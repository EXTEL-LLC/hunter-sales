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name="SKU_Base" sheetId="1" state="visible" r:id="rId1"/>
    <sheet name="Settings" sheetId="2" state="visible" r:id="rId2"/>
    <sheet name="Commercial_Policy" sheetId="3" state="visible" r:id="rId3"/>
    <sheet name="Deal_Checker" sheetId="4" state="visible" r:id="rId4"/>
    <sheet name="Channel_Prices" sheetId="5" state="visible" r:id="rId5"/>
  </sheets>
  <definedNames>
    <definedName name="_xlnm._FilterDatabase" localSheetId="0" hidden="1">'SKU_Base'!$A$1:$S$715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\.mm\.yyyy"/>
  </numFmts>
  <fonts count="53">
    <font>
      <name val="Calibri"/>
      <family val="2"/>
      <color theme="1"/>
      <sz val="11"/>
      <scheme val="minor"/>
    </font>
    <font>
      <name val="Arial"/>
      <family val="2"/>
      <b val="1"/>
      <sz val="9"/>
    </font>
    <font>
      <name val="Arial"/>
      <family val="2"/>
      <b val="1"/>
      <color rgb="FF1F3864"/>
      <sz val="9"/>
    </font>
    <font>
      <name val="Arial"/>
      <family val="2"/>
      <color rgb="FF000000"/>
      <sz val="9"/>
    </font>
    <font>
      <name val="Arial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9"/>
    </font>
    <font>
      <name val="Arial"/>
      <family val="2"/>
      <color rgb="FF1F3864"/>
      <sz val="9"/>
    </font>
    <font>
      <name val="Arial"/>
      <family val="2"/>
      <color rgb="FF333333"/>
      <sz val="9"/>
    </font>
    <font>
      <name val="Arial"/>
      <family val="2"/>
      <color rgb="FF666666"/>
      <sz val="8"/>
    </font>
    <font>
      <name val="Arial"/>
      <family val="2"/>
      <color rgb="FFCCCCCC"/>
      <sz val="9"/>
    </font>
    <font>
      <name val="Arial"/>
      <family val="2"/>
      <i val="1"/>
      <color rgb="FF7F7F7F"/>
      <sz val="7"/>
    </font>
    <font>
      <name val="Arial"/>
      <family val="2"/>
      <b val="1"/>
      <color rgb="FFFFFFFF"/>
      <sz val="9"/>
    </font>
    <font>
      <name val="Arial"/>
      <family val="2"/>
      <color rgb="FF1E2D4F"/>
      <sz val="9"/>
    </font>
    <font>
      <name val="Arial"/>
      <family val="2"/>
      <b val="1"/>
      <color rgb="FF1A3050"/>
      <sz val="9"/>
    </font>
    <font>
      <name val="Arial"/>
      <family val="2"/>
      <b val="1"/>
      <color rgb="FF1A3A24"/>
      <sz val="9"/>
    </font>
    <font>
      <name val="Arial"/>
      <family val="2"/>
      <b val="1"/>
      <color rgb="FF2A1A4A"/>
      <sz val="9"/>
    </font>
    <font>
      <name val="Arial"/>
      <family val="2"/>
      <b val="1"/>
      <color rgb="FF4A2800"/>
      <sz val="9"/>
    </font>
    <font>
      <name val="Arial"/>
      <family val="2"/>
      <b val="1"/>
      <color rgb="FF4A1A1A"/>
      <sz val="9"/>
    </font>
    <font>
      <name val="Arial"/>
      <family val="2"/>
      <b val="1"/>
      <color rgb="FF0A2E26"/>
      <sz val="9"/>
    </font>
    <font>
      <name val="Arial"/>
      <family val="2"/>
      <b val="1"/>
      <color rgb="FF3A2A00"/>
      <sz val="9"/>
    </font>
    <font>
      <name val="Arial"/>
      <family val="2"/>
      <b val="1"/>
      <color rgb="FF3A1F00"/>
      <sz val="9"/>
    </font>
    <font>
      <name val="Arial"/>
      <family val="2"/>
      <b val="1"/>
      <color rgb="FFFFFFFF"/>
      <sz val="10"/>
    </font>
    <font>
      <name val="Arial"/>
      <family val="2"/>
      <i val="1"/>
      <color rgb="FF334466"/>
      <sz val="9"/>
    </font>
    <font>
      <name val="Arial"/>
      <family val="2"/>
      <b val="1"/>
      <color rgb="FF1E2D4F"/>
      <sz val="9"/>
    </font>
    <font>
      <name val="Arial"/>
      <family val="2"/>
      <color rgb="FF888888"/>
      <sz val="8"/>
    </font>
    <font>
      <name val="Arial"/>
      <family val="2"/>
      <b val="1"/>
      <color rgb="FFFFFFFF"/>
      <sz val="11"/>
    </font>
    <font>
      <name val="Arial"/>
      <family val="2"/>
      <i val="1"/>
      <color rgb="FF1E2D4F"/>
      <sz val="9"/>
    </font>
    <font>
      <name val="Arial"/>
      <family val="2"/>
      <b val="1"/>
      <color rgb="FFFFFFFF"/>
      <sz val="9"/>
    </font>
    <font>
      <name val="Arial"/>
      <family val="2"/>
      <color rgb="FF1E2D4F"/>
      <sz val="9"/>
    </font>
    <font>
      <name val="Arial"/>
      <family val="2"/>
      <b val="1"/>
      <color rgb="FFFFFFFF"/>
      <sz val="9"/>
    </font>
    <font>
      <name val="Arial"/>
      <family val="2"/>
      <b val="1"/>
      <color rgb="FF3A1F00"/>
      <sz val="9"/>
    </font>
    <font>
      <name val="Arial"/>
      <family val="2"/>
      <color rgb="FF1E2D4F"/>
      <sz val="9"/>
    </font>
    <font>
      <name val="Arial"/>
      <family val="2"/>
      <b val="1"/>
      <color rgb="FFFFFFFF"/>
      <sz val="9"/>
    </font>
    <font>
      <name val="Arial"/>
      <family val="2"/>
      <color rgb="FF1F3864"/>
      <sz val="9"/>
    </font>
    <font>
      <name val="Arial"/>
      <family val="2"/>
      <b val="1"/>
      <color rgb="FF000000"/>
      <sz val="9"/>
    </font>
    <font>
      <name val="Arial"/>
      <family val="2"/>
      <b val="1"/>
      <color rgb="FF1F3864"/>
      <sz val="9"/>
    </font>
    <font>
      <name val="Arial"/>
      <family val="2"/>
      <color rgb="FF1E2D4F"/>
      <sz val="9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9"/>
    </font>
    <font>
      <name val="Arial"/>
      <family val="2"/>
      <color rgb="FF1E2D4F"/>
      <sz val="9"/>
    </font>
    <font>
      <name val="Arial"/>
      <family val="2"/>
      <i val="1"/>
      <color rgb="FF7D6608"/>
      <sz val="8"/>
    </font>
    <font>
      <name val="Arial"/>
      <family val="2"/>
      <color rgb="FF1F3864"/>
      <sz val="9"/>
    </font>
    <font>
      <name val="Arial"/>
      <family val="2"/>
      <b val="1"/>
      <color rgb="FF000000"/>
      <sz val="9"/>
    </font>
    <font>
      <name val="Arial"/>
      <family val="2"/>
      <color rgb="FF999999"/>
      <sz val="9"/>
    </font>
    <font>
      <name val="Arial"/>
      <family val="2"/>
      <sz val="8"/>
    </font>
    <font>
      <name val="Arial"/>
      <charset val="204"/>
      <family val="2"/>
      <b val="1"/>
      <color rgb="FFFFFFFF"/>
      <sz val="9"/>
    </font>
    <font>
      <name val="Arial"/>
      <charset val="204"/>
      <family val="2"/>
      <b val="1"/>
      <color rgb="FF1E2D4F"/>
      <sz val="9"/>
    </font>
    <font>
      <name val="Calibri"/>
      <charset val="204"/>
      <family val="2"/>
      <b val="1"/>
      <color theme="1"/>
      <sz val="11"/>
      <scheme val="minor"/>
    </font>
    <font>
      <name val="Arial"/>
      <family val="2"/>
      <b val="1"/>
      <color rgb="FFFFFFFF"/>
      <sz val="9"/>
    </font>
    <font>
      <name val="Arial"/>
      <family val="2"/>
      <color rgb="FF1E2D4F"/>
      <sz val="9"/>
    </font>
    <font>
      <name val="Arial"/>
      <family val="2"/>
      <color rgb="FFFF0000"/>
      <sz val="9"/>
    </font>
    <font>
      <name val="Arial"/>
      <family val="2"/>
      <b val="1"/>
      <color rgb="FFFF0000"/>
      <sz val="9"/>
    </font>
  </fonts>
  <fills count="49">
    <fill>
      <patternFill/>
    </fill>
    <fill>
      <patternFill patternType="gray125"/>
    </fill>
    <fill>
      <patternFill patternType="solid">
        <fgColor rgb="FFFFCCCC"/>
      </patternFill>
    </fill>
    <fill>
      <patternFill patternType="solid">
        <fgColor rgb="FF4472C4"/>
      </patternFill>
    </fill>
    <fill>
      <patternFill patternType="solid">
        <fgColor rgb="FFFFFF00"/>
      </patternFill>
    </fill>
    <fill>
      <patternFill patternType="solid">
        <fgColor rgb="FF7030A0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FFFFFF"/>
      </patternFill>
    </fill>
    <fill>
      <patternFill patternType="solid">
        <fgColor rgb="FF1E2D4F"/>
      </patternFill>
    </fill>
    <fill>
      <patternFill patternType="solid">
        <fgColor rgb="FFD4E6F5"/>
      </patternFill>
    </fill>
    <fill>
      <patternFill patternType="solid">
        <fgColor rgb="FFD4EDDA"/>
      </patternFill>
    </fill>
    <fill>
      <patternFill patternType="solid">
        <fgColor rgb="FFE8DEFA"/>
      </patternFill>
    </fill>
    <fill>
      <patternFill patternType="solid">
        <fgColor rgb="FFFDEBD0"/>
      </patternFill>
    </fill>
    <fill>
      <patternFill patternType="solid">
        <fgColor rgb="FFFADBD8"/>
      </patternFill>
    </fill>
    <fill>
      <patternFill patternType="solid">
        <fgColor rgb="FFD1F2EC"/>
      </patternFill>
    </fill>
    <fill>
      <patternFill patternType="solid">
        <fgColor rgb="FFFAF0CA"/>
      </patternFill>
    </fill>
    <fill>
      <patternFill patternType="solid">
        <fgColor rgb="FFF5F8FD"/>
      </patternFill>
    </fill>
    <fill>
      <patternFill patternType="solid">
        <fgColor rgb="FFFCF8EE"/>
      </patternFill>
    </fill>
    <fill>
      <patternFill patternType="solid">
        <fgColor rgb="FFE8EFF8"/>
      </patternFill>
    </fill>
    <fill>
      <patternFill patternType="solid">
        <fgColor rgb="FF4CAF79"/>
      </patternFill>
    </fill>
    <fill>
      <patternFill patternType="solid">
        <fgColor rgb="FFE6A817"/>
      </patternFill>
    </fill>
    <fill>
      <patternFill patternType="solid">
        <fgColor rgb="FFD64141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00B0F0"/>
      </patternFill>
    </fill>
    <fill>
      <patternFill patternType="solid">
        <fgColor rgb="FFDCE6F1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BFF8D"/>
        <bgColor indexed="64"/>
      </patternFill>
    </fill>
    <fill>
      <patternFill patternType="solid">
        <fgColor rgb="FF2E4372"/>
      </patternFill>
    </fill>
    <fill>
      <patternFill patternType="solid">
        <fgColor rgb="FFF0F0F0"/>
      </patternFill>
    </fill>
    <fill>
      <patternFill patternType="solid">
        <fgColor rgb="FF00F772"/>
        <bgColor indexed="64"/>
      </patternFill>
    </fill>
    <fill>
      <patternFill patternType="solid">
        <fgColor rgb="FF2E75B6"/>
      </patternFill>
    </fill>
    <fill>
      <patternFill patternType="solid">
        <fgColor rgb="FFBF8F00"/>
      </patternFill>
    </fill>
    <fill>
      <patternFill patternType="solid">
        <fgColor rgb="FF833C00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9E6"/>
      </patternFill>
    </fill>
    <fill>
      <patternFill patternType="solid">
        <fgColor rgb="FF375623"/>
      </patternFill>
    </fill>
    <fill>
      <patternFill patternType="solid">
        <fgColor rgb="FFEEEEEE"/>
      </patternFill>
    </fill>
  </fills>
  <borders count="35">
    <border>
      <left/>
      <right/>
      <top/>
      <bottom/>
      <diagonal/>
    </border>
    <border>
      <left/>
      <right/>
      <top/>
      <bottom style="thin">
        <color rgb="FFB8C8DC"/>
      </bottom>
      <diagonal/>
    </border>
    <border>
      <left/>
      <right/>
      <top/>
      <bottom/>
      <diagonal/>
    </border>
    <border>
      <left/>
      <right/>
      <top/>
      <bottom style="medium">
        <color rgb="FF9DB3CC"/>
      </bottom>
      <diagonal/>
    </border>
    <border>
      <left style="thin">
        <color rgb="FFB8C8DC"/>
      </left>
      <right style="thin">
        <color rgb="FFB8C8DC"/>
      </right>
      <top/>
      <bottom style="medium">
        <color rgb="FF1F3864"/>
      </bottom>
      <diagonal/>
    </border>
    <border>
      <left style="thin">
        <color rgb="FF2C3E6B"/>
      </left>
      <right style="thin">
        <color rgb="FF2C3E6B"/>
      </right>
      <top style="thin">
        <color rgb="FFD0DAE8"/>
      </top>
      <bottom style="thin">
        <color rgb="FFD0DAE8"/>
      </bottom>
      <diagonal/>
    </border>
    <border>
      <left style="thin">
        <color rgb="FFD0DAE8"/>
      </left>
      <right style="thin">
        <color rgb="FFD0DAE8"/>
      </right>
      <top style="thin">
        <color rgb="FFD0DAE8"/>
      </top>
      <bottom style="thin">
        <color rgb="FFD0DAE8"/>
      </bottom>
      <diagonal/>
    </border>
    <border>
      <left style="medium">
        <color rgb="FF2C3E6B"/>
      </left>
      <right style="thin">
        <color rgb="FFD0DAE8"/>
      </right>
      <top style="thin">
        <color rgb="FFD0DAE8"/>
      </top>
      <bottom style="thin">
        <color rgb="FFD0DAE8"/>
      </bottom>
      <diagonal/>
    </border>
    <border>
      <left style="thin">
        <color rgb="FFD0DAE8"/>
      </left>
      <right style="medium">
        <color rgb="FF2C3E6B"/>
      </right>
      <top style="thin">
        <color rgb="FFD0DAE8"/>
      </top>
      <bottom style="thin">
        <color rgb="FFD0DAE8"/>
      </bottom>
      <diagonal/>
    </border>
    <border>
      <left style="thin">
        <color rgb="FF2C3E6B"/>
      </left>
      <right style="thin">
        <color rgb="FFD0DAE8"/>
      </right>
      <top style="thin">
        <color rgb="FFD0DAE8"/>
      </top>
      <bottom style="thin">
        <color rgb="FFD0DAE8"/>
      </bottom>
      <diagonal/>
    </border>
    <border>
      <left style="thin">
        <color rgb="FFD0DAE8"/>
      </left>
      <right style="thin">
        <color rgb="FFD0DAE8"/>
      </right>
      <top style="thin">
        <color rgb="FF2C3E6B"/>
      </top>
      <bottom style="thin">
        <color rgb="FF2C3E6B"/>
      </bottom>
      <diagonal/>
    </border>
    <border>
      <left style="medium">
        <color rgb="FF2C3E6B"/>
      </left>
      <right style="thin">
        <color rgb="FFD0DAE8"/>
      </right>
      <top style="thin">
        <color rgb="FF2C3E6B"/>
      </top>
      <bottom style="thin">
        <color rgb="FFD0DAE8"/>
      </bottom>
      <diagonal/>
    </border>
    <border>
      <left style="thin">
        <color rgb="FFD0DAE8"/>
      </left>
      <right style="thin">
        <color rgb="FFD0DAE8"/>
      </right>
      <top style="thin">
        <color rgb="FF2C3E6B"/>
      </top>
      <bottom style="thin">
        <color rgb="FFD0DAE8"/>
      </bottom>
      <diagonal/>
    </border>
    <border>
      <left style="thin">
        <color rgb="FFD0DAE8"/>
      </left>
      <right style="thin">
        <color rgb="FFD0DAE8"/>
      </right>
      <top style="medium">
        <color rgb="FF2C3E6B"/>
      </top>
      <bottom style="medium">
        <color rgb="FF2C3E6B"/>
      </bottom>
      <diagonal/>
    </border>
    <border>
      <left style="medium">
        <color rgb="FF2C3E6B"/>
      </left>
      <right style="thin">
        <color rgb="FFD0DAE8"/>
      </right>
      <top style="thin">
        <color rgb="FF2C3E6B"/>
      </top>
      <bottom style="thin">
        <color rgb="FF2C3E6B"/>
      </bottom>
      <diagonal/>
    </border>
    <border>
      <left/>
      <right/>
      <top style="thin">
        <color rgb="FF2C3E6B"/>
      </top>
      <bottom style="thin">
        <color rgb="FF2C3E6B"/>
      </bottom>
      <diagonal/>
    </border>
    <border>
      <left/>
      <right style="thin">
        <color rgb="FFD0DAE8"/>
      </right>
      <top style="thin">
        <color rgb="FF2C3E6B"/>
      </top>
      <bottom style="thin">
        <color rgb="FF2C3E6B"/>
      </bottom>
      <diagonal/>
    </border>
    <border>
      <left style="medium">
        <color rgb="FF2C3E6B"/>
      </left>
      <right style="thin">
        <color rgb="FFD0DAE8"/>
      </right>
      <top/>
      <bottom/>
      <diagonal/>
    </border>
    <border>
      <left style="medium">
        <color rgb="FF2C3E6B"/>
      </left>
      <right style="thin">
        <color rgb="FFD0DAE8"/>
      </right>
      <top/>
      <bottom style="thin">
        <color rgb="FFD0DAE8"/>
      </bottom>
      <diagonal/>
    </border>
    <border>
      <left/>
      <right/>
      <top style="thin">
        <color rgb="FFD0DAE8"/>
      </top>
      <bottom style="thin">
        <color rgb="FFD0DAE8"/>
      </bottom>
      <diagonal/>
    </border>
    <border>
      <left/>
      <right style="thin">
        <color rgb="FFD0DAE8"/>
      </right>
      <top style="thin">
        <color rgb="FFD0DAE8"/>
      </top>
      <bottom style="thin">
        <color rgb="FFD0DAE8"/>
      </bottom>
      <diagonal/>
    </border>
    <border>
      <left/>
      <right style="thin">
        <color rgb="FFD0DAE8"/>
      </right>
      <top style="medium">
        <color rgb="FF2C3E6B"/>
      </top>
      <bottom style="medium">
        <color rgb="FF2C3E6B"/>
      </bottom>
      <diagonal/>
    </border>
    <border>
      <left style="thin">
        <color rgb="FFD0DAE8"/>
      </left>
      <right style="thin">
        <color rgb="FFD0DAE8"/>
      </right>
      <top style="thin">
        <color rgb="FFD0DAE8"/>
      </top>
      <bottom style="thin">
        <color rgb="FFD0DAE8"/>
      </bottom>
      <diagonal/>
    </border>
    <border>
      <left style="thin">
        <color rgb="FFD0DAE8"/>
      </left>
      <right style="thin">
        <color rgb="FFD0DAE8"/>
      </right>
      <top style="thin">
        <color rgb="FFD0DAE8"/>
      </top>
      <bottom style="thin">
        <color rgb="FFD0DAE8"/>
      </bottom>
      <diagonal/>
    </border>
    <border>
      <left style="thin">
        <color rgb="FFD0DAE8"/>
      </left>
      <right style="thin">
        <color rgb="FFD0DAE8"/>
      </right>
      <top style="thin">
        <color rgb="FFD0DAE8"/>
      </top>
      <bottom style="thin">
        <color rgb="FFD0DAE8"/>
      </bottom>
      <diagonal/>
    </border>
    <border>
      <left style="thin">
        <color rgb="FFD0DAE8"/>
      </left>
      <right style="thin">
        <color rgb="FFD0DAE8"/>
      </right>
      <top style="thin">
        <color rgb="FFD0DAE8"/>
      </top>
      <bottom style="thin">
        <color rgb="FFD0DAE8"/>
      </bottom>
      <diagonal/>
    </border>
    <border>
      <left style="thin">
        <color rgb="FFD0DAE8"/>
      </left>
      <right style="thin">
        <color rgb="FFD0DAE8"/>
      </right>
      <top style="thin">
        <color rgb="FFD0DAE8"/>
      </top>
      <bottom style="thin">
        <color rgb="FFD0DAE8"/>
      </bottom>
      <diagonal/>
    </border>
    <border>
      <left style="thin">
        <color rgb="FFD0DAE8"/>
      </left>
      <right style="thin">
        <color rgb="FFD0DAE8"/>
      </right>
      <top style="thin">
        <color rgb="FFD0DAE8"/>
      </top>
      <bottom style="thin">
        <color rgb="FFD0DAE8"/>
      </bottom>
      <diagonal/>
    </border>
    <border>
      <left/>
      <right/>
      <top style="thin">
        <color rgb="FF2C3E6B"/>
      </top>
      <bottom/>
      <diagonal/>
    </border>
    <border>
      <left/>
      <right style="thin">
        <color rgb="FFD0DAE8"/>
      </right>
      <top style="thin">
        <color rgb="FF2C3E6B"/>
      </top>
      <bottom/>
      <diagonal/>
    </border>
    <border>
      <left style="medium">
        <color rgb="FF2C3E6B"/>
      </left>
      <right/>
      <top/>
      <bottom/>
      <diagonal/>
    </border>
    <border>
      <left/>
      <right/>
      <top style="thin">
        <color rgb="FFD0DAE8"/>
      </top>
      <bottom/>
      <diagonal/>
    </border>
    <border>
      <left/>
      <right style="thin">
        <color rgb="FFD0DAE8"/>
      </right>
      <top style="thin">
        <color rgb="FFD0DAE8"/>
      </top>
      <bottom/>
      <diagonal/>
    </border>
    <border>
      <left/>
      <right/>
      <top style="medium">
        <color rgb="FF2C3E6B"/>
      </top>
      <bottom/>
      <diagonal/>
    </border>
    <border>
      <left/>
      <right style="thin">
        <color rgb="FFD0DAE8"/>
      </right>
      <top style="medium">
        <color rgb="FF2C3E6B"/>
      </top>
      <bottom/>
      <diagonal/>
    </border>
  </borders>
  <cellStyleXfs count="1">
    <xf numFmtId="0" fontId="0" fillId="0" borderId="2"/>
  </cellStyleXfs>
  <cellXfs count="22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/>
    </xf>
    <xf numFmtId="164" fontId="9" fillId="0" borderId="2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 wrapText="1"/>
    </xf>
    <xf numFmtId="0" fontId="5" fillId="23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5" fillId="24" borderId="4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25" borderId="4" applyAlignment="1" pivotButton="0" quotePrefix="0" xfId="0">
      <alignment horizontal="center" vertical="center" wrapText="1"/>
    </xf>
    <xf numFmtId="0" fontId="5" fillId="7" borderId="4" applyAlignment="1" pivotButton="0" quotePrefix="0" xfId="0">
      <alignment horizontal="center" vertical="center" wrapText="1"/>
    </xf>
    <xf numFmtId="164" fontId="7" fillId="26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29" borderId="4" applyAlignment="1" pivotButton="0" quotePrefix="0" xfId="0">
      <alignment horizontal="center" vertical="center" wrapText="1"/>
    </xf>
    <xf numFmtId="164" fontId="6" fillId="28" borderId="1" applyAlignment="1" pivotButton="0" quotePrefix="0" xfId="0">
      <alignment horizontal="center" vertical="center"/>
    </xf>
    <xf numFmtId="164" fontId="7" fillId="27" borderId="1" applyAlignment="1" pivotButton="0" quotePrefix="0" xfId="0">
      <alignment horizontal="center" vertical="center"/>
    </xf>
    <xf numFmtId="164" fontId="3" fillId="27" borderId="1" applyAlignment="1" pivotButton="0" quotePrefix="0" xfId="0">
      <alignment horizontal="center" vertical="center"/>
    </xf>
    <xf numFmtId="164" fontId="2" fillId="26" borderId="1" applyAlignment="1" pivotButton="0" quotePrefix="0" xfId="0">
      <alignment horizontal="center" vertical="center"/>
    </xf>
    <xf numFmtId="164" fontId="7" fillId="32" borderId="1" applyAlignment="1" pivotButton="0" quotePrefix="0" xfId="0">
      <alignment horizontal="center" vertical="center"/>
    </xf>
    <xf numFmtId="164" fontId="7" fillId="33" borderId="1" applyAlignment="1" pivotButton="0" quotePrefix="0" xfId="0">
      <alignment horizontal="center" vertical="center"/>
    </xf>
    <xf numFmtId="3" fontId="6" fillId="34" borderId="1" applyAlignment="1" pivotButton="0" quotePrefix="0" xfId="0">
      <alignment horizontal="center" vertical="center"/>
    </xf>
    <xf numFmtId="164" fontId="6" fillId="34" borderId="1" applyAlignment="1" pivotButton="0" quotePrefix="0" xfId="0">
      <alignment horizontal="center" vertical="center"/>
    </xf>
    <xf numFmtId="0" fontId="12" fillId="9" borderId="5" applyAlignment="1" pivotButton="0" quotePrefix="0" xfId="0">
      <alignment horizontal="center" vertical="center" wrapText="1"/>
    </xf>
    <xf numFmtId="0" fontId="13" fillId="17" borderId="6" applyAlignment="1" pivotButton="0" quotePrefix="0" xfId="0">
      <alignment horizontal="center" vertical="center"/>
    </xf>
    <xf numFmtId="0" fontId="13" fillId="17" borderId="6" applyAlignment="1" pivotButton="0" quotePrefix="0" xfId="0">
      <alignment horizontal="left" vertical="center"/>
    </xf>
    <xf numFmtId="1" fontId="13" fillId="17" borderId="6" applyAlignment="1" pivotButton="0" quotePrefix="0" xfId="0">
      <alignment horizontal="left" vertical="center"/>
    </xf>
    <xf numFmtId="2" fontId="13" fillId="18" borderId="6" applyAlignment="1" pivotButton="0" quotePrefix="0" xfId="0">
      <alignment horizontal="center" vertical="center"/>
    </xf>
    <xf numFmtId="164" fontId="13" fillId="19" borderId="6" applyAlignment="1" pivotButton="0" quotePrefix="0" xfId="0">
      <alignment horizontal="center" vertical="center"/>
    </xf>
    <xf numFmtId="0" fontId="13" fillId="8" borderId="6" applyAlignment="1" pivotButton="0" quotePrefix="0" xfId="0">
      <alignment horizontal="center" vertical="center"/>
    </xf>
    <xf numFmtId="0" fontId="13" fillId="8" borderId="6" applyAlignment="1" pivotButton="0" quotePrefix="0" xfId="0">
      <alignment horizontal="left" vertical="center"/>
    </xf>
    <xf numFmtId="1" fontId="13" fillId="8" borderId="6" applyAlignment="1" pivotButton="0" quotePrefix="0" xfId="0">
      <alignment horizontal="left" vertical="center"/>
    </xf>
    <xf numFmtId="0" fontId="22" fillId="9" borderId="10" applyAlignment="1" pivotButton="0" quotePrefix="0" xfId="0">
      <alignment horizontal="left" vertical="center"/>
    </xf>
    <xf numFmtId="0" fontId="25" fillId="36" borderId="6" applyAlignment="1" pivotButton="0" quotePrefix="0" xfId="0">
      <alignment horizontal="left" vertical="center"/>
    </xf>
    <xf numFmtId="0" fontId="12" fillId="35" borderId="10" applyAlignment="1" pivotButton="0" quotePrefix="0" xfId="0">
      <alignment horizontal="center" vertical="center" wrapText="1"/>
    </xf>
    <xf numFmtId="0" fontId="13" fillId="17" borderId="12" applyAlignment="1" pivotButton="0" quotePrefix="0" xfId="0">
      <alignment horizontal="left" vertical="center"/>
    </xf>
    <xf numFmtId="3" fontId="13" fillId="17" borderId="12" applyAlignment="1" pivotButton="0" quotePrefix="0" xfId="0">
      <alignment horizontal="center" vertical="center"/>
    </xf>
    <xf numFmtId="9" fontId="13" fillId="17" borderId="12" applyAlignment="1" pivotButton="0" quotePrefix="0" xfId="0">
      <alignment horizontal="center" vertical="center"/>
    </xf>
    <xf numFmtId="1" fontId="13" fillId="17" borderId="12" applyAlignment="1" pivotButton="0" quotePrefix="0" xfId="0">
      <alignment horizontal="center" vertical="center"/>
    </xf>
    <xf numFmtId="0" fontId="13" fillId="17" borderId="12" applyAlignment="1" pivotButton="0" quotePrefix="0" xfId="0">
      <alignment horizontal="center" vertical="center"/>
    </xf>
    <xf numFmtId="9" fontId="25" fillId="36" borderId="12" applyAlignment="1" pivotButton="0" quotePrefix="0" xfId="0">
      <alignment horizontal="center" vertical="center"/>
    </xf>
    <xf numFmtId="3" fontId="13" fillId="8" borderId="6" applyAlignment="1" pivotButton="0" quotePrefix="0" xfId="0">
      <alignment horizontal="center" vertical="center"/>
    </xf>
    <xf numFmtId="9" fontId="13" fillId="8" borderId="6" applyAlignment="1" pivotButton="0" quotePrefix="0" xfId="0">
      <alignment horizontal="center" vertical="center"/>
    </xf>
    <xf numFmtId="1" fontId="13" fillId="8" borderId="6" applyAlignment="1" pivotButton="0" quotePrefix="0" xfId="0">
      <alignment horizontal="center" vertical="center"/>
    </xf>
    <xf numFmtId="0" fontId="13" fillId="8" borderId="6" applyAlignment="1" pivotButton="0" quotePrefix="0" xfId="0">
      <alignment horizontal="left" vertical="center" wrapText="1"/>
    </xf>
    <xf numFmtId="9" fontId="25" fillId="36" borderId="6" applyAlignment="1" pivotButton="0" quotePrefix="0" xfId="0">
      <alignment horizontal="center" vertical="center"/>
    </xf>
    <xf numFmtId="3" fontId="13" fillId="17" borderId="6" applyAlignment="1" pivotButton="0" quotePrefix="0" xfId="0">
      <alignment horizontal="center" vertical="center"/>
    </xf>
    <xf numFmtId="9" fontId="13" fillId="17" borderId="6" applyAlignment="1" pivotButton="0" quotePrefix="0" xfId="0">
      <alignment horizontal="center" vertical="center"/>
    </xf>
    <xf numFmtId="1" fontId="13" fillId="17" borderId="6" applyAlignment="1" pivotButton="0" quotePrefix="0" xfId="0">
      <alignment horizontal="center" vertical="center"/>
    </xf>
    <xf numFmtId="0" fontId="13" fillId="17" borderId="6" applyAlignment="1" pivotButton="0" quotePrefix="0" xfId="0">
      <alignment horizontal="left" vertical="center" wrapText="1"/>
    </xf>
    <xf numFmtId="0" fontId="13" fillId="8" borderId="12" applyAlignment="1" pivotButton="0" quotePrefix="0" xfId="0">
      <alignment horizontal="left" vertical="center"/>
    </xf>
    <xf numFmtId="3" fontId="13" fillId="8" borderId="12" applyAlignment="1" pivotButton="0" quotePrefix="0" xfId="0">
      <alignment horizontal="center" vertical="center"/>
    </xf>
    <xf numFmtId="9" fontId="13" fillId="8" borderId="12" applyAlignment="1" pivotButton="0" quotePrefix="0" xfId="0">
      <alignment horizontal="center" vertical="center"/>
    </xf>
    <xf numFmtId="1" fontId="13" fillId="8" borderId="12" applyAlignment="1" pivotButton="0" quotePrefix="0" xfId="0">
      <alignment horizontal="center" vertical="center"/>
    </xf>
    <xf numFmtId="0" fontId="13" fillId="8" borderId="12" applyAlignment="1" pivotButton="0" quotePrefix="0" xfId="0">
      <alignment horizontal="center" vertical="center"/>
    </xf>
    <xf numFmtId="0" fontId="12" fillId="9" borderId="10" applyAlignment="1" pivotButton="0" quotePrefix="0" xfId="0">
      <alignment horizontal="left" vertical="center"/>
    </xf>
    <xf numFmtId="0" fontId="24" fillId="17" borderId="6" applyAlignment="1" pivotButton="0" quotePrefix="0" xfId="0">
      <alignment horizontal="left" vertical="center"/>
    </xf>
    <xf numFmtId="0" fontId="25" fillId="36" borderId="6" applyAlignment="1" pivotButton="0" quotePrefix="0" xfId="0">
      <alignment horizontal="left" vertical="center" wrapText="1"/>
    </xf>
    <xf numFmtId="0" fontId="24" fillId="8" borderId="6" applyAlignment="1" pivotButton="0" quotePrefix="0" xfId="0">
      <alignment horizontal="left" vertical="center"/>
    </xf>
    <xf numFmtId="0" fontId="24" fillId="17" borderId="6" applyAlignment="1" pivotButton="0" quotePrefix="0" xfId="0">
      <alignment horizontal="left" vertical="center" wrapText="1"/>
    </xf>
    <xf numFmtId="0" fontId="24" fillId="8" borderId="6" applyAlignment="1" pivotButton="0" quotePrefix="0" xfId="0">
      <alignment horizontal="left" vertical="center" wrapText="1"/>
    </xf>
    <xf numFmtId="0" fontId="26" fillId="9" borderId="13" applyAlignment="1" pivotButton="0" quotePrefix="0" xfId="0">
      <alignment horizontal="left" vertical="center"/>
    </xf>
    <xf numFmtId="0" fontId="23" fillId="19" borderId="6" applyAlignment="1" pivotButton="0" quotePrefix="0" xfId="0">
      <alignment horizontal="left" vertical="center" wrapText="1"/>
    </xf>
    <xf numFmtId="0" fontId="8" fillId="8" borderId="6" applyAlignment="1" pivotButton="0" quotePrefix="0" xfId="0">
      <alignment horizontal="left" vertical="center"/>
    </xf>
    <xf numFmtId="0" fontId="13" fillId="8" borderId="10" applyAlignment="1" pivotButton="0" quotePrefix="0" xfId="0">
      <alignment horizontal="center" vertical="center"/>
    </xf>
    <xf numFmtId="0" fontId="13" fillId="17" borderId="7" applyAlignment="1" pivotButton="0" quotePrefix="0" xfId="0">
      <alignment horizontal="left" vertical="center"/>
    </xf>
    <xf numFmtId="0" fontId="24" fillId="18" borderId="5" applyAlignment="1" pivotButton="0" quotePrefix="0" xfId="0">
      <alignment horizontal="left" vertical="center"/>
    </xf>
    <xf numFmtId="3" fontId="24" fillId="18" borderId="5" applyAlignment="1" pivotButton="0" quotePrefix="0" xfId="0">
      <alignment horizontal="left" vertical="center"/>
    </xf>
    <xf numFmtId="0" fontId="27" fillId="17" borderId="7" applyAlignment="1" pivotButton="0" quotePrefix="0" xfId="0">
      <alignment horizontal="left" vertical="center" wrapText="1"/>
    </xf>
    <xf numFmtId="0" fontId="13" fillId="19" borderId="5" applyAlignment="1" pivotButton="0" quotePrefix="0" xfId="0">
      <alignment horizontal="right" vertical="center"/>
    </xf>
    <xf numFmtId="0" fontId="13" fillId="8" borderId="7" applyAlignment="1" pivotButton="0" quotePrefix="0" xfId="0">
      <alignment horizontal="left" vertical="center"/>
    </xf>
    <xf numFmtId="4" fontId="13" fillId="19" borderId="5" applyAlignment="1" pivotButton="0" quotePrefix="0" xfId="0">
      <alignment horizontal="right" vertical="center"/>
    </xf>
    <xf numFmtId="0" fontId="13" fillId="17" borderId="5" applyAlignment="1" pivotButton="0" quotePrefix="0" xfId="0">
      <alignment horizontal="right" vertical="center"/>
    </xf>
    <xf numFmtId="9" fontId="13" fillId="19" borderId="5" applyAlignment="1" pivotButton="0" quotePrefix="0" xfId="0">
      <alignment horizontal="right" vertical="center"/>
    </xf>
    <xf numFmtId="3" fontId="13" fillId="19" borderId="5" applyAlignment="1" pivotButton="0" quotePrefix="0" xfId="0">
      <alignment horizontal="right" vertical="center"/>
    </xf>
    <xf numFmtId="164" fontId="13" fillId="19" borderId="5" applyAlignment="1" pivotButton="0" quotePrefix="0" xfId="0">
      <alignment horizontal="right" vertical="center"/>
    </xf>
    <xf numFmtId="0" fontId="13" fillId="8" borderId="5" applyAlignment="1" pivotButton="0" quotePrefix="0" xfId="0">
      <alignment horizontal="right" vertical="center"/>
    </xf>
    <xf numFmtId="0" fontId="24" fillId="19" borderId="5" applyAlignment="1" pivotButton="0" quotePrefix="0" xfId="0">
      <alignment horizontal="center" vertical="center"/>
    </xf>
    <xf numFmtId="3" fontId="6" fillId="27" borderId="1" applyAlignment="1" pivotButton="0" quotePrefix="0" xfId="0">
      <alignment horizontal="center" vertical="center"/>
    </xf>
    <xf numFmtId="164" fontId="2" fillId="37" borderId="1" applyAlignment="1" pivotButton="0" quotePrefix="0" xfId="0">
      <alignment horizontal="center" vertical="center"/>
    </xf>
    <xf numFmtId="3" fontId="13" fillId="19" borderId="6" applyAlignment="1" pivotButton="0" quotePrefix="0" xfId="0">
      <alignment horizontal="center" vertical="center"/>
    </xf>
    <xf numFmtId="0" fontId="28" fillId="9" borderId="22" applyAlignment="1" pivotButton="0" quotePrefix="0" xfId="0">
      <alignment horizontal="center" vertical="center" wrapText="1"/>
    </xf>
    <xf numFmtId="3" fontId="28" fillId="9" borderId="22" applyAlignment="1" pivotButton="0" quotePrefix="0" xfId="0">
      <alignment horizontal="center" vertical="center" wrapText="1"/>
    </xf>
    <xf numFmtId="0" fontId="29" fillId="18" borderId="22" applyAlignment="1" pivotButton="0" quotePrefix="0" xfId="0">
      <alignment horizontal="center" vertical="center"/>
    </xf>
    <xf numFmtId="3" fontId="29" fillId="18" borderId="22" applyAlignment="1" pivotButton="0" quotePrefix="0" xfId="0">
      <alignment horizontal="right" vertical="center"/>
    </xf>
    <xf numFmtId="0" fontId="29" fillId="19" borderId="22" applyAlignment="1" pivotButton="0" quotePrefix="0" xfId="0">
      <alignment horizontal="left" vertical="center"/>
    </xf>
    <xf numFmtId="0" fontId="29" fillId="18" borderId="22" applyAlignment="1" pivotButton="0" quotePrefix="0" xfId="0">
      <alignment horizontal="left" vertical="center"/>
    </xf>
    <xf numFmtId="3" fontId="29" fillId="19" borderId="22" applyAlignment="1" pivotButton="0" quotePrefix="0" xfId="0">
      <alignment horizontal="center" vertical="center"/>
    </xf>
    <xf numFmtId="3" fontId="29" fillId="18" borderId="22" applyAlignment="1" pivotButton="0" quotePrefix="0" xfId="0">
      <alignment horizontal="center" vertical="center"/>
    </xf>
    <xf numFmtId="4" fontId="13" fillId="17" borderId="6" applyAlignment="1" pivotButton="0" quotePrefix="0" xfId="0">
      <alignment horizontal="center" vertical="center"/>
    </xf>
    <xf numFmtId="4" fontId="13" fillId="8" borderId="6" applyAlignment="1" pivotButton="0" quotePrefix="0" xfId="0">
      <alignment horizontal="center" vertical="center"/>
    </xf>
    <xf numFmtId="164" fontId="32" fillId="19" borderId="23" applyAlignment="1" pivotButton="0" quotePrefix="0" xfId="0">
      <alignment horizontal="center" vertical="center"/>
    </xf>
    <xf numFmtId="0" fontId="1" fillId="31" borderId="3" applyAlignment="1" pivotButton="0" quotePrefix="0" xfId="0">
      <alignment horizontal="left" vertical="center"/>
    </xf>
    <xf numFmtId="0" fontId="0" fillId="0" borderId="3" pivotButton="0" quotePrefix="0" xfId="0"/>
    <xf numFmtId="0" fontId="11" fillId="0" borderId="2" applyAlignment="1" pivotButton="0" quotePrefix="0" xfId="0">
      <alignment horizontal="left" vertical="center" wrapText="1"/>
    </xf>
    <xf numFmtId="164" fontId="35" fillId="4" borderId="24" applyAlignment="1" pivotButton="0" quotePrefix="0" xfId="0">
      <alignment horizontal="center" vertical="center"/>
    </xf>
    <xf numFmtId="164" fontId="36" fillId="19" borderId="24" applyAlignment="1" pivotButton="0" quotePrefix="0" xfId="0">
      <alignment horizontal="center" vertical="center"/>
    </xf>
    <xf numFmtId="164" fontId="37" fillId="19" borderId="24" applyAlignment="1" pivotButton="0" quotePrefix="0" xfId="0">
      <alignment horizontal="center" vertical="center"/>
    </xf>
    <xf numFmtId="0" fontId="34" fillId="41" borderId="24" applyAlignment="1" pivotButton="0" quotePrefix="0" xfId="0">
      <alignment horizontal="left" vertical="center"/>
    </xf>
    <xf numFmtId="0" fontId="34" fillId="28" borderId="24" applyAlignment="1" pivotButton="0" quotePrefix="0" xfId="0">
      <alignment horizontal="left" vertical="center"/>
    </xf>
    <xf numFmtId="164" fontId="0" fillId="0" borderId="0" pivotButton="0" quotePrefix="0" xfId="0"/>
    <xf numFmtId="0" fontId="38" fillId="3" borderId="25" applyAlignment="1" pivotButton="0" quotePrefix="0" xfId="0">
      <alignment horizontal="center" vertical="center" wrapText="1"/>
    </xf>
    <xf numFmtId="0" fontId="38" fillId="23" borderId="25" applyAlignment="1" pivotButton="0" quotePrefix="0" xfId="0">
      <alignment horizontal="center" vertical="center" wrapText="1"/>
    </xf>
    <xf numFmtId="0" fontId="38" fillId="5" borderId="25" applyAlignment="1" pivotButton="0" quotePrefix="0" xfId="0">
      <alignment horizontal="center" vertical="center" wrapText="1"/>
    </xf>
    <xf numFmtId="0" fontId="38" fillId="24" borderId="25" applyAlignment="1" pivotButton="0" quotePrefix="0" xfId="0">
      <alignment horizontal="center" vertical="center" wrapText="1"/>
    </xf>
    <xf numFmtId="0" fontId="38" fillId="6" borderId="25" applyAlignment="1" pivotButton="0" quotePrefix="0" xfId="0">
      <alignment horizontal="center" vertical="center" wrapText="1"/>
    </xf>
    <xf numFmtId="0" fontId="38" fillId="25" borderId="25" applyAlignment="1" pivotButton="0" quotePrefix="0" xfId="0">
      <alignment horizontal="center" vertical="center" wrapText="1"/>
    </xf>
    <xf numFmtId="0" fontId="38" fillId="7" borderId="25" applyAlignment="1" pivotButton="0" quotePrefix="0" xfId="0">
      <alignment horizontal="center" vertical="center" wrapText="1"/>
    </xf>
    <xf numFmtId="0" fontId="34" fillId="42" borderId="24" applyAlignment="1" pivotButton="0" quotePrefix="0" xfId="0">
      <alignment horizontal="left" vertical="center"/>
    </xf>
    <xf numFmtId="0" fontId="34" fillId="43" borderId="24" applyAlignment="1" pivotButton="0" quotePrefix="0" xfId="0">
      <alignment horizontal="left" vertical="center"/>
    </xf>
    <xf numFmtId="0" fontId="34" fillId="33" borderId="24" applyAlignment="1" pivotButton="0" quotePrefix="0" xfId="0">
      <alignment horizontal="left" vertical="center"/>
    </xf>
    <xf numFmtId="0" fontId="12" fillId="9" borderId="5" applyAlignment="1" applyProtection="1" pivotButton="0" quotePrefix="0" xfId="0">
      <alignment horizontal="center" vertical="center" wrapText="1"/>
      <protection locked="0" hidden="0"/>
    </xf>
    <xf numFmtId="0" fontId="12" fillId="9" borderId="5" applyAlignment="1" applyProtection="1" pivotButton="0" quotePrefix="0" xfId="0">
      <alignment horizontal="left" vertical="center" wrapText="1"/>
      <protection locked="0" hidden="0"/>
    </xf>
    <xf numFmtId="0" fontId="39" fillId="9" borderId="26" applyAlignment="1" pivotButton="0" quotePrefix="0" xfId="0">
      <alignment horizontal="center" vertical="center" wrapText="1"/>
    </xf>
    <xf numFmtId="0" fontId="14" fillId="10" borderId="7" applyAlignment="1" applyProtection="1" pivotButton="0" quotePrefix="0" xfId="0">
      <alignment horizontal="center" vertical="center" wrapText="1"/>
      <protection locked="0" hidden="0"/>
    </xf>
    <xf numFmtId="0" fontId="14" fillId="10" borderId="6" applyAlignment="1" applyProtection="1" pivotButton="0" quotePrefix="0" xfId="0">
      <alignment horizontal="center" vertical="center" wrapText="1"/>
      <protection locked="0" hidden="0"/>
    </xf>
    <xf numFmtId="0" fontId="14" fillId="10" borderId="8" applyAlignment="1" applyProtection="1" pivotButton="0" quotePrefix="0" xfId="0">
      <alignment horizontal="center" vertical="center" wrapText="1"/>
      <protection locked="0" hidden="0"/>
    </xf>
    <xf numFmtId="0" fontId="15" fillId="11" borderId="7" applyAlignment="1" applyProtection="1" pivotButton="0" quotePrefix="0" xfId="0">
      <alignment horizontal="center" vertical="center" wrapText="1"/>
      <protection locked="0" hidden="0"/>
    </xf>
    <xf numFmtId="0" fontId="15" fillId="11" borderId="6" applyAlignment="1" applyProtection="1" pivotButton="0" quotePrefix="0" xfId="0">
      <alignment horizontal="center" vertical="center" wrapText="1"/>
      <protection locked="0" hidden="0"/>
    </xf>
    <xf numFmtId="0" fontId="15" fillId="11" borderId="8" applyAlignment="1" applyProtection="1" pivotButton="0" quotePrefix="0" xfId="0">
      <alignment horizontal="center" vertical="center" wrapText="1"/>
      <protection locked="0" hidden="0"/>
    </xf>
    <xf numFmtId="0" fontId="16" fillId="12" borderId="7" applyAlignment="1" applyProtection="1" pivotButton="0" quotePrefix="0" xfId="0">
      <alignment horizontal="center" vertical="center" wrapText="1"/>
      <protection locked="0" hidden="0"/>
    </xf>
    <xf numFmtId="0" fontId="16" fillId="12" borderId="6" applyAlignment="1" applyProtection="1" pivotButton="0" quotePrefix="0" xfId="0">
      <alignment horizontal="center" vertical="center" wrapText="1"/>
      <protection locked="0" hidden="0"/>
    </xf>
    <xf numFmtId="0" fontId="16" fillId="12" borderId="8" applyAlignment="1" applyProtection="1" pivotButton="0" quotePrefix="0" xfId="0">
      <alignment horizontal="center" vertical="center" wrapText="1"/>
      <protection locked="0" hidden="0"/>
    </xf>
    <xf numFmtId="0" fontId="17" fillId="13" borderId="7" applyAlignment="1" applyProtection="1" pivotButton="0" quotePrefix="0" xfId="0">
      <alignment horizontal="center" vertical="center" wrapText="1"/>
      <protection locked="0" hidden="0"/>
    </xf>
    <xf numFmtId="0" fontId="17" fillId="13" borderId="6" applyAlignment="1" applyProtection="1" pivotButton="0" quotePrefix="0" xfId="0">
      <alignment horizontal="center" vertical="center" wrapText="1"/>
      <protection locked="0" hidden="0"/>
    </xf>
    <xf numFmtId="0" fontId="17" fillId="13" borderId="8" applyAlignment="1" applyProtection="1" pivotButton="0" quotePrefix="0" xfId="0">
      <alignment horizontal="center" vertical="center" wrapText="1"/>
      <protection locked="0" hidden="0"/>
    </xf>
    <xf numFmtId="0" fontId="18" fillId="14" borderId="7" applyAlignment="1" applyProtection="1" pivotButton="0" quotePrefix="0" xfId="0">
      <alignment horizontal="center" vertical="center" wrapText="1"/>
      <protection locked="0" hidden="0"/>
    </xf>
    <xf numFmtId="0" fontId="18" fillId="14" borderId="6" applyAlignment="1" applyProtection="1" pivotButton="0" quotePrefix="0" xfId="0">
      <alignment horizontal="center" vertical="center" wrapText="1"/>
      <protection locked="0" hidden="0"/>
    </xf>
    <xf numFmtId="0" fontId="18" fillId="14" borderId="8" applyAlignment="1" applyProtection="1" pivotButton="0" quotePrefix="0" xfId="0">
      <alignment horizontal="center" vertical="center" wrapText="1"/>
      <protection locked="0" hidden="0"/>
    </xf>
    <xf numFmtId="0" fontId="19" fillId="15" borderId="7" applyAlignment="1" applyProtection="1" pivotButton="0" quotePrefix="0" xfId="0">
      <alignment horizontal="center" vertical="center" wrapText="1"/>
      <protection locked="0" hidden="0"/>
    </xf>
    <xf numFmtId="0" fontId="19" fillId="15" borderId="6" applyAlignment="1" applyProtection="1" pivotButton="0" quotePrefix="0" xfId="0">
      <alignment horizontal="center" vertical="center" wrapText="1"/>
      <protection locked="0" hidden="0"/>
    </xf>
    <xf numFmtId="0" fontId="19" fillId="15" borderId="8" applyAlignment="1" applyProtection="1" pivotButton="0" quotePrefix="0" xfId="0">
      <alignment horizontal="center" vertical="center" wrapText="1"/>
      <protection locked="0" hidden="0"/>
    </xf>
    <xf numFmtId="0" fontId="20" fillId="16" borderId="7" applyAlignment="1" applyProtection="1" pivotButton="0" quotePrefix="0" xfId="0">
      <alignment horizontal="center" vertical="center" wrapText="1"/>
      <protection locked="0" hidden="0"/>
    </xf>
    <xf numFmtId="0" fontId="20" fillId="16" borderId="6" applyAlignment="1" applyProtection="1" pivotButton="0" quotePrefix="0" xfId="0">
      <alignment horizontal="center" vertical="center" wrapText="1"/>
      <protection locked="0" hidden="0"/>
    </xf>
    <xf numFmtId="0" fontId="20" fillId="16" borderId="8" applyAlignment="1" applyProtection="1" pivotButton="0" quotePrefix="0" xfId="0">
      <alignment horizontal="center" vertical="center" wrapText="1"/>
      <protection locked="0" hidden="0"/>
    </xf>
    <xf numFmtId="0" fontId="13" fillId="17" borderId="9" applyAlignment="1" applyProtection="1" pivotButton="0" quotePrefix="0" xfId="0">
      <alignment horizontal="left" vertical="center"/>
      <protection locked="0" hidden="0"/>
    </xf>
    <xf numFmtId="3" fontId="13" fillId="17" borderId="9" applyAlignment="1" applyProtection="1" pivotButton="0" quotePrefix="0" xfId="0">
      <alignment horizontal="center" vertical="center"/>
      <protection locked="0" hidden="0"/>
    </xf>
    <xf numFmtId="0" fontId="40" fillId="17" borderId="26" applyAlignment="1" pivotButton="0" quotePrefix="0" xfId="0">
      <alignment horizontal="center" vertical="center"/>
    </xf>
    <xf numFmtId="164" fontId="13" fillId="19" borderId="6" applyAlignment="1" applyProtection="1" pivotButton="0" quotePrefix="0" xfId="0">
      <alignment horizontal="center" vertical="center"/>
      <protection locked="0" hidden="0"/>
    </xf>
    <xf numFmtId="164" fontId="13" fillId="17" borderId="6" applyAlignment="1" applyProtection="1" pivotButton="0" quotePrefix="0" xfId="0">
      <alignment horizontal="center" vertical="center"/>
      <protection locked="0" hidden="0"/>
    </xf>
    <xf numFmtId="0" fontId="30" fillId="20" borderId="8" applyAlignment="1" applyProtection="1" pivotButton="0" quotePrefix="0" xfId="0">
      <alignment horizontal="center" vertical="center"/>
      <protection locked="0" hidden="0"/>
    </xf>
    <xf numFmtId="0" fontId="31" fillId="21" borderId="8" applyAlignment="1" applyProtection="1" pivotButton="0" quotePrefix="0" xfId="0">
      <alignment horizontal="center" vertical="center"/>
      <protection locked="0" hidden="0"/>
    </xf>
    <xf numFmtId="0" fontId="13" fillId="8" borderId="9" applyAlignment="1" applyProtection="1" pivotButton="0" quotePrefix="0" xfId="0">
      <alignment horizontal="left" vertical="center"/>
      <protection locked="0" hidden="0"/>
    </xf>
    <xf numFmtId="3" fontId="13" fillId="8" borderId="9" applyAlignment="1" applyProtection="1" pivotButton="0" quotePrefix="0" xfId="0">
      <alignment horizontal="center" vertical="center"/>
      <protection locked="0" hidden="0"/>
    </xf>
    <xf numFmtId="164" fontId="13" fillId="8" borderId="6" applyAlignment="1" applyProtection="1" pivotButton="0" quotePrefix="0" xfId="0">
      <alignment horizontal="center" vertical="center"/>
      <protection locked="0" hidden="0"/>
    </xf>
    <xf numFmtId="0" fontId="12" fillId="20" borderId="8" applyAlignment="1" applyProtection="1" pivotButton="0" quotePrefix="0" xfId="0">
      <alignment horizontal="center" vertical="center"/>
      <protection locked="0" hidden="0"/>
    </xf>
    <xf numFmtId="0" fontId="21" fillId="21" borderId="8" applyAlignment="1" applyProtection="1" pivotButton="0" quotePrefix="0" xfId="0">
      <alignment horizontal="center" vertical="center"/>
      <protection locked="0" hidden="0"/>
    </xf>
    <xf numFmtId="0" fontId="12" fillId="22" borderId="8" applyAlignment="1" applyProtection="1" pivotButton="0" quotePrefix="0" xfId="0">
      <alignment horizontal="center" vertical="center"/>
      <protection locked="0" hidden="0"/>
    </xf>
    <xf numFmtId="0" fontId="42" fillId="0" borderId="26" applyAlignment="1" pivotButton="0" quotePrefix="0" xfId="0">
      <alignment horizontal="left" vertical="center"/>
    </xf>
    <xf numFmtId="9" fontId="43" fillId="4" borderId="26" applyAlignment="1" pivotButton="0" quotePrefix="0" xfId="0">
      <alignment horizontal="center" vertical="center"/>
    </xf>
    <xf numFmtId="9" fontId="44" fillId="36" borderId="26" applyAlignment="1" pivotButton="0" quotePrefix="0" xfId="0">
      <alignment horizontal="center" vertical="center"/>
    </xf>
    <xf numFmtId="0" fontId="40" fillId="18" borderId="26" applyAlignment="1" pivotButton="0" quotePrefix="0" xfId="0">
      <alignment horizontal="left" vertical="center"/>
    </xf>
    <xf numFmtId="9" fontId="40" fillId="18" borderId="26" applyAlignment="1" pivotButton="0" quotePrefix="0" xfId="0">
      <alignment horizontal="center" vertical="center"/>
    </xf>
    <xf numFmtId="9" fontId="45" fillId="48" borderId="0" applyAlignment="1" pivotButton="0" quotePrefix="0" xfId="0">
      <alignment horizontal="center" vertical="center"/>
    </xf>
    <xf numFmtId="4" fontId="13" fillId="17" borderId="7" applyAlignment="1" applyProtection="1" pivotButton="0" quotePrefix="0" xfId="0">
      <alignment horizontal="center" vertical="center"/>
      <protection locked="0" hidden="0"/>
    </xf>
    <xf numFmtId="4" fontId="13" fillId="17" borderId="7" applyAlignment="1" applyProtection="1" pivotButton="0" quotePrefix="0" xfId="0">
      <alignment horizontal="right" vertical="center"/>
      <protection locked="0" hidden="0"/>
    </xf>
    <xf numFmtId="4" fontId="13" fillId="8" borderId="7" applyAlignment="1" applyProtection="1" pivotButton="0" quotePrefix="0" xfId="0">
      <alignment horizontal="center" vertical="center"/>
      <protection locked="0" hidden="0"/>
    </xf>
    <xf numFmtId="4" fontId="13" fillId="8" borderId="7" applyAlignment="1" applyProtection="1" pivotButton="0" quotePrefix="0" xfId="0">
      <alignment horizontal="right" vertical="center"/>
      <protection locked="0" hidden="0"/>
    </xf>
    <xf numFmtId="0" fontId="46" fillId="9" borderId="5" applyAlignment="1" applyProtection="1" pivotButton="0" quotePrefix="0" xfId="0">
      <alignment horizontal="center" vertical="center" wrapText="1"/>
      <protection locked="0" hidden="0"/>
    </xf>
    <xf numFmtId="3" fontId="47" fillId="17" borderId="9" applyAlignment="1" applyProtection="1" pivotButton="0" quotePrefix="0" xfId="0">
      <alignment horizontal="center" vertical="center"/>
      <protection locked="0" hidden="0"/>
    </xf>
    <xf numFmtId="3" fontId="47" fillId="8" borderId="9" applyAlignment="1" applyProtection="1" pivotButton="0" quotePrefix="0" xfId="0">
      <alignment horizontal="center" vertical="center"/>
      <protection locked="0" hidden="0"/>
    </xf>
    <xf numFmtId="0" fontId="48" fillId="0" borderId="0" applyAlignment="1" pivotButton="0" quotePrefix="0" xfId="0">
      <alignment horizontal="center"/>
    </xf>
    <xf numFmtId="0" fontId="49" fillId="35" borderId="6" applyAlignment="1" pivotButton="0" quotePrefix="0" xfId="0">
      <alignment horizontal="center" vertical="center" wrapText="1"/>
    </xf>
    <xf numFmtId="0" fontId="50" fillId="19" borderId="6" applyAlignment="1" pivotButton="0" quotePrefix="0" xfId="0">
      <alignment horizontal="center" vertical="center"/>
    </xf>
    <xf numFmtId="9" fontId="50" fillId="18" borderId="26" applyAlignment="1" pivotButton="0" quotePrefix="0" xfId="0">
      <alignment horizontal="center" vertical="center"/>
    </xf>
    <xf numFmtId="0" fontId="49" fillId="9" borderId="27" applyAlignment="1" pivotButton="0" quotePrefix="0" xfId="0">
      <alignment horizontal="center" vertical="center" wrapText="1"/>
    </xf>
    <xf numFmtId="0" fontId="50" fillId="19" borderId="27" applyAlignment="1" pivotButton="0" quotePrefix="0" xfId="0">
      <alignment horizontal="center" vertical="center"/>
    </xf>
    <xf numFmtId="165" fontId="50" fillId="18" borderId="27" applyAlignment="1" pivotButton="0" quotePrefix="0" xfId="0">
      <alignment horizontal="center" vertical="center"/>
    </xf>
    <xf numFmtId="0" fontId="5" fillId="9" borderId="22" applyAlignment="1" pivotButton="0" quotePrefix="0" xfId="0">
      <alignment horizontal="center" vertical="center" wrapText="1"/>
    </xf>
    <xf numFmtId="0" fontId="52" fillId="8" borderId="6" applyAlignment="1" pivotButton="0" quotePrefix="0" xfId="0">
      <alignment horizontal="center" vertical="center"/>
    </xf>
    <xf numFmtId="3" fontId="51" fillId="18" borderId="22" applyAlignment="1" pivotButton="0" quotePrefix="0" xfId="0">
      <alignment horizontal="center" vertical="center"/>
    </xf>
    <xf numFmtId="3" fontId="4" fillId="18" borderId="22" applyAlignment="1" pivotButton="0" quotePrefix="0" xfId="0">
      <alignment horizontal="center" vertical="center"/>
    </xf>
    <xf numFmtId="0" fontId="1" fillId="30" borderId="3" applyAlignment="1" pivotButton="0" quotePrefix="0" xfId="0">
      <alignment horizontal="left" vertical="center"/>
    </xf>
    <xf numFmtId="0" fontId="0" fillId="0" borderId="3" pivotButton="0" quotePrefix="0" xfId="0"/>
    <xf numFmtId="0" fontId="39" fillId="47" borderId="2" applyAlignment="1" pivotButton="0" quotePrefix="0" xfId="0">
      <alignment horizontal="left" vertical="center"/>
    </xf>
    <xf numFmtId="0" fontId="0" fillId="0" borderId="0" pivotButton="0" quotePrefix="0" xfId="0"/>
    <xf numFmtId="0" fontId="1" fillId="31" borderId="3" applyAlignment="1" pivotButton="0" quotePrefix="0" xfId="0">
      <alignment horizontal="left" vertical="center"/>
    </xf>
    <xf numFmtId="0" fontId="33" fillId="44" borderId="2" applyAlignment="1" pivotButton="0" quotePrefix="0" xfId="0">
      <alignment horizontal="left" vertical="center"/>
    </xf>
    <xf numFmtId="0" fontId="33" fillId="40" borderId="2" applyAlignment="1" pivotButton="0" quotePrefix="0" xfId="0">
      <alignment horizontal="left" vertical="center"/>
    </xf>
    <xf numFmtId="0" fontId="39" fillId="9" borderId="2" applyAlignment="1" pivotButton="0" quotePrefix="0" xfId="0">
      <alignment horizontal="left" vertical="center"/>
    </xf>
    <xf numFmtId="0" fontId="0" fillId="0" borderId="2" pivotButton="0" quotePrefix="0" xfId="0"/>
    <xf numFmtId="0" fontId="33" fillId="38" borderId="2" applyAlignment="1" pivotButton="0" quotePrefix="0" xfId="0">
      <alignment horizontal="left" vertical="center"/>
    </xf>
    <xf numFmtId="0" fontId="39" fillId="40" borderId="2" applyAlignment="1" pivotButton="0" quotePrefix="0" xfId="0">
      <alignment horizontal="left" vertical="center"/>
    </xf>
    <xf numFmtId="0" fontId="41" fillId="46" borderId="2" applyAlignment="1" pivotButton="0" quotePrefix="0" xfId="0">
      <alignment horizontal="left" vertical="center"/>
    </xf>
    <xf numFmtId="0" fontId="33" fillId="45" borderId="2" applyAlignment="1" pivotButton="0" quotePrefix="0" xfId="0">
      <alignment horizontal="left" vertical="center"/>
    </xf>
    <xf numFmtId="0" fontId="33" fillId="39" borderId="2" applyAlignment="1" pivotButton="0" quotePrefix="0" xfId="0">
      <alignment horizontal="left" vertical="center"/>
    </xf>
    <xf numFmtId="0" fontId="39" fillId="5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 wrapText="1"/>
    </xf>
    <xf numFmtId="0" fontId="33" fillId="5" borderId="2" applyAlignment="1" pivotButton="0" quotePrefix="0" xfId="0">
      <alignment horizontal="left" vertical="center"/>
    </xf>
    <xf numFmtId="0" fontId="39" fillId="38" borderId="2" applyAlignment="1" pivotButton="0" quotePrefix="0" xfId="0">
      <alignment horizontal="left" vertical="center"/>
    </xf>
    <xf numFmtId="0" fontId="39" fillId="39" borderId="2" applyAlignment="1" pivotButton="0" quotePrefix="0" xfId="0">
      <alignment horizontal="left" vertical="center"/>
    </xf>
    <xf numFmtId="0" fontId="13" fillId="8" borderId="26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12" fillId="9" borderId="10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18" fillId="14" borderId="11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  <xf numFmtId="0" fontId="13" fillId="17" borderId="26" applyAlignment="1" pivotButton="0" quotePrefix="0" xfId="0">
      <alignment horizontal="left" vertical="center" wrapText="1"/>
    </xf>
    <xf numFmtId="0" fontId="16" fillId="12" borderId="11" applyAlignment="1" pivotButton="0" quotePrefix="0" xfId="0">
      <alignment horizontal="left" vertical="center" wrapText="1"/>
    </xf>
    <xf numFmtId="0" fontId="17" fillId="13" borderId="11" applyAlignment="1" pivotButton="0" quotePrefix="0" xfId="0">
      <alignment horizontal="left" vertical="center" wrapText="1"/>
    </xf>
    <xf numFmtId="0" fontId="20" fillId="16" borderId="11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left" vertical="center"/>
    </xf>
    <xf numFmtId="0" fontId="19" fillId="15" borderId="11" applyAlignment="1" pivotButton="0" quotePrefix="0" xfId="0">
      <alignment horizontal="left" vertical="center" wrapText="1"/>
    </xf>
    <xf numFmtId="0" fontId="14" fillId="10" borderId="11" applyAlignment="1" pivotButton="0" quotePrefix="0" xfId="0">
      <alignment horizontal="left" vertical="center" wrapText="1"/>
    </xf>
    <xf numFmtId="0" fontId="23" fillId="19" borderId="26" applyAlignment="1" pivotButton="0" quotePrefix="0" xfId="0">
      <alignment horizontal="left" vertical="center"/>
    </xf>
    <xf numFmtId="0" fontId="15" fillId="11" borderId="11" applyAlignment="1" pivotButton="0" quotePrefix="0" xfId="0">
      <alignment horizontal="left" vertical="center" wrapText="1"/>
    </xf>
    <xf numFmtId="0" fontId="26" fillId="9" borderId="13" applyAlignment="1" pivotButton="0" quotePrefix="0" xfId="0">
      <alignment horizontal="left" vertical="center"/>
    </xf>
    <xf numFmtId="0" fontId="0" fillId="0" borderId="21" pivotButton="0" quotePrefix="0" xfId="0"/>
    <xf numFmtId="0" fontId="12" fillId="35" borderId="10" applyAlignment="1" pivotButton="0" quotePrefix="0" xfId="0">
      <alignment horizontal="center" vertical="center"/>
    </xf>
    <xf numFmtId="0" fontId="13" fillId="17" borderId="7" applyAlignment="1" pivotButton="0" quotePrefix="0" xfId="0">
      <alignment horizontal="left" vertical="center"/>
    </xf>
    <xf numFmtId="0" fontId="12" fillId="35" borderId="14" applyAlignment="1" pivotButton="0" quotePrefix="0" xfId="0">
      <alignment horizontal="left" vertical="center"/>
    </xf>
    <xf numFmtId="0" fontId="27" fillId="8" borderId="7" applyAlignment="1" pivotButton="0" quotePrefix="0" xfId="0">
      <alignment horizontal="left" vertical="center" wrapText="1"/>
    </xf>
    <xf numFmtId="0" fontId="13" fillId="17" borderId="26" applyAlignment="1" pivotButton="0" quotePrefix="0" xfId="0">
      <alignment horizontal="center" vertical="center"/>
    </xf>
    <xf numFmtId="0" fontId="13" fillId="8" borderId="26" applyAlignment="1" pivotButton="0" quotePrefix="0" xfId="0">
      <alignment horizontal="center" vertical="center"/>
    </xf>
    <xf numFmtId="0" fontId="13" fillId="8" borderId="10" applyAlignment="1" pivotButton="0" quotePrefix="0" xfId="0">
      <alignment horizontal="center" vertical="center"/>
    </xf>
    <xf numFmtId="0" fontId="23" fillId="19" borderId="26" applyAlignment="1" pivotButton="0" quotePrefix="0" xfId="0">
      <alignment horizontal="left" vertical="center" wrapText="1"/>
    </xf>
    <xf numFmtId="0" fontId="23" fillId="19" borderId="27" applyAlignment="1" pivotButton="0" quotePrefix="0" xfId="0">
      <alignment horizontal="left" vertical="center"/>
    </xf>
    <xf numFmtId="0" fontId="13" fillId="17" borderId="27" applyAlignment="1" pivotButton="0" quotePrefix="0" xfId="0">
      <alignment horizontal="left" vertical="center" wrapText="1"/>
    </xf>
    <xf numFmtId="0" fontId="13" fillId="8" borderId="27" applyAlignment="1" pivotButton="0" quotePrefix="0" xfId="0">
      <alignment horizontal="left" vertical="center" wrapText="1"/>
    </xf>
    <xf numFmtId="0" fontId="23" fillId="19" borderId="27" applyAlignment="1" pivotButton="0" quotePrefix="0" xfId="0">
      <alignment horizontal="left" vertical="center" wrapText="1"/>
    </xf>
    <xf numFmtId="0" fontId="13" fillId="8" borderId="27" applyAlignment="1" pivotButton="0" quotePrefix="0" xfId="0">
      <alignment horizontal="center" vertical="center"/>
    </xf>
    <xf numFmtId="0" fontId="13" fillId="17" borderId="27" applyAlignment="1" pivotButton="0" quotePrefix="0" xfId="0">
      <alignment horizontal="center" vertical="center"/>
    </xf>
  </cellXfs>
  <cellStyles count="1">
    <cellStyle name="Обычный" xfId="0" builtinId="0"/>
  </cellStyles>
  <dxfs count="46">
    <dxf>
      <font>
        <name val="Arial"/>
        <b val="1"/>
        <color rgb="FFFFFFFF"/>
        <sz val="9"/>
      </font>
      <fill>
        <patternFill>
          <bgColor rgb="FFD64141"/>
        </patternFill>
      </fill>
    </dxf>
    <dxf>
      <font>
        <name val="Arial"/>
        <b val="1"/>
        <color rgb="FF3A1F00"/>
        <sz val="9"/>
      </font>
      <fill>
        <patternFill>
          <bgColor rgb="FFE6A817"/>
        </patternFill>
      </fill>
    </dxf>
    <dxf>
      <font>
        <name val="Arial"/>
        <b val="1"/>
        <color rgb="FFFFFFFF"/>
        <sz val="9"/>
      </font>
      <fill>
        <patternFill>
          <bgColor rgb="FF4CAF79"/>
        </patternFill>
      </fill>
    </dxf>
    <dxf>
      <font>
        <name val="Arial"/>
        <b val="1"/>
        <color rgb="FFFFFFFF"/>
        <sz val="9"/>
      </font>
      <fill>
        <patternFill>
          <bgColor rgb="FFD64141"/>
        </patternFill>
      </fill>
    </dxf>
    <dxf>
      <font>
        <name val="Arial"/>
        <b val="1"/>
        <color rgb="FF3A1F00"/>
        <sz val="9"/>
      </font>
      <fill>
        <patternFill>
          <bgColor rgb="FFE6A817"/>
        </patternFill>
      </fill>
    </dxf>
    <dxf>
      <font>
        <name val="Arial"/>
        <b val="1"/>
        <color rgb="FFFFFFFF"/>
        <sz val="9"/>
      </font>
      <fill>
        <patternFill>
          <bgColor rgb="FF4CAF79"/>
        </patternFill>
      </fill>
    </dxf>
    <dxf>
      <font>
        <name val="Arial"/>
        <b val="1"/>
        <color rgb="FF3A1F00"/>
        <sz val="9"/>
      </font>
      <fill>
        <patternFill>
          <bgColor rgb="FFE6A817"/>
        </patternFill>
      </fill>
    </dxf>
    <dxf>
      <font>
        <name val="Arial"/>
        <b val="1"/>
        <color rgb="FFFFFFFF"/>
        <sz val="9"/>
      </font>
      <fill>
        <patternFill>
          <bgColor rgb="FFD64141"/>
        </patternFill>
      </fill>
    </dxf>
    <dxf>
      <font>
        <name val="Arial"/>
        <b val="1"/>
        <color rgb="FFFFFFFF"/>
        <sz val="9"/>
      </font>
      <fill>
        <patternFill>
          <bgColor rgb="FF4CAF79"/>
        </patternFill>
      </fill>
    </dxf>
    <dxf>
      <font>
        <name val="Arial"/>
        <b val="1"/>
        <color rgb="FFFFFFFF"/>
        <sz val="9"/>
      </font>
      <fill>
        <patternFill>
          <bgColor rgb="FFD64141"/>
        </patternFill>
      </fill>
    </dxf>
    <dxf>
      <font>
        <name val="Arial"/>
        <b val="1"/>
        <color rgb="FF3A1F00"/>
        <sz val="9"/>
      </font>
      <fill>
        <patternFill>
          <bgColor rgb="FFE6A817"/>
        </patternFill>
      </fill>
    </dxf>
    <dxf>
      <font>
        <name val="Arial"/>
        <b val="1"/>
        <color rgb="FFFFFFFF"/>
        <sz val="9"/>
      </font>
      <fill>
        <patternFill>
          <bgColor rgb="FF4CAF79"/>
        </patternFill>
      </fill>
    </dxf>
    <dxf>
      <font>
        <name val="Arial"/>
        <b val="1"/>
        <color rgb="FFFFFFFF"/>
        <sz val="9"/>
      </font>
      <fill>
        <patternFill>
          <bgColor rgb="FFD64141"/>
        </patternFill>
      </fill>
    </dxf>
    <dxf>
      <font>
        <name val="Arial"/>
        <b val="1"/>
        <color rgb="FF3A1F00"/>
        <sz val="9"/>
      </font>
      <fill>
        <patternFill>
          <bgColor rgb="FFE6A817"/>
        </patternFill>
      </fill>
    </dxf>
    <dxf>
      <font>
        <name val="Arial"/>
        <b val="1"/>
        <color rgb="FFFFFFFF"/>
        <sz val="9"/>
      </font>
      <fill>
        <patternFill>
          <bgColor rgb="FF4CAF79"/>
        </patternFill>
      </fill>
    </dxf>
    <dxf>
      <font>
        <name val="Arial"/>
        <b val="1"/>
        <color rgb="FFFFFFFF"/>
        <sz val="9"/>
      </font>
      <fill>
        <patternFill>
          <bgColor rgb="FF4CAF79"/>
        </patternFill>
      </fill>
    </dxf>
    <dxf>
      <font>
        <name val="Arial"/>
        <b val="1"/>
        <color rgb="FF3A1F00"/>
        <sz val="9"/>
      </font>
      <fill>
        <patternFill>
          <bgColor rgb="FFE6A817"/>
        </patternFill>
      </fill>
    </dxf>
    <dxf>
      <font>
        <name val="Arial"/>
        <b val="1"/>
        <color rgb="FFFFFFFF"/>
        <sz val="9"/>
      </font>
      <fill>
        <patternFill>
          <bgColor rgb="FFD64141"/>
        </patternFill>
      </fill>
    </dxf>
    <dxf>
      <font>
        <name val="Arial"/>
        <b val="1"/>
        <color rgb="FF3A1F00"/>
        <sz val="9"/>
      </font>
      <fill>
        <patternFill>
          <bgColor rgb="FFE6A817"/>
        </patternFill>
      </fill>
    </dxf>
    <dxf>
      <font>
        <name val="Arial"/>
        <b val="1"/>
        <color rgb="FFFFFFFF"/>
        <sz val="9"/>
      </font>
      <fill>
        <patternFill>
          <bgColor rgb="FFD64141"/>
        </patternFill>
      </fill>
    </dxf>
    <dxf>
      <font>
        <name val="Arial"/>
        <b val="1"/>
        <color rgb="FFFFFFFF"/>
        <sz val="9"/>
      </font>
      <fill>
        <patternFill>
          <bgColor rgb="FF4CAF79"/>
        </patternFill>
      </fill>
    </dxf>
    <dxf>
      <font>
        <name val="Arial"/>
        <b val="1"/>
        <color rgb="FFFFFFFF"/>
        <sz val="9"/>
      </font>
      <fill>
        <patternFill>
          <bgColor rgb="FF5AABD0"/>
        </patternFill>
      </fill>
    </dxf>
    <dxf>
      <font>
        <name val="Arial"/>
        <b val="1"/>
        <color rgb="FFFFFFFF"/>
        <sz val="9"/>
      </font>
      <fill>
        <patternFill>
          <bgColor rgb="FF27AE60"/>
        </patternFill>
      </fill>
    </dxf>
    <dxf>
      <font>
        <name val="Arial"/>
        <b val="1"/>
        <color rgb="FFFFFFFF"/>
        <sz val="9"/>
      </font>
      <fill>
        <patternFill>
          <bgColor rgb="FF8E44AD"/>
        </patternFill>
      </fill>
    </dxf>
    <dxf>
      <font>
        <name val="Arial"/>
        <b val="1"/>
        <color rgb="FFFFFFFF"/>
        <sz val="9"/>
      </font>
      <fill>
        <patternFill>
          <bgColor rgb="FFF39C12"/>
        </patternFill>
      </fill>
    </dxf>
    <dxf>
      <font>
        <name val="Arial"/>
        <b val="1"/>
        <color rgb="FFFFFFFF"/>
        <sz val="9"/>
      </font>
      <fill>
        <patternFill>
          <bgColor rgb="FFE74C3C"/>
        </patternFill>
      </fill>
    </dxf>
    <dxf>
      <font>
        <b val="1"/>
        <color rgb="FF4A0A6A"/>
      </font>
      <fill>
        <patternFill>
          <bgColor rgb="FFEAE0F0"/>
        </patternFill>
      </fill>
    </dxf>
    <dxf>
      <font>
        <b val="1"/>
        <color rgb="FF6E1E4A"/>
      </font>
      <fill>
        <patternFill>
          <bgColor rgb="FFFDE8F0"/>
        </patternFill>
      </fill>
    </dxf>
    <dxf>
      <font>
        <b val="1"/>
        <color rgb="FF922B21"/>
      </font>
      <fill>
        <patternFill>
          <bgColor rgb="FFFBEAEA"/>
        </patternFill>
      </fill>
    </dxf>
    <dxf>
      <font>
        <b val="1"/>
        <color rgb="FF7A4E0D"/>
      </font>
      <fill>
        <patternFill>
          <bgColor rgb="FFFDF5E1"/>
        </patternFill>
      </fill>
    </dxf>
    <dxf>
      <font>
        <b val="1"/>
        <color rgb="FF276227"/>
      </font>
      <fill>
        <patternFill>
          <bgColor rgb="FFEBF5EB"/>
        </patternFill>
      </fill>
    </dxf>
    <dxf>
      <font>
        <b val="1"/>
        <color rgb="FF145A32"/>
      </font>
      <fill>
        <patternFill>
          <bgColor rgb="FFD4EDDA"/>
        </patternFill>
      </fill>
    </dxf>
    <dxf>
      <font>
        <b val="1"/>
        <color rgb="FF7D3C00"/>
      </font>
      <fill>
        <patternFill>
          <bgColor rgb="FFFDE8CC"/>
        </patternFill>
      </fill>
    </dxf>
    <dxf>
      <font>
        <color rgb="FF7D3C00"/>
      </font>
      <fill>
        <patternFill>
          <bgColor rgb="FFFDE8CC"/>
        </patternFill>
      </fill>
    </dxf>
    <dxf>
      <font>
        <name val="Arial"/>
        <b val="1"/>
        <color rgb="FF7D6608"/>
        <sz val="9"/>
      </font>
      <fill>
        <patternFill>
          <bgColor rgb="FFFAF0CA"/>
        </patternFill>
      </fill>
    </dxf>
    <dxf>
      <font>
        <name val="Arial"/>
        <b val="1"/>
        <color rgb="FF4A235A"/>
        <sz val="9"/>
      </font>
      <fill>
        <patternFill>
          <bgColor rgb="FFE8DEFA"/>
        </patternFill>
      </fill>
    </dxf>
    <dxf>
      <font>
        <name val="Arial"/>
        <b val="1"/>
        <color rgb="FF145A32"/>
        <sz val="9"/>
      </font>
      <fill>
        <patternFill>
          <bgColor rgb="FFD4EDDA"/>
        </patternFill>
      </fill>
    </dxf>
    <dxf>
      <font>
        <name val="Arial"/>
        <b val="1"/>
        <color rgb="FF1A5276"/>
        <sz val="9"/>
      </font>
      <fill>
        <patternFill>
          <bgColor rgb="FFD4E6F5"/>
        </patternFill>
      </fill>
    </dxf>
    <dxf>
      <font>
        <name val="Arial"/>
        <b val="1"/>
        <color rgb="FF78281F"/>
        <sz val="9"/>
      </font>
      <fill>
        <patternFill>
          <bgColor rgb="FFFADBD8"/>
        </patternFill>
      </fill>
    </dxf>
    <dxf>
      <font>
        <name val="Arial"/>
        <b val="1"/>
        <color rgb="FF7D6608"/>
        <sz val="9"/>
      </font>
      <fill>
        <patternFill>
          <bgColor rgb="FFFAF0CA"/>
        </patternFill>
      </fill>
    </dxf>
    <dxf>
      <font>
        <name val="Arial"/>
        <b val="1"/>
        <color rgb="FF4A235A"/>
        <sz val="9"/>
      </font>
      <fill>
        <patternFill>
          <bgColor rgb="FFE8DEFA"/>
        </patternFill>
      </fill>
    </dxf>
    <dxf>
      <font>
        <name val="Arial"/>
        <b val="1"/>
        <color rgb="FF145A32"/>
        <sz val="9"/>
      </font>
      <fill>
        <patternFill>
          <bgColor rgb="FFD4EDDA"/>
        </patternFill>
      </fill>
    </dxf>
    <dxf>
      <font>
        <name val="Arial"/>
        <b val="1"/>
        <color rgb="FFFFFFFF"/>
        <sz val="9"/>
      </font>
      <fill>
        <patternFill>
          <bgColor rgb="FF5AABD0"/>
        </patternFill>
      </fill>
    </dxf>
    <dxf>
      <font>
        <name val="Arial"/>
        <b val="1"/>
        <color rgb="FF3A1F00"/>
        <sz val="9"/>
      </font>
      <fill>
        <patternFill>
          <bgColor rgb="FFE6A817"/>
        </patternFill>
      </fill>
    </dxf>
    <dxf>
      <font>
        <name val="Arial"/>
        <b val="1"/>
        <color rgb="FFFFFFFF"/>
        <sz val="9"/>
      </font>
      <fill>
        <patternFill>
          <bgColor rgb="FF4CAF79"/>
        </patternFill>
      </fill>
    </dxf>
    <dxf>
      <font>
        <name val="Arial"/>
        <b val="1"/>
        <color rgb="FFFFFFFF"/>
        <sz val="9"/>
      </font>
      <fill>
        <patternFill>
          <bgColor rgb="FFD6414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15"/>
  <sheetViews>
    <sheetView tabSelected="1" workbookViewId="0">
      <pane xSplit="8" ySplit="1" topLeftCell="I100" activePane="bottomRight" state="frozen"/>
      <selection pane="topRight" activeCell="I1" sqref="I1"/>
      <selection pane="bottomLeft" activeCell="A2" sqref="A2"/>
      <selection pane="bottomRight" activeCell="P124" sqref="P124"/>
    </sheetView>
  </sheetViews>
  <sheetFormatPr baseColWidth="10" defaultColWidth="8.83203125" defaultRowHeight="15"/>
  <cols>
    <col width="9" customWidth="1" style="179" min="1" max="1"/>
    <col width="13" bestFit="1" customWidth="1" style="179" min="2" max="2"/>
    <col width="18" customWidth="1" style="179" min="3" max="3"/>
    <col hidden="1" width="14" customWidth="1" style="179" min="4" max="4"/>
    <col hidden="1" width="8" customWidth="1" style="179" min="5" max="5"/>
    <col hidden="1" width="12" customWidth="1" style="1" min="6" max="6"/>
    <col hidden="1" width="13" customWidth="1" style="1" min="7" max="7"/>
    <col hidden="1" width="12" customWidth="1" style="1" min="8" max="8"/>
    <col width="13" customWidth="1" style="1" min="9" max="9"/>
    <col width="10" customWidth="1" style="179" min="10" max="10"/>
    <col width="15.5" bestFit="1" customWidth="1" style="1" min="11" max="11"/>
    <col width="12.6640625" bestFit="1" customWidth="1" style="179" min="12" max="12"/>
    <col width="12.6640625" bestFit="1" customWidth="1" style="1" min="13" max="13"/>
    <col width="15.5" bestFit="1" customWidth="1" style="1" min="14" max="14"/>
    <col width="15.5" bestFit="1" customWidth="1" style="179" min="15" max="16"/>
    <col width="12.6640625" bestFit="1" customWidth="1" style="179" min="17" max="17"/>
    <col width="16" customWidth="1" style="179" min="18" max="18"/>
    <col width="22" customWidth="1" style="179" min="19" max="19"/>
    <col width="11.5" bestFit="1" customWidth="1" style="179" min="21" max="21"/>
    <col hidden="1" width="13" customWidth="1" style="179" min="26" max="46"/>
    <col width="13" customWidth="1" style="179" min="47" max="47"/>
  </cols>
  <sheetData>
    <row r="1" ht="39" customHeight="1" s="179">
      <c r="A1" s="27" t="inlineStr">
        <is>
          <t>Статус</t>
        </is>
      </c>
      <c r="B1" s="27" t="inlineStr">
        <is>
          <t>Код
товару</t>
        </is>
      </c>
      <c r="C1" s="27" t="inlineStr">
        <is>
          <t>Назва товару</t>
        </is>
      </c>
      <c r="D1" s="27" t="inlineStr">
        <is>
          <t>Категорія</t>
        </is>
      </c>
      <c r="E1" s="27" t="inlineStr">
        <is>
          <t>Од.
(ориг)</t>
        </is>
      </c>
      <c r="F1" s="27" t="inlineStr">
        <is>
          <t>Інвойсна
ціна (USD)</t>
        </is>
      </c>
      <c r="G1" s="27" t="inlineStr">
        <is>
          <t>Код
митниці</t>
        </is>
      </c>
      <c r="H1" s="27" t="inlineStr">
        <is>
          <t>Імпортний
коеф.</t>
        </is>
      </c>
      <c r="I1" s="27" t="inlineStr">
        <is>
          <t>Собівар-
тість (грн)</t>
        </is>
      </c>
      <c r="J1" s="27" t="inlineStr">
        <is>
          <t>Маржа кл.
D1 %</t>
        </is>
      </c>
      <c r="K1" s="105" t="inlineStr">
        <is>
          <t>Маржа факт.
чиста D1</t>
        </is>
      </c>
      <c r="L1" s="106" t="inlineStr">
        <is>
          <t>Маржа факт.
чиста D2</t>
        </is>
      </c>
      <c r="M1" s="107" t="inlineStr">
        <is>
          <t>Маржа факт.
чиста D3</t>
        </is>
      </c>
      <c r="N1" s="108" t="inlineStr">
        <is>
          <t>Маржа факт.
чиста D4 Buy</t>
        </is>
      </c>
      <c r="O1" s="109" t="inlineStr">
        <is>
          <t>Маржа факт.
чиста D4 Drop</t>
        </is>
      </c>
      <c r="P1" s="110" t="inlineStr">
        <is>
          <t>Маржа факт.
чиста D5</t>
        </is>
      </c>
      <c r="Q1" s="111" t="inlineStr">
        <is>
          <t>Маржа факт.
чиста D6</t>
        </is>
      </c>
      <c r="R1" s="172" t="inlineStr">
        <is>
          <t>RRP розрах.
(грн, D1)</t>
        </is>
      </c>
      <c r="S1" s="86" t="inlineStr">
        <is>
          <t>RRP базова
(корегування)</t>
        </is>
      </c>
      <c r="T1" s="85" t="inlineStr">
        <is>
          <t>RRP
ефективна</t>
        </is>
      </c>
      <c r="U1" s="85" t="inlineStr">
        <is>
          <t>Роль SKU</t>
        </is>
      </c>
      <c r="V1" s="85" t="inlineStr">
        <is>
          <t>Ринок мін.
(грн)</t>
        </is>
      </c>
      <c r="W1" s="85" t="inlineStr">
        <is>
          <t>Ринок макс.
(грн)</t>
        </is>
      </c>
      <c r="X1" s="85" t="inlineStr">
        <is>
          <t>Відповідність
ринку</t>
        </is>
      </c>
      <c r="Y1" s="85" t="inlineStr">
        <is>
          <t>Примітки</t>
        </is>
      </c>
      <c r="AU1" s="169" t="inlineStr">
        <is>
          <t>Дата
оновлення</t>
        </is>
      </c>
      <c r="AV1" t="inlineStr">
        <is>
          <t>Наценка
D4 НІ</t>
        </is>
      </c>
    </row>
    <row r="2">
      <c r="A2" s="28" t="n"/>
      <c r="B2" s="29" t="inlineStr">
        <is>
          <t>B7821</t>
        </is>
      </c>
      <c r="C2" s="29" t="inlineStr">
        <is>
          <t>RAVER BAT. LITHIUM 1.5V,AA</t>
        </is>
      </c>
      <c r="D2" s="29" t="inlineStr">
        <is>
          <t>Батарейки</t>
        </is>
      </c>
      <c r="E2" s="28" t="n">
        <v>2</v>
      </c>
      <c r="F2" s="93" t="n">
        <v>1.589</v>
      </c>
      <c r="G2" s="30" t="n">
        <v>8506501000</v>
      </c>
      <c r="H2" s="31" t="n">
        <v>1.35</v>
      </c>
      <c r="I2" s="84">
        <f>IFERROR(F2*Settings!$B$2*H2*IF(AND(ISNUMBER(E2),E2&gt;1),E2,1),"")</f>
        <v/>
      </c>
      <c r="J2" s="32">
        <f>Settings!$B$66</f>
        <v/>
      </c>
      <c r="K2" s="95">
        <f>IFERROR(IF(T2="","",(T2*(1-AN2)*(1-Settings!$B$17)-I2)/(T2*(1-AN2)*(1-Settings!$B$17))),"")</f>
        <v/>
      </c>
      <c r="L2" s="101">
        <f>IFERROR(IF(T2="","",(T2*(1-AO2)*(1-Settings!$C$17)-I2)/(T2*(1-AO2)*(1-Settings!$C$17))),"")</f>
        <v/>
      </c>
      <c r="M2" s="101">
        <f>IFERROR(IF(T2="","",(T2*(1-AP2)*(1-Settings!$D$17)-I2)/(T2*(1-AP2)*(1-Settings!$D$17))),"")</f>
        <v/>
      </c>
      <c r="N2" s="101">
        <f>IFERROR(IF(T2="","",(T2*(1-AQ2)*(1-Settings!$F$17)-I2)/(T2*(1-AQ2)*(1-Settings!$F$17))),"")</f>
        <v/>
      </c>
      <c r="O2" s="101">
        <f>IFERROR(IF(T2="","",(T2*(1-AR2)*(1-Settings!$G$17)-I2)/(T2*(1-AR2)*(1-Settings!$G$17))),"")</f>
        <v/>
      </c>
      <c r="P2" s="101">
        <f>IFERROR(IF(T2="","",(T2*(1-AS2)*(1-Settings!$H$17)-I2)/(T2*(1-AS2)*(1-Settings!$H$17))),"")</f>
        <v/>
      </c>
      <c r="Q2" s="101">
        <f>IFERROR(IF(T2="","",(T2*(1-AT2)*(1-Settings!$I$68)*(1-Settings!$I$17)-I2)/(T2*(1-AT2)*(1-Settings!$I$68)*(1-Settings!$I$17))),"")</f>
        <v/>
      </c>
      <c r="R2" s="91">
        <f>IFERROR(IF(OR(I2="",Z2&gt;=1,Settings!$B$17&gt;=1,AN2&gt;=1),"",IF(MOD(ROUND(I2/(1-Z2)/(1-Settings!$B$17)/(1-AN2),0),10)=0,ROUND(I2/(1-Z2)/(1-Settings!$B$17)/(1-AN2),0)-1,IF(MOD(ROUND(I2/(1-Z2)/(1-Settings!$B$17)/(1-AN2),0),10)&lt;=5,FLOOR(ROUND(I2/(1-Z2)/(1-Settings!$B$17)/(1-AN2),0),10)+6,FLOOR(ROUND(I2/(1-Z2)/(1-Settings!$B$17)/(1-AN2),0),10)+9))),"")</f>
        <v/>
      </c>
      <c r="S2" s="92" t="n">
        <v>360</v>
      </c>
      <c r="T2" s="91">
        <f>IF(S2&lt;&gt;"", IF(MOD(S2,10)=0,S2-1,IF(MOD(S2,10)&lt;=5,FLOOR(S2,10)+6,FLOOR(S2,10)+9)), R2)</f>
        <v/>
      </c>
      <c r="U2" s="87" t="inlineStr">
        <is>
          <t>Маржинальний</t>
        </is>
      </c>
      <c r="V2" s="88" t="n"/>
      <c r="W2" s="88" t="n"/>
      <c r="X2" s="89">
        <f>IFERROR(IF(OR(V2="",W2="",T2=""),"", IF(T2&gt;W2,"Дорогий",IF(T2&lt;V2,"Дешевий","У ринку"))),"")</f>
        <v/>
      </c>
      <c r="Y2" s="90" t="n"/>
      <c r="Z2" s="104">
        <f>CHOOSE(MATCH(IF($U2="","Основний",$U2),{"Трафіковий","Основний","Маржинальний","Сезонний","Стратегічний"},0),0.16,0.19,0.24,0.23,0.28)</f>
        <v/>
      </c>
      <c r="AA2" s="104">
        <f>CHOOSE(MATCH(IF($U2="","Основний",$U2),{"Трафіковий","Основний","Маржинальний","Сезонний","Стратегічний"},0),0.18,0.21,0.26,0.25,0.3)</f>
        <v/>
      </c>
      <c r="AB2" s="104">
        <f>CHOOSE(MATCH(IF($U2="","Основний",$U2),{"Трафіковий","Основний","Маржинальний","Сезонний","Стратегічний"},0),0.19,0.22,0.28,0.26,0.32)</f>
        <v/>
      </c>
      <c r="AC2" s="104">
        <f>CHOOSE(MATCH(IF($U2="","Основний",$U2),{"Трафіковий","Основний","Маржинальний","Сезонний","Стратегічний"},0),0.17,0.2,0.25,0.24,0.28)</f>
        <v/>
      </c>
      <c r="AD2" s="104">
        <f>CHOOSE(MATCH(IF($U2="","Основний",$U2),{"Трафіковий","Основний","Маржинальний","Сезонний","Стратегічний"},0),0.18,0.21,0.26,0.25,0.3)</f>
        <v/>
      </c>
      <c r="AE2" s="104">
        <f>CHOOSE(MATCH(IF($U2="","Основний",$U2),{"Трафіковий","Основний","Маржинальний","Сезонний","Стратегічний"},0),0.18,0.2,0.28,0.27,0.32)</f>
        <v/>
      </c>
      <c r="AF2" s="104">
        <f>CHOOSE(MATCH(IF($U2="","Основний",$U2),{"Трафіковий","Основний","Маржинальний","Сезонний","Стратегічний"},0),0.15,0.175,0.22,0.21,0.25)</f>
        <v/>
      </c>
      <c r="AG2" s="104">
        <f>CHOOSE(MATCH(IF($U2="","Основний",$U2),{"Трафіковий","Основний","Маржинальний","Сезонний","Стратегічний"},0),0.13,0.16,0.21,0.2,0.25)</f>
        <v/>
      </c>
      <c r="AH2" s="104">
        <f>CHOOSE(MATCH(IF($U2="","Основний",$U2),{"Трафіковий","Основний","Маржинальний","Сезонний","Стратегічний"},0),0.15,0.18,0.23,0.22,0.27)</f>
        <v/>
      </c>
      <c r="AI2" s="104">
        <f>CHOOSE(MATCH(IF($U2="","Основний",$U2),{"Трафіковий","Основний","Маржинальний","Сезонний","Стратегічний"},0),0.16,0.19,0.25,0.23,0.29)</f>
        <v/>
      </c>
      <c r="AJ2" s="104">
        <f>CHOOSE(MATCH(IF($U2="","Основний",$U2),{"Трафіковий","Основний","Маржинальний","Сезонний","Стратегічний"},0),0.14,0.17,0.22,0.21,0.25)</f>
        <v/>
      </c>
      <c r="AK2" s="104">
        <f>CHOOSE(MATCH(IF($U2="","Основний",$U2),{"Трафіковий","Основний","Маржинальний","Сезонний","Стратегічний"},0),0.15,0.18,0.23,0.22,0.27)</f>
        <v/>
      </c>
      <c r="AL2" s="104">
        <f>CHOOSE(MATCH(IF($U2="","Основний",$U2),{"Трафіковий","Основний","Маржинальний","Сезонний","Стратегічний"},0),0.15,0.17,0.25,0.24,0.29)</f>
        <v/>
      </c>
      <c r="AM2" s="104">
        <f>CHOOSE(MATCH(IF($U2="","Основний",$U2),{"Трафіковий","Основний","Маржинальний","Сезонний","Стратегічний"},0),0.12,0.145,0.19,0.18,0.22)</f>
        <v/>
      </c>
      <c r="AN2" s="157">
        <f>CHOOSE(MATCH(IF($U2="","Основний",$U2),{"Трафіковий","Основний","Маржинальний","Сезонний","Стратегічний"},0),Settings!$B$78,Settings!$B$80,Settings!$B$82,Settings!$B$84,Settings!$B$86)</f>
        <v/>
      </c>
      <c r="AO2" s="157">
        <f>CHOOSE(MATCH(IF($U2="","Основний",$U2),{"Трафіковий","Основний","Маржинальний","Сезонний","Стратегічний"},0),Settings!$C$78,Settings!$C$80,Settings!$C$82,Settings!$C$84,Settings!$C$86)</f>
        <v/>
      </c>
      <c r="AP2" s="157">
        <f>CHOOSE(MATCH(IF($U2="","Основний",$U2),{"Трафіковий","Основний","Маржинальний","Сезонний","Стратегічний"},0),Settings!$D$78,Settings!$D$80,Settings!$D$82,Settings!$D$84,Settings!$D$86)</f>
        <v/>
      </c>
      <c r="AQ2" s="157">
        <f>CHOOSE(MATCH(IF($U2="","Основний",$U2),{"Трафіковий","Основний","Маржинальний","Сезонний","Стратегічний"},0),Settings!$F$78,Settings!$F$80,Settings!$F$82,Settings!$F$84,Settings!$F$86)</f>
        <v/>
      </c>
      <c r="AR2" s="157">
        <f>CHOOSE(MATCH(IF($U2="","Основний",$U2),{"Трафіковий","Основний","Маржинальний","Сезонний","Стратегічний"},0),Settings!$G$78,Settings!$G$80,Settings!$G$82,Settings!$G$84,Settings!$G$86)</f>
        <v/>
      </c>
      <c r="AS2" s="157">
        <f>CHOOSE(MATCH(IF($U2="","Основний",$U2),{"Трафіковий","Основний","Маржинальний","Сезонний","Стратегічний"},0),Settings!$H$78,Settings!$H$80,Settings!$H$82,Settings!$H$84,Settings!$H$86)</f>
        <v/>
      </c>
      <c r="AT2" s="157">
        <f>CHOOSE(MATCH(IF($U2="","Основний",$U2),{"Трафіковий","Основний","Маржинальний","Сезонний","Стратегічний"},0),Settings!$I$78,Settings!$I$80,Settings!$I$82,Settings!$I$84,Settings!$I$86)</f>
        <v/>
      </c>
      <c r="AU2" s="171" t="n"/>
      <c r="AV2" t="n">
        <v>1.4</v>
      </c>
    </row>
    <row r="3">
      <c r="A3" s="33" t="n"/>
      <c r="B3" s="34" t="inlineStr">
        <is>
          <t>B7811</t>
        </is>
      </c>
      <c r="C3" s="34" t="inlineStr">
        <is>
          <t>RAVER BAT. LITHIUM 1.5V,AAA</t>
        </is>
      </c>
      <c r="D3" s="34" t="inlineStr">
        <is>
          <t>Батарейки</t>
        </is>
      </c>
      <c r="E3" s="33" t="n">
        <v>2</v>
      </c>
      <c r="F3" s="94" t="n">
        <v>1.241</v>
      </c>
      <c r="G3" s="35" t="n">
        <v>8506501000</v>
      </c>
      <c r="H3" s="31" t="n">
        <v>1.35</v>
      </c>
      <c r="I3" s="84">
        <f>IFERROR(F3*Settings!$B$2*H3*IF(AND(ISNUMBER(E3),E3&gt;1),E3,1),"")</f>
        <v/>
      </c>
      <c r="J3" s="32">
        <f>Settings!$B$66</f>
        <v/>
      </c>
      <c r="K3" s="95">
        <f>IFERROR(IF(T3="","",(T3*(1-AN3)*(1-Settings!$B$17)-I3)/(T3*(1-AN3)*(1-Settings!$B$17))),"")</f>
        <v/>
      </c>
      <c r="L3" s="101">
        <f>IFERROR(IF(T3="","",(T3*(1-AO3)*(1-Settings!$C$17)-I3)/(T3*(1-AO3)*(1-Settings!$C$17))),"")</f>
        <v/>
      </c>
      <c r="M3" s="101">
        <f>IFERROR(IF(T3="","",(T3*(1-AP3)*(1-Settings!$D$17)-I3)/(T3*(1-AP3)*(1-Settings!$D$17))),"")</f>
        <v/>
      </c>
      <c r="N3" s="101">
        <f>IFERROR(IF(T3="","",(T3*(1-AQ3)*(1-Settings!$F$17)-I3)/(T3*(1-AQ3)*(1-Settings!$F$17))),"")</f>
        <v/>
      </c>
      <c r="O3" s="101">
        <f>IFERROR(IF(T3="","",(T3*(1-AR3)*(1-Settings!$G$17)-I3)/(T3*(1-AR3)*(1-Settings!$G$17))),"")</f>
        <v/>
      </c>
      <c r="P3" s="101">
        <f>IFERROR(IF(T3="","",(T3*(1-AS3)*(1-Settings!$H$17)-I3)/(T3*(1-AS3)*(1-Settings!$H$17))),"")</f>
        <v/>
      </c>
      <c r="Q3" s="101">
        <f>IFERROR(IF(T3="","",(T3*(1-AT3)*(1-Settings!$I$68)*(1-Settings!$I$17)-I3)/(T3*(1-AT3)*(1-Settings!$I$68)*(1-Settings!$I$17))),"")</f>
        <v/>
      </c>
      <c r="R3" s="91">
        <f>IFERROR(IF(OR(I3="",Z3&gt;=1,Settings!$B$17&gt;=1,AN3&gt;=1),"",IF(MOD(ROUND(I3/(1-Z3)/(1-Settings!$B$17)/(1-AN3),0),10)=0,ROUND(I3/(1-Z3)/(1-Settings!$B$17)/(1-AN3),0)-1,IF(MOD(ROUND(I3/(1-Z3)/(1-Settings!$B$17)/(1-AN3),0),10)&lt;=5,FLOOR(ROUND(I3/(1-Z3)/(1-Settings!$B$17)/(1-AN3),0),10)+6,FLOOR(ROUND(I3/(1-Z3)/(1-Settings!$B$17)/(1-AN3),0),10)+9))),"")</f>
        <v/>
      </c>
      <c r="S3" s="92" t="n">
        <v>289</v>
      </c>
      <c r="T3" s="91">
        <f>IF(S3&lt;&gt;"", IF(MOD(S3,10)=0,S3-1,IF(MOD(S3,10)&lt;=5,FLOOR(S3,10)+6,FLOOR(S3,10)+9)), R3)</f>
        <v/>
      </c>
      <c r="U3" s="87" t="inlineStr">
        <is>
          <t>Маржинальний</t>
        </is>
      </c>
      <c r="V3" s="88" t="n"/>
      <c r="W3" s="88" t="n"/>
      <c r="X3" s="89">
        <f>IFERROR(IF(OR(V3="",W3="",T3=""),"", IF(T3&gt;W3,"Дорогий",IF(T3&lt;V3,"Дешевий","У ринку"))),"")</f>
        <v/>
      </c>
      <c r="Y3" s="90" t="n"/>
      <c r="Z3" s="104">
        <f>CHOOSE(MATCH(IF($U3="","Основний",$U3),{"Трафіковий","Основний","Маржинальний","Сезонний","Стратегічний"},0),0.16,0.19,0.24,0.23,0.28)</f>
        <v/>
      </c>
      <c r="AA3" s="104">
        <f>CHOOSE(MATCH(IF($U3="","Основний",$U3),{"Трафіковий","Основний","Маржинальний","Сезонний","Стратегічний"},0),0.18,0.21,0.26,0.25,0.3)</f>
        <v/>
      </c>
      <c r="AB3" s="104">
        <f>CHOOSE(MATCH(IF($U3="","Основний",$U3),{"Трафіковий","Основний","Маржинальний","Сезонний","Стратегічний"},0),0.19,0.22,0.28,0.26,0.32)</f>
        <v/>
      </c>
      <c r="AC3" s="104">
        <f>CHOOSE(MATCH(IF($U3="","Основний",$U3),{"Трафіковий","Основний","Маржинальний","Сезонний","Стратегічний"},0),0.17,0.2,0.25,0.24,0.28)</f>
        <v/>
      </c>
      <c r="AD3" s="104">
        <f>CHOOSE(MATCH(IF($U3="","Основний",$U3),{"Трафіковий","Основний","Маржинальний","Сезонний","Стратегічний"},0),0.18,0.21,0.26,0.25,0.3)</f>
        <v/>
      </c>
      <c r="AE3" s="104">
        <f>CHOOSE(MATCH(IF($U3="","Основний",$U3),{"Трафіковий","Основний","Маржинальний","Сезонний","Стратегічний"},0),0.18,0.2,0.28,0.27,0.32)</f>
        <v/>
      </c>
      <c r="AF3" s="104">
        <f>CHOOSE(MATCH(IF($U3="","Основний",$U3),{"Трафіковий","Основний","Маржинальний","Сезонний","Стратегічний"},0),0.15,0.175,0.22,0.21,0.25)</f>
        <v/>
      </c>
      <c r="AG3" s="104">
        <f>CHOOSE(MATCH(IF($U3="","Основний",$U3),{"Трафіковий","Основний","Маржинальний","Сезонний","Стратегічний"},0),0.13,0.16,0.21,0.2,0.25)</f>
        <v/>
      </c>
      <c r="AH3" s="104">
        <f>CHOOSE(MATCH(IF($U3="","Основний",$U3),{"Трафіковий","Основний","Маржинальний","Сезонний","Стратегічний"},0),0.15,0.18,0.23,0.22,0.27)</f>
        <v/>
      </c>
      <c r="AI3" s="104">
        <f>CHOOSE(MATCH(IF($U3="","Основний",$U3),{"Трафіковий","Основний","Маржинальний","Сезонний","Стратегічний"},0),0.16,0.19,0.25,0.23,0.29)</f>
        <v/>
      </c>
      <c r="AJ3" s="104">
        <f>CHOOSE(MATCH(IF($U3="","Основний",$U3),{"Трафіковий","Основний","Маржинальний","Сезонний","Стратегічний"},0),0.14,0.17,0.22,0.21,0.25)</f>
        <v/>
      </c>
      <c r="AK3" s="104">
        <f>CHOOSE(MATCH(IF($U3="","Основний",$U3),{"Трафіковий","Основний","Маржинальний","Сезонний","Стратегічний"},0),0.15,0.18,0.23,0.22,0.27)</f>
        <v/>
      </c>
      <c r="AL3" s="104">
        <f>CHOOSE(MATCH(IF($U3="","Основний",$U3),{"Трафіковий","Основний","Маржинальний","Сезонний","Стратегічний"},0),0.15,0.17,0.25,0.24,0.29)</f>
        <v/>
      </c>
      <c r="AM3" s="104">
        <f>CHOOSE(MATCH(IF($U3="","Основний",$U3),{"Трафіковий","Основний","Маржинальний","Сезонний","Стратегічний"},0),0.12,0.145,0.19,0.18,0.22)</f>
        <v/>
      </c>
      <c r="AN3" s="157">
        <f>CHOOSE(MATCH(IF($U3="","Основний",$U3),{"Трафіковий","Основний","Маржинальний","Сезонний","Стратегічний"},0),Settings!$B$78,Settings!$B$80,Settings!$B$82,Settings!$B$84,Settings!$B$86)</f>
        <v/>
      </c>
      <c r="AO3" s="157">
        <f>CHOOSE(MATCH(IF($U3="","Основний",$U3),{"Трафіковий","Основний","Маржинальний","Сезонний","Стратегічний"},0),Settings!$C$78,Settings!$C$80,Settings!$C$82,Settings!$C$84,Settings!$C$86)</f>
        <v/>
      </c>
      <c r="AP3" s="157">
        <f>CHOOSE(MATCH(IF($U3="","Основний",$U3),{"Трафіковий","Основний","Маржинальний","Сезонний","Стратегічний"},0),Settings!$D$78,Settings!$D$80,Settings!$D$82,Settings!$D$84,Settings!$D$86)</f>
        <v/>
      </c>
      <c r="AQ3" s="157">
        <f>CHOOSE(MATCH(IF($U3="","Основний",$U3),{"Трафіковий","Основний","Маржинальний","Сезонний","Стратегічний"},0),Settings!$F$78,Settings!$F$80,Settings!$F$82,Settings!$F$84,Settings!$F$86)</f>
        <v/>
      </c>
      <c r="AR3" s="157">
        <f>CHOOSE(MATCH(IF($U3="","Основний",$U3),{"Трафіковий","Основний","Маржинальний","Сезонний","Стратегічний"},0),Settings!$G$78,Settings!$G$80,Settings!$G$82,Settings!$G$84,Settings!$G$86)</f>
        <v/>
      </c>
      <c r="AS3" s="157">
        <f>CHOOSE(MATCH(IF($U3="","Основний",$U3),{"Трафіковий","Основний","Маржинальний","Сезонний","Стратегічний"},0),Settings!$H$78,Settings!$H$80,Settings!$H$82,Settings!$H$84,Settings!$H$86)</f>
        <v/>
      </c>
      <c r="AT3" s="157">
        <f>CHOOSE(MATCH(IF($U3="","Основний",$U3),{"Трафіковий","Основний","Маржинальний","Сезонний","Стратегічний"},0),Settings!$I$78,Settings!$I$80,Settings!$I$82,Settings!$I$84,Settings!$I$86)</f>
        <v/>
      </c>
      <c r="AU3" s="171" t="n"/>
      <c r="AV3" t="n">
        <v>1.4</v>
      </c>
    </row>
    <row r="4">
      <c r="A4" s="28" t="n"/>
      <c r="B4" s="29" t="inlineStr">
        <is>
          <t>B7911</t>
        </is>
      </c>
      <c r="C4" s="29" t="inlineStr">
        <is>
          <t>RAVER BAT.ALKALINE LR03 4BL</t>
        </is>
      </c>
      <c r="D4" s="29" t="inlineStr">
        <is>
          <t>Батарейки</t>
        </is>
      </c>
      <c r="E4" s="28" t="n">
        <v>4</v>
      </c>
      <c r="F4" s="93" t="n">
        <v>0.134</v>
      </c>
      <c r="G4" s="30" t="n">
        <v>8506101100</v>
      </c>
      <c r="H4" s="31" t="n">
        <v>1.35</v>
      </c>
      <c r="I4" s="84">
        <f>IFERROR(F4*Settings!$B$2*H4*IF(AND(ISNUMBER(E4),E4&gt;1),E4,1),"")</f>
        <v/>
      </c>
      <c r="J4" s="32">
        <f>Settings!$B$66</f>
        <v/>
      </c>
      <c r="K4" s="95">
        <f>IFERROR(IF(T4="","",(T4*(1-AN4)*(1-Settings!$B$17)-I4)/(T4*(1-AN4)*(1-Settings!$B$17))),"")</f>
        <v/>
      </c>
      <c r="L4" s="101">
        <f>IFERROR(IF(T4="","",(T4*(1-AO4)*(1-Settings!$C$17)-I4)/(T4*(1-AO4)*(1-Settings!$C$17))),"")</f>
        <v/>
      </c>
      <c r="M4" s="101">
        <f>IFERROR(IF(T4="","",(T4*(1-AP4)*(1-Settings!$D$17)-I4)/(T4*(1-AP4)*(1-Settings!$D$17))),"")</f>
        <v/>
      </c>
      <c r="N4" s="101">
        <f>IFERROR(IF(T4="","",(T4*(1-AQ4)*(1-Settings!$F$17)-I4)/(T4*(1-AQ4)*(1-Settings!$F$17))),"")</f>
        <v/>
      </c>
      <c r="O4" s="101">
        <f>IFERROR(IF(T4="","",(T4*(1-AR4)*(1-Settings!$G$17)-I4)/(T4*(1-AR4)*(1-Settings!$G$17))),"")</f>
        <v/>
      </c>
      <c r="P4" s="101">
        <f>IFERROR(IF(T4="","",(T4*(1-AS4)*(1-Settings!$H$17)-I4)/(T4*(1-AS4)*(1-Settings!$H$17))),"")</f>
        <v/>
      </c>
      <c r="Q4" s="101">
        <f>IFERROR(IF(T4="","",(T4*(1-AT4)*(1-Settings!$I$68)*(1-Settings!$I$17)-I4)/(T4*(1-AT4)*(1-Settings!$I$68)*(1-Settings!$I$17))),"")</f>
        <v/>
      </c>
      <c r="R4" s="91">
        <f>IFERROR(IF(OR(I4="",Z4&gt;=1,Settings!$B$17&gt;=1,AN4&gt;=1),"",IF(MOD(ROUND(I4/(1-Z4)/(1-Settings!$B$17)/(1-AN4),0),10)=0,ROUND(I4/(1-Z4)/(1-Settings!$B$17)/(1-AN4),0)-1,IF(MOD(ROUND(I4/(1-Z4)/(1-Settings!$B$17)/(1-AN4),0),10)&lt;=5,FLOOR(ROUND(I4/(1-Z4)/(1-Settings!$B$17)/(1-AN4),0),10)+6,FLOOR(ROUND(I4/(1-Z4)/(1-Settings!$B$17)/(1-AN4),0),10)+9))),"")</f>
        <v/>
      </c>
      <c r="S4" s="92" t="n">
        <v>89</v>
      </c>
      <c r="T4" s="91">
        <f>IF(S4&lt;&gt;"", IF(MOD(S4,10)=0,S4-1,IF(MOD(S4,10)&lt;=5,FLOOR(S4,10)+6,FLOOR(S4,10)+9)), R4)</f>
        <v/>
      </c>
      <c r="U4" s="87" t="inlineStr">
        <is>
          <t>Трафіковий</t>
        </is>
      </c>
      <c r="V4" s="88" t="n"/>
      <c r="W4" s="88" t="n"/>
      <c r="X4" s="89">
        <f>IFERROR(IF(OR(V4="",W4="",T4=""),"", IF(T4&gt;W4,"Дорогий",IF(T4&lt;V4,"Дешевий","У ринку"))),"")</f>
        <v/>
      </c>
      <c r="Y4" s="90" t="n"/>
      <c r="Z4" s="104">
        <f>CHOOSE(MATCH(IF($U4="","Основний",$U4),{"Трафіковий","Основний","Маржинальний","Сезонний","Стратегічний"},0),0.16,0.19,0.24,0.23,0.28)</f>
        <v/>
      </c>
      <c r="AA4" s="104">
        <f>CHOOSE(MATCH(IF($U4="","Основний",$U4),{"Трафіковий","Основний","Маржинальний","Сезонний","Стратегічний"},0),0.18,0.21,0.26,0.25,0.3)</f>
        <v/>
      </c>
      <c r="AB4" s="104">
        <f>CHOOSE(MATCH(IF($U4="","Основний",$U4),{"Трафіковий","Основний","Маржинальний","Сезонний","Стратегічний"},0),0.19,0.22,0.28,0.26,0.32)</f>
        <v/>
      </c>
      <c r="AC4" s="104">
        <f>CHOOSE(MATCH(IF($U4="","Основний",$U4),{"Трафіковий","Основний","Маржинальний","Сезонний","Стратегічний"},0),0.17,0.2,0.25,0.24,0.28)</f>
        <v/>
      </c>
      <c r="AD4" s="104">
        <f>CHOOSE(MATCH(IF($U4="","Основний",$U4),{"Трафіковий","Основний","Маржинальний","Сезонний","Стратегічний"},0),0.18,0.21,0.26,0.25,0.3)</f>
        <v/>
      </c>
      <c r="AE4" s="104">
        <f>CHOOSE(MATCH(IF($U4="","Основний",$U4),{"Трафіковий","Основний","Маржинальний","Сезонний","Стратегічний"},0),0.18,0.2,0.28,0.27,0.32)</f>
        <v/>
      </c>
      <c r="AF4" s="104">
        <f>CHOOSE(MATCH(IF($U4="","Основний",$U4),{"Трафіковий","Основний","Маржинальний","Сезонний","Стратегічний"},0),0.15,0.175,0.22,0.21,0.25)</f>
        <v/>
      </c>
      <c r="AG4" s="104">
        <f>CHOOSE(MATCH(IF($U4="","Основний",$U4),{"Трафіковий","Основний","Маржинальний","Сезонний","Стратегічний"},0),0.13,0.16,0.21,0.2,0.25)</f>
        <v/>
      </c>
      <c r="AH4" s="104">
        <f>CHOOSE(MATCH(IF($U4="","Основний",$U4),{"Трафіковий","Основний","Маржинальний","Сезонний","Стратегічний"},0),0.15,0.18,0.23,0.22,0.27)</f>
        <v/>
      </c>
      <c r="AI4" s="104">
        <f>CHOOSE(MATCH(IF($U4="","Основний",$U4),{"Трафіковий","Основний","Маржинальний","Сезонний","Стратегічний"},0),0.16,0.19,0.25,0.23,0.29)</f>
        <v/>
      </c>
      <c r="AJ4" s="104">
        <f>CHOOSE(MATCH(IF($U4="","Основний",$U4),{"Трафіковий","Основний","Маржинальний","Сезонний","Стратегічний"},0),0.14,0.17,0.22,0.21,0.25)</f>
        <v/>
      </c>
      <c r="AK4" s="104">
        <f>CHOOSE(MATCH(IF($U4="","Основний",$U4),{"Трафіковий","Основний","Маржинальний","Сезонний","Стратегічний"},0),0.15,0.18,0.23,0.22,0.27)</f>
        <v/>
      </c>
      <c r="AL4" s="104">
        <f>CHOOSE(MATCH(IF($U4="","Основний",$U4),{"Трафіковий","Основний","Маржинальний","Сезонний","Стратегічний"},0),0.15,0.17,0.25,0.24,0.29)</f>
        <v/>
      </c>
      <c r="AM4" s="104">
        <f>CHOOSE(MATCH(IF($U4="","Основний",$U4),{"Трафіковий","Основний","Маржинальний","Сезонний","Стратегічний"},0),0.12,0.145,0.19,0.18,0.22)</f>
        <v/>
      </c>
      <c r="AN4" s="157">
        <f>CHOOSE(MATCH(IF($U4="","Основний",$U4),{"Трафіковий","Основний","Маржинальний","Сезонний","Стратегічний"},0),Settings!$B$78,Settings!$B$80,Settings!$B$82,Settings!$B$84,Settings!$B$86)</f>
        <v/>
      </c>
      <c r="AO4" s="157">
        <f>CHOOSE(MATCH(IF($U4="","Основний",$U4),{"Трафіковий","Основний","Маржинальний","Сезонний","Стратегічний"},0),Settings!$C$78,Settings!$C$80,Settings!$C$82,Settings!$C$84,Settings!$C$86)</f>
        <v/>
      </c>
      <c r="AP4" s="157">
        <f>CHOOSE(MATCH(IF($U4="","Основний",$U4),{"Трафіковий","Основний","Маржинальний","Сезонний","Стратегічний"},0),Settings!$D$78,Settings!$D$80,Settings!$D$82,Settings!$D$84,Settings!$D$86)</f>
        <v/>
      </c>
      <c r="AQ4" s="157">
        <f>CHOOSE(MATCH(IF($U4="","Основний",$U4),{"Трафіковий","Основний","Маржинальний","Сезонний","Стратегічний"},0),Settings!$F$78,Settings!$F$80,Settings!$F$82,Settings!$F$84,Settings!$F$86)</f>
        <v/>
      </c>
      <c r="AR4" s="157">
        <f>CHOOSE(MATCH(IF($U4="","Основний",$U4),{"Трафіковий","Основний","Маржинальний","Сезонний","Стратегічний"},0),Settings!$G$78,Settings!$G$80,Settings!$G$82,Settings!$G$84,Settings!$G$86)</f>
        <v/>
      </c>
      <c r="AS4" s="157">
        <f>CHOOSE(MATCH(IF($U4="","Основний",$U4),{"Трафіковий","Основний","Маржинальний","Сезонний","Стратегічний"},0),Settings!$H$78,Settings!$H$80,Settings!$H$82,Settings!$H$84,Settings!$H$86)</f>
        <v/>
      </c>
      <c r="AT4" s="157">
        <f>CHOOSE(MATCH(IF($U4="","Основний",$U4),{"Трафіковий","Основний","Маржинальний","Сезонний","Стратегічний"},0),Settings!$I$78,Settings!$I$80,Settings!$I$82,Settings!$I$84,Settings!$I$86)</f>
        <v/>
      </c>
      <c r="AU4" s="171" t="n"/>
      <c r="AV4" t="n">
        <v>1.67</v>
      </c>
    </row>
    <row r="5">
      <c r="A5" s="33" t="n"/>
      <c r="B5" s="34" t="inlineStr">
        <is>
          <t>B7426</t>
        </is>
      </c>
      <c r="C5" s="34" t="inlineStr">
        <is>
          <t>RAVER BAT. NIMH HR6 2BL</t>
        </is>
      </c>
      <c r="D5" s="34" t="inlineStr">
        <is>
          <t>Батарейки</t>
        </is>
      </c>
      <c r="E5" s="33" t="n">
        <v>2</v>
      </c>
      <c r="F5" s="94" t="n">
        <v>0.491</v>
      </c>
      <c r="G5" s="35" t="n">
        <v>8507500090</v>
      </c>
      <c r="H5" s="31" t="n">
        <v>1.3</v>
      </c>
      <c r="I5" s="84">
        <f>IFERROR(F5*Settings!$B$2*H5*IF(AND(ISNUMBER(E5),E5&gt;1),E5,1),"")</f>
        <v/>
      </c>
      <c r="J5" s="32">
        <f>Settings!$B$66</f>
        <v/>
      </c>
      <c r="K5" s="95">
        <f>IFERROR(IF(T5="","",(T5*(1-AN5)*(1-Settings!$B$17)-I5)/(T5*(1-AN5)*(1-Settings!$B$17))),"")</f>
        <v/>
      </c>
      <c r="L5" s="101">
        <f>IFERROR(IF(T5="","",(T5*(1-AO5)*(1-Settings!$C$17)-I5)/(T5*(1-AO5)*(1-Settings!$C$17))),"")</f>
        <v/>
      </c>
      <c r="M5" s="101">
        <f>IFERROR(IF(T5="","",(T5*(1-AP5)*(1-Settings!$D$17)-I5)/(T5*(1-AP5)*(1-Settings!$D$17))),"")</f>
        <v/>
      </c>
      <c r="N5" s="101">
        <f>IFERROR(IF(T5="","",(T5*(1-AQ5)*(1-Settings!$F$17)-I5)/(T5*(1-AQ5)*(1-Settings!$F$17))),"")</f>
        <v/>
      </c>
      <c r="O5" s="101">
        <f>IFERROR(IF(T5="","",(T5*(1-AR5)*(1-Settings!$G$17)-I5)/(T5*(1-AR5)*(1-Settings!$G$17))),"")</f>
        <v/>
      </c>
      <c r="P5" s="101">
        <f>IFERROR(IF(T5="","",(T5*(1-AS5)*(1-Settings!$H$17)-I5)/(T5*(1-AS5)*(1-Settings!$H$17))),"")</f>
        <v/>
      </c>
      <c r="Q5" s="101">
        <f>IFERROR(IF(T5="","",(T5*(1-AT5)*(1-Settings!$I$68)*(1-Settings!$I$17)-I5)/(T5*(1-AT5)*(1-Settings!$I$68)*(1-Settings!$I$17))),"")</f>
        <v/>
      </c>
      <c r="R5" s="91">
        <f>IFERROR(IF(OR(I5="",Z5&gt;=1,Settings!$B$17&gt;=1,AN5&gt;=1),"",IF(MOD(ROUND(I5/(1-Z5)/(1-Settings!$B$17)/(1-AN5),0),10)=0,ROUND(I5/(1-Z5)/(1-Settings!$B$17)/(1-AN5),0)-1,IF(MOD(ROUND(I5/(1-Z5)/(1-Settings!$B$17)/(1-AN5),0),10)&lt;=5,FLOOR(ROUND(I5/(1-Z5)/(1-Settings!$B$17)/(1-AN5),0),10)+6,FLOOR(ROUND(I5/(1-Z5)/(1-Settings!$B$17)/(1-AN5),0),10)+9))),"")</f>
        <v/>
      </c>
      <c r="S5" s="92" t="n">
        <v>130</v>
      </c>
      <c r="T5" s="91">
        <f>IF(S5&lt;&gt;"", IF(MOD(S5,10)=0,S5-1,IF(MOD(S5,10)&lt;=5,FLOOR(S5,10)+6,FLOOR(S5,10)+9)), R5)</f>
        <v/>
      </c>
      <c r="U5" s="87" t="inlineStr">
        <is>
          <t>Маржинальний</t>
        </is>
      </c>
      <c r="V5" s="88" t="n"/>
      <c r="W5" s="88" t="n"/>
      <c r="X5" s="89">
        <f>IFERROR(IF(OR(V5="",W5="",T5=""),"", IF(T5&gt;W5,"Дорогий",IF(T5&lt;V5,"Дешевий","У ринку"))),"")</f>
        <v/>
      </c>
      <c r="Y5" s="90" t="n"/>
      <c r="Z5" s="104">
        <f>CHOOSE(MATCH(IF($U5="","Основний",$U5),{"Трафіковий","Основний","Маржинальний","Сезонний","Стратегічний"},0),0.16,0.19,0.24,0.23,0.28)</f>
        <v/>
      </c>
      <c r="AA5" s="104">
        <f>CHOOSE(MATCH(IF($U5="","Основний",$U5),{"Трафіковий","Основний","Маржинальний","Сезонний","Стратегічний"},0),0.18,0.21,0.26,0.25,0.3)</f>
        <v/>
      </c>
      <c r="AB5" s="104">
        <f>CHOOSE(MATCH(IF($U5="","Основний",$U5),{"Трафіковий","Основний","Маржинальний","Сезонний","Стратегічний"},0),0.19,0.22,0.28,0.26,0.32)</f>
        <v/>
      </c>
      <c r="AC5" s="104">
        <f>CHOOSE(MATCH(IF($U5="","Основний",$U5),{"Трафіковий","Основний","Маржинальний","Сезонний","Стратегічний"},0),0.17,0.2,0.25,0.24,0.28)</f>
        <v/>
      </c>
      <c r="AD5" s="104">
        <f>CHOOSE(MATCH(IF($U5="","Основний",$U5),{"Трафіковий","Основний","Маржинальний","Сезонний","Стратегічний"},0),0.18,0.21,0.26,0.25,0.3)</f>
        <v/>
      </c>
      <c r="AE5" s="104">
        <f>CHOOSE(MATCH(IF($U5="","Основний",$U5),{"Трафіковий","Основний","Маржинальний","Сезонний","Стратегічний"},0),0.18,0.2,0.28,0.27,0.32)</f>
        <v/>
      </c>
      <c r="AF5" s="104">
        <f>CHOOSE(MATCH(IF($U5="","Основний",$U5),{"Трафіковий","Основний","Маржинальний","Сезонний","Стратегічний"},0),0.15,0.175,0.22,0.21,0.25)</f>
        <v/>
      </c>
      <c r="AG5" s="104">
        <f>CHOOSE(MATCH(IF($U5="","Основний",$U5),{"Трафіковий","Основний","Маржинальний","Сезонний","Стратегічний"},0),0.13,0.16,0.21,0.2,0.25)</f>
        <v/>
      </c>
      <c r="AH5" s="104">
        <f>CHOOSE(MATCH(IF($U5="","Основний",$U5),{"Трафіковий","Основний","Маржинальний","Сезонний","Стратегічний"},0),0.15,0.18,0.23,0.22,0.27)</f>
        <v/>
      </c>
      <c r="AI5" s="104">
        <f>CHOOSE(MATCH(IF($U5="","Основний",$U5),{"Трафіковий","Основний","Маржинальний","Сезонний","Стратегічний"},0),0.16,0.19,0.25,0.23,0.29)</f>
        <v/>
      </c>
      <c r="AJ5" s="104">
        <f>CHOOSE(MATCH(IF($U5="","Основний",$U5),{"Трафіковий","Основний","Маржинальний","Сезонний","Стратегічний"},0),0.14,0.17,0.22,0.21,0.25)</f>
        <v/>
      </c>
      <c r="AK5" s="104">
        <f>CHOOSE(MATCH(IF($U5="","Основний",$U5),{"Трафіковий","Основний","Маржинальний","Сезонний","Стратегічний"},0),0.15,0.18,0.23,0.22,0.27)</f>
        <v/>
      </c>
      <c r="AL5" s="104">
        <f>CHOOSE(MATCH(IF($U5="","Основний",$U5),{"Трафіковий","Основний","Маржинальний","Сезонний","Стратегічний"},0),0.15,0.17,0.25,0.24,0.29)</f>
        <v/>
      </c>
      <c r="AM5" s="104">
        <f>CHOOSE(MATCH(IF($U5="","Основний",$U5),{"Трафіковий","Основний","Маржинальний","Сезонний","Стратегічний"},0),0.12,0.145,0.19,0.18,0.22)</f>
        <v/>
      </c>
      <c r="AN5" s="157">
        <f>CHOOSE(MATCH(IF($U5="","Основний",$U5),{"Трафіковий","Основний","Маржинальний","Сезонний","Стратегічний"},0),Settings!$B$78,Settings!$B$80,Settings!$B$82,Settings!$B$84,Settings!$B$86)</f>
        <v/>
      </c>
      <c r="AO5" s="157">
        <f>CHOOSE(MATCH(IF($U5="","Основний",$U5),{"Трафіковий","Основний","Маржинальний","Сезонний","Стратегічний"},0),Settings!$C$78,Settings!$C$80,Settings!$C$82,Settings!$C$84,Settings!$C$86)</f>
        <v/>
      </c>
      <c r="AP5" s="157">
        <f>CHOOSE(MATCH(IF($U5="","Основний",$U5),{"Трафіковий","Основний","Маржинальний","Сезонний","Стратегічний"},0),Settings!$D$78,Settings!$D$80,Settings!$D$82,Settings!$D$84,Settings!$D$86)</f>
        <v/>
      </c>
      <c r="AQ5" s="157">
        <f>CHOOSE(MATCH(IF($U5="","Основний",$U5),{"Трафіковий","Основний","Маржинальний","Сезонний","Стратегічний"},0),Settings!$F$78,Settings!$F$80,Settings!$F$82,Settings!$F$84,Settings!$F$86)</f>
        <v/>
      </c>
      <c r="AR5" s="157">
        <f>CHOOSE(MATCH(IF($U5="","Основний",$U5),{"Трафіковий","Основний","Маржинальний","Сезонний","Стратегічний"},0),Settings!$G$78,Settings!$G$80,Settings!$G$82,Settings!$G$84,Settings!$G$86)</f>
        <v/>
      </c>
      <c r="AS5" s="157">
        <f>CHOOSE(MATCH(IF($U5="","Основний",$U5),{"Трафіковий","Основний","Маржинальний","Сезонний","Стратегічний"},0),Settings!$H$78,Settings!$H$80,Settings!$H$82,Settings!$H$84,Settings!$H$86)</f>
        <v/>
      </c>
      <c r="AT5" s="157">
        <f>CHOOSE(MATCH(IF($U5="","Основний",$U5),{"Трафіковий","Основний","Маржинальний","Сезонний","Стратегічний"},0),Settings!$I$78,Settings!$I$80,Settings!$I$82,Settings!$I$84,Settings!$I$86)</f>
        <v/>
      </c>
      <c r="AU5" s="171" t="n"/>
      <c r="AV5" t="n">
        <v>1.4</v>
      </c>
    </row>
    <row r="6">
      <c r="A6" s="28" t="n"/>
      <c r="B6" s="29" t="inlineStr">
        <is>
          <t>B7414</t>
        </is>
      </c>
      <c r="C6" s="29" t="inlineStr">
        <is>
          <t>RAVER BAT. NIMH HR03 2BL</t>
        </is>
      </c>
      <c r="D6" s="29" t="inlineStr">
        <is>
          <t>Батарейки</t>
        </is>
      </c>
      <c r="E6" s="28" t="n">
        <v>2</v>
      </c>
      <c r="F6" s="93" t="n">
        <v>0.428</v>
      </c>
      <c r="G6" s="30" t="n">
        <v>8507500090</v>
      </c>
      <c r="H6" s="31" t="n">
        <v>1.3</v>
      </c>
      <c r="I6" s="84">
        <f>IFERROR(F6*Settings!$B$2*H6*IF(AND(ISNUMBER(E6),E6&gt;1),E6,1),"")</f>
        <v/>
      </c>
      <c r="J6" s="32">
        <f>Settings!$B$66</f>
        <v/>
      </c>
      <c r="K6" s="95">
        <f>IFERROR(IF(T6="","",(T6*(1-AN6)*(1-Settings!$B$17)-I6)/(T6*(1-AN6)*(1-Settings!$B$17))),"")</f>
        <v/>
      </c>
      <c r="L6" s="101">
        <f>IFERROR(IF(T6="","",(T6*(1-AO6)*(1-Settings!$C$17)-I6)/(T6*(1-AO6)*(1-Settings!$C$17))),"")</f>
        <v/>
      </c>
      <c r="M6" s="101">
        <f>IFERROR(IF(T6="","",(T6*(1-AP6)*(1-Settings!$D$17)-I6)/(T6*(1-AP6)*(1-Settings!$D$17))),"")</f>
        <v/>
      </c>
      <c r="N6" s="101">
        <f>IFERROR(IF(T6="","",(T6*(1-AQ6)*(1-Settings!$F$17)-I6)/(T6*(1-AQ6)*(1-Settings!$F$17))),"")</f>
        <v/>
      </c>
      <c r="O6" s="101">
        <f>IFERROR(IF(T6="","",(T6*(1-AR6)*(1-Settings!$G$17)-I6)/(T6*(1-AR6)*(1-Settings!$G$17))),"")</f>
        <v/>
      </c>
      <c r="P6" s="101">
        <f>IFERROR(IF(T6="","",(T6*(1-AS6)*(1-Settings!$H$17)-I6)/(T6*(1-AS6)*(1-Settings!$H$17))),"")</f>
        <v/>
      </c>
      <c r="Q6" s="101">
        <f>IFERROR(IF(T6="","",(T6*(1-AT6)*(1-Settings!$I$68)*(1-Settings!$I$17)-I6)/(T6*(1-AT6)*(1-Settings!$I$68)*(1-Settings!$I$17))),"")</f>
        <v/>
      </c>
      <c r="R6" s="91">
        <f>IFERROR(IF(OR(I6="",Z6&gt;=1,Settings!$B$17&gt;=1,AN6&gt;=1),"",IF(MOD(ROUND(I6/(1-Z6)/(1-Settings!$B$17)/(1-AN6),0),10)=0,ROUND(I6/(1-Z6)/(1-Settings!$B$17)/(1-AN6),0)-1,IF(MOD(ROUND(I6/(1-Z6)/(1-Settings!$B$17)/(1-AN6),0),10)&lt;=5,FLOOR(ROUND(I6/(1-Z6)/(1-Settings!$B$17)/(1-AN6),0),10)+6,FLOOR(ROUND(I6/(1-Z6)/(1-Settings!$B$17)/(1-AN6),0),10)+9))),"")</f>
        <v/>
      </c>
      <c r="S6" s="92" t="n">
        <v>120</v>
      </c>
      <c r="T6" s="91">
        <f>IF(S6&lt;&gt;"", IF(MOD(S6,10)=0,S6-1,IF(MOD(S6,10)&lt;=5,FLOOR(S6,10)+6,FLOOR(S6,10)+9)), R6)</f>
        <v/>
      </c>
      <c r="U6" s="87" t="inlineStr">
        <is>
          <t>Маржинальний</t>
        </is>
      </c>
      <c r="V6" s="88" t="n"/>
      <c r="W6" s="88" t="n"/>
      <c r="X6" s="89">
        <f>IFERROR(IF(OR(V6="",W6="",T6=""),"", IF(T6&gt;W6,"Дорогий",IF(T6&lt;V6,"Дешевий","У ринку"))),"")</f>
        <v/>
      </c>
      <c r="Y6" s="90" t="n"/>
      <c r="Z6" s="104">
        <f>CHOOSE(MATCH(IF($U6="","Основний",$U6),{"Трафіковий","Основний","Маржинальний","Сезонний","Стратегічний"},0),0.16,0.19,0.24,0.23,0.28)</f>
        <v/>
      </c>
      <c r="AA6" s="104">
        <f>CHOOSE(MATCH(IF($U6="","Основний",$U6),{"Трафіковий","Основний","Маржинальний","Сезонний","Стратегічний"},0),0.18,0.21,0.26,0.25,0.3)</f>
        <v/>
      </c>
      <c r="AB6" s="104">
        <f>CHOOSE(MATCH(IF($U6="","Основний",$U6),{"Трафіковий","Основний","Маржинальний","Сезонний","Стратегічний"},0),0.19,0.22,0.28,0.26,0.32)</f>
        <v/>
      </c>
      <c r="AC6" s="104">
        <f>CHOOSE(MATCH(IF($U6="","Основний",$U6),{"Трафіковий","Основний","Маржинальний","Сезонний","Стратегічний"},0),0.17,0.2,0.25,0.24,0.28)</f>
        <v/>
      </c>
      <c r="AD6" s="104">
        <f>CHOOSE(MATCH(IF($U6="","Основний",$U6),{"Трафіковий","Основний","Маржинальний","Сезонний","Стратегічний"},0),0.18,0.21,0.26,0.25,0.3)</f>
        <v/>
      </c>
      <c r="AE6" s="104">
        <f>CHOOSE(MATCH(IF($U6="","Основний",$U6),{"Трафіковий","Основний","Маржинальний","Сезонний","Стратегічний"},0),0.18,0.2,0.28,0.27,0.32)</f>
        <v/>
      </c>
      <c r="AF6" s="104">
        <f>CHOOSE(MATCH(IF($U6="","Основний",$U6),{"Трафіковий","Основний","Маржинальний","Сезонний","Стратегічний"},0),0.15,0.175,0.22,0.21,0.25)</f>
        <v/>
      </c>
      <c r="AG6" s="104">
        <f>CHOOSE(MATCH(IF($U6="","Основний",$U6),{"Трафіковий","Основний","Маржинальний","Сезонний","Стратегічний"},0),0.13,0.16,0.21,0.2,0.25)</f>
        <v/>
      </c>
      <c r="AH6" s="104">
        <f>CHOOSE(MATCH(IF($U6="","Основний",$U6),{"Трафіковий","Основний","Маржинальний","Сезонний","Стратегічний"},0),0.15,0.18,0.23,0.22,0.27)</f>
        <v/>
      </c>
      <c r="AI6" s="104">
        <f>CHOOSE(MATCH(IF($U6="","Основний",$U6),{"Трафіковий","Основний","Маржинальний","Сезонний","Стратегічний"},0),0.16,0.19,0.25,0.23,0.29)</f>
        <v/>
      </c>
      <c r="AJ6" s="104">
        <f>CHOOSE(MATCH(IF($U6="","Основний",$U6),{"Трафіковий","Основний","Маржинальний","Сезонний","Стратегічний"},0),0.14,0.17,0.22,0.21,0.25)</f>
        <v/>
      </c>
      <c r="AK6" s="104">
        <f>CHOOSE(MATCH(IF($U6="","Основний",$U6),{"Трафіковий","Основний","Маржинальний","Сезонний","Стратегічний"},0),0.15,0.18,0.23,0.22,0.27)</f>
        <v/>
      </c>
      <c r="AL6" s="104">
        <f>CHOOSE(MATCH(IF($U6="","Основний",$U6),{"Трафіковий","Основний","Маржинальний","Сезонний","Стратегічний"},0),0.15,0.17,0.25,0.24,0.29)</f>
        <v/>
      </c>
      <c r="AM6" s="104">
        <f>CHOOSE(MATCH(IF($U6="","Основний",$U6),{"Трафіковий","Основний","Маржинальний","Сезонний","Стратегічний"},0),0.12,0.145,0.19,0.18,0.22)</f>
        <v/>
      </c>
      <c r="AN6" s="157">
        <f>CHOOSE(MATCH(IF($U6="","Основний",$U6),{"Трафіковий","Основний","Маржинальний","Сезонний","Стратегічний"},0),Settings!$B$78,Settings!$B$80,Settings!$B$82,Settings!$B$84,Settings!$B$86)</f>
        <v/>
      </c>
      <c r="AO6" s="157">
        <f>CHOOSE(MATCH(IF($U6="","Основний",$U6),{"Трафіковий","Основний","Маржинальний","Сезонний","Стратегічний"},0),Settings!$C$78,Settings!$C$80,Settings!$C$82,Settings!$C$84,Settings!$C$86)</f>
        <v/>
      </c>
      <c r="AP6" s="157">
        <f>CHOOSE(MATCH(IF($U6="","Основний",$U6),{"Трафіковий","Основний","Маржинальний","Сезонний","Стратегічний"},0),Settings!$D$78,Settings!$D$80,Settings!$D$82,Settings!$D$84,Settings!$D$86)</f>
        <v/>
      </c>
      <c r="AQ6" s="157">
        <f>CHOOSE(MATCH(IF($U6="","Основний",$U6),{"Трафіковий","Основний","Маржинальний","Сезонний","Стратегічний"},0),Settings!$F$78,Settings!$F$80,Settings!$F$82,Settings!$F$84,Settings!$F$86)</f>
        <v/>
      </c>
      <c r="AR6" s="157">
        <f>CHOOSE(MATCH(IF($U6="","Основний",$U6),{"Трафіковий","Основний","Маржинальний","Сезонний","Стратегічний"},0),Settings!$G$78,Settings!$G$80,Settings!$G$82,Settings!$G$84,Settings!$G$86)</f>
        <v/>
      </c>
      <c r="AS6" s="157">
        <f>CHOOSE(MATCH(IF($U6="","Основний",$U6),{"Трафіковий","Основний","Маржинальний","Сезонний","Стратегічний"},0),Settings!$H$78,Settings!$H$80,Settings!$H$82,Settings!$H$84,Settings!$H$86)</f>
        <v/>
      </c>
      <c r="AT6" s="157">
        <f>CHOOSE(MATCH(IF($U6="","Основний",$U6),{"Трафіковий","Основний","Маржинальний","Сезонний","Стратегічний"},0),Settings!$I$78,Settings!$I$80,Settings!$I$82,Settings!$I$84,Settings!$I$86)</f>
        <v/>
      </c>
      <c r="AU6" s="171" t="n"/>
      <c r="AV6" t="n">
        <v>1.4</v>
      </c>
    </row>
    <row r="7">
      <c r="A7" s="33" t="inlineStr">
        <is>
          <t>SELL OUT</t>
        </is>
      </c>
      <c r="B7" s="34" t="inlineStr">
        <is>
          <t>B7316</t>
        </is>
      </c>
      <c r="C7" s="34" t="inlineStr">
        <is>
          <t>RAVER BAT. WATCH CR2016, 5BL</t>
        </is>
      </c>
      <c r="D7" s="34" t="inlineStr">
        <is>
          <t>Батарейки</t>
        </is>
      </c>
      <c r="E7" s="33" t="n">
        <v>5</v>
      </c>
      <c r="F7" s="94" t="n">
        <v>0.083</v>
      </c>
      <c r="G7" s="35" t="n">
        <v>8506503000</v>
      </c>
      <c r="H7" s="31" t="n">
        <v>1.35</v>
      </c>
      <c r="I7" s="84">
        <f>IFERROR(F7*Settings!$B$2*H7*IF(AND(ISNUMBER(E7),E7&gt;1),E7,1),"")</f>
        <v/>
      </c>
      <c r="J7" s="32">
        <f>Settings!$B$66</f>
        <v/>
      </c>
      <c r="K7" s="95">
        <f>IFERROR(IF(T7="","",(T7*(1-AN7)*(1-Settings!$B$17)-I7)/(T7*(1-AN7)*(1-Settings!$B$17))),"")</f>
        <v/>
      </c>
      <c r="L7" s="101">
        <f>IFERROR(IF(T7="","",(T7*(1-AO7)*(1-Settings!$C$17)-I7)/(T7*(1-AO7)*(1-Settings!$C$17))),"")</f>
        <v/>
      </c>
      <c r="M7" s="101">
        <f>IFERROR(IF(T7="","",(T7*(1-AP7)*(1-Settings!$D$17)-I7)/(T7*(1-AP7)*(1-Settings!$D$17))),"")</f>
        <v/>
      </c>
      <c r="N7" s="101">
        <f>IFERROR(IF(T7="","",(T7*(1-AQ7)*(1-Settings!$F$17)-I7)/(T7*(1-AQ7)*(1-Settings!$F$17))),"")</f>
        <v/>
      </c>
      <c r="O7" s="101">
        <f>IFERROR(IF(T7="","",(T7*(1-AR7)*(1-Settings!$G$17)-I7)/(T7*(1-AR7)*(1-Settings!$G$17))),"")</f>
        <v/>
      </c>
      <c r="P7" s="101">
        <f>IFERROR(IF(T7="","",(T7*(1-AS7)*(1-Settings!$H$17)-I7)/(T7*(1-AS7)*(1-Settings!$H$17))),"")</f>
        <v/>
      </c>
      <c r="Q7" s="101">
        <f>IFERROR(IF(T7="","",(T7*(1-AT7)*(1-Settings!$I$68)*(1-Settings!$I$17)-I7)/(T7*(1-AT7)*(1-Settings!$I$68)*(1-Settings!$I$17))),"")</f>
        <v/>
      </c>
      <c r="R7" s="91">
        <f>IFERROR(IF(OR(I7="",Z7&gt;=1,Settings!$B$17&gt;=1,AN7&gt;=1),"",IF(MOD(ROUND(I7/(1-Z7)/(1-Settings!$B$17)/(1-AN7),0),10)=0,ROUND(I7/(1-Z7)/(1-Settings!$B$17)/(1-AN7),0)-1,IF(MOD(ROUND(I7/(1-Z7)/(1-Settings!$B$17)/(1-AN7),0),10)&lt;=5,FLOOR(ROUND(I7/(1-Z7)/(1-Settings!$B$17)/(1-AN7),0),10)+6,FLOOR(ROUND(I7/(1-Z7)/(1-Settings!$B$17)/(1-AN7),0),10)+9))),"")</f>
        <v/>
      </c>
      <c r="S7" s="92" t="n">
        <v>69</v>
      </c>
      <c r="T7" s="91">
        <f>IF(S7&lt;&gt;"", IF(MOD(S7,10)=0,S7-1,IF(MOD(S7,10)&lt;=5,FLOOR(S7,10)+6,FLOOR(S7,10)+9)), R7)</f>
        <v/>
      </c>
      <c r="U7" s="87" t="inlineStr">
        <is>
          <t>Маржинальний</t>
        </is>
      </c>
      <c r="V7" s="88" t="n"/>
      <c r="W7" s="88" t="n"/>
      <c r="X7" s="89">
        <f>IFERROR(IF(OR(V7="",W7="",T7=""),"", IF(T7&gt;W7,"Дорогий",IF(T7&lt;V7,"Дешевий","У ринку"))),"")</f>
        <v/>
      </c>
      <c r="Y7" s="90" t="n"/>
      <c r="Z7" s="104">
        <f>CHOOSE(MATCH(IF($U7="","Основний",$U7),{"Трафіковий","Основний","Маржинальний","Сезонний","Стратегічний"},0),0.16,0.19,0.24,0.23,0.28)</f>
        <v/>
      </c>
      <c r="AA7" s="104">
        <f>CHOOSE(MATCH(IF($U7="","Основний",$U7),{"Трафіковий","Основний","Маржинальний","Сезонний","Стратегічний"},0),0.18,0.21,0.26,0.25,0.3)</f>
        <v/>
      </c>
      <c r="AB7" s="104">
        <f>CHOOSE(MATCH(IF($U7="","Основний",$U7),{"Трафіковий","Основний","Маржинальний","Сезонний","Стратегічний"},0),0.19,0.22,0.28,0.26,0.32)</f>
        <v/>
      </c>
      <c r="AC7" s="104">
        <f>CHOOSE(MATCH(IF($U7="","Основний",$U7),{"Трафіковий","Основний","Маржинальний","Сезонний","Стратегічний"},0),0.17,0.2,0.25,0.24,0.28)</f>
        <v/>
      </c>
      <c r="AD7" s="104">
        <f>CHOOSE(MATCH(IF($U7="","Основний",$U7),{"Трафіковий","Основний","Маржинальний","Сезонний","Стратегічний"},0),0.18,0.21,0.26,0.25,0.3)</f>
        <v/>
      </c>
      <c r="AE7" s="104">
        <f>CHOOSE(MATCH(IF($U7="","Основний",$U7),{"Трафіковий","Основний","Маржинальний","Сезонний","Стратегічний"},0),0.18,0.2,0.28,0.27,0.32)</f>
        <v/>
      </c>
      <c r="AF7" s="104">
        <f>CHOOSE(MATCH(IF($U7="","Основний",$U7),{"Трафіковий","Основний","Маржинальний","Сезонний","Стратегічний"},0),0.15,0.175,0.22,0.21,0.25)</f>
        <v/>
      </c>
      <c r="AG7" s="104">
        <f>CHOOSE(MATCH(IF($U7="","Основний",$U7),{"Трафіковий","Основний","Маржинальний","Сезонний","Стратегічний"},0),0.13,0.16,0.21,0.2,0.25)</f>
        <v/>
      </c>
      <c r="AH7" s="104">
        <f>CHOOSE(MATCH(IF($U7="","Основний",$U7),{"Трафіковий","Основний","Маржинальний","Сезонний","Стратегічний"},0),0.15,0.18,0.23,0.22,0.27)</f>
        <v/>
      </c>
      <c r="AI7" s="104">
        <f>CHOOSE(MATCH(IF($U7="","Основний",$U7),{"Трафіковий","Основний","Маржинальний","Сезонний","Стратегічний"},0),0.16,0.19,0.25,0.23,0.29)</f>
        <v/>
      </c>
      <c r="AJ7" s="104">
        <f>CHOOSE(MATCH(IF($U7="","Основний",$U7),{"Трафіковий","Основний","Маржинальний","Сезонний","Стратегічний"},0),0.14,0.17,0.22,0.21,0.25)</f>
        <v/>
      </c>
      <c r="AK7" s="104">
        <f>CHOOSE(MATCH(IF($U7="","Основний",$U7),{"Трафіковий","Основний","Маржинальний","Сезонний","Стратегічний"},0),0.15,0.18,0.23,0.22,0.27)</f>
        <v/>
      </c>
      <c r="AL7" s="104">
        <f>CHOOSE(MATCH(IF($U7="","Основний",$U7),{"Трафіковий","Основний","Маржинальний","Сезонний","Стратегічний"},0),0.15,0.17,0.25,0.24,0.29)</f>
        <v/>
      </c>
      <c r="AM7" s="104">
        <f>CHOOSE(MATCH(IF($U7="","Основний",$U7),{"Трафіковий","Основний","Маржинальний","Сезонний","Стратегічний"},0),0.12,0.145,0.19,0.18,0.22)</f>
        <v/>
      </c>
      <c r="AN7" s="157">
        <f>CHOOSE(MATCH(IF($U7="","Основний",$U7),{"Трафіковий","Основний","Маржинальний","Сезонний","Стратегічний"},0),Settings!$B$78,Settings!$B$80,Settings!$B$82,Settings!$B$84,Settings!$B$86)</f>
        <v/>
      </c>
      <c r="AO7" s="157">
        <f>CHOOSE(MATCH(IF($U7="","Основний",$U7),{"Трафіковий","Основний","Маржинальний","Сезонний","Стратегічний"},0),Settings!$C$78,Settings!$C$80,Settings!$C$82,Settings!$C$84,Settings!$C$86)</f>
        <v/>
      </c>
      <c r="AP7" s="157">
        <f>CHOOSE(MATCH(IF($U7="","Основний",$U7),{"Трафіковий","Основний","Маржинальний","Сезонний","Стратегічний"},0),Settings!$D$78,Settings!$D$80,Settings!$D$82,Settings!$D$84,Settings!$D$86)</f>
        <v/>
      </c>
      <c r="AQ7" s="157">
        <f>CHOOSE(MATCH(IF($U7="","Основний",$U7),{"Трафіковий","Основний","Маржинальний","Сезонний","Стратегічний"},0),Settings!$F$78,Settings!$F$80,Settings!$F$82,Settings!$F$84,Settings!$F$86)</f>
        <v/>
      </c>
      <c r="AR7" s="157">
        <f>CHOOSE(MATCH(IF($U7="","Основний",$U7),{"Трафіковий","Основний","Маржинальний","Сезонний","Стратегічний"},0),Settings!$G$78,Settings!$G$80,Settings!$G$82,Settings!$G$84,Settings!$G$86)</f>
        <v/>
      </c>
      <c r="AS7" s="157">
        <f>CHOOSE(MATCH(IF($U7="","Основний",$U7),{"Трафіковий","Основний","Маржинальний","Сезонний","Стратегічний"},0),Settings!$H$78,Settings!$H$80,Settings!$H$82,Settings!$H$84,Settings!$H$86)</f>
        <v/>
      </c>
      <c r="AT7" s="157">
        <f>CHOOSE(MATCH(IF($U7="","Основний",$U7),{"Трафіковий","Основний","Маржинальний","Сезонний","Стратегічний"},0),Settings!$I$78,Settings!$I$80,Settings!$I$82,Settings!$I$84,Settings!$I$86)</f>
        <v/>
      </c>
      <c r="AU7" s="171" t="n"/>
      <c r="AV7" t="n">
        <v>1.67</v>
      </c>
    </row>
    <row r="8">
      <c r="A8" s="28" t="inlineStr">
        <is>
          <t>SELL OUT</t>
        </is>
      </c>
      <c r="B8" s="29" t="inlineStr">
        <is>
          <t>B7325</t>
        </is>
      </c>
      <c r="C8" s="29" t="inlineStr">
        <is>
          <t>RAVER BAT. WATCH CR2025, 5BL</t>
        </is>
      </c>
      <c r="D8" s="29" t="inlineStr">
        <is>
          <t>Батарейки</t>
        </is>
      </c>
      <c r="E8" s="28" t="n">
        <v>5</v>
      </c>
      <c r="F8" s="93" t="n">
        <v>0.089</v>
      </c>
      <c r="G8" s="30" t="n">
        <v>8506503000</v>
      </c>
      <c r="H8" s="31" t="n">
        <v>1.35</v>
      </c>
      <c r="I8" s="84">
        <f>IFERROR(F8*Settings!$B$2*H8*IF(AND(ISNUMBER(E8),E8&gt;1),E8,1),"")</f>
        <v/>
      </c>
      <c r="J8" s="32">
        <f>Settings!$B$66</f>
        <v/>
      </c>
      <c r="K8" s="95">
        <f>IFERROR(IF(T8="","",(T8*(1-AN8)*(1-Settings!$B$17)-I8)/(T8*(1-AN8)*(1-Settings!$B$17))),"")</f>
        <v/>
      </c>
      <c r="L8" s="101">
        <f>IFERROR(IF(T8="","",(T8*(1-AO8)*(1-Settings!$C$17)-I8)/(T8*(1-AO8)*(1-Settings!$C$17))),"")</f>
        <v/>
      </c>
      <c r="M8" s="101">
        <f>IFERROR(IF(T8="","",(T8*(1-AP8)*(1-Settings!$D$17)-I8)/(T8*(1-AP8)*(1-Settings!$D$17))),"")</f>
        <v/>
      </c>
      <c r="N8" s="101">
        <f>IFERROR(IF(T8="","",(T8*(1-AQ8)*(1-Settings!$F$17)-I8)/(T8*(1-AQ8)*(1-Settings!$F$17))),"")</f>
        <v/>
      </c>
      <c r="O8" s="101">
        <f>IFERROR(IF(T8="","",(T8*(1-AR8)*(1-Settings!$G$17)-I8)/(T8*(1-AR8)*(1-Settings!$G$17))),"")</f>
        <v/>
      </c>
      <c r="P8" s="101">
        <f>IFERROR(IF(T8="","",(T8*(1-AS8)*(1-Settings!$H$17)-I8)/(T8*(1-AS8)*(1-Settings!$H$17))),"")</f>
        <v/>
      </c>
      <c r="Q8" s="101">
        <f>IFERROR(IF(T8="","",(T8*(1-AT8)*(1-Settings!$I$68)*(1-Settings!$I$17)-I8)/(T8*(1-AT8)*(1-Settings!$I$68)*(1-Settings!$I$17))),"")</f>
        <v/>
      </c>
      <c r="R8" s="91">
        <f>IFERROR(IF(OR(I8="",Z8&gt;=1,Settings!$B$17&gt;=1,AN8&gt;=1),"",IF(MOD(ROUND(I8/(1-Z8)/(1-Settings!$B$17)/(1-AN8),0),10)=0,ROUND(I8/(1-Z8)/(1-Settings!$B$17)/(1-AN8),0)-1,IF(MOD(ROUND(I8/(1-Z8)/(1-Settings!$B$17)/(1-AN8),0),10)&lt;=5,FLOOR(ROUND(I8/(1-Z8)/(1-Settings!$B$17)/(1-AN8),0),10)+6,FLOOR(ROUND(I8/(1-Z8)/(1-Settings!$B$17)/(1-AN8),0),10)+9))),"")</f>
        <v/>
      </c>
      <c r="S8" s="92" t="n">
        <v>70</v>
      </c>
      <c r="T8" s="91">
        <f>IF(S8&lt;&gt;"", IF(MOD(S8,10)=0,S8-1,IF(MOD(S8,10)&lt;=5,FLOOR(S8,10)+6,FLOOR(S8,10)+9)), R8)</f>
        <v/>
      </c>
      <c r="U8" s="87" t="inlineStr">
        <is>
          <t>Маржинальний</t>
        </is>
      </c>
      <c r="V8" s="88" t="n"/>
      <c r="W8" s="88" t="n"/>
      <c r="X8" s="89">
        <f>IFERROR(IF(OR(V8="",W8="",T8=""),"", IF(T8&gt;W8,"Дорогий",IF(T8&lt;V8,"Дешевий","У ринку"))),"")</f>
        <v/>
      </c>
      <c r="Y8" s="90" t="n"/>
      <c r="Z8" s="104">
        <f>CHOOSE(MATCH(IF($U8="","Основний",$U8),{"Трафіковий","Основний","Маржинальний","Сезонний","Стратегічний"},0),0.16,0.19,0.24,0.23,0.28)</f>
        <v/>
      </c>
      <c r="AA8" s="104">
        <f>CHOOSE(MATCH(IF($U8="","Основний",$U8),{"Трафіковий","Основний","Маржинальний","Сезонний","Стратегічний"},0),0.18,0.21,0.26,0.25,0.3)</f>
        <v/>
      </c>
      <c r="AB8" s="104">
        <f>CHOOSE(MATCH(IF($U8="","Основний",$U8),{"Трафіковий","Основний","Маржинальний","Сезонний","Стратегічний"},0),0.19,0.22,0.28,0.26,0.32)</f>
        <v/>
      </c>
      <c r="AC8" s="104">
        <f>CHOOSE(MATCH(IF($U8="","Основний",$U8),{"Трафіковий","Основний","Маржинальний","Сезонний","Стратегічний"},0),0.17,0.2,0.25,0.24,0.28)</f>
        <v/>
      </c>
      <c r="AD8" s="104">
        <f>CHOOSE(MATCH(IF($U8="","Основний",$U8),{"Трафіковий","Основний","Маржинальний","Сезонний","Стратегічний"},0),0.18,0.21,0.26,0.25,0.3)</f>
        <v/>
      </c>
      <c r="AE8" s="104">
        <f>CHOOSE(MATCH(IF($U8="","Основний",$U8),{"Трафіковий","Основний","Маржинальний","Сезонний","Стратегічний"},0),0.18,0.2,0.28,0.27,0.32)</f>
        <v/>
      </c>
      <c r="AF8" s="104">
        <f>CHOOSE(MATCH(IF($U8="","Основний",$U8),{"Трафіковий","Основний","Маржинальний","Сезонний","Стратегічний"},0),0.15,0.175,0.22,0.21,0.25)</f>
        <v/>
      </c>
      <c r="AG8" s="104">
        <f>CHOOSE(MATCH(IF($U8="","Основний",$U8),{"Трафіковий","Основний","Маржинальний","Сезонний","Стратегічний"},0),0.13,0.16,0.21,0.2,0.25)</f>
        <v/>
      </c>
      <c r="AH8" s="104">
        <f>CHOOSE(MATCH(IF($U8="","Основний",$U8),{"Трафіковий","Основний","Маржинальний","Сезонний","Стратегічний"},0),0.15,0.18,0.23,0.22,0.27)</f>
        <v/>
      </c>
      <c r="AI8" s="104">
        <f>CHOOSE(MATCH(IF($U8="","Основний",$U8),{"Трафіковий","Основний","Маржинальний","Сезонний","Стратегічний"},0),0.16,0.19,0.25,0.23,0.29)</f>
        <v/>
      </c>
      <c r="AJ8" s="104">
        <f>CHOOSE(MATCH(IF($U8="","Основний",$U8),{"Трафіковий","Основний","Маржинальний","Сезонний","Стратегічний"},0),0.14,0.17,0.22,0.21,0.25)</f>
        <v/>
      </c>
      <c r="AK8" s="104">
        <f>CHOOSE(MATCH(IF($U8="","Основний",$U8),{"Трафіковий","Основний","Маржинальний","Сезонний","Стратегічний"},0),0.15,0.18,0.23,0.22,0.27)</f>
        <v/>
      </c>
      <c r="AL8" s="104">
        <f>CHOOSE(MATCH(IF($U8="","Основний",$U8),{"Трафіковий","Основний","Маржинальний","Сезонний","Стратегічний"},0),0.15,0.17,0.25,0.24,0.29)</f>
        <v/>
      </c>
      <c r="AM8" s="104">
        <f>CHOOSE(MATCH(IF($U8="","Основний",$U8),{"Трафіковий","Основний","Маржинальний","Сезонний","Стратегічний"},0),0.12,0.145,0.19,0.18,0.22)</f>
        <v/>
      </c>
      <c r="AN8" s="157">
        <f>CHOOSE(MATCH(IF($U8="","Основний",$U8),{"Трафіковий","Основний","Маржинальний","Сезонний","Стратегічний"},0),Settings!$B$78,Settings!$B$80,Settings!$B$82,Settings!$B$84,Settings!$B$86)</f>
        <v/>
      </c>
      <c r="AO8" s="157">
        <f>CHOOSE(MATCH(IF($U8="","Основний",$U8),{"Трафіковий","Основний","Маржинальний","Сезонний","Стратегічний"},0),Settings!$C$78,Settings!$C$80,Settings!$C$82,Settings!$C$84,Settings!$C$86)</f>
        <v/>
      </c>
      <c r="AP8" s="157">
        <f>CHOOSE(MATCH(IF($U8="","Основний",$U8),{"Трафіковий","Основний","Маржинальний","Сезонний","Стратегічний"},0),Settings!$D$78,Settings!$D$80,Settings!$D$82,Settings!$D$84,Settings!$D$86)</f>
        <v/>
      </c>
      <c r="AQ8" s="157">
        <f>CHOOSE(MATCH(IF($U8="","Основний",$U8),{"Трафіковий","Основний","Маржинальний","Сезонний","Стратегічний"},0),Settings!$F$78,Settings!$F$80,Settings!$F$82,Settings!$F$84,Settings!$F$86)</f>
        <v/>
      </c>
      <c r="AR8" s="157">
        <f>CHOOSE(MATCH(IF($U8="","Основний",$U8),{"Трафіковий","Основний","Маржинальний","Сезонний","Стратегічний"},0),Settings!$G$78,Settings!$G$80,Settings!$G$82,Settings!$G$84,Settings!$G$86)</f>
        <v/>
      </c>
      <c r="AS8" s="157">
        <f>CHOOSE(MATCH(IF($U8="","Основний",$U8),{"Трафіковий","Основний","Маржинальний","Сезонний","Стратегічний"},0),Settings!$H$78,Settings!$H$80,Settings!$H$82,Settings!$H$84,Settings!$H$86)</f>
        <v/>
      </c>
      <c r="AT8" s="157">
        <f>CHOOSE(MATCH(IF($U8="","Основний",$U8),{"Трафіковий","Основний","Маржинальний","Сезонний","Стратегічний"},0),Settings!$I$78,Settings!$I$80,Settings!$I$82,Settings!$I$84,Settings!$I$86)</f>
        <v/>
      </c>
      <c r="AU8" s="171" t="n"/>
      <c r="AV8" t="n">
        <v>1.67</v>
      </c>
    </row>
    <row r="9">
      <c r="A9" s="33" t="n"/>
      <c r="B9" s="34" t="inlineStr">
        <is>
          <t>N0322</t>
        </is>
      </c>
      <c r="C9" s="34" t="inlineStr">
        <is>
          <t>UNI BATTERY TESTER LCD</t>
        </is>
      </c>
      <c r="D9" s="34" t="inlineStr">
        <is>
          <t>Зарядні пристрої для акумуляторів</t>
        </is>
      </c>
      <c r="E9" s="33" t="inlineStr">
        <is>
          <t>PC</t>
        </is>
      </c>
      <c r="F9" s="94" t="n">
        <v>2.244</v>
      </c>
      <c r="G9" s="35" t="n">
        <v>9030337000</v>
      </c>
      <c r="H9" s="31" t="n">
        <v>1.3</v>
      </c>
      <c r="I9" s="84">
        <f>IFERROR(F9*Settings!$B$2*H9*IF(AND(ISNUMBER(E9),E9&gt;1),E9,1),"")</f>
        <v/>
      </c>
      <c r="J9" s="32">
        <f>Settings!$B$66</f>
        <v/>
      </c>
      <c r="K9" s="95">
        <f>IFERROR(IF(T9="","",(T9*(1-AN9)*(1-Settings!$B$17)-I9)/(T9*(1-AN9)*(1-Settings!$B$17))),"")</f>
        <v/>
      </c>
      <c r="L9" s="101">
        <f>IFERROR(IF(T9="","",(T9*(1-AO9)*(1-Settings!$C$17)-I9)/(T9*(1-AO9)*(1-Settings!$C$17))),"")</f>
        <v/>
      </c>
      <c r="M9" s="101">
        <f>IFERROR(IF(T9="","",(T9*(1-AP9)*(1-Settings!$D$17)-I9)/(T9*(1-AP9)*(1-Settings!$D$17))),"")</f>
        <v/>
      </c>
      <c r="N9" s="101">
        <f>IFERROR(IF(T9="","",(T9*(1-AQ9)*(1-Settings!$F$17)-I9)/(T9*(1-AQ9)*(1-Settings!$F$17))),"")</f>
        <v/>
      </c>
      <c r="O9" s="101">
        <f>IFERROR(IF(T9="","",(T9*(1-AR9)*(1-Settings!$G$17)-I9)/(T9*(1-AR9)*(1-Settings!$G$17))),"")</f>
        <v/>
      </c>
      <c r="P9" s="101">
        <f>IFERROR(IF(T9="","",(T9*(1-AS9)*(1-Settings!$H$17)-I9)/(T9*(1-AS9)*(1-Settings!$H$17))),"")</f>
        <v/>
      </c>
      <c r="Q9" s="101">
        <f>IFERROR(IF(T9="","",(T9*(1-AT9)*(1-Settings!$I$68)*(1-Settings!$I$17)-I9)/(T9*(1-AT9)*(1-Settings!$I$68)*(1-Settings!$I$17))),"")</f>
        <v/>
      </c>
      <c r="R9" s="91">
        <f>IFERROR(IF(OR(I9="",Z9&gt;=1,Settings!$B$17&gt;=1,AN9&gt;=1),"",IF(MOD(ROUND(I9/(1-Z9)/(1-Settings!$B$17)/(1-AN9),0),10)=0,ROUND(I9/(1-Z9)/(1-Settings!$B$17)/(1-AN9),0)-1,IF(MOD(ROUND(I9/(1-Z9)/(1-Settings!$B$17)/(1-AN9),0),10)&lt;=5,FLOOR(ROUND(I9/(1-Z9)/(1-Settings!$B$17)/(1-AN9),0),10)+6,FLOOR(ROUND(I9/(1-Z9)/(1-Settings!$B$17)/(1-AN9),0),10)+9))),"")</f>
        <v/>
      </c>
      <c r="S9" s="92" t="n"/>
      <c r="T9" s="91">
        <f>IF(S9&lt;&gt;"", IF(MOD(S9,10)=0,S9-1,IF(MOD(S9,10)&lt;=5,FLOOR(S9,10)+6,FLOOR(S9,10)+9)), R9)</f>
        <v/>
      </c>
      <c r="U9" s="87" t="inlineStr">
        <is>
          <t>Основний</t>
        </is>
      </c>
      <c r="V9" s="88" t="n"/>
      <c r="W9" s="88" t="n"/>
      <c r="X9" s="89">
        <f>IFERROR(IF(OR(V9="",W9="",T9=""),"", IF(T9&gt;W9,"Дорогий",IF(T9&lt;V9,"Дешевий","У ринку"))),"")</f>
        <v/>
      </c>
      <c r="Y9" s="90" t="n"/>
      <c r="Z9" s="104">
        <f>CHOOSE(MATCH(IF($U9="","Основний",$U9),{"Трафіковий","Основний","Маржинальний","Сезонний","Стратегічний"},0),0.16,0.19,0.24,0.23,0.28)</f>
        <v/>
      </c>
      <c r="AA9" s="104">
        <f>CHOOSE(MATCH(IF($U9="","Основний",$U9),{"Трафіковий","Основний","Маржинальний","Сезонний","Стратегічний"},0),0.18,0.21,0.26,0.25,0.3)</f>
        <v/>
      </c>
      <c r="AB9" s="104">
        <f>CHOOSE(MATCH(IF($U9="","Основний",$U9),{"Трафіковий","Основний","Маржинальний","Сезонний","Стратегічний"},0),0.19,0.22,0.28,0.26,0.32)</f>
        <v/>
      </c>
      <c r="AC9" s="104">
        <f>CHOOSE(MATCH(IF($U9="","Основний",$U9),{"Трафіковий","Основний","Маржинальний","Сезонний","Стратегічний"},0),0.17,0.2,0.25,0.24,0.28)</f>
        <v/>
      </c>
      <c r="AD9" s="104">
        <f>CHOOSE(MATCH(IF($U9="","Основний",$U9),{"Трафіковий","Основний","Маржинальний","Сезонний","Стратегічний"},0),0.18,0.21,0.26,0.25,0.3)</f>
        <v/>
      </c>
      <c r="AE9" s="104">
        <f>CHOOSE(MATCH(IF($U9="","Основний",$U9),{"Трафіковий","Основний","Маржинальний","Сезонний","Стратегічний"},0),0.18,0.2,0.28,0.27,0.32)</f>
        <v/>
      </c>
      <c r="AF9" s="104">
        <f>CHOOSE(MATCH(IF($U9="","Основний",$U9),{"Трафіковий","Основний","Маржинальний","Сезонний","Стратегічний"},0),0.15,0.175,0.22,0.21,0.25)</f>
        <v/>
      </c>
      <c r="AG9" s="104">
        <f>CHOOSE(MATCH(IF($U9="","Основний",$U9),{"Трафіковий","Основний","Маржинальний","Сезонний","Стратегічний"},0),0.13,0.16,0.21,0.2,0.25)</f>
        <v/>
      </c>
      <c r="AH9" s="104">
        <f>CHOOSE(MATCH(IF($U9="","Основний",$U9),{"Трафіковий","Основний","Маржинальний","Сезонний","Стратегічний"},0),0.15,0.18,0.23,0.22,0.27)</f>
        <v/>
      </c>
      <c r="AI9" s="104">
        <f>CHOOSE(MATCH(IF($U9="","Основний",$U9),{"Трафіковий","Основний","Маржинальний","Сезонний","Стратегічний"},0),0.16,0.19,0.25,0.23,0.29)</f>
        <v/>
      </c>
      <c r="AJ9" s="104">
        <f>CHOOSE(MATCH(IF($U9="","Основний",$U9),{"Трафіковий","Основний","Маржинальний","Сезонний","Стратегічний"},0),0.14,0.17,0.22,0.21,0.25)</f>
        <v/>
      </c>
      <c r="AK9" s="104">
        <f>CHOOSE(MATCH(IF($U9="","Основний",$U9),{"Трафіковий","Основний","Маржинальний","Сезонний","Стратегічний"},0),0.15,0.18,0.23,0.22,0.27)</f>
        <v/>
      </c>
      <c r="AL9" s="104">
        <f>CHOOSE(MATCH(IF($U9="","Основний",$U9),{"Трафіковий","Основний","Маржинальний","Сезонний","Стратегічний"},0),0.15,0.17,0.25,0.24,0.29)</f>
        <v/>
      </c>
      <c r="AM9" s="104">
        <f>CHOOSE(MATCH(IF($U9="","Основний",$U9),{"Трафіковий","Основний","Маржинальний","Сезонний","Стратегічний"},0),0.12,0.145,0.19,0.18,0.22)</f>
        <v/>
      </c>
      <c r="AN9" s="157">
        <f>CHOOSE(MATCH(IF($U9="","Основний",$U9),{"Трафіковий","Основний","Маржинальний","Сезонний","Стратегічний"},0),Settings!$B$78,Settings!$B$80,Settings!$B$82,Settings!$B$84,Settings!$B$86)</f>
        <v/>
      </c>
      <c r="AO9" s="157">
        <f>CHOOSE(MATCH(IF($U9="","Основний",$U9),{"Трафіковий","Основний","Маржинальний","Сезонний","Стратегічний"},0),Settings!$C$78,Settings!$C$80,Settings!$C$82,Settings!$C$84,Settings!$C$86)</f>
        <v/>
      </c>
      <c r="AP9" s="157">
        <f>CHOOSE(MATCH(IF($U9="","Основний",$U9),{"Трафіковий","Основний","Маржинальний","Сезонний","Стратегічний"},0),Settings!$D$78,Settings!$D$80,Settings!$D$82,Settings!$D$84,Settings!$D$86)</f>
        <v/>
      </c>
      <c r="AQ9" s="157">
        <f>CHOOSE(MATCH(IF($U9="","Основний",$U9),{"Трафіковий","Основний","Маржинальний","Сезонний","Стратегічний"},0),Settings!$F$78,Settings!$F$80,Settings!$F$82,Settings!$F$84,Settings!$F$86)</f>
        <v/>
      </c>
      <c r="AR9" s="157">
        <f>CHOOSE(MATCH(IF($U9="","Основний",$U9),{"Трафіковий","Основний","Маржинальний","Сезонний","Стратегічний"},0),Settings!$G$78,Settings!$G$80,Settings!$G$82,Settings!$G$84,Settings!$G$86)</f>
        <v/>
      </c>
      <c r="AS9" s="157">
        <f>CHOOSE(MATCH(IF($U9="","Основний",$U9),{"Трафіковий","Основний","Маржинальний","Сезонний","Стратегічний"},0),Settings!$H$78,Settings!$H$80,Settings!$H$82,Settings!$H$84,Settings!$H$86)</f>
        <v/>
      </c>
      <c r="AT9" s="157">
        <f>CHOOSE(MATCH(IF($U9="","Основний",$U9),{"Трафіковий","Основний","Маржинальний","Сезонний","Стратегічний"},0),Settings!$I$78,Settings!$I$80,Settings!$I$82,Settings!$I$84,Settings!$I$86)</f>
        <v/>
      </c>
      <c r="AU9" s="171" t="n"/>
      <c r="AV9" t="n">
        <v>1.35</v>
      </c>
    </row>
    <row r="10">
      <c r="A10" s="28" t="n"/>
      <c r="B10" s="29" t="inlineStr">
        <is>
          <t>N9221</t>
        </is>
      </c>
      <c r="C10" s="29" t="inlineStr">
        <is>
          <t>EMOS Universal Li-ion Battery Charger BCL-20D</t>
        </is>
      </c>
      <c r="D10" s="29" t="inlineStr">
        <is>
          <t>Зарядні пристрої для акумуляторів</t>
        </is>
      </c>
      <c r="E10" s="28" t="inlineStr">
        <is>
          <t>PC</t>
        </is>
      </c>
      <c r="F10" s="93" t="n">
        <v>8.901</v>
      </c>
      <c r="G10" s="30" t="n">
        <v>8504406090</v>
      </c>
      <c r="H10" s="31" t="n">
        <v>1.3</v>
      </c>
      <c r="I10" s="84">
        <f>IFERROR(F10*Settings!$B$2*H10*IF(AND(ISNUMBER(E10),E10&gt;1),E10,1),"")</f>
        <v/>
      </c>
      <c r="J10" s="32">
        <f>Settings!$B$66</f>
        <v/>
      </c>
      <c r="K10" s="95">
        <f>IFERROR(IF(T10="","",(T10*(1-AN10)*(1-Settings!$B$17)-I10)/(T10*(1-AN10)*(1-Settings!$B$17))),"")</f>
        <v/>
      </c>
      <c r="L10" s="101">
        <f>IFERROR(IF(T10="","",(T10*(1-AO10)*(1-Settings!$C$17)-I10)/(T10*(1-AO10)*(1-Settings!$C$17))),"")</f>
        <v/>
      </c>
      <c r="M10" s="101">
        <f>IFERROR(IF(T10="","",(T10*(1-AP10)*(1-Settings!$D$17)-I10)/(T10*(1-AP10)*(1-Settings!$D$17))),"")</f>
        <v/>
      </c>
      <c r="N10" s="101">
        <f>IFERROR(IF(T10="","",(T10*(1-AQ10)*(1-Settings!$F$17)-I10)/(T10*(1-AQ10)*(1-Settings!$F$17))),"")</f>
        <v/>
      </c>
      <c r="O10" s="101">
        <f>IFERROR(IF(T10="","",(T10*(1-AR10)*(1-Settings!$G$17)-I10)/(T10*(1-AR10)*(1-Settings!$G$17))),"")</f>
        <v/>
      </c>
      <c r="P10" s="101">
        <f>IFERROR(IF(T10="","",(T10*(1-AS10)*(1-Settings!$H$17)-I10)/(T10*(1-AS10)*(1-Settings!$H$17))),"")</f>
        <v/>
      </c>
      <c r="Q10" s="101">
        <f>IFERROR(IF(T10="","",(T10*(1-AT10)*(1-Settings!$I$68)*(1-Settings!$I$17)-I10)/(T10*(1-AT10)*(1-Settings!$I$68)*(1-Settings!$I$17))),"")</f>
        <v/>
      </c>
      <c r="R10" s="91">
        <f>IFERROR(IF(OR(I10="",Z10&gt;=1,Settings!$B$17&gt;=1,AN10&gt;=1),"",IF(MOD(ROUND(I10/(1-Z10)/(1-Settings!$B$17)/(1-AN10),0),10)=0,ROUND(I10/(1-Z10)/(1-Settings!$B$17)/(1-AN10),0)-1,IF(MOD(ROUND(I10/(1-Z10)/(1-Settings!$B$17)/(1-AN10),0),10)&lt;=5,FLOOR(ROUND(I10/(1-Z10)/(1-Settings!$B$17)/(1-AN10),0),10)+6,FLOOR(ROUND(I10/(1-Z10)/(1-Settings!$B$17)/(1-AN10),0),10)+9))),"")</f>
        <v/>
      </c>
      <c r="S10" s="92" t="n"/>
      <c r="T10" s="91">
        <f>IF(S10&lt;&gt;"", IF(MOD(S10,10)=0,S10-1,IF(MOD(S10,10)&lt;=5,FLOOR(S10,10)+6,FLOOR(S10,10)+9)), R10)</f>
        <v/>
      </c>
      <c r="U10" s="87" t="inlineStr">
        <is>
          <t>Основний</t>
        </is>
      </c>
      <c r="V10" s="88" t="n"/>
      <c r="W10" s="88" t="n"/>
      <c r="X10" s="89">
        <f>IFERROR(IF(OR(V10="",W10="",T10=""),"", IF(T10&gt;W10,"Дорогий",IF(T10&lt;V10,"Дешевий","У ринку"))),"")</f>
        <v/>
      </c>
      <c r="Y10" s="90" t="n"/>
      <c r="Z10" s="104">
        <f>CHOOSE(MATCH(IF($U10="","Основний",$U10),{"Трафіковий","Основний","Маржинальний","Сезонний","Стратегічний"},0),0.16,0.19,0.24,0.23,0.28)</f>
        <v/>
      </c>
      <c r="AA10" s="104">
        <f>CHOOSE(MATCH(IF($U10="","Основний",$U10),{"Трафіковий","Основний","Маржинальний","Сезонний","Стратегічний"},0),0.18,0.21,0.26,0.25,0.3)</f>
        <v/>
      </c>
      <c r="AB10" s="104">
        <f>CHOOSE(MATCH(IF($U10="","Основний",$U10),{"Трафіковий","Основний","Маржинальний","Сезонний","Стратегічний"},0),0.19,0.22,0.28,0.26,0.32)</f>
        <v/>
      </c>
      <c r="AC10" s="104">
        <f>CHOOSE(MATCH(IF($U10="","Основний",$U10),{"Трафіковий","Основний","Маржинальний","Сезонний","Стратегічний"},0),0.17,0.2,0.25,0.24,0.28)</f>
        <v/>
      </c>
      <c r="AD10" s="104">
        <f>CHOOSE(MATCH(IF($U10="","Основний",$U10),{"Трафіковий","Основний","Маржинальний","Сезонний","Стратегічний"},0),0.18,0.21,0.26,0.25,0.3)</f>
        <v/>
      </c>
      <c r="AE10" s="104">
        <f>CHOOSE(MATCH(IF($U10="","Основний",$U10),{"Трафіковий","Основний","Маржинальний","Сезонний","Стратегічний"},0),0.18,0.2,0.28,0.27,0.32)</f>
        <v/>
      </c>
      <c r="AF10" s="104">
        <f>CHOOSE(MATCH(IF($U10="","Основний",$U10),{"Трафіковий","Основний","Маржинальний","Сезонний","Стратегічний"},0),0.15,0.175,0.22,0.21,0.25)</f>
        <v/>
      </c>
      <c r="AG10" s="104">
        <f>CHOOSE(MATCH(IF($U10="","Основний",$U10),{"Трафіковий","Основний","Маржинальний","Сезонний","Стратегічний"},0),0.13,0.16,0.21,0.2,0.25)</f>
        <v/>
      </c>
      <c r="AH10" s="104">
        <f>CHOOSE(MATCH(IF($U10="","Основний",$U10),{"Трафіковий","Основний","Маржинальний","Сезонний","Стратегічний"},0),0.15,0.18,0.23,0.22,0.27)</f>
        <v/>
      </c>
      <c r="AI10" s="104">
        <f>CHOOSE(MATCH(IF($U10="","Основний",$U10),{"Трафіковий","Основний","Маржинальний","Сезонний","Стратегічний"},0),0.16,0.19,0.25,0.23,0.29)</f>
        <v/>
      </c>
      <c r="AJ10" s="104">
        <f>CHOOSE(MATCH(IF($U10="","Основний",$U10),{"Трафіковий","Основний","Маржинальний","Сезонний","Стратегічний"},0),0.14,0.17,0.22,0.21,0.25)</f>
        <v/>
      </c>
      <c r="AK10" s="104">
        <f>CHOOSE(MATCH(IF($U10="","Основний",$U10),{"Трафіковий","Основний","Маржинальний","Сезонний","Стратегічний"},0),0.15,0.18,0.23,0.22,0.27)</f>
        <v/>
      </c>
      <c r="AL10" s="104">
        <f>CHOOSE(MATCH(IF($U10="","Основний",$U10),{"Трафіковий","Основний","Маржинальний","Сезонний","Стратегічний"},0),0.15,0.17,0.25,0.24,0.29)</f>
        <v/>
      </c>
      <c r="AM10" s="104">
        <f>CHOOSE(MATCH(IF($U10="","Основний",$U10),{"Трафіковий","Основний","Маржинальний","Сезонний","Стратегічний"},0),0.12,0.145,0.19,0.18,0.22)</f>
        <v/>
      </c>
      <c r="AN10" s="157">
        <f>CHOOSE(MATCH(IF($U10="","Основний",$U10),{"Трафіковий","Основний","Маржинальний","Сезонний","Стратегічний"},0),Settings!$B$78,Settings!$B$80,Settings!$B$82,Settings!$B$84,Settings!$B$86)</f>
        <v/>
      </c>
      <c r="AO10" s="157">
        <f>CHOOSE(MATCH(IF($U10="","Основний",$U10),{"Трафіковий","Основний","Маржинальний","Сезонний","Стратегічний"},0),Settings!$C$78,Settings!$C$80,Settings!$C$82,Settings!$C$84,Settings!$C$86)</f>
        <v/>
      </c>
      <c r="AP10" s="157">
        <f>CHOOSE(MATCH(IF($U10="","Основний",$U10),{"Трафіковий","Основний","Маржинальний","Сезонний","Стратегічний"},0),Settings!$D$78,Settings!$D$80,Settings!$D$82,Settings!$D$84,Settings!$D$86)</f>
        <v/>
      </c>
      <c r="AQ10" s="157">
        <f>CHOOSE(MATCH(IF($U10="","Основний",$U10),{"Трафіковий","Основний","Маржинальний","Сезонний","Стратегічний"},0),Settings!$F$78,Settings!$F$80,Settings!$F$82,Settings!$F$84,Settings!$F$86)</f>
        <v/>
      </c>
      <c r="AR10" s="157">
        <f>CHOOSE(MATCH(IF($U10="","Основний",$U10),{"Трафіковий","Основний","Маржинальний","Сезонний","Стратегічний"},0),Settings!$G$78,Settings!$G$80,Settings!$G$82,Settings!$G$84,Settings!$G$86)</f>
        <v/>
      </c>
      <c r="AS10" s="157">
        <f>CHOOSE(MATCH(IF($U10="","Основний",$U10),{"Трафіковий","Основний","Маржинальний","Сезонний","Стратегічний"},0),Settings!$H$78,Settings!$H$80,Settings!$H$82,Settings!$H$84,Settings!$H$86)</f>
        <v/>
      </c>
      <c r="AT10" s="157">
        <f>CHOOSE(MATCH(IF($U10="","Основний",$U10),{"Трафіковий","Основний","Маржинальний","Сезонний","Стратегічний"},0),Settings!$I$78,Settings!$I$80,Settings!$I$82,Settings!$I$84,Settings!$I$86)</f>
        <v/>
      </c>
      <c r="AU10" s="171" t="n"/>
      <c r="AV10" t="n">
        <v>1.35</v>
      </c>
    </row>
    <row r="11">
      <c r="A11" s="33" t="n"/>
      <c r="B11" s="34" t="inlineStr">
        <is>
          <t>N9321</t>
        </is>
      </c>
      <c r="C11" s="34" t="inlineStr">
        <is>
          <t>EMOS battery charger BCN-40</t>
        </is>
      </c>
      <c r="D11" s="34" t="inlineStr">
        <is>
          <t>Зарядні пристрої для акумуляторів</t>
        </is>
      </c>
      <c r="E11" s="33" t="inlineStr">
        <is>
          <t>PC</t>
        </is>
      </c>
      <c r="F11" s="94" t="n">
        <v>5.105</v>
      </c>
      <c r="G11" s="35" t="n">
        <v>8504406090</v>
      </c>
      <c r="H11" s="31" t="n">
        <v>1.3</v>
      </c>
      <c r="I11" s="84">
        <f>IFERROR(F11*Settings!$B$2*H11*IF(AND(ISNUMBER(E11),E11&gt;1),E11,1),"")</f>
        <v/>
      </c>
      <c r="J11" s="32">
        <f>Settings!$B$66</f>
        <v/>
      </c>
      <c r="K11" s="95">
        <f>IFERROR(IF(T11="","",(T11*(1-AN11)*(1-Settings!$B$17)-I11)/(T11*(1-AN11)*(1-Settings!$B$17))),"")</f>
        <v/>
      </c>
      <c r="L11" s="101">
        <f>IFERROR(IF(T11="","",(T11*(1-AO11)*(1-Settings!$C$17)-I11)/(T11*(1-AO11)*(1-Settings!$C$17))),"")</f>
        <v/>
      </c>
      <c r="M11" s="101">
        <f>IFERROR(IF(T11="","",(T11*(1-AP11)*(1-Settings!$D$17)-I11)/(T11*(1-AP11)*(1-Settings!$D$17))),"")</f>
        <v/>
      </c>
      <c r="N11" s="101">
        <f>IFERROR(IF(T11="","",(T11*(1-AQ11)*(1-Settings!$F$17)-I11)/(T11*(1-AQ11)*(1-Settings!$F$17))),"")</f>
        <v/>
      </c>
      <c r="O11" s="101">
        <f>IFERROR(IF(T11="","",(T11*(1-AR11)*(1-Settings!$G$17)-I11)/(T11*(1-AR11)*(1-Settings!$G$17))),"")</f>
        <v/>
      </c>
      <c r="P11" s="101">
        <f>IFERROR(IF(T11="","",(T11*(1-AS11)*(1-Settings!$H$17)-I11)/(T11*(1-AS11)*(1-Settings!$H$17))),"")</f>
        <v/>
      </c>
      <c r="Q11" s="101">
        <f>IFERROR(IF(T11="","",(T11*(1-AT11)*(1-Settings!$I$68)*(1-Settings!$I$17)-I11)/(T11*(1-AT11)*(1-Settings!$I$68)*(1-Settings!$I$17))),"")</f>
        <v/>
      </c>
      <c r="R11" s="91">
        <f>IFERROR(IF(OR(I11="",Z11&gt;=1,Settings!$B$17&gt;=1,AN11&gt;=1),"",IF(MOD(ROUND(I11/(1-Z11)/(1-Settings!$B$17)/(1-AN11),0),10)=0,ROUND(I11/(1-Z11)/(1-Settings!$B$17)/(1-AN11),0)-1,IF(MOD(ROUND(I11/(1-Z11)/(1-Settings!$B$17)/(1-AN11),0),10)&lt;=5,FLOOR(ROUND(I11/(1-Z11)/(1-Settings!$B$17)/(1-AN11),0),10)+6,FLOOR(ROUND(I11/(1-Z11)/(1-Settings!$B$17)/(1-AN11),0),10)+9))),"")</f>
        <v/>
      </c>
      <c r="S11" s="92" t="n"/>
      <c r="T11" s="91">
        <f>IF(S11&lt;&gt;"", IF(MOD(S11,10)=0,S11-1,IF(MOD(S11,10)&lt;=5,FLOOR(S11,10)+6,FLOOR(S11,10)+9)), R11)</f>
        <v/>
      </c>
      <c r="U11" s="87" t="inlineStr">
        <is>
          <t>Основний</t>
        </is>
      </c>
      <c r="V11" s="88" t="n"/>
      <c r="W11" s="88" t="n"/>
      <c r="X11" s="89">
        <f>IFERROR(IF(OR(V11="",W11="",T11=""),"", IF(T11&gt;W11,"Дорогий",IF(T11&lt;V11,"Дешевий","У ринку"))),"")</f>
        <v/>
      </c>
      <c r="Y11" s="90" t="n"/>
      <c r="Z11" s="104">
        <f>CHOOSE(MATCH(IF($U11="","Основний",$U11),{"Трафіковий","Основний","Маржинальний","Сезонний","Стратегічний"},0),0.16,0.19,0.24,0.23,0.28)</f>
        <v/>
      </c>
      <c r="AA11" s="104">
        <f>CHOOSE(MATCH(IF($U11="","Основний",$U11),{"Трафіковий","Основний","Маржинальний","Сезонний","Стратегічний"},0),0.18,0.21,0.26,0.25,0.3)</f>
        <v/>
      </c>
      <c r="AB11" s="104">
        <f>CHOOSE(MATCH(IF($U11="","Основний",$U11),{"Трафіковий","Основний","Маржинальний","Сезонний","Стратегічний"},0),0.19,0.22,0.28,0.26,0.32)</f>
        <v/>
      </c>
      <c r="AC11" s="104">
        <f>CHOOSE(MATCH(IF($U11="","Основний",$U11),{"Трафіковий","Основний","Маржинальний","Сезонний","Стратегічний"},0),0.17,0.2,0.25,0.24,0.28)</f>
        <v/>
      </c>
      <c r="AD11" s="104">
        <f>CHOOSE(MATCH(IF($U11="","Основний",$U11),{"Трафіковий","Основний","Маржинальний","Сезонний","Стратегічний"},0),0.18,0.21,0.26,0.25,0.3)</f>
        <v/>
      </c>
      <c r="AE11" s="104">
        <f>CHOOSE(MATCH(IF($U11="","Основний",$U11),{"Трафіковий","Основний","Маржинальний","Сезонний","Стратегічний"},0),0.18,0.2,0.28,0.27,0.32)</f>
        <v/>
      </c>
      <c r="AF11" s="104">
        <f>CHOOSE(MATCH(IF($U11="","Основний",$U11),{"Трафіковий","Основний","Маржинальний","Сезонний","Стратегічний"},0),0.15,0.175,0.22,0.21,0.25)</f>
        <v/>
      </c>
      <c r="AG11" s="104">
        <f>CHOOSE(MATCH(IF($U11="","Основний",$U11),{"Трафіковий","Основний","Маржинальний","Сезонний","Стратегічний"},0),0.13,0.16,0.21,0.2,0.25)</f>
        <v/>
      </c>
      <c r="AH11" s="104">
        <f>CHOOSE(MATCH(IF($U11="","Основний",$U11),{"Трафіковий","Основний","Маржинальний","Сезонний","Стратегічний"},0),0.15,0.18,0.23,0.22,0.27)</f>
        <v/>
      </c>
      <c r="AI11" s="104">
        <f>CHOOSE(MATCH(IF($U11="","Основний",$U11),{"Трафіковий","Основний","Маржинальний","Сезонний","Стратегічний"},0),0.16,0.19,0.25,0.23,0.29)</f>
        <v/>
      </c>
      <c r="AJ11" s="104">
        <f>CHOOSE(MATCH(IF($U11="","Основний",$U11),{"Трафіковий","Основний","Маржинальний","Сезонний","Стратегічний"},0),0.14,0.17,0.22,0.21,0.25)</f>
        <v/>
      </c>
      <c r="AK11" s="104">
        <f>CHOOSE(MATCH(IF($U11="","Основний",$U11),{"Трафіковий","Основний","Маржинальний","Сезонний","Стратегічний"},0),0.15,0.18,0.23,0.22,0.27)</f>
        <v/>
      </c>
      <c r="AL11" s="104">
        <f>CHOOSE(MATCH(IF($U11="","Основний",$U11),{"Трафіковий","Основний","Маржинальний","Сезонний","Стратегічний"},0),0.15,0.17,0.25,0.24,0.29)</f>
        <v/>
      </c>
      <c r="AM11" s="104">
        <f>CHOOSE(MATCH(IF($U11="","Основний",$U11),{"Трафіковий","Основний","Маржинальний","Сезонний","Стратегічний"},0),0.12,0.145,0.19,0.18,0.22)</f>
        <v/>
      </c>
      <c r="AN11" s="157">
        <f>CHOOSE(MATCH(IF($U11="","Основний",$U11),{"Трафіковий","Основний","Маржинальний","Сезонний","Стратегічний"},0),Settings!$B$78,Settings!$B$80,Settings!$B$82,Settings!$B$84,Settings!$B$86)</f>
        <v/>
      </c>
      <c r="AO11" s="157">
        <f>CHOOSE(MATCH(IF($U11="","Основний",$U11),{"Трафіковий","Основний","Маржинальний","Сезонний","Стратегічний"},0),Settings!$C$78,Settings!$C$80,Settings!$C$82,Settings!$C$84,Settings!$C$86)</f>
        <v/>
      </c>
      <c r="AP11" s="157">
        <f>CHOOSE(MATCH(IF($U11="","Основний",$U11),{"Трафіковий","Основний","Маржинальний","Сезонний","Стратегічний"},0),Settings!$D$78,Settings!$D$80,Settings!$D$82,Settings!$D$84,Settings!$D$86)</f>
        <v/>
      </c>
      <c r="AQ11" s="157">
        <f>CHOOSE(MATCH(IF($U11="","Основний",$U11),{"Трафіковий","Основний","Маржинальний","Сезонний","Стратегічний"},0),Settings!$F$78,Settings!$F$80,Settings!$F$82,Settings!$F$84,Settings!$F$86)</f>
        <v/>
      </c>
      <c r="AR11" s="157">
        <f>CHOOSE(MATCH(IF($U11="","Основний",$U11),{"Трафіковий","Основний","Маржинальний","Сезонний","Стратегічний"},0),Settings!$G$78,Settings!$G$80,Settings!$G$82,Settings!$G$84,Settings!$G$86)</f>
        <v/>
      </c>
      <c r="AS11" s="157">
        <f>CHOOSE(MATCH(IF($U11="","Основний",$U11),{"Трафіковий","Основний","Маржинальний","Сезонний","Стратегічний"},0),Settings!$H$78,Settings!$H$80,Settings!$H$82,Settings!$H$84,Settings!$H$86)</f>
        <v/>
      </c>
      <c r="AT11" s="157">
        <f>CHOOSE(MATCH(IF($U11="","Основний",$U11),{"Трафіковий","Основний","Маржинальний","Сезонний","Стратегічний"},0),Settings!$I$78,Settings!$I$80,Settings!$I$82,Settings!$I$84,Settings!$I$86)</f>
        <v/>
      </c>
      <c r="AU11" s="171" t="n"/>
      <c r="AV11" t="n">
        <v>1.35</v>
      </c>
    </row>
    <row r="12">
      <c r="A12" s="28" t="n"/>
      <c r="B12" s="29" t="inlineStr">
        <is>
          <t>N9361</t>
        </is>
      </c>
      <c r="C12" s="29" t="inlineStr">
        <is>
          <t>EMOS universal  battery charger BCN-60U</t>
        </is>
      </c>
      <c r="D12" s="29" t="inlineStr">
        <is>
          <t>Зарядні пристрої для акумуляторів</t>
        </is>
      </c>
      <c r="E12" s="28" t="inlineStr">
        <is>
          <t>PC</t>
        </is>
      </c>
      <c r="F12" s="93" t="n">
        <v>9.842000000000001</v>
      </c>
      <c r="G12" s="30" t="n">
        <v>8504406090</v>
      </c>
      <c r="H12" s="31" t="n">
        <v>1.3</v>
      </c>
      <c r="I12" s="84">
        <f>IFERROR(F12*Settings!$B$2*H12*IF(AND(ISNUMBER(E12),E12&gt;1),E12,1),"")</f>
        <v/>
      </c>
      <c r="J12" s="32">
        <f>Settings!$B$66</f>
        <v/>
      </c>
      <c r="K12" s="95">
        <f>IFERROR(IF(T12="","",(T12*(1-AN12)*(1-Settings!$B$17)-I12)/(T12*(1-AN12)*(1-Settings!$B$17))),"")</f>
        <v/>
      </c>
      <c r="L12" s="101">
        <f>IFERROR(IF(T12="","",(T12*(1-AO12)*(1-Settings!$C$17)-I12)/(T12*(1-AO12)*(1-Settings!$C$17))),"")</f>
        <v/>
      </c>
      <c r="M12" s="101">
        <f>IFERROR(IF(T12="","",(T12*(1-AP12)*(1-Settings!$D$17)-I12)/(T12*(1-AP12)*(1-Settings!$D$17))),"")</f>
        <v/>
      </c>
      <c r="N12" s="101">
        <f>IFERROR(IF(T12="","",(T12*(1-AQ12)*(1-Settings!$F$17)-I12)/(T12*(1-AQ12)*(1-Settings!$F$17))),"")</f>
        <v/>
      </c>
      <c r="O12" s="101">
        <f>IFERROR(IF(T12="","",(T12*(1-AR12)*(1-Settings!$G$17)-I12)/(T12*(1-AR12)*(1-Settings!$G$17))),"")</f>
        <v/>
      </c>
      <c r="P12" s="101">
        <f>IFERROR(IF(T12="","",(T12*(1-AS12)*(1-Settings!$H$17)-I12)/(T12*(1-AS12)*(1-Settings!$H$17))),"")</f>
        <v/>
      </c>
      <c r="Q12" s="101">
        <f>IFERROR(IF(T12="","",(T12*(1-AT12)*(1-Settings!$I$68)*(1-Settings!$I$17)-I12)/(T12*(1-AT12)*(1-Settings!$I$68)*(1-Settings!$I$17))),"")</f>
        <v/>
      </c>
      <c r="R12" s="91">
        <f>IFERROR(IF(OR(I12="",Z12&gt;=1,Settings!$B$17&gt;=1,AN12&gt;=1),"",IF(MOD(ROUND(I12/(1-Z12)/(1-Settings!$B$17)/(1-AN12),0),10)=0,ROUND(I12/(1-Z12)/(1-Settings!$B$17)/(1-AN12),0)-1,IF(MOD(ROUND(I12/(1-Z12)/(1-Settings!$B$17)/(1-AN12),0),10)&lt;=5,FLOOR(ROUND(I12/(1-Z12)/(1-Settings!$B$17)/(1-AN12),0),10)+6,FLOOR(ROUND(I12/(1-Z12)/(1-Settings!$B$17)/(1-AN12),0),10)+9))),"")</f>
        <v/>
      </c>
      <c r="S12" s="92" t="n"/>
      <c r="T12" s="91">
        <f>IF(S12&lt;&gt;"", IF(MOD(S12,10)=0,S12-1,IF(MOD(S12,10)&lt;=5,FLOOR(S12,10)+6,FLOOR(S12,10)+9)), R12)</f>
        <v/>
      </c>
      <c r="U12" s="87" t="inlineStr">
        <is>
          <t>Основний</t>
        </is>
      </c>
      <c r="V12" s="88" t="n"/>
      <c r="W12" s="88" t="n"/>
      <c r="X12" s="89">
        <f>IFERROR(IF(OR(V12="",W12="",T12=""),"", IF(T12&gt;W12,"Дорогий",IF(T12&lt;V12,"Дешевий","У ринку"))),"")</f>
        <v/>
      </c>
      <c r="Y12" s="90" t="n"/>
      <c r="Z12" s="104">
        <f>CHOOSE(MATCH(IF($U12="","Основний",$U12),{"Трафіковий","Основний","Маржинальний","Сезонний","Стратегічний"},0),0.16,0.19,0.24,0.23,0.28)</f>
        <v/>
      </c>
      <c r="AA12" s="104">
        <f>CHOOSE(MATCH(IF($U12="","Основний",$U12),{"Трафіковий","Основний","Маржинальний","Сезонний","Стратегічний"},0),0.18,0.21,0.26,0.25,0.3)</f>
        <v/>
      </c>
      <c r="AB12" s="104">
        <f>CHOOSE(MATCH(IF($U12="","Основний",$U12),{"Трафіковий","Основний","Маржинальний","Сезонний","Стратегічний"},0),0.19,0.22,0.28,0.26,0.32)</f>
        <v/>
      </c>
      <c r="AC12" s="104">
        <f>CHOOSE(MATCH(IF($U12="","Основний",$U12),{"Трафіковий","Основний","Маржинальний","Сезонний","Стратегічний"},0),0.17,0.2,0.25,0.24,0.28)</f>
        <v/>
      </c>
      <c r="AD12" s="104">
        <f>CHOOSE(MATCH(IF($U12="","Основний",$U12),{"Трафіковий","Основний","Маржинальний","Сезонний","Стратегічний"},0),0.18,0.21,0.26,0.25,0.3)</f>
        <v/>
      </c>
      <c r="AE12" s="104">
        <f>CHOOSE(MATCH(IF($U12="","Основний",$U12),{"Трафіковий","Основний","Маржинальний","Сезонний","Стратегічний"},0),0.18,0.2,0.28,0.27,0.32)</f>
        <v/>
      </c>
      <c r="AF12" s="104">
        <f>CHOOSE(MATCH(IF($U12="","Основний",$U12),{"Трафіковий","Основний","Маржинальний","Сезонний","Стратегічний"},0),0.15,0.175,0.22,0.21,0.25)</f>
        <v/>
      </c>
      <c r="AG12" s="104">
        <f>CHOOSE(MATCH(IF($U12="","Основний",$U12),{"Трафіковий","Основний","Маржинальний","Сезонний","Стратегічний"},0),0.13,0.16,0.21,0.2,0.25)</f>
        <v/>
      </c>
      <c r="AH12" s="104">
        <f>CHOOSE(MATCH(IF($U12="","Основний",$U12),{"Трафіковий","Основний","Маржинальний","Сезонний","Стратегічний"},0),0.15,0.18,0.23,0.22,0.27)</f>
        <v/>
      </c>
      <c r="AI12" s="104">
        <f>CHOOSE(MATCH(IF($U12="","Основний",$U12),{"Трафіковий","Основний","Маржинальний","Сезонний","Стратегічний"},0),0.16,0.19,0.25,0.23,0.29)</f>
        <v/>
      </c>
      <c r="AJ12" s="104">
        <f>CHOOSE(MATCH(IF($U12="","Основний",$U12),{"Трафіковий","Основний","Маржинальний","Сезонний","Стратегічний"},0),0.14,0.17,0.22,0.21,0.25)</f>
        <v/>
      </c>
      <c r="AK12" s="104">
        <f>CHOOSE(MATCH(IF($U12="","Основний",$U12),{"Трафіковий","Основний","Маржинальний","Сезонний","Стратегічний"},0),0.15,0.18,0.23,0.22,0.27)</f>
        <v/>
      </c>
      <c r="AL12" s="104">
        <f>CHOOSE(MATCH(IF($U12="","Основний",$U12),{"Трафіковий","Основний","Маржинальний","Сезонний","Стратегічний"},0),0.15,0.17,0.25,0.24,0.29)</f>
        <v/>
      </c>
      <c r="AM12" s="104">
        <f>CHOOSE(MATCH(IF($U12="","Основний",$U12),{"Трафіковий","Основний","Маржинальний","Сезонний","Стратегічний"},0),0.12,0.145,0.19,0.18,0.22)</f>
        <v/>
      </c>
      <c r="AN12" s="157">
        <f>CHOOSE(MATCH(IF($U12="","Основний",$U12),{"Трафіковий","Основний","Маржинальний","Сезонний","Стратегічний"},0),Settings!$B$78,Settings!$B$80,Settings!$B$82,Settings!$B$84,Settings!$B$86)</f>
        <v/>
      </c>
      <c r="AO12" s="157">
        <f>CHOOSE(MATCH(IF($U12="","Основний",$U12),{"Трафіковий","Основний","Маржинальний","Сезонний","Стратегічний"},0),Settings!$C$78,Settings!$C$80,Settings!$C$82,Settings!$C$84,Settings!$C$86)</f>
        <v/>
      </c>
      <c r="AP12" s="157">
        <f>CHOOSE(MATCH(IF($U12="","Основний",$U12),{"Трафіковий","Основний","Маржинальний","Сезонний","Стратегічний"},0),Settings!$D$78,Settings!$D$80,Settings!$D$82,Settings!$D$84,Settings!$D$86)</f>
        <v/>
      </c>
      <c r="AQ12" s="157">
        <f>CHOOSE(MATCH(IF($U12="","Основний",$U12),{"Трафіковий","Основний","Маржинальний","Сезонний","Стратегічний"},0),Settings!$F$78,Settings!$F$80,Settings!$F$82,Settings!$F$84,Settings!$F$86)</f>
        <v/>
      </c>
      <c r="AR12" s="157">
        <f>CHOOSE(MATCH(IF($U12="","Основний",$U12),{"Трафіковий","Основний","Маржинальний","Сезонний","Стратегічний"},0),Settings!$G$78,Settings!$G$80,Settings!$G$82,Settings!$G$84,Settings!$G$86)</f>
        <v/>
      </c>
      <c r="AS12" s="157">
        <f>CHOOSE(MATCH(IF($U12="","Основний",$U12),{"Трафіковий","Основний","Маржинальний","Сезонний","Стратегічний"},0),Settings!$H$78,Settings!$H$80,Settings!$H$82,Settings!$H$84,Settings!$H$86)</f>
        <v/>
      </c>
      <c r="AT12" s="157">
        <f>CHOOSE(MATCH(IF($U12="","Основний",$U12),{"Трафіковий","Основний","Маржинальний","Сезонний","Стратегічний"},0),Settings!$I$78,Settings!$I$80,Settings!$I$82,Settings!$I$84,Settings!$I$86)</f>
        <v/>
      </c>
      <c r="AU12" s="171" t="n"/>
      <c r="AV12" t="n">
        <v>1.35</v>
      </c>
    </row>
    <row r="13">
      <c r="A13" s="33" t="n"/>
      <c r="B13" s="34" t="inlineStr">
        <is>
          <t>P2311</t>
        </is>
      </c>
      <c r="C13" s="34" t="inlineStr">
        <is>
          <t>LED RECHARGEABLE FLASHLIGHT 300LM</t>
        </is>
      </c>
      <c r="D13" s="34" t="inlineStr">
        <is>
          <t>Ліхтарі</t>
        </is>
      </c>
      <c r="E13" s="33" t="inlineStr">
        <is>
          <t>PC</t>
        </is>
      </c>
      <c r="F13" s="94" t="n">
        <v>11.483</v>
      </c>
      <c r="G13" s="35" t="n">
        <v>8513100000</v>
      </c>
      <c r="H13" s="31" t="n">
        <v>1.4</v>
      </c>
      <c r="I13" s="84">
        <f>IFERROR(F13*Settings!$B$2*H13*IF(AND(ISNUMBER(E13),E13&gt;1),E13,1),"")</f>
        <v/>
      </c>
      <c r="J13" s="32">
        <f>Settings!$B$66</f>
        <v/>
      </c>
      <c r="K13" s="95">
        <f>IFERROR(IF(T13="","",(T13*(1-AN13)*(1-Settings!$B$17)-I13)/(T13*(1-AN13)*(1-Settings!$B$17))),"")</f>
        <v/>
      </c>
      <c r="L13" s="101">
        <f>IFERROR(IF(T13="","",(T13*(1-AO13)*(1-Settings!$C$17)-I13)/(T13*(1-AO13)*(1-Settings!$C$17))),"")</f>
        <v/>
      </c>
      <c r="M13" s="101">
        <f>IFERROR(IF(T13="","",(T13*(1-AP13)*(1-Settings!$D$17)-I13)/(T13*(1-AP13)*(1-Settings!$D$17))),"")</f>
        <v/>
      </c>
      <c r="N13" s="101">
        <f>IFERROR(IF(T13="","",(T13*(1-AQ13)*(1-Settings!$F$17)-I13)/(T13*(1-AQ13)*(1-Settings!$F$17))),"")</f>
        <v/>
      </c>
      <c r="O13" s="101">
        <f>IFERROR(IF(T13="","",(T13*(1-AR13)*(1-Settings!$G$17)-I13)/(T13*(1-AR13)*(1-Settings!$G$17))),"")</f>
        <v/>
      </c>
      <c r="P13" s="101">
        <f>IFERROR(IF(T13="","",(T13*(1-AS13)*(1-Settings!$H$17)-I13)/(T13*(1-AS13)*(1-Settings!$H$17))),"")</f>
        <v/>
      </c>
      <c r="Q13" s="101">
        <f>IFERROR(IF(T13="","",(T13*(1-AT13)*(1-Settings!$I$68)*(1-Settings!$I$17)-I13)/(T13*(1-AT13)*(1-Settings!$I$68)*(1-Settings!$I$17))),"")</f>
        <v/>
      </c>
      <c r="R13" s="91">
        <f>IFERROR(IF(OR(I13="",Z13&gt;=1,Settings!$B$17&gt;=1,AN13&gt;=1),"",IF(MOD(ROUND(I13/(1-Z13)/(1-Settings!$B$17)/(1-AN13),0),10)=0,ROUND(I13/(1-Z13)/(1-Settings!$B$17)/(1-AN13),0)-1,IF(MOD(ROUND(I13/(1-Z13)/(1-Settings!$B$17)/(1-AN13),0),10)&lt;=5,FLOOR(ROUND(I13/(1-Z13)/(1-Settings!$B$17)/(1-AN13),0),10)+6,FLOOR(ROUND(I13/(1-Z13)/(1-Settings!$B$17)/(1-AN13),0),10)+9))),"")</f>
        <v/>
      </c>
      <c r="S13" s="92" t="n">
        <v>1539</v>
      </c>
      <c r="T13" s="91">
        <f>IF(S13&lt;&gt;"", IF(MOD(S13,10)=0,S13-1,IF(MOD(S13,10)&lt;=5,FLOOR(S13,10)+6,FLOOR(S13,10)+9)), R13)</f>
        <v/>
      </c>
      <c r="U13" s="87" t="inlineStr">
        <is>
          <t>Основний</t>
        </is>
      </c>
      <c r="V13" s="88" t="n"/>
      <c r="W13" s="88" t="n"/>
      <c r="X13" s="89">
        <f>IFERROR(IF(OR(V13="",W13="",T13=""),"", IF(T13&gt;W13,"Дорогий",IF(T13&lt;V13,"Дешевий","У ринку"))),"")</f>
        <v/>
      </c>
      <c r="Y13" s="90" t="n"/>
      <c r="Z13" s="104">
        <f>CHOOSE(MATCH(IF($U13="","Основний",$U13),{"Трафіковий","Основний","Маржинальний","Сезонний","Стратегічний"},0),0.16,0.19,0.24,0.23,0.28)</f>
        <v/>
      </c>
      <c r="AA13" s="104">
        <f>CHOOSE(MATCH(IF($U13="","Основний",$U13),{"Трафіковий","Основний","Маржинальний","Сезонний","Стратегічний"},0),0.18,0.21,0.26,0.25,0.3)</f>
        <v/>
      </c>
      <c r="AB13" s="104">
        <f>CHOOSE(MATCH(IF($U13="","Основний",$U13),{"Трафіковий","Основний","Маржинальний","Сезонний","Стратегічний"},0),0.19,0.22,0.28,0.26,0.32)</f>
        <v/>
      </c>
      <c r="AC13" s="104">
        <f>CHOOSE(MATCH(IF($U13="","Основний",$U13),{"Трафіковий","Основний","Маржинальний","Сезонний","Стратегічний"},0),0.17,0.2,0.25,0.24,0.28)</f>
        <v/>
      </c>
      <c r="AD13" s="104">
        <f>CHOOSE(MATCH(IF($U13="","Основний",$U13),{"Трафіковий","Основний","Маржинальний","Сезонний","Стратегічний"},0),0.18,0.21,0.26,0.25,0.3)</f>
        <v/>
      </c>
      <c r="AE13" s="104">
        <f>CHOOSE(MATCH(IF($U13="","Основний",$U13),{"Трафіковий","Основний","Маржинальний","Сезонний","Стратегічний"},0),0.18,0.2,0.28,0.27,0.32)</f>
        <v/>
      </c>
      <c r="AF13" s="104">
        <f>CHOOSE(MATCH(IF($U13="","Основний",$U13),{"Трафіковий","Основний","Маржинальний","Сезонний","Стратегічний"},0),0.15,0.175,0.22,0.21,0.25)</f>
        <v/>
      </c>
      <c r="AG13" s="104">
        <f>CHOOSE(MATCH(IF($U13="","Основний",$U13),{"Трафіковий","Основний","Маржинальний","Сезонний","Стратегічний"},0),0.13,0.16,0.21,0.2,0.25)</f>
        <v/>
      </c>
      <c r="AH13" s="104">
        <f>CHOOSE(MATCH(IF($U13="","Основний",$U13),{"Трафіковий","Основний","Маржинальний","Сезонний","Стратегічний"},0),0.15,0.18,0.23,0.22,0.27)</f>
        <v/>
      </c>
      <c r="AI13" s="104">
        <f>CHOOSE(MATCH(IF($U13="","Основний",$U13),{"Трафіковий","Основний","Маржинальний","Сезонний","Стратегічний"},0),0.16,0.19,0.25,0.23,0.29)</f>
        <v/>
      </c>
      <c r="AJ13" s="104">
        <f>CHOOSE(MATCH(IF($U13="","Основний",$U13),{"Трафіковий","Основний","Маржинальний","Сезонний","Стратегічний"},0),0.14,0.17,0.22,0.21,0.25)</f>
        <v/>
      </c>
      <c r="AK13" s="104">
        <f>CHOOSE(MATCH(IF($U13="","Основний",$U13),{"Трафіковий","Основний","Маржинальний","Сезонний","Стратегічний"},0),0.15,0.18,0.23,0.22,0.27)</f>
        <v/>
      </c>
      <c r="AL13" s="104">
        <f>CHOOSE(MATCH(IF($U13="","Основний",$U13),{"Трафіковий","Основний","Маржинальний","Сезонний","Стратегічний"},0),0.15,0.17,0.25,0.24,0.29)</f>
        <v/>
      </c>
      <c r="AM13" s="104">
        <f>CHOOSE(MATCH(IF($U13="","Основний",$U13),{"Трафіковий","Основний","Маржинальний","Сезонний","Стратегічний"},0),0.12,0.145,0.19,0.18,0.22)</f>
        <v/>
      </c>
      <c r="AN13" s="157">
        <f>CHOOSE(MATCH(IF($U13="","Основний",$U13),{"Трафіковий","Основний","Маржинальний","Сезонний","Стратегічний"},0),Settings!$B$78,Settings!$B$80,Settings!$B$82,Settings!$B$84,Settings!$B$86)</f>
        <v/>
      </c>
      <c r="AO13" s="157">
        <f>CHOOSE(MATCH(IF($U13="","Основний",$U13),{"Трафіковий","Основний","Маржинальний","Сезонний","Стратегічний"},0),Settings!$C$78,Settings!$C$80,Settings!$C$82,Settings!$C$84,Settings!$C$86)</f>
        <v/>
      </c>
      <c r="AP13" s="157">
        <f>CHOOSE(MATCH(IF($U13="","Основний",$U13),{"Трафіковий","Основний","Маржинальний","Сезонний","Стратегічний"},0),Settings!$D$78,Settings!$D$80,Settings!$D$82,Settings!$D$84,Settings!$D$86)</f>
        <v/>
      </c>
      <c r="AQ13" s="157">
        <f>CHOOSE(MATCH(IF($U13="","Основний",$U13),{"Трафіковий","Основний","Маржинальний","Сезонний","Стратегічний"},0),Settings!$F$78,Settings!$F$80,Settings!$F$82,Settings!$F$84,Settings!$F$86)</f>
        <v/>
      </c>
      <c r="AR13" s="157">
        <f>CHOOSE(MATCH(IF($U13="","Основний",$U13),{"Трафіковий","Основний","Маржинальний","Сезонний","Стратегічний"},0),Settings!$G$78,Settings!$G$80,Settings!$G$82,Settings!$G$84,Settings!$G$86)</f>
        <v/>
      </c>
      <c r="AS13" s="157">
        <f>CHOOSE(MATCH(IF($U13="","Основний",$U13),{"Трафіковий","Основний","Маржинальний","Сезонний","Стратегічний"},0),Settings!$H$78,Settings!$H$80,Settings!$H$82,Settings!$H$84,Settings!$H$86)</f>
        <v/>
      </c>
      <c r="AT13" s="157">
        <f>CHOOSE(MATCH(IF($U13="","Основний",$U13),{"Трафіковий","Основний","Маржинальний","Сезонний","Стратегічний"},0),Settings!$I$78,Settings!$I$80,Settings!$I$82,Settings!$I$84,Settings!$I$86)</f>
        <v/>
      </c>
      <c r="AU13" s="171" t="n"/>
      <c r="AV13" t="n">
        <v>1.35</v>
      </c>
    </row>
    <row r="14">
      <c r="A14" s="28" t="inlineStr">
        <is>
          <t>SELL OUT</t>
        </is>
      </c>
      <c r="B14" s="29" t="inlineStr">
        <is>
          <t>P2313</t>
        </is>
      </c>
      <c r="C14" s="29" t="inlineStr">
        <is>
          <t>LED RECHARGEABLE CAMPING FLASHLIGHT 350LM</t>
        </is>
      </c>
      <c r="D14" s="29" t="inlineStr">
        <is>
          <t>Ліхтарі</t>
        </is>
      </c>
      <c r="E14" s="28" t="inlineStr">
        <is>
          <t>PC</t>
        </is>
      </c>
      <c r="F14" s="93" t="n">
        <v>12.896</v>
      </c>
      <c r="G14" s="30" t="n">
        <v>8513100000</v>
      </c>
      <c r="H14" s="31" t="n">
        <v>1.4</v>
      </c>
      <c r="I14" s="84">
        <f>IFERROR(F14*Settings!$B$2*H14*IF(AND(ISNUMBER(E14),E14&gt;1),E14,1),"")</f>
        <v/>
      </c>
      <c r="J14" s="32">
        <f>Settings!$B$66</f>
        <v/>
      </c>
      <c r="K14" s="95">
        <f>IFERROR(IF(T14="","",(T14*(1-AN14)*(1-Settings!$B$17)-I14)/(T14*(1-AN14)*(1-Settings!$B$17))),"")</f>
        <v/>
      </c>
      <c r="L14" s="101">
        <f>IFERROR(IF(T14="","",(T14*(1-AO14)*(1-Settings!$C$17)-I14)/(T14*(1-AO14)*(1-Settings!$C$17))),"")</f>
        <v/>
      </c>
      <c r="M14" s="101">
        <f>IFERROR(IF(T14="","",(T14*(1-AP14)*(1-Settings!$D$17)-I14)/(T14*(1-AP14)*(1-Settings!$D$17))),"")</f>
        <v/>
      </c>
      <c r="N14" s="101">
        <f>IFERROR(IF(T14="","",(T14*(1-AQ14)*(1-Settings!$F$17)-I14)/(T14*(1-AQ14)*(1-Settings!$F$17))),"")</f>
        <v/>
      </c>
      <c r="O14" s="101">
        <f>IFERROR(IF(T14="","",(T14*(1-AR14)*(1-Settings!$G$17)-I14)/(T14*(1-AR14)*(1-Settings!$G$17))),"")</f>
        <v/>
      </c>
      <c r="P14" s="101">
        <f>IFERROR(IF(T14="","",(T14*(1-AS14)*(1-Settings!$H$17)-I14)/(T14*(1-AS14)*(1-Settings!$H$17))),"")</f>
        <v/>
      </c>
      <c r="Q14" s="101">
        <f>IFERROR(IF(T14="","",(T14*(1-AT14)*(1-Settings!$I$68)*(1-Settings!$I$17)-I14)/(T14*(1-AT14)*(1-Settings!$I$68)*(1-Settings!$I$17))),"")</f>
        <v/>
      </c>
      <c r="R14" s="91">
        <f>IFERROR(IF(OR(I14="",Z14&gt;=1,Settings!$B$17&gt;=1,AN14&gt;=1),"",IF(MOD(ROUND(I14/(1-Z14)/(1-Settings!$B$17)/(1-AN14),0),10)=0,ROUND(I14/(1-Z14)/(1-Settings!$B$17)/(1-AN14),0)-1,IF(MOD(ROUND(I14/(1-Z14)/(1-Settings!$B$17)/(1-AN14),0),10)&lt;=5,FLOOR(ROUND(I14/(1-Z14)/(1-Settings!$B$17)/(1-AN14),0),10)+6,FLOOR(ROUND(I14/(1-Z14)/(1-Settings!$B$17)/(1-AN14),0),10)+9))),"")</f>
        <v/>
      </c>
      <c r="S14" s="92" t="n">
        <v>1670</v>
      </c>
      <c r="T14" s="91">
        <f>IF(S14&lt;&gt;"", IF(MOD(S14,10)=0,S14-1,IF(MOD(S14,10)&lt;=5,FLOOR(S14,10)+6,FLOOR(S14,10)+9)), R14)</f>
        <v/>
      </c>
      <c r="U14" s="87" t="inlineStr">
        <is>
          <t>Основний</t>
        </is>
      </c>
      <c r="V14" s="88" t="n"/>
      <c r="W14" s="88" t="n"/>
      <c r="X14" s="89">
        <f>IFERROR(IF(OR(V14="",W14="",T14=""),"", IF(T14&gt;W14,"Дорогий",IF(T14&lt;V14,"Дешевий","У ринку"))),"")</f>
        <v/>
      </c>
      <c r="Y14" s="90" t="n"/>
      <c r="Z14" s="104">
        <f>CHOOSE(MATCH(IF($U14="","Основний",$U14),{"Трафіковий","Основний","Маржинальний","Сезонний","Стратегічний"},0),0.16,0.19,0.24,0.23,0.28)</f>
        <v/>
      </c>
      <c r="AA14" s="104">
        <f>CHOOSE(MATCH(IF($U14="","Основний",$U14),{"Трафіковий","Основний","Маржинальний","Сезонний","Стратегічний"},0),0.18,0.21,0.26,0.25,0.3)</f>
        <v/>
      </c>
      <c r="AB14" s="104">
        <f>CHOOSE(MATCH(IF($U14="","Основний",$U14),{"Трафіковий","Основний","Маржинальний","Сезонний","Стратегічний"},0),0.19,0.22,0.28,0.26,0.32)</f>
        <v/>
      </c>
      <c r="AC14" s="104">
        <f>CHOOSE(MATCH(IF($U14="","Основний",$U14),{"Трафіковий","Основний","Маржинальний","Сезонний","Стратегічний"},0),0.17,0.2,0.25,0.24,0.28)</f>
        <v/>
      </c>
      <c r="AD14" s="104">
        <f>CHOOSE(MATCH(IF($U14="","Основний",$U14),{"Трафіковий","Основний","Маржинальний","Сезонний","Стратегічний"},0),0.18,0.21,0.26,0.25,0.3)</f>
        <v/>
      </c>
      <c r="AE14" s="104">
        <f>CHOOSE(MATCH(IF($U14="","Основний",$U14),{"Трафіковий","Основний","Маржинальний","Сезонний","Стратегічний"},0),0.18,0.2,0.28,0.27,0.32)</f>
        <v/>
      </c>
      <c r="AF14" s="104">
        <f>CHOOSE(MATCH(IF($U14="","Основний",$U14),{"Трафіковий","Основний","Маржинальний","Сезонний","Стратегічний"},0),0.15,0.175,0.22,0.21,0.25)</f>
        <v/>
      </c>
      <c r="AG14" s="104">
        <f>CHOOSE(MATCH(IF($U14="","Основний",$U14),{"Трафіковий","Основний","Маржинальний","Сезонний","Стратегічний"},0),0.13,0.16,0.21,0.2,0.25)</f>
        <v/>
      </c>
      <c r="AH14" s="104">
        <f>CHOOSE(MATCH(IF($U14="","Основний",$U14),{"Трафіковий","Основний","Маржинальний","Сезонний","Стратегічний"},0),0.15,0.18,0.23,0.22,0.27)</f>
        <v/>
      </c>
      <c r="AI14" s="104">
        <f>CHOOSE(MATCH(IF($U14="","Основний",$U14),{"Трафіковий","Основний","Маржинальний","Сезонний","Стратегічний"},0),0.16,0.19,0.25,0.23,0.29)</f>
        <v/>
      </c>
      <c r="AJ14" s="104">
        <f>CHOOSE(MATCH(IF($U14="","Основний",$U14),{"Трафіковий","Основний","Маржинальний","Сезонний","Стратегічний"},0),0.14,0.17,0.22,0.21,0.25)</f>
        <v/>
      </c>
      <c r="AK14" s="104">
        <f>CHOOSE(MATCH(IF($U14="","Основний",$U14),{"Трафіковий","Основний","Маржинальний","Сезонний","Стратегічний"},0),0.15,0.18,0.23,0.22,0.27)</f>
        <v/>
      </c>
      <c r="AL14" s="104">
        <f>CHOOSE(MATCH(IF($U14="","Основний",$U14),{"Трафіковий","Основний","Маржинальний","Сезонний","Стратегічний"},0),0.15,0.17,0.25,0.24,0.29)</f>
        <v/>
      </c>
      <c r="AM14" s="104">
        <f>CHOOSE(MATCH(IF($U14="","Основний",$U14),{"Трафіковий","Основний","Маржинальний","Сезонний","Стратегічний"},0),0.12,0.145,0.19,0.18,0.22)</f>
        <v/>
      </c>
      <c r="AN14" s="157">
        <f>CHOOSE(MATCH(IF($U14="","Основний",$U14),{"Трафіковий","Основний","Маржинальний","Сезонний","Стратегічний"},0),Settings!$B$78,Settings!$B$80,Settings!$B$82,Settings!$B$84,Settings!$B$86)</f>
        <v/>
      </c>
      <c r="AO14" s="157">
        <f>CHOOSE(MATCH(IF($U14="","Основний",$U14),{"Трафіковий","Основний","Маржинальний","Сезонний","Стратегічний"},0),Settings!$C$78,Settings!$C$80,Settings!$C$82,Settings!$C$84,Settings!$C$86)</f>
        <v/>
      </c>
      <c r="AP14" s="157">
        <f>CHOOSE(MATCH(IF($U14="","Основний",$U14),{"Трафіковий","Основний","Маржинальний","Сезонний","Стратегічний"},0),Settings!$D$78,Settings!$D$80,Settings!$D$82,Settings!$D$84,Settings!$D$86)</f>
        <v/>
      </c>
      <c r="AQ14" s="157">
        <f>CHOOSE(MATCH(IF($U14="","Основний",$U14),{"Трафіковий","Основний","Маржинальний","Сезонний","Стратегічний"},0),Settings!$F$78,Settings!$F$80,Settings!$F$82,Settings!$F$84,Settings!$F$86)</f>
        <v/>
      </c>
      <c r="AR14" s="157">
        <f>CHOOSE(MATCH(IF($U14="","Основний",$U14),{"Трафіковий","Основний","Маржинальний","Сезонний","Стратегічний"},0),Settings!$G$78,Settings!$G$80,Settings!$G$82,Settings!$G$84,Settings!$G$86)</f>
        <v/>
      </c>
      <c r="AS14" s="157">
        <f>CHOOSE(MATCH(IF($U14="","Основний",$U14),{"Трафіковий","Основний","Маржинальний","Сезонний","Стратегічний"},0),Settings!$H$78,Settings!$H$80,Settings!$H$82,Settings!$H$84,Settings!$H$86)</f>
        <v/>
      </c>
      <c r="AT14" s="157">
        <f>CHOOSE(MATCH(IF($U14="","Основний",$U14),{"Трафіковий","Основний","Маржинальний","Сезонний","Стратегічний"},0),Settings!$I$78,Settings!$I$80,Settings!$I$82,Settings!$I$84,Settings!$I$86)</f>
        <v/>
      </c>
      <c r="AU14" s="171" t="n"/>
      <c r="AV14" t="n">
        <v>1.35</v>
      </c>
    </row>
    <row r="15">
      <c r="A15" s="33" t="n"/>
      <c r="B15" s="34" t="inlineStr">
        <is>
          <t>P2314</t>
        </is>
      </c>
      <c r="C15" s="34" t="inlineStr">
        <is>
          <t>SMD LED+COB LED RECHARGEABLE FLASHLIGHT 210lm</t>
        </is>
      </c>
      <c r="D15" s="34" t="inlineStr">
        <is>
          <t>Ліхтарі</t>
        </is>
      </c>
      <c r="E15" s="33" t="inlineStr">
        <is>
          <t>PC</t>
        </is>
      </c>
      <c r="F15" s="94" t="n">
        <v>6.553</v>
      </c>
      <c r="G15" s="35" t="n">
        <v>8513100000</v>
      </c>
      <c r="H15" s="31" t="n">
        <v>1.4</v>
      </c>
      <c r="I15" s="84">
        <f>IFERROR(F15*Settings!$B$2*H15*IF(AND(ISNUMBER(E15),E15&gt;1),E15,1),"")</f>
        <v/>
      </c>
      <c r="J15" s="32">
        <f>Settings!$B$66</f>
        <v/>
      </c>
      <c r="K15" s="95">
        <f>IFERROR(IF(T15="","",(T15*(1-AN15)*(1-Settings!$B$17)-I15)/(T15*(1-AN15)*(1-Settings!$B$17))),"")</f>
        <v/>
      </c>
      <c r="L15" s="101">
        <f>IFERROR(IF(T15="","",(T15*(1-AO15)*(1-Settings!$C$17)-I15)/(T15*(1-AO15)*(1-Settings!$C$17))),"")</f>
        <v/>
      </c>
      <c r="M15" s="101">
        <f>IFERROR(IF(T15="","",(T15*(1-AP15)*(1-Settings!$D$17)-I15)/(T15*(1-AP15)*(1-Settings!$D$17))),"")</f>
        <v/>
      </c>
      <c r="N15" s="101">
        <f>IFERROR(IF(T15="","",(T15*(1-AQ15)*(1-Settings!$F$17)-I15)/(T15*(1-AQ15)*(1-Settings!$F$17))),"")</f>
        <v/>
      </c>
      <c r="O15" s="101">
        <f>IFERROR(IF(T15="","",(T15*(1-AR15)*(1-Settings!$G$17)-I15)/(T15*(1-AR15)*(1-Settings!$G$17))),"")</f>
        <v/>
      </c>
      <c r="P15" s="101">
        <f>IFERROR(IF(T15="","",(T15*(1-AS15)*(1-Settings!$H$17)-I15)/(T15*(1-AS15)*(1-Settings!$H$17))),"")</f>
        <v/>
      </c>
      <c r="Q15" s="101">
        <f>IFERROR(IF(T15="","",(T15*(1-AT15)*(1-Settings!$I$68)*(1-Settings!$I$17)-I15)/(T15*(1-AT15)*(1-Settings!$I$68)*(1-Settings!$I$17))),"")</f>
        <v/>
      </c>
      <c r="R15" s="91">
        <f>IFERROR(IF(OR(I15="",Z15&gt;=1,Settings!$B$17&gt;=1,AN15&gt;=1),"",IF(MOD(ROUND(I15/(1-Z15)/(1-Settings!$B$17)/(1-AN15),0),10)=0,ROUND(I15/(1-Z15)/(1-Settings!$B$17)/(1-AN15),0)-1,IF(MOD(ROUND(I15/(1-Z15)/(1-Settings!$B$17)/(1-AN15),0),10)&lt;=5,FLOOR(ROUND(I15/(1-Z15)/(1-Settings!$B$17)/(1-AN15),0),10)+6,FLOOR(ROUND(I15/(1-Z15)/(1-Settings!$B$17)/(1-AN15),0),10)+9))),"")</f>
        <v/>
      </c>
      <c r="S15" s="92" t="n">
        <v>850</v>
      </c>
      <c r="T15" s="91">
        <f>IF(S15&lt;&gt;"", IF(MOD(S15,10)=0,S15-1,IF(MOD(S15,10)&lt;=5,FLOOR(S15,10)+6,FLOOR(S15,10)+9)), R15)</f>
        <v/>
      </c>
      <c r="U15" s="87" t="inlineStr">
        <is>
          <t>Основний</t>
        </is>
      </c>
      <c r="V15" s="88" t="n"/>
      <c r="W15" s="88" t="n"/>
      <c r="X15" s="89">
        <f>IFERROR(IF(OR(V15="",W15="",T15=""),"", IF(T15&gt;W15,"Дорогий",IF(T15&lt;V15,"Дешевий","У ринку"))),"")</f>
        <v/>
      </c>
      <c r="Y15" s="90" t="n"/>
      <c r="Z15" s="104">
        <f>CHOOSE(MATCH(IF($U15="","Основний",$U15),{"Трафіковий","Основний","Маржинальний","Сезонний","Стратегічний"},0),0.16,0.19,0.24,0.23,0.28)</f>
        <v/>
      </c>
      <c r="AA15" s="104">
        <f>CHOOSE(MATCH(IF($U15="","Основний",$U15),{"Трафіковий","Основний","Маржинальний","Сезонний","Стратегічний"},0),0.18,0.21,0.26,0.25,0.3)</f>
        <v/>
      </c>
      <c r="AB15" s="104">
        <f>CHOOSE(MATCH(IF($U15="","Основний",$U15),{"Трафіковий","Основний","Маржинальний","Сезонний","Стратегічний"},0),0.19,0.22,0.28,0.26,0.32)</f>
        <v/>
      </c>
      <c r="AC15" s="104">
        <f>CHOOSE(MATCH(IF($U15="","Основний",$U15),{"Трафіковий","Основний","Маржинальний","Сезонний","Стратегічний"},0),0.17,0.2,0.25,0.24,0.28)</f>
        <v/>
      </c>
      <c r="AD15" s="104">
        <f>CHOOSE(MATCH(IF($U15="","Основний",$U15),{"Трафіковий","Основний","Маржинальний","Сезонний","Стратегічний"},0),0.18,0.21,0.26,0.25,0.3)</f>
        <v/>
      </c>
      <c r="AE15" s="104">
        <f>CHOOSE(MATCH(IF($U15="","Основний",$U15),{"Трафіковий","Основний","Маржинальний","Сезонний","Стратегічний"},0),0.18,0.2,0.28,0.27,0.32)</f>
        <v/>
      </c>
      <c r="AF15" s="104">
        <f>CHOOSE(MATCH(IF($U15="","Основний",$U15),{"Трафіковий","Основний","Маржинальний","Сезонний","Стратегічний"},0),0.15,0.175,0.22,0.21,0.25)</f>
        <v/>
      </c>
      <c r="AG15" s="104">
        <f>CHOOSE(MATCH(IF($U15="","Основний",$U15),{"Трафіковий","Основний","Маржинальний","Сезонний","Стратегічний"},0),0.13,0.16,0.21,0.2,0.25)</f>
        <v/>
      </c>
      <c r="AH15" s="104">
        <f>CHOOSE(MATCH(IF($U15="","Основний",$U15),{"Трафіковий","Основний","Маржинальний","Сезонний","Стратегічний"},0),0.15,0.18,0.23,0.22,0.27)</f>
        <v/>
      </c>
      <c r="AI15" s="104">
        <f>CHOOSE(MATCH(IF($U15="","Основний",$U15),{"Трафіковий","Основний","Маржинальний","Сезонний","Стратегічний"},0),0.16,0.19,0.25,0.23,0.29)</f>
        <v/>
      </c>
      <c r="AJ15" s="104">
        <f>CHOOSE(MATCH(IF($U15="","Основний",$U15),{"Трафіковий","Основний","Маржинальний","Сезонний","Стратегічний"},0),0.14,0.17,0.22,0.21,0.25)</f>
        <v/>
      </c>
      <c r="AK15" s="104">
        <f>CHOOSE(MATCH(IF($U15="","Основний",$U15),{"Трафіковий","Основний","Маржинальний","Сезонний","Стратегічний"},0),0.15,0.18,0.23,0.22,0.27)</f>
        <v/>
      </c>
      <c r="AL15" s="104">
        <f>CHOOSE(MATCH(IF($U15="","Основний",$U15),{"Трафіковий","Основний","Маржинальний","Сезонний","Стратегічний"},0),0.15,0.17,0.25,0.24,0.29)</f>
        <v/>
      </c>
      <c r="AM15" s="104">
        <f>CHOOSE(MATCH(IF($U15="","Основний",$U15),{"Трафіковий","Основний","Маржинальний","Сезонний","Стратегічний"},0),0.12,0.145,0.19,0.18,0.22)</f>
        <v/>
      </c>
      <c r="AN15" s="157">
        <f>CHOOSE(MATCH(IF($U15="","Основний",$U15),{"Трафіковий","Основний","Маржинальний","Сезонний","Стратегічний"},0),Settings!$B$78,Settings!$B$80,Settings!$B$82,Settings!$B$84,Settings!$B$86)</f>
        <v/>
      </c>
      <c r="AO15" s="157">
        <f>CHOOSE(MATCH(IF($U15="","Основний",$U15),{"Трафіковий","Основний","Маржинальний","Сезонний","Стратегічний"},0),Settings!$C$78,Settings!$C$80,Settings!$C$82,Settings!$C$84,Settings!$C$86)</f>
        <v/>
      </c>
      <c r="AP15" s="157">
        <f>CHOOSE(MATCH(IF($U15="","Основний",$U15),{"Трафіковий","Основний","Маржинальний","Сезонний","Стратегічний"},0),Settings!$D$78,Settings!$D$80,Settings!$D$82,Settings!$D$84,Settings!$D$86)</f>
        <v/>
      </c>
      <c r="AQ15" s="157">
        <f>CHOOSE(MATCH(IF($U15="","Основний",$U15),{"Трафіковий","Основний","Маржинальний","Сезонний","Стратегічний"},0),Settings!$F$78,Settings!$F$80,Settings!$F$82,Settings!$F$84,Settings!$F$86)</f>
        <v/>
      </c>
      <c r="AR15" s="157">
        <f>CHOOSE(MATCH(IF($U15="","Основний",$U15),{"Трафіковий","Основний","Маржинальний","Сезонний","Стратегічний"},0),Settings!$G$78,Settings!$G$80,Settings!$G$82,Settings!$G$84,Settings!$G$86)</f>
        <v/>
      </c>
      <c r="AS15" s="157">
        <f>CHOOSE(MATCH(IF($U15="","Основний",$U15),{"Трафіковий","Основний","Маржинальний","Сезонний","Стратегічний"},0),Settings!$H$78,Settings!$H$80,Settings!$H$82,Settings!$H$84,Settings!$H$86)</f>
        <v/>
      </c>
      <c r="AT15" s="157">
        <f>CHOOSE(MATCH(IF($U15="","Основний",$U15),{"Трафіковий","Основний","Маржинальний","Сезонний","Стратегічний"},0),Settings!$I$78,Settings!$I$80,Settings!$I$82,Settings!$I$84,Settings!$I$86)</f>
        <v/>
      </c>
      <c r="AU15" s="171" t="n"/>
      <c r="AV15" t="n">
        <v>1.35</v>
      </c>
    </row>
    <row r="16">
      <c r="A16" s="28" t="n"/>
      <c r="B16" s="29" t="inlineStr">
        <is>
          <t>P2315</t>
        </is>
      </c>
      <c r="C16" s="29" t="inlineStr">
        <is>
          <t>LED+COB LED RECH. FLASHLIGHT 700 LM 3 600 mAh</t>
        </is>
      </c>
      <c r="D16" s="29" t="inlineStr">
        <is>
          <t>Ліхтарі</t>
        </is>
      </c>
      <c r="E16" s="28" t="inlineStr">
        <is>
          <t>PC</t>
        </is>
      </c>
      <c r="F16" s="93" t="n">
        <v>13.87</v>
      </c>
      <c r="G16" s="30" t="n">
        <v>8513100000</v>
      </c>
      <c r="H16" s="31" t="n">
        <v>1.4</v>
      </c>
      <c r="I16" s="84">
        <f>IFERROR(F16*Settings!$B$2*H16*IF(AND(ISNUMBER(E16),E16&gt;1),E16,1),"")</f>
        <v/>
      </c>
      <c r="J16" s="32">
        <f>Settings!$B$66</f>
        <v/>
      </c>
      <c r="K16" s="95">
        <f>IFERROR(IF(T16="","",(T16*(1-AN16)*(1-Settings!$B$17)-I16)/(T16*(1-AN16)*(1-Settings!$B$17))),"")</f>
        <v/>
      </c>
      <c r="L16" s="101">
        <f>IFERROR(IF(T16="","",(T16*(1-AO16)*(1-Settings!$C$17)-I16)/(T16*(1-AO16)*(1-Settings!$C$17))),"")</f>
        <v/>
      </c>
      <c r="M16" s="101">
        <f>IFERROR(IF(T16="","",(T16*(1-AP16)*(1-Settings!$D$17)-I16)/(T16*(1-AP16)*(1-Settings!$D$17))),"")</f>
        <v/>
      </c>
      <c r="N16" s="101">
        <f>IFERROR(IF(T16="","",(T16*(1-AQ16)*(1-Settings!$F$17)-I16)/(T16*(1-AQ16)*(1-Settings!$F$17))),"")</f>
        <v/>
      </c>
      <c r="O16" s="101">
        <f>IFERROR(IF(T16="","",(T16*(1-AR16)*(1-Settings!$G$17)-I16)/(T16*(1-AR16)*(1-Settings!$G$17))),"")</f>
        <v/>
      </c>
      <c r="P16" s="101">
        <f>IFERROR(IF(T16="","",(T16*(1-AS16)*(1-Settings!$H$17)-I16)/(T16*(1-AS16)*(1-Settings!$H$17))),"")</f>
        <v/>
      </c>
      <c r="Q16" s="101">
        <f>IFERROR(IF(T16="","",(T16*(1-AT16)*(1-Settings!$I$68)*(1-Settings!$I$17)-I16)/(T16*(1-AT16)*(1-Settings!$I$68)*(1-Settings!$I$17))),"")</f>
        <v/>
      </c>
      <c r="R16" s="91">
        <f>IFERROR(IF(OR(I16="",Z16&gt;=1,Settings!$B$17&gt;=1,AN16&gt;=1),"",IF(MOD(ROUND(I16/(1-Z16)/(1-Settings!$B$17)/(1-AN16),0),10)=0,ROUND(I16/(1-Z16)/(1-Settings!$B$17)/(1-AN16),0)-1,IF(MOD(ROUND(I16/(1-Z16)/(1-Settings!$B$17)/(1-AN16),0),10)&lt;=5,FLOOR(ROUND(I16/(1-Z16)/(1-Settings!$B$17)/(1-AN16),0),10)+6,FLOOR(ROUND(I16/(1-Z16)/(1-Settings!$B$17)/(1-AN16),0),10)+9))),"")</f>
        <v/>
      </c>
      <c r="S16" s="92" t="n">
        <v>1889</v>
      </c>
      <c r="T16" s="91">
        <f>IF(S16&lt;&gt;"", IF(MOD(S16,10)=0,S16-1,IF(MOD(S16,10)&lt;=5,FLOOR(S16,10)+6,FLOOR(S16,10)+9)), R16)</f>
        <v/>
      </c>
      <c r="U16" s="87" t="inlineStr">
        <is>
          <t>Основний</t>
        </is>
      </c>
      <c r="V16" s="88" t="n"/>
      <c r="W16" s="88" t="n"/>
      <c r="X16" s="89">
        <f>IFERROR(IF(OR(V16="",W16="",T16=""),"", IF(T16&gt;W16,"Дорогий",IF(T16&lt;V16,"Дешевий","У ринку"))),"")</f>
        <v/>
      </c>
      <c r="Y16" s="90" t="n"/>
      <c r="Z16" s="104">
        <f>CHOOSE(MATCH(IF($U16="","Основний",$U16),{"Трафіковий","Основний","Маржинальний","Сезонний","Стратегічний"},0),0.16,0.19,0.24,0.23,0.28)</f>
        <v/>
      </c>
      <c r="AA16" s="104">
        <f>CHOOSE(MATCH(IF($U16="","Основний",$U16),{"Трафіковий","Основний","Маржинальний","Сезонний","Стратегічний"},0),0.18,0.21,0.26,0.25,0.3)</f>
        <v/>
      </c>
      <c r="AB16" s="104">
        <f>CHOOSE(MATCH(IF($U16="","Основний",$U16),{"Трафіковий","Основний","Маржинальний","Сезонний","Стратегічний"},0),0.19,0.22,0.28,0.26,0.32)</f>
        <v/>
      </c>
      <c r="AC16" s="104">
        <f>CHOOSE(MATCH(IF($U16="","Основний",$U16),{"Трафіковий","Основний","Маржинальний","Сезонний","Стратегічний"},0),0.17,0.2,0.25,0.24,0.28)</f>
        <v/>
      </c>
      <c r="AD16" s="104">
        <f>CHOOSE(MATCH(IF($U16="","Основний",$U16),{"Трафіковий","Основний","Маржинальний","Сезонний","Стратегічний"},0),0.18,0.21,0.26,0.25,0.3)</f>
        <v/>
      </c>
      <c r="AE16" s="104">
        <f>CHOOSE(MATCH(IF($U16="","Основний",$U16),{"Трафіковий","Основний","Маржинальний","Сезонний","Стратегічний"},0),0.18,0.2,0.28,0.27,0.32)</f>
        <v/>
      </c>
      <c r="AF16" s="104">
        <f>CHOOSE(MATCH(IF($U16="","Основний",$U16),{"Трафіковий","Основний","Маржинальний","Сезонний","Стратегічний"},0),0.15,0.175,0.22,0.21,0.25)</f>
        <v/>
      </c>
      <c r="AG16" s="104">
        <f>CHOOSE(MATCH(IF($U16="","Основний",$U16),{"Трафіковий","Основний","Маржинальний","Сезонний","Стратегічний"},0),0.13,0.16,0.21,0.2,0.25)</f>
        <v/>
      </c>
      <c r="AH16" s="104">
        <f>CHOOSE(MATCH(IF($U16="","Основний",$U16),{"Трафіковий","Основний","Маржинальний","Сезонний","Стратегічний"},0),0.15,0.18,0.23,0.22,0.27)</f>
        <v/>
      </c>
      <c r="AI16" s="104">
        <f>CHOOSE(MATCH(IF($U16="","Основний",$U16),{"Трафіковий","Основний","Маржинальний","Сезонний","Стратегічний"},0),0.16,0.19,0.25,0.23,0.29)</f>
        <v/>
      </c>
      <c r="AJ16" s="104">
        <f>CHOOSE(MATCH(IF($U16="","Основний",$U16),{"Трафіковий","Основний","Маржинальний","Сезонний","Стратегічний"},0),0.14,0.17,0.22,0.21,0.25)</f>
        <v/>
      </c>
      <c r="AK16" s="104">
        <f>CHOOSE(MATCH(IF($U16="","Основний",$U16),{"Трафіковий","Основний","Маржинальний","Сезонний","Стратегічний"},0),0.15,0.18,0.23,0.22,0.27)</f>
        <v/>
      </c>
      <c r="AL16" s="104">
        <f>CHOOSE(MATCH(IF($U16="","Основний",$U16),{"Трафіковий","Основний","Маржинальний","Сезонний","Стратегічний"},0),0.15,0.17,0.25,0.24,0.29)</f>
        <v/>
      </c>
      <c r="AM16" s="104">
        <f>CHOOSE(MATCH(IF($U16="","Основний",$U16),{"Трафіковий","Основний","Маржинальний","Сезонний","Стратегічний"},0),0.12,0.145,0.19,0.18,0.22)</f>
        <v/>
      </c>
      <c r="AN16" s="157">
        <f>CHOOSE(MATCH(IF($U16="","Основний",$U16),{"Трафіковий","Основний","Маржинальний","Сезонний","Стратегічний"},0),Settings!$B$78,Settings!$B$80,Settings!$B$82,Settings!$B$84,Settings!$B$86)</f>
        <v/>
      </c>
      <c r="AO16" s="157">
        <f>CHOOSE(MATCH(IF($U16="","Основний",$U16),{"Трафіковий","Основний","Маржинальний","Сезонний","Стратегічний"},0),Settings!$C$78,Settings!$C$80,Settings!$C$82,Settings!$C$84,Settings!$C$86)</f>
        <v/>
      </c>
      <c r="AP16" s="157">
        <f>CHOOSE(MATCH(IF($U16="","Основний",$U16),{"Трафіковий","Основний","Маржинальний","Сезонний","Стратегічний"},0),Settings!$D$78,Settings!$D$80,Settings!$D$82,Settings!$D$84,Settings!$D$86)</f>
        <v/>
      </c>
      <c r="AQ16" s="157">
        <f>CHOOSE(MATCH(IF($U16="","Основний",$U16),{"Трафіковий","Основний","Маржинальний","Сезонний","Стратегічний"},0),Settings!$F$78,Settings!$F$80,Settings!$F$82,Settings!$F$84,Settings!$F$86)</f>
        <v/>
      </c>
      <c r="AR16" s="157">
        <f>CHOOSE(MATCH(IF($U16="","Основний",$U16),{"Трафіковий","Основний","Маржинальний","Сезонний","Стратегічний"},0),Settings!$G$78,Settings!$G$80,Settings!$G$82,Settings!$G$84,Settings!$G$86)</f>
        <v/>
      </c>
      <c r="AS16" s="157">
        <f>CHOOSE(MATCH(IF($U16="","Основний",$U16),{"Трафіковий","Основний","Маржинальний","Сезонний","Стратегічний"},0),Settings!$H$78,Settings!$H$80,Settings!$H$82,Settings!$H$84,Settings!$H$86)</f>
        <v/>
      </c>
      <c r="AT16" s="157">
        <f>CHOOSE(MATCH(IF($U16="","Основний",$U16),{"Трафіковий","Основний","Маржинальний","Сезонний","Стратегічний"},0),Settings!$I$78,Settings!$I$80,Settings!$I$82,Settings!$I$84,Settings!$I$86)</f>
        <v/>
      </c>
      <c r="AU16" s="171" t="n"/>
      <c r="AV16" t="n">
        <v>1.35</v>
      </c>
    </row>
    <row r="17">
      <c r="A17" s="33" t="n"/>
      <c r="B17" s="34" t="inlineStr">
        <is>
          <t>P2316</t>
        </is>
      </c>
      <c r="C17" s="34" t="inlineStr">
        <is>
          <t>LED RECHARGEABLE FLASHLIGHT 850LM</t>
        </is>
      </c>
      <c r="D17" s="34" t="inlineStr">
        <is>
          <t>Ліхтарі</t>
        </is>
      </c>
      <c r="E17" s="33" t="inlineStr">
        <is>
          <t>PC</t>
        </is>
      </c>
      <c r="F17" s="94" t="n">
        <v>17.101</v>
      </c>
      <c r="G17" s="35" t="n">
        <v>8513100000</v>
      </c>
      <c r="H17" s="31" t="n">
        <v>1.4</v>
      </c>
      <c r="I17" s="84">
        <f>IFERROR(F17*Settings!$B$2*H17*IF(AND(ISNUMBER(E17),E17&gt;1),E17,1),"")</f>
        <v/>
      </c>
      <c r="J17" s="32">
        <f>Settings!$B$66</f>
        <v/>
      </c>
      <c r="K17" s="95">
        <f>IFERROR(IF(T17="","",(T17*(1-AN17)*(1-Settings!$B$17)-I17)/(T17*(1-AN17)*(1-Settings!$B$17))),"")</f>
        <v/>
      </c>
      <c r="L17" s="101">
        <f>IFERROR(IF(T17="","",(T17*(1-AO17)*(1-Settings!$C$17)-I17)/(T17*(1-AO17)*(1-Settings!$C$17))),"")</f>
        <v/>
      </c>
      <c r="M17" s="101">
        <f>IFERROR(IF(T17="","",(T17*(1-AP17)*(1-Settings!$D$17)-I17)/(T17*(1-AP17)*(1-Settings!$D$17))),"")</f>
        <v/>
      </c>
      <c r="N17" s="101">
        <f>IFERROR(IF(T17="","",(T17*(1-AQ17)*(1-Settings!$F$17)-I17)/(T17*(1-AQ17)*(1-Settings!$F$17))),"")</f>
        <v/>
      </c>
      <c r="O17" s="101">
        <f>IFERROR(IF(T17="","",(T17*(1-AR17)*(1-Settings!$G$17)-I17)/(T17*(1-AR17)*(1-Settings!$G$17))),"")</f>
        <v/>
      </c>
      <c r="P17" s="101">
        <f>IFERROR(IF(T17="","",(T17*(1-AS17)*(1-Settings!$H$17)-I17)/(T17*(1-AS17)*(1-Settings!$H$17))),"")</f>
        <v/>
      </c>
      <c r="Q17" s="101">
        <f>IFERROR(IF(T17="","",(T17*(1-AT17)*(1-Settings!$I$68)*(1-Settings!$I$17)-I17)/(T17*(1-AT17)*(1-Settings!$I$68)*(1-Settings!$I$17))),"")</f>
        <v/>
      </c>
      <c r="R17" s="91">
        <f>IFERROR(IF(OR(I17="",Z17&gt;=1,Settings!$B$17&gt;=1,AN17&gt;=1),"",IF(MOD(ROUND(I17/(1-Z17)/(1-Settings!$B$17)/(1-AN17),0),10)=0,ROUND(I17/(1-Z17)/(1-Settings!$B$17)/(1-AN17),0)-1,IF(MOD(ROUND(I17/(1-Z17)/(1-Settings!$B$17)/(1-AN17),0),10)&lt;=5,FLOOR(ROUND(I17/(1-Z17)/(1-Settings!$B$17)/(1-AN17),0),10)+6,FLOOR(ROUND(I17/(1-Z17)/(1-Settings!$B$17)/(1-AN17),0),10)+9))),"")</f>
        <v/>
      </c>
      <c r="S17" s="92" t="n">
        <v>2330</v>
      </c>
      <c r="T17" s="91">
        <f>IF(S17&lt;&gt;"", IF(MOD(S17,10)=0,S17-1,IF(MOD(S17,10)&lt;=5,FLOOR(S17,10)+6,FLOOR(S17,10)+9)), R17)</f>
        <v/>
      </c>
      <c r="U17" s="87" t="inlineStr">
        <is>
          <t>Основний</t>
        </is>
      </c>
      <c r="V17" s="88" t="n"/>
      <c r="W17" s="88" t="n"/>
      <c r="X17" s="89">
        <f>IFERROR(IF(OR(V17="",W17="",T17=""),"", IF(T17&gt;W17,"Дорогий",IF(T17&lt;V17,"Дешевий","У ринку"))),"")</f>
        <v/>
      </c>
      <c r="Y17" s="90" t="n"/>
      <c r="Z17" s="104">
        <f>CHOOSE(MATCH(IF($U17="","Основний",$U17),{"Трафіковий","Основний","Маржинальний","Сезонний","Стратегічний"},0),0.16,0.19,0.24,0.23,0.28)</f>
        <v/>
      </c>
      <c r="AA17" s="104">
        <f>CHOOSE(MATCH(IF($U17="","Основний",$U17),{"Трафіковий","Основний","Маржинальний","Сезонний","Стратегічний"},0),0.18,0.21,0.26,0.25,0.3)</f>
        <v/>
      </c>
      <c r="AB17" s="104">
        <f>CHOOSE(MATCH(IF($U17="","Основний",$U17),{"Трафіковий","Основний","Маржинальний","Сезонний","Стратегічний"},0),0.19,0.22,0.28,0.26,0.32)</f>
        <v/>
      </c>
      <c r="AC17" s="104">
        <f>CHOOSE(MATCH(IF($U17="","Основний",$U17),{"Трафіковий","Основний","Маржинальний","Сезонний","Стратегічний"},0),0.17,0.2,0.25,0.24,0.28)</f>
        <v/>
      </c>
      <c r="AD17" s="104">
        <f>CHOOSE(MATCH(IF($U17="","Основний",$U17),{"Трафіковий","Основний","Маржинальний","Сезонний","Стратегічний"},0),0.18,0.21,0.26,0.25,0.3)</f>
        <v/>
      </c>
      <c r="AE17" s="104">
        <f>CHOOSE(MATCH(IF($U17="","Основний",$U17),{"Трафіковий","Основний","Маржинальний","Сезонний","Стратегічний"},0),0.18,0.2,0.28,0.27,0.32)</f>
        <v/>
      </c>
      <c r="AF17" s="104">
        <f>CHOOSE(MATCH(IF($U17="","Основний",$U17),{"Трафіковий","Основний","Маржинальний","Сезонний","Стратегічний"},0),0.15,0.175,0.22,0.21,0.25)</f>
        <v/>
      </c>
      <c r="AG17" s="104">
        <f>CHOOSE(MATCH(IF($U17="","Основний",$U17),{"Трафіковий","Основний","Маржинальний","Сезонний","Стратегічний"},0),0.13,0.16,0.21,0.2,0.25)</f>
        <v/>
      </c>
      <c r="AH17" s="104">
        <f>CHOOSE(MATCH(IF($U17="","Основний",$U17),{"Трафіковий","Основний","Маржинальний","Сезонний","Стратегічний"},0),0.15,0.18,0.23,0.22,0.27)</f>
        <v/>
      </c>
      <c r="AI17" s="104">
        <f>CHOOSE(MATCH(IF($U17="","Основний",$U17),{"Трафіковий","Основний","Маржинальний","Сезонний","Стратегічний"},0),0.16,0.19,0.25,0.23,0.29)</f>
        <v/>
      </c>
      <c r="AJ17" s="104">
        <f>CHOOSE(MATCH(IF($U17="","Основний",$U17),{"Трафіковий","Основний","Маржинальний","Сезонний","Стратегічний"},0),0.14,0.17,0.22,0.21,0.25)</f>
        <v/>
      </c>
      <c r="AK17" s="104">
        <f>CHOOSE(MATCH(IF($U17="","Основний",$U17),{"Трафіковий","Основний","Маржинальний","Сезонний","Стратегічний"},0),0.15,0.18,0.23,0.22,0.27)</f>
        <v/>
      </c>
      <c r="AL17" s="104">
        <f>CHOOSE(MATCH(IF($U17="","Основний",$U17),{"Трафіковий","Основний","Маржинальний","Сезонний","Стратегічний"},0),0.15,0.17,0.25,0.24,0.29)</f>
        <v/>
      </c>
      <c r="AM17" s="104">
        <f>CHOOSE(MATCH(IF($U17="","Основний",$U17),{"Трафіковий","Основний","Маржинальний","Сезонний","Стратегічний"},0),0.12,0.145,0.19,0.18,0.22)</f>
        <v/>
      </c>
      <c r="AN17" s="157">
        <f>CHOOSE(MATCH(IF($U17="","Основний",$U17),{"Трафіковий","Основний","Маржинальний","Сезонний","Стратегічний"},0),Settings!$B$78,Settings!$B$80,Settings!$B$82,Settings!$B$84,Settings!$B$86)</f>
        <v/>
      </c>
      <c r="AO17" s="157">
        <f>CHOOSE(MATCH(IF($U17="","Основний",$U17),{"Трафіковий","Основний","Маржинальний","Сезонний","Стратегічний"},0),Settings!$C$78,Settings!$C$80,Settings!$C$82,Settings!$C$84,Settings!$C$86)</f>
        <v/>
      </c>
      <c r="AP17" s="157">
        <f>CHOOSE(MATCH(IF($U17="","Основний",$U17),{"Трафіковий","Основний","Маржинальний","Сезонний","Стратегічний"},0),Settings!$D$78,Settings!$D$80,Settings!$D$82,Settings!$D$84,Settings!$D$86)</f>
        <v/>
      </c>
      <c r="AQ17" s="157">
        <f>CHOOSE(MATCH(IF($U17="","Основний",$U17),{"Трафіковий","Основний","Маржинальний","Сезонний","Стратегічний"},0),Settings!$F$78,Settings!$F$80,Settings!$F$82,Settings!$F$84,Settings!$F$86)</f>
        <v/>
      </c>
      <c r="AR17" s="157">
        <f>CHOOSE(MATCH(IF($U17="","Основний",$U17),{"Трафіковий","Основний","Маржинальний","Сезонний","Стратегічний"},0),Settings!$G$78,Settings!$G$80,Settings!$G$82,Settings!$G$84,Settings!$G$86)</f>
        <v/>
      </c>
      <c r="AS17" s="157">
        <f>CHOOSE(MATCH(IF($U17="","Основний",$U17),{"Трафіковий","Основний","Маржинальний","Сезонний","Стратегічний"},0),Settings!$H$78,Settings!$H$80,Settings!$H$82,Settings!$H$84,Settings!$H$86)</f>
        <v/>
      </c>
      <c r="AT17" s="157">
        <f>CHOOSE(MATCH(IF($U17="","Основний",$U17),{"Трафіковий","Основний","Маржинальний","Сезонний","Стратегічний"},0),Settings!$I$78,Settings!$I$80,Settings!$I$82,Settings!$I$84,Settings!$I$86)</f>
        <v/>
      </c>
      <c r="AU17" s="171" t="n"/>
      <c r="AV17" t="n">
        <v>1.35</v>
      </c>
    </row>
    <row r="18">
      <c r="A18" s="28" t="n"/>
      <c r="B18" s="29" t="inlineStr">
        <is>
          <t>P2317</t>
        </is>
      </c>
      <c r="C18" s="29" t="inlineStr">
        <is>
          <t>SMD+2×COB LED RECH. FLASHLIGHT 1000 LM 15 000 MAH</t>
        </is>
      </c>
      <c r="D18" s="29" t="inlineStr">
        <is>
          <t>Ліхтарі</t>
        </is>
      </c>
      <c r="E18" s="28" t="inlineStr">
        <is>
          <t>PC</t>
        </is>
      </c>
      <c r="F18" s="93" t="n">
        <v>25.969</v>
      </c>
      <c r="G18" s="30" t="n">
        <v>8513100000</v>
      </c>
      <c r="H18" s="31" t="n">
        <v>1.4</v>
      </c>
      <c r="I18" s="84">
        <f>IFERROR(F18*Settings!$B$2*H18*IF(AND(ISNUMBER(E18),E18&gt;1),E18,1),"")</f>
        <v/>
      </c>
      <c r="J18" s="32">
        <f>Settings!$B$66</f>
        <v/>
      </c>
      <c r="K18" s="95">
        <f>IFERROR(IF(T18="","",(T18*(1-AN18)*(1-Settings!$B$17)-I18)/(T18*(1-AN18)*(1-Settings!$B$17))),"")</f>
        <v/>
      </c>
      <c r="L18" s="101">
        <f>IFERROR(IF(T18="","",(T18*(1-AO18)*(1-Settings!$C$17)-I18)/(T18*(1-AO18)*(1-Settings!$C$17))),"")</f>
        <v/>
      </c>
      <c r="M18" s="101">
        <f>IFERROR(IF(T18="","",(T18*(1-AP18)*(1-Settings!$D$17)-I18)/(T18*(1-AP18)*(1-Settings!$D$17))),"")</f>
        <v/>
      </c>
      <c r="N18" s="101">
        <f>IFERROR(IF(T18="","",(T18*(1-AQ18)*(1-Settings!$F$17)-I18)/(T18*(1-AQ18)*(1-Settings!$F$17))),"")</f>
        <v/>
      </c>
      <c r="O18" s="101">
        <f>IFERROR(IF(T18="","",(T18*(1-AR18)*(1-Settings!$G$17)-I18)/(T18*(1-AR18)*(1-Settings!$G$17))),"")</f>
        <v/>
      </c>
      <c r="P18" s="101">
        <f>IFERROR(IF(T18="","",(T18*(1-AS18)*(1-Settings!$H$17)-I18)/(T18*(1-AS18)*(1-Settings!$H$17))),"")</f>
        <v/>
      </c>
      <c r="Q18" s="101">
        <f>IFERROR(IF(T18="","",(T18*(1-AT18)*(1-Settings!$I$68)*(1-Settings!$I$17)-I18)/(T18*(1-AT18)*(1-Settings!$I$68)*(1-Settings!$I$17))),"")</f>
        <v/>
      </c>
      <c r="R18" s="91">
        <f>IFERROR(IF(OR(I18="",Z18&gt;=1,Settings!$B$17&gt;=1,AN18&gt;=1),"",IF(MOD(ROUND(I18/(1-Z18)/(1-Settings!$B$17)/(1-AN18),0),10)=0,ROUND(I18/(1-Z18)/(1-Settings!$B$17)/(1-AN18),0)-1,IF(MOD(ROUND(I18/(1-Z18)/(1-Settings!$B$17)/(1-AN18),0),10)&lt;=5,FLOOR(ROUND(I18/(1-Z18)/(1-Settings!$B$17)/(1-AN18),0),10)+6,FLOOR(ROUND(I18/(1-Z18)/(1-Settings!$B$17)/(1-AN18),0),10)+9))),"")</f>
        <v/>
      </c>
      <c r="S18" s="92" t="n">
        <v>3460</v>
      </c>
      <c r="T18" s="91">
        <f>IF(S18&lt;&gt;"", IF(MOD(S18,10)=0,S18-1,IF(MOD(S18,10)&lt;=5,FLOOR(S18,10)+6,FLOOR(S18,10)+9)), R18)</f>
        <v/>
      </c>
      <c r="U18" s="87" t="inlineStr">
        <is>
          <t>Основний</t>
        </is>
      </c>
      <c r="V18" s="88" t="n"/>
      <c r="W18" s="88" t="n"/>
      <c r="X18" s="89">
        <f>IFERROR(IF(OR(V18="",W18="",T18=""),"", IF(T18&gt;W18,"Дорогий",IF(T18&lt;V18,"Дешевий","У ринку"))),"")</f>
        <v/>
      </c>
      <c r="Y18" s="90" t="n"/>
      <c r="Z18" s="104">
        <f>CHOOSE(MATCH(IF($U18="","Основний",$U18),{"Трафіковий","Основний","Маржинальний","Сезонний","Стратегічний"},0),0.16,0.19,0.24,0.23,0.28)</f>
        <v/>
      </c>
      <c r="AA18" s="104">
        <f>CHOOSE(MATCH(IF($U18="","Основний",$U18),{"Трафіковий","Основний","Маржинальний","Сезонний","Стратегічний"},0),0.18,0.21,0.26,0.25,0.3)</f>
        <v/>
      </c>
      <c r="AB18" s="104">
        <f>CHOOSE(MATCH(IF($U18="","Основний",$U18),{"Трафіковий","Основний","Маржинальний","Сезонний","Стратегічний"},0),0.19,0.22,0.28,0.26,0.32)</f>
        <v/>
      </c>
      <c r="AC18" s="104">
        <f>CHOOSE(MATCH(IF($U18="","Основний",$U18),{"Трафіковий","Основний","Маржинальний","Сезонний","Стратегічний"},0),0.17,0.2,0.25,0.24,0.28)</f>
        <v/>
      </c>
      <c r="AD18" s="104">
        <f>CHOOSE(MATCH(IF($U18="","Основний",$U18),{"Трафіковий","Основний","Маржинальний","Сезонний","Стратегічний"},0),0.18,0.21,0.26,0.25,0.3)</f>
        <v/>
      </c>
      <c r="AE18" s="104">
        <f>CHOOSE(MATCH(IF($U18="","Основний",$U18),{"Трафіковий","Основний","Маржинальний","Сезонний","Стратегічний"},0),0.18,0.2,0.28,0.27,0.32)</f>
        <v/>
      </c>
      <c r="AF18" s="104">
        <f>CHOOSE(MATCH(IF($U18="","Основний",$U18),{"Трафіковий","Основний","Маржинальний","Сезонний","Стратегічний"},0),0.15,0.175,0.22,0.21,0.25)</f>
        <v/>
      </c>
      <c r="AG18" s="104">
        <f>CHOOSE(MATCH(IF($U18="","Основний",$U18),{"Трафіковий","Основний","Маржинальний","Сезонний","Стратегічний"},0),0.13,0.16,0.21,0.2,0.25)</f>
        <v/>
      </c>
      <c r="AH18" s="104">
        <f>CHOOSE(MATCH(IF($U18="","Основний",$U18),{"Трафіковий","Основний","Маржинальний","Сезонний","Стратегічний"},0),0.15,0.18,0.23,0.22,0.27)</f>
        <v/>
      </c>
      <c r="AI18" s="104">
        <f>CHOOSE(MATCH(IF($U18="","Основний",$U18),{"Трафіковий","Основний","Маржинальний","Сезонний","Стратегічний"},0),0.16,0.19,0.25,0.23,0.29)</f>
        <v/>
      </c>
      <c r="AJ18" s="104">
        <f>CHOOSE(MATCH(IF($U18="","Основний",$U18),{"Трафіковий","Основний","Маржинальний","Сезонний","Стратегічний"},0),0.14,0.17,0.22,0.21,0.25)</f>
        <v/>
      </c>
      <c r="AK18" s="104">
        <f>CHOOSE(MATCH(IF($U18="","Основний",$U18),{"Трафіковий","Основний","Маржинальний","Сезонний","Стратегічний"},0),0.15,0.18,0.23,0.22,0.27)</f>
        <v/>
      </c>
      <c r="AL18" s="104">
        <f>CHOOSE(MATCH(IF($U18="","Основний",$U18),{"Трафіковий","Основний","Маржинальний","Сезонний","Стратегічний"},0),0.15,0.17,0.25,0.24,0.29)</f>
        <v/>
      </c>
      <c r="AM18" s="104">
        <f>CHOOSE(MATCH(IF($U18="","Основний",$U18),{"Трафіковий","Основний","Маржинальний","Сезонний","Стратегічний"},0),0.12,0.145,0.19,0.18,0.22)</f>
        <v/>
      </c>
      <c r="AN18" s="157">
        <f>CHOOSE(MATCH(IF($U18="","Основний",$U18),{"Трафіковий","Основний","Маржинальний","Сезонний","Стратегічний"},0),Settings!$B$78,Settings!$B$80,Settings!$B$82,Settings!$B$84,Settings!$B$86)</f>
        <v/>
      </c>
      <c r="AO18" s="157">
        <f>CHOOSE(MATCH(IF($U18="","Основний",$U18),{"Трафіковий","Основний","Маржинальний","Сезонний","Стратегічний"},0),Settings!$C$78,Settings!$C$80,Settings!$C$82,Settings!$C$84,Settings!$C$86)</f>
        <v/>
      </c>
      <c r="AP18" s="157">
        <f>CHOOSE(MATCH(IF($U18="","Основний",$U18),{"Трафіковий","Основний","Маржинальний","Сезонний","Стратегічний"},0),Settings!$D$78,Settings!$D$80,Settings!$D$82,Settings!$D$84,Settings!$D$86)</f>
        <v/>
      </c>
      <c r="AQ18" s="157">
        <f>CHOOSE(MATCH(IF($U18="","Основний",$U18),{"Трафіковий","Основний","Маржинальний","Сезонний","Стратегічний"},0),Settings!$F$78,Settings!$F$80,Settings!$F$82,Settings!$F$84,Settings!$F$86)</f>
        <v/>
      </c>
      <c r="AR18" s="157">
        <f>CHOOSE(MATCH(IF($U18="","Основний",$U18),{"Трафіковий","Основний","Маржинальний","Сезонний","Стратегічний"},0),Settings!$G$78,Settings!$G$80,Settings!$G$82,Settings!$G$84,Settings!$G$86)</f>
        <v/>
      </c>
      <c r="AS18" s="157">
        <f>CHOOSE(MATCH(IF($U18="","Основний",$U18),{"Трафіковий","Основний","Маржинальний","Сезонний","Стратегічний"},0),Settings!$H$78,Settings!$H$80,Settings!$H$82,Settings!$H$84,Settings!$H$86)</f>
        <v/>
      </c>
      <c r="AT18" s="157">
        <f>CHOOSE(MATCH(IF($U18="","Основний",$U18),{"Трафіковий","Основний","Маржинальний","Сезонний","Стратегічний"},0),Settings!$I$78,Settings!$I$80,Settings!$I$82,Settings!$I$84,Settings!$I$86)</f>
        <v/>
      </c>
      <c r="AU18" s="171" t="n"/>
      <c r="AV18" t="n">
        <v>1.35</v>
      </c>
    </row>
    <row r="19">
      <c r="A19" s="33" t="n"/>
      <c r="B19" s="34" t="inlineStr">
        <is>
          <t>P3150</t>
        </is>
      </c>
      <c r="C19" s="34" t="inlineStr">
        <is>
          <t>LED FLASHLIGHT ULTIBRIGHT 50 100lm 1×AAA</t>
        </is>
      </c>
      <c r="D19" s="34" t="inlineStr">
        <is>
          <t>Ліхтарі</t>
        </is>
      </c>
      <c r="E19" s="33" t="inlineStr">
        <is>
          <t>PC</t>
        </is>
      </c>
      <c r="F19" s="94" t="n">
        <v>7.272</v>
      </c>
      <c r="G19" s="35" t="n">
        <v>8513100000</v>
      </c>
      <c r="H19" s="31" t="n">
        <v>1.4</v>
      </c>
      <c r="I19" s="84">
        <f>IFERROR(F19*Settings!$B$2*H19*IF(AND(ISNUMBER(E19),E19&gt;1),E19,1),"")</f>
        <v/>
      </c>
      <c r="J19" s="32">
        <f>Settings!$B$66</f>
        <v/>
      </c>
      <c r="K19" s="95">
        <f>IFERROR(IF(T19="","",(T19*(1-AN19)*(1-Settings!$B$17)-I19)/(T19*(1-AN19)*(1-Settings!$B$17))),"")</f>
        <v/>
      </c>
      <c r="L19" s="101">
        <f>IFERROR(IF(T19="","",(T19*(1-AO19)*(1-Settings!$C$17)-I19)/(T19*(1-AO19)*(1-Settings!$C$17))),"")</f>
        <v/>
      </c>
      <c r="M19" s="101">
        <f>IFERROR(IF(T19="","",(T19*(1-AP19)*(1-Settings!$D$17)-I19)/(T19*(1-AP19)*(1-Settings!$D$17))),"")</f>
        <v/>
      </c>
      <c r="N19" s="101">
        <f>IFERROR(IF(T19="","",(T19*(1-AQ19)*(1-Settings!$F$17)-I19)/(T19*(1-AQ19)*(1-Settings!$F$17))),"")</f>
        <v/>
      </c>
      <c r="O19" s="101">
        <f>IFERROR(IF(T19="","",(T19*(1-AR19)*(1-Settings!$G$17)-I19)/(T19*(1-AR19)*(1-Settings!$G$17))),"")</f>
        <v/>
      </c>
      <c r="P19" s="101">
        <f>IFERROR(IF(T19="","",(T19*(1-AS19)*(1-Settings!$H$17)-I19)/(T19*(1-AS19)*(1-Settings!$H$17))),"")</f>
        <v/>
      </c>
      <c r="Q19" s="101">
        <f>IFERROR(IF(T19="","",(T19*(1-AT19)*(1-Settings!$I$68)*(1-Settings!$I$17)-I19)/(T19*(1-AT19)*(1-Settings!$I$68)*(1-Settings!$I$17))),"")</f>
        <v/>
      </c>
      <c r="R19" s="91">
        <f>IFERROR(IF(OR(I19="",Z19&gt;=1,Settings!$B$17&gt;=1,AN19&gt;=1),"",IF(MOD(ROUND(I19/(1-Z19)/(1-Settings!$B$17)/(1-AN19),0),10)=0,ROUND(I19/(1-Z19)/(1-Settings!$B$17)/(1-AN19),0)-1,IF(MOD(ROUND(I19/(1-Z19)/(1-Settings!$B$17)/(1-AN19),0),10)&lt;=5,FLOOR(ROUND(I19/(1-Z19)/(1-Settings!$B$17)/(1-AN19),0),10)+6,FLOOR(ROUND(I19/(1-Z19)/(1-Settings!$B$17)/(1-AN19),0),10)+9))),"")</f>
        <v/>
      </c>
      <c r="S19" s="92" t="n"/>
      <c r="T19" s="91">
        <f>IF(S19&lt;&gt;"", IF(MOD(S19,10)=0,S19-1,IF(MOD(S19,10)&lt;=5,FLOOR(S19,10)+6,FLOOR(S19,10)+9)), R19)</f>
        <v/>
      </c>
      <c r="U19" s="87" t="inlineStr">
        <is>
          <t>Основний</t>
        </is>
      </c>
      <c r="V19" s="88" t="n"/>
      <c r="W19" s="88" t="n"/>
      <c r="X19" s="89">
        <f>IFERROR(IF(OR(V19="",W19="",T19=""),"", IF(T19&gt;W19,"Дорогий",IF(T19&lt;V19,"Дешевий","У ринку"))),"")</f>
        <v/>
      </c>
      <c r="Y19" s="90" t="n"/>
      <c r="Z19" s="104">
        <f>CHOOSE(MATCH(IF($U19="","Основний",$U19),{"Трафіковий","Основний","Маржинальний","Сезонний","Стратегічний"},0),0.16,0.19,0.24,0.23,0.28)</f>
        <v/>
      </c>
      <c r="AA19" s="104">
        <f>CHOOSE(MATCH(IF($U19="","Основний",$U19),{"Трафіковий","Основний","Маржинальний","Сезонний","Стратегічний"},0),0.18,0.21,0.26,0.25,0.3)</f>
        <v/>
      </c>
      <c r="AB19" s="104">
        <f>CHOOSE(MATCH(IF($U19="","Основний",$U19),{"Трафіковий","Основний","Маржинальний","Сезонний","Стратегічний"},0),0.19,0.22,0.28,0.26,0.32)</f>
        <v/>
      </c>
      <c r="AC19" s="104">
        <f>CHOOSE(MATCH(IF($U19="","Основний",$U19),{"Трафіковий","Основний","Маржинальний","Сезонний","Стратегічний"},0),0.17,0.2,0.25,0.24,0.28)</f>
        <v/>
      </c>
      <c r="AD19" s="104">
        <f>CHOOSE(MATCH(IF($U19="","Основний",$U19),{"Трафіковий","Основний","Маржинальний","Сезонний","Стратегічний"},0),0.18,0.21,0.26,0.25,0.3)</f>
        <v/>
      </c>
      <c r="AE19" s="104">
        <f>CHOOSE(MATCH(IF($U19="","Основний",$U19),{"Трафіковий","Основний","Маржинальний","Сезонний","Стратегічний"},0),0.18,0.2,0.28,0.27,0.32)</f>
        <v/>
      </c>
      <c r="AF19" s="104">
        <f>CHOOSE(MATCH(IF($U19="","Основний",$U19),{"Трафіковий","Основний","Маржинальний","Сезонний","Стратегічний"},0),0.15,0.175,0.22,0.21,0.25)</f>
        <v/>
      </c>
      <c r="AG19" s="104">
        <f>CHOOSE(MATCH(IF($U19="","Основний",$U19),{"Трафіковий","Основний","Маржинальний","Сезонний","Стратегічний"},0),0.13,0.16,0.21,0.2,0.25)</f>
        <v/>
      </c>
      <c r="AH19" s="104">
        <f>CHOOSE(MATCH(IF($U19="","Основний",$U19),{"Трафіковий","Основний","Маржинальний","Сезонний","Стратегічний"},0),0.15,0.18,0.23,0.22,0.27)</f>
        <v/>
      </c>
      <c r="AI19" s="104">
        <f>CHOOSE(MATCH(IF($U19="","Основний",$U19),{"Трафіковий","Основний","Маржинальний","Сезонний","Стратегічний"},0),0.16,0.19,0.25,0.23,0.29)</f>
        <v/>
      </c>
      <c r="AJ19" s="104">
        <f>CHOOSE(MATCH(IF($U19="","Основний",$U19),{"Трафіковий","Основний","Маржинальний","Сезонний","Стратегічний"},0),0.14,0.17,0.22,0.21,0.25)</f>
        <v/>
      </c>
      <c r="AK19" s="104">
        <f>CHOOSE(MATCH(IF($U19="","Основний",$U19),{"Трафіковий","Основний","Маржинальний","Сезонний","Стратегічний"},0),0.15,0.18,0.23,0.22,0.27)</f>
        <v/>
      </c>
      <c r="AL19" s="104">
        <f>CHOOSE(MATCH(IF($U19="","Основний",$U19),{"Трафіковий","Основний","Маржинальний","Сезонний","Стратегічний"},0),0.15,0.17,0.25,0.24,0.29)</f>
        <v/>
      </c>
      <c r="AM19" s="104">
        <f>CHOOSE(MATCH(IF($U19="","Основний",$U19),{"Трафіковий","Основний","Маржинальний","Сезонний","Стратегічний"},0),0.12,0.145,0.19,0.18,0.22)</f>
        <v/>
      </c>
      <c r="AN19" s="157">
        <f>CHOOSE(MATCH(IF($U19="","Основний",$U19),{"Трафіковий","Основний","Маржинальний","Сезонний","Стратегічний"},0),Settings!$B$78,Settings!$B$80,Settings!$B$82,Settings!$B$84,Settings!$B$86)</f>
        <v/>
      </c>
      <c r="AO19" s="157">
        <f>CHOOSE(MATCH(IF($U19="","Основний",$U19),{"Трафіковий","Основний","Маржинальний","Сезонний","Стратегічний"},0),Settings!$C$78,Settings!$C$80,Settings!$C$82,Settings!$C$84,Settings!$C$86)</f>
        <v/>
      </c>
      <c r="AP19" s="157">
        <f>CHOOSE(MATCH(IF($U19="","Основний",$U19),{"Трафіковий","Основний","Маржинальний","Сезонний","Стратегічний"},0),Settings!$D$78,Settings!$D$80,Settings!$D$82,Settings!$D$84,Settings!$D$86)</f>
        <v/>
      </c>
      <c r="AQ19" s="157">
        <f>CHOOSE(MATCH(IF($U19="","Основний",$U19),{"Трафіковий","Основний","Маржинальний","Сезонний","Стратегічний"},0),Settings!$F$78,Settings!$F$80,Settings!$F$82,Settings!$F$84,Settings!$F$86)</f>
        <v/>
      </c>
      <c r="AR19" s="157">
        <f>CHOOSE(MATCH(IF($U19="","Основний",$U19),{"Трафіковий","Основний","Маржинальний","Сезонний","Стратегічний"},0),Settings!$G$78,Settings!$G$80,Settings!$G$82,Settings!$G$84,Settings!$G$86)</f>
        <v/>
      </c>
      <c r="AS19" s="157">
        <f>CHOOSE(MATCH(IF($U19="","Основний",$U19),{"Трафіковий","Основний","Маржинальний","Сезонний","Стратегічний"},0),Settings!$H$78,Settings!$H$80,Settings!$H$82,Settings!$H$84,Settings!$H$86)</f>
        <v/>
      </c>
      <c r="AT19" s="157">
        <f>CHOOSE(MATCH(IF($U19="","Основний",$U19),{"Трафіковий","Основний","Маржинальний","Сезонний","Стратегічний"},0),Settings!$I$78,Settings!$I$80,Settings!$I$82,Settings!$I$84,Settings!$I$86)</f>
        <v/>
      </c>
      <c r="AU19" s="171" t="n"/>
      <c r="AV19" t="n">
        <v>1.35</v>
      </c>
    </row>
    <row r="20">
      <c r="A20" s="28" t="n"/>
      <c r="B20" s="29" t="inlineStr">
        <is>
          <t>P3160</t>
        </is>
      </c>
      <c r="C20" s="29" t="inlineStr">
        <is>
          <t>LED FLASHLIGHT ULTIBRIGHT 60 170lm 1×AA</t>
        </is>
      </c>
      <c r="D20" s="29" t="inlineStr">
        <is>
          <t>Ліхтарі</t>
        </is>
      </c>
      <c r="E20" s="28" t="inlineStr">
        <is>
          <t>PC</t>
        </is>
      </c>
      <c r="F20" s="93" t="n">
        <v>7.676</v>
      </c>
      <c r="G20" s="30" t="n">
        <v>8513100000</v>
      </c>
      <c r="H20" s="31" t="n">
        <v>1.4</v>
      </c>
      <c r="I20" s="84">
        <f>IFERROR(F20*Settings!$B$2*H20*IF(AND(ISNUMBER(E20),E20&gt;1),E20,1),"")</f>
        <v/>
      </c>
      <c r="J20" s="32">
        <f>Settings!$B$66</f>
        <v/>
      </c>
      <c r="K20" s="95">
        <f>IFERROR(IF(T20="","",(T20*(1-AN20)*(1-Settings!$B$17)-I20)/(T20*(1-AN20)*(1-Settings!$B$17))),"")</f>
        <v/>
      </c>
      <c r="L20" s="101">
        <f>IFERROR(IF(T20="","",(T20*(1-AO20)*(1-Settings!$C$17)-I20)/(T20*(1-AO20)*(1-Settings!$C$17))),"")</f>
        <v/>
      </c>
      <c r="M20" s="101">
        <f>IFERROR(IF(T20="","",(T20*(1-AP20)*(1-Settings!$D$17)-I20)/(T20*(1-AP20)*(1-Settings!$D$17))),"")</f>
        <v/>
      </c>
      <c r="N20" s="101">
        <f>IFERROR(IF(T20="","",(T20*(1-AQ20)*(1-Settings!$F$17)-I20)/(T20*(1-AQ20)*(1-Settings!$F$17))),"")</f>
        <v/>
      </c>
      <c r="O20" s="101">
        <f>IFERROR(IF(T20="","",(T20*(1-AR20)*(1-Settings!$G$17)-I20)/(T20*(1-AR20)*(1-Settings!$G$17))),"")</f>
        <v/>
      </c>
      <c r="P20" s="101">
        <f>IFERROR(IF(T20="","",(T20*(1-AS20)*(1-Settings!$H$17)-I20)/(T20*(1-AS20)*(1-Settings!$H$17))),"")</f>
        <v/>
      </c>
      <c r="Q20" s="101">
        <f>IFERROR(IF(T20="","",(T20*(1-AT20)*(1-Settings!$I$68)*(1-Settings!$I$17)-I20)/(T20*(1-AT20)*(1-Settings!$I$68)*(1-Settings!$I$17))),"")</f>
        <v/>
      </c>
      <c r="R20" s="91">
        <f>IFERROR(IF(OR(I20="",Z20&gt;=1,Settings!$B$17&gt;=1,AN20&gt;=1),"",IF(MOD(ROUND(I20/(1-Z20)/(1-Settings!$B$17)/(1-AN20),0),10)=0,ROUND(I20/(1-Z20)/(1-Settings!$B$17)/(1-AN20),0)-1,IF(MOD(ROUND(I20/(1-Z20)/(1-Settings!$B$17)/(1-AN20),0),10)&lt;=5,FLOOR(ROUND(I20/(1-Z20)/(1-Settings!$B$17)/(1-AN20),0),10)+6,FLOOR(ROUND(I20/(1-Z20)/(1-Settings!$B$17)/(1-AN20),0),10)+9))),"")</f>
        <v/>
      </c>
      <c r="S20" s="92" t="n">
        <v>1000</v>
      </c>
      <c r="T20" s="91">
        <f>IF(S20&lt;&gt;"", IF(MOD(S20,10)=0,S20-1,IF(MOD(S20,10)&lt;=5,FLOOR(S20,10)+6,FLOOR(S20,10)+9)), R20)</f>
        <v/>
      </c>
      <c r="U20" s="87" t="inlineStr">
        <is>
          <t>Основний</t>
        </is>
      </c>
      <c r="V20" s="88" t="n"/>
      <c r="W20" s="88" t="n"/>
      <c r="X20" s="89">
        <f>IFERROR(IF(OR(V20="",W20="",T20=""),"", IF(T20&gt;W20,"Дорогий",IF(T20&lt;V20,"Дешевий","У ринку"))),"")</f>
        <v/>
      </c>
      <c r="Y20" s="90" t="n"/>
      <c r="Z20" s="104">
        <f>CHOOSE(MATCH(IF($U20="","Основний",$U20),{"Трафіковий","Основний","Маржинальний","Сезонний","Стратегічний"},0),0.16,0.19,0.24,0.23,0.28)</f>
        <v/>
      </c>
      <c r="AA20" s="104">
        <f>CHOOSE(MATCH(IF($U20="","Основний",$U20),{"Трафіковий","Основний","Маржинальний","Сезонний","Стратегічний"},0),0.18,0.21,0.26,0.25,0.3)</f>
        <v/>
      </c>
      <c r="AB20" s="104">
        <f>CHOOSE(MATCH(IF($U20="","Основний",$U20),{"Трафіковий","Основний","Маржинальний","Сезонний","Стратегічний"},0),0.19,0.22,0.28,0.26,0.32)</f>
        <v/>
      </c>
      <c r="AC20" s="104">
        <f>CHOOSE(MATCH(IF($U20="","Основний",$U20),{"Трафіковий","Основний","Маржинальний","Сезонний","Стратегічний"},0),0.17,0.2,0.25,0.24,0.28)</f>
        <v/>
      </c>
      <c r="AD20" s="104">
        <f>CHOOSE(MATCH(IF($U20="","Основний",$U20),{"Трафіковий","Основний","Маржинальний","Сезонний","Стратегічний"},0),0.18,0.21,0.26,0.25,0.3)</f>
        <v/>
      </c>
      <c r="AE20" s="104">
        <f>CHOOSE(MATCH(IF($U20="","Основний",$U20),{"Трафіковий","Основний","Маржинальний","Сезонний","Стратегічний"},0),0.18,0.2,0.28,0.27,0.32)</f>
        <v/>
      </c>
      <c r="AF20" s="104">
        <f>CHOOSE(MATCH(IF($U20="","Основний",$U20),{"Трафіковий","Основний","Маржинальний","Сезонний","Стратегічний"},0),0.15,0.175,0.22,0.21,0.25)</f>
        <v/>
      </c>
      <c r="AG20" s="104">
        <f>CHOOSE(MATCH(IF($U20="","Основний",$U20),{"Трафіковий","Основний","Маржинальний","Сезонний","Стратегічний"},0),0.13,0.16,0.21,0.2,0.25)</f>
        <v/>
      </c>
      <c r="AH20" s="104">
        <f>CHOOSE(MATCH(IF($U20="","Основний",$U20),{"Трафіковий","Основний","Маржинальний","Сезонний","Стратегічний"},0),0.15,0.18,0.23,0.22,0.27)</f>
        <v/>
      </c>
      <c r="AI20" s="104">
        <f>CHOOSE(MATCH(IF($U20="","Основний",$U20),{"Трафіковий","Основний","Маржинальний","Сезонний","Стратегічний"},0),0.16,0.19,0.25,0.23,0.29)</f>
        <v/>
      </c>
      <c r="AJ20" s="104">
        <f>CHOOSE(MATCH(IF($U20="","Основний",$U20),{"Трафіковий","Основний","Маржинальний","Сезонний","Стратегічний"},0),0.14,0.17,0.22,0.21,0.25)</f>
        <v/>
      </c>
      <c r="AK20" s="104">
        <f>CHOOSE(MATCH(IF($U20="","Основний",$U20),{"Трафіковий","Основний","Маржинальний","Сезонний","Стратегічний"},0),0.15,0.18,0.23,0.22,0.27)</f>
        <v/>
      </c>
      <c r="AL20" s="104">
        <f>CHOOSE(MATCH(IF($U20="","Основний",$U20),{"Трафіковий","Основний","Маржинальний","Сезонний","Стратегічний"},0),0.15,0.17,0.25,0.24,0.29)</f>
        <v/>
      </c>
      <c r="AM20" s="104">
        <f>CHOOSE(MATCH(IF($U20="","Основний",$U20),{"Трафіковий","Основний","Маржинальний","Сезонний","Стратегічний"},0),0.12,0.145,0.19,0.18,0.22)</f>
        <v/>
      </c>
      <c r="AN20" s="157">
        <f>CHOOSE(MATCH(IF($U20="","Основний",$U20),{"Трафіковий","Основний","Маржинальний","Сезонний","Стратегічний"},0),Settings!$B$78,Settings!$B$80,Settings!$B$82,Settings!$B$84,Settings!$B$86)</f>
        <v/>
      </c>
      <c r="AO20" s="157">
        <f>CHOOSE(MATCH(IF($U20="","Основний",$U20),{"Трафіковий","Основний","Маржинальний","Сезонний","Стратегічний"},0),Settings!$C$78,Settings!$C$80,Settings!$C$82,Settings!$C$84,Settings!$C$86)</f>
        <v/>
      </c>
      <c r="AP20" s="157">
        <f>CHOOSE(MATCH(IF($U20="","Основний",$U20),{"Трафіковий","Основний","Маржинальний","Сезонний","Стратегічний"},0),Settings!$D$78,Settings!$D$80,Settings!$D$82,Settings!$D$84,Settings!$D$86)</f>
        <v/>
      </c>
      <c r="AQ20" s="157">
        <f>CHOOSE(MATCH(IF($U20="","Основний",$U20),{"Трафіковий","Основний","Маржинальний","Сезонний","Стратегічний"},0),Settings!$F$78,Settings!$F$80,Settings!$F$82,Settings!$F$84,Settings!$F$86)</f>
        <v/>
      </c>
      <c r="AR20" s="157">
        <f>CHOOSE(MATCH(IF($U20="","Основний",$U20),{"Трафіковий","Основний","Маржинальний","Сезонний","Стратегічний"},0),Settings!$G$78,Settings!$G$80,Settings!$G$82,Settings!$G$84,Settings!$G$86)</f>
        <v/>
      </c>
      <c r="AS20" s="157">
        <f>CHOOSE(MATCH(IF($U20="","Основний",$U20),{"Трафіковий","Основний","Маржинальний","Сезонний","Стратегічний"},0),Settings!$H$78,Settings!$H$80,Settings!$H$82,Settings!$H$84,Settings!$H$86)</f>
        <v/>
      </c>
      <c r="AT20" s="157">
        <f>CHOOSE(MATCH(IF($U20="","Основний",$U20),{"Трафіковий","Основний","Маржинальний","Сезонний","Стратегічний"},0),Settings!$I$78,Settings!$I$80,Settings!$I$82,Settings!$I$84,Settings!$I$86)</f>
        <v/>
      </c>
      <c r="AU20" s="171" t="n"/>
      <c r="AV20" t="n">
        <v>1.35</v>
      </c>
    </row>
    <row r="21">
      <c r="A21" s="33" t="n"/>
      <c r="B21" s="34" t="inlineStr">
        <is>
          <t>P3170</t>
        </is>
      </c>
      <c r="C21" s="34" t="inlineStr">
        <is>
          <t>LED FLASHLIGHT ULTIBRIGHT 70 340lm 3×AAA</t>
        </is>
      </c>
      <c r="D21" s="34" t="inlineStr">
        <is>
          <t>Ліхтарі</t>
        </is>
      </c>
      <c r="E21" s="33" t="inlineStr">
        <is>
          <t>PC</t>
        </is>
      </c>
      <c r="F21" s="94" t="n">
        <v>13.502</v>
      </c>
      <c r="G21" s="35" t="n">
        <v>8513100000</v>
      </c>
      <c r="H21" s="31" t="n">
        <v>1.4</v>
      </c>
      <c r="I21" s="84">
        <f>IFERROR(F21*Settings!$B$2*H21*IF(AND(ISNUMBER(E21),E21&gt;1),E21,1),"")</f>
        <v/>
      </c>
      <c r="J21" s="32">
        <f>Settings!$B$66</f>
        <v/>
      </c>
      <c r="K21" s="95">
        <f>IFERROR(IF(T21="","",(T21*(1-AN21)*(1-Settings!$B$17)-I21)/(T21*(1-AN21)*(1-Settings!$B$17))),"")</f>
        <v/>
      </c>
      <c r="L21" s="101">
        <f>IFERROR(IF(T21="","",(T21*(1-AO21)*(1-Settings!$C$17)-I21)/(T21*(1-AO21)*(1-Settings!$C$17))),"")</f>
        <v/>
      </c>
      <c r="M21" s="101">
        <f>IFERROR(IF(T21="","",(T21*(1-AP21)*(1-Settings!$D$17)-I21)/(T21*(1-AP21)*(1-Settings!$D$17))),"")</f>
        <v/>
      </c>
      <c r="N21" s="101">
        <f>IFERROR(IF(T21="","",(T21*(1-AQ21)*(1-Settings!$F$17)-I21)/(T21*(1-AQ21)*(1-Settings!$F$17))),"")</f>
        <v/>
      </c>
      <c r="O21" s="101">
        <f>IFERROR(IF(T21="","",(T21*(1-AR21)*(1-Settings!$G$17)-I21)/(T21*(1-AR21)*(1-Settings!$G$17))),"")</f>
        <v/>
      </c>
      <c r="P21" s="101">
        <f>IFERROR(IF(T21="","",(T21*(1-AS21)*(1-Settings!$H$17)-I21)/(T21*(1-AS21)*(1-Settings!$H$17))),"")</f>
        <v/>
      </c>
      <c r="Q21" s="101">
        <f>IFERROR(IF(T21="","",(T21*(1-AT21)*(1-Settings!$I$68)*(1-Settings!$I$17)-I21)/(T21*(1-AT21)*(1-Settings!$I$68)*(1-Settings!$I$17))),"")</f>
        <v/>
      </c>
      <c r="R21" s="91">
        <f>IFERROR(IF(OR(I21="",Z21&gt;=1,Settings!$B$17&gt;=1,AN21&gt;=1),"",IF(MOD(ROUND(I21/(1-Z21)/(1-Settings!$B$17)/(1-AN21),0),10)=0,ROUND(I21/(1-Z21)/(1-Settings!$B$17)/(1-AN21),0)-1,IF(MOD(ROUND(I21/(1-Z21)/(1-Settings!$B$17)/(1-AN21),0),10)&lt;=5,FLOOR(ROUND(I21/(1-Z21)/(1-Settings!$B$17)/(1-AN21),0),10)+6,FLOOR(ROUND(I21/(1-Z21)/(1-Settings!$B$17)/(1-AN21),0),10)+9))),"")</f>
        <v/>
      </c>
      <c r="S21" s="92" t="n">
        <v>1800</v>
      </c>
      <c r="T21" s="91">
        <f>IF(S21&lt;&gt;"", IF(MOD(S21,10)=0,S21-1,IF(MOD(S21,10)&lt;=5,FLOOR(S21,10)+6,FLOOR(S21,10)+9)), R21)</f>
        <v/>
      </c>
      <c r="U21" s="87" t="inlineStr">
        <is>
          <t>Основний</t>
        </is>
      </c>
      <c r="V21" s="88" t="n"/>
      <c r="W21" s="88" t="n"/>
      <c r="X21" s="89">
        <f>IFERROR(IF(OR(V21="",W21="",T21=""),"", IF(T21&gt;W21,"Дорогий",IF(T21&lt;V21,"Дешевий","У ринку"))),"")</f>
        <v/>
      </c>
      <c r="Y21" s="90" t="n"/>
      <c r="Z21" s="104">
        <f>CHOOSE(MATCH(IF($U21="","Основний",$U21),{"Трафіковий","Основний","Маржинальний","Сезонний","Стратегічний"},0),0.16,0.19,0.24,0.23,0.28)</f>
        <v/>
      </c>
      <c r="AA21" s="104">
        <f>CHOOSE(MATCH(IF($U21="","Основний",$U21),{"Трафіковий","Основний","Маржинальний","Сезонний","Стратегічний"},0),0.18,0.21,0.26,0.25,0.3)</f>
        <v/>
      </c>
      <c r="AB21" s="104">
        <f>CHOOSE(MATCH(IF($U21="","Основний",$U21),{"Трафіковий","Основний","Маржинальний","Сезонний","Стратегічний"},0),0.19,0.22,0.28,0.26,0.32)</f>
        <v/>
      </c>
      <c r="AC21" s="104">
        <f>CHOOSE(MATCH(IF($U21="","Основний",$U21),{"Трафіковий","Основний","Маржинальний","Сезонний","Стратегічний"},0),0.17,0.2,0.25,0.24,0.28)</f>
        <v/>
      </c>
      <c r="AD21" s="104">
        <f>CHOOSE(MATCH(IF($U21="","Основний",$U21),{"Трафіковий","Основний","Маржинальний","Сезонний","Стратегічний"},0),0.18,0.21,0.26,0.25,0.3)</f>
        <v/>
      </c>
      <c r="AE21" s="104">
        <f>CHOOSE(MATCH(IF($U21="","Основний",$U21),{"Трафіковий","Основний","Маржинальний","Сезонний","Стратегічний"},0),0.18,0.2,0.28,0.27,0.32)</f>
        <v/>
      </c>
      <c r="AF21" s="104">
        <f>CHOOSE(MATCH(IF($U21="","Основний",$U21),{"Трафіковий","Основний","Маржинальний","Сезонний","Стратегічний"},0),0.15,0.175,0.22,0.21,0.25)</f>
        <v/>
      </c>
      <c r="AG21" s="104">
        <f>CHOOSE(MATCH(IF($U21="","Основний",$U21),{"Трафіковий","Основний","Маржинальний","Сезонний","Стратегічний"},0),0.13,0.16,0.21,0.2,0.25)</f>
        <v/>
      </c>
      <c r="AH21" s="104">
        <f>CHOOSE(MATCH(IF($U21="","Основний",$U21),{"Трафіковий","Основний","Маржинальний","Сезонний","Стратегічний"},0),0.15,0.18,0.23,0.22,0.27)</f>
        <v/>
      </c>
      <c r="AI21" s="104">
        <f>CHOOSE(MATCH(IF($U21="","Основний",$U21),{"Трафіковий","Основний","Маржинальний","Сезонний","Стратегічний"},0),0.16,0.19,0.25,0.23,0.29)</f>
        <v/>
      </c>
      <c r="AJ21" s="104">
        <f>CHOOSE(MATCH(IF($U21="","Основний",$U21),{"Трафіковий","Основний","Маржинальний","Сезонний","Стратегічний"},0),0.14,0.17,0.22,0.21,0.25)</f>
        <v/>
      </c>
      <c r="AK21" s="104">
        <f>CHOOSE(MATCH(IF($U21="","Основний",$U21),{"Трафіковий","Основний","Маржинальний","Сезонний","Стратегічний"},0),0.15,0.18,0.23,0.22,0.27)</f>
        <v/>
      </c>
      <c r="AL21" s="104">
        <f>CHOOSE(MATCH(IF($U21="","Основний",$U21),{"Трафіковий","Основний","Маржинальний","Сезонний","Стратегічний"},0),0.15,0.17,0.25,0.24,0.29)</f>
        <v/>
      </c>
      <c r="AM21" s="104">
        <f>CHOOSE(MATCH(IF($U21="","Основний",$U21),{"Трафіковий","Основний","Маржинальний","Сезонний","Стратегічний"},0),0.12,0.145,0.19,0.18,0.22)</f>
        <v/>
      </c>
      <c r="AN21" s="157">
        <f>CHOOSE(MATCH(IF($U21="","Основний",$U21),{"Трафіковий","Основний","Маржинальний","Сезонний","Стратегічний"},0),Settings!$B$78,Settings!$B$80,Settings!$B$82,Settings!$B$84,Settings!$B$86)</f>
        <v/>
      </c>
      <c r="AO21" s="157">
        <f>CHOOSE(MATCH(IF($U21="","Основний",$U21),{"Трафіковий","Основний","Маржинальний","Сезонний","Стратегічний"},0),Settings!$C$78,Settings!$C$80,Settings!$C$82,Settings!$C$84,Settings!$C$86)</f>
        <v/>
      </c>
      <c r="AP21" s="157">
        <f>CHOOSE(MATCH(IF($U21="","Основний",$U21),{"Трафіковий","Основний","Маржинальний","Сезонний","Стратегічний"},0),Settings!$D$78,Settings!$D$80,Settings!$D$82,Settings!$D$84,Settings!$D$86)</f>
        <v/>
      </c>
      <c r="AQ21" s="157">
        <f>CHOOSE(MATCH(IF($U21="","Основний",$U21),{"Трафіковий","Основний","Маржинальний","Сезонний","Стратегічний"},0),Settings!$F$78,Settings!$F$80,Settings!$F$82,Settings!$F$84,Settings!$F$86)</f>
        <v/>
      </c>
      <c r="AR21" s="157">
        <f>CHOOSE(MATCH(IF($U21="","Основний",$U21),{"Трафіковий","Основний","Маржинальний","Сезонний","Стратегічний"},0),Settings!$G$78,Settings!$G$80,Settings!$G$82,Settings!$G$84,Settings!$G$86)</f>
        <v/>
      </c>
      <c r="AS21" s="157">
        <f>CHOOSE(MATCH(IF($U21="","Основний",$U21),{"Трафіковий","Основний","Маржинальний","Сезонний","Стратегічний"},0),Settings!$H$78,Settings!$H$80,Settings!$H$82,Settings!$H$84,Settings!$H$86)</f>
        <v/>
      </c>
      <c r="AT21" s="157">
        <f>CHOOSE(MATCH(IF($U21="","Основний",$U21),{"Трафіковий","Основний","Маржинальний","Сезонний","Стратегічний"},0),Settings!$I$78,Settings!$I$80,Settings!$I$82,Settings!$I$84,Settings!$I$86)</f>
        <v/>
      </c>
      <c r="AU21" s="171" t="n"/>
      <c r="AV21" t="n">
        <v>1.35</v>
      </c>
    </row>
    <row r="22">
      <c r="A22" s="28" t="n"/>
      <c r="B22" s="29" t="inlineStr">
        <is>
          <t>P3180</t>
        </is>
      </c>
      <c r="C22" s="29" t="inlineStr">
        <is>
          <t>LED RECH. FLASHLIGHT ULTIBRIGHT 80 600lm 2600mAh</t>
        </is>
      </c>
      <c r="D22" s="29" t="inlineStr">
        <is>
          <t>Ліхтарі</t>
        </is>
      </c>
      <c r="E22" s="28" t="inlineStr">
        <is>
          <t>PC</t>
        </is>
      </c>
      <c r="F22" s="93" t="n">
        <v>23.711</v>
      </c>
      <c r="G22" s="30" t="n">
        <v>8513100000</v>
      </c>
      <c r="H22" s="31" t="n">
        <v>1.4</v>
      </c>
      <c r="I22" s="84">
        <f>IFERROR(F22*Settings!$B$2*H22*IF(AND(ISNUMBER(E22),E22&gt;1),E22,1),"")</f>
        <v/>
      </c>
      <c r="J22" s="32">
        <f>Settings!$B$66</f>
        <v/>
      </c>
      <c r="K22" s="95">
        <f>IFERROR(IF(T22="","",(T22*(1-AN22)*(1-Settings!$B$17)-I22)/(T22*(1-AN22)*(1-Settings!$B$17))),"")</f>
        <v/>
      </c>
      <c r="L22" s="101">
        <f>IFERROR(IF(T22="","",(T22*(1-AO22)*(1-Settings!$C$17)-I22)/(T22*(1-AO22)*(1-Settings!$C$17))),"")</f>
        <v/>
      </c>
      <c r="M22" s="101">
        <f>IFERROR(IF(T22="","",(T22*(1-AP22)*(1-Settings!$D$17)-I22)/(T22*(1-AP22)*(1-Settings!$D$17))),"")</f>
        <v/>
      </c>
      <c r="N22" s="101">
        <f>IFERROR(IF(T22="","",(T22*(1-AQ22)*(1-Settings!$F$17)-I22)/(T22*(1-AQ22)*(1-Settings!$F$17))),"")</f>
        <v/>
      </c>
      <c r="O22" s="101">
        <f>IFERROR(IF(T22="","",(T22*(1-AR22)*(1-Settings!$G$17)-I22)/(T22*(1-AR22)*(1-Settings!$G$17))),"")</f>
        <v/>
      </c>
      <c r="P22" s="101">
        <f>IFERROR(IF(T22="","",(T22*(1-AS22)*(1-Settings!$H$17)-I22)/(T22*(1-AS22)*(1-Settings!$H$17))),"")</f>
        <v/>
      </c>
      <c r="Q22" s="101">
        <f>IFERROR(IF(T22="","",(T22*(1-AT22)*(1-Settings!$I$68)*(1-Settings!$I$17)-I22)/(T22*(1-AT22)*(1-Settings!$I$68)*(1-Settings!$I$17))),"")</f>
        <v/>
      </c>
      <c r="R22" s="91">
        <f>IFERROR(IF(OR(I22="",Z22&gt;=1,Settings!$B$17&gt;=1,AN22&gt;=1),"",IF(MOD(ROUND(I22/(1-Z22)/(1-Settings!$B$17)/(1-AN22),0),10)=0,ROUND(I22/(1-Z22)/(1-Settings!$B$17)/(1-AN22),0)-1,IF(MOD(ROUND(I22/(1-Z22)/(1-Settings!$B$17)/(1-AN22),0),10)&lt;=5,FLOOR(ROUND(I22/(1-Z22)/(1-Settings!$B$17)/(1-AN22),0),10)+6,FLOOR(ROUND(I22/(1-Z22)/(1-Settings!$B$17)/(1-AN22),0),10)+9))),"")</f>
        <v/>
      </c>
      <c r="S22" s="92" t="n">
        <v>3000</v>
      </c>
      <c r="T22" s="91">
        <f>IF(S22&lt;&gt;"", IF(MOD(S22,10)=0,S22-1,IF(MOD(S22,10)&lt;=5,FLOOR(S22,10)+6,FLOOR(S22,10)+9)), R22)</f>
        <v/>
      </c>
      <c r="U22" s="87" t="inlineStr">
        <is>
          <t>Основний</t>
        </is>
      </c>
      <c r="V22" s="88" t="n"/>
      <c r="W22" s="88" t="n"/>
      <c r="X22" s="89">
        <f>IFERROR(IF(OR(V22="",W22="",T22=""),"", IF(T22&gt;W22,"Дорогий",IF(T22&lt;V22,"Дешевий","У ринку"))),"")</f>
        <v/>
      </c>
      <c r="Y22" s="90" t="n"/>
      <c r="Z22" s="104">
        <f>CHOOSE(MATCH(IF($U22="","Основний",$U22),{"Трафіковий","Основний","Маржинальний","Сезонний","Стратегічний"},0),0.16,0.19,0.24,0.23,0.28)</f>
        <v/>
      </c>
      <c r="AA22" s="104">
        <f>CHOOSE(MATCH(IF($U22="","Основний",$U22),{"Трафіковий","Основний","Маржинальний","Сезонний","Стратегічний"},0),0.18,0.21,0.26,0.25,0.3)</f>
        <v/>
      </c>
      <c r="AB22" s="104">
        <f>CHOOSE(MATCH(IF($U22="","Основний",$U22),{"Трафіковий","Основний","Маржинальний","Сезонний","Стратегічний"},0),0.19,0.22,0.28,0.26,0.32)</f>
        <v/>
      </c>
      <c r="AC22" s="104">
        <f>CHOOSE(MATCH(IF($U22="","Основний",$U22),{"Трафіковий","Основний","Маржинальний","Сезонний","Стратегічний"},0),0.17,0.2,0.25,0.24,0.28)</f>
        <v/>
      </c>
      <c r="AD22" s="104">
        <f>CHOOSE(MATCH(IF($U22="","Основний",$U22),{"Трафіковий","Основний","Маржинальний","Сезонний","Стратегічний"},0),0.18,0.21,0.26,0.25,0.3)</f>
        <v/>
      </c>
      <c r="AE22" s="104">
        <f>CHOOSE(MATCH(IF($U22="","Основний",$U22),{"Трафіковий","Основний","Маржинальний","Сезонний","Стратегічний"},0),0.18,0.2,0.28,0.27,0.32)</f>
        <v/>
      </c>
      <c r="AF22" s="104">
        <f>CHOOSE(MATCH(IF($U22="","Основний",$U22),{"Трафіковий","Основний","Маржинальний","Сезонний","Стратегічний"},0),0.15,0.175,0.22,0.21,0.25)</f>
        <v/>
      </c>
      <c r="AG22" s="104">
        <f>CHOOSE(MATCH(IF($U22="","Основний",$U22),{"Трафіковий","Основний","Маржинальний","Сезонний","Стратегічний"},0),0.13,0.16,0.21,0.2,0.25)</f>
        <v/>
      </c>
      <c r="AH22" s="104">
        <f>CHOOSE(MATCH(IF($U22="","Основний",$U22),{"Трафіковий","Основний","Маржинальний","Сезонний","Стратегічний"},0),0.15,0.18,0.23,0.22,0.27)</f>
        <v/>
      </c>
      <c r="AI22" s="104">
        <f>CHOOSE(MATCH(IF($U22="","Основний",$U22),{"Трафіковий","Основний","Маржинальний","Сезонний","Стратегічний"},0),0.16,0.19,0.25,0.23,0.29)</f>
        <v/>
      </c>
      <c r="AJ22" s="104">
        <f>CHOOSE(MATCH(IF($U22="","Основний",$U22),{"Трафіковий","Основний","Маржинальний","Сезонний","Стратегічний"},0),0.14,0.17,0.22,0.21,0.25)</f>
        <v/>
      </c>
      <c r="AK22" s="104">
        <f>CHOOSE(MATCH(IF($U22="","Основний",$U22),{"Трафіковий","Основний","Маржинальний","Сезонний","Стратегічний"},0),0.15,0.18,0.23,0.22,0.27)</f>
        <v/>
      </c>
      <c r="AL22" s="104">
        <f>CHOOSE(MATCH(IF($U22="","Основний",$U22),{"Трафіковий","Основний","Маржинальний","Сезонний","Стратегічний"},0),0.15,0.17,0.25,0.24,0.29)</f>
        <v/>
      </c>
      <c r="AM22" s="104">
        <f>CHOOSE(MATCH(IF($U22="","Основний",$U22),{"Трафіковий","Основний","Маржинальний","Сезонний","Стратегічний"},0),0.12,0.145,0.19,0.18,0.22)</f>
        <v/>
      </c>
      <c r="AN22" s="157">
        <f>CHOOSE(MATCH(IF($U22="","Основний",$U22),{"Трафіковий","Основний","Маржинальний","Сезонний","Стратегічний"},0),Settings!$B$78,Settings!$B$80,Settings!$B$82,Settings!$B$84,Settings!$B$86)</f>
        <v/>
      </c>
      <c r="AO22" s="157">
        <f>CHOOSE(MATCH(IF($U22="","Основний",$U22),{"Трафіковий","Основний","Маржинальний","Сезонний","Стратегічний"},0),Settings!$C$78,Settings!$C$80,Settings!$C$82,Settings!$C$84,Settings!$C$86)</f>
        <v/>
      </c>
      <c r="AP22" s="157">
        <f>CHOOSE(MATCH(IF($U22="","Основний",$U22),{"Трафіковий","Основний","Маржинальний","Сезонний","Стратегічний"},0),Settings!$D$78,Settings!$D$80,Settings!$D$82,Settings!$D$84,Settings!$D$86)</f>
        <v/>
      </c>
      <c r="AQ22" s="157">
        <f>CHOOSE(MATCH(IF($U22="","Основний",$U22),{"Трафіковий","Основний","Маржинальний","Сезонний","Стратегічний"},0),Settings!$F$78,Settings!$F$80,Settings!$F$82,Settings!$F$84,Settings!$F$86)</f>
        <v/>
      </c>
      <c r="AR22" s="157">
        <f>CHOOSE(MATCH(IF($U22="","Основний",$U22),{"Трафіковий","Основний","Маржинальний","Сезонний","Стратегічний"},0),Settings!$G$78,Settings!$G$80,Settings!$G$82,Settings!$G$84,Settings!$G$86)</f>
        <v/>
      </c>
      <c r="AS22" s="157">
        <f>CHOOSE(MATCH(IF($U22="","Основний",$U22),{"Трафіковий","Основний","Маржинальний","Сезонний","Стратегічний"},0),Settings!$H$78,Settings!$H$80,Settings!$H$82,Settings!$H$84,Settings!$H$86)</f>
        <v/>
      </c>
      <c r="AT22" s="157">
        <f>CHOOSE(MATCH(IF($U22="","Основний",$U22),{"Трафіковий","Основний","Маржинальний","Сезонний","Стратегічний"},0),Settings!$I$78,Settings!$I$80,Settings!$I$82,Settings!$I$84,Settings!$I$86)</f>
        <v/>
      </c>
      <c r="AU22" s="171" t="n"/>
      <c r="AV22" t="n">
        <v>1.35</v>
      </c>
    </row>
    <row r="23">
      <c r="A23" s="33" t="n"/>
      <c r="B23" s="34" t="inlineStr">
        <is>
          <t>P3190</t>
        </is>
      </c>
      <c r="C23" s="34" t="inlineStr">
        <is>
          <t>LED RECH. FLASHLIGHT ULTIBRIGHT 90 1200lm 5000mAh</t>
        </is>
      </c>
      <c r="D23" s="34" t="inlineStr">
        <is>
          <t>Ліхтарі</t>
        </is>
      </c>
      <c r="E23" s="33" t="inlineStr">
        <is>
          <t>PC</t>
        </is>
      </c>
      <c r="F23" s="94" t="n">
        <v>30.143</v>
      </c>
      <c r="G23" s="35" t="n">
        <v>8513100000</v>
      </c>
      <c r="H23" s="31" t="n">
        <v>1.4</v>
      </c>
      <c r="I23" s="84">
        <f>IFERROR(F23*Settings!$B$2*H23*IF(AND(ISNUMBER(E23),E23&gt;1),E23,1),"")</f>
        <v/>
      </c>
      <c r="J23" s="32">
        <f>Settings!$B$66</f>
        <v/>
      </c>
      <c r="K23" s="95">
        <f>IFERROR(IF(T23="","",(T23*(1-AN23)*(1-Settings!$B$17)-I23)/(T23*(1-AN23)*(1-Settings!$B$17))),"")</f>
        <v/>
      </c>
      <c r="L23" s="101">
        <f>IFERROR(IF(T23="","",(T23*(1-AO23)*(1-Settings!$C$17)-I23)/(T23*(1-AO23)*(1-Settings!$C$17))),"")</f>
        <v/>
      </c>
      <c r="M23" s="101">
        <f>IFERROR(IF(T23="","",(T23*(1-AP23)*(1-Settings!$D$17)-I23)/(T23*(1-AP23)*(1-Settings!$D$17))),"")</f>
        <v/>
      </c>
      <c r="N23" s="101">
        <f>IFERROR(IF(T23="","",(T23*(1-AQ23)*(1-Settings!$F$17)-I23)/(T23*(1-AQ23)*(1-Settings!$F$17))),"")</f>
        <v/>
      </c>
      <c r="O23" s="101">
        <f>IFERROR(IF(T23="","",(T23*(1-AR23)*(1-Settings!$G$17)-I23)/(T23*(1-AR23)*(1-Settings!$G$17))),"")</f>
        <v/>
      </c>
      <c r="P23" s="101">
        <f>IFERROR(IF(T23="","",(T23*(1-AS23)*(1-Settings!$H$17)-I23)/(T23*(1-AS23)*(1-Settings!$H$17))),"")</f>
        <v/>
      </c>
      <c r="Q23" s="101">
        <f>IFERROR(IF(T23="","",(T23*(1-AT23)*(1-Settings!$I$68)*(1-Settings!$I$17)-I23)/(T23*(1-AT23)*(1-Settings!$I$68)*(1-Settings!$I$17))),"")</f>
        <v/>
      </c>
      <c r="R23" s="91">
        <f>IFERROR(IF(OR(I23="",Z23&gt;=1,Settings!$B$17&gt;=1,AN23&gt;=1),"",IF(MOD(ROUND(I23/(1-Z23)/(1-Settings!$B$17)/(1-AN23),0),10)=0,ROUND(I23/(1-Z23)/(1-Settings!$B$17)/(1-AN23),0)-1,IF(MOD(ROUND(I23/(1-Z23)/(1-Settings!$B$17)/(1-AN23),0),10)&lt;=5,FLOOR(ROUND(I23/(1-Z23)/(1-Settings!$B$17)/(1-AN23),0),10)+6,FLOOR(ROUND(I23/(1-Z23)/(1-Settings!$B$17)/(1-AN23),0),10)+9))),"")</f>
        <v/>
      </c>
      <c r="S23" s="92" t="n">
        <v>3600</v>
      </c>
      <c r="T23" s="91">
        <f>IF(S23&lt;&gt;"", IF(MOD(S23,10)=0,S23-1,IF(MOD(S23,10)&lt;=5,FLOOR(S23,10)+6,FLOOR(S23,10)+9)), R23)</f>
        <v/>
      </c>
      <c r="U23" s="87" t="inlineStr">
        <is>
          <t>Основний</t>
        </is>
      </c>
      <c r="V23" s="88" t="n"/>
      <c r="W23" s="88" t="n"/>
      <c r="X23" s="89">
        <f>IFERROR(IF(OR(V23="",W23="",T23=""),"", IF(T23&gt;W23,"Дорогий",IF(T23&lt;V23,"Дешевий","У ринку"))),"")</f>
        <v/>
      </c>
      <c r="Y23" s="90" t="n"/>
      <c r="Z23" s="104">
        <f>CHOOSE(MATCH(IF($U23="","Основний",$U23),{"Трафіковий","Основний","Маржинальний","Сезонний","Стратегічний"},0),0.16,0.19,0.24,0.23,0.28)</f>
        <v/>
      </c>
      <c r="AA23" s="104">
        <f>CHOOSE(MATCH(IF($U23="","Основний",$U23),{"Трафіковий","Основний","Маржинальний","Сезонний","Стратегічний"},0),0.18,0.21,0.26,0.25,0.3)</f>
        <v/>
      </c>
      <c r="AB23" s="104">
        <f>CHOOSE(MATCH(IF($U23="","Основний",$U23),{"Трафіковий","Основний","Маржинальний","Сезонний","Стратегічний"},0),0.19,0.22,0.28,0.26,0.32)</f>
        <v/>
      </c>
      <c r="AC23" s="104">
        <f>CHOOSE(MATCH(IF($U23="","Основний",$U23),{"Трафіковий","Основний","Маржинальний","Сезонний","Стратегічний"},0),0.17,0.2,0.25,0.24,0.28)</f>
        <v/>
      </c>
      <c r="AD23" s="104">
        <f>CHOOSE(MATCH(IF($U23="","Основний",$U23),{"Трафіковий","Основний","Маржинальний","Сезонний","Стратегічний"},0),0.18,0.21,0.26,0.25,0.3)</f>
        <v/>
      </c>
      <c r="AE23" s="104">
        <f>CHOOSE(MATCH(IF($U23="","Основний",$U23),{"Трафіковий","Основний","Маржинальний","Сезонний","Стратегічний"},0),0.18,0.2,0.28,0.27,0.32)</f>
        <v/>
      </c>
      <c r="AF23" s="104">
        <f>CHOOSE(MATCH(IF($U23="","Основний",$U23),{"Трафіковий","Основний","Маржинальний","Сезонний","Стратегічний"},0),0.15,0.175,0.22,0.21,0.25)</f>
        <v/>
      </c>
      <c r="AG23" s="104">
        <f>CHOOSE(MATCH(IF($U23="","Основний",$U23),{"Трафіковий","Основний","Маржинальний","Сезонний","Стратегічний"},0),0.13,0.16,0.21,0.2,0.25)</f>
        <v/>
      </c>
      <c r="AH23" s="104">
        <f>CHOOSE(MATCH(IF($U23="","Основний",$U23),{"Трафіковий","Основний","Маржинальний","Сезонний","Стратегічний"},0),0.15,0.18,0.23,0.22,0.27)</f>
        <v/>
      </c>
      <c r="AI23" s="104">
        <f>CHOOSE(MATCH(IF($U23="","Основний",$U23),{"Трафіковий","Основний","Маржинальний","Сезонний","Стратегічний"},0),0.16,0.19,0.25,0.23,0.29)</f>
        <v/>
      </c>
      <c r="AJ23" s="104">
        <f>CHOOSE(MATCH(IF($U23="","Основний",$U23),{"Трафіковий","Основний","Маржинальний","Сезонний","Стратегічний"},0),0.14,0.17,0.22,0.21,0.25)</f>
        <v/>
      </c>
      <c r="AK23" s="104">
        <f>CHOOSE(MATCH(IF($U23="","Основний",$U23),{"Трафіковий","Основний","Маржинальний","Сезонний","Стратегічний"},0),0.15,0.18,0.23,0.22,0.27)</f>
        <v/>
      </c>
      <c r="AL23" s="104">
        <f>CHOOSE(MATCH(IF($U23="","Основний",$U23),{"Трафіковий","Основний","Маржинальний","Сезонний","Стратегічний"},0),0.15,0.17,0.25,0.24,0.29)</f>
        <v/>
      </c>
      <c r="AM23" s="104">
        <f>CHOOSE(MATCH(IF($U23="","Основний",$U23),{"Трафіковий","Основний","Маржинальний","Сезонний","Стратегічний"},0),0.12,0.145,0.19,0.18,0.22)</f>
        <v/>
      </c>
      <c r="AN23" s="157">
        <f>CHOOSE(MATCH(IF($U23="","Основний",$U23),{"Трафіковий","Основний","Маржинальний","Сезонний","Стратегічний"},0),Settings!$B$78,Settings!$B$80,Settings!$B$82,Settings!$B$84,Settings!$B$86)</f>
        <v/>
      </c>
      <c r="AO23" s="157">
        <f>CHOOSE(MATCH(IF($U23="","Основний",$U23),{"Трафіковий","Основний","Маржинальний","Сезонний","Стратегічний"},0),Settings!$C$78,Settings!$C$80,Settings!$C$82,Settings!$C$84,Settings!$C$86)</f>
        <v/>
      </c>
      <c r="AP23" s="157">
        <f>CHOOSE(MATCH(IF($U23="","Основний",$U23),{"Трафіковий","Основний","Маржинальний","Сезонний","Стратегічний"},0),Settings!$D$78,Settings!$D$80,Settings!$D$82,Settings!$D$84,Settings!$D$86)</f>
        <v/>
      </c>
      <c r="AQ23" s="157">
        <f>CHOOSE(MATCH(IF($U23="","Основний",$U23),{"Трафіковий","Основний","Маржинальний","Сезонний","Стратегічний"},0),Settings!$F$78,Settings!$F$80,Settings!$F$82,Settings!$F$84,Settings!$F$86)</f>
        <v/>
      </c>
      <c r="AR23" s="157">
        <f>CHOOSE(MATCH(IF($U23="","Основний",$U23),{"Трафіковий","Основний","Маржинальний","Сезонний","Стратегічний"},0),Settings!$G$78,Settings!$G$80,Settings!$G$82,Settings!$G$84,Settings!$G$86)</f>
        <v/>
      </c>
      <c r="AS23" s="157">
        <f>CHOOSE(MATCH(IF($U23="","Основний",$U23),{"Трафіковий","Основний","Маржинальний","Сезонний","Стратегічний"},0),Settings!$H$78,Settings!$H$80,Settings!$H$82,Settings!$H$84,Settings!$H$86)</f>
        <v/>
      </c>
      <c r="AT23" s="157">
        <f>CHOOSE(MATCH(IF($U23="","Основний",$U23),{"Трафіковий","Основний","Маржинальний","Сезонний","Стратегічний"},0),Settings!$I$78,Settings!$I$80,Settings!$I$82,Settings!$I$84,Settings!$I$86)</f>
        <v/>
      </c>
      <c r="AU23" s="171" t="n"/>
      <c r="AV23" t="n">
        <v>1.35</v>
      </c>
    </row>
    <row r="24">
      <c r="A24" s="28" t="n"/>
      <c r="B24" s="29" t="inlineStr">
        <is>
          <t>P3116</t>
        </is>
      </c>
      <c r="C24" s="29" t="inlineStr">
        <is>
          <t>LED RECHARGEABLE METAL FLASHLIGHT 600 lm–2 000mAh</t>
        </is>
      </c>
      <c r="D24" s="29" t="inlineStr">
        <is>
          <t>Ліхтарі</t>
        </is>
      </c>
      <c r="E24" s="28" t="inlineStr">
        <is>
          <t>PC</t>
        </is>
      </c>
      <c r="F24" s="93" t="n">
        <v>14.249</v>
      </c>
      <c r="G24" s="30" t="n">
        <v>8513100000</v>
      </c>
      <c r="H24" s="31" t="n">
        <v>1.4</v>
      </c>
      <c r="I24" s="84">
        <f>IFERROR(F24*Settings!$B$2*H24*IF(AND(ISNUMBER(E24),E24&gt;1),E24,1),"")</f>
        <v/>
      </c>
      <c r="J24" s="32">
        <f>Settings!$B$66</f>
        <v/>
      </c>
      <c r="K24" s="95">
        <f>IFERROR(IF(T24="","",(T24*(1-AN24)*(1-Settings!$B$17)-I24)/(T24*(1-AN24)*(1-Settings!$B$17))),"")</f>
        <v/>
      </c>
      <c r="L24" s="101">
        <f>IFERROR(IF(T24="","",(T24*(1-AO24)*(1-Settings!$C$17)-I24)/(T24*(1-AO24)*(1-Settings!$C$17))),"")</f>
        <v/>
      </c>
      <c r="M24" s="101">
        <f>IFERROR(IF(T24="","",(T24*(1-AP24)*(1-Settings!$D$17)-I24)/(T24*(1-AP24)*(1-Settings!$D$17))),"")</f>
        <v/>
      </c>
      <c r="N24" s="101">
        <f>IFERROR(IF(T24="","",(T24*(1-AQ24)*(1-Settings!$F$17)-I24)/(T24*(1-AQ24)*(1-Settings!$F$17))),"")</f>
        <v/>
      </c>
      <c r="O24" s="101">
        <f>IFERROR(IF(T24="","",(T24*(1-AR24)*(1-Settings!$G$17)-I24)/(T24*(1-AR24)*(1-Settings!$G$17))),"")</f>
        <v/>
      </c>
      <c r="P24" s="101">
        <f>IFERROR(IF(T24="","",(T24*(1-AS24)*(1-Settings!$H$17)-I24)/(T24*(1-AS24)*(1-Settings!$H$17))),"")</f>
        <v/>
      </c>
      <c r="Q24" s="101">
        <f>IFERROR(IF(T24="","",(T24*(1-AT24)*(1-Settings!$I$68)*(1-Settings!$I$17)-I24)/(T24*(1-AT24)*(1-Settings!$I$68)*(1-Settings!$I$17))),"")</f>
        <v/>
      </c>
      <c r="R24" s="91">
        <f>IFERROR(IF(OR(I24="",Z24&gt;=1,Settings!$B$17&gt;=1,AN24&gt;=1),"",IF(MOD(ROUND(I24/(1-Z24)/(1-Settings!$B$17)/(1-AN24),0),10)=0,ROUND(I24/(1-Z24)/(1-Settings!$B$17)/(1-AN24),0)-1,IF(MOD(ROUND(I24/(1-Z24)/(1-Settings!$B$17)/(1-AN24),0),10)&lt;=5,FLOOR(ROUND(I24/(1-Z24)/(1-Settings!$B$17)/(1-AN24),0),10)+6,FLOOR(ROUND(I24/(1-Z24)/(1-Settings!$B$17)/(1-AN24),0),10)+9))),"")</f>
        <v/>
      </c>
      <c r="S24" s="92" t="n">
        <v>1800</v>
      </c>
      <c r="T24" s="91">
        <f>IF(S24&lt;&gt;"", IF(MOD(S24,10)=0,S24-1,IF(MOD(S24,10)&lt;=5,FLOOR(S24,10)+6,FLOOR(S24,10)+9)), R24)</f>
        <v/>
      </c>
      <c r="U24" s="87" t="inlineStr">
        <is>
          <t>Основний</t>
        </is>
      </c>
      <c r="V24" s="88" t="n"/>
      <c r="W24" s="88" t="n"/>
      <c r="X24" s="89">
        <f>IFERROR(IF(OR(V24="",W24="",T24=""),"", IF(T24&gt;W24,"Дорогий",IF(T24&lt;V24,"Дешевий","У ринку"))),"")</f>
        <v/>
      </c>
      <c r="Y24" s="90" t="n"/>
      <c r="Z24" s="104">
        <f>CHOOSE(MATCH(IF($U24="","Основний",$U24),{"Трафіковий","Основний","Маржинальний","Сезонний","Стратегічний"},0),0.16,0.19,0.24,0.23,0.28)</f>
        <v/>
      </c>
      <c r="AA24" s="104">
        <f>CHOOSE(MATCH(IF($U24="","Основний",$U24),{"Трафіковий","Основний","Маржинальний","Сезонний","Стратегічний"},0),0.18,0.21,0.26,0.25,0.3)</f>
        <v/>
      </c>
      <c r="AB24" s="104">
        <f>CHOOSE(MATCH(IF($U24="","Основний",$U24),{"Трафіковий","Основний","Маржинальний","Сезонний","Стратегічний"},0),0.19,0.22,0.28,0.26,0.32)</f>
        <v/>
      </c>
      <c r="AC24" s="104">
        <f>CHOOSE(MATCH(IF($U24="","Основний",$U24),{"Трафіковий","Основний","Маржинальний","Сезонний","Стратегічний"},0),0.17,0.2,0.25,0.24,0.28)</f>
        <v/>
      </c>
      <c r="AD24" s="104">
        <f>CHOOSE(MATCH(IF($U24="","Основний",$U24),{"Трафіковий","Основний","Маржинальний","Сезонний","Стратегічний"},0),0.18,0.21,0.26,0.25,0.3)</f>
        <v/>
      </c>
      <c r="AE24" s="104">
        <f>CHOOSE(MATCH(IF($U24="","Основний",$U24),{"Трафіковий","Основний","Маржинальний","Сезонний","Стратегічний"},0),0.18,0.2,0.28,0.27,0.32)</f>
        <v/>
      </c>
      <c r="AF24" s="104">
        <f>CHOOSE(MATCH(IF($U24="","Основний",$U24),{"Трафіковий","Основний","Маржинальний","Сезонний","Стратегічний"},0),0.15,0.175,0.22,0.21,0.25)</f>
        <v/>
      </c>
      <c r="AG24" s="104">
        <f>CHOOSE(MATCH(IF($U24="","Основний",$U24),{"Трафіковий","Основний","Маржинальний","Сезонний","Стратегічний"},0),0.13,0.16,0.21,0.2,0.25)</f>
        <v/>
      </c>
      <c r="AH24" s="104">
        <f>CHOOSE(MATCH(IF($U24="","Основний",$U24),{"Трафіковий","Основний","Маржинальний","Сезонний","Стратегічний"},0),0.15,0.18,0.23,0.22,0.27)</f>
        <v/>
      </c>
      <c r="AI24" s="104">
        <f>CHOOSE(MATCH(IF($U24="","Основний",$U24),{"Трафіковий","Основний","Маржинальний","Сезонний","Стратегічний"},0),0.16,0.19,0.25,0.23,0.29)</f>
        <v/>
      </c>
      <c r="AJ24" s="104">
        <f>CHOOSE(MATCH(IF($U24="","Основний",$U24),{"Трафіковий","Основний","Маржинальний","Сезонний","Стратегічний"},0),0.14,0.17,0.22,0.21,0.25)</f>
        <v/>
      </c>
      <c r="AK24" s="104">
        <f>CHOOSE(MATCH(IF($U24="","Основний",$U24),{"Трафіковий","Основний","Маржинальний","Сезонний","Стратегічний"},0),0.15,0.18,0.23,0.22,0.27)</f>
        <v/>
      </c>
      <c r="AL24" s="104">
        <f>CHOOSE(MATCH(IF($U24="","Основний",$U24),{"Трафіковий","Основний","Маржинальний","Сезонний","Стратегічний"},0),0.15,0.17,0.25,0.24,0.29)</f>
        <v/>
      </c>
      <c r="AM24" s="104">
        <f>CHOOSE(MATCH(IF($U24="","Основний",$U24),{"Трафіковий","Основний","Маржинальний","Сезонний","Стратегічний"},0),0.12,0.145,0.19,0.18,0.22)</f>
        <v/>
      </c>
      <c r="AN24" s="157">
        <f>CHOOSE(MATCH(IF($U24="","Основний",$U24),{"Трафіковий","Основний","Маржинальний","Сезонний","Стратегічний"},0),Settings!$B$78,Settings!$B$80,Settings!$B$82,Settings!$B$84,Settings!$B$86)</f>
        <v/>
      </c>
      <c r="AO24" s="157">
        <f>CHOOSE(MATCH(IF($U24="","Основний",$U24),{"Трафіковий","Основний","Маржинальний","Сезонний","Стратегічний"},0),Settings!$C$78,Settings!$C$80,Settings!$C$82,Settings!$C$84,Settings!$C$86)</f>
        <v/>
      </c>
      <c r="AP24" s="157">
        <f>CHOOSE(MATCH(IF($U24="","Основний",$U24),{"Трафіковий","Основний","Маржинальний","Сезонний","Стратегічний"},0),Settings!$D$78,Settings!$D$80,Settings!$D$82,Settings!$D$84,Settings!$D$86)</f>
        <v/>
      </c>
      <c r="AQ24" s="157">
        <f>CHOOSE(MATCH(IF($U24="","Основний",$U24),{"Трафіковий","Основний","Маржинальний","Сезонний","Стратегічний"},0),Settings!$F$78,Settings!$F$80,Settings!$F$82,Settings!$F$84,Settings!$F$86)</f>
        <v/>
      </c>
      <c r="AR24" s="157">
        <f>CHOOSE(MATCH(IF($U24="","Основний",$U24),{"Трафіковий","Основний","Маржинальний","Сезонний","Стратегічний"},0),Settings!$G$78,Settings!$G$80,Settings!$G$82,Settings!$G$84,Settings!$G$86)</f>
        <v/>
      </c>
      <c r="AS24" s="157">
        <f>CHOOSE(MATCH(IF($U24="","Основний",$U24),{"Трафіковий","Основний","Маржинальний","Сезонний","Стратегічний"},0),Settings!$H$78,Settings!$H$80,Settings!$H$82,Settings!$H$84,Settings!$H$86)</f>
        <v/>
      </c>
      <c r="AT24" s="157">
        <f>CHOOSE(MATCH(IF($U24="","Основний",$U24),{"Трафіковий","Основний","Маржинальний","Сезонний","Стратегічний"},0),Settings!$I$78,Settings!$I$80,Settings!$I$82,Settings!$I$84,Settings!$I$86)</f>
        <v/>
      </c>
      <c r="AU24" s="171" t="n"/>
      <c r="AV24" t="n">
        <v>1.35</v>
      </c>
    </row>
    <row r="25">
      <c r="A25" s="33" t="inlineStr">
        <is>
          <t>NEW</t>
        </is>
      </c>
      <c r="B25" s="34" t="inlineStr">
        <is>
          <t>P3118</t>
        </is>
      </c>
      <c r="C25" s="34" t="inlineStr">
        <is>
          <t>LED RECHARGEABLE METAL FLASHLIGHT 600lm,1200mAh</t>
        </is>
      </c>
      <c r="D25" s="34" t="inlineStr">
        <is>
          <t>Ліхтарі</t>
        </is>
      </c>
      <c r="E25" s="33" t="inlineStr">
        <is>
          <t>PC</t>
        </is>
      </c>
      <c r="F25" s="94" t="n">
        <v>7.712</v>
      </c>
      <c r="G25" s="35" t="n">
        <v>8513100000</v>
      </c>
      <c r="H25" s="31" t="n">
        <v>1.4</v>
      </c>
      <c r="I25" s="84">
        <f>IFERROR(F25*Settings!$B$2*H25*IF(AND(ISNUMBER(E25),E25&gt;1),E25,1),"")</f>
        <v/>
      </c>
      <c r="J25" s="32">
        <f>Settings!$B$66</f>
        <v/>
      </c>
      <c r="K25" s="95">
        <f>IFERROR(IF(T25="","",(T25*(1-AN25)*(1-Settings!$B$17)-I25)/(T25*(1-AN25)*(1-Settings!$B$17))),"")</f>
        <v/>
      </c>
      <c r="L25" s="101">
        <f>IFERROR(IF(T25="","",(T25*(1-AO25)*(1-Settings!$C$17)-I25)/(T25*(1-AO25)*(1-Settings!$C$17))),"")</f>
        <v/>
      </c>
      <c r="M25" s="101">
        <f>IFERROR(IF(T25="","",(T25*(1-AP25)*(1-Settings!$D$17)-I25)/(T25*(1-AP25)*(1-Settings!$D$17))),"")</f>
        <v/>
      </c>
      <c r="N25" s="101">
        <f>IFERROR(IF(T25="","",(T25*(1-AQ25)*(1-Settings!$F$17)-I25)/(T25*(1-AQ25)*(1-Settings!$F$17))),"")</f>
        <v/>
      </c>
      <c r="O25" s="101">
        <f>IFERROR(IF(T25="","",(T25*(1-AR25)*(1-Settings!$G$17)-I25)/(T25*(1-AR25)*(1-Settings!$G$17))),"")</f>
        <v/>
      </c>
      <c r="P25" s="101">
        <f>IFERROR(IF(T25="","",(T25*(1-AS25)*(1-Settings!$H$17)-I25)/(T25*(1-AS25)*(1-Settings!$H$17))),"")</f>
        <v/>
      </c>
      <c r="Q25" s="101">
        <f>IFERROR(IF(T25="","",(T25*(1-AT25)*(1-Settings!$I$68)*(1-Settings!$I$17)-I25)/(T25*(1-AT25)*(1-Settings!$I$68)*(1-Settings!$I$17))),"")</f>
        <v/>
      </c>
      <c r="R25" s="91">
        <f>IFERROR(IF(OR(I25="",Z25&gt;=1,Settings!$B$17&gt;=1,AN25&gt;=1),"",IF(MOD(ROUND(I25/(1-Z25)/(1-Settings!$B$17)/(1-AN25),0),10)=0,ROUND(I25/(1-Z25)/(1-Settings!$B$17)/(1-AN25),0)-1,IF(MOD(ROUND(I25/(1-Z25)/(1-Settings!$B$17)/(1-AN25),0),10)&lt;=5,FLOOR(ROUND(I25/(1-Z25)/(1-Settings!$B$17)/(1-AN25),0),10)+6,FLOOR(ROUND(I25/(1-Z25)/(1-Settings!$B$17)/(1-AN25),0),10)+9))),"")</f>
        <v/>
      </c>
      <c r="S25" s="92" t="n">
        <v>1000</v>
      </c>
      <c r="T25" s="91">
        <f>IF(S25&lt;&gt;"", IF(MOD(S25,10)=0,S25-1,IF(MOD(S25,10)&lt;=5,FLOOR(S25,10)+6,FLOOR(S25,10)+9)), R25)</f>
        <v/>
      </c>
      <c r="U25" s="87" t="inlineStr">
        <is>
          <t>Основний</t>
        </is>
      </c>
      <c r="V25" s="88" t="n"/>
      <c r="W25" s="88" t="n"/>
      <c r="X25" s="89">
        <f>IFERROR(IF(OR(V25="",W25="",T25=""),"", IF(T25&gt;W25,"Дорогий",IF(T25&lt;V25,"Дешевий","У ринку"))),"")</f>
        <v/>
      </c>
      <c r="Y25" s="90" t="n"/>
      <c r="Z25" s="104">
        <f>CHOOSE(MATCH(IF($U25="","Основний",$U25),{"Трафіковий","Основний","Маржинальний","Сезонний","Стратегічний"},0),0.16,0.19,0.24,0.23,0.28)</f>
        <v/>
      </c>
      <c r="AA25" s="104">
        <f>CHOOSE(MATCH(IF($U25="","Основний",$U25),{"Трафіковий","Основний","Маржинальний","Сезонний","Стратегічний"},0),0.18,0.21,0.26,0.25,0.3)</f>
        <v/>
      </c>
      <c r="AB25" s="104">
        <f>CHOOSE(MATCH(IF($U25="","Основний",$U25),{"Трафіковий","Основний","Маржинальний","Сезонний","Стратегічний"},0),0.19,0.22,0.28,0.26,0.32)</f>
        <v/>
      </c>
      <c r="AC25" s="104">
        <f>CHOOSE(MATCH(IF($U25="","Основний",$U25),{"Трафіковий","Основний","Маржинальний","Сезонний","Стратегічний"},0),0.17,0.2,0.25,0.24,0.28)</f>
        <v/>
      </c>
      <c r="AD25" s="104">
        <f>CHOOSE(MATCH(IF($U25="","Основний",$U25),{"Трафіковий","Основний","Маржинальний","Сезонний","Стратегічний"},0),0.18,0.21,0.26,0.25,0.3)</f>
        <v/>
      </c>
      <c r="AE25" s="104">
        <f>CHOOSE(MATCH(IF($U25="","Основний",$U25),{"Трафіковий","Основний","Маржинальний","Сезонний","Стратегічний"},0),0.18,0.2,0.28,0.27,0.32)</f>
        <v/>
      </c>
      <c r="AF25" s="104">
        <f>CHOOSE(MATCH(IF($U25="","Основний",$U25),{"Трафіковий","Основний","Маржинальний","Сезонний","Стратегічний"},0),0.15,0.175,0.22,0.21,0.25)</f>
        <v/>
      </c>
      <c r="AG25" s="104">
        <f>CHOOSE(MATCH(IF($U25="","Основний",$U25),{"Трафіковий","Основний","Маржинальний","Сезонний","Стратегічний"},0),0.13,0.16,0.21,0.2,0.25)</f>
        <v/>
      </c>
      <c r="AH25" s="104">
        <f>CHOOSE(MATCH(IF($U25="","Основний",$U25),{"Трафіковий","Основний","Маржинальний","Сезонний","Стратегічний"},0),0.15,0.18,0.23,0.22,0.27)</f>
        <v/>
      </c>
      <c r="AI25" s="104">
        <f>CHOOSE(MATCH(IF($U25="","Основний",$U25),{"Трафіковий","Основний","Маржинальний","Сезонний","Стратегічний"},0),0.16,0.19,0.25,0.23,0.29)</f>
        <v/>
      </c>
      <c r="AJ25" s="104">
        <f>CHOOSE(MATCH(IF($U25="","Основний",$U25),{"Трафіковий","Основний","Маржинальний","Сезонний","Стратегічний"},0),0.14,0.17,0.22,0.21,0.25)</f>
        <v/>
      </c>
      <c r="AK25" s="104">
        <f>CHOOSE(MATCH(IF($U25="","Основний",$U25),{"Трафіковий","Основний","Маржинальний","Сезонний","Стратегічний"},0),0.15,0.18,0.23,0.22,0.27)</f>
        <v/>
      </c>
      <c r="AL25" s="104">
        <f>CHOOSE(MATCH(IF($U25="","Основний",$U25),{"Трафіковий","Основний","Маржинальний","Сезонний","Стратегічний"},0),0.15,0.17,0.25,0.24,0.29)</f>
        <v/>
      </c>
      <c r="AM25" s="104">
        <f>CHOOSE(MATCH(IF($U25="","Основний",$U25),{"Трафіковий","Основний","Маржинальний","Сезонний","Стратегічний"},0),0.12,0.145,0.19,0.18,0.22)</f>
        <v/>
      </c>
      <c r="AN25" s="157">
        <f>CHOOSE(MATCH(IF($U25="","Основний",$U25),{"Трафіковий","Основний","Маржинальний","Сезонний","Стратегічний"},0),Settings!$B$78,Settings!$B$80,Settings!$B$82,Settings!$B$84,Settings!$B$86)</f>
        <v/>
      </c>
      <c r="AO25" s="157">
        <f>CHOOSE(MATCH(IF($U25="","Основний",$U25),{"Трафіковий","Основний","Маржинальний","Сезонний","Стратегічний"},0),Settings!$C$78,Settings!$C$80,Settings!$C$82,Settings!$C$84,Settings!$C$86)</f>
        <v/>
      </c>
      <c r="AP25" s="157">
        <f>CHOOSE(MATCH(IF($U25="","Основний",$U25),{"Трафіковий","Основний","Маржинальний","Сезонний","Стратегічний"},0),Settings!$D$78,Settings!$D$80,Settings!$D$82,Settings!$D$84,Settings!$D$86)</f>
        <v/>
      </c>
      <c r="AQ25" s="157">
        <f>CHOOSE(MATCH(IF($U25="","Основний",$U25),{"Трафіковий","Основний","Маржинальний","Сезонний","Стратегічний"},0),Settings!$F$78,Settings!$F$80,Settings!$F$82,Settings!$F$84,Settings!$F$86)</f>
        <v/>
      </c>
      <c r="AR25" s="157">
        <f>CHOOSE(MATCH(IF($U25="","Основний",$U25),{"Трафіковий","Основний","Маржинальний","Сезонний","Стратегічний"},0),Settings!$G$78,Settings!$G$80,Settings!$G$82,Settings!$G$84,Settings!$G$86)</f>
        <v/>
      </c>
      <c r="AS25" s="157">
        <f>CHOOSE(MATCH(IF($U25="","Основний",$U25),{"Трафіковий","Основний","Маржинальний","Сезонний","Стратегічний"},0),Settings!$H$78,Settings!$H$80,Settings!$H$82,Settings!$H$84,Settings!$H$86)</f>
        <v/>
      </c>
      <c r="AT25" s="157">
        <f>CHOOSE(MATCH(IF($U25="","Основний",$U25),{"Трафіковий","Основний","Маржинальний","Сезонний","Стратегічний"},0),Settings!$I$78,Settings!$I$80,Settings!$I$82,Settings!$I$84,Settings!$I$86)</f>
        <v/>
      </c>
      <c r="AU25" s="171" t="n"/>
      <c r="AV25" t="n">
        <v>1.35</v>
      </c>
    </row>
    <row r="26">
      <c r="A26" s="28" t="inlineStr">
        <is>
          <t>NEW</t>
        </is>
      </c>
      <c r="B26" s="29" t="inlineStr">
        <is>
          <t>P3120</t>
        </is>
      </c>
      <c r="C26" s="29" t="inlineStr">
        <is>
          <t>LED RECHAR. METAL FLASHLIGHT SMALL 350 lm, 700mAh</t>
        </is>
      </c>
      <c r="D26" s="29" t="inlineStr">
        <is>
          <t>Ліхтарі</t>
        </is>
      </c>
      <c r="E26" s="28" t="inlineStr">
        <is>
          <t>PC</t>
        </is>
      </c>
      <c r="F26" s="93" t="n">
        <v>6.551</v>
      </c>
      <c r="G26" s="30" t="n">
        <v>8513100000</v>
      </c>
      <c r="H26" s="31" t="n">
        <v>1.4</v>
      </c>
      <c r="I26" s="84">
        <f>IFERROR(F26*Settings!$B$2*H26*IF(AND(ISNUMBER(E26),E26&gt;1),E26,1),"")</f>
        <v/>
      </c>
      <c r="J26" s="32">
        <f>Settings!$B$66</f>
        <v/>
      </c>
      <c r="K26" s="95">
        <f>IFERROR(IF(T26="","",(T26*(1-AN26)*(1-Settings!$B$17)-I26)/(T26*(1-AN26)*(1-Settings!$B$17))),"")</f>
        <v/>
      </c>
      <c r="L26" s="101">
        <f>IFERROR(IF(T26="","",(T26*(1-AO26)*(1-Settings!$C$17)-I26)/(T26*(1-AO26)*(1-Settings!$C$17))),"")</f>
        <v/>
      </c>
      <c r="M26" s="101">
        <f>IFERROR(IF(T26="","",(T26*(1-AP26)*(1-Settings!$D$17)-I26)/(T26*(1-AP26)*(1-Settings!$D$17))),"")</f>
        <v/>
      </c>
      <c r="N26" s="101">
        <f>IFERROR(IF(T26="","",(T26*(1-AQ26)*(1-Settings!$F$17)-I26)/(T26*(1-AQ26)*(1-Settings!$F$17))),"")</f>
        <v/>
      </c>
      <c r="O26" s="101">
        <f>IFERROR(IF(T26="","",(T26*(1-AR26)*(1-Settings!$G$17)-I26)/(T26*(1-AR26)*(1-Settings!$G$17))),"")</f>
        <v/>
      </c>
      <c r="P26" s="101">
        <f>IFERROR(IF(T26="","",(T26*(1-AS26)*(1-Settings!$H$17)-I26)/(T26*(1-AS26)*(1-Settings!$H$17))),"")</f>
        <v/>
      </c>
      <c r="Q26" s="101">
        <f>IFERROR(IF(T26="","",(T26*(1-AT26)*(1-Settings!$I$68)*(1-Settings!$I$17)-I26)/(T26*(1-AT26)*(1-Settings!$I$68)*(1-Settings!$I$17))),"")</f>
        <v/>
      </c>
      <c r="R26" s="91">
        <f>IFERROR(IF(OR(I26="",Z26&gt;=1,Settings!$B$17&gt;=1,AN26&gt;=1),"",IF(MOD(ROUND(I26/(1-Z26)/(1-Settings!$B$17)/(1-AN26),0),10)=0,ROUND(I26/(1-Z26)/(1-Settings!$B$17)/(1-AN26),0)-1,IF(MOD(ROUND(I26/(1-Z26)/(1-Settings!$B$17)/(1-AN26),0),10)&lt;=5,FLOOR(ROUND(I26/(1-Z26)/(1-Settings!$B$17)/(1-AN26),0),10)+6,FLOOR(ROUND(I26/(1-Z26)/(1-Settings!$B$17)/(1-AN26),0),10)+9))),"")</f>
        <v/>
      </c>
      <c r="S26" s="92" t="n">
        <v>850</v>
      </c>
      <c r="T26" s="91">
        <f>IF(S26&lt;&gt;"", IF(MOD(S26,10)=0,S26-1,IF(MOD(S26,10)&lt;=5,FLOOR(S26,10)+6,FLOOR(S26,10)+9)), R26)</f>
        <v/>
      </c>
      <c r="U26" s="87" t="inlineStr">
        <is>
          <t>Основний</t>
        </is>
      </c>
      <c r="V26" s="88" t="n"/>
      <c r="W26" s="88" t="n"/>
      <c r="X26" s="89">
        <f>IFERROR(IF(OR(V26="",W26="",T26=""),"", IF(T26&gt;W26,"Дорогий",IF(T26&lt;V26,"Дешевий","У ринку"))),"")</f>
        <v/>
      </c>
      <c r="Y26" s="90" t="n"/>
      <c r="Z26" s="104">
        <f>CHOOSE(MATCH(IF($U26="","Основний",$U26),{"Трафіковий","Основний","Маржинальний","Сезонний","Стратегічний"},0),0.16,0.19,0.24,0.23,0.28)</f>
        <v/>
      </c>
      <c r="AA26" s="104">
        <f>CHOOSE(MATCH(IF($U26="","Основний",$U26),{"Трафіковий","Основний","Маржинальний","Сезонний","Стратегічний"},0),0.18,0.21,0.26,0.25,0.3)</f>
        <v/>
      </c>
      <c r="AB26" s="104">
        <f>CHOOSE(MATCH(IF($U26="","Основний",$U26),{"Трафіковий","Основний","Маржинальний","Сезонний","Стратегічний"},0),0.19,0.22,0.28,0.26,0.32)</f>
        <v/>
      </c>
      <c r="AC26" s="104">
        <f>CHOOSE(MATCH(IF($U26="","Основний",$U26),{"Трафіковий","Основний","Маржинальний","Сезонний","Стратегічний"},0),0.17,0.2,0.25,0.24,0.28)</f>
        <v/>
      </c>
      <c r="AD26" s="104">
        <f>CHOOSE(MATCH(IF($U26="","Основний",$U26),{"Трафіковий","Основний","Маржинальний","Сезонний","Стратегічний"},0),0.18,0.21,0.26,0.25,0.3)</f>
        <v/>
      </c>
      <c r="AE26" s="104">
        <f>CHOOSE(MATCH(IF($U26="","Основний",$U26),{"Трафіковий","Основний","Маржинальний","Сезонний","Стратегічний"},0),0.18,0.2,0.28,0.27,0.32)</f>
        <v/>
      </c>
      <c r="AF26" s="104">
        <f>CHOOSE(MATCH(IF($U26="","Основний",$U26),{"Трафіковий","Основний","Маржинальний","Сезонний","Стратегічний"},0),0.15,0.175,0.22,0.21,0.25)</f>
        <v/>
      </c>
      <c r="AG26" s="104">
        <f>CHOOSE(MATCH(IF($U26="","Основний",$U26),{"Трафіковий","Основний","Маржинальний","Сезонний","Стратегічний"},0),0.13,0.16,0.21,0.2,0.25)</f>
        <v/>
      </c>
      <c r="AH26" s="104">
        <f>CHOOSE(MATCH(IF($U26="","Основний",$U26),{"Трафіковий","Основний","Маржинальний","Сезонний","Стратегічний"},0),0.15,0.18,0.23,0.22,0.27)</f>
        <v/>
      </c>
      <c r="AI26" s="104">
        <f>CHOOSE(MATCH(IF($U26="","Основний",$U26),{"Трафіковий","Основний","Маржинальний","Сезонний","Стратегічний"},0),0.16,0.19,0.25,0.23,0.29)</f>
        <v/>
      </c>
      <c r="AJ26" s="104">
        <f>CHOOSE(MATCH(IF($U26="","Основний",$U26),{"Трафіковий","Основний","Маржинальний","Сезонний","Стратегічний"},0),0.14,0.17,0.22,0.21,0.25)</f>
        <v/>
      </c>
      <c r="AK26" s="104">
        <f>CHOOSE(MATCH(IF($U26="","Основний",$U26),{"Трафіковий","Основний","Маржинальний","Сезонний","Стратегічний"},0),0.15,0.18,0.23,0.22,0.27)</f>
        <v/>
      </c>
      <c r="AL26" s="104">
        <f>CHOOSE(MATCH(IF($U26="","Основний",$U26),{"Трафіковий","Основний","Маржинальний","Сезонний","Стратегічний"},0),0.15,0.17,0.25,0.24,0.29)</f>
        <v/>
      </c>
      <c r="AM26" s="104">
        <f>CHOOSE(MATCH(IF($U26="","Основний",$U26),{"Трафіковий","Основний","Маржинальний","Сезонний","Стратегічний"},0),0.12,0.145,0.19,0.18,0.22)</f>
        <v/>
      </c>
      <c r="AN26" s="157">
        <f>CHOOSE(MATCH(IF($U26="","Основний",$U26),{"Трафіковий","Основний","Маржинальний","Сезонний","Стратегічний"},0),Settings!$B$78,Settings!$B$80,Settings!$B$82,Settings!$B$84,Settings!$B$86)</f>
        <v/>
      </c>
      <c r="AO26" s="157">
        <f>CHOOSE(MATCH(IF($U26="","Основний",$U26),{"Трафіковий","Основний","Маржинальний","Сезонний","Стратегічний"},0),Settings!$C$78,Settings!$C$80,Settings!$C$82,Settings!$C$84,Settings!$C$86)</f>
        <v/>
      </c>
      <c r="AP26" s="157">
        <f>CHOOSE(MATCH(IF($U26="","Основний",$U26),{"Трафіковий","Основний","Маржинальний","Сезонний","Стратегічний"},0),Settings!$D$78,Settings!$D$80,Settings!$D$82,Settings!$D$84,Settings!$D$86)</f>
        <v/>
      </c>
      <c r="AQ26" s="157">
        <f>CHOOSE(MATCH(IF($U26="","Основний",$U26),{"Трафіковий","Основний","Маржинальний","Сезонний","Стратегічний"},0),Settings!$F$78,Settings!$F$80,Settings!$F$82,Settings!$F$84,Settings!$F$86)</f>
        <v/>
      </c>
      <c r="AR26" s="157">
        <f>CHOOSE(MATCH(IF($U26="","Основний",$U26),{"Трафіковий","Основний","Маржинальний","Сезонний","Стратегічний"},0),Settings!$G$78,Settings!$G$80,Settings!$G$82,Settings!$G$84,Settings!$G$86)</f>
        <v/>
      </c>
      <c r="AS26" s="157">
        <f>CHOOSE(MATCH(IF($U26="","Основний",$U26),{"Трафіковий","Основний","Маржинальний","Сезонний","Стратегічний"},0),Settings!$H$78,Settings!$H$80,Settings!$H$82,Settings!$H$84,Settings!$H$86)</f>
        <v/>
      </c>
      <c r="AT26" s="157">
        <f>CHOOSE(MATCH(IF($U26="","Основний",$U26),{"Трафіковий","Основний","Маржинальний","Сезонний","Стратегічний"},0),Settings!$I$78,Settings!$I$80,Settings!$I$82,Settings!$I$84,Settings!$I$86)</f>
        <v/>
      </c>
      <c r="AU26" s="171" t="n"/>
      <c r="AV26" t="n">
        <v>1.35</v>
      </c>
    </row>
    <row r="27">
      <c r="A27" s="33" t="inlineStr">
        <is>
          <t>NEW</t>
        </is>
      </c>
      <c r="B27" s="34" t="inlineStr">
        <is>
          <t>P3121</t>
        </is>
      </c>
      <c r="C27" s="34" t="inlineStr">
        <is>
          <t>LED RECHAR.METAL FLASHLIGHT MED 1300lm,2200mAh</t>
        </is>
      </c>
      <c r="D27" s="34" t="inlineStr">
        <is>
          <t>Ліхтарі</t>
        </is>
      </c>
      <c r="E27" s="33" t="inlineStr">
        <is>
          <t>PC</t>
        </is>
      </c>
      <c r="F27" s="94" t="n">
        <v>9.323</v>
      </c>
      <c r="G27" s="35" t="n">
        <v>8513100000</v>
      </c>
      <c r="H27" s="31" t="n">
        <v>1.4</v>
      </c>
      <c r="I27" s="84">
        <f>IFERROR(F27*Settings!$B$2*H27*IF(AND(ISNUMBER(E27),E27&gt;1),E27,1),"")</f>
        <v/>
      </c>
      <c r="J27" s="32">
        <f>Settings!$B$66</f>
        <v/>
      </c>
      <c r="K27" s="95">
        <f>IFERROR(IF(T27="","",(T27*(1-AN27)*(1-Settings!$B$17)-I27)/(T27*(1-AN27)*(1-Settings!$B$17))),"")</f>
        <v/>
      </c>
      <c r="L27" s="101">
        <f>IFERROR(IF(T27="","",(T27*(1-AO27)*(1-Settings!$C$17)-I27)/(T27*(1-AO27)*(1-Settings!$C$17))),"")</f>
        <v/>
      </c>
      <c r="M27" s="101">
        <f>IFERROR(IF(T27="","",(T27*(1-AP27)*(1-Settings!$D$17)-I27)/(T27*(1-AP27)*(1-Settings!$D$17))),"")</f>
        <v/>
      </c>
      <c r="N27" s="101">
        <f>IFERROR(IF(T27="","",(T27*(1-AQ27)*(1-Settings!$F$17)-I27)/(T27*(1-AQ27)*(1-Settings!$F$17))),"")</f>
        <v/>
      </c>
      <c r="O27" s="101">
        <f>IFERROR(IF(T27="","",(T27*(1-AR27)*(1-Settings!$G$17)-I27)/(T27*(1-AR27)*(1-Settings!$G$17))),"")</f>
        <v/>
      </c>
      <c r="P27" s="101">
        <f>IFERROR(IF(T27="","",(T27*(1-AS27)*(1-Settings!$H$17)-I27)/(T27*(1-AS27)*(1-Settings!$H$17))),"")</f>
        <v/>
      </c>
      <c r="Q27" s="101">
        <f>IFERROR(IF(T27="","",(T27*(1-AT27)*(1-Settings!$I$68)*(1-Settings!$I$17)-I27)/(T27*(1-AT27)*(1-Settings!$I$68)*(1-Settings!$I$17))),"")</f>
        <v/>
      </c>
      <c r="R27" s="91">
        <f>IFERROR(IF(OR(I27="",Z27&gt;=1,Settings!$B$17&gt;=1,AN27&gt;=1),"",IF(MOD(ROUND(I27/(1-Z27)/(1-Settings!$B$17)/(1-AN27),0),10)=0,ROUND(I27/(1-Z27)/(1-Settings!$B$17)/(1-AN27),0)-1,IF(MOD(ROUND(I27/(1-Z27)/(1-Settings!$B$17)/(1-AN27),0),10)&lt;=5,FLOOR(ROUND(I27/(1-Z27)/(1-Settings!$B$17)/(1-AN27),0),10)+6,FLOOR(ROUND(I27/(1-Z27)/(1-Settings!$B$17)/(1-AN27),0),10)+9))),"")</f>
        <v/>
      </c>
      <c r="S27" s="92" t="n">
        <v>1200</v>
      </c>
      <c r="T27" s="91">
        <f>IF(S27&lt;&gt;"", IF(MOD(S27,10)=0,S27-1,IF(MOD(S27,10)&lt;=5,FLOOR(S27,10)+6,FLOOR(S27,10)+9)), R27)</f>
        <v/>
      </c>
      <c r="U27" s="87" t="inlineStr">
        <is>
          <t>Основний</t>
        </is>
      </c>
      <c r="V27" s="88" t="n"/>
      <c r="W27" s="88" t="n"/>
      <c r="X27" s="89">
        <f>IFERROR(IF(OR(V27="",W27="",T27=""),"", IF(T27&gt;W27,"Дорогий",IF(T27&lt;V27,"Дешевий","У ринку"))),"")</f>
        <v/>
      </c>
      <c r="Y27" s="90" t="n"/>
      <c r="Z27" s="104">
        <f>CHOOSE(MATCH(IF($U27="","Основний",$U27),{"Трафіковий","Основний","Маржинальний","Сезонний","Стратегічний"},0),0.16,0.19,0.24,0.23,0.28)</f>
        <v/>
      </c>
      <c r="AA27" s="104">
        <f>CHOOSE(MATCH(IF($U27="","Основний",$U27),{"Трафіковий","Основний","Маржинальний","Сезонний","Стратегічний"},0),0.18,0.21,0.26,0.25,0.3)</f>
        <v/>
      </c>
      <c r="AB27" s="104">
        <f>CHOOSE(MATCH(IF($U27="","Основний",$U27),{"Трафіковий","Основний","Маржинальний","Сезонний","Стратегічний"},0),0.19,0.22,0.28,0.26,0.32)</f>
        <v/>
      </c>
      <c r="AC27" s="104">
        <f>CHOOSE(MATCH(IF($U27="","Основний",$U27),{"Трафіковий","Основний","Маржинальний","Сезонний","Стратегічний"},0),0.17,0.2,0.25,0.24,0.28)</f>
        <v/>
      </c>
      <c r="AD27" s="104">
        <f>CHOOSE(MATCH(IF($U27="","Основний",$U27),{"Трафіковий","Основний","Маржинальний","Сезонний","Стратегічний"},0),0.18,0.21,0.26,0.25,0.3)</f>
        <v/>
      </c>
      <c r="AE27" s="104">
        <f>CHOOSE(MATCH(IF($U27="","Основний",$U27),{"Трафіковий","Основний","Маржинальний","Сезонний","Стратегічний"},0),0.18,0.2,0.28,0.27,0.32)</f>
        <v/>
      </c>
      <c r="AF27" s="104">
        <f>CHOOSE(MATCH(IF($U27="","Основний",$U27),{"Трафіковий","Основний","Маржинальний","Сезонний","Стратегічний"},0),0.15,0.175,0.22,0.21,0.25)</f>
        <v/>
      </c>
      <c r="AG27" s="104">
        <f>CHOOSE(MATCH(IF($U27="","Основний",$U27),{"Трафіковий","Основний","Маржинальний","Сезонний","Стратегічний"},0),0.13,0.16,0.21,0.2,0.25)</f>
        <v/>
      </c>
      <c r="AH27" s="104">
        <f>CHOOSE(MATCH(IF($U27="","Основний",$U27),{"Трафіковий","Основний","Маржинальний","Сезонний","Стратегічний"},0),0.15,0.18,0.23,0.22,0.27)</f>
        <v/>
      </c>
      <c r="AI27" s="104">
        <f>CHOOSE(MATCH(IF($U27="","Основний",$U27),{"Трафіковий","Основний","Маржинальний","Сезонний","Стратегічний"},0),0.16,0.19,0.25,0.23,0.29)</f>
        <v/>
      </c>
      <c r="AJ27" s="104">
        <f>CHOOSE(MATCH(IF($U27="","Основний",$U27),{"Трафіковий","Основний","Маржинальний","Сезонний","Стратегічний"},0),0.14,0.17,0.22,0.21,0.25)</f>
        <v/>
      </c>
      <c r="AK27" s="104">
        <f>CHOOSE(MATCH(IF($U27="","Основний",$U27),{"Трафіковий","Основний","Маржинальний","Сезонний","Стратегічний"},0),0.15,0.18,0.23,0.22,0.27)</f>
        <v/>
      </c>
      <c r="AL27" s="104">
        <f>CHOOSE(MATCH(IF($U27="","Основний",$U27),{"Трафіковий","Основний","Маржинальний","Сезонний","Стратегічний"},0),0.15,0.17,0.25,0.24,0.29)</f>
        <v/>
      </c>
      <c r="AM27" s="104">
        <f>CHOOSE(MATCH(IF($U27="","Основний",$U27),{"Трафіковий","Основний","Маржинальний","Сезонний","Стратегічний"},0),0.12,0.145,0.19,0.18,0.22)</f>
        <v/>
      </c>
      <c r="AN27" s="157">
        <f>CHOOSE(MATCH(IF($U27="","Основний",$U27),{"Трафіковий","Основний","Маржинальний","Сезонний","Стратегічний"},0),Settings!$B$78,Settings!$B$80,Settings!$B$82,Settings!$B$84,Settings!$B$86)</f>
        <v/>
      </c>
      <c r="AO27" s="157">
        <f>CHOOSE(MATCH(IF($U27="","Основний",$U27),{"Трафіковий","Основний","Маржинальний","Сезонний","Стратегічний"},0),Settings!$C$78,Settings!$C$80,Settings!$C$82,Settings!$C$84,Settings!$C$86)</f>
        <v/>
      </c>
      <c r="AP27" s="157">
        <f>CHOOSE(MATCH(IF($U27="","Основний",$U27),{"Трафіковий","Основний","Маржинальний","Сезонний","Стратегічний"},0),Settings!$D$78,Settings!$D$80,Settings!$D$82,Settings!$D$84,Settings!$D$86)</f>
        <v/>
      </c>
      <c r="AQ27" s="157">
        <f>CHOOSE(MATCH(IF($U27="","Основний",$U27),{"Трафіковий","Основний","Маржинальний","Сезонний","Стратегічний"},0),Settings!$F$78,Settings!$F$80,Settings!$F$82,Settings!$F$84,Settings!$F$86)</f>
        <v/>
      </c>
      <c r="AR27" s="157">
        <f>CHOOSE(MATCH(IF($U27="","Основний",$U27),{"Трафіковий","Основний","Маржинальний","Сезонний","Стратегічний"},0),Settings!$G$78,Settings!$G$80,Settings!$G$82,Settings!$G$84,Settings!$G$86)</f>
        <v/>
      </c>
      <c r="AS27" s="157">
        <f>CHOOSE(MATCH(IF($U27="","Основний",$U27),{"Трафіковий","Основний","Маржинальний","Сезонний","Стратегічний"},0),Settings!$H$78,Settings!$H$80,Settings!$H$82,Settings!$H$84,Settings!$H$86)</f>
        <v/>
      </c>
      <c r="AT27" s="157">
        <f>CHOOSE(MATCH(IF($U27="","Основний",$U27),{"Трафіковий","Основний","Маржинальний","Сезонний","Стратегічний"},0),Settings!$I$78,Settings!$I$80,Settings!$I$82,Settings!$I$84,Settings!$I$86)</f>
        <v/>
      </c>
      <c r="AU27" s="171" t="n"/>
      <c r="AV27" t="n">
        <v>1.35</v>
      </c>
    </row>
    <row r="28">
      <c r="A28" s="28" t="inlineStr">
        <is>
          <t>NEW</t>
        </is>
      </c>
      <c r="B28" s="29" t="inlineStr">
        <is>
          <t>P3122</t>
        </is>
      </c>
      <c r="C28" s="29" t="inlineStr">
        <is>
          <t>LED RECHAR.METAL FLASHLIGHT LARGE 3000lm, 5 000mAh</t>
        </is>
      </c>
      <c r="D28" s="29" t="inlineStr">
        <is>
          <t>Ліхтарі</t>
        </is>
      </c>
      <c r="E28" s="28" t="inlineStr">
        <is>
          <t>PC</t>
        </is>
      </c>
      <c r="F28" s="93" t="n">
        <v>16.781</v>
      </c>
      <c r="G28" s="30" t="n">
        <v>8513100000</v>
      </c>
      <c r="H28" s="31" t="n">
        <v>1.4</v>
      </c>
      <c r="I28" s="84">
        <f>IFERROR(F28*Settings!$B$2*H28*IF(AND(ISNUMBER(E28),E28&gt;1),E28,1),"")</f>
        <v/>
      </c>
      <c r="J28" s="32">
        <f>Settings!$B$66</f>
        <v/>
      </c>
      <c r="K28" s="95">
        <f>IFERROR(IF(T28="","",(T28*(1-AN28)*(1-Settings!$B$17)-I28)/(T28*(1-AN28)*(1-Settings!$B$17))),"")</f>
        <v/>
      </c>
      <c r="L28" s="101">
        <f>IFERROR(IF(T28="","",(T28*(1-AO28)*(1-Settings!$C$17)-I28)/(T28*(1-AO28)*(1-Settings!$C$17))),"")</f>
        <v/>
      </c>
      <c r="M28" s="101">
        <f>IFERROR(IF(T28="","",(T28*(1-AP28)*(1-Settings!$D$17)-I28)/(T28*(1-AP28)*(1-Settings!$D$17))),"")</f>
        <v/>
      </c>
      <c r="N28" s="101">
        <f>IFERROR(IF(T28="","",(T28*(1-AQ28)*(1-Settings!$F$17)-I28)/(T28*(1-AQ28)*(1-Settings!$F$17))),"")</f>
        <v/>
      </c>
      <c r="O28" s="101">
        <f>IFERROR(IF(T28="","",(T28*(1-AR28)*(1-Settings!$G$17)-I28)/(T28*(1-AR28)*(1-Settings!$G$17))),"")</f>
        <v/>
      </c>
      <c r="P28" s="101">
        <f>IFERROR(IF(T28="","",(T28*(1-AS28)*(1-Settings!$H$17)-I28)/(T28*(1-AS28)*(1-Settings!$H$17))),"")</f>
        <v/>
      </c>
      <c r="Q28" s="101">
        <f>IFERROR(IF(T28="","",(T28*(1-AT28)*(1-Settings!$I$68)*(1-Settings!$I$17)-I28)/(T28*(1-AT28)*(1-Settings!$I$68)*(1-Settings!$I$17))),"")</f>
        <v/>
      </c>
      <c r="R28" s="91">
        <f>IFERROR(IF(OR(I28="",Z28&gt;=1,Settings!$B$17&gt;=1,AN28&gt;=1),"",IF(MOD(ROUND(I28/(1-Z28)/(1-Settings!$B$17)/(1-AN28),0),10)=0,ROUND(I28/(1-Z28)/(1-Settings!$B$17)/(1-AN28),0)-1,IF(MOD(ROUND(I28/(1-Z28)/(1-Settings!$B$17)/(1-AN28),0),10)&lt;=5,FLOOR(ROUND(I28/(1-Z28)/(1-Settings!$B$17)/(1-AN28),0),10)+6,FLOOR(ROUND(I28/(1-Z28)/(1-Settings!$B$17)/(1-AN28),0),10)+9))),"")</f>
        <v/>
      </c>
      <c r="S28" s="92" t="n">
        <v>2160</v>
      </c>
      <c r="T28" s="91">
        <f>IF(S28&lt;&gt;"", IF(MOD(S28,10)=0,S28-1,IF(MOD(S28,10)&lt;=5,FLOOR(S28,10)+6,FLOOR(S28,10)+9)), R28)</f>
        <v/>
      </c>
      <c r="U28" s="87" t="inlineStr">
        <is>
          <t>Основний</t>
        </is>
      </c>
      <c r="V28" s="88" t="n"/>
      <c r="W28" s="88" t="n"/>
      <c r="X28" s="89">
        <f>IFERROR(IF(OR(V28="",W28="",T28=""),"", IF(T28&gt;W28,"Дорогий",IF(T28&lt;V28,"Дешевий","У ринку"))),"")</f>
        <v/>
      </c>
      <c r="Y28" s="90" t="n"/>
      <c r="Z28" s="104">
        <f>CHOOSE(MATCH(IF($U28="","Основний",$U28),{"Трафіковий","Основний","Маржинальний","Сезонний","Стратегічний"},0),0.16,0.19,0.24,0.23,0.28)</f>
        <v/>
      </c>
      <c r="AA28" s="104">
        <f>CHOOSE(MATCH(IF($U28="","Основний",$U28),{"Трафіковий","Основний","Маржинальний","Сезонний","Стратегічний"},0),0.18,0.21,0.26,0.25,0.3)</f>
        <v/>
      </c>
      <c r="AB28" s="104">
        <f>CHOOSE(MATCH(IF($U28="","Основний",$U28),{"Трафіковий","Основний","Маржинальний","Сезонний","Стратегічний"},0),0.19,0.22,0.28,0.26,0.32)</f>
        <v/>
      </c>
      <c r="AC28" s="104">
        <f>CHOOSE(MATCH(IF($U28="","Основний",$U28),{"Трафіковий","Основний","Маржинальний","Сезонний","Стратегічний"},0),0.17,0.2,0.25,0.24,0.28)</f>
        <v/>
      </c>
      <c r="AD28" s="104">
        <f>CHOOSE(MATCH(IF($U28="","Основний",$U28),{"Трафіковий","Основний","Маржинальний","Сезонний","Стратегічний"},0),0.18,0.21,0.26,0.25,0.3)</f>
        <v/>
      </c>
      <c r="AE28" s="104">
        <f>CHOOSE(MATCH(IF($U28="","Основний",$U28),{"Трафіковий","Основний","Маржинальний","Сезонний","Стратегічний"},0),0.18,0.2,0.28,0.27,0.32)</f>
        <v/>
      </c>
      <c r="AF28" s="104">
        <f>CHOOSE(MATCH(IF($U28="","Основний",$U28),{"Трафіковий","Основний","Маржинальний","Сезонний","Стратегічний"},0),0.15,0.175,0.22,0.21,0.25)</f>
        <v/>
      </c>
      <c r="AG28" s="104">
        <f>CHOOSE(MATCH(IF($U28="","Основний",$U28),{"Трафіковий","Основний","Маржинальний","Сезонний","Стратегічний"},0),0.13,0.16,0.21,0.2,0.25)</f>
        <v/>
      </c>
      <c r="AH28" s="104">
        <f>CHOOSE(MATCH(IF($U28="","Основний",$U28),{"Трафіковий","Основний","Маржинальний","Сезонний","Стратегічний"},0),0.15,0.18,0.23,0.22,0.27)</f>
        <v/>
      </c>
      <c r="AI28" s="104">
        <f>CHOOSE(MATCH(IF($U28="","Основний",$U28),{"Трафіковий","Основний","Маржинальний","Сезонний","Стратегічний"},0),0.16,0.19,0.25,0.23,0.29)</f>
        <v/>
      </c>
      <c r="AJ28" s="104">
        <f>CHOOSE(MATCH(IF($U28="","Основний",$U28),{"Трафіковий","Основний","Маржинальний","Сезонний","Стратегічний"},0),0.14,0.17,0.22,0.21,0.25)</f>
        <v/>
      </c>
      <c r="AK28" s="104">
        <f>CHOOSE(MATCH(IF($U28="","Основний",$U28),{"Трафіковий","Основний","Маржинальний","Сезонний","Стратегічний"},0),0.15,0.18,0.23,0.22,0.27)</f>
        <v/>
      </c>
      <c r="AL28" s="104">
        <f>CHOOSE(MATCH(IF($U28="","Основний",$U28),{"Трафіковий","Основний","Маржинальний","Сезонний","Стратегічний"},0),0.15,0.17,0.25,0.24,0.29)</f>
        <v/>
      </c>
      <c r="AM28" s="104">
        <f>CHOOSE(MATCH(IF($U28="","Основний",$U28),{"Трафіковий","Основний","Маржинальний","Сезонний","Стратегічний"},0),0.12,0.145,0.19,0.18,0.22)</f>
        <v/>
      </c>
      <c r="AN28" s="157">
        <f>CHOOSE(MATCH(IF($U28="","Основний",$U28),{"Трафіковий","Основний","Маржинальний","Сезонний","Стратегічний"},0),Settings!$B$78,Settings!$B$80,Settings!$B$82,Settings!$B$84,Settings!$B$86)</f>
        <v/>
      </c>
      <c r="AO28" s="157">
        <f>CHOOSE(MATCH(IF($U28="","Основний",$U28),{"Трафіковий","Основний","Маржинальний","Сезонний","Стратегічний"},0),Settings!$C$78,Settings!$C$80,Settings!$C$82,Settings!$C$84,Settings!$C$86)</f>
        <v/>
      </c>
      <c r="AP28" s="157">
        <f>CHOOSE(MATCH(IF($U28="","Основний",$U28),{"Трафіковий","Основний","Маржинальний","Сезонний","Стратегічний"},0),Settings!$D$78,Settings!$D$80,Settings!$D$82,Settings!$D$84,Settings!$D$86)</f>
        <v/>
      </c>
      <c r="AQ28" s="157">
        <f>CHOOSE(MATCH(IF($U28="","Основний",$U28),{"Трафіковий","Основний","Маржинальний","Сезонний","Стратегічний"},0),Settings!$F$78,Settings!$F$80,Settings!$F$82,Settings!$F$84,Settings!$F$86)</f>
        <v/>
      </c>
      <c r="AR28" s="157">
        <f>CHOOSE(MATCH(IF($U28="","Основний",$U28),{"Трафіковий","Основний","Маржинальний","Сезонний","Стратегічний"},0),Settings!$G$78,Settings!$G$80,Settings!$G$82,Settings!$G$84,Settings!$G$86)</f>
        <v/>
      </c>
      <c r="AS28" s="157">
        <f>CHOOSE(MATCH(IF($U28="","Основний",$U28),{"Трафіковий","Основний","Маржинальний","Сезонний","Стратегічний"},0),Settings!$H$78,Settings!$H$80,Settings!$H$82,Settings!$H$84,Settings!$H$86)</f>
        <v/>
      </c>
      <c r="AT28" s="157">
        <f>CHOOSE(MATCH(IF($U28="","Основний",$U28),{"Трафіковий","Основний","Маржинальний","Сезонний","Стратегічний"},0),Settings!$I$78,Settings!$I$80,Settings!$I$82,Settings!$I$84,Settings!$I$86)</f>
        <v/>
      </c>
      <c r="AU28" s="171" t="n"/>
      <c r="AV28" t="n">
        <v>1.35</v>
      </c>
    </row>
    <row r="29">
      <c r="A29" s="33" t="inlineStr">
        <is>
          <t>NEW</t>
        </is>
      </c>
      <c r="B29" s="34" t="inlineStr">
        <is>
          <t>P3214</t>
        </is>
      </c>
      <c r="C29" s="34" t="inlineStr">
        <is>
          <t>LED + COB LED RECH. FLASHLIGHT 150 lm 1200mAh box</t>
        </is>
      </c>
      <c r="D29" s="34" t="inlineStr">
        <is>
          <t>Ліхтарі</t>
        </is>
      </c>
      <c r="E29" s="33" t="inlineStr">
        <is>
          <t>PC</t>
        </is>
      </c>
      <c r="F29" s="94" t="n">
        <v>3.591</v>
      </c>
      <c r="G29" s="35" t="n">
        <v>8513100000</v>
      </c>
      <c r="H29" s="31" t="n">
        <v>1.4</v>
      </c>
      <c r="I29" s="84">
        <f>IFERROR(F29*Settings!$B$2*H29*IF(AND(ISNUMBER(E29),E29&gt;1),E29,1),"")</f>
        <v/>
      </c>
      <c r="J29" s="32">
        <f>Settings!$B$66</f>
        <v/>
      </c>
      <c r="K29" s="95">
        <f>IFERROR(IF(T29="","",(T29*(1-AN29)*(1-Settings!$B$17)-I29)/(T29*(1-AN29)*(1-Settings!$B$17))),"")</f>
        <v/>
      </c>
      <c r="L29" s="101">
        <f>IFERROR(IF(T29="","",(T29*(1-AO29)*(1-Settings!$C$17)-I29)/(T29*(1-AO29)*(1-Settings!$C$17))),"")</f>
        <v/>
      </c>
      <c r="M29" s="101">
        <f>IFERROR(IF(T29="","",(T29*(1-AP29)*(1-Settings!$D$17)-I29)/(T29*(1-AP29)*(1-Settings!$D$17))),"")</f>
        <v/>
      </c>
      <c r="N29" s="101">
        <f>IFERROR(IF(T29="","",(T29*(1-AQ29)*(1-Settings!$F$17)-I29)/(T29*(1-AQ29)*(1-Settings!$F$17))),"")</f>
        <v/>
      </c>
      <c r="O29" s="101">
        <f>IFERROR(IF(T29="","",(T29*(1-AR29)*(1-Settings!$G$17)-I29)/(T29*(1-AR29)*(1-Settings!$G$17))),"")</f>
        <v/>
      </c>
      <c r="P29" s="101">
        <f>IFERROR(IF(T29="","",(T29*(1-AS29)*(1-Settings!$H$17)-I29)/(T29*(1-AS29)*(1-Settings!$H$17))),"")</f>
        <v/>
      </c>
      <c r="Q29" s="101">
        <f>IFERROR(IF(T29="","",(T29*(1-AT29)*(1-Settings!$I$68)*(1-Settings!$I$17)-I29)/(T29*(1-AT29)*(1-Settings!$I$68)*(1-Settings!$I$17))),"")</f>
        <v/>
      </c>
      <c r="R29" s="91">
        <f>IFERROR(IF(OR(I29="",Z29&gt;=1,Settings!$B$17&gt;=1,AN29&gt;=1),"",IF(MOD(ROUND(I29/(1-Z29)/(1-Settings!$B$17)/(1-AN29),0),10)=0,ROUND(I29/(1-Z29)/(1-Settings!$B$17)/(1-AN29),0)-1,IF(MOD(ROUND(I29/(1-Z29)/(1-Settings!$B$17)/(1-AN29),0),10)&lt;=5,FLOOR(ROUND(I29/(1-Z29)/(1-Settings!$B$17)/(1-AN29),0),10)+6,FLOOR(ROUND(I29/(1-Z29)/(1-Settings!$B$17)/(1-AN29),0),10)+9))),"")</f>
        <v/>
      </c>
      <c r="S29" s="92" t="n"/>
      <c r="T29" s="91">
        <f>IF(S29&lt;&gt;"", IF(MOD(S29,10)=0,S29-1,IF(MOD(S29,10)&lt;=5,FLOOR(S29,10)+6,FLOOR(S29,10)+9)), R29)</f>
        <v/>
      </c>
      <c r="U29" s="87" t="inlineStr">
        <is>
          <t>Основний</t>
        </is>
      </c>
      <c r="V29" s="88" t="n"/>
      <c r="W29" s="88" t="n"/>
      <c r="X29" s="89">
        <f>IFERROR(IF(OR(V29="",W29="",T29=""),"", IF(T29&gt;W29,"Дорогий",IF(T29&lt;V29,"Дешевий","У ринку"))),"")</f>
        <v/>
      </c>
      <c r="Y29" s="90" t="n"/>
      <c r="Z29" s="104">
        <f>CHOOSE(MATCH(IF($U29="","Основний",$U29),{"Трафіковий","Основний","Маржинальний","Сезонний","Стратегічний"},0),0.16,0.19,0.24,0.23,0.28)</f>
        <v/>
      </c>
      <c r="AA29" s="104">
        <f>CHOOSE(MATCH(IF($U29="","Основний",$U29),{"Трафіковий","Основний","Маржинальний","Сезонний","Стратегічний"},0),0.18,0.21,0.26,0.25,0.3)</f>
        <v/>
      </c>
      <c r="AB29" s="104">
        <f>CHOOSE(MATCH(IF($U29="","Основний",$U29),{"Трафіковий","Основний","Маржинальний","Сезонний","Стратегічний"},0),0.19,0.22,0.28,0.26,0.32)</f>
        <v/>
      </c>
      <c r="AC29" s="104">
        <f>CHOOSE(MATCH(IF($U29="","Основний",$U29),{"Трафіковий","Основний","Маржинальний","Сезонний","Стратегічний"},0),0.17,0.2,0.25,0.24,0.28)</f>
        <v/>
      </c>
      <c r="AD29" s="104">
        <f>CHOOSE(MATCH(IF($U29="","Основний",$U29),{"Трафіковий","Основний","Маржинальний","Сезонний","Стратегічний"},0),0.18,0.21,0.26,0.25,0.3)</f>
        <v/>
      </c>
      <c r="AE29" s="104">
        <f>CHOOSE(MATCH(IF($U29="","Основний",$U29),{"Трафіковий","Основний","Маржинальний","Сезонний","Стратегічний"},0),0.18,0.2,0.28,0.27,0.32)</f>
        <v/>
      </c>
      <c r="AF29" s="104">
        <f>CHOOSE(MATCH(IF($U29="","Основний",$U29),{"Трафіковий","Основний","Маржинальний","Сезонний","Стратегічний"},0),0.15,0.175,0.22,0.21,0.25)</f>
        <v/>
      </c>
      <c r="AG29" s="104">
        <f>CHOOSE(MATCH(IF($U29="","Основний",$U29),{"Трафіковий","Основний","Маржинальний","Сезонний","Стратегічний"},0),0.13,0.16,0.21,0.2,0.25)</f>
        <v/>
      </c>
      <c r="AH29" s="104">
        <f>CHOOSE(MATCH(IF($U29="","Основний",$U29),{"Трафіковий","Основний","Маржинальний","Сезонний","Стратегічний"},0),0.15,0.18,0.23,0.22,0.27)</f>
        <v/>
      </c>
      <c r="AI29" s="104">
        <f>CHOOSE(MATCH(IF($U29="","Основний",$U29),{"Трафіковий","Основний","Маржинальний","Сезонний","Стратегічний"},0),0.16,0.19,0.25,0.23,0.29)</f>
        <v/>
      </c>
      <c r="AJ29" s="104">
        <f>CHOOSE(MATCH(IF($U29="","Основний",$U29),{"Трафіковий","Основний","Маржинальний","Сезонний","Стратегічний"},0),0.14,0.17,0.22,0.21,0.25)</f>
        <v/>
      </c>
      <c r="AK29" s="104">
        <f>CHOOSE(MATCH(IF($U29="","Основний",$U29),{"Трафіковий","Основний","Маржинальний","Сезонний","Стратегічний"},0),0.15,0.18,0.23,0.22,0.27)</f>
        <v/>
      </c>
      <c r="AL29" s="104">
        <f>CHOOSE(MATCH(IF($U29="","Основний",$U29),{"Трафіковий","Основний","Маржинальний","Сезонний","Стратегічний"},0),0.15,0.17,0.25,0.24,0.29)</f>
        <v/>
      </c>
      <c r="AM29" s="104">
        <f>CHOOSE(MATCH(IF($U29="","Основний",$U29),{"Трафіковий","Основний","Маржинальний","Сезонний","Стратегічний"},0),0.12,0.145,0.19,0.18,0.22)</f>
        <v/>
      </c>
      <c r="AN29" s="157">
        <f>CHOOSE(MATCH(IF($U29="","Основний",$U29),{"Трафіковий","Основний","Маржинальний","Сезонний","Стратегічний"},0),Settings!$B$78,Settings!$B$80,Settings!$B$82,Settings!$B$84,Settings!$B$86)</f>
        <v/>
      </c>
      <c r="AO29" s="157">
        <f>CHOOSE(MATCH(IF($U29="","Основний",$U29),{"Трафіковий","Основний","Маржинальний","Сезонний","Стратегічний"},0),Settings!$C$78,Settings!$C$80,Settings!$C$82,Settings!$C$84,Settings!$C$86)</f>
        <v/>
      </c>
      <c r="AP29" s="157">
        <f>CHOOSE(MATCH(IF($U29="","Основний",$U29),{"Трафіковий","Основний","Маржинальний","Сезонний","Стратегічний"},0),Settings!$D$78,Settings!$D$80,Settings!$D$82,Settings!$D$84,Settings!$D$86)</f>
        <v/>
      </c>
      <c r="AQ29" s="157">
        <f>CHOOSE(MATCH(IF($U29="","Основний",$U29),{"Трафіковий","Основний","Маржинальний","Сезонний","Стратегічний"},0),Settings!$F$78,Settings!$F$80,Settings!$F$82,Settings!$F$84,Settings!$F$86)</f>
        <v/>
      </c>
      <c r="AR29" s="157">
        <f>CHOOSE(MATCH(IF($U29="","Основний",$U29),{"Трафіковий","Основний","Маржинальний","Сезонний","Стратегічний"},0),Settings!$G$78,Settings!$G$80,Settings!$G$82,Settings!$G$84,Settings!$G$86)</f>
        <v/>
      </c>
      <c r="AS29" s="157">
        <f>CHOOSE(MATCH(IF($U29="","Основний",$U29),{"Трафіковий","Основний","Маржинальний","Сезонний","Стратегічний"},0),Settings!$H$78,Settings!$H$80,Settings!$H$82,Settings!$H$84,Settings!$H$86)</f>
        <v/>
      </c>
      <c r="AT29" s="157">
        <f>CHOOSE(MATCH(IF($U29="","Основний",$U29),{"Трафіковий","Основний","Маржинальний","Сезонний","Стратегічний"},0),Settings!$I$78,Settings!$I$80,Settings!$I$82,Settings!$I$84,Settings!$I$86)</f>
        <v/>
      </c>
      <c r="AU29" s="171" t="n"/>
      <c r="AV29" t="n">
        <v>1.35</v>
      </c>
    </row>
    <row r="30">
      <c r="A30" s="28" t="inlineStr">
        <is>
          <t>NEW</t>
        </is>
      </c>
      <c r="B30" s="29" t="inlineStr">
        <is>
          <t>P3215</t>
        </is>
      </c>
      <c r="C30" s="29" t="inlineStr">
        <is>
          <t>LED+SMD LED RECH. FLASHLIGHT 80 lm 800mAh</t>
        </is>
      </c>
      <c r="D30" s="29" t="inlineStr">
        <is>
          <t>Ліхтарі</t>
        </is>
      </c>
      <c r="E30" s="28" t="inlineStr">
        <is>
          <t>PC</t>
        </is>
      </c>
      <c r="F30" s="93" t="n">
        <v>2.327</v>
      </c>
      <c r="G30" s="30" t="n">
        <v>8513100000</v>
      </c>
      <c r="H30" s="31" t="n">
        <v>1.4</v>
      </c>
      <c r="I30" s="84">
        <f>IFERROR(F30*Settings!$B$2*H30*IF(AND(ISNUMBER(E30),E30&gt;1),E30,1),"")</f>
        <v/>
      </c>
      <c r="J30" s="32">
        <f>Settings!$B$66</f>
        <v/>
      </c>
      <c r="K30" s="95">
        <f>IFERROR(IF(T30="","",(T30*(1-AN30)*(1-Settings!$B$17)-I30)/(T30*(1-AN30)*(1-Settings!$B$17))),"")</f>
        <v/>
      </c>
      <c r="L30" s="101">
        <f>IFERROR(IF(T30="","",(T30*(1-AO30)*(1-Settings!$C$17)-I30)/(T30*(1-AO30)*(1-Settings!$C$17))),"")</f>
        <v/>
      </c>
      <c r="M30" s="101">
        <f>IFERROR(IF(T30="","",(T30*(1-AP30)*(1-Settings!$D$17)-I30)/(T30*(1-AP30)*(1-Settings!$D$17))),"")</f>
        <v/>
      </c>
      <c r="N30" s="101">
        <f>IFERROR(IF(T30="","",(T30*(1-AQ30)*(1-Settings!$F$17)-I30)/(T30*(1-AQ30)*(1-Settings!$F$17))),"")</f>
        <v/>
      </c>
      <c r="O30" s="101">
        <f>IFERROR(IF(T30="","",(T30*(1-AR30)*(1-Settings!$G$17)-I30)/(T30*(1-AR30)*(1-Settings!$G$17))),"")</f>
        <v/>
      </c>
      <c r="P30" s="101">
        <f>IFERROR(IF(T30="","",(T30*(1-AS30)*(1-Settings!$H$17)-I30)/(T30*(1-AS30)*(1-Settings!$H$17))),"")</f>
        <v/>
      </c>
      <c r="Q30" s="101">
        <f>IFERROR(IF(T30="","",(T30*(1-AT30)*(1-Settings!$I$68)*(1-Settings!$I$17)-I30)/(T30*(1-AT30)*(1-Settings!$I$68)*(1-Settings!$I$17))),"")</f>
        <v/>
      </c>
      <c r="R30" s="91">
        <f>IFERROR(IF(OR(I30="",Z30&gt;=1,Settings!$B$17&gt;=1,AN30&gt;=1),"",IF(MOD(ROUND(I30/(1-Z30)/(1-Settings!$B$17)/(1-AN30),0),10)=0,ROUND(I30/(1-Z30)/(1-Settings!$B$17)/(1-AN30),0)-1,IF(MOD(ROUND(I30/(1-Z30)/(1-Settings!$B$17)/(1-AN30),0),10)&lt;=5,FLOOR(ROUND(I30/(1-Z30)/(1-Settings!$B$17)/(1-AN30),0),10)+6,FLOOR(ROUND(I30/(1-Z30)/(1-Settings!$B$17)/(1-AN30),0),10)+9))),"")</f>
        <v/>
      </c>
      <c r="S30" s="92" t="n">
        <v>320</v>
      </c>
      <c r="T30" s="91">
        <f>IF(S30&lt;&gt;"", IF(MOD(S30,10)=0,S30-1,IF(MOD(S30,10)&lt;=5,FLOOR(S30,10)+6,FLOOR(S30,10)+9)), R30)</f>
        <v/>
      </c>
      <c r="U30" s="87" t="inlineStr">
        <is>
          <t>Основний</t>
        </is>
      </c>
      <c r="V30" s="88" t="n"/>
      <c r="W30" s="88" t="n"/>
      <c r="X30" s="89">
        <f>IFERROR(IF(OR(V30="",W30="",T30=""),"", IF(T30&gt;W30,"Дорогий",IF(T30&lt;V30,"Дешевий","У ринку"))),"")</f>
        <v/>
      </c>
      <c r="Y30" s="90" t="n"/>
      <c r="Z30" s="104">
        <f>CHOOSE(MATCH(IF($U30="","Основний",$U30),{"Трафіковий","Основний","Маржинальний","Сезонний","Стратегічний"},0),0.16,0.19,0.24,0.23,0.28)</f>
        <v/>
      </c>
      <c r="AA30" s="104">
        <f>CHOOSE(MATCH(IF($U30="","Основний",$U30),{"Трафіковий","Основний","Маржинальний","Сезонний","Стратегічний"},0),0.18,0.21,0.26,0.25,0.3)</f>
        <v/>
      </c>
      <c r="AB30" s="104">
        <f>CHOOSE(MATCH(IF($U30="","Основний",$U30),{"Трафіковий","Основний","Маржинальний","Сезонний","Стратегічний"},0),0.19,0.22,0.28,0.26,0.32)</f>
        <v/>
      </c>
      <c r="AC30" s="104">
        <f>CHOOSE(MATCH(IF($U30="","Основний",$U30),{"Трафіковий","Основний","Маржинальний","Сезонний","Стратегічний"},0),0.17,0.2,0.25,0.24,0.28)</f>
        <v/>
      </c>
      <c r="AD30" s="104">
        <f>CHOOSE(MATCH(IF($U30="","Основний",$U30),{"Трафіковий","Основний","Маржинальний","Сезонний","Стратегічний"},0),0.18,0.21,0.26,0.25,0.3)</f>
        <v/>
      </c>
      <c r="AE30" s="104">
        <f>CHOOSE(MATCH(IF($U30="","Основний",$U30),{"Трафіковий","Основний","Маржинальний","Сезонний","Стратегічний"},0),0.18,0.2,0.28,0.27,0.32)</f>
        <v/>
      </c>
      <c r="AF30" s="104">
        <f>CHOOSE(MATCH(IF($U30="","Основний",$U30),{"Трафіковий","Основний","Маржинальний","Сезонний","Стратегічний"},0),0.15,0.175,0.22,0.21,0.25)</f>
        <v/>
      </c>
      <c r="AG30" s="104">
        <f>CHOOSE(MATCH(IF($U30="","Основний",$U30),{"Трафіковий","Основний","Маржинальний","Сезонний","Стратегічний"},0),0.13,0.16,0.21,0.2,0.25)</f>
        <v/>
      </c>
      <c r="AH30" s="104">
        <f>CHOOSE(MATCH(IF($U30="","Основний",$U30),{"Трафіковий","Основний","Маржинальний","Сезонний","Стратегічний"},0),0.15,0.18,0.23,0.22,0.27)</f>
        <v/>
      </c>
      <c r="AI30" s="104">
        <f>CHOOSE(MATCH(IF($U30="","Основний",$U30),{"Трафіковий","Основний","Маржинальний","Сезонний","Стратегічний"},0),0.16,0.19,0.25,0.23,0.29)</f>
        <v/>
      </c>
      <c r="AJ30" s="104">
        <f>CHOOSE(MATCH(IF($U30="","Основний",$U30),{"Трафіковий","Основний","Маржинальний","Сезонний","Стратегічний"},0),0.14,0.17,0.22,0.21,0.25)</f>
        <v/>
      </c>
      <c r="AK30" s="104">
        <f>CHOOSE(MATCH(IF($U30="","Основний",$U30),{"Трафіковий","Основний","Маржинальний","Сезонний","Стратегічний"},0),0.15,0.18,0.23,0.22,0.27)</f>
        <v/>
      </c>
      <c r="AL30" s="104">
        <f>CHOOSE(MATCH(IF($U30="","Основний",$U30),{"Трафіковий","Основний","Маржинальний","Сезонний","Стратегічний"},0),0.15,0.17,0.25,0.24,0.29)</f>
        <v/>
      </c>
      <c r="AM30" s="104">
        <f>CHOOSE(MATCH(IF($U30="","Основний",$U30),{"Трафіковий","Основний","Маржинальний","Сезонний","Стратегічний"},0),0.12,0.145,0.19,0.18,0.22)</f>
        <v/>
      </c>
      <c r="AN30" s="157">
        <f>CHOOSE(MATCH(IF($U30="","Основний",$U30),{"Трафіковий","Основний","Маржинальний","Сезонний","Стратегічний"},0),Settings!$B$78,Settings!$B$80,Settings!$B$82,Settings!$B$84,Settings!$B$86)</f>
        <v/>
      </c>
      <c r="AO30" s="157">
        <f>CHOOSE(MATCH(IF($U30="","Основний",$U30),{"Трафіковий","Основний","Маржинальний","Сезонний","Стратегічний"},0),Settings!$C$78,Settings!$C$80,Settings!$C$82,Settings!$C$84,Settings!$C$86)</f>
        <v/>
      </c>
      <c r="AP30" s="157">
        <f>CHOOSE(MATCH(IF($U30="","Основний",$U30),{"Трафіковий","Основний","Маржинальний","Сезонний","Стратегічний"},0),Settings!$D$78,Settings!$D$80,Settings!$D$82,Settings!$D$84,Settings!$D$86)</f>
        <v/>
      </c>
      <c r="AQ30" s="157">
        <f>CHOOSE(MATCH(IF($U30="","Основний",$U30),{"Трафіковий","Основний","Маржинальний","Сезонний","Стратегічний"},0),Settings!$F$78,Settings!$F$80,Settings!$F$82,Settings!$F$84,Settings!$F$86)</f>
        <v/>
      </c>
      <c r="AR30" s="157">
        <f>CHOOSE(MATCH(IF($U30="","Основний",$U30),{"Трафіковий","Основний","Маржинальний","Сезонний","Стратегічний"},0),Settings!$G$78,Settings!$G$80,Settings!$G$82,Settings!$G$84,Settings!$G$86)</f>
        <v/>
      </c>
      <c r="AS30" s="157">
        <f>CHOOSE(MATCH(IF($U30="","Основний",$U30),{"Трафіковий","Основний","Маржинальний","Сезонний","Стратегічний"},0),Settings!$H$78,Settings!$H$80,Settings!$H$82,Settings!$H$84,Settings!$H$86)</f>
        <v/>
      </c>
      <c r="AT30" s="157">
        <f>CHOOSE(MATCH(IF($U30="","Основний",$U30),{"Трафіковий","Основний","Маржинальний","Сезонний","Стратегічний"},0),Settings!$I$78,Settings!$I$80,Settings!$I$82,Settings!$I$84,Settings!$I$86)</f>
        <v/>
      </c>
      <c r="AU30" s="171" t="n"/>
      <c r="AV30" t="n">
        <v>1.35</v>
      </c>
    </row>
    <row r="31">
      <c r="A31" s="33" t="inlineStr">
        <is>
          <t>NEW</t>
        </is>
      </c>
      <c r="B31" s="34" t="inlineStr">
        <is>
          <t>P4720</t>
        </is>
      </c>
      <c r="C31" s="34" t="inlineStr">
        <is>
          <t>LED+COB LED RECH. PLASTIC FLASHLIGHT 120LM 10PCS</t>
        </is>
      </c>
      <c r="D31" s="34" t="inlineStr">
        <is>
          <t>Ліхтарі</t>
        </is>
      </c>
      <c r="E31" s="33" t="inlineStr">
        <is>
          <t>PC</t>
        </is>
      </c>
      <c r="F31" s="94" t="n">
        <v>2.61</v>
      </c>
      <c r="G31" s="35" t="n">
        <v>8513100000</v>
      </c>
      <c r="H31" s="31" t="n">
        <v>1.4</v>
      </c>
      <c r="I31" s="84">
        <f>IFERROR(F31*Settings!$B$2*H31*IF(AND(ISNUMBER(E31),E31&gt;1),E31,1),"")</f>
        <v/>
      </c>
      <c r="J31" s="32">
        <f>Settings!$B$66</f>
        <v/>
      </c>
      <c r="K31" s="95">
        <f>IFERROR(IF(T31="","",(T31*(1-AN31)*(1-Settings!$B$17)-I31)/(T31*(1-AN31)*(1-Settings!$B$17))),"")</f>
        <v/>
      </c>
      <c r="L31" s="101">
        <f>IFERROR(IF(T31="","",(T31*(1-AO31)*(1-Settings!$C$17)-I31)/(T31*(1-AO31)*(1-Settings!$C$17))),"")</f>
        <v/>
      </c>
      <c r="M31" s="101">
        <f>IFERROR(IF(T31="","",(T31*(1-AP31)*(1-Settings!$D$17)-I31)/(T31*(1-AP31)*(1-Settings!$D$17))),"")</f>
        <v/>
      </c>
      <c r="N31" s="101">
        <f>IFERROR(IF(T31="","",(T31*(1-AQ31)*(1-Settings!$F$17)-I31)/(T31*(1-AQ31)*(1-Settings!$F$17))),"")</f>
        <v/>
      </c>
      <c r="O31" s="101">
        <f>IFERROR(IF(T31="","",(T31*(1-AR31)*(1-Settings!$G$17)-I31)/(T31*(1-AR31)*(1-Settings!$G$17))),"")</f>
        <v/>
      </c>
      <c r="P31" s="101">
        <f>IFERROR(IF(T31="","",(T31*(1-AS31)*(1-Settings!$H$17)-I31)/(T31*(1-AS31)*(1-Settings!$H$17))),"")</f>
        <v/>
      </c>
      <c r="Q31" s="101">
        <f>IFERROR(IF(T31="","",(T31*(1-AT31)*(1-Settings!$I$68)*(1-Settings!$I$17)-I31)/(T31*(1-AT31)*(1-Settings!$I$68)*(1-Settings!$I$17))),"")</f>
        <v/>
      </c>
      <c r="R31" s="91">
        <f>IFERROR(IF(OR(I31="",Z31&gt;=1,Settings!$B$17&gt;=1,AN31&gt;=1),"",IF(MOD(ROUND(I31/(1-Z31)/(1-Settings!$B$17)/(1-AN31),0),10)=0,ROUND(I31/(1-Z31)/(1-Settings!$B$17)/(1-AN31),0)-1,IF(MOD(ROUND(I31/(1-Z31)/(1-Settings!$B$17)/(1-AN31),0),10)&lt;=5,FLOOR(ROUND(I31/(1-Z31)/(1-Settings!$B$17)/(1-AN31),0),10)+6,FLOOR(ROUND(I31/(1-Z31)/(1-Settings!$B$17)/(1-AN31),0),10)+9))),"")</f>
        <v/>
      </c>
      <c r="S31" s="92" t="n">
        <v>365</v>
      </c>
      <c r="T31" s="91">
        <f>IF(S31&lt;&gt;"", IF(MOD(S31,10)=0,S31-1,IF(MOD(S31,10)&lt;=5,FLOOR(S31,10)+6,FLOOR(S31,10)+9)), R31)</f>
        <v/>
      </c>
      <c r="U31" s="87" t="inlineStr">
        <is>
          <t>Основний</t>
        </is>
      </c>
      <c r="V31" s="88" t="n"/>
      <c r="W31" s="88" t="n"/>
      <c r="X31" s="89">
        <f>IFERROR(IF(OR(V31="",W31="",T31=""),"", IF(T31&gt;W31,"Дорогий",IF(T31&lt;V31,"Дешевий","У ринку"))),"")</f>
        <v/>
      </c>
      <c r="Y31" s="90" t="n"/>
      <c r="Z31" s="104">
        <f>CHOOSE(MATCH(IF($U31="","Основний",$U31),{"Трафіковий","Основний","Маржинальний","Сезонний","Стратегічний"},0),0.16,0.19,0.24,0.23,0.28)</f>
        <v/>
      </c>
      <c r="AA31" s="104">
        <f>CHOOSE(MATCH(IF($U31="","Основний",$U31),{"Трафіковий","Основний","Маржинальний","Сезонний","Стратегічний"},0),0.18,0.21,0.26,0.25,0.3)</f>
        <v/>
      </c>
      <c r="AB31" s="104">
        <f>CHOOSE(MATCH(IF($U31="","Основний",$U31),{"Трафіковий","Основний","Маржинальний","Сезонний","Стратегічний"},0),0.19,0.22,0.28,0.26,0.32)</f>
        <v/>
      </c>
      <c r="AC31" s="104">
        <f>CHOOSE(MATCH(IF($U31="","Основний",$U31),{"Трафіковий","Основний","Маржинальний","Сезонний","Стратегічний"},0),0.17,0.2,0.25,0.24,0.28)</f>
        <v/>
      </c>
      <c r="AD31" s="104">
        <f>CHOOSE(MATCH(IF($U31="","Основний",$U31),{"Трафіковий","Основний","Маржинальний","Сезонний","Стратегічний"},0),0.18,0.21,0.26,0.25,0.3)</f>
        <v/>
      </c>
      <c r="AE31" s="104">
        <f>CHOOSE(MATCH(IF($U31="","Основний",$U31),{"Трафіковий","Основний","Маржинальний","Сезонний","Стратегічний"},0),0.18,0.2,0.28,0.27,0.32)</f>
        <v/>
      </c>
      <c r="AF31" s="104">
        <f>CHOOSE(MATCH(IF($U31="","Основний",$U31),{"Трафіковий","Основний","Маржинальний","Сезонний","Стратегічний"},0),0.15,0.175,0.22,0.21,0.25)</f>
        <v/>
      </c>
      <c r="AG31" s="104">
        <f>CHOOSE(MATCH(IF($U31="","Основний",$U31),{"Трафіковий","Основний","Маржинальний","Сезонний","Стратегічний"},0),0.13,0.16,0.21,0.2,0.25)</f>
        <v/>
      </c>
      <c r="AH31" s="104">
        <f>CHOOSE(MATCH(IF($U31="","Основний",$U31),{"Трафіковий","Основний","Маржинальний","Сезонний","Стратегічний"},0),0.15,0.18,0.23,0.22,0.27)</f>
        <v/>
      </c>
      <c r="AI31" s="104">
        <f>CHOOSE(MATCH(IF($U31="","Основний",$U31),{"Трафіковий","Основний","Маржинальний","Сезонний","Стратегічний"},0),0.16,0.19,0.25,0.23,0.29)</f>
        <v/>
      </c>
      <c r="AJ31" s="104">
        <f>CHOOSE(MATCH(IF($U31="","Основний",$U31),{"Трафіковий","Основний","Маржинальний","Сезонний","Стратегічний"},0),0.14,0.17,0.22,0.21,0.25)</f>
        <v/>
      </c>
      <c r="AK31" s="104">
        <f>CHOOSE(MATCH(IF($U31="","Основний",$U31),{"Трафіковий","Основний","Маржинальний","Сезонний","Стратегічний"},0),0.15,0.18,0.23,0.22,0.27)</f>
        <v/>
      </c>
      <c r="AL31" s="104">
        <f>CHOOSE(MATCH(IF($U31="","Основний",$U31),{"Трафіковий","Основний","Маржинальний","Сезонний","Стратегічний"},0),0.15,0.17,0.25,0.24,0.29)</f>
        <v/>
      </c>
      <c r="AM31" s="104">
        <f>CHOOSE(MATCH(IF($U31="","Основний",$U31),{"Трафіковий","Основний","Маржинальний","Сезонний","Стратегічний"},0),0.12,0.145,0.19,0.18,0.22)</f>
        <v/>
      </c>
      <c r="AN31" s="157">
        <f>CHOOSE(MATCH(IF($U31="","Основний",$U31),{"Трафіковий","Основний","Маржинальний","Сезонний","Стратегічний"},0),Settings!$B$78,Settings!$B$80,Settings!$B$82,Settings!$B$84,Settings!$B$86)</f>
        <v/>
      </c>
      <c r="AO31" s="157">
        <f>CHOOSE(MATCH(IF($U31="","Основний",$U31),{"Трафіковий","Основний","Маржинальний","Сезонний","Стратегічний"},0),Settings!$C$78,Settings!$C$80,Settings!$C$82,Settings!$C$84,Settings!$C$86)</f>
        <v/>
      </c>
      <c r="AP31" s="157">
        <f>CHOOSE(MATCH(IF($U31="","Основний",$U31),{"Трафіковий","Основний","Маржинальний","Сезонний","Стратегічний"},0),Settings!$D$78,Settings!$D$80,Settings!$D$82,Settings!$D$84,Settings!$D$86)</f>
        <v/>
      </c>
      <c r="AQ31" s="157">
        <f>CHOOSE(MATCH(IF($U31="","Основний",$U31),{"Трафіковий","Основний","Маржинальний","Сезонний","Стратегічний"},0),Settings!$F$78,Settings!$F$80,Settings!$F$82,Settings!$F$84,Settings!$F$86)</f>
        <v/>
      </c>
      <c r="AR31" s="157">
        <f>CHOOSE(MATCH(IF($U31="","Основний",$U31),{"Трафіковий","Основний","Маржинальний","Сезонний","Стратегічний"},0),Settings!$G$78,Settings!$G$80,Settings!$G$82,Settings!$G$84,Settings!$G$86)</f>
        <v/>
      </c>
      <c r="AS31" s="157">
        <f>CHOOSE(MATCH(IF($U31="","Основний",$U31),{"Трафіковий","Основний","Маржинальний","Сезонний","Стратегічний"},0),Settings!$H$78,Settings!$H$80,Settings!$H$82,Settings!$H$84,Settings!$H$86)</f>
        <v/>
      </c>
      <c r="AT31" s="157">
        <f>CHOOSE(MATCH(IF($U31="","Основний",$U31),{"Трафіковий","Основний","Маржинальний","Сезонний","Стратегічний"},0),Settings!$I$78,Settings!$I$80,Settings!$I$82,Settings!$I$84,Settings!$I$86)</f>
        <v/>
      </c>
      <c r="AU31" s="171" t="n"/>
      <c r="AV31" t="n">
        <v>1.35</v>
      </c>
    </row>
    <row r="32">
      <c r="A32" s="28" t="n"/>
      <c r="B32" s="29" t="inlineStr">
        <is>
          <t>P3115</t>
        </is>
      </c>
      <c r="C32" s="29" t="inlineStr">
        <is>
          <t>LED METAL FLASHLIGHT 500 lm - 4×AAA</t>
        </is>
      </c>
      <c r="D32" s="29" t="inlineStr">
        <is>
          <t>Ліхтарі</t>
        </is>
      </c>
      <c r="E32" s="28" t="inlineStr">
        <is>
          <t>PC</t>
        </is>
      </c>
      <c r="F32" s="93" t="n">
        <v>6.542</v>
      </c>
      <c r="G32" s="30" t="n">
        <v>8513100000</v>
      </c>
      <c r="H32" s="31" t="n">
        <v>1.4</v>
      </c>
      <c r="I32" s="84">
        <f>IFERROR(F32*Settings!$B$2*H32*IF(AND(ISNUMBER(E32),E32&gt;1),E32,1),"")</f>
        <v/>
      </c>
      <c r="J32" s="32">
        <f>Settings!$B$66</f>
        <v/>
      </c>
      <c r="K32" s="95">
        <f>IFERROR(IF(T32="","",(T32*(1-AN32)*(1-Settings!$B$17)-I32)/(T32*(1-AN32)*(1-Settings!$B$17))),"")</f>
        <v/>
      </c>
      <c r="L32" s="101">
        <f>IFERROR(IF(T32="","",(T32*(1-AO32)*(1-Settings!$C$17)-I32)/(T32*(1-AO32)*(1-Settings!$C$17))),"")</f>
        <v/>
      </c>
      <c r="M32" s="101">
        <f>IFERROR(IF(T32="","",(T32*(1-AP32)*(1-Settings!$D$17)-I32)/(T32*(1-AP32)*(1-Settings!$D$17))),"")</f>
        <v/>
      </c>
      <c r="N32" s="101">
        <f>IFERROR(IF(T32="","",(T32*(1-AQ32)*(1-Settings!$F$17)-I32)/(T32*(1-AQ32)*(1-Settings!$F$17))),"")</f>
        <v/>
      </c>
      <c r="O32" s="101">
        <f>IFERROR(IF(T32="","",(T32*(1-AR32)*(1-Settings!$G$17)-I32)/(T32*(1-AR32)*(1-Settings!$G$17))),"")</f>
        <v/>
      </c>
      <c r="P32" s="101">
        <f>IFERROR(IF(T32="","",(T32*(1-AS32)*(1-Settings!$H$17)-I32)/(T32*(1-AS32)*(1-Settings!$H$17))),"")</f>
        <v/>
      </c>
      <c r="Q32" s="101">
        <f>IFERROR(IF(T32="","",(T32*(1-AT32)*(1-Settings!$I$68)*(1-Settings!$I$17)-I32)/(T32*(1-AT32)*(1-Settings!$I$68)*(1-Settings!$I$17))),"")</f>
        <v/>
      </c>
      <c r="R32" s="91">
        <f>IFERROR(IF(OR(I32="",Z32&gt;=1,Settings!$B$17&gt;=1,AN32&gt;=1),"",IF(MOD(ROUND(I32/(1-Z32)/(1-Settings!$B$17)/(1-AN32),0),10)=0,ROUND(I32/(1-Z32)/(1-Settings!$B$17)/(1-AN32),0)-1,IF(MOD(ROUND(I32/(1-Z32)/(1-Settings!$B$17)/(1-AN32),0),10)&lt;=5,FLOOR(ROUND(I32/(1-Z32)/(1-Settings!$B$17)/(1-AN32),0),10)+6,FLOOR(ROUND(I32/(1-Z32)/(1-Settings!$B$17)/(1-AN32),0),10)+9))),"")</f>
        <v/>
      </c>
      <c r="S32" s="92" t="n">
        <v>800</v>
      </c>
      <c r="T32" s="91">
        <f>IF(S32&lt;&gt;"", IF(MOD(S32,10)=0,S32-1,IF(MOD(S32,10)&lt;=5,FLOOR(S32,10)+6,FLOOR(S32,10)+9)), R32)</f>
        <v/>
      </c>
      <c r="U32" s="87" t="inlineStr">
        <is>
          <t>Основний</t>
        </is>
      </c>
      <c r="V32" s="88" t="n"/>
      <c r="W32" s="88" t="n"/>
      <c r="X32" s="89">
        <f>IFERROR(IF(OR(V32="",W32="",T32=""),"", IF(T32&gt;W32,"Дорогий",IF(T32&lt;V32,"Дешевий","У ринку"))),"")</f>
        <v/>
      </c>
      <c r="Y32" s="90" t="n"/>
      <c r="Z32" s="104">
        <f>CHOOSE(MATCH(IF($U32="","Основний",$U32),{"Трафіковий","Основний","Маржинальний","Сезонний","Стратегічний"},0),0.16,0.19,0.24,0.23,0.28)</f>
        <v/>
      </c>
      <c r="AA32" s="104">
        <f>CHOOSE(MATCH(IF($U32="","Основний",$U32),{"Трафіковий","Основний","Маржинальний","Сезонний","Стратегічний"},0),0.18,0.21,0.26,0.25,0.3)</f>
        <v/>
      </c>
      <c r="AB32" s="104">
        <f>CHOOSE(MATCH(IF($U32="","Основний",$U32),{"Трафіковий","Основний","Маржинальний","Сезонний","Стратегічний"},0),0.19,0.22,0.28,0.26,0.32)</f>
        <v/>
      </c>
      <c r="AC32" s="104">
        <f>CHOOSE(MATCH(IF($U32="","Основний",$U32),{"Трафіковий","Основний","Маржинальний","Сезонний","Стратегічний"},0),0.17,0.2,0.25,0.24,0.28)</f>
        <v/>
      </c>
      <c r="AD32" s="104">
        <f>CHOOSE(MATCH(IF($U32="","Основний",$U32),{"Трафіковий","Основний","Маржинальний","Сезонний","Стратегічний"},0),0.18,0.21,0.26,0.25,0.3)</f>
        <v/>
      </c>
      <c r="AE32" s="104">
        <f>CHOOSE(MATCH(IF($U32="","Основний",$U32),{"Трафіковий","Основний","Маржинальний","Сезонний","Стратегічний"},0),0.18,0.2,0.28,0.27,0.32)</f>
        <v/>
      </c>
      <c r="AF32" s="104">
        <f>CHOOSE(MATCH(IF($U32="","Основний",$U32),{"Трафіковий","Основний","Маржинальний","Сезонний","Стратегічний"},0),0.15,0.175,0.22,0.21,0.25)</f>
        <v/>
      </c>
      <c r="AG32" s="104">
        <f>CHOOSE(MATCH(IF($U32="","Основний",$U32),{"Трафіковий","Основний","Маржинальний","Сезонний","Стратегічний"},0),0.13,0.16,0.21,0.2,0.25)</f>
        <v/>
      </c>
      <c r="AH32" s="104">
        <f>CHOOSE(MATCH(IF($U32="","Основний",$U32),{"Трафіковий","Основний","Маржинальний","Сезонний","Стратегічний"},0),0.15,0.18,0.23,0.22,0.27)</f>
        <v/>
      </c>
      <c r="AI32" s="104">
        <f>CHOOSE(MATCH(IF($U32="","Основний",$U32),{"Трафіковий","Основний","Маржинальний","Сезонний","Стратегічний"},0),0.16,0.19,0.25,0.23,0.29)</f>
        <v/>
      </c>
      <c r="AJ32" s="104">
        <f>CHOOSE(MATCH(IF($U32="","Основний",$U32),{"Трафіковий","Основний","Маржинальний","Сезонний","Стратегічний"},0),0.14,0.17,0.22,0.21,0.25)</f>
        <v/>
      </c>
      <c r="AK32" s="104">
        <f>CHOOSE(MATCH(IF($U32="","Основний",$U32),{"Трафіковий","Основний","Маржинальний","Сезонний","Стратегічний"},0),0.15,0.18,0.23,0.22,0.27)</f>
        <v/>
      </c>
      <c r="AL32" s="104">
        <f>CHOOSE(MATCH(IF($U32="","Основний",$U32),{"Трафіковий","Основний","Маржинальний","Сезонний","Стратегічний"},0),0.15,0.17,0.25,0.24,0.29)</f>
        <v/>
      </c>
      <c r="AM32" s="104">
        <f>CHOOSE(MATCH(IF($U32="","Основний",$U32),{"Трафіковий","Основний","Маржинальний","Сезонний","Стратегічний"},0),0.12,0.145,0.19,0.18,0.22)</f>
        <v/>
      </c>
      <c r="AN32" s="157">
        <f>CHOOSE(MATCH(IF($U32="","Основний",$U32),{"Трафіковий","Основний","Маржинальний","Сезонний","Стратегічний"},0),Settings!$B$78,Settings!$B$80,Settings!$B$82,Settings!$B$84,Settings!$B$86)</f>
        <v/>
      </c>
      <c r="AO32" s="157">
        <f>CHOOSE(MATCH(IF($U32="","Основний",$U32),{"Трафіковий","Основний","Маржинальний","Сезонний","Стратегічний"},0),Settings!$C$78,Settings!$C$80,Settings!$C$82,Settings!$C$84,Settings!$C$86)</f>
        <v/>
      </c>
      <c r="AP32" s="157">
        <f>CHOOSE(MATCH(IF($U32="","Основний",$U32),{"Трафіковий","Основний","Маржинальний","Сезонний","Стратегічний"},0),Settings!$D$78,Settings!$D$80,Settings!$D$82,Settings!$D$84,Settings!$D$86)</f>
        <v/>
      </c>
      <c r="AQ32" s="157">
        <f>CHOOSE(MATCH(IF($U32="","Основний",$U32),{"Трафіковий","Основний","Маржинальний","Сезонний","Стратегічний"},0),Settings!$F$78,Settings!$F$80,Settings!$F$82,Settings!$F$84,Settings!$F$86)</f>
        <v/>
      </c>
      <c r="AR32" s="157">
        <f>CHOOSE(MATCH(IF($U32="","Основний",$U32),{"Трафіковий","Основний","Маржинальний","Сезонний","Стратегічний"},0),Settings!$G$78,Settings!$G$80,Settings!$G$82,Settings!$G$84,Settings!$G$86)</f>
        <v/>
      </c>
      <c r="AS32" s="157">
        <f>CHOOSE(MATCH(IF($U32="","Основний",$U32),{"Трафіковий","Основний","Маржинальний","Сезонний","Стратегічний"},0),Settings!$H$78,Settings!$H$80,Settings!$H$82,Settings!$H$84,Settings!$H$86)</f>
        <v/>
      </c>
      <c r="AT32" s="157">
        <f>CHOOSE(MATCH(IF($U32="","Основний",$U32),{"Трафіковий","Основний","Маржинальний","Сезонний","Стратегічний"},0),Settings!$I$78,Settings!$I$80,Settings!$I$82,Settings!$I$84,Settings!$I$86)</f>
        <v/>
      </c>
      <c r="AU32" s="171" t="n"/>
      <c r="AV32" t="n">
        <v>1.35</v>
      </c>
    </row>
    <row r="33">
      <c r="A33" s="33" t="n"/>
      <c r="B33" s="34" t="inlineStr">
        <is>
          <t>P3114</t>
        </is>
      </c>
      <c r="C33" s="34" t="inlineStr">
        <is>
          <t>LED METAL FLASHLIGHT 330 lm - 3×AAA</t>
        </is>
      </c>
      <c r="D33" s="34" t="inlineStr">
        <is>
          <t>Ліхтарі</t>
        </is>
      </c>
      <c r="E33" s="33" t="inlineStr">
        <is>
          <t>PC</t>
        </is>
      </c>
      <c r="F33" s="94" t="n">
        <v>6.371</v>
      </c>
      <c r="G33" s="35" t="n">
        <v>8513100000</v>
      </c>
      <c r="H33" s="31" t="n">
        <v>1.4</v>
      </c>
      <c r="I33" s="84">
        <f>IFERROR(F33*Settings!$B$2*H33*IF(AND(ISNUMBER(E33),E33&gt;1),E33,1),"")</f>
        <v/>
      </c>
      <c r="J33" s="32">
        <f>Settings!$B$66</f>
        <v/>
      </c>
      <c r="K33" s="95">
        <f>IFERROR(IF(T33="","",(T33*(1-AN33)*(1-Settings!$B$17)-I33)/(T33*(1-AN33)*(1-Settings!$B$17))),"")</f>
        <v/>
      </c>
      <c r="L33" s="101">
        <f>IFERROR(IF(T33="","",(T33*(1-AO33)*(1-Settings!$C$17)-I33)/(T33*(1-AO33)*(1-Settings!$C$17))),"")</f>
        <v/>
      </c>
      <c r="M33" s="101">
        <f>IFERROR(IF(T33="","",(T33*(1-AP33)*(1-Settings!$D$17)-I33)/(T33*(1-AP33)*(1-Settings!$D$17))),"")</f>
        <v/>
      </c>
      <c r="N33" s="101">
        <f>IFERROR(IF(T33="","",(T33*(1-AQ33)*(1-Settings!$F$17)-I33)/(T33*(1-AQ33)*(1-Settings!$F$17))),"")</f>
        <v/>
      </c>
      <c r="O33" s="101">
        <f>IFERROR(IF(T33="","",(T33*(1-AR33)*(1-Settings!$G$17)-I33)/(T33*(1-AR33)*(1-Settings!$G$17))),"")</f>
        <v/>
      </c>
      <c r="P33" s="101">
        <f>IFERROR(IF(T33="","",(T33*(1-AS33)*(1-Settings!$H$17)-I33)/(T33*(1-AS33)*(1-Settings!$H$17))),"")</f>
        <v/>
      </c>
      <c r="Q33" s="101">
        <f>IFERROR(IF(T33="","",(T33*(1-AT33)*(1-Settings!$I$68)*(1-Settings!$I$17)-I33)/(T33*(1-AT33)*(1-Settings!$I$68)*(1-Settings!$I$17))),"")</f>
        <v/>
      </c>
      <c r="R33" s="91">
        <f>IFERROR(IF(OR(I33="",Z33&gt;=1,Settings!$B$17&gt;=1,AN33&gt;=1),"",IF(MOD(ROUND(I33/(1-Z33)/(1-Settings!$B$17)/(1-AN33),0),10)=0,ROUND(I33/(1-Z33)/(1-Settings!$B$17)/(1-AN33),0)-1,IF(MOD(ROUND(I33/(1-Z33)/(1-Settings!$B$17)/(1-AN33),0),10)&lt;=5,FLOOR(ROUND(I33/(1-Z33)/(1-Settings!$B$17)/(1-AN33),0),10)+6,FLOOR(ROUND(I33/(1-Z33)/(1-Settings!$B$17)/(1-AN33),0),10)+9))),"")</f>
        <v/>
      </c>
      <c r="S33" s="92" t="n">
        <v>780</v>
      </c>
      <c r="T33" s="91">
        <f>IF(S33&lt;&gt;"", IF(MOD(S33,10)=0,S33-1,IF(MOD(S33,10)&lt;=5,FLOOR(S33,10)+6,FLOOR(S33,10)+9)), R33)</f>
        <v/>
      </c>
      <c r="U33" s="87" t="inlineStr">
        <is>
          <t>Основний</t>
        </is>
      </c>
      <c r="V33" s="88" t="n"/>
      <c r="W33" s="88" t="n"/>
      <c r="X33" s="89">
        <f>IFERROR(IF(OR(V33="",W33="",T33=""),"", IF(T33&gt;W33,"Дорогий",IF(T33&lt;V33,"Дешевий","У ринку"))),"")</f>
        <v/>
      </c>
      <c r="Y33" s="90" t="n"/>
      <c r="Z33" s="104">
        <f>CHOOSE(MATCH(IF($U33="","Основний",$U33),{"Трафіковий","Основний","Маржинальний","Сезонний","Стратегічний"},0),0.16,0.19,0.24,0.23,0.28)</f>
        <v/>
      </c>
      <c r="AA33" s="104">
        <f>CHOOSE(MATCH(IF($U33="","Основний",$U33),{"Трафіковий","Основний","Маржинальний","Сезонний","Стратегічний"},0),0.18,0.21,0.26,0.25,0.3)</f>
        <v/>
      </c>
      <c r="AB33" s="104">
        <f>CHOOSE(MATCH(IF($U33="","Основний",$U33),{"Трафіковий","Основний","Маржинальний","Сезонний","Стратегічний"},0),0.19,0.22,0.28,0.26,0.32)</f>
        <v/>
      </c>
      <c r="AC33" s="104">
        <f>CHOOSE(MATCH(IF($U33="","Основний",$U33),{"Трафіковий","Основний","Маржинальний","Сезонний","Стратегічний"},0),0.17,0.2,0.25,0.24,0.28)</f>
        <v/>
      </c>
      <c r="AD33" s="104">
        <f>CHOOSE(MATCH(IF($U33="","Основний",$U33),{"Трафіковий","Основний","Маржинальний","Сезонний","Стратегічний"},0),0.18,0.21,0.26,0.25,0.3)</f>
        <v/>
      </c>
      <c r="AE33" s="104">
        <f>CHOOSE(MATCH(IF($U33="","Основний",$U33),{"Трафіковий","Основний","Маржинальний","Сезонний","Стратегічний"},0),0.18,0.2,0.28,0.27,0.32)</f>
        <v/>
      </c>
      <c r="AF33" s="104">
        <f>CHOOSE(MATCH(IF($U33="","Основний",$U33),{"Трафіковий","Основний","Маржинальний","Сезонний","Стратегічний"},0),0.15,0.175,0.22,0.21,0.25)</f>
        <v/>
      </c>
      <c r="AG33" s="104">
        <f>CHOOSE(MATCH(IF($U33="","Основний",$U33),{"Трафіковий","Основний","Маржинальний","Сезонний","Стратегічний"},0),0.13,0.16,0.21,0.2,0.25)</f>
        <v/>
      </c>
      <c r="AH33" s="104">
        <f>CHOOSE(MATCH(IF($U33="","Основний",$U33),{"Трафіковий","Основний","Маржинальний","Сезонний","Стратегічний"},0),0.15,0.18,0.23,0.22,0.27)</f>
        <v/>
      </c>
      <c r="AI33" s="104">
        <f>CHOOSE(MATCH(IF($U33="","Основний",$U33),{"Трафіковий","Основний","Маржинальний","Сезонний","Стратегічний"},0),0.16,0.19,0.25,0.23,0.29)</f>
        <v/>
      </c>
      <c r="AJ33" s="104">
        <f>CHOOSE(MATCH(IF($U33="","Основний",$U33),{"Трафіковий","Основний","Маржинальний","Сезонний","Стратегічний"},0),0.14,0.17,0.22,0.21,0.25)</f>
        <v/>
      </c>
      <c r="AK33" s="104">
        <f>CHOOSE(MATCH(IF($U33="","Основний",$U33),{"Трафіковий","Основний","Маржинальний","Сезонний","Стратегічний"},0),0.15,0.18,0.23,0.22,0.27)</f>
        <v/>
      </c>
      <c r="AL33" s="104">
        <f>CHOOSE(MATCH(IF($U33="","Основний",$U33),{"Трафіковий","Основний","Маржинальний","Сезонний","Стратегічний"},0),0.15,0.17,0.25,0.24,0.29)</f>
        <v/>
      </c>
      <c r="AM33" s="104">
        <f>CHOOSE(MATCH(IF($U33="","Основний",$U33),{"Трафіковий","Основний","Маржинальний","Сезонний","Стратегічний"},0),0.12,0.145,0.19,0.18,0.22)</f>
        <v/>
      </c>
      <c r="AN33" s="157">
        <f>CHOOSE(MATCH(IF($U33="","Основний",$U33),{"Трафіковий","Основний","Маржинальний","Сезонний","Стратегічний"},0),Settings!$B$78,Settings!$B$80,Settings!$B$82,Settings!$B$84,Settings!$B$86)</f>
        <v/>
      </c>
      <c r="AO33" s="157">
        <f>CHOOSE(MATCH(IF($U33="","Основний",$U33),{"Трафіковий","Основний","Маржинальний","Сезонний","Стратегічний"},0),Settings!$C$78,Settings!$C$80,Settings!$C$82,Settings!$C$84,Settings!$C$86)</f>
        <v/>
      </c>
      <c r="AP33" s="157">
        <f>CHOOSE(MATCH(IF($U33="","Основний",$U33),{"Трафіковий","Основний","Маржинальний","Сезонний","Стратегічний"},0),Settings!$D$78,Settings!$D$80,Settings!$D$82,Settings!$D$84,Settings!$D$86)</f>
        <v/>
      </c>
      <c r="AQ33" s="157">
        <f>CHOOSE(MATCH(IF($U33="","Основний",$U33),{"Трафіковий","Основний","Маржинальний","Сезонний","Стратегічний"},0),Settings!$F$78,Settings!$F$80,Settings!$F$82,Settings!$F$84,Settings!$F$86)</f>
        <v/>
      </c>
      <c r="AR33" s="157">
        <f>CHOOSE(MATCH(IF($U33="","Основний",$U33),{"Трафіковий","Основний","Маржинальний","Сезонний","Стратегічний"},0),Settings!$G$78,Settings!$G$80,Settings!$G$82,Settings!$G$84,Settings!$G$86)</f>
        <v/>
      </c>
      <c r="AS33" s="157">
        <f>CHOOSE(MATCH(IF($U33="","Основний",$U33),{"Трафіковий","Основний","Маржинальний","Сезонний","Стратегічний"},0),Settings!$H$78,Settings!$H$80,Settings!$H$82,Settings!$H$84,Settings!$H$86)</f>
        <v/>
      </c>
      <c r="AT33" s="157">
        <f>CHOOSE(MATCH(IF($U33="","Основний",$U33),{"Трафіковий","Основний","Маржинальний","Сезонний","Стратегічний"},0),Settings!$I$78,Settings!$I$80,Settings!$I$82,Settings!$I$84,Settings!$I$86)</f>
        <v/>
      </c>
      <c r="AU33" s="171" t="n"/>
      <c r="AV33" t="n">
        <v>1.35</v>
      </c>
    </row>
    <row r="34">
      <c r="A34" s="28" t="n"/>
      <c r="B34" s="29" t="inlineStr">
        <is>
          <t>P3113</t>
        </is>
      </c>
      <c r="C34" s="29" t="inlineStr">
        <is>
          <t>LED METAL FLASHLIGHT 120 lm - 2×AAA</t>
        </is>
      </c>
      <c r="D34" s="29" t="inlineStr">
        <is>
          <t>Ліхтарі</t>
        </is>
      </c>
      <c r="E34" s="28" t="inlineStr">
        <is>
          <t>PC</t>
        </is>
      </c>
      <c r="F34" s="93" t="n">
        <v>5.174</v>
      </c>
      <c r="G34" s="30" t="n">
        <v>8513100000</v>
      </c>
      <c r="H34" s="31" t="n">
        <v>1.4</v>
      </c>
      <c r="I34" s="84">
        <f>IFERROR(F34*Settings!$B$2*H34*IF(AND(ISNUMBER(E34),E34&gt;1),E34,1),"")</f>
        <v/>
      </c>
      <c r="J34" s="32">
        <f>Settings!$B$66</f>
        <v/>
      </c>
      <c r="K34" s="95">
        <f>IFERROR(IF(T34="","",(T34*(1-AN34)*(1-Settings!$B$17)-I34)/(T34*(1-AN34)*(1-Settings!$B$17))),"")</f>
        <v/>
      </c>
      <c r="L34" s="101">
        <f>IFERROR(IF(T34="","",(T34*(1-AO34)*(1-Settings!$C$17)-I34)/(T34*(1-AO34)*(1-Settings!$C$17))),"")</f>
        <v/>
      </c>
      <c r="M34" s="101">
        <f>IFERROR(IF(T34="","",(T34*(1-AP34)*(1-Settings!$D$17)-I34)/(T34*(1-AP34)*(1-Settings!$D$17))),"")</f>
        <v/>
      </c>
      <c r="N34" s="101">
        <f>IFERROR(IF(T34="","",(T34*(1-AQ34)*(1-Settings!$F$17)-I34)/(T34*(1-AQ34)*(1-Settings!$F$17))),"")</f>
        <v/>
      </c>
      <c r="O34" s="101">
        <f>IFERROR(IF(T34="","",(T34*(1-AR34)*(1-Settings!$G$17)-I34)/(T34*(1-AR34)*(1-Settings!$G$17))),"")</f>
        <v/>
      </c>
      <c r="P34" s="101">
        <f>IFERROR(IF(T34="","",(T34*(1-AS34)*(1-Settings!$H$17)-I34)/(T34*(1-AS34)*(1-Settings!$H$17))),"")</f>
        <v/>
      </c>
      <c r="Q34" s="101">
        <f>IFERROR(IF(T34="","",(T34*(1-AT34)*(1-Settings!$I$68)*(1-Settings!$I$17)-I34)/(T34*(1-AT34)*(1-Settings!$I$68)*(1-Settings!$I$17))),"")</f>
        <v/>
      </c>
      <c r="R34" s="91">
        <f>IFERROR(IF(OR(I34="",Z34&gt;=1,Settings!$B$17&gt;=1,AN34&gt;=1),"",IF(MOD(ROUND(I34/(1-Z34)/(1-Settings!$B$17)/(1-AN34),0),10)=0,ROUND(I34/(1-Z34)/(1-Settings!$B$17)/(1-AN34),0)-1,IF(MOD(ROUND(I34/(1-Z34)/(1-Settings!$B$17)/(1-AN34),0),10)&lt;=5,FLOOR(ROUND(I34/(1-Z34)/(1-Settings!$B$17)/(1-AN34),0),10)+6,FLOOR(ROUND(I34/(1-Z34)/(1-Settings!$B$17)/(1-AN34),0),10)+9))),"")</f>
        <v/>
      </c>
      <c r="S34" s="92" t="n">
        <v>660</v>
      </c>
      <c r="T34" s="91">
        <f>IF(S34&lt;&gt;"", IF(MOD(S34,10)=0,S34-1,IF(MOD(S34,10)&lt;=5,FLOOR(S34,10)+6,FLOOR(S34,10)+9)), R34)</f>
        <v/>
      </c>
      <c r="U34" s="87" t="inlineStr">
        <is>
          <t>Основний</t>
        </is>
      </c>
      <c r="V34" s="88" t="n"/>
      <c r="W34" s="88" t="n"/>
      <c r="X34" s="89">
        <f>IFERROR(IF(OR(V34="",W34="",T34=""),"", IF(T34&gt;W34,"Дорогий",IF(T34&lt;V34,"Дешевий","У ринку"))),"")</f>
        <v/>
      </c>
      <c r="Y34" s="90" t="n"/>
      <c r="Z34" s="104">
        <f>CHOOSE(MATCH(IF($U34="","Основний",$U34),{"Трафіковий","Основний","Маржинальний","Сезонний","Стратегічний"},0),0.16,0.19,0.24,0.23,0.28)</f>
        <v/>
      </c>
      <c r="AA34" s="104">
        <f>CHOOSE(MATCH(IF($U34="","Основний",$U34),{"Трафіковий","Основний","Маржинальний","Сезонний","Стратегічний"},0),0.18,0.21,0.26,0.25,0.3)</f>
        <v/>
      </c>
      <c r="AB34" s="104">
        <f>CHOOSE(MATCH(IF($U34="","Основний",$U34),{"Трафіковий","Основний","Маржинальний","Сезонний","Стратегічний"},0),0.19,0.22,0.28,0.26,0.32)</f>
        <v/>
      </c>
      <c r="AC34" s="104">
        <f>CHOOSE(MATCH(IF($U34="","Основний",$U34),{"Трафіковий","Основний","Маржинальний","Сезонний","Стратегічний"},0),0.17,0.2,0.25,0.24,0.28)</f>
        <v/>
      </c>
      <c r="AD34" s="104">
        <f>CHOOSE(MATCH(IF($U34="","Основний",$U34),{"Трафіковий","Основний","Маржинальний","Сезонний","Стратегічний"},0),0.18,0.21,0.26,0.25,0.3)</f>
        <v/>
      </c>
      <c r="AE34" s="104">
        <f>CHOOSE(MATCH(IF($U34="","Основний",$U34),{"Трафіковий","Основний","Маржинальний","Сезонний","Стратегічний"},0),0.18,0.2,0.28,0.27,0.32)</f>
        <v/>
      </c>
      <c r="AF34" s="104">
        <f>CHOOSE(MATCH(IF($U34="","Основний",$U34),{"Трафіковий","Основний","Маржинальний","Сезонний","Стратегічний"},0),0.15,0.175,0.22,0.21,0.25)</f>
        <v/>
      </c>
      <c r="AG34" s="104">
        <f>CHOOSE(MATCH(IF($U34="","Основний",$U34),{"Трафіковий","Основний","Маржинальний","Сезонний","Стратегічний"},0),0.13,0.16,0.21,0.2,0.25)</f>
        <v/>
      </c>
      <c r="AH34" s="104">
        <f>CHOOSE(MATCH(IF($U34="","Основний",$U34),{"Трафіковий","Основний","Маржинальний","Сезонний","Стратегічний"},0),0.15,0.18,0.23,0.22,0.27)</f>
        <v/>
      </c>
      <c r="AI34" s="104">
        <f>CHOOSE(MATCH(IF($U34="","Основний",$U34),{"Трафіковий","Основний","Маржинальний","Сезонний","Стратегічний"},0),0.16,0.19,0.25,0.23,0.29)</f>
        <v/>
      </c>
      <c r="AJ34" s="104">
        <f>CHOOSE(MATCH(IF($U34="","Основний",$U34),{"Трафіковий","Основний","Маржинальний","Сезонний","Стратегічний"},0),0.14,0.17,0.22,0.21,0.25)</f>
        <v/>
      </c>
      <c r="AK34" s="104">
        <f>CHOOSE(MATCH(IF($U34="","Основний",$U34),{"Трафіковий","Основний","Маржинальний","Сезонний","Стратегічний"},0),0.15,0.18,0.23,0.22,0.27)</f>
        <v/>
      </c>
      <c r="AL34" s="104">
        <f>CHOOSE(MATCH(IF($U34="","Основний",$U34),{"Трафіковий","Основний","Маржинальний","Сезонний","Стратегічний"},0),0.15,0.17,0.25,0.24,0.29)</f>
        <v/>
      </c>
      <c r="AM34" s="104">
        <f>CHOOSE(MATCH(IF($U34="","Основний",$U34),{"Трафіковий","Основний","Маржинальний","Сезонний","Стратегічний"},0),0.12,0.145,0.19,0.18,0.22)</f>
        <v/>
      </c>
      <c r="AN34" s="157">
        <f>CHOOSE(MATCH(IF($U34="","Основний",$U34),{"Трафіковий","Основний","Маржинальний","Сезонний","Стратегічний"},0),Settings!$B$78,Settings!$B$80,Settings!$B$82,Settings!$B$84,Settings!$B$86)</f>
        <v/>
      </c>
      <c r="AO34" s="157">
        <f>CHOOSE(MATCH(IF($U34="","Основний",$U34),{"Трафіковий","Основний","Маржинальний","Сезонний","Стратегічний"},0),Settings!$C$78,Settings!$C$80,Settings!$C$82,Settings!$C$84,Settings!$C$86)</f>
        <v/>
      </c>
      <c r="AP34" s="157">
        <f>CHOOSE(MATCH(IF($U34="","Основний",$U34),{"Трафіковий","Основний","Маржинальний","Сезонний","Стратегічний"},0),Settings!$D$78,Settings!$D$80,Settings!$D$82,Settings!$D$84,Settings!$D$86)</f>
        <v/>
      </c>
      <c r="AQ34" s="157">
        <f>CHOOSE(MATCH(IF($U34="","Основний",$U34),{"Трафіковий","Основний","Маржинальний","Сезонний","Стратегічний"},0),Settings!$F$78,Settings!$F$80,Settings!$F$82,Settings!$F$84,Settings!$F$86)</f>
        <v/>
      </c>
      <c r="AR34" s="157">
        <f>CHOOSE(MATCH(IF($U34="","Основний",$U34),{"Трафіковий","Основний","Маржинальний","Сезонний","Стратегічний"},0),Settings!$G$78,Settings!$G$80,Settings!$G$82,Settings!$G$84,Settings!$G$86)</f>
        <v/>
      </c>
      <c r="AS34" s="157">
        <f>CHOOSE(MATCH(IF($U34="","Основний",$U34),{"Трафіковий","Основний","Маржинальний","Сезонний","Стратегічний"},0),Settings!$H$78,Settings!$H$80,Settings!$H$82,Settings!$H$84,Settings!$H$86)</f>
        <v/>
      </c>
      <c r="AT34" s="157">
        <f>CHOOSE(MATCH(IF($U34="","Основний",$U34),{"Трафіковий","Основний","Маржинальний","Сезонний","Стратегічний"},0),Settings!$I$78,Settings!$I$80,Settings!$I$82,Settings!$I$84,Settings!$I$86)</f>
        <v/>
      </c>
      <c r="AU34" s="171" t="n"/>
      <c r="AV34" t="n">
        <v>1.35</v>
      </c>
    </row>
    <row r="35">
      <c r="A35" s="33" t="inlineStr">
        <is>
          <t>SELL OUT</t>
        </is>
      </c>
      <c r="B35" s="34" t="inlineStr">
        <is>
          <t>P3112</t>
        </is>
      </c>
      <c r="C35" s="34" t="inlineStr">
        <is>
          <t>360° COB LED METAL FLASHLIGHT 270 lm - 2×AA</t>
        </is>
      </c>
      <c r="D35" s="34" t="inlineStr">
        <is>
          <t>Ліхтарі</t>
        </is>
      </c>
      <c r="E35" s="33" t="inlineStr">
        <is>
          <t>PC</t>
        </is>
      </c>
      <c r="F35" s="94" t="n">
        <v>7.582</v>
      </c>
      <c r="G35" s="35" t="n">
        <v>8513100000</v>
      </c>
      <c r="H35" s="31" t="n">
        <v>1.4</v>
      </c>
      <c r="I35" s="84">
        <f>IFERROR(F35*Settings!$B$2*H35*IF(AND(ISNUMBER(E35),E35&gt;1),E35,1),"")</f>
        <v/>
      </c>
      <c r="J35" s="32">
        <f>Settings!$B$66</f>
        <v/>
      </c>
      <c r="K35" s="95">
        <f>IFERROR(IF(T35="","",(T35*(1-AN35)*(1-Settings!$B$17)-I35)/(T35*(1-AN35)*(1-Settings!$B$17))),"")</f>
        <v/>
      </c>
      <c r="L35" s="101">
        <f>IFERROR(IF(T35="","",(T35*(1-AO35)*(1-Settings!$C$17)-I35)/(T35*(1-AO35)*(1-Settings!$C$17))),"")</f>
        <v/>
      </c>
      <c r="M35" s="101">
        <f>IFERROR(IF(T35="","",(T35*(1-AP35)*(1-Settings!$D$17)-I35)/(T35*(1-AP35)*(1-Settings!$D$17))),"")</f>
        <v/>
      </c>
      <c r="N35" s="101">
        <f>IFERROR(IF(T35="","",(T35*(1-AQ35)*(1-Settings!$F$17)-I35)/(T35*(1-AQ35)*(1-Settings!$F$17))),"")</f>
        <v/>
      </c>
      <c r="O35" s="101">
        <f>IFERROR(IF(T35="","",(T35*(1-AR35)*(1-Settings!$G$17)-I35)/(T35*(1-AR35)*(1-Settings!$G$17))),"")</f>
        <v/>
      </c>
      <c r="P35" s="101">
        <f>IFERROR(IF(T35="","",(T35*(1-AS35)*(1-Settings!$H$17)-I35)/(T35*(1-AS35)*(1-Settings!$H$17))),"")</f>
        <v/>
      </c>
      <c r="Q35" s="101">
        <f>IFERROR(IF(T35="","",(T35*(1-AT35)*(1-Settings!$I$68)*(1-Settings!$I$17)-I35)/(T35*(1-AT35)*(1-Settings!$I$68)*(1-Settings!$I$17))),"")</f>
        <v/>
      </c>
      <c r="R35" s="91">
        <f>IFERROR(IF(OR(I35="",Z35&gt;=1,Settings!$B$17&gt;=1,AN35&gt;=1),"",IF(MOD(ROUND(I35/(1-Z35)/(1-Settings!$B$17)/(1-AN35),0),10)=0,ROUND(I35/(1-Z35)/(1-Settings!$B$17)/(1-AN35),0)-1,IF(MOD(ROUND(I35/(1-Z35)/(1-Settings!$B$17)/(1-AN35),0),10)&lt;=5,FLOOR(ROUND(I35/(1-Z35)/(1-Settings!$B$17)/(1-AN35),0),10)+6,FLOOR(ROUND(I35/(1-Z35)/(1-Settings!$B$17)/(1-AN35),0),10)+9))),"")</f>
        <v/>
      </c>
      <c r="S35" s="92" t="n">
        <v>850</v>
      </c>
      <c r="T35" s="91">
        <f>IF(S35&lt;&gt;"", IF(MOD(S35,10)=0,S35-1,IF(MOD(S35,10)&lt;=5,FLOOR(S35,10)+6,FLOOR(S35,10)+9)), R35)</f>
        <v/>
      </c>
      <c r="U35" s="87" t="inlineStr">
        <is>
          <t>Основний</t>
        </is>
      </c>
      <c r="V35" s="88" t="n"/>
      <c r="W35" s="88" t="n"/>
      <c r="X35" s="89">
        <f>IFERROR(IF(OR(V35="",W35="",T35=""),"", IF(T35&gt;W35,"Дорогий",IF(T35&lt;V35,"Дешевий","У ринку"))),"")</f>
        <v/>
      </c>
      <c r="Y35" s="90" t="n"/>
      <c r="Z35" s="104">
        <f>CHOOSE(MATCH(IF($U35="","Основний",$U35),{"Трафіковий","Основний","Маржинальний","Сезонний","Стратегічний"},0),0.16,0.19,0.24,0.23,0.28)</f>
        <v/>
      </c>
      <c r="AA35" s="104">
        <f>CHOOSE(MATCH(IF($U35="","Основний",$U35),{"Трафіковий","Основний","Маржинальний","Сезонний","Стратегічний"},0),0.18,0.21,0.26,0.25,0.3)</f>
        <v/>
      </c>
      <c r="AB35" s="104">
        <f>CHOOSE(MATCH(IF($U35="","Основний",$U35),{"Трафіковий","Основний","Маржинальний","Сезонний","Стратегічний"},0),0.19,0.22,0.28,0.26,0.32)</f>
        <v/>
      </c>
      <c r="AC35" s="104">
        <f>CHOOSE(MATCH(IF($U35="","Основний",$U35),{"Трафіковий","Основний","Маржинальний","Сезонний","Стратегічний"},0),0.17,0.2,0.25,0.24,0.28)</f>
        <v/>
      </c>
      <c r="AD35" s="104">
        <f>CHOOSE(MATCH(IF($U35="","Основний",$U35),{"Трафіковий","Основний","Маржинальний","Сезонний","Стратегічний"},0),0.18,0.21,0.26,0.25,0.3)</f>
        <v/>
      </c>
      <c r="AE35" s="104">
        <f>CHOOSE(MATCH(IF($U35="","Основний",$U35),{"Трафіковий","Основний","Маржинальний","Сезонний","Стратегічний"},0),0.18,0.2,0.28,0.27,0.32)</f>
        <v/>
      </c>
      <c r="AF35" s="104">
        <f>CHOOSE(MATCH(IF($U35="","Основний",$U35),{"Трафіковий","Основний","Маржинальний","Сезонний","Стратегічний"},0),0.15,0.175,0.22,0.21,0.25)</f>
        <v/>
      </c>
      <c r="AG35" s="104">
        <f>CHOOSE(MATCH(IF($U35="","Основний",$U35),{"Трафіковий","Основний","Маржинальний","Сезонний","Стратегічний"},0),0.13,0.16,0.21,0.2,0.25)</f>
        <v/>
      </c>
      <c r="AH35" s="104">
        <f>CHOOSE(MATCH(IF($U35="","Основний",$U35),{"Трафіковий","Основний","Маржинальний","Сезонний","Стратегічний"},0),0.15,0.18,0.23,0.22,0.27)</f>
        <v/>
      </c>
      <c r="AI35" s="104">
        <f>CHOOSE(MATCH(IF($U35="","Основний",$U35),{"Трафіковий","Основний","Маржинальний","Сезонний","Стратегічний"},0),0.16,0.19,0.25,0.23,0.29)</f>
        <v/>
      </c>
      <c r="AJ35" s="104">
        <f>CHOOSE(MATCH(IF($U35="","Основний",$U35),{"Трафіковий","Основний","Маржинальний","Сезонний","Стратегічний"},0),0.14,0.17,0.22,0.21,0.25)</f>
        <v/>
      </c>
      <c r="AK35" s="104">
        <f>CHOOSE(MATCH(IF($U35="","Основний",$U35),{"Трафіковий","Основний","Маржинальний","Сезонний","Стратегічний"},0),0.15,0.18,0.23,0.22,0.27)</f>
        <v/>
      </c>
      <c r="AL35" s="104">
        <f>CHOOSE(MATCH(IF($U35="","Основний",$U35),{"Трафіковий","Основний","Маржинальний","Сезонний","Стратегічний"},0),0.15,0.17,0.25,0.24,0.29)</f>
        <v/>
      </c>
      <c r="AM35" s="104">
        <f>CHOOSE(MATCH(IF($U35="","Основний",$U35),{"Трафіковий","Основний","Маржинальний","Сезонний","Стратегічний"},0),0.12,0.145,0.19,0.18,0.22)</f>
        <v/>
      </c>
      <c r="AN35" s="157">
        <f>CHOOSE(MATCH(IF($U35="","Основний",$U35),{"Трафіковий","Основний","Маржинальний","Сезонний","Стратегічний"},0),Settings!$B$78,Settings!$B$80,Settings!$B$82,Settings!$B$84,Settings!$B$86)</f>
        <v/>
      </c>
      <c r="AO35" s="157">
        <f>CHOOSE(MATCH(IF($U35="","Основний",$U35),{"Трафіковий","Основний","Маржинальний","Сезонний","Стратегічний"},0),Settings!$C$78,Settings!$C$80,Settings!$C$82,Settings!$C$84,Settings!$C$86)</f>
        <v/>
      </c>
      <c r="AP35" s="157">
        <f>CHOOSE(MATCH(IF($U35="","Основний",$U35),{"Трафіковий","Основний","Маржинальний","Сезонний","Стратегічний"},0),Settings!$D$78,Settings!$D$80,Settings!$D$82,Settings!$D$84,Settings!$D$86)</f>
        <v/>
      </c>
      <c r="AQ35" s="157">
        <f>CHOOSE(MATCH(IF($U35="","Основний",$U35),{"Трафіковий","Основний","Маржинальний","Сезонний","Стратегічний"},0),Settings!$F$78,Settings!$F$80,Settings!$F$82,Settings!$F$84,Settings!$F$86)</f>
        <v/>
      </c>
      <c r="AR35" s="157">
        <f>CHOOSE(MATCH(IF($U35="","Основний",$U35),{"Трафіковий","Основний","Маржинальний","Сезонний","Стратегічний"},0),Settings!$G$78,Settings!$G$80,Settings!$G$82,Settings!$G$84,Settings!$G$86)</f>
        <v/>
      </c>
      <c r="AS35" s="157">
        <f>CHOOSE(MATCH(IF($U35="","Основний",$U35),{"Трафіковий","Основний","Маржинальний","Сезонний","Стратегічний"},0),Settings!$H$78,Settings!$H$80,Settings!$H$82,Settings!$H$84,Settings!$H$86)</f>
        <v/>
      </c>
      <c r="AT35" s="157">
        <f>CHOOSE(MATCH(IF($U35="","Основний",$U35),{"Трафіковий","Основний","Маржинальний","Сезонний","Стратегічний"},0),Settings!$I$78,Settings!$I$80,Settings!$I$82,Settings!$I$84,Settings!$I$86)</f>
        <v/>
      </c>
      <c r="AU35" s="171" t="n"/>
      <c r="AV35" t="n">
        <v>1.35</v>
      </c>
    </row>
    <row r="36">
      <c r="A36" s="28" t="n"/>
      <c r="B36" s="29" t="inlineStr">
        <is>
          <t>P3111</t>
        </is>
      </c>
      <c r="C36" s="29" t="inlineStr">
        <is>
          <t>METAL 5W + 3W COB FLASHLIGHT WITH FOCUS</t>
        </is>
      </c>
      <c r="D36" s="29" t="inlineStr">
        <is>
          <t>Ліхтарі</t>
        </is>
      </c>
      <c r="E36" s="28" t="inlineStr">
        <is>
          <t>PC</t>
        </is>
      </c>
      <c r="F36" s="93" t="n">
        <v>6.044</v>
      </c>
      <c r="G36" s="30" t="n">
        <v>8513100000</v>
      </c>
      <c r="H36" s="31" t="n">
        <v>1.4</v>
      </c>
      <c r="I36" s="84">
        <f>IFERROR(F36*Settings!$B$2*H36*IF(AND(ISNUMBER(E36),E36&gt;1),E36,1),"")</f>
        <v/>
      </c>
      <c r="J36" s="32">
        <f>Settings!$B$66</f>
        <v/>
      </c>
      <c r="K36" s="95">
        <f>IFERROR(IF(T36="","",(T36*(1-AN36)*(1-Settings!$B$17)-I36)/(T36*(1-AN36)*(1-Settings!$B$17))),"")</f>
        <v/>
      </c>
      <c r="L36" s="101">
        <f>IFERROR(IF(T36="","",(T36*(1-AO36)*(1-Settings!$C$17)-I36)/(T36*(1-AO36)*(1-Settings!$C$17))),"")</f>
        <v/>
      </c>
      <c r="M36" s="101">
        <f>IFERROR(IF(T36="","",(T36*(1-AP36)*(1-Settings!$D$17)-I36)/(T36*(1-AP36)*(1-Settings!$D$17))),"")</f>
        <v/>
      </c>
      <c r="N36" s="101">
        <f>IFERROR(IF(T36="","",(T36*(1-AQ36)*(1-Settings!$F$17)-I36)/(T36*(1-AQ36)*(1-Settings!$F$17))),"")</f>
        <v/>
      </c>
      <c r="O36" s="101">
        <f>IFERROR(IF(T36="","",(T36*(1-AR36)*(1-Settings!$G$17)-I36)/(T36*(1-AR36)*(1-Settings!$G$17))),"")</f>
        <v/>
      </c>
      <c r="P36" s="101">
        <f>IFERROR(IF(T36="","",(T36*(1-AS36)*(1-Settings!$H$17)-I36)/(T36*(1-AS36)*(1-Settings!$H$17))),"")</f>
        <v/>
      </c>
      <c r="Q36" s="101">
        <f>IFERROR(IF(T36="","",(T36*(1-AT36)*(1-Settings!$I$68)*(1-Settings!$I$17)-I36)/(T36*(1-AT36)*(1-Settings!$I$68)*(1-Settings!$I$17))),"")</f>
        <v/>
      </c>
      <c r="R36" s="91">
        <f>IFERROR(IF(OR(I36="",Z36&gt;=1,Settings!$B$17&gt;=1,AN36&gt;=1),"",IF(MOD(ROUND(I36/(1-Z36)/(1-Settings!$B$17)/(1-AN36),0),10)=0,ROUND(I36/(1-Z36)/(1-Settings!$B$17)/(1-AN36),0)-1,IF(MOD(ROUND(I36/(1-Z36)/(1-Settings!$B$17)/(1-AN36),0),10)&lt;=5,FLOOR(ROUND(I36/(1-Z36)/(1-Settings!$B$17)/(1-AN36),0),10)+6,FLOOR(ROUND(I36/(1-Z36)/(1-Settings!$B$17)/(1-AN36),0),10)+9))),"")</f>
        <v/>
      </c>
      <c r="S36" s="92" t="n">
        <v>800</v>
      </c>
      <c r="T36" s="91">
        <f>IF(S36&lt;&gt;"", IF(MOD(S36,10)=0,S36-1,IF(MOD(S36,10)&lt;=5,FLOOR(S36,10)+6,FLOOR(S36,10)+9)), R36)</f>
        <v/>
      </c>
      <c r="U36" s="87" t="inlineStr">
        <is>
          <t>Основний</t>
        </is>
      </c>
      <c r="V36" s="88" t="n"/>
      <c r="W36" s="88" t="n"/>
      <c r="X36" s="89">
        <f>IFERROR(IF(OR(V36="",W36="",T36=""),"", IF(T36&gt;W36,"Дорогий",IF(T36&lt;V36,"Дешевий","У ринку"))),"")</f>
        <v/>
      </c>
      <c r="Y36" s="90" t="n"/>
      <c r="Z36" s="104">
        <f>CHOOSE(MATCH(IF($U36="","Основний",$U36),{"Трафіковий","Основний","Маржинальний","Сезонний","Стратегічний"},0),0.16,0.19,0.24,0.23,0.28)</f>
        <v/>
      </c>
      <c r="AA36" s="104">
        <f>CHOOSE(MATCH(IF($U36="","Основний",$U36),{"Трафіковий","Основний","Маржинальний","Сезонний","Стратегічний"},0),0.18,0.21,0.26,0.25,0.3)</f>
        <v/>
      </c>
      <c r="AB36" s="104">
        <f>CHOOSE(MATCH(IF($U36="","Основний",$U36),{"Трафіковий","Основний","Маржинальний","Сезонний","Стратегічний"},0),0.19,0.22,0.28,0.26,0.32)</f>
        <v/>
      </c>
      <c r="AC36" s="104">
        <f>CHOOSE(MATCH(IF($U36="","Основний",$U36),{"Трафіковий","Основний","Маржинальний","Сезонний","Стратегічний"},0),0.17,0.2,0.25,0.24,0.28)</f>
        <v/>
      </c>
      <c r="AD36" s="104">
        <f>CHOOSE(MATCH(IF($U36="","Основний",$U36),{"Трафіковий","Основний","Маржинальний","Сезонний","Стратегічний"},0),0.18,0.21,0.26,0.25,0.3)</f>
        <v/>
      </c>
      <c r="AE36" s="104">
        <f>CHOOSE(MATCH(IF($U36="","Основний",$U36),{"Трафіковий","Основний","Маржинальний","Сезонний","Стратегічний"},0),0.18,0.2,0.28,0.27,0.32)</f>
        <v/>
      </c>
      <c r="AF36" s="104">
        <f>CHOOSE(MATCH(IF($U36="","Основний",$U36),{"Трафіковий","Основний","Маржинальний","Сезонний","Стратегічний"},0),0.15,0.175,0.22,0.21,0.25)</f>
        <v/>
      </c>
      <c r="AG36" s="104">
        <f>CHOOSE(MATCH(IF($U36="","Основний",$U36),{"Трафіковий","Основний","Маржинальний","Сезонний","Стратегічний"},0),0.13,0.16,0.21,0.2,0.25)</f>
        <v/>
      </c>
      <c r="AH36" s="104">
        <f>CHOOSE(MATCH(IF($U36="","Основний",$U36),{"Трафіковий","Основний","Маржинальний","Сезонний","Стратегічний"},0),0.15,0.18,0.23,0.22,0.27)</f>
        <v/>
      </c>
      <c r="AI36" s="104">
        <f>CHOOSE(MATCH(IF($U36="","Основний",$U36),{"Трафіковий","Основний","Маржинальний","Сезонний","Стратегічний"},0),0.16,0.19,0.25,0.23,0.29)</f>
        <v/>
      </c>
      <c r="AJ36" s="104">
        <f>CHOOSE(MATCH(IF($U36="","Основний",$U36),{"Трафіковий","Основний","Маржинальний","Сезонний","Стратегічний"},0),0.14,0.17,0.22,0.21,0.25)</f>
        <v/>
      </c>
      <c r="AK36" s="104">
        <f>CHOOSE(MATCH(IF($U36="","Основний",$U36),{"Трафіковий","Основний","Маржинальний","Сезонний","Стратегічний"},0),0.15,0.18,0.23,0.22,0.27)</f>
        <v/>
      </c>
      <c r="AL36" s="104">
        <f>CHOOSE(MATCH(IF($U36="","Основний",$U36),{"Трафіковий","Основний","Маржинальний","Сезонний","Стратегічний"},0),0.15,0.17,0.25,0.24,0.29)</f>
        <v/>
      </c>
      <c r="AM36" s="104">
        <f>CHOOSE(MATCH(IF($U36="","Основний",$U36),{"Трафіковий","Основний","Маржинальний","Сезонний","Стратегічний"},0),0.12,0.145,0.19,0.18,0.22)</f>
        <v/>
      </c>
      <c r="AN36" s="157">
        <f>CHOOSE(MATCH(IF($U36="","Основний",$U36),{"Трафіковий","Основний","Маржинальний","Сезонний","Стратегічний"},0),Settings!$B$78,Settings!$B$80,Settings!$B$82,Settings!$B$84,Settings!$B$86)</f>
        <v/>
      </c>
      <c r="AO36" s="157">
        <f>CHOOSE(MATCH(IF($U36="","Основний",$U36),{"Трафіковий","Основний","Маржинальний","Сезонний","Стратегічний"},0),Settings!$C$78,Settings!$C$80,Settings!$C$82,Settings!$C$84,Settings!$C$86)</f>
        <v/>
      </c>
      <c r="AP36" s="157">
        <f>CHOOSE(MATCH(IF($U36="","Основний",$U36),{"Трафіковий","Основний","Маржинальний","Сезонний","Стратегічний"},0),Settings!$D$78,Settings!$D$80,Settings!$D$82,Settings!$D$84,Settings!$D$86)</f>
        <v/>
      </c>
      <c r="AQ36" s="157">
        <f>CHOOSE(MATCH(IF($U36="","Основний",$U36),{"Трафіковий","Основний","Маржинальний","Сезонний","Стратегічний"},0),Settings!$F$78,Settings!$F$80,Settings!$F$82,Settings!$F$84,Settings!$F$86)</f>
        <v/>
      </c>
      <c r="AR36" s="157">
        <f>CHOOSE(MATCH(IF($U36="","Основний",$U36),{"Трафіковий","Основний","Маржинальний","Сезонний","Стратегічний"},0),Settings!$G$78,Settings!$G$80,Settings!$G$82,Settings!$G$84,Settings!$G$86)</f>
        <v/>
      </c>
      <c r="AS36" s="157">
        <f>CHOOSE(MATCH(IF($U36="","Основний",$U36),{"Трафіковий","Основний","Маржинальний","Сезонний","Стратегічний"},0),Settings!$H$78,Settings!$H$80,Settings!$H$82,Settings!$H$84,Settings!$H$86)</f>
        <v/>
      </c>
      <c r="AT36" s="157">
        <f>CHOOSE(MATCH(IF($U36="","Основний",$U36),{"Трафіковий","Основний","Маржинальний","Сезонний","Стратегічний"},0),Settings!$I$78,Settings!$I$80,Settings!$I$82,Settings!$I$84,Settings!$I$86)</f>
        <v/>
      </c>
      <c r="AU36" s="171" t="n"/>
      <c r="AV36" t="n">
        <v>1.35</v>
      </c>
    </row>
    <row r="37">
      <c r="A37" s="33" t="n"/>
      <c r="B37" s="34" t="inlineStr">
        <is>
          <t>P4704</t>
        </is>
      </c>
      <c r="C37" s="34" t="inlineStr">
        <is>
          <t>LED FLASH. COB LED 3W 3×AAA</t>
        </is>
      </c>
      <c r="D37" s="34" t="inlineStr">
        <is>
          <t>Ліхтарі</t>
        </is>
      </c>
      <c r="E37" s="33" t="inlineStr">
        <is>
          <t>PC</t>
        </is>
      </c>
      <c r="F37" s="94" t="n">
        <v>2.222</v>
      </c>
      <c r="G37" s="35" t="n">
        <v>8513100000</v>
      </c>
      <c r="H37" s="31" t="n">
        <v>1.4</v>
      </c>
      <c r="I37" s="84">
        <f>IFERROR(F37*Settings!$B$2*H37*IF(AND(ISNUMBER(E37),E37&gt;1),E37,1),"")</f>
        <v/>
      </c>
      <c r="J37" s="32">
        <f>Settings!$B$66</f>
        <v/>
      </c>
      <c r="K37" s="95">
        <f>IFERROR(IF(T37="","",(T37*(1-AN37)*(1-Settings!$B$17)-I37)/(T37*(1-AN37)*(1-Settings!$B$17))),"")</f>
        <v/>
      </c>
      <c r="L37" s="101">
        <f>IFERROR(IF(T37="","",(T37*(1-AO37)*(1-Settings!$C$17)-I37)/(T37*(1-AO37)*(1-Settings!$C$17))),"")</f>
        <v/>
      </c>
      <c r="M37" s="101">
        <f>IFERROR(IF(T37="","",(T37*(1-AP37)*(1-Settings!$D$17)-I37)/(T37*(1-AP37)*(1-Settings!$D$17))),"")</f>
        <v/>
      </c>
      <c r="N37" s="101">
        <f>IFERROR(IF(T37="","",(T37*(1-AQ37)*(1-Settings!$F$17)-I37)/(T37*(1-AQ37)*(1-Settings!$F$17))),"")</f>
        <v/>
      </c>
      <c r="O37" s="101">
        <f>IFERROR(IF(T37="","",(T37*(1-AR37)*(1-Settings!$G$17)-I37)/(T37*(1-AR37)*(1-Settings!$G$17))),"")</f>
        <v/>
      </c>
      <c r="P37" s="101">
        <f>IFERROR(IF(T37="","",(T37*(1-AS37)*(1-Settings!$H$17)-I37)/(T37*(1-AS37)*(1-Settings!$H$17))),"")</f>
        <v/>
      </c>
      <c r="Q37" s="101">
        <f>IFERROR(IF(T37="","",(T37*(1-AT37)*(1-Settings!$I$68)*(1-Settings!$I$17)-I37)/(T37*(1-AT37)*(1-Settings!$I$68)*(1-Settings!$I$17))),"")</f>
        <v/>
      </c>
      <c r="R37" s="91">
        <f>IFERROR(IF(OR(I37="",Z37&gt;=1,Settings!$B$17&gt;=1,AN37&gt;=1),"",IF(MOD(ROUND(I37/(1-Z37)/(1-Settings!$B$17)/(1-AN37),0),10)=0,ROUND(I37/(1-Z37)/(1-Settings!$B$17)/(1-AN37),0)-1,IF(MOD(ROUND(I37/(1-Z37)/(1-Settings!$B$17)/(1-AN37),0),10)&lt;=5,FLOOR(ROUND(I37/(1-Z37)/(1-Settings!$B$17)/(1-AN37),0),10)+6,FLOOR(ROUND(I37/(1-Z37)/(1-Settings!$B$17)/(1-AN37),0),10)+9))),"")</f>
        <v/>
      </c>
      <c r="S37" s="92" t="n"/>
      <c r="T37" s="91">
        <f>IF(S37&lt;&gt;"", IF(MOD(S37,10)=0,S37-1,IF(MOD(S37,10)&lt;=5,FLOOR(S37,10)+6,FLOOR(S37,10)+9)), R37)</f>
        <v/>
      </c>
      <c r="U37" s="87" t="inlineStr">
        <is>
          <t>Основний</t>
        </is>
      </c>
      <c r="V37" s="88" t="n"/>
      <c r="W37" s="88" t="n"/>
      <c r="X37" s="89">
        <f>IFERROR(IF(OR(V37="",W37="",T37=""),"", IF(T37&gt;W37,"Дорогий",IF(T37&lt;V37,"Дешевий","У ринку"))),"")</f>
        <v/>
      </c>
      <c r="Y37" s="90" t="n"/>
      <c r="Z37" s="104">
        <f>CHOOSE(MATCH(IF($U37="","Основний",$U37),{"Трафіковий","Основний","Маржинальний","Сезонний","Стратегічний"},0),0.16,0.19,0.24,0.23,0.28)</f>
        <v/>
      </c>
      <c r="AA37" s="104">
        <f>CHOOSE(MATCH(IF($U37="","Основний",$U37),{"Трафіковий","Основний","Маржинальний","Сезонний","Стратегічний"},0),0.18,0.21,0.26,0.25,0.3)</f>
        <v/>
      </c>
      <c r="AB37" s="104">
        <f>CHOOSE(MATCH(IF($U37="","Основний",$U37),{"Трафіковий","Основний","Маржинальний","Сезонний","Стратегічний"},0),0.19,0.22,0.28,0.26,0.32)</f>
        <v/>
      </c>
      <c r="AC37" s="104">
        <f>CHOOSE(MATCH(IF($U37="","Основний",$U37),{"Трафіковий","Основний","Маржинальний","Сезонний","Стратегічний"},0),0.17,0.2,0.25,0.24,0.28)</f>
        <v/>
      </c>
      <c r="AD37" s="104">
        <f>CHOOSE(MATCH(IF($U37="","Основний",$U37),{"Трафіковий","Основний","Маржинальний","Сезонний","Стратегічний"},0),0.18,0.21,0.26,0.25,0.3)</f>
        <v/>
      </c>
      <c r="AE37" s="104">
        <f>CHOOSE(MATCH(IF($U37="","Основний",$U37),{"Трафіковий","Основний","Маржинальний","Сезонний","Стратегічний"},0),0.18,0.2,0.28,0.27,0.32)</f>
        <v/>
      </c>
      <c r="AF37" s="104">
        <f>CHOOSE(MATCH(IF($U37="","Основний",$U37),{"Трафіковий","Основний","Маржинальний","Сезонний","Стратегічний"},0),0.15,0.175,0.22,0.21,0.25)</f>
        <v/>
      </c>
      <c r="AG37" s="104">
        <f>CHOOSE(MATCH(IF($U37="","Основний",$U37),{"Трафіковий","Основний","Маржинальний","Сезонний","Стратегічний"},0),0.13,0.16,0.21,0.2,0.25)</f>
        <v/>
      </c>
      <c r="AH37" s="104">
        <f>CHOOSE(MATCH(IF($U37="","Основний",$U37),{"Трафіковий","Основний","Маржинальний","Сезонний","Стратегічний"},0),0.15,0.18,0.23,0.22,0.27)</f>
        <v/>
      </c>
      <c r="AI37" s="104">
        <f>CHOOSE(MATCH(IF($U37="","Основний",$U37),{"Трафіковий","Основний","Маржинальний","Сезонний","Стратегічний"},0),0.16,0.19,0.25,0.23,0.29)</f>
        <v/>
      </c>
      <c r="AJ37" s="104">
        <f>CHOOSE(MATCH(IF($U37="","Основний",$U37),{"Трафіковий","Основний","Маржинальний","Сезонний","Стратегічний"},0),0.14,0.17,0.22,0.21,0.25)</f>
        <v/>
      </c>
      <c r="AK37" s="104">
        <f>CHOOSE(MATCH(IF($U37="","Основний",$U37),{"Трафіковий","Основний","Маржинальний","Сезонний","Стратегічний"},0),0.15,0.18,0.23,0.22,0.27)</f>
        <v/>
      </c>
      <c r="AL37" s="104">
        <f>CHOOSE(MATCH(IF($U37="","Основний",$U37),{"Трафіковий","Основний","Маржинальний","Сезонний","Стратегічний"},0),0.15,0.17,0.25,0.24,0.29)</f>
        <v/>
      </c>
      <c r="AM37" s="104">
        <f>CHOOSE(MATCH(IF($U37="","Основний",$U37),{"Трафіковий","Основний","Маржинальний","Сезонний","Стратегічний"},0),0.12,0.145,0.19,0.18,0.22)</f>
        <v/>
      </c>
      <c r="AN37" s="157">
        <f>CHOOSE(MATCH(IF($U37="","Основний",$U37),{"Трафіковий","Основний","Маржинальний","Сезонний","Стратегічний"},0),Settings!$B$78,Settings!$B$80,Settings!$B$82,Settings!$B$84,Settings!$B$86)</f>
        <v/>
      </c>
      <c r="AO37" s="157">
        <f>CHOOSE(MATCH(IF($U37="","Основний",$U37),{"Трафіковий","Основний","Маржинальний","Сезонний","Стратегічний"},0),Settings!$C$78,Settings!$C$80,Settings!$C$82,Settings!$C$84,Settings!$C$86)</f>
        <v/>
      </c>
      <c r="AP37" s="157">
        <f>CHOOSE(MATCH(IF($U37="","Основний",$U37),{"Трафіковий","Основний","Маржинальний","Сезонний","Стратегічний"},0),Settings!$D$78,Settings!$D$80,Settings!$D$82,Settings!$D$84,Settings!$D$86)</f>
        <v/>
      </c>
      <c r="AQ37" s="157">
        <f>CHOOSE(MATCH(IF($U37="","Основний",$U37),{"Трафіковий","Основний","Маржинальний","Сезонний","Стратегічний"},0),Settings!$F$78,Settings!$F$80,Settings!$F$82,Settings!$F$84,Settings!$F$86)</f>
        <v/>
      </c>
      <c r="AR37" s="157">
        <f>CHOOSE(MATCH(IF($U37="","Основний",$U37),{"Трафіковий","Основний","Маржинальний","Сезонний","Стратегічний"},0),Settings!$G$78,Settings!$G$80,Settings!$G$82,Settings!$G$84,Settings!$G$86)</f>
        <v/>
      </c>
      <c r="AS37" s="157">
        <f>CHOOSE(MATCH(IF($U37="","Основний",$U37),{"Трафіковий","Основний","Маржинальний","Сезонний","Стратегічний"},0),Settings!$H$78,Settings!$H$80,Settings!$H$82,Settings!$H$84,Settings!$H$86)</f>
        <v/>
      </c>
      <c r="AT37" s="157">
        <f>CHOOSE(MATCH(IF($U37="","Основний",$U37),{"Трафіковий","Основний","Маржинальний","Сезонний","Стратегічний"},0),Settings!$I$78,Settings!$I$80,Settings!$I$82,Settings!$I$84,Settings!$I$86)</f>
        <v/>
      </c>
      <c r="AU37" s="171" t="n"/>
      <c r="AV37" t="n">
        <v>1.35</v>
      </c>
    </row>
    <row r="38">
      <c r="A38" s="28" t="n"/>
      <c r="B38" s="29" t="inlineStr">
        <is>
          <t>P4705</t>
        </is>
      </c>
      <c r="C38" s="29" t="inlineStr">
        <is>
          <t>FLASHL.COB LED 3W 3×AAA 12PCS</t>
        </is>
      </c>
      <c r="D38" s="29" t="inlineStr">
        <is>
          <t>Ліхтарі</t>
        </is>
      </c>
      <c r="E38" s="28" t="inlineStr">
        <is>
          <t>PC</t>
        </is>
      </c>
      <c r="F38" s="93" t="n">
        <v>2.517</v>
      </c>
      <c r="G38" s="30" t="n">
        <v>8513100000</v>
      </c>
      <c r="H38" s="31" t="n">
        <v>1.4</v>
      </c>
      <c r="I38" s="84">
        <f>IFERROR(F38*Settings!$B$2*H38*IF(AND(ISNUMBER(E38),E38&gt;1),E38,1),"")</f>
        <v/>
      </c>
      <c r="J38" s="32">
        <f>Settings!$B$66</f>
        <v/>
      </c>
      <c r="K38" s="95">
        <f>IFERROR(IF(T38="","",(T38*(1-AN38)*(1-Settings!$B$17)-I38)/(T38*(1-AN38)*(1-Settings!$B$17))),"")</f>
        <v/>
      </c>
      <c r="L38" s="101">
        <f>IFERROR(IF(T38="","",(T38*(1-AO38)*(1-Settings!$C$17)-I38)/(T38*(1-AO38)*(1-Settings!$C$17))),"")</f>
        <v/>
      </c>
      <c r="M38" s="101">
        <f>IFERROR(IF(T38="","",(T38*(1-AP38)*(1-Settings!$D$17)-I38)/(T38*(1-AP38)*(1-Settings!$D$17))),"")</f>
        <v/>
      </c>
      <c r="N38" s="101">
        <f>IFERROR(IF(T38="","",(T38*(1-AQ38)*(1-Settings!$F$17)-I38)/(T38*(1-AQ38)*(1-Settings!$F$17))),"")</f>
        <v/>
      </c>
      <c r="O38" s="101">
        <f>IFERROR(IF(T38="","",(T38*(1-AR38)*(1-Settings!$G$17)-I38)/(T38*(1-AR38)*(1-Settings!$G$17))),"")</f>
        <v/>
      </c>
      <c r="P38" s="101">
        <f>IFERROR(IF(T38="","",(T38*(1-AS38)*(1-Settings!$H$17)-I38)/(T38*(1-AS38)*(1-Settings!$H$17))),"")</f>
        <v/>
      </c>
      <c r="Q38" s="101">
        <f>IFERROR(IF(T38="","",(T38*(1-AT38)*(1-Settings!$I$68)*(1-Settings!$I$17)-I38)/(T38*(1-AT38)*(1-Settings!$I$68)*(1-Settings!$I$17))),"")</f>
        <v/>
      </c>
      <c r="R38" s="91">
        <f>IFERROR(IF(OR(I38="",Z38&gt;=1,Settings!$B$17&gt;=1,AN38&gt;=1),"",IF(MOD(ROUND(I38/(1-Z38)/(1-Settings!$B$17)/(1-AN38),0),10)=0,ROUND(I38/(1-Z38)/(1-Settings!$B$17)/(1-AN38),0)-1,IF(MOD(ROUND(I38/(1-Z38)/(1-Settings!$B$17)/(1-AN38),0),10)&lt;=5,FLOOR(ROUND(I38/(1-Z38)/(1-Settings!$B$17)/(1-AN38),0),10)+6,FLOOR(ROUND(I38/(1-Z38)/(1-Settings!$B$17)/(1-AN38),0),10)+9))),"")</f>
        <v/>
      </c>
      <c r="S38" s="92" t="n"/>
      <c r="T38" s="91">
        <f>IF(S38&lt;&gt;"", IF(MOD(S38,10)=0,S38-1,IF(MOD(S38,10)&lt;=5,FLOOR(S38,10)+6,FLOOR(S38,10)+9)), R38)</f>
        <v/>
      </c>
      <c r="U38" s="87" t="inlineStr">
        <is>
          <t>Основний</t>
        </is>
      </c>
      <c r="V38" s="88" t="n"/>
      <c r="W38" s="88" t="n"/>
      <c r="X38" s="89">
        <f>IFERROR(IF(OR(V38="",W38="",T38=""),"", IF(T38&gt;W38,"Дорогий",IF(T38&lt;V38,"Дешевий","У ринку"))),"")</f>
        <v/>
      </c>
      <c r="Y38" s="90" t="n"/>
      <c r="Z38" s="104">
        <f>CHOOSE(MATCH(IF($U38="","Основний",$U38),{"Трафіковий","Основний","Маржинальний","Сезонний","Стратегічний"},0),0.16,0.19,0.24,0.23,0.28)</f>
        <v/>
      </c>
      <c r="AA38" s="104">
        <f>CHOOSE(MATCH(IF($U38="","Основний",$U38),{"Трафіковий","Основний","Маржинальний","Сезонний","Стратегічний"},0),0.18,0.21,0.26,0.25,0.3)</f>
        <v/>
      </c>
      <c r="AB38" s="104">
        <f>CHOOSE(MATCH(IF($U38="","Основний",$U38),{"Трафіковий","Основний","Маржинальний","Сезонний","Стратегічний"},0),0.19,0.22,0.28,0.26,0.32)</f>
        <v/>
      </c>
      <c r="AC38" s="104">
        <f>CHOOSE(MATCH(IF($U38="","Основний",$U38),{"Трафіковий","Основний","Маржинальний","Сезонний","Стратегічний"},0),0.17,0.2,0.25,0.24,0.28)</f>
        <v/>
      </c>
      <c r="AD38" s="104">
        <f>CHOOSE(MATCH(IF($U38="","Основний",$U38),{"Трафіковий","Основний","Маржинальний","Сезонний","Стратегічний"},0),0.18,0.21,0.26,0.25,0.3)</f>
        <v/>
      </c>
      <c r="AE38" s="104">
        <f>CHOOSE(MATCH(IF($U38="","Основний",$U38),{"Трафіковий","Основний","Маржинальний","Сезонний","Стратегічний"},0),0.18,0.2,0.28,0.27,0.32)</f>
        <v/>
      </c>
      <c r="AF38" s="104">
        <f>CHOOSE(MATCH(IF($U38="","Основний",$U38),{"Трафіковий","Основний","Маржинальний","Сезонний","Стратегічний"},0),0.15,0.175,0.22,0.21,0.25)</f>
        <v/>
      </c>
      <c r="AG38" s="104">
        <f>CHOOSE(MATCH(IF($U38="","Основний",$U38),{"Трафіковий","Основний","Маржинальний","Сезонний","Стратегічний"},0),0.13,0.16,0.21,0.2,0.25)</f>
        <v/>
      </c>
      <c r="AH38" s="104">
        <f>CHOOSE(MATCH(IF($U38="","Основний",$U38),{"Трафіковий","Основний","Маржинальний","Сезонний","Стратегічний"},0),0.15,0.18,0.23,0.22,0.27)</f>
        <v/>
      </c>
      <c r="AI38" s="104">
        <f>CHOOSE(MATCH(IF($U38="","Основний",$U38),{"Трафіковий","Основний","Маржинальний","Сезонний","Стратегічний"},0),0.16,0.19,0.25,0.23,0.29)</f>
        <v/>
      </c>
      <c r="AJ38" s="104">
        <f>CHOOSE(MATCH(IF($U38="","Основний",$U38),{"Трафіковий","Основний","Маржинальний","Сезонний","Стратегічний"},0),0.14,0.17,0.22,0.21,0.25)</f>
        <v/>
      </c>
      <c r="AK38" s="104">
        <f>CHOOSE(MATCH(IF($U38="","Основний",$U38),{"Трафіковий","Основний","Маржинальний","Сезонний","Стратегічний"},0),0.15,0.18,0.23,0.22,0.27)</f>
        <v/>
      </c>
      <c r="AL38" s="104">
        <f>CHOOSE(MATCH(IF($U38="","Основний",$U38),{"Трафіковий","Основний","Маржинальний","Сезонний","Стратегічний"},0),0.15,0.17,0.25,0.24,0.29)</f>
        <v/>
      </c>
      <c r="AM38" s="104">
        <f>CHOOSE(MATCH(IF($U38="","Основний",$U38),{"Трафіковий","Основний","Маржинальний","Сезонний","Стратегічний"},0),0.12,0.145,0.19,0.18,0.22)</f>
        <v/>
      </c>
      <c r="AN38" s="157">
        <f>CHOOSE(MATCH(IF($U38="","Основний",$U38),{"Трафіковий","Основний","Маржинальний","Сезонний","Стратегічний"},0),Settings!$B$78,Settings!$B$80,Settings!$B$82,Settings!$B$84,Settings!$B$86)</f>
        <v/>
      </c>
      <c r="AO38" s="157">
        <f>CHOOSE(MATCH(IF($U38="","Основний",$U38),{"Трафіковий","Основний","Маржинальний","Сезонний","Стратегічний"},0),Settings!$C$78,Settings!$C$80,Settings!$C$82,Settings!$C$84,Settings!$C$86)</f>
        <v/>
      </c>
      <c r="AP38" s="157">
        <f>CHOOSE(MATCH(IF($U38="","Основний",$U38),{"Трафіковий","Основний","Маржинальний","Сезонний","Стратегічний"},0),Settings!$D$78,Settings!$D$80,Settings!$D$82,Settings!$D$84,Settings!$D$86)</f>
        <v/>
      </c>
      <c r="AQ38" s="157">
        <f>CHOOSE(MATCH(IF($U38="","Основний",$U38),{"Трафіковий","Основний","Маржинальний","Сезонний","Стратегічний"},0),Settings!$F$78,Settings!$F$80,Settings!$F$82,Settings!$F$84,Settings!$F$86)</f>
        <v/>
      </c>
      <c r="AR38" s="157">
        <f>CHOOSE(MATCH(IF($U38="","Основний",$U38),{"Трафіковий","Основний","Маржинальний","Сезонний","Стратегічний"},0),Settings!$G$78,Settings!$G$80,Settings!$G$82,Settings!$G$84,Settings!$G$86)</f>
        <v/>
      </c>
      <c r="AS38" s="157">
        <f>CHOOSE(MATCH(IF($U38="","Основний",$U38),{"Трафіковий","Основний","Маржинальний","Сезонний","Стратегічний"},0),Settings!$H$78,Settings!$H$80,Settings!$H$82,Settings!$H$84,Settings!$H$86)</f>
        <v/>
      </c>
      <c r="AT38" s="157">
        <f>CHOOSE(MATCH(IF($U38="","Основний",$U38),{"Трафіковий","Основний","Маржинальний","Сезонний","Стратегічний"},0),Settings!$I$78,Settings!$I$80,Settings!$I$82,Settings!$I$84,Settings!$I$86)</f>
        <v/>
      </c>
      <c r="AU38" s="171" t="n"/>
      <c r="AV38" t="n">
        <v>1.35</v>
      </c>
    </row>
    <row r="39">
      <c r="A39" s="33" t="n"/>
      <c r="B39" s="34" t="inlineStr">
        <is>
          <t>P3894</t>
        </is>
      </c>
      <c r="C39" s="34" t="inlineStr">
        <is>
          <t>LED TORCH 3W COB 3×AAA</t>
        </is>
      </c>
      <c r="D39" s="34" t="inlineStr">
        <is>
          <t>Ліхтарі</t>
        </is>
      </c>
      <c r="E39" s="33" t="inlineStr">
        <is>
          <t>PC</t>
        </is>
      </c>
      <c r="F39" s="94" t="n">
        <v>1.554</v>
      </c>
      <c r="G39" s="35" t="n">
        <v>8513100000</v>
      </c>
      <c r="H39" s="31" t="n">
        <v>1.4</v>
      </c>
      <c r="I39" s="84">
        <f>IFERROR(F39*Settings!$B$2*H39*IF(AND(ISNUMBER(E39),E39&gt;1),E39,1),"")</f>
        <v/>
      </c>
      <c r="J39" s="32">
        <f>Settings!$B$66</f>
        <v/>
      </c>
      <c r="K39" s="95">
        <f>IFERROR(IF(T39="","",(T39*(1-AN39)*(1-Settings!$B$17)-I39)/(T39*(1-AN39)*(1-Settings!$B$17))),"")</f>
        <v/>
      </c>
      <c r="L39" s="101">
        <f>IFERROR(IF(T39="","",(T39*(1-AO39)*(1-Settings!$C$17)-I39)/(T39*(1-AO39)*(1-Settings!$C$17))),"")</f>
        <v/>
      </c>
      <c r="M39" s="101">
        <f>IFERROR(IF(T39="","",(T39*(1-AP39)*(1-Settings!$D$17)-I39)/(T39*(1-AP39)*(1-Settings!$D$17))),"")</f>
        <v/>
      </c>
      <c r="N39" s="101">
        <f>IFERROR(IF(T39="","",(T39*(1-AQ39)*(1-Settings!$F$17)-I39)/(T39*(1-AQ39)*(1-Settings!$F$17))),"")</f>
        <v/>
      </c>
      <c r="O39" s="101">
        <f>IFERROR(IF(T39="","",(T39*(1-AR39)*(1-Settings!$G$17)-I39)/(T39*(1-AR39)*(1-Settings!$G$17))),"")</f>
        <v/>
      </c>
      <c r="P39" s="101">
        <f>IFERROR(IF(T39="","",(T39*(1-AS39)*(1-Settings!$H$17)-I39)/(T39*(1-AS39)*(1-Settings!$H$17))),"")</f>
        <v/>
      </c>
      <c r="Q39" s="101">
        <f>IFERROR(IF(T39="","",(T39*(1-AT39)*(1-Settings!$I$68)*(1-Settings!$I$17)-I39)/(T39*(1-AT39)*(1-Settings!$I$68)*(1-Settings!$I$17))),"")</f>
        <v/>
      </c>
      <c r="R39" s="91">
        <f>IFERROR(IF(OR(I39="",Z39&gt;=1,Settings!$B$17&gt;=1,AN39&gt;=1),"",IF(MOD(ROUND(I39/(1-Z39)/(1-Settings!$B$17)/(1-AN39),0),10)=0,ROUND(I39/(1-Z39)/(1-Settings!$B$17)/(1-AN39),0)-1,IF(MOD(ROUND(I39/(1-Z39)/(1-Settings!$B$17)/(1-AN39),0),10)&lt;=5,FLOOR(ROUND(I39/(1-Z39)/(1-Settings!$B$17)/(1-AN39),0),10)+6,FLOOR(ROUND(I39/(1-Z39)/(1-Settings!$B$17)/(1-AN39),0),10)+9))),"")</f>
        <v/>
      </c>
      <c r="S39" s="92" t="n"/>
      <c r="T39" s="91">
        <f>IF(S39&lt;&gt;"", IF(MOD(S39,10)=0,S39-1,IF(MOD(S39,10)&lt;=5,FLOOR(S39,10)+6,FLOOR(S39,10)+9)), R39)</f>
        <v/>
      </c>
      <c r="U39" s="87" t="inlineStr">
        <is>
          <t>Основний</t>
        </is>
      </c>
      <c r="V39" s="88" t="n"/>
      <c r="W39" s="88" t="n"/>
      <c r="X39" s="89">
        <f>IFERROR(IF(OR(V39="",W39="",T39=""),"", IF(T39&gt;W39,"Дорогий",IF(T39&lt;V39,"Дешевий","У ринку"))),"")</f>
        <v/>
      </c>
      <c r="Y39" s="90" t="n"/>
      <c r="Z39" s="104">
        <f>CHOOSE(MATCH(IF($U39="","Основний",$U39),{"Трафіковий","Основний","Маржинальний","Сезонний","Стратегічний"},0),0.16,0.19,0.24,0.23,0.28)</f>
        <v/>
      </c>
      <c r="AA39" s="104">
        <f>CHOOSE(MATCH(IF($U39="","Основний",$U39),{"Трафіковий","Основний","Маржинальний","Сезонний","Стратегічний"},0),0.18,0.21,0.26,0.25,0.3)</f>
        <v/>
      </c>
      <c r="AB39" s="104">
        <f>CHOOSE(MATCH(IF($U39="","Основний",$U39),{"Трафіковий","Основний","Маржинальний","Сезонний","Стратегічний"},0),0.19,0.22,0.28,0.26,0.32)</f>
        <v/>
      </c>
      <c r="AC39" s="104">
        <f>CHOOSE(MATCH(IF($U39="","Основний",$U39),{"Трафіковий","Основний","Маржинальний","Сезонний","Стратегічний"},0),0.17,0.2,0.25,0.24,0.28)</f>
        <v/>
      </c>
      <c r="AD39" s="104">
        <f>CHOOSE(MATCH(IF($U39="","Основний",$U39),{"Трафіковий","Основний","Маржинальний","Сезонний","Стратегічний"},0),0.18,0.21,0.26,0.25,0.3)</f>
        <v/>
      </c>
      <c r="AE39" s="104">
        <f>CHOOSE(MATCH(IF($U39="","Основний",$U39),{"Трафіковий","Основний","Маржинальний","Сезонний","Стратегічний"},0),0.18,0.2,0.28,0.27,0.32)</f>
        <v/>
      </c>
      <c r="AF39" s="104">
        <f>CHOOSE(MATCH(IF($U39="","Основний",$U39),{"Трафіковий","Основний","Маржинальний","Сезонний","Стратегічний"},0),0.15,0.175,0.22,0.21,0.25)</f>
        <v/>
      </c>
      <c r="AG39" s="104">
        <f>CHOOSE(MATCH(IF($U39="","Основний",$U39),{"Трафіковий","Основний","Маржинальний","Сезонний","Стратегічний"},0),0.13,0.16,0.21,0.2,0.25)</f>
        <v/>
      </c>
      <c r="AH39" s="104">
        <f>CHOOSE(MATCH(IF($U39="","Основний",$U39),{"Трафіковий","Основний","Маржинальний","Сезонний","Стратегічний"},0),0.15,0.18,0.23,0.22,0.27)</f>
        <v/>
      </c>
      <c r="AI39" s="104">
        <f>CHOOSE(MATCH(IF($U39="","Основний",$U39),{"Трафіковий","Основний","Маржинальний","Сезонний","Стратегічний"},0),0.16,0.19,0.25,0.23,0.29)</f>
        <v/>
      </c>
      <c r="AJ39" s="104">
        <f>CHOOSE(MATCH(IF($U39="","Основний",$U39),{"Трафіковий","Основний","Маржинальний","Сезонний","Стратегічний"},0),0.14,0.17,0.22,0.21,0.25)</f>
        <v/>
      </c>
      <c r="AK39" s="104">
        <f>CHOOSE(MATCH(IF($U39="","Основний",$U39),{"Трафіковий","Основний","Маржинальний","Сезонний","Стратегічний"},0),0.15,0.18,0.23,0.22,0.27)</f>
        <v/>
      </c>
      <c r="AL39" s="104">
        <f>CHOOSE(MATCH(IF($U39="","Основний",$U39),{"Трафіковий","Основний","Маржинальний","Сезонний","Стратегічний"},0),0.15,0.17,0.25,0.24,0.29)</f>
        <v/>
      </c>
      <c r="AM39" s="104">
        <f>CHOOSE(MATCH(IF($U39="","Основний",$U39),{"Трафіковий","Основний","Маржинальний","Сезонний","Стратегічний"},0),0.12,0.145,0.19,0.18,0.22)</f>
        <v/>
      </c>
      <c r="AN39" s="157">
        <f>CHOOSE(MATCH(IF($U39="","Основний",$U39),{"Трафіковий","Основний","Маржинальний","Сезонний","Стратегічний"},0),Settings!$B$78,Settings!$B$80,Settings!$B$82,Settings!$B$84,Settings!$B$86)</f>
        <v/>
      </c>
      <c r="AO39" s="157">
        <f>CHOOSE(MATCH(IF($U39="","Основний",$U39),{"Трафіковий","Основний","Маржинальний","Сезонний","Стратегічний"},0),Settings!$C$78,Settings!$C$80,Settings!$C$82,Settings!$C$84,Settings!$C$86)</f>
        <v/>
      </c>
      <c r="AP39" s="157">
        <f>CHOOSE(MATCH(IF($U39="","Основний",$U39),{"Трафіковий","Основний","Маржинальний","Сезонний","Стратегічний"},0),Settings!$D$78,Settings!$D$80,Settings!$D$82,Settings!$D$84,Settings!$D$86)</f>
        <v/>
      </c>
      <c r="AQ39" s="157">
        <f>CHOOSE(MATCH(IF($U39="","Основний",$U39),{"Трафіковий","Основний","Маржинальний","Сезонний","Стратегічний"},0),Settings!$F$78,Settings!$F$80,Settings!$F$82,Settings!$F$84,Settings!$F$86)</f>
        <v/>
      </c>
      <c r="AR39" s="157">
        <f>CHOOSE(MATCH(IF($U39="","Основний",$U39),{"Трафіковий","Основний","Маржинальний","Сезонний","Стратегічний"},0),Settings!$G$78,Settings!$G$80,Settings!$G$82,Settings!$G$84,Settings!$G$86)</f>
        <v/>
      </c>
      <c r="AS39" s="157">
        <f>CHOOSE(MATCH(IF($U39="","Основний",$U39),{"Трафіковий","Основний","Маржинальний","Сезонний","Стратегічний"},0),Settings!$H$78,Settings!$H$80,Settings!$H$82,Settings!$H$84,Settings!$H$86)</f>
        <v/>
      </c>
      <c r="AT39" s="157">
        <f>CHOOSE(MATCH(IF($U39="","Основний",$U39),{"Трафіковий","Основний","Маржинальний","Сезонний","Стратегічний"},0),Settings!$I$78,Settings!$I$80,Settings!$I$82,Settings!$I$84,Settings!$I$86)</f>
        <v/>
      </c>
      <c r="AU39" s="171" t="n"/>
      <c r="AV39" t="n">
        <v>1.35</v>
      </c>
    </row>
    <row r="40">
      <c r="A40" s="28" t="n"/>
      <c r="B40" s="29" t="inlineStr">
        <is>
          <t>P3848A</t>
        </is>
      </c>
      <c r="C40" s="29" t="inlineStr">
        <is>
          <t>LED TORCH 9 LED 3×AAA 24PCS</t>
        </is>
      </c>
      <c r="D40" s="29" t="inlineStr">
        <is>
          <t>Ліхтарі</t>
        </is>
      </c>
      <c r="E40" s="28" t="inlineStr">
        <is>
          <t>PC</t>
        </is>
      </c>
      <c r="F40" s="93" t="n">
        <v>1.927</v>
      </c>
      <c r="G40" s="30" t="n">
        <v>8513100000</v>
      </c>
      <c r="H40" s="31" t="n">
        <v>1.4</v>
      </c>
      <c r="I40" s="84">
        <f>IFERROR(F40*Settings!$B$2*H40*IF(AND(ISNUMBER(E40),E40&gt;1),E40,1),"")</f>
        <v/>
      </c>
      <c r="J40" s="32">
        <f>Settings!$B$66</f>
        <v/>
      </c>
      <c r="K40" s="95">
        <f>IFERROR(IF(T40="","",(T40*(1-AN40)*(1-Settings!$B$17)-I40)/(T40*(1-AN40)*(1-Settings!$B$17))),"")</f>
        <v/>
      </c>
      <c r="L40" s="101">
        <f>IFERROR(IF(T40="","",(T40*(1-AO40)*(1-Settings!$C$17)-I40)/(T40*(1-AO40)*(1-Settings!$C$17))),"")</f>
        <v/>
      </c>
      <c r="M40" s="101">
        <f>IFERROR(IF(T40="","",(T40*(1-AP40)*(1-Settings!$D$17)-I40)/(T40*(1-AP40)*(1-Settings!$D$17))),"")</f>
        <v/>
      </c>
      <c r="N40" s="101">
        <f>IFERROR(IF(T40="","",(T40*(1-AQ40)*(1-Settings!$F$17)-I40)/(T40*(1-AQ40)*(1-Settings!$F$17))),"")</f>
        <v/>
      </c>
      <c r="O40" s="101">
        <f>IFERROR(IF(T40="","",(T40*(1-AR40)*(1-Settings!$G$17)-I40)/(T40*(1-AR40)*(1-Settings!$G$17))),"")</f>
        <v/>
      </c>
      <c r="P40" s="101">
        <f>IFERROR(IF(T40="","",(T40*(1-AS40)*(1-Settings!$H$17)-I40)/(T40*(1-AS40)*(1-Settings!$H$17))),"")</f>
        <v/>
      </c>
      <c r="Q40" s="101">
        <f>IFERROR(IF(T40="","",(T40*(1-AT40)*(1-Settings!$I$68)*(1-Settings!$I$17)-I40)/(T40*(1-AT40)*(1-Settings!$I$68)*(1-Settings!$I$17))),"")</f>
        <v/>
      </c>
      <c r="R40" s="91">
        <f>IFERROR(IF(OR(I40="",Z40&gt;=1,Settings!$B$17&gt;=1,AN40&gt;=1),"",IF(MOD(ROUND(I40/(1-Z40)/(1-Settings!$B$17)/(1-AN40),0),10)=0,ROUND(I40/(1-Z40)/(1-Settings!$B$17)/(1-AN40),0)-1,IF(MOD(ROUND(I40/(1-Z40)/(1-Settings!$B$17)/(1-AN40),0),10)&lt;=5,FLOOR(ROUND(I40/(1-Z40)/(1-Settings!$B$17)/(1-AN40),0),10)+6,FLOOR(ROUND(I40/(1-Z40)/(1-Settings!$B$17)/(1-AN40),0),10)+9))),"")</f>
        <v/>
      </c>
      <c r="S40" s="92" t="n"/>
      <c r="T40" s="91">
        <f>IF(S40&lt;&gt;"", IF(MOD(S40,10)=0,S40-1,IF(MOD(S40,10)&lt;=5,FLOOR(S40,10)+6,FLOOR(S40,10)+9)), R40)</f>
        <v/>
      </c>
      <c r="U40" s="87" t="inlineStr">
        <is>
          <t>Основний</t>
        </is>
      </c>
      <c r="V40" s="88" t="n"/>
      <c r="W40" s="88" t="n"/>
      <c r="X40" s="89">
        <f>IFERROR(IF(OR(V40="",W40="",T40=""),"", IF(T40&gt;W40,"Дорогий",IF(T40&lt;V40,"Дешевий","У ринку"))),"")</f>
        <v/>
      </c>
      <c r="Y40" s="90" t="n"/>
      <c r="Z40" s="104">
        <f>CHOOSE(MATCH(IF($U40="","Основний",$U40),{"Трафіковий","Основний","Маржинальний","Сезонний","Стратегічний"},0),0.16,0.19,0.24,0.23,0.28)</f>
        <v/>
      </c>
      <c r="AA40" s="104">
        <f>CHOOSE(MATCH(IF($U40="","Основний",$U40),{"Трафіковий","Основний","Маржинальний","Сезонний","Стратегічний"},0),0.18,0.21,0.26,0.25,0.3)</f>
        <v/>
      </c>
      <c r="AB40" s="104">
        <f>CHOOSE(MATCH(IF($U40="","Основний",$U40),{"Трафіковий","Основний","Маржинальний","Сезонний","Стратегічний"},0),0.19,0.22,0.28,0.26,0.32)</f>
        <v/>
      </c>
      <c r="AC40" s="104">
        <f>CHOOSE(MATCH(IF($U40="","Основний",$U40),{"Трафіковий","Основний","Маржинальний","Сезонний","Стратегічний"},0),0.17,0.2,0.25,0.24,0.28)</f>
        <v/>
      </c>
      <c r="AD40" s="104">
        <f>CHOOSE(MATCH(IF($U40="","Основний",$U40),{"Трафіковий","Основний","Маржинальний","Сезонний","Стратегічний"},0),0.18,0.21,0.26,0.25,0.3)</f>
        <v/>
      </c>
      <c r="AE40" s="104">
        <f>CHOOSE(MATCH(IF($U40="","Основний",$U40),{"Трафіковий","Основний","Маржинальний","Сезонний","Стратегічний"},0),0.18,0.2,0.28,0.27,0.32)</f>
        <v/>
      </c>
      <c r="AF40" s="104">
        <f>CHOOSE(MATCH(IF($U40="","Основний",$U40),{"Трафіковий","Основний","Маржинальний","Сезонний","Стратегічний"},0),0.15,0.175,0.22,0.21,0.25)</f>
        <v/>
      </c>
      <c r="AG40" s="104">
        <f>CHOOSE(MATCH(IF($U40="","Основний",$U40),{"Трафіковий","Основний","Маржинальний","Сезонний","Стратегічний"},0),0.13,0.16,0.21,0.2,0.25)</f>
        <v/>
      </c>
      <c r="AH40" s="104">
        <f>CHOOSE(MATCH(IF($U40="","Основний",$U40),{"Трафіковий","Основний","Маржинальний","Сезонний","Стратегічний"},0),0.15,0.18,0.23,0.22,0.27)</f>
        <v/>
      </c>
      <c r="AI40" s="104">
        <f>CHOOSE(MATCH(IF($U40="","Основний",$U40),{"Трафіковий","Основний","Маржинальний","Сезонний","Стратегічний"},0),0.16,0.19,0.25,0.23,0.29)</f>
        <v/>
      </c>
      <c r="AJ40" s="104">
        <f>CHOOSE(MATCH(IF($U40="","Основний",$U40),{"Трафіковий","Основний","Маржинальний","Сезонний","Стратегічний"},0),0.14,0.17,0.22,0.21,0.25)</f>
        <v/>
      </c>
      <c r="AK40" s="104">
        <f>CHOOSE(MATCH(IF($U40="","Основний",$U40),{"Трафіковий","Основний","Маржинальний","Сезонний","Стратегічний"},0),0.15,0.18,0.23,0.22,0.27)</f>
        <v/>
      </c>
      <c r="AL40" s="104">
        <f>CHOOSE(MATCH(IF($U40="","Основний",$U40),{"Трафіковий","Основний","Маржинальний","Сезонний","Стратегічний"},0),0.15,0.17,0.25,0.24,0.29)</f>
        <v/>
      </c>
      <c r="AM40" s="104">
        <f>CHOOSE(MATCH(IF($U40="","Основний",$U40),{"Трафіковий","Основний","Маржинальний","Сезонний","Стратегічний"},0),0.12,0.145,0.19,0.18,0.22)</f>
        <v/>
      </c>
      <c r="AN40" s="157">
        <f>CHOOSE(MATCH(IF($U40="","Основний",$U40),{"Трафіковий","Основний","Маржинальний","Сезонний","Стратегічний"},0),Settings!$B$78,Settings!$B$80,Settings!$B$82,Settings!$B$84,Settings!$B$86)</f>
        <v/>
      </c>
      <c r="AO40" s="157">
        <f>CHOOSE(MATCH(IF($U40="","Основний",$U40),{"Трафіковий","Основний","Маржинальний","Сезонний","Стратегічний"},0),Settings!$C$78,Settings!$C$80,Settings!$C$82,Settings!$C$84,Settings!$C$86)</f>
        <v/>
      </c>
      <c r="AP40" s="157">
        <f>CHOOSE(MATCH(IF($U40="","Основний",$U40),{"Трафіковий","Основний","Маржинальний","Сезонний","Стратегічний"},0),Settings!$D$78,Settings!$D$80,Settings!$D$82,Settings!$D$84,Settings!$D$86)</f>
        <v/>
      </c>
      <c r="AQ40" s="157">
        <f>CHOOSE(MATCH(IF($U40="","Основний",$U40),{"Трафіковий","Основний","Маржинальний","Сезонний","Стратегічний"},0),Settings!$F$78,Settings!$F$80,Settings!$F$82,Settings!$F$84,Settings!$F$86)</f>
        <v/>
      </c>
      <c r="AR40" s="157">
        <f>CHOOSE(MATCH(IF($U40="","Основний",$U40),{"Трафіковий","Основний","Маржинальний","Сезонний","Стратегічний"},0),Settings!$G$78,Settings!$G$80,Settings!$G$82,Settings!$G$84,Settings!$G$86)</f>
        <v/>
      </c>
      <c r="AS40" s="157">
        <f>CHOOSE(MATCH(IF($U40="","Основний",$U40),{"Трафіковий","Основний","Маржинальний","Сезонний","Стратегічний"},0),Settings!$H$78,Settings!$H$80,Settings!$H$82,Settings!$H$84,Settings!$H$86)</f>
        <v/>
      </c>
      <c r="AT40" s="157">
        <f>CHOOSE(MATCH(IF($U40="","Основний",$U40),{"Трафіковий","Основний","Маржинальний","Сезонний","Стратегічний"},0),Settings!$I$78,Settings!$I$80,Settings!$I$82,Settings!$I$84,Settings!$I$86)</f>
        <v/>
      </c>
      <c r="AU40" s="171" t="n"/>
      <c r="AV40" t="n">
        <v>1.35</v>
      </c>
    </row>
    <row r="41">
      <c r="A41" s="33" t="inlineStr">
        <is>
          <t>NEW</t>
        </is>
      </c>
      <c r="B41" s="34" t="inlineStr">
        <is>
          <t>P4719</t>
        </is>
      </c>
      <c r="C41" s="34" t="inlineStr">
        <is>
          <t>LED RECHARGEABLE BULB 60 lm, 10 PCS</t>
        </is>
      </c>
      <c r="D41" s="34" t="inlineStr">
        <is>
          <t>Ліхтарі</t>
        </is>
      </c>
      <c r="E41" s="33" t="inlineStr">
        <is>
          <t>PC</t>
        </is>
      </c>
      <c r="F41" s="94" t="n">
        <v>1.583</v>
      </c>
      <c r="G41" s="35" t="n">
        <v>8513100000</v>
      </c>
      <c r="H41" s="31" t="n">
        <v>1.4</v>
      </c>
      <c r="I41" s="84">
        <f>IFERROR(F41*Settings!$B$2*H41*IF(AND(ISNUMBER(E41),E41&gt;1),E41,1),"")</f>
        <v/>
      </c>
      <c r="J41" s="32">
        <f>Settings!$B$66</f>
        <v/>
      </c>
      <c r="K41" s="95">
        <f>IFERROR(IF(T41="","",(T41*(1-AN41)*(1-Settings!$B$17)-I41)/(T41*(1-AN41)*(1-Settings!$B$17))),"")</f>
        <v/>
      </c>
      <c r="L41" s="101">
        <f>IFERROR(IF(T41="","",(T41*(1-AO41)*(1-Settings!$C$17)-I41)/(T41*(1-AO41)*(1-Settings!$C$17))),"")</f>
        <v/>
      </c>
      <c r="M41" s="101">
        <f>IFERROR(IF(T41="","",(T41*(1-AP41)*(1-Settings!$D$17)-I41)/(T41*(1-AP41)*(1-Settings!$D$17))),"")</f>
        <v/>
      </c>
      <c r="N41" s="101">
        <f>IFERROR(IF(T41="","",(T41*(1-AQ41)*(1-Settings!$F$17)-I41)/(T41*(1-AQ41)*(1-Settings!$F$17))),"")</f>
        <v/>
      </c>
      <c r="O41" s="101">
        <f>IFERROR(IF(T41="","",(T41*(1-AR41)*(1-Settings!$G$17)-I41)/(T41*(1-AR41)*(1-Settings!$G$17))),"")</f>
        <v/>
      </c>
      <c r="P41" s="101">
        <f>IFERROR(IF(T41="","",(T41*(1-AS41)*(1-Settings!$H$17)-I41)/(T41*(1-AS41)*(1-Settings!$H$17))),"")</f>
        <v/>
      </c>
      <c r="Q41" s="101">
        <f>IFERROR(IF(T41="","",(T41*(1-AT41)*(1-Settings!$I$68)*(1-Settings!$I$17)-I41)/(T41*(1-AT41)*(1-Settings!$I$68)*(1-Settings!$I$17))),"")</f>
        <v/>
      </c>
      <c r="R41" s="91">
        <f>IFERROR(IF(OR(I41="",Z41&gt;=1,Settings!$B$17&gt;=1,AN41&gt;=1),"",IF(MOD(ROUND(I41/(1-Z41)/(1-Settings!$B$17)/(1-AN41),0),10)=0,ROUND(I41/(1-Z41)/(1-Settings!$B$17)/(1-AN41),0)-1,IF(MOD(ROUND(I41/(1-Z41)/(1-Settings!$B$17)/(1-AN41),0),10)&lt;=5,FLOOR(ROUND(I41/(1-Z41)/(1-Settings!$B$17)/(1-AN41),0),10)+6,FLOOR(ROUND(I41/(1-Z41)/(1-Settings!$B$17)/(1-AN41),0),10)+9))),"")</f>
        <v/>
      </c>
      <c r="S41" s="92" t="n">
        <v>240</v>
      </c>
      <c r="T41" s="91">
        <f>IF(S41&lt;&gt;"", IF(MOD(S41,10)=0,S41-1,IF(MOD(S41,10)&lt;=5,FLOOR(S41,10)+6,FLOOR(S41,10)+9)), R41)</f>
        <v/>
      </c>
      <c r="U41" s="87" t="inlineStr">
        <is>
          <t>Маржинальний</t>
        </is>
      </c>
      <c r="V41" s="88" t="n"/>
      <c r="W41" s="88" t="n"/>
      <c r="X41" s="89">
        <f>IFERROR(IF(OR(V41="",W41="",T41=""),"", IF(T41&gt;W41,"Дорогий",IF(T41&lt;V41,"Дешевий","У ринку"))),"")</f>
        <v/>
      </c>
      <c r="Y41" s="90" t="n"/>
      <c r="Z41" s="104">
        <f>CHOOSE(MATCH(IF($U41="","Основний",$U41),{"Трафіковий","Основний","Маржинальний","Сезонний","Стратегічний"},0),0.16,0.19,0.24,0.23,0.28)</f>
        <v/>
      </c>
      <c r="AA41" s="104">
        <f>CHOOSE(MATCH(IF($U41="","Основний",$U41),{"Трафіковий","Основний","Маржинальний","Сезонний","Стратегічний"},0),0.18,0.21,0.26,0.25,0.3)</f>
        <v/>
      </c>
      <c r="AB41" s="104">
        <f>CHOOSE(MATCH(IF($U41="","Основний",$U41),{"Трафіковий","Основний","Маржинальний","Сезонний","Стратегічний"},0),0.19,0.22,0.28,0.26,0.32)</f>
        <v/>
      </c>
      <c r="AC41" s="104">
        <f>CHOOSE(MATCH(IF($U41="","Основний",$U41),{"Трафіковий","Основний","Маржинальний","Сезонний","Стратегічний"},0),0.17,0.2,0.25,0.24,0.28)</f>
        <v/>
      </c>
      <c r="AD41" s="104">
        <f>CHOOSE(MATCH(IF($U41="","Основний",$U41),{"Трафіковий","Основний","Маржинальний","Сезонний","Стратегічний"},0),0.18,0.21,0.26,0.25,0.3)</f>
        <v/>
      </c>
      <c r="AE41" s="104">
        <f>CHOOSE(MATCH(IF($U41="","Основний",$U41),{"Трафіковий","Основний","Маржинальний","Сезонний","Стратегічний"},0),0.18,0.2,0.28,0.27,0.32)</f>
        <v/>
      </c>
      <c r="AF41" s="104">
        <f>CHOOSE(MATCH(IF($U41="","Основний",$U41),{"Трафіковий","Основний","Маржинальний","Сезонний","Стратегічний"},0),0.15,0.175,0.22,0.21,0.25)</f>
        <v/>
      </c>
      <c r="AG41" s="104">
        <f>CHOOSE(MATCH(IF($U41="","Основний",$U41),{"Трафіковий","Основний","Маржинальний","Сезонний","Стратегічний"},0),0.13,0.16,0.21,0.2,0.25)</f>
        <v/>
      </c>
      <c r="AH41" s="104">
        <f>CHOOSE(MATCH(IF($U41="","Основний",$U41),{"Трафіковий","Основний","Маржинальний","Сезонний","Стратегічний"},0),0.15,0.18,0.23,0.22,0.27)</f>
        <v/>
      </c>
      <c r="AI41" s="104">
        <f>CHOOSE(MATCH(IF($U41="","Основний",$U41),{"Трафіковий","Основний","Маржинальний","Сезонний","Стратегічний"},0),0.16,0.19,0.25,0.23,0.29)</f>
        <v/>
      </c>
      <c r="AJ41" s="104">
        <f>CHOOSE(MATCH(IF($U41="","Основний",$U41),{"Трафіковий","Основний","Маржинальний","Сезонний","Стратегічний"},0),0.14,0.17,0.22,0.21,0.25)</f>
        <v/>
      </c>
      <c r="AK41" s="104">
        <f>CHOOSE(MATCH(IF($U41="","Основний",$U41),{"Трафіковий","Основний","Маржинальний","Сезонний","Стратегічний"},0),0.15,0.18,0.23,0.22,0.27)</f>
        <v/>
      </c>
      <c r="AL41" s="104">
        <f>CHOOSE(MATCH(IF($U41="","Основний",$U41),{"Трафіковий","Основний","Маржинальний","Сезонний","Стратегічний"},0),0.15,0.17,0.25,0.24,0.29)</f>
        <v/>
      </c>
      <c r="AM41" s="104">
        <f>CHOOSE(MATCH(IF($U41="","Основний",$U41),{"Трафіковий","Основний","Маржинальний","Сезонний","Стратегічний"},0),0.12,0.145,0.19,0.18,0.22)</f>
        <v/>
      </c>
      <c r="AN41" s="157">
        <f>CHOOSE(MATCH(IF($U41="","Основний",$U41),{"Трафіковий","Основний","Маржинальний","Сезонний","Стратегічний"},0),Settings!$B$78,Settings!$B$80,Settings!$B$82,Settings!$B$84,Settings!$B$86)</f>
        <v/>
      </c>
      <c r="AO41" s="157">
        <f>CHOOSE(MATCH(IF($U41="","Основний",$U41),{"Трафіковий","Основний","Маржинальний","Сезонний","Стратегічний"},0),Settings!$C$78,Settings!$C$80,Settings!$C$82,Settings!$C$84,Settings!$C$86)</f>
        <v/>
      </c>
      <c r="AP41" s="157">
        <f>CHOOSE(MATCH(IF($U41="","Основний",$U41),{"Трафіковий","Основний","Маржинальний","Сезонний","Стратегічний"},0),Settings!$D$78,Settings!$D$80,Settings!$D$82,Settings!$D$84,Settings!$D$86)</f>
        <v/>
      </c>
      <c r="AQ41" s="157">
        <f>CHOOSE(MATCH(IF($U41="","Основний",$U41),{"Трафіковий","Основний","Маржинальний","Сезонний","Стратегічний"},0),Settings!$F$78,Settings!$F$80,Settings!$F$82,Settings!$F$84,Settings!$F$86)</f>
        <v/>
      </c>
      <c r="AR41" s="157">
        <f>CHOOSE(MATCH(IF($U41="","Основний",$U41),{"Трафіковий","Основний","Маржинальний","Сезонний","Стратегічний"},0),Settings!$G$78,Settings!$G$80,Settings!$G$82,Settings!$G$84,Settings!$G$86)</f>
        <v/>
      </c>
      <c r="AS41" s="157">
        <f>CHOOSE(MATCH(IF($U41="","Основний",$U41),{"Трафіковий","Основний","Маржинальний","Сезонний","Стратегічний"},0),Settings!$H$78,Settings!$H$80,Settings!$H$82,Settings!$H$84,Settings!$H$86)</f>
        <v/>
      </c>
      <c r="AT41" s="157">
        <f>CHOOSE(MATCH(IF($U41="","Основний",$U41),{"Трафіковий","Основний","Маржинальний","Сезонний","Стратегічний"},0),Settings!$I$78,Settings!$I$80,Settings!$I$82,Settings!$I$84,Settings!$I$86)</f>
        <v/>
      </c>
      <c r="AU41" s="171" t="n"/>
      <c r="AV41" t="n">
        <v>1.35</v>
      </c>
    </row>
    <row r="42">
      <c r="A42" s="28" t="inlineStr">
        <is>
          <t>NEW</t>
        </is>
      </c>
      <c r="B42" s="29" t="inlineStr">
        <is>
          <t>P4715</t>
        </is>
      </c>
      <c r="C42" s="29" t="inlineStr">
        <is>
          <t>COB LED FLASHLIGHT – 3×AAA 12pcs</t>
        </is>
      </c>
      <c r="D42" s="29" t="inlineStr">
        <is>
          <t>Ліхтарі</t>
        </is>
      </c>
      <c r="E42" s="28" t="inlineStr">
        <is>
          <t>PC</t>
        </is>
      </c>
      <c r="F42" s="93" t="n">
        <v>1.337</v>
      </c>
      <c r="G42" s="30" t="n">
        <v>8513100000</v>
      </c>
      <c r="H42" s="31" t="n">
        <v>1.4</v>
      </c>
      <c r="I42" s="84">
        <f>IFERROR(F42*Settings!$B$2*H42*IF(AND(ISNUMBER(E42),E42&gt;1),E42,1),"")</f>
        <v/>
      </c>
      <c r="J42" s="32">
        <f>Settings!$B$66</f>
        <v/>
      </c>
      <c r="K42" s="95">
        <f>IFERROR(IF(T42="","",(T42*(1-AN42)*(1-Settings!$B$17)-I42)/(T42*(1-AN42)*(1-Settings!$B$17))),"")</f>
        <v/>
      </c>
      <c r="L42" s="101">
        <f>IFERROR(IF(T42="","",(T42*(1-AO42)*(1-Settings!$C$17)-I42)/(T42*(1-AO42)*(1-Settings!$C$17))),"")</f>
        <v/>
      </c>
      <c r="M42" s="101">
        <f>IFERROR(IF(T42="","",(T42*(1-AP42)*(1-Settings!$D$17)-I42)/(T42*(1-AP42)*(1-Settings!$D$17))),"")</f>
        <v/>
      </c>
      <c r="N42" s="101">
        <f>IFERROR(IF(T42="","",(T42*(1-AQ42)*(1-Settings!$F$17)-I42)/(T42*(1-AQ42)*(1-Settings!$F$17))),"")</f>
        <v/>
      </c>
      <c r="O42" s="101">
        <f>IFERROR(IF(T42="","",(T42*(1-AR42)*(1-Settings!$G$17)-I42)/(T42*(1-AR42)*(1-Settings!$G$17))),"")</f>
        <v/>
      </c>
      <c r="P42" s="101">
        <f>IFERROR(IF(T42="","",(T42*(1-AS42)*(1-Settings!$H$17)-I42)/(T42*(1-AS42)*(1-Settings!$H$17))),"")</f>
        <v/>
      </c>
      <c r="Q42" s="101">
        <f>IFERROR(IF(T42="","",(T42*(1-AT42)*(1-Settings!$I$68)*(1-Settings!$I$17)-I42)/(T42*(1-AT42)*(1-Settings!$I$68)*(1-Settings!$I$17))),"")</f>
        <v/>
      </c>
      <c r="R42" s="91">
        <f>IFERROR(IF(OR(I42="",Z42&gt;=1,Settings!$B$17&gt;=1,AN42&gt;=1),"",IF(MOD(ROUND(I42/(1-Z42)/(1-Settings!$B$17)/(1-AN42),0),10)=0,ROUND(I42/(1-Z42)/(1-Settings!$B$17)/(1-AN42),0)-1,IF(MOD(ROUND(I42/(1-Z42)/(1-Settings!$B$17)/(1-AN42),0),10)&lt;=5,FLOOR(ROUND(I42/(1-Z42)/(1-Settings!$B$17)/(1-AN42),0),10)+6,FLOOR(ROUND(I42/(1-Z42)/(1-Settings!$B$17)/(1-AN42),0),10)+9))),"")</f>
        <v/>
      </c>
      <c r="S42" s="92" t="n">
        <v>190</v>
      </c>
      <c r="T42" s="91">
        <f>IF(S42&lt;&gt;"", IF(MOD(S42,10)=0,S42-1,IF(MOD(S42,10)&lt;=5,FLOOR(S42,10)+6,FLOOR(S42,10)+9)), R42)</f>
        <v/>
      </c>
      <c r="U42" s="87" t="inlineStr">
        <is>
          <t>Основний</t>
        </is>
      </c>
      <c r="V42" s="88" t="n"/>
      <c r="W42" s="88" t="n"/>
      <c r="X42" s="89">
        <f>IFERROR(IF(OR(V42="",W42="",T42=""),"", IF(T42&gt;W42,"Дорогий",IF(T42&lt;V42,"Дешевий","У ринку"))),"")</f>
        <v/>
      </c>
      <c r="Y42" s="90" t="n"/>
      <c r="Z42" s="104">
        <f>CHOOSE(MATCH(IF($U42="","Основний",$U42),{"Трафіковий","Основний","Маржинальний","Сезонний","Стратегічний"},0),0.16,0.19,0.24,0.23,0.28)</f>
        <v/>
      </c>
      <c r="AA42" s="104">
        <f>CHOOSE(MATCH(IF($U42="","Основний",$U42),{"Трафіковий","Основний","Маржинальний","Сезонний","Стратегічний"},0),0.18,0.21,0.26,0.25,0.3)</f>
        <v/>
      </c>
      <c r="AB42" s="104">
        <f>CHOOSE(MATCH(IF($U42="","Основний",$U42),{"Трафіковий","Основний","Маржинальний","Сезонний","Стратегічний"},0),0.19,0.22,0.28,0.26,0.32)</f>
        <v/>
      </c>
      <c r="AC42" s="104">
        <f>CHOOSE(MATCH(IF($U42="","Основний",$U42),{"Трафіковий","Основний","Маржинальний","Сезонний","Стратегічний"},0),0.17,0.2,0.25,0.24,0.28)</f>
        <v/>
      </c>
      <c r="AD42" s="104">
        <f>CHOOSE(MATCH(IF($U42="","Основний",$U42),{"Трафіковий","Основний","Маржинальний","Сезонний","Стратегічний"},0),0.18,0.21,0.26,0.25,0.3)</f>
        <v/>
      </c>
      <c r="AE42" s="104">
        <f>CHOOSE(MATCH(IF($U42="","Основний",$U42),{"Трафіковий","Основний","Маржинальний","Сезонний","Стратегічний"},0),0.18,0.2,0.28,0.27,0.32)</f>
        <v/>
      </c>
      <c r="AF42" s="104">
        <f>CHOOSE(MATCH(IF($U42="","Основний",$U42),{"Трафіковий","Основний","Маржинальний","Сезонний","Стратегічний"},0),0.15,0.175,0.22,0.21,0.25)</f>
        <v/>
      </c>
      <c r="AG42" s="104">
        <f>CHOOSE(MATCH(IF($U42="","Основний",$U42),{"Трафіковий","Основний","Маржинальний","Сезонний","Стратегічний"},0),0.13,0.16,0.21,0.2,0.25)</f>
        <v/>
      </c>
      <c r="AH42" s="104">
        <f>CHOOSE(MATCH(IF($U42="","Основний",$U42),{"Трафіковий","Основний","Маржинальний","Сезонний","Стратегічний"},0),0.15,0.18,0.23,0.22,0.27)</f>
        <v/>
      </c>
      <c r="AI42" s="104">
        <f>CHOOSE(MATCH(IF($U42="","Основний",$U42),{"Трафіковий","Основний","Маржинальний","Сезонний","Стратегічний"},0),0.16,0.19,0.25,0.23,0.29)</f>
        <v/>
      </c>
      <c r="AJ42" s="104">
        <f>CHOOSE(MATCH(IF($U42="","Основний",$U42),{"Трафіковий","Основний","Маржинальний","Сезонний","Стратегічний"},0),0.14,0.17,0.22,0.21,0.25)</f>
        <v/>
      </c>
      <c r="AK42" s="104">
        <f>CHOOSE(MATCH(IF($U42="","Основний",$U42),{"Трафіковий","Основний","Маржинальний","Сезонний","Стратегічний"},0),0.15,0.18,0.23,0.22,0.27)</f>
        <v/>
      </c>
      <c r="AL42" s="104">
        <f>CHOOSE(MATCH(IF($U42="","Основний",$U42),{"Трафіковий","Основний","Маржинальний","Сезонний","Стратегічний"},0),0.15,0.17,0.25,0.24,0.29)</f>
        <v/>
      </c>
      <c r="AM42" s="104">
        <f>CHOOSE(MATCH(IF($U42="","Основний",$U42),{"Трафіковий","Основний","Маржинальний","Сезонний","Стратегічний"},0),0.12,0.145,0.19,0.18,0.22)</f>
        <v/>
      </c>
      <c r="AN42" s="157">
        <f>CHOOSE(MATCH(IF($U42="","Основний",$U42),{"Трафіковий","Основний","Маржинальний","Сезонний","Стратегічний"},0),Settings!$B$78,Settings!$B$80,Settings!$B$82,Settings!$B$84,Settings!$B$86)</f>
        <v/>
      </c>
      <c r="AO42" s="157">
        <f>CHOOSE(MATCH(IF($U42="","Основний",$U42),{"Трафіковий","Основний","Маржинальний","Сезонний","Стратегічний"},0),Settings!$C$78,Settings!$C$80,Settings!$C$82,Settings!$C$84,Settings!$C$86)</f>
        <v/>
      </c>
      <c r="AP42" s="157">
        <f>CHOOSE(MATCH(IF($U42="","Основний",$U42),{"Трафіковий","Основний","Маржинальний","Сезонний","Стратегічний"},0),Settings!$D$78,Settings!$D$80,Settings!$D$82,Settings!$D$84,Settings!$D$86)</f>
        <v/>
      </c>
      <c r="AQ42" s="157">
        <f>CHOOSE(MATCH(IF($U42="","Основний",$U42),{"Трафіковий","Основний","Маржинальний","Сезонний","Стратегічний"},0),Settings!$F$78,Settings!$F$80,Settings!$F$82,Settings!$F$84,Settings!$F$86)</f>
        <v/>
      </c>
      <c r="AR42" s="157">
        <f>CHOOSE(MATCH(IF($U42="","Основний",$U42),{"Трафіковий","Основний","Маржинальний","Сезонний","Стратегічний"},0),Settings!$G$78,Settings!$G$80,Settings!$G$82,Settings!$G$84,Settings!$G$86)</f>
        <v/>
      </c>
      <c r="AS42" s="157">
        <f>CHOOSE(MATCH(IF($U42="","Основний",$U42),{"Трафіковий","Основний","Маржинальний","Сезонний","Стратегічний"},0),Settings!$H$78,Settings!$H$80,Settings!$H$82,Settings!$H$84,Settings!$H$86)</f>
        <v/>
      </c>
      <c r="AT42" s="157">
        <f>CHOOSE(MATCH(IF($U42="","Основний",$U42),{"Трафіковий","Основний","Маржинальний","Сезонний","Стратегічний"},0),Settings!$I$78,Settings!$I$80,Settings!$I$82,Settings!$I$84,Settings!$I$86)</f>
        <v/>
      </c>
      <c r="AU42" s="171" t="n"/>
      <c r="AV42" t="n">
        <v>1.35</v>
      </c>
    </row>
    <row r="43">
      <c r="A43" s="33" t="n"/>
      <c r="B43" s="34" t="inlineStr">
        <is>
          <t>P3210</t>
        </is>
      </c>
      <c r="C43" s="34" t="inlineStr">
        <is>
          <t>LED PLASTIC FLASHLIGHT</t>
        </is>
      </c>
      <c r="D43" s="34" t="inlineStr">
        <is>
          <t>Ліхтарі</t>
        </is>
      </c>
      <c r="E43" s="33" t="inlineStr">
        <is>
          <t>PC</t>
        </is>
      </c>
      <c r="F43" s="94" t="n">
        <v>2.331</v>
      </c>
      <c r="G43" s="35" t="n">
        <v>8513100000</v>
      </c>
      <c r="H43" s="31" t="n">
        <v>1.4</v>
      </c>
      <c r="I43" s="84">
        <f>IFERROR(F43*Settings!$B$2*H43*IF(AND(ISNUMBER(E43),E43&gt;1),E43,1),"")</f>
        <v/>
      </c>
      <c r="J43" s="32">
        <f>Settings!$B$66</f>
        <v/>
      </c>
      <c r="K43" s="95">
        <f>IFERROR(IF(T43="","",(T43*(1-AN43)*(1-Settings!$B$17)-I43)/(T43*(1-AN43)*(1-Settings!$B$17))),"")</f>
        <v/>
      </c>
      <c r="L43" s="101">
        <f>IFERROR(IF(T43="","",(T43*(1-AO43)*(1-Settings!$C$17)-I43)/(T43*(1-AO43)*(1-Settings!$C$17))),"")</f>
        <v/>
      </c>
      <c r="M43" s="101">
        <f>IFERROR(IF(T43="","",(T43*(1-AP43)*(1-Settings!$D$17)-I43)/(T43*(1-AP43)*(1-Settings!$D$17))),"")</f>
        <v/>
      </c>
      <c r="N43" s="101">
        <f>IFERROR(IF(T43="","",(T43*(1-AQ43)*(1-Settings!$F$17)-I43)/(T43*(1-AQ43)*(1-Settings!$F$17))),"")</f>
        <v/>
      </c>
      <c r="O43" s="101">
        <f>IFERROR(IF(T43="","",(T43*(1-AR43)*(1-Settings!$G$17)-I43)/(T43*(1-AR43)*(1-Settings!$G$17))),"")</f>
        <v/>
      </c>
      <c r="P43" s="101">
        <f>IFERROR(IF(T43="","",(T43*(1-AS43)*(1-Settings!$H$17)-I43)/(T43*(1-AS43)*(1-Settings!$H$17))),"")</f>
        <v/>
      </c>
      <c r="Q43" s="101">
        <f>IFERROR(IF(T43="","",(T43*(1-AT43)*(1-Settings!$I$68)*(1-Settings!$I$17)-I43)/(T43*(1-AT43)*(1-Settings!$I$68)*(1-Settings!$I$17))),"")</f>
        <v/>
      </c>
      <c r="R43" s="91">
        <f>IFERROR(IF(OR(I43="",Z43&gt;=1,Settings!$B$17&gt;=1,AN43&gt;=1),"",IF(MOD(ROUND(I43/(1-Z43)/(1-Settings!$B$17)/(1-AN43),0),10)=0,ROUND(I43/(1-Z43)/(1-Settings!$B$17)/(1-AN43),0)-1,IF(MOD(ROUND(I43/(1-Z43)/(1-Settings!$B$17)/(1-AN43),0),10)&lt;=5,FLOOR(ROUND(I43/(1-Z43)/(1-Settings!$B$17)/(1-AN43),0),10)+6,FLOOR(ROUND(I43/(1-Z43)/(1-Settings!$B$17)/(1-AN43),0),10)+9))),"")</f>
        <v/>
      </c>
      <c r="S43" s="92" t="n">
        <v>320</v>
      </c>
      <c r="T43" s="91">
        <f>IF(S43&lt;&gt;"", IF(MOD(S43,10)=0,S43-1,IF(MOD(S43,10)&lt;=5,FLOOR(S43,10)+6,FLOOR(S43,10)+9)), R43)</f>
        <v/>
      </c>
      <c r="U43" s="87" t="inlineStr">
        <is>
          <t>Основний</t>
        </is>
      </c>
      <c r="V43" s="88" t="n"/>
      <c r="W43" s="88" t="n"/>
      <c r="X43" s="89">
        <f>IFERROR(IF(OR(V43="",W43="",T43=""),"", IF(T43&gt;W43,"Дорогий",IF(T43&lt;V43,"Дешевий","У ринку"))),"")</f>
        <v/>
      </c>
      <c r="Y43" s="90" t="n"/>
      <c r="Z43" s="104">
        <f>CHOOSE(MATCH(IF($U43="","Основний",$U43),{"Трафіковий","Основний","Маржинальний","Сезонний","Стратегічний"},0),0.16,0.19,0.24,0.23,0.28)</f>
        <v/>
      </c>
      <c r="AA43" s="104">
        <f>CHOOSE(MATCH(IF($U43="","Основний",$U43),{"Трафіковий","Основний","Маржинальний","Сезонний","Стратегічний"},0),0.18,0.21,0.26,0.25,0.3)</f>
        <v/>
      </c>
      <c r="AB43" s="104">
        <f>CHOOSE(MATCH(IF($U43="","Основний",$U43),{"Трафіковий","Основний","Маржинальний","Сезонний","Стратегічний"},0),0.19,0.22,0.28,0.26,0.32)</f>
        <v/>
      </c>
      <c r="AC43" s="104">
        <f>CHOOSE(MATCH(IF($U43="","Основний",$U43),{"Трафіковий","Основний","Маржинальний","Сезонний","Стратегічний"},0),0.17,0.2,0.25,0.24,0.28)</f>
        <v/>
      </c>
      <c r="AD43" s="104">
        <f>CHOOSE(MATCH(IF($U43="","Основний",$U43),{"Трафіковий","Основний","Маржинальний","Сезонний","Стратегічний"},0),0.18,0.21,0.26,0.25,0.3)</f>
        <v/>
      </c>
      <c r="AE43" s="104">
        <f>CHOOSE(MATCH(IF($U43="","Основний",$U43),{"Трафіковий","Основний","Маржинальний","Сезонний","Стратегічний"},0),0.18,0.2,0.28,0.27,0.32)</f>
        <v/>
      </c>
      <c r="AF43" s="104">
        <f>CHOOSE(MATCH(IF($U43="","Основний",$U43),{"Трафіковий","Основний","Маржинальний","Сезонний","Стратегічний"},0),0.15,0.175,0.22,0.21,0.25)</f>
        <v/>
      </c>
      <c r="AG43" s="104">
        <f>CHOOSE(MATCH(IF($U43="","Основний",$U43),{"Трафіковий","Основний","Маржинальний","Сезонний","Стратегічний"},0),0.13,0.16,0.21,0.2,0.25)</f>
        <v/>
      </c>
      <c r="AH43" s="104">
        <f>CHOOSE(MATCH(IF($U43="","Основний",$U43),{"Трафіковий","Основний","Маржинальний","Сезонний","Стратегічний"},0),0.15,0.18,0.23,0.22,0.27)</f>
        <v/>
      </c>
      <c r="AI43" s="104">
        <f>CHOOSE(MATCH(IF($U43="","Основний",$U43),{"Трафіковий","Основний","Маржинальний","Сезонний","Стратегічний"},0),0.16,0.19,0.25,0.23,0.29)</f>
        <v/>
      </c>
      <c r="AJ43" s="104">
        <f>CHOOSE(MATCH(IF($U43="","Основний",$U43),{"Трафіковий","Основний","Маржинальний","Сезонний","Стратегічний"},0),0.14,0.17,0.22,0.21,0.25)</f>
        <v/>
      </c>
      <c r="AK43" s="104">
        <f>CHOOSE(MATCH(IF($U43="","Основний",$U43),{"Трафіковий","Основний","Маржинальний","Сезонний","Стратегічний"},0),0.15,0.18,0.23,0.22,0.27)</f>
        <v/>
      </c>
      <c r="AL43" s="104">
        <f>CHOOSE(MATCH(IF($U43="","Основний",$U43),{"Трафіковий","Основний","Маржинальний","Сезонний","Стратегічний"},0),0.15,0.17,0.25,0.24,0.29)</f>
        <v/>
      </c>
      <c r="AM43" s="104">
        <f>CHOOSE(MATCH(IF($U43="","Основний",$U43),{"Трафіковий","Основний","Маржинальний","Сезонний","Стратегічний"},0),0.12,0.145,0.19,0.18,0.22)</f>
        <v/>
      </c>
      <c r="AN43" s="157">
        <f>CHOOSE(MATCH(IF($U43="","Основний",$U43),{"Трафіковий","Основний","Маржинальний","Сезонний","Стратегічний"},0),Settings!$B$78,Settings!$B$80,Settings!$B$82,Settings!$B$84,Settings!$B$86)</f>
        <v/>
      </c>
      <c r="AO43" s="157">
        <f>CHOOSE(MATCH(IF($U43="","Основний",$U43),{"Трафіковий","Основний","Маржинальний","Сезонний","Стратегічний"},0),Settings!$C$78,Settings!$C$80,Settings!$C$82,Settings!$C$84,Settings!$C$86)</f>
        <v/>
      </c>
      <c r="AP43" s="157">
        <f>CHOOSE(MATCH(IF($U43="","Основний",$U43),{"Трафіковий","Основний","Маржинальний","Сезонний","Стратегічний"},0),Settings!$D$78,Settings!$D$80,Settings!$D$82,Settings!$D$84,Settings!$D$86)</f>
        <v/>
      </c>
      <c r="AQ43" s="157">
        <f>CHOOSE(MATCH(IF($U43="","Основний",$U43),{"Трафіковий","Основний","Маржинальний","Сезонний","Стратегічний"},0),Settings!$F$78,Settings!$F$80,Settings!$F$82,Settings!$F$84,Settings!$F$86)</f>
        <v/>
      </c>
      <c r="AR43" s="157">
        <f>CHOOSE(MATCH(IF($U43="","Основний",$U43),{"Трафіковий","Основний","Маржинальний","Сезонний","Стратегічний"},0),Settings!$G$78,Settings!$G$80,Settings!$G$82,Settings!$G$84,Settings!$G$86)</f>
        <v/>
      </c>
      <c r="AS43" s="157">
        <f>CHOOSE(MATCH(IF($U43="","Основний",$U43),{"Трафіковий","Основний","Маржинальний","Сезонний","Стратегічний"},0),Settings!$H$78,Settings!$H$80,Settings!$H$82,Settings!$H$84,Settings!$H$86)</f>
        <v/>
      </c>
      <c r="AT43" s="157">
        <f>CHOOSE(MATCH(IF($U43="","Основний",$U43),{"Трафіковий","Основний","Маржинальний","Сезонний","Стратегічний"},0),Settings!$I$78,Settings!$I$80,Settings!$I$82,Settings!$I$84,Settings!$I$86)</f>
        <v/>
      </c>
      <c r="AU43" s="171" t="n"/>
      <c r="AV43" t="n">
        <v>1.35</v>
      </c>
    </row>
    <row r="44">
      <c r="A44" s="28" t="n"/>
      <c r="B44" s="29" t="inlineStr">
        <is>
          <t>P3861</t>
        </is>
      </c>
      <c r="C44" s="29" t="inlineStr">
        <is>
          <t>LED TORCH RUBBER 3 LED 2×AA</t>
        </is>
      </c>
      <c r="D44" s="29" t="inlineStr">
        <is>
          <t>Ліхтарі</t>
        </is>
      </c>
      <c r="E44" s="28" t="inlineStr">
        <is>
          <t>PC</t>
        </is>
      </c>
      <c r="F44" s="93" t="n">
        <v>1.631</v>
      </c>
      <c r="G44" s="30" t="n">
        <v>8513100000</v>
      </c>
      <c r="H44" s="31" t="n">
        <v>1.4</v>
      </c>
      <c r="I44" s="84">
        <f>IFERROR(F44*Settings!$B$2*H44*IF(AND(ISNUMBER(E44),E44&gt;1),E44,1),"")</f>
        <v/>
      </c>
      <c r="J44" s="32">
        <f>Settings!$B$66</f>
        <v/>
      </c>
      <c r="K44" s="95">
        <f>IFERROR(IF(T44="","",(T44*(1-AN44)*(1-Settings!$B$17)-I44)/(T44*(1-AN44)*(1-Settings!$B$17))),"")</f>
        <v/>
      </c>
      <c r="L44" s="101">
        <f>IFERROR(IF(T44="","",(T44*(1-AO44)*(1-Settings!$C$17)-I44)/(T44*(1-AO44)*(1-Settings!$C$17))),"")</f>
        <v/>
      </c>
      <c r="M44" s="101">
        <f>IFERROR(IF(T44="","",(T44*(1-AP44)*(1-Settings!$D$17)-I44)/(T44*(1-AP44)*(1-Settings!$D$17))),"")</f>
        <v/>
      </c>
      <c r="N44" s="101">
        <f>IFERROR(IF(T44="","",(T44*(1-AQ44)*(1-Settings!$F$17)-I44)/(T44*(1-AQ44)*(1-Settings!$F$17))),"")</f>
        <v/>
      </c>
      <c r="O44" s="101">
        <f>IFERROR(IF(T44="","",(T44*(1-AR44)*(1-Settings!$G$17)-I44)/(T44*(1-AR44)*(1-Settings!$G$17))),"")</f>
        <v/>
      </c>
      <c r="P44" s="101">
        <f>IFERROR(IF(T44="","",(T44*(1-AS44)*(1-Settings!$H$17)-I44)/(T44*(1-AS44)*(1-Settings!$H$17))),"")</f>
        <v/>
      </c>
      <c r="Q44" s="101">
        <f>IFERROR(IF(T44="","",(T44*(1-AT44)*(1-Settings!$I$68)*(1-Settings!$I$17)-I44)/(T44*(1-AT44)*(1-Settings!$I$68)*(1-Settings!$I$17))),"")</f>
        <v/>
      </c>
      <c r="R44" s="91">
        <f>IFERROR(IF(OR(I44="",Z44&gt;=1,Settings!$B$17&gt;=1,AN44&gt;=1),"",IF(MOD(ROUND(I44/(1-Z44)/(1-Settings!$B$17)/(1-AN44),0),10)=0,ROUND(I44/(1-Z44)/(1-Settings!$B$17)/(1-AN44),0)-1,IF(MOD(ROUND(I44/(1-Z44)/(1-Settings!$B$17)/(1-AN44),0),10)&lt;=5,FLOOR(ROUND(I44/(1-Z44)/(1-Settings!$B$17)/(1-AN44),0),10)+6,FLOOR(ROUND(I44/(1-Z44)/(1-Settings!$B$17)/(1-AN44),0),10)+9))),"")</f>
        <v/>
      </c>
      <c r="S44" s="92" t="n">
        <v>225</v>
      </c>
      <c r="T44" s="91">
        <f>IF(S44&lt;&gt;"", IF(MOD(S44,10)=0,S44-1,IF(MOD(S44,10)&lt;=5,FLOOR(S44,10)+6,FLOOR(S44,10)+9)), R44)</f>
        <v/>
      </c>
      <c r="U44" s="87" t="inlineStr">
        <is>
          <t>Основний</t>
        </is>
      </c>
      <c r="V44" s="88" t="n"/>
      <c r="W44" s="88" t="n"/>
      <c r="X44" s="89">
        <f>IFERROR(IF(OR(V44="",W44="",T44=""),"", IF(T44&gt;W44,"Дорогий",IF(T44&lt;V44,"Дешевий","У ринку"))),"")</f>
        <v/>
      </c>
      <c r="Y44" s="90" t="n"/>
      <c r="Z44" s="104">
        <f>CHOOSE(MATCH(IF($U44="","Основний",$U44),{"Трафіковий","Основний","Маржинальний","Сезонний","Стратегічний"},0),0.16,0.19,0.24,0.23,0.28)</f>
        <v/>
      </c>
      <c r="AA44" s="104">
        <f>CHOOSE(MATCH(IF($U44="","Основний",$U44),{"Трафіковий","Основний","Маржинальний","Сезонний","Стратегічний"},0),0.18,0.21,0.26,0.25,0.3)</f>
        <v/>
      </c>
      <c r="AB44" s="104">
        <f>CHOOSE(MATCH(IF($U44="","Основний",$U44),{"Трафіковий","Основний","Маржинальний","Сезонний","Стратегічний"},0),0.19,0.22,0.28,0.26,0.32)</f>
        <v/>
      </c>
      <c r="AC44" s="104">
        <f>CHOOSE(MATCH(IF($U44="","Основний",$U44),{"Трафіковий","Основний","Маржинальний","Сезонний","Стратегічний"},0),0.17,0.2,0.25,0.24,0.28)</f>
        <v/>
      </c>
      <c r="AD44" s="104">
        <f>CHOOSE(MATCH(IF($U44="","Основний",$U44),{"Трафіковий","Основний","Маржинальний","Сезонний","Стратегічний"},0),0.18,0.21,0.26,0.25,0.3)</f>
        <v/>
      </c>
      <c r="AE44" s="104">
        <f>CHOOSE(MATCH(IF($U44="","Основний",$U44),{"Трафіковий","Основний","Маржинальний","Сезонний","Стратегічний"},0),0.18,0.2,0.28,0.27,0.32)</f>
        <v/>
      </c>
      <c r="AF44" s="104">
        <f>CHOOSE(MATCH(IF($U44="","Основний",$U44),{"Трафіковий","Основний","Маржинальний","Сезонний","Стратегічний"},0),0.15,0.175,0.22,0.21,0.25)</f>
        <v/>
      </c>
      <c r="AG44" s="104">
        <f>CHOOSE(MATCH(IF($U44="","Основний",$U44),{"Трафіковий","Основний","Маржинальний","Сезонний","Стратегічний"},0),0.13,0.16,0.21,0.2,0.25)</f>
        <v/>
      </c>
      <c r="AH44" s="104">
        <f>CHOOSE(MATCH(IF($U44="","Основний",$U44),{"Трафіковий","Основний","Маржинальний","Сезонний","Стратегічний"},0),0.15,0.18,0.23,0.22,0.27)</f>
        <v/>
      </c>
      <c r="AI44" s="104">
        <f>CHOOSE(MATCH(IF($U44="","Основний",$U44),{"Трафіковий","Основний","Маржинальний","Сезонний","Стратегічний"},0),0.16,0.19,0.25,0.23,0.29)</f>
        <v/>
      </c>
      <c r="AJ44" s="104">
        <f>CHOOSE(MATCH(IF($U44="","Основний",$U44),{"Трафіковий","Основний","Маржинальний","Сезонний","Стратегічний"},0),0.14,0.17,0.22,0.21,0.25)</f>
        <v/>
      </c>
      <c r="AK44" s="104">
        <f>CHOOSE(MATCH(IF($U44="","Основний",$U44),{"Трафіковий","Основний","Маржинальний","Сезонний","Стратегічний"},0),0.15,0.18,0.23,0.22,0.27)</f>
        <v/>
      </c>
      <c r="AL44" s="104">
        <f>CHOOSE(MATCH(IF($U44="","Основний",$U44),{"Трафіковий","Основний","Маржинальний","Сезонний","Стратегічний"},0),0.15,0.17,0.25,0.24,0.29)</f>
        <v/>
      </c>
      <c r="AM44" s="104">
        <f>CHOOSE(MATCH(IF($U44="","Основний",$U44),{"Трафіковий","Основний","Маржинальний","Сезонний","Стратегічний"},0),0.12,0.145,0.19,0.18,0.22)</f>
        <v/>
      </c>
      <c r="AN44" s="157">
        <f>CHOOSE(MATCH(IF($U44="","Основний",$U44),{"Трафіковий","Основний","Маржинальний","Сезонний","Стратегічний"},0),Settings!$B$78,Settings!$B$80,Settings!$B$82,Settings!$B$84,Settings!$B$86)</f>
        <v/>
      </c>
      <c r="AO44" s="157">
        <f>CHOOSE(MATCH(IF($U44="","Основний",$U44),{"Трафіковий","Основний","Маржинальний","Сезонний","Стратегічний"},0),Settings!$C$78,Settings!$C$80,Settings!$C$82,Settings!$C$84,Settings!$C$86)</f>
        <v/>
      </c>
      <c r="AP44" s="157">
        <f>CHOOSE(MATCH(IF($U44="","Основний",$U44),{"Трафіковий","Основний","Маржинальний","Сезонний","Стратегічний"},0),Settings!$D$78,Settings!$D$80,Settings!$D$82,Settings!$D$84,Settings!$D$86)</f>
        <v/>
      </c>
      <c r="AQ44" s="157">
        <f>CHOOSE(MATCH(IF($U44="","Основний",$U44),{"Трафіковий","Основний","Маржинальний","Сезонний","Стратегічний"},0),Settings!$F$78,Settings!$F$80,Settings!$F$82,Settings!$F$84,Settings!$F$86)</f>
        <v/>
      </c>
      <c r="AR44" s="157">
        <f>CHOOSE(MATCH(IF($U44="","Основний",$U44),{"Трафіковий","Основний","Маржинальний","Сезонний","Стратегічний"},0),Settings!$G$78,Settings!$G$80,Settings!$G$82,Settings!$G$84,Settings!$G$86)</f>
        <v/>
      </c>
      <c r="AS44" s="157">
        <f>CHOOSE(MATCH(IF($U44="","Основний",$U44),{"Трафіковий","Основний","Маржинальний","Сезонний","Стратегічний"},0),Settings!$H$78,Settings!$H$80,Settings!$H$82,Settings!$H$84,Settings!$H$86)</f>
        <v/>
      </c>
      <c r="AT44" s="157">
        <f>CHOOSE(MATCH(IF($U44="","Основний",$U44),{"Трафіковий","Основний","Маржинальний","Сезонний","Стратегічний"},0),Settings!$I$78,Settings!$I$80,Settings!$I$82,Settings!$I$84,Settings!$I$86)</f>
        <v/>
      </c>
      <c r="AU44" s="171" t="n"/>
      <c r="AV44" t="n">
        <v>1.35</v>
      </c>
    </row>
    <row r="45">
      <c r="A45" s="33" t="n"/>
      <c r="B45" s="34" t="inlineStr">
        <is>
          <t>P3862</t>
        </is>
      </c>
      <c r="C45" s="34" t="inlineStr">
        <is>
          <t>LED TORCH RUBBER 3 LED 2×D</t>
        </is>
      </c>
      <c r="D45" s="34" t="inlineStr">
        <is>
          <t>Ліхтарі</t>
        </is>
      </c>
      <c r="E45" s="33" t="inlineStr">
        <is>
          <t>PC</t>
        </is>
      </c>
      <c r="F45" s="94" t="n">
        <v>2.331</v>
      </c>
      <c r="G45" s="35" t="n">
        <v>8513100000</v>
      </c>
      <c r="H45" s="31" t="n">
        <v>1.4</v>
      </c>
      <c r="I45" s="84">
        <f>IFERROR(F45*Settings!$B$2*H45*IF(AND(ISNUMBER(E45),E45&gt;1),E45,1),"")</f>
        <v/>
      </c>
      <c r="J45" s="32">
        <f>Settings!$B$66</f>
        <v/>
      </c>
      <c r="K45" s="95">
        <f>IFERROR(IF(T45="","",(T45*(1-AN45)*(1-Settings!$B$17)-I45)/(T45*(1-AN45)*(1-Settings!$B$17))),"")</f>
        <v/>
      </c>
      <c r="L45" s="101">
        <f>IFERROR(IF(T45="","",(T45*(1-AO45)*(1-Settings!$C$17)-I45)/(T45*(1-AO45)*(1-Settings!$C$17))),"")</f>
        <v/>
      </c>
      <c r="M45" s="101">
        <f>IFERROR(IF(T45="","",(T45*(1-AP45)*(1-Settings!$D$17)-I45)/(T45*(1-AP45)*(1-Settings!$D$17))),"")</f>
        <v/>
      </c>
      <c r="N45" s="101">
        <f>IFERROR(IF(T45="","",(T45*(1-AQ45)*(1-Settings!$F$17)-I45)/(T45*(1-AQ45)*(1-Settings!$F$17))),"")</f>
        <v/>
      </c>
      <c r="O45" s="101">
        <f>IFERROR(IF(T45="","",(T45*(1-AR45)*(1-Settings!$G$17)-I45)/(T45*(1-AR45)*(1-Settings!$G$17))),"")</f>
        <v/>
      </c>
      <c r="P45" s="101">
        <f>IFERROR(IF(T45="","",(T45*(1-AS45)*(1-Settings!$H$17)-I45)/(T45*(1-AS45)*(1-Settings!$H$17))),"")</f>
        <v/>
      </c>
      <c r="Q45" s="101">
        <f>IFERROR(IF(T45="","",(T45*(1-AT45)*(1-Settings!$I$68)*(1-Settings!$I$17)-I45)/(T45*(1-AT45)*(1-Settings!$I$68)*(1-Settings!$I$17))),"")</f>
        <v/>
      </c>
      <c r="R45" s="91">
        <f>IFERROR(IF(OR(I45="",Z45&gt;=1,Settings!$B$17&gt;=1,AN45&gt;=1),"",IF(MOD(ROUND(I45/(1-Z45)/(1-Settings!$B$17)/(1-AN45),0),10)=0,ROUND(I45/(1-Z45)/(1-Settings!$B$17)/(1-AN45),0)-1,IF(MOD(ROUND(I45/(1-Z45)/(1-Settings!$B$17)/(1-AN45),0),10)&lt;=5,FLOOR(ROUND(I45/(1-Z45)/(1-Settings!$B$17)/(1-AN45),0),10)+6,FLOOR(ROUND(I45/(1-Z45)/(1-Settings!$B$17)/(1-AN45),0),10)+9))),"")</f>
        <v/>
      </c>
      <c r="S45" s="92" t="n">
        <v>200</v>
      </c>
      <c r="T45" s="91">
        <f>IF(S45&lt;&gt;"", IF(MOD(S45,10)=0,S45-1,IF(MOD(S45,10)&lt;=5,FLOOR(S45,10)+6,FLOOR(S45,10)+9)), R45)</f>
        <v/>
      </c>
      <c r="U45" s="87" t="inlineStr">
        <is>
          <t>Основний</t>
        </is>
      </c>
      <c r="V45" s="88" t="n"/>
      <c r="W45" s="88" t="n"/>
      <c r="X45" s="89">
        <f>IFERROR(IF(OR(V45="",W45="",T45=""),"", IF(T45&gt;W45,"Дорогий",IF(T45&lt;V45,"Дешевий","У ринку"))),"")</f>
        <v/>
      </c>
      <c r="Y45" s="90" t="n"/>
      <c r="Z45" s="104">
        <f>CHOOSE(MATCH(IF($U45="","Основний",$U45),{"Трафіковий","Основний","Маржинальний","Сезонний","Стратегічний"},0),0.16,0.19,0.24,0.23,0.28)</f>
        <v/>
      </c>
      <c r="AA45" s="104">
        <f>CHOOSE(MATCH(IF($U45="","Основний",$U45),{"Трафіковий","Основний","Маржинальний","Сезонний","Стратегічний"},0),0.18,0.21,0.26,0.25,0.3)</f>
        <v/>
      </c>
      <c r="AB45" s="104">
        <f>CHOOSE(MATCH(IF($U45="","Основний",$U45),{"Трафіковий","Основний","Маржинальний","Сезонний","Стратегічний"},0),0.19,0.22,0.28,0.26,0.32)</f>
        <v/>
      </c>
      <c r="AC45" s="104">
        <f>CHOOSE(MATCH(IF($U45="","Основний",$U45),{"Трафіковий","Основний","Маржинальний","Сезонний","Стратегічний"},0),0.17,0.2,0.25,0.24,0.28)</f>
        <v/>
      </c>
      <c r="AD45" s="104">
        <f>CHOOSE(MATCH(IF($U45="","Основний",$U45),{"Трафіковий","Основний","Маржинальний","Сезонний","Стратегічний"},0),0.18,0.21,0.26,0.25,0.3)</f>
        <v/>
      </c>
      <c r="AE45" s="104">
        <f>CHOOSE(MATCH(IF($U45="","Основний",$U45),{"Трафіковий","Основний","Маржинальний","Сезонний","Стратегічний"},0),0.18,0.2,0.28,0.27,0.32)</f>
        <v/>
      </c>
      <c r="AF45" s="104">
        <f>CHOOSE(MATCH(IF($U45="","Основний",$U45),{"Трафіковий","Основний","Маржинальний","Сезонний","Стратегічний"},0),0.15,0.175,0.22,0.21,0.25)</f>
        <v/>
      </c>
      <c r="AG45" s="104">
        <f>CHOOSE(MATCH(IF($U45="","Основний",$U45),{"Трафіковий","Основний","Маржинальний","Сезонний","Стратегічний"},0),0.13,0.16,0.21,0.2,0.25)</f>
        <v/>
      </c>
      <c r="AH45" s="104">
        <f>CHOOSE(MATCH(IF($U45="","Основний",$U45),{"Трафіковий","Основний","Маржинальний","Сезонний","Стратегічний"},0),0.15,0.18,0.23,0.22,0.27)</f>
        <v/>
      </c>
      <c r="AI45" s="104">
        <f>CHOOSE(MATCH(IF($U45="","Основний",$U45),{"Трафіковий","Основний","Маржинальний","Сезонний","Стратегічний"},0),0.16,0.19,0.25,0.23,0.29)</f>
        <v/>
      </c>
      <c r="AJ45" s="104">
        <f>CHOOSE(MATCH(IF($U45="","Основний",$U45),{"Трафіковий","Основний","Маржинальний","Сезонний","Стратегічний"},0),0.14,0.17,0.22,0.21,0.25)</f>
        <v/>
      </c>
      <c r="AK45" s="104">
        <f>CHOOSE(MATCH(IF($U45="","Основний",$U45),{"Трафіковий","Основний","Маржинальний","Сезонний","Стратегічний"},0),0.15,0.18,0.23,0.22,0.27)</f>
        <v/>
      </c>
      <c r="AL45" s="104">
        <f>CHOOSE(MATCH(IF($U45="","Основний",$U45),{"Трафіковий","Основний","Маржинальний","Сезонний","Стратегічний"},0),0.15,0.17,0.25,0.24,0.29)</f>
        <v/>
      </c>
      <c r="AM45" s="104">
        <f>CHOOSE(MATCH(IF($U45="","Основний",$U45),{"Трафіковий","Основний","Маржинальний","Сезонний","Стратегічний"},0),0.12,0.145,0.19,0.18,0.22)</f>
        <v/>
      </c>
      <c r="AN45" s="157">
        <f>CHOOSE(MATCH(IF($U45="","Основний",$U45),{"Трафіковий","Основний","Маржинальний","Сезонний","Стратегічний"},0),Settings!$B$78,Settings!$B$80,Settings!$B$82,Settings!$B$84,Settings!$B$86)</f>
        <v/>
      </c>
      <c r="AO45" s="157">
        <f>CHOOSE(MATCH(IF($U45="","Основний",$U45),{"Трафіковий","Основний","Маржинальний","Сезонний","Стратегічний"},0),Settings!$C$78,Settings!$C$80,Settings!$C$82,Settings!$C$84,Settings!$C$86)</f>
        <v/>
      </c>
      <c r="AP45" s="157">
        <f>CHOOSE(MATCH(IF($U45="","Основний",$U45),{"Трафіковий","Основний","Маржинальний","Сезонний","Стратегічний"},0),Settings!$D$78,Settings!$D$80,Settings!$D$82,Settings!$D$84,Settings!$D$86)</f>
        <v/>
      </c>
      <c r="AQ45" s="157">
        <f>CHOOSE(MATCH(IF($U45="","Основний",$U45),{"Трафіковий","Основний","Маржинальний","Сезонний","Стратегічний"},0),Settings!$F$78,Settings!$F$80,Settings!$F$82,Settings!$F$84,Settings!$F$86)</f>
        <v/>
      </c>
      <c r="AR45" s="157">
        <f>CHOOSE(MATCH(IF($U45="","Основний",$U45),{"Трафіковий","Основний","Маржинальний","Сезонний","Стратегічний"},0),Settings!$G$78,Settings!$G$80,Settings!$G$82,Settings!$G$84,Settings!$G$86)</f>
        <v/>
      </c>
      <c r="AS45" s="157">
        <f>CHOOSE(MATCH(IF($U45="","Основний",$U45),{"Трафіковий","Основний","Маржинальний","Сезонний","Стратегічний"},0),Settings!$H$78,Settings!$H$80,Settings!$H$82,Settings!$H$84,Settings!$H$86)</f>
        <v/>
      </c>
      <c r="AT45" s="157">
        <f>CHOOSE(MATCH(IF($U45="","Основний",$U45),{"Трафіковий","Основний","Маржинальний","Сезонний","Стратегічний"},0),Settings!$I$78,Settings!$I$80,Settings!$I$82,Settings!$I$84,Settings!$I$86)</f>
        <v/>
      </c>
      <c r="AU45" s="171" t="n"/>
      <c r="AV45" t="n">
        <v>1.35</v>
      </c>
    </row>
    <row r="46">
      <c r="A46" s="28" t="n"/>
      <c r="B46" s="29" t="inlineStr">
        <is>
          <t>P4702</t>
        </is>
      </c>
      <c r="C46" s="29" t="inlineStr">
        <is>
          <t>LED FLASHLIGHT 3W FOCUS</t>
        </is>
      </c>
      <c r="D46" s="29" t="inlineStr">
        <is>
          <t>Ліхтарі</t>
        </is>
      </c>
      <c r="E46" s="28" t="inlineStr">
        <is>
          <t>PC</t>
        </is>
      </c>
      <c r="F46" s="93" t="n">
        <v>2.501</v>
      </c>
      <c r="G46" s="30" t="n">
        <v>8513100000</v>
      </c>
      <c r="H46" s="31" t="n">
        <v>1.4</v>
      </c>
      <c r="I46" s="84">
        <f>IFERROR(F46*Settings!$B$2*H46*IF(AND(ISNUMBER(E46),E46&gt;1),E46,1),"")</f>
        <v/>
      </c>
      <c r="J46" s="32">
        <f>Settings!$B$66</f>
        <v/>
      </c>
      <c r="K46" s="95">
        <f>IFERROR(IF(T46="","",(T46*(1-AN46)*(1-Settings!$B$17)-I46)/(T46*(1-AN46)*(1-Settings!$B$17))),"")</f>
        <v/>
      </c>
      <c r="L46" s="101">
        <f>IFERROR(IF(T46="","",(T46*(1-AO46)*(1-Settings!$C$17)-I46)/(T46*(1-AO46)*(1-Settings!$C$17))),"")</f>
        <v/>
      </c>
      <c r="M46" s="101">
        <f>IFERROR(IF(T46="","",(T46*(1-AP46)*(1-Settings!$D$17)-I46)/(T46*(1-AP46)*(1-Settings!$D$17))),"")</f>
        <v/>
      </c>
      <c r="N46" s="101">
        <f>IFERROR(IF(T46="","",(T46*(1-AQ46)*(1-Settings!$F$17)-I46)/(T46*(1-AQ46)*(1-Settings!$F$17))),"")</f>
        <v/>
      </c>
      <c r="O46" s="101">
        <f>IFERROR(IF(T46="","",(T46*(1-AR46)*(1-Settings!$G$17)-I46)/(T46*(1-AR46)*(1-Settings!$G$17))),"")</f>
        <v/>
      </c>
      <c r="P46" s="101">
        <f>IFERROR(IF(T46="","",(T46*(1-AS46)*(1-Settings!$H$17)-I46)/(T46*(1-AS46)*(1-Settings!$H$17))),"")</f>
        <v/>
      </c>
      <c r="Q46" s="101">
        <f>IFERROR(IF(T46="","",(T46*(1-AT46)*(1-Settings!$I$68)*(1-Settings!$I$17)-I46)/(T46*(1-AT46)*(1-Settings!$I$68)*(1-Settings!$I$17))),"")</f>
        <v/>
      </c>
      <c r="R46" s="91">
        <f>IFERROR(IF(OR(I46="",Z46&gt;=1,Settings!$B$17&gt;=1,AN46&gt;=1),"",IF(MOD(ROUND(I46/(1-Z46)/(1-Settings!$B$17)/(1-AN46),0),10)=0,ROUND(I46/(1-Z46)/(1-Settings!$B$17)/(1-AN46),0)-1,IF(MOD(ROUND(I46/(1-Z46)/(1-Settings!$B$17)/(1-AN46),0),10)&lt;=5,FLOOR(ROUND(I46/(1-Z46)/(1-Settings!$B$17)/(1-AN46),0),10)+6,FLOOR(ROUND(I46/(1-Z46)/(1-Settings!$B$17)/(1-AN46),0),10)+9))),"")</f>
        <v/>
      </c>
      <c r="S46" s="92" t="n"/>
      <c r="T46" s="91">
        <f>IF(S46&lt;&gt;"", IF(MOD(S46,10)=0,S46-1,IF(MOD(S46,10)&lt;=5,FLOOR(S46,10)+6,FLOOR(S46,10)+9)), R46)</f>
        <v/>
      </c>
      <c r="U46" s="87" t="inlineStr">
        <is>
          <t>Основний</t>
        </is>
      </c>
      <c r="V46" s="88" t="n"/>
      <c r="W46" s="88" t="n"/>
      <c r="X46" s="89">
        <f>IFERROR(IF(OR(V46="",W46="",T46=""),"", IF(T46&gt;W46,"Дорогий",IF(T46&lt;V46,"Дешевий","У ринку"))),"")</f>
        <v/>
      </c>
      <c r="Y46" s="90" t="n"/>
      <c r="Z46" s="104">
        <f>CHOOSE(MATCH(IF($U46="","Основний",$U46),{"Трафіковий","Основний","Маржинальний","Сезонний","Стратегічний"},0),0.16,0.19,0.24,0.23,0.28)</f>
        <v/>
      </c>
      <c r="AA46" s="104">
        <f>CHOOSE(MATCH(IF($U46="","Основний",$U46),{"Трафіковий","Основний","Маржинальний","Сезонний","Стратегічний"},0),0.18,0.21,0.26,0.25,0.3)</f>
        <v/>
      </c>
      <c r="AB46" s="104">
        <f>CHOOSE(MATCH(IF($U46="","Основний",$U46),{"Трафіковий","Основний","Маржинальний","Сезонний","Стратегічний"},0),0.19,0.22,0.28,0.26,0.32)</f>
        <v/>
      </c>
      <c r="AC46" s="104">
        <f>CHOOSE(MATCH(IF($U46="","Основний",$U46),{"Трафіковий","Основний","Маржинальний","Сезонний","Стратегічний"},0),0.17,0.2,0.25,0.24,0.28)</f>
        <v/>
      </c>
      <c r="AD46" s="104">
        <f>CHOOSE(MATCH(IF($U46="","Основний",$U46),{"Трафіковий","Основний","Маржинальний","Сезонний","Стратегічний"},0),0.18,0.21,0.26,0.25,0.3)</f>
        <v/>
      </c>
      <c r="AE46" s="104">
        <f>CHOOSE(MATCH(IF($U46="","Основний",$U46),{"Трафіковий","Основний","Маржинальний","Сезонний","Стратегічний"},0),0.18,0.2,0.28,0.27,0.32)</f>
        <v/>
      </c>
      <c r="AF46" s="104">
        <f>CHOOSE(MATCH(IF($U46="","Основний",$U46),{"Трафіковий","Основний","Маржинальний","Сезонний","Стратегічний"},0),0.15,0.175,0.22,0.21,0.25)</f>
        <v/>
      </c>
      <c r="AG46" s="104">
        <f>CHOOSE(MATCH(IF($U46="","Основний",$U46),{"Трафіковий","Основний","Маржинальний","Сезонний","Стратегічний"},0),0.13,0.16,0.21,0.2,0.25)</f>
        <v/>
      </c>
      <c r="AH46" s="104">
        <f>CHOOSE(MATCH(IF($U46="","Основний",$U46),{"Трафіковий","Основний","Маржинальний","Сезонний","Стратегічний"},0),0.15,0.18,0.23,0.22,0.27)</f>
        <v/>
      </c>
      <c r="AI46" s="104">
        <f>CHOOSE(MATCH(IF($U46="","Основний",$U46),{"Трафіковий","Основний","Маржинальний","Сезонний","Стратегічний"},0),0.16,0.19,0.25,0.23,0.29)</f>
        <v/>
      </c>
      <c r="AJ46" s="104">
        <f>CHOOSE(MATCH(IF($U46="","Основний",$U46),{"Трафіковий","Основний","Маржинальний","Сезонний","Стратегічний"},0),0.14,0.17,0.22,0.21,0.25)</f>
        <v/>
      </c>
      <c r="AK46" s="104">
        <f>CHOOSE(MATCH(IF($U46="","Основний",$U46),{"Трафіковий","Основний","Маржинальний","Сезонний","Стратегічний"},0),0.15,0.18,0.23,0.22,0.27)</f>
        <v/>
      </c>
      <c r="AL46" s="104">
        <f>CHOOSE(MATCH(IF($U46="","Основний",$U46),{"Трафіковий","Основний","Маржинальний","Сезонний","Стратегічний"},0),0.15,0.17,0.25,0.24,0.29)</f>
        <v/>
      </c>
      <c r="AM46" s="104">
        <f>CHOOSE(MATCH(IF($U46="","Основний",$U46),{"Трафіковий","Основний","Маржинальний","Сезонний","Стратегічний"},0),0.12,0.145,0.19,0.18,0.22)</f>
        <v/>
      </c>
      <c r="AN46" s="157">
        <f>CHOOSE(MATCH(IF($U46="","Основний",$U46),{"Трафіковий","Основний","Маржинальний","Сезонний","Стратегічний"},0),Settings!$B$78,Settings!$B$80,Settings!$B$82,Settings!$B$84,Settings!$B$86)</f>
        <v/>
      </c>
      <c r="AO46" s="157">
        <f>CHOOSE(MATCH(IF($U46="","Основний",$U46),{"Трафіковий","Основний","Маржинальний","Сезонний","Стратегічний"},0),Settings!$C$78,Settings!$C$80,Settings!$C$82,Settings!$C$84,Settings!$C$86)</f>
        <v/>
      </c>
      <c r="AP46" s="157">
        <f>CHOOSE(MATCH(IF($U46="","Основний",$U46),{"Трафіковий","Основний","Маржинальний","Сезонний","Стратегічний"},0),Settings!$D$78,Settings!$D$80,Settings!$D$82,Settings!$D$84,Settings!$D$86)</f>
        <v/>
      </c>
      <c r="AQ46" s="157">
        <f>CHOOSE(MATCH(IF($U46="","Основний",$U46),{"Трафіковий","Основний","Маржинальний","Сезонний","Стратегічний"},0),Settings!$F$78,Settings!$F$80,Settings!$F$82,Settings!$F$84,Settings!$F$86)</f>
        <v/>
      </c>
      <c r="AR46" s="157">
        <f>CHOOSE(MATCH(IF($U46="","Основний",$U46),{"Трафіковий","Основний","Маржинальний","Сезонний","Стратегічний"},0),Settings!$G$78,Settings!$G$80,Settings!$G$82,Settings!$G$84,Settings!$G$86)</f>
        <v/>
      </c>
      <c r="AS46" s="157">
        <f>CHOOSE(MATCH(IF($U46="","Основний",$U46),{"Трафіковий","Основний","Маржинальний","Сезонний","Стратегічний"},0),Settings!$H$78,Settings!$H$80,Settings!$H$82,Settings!$H$84,Settings!$H$86)</f>
        <v/>
      </c>
      <c r="AT46" s="157">
        <f>CHOOSE(MATCH(IF($U46="","Основний",$U46),{"Трафіковий","Основний","Маржинальний","Сезонний","Стратегічний"},0),Settings!$I$78,Settings!$I$80,Settings!$I$82,Settings!$I$84,Settings!$I$86)</f>
        <v/>
      </c>
      <c r="AU46" s="171" t="n"/>
      <c r="AV46" t="n">
        <v>1.35</v>
      </c>
    </row>
    <row r="47">
      <c r="A47" s="33" t="n"/>
      <c r="B47" s="34" t="inlineStr">
        <is>
          <t>P4703</t>
        </is>
      </c>
      <c r="C47" s="34" t="inlineStr">
        <is>
          <t>LED FLASHLIGHT 3W FOKUS BOX 12</t>
        </is>
      </c>
      <c r="D47" s="34" t="inlineStr">
        <is>
          <t>Ліхтарі</t>
        </is>
      </c>
      <c r="E47" s="33" t="inlineStr">
        <is>
          <t>PC</t>
        </is>
      </c>
      <c r="F47" s="94" t="n">
        <v>2.704</v>
      </c>
      <c r="G47" s="35" t="n">
        <v>8513100000</v>
      </c>
      <c r="H47" s="31" t="n">
        <v>1.4</v>
      </c>
      <c r="I47" s="84">
        <f>IFERROR(F47*Settings!$B$2*H47*IF(AND(ISNUMBER(E47),E47&gt;1),E47,1),"")</f>
        <v/>
      </c>
      <c r="J47" s="32">
        <f>Settings!$B$66</f>
        <v/>
      </c>
      <c r="K47" s="95">
        <f>IFERROR(IF(T47="","",(T47*(1-AN47)*(1-Settings!$B$17)-I47)/(T47*(1-AN47)*(1-Settings!$B$17))),"")</f>
        <v/>
      </c>
      <c r="L47" s="101">
        <f>IFERROR(IF(T47="","",(T47*(1-AO47)*(1-Settings!$C$17)-I47)/(T47*(1-AO47)*(1-Settings!$C$17))),"")</f>
        <v/>
      </c>
      <c r="M47" s="101">
        <f>IFERROR(IF(T47="","",(T47*(1-AP47)*(1-Settings!$D$17)-I47)/(T47*(1-AP47)*(1-Settings!$D$17))),"")</f>
        <v/>
      </c>
      <c r="N47" s="101">
        <f>IFERROR(IF(T47="","",(T47*(1-AQ47)*(1-Settings!$F$17)-I47)/(T47*(1-AQ47)*(1-Settings!$F$17))),"")</f>
        <v/>
      </c>
      <c r="O47" s="101">
        <f>IFERROR(IF(T47="","",(T47*(1-AR47)*(1-Settings!$G$17)-I47)/(T47*(1-AR47)*(1-Settings!$G$17))),"")</f>
        <v/>
      </c>
      <c r="P47" s="101">
        <f>IFERROR(IF(T47="","",(T47*(1-AS47)*(1-Settings!$H$17)-I47)/(T47*(1-AS47)*(1-Settings!$H$17))),"")</f>
        <v/>
      </c>
      <c r="Q47" s="101">
        <f>IFERROR(IF(T47="","",(T47*(1-AT47)*(1-Settings!$I$68)*(1-Settings!$I$17)-I47)/(T47*(1-AT47)*(1-Settings!$I$68)*(1-Settings!$I$17))),"")</f>
        <v/>
      </c>
      <c r="R47" s="91">
        <f>IFERROR(IF(OR(I47="",Z47&gt;=1,Settings!$B$17&gt;=1,AN47&gt;=1),"",IF(MOD(ROUND(I47/(1-Z47)/(1-Settings!$B$17)/(1-AN47),0),10)=0,ROUND(I47/(1-Z47)/(1-Settings!$B$17)/(1-AN47),0)-1,IF(MOD(ROUND(I47/(1-Z47)/(1-Settings!$B$17)/(1-AN47),0),10)&lt;=5,FLOOR(ROUND(I47/(1-Z47)/(1-Settings!$B$17)/(1-AN47),0),10)+6,FLOOR(ROUND(I47/(1-Z47)/(1-Settings!$B$17)/(1-AN47),0),10)+9))),"")</f>
        <v/>
      </c>
      <c r="S47" s="92" t="n"/>
      <c r="T47" s="91">
        <f>IF(S47&lt;&gt;"", IF(MOD(S47,10)=0,S47-1,IF(MOD(S47,10)&lt;=5,FLOOR(S47,10)+6,FLOOR(S47,10)+9)), R47)</f>
        <v/>
      </c>
      <c r="U47" s="87" t="inlineStr">
        <is>
          <t>Основний</t>
        </is>
      </c>
      <c r="V47" s="88" t="n"/>
      <c r="W47" s="88" t="n"/>
      <c r="X47" s="89">
        <f>IFERROR(IF(OR(V47="",W47="",T47=""),"", IF(T47&gt;W47,"Дорогий",IF(T47&lt;V47,"Дешевий","У ринку"))),"")</f>
        <v/>
      </c>
      <c r="Y47" s="90" t="n"/>
      <c r="Z47" s="104">
        <f>CHOOSE(MATCH(IF($U47="","Основний",$U47),{"Трафіковий","Основний","Маржинальний","Сезонний","Стратегічний"},0),0.16,0.19,0.24,0.23,0.28)</f>
        <v/>
      </c>
      <c r="AA47" s="104">
        <f>CHOOSE(MATCH(IF($U47="","Основний",$U47),{"Трафіковий","Основний","Маржинальний","Сезонний","Стратегічний"},0),0.18,0.21,0.26,0.25,0.3)</f>
        <v/>
      </c>
      <c r="AB47" s="104">
        <f>CHOOSE(MATCH(IF($U47="","Основний",$U47),{"Трафіковий","Основний","Маржинальний","Сезонний","Стратегічний"},0),0.19,0.22,0.28,0.26,0.32)</f>
        <v/>
      </c>
      <c r="AC47" s="104">
        <f>CHOOSE(MATCH(IF($U47="","Основний",$U47),{"Трафіковий","Основний","Маржинальний","Сезонний","Стратегічний"},0),0.17,0.2,0.25,0.24,0.28)</f>
        <v/>
      </c>
      <c r="AD47" s="104">
        <f>CHOOSE(MATCH(IF($U47="","Основний",$U47),{"Трафіковий","Основний","Маржинальний","Сезонний","Стратегічний"},0),0.18,0.21,0.26,0.25,0.3)</f>
        <v/>
      </c>
      <c r="AE47" s="104">
        <f>CHOOSE(MATCH(IF($U47="","Основний",$U47),{"Трафіковий","Основний","Маржинальний","Сезонний","Стратегічний"},0),0.18,0.2,0.28,0.27,0.32)</f>
        <v/>
      </c>
      <c r="AF47" s="104">
        <f>CHOOSE(MATCH(IF($U47="","Основний",$U47),{"Трафіковий","Основний","Маржинальний","Сезонний","Стратегічний"},0),0.15,0.175,0.22,0.21,0.25)</f>
        <v/>
      </c>
      <c r="AG47" s="104">
        <f>CHOOSE(MATCH(IF($U47="","Основний",$U47),{"Трафіковий","Основний","Маржинальний","Сезонний","Стратегічний"},0),0.13,0.16,0.21,0.2,0.25)</f>
        <v/>
      </c>
      <c r="AH47" s="104">
        <f>CHOOSE(MATCH(IF($U47="","Основний",$U47),{"Трафіковий","Основний","Маржинальний","Сезонний","Стратегічний"},0),0.15,0.18,0.23,0.22,0.27)</f>
        <v/>
      </c>
      <c r="AI47" s="104">
        <f>CHOOSE(MATCH(IF($U47="","Основний",$U47),{"Трафіковий","Основний","Маржинальний","Сезонний","Стратегічний"},0),0.16,0.19,0.25,0.23,0.29)</f>
        <v/>
      </c>
      <c r="AJ47" s="104">
        <f>CHOOSE(MATCH(IF($U47="","Основний",$U47),{"Трафіковий","Основний","Маржинальний","Сезонний","Стратегічний"},0),0.14,0.17,0.22,0.21,0.25)</f>
        <v/>
      </c>
      <c r="AK47" s="104">
        <f>CHOOSE(MATCH(IF($U47="","Основний",$U47),{"Трафіковий","Основний","Маржинальний","Сезонний","Стратегічний"},0),0.15,0.18,0.23,0.22,0.27)</f>
        <v/>
      </c>
      <c r="AL47" s="104">
        <f>CHOOSE(MATCH(IF($U47="","Основний",$U47),{"Трафіковий","Основний","Маржинальний","Сезонний","Стратегічний"},0),0.15,0.17,0.25,0.24,0.29)</f>
        <v/>
      </c>
      <c r="AM47" s="104">
        <f>CHOOSE(MATCH(IF($U47="","Основний",$U47),{"Трафіковий","Основний","Маржинальний","Сезонний","Стратегічний"},0),0.12,0.145,0.19,0.18,0.22)</f>
        <v/>
      </c>
      <c r="AN47" s="157">
        <f>CHOOSE(MATCH(IF($U47="","Основний",$U47),{"Трафіковий","Основний","Маржинальний","Сезонний","Стратегічний"},0),Settings!$B$78,Settings!$B$80,Settings!$B$82,Settings!$B$84,Settings!$B$86)</f>
        <v/>
      </c>
      <c r="AO47" s="157">
        <f>CHOOSE(MATCH(IF($U47="","Основний",$U47),{"Трафіковий","Основний","Маржинальний","Сезонний","Стратегічний"},0),Settings!$C$78,Settings!$C$80,Settings!$C$82,Settings!$C$84,Settings!$C$86)</f>
        <v/>
      </c>
      <c r="AP47" s="157">
        <f>CHOOSE(MATCH(IF($U47="","Основний",$U47),{"Трафіковий","Основний","Маржинальний","Сезонний","Стратегічний"},0),Settings!$D$78,Settings!$D$80,Settings!$D$82,Settings!$D$84,Settings!$D$86)</f>
        <v/>
      </c>
      <c r="AQ47" s="157">
        <f>CHOOSE(MATCH(IF($U47="","Основний",$U47),{"Трафіковий","Основний","Маржинальний","Сезонний","Стратегічний"},0),Settings!$F$78,Settings!$F$80,Settings!$F$82,Settings!$F$84,Settings!$F$86)</f>
        <v/>
      </c>
      <c r="AR47" s="157">
        <f>CHOOSE(MATCH(IF($U47="","Основний",$U47),{"Трафіковий","Основний","Маржинальний","Сезонний","Стратегічний"},0),Settings!$G$78,Settings!$G$80,Settings!$G$82,Settings!$G$84,Settings!$G$86)</f>
        <v/>
      </c>
      <c r="AS47" s="157">
        <f>CHOOSE(MATCH(IF($U47="","Основний",$U47),{"Трафіковий","Основний","Маржинальний","Сезонний","Стратегічний"},0),Settings!$H$78,Settings!$H$80,Settings!$H$82,Settings!$H$84,Settings!$H$86)</f>
        <v/>
      </c>
      <c r="AT47" s="157">
        <f>CHOOSE(MATCH(IF($U47="","Основний",$U47),{"Трафіковий","Основний","Маржинальний","Сезонний","Стратегічний"},0),Settings!$I$78,Settings!$I$80,Settings!$I$82,Settings!$I$84,Settings!$I$86)</f>
        <v/>
      </c>
      <c r="AU47" s="171" t="n"/>
      <c r="AV47" t="n">
        <v>1.35</v>
      </c>
    </row>
    <row r="48">
      <c r="A48" s="28" t="n"/>
      <c r="B48" s="29" t="inlineStr">
        <is>
          <t>P3897</t>
        </is>
      </c>
      <c r="C48" s="29" t="inlineStr">
        <is>
          <t>LED FLASHL.COB+1×LED 3×AAA 16×</t>
        </is>
      </c>
      <c r="D48" s="29" t="inlineStr">
        <is>
          <t>Ліхтарі</t>
        </is>
      </c>
      <c r="E48" s="28" t="inlineStr">
        <is>
          <t>PC</t>
        </is>
      </c>
      <c r="F48" s="93" t="n">
        <v>1.712</v>
      </c>
      <c r="G48" s="30" t="n">
        <v>8513100000</v>
      </c>
      <c r="H48" s="31" t="n">
        <v>1.4</v>
      </c>
      <c r="I48" s="84">
        <f>IFERROR(F48*Settings!$B$2*H48*IF(AND(ISNUMBER(E48),E48&gt;1),E48,1),"")</f>
        <v/>
      </c>
      <c r="J48" s="32">
        <f>Settings!$B$66</f>
        <v/>
      </c>
      <c r="K48" s="95">
        <f>IFERROR(IF(T48="","",(T48*(1-AN48)*(1-Settings!$B$17)-I48)/(T48*(1-AN48)*(1-Settings!$B$17))),"")</f>
        <v/>
      </c>
      <c r="L48" s="101">
        <f>IFERROR(IF(T48="","",(T48*(1-AO48)*(1-Settings!$C$17)-I48)/(T48*(1-AO48)*(1-Settings!$C$17))),"")</f>
        <v/>
      </c>
      <c r="M48" s="101">
        <f>IFERROR(IF(T48="","",(T48*(1-AP48)*(1-Settings!$D$17)-I48)/(T48*(1-AP48)*(1-Settings!$D$17))),"")</f>
        <v/>
      </c>
      <c r="N48" s="101">
        <f>IFERROR(IF(T48="","",(T48*(1-AQ48)*(1-Settings!$F$17)-I48)/(T48*(1-AQ48)*(1-Settings!$F$17))),"")</f>
        <v/>
      </c>
      <c r="O48" s="101">
        <f>IFERROR(IF(T48="","",(T48*(1-AR48)*(1-Settings!$G$17)-I48)/(T48*(1-AR48)*(1-Settings!$G$17))),"")</f>
        <v/>
      </c>
      <c r="P48" s="101">
        <f>IFERROR(IF(T48="","",(T48*(1-AS48)*(1-Settings!$H$17)-I48)/(T48*(1-AS48)*(1-Settings!$H$17))),"")</f>
        <v/>
      </c>
      <c r="Q48" s="101">
        <f>IFERROR(IF(T48="","",(T48*(1-AT48)*(1-Settings!$I$68)*(1-Settings!$I$17)-I48)/(T48*(1-AT48)*(1-Settings!$I$68)*(1-Settings!$I$17))),"")</f>
        <v/>
      </c>
      <c r="R48" s="91">
        <f>IFERROR(IF(OR(I48="",Z48&gt;=1,Settings!$B$17&gt;=1,AN48&gt;=1),"",IF(MOD(ROUND(I48/(1-Z48)/(1-Settings!$B$17)/(1-AN48),0),10)=0,ROUND(I48/(1-Z48)/(1-Settings!$B$17)/(1-AN48),0)-1,IF(MOD(ROUND(I48/(1-Z48)/(1-Settings!$B$17)/(1-AN48),0),10)&lt;=5,FLOOR(ROUND(I48/(1-Z48)/(1-Settings!$B$17)/(1-AN48),0),10)+6,FLOOR(ROUND(I48/(1-Z48)/(1-Settings!$B$17)/(1-AN48),0),10)+9))),"")</f>
        <v/>
      </c>
      <c r="S48" s="92" t="n"/>
      <c r="T48" s="91">
        <f>IF(S48&lt;&gt;"", IF(MOD(S48,10)=0,S48-1,IF(MOD(S48,10)&lt;=5,FLOOR(S48,10)+6,FLOOR(S48,10)+9)), R48)</f>
        <v/>
      </c>
      <c r="U48" s="87" t="inlineStr">
        <is>
          <t>Основний</t>
        </is>
      </c>
      <c r="V48" s="88" t="n"/>
      <c r="W48" s="88" t="n"/>
      <c r="X48" s="89">
        <f>IFERROR(IF(OR(V48="",W48="",T48=""),"", IF(T48&gt;W48,"Дорогий",IF(T48&lt;V48,"Дешевий","У ринку"))),"")</f>
        <v/>
      </c>
      <c r="Y48" s="90" t="n"/>
      <c r="Z48" s="104">
        <f>CHOOSE(MATCH(IF($U48="","Основний",$U48),{"Трафіковий","Основний","Маржинальний","Сезонний","Стратегічний"},0),0.16,0.19,0.24,0.23,0.28)</f>
        <v/>
      </c>
      <c r="AA48" s="104">
        <f>CHOOSE(MATCH(IF($U48="","Основний",$U48),{"Трафіковий","Основний","Маржинальний","Сезонний","Стратегічний"},0),0.18,0.21,0.26,0.25,0.3)</f>
        <v/>
      </c>
      <c r="AB48" s="104">
        <f>CHOOSE(MATCH(IF($U48="","Основний",$U48),{"Трафіковий","Основний","Маржинальний","Сезонний","Стратегічний"},0),0.19,0.22,0.28,0.26,0.32)</f>
        <v/>
      </c>
      <c r="AC48" s="104">
        <f>CHOOSE(MATCH(IF($U48="","Основний",$U48),{"Трафіковий","Основний","Маржинальний","Сезонний","Стратегічний"},0),0.17,0.2,0.25,0.24,0.28)</f>
        <v/>
      </c>
      <c r="AD48" s="104">
        <f>CHOOSE(MATCH(IF($U48="","Основний",$U48),{"Трафіковий","Основний","Маржинальний","Сезонний","Стратегічний"},0),0.18,0.21,0.26,0.25,0.3)</f>
        <v/>
      </c>
      <c r="AE48" s="104">
        <f>CHOOSE(MATCH(IF($U48="","Основний",$U48),{"Трафіковий","Основний","Маржинальний","Сезонний","Стратегічний"},0),0.18,0.2,0.28,0.27,0.32)</f>
        <v/>
      </c>
      <c r="AF48" s="104">
        <f>CHOOSE(MATCH(IF($U48="","Основний",$U48),{"Трафіковий","Основний","Маржинальний","Сезонний","Стратегічний"},0),0.15,0.175,0.22,0.21,0.25)</f>
        <v/>
      </c>
      <c r="AG48" s="104">
        <f>CHOOSE(MATCH(IF($U48="","Основний",$U48),{"Трафіковий","Основний","Маржинальний","Сезонний","Стратегічний"},0),0.13,0.16,0.21,0.2,0.25)</f>
        <v/>
      </c>
      <c r="AH48" s="104">
        <f>CHOOSE(MATCH(IF($U48="","Основний",$U48),{"Трафіковий","Основний","Маржинальний","Сезонний","Стратегічний"},0),0.15,0.18,0.23,0.22,0.27)</f>
        <v/>
      </c>
      <c r="AI48" s="104">
        <f>CHOOSE(MATCH(IF($U48="","Основний",$U48),{"Трафіковий","Основний","Маржинальний","Сезонний","Стратегічний"},0),0.16,0.19,0.25,0.23,0.29)</f>
        <v/>
      </c>
      <c r="AJ48" s="104">
        <f>CHOOSE(MATCH(IF($U48="","Основний",$U48),{"Трафіковий","Основний","Маржинальний","Сезонний","Стратегічний"},0),0.14,0.17,0.22,0.21,0.25)</f>
        <v/>
      </c>
      <c r="AK48" s="104">
        <f>CHOOSE(MATCH(IF($U48="","Основний",$U48),{"Трафіковий","Основний","Маржинальний","Сезонний","Стратегічний"},0),0.15,0.18,0.23,0.22,0.27)</f>
        <v/>
      </c>
      <c r="AL48" s="104">
        <f>CHOOSE(MATCH(IF($U48="","Основний",$U48),{"Трафіковий","Основний","Маржинальний","Сезонний","Стратегічний"},0),0.15,0.17,0.25,0.24,0.29)</f>
        <v/>
      </c>
      <c r="AM48" s="104">
        <f>CHOOSE(MATCH(IF($U48="","Основний",$U48),{"Трафіковий","Основний","Маржинальний","Сезонний","Стратегічний"},0),0.12,0.145,0.19,0.18,0.22)</f>
        <v/>
      </c>
      <c r="AN48" s="157">
        <f>CHOOSE(MATCH(IF($U48="","Основний",$U48),{"Трафіковий","Основний","Маржинальний","Сезонний","Стратегічний"},0),Settings!$B$78,Settings!$B$80,Settings!$B$82,Settings!$B$84,Settings!$B$86)</f>
        <v/>
      </c>
      <c r="AO48" s="157">
        <f>CHOOSE(MATCH(IF($U48="","Основний",$U48),{"Трафіковий","Основний","Маржинальний","Сезонний","Стратегічний"},0),Settings!$C$78,Settings!$C$80,Settings!$C$82,Settings!$C$84,Settings!$C$86)</f>
        <v/>
      </c>
      <c r="AP48" s="157">
        <f>CHOOSE(MATCH(IF($U48="","Основний",$U48),{"Трафіковий","Основний","Маржинальний","Сезонний","Стратегічний"},0),Settings!$D$78,Settings!$D$80,Settings!$D$82,Settings!$D$84,Settings!$D$86)</f>
        <v/>
      </c>
      <c r="AQ48" s="157">
        <f>CHOOSE(MATCH(IF($U48="","Основний",$U48),{"Трафіковий","Основний","Маржинальний","Сезонний","Стратегічний"},0),Settings!$F$78,Settings!$F$80,Settings!$F$82,Settings!$F$84,Settings!$F$86)</f>
        <v/>
      </c>
      <c r="AR48" s="157">
        <f>CHOOSE(MATCH(IF($U48="","Основний",$U48),{"Трафіковий","Основний","Маржинальний","Сезонний","Стратегічний"},0),Settings!$G$78,Settings!$G$80,Settings!$G$82,Settings!$G$84,Settings!$G$86)</f>
        <v/>
      </c>
      <c r="AS48" s="157">
        <f>CHOOSE(MATCH(IF($U48="","Основний",$U48),{"Трафіковий","Основний","Маржинальний","Сезонний","Стратегічний"},0),Settings!$H$78,Settings!$H$80,Settings!$H$82,Settings!$H$84,Settings!$H$86)</f>
        <v/>
      </c>
      <c r="AT48" s="157">
        <f>CHOOSE(MATCH(IF($U48="","Основний",$U48),{"Трафіковий","Основний","Маржинальний","Сезонний","Стратегічний"},0),Settings!$I$78,Settings!$I$80,Settings!$I$82,Settings!$I$84,Settings!$I$86)</f>
        <v/>
      </c>
      <c r="AU48" s="171" t="n"/>
      <c r="AV48" t="n">
        <v>1.35</v>
      </c>
    </row>
    <row r="49">
      <c r="A49" s="33" t="n"/>
      <c r="B49" s="34" t="inlineStr">
        <is>
          <t>P4706</t>
        </is>
      </c>
      <c r="C49" s="34" t="inlineStr">
        <is>
          <t>COB LED FLASHLIGHT 3×AAA 12PCS</t>
        </is>
      </c>
      <c r="D49" s="34" t="inlineStr">
        <is>
          <t>Ліхтарі</t>
        </is>
      </c>
      <c r="E49" s="33" t="inlineStr">
        <is>
          <t>PC</t>
        </is>
      </c>
      <c r="F49" s="94" t="n">
        <v>1.119</v>
      </c>
      <c r="G49" s="35" t="n">
        <v>8513100000</v>
      </c>
      <c r="H49" s="31" t="n">
        <v>1.4</v>
      </c>
      <c r="I49" s="84">
        <f>IFERROR(F49*Settings!$B$2*H49*IF(AND(ISNUMBER(E49),E49&gt;1),E49,1),"")</f>
        <v/>
      </c>
      <c r="J49" s="32">
        <f>Settings!$B$66</f>
        <v/>
      </c>
      <c r="K49" s="95">
        <f>IFERROR(IF(T49="","",(T49*(1-AN49)*(1-Settings!$B$17)-I49)/(T49*(1-AN49)*(1-Settings!$B$17))),"")</f>
        <v/>
      </c>
      <c r="L49" s="101">
        <f>IFERROR(IF(T49="","",(T49*(1-AO49)*(1-Settings!$C$17)-I49)/(T49*(1-AO49)*(1-Settings!$C$17))),"")</f>
        <v/>
      </c>
      <c r="M49" s="101">
        <f>IFERROR(IF(T49="","",(T49*(1-AP49)*(1-Settings!$D$17)-I49)/(T49*(1-AP49)*(1-Settings!$D$17))),"")</f>
        <v/>
      </c>
      <c r="N49" s="101">
        <f>IFERROR(IF(T49="","",(T49*(1-AQ49)*(1-Settings!$F$17)-I49)/(T49*(1-AQ49)*(1-Settings!$F$17))),"")</f>
        <v/>
      </c>
      <c r="O49" s="101">
        <f>IFERROR(IF(T49="","",(T49*(1-AR49)*(1-Settings!$G$17)-I49)/(T49*(1-AR49)*(1-Settings!$G$17))),"")</f>
        <v/>
      </c>
      <c r="P49" s="101">
        <f>IFERROR(IF(T49="","",(T49*(1-AS49)*(1-Settings!$H$17)-I49)/(T49*(1-AS49)*(1-Settings!$H$17))),"")</f>
        <v/>
      </c>
      <c r="Q49" s="101">
        <f>IFERROR(IF(T49="","",(T49*(1-AT49)*(1-Settings!$I$68)*(1-Settings!$I$17)-I49)/(T49*(1-AT49)*(1-Settings!$I$68)*(1-Settings!$I$17))),"")</f>
        <v/>
      </c>
      <c r="R49" s="91">
        <f>IFERROR(IF(OR(I49="",Z49&gt;=1,Settings!$B$17&gt;=1,AN49&gt;=1),"",IF(MOD(ROUND(I49/(1-Z49)/(1-Settings!$B$17)/(1-AN49),0),10)=0,ROUND(I49/(1-Z49)/(1-Settings!$B$17)/(1-AN49),0)-1,IF(MOD(ROUND(I49/(1-Z49)/(1-Settings!$B$17)/(1-AN49),0),10)&lt;=5,FLOOR(ROUND(I49/(1-Z49)/(1-Settings!$B$17)/(1-AN49),0),10)+6,FLOOR(ROUND(I49/(1-Z49)/(1-Settings!$B$17)/(1-AN49),0),10)+9))),"")</f>
        <v/>
      </c>
      <c r="S49" s="92" t="n"/>
      <c r="T49" s="91">
        <f>IF(S49&lt;&gt;"", IF(MOD(S49,10)=0,S49-1,IF(MOD(S49,10)&lt;=5,FLOOR(S49,10)+6,FLOOR(S49,10)+9)), R49)</f>
        <v/>
      </c>
      <c r="U49" s="87" t="inlineStr">
        <is>
          <t>Основний</t>
        </is>
      </c>
      <c r="V49" s="88" t="n"/>
      <c r="W49" s="88" t="n"/>
      <c r="X49" s="89">
        <f>IFERROR(IF(OR(V49="",W49="",T49=""),"", IF(T49&gt;W49,"Дорогий",IF(T49&lt;V49,"Дешевий","У ринку"))),"")</f>
        <v/>
      </c>
      <c r="Y49" s="90" t="n"/>
      <c r="Z49" s="104">
        <f>CHOOSE(MATCH(IF($U49="","Основний",$U49),{"Трафіковий","Основний","Маржинальний","Сезонний","Стратегічний"},0),0.16,0.19,0.24,0.23,0.28)</f>
        <v/>
      </c>
      <c r="AA49" s="104">
        <f>CHOOSE(MATCH(IF($U49="","Основний",$U49),{"Трафіковий","Основний","Маржинальний","Сезонний","Стратегічний"},0),0.18,0.21,0.26,0.25,0.3)</f>
        <v/>
      </c>
      <c r="AB49" s="104">
        <f>CHOOSE(MATCH(IF($U49="","Основний",$U49),{"Трафіковий","Основний","Маржинальний","Сезонний","Стратегічний"},0),0.19,0.22,0.28,0.26,0.32)</f>
        <v/>
      </c>
      <c r="AC49" s="104">
        <f>CHOOSE(MATCH(IF($U49="","Основний",$U49),{"Трафіковий","Основний","Маржинальний","Сезонний","Стратегічний"},0),0.17,0.2,0.25,0.24,0.28)</f>
        <v/>
      </c>
      <c r="AD49" s="104">
        <f>CHOOSE(MATCH(IF($U49="","Основний",$U49),{"Трафіковий","Основний","Маржинальний","Сезонний","Стратегічний"},0),0.18,0.21,0.26,0.25,0.3)</f>
        <v/>
      </c>
      <c r="AE49" s="104">
        <f>CHOOSE(MATCH(IF($U49="","Основний",$U49),{"Трафіковий","Основний","Маржинальний","Сезонний","Стратегічний"},0),0.18,0.2,0.28,0.27,0.32)</f>
        <v/>
      </c>
      <c r="AF49" s="104">
        <f>CHOOSE(MATCH(IF($U49="","Основний",$U49),{"Трафіковий","Основний","Маржинальний","Сезонний","Стратегічний"},0),0.15,0.175,0.22,0.21,0.25)</f>
        <v/>
      </c>
      <c r="AG49" s="104">
        <f>CHOOSE(MATCH(IF($U49="","Основний",$U49),{"Трафіковий","Основний","Маржинальний","Сезонний","Стратегічний"},0),0.13,0.16,0.21,0.2,0.25)</f>
        <v/>
      </c>
      <c r="AH49" s="104">
        <f>CHOOSE(MATCH(IF($U49="","Основний",$U49),{"Трафіковий","Основний","Маржинальний","Сезонний","Стратегічний"},0),0.15,0.18,0.23,0.22,0.27)</f>
        <v/>
      </c>
      <c r="AI49" s="104">
        <f>CHOOSE(MATCH(IF($U49="","Основний",$U49),{"Трафіковий","Основний","Маржинальний","Сезонний","Стратегічний"},0),0.16,0.19,0.25,0.23,0.29)</f>
        <v/>
      </c>
      <c r="AJ49" s="104">
        <f>CHOOSE(MATCH(IF($U49="","Основний",$U49),{"Трафіковий","Основний","Маржинальний","Сезонний","Стратегічний"},0),0.14,0.17,0.22,0.21,0.25)</f>
        <v/>
      </c>
      <c r="AK49" s="104">
        <f>CHOOSE(MATCH(IF($U49="","Основний",$U49),{"Трафіковий","Основний","Маржинальний","Сезонний","Стратегічний"},0),0.15,0.18,0.23,0.22,0.27)</f>
        <v/>
      </c>
      <c r="AL49" s="104">
        <f>CHOOSE(MATCH(IF($U49="","Основний",$U49),{"Трафіковий","Основний","Маржинальний","Сезонний","Стратегічний"},0),0.15,0.17,0.25,0.24,0.29)</f>
        <v/>
      </c>
      <c r="AM49" s="104">
        <f>CHOOSE(MATCH(IF($U49="","Основний",$U49),{"Трафіковий","Основний","Маржинальний","Сезонний","Стратегічний"},0),0.12,0.145,0.19,0.18,0.22)</f>
        <v/>
      </c>
      <c r="AN49" s="157">
        <f>CHOOSE(MATCH(IF($U49="","Основний",$U49),{"Трафіковий","Основний","Маржинальний","Сезонний","Стратегічний"},0),Settings!$B$78,Settings!$B$80,Settings!$B$82,Settings!$B$84,Settings!$B$86)</f>
        <v/>
      </c>
      <c r="AO49" s="157">
        <f>CHOOSE(MATCH(IF($U49="","Основний",$U49),{"Трафіковий","Основний","Маржинальний","Сезонний","Стратегічний"},0),Settings!$C$78,Settings!$C$80,Settings!$C$82,Settings!$C$84,Settings!$C$86)</f>
        <v/>
      </c>
      <c r="AP49" s="157">
        <f>CHOOSE(MATCH(IF($U49="","Основний",$U49),{"Трафіковий","Основний","Маржинальний","Сезонний","Стратегічний"},0),Settings!$D$78,Settings!$D$80,Settings!$D$82,Settings!$D$84,Settings!$D$86)</f>
        <v/>
      </c>
      <c r="AQ49" s="157">
        <f>CHOOSE(MATCH(IF($U49="","Основний",$U49),{"Трафіковий","Основний","Маржинальний","Сезонний","Стратегічний"},0),Settings!$F$78,Settings!$F$80,Settings!$F$82,Settings!$F$84,Settings!$F$86)</f>
        <v/>
      </c>
      <c r="AR49" s="157">
        <f>CHOOSE(MATCH(IF($U49="","Основний",$U49),{"Трафіковий","Основний","Маржинальний","Сезонний","Стратегічний"},0),Settings!$G$78,Settings!$G$80,Settings!$G$82,Settings!$G$84,Settings!$G$86)</f>
        <v/>
      </c>
      <c r="AS49" s="157">
        <f>CHOOSE(MATCH(IF($U49="","Основний",$U49),{"Трафіковий","Основний","Маржинальний","Сезонний","Стратегічний"},0),Settings!$H$78,Settings!$H$80,Settings!$H$82,Settings!$H$84,Settings!$H$86)</f>
        <v/>
      </c>
      <c r="AT49" s="157">
        <f>CHOOSE(MATCH(IF($U49="","Основний",$U49),{"Трафіковий","Основний","Маржинальний","Сезонний","Стратегічний"},0),Settings!$I$78,Settings!$I$80,Settings!$I$82,Settings!$I$84,Settings!$I$86)</f>
        <v/>
      </c>
      <c r="AU49" s="171" t="n"/>
      <c r="AV49" t="n">
        <v>1.35</v>
      </c>
    </row>
    <row r="50">
      <c r="A50" s="28" t="n"/>
      <c r="B50" s="29" t="inlineStr">
        <is>
          <t>P3888</t>
        </is>
      </c>
      <c r="C50" s="29" t="inlineStr">
        <is>
          <t>LED TORCH 3W COB 3×AAA</t>
        </is>
      </c>
      <c r="D50" s="29" t="inlineStr">
        <is>
          <t>Ліхтарі</t>
        </is>
      </c>
      <c r="E50" s="28" t="inlineStr">
        <is>
          <t>PC</t>
        </is>
      </c>
      <c r="F50" s="93" t="n">
        <v>2.455</v>
      </c>
      <c r="G50" s="30" t="n">
        <v>8513100000</v>
      </c>
      <c r="H50" s="31" t="n">
        <v>1.4</v>
      </c>
      <c r="I50" s="84">
        <f>IFERROR(F50*Settings!$B$2*H50*IF(AND(ISNUMBER(E50),E50&gt;1),E50,1),"")</f>
        <v/>
      </c>
      <c r="J50" s="32">
        <f>Settings!$B$66</f>
        <v/>
      </c>
      <c r="K50" s="95">
        <f>IFERROR(IF(T50="","",(T50*(1-AN50)*(1-Settings!$B$17)-I50)/(T50*(1-AN50)*(1-Settings!$B$17))),"")</f>
        <v/>
      </c>
      <c r="L50" s="101">
        <f>IFERROR(IF(T50="","",(T50*(1-AO50)*(1-Settings!$C$17)-I50)/(T50*(1-AO50)*(1-Settings!$C$17))),"")</f>
        <v/>
      </c>
      <c r="M50" s="101">
        <f>IFERROR(IF(T50="","",(T50*(1-AP50)*(1-Settings!$D$17)-I50)/(T50*(1-AP50)*(1-Settings!$D$17))),"")</f>
        <v/>
      </c>
      <c r="N50" s="101">
        <f>IFERROR(IF(T50="","",(T50*(1-AQ50)*(1-Settings!$F$17)-I50)/(T50*(1-AQ50)*(1-Settings!$F$17))),"")</f>
        <v/>
      </c>
      <c r="O50" s="101">
        <f>IFERROR(IF(T50="","",(T50*(1-AR50)*(1-Settings!$G$17)-I50)/(T50*(1-AR50)*(1-Settings!$G$17))),"")</f>
        <v/>
      </c>
      <c r="P50" s="101">
        <f>IFERROR(IF(T50="","",(T50*(1-AS50)*(1-Settings!$H$17)-I50)/(T50*(1-AS50)*(1-Settings!$H$17))),"")</f>
        <v/>
      </c>
      <c r="Q50" s="101">
        <f>IFERROR(IF(T50="","",(T50*(1-AT50)*(1-Settings!$I$68)*(1-Settings!$I$17)-I50)/(T50*(1-AT50)*(1-Settings!$I$68)*(1-Settings!$I$17))),"")</f>
        <v/>
      </c>
      <c r="R50" s="91">
        <f>IFERROR(IF(OR(I50="",Z50&gt;=1,Settings!$B$17&gt;=1,AN50&gt;=1),"",IF(MOD(ROUND(I50/(1-Z50)/(1-Settings!$B$17)/(1-AN50),0),10)=0,ROUND(I50/(1-Z50)/(1-Settings!$B$17)/(1-AN50),0)-1,IF(MOD(ROUND(I50/(1-Z50)/(1-Settings!$B$17)/(1-AN50),0),10)&lt;=5,FLOOR(ROUND(I50/(1-Z50)/(1-Settings!$B$17)/(1-AN50),0),10)+6,FLOOR(ROUND(I50/(1-Z50)/(1-Settings!$B$17)/(1-AN50),0),10)+9))),"")</f>
        <v/>
      </c>
      <c r="S50" s="92" t="n"/>
      <c r="T50" s="91">
        <f>IF(S50&lt;&gt;"", IF(MOD(S50,10)=0,S50-1,IF(MOD(S50,10)&lt;=5,FLOOR(S50,10)+6,FLOOR(S50,10)+9)), R50)</f>
        <v/>
      </c>
      <c r="U50" s="87" t="inlineStr">
        <is>
          <t>Основний</t>
        </is>
      </c>
      <c r="V50" s="88" t="n"/>
      <c r="W50" s="88" t="n"/>
      <c r="X50" s="89">
        <f>IFERROR(IF(OR(V50="",W50="",T50=""),"", IF(T50&gt;W50,"Дорогий",IF(T50&lt;V50,"Дешевий","У ринку"))),"")</f>
        <v/>
      </c>
      <c r="Y50" s="90" t="n"/>
      <c r="Z50" s="104">
        <f>CHOOSE(MATCH(IF($U50="","Основний",$U50),{"Трафіковий","Основний","Маржинальний","Сезонний","Стратегічний"},0),0.16,0.19,0.24,0.23,0.28)</f>
        <v/>
      </c>
      <c r="AA50" s="104">
        <f>CHOOSE(MATCH(IF($U50="","Основний",$U50),{"Трафіковий","Основний","Маржинальний","Сезонний","Стратегічний"},0),0.18,0.21,0.26,0.25,0.3)</f>
        <v/>
      </c>
      <c r="AB50" s="104">
        <f>CHOOSE(MATCH(IF($U50="","Основний",$U50),{"Трафіковий","Основний","Маржинальний","Сезонний","Стратегічний"},0),0.19,0.22,0.28,0.26,0.32)</f>
        <v/>
      </c>
      <c r="AC50" s="104">
        <f>CHOOSE(MATCH(IF($U50="","Основний",$U50),{"Трафіковий","Основний","Маржинальний","Сезонний","Стратегічний"},0),0.17,0.2,0.25,0.24,0.28)</f>
        <v/>
      </c>
      <c r="AD50" s="104">
        <f>CHOOSE(MATCH(IF($U50="","Основний",$U50),{"Трафіковий","Основний","Маржинальний","Сезонний","Стратегічний"},0),0.18,0.21,0.26,0.25,0.3)</f>
        <v/>
      </c>
      <c r="AE50" s="104">
        <f>CHOOSE(MATCH(IF($U50="","Основний",$U50),{"Трафіковий","Основний","Маржинальний","Сезонний","Стратегічний"},0),0.18,0.2,0.28,0.27,0.32)</f>
        <v/>
      </c>
      <c r="AF50" s="104">
        <f>CHOOSE(MATCH(IF($U50="","Основний",$U50),{"Трафіковий","Основний","Маржинальний","Сезонний","Стратегічний"},0),0.15,0.175,0.22,0.21,0.25)</f>
        <v/>
      </c>
      <c r="AG50" s="104">
        <f>CHOOSE(MATCH(IF($U50="","Основний",$U50),{"Трафіковий","Основний","Маржинальний","Сезонний","Стратегічний"},0),0.13,0.16,0.21,0.2,0.25)</f>
        <v/>
      </c>
      <c r="AH50" s="104">
        <f>CHOOSE(MATCH(IF($U50="","Основний",$U50),{"Трафіковий","Основний","Маржинальний","Сезонний","Стратегічний"},0),0.15,0.18,0.23,0.22,0.27)</f>
        <v/>
      </c>
      <c r="AI50" s="104">
        <f>CHOOSE(MATCH(IF($U50="","Основний",$U50),{"Трафіковий","Основний","Маржинальний","Сезонний","Стратегічний"},0),0.16,0.19,0.25,0.23,0.29)</f>
        <v/>
      </c>
      <c r="AJ50" s="104">
        <f>CHOOSE(MATCH(IF($U50="","Основний",$U50),{"Трафіковий","Основний","Маржинальний","Сезонний","Стратегічний"},0),0.14,0.17,0.22,0.21,0.25)</f>
        <v/>
      </c>
      <c r="AK50" s="104">
        <f>CHOOSE(MATCH(IF($U50="","Основний",$U50),{"Трафіковий","Основний","Маржинальний","Сезонний","Стратегічний"},0),0.15,0.18,0.23,0.22,0.27)</f>
        <v/>
      </c>
      <c r="AL50" s="104">
        <f>CHOOSE(MATCH(IF($U50="","Основний",$U50),{"Трафіковий","Основний","Маржинальний","Сезонний","Стратегічний"},0),0.15,0.17,0.25,0.24,0.29)</f>
        <v/>
      </c>
      <c r="AM50" s="104">
        <f>CHOOSE(MATCH(IF($U50="","Основний",$U50),{"Трафіковий","Основний","Маржинальний","Сезонний","Стратегічний"},0),0.12,0.145,0.19,0.18,0.22)</f>
        <v/>
      </c>
      <c r="AN50" s="157">
        <f>CHOOSE(MATCH(IF($U50="","Основний",$U50),{"Трафіковий","Основний","Маржинальний","Сезонний","Стратегічний"},0),Settings!$B$78,Settings!$B$80,Settings!$B$82,Settings!$B$84,Settings!$B$86)</f>
        <v/>
      </c>
      <c r="AO50" s="157">
        <f>CHOOSE(MATCH(IF($U50="","Основний",$U50),{"Трафіковий","Основний","Маржинальний","Сезонний","Стратегічний"},0),Settings!$C$78,Settings!$C$80,Settings!$C$82,Settings!$C$84,Settings!$C$86)</f>
        <v/>
      </c>
      <c r="AP50" s="157">
        <f>CHOOSE(MATCH(IF($U50="","Основний",$U50),{"Трафіковий","Основний","Маржинальний","Сезонний","Стратегічний"},0),Settings!$D$78,Settings!$D$80,Settings!$D$82,Settings!$D$84,Settings!$D$86)</f>
        <v/>
      </c>
      <c r="AQ50" s="157">
        <f>CHOOSE(MATCH(IF($U50="","Основний",$U50),{"Трафіковий","Основний","Маржинальний","Сезонний","Стратегічний"},0),Settings!$F$78,Settings!$F$80,Settings!$F$82,Settings!$F$84,Settings!$F$86)</f>
        <v/>
      </c>
      <c r="AR50" s="157">
        <f>CHOOSE(MATCH(IF($U50="","Основний",$U50),{"Трафіковий","Основний","Маржинальний","Сезонний","Стратегічний"},0),Settings!$G$78,Settings!$G$80,Settings!$G$82,Settings!$G$84,Settings!$G$86)</f>
        <v/>
      </c>
      <c r="AS50" s="157">
        <f>CHOOSE(MATCH(IF($U50="","Основний",$U50),{"Трафіковий","Основний","Маржинальний","Сезонний","Стратегічний"},0),Settings!$H$78,Settings!$H$80,Settings!$H$82,Settings!$H$84,Settings!$H$86)</f>
        <v/>
      </c>
      <c r="AT50" s="157">
        <f>CHOOSE(MATCH(IF($U50="","Основний",$U50),{"Трафіковий","Основний","Маржинальний","Сезонний","Стратегічний"},0),Settings!$I$78,Settings!$I$80,Settings!$I$82,Settings!$I$84,Settings!$I$86)</f>
        <v/>
      </c>
      <c r="AU50" s="171" t="n"/>
      <c r="AV50" t="n">
        <v>1.35</v>
      </c>
    </row>
    <row r="51">
      <c r="A51" s="33" t="n"/>
      <c r="B51" s="34" t="inlineStr">
        <is>
          <t>P4113</t>
        </is>
      </c>
      <c r="C51" s="34" t="inlineStr">
        <is>
          <t>LED WORKLIGHT COB LED 4×AA</t>
        </is>
      </c>
      <c r="D51" s="34" t="inlineStr">
        <is>
          <t>Ліхтарі</t>
        </is>
      </c>
      <c r="E51" s="33" t="inlineStr">
        <is>
          <t>PC</t>
        </is>
      </c>
      <c r="F51" s="94" t="n">
        <v>4.479</v>
      </c>
      <c r="G51" s="35" t="n">
        <v>9405423100</v>
      </c>
      <c r="H51" s="31" t="n">
        <v>1.4</v>
      </c>
      <c r="I51" s="84">
        <f>IFERROR(F51*Settings!$B$2*H51*IF(AND(ISNUMBER(E51),E51&gt;1),E51,1),"")</f>
        <v/>
      </c>
      <c r="J51" s="32">
        <f>Settings!$B$66</f>
        <v/>
      </c>
      <c r="K51" s="95">
        <f>IFERROR(IF(T51="","",(T51*(1-AN51)*(1-Settings!$B$17)-I51)/(T51*(1-AN51)*(1-Settings!$B$17))),"")</f>
        <v/>
      </c>
      <c r="L51" s="101">
        <f>IFERROR(IF(T51="","",(T51*(1-AO51)*(1-Settings!$C$17)-I51)/(T51*(1-AO51)*(1-Settings!$C$17))),"")</f>
        <v/>
      </c>
      <c r="M51" s="101">
        <f>IFERROR(IF(T51="","",(T51*(1-AP51)*(1-Settings!$D$17)-I51)/(T51*(1-AP51)*(1-Settings!$D$17))),"")</f>
        <v/>
      </c>
      <c r="N51" s="101">
        <f>IFERROR(IF(T51="","",(T51*(1-AQ51)*(1-Settings!$F$17)-I51)/(T51*(1-AQ51)*(1-Settings!$F$17))),"")</f>
        <v/>
      </c>
      <c r="O51" s="101">
        <f>IFERROR(IF(T51="","",(T51*(1-AR51)*(1-Settings!$G$17)-I51)/(T51*(1-AR51)*(1-Settings!$G$17))),"")</f>
        <v/>
      </c>
      <c r="P51" s="101">
        <f>IFERROR(IF(T51="","",(T51*(1-AS51)*(1-Settings!$H$17)-I51)/(T51*(1-AS51)*(1-Settings!$H$17))),"")</f>
        <v/>
      </c>
      <c r="Q51" s="101">
        <f>IFERROR(IF(T51="","",(T51*(1-AT51)*(1-Settings!$I$68)*(1-Settings!$I$17)-I51)/(T51*(1-AT51)*(1-Settings!$I$68)*(1-Settings!$I$17))),"")</f>
        <v/>
      </c>
      <c r="R51" s="91">
        <f>IFERROR(IF(OR(I51="",Z51&gt;=1,Settings!$B$17&gt;=1,AN51&gt;=1),"",IF(MOD(ROUND(I51/(1-Z51)/(1-Settings!$B$17)/(1-AN51),0),10)=0,ROUND(I51/(1-Z51)/(1-Settings!$B$17)/(1-AN51),0)-1,IF(MOD(ROUND(I51/(1-Z51)/(1-Settings!$B$17)/(1-AN51),0),10)&lt;=5,FLOOR(ROUND(I51/(1-Z51)/(1-Settings!$B$17)/(1-AN51),0),10)+6,FLOOR(ROUND(I51/(1-Z51)/(1-Settings!$B$17)/(1-AN51),0),10)+9))),"")</f>
        <v/>
      </c>
      <c r="S51" s="92" t="n">
        <v>580</v>
      </c>
      <c r="T51" s="91">
        <f>IF(S51&lt;&gt;"", IF(MOD(S51,10)=0,S51-1,IF(MOD(S51,10)&lt;=5,FLOOR(S51,10)+6,FLOOR(S51,10)+9)), R51)</f>
        <v/>
      </c>
      <c r="U51" s="87" t="inlineStr">
        <is>
          <t>Основний</t>
        </is>
      </c>
      <c r="V51" s="88" t="n"/>
      <c r="W51" s="88" t="n"/>
      <c r="X51" s="89">
        <f>IFERROR(IF(OR(V51="",W51="",T51=""),"", IF(T51&gt;W51,"Дорогий",IF(T51&lt;V51,"Дешевий","У ринку"))),"")</f>
        <v/>
      </c>
      <c r="Y51" s="90" t="n"/>
      <c r="Z51" s="104">
        <f>CHOOSE(MATCH(IF($U51="","Основний",$U51),{"Трафіковий","Основний","Маржинальний","Сезонний","Стратегічний"},0),0.16,0.19,0.24,0.23,0.28)</f>
        <v/>
      </c>
      <c r="AA51" s="104">
        <f>CHOOSE(MATCH(IF($U51="","Основний",$U51),{"Трафіковий","Основний","Маржинальний","Сезонний","Стратегічний"},0),0.18,0.21,0.26,0.25,0.3)</f>
        <v/>
      </c>
      <c r="AB51" s="104">
        <f>CHOOSE(MATCH(IF($U51="","Основний",$U51),{"Трафіковий","Основний","Маржинальний","Сезонний","Стратегічний"},0),0.19,0.22,0.28,0.26,0.32)</f>
        <v/>
      </c>
      <c r="AC51" s="104">
        <f>CHOOSE(MATCH(IF($U51="","Основний",$U51),{"Трафіковий","Основний","Маржинальний","Сезонний","Стратегічний"},0),0.17,0.2,0.25,0.24,0.28)</f>
        <v/>
      </c>
      <c r="AD51" s="104">
        <f>CHOOSE(MATCH(IF($U51="","Основний",$U51),{"Трафіковий","Основний","Маржинальний","Сезонний","Стратегічний"},0),0.18,0.21,0.26,0.25,0.3)</f>
        <v/>
      </c>
      <c r="AE51" s="104">
        <f>CHOOSE(MATCH(IF($U51="","Основний",$U51),{"Трафіковий","Основний","Маржинальний","Сезонний","Стратегічний"},0),0.18,0.2,0.28,0.27,0.32)</f>
        <v/>
      </c>
      <c r="AF51" s="104">
        <f>CHOOSE(MATCH(IF($U51="","Основний",$U51),{"Трафіковий","Основний","Маржинальний","Сезонний","Стратегічний"},0),0.15,0.175,0.22,0.21,0.25)</f>
        <v/>
      </c>
      <c r="AG51" s="104">
        <f>CHOOSE(MATCH(IF($U51="","Основний",$U51),{"Трафіковий","Основний","Маржинальний","Сезонний","Стратегічний"},0),0.13,0.16,0.21,0.2,0.25)</f>
        <v/>
      </c>
      <c r="AH51" s="104">
        <f>CHOOSE(MATCH(IF($U51="","Основний",$U51),{"Трафіковий","Основний","Маржинальний","Сезонний","Стратегічний"},0),0.15,0.18,0.23,0.22,0.27)</f>
        <v/>
      </c>
      <c r="AI51" s="104">
        <f>CHOOSE(MATCH(IF($U51="","Основний",$U51),{"Трафіковий","Основний","Маржинальний","Сезонний","Стратегічний"},0),0.16,0.19,0.25,0.23,0.29)</f>
        <v/>
      </c>
      <c r="AJ51" s="104">
        <f>CHOOSE(MATCH(IF($U51="","Основний",$U51),{"Трафіковий","Основний","Маржинальний","Сезонний","Стратегічний"},0),0.14,0.17,0.22,0.21,0.25)</f>
        <v/>
      </c>
      <c r="AK51" s="104">
        <f>CHOOSE(MATCH(IF($U51="","Основний",$U51),{"Трафіковий","Основний","Маржинальний","Сезонний","Стратегічний"},0),0.15,0.18,0.23,0.22,0.27)</f>
        <v/>
      </c>
      <c r="AL51" s="104">
        <f>CHOOSE(MATCH(IF($U51="","Основний",$U51),{"Трафіковий","Основний","Маржинальний","Сезонний","Стратегічний"},0),0.15,0.17,0.25,0.24,0.29)</f>
        <v/>
      </c>
      <c r="AM51" s="104">
        <f>CHOOSE(MATCH(IF($U51="","Основний",$U51),{"Трафіковий","Основний","Маржинальний","Сезонний","Стратегічний"},0),0.12,0.145,0.19,0.18,0.22)</f>
        <v/>
      </c>
      <c r="AN51" s="157">
        <f>CHOOSE(MATCH(IF($U51="","Основний",$U51),{"Трафіковий","Основний","Маржинальний","Сезонний","Стратегічний"},0),Settings!$B$78,Settings!$B$80,Settings!$B$82,Settings!$B$84,Settings!$B$86)</f>
        <v/>
      </c>
      <c r="AO51" s="157">
        <f>CHOOSE(MATCH(IF($U51="","Основний",$U51),{"Трафіковий","Основний","Маржинальний","Сезонний","Стратегічний"},0),Settings!$C$78,Settings!$C$80,Settings!$C$82,Settings!$C$84,Settings!$C$86)</f>
        <v/>
      </c>
      <c r="AP51" s="157">
        <f>CHOOSE(MATCH(IF($U51="","Основний",$U51),{"Трафіковий","Основний","Маржинальний","Сезонний","Стратегічний"},0),Settings!$D$78,Settings!$D$80,Settings!$D$82,Settings!$D$84,Settings!$D$86)</f>
        <v/>
      </c>
      <c r="AQ51" s="157">
        <f>CHOOSE(MATCH(IF($U51="","Основний",$U51),{"Трафіковий","Основний","Маржинальний","Сезонний","Стратегічний"},0),Settings!$F$78,Settings!$F$80,Settings!$F$82,Settings!$F$84,Settings!$F$86)</f>
        <v/>
      </c>
      <c r="AR51" s="157">
        <f>CHOOSE(MATCH(IF($U51="","Основний",$U51),{"Трафіковий","Основний","Маржинальний","Сезонний","Стратегічний"},0),Settings!$G$78,Settings!$G$80,Settings!$G$82,Settings!$G$84,Settings!$G$86)</f>
        <v/>
      </c>
      <c r="AS51" s="157">
        <f>CHOOSE(MATCH(IF($U51="","Основний",$U51),{"Трафіковий","Основний","Маржинальний","Сезонний","Стратегічний"},0),Settings!$H$78,Settings!$H$80,Settings!$H$82,Settings!$H$84,Settings!$H$86)</f>
        <v/>
      </c>
      <c r="AT51" s="157">
        <f>CHOOSE(MATCH(IF($U51="","Основний",$U51),{"Трафіковий","Основний","Маржинальний","Сезонний","Стратегічний"},0),Settings!$I$78,Settings!$I$80,Settings!$I$82,Settings!$I$84,Settings!$I$86)</f>
        <v/>
      </c>
      <c r="AU51" s="171" t="n"/>
      <c r="AV51" t="n">
        <v>1.35</v>
      </c>
    </row>
    <row r="52">
      <c r="A52" s="28" t="n"/>
      <c r="B52" s="29" t="inlineStr">
        <is>
          <t>P4112</t>
        </is>
      </c>
      <c r="C52" s="29" t="inlineStr">
        <is>
          <t>LED WORKLIGHT 2×COB LED + LED 3×AA</t>
        </is>
      </c>
      <c r="D52" s="29" t="inlineStr">
        <is>
          <t>Ліхтарі</t>
        </is>
      </c>
      <c r="E52" s="28" t="inlineStr">
        <is>
          <t>PC</t>
        </is>
      </c>
      <c r="F52" s="93" t="n">
        <v>2.94</v>
      </c>
      <c r="G52" s="30" t="n">
        <v>9405423100</v>
      </c>
      <c r="H52" s="31" t="n">
        <v>1.4</v>
      </c>
      <c r="I52" s="84">
        <f>IFERROR(F52*Settings!$B$2*H52*IF(AND(ISNUMBER(E52),E52&gt;1),E52,1),"")</f>
        <v/>
      </c>
      <c r="J52" s="32">
        <f>Settings!$B$66</f>
        <v/>
      </c>
      <c r="K52" s="95">
        <f>IFERROR(IF(T52="","",(T52*(1-AN52)*(1-Settings!$B$17)-I52)/(T52*(1-AN52)*(1-Settings!$B$17))),"")</f>
        <v/>
      </c>
      <c r="L52" s="101">
        <f>IFERROR(IF(T52="","",(T52*(1-AO52)*(1-Settings!$C$17)-I52)/(T52*(1-AO52)*(1-Settings!$C$17))),"")</f>
        <v/>
      </c>
      <c r="M52" s="101">
        <f>IFERROR(IF(T52="","",(T52*(1-AP52)*(1-Settings!$D$17)-I52)/(T52*(1-AP52)*(1-Settings!$D$17))),"")</f>
        <v/>
      </c>
      <c r="N52" s="101">
        <f>IFERROR(IF(T52="","",(T52*(1-AQ52)*(1-Settings!$F$17)-I52)/(T52*(1-AQ52)*(1-Settings!$F$17))),"")</f>
        <v/>
      </c>
      <c r="O52" s="101">
        <f>IFERROR(IF(T52="","",(T52*(1-AR52)*(1-Settings!$G$17)-I52)/(T52*(1-AR52)*(1-Settings!$G$17))),"")</f>
        <v/>
      </c>
      <c r="P52" s="101">
        <f>IFERROR(IF(T52="","",(T52*(1-AS52)*(1-Settings!$H$17)-I52)/(T52*(1-AS52)*(1-Settings!$H$17))),"")</f>
        <v/>
      </c>
      <c r="Q52" s="101">
        <f>IFERROR(IF(T52="","",(T52*(1-AT52)*(1-Settings!$I$68)*(1-Settings!$I$17)-I52)/(T52*(1-AT52)*(1-Settings!$I$68)*(1-Settings!$I$17))),"")</f>
        <v/>
      </c>
      <c r="R52" s="91">
        <f>IFERROR(IF(OR(I52="",Z52&gt;=1,Settings!$B$17&gt;=1,AN52&gt;=1),"",IF(MOD(ROUND(I52/(1-Z52)/(1-Settings!$B$17)/(1-AN52),0),10)=0,ROUND(I52/(1-Z52)/(1-Settings!$B$17)/(1-AN52),0)-1,IF(MOD(ROUND(I52/(1-Z52)/(1-Settings!$B$17)/(1-AN52),0),10)&lt;=5,FLOOR(ROUND(I52/(1-Z52)/(1-Settings!$B$17)/(1-AN52),0),10)+6,FLOOR(ROUND(I52/(1-Z52)/(1-Settings!$B$17)/(1-AN52),0),10)+9))),"")</f>
        <v/>
      </c>
      <c r="S52" s="92" t="n">
        <v>380</v>
      </c>
      <c r="T52" s="91">
        <f>IF(S52&lt;&gt;"", IF(MOD(S52,10)=0,S52-1,IF(MOD(S52,10)&lt;=5,FLOOR(S52,10)+6,FLOOR(S52,10)+9)), R52)</f>
        <v/>
      </c>
      <c r="U52" s="87" t="inlineStr">
        <is>
          <t>Основний</t>
        </is>
      </c>
      <c r="V52" s="88" t="n"/>
      <c r="W52" s="88" t="n"/>
      <c r="X52" s="89">
        <f>IFERROR(IF(OR(V52="",W52="",T52=""),"", IF(T52&gt;W52,"Дорогий",IF(T52&lt;V52,"Дешевий","У ринку"))),"")</f>
        <v/>
      </c>
      <c r="Y52" s="90" t="n"/>
      <c r="Z52" s="104">
        <f>CHOOSE(MATCH(IF($U52="","Основний",$U52),{"Трафіковий","Основний","Маржинальний","Сезонний","Стратегічний"},0),0.16,0.19,0.24,0.23,0.28)</f>
        <v/>
      </c>
      <c r="AA52" s="104">
        <f>CHOOSE(MATCH(IF($U52="","Основний",$U52),{"Трафіковий","Основний","Маржинальний","Сезонний","Стратегічний"},0),0.18,0.21,0.26,0.25,0.3)</f>
        <v/>
      </c>
      <c r="AB52" s="104">
        <f>CHOOSE(MATCH(IF($U52="","Основний",$U52),{"Трафіковий","Основний","Маржинальний","Сезонний","Стратегічний"},0),0.19,0.22,0.28,0.26,0.32)</f>
        <v/>
      </c>
      <c r="AC52" s="104">
        <f>CHOOSE(MATCH(IF($U52="","Основний",$U52),{"Трафіковий","Основний","Маржинальний","Сезонний","Стратегічний"},0),0.17,0.2,0.25,0.24,0.28)</f>
        <v/>
      </c>
      <c r="AD52" s="104">
        <f>CHOOSE(MATCH(IF($U52="","Основний",$U52),{"Трафіковий","Основний","Маржинальний","Сезонний","Стратегічний"},0),0.18,0.21,0.26,0.25,0.3)</f>
        <v/>
      </c>
      <c r="AE52" s="104">
        <f>CHOOSE(MATCH(IF($U52="","Основний",$U52),{"Трафіковий","Основний","Маржинальний","Сезонний","Стратегічний"},0),0.18,0.2,0.28,0.27,0.32)</f>
        <v/>
      </c>
      <c r="AF52" s="104">
        <f>CHOOSE(MATCH(IF($U52="","Основний",$U52),{"Трафіковий","Основний","Маржинальний","Сезонний","Стратегічний"},0),0.15,0.175,0.22,0.21,0.25)</f>
        <v/>
      </c>
      <c r="AG52" s="104">
        <f>CHOOSE(MATCH(IF($U52="","Основний",$U52),{"Трафіковий","Основний","Маржинальний","Сезонний","Стратегічний"},0),0.13,0.16,0.21,0.2,0.25)</f>
        <v/>
      </c>
      <c r="AH52" s="104">
        <f>CHOOSE(MATCH(IF($U52="","Основний",$U52),{"Трафіковий","Основний","Маржинальний","Сезонний","Стратегічний"},0),0.15,0.18,0.23,0.22,0.27)</f>
        <v/>
      </c>
      <c r="AI52" s="104">
        <f>CHOOSE(MATCH(IF($U52="","Основний",$U52),{"Трафіковий","Основний","Маржинальний","Сезонний","Стратегічний"},0),0.16,0.19,0.25,0.23,0.29)</f>
        <v/>
      </c>
      <c r="AJ52" s="104">
        <f>CHOOSE(MATCH(IF($U52="","Основний",$U52),{"Трафіковий","Основний","Маржинальний","Сезонний","Стратегічний"},0),0.14,0.17,0.22,0.21,0.25)</f>
        <v/>
      </c>
      <c r="AK52" s="104">
        <f>CHOOSE(MATCH(IF($U52="","Основний",$U52),{"Трафіковий","Основний","Маржинальний","Сезонний","Стратегічний"},0),0.15,0.18,0.23,0.22,0.27)</f>
        <v/>
      </c>
      <c r="AL52" s="104">
        <f>CHOOSE(MATCH(IF($U52="","Основний",$U52),{"Трафіковий","Основний","Маржинальний","Сезонний","Стратегічний"},0),0.15,0.17,0.25,0.24,0.29)</f>
        <v/>
      </c>
      <c r="AM52" s="104">
        <f>CHOOSE(MATCH(IF($U52="","Основний",$U52),{"Трафіковий","Основний","Маржинальний","Сезонний","Стратегічний"},0),0.12,0.145,0.19,0.18,0.22)</f>
        <v/>
      </c>
      <c r="AN52" s="157">
        <f>CHOOSE(MATCH(IF($U52="","Основний",$U52),{"Трафіковий","Основний","Маржинальний","Сезонний","Стратегічний"},0),Settings!$B$78,Settings!$B$80,Settings!$B$82,Settings!$B$84,Settings!$B$86)</f>
        <v/>
      </c>
      <c r="AO52" s="157">
        <f>CHOOSE(MATCH(IF($U52="","Основний",$U52),{"Трафіковий","Основний","Маржинальний","Сезонний","Стратегічний"},0),Settings!$C$78,Settings!$C$80,Settings!$C$82,Settings!$C$84,Settings!$C$86)</f>
        <v/>
      </c>
      <c r="AP52" s="157">
        <f>CHOOSE(MATCH(IF($U52="","Основний",$U52),{"Трафіковий","Основний","Маржинальний","Сезонний","Стратегічний"},0),Settings!$D$78,Settings!$D$80,Settings!$D$82,Settings!$D$84,Settings!$D$86)</f>
        <v/>
      </c>
      <c r="AQ52" s="157">
        <f>CHOOSE(MATCH(IF($U52="","Основний",$U52),{"Трафіковий","Основний","Маржинальний","Сезонний","Стратегічний"},0),Settings!$F$78,Settings!$F$80,Settings!$F$82,Settings!$F$84,Settings!$F$86)</f>
        <v/>
      </c>
      <c r="AR52" s="157">
        <f>CHOOSE(MATCH(IF($U52="","Основний",$U52),{"Трафіковий","Основний","Маржинальний","Сезонний","Стратегічний"},0),Settings!$G$78,Settings!$G$80,Settings!$G$82,Settings!$G$84,Settings!$G$86)</f>
        <v/>
      </c>
      <c r="AS52" s="157">
        <f>CHOOSE(MATCH(IF($U52="","Основний",$U52),{"Трафіковий","Основний","Маржинальний","Сезонний","Стратегічний"},0),Settings!$H$78,Settings!$H$80,Settings!$H$82,Settings!$H$84,Settings!$H$86)</f>
        <v/>
      </c>
      <c r="AT52" s="157">
        <f>CHOOSE(MATCH(IF($U52="","Основний",$U52),{"Трафіковий","Основний","Маржинальний","Сезонний","Стратегічний"},0),Settings!$I$78,Settings!$I$80,Settings!$I$82,Settings!$I$84,Settings!$I$86)</f>
        <v/>
      </c>
      <c r="AU52" s="171" t="n"/>
      <c r="AV52" t="n">
        <v>1.35</v>
      </c>
    </row>
    <row r="53">
      <c r="A53" s="33" t="n"/>
      <c r="B53" s="34" t="inlineStr">
        <is>
          <t>P3400</t>
        </is>
      </c>
      <c r="C53" s="34" t="inlineStr">
        <is>
          <t>LED TORCH 1 LED 1×AAA</t>
        </is>
      </c>
      <c r="D53" s="34" t="inlineStr">
        <is>
          <t>Ліхтарі</t>
        </is>
      </c>
      <c r="E53" s="33" t="inlineStr">
        <is>
          <t>PC</t>
        </is>
      </c>
      <c r="F53" s="94" t="n">
        <v>2.75</v>
      </c>
      <c r="G53" s="35" t="n">
        <v>8513100000</v>
      </c>
      <c r="H53" s="31" t="n">
        <v>1.4</v>
      </c>
      <c r="I53" s="84">
        <f>IFERROR(F53*Settings!$B$2*H53*IF(AND(ISNUMBER(E53),E53&gt;1),E53,1),"")</f>
        <v/>
      </c>
      <c r="J53" s="32">
        <f>Settings!$B$66</f>
        <v/>
      </c>
      <c r="K53" s="95">
        <f>IFERROR(IF(T53="","",(T53*(1-AN53)*(1-Settings!$B$17)-I53)/(T53*(1-AN53)*(1-Settings!$B$17))),"")</f>
        <v/>
      </c>
      <c r="L53" s="101">
        <f>IFERROR(IF(T53="","",(T53*(1-AO53)*(1-Settings!$C$17)-I53)/(T53*(1-AO53)*(1-Settings!$C$17))),"")</f>
        <v/>
      </c>
      <c r="M53" s="101">
        <f>IFERROR(IF(T53="","",(T53*(1-AP53)*(1-Settings!$D$17)-I53)/(T53*(1-AP53)*(1-Settings!$D$17))),"")</f>
        <v/>
      </c>
      <c r="N53" s="101">
        <f>IFERROR(IF(T53="","",(T53*(1-AQ53)*(1-Settings!$F$17)-I53)/(T53*(1-AQ53)*(1-Settings!$F$17))),"")</f>
        <v/>
      </c>
      <c r="O53" s="101">
        <f>IFERROR(IF(T53="","",(T53*(1-AR53)*(1-Settings!$G$17)-I53)/(T53*(1-AR53)*(1-Settings!$G$17))),"")</f>
        <v/>
      </c>
      <c r="P53" s="101">
        <f>IFERROR(IF(T53="","",(T53*(1-AS53)*(1-Settings!$H$17)-I53)/(T53*(1-AS53)*(1-Settings!$H$17))),"")</f>
        <v/>
      </c>
      <c r="Q53" s="101">
        <f>IFERROR(IF(T53="","",(T53*(1-AT53)*(1-Settings!$I$68)*(1-Settings!$I$17)-I53)/(T53*(1-AT53)*(1-Settings!$I$68)*(1-Settings!$I$17))),"")</f>
        <v/>
      </c>
      <c r="R53" s="91">
        <f>IFERROR(IF(OR(I53="",Z53&gt;=1,Settings!$B$17&gt;=1,AN53&gt;=1),"",IF(MOD(ROUND(I53/(1-Z53)/(1-Settings!$B$17)/(1-AN53),0),10)=0,ROUND(I53/(1-Z53)/(1-Settings!$B$17)/(1-AN53),0)-1,IF(MOD(ROUND(I53/(1-Z53)/(1-Settings!$B$17)/(1-AN53),0),10)&lt;=5,FLOOR(ROUND(I53/(1-Z53)/(1-Settings!$B$17)/(1-AN53),0),10)+6,FLOOR(ROUND(I53/(1-Z53)/(1-Settings!$B$17)/(1-AN53),0),10)+9))),"")</f>
        <v/>
      </c>
      <c r="S53" s="92" t="n"/>
      <c r="T53" s="91">
        <f>IF(S53&lt;&gt;"", IF(MOD(S53,10)=0,S53-1,IF(MOD(S53,10)&lt;=5,FLOOR(S53,10)+6,FLOOR(S53,10)+9)), R53)</f>
        <v/>
      </c>
      <c r="U53" s="87" t="inlineStr">
        <is>
          <t>Основний</t>
        </is>
      </c>
      <c r="V53" s="88" t="n"/>
      <c r="W53" s="88" t="n"/>
      <c r="X53" s="89">
        <f>IFERROR(IF(OR(V53="",W53="",T53=""),"", IF(T53&gt;W53,"Дорогий",IF(T53&lt;V53,"Дешевий","У ринку"))),"")</f>
        <v/>
      </c>
      <c r="Y53" s="90" t="n"/>
      <c r="Z53" s="104">
        <f>CHOOSE(MATCH(IF($U53="","Основний",$U53),{"Трафіковий","Основний","Маржинальний","Сезонний","Стратегічний"},0),0.16,0.19,0.24,0.23,0.28)</f>
        <v/>
      </c>
      <c r="AA53" s="104">
        <f>CHOOSE(MATCH(IF($U53="","Основний",$U53),{"Трафіковий","Основний","Маржинальний","Сезонний","Стратегічний"},0),0.18,0.21,0.26,0.25,0.3)</f>
        <v/>
      </c>
      <c r="AB53" s="104">
        <f>CHOOSE(MATCH(IF($U53="","Основний",$U53),{"Трафіковий","Основний","Маржинальний","Сезонний","Стратегічний"},0),0.19,0.22,0.28,0.26,0.32)</f>
        <v/>
      </c>
      <c r="AC53" s="104">
        <f>CHOOSE(MATCH(IF($U53="","Основний",$U53),{"Трафіковий","Основний","Маржинальний","Сезонний","Стратегічний"},0),0.17,0.2,0.25,0.24,0.28)</f>
        <v/>
      </c>
      <c r="AD53" s="104">
        <f>CHOOSE(MATCH(IF($U53="","Основний",$U53),{"Трафіковий","Основний","Маржинальний","Сезонний","Стратегічний"},0),0.18,0.21,0.26,0.25,0.3)</f>
        <v/>
      </c>
      <c r="AE53" s="104">
        <f>CHOOSE(MATCH(IF($U53="","Основний",$U53),{"Трафіковий","Основний","Маржинальний","Сезонний","Стратегічний"},0),0.18,0.2,0.28,0.27,0.32)</f>
        <v/>
      </c>
      <c r="AF53" s="104">
        <f>CHOOSE(MATCH(IF($U53="","Основний",$U53),{"Трафіковий","Основний","Маржинальний","Сезонний","Стратегічний"},0),0.15,0.175,0.22,0.21,0.25)</f>
        <v/>
      </c>
      <c r="AG53" s="104">
        <f>CHOOSE(MATCH(IF($U53="","Основний",$U53),{"Трафіковий","Основний","Маржинальний","Сезонний","Стратегічний"},0),0.13,0.16,0.21,0.2,0.25)</f>
        <v/>
      </c>
      <c r="AH53" s="104">
        <f>CHOOSE(MATCH(IF($U53="","Основний",$U53),{"Трафіковий","Основний","Маржинальний","Сезонний","Стратегічний"},0),0.15,0.18,0.23,0.22,0.27)</f>
        <v/>
      </c>
      <c r="AI53" s="104">
        <f>CHOOSE(MATCH(IF($U53="","Основний",$U53),{"Трафіковий","Основний","Маржинальний","Сезонний","Стратегічний"},0),0.16,0.19,0.25,0.23,0.29)</f>
        <v/>
      </c>
      <c r="AJ53" s="104">
        <f>CHOOSE(MATCH(IF($U53="","Основний",$U53),{"Трафіковий","Основний","Маржинальний","Сезонний","Стратегічний"},0),0.14,0.17,0.22,0.21,0.25)</f>
        <v/>
      </c>
      <c r="AK53" s="104">
        <f>CHOOSE(MATCH(IF($U53="","Основний",$U53),{"Трафіковий","Основний","Маржинальний","Сезонний","Стратегічний"},0),0.15,0.18,0.23,0.22,0.27)</f>
        <v/>
      </c>
      <c r="AL53" s="104">
        <f>CHOOSE(MATCH(IF($U53="","Основний",$U53),{"Трафіковий","Основний","Маржинальний","Сезонний","Стратегічний"},0),0.15,0.17,0.25,0.24,0.29)</f>
        <v/>
      </c>
      <c r="AM53" s="104">
        <f>CHOOSE(MATCH(IF($U53="","Основний",$U53),{"Трафіковий","Основний","Маржинальний","Сезонний","Стратегічний"},0),0.12,0.145,0.19,0.18,0.22)</f>
        <v/>
      </c>
      <c r="AN53" s="157">
        <f>CHOOSE(MATCH(IF($U53="","Основний",$U53),{"Трафіковий","Основний","Маржинальний","Сезонний","Стратегічний"},0),Settings!$B$78,Settings!$B$80,Settings!$B$82,Settings!$B$84,Settings!$B$86)</f>
        <v/>
      </c>
      <c r="AO53" s="157">
        <f>CHOOSE(MATCH(IF($U53="","Основний",$U53),{"Трафіковий","Основний","Маржинальний","Сезонний","Стратегічний"},0),Settings!$C$78,Settings!$C$80,Settings!$C$82,Settings!$C$84,Settings!$C$86)</f>
        <v/>
      </c>
      <c r="AP53" s="157">
        <f>CHOOSE(MATCH(IF($U53="","Основний",$U53),{"Трафіковий","Основний","Маржинальний","Сезонний","Стратегічний"},0),Settings!$D$78,Settings!$D$80,Settings!$D$82,Settings!$D$84,Settings!$D$86)</f>
        <v/>
      </c>
      <c r="AQ53" s="157">
        <f>CHOOSE(MATCH(IF($U53="","Основний",$U53),{"Трафіковий","Основний","Маржинальний","Сезонний","Стратегічний"},0),Settings!$F$78,Settings!$F$80,Settings!$F$82,Settings!$F$84,Settings!$F$86)</f>
        <v/>
      </c>
      <c r="AR53" s="157">
        <f>CHOOSE(MATCH(IF($U53="","Основний",$U53),{"Трафіковий","Основний","Маржинальний","Сезонний","Стратегічний"},0),Settings!$G$78,Settings!$G$80,Settings!$G$82,Settings!$G$84,Settings!$G$86)</f>
        <v/>
      </c>
      <c r="AS53" s="157">
        <f>CHOOSE(MATCH(IF($U53="","Основний",$U53),{"Трафіковий","Основний","Маржинальний","Сезонний","Стратегічний"},0),Settings!$H$78,Settings!$H$80,Settings!$H$82,Settings!$H$84,Settings!$H$86)</f>
        <v/>
      </c>
      <c r="AT53" s="157">
        <f>CHOOSE(MATCH(IF($U53="","Основний",$U53),{"Трафіковий","Основний","Маржинальний","Сезонний","Стратегічний"},0),Settings!$I$78,Settings!$I$80,Settings!$I$82,Settings!$I$84,Settings!$I$86)</f>
        <v/>
      </c>
      <c r="AU53" s="171" t="n"/>
      <c r="AV53" t="n">
        <v>1.35</v>
      </c>
    </row>
    <row r="54">
      <c r="A54" s="28" t="n"/>
      <c r="B54" s="29" t="inlineStr">
        <is>
          <t>P3521</t>
        </is>
      </c>
      <c r="C54" s="29" t="inlineStr">
        <is>
          <t>HEADLAMP 1 LED 1W +2 LED 3×AAA</t>
        </is>
      </c>
      <c r="D54" s="29" t="inlineStr">
        <is>
          <t>Ліхтарі</t>
        </is>
      </c>
      <c r="E54" s="28" t="inlineStr">
        <is>
          <t>PC</t>
        </is>
      </c>
      <c r="F54" s="93" t="n">
        <v>2.564</v>
      </c>
      <c r="G54" s="30" t="n">
        <v>8513100000</v>
      </c>
      <c r="H54" s="31" t="n">
        <v>1.4</v>
      </c>
      <c r="I54" s="84">
        <f>IFERROR(F54*Settings!$B$2*H54*IF(AND(ISNUMBER(E54),E54&gt;1),E54,1),"")</f>
        <v/>
      </c>
      <c r="J54" s="32">
        <f>Settings!$B$66</f>
        <v/>
      </c>
      <c r="K54" s="95">
        <f>IFERROR(IF(T54="","",(T54*(1-AN54)*(1-Settings!$B$17)-I54)/(T54*(1-AN54)*(1-Settings!$B$17))),"")</f>
        <v/>
      </c>
      <c r="L54" s="101">
        <f>IFERROR(IF(T54="","",(T54*(1-AO54)*(1-Settings!$C$17)-I54)/(T54*(1-AO54)*(1-Settings!$C$17))),"")</f>
        <v/>
      </c>
      <c r="M54" s="101">
        <f>IFERROR(IF(T54="","",(T54*(1-AP54)*(1-Settings!$D$17)-I54)/(T54*(1-AP54)*(1-Settings!$D$17))),"")</f>
        <v/>
      </c>
      <c r="N54" s="101">
        <f>IFERROR(IF(T54="","",(T54*(1-AQ54)*(1-Settings!$F$17)-I54)/(T54*(1-AQ54)*(1-Settings!$F$17))),"")</f>
        <v/>
      </c>
      <c r="O54" s="101">
        <f>IFERROR(IF(T54="","",(T54*(1-AR54)*(1-Settings!$G$17)-I54)/(T54*(1-AR54)*(1-Settings!$G$17))),"")</f>
        <v/>
      </c>
      <c r="P54" s="101">
        <f>IFERROR(IF(T54="","",(T54*(1-AS54)*(1-Settings!$H$17)-I54)/(T54*(1-AS54)*(1-Settings!$H$17))),"")</f>
        <v/>
      </c>
      <c r="Q54" s="101">
        <f>IFERROR(IF(T54="","",(T54*(1-AT54)*(1-Settings!$I$68)*(1-Settings!$I$17)-I54)/(T54*(1-AT54)*(1-Settings!$I$68)*(1-Settings!$I$17))),"")</f>
        <v/>
      </c>
      <c r="R54" s="91">
        <f>IFERROR(IF(OR(I54="",Z54&gt;=1,Settings!$B$17&gt;=1,AN54&gt;=1),"",IF(MOD(ROUND(I54/(1-Z54)/(1-Settings!$B$17)/(1-AN54),0),10)=0,ROUND(I54/(1-Z54)/(1-Settings!$B$17)/(1-AN54),0)-1,IF(MOD(ROUND(I54/(1-Z54)/(1-Settings!$B$17)/(1-AN54),0),10)&lt;=5,FLOOR(ROUND(I54/(1-Z54)/(1-Settings!$B$17)/(1-AN54),0),10)+6,FLOOR(ROUND(I54/(1-Z54)/(1-Settings!$B$17)/(1-AN54),0),10)+9))),"")</f>
        <v/>
      </c>
      <c r="S54" s="92" t="n">
        <v>340</v>
      </c>
      <c r="T54" s="91">
        <f>IF(S54&lt;&gt;"", IF(MOD(S54,10)=0,S54-1,IF(MOD(S54,10)&lt;=5,FLOOR(S54,10)+6,FLOOR(S54,10)+9)), R54)</f>
        <v/>
      </c>
      <c r="U54" s="87" t="inlineStr">
        <is>
          <t>Основний</t>
        </is>
      </c>
      <c r="V54" s="88" t="n"/>
      <c r="W54" s="88" t="n"/>
      <c r="X54" s="89">
        <f>IFERROR(IF(OR(V54="",W54="",T54=""),"", IF(T54&gt;W54,"Дорогий",IF(T54&lt;V54,"Дешевий","У ринку"))),"")</f>
        <v/>
      </c>
      <c r="Y54" s="90" t="n"/>
      <c r="Z54" s="104">
        <f>CHOOSE(MATCH(IF($U54="","Основний",$U54),{"Трафіковий","Основний","Маржинальний","Сезонний","Стратегічний"},0),0.16,0.19,0.24,0.23,0.28)</f>
        <v/>
      </c>
      <c r="AA54" s="104">
        <f>CHOOSE(MATCH(IF($U54="","Основний",$U54),{"Трафіковий","Основний","Маржинальний","Сезонний","Стратегічний"},0),0.18,0.21,0.26,0.25,0.3)</f>
        <v/>
      </c>
      <c r="AB54" s="104">
        <f>CHOOSE(MATCH(IF($U54="","Основний",$U54),{"Трафіковий","Основний","Маржинальний","Сезонний","Стратегічний"},0),0.19,0.22,0.28,0.26,0.32)</f>
        <v/>
      </c>
      <c r="AC54" s="104">
        <f>CHOOSE(MATCH(IF($U54="","Основний",$U54),{"Трафіковий","Основний","Маржинальний","Сезонний","Стратегічний"},0),0.17,0.2,0.25,0.24,0.28)</f>
        <v/>
      </c>
      <c r="AD54" s="104">
        <f>CHOOSE(MATCH(IF($U54="","Основний",$U54),{"Трафіковий","Основний","Маржинальний","Сезонний","Стратегічний"},0),0.18,0.21,0.26,0.25,0.3)</f>
        <v/>
      </c>
      <c r="AE54" s="104">
        <f>CHOOSE(MATCH(IF($U54="","Основний",$U54),{"Трафіковий","Основний","Маржинальний","Сезонний","Стратегічний"},0),0.18,0.2,0.28,0.27,0.32)</f>
        <v/>
      </c>
      <c r="AF54" s="104">
        <f>CHOOSE(MATCH(IF($U54="","Основний",$U54),{"Трафіковий","Основний","Маржинальний","Сезонний","Стратегічний"},0),0.15,0.175,0.22,0.21,0.25)</f>
        <v/>
      </c>
      <c r="AG54" s="104">
        <f>CHOOSE(MATCH(IF($U54="","Основний",$U54),{"Трафіковий","Основний","Маржинальний","Сезонний","Стратегічний"},0),0.13,0.16,0.21,0.2,0.25)</f>
        <v/>
      </c>
      <c r="AH54" s="104">
        <f>CHOOSE(MATCH(IF($U54="","Основний",$U54),{"Трафіковий","Основний","Маржинальний","Сезонний","Стратегічний"},0),0.15,0.18,0.23,0.22,0.27)</f>
        <v/>
      </c>
      <c r="AI54" s="104">
        <f>CHOOSE(MATCH(IF($U54="","Основний",$U54),{"Трафіковий","Основний","Маржинальний","Сезонний","Стратегічний"},0),0.16,0.19,0.25,0.23,0.29)</f>
        <v/>
      </c>
      <c r="AJ54" s="104">
        <f>CHOOSE(MATCH(IF($U54="","Основний",$U54),{"Трафіковий","Основний","Маржинальний","Сезонний","Стратегічний"},0),0.14,0.17,0.22,0.21,0.25)</f>
        <v/>
      </c>
      <c r="AK54" s="104">
        <f>CHOOSE(MATCH(IF($U54="","Основний",$U54),{"Трафіковий","Основний","Маржинальний","Сезонний","Стратегічний"},0),0.15,0.18,0.23,0.22,0.27)</f>
        <v/>
      </c>
      <c r="AL54" s="104">
        <f>CHOOSE(MATCH(IF($U54="","Основний",$U54),{"Трафіковий","Основний","Маржинальний","Сезонний","Стратегічний"},0),0.15,0.17,0.25,0.24,0.29)</f>
        <v/>
      </c>
      <c r="AM54" s="104">
        <f>CHOOSE(MATCH(IF($U54="","Основний",$U54),{"Трафіковий","Основний","Маржинальний","Сезонний","Стратегічний"},0),0.12,0.145,0.19,0.18,0.22)</f>
        <v/>
      </c>
      <c r="AN54" s="157">
        <f>CHOOSE(MATCH(IF($U54="","Основний",$U54),{"Трафіковий","Основний","Маржинальний","Сезонний","Стратегічний"},0),Settings!$B$78,Settings!$B$80,Settings!$B$82,Settings!$B$84,Settings!$B$86)</f>
        <v/>
      </c>
      <c r="AO54" s="157">
        <f>CHOOSE(MATCH(IF($U54="","Основний",$U54),{"Трафіковий","Основний","Маржинальний","Сезонний","Стратегічний"},0),Settings!$C$78,Settings!$C$80,Settings!$C$82,Settings!$C$84,Settings!$C$86)</f>
        <v/>
      </c>
      <c r="AP54" s="157">
        <f>CHOOSE(MATCH(IF($U54="","Основний",$U54),{"Трафіковий","Основний","Маржинальний","Сезонний","Стратегічний"},0),Settings!$D$78,Settings!$D$80,Settings!$D$82,Settings!$D$84,Settings!$D$86)</f>
        <v/>
      </c>
      <c r="AQ54" s="157">
        <f>CHOOSE(MATCH(IF($U54="","Основний",$U54),{"Трафіковий","Основний","Маржинальний","Сезонний","Стратегічний"},0),Settings!$F$78,Settings!$F$80,Settings!$F$82,Settings!$F$84,Settings!$F$86)</f>
        <v/>
      </c>
      <c r="AR54" s="157">
        <f>CHOOSE(MATCH(IF($U54="","Основний",$U54),{"Трафіковий","Основний","Маржинальний","Сезонний","Стратегічний"},0),Settings!$G$78,Settings!$G$80,Settings!$G$82,Settings!$G$84,Settings!$G$86)</f>
        <v/>
      </c>
      <c r="AS54" s="157">
        <f>CHOOSE(MATCH(IF($U54="","Основний",$U54),{"Трафіковий","Основний","Маржинальний","Сезонний","Стратегічний"},0),Settings!$H$78,Settings!$H$80,Settings!$H$82,Settings!$H$84,Settings!$H$86)</f>
        <v/>
      </c>
      <c r="AT54" s="157">
        <f>CHOOSE(MATCH(IF($U54="","Основний",$U54),{"Трафіковий","Основний","Маржинальний","Сезонний","Стратегічний"},0),Settings!$I$78,Settings!$I$80,Settings!$I$82,Settings!$I$84,Settings!$I$86)</f>
        <v/>
      </c>
      <c r="AU54" s="171" t="n"/>
      <c r="AV54" t="n">
        <v>1.35</v>
      </c>
    </row>
    <row r="55">
      <c r="A55" s="33" t="n"/>
      <c r="B55" s="34" t="inlineStr">
        <is>
          <t>P3528</t>
        </is>
      </c>
      <c r="C55" s="34" t="inlineStr">
        <is>
          <t>HEADLAMP LED COB 2W 3×AAA</t>
        </is>
      </c>
      <c r="D55" s="34" t="inlineStr">
        <is>
          <t>Ліхтарі</t>
        </is>
      </c>
      <c r="E55" s="33" t="inlineStr">
        <is>
          <t>PC</t>
        </is>
      </c>
      <c r="F55" s="94" t="n">
        <v>3.155</v>
      </c>
      <c r="G55" s="35" t="n">
        <v>8513100000</v>
      </c>
      <c r="H55" s="31" t="n">
        <v>1.4</v>
      </c>
      <c r="I55" s="84">
        <f>IFERROR(F55*Settings!$B$2*H55*IF(AND(ISNUMBER(E55),E55&gt;1),E55,1),"")</f>
        <v/>
      </c>
      <c r="J55" s="32">
        <f>Settings!$B$66</f>
        <v/>
      </c>
      <c r="K55" s="95">
        <f>IFERROR(IF(T55="","",(T55*(1-AN55)*(1-Settings!$B$17)-I55)/(T55*(1-AN55)*(1-Settings!$B$17))),"")</f>
        <v/>
      </c>
      <c r="L55" s="101">
        <f>IFERROR(IF(T55="","",(T55*(1-AO55)*(1-Settings!$C$17)-I55)/(T55*(1-AO55)*(1-Settings!$C$17))),"")</f>
        <v/>
      </c>
      <c r="M55" s="101">
        <f>IFERROR(IF(T55="","",(T55*(1-AP55)*(1-Settings!$D$17)-I55)/(T55*(1-AP55)*(1-Settings!$D$17))),"")</f>
        <v/>
      </c>
      <c r="N55" s="101">
        <f>IFERROR(IF(T55="","",(T55*(1-AQ55)*(1-Settings!$F$17)-I55)/(T55*(1-AQ55)*(1-Settings!$F$17))),"")</f>
        <v/>
      </c>
      <c r="O55" s="101">
        <f>IFERROR(IF(T55="","",(T55*(1-AR55)*(1-Settings!$G$17)-I55)/(T55*(1-AR55)*(1-Settings!$G$17))),"")</f>
        <v/>
      </c>
      <c r="P55" s="101">
        <f>IFERROR(IF(T55="","",(T55*(1-AS55)*(1-Settings!$H$17)-I55)/(T55*(1-AS55)*(1-Settings!$H$17))),"")</f>
        <v/>
      </c>
      <c r="Q55" s="101">
        <f>IFERROR(IF(T55="","",(T55*(1-AT55)*(1-Settings!$I$68)*(1-Settings!$I$17)-I55)/(T55*(1-AT55)*(1-Settings!$I$68)*(1-Settings!$I$17))),"")</f>
        <v/>
      </c>
      <c r="R55" s="91">
        <f>IFERROR(IF(OR(I55="",Z55&gt;=1,Settings!$B$17&gt;=1,AN55&gt;=1),"",IF(MOD(ROUND(I55/(1-Z55)/(1-Settings!$B$17)/(1-AN55),0),10)=0,ROUND(I55/(1-Z55)/(1-Settings!$B$17)/(1-AN55),0)-1,IF(MOD(ROUND(I55/(1-Z55)/(1-Settings!$B$17)/(1-AN55),0),10)&lt;=5,FLOOR(ROUND(I55/(1-Z55)/(1-Settings!$B$17)/(1-AN55),0),10)+6,FLOOR(ROUND(I55/(1-Z55)/(1-Settings!$B$17)/(1-AN55),0),10)+9))),"")</f>
        <v/>
      </c>
      <c r="S55" s="92" t="n">
        <v>400</v>
      </c>
      <c r="T55" s="91">
        <f>IF(S55&lt;&gt;"", IF(MOD(S55,10)=0,S55-1,IF(MOD(S55,10)&lt;=5,FLOOR(S55,10)+6,FLOOR(S55,10)+9)), R55)</f>
        <v/>
      </c>
      <c r="U55" s="87" t="inlineStr">
        <is>
          <t>Основний</t>
        </is>
      </c>
      <c r="V55" s="88" t="n"/>
      <c r="W55" s="88" t="n"/>
      <c r="X55" s="89">
        <f>IFERROR(IF(OR(V55="",W55="",T55=""),"", IF(T55&gt;W55,"Дорогий",IF(T55&lt;V55,"Дешевий","У ринку"))),"")</f>
        <v/>
      </c>
      <c r="Y55" s="90" t="n"/>
      <c r="Z55" s="104">
        <f>CHOOSE(MATCH(IF($U55="","Основний",$U55),{"Трафіковий","Основний","Маржинальний","Сезонний","Стратегічний"},0),0.16,0.19,0.24,0.23,0.28)</f>
        <v/>
      </c>
      <c r="AA55" s="104">
        <f>CHOOSE(MATCH(IF($U55="","Основний",$U55),{"Трафіковий","Основний","Маржинальний","Сезонний","Стратегічний"},0),0.18,0.21,0.26,0.25,0.3)</f>
        <v/>
      </c>
      <c r="AB55" s="104">
        <f>CHOOSE(MATCH(IF($U55="","Основний",$U55),{"Трафіковий","Основний","Маржинальний","Сезонний","Стратегічний"},0),0.19,0.22,0.28,0.26,0.32)</f>
        <v/>
      </c>
      <c r="AC55" s="104">
        <f>CHOOSE(MATCH(IF($U55="","Основний",$U55),{"Трафіковий","Основний","Маржинальний","Сезонний","Стратегічний"},0),0.17,0.2,0.25,0.24,0.28)</f>
        <v/>
      </c>
      <c r="AD55" s="104">
        <f>CHOOSE(MATCH(IF($U55="","Основний",$U55),{"Трафіковий","Основний","Маржинальний","Сезонний","Стратегічний"},0),0.18,0.21,0.26,0.25,0.3)</f>
        <v/>
      </c>
      <c r="AE55" s="104">
        <f>CHOOSE(MATCH(IF($U55="","Основний",$U55),{"Трафіковий","Основний","Маржинальний","Сезонний","Стратегічний"},0),0.18,0.2,0.28,0.27,0.32)</f>
        <v/>
      </c>
      <c r="AF55" s="104">
        <f>CHOOSE(MATCH(IF($U55="","Основний",$U55),{"Трафіковий","Основний","Маржинальний","Сезонний","Стратегічний"},0),0.15,0.175,0.22,0.21,0.25)</f>
        <v/>
      </c>
      <c r="AG55" s="104">
        <f>CHOOSE(MATCH(IF($U55="","Основний",$U55),{"Трафіковий","Основний","Маржинальний","Сезонний","Стратегічний"},0),0.13,0.16,0.21,0.2,0.25)</f>
        <v/>
      </c>
      <c r="AH55" s="104">
        <f>CHOOSE(MATCH(IF($U55="","Основний",$U55),{"Трафіковий","Основний","Маржинальний","Сезонний","Стратегічний"},0),0.15,0.18,0.23,0.22,0.27)</f>
        <v/>
      </c>
      <c r="AI55" s="104">
        <f>CHOOSE(MATCH(IF($U55="","Основний",$U55),{"Трафіковий","Основний","Маржинальний","Сезонний","Стратегічний"},0),0.16,0.19,0.25,0.23,0.29)</f>
        <v/>
      </c>
      <c r="AJ55" s="104">
        <f>CHOOSE(MATCH(IF($U55="","Основний",$U55),{"Трафіковий","Основний","Маржинальний","Сезонний","Стратегічний"},0),0.14,0.17,0.22,0.21,0.25)</f>
        <v/>
      </c>
      <c r="AK55" s="104">
        <f>CHOOSE(MATCH(IF($U55="","Основний",$U55),{"Трафіковий","Основний","Маржинальний","Сезонний","Стратегічний"},0),0.15,0.18,0.23,0.22,0.27)</f>
        <v/>
      </c>
      <c r="AL55" s="104">
        <f>CHOOSE(MATCH(IF($U55="","Основний",$U55),{"Трафіковий","Основний","Маржинальний","Сезонний","Стратегічний"},0),0.15,0.17,0.25,0.24,0.29)</f>
        <v/>
      </c>
      <c r="AM55" s="104">
        <f>CHOOSE(MATCH(IF($U55="","Основний",$U55),{"Трафіковий","Основний","Маржинальний","Сезонний","Стратегічний"},0),0.12,0.145,0.19,0.18,0.22)</f>
        <v/>
      </c>
      <c r="AN55" s="157">
        <f>CHOOSE(MATCH(IF($U55="","Основний",$U55),{"Трафіковий","Основний","Маржинальний","Сезонний","Стратегічний"},0),Settings!$B$78,Settings!$B$80,Settings!$B$82,Settings!$B$84,Settings!$B$86)</f>
        <v/>
      </c>
      <c r="AO55" s="157">
        <f>CHOOSE(MATCH(IF($U55="","Основний",$U55),{"Трафіковий","Основний","Маржинальний","Сезонний","Стратегічний"},0),Settings!$C$78,Settings!$C$80,Settings!$C$82,Settings!$C$84,Settings!$C$86)</f>
        <v/>
      </c>
      <c r="AP55" s="157">
        <f>CHOOSE(MATCH(IF($U55="","Основний",$U55),{"Трафіковий","Основний","Маржинальний","Сезонний","Стратегічний"},0),Settings!$D$78,Settings!$D$80,Settings!$D$82,Settings!$D$84,Settings!$D$86)</f>
        <v/>
      </c>
      <c r="AQ55" s="157">
        <f>CHOOSE(MATCH(IF($U55="","Основний",$U55),{"Трафіковий","Основний","Маржинальний","Сезонний","Стратегічний"},0),Settings!$F$78,Settings!$F$80,Settings!$F$82,Settings!$F$84,Settings!$F$86)</f>
        <v/>
      </c>
      <c r="AR55" s="157">
        <f>CHOOSE(MATCH(IF($U55="","Основний",$U55),{"Трафіковий","Основний","Маржинальний","Сезонний","Стратегічний"},0),Settings!$G$78,Settings!$G$80,Settings!$G$82,Settings!$G$84,Settings!$G$86)</f>
        <v/>
      </c>
      <c r="AS55" s="157">
        <f>CHOOSE(MATCH(IF($U55="","Основний",$U55),{"Трафіковий","Основний","Маржинальний","Сезонний","Стратегічний"},0),Settings!$H$78,Settings!$H$80,Settings!$H$82,Settings!$H$84,Settings!$H$86)</f>
        <v/>
      </c>
      <c r="AT55" s="157">
        <f>CHOOSE(MATCH(IF($U55="","Основний",$U55),{"Трафіковий","Основний","Маржинальний","Сезонний","Стратегічний"},0),Settings!$I$78,Settings!$I$80,Settings!$I$82,Settings!$I$84,Settings!$I$86)</f>
        <v/>
      </c>
      <c r="AU55" s="171" t="n"/>
      <c r="AV55" t="n">
        <v>1.35</v>
      </c>
    </row>
    <row r="56">
      <c r="A56" s="28" t="n"/>
      <c r="B56" s="29" t="inlineStr">
        <is>
          <t>P3531</t>
        </is>
      </c>
      <c r="C56" s="29" t="inlineStr">
        <is>
          <t>HEADLAMP COB+CREE LED 3×AAA</t>
        </is>
      </c>
      <c r="D56" s="29" t="inlineStr">
        <is>
          <t>Ліхтарі</t>
        </is>
      </c>
      <c r="E56" s="28" t="inlineStr">
        <is>
          <t>PC</t>
        </is>
      </c>
      <c r="F56" s="93" t="n">
        <v>8.114000000000001</v>
      </c>
      <c r="G56" s="30" t="n">
        <v>8513100000</v>
      </c>
      <c r="H56" s="31" t="n">
        <v>1.4</v>
      </c>
      <c r="I56" s="84">
        <f>IFERROR(F56*Settings!$B$2*H56*IF(AND(ISNUMBER(E56),E56&gt;1),E56,1),"")</f>
        <v/>
      </c>
      <c r="J56" s="32">
        <f>Settings!$B$66</f>
        <v/>
      </c>
      <c r="K56" s="95">
        <f>IFERROR(IF(T56="","",(T56*(1-AN56)*(1-Settings!$B$17)-I56)/(T56*(1-AN56)*(1-Settings!$B$17))),"")</f>
        <v/>
      </c>
      <c r="L56" s="101">
        <f>IFERROR(IF(T56="","",(T56*(1-AO56)*(1-Settings!$C$17)-I56)/(T56*(1-AO56)*(1-Settings!$C$17))),"")</f>
        <v/>
      </c>
      <c r="M56" s="101">
        <f>IFERROR(IF(T56="","",(T56*(1-AP56)*(1-Settings!$D$17)-I56)/(T56*(1-AP56)*(1-Settings!$D$17))),"")</f>
        <v/>
      </c>
      <c r="N56" s="101">
        <f>IFERROR(IF(T56="","",(T56*(1-AQ56)*(1-Settings!$F$17)-I56)/(T56*(1-AQ56)*(1-Settings!$F$17))),"")</f>
        <v/>
      </c>
      <c r="O56" s="101">
        <f>IFERROR(IF(T56="","",(T56*(1-AR56)*(1-Settings!$G$17)-I56)/(T56*(1-AR56)*(1-Settings!$G$17))),"")</f>
        <v/>
      </c>
      <c r="P56" s="101">
        <f>IFERROR(IF(T56="","",(T56*(1-AS56)*(1-Settings!$H$17)-I56)/(T56*(1-AS56)*(1-Settings!$H$17))),"")</f>
        <v/>
      </c>
      <c r="Q56" s="101">
        <f>IFERROR(IF(T56="","",(T56*(1-AT56)*(1-Settings!$I$68)*(1-Settings!$I$17)-I56)/(T56*(1-AT56)*(1-Settings!$I$68)*(1-Settings!$I$17))),"")</f>
        <v/>
      </c>
      <c r="R56" s="91">
        <f>IFERROR(IF(OR(I56="",Z56&gt;=1,Settings!$B$17&gt;=1,AN56&gt;=1),"",IF(MOD(ROUND(I56/(1-Z56)/(1-Settings!$B$17)/(1-AN56),0),10)=0,ROUND(I56/(1-Z56)/(1-Settings!$B$17)/(1-AN56),0)-1,IF(MOD(ROUND(I56/(1-Z56)/(1-Settings!$B$17)/(1-AN56),0),10)&lt;=5,FLOOR(ROUND(I56/(1-Z56)/(1-Settings!$B$17)/(1-AN56),0),10)+6,FLOOR(ROUND(I56/(1-Z56)/(1-Settings!$B$17)/(1-AN56),0),10)+9))),"")</f>
        <v/>
      </c>
      <c r="S56" s="92" t="n">
        <v>1000</v>
      </c>
      <c r="T56" s="91">
        <f>IF(S56&lt;&gt;"", IF(MOD(S56,10)=0,S56-1,IF(MOD(S56,10)&lt;=5,FLOOR(S56,10)+6,FLOOR(S56,10)+9)), R56)</f>
        <v/>
      </c>
      <c r="U56" s="87" t="inlineStr">
        <is>
          <t>Основний</t>
        </is>
      </c>
      <c r="V56" s="88" t="n"/>
      <c r="W56" s="88" t="n"/>
      <c r="X56" s="89">
        <f>IFERROR(IF(OR(V56="",W56="",T56=""),"", IF(T56&gt;W56,"Дорогий",IF(T56&lt;V56,"Дешевий","У ринку"))),"")</f>
        <v/>
      </c>
      <c r="Y56" s="90" t="n"/>
      <c r="Z56" s="104">
        <f>CHOOSE(MATCH(IF($U56="","Основний",$U56),{"Трафіковий","Основний","Маржинальний","Сезонний","Стратегічний"},0),0.16,0.19,0.24,0.23,0.28)</f>
        <v/>
      </c>
      <c r="AA56" s="104">
        <f>CHOOSE(MATCH(IF($U56="","Основний",$U56),{"Трафіковий","Основний","Маржинальний","Сезонний","Стратегічний"},0),0.18,0.21,0.26,0.25,0.3)</f>
        <v/>
      </c>
      <c r="AB56" s="104">
        <f>CHOOSE(MATCH(IF($U56="","Основний",$U56),{"Трафіковий","Основний","Маржинальний","Сезонний","Стратегічний"},0),0.19,0.22,0.28,0.26,0.32)</f>
        <v/>
      </c>
      <c r="AC56" s="104">
        <f>CHOOSE(MATCH(IF($U56="","Основний",$U56),{"Трафіковий","Основний","Маржинальний","Сезонний","Стратегічний"},0),0.17,0.2,0.25,0.24,0.28)</f>
        <v/>
      </c>
      <c r="AD56" s="104">
        <f>CHOOSE(MATCH(IF($U56="","Основний",$U56),{"Трафіковий","Основний","Маржинальний","Сезонний","Стратегічний"},0),0.18,0.21,0.26,0.25,0.3)</f>
        <v/>
      </c>
      <c r="AE56" s="104">
        <f>CHOOSE(MATCH(IF($U56="","Основний",$U56),{"Трафіковий","Основний","Маржинальний","Сезонний","Стратегічний"},0),0.18,0.2,0.28,0.27,0.32)</f>
        <v/>
      </c>
      <c r="AF56" s="104">
        <f>CHOOSE(MATCH(IF($U56="","Основний",$U56),{"Трафіковий","Основний","Маржинальний","Сезонний","Стратегічний"},0),0.15,0.175,0.22,0.21,0.25)</f>
        <v/>
      </c>
      <c r="AG56" s="104">
        <f>CHOOSE(MATCH(IF($U56="","Основний",$U56),{"Трафіковий","Основний","Маржинальний","Сезонний","Стратегічний"},0),0.13,0.16,0.21,0.2,0.25)</f>
        <v/>
      </c>
      <c r="AH56" s="104">
        <f>CHOOSE(MATCH(IF($U56="","Основний",$U56),{"Трафіковий","Основний","Маржинальний","Сезонний","Стратегічний"},0),0.15,0.18,0.23,0.22,0.27)</f>
        <v/>
      </c>
      <c r="AI56" s="104">
        <f>CHOOSE(MATCH(IF($U56="","Основний",$U56),{"Трафіковий","Основний","Маржинальний","Сезонний","Стратегічний"},0),0.16,0.19,0.25,0.23,0.29)</f>
        <v/>
      </c>
      <c r="AJ56" s="104">
        <f>CHOOSE(MATCH(IF($U56="","Основний",$U56),{"Трафіковий","Основний","Маржинальний","Сезонний","Стратегічний"},0),0.14,0.17,0.22,0.21,0.25)</f>
        <v/>
      </c>
      <c r="AK56" s="104">
        <f>CHOOSE(MATCH(IF($U56="","Основний",$U56),{"Трафіковий","Основний","Маржинальний","Сезонний","Стратегічний"},0),0.15,0.18,0.23,0.22,0.27)</f>
        <v/>
      </c>
      <c r="AL56" s="104">
        <f>CHOOSE(MATCH(IF($U56="","Основний",$U56),{"Трафіковий","Основний","Маржинальний","Сезонний","Стратегічний"},0),0.15,0.17,0.25,0.24,0.29)</f>
        <v/>
      </c>
      <c r="AM56" s="104">
        <f>CHOOSE(MATCH(IF($U56="","Основний",$U56),{"Трафіковий","Основний","Маржинальний","Сезонний","Стратегічний"},0),0.12,0.145,0.19,0.18,0.22)</f>
        <v/>
      </c>
      <c r="AN56" s="157">
        <f>CHOOSE(MATCH(IF($U56="","Основний",$U56),{"Трафіковий","Основний","Маржинальний","Сезонний","Стратегічний"},0),Settings!$B$78,Settings!$B$80,Settings!$B$82,Settings!$B$84,Settings!$B$86)</f>
        <v/>
      </c>
      <c r="AO56" s="157">
        <f>CHOOSE(MATCH(IF($U56="","Основний",$U56),{"Трафіковий","Основний","Маржинальний","Сезонний","Стратегічний"},0),Settings!$C$78,Settings!$C$80,Settings!$C$82,Settings!$C$84,Settings!$C$86)</f>
        <v/>
      </c>
      <c r="AP56" s="157">
        <f>CHOOSE(MATCH(IF($U56="","Основний",$U56),{"Трафіковий","Основний","Маржинальний","Сезонний","Стратегічний"},0),Settings!$D$78,Settings!$D$80,Settings!$D$82,Settings!$D$84,Settings!$D$86)</f>
        <v/>
      </c>
      <c r="AQ56" s="157">
        <f>CHOOSE(MATCH(IF($U56="","Основний",$U56),{"Трафіковий","Основний","Маржинальний","Сезонний","Стратегічний"},0),Settings!$F$78,Settings!$F$80,Settings!$F$82,Settings!$F$84,Settings!$F$86)</f>
        <v/>
      </c>
      <c r="AR56" s="157">
        <f>CHOOSE(MATCH(IF($U56="","Основний",$U56),{"Трафіковий","Основний","Маржинальний","Сезонний","Стратегічний"},0),Settings!$G$78,Settings!$G$80,Settings!$G$82,Settings!$G$84,Settings!$G$86)</f>
        <v/>
      </c>
      <c r="AS56" s="157">
        <f>CHOOSE(MATCH(IF($U56="","Основний",$U56),{"Трафіковий","Основний","Маржинальний","Сезонний","Стратегічний"},0),Settings!$H$78,Settings!$H$80,Settings!$H$82,Settings!$H$84,Settings!$H$86)</f>
        <v/>
      </c>
      <c r="AT56" s="157">
        <f>CHOOSE(MATCH(IF($U56="","Основний",$U56),{"Трафіковий","Основний","Маржинальний","Сезонний","Стратегічний"},0),Settings!$I$78,Settings!$I$80,Settings!$I$82,Settings!$I$84,Settings!$I$86)</f>
        <v/>
      </c>
      <c r="AU56" s="171" t="n"/>
      <c r="AV56" t="n">
        <v>1.35</v>
      </c>
    </row>
    <row r="57">
      <c r="A57" s="173" t="inlineStr">
        <is>
          <t>SELL OUT</t>
        </is>
      </c>
      <c r="B57" s="34" t="inlineStr">
        <is>
          <t>P3532</t>
        </is>
      </c>
      <c r="C57" s="34" t="inlineStr">
        <is>
          <t>HEADLAMP COB LED 3W 3×AAA</t>
        </is>
      </c>
      <c r="D57" s="34" t="inlineStr">
        <is>
          <t>Ліхтарі</t>
        </is>
      </c>
      <c r="E57" s="33" t="inlineStr">
        <is>
          <t>PC</t>
        </is>
      </c>
      <c r="F57" s="94" t="n">
        <v>3.378</v>
      </c>
      <c r="G57" s="35" t="n">
        <v>8513100000</v>
      </c>
      <c r="H57" s="31" t="n">
        <v>1.4</v>
      </c>
      <c r="I57" s="84">
        <f>IFERROR(F57*Settings!$B$2*H57*IF(AND(ISNUMBER(E57),E57&gt;1),E57,1),"")</f>
        <v/>
      </c>
      <c r="J57" s="32">
        <f>Settings!$B$66</f>
        <v/>
      </c>
      <c r="K57" s="95">
        <f>IFERROR(IF(T57="","",(T57*(1-AN57)*(1-Settings!$B$17)-I57)/(T57*(1-AN57)*(1-Settings!$B$17))),"")</f>
        <v/>
      </c>
      <c r="L57" s="101">
        <f>IFERROR(IF(T57="","",(T57*(1-AO57)*(1-Settings!$C$17)-I57)/(T57*(1-AO57)*(1-Settings!$C$17))),"")</f>
        <v/>
      </c>
      <c r="M57" s="101">
        <f>IFERROR(IF(T57="","",(T57*(1-AP57)*(1-Settings!$D$17)-I57)/(T57*(1-AP57)*(1-Settings!$D$17))),"")</f>
        <v/>
      </c>
      <c r="N57" s="101">
        <f>IFERROR(IF(T57="","",(T57*(1-AQ57)*(1-Settings!$F$17)-I57)/(T57*(1-AQ57)*(1-Settings!$F$17))),"")</f>
        <v/>
      </c>
      <c r="O57" s="101">
        <f>IFERROR(IF(T57="","",(T57*(1-AR57)*(1-Settings!$G$17)-I57)/(T57*(1-AR57)*(1-Settings!$G$17))),"")</f>
        <v/>
      </c>
      <c r="P57" s="101">
        <f>IFERROR(IF(T57="","",(T57*(1-AS57)*(1-Settings!$H$17)-I57)/(T57*(1-AS57)*(1-Settings!$H$17))),"")</f>
        <v/>
      </c>
      <c r="Q57" s="101">
        <f>IFERROR(IF(T57="","",(T57*(1-AT57)*(1-Settings!$I$68)*(1-Settings!$I$17)-I57)/(T57*(1-AT57)*(1-Settings!$I$68)*(1-Settings!$I$17))),"")</f>
        <v/>
      </c>
      <c r="R57" s="91">
        <f>IFERROR(IF(OR(I57="",Z57&gt;=1,Settings!$B$17&gt;=1,AN57&gt;=1),"",IF(MOD(ROUND(I57/(1-Z57)/(1-Settings!$B$17)/(1-AN57),0),10)=0,ROUND(I57/(1-Z57)/(1-Settings!$B$17)/(1-AN57),0)-1,IF(MOD(ROUND(I57/(1-Z57)/(1-Settings!$B$17)/(1-AN57),0),10)&lt;=5,FLOOR(ROUND(I57/(1-Z57)/(1-Settings!$B$17)/(1-AN57),0),10)+6,FLOOR(ROUND(I57/(1-Z57)/(1-Settings!$B$17)/(1-AN57),0),10)+9))),"")</f>
        <v/>
      </c>
      <c r="S57" s="92" t="n">
        <v>400</v>
      </c>
      <c r="T57" s="91">
        <f>IF(S57&lt;&gt;"", IF(MOD(S57,10)=0,S57-1,IF(MOD(S57,10)&lt;=5,FLOOR(S57,10)+6,FLOOR(S57,10)+9)), R57)</f>
        <v/>
      </c>
      <c r="U57" s="87" t="inlineStr">
        <is>
          <t>Основний</t>
        </is>
      </c>
      <c r="V57" s="88" t="n"/>
      <c r="W57" s="88" t="n"/>
      <c r="X57" s="89">
        <f>IFERROR(IF(OR(V57="",W57="",T57=""),"", IF(T57&gt;W57,"Дорогий",IF(T57&lt;V57,"Дешевий","У ринку"))),"")</f>
        <v/>
      </c>
      <c r="Y57" s="90" t="n"/>
      <c r="Z57" s="104">
        <f>CHOOSE(MATCH(IF($U57="","Основний",$U57),{"Трафіковий","Основний","Маржинальний","Сезонний","Стратегічний"},0),0.16,0.19,0.24,0.23,0.28)</f>
        <v/>
      </c>
      <c r="AA57" s="104">
        <f>CHOOSE(MATCH(IF($U57="","Основний",$U57),{"Трафіковий","Основний","Маржинальний","Сезонний","Стратегічний"},0),0.18,0.21,0.26,0.25,0.3)</f>
        <v/>
      </c>
      <c r="AB57" s="104">
        <f>CHOOSE(MATCH(IF($U57="","Основний",$U57),{"Трафіковий","Основний","Маржинальний","Сезонний","Стратегічний"},0),0.19,0.22,0.28,0.26,0.32)</f>
        <v/>
      </c>
      <c r="AC57" s="104">
        <f>CHOOSE(MATCH(IF($U57="","Основний",$U57),{"Трафіковий","Основний","Маржинальний","Сезонний","Стратегічний"},0),0.17,0.2,0.25,0.24,0.28)</f>
        <v/>
      </c>
      <c r="AD57" s="104">
        <f>CHOOSE(MATCH(IF($U57="","Основний",$U57),{"Трафіковий","Основний","Маржинальний","Сезонний","Стратегічний"},0),0.18,0.21,0.26,0.25,0.3)</f>
        <v/>
      </c>
      <c r="AE57" s="104">
        <f>CHOOSE(MATCH(IF($U57="","Основний",$U57),{"Трафіковий","Основний","Маржинальний","Сезонний","Стратегічний"},0),0.18,0.2,0.28,0.27,0.32)</f>
        <v/>
      </c>
      <c r="AF57" s="104">
        <f>CHOOSE(MATCH(IF($U57="","Основний",$U57),{"Трафіковий","Основний","Маржинальний","Сезонний","Стратегічний"},0),0.15,0.175,0.22,0.21,0.25)</f>
        <v/>
      </c>
      <c r="AG57" s="104">
        <f>CHOOSE(MATCH(IF($U57="","Основний",$U57),{"Трафіковий","Основний","Маржинальний","Сезонний","Стратегічний"},0),0.13,0.16,0.21,0.2,0.25)</f>
        <v/>
      </c>
      <c r="AH57" s="104">
        <f>CHOOSE(MATCH(IF($U57="","Основний",$U57),{"Трафіковий","Основний","Маржинальний","Сезонний","Стратегічний"},0),0.15,0.18,0.23,0.22,0.27)</f>
        <v/>
      </c>
      <c r="AI57" s="104">
        <f>CHOOSE(MATCH(IF($U57="","Основний",$U57),{"Трафіковий","Основний","Маржинальний","Сезонний","Стратегічний"},0),0.16,0.19,0.25,0.23,0.29)</f>
        <v/>
      </c>
      <c r="AJ57" s="104">
        <f>CHOOSE(MATCH(IF($U57="","Основний",$U57),{"Трафіковий","Основний","Маржинальний","Сезонний","Стратегічний"},0),0.14,0.17,0.22,0.21,0.25)</f>
        <v/>
      </c>
      <c r="AK57" s="104">
        <f>CHOOSE(MATCH(IF($U57="","Основний",$U57),{"Трафіковий","Основний","Маржинальний","Сезонний","Стратегічний"},0),0.15,0.18,0.23,0.22,0.27)</f>
        <v/>
      </c>
      <c r="AL57" s="104">
        <f>CHOOSE(MATCH(IF($U57="","Основний",$U57),{"Трафіковий","Основний","Маржинальний","Сезонний","Стратегічний"},0),0.15,0.17,0.25,0.24,0.29)</f>
        <v/>
      </c>
      <c r="AM57" s="104">
        <f>CHOOSE(MATCH(IF($U57="","Основний",$U57),{"Трафіковий","Основний","Маржинальний","Сезонний","Стратегічний"},0),0.12,0.145,0.19,0.18,0.22)</f>
        <v/>
      </c>
      <c r="AN57" s="157">
        <f>CHOOSE(MATCH(IF($U57="","Основний",$U57),{"Трафіковий","Основний","Маржинальний","Сезонний","Стратегічний"},0),Settings!$B$78,Settings!$B$80,Settings!$B$82,Settings!$B$84,Settings!$B$86)</f>
        <v/>
      </c>
      <c r="AO57" s="157">
        <f>CHOOSE(MATCH(IF($U57="","Основний",$U57),{"Трафіковий","Основний","Маржинальний","Сезонний","Стратегічний"},0),Settings!$C$78,Settings!$C$80,Settings!$C$82,Settings!$C$84,Settings!$C$86)</f>
        <v/>
      </c>
      <c r="AP57" s="157">
        <f>CHOOSE(MATCH(IF($U57="","Основний",$U57),{"Трафіковий","Основний","Маржинальний","Сезонний","Стратегічний"},0),Settings!$D$78,Settings!$D$80,Settings!$D$82,Settings!$D$84,Settings!$D$86)</f>
        <v/>
      </c>
      <c r="AQ57" s="157">
        <f>CHOOSE(MATCH(IF($U57="","Основний",$U57),{"Трафіковий","Основний","Маржинальний","Сезонний","Стратегічний"},0),Settings!$F$78,Settings!$F$80,Settings!$F$82,Settings!$F$84,Settings!$F$86)</f>
        <v/>
      </c>
      <c r="AR57" s="157">
        <f>CHOOSE(MATCH(IF($U57="","Основний",$U57),{"Трафіковий","Основний","Маржинальний","Сезонний","Стратегічний"},0),Settings!$G$78,Settings!$G$80,Settings!$G$82,Settings!$G$84,Settings!$G$86)</f>
        <v/>
      </c>
      <c r="AS57" s="157">
        <f>CHOOSE(MATCH(IF($U57="","Основний",$U57),{"Трафіковий","Основний","Маржинальний","Сезонний","Стратегічний"},0),Settings!$H$78,Settings!$H$80,Settings!$H$82,Settings!$H$84,Settings!$H$86)</f>
        <v/>
      </c>
      <c r="AT57" s="157">
        <f>CHOOSE(MATCH(IF($U57="","Основний",$U57),{"Трафіковий","Основний","Маржинальний","Сезонний","Стратегічний"},0),Settings!$I$78,Settings!$I$80,Settings!$I$82,Settings!$I$84,Settings!$I$86)</f>
        <v/>
      </c>
      <c r="AU57" s="171" t="n"/>
      <c r="AV57" t="n">
        <v>1.35</v>
      </c>
    </row>
    <row r="58">
      <c r="A58" s="28" t="n"/>
      <c r="B58" s="29" t="inlineStr">
        <is>
          <t>P3534</t>
        </is>
      </c>
      <c r="C58" s="29" t="inlineStr">
        <is>
          <t>HEADLAMP LED CREE 5W RECHARGE.</t>
        </is>
      </c>
      <c r="D58" s="29" t="inlineStr">
        <is>
          <t>Ліхтарі</t>
        </is>
      </c>
      <c r="E58" s="28" t="inlineStr">
        <is>
          <t>PC</t>
        </is>
      </c>
      <c r="F58" s="93" t="n">
        <v>8.173</v>
      </c>
      <c r="G58" s="30" t="n">
        <v>8513100000</v>
      </c>
      <c r="H58" s="31" t="n">
        <v>1.4</v>
      </c>
      <c r="I58" s="84">
        <f>IFERROR(F58*Settings!$B$2*H58*IF(AND(ISNUMBER(E58),E58&gt;1),E58,1),"")</f>
        <v/>
      </c>
      <c r="J58" s="32">
        <f>Settings!$B$66</f>
        <v/>
      </c>
      <c r="K58" s="95">
        <f>IFERROR(IF(T58="","",(T58*(1-AN58)*(1-Settings!$B$17)-I58)/(T58*(1-AN58)*(1-Settings!$B$17))),"")</f>
        <v/>
      </c>
      <c r="L58" s="101">
        <f>IFERROR(IF(T58="","",(T58*(1-AO58)*(1-Settings!$C$17)-I58)/(T58*(1-AO58)*(1-Settings!$C$17))),"")</f>
        <v/>
      </c>
      <c r="M58" s="101">
        <f>IFERROR(IF(T58="","",(T58*(1-AP58)*(1-Settings!$D$17)-I58)/(T58*(1-AP58)*(1-Settings!$D$17))),"")</f>
        <v/>
      </c>
      <c r="N58" s="101">
        <f>IFERROR(IF(T58="","",(T58*(1-AQ58)*(1-Settings!$F$17)-I58)/(T58*(1-AQ58)*(1-Settings!$F$17))),"")</f>
        <v/>
      </c>
      <c r="O58" s="101">
        <f>IFERROR(IF(T58="","",(T58*(1-AR58)*(1-Settings!$G$17)-I58)/(T58*(1-AR58)*(1-Settings!$G$17))),"")</f>
        <v/>
      </c>
      <c r="P58" s="101">
        <f>IFERROR(IF(T58="","",(T58*(1-AS58)*(1-Settings!$H$17)-I58)/(T58*(1-AS58)*(1-Settings!$H$17))),"")</f>
        <v/>
      </c>
      <c r="Q58" s="101">
        <f>IFERROR(IF(T58="","",(T58*(1-AT58)*(1-Settings!$I$68)*(1-Settings!$I$17)-I58)/(T58*(1-AT58)*(1-Settings!$I$68)*(1-Settings!$I$17))),"")</f>
        <v/>
      </c>
      <c r="R58" s="91">
        <f>IFERROR(IF(OR(I58="",Z58&gt;=1,Settings!$B$17&gt;=1,AN58&gt;=1),"",IF(MOD(ROUND(I58/(1-Z58)/(1-Settings!$B$17)/(1-AN58),0),10)=0,ROUND(I58/(1-Z58)/(1-Settings!$B$17)/(1-AN58),0)-1,IF(MOD(ROUND(I58/(1-Z58)/(1-Settings!$B$17)/(1-AN58),0),10)&lt;=5,FLOOR(ROUND(I58/(1-Z58)/(1-Settings!$B$17)/(1-AN58),0),10)+6,FLOOR(ROUND(I58/(1-Z58)/(1-Settings!$B$17)/(1-AN58),0),10)+9))),"")</f>
        <v/>
      </c>
      <c r="S58" s="92" t="n">
        <v>1070</v>
      </c>
      <c r="T58" s="91">
        <f>IF(S58&lt;&gt;"", IF(MOD(S58,10)=0,S58-1,IF(MOD(S58,10)&lt;=5,FLOOR(S58,10)+6,FLOOR(S58,10)+9)), R58)</f>
        <v/>
      </c>
      <c r="U58" s="87" t="inlineStr">
        <is>
          <t>Основний</t>
        </is>
      </c>
      <c r="V58" s="88" t="n"/>
      <c r="W58" s="88" t="n"/>
      <c r="X58" s="89">
        <f>IFERROR(IF(OR(V58="",W58="",T58=""),"", IF(T58&gt;W58,"Дорогий",IF(T58&lt;V58,"Дешевий","У ринку"))),"")</f>
        <v/>
      </c>
      <c r="Y58" s="90" t="n"/>
      <c r="Z58" s="104">
        <f>CHOOSE(MATCH(IF($U58="","Основний",$U58),{"Трафіковий","Основний","Маржинальний","Сезонний","Стратегічний"},0),0.16,0.19,0.24,0.23,0.28)</f>
        <v/>
      </c>
      <c r="AA58" s="104">
        <f>CHOOSE(MATCH(IF($U58="","Основний",$U58),{"Трафіковий","Основний","Маржинальний","Сезонний","Стратегічний"},0),0.18,0.21,0.26,0.25,0.3)</f>
        <v/>
      </c>
      <c r="AB58" s="104">
        <f>CHOOSE(MATCH(IF($U58="","Основний",$U58),{"Трафіковий","Основний","Маржинальний","Сезонний","Стратегічний"},0),0.19,0.22,0.28,0.26,0.32)</f>
        <v/>
      </c>
      <c r="AC58" s="104">
        <f>CHOOSE(MATCH(IF($U58="","Основний",$U58),{"Трафіковий","Основний","Маржинальний","Сезонний","Стратегічний"},0),0.17,0.2,0.25,0.24,0.28)</f>
        <v/>
      </c>
      <c r="AD58" s="104">
        <f>CHOOSE(MATCH(IF($U58="","Основний",$U58),{"Трафіковий","Основний","Маржинальний","Сезонний","Стратегічний"},0),0.18,0.21,0.26,0.25,0.3)</f>
        <v/>
      </c>
      <c r="AE58" s="104">
        <f>CHOOSE(MATCH(IF($U58="","Основний",$U58),{"Трафіковий","Основний","Маржинальний","Сезонний","Стратегічний"},0),0.18,0.2,0.28,0.27,0.32)</f>
        <v/>
      </c>
      <c r="AF58" s="104">
        <f>CHOOSE(MATCH(IF($U58="","Основний",$U58),{"Трафіковий","Основний","Маржинальний","Сезонний","Стратегічний"},0),0.15,0.175,0.22,0.21,0.25)</f>
        <v/>
      </c>
      <c r="AG58" s="104">
        <f>CHOOSE(MATCH(IF($U58="","Основний",$U58),{"Трафіковий","Основний","Маржинальний","Сезонний","Стратегічний"},0),0.13,0.16,0.21,0.2,0.25)</f>
        <v/>
      </c>
      <c r="AH58" s="104">
        <f>CHOOSE(MATCH(IF($U58="","Основний",$U58),{"Трафіковий","Основний","Маржинальний","Сезонний","Стратегічний"},0),0.15,0.18,0.23,0.22,0.27)</f>
        <v/>
      </c>
      <c r="AI58" s="104">
        <f>CHOOSE(MATCH(IF($U58="","Основний",$U58),{"Трафіковий","Основний","Маржинальний","Сезонний","Стратегічний"},0),0.16,0.19,0.25,0.23,0.29)</f>
        <v/>
      </c>
      <c r="AJ58" s="104">
        <f>CHOOSE(MATCH(IF($U58="","Основний",$U58),{"Трафіковий","Основний","Маржинальний","Сезонний","Стратегічний"},0),0.14,0.17,0.22,0.21,0.25)</f>
        <v/>
      </c>
      <c r="AK58" s="104">
        <f>CHOOSE(MATCH(IF($U58="","Основний",$U58),{"Трафіковий","Основний","Маржинальний","Сезонний","Стратегічний"},0),0.15,0.18,0.23,0.22,0.27)</f>
        <v/>
      </c>
      <c r="AL58" s="104">
        <f>CHOOSE(MATCH(IF($U58="","Основний",$U58),{"Трафіковий","Основний","Маржинальний","Сезонний","Стратегічний"},0),0.15,0.17,0.25,0.24,0.29)</f>
        <v/>
      </c>
      <c r="AM58" s="104">
        <f>CHOOSE(MATCH(IF($U58="","Основний",$U58),{"Трафіковий","Основний","Маржинальний","Сезонний","Стратегічний"},0),0.12,0.145,0.19,0.18,0.22)</f>
        <v/>
      </c>
      <c r="AN58" s="157">
        <f>CHOOSE(MATCH(IF($U58="","Основний",$U58),{"Трафіковий","Основний","Маржинальний","Сезонний","Стратегічний"},0),Settings!$B$78,Settings!$B$80,Settings!$B$82,Settings!$B$84,Settings!$B$86)</f>
        <v/>
      </c>
      <c r="AO58" s="157">
        <f>CHOOSE(MATCH(IF($U58="","Основний",$U58),{"Трафіковий","Основний","Маржинальний","Сезонний","Стратегічний"},0),Settings!$C$78,Settings!$C$80,Settings!$C$82,Settings!$C$84,Settings!$C$86)</f>
        <v/>
      </c>
      <c r="AP58" s="157">
        <f>CHOOSE(MATCH(IF($U58="","Основний",$U58),{"Трафіковий","Основний","Маржинальний","Сезонний","Стратегічний"},0),Settings!$D$78,Settings!$D$80,Settings!$D$82,Settings!$D$84,Settings!$D$86)</f>
        <v/>
      </c>
      <c r="AQ58" s="157">
        <f>CHOOSE(MATCH(IF($U58="","Основний",$U58),{"Трафіковий","Основний","Маржинальний","Сезонний","Стратегічний"},0),Settings!$F$78,Settings!$F$80,Settings!$F$82,Settings!$F$84,Settings!$F$86)</f>
        <v/>
      </c>
      <c r="AR58" s="157">
        <f>CHOOSE(MATCH(IF($U58="","Основний",$U58),{"Трафіковий","Основний","Маржинальний","Сезонний","Стратегічний"},0),Settings!$G$78,Settings!$G$80,Settings!$G$82,Settings!$G$84,Settings!$G$86)</f>
        <v/>
      </c>
      <c r="AS58" s="157">
        <f>CHOOSE(MATCH(IF($U58="","Основний",$U58),{"Трафіковий","Основний","Маржинальний","Сезонний","Стратегічний"},0),Settings!$H$78,Settings!$H$80,Settings!$H$82,Settings!$H$84,Settings!$H$86)</f>
        <v/>
      </c>
      <c r="AT58" s="157">
        <f>CHOOSE(MATCH(IF($U58="","Основний",$U58),{"Трафіковий","Основний","Маржинальний","Сезонний","Стратегічний"},0),Settings!$I$78,Settings!$I$80,Settings!$I$82,Settings!$I$84,Settings!$I$86)</f>
        <v/>
      </c>
      <c r="AU58" s="171" t="n"/>
      <c r="AV58" t="n">
        <v>1.35</v>
      </c>
    </row>
    <row r="59">
      <c r="A59" s="173" t="inlineStr">
        <is>
          <t>SELL OUT</t>
        </is>
      </c>
      <c r="B59" s="34" t="inlineStr">
        <is>
          <t>P3535</t>
        </is>
      </c>
      <c r="C59" s="34" t="inlineStr">
        <is>
          <t>RECHARGABLE 3W CREE LED HEADLAMP 3 IN 1</t>
        </is>
      </c>
      <c r="D59" s="34" t="inlineStr">
        <is>
          <t>Ліхтарі</t>
        </is>
      </c>
      <c r="E59" s="33" t="inlineStr">
        <is>
          <t>PC</t>
        </is>
      </c>
      <c r="F59" s="94" t="n">
        <v>6.965</v>
      </c>
      <c r="G59" s="35" t="n">
        <v>8513100000</v>
      </c>
      <c r="H59" s="31" t="n">
        <v>1.4</v>
      </c>
      <c r="I59" s="84">
        <f>IFERROR(F59*Settings!$B$2*H59*IF(AND(ISNUMBER(E59),E59&gt;1),E59,1),"")</f>
        <v/>
      </c>
      <c r="J59" s="32">
        <f>Settings!$B$66</f>
        <v/>
      </c>
      <c r="K59" s="95">
        <f>IFERROR(IF(T59="","",(T59*(1-AN59)*(1-Settings!$B$17)-I59)/(T59*(1-AN59)*(1-Settings!$B$17))),"")</f>
        <v/>
      </c>
      <c r="L59" s="101">
        <f>IFERROR(IF(T59="","",(T59*(1-AO59)*(1-Settings!$C$17)-I59)/(T59*(1-AO59)*(1-Settings!$C$17))),"")</f>
        <v/>
      </c>
      <c r="M59" s="101">
        <f>IFERROR(IF(T59="","",(T59*(1-AP59)*(1-Settings!$D$17)-I59)/(T59*(1-AP59)*(1-Settings!$D$17))),"")</f>
        <v/>
      </c>
      <c r="N59" s="101">
        <f>IFERROR(IF(T59="","",(T59*(1-AQ59)*(1-Settings!$F$17)-I59)/(T59*(1-AQ59)*(1-Settings!$F$17))),"")</f>
        <v/>
      </c>
      <c r="O59" s="101">
        <f>IFERROR(IF(T59="","",(T59*(1-AR59)*(1-Settings!$G$17)-I59)/(T59*(1-AR59)*(1-Settings!$G$17))),"")</f>
        <v/>
      </c>
      <c r="P59" s="101">
        <f>IFERROR(IF(T59="","",(T59*(1-AS59)*(1-Settings!$H$17)-I59)/(T59*(1-AS59)*(1-Settings!$H$17))),"")</f>
        <v/>
      </c>
      <c r="Q59" s="101">
        <f>IFERROR(IF(T59="","",(T59*(1-AT59)*(1-Settings!$I$68)*(1-Settings!$I$17)-I59)/(T59*(1-AT59)*(1-Settings!$I$68)*(1-Settings!$I$17))),"")</f>
        <v/>
      </c>
      <c r="R59" s="91">
        <f>IFERROR(IF(OR(I59="",Z59&gt;=1,Settings!$B$17&gt;=1,AN59&gt;=1),"",IF(MOD(ROUND(I59/(1-Z59)/(1-Settings!$B$17)/(1-AN59),0),10)=0,ROUND(I59/(1-Z59)/(1-Settings!$B$17)/(1-AN59),0)-1,IF(MOD(ROUND(I59/(1-Z59)/(1-Settings!$B$17)/(1-AN59),0),10)&lt;=5,FLOOR(ROUND(I59/(1-Z59)/(1-Settings!$B$17)/(1-AN59),0),10)+6,FLOOR(ROUND(I59/(1-Z59)/(1-Settings!$B$17)/(1-AN59),0),10)+9))),"")</f>
        <v/>
      </c>
      <c r="S59" s="92" t="n">
        <v>679</v>
      </c>
      <c r="T59" s="91">
        <f>IF(S59&lt;&gt;"", IF(MOD(S59,10)=0,S59-1,IF(MOD(S59,10)&lt;=5,FLOOR(S59,10)+6,FLOOR(S59,10)+9)), R59)</f>
        <v/>
      </c>
      <c r="U59" s="87" t="inlineStr">
        <is>
          <t>Основний</t>
        </is>
      </c>
      <c r="V59" s="88" t="n"/>
      <c r="W59" s="88" t="n"/>
      <c r="X59" s="89">
        <f>IFERROR(IF(OR(V59="",W59="",T59=""),"", IF(T59&gt;W59,"Дорогий",IF(T59&lt;V59,"Дешевий","У ринку"))),"")</f>
        <v/>
      </c>
      <c r="Y59" s="90" t="n"/>
      <c r="Z59" s="104">
        <f>CHOOSE(MATCH(IF($U59="","Основний",$U59),{"Трафіковий","Основний","Маржинальний","Сезонний","Стратегічний"},0),0.16,0.19,0.24,0.23,0.28)</f>
        <v/>
      </c>
      <c r="AA59" s="104">
        <f>CHOOSE(MATCH(IF($U59="","Основний",$U59),{"Трафіковий","Основний","Маржинальний","Сезонний","Стратегічний"},0),0.18,0.21,0.26,0.25,0.3)</f>
        <v/>
      </c>
      <c r="AB59" s="104">
        <f>CHOOSE(MATCH(IF($U59="","Основний",$U59),{"Трафіковий","Основний","Маржинальний","Сезонний","Стратегічний"},0),0.19,0.22,0.28,0.26,0.32)</f>
        <v/>
      </c>
      <c r="AC59" s="104">
        <f>CHOOSE(MATCH(IF($U59="","Основний",$U59),{"Трафіковий","Основний","Маржинальний","Сезонний","Стратегічний"},0),0.17,0.2,0.25,0.24,0.28)</f>
        <v/>
      </c>
      <c r="AD59" s="104">
        <f>CHOOSE(MATCH(IF($U59="","Основний",$U59),{"Трафіковий","Основний","Маржинальний","Сезонний","Стратегічний"},0),0.18,0.21,0.26,0.25,0.3)</f>
        <v/>
      </c>
      <c r="AE59" s="104">
        <f>CHOOSE(MATCH(IF($U59="","Основний",$U59),{"Трафіковий","Основний","Маржинальний","Сезонний","Стратегічний"},0),0.18,0.2,0.28,0.27,0.32)</f>
        <v/>
      </c>
      <c r="AF59" s="104">
        <f>CHOOSE(MATCH(IF($U59="","Основний",$U59),{"Трафіковий","Основний","Маржинальний","Сезонний","Стратегічний"},0),0.15,0.175,0.22,0.21,0.25)</f>
        <v/>
      </c>
      <c r="AG59" s="104">
        <f>CHOOSE(MATCH(IF($U59="","Основний",$U59),{"Трафіковий","Основний","Маржинальний","Сезонний","Стратегічний"},0),0.13,0.16,0.21,0.2,0.25)</f>
        <v/>
      </c>
      <c r="AH59" s="104">
        <f>CHOOSE(MATCH(IF($U59="","Основний",$U59),{"Трафіковий","Основний","Маржинальний","Сезонний","Стратегічний"},0),0.15,0.18,0.23,0.22,0.27)</f>
        <v/>
      </c>
      <c r="AI59" s="104">
        <f>CHOOSE(MATCH(IF($U59="","Основний",$U59),{"Трафіковий","Основний","Маржинальний","Сезонний","Стратегічний"},0),0.16,0.19,0.25,0.23,0.29)</f>
        <v/>
      </c>
      <c r="AJ59" s="104">
        <f>CHOOSE(MATCH(IF($U59="","Основний",$U59),{"Трафіковий","Основний","Маржинальний","Сезонний","Стратегічний"},0),0.14,0.17,0.22,0.21,0.25)</f>
        <v/>
      </c>
      <c r="AK59" s="104">
        <f>CHOOSE(MATCH(IF($U59="","Основний",$U59),{"Трафіковий","Основний","Маржинальний","Сезонний","Стратегічний"},0),0.15,0.18,0.23,0.22,0.27)</f>
        <v/>
      </c>
      <c r="AL59" s="104">
        <f>CHOOSE(MATCH(IF($U59="","Основний",$U59),{"Трафіковий","Основний","Маржинальний","Сезонний","Стратегічний"},0),0.15,0.17,0.25,0.24,0.29)</f>
        <v/>
      </c>
      <c r="AM59" s="104">
        <f>CHOOSE(MATCH(IF($U59="","Основний",$U59),{"Трафіковий","Основний","Маржинальний","Сезонний","Стратегічний"},0),0.12,0.145,0.19,0.18,0.22)</f>
        <v/>
      </c>
      <c r="AN59" s="157">
        <f>CHOOSE(MATCH(IF($U59="","Основний",$U59),{"Трафіковий","Основний","Маржинальний","Сезонний","Стратегічний"},0),Settings!$B$78,Settings!$B$80,Settings!$B$82,Settings!$B$84,Settings!$B$86)</f>
        <v/>
      </c>
      <c r="AO59" s="157">
        <f>CHOOSE(MATCH(IF($U59="","Основний",$U59),{"Трафіковий","Основний","Маржинальний","Сезонний","Стратегічний"},0),Settings!$C$78,Settings!$C$80,Settings!$C$82,Settings!$C$84,Settings!$C$86)</f>
        <v/>
      </c>
      <c r="AP59" s="157">
        <f>CHOOSE(MATCH(IF($U59="","Основний",$U59),{"Трафіковий","Основний","Маржинальний","Сезонний","Стратегічний"},0),Settings!$D$78,Settings!$D$80,Settings!$D$82,Settings!$D$84,Settings!$D$86)</f>
        <v/>
      </c>
      <c r="AQ59" s="157">
        <f>CHOOSE(MATCH(IF($U59="","Основний",$U59),{"Трафіковий","Основний","Маржинальний","Сезонний","Стратегічний"},0),Settings!$F$78,Settings!$F$80,Settings!$F$82,Settings!$F$84,Settings!$F$86)</f>
        <v/>
      </c>
      <c r="AR59" s="157">
        <f>CHOOSE(MATCH(IF($U59="","Основний",$U59),{"Трафіковий","Основний","Маржинальний","Сезонний","Стратегічний"},0),Settings!$G$78,Settings!$G$80,Settings!$G$82,Settings!$G$84,Settings!$G$86)</f>
        <v/>
      </c>
      <c r="AS59" s="157">
        <f>CHOOSE(MATCH(IF($U59="","Основний",$U59),{"Трафіковий","Основний","Маржинальний","Сезонний","Стратегічний"},0),Settings!$H$78,Settings!$H$80,Settings!$H$82,Settings!$H$84,Settings!$H$86)</f>
        <v/>
      </c>
      <c r="AT59" s="157">
        <f>CHOOSE(MATCH(IF($U59="","Основний",$U59),{"Трафіковий","Основний","Маржинальний","Сезонний","Стратегічний"},0),Settings!$I$78,Settings!$I$80,Settings!$I$82,Settings!$I$84,Settings!$I$86)</f>
        <v/>
      </c>
      <c r="AU59" s="171" t="n"/>
      <c r="AV59" t="n">
        <v>1.35</v>
      </c>
    </row>
    <row r="60">
      <c r="A60" s="28" t="n"/>
      <c r="B60" s="29" t="inlineStr">
        <is>
          <t>P3536</t>
        </is>
      </c>
      <c r="C60" s="29" t="inlineStr">
        <is>
          <t>HEADLAMP 3W LED + COB</t>
        </is>
      </c>
      <c r="D60" s="29" t="inlineStr">
        <is>
          <t>Ліхтарі</t>
        </is>
      </c>
      <c r="E60" s="28" t="inlineStr">
        <is>
          <t>PC</t>
        </is>
      </c>
      <c r="F60" s="93" t="n">
        <v>3.947</v>
      </c>
      <c r="G60" s="30" t="n">
        <v>8513100000</v>
      </c>
      <c r="H60" s="31" t="n">
        <v>1.4</v>
      </c>
      <c r="I60" s="84">
        <f>IFERROR(F60*Settings!$B$2*H60*IF(AND(ISNUMBER(E60),E60&gt;1),E60,1),"")</f>
        <v/>
      </c>
      <c r="J60" s="32">
        <f>Settings!$B$66</f>
        <v/>
      </c>
      <c r="K60" s="95">
        <f>IFERROR(IF(T60="","",(T60*(1-AN60)*(1-Settings!$B$17)-I60)/(T60*(1-AN60)*(1-Settings!$B$17))),"")</f>
        <v/>
      </c>
      <c r="L60" s="101">
        <f>IFERROR(IF(T60="","",(T60*(1-AO60)*(1-Settings!$C$17)-I60)/(T60*(1-AO60)*(1-Settings!$C$17))),"")</f>
        <v/>
      </c>
      <c r="M60" s="101">
        <f>IFERROR(IF(T60="","",(T60*(1-AP60)*(1-Settings!$D$17)-I60)/(T60*(1-AP60)*(1-Settings!$D$17))),"")</f>
        <v/>
      </c>
      <c r="N60" s="101">
        <f>IFERROR(IF(T60="","",(T60*(1-AQ60)*(1-Settings!$F$17)-I60)/(T60*(1-AQ60)*(1-Settings!$F$17))),"")</f>
        <v/>
      </c>
      <c r="O60" s="101">
        <f>IFERROR(IF(T60="","",(T60*(1-AR60)*(1-Settings!$G$17)-I60)/(T60*(1-AR60)*(1-Settings!$G$17))),"")</f>
        <v/>
      </c>
      <c r="P60" s="101">
        <f>IFERROR(IF(T60="","",(T60*(1-AS60)*(1-Settings!$H$17)-I60)/(T60*(1-AS60)*(1-Settings!$H$17))),"")</f>
        <v/>
      </c>
      <c r="Q60" s="101">
        <f>IFERROR(IF(T60="","",(T60*(1-AT60)*(1-Settings!$I$68)*(1-Settings!$I$17)-I60)/(T60*(1-AT60)*(1-Settings!$I$68)*(1-Settings!$I$17))),"")</f>
        <v/>
      </c>
      <c r="R60" s="91">
        <f>IFERROR(IF(OR(I60="",Z60&gt;=1,Settings!$B$17&gt;=1,AN60&gt;=1),"",IF(MOD(ROUND(I60/(1-Z60)/(1-Settings!$B$17)/(1-AN60),0),10)=0,ROUND(I60/(1-Z60)/(1-Settings!$B$17)/(1-AN60),0)-1,IF(MOD(ROUND(I60/(1-Z60)/(1-Settings!$B$17)/(1-AN60),0),10)&lt;=5,FLOOR(ROUND(I60/(1-Z60)/(1-Settings!$B$17)/(1-AN60),0),10)+6,FLOOR(ROUND(I60/(1-Z60)/(1-Settings!$B$17)/(1-AN60),0),10)+9))),"")</f>
        <v/>
      </c>
      <c r="S60" s="92" t="n">
        <v>530</v>
      </c>
      <c r="T60" s="91">
        <f>IF(S60&lt;&gt;"", IF(MOD(S60,10)=0,S60-1,IF(MOD(S60,10)&lt;=5,FLOOR(S60,10)+6,FLOOR(S60,10)+9)), R60)</f>
        <v/>
      </c>
      <c r="U60" s="87" t="inlineStr">
        <is>
          <t>Основний</t>
        </is>
      </c>
      <c r="V60" s="88" t="n"/>
      <c r="W60" s="88" t="n"/>
      <c r="X60" s="89">
        <f>IFERROR(IF(OR(V60="",W60="",T60=""),"", IF(T60&gt;W60,"Дорогий",IF(T60&lt;V60,"Дешевий","У ринку"))),"")</f>
        <v/>
      </c>
      <c r="Y60" s="90" t="n"/>
      <c r="Z60" s="104">
        <f>CHOOSE(MATCH(IF($U60="","Основний",$U60),{"Трафіковий","Основний","Маржинальний","Сезонний","Стратегічний"},0),0.16,0.19,0.24,0.23,0.28)</f>
        <v/>
      </c>
      <c r="AA60" s="104">
        <f>CHOOSE(MATCH(IF($U60="","Основний",$U60),{"Трафіковий","Основний","Маржинальний","Сезонний","Стратегічний"},0),0.18,0.21,0.26,0.25,0.3)</f>
        <v/>
      </c>
      <c r="AB60" s="104">
        <f>CHOOSE(MATCH(IF($U60="","Основний",$U60),{"Трафіковий","Основний","Маржинальний","Сезонний","Стратегічний"},0),0.19,0.22,0.28,0.26,0.32)</f>
        <v/>
      </c>
      <c r="AC60" s="104">
        <f>CHOOSE(MATCH(IF($U60="","Основний",$U60),{"Трафіковий","Основний","Маржинальний","Сезонний","Стратегічний"},0),0.17,0.2,0.25,0.24,0.28)</f>
        <v/>
      </c>
      <c r="AD60" s="104">
        <f>CHOOSE(MATCH(IF($U60="","Основний",$U60),{"Трафіковий","Основний","Маржинальний","Сезонний","Стратегічний"},0),0.18,0.21,0.26,0.25,0.3)</f>
        <v/>
      </c>
      <c r="AE60" s="104">
        <f>CHOOSE(MATCH(IF($U60="","Основний",$U60),{"Трафіковий","Основний","Маржинальний","Сезонний","Стратегічний"},0),0.18,0.2,0.28,0.27,0.32)</f>
        <v/>
      </c>
      <c r="AF60" s="104">
        <f>CHOOSE(MATCH(IF($U60="","Основний",$U60),{"Трафіковий","Основний","Маржинальний","Сезонний","Стратегічний"},0),0.15,0.175,0.22,0.21,0.25)</f>
        <v/>
      </c>
      <c r="AG60" s="104">
        <f>CHOOSE(MATCH(IF($U60="","Основний",$U60),{"Трафіковий","Основний","Маржинальний","Сезонний","Стратегічний"},0),0.13,0.16,0.21,0.2,0.25)</f>
        <v/>
      </c>
      <c r="AH60" s="104">
        <f>CHOOSE(MATCH(IF($U60="","Основний",$U60),{"Трафіковий","Основний","Маржинальний","Сезонний","Стратегічний"},0),0.15,0.18,0.23,0.22,0.27)</f>
        <v/>
      </c>
      <c r="AI60" s="104">
        <f>CHOOSE(MATCH(IF($U60="","Основний",$U60),{"Трафіковий","Основний","Маржинальний","Сезонний","Стратегічний"},0),0.16,0.19,0.25,0.23,0.29)</f>
        <v/>
      </c>
      <c r="AJ60" s="104">
        <f>CHOOSE(MATCH(IF($U60="","Основний",$U60),{"Трафіковий","Основний","Маржинальний","Сезонний","Стратегічний"},0),0.14,0.17,0.22,0.21,0.25)</f>
        <v/>
      </c>
      <c r="AK60" s="104">
        <f>CHOOSE(MATCH(IF($U60="","Основний",$U60),{"Трафіковий","Основний","Маржинальний","Сезонний","Стратегічний"},0),0.15,0.18,0.23,0.22,0.27)</f>
        <v/>
      </c>
      <c r="AL60" s="104">
        <f>CHOOSE(MATCH(IF($U60="","Основний",$U60),{"Трафіковий","Основний","Маржинальний","Сезонний","Стратегічний"},0),0.15,0.17,0.25,0.24,0.29)</f>
        <v/>
      </c>
      <c r="AM60" s="104">
        <f>CHOOSE(MATCH(IF($U60="","Основний",$U60),{"Трафіковий","Основний","Маржинальний","Сезонний","Стратегічний"},0),0.12,0.145,0.19,0.18,0.22)</f>
        <v/>
      </c>
      <c r="AN60" s="157">
        <f>CHOOSE(MATCH(IF($U60="","Основний",$U60),{"Трафіковий","Основний","Маржинальний","Сезонний","Стратегічний"},0),Settings!$B$78,Settings!$B$80,Settings!$B$82,Settings!$B$84,Settings!$B$86)</f>
        <v/>
      </c>
      <c r="AO60" s="157">
        <f>CHOOSE(MATCH(IF($U60="","Основний",$U60),{"Трафіковий","Основний","Маржинальний","Сезонний","Стратегічний"},0),Settings!$C$78,Settings!$C$80,Settings!$C$82,Settings!$C$84,Settings!$C$86)</f>
        <v/>
      </c>
      <c r="AP60" s="157">
        <f>CHOOSE(MATCH(IF($U60="","Основний",$U60),{"Трафіковий","Основний","Маржинальний","Сезонний","Стратегічний"},0),Settings!$D$78,Settings!$D$80,Settings!$D$82,Settings!$D$84,Settings!$D$86)</f>
        <v/>
      </c>
      <c r="AQ60" s="157">
        <f>CHOOSE(MATCH(IF($U60="","Основний",$U60),{"Трафіковий","Основний","Маржинальний","Сезонний","Стратегічний"},0),Settings!$F$78,Settings!$F$80,Settings!$F$82,Settings!$F$84,Settings!$F$86)</f>
        <v/>
      </c>
      <c r="AR60" s="157">
        <f>CHOOSE(MATCH(IF($U60="","Основний",$U60),{"Трафіковий","Основний","Маржинальний","Сезонний","Стратегічний"},0),Settings!$G$78,Settings!$G$80,Settings!$G$82,Settings!$G$84,Settings!$G$86)</f>
        <v/>
      </c>
      <c r="AS60" s="157">
        <f>CHOOSE(MATCH(IF($U60="","Основний",$U60),{"Трафіковий","Основний","Маржинальний","Сезонний","Стратегічний"},0),Settings!$H$78,Settings!$H$80,Settings!$H$82,Settings!$H$84,Settings!$H$86)</f>
        <v/>
      </c>
      <c r="AT60" s="157">
        <f>CHOOSE(MATCH(IF($U60="","Основний",$U60),{"Трафіковий","Основний","Маржинальний","Сезонний","Стратегічний"},0),Settings!$I$78,Settings!$I$80,Settings!$I$82,Settings!$I$84,Settings!$I$86)</f>
        <v/>
      </c>
      <c r="AU60" s="171" t="n"/>
      <c r="AV60" t="n">
        <v>1.35</v>
      </c>
    </row>
    <row r="61">
      <c r="A61" s="33" t="n"/>
      <c r="B61" s="34" t="inlineStr">
        <is>
          <t>P3537</t>
        </is>
      </c>
      <c r="C61" s="34" t="inlineStr">
        <is>
          <t>HEADLAMP 1W COB</t>
        </is>
      </c>
      <c r="D61" s="34" t="inlineStr">
        <is>
          <t>Ліхтарі</t>
        </is>
      </c>
      <c r="E61" s="33" t="inlineStr">
        <is>
          <t>PC</t>
        </is>
      </c>
      <c r="F61" s="94" t="n">
        <v>0.761</v>
      </c>
      <c r="G61" s="35" t="n">
        <v>8513100000</v>
      </c>
      <c r="H61" s="31" t="n">
        <v>1.4</v>
      </c>
      <c r="I61" s="84">
        <f>IFERROR(F61*Settings!$B$2*H61*IF(AND(ISNUMBER(E61),E61&gt;1),E61,1),"")</f>
        <v/>
      </c>
      <c r="J61" s="32">
        <f>Settings!$B$66</f>
        <v/>
      </c>
      <c r="K61" s="95">
        <f>IFERROR(IF(T61="","",(T61*(1-AN61)*(1-Settings!$B$17)-I61)/(T61*(1-AN61)*(1-Settings!$B$17))),"")</f>
        <v/>
      </c>
      <c r="L61" s="101">
        <f>IFERROR(IF(T61="","",(T61*(1-AO61)*(1-Settings!$C$17)-I61)/(T61*(1-AO61)*(1-Settings!$C$17))),"")</f>
        <v/>
      </c>
      <c r="M61" s="101">
        <f>IFERROR(IF(T61="","",(T61*(1-AP61)*(1-Settings!$D$17)-I61)/(T61*(1-AP61)*(1-Settings!$D$17))),"")</f>
        <v/>
      </c>
      <c r="N61" s="101">
        <f>IFERROR(IF(T61="","",(T61*(1-AQ61)*(1-Settings!$F$17)-I61)/(T61*(1-AQ61)*(1-Settings!$F$17))),"")</f>
        <v/>
      </c>
      <c r="O61" s="101">
        <f>IFERROR(IF(T61="","",(T61*(1-AR61)*(1-Settings!$G$17)-I61)/(T61*(1-AR61)*(1-Settings!$G$17))),"")</f>
        <v/>
      </c>
      <c r="P61" s="101">
        <f>IFERROR(IF(T61="","",(T61*(1-AS61)*(1-Settings!$H$17)-I61)/(T61*(1-AS61)*(1-Settings!$H$17))),"")</f>
        <v/>
      </c>
      <c r="Q61" s="101">
        <f>IFERROR(IF(T61="","",(T61*(1-AT61)*(1-Settings!$I$68)*(1-Settings!$I$17)-I61)/(T61*(1-AT61)*(1-Settings!$I$68)*(1-Settings!$I$17))),"")</f>
        <v/>
      </c>
      <c r="R61" s="91">
        <f>IFERROR(IF(OR(I61="",Z61&gt;=1,Settings!$B$17&gt;=1,AN61&gt;=1),"",IF(MOD(ROUND(I61/(1-Z61)/(1-Settings!$B$17)/(1-AN61),0),10)=0,ROUND(I61/(1-Z61)/(1-Settings!$B$17)/(1-AN61),0)-1,IF(MOD(ROUND(I61/(1-Z61)/(1-Settings!$B$17)/(1-AN61),0),10)&lt;=5,FLOOR(ROUND(I61/(1-Z61)/(1-Settings!$B$17)/(1-AN61),0),10)+6,FLOOR(ROUND(I61/(1-Z61)/(1-Settings!$B$17)/(1-AN61),0),10)+9))),"")</f>
        <v/>
      </c>
      <c r="S61" s="92" t="n">
        <v>135</v>
      </c>
      <c r="T61" s="91">
        <f>IF(S61&lt;&gt;"", IF(MOD(S61,10)=0,S61-1,IF(MOD(S61,10)&lt;=5,FLOOR(S61,10)+6,FLOOR(S61,10)+9)), R61)</f>
        <v/>
      </c>
      <c r="U61" s="87" t="inlineStr">
        <is>
          <t>Маржинальний</t>
        </is>
      </c>
      <c r="V61" s="88" t="n"/>
      <c r="W61" s="88" t="n"/>
      <c r="X61" s="89">
        <f>IFERROR(IF(OR(V61="",W61="",T61=""),"", IF(T61&gt;W61,"Дорогий",IF(T61&lt;V61,"Дешевий","У ринку"))),"")</f>
        <v/>
      </c>
      <c r="Y61" s="90" t="n"/>
      <c r="Z61" s="104">
        <f>CHOOSE(MATCH(IF($U61="","Основний",$U61),{"Трафіковий","Основний","Маржинальний","Сезонний","Стратегічний"},0),0.16,0.19,0.24,0.23,0.28)</f>
        <v/>
      </c>
      <c r="AA61" s="104">
        <f>CHOOSE(MATCH(IF($U61="","Основний",$U61),{"Трафіковий","Основний","Маржинальний","Сезонний","Стратегічний"},0),0.18,0.21,0.26,0.25,0.3)</f>
        <v/>
      </c>
      <c r="AB61" s="104">
        <f>CHOOSE(MATCH(IF($U61="","Основний",$U61),{"Трафіковий","Основний","Маржинальний","Сезонний","Стратегічний"},0),0.19,0.22,0.28,0.26,0.32)</f>
        <v/>
      </c>
      <c r="AC61" s="104">
        <f>CHOOSE(MATCH(IF($U61="","Основний",$U61),{"Трафіковий","Основний","Маржинальний","Сезонний","Стратегічний"},0),0.17,0.2,0.25,0.24,0.28)</f>
        <v/>
      </c>
      <c r="AD61" s="104">
        <f>CHOOSE(MATCH(IF($U61="","Основний",$U61),{"Трафіковий","Основний","Маржинальний","Сезонний","Стратегічний"},0),0.18,0.21,0.26,0.25,0.3)</f>
        <v/>
      </c>
      <c r="AE61" s="104">
        <f>CHOOSE(MATCH(IF($U61="","Основний",$U61),{"Трафіковий","Основний","Маржинальний","Сезонний","Стратегічний"},0),0.18,0.2,0.28,0.27,0.32)</f>
        <v/>
      </c>
      <c r="AF61" s="104">
        <f>CHOOSE(MATCH(IF($U61="","Основний",$U61),{"Трафіковий","Основний","Маржинальний","Сезонний","Стратегічний"},0),0.15,0.175,0.22,0.21,0.25)</f>
        <v/>
      </c>
      <c r="AG61" s="104">
        <f>CHOOSE(MATCH(IF($U61="","Основний",$U61),{"Трафіковий","Основний","Маржинальний","Сезонний","Стратегічний"},0),0.13,0.16,0.21,0.2,0.25)</f>
        <v/>
      </c>
      <c r="AH61" s="104">
        <f>CHOOSE(MATCH(IF($U61="","Основний",$U61),{"Трафіковий","Основний","Маржинальний","Сезонний","Стратегічний"},0),0.15,0.18,0.23,0.22,0.27)</f>
        <v/>
      </c>
      <c r="AI61" s="104">
        <f>CHOOSE(MATCH(IF($U61="","Основний",$U61),{"Трафіковий","Основний","Маржинальний","Сезонний","Стратегічний"},0),0.16,0.19,0.25,0.23,0.29)</f>
        <v/>
      </c>
      <c r="AJ61" s="104">
        <f>CHOOSE(MATCH(IF($U61="","Основний",$U61),{"Трафіковий","Основний","Маржинальний","Сезонний","Стратегічний"},0),0.14,0.17,0.22,0.21,0.25)</f>
        <v/>
      </c>
      <c r="AK61" s="104">
        <f>CHOOSE(MATCH(IF($U61="","Основний",$U61),{"Трафіковий","Основний","Маржинальний","Сезонний","Стратегічний"},0),0.15,0.18,0.23,0.22,0.27)</f>
        <v/>
      </c>
      <c r="AL61" s="104">
        <f>CHOOSE(MATCH(IF($U61="","Основний",$U61),{"Трафіковий","Основний","Маржинальний","Сезонний","Стратегічний"},0),0.15,0.17,0.25,0.24,0.29)</f>
        <v/>
      </c>
      <c r="AM61" s="104">
        <f>CHOOSE(MATCH(IF($U61="","Основний",$U61),{"Трафіковий","Основний","Маржинальний","Сезонний","Стратегічний"},0),0.12,0.145,0.19,0.18,0.22)</f>
        <v/>
      </c>
      <c r="AN61" s="157">
        <f>CHOOSE(MATCH(IF($U61="","Основний",$U61),{"Трафіковий","Основний","Маржинальний","Сезонний","Стратегічний"},0),Settings!$B$78,Settings!$B$80,Settings!$B$82,Settings!$B$84,Settings!$B$86)</f>
        <v/>
      </c>
      <c r="AO61" s="157">
        <f>CHOOSE(MATCH(IF($U61="","Основний",$U61),{"Трафіковий","Основний","Маржинальний","Сезонний","Стратегічний"},0),Settings!$C$78,Settings!$C$80,Settings!$C$82,Settings!$C$84,Settings!$C$86)</f>
        <v/>
      </c>
      <c r="AP61" s="157">
        <f>CHOOSE(MATCH(IF($U61="","Основний",$U61),{"Трафіковий","Основний","Маржинальний","Сезонний","Стратегічний"},0),Settings!$D$78,Settings!$D$80,Settings!$D$82,Settings!$D$84,Settings!$D$86)</f>
        <v/>
      </c>
      <c r="AQ61" s="157">
        <f>CHOOSE(MATCH(IF($U61="","Основний",$U61),{"Трафіковий","Основний","Маржинальний","Сезонний","Стратегічний"},0),Settings!$F$78,Settings!$F$80,Settings!$F$82,Settings!$F$84,Settings!$F$86)</f>
        <v/>
      </c>
      <c r="AR61" s="157">
        <f>CHOOSE(MATCH(IF($U61="","Основний",$U61),{"Трафіковий","Основний","Маржинальний","Сезонний","Стратегічний"},0),Settings!$G$78,Settings!$G$80,Settings!$G$82,Settings!$G$84,Settings!$G$86)</f>
        <v/>
      </c>
      <c r="AS61" s="157">
        <f>CHOOSE(MATCH(IF($U61="","Основний",$U61),{"Трафіковий","Основний","Маржинальний","Сезонний","Стратегічний"},0),Settings!$H$78,Settings!$H$80,Settings!$H$82,Settings!$H$84,Settings!$H$86)</f>
        <v/>
      </c>
      <c r="AT61" s="157">
        <f>CHOOSE(MATCH(IF($U61="","Основний",$U61),{"Трафіковий","Основний","Маржинальний","Сезонний","Стратегічний"},0),Settings!$I$78,Settings!$I$80,Settings!$I$82,Settings!$I$84,Settings!$I$86)</f>
        <v/>
      </c>
      <c r="AU61" s="171" t="n"/>
      <c r="AV61" t="n">
        <v>1.35</v>
      </c>
    </row>
    <row r="62">
      <c r="A62" s="28" t="n"/>
      <c r="B62" s="29" t="inlineStr">
        <is>
          <t>P3538</t>
        </is>
      </c>
      <c r="C62" s="29" t="inlineStr">
        <is>
          <t>HEADLAMP 1W COB 12 PCS</t>
        </is>
      </c>
      <c r="D62" s="29" t="inlineStr">
        <is>
          <t>Ліхтарі</t>
        </is>
      </c>
      <c r="E62" s="28" t="inlineStr">
        <is>
          <t>PC</t>
        </is>
      </c>
      <c r="F62" s="93" t="n">
        <v>0.839</v>
      </c>
      <c r="G62" s="30" t="n">
        <v>8513100000</v>
      </c>
      <c r="H62" s="31" t="n">
        <v>1.4</v>
      </c>
      <c r="I62" s="84">
        <f>IFERROR(F62*Settings!$B$2*H62*IF(AND(ISNUMBER(E62),E62&gt;1),E62,1),"")</f>
        <v/>
      </c>
      <c r="J62" s="32">
        <f>Settings!$B$66</f>
        <v/>
      </c>
      <c r="K62" s="95">
        <f>IFERROR(IF(T62="","",(T62*(1-AN62)*(1-Settings!$B$17)-I62)/(T62*(1-AN62)*(1-Settings!$B$17))),"")</f>
        <v/>
      </c>
      <c r="L62" s="101">
        <f>IFERROR(IF(T62="","",(T62*(1-AO62)*(1-Settings!$C$17)-I62)/(T62*(1-AO62)*(1-Settings!$C$17))),"")</f>
        <v/>
      </c>
      <c r="M62" s="101">
        <f>IFERROR(IF(T62="","",(T62*(1-AP62)*(1-Settings!$D$17)-I62)/(T62*(1-AP62)*(1-Settings!$D$17))),"")</f>
        <v/>
      </c>
      <c r="N62" s="101">
        <f>IFERROR(IF(T62="","",(T62*(1-AQ62)*(1-Settings!$F$17)-I62)/(T62*(1-AQ62)*(1-Settings!$F$17))),"")</f>
        <v/>
      </c>
      <c r="O62" s="101">
        <f>IFERROR(IF(T62="","",(T62*(1-AR62)*(1-Settings!$G$17)-I62)/(T62*(1-AR62)*(1-Settings!$G$17))),"")</f>
        <v/>
      </c>
      <c r="P62" s="101">
        <f>IFERROR(IF(T62="","",(T62*(1-AS62)*(1-Settings!$H$17)-I62)/(T62*(1-AS62)*(1-Settings!$H$17))),"")</f>
        <v/>
      </c>
      <c r="Q62" s="101">
        <f>IFERROR(IF(T62="","",(T62*(1-AT62)*(1-Settings!$I$68)*(1-Settings!$I$17)-I62)/(T62*(1-AT62)*(1-Settings!$I$68)*(1-Settings!$I$17))),"")</f>
        <v/>
      </c>
      <c r="R62" s="91">
        <f>IFERROR(IF(OR(I62="",Z62&gt;=1,Settings!$B$17&gt;=1,AN62&gt;=1),"",IF(MOD(ROUND(I62/(1-Z62)/(1-Settings!$B$17)/(1-AN62),0),10)=0,ROUND(I62/(1-Z62)/(1-Settings!$B$17)/(1-AN62),0)-1,IF(MOD(ROUND(I62/(1-Z62)/(1-Settings!$B$17)/(1-AN62),0),10)&lt;=5,FLOOR(ROUND(I62/(1-Z62)/(1-Settings!$B$17)/(1-AN62),0),10)+6,FLOOR(ROUND(I62/(1-Z62)/(1-Settings!$B$17)/(1-AN62),0),10)+9))),"")</f>
        <v/>
      </c>
      <c r="S62" s="92" t="n">
        <v>135</v>
      </c>
      <c r="T62" s="91">
        <f>IF(S62&lt;&gt;"", IF(MOD(S62,10)=0,S62-1,IF(MOD(S62,10)&lt;=5,FLOOR(S62,10)+6,FLOOR(S62,10)+9)), R62)</f>
        <v/>
      </c>
      <c r="U62" s="87" t="inlineStr">
        <is>
          <t>Маржинальний</t>
        </is>
      </c>
      <c r="V62" s="88" t="n"/>
      <c r="W62" s="88" t="n"/>
      <c r="X62" s="89">
        <f>IFERROR(IF(OR(V62="",W62="",T62=""),"", IF(T62&gt;W62,"Дорогий",IF(T62&lt;V62,"Дешевий","У ринку"))),"")</f>
        <v/>
      </c>
      <c r="Y62" s="90" t="n"/>
      <c r="Z62" s="104">
        <f>CHOOSE(MATCH(IF($U62="","Основний",$U62),{"Трафіковий","Основний","Маржинальний","Сезонний","Стратегічний"},0),0.16,0.19,0.24,0.23,0.28)</f>
        <v/>
      </c>
      <c r="AA62" s="104">
        <f>CHOOSE(MATCH(IF($U62="","Основний",$U62),{"Трафіковий","Основний","Маржинальний","Сезонний","Стратегічний"},0),0.18,0.21,0.26,0.25,0.3)</f>
        <v/>
      </c>
      <c r="AB62" s="104">
        <f>CHOOSE(MATCH(IF($U62="","Основний",$U62),{"Трафіковий","Основний","Маржинальний","Сезонний","Стратегічний"},0),0.19,0.22,0.28,0.26,0.32)</f>
        <v/>
      </c>
      <c r="AC62" s="104">
        <f>CHOOSE(MATCH(IF($U62="","Основний",$U62),{"Трафіковий","Основний","Маржинальний","Сезонний","Стратегічний"},0),0.17,0.2,0.25,0.24,0.28)</f>
        <v/>
      </c>
      <c r="AD62" s="104">
        <f>CHOOSE(MATCH(IF($U62="","Основний",$U62),{"Трафіковий","Основний","Маржинальний","Сезонний","Стратегічний"},0),0.18,0.21,0.26,0.25,0.3)</f>
        <v/>
      </c>
      <c r="AE62" s="104">
        <f>CHOOSE(MATCH(IF($U62="","Основний",$U62),{"Трафіковий","Основний","Маржинальний","Сезонний","Стратегічний"},0),0.18,0.2,0.28,0.27,0.32)</f>
        <v/>
      </c>
      <c r="AF62" s="104">
        <f>CHOOSE(MATCH(IF($U62="","Основний",$U62),{"Трафіковий","Основний","Маржинальний","Сезонний","Стратегічний"},0),0.15,0.175,0.22,0.21,0.25)</f>
        <v/>
      </c>
      <c r="AG62" s="104">
        <f>CHOOSE(MATCH(IF($U62="","Основний",$U62),{"Трафіковий","Основний","Маржинальний","Сезонний","Стратегічний"},0),0.13,0.16,0.21,0.2,0.25)</f>
        <v/>
      </c>
      <c r="AH62" s="104">
        <f>CHOOSE(MATCH(IF($U62="","Основний",$U62),{"Трафіковий","Основний","Маржинальний","Сезонний","Стратегічний"},0),0.15,0.18,0.23,0.22,0.27)</f>
        <v/>
      </c>
      <c r="AI62" s="104">
        <f>CHOOSE(MATCH(IF($U62="","Основний",$U62),{"Трафіковий","Основний","Маржинальний","Сезонний","Стратегічний"},0),0.16,0.19,0.25,0.23,0.29)</f>
        <v/>
      </c>
      <c r="AJ62" s="104">
        <f>CHOOSE(MATCH(IF($U62="","Основний",$U62),{"Трафіковий","Основний","Маржинальний","Сезонний","Стратегічний"},0),0.14,0.17,0.22,0.21,0.25)</f>
        <v/>
      </c>
      <c r="AK62" s="104">
        <f>CHOOSE(MATCH(IF($U62="","Основний",$U62),{"Трафіковий","Основний","Маржинальний","Сезонний","Стратегічний"},0),0.15,0.18,0.23,0.22,0.27)</f>
        <v/>
      </c>
      <c r="AL62" s="104">
        <f>CHOOSE(MATCH(IF($U62="","Основний",$U62),{"Трафіковий","Основний","Маржинальний","Сезонний","Стратегічний"},0),0.15,0.17,0.25,0.24,0.29)</f>
        <v/>
      </c>
      <c r="AM62" s="104">
        <f>CHOOSE(MATCH(IF($U62="","Основний",$U62),{"Трафіковий","Основний","Маржинальний","Сезонний","Стратегічний"},0),0.12,0.145,0.19,0.18,0.22)</f>
        <v/>
      </c>
      <c r="AN62" s="157">
        <f>CHOOSE(MATCH(IF($U62="","Основний",$U62),{"Трафіковий","Основний","Маржинальний","Сезонний","Стратегічний"},0),Settings!$B$78,Settings!$B$80,Settings!$B$82,Settings!$B$84,Settings!$B$86)</f>
        <v/>
      </c>
      <c r="AO62" s="157">
        <f>CHOOSE(MATCH(IF($U62="","Основний",$U62),{"Трафіковий","Основний","Маржинальний","Сезонний","Стратегічний"},0),Settings!$C$78,Settings!$C$80,Settings!$C$82,Settings!$C$84,Settings!$C$86)</f>
        <v/>
      </c>
      <c r="AP62" s="157">
        <f>CHOOSE(MATCH(IF($U62="","Основний",$U62),{"Трафіковий","Основний","Маржинальний","Сезонний","Стратегічний"},0),Settings!$D$78,Settings!$D$80,Settings!$D$82,Settings!$D$84,Settings!$D$86)</f>
        <v/>
      </c>
      <c r="AQ62" s="157">
        <f>CHOOSE(MATCH(IF($U62="","Основний",$U62),{"Трафіковий","Основний","Маржинальний","Сезонний","Стратегічний"},0),Settings!$F$78,Settings!$F$80,Settings!$F$82,Settings!$F$84,Settings!$F$86)</f>
        <v/>
      </c>
      <c r="AR62" s="157">
        <f>CHOOSE(MATCH(IF($U62="","Основний",$U62),{"Трафіковий","Основний","Маржинальний","Сезонний","Стратегічний"},0),Settings!$G$78,Settings!$G$80,Settings!$G$82,Settings!$G$84,Settings!$G$86)</f>
        <v/>
      </c>
      <c r="AS62" s="157">
        <f>CHOOSE(MATCH(IF($U62="","Основний",$U62),{"Трафіковий","Основний","Маржинальний","Сезонний","Стратегічний"},0),Settings!$H$78,Settings!$H$80,Settings!$H$82,Settings!$H$84,Settings!$H$86)</f>
        <v/>
      </c>
      <c r="AT62" s="157">
        <f>CHOOSE(MATCH(IF($U62="","Основний",$U62),{"Трафіковий","Основний","Маржинальний","Сезонний","Стратегічний"},0),Settings!$I$78,Settings!$I$80,Settings!$I$82,Settings!$I$84,Settings!$I$86)</f>
        <v/>
      </c>
      <c r="AU62" s="171" t="n"/>
      <c r="AV62" t="n">
        <v>1.35</v>
      </c>
    </row>
    <row r="63">
      <c r="A63" s="33" t="n"/>
      <c r="B63" s="34" t="inlineStr">
        <is>
          <t>P3539</t>
        </is>
      </c>
      <c r="C63" s="34" t="inlineStr">
        <is>
          <t>HEADLAMP CREE LED + RED LED WITH FOCUS 3×AAA</t>
        </is>
      </c>
      <c r="D63" s="34" t="inlineStr">
        <is>
          <t>Ліхтарі</t>
        </is>
      </c>
      <c r="E63" s="33" t="inlineStr">
        <is>
          <t>PC</t>
        </is>
      </c>
      <c r="F63" s="94" t="n">
        <v>6.215</v>
      </c>
      <c r="G63" s="35" t="n">
        <v>8513100000</v>
      </c>
      <c r="H63" s="31" t="n">
        <v>1.4</v>
      </c>
      <c r="I63" s="84">
        <f>IFERROR(F63*Settings!$B$2*H63*IF(AND(ISNUMBER(E63),E63&gt;1),E63,1),"")</f>
        <v/>
      </c>
      <c r="J63" s="32">
        <f>Settings!$B$66</f>
        <v/>
      </c>
      <c r="K63" s="95">
        <f>IFERROR(IF(T63="","",(T63*(1-AN63)*(1-Settings!$B$17)-I63)/(T63*(1-AN63)*(1-Settings!$B$17))),"")</f>
        <v/>
      </c>
      <c r="L63" s="101">
        <f>IFERROR(IF(T63="","",(T63*(1-AO63)*(1-Settings!$C$17)-I63)/(T63*(1-AO63)*(1-Settings!$C$17))),"")</f>
        <v/>
      </c>
      <c r="M63" s="101">
        <f>IFERROR(IF(T63="","",(T63*(1-AP63)*(1-Settings!$D$17)-I63)/(T63*(1-AP63)*(1-Settings!$D$17))),"")</f>
        <v/>
      </c>
      <c r="N63" s="101">
        <f>IFERROR(IF(T63="","",(T63*(1-AQ63)*(1-Settings!$F$17)-I63)/(T63*(1-AQ63)*(1-Settings!$F$17))),"")</f>
        <v/>
      </c>
      <c r="O63" s="101">
        <f>IFERROR(IF(T63="","",(T63*(1-AR63)*(1-Settings!$G$17)-I63)/(T63*(1-AR63)*(1-Settings!$G$17))),"")</f>
        <v/>
      </c>
      <c r="P63" s="101">
        <f>IFERROR(IF(T63="","",(T63*(1-AS63)*(1-Settings!$H$17)-I63)/(T63*(1-AS63)*(1-Settings!$H$17))),"")</f>
        <v/>
      </c>
      <c r="Q63" s="101">
        <f>IFERROR(IF(T63="","",(T63*(1-AT63)*(1-Settings!$I$68)*(1-Settings!$I$17)-I63)/(T63*(1-AT63)*(1-Settings!$I$68)*(1-Settings!$I$17))),"")</f>
        <v/>
      </c>
      <c r="R63" s="91">
        <f>IFERROR(IF(OR(I63="",Z63&gt;=1,Settings!$B$17&gt;=1,AN63&gt;=1),"",IF(MOD(ROUND(I63/(1-Z63)/(1-Settings!$B$17)/(1-AN63),0),10)=0,ROUND(I63/(1-Z63)/(1-Settings!$B$17)/(1-AN63),0)-1,IF(MOD(ROUND(I63/(1-Z63)/(1-Settings!$B$17)/(1-AN63),0),10)&lt;=5,FLOOR(ROUND(I63/(1-Z63)/(1-Settings!$B$17)/(1-AN63),0),10)+6,FLOOR(ROUND(I63/(1-Z63)/(1-Settings!$B$17)/(1-AN63),0),10)+9))),"")</f>
        <v/>
      </c>
      <c r="S63" s="92" t="n">
        <v>780</v>
      </c>
      <c r="T63" s="91">
        <f>IF(S63&lt;&gt;"", IF(MOD(S63,10)=0,S63-1,IF(MOD(S63,10)&lt;=5,FLOOR(S63,10)+6,FLOOR(S63,10)+9)), R63)</f>
        <v/>
      </c>
      <c r="U63" s="87" t="inlineStr">
        <is>
          <t>Основний</t>
        </is>
      </c>
      <c r="V63" s="88" t="n"/>
      <c r="W63" s="88" t="n"/>
      <c r="X63" s="89">
        <f>IFERROR(IF(OR(V63="",W63="",T63=""),"", IF(T63&gt;W63,"Дорогий",IF(T63&lt;V63,"Дешевий","У ринку"))),"")</f>
        <v/>
      </c>
      <c r="Y63" s="90" t="n"/>
      <c r="Z63" s="104">
        <f>CHOOSE(MATCH(IF($U63="","Основний",$U63),{"Трафіковий","Основний","Маржинальний","Сезонний","Стратегічний"},0),0.16,0.19,0.24,0.23,0.28)</f>
        <v/>
      </c>
      <c r="AA63" s="104">
        <f>CHOOSE(MATCH(IF($U63="","Основний",$U63),{"Трафіковий","Основний","Маржинальний","Сезонний","Стратегічний"},0),0.18,0.21,0.26,0.25,0.3)</f>
        <v/>
      </c>
      <c r="AB63" s="104">
        <f>CHOOSE(MATCH(IF($U63="","Основний",$U63),{"Трафіковий","Основний","Маржинальний","Сезонний","Стратегічний"},0),0.19,0.22,0.28,0.26,0.32)</f>
        <v/>
      </c>
      <c r="AC63" s="104">
        <f>CHOOSE(MATCH(IF($U63="","Основний",$U63),{"Трафіковий","Основний","Маржинальний","Сезонний","Стратегічний"},0),0.17,0.2,0.25,0.24,0.28)</f>
        <v/>
      </c>
      <c r="AD63" s="104">
        <f>CHOOSE(MATCH(IF($U63="","Основний",$U63),{"Трафіковий","Основний","Маржинальний","Сезонний","Стратегічний"},0),0.18,0.21,0.26,0.25,0.3)</f>
        <v/>
      </c>
      <c r="AE63" s="104">
        <f>CHOOSE(MATCH(IF($U63="","Основний",$U63),{"Трафіковий","Основний","Маржинальний","Сезонний","Стратегічний"},0),0.18,0.2,0.28,0.27,0.32)</f>
        <v/>
      </c>
      <c r="AF63" s="104">
        <f>CHOOSE(MATCH(IF($U63="","Основний",$U63),{"Трафіковий","Основний","Маржинальний","Сезонний","Стратегічний"},0),0.15,0.175,0.22,0.21,0.25)</f>
        <v/>
      </c>
      <c r="AG63" s="104">
        <f>CHOOSE(MATCH(IF($U63="","Основний",$U63),{"Трафіковий","Основний","Маржинальний","Сезонний","Стратегічний"},0),0.13,0.16,0.21,0.2,0.25)</f>
        <v/>
      </c>
      <c r="AH63" s="104">
        <f>CHOOSE(MATCH(IF($U63="","Основний",$U63),{"Трафіковий","Основний","Маржинальний","Сезонний","Стратегічний"},0),0.15,0.18,0.23,0.22,0.27)</f>
        <v/>
      </c>
      <c r="AI63" s="104">
        <f>CHOOSE(MATCH(IF($U63="","Основний",$U63),{"Трафіковий","Основний","Маржинальний","Сезонний","Стратегічний"},0),0.16,0.19,0.25,0.23,0.29)</f>
        <v/>
      </c>
      <c r="AJ63" s="104">
        <f>CHOOSE(MATCH(IF($U63="","Основний",$U63),{"Трафіковий","Основний","Маржинальний","Сезонний","Стратегічний"},0),0.14,0.17,0.22,0.21,0.25)</f>
        <v/>
      </c>
      <c r="AK63" s="104">
        <f>CHOOSE(MATCH(IF($U63="","Основний",$U63),{"Трафіковий","Основний","Маржинальний","Сезонний","Стратегічний"},0),0.15,0.18,0.23,0.22,0.27)</f>
        <v/>
      </c>
      <c r="AL63" s="104">
        <f>CHOOSE(MATCH(IF($U63="","Основний",$U63),{"Трафіковий","Основний","Маржинальний","Сезонний","Стратегічний"},0),0.15,0.17,0.25,0.24,0.29)</f>
        <v/>
      </c>
      <c r="AM63" s="104">
        <f>CHOOSE(MATCH(IF($U63="","Основний",$U63),{"Трафіковий","Основний","Маржинальний","Сезонний","Стратегічний"},0),0.12,0.145,0.19,0.18,0.22)</f>
        <v/>
      </c>
      <c r="AN63" s="157">
        <f>CHOOSE(MATCH(IF($U63="","Основний",$U63),{"Трафіковий","Основний","Маржинальний","Сезонний","Стратегічний"},0),Settings!$B$78,Settings!$B$80,Settings!$B$82,Settings!$B$84,Settings!$B$86)</f>
        <v/>
      </c>
      <c r="AO63" s="157">
        <f>CHOOSE(MATCH(IF($U63="","Основний",$U63),{"Трафіковий","Основний","Маржинальний","Сезонний","Стратегічний"},0),Settings!$C$78,Settings!$C$80,Settings!$C$82,Settings!$C$84,Settings!$C$86)</f>
        <v/>
      </c>
      <c r="AP63" s="157">
        <f>CHOOSE(MATCH(IF($U63="","Основний",$U63),{"Трафіковий","Основний","Маржинальний","Сезонний","Стратегічний"},0),Settings!$D$78,Settings!$D$80,Settings!$D$82,Settings!$D$84,Settings!$D$86)</f>
        <v/>
      </c>
      <c r="AQ63" s="157">
        <f>CHOOSE(MATCH(IF($U63="","Основний",$U63),{"Трафіковий","Основний","Маржинальний","Сезонний","Стратегічний"},0),Settings!$F$78,Settings!$F$80,Settings!$F$82,Settings!$F$84,Settings!$F$86)</f>
        <v/>
      </c>
      <c r="AR63" s="157">
        <f>CHOOSE(MATCH(IF($U63="","Основний",$U63),{"Трафіковий","Основний","Маржинальний","Сезонний","Стратегічний"},0),Settings!$G$78,Settings!$G$80,Settings!$G$82,Settings!$G$84,Settings!$G$86)</f>
        <v/>
      </c>
      <c r="AS63" s="157">
        <f>CHOOSE(MATCH(IF($U63="","Основний",$U63),{"Трафіковий","Основний","Маржинальний","Сезонний","Стратегічний"},0),Settings!$H$78,Settings!$H$80,Settings!$H$82,Settings!$H$84,Settings!$H$86)</f>
        <v/>
      </c>
      <c r="AT63" s="157">
        <f>CHOOSE(MATCH(IF($U63="","Основний",$U63),{"Трафіковий","Основний","Маржинальний","Сезонний","Стратегічний"},0),Settings!$I$78,Settings!$I$80,Settings!$I$82,Settings!$I$84,Settings!$I$86)</f>
        <v/>
      </c>
      <c r="AU63" s="171" t="n"/>
      <c r="AV63" t="n">
        <v>1.35</v>
      </c>
    </row>
    <row r="64">
      <c r="A64" s="28" t="n"/>
      <c r="B64" s="29" t="inlineStr">
        <is>
          <t>P3541</t>
        </is>
      </c>
      <c r="C64" s="29" t="inlineStr">
        <is>
          <t>RECHARGEABLE HEADLAMP COB + LED</t>
        </is>
      </c>
      <c r="D64" s="29" t="inlineStr">
        <is>
          <t>Ліхтарі</t>
        </is>
      </c>
      <c r="E64" s="28" t="inlineStr">
        <is>
          <t>PC</t>
        </is>
      </c>
      <c r="F64" s="93" t="n">
        <v>6.075</v>
      </c>
      <c r="G64" s="30" t="n">
        <v>8513100000</v>
      </c>
      <c r="H64" s="31" t="n">
        <v>1.4</v>
      </c>
      <c r="I64" s="84">
        <f>IFERROR(F64*Settings!$B$2*H64*IF(AND(ISNUMBER(E64),E64&gt;1),E64,1),"")</f>
        <v/>
      </c>
      <c r="J64" s="32">
        <f>Settings!$B$66</f>
        <v/>
      </c>
      <c r="K64" s="95">
        <f>IFERROR(IF(T64="","",(T64*(1-AN64)*(1-Settings!$B$17)-I64)/(T64*(1-AN64)*(1-Settings!$B$17))),"")</f>
        <v/>
      </c>
      <c r="L64" s="101">
        <f>IFERROR(IF(T64="","",(T64*(1-AO64)*(1-Settings!$C$17)-I64)/(T64*(1-AO64)*(1-Settings!$C$17))),"")</f>
        <v/>
      </c>
      <c r="M64" s="101">
        <f>IFERROR(IF(T64="","",(T64*(1-AP64)*(1-Settings!$D$17)-I64)/(T64*(1-AP64)*(1-Settings!$D$17))),"")</f>
        <v/>
      </c>
      <c r="N64" s="101">
        <f>IFERROR(IF(T64="","",(T64*(1-AQ64)*(1-Settings!$F$17)-I64)/(T64*(1-AQ64)*(1-Settings!$F$17))),"")</f>
        <v/>
      </c>
      <c r="O64" s="101">
        <f>IFERROR(IF(T64="","",(T64*(1-AR64)*(1-Settings!$G$17)-I64)/(T64*(1-AR64)*(1-Settings!$G$17))),"")</f>
        <v/>
      </c>
      <c r="P64" s="101">
        <f>IFERROR(IF(T64="","",(T64*(1-AS64)*(1-Settings!$H$17)-I64)/(T64*(1-AS64)*(1-Settings!$H$17))),"")</f>
        <v/>
      </c>
      <c r="Q64" s="101">
        <f>IFERROR(IF(T64="","",(T64*(1-AT64)*(1-Settings!$I$68)*(1-Settings!$I$17)-I64)/(T64*(1-AT64)*(1-Settings!$I$68)*(1-Settings!$I$17))),"")</f>
        <v/>
      </c>
      <c r="R64" s="91">
        <f>IFERROR(IF(OR(I64="",Z64&gt;=1,Settings!$B$17&gt;=1,AN64&gt;=1),"",IF(MOD(ROUND(I64/(1-Z64)/(1-Settings!$B$17)/(1-AN64),0),10)=0,ROUND(I64/(1-Z64)/(1-Settings!$B$17)/(1-AN64),0)-1,IF(MOD(ROUND(I64/(1-Z64)/(1-Settings!$B$17)/(1-AN64),0),10)&lt;=5,FLOOR(ROUND(I64/(1-Z64)/(1-Settings!$B$17)/(1-AN64),0),10)+6,FLOOR(ROUND(I64/(1-Z64)/(1-Settings!$B$17)/(1-AN64),0),10)+9))),"")</f>
        <v/>
      </c>
      <c r="S64" s="92" t="n">
        <v>800</v>
      </c>
      <c r="T64" s="91">
        <f>IF(S64&lt;&gt;"", IF(MOD(S64,10)=0,S64-1,IF(MOD(S64,10)&lt;=5,FLOOR(S64,10)+6,FLOOR(S64,10)+9)), R64)</f>
        <v/>
      </c>
      <c r="U64" s="87" t="inlineStr">
        <is>
          <t>Основний</t>
        </is>
      </c>
      <c r="V64" s="88" t="n"/>
      <c r="W64" s="88" t="n"/>
      <c r="X64" s="89">
        <f>IFERROR(IF(OR(V64="",W64="",T64=""),"", IF(T64&gt;W64,"Дорогий",IF(T64&lt;V64,"Дешевий","У ринку"))),"")</f>
        <v/>
      </c>
      <c r="Y64" s="90" t="n"/>
      <c r="Z64" s="104">
        <f>CHOOSE(MATCH(IF($U64="","Основний",$U64),{"Трафіковий","Основний","Маржинальний","Сезонний","Стратегічний"},0),0.16,0.19,0.24,0.23,0.28)</f>
        <v/>
      </c>
      <c r="AA64" s="104">
        <f>CHOOSE(MATCH(IF($U64="","Основний",$U64),{"Трафіковий","Основний","Маржинальний","Сезонний","Стратегічний"},0),0.18,0.21,0.26,0.25,0.3)</f>
        <v/>
      </c>
      <c r="AB64" s="104">
        <f>CHOOSE(MATCH(IF($U64="","Основний",$U64),{"Трафіковий","Основний","Маржинальний","Сезонний","Стратегічний"},0),0.19,0.22,0.28,0.26,0.32)</f>
        <v/>
      </c>
      <c r="AC64" s="104">
        <f>CHOOSE(MATCH(IF($U64="","Основний",$U64),{"Трафіковий","Основний","Маржинальний","Сезонний","Стратегічний"},0),0.17,0.2,0.25,0.24,0.28)</f>
        <v/>
      </c>
      <c r="AD64" s="104">
        <f>CHOOSE(MATCH(IF($U64="","Основний",$U64),{"Трафіковий","Основний","Маржинальний","Сезонний","Стратегічний"},0),0.18,0.21,0.26,0.25,0.3)</f>
        <v/>
      </c>
      <c r="AE64" s="104">
        <f>CHOOSE(MATCH(IF($U64="","Основний",$U64),{"Трафіковий","Основний","Маржинальний","Сезонний","Стратегічний"},0),0.18,0.2,0.28,0.27,0.32)</f>
        <v/>
      </c>
      <c r="AF64" s="104">
        <f>CHOOSE(MATCH(IF($U64="","Основний",$U64),{"Трафіковий","Основний","Маржинальний","Сезонний","Стратегічний"},0),0.15,0.175,0.22,0.21,0.25)</f>
        <v/>
      </c>
      <c r="AG64" s="104">
        <f>CHOOSE(MATCH(IF($U64="","Основний",$U64),{"Трафіковий","Основний","Маржинальний","Сезонний","Стратегічний"},0),0.13,0.16,0.21,0.2,0.25)</f>
        <v/>
      </c>
      <c r="AH64" s="104">
        <f>CHOOSE(MATCH(IF($U64="","Основний",$U64),{"Трафіковий","Основний","Маржинальний","Сезонний","Стратегічний"},0),0.15,0.18,0.23,0.22,0.27)</f>
        <v/>
      </c>
      <c r="AI64" s="104">
        <f>CHOOSE(MATCH(IF($U64="","Основний",$U64),{"Трафіковий","Основний","Маржинальний","Сезонний","Стратегічний"},0),0.16,0.19,0.25,0.23,0.29)</f>
        <v/>
      </c>
      <c r="AJ64" s="104">
        <f>CHOOSE(MATCH(IF($U64="","Основний",$U64),{"Трафіковий","Основний","Маржинальний","Сезонний","Стратегічний"},0),0.14,0.17,0.22,0.21,0.25)</f>
        <v/>
      </c>
      <c r="AK64" s="104">
        <f>CHOOSE(MATCH(IF($U64="","Основний",$U64),{"Трафіковий","Основний","Маржинальний","Сезонний","Стратегічний"},0),0.15,0.18,0.23,0.22,0.27)</f>
        <v/>
      </c>
      <c r="AL64" s="104">
        <f>CHOOSE(MATCH(IF($U64="","Основний",$U64),{"Трафіковий","Основний","Маржинальний","Сезонний","Стратегічний"},0),0.15,0.17,0.25,0.24,0.29)</f>
        <v/>
      </c>
      <c r="AM64" s="104">
        <f>CHOOSE(MATCH(IF($U64="","Основний",$U64),{"Трафіковий","Основний","Маржинальний","Сезонний","Стратегічний"},0),0.12,0.145,0.19,0.18,0.22)</f>
        <v/>
      </c>
      <c r="AN64" s="157">
        <f>CHOOSE(MATCH(IF($U64="","Основний",$U64),{"Трафіковий","Основний","Маржинальний","Сезонний","Стратегічний"},0),Settings!$B$78,Settings!$B$80,Settings!$B$82,Settings!$B$84,Settings!$B$86)</f>
        <v/>
      </c>
      <c r="AO64" s="157">
        <f>CHOOSE(MATCH(IF($U64="","Основний",$U64),{"Трафіковий","Основний","Маржинальний","Сезонний","Стратегічний"},0),Settings!$C$78,Settings!$C$80,Settings!$C$82,Settings!$C$84,Settings!$C$86)</f>
        <v/>
      </c>
      <c r="AP64" s="157">
        <f>CHOOSE(MATCH(IF($U64="","Основний",$U64),{"Трафіковий","Основний","Маржинальний","Сезонний","Стратегічний"},0),Settings!$D$78,Settings!$D$80,Settings!$D$82,Settings!$D$84,Settings!$D$86)</f>
        <v/>
      </c>
      <c r="AQ64" s="157">
        <f>CHOOSE(MATCH(IF($U64="","Основний",$U64),{"Трафіковий","Основний","Маржинальний","Сезонний","Стратегічний"},0),Settings!$F$78,Settings!$F$80,Settings!$F$82,Settings!$F$84,Settings!$F$86)</f>
        <v/>
      </c>
      <c r="AR64" s="157">
        <f>CHOOSE(MATCH(IF($U64="","Основний",$U64),{"Трафіковий","Основний","Маржинальний","Сезонний","Стратегічний"},0),Settings!$G$78,Settings!$G$80,Settings!$G$82,Settings!$G$84,Settings!$G$86)</f>
        <v/>
      </c>
      <c r="AS64" s="157">
        <f>CHOOSE(MATCH(IF($U64="","Основний",$U64),{"Трафіковий","Основний","Маржинальний","Сезонний","Стратегічний"},0),Settings!$H$78,Settings!$H$80,Settings!$H$82,Settings!$H$84,Settings!$H$86)</f>
        <v/>
      </c>
      <c r="AT64" s="157">
        <f>CHOOSE(MATCH(IF($U64="","Основний",$U64),{"Трафіковий","Основний","Маржинальний","Сезонний","Стратегічний"},0),Settings!$I$78,Settings!$I$80,Settings!$I$82,Settings!$I$84,Settings!$I$86)</f>
        <v/>
      </c>
      <c r="AU64" s="171" t="n"/>
      <c r="AV64" t="n">
        <v>1.35</v>
      </c>
    </row>
    <row r="65">
      <c r="A65" s="33" t="n"/>
      <c r="B65" s="34" t="inlineStr">
        <is>
          <t>P3542</t>
        </is>
      </c>
      <c r="C65" s="34" t="inlineStr">
        <is>
          <t>RECH. HEADLAMP COB LED + LED WARM/NEUTRAL WHITE</t>
        </is>
      </c>
      <c r="D65" s="34" t="inlineStr">
        <is>
          <t>Ліхтарі</t>
        </is>
      </c>
      <c r="E65" s="33" t="inlineStr">
        <is>
          <t>PC</t>
        </is>
      </c>
      <c r="F65" s="94" t="n">
        <v>7.925</v>
      </c>
      <c r="G65" s="35" t="n">
        <v>8513100000</v>
      </c>
      <c r="H65" s="31" t="n">
        <v>1.4</v>
      </c>
      <c r="I65" s="84">
        <f>IFERROR(F65*Settings!$B$2*H65*IF(AND(ISNUMBER(E65),E65&gt;1),E65,1),"")</f>
        <v/>
      </c>
      <c r="J65" s="32">
        <f>Settings!$B$66</f>
        <v/>
      </c>
      <c r="K65" s="95">
        <f>IFERROR(IF(T65="","",(T65*(1-AN65)*(1-Settings!$B$17)-I65)/(T65*(1-AN65)*(1-Settings!$B$17))),"")</f>
        <v/>
      </c>
      <c r="L65" s="101">
        <f>IFERROR(IF(T65="","",(T65*(1-AO65)*(1-Settings!$C$17)-I65)/(T65*(1-AO65)*(1-Settings!$C$17))),"")</f>
        <v/>
      </c>
      <c r="M65" s="101">
        <f>IFERROR(IF(T65="","",(T65*(1-AP65)*(1-Settings!$D$17)-I65)/(T65*(1-AP65)*(1-Settings!$D$17))),"")</f>
        <v/>
      </c>
      <c r="N65" s="101">
        <f>IFERROR(IF(T65="","",(T65*(1-AQ65)*(1-Settings!$F$17)-I65)/(T65*(1-AQ65)*(1-Settings!$F$17))),"")</f>
        <v/>
      </c>
      <c r="O65" s="101">
        <f>IFERROR(IF(T65="","",(T65*(1-AR65)*(1-Settings!$G$17)-I65)/(T65*(1-AR65)*(1-Settings!$G$17))),"")</f>
        <v/>
      </c>
      <c r="P65" s="101">
        <f>IFERROR(IF(T65="","",(T65*(1-AS65)*(1-Settings!$H$17)-I65)/(T65*(1-AS65)*(1-Settings!$H$17))),"")</f>
        <v/>
      </c>
      <c r="Q65" s="101">
        <f>IFERROR(IF(T65="","",(T65*(1-AT65)*(1-Settings!$I$68)*(1-Settings!$I$17)-I65)/(T65*(1-AT65)*(1-Settings!$I$68)*(1-Settings!$I$17))),"")</f>
        <v/>
      </c>
      <c r="R65" s="91">
        <f>IFERROR(IF(OR(I65="",Z65&gt;=1,Settings!$B$17&gt;=1,AN65&gt;=1),"",IF(MOD(ROUND(I65/(1-Z65)/(1-Settings!$B$17)/(1-AN65),0),10)=0,ROUND(I65/(1-Z65)/(1-Settings!$B$17)/(1-AN65),0)-1,IF(MOD(ROUND(I65/(1-Z65)/(1-Settings!$B$17)/(1-AN65),0),10)&lt;=5,FLOOR(ROUND(I65/(1-Z65)/(1-Settings!$B$17)/(1-AN65),0),10)+6,FLOOR(ROUND(I65/(1-Z65)/(1-Settings!$B$17)/(1-AN65),0),10)+9))),"")</f>
        <v/>
      </c>
      <c r="S65" s="92" t="n">
        <v>1070</v>
      </c>
      <c r="T65" s="91">
        <f>IF(S65&lt;&gt;"", IF(MOD(S65,10)=0,S65-1,IF(MOD(S65,10)&lt;=5,FLOOR(S65,10)+6,FLOOR(S65,10)+9)), R65)</f>
        <v/>
      </c>
      <c r="U65" s="87" t="inlineStr">
        <is>
          <t>Основний</t>
        </is>
      </c>
      <c r="V65" s="88" t="n"/>
      <c r="W65" s="88" t="n"/>
      <c r="X65" s="89">
        <f>IFERROR(IF(OR(V65="",W65="",T65=""),"", IF(T65&gt;W65,"Дорогий",IF(T65&lt;V65,"Дешевий","У ринку"))),"")</f>
        <v/>
      </c>
      <c r="Y65" s="90" t="n"/>
      <c r="Z65" s="104">
        <f>CHOOSE(MATCH(IF($U65="","Основний",$U65),{"Трафіковий","Основний","Маржинальний","Сезонний","Стратегічний"},0),0.16,0.19,0.24,0.23,0.28)</f>
        <v/>
      </c>
      <c r="AA65" s="104">
        <f>CHOOSE(MATCH(IF($U65="","Основний",$U65),{"Трафіковий","Основний","Маржинальний","Сезонний","Стратегічний"},0),0.18,0.21,0.26,0.25,0.3)</f>
        <v/>
      </c>
      <c r="AB65" s="104">
        <f>CHOOSE(MATCH(IF($U65="","Основний",$U65),{"Трафіковий","Основний","Маржинальний","Сезонний","Стратегічний"},0),0.19,0.22,0.28,0.26,0.32)</f>
        <v/>
      </c>
      <c r="AC65" s="104">
        <f>CHOOSE(MATCH(IF($U65="","Основний",$U65),{"Трафіковий","Основний","Маржинальний","Сезонний","Стратегічний"},0),0.17,0.2,0.25,0.24,0.28)</f>
        <v/>
      </c>
      <c r="AD65" s="104">
        <f>CHOOSE(MATCH(IF($U65="","Основний",$U65),{"Трафіковий","Основний","Маржинальний","Сезонний","Стратегічний"},0),0.18,0.21,0.26,0.25,0.3)</f>
        <v/>
      </c>
      <c r="AE65" s="104">
        <f>CHOOSE(MATCH(IF($U65="","Основний",$U65),{"Трафіковий","Основний","Маржинальний","Сезонний","Стратегічний"},0),0.18,0.2,0.28,0.27,0.32)</f>
        <v/>
      </c>
      <c r="AF65" s="104">
        <f>CHOOSE(MATCH(IF($U65="","Основний",$U65),{"Трафіковий","Основний","Маржинальний","Сезонний","Стратегічний"},0),0.15,0.175,0.22,0.21,0.25)</f>
        <v/>
      </c>
      <c r="AG65" s="104">
        <f>CHOOSE(MATCH(IF($U65="","Основний",$U65),{"Трафіковий","Основний","Маржинальний","Сезонний","Стратегічний"},0),0.13,0.16,0.21,0.2,0.25)</f>
        <v/>
      </c>
      <c r="AH65" s="104">
        <f>CHOOSE(MATCH(IF($U65="","Основний",$U65),{"Трафіковий","Основний","Маржинальний","Сезонний","Стратегічний"},0),0.15,0.18,0.23,0.22,0.27)</f>
        <v/>
      </c>
      <c r="AI65" s="104">
        <f>CHOOSE(MATCH(IF($U65="","Основний",$U65),{"Трафіковий","Основний","Маржинальний","Сезонний","Стратегічний"},0),0.16,0.19,0.25,0.23,0.29)</f>
        <v/>
      </c>
      <c r="AJ65" s="104">
        <f>CHOOSE(MATCH(IF($U65="","Основний",$U65),{"Трафіковий","Основний","Маржинальний","Сезонний","Стратегічний"},0),0.14,0.17,0.22,0.21,0.25)</f>
        <v/>
      </c>
      <c r="AK65" s="104">
        <f>CHOOSE(MATCH(IF($U65="","Основний",$U65),{"Трафіковий","Основний","Маржинальний","Сезонний","Стратегічний"},0),0.15,0.18,0.23,0.22,0.27)</f>
        <v/>
      </c>
      <c r="AL65" s="104">
        <f>CHOOSE(MATCH(IF($U65="","Основний",$U65),{"Трафіковий","Основний","Маржинальний","Сезонний","Стратегічний"},0),0.15,0.17,0.25,0.24,0.29)</f>
        <v/>
      </c>
      <c r="AM65" s="104">
        <f>CHOOSE(MATCH(IF($U65="","Основний",$U65),{"Трафіковий","Основний","Маржинальний","Сезонний","Стратегічний"},0),0.12,0.145,0.19,0.18,0.22)</f>
        <v/>
      </c>
      <c r="AN65" s="157">
        <f>CHOOSE(MATCH(IF($U65="","Основний",$U65),{"Трафіковий","Основний","Маржинальний","Сезонний","Стратегічний"},0),Settings!$B$78,Settings!$B$80,Settings!$B$82,Settings!$B$84,Settings!$B$86)</f>
        <v/>
      </c>
      <c r="AO65" s="157">
        <f>CHOOSE(MATCH(IF($U65="","Основний",$U65),{"Трафіковий","Основний","Маржинальний","Сезонний","Стратегічний"},0),Settings!$C$78,Settings!$C$80,Settings!$C$82,Settings!$C$84,Settings!$C$86)</f>
        <v/>
      </c>
      <c r="AP65" s="157">
        <f>CHOOSE(MATCH(IF($U65="","Основний",$U65),{"Трафіковий","Основний","Маржинальний","Сезонний","Стратегічний"},0),Settings!$D$78,Settings!$D$80,Settings!$D$82,Settings!$D$84,Settings!$D$86)</f>
        <v/>
      </c>
      <c r="AQ65" s="157">
        <f>CHOOSE(MATCH(IF($U65="","Основний",$U65),{"Трафіковий","Основний","Маржинальний","Сезонний","Стратегічний"},0),Settings!$F$78,Settings!$F$80,Settings!$F$82,Settings!$F$84,Settings!$F$86)</f>
        <v/>
      </c>
      <c r="AR65" s="157">
        <f>CHOOSE(MATCH(IF($U65="","Основний",$U65),{"Трафіковий","Основний","Маржинальний","Сезонний","Стратегічний"},0),Settings!$G$78,Settings!$G$80,Settings!$G$82,Settings!$G$84,Settings!$G$86)</f>
        <v/>
      </c>
      <c r="AS65" s="157">
        <f>CHOOSE(MATCH(IF($U65="","Основний",$U65),{"Трафіковий","Основний","Маржинальний","Сезонний","Стратегічний"},0),Settings!$H$78,Settings!$H$80,Settings!$H$82,Settings!$H$84,Settings!$H$86)</f>
        <v/>
      </c>
      <c r="AT65" s="157">
        <f>CHOOSE(MATCH(IF($U65="","Основний",$U65),{"Трафіковий","Основний","Маржинальний","Сезонний","Стратегічний"},0),Settings!$I$78,Settings!$I$80,Settings!$I$82,Settings!$I$84,Settings!$I$86)</f>
        <v/>
      </c>
      <c r="AU65" s="171" t="n"/>
      <c r="AV65" t="n">
        <v>1.35</v>
      </c>
    </row>
    <row r="66">
      <c r="A66" s="28" t="inlineStr">
        <is>
          <t>NEW</t>
        </is>
      </c>
      <c r="B66" s="29" t="inlineStr">
        <is>
          <t>P3544</t>
        </is>
      </c>
      <c r="C66" s="29" t="inlineStr">
        <is>
          <t>RECHARGEABLE LED HEADLAMP 500 LM, 800 MAH</t>
        </is>
      </c>
      <c r="D66" s="29" t="inlineStr">
        <is>
          <t>Ліхтарі</t>
        </is>
      </c>
      <c r="E66" s="28" t="inlineStr">
        <is>
          <t>PC</t>
        </is>
      </c>
      <c r="F66" s="93" t="n">
        <v>9.727</v>
      </c>
      <c r="G66" s="30" t="n">
        <v>8513100000</v>
      </c>
      <c r="H66" s="31" t="n">
        <v>1.4</v>
      </c>
      <c r="I66" s="84">
        <f>IFERROR(F66*Settings!$B$2*H66*IF(AND(ISNUMBER(E66),E66&gt;1),E66,1),"")</f>
        <v/>
      </c>
      <c r="J66" s="32">
        <f>Settings!$B$66</f>
        <v/>
      </c>
      <c r="K66" s="95">
        <f>IFERROR(IF(T66="","",(T66*(1-AN66)*(1-Settings!$B$17)-I66)/(T66*(1-AN66)*(1-Settings!$B$17))),"")</f>
        <v/>
      </c>
      <c r="L66" s="101">
        <f>IFERROR(IF(T66="","",(T66*(1-AO66)*(1-Settings!$C$17)-I66)/(T66*(1-AO66)*(1-Settings!$C$17))),"")</f>
        <v/>
      </c>
      <c r="M66" s="101">
        <f>IFERROR(IF(T66="","",(T66*(1-AP66)*(1-Settings!$D$17)-I66)/(T66*(1-AP66)*(1-Settings!$D$17))),"")</f>
        <v/>
      </c>
      <c r="N66" s="101">
        <f>IFERROR(IF(T66="","",(T66*(1-AQ66)*(1-Settings!$F$17)-I66)/(T66*(1-AQ66)*(1-Settings!$F$17))),"")</f>
        <v/>
      </c>
      <c r="O66" s="101">
        <f>IFERROR(IF(T66="","",(T66*(1-AR66)*(1-Settings!$G$17)-I66)/(T66*(1-AR66)*(1-Settings!$G$17))),"")</f>
        <v/>
      </c>
      <c r="P66" s="101">
        <f>IFERROR(IF(T66="","",(T66*(1-AS66)*(1-Settings!$H$17)-I66)/(T66*(1-AS66)*(1-Settings!$H$17))),"")</f>
        <v/>
      </c>
      <c r="Q66" s="101">
        <f>IFERROR(IF(T66="","",(T66*(1-AT66)*(1-Settings!$I$68)*(1-Settings!$I$17)-I66)/(T66*(1-AT66)*(1-Settings!$I$68)*(1-Settings!$I$17))),"")</f>
        <v/>
      </c>
      <c r="R66" s="91">
        <f>IFERROR(IF(OR(I66="",Z66&gt;=1,Settings!$B$17&gt;=1,AN66&gt;=1),"",IF(MOD(ROUND(I66/(1-Z66)/(1-Settings!$B$17)/(1-AN66),0),10)=0,ROUND(I66/(1-Z66)/(1-Settings!$B$17)/(1-AN66),0)-1,IF(MOD(ROUND(I66/(1-Z66)/(1-Settings!$B$17)/(1-AN66),0),10)&lt;=5,FLOOR(ROUND(I66/(1-Z66)/(1-Settings!$B$17)/(1-AN66),0),10)+6,FLOOR(ROUND(I66/(1-Z66)/(1-Settings!$B$17)/(1-AN66),0),10)+9))),"")</f>
        <v/>
      </c>
      <c r="S66" s="92" t="n">
        <v>1300</v>
      </c>
      <c r="T66" s="91">
        <f>IF(S66&lt;&gt;"", IF(MOD(S66,10)=0,S66-1,IF(MOD(S66,10)&lt;=5,FLOOR(S66,10)+6,FLOOR(S66,10)+9)), R66)</f>
        <v/>
      </c>
      <c r="U66" s="87" t="inlineStr">
        <is>
          <t>Основний</t>
        </is>
      </c>
      <c r="V66" s="88" t="n"/>
      <c r="W66" s="88" t="n"/>
      <c r="X66" s="89">
        <f>IFERROR(IF(OR(V66="",W66="",T66=""),"", IF(T66&gt;W66,"Дорогий",IF(T66&lt;V66,"Дешевий","У ринку"))),"")</f>
        <v/>
      </c>
      <c r="Y66" s="90" t="n"/>
      <c r="Z66" s="104">
        <f>CHOOSE(MATCH(IF($U66="","Основний",$U66),{"Трафіковий","Основний","Маржинальний","Сезонний","Стратегічний"},0),0.16,0.19,0.24,0.23,0.28)</f>
        <v/>
      </c>
      <c r="AA66" s="104">
        <f>CHOOSE(MATCH(IF($U66="","Основний",$U66),{"Трафіковий","Основний","Маржинальний","Сезонний","Стратегічний"},0),0.18,0.21,0.26,0.25,0.3)</f>
        <v/>
      </c>
      <c r="AB66" s="104">
        <f>CHOOSE(MATCH(IF($U66="","Основний",$U66),{"Трафіковий","Основний","Маржинальний","Сезонний","Стратегічний"},0),0.19,0.22,0.28,0.26,0.32)</f>
        <v/>
      </c>
      <c r="AC66" s="104">
        <f>CHOOSE(MATCH(IF($U66="","Основний",$U66),{"Трафіковий","Основний","Маржинальний","Сезонний","Стратегічний"},0),0.17,0.2,0.25,0.24,0.28)</f>
        <v/>
      </c>
      <c r="AD66" s="104">
        <f>CHOOSE(MATCH(IF($U66="","Основний",$U66),{"Трафіковий","Основний","Маржинальний","Сезонний","Стратегічний"},0),0.18,0.21,0.26,0.25,0.3)</f>
        <v/>
      </c>
      <c r="AE66" s="104">
        <f>CHOOSE(MATCH(IF($U66="","Основний",$U66),{"Трафіковий","Основний","Маржинальний","Сезонний","Стратегічний"},0),0.18,0.2,0.28,0.27,0.32)</f>
        <v/>
      </c>
      <c r="AF66" s="104">
        <f>CHOOSE(MATCH(IF($U66="","Основний",$U66),{"Трафіковий","Основний","Маржинальний","Сезонний","Стратегічний"},0),0.15,0.175,0.22,0.21,0.25)</f>
        <v/>
      </c>
      <c r="AG66" s="104">
        <f>CHOOSE(MATCH(IF($U66="","Основний",$U66),{"Трафіковий","Основний","Маржинальний","Сезонний","Стратегічний"},0),0.13,0.16,0.21,0.2,0.25)</f>
        <v/>
      </c>
      <c r="AH66" s="104">
        <f>CHOOSE(MATCH(IF($U66="","Основний",$U66),{"Трафіковий","Основний","Маржинальний","Сезонний","Стратегічний"},0),0.15,0.18,0.23,0.22,0.27)</f>
        <v/>
      </c>
      <c r="AI66" s="104">
        <f>CHOOSE(MATCH(IF($U66="","Основний",$U66),{"Трафіковий","Основний","Маржинальний","Сезонний","Стратегічний"},0),0.16,0.19,0.25,0.23,0.29)</f>
        <v/>
      </c>
      <c r="AJ66" s="104">
        <f>CHOOSE(MATCH(IF($U66="","Основний",$U66),{"Трафіковий","Основний","Маржинальний","Сезонний","Стратегічний"},0),0.14,0.17,0.22,0.21,0.25)</f>
        <v/>
      </c>
      <c r="AK66" s="104">
        <f>CHOOSE(MATCH(IF($U66="","Основний",$U66),{"Трафіковий","Основний","Маржинальний","Сезонний","Стратегічний"},0),0.15,0.18,0.23,0.22,0.27)</f>
        <v/>
      </c>
      <c r="AL66" s="104">
        <f>CHOOSE(MATCH(IF($U66="","Основний",$U66),{"Трафіковий","Основний","Маржинальний","Сезонний","Стратегічний"},0),0.15,0.17,0.25,0.24,0.29)</f>
        <v/>
      </c>
      <c r="AM66" s="104">
        <f>CHOOSE(MATCH(IF($U66="","Основний",$U66),{"Трафіковий","Основний","Маржинальний","Сезонний","Стратегічний"},0),0.12,0.145,0.19,0.18,0.22)</f>
        <v/>
      </c>
      <c r="AN66" s="157">
        <f>CHOOSE(MATCH(IF($U66="","Основний",$U66),{"Трафіковий","Основний","Маржинальний","Сезонний","Стратегічний"},0),Settings!$B$78,Settings!$B$80,Settings!$B$82,Settings!$B$84,Settings!$B$86)</f>
        <v/>
      </c>
      <c r="AO66" s="157">
        <f>CHOOSE(MATCH(IF($U66="","Основний",$U66),{"Трафіковий","Основний","Маржинальний","Сезонний","Стратегічний"},0),Settings!$C$78,Settings!$C$80,Settings!$C$82,Settings!$C$84,Settings!$C$86)</f>
        <v/>
      </c>
      <c r="AP66" s="157">
        <f>CHOOSE(MATCH(IF($U66="","Основний",$U66),{"Трафіковий","Основний","Маржинальний","Сезонний","Стратегічний"},0),Settings!$D$78,Settings!$D$80,Settings!$D$82,Settings!$D$84,Settings!$D$86)</f>
        <v/>
      </c>
      <c r="AQ66" s="157">
        <f>CHOOSE(MATCH(IF($U66="","Основний",$U66),{"Трафіковий","Основний","Маржинальний","Сезонний","Стратегічний"},0),Settings!$F$78,Settings!$F$80,Settings!$F$82,Settings!$F$84,Settings!$F$86)</f>
        <v/>
      </c>
      <c r="AR66" s="157">
        <f>CHOOSE(MATCH(IF($U66="","Основний",$U66),{"Трафіковий","Основний","Маржинальний","Сезонний","Стратегічний"},0),Settings!$G$78,Settings!$G$80,Settings!$G$82,Settings!$G$84,Settings!$G$86)</f>
        <v/>
      </c>
      <c r="AS66" s="157">
        <f>CHOOSE(MATCH(IF($U66="","Основний",$U66),{"Трафіковий","Основний","Маржинальний","Сезонний","Стратегічний"},0),Settings!$H$78,Settings!$H$80,Settings!$H$82,Settings!$H$84,Settings!$H$86)</f>
        <v/>
      </c>
      <c r="AT66" s="157">
        <f>CHOOSE(MATCH(IF($U66="","Основний",$U66),{"Трафіковий","Основний","Маржинальний","Сезонний","Стратегічний"},0),Settings!$I$78,Settings!$I$80,Settings!$I$82,Settings!$I$84,Settings!$I$86)</f>
        <v/>
      </c>
      <c r="AU66" s="171" t="n"/>
      <c r="AV66" t="n">
        <v>1.35</v>
      </c>
    </row>
    <row r="67">
      <c r="A67" s="33" t="inlineStr">
        <is>
          <t>NEW</t>
        </is>
      </c>
      <c r="B67" s="34" t="inlineStr">
        <is>
          <t>P3545</t>
        </is>
      </c>
      <c r="C67" s="34" t="inlineStr">
        <is>
          <t>RECHARGEABLE LED + LED HEADLAMP 175 LM, 800 MAH</t>
        </is>
      </c>
      <c r="D67" s="34" t="inlineStr">
        <is>
          <t>Ліхтарі</t>
        </is>
      </c>
      <c r="E67" s="33" t="inlineStr">
        <is>
          <t>PC</t>
        </is>
      </c>
      <c r="F67" s="94" t="n">
        <v>3.652</v>
      </c>
      <c r="G67" s="35" t="n">
        <v>8513100000</v>
      </c>
      <c r="H67" s="31" t="n">
        <v>1.4</v>
      </c>
      <c r="I67" s="84">
        <f>IFERROR(F67*Settings!$B$2*H67*IF(AND(ISNUMBER(E67),E67&gt;1),E67,1),"")</f>
        <v/>
      </c>
      <c r="J67" s="32">
        <f>Settings!$B$66</f>
        <v/>
      </c>
      <c r="K67" s="95">
        <f>IFERROR(IF(T67="","",(T67*(1-AN67)*(1-Settings!$B$17)-I67)/(T67*(1-AN67)*(1-Settings!$B$17))),"")</f>
        <v/>
      </c>
      <c r="L67" s="101">
        <f>IFERROR(IF(T67="","",(T67*(1-AO67)*(1-Settings!$C$17)-I67)/(T67*(1-AO67)*(1-Settings!$C$17))),"")</f>
        <v/>
      </c>
      <c r="M67" s="101">
        <f>IFERROR(IF(T67="","",(T67*(1-AP67)*(1-Settings!$D$17)-I67)/(T67*(1-AP67)*(1-Settings!$D$17))),"")</f>
        <v/>
      </c>
      <c r="N67" s="101">
        <f>IFERROR(IF(T67="","",(T67*(1-AQ67)*(1-Settings!$F$17)-I67)/(T67*(1-AQ67)*(1-Settings!$F$17))),"")</f>
        <v/>
      </c>
      <c r="O67" s="101">
        <f>IFERROR(IF(T67="","",(T67*(1-AR67)*(1-Settings!$G$17)-I67)/(T67*(1-AR67)*(1-Settings!$G$17))),"")</f>
        <v/>
      </c>
      <c r="P67" s="101">
        <f>IFERROR(IF(T67="","",(T67*(1-AS67)*(1-Settings!$H$17)-I67)/(T67*(1-AS67)*(1-Settings!$H$17))),"")</f>
        <v/>
      </c>
      <c r="Q67" s="101">
        <f>IFERROR(IF(T67="","",(T67*(1-AT67)*(1-Settings!$I$68)*(1-Settings!$I$17)-I67)/(T67*(1-AT67)*(1-Settings!$I$68)*(1-Settings!$I$17))),"")</f>
        <v/>
      </c>
      <c r="R67" s="91">
        <f>IFERROR(IF(OR(I67="",Z67&gt;=1,Settings!$B$17&gt;=1,AN67&gt;=1),"",IF(MOD(ROUND(I67/(1-Z67)/(1-Settings!$B$17)/(1-AN67),0),10)=0,ROUND(I67/(1-Z67)/(1-Settings!$B$17)/(1-AN67),0)-1,IF(MOD(ROUND(I67/(1-Z67)/(1-Settings!$B$17)/(1-AN67),0),10)&lt;=5,FLOOR(ROUND(I67/(1-Z67)/(1-Settings!$B$17)/(1-AN67),0),10)+6,FLOOR(ROUND(I67/(1-Z67)/(1-Settings!$B$17)/(1-AN67),0),10)+9))),"")</f>
        <v/>
      </c>
      <c r="S67" s="92" t="n">
        <v>500</v>
      </c>
      <c r="T67" s="91">
        <f>IF(S67&lt;&gt;"", IF(MOD(S67,10)=0,S67-1,IF(MOD(S67,10)&lt;=5,FLOOR(S67,10)+6,FLOOR(S67,10)+9)), R67)</f>
        <v/>
      </c>
      <c r="U67" s="87" t="inlineStr">
        <is>
          <t>Основний</t>
        </is>
      </c>
      <c r="V67" s="88" t="n"/>
      <c r="W67" s="88" t="n"/>
      <c r="X67" s="89">
        <f>IFERROR(IF(OR(V67="",W67="",T67=""),"", IF(T67&gt;W67,"Дорогий",IF(T67&lt;V67,"Дешевий","У ринку"))),"")</f>
        <v/>
      </c>
      <c r="Y67" s="90" t="n"/>
      <c r="Z67" s="104">
        <f>CHOOSE(MATCH(IF($U67="","Основний",$U67),{"Трафіковий","Основний","Маржинальний","Сезонний","Стратегічний"},0),0.16,0.19,0.24,0.23,0.28)</f>
        <v/>
      </c>
      <c r="AA67" s="104">
        <f>CHOOSE(MATCH(IF($U67="","Основний",$U67),{"Трафіковий","Основний","Маржинальний","Сезонний","Стратегічний"},0),0.18,0.21,0.26,0.25,0.3)</f>
        <v/>
      </c>
      <c r="AB67" s="104">
        <f>CHOOSE(MATCH(IF($U67="","Основний",$U67),{"Трафіковий","Основний","Маржинальний","Сезонний","Стратегічний"},0),0.19,0.22,0.28,0.26,0.32)</f>
        <v/>
      </c>
      <c r="AC67" s="104">
        <f>CHOOSE(MATCH(IF($U67="","Основний",$U67),{"Трафіковий","Основний","Маржинальний","Сезонний","Стратегічний"},0),0.17,0.2,0.25,0.24,0.28)</f>
        <v/>
      </c>
      <c r="AD67" s="104">
        <f>CHOOSE(MATCH(IF($U67="","Основний",$U67),{"Трафіковий","Основний","Маржинальний","Сезонний","Стратегічний"},0),0.18,0.21,0.26,0.25,0.3)</f>
        <v/>
      </c>
      <c r="AE67" s="104">
        <f>CHOOSE(MATCH(IF($U67="","Основний",$U67),{"Трафіковий","Основний","Маржинальний","Сезонний","Стратегічний"},0),0.18,0.2,0.28,0.27,0.32)</f>
        <v/>
      </c>
      <c r="AF67" s="104">
        <f>CHOOSE(MATCH(IF($U67="","Основний",$U67),{"Трафіковий","Основний","Маржинальний","Сезонний","Стратегічний"},0),0.15,0.175,0.22,0.21,0.25)</f>
        <v/>
      </c>
      <c r="AG67" s="104">
        <f>CHOOSE(MATCH(IF($U67="","Основний",$U67),{"Трафіковий","Основний","Маржинальний","Сезонний","Стратегічний"},0),0.13,0.16,0.21,0.2,0.25)</f>
        <v/>
      </c>
      <c r="AH67" s="104">
        <f>CHOOSE(MATCH(IF($U67="","Основний",$U67),{"Трафіковий","Основний","Маржинальний","Сезонний","Стратегічний"},0),0.15,0.18,0.23,0.22,0.27)</f>
        <v/>
      </c>
      <c r="AI67" s="104">
        <f>CHOOSE(MATCH(IF($U67="","Основний",$U67),{"Трафіковий","Основний","Маржинальний","Сезонний","Стратегічний"},0),0.16,0.19,0.25,0.23,0.29)</f>
        <v/>
      </c>
      <c r="AJ67" s="104">
        <f>CHOOSE(MATCH(IF($U67="","Основний",$U67),{"Трафіковий","Основний","Маржинальний","Сезонний","Стратегічний"},0),0.14,0.17,0.22,0.21,0.25)</f>
        <v/>
      </c>
      <c r="AK67" s="104">
        <f>CHOOSE(MATCH(IF($U67="","Основний",$U67),{"Трафіковий","Основний","Маржинальний","Сезонний","Стратегічний"},0),0.15,0.18,0.23,0.22,0.27)</f>
        <v/>
      </c>
      <c r="AL67" s="104">
        <f>CHOOSE(MATCH(IF($U67="","Основний",$U67),{"Трафіковий","Основний","Маржинальний","Сезонний","Стратегічний"},0),0.15,0.17,0.25,0.24,0.29)</f>
        <v/>
      </c>
      <c r="AM67" s="104">
        <f>CHOOSE(MATCH(IF($U67="","Основний",$U67),{"Трафіковий","Основний","Маржинальний","Сезонний","Стратегічний"},0),0.12,0.145,0.19,0.18,0.22)</f>
        <v/>
      </c>
      <c r="AN67" s="157">
        <f>CHOOSE(MATCH(IF($U67="","Основний",$U67),{"Трафіковий","Основний","Маржинальний","Сезонний","Стратегічний"},0),Settings!$B$78,Settings!$B$80,Settings!$B$82,Settings!$B$84,Settings!$B$86)</f>
        <v/>
      </c>
      <c r="AO67" s="157">
        <f>CHOOSE(MATCH(IF($U67="","Основний",$U67),{"Трафіковий","Основний","Маржинальний","Сезонний","Стратегічний"},0),Settings!$C$78,Settings!$C$80,Settings!$C$82,Settings!$C$84,Settings!$C$86)</f>
        <v/>
      </c>
      <c r="AP67" s="157">
        <f>CHOOSE(MATCH(IF($U67="","Основний",$U67),{"Трафіковий","Основний","Маржинальний","Сезонний","Стратегічний"},0),Settings!$D$78,Settings!$D$80,Settings!$D$82,Settings!$D$84,Settings!$D$86)</f>
        <v/>
      </c>
      <c r="AQ67" s="157">
        <f>CHOOSE(MATCH(IF($U67="","Основний",$U67),{"Трафіковий","Основний","Маржинальний","Сезонний","Стратегічний"},0),Settings!$F$78,Settings!$F$80,Settings!$F$82,Settings!$F$84,Settings!$F$86)</f>
        <v/>
      </c>
      <c r="AR67" s="157">
        <f>CHOOSE(MATCH(IF($U67="","Основний",$U67),{"Трафіковий","Основний","Маржинальний","Сезонний","Стратегічний"},0),Settings!$G$78,Settings!$G$80,Settings!$G$82,Settings!$G$84,Settings!$G$86)</f>
        <v/>
      </c>
      <c r="AS67" s="157">
        <f>CHOOSE(MATCH(IF($U67="","Основний",$U67),{"Трафіковий","Основний","Маржинальний","Сезонний","Стратегічний"},0),Settings!$H$78,Settings!$H$80,Settings!$H$82,Settings!$H$84,Settings!$H$86)</f>
        <v/>
      </c>
      <c r="AT67" s="157">
        <f>CHOOSE(MATCH(IF($U67="","Основний",$U67),{"Трафіковий","Основний","Маржинальний","Сезонний","Стратегічний"},0),Settings!$I$78,Settings!$I$80,Settings!$I$82,Settings!$I$84,Settings!$I$86)</f>
        <v/>
      </c>
      <c r="AU67" s="171" t="n"/>
      <c r="AV67" t="n">
        <v>1.35</v>
      </c>
    </row>
    <row r="68">
      <c r="A68" s="28" t="inlineStr">
        <is>
          <t>NEW</t>
        </is>
      </c>
      <c r="B68" s="29" t="inlineStr">
        <is>
          <t>P3546</t>
        </is>
      </c>
      <c r="C68" s="29" t="inlineStr">
        <is>
          <t>HYBRID RECH. HEADLAMP 7LED WW/NW/CW/RED</t>
        </is>
      </c>
      <c r="D68" s="29" t="inlineStr">
        <is>
          <t>Ліхтарі</t>
        </is>
      </c>
      <c r="E68" s="28" t="inlineStr">
        <is>
          <t>PC</t>
        </is>
      </c>
      <c r="F68" s="93" t="n">
        <v>7.847</v>
      </c>
      <c r="G68" s="30" t="n">
        <v>8513100000</v>
      </c>
      <c r="H68" s="31" t="n">
        <v>1.4</v>
      </c>
      <c r="I68" s="84">
        <f>IFERROR(F68*Settings!$B$2*H68*IF(AND(ISNUMBER(E68),E68&gt;1),E68,1),"")</f>
        <v/>
      </c>
      <c r="J68" s="32">
        <f>Settings!$B$66</f>
        <v/>
      </c>
      <c r="K68" s="95">
        <f>IFERROR(IF(T68="","",(T68*(1-AN68)*(1-Settings!$B$17)-I68)/(T68*(1-AN68)*(1-Settings!$B$17))),"")</f>
        <v/>
      </c>
      <c r="L68" s="101">
        <f>IFERROR(IF(T68="","",(T68*(1-AO68)*(1-Settings!$C$17)-I68)/(T68*(1-AO68)*(1-Settings!$C$17))),"")</f>
        <v/>
      </c>
      <c r="M68" s="101">
        <f>IFERROR(IF(T68="","",(T68*(1-AP68)*(1-Settings!$D$17)-I68)/(T68*(1-AP68)*(1-Settings!$D$17))),"")</f>
        <v/>
      </c>
      <c r="N68" s="101">
        <f>IFERROR(IF(T68="","",(T68*(1-AQ68)*(1-Settings!$F$17)-I68)/(T68*(1-AQ68)*(1-Settings!$F$17))),"")</f>
        <v/>
      </c>
      <c r="O68" s="101">
        <f>IFERROR(IF(T68="","",(T68*(1-AR68)*(1-Settings!$G$17)-I68)/(T68*(1-AR68)*(1-Settings!$G$17))),"")</f>
        <v/>
      </c>
      <c r="P68" s="101">
        <f>IFERROR(IF(T68="","",(T68*(1-AS68)*(1-Settings!$H$17)-I68)/(T68*(1-AS68)*(1-Settings!$H$17))),"")</f>
        <v/>
      </c>
      <c r="Q68" s="101">
        <f>IFERROR(IF(T68="","",(T68*(1-AT68)*(1-Settings!$I$68)*(1-Settings!$I$17)-I68)/(T68*(1-AT68)*(1-Settings!$I$68)*(1-Settings!$I$17))),"")</f>
        <v/>
      </c>
      <c r="R68" s="91">
        <f>IFERROR(IF(OR(I68="",Z68&gt;=1,Settings!$B$17&gt;=1,AN68&gt;=1),"",IF(MOD(ROUND(I68/(1-Z68)/(1-Settings!$B$17)/(1-AN68),0),10)=0,ROUND(I68/(1-Z68)/(1-Settings!$B$17)/(1-AN68),0)-1,IF(MOD(ROUND(I68/(1-Z68)/(1-Settings!$B$17)/(1-AN68),0),10)&lt;=5,FLOOR(ROUND(I68/(1-Z68)/(1-Settings!$B$17)/(1-AN68),0),10)+6,FLOOR(ROUND(I68/(1-Z68)/(1-Settings!$B$17)/(1-AN68),0),10)+9))),"")</f>
        <v/>
      </c>
      <c r="S68" s="92" t="n">
        <v>1060</v>
      </c>
      <c r="T68" s="91">
        <f>IF(S68&lt;&gt;"", IF(MOD(S68,10)=0,S68-1,IF(MOD(S68,10)&lt;=5,FLOOR(S68,10)+6,FLOOR(S68,10)+9)), R68)</f>
        <v/>
      </c>
      <c r="U68" s="87" t="inlineStr">
        <is>
          <t>Основний</t>
        </is>
      </c>
      <c r="V68" s="88" t="n"/>
      <c r="W68" s="88" t="n"/>
      <c r="X68" s="89">
        <f>IFERROR(IF(OR(V68="",W68="",T68=""),"", IF(T68&gt;W68,"Дорогий",IF(T68&lt;V68,"Дешевий","У ринку"))),"")</f>
        <v/>
      </c>
      <c r="Y68" s="90" t="n"/>
      <c r="Z68" s="104">
        <f>CHOOSE(MATCH(IF($U68="","Основний",$U68),{"Трафіковий","Основний","Маржинальний","Сезонний","Стратегічний"},0),0.16,0.19,0.24,0.23,0.28)</f>
        <v/>
      </c>
      <c r="AA68" s="104">
        <f>CHOOSE(MATCH(IF($U68="","Основний",$U68),{"Трафіковий","Основний","Маржинальний","Сезонний","Стратегічний"},0),0.18,0.21,0.26,0.25,0.3)</f>
        <v/>
      </c>
      <c r="AB68" s="104">
        <f>CHOOSE(MATCH(IF($U68="","Основний",$U68),{"Трафіковий","Основний","Маржинальний","Сезонний","Стратегічний"},0),0.19,0.22,0.28,0.26,0.32)</f>
        <v/>
      </c>
      <c r="AC68" s="104">
        <f>CHOOSE(MATCH(IF($U68="","Основний",$U68),{"Трафіковий","Основний","Маржинальний","Сезонний","Стратегічний"},0),0.17,0.2,0.25,0.24,0.28)</f>
        <v/>
      </c>
      <c r="AD68" s="104">
        <f>CHOOSE(MATCH(IF($U68="","Основний",$U68),{"Трафіковий","Основний","Маржинальний","Сезонний","Стратегічний"},0),0.18,0.21,0.26,0.25,0.3)</f>
        <v/>
      </c>
      <c r="AE68" s="104">
        <f>CHOOSE(MATCH(IF($U68="","Основний",$U68),{"Трафіковий","Основний","Маржинальний","Сезонний","Стратегічний"},0),0.18,0.2,0.28,0.27,0.32)</f>
        <v/>
      </c>
      <c r="AF68" s="104">
        <f>CHOOSE(MATCH(IF($U68="","Основний",$U68),{"Трафіковий","Основний","Маржинальний","Сезонний","Стратегічний"},0),0.15,0.175,0.22,0.21,0.25)</f>
        <v/>
      </c>
      <c r="AG68" s="104">
        <f>CHOOSE(MATCH(IF($U68="","Основний",$U68),{"Трафіковий","Основний","Маржинальний","Сезонний","Стратегічний"},0),0.13,0.16,0.21,0.2,0.25)</f>
        <v/>
      </c>
      <c r="AH68" s="104">
        <f>CHOOSE(MATCH(IF($U68="","Основний",$U68),{"Трафіковий","Основний","Маржинальний","Сезонний","Стратегічний"},0),0.15,0.18,0.23,0.22,0.27)</f>
        <v/>
      </c>
      <c r="AI68" s="104">
        <f>CHOOSE(MATCH(IF($U68="","Основний",$U68),{"Трафіковий","Основний","Маржинальний","Сезонний","Стратегічний"},0),0.16,0.19,0.25,0.23,0.29)</f>
        <v/>
      </c>
      <c r="AJ68" s="104">
        <f>CHOOSE(MATCH(IF($U68="","Основний",$U68),{"Трафіковий","Основний","Маржинальний","Сезонний","Стратегічний"},0),0.14,0.17,0.22,0.21,0.25)</f>
        <v/>
      </c>
      <c r="AK68" s="104">
        <f>CHOOSE(MATCH(IF($U68="","Основний",$U68),{"Трафіковий","Основний","Маржинальний","Сезонний","Стратегічний"},0),0.15,0.18,0.23,0.22,0.27)</f>
        <v/>
      </c>
      <c r="AL68" s="104">
        <f>CHOOSE(MATCH(IF($U68="","Основний",$U68),{"Трафіковий","Основний","Маржинальний","Сезонний","Стратегічний"},0),0.15,0.17,0.25,0.24,0.29)</f>
        <v/>
      </c>
      <c r="AM68" s="104">
        <f>CHOOSE(MATCH(IF($U68="","Основний",$U68),{"Трафіковий","Основний","Маржинальний","Сезонний","Стратегічний"},0),0.12,0.145,0.19,0.18,0.22)</f>
        <v/>
      </c>
      <c r="AN68" s="157">
        <f>CHOOSE(MATCH(IF($U68="","Основний",$U68),{"Трафіковий","Основний","Маржинальний","Сезонний","Стратегічний"},0),Settings!$B$78,Settings!$B$80,Settings!$B$82,Settings!$B$84,Settings!$B$86)</f>
        <v/>
      </c>
      <c r="AO68" s="157">
        <f>CHOOSE(MATCH(IF($U68="","Основний",$U68),{"Трафіковий","Основний","Маржинальний","Сезонний","Стратегічний"},0),Settings!$C$78,Settings!$C$80,Settings!$C$82,Settings!$C$84,Settings!$C$86)</f>
        <v/>
      </c>
      <c r="AP68" s="157">
        <f>CHOOSE(MATCH(IF($U68="","Основний",$U68),{"Трафіковий","Основний","Маржинальний","Сезонний","Стратегічний"},0),Settings!$D$78,Settings!$D$80,Settings!$D$82,Settings!$D$84,Settings!$D$86)</f>
        <v/>
      </c>
      <c r="AQ68" s="157">
        <f>CHOOSE(MATCH(IF($U68="","Основний",$U68),{"Трафіковий","Основний","Маржинальний","Сезонний","Стратегічний"},0),Settings!$F$78,Settings!$F$80,Settings!$F$82,Settings!$F$84,Settings!$F$86)</f>
        <v/>
      </c>
      <c r="AR68" s="157">
        <f>CHOOSE(MATCH(IF($U68="","Основний",$U68),{"Трафіковий","Основний","Маржинальний","Сезонний","Стратегічний"},0),Settings!$G$78,Settings!$G$80,Settings!$G$82,Settings!$G$84,Settings!$G$86)</f>
        <v/>
      </c>
      <c r="AS68" s="157">
        <f>CHOOSE(MATCH(IF($U68="","Основний",$U68),{"Трафіковий","Основний","Маржинальний","Сезонний","Стратегічний"},0),Settings!$H$78,Settings!$H$80,Settings!$H$82,Settings!$H$84,Settings!$H$86)</f>
        <v/>
      </c>
      <c r="AT68" s="157">
        <f>CHOOSE(MATCH(IF($U68="","Основний",$U68),{"Трафіковий","Основний","Маржинальний","Сезонний","Стратегічний"},0),Settings!$I$78,Settings!$I$80,Settings!$I$82,Settings!$I$84,Settings!$I$86)</f>
        <v/>
      </c>
      <c r="AU68" s="171" t="n"/>
      <c r="AV68" t="n">
        <v>1.35</v>
      </c>
    </row>
    <row r="69">
      <c r="A69" s="33" t="n"/>
      <c r="B69" s="34" t="inlineStr">
        <is>
          <t>P3920</t>
        </is>
      </c>
      <c r="C69" s="34" t="inlineStr">
        <is>
          <t>BICYCLE FRONT+BACK LIGHT</t>
        </is>
      </c>
      <c r="D69" s="34" t="inlineStr">
        <is>
          <t>Ліхтарі</t>
        </is>
      </c>
      <c r="E69" s="33" t="inlineStr">
        <is>
          <t>PC</t>
        </is>
      </c>
      <c r="F69" s="94" t="n">
        <v>4.786</v>
      </c>
      <c r="G69" s="35" t="n">
        <v>8512100000</v>
      </c>
      <c r="H69" s="31" t="n">
        <v>1.4</v>
      </c>
      <c r="I69" s="84">
        <f>IFERROR(F69*Settings!$B$2*H69*IF(AND(ISNUMBER(E69),E69&gt;1),E69,1),"")</f>
        <v/>
      </c>
      <c r="J69" s="32">
        <f>Settings!$B$66</f>
        <v/>
      </c>
      <c r="K69" s="95">
        <f>IFERROR(IF(T69="","",(T69*(1-AN69)*(1-Settings!$B$17)-I69)/(T69*(1-AN69)*(1-Settings!$B$17))),"")</f>
        <v/>
      </c>
      <c r="L69" s="101">
        <f>IFERROR(IF(T69="","",(T69*(1-AO69)*(1-Settings!$C$17)-I69)/(T69*(1-AO69)*(1-Settings!$C$17))),"")</f>
        <v/>
      </c>
      <c r="M69" s="101">
        <f>IFERROR(IF(T69="","",(T69*(1-AP69)*(1-Settings!$D$17)-I69)/(T69*(1-AP69)*(1-Settings!$D$17))),"")</f>
        <v/>
      </c>
      <c r="N69" s="101">
        <f>IFERROR(IF(T69="","",(T69*(1-AQ69)*(1-Settings!$F$17)-I69)/(T69*(1-AQ69)*(1-Settings!$F$17))),"")</f>
        <v/>
      </c>
      <c r="O69" s="101">
        <f>IFERROR(IF(T69="","",(T69*(1-AR69)*(1-Settings!$G$17)-I69)/(T69*(1-AR69)*(1-Settings!$G$17))),"")</f>
        <v/>
      </c>
      <c r="P69" s="101">
        <f>IFERROR(IF(T69="","",(T69*(1-AS69)*(1-Settings!$H$17)-I69)/(T69*(1-AS69)*(1-Settings!$H$17))),"")</f>
        <v/>
      </c>
      <c r="Q69" s="101">
        <f>IFERROR(IF(T69="","",(T69*(1-AT69)*(1-Settings!$I$68)*(1-Settings!$I$17)-I69)/(T69*(1-AT69)*(1-Settings!$I$68)*(1-Settings!$I$17))),"")</f>
        <v/>
      </c>
      <c r="R69" s="91">
        <f>IFERROR(IF(OR(I69="",Z69&gt;=1,Settings!$B$17&gt;=1,AN69&gt;=1),"",IF(MOD(ROUND(I69/(1-Z69)/(1-Settings!$B$17)/(1-AN69),0),10)=0,ROUND(I69/(1-Z69)/(1-Settings!$B$17)/(1-AN69),0)-1,IF(MOD(ROUND(I69/(1-Z69)/(1-Settings!$B$17)/(1-AN69),0),10)&lt;=5,FLOOR(ROUND(I69/(1-Z69)/(1-Settings!$B$17)/(1-AN69),0),10)+6,FLOOR(ROUND(I69/(1-Z69)/(1-Settings!$B$17)/(1-AN69),0),10)+9))),"")</f>
        <v/>
      </c>
      <c r="S69" s="92" t="n">
        <v>600</v>
      </c>
      <c r="T69" s="91">
        <f>IF(S69&lt;&gt;"", IF(MOD(S69,10)=0,S69-1,IF(MOD(S69,10)&lt;=5,FLOOR(S69,10)+6,FLOOR(S69,10)+9)), R69)</f>
        <v/>
      </c>
      <c r="U69" s="87" t="inlineStr">
        <is>
          <t>Основний</t>
        </is>
      </c>
      <c r="V69" s="88" t="n"/>
      <c r="W69" s="88" t="n"/>
      <c r="X69" s="89">
        <f>IFERROR(IF(OR(V69="",W69="",T69=""),"", IF(T69&gt;W69,"Дорогий",IF(T69&lt;V69,"Дешевий","У ринку"))),"")</f>
        <v/>
      </c>
      <c r="Y69" s="90" t="n"/>
      <c r="Z69" s="104">
        <f>CHOOSE(MATCH(IF($U69="","Основний",$U69),{"Трафіковий","Основний","Маржинальний","Сезонний","Стратегічний"},0),0.16,0.19,0.24,0.23,0.28)</f>
        <v/>
      </c>
      <c r="AA69" s="104">
        <f>CHOOSE(MATCH(IF($U69="","Основний",$U69),{"Трафіковий","Основний","Маржинальний","Сезонний","Стратегічний"},0),0.18,0.21,0.26,0.25,0.3)</f>
        <v/>
      </c>
      <c r="AB69" s="104">
        <f>CHOOSE(MATCH(IF($U69="","Основний",$U69),{"Трафіковий","Основний","Маржинальний","Сезонний","Стратегічний"},0),0.19,0.22,0.28,0.26,0.32)</f>
        <v/>
      </c>
      <c r="AC69" s="104">
        <f>CHOOSE(MATCH(IF($U69="","Основний",$U69),{"Трафіковий","Основний","Маржинальний","Сезонний","Стратегічний"},0),0.17,0.2,0.25,0.24,0.28)</f>
        <v/>
      </c>
      <c r="AD69" s="104">
        <f>CHOOSE(MATCH(IF($U69="","Основний",$U69),{"Трафіковий","Основний","Маржинальний","Сезонний","Стратегічний"},0),0.18,0.21,0.26,0.25,0.3)</f>
        <v/>
      </c>
      <c r="AE69" s="104">
        <f>CHOOSE(MATCH(IF($U69="","Основний",$U69),{"Трафіковий","Основний","Маржинальний","Сезонний","Стратегічний"},0),0.18,0.2,0.28,0.27,0.32)</f>
        <v/>
      </c>
      <c r="AF69" s="104">
        <f>CHOOSE(MATCH(IF($U69="","Основний",$U69),{"Трафіковий","Основний","Маржинальний","Сезонний","Стратегічний"},0),0.15,0.175,0.22,0.21,0.25)</f>
        <v/>
      </c>
      <c r="AG69" s="104">
        <f>CHOOSE(MATCH(IF($U69="","Основний",$U69),{"Трафіковий","Основний","Маржинальний","Сезонний","Стратегічний"},0),0.13,0.16,0.21,0.2,0.25)</f>
        <v/>
      </c>
      <c r="AH69" s="104">
        <f>CHOOSE(MATCH(IF($U69="","Основний",$U69),{"Трафіковий","Основний","Маржинальний","Сезонний","Стратегічний"},0),0.15,0.18,0.23,0.22,0.27)</f>
        <v/>
      </c>
      <c r="AI69" s="104">
        <f>CHOOSE(MATCH(IF($U69="","Основний",$U69),{"Трафіковий","Основний","Маржинальний","Сезонний","Стратегічний"},0),0.16,0.19,0.25,0.23,0.29)</f>
        <v/>
      </c>
      <c r="AJ69" s="104">
        <f>CHOOSE(MATCH(IF($U69="","Основний",$U69),{"Трафіковий","Основний","Маржинальний","Сезонний","Стратегічний"},0),0.14,0.17,0.22,0.21,0.25)</f>
        <v/>
      </c>
      <c r="AK69" s="104">
        <f>CHOOSE(MATCH(IF($U69="","Основний",$U69),{"Трафіковий","Основний","Маржинальний","Сезонний","Стратегічний"},0),0.15,0.18,0.23,0.22,0.27)</f>
        <v/>
      </c>
      <c r="AL69" s="104">
        <f>CHOOSE(MATCH(IF($U69="","Основний",$U69),{"Трафіковий","Основний","Маржинальний","Сезонний","Стратегічний"},0),0.15,0.17,0.25,0.24,0.29)</f>
        <v/>
      </c>
      <c r="AM69" s="104">
        <f>CHOOSE(MATCH(IF($U69="","Основний",$U69),{"Трафіковий","Основний","Маржинальний","Сезонний","Стратегічний"},0),0.12,0.145,0.19,0.18,0.22)</f>
        <v/>
      </c>
      <c r="AN69" s="157">
        <f>CHOOSE(MATCH(IF($U69="","Основний",$U69),{"Трафіковий","Основний","Маржинальний","Сезонний","Стратегічний"},0),Settings!$B$78,Settings!$B$80,Settings!$B$82,Settings!$B$84,Settings!$B$86)</f>
        <v/>
      </c>
      <c r="AO69" s="157">
        <f>CHOOSE(MATCH(IF($U69="","Основний",$U69),{"Трафіковий","Основний","Маржинальний","Сезонний","Стратегічний"},0),Settings!$C$78,Settings!$C$80,Settings!$C$82,Settings!$C$84,Settings!$C$86)</f>
        <v/>
      </c>
      <c r="AP69" s="157">
        <f>CHOOSE(MATCH(IF($U69="","Основний",$U69),{"Трафіковий","Основний","Маржинальний","Сезонний","Стратегічний"},0),Settings!$D$78,Settings!$D$80,Settings!$D$82,Settings!$D$84,Settings!$D$86)</f>
        <v/>
      </c>
      <c r="AQ69" s="157">
        <f>CHOOSE(MATCH(IF($U69="","Основний",$U69),{"Трафіковий","Основний","Маржинальний","Сезонний","Стратегічний"},0),Settings!$F$78,Settings!$F$80,Settings!$F$82,Settings!$F$84,Settings!$F$86)</f>
        <v/>
      </c>
      <c r="AR69" s="157">
        <f>CHOOSE(MATCH(IF($U69="","Основний",$U69),{"Трафіковий","Основний","Маржинальний","Сезонний","Стратегічний"},0),Settings!$G$78,Settings!$G$80,Settings!$G$82,Settings!$G$84,Settings!$G$86)</f>
        <v/>
      </c>
      <c r="AS69" s="157">
        <f>CHOOSE(MATCH(IF($U69="","Основний",$U69),{"Трафіковий","Основний","Маржинальний","Сезонний","Стратегічний"},0),Settings!$H$78,Settings!$H$80,Settings!$H$82,Settings!$H$84,Settings!$H$86)</f>
        <v/>
      </c>
      <c r="AT69" s="157">
        <f>CHOOSE(MATCH(IF($U69="","Основний",$U69),{"Трафіковий","Основний","Маржинальний","Сезонний","Стратегічний"},0),Settings!$I$78,Settings!$I$80,Settings!$I$82,Settings!$I$84,Settings!$I$86)</f>
        <v/>
      </c>
      <c r="AU69" s="171" t="n"/>
      <c r="AV69" t="n">
        <v>1.35</v>
      </c>
    </row>
    <row r="70">
      <c r="A70" s="28" t="n"/>
      <c r="B70" s="29" t="inlineStr">
        <is>
          <t>P3921</t>
        </is>
      </c>
      <c r="C70" s="29" t="inlineStr">
        <is>
          <t>SILICON BIKE LIGHTS SET</t>
        </is>
      </c>
      <c r="D70" s="29" t="inlineStr">
        <is>
          <t>Ліхтарі</t>
        </is>
      </c>
      <c r="E70" s="28" t="inlineStr">
        <is>
          <t>PC</t>
        </is>
      </c>
      <c r="F70" s="93" t="n">
        <v>2.069</v>
      </c>
      <c r="G70" s="30" t="n">
        <v>8512100000</v>
      </c>
      <c r="H70" s="31" t="n">
        <v>1.4</v>
      </c>
      <c r="I70" s="84">
        <f>IFERROR(F70*Settings!$B$2*H70*IF(AND(ISNUMBER(E70),E70&gt;1),E70,1),"")</f>
        <v/>
      </c>
      <c r="J70" s="32">
        <f>Settings!$B$66</f>
        <v/>
      </c>
      <c r="K70" s="95">
        <f>IFERROR(IF(T70="","",(T70*(1-AN70)*(1-Settings!$B$17)-I70)/(T70*(1-AN70)*(1-Settings!$B$17))),"")</f>
        <v/>
      </c>
      <c r="L70" s="101">
        <f>IFERROR(IF(T70="","",(T70*(1-AO70)*(1-Settings!$C$17)-I70)/(T70*(1-AO70)*(1-Settings!$C$17))),"")</f>
        <v/>
      </c>
      <c r="M70" s="101">
        <f>IFERROR(IF(T70="","",(T70*(1-AP70)*(1-Settings!$D$17)-I70)/(T70*(1-AP70)*(1-Settings!$D$17))),"")</f>
        <v/>
      </c>
      <c r="N70" s="101">
        <f>IFERROR(IF(T70="","",(T70*(1-AQ70)*(1-Settings!$F$17)-I70)/(T70*(1-AQ70)*(1-Settings!$F$17))),"")</f>
        <v/>
      </c>
      <c r="O70" s="101">
        <f>IFERROR(IF(T70="","",(T70*(1-AR70)*(1-Settings!$G$17)-I70)/(T70*(1-AR70)*(1-Settings!$G$17))),"")</f>
        <v/>
      </c>
      <c r="P70" s="101">
        <f>IFERROR(IF(T70="","",(T70*(1-AS70)*(1-Settings!$H$17)-I70)/(T70*(1-AS70)*(1-Settings!$H$17))),"")</f>
        <v/>
      </c>
      <c r="Q70" s="101">
        <f>IFERROR(IF(T70="","",(T70*(1-AT70)*(1-Settings!$I$68)*(1-Settings!$I$17)-I70)/(T70*(1-AT70)*(1-Settings!$I$68)*(1-Settings!$I$17))),"")</f>
        <v/>
      </c>
      <c r="R70" s="91">
        <f>IFERROR(IF(OR(I70="",Z70&gt;=1,Settings!$B$17&gt;=1,AN70&gt;=1),"",IF(MOD(ROUND(I70/(1-Z70)/(1-Settings!$B$17)/(1-AN70),0),10)=0,ROUND(I70/(1-Z70)/(1-Settings!$B$17)/(1-AN70),0)-1,IF(MOD(ROUND(I70/(1-Z70)/(1-Settings!$B$17)/(1-AN70),0),10)&lt;=5,FLOOR(ROUND(I70/(1-Z70)/(1-Settings!$B$17)/(1-AN70),0),10)+6,FLOOR(ROUND(I70/(1-Z70)/(1-Settings!$B$17)/(1-AN70),0),10)+9))),"")</f>
        <v/>
      </c>
      <c r="S70" s="92" t="n">
        <v>260</v>
      </c>
      <c r="T70" s="91">
        <f>IF(S70&lt;&gt;"", IF(MOD(S70,10)=0,S70-1,IF(MOD(S70,10)&lt;=5,FLOOR(S70,10)+6,FLOOR(S70,10)+9)), R70)</f>
        <v/>
      </c>
      <c r="U70" s="87" t="inlineStr">
        <is>
          <t>Основний</t>
        </is>
      </c>
      <c r="V70" s="88" t="n"/>
      <c r="W70" s="88" t="n"/>
      <c r="X70" s="89">
        <f>IFERROR(IF(OR(V70="",W70="",T70=""),"", IF(T70&gt;W70,"Дорогий",IF(T70&lt;V70,"Дешевий","У ринку"))),"")</f>
        <v/>
      </c>
      <c r="Y70" s="90" t="n"/>
      <c r="Z70" s="104">
        <f>CHOOSE(MATCH(IF($U70="","Основний",$U70),{"Трафіковий","Основний","Маржинальний","Сезонний","Стратегічний"},0),0.16,0.19,0.24,0.23,0.28)</f>
        <v/>
      </c>
      <c r="AA70" s="104">
        <f>CHOOSE(MATCH(IF($U70="","Основний",$U70),{"Трафіковий","Основний","Маржинальний","Сезонний","Стратегічний"},0),0.18,0.21,0.26,0.25,0.3)</f>
        <v/>
      </c>
      <c r="AB70" s="104">
        <f>CHOOSE(MATCH(IF($U70="","Основний",$U70),{"Трафіковий","Основний","Маржинальний","Сезонний","Стратегічний"},0),0.19,0.22,0.28,0.26,0.32)</f>
        <v/>
      </c>
      <c r="AC70" s="104">
        <f>CHOOSE(MATCH(IF($U70="","Основний",$U70),{"Трафіковий","Основний","Маржинальний","Сезонний","Стратегічний"},0),0.17,0.2,0.25,0.24,0.28)</f>
        <v/>
      </c>
      <c r="AD70" s="104">
        <f>CHOOSE(MATCH(IF($U70="","Основний",$U70),{"Трафіковий","Основний","Маржинальний","Сезонний","Стратегічний"},0),0.18,0.21,0.26,0.25,0.3)</f>
        <v/>
      </c>
      <c r="AE70" s="104">
        <f>CHOOSE(MATCH(IF($U70="","Основний",$U70),{"Трафіковий","Основний","Маржинальний","Сезонний","Стратегічний"},0),0.18,0.2,0.28,0.27,0.32)</f>
        <v/>
      </c>
      <c r="AF70" s="104">
        <f>CHOOSE(MATCH(IF($U70="","Основний",$U70),{"Трафіковий","Основний","Маржинальний","Сезонний","Стратегічний"},0),0.15,0.175,0.22,0.21,0.25)</f>
        <v/>
      </c>
      <c r="AG70" s="104">
        <f>CHOOSE(MATCH(IF($U70="","Основний",$U70),{"Трафіковий","Основний","Маржинальний","Сезонний","Стратегічний"},0),0.13,0.16,0.21,0.2,0.25)</f>
        <v/>
      </c>
      <c r="AH70" s="104">
        <f>CHOOSE(MATCH(IF($U70="","Основний",$U70),{"Трафіковий","Основний","Маржинальний","Сезонний","Стратегічний"},0),0.15,0.18,0.23,0.22,0.27)</f>
        <v/>
      </c>
      <c r="AI70" s="104">
        <f>CHOOSE(MATCH(IF($U70="","Основний",$U70),{"Трафіковий","Основний","Маржинальний","Сезонний","Стратегічний"},0),0.16,0.19,0.25,0.23,0.29)</f>
        <v/>
      </c>
      <c r="AJ70" s="104">
        <f>CHOOSE(MATCH(IF($U70="","Основний",$U70),{"Трафіковий","Основний","Маржинальний","Сезонний","Стратегічний"},0),0.14,0.17,0.22,0.21,0.25)</f>
        <v/>
      </c>
      <c r="AK70" s="104">
        <f>CHOOSE(MATCH(IF($U70="","Основний",$U70),{"Трафіковий","Основний","Маржинальний","Сезонний","Стратегічний"},0),0.15,0.18,0.23,0.22,0.27)</f>
        <v/>
      </c>
      <c r="AL70" s="104">
        <f>CHOOSE(MATCH(IF($U70="","Основний",$U70),{"Трафіковий","Основний","Маржинальний","Сезонний","Стратегічний"},0),0.15,0.17,0.25,0.24,0.29)</f>
        <v/>
      </c>
      <c r="AM70" s="104">
        <f>CHOOSE(MATCH(IF($U70="","Основний",$U70),{"Трафіковий","Основний","Маржинальний","Сезонний","Стратегічний"},0),0.12,0.145,0.19,0.18,0.22)</f>
        <v/>
      </c>
      <c r="AN70" s="157">
        <f>CHOOSE(MATCH(IF($U70="","Основний",$U70),{"Трафіковий","Основний","Маржинальний","Сезонний","Стратегічний"},0),Settings!$B$78,Settings!$B$80,Settings!$B$82,Settings!$B$84,Settings!$B$86)</f>
        <v/>
      </c>
      <c r="AO70" s="157">
        <f>CHOOSE(MATCH(IF($U70="","Основний",$U70),{"Трафіковий","Основний","Маржинальний","Сезонний","Стратегічний"},0),Settings!$C$78,Settings!$C$80,Settings!$C$82,Settings!$C$84,Settings!$C$86)</f>
        <v/>
      </c>
      <c r="AP70" s="157">
        <f>CHOOSE(MATCH(IF($U70="","Основний",$U70),{"Трафіковий","Основний","Маржинальний","Сезонний","Стратегічний"},0),Settings!$D$78,Settings!$D$80,Settings!$D$82,Settings!$D$84,Settings!$D$86)</f>
        <v/>
      </c>
      <c r="AQ70" s="157">
        <f>CHOOSE(MATCH(IF($U70="","Основний",$U70),{"Трафіковий","Основний","Маржинальний","Сезонний","Стратегічний"},0),Settings!$F$78,Settings!$F$80,Settings!$F$82,Settings!$F$84,Settings!$F$86)</f>
        <v/>
      </c>
      <c r="AR70" s="157">
        <f>CHOOSE(MATCH(IF($U70="","Основний",$U70),{"Трафіковий","Основний","Маржинальний","Сезонний","Стратегічний"},0),Settings!$G$78,Settings!$G$80,Settings!$G$82,Settings!$G$84,Settings!$G$86)</f>
        <v/>
      </c>
      <c r="AS70" s="157">
        <f>CHOOSE(MATCH(IF($U70="","Основний",$U70),{"Трафіковий","Основний","Маржинальний","Сезонний","Стратегічний"},0),Settings!$H$78,Settings!$H$80,Settings!$H$82,Settings!$H$84,Settings!$H$86)</f>
        <v/>
      </c>
      <c r="AT70" s="157">
        <f>CHOOSE(MATCH(IF($U70="","Основний",$U70),{"Трафіковий","Основний","Маржинальний","Сезонний","Стратегічний"},0),Settings!$I$78,Settings!$I$80,Settings!$I$82,Settings!$I$84,Settings!$I$86)</f>
        <v/>
      </c>
      <c r="AU70" s="171" t="n"/>
      <c r="AV70" t="n">
        <v>1.35</v>
      </c>
    </row>
    <row r="71">
      <c r="A71" s="33" t="n"/>
      <c r="B71" s="34" t="inlineStr">
        <is>
          <t>P3922</t>
        </is>
      </c>
      <c r="C71" s="34" t="inlineStr">
        <is>
          <t>LED COB BIKE LIGHTS SET</t>
        </is>
      </c>
      <c r="D71" s="34" t="inlineStr">
        <is>
          <t>Ліхтарі</t>
        </is>
      </c>
      <c r="E71" s="33" t="inlineStr">
        <is>
          <t>PC</t>
        </is>
      </c>
      <c r="F71" s="94" t="n">
        <v>4.906</v>
      </c>
      <c r="G71" s="35" t="n">
        <v>8512100000</v>
      </c>
      <c r="H71" s="31" t="n">
        <v>1.4</v>
      </c>
      <c r="I71" s="84">
        <f>IFERROR(F71*Settings!$B$2*H71*IF(AND(ISNUMBER(E71),E71&gt;1),E71,1),"")</f>
        <v/>
      </c>
      <c r="J71" s="32">
        <f>Settings!$B$66</f>
        <v/>
      </c>
      <c r="K71" s="95">
        <f>IFERROR(IF(T71="","",(T71*(1-AN71)*(1-Settings!$B$17)-I71)/(T71*(1-AN71)*(1-Settings!$B$17))),"")</f>
        <v/>
      </c>
      <c r="L71" s="101">
        <f>IFERROR(IF(T71="","",(T71*(1-AO71)*(1-Settings!$C$17)-I71)/(T71*(1-AO71)*(1-Settings!$C$17))),"")</f>
        <v/>
      </c>
      <c r="M71" s="101">
        <f>IFERROR(IF(T71="","",(T71*(1-AP71)*(1-Settings!$D$17)-I71)/(T71*(1-AP71)*(1-Settings!$D$17))),"")</f>
        <v/>
      </c>
      <c r="N71" s="101">
        <f>IFERROR(IF(T71="","",(T71*(1-AQ71)*(1-Settings!$F$17)-I71)/(T71*(1-AQ71)*(1-Settings!$F$17))),"")</f>
        <v/>
      </c>
      <c r="O71" s="101">
        <f>IFERROR(IF(T71="","",(T71*(1-AR71)*(1-Settings!$G$17)-I71)/(T71*(1-AR71)*(1-Settings!$G$17))),"")</f>
        <v/>
      </c>
      <c r="P71" s="101">
        <f>IFERROR(IF(T71="","",(T71*(1-AS71)*(1-Settings!$H$17)-I71)/(T71*(1-AS71)*(1-Settings!$H$17))),"")</f>
        <v/>
      </c>
      <c r="Q71" s="101">
        <f>IFERROR(IF(T71="","",(T71*(1-AT71)*(1-Settings!$I$68)*(1-Settings!$I$17)-I71)/(T71*(1-AT71)*(1-Settings!$I$68)*(1-Settings!$I$17))),"")</f>
        <v/>
      </c>
      <c r="R71" s="91">
        <f>IFERROR(IF(OR(I71="",Z71&gt;=1,Settings!$B$17&gt;=1,AN71&gt;=1),"",IF(MOD(ROUND(I71/(1-Z71)/(1-Settings!$B$17)/(1-AN71),0),10)=0,ROUND(I71/(1-Z71)/(1-Settings!$B$17)/(1-AN71),0)-1,IF(MOD(ROUND(I71/(1-Z71)/(1-Settings!$B$17)/(1-AN71),0),10)&lt;=5,FLOOR(ROUND(I71/(1-Z71)/(1-Settings!$B$17)/(1-AN71),0),10)+6,FLOOR(ROUND(I71/(1-Z71)/(1-Settings!$B$17)/(1-AN71),0),10)+9))),"")</f>
        <v/>
      </c>
      <c r="S71" s="92" t="n">
        <v>600</v>
      </c>
      <c r="T71" s="91">
        <f>IF(S71&lt;&gt;"", IF(MOD(S71,10)=0,S71-1,IF(MOD(S71,10)&lt;=5,FLOOR(S71,10)+6,FLOOR(S71,10)+9)), R71)</f>
        <v/>
      </c>
      <c r="U71" s="87" t="inlineStr">
        <is>
          <t>Основний</t>
        </is>
      </c>
      <c r="V71" s="88" t="n"/>
      <c r="W71" s="88" t="n"/>
      <c r="X71" s="89">
        <f>IFERROR(IF(OR(V71="",W71="",T71=""),"", IF(T71&gt;W71,"Дорогий",IF(T71&lt;V71,"Дешевий","У ринку"))),"")</f>
        <v/>
      </c>
      <c r="Y71" s="90" t="n"/>
      <c r="Z71" s="104">
        <f>CHOOSE(MATCH(IF($U71="","Основний",$U71),{"Трафіковий","Основний","Маржинальний","Сезонний","Стратегічний"},0),0.16,0.19,0.24,0.23,0.28)</f>
        <v/>
      </c>
      <c r="AA71" s="104">
        <f>CHOOSE(MATCH(IF($U71="","Основний",$U71),{"Трафіковий","Основний","Маржинальний","Сезонний","Стратегічний"},0),0.18,0.21,0.26,0.25,0.3)</f>
        <v/>
      </c>
      <c r="AB71" s="104">
        <f>CHOOSE(MATCH(IF($U71="","Основний",$U71),{"Трафіковий","Основний","Маржинальний","Сезонний","Стратегічний"},0),0.19,0.22,0.28,0.26,0.32)</f>
        <v/>
      </c>
      <c r="AC71" s="104">
        <f>CHOOSE(MATCH(IF($U71="","Основний",$U71),{"Трафіковий","Основний","Маржинальний","Сезонний","Стратегічний"},0),0.17,0.2,0.25,0.24,0.28)</f>
        <v/>
      </c>
      <c r="AD71" s="104">
        <f>CHOOSE(MATCH(IF($U71="","Основний",$U71),{"Трафіковий","Основний","Маржинальний","Сезонний","Стратегічний"},0),0.18,0.21,0.26,0.25,0.3)</f>
        <v/>
      </c>
      <c r="AE71" s="104">
        <f>CHOOSE(MATCH(IF($U71="","Основний",$U71),{"Трафіковий","Основний","Маржинальний","Сезонний","Стратегічний"},0),0.18,0.2,0.28,0.27,0.32)</f>
        <v/>
      </c>
      <c r="AF71" s="104">
        <f>CHOOSE(MATCH(IF($U71="","Основний",$U71),{"Трафіковий","Основний","Маржинальний","Сезонний","Стратегічний"},0),0.15,0.175,0.22,0.21,0.25)</f>
        <v/>
      </c>
      <c r="AG71" s="104">
        <f>CHOOSE(MATCH(IF($U71="","Основний",$U71),{"Трафіковий","Основний","Маржинальний","Сезонний","Стратегічний"},0),0.13,0.16,0.21,0.2,0.25)</f>
        <v/>
      </c>
      <c r="AH71" s="104">
        <f>CHOOSE(MATCH(IF($U71="","Основний",$U71),{"Трафіковий","Основний","Маржинальний","Сезонний","Стратегічний"},0),0.15,0.18,0.23,0.22,0.27)</f>
        <v/>
      </c>
      <c r="AI71" s="104">
        <f>CHOOSE(MATCH(IF($U71="","Основний",$U71),{"Трафіковий","Основний","Маржинальний","Сезонний","Стратегічний"},0),0.16,0.19,0.25,0.23,0.29)</f>
        <v/>
      </c>
      <c r="AJ71" s="104">
        <f>CHOOSE(MATCH(IF($U71="","Основний",$U71),{"Трафіковий","Основний","Маржинальний","Сезонний","Стратегічний"},0),0.14,0.17,0.22,0.21,0.25)</f>
        <v/>
      </c>
      <c r="AK71" s="104">
        <f>CHOOSE(MATCH(IF($U71="","Основний",$U71),{"Трафіковий","Основний","Маржинальний","Сезонний","Стратегічний"},0),0.15,0.18,0.23,0.22,0.27)</f>
        <v/>
      </c>
      <c r="AL71" s="104">
        <f>CHOOSE(MATCH(IF($U71="","Основний",$U71),{"Трафіковий","Основний","Маржинальний","Сезонний","Стратегічний"},0),0.15,0.17,0.25,0.24,0.29)</f>
        <v/>
      </c>
      <c r="AM71" s="104">
        <f>CHOOSE(MATCH(IF($U71="","Основний",$U71),{"Трафіковий","Основний","Маржинальний","Сезонний","Стратегічний"},0),0.12,0.145,0.19,0.18,0.22)</f>
        <v/>
      </c>
      <c r="AN71" s="157">
        <f>CHOOSE(MATCH(IF($U71="","Основний",$U71),{"Трафіковий","Основний","Маржинальний","Сезонний","Стратегічний"},0),Settings!$B$78,Settings!$B$80,Settings!$B$82,Settings!$B$84,Settings!$B$86)</f>
        <v/>
      </c>
      <c r="AO71" s="157">
        <f>CHOOSE(MATCH(IF($U71="","Основний",$U71),{"Трафіковий","Основний","Маржинальний","Сезонний","Стратегічний"},0),Settings!$C$78,Settings!$C$80,Settings!$C$82,Settings!$C$84,Settings!$C$86)</f>
        <v/>
      </c>
      <c r="AP71" s="157">
        <f>CHOOSE(MATCH(IF($U71="","Основний",$U71),{"Трафіковий","Основний","Маржинальний","Сезонний","Стратегічний"},0),Settings!$D$78,Settings!$D$80,Settings!$D$82,Settings!$D$84,Settings!$D$86)</f>
        <v/>
      </c>
      <c r="AQ71" s="157">
        <f>CHOOSE(MATCH(IF($U71="","Основний",$U71),{"Трафіковий","Основний","Маржинальний","Сезонний","Стратегічний"},0),Settings!$F$78,Settings!$F$80,Settings!$F$82,Settings!$F$84,Settings!$F$86)</f>
        <v/>
      </c>
      <c r="AR71" s="157">
        <f>CHOOSE(MATCH(IF($U71="","Основний",$U71),{"Трафіковий","Основний","Маржинальний","Сезонний","Стратегічний"},0),Settings!$G$78,Settings!$G$80,Settings!$G$82,Settings!$G$84,Settings!$G$86)</f>
        <v/>
      </c>
      <c r="AS71" s="157">
        <f>CHOOSE(MATCH(IF($U71="","Основний",$U71),{"Трафіковий","Основний","Маржинальний","Сезонний","Стратегічний"},0),Settings!$H$78,Settings!$H$80,Settings!$H$82,Settings!$H$84,Settings!$H$86)</f>
        <v/>
      </c>
      <c r="AT71" s="157">
        <f>CHOOSE(MATCH(IF($U71="","Основний",$U71),{"Трафіковий","Основний","Маржинальний","Сезонний","Стратегічний"},0),Settings!$I$78,Settings!$I$80,Settings!$I$82,Settings!$I$84,Settings!$I$86)</f>
        <v/>
      </c>
      <c r="AU71" s="171" t="n"/>
      <c r="AV71" t="n">
        <v>1.35</v>
      </c>
    </row>
    <row r="72">
      <c r="A72" s="28" t="n"/>
      <c r="B72" s="29" t="inlineStr">
        <is>
          <t>P3923</t>
        </is>
      </c>
      <c r="C72" s="29" t="inlineStr">
        <is>
          <t>LED RECHARGEABLE BIKE LIGHT SET</t>
        </is>
      </c>
      <c r="D72" s="29" t="inlineStr">
        <is>
          <t>Ліхтарі</t>
        </is>
      </c>
      <c r="E72" s="28" t="inlineStr">
        <is>
          <t>PC</t>
        </is>
      </c>
      <c r="F72" s="93" t="n">
        <v>7.775</v>
      </c>
      <c r="G72" s="30" t="n">
        <v>8512100000</v>
      </c>
      <c r="H72" s="31" t="n">
        <v>1.4</v>
      </c>
      <c r="I72" s="84">
        <f>IFERROR(F72*Settings!$B$2*H72*IF(AND(ISNUMBER(E72),E72&gt;1),E72,1),"")</f>
        <v/>
      </c>
      <c r="J72" s="32">
        <f>Settings!$B$66</f>
        <v/>
      </c>
      <c r="K72" s="95">
        <f>IFERROR(IF(T72="","",(T72*(1-AN72)*(1-Settings!$B$17)-I72)/(T72*(1-AN72)*(1-Settings!$B$17))),"")</f>
        <v/>
      </c>
      <c r="L72" s="101">
        <f>IFERROR(IF(T72="","",(T72*(1-AO72)*(1-Settings!$C$17)-I72)/(T72*(1-AO72)*(1-Settings!$C$17))),"")</f>
        <v/>
      </c>
      <c r="M72" s="101">
        <f>IFERROR(IF(T72="","",(T72*(1-AP72)*(1-Settings!$D$17)-I72)/(T72*(1-AP72)*(1-Settings!$D$17))),"")</f>
        <v/>
      </c>
      <c r="N72" s="101">
        <f>IFERROR(IF(T72="","",(T72*(1-AQ72)*(1-Settings!$F$17)-I72)/(T72*(1-AQ72)*(1-Settings!$F$17))),"")</f>
        <v/>
      </c>
      <c r="O72" s="101">
        <f>IFERROR(IF(T72="","",(T72*(1-AR72)*(1-Settings!$G$17)-I72)/(T72*(1-AR72)*(1-Settings!$G$17))),"")</f>
        <v/>
      </c>
      <c r="P72" s="101">
        <f>IFERROR(IF(T72="","",(T72*(1-AS72)*(1-Settings!$H$17)-I72)/(T72*(1-AS72)*(1-Settings!$H$17))),"")</f>
        <v/>
      </c>
      <c r="Q72" s="101">
        <f>IFERROR(IF(T72="","",(T72*(1-AT72)*(1-Settings!$I$68)*(1-Settings!$I$17)-I72)/(T72*(1-AT72)*(1-Settings!$I$68)*(1-Settings!$I$17))),"")</f>
        <v/>
      </c>
      <c r="R72" s="91">
        <f>IFERROR(IF(OR(I72="",Z72&gt;=1,Settings!$B$17&gt;=1,AN72&gt;=1),"",IF(MOD(ROUND(I72/(1-Z72)/(1-Settings!$B$17)/(1-AN72),0),10)=0,ROUND(I72/(1-Z72)/(1-Settings!$B$17)/(1-AN72),0)-1,IF(MOD(ROUND(I72/(1-Z72)/(1-Settings!$B$17)/(1-AN72),0),10)&lt;=5,FLOOR(ROUND(I72/(1-Z72)/(1-Settings!$B$17)/(1-AN72),0),10)+6,FLOOR(ROUND(I72/(1-Z72)/(1-Settings!$B$17)/(1-AN72),0),10)+9))),"")</f>
        <v/>
      </c>
      <c r="S72" s="92" t="n">
        <v>1000</v>
      </c>
      <c r="T72" s="91">
        <f>IF(S72&lt;&gt;"", IF(MOD(S72,10)=0,S72-1,IF(MOD(S72,10)&lt;=5,FLOOR(S72,10)+6,FLOOR(S72,10)+9)), R72)</f>
        <v/>
      </c>
      <c r="U72" s="87" t="inlineStr">
        <is>
          <t>Основний</t>
        </is>
      </c>
      <c r="V72" s="88" t="n"/>
      <c r="W72" s="88" t="n"/>
      <c r="X72" s="89">
        <f>IFERROR(IF(OR(V72="",W72="",T72=""),"", IF(T72&gt;W72,"Дорогий",IF(T72&lt;V72,"Дешевий","У ринку"))),"")</f>
        <v/>
      </c>
      <c r="Y72" s="90" t="n"/>
      <c r="Z72" s="104">
        <f>CHOOSE(MATCH(IF($U72="","Основний",$U72),{"Трафіковий","Основний","Маржинальний","Сезонний","Стратегічний"},0),0.16,0.19,0.24,0.23,0.28)</f>
        <v/>
      </c>
      <c r="AA72" s="104">
        <f>CHOOSE(MATCH(IF($U72="","Основний",$U72),{"Трафіковий","Основний","Маржинальний","Сезонний","Стратегічний"},0),0.18,0.21,0.26,0.25,0.3)</f>
        <v/>
      </c>
      <c r="AB72" s="104">
        <f>CHOOSE(MATCH(IF($U72="","Основний",$U72),{"Трафіковий","Основний","Маржинальний","Сезонний","Стратегічний"},0),0.19,0.22,0.28,0.26,0.32)</f>
        <v/>
      </c>
      <c r="AC72" s="104">
        <f>CHOOSE(MATCH(IF($U72="","Основний",$U72),{"Трафіковий","Основний","Маржинальний","Сезонний","Стратегічний"},0),0.17,0.2,0.25,0.24,0.28)</f>
        <v/>
      </c>
      <c r="AD72" s="104">
        <f>CHOOSE(MATCH(IF($U72="","Основний",$U72),{"Трафіковий","Основний","Маржинальний","Сезонний","Стратегічний"},0),0.18,0.21,0.26,0.25,0.3)</f>
        <v/>
      </c>
      <c r="AE72" s="104">
        <f>CHOOSE(MATCH(IF($U72="","Основний",$U72),{"Трафіковий","Основний","Маржинальний","Сезонний","Стратегічний"},0),0.18,0.2,0.28,0.27,0.32)</f>
        <v/>
      </c>
      <c r="AF72" s="104">
        <f>CHOOSE(MATCH(IF($U72="","Основний",$U72),{"Трафіковий","Основний","Маржинальний","Сезонний","Стратегічний"},0),0.15,0.175,0.22,0.21,0.25)</f>
        <v/>
      </c>
      <c r="AG72" s="104">
        <f>CHOOSE(MATCH(IF($U72="","Основний",$U72),{"Трафіковий","Основний","Маржинальний","Сезонний","Стратегічний"},0),0.13,0.16,0.21,0.2,0.25)</f>
        <v/>
      </c>
      <c r="AH72" s="104">
        <f>CHOOSE(MATCH(IF($U72="","Основний",$U72),{"Трафіковий","Основний","Маржинальний","Сезонний","Стратегічний"},0),0.15,0.18,0.23,0.22,0.27)</f>
        <v/>
      </c>
      <c r="AI72" s="104">
        <f>CHOOSE(MATCH(IF($U72="","Основний",$U72),{"Трафіковий","Основний","Маржинальний","Сезонний","Стратегічний"},0),0.16,0.19,0.25,0.23,0.29)</f>
        <v/>
      </c>
      <c r="AJ72" s="104">
        <f>CHOOSE(MATCH(IF($U72="","Основний",$U72),{"Трафіковий","Основний","Маржинальний","Сезонний","Стратегічний"},0),0.14,0.17,0.22,0.21,0.25)</f>
        <v/>
      </c>
      <c r="AK72" s="104">
        <f>CHOOSE(MATCH(IF($U72="","Основний",$U72),{"Трафіковий","Основний","Маржинальний","Сезонний","Стратегічний"},0),0.15,0.18,0.23,0.22,0.27)</f>
        <v/>
      </c>
      <c r="AL72" s="104">
        <f>CHOOSE(MATCH(IF($U72="","Основний",$U72),{"Трафіковий","Основний","Маржинальний","Сезонний","Стратегічний"},0),0.15,0.17,0.25,0.24,0.29)</f>
        <v/>
      </c>
      <c r="AM72" s="104">
        <f>CHOOSE(MATCH(IF($U72="","Основний",$U72),{"Трафіковий","Основний","Маржинальний","Сезонний","Стратегічний"},0),0.12,0.145,0.19,0.18,0.22)</f>
        <v/>
      </c>
      <c r="AN72" s="157">
        <f>CHOOSE(MATCH(IF($U72="","Основний",$U72),{"Трафіковий","Основний","Маржинальний","Сезонний","Стратегічний"},0),Settings!$B$78,Settings!$B$80,Settings!$B$82,Settings!$B$84,Settings!$B$86)</f>
        <v/>
      </c>
      <c r="AO72" s="157">
        <f>CHOOSE(MATCH(IF($U72="","Основний",$U72),{"Трафіковий","Основний","Маржинальний","Сезонний","Стратегічний"},0),Settings!$C$78,Settings!$C$80,Settings!$C$82,Settings!$C$84,Settings!$C$86)</f>
        <v/>
      </c>
      <c r="AP72" s="157">
        <f>CHOOSE(MATCH(IF($U72="","Основний",$U72),{"Трафіковий","Основний","Маржинальний","Сезонний","Стратегічний"},0),Settings!$D$78,Settings!$D$80,Settings!$D$82,Settings!$D$84,Settings!$D$86)</f>
        <v/>
      </c>
      <c r="AQ72" s="157">
        <f>CHOOSE(MATCH(IF($U72="","Основний",$U72),{"Трафіковий","Основний","Маржинальний","Сезонний","Стратегічний"},0),Settings!$F$78,Settings!$F$80,Settings!$F$82,Settings!$F$84,Settings!$F$86)</f>
        <v/>
      </c>
      <c r="AR72" s="157">
        <f>CHOOSE(MATCH(IF($U72="","Основний",$U72),{"Трафіковий","Основний","Маржинальний","Сезонний","Стратегічний"},0),Settings!$G$78,Settings!$G$80,Settings!$G$82,Settings!$G$84,Settings!$G$86)</f>
        <v/>
      </c>
      <c r="AS72" s="157">
        <f>CHOOSE(MATCH(IF($U72="","Основний",$U72),{"Трафіковий","Основний","Маржинальний","Сезонний","Стратегічний"},0),Settings!$H$78,Settings!$H$80,Settings!$H$82,Settings!$H$84,Settings!$H$86)</f>
        <v/>
      </c>
      <c r="AT72" s="157">
        <f>CHOOSE(MATCH(IF($U72="","Основний",$U72),{"Трафіковий","Основний","Маржинальний","Сезонний","Стратегічний"},0),Settings!$I$78,Settings!$I$80,Settings!$I$82,Settings!$I$84,Settings!$I$86)</f>
        <v/>
      </c>
      <c r="AU72" s="171" t="n"/>
      <c r="AV72" t="n">
        <v>1.35</v>
      </c>
    </row>
    <row r="73">
      <c r="A73" s="33" t="n"/>
      <c r="B73" s="34" t="inlineStr">
        <is>
          <t>P4006</t>
        </is>
      </c>
      <c r="C73" s="34" t="inlineStr">
        <is>
          <t>COB LED CAMPING LANTERN</t>
        </is>
      </c>
      <c r="D73" s="34" t="inlineStr">
        <is>
          <t>Ліхтарі</t>
        </is>
      </c>
      <c r="E73" s="33" t="inlineStr">
        <is>
          <t>PC</t>
        </is>
      </c>
      <c r="F73" s="94" t="n">
        <v>3.325</v>
      </c>
      <c r="G73" s="35" t="n">
        <v>8513100000</v>
      </c>
      <c r="H73" s="31" t="n">
        <v>1.4</v>
      </c>
      <c r="I73" s="84">
        <f>IFERROR(F73*Settings!$B$2*H73*IF(AND(ISNUMBER(E73),E73&gt;1),E73,1),"")</f>
        <v/>
      </c>
      <c r="J73" s="32">
        <f>Settings!$B$66</f>
        <v/>
      </c>
      <c r="K73" s="95">
        <f>IFERROR(IF(T73="","",(T73*(1-AN73)*(1-Settings!$B$17)-I73)/(T73*(1-AN73)*(1-Settings!$B$17))),"")</f>
        <v/>
      </c>
      <c r="L73" s="101">
        <f>IFERROR(IF(T73="","",(T73*(1-AO73)*(1-Settings!$C$17)-I73)/(T73*(1-AO73)*(1-Settings!$C$17))),"")</f>
        <v/>
      </c>
      <c r="M73" s="101">
        <f>IFERROR(IF(T73="","",(T73*(1-AP73)*(1-Settings!$D$17)-I73)/(T73*(1-AP73)*(1-Settings!$D$17))),"")</f>
        <v/>
      </c>
      <c r="N73" s="101">
        <f>IFERROR(IF(T73="","",(T73*(1-AQ73)*(1-Settings!$F$17)-I73)/(T73*(1-AQ73)*(1-Settings!$F$17))),"")</f>
        <v/>
      </c>
      <c r="O73" s="101">
        <f>IFERROR(IF(T73="","",(T73*(1-AR73)*(1-Settings!$G$17)-I73)/(T73*(1-AR73)*(1-Settings!$G$17))),"")</f>
        <v/>
      </c>
      <c r="P73" s="101">
        <f>IFERROR(IF(T73="","",(T73*(1-AS73)*(1-Settings!$H$17)-I73)/(T73*(1-AS73)*(1-Settings!$H$17))),"")</f>
        <v/>
      </c>
      <c r="Q73" s="101">
        <f>IFERROR(IF(T73="","",(T73*(1-AT73)*(1-Settings!$I$68)*(1-Settings!$I$17)-I73)/(T73*(1-AT73)*(1-Settings!$I$68)*(1-Settings!$I$17))),"")</f>
        <v/>
      </c>
      <c r="R73" s="91">
        <f>IFERROR(IF(OR(I73="",Z73&gt;=1,Settings!$B$17&gt;=1,AN73&gt;=1),"",IF(MOD(ROUND(I73/(1-Z73)/(1-Settings!$B$17)/(1-AN73),0),10)=0,ROUND(I73/(1-Z73)/(1-Settings!$B$17)/(1-AN73),0)-1,IF(MOD(ROUND(I73/(1-Z73)/(1-Settings!$B$17)/(1-AN73),0),10)&lt;=5,FLOOR(ROUND(I73/(1-Z73)/(1-Settings!$B$17)/(1-AN73),0),10)+6,FLOOR(ROUND(I73/(1-Z73)/(1-Settings!$B$17)/(1-AN73),0),10)+9))),"")</f>
        <v/>
      </c>
      <c r="S73" s="92" t="n">
        <v>430</v>
      </c>
      <c r="T73" s="91">
        <f>IF(S73&lt;&gt;"", IF(MOD(S73,10)=0,S73-1,IF(MOD(S73,10)&lt;=5,FLOOR(S73,10)+6,FLOOR(S73,10)+9)), R73)</f>
        <v/>
      </c>
      <c r="U73" s="87" t="inlineStr">
        <is>
          <t>Основний</t>
        </is>
      </c>
      <c r="V73" s="88" t="n"/>
      <c r="W73" s="88" t="n"/>
      <c r="X73" s="89">
        <f>IFERROR(IF(OR(V73="",W73="",T73=""),"", IF(T73&gt;W73,"Дорогий",IF(T73&lt;V73,"Дешевий","У ринку"))),"")</f>
        <v/>
      </c>
      <c r="Y73" s="90" t="n"/>
      <c r="Z73" s="104">
        <f>CHOOSE(MATCH(IF($U73="","Основний",$U73),{"Трафіковий","Основний","Маржинальний","Сезонний","Стратегічний"},0),0.16,0.19,0.24,0.23,0.28)</f>
        <v/>
      </c>
      <c r="AA73" s="104">
        <f>CHOOSE(MATCH(IF($U73="","Основний",$U73),{"Трафіковий","Основний","Маржинальний","Сезонний","Стратегічний"},0),0.18,0.21,0.26,0.25,0.3)</f>
        <v/>
      </c>
      <c r="AB73" s="104">
        <f>CHOOSE(MATCH(IF($U73="","Основний",$U73),{"Трафіковий","Основний","Маржинальний","Сезонний","Стратегічний"},0),0.19,0.22,0.28,0.26,0.32)</f>
        <v/>
      </c>
      <c r="AC73" s="104">
        <f>CHOOSE(MATCH(IF($U73="","Основний",$U73),{"Трафіковий","Основний","Маржинальний","Сезонний","Стратегічний"},0),0.17,0.2,0.25,0.24,0.28)</f>
        <v/>
      </c>
      <c r="AD73" s="104">
        <f>CHOOSE(MATCH(IF($U73="","Основний",$U73),{"Трафіковий","Основний","Маржинальний","Сезонний","Стратегічний"},0),0.18,0.21,0.26,0.25,0.3)</f>
        <v/>
      </c>
      <c r="AE73" s="104">
        <f>CHOOSE(MATCH(IF($U73="","Основний",$U73),{"Трафіковий","Основний","Маржинальний","Сезонний","Стратегічний"},0),0.18,0.2,0.28,0.27,0.32)</f>
        <v/>
      </c>
      <c r="AF73" s="104">
        <f>CHOOSE(MATCH(IF($U73="","Основний",$U73),{"Трафіковий","Основний","Маржинальний","Сезонний","Стратегічний"},0),0.15,0.175,0.22,0.21,0.25)</f>
        <v/>
      </c>
      <c r="AG73" s="104">
        <f>CHOOSE(MATCH(IF($U73="","Основний",$U73),{"Трафіковий","Основний","Маржинальний","Сезонний","Стратегічний"},0),0.13,0.16,0.21,0.2,0.25)</f>
        <v/>
      </c>
      <c r="AH73" s="104">
        <f>CHOOSE(MATCH(IF($U73="","Основний",$U73),{"Трафіковий","Основний","Маржинальний","Сезонний","Стратегічний"},0),0.15,0.18,0.23,0.22,0.27)</f>
        <v/>
      </c>
      <c r="AI73" s="104">
        <f>CHOOSE(MATCH(IF($U73="","Основний",$U73),{"Трафіковий","Основний","Маржинальний","Сезонний","Стратегічний"},0),0.16,0.19,0.25,0.23,0.29)</f>
        <v/>
      </c>
      <c r="AJ73" s="104">
        <f>CHOOSE(MATCH(IF($U73="","Основний",$U73),{"Трафіковий","Основний","Маржинальний","Сезонний","Стратегічний"},0),0.14,0.17,0.22,0.21,0.25)</f>
        <v/>
      </c>
      <c r="AK73" s="104">
        <f>CHOOSE(MATCH(IF($U73="","Основний",$U73),{"Трафіковий","Основний","Маржинальний","Сезонний","Стратегічний"},0),0.15,0.18,0.23,0.22,0.27)</f>
        <v/>
      </c>
      <c r="AL73" s="104">
        <f>CHOOSE(MATCH(IF($U73="","Основний",$U73),{"Трафіковий","Основний","Маржинальний","Сезонний","Стратегічний"},0),0.15,0.17,0.25,0.24,0.29)</f>
        <v/>
      </c>
      <c r="AM73" s="104">
        <f>CHOOSE(MATCH(IF($U73="","Основний",$U73),{"Трафіковий","Основний","Маржинальний","Сезонний","Стратегічний"},0),0.12,0.145,0.19,0.18,0.22)</f>
        <v/>
      </c>
      <c r="AN73" s="157">
        <f>CHOOSE(MATCH(IF($U73="","Основний",$U73),{"Трафіковий","Основний","Маржинальний","Сезонний","Стратегічний"},0),Settings!$B$78,Settings!$B$80,Settings!$B$82,Settings!$B$84,Settings!$B$86)</f>
        <v/>
      </c>
      <c r="AO73" s="157">
        <f>CHOOSE(MATCH(IF($U73="","Основний",$U73),{"Трафіковий","Основний","Маржинальний","Сезонний","Стратегічний"},0),Settings!$C$78,Settings!$C$80,Settings!$C$82,Settings!$C$84,Settings!$C$86)</f>
        <v/>
      </c>
      <c r="AP73" s="157">
        <f>CHOOSE(MATCH(IF($U73="","Основний",$U73),{"Трафіковий","Основний","Маржинальний","Сезонний","Стратегічний"},0),Settings!$D$78,Settings!$D$80,Settings!$D$82,Settings!$D$84,Settings!$D$86)</f>
        <v/>
      </c>
      <c r="AQ73" s="157">
        <f>CHOOSE(MATCH(IF($U73="","Основний",$U73),{"Трафіковий","Основний","Маржинальний","Сезонний","Стратегічний"},0),Settings!$F$78,Settings!$F$80,Settings!$F$82,Settings!$F$84,Settings!$F$86)</f>
        <v/>
      </c>
      <c r="AR73" s="157">
        <f>CHOOSE(MATCH(IF($U73="","Основний",$U73),{"Трафіковий","Основний","Маржинальний","Сезонний","Стратегічний"},0),Settings!$G$78,Settings!$G$80,Settings!$G$82,Settings!$G$84,Settings!$G$86)</f>
        <v/>
      </c>
      <c r="AS73" s="157">
        <f>CHOOSE(MATCH(IF($U73="","Основний",$U73),{"Трафіковий","Основний","Маржинальний","Сезонний","Стратегічний"},0),Settings!$H$78,Settings!$H$80,Settings!$H$82,Settings!$H$84,Settings!$H$86)</f>
        <v/>
      </c>
      <c r="AT73" s="157">
        <f>CHOOSE(MATCH(IF($U73="","Основний",$U73),{"Трафіковий","Основний","Маржинальний","Сезонний","Стратегічний"},0),Settings!$I$78,Settings!$I$80,Settings!$I$82,Settings!$I$84,Settings!$I$86)</f>
        <v/>
      </c>
      <c r="AU73" s="171" t="n"/>
      <c r="AV73" t="n">
        <v>1.35</v>
      </c>
    </row>
    <row r="74">
      <c r="A74" s="28" t="inlineStr">
        <is>
          <t>SELL OUT</t>
        </is>
      </c>
      <c r="B74" s="29" t="inlineStr">
        <is>
          <t>P4008</t>
        </is>
      </c>
      <c r="C74" s="29" t="inlineStr">
        <is>
          <t>LED MULTIFUNCTIONAL CAMPING FLASHLIGHT</t>
        </is>
      </c>
      <c r="D74" s="29" t="inlineStr">
        <is>
          <t>Ліхтарі</t>
        </is>
      </c>
      <c r="E74" s="28" t="inlineStr">
        <is>
          <t>PC</t>
        </is>
      </c>
      <c r="F74" s="93" t="n">
        <v>5.687</v>
      </c>
      <c r="G74" s="30" t="n">
        <v>8513100000</v>
      </c>
      <c r="H74" s="31" t="n">
        <v>1.4</v>
      </c>
      <c r="I74" s="84">
        <f>IFERROR(F74*Settings!$B$2*H74*IF(AND(ISNUMBER(E74),E74&gt;1),E74,1),"")</f>
        <v/>
      </c>
      <c r="J74" s="32">
        <f>Settings!$B$66</f>
        <v/>
      </c>
      <c r="K74" s="95">
        <f>IFERROR(IF(T74="","",(T74*(1-AN74)*(1-Settings!$B$17)-I74)/(T74*(1-AN74)*(1-Settings!$B$17))),"")</f>
        <v/>
      </c>
      <c r="L74" s="101">
        <f>IFERROR(IF(T74="","",(T74*(1-AO74)*(1-Settings!$C$17)-I74)/(T74*(1-AO74)*(1-Settings!$C$17))),"")</f>
        <v/>
      </c>
      <c r="M74" s="101">
        <f>IFERROR(IF(T74="","",(T74*(1-AP74)*(1-Settings!$D$17)-I74)/(T74*(1-AP74)*(1-Settings!$D$17))),"")</f>
        <v/>
      </c>
      <c r="N74" s="101">
        <f>IFERROR(IF(T74="","",(T74*(1-AQ74)*(1-Settings!$F$17)-I74)/(T74*(1-AQ74)*(1-Settings!$F$17))),"")</f>
        <v/>
      </c>
      <c r="O74" s="101">
        <f>IFERROR(IF(T74="","",(T74*(1-AR74)*(1-Settings!$G$17)-I74)/(T74*(1-AR74)*(1-Settings!$G$17))),"")</f>
        <v/>
      </c>
      <c r="P74" s="101">
        <f>IFERROR(IF(T74="","",(T74*(1-AS74)*(1-Settings!$H$17)-I74)/(T74*(1-AS74)*(1-Settings!$H$17))),"")</f>
        <v/>
      </c>
      <c r="Q74" s="101">
        <f>IFERROR(IF(T74="","",(T74*(1-AT74)*(1-Settings!$I$68)*(1-Settings!$I$17)-I74)/(T74*(1-AT74)*(1-Settings!$I$68)*(1-Settings!$I$17))),"")</f>
        <v/>
      </c>
      <c r="R74" s="91">
        <f>IFERROR(IF(OR(I74="",Z74&gt;=1,Settings!$B$17&gt;=1,AN74&gt;=1),"",IF(MOD(ROUND(I74/(1-Z74)/(1-Settings!$B$17)/(1-AN74),0),10)=0,ROUND(I74/(1-Z74)/(1-Settings!$B$17)/(1-AN74),0)-1,IF(MOD(ROUND(I74/(1-Z74)/(1-Settings!$B$17)/(1-AN74),0),10)&lt;=5,FLOOR(ROUND(I74/(1-Z74)/(1-Settings!$B$17)/(1-AN74),0),10)+6,FLOOR(ROUND(I74/(1-Z74)/(1-Settings!$B$17)/(1-AN74),0),10)+9))),"")</f>
        <v/>
      </c>
      <c r="S74" s="92" t="n"/>
      <c r="T74" s="91">
        <f>IF(S74&lt;&gt;"", IF(MOD(S74,10)=0,S74-1,IF(MOD(S74,10)&lt;=5,FLOOR(S74,10)+6,FLOOR(S74,10)+9)), R74)</f>
        <v/>
      </c>
      <c r="U74" s="87" t="inlineStr">
        <is>
          <t>Основний</t>
        </is>
      </c>
      <c r="V74" s="88" t="n"/>
      <c r="W74" s="88" t="n"/>
      <c r="X74" s="89">
        <f>IFERROR(IF(OR(V74="",W74="",T74=""),"", IF(T74&gt;W74,"Дорогий",IF(T74&lt;V74,"Дешевий","У ринку"))),"")</f>
        <v/>
      </c>
      <c r="Y74" s="90" t="n"/>
      <c r="Z74" s="104">
        <f>CHOOSE(MATCH(IF($U74="","Основний",$U74),{"Трафіковий","Основний","Маржинальний","Сезонний","Стратегічний"},0),0.16,0.19,0.24,0.23,0.28)</f>
        <v/>
      </c>
      <c r="AA74" s="104">
        <f>CHOOSE(MATCH(IF($U74="","Основний",$U74),{"Трафіковий","Основний","Маржинальний","Сезонний","Стратегічний"},0),0.18,0.21,0.26,0.25,0.3)</f>
        <v/>
      </c>
      <c r="AB74" s="104">
        <f>CHOOSE(MATCH(IF($U74="","Основний",$U74),{"Трафіковий","Основний","Маржинальний","Сезонний","Стратегічний"},0),0.19,0.22,0.28,0.26,0.32)</f>
        <v/>
      </c>
      <c r="AC74" s="104">
        <f>CHOOSE(MATCH(IF($U74="","Основний",$U74),{"Трафіковий","Основний","Маржинальний","Сезонний","Стратегічний"},0),0.17,0.2,0.25,0.24,0.28)</f>
        <v/>
      </c>
      <c r="AD74" s="104">
        <f>CHOOSE(MATCH(IF($U74="","Основний",$U74),{"Трафіковий","Основний","Маржинальний","Сезонний","Стратегічний"},0),0.18,0.21,0.26,0.25,0.3)</f>
        <v/>
      </c>
      <c r="AE74" s="104">
        <f>CHOOSE(MATCH(IF($U74="","Основний",$U74),{"Трафіковий","Основний","Маржинальний","Сезонний","Стратегічний"},0),0.18,0.2,0.28,0.27,0.32)</f>
        <v/>
      </c>
      <c r="AF74" s="104">
        <f>CHOOSE(MATCH(IF($U74="","Основний",$U74),{"Трафіковий","Основний","Маржинальний","Сезонний","Стратегічний"},0),0.15,0.175,0.22,0.21,0.25)</f>
        <v/>
      </c>
      <c r="AG74" s="104">
        <f>CHOOSE(MATCH(IF($U74="","Основний",$U74),{"Трафіковий","Основний","Маржинальний","Сезонний","Стратегічний"},0),0.13,0.16,0.21,0.2,0.25)</f>
        <v/>
      </c>
      <c r="AH74" s="104">
        <f>CHOOSE(MATCH(IF($U74="","Основний",$U74),{"Трафіковий","Основний","Маржинальний","Сезонний","Стратегічний"},0),0.15,0.18,0.23,0.22,0.27)</f>
        <v/>
      </c>
      <c r="AI74" s="104">
        <f>CHOOSE(MATCH(IF($U74="","Основний",$U74),{"Трафіковий","Основний","Маржинальний","Сезонний","Стратегічний"},0),0.16,0.19,0.25,0.23,0.29)</f>
        <v/>
      </c>
      <c r="AJ74" s="104">
        <f>CHOOSE(MATCH(IF($U74="","Основний",$U74),{"Трафіковий","Основний","Маржинальний","Сезонний","Стратегічний"},0),0.14,0.17,0.22,0.21,0.25)</f>
        <v/>
      </c>
      <c r="AK74" s="104">
        <f>CHOOSE(MATCH(IF($U74="","Основний",$U74),{"Трафіковий","Основний","Маржинальний","Сезонний","Стратегічний"},0),0.15,0.18,0.23,0.22,0.27)</f>
        <v/>
      </c>
      <c r="AL74" s="104">
        <f>CHOOSE(MATCH(IF($U74="","Основний",$U74),{"Трафіковий","Основний","Маржинальний","Сезонний","Стратегічний"},0),0.15,0.17,0.25,0.24,0.29)</f>
        <v/>
      </c>
      <c r="AM74" s="104">
        <f>CHOOSE(MATCH(IF($U74="","Основний",$U74),{"Трафіковий","Основний","Маржинальний","Сезонний","Стратегічний"},0),0.12,0.145,0.19,0.18,0.22)</f>
        <v/>
      </c>
      <c r="AN74" s="157">
        <f>CHOOSE(MATCH(IF($U74="","Основний",$U74),{"Трафіковий","Основний","Маржинальний","Сезонний","Стратегічний"},0),Settings!$B$78,Settings!$B$80,Settings!$B$82,Settings!$B$84,Settings!$B$86)</f>
        <v/>
      </c>
      <c r="AO74" s="157">
        <f>CHOOSE(MATCH(IF($U74="","Основний",$U74),{"Трафіковий","Основний","Маржинальний","Сезонний","Стратегічний"},0),Settings!$C$78,Settings!$C$80,Settings!$C$82,Settings!$C$84,Settings!$C$86)</f>
        <v/>
      </c>
      <c r="AP74" s="157">
        <f>CHOOSE(MATCH(IF($U74="","Основний",$U74),{"Трафіковий","Основний","Маржинальний","Сезонний","Стратегічний"},0),Settings!$D$78,Settings!$D$80,Settings!$D$82,Settings!$D$84,Settings!$D$86)</f>
        <v/>
      </c>
      <c r="AQ74" s="157">
        <f>CHOOSE(MATCH(IF($U74="","Основний",$U74),{"Трафіковий","Основний","Маржинальний","Сезонний","Стратегічний"},0),Settings!$F$78,Settings!$F$80,Settings!$F$82,Settings!$F$84,Settings!$F$86)</f>
        <v/>
      </c>
      <c r="AR74" s="157">
        <f>CHOOSE(MATCH(IF($U74="","Основний",$U74),{"Трафіковий","Основний","Маржинальний","Сезонний","Стратегічний"},0),Settings!$G$78,Settings!$G$80,Settings!$G$82,Settings!$G$84,Settings!$G$86)</f>
        <v/>
      </c>
      <c r="AS74" s="157">
        <f>CHOOSE(MATCH(IF($U74="","Основний",$U74),{"Трафіковий","Основний","Маржинальний","Сезонний","Стратегічний"},0),Settings!$H$78,Settings!$H$80,Settings!$H$82,Settings!$H$84,Settings!$H$86)</f>
        <v/>
      </c>
      <c r="AT74" s="157">
        <f>CHOOSE(MATCH(IF($U74="","Основний",$U74),{"Трафіковий","Основний","Маржинальний","Сезонний","Стратегічний"},0),Settings!$I$78,Settings!$I$80,Settings!$I$82,Settings!$I$84,Settings!$I$86)</f>
        <v/>
      </c>
      <c r="AU74" s="171" t="n"/>
      <c r="AV74" t="n">
        <v>1.35</v>
      </c>
    </row>
    <row r="75">
      <c r="A75" s="33" t="inlineStr">
        <is>
          <t>NEW</t>
        </is>
      </c>
      <c r="B75" s="34" t="inlineStr">
        <is>
          <t>P4010</t>
        </is>
      </c>
      <c r="C75" s="34" t="inlineStr">
        <is>
          <t>COB LED + RED LED RECHARGEABLE WARNING TRIANGLE</t>
        </is>
      </c>
      <c r="D75" s="34" t="inlineStr">
        <is>
          <t>Ліхтарі</t>
        </is>
      </c>
      <c r="E75" s="33" t="inlineStr">
        <is>
          <t>PC</t>
        </is>
      </c>
      <c r="F75" s="94" t="n">
        <v>5.434</v>
      </c>
      <c r="G75" s="35" t="n">
        <v>8513100000</v>
      </c>
      <c r="H75" s="31" t="n">
        <v>1.4</v>
      </c>
      <c r="I75" s="84">
        <f>IFERROR(F75*Settings!$B$2*H75*IF(AND(ISNUMBER(E75),E75&gt;1),E75,1),"")</f>
        <v/>
      </c>
      <c r="J75" s="32">
        <f>Settings!$B$66</f>
        <v/>
      </c>
      <c r="K75" s="95">
        <f>IFERROR(IF(T75="","",(T75*(1-AN75)*(1-Settings!$B$17)-I75)/(T75*(1-AN75)*(1-Settings!$B$17))),"")</f>
        <v/>
      </c>
      <c r="L75" s="101">
        <f>IFERROR(IF(T75="","",(T75*(1-AO75)*(1-Settings!$C$17)-I75)/(T75*(1-AO75)*(1-Settings!$C$17))),"")</f>
        <v/>
      </c>
      <c r="M75" s="101">
        <f>IFERROR(IF(T75="","",(T75*(1-AP75)*(1-Settings!$D$17)-I75)/(T75*(1-AP75)*(1-Settings!$D$17))),"")</f>
        <v/>
      </c>
      <c r="N75" s="101">
        <f>IFERROR(IF(T75="","",(T75*(1-AQ75)*(1-Settings!$F$17)-I75)/(T75*(1-AQ75)*(1-Settings!$F$17))),"")</f>
        <v/>
      </c>
      <c r="O75" s="101">
        <f>IFERROR(IF(T75="","",(T75*(1-AR75)*(1-Settings!$G$17)-I75)/(T75*(1-AR75)*(1-Settings!$G$17))),"")</f>
        <v/>
      </c>
      <c r="P75" s="101">
        <f>IFERROR(IF(T75="","",(T75*(1-AS75)*(1-Settings!$H$17)-I75)/(T75*(1-AS75)*(1-Settings!$H$17))),"")</f>
        <v/>
      </c>
      <c r="Q75" s="101">
        <f>IFERROR(IF(T75="","",(T75*(1-AT75)*(1-Settings!$I$68)*(1-Settings!$I$17)-I75)/(T75*(1-AT75)*(1-Settings!$I$68)*(1-Settings!$I$17))),"")</f>
        <v/>
      </c>
      <c r="R75" s="91">
        <f>IFERROR(IF(OR(I75="",Z75&gt;=1,Settings!$B$17&gt;=1,AN75&gt;=1),"",IF(MOD(ROUND(I75/(1-Z75)/(1-Settings!$B$17)/(1-AN75),0),10)=0,ROUND(I75/(1-Z75)/(1-Settings!$B$17)/(1-AN75),0)-1,IF(MOD(ROUND(I75/(1-Z75)/(1-Settings!$B$17)/(1-AN75),0),10)&lt;=5,FLOOR(ROUND(I75/(1-Z75)/(1-Settings!$B$17)/(1-AN75),0),10)+6,FLOOR(ROUND(I75/(1-Z75)/(1-Settings!$B$17)/(1-AN75),0),10)+9))),"")</f>
        <v/>
      </c>
      <c r="S75" s="92" t="n"/>
      <c r="T75" s="91">
        <f>IF(S75&lt;&gt;"", IF(MOD(S75,10)=0,S75-1,IF(MOD(S75,10)&lt;=5,FLOOR(S75,10)+6,FLOOR(S75,10)+9)), R75)</f>
        <v/>
      </c>
      <c r="U75" s="87" t="inlineStr">
        <is>
          <t>Основний</t>
        </is>
      </c>
      <c r="V75" s="88" t="n"/>
      <c r="W75" s="88" t="n"/>
      <c r="X75" s="89">
        <f>IFERROR(IF(OR(V75="",W75="",T75=""),"", IF(T75&gt;W75,"Дорогий",IF(T75&lt;V75,"Дешевий","У ринку"))),"")</f>
        <v/>
      </c>
      <c r="Y75" s="90" t="n"/>
      <c r="Z75" s="104">
        <f>CHOOSE(MATCH(IF($U75="","Основний",$U75),{"Трафіковий","Основний","Маржинальний","Сезонний","Стратегічний"},0),0.16,0.19,0.24,0.23,0.28)</f>
        <v/>
      </c>
      <c r="AA75" s="104">
        <f>CHOOSE(MATCH(IF($U75="","Основний",$U75),{"Трафіковий","Основний","Маржинальний","Сезонний","Стратегічний"},0),0.18,0.21,0.26,0.25,0.3)</f>
        <v/>
      </c>
      <c r="AB75" s="104">
        <f>CHOOSE(MATCH(IF($U75="","Основний",$U75),{"Трафіковий","Основний","Маржинальний","Сезонний","Стратегічний"},0),0.19,0.22,0.28,0.26,0.32)</f>
        <v/>
      </c>
      <c r="AC75" s="104">
        <f>CHOOSE(MATCH(IF($U75="","Основний",$U75),{"Трафіковий","Основний","Маржинальний","Сезонний","Стратегічний"},0),0.17,0.2,0.25,0.24,0.28)</f>
        <v/>
      </c>
      <c r="AD75" s="104">
        <f>CHOOSE(MATCH(IF($U75="","Основний",$U75),{"Трафіковий","Основний","Маржинальний","Сезонний","Стратегічний"},0),0.18,0.21,0.26,0.25,0.3)</f>
        <v/>
      </c>
      <c r="AE75" s="104">
        <f>CHOOSE(MATCH(IF($U75="","Основний",$U75),{"Трафіковий","Основний","Маржинальний","Сезонний","Стратегічний"},0),0.18,0.2,0.28,0.27,0.32)</f>
        <v/>
      </c>
      <c r="AF75" s="104">
        <f>CHOOSE(MATCH(IF($U75="","Основний",$U75),{"Трафіковий","Основний","Маржинальний","Сезонний","Стратегічний"},0),0.15,0.175,0.22,0.21,0.25)</f>
        <v/>
      </c>
      <c r="AG75" s="104">
        <f>CHOOSE(MATCH(IF($U75="","Основний",$U75),{"Трафіковий","Основний","Маржинальний","Сезонний","Стратегічний"},0),0.13,0.16,0.21,0.2,0.25)</f>
        <v/>
      </c>
      <c r="AH75" s="104">
        <f>CHOOSE(MATCH(IF($U75="","Основний",$U75),{"Трафіковий","Основний","Маржинальний","Сезонний","Стратегічний"},0),0.15,0.18,0.23,0.22,0.27)</f>
        <v/>
      </c>
      <c r="AI75" s="104">
        <f>CHOOSE(MATCH(IF($U75="","Основний",$U75),{"Трафіковий","Основний","Маржинальний","Сезонний","Стратегічний"},0),0.16,0.19,0.25,0.23,0.29)</f>
        <v/>
      </c>
      <c r="AJ75" s="104">
        <f>CHOOSE(MATCH(IF($U75="","Основний",$U75),{"Трафіковий","Основний","Маржинальний","Сезонний","Стратегічний"},0),0.14,0.17,0.22,0.21,0.25)</f>
        <v/>
      </c>
      <c r="AK75" s="104">
        <f>CHOOSE(MATCH(IF($U75="","Основний",$U75),{"Трафіковий","Основний","Маржинальний","Сезонний","Стратегічний"},0),0.15,0.18,0.23,0.22,0.27)</f>
        <v/>
      </c>
      <c r="AL75" s="104">
        <f>CHOOSE(MATCH(IF($U75="","Основний",$U75),{"Трафіковий","Основний","Маржинальний","Сезонний","Стратегічний"},0),0.15,0.17,0.25,0.24,0.29)</f>
        <v/>
      </c>
      <c r="AM75" s="104">
        <f>CHOOSE(MATCH(IF($U75="","Основний",$U75),{"Трафіковий","Основний","Маржинальний","Сезонний","Стратегічний"},0),0.12,0.145,0.19,0.18,0.22)</f>
        <v/>
      </c>
      <c r="AN75" s="157">
        <f>CHOOSE(MATCH(IF($U75="","Основний",$U75),{"Трафіковий","Основний","Маржинальний","Сезонний","Стратегічний"},0),Settings!$B$78,Settings!$B$80,Settings!$B$82,Settings!$B$84,Settings!$B$86)</f>
        <v/>
      </c>
      <c r="AO75" s="157">
        <f>CHOOSE(MATCH(IF($U75="","Основний",$U75),{"Трафіковий","Основний","Маржинальний","Сезонний","Стратегічний"},0),Settings!$C$78,Settings!$C$80,Settings!$C$82,Settings!$C$84,Settings!$C$86)</f>
        <v/>
      </c>
      <c r="AP75" s="157">
        <f>CHOOSE(MATCH(IF($U75="","Основний",$U75),{"Трафіковий","Основний","Маржинальний","Сезонний","Стратегічний"},0),Settings!$D$78,Settings!$D$80,Settings!$D$82,Settings!$D$84,Settings!$D$86)</f>
        <v/>
      </c>
      <c r="AQ75" s="157">
        <f>CHOOSE(MATCH(IF($U75="","Основний",$U75),{"Трафіковий","Основний","Маржинальний","Сезонний","Стратегічний"},0),Settings!$F$78,Settings!$F$80,Settings!$F$82,Settings!$F$84,Settings!$F$86)</f>
        <v/>
      </c>
      <c r="AR75" s="157">
        <f>CHOOSE(MATCH(IF($U75="","Основний",$U75),{"Трафіковий","Основний","Маржинальний","Сезонний","Стратегічний"},0),Settings!$G$78,Settings!$G$80,Settings!$G$82,Settings!$G$84,Settings!$G$86)</f>
        <v/>
      </c>
      <c r="AS75" s="157">
        <f>CHOOSE(MATCH(IF($U75="","Основний",$U75),{"Трафіковий","Основний","Маржинальний","Сезонний","Стратегічний"},0),Settings!$H$78,Settings!$H$80,Settings!$H$82,Settings!$H$84,Settings!$H$86)</f>
        <v/>
      </c>
      <c r="AT75" s="157">
        <f>CHOOSE(MATCH(IF($U75="","Основний",$U75),{"Трафіковий","Основний","Маржинальний","Сезонний","Стратегічний"},0),Settings!$I$78,Settings!$I$80,Settings!$I$82,Settings!$I$84,Settings!$I$86)</f>
        <v/>
      </c>
      <c r="AU75" s="171" t="n"/>
      <c r="AV75" t="n">
        <v>1.35</v>
      </c>
    </row>
    <row r="76">
      <c r="A76" s="28" t="n"/>
      <c r="B76" s="29" t="inlineStr">
        <is>
          <t>P4531</t>
        </is>
      </c>
      <c r="C76" s="29" t="inlineStr">
        <is>
          <t>LED RECHARGEABLE WORKLIGHT 5W COB + 3W LED</t>
        </is>
      </c>
      <c r="D76" s="29" t="inlineStr">
        <is>
          <t>Ліхтарі</t>
        </is>
      </c>
      <c r="E76" s="28" t="inlineStr">
        <is>
          <t>PC</t>
        </is>
      </c>
      <c r="F76" s="93" t="n">
        <v>8.234999999999999</v>
      </c>
      <c r="G76" s="30" t="n">
        <v>8513100000</v>
      </c>
      <c r="H76" s="31" t="n">
        <v>1.4</v>
      </c>
      <c r="I76" s="84">
        <f>IFERROR(F76*Settings!$B$2*H76*IF(AND(ISNUMBER(E76),E76&gt;1),E76,1),"")</f>
        <v/>
      </c>
      <c r="J76" s="32">
        <f>Settings!$B$66</f>
        <v/>
      </c>
      <c r="K76" s="95">
        <f>IFERROR(IF(T76="","",(T76*(1-AN76)*(1-Settings!$B$17)-I76)/(T76*(1-AN76)*(1-Settings!$B$17))),"")</f>
        <v/>
      </c>
      <c r="L76" s="101">
        <f>IFERROR(IF(T76="","",(T76*(1-AO76)*(1-Settings!$C$17)-I76)/(T76*(1-AO76)*(1-Settings!$C$17))),"")</f>
        <v/>
      </c>
      <c r="M76" s="101">
        <f>IFERROR(IF(T76="","",(T76*(1-AP76)*(1-Settings!$D$17)-I76)/(T76*(1-AP76)*(1-Settings!$D$17))),"")</f>
        <v/>
      </c>
      <c r="N76" s="101">
        <f>IFERROR(IF(T76="","",(T76*(1-AQ76)*(1-Settings!$F$17)-I76)/(T76*(1-AQ76)*(1-Settings!$F$17))),"")</f>
        <v/>
      </c>
      <c r="O76" s="101">
        <f>IFERROR(IF(T76="","",(T76*(1-AR76)*(1-Settings!$G$17)-I76)/(T76*(1-AR76)*(1-Settings!$G$17))),"")</f>
        <v/>
      </c>
      <c r="P76" s="101">
        <f>IFERROR(IF(T76="","",(T76*(1-AS76)*(1-Settings!$H$17)-I76)/(T76*(1-AS76)*(1-Settings!$H$17))),"")</f>
        <v/>
      </c>
      <c r="Q76" s="101">
        <f>IFERROR(IF(T76="","",(T76*(1-AT76)*(1-Settings!$I$68)*(1-Settings!$I$17)-I76)/(T76*(1-AT76)*(1-Settings!$I$68)*(1-Settings!$I$17))),"")</f>
        <v/>
      </c>
      <c r="R76" s="91">
        <f>IFERROR(IF(OR(I76="",Z76&gt;=1,Settings!$B$17&gt;=1,AN76&gt;=1),"",IF(MOD(ROUND(I76/(1-Z76)/(1-Settings!$B$17)/(1-AN76),0),10)=0,ROUND(I76/(1-Z76)/(1-Settings!$B$17)/(1-AN76),0)-1,IF(MOD(ROUND(I76/(1-Z76)/(1-Settings!$B$17)/(1-AN76),0),10)&lt;=5,FLOOR(ROUND(I76/(1-Z76)/(1-Settings!$B$17)/(1-AN76),0),10)+6,FLOOR(ROUND(I76/(1-Z76)/(1-Settings!$B$17)/(1-AN76),0),10)+9))),"")</f>
        <v/>
      </c>
      <c r="S76" s="92" t="n">
        <v>1100</v>
      </c>
      <c r="T76" s="91">
        <f>IF(S76&lt;&gt;"", IF(MOD(S76,10)=0,S76-1,IF(MOD(S76,10)&lt;=5,FLOOR(S76,10)+6,FLOOR(S76,10)+9)), R76)</f>
        <v/>
      </c>
      <c r="U76" s="87" t="inlineStr">
        <is>
          <t>Основний</t>
        </is>
      </c>
      <c r="V76" s="88" t="n"/>
      <c r="W76" s="88" t="n"/>
      <c r="X76" s="89">
        <f>IFERROR(IF(OR(V76="",W76="",T76=""),"", IF(T76&gt;W76,"Дорогий",IF(T76&lt;V76,"Дешевий","У ринку"))),"")</f>
        <v/>
      </c>
      <c r="Y76" s="90" t="n"/>
      <c r="Z76" s="104">
        <f>CHOOSE(MATCH(IF($U76="","Основний",$U76),{"Трафіковий","Основний","Маржинальний","Сезонний","Стратегічний"},0),0.16,0.19,0.24,0.23,0.28)</f>
        <v/>
      </c>
      <c r="AA76" s="104">
        <f>CHOOSE(MATCH(IF($U76="","Основний",$U76),{"Трафіковий","Основний","Маржинальний","Сезонний","Стратегічний"},0),0.18,0.21,0.26,0.25,0.3)</f>
        <v/>
      </c>
      <c r="AB76" s="104">
        <f>CHOOSE(MATCH(IF($U76="","Основний",$U76),{"Трафіковий","Основний","Маржинальний","Сезонний","Стратегічний"},0),0.19,0.22,0.28,0.26,0.32)</f>
        <v/>
      </c>
      <c r="AC76" s="104">
        <f>CHOOSE(MATCH(IF($U76="","Основний",$U76),{"Трафіковий","Основний","Маржинальний","Сезонний","Стратегічний"},0),0.17,0.2,0.25,0.24,0.28)</f>
        <v/>
      </c>
      <c r="AD76" s="104">
        <f>CHOOSE(MATCH(IF($U76="","Основний",$U76),{"Трафіковий","Основний","Маржинальний","Сезонний","Стратегічний"},0),0.18,0.21,0.26,0.25,0.3)</f>
        <v/>
      </c>
      <c r="AE76" s="104">
        <f>CHOOSE(MATCH(IF($U76="","Основний",$U76),{"Трафіковий","Основний","Маржинальний","Сезонний","Стратегічний"},0),0.18,0.2,0.28,0.27,0.32)</f>
        <v/>
      </c>
      <c r="AF76" s="104">
        <f>CHOOSE(MATCH(IF($U76="","Основний",$U76),{"Трафіковий","Основний","Маржинальний","Сезонний","Стратегічний"},0),0.15,0.175,0.22,0.21,0.25)</f>
        <v/>
      </c>
      <c r="AG76" s="104">
        <f>CHOOSE(MATCH(IF($U76="","Основний",$U76),{"Трафіковий","Основний","Маржинальний","Сезонний","Стратегічний"},0),0.13,0.16,0.21,0.2,0.25)</f>
        <v/>
      </c>
      <c r="AH76" s="104">
        <f>CHOOSE(MATCH(IF($U76="","Основний",$U76),{"Трафіковий","Основний","Маржинальний","Сезонний","Стратегічний"},0),0.15,0.18,0.23,0.22,0.27)</f>
        <v/>
      </c>
      <c r="AI76" s="104">
        <f>CHOOSE(MATCH(IF($U76="","Основний",$U76),{"Трафіковий","Основний","Маржинальний","Сезонний","Стратегічний"},0),0.16,0.19,0.25,0.23,0.29)</f>
        <v/>
      </c>
      <c r="AJ76" s="104">
        <f>CHOOSE(MATCH(IF($U76="","Основний",$U76),{"Трафіковий","Основний","Маржинальний","Сезонний","Стратегічний"},0),0.14,0.17,0.22,0.21,0.25)</f>
        <v/>
      </c>
      <c r="AK76" s="104">
        <f>CHOOSE(MATCH(IF($U76="","Основний",$U76),{"Трафіковий","Основний","Маржинальний","Сезонний","Стратегічний"},0),0.15,0.18,0.23,0.22,0.27)</f>
        <v/>
      </c>
      <c r="AL76" s="104">
        <f>CHOOSE(MATCH(IF($U76="","Основний",$U76),{"Трафіковий","Основний","Маржинальний","Сезонний","Стратегічний"},0),0.15,0.17,0.25,0.24,0.29)</f>
        <v/>
      </c>
      <c r="AM76" s="104">
        <f>CHOOSE(MATCH(IF($U76="","Основний",$U76),{"Трафіковий","Основний","Маржинальний","Сезонний","Стратегічний"},0),0.12,0.145,0.19,0.18,0.22)</f>
        <v/>
      </c>
      <c r="AN76" s="157">
        <f>CHOOSE(MATCH(IF($U76="","Основний",$U76),{"Трафіковий","Основний","Маржинальний","Сезонний","Стратегічний"},0),Settings!$B$78,Settings!$B$80,Settings!$B$82,Settings!$B$84,Settings!$B$86)</f>
        <v/>
      </c>
      <c r="AO76" s="157">
        <f>CHOOSE(MATCH(IF($U76="","Основний",$U76),{"Трафіковий","Основний","Маржинальний","Сезонний","Стратегічний"},0),Settings!$C$78,Settings!$C$80,Settings!$C$82,Settings!$C$84,Settings!$C$86)</f>
        <v/>
      </c>
      <c r="AP76" s="157">
        <f>CHOOSE(MATCH(IF($U76="","Основний",$U76),{"Трафіковий","Основний","Маржинальний","Сезонний","Стратегічний"},0),Settings!$D$78,Settings!$D$80,Settings!$D$82,Settings!$D$84,Settings!$D$86)</f>
        <v/>
      </c>
      <c r="AQ76" s="157">
        <f>CHOOSE(MATCH(IF($U76="","Основний",$U76),{"Трафіковий","Основний","Маржинальний","Сезонний","Стратегічний"},0),Settings!$F$78,Settings!$F$80,Settings!$F$82,Settings!$F$84,Settings!$F$86)</f>
        <v/>
      </c>
      <c r="AR76" s="157">
        <f>CHOOSE(MATCH(IF($U76="","Основний",$U76),{"Трафіковий","Основний","Маржинальний","Сезонний","Стратегічний"},0),Settings!$G$78,Settings!$G$80,Settings!$G$82,Settings!$G$84,Settings!$G$86)</f>
        <v/>
      </c>
      <c r="AS76" s="157">
        <f>CHOOSE(MATCH(IF($U76="","Основний",$U76),{"Трафіковий","Основний","Маржинальний","Сезонний","Стратегічний"},0),Settings!$H$78,Settings!$H$80,Settings!$H$82,Settings!$H$84,Settings!$H$86)</f>
        <v/>
      </c>
      <c r="AT76" s="157">
        <f>CHOOSE(MATCH(IF($U76="","Основний",$U76),{"Трафіковий","Основний","Маржинальний","Сезонний","Стратегічний"},0),Settings!$I$78,Settings!$I$80,Settings!$I$82,Settings!$I$84,Settings!$I$86)</f>
        <v/>
      </c>
      <c r="AU76" s="171" t="n"/>
      <c r="AV76" t="n">
        <v>1.35</v>
      </c>
    </row>
    <row r="77">
      <c r="A77" s="33" t="n"/>
      <c r="B77" s="34" t="inlineStr">
        <is>
          <t>P4537</t>
        </is>
      </c>
      <c r="C77" s="34" t="inlineStr">
        <is>
          <t>LED RECHARGEABLE WORKLIGHT 330LM 1200MAH</t>
        </is>
      </c>
      <c r="D77" s="34" t="inlineStr">
        <is>
          <t>Ліхтарі</t>
        </is>
      </c>
      <c r="E77" s="33" t="inlineStr">
        <is>
          <t>PC</t>
        </is>
      </c>
      <c r="F77" s="94" t="n">
        <v>6.697</v>
      </c>
      <c r="G77" s="35" t="n">
        <v>8513100000</v>
      </c>
      <c r="H77" s="31" t="n">
        <v>1.4</v>
      </c>
      <c r="I77" s="84">
        <f>IFERROR(F77*Settings!$B$2*H77*IF(AND(ISNUMBER(E77),E77&gt;1),E77,1),"")</f>
        <v/>
      </c>
      <c r="J77" s="32">
        <f>Settings!$B$66</f>
        <v/>
      </c>
      <c r="K77" s="95">
        <f>IFERROR(IF(T77="","",(T77*(1-AN77)*(1-Settings!$B$17)-I77)/(T77*(1-AN77)*(1-Settings!$B$17))),"")</f>
        <v/>
      </c>
      <c r="L77" s="101">
        <f>IFERROR(IF(T77="","",(T77*(1-AO77)*(1-Settings!$C$17)-I77)/(T77*(1-AO77)*(1-Settings!$C$17))),"")</f>
        <v/>
      </c>
      <c r="M77" s="101">
        <f>IFERROR(IF(T77="","",(T77*(1-AP77)*(1-Settings!$D$17)-I77)/(T77*(1-AP77)*(1-Settings!$D$17))),"")</f>
        <v/>
      </c>
      <c r="N77" s="101">
        <f>IFERROR(IF(T77="","",(T77*(1-AQ77)*(1-Settings!$F$17)-I77)/(T77*(1-AQ77)*(1-Settings!$F$17))),"")</f>
        <v/>
      </c>
      <c r="O77" s="101">
        <f>IFERROR(IF(T77="","",(T77*(1-AR77)*(1-Settings!$G$17)-I77)/(T77*(1-AR77)*(1-Settings!$G$17))),"")</f>
        <v/>
      </c>
      <c r="P77" s="101">
        <f>IFERROR(IF(T77="","",(T77*(1-AS77)*(1-Settings!$H$17)-I77)/(T77*(1-AS77)*(1-Settings!$H$17))),"")</f>
        <v/>
      </c>
      <c r="Q77" s="101">
        <f>IFERROR(IF(T77="","",(T77*(1-AT77)*(1-Settings!$I$68)*(1-Settings!$I$17)-I77)/(T77*(1-AT77)*(1-Settings!$I$68)*(1-Settings!$I$17))),"")</f>
        <v/>
      </c>
      <c r="R77" s="91">
        <f>IFERROR(IF(OR(I77="",Z77&gt;=1,Settings!$B$17&gt;=1,AN77&gt;=1),"",IF(MOD(ROUND(I77/(1-Z77)/(1-Settings!$B$17)/(1-AN77),0),10)=0,ROUND(I77/(1-Z77)/(1-Settings!$B$17)/(1-AN77),0)-1,IF(MOD(ROUND(I77/(1-Z77)/(1-Settings!$B$17)/(1-AN77),0),10)&lt;=5,FLOOR(ROUND(I77/(1-Z77)/(1-Settings!$B$17)/(1-AN77),0),10)+6,FLOOR(ROUND(I77/(1-Z77)/(1-Settings!$B$17)/(1-AN77),0),10)+9))),"")</f>
        <v/>
      </c>
      <c r="S77" s="92" t="n">
        <v>900</v>
      </c>
      <c r="T77" s="91">
        <f>IF(S77&lt;&gt;"", IF(MOD(S77,10)=0,S77-1,IF(MOD(S77,10)&lt;=5,FLOOR(S77,10)+6,FLOOR(S77,10)+9)), R77)</f>
        <v/>
      </c>
      <c r="U77" s="87" t="inlineStr">
        <is>
          <t>Основний</t>
        </is>
      </c>
      <c r="V77" s="88" t="n"/>
      <c r="W77" s="88" t="n"/>
      <c r="X77" s="89">
        <f>IFERROR(IF(OR(V77="",W77="",T77=""),"", IF(T77&gt;W77,"Дорогий",IF(T77&lt;V77,"Дешевий","У ринку"))),"")</f>
        <v/>
      </c>
      <c r="Y77" s="90" t="n"/>
      <c r="Z77" s="104">
        <f>CHOOSE(MATCH(IF($U77="","Основний",$U77),{"Трафіковий","Основний","Маржинальний","Сезонний","Стратегічний"},0),0.16,0.19,0.24,0.23,0.28)</f>
        <v/>
      </c>
      <c r="AA77" s="104">
        <f>CHOOSE(MATCH(IF($U77="","Основний",$U77),{"Трафіковий","Основний","Маржинальний","Сезонний","Стратегічний"},0),0.18,0.21,0.26,0.25,0.3)</f>
        <v/>
      </c>
      <c r="AB77" s="104">
        <f>CHOOSE(MATCH(IF($U77="","Основний",$U77),{"Трафіковий","Основний","Маржинальний","Сезонний","Стратегічний"},0),0.19,0.22,0.28,0.26,0.32)</f>
        <v/>
      </c>
      <c r="AC77" s="104">
        <f>CHOOSE(MATCH(IF($U77="","Основний",$U77),{"Трафіковий","Основний","Маржинальний","Сезонний","Стратегічний"},0),0.17,0.2,0.25,0.24,0.28)</f>
        <v/>
      </c>
      <c r="AD77" s="104">
        <f>CHOOSE(MATCH(IF($U77="","Основний",$U77),{"Трафіковий","Основний","Маржинальний","Сезонний","Стратегічний"},0),0.18,0.21,0.26,0.25,0.3)</f>
        <v/>
      </c>
      <c r="AE77" s="104">
        <f>CHOOSE(MATCH(IF($U77="","Основний",$U77),{"Трафіковий","Основний","Маржинальний","Сезонний","Стратегічний"},0),0.18,0.2,0.28,0.27,0.32)</f>
        <v/>
      </c>
      <c r="AF77" s="104">
        <f>CHOOSE(MATCH(IF($U77="","Основний",$U77),{"Трафіковий","Основний","Маржинальний","Сезонний","Стратегічний"},0),0.15,0.175,0.22,0.21,0.25)</f>
        <v/>
      </c>
      <c r="AG77" s="104">
        <f>CHOOSE(MATCH(IF($U77="","Основний",$U77),{"Трафіковий","Основний","Маржинальний","Сезонний","Стратегічний"},0),0.13,0.16,0.21,0.2,0.25)</f>
        <v/>
      </c>
      <c r="AH77" s="104">
        <f>CHOOSE(MATCH(IF($U77="","Основний",$U77),{"Трафіковий","Основний","Маржинальний","Сезонний","Стратегічний"},0),0.15,0.18,0.23,0.22,0.27)</f>
        <v/>
      </c>
      <c r="AI77" s="104">
        <f>CHOOSE(MATCH(IF($U77="","Основний",$U77),{"Трафіковий","Основний","Маржинальний","Сезонний","Стратегічний"},0),0.16,0.19,0.25,0.23,0.29)</f>
        <v/>
      </c>
      <c r="AJ77" s="104">
        <f>CHOOSE(MATCH(IF($U77="","Основний",$U77),{"Трафіковий","Основний","Маржинальний","Сезонний","Стратегічний"},0),0.14,0.17,0.22,0.21,0.25)</f>
        <v/>
      </c>
      <c r="AK77" s="104">
        <f>CHOOSE(MATCH(IF($U77="","Основний",$U77),{"Трафіковий","Основний","Маржинальний","Сезонний","Стратегічний"},0),0.15,0.18,0.23,0.22,0.27)</f>
        <v/>
      </c>
      <c r="AL77" s="104">
        <f>CHOOSE(MATCH(IF($U77="","Основний",$U77),{"Трафіковий","Основний","Маржинальний","Сезонний","Стратегічний"},0),0.15,0.17,0.25,0.24,0.29)</f>
        <v/>
      </c>
      <c r="AM77" s="104">
        <f>CHOOSE(MATCH(IF($U77="","Основний",$U77),{"Трафіковий","Основний","Маржинальний","Сезонний","Стратегічний"},0),0.12,0.145,0.19,0.18,0.22)</f>
        <v/>
      </c>
      <c r="AN77" s="157">
        <f>CHOOSE(MATCH(IF($U77="","Основний",$U77),{"Трафіковий","Основний","Маржинальний","Сезонний","Стратегічний"},0),Settings!$B$78,Settings!$B$80,Settings!$B$82,Settings!$B$84,Settings!$B$86)</f>
        <v/>
      </c>
      <c r="AO77" s="157">
        <f>CHOOSE(MATCH(IF($U77="","Основний",$U77),{"Трафіковий","Основний","Маржинальний","Сезонний","Стратегічний"},0),Settings!$C$78,Settings!$C$80,Settings!$C$82,Settings!$C$84,Settings!$C$86)</f>
        <v/>
      </c>
      <c r="AP77" s="157">
        <f>CHOOSE(MATCH(IF($U77="","Основний",$U77),{"Трафіковий","Основний","Маржинальний","Сезонний","Стратегічний"},0),Settings!$D$78,Settings!$D$80,Settings!$D$82,Settings!$D$84,Settings!$D$86)</f>
        <v/>
      </c>
      <c r="AQ77" s="157">
        <f>CHOOSE(MATCH(IF($U77="","Основний",$U77),{"Трафіковий","Основний","Маржинальний","Сезонний","Стратегічний"},0),Settings!$F$78,Settings!$F$80,Settings!$F$82,Settings!$F$84,Settings!$F$86)</f>
        <v/>
      </c>
      <c r="AR77" s="157">
        <f>CHOOSE(MATCH(IF($U77="","Основний",$U77),{"Трафіковий","Основний","Маржинальний","Сезонний","Стратегічний"},0),Settings!$G$78,Settings!$G$80,Settings!$G$82,Settings!$G$84,Settings!$G$86)</f>
        <v/>
      </c>
      <c r="AS77" s="157">
        <f>CHOOSE(MATCH(IF($U77="","Основний",$U77),{"Трафіковий","Основний","Маржинальний","Сезонний","Стратегічний"},0),Settings!$H$78,Settings!$H$80,Settings!$H$82,Settings!$H$84,Settings!$H$86)</f>
        <v/>
      </c>
      <c r="AT77" s="157">
        <f>CHOOSE(MATCH(IF($U77="","Основний",$U77),{"Трафіковий","Основний","Маржинальний","Сезонний","Стратегічний"},0),Settings!$I$78,Settings!$I$80,Settings!$I$82,Settings!$I$84,Settings!$I$86)</f>
        <v/>
      </c>
      <c r="AU77" s="171" t="n"/>
      <c r="AV77" t="n">
        <v>1.35</v>
      </c>
    </row>
    <row r="78">
      <c r="A78" s="28" t="n"/>
      <c r="B78" s="29" t="inlineStr">
        <is>
          <t>P4538</t>
        </is>
      </c>
      <c r="C78" s="29" t="inlineStr">
        <is>
          <t>LED RECHARGEABLE WORKLIGHT 700LM BOOST 1200MAH</t>
        </is>
      </c>
      <c r="D78" s="29" t="inlineStr">
        <is>
          <t>Ліхтарі</t>
        </is>
      </c>
      <c r="E78" s="28" t="inlineStr">
        <is>
          <t>PC</t>
        </is>
      </c>
      <c r="F78" s="93" t="n">
        <v>6.914</v>
      </c>
      <c r="G78" s="30" t="n">
        <v>8513100000</v>
      </c>
      <c r="H78" s="31" t="n">
        <v>1.4</v>
      </c>
      <c r="I78" s="84">
        <f>IFERROR(F78*Settings!$B$2*H78*IF(AND(ISNUMBER(E78),E78&gt;1),E78,1),"")</f>
        <v/>
      </c>
      <c r="J78" s="32">
        <f>Settings!$B$66</f>
        <v/>
      </c>
      <c r="K78" s="95">
        <f>IFERROR(IF(T78="","",(T78*(1-AN78)*(1-Settings!$B$17)-I78)/(T78*(1-AN78)*(1-Settings!$B$17))),"")</f>
        <v/>
      </c>
      <c r="L78" s="101">
        <f>IFERROR(IF(T78="","",(T78*(1-AO78)*(1-Settings!$C$17)-I78)/(T78*(1-AO78)*(1-Settings!$C$17))),"")</f>
        <v/>
      </c>
      <c r="M78" s="101">
        <f>IFERROR(IF(T78="","",(T78*(1-AP78)*(1-Settings!$D$17)-I78)/(T78*(1-AP78)*(1-Settings!$D$17))),"")</f>
        <v/>
      </c>
      <c r="N78" s="101">
        <f>IFERROR(IF(T78="","",(T78*(1-AQ78)*(1-Settings!$F$17)-I78)/(T78*(1-AQ78)*(1-Settings!$F$17))),"")</f>
        <v/>
      </c>
      <c r="O78" s="101">
        <f>IFERROR(IF(T78="","",(T78*(1-AR78)*(1-Settings!$G$17)-I78)/(T78*(1-AR78)*(1-Settings!$G$17))),"")</f>
        <v/>
      </c>
      <c r="P78" s="101">
        <f>IFERROR(IF(T78="","",(T78*(1-AS78)*(1-Settings!$H$17)-I78)/(T78*(1-AS78)*(1-Settings!$H$17))),"")</f>
        <v/>
      </c>
      <c r="Q78" s="101">
        <f>IFERROR(IF(T78="","",(T78*(1-AT78)*(1-Settings!$I$68)*(1-Settings!$I$17)-I78)/(T78*(1-AT78)*(1-Settings!$I$68)*(1-Settings!$I$17))),"")</f>
        <v/>
      </c>
      <c r="R78" s="91">
        <f>IFERROR(IF(OR(I78="",Z78&gt;=1,Settings!$B$17&gt;=1,AN78&gt;=1),"",IF(MOD(ROUND(I78/(1-Z78)/(1-Settings!$B$17)/(1-AN78),0),10)=0,ROUND(I78/(1-Z78)/(1-Settings!$B$17)/(1-AN78),0)-1,IF(MOD(ROUND(I78/(1-Z78)/(1-Settings!$B$17)/(1-AN78),0),10)&lt;=5,FLOOR(ROUND(I78/(1-Z78)/(1-Settings!$B$17)/(1-AN78),0),10)+6,FLOOR(ROUND(I78/(1-Z78)/(1-Settings!$B$17)/(1-AN78),0),10)+9))),"")</f>
        <v/>
      </c>
      <c r="S78" s="92" t="n">
        <v>900</v>
      </c>
      <c r="T78" s="91">
        <f>IF(S78&lt;&gt;"", IF(MOD(S78,10)=0,S78-1,IF(MOD(S78,10)&lt;=5,FLOOR(S78,10)+6,FLOOR(S78,10)+9)), R78)</f>
        <v/>
      </c>
      <c r="U78" s="87" t="inlineStr">
        <is>
          <t>Основний</t>
        </is>
      </c>
      <c r="V78" s="88" t="n"/>
      <c r="W78" s="88" t="n"/>
      <c r="X78" s="89">
        <f>IFERROR(IF(OR(V78="",W78="",T78=""),"", IF(T78&gt;W78,"Дорогий",IF(T78&lt;V78,"Дешевий","У ринку"))),"")</f>
        <v/>
      </c>
      <c r="Y78" s="90" t="n"/>
      <c r="Z78" s="104">
        <f>CHOOSE(MATCH(IF($U78="","Основний",$U78),{"Трафіковий","Основний","Маржинальний","Сезонний","Стратегічний"},0),0.16,0.19,0.24,0.23,0.28)</f>
        <v/>
      </c>
      <c r="AA78" s="104">
        <f>CHOOSE(MATCH(IF($U78="","Основний",$U78),{"Трафіковий","Основний","Маржинальний","Сезонний","Стратегічний"},0),0.18,0.21,0.26,0.25,0.3)</f>
        <v/>
      </c>
      <c r="AB78" s="104">
        <f>CHOOSE(MATCH(IF($U78="","Основний",$U78),{"Трафіковий","Основний","Маржинальний","Сезонний","Стратегічний"},0),0.19,0.22,0.28,0.26,0.32)</f>
        <v/>
      </c>
      <c r="AC78" s="104">
        <f>CHOOSE(MATCH(IF($U78="","Основний",$U78),{"Трафіковий","Основний","Маржинальний","Сезонний","Стратегічний"},0),0.17,0.2,0.25,0.24,0.28)</f>
        <v/>
      </c>
      <c r="AD78" s="104">
        <f>CHOOSE(MATCH(IF($U78="","Основний",$U78),{"Трафіковий","Основний","Маржинальний","Сезонний","Стратегічний"},0),0.18,0.21,0.26,0.25,0.3)</f>
        <v/>
      </c>
      <c r="AE78" s="104">
        <f>CHOOSE(MATCH(IF($U78="","Основний",$U78),{"Трафіковий","Основний","Маржинальний","Сезонний","Стратегічний"},0),0.18,0.2,0.28,0.27,0.32)</f>
        <v/>
      </c>
      <c r="AF78" s="104">
        <f>CHOOSE(MATCH(IF($U78="","Основний",$U78),{"Трафіковий","Основний","Маржинальний","Сезонний","Стратегічний"},0),0.15,0.175,0.22,0.21,0.25)</f>
        <v/>
      </c>
      <c r="AG78" s="104">
        <f>CHOOSE(MATCH(IF($U78="","Основний",$U78),{"Трафіковий","Основний","Маржинальний","Сезонний","Стратегічний"},0),0.13,0.16,0.21,0.2,0.25)</f>
        <v/>
      </c>
      <c r="AH78" s="104">
        <f>CHOOSE(MATCH(IF($U78="","Основний",$U78),{"Трафіковий","Основний","Маржинальний","Сезонний","Стратегічний"},0),0.15,0.18,0.23,0.22,0.27)</f>
        <v/>
      </c>
      <c r="AI78" s="104">
        <f>CHOOSE(MATCH(IF($U78="","Основний",$U78),{"Трафіковий","Основний","Маржинальний","Сезонний","Стратегічний"},0),0.16,0.19,0.25,0.23,0.29)</f>
        <v/>
      </c>
      <c r="AJ78" s="104">
        <f>CHOOSE(MATCH(IF($U78="","Основний",$U78),{"Трафіковий","Основний","Маржинальний","Сезонний","Стратегічний"},0),0.14,0.17,0.22,0.21,0.25)</f>
        <v/>
      </c>
      <c r="AK78" s="104">
        <f>CHOOSE(MATCH(IF($U78="","Основний",$U78),{"Трафіковий","Основний","Маржинальний","Сезонний","Стратегічний"},0),0.15,0.18,0.23,0.22,0.27)</f>
        <v/>
      </c>
      <c r="AL78" s="104">
        <f>CHOOSE(MATCH(IF($U78="","Основний",$U78),{"Трафіковий","Основний","Маржинальний","Сезонний","Стратегічний"},0),0.15,0.17,0.25,0.24,0.29)</f>
        <v/>
      </c>
      <c r="AM78" s="104">
        <f>CHOOSE(MATCH(IF($U78="","Основний",$U78),{"Трафіковий","Основний","Маржинальний","Сезонний","Стратегічний"},0),0.12,0.145,0.19,0.18,0.22)</f>
        <v/>
      </c>
      <c r="AN78" s="157">
        <f>CHOOSE(MATCH(IF($U78="","Основний",$U78),{"Трафіковий","Основний","Маржинальний","Сезонний","Стратегічний"},0),Settings!$B$78,Settings!$B$80,Settings!$B$82,Settings!$B$84,Settings!$B$86)</f>
        <v/>
      </c>
      <c r="AO78" s="157">
        <f>CHOOSE(MATCH(IF($U78="","Основний",$U78),{"Трафіковий","Основний","Маржинальний","Сезонний","Стратегічний"},0),Settings!$C$78,Settings!$C$80,Settings!$C$82,Settings!$C$84,Settings!$C$86)</f>
        <v/>
      </c>
      <c r="AP78" s="157">
        <f>CHOOSE(MATCH(IF($U78="","Основний",$U78),{"Трафіковий","Основний","Маржинальний","Сезонний","Стратегічний"},0),Settings!$D$78,Settings!$D$80,Settings!$D$82,Settings!$D$84,Settings!$D$86)</f>
        <v/>
      </c>
      <c r="AQ78" s="157">
        <f>CHOOSE(MATCH(IF($U78="","Основний",$U78),{"Трафіковий","Основний","Маржинальний","Сезонний","Стратегічний"},0),Settings!$F$78,Settings!$F$80,Settings!$F$82,Settings!$F$84,Settings!$F$86)</f>
        <v/>
      </c>
      <c r="AR78" s="157">
        <f>CHOOSE(MATCH(IF($U78="","Основний",$U78),{"Трафіковий","Основний","Маржинальний","Сезонний","Стратегічний"},0),Settings!$G$78,Settings!$G$80,Settings!$G$82,Settings!$G$84,Settings!$G$86)</f>
        <v/>
      </c>
      <c r="AS78" s="157">
        <f>CHOOSE(MATCH(IF($U78="","Основний",$U78),{"Трафіковий","Основний","Маржинальний","Сезонний","Стратегічний"},0),Settings!$H$78,Settings!$H$80,Settings!$H$82,Settings!$H$84,Settings!$H$86)</f>
        <v/>
      </c>
      <c r="AT78" s="157">
        <f>CHOOSE(MATCH(IF($U78="","Основний",$U78),{"Трафіковий","Основний","Маржинальний","Сезонний","Стратегічний"},0),Settings!$I$78,Settings!$I$80,Settings!$I$82,Settings!$I$84,Settings!$I$86)</f>
        <v/>
      </c>
      <c r="AU78" s="171" t="n"/>
      <c r="AV78" t="n">
        <v>1.35</v>
      </c>
    </row>
    <row r="79">
      <c r="A79" s="33" t="n"/>
      <c r="B79" s="34" t="inlineStr">
        <is>
          <t>P4535</t>
        </is>
      </c>
      <c r="C79" s="34" t="inlineStr">
        <is>
          <t>RECHARGEABLE LED WORK LIGHT</t>
        </is>
      </c>
      <c r="D79" s="34" t="inlineStr">
        <is>
          <t>Ліхтарі</t>
        </is>
      </c>
      <c r="E79" s="33" t="inlineStr">
        <is>
          <t>PC</t>
        </is>
      </c>
      <c r="F79" s="94" t="n">
        <v>13.44</v>
      </c>
      <c r="G79" s="35" t="n">
        <v>8513100000</v>
      </c>
      <c r="H79" s="31" t="n">
        <v>1.4</v>
      </c>
      <c r="I79" s="84">
        <f>IFERROR(F79*Settings!$B$2*H79*IF(AND(ISNUMBER(E79),E79&gt;1),E79,1),"")</f>
        <v/>
      </c>
      <c r="J79" s="32">
        <f>Settings!$B$66</f>
        <v/>
      </c>
      <c r="K79" s="95">
        <f>IFERROR(IF(T79="","",(T79*(1-AN79)*(1-Settings!$B$17)-I79)/(T79*(1-AN79)*(1-Settings!$B$17))),"")</f>
        <v/>
      </c>
      <c r="L79" s="101">
        <f>IFERROR(IF(T79="","",(T79*(1-AO79)*(1-Settings!$C$17)-I79)/(T79*(1-AO79)*(1-Settings!$C$17))),"")</f>
        <v/>
      </c>
      <c r="M79" s="101">
        <f>IFERROR(IF(T79="","",(T79*(1-AP79)*(1-Settings!$D$17)-I79)/(T79*(1-AP79)*(1-Settings!$D$17))),"")</f>
        <v/>
      </c>
      <c r="N79" s="101">
        <f>IFERROR(IF(T79="","",(T79*(1-AQ79)*(1-Settings!$F$17)-I79)/(T79*(1-AQ79)*(1-Settings!$F$17))),"")</f>
        <v/>
      </c>
      <c r="O79" s="101">
        <f>IFERROR(IF(T79="","",(T79*(1-AR79)*(1-Settings!$G$17)-I79)/(T79*(1-AR79)*(1-Settings!$G$17))),"")</f>
        <v/>
      </c>
      <c r="P79" s="101">
        <f>IFERROR(IF(T79="","",(T79*(1-AS79)*(1-Settings!$H$17)-I79)/(T79*(1-AS79)*(1-Settings!$H$17))),"")</f>
        <v/>
      </c>
      <c r="Q79" s="101">
        <f>IFERROR(IF(T79="","",(T79*(1-AT79)*(1-Settings!$I$68)*(1-Settings!$I$17)-I79)/(T79*(1-AT79)*(1-Settings!$I$68)*(1-Settings!$I$17))),"")</f>
        <v/>
      </c>
      <c r="R79" s="91">
        <f>IFERROR(IF(OR(I79="",Z79&gt;=1,Settings!$B$17&gt;=1,AN79&gt;=1),"",IF(MOD(ROUND(I79/(1-Z79)/(1-Settings!$B$17)/(1-AN79),0),10)=0,ROUND(I79/(1-Z79)/(1-Settings!$B$17)/(1-AN79),0)-1,IF(MOD(ROUND(I79/(1-Z79)/(1-Settings!$B$17)/(1-AN79),0),10)&lt;=5,FLOOR(ROUND(I79/(1-Z79)/(1-Settings!$B$17)/(1-AN79),0),10)+6,FLOOR(ROUND(I79/(1-Z79)/(1-Settings!$B$17)/(1-AN79),0),10)+9))),"")</f>
        <v/>
      </c>
      <c r="S79" s="92" t="n">
        <v>1500</v>
      </c>
      <c r="T79" s="91">
        <f>IF(S79&lt;&gt;"", IF(MOD(S79,10)=0,S79-1,IF(MOD(S79,10)&lt;=5,FLOOR(S79,10)+6,FLOOR(S79,10)+9)), R79)</f>
        <v/>
      </c>
      <c r="U79" s="87" t="inlineStr">
        <is>
          <t>Основний</t>
        </is>
      </c>
      <c r="V79" s="88" t="n"/>
      <c r="W79" s="88" t="n"/>
      <c r="X79" s="89">
        <f>IFERROR(IF(OR(V79="",W79="",T79=""),"", IF(T79&gt;W79,"Дорогий",IF(T79&lt;V79,"Дешевий","У ринку"))),"")</f>
        <v/>
      </c>
      <c r="Y79" s="90" t="n"/>
      <c r="Z79" s="104">
        <f>CHOOSE(MATCH(IF($U79="","Основний",$U79),{"Трафіковий","Основний","Маржинальний","Сезонний","Стратегічний"},0),0.16,0.19,0.24,0.23,0.28)</f>
        <v/>
      </c>
      <c r="AA79" s="104">
        <f>CHOOSE(MATCH(IF($U79="","Основний",$U79),{"Трафіковий","Основний","Маржинальний","Сезонний","Стратегічний"},0),0.18,0.21,0.26,0.25,0.3)</f>
        <v/>
      </c>
      <c r="AB79" s="104">
        <f>CHOOSE(MATCH(IF($U79="","Основний",$U79),{"Трафіковий","Основний","Маржинальний","Сезонний","Стратегічний"},0),0.19,0.22,0.28,0.26,0.32)</f>
        <v/>
      </c>
      <c r="AC79" s="104">
        <f>CHOOSE(MATCH(IF($U79="","Основний",$U79),{"Трафіковий","Основний","Маржинальний","Сезонний","Стратегічний"},0),0.17,0.2,0.25,0.24,0.28)</f>
        <v/>
      </c>
      <c r="AD79" s="104">
        <f>CHOOSE(MATCH(IF($U79="","Основний",$U79),{"Трафіковий","Основний","Маржинальний","Сезонний","Стратегічний"},0),0.18,0.21,0.26,0.25,0.3)</f>
        <v/>
      </c>
      <c r="AE79" s="104">
        <f>CHOOSE(MATCH(IF($U79="","Основний",$U79),{"Трафіковий","Основний","Маржинальний","Сезонний","Стратегічний"},0),0.18,0.2,0.28,0.27,0.32)</f>
        <v/>
      </c>
      <c r="AF79" s="104">
        <f>CHOOSE(MATCH(IF($U79="","Основний",$U79),{"Трафіковий","Основний","Маржинальний","Сезонний","Стратегічний"},0),0.15,0.175,0.22,0.21,0.25)</f>
        <v/>
      </c>
      <c r="AG79" s="104">
        <f>CHOOSE(MATCH(IF($U79="","Основний",$U79),{"Трафіковий","Основний","Маржинальний","Сезонний","Стратегічний"},0),0.13,0.16,0.21,0.2,0.25)</f>
        <v/>
      </c>
      <c r="AH79" s="104">
        <f>CHOOSE(MATCH(IF($U79="","Основний",$U79),{"Трафіковий","Основний","Маржинальний","Сезонний","Стратегічний"},0),0.15,0.18,0.23,0.22,0.27)</f>
        <v/>
      </c>
      <c r="AI79" s="104">
        <f>CHOOSE(MATCH(IF($U79="","Основний",$U79),{"Трафіковий","Основний","Маржинальний","Сезонний","Стратегічний"},0),0.16,0.19,0.25,0.23,0.29)</f>
        <v/>
      </c>
      <c r="AJ79" s="104">
        <f>CHOOSE(MATCH(IF($U79="","Основний",$U79),{"Трафіковий","Основний","Маржинальний","Сезонний","Стратегічний"},0),0.14,0.17,0.22,0.21,0.25)</f>
        <v/>
      </c>
      <c r="AK79" s="104">
        <f>CHOOSE(MATCH(IF($U79="","Основний",$U79),{"Трафіковий","Основний","Маржинальний","Сезонний","Стратегічний"},0),0.15,0.18,0.23,0.22,0.27)</f>
        <v/>
      </c>
      <c r="AL79" s="104">
        <f>CHOOSE(MATCH(IF($U79="","Основний",$U79),{"Трафіковий","Основний","Маржинальний","Сезонний","Стратегічний"},0),0.15,0.17,0.25,0.24,0.29)</f>
        <v/>
      </c>
      <c r="AM79" s="104">
        <f>CHOOSE(MATCH(IF($U79="","Основний",$U79),{"Трафіковий","Основний","Маржинальний","Сезонний","Стратегічний"},0),0.12,0.145,0.19,0.18,0.22)</f>
        <v/>
      </c>
      <c r="AN79" s="157">
        <f>CHOOSE(MATCH(IF($U79="","Основний",$U79),{"Трафіковий","Основний","Маржинальний","Сезонний","Стратегічний"},0),Settings!$B$78,Settings!$B$80,Settings!$B$82,Settings!$B$84,Settings!$B$86)</f>
        <v/>
      </c>
      <c r="AO79" s="157">
        <f>CHOOSE(MATCH(IF($U79="","Основний",$U79),{"Трафіковий","Основний","Маржинальний","Сезонний","Стратегічний"},0),Settings!$C$78,Settings!$C$80,Settings!$C$82,Settings!$C$84,Settings!$C$86)</f>
        <v/>
      </c>
      <c r="AP79" s="157">
        <f>CHOOSE(MATCH(IF($U79="","Основний",$U79),{"Трафіковий","Основний","Маржинальний","Сезонний","Стратегічний"},0),Settings!$D$78,Settings!$D$80,Settings!$D$82,Settings!$D$84,Settings!$D$86)</f>
        <v/>
      </c>
      <c r="AQ79" s="157">
        <f>CHOOSE(MATCH(IF($U79="","Основний",$U79),{"Трафіковий","Основний","Маржинальний","Сезонний","Стратегічний"},0),Settings!$F$78,Settings!$F$80,Settings!$F$82,Settings!$F$84,Settings!$F$86)</f>
        <v/>
      </c>
      <c r="AR79" s="157">
        <f>CHOOSE(MATCH(IF($U79="","Основний",$U79),{"Трафіковий","Основний","Маржинальний","Сезонний","Стратегічний"},0),Settings!$G$78,Settings!$G$80,Settings!$G$82,Settings!$G$84,Settings!$G$86)</f>
        <v/>
      </c>
      <c r="AS79" s="157">
        <f>CHOOSE(MATCH(IF($U79="","Основний",$U79),{"Трафіковий","Основний","Маржинальний","Сезонний","Стратегічний"},0),Settings!$H$78,Settings!$H$80,Settings!$H$82,Settings!$H$84,Settings!$H$86)</f>
        <v/>
      </c>
      <c r="AT79" s="157">
        <f>CHOOSE(MATCH(IF($U79="","Основний",$U79),{"Трафіковий","Основний","Маржинальний","Сезонний","Стратегічний"},0),Settings!$I$78,Settings!$I$80,Settings!$I$82,Settings!$I$84,Settings!$I$86)</f>
        <v/>
      </c>
      <c r="AU79" s="171" t="n"/>
      <c r="AV79" t="n">
        <v>1.35</v>
      </c>
    </row>
    <row r="80">
      <c r="A80" s="28" t="inlineStr">
        <is>
          <t>NEW</t>
        </is>
      </c>
      <c r="B80" s="29" t="inlineStr">
        <is>
          <t>P4540</t>
        </is>
      </c>
      <c r="C80" s="29" t="inlineStr">
        <is>
          <t>COB LED RECHARGABLE WORK LIGHT 750LM 1800MAH</t>
        </is>
      </c>
      <c r="D80" s="29" t="inlineStr">
        <is>
          <t>Ліхтарі</t>
        </is>
      </c>
      <c r="E80" s="28" t="inlineStr">
        <is>
          <t>PC</t>
        </is>
      </c>
      <c r="F80" s="93" t="n">
        <v>7.443</v>
      </c>
      <c r="G80" s="30" t="n">
        <v>8513100000</v>
      </c>
      <c r="H80" s="31" t="n">
        <v>1.4</v>
      </c>
      <c r="I80" s="84">
        <f>IFERROR(F80*Settings!$B$2*H80*IF(AND(ISNUMBER(E80),E80&gt;1),E80,1),"")</f>
        <v/>
      </c>
      <c r="J80" s="32">
        <f>Settings!$B$66</f>
        <v/>
      </c>
      <c r="K80" s="95">
        <f>IFERROR(IF(T80="","",(T80*(1-AN80)*(1-Settings!$B$17)-I80)/(T80*(1-AN80)*(1-Settings!$B$17))),"")</f>
        <v/>
      </c>
      <c r="L80" s="101">
        <f>IFERROR(IF(T80="","",(T80*(1-AO80)*(1-Settings!$C$17)-I80)/(T80*(1-AO80)*(1-Settings!$C$17))),"")</f>
        <v/>
      </c>
      <c r="M80" s="101">
        <f>IFERROR(IF(T80="","",(T80*(1-AP80)*(1-Settings!$D$17)-I80)/(T80*(1-AP80)*(1-Settings!$D$17))),"")</f>
        <v/>
      </c>
      <c r="N80" s="101">
        <f>IFERROR(IF(T80="","",(T80*(1-AQ80)*(1-Settings!$F$17)-I80)/(T80*(1-AQ80)*(1-Settings!$F$17))),"")</f>
        <v/>
      </c>
      <c r="O80" s="101">
        <f>IFERROR(IF(T80="","",(T80*(1-AR80)*(1-Settings!$G$17)-I80)/(T80*(1-AR80)*(1-Settings!$G$17))),"")</f>
        <v/>
      </c>
      <c r="P80" s="101">
        <f>IFERROR(IF(T80="","",(T80*(1-AS80)*(1-Settings!$H$17)-I80)/(T80*(1-AS80)*(1-Settings!$H$17))),"")</f>
        <v/>
      </c>
      <c r="Q80" s="101">
        <f>IFERROR(IF(T80="","",(T80*(1-AT80)*(1-Settings!$I$68)*(1-Settings!$I$17)-I80)/(T80*(1-AT80)*(1-Settings!$I$68)*(1-Settings!$I$17))),"")</f>
        <v/>
      </c>
      <c r="R80" s="91">
        <f>IFERROR(IF(OR(I80="",Z80&gt;=1,Settings!$B$17&gt;=1,AN80&gt;=1),"",IF(MOD(ROUND(I80/(1-Z80)/(1-Settings!$B$17)/(1-AN80),0),10)=0,ROUND(I80/(1-Z80)/(1-Settings!$B$17)/(1-AN80),0)-1,IF(MOD(ROUND(I80/(1-Z80)/(1-Settings!$B$17)/(1-AN80),0),10)&lt;=5,FLOOR(ROUND(I80/(1-Z80)/(1-Settings!$B$17)/(1-AN80),0),10)+6,FLOOR(ROUND(I80/(1-Z80)/(1-Settings!$B$17)/(1-AN80),0),10)+9))),"")</f>
        <v/>
      </c>
      <c r="S80" s="92" t="n">
        <v>1000</v>
      </c>
      <c r="T80" s="91">
        <f>IF(S80&lt;&gt;"", IF(MOD(S80,10)=0,S80-1,IF(MOD(S80,10)&lt;=5,FLOOR(S80,10)+6,FLOOR(S80,10)+9)), R80)</f>
        <v/>
      </c>
      <c r="U80" s="87" t="inlineStr">
        <is>
          <t>Основний</t>
        </is>
      </c>
      <c r="V80" s="88" t="n"/>
      <c r="W80" s="88" t="n"/>
      <c r="X80" s="89">
        <f>IFERROR(IF(OR(V80="",W80="",T80=""),"", IF(T80&gt;W80,"Дорогий",IF(T80&lt;V80,"Дешевий","У ринку"))),"")</f>
        <v/>
      </c>
      <c r="Y80" s="90" t="n"/>
      <c r="Z80" s="104">
        <f>CHOOSE(MATCH(IF($U80="","Основний",$U80),{"Трафіковий","Основний","Маржинальний","Сезонний","Стратегічний"},0),0.16,0.19,0.24,0.23,0.28)</f>
        <v/>
      </c>
      <c r="AA80" s="104">
        <f>CHOOSE(MATCH(IF($U80="","Основний",$U80),{"Трафіковий","Основний","Маржинальний","Сезонний","Стратегічний"},0),0.18,0.21,0.26,0.25,0.3)</f>
        <v/>
      </c>
      <c r="AB80" s="104">
        <f>CHOOSE(MATCH(IF($U80="","Основний",$U80),{"Трафіковий","Основний","Маржинальний","Сезонний","Стратегічний"},0),0.19,0.22,0.28,0.26,0.32)</f>
        <v/>
      </c>
      <c r="AC80" s="104">
        <f>CHOOSE(MATCH(IF($U80="","Основний",$U80),{"Трафіковий","Основний","Маржинальний","Сезонний","Стратегічний"},0),0.17,0.2,0.25,0.24,0.28)</f>
        <v/>
      </c>
      <c r="AD80" s="104">
        <f>CHOOSE(MATCH(IF($U80="","Основний",$U80),{"Трафіковий","Основний","Маржинальний","Сезонний","Стратегічний"},0),0.18,0.21,0.26,0.25,0.3)</f>
        <v/>
      </c>
      <c r="AE80" s="104">
        <f>CHOOSE(MATCH(IF($U80="","Основний",$U80),{"Трафіковий","Основний","Маржинальний","Сезонний","Стратегічний"},0),0.18,0.2,0.28,0.27,0.32)</f>
        <v/>
      </c>
      <c r="AF80" s="104">
        <f>CHOOSE(MATCH(IF($U80="","Основний",$U80),{"Трафіковий","Основний","Маржинальний","Сезонний","Стратегічний"},0),0.15,0.175,0.22,0.21,0.25)</f>
        <v/>
      </c>
      <c r="AG80" s="104">
        <f>CHOOSE(MATCH(IF($U80="","Основний",$U80),{"Трафіковий","Основний","Маржинальний","Сезонний","Стратегічний"},0),0.13,0.16,0.21,0.2,0.25)</f>
        <v/>
      </c>
      <c r="AH80" s="104">
        <f>CHOOSE(MATCH(IF($U80="","Основний",$U80),{"Трафіковий","Основний","Маржинальний","Сезонний","Стратегічний"},0),0.15,0.18,0.23,0.22,0.27)</f>
        <v/>
      </c>
      <c r="AI80" s="104">
        <f>CHOOSE(MATCH(IF($U80="","Основний",$U80),{"Трафіковий","Основний","Маржинальний","Сезонний","Стратегічний"},0),0.16,0.19,0.25,0.23,0.29)</f>
        <v/>
      </c>
      <c r="AJ80" s="104">
        <f>CHOOSE(MATCH(IF($U80="","Основний",$U80),{"Трафіковий","Основний","Маржинальний","Сезонний","Стратегічний"},0),0.14,0.17,0.22,0.21,0.25)</f>
        <v/>
      </c>
      <c r="AK80" s="104">
        <f>CHOOSE(MATCH(IF($U80="","Основний",$U80),{"Трафіковий","Основний","Маржинальний","Сезонний","Стратегічний"},0),0.15,0.18,0.23,0.22,0.27)</f>
        <v/>
      </c>
      <c r="AL80" s="104">
        <f>CHOOSE(MATCH(IF($U80="","Основний",$U80),{"Трафіковий","Основний","Маржинальний","Сезонний","Стратегічний"},0),0.15,0.17,0.25,0.24,0.29)</f>
        <v/>
      </c>
      <c r="AM80" s="104">
        <f>CHOOSE(MATCH(IF($U80="","Основний",$U80),{"Трафіковий","Основний","Маржинальний","Сезонний","Стратегічний"},0),0.12,0.145,0.19,0.18,0.22)</f>
        <v/>
      </c>
      <c r="AN80" s="157">
        <f>CHOOSE(MATCH(IF($U80="","Основний",$U80),{"Трафіковий","Основний","Маржинальний","Сезонний","Стратегічний"},0),Settings!$B$78,Settings!$B$80,Settings!$B$82,Settings!$B$84,Settings!$B$86)</f>
        <v/>
      </c>
      <c r="AO80" s="157">
        <f>CHOOSE(MATCH(IF($U80="","Основний",$U80),{"Трафіковий","Основний","Маржинальний","Сезонний","Стратегічний"},0),Settings!$C$78,Settings!$C$80,Settings!$C$82,Settings!$C$84,Settings!$C$86)</f>
        <v/>
      </c>
      <c r="AP80" s="157">
        <f>CHOOSE(MATCH(IF($U80="","Основний",$U80),{"Трафіковий","Основний","Маржинальний","Сезонний","Стратегічний"},0),Settings!$D$78,Settings!$D$80,Settings!$D$82,Settings!$D$84,Settings!$D$86)</f>
        <v/>
      </c>
      <c r="AQ80" s="157">
        <f>CHOOSE(MATCH(IF($U80="","Основний",$U80),{"Трафіковий","Основний","Маржинальний","Сезонний","Стратегічний"},0),Settings!$F$78,Settings!$F$80,Settings!$F$82,Settings!$F$84,Settings!$F$86)</f>
        <v/>
      </c>
      <c r="AR80" s="157">
        <f>CHOOSE(MATCH(IF($U80="","Основний",$U80),{"Трафіковий","Основний","Маржинальний","Сезонний","Стратегічний"},0),Settings!$G$78,Settings!$G$80,Settings!$G$82,Settings!$G$84,Settings!$G$86)</f>
        <v/>
      </c>
      <c r="AS80" s="157">
        <f>CHOOSE(MATCH(IF($U80="","Основний",$U80),{"Трафіковий","Основний","Маржинальний","Сезонний","Стратегічний"},0),Settings!$H$78,Settings!$H$80,Settings!$H$82,Settings!$H$84,Settings!$H$86)</f>
        <v/>
      </c>
      <c r="AT80" s="157">
        <f>CHOOSE(MATCH(IF($U80="","Основний",$U80),{"Трафіковий","Основний","Маржинальний","Сезонний","Стратегічний"},0),Settings!$I$78,Settings!$I$80,Settings!$I$82,Settings!$I$84,Settings!$I$86)</f>
        <v/>
      </c>
      <c r="AU80" s="171" t="n"/>
      <c r="AV80" t="n">
        <v>1.35</v>
      </c>
    </row>
    <row r="81">
      <c r="A81" s="33" t="inlineStr">
        <is>
          <t>SELL OUT</t>
        </is>
      </c>
      <c r="B81" s="34" t="inlineStr">
        <is>
          <t>P4541</t>
        </is>
      </c>
      <c r="C81" s="34" t="inlineStr">
        <is>
          <t>COB LED RECHARGEABLE WORK LIGHT 450LM 2000MAH</t>
        </is>
      </c>
      <c r="D81" s="34" t="inlineStr">
        <is>
          <t>Ліхтарі</t>
        </is>
      </c>
      <c r="E81" s="33" t="inlineStr">
        <is>
          <t>PC</t>
        </is>
      </c>
      <c r="F81" s="94" t="n">
        <v>8.002000000000001</v>
      </c>
      <c r="G81" s="35" t="n">
        <v>8513100000</v>
      </c>
      <c r="H81" s="31" t="n">
        <v>1.4</v>
      </c>
      <c r="I81" s="84">
        <f>IFERROR(F81*Settings!$B$2*H81*IF(AND(ISNUMBER(E81),E81&gt;1),E81,1),"")</f>
        <v/>
      </c>
      <c r="J81" s="32">
        <f>Settings!$B$66</f>
        <v/>
      </c>
      <c r="K81" s="95">
        <f>IFERROR(IF(T81="","",(T81*(1-AN81)*(1-Settings!$B$17)-I81)/(T81*(1-AN81)*(1-Settings!$B$17))),"")</f>
        <v/>
      </c>
      <c r="L81" s="101">
        <f>IFERROR(IF(T81="","",(T81*(1-AO81)*(1-Settings!$C$17)-I81)/(T81*(1-AO81)*(1-Settings!$C$17))),"")</f>
        <v/>
      </c>
      <c r="M81" s="101">
        <f>IFERROR(IF(T81="","",(T81*(1-AP81)*(1-Settings!$D$17)-I81)/(T81*(1-AP81)*(1-Settings!$D$17))),"")</f>
        <v/>
      </c>
      <c r="N81" s="101">
        <f>IFERROR(IF(T81="","",(T81*(1-AQ81)*(1-Settings!$F$17)-I81)/(T81*(1-AQ81)*(1-Settings!$F$17))),"")</f>
        <v/>
      </c>
      <c r="O81" s="101">
        <f>IFERROR(IF(T81="","",(T81*(1-AR81)*(1-Settings!$G$17)-I81)/(T81*(1-AR81)*(1-Settings!$G$17))),"")</f>
        <v/>
      </c>
      <c r="P81" s="101">
        <f>IFERROR(IF(T81="","",(T81*(1-AS81)*(1-Settings!$H$17)-I81)/(T81*(1-AS81)*(1-Settings!$H$17))),"")</f>
        <v/>
      </c>
      <c r="Q81" s="101">
        <f>IFERROR(IF(T81="","",(T81*(1-AT81)*(1-Settings!$I$68)*(1-Settings!$I$17)-I81)/(T81*(1-AT81)*(1-Settings!$I$68)*(1-Settings!$I$17))),"")</f>
        <v/>
      </c>
      <c r="R81" s="91">
        <f>IFERROR(IF(OR(I81="",Z81&gt;=1,Settings!$B$17&gt;=1,AN81&gt;=1),"",IF(MOD(ROUND(I81/(1-Z81)/(1-Settings!$B$17)/(1-AN81),0),10)=0,ROUND(I81/(1-Z81)/(1-Settings!$B$17)/(1-AN81),0)-1,IF(MOD(ROUND(I81/(1-Z81)/(1-Settings!$B$17)/(1-AN81),0),10)&lt;=5,FLOOR(ROUND(I81/(1-Z81)/(1-Settings!$B$17)/(1-AN81),0),10)+6,FLOOR(ROUND(I81/(1-Z81)/(1-Settings!$B$17)/(1-AN81),0),10)+9))),"")</f>
        <v/>
      </c>
      <c r="S81" s="92" t="n">
        <v>1000</v>
      </c>
      <c r="T81" s="91">
        <f>IF(S81&lt;&gt;"", IF(MOD(S81,10)=0,S81-1,IF(MOD(S81,10)&lt;=5,FLOOR(S81,10)+6,FLOOR(S81,10)+9)), R81)</f>
        <v/>
      </c>
      <c r="U81" s="87" t="inlineStr">
        <is>
          <t>Основний</t>
        </is>
      </c>
      <c r="V81" s="88" t="n"/>
      <c r="W81" s="88" t="n"/>
      <c r="X81" s="89">
        <f>IFERROR(IF(OR(V81="",W81="",T81=""),"", IF(T81&gt;W81,"Дорогий",IF(T81&lt;V81,"Дешевий","У ринку"))),"")</f>
        <v/>
      </c>
      <c r="Y81" s="90" t="n"/>
      <c r="Z81" s="104">
        <f>CHOOSE(MATCH(IF($U81="","Основний",$U81),{"Трафіковий","Основний","Маржинальний","Сезонний","Стратегічний"},0),0.16,0.19,0.24,0.23,0.28)</f>
        <v/>
      </c>
      <c r="AA81" s="104">
        <f>CHOOSE(MATCH(IF($U81="","Основний",$U81),{"Трафіковий","Основний","Маржинальний","Сезонний","Стратегічний"},0),0.18,0.21,0.26,0.25,0.3)</f>
        <v/>
      </c>
      <c r="AB81" s="104">
        <f>CHOOSE(MATCH(IF($U81="","Основний",$U81),{"Трафіковий","Основний","Маржинальний","Сезонний","Стратегічний"},0),0.19,0.22,0.28,0.26,0.32)</f>
        <v/>
      </c>
      <c r="AC81" s="104">
        <f>CHOOSE(MATCH(IF($U81="","Основний",$U81),{"Трафіковий","Основний","Маржинальний","Сезонний","Стратегічний"},0),0.17,0.2,0.25,0.24,0.28)</f>
        <v/>
      </c>
      <c r="AD81" s="104">
        <f>CHOOSE(MATCH(IF($U81="","Основний",$U81),{"Трафіковий","Основний","Маржинальний","Сезонний","Стратегічний"},0),0.18,0.21,0.26,0.25,0.3)</f>
        <v/>
      </c>
      <c r="AE81" s="104">
        <f>CHOOSE(MATCH(IF($U81="","Основний",$U81),{"Трафіковий","Основний","Маржинальний","Сезонний","Стратегічний"},0),0.18,0.2,0.28,0.27,0.32)</f>
        <v/>
      </c>
      <c r="AF81" s="104">
        <f>CHOOSE(MATCH(IF($U81="","Основний",$U81),{"Трафіковий","Основний","Маржинальний","Сезонний","Стратегічний"},0),0.15,0.175,0.22,0.21,0.25)</f>
        <v/>
      </c>
      <c r="AG81" s="104">
        <f>CHOOSE(MATCH(IF($U81="","Основний",$U81),{"Трафіковий","Основний","Маржинальний","Сезонний","Стратегічний"},0),0.13,0.16,0.21,0.2,0.25)</f>
        <v/>
      </c>
      <c r="AH81" s="104">
        <f>CHOOSE(MATCH(IF($U81="","Основний",$U81),{"Трафіковий","Основний","Маржинальний","Сезонний","Стратегічний"},0),0.15,0.18,0.23,0.22,0.27)</f>
        <v/>
      </c>
      <c r="AI81" s="104">
        <f>CHOOSE(MATCH(IF($U81="","Основний",$U81),{"Трафіковий","Основний","Маржинальний","Сезонний","Стратегічний"},0),0.16,0.19,0.25,0.23,0.29)</f>
        <v/>
      </c>
      <c r="AJ81" s="104">
        <f>CHOOSE(MATCH(IF($U81="","Основний",$U81),{"Трафіковий","Основний","Маржинальний","Сезонний","Стратегічний"},0),0.14,0.17,0.22,0.21,0.25)</f>
        <v/>
      </c>
      <c r="AK81" s="104">
        <f>CHOOSE(MATCH(IF($U81="","Основний",$U81),{"Трафіковий","Основний","Маржинальний","Сезонний","Стратегічний"},0),0.15,0.18,0.23,0.22,0.27)</f>
        <v/>
      </c>
      <c r="AL81" s="104">
        <f>CHOOSE(MATCH(IF($U81="","Основний",$U81),{"Трафіковий","Основний","Маржинальний","Сезонний","Стратегічний"},0),0.15,0.17,0.25,0.24,0.29)</f>
        <v/>
      </c>
      <c r="AM81" s="104">
        <f>CHOOSE(MATCH(IF($U81="","Основний",$U81),{"Трафіковий","Основний","Маржинальний","Сезонний","Стратегічний"},0),0.12,0.145,0.19,0.18,0.22)</f>
        <v/>
      </c>
      <c r="AN81" s="157">
        <f>CHOOSE(MATCH(IF($U81="","Основний",$U81),{"Трафіковий","Основний","Маржинальний","Сезонний","Стратегічний"},0),Settings!$B$78,Settings!$B$80,Settings!$B$82,Settings!$B$84,Settings!$B$86)</f>
        <v/>
      </c>
      <c r="AO81" s="157">
        <f>CHOOSE(MATCH(IF($U81="","Основний",$U81),{"Трафіковий","Основний","Маржинальний","Сезонний","Стратегічний"},0),Settings!$C$78,Settings!$C$80,Settings!$C$82,Settings!$C$84,Settings!$C$86)</f>
        <v/>
      </c>
      <c r="AP81" s="157">
        <f>CHOOSE(MATCH(IF($U81="","Основний",$U81),{"Трафіковий","Основний","Маржинальний","Сезонний","Стратегічний"},0),Settings!$D$78,Settings!$D$80,Settings!$D$82,Settings!$D$84,Settings!$D$86)</f>
        <v/>
      </c>
      <c r="AQ81" s="157">
        <f>CHOOSE(MATCH(IF($U81="","Основний",$U81),{"Трафіковий","Основний","Маржинальний","Сезонний","Стратегічний"},0),Settings!$F$78,Settings!$F$80,Settings!$F$82,Settings!$F$84,Settings!$F$86)</f>
        <v/>
      </c>
      <c r="AR81" s="157">
        <f>CHOOSE(MATCH(IF($U81="","Основний",$U81),{"Трафіковий","Основний","Маржинальний","Сезонний","Стратегічний"},0),Settings!$G$78,Settings!$G$80,Settings!$G$82,Settings!$G$84,Settings!$G$86)</f>
        <v/>
      </c>
      <c r="AS81" s="157">
        <f>CHOOSE(MATCH(IF($U81="","Основний",$U81),{"Трафіковий","Основний","Маржинальний","Сезонний","Стратегічний"},0),Settings!$H$78,Settings!$H$80,Settings!$H$82,Settings!$H$84,Settings!$H$86)</f>
        <v/>
      </c>
      <c r="AT81" s="157">
        <f>CHOOSE(MATCH(IF($U81="","Основний",$U81),{"Трафіковий","Основний","Маржинальний","Сезонний","Стратегічний"},0),Settings!$I$78,Settings!$I$80,Settings!$I$82,Settings!$I$84,Settings!$I$86)</f>
        <v/>
      </c>
      <c r="AU81" s="171" t="n"/>
      <c r="AV81" t="n">
        <v>1.35</v>
      </c>
    </row>
    <row r="82">
      <c r="A82" s="28" t="inlineStr">
        <is>
          <t>NEW</t>
        </is>
      </c>
      <c r="B82" s="29" t="inlineStr">
        <is>
          <t>P4544</t>
        </is>
      </c>
      <c r="C82" s="29" t="inlineStr">
        <is>
          <t>COB LED+LED RECHAR. WORK LIGHT 800LM 2000MAH</t>
        </is>
      </c>
      <c r="D82" s="29" t="inlineStr">
        <is>
          <t>Ліхтарі</t>
        </is>
      </c>
      <c r="E82" s="28" t="inlineStr">
        <is>
          <t>PC</t>
        </is>
      </c>
      <c r="F82" s="93" t="n">
        <v>13.518</v>
      </c>
      <c r="G82" s="30" t="n">
        <v>8513100000</v>
      </c>
      <c r="H82" s="31" t="n">
        <v>1.4</v>
      </c>
      <c r="I82" s="84">
        <f>IFERROR(F82*Settings!$B$2*H82*IF(AND(ISNUMBER(E82),E82&gt;1),E82,1),"")</f>
        <v/>
      </c>
      <c r="J82" s="32">
        <f>Settings!$B$66</f>
        <v/>
      </c>
      <c r="K82" s="95">
        <f>IFERROR(IF(T82="","",(T82*(1-AN82)*(1-Settings!$B$17)-I82)/(T82*(1-AN82)*(1-Settings!$B$17))),"")</f>
        <v/>
      </c>
      <c r="L82" s="101">
        <f>IFERROR(IF(T82="","",(T82*(1-AO82)*(1-Settings!$C$17)-I82)/(T82*(1-AO82)*(1-Settings!$C$17))),"")</f>
        <v/>
      </c>
      <c r="M82" s="101">
        <f>IFERROR(IF(T82="","",(T82*(1-AP82)*(1-Settings!$D$17)-I82)/(T82*(1-AP82)*(1-Settings!$D$17))),"")</f>
        <v/>
      </c>
      <c r="N82" s="101">
        <f>IFERROR(IF(T82="","",(T82*(1-AQ82)*(1-Settings!$F$17)-I82)/(T82*(1-AQ82)*(1-Settings!$F$17))),"")</f>
        <v/>
      </c>
      <c r="O82" s="101">
        <f>IFERROR(IF(T82="","",(T82*(1-AR82)*(1-Settings!$G$17)-I82)/(T82*(1-AR82)*(1-Settings!$G$17))),"")</f>
        <v/>
      </c>
      <c r="P82" s="101">
        <f>IFERROR(IF(T82="","",(T82*(1-AS82)*(1-Settings!$H$17)-I82)/(T82*(1-AS82)*(1-Settings!$H$17))),"")</f>
        <v/>
      </c>
      <c r="Q82" s="101">
        <f>IFERROR(IF(T82="","",(T82*(1-AT82)*(1-Settings!$I$68)*(1-Settings!$I$17)-I82)/(T82*(1-AT82)*(1-Settings!$I$68)*(1-Settings!$I$17))),"")</f>
        <v/>
      </c>
      <c r="R82" s="91">
        <f>IFERROR(IF(OR(I82="",Z82&gt;=1,Settings!$B$17&gt;=1,AN82&gt;=1),"",IF(MOD(ROUND(I82/(1-Z82)/(1-Settings!$B$17)/(1-AN82),0),10)=0,ROUND(I82/(1-Z82)/(1-Settings!$B$17)/(1-AN82),0)-1,IF(MOD(ROUND(I82/(1-Z82)/(1-Settings!$B$17)/(1-AN82),0),10)&lt;=5,FLOOR(ROUND(I82/(1-Z82)/(1-Settings!$B$17)/(1-AN82),0),10)+6,FLOOR(ROUND(I82/(1-Z82)/(1-Settings!$B$17)/(1-AN82),0),10)+9))),"")</f>
        <v/>
      </c>
      <c r="S82" s="92" t="n">
        <v>1800</v>
      </c>
      <c r="T82" s="91">
        <f>IF(S82&lt;&gt;"", IF(MOD(S82,10)=0,S82-1,IF(MOD(S82,10)&lt;=5,FLOOR(S82,10)+6,FLOOR(S82,10)+9)), R82)</f>
        <v/>
      </c>
      <c r="U82" s="87" t="inlineStr">
        <is>
          <t>Основний</t>
        </is>
      </c>
      <c r="V82" s="88" t="n"/>
      <c r="W82" s="88" t="n"/>
      <c r="X82" s="89">
        <f>IFERROR(IF(OR(V82="",W82="",T82=""),"", IF(T82&gt;W82,"Дорогий",IF(T82&lt;V82,"Дешевий","У ринку"))),"")</f>
        <v/>
      </c>
      <c r="Y82" s="90" t="n"/>
      <c r="Z82" s="104">
        <f>CHOOSE(MATCH(IF($U82="","Основний",$U82),{"Трафіковий","Основний","Маржинальний","Сезонний","Стратегічний"},0),0.16,0.19,0.24,0.23,0.28)</f>
        <v/>
      </c>
      <c r="AA82" s="104">
        <f>CHOOSE(MATCH(IF($U82="","Основний",$U82),{"Трафіковий","Основний","Маржинальний","Сезонний","Стратегічний"},0),0.18,0.21,0.26,0.25,0.3)</f>
        <v/>
      </c>
      <c r="AB82" s="104">
        <f>CHOOSE(MATCH(IF($U82="","Основний",$U82),{"Трафіковий","Основний","Маржинальний","Сезонний","Стратегічний"},0),0.19,0.22,0.28,0.26,0.32)</f>
        <v/>
      </c>
      <c r="AC82" s="104">
        <f>CHOOSE(MATCH(IF($U82="","Основний",$U82),{"Трафіковий","Основний","Маржинальний","Сезонний","Стратегічний"},0),0.17,0.2,0.25,0.24,0.28)</f>
        <v/>
      </c>
      <c r="AD82" s="104">
        <f>CHOOSE(MATCH(IF($U82="","Основний",$U82),{"Трафіковий","Основний","Маржинальний","Сезонний","Стратегічний"},0),0.18,0.21,0.26,0.25,0.3)</f>
        <v/>
      </c>
      <c r="AE82" s="104">
        <f>CHOOSE(MATCH(IF($U82="","Основний",$U82),{"Трафіковий","Основний","Маржинальний","Сезонний","Стратегічний"},0),0.18,0.2,0.28,0.27,0.32)</f>
        <v/>
      </c>
      <c r="AF82" s="104">
        <f>CHOOSE(MATCH(IF($U82="","Основний",$U82),{"Трафіковий","Основний","Маржинальний","Сезонний","Стратегічний"},0),0.15,0.175,0.22,0.21,0.25)</f>
        <v/>
      </c>
      <c r="AG82" s="104">
        <f>CHOOSE(MATCH(IF($U82="","Основний",$U82),{"Трафіковий","Основний","Маржинальний","Сезонний","Стратегічний"},0),0.13,0.16,0.21,0.2,0.25)</f>
        <v/>
      </c>
      <c r="AH82" s="104">
        <f>CHOOSE(MATCH(IF($U82="","Основний",$U82),{"Трафіковий","Основний","Маржинальний","Сезонний","Стратегічний"},0),0.15,0.18,0.23,0.22,0.27)</f>
        <v/>
      </c>
      <c r="AI82" s="104">
        <f>CHOOSE(MATCH(IF($U82="","Основний",$U82),{"Трафіковий","Основний","Маржинальний","Сезонний","Стратегічний"},0),0.16,0.19,0.25,0.23,0.29)</f>
        <v/>
      </c>
      <c r="AJ82" s="104">
        <f>CHOOSE(MATCH(IF($U82="","Основний",$U82),{"Трафіковий","Основний","Маржинальний","Сезонний","Стратегічний"},0),0.14,0.17,0.22,0.21,0.25)</f>
        <v/>
      </c>
      <c r="AK82" s="104">
        <f>CHOOSE(MATCH(IF($U82="","Основний",$U82),{"Трафіковий","Основний","Маржинальний","Сезонний","Стратегічний"},0),0.15,0.18,0.23,0.22,0.27)</f>
        <v/>
      </c>
      <c r="AL82" s="104">
        <f>CHOOSE(MATCH(IF($U82="","Основний",$U82),{"Трафіковий","Основний","Маржинальний","Сезонний","Стратегічний"},0),0.15,0.17,0.25,0.24,0.29)</f>
        <v/>
      </c>
      <c r="AM82" s="104">
        <f>CHOOSE(MATCH(IF($U82="","Основний",$U82),{"Трафіковий","Основний","Маржинальний","Сезонний","Стратегічний"},0),0.12,0.145,0.19,0.18,0.22)</f>
        <v/>
      </c>
      <c r="AN82" s="157">
        <f>CHOOSE(MATCH(IF($U82="","Основний",$U82),{"Трафіковий","Основний","Маржинальний","Сезонний","Стратегічний"},0),Settings!$B$78,Settings!$B$80,Settings!$B$82,Settings!$B$84,Settings!$B$86)</f>
        <v/>
      </c>
      <c r="AO82" s="157">
        <f>CHOOSE(MATCH(IF($U82="","Основний",$U82),{"Трафіковий","Основний","Маржинальний","Сезонний","Стратегічний"},0),Settings!$C$78,Settings!$C$80,Settings!$C$82,Settings!$C$84,Settings!$C$86)</f>
        <v/>
      </c>
      <c r="AP82" s="157">
        <f>CHOOSE(MATCH(IF($U82="","Основний",$U82),{"Трафіковий","Основний","Маржинальний","Сезонний","Стратегічний"},0),Settings!$D$78,Settings!$D$80,Settings!$D$82,Settings!$D$84,Settings!$D$86)</f>
        <v/>
      </c>
      <c r="AQ82" s="157">
        <f>CHOOSE(MATCH(IF($U82="","Основний",$U82),{"Трафіковий","Основний","Маржинальний","Сезонний","Стратегічний"},0),Settings!$F$78,Settings!$F$80,Settings!$F$82,Settings!$F$84,Settings!$F$86)</f>
        <v/>
      </c>
      <c r="AR82" s="157">
        <f>CHOOSE(MATCH(IF($U82="","Основний",$U82),{"Трафіковий","Основний","Маржинальний","Сезонний","Стратегічний"},0),Settings!$G$78,Settings!$G$80,Settings!$G$82,Settings!$G$84,Settings!$G$86)</f>
        <v/>
      </c>
      <c r="AS82" s="157">
        <f>CHOOSE(MATCH(IF($U82="","Основний",$U82),{"Трафіковий","Основний","Маржинальний","Сезонний","Стратегічний"},0),Settings!$H$78,Settings!$H$80,Settings!$H$82,Settings!$H$84,Settings!$H$86)</f>
        <v/>
      </c>
      <c r="AT82" s="157">
        <f>CHOOSE(MATCH(IF($U82="","Основний",$U82),{"Трафіковий","Основний","Маржинальний","Сезонний","Стратегічний"},0),Settings!$I$78,Settings!$I$80,Settings!$I$82,Settings!$I$84,Settings!$I$86)</f>
        <v/>
      </c>
      <c r="AU82" s="171" t="n"/>
      <c r="AV82" t="n">
        <v>1.35</v>
      </c>
    </row>
    <row r="83">
      <c r="A83" s="33" t="inlineStr">
        <is>
          <t>NEW</t>
        </is>
      </c>
      <c r="B83" s="34" t="inlineStr">
        <is>
          <t>P4545</t>
        </is>
      </c>
      <c r="C83" s="34" t="inlineStr">
        <is>
          <t>COB LED RECHAR. WORK LIGHT 1000LM 2600MAH</t>
        </is>
      </c>
      <c r="D83" s="34" t="inlineStr">
        <is>
          <t>Ліхтарі</t>
        </is>
      </c>
      <c r="E83" s="33" t="inlineStr">
        <is>
          <t>PC</t>
        </is>
      </c>
      <c r="F83" s="94" t="n">
        <v>16.781</v>
      </c>
      <c r="G83" s="35" t="n">
        <v>8513100000</v>
      </c>
      <c r="H83" s="31" t="n">
        <v>1.4</v>
      </c>
      <c r="I83" s="84">
        <f>IFERROR(F83*Settings!$B$2*H83*IF(AND(ISNUMBER(E83),E83&gt;1),E83,1),"")</f>
        <v/>
      </c>
      <c r="J83" s="32">
        <f>Settings!$B$66</f>
        <v/>
      </c>
      <c r="K83" s="95">
        <f>IFERROR(IF(T83="","",(T83*(1-AN83)*(1-Settings!$B$17)-I83)/(T83*(1-AN83)*(1-Settings!$B$17))),"")</f>
        <v/>
      </c>
      <c r="L83" s="101">
        <f>IFERROR(IF(T83="","",(T83*(1-AO83)*(1-Settings!$C$17)-I83)/(T83*(1-AO83)*(1-Settings!$C$17))),"")</f>
        <v/>
      </c>
      <c r="M83" s="101">
        <f>IFERROR(IF(T83="","",(T83*(1-AP83)*(1-Settings!$D$17)-I83)/(T83*(1-AP83)*(1-Settings!$D$17))),"")</f>
        <v/>
      </c>
      <c r="N83" s="101">
        <f>IFERROR(IF(T83="","",(T83*(1-AQ83)*(1-Settings!$F$17)-I83)/(T83*(1-AQ83)*(1-Settings!$F$17))),"")</f>
        <v/>
      </c>
      <c r="O83" s="101">
        <f>IFERROR(IF(T83="","",(T83*(1-AR83)*(1-Settings!$G$17)-I83)/(T83*(1-AR83)*(1-Settings!$G$17))),"")</f>
        <v/>
      </c>
      <c r="P83" s="101">
        <f>IFERROR(IF(T83="","",(T83*(1-AS83)*(1-Settings!$H$17)-I83)/(T83*(1-AS83)*(1-Settings!$H$17))),"")</f>
        <v/>
      </c>
      <c r="Q83" s="101">
        <f>IFERROR(IF(T83="","",(T83*(1-AT83)*(1-Settings!$I$68)*(1-Settings!$I$17)-I83)/(T83*(1-AT83)*(1-Settings!$I$68)*(1-Settings!$I$17))),"")</f>
        <v/>
      </c>
      <c r="R83" s="91">
        <f>IFERROR(IF(OR(I83="",Z83&gt;=1,Settings!$B$17&gt;=1,AN83&gt;=1),"",IF(MOD(ROUND(I83/(1-Z83)/(1-Settings!$B$17)/(1-AN83),0),10)=0,ROUND(I83/(1-Z83)/(1-Settings!$B$17)/(1-AN83),0)-1,IF(MOD(ROUND(I83/(1-Z83)/(1-Settings!$B$17)/(1-AN83),0),10)&lt;=5,FLOOR(ROUND(I83/(1-Z83)/(1-Settings!$B$17)/(1-AN83),0),10)+6,FLOOR(ROUND(I83/(1-Z83)/(1-Settings!$B$17)/(1-AN83),0),10)+9))),"")</f>
        <v/>
      </c>
      <c r="S83" s="92" t="n">
        <v>2200</v>
      </c>
      <c r="T83" s="91">
        <f>IF(S83&lt;&gt;"", IF(MOD(S83,10)=0,S83-1,IF(MOD(S83,10)&lt;=5,FLOOR(S83,10)+6,FLOOR(S83,10)+9)), R83)</f>
        <v/>
      </c>
      <c r="U83" s="87" t="inlineStr">
        <is>
          <t>Основний</t>
        </is>
      </c>
      <c r="V83" s="88" t="n"/>
      <c r="W83" s="88" t="n"/>
      <c r="X83" s="89">
        <f>IFERROR(IF(OR(V83="",W83="",T83=""),"", IF(T83&gt;W83,"Дорогий",IF(T83&lt;V83,"Дешевий","У ринку"))),"")</f>
        <v/>
      </c>
      <c r="Y83" s="90" t="n"/>
      <c r="Z83" s="104">
        <f>CHOOSE(MATCH(IF($U83="","Основний",$U83),{"Трафіковий","Основний","Маржинальний","Сезонний","Стратегічний"},0),0.16,0.19,0.24,0.23,0.28)</f>
        <v/>
      </c>
      <c r="AA83" s="104">
        <f>CHOOSE(MATCH(IF($U83="","Основний",$U83),{"Трафіковий","Основний","Маржинальний","Сезонний","Стратегічний"},0),0.18,0.21,0.26,0.25,0.3)</f>
        <v/>
      </c>
      <c r="AB83" s="104">
        <f>CHOOSE(MATCH(IF($U83="","Основний",$U83),{"Трафіковий","Основний","Маржинальний","Сезонний","Стратегічний"},0),0.19,0.22,0.28,0.26,0.32)</f>
        <v/>
      </c>
      <c r="AC83" s="104">
        <f>CHOOSE(MATCH(IF($U83="","Основний",$U83),{"Трафіковий","Основний","Маржинальний","Сезонний","Стратегічний"},0),0.17,0.2,0.25,0.24,0.28)</f>
        <v/>
      </c>
      <c r="AD83" s="104">
        <f>CHOOSE(MATCH(IF($U83="","Основний",$U83),{"Трафіковий","Основний","Маржинальний","Сезонний","Стратегічний"},0),0.18,0.21,0.26,0.25,0.3)</f>
        <v/>
      </c>
      <c r="AE83" s="104">
        <f>CHOOSE(MATCH(IF($U83="","Основний",$U83),{"Трафіковий","Основний","Маржинальний","Сезонний","Стратегічний"},0),0.18,0.2,0.28,0.27,0.32)</f>
        <v/>
      </c>
      <c r="AF83" s="104">
        <f>CHOOSE(MATCH(IF($U83="","Основний",$U83),{"Трафіковий","Основний","Маржинальний","Сезонний","Стратегічний"},0),0.15,0.175,0.22,0.21,0.25)</f>
        <v/>
      </c>
      <c r="AG83" s="104">
        <f>CHOOSE(MATCH(IF($U83="","Основний",$U83),{"Трафіковий","Основний","Маржинальний","Сезонний","Стратегічний"},0),0.13,0.16,0.21,0.2,0.25)</f>
        <v/>
      </c>
      <c r="AH83" s="104">
        <f>CHOOSE(MATCH(IF($U83="","Основний",$U83),{"Трафіковий","Основний","Маржинальний","Сезонний","Стратегічний"},0),0.15,0.18,0.23,0.22,0.27)</f>
        <v/>
      </c>
      <c r="AI83" s="104">
        <f>CHOOSE(MATCH(IF($U83="","Основний",$U83),{"Трафіковий","Основний","Маржинальний","Сезонний","Стратегічний"},0),0.16,0.19,0.25,0.23,0.29)</f>
        <v/>
      </c>
      <c r="AJ83" s="104">
        <f>CHOOSE(MATCH(IF($U83="","Основний",$U83),{"Трафіковий","Основний","Маржинальний","Сезонний","Стратегічний"},0),0.14,0.17,0.22,0.21,0.25)</f>
        <v/>
      </c>
      <c r="AK83" s="104">
        <f>CHOOSE(MATCH(IF($U83="","Основний",$U83),{"Трафіковий","Основний","Маржинальний","Сезонний","Стратегічний"},0),0.15,0.18,0.23,0.22,0.27)</f>
        <v/>
      </c>
      <c r="AL83" s="104">
        <f>CHOOSE(MATCH(IF($U83="","Основний",$U83),{"Трафіковий","Основний","Маржинальний","Сезонний","Стратегічний"},0),0.15,0.17,0.25,0.24,0.29)</f>
        <v/>
      </c>
      <c r="AM83" s="104">
        <f>CHOOSE(MATCH(IF($U83="","Основний",$U83),{"Трафіковий","Основний","Маржинальний","Сезонний","Стратегічний"},0),0.12,0.145,0.19,0.18,0.22)</f>
        <v/>
      </c>
      <c r="AN83" s="157">
        <f>CHOOSE(MATCH(IF($U83="","Основний",$U83),{"Трафіковий","Основний","Маржинальний","Сезонний","Стратегічний"},0),Settings!$B$78,Settings!$B$80,Settings!$B$82,Settings!$B$84,Settings!$B$86)</f>
        <v/>
      </c>
      <c r="AO83" s="157">
        <f>CHOOSE(MATCH(IF($U83="","Основний",$U83),{"Трафіковий","Основний","Маржинальний","Сезонний","Стратегічний"},0),Settings!$C$78,Settings!$C$80,Settings!$C$82,Settings!$C$84,Settings!$C$86)</f>
        <v/>
      </c>
      <c r="AP83" s="157">
        <f>CHOOSE(MATCH(IF($U83="","Основний",$U83),{"Трафіковий","Основний","Маржинальний","Сезонний","Стратегічний"},0),Settings!$D$78,Settings!$D$80,Settings!$D$82,Settings!$D$84,Settings!$D$86)</f>
        <v/>
      </c>
      <c r="AQ83" s="157">
        <f>CHOOSE(MATCH(IF($U83="","Основний",$U83),{"Трафіковий","Основний","Маржинальний","Сезонний","Стратегічний"},0),Settings!$F$78,Settings!$F$80,Settings!$F$82,Settings!$F$84,Settings!$F$86)</f>
        <v/>
      </c>
      <c r="AR83" s="157">
        <f>CHOOSE(MATCH(IF($U83="","Основний",$U83),{"Трафіковий","Основний","Маржинальний","Сезонний","Стратегічний"},0),Settings!$G$78,Settings!$G$80,Settings!$G$82,Settings!$G$84,Settings!$G$86)</f>
        <v/>
      </c>
      <c r="AS83" s="157">
        <f>CHOOSE(MATCH(IF($U83="","Основний",$U83),{"Трафіковий","Основний","Маржинальний","Сезонний","Стратегічний"},0),Settings!$H$78,Settings!$H$80,Settings!$H$82,Settings!$H$84,Settings!$H$86)</f>
        <v/>
      </c>
      <c r="AT83" s="157">
        <f>CHOOSE(MATCH(IF($U83="","Основний",$U83),{"Трафіковий","Основний","Маржинальний","Сезонний","Стратегічний"},0),Settings!$I$78,Settings!$I$80,Settings!$I$82,Settings!$I$84,Settings!$I$86)</f>
        <v/>
      </c>
      <c r="AU83" s="171" t="n"/>
      <c r="AV83" t="n">
        <v>1.35</v>
      </c>
    </row>
    <row r="84">
      <c r="A84" s="28" t="inlineStr">
        <is>
          <t>NEW</t>
        </is>
      </c>
      <c r="B84" s="29" t="inlineStr">
        <is>
          <t>P4542</t>
        </is>
      </c>
      <c r="C84" s="29" t="inlineStr">
        <is>
          <t>COB LED RECHARGEABLE WORK REFLECTOR 900LM CW WW</t>
        </is>
      </c>
      <c r="D84" s="29" t="inlineStr">
        <is>
          <t>Ліхтарі</t>
        </is>
      </c>
      <c r="E84" s="28" t="inlineStr">
        <is>
          <t>PC</t>
        </is>
      </c>
      <c r="F84" s="93" t="n">
        <v>14.191</v>
      </c>
      <c r="G84" s="30" t="n">
        <v>9405423100</v>
      </c>
      <c r="H84" s="31" t="n">
        <v>1.4</v>
      </c>
      <c r="I84" s="84">
        <f>IFERROR(F84*Settings!$B$2*H84*IF(AND(ISNUMBER(E84),E84&gt;1),E84,1),"")</f>
        <v/>
      </c>
      <c r="J84" s="32">
        <f>Settings!$B$66</f>
        <v/>
      </c>
      <c r="K84" s="95">
        <f>IFERROR(IF(T84="","",(T84*(1-AN84)*(1-Settings!$B$17)-I84)/(T84*(1-AN84)*(1-Settings!$B$17))),"")</f>
        <v/>
      </c>
      <c r="L84" s="101">
        <f>IFERROR(IF(T84="","",(T84*(1-AO84)*(1-Settings!$C$17)-I84)/(T84*(1-AO84)*(1-Settings!$C$17))),"")</f>
        <v/>
      </c>
      <c r="M84" s="101">
        <f>IFERROR(IF(T84="","",(T84*(1-AP84)*(1-Settings!$D$17)-I84)/(T84*(1-AP84)*(1-Settings!$D$17))),"")</f>
        <v/>
      </c>
      <c r="N84" s="101">
        <f>IFERROR(IF(T84="","",(T84*(1-AQ84)*(1-Settings!$F$17)-I84)/(T84*(1-AQ84)*(1-Settings!$F$17))),"")</f>
        <v/>
      </c>
      <c r="O84" s="101">
        <f>IFERROR(IF(T84="","",(T84*(1-AR84)*(1-Settings!$G$17)-I84)/(T84*(1-AR84)*(1-Settings!$G$17))),"")</f>
        <v/>
      </c>
      <c r="P84" s="101">
        <f>IFERROR(IF(T84="","",(T84*(1-AS84)*(1-Settings!$H$17)-I84)/(T84*(1-AS84)*(1-Settings!$H$17))),"")</f>
        <v/>
      </c>
      <c r="Q84" s="101">
        <f>IFERROR(IF(T84="","",(T84*(1-AT84)*(1-Settings!$I$68)*(1-Settings!$I$17)-I84)/(T84*(1-AT84)*(1-Settings!$I$68)*(1-Settings!$I$17))),"")</f>
        <v/>
      </c>
      <c r="R84" s="91">
        <f>IFERROR(IF(OR(I84="",Z84&gt;=1,Settings!$B$17&gt;=1,AN84&gt;=1),"",IF(MOD(ROUND(I84/(1-Z84)/(1-Settings!$B$17)/(1-AN84),0),10)=0,ROUND(I84/(1-Z84)/(1-Settings!$B$17)/(1-AN84),0)-1,IF(MOD(ROUND(I84/(1-Z84)/(1-Settings!$B$17)/(1-AN84),0),10)&lt;=5,FLOOR(ROUND(I84/(1-Z84)/(1-Settings!$B$17)/(1-AN84),0),10)+6,FLOOR(ROUND(I84/(1-Z84)/(1-Settings!$B$17)/(1-AN84),0),10)+9))),"")</f>
        <v/>
      </c>
      <c r="S84" s="92" t="n">
        <v>1900</v>
      </c>
      <c r="T84" s="91">
        <f>IF(S84&lt;&gt;"", IF(MOD(S84,10)=0,S84-1,IF(MOD(S84,10)&lt;=5,FLOOR(S84,10)+6,FLOOR(S84,10)+9)), R84)</f>
        <v/>
      </c>
      <c r="U84" s="87" t="inlineStr">
        <is>
          <t>Основний</t>
        </is>
      </c>
      <c r="V84" s="88" t="n"/>
      <c r="W84" s="88" t="n"/>
      <c r="X84" s="89">
        <f>IFERROR(IF(OR(V84="",W84="",T84=""),"", IF(T84&gt;W84,"Дорогий",IF(T84&lt;V84,"Дешевий","У ринку"))),"")</f>
        <v/>
      </c>
      <c r="Y84" s="90" t="n"/>
      <c r="Z84" s="104">
        <f>CHOOSE(MATCH(IF($U84="","Основний",$U84),{"Трафіковий","Основний","Маржинальний","Сезонний","Стратегічний"},0),0.16,0.19,0.24,0.23,0.28)</f>
        <v/>
      </c>
      <c r="AA84" s="104">
        <f>CHOOSE(MATCH(IF($U84="","Основний",$U84),{"Трафіковий","Основний","Маржинальний","Сезонний","Стратегічний"},0),0.18,0.21,0.26,0.25,0.3)</f>
        <v/>
      </c>
      <c r="AB84" s="104">
        <f>CHOOSE(MATCH(IF($U84="","Основний",$U84),{"Трафіковий","Основний","Маржинальний","Сезонний","Стратегічний"},0),0.19,0.22,0.28,0.26,0.32)</f>
        <v/>
      </c>
      <c r="AC84" s="104">
        <f>CHOOSE(MATCH(IF($U84="","Основний",$U84),{"Трафіковий","Основний","Маржинальний","Сезонний","Стратегічний"},0),0.17,0.2,0.25,0.24,0.28)</f>
        <v/>
      </c>
      <c r="AD84" s="104">
        <f>CHOOSE(MATCH(IF($U84="","Основний",$U84),{"Трафіковий","Основний","Маржинальний","Сезонний","Стратегічний"},0),0.18,0.21,0.26,0.25,0.3)</f>
        <v/>
      </c>
      <c r="AE84" s="104">
        <f>CHOOSE(MATCH(IF($U84="","Основний",$U84),{"Трафіковий","Основний","Маржинальний","Сезонний","Стратегічний"},0),0.18,0.2,0.28,0.27,0.32)</f>
        <v/>
      </c>
      <c r="AF84" s="104">
        <f>CHOOSE(MATCH(IF($U84="","Основний",$U84),{"Трафіковий","Основний","Маржинальний","Сезонний","Стратегічний"},0),0.15,0.175,0.22,0.21,0.25)</f>
        <v/>
      </c>
      <c r="AG84" s="104">
        <f>CHOOSE(MATCH(IF($U84="","Основний",$U84),{"Трафіковий","Основний","Маржинальний","Сезонний","Стратегічний"},0),0.13,0.16,0.21,0.2,0.25)</f>
        <v/>
      </c>
      <c r="AH84" s="104">
        <f>CHOOSE(MATCH(IF($U84="","Основний",$U84),{"Трафіковий","Основний","Маржинальний","Сезонний","Стратегічний"},0),0.15,0.18,0.23,0.22,0.27)</f>
        <v/>
      </c>
      <c r="AI84" s="104">
        <f>CHOOSE(MATCH(IF($U84="","Основний",$U84),{"Трафіковий","Основний","Маржинальний","Сезонний","Стратегічний"},0),0.16,0.19,0.25,0.23,0.29)</f>
        <v/>
      </c>
      <c r="AJ84" s="104">
        <f>CHOOSE(MATCH(IF($U84="","Основний",$U84),{"Трафіковий","Основний","Маржинальний","Сезонний","Стратегічний"},0),0.14,0.17,0.22,0.21,0.25)</f>
        <v/>
      </c>
      <c r="AK84" s="104">
        <f>CHOOSE(MATCH(IF($U84="","Основний",$U84),{"Трафіковий","Основний","Маржинальний","Сезонний","Стратегічний"},0),0.15,0.18,0.23,0.22,0.27)</f>
        <v/>
      </c>
      <c r="AL84" s="104">
        <f>CHOOSE(MATCH(IF($U84="","Основний",$U84),{"Трафіковий","Основний","Маржинальний","Сезонний","Стратегічний"},0),0.15,0.17,0.25,0.24,0.29)</f>
        <v/>
      </c>
      <c r="AM84" s="104">
        <f>CHOOSE(MATCH(IF($U84="","Основний",$U84),{"Трафіковий","Основний","Маржинальний","Сезонний","Стратегічний"},0),0.12,0.145,0.19,0.18,0.22)</f>
        <v/>
      </c>
      <c r="AN84" s="157">
        <f>CHOOSE(MATCH(IF($U84="","Основний",$U84),{"Трафіковий","Основний","Маржинальний","Сезонний","Стратегічний"},0),Settings!$B$78,Settings!$B$80,Settings!$B$82,Settings!$B$84,Settings!$B$86)</f>
        <v/>
      </c>
      <c r="AO84" s="157">
        <f>CHOOSE(MATCH(IF($U84="","Основний",$U84),{"Трафіковий","Основний","Маржинальний","Сезонний","Стратегічний"},0),Settings!$C$78,Settings!$C$80,Settings!$C$82,Settings!$C$84,Settings!$C$86)</f>
        <v/>
      </c>
      <c r="AP84" s="157">
        <f>CHOOSE(MATCH(IF($U84="","Основний",$U84),{"Трафіковий","Основний","Маржинальний","Сезонний","Стратегічний"},0),Settings!$D$78,Settings!$D$80,Settings!$D$82,Settings!$D$84,Settings!$D$86)</f>
        <v/>
      </c>
      <c r="AQ84" s="157">
        <f>CHOOSE(MATCH(IF($U84="","Основний",$U84),{"Трафіковий","Основний","Маржинальний","Сезонний","Стратегічний"},0),Settings!$F$78,Settings!$F$80,Settings!$F$82,Settings!$F$84,Settings!$F$86)</f>
        <v/>
      </c>
      <c r="AR84" s="157">
        <f>CHOOSE(MATCH(IF($U84="","Основний",$U84),{"Трафіковий","Основний","Маржинальний","Сезонний","Стратегічний"},0),Settings!$G$78,Settings!$G$80,Settings!$G$82,Settings!$G$84,Settings!$G$86)</f>
        <v/>
      </c>
      <c r="AS84" s="157">
        <f>CHOOSE(MATCH(IF($U84="","Основний",$U84),{"Трафіковий","Основний","Маржинальний","Сезонний","Стратегічний"},0),Settings!$H$78,Settings!$H$80,Settings!$H$82,Settings!$H$84,Settings!$H$86)</f>
        <v/>
      </c>
      <c r="AT84" s="157">
        <f>CHOOSE(MATCH(IF($U84="","Основний",$U84),{"Трафіковий","Основний","Маржинальний","Сезонний","Стратегічний"},0),Settings!$I$78,Settings!$I$80,Settings!$I$82,Settings!$I$84,Settings!$I$86)</f>
        <v/>
      </c>
      <c r="AU84" s="171" t="n"/>
      <c r="AV84" t="n">
        <v>1.35</v>
      </c>
    </row>
    <row r="85">
      <c r="A85" s="33" t="inlineStr">
        <is>
          <t>NEW</t>
        </is>
      </c>
      <c r="B85" s="34" t="inlineStr">
        <is>
          <t>P4543</t>
        </is>
      </c>
      <c r="C85" s="34" t="inlineStr">
        <is>
          <t>COB LED RECHARGEABLE WORK REFLECTOR 1200LM</t>
        </is>
      </c>
      <c r="D85" s="34" t="inlineStr">
        <is>
          <t>Ліхтарі</t>
        </is>
      </c>
      <c r="E85" s="33" t="inlineStr">
        <is>
          <t>PC</t>
        </is>
      </c>
      <c r="F85" s="94" t="n">
        <v>7.603</v>
      </c>
      <c r="G85" s="35" t="n">
        <v>9405423100</v>
      </c>
      <c r="H85" s="31" t="n">
        <v>1.4</v>
      </c>
      <c r="I85" s="84">
        <f>IFERROR(F85*Settings!$B$2*H85*IF(AND(ISNUMBER(E85),E85&gt;1),E85,1),"")</f>
        <v/>
      </c>
      <c r="J85" s="32">
        <f>Settings!$B$66</f>
        <v/>
      </c>
      <c r="K85" s="95">
        <f>IFERROR(IF(T85="","",(T85*(1-AN85)*(1-Settings!$B$17)-I85)/(T85*(1-AN85)*(1-Settings!$B$17))),"")</f>
        <v/>
      </c>
      <c r="L85" s="101">
        <f>IFERROR(IF(T85="","",(T85*(1-AO85)*(1-Settings!$C$17)-I85)/(T85*(1-AO85)*(1-Settings!$C$17))),"")</f>
        <v/>
      </c>
      <c r="M85" s="101">
        <f>IFERROR(IF(T85="","",(T85*(1-AP85)*(1-Settings!$D$17)-I85)/(T85*(1-AP85)*(1-Settings!$D$17))),"")</f>
        <v/>
      </c>
      <c r="N85" s="101">
        <f>IFERROR(IF(T85="","",(T85*(1-AQ85)*(1-Settings!$F$17)-I85)/(T85*(1-AQ85)*(1-Settings!$F$17))),"")</f>
        <v/>
      </c>
      <c r="O85" s="101">
        <f>IFERROR(IF(T85="","",(T85*(1-AR85)*(1-Settings!$G$17)-I85)/(T85*(1-AR85)*(1-Settings!$G$17))),"")</f>
        <v/>
      </c>
      <c r="P85" s="101">
        <f>IFERROR(IF(T85="","",(T85*(1-AS85)*(1-Settings!$H$17)-I85)/(T85*(1-AS85)*(1-Settings!$H$17))),"")</f>
        <v/>
      </c>
      <c r="Q85" s="101">
        <f>IFERROR(IF(T85="","",(T85*(1-AT85)*(1-Settings!$I$68)*(1-Settings!$I$17)-I85)/(T85*(1-AT85)*(1-Settings!$I$68)*(1-Settings!$I$17))),"")</f>
        <v/>
      </c>
      <c r="R85" s="91">
        <f>IFERROR(IF(OR(I85="",Z85&gt;=1,Settings!$B$17&gt;=1,AN85&gt;=1),"",IF(MOD(ROUND(I85/(1-Z85)/(1-Settings!$B$17)/(1-AN85),0),10)=0,ROUND(I85/(1-Z85)/(1-Settings!$B$17)/(1-AN85),0)-1,IF(MOD(ROUND(I85/(1-Z85)/(1-Settings!$B$17)/(1-AN85),0),10)&lt;=5,FLOOR(ROUND(I85/(1-Z85)/(1-Settings!$B$17)/(1-AN85),0),10)+6,FLOOR(ROUND(I85/(1-Z85)/(1-Settings!$B$17)/(1-AN85),0),10)+9))),"")</f>
        <v/>
      </c>
      <c r="S85" s="92" t="n">
        <v>1000</v>
      </c>
      <c r="T85" s="91">
        <f>IF(S85&lt;&gt;"", IF(MOD(S85,10)=0,S85-1,IF(MOD(S85,10)&lt;=5,FLOOR(S85,10)+6,FLOOR(S85,10)+9)), R85)</f>
        <v/>
      </c>
      <c r="U85" s="87" t="inlineStr">
        <is>
          <t>Основний</t>
        </is>
      </c>
      <c r="V85" s="88" t="n"/>
      <c r="W85" s="88" t="n"/>
      <c r="X85" s="89">
        <f>IFERROR(IF(OR(V85="",W85="",T85=""),"", IF(T85&gt;W85,"Дорогий",IF(T85&lt;V85,"Дешевий","У ринку"))),"")</f>
        <v/>
      </c>
      <c r="Y85" s="90" t="n"/>
      <c r="Z85" s="104">
        <f>CHOOSE(MATCH(IF($U85="","Основний",$U85),{"Трафіковий","Основний","Маржинальний","Сезонний","Стратегічний"},0),0.16,0.19,0.24,0.23,0.28)</f>
        <v/>
      </c>
      <c r="AA85" s="104">
        <f>CHOOSE(MATCH(IF($U85="","Основний",$U85),{"Трафіковий","Основний","Маржинальний","Сезонний","Стратегічний"},0),0.18,0.21,0.26,0.25,0.3)</f>
        <v/>
      </c>
      <c r="AB85" s="104">
        <f>CHOOSE(MATCH(IF($U85="","Основний",$U85),{"Трафіковий","Основний","Маржинальний","Сезонний","Стратегічний"},0),0.19,0.22,0.28,0.26,0.32)</f>
        <v/>
      </c>
      <c r="AC85" s="104">
        <f>CHOOSE(MATCH(IF($U85="","Основний",$U85),{"Трафіковий","Основний","Маржинальний","Сезонний","Стратегічний"},0),0.17,0.2,0.25,0.24,0.28)</f>
        <v/>
      </c>
      <c r="AD85" s="104">
        <f>CHOOSE(MATCH(IF($U85="","Основний",$U85),{"Трафіковий","Основний","Маржинальний","Сезонний","Стратегічний"},0),0.18,0.21,0.26,0.25,0.3)</f>
        <v/>
      </c>
      <c r="AE85" s="104">
        <f>CHOOSE(MATCH(IF($U85="","Основний",$U85),{"Трафіковий","Основний","Маржинальний","Сезонний","Стратегічний"},0),0.18,0.2,0.28,0.27,0.32)</f>
        <v/>
      </c>
      <c r="AF85" s="104">
        <f>CHOOSE(MATCH(IF($U85="","Основний",$U85),{"Трафіковий","Основний","Маржинальний","Сезонний","Стратегічний"},0),0.15,0.175,0.22,0.21,0.25)</f>
        <v/>
      </c>
      <c r="AG85" s="104">
        <f>CHOOSE(MATCH(IF($U85="","Основний",$U85),{"Трафіковий","Основний","Маржинальний","Сезонний","Стратегічний"},0),0.13,0.16,0.21,0.2,0.25)</f>
        <v/>
      </c>
      <c r="AH85" s="104">
        <f>CHOOSE(MATCH(IF($U85="","Основний",$U85),{"Трафіковий","Основний","Маржинальний","Сезонний","Стратегічний"},0),0.15,0.18,0.23,0.22,0.27)</f>
        <v/>
      </c>
      <c r="AI85" s="104">
        <f>CHOOSE(MATCH(IF($U85="","Основний",$U85),{"Трафіковий","Основний","Маржинальний","Сезонний","Стратегічний"},0),0.16,0.19,0.25,0.23,0.29)</f>
        <v/>
      </c>
      <c r="AJ85" s="104">
        <f>CHOOSE(MATCH(IF($U85="","Основний",$U85),{"Трафіковий","Основний","Маржинальний","Сезонний","Стратегічний"},0),0.14,0.17,0.22,0.21,0.25)</f>
        <v/>
      </c>
      <c r="AK85" s="104">
        <f>CHOOSE(MATCH(IF($U85="","Основний",$U85),{"Трафіковий","Основний","Маржинальний","Сезонний","Стратегічний"},0),0.15,0.18,0.23,0.22,0.27)</f>
        <v/>
      </c>
      <c r="AL85" s="104">
        <f>CHOOSE(MATCH(IF($U85="","Основний",$U85),{"Трафіковий","Основний","Маржинальний","Сезонний","Стратегічний"},0),0.15,0.17,0.25,0.24,0.29)</f>
        <v/>
      </c>
      <c r="AM85" s="104">
        <f>CHOOSE(MATCH(IF($U85="","Основний",$U85),{"Трафіковий","Основний","Маржинальний","Сезонний","Стратегічний"},0),0.12,0.145,0.19,0.18,0.22)</f>
        <v/>
      </c>
      <c r="AN85" s="157">
        <f>CHOOSE(MATCH(IF($U85="","Основний",$U85),{"Трафіковий","Основний","Маржинальний","Сезонний","Стратегічний"},0),Settings!$B$78,Settings!$B$80,Settings!$B$82,Settings!$B$84,Settings!$B$86)</f>
        <v/>
      </c>
      <c r="AO85" s="157">
        <f>CHOOSE(MATCH(IF($U85="","Основний",$U85),{"Трафіковий","Основний","Маржинальний","Сезонний","Стратегічний"},0),Settings!$C$78,Settings!$C$80,Settings!$C$82,Settings!$C$84,Settings!$C$86)</f>
        <v/>
      </c>
      <c r="AP85" s="157">
        <f>CHOOSE(MATCH(IF($U85="","Основний",$U85),{"Трафіковий","Основний","Маржинальний","Сезонний","Стратегічний"},0),Settings!$D$78,Settings!$D$80,Settings!$D$82,Settings!$D$84,Settings!$D$86)</f>
        <v/>
      </c>
      <c r="AQ85" s="157">
        <f>CHOOSE(MATCH(IF($U85="","Основний",$U85),{"Трафіковий","Основний","Маржинальний","Сезонний","Стратегічний"},0),Settings!$F$78,Settings!$F$80,Settings!$F$82,Settings!$F$84,Settings!$F$86)</f>
        <v/>
      </c>
      <c r="AR85" s="157">
        <f>CHOOSE(MATCH(IF($U85="","Основний",$U85),{"Трафіковий","Основний","Маржинальний","Сезонний","Стратегічний"},0),Settings!$G$78,Settings!$G$80,Settings!$G$82,Settings!$G$84,Settings!$G$86)</f>
        <v/>
      </c>
      <c r="AS85" s="157">
        <f>CHOOSE(MATCH(IF($U85="","Основний",$U85),{"Трафіковий","Основний","Маржинальний","Сезонний","Стратегічний"},0),Settings!$H$78,Settings!$H$80,Settings!$H$82,Settings!$H$84,Settings!$H$86)</f>
        <v/>
      </c>
      <c r="AT85" s="157">
        <f>CHOOSE(MATCH(IF($U85="","Основний",$U85),{"Трафіковий","Основний","Маржинальний","Сезонний","Стратегічний"},0),Settings!$I$78,Settings!$I$80,Settings!$I$82,Settings!$I$84,Settings!$I$86)</f>
        <v/>
      </c>
      <c r="AU85" s="171" t="n"/>
      <c r="AV85" t="n">
        <v>1.35</v>
      </c>
    </row>
    <row r="86">
      <c r="A86" s="28" t="n"/>
      <c r="B86" s="29" t="inlineStr">
        <is>
          <t>P4533</t>
        </is>
      </c>
      <c r="C86" s="29" t="inlineStr">
        <is>
          <t>LED RECHARGEABLE WORK REFLECTOR 10W COB</t>
        </is>
      </c>
      <c r="D86" s="29" t="inlineStr">
        <is>
          <t>Ліхтарі</t>
        </is>
      </c>
      <c r="E86" s="28" t="inlineStr">
        <is>
          <t>PC</t>
        </is>
      </c>
      <c r="F86" s="93" t="n">
        <v>17.885</v>
      </c>
      <c r="G86" s="30" t="n">
        <v>9405423100</v>
      </c>
      <c r="H86" s="31" t="n">
        <v>1.4</v>
      </c>
      <c r="I86" s="84">
        <f>IFERROR(F86*Settings!$B$2*H86*IF(AND(ISNUMBER(E86),E86&gt;1),E86,1),"")</f>
        <v/>
      </c>
      <c r="J86" s="32">
        <f>Settings!$B$66</f>
        <v/>
      </c>
      <c r="K86" s="95">
        <f>IFERROR(IF(T86="","",(T86*(1-AN86)*(1-Settings!$B$17)-I86)/(T86*(1-AN86)*(1-Settings!$B$17))),"")</f>
        <v/>
      </c>
      <c r="L86" s="101">
        <f>IFERROR(IF(T86="","",(T86*(1-AO86)*(1-Settings!$C$17)-I86)/(T86*(1-AO86)*(1-Settings!$C$17))),"")</f>
        <v/>
      </c>
      <c r="M86" s="101">
        <f>IFERROR(IF(T86="","",(T86*(1-AP86)*(1-Settings!$D$17)-I86)/(T86*(1-AP86)*(1-Settings!$D$17))),"")</f>
        <v/>
      </c>
      <c r="N86" s="101">
        <f>IFERROR(IF(T86="","",(T86*(1-AQ86)*(1-Settings!$F$17)-I86)/(T86*(1-AQ86)*(1-Settings!$F$17))),"")</f>
        <v/>
      </c>
      <c r="O86" s="101">
        <f>IFERROR(IF(T86="","",(T86*(1-AR86)*(1-Settings!$G$17)-I86)/(T86*(1-AR86)*(1-Settings!$G$17))),"")</f>
        <v/>
      </c>
      <c r="P86" s="101">
        <f>IFERROR(IF(T86="","",(T86*(1-AS86)*(1-Settings!$H$17)-I86)/(T86*(1-AS86)*(1-Settings!$H$17))),"")</f>
        <v/>
      </c>
      <c r="Q86" s="101">
        <f>IFERROR(IF(T86="","",(T86*(1-AT86)*(1-Settings!$I$68)*(1-Settings!$I$17)-I86)/(T86*(1-AT86)*(1-Settings!$I$68)*(1-Settings!$I$17))),"")</f>
        <v/>
      </c>
      <c r="R86" s="91">
        <f>IFERROR(IF(OR(I86="",Z86&gt;=1,Settings!$B$17&gt;=1,AN86&gt;=1),"",IF(MOD(ROUND(I86/(1-Z86)/(1-Settings!$B$17)/(1-AN86),0),10)=0,ROUND(I86/(1-Z86)/(1-Settings!$B$17)/(1-AN86),0)-1,IF(MOD(ROUND(I86/(1-Z86)/(1-Settings!$B$17)/(1-AN86),0),10)&lt;=5,FLOOR(ROUND(I86/(1-Z86)/(1-Settings!$B$17)/(1-AN86),0),10)+6,FLOOR(ROUND(I86/(1-Z86)/(1-Settings!$B$17)/(1-AN86),0),10)+9))),"")</f>
        <v/>
      </c>
      <c r="S86" s="92" t="n">
        <v>2400</v>
      </c>
      <c r="T86" s="91">
        <f>IF(S86&lt;&gt;"", IF(MOD(S86,10)=0,S86-1,IF(MOD(S86,10)&lt;=5,FLOOR(S86,10)+6,FLOOR(S86,10)+9)), R86)</f>
        <v/>
      </c>
      <c r="U86" s="87" t="inlineStr">
        <is>
          <t>Основний</t>
        </is>
      </c>
      <c r="V86" s="88" t="n"/>
      <c r="W86" s="88" t="n"/>
      <c r="X86" s="89">
        <f>IFERROR(IF(OR(V86="",W86="",T86=""),"", IF(T86&gt;W86,"Дорогий",IF(T86&lt;V86,"Дешевий","У ринку"))),"")</f>
        <v/>
      </c>
      <c r="Y86" s="90" t="n"/>
      <c r="Z86" s="104">
        <f>CHOOSE(MATCH(IF($U86="","Основний",$U86),{"Трафіковий","Основний","Маржинальний","Сезонний","Стратегічний"},0),0.16,0.19,0.24,0.23,0.28)</f>
        <v/>
      </c>
      <c r="AA86" s="104">
        <f>CHOOSE(MATCH(IF($U86="","Основний",$U86),{"Трафіковий","Основний","Маржинальний","Сезонний","Стратегічний"},0),0.18,0.21,0.26,0.25,0.3)</f>
        <v/>
      </c>
      <c r="AB86" s="104">
        <f>CHOOSE(MATCH(IF($U86="","Основний",$U86),{"Трафіковий","Основний","Маржинальний","Сезонний","Стратегічний"},0),0.19,0.22,0.28,0.26,0.32)</f>
        <v/>
      </c>
      <c r="AC86" s="104">
        <f>CHOOSE(MATCH(IF($U86="","Основний",$U86),{"Трафіковий","Основний","Маржинальний","Сезонний","Стратегічний"},0),0.17,0.2,0.25,0.24,0.28)</f>
        <v/>
      </c>
      <c r="AD86" s="104">
        <f>CHOOSE(MATCH(IF($U86="","Основний",$U86),{"Трафіковий","Основний","Маржинальний","Сезонний","Стратегічний"},0),0.18,0.21,0.26,0.25,0.3)</f>
        <v/>
      </c>
      <c r="AE86" s="104">
        <f>CHOOSE(MATCH(IF($U86="","Основний",$U86),{"Трафіковий","Основний","Маржинальний","Сезонний","Стратегічний"},0),0.18,0.2,0.28,0.27,0.32)</f>
        <v/>
      </c>
      <c r="AF86" s="104">
        <f>CHOOSE(MATCH(IF($U86="","Основний",$U86),{"Трафіковий","Основний","Маржинальний","Сезонний","Стратегічний"},0),0.15,0.175,0.22,0.21,0.25)</f>
        <v/>
      </c>
      <c r="AG86" s="104">
        <f>CHOOSE(MATCH(IF($U86="","Основний",$U86),{"Трафіковий","Основний","Маржинальний","Сезонний","Стратегічний"},0),0.13,0.16,0.21,0.2,0.25)</f>
        <v/>
      </c>
      <c r="AH86" s="104">
        <f>CHOOSE(MATCH(IF($U86="","Основний",$U86),{"Трафіковий","Основний","Маржинальний","Сезонний","Стратегічний"},0),0.15,0.18,0.23,0.22,0.27)</f>
        <v/>
      </c>
      <c r="AI86" s="104">
        <f>CHOOSE(MATCH(IF($U86="","Основний",$U86),{"Трафіковий","Основний","Маржинальний","Сезонний","Стратегічний"},0),0.16,0.19,0.25,0.23,0.29)</f>
        <v/>
      </c>
      <c r="AJ86" s="104">
        <f>CHOOSE(MATCH(IF($U86="","Основний",$U86),{"Трафіковий","Основний","Маржинальний","Сезонний","Стратегічний"},0),0.14,0.17,0.22,0.21,0.25)</f>
        <v/>
      </c>
      <c r="AK86" s="104">
        <f>CHOOSE(MATCH(IF($U86="","Основний",$U86),{"Трафіковий","Основний","Маржинальний","Сезонний","Стратегічний"},0),0.15,0.18,0.23,0.22,0.27)</f>
        <v/>
      </c>
      <c r="AL86" s="104">
        <f>CHOOSE(MATCH(IF($U86="","Основний",$U86),{"Трафіковий","Основний","Маржинальний","Сезонний","Стратегічний"},0),0.15,0.17,0.25,0.24,0.29)</f>
        <v/>
      </c>
      <c r="AM86" s="104">
        <f>CHOOSE(MATCH(IF($U86="","Основний",$U86),{"Трафіковий","Основний","Маржинальний","Сезонний","Стратегічний"},0),0.12,0.145,0.19,0.18,0.22)</f>
        <v/>
      </c>
      <c r="AN86" s="157">
        <f>CHOOSE(MATCH(IF($U86="","Основний",$U86),{"Трафіковий","Основний","Маржинальний","Сезонний","Стратегічний"},0),Settings!$B$78,Settings!$B$80,Settings!$B$82,Settings!$B$84,Settings!$B$86)</f>
        <v/>
      </c>
      <c r="AO86" s="157">
        <f>CHOOSE(MATCH(IF($U86="","Основний",$U86),{"Трафіковий","Основний","Маржинальний","Сезонний","Стратегічний"},0),Settings!$C$78,Settings!$C$80,Settings!$C$82,Settings!$C$84,Settings!$C$86)</f>
        <v/>
      </c>
      <c r="AP86" s="157">
        <f>CHOOSE(MATCH(IF($U86="","Основний",$U86),{"Трафіковий","Основний","Маржинальний","Сезонний","Стратегічний"},0),Settings!$D$78,Settings!$D$80,Settings!$D$82,Settings!$D$84,Settings!$D$86)</f>
        <v/>
      </c>
      <c r="AQ86" s="157">
        <f>CHOOSE(MATCH(IF($U86="","Основний",$U86),{"Трафіковий","Основний","Маржинальний","Сезонний","Стратегічний"},0),Settings!$F$78,Settings!$F$80,Settings!$F$82,Settings!$F$84,Settings!$F$86)</f>
        <v/>
      </c>
      <c r="AR86" s="157">
        <f>CHOOSE(MATCH(IF($U86="","Основний",$U86),{"Трафіковий","Основний","Маржинальний","Сезонний","Стратегічний"},0),Settings!$G$78,Settings!$G$80,Settings!$G$82,Settings!$G$84,Settings!$G$86)</f>
        <v/>
      </c>
      <c r="AS86" s="157">
        <f>CHOOSE(MATCH(IF($U86="","Основний",$U86),{"Трафіковий","Основний","Маржинальний","Сезонний","Стратегічний"},0),Settings!$H$78,Settings!$H$80,Settings!$H$82,Settings!$H$84,Settings!$H$86)</f>
        <v/>
      </c>
      <c r="AT86" s="157">
        <f>CHOOSE(MATCH(IF($U86="","Основний",$U86),{"Трафіковий","Основний","Маржинальний","Сезонний","Стратегічний"},0),Settings!$I$78,Settings!$I$80,Settings!$I$82,Settings!$I$84,Settings!$I$86)</f>
        <v/>
      </c>
      <c r="AU86" s="171" t="n"/>
      <c r="AV86" t="n">
        <v>1.35</v>
      </c>
    </row>
    <row r="87">
      <c r="A87" s="33" t="inlineStr">
        <is>
          <t>SELL OUT</t>
        </is>
      </c>
      <c r="B87" s="34" t="inlineStr">
        <is>
          <t>P4534</t>
        </is>
      </c>
      <c r="C87" s="34" t="inlineStr">
        <is>
          <t>LED RECHARGEABLE WORK LIGHT 5W COB</t>
        </is>
      </c>
      <c r="D87" s="34" t="inlineStr">
        <is>
          <t>Ліхтарі</t>
        </is>
      </c>
      <c r="E87" s="33" t="inlineStr">
        <is>
          <t>PC</t>
        </is>
      </c>
      <c r="F87" s="94" t="n">
        <v>12.728</v>
      </c>
      <c r="G87" s="35" t="n">
        <v>9405423100</v>
      </c>
      <c r="H87" s="31" t="n">
        <v>1.4</v>
      </c>
      <c r="I87" s="84">
        <f>IFERROR(F87*Settings!$B$2*H87*IF(AND(ISNUMBER(E87),E87&gt;1),E87,1),"")</f>
        <v/>
      </c>
      <c r="J87" s="32">
        <f>Settings!$B$66</f>
        <v/>
      </c>
      <c r="K87" s="95">
        <f>IFERROR(IF(T87="","",(T87*(1-AN87)*(1-Settings!$B$17)-I87)/(T87*(1-AN87)*(1-Settings!$B$17))),"")</f>
        <v/>
      </c>
      <c r="L87" s="101">
        <f>IFERROR(IF(T87="","",(T87*(1-AO87)*(1-Settings!$C$17)-I87)/(T87*(1-AO87)*(1-Settings!$C$17))),"")</f>
        <v/>
      </c>
      <c r="M87" s="101">
        <f>IFERROR(IF(T87="","",(T87*(1-AP87)*(1-Settings!$D$17)-I87)/(T87*(1-AP87)*(1-Settings!$D$17))),"")</f>
        <v/>
      </c>
      <c r="N87" s="101">
        <f>IFERROR(IF(T87="","",(T87*(1-AQ87)*(1-Settings!$F$17)-I87)/(T87*(1-AQ87)*(1-Settings!$F$17))),"")</f>
        <v/>
      </c>
      <c r="O87" s="101">
        <f>IFERROR(IF(T87="","",(T87*(1-AR87)*(1-Settings!$G$17)-I87)/(T87*(1-AR87)*(1-Settings!$G$17))),"")</f>
        <v/>
      </c>
      <c r="P87" s="101">
        <f>IFERROR(IF(T87="","",(T87*(1-AS87)*(1-Settings!$H$17)-I87)/(T87*(1-AS87)*(1-Settings!$H$17))),"")</f>
        <v/>
      </c>
      <c r="Q87" s="101">
        <f>IFERROR(IF(T87="","",(T87*(1-AT87)*(1-Settings!$I$68)*(1-Settings!$I$17)-I87)/(T87*(1-AT87)*(1-Settings!$I$68)*(1-Settings!$I$17))),"")</f>
        <v/>
      </c>
      <c r="R87" s="91">
        <f>IFERROR(IF(OR(I87="",Z87&gt;=1,Settings!$B$17&gt;=1,AN87&gt;=1),"",IF(MOD(ROUND(I87/(1-Z87)/(1-Settings!$B$17)/(1-AN87),0),10)=0,ROUND(I87/(1-Z87)/(1-Settings!$B$17)/(1-AN87),0)-1,IF(MOD(ROUND(I87/(1-Z87)/(1-Settings!$B$17)/(1-AN87),0),10)&lt;=5,FLOOR(ROUND(I87/(1-Z87)/(1-Settings!$B$17)/(1-AN87),0),10)+6,FLOOR(ROUND(I87/(1-Z87)/(1-Settings!$B$17)/(1-AN87),0),10)+9))),"")</f>
        <v/>
      </c>
      <c r="S87" s="92" t="n">
        <v>1700</v>
      </c>
      <c r="T87" s="91">
        <f>IF(S87&lt;&gt;"", IF(MOD(S87,10)=0,S87-1,IF(MOD(S87,10)&lt;=5,FLOOR(S87,10)+6,FLOOR(S87,10)+9)), R87)</f>
        <v/>
      </c>
      <c r="U87" s="87" t="inlineStr">
        <is>
          <t>Основний</t>
        </is>
      </c>
      <c r="V87" s="88" t="n"/>
      <c r="W87" s="88" t="n"/>
      <c r="X87" s="89">
        <f>IFERROR(IF(OR(V87="",W87="",T87=""),"", IF(T87&gt;W87,"Дорогий",IF(T87&lt;V87,"Дешевий","У ринку"))),"")</f>
        <v/>
      </c>
      <c r="Y87" s="90" t="n"/>
      <c r="Z87" s="104">
        <f>CHOOSE(MATCH(IF($U87="","Основний",$U87),{"Трафіковий","Основний","Маржинальний","Сезонний","Стратегічний"},0),0.16,0.19,0.24,0.23,0.28)</f>
        <v/>
      </c>
      <c r="AA87" s="104">
        <f>CHOOSE(MATCH(IF($U87="","Основний",$U87),{"Трафіковий","Основний","Маржинальний","Сезонний","Стратегічний"},0),0.18,0.21,0.26,0.25,0.3)</f>
        <v/>
      </c>
      <c r="AB87" s="104">
        <f>CHOOSE(MATCH(IF($U87="","Основний",$U87),{"Трафіковий","Основний","Маржинальний","Сезонний","Стратегічний"},0),0.19,0.22,0.28,0.26,0.32)</f>
        <v/>
      </c>
      <c r="AC87" s="104">
        <f>CHOOSE(MATCH(IF($U87="","Основний",$U87),{"Трафіковий","Основний","Маржинальний","Сезонний","Стратегічний"},0),0.17,0.2,0.25,0.24,0.28)</f>
        <v/>
      </c>
      <c r="AD87" s="104">
        <f>CHOOSE(MATCH(IF($U87="","Основний",$U87),{"Трафіковий","Основний","Маржинальний","Сезонний","Стратегічний"},0),0.18,0.21,0.26,0.25,0.3)</f>
        <v/>
      </c>
      <c r="AE87" s="104">
        <f>CHOOSE(MATCH(IF($U87="","Основний",$U87),{"Трафіковий","Основний","Маржинальний","Сезонний","Стратегічний"},0),0.18,0.2,0.28,0.27,0.32)</f>
        <v/>
      </c>
      <c r="AF87" s="104">
        <f>CHOOSE(MATCH(IF($U87="","Основний",$U87),{"Трафіковий","Основний","Маржинальний","Сезонний","Стратегічний"},0),0.15,0.175,0.22,0.21,0.25)</f>
        <v/>
      </c>
      <c r="AG87" s="104">
        <f>CHOOSE(MATCH(IF($U87="","Основний",$U87),{"Трафіковий","Основний","Маржинальний","Сезонний","Стратегічний"},0),0.13,0.16,0.21,0.2,0.25)</f>
        <v/>
      </c>
      <c r="AH87" s="104">
        <f>CHOOSE(MATCH(IF($U87="","Основний",$U87),{"Трафіковий","Основний","Маржинальний","Сезонний","Стратегічний"},0),0.15,0.18,0.23,0.22,0.27)</f>
        <v/>
      </c>
      <c r="AI87" s="104">
        <f>CHOOSE(MATCH(IF($U87="","Основний",$U87),{"Трафіковий","Основний","Маржинальний","Сезонний","Стратегічний"},0),0.16,0.19,0.25,0.23,0.29)</f>
        <v/>
      </c>
      <c r="AJ87" s="104">
        <f>CHOOSE(MATCH(IF($U87="","Основний",$U87),{"Трафіковий","Основний","Маржинальний","Сезонний","Стратегічний"},0),0.14,0.17,0.22,0.21,0.25)</f>
        <v/>
      </c>
      <c r="AK87" s="104">
        <f>CHOOSE(MATCH(IF($U87="","Основний",$U87),{"Трафіковий","Основний","Маржинальний","Сезонний","Стратегічний"},0),0.15,0.18,0.23,0.22,0.27)</f>
        <v/>
      </c>
      <c r="AL87" s="104">
        <f>CHOOSE(MATCH(IF($U87="","Основний",$U87),{"Трафіковий","Основний","Маржинальний","Сезонний","Стратегічний"},0),0.15,0.17,0.25,0.24,0.29)</f>
        <v/>
      </c>
      <c r="AM87" s="104">
        <f>CHOOSE(MATCH(IF($U87="","Основний",$U87),{"Трафіковий","Основний","Маржинальний","Сезонний","Стратегічний"},0),0.12,0.145,0.19,0.18,0.22)</f>
        <v/>
      </c>
      <c r="AN87" s="157">
        <f>CHOOSE(MATCH(IF($U87="","Основний",$U87),{"Трафіковий","Основний","Маржинальний","Сезонний","Стратегічний"},0),Settings!$B$78,Settings!$B$80,Settings!$B$82,Settings!$B$84,Settings!$B$86)</f>
        <v/>
      </c>
      <c r="AO87" s="157">
        <f>CHOOSE(MATCH(IF($U87="","Основний",$U87),{"Трафіковий","Основний","Маржинальний","Сезонний","Стратегічний"},0),Settings!$C$78,Settings!$C$80,Settings!$C$82,Settings!$C$84,Settings!$C$86)</f>
        <v/>
      </c>
      <c r="AP87" s="157">
        <f>CHOOSE(MATCH(IF($U87="","Основний",$U87),{"Трафіковий","Основний","Маржинальний","Сезонний","Стратегічний"},0),Settings!$D$78,Settings!$D$80,Settings!$D$82,Settings!$D$84,Settings!$D$86)</f>
        <v/>
      </c>
      <c r="AQ87" s="157">
        <f>CHOOSE(MATCH(IF($U87="","Основний",$U87),{"Трафіковий","Основний","Маржинальний","Сезонний","Стратегічний"},0),Settings!$F$78,Settings!$F$80,Settings!$F$82,Settings!$F$84,Settings!$F$86)</f>
        <v/>
      </c>
      <c r="AR87" s="157">
        <f>CHOOSE(MATCH(IF($U87="","Основний",$U87),{"Трафіковий","Основний","Маржинальний","Сезонний","Стратегічний"},0),Settings!$G$78,Settings!$G$80,Settings!$G$82,Settings!$G$84,Settings!$G$86)</f>
        <v/>
      </c>
      <c r="AS87" s="157">
        <f>CHOOSE(MATCH(IF($U87="","Основний",$U87),{"Трафіковий","Основний","Маржинальний","Сезонний","Стратегічний"},0),Settings!$H$78,Settings!$H$80,Settings!$H$82,Settings!$H$84,Settings!$H$86)</f>
        <v/>
      </c>
      <c r="AT87" s="157">
        <f>CHOOSE(MATCH(IF($U87="","Основний",$U87),{"Трафіковий","Основний","Маржинальний","Сезонний","Стратегічний"},0),Settings!$I$78,Settings!$I$80,Settings!$I$82,Settings!$I$84,Settings!$I$86)</f>
        <v/>
      </c>
      <c r="AU87" s="171" t="n"/>
      <c r="AV87" t="n">
        <v>1.35</v>
      </c>
    </row>
    <row r="88">
      <c r="A88" s="28" t="n"/>
      <c r="B88" s="29" t="inlineStr">
        <is>
          <t>P4536</t>
        </is>
      </c>
      <c r="C88" s="29" t="inlineStr">
        <is>
          <t>LED RECHARGEABLE WORK REFLECTOR 2× COB</t>
        </is>
      </c>
      <c r="D88" s="29" t="inlineStr">
        <is>
          <t>Ліхтарі</t>
        </is>
      </c>
      <c r="E88" s="28" t="inlineStr">
        <is>
          <t>PC</t>
        </is>
      </c>
      <c r="F88" s="93" t="n">
        <v>27.396</v>
      </c>
      <c r="G88" s="30" t="n">
        <v>9405423100</v>
      </c>
      <c r="H88" s="31" t="n">
        <v>1.4</v>
      </c>
      <c r="I88" s="84">
        <f>IFERROR(F88*Settings!$B$2*H88*IF(AND(ISNUMBER(E88),E88&gt;1),E88,1),"")</f>
        <v/>
      </c>
      <c r="J88" s="32">
        <f>Settings!$B$66</f>
        <v/>
      </c>
      <c r="K88" s="95">
        <f>IFERROR(IF(T88="","",(T88*(1-AN88)*(1-Settings!$B$17)-I88)/(T88*(1-AN88)*(1-Settings!$B$17))),"")</f>
        <v/>
      </c>
      <c r="L88" s="101">
        <f>IFERROR(IF(T88="","",(T88*(1-AO88)*(1-Settings!$C$17)-I88)/(T88*(1-AO88)*(1-Settings!$C$17))),"")</f>
        <v/>
      </c>
      <c r="M88" s="101">
        <f>IFERROR(IF(T88="","",(T88*(1-AP88)*(1-Settings!$D$17)-I88)/(T88*(1-AP88)*(1-Settings!$D$17))),"")</f>
        <v/>
      </c>
      <c r="N88" s="101">
        <f>IFERROR(IF(T88="","",(T88*(1-AQ88)*(1-Settings!$F$17)-I88)/(T88*(1-AQ88)*(1-Settings!$F$17))),"")</f>
        <v/>
      </c>
      <c r="O88" s="101">
        <f>IFERROR(IF(T88="","",(T88*(1-AR88)*(1-Settings!$G$17)-I88)/(T88*(1-AR88)*(1-Settings!$G$17))),"")</f>
        <v/>
      </c>
      <c r="P88" s="101">
        <f>IFERROR(IF(T88="","",(T88*(1-AS88)*(1-Settings!$H$17)-I88)/(T88*(1-AS88)*(1-Settings!$H$17))),"")</f>
        <v/>
      </c>
      <c r="Q88" s="101">
        <f>IFERROR(IF(T88="","",(T88*(1-AT88)*(1-Settings!$I$68)*(1-Settings!$I$17)-I88)/(T88*(1-AT88)*(1-Settings!$I$68)*(1-Settings!$I$17))),"")</f>
        <v/>
      </c>
      <c r="R88" s="91">
        <f>IFERROR(IF(OR(I88="",Z88&gt;=1,Settings!$B$17&gt;=1,AN88&gt;=1),"",IF(MOD(ROUND(I88/(1-Z88)/(1-Settings!$B$17)/(1-AN88),0),10)=0,ROUND(I88/(1-Z88)/(1-Settings!$B$17)/(1-AN88),0)-1,IF(MOD(ROUND(I88/(1-Z88)/(1-Settings!$B$17)/(1-AN88),0),10)&lt;=5,FLOOR(ROUND(I88/(1-Z88)/(1-Settings!$B$17)/(1-AN88),0),10)+6,FLOOR(ROUND(I88/(1-Z88)/(1-Settings!$B$17)/(1-AN88),0),10)+9))),"")</f>
        <v/>
      </c>
      <c r="S88" s="92" t="n">
        <v>3670</v>
      </c>
      <c r="T88" s="91">
        <f>IF(S88&lt;&gt;"", IF(MOD(S88,10)=0,S88-1,IF(MOD(S88,10)&lt;=5,FLOOR(S88,10)+6,FLOOR(S88,10)+9)), R88)</f>
        <v/>
      </c>
      <c r="U88" s="87" t="inlineStr">
        <is>
          <t>Основний</t>
        </is>
      </c>
      <c r="V88" s="88" t="n"/>
      <c r="W88" s="88" t="n"/>
      <c r="X88" s="89">
        <f>IFERROR(IF(OR(V88="",W88="",T88=""),"", IF(T88&gt;W88,"Дорогий",IF(T88&lt;V88,"Дешевий","У ринку"))),"")</f>
        <v/>
      </c>
      <c r="Y88" s="90" t="n"/>
      <c r="Z88" s="104">
        <f>CHOOSE(MATCH(IF($U88="","Основний",$U88),{"Трафіковий","Основний","Маржинальний","Сезонний","Стратегічний"},0),0.16,0.19,0.24,0.23,0.28)</f>
        <v/>
      </c>
      <c r="AA88" s="104">
        <f>CHOOSE(MATCH(IF($U88="","Основний",$U88),{"Трафіковий","Основний","Маржинальний","Сезонний","Стратегічний"},0),0.18,0.21,0.26,0.25,0.3)</f>
        <v/>
      </c>
      <c r="AB88" s="104">
        <f>CHOOSE(MATCH(IF($U88="","Основний",$U88),{"Трафіковий","Основний","Маржинальний","Сезонний","Стратегічний"},0),0.19,0.22,0.28,0.26,0.32)</f>
        <v/>
      </c>
      <c r="AC88" s="104">
        <f>CHOOSE(MATCH(IF($U88="","Основний",$U88),{"Трафіковий","Основний","Маржинальний","Сезонний","Стратегічний"},0),0.17,0.2,0.25,0.24,0.28)</f>
        <v/>
      </c>
      <c r="AD88" s="104">
        <f>CHOOSE(MATCH(IF($U88="","Основний",$U88),{"Трафіковий","Основний","Маржинальний","Сезонний","Стратегічний"},0),0.18,0.21,0.26,0.25,0.3)</f>
        <v/>
      </c>
      <c r="AE88" s="104">
        <f>CHOOSE(MATCH(IF($U88="","Основний",$U88),{"Трафіковий","Основний","Маржинальний","Сезонний","Стратегічний"},0),0.18,0.2,0.28,0.27,0.32)</f>
        <v/>
      </c>
      <c r="AF88" s="104">
        <f>CHOOSE(MATCH(IF($U88="","Основний",$U88),{"Трафіковий","Основний","Маржинальний","Сезонний","Стратегічний"},0),0.15,0.175,0.22,0.21,0.25)</f>
        <v/>
      </c>
      <c r="AG88" s="104">
        <f>CHOOSE(MATCH(IF($U88="","Основний",$U88),{"Трафіковий","Основний","Маржинальний","Сезонний","Стратегічний"},0),0.13,0.16,0.21,0.2,0.25)</f>
        <v/>
      </c>
      <c r="AH88" s="104">
        <f>CHOOSE(MATCH(IF($U88="","Основний",$U88),{"Трафіковий","Основний","Маржинальний","Сезонний","Стратегічний"},0),0.15,0.18,0.23,0.22,0.27)</f>
        <v/>
      </c>
      <c r="AI88" s="104">
        <f>CHOOSE(MATCH(IF($U88="","Основний",$U88),{"Трафіковий","Основний","Маржинальний","Сезонний","Стратегічний"},0),0.16,0.19,0.25,0.23,0.29)</f>
        <v/>
      </c>
      <c r="AJ88" s="104">
        <f>CHOOSE(MATCH(IF($U88="","Основний",$U88),{"Трафіковий","Основний","Маржинальний","Сезонний","Стратегічний"},0),0.14,0.17,0.22,0.21,0.25)</f>
        <v/>
      </c>
      <c r="AK88" s="104">
        <f>CHOOSE(MATCH(IF($U88="","Основний",$U88),{"Трафіковий","Основний","Маржинальний","Сезонний","Стратегічний"},0),0.15,0.18,0.23,0.22,0.27)</f>
        <v/>
      </c>
      <c r="AL88" s="104">
        <f>CHOOSE(MATCH(IF($U88="","Основний",$U88),{"Трафіковий","Основний","Маржинальний","Сезонний","Стратегічний"},0),0.15,0.17,0.25,0.24,0.29)</f>
        <v/>
      </c>
      <c r="AM88" s="104">
        <f>CHOOSE(MATCH(IF($U88="","Основний",$U88),{"Трафіковий","Основний","Маржинальний","Сезонний","Стратегічний"},0),0.12,0.145,0.19,0.18,0.22)</f>
        <v/>
      </c>
      <c r="AN88" s="157">
        <f>CHOOSE(MATCH(IF($U88="","Основний",$U88),{"Трафіковий","Основний","Маржинальний","Сезонний","Стратегічний"},0),Settings!$B$78,Settings!$B$80,Settings!$B$82,Settings!$B$84,Settings!$B$86)</f>
        <v/>
      </c>
      <c r="AO88" s="157">
        <f>CHOOSE(MATCH(IF($U88="","Основний",$U88),{"Трафіковий","Основний","Маржинальний","Сезонний","Стратегічний"},0),Settings!$C$78,Settings!$C$80,Settings!$C$82,Settings!$C$84,Settings!$C$86)</f>
        <v/>
      </c>
      <c r="AP88" s="157">
        <f>CHOOSE(MATCH(IF($U88="","Основний",$U88),{"Трафіковий","Основний","Маржинальний","Сезонний","Стратегічний"},0),Settings!$D$78,Settings!$D$80,Settings!$D$82,Settings!$D$84,Settings!$D$86)</f>
        <v/>
      </c>
      <c r="AQ88" s="157">
        <f>CHOOSE(MATCH(IF($U88="","Основний",$U88),{"Трафіковий","Основний","Маржинальний","Сезонний","Стратегічний"},0),Settings!$F$78,Settings!$F$80,Settings!$F$82,Settings!$F$84,Settings!$F$86)</f>
        <v/>
      </c>
      <c r="AR88" s="157">
        <f>CHOOSE(MATCH(IF($U88="","Основний",$U88),{"Трафіковий","Основний","Маржинальний","Сезонний","Стратегічний"},0),Settings!$G$78,Settings!$G$80,Settings!$G$82,Settings!$G$84,Settings!$G$86)</f>
        <v/>
      </c>
      <c r="AS88" s="157">
        <f>CHOOSE(MATCH(IF($U88="","Основний",$U88),{"Трафіковий","Основний","Маржинальний","Сезонний","Стратегічний"},0),Settings!$H$78,Settings!$H$80,Settings!$H$82,Settings!$H$84,Settings!$H$86)</f>
        <v/>
      </c>
      <c r="AT88" s="157">
        <f>CHOOSE(MATCH(IF($U88="","Основний",$U88),{"Трафіковий","Основний","Маржинальний","Сезонний","Стратегічний"},0),Settings!$I$78,Settings!$I$80,Settings!$I$82,Settings!$I$84,Settings!$I$86)</f>
        <v/>
      </c>
      <c r="AU88" s="171" t="n"/>
      <c r="AV88" t="n">
        <v>1.35</v>
      </c>
    </row>
    <row r="89">
      <c r="A89" s="33" t="inlineStr">
        <is>
          <t>NEW</t>
        </is>
      </c>
      <c r="B89" s="34" t="inlineStr">
        <is>
          <t>P4714</t>
        </is>
      </c>
      <c r="C89" s="34" t="inlineStr">
        <is>
          <t>COB LED RECHARGEABLE KEYCHAIN LIGHT 750 LM 10 PCS</t>
        </is>
      </c>
      <c r="D89" s="34" t="inlineStr">
        <is>
          <t>Ліхтарі</t>
        </is>
      </c>
      <c r="E89" s="33" t="inlineStr">
        <is>
          <t>PC</t>
        </is>
      </c>
      <c r="F89" s="94" t="n">
        <v>4.242</v>
      </c>
      <c r="G89" s="35" t="n">
        <v>8513100000</v>
      </c>
      <c r="H89" s="31" t="n">
        <v>1.4</v>
      </c>
      <c r="I89" s="84">
        <f>IFERROR(F89*Settings!$B$2*H89*IF(AND(ISNUMBER(E89),E89&gt;1),E89,1),"")</f>
        <v/>
      </c>
      <c r="J89" s="32">
        <f>Settings!$B$66</f>
        <v/>
      </c>
      <c r="K89" s="95">
        <f>IFERROR(IF(T89="","",(T89*(1-AN89)*(1-Settings!$B$17)-I89)/(T89*(1-AN89)*(1-Settings!$B$17))),"")</f>
        <v/>
      </c>
      <c r="L89" s="101">
        <f>IFERROR(IF(T89="","",(T89*(1-AO89)*(1-Settings!$C$17)-I89)/(T89*(1-AO89)*(1-Settings!$C$17))),"")</f>
        <v/>
      </c>
      <c r="M89" s="101">
        <f>IFERROR(IF(T89="","",(T89*(1-AP89)*(1-Settings!$D$17)-I89)/(T89*(1-AP89)*(1-Settings!$D$17))),"")</f>
        <v/>
      </c>
      <c r="N89" s="101">
        <f>IFERROR(IF(T89="","",(T89*(1-AQ89)*(1-Settings!$F$17)-I89)/(T89*(1-AQ89)*(1-Settings!$F$17))),"")</f>
        <v/>
      </c>
      <c r="O89" s="101">
        <f>IFERROR(IF(T89="","",(T89*(1-AR89)*(1-Settings!$G$17)-I89)/(T89*(1-AR89)*(1-Settings!$G$17))),"")</f>
        <v/>
      </c>
      <c r="P89" s="101">
        <f>IFERROR(IF(T89="","",(T89*(1-AS89)*(1-Settings!$H$17)-I89)/(T89*(1-AS89)*(1-Settings!$H$17))),"")</f>
        <v/>
      </c>
      <c r="Q89" s="101">
        <f>IFERROR(IF(T89="","",(T89*(1-AT89)*(1-Settings!$I$68)*(1-Settings!$I$17)-I89)/(T89*(1-AT89)*(1-Settings!$I$68)*(1-Settings!$I$17))),"")</f>
        <v/>
      </c>
      <c r="R89" s="91">
        <f>IFERROR(IF(OR(I89="",Z89&gt;=1,Settings!$B$17&gt;=1,AN89&gt;=1),"",IF(MOD(ROUND(I89/(1-Z89)/(1-Settings!$B$17)/(1-AN89),0),10)=0,ROUND(I89/(1-Z89)/(1-Settings!$B$17)/(1-AN89),0)-1,IF(MOD(ROUND(I89/(1-Z89)/(1-Settings!$B$17)/(1-AN89),0),10)&lt;=5,FLOOR(ROUND(I89/(1-Z89)/(1-Settings!$B$17)/(1-AN89),0),10)+6,FLOOR(ROUND(I89/(1-Z89)/(1-Settings!$B$17)/(1-AN89),0),10)+9))),"")</f>
        <v/>
      </c>
      <c r="S89" s="92" t="n">
        <v>560</v>
      </c>
      <c r="T89" s="91">
        <f>IF(S89&lt;&gt;"", IF(MOD(S89,10)=0,S89-1,IF(MOD(S89,10)&lt;=5,FLOOR(S89,10)+6,FLOOR(S89,10)+9)), R89)</f>
        <v/>
      </c>
      <c r="U89" s="87" t="inlineStr">
        <is>
          <t>Основний</t>
        </is>
      </c>
      <c r="V89" s="88" t="n"/>
      <c r="W89" s="88" t="n"/>
      <c r="X89" s="89">
        <f>IFERROR(IF(OR(V89="",W89="",T89=""),"", IF(T89&gt;W89,"Дорогий",IF(T89&lt;V89,"Дешевий","У ринку"))),"")</f>
        <v/>
      </c>
      <c r="Y89" s="90" t="n"/>
      <c r="Z89" s="104">
        <f>CHOOSE(MATCH(IF($U89="","Основний",$U89),{"Трафіковий","Основний","Маржинальний","Сезонний","Стратегічний"},0),0.16,0.19,0.24,0.23,0.28)</f>
        <v/>
      </c>
      <c r="AA89" s="104">
        <f>CHOOSE(MATCH(IF($U89="","Основний",$U89),{"Трафіковий","Основний","Маржинальний","Сезонний","Стратегічний"},0),0.18,0.21,0.26,0.25,0.3)</f>
        <v/>
      </c>
      <c r="AB89" s="104">
        <f>CHOOSE(MATCH(IF($U89="","Основний",$U89),{"Трафіковий","Основний","Маржинальний","Сезонний","Стратегічний"},0),0.19,0.22,0.28,0.26,0.32)</f>
        <v/>
      </c>
      <c r="AC89" s="104">
        <f>CHOOSE(MATCH(IF($U89="","Основний",$U89),{"Трафіковий","Основний","Маржинальний","Сезонний","Стратегічний"},0),0.17,0.2,0.25,0.24,0.28)</f>
        <v/>
      </c>
      <c r="AD89" s="104">
        <f>CHOOSE(MATCH(IF($U89="","Основний",$U89),{"Трафіковий","Основний","Маржинальний","Сезонний","Стратегічний"},0),0.18,0.21,0.26,0.25,0.3)</f>
        <v/>
      </c>
      <c r="AE89" s="104">
        <f>CHOOSE(MATCH(IF($U89="","Основний",$U89),{"Трафіковий","Основний","Маржинальний","Сезонний","Стратегічний"},0),0.18,0.2,0.28,0.27,0.32)</f>
        <v/>
      </c>
      <c r="AF89" s="104">
        <f>CHOOSE(MATCH(IF($U89="","Основний",$U89),{"Трафіковий","Основний","Маржинальний","Сезонний","Стратегічний"},0),0.15,0.175,0.22,0.21,0.25)</f>
        <v/>
      </c>
      <c r="AG89" s="104">
        <f>CHOOSE(MATCH(IF($U89="","Основний",$U89),{"Трафіковий","Основний","Маржинальний","Сезонний","Стратегічний"},0),0.13,0.16,0.21,0.2,0.25)</f>
        <v/>
      </c>
      <c r="AH89" s="104">
        <f>CHOOSE(MATCH(IF($U89="","Основний",$U89),{"Трафіковий","Основний","Маржинальний","Сезонний","Стратегічний"},0),0.15,0.18,0.23,0.22,0.27)</f>
        <v/>
      </c>
      <c r="AI89" s="104">
        <f>CHOOSE(MATCH(IF($U89="","Основний",$U89),{"Трафіковий","Основний","Маржинальний","Сезонний","Стратегічний"},0),0.16,0.19,0.25,0.23,0.29)</f>
        <v/>
      </c>
      <c r="AJ89" s="104">
        <f>CHOOSE(MATCH(IF($U89="","Основний",$U89),{"Трафіковий","Основний","Маржинальний","Сезонний","Стратегічний"},0),0.14,0.17,0.22,0.21,0.25)</f>
        <v/>
      </c>
      <c r="AK89" s="104">
        <f>CHOOSE(MATCH(IF($U89="","Основний",$U89),{"Трафіковий","Основний","Маржинальний","Сезонний","Стратегічний"},0),0.15,0.18,0.23,0.22,0.27)</f>
        <v/>
      </c>
      <c r="AL89" s="104">
        <f>CHOOSE(MATCH(IF($U89="","Основний",$U89),{"Трафіковий","Основний","Маржинальний","Сезонний","Стратегічний"},0),0.15,0.17,0.25,0.24,0.29)</f>
        <v/>
      </c>
      <c r="AM89" s="104">
        <f>CHOOSE(MATCH(IF($U89="","Основний",$U89),{"Трафіковий","Основний","Маржинальний","Сезонний","Стратегічний"},0),0.12,0.145,0.19,0.18,0.22)</f>
        <v/>
      </c>
      <c r="AN89" s="157">
        <f>CHOOSE(MATCH(IF($U89="","Основний",$U89),{"Трафіковий","Основний","Маржинальний","Сезонний","Стратегічний"},0),Settings!$B$78,Settings!$B$80,Settings!$B$82,Settings!$B$84,Settings!$B$86)</f>
        <v/>
      </c>
      <c r="AO89" s="157">
        <f>CHOOSE(MATCH(IF($U89="","Основний",$U89),{"Трафіковий","Основний","Маржинальний","Сезонний","Стратегічний"},0),Settings!$C$78,Settings!$C$80,Settings!$C$82,Settings!$C$84,Settings!$C$86)</f>
        <v/>
      </c>
      <c r="AP89" s="157">
        <f>CHOOSE(MATCH(IF($U89="","Основний",$U89),{"Трафіковий","Основний","Маржинальний","Сезонний","Стратегічний"},0),Settings!$D$78,Settings!$D$80,Settings!$D$82,Settings!$D$84,Settings!$D$86)</f>
        <v/>
      </c>
      <c r="AQ89" s="157">
        <f>CHOOSE(MATCH(IF($U89="","Основний",$U89),{"Трафіковий","Основний","Маржинальний","Сезонний","Стратегічний"},0),Settings!$F$78,Settings!$F$80,Settings!$F$82,Settings!$F$84,Settings!$F$86)</f>
        <v/>
      </c>
      <c r="AR89" s="157">
        <f>CHOOSE(MATCH(IF($U89="","Основний",$U89),{"Трафіковий","Основний","Маржинальний","Сезонний","Стратегічний"},0),Settings!$G$78,Settings!$G$80,Settings!$G$82,Settings!$G$84,Settings!$G$86)</f>
        <v/>
      </c>
      <c r="AS89" s="157">
        <f>CHOOSE(MATCH(IF($U89="","Основний",$U89),{"Трафіковий","Основний","Маржинальний","Сезонний","Стратегічний"},0),Settings!$H$78,Settings!$H$80,Settings!$H$82,Settings!$H$84,Settings!$H$86)</f>
        <v/>
      </c>
      <c r="AT89" s="157">
        <f>CHOOSE(MATCH(IF($U89="","Основний",$U89),{"Трафіковий","Основний","Маржинальний","Сезонний","Стратегічний"},0),Settings!$I$78,Settings!$I$80,Settings!$I$82,Settings!$I$84,Settings!$I$86)</f>
        <v/>
      </c>
      <c r="AU89" s="171" t="n"/>
      <c r="AV89" t="n">
        <v>1.35</v>
      </c>
    </row>
    <row r="90">
      <c r="A90" s="28" t="inlineStr">
        <is>
          <t>NEW</t>
        </is>
      </c>
      <c r="B90" s="29" t="inlineStr">
        <is>
          <t>P4716</t>
        </is>
      </c>
      <c r="C90" s="29" t="inlineStr">
        <is>
          <t>COB LED LANTERN 150 LM 6 PCS</t>
        </is>
      </c>
      <c r="D90" s="29" t="inlineStr">
        <is>
          <t>Ліхтарі</t>
        </is>
      </c>
      <c r="E90" s="28" t="inlineStr">
        <is>
          <t>PC</t>
        </is>
      </c>
      <c r="F90" s="93" t="n">
        <v>2.767</v>
      </c>
      <c r="G90" s="30" t="n">
        <v>9405423100</v>
      </c>
      <c r="H90" s="31" t="n">
        <v>1.35</v>
      </c>
      <c r="I90" s="84">
        <f>IFERROR(F90*Settings!$B$2*H90*IF(AND(ISNUMBER(E90),E90&gt;1),E90,1),"")</f>
        <v/>
      </c>
      <c r="J90" s="32">
        <f>Settings!$B$66</f>
        <v/>
      </c>
      <c r="K90" s="95">
        <f>IFERROR(IF(T90="","",(T90*(1-AN90)*(1-Settings!$B$17)-I90)/(T90*(1-AN90)*(1-Settings!$B$17))),"")</f>
        <v/>
      </c>
      <c r="L90" s="101">
        <f>IFERROR(IF(T90="","",(T90*(1-AO90)*(1-Settings!$C$17)-I90)/(T90*(1-AO90)*(1-Settings!$C$17))),"")</f>
        <v/>
      </c>
      <c r="M90" s="101">
        <f>IFERROR(IF(T90="","",(T90*(1-AP90)*(1-Settings!$D$17)-I90)/(T90*(1-AP90)*(1-Settings!$D$17))),"")</f>
        <v/>
      </c>
      <c r="N90" s="101">
        <f>IFERROR(IF(T90="","",(T90*(1-AQ90)*(1-Settings!$F$17)-I90)/(T90*(1-AQ90)*(1-Settings!$F$17))),"")</f>
        <v/>
      </c>
      <c r="O90" s="101">
        <f>IFERROR(IF(T90="","",(T90*(1-AR90)*(1-Settings!$G$17)-I90)/(T90*(1-AR90)*(1-Settings!$G$17))),"")</f>
        <v/>
      </c>
      <c r="P90" s="101">
        <f>IFERROR(IF(T90="","",(T90*(1-AS90)*(1-Settings!$H$17)-I90)/(T90*(1-AS90)*(1-Settings!$H$17))),"")</f>
        <v/>
      </c>
      <c r="Q90" s="101">
        <f>IFERROR(IF(T90="","",(T90*(1-AT90)*(1-Settings!$I$68)*(1-Settings!$I$17)-I90)/(T90*(1-AT90)*(1-Settings!$I$68)*(1-Settings!$I$17))),"")</f>
        <v/>
      </c>
      <c r="R90" s="91">
        <f>IFERROR(IF(OR(I90="",Z90&gt;=1,Settings!$B$17&gt;=1,AN90&gt;=1),"",IF(MOD(ROUND(I90/(1-Z90)/(1-Settings!$B$17)/(1-AN90),0),10)=0,ROUND(I90/(1-Z90)/(1-Settings!$B$17)/(1-AN90),0)-1,IF(MOD(ROUND(I90/(1-Z90)/(1-Settings!$B$17)/(1-AN90),0),10)&lt;=5,FLOOR(ROUND(I90/(1-Z90)/(1-Settings!$B$17)/(1-AN90),0),10)+6,FLOOR(ROUND(I90/(1-Z90)/(1-Settings!$B$17)/(1-AN90),0),10)+9))),"")</f>
        <v/>
      </c>
      <c r="S90" s="92" t="n"/>
      <c r="T90" s="91">
        <f>IF(S90&lt;&gt;"", IF(MOD(S90,10)=0,S90-1,IF(MOD(S90,10)&lt;=5,FLOOR(S90,10)+6,FLOOR(S90,10)+9)), R90)</f>
        <v/>
      </c>
      <c r="U90" s="87" t="inlineStr">
        <is>
          <t>Основний</t>
        </is>
      </c>
      <c r="V90" s="88" t="n"/>
      <c r="W90" s="88" t="n"/>
      <c r="X90" s="89">
        <f>IFERROR(IF(OR(V90="",W90="",T90=""),"", IF(T90&gt;W90,"Дорогий",IF(T90&lt;V90,"Дешевий","У ринку"))),"")</f>
        <v/>
      </c>
      <c r="Y90" s="90" t="n"/>
      <c r="Z90" s="104">
        <f>CHOOSE(MATCH(IF($U90="","Основний",$U90),{"Трафіковий","Основний","Маржинальний","Сезонний","Стратегічний"},0),0.16,0.19,0.24,0.23,0.28)</f>
        <v/>
      </c>
      <c r="AA90" s="104">
        <f>CHOOSE(MATCH(IF($U90="","Основний",$U90),{"Трафіковий","Основний","Маржинальний","Сезонний","Стратегічний"},0),0.18,0.21,0.26,0.25,0.3)</f>
        <v/>
      </c>
      <c r="AB90" s="104">
        <f>CHOOSE(MATCH(IF($U90="","Основний",$U90),{"Трафіковий","Основний","Маржинальний","Сезонний","Стратегічний"},0),0.19,0.22,0.28,0.26,0.32)</f>
        <v/>
      </c>
      <c r="AC90" s="104">
        <f>CHOOSE(MATCH(IF($U90="","Основний",$U90),{"Трафіковий","Основний","Маржинальний","Сезонний","Стратегічний"},0),0.17,0.2,0.25,0.24,0.28)</f>
        <v/>
      </c>
      <c r="AD90" s="104">
        <f>CHOOSE(MATCH(IF($U90="","Основний",$U90),{"Трафіковий","Основний","Маржинальний","Сезонний","Стратегічний"},0),0.18,0.21,0.26,0.25,0.3)</f>
        <v/>
      </c>
      <c r="AE90" s="104">
        <f>CHOOSE(MATCH(IF($U90="","Основний",$U90),{"Трафіковий","Основний","Маржинальний","Сезонний","Стратегічний"},0),0.18,0.2,0.28,0.27,0.32)</f>
        <v/>
      </c>
      <c r="AF90" s="104">
        <f>CHOOSE(MATCH(IF($U90="","Основний",$U90),{"Трафіковий","Основний","Маржинальний","Сезонний","Стратегічний"},0),0.15,0.175,0.22,0.21,0.25)</f>
        <v/>
      </c>
      <c r="AG90" s="104">
        <f>CHOOSE(MATCH(IF($U90="","Основний",$U90),{"Трафіковий","Основний","Маржинальний","Сезонний","Стратегічний"},0),0.13,0.16,0.21,0.2,0.25)</f>
        <v/>
      </c>
      <c r="AH90" s="104">
        <f>CHOOSE(MATCH(IF($U90="","Основний",$U90),{"Трафіковий","Основний","Маржинальний","Сезонний","Стратегічний"},0),0.15,0.18,0.23,0.22,0.27)</f>
        <v/>
      </c>
      <c r="AI90" s="104">
        <f>CHOOSE(MATCH(IF($U90="","Основний",$U90),{"Трафіковий","Основний","Маржинальний","Сезонний","Стратегічний"},0),0.16,0.19,0.25,0.23,0.29)</f>
        <v/>
      </c>
      <c r="AJ90" s="104">
        <f>CHOOSE(MATCH(IF($U90="","Основний",$U90),{"Трафіковий","Основний","Маржинальний","Сезонний","Стратегічний"},0),0.14,0.17,0.22,0.21,0.25)</f>
        <v/>
      </c>
      <c r="AK90" s="104">
        <f>CHOOSE(MATCH(IF($U90="","Основний",$U90),{"Трафіковий","Основний","Маржинальний","Сезонний","Стратегічний"},0),0.15,0.18,0.23,0.22,0.27)</f>
        <v/>
      </c>
      <c r="AL90" s="104">
        <f>CHOOSE(MATCH(IF($U90="","Основний",$U90),{"Трафіковий","Основний","Маржинальний","Сезонний","Стратегічний"},0),0.15,0.17,0.25,0.24,0.29)</f>
        <v/>
      </c>
      <c r="AM90" s="104">
        <f>CHOOSE(MATCH(IF($U90="","Основний",$U90),{"Трафіковий","Основний","Маржинальний","Сезонний","Стратегічний"},0),0.12,0.145,0.19,0.18,0.22)</f>
        <v/>
      </c>
      <c r="AN90" s="157">
        <f>CHOOSE(MATCH(IF($U90="","Основний",$U90),{"Трафіковий","Основний","Маржинальний","Сезонний","Стратегічний"},0),Settings!$B$78,Settings!$B$80,Settings!$B$82,Settings!$B$84,Settings!$B$86)</f>
        <v/>
      </c>
      <c r="AO90" s="157">
        <f>CHOOSE(MATCH(IF($U90="","Основний",$U90),{"Трафіковий","Основний","Маржинальний","Сезонний","Стратегічний"},0),Settings!$C$78,Settings!$C$80,Settings!$C$82,Settings!$C$84,Settings!$C$86)</f>
        <v/>
      </c>
      <c r="AP90" s="157">
        <f>CHOOSE(MATCH(IF($U90="","Основний",$U90),{"Трафіковий","Основний","Маржинальний","Сезонний","Стратегічний"},0),Settings!$D$78,Settings!$D$80,Settings!$D$82,Settings!$D$84,Settings!$D$86)</f>
        <v/>
      </c>
      <c r="AQ90" s="157">
        <f>CHOOSE(MATCH(IF($U90="","Основний",$U90),{"Трафіковий","Основний","Маржинальний","Сезонний","Стратегічний"},0),Settings!$F$78,Settings!$F$80,Settings!$F$82,Settings!$F$84,Settings!$F$86)</f>
        <v/>
      </c>
      <c r="AR90" s="157">
        <f>CHOOSE(MATCH(IF($U90="","Основний",$U90),{"Трафіковий","Основний","Маржинальний","Сезонний","Стратегічний"},0),Settings!$G$78,Settings!$G$80,Settings!$G$82,Settings!$G$84,Settings!$G$86)</f>
        <v/>
      </c>
      <c r="AS90" s="157">
        <f>CHOOSE(MATCH(IF($U90="","Основний",$U90),{"Трафіковий","Основний","Маржинальний","Сезонний","Стратегічний"},0),Settings!$H$78,Settings!$H$80,Settings!$H$82,Settings!$H$84,Settings!$H$86)</f>
        <v/>
      </c>
      <c r="AT90" s="157">
        <f>CHOOSE(MATCH(IF($U90="","Основний",$U90),{"Трафіковий","Основний","Маржинальний","Сезонний","Стратегічний"},0),Settings!$I$78,Settings!$I$80,Settings!$I$82,Settings!$I$84,Settings!$I$86)</f>
        <v/>
      </c>
      <c r="AU90" s="171" t="n"/>
      <c r="AV90" t="n">
        <v>1.35</v>
      </c>
    </row>
    <row r="91">
      <c r="A91" s="33" t="inlineStr">
        <is>
          <t>NEW</t>
        </is>
      </c>
      <c r="B91" s="34" t="inlineStr">
        <is>
          <t>P4717</t>
        </is>
      </c>
      <c r="C91" s="34" t="inlineStr">
        <is>
          <t>LED MAGNIFYING GLASS WITH UV LIGHT 10 PCS</t>
        </is>
      </c>
      <c r="D91" s="34" t="inlineStr">
        <is>
          <t>Ліхтарі</t>
        </is>
      </c>
      <c r="E91" s="33" t="inlineStr">
        <is>
          <t>PC</t>
        </is>
      </c>
      <c r="F91" s="94" t="n">
        <v>2.693</v>
      </c>
      <c r="G91" s="35" t="n">
        <v>9013808000</v>
      </c>
      <c r="H91" s="31" t="n">
        <v>1.4</v>
      </c>
      <c r="I91" s="84">
        <f>IFERROR(F91*Settings!$B$2*H91*IF(AND(ISNUMBER(E91),E91&gt;1),E91,1),"")</f>
        <v/>
      </c>
      <c r="J91" s="32">
        <f>Settings!$B$66</f>
        <v/>
      </c>
      <c r="K91" s="95">
        <f>IFERROR(IF(T91="","",(T91*(1-AN91)*(1-Settings!$B$17)-I91)/(T91*(1-AN91)*(1-Settings!$B$17))),"")</f>
        <v/>
      </c>
      <c r="L91" s="101">
        <f>IFERROR(IF(T91="","",(T91*(1-AO91)*(1-Settings!$C$17)-I91)/(T91*(1-AO91)*(1-Settings!$C$17))),"")</f>
        <v/>
      </c>
      <c r="M91" s="101">
        <f>IFERROR(IF(T91="","",(T91*(1-AP91)*(1-Settings!$D$17)-I91)/(T91*(1-AP91)*(1-Settings!$D$17))),"")</f>
        <v/>
      </c>
      <c r="N91" s="101">
        <f>IFERROR(IF(T91="","",(T91*(1-AQ91)*(1-Settings!$F$17)-I91)/(T91*(1-AQ91)*(1-Settings!$F$17))),"")</f>
        <v/>
      </c>
      <c r="O91" s="101">
        <f>IFERROR(IF(T91="","",(T91*(1-AR91)*(1-Settings!$G$17)-I91)/(T91*(1-AR91)*(1-Settings!$G$17))),"")</f>
        <v/>
      </c>
      <c r="P91" s="101">
        <f>IFERROR(IF(T91="","",(T91*(1-AS91)*(1-Settings!$H$17)-I91)/(T91*(1-AS91)*(1-Settings!$H$17))),"")</f>
        <v/>
      </c>
      <c r="Q91" s="101">
        <f>IFERROR(IF(T91="","",(T91*(1-AT91)*(1-Settings!$I$68)*(1-Settings!$I$17)-I91)/(T91*(1-AT91)*(1-Settings!$I$68)*(1-Settings!$I$17))),"")</f>
        <v/>
      </c>
      <c r="R91" s="91">
        <f>IFERROR(IF(OR(I91="",Z91&gt;=1,Settings!$B$17&gt;=1,AN91&gt;=1),"",IF(MOD(ROUND(I91/(1-Z91)/(1-Settings!$B$17)/(1-AN91),0),10)=0,ROUND(I91/(1-Z91)/(1-Settings!$B$17)/(1-AN91),0)-1,IF(MOD(ROUND(I91/(1-Z91)/(1-Settings!$B$17)/(1-AN91),0),10)&lt;=5,FLOOR(ROUND(I91/(1-Z91)/(1-Settings!$B$17)/(1-AN91),0),10)+6,FLOOR(ROUND(I91/(1-Z91)/(1-Settings!$B$17)/(1-AN91),0),10)+9))),"")</f>
        <v/>
      </c>
      <c r="S91" s="92" t="n">
        <v>360</v>
      </c>
      <c r="T91" s="91">
        <f>IF(S91&lt;&gt;"", IF(MOD(S91,10)=0,S91-1,IF(MOD(S91,10)&lt;=5,FLOOR(S91,10)+6,FLOOR(S91,10)+9)), R91)</f>
        <v/>
      </c>
      <c r="U91" s="87" t="inlineStr">
        <is>
          <t>Основний</t>
        </is>
      </c>
      <c r="V91" s="88" t="n"/>
      <c r="W91" s="88" t="n"/>
      <c r="X91" s="89">
        <f>IFERROR(IF(OR(V91="",W91="",T91=""),"", IF(T91&gt;W91,"Дорогий",IF(T91&lt;V91,"Дешевий","У ринку"))),"")</f>
        <v/>
      </c>
      <c r="Y91" s="90" t="n"/>
      <c r="Z91" s="104">
        <f>CHOOSE(MATCH(IF($U91="","Основний",$U91),{"Трафіковий","Основний","Маржинальний","Сезонний","Стратегічний"},0),0.16,0.19,0.24,0.23,0.28)</f>
        <v/>
      </c>
      <c r="AA91" s="104">
        <f>CHOOSE(MATCH(IF($U91="","Основний",$U91),{"Трафіковий","Основний","Маржинальний","Сезонний","Стратегічний"},0),0.18,0.21,0.26,0.25,0.3)</f>
        <v/>
      </c>
      <c r="AB91" s="104">
        <f>CHOOSE(MATCH(IF($U91="","Основний",$U91),{"Трафіковий","Основний","Маржинальний","Сезонний","Стратегічний"},0),0.19,0.22,0.28,0.26,0.32)</f>
        <v/>
      </c>
      <c r="AC91" s="104">
        <f>CHOOSE(MATCH(IF($U91="","Основний",$U91),{"Трафіковий","Основний","Маржинальний","Сезонний","Стратегічний"},0),0.17,0.2,0.25,0.24,0.28)</f>
        <v/>
      </c>
      <c r="AD91" s="104">
        <f>CHOOSE(MATCH(IF($U91="","Основний",$U91),{"Трафіковий","Основний","Маржинальний","Сезонний","Стратегічний"},0),0.18,0.21,0.26,0.25,0.3)</f>
        <v/>
      </c>
      <c r="AE91" s="104">
        <f>CHOOSE(MATCH(IF($U91="","Основний",$U91),{"Трафіковий","Основний","Маржинальний","Сезонний","Стратегічний"},0),0.18,0.2,0.28,0.27,0.32)</f>
        <v/>
      </c>
      <c r="AF91" s="104">
        <f>CHOOSE(MATCH(IF($U91="","Основний",$U91),{"Трафіковий","Основний","Маржинальний","Сезонний","Стратегічний"},0),0.15,0.175,0.22,0.21,0.25)</f>
        <v/>
      </c>
      <c r="AG91" s="104">
        <f>CHOOSE(MATCH(IF($U91="","Основний",$U91),{"Трафіковий","Основний","Маржинальний","Сезонний","Стратегічний"},0),0.13,0.16,0.21,0.2,0.25)</f>
        <v/>
      </c>
      <c r="AH91" s="104">
        <f>CHOOSE(MATCH(IF($U91="","Основний",$U91),{"Трафіковий","Основний","Маржинальний","Сезонний","Стратегічний"},0),0.15,0.18,0.23,0.22,0.27)</f>
        <v/>
      </c>
      <c r="AI91" s="104">
        <f>CHOOSE(MATCH(IF($U91="","Основний",$U91),{"Трафіковий","Основний","Маржинальний","Сезонний","Стратегічний"},0),0.16,0.19,0.25,0.23,0.29)</f>
        <v/>
      </c>
      <c r="AJ91" s="104">
        <f>CHOOSE(MATCH(IF($U91="","Основний",$U91),{"Трафіковий","Основний","Маржинальний","Сезонний","Стратегічний"},0),0.14,0.17,0.22,0.21,0.25)</f>
        <v/>
      </c>
      <c r="AK91" s="104">
        <f>CHOOSE(MATCH(IF($U91="","Основний",$U91),{"Трафіковий","Основний","Маржинальний","Сезонний","Стратегічний"},0),0.15,0.18,0.23,0.22,0.27)</f>
        <v/>
      </c>
      <c r="AL91" s="104">
        <f>CHOOSE(MATCH(IF($U91="","Основний",$U91),{"Трафіковий","Основний","Маржинальний","Сезонний","Стратегічний"},0),0.15,0.17,0.25,0.24,0.29)</f>
        <v/>
      </c>
      <c r="AM91" s="104">
        <f>CHOOSE(MATCH(IF($U91="","Основний",$U91),{"Трафіковий","Основний","Маржинальний","Сезонний","Стратегічний"},0),0.12,0.145,0.19,0.18,0.22)</f>
        <v/>
      </c>
      <c r="AN91" s="157">
        <f>CHOOSE(MATCH(IF($U91="","Основний",$U91),{"Трафіковий","Основний","Маржинальний","Сезонний","Стратегічний"},0),Settings!$B$78,Settings!$B$80,Settings!$B$82,Settings!$B$84,Settings!$B$86)</f>
        <v/>
      </c>
      <c r="AO91" s="157">
        <f>CHOOSE(MATCH(IF($U91="","Основний",$U91),{"Трафіковий","Основний","Маржинальний","Сезонний","Стратегічний"},0),Settings!$C$78,Settings!$C$80,Settings!$C$82,Settings!$C$84,Settings!$C$86)</f>
        <v/>
      </c>
      <c r="AP91" s="157">
        <f>CHOOSE(MATCH(IF($U91="","Основний",$U91),{"Трафіковий","Основний","Маржинальний","Сезонний","Стратегічний"},0),Settings!$D$78,Settings!$D$80,Settings!$D$82,Settings!$D$84,Settings!$D$86)</f>
        <v/>
      </c>
      <c r="AQ91" s="157">
        <f>CHOOSE(MATCH(IF($U91="","Основний",$U91),{"Трафіковий","Основний","Маржинальний","Сезонний","Стратегічний"},0),Settings!$F$78,Settings!$F$80,Settings!$F$82,Settings!$F$84,Settings!$F$86)</f>
        <v/>
      </c>
      <c r="AR91" s="157">
        <f>CHOOSE(MATCH(IF($U91="","Основний",$U91),{"Трафіковий","Основний","Маржинальний","Сезонний","Стратегічний"},0),Settings!$G$78,Settings!$G$80,Settings!$G$82,Settings!$G$84,Settings!$G$86)</f>
        <v/>
      </c>
      <c r="AS91" s="157">
        <f>CHOOSE(MATCH(IF($U91="","Основний",$U91),{"Трафіковий","Основний","Маржинальний","Сезонний","Стратегічний"},0),Settings!$H$78,Settings!$H$80,Settings!$H$82,Settings!$H$84,Settings!$H$86)</f>
        <v/>
      </c>
      <c r="AT91" s="157">
        <f>CHOOSE(MATCH(IF($U91="","Основний",$U91),{"Трафіковий","Основний","Маржинальний","Сезонний","Стратегічний"},0),Settings!$I$78,Settings!$I$80,Settings!$I$82,Settings!$I$84,Settings!$I$86)</f>
        <v/>
      </c>
      <c r="AU91" s="171" t="n"/>
      <c r="AV91" t="n">
        <v>1.35</v>
      </c>
    </row>
    <row r="92">
      <c r="A92" s="28" t="inlineStr">
        <is>
          <t>NEW</t>
        </is>
      </c>
      <c r="B92" s="29" t="inlineStr">
        <is>
          <t>P4718</t>
        </is>
      </c>
      <c r="C92" s="29" t="inlineStr">
        <is>
          <t>LED MIRROR LIGHT 10 PCS</t>
        </is>
      </c>
      <c r="D92" s="29" t="inlineStr">
        <is>
          <t>Ліхтарі</t>
        </is>
      </c>
      <c r="E92" s="28" t="inlineStr">
        <is>
          <t>PC</t>
        </is>
      </c>
      <c r="F92" s="93" t="n">
        <v>2.168</v>
      </c>
      <c r="G92" s="30" t="n">
        <v>9405423100</v>
      </c>
      <c r="H92" s="31" t="n">
        <v>1.4</v>
      </c>
      <c r="I92" s="84">
        <f>IFERROR(F92*Settings!$B$2*H92*IF(AND(ISNUMBER(E92),E92&gt;1),E92,1),"")</f>
        <v/>
      </c>
      <c r="J92" s="32">
        <f>Settings!$B$66</f>
        <v/>
      </c>
      <c r="K92" s="95">
        <f>IFERROR(IF(T92="","",(T92*(1-AN92)*(1-Settings!$B$17)-I92)/(T92*(1-AN92)*(1-Settings!$B$17))),"")</f>
        <v/>
      </c>
      <c r="L92" s="101">
        <f>IFERROR(IF(T92="","",(T92*(1-AO92)*(1-Settings!$C$17)-I92)/(T92*(1-AO92)*(1-Settings!$C$17))),"")</f>
        <v/>
      </c>
      <c r="M92" s="101">
        <f>IFERROR(IF(T92="","",(T92*(1-AP92)*(1-Settings!$D$17)-I92)/(T92*(1-AP92)*(1-Settings!$D$17))),"")</f>
        <v/>
      </c>
      <c r="N92" s="101">
        <f>IFERROR(IF(T92="","",(T92*(1-AQ92)*(1-Settings!$F$17)-I92)/(T92*(1-AQ92)*(1-Settings!$F$17))),"")</f>
        <v/>
      </c>
      <c r="O92" s="101">
        <f>IFERROR(IF(T92="","",(T92*(1-AR92)*(1-Settings!$G$17)-I92)/(T92*(1-AR92)*(1-Settings!$G$17))),"")</f>
        <v/>
      </c>
      <c r="P92" s="101">
        <f>IFERROR(IF(T92="","",(T92*(1-AS92)*(1-Settings!$H$17)-I92)/(T92*(1-AS92)*(1-Settings!$H$17))),"")</f>
        <v/>
      </c>
      <c r="Q92" s="101">
        <f>IFERROR(IF(T92="","",(T92*(1-AT92)*(1-Settings!$I$68)*(1-Settings!$I$17)-I92)/(T92*(1-AT92)*(1-Settings!$I$68)*(1-Settings!$I$17))),"")</f>
        <v/>
      </c>
      <c r="R92" s="91">
        <f>IFERROR(IF(OR(I92="",Z92&gt;=1,Settings!$B$17&gt;=1,AN92&gt;=1),"",IF(MOD(ROUND(I92/(1-Z92)/(1-Settings!$B$17)/(1-AN92),0),10)=0,ROUND(I92/(1-Z92)/(1-Settings!$B$17)/(1-AN92),0)-1,IF(MOD(ROUND(I92/(1-Z92)/(1-Settings!$B$17)/(1-AN92),0),10)&lt;=5,FLOOR(ROUND(I92/(1-Z92)/(1-Settings!$B$17)/(1-AN92),0),10)+6,FLOOR(ROUND(I92/(1-Z92)/(1-Settings!$B$17)/(1-AN92),0),10)+9))),"")</f>
        <v/>
      </c>
      <c r="S92" s="92" t="n"/>
      <c r="T92" s="91">
        <f>IF(S92&lt;&gt;"", IF(MOD(S92,10)=0,S92-1,IF(MOD(S92,10)&lt;=5,FLOOR(S92,10)+6,FLOOR(S92,10)+9)), R92)</f>
        <v/>
      </c>
      <c r="U92" s="87" t="inlineStr">
        <is>
          <t>Основний</t>
        </is>
      </c>
      <c r="V92" s="88" t="n"/>
      <c r="W92" s="88" t="n"/>
      <c r="X92" s="89">
        <f>IFERROR(IF(OR(V92="",W92="",T92=""),"", IF(T92&gt;W92,"Дорогий",IF(T92&lt;V92,"Дешевий","У ринку"))),"")</f>
        <v/>
      </c>
      <c r="Y92" s="90" t="n"/>
      <c r="Z92" s="104">
        <f>CHOOSE(MATCH(IF($U92="","Основний",$U92),{"Трафіковий","Основний","Маржинальний","Сезонний","Стратегічний"},0),0.16,0.19,0.24,0.23,0.28)</f>
        <v/>
      </c>
      <c r="AA92" s="104">
        <f>CHOOSE(MATCH(IF($U92="","Основний",$U92),{"Трафіковий","Основний","Маржинальний","Сезонний","Стратегічний"},0),0.18,0.21,0.26,0.25,0.3)</f>
        <v/>
      </c>
      <c r="AB92" s="104">
        <f>CHOOSE(MATCH(IF($U92="","Основний",$U92),{"Трафіковий","Основний","Маржинальний","Сезонний","Стратегічний"},0),0.19,0.22,0.28,0.26,0.32)</f>
        <v/>
      </c>
      <c r="AC92" s="104">
        <f>CHOOSE(MATCH(IF($U92="","Основний",$U92),{"Трафіковий","Основний","Маржинальний","Сезонний","Стратегічний"},0),0.17,0.2,0.25,0.24,0.28)</f>
        <v/>
      </c>
      <c r="AD92" s="104">
        <f>CHOOSE(MATCH(IF($U92="","Основний",$U92),{"Трафіковий","Основний","Маржинальний","Сезонний","Стратегічний"},0),0.18,0.21,0.26,0.25,0.3)</f>
        <v/>
      </c>
      <c r="AE92" s="104">
        <f>CHOOSE(MATCH(IF($U92="","Основний",$U92),{"Трафіковий","Основний","Маржинальний","Сезонний","Стратегічний"},0),0.18,0.2,0.28,0.27,0.32)</f>
        <v/>
      </c>
      <c r="AF92" s="104">
        <f>CHOOSE(MATCH(IF($U92="","Основний",$U92),{"Трафіковий","Основний","Маржинальний","Сезонний","Стратегічний"},0),0.15,0.175,0.22,0.21,0.25)</f>
        <v/>
      </c>
      <c r="AG92" s="104">
        <f>CHOOSE(MATCH(IF($U92="","Основний",$U92),{"Трафіковий","Основний","Маржинальний","Сезонний","Стратегічний"},0),0.13,0.16,0.21,0.2,0.25)</f>
        <v/>
      </c>
      <c r="AH92" s="104">
        <f>CHOOSE(MATCH(IF($U92="","Основний",$U92),{"Трафіковий","Основний","Маржинальний","Сезонний","Стратегічний"},0),0.15,0.18,0.23,0.22,0.27)</f>
        <v/>
      </c>
      <c r="AI92" s="104">
        <f>CHOOSE(MATCH(IF($U92="","Основний",$U92),{"Трафіковий","Основний","Маржинальний","Сезонний","Стратегічний"},0),0.16,0.19,0.25,0.23,0.29)</f>
        <v/>
      </c>
      <c r="AJ92" s="104">
        <f>CHOOSE(MATCH(IF($U92="","Основний",$U92),{"Трафіковий","Основний","Маржинальний","Сезонний","Стратегічний"},0),0.14,0.17,0.22,0.21,0.25)</f>
        <v/>
      </c>
      <c r="AK92" s="104">
        <f>CHOOSE(MATCH(IF($U92="","Основний",$U92),{"Трафіковий","Основний","Маржинальний","Сезонний","Стратегічний"},0),0.15,0.18,0.23,0.22,0.27)</f>
        <v/>
      </c>
      <c r="AL92" s="104">
        <f>CHOOSE(MATCH(IF($U92="","Основний",$U92),{"Трафіковий","Основний","Маржинальний","Сезонний","Стратегічний"},0),0.15,0.17,0.25,0.24,0.29)</f>
        <v/>
      </c>
      <c r="AM92" s="104">
        <f>CHOOSE(MATCH(IF($U92="","Основний",$U92),{"Трафіковий","Основний","Маржинальний","Сезонний","Стратегічний"},0),0.12,0.145,0.19,0.18,0.22)</f>
        <v/>
      </c>
      <c r="AN92" s="157">
        <f>CHOOSE(MATCH(IF($U92="","Основний",$U92),{"Трафіковий","Основний","Маржинальний","Сезонний","Стратегічний"},0),Settings!$B$78,Settings!$B$80,Settings!$B$82,Settings!$B$84,Settings!$B$86)</f>
        <v/>
      </c>
      <c r="AO92" s="157">
        <f>CHOOSE(MATCH(IF($U92="","Основний",$U92),{"Трафіковий","Основний","Маржинальний","Сезонний","Стратегічний"},0),Settings!$C$78,Settings!$C$80,Settings!$C$82,Settings!$C$84,Settings!$C$86)</f>
        <v/>
      </c>
      <c r="AP92" s="157">
        <f>CHOOSE(MATCH(IF($U92="","Основний",$U92),{"Трафіковий","Основний","Маржинальний","Сезонний","Стратегічний"},0),Settings!$D$78,Settings!$D$80,Settings!$D$82,Settings!$D$84,Settings!$D$86)</f>
        <v/>
      </c>
      <c r="AQ92" s="157">
        <f>CHOOSE(MATCH(IF($U92="","Основний",$U92),{"Трафіковий","Основний","Маржинальний","Сезонний","Стратегічний"},0),Settings!$F$78,Settings!$F$80,Settings!$F$82,Settings!$F$84,Settings!$F$86)</f>
        <v/>
      </c>
      <c r="AR92" s="157">
        <f>CHOOSE(MATCH(IF($U92="","Основний",$U92),{"Трафіковий","Основний","Маржинальний","Сезонний","Стратегічний"},0),Settings!$G$78,Settings!$G$80,Settings!$G$82,Settings!$G$84,Settings!$G$86)</f>
        <v/>
      </c>
      <c r="AS92" s="157">
        <f>CHOOSE(MATCH(IF($U92="","Основний",$U92),{"Трафіковий","Основний","Маржинальний","Сезонний","Стратегічний"},0),Settings!$H$78,Settings!$H$80,Settings!$H$82,Settings!$H$84,Settings!$H$86)</f>
        <v/>
      </c>
      <c r="AT92" s="157">
        <f>CHOOSE(MATCH(IF($U92="","Основний",$U92),{"Трафіковий","Основний","Маржинальний","Сезонний","Стратегічний"},0),Settings!$I$78,Settings!$I$80,Settings!$I$82,Settings!$I$84,Settings!$I$86)</f>
        <v/>
      </c>
      <c r="AU92" s="171" t="n"/>
      <c r="AV92" t="n">
        <v>1.35</v>
      </c>
    </row>
    <row r="93">
      <c r="A93" s="33" t="n"/>
      <c r="B93" s="34" t="inlineStr">
        <is>
          <t>P3540</t>
        </is>
      </c>
      <c r="C93" s="34" t="inlineStr">
        <is>
          <t>HEADLAMP 3 LED 2×CR2032 8PCS</t>
        </is>
      </c>
      <c r="D93" s="34" t="inlineStr">
        <is>
          <t>Ліхтарі</t>
        </is>
      </c>
      <c r="E93" s="33" t="inlineStr">
        <is>
          <t>PC</t>
        </is>
      </c>
      <c r="F93" s="94" t="n">
        <v>3.979</v>
      </c>
      <c r="G93" s="35" t="n">
        <v>8513100000</v>
      </c>
      <c r="H93" s="31" t="n">
        <v>1.4</v>
      </c>
      <c r="I93" s="84">
        <f>IFERROR(F93*Settings!$B$2*H93*IF(AND(ISNUMBER(E93),E93&gt;1),E93,1),"")</f>
        <v/>
      </c>
      <c r="J93" s="32">
        <f>Settings!$B$66</f>
        <v/>
      </c>
      <c r="K93" s="95">
        <f>IFERROR(IF(T93="","",(T93*(1-AN93)*(1-Settings!$B$17)-I93)/(T93*(1-AN93)*(1-Settings!$B$17))),"")</f>
        <v/>
      </c>
      <c r="L93" s="101">
        <f>IFERROR(IF(T93="","",(T93*(1-AO93)*(1-Settings!$C$17)-I93)/(T93*(1-AO93)*(1-Settings!$C$17))),"")</f>
        <v/>
      </c>
      <c r="M93" s="101">
        <f>IFERROR(IF(T93="","",(T93*(1-AP93)*(1-Settings!$D$17)-I93)/(T93*(1-AP93)*(1-Settings!$D$17))),"")</f>
        <v/>
      </c>
      <c r="N93" s="101">
        <f>IFERROR(IF(T93="","",(T93*(1-AQ93)*(1-Settings!$F$17)-I93)/(T93*(1-AQ93)*(1-Settings!$F$17))),"")</f>
        <v/>
      </c>
      <c r="O93" s="101">
        <f>IFERROR(IF(T93="","",(T93*(1-AR93)*(1-Settings!$G$17)-I93)/(T93*(1-AR93)*(1-Settings!$G$17))),"")</f>
        <v/>
      </c>
      <c r="P93" s="101">
        <f>IFERROR(IF(T93="","",(T93*(1-AS93)*(1-Settings!$H$17)-I93)/(T93*(1-AS93)*(1-Settings!$H$17))),"")</f>
        <v/>
      </c>
      <c r="Q93" s="101">
        <f>IFERROR(IF(T93="","",(T93*(1-AT93)*(1-Settings!$I$68)*(1-Settings!$I$17)-I93)/(T93*(1-AT93)*(1-Settings!$I$68)*(1-Settings!$I$17))),"")</f>
        <v/>
      </c>
      <c r="R93" s="91">
        <f>IFERROR(IF(OR(I93="",Z93&gt;=1,Settings!$B$17&gt;=1,AN93&gt;=1),"",IF(MOD(ROUND(I93/(1-Z93)/(1-Settings!$B$17)/(1-AN93),0),10)=0,ROUND(I93/(1-Z93)/(1-Settings!$B$17)/(1-AN93),0)-1,IF(MOD(ROUND(I93/(1-Z93)/(1-Settings!$B$17)/(1-AN93),0),10)&lt;=5,FLOOR(ROUND(I93/(1-Z93)/(1-Settings!$B$17)/(1-AN93),0),10)+6,FLOOR(ROUND(I93/(1-Z93)/(1-Settings!$B$17)/(1-AN93),0),10)+9))),"")</f>
        <v/>
      </c>
      <c r="S93" s="92" t="n">
        <v>500</v>
      </c>
      <c r="T93" s="91">
        <f>IF(S93&lt;&gt;"", IF(MOD(S93,10)=0,S93-1,IF(MOD(S93,10)&lt;=5,FLOOR(S93,10)+6,FLOOR(S93,10)+9)), R93)</f>
        <v/>
      </c>
      <c r="U93" s="87" t="inlineStr">
        <is>
          <t>Основний</t>
        </is>
      </c>
      <c r="V93" s="88" t="n"/>
      <c r="W93" s="88" t="n"/>
      <c r="X93" s="89">
        <f>IFERROR(IF(OR(V93="",W93="",T93=""),"", IF(T93&gt;W93,"Дорогий",IF(T93&lt;V93,"Дешевий","У ринку"))),"")</f>
        <v/>
      </c>
      <c r="Y93" s="90" t="n"/>
      <c r="Z93" s="104">
        <f>CHOOSE(MATCH(IF($U93="","Основний",$U93),{"Трафіковий","Основний","Маржинальний","Сезонний","Стратегічний"},0),0.16,0.19,0.24,0.23,0.28)</f>
        <v/>
      </c>
      <c r="AA93" s="104">
        <f>CHOOSE(MATCH(IF($U93="","Основний",$U93),{"Трафіковий","Основний","Маржинальний","Сезонний","Стратегічний"},0),0.18,0.21,0.26,0.25,0.3)</f>
        <v/>
      </c>
      <c r="AB93" s="104">
        <f>CHOOSE(MATCH(IF($U93="","Основний",$U93),{"Трафіковий","Основний","Маржинальний","Сезонний","Стратегічний"},0),0.19,0.22,0.28,0.26,0.32)</f>
        <v/>
      </c>
      <c r="AC93" s="104">
        <f>CHOOSE(MATCH(IF($U93="","Основний",$U93),{"Трафіковий","Основний","Маржинальний","Сезонний","Стратегічний"},0),0.17,0.2,0.25,0.24,0.28)</f>
        <v/>
      </c>
      <c r="AD93" s="104">
        <f>CHOOSE(MATCH(IF($U93="","Основний",$U93),{"Трафіковий","Основний","Маржинальний","Сезонний","Стратегічний"},0),0.18,0.21,0.26,0.25,0.3)</f>
        <v/>
      </c>
      <c r="AE93" s="104">
        <f>CHOOSE(MATCH(IF($U93="","Основний",$U93),{"Трафіковий","Основний","Маржинальний","Сезонний","Стратегічний"},0),0.18,0.2,0.28,0.27,0.32)</f>
        <v/>
      </c>
      <c r="AF93" s="104">
        <f>CHOOSE(MATCH(IF($U93="","Основний",$U93),{"Трафіковий","Основний","Маржинальний","Сезонний","Стратегічний"},0),0.15,0.175,0.22,0.21,0.25)</f>
        <v/>
      </c>
      <c r="AG93" s="104">
        <f>CHOOSE(MATCH(IF($U93="","Основний",$U93),{"Трафіковий","Основний","Маржинальний","Сезонний","Стратегічний"},0),0.13,0.16,0.21,0.2,0.25)</f>
        <v/>
      </c>
      <c r="AH93" s="104">
        <f>CHOOSE(MATCH(IF($U93="","Основний",$U93),{"Трафіковий","Основний","Маржинальний","Сезонний","Стратегічний"},0),0.15,0.18,0.23,0.22,0.27)</f>
        <v/>
      </c>
      <c r="AI93" s="104">
        <f>CHOOSE(MATCH(IF($U93="","Основний",$U93),{"Трафіковий","Основний","Маржинальний","Сезонний","Стратегічний"},0),0.16,0.19,0.25,0.23,0.29)</f>
        <v/>
      </c>
      <c r="AJ93" s="104">
        <f>CHOOSE(MATCH(IF($U93="","Основний",$U93),{"Трафіковий","Основний","Маржинальний","Сезонний","Стратегічний"},0),0.14,0.17,0.22,0.21,0.25)</f>
        <v/>
      </c>
      <c r="AK93" s="104">
        <f>CHOOSE(MATCH(IF($U93="","Основний",$U93),{"Трафіковий","Основний","Маржинальний","Сезонний","Стратегічний"},0),0.15,0.18,0.23,0.22,0.27)</f>
        <v/>
      </c>
      <c r="AL93" s="104">
        <f>CHOOSE(MATCH(IF($U93="","Основний",$U93),{"Трафіковий","Основний","Маржинальний","Сезонний","Стратегічний"},0),0.15,0.17,0.25,0.24,0.29)</f>
        <v/>
      </c>
      <c r="AM93" s="104">
        <f>CHOOSE(MATCH(IF($U93="","Основний",$U93),{"Трафіковий","Основний","Маржинальний","Сезонний","Стратегічний"},0),0.12,0.145,0.19,0.18,0.22)</f>
        <v/>
      </c>
      <c r="AN93" s="157">
        <f>CHOOSE(MATCH(IF($U93="","Основний",$U93),{"Трафіковий","Основний","Маржинальний","Сезонний","Стратегічний"},0),Settings!$B$78,Settings!$B$80,Settings!$B$82,Settings!$B$84,Settings!$B$86)</f>
        <v/>
      </c>
      <c r="AO93" s="157">
        <f>CHOOSE(MATCH(IF($U93="","Основний",$U93),{"Трафіковий","Основний","Маржинальний","Сезонний","Стратегічний"},0),Settings!$C$78,Settings!$C$80,Settings!$C$82,Settings!$C$84,Settings!$C$86)</f>
        <v/>
      </c>
      <c r="AP93" s="157">
        <f>CHOOSE(MATCH(IF($U93="","Основний",$U93),{"Трафіковий","Основний","Маржинальний","Сезонний","Стратегічний"},0),Settings!$D$78,Settings!$D$80,Settings!$D$82,Settings!$D$84,Settings!$D$86)</f>
        <v/>
      </c>
      <c r="AQ93" s="157">
        <f>CHOOSE(MATCH(IF($U93="","Основний",$U93),{"Трафіковий","Основний","Маржинальний","Сезонний","Стратегічний"},0),Settings!$F$78,Settings!$F$80,Settings!$F$82,Settings!$F$84,Settings!$F$86)</f>
        <v/>
      </c>
      <c r="AR93" s="157">
        <f>CHOOSE(MATCH(IF($U93="","Основний",$U93),{"Трафіковий","Основний","Маржинальний","Сезонний","Стратегічний"},0),Settings!$G$78,Settings!$G$80,Settings!$G$82,Settings!$G$84,Settings!$G$86)</f>
        <v/>
      </c>
      <c r="AS93" s="157">
        <f>CHOOSE(MATCH(IF($U93="","Основний",$U93),{"Трафіковий","Основний","Маржинальний","Сезонний","Стратегічний"},0),Settings!$H$78,Settings!$H$80,Settings!$H$82,Settings!$H$84,Settings!$H$86)</f>
        <v/>
      </c>
      <c r="AT93" s="157">
        <f>CHOOSE(MATCH(IF($U93="","Основний",$U93),{"Трафіковий","Основний","Маржинальний","Сезонний","Стратегічний"},0),Settings!$I$78,Settings!$I$80,Settings!$I$82,Settings!$I$84,Settings!$I$86)</f>
        <v/>
      </c>
      <c r="AU93" s="171" t="n"/>
      <c r="AV93" t="n">
        <v>1.35</v>
      </c>
    </row>
    <row r="94">
      <c r="A94" s="28" t="inlineStr">
        <is>
          <t>NEW</t>
        </is>
      </c>
      <c r="B94" s="29" t="inlineStr">
        <is>
          <t>P3543</t>
        </is>
      </c>
      <c r="C94" s="29" t="inlineStr">
        <is>
          <t>SILICON RECHARGEABLE HEADLAMP – BEAR</t>
        </is>
      </c>
      <c r="D94" s="29" t="inlineStr">
        <is>
          <t>Ліхтарі</t>
        </is>
      </c>
      <c r="E94" s="28" t="inlineStr">
        <is>
          <t>PC</t>
        </is>
      </c>
      <c r="F94" s="93" t="n">
        <v>4.242</v>
      </c>
      <c r="G94" s="30" t="n">
        <v>8513100000</v>
      </c>
      <c r="H94" s="31" t="n">
        <v>1.4</v>
      </c>
      <c r="I94" s="84">
        <f>IFERROR(F94*Settings!$B$2*H94*IF(AND(ISNUMBER(E94),E94&gt;1),E94,1),"")</f>
        <v/>
      </c>
      <c r="J94" s="32">
        <f>Settings!$B$66</f>
        <v/>
      </c>
      <c r="K94" s="95">
        <f>IFERROR(IF(T94="","",(T94*(1-AN94)*(1-Settings!$B$17)-I94)/(T94*(1-AN94)*(1-Settings!$B$17))),"")</f>
        <v/>
      </c>
      <c r="L94" s="101">
        <f>IFERROR(IF(T94="","",(T94*(1-AO94)*(1-Settings!$C$17)-I94)/(T94*(1-AO94)*(1-Settings!$C$17))),"")</f>
        <v/>
      </c>
      <c r="M94" s="101">
        <f>IFERROR(IF(T94="","",(T94*(1-AP94)*(1-Settings!$D$17)-I94)/(T94*(1-AP94)*(1-Settings!$D$17))),"")</f>
        <v/>
      </c>
      <c r="N94" s="101">
        <f>IFERROR(IF(T94="","",(T94*(1-AQ94)*(1-Settings!$F$17)-I94)/(T94*(1-AQ94)*(1-Settings!$F$17))),"")</f>
        <v/>
      </c>
      <c r="O94" s="101">
        <f>IFERROR(IF(T94="","",(T94*(1-AR94)*(1-Settings!$G$17)-I94)/(T94*(1-AR94)*(1-Settings!$G$17))),"")</f>
        <v/>
      </c>
      <c r="P94" s="101">
        <f>IFERROR(IF(T94="","",(T94*(1-AS94)*(1-Settings!$H$17)-I94)/(T94*(1-AS94)*(1-Settings!$H$17))),"")</f>
        <v/>
      </c>
      <c r="Q94" s="101">
        <f>IFERROR(IF(T94="","",(T94*(1-AT94)*(1-Settings!$I$68)*(1-Settings!$I$17)-I94)/(T94*(1-AT94)*(1-Settings!$I$68)*(1-Settings!$I$17))),"")</f>
        <v/>
      </c>
      <c r="R94" s="91">
        <f>IFERROR(IF(OR(I94="",Z94&gt;=1,Settings!$B$17&gt;=1,AN94&gt;=1),"",IF(MOD(ROUND(I94/(1-Z94)/(1-Settings!$B$17)/(1-AN94),0),10)=0,ROUND(I94/(1-Z94)/(1-Settings!$B$17)/(1-AN94),0)-1,IF(MOD(ROUND(I94/(1-Z94)/(1-Settings!$B$17)/(1-AN94),0),10)&lt;=5,FLOOR(ROUND(I94/(1-Z94)/(1-Settings!$B$17)/(1-AN94),0),10)+6,FLOOR(ROUND(I94/(1-Z94)/(1-Settings!$B$17)/(1-AN94),0),10)+9))),"")</f>
        <v/>
      </c>
      <c r="S94" s="92" t="n">
        <v>550</v>
      </c>
      <c r="T94" s="91">
        <f>IF(S94&lt;&gt;"", IF(MOD(S94,10)=0,S94-1,IF(MOD(S94,10)&lt;=5,FLOOR(S94,10)+6,FLOOR(S94,10)+9)), R94)</f>
        <v/>
      </c>
      <c r="U94" s="87" t="inlineStr">
        <is>
          <t>Основний</t>
        </is>
      </c>
      <c r="V94" s="88" t="n"/>
      <c r="W94" s="88" t="n"/>
      <c r="X94" s="89">
        <f>IFERROR(IF(OR(V94="",W94="",T94=""),"", IF(T94&gt;W94,"Дорогий",IF(T94&lt;V94,"Дешевий","У ринку"))),"")</f>
        <v/>
      </c>
      <c r="Y94" s="90" t="n"/>
      <c r="Z94" s="104">
        <f>CHOOSE(MATCH(IF($U94="","Основний",$U94),{"Трафіковий","Основний","Маржинальний","Сезонний","Стратегічний"},0),0.16,0.19,0.24,0.23,0.28)</f>
        <v/>
      </c>
      <c r="AA94" s="104">
        <f>CHOOSE(MATCH(IF($U94="","Основний",$U94),{"Трафіковий","Основний","Маржинальний","Сезонний","Стратегічний"},0),0.18,0.21,0.26,0.25,0.3)</f>
        <v/>
      </c>
      <c r="AB94" s="104">
        <f>CHOOSE(MATCH(IF($U94="","Основний",$U94),{"Трафіковий","Основний","Маржинальний","Сезонний","Стратегічний"},0),0.19,0.22,0.28,0.26,0.32)</f>
        <v/>
      </c>
      <c r="AC94" s="104">
        <f>CHOOSE(MATCH(IF($U94="","Основний",$U94),{"Трафіковий","Основний","Маржинальний","Сезонний","Стратегічний"},0),0.17,0.2,0.25,0.24,0.28)</f>
        <v/>
      </c>
      <c r="AD94" s="104">
        <f>CHOOSE(MATCH(IF($U94="","Основний",$U94),{"Трафіковий","Основний","Маржинальний","Сезонний","Стратегічний"},0),0.18,0.21,0.26,0.25,0.3)</f>
        <v/>
      </c>
      <c r="AE94" s="104">
        <f>CHOOSE(MATCH(IF($U94="","Основний",$U94),{"Трафіковий","Основний","Маржинальний","Сезонний","Стратегічний"},0),0.18,0.2,0.28,0.27,0.32)</f>
        <v/>
      </c>
      <c r="AF94" s="104">
        <f>CHOOSE(MATCH(IF($U94="","Основний",$U94),{"Трафіковий","Основний","Маржинальний","Сезонний","Стратегічний"},0),0.15,0.175,0.22,0.21,0.25)</f>
        <v/>
      </c>
      <c r="AG94" s="104">
        <f>CHOOSE(MATCH(IF($U94="","Основний",$U94),{"Трафіковий","Основний","Маржинальний","Сезонний","Стратегічний"},0),0.13,0.16,0.21,0.2,0.25)</f>
        <v/>
      </c>
      <c r="AH94" s="104">
        <f>CHOOSE(MATCH(IF($U94="","Основний",$U94),{"Трафіковий","Основний","Маржинальний","Сезонний","Стратегічний"},0),0.15,0.18,0.23,0.22,0.27)</f>
        <v/>
      </c>
      <c r="AI94" s="104">
        <f>CHOOSE(MATCH(IF($U94="","Основний",$U94),{"Трафіковий","Основний","Маржинальний","Сезонний","Стратегічний"},0),0.16,0.19,0.25,0.23,0.29)</f>
        <v/>
      </c>
      <c r="AJ94" s="104">
        <f>CHOOSE(MATCH(IF($U94="","Основний",$U94),{"Трафіковий","Основний","Маржинальний","Сезонний","Стратегічний"},0),0.14,0.17,0.22,0.21,0.25)</f>
        <v/>
      </c>
      <c r="AK94" s="104">
        <f>CHOOSE(MATCH(IF($U94="","Основний",$U94),{"Трафіковий","Основний","Маржинальний","Сезонний","Стратегічний"},0),0.15,0.18,0.23,0.22,0.27)</f>
        <v/>
      </c>
      <c r="AL94" s="104">
        <f>CHOOSE(MATCH(IF($U94="","Основний",$U94),{"Трафіковий","Основний","Маржинальний","Сезонний","Стратегічний"},0),0.15,0.17,0.25,0.24,0.29)</f>
        <v/>
      </c>
      <c r="AM94" s="104">
        <f>CHOOSE(MATCH(IF($U94="","Основний",$U94),{"Трафіковий","Основний","Маржинальний","Сезонний","Стратегічний"},0),0.12,0.145,0.19,0.18,0.22)</f>
        <v/>
      </c>
      <c r="AN94" s="157">
        <f>CHOOSE(MATCH(IF($U94="","Основний",$U94),{"Трафіковий","Основний","Маржинальний","Сезонний","Стратегічний"},0),Settings!$B$78,Settings!$B$80,Settings!$B$82,Settings!$B$84,Settings!$B$86)</f>
        <v/>
      </c>
      <c r="AO94" s="157">
        <f>CHOOSE(MATCH(IF($U94="","Основний",$U94),{"Трафіковий","Основний","Маржинальний","Сезонний","Стратегічний"},0),Settings!$C$78,Settings!$C$80,Settings!$C$82,Settings!$C$84,Settings!$C$86)</f>
        <v/>
      </c>
      <c r="AP94" s="157">
        <f>CHOOSE(MATCH(IF($U94="","Основний",$U94),{"Трафіковий","Основний","Маржинальний","Сезонний","Стратегічний"},0),Settings!$D$78,Settings!$D$80,Settings!$D$82,Settings!$D$84,Settings!$D$86)</f>
        <v/>
      </c>
      <c r="AQ94" s="157">
        <f>CHOOSE(MATCH(IF($U94="","Основний",$U94),{"Трафіковий","Основний","Маржинальний","Сезонний","Стратегічний"},0),Settings!$F$78,Settings!$F$80,Settings!$F$82,Settings!$F$84,Settings!$F$86)</f>
        <v/>
      </c>
      <c r="AR94" s="157">
        <f>CHOOSE(MATCH(IF($U94="","Основний",$U94),{"Трафіковий","Основний","Маржинальний","Сезонний","Стратегічний"},0),Settings!$G$78,Settings!$G$80,Settings!$G$82,Settings!$G$84,Settings!$G$86)</f>
        <v/>
      </c>
      <c r="AS94" s="157">
        <f>CHOOSE(MATCH(IF($U94="","Основний",$U94),{"Трафіковий","Основний","Маржинальний","Сезонний","Стратегічний"},0),Settings!$H$78,Settings!$H$80,Settings!$H$82,Settings!$H$84,Settings!$H$86)</f>
        <v/>
      </c>
      <c r="AT94" s="157">
        <f>CHOOSE(MATCH(IF($U94="","Основний",$U94),{"Трафіковий","Основний","Маржинальний","Сезонний","Стратегічний"},0),Settings!$I$78,Settings!$I$80,Settings!$I$82,Settings!$I$84,Settings!$I$86)</f>
        <v/>
      </c>
      <c r="AU94" s="171" t="n"/>
      <c r="AV94" t="n">
        <v>1.35</v>
      </c>
    </row>
    <row r="95">
      <c r="A95" s="33" t="inlineStr">
        <is>
          <t>NEW</t>
        </is>
      </c>
      <c r="B95" s="34" t="inlineStr">
        <is>
          <t>P3216</t>
        </is>
      </c>
      <c r="C95" s="34" t="inlineStr">
        <is>
          <t>SILICON SMD LED+LED RECH. FLASHLIGHT 25 LM</t>
        </is>
      </c>
      <c r="D95" s="34" t="inlineStr">
        <is>
          <t>Ліхтарі</t>
        </is>
      </c>
      <c r="E95" s="33" t="inlineStr">
        <is>
          <t>PC</t>
        </is>
      </c>
      <c r="F95" s="94" t="n">
        <v>7.49</v>
      </c>
      <c r="G95" s="35" t="n">
        <v>8513100000</v>
      </c>
      <c r="H95" s="31" t="n">
        <v>1.4</v>
      </c>
      <c r="I95" s="84">
        <f>IFERROR(F95*Settings!$B$2*H95*IF(AND(ISNUMBER(E95),E95&gt;1),E95,1),"")</f>
        <v/>
      </c>
      <c r="J95" s="32">
        <f>Settings!$B$66</f>
        <v/>
      </c>
      <c r="K95" s="95">
        <f>IFERROR(IF(T95="","",(T95*(1-AN95)*(1-Settings!$B$17)-I95)/(T95*(1-AN95)*(1-Settings!$B$17))),"")</f>
        <v/>
      </c>
      <c r="L95" s="101">
        <f>IFERROR(IF(T95="","",(T95*(1-AO95)*(1-Settings!$C$17)-I95)/(T95*(1-AO95)*(1-Settings!$C$17))),"")</f>
        <v/>
      </c>
      <c r="M95" s="101">
        <f>IFERROR(IF(T95="","",(T95*(1-AP95)*(1-Settings!$D$17)-I95)/(T95*(1-AP95)*(1-Settings!$D$17))),"")</f>
        <v/>
      </c>
      <c r="N95" s="101">
        <f>IFERROR(IF(T95="","",(T95*(1-AQ95)*(1-Settings!$F$17)-I95)/(T95*(1-AQ95)*(1-Settings!$F$17))),"")</f>
        <v/>
      </c>
      <c r="O95" s="101">
        <f>IFERROR(IF(T95="","",(T95*(1-AR95)*(1-Settings!$G$17)-I95)/(T95*(1-AR95)*(1-Settings!$G$17))),"")</f>
        <v/>
      </c>
      <c r="P95" s="101">
        <f>IFERROR(IF(T95="","",(T95*(1-AS95)*(1-Settings!$H$17)-I95)/(T95*(1-AS95)*(1-Settings!$H$17))),"")</f>
        <v/>
      </c>
      <c r="Q95" s="101">
        <f>IFERROR(IF(T95="","",(T95*(1-AT95)*(1-Settings!$I$68)*(1-Settings!$I$17)-I95)/(T95*(1-AT95)*(1-Settings!$I$68)*(1-Settings!$I$17))),"")</f>
        <v/>
      </c>
      <c r="R95" s="91">
        <f>IFERROR(IF(OR(I95="",Z95&gt;=1,Settings!$B$17&gt;=1,AN95&gt;=1),"",IF(MOD(ROUND(I95/(1-Z95)/(1-Settings!$B$17)/(1-AN95),0),10)=0,ROUND(I95/(1-Z95)/(1-Settings!$B$17)/(1-AN95),0)-1,IF(MOD(ROUND(I95/(1-Z95)/(1-Settings!$B$17)/(1-AN95),0),10)&lt;=5,FLOOR(ROUND(I95/(1-Z95)/(1-Settings!$B$17)/(1-AN95),0),10)+6,FLOOR(ROUND(I95/(1-Z95)/(1-Settings!$B$17)/(1-AN95),0),10)+9))),"")</f>
        <v/>
      </c>
      <c r="S95" s="92" t="n">
        <v>1000</v>
      </c>
      <c r="T95" s="91">
        <f>IF(S95&lt;&gt;"", IF(MOD(S95,10)=0,S95-1,IF(MOD(S95,10)&lt;=5,FLOOR(S95,10)+6,FLOOR(S95,10)+9)), R95)</f>
        <v/>
      </c>
      <c r="U95" s="87" t="inlineStr">
        <is>
          <t>Основний</t>
        </is>
      </c>
      <c r="V95" s="88" t="n"/>
      <c r="W95" s="88" t="n"/>
      <c r="X95" s="89">
        <f>IFERROR(IF(OR(V95="",W95="",T95=""),"", IF(T95&gt;W95,"Дорогий",IF(T95&lt;V95,"Дешевий","У ринку"))),"")</f>
        <v/>
      </c>
      <c r="Y95" s="90" t="n"/>
      <c r="Z95" s="104">
        <f>CHOOSE(MATCH(IF($U95="","Основний",$U95),{"Трафіковий","Основний","Маржинальний","Сезонний","Стратегічний"},0),0.16,0.19,0.24,0.23,0.28)</f>
        <v/>
      </c>
      <c r="AA95" s="104">
        <f>CHOOSE(MATCH(IF($U95="","Основний",$U95),{"Трафіковий","Основний","Маржинальний","Сезонний","Стратегічний"},0),0.18,0.21,0.26,0.25,0.3)</f>
        <v/>
      </c>
      <c r="AB95" s="104">
        <f>CHOOSE(MATCH(IF($U95="","Основний",$U95),{"Трафіковий","Основний","Маржинальний","Сезонний","Стратегічний"},0),0.19,0.22,0.28,0.26,0.32)</f>
        <v/>
      </c>
      <c r="AC95" s="104">
        <f>CHOOSE(MATCH(IF($U95="","Основний",$U95),{"Трафіковий","Основний","Маржинальний","Сезонний","Стратегічний"},0),0.17,0.2,0.25,0.24,0.28)</f>
        <v/>
      </c>
      <c r="AD95" s="104">
        <f>CHOOSE(MATCH(IF($U95="","Основний",$U95),{"Трафіковий","Основний","Маржинальний","Сезонний","Стратегічний"},0),0.18,0.21,0.26,0.25,0.3)</f>
        <v/>
      </c>
      <c r="AE95" s="104">
        <f>CHOOSE(MATCH(IF($U95="","Основний",$U95),{"Трафіковий","Основний","Маржинальний","Сезонний","Стратегічний"},0),0.18,0.2,0.28,0.27,0.32)</f>
        <v/>
      </c>
      <c r="AF95" s="104">
        <f>CHOOSE(MATCH(IF($U95="","Основний",$U95),{"Трафіковий","Основний","Маржинальний","Сезонний","Стратегічний"},0),0.15,0.175,0.22,0.21,0.25)</f>
        <v/>
      </c>
      <c r="AG95" s="104">
        <f>CHOOSE(MATCH(IF($U95="","Основний",$U95),{"Трафіковий","Основний","Маржинальний","Сезонний","Стратегічний"},0),0.13,0.16,0.21,0.2,0.25)</f>
        <v/>
      </c>
      <c r="AH95" s="104">
        <f>CHOOSE(MATCH(IF($U95="","Основний",$U95),{"Трафіковий","Основний","Маржинальний","Сезонний","Стратегічний"},0),0.15,0.18,0.23,0.22,0.27)</f>
        <v/>
      </c>
      <c r="AI95" s="104">
        <f>CHOOSE(MATCH(IF($U95="","Основний",$U95),{"Трафіковий","Основний","Маржинальний","Сезонний","Стратегічний"},0),0.16,0.19,0.25,0.23,0.29)</f>
        <v/>
      </c>
      <c r="AJ95" s="104">
        <f>CHOOSE(MATCH(IF($U95="","Основний",$U95),{"Трафіковий","Основний","Маржинальний","Сезонний","Стратегічний"},0),0.14,0.17,0.22,0.21,0.25)</f>
        <v/>
      </c>
      <c r="AK95" s="104">
        <f>CHOOSE(MATCH(IF($U95="","Основний",$U95),{"Трафіковий","Основний","Маржинальний","Сезонний","Стратегічний"},0),0.15,0.18,0.23,0.22,0.27)</f>
        <v/>
      </c>
      <c r="AL95" s="104">
        <f>CHOOSE(MATCH(IF($U95="","Основний",$U95),{"Трафіковий","Основний","Маржинальний","Сезонний","Стратегічний"},0),0.15,0.17,0.25,0.24,0.29)</f>
        <v/>
      </c>
      <c r="AM95" s="104">
        <f>CHOOSE(MATCH(IF($U95="","Основний",$U95),{"Трафіковий","Основний","Маржинальний","Сезонний","Стратегічний"},0),0.12,0.145,0.19,0.18,0.22)</f>
        <v/>
      </c>
      <c r="AN95" s="157">
        <f>CHOOSE(MATCH(IF($U95="","Основний",$U95),{"Трафіковий","Основний","Маржинальний","Сезонний","Стратегічний"},0),Settings!$B$78,Settings!$B$80,Settings!$B$82,Settings!$B$84,Settings!$B$86)</f>
        <v/>
      </c>
      <c r="AO95" s="157">
        <f>CHOOSE(MATCH(IF($U95="","Основний",$U95),{"Трафіковий","Основний","Маржинальний","Сезонний","Стратегічний"},0),Settings!$C$78,Settings!$C$80,Settings!$C$82,Settings!$C$84,Settings!$C$86)</f>
        <v/>
      </c>
      <c r="AP95" s="157">
        <f>CHOOSE(MATCH(IF($U95="","Основний",$U95),{"Трафіковий","Основний","Маржинальний","Сезонний","Стратегічний"},0),Settings!$D$78,Settings!$D$80,Settings!$D$82,Settings!$D$84,Settings!$D$86)</f>
        <v/>
      </c>
      <c r="AQ95" s="157">
        <f>CHOOSE(MATCH(IF($U95="","Основний",$U95),{"Трафіковий","Основний","Маржинальний","Сезонний","Стратегічний"},0),Settings!$F$78,Settings!$F$80,Settings!$F$82,Settings!$F$84,Settings!$F$86)</f>
        <v/>
      </c>
      <c r="AR95" s="157">
        <f>CHOOSE(MATCH(IF($U95="","Основний",$U95),{"Трафіковий","Основний","Маржинальний","Сезонний","Стратегічний"},0),Settings!$G$78,Settings!$G$80,Settings!$G$82,Settings!$G$84,Settings!$G$86)</f>
        <v/>
      </c>
      <c r="AS95" s="157">
        <f>CHOOSE(MATCH(IF($U95="","Основний",$U95),{"Трафіковий","Основний","Маржинальний","Сезонний","Стратегічний"},0),Settings!$H$78,Settings!$H$80,Settings!$H$82,Settings!$H$84,Settings!$H$86)</f>
        <v/>
      </c>
      <c r="AT95" s="157">
        <f>CHOOSE(MATCH(IF($U95="","Основний",$U95),{"Трафіковий","Основний","Маржинальний","Сезонний","Стратегічний"},0),Settings!$I$78,Settings!$I$80,Settings!$I$82,Settings!$I$84,Settings!$I$86)</f>
        <v/>
      </c>
      <c r="AU95" s="171" t="n"/>
      <c r="AV95" t="n">
        <v>1.35</v>
      </c>
    </row>
    <row r="96">
      <c r="A96" s="28" t="n"/>
      <c r="B96" s="29" t="inlineStr">
        <is>
          <t>P3887</t>
        </is>
      </c>
      <c r="C96" s="29" t="inlineStr">
        <is>
          <t>LED COB KEYCHAIN 12PCS</t>
        </is>
      </c>
      <c r="D96" s="29" t="inlineStr">
        <is>
          <t>Ліхтарі</t>
        </is>
      </c>
      <c r="E96" s="28" t="inlineStr">
        <is>
          <t>PC</t>
        </is>
      </c>
      <c r="F96" s="93" t="n">
        <v>1.259</v>
      </c>
      <c r="G96" s="30" t="n">
        <v>8513100000</v>
      </c>
      <c r="H96" s="31" t="n">
        <v>1.4</v>
      </c>
      <c r="I96" s="84">
        <f>IFERROR(F96*Settings!$B$2*H96*IF(AND(ISNUMBER(E96),E96&gt;1),E96,1),"")</f>
        <v/>
      </c>
      <c r="J96" s="32">
        <f>Settings!$B$66</f>
        <v/>
      </c>
      <c r="K96" s="95">
        <f>IFERROR(IF(T96="","",(T96*(1-AN96)*(1-Settings!$B$17)-I96)/(T96*(1-AN96)*(1-Settings!$B$17))),"")</f>
        <v/>
      </c>
      <c r="L96" s="101">
        <f>IFERROR(IF(T96="","",(T96*(1-AO96)*(1-Settings!$C$17)-I96)/(T96*(1-AO96)*(1-Settings!$C$17))),"")</f>
        <v/>
      </c>
      <c r="M96" s="101">
        <f>IFERROR(IF(T96="","",(T96*(1-AP96)*(1-Settings!$D$17)-I96)/(T96*(1-AP96)*(1-Settings!$D$17))),"")</f>
        <v/>
      </c>
      <c r="N96" s="101">
        <f>IFERROR(IF(T96="","",(T96*(1-AQ96)*(1-Settings!$F$17)-I96)/(T96*(1-AQ96)*(1-Settings!$F$17))),"")</f>
        <v/>
      </c>
      <c r="O96" s="101">
        <f>IFERROR(IF(T96="","",(T96*(1-AR96)*(1-Settings!$G$17)-I96)/(T96*(1-AR96)*(1-Settings!$G$17))),"")</f>
        <v/>
      </c>
      <c r="P96" s="101">
        <f>IFERROR(IF(T96="","",(T96*(1-AS96)*(1-Settings!$H$17)-I96)/(T96*(1-AS96)*(1-Settings!$H$17))),"")</f>
        <v/>
      </c>
      <c r="Q96" s="101">
        <f>IFERROR(IF(T96="","",(T96*(1-AT96)*(1-Settings!$I$68)*(1-Settings!$I$17)-I96)/(T96*(1-AT96)*(1-Settings!$I$68)*(1-Settings!$I$17))),"")</f>
        <v/>
      </c>
      <c r="R96" s="91">
        <f>IFERROR(IF(OR(I96="",Z96&gt;=1,Settings!$B$17&gt;=1,AN96&gt;=1),"",IF(MOD(ROUND(I96/(1-Z96)/(1-Settings!$B$17)/(1-AN96),0),10)=0,ROUND(I96/(1-Z96)/(1-Settings!$B$17)/(1-AN96),0)-1,IF(MOD(ROUND(I96/(1-Z96)/(1-Settings!$B$17)/(1-AN96),0),10)&lt;=5,FLOOR(ROUND(I96/(1-Z96)/(1-Settings!$B$17)/(1-AN96),0),10)+6,FLOOR(ROUND(I96/(1-Z96)/(1-Settings!$B$17)/(1-AN96),0),10)+9))),"")</f>
        <v/>
      </c>
      <c r="S96" s="92" t="n"/>
      <c r="T96" s="91">
        <f>IF(S96&lt;&gt;"", IF(MOD(S96,10)=0,S96-1,IF(MOD(S96,10)&lt;=5,FLOOR(S96,10)+6,FLOOR(S96,10)+9)), R96)</f>
        <v/>
      </c>
      <c r="U96" s="87" t="inlineStr">
        <is>
          <t>Основний</t>
        </is>
      </c>
      <c r="V96" s="88" t="n"/>
      <c r="W96" s="88" t="n"/>
      <c r="X96" s="89">
        <f>IFERROR(IF(OR(V96="",W96="",T96=""),"", IF(T96&gt;W96,"Дорогий",IF(T96&lt;V96,"Дешевий","У ринку"))),"")</f>
        <v/>
      </c>
      <c r="Y96" s="90" t="n"/>
      <c r="Z96" s="104">
        <f>CHOOSE(MATCH(IF($U96="","Основний",$U96),{"Трафіковий","Основний","Маржинальний","Сезонний","Стратегічний"},0),0.16,0.19,0.24,0.23,0.28)</f>
        <v/>
      </c>
      <c r="AA96" s="104">
        <f>CHOOSE(MATCH(IF($U96="","Основний",$U96),{"Трафіковий","Основний","Маржинальний","Сезонний","Стратегічний"},0),0.18,0.21,0.26,0.25,0.3)</f>
        <v/>
      </c>
      <c r="AB96" s="104">
        <f>CHOOSE(MATCH(IF($U96="","Основний",$U96),{"Трафіковий","Основний","Маржинальний","Сезонний","Стратегічний"},0),0.19,0.22,0.28,0.26,0.32)</f>
        <v/>
      </c>
      <c r="AC96" s="104">
        <f>CHOOSE(MATCH(IF($U96="","Основний",$U96),{"Трафіковий","Основний","Маржинальний","Сезонний","Стратегічний"},0),0.17,0.2,0.25,0.24,0.28)</f>
        <v/>
      </c>
      <c r="AD96" s="104">
        <f>CHOOSE(MATCH(IF($U96="","Основний",$U96),{"Трафіковий","Основний","Маржинальний","Сезонний","Стратегічний"},0),0.18,0.21,0.26,0.25,0.3)</f>
        <v/>
      </c>
      <c r="AE96" s="104">
        <f>CHOOSE(MATCH(IF($U96="","Основний",$U96),{"Трафіковий","Основний","Маржинальний","Сезонний","Стратегічний"},0),0.18,0.2,0.28,0.27,0.32)</f>
        <v/>
      </c>
      <c r="AF96" s="104">
        <f>CHOOSE(MATCH(IF($U96="","Основний",$U96),{"Трафіковий","Основний","Маржинальний","Сезонний","Стратегічний"},0),0.15,0.175,0.22,0.21,0.25)</f>
        <v/>
      </c>
      <c r="AG96" s="104">
        <f>CHOOSE(MATCH(IF($U96="","Основний",$U96),{"Трафіковий","Основний","Маржинальний","Сезонний","Стратегічний"},0),0.13,0.16,0.21,0.2,0.25)</f>
        <v/>
      </c>
      <c r="AH96" s="104">
        <f>CHOOSE(MATCH(IF($U96="","Основний",$U96),{"Трафіковий","Основний","Маржинальний","Сезонний","Стратегічний"},0),0.15,0.18,0.23,0.22,0.27)</f>
        <v/>
      </c>
      <c r="AI96" s="104">
        <f>CHOOSE(MATCH(IF($U96="","Основний",$U96),{"Трафіковий","Основний","Маржинальний","Сезонний","Стратегічний"},0),0.16,0.19,0.25,0.23,0.29)</f>
        <v/>
      </c>
      <c r="AJ96" s="104">
        <f>CHOOSE(MATCH(IF($U96="","Основний",$U96),{"Трафіковий","Основний","Маржинальний","Сезонний","Стратегічний"},0),0.14,0.17,0.22,0.21,0.25)</f>
        <v/>
      </c>
      <c r="AK96" s="104">
        <f>CHOOSE(MATCH(IF($U96="","Основний",$U96),{"Трафіковий","Основний","Маржинальний","Сезонний","Стратегічний"},0),0.15,0.18,0.23,0.22,0.27)</f>
        <v/>
      </c>
      <c r="AL96" s="104">
        <f>CHOOSE(MATCH(IF($U96="","Основний",$U96),{"Трафіковий","Основний","Маржинальний","Сезонний","Стратегічний"},0),0.15,0.17,0.25,0.24,0.29)</f>
        <v/>
      </c>
      <c r="AM96" s="104">
        <f>CHOOSE(MATCH(IF($U96="","Основний",$U96),{"Трафіковий","Основний","Маржинальний","Сезонний","Стратегічний"},0),0.12,0.145,0.19,0.18,0.22)</f>
        <v/>
      </c>
      <c r="AN96" s="157">
        <f>CHOOSE(MATCH(IF($U96="","Основний",$U96),{"Трафіковий","Основний","Маржинальний","Сезонний","Стратегічний"},0),Settings!$B$78,Settings!$B$80,Settings!$B$82,Settings!$B$84,Settings!$B$86)</f>
        <v/>
      </c>
      <c r="AO96" s="157">
        <f>CHOOSE(MATCH(IF($U96="","Основний",$U96),{"Трафіковий","Основний","Маржинальний","Сезонний","Стратегічний"},0),Settings!$C$78,Settings!$C$80,Settings!$C$82,Settings!$C$84,Settings!$C$86)</f>
        <v/>
      </c>
      <c r="AP96" s="157">
        <f>CHOOSE(MATCH(IF($U96="","Основний",$U96),{"Трафіковий","Основний","Маржинальний","Сезонний","Стратегічний"},0),Settings!$D$78,Settings!$D$80,Settings!$D$82,Settings!$D$84,Settings!$D$86)</f>
        <v/>
      </c>
      <c r="AQ96" s="157">
        <f>CHOOSE(MATCH(IF($U96="","Основний",$U96),{"Трафіковий","Основний","Маржинальний","Сезонний","Стратегічний"},0),Settings!$F$78,Settings!$F$80,Settings!$F$82,Settings!$F$84,Settings!$F$86)</f>
        <v/>
      </c>
      <c r="AR96" s="157">
        <f>CHOOSE(MATCH(IF($U96="","Основний",$U96),{"Трафіковий","Основний","Маржинальний","Сезонний","Стратегічний"},0),Settings!$G$78,Settings!$G$80,Settings!$G$82,Settings!$G$84,Settings!$G$86)</f>
        <v/>
      </c>
      <c r="AS96" s="157">
        <f>CHOOSE(MATCH(IF($U96="","Основний",$U96),{"Трафіковий","Основний","Маржинальний","Сезонний","Стратегічний"},0),Settings!$H$78,Settings!$H$80,Settings!$H$82,Settings!$H$84,Settings!$H$86)</f>
        <v/>
      </c>
      <c r="AT96" s="157">
        <f>CHOOSE(MATCH(IF($U96="","Основний",$U96),{"Трафіковий","Основний","Маржинальний","Сезонний","Стратегічний"},0),Settings!$I$78,Settings!$I$80,Settings!$I$82,Settings!$I$84,Settings!$I$86)</f>
        <v/>
      </c>
      <c r="AU96" s="171" t="n"/>
      <c r="AV96" t="n">
        <v>1.45</v>
      </c>
    </row>
    <row r="97">
      <c r="A97" s="33" t="n"/>
      <c r="B97" s="34" t="inlineStr">
        <is>
          <t>P4711</t>
        </is>
      </c>
      <c r="C97" s="34" t="inlineStr">
        <is>
          <t>LED DINOSAURS WITH SOUND 24PCS</t>
        </is>
      </c>
      <c r="D97" s="34" t="inlineStr">
        <is>
          <t>Ліхтарі</t>
        </is>
      </c>
      <c r="E97" s="33" t="inlineStr">
        <is>
          <t>PC</t>
        </is>
      </c>
      <c r="F97" s="94" t="n">
        <v>1.343</v>
      </c>
      <c r="G97" s="35" t="n">
        <v>8513100000</v>
      </c>
      <c r="H97" s="31" t="n">
        <v>1.4</v>
      </c>
      <c r="I97" s="84">
        <f>IFERROR(F97*Settings!$B$2*H97*IF(AND(ISNUMBER(E97),E97&gt;1),E97,1),"")</f>
        <v/>
      </c>
      <c r="J97" s="32">
        <f>Settings!$B$66</f>
        <v/>
      </c>
      <c r="K97" s="95">
        <f>IFERROR(IF(T97="","",(T97*(1-AN97)*(1-Settings!$B$17)-I97)/(T97*(1-AN97)*(1-Settings!$B$17))),"")</f>
        <v/>
      </c>
      <c r="L97" s="101">
        <f>IFERROR(IF(T97="","",(T97*(1-AO97)*(1-Settings!$C$17)-I97)/(T97*(1-AO97)*(1-Settings!$C$17))),"")</f>
        <v/>
      </c>
      <c r="M97" s="101">
        <f>IFERROR(IF(T97="","",(T97*(1-AP97)*(1-Settings!$D$17)-I97)/(T97*(1-AP97)*(1-Settings!$D$17))),"")</f>
        <v/>
      </c>
      <c r="N97" s="101">
        <f>IFERROR(IF(T97="","",(T97*(1-AQ97)*(1-Settings!$F$17)-I97)/(T97*(1-AQ97)*(1-Settings!$F$17))),"")</f>
        <v/>
      </c>
      <c r="O97" s="101">
        <f>IFERROR(IF(T97="","",(T97*(1-AR97)*(1-Settings!$G$17)-I97)/(T97*(1-AR97)*(1-Settings!$G$17))),"")</f>
        <v/>
      </c>
      <c r="P97" s="101">
        <f>IFERROR(IF(T97="","",(T97*(1-AS97)*(1-Settings!$H$17)-I97)/(T97*(1-AS97)*(1-Settings!$H$17))),"")</f>
        <v/>
      </c>
      <c r="Q97" s="101">
        <f>IFERROR(IF(T97="","",(T97*(1-AT97)*(1-Settings!$I$68)*(1-Settings!$I$17)-I97)/(T97*(1-AT97)*(1-Settings!$I$68)*(1-Settings!$I$17))),"")</f>
        <v/>
      </c>
      <c r="R97" s="91">
        <f>IFERROR(IF(OR(I97="",Z97&gt;=1,Settings!$B$17&gt;=1,AN97&gt;=1),"",IF(MOD(ROUND(I97/(1-Z97)/(1-Settings!$B$17)/(1-AN97),0),10)=0,ROUND(I97/(1-Z97)/(1-Settings!$B$17)/(1-AN97),0)-1,IF(MOD(ROUND(I97/(1-Z97)/(1-Settings!$B$17)/(1-AN97),0),10)&lt;=5,FLOOR(ROUND(I97/(1-Z97)/(1-Settings!$B$17)/(1-AN97),0),10)+6,FLOOR(ROUND(I97/(1-Z97)/(1-Settings!$B$17)/(1-AN97),0),10)+9))),"")</f>
        <v/>
      </c>
      <c r="S97" s="92" t="n"/>
      <c r="T97" s="91">
        <f>IF(S97&lt;&gt;"", IF(MOD(S97,10)=0,S97-1,IF(MOD(S97,10)&lt;=5,FLOOR(S97,10)+6,FLOOR(S97,10)+9)), R97)</f>
        <v/>
      </c>
      <c r="U97" s="87" t="inlineStr">
        <is>
          <t>Основний</t>
        </is>
      </c>
      <c r="V97" s="88" t="n"/>
      <c r="W97" s="88" t="n"/>
      <c r="X97" s="89">
        <f>IFERROR(IF(OR(V97="",W97="",T97=""),"", IF(T97&gt;W97,"Дорогий",IF(T97&lt;V97,"Дешевий","У ринку"))),"")</f>
        <v/>
      </c>
      <c r="Y97" s="90" t="n"/>
      <c r="Z97" s="104">
        <f>CHOOSE(MATCH(IF($U97="","Основний",$U97),{"Трафіковий","Основний","Маржинальний","Сезонний","Стратегічний"},0),0.16,0.19,0.24,0.23,0.28)</f>
        <v/>
      </c>
      <c r="AA97" s="104">
        <f>CHOOSE(MATCH(IF($U97="","Основний",$U97),{"Трафіковий","Основний","Маржинальний","Сезонний","Стратегічний"},0),0.18,0.21,0.26,0.25,0.3)</f>
        <v/>
      </c>
      <c r="AB97" s="104">
        <f>CHOOSE(MATCH(IF($U97="","Основний",$U97),{"Трафіковий","Основний","Маржинальний","Сезонний","Стратегічний"},0),0.19,0.22,0.28,0.26,0.32)</f>
        <v/>
      </c>
      <c r="AC97" s="104">
        <f>CHOOSE(MATCH(IF($U97="","Основний",$U97),{"Трафіковий","Основний","Маржинальний","Сезонний","Стратегічний"},0),0.17,0.2,0.25,0.24,0.28)</f>
        <v/>
      </c>
      <c r="AD97" s="104">
        <f>CHOOSE(MATCH(IF($U97="","Основний",$U97),{"Трафіковий","Основний","Маржинальний","Сезонний","Стратегічний"},0),0.18,0.21,0.26,0.25,0.3)</f>
        <v/>
      </c>
      <c r="AE97" s="104">
        <f>CHOOSE(MATCH(IF($U97="","Основний",$U97),{"Трафіковий","Основний","Маржинальний","Сезонний","Стратегічний"},0),0.18,0.2,0.28,0.27,0.32)</f>
        <v/>
      </c>
      <c r="AF97" s="104">
        <f>CHOOSE(MATCH(IF($U97="","Основний",$U97),{"Трафіковий","Основний","Маржинальний","Сезонний","Стратегічний"},0),0.15,0.175,0.22,0.21,0.25)</f>
        <v/>
      </c>
      <c r="AG97" s="104">
        <f>CHOOSE(MATCH(IF($U97="","Основний",$U97),{"Трафіковий","Основний","Маржинальний","Сезонний","Стратегічний"},0),0.13,0.16,0.21,0.2,0.25)</f>
        <v/>
      </c>
      <c r="AH97" s="104">
        <f>CHOOSE(MATCH(IF($U97="","Основний",$U97),{"Трафіковий","Основний","Маржинальний","Сезонний","Стратегічний"},0),0.15,0.18,0.23,0.22,0.27)</f>
        <v/>
      </c>
      <c r="AI97" s="104">
        <f>CHOOSE(MATCH(IF($U97="","Основний",$U97),{"Трафіковий","Основний","Маржинальний","Сезонний","Стратегічний"},0),0.16,0.19,0.25,0.23,0.29)</f>
        <v/>
      </c>
      <c r="AJ97" s="104">
        <f>CHOOSE(MATCH(IF($U97="","Основний",$U97),{"Трафіковий","Основний","Маржинальний","Сезонний","Стратегічний"},0),0.14,0.17,0.22,0.21,0.25)</f>
        <v/>
      </c>
      <c r="AK97" s="104">
        <f>CHOOSE(MATCH(IF($U97="","Основний",$U97),{"Трафіковий","Основний","Маржинальний","Сезонний","Стратегічний"},0),0.15,0.18,0.23,0.22,0.27)</f>
        <v/>
      </c>
      <c r="AL97" s="104">
        <f>CHOOSE(MATCH(IF($U97="","Основний",$U97),{"Трафіковий","Основний","Маржинальний","Сезонний","Стратегічний"},0),0.15,0.17,0.25,0.24,0.29)</f>
        <v/>
      </c>
      <c r="AM97" s="104">
        <f>CHOOSE(MATCH(IF($U97="","Основний",$U97),{"Трафіковий","Основний","Маржинальний","Сезонний","Стратегічний"},0),0.12,0.145,0.19,0.18,0.22)</f>
        <v/>
      </c>
      <c r="AN97" s="157">
        <f>CHOOSE(MATCH(IF($U97="","Основний",$U97),{"Трафіковий","Основний","Маржинальний","Сезонний","Стратегічний"},0),Settings!$B$78,Settings!$B$80,Settings!$B$82,Settings!$B$84,Settings!$B$86)</f>
        <v/>
      </c>
      <c r="AO97" s="157">
        <f>CHOOSE(MATCH(IF($U97="","Основний",$U97),{"Трафіковий","Основний","Маржинальний","Сезонний","Стратегічний"},0),Settings!$C$78,Settings!$C$80,Settings!$C$82,Settings!$C$84,Settings!$C$86)</f>
        <v/>
      </c>
      <c r="AP97" s="157">
        <f>CHOOSE(MATCH(IF($U97="","Основний",$U97),{"Трафіковий","Основний","Маржинальний","Сезонний","Стратегічний"},0),Settings!$D$78,Settings!$D$80,Settings!$D$82,Settings!$D$84,Settings!$D$86)</f>
        <v/>
      </c>
      <c r="AQ97" s="157">
        <f>CHOOSE(MATCH(IF($U97="","Основний",$U97),{"Трафіковий","Основний","Маржинальний","Сезонний","Стратегічний"},0),Settings!$F$78,Settings!$F$80,Settings!$F$82,Settings!$F$84,Settings!$F$86)</f>
        <v/>
      </c>
      <c r="AR97" s="157">
        <f>CHOOSE(MATCH(IF($U97="","Основний",$U97),{"Трафіковий","Основний","Маржинальний","Сезонний","Стратегічний"},0),Settings!$G$78,Settings!$G$80,Settings!$G$82,Settings!$G$84,Settings!$G$86)</f>
        <v/>
      </c>
      <c r="AS97" s="157">
        <f>CHOOSE(MATCH(IF($U97="","Основний",$U97),{"Трафіковий","Основний","Маржинальний","Сезонний","Стратегічний"},0),Settings!$H$78,Settings!$H$80,Settings!$H$82,Settings!$H$84,Settings!$H$86)</f>
        <v/>
      </c>
      <c r="AT97" s="157">
        <f>CHOOSE(MATCH(IF($U97="","Основний",$U97),{"Трафіковий","Основний","Маржинальний","Сезонний","Стратегічний"},0),Settings!$I$78,Settings!$I$80,Settings!$I$82,Settings!$I$84,Settings!$I$86)</f>
        <v/>
      </c>
      <c r="AU97" s="171" t="n"/>
      <c r="AV97" t="n">
        <v>1.35</v>
      </c>
    </row>
    <row r="98">
      <c r="A98" s="28" t="inlineStr">
        <is>
          <t>SELL OUT</t>
        </is>
      </c>
      <c r="B98" s="29" t="inlineStr">
        <is>
          <t>P4712</t>
        </is>
      </c>
      <c r="C98" s="29" t="inlineStr">
        <is>
          <t>LED UNIVERSE WITH SOUND 24PCS</t>
        </is>
      </c>
      <c r="D98" s="29" t="inlineStr">
        <is>
          <t>Ліхтарі</t>
        </is>
      </c>
      <c r="E98" s="28" t="inlineStr">
        <is>
          <t>PC</t>
        </is>
      </c>
      <c r="F98" s="93" t="n">
        <v>1.154</v>
      </c>
      <c r="G98" s="30" t="n">
        <v>8513100000</v>
      </c>
      <c r="H98" s="31" t="n">
        <v>1.4</v>
      </c>
      <c r="I98" s="84">
        <f>IFERROR(F98*Settings!$B$2*H98*IF(AND(ISNUMBER(E98),E98&gt;1),E98,1),"")</f>
        <v/>
      </c>
      <c r="J98" s="32">
        <f>Settings!$B$66</f>
        <v/>
      </c>
      <c r="K98" s="95">
        <f>IFERROR(IF(T98="","",(T98*(1-AN98)*(1-Settings!$B$17)-I98)/(T98*(1-AN98)*(1-Settings!$B$17))),"")</f>
        <v/>
      </c>
      <c r="L98" s="101">
        <f>IFERROR(IF(T98="","",(T98*(1-AO98)*(1-Settings!$C$17)-I98)/(T98*(1-AO98)*(1-Settings!$C$17))),"")</f>
        <v/>
      </c>
      <c r="M98" s="101">
        <f>IFERROR(IF(T98="","",(T98*(1-AP98)*(1-Settings!$D$17)-I98)/(T98*(1-AP98)*(1-Settings!$D$17))),"")</f>
        <v/>
      </c>
      <c r="N98" s="101">
        <f>IFERROR(IF(T98="","",(T98*(1-AQ98)*(1-Settings!$F$17)-I98)/(T98*(1-AQ98)*(1-Settings!$F$17))),"")</f>
        <v/>
      </c>
      <c r="O98" s="101">
        <f>IFERROR(IF(T98="","",(T98*(1-AR98)*(1-Settings!$G$17)-I98)/(T98*(1-AR98)*(1-Settings!$G$17))),"")</f>
        <v/>
      </c>
      <c r="P98" s="101">
        <f>IFERROR(IF(T98="","",(T98*(1-AS98)*(1-Settings!$H$17)-I98)/(T98*(1-AS98)*(1-Settings!$H$17))),"")</f>
        <v/>
      </c>
      <c r="Q98" s="101">
        <f>IFERROR(IF(T98="","",(T98*(1-AT98)*(1-Settings!$I$68)*(1-Settings!$I$17)-I98)/(T98*(1-AT98)*(1-Settings!$I$68)*(1-Settings!$I$17))),"")</f>
        <v/>
      </c>
      <c r="R98" s="91">
        <f>IFERROR(IF(OR(I98="",Z98&gt;=1,Settings!$B$17&gt;=1,AN98&gt;=1),"",IF(MOD(ROUND(I98/(1-Z98)/(1-Settings!$B$17)/(1-AN98),0),10)=0,ROUND(I98/(1-Z98)/(1-Settings!$B$17)/(1-AN98),0)-1,IF(MOD(ROUND(I98/(1-Z98)/(1-Settings!$B$17)/(1-AN98),0),10)&lt;=5,FLOOR(ROUND(I98/(1-Z98)/(1-Settings!$B$17)/(1-AN98),0),10)+6,FLOOR(ROUND(I98/(1-Z98)/(1-Settings!$B$17)/(1-AN98),0),10)+9))),"")</f>
        <v/>
      </c>
      <c r="S98" s="92" t="n"/>
      <c r="T98" s="91">
        <f>IF(S98&lt;&gt;"", IF(MOD(S98,10)=0,S98-1,IF(MOD(S98,10)&lt;=5,FLOOR(S98,10)+6,FLOOR(S98,10)+9)), R98)</f>
        <v/>
      </c>
      <c r="U98" s="87" t="inlineStr">
        <is>
          <t>Основний</t>
        </is>
      </c>
      <c r="V98" s="88" t="n"/>
      <c r="W98" s="88" t="n"/>
      <c r="X98" s="89">
        <f>IFERROR(IF(OR(V98="",W98="",T98=""),"", IF(T98&gt;W98,"Дорогий",IF(T98&lt;V98,"Дешевий","У ринку"))),"")</f>
        <v/>
      </c>
      <c r="Y98" s="90" t="n"/>
      <c r="Z98" s="104">
        <f>CHOOSE(MATCH(IF($U98="","Основний",$U98),{"Трафіковий","Основний","Маржинальний","Сезонний","Стратегічний"},0),0.16,0.19,0.24,0.23,0.28)</f>
        <v/>
      </c>
      <c r="AA98" s="104">
        <f>CHOOSE(MATCH(IF($U98="","Основний",$U98),{"Трафіковий","Основний","Маржинальний","Сезонний","Стратегічний"},0),0.18,0.21,0.26,0.25,0.3)</f>
        <v/>
      </c>
      <c r="AB98" s="104">
        <f>CHOOSE(MATCH(IF($U98="","Основний",$U98),{"Трафіковий","Основний","Маржинальний","Сезонний","Стратегічний"},0),0.19,0.22,0.28,0.26,0.32)</f>
        <v/>
      </c>
      <c r="AC98" s="104">
        <f>CHOOSE(MATCH(IF($U98="","Основний",$U98),{"Трафіковий","Основний","Маржинальний","Сезонний","Стратегічний"},0),0.17,0.2,0.25,0.24,0.28)</f>
        <v/>
      </c>
      <c r="AD98" s="104">
        <f>CHOOSE(MATCH(IF($U98="","Основний",$U98),{"Трафіковий","Основний","Маржинальний","Сезонний","Стратегічний"},0),0.18,0.21,0.26,0.25,0.3)</f>
        <v/>
      </c>
      <c r="AE98" s="104">
        <f>CHOOSE(MATCH(IF($U98="","Основний",$U98),{"Трафіковий","Основний","Маржинальний","Сезонний","Стратегічний"},0),0.18,0.2,0.28,0.27,0.32)</f>
        <v/>
      </c>
      <c r="AF98" s="104">
        <f>CHOOSE(MATCH(IF($U98="","Основний",$U98),{"Трафіковий","Основний","Маржинальний","Сезонний","Стратегічний"},0),0.15,0.175,0.22,0.21,0.25)</f>
        <v/>
      </c>
      <c r="AG98" s="104">
        <f>CHOOSE(MATCH(IF($U98="","Основний",$U98),{"Трафіковий","Основний","Маржинальний","Сезонний","Стратегічний"},0),0.13,0.16,0.21,0.2,0.25)</f>
        <v/>
      </c>
      <c r="AH98" s="104">
        <f>CHOOSE(MATCH(IF($U98="","Основний",$U98),{"Трафіковий","Основний","Маржинальний","Сезонний","Стратегічний"},0),0.15,0.18,0.23,0.22,0.27)</f>
        <v/>
      </c>
      <c r="AI98" s="104">
        <f>CHOOSE(MATCH(IF($U98="","Основний",$U98),{"Трафіковий","Основний","Маржинальний","Сезонний","Стратегічний"},0),0.16,0.19,0.25,0.23,0.29)</f>
        <v/>
      </c>
      <c r="AJ98" s="104">
        <f>CHOOSE(MATCH(IF($U98="","Основний",$U98),{"Трафіковий","Основний","Маржинальний","Сезонний","Стратегічний"},0),0.14,0.17,0.22,0.21,0.25)</f>
        <v/>
      </c>
      <c r="AK98" s="104">
        <f>CHOOSE(MATCH(IF($U98="","Основний",$U98),{"Трафіковий","Основний","Маржинальний","Сезонний","Стратегічний"},0),0.15,0.18,0.23,0.22,0.27)</f>
        <v/>
      </c>
      <c r="AL98" s="104">
        <f>CHOOSE(MATCH(IF($U98="","Основний",$U98),{"Трафіковий","Основний","Маржинальний","Сезонний","Стратегічний"},0),0.15,0.17,0.25,0.24,0.29)</f>
        <v/>
      </c>
      <c r="AM98" s="104">
        <f>CHOOSE(MATCH(IF($U98="","Основний",$U98),{"Трафіковий","Основний","Маржинальний","Сезонний","Стратегічний"},0),0.12,0.145,0.19,0.18,0.22)</f>
        <v/>
      </c>
      <c r="AN98" s="157">
        <f>CHOOSE(MATCH(IF($U98="","Основний",$U98),{"Трафіковий","Основний","Маржинальний","Сезонний","Стратегічний"},0),Settings!$B$78,Settings!$B$80,Settings!$B$82,Settings!$B$84,Settings!$B$86)</f>
        <v/>
      </c>
      <c r="AO98" s="157">
        <f>CHOOSE(MATCH(IF($U98="","Основний",$U98),{"Трафіковий","Основний","Маржинальний","Сезонний","Стратегічний"},0),Settings!$C$78,Settings!$C$80,Settings!$C$82,Settings!$C$84,Settings!$C$86)</f>
        <v/>
      </c>
      <c r="AP98" s="157">
        <f>CHOOSE(MATCH(IF($U98="","Основний",$U98),{"Трафіковий","Основний","Маржинальний","Сезонний","Стратегічний"},0),Settings!$D$78,Settings!$D$80,Settings!$D$82,Settings!$D$84,Settings!$D$86)</f>
        <v/>
      </c>
      <c r="AQ98" s="157">
        <f>CHOOSE(MATCH(IF($U98="","Основний",$U98),{"Трафіковий","Основний","Маржинальний","Сезонний","Стратегічний"},0),Settings!$F$78,Settings!$F$80,Settings!$F$82,Settings!$F$84,Settings!$F$86)</f>
        <v/>
      </c>
      <c r="AR98" s="157">
        <f>CHOOSE(MATCH(IF($U98="","Основний",$U98),{"Трафіковий","Основний","Маржинальний","Сезонний","Стратегічний"},0),Settings!$G$78,Settings!$G$80,Settings!$G$82,Settings!$G$84,Settings!$G$86)</f>
        <v/>
      </c>
      <c r="AS98" s="157">
        <f>CHOOSE(MATCH(IF($U98="","Основний",$U98),{"Трафіковий","Основний","Маржинальний","Сезонний","Стратегічний"},0),Settings!$H$78,Settings!$H$80,Settings!$H$82,Settings!$H$84,Settings!$H$86)</f>
        <v/>
      </c>
      <c r="AT98" s="157">
        <f>CHOOSE(MATCH(IF($U98="","Основний",$U98),{"Трафіковий","Основний","Маржинальний","Сезонний","Стратегічний"},0),Settings!$I$78,Settings!$I$80,Settings!$I$82,Settings!$I$84,Settings!$I$86)</f>
        <v/>
      </c>
      <c r="AU98" s="171" t="n"/>
      <c r="AV98" t="n">
        <v>1.35</v>
      </c>
    </row>
    <row r="99">
      <c r="A99" s="33" t="n"/>
      <c r="B99" s="34" t="inlineStr">
        <is>
          <t>P4713</t>
        </is>
      </c>
      <c r="C99" s="34" t="inlineStr">
        <is>
          <t>LED ARM BAND</t>
        </is>
      </c>
      <c r="D99" s="34" t="inlineStr">
        <is>
          <t>Ліхтарі</t>
        </is>
      </c>
      <c r="E99" s="33" t="inlineStr">
        <is>
          <t>PC</t>
        </is>
      </c>
      <c r="F99" s="94" t="n">
        <v>2.524</v>
      </c>
      <c r="G99" s="35" t="n">
        <v>8513100000</v>
      </c>
      <c r="H99" s="31" t="n">
        <v>1.4</v>
      </c>
      <c r="I99" s="84">
        <f>IFERROR(F99*Settings!$B$2*H99*IF(AND(ISNUMBER(E99),E99&gt;1),E99,1),"")</f>
        <v/>
      </c>
      <c r="J99" s="32">
        <f>Settings!$B$66</f>
        <v/>
      </c>
      <c r="K99" s="95">
        <f>IFERROR(IF(T99="","",(T99*(1-AN99)*(1-Settings!$B$17)-I99)/(T99*(1-AN99)*(1-Settings!$B$17))),"")</f>
        <v/>
      </c>
      <c r="L99" s="101">
        <f>IFERROR(IF(T99="","",(T99*(1-AO99)*(1-Settings!$C$17)-I99)/(T99*(1-AO99)*(1-Settings!$C$17))),"")</f>
        <v/>
      </c>
      <c r="M99" s="101">
        <f>IFERROR(IF(T99="","",(T99*(1-AP99)*(1-Settings!$D$17)-I99)/(T99*(1-AP99)*(1-Settings!$D$17))),"")</f>
        <v/>
      </c>
      <c r="N99" s="101">
        <f>IFERROR(IF(T99="","",(T99*(1-AQ99)*(1-Settings!$F$17)-I99)/(T99*(1-AQ99)*(1-Settings!$F$17))),"")</f>
        <v/>
      </c>
      <c r="O99" s="101">
        <f>IFERROR(IF(T99="","",(T99*(1-AR99)*(1-Settings!$G$17)-I99)/(T99*(1-AR99)*(1-Settings!$G$17))),"")</f>
        <v/>
      </c>
      <c r="P99" s="101">
        <f>IFERROR(IF(T99="","",(T99*(1-AS99)*(1-Settings!$H$17)-I99)/(T99*(1-AS99)*(1-Settings!$H$17))),"")</f>
        <v/>
      </c>
      <c r="Q99" s="101">
        <f>IFERROR(IF(T99="","",(T99*(1-AT99)*(1-Settings!$I$68)*(1-Settings!$I$17)-I99)/(T99*(1-AT99)*(1-Settings!$I$68)*(1-Settings!$I$17))),"")</f>
        <v/>
      </c>
      <c r="R99" s="91">
        <f>IFERROR(IF(OR(I99="",Z99&gt;=1,Settings!$B$17&gt;=1,AN99&gt;=1),"",IF(MOD(ROUND(I99/(1-Z99)/(1-Settings!$B$17)/(1-AN99),0),10)=0,ROUND(I99/(1-Z99)/(1-Settings!$B$17)/(1-AN99),0)-1,IF(MOD(ROUND(I99/(1-Z99)/(1-Settings!$B$17)/(1-AN99),0),10)&lt;=5,FLOOR(ROUND(I99/(1-Z99)/(1-Settings!$B$17)/(1-AN99),0),10)+6,FLOOR(ROUND(I99/(1-Z99)/(1-Settings!$B$17)/(1-AN99),0),10)+9))),"")</f>
        <v/>
      </c>
      <c r="S99" s="92" t="n"/>
      <c r="T99" s="91">
        <f>IF(S99&lt;&gt;"", IF(MOD(S99,10)=0,S99-1,IF(MOD(S99,10)&lt;=5,FLOOR(S99,10)+6,FLOOR(S99,10)+9)), R99)</f>
        <v/>
      </c>
      <c r="U99" s="87" t="inlineStr">
        <is>
          <t>Основний</t>
        </is>
      </c>
      <c r="V99" s="88" t="n"/>
      <c r="W99" s="88" t="n"/>
      <c r="X99" s="89">
        <f>IFERROR(IF(OR(V99="",W99="",T99=""),"", IF(T99&gt;W99,"Дорогий",IF(T99&lt;V99,"Дешевий","У ринку"))),"")</f>
        <v/>
      </c>
      <c r="Y99" s="90" t="n"/>
      <c r="Z99" s="104">
        <f>CHOOSE(MATCH(IF($U99="","Основний",$U99),{"Трафіковий","Основний","Маржинальний","Сезонний","Стратегічний"},0),0.16,0.19,0.24,0.23,0.28)</f>
        <v/>
      </c>
      <c r="AA99" s="104">
        <f>CHOOSE(MATCH(IF($U99="","Основний",$U99),{"Трафіковий","Основний","Маржинальний","Сезонний","Стратегічний"},0),0.18,0.21,0.26,0.25,0.3)</f>
        <v/>
      </c>
      <c r="AB99" s="104">
        <f>CHOOSE(MATCH(IF($U99="","Основний",$U99),{"Трафіковий","Основний","Маржинальний","Сезонний","Стратегічний"},0),0.19,0.22,0.28,0.26,0.32)</f>
        <v/>
      </c>
      <c r="AC99" s="104">
        <f>CHOOSE(MATCH(IF($U99="","Основний",$U99),{"Трафіковий","Основний","Маржинальний","Сезонний","Стратегічний"},0),0.17,0.2,0.25,0.24,0.28)</f>
        <v/>
      </c>
      <c r="AD99" s="104">
        <f>CHOOSE(MATCH(IF($U99="","Основний",$U99),{"Трафіковий","Основний","Маржинальний","Сезонний","Стратегічний"},0),0.18,0.21,0.26,0.25,0.3)</f>
        <v/>
      </c>
      <c r="AE99" s="104">
        <f>CHOOSE(MATCH(IF($U99="","Основний",$U99),{"Трафіковий","Основний","Маржинальний","Сезонний","Стратегічний"},0),0.18,0.2,0.28,0.27,0.32)</f>
        <v/>
      </c>
      <c r="AF99" s="104">
        <f>CHOOSE(MATCH(IF($U99="","Основний",$U99),{"Трафіковий","Основний","Маржинальний","Сезонний","Стратегічний"},0),0.15,0.175,0.22,0.21,0.25)</f>
        <v/>
      </c>
      <c r="AG99" s="104">
        <f>CHOOSE(MATCH(IF($U99="","Основний",$U99),{"Трафіковий","Основний","Маржинальний","Сезонний","Стратегічний"},0),0.13,0.16,0.21,0.2,0.25)</f>
        <v/>
      </c>
      <c r="AH99" s="104">
        <f>CHOOSE(MATCH(IF($U99="","Основний",$U99),{"Трафіковий","Основний","Маржинальний","Сезонний","Стратегічний"},0),0.15,0.18,0.23,0.22,0.27)</f>
        <v/>
      </c>
      <c r="AI99" s="104">
        <f>CHOOSE(MATCH(IF($U99="","Основний",$U99),{"Трафіковий","Основний","Маржинальний","Сезонний","Стратегічний"},0),0.16,0.19,0.25,0.23,0.29)</f>
        <v/>
      </c>
      <c r="AJ99" s="104">
        <f>CHOOSE(MATCH(IF($U99="","Основний",$U99),{"Трафіковий","Основний","Маржинальний","Сезонний","Стратегічний"},0),0.14,0.17,0.22,0.21,0.25)</f>
        <v/>
      </c>
      <c r="AK99" s="104">
        <f>CHOOSE(MATCH(IF($U99="","Основний",$U99),{"Трафіковий","Основний","Маржинальний","Сезонний","Стратегічний"},0),0.15,0.18,0.23,0.22,0.27)</f>
        <v/>
      </c>
      <c r="AL99" s="104">
        <f>CHOOSE(MATCH(IF($U99="","Основний",$U99),{"Трафіковий","Основний","Маржинальний","Сезонний","Стратегічний"},0),0.15,0.17,0.25,0.24,0.29)</f>
        <v/>
      </c>
      <c r="AM99" s="104">
        <f>CHOOSE(MATCH(IF($U99="","Основний",$U99),{"Трафіковий","Основний","Маржинальний","Сезонний","Стратегічний"},0),0.12,0.145,0.19,0.18,0.22)</f>
        <v/>
      </c>
      <c r="AN99" s="157">
        <f>CHOOSE(MATCH(IF($U99="","Основний",$U99),{"Трафіковий","Основний","Маржинальний","Сезонний","Стратегічний"},0),Settings!$B$78,Settings!$B$80,Settings!$B$82,Settings!$B$84,Settings!$B$86)</f>
        <v/>
      </c>
      <c r="AO99" s="157">
        <f>CHOOSE(MATCH(IF($U99="","Основний",$U99),{"Трафіковий","Основний","Маржинальний","Сезонний","Стратегічний"},0),Settings!$C$78,Settings!$C$80,Settings!$C$82,Settings!$C$84,Settings!$C$86)</f>
        <v/>
      </c>
      <c r="AP99" s="157">
        <f>CHOOSE(MATCH(IF($U99="","Основний",$U99),{"Трафіковий","Основний","Маржинальний","Сезонний","Стратегічний"},0),Settings!$D$78,Settings!$D$80,Settings!$D$82,Settings!$D$84,Settings!$D$86)</f>
        <v/>
      </c>
      <c r="AQ99" s="157">
        <f>CHOOSE(MATCH(IF($U99="","Основний",$U99),{"Трафіковий","Основний","Маржинальний","Сезонний","Стратегічний"},0),Settings!$F$78,Settings!$F$80,Settings!$F$82,Settings!$F$84,Settings!$F$86)</f>
        <v/>
      </c>
      <c r="AR99" s="157">
        <f>CHOOSE(MATCH(IF($U99="","Основний",$U99),{"Трафіковий","Основний","Маржинальний","Сезонний","Стратегічний"},0),Settings!$G$78,Settings!$G$80,Settings!$G$82,Settings!$G$84,Settings!$G$86)</f>
        <v/>
      </c>
      <c r="AS99" s="157">
        <f>CHOOSE(MATCH(IF($U99="","Основний",$U99),{"Трафіковий","Основний","Маржинальний","Сезонний","Стратегічний"},0),Settings!$H$78,Settings!$H$80,Settings!$H$82,Settings!$H$84,Settings!$H$86)</f>
        <v/>
      </c>
      <c r="AT99" s="157">
        <f>CHOOSE(MATCH(IF($U99="","Основний",$U99),{"Трафіковий","Основний","Маржинальний","Сезонний","Стратегічний"},0),Settings!$I$78,Settings!$I$80,Settings!$I$82,Settings!$I$84,Settings!$I$86)</f>
        <v/>
      </c>
      <c r="AU99" s="171" t="n"/>
      <c r="AV99" t="n">
        <v>1.35</v>
      </c>
    </row>
    <row r="100">
      <c r="A100" s="28" t="inlineStr">
        <is>
          <t>NEW</t>
        </is>
      </c>
      <c r="B100" s="29" t="inlineStr">
        <is>
          <t>P4721</t>
        </is>
      </c>
      <c r="C100" s="29" t="inlineStr">
        <is>
          <t>LED MONSTERS WITH SOUND 18PCS</t>
        </is>
      </c>
      <c r="D100" s="29" t="inlineStr">
        <is>
          <t>Ліхтарі</t>
        </is>
      </c>
      <c r="E100" s="28" t="inlineStr">
        <is>
          <t>PC</t>
        </is>
      </c>
      <c r="F100" s="93" t="n">
        <v>1.305</v>
      </c>
      <c r="G100" s="30" t="n">
        <v>8513100000</v>
      </c>
      <c r="H100" s="31" t="n">
        <v>1.4</v>
      </c>
      <c r="I100" s="84">
        <f>IFERROR(F100*Settings!$B$2*H100*IF(AND(ISNUMBER(E100),E100&gt;1),E100,1),"")</f>
        <v/>
      </c>
      <c r="J100" s="32">
        <f>Settings!$B$66</f>
        <v/>
      </c>
      <c r="K100" s="95">
        <f>IFERROR(IF(T100="","",(T100*(1-AN100)*(1-Settings!$B$17)-I100)/(T100*(1-AN100)*(1-Settings!$B$17))),"")</f>
        <v/>
      </c>
      <c r="L100" s="101">
        <f>IFERROR(IF(T100="","",(T100*(1-AO100)*(1-Settings!$C$17)-I100)/(T100*(1-AO100)*(1-Settings!$C$17))),"")</f>
        <v/>
      </c>
      <c r="M100" s="101">
        <f>IFERROR(IF(T100="","",(T100*(1-AP100)*(1-Settings!$D$17)-I100)/(T100*(1-AP100)*(1-Settings!$D$17))),"")</f>
        <v/>
      </c>
      <c r="N100" s="101">
        <f>IFERROR(IF(T100="","",(T100*(1-AQ100)*(1-Settings!$F$17)-I100)/(T100*(1-AQ100)*(1-Settings!$F$17))),"")</f>
        <v/>
      </c>
      <c r="O100" s="101">
        <f>IFERROR(IF(T100="","",(T100*(1-AR100)*(1-Settings!$G$17)-I100)/(T100*(1-AR100)*(1-Settings!$G$17))),"")</f>
        <v/>
      </c>
      <c r="P100" s="101">
        <f>IFERROR(IF(T100="","",(T100*(1-AS100)*(1-Settings!$H$17)-I100)/(T100*(1-AS100)*(1-Settings!$H$17))),"")</f>
        <v/>
      </c>
      <c r="Q100" s="101">
        <f>IFERROR(IF(T100="","",(T100*(1-AT100)*(1-Settings!$I$68)*(1-Settings!$I$17)-I100)/(T100*(1-AT100)*(1-Settings!$I$68)*(1-Settings!$I$17))),"")</f>
        <v/>
      </c>
      <c r="R100" s="91">
        <f>IFERROR(IF(OR(I100="",Z100&gt;=1,Settings!$B$17&gt;=1,AN100&gt;=1),"",IF(MOD(ROUND(I100/(1-Z100)/(1-Settings!$B$17)/(1-AN100),0),10)=0,ROUND(I100/(1-Z100)/(1-Settings!$B$17)/(1-AN100),0)-1,IF(MOD(ROUND(I100/(1-Z100)/(1-Settings!$B$17)/(1-AN100),0),10)&lt;=5,FLOOR(ROUND(I100/(1-Z100)/(1-Settings!$B$17)/(1-AN100),0),10)+6,FLOOR(ROUND(I100/(1-Z100)/(1-Settings!$B$17)/(1-AN100),0),10)+9))),"")</f>
        <v/>
      </c>
      <c r="S100" s="92" t="n"/>
      <c r="T100" s="91">
        <f>IF(S100&lt;&gt;"", IF(MOD(S100,10)=0,S100-1,IF(MOD(S100,10)&lt;=5,FLOOR(S100,10)+6,FLOOR(S100,10)+9)), R100)</f>
        <v/>
      </c>
      <c r="U100" s="87" t="inlineStr">
        <is>
          <t>Основний</t>
        </is>
      </c>
      <c r="V100" s="88" t="n"/>
      <c r="W100" s="88" t="n"/>
      <c r="X100" s="89">
        <f>IFERROR(IF(OR(V100="",W100="",T100=""),"", IF(T100&gt;W100,"Дорогий",IF(T100&lt;V100,"Дешевий","У ринку"))),"")</f>
        <v/>
      </c>
      <c r="Y100" s="90" t="n"/>
      <c r="Z100" s="104">
        <f>CHOOSE(MATCH(IF($U100="","Основний",$U100),{"Трафіковий","Основний","Маржинальний","Сезонний","Стратегічний"},0),0.16,0.19,0.24,0.23,0.28)</f>
        <v/>
      </c>
      <c r="AA100" s="104">
        <f>CHOOSE(MATCH(IF($U100="","Основний",$U100),{"Трафіковий","Основний","Маржинальний","Сезонний","Стратегічний"},0),0.18,0.21,0.26,0.25,0.3)</f>
        <v/>
      </c>
      <c r="AB100" s="104">
        <f>CHOOSE(MATCH(IF($U100="","Основний",$U100),{"Трафіковий","Основний","Маржинальний","Сезонний","Стратегічний"},0),0.19,0.22,0.28,0.26,0.32)</f>
        <v/>
      </c>
      <c r="AC100" s="104">
        <f>CHOOSE(MATCH(IF($U100="","Основний",$U100),{"Трафіковий","Основний","Маржинальний","Сезонний","Стратегічний"},0),0.17,0.2,0.25,0.24,0.28)</f>
        <v/>
      </c>
      <c r="AD100" s="104">
        <f>CHOOSE(MATCH(IF($U100="","Основний",$U100),{"Трафіковий","Основний","Маржинальний","Сезонний","Стратегічний"},0),0.18,0.21,0.26,0.25,0.3)</f>
        <v/>
      </c>
      <c r="AE100" s="104">
        <f>CHOOSE(MATCH(IF($U100="","Основний",$U100),{"Трафіковий","Основний","Маржинальний","Сезонний","Стратегічний"},0),0.18,0.2,0.28,0.27,0.32)</f>
        <v/>
      </c>
      <c r="AF100" s="104">
        <f>CHOOSE(MATCH(IF($U100="","Основний",$U100),{"Трафіковий","Основний","Маржинальний","Сезонний","Стратегічний"},0),0.15,0.175,0.22,0.21,0.25)</f>
        <v/>
      </c>
      <c r="AG100" s="104">
        <f>CHOOSE(MATCH(IF($U100="","Основний",$U100),{"Трафіковий","Основний","Маржинальний","Сезонний","Стратегічний"},0),0.13,0.16,0.21,0.2,0.25)</f>
        <v/>
      </c>
      <c r="AH100" s="104">
        <f>CHOOSE(MATCH(IF($U100="","Основний",$U100),{"Трафіковий","Основний","Маржинальний","Сезонний","Стратегічний"},0),0.15,0.18,0.23,0.22,0.27)</f>
        <v/>
      </c>
      <c r="AI100" s="104">
        <f>CHOOSE(MATCH(IF($U100="","Основний",$U100),{"Трафіковий","Основний","Маржинальний","Сезонний","Стратегічний"},0),0.16,0.19,0.25,0.23,0.29)</f>
        <v/>
      </c>
      <c r="AJ100" s="104">
        <f>CHOOSE(MATCH(IF($U100="","Основний",$U100),{"Трафіковий","Основний","Маржинальний","Сезонний","Стратегічний"},0),0.14,0.17,0.22,0.21,0.25)</f>
        <v/>
      </c>
      <c r="AK100" s="104">
        <f>CHOOSE(MATCH(IF($U100="","Основний",$U100),{"Трафіковий","Основний","Маржинальний","Сезонний","Стратегічний"},0),0.15,0.18,0.23,0.22,0.27)</f>
        <v/>
      </c>
      <c r="AL100" s="104">
        <f>CHOOSE(MATCH(IF($U100="","Основний",$U100),{"Трафіковий","Основний","Маржинальний","Сезонний","Стратегічний"},0),0.15,0.17,0.25,0.24,0.29)</f>
        <v/>
      </c>
      <c r="AM100" s="104">
        <f>CHOOSE(MATCH(IF($U100="","Основний",$U100),{"Трафіковий","Основний","Маржинальний","Сезонний","Стратегічний"},0),0.12,0.145,0.19,0.18,0.22)</f>
        <v/>
      </c>
      <c r="AN100" s="157">
        <f>CHOOSE(MATCH(IF($U100="","Основний",$U100),{"Трафіковий","Основний","Маржинальний","Сезонний","Стратегічний"},0),Settings!$B$78,Settings!$B$80,Settings!$B$82,Settings!$B$84,Settings!$B$86)</f>
        <v/>
      </c>
      <c r="AO100" s="157">
        <f>CHOOSE(MATCH(IF($U100="","Основний",$U100),{"Трафіковий","Основний","Маржинальний","Сезонний","Стратегічний"},0),Settings!$C$78,Settings!$C$80,Settings!$C$82,Settings!$C$84,Settings!$C$86)</f>
        <v/>
      </c>
      <c r="AP100" s="157">
        <f>CHOOSE(MATCH(IF($U100="","Основний",$U100),{"Трафіковий","Основний","Маржинальний","Сезонний","Стратегічний"},0),Settings!$D$78,Settings!$D$80,Settings!$D$82,Settings!$D$84,Settings!$D$86)</f>
        <v/>
      </c>
      <c r="AQ100" s="157">
        <f>CHOOSE(MATCH(IF($U100="","Основний",$U100),{"Трафіковий","Основний","Маржинальний","Сезонний","Стратегічний"},0),Settings!$F$78,Settings!$F$80,Settings!$F$82,Settings!$F$84,Settings!$F$86)</f>
        <v/>
      </c>
      <c r="AR100" s="157">
        <f>CHOOSE(MATCH(IF($U100="","Основний",$U100),{"Трафіковий","Основний","Маржинальний","Сезонний","Стратегічний"},0),Settings!$G$78,Settings!$G$80,Settings!$G$82,Settings!$G$84,Settings!$G$86)</f>
        <v/>
      </c>
      <c r="AS100" s="157">
        <f>CHOOSE(MATCH(IF($U100="","Основний",$U100),{"Трафіковий","Основний","Маржинальний","Сезонний","Стратегічний"},0),Settings!$H$78,Settings!$H$80,Settings!$H$82,Settings!$H$84,Settings!$H$86)</f>
        <v/>
      </c>
      <c r="AT100" s="157">
        <f>CHOOSE(MATCH(IF($U100="","Основний",$U100),{"Трафіковий","Основний","Маржинальний","Сезонний","Стратегічний"},0),Settings!$I$78,Settings!$I$80,Settings!$I$82,Settings!$I$84,Settings!$I$86)</f>
        <v/>
      </c>
      <c r="AU100" s="171" t="n"/>
      <c r="AV100" t="n">
        <v>1.35</v>
      </c>
    </row>
    <row r="101">
      <c r="A101" s="33" t="inlineStr">
        <is>
          <t>NEW</t>
        </is>
      </c>
      <c r="B101" s="34" t="inlineStr">
        <is>
          <t>P4724</t>
        </is>
      </c>
      <c r="C101" s="34" t="inlineStr">
        <is>
          <t>COB LED RECH. KEYCHAIN FLASHLIGHT 100 LM 12 PCS</t>
        </is>
      </c>
      <c r="D101" s="34" t="inlineStr">
        <is>
          <t>Ліхтарі</t>
        </is>
      </c>
      <c r="E101" s="33" t="inlineStr">
        <is>
          <t>PC</t>
        </is>
      </c>
      <c r="F101" s="94" t="n">
        <v>2.564</v>
      </c>
      <c r="G101" s="35" t="n">
        <v>8513100000</v>
      </c>
      <c r="H101" s="31" t="n">
        <v>1.4</v>
      </c>
      <c r="I101" s="84">
        <f>IFERROR(F101*Settings!$B$2*H101*IF(AND(ISNUMBER(E101),E101&gt;1),E101,1),"")</f>
        <v/>
      </c>
      <c r="J101" s="32">
        <f>Settings!$B$66</f>
        <v/>
      </c>
      <c r="K101" s="95">
        <f>IFERROR(IF(T101="","",(T101*(1-AN101)*(1-Settings!$B$17)-I101)/(T101*(1-AN101)*(1-Settings!$B$17))),"")</f>
        <v/>
      </c>
      <c r="L101" s="101">
        <f>IFERROR(IF(T101="","",(T101*(1-AO101)*(1-Settings!$C$17)-I101)/(T101*(1-AO101)*(1-Settings!$C$17))),"")</f>
        <v/>
      </c>
      <c r="M101" s="101">
        <f>IFERROR(IF(T101="","",(T101*(1-AP101)*(1-Settings!$D$17)-I101)/(T101*(1-AP101)*(1-Settings!$D$17))),"")</f>
        <v/>
      </c>
      <c r="N101" s="101">
        <f>IFERROR(IF(T101="","",(T101*(1-AQ101)*(1-Settings!$F$17)-I101)/(T101*(1-AQ101)*(1-Settings!$F$17))),"")</f>
        <v/>
      </c>
      <c r="O101" s="101">
        <f>IFERROR(IF(T101="","",(T101*(1-AR101)*(1-Settings!$G$17)-I101)/(T101*(1-AR101)*(1-Settings!$G$17))),"")</f>
        <v/>
      </c>
      <c r="P101" s="101">
        <f>IFERROR(IF(T101="","",(T101*(1-AS101)*(1-Settings!$H$17)-I101)/(T101*(1-AS101)*(1-Settings!$H$17))),"")</f>
        <v/>
      </c>
      <c r="Q101" s="101">
        <f>IFERROR(IF(T101="","",(T101*(1-AT101)*(1-Settings!$I$68)*(1-Settings!$I$17)-I101)/(T101*(1-AT101)*(1-Settings!$I$68)*(1-Settings!$I$17))),"")</f>
        <v/>
      </c>
      <c r="R101" s="91">
        <f>IFERROR(IF(OR(I101="",Z101&gt;=1,Settings!$B$17&gt;=1,AN101&gt;=1),"",IF(MOD(ROUND(I101/(1-Z101)/(1-Settings!$B$17)/(1-AN101),0),10)=0,ROUND(I101/(1-Z101)/(1-Settings!$B$17)/(1-AN101),0)-1,IF(MOD(ROUND(I101/(1-Z101)/(1-Settings!$B$17)/(1-AN101),0),10)&lt;=5,FLOOR(ROUND(I101/(1-Z101)/(1-Settings!$B$17)/(1-AN101),0),10)+6,FLOOR(ROUND(I101/(1-Z101)/(1-Settings!$B$17)/(1-AN101),0),10)+9))),"")</f>
        <v/>
      </c>
      <c r="S101" s="92" t="n"/>
      <c r="T101" s="91">
        <f>IF(S101&lt;&gt;"", IF(MOD(S101,10)=0,S101-1,IF(MOD(S101,10)&lt;=5,FLOOR(S101,10)+6,FLOOR(S101,10)+9)), R101)</f>
        <v/>
      </c>
      <c r="U101" s="87" t="inlineStr">
        <is>
          <t>Основний</t>
        </is>
      </c>
      <c r="V101" s="88" t="n"/>
      <c r="W101" s="88" t="n"/>
      <c r="X101" s="89">
        <f>IFERROR(IF(OR(V101="",W101="",T101=""),"", IF(T101&gt;W101,"Дорогий",IF(T101&lt;V101,"Дешевий","У ринку"))),"")</f>
        <v/>
      </c>
      <c r="Y101" s="90" t="n"/>
      <c r="Z101" s="104">
        <f>CHOOSE(MATCH(IF($U101="","Основний",$U101),{"Трафіковий","Основний","Маржинальний","Сезонний","Стратегічний"},0),0.16,0.19,0.24,0.23,0.28)</f>
        <v/>
      </c>
      <c r="AA101" s="104">
        <f>CHOOSE(MATCH(IF($U101="","Основний",$U101),{"Трафіковий","Основний","Маржинальний","Сезонний","Стратегічний"},0),0.18,0.21,0.26,0.25,0.3)</f>
        <v/>
      </c>
      <c r="AB101" s="104">
        <f>CHOOSE(MATCH(IF($U101="","Основний",$U101),{"Трафіковий","Основний","Маржинальний","Сезонний","Стратегічний"},0),0.19,0.22,0.28,0.26,0.32)</f>
        <v/>
      </c>
      <c r="AC101" s="104">
        <f>CHOOSE(MATCH(IF($U101="","Основний",$U101),{"Трафіковий","Основний","Маржинальний","Сезонний","Стратегічний"},0),0.17,0.2,0.25,0.24,0.28)</f>
        <v/>
      </c>
      <c r="AD101" s="104">
        <f>CHOOSE(MATCH(IF($U101="","Основний",$U101),{"Трафіковий","Основний","Маржинальний","Сезонний","Стратегічний"},0),0.18,0.21,0.26,0.25,0.3)</f>
        <v/>
      </c>
      <c r="AE101" s="104">
        <f>CHOOSE(MATCH(IF($U101="","Основний",$U101),{"Трафіковий","Основний","Маржинальний","Сезонний","Стратегічний"},0),0.18,0.2,0.28,0.27,0.32)</f>
        <v/>
      </c>
      <c r="AF101" s="104">
        <f>CHOOSE(MATCH(IF($U101="","Основний",$U101),{"Трафіковий","Основний","Маржинальний","Сезонний","Стратегічний"},0),0.15,0.175,0.22,0.21,0.25)</f>
        <v/>
      </c>
      <c r="AG101" s="104">
        <f>CHOOSE(MATCH(IF($U101="","Основний",$U101),{"Трафіковий","Основний","Маржинальний","Сезонний","Стратегічний"},0),0.13,0.16,0.21,0.2,0.25)</f>
        <v/>
      </c>
      <c r="AH101" s="104">
        <f>CHOOSE(MATCH(IF($U101="","Основний",$U101),{"Трафіковий","Основний","Маржинальний","Сезонний","Стратегічний"},0),0.15,0.18,0.23,0.22,0.27)</f>
        <v/>
      </c>
      <c r="AI101" s="104">
        <f>CHOOSE(MATCH(IF($U101="","Основний",$U101),{"Трафіковий","Основний","Маржинальний","Сезонний","Стратегічний"},0),0.16,0.19,0.25,0.23,0.29)</f>
        <v/>
      </c>
      <c r="AJ101" s="104">
        <f>CHOOSE(MATCH(IF($U101="","Основний",$U101),{"Трафіковий","Основний","Маржинальний","Сезонний","Стратегічний"},0),0.14,0.17,0.22,0.21,0.25)</f>
        <v/>
      </c>
      <c r="AK101" s="104">
        <f>CHOOSE(MATCH(IF($U101="","Основний",$U101),{"Трафіковий","Основний","Маржинальний","Сезонний","Стратегічний"},0),0.15,0.18,0.23,0.22,0.27)</f>
        <v/>
      </c>
      <c r="AL101" s="104">
        <f>CHOOSE(MATCH(IF($U101="","Основний",$U101),{"Трафіковий","Основний","Маржинальний","Сезонний","Стратегічний"},0),0.15,0.17,0.25,0.24,0.29)</f>
        <v/>
      </c>
      <c r="AM101" s="104">
        <f>CHOOSE(MATCH(IF($U101="","Основний",$U101),{"Трафіковий","Основний","Маржинальний","Сезонний","Стратегічний"},0),0.12,0.145,0.19,0.18,0.22)</f>
        <v/>
      </c>
      <c r="AN101" s="157">
        <f>CHOOSE(MATCH(IF($U101="","Основний",$U101),{"Трафіковий","Основний","Маржинальний","Сезонний","Стратегічний"},0),Settings!$B$78,Settings!$B$80,Settings!$B$82,Settings!$B$84,Settings!$B$86)</f>
        <v/>
      </c>
      <c r="AO101" s="157">
        <f>CHOOSE(MATCH(IF($U101="","Основний",$U101),{"Трафіковий","Основний","Маржинальний","Сезонний","Стратегічний"},0),Settings!$C$78,Settings!$C$80,Settings!$C$82,Settings!$C$84,Settings!$C$86)</f>
        <v/>
      </c>
      <c r="AP101" s="157">
        <f>CHOOSE(MATCH(IF($U101="","Основний",$U101),{"Трафіковий","Основний","Маржинальний","Сезонний","Стратегічний"},0),Settings!$D$78,Settings!$D$80,Settings!$D$82,Settings!$D$84,Settings!$D$86)</f>
        <v/>
      </c>
      <c r="AQ101" s="157">
        <f>CHOOSE(MATCH(IF($U101="","Основний",$U101),{"Трафіковий","Основний","Маржинальний","Сезонний","Стратегічний"},0),Settings!$F$78,Settings!$F$80,Settings!$F$82,Settings!$F$84,Settings!$F$86)</f>
        <v/>
      </c>
      <c r="AR101" s="157">
        <f>CHOOSE(MATCH(IF($U101="","Основний",$U101),{"Трафіковий","Основний","Маржинальний","Сезонний","Стратегічний"},0),Settings!$G$78,Settings!$G$80,Settings!$G$82,Settings!$G$84,Settings!$G$86)</f>
        <v/>
      </c>
      <c r="AS101" s="157">
        <f>CHOOSE(MATCH(IF($U101="","Основний",$U101),{"Трафіковий","Основний","Маржинальний","Сезонний","Стратегічний"},0),Settings!$H$78,Settings!$H$80,Settings!$H$82,Settings!$H$84,Settings!$H$86)</f>
        <v/>
      </c>
      <c r="AT101" s="157">
        <f>CHOOSE(MATCH(IF($U101="","Основний",$U101),{"Трафіковий","Основний","Маржинальний","Сезонний","Стратегічний"},0),Settings!$I$78,Settings!$I$80,Settings!$I$82,Settings!$I$84,Settings!$I$86)</f>
        <v/>
      </c>
      <c r="AU101" s="171" t="n"/>
      <c r="AV101" t="n">
        <v>1.35</v>
      </c>
    </row>
    <row r="102">
      <c r="A102" s="28" t="n"/>
      <c r="B102" s="29" t="inlineStr">
        <is>
          <t>P4723</t>
        </is>
      </c>
      <c r="C102" s="29" t="inlineStr">
        <is>
          <t>LED SILICON KEYCHAIN 12PCS</t>
        </is>
      </c>
      <c r="D102" s="29" t="inlineStr">
        <is>
          <t>Ліхтарі</t>
        </is>
      </c>
      <c r="E102" s="28" t="inlineStr">
        <is>
          <t>PC</t>
        </is>
      </c>
      <c r="F102" s="93" t="n">
        <v>2.207</v>
      </c>
      <c r="G102" s="30" t="n">
        <v>8513100000</v>
      </c>
      <c r="H102" s="31" t="n">
        <v>1.4</v>
      </c>
      <c r="I102" s="84">
        <f>IFERROR(F102*Settings!$B$2*H102*IF(AND(ISNUMBER(E102),E102&gt;1),E102,1),"")</f>
        <v/>
      </c>
      <c r="J102" s="32">
        <f>Settings!$B$66</f>
        <v/>
      </c>
      <c r="K102" s="95">
        <f>IFERROR(IF(T102="","",(T102*(1-AN102)*(1-Settings!$B$17)-I102)/(T102*(1-AN102)*(1-Settings!$B$17))),"")</f>
        <v/>
      </c>
      <c r="L102" s="101">
        <f>IFERROR(IF(T102="","",(T102*(1-AO102)*(1-Settings!$C$17)-I102)/(T102*(1-AO102)*(1-Settings!$C$17))),"")</f>
        <v/>
      </c>
      <c r="M102" s="101">
        <f>IFERROR(IF(T102="","",(T102*(1-AP102)*(1-Settings!$D$17)-I102)/(T102*(1-AP102)*(1-Settings!$D$17))),"")</f>
        <v/>
      </c>
      <c r="N102" s="101">
        <f>IFERROR(IF(T102="","",(T102*(1-AQ102)*(1-Settings!$F$17)-I102)/(T102*(1-AQ102)*(1-Settings!$F$17))),"")</f>
        <v/>
      </c>
      <c r="O102" s="101">
        <f>IFERROR(IF(T102="","",(T102*(1-AR102)*(1-Settings!$G$17)-I102)/(T102*(1-AR102)*(1-Settings!$G$17))),"")</f>
        <v/>
      </c>
      <c r="P102" s="101">
        <f>IFERROR(IF(T102="","",(T102*(1-AS102)*(1-Settings!$H$17)-I102)/(T102*(1-AS102)*(1-Settings!$H$17))),"")</f>
        <v/>
      </c>
      <c r="Q102" s="101">
        <f>IFERROR(IF(T102="","",(T102*(1-AT102)*(1-Settings!$I$68)*(1-Settings!$I$17)-I102)/(T102*(1-AT102)*(1-Settings!$I$68)*(1-Settings!$I$17))),"")</f>
        <v/>
      </c>
      <c r="R102" s="91">
        <f>IFERROR(IF(OR(I102="",Z102&gt;=1,Settings!$B$17&gt;=1,AN102&gt;=1),"",IF(MOD(ROUND(I102/(1-Z102)/(1-Settings!$B$17)/(1-AN102),0),10)=0,ROUND(I102/(1-Z102)/(1-Settings!$B$17)/(1-AN102),0)-1,IF(MOD(ROUND(I102/(1-Z102)/(1-Settings!$B$17)/(1-AN102),0),10)&lt;=5,FLOOR(ROUND(I102/(1-Z102)/(1-Settings!$B$17)/(1-AN102),0),10)+6,FLOOR(ROUND(I102/(1-Z102)/(1-Settings!$B$17)/(1-AN102),0),10)+9))),"")</f>
        <v/>
      </c>
      <c r="S102" s="92" t="n"/>
      <c r="T102" s="91">
        <f>IF(S102&lt;&gt;"", IF(MOD(S102,10)=0,S102-1,IF(MOD(S102,10)&lt;=5,FLOOR(S102,10)+6,FLOOR(S102,10)+9)), R102)</f>
        <v/>
      </c>
      <c r="U102" s="87" t="inlineStr">
        <is>
          <t>Основний</t>
        </is>
      </c>
      <c r="V102" s="88" t="n"/>
      <c r="W102" s="88" t="n"/>
      <c r="X102" s="89">
        <f>IFERROR(IF(OR(V102="",W102="",T102=""),"", IF(T102&gt;W102,"Дорогий",IF(T102&lt;V102,"Дешевий","У ринку"))),"")</f>
        <v/>
      </c>
      <c r="Y102" s="90" t="n"/>
      <c r="Z102" s="104">
        <f>CHOOSE(MATCH(IF($U102="","Основний",$U102),{"Трафіковий","Основний","Маржинальний","Сезонний","Стратегічний"},0),0.16,0.19,0.24,0.23,0.28)</f>
        <v/>
      </c>
      <c r="AA102" s="104">
        <f>CHOOSE(MATCH(IF($U102="","Основний",$U102),{"Трафіковий","Основний","Маржинальний","Сезонний","Стратегічний"},0),0.18,0.21,0.26,0.25,0.3)</f>
        <v/>
      </c>
      <c r="AB102" s="104">
        <f>CHOOSE(MATCH(IF($U102="","Основний",$U102),{"Трафіковий","Основний","Маржинальний","Сезонний","Стратегічний"},0),0.19,0.22,0.28,0.26,0.32)</f>
        <v/>
      </c>
      <c r="AC102" s="104">
        <f>CHOOSE(MATCH(IF($U102="","Основний",$U102),{"Трафіковий","Основний","Маржинальний","Сезонний","Стратегічний"},0),0.17,0.2,0.25,0.24,0.28)</f>
        <v/>
      </c>
      <c r="AD102" s="104">
        <f>CHOOSE(MATCH(IF($U102="","Основний",$U102),{"Трафіковий","Основний","Маржинальний","Сезонний","Стратегічний"},0),0.18,0.21,0.26,0.25,0.3)</f>
        <v/>
      </c>
      <c r="AE102" s="104">
        <f>CHOOSE(MATCH(IF($U102="","Основний",$U102),{"Трафіковий","Основний","Маржинальний","Сезонний","Стратегічний"},0),0.18,0.2,0.28,0.27,0.32)</f>
        <v/>
      </c>
      <c r="AF102" s="104">
        <f>CHOOSE(MATCH(IF($U102="","Основний",$U102),{"Трафіковий","Основний","Маржинальний","Сезонний","Стратегічний"},0),0.15,0.175,0.22,0.21,0.25)</f>
        <v/>
      </c>
      <c r="AG102" s="104">
        <f>CHOOSE(MATCH(IF($U102="","Основний",$U102),{"Трафіковий","Основний","Маржинальний","Сезонний","Стратегічний"},0),0.13,0.16,0.21,0.2,0.25)</f>
        <v/>
      </c>
      <c r="AH102" s="104">
        <f>CHOOSE(MATCH(IF($U102="","Основний",$U102),{"Трафіковий","Основний","Маржинальний","Сезонний","Стратегічний"},0),0.15,0.18,0.23,0.22,0.27)</f>
        <v/>
      </c>
      <c r="AI102" s="104">
        <f>CHOOSE(MATCH(IF($U102="","Основний",$U102),{"Трафіковий","Основний","Маржинальний","Сезонний","Стратегічний"},0),0.16,0.19,0.25,0.23,0.29)</f>
        <v/>
      </c>
      <c r="AJ102" s="104">
        <f>CHOOSE(MATCH(IF($U102="","Основний",$U102),{"Трафіковий","Основний","Маржинальний","Сезонний","Стратегічний"},0),0.14,0.17,0.22,0.21,0.25)</f>
        <v/>
      </c>
      <c r="AK102" s="104">
        <f>CHOOSE(MATCH(IF($U102="","Основний",$U102),{"Трафіковий","Основний","Маржинальний","Сезонний","Стратегічний"},0),0.15,0.18,0.23,0.22,0.27)</f>
        <v/>
      </c>
      <c r="AL102" s="104">
        <f>CHOOSE(MATCH(IF($U102="","Основний",$U102),{"Трафіковий","Основний","Маржинальний","Сезонний","Стратегічний"},0),0.15,0.17,0.25,0.24,0.29)</f>
        <v/>
      </c>
      <c r="AM102" s="104">
        <f>CHOOSE(MATCH(IF($U102="","Основний",$U102),{"Трафіковий","Основний","Маржинальний","Сезонний","Стратегічний"},0),0.12,0.145,0.19,0.18,0.22)</f>
        <v/>
      </c>
      <c r="AN102" s="157">
        <f>CHOOSE(MATCH(IF($U102="","Основний",$U102),{"Трафіковий","Основний","Маржинальний","Сезонний","Стратегічний"},0),Settings!$B$78,Settings!$B$80,Settings!$B$82,Settings!$B$84,Settings!$B$86)</f>
        <v/>
      </c>
      <c r="AO102" s="157">
        <f>CHOOSE(MATCH(IF($U102="","Основний",$U102),{"Трафіковий","Основний","Маржинальний","Сезонний","Стратегічний"},0),Settings!$C$78,Settings!$C$80,Settings!$C$82,Settings!$C$84,Settings!$C$86)</f>
        <v/>
      </c>
      <c r="AP102" s="157">
        <f>CHOOSE(MATCH(IF($U102="","Основний",$U102),{"Трафіковий","Основний","Маржинальний","Сезонний","Стратегічний"},0),Settings!$D$78,Settings!$D$80,Settings!$D$82,Settings!$D$84,Settings!$D$86)</f>
        <v/>
      </c>
      <c r="AQ102" s="157">
        <f>CHOOSE(MATCH(IF($U102="","Основний",$U102),{"Трафіковий","Основний","Маржинальний","Сезонний","Стратегічний"},0),Settings!$F$78,Settings!$F$80,Settings!$F$82,Settings!$F$84,Settings!$F$86)</f>
        <v/>
      </c>
      <c r="AR102" s="157">
        <f>CHOOSE(MATCH(IF($U102="","Основний",$U102),{"Трафіковий","Основний","Маржинальний","Сезонний","Стратегічний"},0),Settings!$G$78,Settings!$G$80,Settings!$G$82,Settings!$G$84,Settings!$G$86)</f>
        <v/>
      </c>
      <c r="AS102" s="157">
        <f>CHOOSE(MATCH(IF($U102="","Основний",$U102),{"Трафіковий","Основний","Маржинальний","Сезонний","Стратегічний"},0),Settings!$H$78,Settings!$H$80,Settings!$H$82,Settings!$H$84,Settings!$H$86)</f>
        <v/>
      </c>
      <c r="AT102" s="157">
        <f>CHOOSE(MATCH(IF($U102="","Основний",$U102),{"Трафіковий","Основний","Маржинальний","Сезонний","Стратегічний"},0),Settings!$I$78,Settings!$I$80,Settings!$I$82,Settings!$I$84,Settings!$I$86)</f>
        <v/>
      </c>
      <c r="AU102" s="171" t="n"/>
      <c r="AV102" t="n">
        <v>1.35</v>
      </c>
    </row>
    <row r="103">
      <c r="A103" s="33" t="inlineStr">
        <is>
          <t>NEW</t>
        </is>
      </c>
      <c r="B103" s="34" t="inlineStr">
        <is>
          <t>P3324</t>
        </is>
      </c>
      <c r="C103" s="34" t="inlineStr">
        <is>
          <t>NIGHT LIGHT CW 3×AAA, PIR; FSZR;auto/ON/OFF</t>
        </is>
      </c>
      <c r="D103" s="34" t="inlineStr">
        <is>
          <t>Ліхтарі</t>
        </is>
      </c>
      <c r="E103" s="33" t="inlineStr">
        <is>
          <t>PC</t>
        </is>
      </c>
      <c r="F103" s="94" t="n">
        <v>3.14</v>
      </c>
      <c r="G103" s="35" t="n">
        <v>9405423100</v>
      </c>
      <c r="H103" s="31" t="n">
        <v>1.4</v>
      </c>
      <c r="I103" s="84">
        <f>IFERROR(F103*Settings!$B$2*H103*IF(AND(ISNUMBER(E103),E103&gt;1),E103,1),"")</f>
        <v/>
      </c>
      <c r="J103" s="32">
        <f>Settings!$B$66</f>
        <v/>
      </c>
      <c r="K103" s="95">
        <f>IFERROR(IF(T103="","",(T103*(1-AN103)*(1-Settings!$B$17)-I103)/(T103*(1-AN103)*(1-Settings!$B$17))),"")</f>
        <v/>
      </c>
      <c r="L103" s="101">
        <f>IFERROR(IF(T103="","",(T103*(1-AO103)*(1-Settings!$C$17)-I103)/(T103*(1-AO103)*(1-Settings!$C$17))),"")</f>
        <v/>
      </c>
      <c r="M103" s="101">
        <f>IFERROR(IF(T103="","",(T103*(1-AP103)*(1-Settings!$D$17)-I103)/(T103*(1-AP103)*(1-Settings!$D$17))),"")</f>
        <v/>
      </c>
      <c r="N103" s="101">
        <f>IFERROR(IF(T103="","",(T103*(1-AQ103)*(1-Settings!$F$17)-I103)/(T103*(1-AQ103)*(1-Settings!$F$17))),"")</f>
        <v/>
      </c>
      <c r="O103" s="101">
        <f>IFERROR(IF(T103="","",(T103*(1-AR103)*(1-Settings!$G$17)-I103)/(T103*(1-AR103)*(1-Settings!$G$17))),"")</f>
        <v/>
      </c>
      <c r="P103" s="101">
        <f>IFERROR(IF(T103="","",(T103*(1-AS103)*(1-Settings!$H$17)-I103)/(T103*(1-AS103)*(1-Settings!$H$17))),"")</f>
        <v/>
      </c>
      <c r="Q103" s="101">
        <f>IFERROR(IF(T103="","",(T103*(1-AT103)*(1-Settings!$I$68)*(1-Settings!$I$17)-I103)/(T103*(1-AT103)*(1-Settings!$I$68)*(1-Settings!$I$17))),"")</f>
        <v/>
      </c>
      <c r="R103" s="91">
        <f>IFERROR(IF(OR(I103="",Z103&gt;=1,Settings!$B$17&gt;=1,AN103&gt;=1),"",IF(MOD(ROUND(I103/(1-Z103)/(1-Settings!$B$17)/(1-AN103),0),10)=0,ROUND(I103/(1-Z103)/(1-Settings!$B$17)/(1-AN103),0)-1,IF(MOD(ROUND(I103/(1-Z103)/(1-Settings!$B$17)/(1-AN103),0),10)&lt;=5,FLOOR(ROUND(I103/(1-Z103)/(1-Settings!$B$17)/(1-AN103),0),10)+6,FLOOR(ROUND(I103/(1-Z103)/(1-Settings!$B$17)/(1-AN103),0),10)+9))),"")</f>
        <v/>
      </c>
      <c r="S103" s="92" t="n">
        <v>400</v>
      </c>
      <c r="T103" s="91">
        <f>IF(S103&lt;&gt;"", IF(MOD(S103,10)=0,S103-1,IF(MOD(S103,10)&lt;=5,FLOOR(S103,10)+6,FLOOR(S103,10)+9)), R103)</f>
        <v/>
      </c>
      <c r="U103" s="87" t="inlineStr">
        <is>
          <t>Основний</t>
        </is>
      </c>
      <c r="V103" s="88" t="n"/>
      <c r="W103" s="88" t="n"/>
      <c r="X103" s="89">
        <f>IFERROR(IF(OR(V103="",W103="",T103=""),"", IF(T103&gt;W103,"Дорогий",IF(T103&lt;V103,"Дешевий","У ринку"))),"")</f>
        <v/>
      </c>
      <c r="Y103" s="90" t="n"/>
      <c r="Z103" s="104">
        <f>CHOOSE(MATCH(IF($U103="","Основний",$U103),{"Трафіковий","Основний","Маржинальний","Сезонний","Стратегічний"},0),0.16,0.19,0.24,0.23,0.28)</f>
        <v/>
      </c>
      <c r="AA103" s="104">
        <f>CHOOSE(MATCH(IF($U103="","Основний",$U103),{"Трафіковий","Основний","Маржинальний","Сезонний","Стратегічний"},0),0.18,0.21,0.26,0.25,0.3)</f>
        <v/>
      </c>
      <c r="AB103" s="104">
        <f>CHOOSE(MATCH(IF($U103="","Основний",$U103),{"Трафіковий","Основний","Маржинальний","Сезонний","Стратегічний"},0),0.19,0.22,0.28,0.26,0.32)</f>
        <v/>
      </c>
      <c r="AC103" s="104">
        <f>CHOOSE(MATCH(IF($U103="","Основний",$U103),{"Трафіковий","Основний","Маржинальний","Сезонний","Стратегічний"},0),0.17,0.2,0.25,0.24,0.28)</f>
        <v/>
      </c>
      <c r="AD103" s="104">
        <f>CHOOSE(MATCH(IF($U103="","Основний",$U103),{"Трафіковий","Основний","Маржинальний","Сезонний","Стратегічний"},0),0.18,0.21,0.26,0.25,0.3)</f>
        <v/>
      </c>
      <c r="AE103" s="104">
        <f>CHOOSE(MATCH(IF($U103="","Основний",$U103),{"Трафіковий","Основний","Маржинальний","Сезонний","Стратегічний"},0),0.18,0.2,0.28,0.27,0.32)</f>
        <v/>
      </c>
      <c r="AF103" s="104">
        <f>CHOOSE(MATCH(IF($U103="","Основний",$U103),{"Трафіковий","Основний","Маржинальний","Сезонний","Стратегічний"},0),0.15,0.175,0.22,0.21,0.25)</f>
        <v/>
      </c>
      <c r="AG103" s="104">
        <f>CHOOSE(MATCH(IF($U103="","Основний",$U103),{"Трафіковий","Основний","Маржинальний","Сезонний","Стратегічний"},0),0.13,0.16,0.21,0.2,0.25)</f>
        <v/>
      </c>
      <c r="AH103" s="104">
        <f>CHOOSE(MATCH(IF($U103="","Основний",$U103),{"Трафіковий","Основний","Маржинальний","Сезонний","Стратегічний"},0),0.15,0.18,0.23,0.22,0.27)</f>
        <v/>
      </c>
      <c r="AI103" s="104">
        <f>CHOOSE(MATCH(IF($U103="","Основний",$U103),{"Трафіковий","Основний","Маржинальний","Сезонний","Стратегічний"},0),0.16,0.19,0.25,0.23,0.29)</f>
        <v/>
      </c>
      <c r="AJ103" s="104">
        <f>CHOOSE(MATCH(IF($U103="","Основний",$U103),{"Трафіковий","Основний","Маржинальний","Сезонний","Стратегічний"},0),0.14,0.17,0.22,0.21,0.25)</f>
        <v/>
      </c>
      <c r="AK103" s="104">
        <f>CHOOSE(MATCH(IF($U103="","Основний",$U103),{"Трафіковий","Основний","Маржинальний","Сезонний","Стратегічний"},0),0.15,0.18,0.23,0.22,0.27)</f>
        <v/>
      </c>
      <c r="AL103" s="104">
        <f>CHOOSE(MATCH(IF($U103="","Основний",$U103),{"Трафіковий","Основний","Маржинальний","Сезонний","Стратегічний"},0),0.15,0.17,0.25,0.24,0.29)</f>
        <v/>
      </c>
      <c r="AM103" s="104">
        <f>CHOOSE(MATCH(IF($U103="","Основний",$U103),{"Трафіковий","Основний","Маржинальний","Сезонний","Стратегічний"},0),0.12,0.145,0.19,0.18,0.22)</f>
        <v/>
      </c>
      <c r="AN103" s="157">
        <f>CHOOSE(MATCH(IF($U103="","Основний",$U103),{"Трафіковий","Основний","Маржинальний","Сезонний","Стратегічний"},0),Settings!$B$78,Settings!$B$80,Settings!$B$82,Settings!$B$84,Settings!$B$86)</f>
        <v/>
      </c>
      <c r="AO103" s="157">
        <f>CHOOSE(MATCH(IF($U103="","Основний",$U103),{"Трафіковий","Основний","Маржинальний","Сезонний","Стратегічний"},0),Settings!$C$78,Settings!$C$80,Settings!$C$82,Settings!$C$84,Settings!$C$86)</f>
        <v/>
      </c>
      <c r="AP103" s="157">
        <f>CHOOSE(MATCH(IF($U103="","Основний",$U103),{"Трафіковий","Основний","Маржинальний","Сезонний","Стратегічний"},0),Settings!$D$78,Settings!$D$80,Settings!$D$82,Settings!$D$84,Settings!$D$86)</f>
        <v/>
      </c>
      <c r="AQ103" s="157">
        <f>CHOOSE(MATCH(IF($U103="","Основний",$U103),{"Трафіковий","Основний","Маржинальний","Сезонний","Стратегічний"},0),Settings!$F$78,Settings!$F$80,Settings!$F$82,Settings!$F$84,Settings!$F$86)</f>
        <v/>
      </c>
      <c r="AR103" s="157">
        <f>CHOOSE(MATCH(IF($U103="","Основний",$U103),{"Трафіковий","Основний","Маржинальний","Сезонний","Стратегічний"},0),Settings!$G$78,Settings!$G$80,Settings!$G$82,Settings!$G$84,Settings!$G$86)</f>
        <v/>
      </c>
      <c r="AS103" s="157">
        <f>CHOOSE(MATCH(IF($U103="","Основний",$U103),{"Трафіковий","Основний","Маржинальний","Сезонний","Стратегічний"},0),Settings!$H$78,Settings!$H$80,Settings!$H$82,Settings!$H$84,Settings!$H$86)</f>
        <v/>
      </c>
      <c r="AT103" s="157">
        <f>CHOOSE(MATCH(IF($U103="","Основний",$U103),{"Трафіковий","Основний","Маржинальний","Сезонний","Стратегічний"},0),Settings!$I$78,Settings!$I$80,Settings!$I$82,Settings!$I$84,Settings!$I$86)</f>
        <v/>
      </c>
      <c r="AU103" s="171" t="n"/>
      <c r="AV103" t="n">
        <v>1.35</v>
      </c>
    </row>
    <row r="104">
      <c r="A104" s="28" t="inlineStr">
        <is>
          <t>NEW</t>
        </is>
      </c>
      <c r="B104" s="29" t="inlineStr">
        <is>
          <t>P4722</t>
        </is>
      </c>
      <c r="C104" s="29" t="inlineStr">
        <is>
          <t>NIGHT LIGHT WW 3×AAA / SWITCH, 10 PCS</t>
        </is>
      </c>
      <c r="D104" s="29" t="inlineStr">
        <is>
          <t>Ліхтарі</t>
        </is>
      </c>
      <c r="E104" s="28" t="inlineStr">
        <is>
          <t>PC</t>
        </is>
      </c>
      <c r="F104" s="93" t="n">
        <v>1.185</v>
      </c>
      <c r="G104" s="30" t="n">
        <v>9405423100</v>
      </c>
      <c r="H104" s="31" t="n">
        <v>1.4</v>
      </c>
      <c r="I104" s="84">
        <f>IFERROR(F104*Settings!$B$2*H104*IF(AND(ISNUMBER(E104),E104&gt;1),E104,1),"")</f>
        <v/>
      </c>
      <c r="J104" s="32">
        <f>Settings!$B$66</f>
        <v/>
      </c>
      <c r="K104" s="95">
        <f>IFERROR(IF(T104="","",(T104*(1-AN104)*(1-Settings!$B$17)-I104)/(T104*(1-AN104)*(1-Settings!$B$17))),"")</f>
        <v/>
      </c>
      <c r="L104" s="101">
        <f>IFERROR(IF(T104="","",(T104*(1-AO104)*(1-Settings!$C$17)-I104)/(T104*(1-AO104)*(1-Settings!$C$17))),"")</f>
        <v/>
      </c>
      <c r="M104" s="101">
        <f>IFERROR(IF(T104="","",(T104*(1-AP104)*(1-Settings!$D$17)-I104)/(T104*(1-AP104)*(1-Settings!$D$17))),"")</f>
        <v/>
      </c>
      <c r="N104" s="101">
        <f>IFERROR(IF(T104="","",(T104*(1-AQ104)*(1-Settings!$F$17)-I104)/(T104*(1-AQ104)*(1-Settings!$F$17))),"")</f>
        <v/>
      </c>
      <c r="O104" s="101">
        <f>IFERROR(IF(T104="","",(T104*(1-AR104)*(1-Settings!$G$17)-I104)/(T104*(1-AR104)*(1-Settings!$G$17))),"")</f>
        <v/>
      </c>
      <c r="P104" s="101">
        <f>IFERROR(IF(T104="","",(T104*(1-AS104)*(1-Settings!$H$17)-I104)/(T104*(1-AS104)*(1-Settings!$H$17))),"")</f>
        <v/>
      </c>
      <c r="Q104" s="101">
        <f>IFERROR(IF(T104="","",(T104*(1-AT104)*(1-Settings!$I$68)*(1-Settings!$I$17)-I104)/(T104*(1-AT104)*(1-Settings!$I$68)*(1-Settings!$I$17))),"")</f>
        <v/>
      </c>
      <c r="R104" s="91">
        <f>IFERROR(IF(OR(I104="",Z104&gt;=1,Settings!$B$17&gt;=1,AN104&gt;=1),"",IF(MOD(ROUND(I104/(1-Z104)/(1-Settings!$B$17)/(1-AN104),0),10)=0,ROUND(I104/(1-Z104)/(1-Settings!$B$17)/(1-AN104),0)-1,IF(MOD(ROUND(I104/(1-Z104)/(1-Settings!$B$17)/(1-AN104),0),10)&lt;=5,FLOOR(ROUND(I104/(1-Z104)/(1-Settings!$B$17)/(1-AN104),0),10)+6,FLOOR(ROUND(I104/(1-Z104)/(1-Settings!$B$17)/(1-AN104),0),10)+9))),"")</f>
        <v/>
      </c>
      <c r="S104" s="92" t="n">
        <v>170</v>
      </c>
      <c r="T104" s="91">
        <f>IF(S104&lt;&gt;"", IF(MOD(S104,10)=0,S104-1,IF(MOD(S104,10)&lt;=5,FLOOR(S104,10)+6,FLOOR(S104,10)+9)), R104)</f>
        <v/>
      </c>
      <c r="U104" s="87" t="inlineStr">
        <is>
          <t>Основний</t>
        </is>
      </c>
      <c r="V104" s="88" t="n"/>
      <c r="W104" s="88" t="n"/>
      <c r="X104" s="89">
        <f>IFERROR(IF(OR(V104="",W104="",T104=""),"", IF(T104&gt;W104,"Дорогий",IF(T104&lt;V104,"Дешевий","У ринку"))),"")</f>
        <v/>
      </c>
      <c r="Y104" s="90" t="n"/>
      <c r="Z104" s="104">
        <f>CHOOSE(MATCH(IF($U104="","Основний",$U104),{"Трафіковий","Основний","Маржинальний","Сезонний","Стратегічний"},0),0.16,0.19,0.24,0.23,0.28)</f>
        <v/>
      </c>
      <c r="AA104" s="104">
        <f>CHOOSE(MATCH(IF($U104="","Основний",$U104),{"Трафіковий","Основний","Маржинальний","Сезонний","Стратегічний"},0),0.18,0.21,0.26,0.25,0.3)</f>
        <v/>
      </c>
      <c r="AB104" s="104">
        <f>CHOOSE(MATCH(IF($U104="","Основний",$U104),{"Трафіковий","Основний","Маржинальний","Сезонний","Стратегічний"},0),0.19,0.22,0.28,0.26,0.32)</f>
        <v/>
      </c>
      <c r="AC104" s="104">
        <f>CHOOSE(MATCH(IF($U104="","Основний",$U104),{"Трафіковий","Основний","Маржинальний","Сезонний","Стратегічний"},0),0.17,0.2,0.25,0.24,0.28)</f>
        <v/>
      </c>
      <c r="AD104" s="104">
        <f>CHOOSE(MATCH(IF($U104="","Основний",$U104),{"Трафіковий","Основний","Маржинальний","Сезонний","Стратегічний"},0),0.18,0.21,0.26,0.25,0.3)</f>
        <v/>
      </c>
      <c r="AE104" s="104">
        <f>CHOOSE(MATCH(IF($U104="","Основний",$U104),{"Трафіковий","Основний","Маржинальний","Сезонний","Стратегічний"},0),0.18,0.2,0.28,0.27,0.32)</f>
        <v/>
      </c>
      <c r="AF104" s="104">
        <f>CHOOSE(MATCH(IF($U104="","Основний",$U104),{"Трафіковий","Основний","Маржинальний","Сезонний","Стратегічний"},0),0.15,0.175,0.22,0.21,0.25)</f>
        <v/>
      </c>
      <c r="AG104" s="104">
        <f>CHOOSE(MATCH(IF($U104="","Основний",$U104),{"Трафіковий","Основний","Маржинальний","Сезонний","Стратегічний"},0),0.13,0.16,0.21,0.2,0.25)</f>
        <v/>
      </c>
      <c r="AH104" s="104">
        <f>CHOOSE(MATCH(IF($U104="","Основний",$U104),{"Трафіковий","Основний","Маржинальний","Сезонний","Стратегічний"},0),0.15,0.18,0.23,0.22,0.27)</f>
        <v/>
      </c>
      <c r="AI104" s="104">
        <f>CHOOSE(MATCH(IF($U104="","Основний",$U104),{"Трафіковий","Основний","Маржинальний","Сезонний","Стратегічний"},0),0.16,0.19,0.25,0.23,0.29)</f>
        <v/>
      </c>
      <c r="AJ104" s="104">
        <f>CHOOSE(MATCH(IF($U104="","Основний",$U104),{"Трафіковий","Основний","Маржинальний","Сезонний","Стратегічний"},0),0.14,0.17,0.22,0.21,0.25)</f>
        <v/>
      </c>
      <c r="AK104" s="104">
        <f>CHOOSE(MATCH(IF($U104="","Основний",$U104),{"Трафіковий","Основний","Маржинальний","Сезонний","Стратегічний"},0),0.15,0.18,0.23,0.22,0.27)</f>
        <v/>
      </c>
      <c r="AL104" s="104">
        <f>CHOOSE(MATCH(IF($U104="","Основний",$U104),{"Трафіковий","Основний","Маржинальний","Сезонний","Стратегічний"},0),0.15,0.17,0.25,0.24,0.29)</f>
        <v/>
      </c>
      <c r="AM104" s="104">
        <f>CHOOSE(MATCH(IF($U104="","Основний",$U104),{"Трафіковий","Основний","Маржинальний","Сезонний","Стратегічний"},0),0.12,0.145,0.19,0.18,0.22)</f>
        <v/>
      </c>
      <c r="AN104" s="157">
        <f>CHOOSE(MATCH(IF($U104="","Основний",$U104),{"Трафіковий","Основний","Маржинальний","Сезонний","Стратегічний"},0),Settings!$B$78,Settings!$B$80,Settings!$B$82,Settings!$B$84,Settings!$B$86)</f>
        <v/>
      </c>
      <c r="AO104" s="157">
        <f>CHOOSE(MATCH(IF($U104="","Основний",$U104),{"Трафіковий","Основний","Маржинальний","Сезонний","Стратегічний"},0),Settings!$C$78,Settings!$C$80,Settings!$C$82,Settings!$C$84,Settings!$C$86)</f>
        <v/>
      </c>
      <c r="AP104" s="157">
        <f>CHOOSE(MATCH(IF($U104="","Основний",$U104),{"Трафіковий","Основний","Маржинальний","Сезонний","Стратегічний"},0),Settings!$D$78,Settings!$D$80,Settings!$D$82,Settings!$D$84,Settings!$D$86)</f>
        <v/>
      </c>
      <c r="AQ104" s="157">
        <f>CHOOSE(MATCH(IF($U104="","Основний",$U104),{"Трафіковий","Основний","Маржинальний","Сезонний","Стратегічний"},0),Settings!$F$78,Settings!$F$80,Settings!$F$82,Settings!$F$84,Settings!$F$86)</f>
        <v/>
      </c>
      <c r="AR104" s="157">
        <f>CHOOSE(MATCH(IF($U104="","Основний",$U104),{"Трафіковий","Основний","Маржинальний","Сезонний","Стратегічний"},0),Settings!$G$78,Settings!$G$80,Settings!$G$82,Settings!$G$84,Settings!$G$86)</f>
        <v/>
      </c>
      <c r="AS104" s="157">
        <f>CHOOSE(MATCH(IF($U104="","Основний",$U104),{"Трафіковий","Основний","Маржинальний","Сезонний","Стратегічний"},0),Settings!$H$78,Settings!$H$80,Settings!$H$82,Settings!$H$84,Settings!$H$86)</f>
        <v/>
      </c>
      <c r="AT104" s="157">
        <f>CHOOSE(MATCH(IF($U104="","Основний",$U104),{"Трафіковий","Основний","Маржинальний","Сезонний","Стратегічний"},0),Settings!$I$78,Settings!$I$80,Settings!$I$82,Settings!$I$84,Settings!$I$86)</f>
        <v/>
      </c>
      <c r="AU104" s="171" t="n"/>
      <c r="AV104" t="n">
        <v>1.35</v>
      </c>
    </row>
    <row r="105">
      <c r="A105" s="33" t="inlineStr">
        <is>
          <t>NEW</t>
        </is>
      </c>
      <c r="B105" s="34" t="inlineStr">
        <is>
          <t>P3325</t>
        </is>
      </c>
      <c r="C105" s="34" t="inlineStr">
        <is>
          <t>SILICON NIGHT LIGHT – BEAR, WW, 1 200 MAH</t>
        </is>
      </c>
      <c r="D105" s="34" t="inlineStr">
        <is>
          <t>Ліхтарі</t>
        </is>
      </c>
      <c r="E105" s="33" t="inlineStr">
        <is>
          <t>PC</t>
        </is>
      </c>
      <c r="F105" s="94" t="n">
        <v>5.233</v>
      </c>
      <c r="G105" s="35" t="n">
        <v>9405423100</v>
      </c>
      <c r="H105" s="31" t="n">
        <v>1.35</v>
      </c>
      <c r="I105" s="84">
        <f>IFERROR(F105*Settings!$B$2*H105*IF(AND(ISNUMBER(E105),E105&gt;1),E105,1),"")</f>
        <v/>
      </c>
      <c r="J105" s="32">
        <f>Settings!$B$66</f>
        <v/>
      </c>
      <c r="K105" s="95">
        <f>IFERROR(IF(T105="","",(T105*(1-AN105)*(1-Settings!$B$17)-I105)/(T105*(1-AN105)*(1-Settings!$B$17))),"")</f>
        <v/>
      </c>
      <c r="L105" s="101">
        <f>IFERROR(IF(T105="","",(T105*(1-AO105)*(1-Settings!$C$17)-I105)/(T105*(1-AO105)*(1-Settings!$C$17))),"")</f>
        <v/>
      </c>
      <c r="M105" s="101">
        <f>IFERROR(IF(T105="","",(T105*(1-AP105)*(1-Settings!$D$17)-I105)/(T105*(1-AP105)*(1-Settings!$D$17))),"")</f>
        <v/>
      </c>
      <c r="N105" s="101">
        <f>IFERROR(IF(T105="","",(T105*(1-AQ105)*(1-Settings!$F$17)-I105)/(T105*(1-AQ105)*(1-Settings!$F$17))),"")</f>
        <v/>
      </c>
      <c r="O105" s="101">
        <f>IFERROR(IF(T105="","",(T105*(1-AR105)*(1-Settings!$G$17)-I105)/(T105*(1-AR105)*(1-Settings!$G$17))),"")</f>
        <v/>
      </c>
      <c r="P105" s="101">
        <f>IFERROR(IF(T105="","",(T105*(1-AS105)*(1-Settings!$H$17)-I105)/(T105*(1-AS105)*(1-Settings!$H$17))),"")</f>
        <v/>
      </c>
      <c r="Q105" s="101">
        <f>IFERROR(IF(T105="","",(T105*(1-AT105)*(1-Settings!$I$68)*(1-Settings!$I$17)-I105)/(T105*(1-AT105)*(1-Settings!$I$68)*(1-Settings!$I$17))),"")</f>
        <v/>
      </c>
      <c r="R105" s="91">
        <f>IFERROR(IF(OR(I105="",Z105&gt;=1,Settings!$B$17&gt;=1,AN105&gt;=1),"",IF(MOD(ROUND(I105/(1-Z105)/(1-Settings!$B$17)/(1-AN105),0),10)=0,ROUND(I105/(1-Z105)/(1-Settings!$B$17)/(1-AN105),0)-1,IF(MOD(ROUND(I105/(1-Z105)/(1-Settings!$B$17)/(1-AN105),0),10)&lt;=5,FLOOR(ROUND(I105/(1-Z105)/(1-Settings!$B$17)/(1-AN105),0),10)+6,FLOOR(ROUND(I105/(1-Z105)/(1-Settings!$B$17)/(1-AN105),0),10)+9))),"")</f>
        <v/>
      </c>
      <c r="S105" s="92" t="n"/>
      <c r="T105" s="91">
        <f>IF(S105&lt;&gt;"", IF(MOD(S105,10)=0,S105-1,IF(MOD(S105,10)&lt;=5,FLOOR(S105,10)+6,FLOOR(S105,10)+9)), R105)</f>
        <v/>
      </c>
      <c r="U105" s="87" t="inlineStr">
        <is>
          <t>Основний</t>
        </is>
      </c>
      <c r="V105" s="88" t="n"/>
      <c r="W105" s="88" t="n"/>
      <c r="X105" s="89">
        <f>IFERROR(IF(OR(V105="",W105="",T105=""),"", IF(T105&gt;W105,"Дорогий",IF(T105&lt;V105,"Дешевий","У ринку"))),"")</f>
        <v/>
      </c>
      <c r="Y105" s="90" t="n"/>
      <c r="Z105" s="104">
        <f>CHOOSE(MATCH(IF($U105="","Основний",$U105),{"Трафіковий","Основний","Маржинальний","Сезонний","Стратегічний"},0),0.16,0.19,0.24,0.23,0.28)</f>
        <v/>
      </c>
      <c r="AA105" s="104">
        <f>CHOOSE(MATCH(IF($U105="","Основний",$U105),{"Трафіковий","Основний","Маржинальний","Сезонний","Стратегічний"},0),0.18,0.21,0.26,0.25,0.3)</f>
        <v/>
      </c>
      <c r="AB105" s="104">
        <f>CHOOSE(MATCH(IF($U105="","Основний",$U105),{"Трафіковий","Основний","Маржинальний","Сезонний","Стратегічний"},0),0.19,0.22,0.28,0.26,0.32)</f>
        <v/>
      </c>
      <c r="AC105" s="104">
        <f>CHOOSE(MATCH(IF($U105="","Основний",$U105),{"Трафіковий","Основний","Маржинальний","Сезонний","Стратегічний"},0),0.17,0.2,0.25,0.24,0.28)</f>
        <v/>
      </c>
      <c r="AD105" s="104">
        <f>CHOOSE(MATCH(IF($U105="","Основний",$U105),{"Трафіковий","Основний","Маржинальний","Сезонний","Стратегічний"},0),0.18,0.21,0.26,0.25,0.3)</f>
        <v/>
      </c>
      <c r="AE105" s="104">
        <f>CHOOSE(MATCH(IF($U105="","Основний",$U105),{"Трафіковий","Основний","Маржинальний","Сезонний","Стратегічний"},0),0.18,0.2,0.28,0.27,0.32)</f>
        <v/>
      </c>
      <c r="AF105" s="104">
        <f>CHOOSE(MATCH(IF($U105="","Основний",$U105),{"Трафіковий","Основний","Маржинальний","Сезонний","Стратегічний"},0),0.15,0.175,0.22,0.21,0.25)</f>
        <v/>
      </c>
      <c r="AG105" s="104">
        <f>CHOOSE(MATCH(IF($U105="","Основний",$U105),{"Трафіковий","Основний","Маржинальний","Сезонний","Стратегічний"},0),0.13,0.16,0.21,0.2,0.25)</f>
        <v/>
      </c>
      <c r="AH105" s="104">
        <f>CHOOSE(MATCH(IF($U105="","Основний",$U105),{"Трафіковий","Основний","Маржинальний","Сезонний","Стратегічний"},0),0.15,0.18,0.23,0.22,0.27)</f>
        <v/>
      </c>
      <c r="AI105" s="104">
        <f>CHOOSE(MATCH(IF($U105="","Основний",$U105),{"Трафіковий","Основний","Маржинальний","Сезонний","Стратегічний"},0),0.16,0.19,0.25,0.23,0.29)</f>
        <v/>
      </c>
      <c r="AJ105" s="104">
        <f>CHOOSE(MATCH(IF($U105="","Основний",$U105),{"Трафіковий","Основний","Маржинальний","Сезонний","Стратегічний"},0),0.14,0.17,0.22,0.21,0.25)</f>
        <v/>
      </c>
      <c r="AK105" s="104">
        <f>CHOOSE(MATCH(IF($U105="","Основний",$U105),{"Трафіковий","Основний","Маржинальний","Сезонний","Стратегічний"},0),0.15,0.18,0.23,0.22,0.27)</f>
        <v/>
      </c>
      <c r="AL105" s="104">
        <f>CHOOSE(MATCH(IF($U105="","Основний",$U105),{"Трафіковий","Основний","Маржинальний","Сезонний","Стратегічний"},0),0.15,0.17,0.25,0.24,0.29)</f>
        <v/>
      </c>
      <c r="AM105" s="104">
        <f>CHOOSE(MATCH(IF($U105="","Основний",$U105),{"Трафіковий","Основний","Маржинальний","Сезонний","Стратегічний"},0),0.12,0.145,0.19,0.18,0.22)</f>
        <v/>
      </c>
      <c r="AN105" s="157">
        <f>CHOOSE(MATCH(IF($U105="","Основний",$U105),{"Трафіковий","Основний","Маржинальний","Сезонний","Стратегічний"},0),Settings!$B$78,Settings!$B$80,Settings!$B$82,Settings!$B$84,Settings!$B$86)</f>
        <v/>
      </c>
      <c r="AO105" s="157">
        <f>CHOOSE(MATCH(IF($U105="","Основний",$U105),{"Трафіковий","Основний","Маржинальний","Сезонний","Стратегічний"},0),Settings!$C$78,Settings!$C$80,Settings!$C$82,Settings!$C$84,Settings!$C$86)</f>
        <v/>
      </c>
      <c r="AP105" s="157">
        <f>CHOOSE(MATCH(IF($U105="","Основний",$U105),{"Трафіковий","Основний","Маржинальний","Сезонний","Стратегічний"},0),Settings!$D$78,Settings!$D$80,Settings!$D$82,Settings!$D$84,Settings!$D$86)</f>
        <v/>
      </c>
      <c r="AQ105" s="157">
        <f>CHOOSE(MATCH(IF($U105="","Основний",$U105),{"Трафіковий","Основний","Маржинальний","Сезонний","Стратегічний"},0),Settings!$F$78,Settings!$F$80,Settings!$F$82,Settings!$F$84,Settings!$F$86)</f>
        <v/>
      </c>
      <c r="AR105" s="157">
        <f>CHOOSE(MATCH(IF($U105="","Основний",$U105),{"Трафіковий","Основний","Маржинальний","Сезонний","Стратегічний"},0),Settings!$G$78,Settings!$G$80,Settings!$G$82,Settings!$G$84,Settings!$G$86)</f>
        <v/>
      </c>
      <c r="AS105" s="157">
        <f>CHOOSE(MATCH(IF($U105="","Основний",$U105),{"Трафіковий","Основний","Маржинальний","Сезонний","Стратегічний"},0),Settings!$H$78,Settings!$H$80,Settings!$H$82,Settings!$H$84,Settings!$H$86)</f>
        <v/>
      </c>
      <c r="AT105" s="157">
        <f>CHOOSE(MATCH(IF($U105="","Основний",$U105),{"Трафіковий","Основний","Маржинальний","Сезонний","Стратегічний"},0),Settings!$I$78,Settings!$I$80,Settings!$I$82,Settings!$I$84,Settings!$I$86)</f>
        <v/>
      </c>
      <c r="AU105" s="171" t="n"/>
      <c r="AV105" t="n">
        <v>1.35</v>
      </c>
    </row>
    <row r="106">
      <c r="A106" s="28" t="inlineStr">
        <is>
          <t>NEW</t>
        </is>
      </c>
      <c r="B106" s="29" t="inlineStr">
        <is>
          <t>P3327</t>
        </is>
      </c>
      <c r="C106" s="29" t="inlineStr">
        <is>
          <t>NIGHT LIGHT WW 3×AAA, ON/OFF SWITCH, 2 PCS</t>
        </is>
      </c>
      <c r="D106" s="29" t="inlineStr">
        <is>
          <t>Ліхтарі</t>
        </is>
      </c>
      <c r="E106" s="28" t="n">
        <v>2</v>
      </c>
      <c r="F106" s="93" t="n">
        <v>1.355</v>
      </c>
      <c r="G106" s="30" t="n">
        <v>9405423100</v>
      </c>
      <c r="H106" s="31" t="n">
        <v>1.4</v>
      </c>
      <c r="I106" s="84">
        <f>IFERROR(F106*Settings!$B$2*H106*IF(AND(ISNUMBER(E106),E106&gt;1),E106,1),"")</f>
        <v/>
      </c>
      <c r="J106" s="32">
        <f>Settings!$B$66</f>
        <v/>
      </c>
      <c r="K106" s="95">
        <f>IFERROR(IF(T106="","",(T106*(1-AN106)*(1-Settings!$B$17)-I106)/(T106*(1-AN106)*(1-Settings!$B$17))),"")</f>
        <v/>
      </c>
      <c r="L106" s="101">
        <f>IFERROR(IF(T106="","",(T106*(1-AO106)*(1-Settings!$C$17)-I106)/(T106*(1-AO106)*(1-Settings!$C$17))),"")</f>
        <v/>
      </c>
      <c r="M106" s="101">
        <f>IFERROR(IF(T106="","",(T106*(1-AP106)*(1-Settings!$D$17)-I106)/(T106*(1-AP106)*(1-Settings!$D$17))),"")</f>
        <v/>
      </c>
      <c r="N106" s="101">
        <f>IFERROR(IF(T106="","",(T106*(1-AQ106)*(1-Settings!$F$17)-I106)/(T106*(1-AQ106)*(1-Settings!$F$17))),"")</f>
        <v/>
      </c>
      <c r="O106" s="101">
        <f>IFERROR(IF(T106="","",(T106*(1-AR106)*(1-Settings!$G$17)-I106)/(T106*(1-AR106)*(1-Settings!$G$17))),"")</f>
        <v/>
      </c>
      <c r="P106" s="101">
        <f>IFERROR(IF(T106="","",(T106*(1-AS106)*(1-Settings!$H$17)-I106)/(T106*(1-AS106)*(1-Settings!$H$17))),"")</f>
        <v/>
      </c>
      <c r="Q106" s="101">
        <f>IFERROR(IF(T106="","",(T106*(1-AT106)*(1-Settings!$I$68)*(1-Settings!$I$17)-I106)/(T106*(1-AT106)*(1-Settings!$I$68)*(1-Settings!$I$17))),"")</f>
        <v/>
      </c>
      <c r="R106" s="91">
        <f>IFERROR(IF(OR(I106="",Z106&gt;=1,Settings!$B$17&gt;=1,AN106&gt;=1),"",IF(MOD(ROUND(I106/(1-Z106)/(1-Settings!$B$17)/(1-AN106),0),10)=0,ROUND(I106/(1-Z106)/(1-Settings!$B$17)/(1-AN106),0)-1,IF(MOD(ROUND(I106/(1-Z106)/(1-Settings!$B$17)/(1-AN106),0),10)&lt;=5,FLOOR(ROUND(I106/(1-Z106)/(1-Settings!$B$17)/(1-AN106),0),10)+6,FLOOR(ROUND(I106/(1-Z106)/(1-Settings!$B$17)/(1-AN106),0),10)+9))),"")</f>
        <v/>
      </c>
      <c r="S106" s="92" t="n">
        <v>370</v>
      </c>
      <c r="T106" s="91">
        <f>IF(S106&lt;&gt;"", IF(MOD(S106,10)=0,S106-1,IF(MOD(S106,10)&lt;=5,FLOOR(S106,10)+6,FLOOR(S106,10)+9)), R106)</f>
        <v/>
      </c>
      <c r="U106" s="87" t="inlineStr">
        <is>
          <t>Основний</t>
        </is>
      </c>
      <c r="V106" s="88" t="n"/>
      <c r="W106" s="88" t="n"/>
      <c r="X106" s="89">
        <f>IFERROR(IF(OR(V106="",W106="",T106=""),"", IF(T106&gt;W106,"Дорогий",IF(T106&lt;V106,"Дешевий","У ринку"))),"")</f>
        <v/>
      </c>
      <c r="Y106" s="90" t="n"/>
      <c r="Z106" s="104">
        <f>CHOOSE(MATCH(IF($U106="","Основний",$U106),{"Трафіковий","Основний","Маржинальний","Сезонний","Стратегічний"},0),0.16,0.19,0.24,0.23,0.28)</f>
        <v/>
      </c>
      <c r="AA106" s="104">
        <f>CHOOSE(MATCH(IF($U106="","Основний",$U106),{"Трафіковий","Основний","Маржинальний","Сезонний","Стратегічний"},0),0.18,0.21,0.26,0.25,0.3)</f>
        <v/>
      </c>
      <c r="AB106" s="104">
        <f>CHOOSE(MATCH(IF($U106="","Основний",$U106),{"Трафіковий","Основний","Маржинальний","Сезонний","Стратегічний"},0),0.19,0.22,0.28,0.26,0.32)</f>
        <v/>
      </c>
      <c r="AC106" s="104">
        <f>CHOOSE(MATCH(IF($U106="","Основний",$U106),{"Трафіковий","Основний","Маржинальний","Сезонний","Стратегічний"},0),0.17,0.2,0.25,0.24,0.28)</f>
        <v/>
      </c>
      <c r="AD106" s="104">
        <f>CHOOSE(MATCH(IF($U106="","Основний",$U106),{"Трафіковий","Основний","Маржинальний","Сезонний","Стратегічний"},0),0.18,0.21,0.26,0.25,0.3)</f>
        <v/>
      </c>
      <c r="AE106" s="104">
        <f>CHOOSE(MATCH(IF($U106="","Основний",$U106),{"Трафіковий","Основний","Маржинальний","Сезонний","Стратегічний"},0),0.18,0.2,0.28,0.27,0.32)</f>
        <v/>
      </c>
      <c r="AF106" s="104">
        <f>CHOOSE(MATCH(IF($U106="","Основний",$U106),{"Трафіковий","Основний","Маржинальний","Сезонний","Стратегічний"},0),0.15,0.175,0.22,0.21,0.25)</f>
        <v/>
      </c>
      <c r="AG106" s="104">
        <f>CHOOSE(MATCH(IF($U106="","Основний",$U106),{"Трафіковий","Основний","Маржинальний","Сезонний","Стратегічний"},0),0.13,0.16,0.21,0.2,0.25)</f>
        <v/>
      </c>
      <c r="AH106" s="104">
        <f>CHOOSE(MATCH(IF($U106="","Основний",$U106),{"Трафіковий","Основний","Маржинальний","Сезонний","Стратегічний"},0),0.15,0.18,0.23,0.22,0.27)</f>
        <v/>
      </c>
      <c r="AI106" s="104">
        <f>CHOOSE(MATCH(IF($U106="","Основний",$U106),{"Трафіковий","Основний","Маржинальний","Сезонний","Стратегічний"},0),0.16,0.19,0.25,0.23,0.29)</f>
        <v/>
      </c>
      <c r="AJ106" s="104">
        <f>CHOOSE(MATCH(IF($U106="","Основний",$U106),{"Трафіковий","Основний","Маржинальний","Сезонний","Стратегічний"},0),0.14,0.17,0.22,0.21,0.25)</f>
        <v/>
      </c>
      <c r="AK106" s="104">
        <f>CHOOSE(MATCH(IF($U106="","Основний",$U106),{"Трафіковий","Основний","Маржинальний","Сезонний","Стратегічний"},0),0.15,0.18,0.23,0.22,0.27)</f>
        <v/>
      </c>
      <c r="AL106" s="104">
        <f>CHOOSE(MATCH(IF($U106="","Основний",$U106),{"Трафіковий","Основний","Маржинальний","Сезонний","Стратегічний"},0),0.15,0.17,0.25,0.24,0.29)</f>
        <v/>
      </c>
      <c r="AM106" s="104">
        <f>CHOOSE(MATCH(IF($U106="","Основний",$U106),{"Трафіковий","Основний","Маржинальний","Сезонний","Стратегічний"},0),0.12,0.145,0.19,0.18,0.22)</f>
        <v/>
      </c>
      <c r="AN106" s="157">
        <f>CHOOSE(MATCH(IF($U106="","Основний",$U106),{"Трафіковий","Основний","Маржинальний","Сезонний","Стратегічний"},0),Settings!$B$78,Settings!$B$80,Settings!$B$82,Settings!$B$84,Settings!$B$86)</f>
        <v/>
      </c>
      <c r="AO106" s="157">
        <f>CHOOSE(MATCH(IF($U106="","Основний",$U106),{"Трафіковий","Основний","Маржинальний","Сезонний","Стратегічний"},0),Settings!$C$78,Settings!$C$80,Settings!$C$82,Settings!$C$84,Settings!$C$86)</f>
        <v/>
      </c>
      <c r="AP106" s="157">
        <f>CHOOSE(MATCH(IF($U106="","Основний",$U106),{"Трафіковий","Основний","Маржинальний","Сезонний","Стратегічний"},0),Settings!$D$78,Settings!$D$80,Settings!$D$82,Settings!$D$84,Settings!$D$86)</f>
        <v/>
      </c>
      <c r="AQ106" s="157">
        <f>CHOOSE(MATCH(IF($U106="","Основний",$U106),{"Трафіковий","Основний","Маржинальний","Сезонний","Стратегічний"},0),Settings!$F$78,Settings!$F$80,Settings!$F$82,Settings!$F$84,Settings!$F$86)</f>
        <v/>
      </c>
      <c r="AR106" s="157">
        <f>CHOOSE(MATCH(IF($U106="","Основний",$U106),{"Трафіковий","Основний","Маржинальний","Сезонний","Стратегічний"},0),Settings!$G$78,Settings!$G$80,Settings!$G$82,Settings!$G$84,Settings!$G$86)</f>
        <v/>
      </c>
      <c r="AS106" s="157">
        <f>CHOOSE(MATCH(IF($U106="","Основний",$U106),{"Трафіковий","Основний","Маржинальний","Сезонний","Стратегічний"},0),Settings!$H$78,Settings!$H$80,Settings!$H$82,Settings!$H$84,Settings!$H$86)</f>
        <v/>
      </c>
      <c r="AT106" s="157">
        <f>CHOOSE(MATCH(IF($U106="","Основний",$U106),{"Трафіковий","Основний","Маржинальний","Сезонний","Стратегічний"},0),Settings!$I$78,Settings!$I$80,Settings!$I$82,Settings!$I$84,Settings!$I$86)</f>
        <v/>
      </c>
      <c r="AU106" s="171" t="n"/>
      <c r="AV106" t="n">
        <v>1.35</v>
      </c>
    </row>
    <row r="107">
      <c r="A107" s="33" t="n"/>
      <c r="B107" s="34" t="inlineStr">
        <is>
          <t>P3306</t>
        </is>
      </c>
      <c r="C107" s="34" t="inlineStr">
        <is>
          <t>NIGHT LIGHT SENSOR 3 LED 230V</t>
        </is>
      </c>
      <c r="D107" s="34" t="inlineStr">
        <is>
          <t>Ліхтарі</t>
        </is>
      </c>
      <c r="E107" s="33" t="inlineStr">
        <is>
          <t>PC</t>
        </is>
      </c>
      <c r="F107" s="94" t="n">
        <v>1.4</v>
      </c>
      <c r="G107" s="35" t="n">
        <v>9405423100</v>
      </c>
      <c r="H107" s="31" t="n">
        <v>1.4</v>
      </c>
      <c r="I107" s="84">
        <f>IFERROR(F107*Settings!$B$2*H107*IF(AND(ISNUMBER(E107),E107&gt;1),E107,1),"")</f>
        <v/>
      </c>
      <c r="J107" s="32">
        <f>Settings!$B$66</f>
        <v/>
      </c>
      <c r="K107" s="95">
        <f>IFERROR(IF(T107="","",(T107*(1-AN107)*(1-Settings!$B$17)-I107)/(T107*(1-AN107)*(1-Settings!$B$17))),"")</f>
        <v/>
      </c>
      <c r="L107" s="101">
        <f>IFERROR(IF(T107="","",(T107*(1-AO107)*(1-Settings!$C$17)-I107)/(T107*(1-AO107)*(1-Settings!$C$17))),"")</f>
        <v/>
      </c>
      <c r="M107" s="101">
        <f>IFERROR(IF(T107="","",(T107*(1-AP107)*(1-Settings!$D$17)-I107)/(T107*(1-AP107)*(1-Settings!$D$17))),"")</f>
        <v/>
      </c>
      <c r="N107" s="101">
        <f>IFERROR(IF(T107="","",(T107*(1-AQ107)*(1-Settings!$F$17)-I107)/(T107*(1-AQ107)*(1-Settings!$F$17))),"")</f>
        <v/>
      </c>
      <c r="O107" s="101">
        <f>IFERROR(IF(T107="","",(T107*(1-AR107)*(1-Settings!$G$17)-I107)/(T107*(1-AR107)*(1-Settings!$G$17))),"")</f>
        <v/>
      </c>
      <c r="P107" s="101">
        <f>IFERROR(IF(T107="","",(T107*(1-AS107)*(1-Settings!$H$17)-I107)/(T107*(1-AS107)*(1-Settings!$H$17))),"")</f>
        <v/>
      </c>
      <c r="Q107" s="101">
        <f>IFERROR(IF(T107="","",(T107*(1-AT107)*(1-Settings!$I$68)*(1-Settings!$I$17)-I107)/(T107*(1-AT107)*(1-Settings!$I$68)*(1-Settings!$I$17))),"")</f>
        <v/>
      </c>
      <c r="R107" s="91">
        <f>IFERROR(IF(OR(I107="",Z107&gt;=1,Settings!$B$17&gt;=1,AN107&gt;=1),"",IF(MOD(ROUND(I107/(1-Z107)/(1-Settings!$B$17)/(1-AN107),0),10)=0,ROUND(I107/(1-Z107)/(1-Settings!$B$17)/(1-AN107),0)-1,IF(MOD(ROUND(I107/(1-Z107)/(1-Settings!$B$17)/(1-AN107),0),10)&lt;=5,FLOOR(ROUND(I107/(1-Z107)/(1-Settings!$B$17)/(1-AN107),0),10)+6,FLOOR(ROUND(I107/(1-Z107)/(1-Settings!$B$17)/(1-AN107),0),10)+9))),"")</f>
        <v/>
      </c>
      <c r="S107" s="92" t="n"/>
      <c r="T107" s="91">
        <f>IF(S107&lt;&gt;"", IF(MOD(S107,10)=0,S107-1,IF(MOD(S107,10)&lt;=5,FLOOR(S107,10)+6,FLOOR(S107,10)+9)), R107)</f>
        <v/>
      </c>
      <c r="U107" s="87" t="inlineStr">
        <is>
          <t>Основний</t>
        </is>
      </c>
      <c r="V107" s="88" t="n"/>
      <c r="W107" s="88" t="n"/>
      <c r="X107" s="89">
        <f>IFERROR(IF(OR(V107="",W107="",T107=""),"", IF(T107&gt;W107,"Дорогий",IF(T107&lt;V107,"Дешевий","У ринку"))),"")</f>
        <v/>
      </c>
      <c r="Y107" s="90" t="n"/>
      <c r="Z107" s="104">
        <f>CHOOSE(MATCH(IF($U107="","Основний",$U107),{"Трафіковий","Основний","Маржинальний","Сезонний","Стратегічний"},0),0.16,0.19,0.24,0.23,0.28)</f>
        <v/>
      </c>
      <c r="AA107" s="104">
        <f>CHOOSE(MATCH(IF($U107="","Основний",$U107),{"Трафіковий","Основний","Маржинальний","Сезонний","Стратегічний"},0),0.18,0.21,0.26,0.25,0.3)</f>
        <v/>
      </c>
      <c r="AB107" s="104">
        <f>CHOOSE(MATCH(IF($U107="","Основний",$U107),{"Трафіковий","Основний","Маржинальний","Сезонний","Стратегічний"},0),0.19,0.22,0.28,0.26,0.32)</f>
        <v/>
      </c>
      <c r="AC107" s="104">
        <f>CHOOSE(MATCH(IF($U107="","Основний",$U107),{"Трафіковий","Основний","Маржинальний","Сезонний","Стратегічний"},0),0.17,0.2,0.25,0.24,0.28)</f>
        <v/>
      </c>
      <c r="AD107" s="104">
        <f>CHOOSE(MATCH(IF($U107="","Основний",$U107),{"Трафіковий","Основний","Маржинальний","Сезонний","Стратегічний"},0),0.18,0.21,0.26,0.25,0.3)</f>
        <v/>
      </c>
      <c r="AE107" s="104">
        <f>CHOOSE(MATCH(IF($U107="","Основний",$U107),{"Трафіковий","Основний","Маржинальний","Сезонний","Стратегічний"},0),0.18,0.2,0.28,0.27,0.32)</f>
        <v/>
      </c>
      <c r="AF107" s="104">
        <f>CHOOSE(MATCH(IF($U107="","Основний",$U107),{"Трафіковий","Основний","Маржинальний","Сезонний","Стратегічний"},0),0.15,0.175,0.22,0.21,0.25)</f>
        <v/>
      </c>
      <c r="AG107" s="104">
        <f>CHOOSE(MATCH(IF($U107="","Основний",$U107),{"Трафіковий","Основний","Маржинальний","Сезонний","Стратегічний"},0),0.13,0.16,0.21,0.2,0.25)</f>
        <v/>
      </c>
      <c r="AH107" s="104">
        <f>CHOOSE(MATCH(IF($U107="","Основний",$U107),{"Трафіковий","Основний","Маржинальний","Сезонний","Стратегічний"},0),0.15,0.18,0.23,0.22,0.27)</f>
        <v/>
      </c>
      <c r="AI107" s="104">
        <f>CHOOSE(MATCH(IF($U107="","Основний",$U107),{"Трафіковий","Основний","Маржинальний","Сезонний","Стратегічний"},0),0.16,0.19,0.25,0.23,0.29)</f>
        <v/>
      </c>
      <c r="AJ107" s="104">
        <f>CHOOSE(MATCH(IF($U107="","Основний",$U107),{"Трафіковий","Основний","Маржинальний","Сезонний","Стратегічний"},0),0.14,0.17,0.22,0.21,0.25)</f>
        <v/>
      </c>
      <c r="AK107" s="104">
        <f>CHOOSE(MATCH(IF($U107="","Основний",$U107),{"Трафіковий","Основний","Маржинальний","Сезонний","Стратегічний"},0),0.15,0.18,0.23,0.22,0.27)</f>
        <v/>
      </c>
      <c r="AL107" s="104">
        <f>CHOOSE(MATCH(IF($U107="","Основний",$U107),{"Трафіковий","Основний","Маржинальний","Сезонний","Стратегічний"},0),0.15,0.17,0.25,0.24,0.29)</f>
        <v/>
      </c>
      <c r="AM107" s="104">
        <f>CHOOSE(MATCH(IF($U107="","Основний",$U107),{"Трафіковий","Основний","Маржинальний","Сезонний","Стратегічний"},0),0.12,0.145,0.19,0.18,0.22)</f>
        <v/>
      </c>
      <c r="AN107" s="157">
        <f>CHOOSE(MATCH(IF($U107="","Основний",$U107),{"Трафіковий","Основний","Маржинальний","Сезонний","Стратегічний"},0),Settings!$B$78,Settings!$B$80,Settings!$B$82,Settings!$B$84,Settings!$B$86)</f>
        <v/>
      </c>
      <c r="AO107" s="157">
        <f>CHOOSE(MATCH(IF($U107="","Основний",$U107),{"Трафіковий","Основний","Маржинальний","Сезонний","Стратегічний"},0),Settings!$C$78,Settings!$C$80,Settings!$C$82,Settings!$C$84,Settings!$C$86)</f>
        <v/>
      </c>
      <c r="AP107" s="157">
        <f>CHOOSE(MATCH(IF($U107="","Основний",$U107),{"Трафіковий","Основний","Маржинальний","Сезонний","Стратегічний"},0),Settings!$D$78,Settings!$D$80,Settings!$D$82,Settings!$D$84,Settings!$D$86)</f>
        <v/>
      </c>
      <c r="AQ107" s="157">
        <f>CHOOSE(MATCH(IF($U107="","Основний",$U107),{"Трафіковий","Основний","Маржинальний","Сезонний","Стратегічний"},0),Settings!$F$78,Settings!$F$80,Settings!$F$82,Settings!$F$84,Settings!$F$86)</f>
        <v/>
      </c>
      <c r="AR107" s="157">
        <f>CHOOSE(MATCH(IF($U107="","Основний",$U107),{"Трафіковий","Основний","Маржинальний","Сезонний","Стратегічний"},0),Settings!$G$78,Settings!$G$80,Settings!$G$82,Settings!$G$84,Settings!$G$86)</f>
        <v/>
      </c>
      <c r="AS107" s="157">
        <f>CHOOSE(MATCH(IF($U107="","Основний",$U107),{"Трафіковий","Основний","Маржинальний","Сезонний","Стратегічний"},0),Settings!$H$78,Settings!$H$80,Settings!$H$82,Settings!$H$84,Settings!$H$86)</f>
        <v/>
      </c>
      <c r="AT107" s="157">
        <f>CHOOSE(MATCH(IF($U107="","Основний",$U107),{"Трафіковий","Основний","Маржинальний","Сезонний","Стратегічний"},0),Settings!$I$78,Settings!$I$80,Settings!$I$82,Settings!$I$84,Settings!$I$86)</f>
        <v/>
      </c>
      <c r="AU107" s="171" t="n"/>
      <c r="AV107" t="n">
        <v>1.35</v>
      </c>
    </row>
    <row r="108">
      <c r="A108" s="28" t="inlineStr">
        <is>
          <t>SELL OUT</t>
        </is>
      </c>
      <c r="B108" s="29" t="inlineStr">
        <is>
          <t>P3313</t>
        </is>
      </c>
      <c r="C108" s="29" t="inlineStr">
        <is>
          <t>NIGHT LIGHT WITH USB 3LED 230V</t>
        </is>
      </c>
      <c r="D108" s="29" t="inlineStr">
        <is>
          <t>Ліхтарі</t>
        </is>
      </c>
      <c r="E108" s="28" t="inlineStr">
        <is>
          <t>PC</t>
        </is>
      </c>
      <c r="F108" s="93" t="n">
        <v>6.091</v>
      </c>
      <c r="G108" s="30" t="n">
        <v>9405423100</v>
      </c>
      <c r="H108" s="31" t="n">
        <v>1.4</v>
      </c>
      <c r="I108" s="84">
        <f>IFERROR(F108*Settings!$B$2*H108*IF(AND(ISNUMBER(E108),E108&gt;1),E108,1),"")</f>
        <v/>
      </c>
      <c r="J108" s="32">
        <f>Settings!$B$66</f>
        <v/>
      </c>
      <c r="K108" s="95">
        <f>IFERROR(IF(T108="","",(T108*(1-AN108)*(1-Settings!$B$17)-I108)/(T108*(1-AN108)*(1-Settings!$B$17))),"")</f>
        <v/>
      </c>
      <c r="L108" s="101">
        <f>IFERROR(IF(T108="","",(T108*(1-AO108)*(1-Settings!$C$17)-I108)/(T108*(1-AO108)*(1-Settings!$C$17))),"")</f>
        <v/>
      </c>
      <c r="M108" s="101">
        <f>IFERROR(IF(T108="","",(T108*(1-AP108)*(1-Settings!$D$17)-I108)/(T108*(1-AP108)*(1-Settings!$D$17))),"")</f>
        <v/>
      </c>
      <c r="N108" s="101">
        <f>IFERROR(IF(T108="","",(T108*(1-AQ108)*(1-Settings!$F$17)-I108)/(T108*(1-AQ108)*(1-Settings!$F$17))),"")</f>
        <v/>
      </c>
      <c r="O108" s="101">
        <f>IFERROR(IF(T108="","",(T108*(1-AR108)*(1-Settings!$G$17)-I108)/(T108*(1-AR108)*(1-Settings!$G$17))),"")</f>
        <v/>
      </c>
      <c r="P108" s="101">
        <f>IFERROR(IF(T108="","",(T108*(1-AS108)*(1-Settings!$H$17)-I108)/(T108*(1-AS108)*(1-Settings!$H$17))),"")</f>
        <v/>
      </c>
      <c r="Q108" s="101">
        <f>IFERROR(IF(T108="","",(T108*(1-AT108)*(1-Settings!$I$68)*(1-Settings!$I$17)-I108)/(T108*(1-AT108)*(1-Settings!$I$68)*(1-Settings!$I$17))),"")</f>
        <v/>
      </c>
      <c r="R108" s="91">
        <f>IFERROR(IF(OR(I108="",Z108&gt;=1,Settings!$B$17&gt;=1,AN108&gt;=1),"",IF(MOD(ROUND(I108/(1-Z108)/(1-Settings!$B$17)/(1-AN108),0),10)=0,ROUND(I108/(1-Z108)/(1-Settings!$B$17)/(1-AN108),0)-1,IF(MOD(ROUND(I108/(1-Z108)/(1-Settings!$B$17)/(1-AN108),0),10)&lt;=5,FLOOR(ROUND(I108/(1-Z108)/(1-Settings!$B$17)/(1-AN108),0),10)+6,FLOOR(ROUND(I108/(1-Z108)/(1-Settings!$B$17)/(1-AN108),0),10)+9))),"")</f>
        <v/>
      </c>
      <c r="S108" s="92" t="n">
        <v>700</v>
      </c>
      <c r="T108" s="91">
        <f>IF(S108&lt;&gt;"", IF(MOD(S108,10)=0,S108-1,IF(MOD(S108,10)&lt;=5,FLOOR(S108,10)+6,FLOOR(S108,10)+9)), R108)</f>
        <v/>
      </c>
      <c r="U108" s="87" t="inlineStr">
        <is>
          <t>Основний</t>
        </is>
      </c>
      <c r="V108" s="88" t="n"/>
      <c r="W108" s="88" t="n"/>
      <c r="X108" s="89">
        <f>IFERROR(IF(OR(V108="",W108="",T108=""),"", IF(T108&gt;W108,"Дорогий",IF(T108&lt;V108,"Дешевий","У ринку"))),"")</f>
        <v/>
      </c>
      <c r="Y108" s="90" t="n"/>
      <c r="Z108" s="104">
        <f>CHOOSE(MATCH(IF($U108="","Основний",$U108),{"Трафіковий","Основний","Маржинальний","Сезонний","Стратегічний"},0),0.16,0.19,0.24,0.23,0.28)</f>
        <v/>
      </c>
      <c r="AA108" s="104">
        <f>CHOOSE(MATCH(IF($U108="","Основний",$U108),{"Трафіковий","Основний","Маржинальний","Сезонний","Стратегічний"},0),0.18,0.21,0.26,0.25,0.3)</f>
        <v/>
      </c>
      <c r="AB108" s="104">
        <f>CHOOSE(MATCH(IF($U108="","Основний",$U108),{"Трафіковий","Основний","Маржинальний","Сезонний","Стратегічний"},0),0.19,0.22,0.28,0.26,0.32)</f>
        <v/>
      </c>
      <c r="AC108" s="104">
        <f>CHOOSE(MATCH(IF($U108="","Основний",$U108),{"Трафіковий","Основний","Маржинальний","Сезонний","Стратегічний"},0),0.17,0.2,0.25,0.24,0.28)</f>
        <v/>
      </c>
      <c r="AD108" s="104">
        <f>CHOOSE(MATCH(IF($U108="","Основний",$U108),{"Трафіковий","Основний","Маржинальний","Сезонний","Стратегічний"},0),0.18,0.21,0.26,0.25,0.3)</f>
        <v/>
      </c>
      <c r="AE108" s="104">
        <f>CHOOSE(MATCH(IF($U108="","Основний",$U108),{"Трафіковий","Основний","Маржинальний","Сезонний","Стратегічний"},0),0.18,0.2,0.28,0.27,0.32)</f>
        <v/>
      </c>
      <c r="AF108" s="104">
        <f>CHOOSE(MATCH(IF($U108="","Основний",$U108),{"Трафіковий","Основний","Маржинальний","Сезонний","Стратегічний"},0),0.15,0.175,0.22,0.21,0.25)</f>
        <v/>
      </c>
      <c r="AG108" s="104">
        <f>CHOOSE(MATCH(IF($U108="","Основний",$U108),{"Трафіковий","Основний","Маржинальний","Сезонний","Стратегічний"},0),0.13,0.16,0.21,0.2,0.25)</f>
        <v/>
      </c>
      <c r="AH108" s="104">
        <f>CHOOSE(MATCH(IF($U108="","Основний",$U108),{"Трафіковий","Основний","Маржинальний","Сезонний","Стратегічний"},0),0.15,0.18,0.23,0.22,0.27)</f>
        <v/>
      </c>
      <c r="AI108" s="104">
        <f>CHOOSE(MATCH(IF($U108="","Основний",$U108),{"Трафіковий","Основний","Маржинальний","Сезонний","Стратегічний"},0),0.16,0.19,0.25,0.23,0.29)</f>
        <v/>
      </c>
      <c r="AJ108" s="104">
        <f>CHOOSE(MATCH(IF($U108="","Основний",$U108),{"Трафіковий","Основний","Маржинальний","Сезонний","Стратегічний"},0),0.14,0.17,0.22,0.21,0.25)</f>
        <v/>
      </c>
      <c r="AK108" s="104">
        <f>CHOOSE(MATCH(IF($U108="","Основний",$U108),{"Трафіковий","Основний","Маржинальний","Сезонний","Стратегічний"},0),0.15,0.18,0.23,0.22,0.27)</f>
        <v/>
      </c>
      <c r="AL108" s="104">
        <f>CHOOSE(MATCH(IF($U108="","Основний",$U108),{"Трафіковий","Основний","Маржинальний","Сезонний","Стратегічний"},0),0.15,0.17,0.25,0.24,0.29)</f>
        <v/>
      </c>
      <c r="AM108" s="104">
        <f>CHOOSE(MATCH(IF($U108="","Основний",$U108),{"Трафіковий","Основний","Маржинальний","Сезонний","Стратегічний"},0),0.12,0.145,0.19,0.18,0.22)</f>
        <v/>
      </c>
      <c r="AN108" s="157">
        <f>CHOOSE(MATCH(IF($U108="","Основний",$U108),{"Трафіковий","Основний","Маржинальний","Сезонний","Стратегічний"},0),Settings!$B$78,Settings!$B$80,Settings!$B$82,Settings!$B$84,Settings!$B$86)</f>
        <v/>
      </c>
      <c r="AO108" s="157">
        <f>CHOOSE(MATCH(IF($U108="","Основний",$U108),{"Трафіковий","Основний","Маржинальний","Сезонний","Стратегічний"},0),Settings!$C$78,Settings!$C$80,Settings!$C$82,Settings!$C$84,Settings!$C$86)</f>
        <v/>
      </c>
      <c r="AP108" s="157">
        <f>CHOOSE(MATCH(IF($U108="","Основний",$U108),{"Трафіковий","Основний","Маржинальний","Сезонний","Стратегічний"},0),Settings!$D$78,Settings!$D$80,Settings!$D$82,Settings!$D$84,Settings!$D$86)</f>
        <v/>
      </c>
      <c r="AQ108" s="157">
        <f>CHOOSE(MATCH(IF($U108="","Основний",$U108),{"Трафіковий","Основний","Маржинальний","Сезонний","Стратегічний"},0),Settings!$F$78,Settings!$F$80,Settings!$F$82,Settings!$F$84,Settings!$F$86)</f>
        <v/>
      </c>
      <c r="AR108" s="157">
        <f>CHOOSE(MATCH(IF($U108="","Основний",$U108),{"Трафіковий","Основний","Маржинальний","Сезонний","Стратегічний"},0),Settings!$G$78,Settings!$G$80,Settings!$G$82,Settings!$G$84,Settings!$G$86)</f>
        <v/>
      </c>
      <c r="AS108" s="157">
        <f>CHOOSE(MATCH(IF($U108="","Основний",$U108),{"Трафіковий","Основний","Маржинальний","Сезонний","Стратегічний"},0),Settings!$H$78,Settings!$H$80,Settings!$H$82,Settings!$H$84,Settings!$H$86)</f>
        <v/>
      </c>
      <c r="AT108" s="157">
        <f>CHOOSE(MATCH(IF($U108="","Основний",$U108),{"Трафіковий","Основний","Маржинальний","Сезонний","Стратегічний"},0),Settings!$I$78,Settings!$I$80,Settings!$I$82,Settings!$I$84,Settings!$I$86)</f>
        <v/>
      </c>
      <c r="AU108" s="171" t="n"/>
      <c r="AV108" t="n">
        <v>1.35</v>
      </c>
    </row>
    <row r="109">
      <c r="A109" s="33" t="inlineStr">
        <is>
          <t>NEW</t>
        </is>
      </c>
      <c r="B109" s="34" t="inlineStr">
        <is>
          <t>P3326</t>
        </is>
      </c>
      <c r="C109" s="34" t="inlineStr">
        <is>
          <t>NIGHT LIGHT WW 230 V, ON/OFF SWITCH</t>
        </is>
      </c>
      <c r="D109" s="34" t="inlineStr">
        <is>
          <t>Ліхтарі</t>
        </is>
      </c>
      <c r="E109" s="33" t="inlineStr">
        <is>
          <t>PC</t>
        </is>
      </c>
      <c r="F109" s="94" t="n">
        <v>2.639</v>
      </c>
      <c r="G109" s="35" t="n">
        <v>9405423100</v>
      </c>
      <c r="H109" s="31" t="n">
        <v>1.4</v>
      </c>
      <c r="I109" s="84">
        <f>IFERROR(F109*Settings!$B$2*H109*IF(AND(ISNUMBER(E109),E109&gt;1),E109,1),"")</f>
        <v/>
      </c>
      <c r="J109" s="32">
        <f>Settings!$B$66</f>
        <v/>
      </c>
      <c r="K109" s="95">
        <f>IFERROR(IF(T109="","",(T109*(1-AN109)*(1-Settings!$B$17)-I109)/(T109*(1-AN109)*(1-Settings!$B$17))),"")</f>
        <v/>
      </c>
      <c r="L109" s="101">
        <f>IFERROR(IF(T109="","",(T109*(1-AO109)*(1-Settings!$C$17)-I109)/(T109*(1-AO109)*(1-Settings!$C$17))),"")</f>
        <v/>
      </c>
      <c r="M109" s="101">
        <f>IFERROR(IF(T109="","",(T109*(1-AP109)*(1-Settings!$D$17)-I109)/(T109*(1-AP109)*(1-Settings!$D$17))),"")</f>
        <v/>
      </c>
      <c r="N109" s="101">
        <f>IFERROR(IF(T109="","",(T109*(1-AQ109)*(1-Settings!$F$17)-I109)/(T109*(1-AQ109)*(1-Settings!$F$17))),"")</f>
        <v/>
      </c>
      <c r="O109" s="101">
        <f>IFERROR(IF(T109="","",(T109*(1-AR109)*(1-Settings!$G$17)-I109)/(T109*(1-AR109)*(1-Settings!$G$17))),"")</f>
        <v/>
      </c>
      <c r="P109" s="101">
        <f>IFERROR(IF(T109="","",(T109*(1-AS109)*(1-Settings!$H$17)-I109)/(T109*(1-AS109)*(1-Settings!$H$17))),"")</f>
        <v/>
      </c>
      <c r="Q109" s="101">
        <f>IFERROR(IF(T109="","",(T109*(1-AT109)*(1-Settings!$I$68)*(1-Settings!$I$17)-I109)/(T109*(1-AT109)*(1-Settings!$I$68)*(1-Settings!$I$17))),"")</f>
        <v/>
      </c>
      <c r="R109" s="91">
        <f>IFERROR(IF(OR(I109="",Z109&gt;=1,Settings!$B$17&gt;=1,AN109&gt;=1),"",IF(MOD(ROUND(I109/(1-Z109)/(1-Settings!$B$17)/(1-AN109),0),10)=0,ROUND(I109/(1-Z109)/(1-Settings!$B$17)/(1-AN109),0)-1,IF(MOD(ROUND(I109/(1-Z109)/(1-Settings!$B$17)/(1-AN109),0),10)&lt;=5,FLOOR(ROUND(I109/(1-Z109)/(1-Settings!$B$17)/(1-AN109),0),10)+6,FLOOR(ROUND(I109/(1-Z109)/(1-Settings!$B$17)/(1-AN109),0),10)+9))),"")</f>
        <v/>
      </c>
      <c r="S109" s="92" t="n">
        <v>360</v>
      </c>
      <c r="T109" s="91">
        <f>IF(S109&lt;&gt;"", IF(MOD(S109,10)=0,S109-1,IF(MOD(S109,10)&lt;=5,FLOOR(S109,10)+6,FLOOR(S109,10)+9)), R109)</f>
        <v/>
      </c>
      <c r="U109" s="87" t="inlineStr">
        <is>
          <t>Основний</t>
        </is>
      </c>
      <c r="V109" s="88" t="n"/>
      <c r="W109" s="88" t="n"/>
      <c r="X109" s="89">
        <f>IFERROR(IF(OR(V109="",W109="",T109=""),"", IF(T109&gt;W109,"Дорогий",IF(T109&lt;V109,"Дешевий","У ринку"))),"")</f>
        <v/>
      </c>
      <c r="Y109" s="90" t="n"/>
      <c r="Z109" s="104">
        <f>CHOOSE(MATCH(IF($U109="","Основний",$U109),{"Трафіковий","Основний","Маржинальний","Сезонний","Стратегічний"},0),0.16,0.19,0.24,0.23,0.28)</f>
        <v/>
      </c>
      <c r="AA109" s="104">
        <f>CHOOSE(MATCH(IF($U109="","Основний",$U109),{"Трафіковий","Основний","Маржинальний","Сезонний","Стратегічний"},0),0.18,0.21,0.26,0.25,0.3)</f>
        <v/>
      </c>
      <c r="AB109" s="104">
        <f>CHOOSE(MATCH(IF($U109="","Основний",$U109),{"Трафіковий","Основний","Маржинальний","Сезонний","Стратегічний"},0),0.19,0.22,0.28,0.26,0.32)</f>
        <v/>
      </c>
      <c r="AC109" s="104">
        <f>CHOOSE(MATCH(IF($U109="","Основний",$U109),{"Трафіковий","Основний","Маржинальний","Сезонний","Стратегічний"},0),0.17,0.2,0.25,0.24,0.28)</f>
        <v/>
      </c>
      <c r="AD109" s="104">
        <f>CHOOSE(MATCH(IF($U109="","Основний",$U109),{"Трафіковий","Основний","Маржинальний","Сезонний","Стратегічний"},0),0.18,0.21,0.26,0.25,0.3)</f>
        <v/>
      </c>
      <c r="AE109" s="104">
        <f>CHOOSE(MATCH(IF($U109="","Основний",$U109),{"Трафіковий","Основний","Маржинальний","Сезонний","Стратегічний"},0),0.18,0.2,0.28,0.27,0.32)</f>
        <v/>
      </c>
      <c r="AF109" s="104">
        <f>CHOOSE(MATCH(IF($U109="","Основний",$U109),{"Трафіковий","Основний","Маржинальний","Сезонний","Стратегічний"},0),0.15,0.175,0.22,0.21,0.25)</f>
        <v/>
      </c>
      <c r="AG109" s="104">
        <f>CHOOSE(MATCH(IF($U109="","Основний",$U109),{"Трафіковий","Основний","Маржинальний","Сезонний","Стратегічний"},0),0.13,0.16,0.21,0.2,0.25)</f>
        <v/>
      </c>
      <c r="AH109" s="104">
        <f>CHOOSE(MATCH(IF($U109="","Основний",$U109),{"Трафіковий","Основний","Маржинальний","Сезонний","Стратегічний"},0),0.15,0.18,0.23,0.22,0.27)</f>
        <v/>
      </c>
      <c r="AI109" s="104">
        <f>CHOOSE(MATCH(IF($U109="","Основний",$U109),{"Трафіковий","Основний","Маржинальний","Сезонний","Стратегічний"},0),0.16,0.19,0.25,0.23,0.29)</f>
        <v/>
      </c>
      <c r="AJ109" s="104">
        <f>CHOOSE(MATCH(IF($U109="","Основний",$U109),{"Трафіковий","Основний","Маржинальний","Сезонний","Стратегічний"},0),0.14,0.17,0.22,0.21,0.25)</f>
        <v/>
      </c>
      <c r="AK109" s="104">
        <f>CHOOSE(MATCH(IF($U109="","Основний",$U109),{"Трафіковий","Основний","Маржинальний","Сезонний","Стратегічний"},0),0.15,0.18,0.23,0.22,0.27)</f>
        <v/>
      </c>
      <c r="AL109" s="104">
        <f>CHOOSE(MATCH(IF($U109="","Основний",$U109),{"Трафіковий","Основний","Маржинальний","Сезонний","Стратегічний"},0),0.15,0.17,0.25,0.24,0.29)</f>
        <v/>
      </c>
      <c r="AM109" s="104">
        <f>CHOOSE(MATCH(IF($U109="","Основний",$U109),{"Трафіковий","Основний","Маржинальний","Сезонний","Стратегічний"},0),0.12,0.145,0.19,0.18,0.22)</f>
        <v/>
      </c>
      <c r="AN109" s="157">
        <f>CHOOSE(MATCH(IF($U109="","Основний",$U109),{"Трафіковий","Основний","Маржинальний","Сезонний","Стратегічний"},0),Settings!$B$78,Settings!$B$80,Settings!$B$82,Settings!$B$84,Settings!$B$86)</f>
        <v/>
      </c>
      <c r="AO109" s="157">
        <f>CHOOSE(MATCH(IF($U109="","Основний",$U109),{"Трафіковий","Основний","Маржинальний","Сезонний","Стратегічний"},0),Settings!$C$78,Settings!$C$80,Settings!$C$82,Settings!$C$84,Settings!$C$86)</f>
        <v/>
      </c>
      <c r="AP109" s="157">
        <f>CHOOSE(MATCH(IF($U109="","Основний",$U109),{"Трафіковий","Основний","Маржинальний","Сезонний","Стратегічний"},0),Settings!$D$78,Settings!$D$80,Settings!$D$82,Settings!$D$84,Settings!$D$86)</f>
        <v/>
      </c>
      <c r="AQ109" s="157">
        <f>CHOOSE(MATCH(IF($U109="","Основний",$U109),{"Трафіковий","Основний","Маржинальний","Сезонний","Стратегічний"},0),Settings!$F$78,Settings!$F$80,Settings!$F$82,Settings!$F$84,Settings!$F$86)</f>
        <v/>
      </c>
      <c r="AR109" s="157">
        <f>CHOOSE(MATCH(IF($U109="","Основний",$U109),{"Трафіковий","Основний","Маржинальний","Сезонний","Стратегічний"},0),Settings!$G$78,Settings!$G$80,Settings!$G$82,Settings!$G$84,Settings!$G$86)</f>
        <v/>
      </c>
      <c r="AS109" s="157">
        <f>CHOOSE(MATCH(IF($U109="","Основний",$U109),{"Трафіковий","Основний","Маржинальний","Сезонний","Стратегічний"},0),Settings!$H$78,Settings!$H$80,Settings!$H$82,Settings!$H$84,Settings!$H$86)</f>
        <v/>
      </c>
      <c r="AT109" s="157">
        <f>CHOOSE(MATCH(IF($U109="","Основний",$U109),{"Трафіковий","Основний","Маржинальний","Сезонний","Стратегічний"},0),Settings!$I$78,Settings!$I$80,Settings!$I$82,Settings!$I$84,Settings!$I$86)</f>
        <v/>
      </c>
      <c r="AU109" s="171" t="n"/>
      <c r="AV109" t="n">
        <v>1.35</v>
      </c>
    </row>
    <row r="110">
      <c r="A110" s="28" t="inlineStr">
        <is>
          <t>NEW</t>
        </is>
      </c>
      <c r="B110" s="29" t="inlineStr">
        <is>
          <t>P4104</t>
        </is>
      </c>
      <c r="C110" s="29" t="inlineStr">
        <is>
          <t>LED INSECT KILLER 3.3W</t>
        </is>
      </c>
      <c r="D110" s="29" t="inlineStr">
        <is>
          <t>Ліхтарі</t>
        </is>
      </c>
      <c r="E110" s="28" t="inlineStr">
        <is>
          <t>PC</t>
        </is>
      </c>
      <c r="F110" s="93" t="n">
        <v>6.845</v>
      </c>
      <c r="G110" s="30" t="n">
        <v>8543709099</v>
      </c>
      <c r="H110" s="31" t="n">
        <v>1.4</v>
      </c>
      <c r="I110" s="84">
        <f>IFERROR(F110*Settings!$B$2*H110*IF(AND(ISNUMBER(E110),E110&gt;1),E110,1),"")</f>
        <v/>
      </c>
      <c r="J110" s="32">
        <f>Settings!$B$66</f>
        <v/>
      </c>
      <c r="K110" s="95">
        <f>IFERROR(IF(T110="","",(T110*(1-AN110)*(1-Settings!$B$17)-I110)/(T110*(1-AN110)*(1-Settings!$B$17))),"")</f>
        <v/>
      </c>
      <c r="L110" s="101">
        <f>IFERROR(IF(T110="","",(T110*(1-AO110)*(1-Settings!$C$17)-I110)/(T110*(1-AO110)*(1-Settings!$C$17))),"")</f>
        <v/>
      </c>
      <c r="M110" s="101">
        <f>IFERROR(IF(T110="","",(T110*(1-AP110)*(1-Settings!$D$17)-I110)/(T110*(1-AP110)*(1-Settings!$D$17))),"")</f>
        <v/>
      </c>
      <c r="N110" s="101">
        <f>IFERROR(IF(T110="","",(T110*(1-AQ110)*(1-Settings!$F$17)-I110)/(T110*(1-AQ110)*(1-Settings!$F$17))),"")</f>
        <v/>
      </c>
      <c r="O110" s="101">
        <f>IFERROR(IF(T110="","",(T110*(1-AR110)*(1-Settings!$G$17)-I110)/(T110*(1-AR110)*(1-Settings!$G$17))),"")</f>
        <v/>
      </c>
      <c r="P110" s="101">
        <f>IFERROR(IF(T110="","",(T110*(1-AS110)*(1-Settings!$H$17)-I110)/(T110*(1-AS110)*(1-Settings!$H$17))),"")</f>
        <v/>
      </c>
      <c r="Q110" s="101">
        <f>IFERROR(IF(T110="","",(T110*(1-AT110)*(1-Settings!$I$68)*(1-Settings!$I$17)-I110)/(T110*(1-AT110)*(1-Settings!$I$68)*(1-Settings!$I$17))),"")</f>
        <v/>
      </c>
      <c r="R110" s="91">
        <f>IFERROR(IF(OR(I110="",Z110&gt;=1,Settings!$B$17&gt;=1,AN110&gt;=1),"",IF(MOD(ROUND(I110/(1-Z110)/(1-Settings!$B$17)/(1-AN110),0),10)=0,ROUND(I110/(1-Z110)/(1-Settings!$B$17)/(1-AN110),0)-1,IF(MOD(ROUND(I110/(1-Z110)/(1-Settings!$B$17)/(1-AN110),0),10)&lt;=5,FLOOR(ROUND(I110/(1-Z110)/(1-Settings!$B$17)/(1-AN110),0),10)+6,FLOOR(ROUND(I110/(1-Z110)/(1-Settings!$B$17)/(1-AN110),0),10)+9))),"")</f>
        <v/>
      </c>
      <c r="S110" s="92" t="n">
        <v>900</v>
      </c>
      <c r="T110" s="91">
        <f>IF(S110&lt;&gt;"", IF(MOD(S110,10)=0,S110-1,IF(MOD(S110,10)&lt;=5,FLOOR(S110,10)+6,FLOOR(S110,10)+9)), R110)</f>
        <v/>
      </c>
      <c r="U110" s="87" t="inlineStr">
        <is>
          <t>Основний</t>
        </is>
      </c>
      <c r="V110" s="88" t="n"/>
      <c r="W110" s="88" t="n"/>
      <c r="X110" s="89">
        <f>IFERROR(IF(OR(V110="",W110="",T110=""),"", IF(T110&gt;W110,"Дорогий",IF(T110&lt;V110,"Дешевий","У ринку"))),"")</f>
        <v/>
      </c>
      <c r="Y110" s="90" t="n"/>
      <c r="Z110" s="104">
        <f>CHOOSE(MATCH(IF($U110="","Основний",$U110),{"Трафіковий","Основний","Маржинальний","Сезонний","Стратегічний"},0),0.16,0.19,0.24,0.23,0.28)</f>
        <v/>
      </c>
      <c r="AA110" s="104">
        <f>CHOOSE(MATCH(IF($U110="","Основний",$U110),{"Трафіковий","Основний","Маржинальний","Сезонний","Стратегічний"},0),0.18,0.21,0.26,0.25,0.3)</f>
        <v/>
      </c>
      <c r="AB110" s="104">
        <f>CHOOSE(MATCH(IF($U110="","Основний",$U110),{"Трафіковий","Основний","Маржинальний","Сезонний","Стратегічний"},0),0.19,0.22,0.28,0.26,0.32)</f>
        <v/>
      </c>
      <c r="AC110" s="104">
        <f>CHOOSE(MATCH(IF($U110="","Основний",$U110),{"Трафіковий","Основний","Маржинальний","Сезонний","Стратегічний"},0),0.17,0.2,0.25,0.24,0.28)</f>
        <v/>
      </c>
      <c r="AD110" s="104">
        <f>CHOOSE(MATCH(IF($U110="","Основний",$U110),{"Трафіковий","Основний","Маржинальний","Сезонний","Стратегічний"},0),0.18,0.21,0.26,0.25,0.3)</f>
        <v/>
      </c>
      <c r="AE110" s="104">
        <f>CHOOSE(MATCH(IF($U110="","Основний",$U110),{"Трафіковий","Основний","Маржинальний","Сезонний","Стратегічний"},0),0.18,0.2,0.28,0.27,0.32)</f>
        <v/>
      </c>
      <c r="AF110" s="104">
        <f>CHOOSE(MATCH(IF($U110="","Основний",$U110),{"Трафіковий","Основний","Маржинальний","Сезонний","Стратегічний"},0),0.15,0.175,0.22,0.21,0.25)</f>
        <v/>
      </c>
      <c r="AG110" s="104">
        <f>CHOOSE(MATCH(IF($U110="","Основний",$U110),{"Трафіковий","Основний","Маржинальний","Сезонний","Стратегічний"},0),0.13,0.16,0.21,0.2,0.25)</f>
        <v/>
      </c>
      <c r="AH110" s="104">
        <f>CHOOSE(MATCH(IF($U110="","Основний",$U110),{"Трафіковий","Основний","Маржинальний","Сезонний","Стратегічний"},0),0.15,0.18,0.23,0.22,0.27)</f>
        <v/>
      </c>
      <c r="AI110" s="104">
        <f>CHOOSE(MATCH(IF($U110="","Основний",$U110),{"Трафіковий","Основний","Маржинальний","Сезонний","Стратегічний"},0),0.16,0.19,0.25,0.23,0.29)</f>
        <v/>
      </c>
      <c r="AJ110" s="104">
        <f>CHOOSE(MATCH(IF($U110="","Основний",$U110),{"Трафіковий","Основний","Маржинальний","Сезонний","Стратегічний"},0),0.14,0.17,0.22,0.21,0.25)</f>
        <v/>
      </c>
      <c r="AK110" s="104">
        <f>CHOOSE(MATCH(IF($U110="","Основний",$U110),{"Трафіковий","Основний","Маржинальний","Сезонний","Стратегічний"},0),0.15,0.18,0.23,0.22,0.27)</f>
        <v/>
      </c>
      <c r="AL110" s="104">
        <f>CHOOSE(MATCH(IF($U110="","Основний",$U110),{"Трафіковий","Основний","Маржинальний","Сезонний","Стратегічний"},0),0.15,0.17,0.25,0.24,0.29)</f>
        <v/>
      </c>
      <c r="AM110" s="104">
        <f>CHOOSE(MATCH(IF($U110="","Основний",$U110),{"Трафіковий","Основний","Маржинальний","Сезонний","Стратегічний"},0),0.12,0.145,0.19,0.18,0.22)</f>
        <v/>
      </c>
      <c r="AN110" s="157">
        <f>CHOOSE(MATCH(IF($U110="","Основний",$U110),{"Трафіковий","Основний","Маржинальний","Сезонний","Стратегічний"},0),Settings!$B$78,Settings!$B$80,Settings!$B$82,Settings!$B$84,Settings!$B$86)</f>
        <v/>
      </c>
      <c r="AO110" s="157">
        <f>CHOOSE(MATCH(IF($U110="","Основний",$U110),{"Трафіковий","Основний","Маржинальний","Сезонний","Стратегічний"},0),Settings!$C$78,Settings!$C$80,Settings!$C$82,Settings!$C$84,Settings!$C$86)</f>
        <v/>
      </c>
      <c r="AP110" s="157">
        <f>CHOOSE(MATCH(IF($U110="","Основний",$U110),{"Трафіковий","Основний","Маржинальний","Сезонний","Стратегічний"},0),Settings!$D$78,Settings!$D$80,Settings!$D$82,Settings!$D$84,Settings!$D$86)</f>
        <v/>
      </c>
      <c r="AQ110" s="157">
        <f>CHOOSE(MATCH(IF($U110="","Основний",$U110),{"Трафіковий","Основний","Маржинальний","Сезонний","Стратегічний"},0),Settings!$F$78,Settings!$F$80,Settings!$F$82,Settings!$F$84,Settings!$F$86)</f>
        <v/>
      </c>
      <c r="AR110" s="157">
        <f>CHOOSE(MATCH(IF($U110="","Основний",$U110),{"Трафіковий","Основний","Маржинальний","Сезонний","Стратегічний"},0),Settings!$G$78,Settings!$G$80,Settings!$G$82,Settings!$G$84,Settings!$G$86)</f>
        <v/>
      </c>
      <c r="AS110" s="157">
        <f>CHOOSE(MATCH(IF($U110="","Основний",$U110),{"Трафіковий","Основний","Маржинальний","Сезонний","Стратегічний"},0),Settings!$H$78,Settings!$H$80,Settings!$H$82,Settings!$H$84,Settings!$H$86)</f>
        <v/>
      </c>
      <c r="AT110" s="157">
        <f>CHOOSE(MATCH(IF($U110="","Основний",$U110),{"Трафіковий","Основний","Маржинальний","Сезонний","Стратегічний"},0),Settings!$I$78,Settings!$I$80,Settings!$I$82,Settings!$I$84,Settings!$I$86)</f>
        <v/>
      </c>
      <c r="AU110" s="171" t="n"/>
      <c r="AV110" t="n">
        <v>1.35</v>
      </c>
    </row>
    <row r="111">
      <c r="A111" s="33" t="n"/>
      <c r="B111" s="34" t="inlineStr">
        <is>
          <t>P4203</t>
        </is>
      </c>
      <c r="C111" s="34" t="inlineStr">
        <is>
          <t>PORTABLE LAMP 230V 60W 5M E27</t>
        </is>
      </c>
      <c r="D111" s="34" t="inlineStr">
        <is>
          <t>Ліхтарі</t>
        </is>
      </c>
      <c r="E111" s="33" t="inlineStr">
        <is>
          <t>PC</t>
        </is>
      </c>
      <c r="F111" s="94" t="n">
        <v>5.46</v>
      </c>
      <c r="G111" s="35" t="n">
        <v>9405494000</v>
      </c>
      <c r="H111" s="31" t="n">
        <v>1.4</v>
      </c>
      <c r="I111" s="84">
        <f>IFERROR(F111*Settings!$B$2*H111*IF(AND(ISNUMBER(E111),E111&gt;1),E111,1),"")</f>
        <v/>
      </c>
      <c r="J111" s="32">
        <f>Settings!$B$66</f>
        <v/>
      </c>
      <c r="K111" s="95">
        <f>IFERROR(IF(T111="","",(T111*(1-AN111)*(1-Settings!$B$17)-I111)/(T111*(1-AN111)*(1-Settings!$B$17))),"")</f>
        <v/>
      </c>
      <c r="L111" s="101">
        <f>IFERROR(IF(T111="","",(T111*(1-AO111)*(1-Settings!$C$17)-I111)/(T111*(1-AO111)*(1-Settings!$C$17))),"")</f>
        <v/>
      </c>
      <c r="M111" s="101">
        <f>IFERROR(IF(T111="","",(T111*(1-AP111)*(1-Settings!$D$17)-I111)/(T111*(1-AP111)*(1-Settings!$D$17))),"")</f>
        <v/>
      </c>
      <c r="N111" s="101">
        <f>IFERROR(IF(T111="","",(T111*(1-AQ111)*(1-Settings!$F$17)-I111)/(T111*(1-AQ111)*(1-Settings!$F$17))),"")</f>
        <v/>
      </c>
      <c r="O111" s="101">
        <f>IFERROR(IF(T111="","",(T111*(1-AR111)*(1-Settings!$G$17)-I111)/(T111*(1-AR111)*(1-Settings!$G$17))),"")</f>
        <v/>
      </c>
      <c r="P111" s="101">
        <f>IFERROR(IF(T111="","",(T111*(1-AS111)*(1-Settings!$H$17)-I111)/(T111*(1-AS111)*(1-Settings!$H$17))),"")</f>
        <v/>
      </c>
      <c r="Q111" s="101">
        <f>IFERROR(IF(T111="","",(T111*(1-AT111)*(1-Settings!$I$68)*(1-Settings!$I$17)-I111)/(T111*(1-AT111)*(1-Settings!$I$68)*(1-Settings!$I$17))),"")</f>
        <v/>
      </c>
      <c r="R111" s="91">
        <f>IFERROR(IF(OR(I111="",Z111&gt;=1,Settings!$B$17&gt;=1,AN111&gt;=1),"",IF(MOD(ROUND(I111/(1-Z111)/(1-Settings!$B$17)/(1-AN111),0),10)=0,ROUND(I111/(1-Z111)/(1-Settings!$B$17)/(1-AN111),0)-1,IF(MOD(ROUND(I111/(1-Z111)/(1-Settings!$B$17)/(1-AN111),0),10)&lt;=5,FLOOR(ROUND(I111/(1-Z111)/(1-Settings!$B$17)/(1-AN111),0),10)+6,FLOOR(ROUND(I111/(1-Z111)/(1-Settings!$B$17)/(1-AN111),0),10)+9))),"")</f>
        <v/>
      </c>
      <c r="S111" s="92" t="n">
        <v>730</v>
      </c>
      <c r="T111" s="91">
        <f>IF(S111&lt;&gt;"", IF(MOD(S111,10)=0,S111-1,IF(MOD(S111,10)&lt;=5,FLOOR(S111,10)+6,FLOOR(S111,10)+9)), R111)</f>
        <v/>
      </c>
      <c r="U111" s="87" t="inlineStr">
        <is>
          <t>Основний</t>
        </is>
      </c>
      <c r="V111" s="88" t="n"/>
      <c r="W111" s="88" t="n"/>
      <c r="X111" s="89">
        <f>IFERROR(IF(OR(V111="",W111="",T111=""),"", IF(T111&gt;W111,"Дорогий",IF(T111&lt;V111,"Дешевий","У ринку"))),"")</f>
        <v/>
      </c>
      <c r="Y111" s="90" t="n"/>
      <c r="Z111" s="104">
        <f>CHOOSE(MATCH(IF($U111="","Основний",$U111),{"Трафіковий","Основний","Маржинальний","Сезонний","Стратегічний"},0),0.16,0.19,0.24,0.23,0.28)</f>
        <v/>
      </c>
      <c r="AA111" s="104">
        <f>CHOOSE(MATCH(IF($U111="","Основний",$U111),{"Трафіковий","Основний","Маржинальний","Сезонний","Стратегічний"},0),0.18,0.21,0.26,0.25,0.3)</f>
        <v/>
      </c>
      <c r="AB111" s="104">
        <f>CHOOSE(MATCH(IF($U111="","Основний",$U111),{"Трафіковий","Основний","Маржинальний","Сезонний","Стратегічний"},0),0.19,0.22,0.28,0.26,0.32)</f>
        <v/>
      </c>
      <c r="AC111" s="104">
        <f>CHOOSE(MATCH(IF($U111="","Основний",$U111),{"Трафіковий","Основний","Маржинальний","Сезонний","Стратегічний"},0),0.17,0.2,0.25,0.24,0.28)</f>
        <v/>
      </c>
      <c r="AD111" s="104">
        <f>CHOOSE(MATCH(IF($U111="","Основний",$U111),{"Трафіковий","Основний","Маржинальний","Сезонний","Стратегічний"},0),0.18,0.21,0.26,0.25,0.3)</f>
        <v/>
      </c>
      <c r="AE111" s="104">
        <f>CHOOSE(MATCH(IF($U111="","Основний",$U111),{"Трафіковий","Основний","Маржинальний","Сезонний","Стратегічний"},0),0.18,0.2,0.28,0.27,0.32)</f>
        <v/>
      </c>
      <c r="AF111" s="104">
        <f>CHOOSE(MATCH(IF($U111="","Основний",$U111),{"Трафіковий","Основний","Маржинальний","Сезонний","Стратегічний"},0),0.15,0.175,0.22,0.21,0.25)</f>
        <v/>
      </c>
      <c r="AG111" s="104">
        <f>CHOOSE(MATCH(IF($U111="","Основний",$U111),{"Трафіковий","Основний","Маржинальний","Сезонний","Стратегічний"},0),0.13,0.16,0.21,0.2,0.25)</f>
        <v/>
      </c>
      <c r="AH111" s="104">
        <f>CHOOSE(MATCH(IF($U111="","Основний",$U111),{"Трафіковий","Основний","Маржинальний","Сезонний","Стратегічний"},0),0.15,0.18,0.23,0.22,0.27)</f>
        <v/>
      </c>
      <c r="AI111" s="104">
        <f>CHOOSE(MATCH(IF($U111="","Основний",$U111),{"Трафіковий","Основний","Маржинальний","Сезонний","Стратегічний"},0),0.16,0.19,0.25,0.23,0.29)</f>
        <v/>
      </c>
      <c r="AJ111" s="104">
        <f>CHOOSE(MATCH(IF($U111="","Основний",$U111),{"Трафіковий","Основний","Маржинальний","Сезонний","Стратегічний"},0),0.14,0.17,0.22,0.21,0.25)</f>
        <v/>
      </c>
      <c r="AK111" s="104">
        <f>CHOOSE(MATCH(IF($U111="","Основний",$U111),{"Трафіковий","Основний","Маржинальний","Сезонний","Стратегічний"},0),0.15,0.18,0.23,0.22,0.27)</f>
        <v/>
      </c>
      <c r="AL111" s="104">
        <f>CHOOSE(MATCH(IF($U111="","Основний",$U111),{"Трафіковий","Основний","Маржинальний","Сезонний","Стратегічний"},0),0.15,0.17,0.25,0.24,0.29)</f>
        <v/>
      </c>
      <c r="AM111" s="104">
        <f>CHOOSE(MATCH(IF($U111="","Основний",$U111),{"Трафіковий","Основний","Маржинальний","Сезонний","Стратегічний"},0),0.12,0.145,0.19,0.18,0.22)</f>
        <v/>
      </c>
      <c r="AN111" s="157">
        <f>CHOOSE(MATCH(IF($U111="","Основний",$U111),{"Трафіковий","Основний","Маржинальний","Сезонний","Стратегічний"},0),Settings!$B$78,Settings!$B$80,Settings!$B$82,Settings!$B$84,Settings!$B$86)</f>
        <v/>
      </c>
      <c r="AO111" s="157">
        <f>CHOOSE(MATCH(IF($U111="","Основний",$U111),{"Трафіковий","Основний","Маржинальний","Сезонний","Стратегічний"},0),Settings!$C$78,Settings!$C$80,Settings!$C$82,Settings!$C$84,Settings!$C$86)</f>
        <v/>
      </c>
      <c r="AP111" s="157">
        <f>CHOOSE(MATCH(IF($U111="","Основний",$U111),{"Трафіковий","Основний","Маржинальний","Сезонний","Стратегічний"},0),Settings!$D$78,Settings!$D$80,Settings!$D$82,Settings!$D$84,Settings!$D$86)</f>
        <v/>
      </c>
      <c r="AQ111" s="157">
        <f>CHOOSE(MATCH(IF($U111="","Основний",$U111),{"Трафіковий","Основний","Маржинальний","Сезонний","Стратегічний"},0),Settings!$F$78,Settings!$F$80,Settings!$F$82,Settings!$F$84,Settings!$F$86)</f>
        <v/>
      </c>
      <c r="AR111" s="157">
        <f>CHOOSE(MATCH(IF($U111="","Основний",$U111),{"Трафіковий","Основний","Маржинальний","Сезонний","Стратегічний"},0),Settings!$G$78,Settings!$G$80,Settings!$G$82,Settings!$G$84,Settings!$G$86)</f>
        <v/>
      </c>
      <c r="AS111" s="157">
        <f>CHOOSE(MATCH(IF($U111="","Основний",$U111),{"Трафіковий","Основний","Маржинальний","Сезонний","Стратегічний"},0),Settings!$H$78,Settings!$H$80,Settings!$H$82,Settings!$H$84,Settings!$H$86)</f>
        <v/>
      </c>
      <c r="AT111" s="157">
        <f>CHOOSE(MATCH(IF($U111="","Основний",$U111),{"Трафіковий","Основний","Маржинальний","Сезонний","Стратегічний"},0),Settings!$I$78,Settings!$I$80,Settings!$I$82,Settings!$I$84,Settings!$I$86)</f>
        <v/>
      </c>
      <c r="AU111" s="171" t="n"/>
      <c r="AV111" t="n">
        <v>1.35</v>
      </c>
    </row>
    <row r="112">
      <c r="A112" s="28" t="n"/>
      <c r="B112" s="29" t="inlineStr">
        <is>
          <t>P4205</t>
        </is>
      </c>
      <c r="C112" s="29" t="inlineStr">
        <is>
          <t>PORTABLE LAMP 230V 5W 5M</t>
        </is>
      </c>
      <c r="D112" s="29" t="inlineStr">
        <is>
          <t>Ліхтарі</t>
        </is>
      </c>
      <c r="E112" s="28" t="inlineStr">
        <is>
          <t>PC</t>
        </is>
      </c>
      <c r="F112" s="93" t="n">
        <v>6.563</v>
      </c>
      <c r="G112" s="30" t="n">
        <v>9405423100</v>
      </c>
      <c r="H112" s="31" t="n">
        <v>1.4</v>
      </c>
      <c r="I112" s="84">
        <f>IFERROR(F112*Settings!$B$2*H112*IF(AND(ISNUMBER(E112),E112&gt;1),E112,1),"")</f>
        <v/>
      </c>
      <c r="J112" s="32">
        <f>Settings!$B$66</f>
        <v/>
      </c>
      <c r="K112" s="95">
        <f>IFERROR(IF(T112="","",(T112*(1-AN112)*(1-Settings!$B$17)-I112)/(T112*(1-AN112)*(1-Settings!$B$17))),"")</f>
        <v/>
      </c>
      <c r="L112" s="101">
        <f>IFERROR(IF(T112="","",(T112*(1-AO112)*(1-Settings!$C$17)-I112)/(T112*(1-AO112)*(1-Settings!$C$17))),"")</f>
        <v/>
      </c>
      <c r="M112" s="101">
        <f>IFERROR(IF(T112="","",(T112*(1-AP112)*(1-Settings!$D$17)-I112)/(T112*(1-AP112)*(1-Settings!$D$17))),"")</f>
        <v/>
      </c>
      <c r="N112" s="101">
        <f>IFERROR(IF(T112="","",(T112*(1-AQ112)*(1-Settings!$F$17)-I112)/(T112*(1-AQ112)*(1-Settings!$F$17))),"")</f>
        <v/>
      </c>
      <c r="O112" s="101">
        <f>IFERROR(IF(T112="","",(T112*(1-AR112)*(1-Settings!$G$17)-I112)/(T112*(1-AR112)*(1-Settings!$G$17))),"")</f>
        <v/>
      </c>
      <c r="P112" s="101">
        <f>IFERROR(IF(T112="","",(T112*(1-AS112)*(1-Settings!$H$17)-I112)/(T112*(1-AS112)*(1-Settings!$H$17))),"")</f>
        <v/>
      </c>
      <c r="Q112" s="101">
        <f>IFERROR(IF(T112="","",(T112*(1-AT112)*(1-Settings!$I$68)*(1-Settings!$I$17)-I112)/(T112*(1-AT112)*(1-Settings!$I$68)*(1-Settings!$I$17))),"")</f>
        <v/>
      </c>
      <c r="R112" s="91">
        <f>IFERROR(IF(OR(I112="",Z112&gt;=1,Settings!$B$17&gt;=1,AN112&gt;=1),"",IF(MOD(ROUND(I112/(1-Z112)/(1-Settings!$B$17)/(1-AN112),0),10)=0,ROUND(I112/(1-Z112)/(1-Settings!$B$17)/(1-AN112),0)-1,IF(MOD(ROUND(I112/(1-Z112)/(1-Settings!$B$17)/(1-AN112),0),10)&lt;=5,FLOOR(ROUND(I112/(1-Z112)/(1-Settings!$B$17)/(1-AN112),0),10)+6,FLOOR(ROUND(I112/(1-Z112)/(1-Settings!$B$17)/(1-AN112),0),10)+9))),"")</f>
        <v/>
      </c>
      <c r="S112" s="92" t="n">
        <v>860</v>
      </c>
      <c r="T112" s="91">
        <f>IF(S112&lt;&gt;"", IF(MOD(S112,10)=0,S112-1,IF(MOD(S112,10)&lt;=5,FLOOR(S112,10)+6,FLOOR(S112,10)+9)), R112)</f>
        <v/>
      </c>
      <c r="U112" s="87" t="inlineStr">
        <is>
          <t>Основний</t>
        </is>
      </c>
      <c r="V112" s="88" t="n"/>
      <c r="W112" s="88" t="n"/>
      <c r="X112" s="89">
        <f>IFERROR(IF(OR(V112="",W112="",T112=""),"", IF(T112&gt;W112,"Дорогий",IF(T112&lt;V112,"Дешевий","У ринку"))),"")</f>
        <v/>
      </c>
      <c r="Y112" s="90" t="n"/>
      <c r="Z112" s="104">
        <f>CHOOSE(MATCH(IF($U112="","Основний",$U112),{"Трафіковий","Основний","Маржинальний","Сезонний","Стратегічний"},0),0.16,0.19,0.24,0.23,0.28)</f>
        <v/>
      </c>
      <c r="AA112" s="104">
        <f>CHOOSE(MATCH(IF($U112="","Основний",$U112),{"Трафіковий","Основний","Маржинальний","Сезонний","Стратегічний"},0),0.18,0.21,0.26,0.25,0.3)</f>
        <v/>
      </c>
      <c r="AB112" s="104">
        <f>CHOOSE(MATCH(IF($U112="","Основний",$U112),{"Трафіковий","Основний","Маржинальний","Сезонний","Стратегічний"},0),0.19,0.22,0.28,0.26,0.32)</f>
        <v/>
      </c>
      <c r="AC112" s="104">
        <f>CHOOSE(MATCH(IF($U112="","Основний",$U112),{"Трафіковий","Основний","Маржинальний","Сезонний","Стратегічний"},0),0.17,0.2,0.25,0.24,0.28)</f>
        <v/>
      </c>
      <c r="AD112" s="104">
        <f>CHOOSE(MATCH(IF($U112="","Основний",$U112),{"Трафіковий","Основний","Маржинальний","Сезонний","Стратегічний"},0),0.18,0.21,0.26,0.25,0.3)</f>
        <v/>
      </c>
      <c r="AE112" s="104">
        <f>CHOOSE(MATCH(IF($U112="","Основний",$U112),{"Трафіковий","Основний","Маржинальний","Сезонний","Стратегічний"},0),0.18,0.2,0.28,0.27,0.32)</f>
        <v/>
      </c>
      <c r="AF112" s="104">
        <f>CHOOSE(MATCH(IF($U112="","Основний",$U112),{"Трафіковий","Основний","Маржинальний","Сезонний","Стратегічний"},0),0.15,0.175,0.22,0.21,0.25)</f>
        <v/>
      </c>
      <c r="AG112" s="104">
        <f>CHOOSE(MATCH(IF($U112="","Основний",$U112),{"Трафіковий","Основний","Маржинальний","Сезонний","Стратегічний"},0),0.13,0.16,0.21,0.2,0.25)</f>
        <v/>
      </c>
      <c r="AH112" s="104">
        <f>CHOOSE(MATCH(IF($U112="","Основний",$U112),{"Трафіковий","Основний","Маржинальний","Сезонний","Стратегічний"},0),0.15,0.18,0.23,0.22,0.27)</f>
        <v/>
      </c>
      <c r="AI112" s="104">
        <f>CHOOSE(MATCH(IF($U112="","Основний",$U112),{"Трафіковий","Основний","Маржинальний","Сезонний","Стратегічний"},0),0.16,0.19,0.25,0.23,0.29)</f>
        <v/>
      </c>
      <c r="AJ112" s="104">
        <f>CHOOSE(MATCH(IF($U112="","Основний",$U112),{"Трафіковий","Основний","Маржинальний","Сезонний","Стратегічний"},0),0.14,0.17,0.22,0.21,0.25)</f>
        <v/>
      </c>
      <c r="AK112" s="104">
        <f>CHOOSE(MATCH(IF($U112="","Основний",$U112),{"Трафіковий","Основний","Маржинальний","Сезонний","Стратегічний"},0),0.15,0.18,0.23,0.22,0.27)</f>
        <v/>
      </c>
      <c r="AL112" s="104">
        <f>CHOOSE(MATCH(IF($U112="","Основний",$U112),{"Трафіковий","Основний","Маржинальний","Сезонний","Стратегічний"},0),0.15,0.17,0.25,0.24,0.29)</f>
        <v/>
      </c>
      <c r="AM112" s="104">
        <f>CHOOSE(MATCH(IF($U112="","Основний",$U112),{"Трафіковий","Основний","Маржинальний","Сезонний","Стратегічний"},0),0.12,0.145,0.19,0.18,0.22)</f>
        <v/>
      </c>
      <c r="AN112" s="157">
        <f>CHOOSE(MATCH(IF($U112="","Основний",$U112),{"Трафіковий","Основний","Маржинальний","Сезонний","Стратегічний"},0),Settings!$B$78,Settings!$B$80,Settings!$B$82,Settings!$B$84,Settings!$B$86)</f>
        <v/>
      </c>
      <c r="AO112" s="157">
        <f>CHOOSE(MATCH(IF($U112="","Основний",$U112),{"Трафіковий","Основний","Маржинальний","Сезонний","Стратегічний"},0),Settings!$C$78,Settings!$C$80,Settings!$C$82,Settings!$C$84,Settings!$C$86)</f>
        <v/>
      </c>
      <c r="AP112" s="157">
        <f>CHOOSE(MATCH(IF($U112="","Основний",$U112),{"Трафіковий","Основний","Маржинальний","Сезонний","Стратегічний"},0),Settings!$D$78,Settings!$D$80,Settings!$D$82,Settings!$D$84,Settings!$D$86)</f>
        <v/>
      </c>
      <c r="AQ112" s="157">
        <f>CHOOSE(MATCH(IF($U112="","Основний",$U112),{"Трафіковий","Основний","Маржинальний","Сезонний","Стратегічний"},0),Settings!$F$78,Settings!$F$80,Settings!$F$82,Settings!$F$84,Settings!$F$86)</f>
        <v/>
      </c>
      <c r="AR112" s="157">
        <f>CHOOSE(MATCH(IF($U112="","Основний",$U112),{"Трафіковий","Основний","Маржинальний","Сезонний","Стратегічний"},0),Settings!$G$78,Settings!$G$80,Settings!$G$82,Settings!$G$84,Settings!$G$86)</f>
        <v/>
      </c>
      <c r="AS112" s="157">
        <f>CHOOSE(MATCH(IF($U112="","Основний",$U112),{"Трафіковий","Основний","Маржинальний","Сезонний","Стратегічний"},0),Settings!$H$78,Settings!$H$80,Settings!$H$82,Settings!$H$84,Settings!$H$86)</f>
        <v/>
      </c>
      <c r="AT112" s="157">
        <f>CHOOSE(MATCH(IF($U112="","Основний",$U112),{"Трафіковий","Основний","Маржинальний","Сезонний","Стратегічний"},0),Settings!$I$78,Settings!$I$80,Settings!$I$82,Settings!$I$84,Settings!$I$86)</f>
        <v/>
      </c>
      <c r="AU112" s="171" t="n"/>
      <c r="AV112" t="n">
        <v>1.35</v>
      </c>
    </row>
    <row r="113">
      <c r="A113" s="33" t="inlineStr">
        <is>
          <t>NEW</t>
        </is>
      </c>
      <c r="B113" s="34" t="inlineStr">
        <is>
          <t>P4725</t>
        </is>
      </c>
      <c r="C113" s="34" t="inlineStr">
        <is>
          <t>3× LED RECH. PLASTIC FLASHLIGHT 200 LM 12 PCS</t>
        </is>
      </c>
      <c r="D113" s="34" t="inlineStr">
        <is>
          <t>Ліхтарі</t>
        </is>
      </c>
      <c r="E113" s="33" t="inlineStr">
        <is>
          <t>PC</t>
        </is>
      </c>
      <c r="F113" s="94" t="n">
        <v>1.337</v>
      </c>
      <c r="G113" s="35" t="n">
        <v>8513100000</v>
      </c>
      <c r="H113" s="31" t="n">
        <v>1.4</v>
      </c>
      <c r="I113" s="84">
        <f>IFERROR(F113*Settings!$B$2*H113*IF(AND(ISNUMBER(E113),E113&gt;1),E113,1),"")</f>
        <v/>
      </c>
      <c r="J113" s="32">
        <f>Settings!$B$66</f>
        <v/>
      </c>
      <c r="K113" s="95">
        <f>IFERROR(IF(T113="","",(T113*(1-AN113)*(1-Settings!$B$17)-I113)/(T113*(1-AN113)*(1-Settings!$B$17))),"")</f>
        <v/>
      </c>
      <c r="L113" s="101">
        <f>IFERROR(IF(T113="","",(T113*(1-AO113)*(1-Settings!$C$17)-I113)/(T113*(1-AO113)*(1-Settings!$C$17))),"")</f>
        <v/>
      </c>
      <c r="M113" s="101">
        <f>IFERROR(IF(T113="","",(T113*(1-AP113)*(1-Settings!$D$17)-I113)/(T113*(1-AP113)*(1-Settings!$D$17))),"")</f>
        <v/>
      </c>
      <c r="N113" s="101">
        <f>IFERROR(IF(T113="","",(T113*(1-AQ113)*(1-Settings!$F$17)-I113)/(T113*(1-AQ113)*(1-Settings!$F$17))),"")</f>
        <v/>
      </c>
      <c r="O113" s="101">
        <f>IFERROR(IF(T113="","",(T113*(1-AR113)*(1-Settings!$G$17)-I113)/(T113*(1-AR113)*(1-Settings!$G$17))),"")</f>
        <v/>
      </c>
      <c r="P113" s="101">
        <f>IFERROR(IF(T113="","",(T113*(1-AS113)*(1-Settings!$H$17)-I113)/(T113*(1-AS113)*(1-Settings!$H$17))),"")</f>
        <v/>
      </c>
      <c r="Q113" s="101">
        <f>IFERROR(IF(T113="","",(T113*(1-AT113)*(1-Settings!$I$68)*(1-Settings!$I$17)-I113)/(T113*(1-AT113)*(1-Settings!$I$68)*(1-Settings!$I$17))),"")</f>
        <v/>
      </c>
      <c r="R113" s="91">
        <f>IFERROR(IF(OR(I113="",Z113&gt;=1,Settings!$B$17&gt;=1,AN113&gt;=1),"",IF(MOD(ROUND(I113/(1-Z113)/(1-Settings!$B$17)/(1-AN113),0),10)=0,ROUND(I113/(1-Z113)/(1-Settings!$B$17)/(1-AN113),0)-1,IF(MOD(ROUND(I113/(1-Z113)/(1-Settings!$B$17)/(1-AN113),0),10)&lt;=5,FLOOR(ROUND(I113/(1-Z113)/(1-Settings!$B$17)/(1-AN113),0),10)+6,FLOOR(ROUND(I113/(1-Z113)/(1-Settings!$B$17)/(1-AN113),0),10)+9))),"")</f>
        <v/>
      </c>
      <c r="S113" s="92" t="n"/>
      <c r="T113" s="91">
        <f>IF(S113&lt;&gt;"", IF(MOD(S113,10)=0,S113-1,IF(MOD(S113,10)&lt;=5,FLOOR(S113,10)+6,FLOOR(S113,10)+9)), R113)</f>
        <v/>
      </c>
      <c r="U113" s="87" t="inlineStr">
        <is>
          <t>Основний</t>
        </is>
      </c>
      <c r="V113" s="88" t="n"/>
      <c r="W113" s="88" t="n"/>
      <c r="X113" s="89">
        <f>IFERROR(IF(OR(V113="",W113="",T113=""),"", IF(T113&gt;W113,"Дорогий",IF(T113&lt;V113,"Дешевий","У ринку"))),"")</f>
        <v/>
      </c>
      <c r="Y113" s="90" t="n"/>
      <c r="Z113" s="104">
        <f>CHOOSE(MATCH(IF($U113="","Основний",$U113),{"Трафіковий","Основний","Маржинальний","Сезонний","Стратегічний"},0),0.16,0.19,0.24,0.23,0.28)</f>
        <v/>
      </c>
      <c r="AA113" s="104">
        <f>CHOOSE(MATCH(IF($U113="","Основний",$U113),{"Трафіковий","Основний","Маржинальний","Сезонний","Стратегічний"},0),0.18,0.21,0.26,0.25,0.3)</f>
        <v/>
      </c>
      <c r="AB113" s="104">
        <f>CHOOSE(MATCH(IF($U113="","Основний",$U113),{"Трафіковий","Основний","Маржинальний","Сезонний","Стратегічний"},0),0.19,0.22,0.28,0.26,0.32)</f>
        <v/>
      </c>
      <c r="AC113" s="104">
        <f>CHOOSE(MATCH(IF($U113="","Основний",$U113),{"Трафіковий","Основний","Маржинальний","Сезонний","Стратегічний"},0),0.17,0.2,0.25,0.24,0.28)</f>
        <v/>
      </c>
      <c r="AD113" s="104">
        <f>CHOOSE(MATCH(IF($U113="","Основний",$U113),{"Трафіковий","Основний","Маржинальний","Сезонний","Стратегічний"},0),0.18,0.21,0.26,0.25,0.3)</f>
        <v/>
      </c>
      <c r="AE113" s="104">
        <f>CHOOSE(MATCH(IF($U113="","Основний",$U113),{"Трафіковий","Основний","Маржинальний","Сезонний","Стратегічний"},0),0.18,0.2,0.28,0.27,0.32)</f>
        <v/>
      </c>
      <c r="AF113" s="104">
        <f>CHOOSE(MATCH(IF($U113="","Основний",$U113),{"Трафіковий","Основний","Маржинальний","Сезонний","Стратегічний"},0),0.15,0.175,0.22,0.21,0.25)</f>
        <v/>
      </c>
      <c r="AG113" s="104">
        <f>CHOOSE(MATCH(IF($U113="","Основний",$U113),{"Трафіковий","Основний","Маржинальний","Сезонний","Стратегічний"},0),0.13,0.16,0.21,0.2,0.25)</f>
        <v/>
      </c>
      <c r="AH113" s="104">
        <f>CHOOSE(MATCH(IF($U113="","Основний",$U113),{"Трафіковий","Основний","Маржинальний","Сезонний","Стратегічний"},0),0.15,0.18,0.23,0.22,0.27)</f>
        <v/>
      </c>
      <c r="AI113" s="104">
        <f>CHOOSE(MATCH(IF($U113="","Основний",$U113),{"Трафіковий","Основний","Маржинальний","Сезонний","Стратегічний"},0),0.16,0.19,0.25,0.23,0.29)</f>
        <v/>
      </c>
      <c r="AJ113" s="104">
        <f>CHOOSE(MATCH(IF($U113="","Основний",$U113),{"Трафіковий","Основний","Маржинальний","Сезонний","Стратегічний"},0),0.14,0.17,0.22,0.21,0.25)</f>
        <v/>
      </c>
      <c r="AK113" s="104">
        <f>CHOOSE(MATCH(IF($U113="","Основний",$U113),{"Трафіковий","Основний","Маржинальний","Сезонний","Стратегічний"},0),0.15,0.18,0.23,0.22,0.27)</f>
        <v/>
      </c>
      <c r="AL113" s="104">
        <f>CHOOSE(MATCH(IF($U113="","Основний",$U113),{"Трафіковий","Основний","Маржинальний","Сезонний","Стратегічний"},0),0.15,0.17,0.25,0.24,0.29)</f>
        <v/>
      </c>
      <c r="AM113" s="104">
        <f>CHOOSE(MATCH(IF($U113="","Основний",$U113),{"Трафіковий","Основний","Маржинальний","Сезонний","Стратегічний"},0),0.12,0.145,0.19,0.18,0.22)</f>
        <v/>
      </c>
      <c r="AN113" s="157">
        <f>CHOOSE(MATCH(IF($U113="","Основний",$U113),{"Трафіковий","Основний","Маржинальний","Сезонний","Стратегічний"},0),Settings!$B$78,Settings!$B$80,Settings!$B$82,Settings!$B$84,Settings!$B$86)</f>
        <v/>
      </c>
      <c r="AO113" s="157">
        <f>CHOOSE(MATCH(IF($U113="","Основний",$U113),{"Трафіковий","Основний","Маржинальний","Сезонний","Стратегічний"},0),Settings!$C$78,Settings!$C$80,Settings!$C$82,Settings!$C$84,Settings!$C$86)</f>
        <v/>
      </c>
      <c r="AP113" s="157">
        <f>CHOOSE(MATCH(IF($U113="","Основний",$U113),{"Трафіковий","Основний","Маржинальний","Сезонний","Стратегічний"},0),Settings!$D$78,Settings!$D$80,Settings!$D$82,Settings!$D$84,Settings!$D$86)</f>
        <v/>
      </c>
      <c r="AQ113" s="157">
        <f>CHOOSE(MATCH(IF($U113="","Основний",$U113),{"Трафіковий","Основний","Маржинальний","Сезонний","Стратегічний"},0),Settings!$F$78,Settings!$F$80,Settings!$F$82,Settings!$F$84,Settings!$F$86)</f>
        <v/>
      </c>
      <c r="AR113" s="157">
        <f>CHOOSE(MATCH(IF($U113="","Основний",$U113),{"Трафіковий","Основний","Маржинальний","Сезонний","Стратегічний"},0),Settings!$G$78,Settings!$G$80,Settings!$G$82,Settings!$G$84,Settings!$G$86)</f>
        <v/>
      </c>
      <c r="AS113" s="157">
        <f>CHOOSE(MATCH(IF($U113="","Основний",$U113),{"Трафіковий","Основний","Маржинальний","Сезонний","Стратегічний"},0),Settings!$H$78,Settings!$H$80,Settings!$H$82,Settings!$H$84,Settings!$H$86)</f>
        <v/>
      </c>
      <c r="AT113" s="157">
        <f>CHOOSE(MATCH(IF($U113="","Основний",$U113),{"Трафіковий","Основний","Маржинальний","Сезонний","Стратегічний"},0),Settings!$I$78,Settings!$I$80,Settings!$I$82,Settings!$I$84,Settings!$I$86)</f>
        <v/>
      </c>
      <c r="AU113" s="171" t="n"/>
      <c r="AV113" t="n">
        <v>1.35</v>
      </c>
    </row>
    <row r="114">
      <c r="A114" s="28" t="inlineStr">
        <is>
          <t>NEW</t>
        </is>
      </c>
      <c r="B114" s="29" t="inlineStr">
        <is>
          <t>P4546</t>
        </is>
      </c>
      <c r="C114" s="29" t="inlineStr">
        <is>
          <t>COB LED+LED RECH. WORKLIGHT 500LM 2000MAH</t>
        </is>
      </c>
      <c r="D114" s="29" t="inlineStr">
        <is>
          <t>Ліхтарі</t>
        </is>
      </c>
      <c r="E114" s="28" t="inlineStr">
        <is>
          <t>PC</t>
        </is>
      </c>
      <c r="F114" s="93" t="n">
        <v>9.789</v>
      </c>
      <c r="G114" s="30" t="n">
        <v>8513100000</v>
      </c>
      <c r="H114" s="31" t="n">
        <v>1.4</v>
      </c>
      <c r="I114" s="84">
        <f>IFERROR(F114*Settings!$B$2*H114*IF(AND(ISNUMBER(E114),E114&gt;1),E114,1),"")</f>
        <v/>
      </c>
      <c r="J114" s="32">
        <f>Settings!$B$66</f>
        <v/>
      </c>
      <c r="K114" s="95">
        <f>IFERROR(IF(T114="","",(T114*(1-AN114)*(1-Settings!$B$17)-I114)/(T114*(1-AN114)*(1-Settings!$B$17))),"")</f>
        <v/>
      </c>
      <c r="L114" s="101">
        <f>IFERROR(IF(T114="","",(T114*(1-AO114)*(1-Settings!$C$17)-I114)/(T114*(1-AO114)*(1-Settings!$C$17))),"")</f>
        <v/>
      </c>
      <c r="M114" s="101">
        <f>IFERROR(IF(T114="","",(T114*(1-AP114)*(1-Settings!$D$17)-I114)/(T114*(1-AP114)*(1-Settings!$D$17))),"")</f>
        <v/>
      </c>
      <c r="N114" s="101">
        <f>IFERROR(IF(T114="","",(T114*(1-AQ114)*(1-Settings!$F$17)-I114)/(T114*(1-AQ114)*(1-Settings!$F$17))),"")</f>
        <v/>
      </c>
      <c r="O114" s="101">
        <f>IFERROR(IF(T114="","",(T114*(1-AR114)*(1-Settings!$G$17)-I114)/(T114*(1-AR114)*(1-Settings!$G$17))),"")</f>
        <v/>
      </c>
      <c r="P114" s="101">
        <f>IFERROR(IF(T114="","",(T114*(1-AS114)*(1-Settings!$H$17)-I114)/(T114*(1-AS114)*(1-Settings!$H$17))),"")</f>
        <v/>
      </c>
      <c r="Q114" s="101">
        <f>IFERROR(IF(T114="","",(T114*(1-AT114)*(1-Settings!$I$68)*(1-Settings!$I$17)-I114)/(T114*(1-AT114)*(1-Settings!$I$68)*(1-Settings!$I$17))),"")</f>
        <v/>
      </c>
      <c r="R114" s="91">
        <f>IFERROR(IF(OR(I114="",Z114&gt;=1,Settings!$B$17&gt;=1,AN114&gt;=1),"",IF(MOD(ROUND(I114/(1-Z114)/(1-Settings!$B$17)/(1-AN114),0),10)=0,ROUND(I114/(1-Z114)/(1-Settings!$B$17)/(1-AN114),0)-1,IF(MOD(ROUND(I114/(1-Z114)/(1-Settings!$B$17)/(1-AN114),0),10)&lt;=5,FLOOR(ROUND(I114/(1-Z114)/(1-Settings!$B$17)/(1-AN114),0),10)+6,FLOOR(ROUND(I114/(1-Z114)/(1-Settings!$B$17)/(1-AN114),0),10)+9))),"")</f>
        <v/>
      </c>
      <c r="S114" s="92" t="n">
        <v>1300</v>
      </c>
      <c r="T114" s="91">
        <f>IF(S114&lt;&gt;"", IF(MOD(S114,10)=0,S114-1,IF(MOD(S114,10)&lt;=5,FLOOR(S114,10)+6,FLOOR(S114,10)+9)), R114)</f>
        <v/>
      </c>
      <c r="U114" s="87" t="inlineStr">
        <is>
          <t>Основний</t>
        </is>
      </c>
      <c r="V114" s="88" t="n"/>
      <c r="W114" s="88" t="n"/>
      <c r="X114" s="89">
        <f>IFERROR(IF(OR(V114="",W114="",T114=""),"", IF(T114&gt;W114,"Дорогий",IF(T114&lt;V114,"Дешевий","У ринку"))),"")</f>
        <v/>
      </c>
      <c r="Y114" s="90" t="n"/>
      <c r="Z114" s="104">
        <f>CHOOSE(MATCH(IF($U114="","Основний",$U114),{"Трафіковий","Основний","Маржинальний","Сезонний","Стратегічний"},0),0.16,0.19,0.24,0.23,0.28)</f>
        <v/>
      </c>
      <c r="AA114" s="104">
        <f>CHOOSE(MATCH(IF($U114="","Основний",$U114),{"Трафіковий","Основний","Маржинальний","Сезонний","Стратегічний"},0),0.18,0.21,0.26,0.25,0.3)</f>
        <v/>
      </c>
      <c r="AB114" s="104">
        <f>CHOOSE(MATCH(IF($U114="","Основний",$U114),{"Трафіковий","Основний","Маржинальний","Сезонний","Стратегічний"},0),0.19,0.22,0.28,0.26,0.32)</f>
        <v/>
      </c>
      <c r="AC114" s="104">
        <f>CHOOSE(MATCH(IF($U114="","Основний",$U114),{"Трафіковий","Основний","Маржинальний","Сезонний","Стратегічний"},0),0.17,0.2,0.25,0.24,0.28)</f>
        <v/>
      </c>
      <c r="AD114" s="104">
        <f>CHOOSE(MATCH(IF($U114="","Основний",$U114),{"Трафіковий","Основний","Маржинальний","Сезонний","Стратегічний"},0),0.18,0.21,0.26,0.25,0.3)</f>
        <v/>
      </c>
      <c r="AE114" s="104">
        <f>CHOOSE(MATCH(IF($U114="","Основний",$U114),{"Трафіковий","Основний","Маржинальний","Сезонний","Стратегічний"},0),0.18,0.2,0.28,0.27,0.32)</f>
        <v/>
      </c>
      <c r="AF114" s="104">
        <f>CHOOSE(MATCH(IF($U114="","Основний",$U114),{"Трафіковий","Основний","Маржинальний","Сезонний","Стратегічний"},0),0.15,0.175,0.22,0.21,0.25)</f>
        <v/>
      </c>
      <c r="AG114" s="104">
        <f>CHOOSE(MATCH(IF($U114="","Основний",$U114),{"Трафіковий","Основний","Маржинальний","Сезонний","Стратегічний"},0),0.13,0.16,0.21,0.2,0.25)</f>
        <v/>
      </c>
      <c r="AH114" s="104">
        <f>CHOOSE(MATCH(IF($U114="","Основний",$U114),{"Трафіковий","Основний","Маржинальний","Сезонний","Стратегічний"},0),0.15,0.18,0.23,0.22,0.27)</f>
        <v/>
      </c>
      <c r="AI114" s="104">
        <f>CHOOSE(MATCH(IF($U114="","Основний",$U114),{"Трафіковий","Основний","Маржинальний","Сезонний","Стратегічний"},0),0.16,0.19,0.25,0.23,0.29)</f>
        <v/>
      </c>
      <c r="AJ114" s="104">
        <f>CHOOSE(MATCH(IF($U114="","Основний",$U114),{"Трафіковий","Основний","Маржинальний","Сезонний","Стратегічний"},0),0.14,0.17,0.22,0.21,0.25)</f>
        <v/>
      </c>
      <c r="AK114" s="104">
        <f>CHOOSE(MATCH(IF($U114="","Основний",$U114),{"Трафіковий","Основний","Маржинальний","Сезонний","Стратегічний"},0),0.15,0.18,0.23,0.22,0.27)</f>
        <v/>
      </c>
      <c r="AL114" s="104">
        <f>CHOOSE(MATCH(IF($U114="","Основний",$U114),{"Трафіковий","Основний","Маржинальний","Сезонний","Стратегічний"},0),0.15,0.17,0.25,0.24,0.29)</f>
        <v/>
      </c>
      <c r="AM114" s="104">
        <f>CHOOSE(MATCH(IF($U114="","Основний",$U114),{"Трафіковий","Основний","Маржинальний","Сезонний","Стратегічний"},0),0.12,0.145,0.19,0.18,0.22)</f>
        <v/>
      </c>
      <c r="AN114" s="157">
        <f>CHOOSE(MATCH(IF($U114="","Основний",$U114),{"Трафіковий","Основний","Маржинальний","Сезонний","Стратегічний"},0),Settings!$B$78,Settings!$B$80,Settings!$B$82,Settings!$B$84,Settings!$B$86)</f>
        <v/>
      </c>
      <c r="AO114" s="157">
        <f>CHOOSE(MATCH(IF($U114="","Основний",$U114),{"Трафіковий","Основний","Маржинальний","Сезонний","Стратегічний"},0),Settings!$C$78,Settings!$C$80,Settings!$C$82,Settings!$C$84,Settings!$C$86)</f>
        <v/>
      </c>
      <c r="AP114" s="157">
        <f>CHOOSE(MATCH(IF($U114="","Основний",$U114),{"Трафіковий","Основний","Маржинальний","Сезонний","Стратегічний"},0),Settings!$D$78,Settings!$D$80,Settings!$D$82,Settings!$D$84,Settings!$D$86)</f>
        <v/>
      </c>
      <c r="AQ114" s="157">
        <f>CHOOSE(MATCH(IF($U114="","Основний",$U114),{"Трафіковий","Основний","Маржинальний","Сезонний","Стратегічний"},0),Settings!$F$78,Settings!$F$80,Settings!$F$82,Settings!$F$84,Settings!$F$86)</f>
        <v/>
      </c>
      <c r="AR114" s="157">
        <f>CHOOSE(MATCH(IF($U114="","Основний",$U114),{"Трафіковий","Основний","Маржинальний","Сезонний","Стратегічний"},0),Settings!$G$78,Settings!$G$80,Settings!$G$82,Settings!$G$84,Settings!$G$86)</f>
        <v/>
      </c>
      <c r="AS114" s="157">
        <f>CHOOSE(MATCH(IF($U114="","Основний",$U114),{"Трафіковий","Основний","Маржинальний","Сезонний","Стратегічний"},0),Settings!$H$78,Settings!$H$80,Settings!$H$82,Settings!$H$84,Settings!$H$86)</f>
        <v/>
      </c>
      <c r="AT114" s="157">
        <f>CHOOSE(MATCH(IF($U114="","Основний",$U114),{"Трафіковий","Основний","Маржинальний","Сезонний","Стратегічний"},0),Settings!$I$78,Settings!$I$80,Settings!$I$82,Settings!$I$84,Settings!$I$86)</f>
        <v/>
      </c>
      <c r="AU114" s="171" t="n"/>
      <c r="AV114" t="n">
        <v>1.35</v>
      </c>
    </row>
    <row r="115">
      <c r="A115" s="33" t="n"/>
      <c r="B115" s="34" t="inlineStr">
        <is>
          <t>G1110</t>
        </is>
      </c>
      <c r="C115" s="34" t="inlineStr">
        <is>
          <t>SENSOR PIR W 800W IP20</t>
        </is>
      </c>
      <c r="D115" s="34" t="inlineStr">
        <is>
          <t>Датчики руху</t>
        </is>
      </c>
      <c r="E115" s="33" t="inlineStr">
        <is>
          <t>PC</t>
        </is>
      </c>
      <c r="F115" s="94" t="n">
        <v>2.849</v>
      </c>
      <c r="G115" s="35" t="n">
        <v>8536508000</v>
      </c>
      <c r="H115" s="31" t="n">
        <v>1.35</v>
      </c>
      <c r="I115" s="84">
        <f>IFERROR(F115*Settings!$B$2*H115*IF(AND(ISNUMBER(E115),E115&gt;1),E115,1),"")</f>
        <v/>
      </c>
      <c r="J115" s="32">
        <f>Settings!$B$66</f>
        <v/>
      </c>
      <c r="K115" s="95">
        <f>IFERROR(IF(T115="","",(T115*(1-AN115)*(1-Settings!$B$17)-I115)/(T115*(1-AN115)*(1-Settings!$B$17))),"")</f>
        <v/>
      </c>
      <c r="L115" s="101">
        <f>IFERROR(IF(T115="","",(T115*(1-AO115)*(1-Settings!$C$17)-I115)/(T115*(1-AO115)*(1-Settings!$C$17))),"")</f>
        <v/>
      </c>
      <c r="M115" s="101">
        <f>IFERROR(IF(T115="","",(T115*(1-AP115)*(1-Settings!$D$17)-I115)/(T115*(1-AP115)*(1-Settings!$D$17))),"")</f>
        <v/>
      </c>
      <c r="N115" s="101">
        <f>IFERROR(IF(T115="","",(T115*(1-AQ115)*(1-Settings!$F$17)-I115)/(T115*(1-AQ115)*(1-Settings!$F$17))),"")</f>
        <v/>
      </c>
      <c r="O115" s="101">
        <f>IFERROR(IF(T115="","",(T115*(1-AR115)*(1-Settings!$G$17)-I115)/(T115*(1-AR115)*(1-Settings!$G$17))),"")</f>
        <v/>
      </c>
      <c r="P115" s="101">
        <f>IFERROR(IF(T115="","",(T115*(1-AS115)*(1-Settings!$H$17)-I115)/(T115*(1-AS115)*(1-Settings!$H$17))),"")</f>
        <v/>
      </c>
      <c r="Q115" s="101">
        <f>IFERROR(IF(T115="","",(T115*(1-AT115)*(1-Settings!$I$68)*(1-Settings!$I$17)-I115)/(T115*(1-AT115)*(1-Settings!$I$68)*(1-Settings!$I$17))),"")</f>
        <v/>
      </c>
      <c r="R115" s="91">
        <f>IFERROR(IF(OR(I115="",Z115&gt;=1,Settings!$B$17&gt;=1,AN115&gt;=1),"",IF(MOD(ROUND(I115/(1-Z115)/(1-Settings!$B$17)/(1-AN115),0),10)=0,ROUND(I115/(1-Z115)/(1-Settings!$B$17)/(1-AN115),0)-1,IF(MOD(ROUND(I115/(1-Z115)/(1-Settings!$B$17)/(1-AN115),0),10)&lt;=5,FLOOR(ROUND(I115/(1-Z115)/(1-Settings!$B$17)/(1-AN115),0),10)+6,FLOOR(ROUND(I115/(1-Z115)/(1-Settings!$B$17)/(1-AN115),0),10)+9))),"")</f>
        <v/>
      </c>
      <c r="S115" s="92" t="n">
        <v>360</v>
      </c>
      <c r="T115" s="91">
        <f>IF(S115&lt;&gt;"", IF(MOD(S115,10)=0,S115-1,IF(MOD(S115,10)&lt;=5,FLOOR(S115,10)+6,FLOOR(S115,10)+9)), R115)</f>
        <v/>
      </c>
      <c r="U115" s="87" t="inlineStr">
        <is>
          <t>Основний</t>
        </is>
      </c>
      <c r="V115" s="88" t="n"/>
      <c r="W115" s="88" t="n"/>
      <c r="X115" s="89">
        <f>IFERROR(IF(OR(V115="",W115="",T115=""),"", IF(T115&gt;W115,"Дорогий",IF(T115&lt;V115,"Дешевий","У ринку"))),"")</f>
        <v/>
      </c>
      <c r="Y115" s="90" t="n"/>
      <c r="Z115" s="104">
        <f>CHOOSE(MATCH(IF($U115="","Основний",$U115),{"Трафіковий","Основний","Маржинальний","Сезонний","Стратегічний"},0),0.16,0.19,0.24,0.23,0.28)</f>
        <v/>
      </c>
      <c r="AA115" s="104">
        <f>CHOOSE(MATCH(IF($U115="","Основний",$U115),{"Трафіковий","Основний","Маржинальний","Сезонний","Стратегічний"},0),0.18,0.21,0.26,0.25,0.3)</f>
        <v/>
      </c>
      <c r="AB115" s="104">
        <f>CHOOSE(MATCH(IF($U115="","Основний",$U115),{"Трафіковий","Основний","Маржинальний","Сезонний","Стратегічний"},0),0.19,0.22,0.28,0.26,0.32)</f>
        <v/>
      </c>
      <c r="AC115" s="104">
        <f>CHOOSE(MATCH(IF($U115="","Основний",$U115),{"Трафіковий","Основний","Маржинальний","Сезонний","Стратегічний"},0),0.17,0.2,0.25,0.24,0.28)</f>
        <v/>
      </c>
      <c r="AD115" s="104">
        <f>CHOOSE(MATCH(IF($U115="","Основний",$U115),{"Трафіковий","Основний","Маржинальний","Сезонний","Стратегічний"},0),0.18,0.21,0.26,0.25,0.3)</f>
        <v/>
      </c>
      <c r="AE115" s="104">
        <f>CHOOSE(MATCH(IF($U115="","Основний",$U115),{"Трафіковий","Основний","Маржинальний","Сезонний","Стратегічний"},0),0.18,0.2,0.28,0.27,0.32)</f>
        <v/>
      </c>
      <c r="AF115" s="104">
        <f>CHOOSE(MATCH(IF($U115="","Основний",$U115),{"Трафіковий","Основний","Маржинальний","Сезонний","Стратегічний"},0),0.15,0.175,0.22,0.21,0.25)</f>
        <v/>
      </c>
      <c r="AG115" s="104">
        <f>CHOOSE(MATCH(IF($U115="","Основний",$U115),{"Трафіковий","Основний","Маржинальний","Сезонний","Стратегічний"},0),0.13,0.16,0.21,0.2,0.25)</f>
        <v/>
      </c>
      <c r="AH115" s="104">
        <f>CHOOSE(MATCH(IF($U115="","Основний",$U115),{"Трафіковий","Основний","Маржинальний","Сезонний","Стратегічний"},0),0.15,0.18,0.23,0.22,0.27)</f>
        <v/>
      </c>
      <c r="AI115" s="104">
        <f>CHOOSE(MATCH(IF($U115="","Основний",$U115),{"Трафіковий","Основний","Маржинальний","Сезонний","Стратегічний"},0),0.16,0.19,0.25,0.23,0.29)</f>
        <v/>
      </c>
      <c r="AJ115" s="104">
        <f>CHOOSE(MATCH(IF($U115="","Основний",$U115),{"Трафіковий","Основний","Маржинальний","Сезонний","Стратегічний"},0),0.14,0.17,0.22,0.21,0.25)</f>
        <v/>
      </c>
      <c r="AK115" s="104">
        <f>CHOOSE(MATCH(IF($U115="","Основний",$U115),{"Трафіковий","Основний","Маржинальний","Сезонний","Стратегічний"},0),0.15,0.18,0.23,0.22,0.27)</f>
        <v/>
      </c>
      <c r="AL115" s="104">
        <f>CHOOSE(MATCH(IF($U115="","Основний",$U115),{"Трафіковий","Основний","Маржинальний","Сезонний","Стратегічний"},0),0.15,0.17,0.25,0.24,0.29)</f>
        <v/>
      </c>
      <c r="AM115" s="104">
        <f>CHOOSE(MATCH(IF($U115="","Основний",$U115),{"Трафіковий","Основний","Маржинальний","Сезонний","Стратегічний"},0),0.12,0.145,0.19,0.18,0.22)</f>
        <v/>
      </c>
      <c r="AN115" s="157">
        <f>CHOOSE(MATCH(IF($U115="","Основний",$U115),{"Трафіковий","Основний","Маржинальний","Сезонний","Стратегічний"},0),Settings!$B$78,Settings!$B$80,Settings!$B$82,Settings!$B$84,Settings!$B$86)</f>
        <v/>
      </c>
      <c r="AO115" s="157">
        <f>CHOOSE(MATCH(IF($U115="","Основний",$U115),{"Трафіковий","Основний","Маржинальний","Сезонний","Стратегічний"},0),Settings!$C$78,Settings!$C$80,Settings!$C$82,Settings!$C$84,Settings!$C$86)</f>
        <v/>
      </c>
      <c r="AP115" s="157">
        <f>CHOOSE(MATCH(IF($U115="","Основний",$U115),{"Трафіковий","Основний","Маржинальний","Сезонний","Стратегічний"},0),Settings!$D$78,Settings!$D$80,Settings!$D$82,Settings!$D$84,Settings!$D$86)</f>
        <v/>
      </c>
      <c r="AQ115" s="157">
        <f>CHOOSE(MATCH(IF($U115="","Основний",$U115),{"Трафіковий","Основний","Маржинальний","Сезонний","Стратегічний"},0),Settings!$F$78,Settings!$F$80,Settings!$F$82,Settings!$F$84,Settings!$F$86)</f>
        <v/>
      </c>
      <c r="AR115" s="157">
        <f>CHOOSE(MATCH(IF($U115="","Основний",$U115),{"Трафіковий","Основний","Маржинальний","Сезонний","Стратегічний"},0),Settings!$G$78,Settings!$G$80,Settings!$G$82,Settings!$G$84,Settings!$G$86)</f>
        <v/>
      </c>
      <c r="AS115" s="157">
        <f>CHOOSE(MATCH(IF($U115="","Основний",$U115),{"Трафіковий","Основний","Маржинальний","Сезонний","Стратегічний"},0),Settings!$H$78,Settings!$H$80,Settings!$H$82,Settings!$H$84,Settings!$H$86)</f>
        <v/>
      </c>
      <c r="AT115" s="157">
        <f>CHOOSE(MATCH(IF($U115="","Основний",$U115),{"Трафіковий","Основний","Маржинальний","Сезонний","Стратегічний"},0),Settings!$I$78,Settings!$I$80,Settings!$I$82,Settings!$I$84,Settings!$I$86)</f>
        <v/>
      </c>
      <c r="AU115" s="171" t="n"/>
      <c r="AV115" t="n">
        <v>1.35</v>
      </c>
    </row>
    <row r="116">
      <c r="A116" s="28" t="n"/>
      <c r="B116" s="29" t="inlineStr">
        <is>
          <t>G1120</t>
        </is>
      </c>
      <c r="C116" s="29" t="inlineStr">
        <is>
          <t>SENSOR PIR W 1200W IP44</t>
        </is>
      </c>
      <c r="D116" s="29" t="inlineStr">
        <is>
          <t>Датчики руху</t>
        </is>
      </c>
      <c r="E116" s="28" t="inlineStr">
        <is>
          <t>PC</t>
        </is>
      </c>
      <c r="F116" s="93" t="n">
        <v>2.903</v>
      </c>
      <c r="G116" s="30" t="n">
        <v>8536508000</v>
      </c>
      <c r="H116" s="31" t="n">
        <v>1.35</v>
      </c>
      <c r="I116" s="84">
        <f>IFERROR(F116*Settings!$B$2*H116*IF(AND(ISNUMBER(E116),E116&gt;1),E116,1),"")</f>
        <v/>
      </c>
      <c r="J116" s="32">
        <f>Settings!$B$66</f>
        <v/>
      </c>
      <c r="K116" s="95">
        <f>IFERROR(IF(T116="","",(T116*(1-AN116)*(1-Settings!$B$17)-I116)/(T116*(1-AN116)*(1-Settings!$B$17))),"")</f>
        <v/>
      </c>
      <c r="L116" s="101">
        <f>IFERROR(IF(T116="","",(T116*(1-AO116)*(1-Settings!$C$17)-I116)/(T116*(1-AO116)*(1-Settings!$C$17))),"")</f>
        <v/>
      </c>
      <c r="M116" s="101">
        <f>IFERROR(IF(T116="","",(T116*(1-AP116)*(1-Settings!$D$17)-I116)/(T116*(1-AP116)*(1-Settings!$D$17))),"")</f>
        <v/>
      </c>
      <c r="N116" s="101">
        <f>IFERROR(IF(T116="","",(T116*(1-AQ116)*(1-Settings!$F$17)-I116)/(T116*(1-AQ116)*(1-Settings!$F$17))),"")</f>
        <v/>
      </c>
      <c r="O116" s="101">
        <f>IFERROR(IF(T116="","",(T116*(1-AR116)*(1-Settings!$G$17)-I116)/(T116*(1-AR116)*(1-Settings!$G$17))),"")</f>
        <v/>
      </c>
      <c r="P116" s="101">
        <f>IFERROR(IF(T116="","",(T116*(1-AS116)*(1-Settings!$H$17)-I116)/(T116*(1-AS116)*(1-Settings!$H$17))),"")</f>
        <v/>
      </c>
      <c r="Q116" s="101">
        <f>IFERROR(IF(T116="","",(T116*(1-AT116)*(1-Settings!$I$68)*(1-Settings!$I$17)-I116)/(T116*(1-AT116)*(1-Settings!$I$68)*(1-Settings!$I$17))),"")</f>
        <v/>
      </c>
      <c r="R116" s="91">
        <f>IFERROR(IF(OR(I116="",Z116&gt;=1,Settings!$B$17&gt;=1,AN116&gt;=1),"",IF(MOD(ROUND(I116/(1-Z116)/(1-Settings!$B$17)/(1-AN116),0),10)=0,ROUND(I116/(1-Z116)/(1-Settings!$B$17)/(1-AN116),0)-1,IF(MOD(ROUND(I116/(1-Z116)/(1-Settings!$B$17)/(1-AN116),0),10)&lt;=5,FLOOR(ROUND(I116/(1-Z116)/(1-Settings!$B$17)/(1-AN116),0),10)+6,FLOOR(ROUND(I116/(1-Z116)/(1-Settings!$B$17)/(1-AN116),0),10)+9))),"")</f>
        <v/>
      </c>
      <c r="S116" s="92" t="n">
        <v>320</v>
      </c>
      <c r="T116" s="91">
        <f>IF(S116&lt;&gt;"", IF(MOD(S116,10)=0,S116-1,IF(MOD(S116,10)&lt;=5,FLOOR(S116,10)+6,FLOOR(S116,10)+9)), R116)</f>
        <v/>
      </c>
      <c r="U116" s="87" t="inlineStr">
        <is>
          <t>Основний</t>
        </is>
      </c>
      <c r="V116" s="88" t="n"/>
      <c r="W116" s="88" t="n"/>
      <c r="X116" s="89">
        <f>IFERROR(IF(OR(V116="",W116="",T116=""),"", IF(T116&gt;W116,"Дорогий",IF(T116&lt;V116,"Дешевий","У ринку"))),"")</f>
        <v/>
      </c>
      <c r="Y116" s="90" t="n"/>
      <c r="Z116" s="104">
        <f>CHOOSE(MATCH(IF($U116="","Основний",$U116),{"Трафіковий","Основний","Маржинальний","Сезонний","Стратегічний"},0),0.16,0.19,0.24,0.23,0.28)</f>
        <v/>
      </c>
      <c r="AA116" s="104">
        <f>CHOOSE(MATCH(IF($U116="","Основний",$U116),{"Трафіковий","Основний","Маржинальний","Сезонний","Стратегічний"},0),0.18,0.21,0.26,0.25,0.3)</f>
        <v/>
      </c>
      <c r="AB116" s="104">
        <f>CHOOSE(MATCH(IF($U116="","Основний",$U116),{"Трафіковий","Основний","Маржинальний","Сезонний","Стратегічний"},0),0.19,0.22,0.28,0.26,0.32)</f>
        <v/>
      </c>
      <c r="AC116" s="104">
        <f>CHOOSE(MATCH(IF($U116="","Основний",$U116),{"Трафіковий","Основний","Маржинальний","Сезонний","Стратегічний"},0),0.17,0.2,0.25,0.24,0.28)</f>
        <v/>
      </c>
      <c r="AD116" s="104">
        <f>CHOOSE(MATCH(IF($U116="","Основний",$U116),{"Трафіковий","Основний","Маржинальний","Сезонний","Стратегічний"},0),0.18,0.21,0.26,0.25,0.3)</f>
        <v/>
      </c>
      <c r="AE116" s="104">
        <f>CHOOSE(MATCH(IF($U116="","Основний",$U116),{"Трафіковий","Основний","Маржинальний","Сезонний","Стратегічний"},0),0.18,0.2,0.28,0.27,0.32)</f>
        <v/>
      </c>
      <c r="AF116" s="104">
        <f>CHOOSE(MATCH(IF($U116="","Основний",$U116),{"Трафіковий","Основний","Маржинальний","Сезонний","Стратегічний"},0),0.15,0.175,0.22,0.21,0.25)</f>
        <v/>
      </c>
      <c r="AG116" s="104">
        <f>CHOOSE(MATCH(IF($U116="","Основний",$U116),{"Трафіковий","Основний","Маржинальний","Сезонний","Стратегічний"},0),0.13,0.16,0.21,0.2,0.25)</f>
        <v/>
      </c>
      <c r="AH116" s="104">
        <f>CHOOSE(MATCH(IF($U116="","Основний",$U116),{"Трафіковий","Основний","Маржинальний","Сезонний","Стратегічний"},0),0.15,0.18,0.23,0.22,0.27)</f>
        <v/>
      </c>
      <c r="AI116" s="104">
        <f>CHOOSE(MATCH(IF($U116="","Основний",$U116),{"Трафіковий","Основний","Маржинальний","Сезонний","Стратегічний"},0),0.16,0.19,0.25,0.23,0.29)</f>
        <v/>
      </c>
      <c r="AJ116" s="104">
        <f>CHOOSE(MATCH(IF($U116="","Основний",$U116),{"Трафіковий","Основний","Маржинальний","Сезонний","Стратегічний"},0),0.14,0.17,0.22,0.21,0.25)</f>
        <v/>
      </c>
      <c r="AK116" s="104">
        <f>CHOOSE(MATCH(IF($U116="","Основний",$U116),{"Трафіковий","Основний","Маржинальний","Сезонний","Стратегічний"},0),0.15,0.18,0.23,0.22,0.27)</f>
        <v/>
      </c>
      <c r="AL116" s="104">
        <f>CHOOSE(MATCH(IF($U116="","Основний",$U116),{"Трафіковий","Основний","Маржинальний","Сезонний","Стратегічний"},0),0.15,0.17,0.25,0.24,0.29)</f>
        <v/>
      </c>
      <c r="AM116" s="104">
        <f>CHOOSE(MATCH(IF($U116="","Основний",$U116),{"Трафіковий","Основний","Маржинальний","Сезонний","Стратегічний"},0),0.12,0.145,0.19,0.18,0.22)</f>
        <v/>
      </c>
      <c r="AN116" s="157">
        <f>CHOOSE(MATCH(IF($U116="","Основний",$U116),{"Трафіковий","Основний","Маржинальний","Сезонний","Стратегічний"},0),Settings!$B$78,Settings!$B$80,Settings!$B$82,Settings!$B$84,Settings!$B$86)</f>
        <v/>
      </c>
      <c r="AO116" s="157">
        <f>CHOOSE(MATCH(IF($U116="","Основний",$U116),{"Трафіковий","Основний","Маржинальний","Сезонний","Стратегічний"},0),Settings!$C$78,Settings!$C$80,Settings!$C$82,Settings!$C$84,Settings!$C$86)</f>
        <v/>
      </c>
      <c r="AP116" s="157">
        <f>CHOOSE(MATCH(IF($U116="","Основний",$U116),{"Трафіковий","Основний","Маржинальний","Сезонний","Стратегічний"},0),Settings!$D$78,Settings!$D$80,Settings!$D$82,Settings!$D$84,Settings!$D$86)</f>
        <v/>
      </c>
      <c r="AQ116" s="157">
        <f>CHOOSE(MATCH(IF($U116="","Основний",$U116),{"Трафіковий","Основний","Маржинальний","Сезонний","Стратегічний"},0),Settings!$F$78,Settings!$F$80,Settings!$F$82,Settings!$F$84,Settings!$F$86)</f>
        <v/>
      </c>
      <c r="AR116" s="157">
        <f>CHOOSE(MATCH(IF($U116="","Основний",$U116),{"Трафіковий","Основний","Маржинальний","Сезонний","Стратегічний"},0),Settings!$G$78,Settings!$G$80,Settings!$G$82,Settings!$G$84,Settings!$G$86)</f>
        <v/>
      </c>
      <c r="AS116" s="157">
        <f>CHOOSE(MATCH(IF($U116="","Основний",$U116),{"Трафіковий","Основний","Маржинальний","Сезонний","Стратегічний"},0),Settings!$H$78,Settings!$H$80,Settings!$H$82,Settings!$H$84,Settings!$H$86)</f>
        <v/>
      </c>
      <c r="AT116" s="157">
        <f>CHOOSE(MATCH(IF($U116="","Основний",$U116),{"Трафіковий","Основний","Маржинальний","Сезонний","Стратегічний"},0),Settings!$I$78,Settings!$I$80,Settings!$I$82,Settings!$I$84,Settings!$I$86)</f>
        <v/>
      </c>
      <c r="AU116" s="171" t="n"/>
      <c r="AV116" t="n">
        <v>1.35</v>
      </c>
    </row>
    <row r="117">
      <c r="A117" s="33" t="n"/>
      <c r="B117" s="34" t="inlineStr">
        <is>
          <t>G1125</t>
        </is>
      </c>
      <c r="C117" s="34" t="inlineStr">
        <is>
          <t>SENSOR PIR B 1200W IP44</t>
        </is>
      </c>
      <c r="D117" s="34" t="inlineStr">
        <is>
          <t>Датчики руху</t>
        </is>
      </c>
      <c r="E117" s="33" t="inlineStr">
        <is>
          <t>PC</t>
        </is>
      </c>
      <c r="F117" s="94" t="n">
        <v>2.903</v>
      </c>
      <c r="G117" s="35" t="n">
        <v>8536508000</v>
      </c>
      <c r="H117" s="31" t="n">
        <v>1.35</v>
      </c>
      <c r="I117" s="84">
        <f>IFERROR(F117*Settings!$B$2*H117*IF(AND(ISNUMBER(E117),E117&gt;1),E117,1),"")</f>
        <v/>
      </c>
      <c r="J117" s="32">
        <f>Settings!$B$66</f>
        <v/>
      </c>
      <c r="K117" s="95">
        <f>IFERROR(IF(T117="","",(T117*(1-AN117)*(1-Settings!$B$17)-I117)/(T117*(1-AN117)*(1-Settings!$B$17))),"")</f>
        <v/>
      </c>
      <c r="L117" s="101">
        <f>IFERROR(IF(T117="","",(T117*(1-AO117)*(1-Settings!$C$17)-I117)/(T117*(1-AO117)*(1-Settings!$C$17))),"")</f>
        <v/>
      </c>
      <c r="M117" s="101">
        <f>IFERROR(IF(T117="","",(T117*(1-AP117)*(1-Settings!$D$17)-I117)/(T117*(1-AP117)*(1-Settings!$D$17))),"")</f>
        <v/>
      </c>
      <c r="N117" s="101">
        <f>IFERROR(IF(T117="","",(T117*(1-AQ117)*(1-Settings!$F$17)-I117)/(T117*(1-AQ117)*(1-Settings!$F$17))),"")</f>
        <v/>
      </c>
      <c r="O117" s="101">
        <f>IFERROR(IF(T117="","",(T117*(1-AR117)*(1-Settings!$G$17)-I117)/(T117*(1-AR117)*(1-Settings!$G$17))),"")</f>
        <v/>
      </c>
      <c r="P117" s="101">
        <f>IFERROR(IF(T117="","",(T117*(1-AS117)*(1-Settings!$H$17)-I117)/(T117*(1-AS117)*(1-Settings!$H$17))),"")</f>
        <v/>
      </c>
      <c r="Q117" s="101">
        <f>IFERROR(IF(T117="","",(T117*(1-AT117)*(1-Settings!$I$68)*(1-Settings!$I$17)-I117)/(T117*(1-AT117)*(1-Settings!$I$68)*(1-Settings!$I$17))),"")</f>
        <v/>
      </c>
      <c r="R117" s="91">
        <f>IFERROR(IF(OR(I117="",Z117&gt;=1,Settings!$B$17&gt;=1,AN117&gt;=1),"",IF(MOD(ROUND(I117/(1-Z117)/(1-Settings!$B$17)/(1-AN117),0),10)=0,ROUND(I117/(1-Z117)/(1-Settings!$B$17)/(1-AN117),0)-1,IF(MOD(ROUND(I117/(1-Z117)/(1-Settings!$B$17)/(1-AN117),0),10)&lt;=5,FLOOR(ROUND(I117/(1-Z117)/(1-Settings!$B$17)/(1-AN117),0),10)+6,FLOOR(ROUND(I117/(1-Z117)/(1-Settings!$B$17)/(1-AN117),0),10)+9))),"")</f>
        <v/>
      </c>
      <c r="S117" s="92" t="n">
        <v>320</v>
      </c>
      <c r="T117" s="91">
        <f>IF(S117&lt;&gt;"", IF(MOD(S117,10)=0,S117-1,IF(MOD(S117,10)&lt;=5,FLOOR(S117,10)+6,FLOOR(S117,10)+9)), R117)</f>
        <v/>
      </c>
      <c r="U117" s="87" t="inlineStr">
        <is>
          <t>Основний</t>
        </is>
      </c>
      <c r="V117" s="88" t="n"/>
      <c r="W117" s="88" t="n"/>
      <c r="X117" s="89">
        <f>IFERROR(IF(OR(V117="",W117="",T117=""),"", IF(T117&gt;W117,"Дорогий",IF(T117&lt;V117,"Дешевий","У ринку"))),"")</f>
        <v/>
      </c>
      <c r="Y117" s="90" t="n"/>
      <c r="Z117" s="104">
        <f>CHOOSE(MATCH(IF($U117="","Основний",$U117),{"Трафіковий","Основний","Маржинальний","Сезонний","Стратегічний"},0),0.16,0.19,0.24,0.23,0.28)</f>
        <v/>
      </c>
      <c r="AA117" s="104">
        <f>CHOOSE(MATCH(IF($U117="","Основний",$U117),{"Трафіковий","Основний","Маржинальний","Сезонний","Стратегічний"},0),0.18,0.21,0.26,0.25,0.3)</f>
        <v/>
      </c>
      <c r="AB117" s="104">
        <f>CHOOSE(MATCH(IF($U117="","Основний",$U117),{"Трафіковий","Основний","Маржинальний","Сезонний","Стратегічний"},0),0.19,0.22,0.28,0.26,0.32)</f>
        <v/>
      </c>
      <c r="AC117" s="104">
        <f>CHOOSE(MATCH(IF($U117="","Основний",$U117),{"Трафіковий","Основний","Маржинальний","Сезонний","Стратегічний"},0),0.17,0.2,0.25,0.24,0.28)</f>
        <v/>
      </c>
      <c r="AD117" s="104">
        <f>CHOOSE(MATCH(IF($U117="","Основний",$U117),{"Трафіковий","Основний","Маржинальний","Сезонний","Стратегічний"},0),0.18,0.21,0.26,0.25,0.3)</f>
        <v/>
      </c>
      <c r="AE117" s="104">
        <f>CHOOSE(MATCH(IF($U117="","Основний",$U117),{"Трафіковий","Основний","Маржинальний","Сезонний","Стратегічний"},0),0.18,0.2,0.28,0.27,0.32)</f>
        <v/>
      </c>
      <c r="AF117" s="104">
        <f>CHOOSE(MATCH(IF($U117="","Основний",$U117),{"Трафіковий","Основний","Маржинальний","Сезонний","Стратегічний"},0),0.15,0.175,0.22,0.21,0.25)</f>
        <v/>
      </c>
      <c r="AG117" s="104">
        <f>CHOOSE(MATCH(IF($U117="","Основний",$U117),{"Трафіковий","Основний","Маржинальний","Сезонний","Стратегічний"},0),0.13,0.16,0.21,0.2,0.25)</f>
        <v/>
      </c>
      <c r="AH117" s="104">
        <f>CHOOSE(MATCH(IF($U117="","Основний",$U117),{"Трафіковий","Основний","Маржинальний","Сезонний","Стратегічний"},0),0.15,0.18,0.23,0.22,0.27)</f>
        <v/>
      </c>
      <c r="AI117" s="104">
        <f>CHOOSE(MATCH(IF($U117="","Основний",$U117),{"Трафіковий","Основний","Маржинальний","Сезонний","Стратегічний"},0),0.16,0.19,0.25,0.23,0.29)</f>
        <v/>
      </c>
      <c r="AJ117" s="104">
        <f>CHOOSE(MATCH(IF($U117="","Основний",$U117),{"Трафіковий","Основний","Маржинальний","Сезонний","Стратегічний"},0),0.14,0.17,0.22,0.21,0.25)</f>
        <v/>
      </c>
      <c r="AK117" s="104">
        <f>CHOOSE(MATCH(IF($U117="","Основний",$U117),{"Трафіковий","Основний","Маржинальний","Сезонний","Стратегічний"},0),0.15,0.18,0.23,0.22,0.27)</f>
        <v/>
      </c>
      <c r="AL117" s="104">
        <f>CHOOSE(MATCH(IF($U117="","Основний",$U117),{"Трафіковий","Основний","Маржинальний","Сезонний","Стратегічний"},0),0.15,0.17,0.25,0.24,0.29)</f>
        <v/>
      </c>
      <c r="AM117" s="104">
        <f>CHOOSE(MATCH(IF($U117="","Основний",$U117),{"Трафіковий","Основний","Маржинальний","Сезонний","Стратегічний"},0),0.12,0.145,0.19,0.18,0.22)</f>
        <v/>
      </c>
      <c r="AN117" s="157">
        <f>CHOOSE(MATCH(IF($U117="","Основний",$U117),{"Трафіковий","Основний","Маржинальний","Сезонний","Стратегічний"},0),Settings!$B$78,Settings!$B$80,Settings!$B$82,Settings!$B$84,Settings!$B$86)</f>
        <v/>
      </c>
      <c r="AO117" s="157">
        <f>CHOOSE(MATCH(IF($U117="","Основний",$U117),{"Трафіковий","Основний","Маржинальний","Сезонний","Стратегічний"},0),Settings!$C$78,Settings!$C$80,Settings!$C$82,Settings!$C$84,Settings!$C$86)</f>
        <v/>
      </c>
      <c r="AP117" s="157">
        <f>CHOOSE(MATCH(IF($U117="","Основний",$U117),{"Трафіковий","Основний","Маржинальний","Сезонний","Стратегічний"},0),Settings!$D$78,Settings!$D$80,Settings!$D$82,Settings!$D$84,Settings!$D$86)</f>
        <v/>
      </c>
      <c r="AQ117" s="157">
        <f>CHOOSE(MATCH(IF($U117="","Основний",$U117),{"Трафіковий","Основний","Маржинальний","Сезонний","Стратегічний"},0),Settings!$F$78,Settings!$F$80,Settings!$F$82,Settings!$F$84,Settings!$F$86)</f>
        <v/>
      </c>
      <c r="AR117" s="157">
        <f>CHOOSE(MATCH(IF($U117="","Основний",$U117),{"Трафіковий","Основний","Маржинальний","Сезонний","Стратегічний"},0),Settings!$G$78,Settings!$G$80,Settings!$G$82,Settings!$G$84,Settings!$G$86)</f>
        <v/>
      </c>
      <c r="AS117" s="157">
        <f>CHOOSE(MATCH(IF($U117="","Основний",$U117),{"Трафіковий","Основний","Маржинальний","Сезонний","Стратегічний"},0),Settings!$H$78,Settings!$H$80,Settings!$H$82,Settings!$H$84,Settings!$H$86)</f>
        <v/>
      </c>
      <c r="AT117" s="157">
        <f>CHOOSE(MATCH(IF($U117="","Основний",$U117),{"Трафіковий","Основний","Маржинальний","Сезонний","Стратегічний"},0),Settings!$I$78,Settings!$I$80,Settings!$I$82,Settings!$I$84,Settings!$I$86)</f>
        <v/>
      </c>
      <c r="AU117" s="171" t="n"/>
      <c r="AV117" t="n">
        <v>1.35</v>
      </c>
    </row>
    <row r="118">
      <c r="A118" s="28" t="inlineStr">
        <is>
          <t>NEW</t>
        </is>
      </c>
      <c r="B118" s="29" t="inlineStr">
        <is>
          <t>GS11111</t>
        </is>
      </c>
      <c r="C118" s="29" t="inlineStr">
        <is>
          <t>SENSOR PIR W 1200W IP20</t>
        </is>
      </c>
      <c r="D118" s="29" t="inlineStr">
        <is>
          <t>Датчики руху</t>
        </is>
      </c>
      <c r="E118" s="28" t="inlineStr">
        <is>
          <t>PC</t>
        </is>
      </c>
      <c r="F118" s="93" t="n">
        <v>2.89</v>
      </c>
      <c r="G118" s="30" t="n">
        <v>8536508000</v>
      </c>
      <c r="H118" s="31" t="n">
        <v>1.35</v>
      </c>
      <c r="I118" s="84">
        <f>IFERROR(F118*Settings!$B$2*H118*IF(AND(ISNUMBER(E118),E118&gt;1),E118,1),"")</f>
        <v/>
      </c>
      <c r="J118" s="32">
        <f>Settings!$B$66</f>
        <v/>
      </c>
      <c r="K118" s="95">
        <f>IFERROR(IF(T118="","",(T118*(1-AN118)*(1-Settings!$B$17)-I118)/(T118*(1-AN118)*(1-Settings!$B$17))),"")</f>
        <v/>
      </c>
      <c r="L118" s="101">
        <f>IFERROR(IF(T118="","",(T118*(1-AO118)*(1-Settings!$C$17)-I118)/(T118*(1-AO118)*(1-Settings!$C$17))),"")</f>
        <v/>
      </c>
      <c r="M118" s="101">
        <f>IFERROR(IF(T118="","",(T118*(1-AP118)*(1-Settings!$D$17)-I118)/(T118*(1-AP118)*(1-Settings!$D$17))),"")</f>
        <v/>
      </c>
      <c r="N118" s="101">
        <f>IFERROR(IF(T118="","",(T118*(1-AQ118)*(1-Settings!$F$17)-I118)/(T118*(1-AQ118)*(1-Settings!$F$17))),"")</f>
        <v/>
      </c>
      <c r="O118" s="101">
        <f>IFERROR(IF(T118="","",(T118*(1-AR118)*(1-Settings!$G$17)-I118)/(T118*(1-AR118)*(1-Settings!$G$17))),"")</f>
        <v/>
      </c>
      <c r="P118" s="101">
        <f>IFERROR(IF(T118="","",(T118*(1-AS118)*(1-Settings!$H$17)-I118)/(T118*(1-AS118)*(1-Settings!$H$17))),"")</f>
        <v/>
      </c>
      <c r="Q118" s="101">
        <f>IFERROR(IF(T118="","",(T118*(1-AT118)*(1-Settings!$I$68)*(1-Settings!$I$17)-I118)/(T118*(1-AT118)*(1-Settings!$I$68)*(1-Settings!$I$17))),"")</f>
        <v/>
      </c>
      <c r="R118" s="91">
        <f>IFERROR(IF(OR(I118="",Z118&gt;=1,Settings!$B$17&gt;=1,AN118&gt;=1),"",IF(MOD(ROUND(I118/(1-Z118)/(1-Settings!$B$17)/(1-AN118),0),10)=0,ROUND(I118/(1-Z118)/(1-Settings!$B$17)/(1-AN118),0)-1,IF(MOD(ROUND(I118/(1-Z118)/(1-Settings!$B$17)/(1-AN118),0),10)&lt;=5,FLOOR(ROUND(I118/(1-Z118)/(1-Settings!$B$17)/(1-AN118),0),10)+6,FLOOR(ROUND(I118/(1-Z118)/(1-Settings!$B$17)/(1-AN118),0),10)+9))),"")</f>
        <v/>
      </c>
      <c r="S118" s="92" t="n">
        <v>370</v>
      </c>
      <c r="T118" s="91">
        <f>IF(S118&lt;&gt;"", IF(MOD(S118,10)=0,S118-1,IF(MOD(S118,10)&lt;=5,FLOOR(S118,10)+6,FLOOR(S118,10)+9)), R118)</f>
        <v/>
      </c>
      <c r="U118" s="87" t="inlineStr">
        <is>
          <t>Основний</t>
        </is>
      </c>
      <c r="V118" s="88" t="n"/>
      <c r="W118" s="88" t="n"/>
      <c r="X118" s="89">
        <f>IFERROR(IF(OR(V118="",W118="",T118=""),"", IF(T118&gt;W118,"Дорогий",IF(T118&lt;V118,"Дешевий","У ринку"))),"")</f>
        <v/>
      </c>
      <c r="Y118" s="90" t="n"/>
      <c r="Z118" s="104">
        <f>CHOOSE(MATCH(IF($U118="","Основний",$U118),{"Трафіковий","Основний","Маржинальний","Сезонний","Стратегічний"},0),0.16,0.19,0.24,0.23,0.28)</f>
        <v/>
      </c>
      <c r="AA118" s="104">
        <f>CHOOSE(MATCH(IF($U118="","Основний",$U118),{"Трафіковий","Основний","Маржинальний","Сезонний","Стратегічний"},0),0.18,0.21,0.26,0.25,0.3)</f>
        <v/>
      </c>
      <c r="AB118" s="104">
        <f>CHOOSE(MATCH(IF($U118="","Основний",$U118),{"Трафіковий","Основний","Маржинальний","Сезонний","Стратегічний"},0),0.19,0.22,0.28,0.26,0.32)</f>
        <v/>
      </c>
      <c r="AC118" s="104">
        <f>CHOOSE(MATCH(IF($U118="","Основний",$U118),{"Трафіковий","Основний","Маржинальний","Сезонний","Стратегічний"},0),0.17,0.2,0.25,0.24,0.28)</f>
        <v/>
      </c>
      <c r="AD118" s="104">
        <f>CHOOSE(MATCH(IF($U118="","Основний",$U118),{"Трафіковий","Основний","Маржинальний","Сезонний","Стратегічний"},0),0.18,0.21,0.26,0.25,0.3)</f>
        <v/>
      </c>
      <c r="AE118" s="104">
        <f>CHOOSE(MATCH(IF($U118="","Основний",$U118),{"Трафіковий","Основний","Маржинальний","Сезонний","Стратегічний"},0),0.18,0.2,0.28,0.27,0.32)</f>
        <v/>
      </c>
      <c r="AF118" s="104">
        <f>CHOOSE(MATCH(IF($U118="","Основний",$U118),{"Трафіковий","Основний","Маржинальний","Сезонний","Стратегічний"},0),0.15,0.175,0.22,0.21,0.25)</f>
        <v/>
      </c>
      <c r="AG118" s="104">
        <f>CHOOSE(MATCH(IF($U118="","Основний",$U118),{"Трафіковий","Основний","Маржинальний","Сезонний","Стратегічний"},0),0.13,0.16,0.21,0.2,0.25)</f>
        <v/>
      </c>
      <c r="AH118" s="104">
        <f>CHOOSE(MATCH(IF($U118="","Основний",$U118),{"Трафіковий","Основний","Маржинальний","Сезонний","Стратегічний"},0),0.15,0.18,0.23,0.22,0.27)</f>
        <v/>
      </c>
      <c r="AI118" s="104">
        <f>CHOOSE(MATCH(IF($U118="","Основний",$U118),{"Трафіковий","Основний","Маржинальний","Сезонний","Стратегічний"},0),0.16,0.19,0.25,0.23,0.29)</f>
        <v/>
      </c>
      <c r="AJ118" s="104">
        <f>CHOOSE(MATCH(IF($U118="","Основний",$U118),{"Трафіковий","Основний","Маржинальний","Сезонний","Стратегічний"},0),0.14,0.17,0.22,0.21,0.25)</f>
        <v/>
      </c>
      <c r="AK118" s="104">
        <f>CHOOSE(MATCH(IF($U118="","Основний",$U118),{"Трафіковий","Основний","Маржинальний","Сезонний","Стратегічний"},0),0.15,0.18,0.23,0.22,0.27)</f>
        <v/>
      </c>
      <c r="AL118" s="104">
        <f>CHOOSE(MATCH(IF($U118="","Основний",$U118),{"Трафіковий","Основний","Маржинальний","Сезонний","Стратегічний"},0),0.15,0.17,0.25,0.24,0.29)</f>
        <v/>
      </c>
      <c r="AM118" s="104">
        <f>CHOOSE(MATCH(IF($U118="","Основний",$U118),{"Трафіковий","Основний","Маржинальний","Сезонний","Стратегічний"},0),0.12,0.145,0.19,0.18,0.22)</f>
        <v/>
      </c>
      <c r="AN118" s="157">
        <f>CHOOSE(MATCH(IF($U118="","Основний",$U118),{"Трафіковий","Основний","Маржинальний","Сезонний","Стратегічний"},0),Settings!$B$78,Settings!$B$80,Settings!$B$82,Settings!$B$84,Settings!$B$86)</f>
        <v/>
      </c>
      <c r="AO118" s="157">
        <f>CHOOSE(MATCH(IF($U118="","Основний",$U118),{"Трафіковий","Основний","Маржинальний","Сезонний","Стратегічний"},0),Settings!$C$78,Settings!$C$80,Settings!$C$82,Settings!$C$84,Settings!$C$86)</f>
        <v/>
      </c>
      <c r="AP118" s="157">
        <f>CHOOSE(MATCH(IF($U118="","Основний",$U118),{"Трафіковий","Основний","Маржинальний","Сезонний","Стратегічний"},0),Settings!$D$78,Settings!$D$80,Settings!$D$82,Settings!$D$84,Settings!$D$86)</f>
        <v/>
      </c>
      <c r="AQ118" s="157">
        <f>CHOOSE(MATCH(IF($U118="","Основний",$U118),{"Трафіковий","Основний","Маржинальний","Сезонний","Стратегічний"},0),Settings!$F$78,Settings!$F$80,Settings!$F$82,Settings!$F$84,Settings!$F$86)</f>
        <v/>
      </c>
      <c r="AR118" s="157">
        <f>CHOOSE(MATCH(IF($U118="","Основний",$U118),{"Трафіковий","Основний","Маржинальний","Сезонний","Стратегічний"},0),Settings!$G$78,Settings!$G$80,Settings!$G$82,Settings!$G$84,Settings!$G$86)</f>
        <v/>
      </c>
      <c r="AS118" s="157">
        <f>CHOOSE(MATCH(IF($U118="","Основний",$U118),{"Трафіковий","Основний","Маржинальний","Сезонний","Стратегічний"},0),Settings!$H$78,Settings!$H$80,Settings!$H$82,Settings!$H$84,Settings!$H$86)</f>
        <v/>
      </c>
      <c r="AT118" s="157">
        <f>CHOOSE(MATCH(IF($U118="","Основний",$U118),{"Трафіковий","Основний","Маржинальний","Сезонний","Стратегічний"},0),Settings!$I$78,Settings!$I$80,Settings!$I$82,Settings!$I$84,Settings!$I$86)</f>
        <v/>
      </c>
      <c r="AU118" s="171" t="n"/>
      <c r="AV118" t="n">
        <v>1.35</v>
      </c>
    </row>
    <row r="119">
      <c r="A119" s="33" t="n"/>
      <c r="B119" s="34" t="inlineStr">
        <is>
          <t>G1150</t>
        </is>
      </c>
      <c r="C119" s="34" t="inlineStr">
        <is>
          <t>SENSOR PIR W 2000W IP20</t>
        </is>
      </c>
      <c r="D119" s="34" t="inlineStr">
        <is>
          <t>Датчики руху</t>
        </is>
      </c>
      <c r="E119" s="33" t="inlineStr">
        <is>
          <t>PC</t>
        </is>
      </c>
      <c r="F119" s="94" t="n">
        <v>3.387</v>
      </c>
      <c r="G119" s="35" t="n">
        <v>8536508000</v>
      </c>
      <c r="H119" s="31" t="n">
        <v>1.35</v>
      </c>
      <c r="I119" s="84">
        <f>IFERROR(F119*Settings!$B$2*H119*IF(AND(ISNUMBER(E119),E119&gt;1),E119,1),"")</f>
        <v/>
      </c>
      <c r="J119" s="32">
        <f>Settings!$B$66</f>
        <v/>
      </c>
      <c r="K119" s="95">
        <f>IFERROR(IF(T119="","",(T119*(1-AN119)*(1-Settings!$B$17)-I119)/(T119*(1-AN119)*(1-Settings!$B$17))),"")</f>
        <v/>
      </c>
      <c r="L119" s="101">
        <f>IFERROR(IF(T119="","",(T119*(1-AO119)*(1-Settings!$C$17)-I119)/(T119*(1-AO119)*(1-Settings!$C$17))),"")</f>
        <v/>
      </c>
      <c r="M119" s="101">
        <f>IFERROR(IF(T119="","",(T119*(1-AP119)*(1-Settings!$D$17)-I119)/(T119*(1-AP119)*(1-Settings!$D$17))),"")</f>
        <v/>
      </c>
      <c r="N119" s="101">
        <f>IFERROR(IF(T119="","",(T119*(1-AQ119)*(1-Settings!$F$17)-I119)/(T119*(1-AQ119)*(1-Settings!$F$17))),"")</f>
        <v/>
      </c>
      <c r="O119" s="101">
        <f>IFERROR(IF(T119="","",(T119*(1-AR119)*(1-Settings!$G$17)-I119)/(T119*(1-AR119)*(1-Settings!$G$17))),"")</f>
        <v/>
      </c>
      <c r="P119" s="101">
        <f>IFERROR(IF(T119="","",(T119*(1-AS119)*(1-Settings!$H$17)-I119)/(T119*(1-AS119)*(1-Settings!$H$17))),"")</f>
        <v/>
      </c>
      <c r="Q119" s="101">
        <f>IFERROR(IF(T119="","",(T119*(1-AT119)*(1-Settings!$I$68)*(1-Settings!$I$17)-I119)/(T119*(1-AT119)*(1-Settings!$I$68)*(1-Settings!$I$17))),"")</f>
        <v/>
      </c>
      <c r="R119" s="91">
        <f>IFERROR(IF(OR(I119="",Z119&gt;=1,Settings!$B$17&gt;=1,AN119&gt;=1),"",IF(MOD(ROUND(I119/(1-Z119)/(1-Settings!$B$17)/(1-AN119),0),10)=0,ROUND(I119/(1-Z119)/(1-Settings!$B$17)/(1-AN119),0)-1,IF(MOD(ROUND(I119/(1-Z119)/(1-Settings!$B$17)/(1-AN119),0),10)&lt;=5,FLOOR(ROUND(I119/(1-Z119)/(1-Settings!$B$17)/(1-AN119),0),10)+6,FLOOR(ROUND(I119/(1-Z119)/(1-Settings!$B$17)/(1-AN119),0),10)+9))),"")</f>
        <v/>
      </c>
      <c r="S119" s="92" t="n">
        <v>420</v>
      </c>
      <c r="T119" s="91">
        <f>IF(S119&lt;&gt;"", IF(MOD(S119,10)=0,S119-1,IF(MOD(S119,10)&lt;=5,FLOOR(S119,10)+6,FLOOR(S119,10)+9)), R119)</f>
        <v/>
      </c>
      <c r="U119" s="87" t="inlineStr">
        <is>
          <t>Основний</t>
        </is>
      </c>
      <c r="V119" s="88" t="n"/>
      <c r="W119" s="88" t="n"/>
      <c r="X119" s="89">
        <f>IFERROR(IF(OR(V119="",W119="",T119=""),"", IF(T119&gt;W119,"Дорогий",IF(T119&lt;V119,"Дешевий","У ринку"))),"")</f>
        <v/>
      </c>
      <c r="Y119" s="90" t="n"/>
      <c r="Z119" s="104">
        <f>CHOOSE(MATCH(IF($U119="","Основний",$U119),{"Трафіковий","Основний","Маржинальний","Сезонний","Стратегічний"},0),0.16,0.19,0.24,0.23,0.28)</f>
        <v/>
      </c>
      <c r="AA119" s="104">
        <f>CHOOSE(MATCH(IF($U119="","Основний",$U119),{"Трафіковий","Основний","Маржинальний","Сезонний","Стратегічний"},0),0.18,0.21,0.26,0.25,0.3)</f>
        <v/>
      </c>
      <c r="AB119" s="104">
        <f>CHOOSE(MATCH(IF($U119="","Основний",$U119),{"Трафіковий","Основний","Маржинальний","Сезонний","Стратегічний"},0),0.19,0.22,0.28,0.26,0.32)</f>
        <v/>
      </c>
      <c r="AC119" s="104">
        <f>CHOOSE(MATCH(IF($U119="","Основний",$U119),{"Трафіковий","Основний","Маржинальний","Сезонний","Стратегічний"},0),0.17,0.2,0.25,0.24,0.28)</f>
        <v/>
      </c>
      <c r="AD119" s="104">
        <f>CHOOSE(MATCH(IF($U119="","Основний",$U119),{"Трафіковий","Основний","Маржинальний","Сезонний","Стратегічний"},0),0.18,0.21,0.26,0.25,0.3)</f>
        <v/>
      </c>
      <c r="AE119" s="104">
        <f>CHOOSE(MATCH(IF($U119="","Основний",$U119),{"Трафіковий","Основний","Маржинальний","Сезонний","Стратегічний"},0),0.18,0.2,0.28,0.27,0.32)</f>
        <v/>
      </c>
      <c r="AF119" s="104">
        <f>CHOOSE(MATCH(IF($U119="","Основний",$U119),{"Трафіковий","Основний","Маржинальний","Сезонний","Стратегічний"},0),0.15,0.175,0.22,0.21,0.25)</f>
        <v/>
      </c>
      <c r="AG119" s="104">
        <f>CHOOSE(MATCH(IF($U119="","Основний",$U119),{"Трафіковий","Основний","Маржинальний","Сезонний","Стратегічний"},0),0.13,0.16,0.21,0.2,0.25)</f>
        <v/>
      </c>
      <c r="AH119" s="104">
        <f>CHOOSE(MATCH(IF($U119="","Основний",$U119),{"Трафіковий","Основний","Маржинальний","Сезонний","Стратегічний"},0),0.15,0.18,0.23,0.22,0.27)</f>
        <v/>
      </c>
      <c r="AI119" s="104">
        <f>CHOOSE(MATCH(IF($U119="","Основний",$U119),{"Трафіковий","Основний","Маржинальний","Сезонний","Стратегічний"},0),0.16,0.19,0.25,0.23,0.29)</f>
        <v/>
      </c>
      <c r="AJ119" s="104">
        <f>CHOOSE(MATCH(IF($U119="","Основний",$U119),{"Трафіковий","Основний","Маржинальний","Сезонний","Стратегічний"},0),0.14,0.17,0.22,0.21,0.25)</f>
        <v/>
      </c>
      <c r="AK119" s="104">
        <f>CHOOSE(MATCH(IF($U119="","Основний",$U119),{"Трафіковий","Основний","Маржинальний","Сезонний","Стратегічний"},0),0.15,0.18,0.23,0.22,0.27)</f>
        <v/>
      </c>
      <c r="AL119" s="104">
        <f>CHOOSE(MATCH(IF($U119="","Основний",$U119),{"Трафіковий","Основний","Маржинальний","Сезонний","Стратегічний"},0),0.15,0.17,0.25,0.24,0.29)</f>
        <v/>
      </c>
      <c r="AM119" s="104">
        <f>CHOOSE(MATCH(IF($U119="","Основний",$U119),{"Трафіковий","Основний","Маржинальний","Сезонний","Стратегічний"},0),0.12,0.145,0.19,0.18,0.22)</f>
        <v/>
      </c>
      <c r="AN119" s="157">
        <f>CHOOSE(MATCH(IF($U119="","Основний",$U119),{"Трафіковий","Основний","Маржинальний","Сезонний","Стратегічний"},0),Settings!$B$78,Settings!$B$80,Settings!$B$82,Settings!$B$84,Settings!$B$86)</f>
        <v/>
      </c>
      <c r="AO119" s="157">
        <f>CHOOSE(MATCH(IF($U119="","Основний",$U119),{"Трафіковий","Основний","Маржинальний","Сезонний","Стратегічний"},0),Settings!$C$78,Settings!$C$80,Settings!$C$82,Settings!$C$84,Settings!$C$86)</f>
        <v/>
      </c>
      <c r="AP119" s="157">
        <f>CHOOSE(MATCH(IF($U119="","Основний",$U119),{"Трафіковий","Основний","Маржинальний","Сезонний","Стратегічний"},0),Settings!$D$78,Settings!$D$80,Settings!$D$82,Settings!$D$84,Settings!$D$86)</f>
        <v/>
      </c>
      <c r="AQ119" s="157">
        <f>CHOOSE(MATCH(IF($U119="","Основний",$U119),{"Трафіковий","Основний","Маржинальний","Сезонний","Стратегічний"},0),Settings!$F$78,Settings!$F$80,Settings!$F$82,Settings!$F$84,Settings!$F$86)</f>
        <v/>
      </c>
      <c r="AR119" s="157">
        <f>CHOOSE(MATCH(IF($U119="","Основний",$U119),{"Трафіковий","Основний","Маржинальний","Сезонний","Стратегічний"},0),Settings!$G$78,Settings!$G$80,Settings!$G$82,Settings!$G$84,Settings!$G$86)</f>
        <v/>
      </c>
      <c r="AS119" s="157">
        <f>CHOOSE(MATCH(IF($U119="","Основний",$U119),{"Трафіковий","Основний","Маржинальний","Сезонний","Стратегічний"},0),Settings!$H$78,Settings!$H$80,Settings!$H$82,Settings!$H$84,Settings!$H$86)</f>
        <v/>
      </c>
      <c r="AT119" s="157">
        <f>CHOOSE(MATCH(IF($U119="","Основний",$U119),{"Трафіковий","Основний","Маржинальний","Сезонний","Стратегічний"},0),Settings!$I$78,Settings!$I$80,Settings!$I$82,Settings!$I$84,Settings!$I$86)</f>
        <v/>
      </c>
      <c r="AU119" s="171" t="n"/>
      <c r="AV119" t="n">
        <v>1.35</v>
      </c>
    </row>
    <row r="120">
      <c r="A120" s="28" t="inlineStr">
        <is>
          <t>SELL OUT</t>
        </is>
      </c>
      <c r="B120" s="29" t="inlineStr">
        <is>
          <t>G1160</t>
        </is>
      </c>
      <c r="C120" s="29" t="inlineStr">
        <is>
          <t>SENSOR PIR W 1200W IP20</t>
        </is>
      </c>
      <c r="D120" s="29" t="inlineStr">
        <is>
          <t>Датчики руху</t>
        </is>
      </c>
      <c r="E120" s="28" t="inlineStr">
        <is>
          <t>PC</t>
        </is>
      </c>
      <c r="F120" s="93" t="n">
        <v>3.145</v>
      </c>
      <c r="G120" s="30" t="n">
        <v>8536508000</v>
      </c>
      <c r="H120" s="31" t="n">
        <v>1.35</v>
      </c>
      <c r="I120" s="84">
        <f>IFERROR(F120*Settings!$B$2*H120*IF(AND(ISNUMBER(E120),E120&gt;1),E120,1),"")</f>
        <v/>
      </c>
      <c r="J120" s="32">
        <f>Settings!$B$66</f>
        <v/>
      </c>
      <c r="K120" s="95">
        <f>IFERROR(IF(T120="","",(T120*(1-AN120)*(1-Settings!$B$17)-I120)/(T120*(1-AN120)*(1-Settings!$B$17))),"")</f>
        <v/>
      </c>
      <c r="L120" s="101">
        <f>IFERROR(IF(T120="","",(T120*(1-AO120)*(1-Settings!$C$17)-I120)/(T120*(1-AO120)*(1-Settings!$C$17))),"")</f>
        <v/>
      </c>
      <c r="M120" s="101">
        <f>IFERROR(IF(T120="","",(T120*(1-AP120)*(1-Settings!$D$17)-I120)/(T120*(1-AP120)*(1-Settings!$D$17))),"")</f>
        <v/>
      </c>
      <c r="N120" s="101">
        <f>IFERROR(IF(T120="","",(T120*(1-AQ120)*(1-Settings!$F$17)-I120)/(T120*(1-AQ120)*(1-Settings!$F$17))),"")</f>
        <v/>
      </c>
      <c r="O120" s="101">
        <f>IFERROR(IF(T120="","",(T120*(1-AR120)*(1-Settings!$G$17)-I120)/(T120*(1-AR120)*(1-Settings!$G$17))),"")</f>
        <v/>
      </c>
      <c r="P120" s="101">
        <f>IFERROR(IF(T120="","",(T120*(1-AS120)*(1-Settings!$H$17)-I120)/(T120*(1-AS120)*(1-Settings!$H$17))),"")</f>
        <v/>
      </c>
      <c r="Q120" s="101">
        <f>IFERROR(IF(T120="","",(T120*(1-AT120)*(1-Settings!$I$68)*(1-Settings!$I$17)-I120)/(T120*(1-AT120)*(1-Settings!$I$68)*(1-Settings!$I$17))),"")</f>
        <v/>
      </c>
      <c r="R120" s="91">
        <f>IFERROR(IF(OR(I120="",Z120&gt;=1,Settings!$B$17&gt;=1,AN120&gt;=1),"",IF(MOD(ROUND(I120/(1-Z120)/(1-Settings!$B$17)/(1-AN120),0),10)=0,ROUND(I120/(1-Z120)/(1-Settings!$B$17)/(1-AN120),0)-1,IF(MOD(ROUND(I120/(1-Z120)/(1-Settings!$B$17)/(1-AN120),0),10)&lt;=5,FLOOR(ROUND(I120/(1-Z120)/(1-Settings!$B$17)/(1-AN120),0),10)+6,FLOOR(ROUND(I120/(1-Z120)/(1-Settings!$B$17)/(1-AN120),0),10)+9))),"")</f>
        <v/>
      </c>
      <c r="S120" s="92" t="n">
        <v>340</v>
      </c>
      <c r="T120" s="91">
        <f>IF(S120&lt;&gt;"", IF(MOD(S120,10)=0,S120-1,IF(MOD(S120,10)&lt;=5,FLOOR(S120,10)+6,FLOOR(S120,10)+9)), R120)</f>
        <v/>
      </c>
      <c r="U120" s="87" t="inlineStr">
        <is>
          <t>Основний</t>
        </is>
      </c>
      <c r="V120" s="88" t="n"/>
      <c r="W120" s="88" t="n"/>
      <c r="X120" s="89">
        <f>IFERROR(IF(OR(V120="",W120="",T120=""),"", IF(T120&gt;W120,"Дорогий",IF(T120&lt;V120,"Дешевий","У ринку"))),"")</f>
        <v/>
      </c>
      <c r="Y120" s="90" t="n"/>
      <c r="Z120" s="104">
        <f>CHOOSE(MATCH(IF($U120="","Основний",$U120),{"Трафіковий","Основний","Маржинальний","Сезонний","Стратегічний"},0),0.16,0.19,0.24,0.23,0.28)</f>
        <v/>
      </c>
      <c r="AA120" s="104">
        <f>CHOOSE(MATCH(IF($U120="","Основний",$U120),{"Трафіковий","Основний","Маржинальний","Сезонний","Стратегічний"},0),0.18,0.21,0.26,0.25,0.3)</f>
        <v/>
      </c>
      <c r="AB120" s="104">
        <f>CHOOSE(MATCH(IF($U120="","Основний",$U120),{"Трафіковий","Основний","Маржинальний","Сезонний","Стратегічний"},0),0.19,0.22,0.28,0.26,0.32)</f>
        <v/>
      </c>
      <c r="AC120" s="104">
        <f>CHOOSE(MATCH(IF($U120="","Основний",$U120),{"Трафіковий","Основний","Маржинальний","Сезонний","Стратегічний"},0),0.17,0.2,0.25,0.24,0.28)</f>
        <v/>
      </c>
      <c r="AD120" s="104">
        <f>CHOOSE(MATCH(IF($U120="","Основний",$U120),{"Трафіковий","Основний","Маржинальний","Сезонний","Стратегічний"},0),0.18,0.21,0.26,0.25,0.3)</f>
        <v/>
      </c>
      <c r="AE120" s="104">
        <f>CHOOSE(MATCH(IF($U120="","Основний",$U120),{"Трафіковий","Основний","Маржинальний","Сезонний","Стратегічний"},0),0.18,0.2,0.28,0.27,0.32)</f>
        <v/>
      </c>
      <c r="AF120" s="104">
        <f>CHOOSE(MATCH(IF($U120="","Основний",$U120),{"Трафіковий","Основний","Маржинальний","Сезонний","Стратегічний"},0),0.15,0.175,0.22,0.21,0.25)</f>
        <v/>
      </c>
      <c r="AG120" s="104">
        <f>CHOOSE(MATCH(IF($U120="","Основний",$U120),{"Трафіковий","Основний","Маржинальний","Сезонний","Стратегічний"},0),0.13,0.16,0.21,0.2,0.25)</f>
        <v/>
      </c>
      <c r="AH120" s="104">
        <f>CHOOSE(MATCH(IF($U120="","Основний",$U120),{"Трафіковий","Основний","Маржинальний","Сезонний","Стратегічний"},0),0.15,0.18,0.23,0.22,0.27)</f>
        <v/>
      </c>
      <c r="AI120" s="104">
        <f>CHOOSE(MATCH(IF($U120="","Основний",$U120),{"Трафіковий","Основний","Маржинальний","Сезонний","Стратегічний"},0),0.16,0.19,0.25,0.23,0.29)</f>
        <v/>
      </c>
      <c r="AJ120" s="104">
        <f>CHOOSE(MATCH(IF($U120="","Основний",$U120),{"Трафіковий","Основний","Маржинальний","Сезонний","Стратегічний"},0),0.14,0.17,0.22,0.21,0.25)</f>
        <v/>
      </c>
      <c r="AK120" s="104">
        <f>CHOOSE(MATCH(IF($U120="","Основний",$U120),{"Трафіковий","Основний","Маржинальний","Сезонний","Стратегічний"},0),0.15,0.18,0.23,0.22,0.27)</f>
        <v/>
      </c>
      <c r="AL120" s="104">
        <f>CHOOSE(MATCH(IF($U120="","Основний",$U120),{"Трафіковий","Основний","Маржинальний","Сезонний","Стратегічний"},0),0.15,0.17,0.25,0.24,0.29)</f>
        <v/>
      </c>
      <c r="AM120" s="104">
        <f>CHOOSE(MATCH(IF($U120="","Основний",$U120),{"Трафіковий","Основний","Маржинальний","Сезонний","Стратегічний"},0),0.12,0.145,0.19,0.18,0.22)</f>
        <v/>
      </c>
      <c r="AN120" s="157">
        <f>CHOOSE(MATCH(IF($U120="","Основний",$U120),{"Трафіковий","Основний","Маржинальний","Сезонний","Стратегічний"},0),Settings!$B$78,Settings!$B$80,Settings!$B$82,Settings!$B$84,Settings!$B$86)</f>
        <v/>
      </c>
      <c r="AO120" s="157">
        <f>CHOOSE(MATCH(IF($U120="","Основний",$U120),{"Трафіковий","Основний","Маржинальний","Сезонний","Стратегічний"},0),Settings!$C$78,Settings!$C$80,Settings!$C$82,Settings!$C$84,Settings!$C$86)</f>
        <v/>
      </c>
      <c r="AP120" s="157">
        <f>CHOOSE(MATCH(IF($U120="","Основний",$U120),{"Трафіковий","Основний","Маржинальний","Сезонний","Стратегічний"},0),Settings!$D$78,Settings!$D$80,Settings!$D$82,Settings!$D$84,Settings!$D$86)</f>
        <v/>
      </c>
      <c r="AQ120" s="157">
        <f>CHOOSE(MATCH(IF($U120="","Основний",$U120),{"Трафіковий","Основний","Маржинальний","Сезонний","Стратегічний"},0),Settings!$F$78,Settings!$F$80,Settings!$F$82,Settings!$F$84,Settings!$F$86)</f>
        <v/>
      </c>
      <c r="AR120" s="157">
        <f>CHOOSE(MATCH(IF($U120="","Основний",$U120),{"Трафіковий","Основний","Маржинальний","Сезонний","Стратегічний"},0),Settings!$G$78,Settings!$G$80,Settings!$G$82,Settings!$G$84,Settings!$G$86)</f>
        <v/>
      </c>
      <c r="AS120" s="157">
        <f>CHOOSE(MATCH(IF($U120="","Основний",$U120),{"Трафіковий","Основний","Маржинальний","Сезонний","Стратегічний"},0),Settings!$H$78,Settings!$H$80,Settings!$H$82,Settings!$H$84,Settings!$H$86)</f>
        <v/>
      </c>
      <c r="AT120" s="157">
        <f>CHOOSE(MATCH(IF($U120="","Основний",$U120),{"Трафіковий","Основний","Маржинальний","Сезонний","Стратегічний"},0),Settings!$I$78,Settings!$I$80,Settings!$I$82,Settings!$I$84,Settings!$I$86)</f>
        <v/>
      </c>
      <c r="AU120" s="171" t="n"/>
      <c r="AV120" t="n">
        <v>1.35</v>
      </c>
    </row>
    <row r="121">
      <c r="A121" s="33" t="inlineStr">
        <is>
          <t>SELL OUT</t>
        </is>
      </c>
      <c r="B121" s="34" t="inlineStr">
        <is>
          <t>G1180</t>
        </is>
      </c>
      <c r="C121" s="34" t="inlineStr">
        <is>
          <t>SENSOR MW W 1200W IP20</t>
        </is>
      </c>
      <c r="D121" s="34" t="inlineStr">
        <is>
          <t>Датчики руху</t>
        </is>
      </c>
      <c r="E121" s="33" t="inlineStr">
        <is>
          <t>PC</t>
        </is>
      </c>
      <c r="F121" s="94" t="n">
        <v>4.973</v>
      </c>
      <c r="G121" s="35" t="n">
        <v>8536508000</v>
      </c>
      <c r="H121" s="31" t="n">
        <v>1.35</v>
      </c>
      <c r="I121" s="84">
        <f>IFERROR(F121*Settings!$B$2*H121*IF(AND(ISNUMBER(E121),E121&gt;1),E121,1),"")</f>
        <v/>
      </c>
      <c r="J121" s="32">
        <f>Settings!$B$66</f>
        <v/>
      </c>
      <c r="K121" s="95">
        <f>IFERROR(IF(T121="","",(T121*(1-AN121)*(1-Settings!$B$17)-I121)/(T121*(1-AN121)*(1-Settings!$B$17))),"")</f>
        <v/>
      </c>
      <c r="L121" s="101">
        <f>IFERROR(IF(T121="","",(T121*(1-AO121)*(1-Settings!$C$17)-I121)/(T121*(1-AO121)*(1-Settings!$C$17))),"")</f>
        <v/>
      </c>
      <c r="M121" s="101">
        <f>IFERROR(IF(T121="","",(T121*(1-AP121)*(1-Settings!$D$17)-I121)/(T121*(1-AP121)*(1-Settings!$D$17))),"")</f>
        <v/>
      </c>
      <c r="N121" s="101">
        <f>IFERROR(IF(T121="","",(T121*(1-AQ121)*(1-Settings!$F$17)-I121)/(T121*(1-AQ121)*(1-Settings!$F$17))),"")</f>
        <v/>
      </c>
      <c r="O121" s="101">
        <f>IFERROR(IF(T121="","",(T121*(1-AR121)*(1-Settings!$G$17)-I121)/(T121*(1-AR121)*(1-Settings!$G$17))),"")</f>
        <v/>
      </c>
      <c r="P121" s="101">
        <f>IFERROR(IF(T121="","",(T121*(1-AS121)*(1-Settings!$H$17)-I121)/(T121*(1-AS121)*(1-Settings!$H$17))),"")</f>
        <v/>
      </c>
      <c r="Q121" s="101">
        <f>IFERROR(IF(T121="","",(T121*(1-AT121)*(1-Settings!$I$68)*(1-Settings!$I$17)-I121)/(T121*(1-AT121)*(1-Settings!$I$68)*(1-Settings!$I$17))),"")</f>
        <v/>
      </c>
      <c r="R121" s="91">
        <f>IFERROR(IF(OR(I121="",Z121&gt;=1,Settings!$B$17&gt;=1,AN121&gt;=1),"",IF(MOD(ROUND(I121/(1-Z121)/(1-Settings!$B$17)/(1-AN121),0),10)=0,ROUND(I121/(1-Z121)/(1-Settings!$B$17)/(1-AN121),0)-1,IF(MOD(ROUND(I121/(1-Z121)/(1-Settings!$B$17)/(1-AN121),0),10)&lt;=5,FLOOR(ROUND(I121/(1-Z121)/(1-Settings!$B$17)/(1-AN121),0),10)+6,FLOOR(ROUND(I121/(1-Z121)/(1-Settings!$B$17)/(1-AN121),0),10)+9))),"")</f>
        <v/>
      </c>
      <c r="S121" s="92" t="n">
        <v>530</v>
      </c>
      <c r="T121" s="91">
        <f>IF(S121&lt;&gt;"", IF(MOD(S121,10)=0,S121-1,IF(MOD(S121,10)&lt;=5,FLOOR(S121,10)+6,FLOOR(S121,10)+9)), R121)</f>
        <v/>
      </c>
      <c r="U121" s="87" t="inlineStr">
        <is>
          <t>Основний</t>
        </is>
      </c>
      <c r="V121" s="88" t="n"/>
      <c r="W121" s="88" t="n"/>
      <c r="X121" s="89">
        <f>IFERROR(IF(OR(V121="",W121="",T121=""),"", IF(T121&gt;W121,"Дорогий",IF(T121&lt;V121,"Дешевий","У ринку"))),"")</f>
        <v/>
      </c>
      <c r="Y121" s="90" t="n"/>
      <c r="Z121" s="104">
        <f>CHOOSE(MATCH(IF($U121="","Основний",$U121),{"Трафіковий","Основний","Маржинальний","Сезонний","Стратегічний"},0),0.16,0.19,0.24,0.23,0.28)</f>
        <v/>
      </c>
      <c r="AA121" s="104">
        <f>CHOOSE(MATCH(IF($U121="","Основний",$U121),{"Трафіковий","Основний","Маржинальний","Сезонний","Стратегічний"},0),0.18,0.21,0.26,0.25,0.3)</f>
        <v/>
      </c>
      <c r="AB121" s="104">
        <f>CHOOSE(MATCH(IF($U121="","Основний",$U121),{"Трафіковий","Основний","Маржинальний","Сезонний","Стратегічний"},0),0.19,0.22,0.28,0.26,0.32)</f>
        <v/>
      </c>
      <c r="AC121" s="104">
        <f>CHOOSE(MATCH(IF($U121="","Основний",$U121),{"Трафіковий","Основний","Маржинальний","Сезонний","Стратегічний"},0),0.17,0.2,0.25,0.24,0.28)</f>
        <v/>
      </c>
      <c r="AD121" s="104">
        <f>CHOOSE(MATCH(IF($U121="","Основний",$U121),{"Трафіковий","Основний","Маржинальний","Сезонний","Стратегічний"},0),0.18,0.21,0.26,0.25,0.3)</f>
        <v/>
      </c>
      <c r="AE121" s="104">
        <f>CHOOSE(MATCH(IF($U121="","Основний",$U121),{"Трафіковий","Основний","Маржинальний","Сезонний","Стратегічний"},0),0.18,0.2,0.28,0.27,0.32)</f>
        <v/>
      </c>
      <c r="AF121" s="104">
        <f>CHOOSE(MATCH(IF($U121="","Основний",$U121),{"Трафіковий","Основний","Маржинальний","Сезонний","Стратегічний"},0),0.15,0.175,0.22,0.21,0.25)</f>
        <v/>
      </c>
      <c r="AG121" s="104">
        <f>CHOOSE(MATCH(IF($U121="","Основний",$U121),{"Трафіковий","Основний","Маржинальний","Сезонний","Стратегічний"},0),0.13,0.16,0.21,0.2,0.25)</f>
        <v/>
      </c>
      <c r="AH121" s="104">
        <f>CHOOSE(MATCH(IF($U121="","Основний",$U121),{"Трафіковий","Основний","Маржинальний","Сезонний","Стратегічний"},0),0.15,0.18,0.23,0.22,0.27)</f>
        <v/>
      </c>
      <c r="AI121" s="104">
        <f>CHOOSE(MATCH(IF($U121="","Основний",$U121),{"Трафіковий","Основний","Маржинальний","Сезонний","Стратегічний"},0),0.16,0.19,0.25,0.23,0.29)</f>
        <v/>
      </c>
      <c r="AJ121" s="104">
        <f>CHOOSE(MATCH(IF($U121="","Основний",$U121),{"Трафіковий","Основний","Маржинальний","Сезонний","Стратегічний"},0),0.14,0.17,0.22,0.21,0.25)</f>
        <v/>
      </c>
      <c r="AK121" s="104">
        <f>CHOOSE(MATCH(IF($U121="","Основний",$U121),{"Трафіковий","Основний","Маржинальний","Сезонний","Стратегічний"},0),0.15,0.18,0.23,0.22,0.27)</f>
        <v/>
      </c>
      <c r="AL121" s="104">
        <f>CHOOSE(MATCH(IF($U121="","Основний",$U121),{"Трафіковий","Основний","Маржинальний","Сезонний","Стратегічний"},0),0.15,0.17,0.25,0.24,0.29)</f>
        <v/>
      </c>
      <c r="AM121" s="104">
        <f>CHOOSE(MATCH(IF($U121="","Основний",$U121),{"Трафіковий","Основний","Маржинальний","Сезонний","Стратегічний"},0),0.12,0.145,0.19,0.18,0.22)</f>
        <v/>
      </c>
      <c r="AN121" s="157">
        <f>CHOOSE(MATCH(IF($U121="","Основний",$U121),{"Трафіковий","Основний","Маржинальний","Сезонний","Стратегічний"},0),Settings!$B$78,Settings!$B$80,Settings!$B$82,Settings!$B$84,Settings!$B$86)</f>
        <v/>
      </c>
      <c r="AO121" s="157">
        <f>CHOOSE(MATCH(IF($U121="","Основний",$U121),{"Трафіковий","Основний","Маржинальний","Сезонний","Стратегічний"},0),Settings!$C$78,Settings!$C$80,Settings!$C$82,Settings!$C$84,Settings!$C$86)</f>
        <v/>
      </c>
      <c r="AP121" s="157">
        <f>CHOOSE(MATCH(IF($U121="","Основний",$U121),{"Трафіковий","Основний","Маржинальний","Сезонний","Стратегічний"},0),Settings!$D$78,Settings!$D$80,Settings!$D$82,Settings!$D$84,Settings!$D$86)</f>
        <v/>
      </c>
      <c r="AQ121" s="157">
        <f>CHOOSE(MATCH(IF($U121="","Основний",$U121),{"Трафіковий","Основний","Маржинальний","Сезонний","Стратегічний"},0),Settings!$F$78,Settings!$F$80,Settings!$F$82,Settings!$F$84,Settings!$F$86)</f>
        <v/>
      </c>
      <c r="AR121" s="157">
        <f>CHOOSE(MATCH(IF($U121="","Основний",$U121),{"Трафіковий","Основний","Маржинальний","Сезонний","Стратегічний"},0),Settings!$G$78,Settings!$G$80,Settings!$G$82,Settings!$G$84,Settings!$G$86)</f>
        <v/>
      </c>
      <c r="AS121" s="157">
        <f>CHOOSE(MATCH(IF($U121="","Основний",$U121),{"Трафіковий","Основний","Маржинальний","Сезонний","Стратегічний"},0),Settings!$H$78,Settings!$H$80,Settings!$H$82,Settings!$H$84,Settings!$H$86)</f>
        <v/>
      </c>
      <c r="AT121" s="157">
        <f>CHOOSE(MATCH(IF($U121="","Основний",$U121),{"Трафіковий","Основний","Маржинальний","Сезонний","Стратегічний"},0),Settings!$I$78,Settings!$I$80,Settings!$I$82,Settings!$I$84,Settings!$I$86)</f>
        <v/>
      </c>
      <c r="AU121" s="171" t="n"/>
      <c r="AV121" t="n">
        <v>1.35</v>
      </c>
    </row>
    <row r="122">
      <c r="A122" s="28" t="inlineStr">
        <is>
          <t>NEW</t>
        </is>
      </c>
      <c r="B122" s="29" t="inlineStr">
        <is>
          <t>GS22111</t>
        </is>
      </c>
      <c r="C122" s="29" t="inlineStr">
        <is>
          <t>SENSOR MW W 1200W IP20</t>
        </is>
      </c>
      <c r="D122" s="29" t="inlineStr">
        <is>
          <t>Датчики руху</t>
        </is>
      </c>
      <c r="E122" s="28" t="inlineStr">
        <is>
          <t>PC</t>
        </is>
      </c>
      <c r="F122" s="93" t="n">
        <v>5.108</v>
      </c>
      <c r="G122" s="30" t="n">
        <v>8536508000</v>
      </c>
      <c r="H122" s="31" t="n">
        <v>1.35</v>
      </c>
      <c r="I122" s="84">
        <f>IFERROR(F122*Settings!$B$2*H122*IF(AND(ISNUMBER(E122),E122&gt;1),E122,1),"")</f>
        <v/>
      </c>
      <c r="J122" s="32">
        <f>Settings!$B$66</f>
        <v/>
      </c>
      <c r="K122" s="95">
        <f>IFERROR(IF(T122="","",(T122*(1-AN122)*(1-Settings!$B$17)-I122)/(T122*(1-AN122)*(1-Settings!$B$17))),"")</f>
        <v/>
      </c>
      <c r="L122" s="101">
        <f>IFERROR(IF(T122="","",(T122*(1-AO122)*(1-Settings!$C$17)-I122)/(T122*(1-AO122)*(1-Settings!$C$17))),"")</f>
        <v/>
      </c>
      <c r="M122" s="101">
        <f>IFERROR(IF(T122="","",(T122*(1-AP122)*(1-Settings!$D$17)-I122)/(T122*(1-AP122)*(1-Settings!$D$17))),"")</f>
        <v/>
      </c>
      <c r="N122" s="101">
        <f>IFERROR(IF(T122="","",(T122*(1-AQ122)*(1-Settings!$F$17)-I122)/(T122*(1-AQ122)*(1-Settings!$F$17))),"")</f>
        <v/>
      </c>
      <c r="O122" s="101">
        <f>IFERROR(IF(T122="","",(T122*(1-AR122)*(1-Settings!$G$17)-I122)/(T122*(1-AR122)*(1-Settings!$G$17))),"")</f>
        <v/>
      </c>
      <c r="P122" s="101">
        <f>IFERROR(IF(T122="","",(T122*(1-AS122)*(1-Settings!$H$17)-I122)/(T122*(1-AS122)*(1-Settings!$H$17))),"")</f>
        <v/>
      </c>
      <c r="Q122" s="101">
        <f>IFERROR(IF(T122="","",(T122*(1-AT122)*(1-Settings!$I$68)*(1-Settings!$I$17)-I122)/(T122*(1-AT122)*(1-Settings!$I$68)*(1-Settings!$I$17))),"")</f>
        <v/>
      </c>
      <c r="R122" s="91">
        <f>IFERROR(IF(OR(I122="",Z122&gt;=1,Settings!$B$17&gt;=1,AN122&gt;=1),"",IF(MOD(ROUND(I122/(1-Z122)/(1-Settings!$B$17)/(1-AN122),0),10)=0,ROUND(I122/(1-Z122)/(1-Settings!$B$17)/(1-AN122),0)-1,IF(MOD(ROUND(I122/(1-Z122)/(1-Settings!$B$17)/(1-AN122),0),10)&lt;=5,FLOOR(ROUND(I122/(1-Z122)/(1-Settings!$B$17)/(1-AN122),0),10)+6,FLOOR(ROUND(I122/(1-Z122)/(1-Settings!$B$17)/(1-AN122),0),10)+9))),"")</f>
        <v/>
      </c>
      <c r="S122" s="92" t="n">
        <v>650</v>
      </c>
      <c r="T122" s="91">
        <f>IF(S122&lt;&gt;"", IF(MOD(S122,10)=0,S122-1,IF(MOD(S122,10)&lt;=5,FLOOR(S122,10)+6,FLOOR(S122,10)+9)), R122)</f>
        <v/>
      </c>
      <c r="U122" s="87" t="inlineStr">
        <is>
          <t>Основний</t>
        </is>
      </c>
      <c r="V122" s="88" t="n"/>
      <c r="W122" s="88" t="n"/>
      <c r="X122" s="89">
        <f>IFERROR(IF(OR(V122="",W122="",T122=""),"", IF(T122&gt;W122,"Дорогий",IF(T122&lt;V122,"Дешевий","У ринку"))),"")</f>
        <v/>
      </c>
      <c r="Y122" s="90" t="n"/>
      <c r="Z122" s="104">
        <f>CHOOSE(MATCH(IF($U122="","Основний",$U122),{"Трафіковий","Основний","Маржинальний","Сезонний","Стратегічний"},0),0.16,0.19,0.24,0.23,0.28)</f>
        <v/>
      </c>
      <c r="AA122" s="104">
        <f>CHOOSE(MATCH(IF($U122="","Основний",$U122),{"Трафіковий","Основний","Маржинальний","Сезонний","Стратегічний"},0),0.18,0.21,0.26,0.25,0.3)</f>
        <v/>
      </c>
      <c r="AB122" s="104">
        <f>CHOOSE(MATCH(IF($U122="","Основний",$U122),{"Трафіковий","Основний","Маржинальний","Сезонний","Стратегічний"},0),0.19,0.22,0.28,0.26,0.32)</f>
        <v/>
      </c>
      <c r="AC122" s="104">
        <f>CHOOSE(MATCH(IF($U122="","Основний",$U122),{"Трафіковий","Основний","Маржинальний","Сезонний","Стратегічний"},0),0.17,0.2,0.25,0.24,0.28)</f>
        <v/>
      </c>
      <c r="AD122" s="104">
        <f>CHOOSE(MATCH(IF($U122="","Основний",$U122),{"Трафіковий","Основний","Маржинальний","Сезонний","Стратегічний"},0),0.18,0.21,0.26,0.25,0.3)</f>
        <v/>
      </c>
      <c r="AE122" s="104">
        <f>CHOOSE(MATCH(IF($U122="","Основний",$U122),{"Трафіковий","Основний","Маржинальний","Сезонний","Стратегічний"},0),0.18,0.2,0.28,0.27,0.32)</f>
        <v/>
      </c>
      <c r="AF122" s="104">
        <f>CHOOSE(MATCH(IF($U122="","Основний",$U122),{"Трафіковий","Основний","Маржинальний","Сезонний","Стратегічний"},0),0.15,0.175,0.22,0.21,0.25)</f>
        <v/>
      </c>
      <c r="AG122" s="104">
        <f>CHOOSE(MATCH(IF($U122="","Основний",$U122),{"Трафіковий","Основний","Маржинальний","Сезонний","Стратегічний"},0),0.13,0.16,0.21,0.2,0.25)</f>
        <v/>
      </c>
      <c r="AH122" s="104">
        <f>CHOOSE(MATCH(IF($U122="","Основний",$U122),{"Трафіковий","Основний","Маржинальний","Сезонний","Стратегічний"},0),0.15,0.18,0.23,0.22,0.27)</f>
        <v/>
      </c>
      <c r="AI122" s="104">
        <f>CHOOSE(MATCH(IF($U122="","Основний",$U122),{"Трафіковий","Основний","Маржинальний","Сезонний","Стратегічний"},0),0.16,0.19,0.25,0.23,0.29)</f>
        <v/>
      </c>
      <c r="AJ122" s="104">
        <f>CHOOSE(MATCH(IF($U122="","Основний",$U122),{"Трафіковий","Основний","Маржинальний","Сезонний","Стратегічний"},0),0.14,0.17,0.22,0.21,0.25)</f>
        <v/>
      </c>
      <c r="AK122" s="104">
        <f>CHOOSE(MATCH(IF($U122="","Основний",$U122),{"Трафіковий","Основний","Маржинальний","Сезонний","Стратегічний"},0),0.15,0.18,0.23,0.22,0.27)</f>
        <v/>
      </c>
      <c r="AL122" s="104">
        <f>CHOOSE(MATCH(IF($U122="","Основний",$U122),{"Трафіковий","Основний","Маржинальний","Сезонний","Стратегічний"},0),0.15,0.17,0.25,0.24,0.29)</f>
        <v/>
      </c>
      <c r="AM122" s="104">
        <f>CHOOSE(MATCH(IF($U122="","Основний",$U122),{"Трафіковий","Основний","Маржинальний","Сезонний","Стратегічний"},0),0.12,0.145,0.19,0.18,0.22)</f>
        <v/>
      </c>
      <c r="AN122" s="157">
        <f>CHOOSE(MATCH(IF($U122="","Основний",$U122),{"Трафіковий","Основний","Маржинальний","Сезонний","Стратегічний"},0),Settings!$B$78,Settings!$B$80,Settings!$B$82,Settings!$B$84,Settings!$B$86)</f>
        <v/>
      </c>
      <c r="AO122" s="157">
        <f>CHOOSE(MATCH(IF($U122="","Основний",$U122),{"Трафіковий","Основний","Маржинальний","Сезонний","Стратегічний"},0),Settings!$C$78,Settings!$C$80,Settings!$C$82,Settings!$C$84,Settings!$C$86)</f>
        <v/>
      </c>
      <c r="AP122" s="157">
        <f>CHOOSE(MATCH(IF($U122="","Основний",$U122),{"Трафіковий","Основний","Маржинальний","Сезонний","Стратегічний"},0),Settings!$D$78,Settings!$D$80,Settings!$D$82,Settings!$D$84,Settings!$D$86)</f>
        <v/>
      </c>
      <c r="AQ122" s="157">
        <f>CHOOSE(MATCH(IF($U122="","Основний",$U122),{"Трафіковий","Основний","Маржинальний","Сезонний","Стратегічний"},0),Settings!$F$78,Settings!$F$80,Settings!$F$82,Settings!$F$84,Settings!$F$86)</f>
        <v/>
      </c>
      <c r="AR122" s="157">
        <f>CHOOSE(MATCH(IF($U122="","Основний",$U122),{"Трафіковий","Основний","Маржинальний","Сезонний","Стратегічний"},0),Settings!$G$78,Settings!$G$80,Settings!$G$82,Settings!$G$84,Settings!$G$86)</f>
        <v/>
      </c>
      <c r="AS122" s="157">
        <f>CHOOSE(MATCH(IF($U122="","Основний",$U122),{"Трафіковий","Основний","Маржинальний","Сезонний","Стратегічний"},0),Settings!$H$78,Settings!$H$80,Settings!$H$82,Settings!$H$84,Settings!$H$86)</f>
        <v/>
      </c>
      <c r="AT122" s="157">
        <f>CHOOSE(MATCH(IF($U122="","Основний",$U122),{"Трафіковий","Основний","Маржинальний","Сезонний","Стратегічний"},0),Settings!$I$78,Settings!$I$80,Settings!$I$82,Settings!$I$84,Settings!$I$86)</f>
        <v/>
      </c>
      <c r="AU122" s="171" t="n"/>
      <c r="AV122" t="n">
        <v>1.35</v>
      </c>
    </row>
    <row r="123">
      <c r="A123" s="33" t="n"/>
      <c r="B123" s="34" t="inlineStr">
        <is>
          <t>G1210</t>
        </is>
      </c>
      <c r="C123" s="34" t="inlineStr">
        <is>
          <t>SENSOR MW W 1200W IP20</t>
        </is>
      </c>
      <c r="D123" s="34" t="inlineStr">
        <is>
          <t>Датчики руху</t>
        </is>
      </c>
      <c r="E123" s="33" t="inlineStr">
        <is>
          <t>PC</t>
        </is>
      </c>
      <c r="F123" s="94" t="n">
        <v>3.764</v>
      </c>
      <c r="G123" s="35" t="n">
        <v>8536508000</v>
      </c>
      <c r="H123" s="31" t="n">
        <v>1.35</v>
      </c>
      <c r="I123" s="84">
        <f>IFERROR(F123*Settings!$B$2*H123*IF(AND(ISNUMBER(E123),E123&gt;1),E123,1),"")</f>
        <v/>
      </c>
      <c r="J123" s="32">
        <f>Settings!$B$66</f>
        <v/>
      </c>
      <c r="K123" s="95">
        <f>IFERROR(IF(T123="","",(T123*(1-AN123)*(1-Settings!$B$17)-I123)/(T123*(1-AN123)*(1-Settings!$B$17))),"")</f>
        <v/>
      </c>
      <c r="L123" s="101">
        <f>IFERROR(IF(T123="","",(T123*(1-AO123)*(1-Settings!$C$17)-I123)/(T123*(1-AO123)*(1-Settings!$C$17))),"")</f>
        <v/>
      </c>
      <c r="M123" s="101">
        <f>IFERROR(IF(T123="","",(T123*(1-AP123)*(1-Settings!$D$17)-I123)/(T123*(1-AP123)*(1-Settings!$D$17))),"")</f>
        <v/>
      </c>
      <c r="N123" s="101">
        <f>IFERROR(IF(T123="","",(T123*(1-AQ123)*(1-Settings!$F$17)-I123)/(T123*(1-AQ123)*(1-Settings!$F$17))),"")</f>
        <v/>
      </c>
      <c r="O123" s="101">
        <f>IFERROR(IF(T123="","",(T123*(1-AR123)*(1-Settings!$G$17)-I123)/(T123*(1-AR123)*(1-Settings!$G$17))),"")</f>
        <v/>
      </c>
      <c r="P123" s="101">
        <f>IFERROR(IF(T123="","",(T123*(1-AS123)*(1-Settings!$H$17)-I123)/(T123*(1-AS123)*(1-Settings!$H$17))),"")</f>
        <v/>
      </c>
      <c r="Q123" s="101">
        <f>IFERROR(IF(T123="","",(T123*(1-AT123)*(1-Settings!$I$68)*(1-Settings!$I$17)-I123)/(T123*(1-AT123)*(1-Settings!$I$68)*(1-Settings!$I$17))),"")</f>
        <v/>
      </c>
      <c r="R123" s="91">
        <f>IFERROR(IF(OR(I123="",Z123&gt;=1,Settings!$B$17&gt;=1,AN123&gt;=1),"",IF(MOD(ROUND(I123/(1-Z123)/(1-Settings!$B$17)/(1-AN123),0),10)=0,ROUND(I123/(1-Z123)/(1-Settings!$B$17)/(1-AN123),0)-1,IF(MOD(ROUND(I123/(1-Z123)/(1-Settings!$B$17)/(1-AN123),0),10)&lt;=5,FLOOR(ROUND(I123/(1-Z123)/(1-Settings!$B$17)/(1-AN123),0),10)+6,FLOOR(ROUND(I123/(1-Z123)/(1-Settings!$B$17)/(1-AN123),0),10)+9))),"")</f>
        <v/>
      </c>
      <c r="S123" s="92" t="n">
        <v>480</v>
      </c>
      <c r="T123" s="91">
        <f>IF(S123&lt;&gt;"", IF(MOD(S123,10)=0,S123-1,IF(MOD(S123,10)&lt;=5,FLOOR(S123,10)+6,FLOOR(S123,10)+9)), R123)</f>
        <v/>
      </c>
      <c r="U123" s="87" t="inlineStr">
        <is>
          <t>Основний</t>
        </is>
      </c>
      <c r="V123" s="88" t="n"/>
      <c r="W123" s="88" t="n"/>
      <c r="X123" s="89">
        <f>IFERROR(IF(OR(V123="",W123="",T123=""),"", IF(T123&gt;W123,"Дорогий",IF(T123&lt;V123,"Дешевий","У ринку"))),"")</f>
        <v/>
      </c>
      <c r="Y123" s="90" t="n"/>
      <c r="Z123" s="104">
        <f>CHOOSE(MATCH(IF($U123="","Основний",$U123),{"Трафіковий","Основний","Маржинальний","Сезонний","Стратегічний"},0),0.16,0.19,0.24,0.23,0.28)</f>
        <v/>
      </c>
      <c r="AA123" s="104">
        <f>CHOOSE(MATCH(IF($U123="","Основний",$U123),{"Трафіковий","Основний","Маржинальний","Сезонний","Стратегічний"},0),0.18,0.21,0.26,0.25,0.3)</f>
        <v/>
      </c>
      <c r="AB123" s="104">
        <f>CHOOSE(MATCH(IF($U123="","Основний",$U123),{"Трафіковий","Основний","Маржинальний","Сезонний","Стратегічний"},0),0.19,0.22,0.28,0.26,0.32)</f>
        <v/>
      </c>
      <c r="AC123" s="104">
        <f>CHOOSE(MATCH(IF($U123="","Основний",$U123),{"Трафіковий","Основний","Маржинальний","Сезонний","Стратегічний"},0),0.17,0.2,0.25,0.24,0.28)</f>
        <v/>
      </c>
      <c r="AD123" s="104">
        <f>CHOOSE(MATCH(IF($U123="","Основний",$U123),{"Трафіковий","Основний","Маржинальний","Сезонний","Стратегічний"},0),0.18,0.21,0.26,0.25,0.3)</f>
        <v/>
      </c>
      <c r="AE123" s="104">
        <f>CHOOSE(MATCH(IF($U123="","Основний",$U123),{"Трафіковий","Основний","Маржинальний","Сезонний","Стратегічний"},0),0.18,0.2,0.28,0.27,0.32)</f>
        <v/>
      </c>
      <c r="AF123" s="104">
        <f>CHOOSE(MATCH(IF($U123="","Основний",$U123),{"Трафіковий","Основний","Маржинальний","Сезонний","Стратегічний"},0),0.15,0.175,0.22,0.21,0.25)</f>
        <v/>
      </c>
      <c r="AG123" s="104">
        <f>CHOOSE(MATCH(IF($U123="","Основний",$U123),{"Трафіковий","Основний","Маржинальний","Сезонний","Стратегічний"},0),0.13,0.16,0.21,0.2,0.25)</f>
        <v/>
      </c>
      <c r="AH123" s="104">
        <f>CHOOSE(MATCH(IF($U123="","Основний",$U123),{"Трафіковий","Основний","Маржинальний","Сезонний","Стратегічний"},0),0.15,0.18,0.23,0.22,0.27)</f>
        <v/>
      </c>
      <c r="AI123" s="104">
        <f>CHOOSE(MATCH(IF($U123="","Основний",$U123),{"Трафіковий","Основний","Маржинальний","Сезонний","Стратегічний"},0),0.16,0.19,0.25,0.23,0.29)</f>
        <v/>
      </c>
      <c r="AJ123" s="104">
        <f>CHOOSE(MATCH(IF($U123="","Основний",$U123),{"Трафіковий","Основний","Маржинальний","Сезонний","Стратегічний"},0),0.14,0.17,0.22,0.21,0.25)</f>
        <v/>
      </c>
      <c r="AK123" s="104">
        <f>CHOOSE(MATCH(IF($U123="","Основний",$U123),{"Трафіковий","Основний","Маржинальний","Сезонний","Стратегічний"},0),0.15,0.18,0.23,0.22,0.27)</f>
        <v/>
      </c>
      <c r="AL123" s="104">
        <f>CHOOSE(MATCH(IF($U123="","Основний",$U123),{"Трафіковий","Основний","Маржинальний","Сезонний","Стратегічний"},0),0.15,0.17,0.25,0.24,0.29)</f>
        <v/>
      </c>
      <c r="AM123" s="104">
        <f>CHOOSE(MATCH(IF($U123="","Основний",$U123),{"Трафіковий","Основний","Маржинальний","Сезонний","Стратегічний"},0),0.12,0.145,0.19,0.18,0.22)</f>
        <v/>
      </c>
      <c r="AN123" s="157">
        <f>CHOOSE(MATCH(IF($U123="","Основний",$U123),{"Трафіковий","Основний","Маржинальний","Сезонний","Стратегічний"},0),Settings!$B$78,Settings!$B$80,Settings!$B$82,Settings!$B$84,Settings!$B$86)</f>
        <v/>
      </c>
      <c r="AO123" s="157">
        <f>CHOOSE(MATCH(IF($U123="","Основний",$U123),{"Трафіковий","Основний","Маржинальний","Сезонний","Стратегічний"},0),Settings!$C$78,Settings!$C$80,Settings!$C$82,Settings!$C$84,Settings!$C$86)</f>
        <v/>
      </c>
      <c r="AP123" s="157">
        <f>CHOOSE(MATCH(IF($U123="","Основний",$U123),{"Трафіковий","Основний","Маржинальний","Сезонний","Стратегічний"},0),Settings!$D$78,Settings!$D$80,Settings!$D$82,Settings!$D$84,Settings!$D$86)</f>
        <v/>
      </c>
      <c r="AQ123" s="157">
        <f>CHOOSE(MATCH(IF($U123="","Основний",$U123),{"Трафіковий","Основний","Маржинальний","Сезонний","Стратегічний"},0),Settings!$F$78,Settings!$F$80,Settings!$F$82,Settings!$F$84,Settings!$F$86)</f>
        <v/>
      </c>
      <c r="AR123" s="157">
        <f>CHOOSE(MATCH(IF($U123="","Основний",$U123),{"Трафіковий","Основний","Маржинальний","Сезонний","Стратегічний"},0),Settings!$G$78,Settings!$G$80,Settings!$G$82,Settings!$G$84,Settings!$G$86)</f>
        <v/>
      </c>
      <c r="AS123" s="157">
        <f>CHOOSE(MATCH(IF($U123="","Основний",$U123),{"Трафіковий","Основний","Маржинальний","Сезонний","Стратегічний"},0),Settings!$H$78,Settings!$H$80,Settings!$H$82,Settings!$H$84,Settings!$H$86)</f>
        <v/>
      </c>
      <c r="AT123" s="157">
        <f>CHOOSE(MATCH(IF($U123="","Основний",$U123),{"Трафіковий","Основний","Маржинальний","Сезонний","Стратегічний"},0),Settings!$I$78,Settings!$I$80,Settings!$I$82,Settings!$I$84,Settings!$I$86)</f>
        <v/>
      </c>
      <c r="AU123" s="171" t="n"/>
      <c r="AV123" t="n">
        <v>1.35</v>
      </c>
    </row>
    <row r="124">
      <c r="A124" s="28" t="inlineStr">
        <is>
          <t>SELL OUT</t>
        </is>
      </c>
      <c r="B124" s="29" t="inlineStr">
        <is>
          <t>G1240</t>
        </is>
      </c>
      <c r="C124" s="29" t="inlineStr">
        <is>
          <t>SENSOR PIR W 1200W IP65</t>
        </is>
      </c>
      <c r="D124" s="29" t="inlineStr">
        <is>
          <t>Датчики руху</t>
        </is>
      </c>
      <c r="E124" s="28" t="inlineStr">
        <is>
          <t>PC</t>
        </is>
      </c>
      <c r="F124" s="93" t="n">
        <v>3.521</v>
      </c>
      <c r="G124" s="30" t="n">
        <v>8536508000</v>
      </c>
      <c r="H124" s="31" t="n">
        <v>1.35</v>
      </c>
      <c r="I124" s="84">
        <f>IFERROR(F124*Settings!$B$2*H124*IF(AND(ISNUMBER(E124),E124&gt;1),E124,1),"")</f>
        <v/>
      </c>
      <c r="J124" s="32">
        <f>Settings!$B$66</f>
        <v/>
      </c>
      <c r="K124" s="95">
        <f>IFERROR(IF(T124="","",(T124*(1-AN124)*(1-Settings!$B$17)-I124)/(T124*(1-AN124)*(1-Settings!$B$17))),"")</f>
        <v/>
      </c>
      <c r="L124" s="101">
        <f>IFERROR(IF(T124="","",(T124*(1-AO124)*(1-Settings!$C$17)-I124)/(T124*(1-AO124)*(1-Settings!$C$17))),"")</f>
        <v/>
      </c>
      <c r="M124" s="101">
        <f>IFERROR(IF(T124="","",(T124*(1-AP124)*(1-Settings!$D$17)-I124)/(T124*(1-AP124)*(1-Settings!$D$17))),"")</f>
        <v/>
      </c>
      <c r="N124" s="101">
        <f>IFERROR(IF(T124="","",(T124*(1-AQ124)*(1-Settings!$F$17)-I124)/(T124*(1-AQ124)*(1-Settings!$F$17))),"")</f>
        <v/>
      </c>
      <c r="O124" s="101">
        <f>IFERROR(IF(T124="","",(T124*(1-AR124)*(1-Settings!$G$17)-I124)/(T124*(1-AR124)*(1-Settings!$G$17))),"")</f>
        <v/>
      </c>
      <c r="P124" s="101">
        <f>IFERROR(IF(T124="","",(T124*(1-AS124)*(1-Settings!$H$17)-I124)/(T124*(1-AS124)*(1-Settings!$H$17))),"")</f>
        <v/>
      </c>
      <c r="Q124" s="101">
        <f>IFERROR(IF(T124="","",(T124*(1-AT124)*(1-Settings!$I$68)*(1-Settings!$I$17)-I124)/(T124*(1-AT124)*(1-Settings!$I$68)*(1-Settings!$I$17))),"")</f>
        <v/>
      </c>
      <c r="R124" s="91">
        <f>IFERROR(IF(OR(I124="",Z124&gt;=1,Settings!$B$17&gt;=1,AN124&gt;=1),"",IF(MOD(ROUND(I124/(1-Z124)/(1-Settings!$B$17)/(1-AN124),0),10)=0,ROUND(I124/(1-Z124)/(1-Settings!$B$17)/(1-AN124),0)-1,IF(MOD(ROUND(I124/(1-Z124)/(1-Settings!$B$17)/(1-AN124),0),10)&lt;=5,FLOOR(ROUND(I124/(1-Z124)/(1-Settings!$B$17)/(1-AN124),0),10)+6,FLOOR(ROUND(I124/(1-Z124)/(1-Settings!$B$17)/(1-AN124),0),10)+9))),"")</f>
        <v/>
      </c>
      <c r="S124" s="92" t="n">
        <v>380</v>
      </c>
      <c r="T124" s="91">
        <f>IF(S124&lt;&gt;"", IF(MOD(S124,10)=0,S124-1,IF(MOD(S124,10)&lt;=5,FLOOR(S124,10)+6,FLOOR(S124,10)+9)), R124)</f>
        <v/>
      </c>
      <c r="U124" s="87" t="inlineStr">
        <is>
          <t>Основний</t>
        </is>
      </c>
      <c r="V124" s="88" t="n"/>
      <c r="W124" s="88" t="n"/>
      <c r="X124" s="89">
        <f>IFERROR(IF(OR(V124="",W124="",T124=""),"", IF(T124&gt;W124,"Дорогий",IF(T124&lt;V124,"Дешевий","У ринку"))),"")</f>
        <v/>
      </c>
      <c r="Y124" s="90" t="n"/>
      <c r="Z124" s="104">
        <f>CHOOSE(MATCH(IF($U124="","Основний",$U124),{"Трафіковий","Основний","Маржинальний","Сезонний","Стратегічний"},0),0.16,0.19,0.24,0.23,0.28)</f>
        <v/>
      </c>
      <c r="AA124" s="104">
        <f>CHOOSE(MATCH(IF($U124="","Основний",$U124),{"Трафіковий","Основний","Маржинальний","Сезонний","Стратегічний"},0),0.18,0.21,0.26,0.25,0.3)</f>
        <v/>
      </c>
      <c r="AB124" s="104">
        <f>CHOOSE(MATCH(IF($U124="","Основний",$U124),{"Трафіковий","Основний","Маржинальний","Сезонний","Стратегічний"},0),0.19,0.22,0.28,0.26,0.32)</f>
        <v/>
      </c>
      <c r="AC124" s="104">
        <f>CHOOSE(MATCH(IF($U124="","Основний",$U124),{"Трафіковий","Основний","Маржинальний","Сезонний","Стратегічний"},0),0.17,0.2,0.25,0.24,0.28)</f>
        <v/>
      </c>
      <c r="AD124" s="104">
        <f>CHOOSE(MATCH(IF($U124="","Основний",$U124),{"Трафіковий","Основний","Маржинальний","Сезонний","Стратегічний"},0),0.18,0.21,0.26,0.25,0.3)</f>
        <v/>
      </c>
      <c r="AE124" s="104">
        <f>CHOOSE(MATCH(IF($U124="","Основний",$U124),{"Трафіковий","Основний","Маржинальний","Сезонний","Стратегічний"},0),0.18,0.2,0.28,0.27,0.32)</f>
        <v/>
      </c>
      <c r="AF124" s="104">
        <f>CHOOSE(MATCH(IF($U124="","Основний",$U124),{"Трафіковий","Основний","Маржинальний","Сезонний","Стратегічний"},0),0.15,0.175,0.22,0.21,0.25)</f>
        <v/>
      </c>
      <c r="AG124" s="104">
        <f>CHOOSE(MATCH(IF($U124="","Основний",$U124),{"Трафіковий","Основний","Маржинальний","Сезонний","Стратегічний"},0),0.13,0.16,0.21,0.2,0.25)</f>
        <v/>
      </c>
      <c r="AH124" s="104">
        <f>CHOOSE(MATCH(IF($U124="","Основний",$U124),{"Трафіковий","Основний","Маржинальний","Сезонний","Стратегічний"},0),0.15,0.18,0.23,0.22,0.27)</f>
        <v/>
      </c>
      <c r="AI124" s="104">
        <f>CHOOSE(MATCH(IF($U124="","Основний",$U124),{"Трафіковий","Основний","Маржинальний","Сезонний","Стратегічний"},0),0.16,0.19,0.25,0.23,0.29)</f>
        <v/>
      </c>
      <c r="AJ124" s="104">
        <f>CHOOSE(MATCH(IF($U124="","Основний",$U124),{"Трафіковий","Основний","Маржинальний","Сезонний","Стратегічний"},0),0.14,0.17,0.22,0.21,0.25)</f>
        <v/>
      </c>
      <c r="AK124" s="104">
        <f>CHOOSE(MATCH(IF($U124="","Основний",$U124),{"Трафіковий","Основний","Маржинальний","Сезонний","Стратегічний"},0),0.15,0.18,0.23,0.22,0.27)</f>
        <v/>
      </c>
      <c r="AL124" s="104">
        <f>CHOOSE(MATCH(IF($U124="","Основний",$U124),{"Трафіковий","Основний","Маржинальний","Сезонний","Стратегічний"},0),0.15,0.17,0.25,0.24,0.29)</f>
        <v/>
      </c>
      <c r="AM124" s="104">
        <f>CHOOSE(MATCH(IF($U124="","Основний",$U124),{"Трафіковий","Основний","Маржинальний","Сезонний","Стратегічний"},0),0.12,0.145,0.19,0.18,0.22)</f>
        <v/>
      </c>
      <c r="AN124" s="157">
        <f>CHOOSE(MATCH(IF($U124="","Основний",$U124),{"Трафіковий","Основний","Маржинальний","Сезонний","Стратегічний"},0),Settings!$B$78,Settings!$B$80,Settings!$B$82,Settings!$B$84,Settings!$B$86)</f>
        <v/>
      </c>
      <c r="AO124" s="157">
        <f>CHOOSE(MATCH(IF($U124="","Основний",$U124),{"Трафіковий","Основний","Маржинальний","Сезонний","Стратегічний"},0),Settings!$C$78,Settings!$C$80,Settings!$C$82,Settings!$C$84,Settings!$C$86)</f>
        <v/>
      </c>
      <c r="AP124" s="157">
        <f>CHOOSE(MATCH(IF($U124="","Основний",$U124),{"Трафіковий","Основний","Маржинальний","Сезонний","Стратегічний"},0),Settings!$D$78,Settings!$D$80,Settings!$D$82,Settings!$D$84,Settings!$D$86)</f>
        <v/>
      </c>
      <c r="AQ124" s="157">
        <f>CHOOSE(MATCH(IF($U124="","Основний",$U124),{"Трафіковий","Основний","Маржинальний","Сезонний","Стратегічний"},0),Settings!$F$78,Settings!$F$80,Settings!$F$82,Settings!$F$84,Settings!$F$86)</f>
        <v/>
      </c>
      <c r="AR124" s="157">
        <f>CHOOSE(MATCH(IF($U124="","Основний",$U124),{"Трафіковий","Основний","Маржинальний","Сезонний","Стратегічний"},0),Settings!$G$78,Settings!$G$80,Settings!$G$82,Settings!$G$84,Settings!$G$86)</f>
        <v/>
      </c>
      <c r="AS124" s="157">
        <f>CHOOSE(MATCH(IF($U124="","Основний",$U124),{"Трафіковий","Основний","Маржинальний","Сезонний","Стратегічний"},0),Settings!$H$78,Settings!$H$80,Settings!$H$82,Settings!$H$84,Settings!$H$86)</f>
        <v/>
      </c>
      <c r="AT124" s="157">
        <f>CHOOSE(MATCH(IF($U124="","Основний",$U124),{"Трафіковий","Основний","Маржинальний","Сезонний","Стратегічний"},0),Settings!$I$78,Settings!$I$80,Settings!$I$82,Settings!$I$84,Settings!$I$86)</f>
        <v/>
      </c>
      <c r="AU124" s="171" t="n"/>
      <c r="AV124" t="n">
        <v>1.35</v>
      </c>
    </row>
    <row r="125">
      <c r="A125" s="33" t="inlineStr">
        <is>
          <t>NEW</t>
        </is>
      </c>
      <c r="B125" s="34" t="inlineStr">
        <is>
          <t>GS12111</t>
        </is>
      </c>
      <c r="C125" s="34" t="inlineStr">
        <is>
          <t>SENSOR PIR W 1200W IP20</t>
        </is>
      </c>
      <c r="D125" s="34" t="inlineStr">
        <is>
          <t>Датчики руху</t>
        </is>
      </c>
      <c r="E125" s="33" t="inlineStr">
        <is>
          <t>PC</t>
        </is>
      </c>
      <c r="F125" s="94" t="n">
        <v>3.092</v>
      </c>
      <c r="G125" s="35" t="n">
        <v>8536508000</v>
      </c>
      <c r="H125" s="31" t="n">
        <v>1.35</v>
      </c>
      <c r="I125" s="84">
        <f>IFERROR(F125*Settings!$B$2*H125*IF(AND(ISNUMBER(E125),E125&gt;1),E125,1),"")</f>
        <v/>
      </c>
      <c r="J125" s="32">
        <f>Settings!$B$66</f>
        <v/>
      </c>
      <c r="K125" s="95">
        <f>IFERROR(IF(T125="","",(T125*(1-AN125)*(1-Settings!$B$17)-I125)/(T125*(1-AN125)*(1-Settings!$B$17))),"")</f>
        <v/>
      </c>
      <c r="L125" s="101">
        <f>IFERROR(IF(T125="","",(T125*(1-AO125)*(1-Settings!$C$17)-I125)/(T125*(1-AO125)*(1-Settings!$C$17))),"")</f>
        <v/>
      </c>
      <c r="M125" s="101">
        <f>IFERROR(IF(T125="","",(T125*(1-AP125)*(1-Settings!$D$17)-I125)/(T125*(1-AP125)*(1-Settings!$D$17))),"")</f>
        <v/>
      </c>
      <c r="N125" s="101">
        <f>IFERROR(IF(T125="","",(T125*(1-AQ125)*(1-Settings!$F$17)-I125)/(T125*(1-AQ125)*(1-Settings!$F$17))),"")</f>
        <v/>
      </c>
      <c r="O125" s="101">
        <f>IFERROR(IF(T125="","",(T125*(1-AR125)*(1-Settings!$G$17)-I125)/(T125*(1-AR125)*(1-Settings!$G$17))),"")</f>
        <v/>
      </c>
      <c r="P125" s="101">
        <f>IFERROR(IF(T125="","",(T125*(1-AS125)*(1-Settings!$H$17)-I125)/(T125*(1-AS125)*(1-Settings!$H$17))),"")</f>
        <v/>
      </c>
      <c r="Q125" s="101">
        <f>IFERROR(IF(T125="","",(T125*(1-AT125)*(1-Settings!$I$68)*(1-Settings!$I$17)-I125)/(T125*(1-AT125)*(1-Settings!$I$68)*(1-Settings!$I$17))),"")</f>
        <v/>
      </c>
      <c r="R125" s="91">
        <f>IFERROR(IF(OR(I125="",Z125&gt;=1,Settings!$B$17&gt;=1,AN125&gt;=1),"",IF(MOD(ROUND(I125/(1-Z125)/(1-Settings!$B$17)/(1-AN125),0),10)=0,ROUND(I125/(1-Z125)/(1-Settings!$B$17)/(1-AN125),0)-1,IF(MOD(ROUND(I125/(1-Z125)/(1-Settings!$B$17)/(1-AN125),0),10)&lt;=5,FLOOR(ROUND(I125/(1-Z125)/(1-Settings!$B$17)/(1-AN125),0),10)+6,FLOOR(ROUND(I125/(1-Z125)/(1-Settings!$B$17)/(1-AN125),0),10)+9))),"")</f>
        <v/>
      </c>
      <c r="S125" s="92" t="n">
        <v>400</v>
      </c>
      <c r="T125" s="91">
        <f>IF(S125&lt;&gt;"", IF(MOD(S125,10)=0,S125-1,IF(MOD(S125,10)&lt;=5,FLOOR(S125,10)+6,FLOOR(S125,10)+9)), R125)</f>
        <v/>
      </c>
      <c r="U125" s="87" t="inlineStr">
        <is>
          <t>Основний</t>
        </is>
      </c>
      <c r="V125" s="88" t="n"/>
      <c r="W125" s="88" t="n"/>
      <c r="X125" s="89">
        <f>IFERROR(IF(OR(V125="",W125="",T125=""),"", IF(T125&gt;W125,"Дорогий",IF(T125&lt;V125,"Дешевий","У ринку"))),"")</f>
        <v/>
      </c>
      <c r="Y125" s="90" t="n"/>
      <c r="Z125" s="104">
        <f>CHOOSE(MATCH(IF($U125="","Основний",$U125),{"Трафіковий","Основний","Маржинальний","Сезонний","Стратегічний"},0),0.16,0.19,0.24,0.23,0.28)</f>
        <v/>
      </c>
      <c r="AA125" s="104">
        <f>CHOOSE(MATCH(IF($U125="","Основний",$U125),{"Трафіковий","Основний","Маржинальний","Сезонний","Стратегічний"},0),0.18,0.21,0.26,0.25,0.3)</f>
        <v/>
      </c>
      <c r="AB125" s="104">
        <f>CHOOSE(MATCH(IF($U125="","Основний",$U125),{"Трафіковий","Основний","Маржинальний","Сезонний","Стратегічний"},0),0.19,0.22,0.28,0.26,0.32)</f>
        <v/>
      </c>
      <c r="AC125" s="104">
        <f>CHOOSE(MATCH(IF($U125="","Основний",$U125),{"Трафіковий","Основний","Маржинальний","Сезонний","Стратегічний"},0),0.17,0.2,0.25,0.24,0.28)</f>
        <v/>
      </c>
      <c r="AD125" s="104">
        <f>CHOOSE(MATCH(IF($U125="","Основний",$U125),{"Трафіковий","Основний","Маржинальний","Сезонний","Стратегічний"},0),0.18,0.21,0.26,0.25,0.3)</f>
        <v/>
      </c>
      <c r="AE125" s="104">
        <f>CHOOSE(MATCH(IF($U125="","Основний",$U125),{"Трафіковий","Основний","Маржинальний","Сезонний","Стратегічний"},0),0.18,0.2,0.28,0.27,0.32)</f>
        <v/>
      </c>
      <c r="AF125" s="104">
        <f>CHOOSE(MATCH(IF($U125="","Основний",$U125),{"Трафіковий","Основний","Маржинальний","Сезонний","Стратегічний"},0),0.15,0.175,0.22,0.21,0.25)</f>
        <v/>
      </c>
      <c r="AG125" s="104">
        <f>CHOOSE(MATCH(IF($U125="","Основний",$U125),{"Трафіковий","Основний","Маржинальний","Сезонний","Стратегічний"},0),0.13,0.16,0.21,0.2,0.25)</f>
        <v/>
      </c>
      <c r="AH125" s="104">
        <f>CHOOSE(MATCH(IF($U125="","Основний",$U125),{"Трафіковий","Основний","Маржинальний","Сезонний","Стратегічний"},0),0.15,0.18,0.23,0.22,0.27)</f>
        <v/>
      </c>
      <c r="AI125" s="104">
        <f>CHOOSE(MATCH(IF($U125="","Основний",$U125),{"Трафіковий","Основний","Маржинальний","Сезонний","Стратегічний"},0),0.16,0.19,0.25,0.23,0.29)</f>
        <v/>
      </c>
      <c r="AJ125" s="104">
        <f>CHOOSE(MATCH(IF($U125="","Основний",$U125),{"Трафіковий","Основний","Маржинальний","Сезонний","Стратегічний"},0),0.14,0.17,0.22,0.21,0.25)</f>
        <v/>
      </c>
      <c r="AK125" s="104">
        <f>CHOOSE(MATCH(IF($U125="","Основний",$U125),{"Трафіковий","Основний","Маржинальний","Сезонний","Стратегічний"},0),0.15,0.18,0.23,0.22,0.27)</f>
        <v/>
      </c>
      <c r="AL125" s="104">
        <f>CHOOSE(MATCH(IF($U125="","Основний",$U125),{"Трафіковий","Основний","Маржинальний","Сезонний","Стратегічний"},0),0.15,0.17,0.25,0.24,0.29)</f>
        <v/>
      </c>
      <c r="AM125" s="104">
        <f>CHOOSE(MATCH(IF($U125="","Основний",$U125),{"Трафіковий","Основний","Маржинальний","Сезонний","Стратегічний"},0),0.12,0.145,0.19,0.18,0.22)</f>
        <v/>
      </c>
      <c r="AN125" s="157">
        <f>CHOOSE(MATCH(IF($U125="","Основний",$U125),{"Трафіковий","Основний","Маржинальний","Сезонний","Стратегічний"},0),Settings!$B$78,Settings!$B$80,Settings!$B$82,Settings!$B$84,Settings!$B$86)</f>
        <v/>
      </c>
      <c r="AO125" s="157">
        <f>CHOOSE(MATCH(IF($U125="","Основний",$U125),{"Трафіковий","Основний","Маржинальний","Сезонний","Стратегічний"},0),Settings!$C$78,Settings!$C$80,Settings!$C$82,Settings!$C$84,Settings!$C$86)</f>
        <v/>
      </c>
      <c r="AP125" s="157">
        <f>CHOOSE(MATCH(IF($U125="","Основний",$U125),{"Трафіковий","Основний","Маржинальний","Сезонний","Стратегічний"},0),Settings!$D$78,Settings!$D$80,Settings!$D$82,Settings!$D$84,Settings!$D$86)</f>
        <v/>
      </c>
      <c r="AQ125" s="157">
        <f>CHOOSE(MATCH(IF($U125="","Основний",$U125),{"Трафіковий","Основний","Маржинальний","Сезонний","Стратегічний"},0),Settings!$F$78,Settings!$F$80,Settings!$F$82,Settings!$F$84,Settings!$F$86)</f>
        <v/>
      </c>
      <c r="AR125" s="157">
        <f>CHOOSE(MATCH(IF($U125="","Основний",$U125),{"Трафіковий","Основний","Маржинальний","Сезонний","Стратегічний"},0),Settings!$G$78,Settings!$G$80,Settings!$G$82,Settings!$G$84,Settings!$G$86)</f>
        <v/>
      </c>
      <c r="AS125" s="157">
        <f>CHOOSE(MATCH(IF($U125="","Основний",$U125),{"Трафіковий","Основний","Маржинальний","Сезонний","Стратегічний"},0),Settings!$H$78,Settings!$H$80,Settings!$H$82,Settings!$H$84,Settings!$H$86)</f>
        <v/>
      </c>
      <c r="AT125" s="157">
        <f>CHOOSE(MATCH(IF($U125="","Основний",$U125),{"Трафіковий","Основний","Маржинальний","Сезонний","Стратегічний"},0),Settings!$I$78,Settings!$I$80,Settings!$I$82,Settings!$I$84,Settings!$I$86)</f>
        <v/>
      </c>
      <c r="AU125" s="171" t="n"/>
      <c r="AV125" t="n">
        <v>1.35</v>
      </c>
    </row>
    <row r="126">
      <c r="A126" s="28" t="inlineStr">
        <is>
          <t>NEW</t>
        </is>
      </c>
      <c r="B126" s="29" t="inlineStr">
        <is>
          <t>GS21111</t>
        </is>
      </c>
      <c r="C126" s="29" t="inlineStr">
        <is>
          <t>SENSOR MW W 2000W IP20</t>
        </is>
      </c>
      <c r="D126" s="29" t="inlineStr">
        <is>
          <t>Датчики руху</t>
        </is>
      </c>
      <c r="E126" s="28" t="inlineStr">
        <is>
          <t>PC</t>
        </is>
      </c>
      <c r="F126" s="93" t="n">
        <v>4.906</v>
      </c>
      <c r="G126" s="30" t="n">
        <v>8536508000</v>
      </c>
      <c r="H126" s="31" t="n">
        <v>1.35</v>
      </c>
      <c r="I126" s="84">
        <f>IFERROR(F126*Settings!$B$2*H126*IF(AND(ISNUMBER(E126),E126&gt;1),E126,1),"")</f>
        <v/>
      </c>
      <c r="J126" s="32">
        <f>Settings!$B$66</f>
        <v/>
      </c>
      <c r="K126" s="95">
        <f>IFERROR(IF(T126="","",(T126*(1-AN126)*(1-Settings!$B$17)-I126)/(T126*(1-AN126)*(1-Settings!$B$17))),"")</f>
        <v/>
      </c>
      <c r="L126" s="101">
        <f>IFERROR(IF(T126="","",(T126*(1-AO126)*(1-Settings!$C$17)-I126)/(T126*(1-AO126)*(1-Settings!$C$17))),"")</f>
        <v/>
      </c>
      <c r="M126" s="101">
        <f>IFERROR(IF(T126="","",(T126*(1-AP126)*(1-Settings!$D$17)-I126)/(T126*(1-AP126)*(1-Settings!$D$17))),"")</f>
        <v/>
      </c>
      <c r="N126" s="101">
        <f>IFERROR(IF(T126="","",(T126*(1-AQ126)*(1-Settings!$F$17)-I126)/(T126*(1-AQ126)*(1-Settings!$F$17))),"")</f>
        <v/>
      </c>
      <c r="O126" s="101">
        <f>IFERROR(IF(T126="","",(T126*(1-AR126)*(1-Settings!$G$17)-I126)/(T126*(1-AR126)*(1-Settings!$G$17))),"")</f>
        <v/>
      </c>
      <c r="P126" s="101">
        <f>IFERROR(IF(T126="","",(T126*(1-AS126)*(1-Settings!$H$17)-I126)/(T126*(1-AS126)*(1-Settings!$H$17))),"")</f>
        <v/>
      </c>
      <c r="Q126" s="101">
        <f>IFERROR(IF(T126="","",(T126*(1-AT126)*(1-Settings!$I$68)*(1-Settings!$I$17)-I126)/(T126*(1-AT126)*(1-Settings!$I$68)*(1-Settings!$I$17))),"")</f>
        <v/>
      </c>
      <c r="R126" s="91">
        <f>IFERROR(IF(OR(I126="",Z126&gt;=1,Settings!$B$17&gt;=1,AN126&gt;=1),"",IF(MOD(ROUND(I126/(1-Z126)/(1-Settings!$B$17)/(1-AN126),0),10)=0,ROUND(I126/(1-Z126)/(1-Settings!$B$17)/(1-AN126),0)-1,IF(MOD(ROUND(I126/(1-Z126)/(1-Settings!$B$17)/(1-AN126),0),10)&lt;=5,FLOOR(ROUND(I126/(1-Z126)/(1-Settings!$B$17)/(1-AN126),0),10)+6,FLOOR(ROUND(I126/(1-Z126)/(1-Settings!$B$17)/(1-AN126),0),10)+9))),"")</f>
        <v/>
      </c>
      <c r="S126" s="92" t="n">
        <v>630</v>
      </c>
      <c r="T126" s="91">
        <f>IF(S126&lt;&gt;"", IF(MOD(S126,10)=0,S126-1,IF(MOD(S126,10)&lt;=5,FLOOR(S126,10)+6,FLOOR(S126,10)+9)), R126)</f>
        <v/>
      </c>
      <c r="U126" s="87" t="inlineStr">
        <is>
          <t>Основний</t>
        </is>
      </c>
      <c r="V126" s="88" t="n"/>
      <c r="W126" s="88" t="n"/>
      <c r="X126" s="89">
        <f>IFERROR(IF(OR(V126="",W126="",T126=""),"", IF(T126&gt;W126,"Дорогий",IF(T126&lt;V126,"Дешевий","У ринку"))),"")</f>
        <v/>
      </c>
      <c r="Y126" s="90" t="n"/>
      <c r="Z126" s="104">
        <f>CHOOSE(MATCH(IF($U126="","Основний",$U126),{"Трафіковий","Основний","Маржинальний","Сезонний","Стратегічний"},0),0.16,0.19,0.24,0.23,0.28)</f>
        <v/>
      </c>
      <c r="AA126" s="104">
        <f>CHOOSE(MATCH(IF($U126="","Основний",$U126),{"Трафіковий","Основний","Маржинальний","Сезонний","Стратегічний"},0),0.18,0.21,0.26,0.25,0.3)</f>
        <v/>
      </c>
      <c r="AB126" s="104">
        <f>CHOOSE(MATCH(IF($U126="","Основний",$U126),{"Трафіковий","Основний","Маржинальний","Сезонний","Стратегічний"},0),0.19,0.22,0.28,0.26,0.32)</f>
        <v/>
      </c>
      <c r="AC126" s="104">
        <f>CHOOSE(MATCH(IF($U126="","Основний",$U126),{"Трафіковий","Основний","Маржинальний","Сезонний","Стратегічний"},0),0.17,0.2,0.25,0.24,0.28)</f>
        <v/>
      </c>
      <c r="AD126" s="104">
        <f>CHOOSE(MATCH(IF($U126="","Основний",$U126),{"Трафіковий","Основний","Маржинальний","Сезонний","Стратегічний"},0),0.18,0.21,0.26,0.25,0.3)</f>
        <v/>
      </c>
      <c r="AE126" s="104">
        <f>CHOOSE(MATCH(IF($U126="","Основний",$U126),{"Трафіковий","Основний","Маржинальний","Сезонний","Стратегічний"},0),0.18,0.2,0.28,0.27,0.32)</f>
        <v/>
      </c>
      <c r="AF126" s="104">
        <f>CHOOSE(MATCH(IF($U126="","Основний",$U126),{"Трафіковий","Основний","Маржинальний","Сезонний","Стратегічний"},0),0.15,0.175,0.22,0.21,0.25)</f>
        <v/>
      </c>
      <c r="AG126" s="104">
        <f>CHOOSE(MATCH(IF($U126="","Основний",$U126),{"Трафіковий","Основний","Маржинальний","Сезонний","Стратегічний"},0),0.13,0.16,0.21,0.2,0.25)</f>
        <v/>
      </c>
      <c r="AH126" s="104">
        <f>CHOOSE(MATCH(IF($U126="","Основний",$U126),{"Трафіковий","Основний","Маржинальний","Сезонний","Стратегічний"},0),0.15,0.18,0.23,0.22,0.27)</f>
        <v/>
      </c>
      <c r="AI126" s="104">
        <f>CHOOSE(MATCH(IF($U126="","Основний",$U126),{"Трафіковий","Основний","Маржинальний","Сезонний","Стратегічний"},0),0.16,0.19,0.25,0.23,0.29)</f>
        <v/>
      </c>
      <c r="AJ126" s="104">
        <f>CHOOSE(MATCH(IF($U126="","Основний",$U126),{"Трафіковий","Основний","Маржинальний","Сезонний","Стратегічний"},0),0.14,0.17,0.22,0.21,0.25)</f>
        <v/>
      </c>
      <c r="AK126" s="104">
        <f>CHOOSE(MATCH(IF($U126="","Основний",$U126),{"Трафіковий","Основний","Маржинальний","Сезонний","Стратегічний"},0),0.15,0.18,0.23,0.22,0.27)</f>
        <v/>
      </c>
      <c r="AL126" s="104">
        <f>CHOOSE(MATCH(IF($U126="","Основний",$U126),{"Трафіковий","Основний","Маржинальний","Сезонний","Стратегічний"},0),0.15,0.17,0.25,0.24,0.29)</f>
        <v/>
      </c>
      <c r="AM126" s="104">
        <f>CHOOSE(MATCH(IF($U126="","Основний",$U126),{"Трафіковий","Основний","Маржинальний","Сезонний","Стратегічний"},0),0.12,0.145,0.19,0.18,0.22)</f>
        <v/>
      </c>
      <c r="AN126" s="157">
        <f>CHOOSE(MATCH(IF($U126="","Основний",$U126),{"Трафіковий","Основний","Маржинальний","Сезонний","Стратегічний"},0),Settings!$B$78,Settings!$B$80,Settings!$B$82,Settings!$B$84,Settings!$B$86)</f>
        <v/>
      </c>
      <c r="AO126" s="157">
        <f>CHOOSE(MATCH(IF($U126="","Основний",$U126),{"Трафіковий","Основний","Маржинальний","Сезонний","Стратегічний"},0),Settings!$C$78,Settings!$C$80,Settings!$C$82,Settings!$C$84,Settings!$C$86)</f>
        <v/>
      </c>
      <c r="AP126" s="157">
        <f>CHOOSE(MATCH(IF($U126="","Основний",$U126),{"Трафіковий","Основний","Маржинальний","Сезонний","Стратегічний"},0),Settings!$D$78,Settings!$D$80,Settings!$D$82,Settings!$D$84,Settings!$D$86)</f>
        <v/>
      </c>
      <c r="AQ126" s="157">
        <f>CHOOSE(MATCH(IF($U126="","Основний",$U126),{"Трафіковий","Основний","Маржинальний","Сезонний","Стратегічний"},0),Settings!$F$78,Settings!$F$80,Settings!$F$82,Settings!$F$84,Settings!$F$86)</f>
        <v/>
      </c>
      <c r="AR126" s="157">
        <f>CHOOSE(MATCH(IF($U126="","Основний",$U126),{"Трафіковий","Основний","Маржинальний","Сезонний","Стратегічний"},0),Settings!$G$78,Settings!$G$80,Settings!$G$82,Settings!$G$84,Settings!$G$86)</f>
        <v/>
      </c>
      <c r="AS126" s="157">
        <f>CHOOSE(MATCH(IF($U126="","Основний",$U126),{"Трафіковий","Основний","Маржинальний","Сезонний","Стратегічний"},0),Settings!$H$78,Settings!$H$80,Settings!$H$82,Settings!$H$84,Settings!$H$86)</f>
        <v/>
      </c>
      <c r="AT126" s="157">
        <f>CHOOSE(MATCH(IF($U126="","Основний",$U126),{"Трафіковий","Основний","Маржинальний","Сезонний","Стратегічний"},0),Settings!$I$78,Settings!$I$80,Settings!$I$82,Settings!$I$84,Settings!$I$86)</f>
        <v/>
      </c>
      <c r="AU126" s="171" t="n"/>
      <c r="AV126" t="n">
        <v>1.35</v>
      </c>
    </row>
    <row r="127">
      <c r="A127" s="33" t="inlineStr">
        <is>
          <t>NEW</t>
        </is>
      </c>
      <c r="B127" s="34" t="inlineStr">
        <is>
          <t>ZG151S</t>
        </is>
      </c>
      <c r="C127" s="34" t="inlineStr">
        <is>
          <t>LED SOLAR LUMINAIRE LUNIS 220LM IP65 NW</t>
        </is>
      </c>
      <c r="D127" s="34" t="inlineStr">
        <is>
          <t>Світильники та прожектори на соняній батареї</t>
        </is>
      </c>
      <c r="E127" s="33" t="inlineStr">
        <is>
          <t>PC</t>
        </is>
      </c>
      <c r="F127" s="94" t="n">
        <v>5.627</v>
      </c>
      <c r="G127" s="35" t="n">
        <v>9405413100</v>
      </c>
      <c r="H127" s="31" t="n">
        <v>1.35</v>
      </c>
      <c r="I127" s="84">
        <f>IFERROR(F127*Settings!$B$2*H127*IF(AND(ISNUMBER(E127),E127&gt;1),E127,1),"")</f>
        <v/>
      </c>
      <c r="J127" s="32">
        <f>Settings!$B$66</f>
        <v/>
      </c>
      <c r="K127" s="95">
        <f>IFERROR(IF(T127="","",(T127*(1-AN127)*(1-Settings!$B$17)-I127)/(T127*(1-AN127)*(1-Settings!$B$17))),"")</f>
        <v/>
      </c>
      <c r="L127" s="101">
        <f>IFERROR(IF(T127="","",(T127*(1-AO127)*(1-Settings!$C$17)-I127)/(T127*(1-AO127)*(1-Settings!$C$17))),"")</f>
        <v/>
      </c>
      <c r="M127" s="101">
        <f>IFERROR(IF(T127="","",(T127*(1-AP127)*(1-Settings!$D$17)-I127)/(T127*(1-AP127)*(1-Settings!$D$17))),"")</f>
        <v/>
      </c>
      <c r="N127" s="101">
        <f>IFERROR(IF(T127="","",(T127*(1-AQ127)*(1-Settings!$F$17)-I127)/(T127*(1-AQ127)*(1-Settings!$F$17))),"")</f>
        <v/>
      </c>
      <c r="O127" s="101">
        <f>IFERROR(IF(T127="","",(T127*(1-AR127)*(1-Settings!$G$17)-I127)/(T127*(1-AR127)*(1-Settings!$G$17))),"")</f>
        <v/>
      </c>
      <c r="P127" s="101">
        <f>IFERROR(IF(T127="","",(T127*(1-AS127)*(1-Settings!$H$17)-I127)/(T127*(1-AS127)*(1-Settings!$H$17))),"")</f>
        <v/>
      </c>
      <c r="Q127" s="101">
        <f>IFERROR(IF(T127="","",(T127*(1-AT127)*(1-Settings!$I$68)*(1-Settings!$I$17)-I127)/(T127*(1-AT127)*(1-Settings!$I$68)*(1-Settings!$I$17))),"")</f>
        <v/>
      </c>
      <c r="R127" s="91">
        <f>IFERROR(IF(OR(I127="",Z127&gt;=1,Settings!$B$17&gt;=1,AN127&gt;=1),"",IF(MOD(ROUND(I127/(1-Z127)/(1-Settings!$B$17)/(1-AN127),0),10)=0,ROUND(I127/(1-Z127)/(1-Settings!$B$17)/(1-AN127),0)-1,IF(MOD(ROUND(I127/(1-Z127)/(1-Settings!$B$17)/(1-AN127),0),10)&lt;=5,FLOOR(ROUND(I127/(1-Z127)/(1-Settings!$B$17)/(1-AN127),0),10)+6,FLOOR(ROUND(I127/(1-Z127)/(1-Settings!$B$17)/(1-AN127),0),10)+9))),"")</f>
        <v/>
      </c>
      <c r="S127" s="92" t="n">
        <v>680</v>
      </c>
      <c r="T127" s="91">
        <f>IF(S127&lt;&gt;"", IF(MOD(S127,10)=0,S127-1,IF(MOD(S127,10)&lt;=5,FLOOR(S127,10)+6,FLOOR(S127,10)+9)), R127)</f>
        <v/>
      </c>
      <c r="U127" s="87" t="inlineStr">
        <is>
          <t>Основний</t>
        </is>
      </c>
      <c r="V127" s="88" t="n"/>
      <c r="W127" s="88" t="n"/>
      <c r="X127" s="89">
        <f>IFERROR(IF(OR(V127="",W127="",T127=""),"", IF(T127&gt;W127,"Дорогий",IF(T127&lt;V127,"Дешевий","У ринку"))),"")</f>
        <v/>
      </c>
      <c r="Y127" s="90" t="n"/>
      <c r="Z127" s="104">
        <f>CHOOSE(MATCH(IF($U127="","Основний",$U127),{"Трафіковий","Основний","Маржинальний","Сезонний","Стратегічний"},0),0.16,0.19,0.24,0.23,0.28)</f>
        <v/>
      </c>
      <c r="AA127" s="104">
        <f>CHOOSE(MATCH(IF($U127="","Основний",$U127),{"Трафіковий","Основний","Маржинальний","Сезонний","Стратегічний"},0),0.18,0.21,0.26,0.25,0.3)</f>
        <v/>
      </c>
      <c r="AB127" s="104">
        <f>CHOOSE(MATCH(IF($U127="","Основний",$U127),{"Трафіковий","Основний","Маржинальний","Сезонний","Стратегічний"},0),0.19,0.22,0.28,0.26,0.32)</f>
        <v/>
      </c>
      <c r="AC127" s="104">
        <f>CHOOSE(MATCH(IF($U127="","Основний",$U127),{"Трафіковий","Основний","Маржинальний","Сезонний","Стратегічний"},0),0.17,0.2,0.25,0.24,0.28)</f>
        <v/>
      </c>
      <c r="AD127" s="104">
        <f>CHOOSE(MATCH(IF($U127="","Основний",$U127),{"Трафіковий","Основний","Маржинальний","Сезонний","Стратегічний"},0),0.18,0.21,0.26,0.25,0.3)</f>
        <v/>
      </c>
      <c r="AE127" s="104">
        <f>CHOOSE(MATCH(IF($U127="","Основний",$U127),{"Трафіковий","Основний","Маржинальний","Сезонний","Стратегічний"},0),0.18,0.2,0.28,0.27,0.32)</f>
        <v/>
      </c>
      <c r="AF127" s="104">
        <f>CHOOSE(MATCH(IF($U127="","Основний",$U127),{"Трафіковий","Основний","Маржинальний","Сезонний","Стратегічний"},0),0.15,0.175,0.22,0.21,0.25)</f>
        <v/>
      </c>
      <c r="AG127" s="104">
        <f>CHOOSE(MATCH(IF($U127="","Основний",$U127),{"Трафіковий","Основний","Маржинальний","Сезонний","Стратегічний"},0),0.13,0.16,0.21,0.2,0.25)</f>
        <v/>
      </c>
      <c r="AH127" s="104">
        <f>CHOOSE(MATCH(IF($U127="","Основний",$U127),{"Трафіковий","Основний","Маржинальний","Сезонний","Стратегічний"},0),0.15,0.18,0.23,0.22,0.27)</f>
        <v/>
      </c>
      <c r="AI127" s="104">
        <f>CHOOSE(MATCH(IF($U127="","Основний",$U127),{"Трафіковий","Основний","Маржинальний","Сезонний","Стратегічний"},0),0.16,0.19,0.25,0.23,0.29)</f>
        <v/>
      </c>
      <c r="AJ127" s="104">
        <f>CHOOSE(MATCH(IF($U127="","Основний",$U127),{"Трафіковий","Основний","Маржинальний","Сезонний","Стратегічний"},0),0.14,0.17,0.22,0.21,0.25)</f>
        <v/>
      </c>
      <c r="AK127" s="104">
        <f>CHOOSE(MATCH(IF($U127="","Основний",$U127),{"Трафіковий","Основний","Маржинальний","Сезонний","Стратегічний"},0),0.15,0.18,0.23,0.22,0.27)</f>
        <v/>
      </c>
      <c r="AL127" s="104">
        <f>CHOOSE(MATCH(IF($U127="","Основний",$U127),{"Трафіковий","Основний","Маржинальний","Сезонний","Стратегічний"},0),0.15,0.17,0.25,0.24,0.29)</f>
        <v/>
      </c>
      <c r="AM127" s="104">
        <f>CHOOSE(MATCH(IF($U127="","Основний",$U127),{"Трафіковий","Основний","Маржинальний","Сезонний","Стратегічний"},0),0.12,0.145,0.19,0.18,0.22)</f>
        <v/>
      </c>
      <c r="AN127" s="157">
        <f>CHOOSE(MATCH(IF($U127="","Основний",$U127),{"Трафіковий","Основний","Маржинальний","Сезонний","Стратегічний"},0),Settings!$B$78,Settings!$B$80,Settings!$B$82,Settings!$B$84,Settings!$B$86)</f>
        <v/>
      </c>
      <c r="AO127" s="157">
        <f>CHOOSE(MATCH(IF($U127="","Основний",$U127),{"Трафіковий","Основний","Маржинальний","Сезонний","Стратегічний"},0),Settings!$C$78,Settings!$C$80,Settings!$C$82,Settings!$C$84,Settings!$C$86)</f>
        <v/>
      </c>
      <c r="AP127" s="157">
        <f>CHOOSE(MATCH(IF($U127="","Основний",$U127),{"Трафіковий","Основний","Маржинальний","Сезонний","Стратегічний"},0),Settings!$D$78,Settings!$D$80,Settings!$D$82,Settings!$D$84,Settings!$D$86)</f>
        <v/>
      </c>
      <c r="AQ127" s="157">
        <f>CHOOSE(MATCH(IF($U127="","Основний",$U127),{"Трафіковий","Основний","Маржинальний","Сезонний","Стратегічний"},0),Settings!$F$78,Settings!$F$80,Settings!$F$82,Settings!$F$84,Settings!$F$86)</f>
        <v/>
      </c>
      <c r="AR127" s="157">
        <f>CHOOSE(MATCH(IF($U127="","Основний",$U127),{"Трафіковий","Основний","Маржинальний","Сезонний","Стратегічний"},0),Settings!$G$78,Settings!$G$80,Settings!$G$82,Settings!$G$84,Settings!$G$86)</f>
        <v/>
      </c>
      <c r="AS127" s="157">
        <f>CHOOSE(MATCH(IF($U127="","Основний",$U127),{"Трафіковий","Основний","Маржинальний","Сезонний","Стратегічний"},0),Settings!$H$78,Settings!$H$80,Settings!$H$82,Settings!$H$84,Settings!$H$86)</f>
        <v/>
      </c>
      <c r="AT127" s="157">
        <f>CHOOSE(MATCH(IF($U127="","Основний",$U127),{"Трафіковий","Основний","Маржинальний","Сезонний","Стратегічний"},0),Settings!$I$78,Settings!$I$80,Settings!$I$82,Settings!$I$84,Settings!$I$86)</f>
        <v/>
      </c>
      <c r="AU127" s="171" t="n"/>
      <c r="AV127" t="n">
        <v>1.35</v>
      </c>
    </row>
    <row r="128">
      <c r="A128" s="28" t="inlineStr">
        <is>
          <t>NEW</t>
        </is>
      </c>
      <c r="B128" s="29" t="inlineStr">
        <is>
          <t>ZG161S</t>
        </is>
      </c>
      <c r="C128" s="29" t="inlineStr">
        <is>
          <t>LED SOLAR LUMINAIRE BRIXO 350LM IP65 NW WHITE</t>
        </is>
      </c>
      <c r="D128" s="29" t="inlineStr">
        <is>
          <t>Світильники та прожектори на соняній батареї</t>
        </is>
      </c>
      <c r="E128" s="28" t="inlineStr">
        <is>
          <t>PC</t>
        </is>
      </c>
      <c r="F128" s="93" t="n">
        <v>6.545</v>
      </c>
      <c r="G128" s="30" t="n">
        <v>9405413100</v>
      </c>
      <c r="H128" s="31" t="n">
        <v>1.35</v>
      </c>
      <c r="I128" s="84">
        <f>IFERROR(F128*Settings!$B$2*H128*IF(AND(ISNUMBER(E128),E128&gt;1),E128,1),"")</f>
        <v/>
      </c>
      <c r="J128" s="32">
        <f>Settings!$B$66</f>
        <v/>
      </c>
      <c r="K128" s="95">
        <f>IFERROR(IF(T128="","",(T128*(1-AN128)*(1-Settings!$B$17)-I128)/(T128*(1-AN128)*(1-Settings!$B$17))),"")</f>
        <v/>
      </c>
      <c r="L128" s="101">
        <f>IFERROR(IF(T128="","",(T128*(1-AO128)*(1-Settings!$C$17)-I128)/(T128*(1-AO128)*(1-Settings!$C$17))),"")</f>
        <v/>
      </c>
      <c r="M128" s="101">
        <f>IFERROR(IF(T128="","",(T128*(1-AP128)*(1-Settings!$D$17)-I128)/(T128*(1-AP128)*(1-Settings!$D$17))),"")</f>
        <v/>
      </c>
      <c r="N128" s="101">
        <f>IFERROR(IF(T128="","",(T128*(1-AQ128)*(1-Settings!$F$17)-I128)/(T128*(1-AQ128)*(1-Settings!$F$17))),"")</f>
        <v/>
      </c>
      <c r="O128" s="101">
        <f>IFERROR(IF(T128="","",(T128*(1-AR128)*(1-Settings!$G$17)-I128)/(T128*(1-AR128)*(1-Settings!$G$17))),"")</f>
        <v/>
      </c>
      <c r="P128" s="101">
        <f>IFERROR(IF(T128="","",(T128*(1-AS128)*(1-Settings!$H$17)-I128)/(T128*(1-AS128)*(1-Settings!$H$17))),"")</f>
        <v/>
      </c>
      <c r="Q128" s="101">
        <f>IFERROR(IF(T128="","",(T128*(1-AT128)*(1-Settings!$I$68)*(1-Settings!$I$17)-I128)/(T128*(1-AT128)*(1-Settings!$I$68)*(1-Settings!$I$17))),"")</f>
        <v/>
      </c>
      <c r="R128" s="91">
        <f>IFERROR(IF(OR(I128="",Z128&gt;=1,Settings!$B$17&gt;=1,AN128&gt;=1),"",IF(MOD(ROUND(I128/(1-Z128)/(1-Settings!$B$17)/(1-AN128),0),10)=0,ROUND(I128/(1-Z128)/(1-Settings!$B$17)/(1-AN128),0)-1,IF(MOD(ROUND(I128/(1-Z128)/(1-Settings!$B$17)/(1-AN128),0),10)&lt;=5,FLOOR(ROUND(I128/(1-Z128)/(1-Settings!$B$17)/(1-AN128),0),10)+6,FLOOR(ROUND(I128/(1-Z128)/(1-Settings!$B$17)/(1-AN128),0),10)+9))),"")</f>
        <v/>
      </c>
      <c r="S128" s="92" t="n">
        <v>800</v>
      </c>
      <c r="T128" s="91">
        <f>IF(S128&lt;&gt;"", IF(MOD(S128,10)=0,S128-1,IF(MOD(S128,10)&lt;=5,FLOOR(S128,10)+6,FLOOR(S128,10)+9)), R128)</f>
        <v/>
      </c>
      <c r="U128" s="87" t="inlineStr">
        <is>
          <t>Основний</t>
        </is>
      </c>
      <c r="V128" s="88" t="n"/>
      <c r="W128" s="88" t="n"/>
      <c r="X128" s="89">
        <f>IFERROR(IF(OR(V128="",W128="",T128=""),"", IF(T128&gt;W128,"Дорогий",IF(T128&lt;V128,"Дешевий","У ринку"))),"")</f>
        <v/>
      </c>
      <c r="Y128" s="90" t="n"/>
      <c r="Z128" s="104">
        <f>CHOOSE(MATCH(IF($U128="","Основний",$U128),{"Трафіковий","Основний","Маржинальний","Сезонний","Стратегічний"},0),0.16,0.19,0.24,0.23,0.28)</f>
        <v/>
      </c>
      <c r="AA128" s="104">
        <f>CHOOSE(MATCH(IF($U128="","Основний",$U128),{"Трафіковий","Основний","Маржинальний","Сезонний","Стратегічний"},0),0.18,0.21,0.26,0.25,0.3)</f>
        <v/>
      </c>
      <c r="AB128" s="104">
        <f>CHOOSE(MATCH(IF($U128="","Основний",$U128),{"Трафіковий","Основний","Маржинальний","Сезонний","Стратегічний"},0),0.19,0.22,0.28,0.26,0.32)</f>
        <v/>
      </c>
      <c r="AC128" s="104">
        <f>CHOOSE(MATCH(IF($U128="","Основний",$U128),{"Трафіковий","Основний","Маржинальний","Сезонний","Стратегічний"},0),0.17,0.2,0.25,0.24,0.28)</f>
        <v/>
      </c>
      <c r="AD128" s="104">
        <f>CHOOSE(MATCH(IF($U128="","Основний",$U128),{"Трафіковий","Основний","Маржинальний","Сезонний","Стратегічний"},0),0.18,0.21,0.26,0.25,0.3)</f>
        <v/>
      </c>
      <c r="AE128" s="104">
        <f>CHOOSE(MATCH(IF($U128="","Основний",$U128),{"Трафіковий","Основний","Маржинальний","Сезонний","Стратегічний"},0),0.18,0.2,0.28,0.27,0.32)</f>
        <v/>
      </c>
      <c r="AF128" s="104">
        <f>CHOOSE(MATCH(IF($U128="","Основний",$U128),{"Трафіковий","Основний","Маржинальний","Сезонний","Стратегічний"},0),0.15,0.175,0.22,0.21,0.25)</f>
        <v/>
      </c>
      <c r="AG128" s="104">
        <f>CHOOSE(MATCH(IF($U128="","Основний",$U128),{"Трафіковий","Основний","Маржинальний","Сезонний","Стратегічний"},0),0.13,0.16,0.21,0.2,0.25)</f>
        <v/>
      </c>
      <c r="AH128" s="104">
        <f>CHOOSE(MATCH(IF($U128="","Основний",$U128),{"Трафіковий","Основний","Маржинальний","Сезонний","Стратегічний"},0),0.15,0.18,0.23,0.22,0.27)</f>
        <v/>
      </c>
      <c r="AI128" s="104">
        <f>CHOOSE(MATCH(IF($U128="","Основний",$U128),{"Трафіковий","Основний","Маржинальний","Сезонний","Стратегічний"},0),0.16,0.19,0.25,0.23,0.29)</f>
        <v/>
      </c>
      <c r="AJ128" s="104">
        <f>CHOOSE(MATCH(IF($U128="","Основний",$U128),{"Трафіковий","Основний","Маржинальний","Сезонний","Стратегічний"},0),0.14,0.17,0.22,0.21,0.25)</f>
        <v/>
      </c>
      <c r="AK128" s="104">
        <f>CHOOSE(MATCH(IF($U128="","Основний",$U128),{"Трафіковий","Основний","Маржинальний","Сезонний","Стратегічний"},0),0.15,0.18,0.23,0.22,0.27)</f>
        <v/>
      </c>
      <c r="AL128" s="104">
        <f>CHOOSE(MATCH(IF($U128="","Основний",$U128),{"Трафіковий","Основний","Маржинальний","Сезонний","Стратегічний"},0),0.15,0.17,0.25,0.24,0.29)</f>
        <v/>
      </c>
      <c r="AM128" s="104">
        <f>CHOOSE(MATCH(IF($U128="","Основний",$U128),{"Трафіковий","Основний","Маржинальний","Сезонний","Стратегічний"},0),0.12,0.145,0.19,0.18,0.22)</f>
        <v/>
      </c>
      <c r="AN128" s="157">
        <f>CHOOSE(MATCH(IF($U128="","Основний",$U128),{"Трафіковий","Основний","Маржинальний","Сезонний","Стратегічний"},0),Settings!$B$78,Settings!$B$80,Settings!$B$82,Settings!$B$84,Settings!$B$86)</f>
        <v/>
      </c>
      <c r="AO128" s="157">
        <f>CHOOSE(MATCH(IF($U128="","Основний",$U128),{"Трафіковий","Основний","Маржинальний","Сезонний","Стратегічний"},0),Settings!$C$78,Settings!$C$80,Settings!$C$82,Settings!$C$84,Settings!$C$86)</f>
        <v/>
      </c>
      <c r="AP128" s="157">
        <f>CHOOSE(MATCH(IF($U128="","Основний",$U128),{"Трафіковий","Основний","Маржинальний","Сезонний","Стратегічний"},0),Settings!$D$78,Settings!$D$80,Settings!$D$82,Settings!$D$84,Settings!$D$86)</f>
        <v/>
      </c>
      <c r="AQ128" s="157">
        <f>CHOOSE(MATCH(IF($U128="","Основний",$U128),{"Трафіковий","Основний","Маржинальний","Сезонний","Стратегічний"},0),Settings!$F$78,Settings!$F$80,Settings!$F$82,Settings!$F$84,Settings!$F$86)</f>
        <v/>
      </c>
      <c r="AR128" s="157">
        <f>CHOOSE(MATCH(IF($U128="","Основний",$U128),{"Трафіковий","Основний","Маржинальний","Сезонний","Стратегічний"},0),Settings!$G$78,Settings!$G$80,Settings!$G$82,Settings!$G$84,Settings!$G$86)</f>
        <v/>
      </c>
      <c r="AS128" s="157">
        <f>CHOOSE(MATCH(IF($U128="","Основний",$U128),{"Трафіковий","Основний","Маржинальний","Сезонний","Стратегічний"},0),Settings!$H$78,Settings!$H$80,Settings!$H$82,Settings!$H$84,Settings!$H$86)</f>
        <v/>
      </c>
      <c r="AT128" s="157">
        <f>CHOOSE(MATCH(IF($U128="","Основний",$U128),{"Трафіковий","Основний","Маржинальний","Сезонний","Стратегічний"},0),Settings!$I$78,Settings!$I$80,Settings!$I$82,Settings!$I$84,Settings!$I$86)</f>
        <v/>
      </c>
      <c r="AU128" s="171" t="n"/>
      <c r="AV128" t="n">
        <v>1.35</v>
      </c>
    </row>
    <row r="129">
      <c r="A129" s="33" t="inlineStr">
        <is>
          <t>NEW</t>
        </is>
      </c>
      <c r="B129" s="34" t="inlineStr">
        <is>
          <t>ZG162S</t>
        </is>
      </c>
      <c r="C129" s="34" t="inlineStr">
        <is>
          <t>LED SOLAR LUMINAIRE BRIXO 350LM IP65 NW black</t>
        </is>
      </c>
      <c r="D129" s="34" t="inlineStr">
        <is>
          <t>Світильники та прожектори на соняній батареї</t>
        </is>
      </c>
      <c r="E129" s="33" t="inlineStr">
        <is>
          <t>PC</t>
        </is>
      </c>
      <c r="F129" s="94" t="n">
        <v>6.545</v>
      </c>
      <c r="G129" s="35" t="n">
        <v>9405413100</v>
      </c>
      <c r="H129" s="31" t="n">
        <v>1.35</v>
      </c>
      <c r="I129" s="84">
        <f>IFERROR(F129*Settings!$B$2*H129*IF(AND(ISNUMBER(E129),E129&gt;1),E129,1),"")</f>
        <v/>
      </c>
      <c r="J129" s="32">
        <f>Settings!$B$66</f>
        <v/>
      </c>
      <c r="K129" s="95">
        <f>IFERROR(IF(T129="","",(T129*(1-AN129)*(1-Settings!$B$17)-I129)/(T129*(1-AN129)*(1-Settings!$B$17))),"")</f>
        <v/>
      </c>
      <c r="L129" s="101">
        <f>IFERROR(IF(T129="","",(T129*(1-AO129)*(1-Settings!$C$17)-I129)/(T129*(1-AO129)*(1-Settings!$C$17))),"")</f>
        <v/>
      </c>
      <c r="M129" s="101">
        <f>IFERROR(IF(T129="","",(T129*(1-AP129)*(1-Settings!$D$17)-I129)/(T129*(1-AP129)*(1-Settings!$D$17))),"")</f>
        <v/>
      </c>
      <c r="N129" s="101">
        <f>IFERROR(IF(T129="","",(T129*(1-AQ129)*(1-Settings!$F$17)-I129)/(T129*(1-AQ129)*(1-Settings!$F$17))),"")</f>
        <v/>
      </c>
      <c r="O129" s="101">
        <f>IFERROR(IF(T129="","",(T129*(1-AR129)*(1-Settings!$G$17)-I129)/(T129*(1-AR129)*(1-Settings!$G$17))),"")</f>
        <v/>
      </c>
      <c r="P129" s="101">
        <f>IFERROR(IF(T129="","",(T129*(1-AS129)*(1-Settings!$H$17)-I129)/(T129*(1-AS129)*(1-Settings!$H$17))),"")</f>
        <v/>
      </c>
      <c r="Q129" s="101">
        <f>IFERROR(IF(T129="","",(T129*(1-AT129)*(1-Settings!$I$68)*(1-Settings!$I$17)-I129)/(T129*(1-AT129)*(1-Settings!$I$68)*(1-Settings!$I$17))),"")</f>
        <v/>
      </c>
      <c r="R129" s="91">
        <f>IFERROR(IF(OR(I129="",Z129&gt;=1,Settings!$B$17&gt;=1,AN129&gt;=1),"",IF(MOD(ROUND(I129/(1-Z129)/(1-Settings!$B$17)/(1-AN129),0),10)=0,ROUND(I129/(1-Z129)/(1-Settings!$B$17)/(1-AN129),0)-1,IF(MOD(ROUND(I129/(1-Z129)/(1-Settings!$B$17)/(1-AN129),0),10)&lt;=5,FLOOR(ROUND(I129/(1-Z129)/(1-Settings!$B$17)/(1-AN129),0),10)+6,FLOOR(ROUND(I129/(1-Z129)/(1-Settings!$B$17)/(1-AN129),0),10)+9))),"")</f>
        <v/>
      </c>
      <c r="S129" s="92" t="n">
        <v>800</v>
      </c>
      <c r="T129" s="91">
        <f>IF(S129&lt;&gt;"", IF(MOD(S129,10)=0,S129-1,IF(MOD(S129,10)&lt;=5,FLOOR(S129,10)+6,FLOOR(S129,10)+9)), R129)</f>
        <v/>
      </c>
      <c r="U129" s="87" t="inlineStr">
        <is>
          <t>Основний</t>
        </is>
      </c>
      <c r="V129" s="88" t="n"/>
      <c r="W129" s="88" t="n"/>
      <c r="X129" s="89">
        <f>IFERROR(IF(OR(V129="",W129="",T129=""),"", IF(T129&gt;W129,"Дорогий",IF(T129&lt;V129,"Дешевий","У ринку"))),"")</f>
        <v/>
      </c>
      <c r="Y129" s="90" t="n"/>
      <c r="Z129" s="104">
        <f>CHOOSE(MATCH(IF($U129="","Основний",$U129),{"Трафіковий","Основний","Маржинальний","Сезонний","Стратегічний"},0),0.16,0.19,0.24,0.23,0.28)</f>
        <v/>
      </c>
      <c r="AA129" s="104">
        <f>CHOOSE(MATCH(IF($U129="","Основний",$U129),{"Трафіковий","Основний","Маржинальний","Сезонний","Стратегічний"},0),0.18,0.21,0.26,0.25,0.3)</f>
        <v/>
      </c>
      <c r="AB129" s="104">
        <f>CHOOSE(MATCH(IF($U129="","Основний",$U129),{"Трафіковий","Основний","Маржинальний","Сезонний","Стратегічний"},0),0.19,0.22,0.28,0.26,0.32)</f>
        <v/>
      </c>
      <c r="AC129" s="104">
        <f>CHOOSE(MATCH(IF($U129="","Основний",$U129),{"Трафіковий","Основний","Маржинальний","Сезонний","Стратегічний"},0),0.17,0.2,0.25,0.24,0.28)</f>
        <v/>
      </c>
      <c r="AD129" s="104">
        <f>CHOOSE(MATCH(IF($U129="","Основний",$U129),{"Трафіковий","Основний","Маржинальний","Сезонний","Стратегічний"},0),0.18,0.21,0.26,0.25,0.3)</f>
        <v/>
      </c>
      <c r="AE129" s="104">
        <f>CHOOSE(MATCH(IF($U129="","Основний",$U129),{"Трафіковий","Основний","Маржинальний","Сезонний","Стратегічний"},0),0.18,0.2,0.28,0.27,0.32)</f>
        <v/>
      </c>
      <c r="AF129" s="104">
        <f>CHOOSE(MATCH(IF($U129="","Основний",$U129),{"Трафіковий","Основний","Маржинальний","Сезонний","Стратегічний"},0),0.15,0.175,0.22,0.21,0.25)</f>
        <v/>
      </c>
      <c r="AG129" s="104">
        <f>CHOOSE(MATCH(IF($U129="","Основний",$U129),{"Трафіковий","Основний","Маржинальний","Сезонний","Стратегічний"},0),0.13,0.16,0.21,0.2,0.25)</f>
        <v/>
      </c>
      <c r="AH129" s="104">
        <f>CHOOSE(MATCH(IF($U129="","Основний",$U129),{"Трафіковий","Основний","Маржинальний","Сезонний","Стратегічний"},0),0.15,0.18,0.23,0.22,0.27)</f>
        <v/>
      </c>
      <c r="AI129" s="104">
        <f>CHOOSE(MATCH(IF($U129="","Основний",$U129),{"Трафіковий","Основний","Маржинальний","Сезонний","Стратегічний"},0),0.16,0.19,0.25,0.23,0.29)</f>
        <v/>
      </c>
      <c r="AJ129" s="104">
        <f>CHOOSE(MATCH(IF($U129="","Основний",$U129),{"Трафіковий","Основний","Маржинальний","Сезонний","Стратегічний"},0),0.14,0.17,0.22,0.21,0.25)</f>
        <v/>
      </c>
      <c r="AK129" s="104">
        <f>CHOOSE(MATCH(IF($U129="","Основний",$U129),{"Трафіковий","Основний","Маржинальний","Сезонний","Стратегічний"},0),0.15,0.18,0.23,0.22,0.27)</f>
        <v/>
      </c>
      <c r="AL129" s="104">
        <f>CHOOSE(MATCH(IF($U129="","Основний",$U129),{"Трафіковий","Основний","Маржинальний","Сезонний","Стратегічний"},0),0.15,0.17,0.25,0.24,0.29)</f>
        <v/>
      </c>
      <c r="AM129" s="104">
        <f>CHOOSE(MATCH(IF($U129="","Основний",$U129),{"Трафіковий","Основний","Маржинальний","Сезонний","Стратегічний"},0),0.12,0.145,0.19,0.18,0.22)</f>
        <v/>
      </c>
      <c r="AN129" s="157">
        <f>CHOOSE(MATCH(IF($U129="","Основний",$U129),{"Трафіковий","Основний","Маржинальний","Сезонний","Стратегічний"},0),Settings!$B$78,Settings!$B$80,Settings!$B$82,Settings!$B$84,Settings!$B$86)</f>
        <v/>
      </c>
      <c r="AO129" s="157">
        <f>CHOOSE(MATCH(IF($U129="","Основний",$U129),{"Трафіковий","Основний","Маржинальний","Сезонний","Стратегічний"},0),Settings!$C$78,Settings!$C$80,Settings!$C$82,Settings!$C$84,Settings!$C$86)</f>
        <v/>
      </c>
      <c r="AP129" s="157">
        <f>CHOOSE(MATCH(IF($U129="","Основний",$U129),{"Трафіковий","Основний","Маржинальний","Сезонний","Стратегічний"},0),Settings!$D$78,Settings!$D$80,Settings!$D$82,Settings!$D$84,Settings!$D$86)</f>
        <v/>
      </c>
      <c r="AQ129" s="157">
        <f>CHOOSE(MATCH(IF($U129="","Основний",$U129),{"Трафіковий","Основний","Маржинальний","Сезонний","Стратегічний"},0),Settings!$F$78,Settings!$F$80,Settings!$F$82,Settings!$F$84,Settings!$F$86)</f>
        <v/>
      </c>
      <c r="AR129" s="157">
        <f>CHOOSE(MATCH(IF($U129="","Основний",$U129),{"Трафіковий","Основний","Маржинальний","Сезонний","Стратегічний"},0),Settings!$G$78,Settings!$G$80,Settings!$G$82,Settings!$G$84,Settings!$G$86)</f>
        <v/>
      </c>
      <c r="AS129" s="157">
        <f>CHOOSE(MATCH(IF($U129="","Основний",$U129),{"Трафіковий","Основний","Маржинальний","Сезонний","Стратегічний"},0),Settings!$H$78,Settings!$H$80,Settings!$H$82,Settings!$H$84,Settings!$H$86)</f>
        <v/>
      </c>
      <c r="AT129" s="157">
        <f>CHOOSE(MATCH(IF($U129="","Основний",$U129),{"Трафіковий","Основний","Маржинальний","Сезонний","Стратегічний"},0),Settings!$I$78,Settings!$I$80,Settings!$I$82,Settings!$I$84,Settings!$I$86)</f>
        <v/>
      </c>
      <c r="AU129" s="171" t="n"/>
      <c r="AV129" t="n">
        <v>1.35</v>
      </c>
    </row>
    <row r="130">
      <c r="A130" s="28" t="inlineStr">
        <is>
          <t>NEW</t>
        </is>
      </c>
      <c r="B130" s="29" t="inlineStr">
        <is>
          <t>ZG165S</t>
        </is>
      </c>
      <c r="C130" s="29" t="inlineStr">
        <is>
          <t>LED SOLAR LUMINAIRE BRIXO 900LM IP65 NW WHITE</t>
        </is>
      </c>
      <c r="D130" s="29" t="inlineStr">
        <is>
          <t>Світильники та прожектори на соняній батареї</t>
        </is>
      </c>
      <c r="E130" s="28" t="inlineStr">
        <is>
          <t>PC</t>
        </is>
      </c>
      <c r="F130" s="93" t="n">
        <v>10.933</v>
      </c>
      <c r="G130" s="30" t="n">
        <v>9405413100</v>
      </c>
      <c r="H130" s="31" t="n">
        <v>1.35</v>
      </c>
      <c r="I130" s="84">
        <f>IFERROR(F130*Settings!$B$2*H130*IF(AND(ISNUMBER(E130),E130&gt;1),E130,1),"")</f>
        <v/>
      </c>
      <c r="J130" s="32">
        <f>Settings!$B$66</f>
        <v/>
      </c>
      <c r="K130" s="95">
        <f>IFERROR(IF(T130="","",(T130*(1-AN130)*(1-Settings!$B$17)-I130)/(T130*(1-AN130)*(1-Settings!$B$17))),"")</f>
        <v/>
      </c>
      <c r="L130" s="101">
        <f>IFERROR(IF(T130="","",(T130*(1-AO130)*(1-Settings!$C$17)-I130)/(T130*(1-AO130)*(1-Settings!$C$17))),"")</f>
        <v/>
      </c>
      <c r="M130" s="101">
        <f>IFERROR(IF(T130="","",(T130*(1-AP130)*(1-Settings!$D$17)-I130)/(T130*(1-AP130)*(1-Settings!$D$17))),"")</f>
        <v/>
      </c>
      <c r="N130" s="101">
        <f>IFERROR(IF(T130="","",(T130*(1-AQ130)*(1-Settings!$F$17)-I130)/(T130*(1-AQ130)*(1-Settings!$F$17))),"")</f>
        <v/>
      </c>
      <c r="O130" s="101">
        <f>IFERROR(IF(T130="","",(T130*(1-AR130)*(1-Settings!$G$17)-I130)/(T130*(1-AR130)*(1-Settings!$G$17))),"")</f>
        <v/>
      </c>
      <c r="P130" s="101">
        <f>IFERROR(IF(T130="","",(T130*(1-AS130)*(1-Settings!$H$17)-I130)/(T130*(1-AS130)*(1-Settings!$H$17))),"")</f>
        <v/>
      </c>
      <c r="Q130" s="101">
        <f>IFERROR(IF(T130="","",(T130*(1-AT130)*(1-Settings!$I$68)*(1-Settings!$I$17)-I130)/(T130*(1-AT130)*(1-Settings!$I$68)*(1-Settings!$I$17))),"")</f>
        <v/>
      </c>
      <c r="R130" s="91">
        <f>IFERROR(IF(OR(I130="",Z130&gt;=1,Settings!$B$17&gt;=1,AN130&gt;=1),"",IF(MOD(ROUND(I130/(1-Z130)/(1-Settings!$B$17)/(1-AN130),0),10)=0,ROUND(I130/(1-Z130)/(1-Settings!$B$17)/(1-AN130),0)-1,IF(MOD(ROUND(I130/(1-Z130)/(1-Settings!$B$17)/(1-AN130),0),10)&lt;=5,FLOOR(ROUND(I130/(1-Z130)/(1-Settings!$B$17)/(1-AN130),0),10)+6,FLOOR(ROUND(I130/(1-Z130)/(1-Settings!$B$17)/(1-AN130),0),10)+9))),"")</f>
        <v/>
      </c>
      <c r="S130" s="92" t="n">
        <v>1400</v>
      </c>
      <c r="T130" s="91">
        <f>IF(S130&lt;&gt;"", IF(MOD(S130,10)=0,S130-1,IF(MOD(S130,10)&lt;=5,FLOOR(S130,10)+6,FLOOR(S130,10)+9)), R130)</f>
        <v/>
      </c>
      <c r="U130" s="87" t="inlineStr">
        <is>
          <t>Основний</t>
        </is>
      </c>
      <c r="V130" s="88" t="n"/>
      <c r="W130" s="88" t="n"/>
      <c r="X130" s="89">
        <f>IFERROR(IF(OR(V130="",W130="",T130=""),"", IF(T130&gt;W130,"Дорогий",IF(T130&lt;V130,"Дешевий","У ринку"))),"")</f>
        <v/>
      </c>
      <c r="Y130" s="90" t="n"/>
      <c r="Z130" s="104">
        <f>CHOOSE(MATCH(IF($U130="","Основний",$U130),{"Трафіковий","Основний","Маржинальний","Сезонний","Стратегічний"},0),0.16,0.19,0.24,0.23,0.28)</f>
        <v/>
      </c>
      <c r="AA130" s="104">
        <f>CHOOSE(MATCH(IF($U130="","Основний",$U130),{"Трафіковий","Основний","Маржинальний","Сезонний","Стратегічний"},0),0.18,0.21,0.26,0.25,0.3)</f>
        <v/>
      </c>
      <c r="AB130" s="104">
        <f>CHOOSE(MATCH(IF($U130="","Основний",$U130),{"Трафіковий","Основний","Маржинальний","Сезонний","Стратегічний"},0),0.19,0.22,0.28,0.26,0.32)</f>
        <v/>
      </c>
      <c r="AC130" s="104">
        <f>CHOOSE(MATCH(IF($U130="","Основний",$U130),{"Трафіковий","Основний","Маржинальний","Сезонний","Стратегічний"},0),0.17,0.2,0.25,0.24,0.28)</f>
        <v/>
      </c>
      <c r="AD130" s="104">
        <f>CHOOSE(MATCH(IF($U130="","Основний",$U130),{"Трафіковий","Основний","Маржинальний","Сезонний","Стратегічний"},0),0.18,0.21,0.26,0.25,0.3)</f>
        <v/>
      </c>
      <c r="AE130" s="104">
        <f>CHOOSE(MATCH(IF($U130="","Основний",$U130),{"Трафіковий","Основний","Маржинальний","Сезонний","Стратегічний"},0),0.18,0.2,0.28,0.27,0.32)</f>
        <v/>
      </c>
      <c r="AF130" s="104">
        <f>CHOOSE(MATCH(IF($U130="","Основний",$U130),{"Трафіковий","Основний","Маржинальний","Сезонний","Стратегічний"},0),0.15,0.175,0.22,0.21,0.25)</f>
        <v/>
      </c>
      <c r="AG130" s="104">
        <f>CHOOSE(MATCH(IF($U130="","Основний",$U130),{"Трафіковий","Основний","Маржинальний","Сезонний","Стратегічний"},0),0.13,0.16,0.21,0.2,0.25)</f>
        <v/>
      </c>
      <c r="AH130" s="104">
        <f>CHOOSE(MATCH(IF($U130="","Основний",$U130),{"Трафіковий","Основний","Маржинальний","Сезонний","Стратегічний"},0),0.15,0.18,0.23,0.22,0.27)</f>
        <v/>
      </c>
      <c r="AI130" s="104">
        <f>CHOOSE(MATCH(IF($U130="","Основний",$U130),{"Трафіковий","Основний","Маржинальний","Сезонний","Стратегічний"},0),0.16,0.19,0.25,0.23,0.29)</f>
        <v/>
      </c>
      <c r="AJ130" s="104">
        <f>CHOOSE(MATCH(IF($U130="","Основний",$U130),{"Трафіковий","Основний","Маржинальний","Сезонний","Стратегічний"},0),0.14,0.17,0.22,0.21,0.25)</f>
        <v/>
      </c>
      <c r="AK130" s="104">
        <f>CHOOSE(MATCH(IF($U130="","Основний",$U130),{"Трафіковий","Основний","Маржинальний","Сезонний","Стратегічний"},0),0.15,0.18,0.23,0.22,0.27)</f>
        <v/>
      </c>
      <c r="AL130" s="104">
        <f>CHOOSE(MATCH(IF($U130="","Основний",$U130),{"Трафіковий","Основний","Маржинальний","Сезонний","Стратегічний"},0),0.15,0.17,0.25,0.24,0.29)</f>
        <v/>
      </c>
      <c r="AM130" s="104">
        <f>CHOOSE(MATCH(IF($U130="","Основний",$U130),{"Трафіковий","Основний","Маржинальний","Сезонний","Стратегічний"},0),0.12,0.145,0.19,0.18,0.22)</f>
        <v/>
      </c>
      <c r="AN130" s="157">
        <f>CHOOSE(MATCH(IF($U130="","Основний",$U130),{"Трафіковий","Основний","Маржинальний","Сезонний","Стратегічний"},0),Settings!$B$78,Settings!$B$80,Settings!$B$82,Settings!$B$84,Settings!$B$86)</f>
        <v/>
      </c>
      <c r="AO130" s="157">
        <f>CHOOSE(MATCH(IF($U130="","Основний",$U130),{"Трафіковий","Основний","Маржинальний","Сезонний","Стратегічний"},0),Settings!$C$78,Settings!$C$80,Settings!$C$82,Settings!$C$84,Settings!$C$86)</f>
        <v/>
      </c>
      <c r="AP130" s="157">
        <f>CHOOSE(MATCH(IF($U130="","Основний",$U130),{"Трафіковий","Основний","Маржинальний","Сезонний","Стратегічний"},0),Settings!$D$78,Settings!$D$80,Settings!$D$82,Settings!$D$84,Settings!$D$86)</f>
        <v/>
      </c>
      <c r="AQ130" s="157">
        <f>CHOOSE(MATCH(IF($U130="","Основний",$U130),{"Трафіковий","Основний","Маржинальний","Сезонний","Стратегічний"},0),Settings!$F$78,Settings!$F$80,Settings!$F$82,Settings!$F$84,Settings!$F$86)</f>
        <v/>
      </c>
      <c r="AR130" s="157">
        <f>CHOOSE(MATCH(IF($U130="","Основний",$U130),{"Трафіковий","Основний","Маржинальний","Сезонний","Стратегічний"},0),Settings!$G$78,Settings!$G$80,Settings!$G$82,Settings!$G$84,Settings!$G$86)</f>
        <v/>
      </c>
      <c r="AS130" s="157">
        <f>CHOOSE(MATCH(IF($U130="","Основний",$U130),{"Трафіковий","Основний","Маржинальний","Сезонний","Стратегічний"},0),Settings!$H$78,Settings!$H$80,Settings!$H$82,Settings!$H$84,Settings!$H$86)</f>
        <v/>
      </c>
      <c r="AT130" s="157">
        <f>CHOOSE(MATCH(IF($U130="","Основний",$U130),{"Трафіковий","Основний","Маржинальний","Сезонний","Стратегічний"},0),Settings!$I$78,Settings!$I$80,Settings!$I$82,Settings!$I$84,Settings!$I$86)</f>
        <v/>
      </c>
      <c r="AU130" s="171" t="n"/>
      <c r="AV130" t="n">
        <v>1.35</v>
      </c>
    </row>
    <row r="131">
      <c r="A131" s="33" t="inlineStr">
        <is>
          <t>NEW</t>
        </is>
      </c>
      <c r="B131" s="34" t="inlineStr">
        <is>
          <t>ZG166S</t>
        </is>
      </c>
      <c r="C131" s="34" t="inlineStr">
        <is>
          <t>LED SOLAR LUMINAIRE BRIXO 900LM IP65 NW BLACK</t>
        </is>
      </c>
      <c r="D131" s="34" t="inlineStr">
        <is>
          <t>Світильники та прожектори на соняній батареї</t>
        </is>
      </c>
      <c r="E131" s="33" t="inlineStr">
        <is>
          <t>PC</t>
        </is>
      </c>
      <c r="F131" s="94" t="n">
        <v>10.933</v>
      </c>
      <c r="G131" s="35" t="n">
        <v>9405413100</v>
      </c>
      <c r="H131" s="31" t="n">
        <v>1.35</v>
      </c>
      <c r="I131" s="84">
        <f>IFERROR(F131*Settings!$B$2*H131*IF(AND(ISNUMBER(E131),E131&gt;1),E131,1),"")</f>
        <v/>
      </c>
      <c r="J131" s="32">
        <f>Settings!$B$66</f>
        <v/>
      </c>
      <c r="K131" s="95">
        <f>IFERROR(IF(T131="","",(T131*(1-AN131)*(1-Settings!$B$17)-I131)/(T131*(1-AN131)*(1-Settings!$B$17))),"")</f>
        <v/>
      </c>
      <c r="L131" s="101">
        <f>IFERROR(IF(T131="","",(T131*(1-AO131)*(1-Settings!$C$17)-I131)/(T131*(1-AO131)*(1-Settings!$C$17))),"")</f>
        <v/>
      </c>
      <c r="M131" s="101">
        <f>IFERROR(IF(T131="","",(T131*(1-AP131)*(1-Settings!$D$17)-I131)/(T131*(1-AP131)*(1-Settings!$D$17))),"")</f>
        <v/>
      </c>
      <c r="N131" s="101">
        <f>IFERROR(IF(T131="","",(T131*(1-AQ131)*(1-Settings!$F$17)-I131)/(T131*(1-AQ131)*(1-Settings!$F$17))),"")</f>
        <v/>
      </c>
      <c r="O131" s="101">
        <f>IFERROR(IF(T131="","",(T131*(1-AR131)*(1-Settings!$G$17)-I131)/(T131*(1-AR131)*(1-Settings!$G$17))),"")</f>
        <v/>
      </c>
      <c r="P131" s="101">
        <f>IFERROR(IF(T131="","",(T131*(1-AS131)*(1-Settings!$H$17)-I131)/(T131*(1-AS131)*(1-Settings!$H$17))),"")</f>
        <v/>
      </c>
      <c r="Q131" s="101">
        <f>IFERROR(IF(T131="","",(T131*(1-AT131)*(1-Settings!$I$68)*(1-Settings!$I$17)-I131)/(T131*(1-AT131)*(1-Settings!$I$68)*(1-Settings!$I$17))),"")</f>
        <v/>
      </c>
      <c r="R131" s="91">
        <f>IFERROR(IF(OR(I131="",Z131&gt;=1,Settings!$B$17&gt;=1,AN131&gt;=1),"",IF(MOD(ROUND(I131/(1-Z131)/(1-Settings!$B$17)/(1-AN131),0),10)=0,ROUND(I131/(1-Z131)/(1-Settings!$B$17)/(1-AN131),0)-1,IF(MOD(ROUND(I131/(1-Z131)/(1-Settings!$B$17)/(1-AN131),0),10)&lt;=5,FLOOR(ROUND(I131/(1-Z131)/(1-Settings!$B$17)/(1-AN131),0),10)+6,FLOOR(ROUND(I131/(1-Z131)/(1-Settings!$B$17)/(1-AN131),0),10)+9))),"")</f>
        <v/>
      </c>
      <c r="S131" s="92" t="n">
        <v>1400</v>
      </c>
      <c r="T131" s="91">
        <f>IF(S131&lt;&gt;"", IF(MOD(S131,10)=0,S131-1,IF(MOD(S131,10)&lt;=5,FLOOR(S131,10)+6,FLOOR(S131,10)+9)), R131)</f>
        <v/>
      </c>
      <c r="U131" s="87" t="inlineStr">
        <is>
          <t>Основний</t>
        </is>
      </c>
      <c r="V131" s="88" t="n"/>
      <c r="W131" s="88" t="n"/>
      <c r="X131" s="89">
        <f>IFERROR(IF(OR(V131="",W131="",T131=""),"", IF(T131&gt;W131,"Дорогий",IF(T131&lt;V131,"Дешевий","У ринку"))),"")</f>
        <v/>
      </c>
      <c r="Y131" s="90" t="n"/>
      <c r="Z131" s="104">
        <f>CHOOSE(MATCH(IF($U131="","Основний",$U131),{"Трафіковий","Основний","Маржинальний","Сезонний","Стратегічний"},0),0.16,0.19,0.24,0.23,0.28)</f>
        <v/>
      </c>
      <c r="AA131" s="104">
        <f>CHOOSE(MATCH(IF($U131="","Основний",$U131),{"Трафіковий","Основний","Маржинальний","Сезонний","Стратегічний"},0),0.18,0.21,0.26,0.25,0.3)</f>
        <v/>
      </c>
      <c r="AB131" s="104">
        <f>CHOOSE(MATCH(IF($U131="","Основний",$U131),{"Трафіковий","Основний","Маржинальний","Сезонний","Стратегічний"},0),0.19,0.22,0.28,0.26,0.32)</f>
        <v/>
      </c>
      <c r="AC131" s="104">
        <f>CHOOSE(MATCH(IF($U131="","Основний",$U131),{"Трафіковий","Основний","Маржинальний","Сезонний","Стратегічний"},0),0.17,0.2,0.25,0.24,0.28)</f>
        <v/>
      </c>
      <c r="AD131" s="104">
        <f>CHOOSE(MATCH(IF($U131="","Основний",$U131),{"Трафіковий","Основний","Маржинальний","Сезонний","Стратегічний"},0),0.18,0.21,0.26,0.25,0.3)</f>
        <v/>
      </c>
      <c r="AE131" s="104">
        <f>CHOOSE(MATCH(IF($U131="","Основний",$U131),{"Трафіковий","Основний","Маржинальний","Сезонний","Стратегічний"},0),0.18,0.2,0.28,0.27,0.32)</f>
        <v/>
      </c>
      <c r="AF131" s="104">
        <f>CHOOSE(MATCH(IF($U131="","Основний",$U131),{"Трафіковий","Основний","Маржинальний","Сезонний","Стратегічний"},0),0.15,0.175,0.22,0.21,0.25)</f>
        <v/>
      </c>
      <c r="AG131" s="104">
        <f>CHOOSE(MATCH(IF($U131="","Основний",$U131),{"Трафіковий","Основний","Маржинальний","Сезонний","Стратегічний"},0),0.13,0.16,0.21,0.2,0.25)</f>
        <v/>
      </c>
      <c r="AH131" s="104">
        <f>CHOOSE(MATCH(IF($U131="","Основний",$U131),{"Трафіковий","Основний","Маржинальний","Сезонний","Стратегічний"},0),0.15,0.18,0.23,0.22,0.27)</f>
        <v/>
      </c>
      <c r="AI131" s="104">
        <f>CHOOSE(MATCH(IF($U131="","Основний",$U131),{"Трафіковий","Основний","Маржинальний","Сезонний","Стратегічний"},0),0.16,0.19,0.25,0.23,0.29)</f>
        <v/>
      </c>
      <c r="AJ131" s="104">
        <f>CHOOSE(MATCH(IF($U131="","Основний",$U131),{"Трафіковий","Основний","Маржинальний","Сезонний","Стратегічний"},0),0.14,0.17,0.22,0.21,0.25)</f>
        <v/>
      </c>
      <c r="AK131" s="104">
        <f>CHOOSE(MATCH(IF($U131="","Основний",$U131),{"Трафіковий","Основний","Маржинальний","Сезонний","Стратегічний"},0),0.15,0.18,0.23,0.22,0.27)</f>
        <v/>
      </c>
      <c r="AL131" s="104">
        <f>CHOOSE(MATCH(IF($U131="","Основний",$U131),{"Трафіковий","Основний","Маржинальний","Сезонний","Стратегічний"},0),0.15,0.17,0.25,0.24,0.29)</f>
        <v/>
      </c>
      <c r="AM131" s="104">
        <f>CHOOSE(MATCH(IF($U131="","Основний",$U131),{"Трафіковий","Основний","Маржинальний","Сезонний","Стратегічний"},0),0.12,0.145,0.19,0.18,0.22)</f>
        <v/>
      </c>
      <c r="AN131" s="157">
        <f>CHOOSE(MATCH(IF($U131="","Основний",$U131),{"Трафіковий","Основний","Маржинальний","Сезонний","Стратегічний"},0),Settings!$B$78,Settings!$B$80,Settings!$B$82,Settings!$B$84,Settings!$B$86)</f>
        <v/>
      </c>
      <c r="AO131" s="157">
        <f>CHOOSE(MATCH(IF($U131="","Основний",$U131),{"Трафіковий","Основний","Маржинальний","Сезонний","Стратегічний"},0),Settings!$C$78,Settings!$C$80,Settings!$C$82,Settings!$C$84,Settings!$C$86)</f>
        <v/>
      </c>
      <c r="AP131" s="157">
        <f>CHOOSE(MATCH(IF($U131="","Основний",$U131),{"Трафіковий","Основний","Маржинальний","Сезонний","Стратегічний"},0),Settings!$D$78,Settings!$D$80,Settings!$D$82,Settings!$D$84,Settings!$D$86)</f>
        <v/>
      </c>
      <c r="AQ131" s="157">
        <f>CHOOSE(MATCH(IF($U131="","Основний",$U131),{"Трафіковий","Основний","Маржинальний","Сезонний","Стратегічний"},0),Settings!$F$78,Settings!$F$80,Settings!$F$82,Settings!$F$84,Settings!$F$86)</f>
        <v/>
      </c>
      <c r="AR131" s="157">
        <f>CHOOSE(MATCH(IF($U131="","Основний",$U131),{"Трафіковий","Основний","Маржинальний","Сезонний","Стратегічний"},0),Settings!$G$78,Settings!$G$80,Settings!$G$82,Settings!$G$84,Settings!$G$86)</f>
        <v/>
      </c>
      <c r="AS131" s="157">
        <f>CHOOSE(MATCH(IF($U131="","Основний",$U131),{"Трафіковий","Основний","Маржинальний","Сезонний","Стратегічний"},0),Settings!$H$78,Settings!$H$80,Settings!$H$82,Settings!$H$84,Settings!$H$86)</f>
        <v/>
      </c>
      <c r="AT131" s="157">
        <f>CHOOSE(MATCH(IF($U131="","Основний",$U131),{"Трафіковий","Основний","Маржинальний","Сезонний","Стратегічний"},0),Settings!$I$78,Settings!$I$80,Settings!$I$82,Settings!$I$84,Settings!$I$86)</f>
        <v/>
      </c>
      <c r="AU131" s="171" t="n"/>
      <c r="AV131" t="n">
        <v>1.35</v>
      </c>
    </row>
    <row r="132">
      <c r="A132" s="28" t="inlineStr">
        <is>
          <t>NEW</t>
        </is>
      </c>
      <c r="B132" s="29" t="inlineStr">
        <is>
          <t>ZG172S</t>
        </is>
      </c>
      <c r="C132" s="29" t="inlineStr">
        <is>
          <t>LED SOLAR LUMINAIRE LUMI 240LM IP54 NW</t>
        </is>
      </c>
      <c r="D132" s="29" t="inlineStr">
        <is>
          <t>Світильники та прожектори на соняній батареї</t>
        </is>
      </c>
      <c r="E132" s="28" t="inlineStr">
        <is>
          <t>PC</t>
        </is>
      </c>
      <c r="F132" s="93" t="n">
        <v>3.896</v>
      </c>
      <c r="G132" s="30" t="n">
        <v>9405413100</v>
      </c>
      <c r="H132" s="31" t="n">
        <v>1.35</v>
      </c>
      <c r="I132" s="84">
        <f>IFERROR(F132*Settings!$B$2*H132*IF(AND(ISNUMBER(E132),E132&gt;1),E132,1),"")</f>
        <v/>
      </c>
      <c r="J132" s="32">
        <f>Settings!$B$66</f>
        <v/>
      </c>
      <c r="K132" s="95">
        <f>IFERROR(IF(T132="","",(T132*(1-AN132)*(1-Settings!$B$17)-I132)/(T132*(1-AN132)*(1-Settings!$B$17))),"")</f>
        <v/>
      </c>
      <c r="L132" s="101">
        <f>IFERROR(IF(T132="","",(T132*(1-AO132)*(1-Settings!$C$17)-I132)/(T132*(1-AO132)*(1-Settings!$C$17))),"")</f>
        <v/>
      </c>
      <c r="M132" s="101">
        <f>IFERROR(IF(T132="","",(T132*(1-AP132)*(1-Settings!$D$17)-I132)/(T132*(1-AP132)*(1-Settings!$D$17))),"")</f>
        <v/>
      </c>
      <c r="N132" s="101">
        <f>IFERROR(IF(T132="","",(T132*(1-AQ132)*(1-Settings!$F$17)-I132)/(T132*(1-AQ132)*(1-Settings!$F$17))),"")</f>
        <v/>
      </c>
      <c r="O132" s="101">
        <f>IFERROR(IF(T132="","",(T132*(1-AR132)*(1-Settings!$G$17)-I132)/(T132*(1-AR132)*(1-Settings!$G$17))),"")</f>
        <v/>
      </c>
      <c r="P132" s="101">
        <f>IFERROR(IF(T132="","",(T132*(1-AS132)*(1-Settings!$H$17)-I132)/(T132*(1-AS132)*(1-Settings!$H$17))),"")</f>
        <v/>
      </c>
      <c r="Q132" s="101">
        <f>IFERROR(IF(T132="","",(T132*(1-AT132)*(1-Settings!$I$68)*(1-Settings!$I$17)-I132)/(T132*(1-AT132)*(1-Settings!$I$68)*(1-Settings!$I$17))),"")</f>
        <v/>
      </c>
      <c r="R132" s="91">
        <f>IFERROR(IF(OR(I132="",Z132&gt;=1,Settings!$B$17&gt;=1,AN132&gt;=1),"",IF(MOD(ROUND(I132/(1-Z132)/(1-Settings!$B$17)/(1-AN132),0),10)=0,ROUND(I132/(1-Z132)/(1-Settings!$B$17)/(1-AN132),0)-1,IF(MOD(ROUND(I132/(1-Z132)/(1-Settings!$B$17)/(1-AN132),0),10)&lt;=5,FLOOR(ROUND(I132/(1-Z132)/(1-Settings!$B$17)/(1-AN132),0),10)+6,FLOOR(ROUND(I132/(1-Z132)/(1-Settings!$B$17)/(1-AN132),0),10)+9))),"")</f>
        <v/>
      </c>
      <c r="S132" s="92" t="n">
        <v>480</v>
      </c>
      <c r="T132" s="91">
        <f>IF(S132&lt;&gt;"", IF(MOD(S132,10)=0,S132-1,IF(MOD(S132,10)&lt;=5,FLOOR(S132,10)+6,FLOOR(S132,10)+9)), R132)</f>
        <v/>
      </c>
      <c r="U132" s="87" t="inlineStr">
        <is>
          <t>Основний</t>
        </is>
      </c>
      <c r="V132" s="88" t="n"/>
      <c r="W132" s="88" t="n"/>
      <c r="X132" s="89">
        <f>IFERROR(IF(OR(V132="",W132="",T132=""),"", IF(T132&gt;W132,"Дорогий",IF(T132&lt;V132,"Дешевий","У ринку"))),"")</f>
        <v/>
      </c>
      <c r="Y132" s="90" t="n"/>
      <c r="Z132" s="104">
        <f>CHOOSE(MATCH(IF($U132="","Основний",$U132),{"Трафіковий","Основний","Маржинальний","Сезонний","Стратегічний"},0),0.16,0.19,0.24,0.23,0.28)</f>
        <v/>
      </c>
      <c r="AA132" s="104">
        <f>CHOOSE(MATCH(IF($U132="","Основний",$U132),{"Трафіковий","Основний","Маржинальний","Сезонний","Стратегічний"},0),0.18,0.21,0.26,0.25,0.3)</f>
        <v/>
      </c>
      <c r="AB132" s="104">
        <f>CHOOSE(MATCH(IF($U132="","Основний",$U132),{"Трафіковий","Основний","Маржинальний","Сезонний","Стратегічний"},0),0.19,0.22,0.28,0.26,0.32)</f>
        <v/>
      </c>
      <c r="AC132" s="104">
        <f>CHOOSE(MATCH(IF($U132="","Основний",$U132),{"Трафіковий","Основний","Маржинальний","Сезонний","Стратегічний"},0),0.17,0.2,0.25,0.24,0.28)</f>
        <v/>
      </c>
      <c r="AD132" s="104">
        <f>CHOOSE(MATCH(IF($U132="","Основний",$U132),{"Трафіковий","Основний","Маржинальний","Сезонний","Стратегічний"},0),0.18,0.21,0.26,0.25,0.3)</f>
        <v/>
      </c>
      <c r="AE132" s="104">
        <f>CHOOSE(MATCH(IF($U132="","Основний",$U132),{"Трафіковий","Основний","Маржинальний","Сезонний","Стратегічний"},0),0.18,0.2,0.28,0.27,0.32)</f>
        <v/>
      </c>
      <c r="AF132" s="104">
        <f>CHOOSE(MATCH(IF($U132="","Основний",$U132),{"Трафіковий","Основний","Маржинальний","Сезонний","Стратегічний"},0),0.15,0.175,0.22,0.21,0.25)</f>
        <v/>
      </c>
      <c r="AG132" s="104">
        <f>CHOOSE(MATCH(IF($U132="","Основний",$U132),{"Трафіковий","Основний","Маржинальний","Сезонний","Стратегічний"},0),0.13,0.16,0.21,0.2,0.25)</f>
        <v/>
      </c>
      <c r="AH132" s="104">
        <f>CHOOSE(MATCH(IF($U132="","Основний",$U132),{"Трафіковий","Основний","Маржинальний","Сезонний","Стратегічний"},0),0.15,0.18,0.23,0.22,0.27)</f>
        <v/>
      </c>
      <c r="AI132" s="104">
        <f>CHOOSE(MATCH(IF($U132="","Основний",$U132),{"Трафіковий","Основний","Маржинальний","Сезонний","Стратегічний"},0),0.16,0.19,0.25,0.23,0.29)</f>
        <v/>
      </c>
      <c r="AJ132" s="104">
        <f>CHOOSE(MATCH(IF($U132="","Основний",$U132),{"Трафіковий","Основний","Маржинальний","Сезонний","Стратегічний"},0),0.14,0.17,0.22,0.21,0.25)</f>
        <v/>
      </c>
      <c r="AK132" s="104">
        <f>CHOOSE(MATCH(IF($U132="","Основний",$U132),{"Трафіковий","Основний","Маржинальний","Сезонний","Стратегічний"},0),0.15,0.18,0.23,0.22,0.27)</f>
        <v/>
      </c>
      <c r="AL132" s="104">
        <f>CHOOSE(MATCH(IF($U132="","Основний",$U132),{"Трафіковий","Основний","Маржинальний","Сезонний","Стратегічний"},0),0.15,0.17,0.25,0.24,0.29)</f>
        <v/>
      </c>
      <c r="AM132" s="104">
        <f>CHOOSE(MATCH(IF($U132="","Основний",$U132),{"Трафіковий","Основний","Маржинальний","Сезонний","Стратегічний"},0),0.12,0.145,0.19,0.18,0.22)</f>
        <v/>
      </c>
      <c r="AN132" s="157">
        <f>CHOOSE(MATCH(IF($U132="","Основний",$U132),{"Трафіковий","Основний","Маржинальний","Сезонний","Стратегічний"},0),Settings!$B$78,Settings!$B$80,Settings!$B$82,Settings!$B$84,Settings!$B$86)</f>
        <v/>
      </c>
      <c r="AO132" s="157">
        <f>CHOOSE(MATCH(IF($U132="","Основний",$U132),{"Трафіковий","Основний","Маржинальний","Сезонний","Стратегічний"},0),Settings!$C$78,Settings!$C$80,Settings!$C$82,Settings!$C$84,Settings!$C$86)</f>
        <v/>
      </c>
      <c r="AP132" s="157">
        <f>CHOOSE(MATCH(IF($U132="","Основний",$U132),{"Трафіковий","Основний","Маржинальний","Сезонний","Стратегічний"},0),Settings!$D$78,Settings!$D$80,Settings!$D$82,Settings!$D$84,Settings!$D$86)</f>
        <v/>
      </c>
      <c r="AQ132" s="157">
        <f>CHOOSE(MATCH(IF($U132="","Основний",$U132),{"Трафіковий","Основний","Маржинальний","Сезонний","Стратегічний"},0),Settings!$F$78,Settings!$F$80,Settings!$F$82,Settings!$F$84,Settings!$F$86)</f>
        <v/>
      </c>
      <c r="AR132" s="157">
        <f>CHOOSE(MATCH(IF($U132="","Основний",$U132),{"Трафіковий","Основний","Маржинальний","Сезонний","Стратегічний"},0),Settings!$G$78,Settings!$G$80,Settings!$G$82,Settings!$G$84,Settings!$G$86)</f>
        <v/>
      </c>
      <c r="AS132" s="157">
        <f>CHOOSE(MATCH(IF($U132="","Основний",$U132),{"Трафіковий","Основний","Маржинальний","Сезонний","Стратегічний"},0),Settings!$H$78,Settings!$H$80,Settings!$H$82,Settings!$H$84,Settings!$H$86)</f>
        <v/>
      </c>
      <c r="AT132" s="157">
        <f>CHOOSE(MATCH(IF($U132="","Основний",$U132),{"Трафіковий","Основний","Маржинальний","Сезонний","Стратегічний"},0),Settings!$I$78,Settings!$I$80,Settings!$I$82,Settings!$I$84,Settings!$I$86)</f>
        <v/>
      </c>
      <c r="AU132" s="171" t="n"/>
      <c r="AV132" t="n">
        <v>1.35</v>
      </c>
    </row>
    <row r="133">
      <c r="A133" s="33" t="inlineStr">
        <is>
          <t>NEW</t>
        </is>
      </c>
      <c r="B133" s="34" t="inlineStr">
        <is>
          <t>ZG112S</t>
        </is>
      </c>
      <c r="C133" s="34" t="inlineStr">
        <is>
          <t>LED SOLAR REFLEKTOR SUNNO 1300LM IP54 NW</t>
        </is>
      </c>
      <c r="D133" s="34" t="inlineStr">
        <is>
          <t>Світильники та прожектори на соняній батареї</t>
        </is>
      </c>
      <c r="E133" s="33" t="inlineStr">
        <is>
          <t>PC</t>
        </is>
      </c>
      <c r="F133" s="94" t="n">
        <v>10.961</v>
      </c>
      <c r="G133" s="35" t="n">
        <v>9405421000</v>
      </c>
      <c r="H133" s="31" t="n">
        <v>1.3</v>
      </c>
      <c r="I133" s="84">
        <f>IFERROR(F133*Settings!$B$2*H133*IF(AND(ISNUMBER(E133),E133&gt;1),E133,1),"")</f>
        <v/>
      </c>
      <c r="J133" s="32">
        <f>Settings!$B$66</f>
        <v/>
      </c>
      <c r="K133" s="95">
        <f>IFERROR(IF(T133="","",(T133*(1-AN133)*(1-Settings!$B$17)-I133)/(T133*(1-AN133)*(1-Settings!$B$17))),"")</f>
        <v/>
      </c>
      <c r="L133" s="101">
        <f>IFERROR(IF(T133="","",(T133*(1-AO133)*(1-Settings!$C$17)-I133)/(T133*(1-AO133)*(1-Settings!$C$17))),"")</f>
        <v/>
      </c>
      <c r="M133" s="101">
        <f>IFERROR(IF(T133="","",(T133*(1-AP133)*(1-Settings!$D$17)-I133)/(T133*(1-AP133)*(1-Settings!$D$17))),"")</f>
        <v/>
      </c>
      <c r="N133" s="101">
        <f>IFERROR(IF(T133="","",(T133*(1-AQ133)*(1-Settings!$F$17)-I133)/(T133*(1-AQ133)*(1-Settings!$F$17))),"")</f>
        <v/>
      </c>
      <c r="O133" s="101">
        <f>IFERROR(IF(T133="","",(T133*(1-AR133)*(1-Settings!$G$17)-I133)/(T133*(1-AR133)*(1-Settings!$G$17))),"")</f>
        <v/>
      </c>
      <c r="P133" s="101">
        <f>IFERROR(IF(T133="","",(T133*(1-AS133)*(1-Settings!$H$17)-I133)/(T133*(1-AS133)*(1-Settings!$H$17))),"")</f>
        <v/>
      </c>
      <c r="Q133" s="101">
        <f>IFERROR(IF(T133="","",(T133*(1-AT133)*(1-Settings!$I$68)*(1-Settings!$I$17)-I133)/(T133*(1-AT133)*(1-Settings!$I$68)*(1-Settings!$I$17))),"")</f>
        <v/>
      </c>
      <c r="R133" s="91">
        <f>IFERROR(IF(OR(I133="",Z133&gt;=1,Settings!$B$17&gt;=1,AN133&gt;=1),"",IF(MOD(ROUND(I133/(1-Z133)/(1-Settings!$B$17)/(1-AN133),0),10)=0,ROUND(I133/(1-Z133)/(1-Settings!$B$17)/(1-AN133),0)-1,IF(MOD(ROUND(I133/(1-Z133)/(1-Settings!$B$17)/(1-AN133),0),10)&lt;=5,FLOOR(ROUND(I133/(1-Z133)/(1-Settings!$B$17)/(1-AN133),0),10)+6,FLOOR(ROUND(I133/(1-Z133)/(1-Settings!$B$17)/(1-AN133),0),10)+9))),"")</f>
        <v/>
      </c>
      <c r="S133" s="92" t="n">
        <v>1300</v>
      </c>
      <c r="T133" s="91">
        <f>IF(S133&lt;&gt;"", IF(MOD(S133,10)=0,S133-1,IF(MOD(S133,10)&lt;=5,FLOOR(S133,10)+6,FLOOR(S133,10)+9)), R133)</f>
        <v/>
      </c>
      <c r="U133" s="87" t="inlineStr">
        <is>
          <t>Основний</t>
        </is>
      </c>
      <c r="V133" s="88" t="n"/>
      <c r="W133" s="88" t="n"/>
      <c r="X133" s="89">
        <f>IFERROR(IF(OR(V133="",W133="",T133=""),"", IF(T133&gt;W133,"Дорогий",IF(T133&lt;V133,"Дешевий","У ринку"))),"")</f>
        <v/>
      </c>
      <c r="Y133" s="90" t="n"/>
      <c r="Z133" s="104">
        <f>CHOOSE(MATCH(IF($U133="","Основний",$U133),{"Трафіковий","Основний","Маржинальний","Сезонний","Стратегічний"},0),0.16,0.19,0.24,0.23,0.28)</f>
        <v/>
      </c>
      <c r="AA133" s="104">
        <f>CHOOSE(MATCH(IF($U133="","Основний",$U133),{"Трафіковий","Основний","Маржинальний","Сезонний","Стратегічний"},0),0.18,0.21,0.26,0.25,0.3)</f>
        <v/>
      </c>
      <c r="AB133" s="104">
        <f>CHOOSE(MATCH(IF($U133="","Основний",$U133),{"Трафіковий","Основний","Маржинальний","Сезонний","Стратегічний"},0),0.19,0.22,0.28,0.26,0.32)</f>
        <v/>
      </c>
      <c r="AC133" s="104">
        <f>CHOOSE(MATCH(IF($U133="","Основний",$U133),{"Трафіковий","Основний","Маржинальний","Сезонний","Стратегічний"},0),0.17,0.2,0.25,0.24,0.28)</f>
        <v/>
      </c>
      <c r="AD133" s="104">
        <f>CHOOSE(MATCH(IF($U133="","Основний",$U133),{"Трафіковий","Основний","Маржинальний","Сезонний","Стратегічний"},0),0.18,0.21,0.26,0.25,0.3)</f>
        <v/>
      </c>
      <c r="AE133" s="104">
        <f>CHOOSE(MATCH(IF($U133="","Основний",$U133),{"Трафіковий","Основний","Маржинальний","Сезонний","Стратегічний"},0),0.18,0.2,0.28,0.27,0.32)</f>
        <v/>
      </c>
      <c r="AF133" s="104">
        <f>CHOOSE(MATCH(IF($U133="","Основний",$U133),{"Трафіковий","Основний","Маржинальний","Сезонний","Стратегічний"},0),0.15,0.175,0.22,0.21,0.25)</f>
        <v/>
      </c>
      <c r="AG133" s="104">
        <f>CHOOSE(MATCH(IF($U133="","Основний",$U133),{"Трафіковий","Основний","Маржинальний","Сезонний","Стратегічний"},0),0.13,0.16,0.21,0.2,0.25)</f>
        <v/>
      </c>
      <c r="AH133" s="104">
        <f>CHOOSE(MATCH(IF($U133="","Основний",$U133),{"Трафіковий","Основний","Маржинальний","Сезонний","Стратегічний"},0),0.15,0.18,0.23,0.22,0.27)</f>
        <v/>
      </c>
      <c r="AI133" s="104">
        <f>CHOOSE(MATCH(IF($U133="","Основний",$U133),{"Трафіковий","Основний","Маржинальний","Сезонний","Стратегічний"},0),0.16,0.19,0.25,0.23,0.29)</f>
        <v/>
      </c>
      <c r="AJ133" s="104">
        <f>CHOOSE(MATCH(IF($U133="","Основний",$U133),{"Трафіковий","Основний","Маржинальний","Сезонний","Стратегічний"},0),0.14,0.17,0.22,0.21,0.25)</f>
        <v/>
      </c>
      <c r="AK133" s="104">
        <f>CHOOSE(MATCH(IF($U133="","Основний",$U133),{"Трафіковий","Основний","Маржинальний","Сезонний","Стратегічний"},0),0.15,0.18,0.23,0.22,0.27)</f>
        <v/>
      </c>
      <c r="AL133" s="104">
        <f>CHOOSE(MATCH(IF($U133="","Основний",$U133),{"Трафіковий","Основний","Маржинальний","Сезонний","Стратегічний"},0),0.15,0.17,0.25,0.24,0.29)</f>
        <v/>
      </c>
      <c r="AM133" s="104">
        <f>CHOOSE(MATCH(IF($U133="","Основний",$U133),{"Трафіковий","Основний","Маржинальний","Сезонний","Стратегічний"},0),0.12,0.145,0.19,0.18,0.22)</f>
        <v/>
      </c>
      <c r="AN133" s="157">
        <f>CHOOSE(MATCH(IF($U133="","Основний",$U133),{"Трафіковий","Основний","Маржинальний","Сезонний","Стратегічний"},0),Settings!$B$78,Settings!$B$80,Settings!$B$82,Settings!$B$84,Settings!$B$86)</f>
        <v/>
      </c>
      <c r="AO133" s="157">
        <f>CHOOSE(MATCH(IF($U133="","Основний",$U133),{"Трафіковий","Основний","Маржинальний","Сезонний","Стратегічний"},0),Settings!$C$78,Settings!$C$80,Settings!$C$82,Settings!$C$84,Settings!$C$86)</f>
        <v/>
      </c>
      <c r="AP133" s="157">
        <f>CHOOSE(MATCH(IF($U133="","Основний",$U133),{"Трафіковий","Основний","Маржинальний","Сезонний","Стратегічний"},0),Settings!$D$78,Settings!$D$80,Settings!$D$82,Settings!$D$84,Settings!$D$86)</f>
        <v/>
      </c>
      <c r="AQ133" s="157">
        <f>CHOOSE(MATCH(IF($U133="","Основний",$U133),{"Трафіковий","Основний","Маржинальний","Сезонний","Стратегічний"},0),Settings!$F$78,Settings!$F$80,Settings!$F$82,Settings!$F$84,Settings!$F$86)</f>
        <v/>
      </c>
      <c r="AR133" s="157">
        <f>CHOOSE(MATCH(IF($U133="","Основний",$U133),{"Трафіковий","Основний","Маржинальний","Сезонний","Стратегічний"},0),Settings!$G$78,Settings!$G$80,Settings!$G$82,Settings!$G$84,Settings!$G$86)</f>
        <v/>
      </c>
      <c r="AS133" s="157">
        <f>CHOOSE(MATCH(IF($U133="","Основний",$U133),{"Трафіковий","Основний","Маржинальний","Сезонний","Стратегічний"},0),Settings!$H$78,Settings!$H$80,Settings!$H$82,Settings!$H$84,Settings!$H$86)</f>
        <v/>
      </c>
      <c r="AT133" s="157">
        <f>CHOOSE(MATCH(IF($U133="","Основний",$U133),{"Трафіковий","Основний","Маржинальний","Сезонний","Стратегічний"},0),Settings!$I$78,Settings!$I$80,Settings!$I$82,Settings!$I$84,Settings!$I$86)</f>
        <v/>
      </c>
      <c r="AU133" s="171" t="n"/>
      <c r="AV133" t="n">
        <v>1.35</v>
      </c>
    </row>
    <row r="134">
      <c r="A134" s="28" t="inlineStr">
        <is>
          <t>NEW</t>
        </is>
      </c>
      <c r="B134" s="29" t="inlineStr">
        <is>
          <t>ZG121S</t>
        </is>
      </c>
      <c r="C134" s="29" t="inlineStr">
        <is>
          <t>LED SOLAR REFLEKTOR SOLO 1000LM IP54 NW</t>
        </is>
      </c>
      <c r="D134" s="29" t="inlineStr">
        <is>
          <t>Світильники та прожектори на соняній батареї</t>
        </is>
      </c>
      <c r="E134" s="28" t="inlineStr">
        <is>
          <t>PC</t>
        </is>
      </c>
      <c r="F134" s="93" t="n">
        <v>7.148</v>
      </c>
      <c r="G134" s="30" t="n">
        <v>9405421000</v>
      </c>
      <c r="H134" s="31" t="n">
        <v>1.3</v>
      </c>
      <c r="I134" s="84">
        <f>IFERROR(F134*Settings!$B$2*H134*IF(AND(ISNUMBER(E134),E134&gt;1),E134,1),"")</f>
        <v/>
      </c>
      <c r="J134" s="32">
        <f>Settings!$B$66</f>
        <v/>
      </c>
      <c r="K134" s="95">
        <f>IFERROR(IF(T134="","",(T134*(1-AN134)*(1-Settings!$B$17)-I134)/(T134*(1-AN134)*(1-Settings!$B$17))),"")</f>
        <v/>
      </c>
      <c r="L134" s="101">
        <f>IFERROR(IF(T134="","",(T134*(1-AO134)*(1-Settings!$C$17)-I134)/(T134*(1-AO134)*(1-Settings!$C$17))),"")</f>
        <v/>
      </c>
      <c r="M134" s="101">
        <f>IFERROR(IF(T134="","",(T134*(1-AP134)*(1-Settings!$D$17)-I134)/(T134*(1-AP134)*(1-Settings!$D$17))),"")</f>
        <v/>
      </c>
      <c r="N134" s="101">
        <f>IFERROR(IF(T134="","",(T134*(1-AQ134)*(1-Settings!$F$17)-I134)/(T134*(1-AQ134)*(1-Settings!$F$17))),"")</f>
        <v/>
      </c>
      <c r="O134" s="101">
        <f>IFERROR(IF(T134="","",(T134*(1-AR134)*(1-Settings!$G$17)-I134)/(T134*(1-AR134)*(1-Settings!$G$17))),"")</f>
        <v/>
      </c>
      <c r="P134" s="101">
        <f>IFERROR(IF(T134="","",(T134*(1-AS134)*(1-Settings!$H$17)-I134)/(T134*(1-AS134)*(1-Settings!$H$17))),"")</f>
        <v/>
      </c>
      <c r="Q134" s="101">
        <f>IFERROR(IF(T134="","",(T134*(1-AT134)*(1-Settings!$I$68)*(1-Settings!$I$17)-I134)/(T134*(1-AT134)*(1-Settings!$I$68)*(1-Settings!$I$17))),"")</f>
        <v/>
      </c>
      <c r="R134" s="91">
        <f>IFERROR(IF(OR(I134="",Z134&gt;=1,Settings!$B$17&gt;=1,AN134&gt;=1),"",IF(MOD(ROUND(I134/(1-Z134)/(1-Settings!$B$17)/(1-AN134),0),10)=0,ROUND(I134/(1-Z134)/(1-Settings!$B$17)/(1-AN134),0)-1,IF(MOD(ROUND(I134/(1-Z134)/(1-Settings!$B$17)/(1-AN134),0),10)&lt;=5,FLOOR(ROUND(I134/(1-Z134)/(1-Settings!$B$17)/(1-AN134),0),10)+6,FLOOR(ROUND(I134/(1-Z134)/(1-Settings!$B$17)/(1-AN134),0),10)+9))),"")</f>
        <v/>
      </c>
      <c r="S134" s="92" t="n"/>
      <c r="T134" s="91">
        <f>IF(S134&lt;&gt;"", IF(MOD(S134,10)=0,S134-1,IF(MOD(S134,10)&lt;=5,FLOOR(S134,10)+6,FLOOR(S134,10)+9)), R134)</f>
        <v/>
      </c>
      <c r="U134" s="87" t="inlineStr">
        <is>
          <t>Основний</t>
        </is>
      </c>
      <c r="V134" s="88" t="n"/>
      <c r="W134" s="88" t="n"/>
      <c r="X134" s="89">
        <f>IFERROR(IF(OR(V134="",W134="",T134=""),"", IF(T134&gt;W134,"Дорогий",IF(T134&lt;V134,"Дешевий","У ринку"))),"")</f>
        <v/>
      </c>
      <c r="Y134" s="90" t="n"/>
      <c r="Z134" s="104">
        <f>CHOOSE(MATCH(IF($U134="","Основний",$U134),{"Трафіковий","Основний","Маржинальний","Сезонний","Стратегічний"},0),0.16,0.19,0.24,0.23,0.28)</f>
        <v/>
      </c>
      <c r="AA134" s="104">
        <f>CHOOSE(MATCH(IF($U134="","Основний",$U134),{"Трафіковий","Основний","Маржинальний","Сезонний","Стратегічний"},0),0.18,0.21,0.26,0.25,0.3)</f>
        <v/>
      </c>
      <c r="AB134" s="104">
        <f>CHOOSE(MATCH(IF($U134="","Основний",$U134),{"Трафіковий","Основний","Маржинальний","Сезонний","Стратегічний"},0),0.19,0.22,0.28,0.26,0.32)</f>
        <v/>
      </c>
      <c r="AC134" s="104">
        <f>CHOOSE(MATCH(IF($U134="","Основний",$U134),{"Трафіковий","Основний","Маржинальний","Сезонний","Стратегічний"},0),0.17,0.2,0.25,0.24,0.28)</f>
        <v/>
      </c>
      <c r="AD134" s="104">
        <f>CHOOSE(MATCH(IF($U134="","Основний",$U134),{"Трафіковий","Основний","Маржинальний","Сезонний","Стратегічний"},0),0.18,0.21,0.26,0.25,0.3)</f>
        <v/>
      </c>
      <c r="AE134" s="104">
        <f>CHOOSE(MATCH(IF($U134="","Основний",$U134),{"Трафіковий","Основний","Маржинальний","Сезонний","Стратегічний"},0),0.18,0.2,0.28,0.27,0.32)</f>
        <v/>
      </c>
      <c r="AF134" s="104">
        <f>CHOOSE(MATCH(IF($U134="","Основний",$U134),{"Трафіковий","Основний","Маржинальний","Сезонний","Стратегічний"},0),0.15,0.175,0.22,0.21,0.25)</f>
        <v/>
      </c>
      <c r="AG134" s="104">
        <f>CHOOSE(MATCH(IF($U134="","Основний",$U134),{"Трафіковий","Основний","Маржинальний","Сезонний","Стратегічний"},0),0.13,0.16,0.21,0.2,0.25)</f>
        <v/>
      </c>
      <c r="AH134" s="104">
        <f>CHOOSE(MATCH(IF($U134="","Основний",$U134),{"Трафіковий","Основний","Маржинальний","Сезонний","Стратегічний"},0),0.15,0.18,0.23,0.22,0.27)</f>
        <v/>
      </c>
      <c r="AI134" s="104">
        <f>CHOOSE(MATCH(IF($U134="","Основний",$U134),{"Трафіковий","Основний","Маржинальний","Сезонний","Стратегічний"},0),0.16,0.19,0.25,0.23,0.29)</f>
        <v/>
      </c>
      <c r="AJ134" s="104">
        <f>CHOOSE(MATCH(IF($U134="","Основний",$U134),{"Трафіковий","Основний","Маржинальний","Сезонний","Стратегічний"},0),0.14,0.17,0.22,0.21,0.25)</f>
        <v/>
      </c>
      <c r="AK134" s="104">
        <f>CHOOSE(MATCH(IF($U134="","Основний",$U134),{"Трафіковий","Основний","Маржинальний","Сезонний","Стратегічний"},0),0.15,0.18,0.23,0.22,0.27)</f>
        <v/>
      </c>
      <c r="AL134" s="104">
        <f>CHOOSE(MATCH(IF($U134="","Основний",$U134),{"Трафіковий","Основний","Маржинальний","Сезонний","Стратегічний"},0),0.15,0.17,0.25,0.24,0.29)</f>
        <v/>
      </c>
      <c r="AM134" s="104">
        <f>CHOOSE(MATCH(IF($U134="","Основний",$U134),{"Трафіковий","Основний","Маржинальний","Сезонний","Стратегічний"},0),0.12,0.145,0.19,0.18,0.22)</f>
        <v/>
      </c>
      <c r="AN134" s="157">
        <f>CHOOSE(MATCH(IF($U134="","Основний",$U134),{"Трафіковий","Основний","Маржинальний","Сезонний","Стратегічний"},0),Settings!$B$78,Settings!$B$80,Settings!$B$82,Settings!$B$84,Settings!$B$86)</f>
        <v/>
      </c>
      <c r="AO134" s="157">
        <f>CHOOSE(MATCH(IF($U134="","Основний",$U134),{"Трафіковий","Основний","Маржинальний","Сезонний","Стратегічний"},0),Settings!$C$78,Settings!$C$80,Settings!$C$82,Settings!$C$84,Settings!$C$86)</f>
        <v/>
      </c>
      <c r="AP134" s="157">
        <f>CHOOSE(MATCH(IF($U134="","Основний",$U134),{"Трафіковий","Основний","Маржинальний","Сезонний","Стратегічний"},0),Settings!$D$78,Settings!$D$80,Settings!$D$82,Settings!$D$84,Settings!$D$86)</f>
        <v/>
      </c>
      <c r="AQ134" s="157">
        <f>CHOOSE(MATCH(IF($U134="","Основний",$U134),{"Трафіковий","Основний","Маржинальний","Сезонний","Стратегічний"},0),Settings!$F$78,Settings!$F$80,Settings!$F$82,Settings!$F$84,Settings!$F$86)</f>
        <v/>
      </c>
      <c r="AR134" s="157">
        <f>CHOOSE(MATCH(IF($U134="","Основний",$U134),{"Трафіковий","Основний","Маржинальний","Сезонний","Стратегічний"},0),Settings!$G$78,Settings!$G$80,Settings!$G$82,Settings!$G$84,Settings!$G$86)</f>
        <v/>
      </c>
      <c r="AS134" s="157">
        <f>CHOOSE(MATCH(IF($U134="","Основний",$U134),{"Трафіковий","Основний","Маржинальний","Сезонний","Стратегічний"},0),Settings!$H$78,Settings!$H$80,Settings!$H$82,Settings!$H$84,Settings!$H$86)</f>
        <v/>
      </c>
      <c r="AT134" s="157">
        <f>CHOOSE(MATCH(IF($U134="","Основний",$U134),{"Трафіковий","Основний","Маржинальний","Сезонний","Стратегічний"},0),Settings!$I$78,Settings!$I$80,Settings!$I$82,Settings!$I$84,Settings!$I$86)</f>
        <v/>
      </c>
      <c r="AU134" s="171" t="n"/>
      <c r="AV134" t="n">
        <v>1.35</v>
      </c>
    </row>
    <row r="135">
      <c r="A135" s="33" t="inlineStr">
        <is>
          <t>NEW</t>
        </is>
      </c>
      <c r="B135" s="34" t="inlineStr">
        <is>
          <t>ZG122S</t>
        </is>
      </c>
      <c r="C135" s="34" t="inlineStr">
        <is>
          <t>LED SOLAR REFLEKTOR SOLO 1600LM IP54 NW</t>
        </is>
      </c>
      <c r="D135" s="34" t="inlineStr">
        <is>
          <t>Світильники та прожектори на соняній батареї</t>
        </is>
      </c>
      <c r="E135" s="33" t="inlineStr">
        <is>
          <t>PC</t>
        </is>
      </c>
      <c r="F135" s="94" t="n">
        <v>9.99</v>
      </c>
      <c r="G135" s="35" t="n">
        <v>9405421000</v>
      </c>
      <c r="H135" s="31" t="n">
        <v>1.3</v>
      </c>
      <c r="I135" s="84">
        <f>IFERROR(F135*Settings!$B$2*H135*IF(AND(ISNUMBER(E135),E135&gt;1),E135,1),"")</f>
        <v/>
      </c>
      <c r="J135" s="32">
        <f>Settings!$B$66</f>
        <v/>
      </c>
      <c r="K135" s="95">
        <f>IFERROR(IF(T135="","",(T135*(1-AN135)*(1-Settings!$B$17)-I135)/(T135*(1-AN135)*(1-Settings!$B$17))),"")</f>
        <v/>
      </c>
      <c r="L135" s="101">
        <f>IFERROR(IF(T135="","",(T135*(1-AO135)*(1-Settings!$C$17)-I135)/(T135*(1-AO135)*(1-Settings!$C$17))),"")</f>
        <v/>
      </c>
      <c r="M135" s="101">
        <f>IFERROR(IF(T135="","",(T135*(1-AP135)*(1-Settings!$D$17)-I135)/(T135*(1-AP135)*(1-Settings!$D$17))),"")</f>
        <v/>
      </c>
      <c r="N135" s="101">
        <f>IFERROR(IF(T135="","",(T135*(1-AQ135)*(1-Settings!$F$17)-I135)/(T135*(1-AQ135)*(1-Settings!$F$17))),"")</f>
        <v/>
      </c>
      <c r="O135" s="101">
        <f>IFERROR(IF(T135="","",(T135*(1-AR135)*(1-Settings!$G$17)-I135)/(T135*(1-AR135)*(1-Settings!$G$17))),"")</f>
        <v/>
      </c>
      <c r="P135" s="101">
        <f>IFERROR(IF(T135="","",(T135*(1-AS135)*(1-Settings!$H$17)-I135)/(T135*(1-AS135)*(1-Settings!$H$17))),"")</f>
        <v/>
      </c>
      <c r="Q135" s="101">
        <f>IFERROR(IF(T135="","",(T135*(1-AT135)*(1-Settings!$I$68)*(1-Settings!$I$17)-I135)/(T135*(1-AT135)*(1-Settings!$I$68)*(1-Settings!$I$17))),"")</f>
        <v/>
      </c>
      <c r="R135" s="91">
        <f>IFERROR(IF(OR(I135="",Z135&gt;=1,Settings!$B$17&gt;=1,AN135&gt;=1),"",IF(MOD(ROUND(I135/(1-Z135)/(1-Settings!$B$17)/(1-AN135),0),10)=0,ROUND(I135/(1-Z135)/(1-Settings!$B$17)/(1-AN135),0)-1,IF(MOD(ROUND(I135/(1-Z135)/(1-Settings!$B$17)/(1-AN135),0),10)&lt;=5,FLOOR(ROUND(I135/(1-Z135)/(1-Settings!$B$17)/(1-AN135),0),10)+6,FLOOR(ROUND(I135/(1-Z135)/(1-Settings!$B$17)/(1-AN135),0),10)+9))),"")</f>
        <v/>
      </c>
      <c r="S135" s="92" t="n"/>
      <c r="T135" s="91">
        <f>IF(S135&lt;&gt;"", IF(MOD(S135,10)=0,S135-1,IF(MOD(S135,10)&lt;=5,FLOOR(S135,10)+6,FLOOR(S135,10)+9)), R135)</f>
        <v/>
      </c>
      <c r="U135" s="87" t="inlineStr">
        <is>
          <t>Основний</t>
        </is>
      </c>
      <c r="V135" s="88" t="n"/>
      <c r="W135" s="88" t="n"/>
      <c r="X135" s="89">
        <f>IFERROR(IF(OR(V135="",W135="",T135=""),"", IF(T135&gt;W135,"Дорогий",IF(T135&lt;V135,"Дешевий","У ринку"))),"")</f>
        <v/>
      </c>
      <c r="Y135" s="90" t="n"/>
      <c r="Z135" s="104">
        <f>CHOOSE(MATCH(IF($U135="","Основний",$U135),{"Трафіковий","Основний","Маржинальний","Сезонний","Стратегічний"},0),0.16,0.19,0.24,0.23,0.28)</f>
        <v/>
      </c>
      <c r="AA135" s="104">
        <f>CHOOSE(MATCH(IF($U135="","Основний",$U135),{"Трафіковий","Основний","Маржинальний","Сезонний","Стратегічний"},0),0.18,0.21,0.26,0.25,0.3)</f>
        <v/>
      </c>
      <c r="AB135" s="104">
        <f>CHOOSE(MATCH(IF($U135="","Основний",$U135),{"Трафіковий","Основний","Маржинальний","Сезонний","Стратегічний"},0),0.19,0.22,0.28,0.26,0.32)</f>
        <v/>
      </c>
      <c r="AC135" s="104">
        <f>CHOOSE(MATCH(IF($U135="","Основний",$U135),{"Трафіковий","Основний","Маржинальний","Сезонний","Стратегічний"},0),0.17,0.2,0.25,0.24,0.28)</f>
        <v/>
      </c>
      <c r="AD135" s="104">
        <f>CHOOSE(MATCH(IF($U135="","Основний",$U135),{"Трафіковий","Основний","Маржинальний","Сезонний","Стратегічний"},0),0.18,0.21,0.26,0.25,0.3)</f>
        <v/>
      </c>
      <c r="AE135" s="104">
        <f>CHOOSE(MATCH(IF($U135="","Основний",$U135),{"Трафіковий","Основний","Маржинальний","Сезонний","Стратегічний"},0),0.18,0.2,0.28,0.27,0.32)</f>
        <v/>
      </c>
      <c r="AF135" s="104">
        <f>CHOOSE(MATCH(IF($U135="","Основний",$U135),{"Трафіковий","Основний","Маржинальний","Сезонний","Стратегічний"},0),0.15,0.175,0.22,0.21,0.25)</f>
        <v/>
      </c>
      <c r="AG135" s="104">
        <f>CHOOSE(MATCH(IF($U135="","Основний",$U135),{"Трафіковий","Основний","Маржинальний","Сезонний","Стратегічний"},0),0.13,0.16,0.21,0.2,0.25)</f>
        <v/>
      </c>
      <c r="AH135" s="104">
        <f>CHOOSE(MATCH(IF($U135="","Основний",$U135),{"Трафіковий","Основний","Маржинальний","Сезонний","Стратегічний"},0),0.15,0.18,0.23,0.22,0.27)</f>
        <v/>
      </c>
      <c r="AI135" s="104">
        <f>CHOOSE(MATCH(IF($U135="","Основний",$U135),{"Трафіковий","Основний","Маржинальний","Сезонний","Стратегічний"},0),0.16,0.19,0.25,0.23,0.29)</f>
        <v/>
      </c>
      <c r="AJ135" s="104">
        <f>CHOOSE(MATCH(IF($U135="","Основний",$U135),{"Трафіковий","Основний","Маржинальний","Сезонний","Стратегічний"},0),0.14,0.17,0.22,0.21,0.25)</f>
        <v/>
      </c>
      <c r="AK135" s="104">
        <f>CHOOSE(MATCH(IF($U135="","Основний",$U135),{"Трафіковий","Основний","Маржинальний","Сезонний","Стратегічний"},0),0.15,0.18,0.23,0.22,0.27)</f>
        <v/>
      </c>
      <c r="AL135" s="104">
        <f>CHOOSE(MATCH(IF($U135="","Основний",$U135),{"Трафіковий","Основний","Маржинальний","Сезонний","Стратегічний"},0),0.15,0.17,0.25,0.24,0.29)</f>
        <v/>
      </c>
      <c r="AM135" s="104">
        <f>CHOOSE(MATCH(IF($U135="","Основний",$U135),{"Трафіковий","Основний","Маржинальний","Сезонний","Стратегічний"},0),0.12,0.145,0.19,0.18,0.22)</f>
        <v/>
      </c>
      <c r="AN135" s="157">
        <f>CHOOSE(MATCH(IF($U135="","Основний",$U135),{"Трафіковий","Основний","Маржинальний","Сезонний","Стратегічний"},0),Settings!$B$78,Settings!$B$80,Settings!$B$82,Settings!$B$84,Settings!$B$86)</f>
        <v/>
      </c>
      <c r="AO135" s="157">
        <f>CHOOSE(MATCH(IF($U135="","Основний",$U135),{"Трафіковий","Основний","Маржинальний","Сезонний","Стратегічний"},0),Settings!$C$78,Settings!$C$80,Settings!$C$82,Settings!$C$84,Settings!$C$86)</f>
        <v/>
      </c>
      <c r="AP135" s="157">
        <f>CHOOSE(MATCH(IF($U135="","Основний",$U135),{"Трафіковий","Основний","Маржинальний","Сезонний","Стратегічний"},0),Settings!$D$78,Settings!$D$80,Settings!$D$82,Settings!$D$84,Settings!$D$86)</f>
        <v/>
      </c>
      <c r="AQ135" s="157">
        <f>CHOOSE(MATCH(IF($U135="","Основний",$U135),{"Трафіковий","Основний","Маржинальний","Сезонний","Стратегічний"},0),Settings!$F$78,Settings!$F$80,Settings!$F$82,Settings!$F$84,Settings!$F$86)</f>
        <v/>
      </c>
      <c r="AR135" s="157">
        <f>CHOOSE(MATCH(IF($U135="","Основний",$U135),{"Трафіковий","Основний","Маржинальний","Сезонний","Стратегічний"},0),Settings!$G$78,Settings!$G$80,Settings!$G$82,Settings!$G$84,Settings!$G$86)</f>
        <v/>
      </c>
      <c r="AS135" s="157">
        <f>CHOOSE(MATCH(IF($U135="","Основний",$U135),{"Трафіковий","Основний","Маржинальний","Сезонний","Стратегічний"},0),Settings!$H$78,Settings!$H$80,Settings!$H$82,Settings!$H$84,Settings!$H$86)</f>
        <v/>
      </c>
      <c r="AT135" s="157">
        <f>CHOOSE(MATCH(IF($U135="","Основний",$U135),{"Трафіковий","Основний","Маржинальний","Сезонний","Стратегічний"},0),Settings!$I$78,Settings!$I$80,Settings!$I$82,Settings!$I$84,Settings!$I$86)</f>
        <v/>
      </c>
      <c r="AU135" s="171" t="n"/>
      <c r="AV135" t="n">
        <v>1.35</v>
      </c>
    </row>
    <row r="136">
      <c r="A136" s="28" t="inlineStr">
        <is>
          <t>NEW</t>
        </is>
      </c>
      <c r="B136" s="29" t="inlineStr">
        <is>
          <t>ZG131S</t>
        </is>
      </c>
      <c r="C136" s="29" t="inlineStr">
        <is>
          <t>LED SOLAR REFLEKTOR  SPILO 1500LM IP54 WW</t>
        </is>
      </c>
      <c r="D136" s="29" t="inlineStr">
        <is>
          <t>Світильники та прожектори на соняній батареї</t>
        </is>
      </c>
      <c r="E136" s="28" t="inlineStr">
        <is>
          <t>PC</t>
        </is>
      </c>
      <c r="F136" s="93" t="n">
        <v>9.005000000000001</v>
      </c>
      <c r="G136" s="30" t="n">
        <v>9405421000</v>
      </c>
      <c r="H136" s="31" t="n">
        <v>1.3</v>
      </c>
      <c r="I136" s="84">
        <f>IFERROR(F136*Settings!$B$2*H136*IF(AND(ISNUMBER(E136),E136&gt;1),E136,1),"")</f>
        <v/>
      </c>
      <c r="J136" s="32">
        <f>Settings!$B$66</f>
        <v/>
      </c>
      <c r="K136" s="95">
        <f>IFERROR(IF(T136="","",(T136*(1-AN136)*(1-Settings!$B$17)-I136)/(T136*(1-AN136)*(1-Settings!$B$17))),"")</f>
        <v/>
      </c>
      <c r="L136" s="101">
        <f>IFERROR(IF(T136="","",(T136*(1-AO136)*(1-Settings!$C$17)-I136)/(T136*(1-AO136)*(1-Settings!$C$17))),"")</f>
        <v/>
      </c>
      <c r="M136" s="101">
        <f>IFERROR(IF(T136="","",(T136*(1-AP136)*(1-Settings!$D$17)-I136)/(T136*(1-AP136)*(1-Settings!$D$17))),"")</f>
        <v/>
      </c>
      <c r="N136" s="101">
        <f>IFERROR(IF(T136="","",(T136*(1-AQ136)*(1-Settings!$F$17)-I136)/(T136*(1-AQ136)*(1-Settings!$F$17))),"")</f>
        <v/>
      </c>
      <c r="O136" s="101">
        <f>IFERROR(IF(T136="","",(T136*(1-AR136)*(1-Settings!$G$17)-I136)/(T136*(1-AR136)*(1-Settings!$G$17))),"")</f>
        <v/>
      </c>
      <c r="P136" s="101">
        <f>IFERROR(IF(T136="","",(T136*(1-AS136)*(1-Settings!$H$17)-I136)/(T136*(1-AS136)*(1-Settings!$H$17))),"")</f>
        <v/>
      </c>
      <c r="Q136" s="101">
        <f>IFERROR(IF(T136="","",(T136*(1-AT136)*(1-Settings!$I$68)*(1-Settings!$I$17)-I136)/(T136*(1-AT136)*(1-Settings!$I$68)*(1-Settings!$I$17))),"")</f>
        <v/>
      </c>
      <c r="R136" s="91">
        <f>IFERROR(IF(OR(I136="",Z136&gt;=1,Settings!$B$17&gt;=1,AN136&gt;=1),"",IF(MOD(ROUND(I136/(1-Z136)/(1-Settings!$B$17)/(1-AN136),0),10)=0,ROUND(I136/(1-Z136)/(1-Settings!$B$17)/(1-AN136),0)-1,IF(MOD(ROUND(I136/(1-Z136)/(1-Settings!$B$17)/(1-AN136),0),10)&lt;=5,FLOOR(ROUND(I136/(1-Z136)/(1-Settings!$B$17)/(1-AN136),0),10)+6,FLOOR(ROUND(I136/(1-Z136)/(1-Settings!$B$17)/(1-AN136),0),10)+9))),"")</f>
        <v/>
      </c>
      <c r="S136" s="92" t="n"/>
      <c r="T136" s="91">
        <f>IF(S136&lt;&gt;"", IF(MOD(S136,10)=0,S136-1,IF(MOD(S136,10)&lt;=5,FLOOR(S136,10)+6,FLOOR(S136,10)+9)), R136)</f>
        <v/>
      </c>
      <c r="U136" s="87" t="inlineStr">
        <is>
          <t>Основний</t>
        </is>
      </c>
      <c r="V136" s="88" t="n"/>
      <c r="W136" s="88" t="n"/>
      <c r="X136" s="89">
        <f>IFERROR(IF(OR(V136="",W136="",T136=""),"", IF(T136&gt;W136,"Дорогий",IF(T136&lt;V136,"Дешевий","У ринку"))),"")</f>
        <v/>
      </c>
      <c r="Y136" s="90" t="n"/>
      <c r="Z136" s="104">
        <f>CHOOSE(MATCH(IF($U136="","Основний",$U136),{"Трафіковий","Основний","Маржинальний","Сезонний","Стратегічний"},0),0.16,0.19,0.24,0.23,0.28)</f>
        <v/>
      </c>
      <c r="AA136" s="104">
        <f>CHOOSE(MATCH(IF($U136="","Основний",$U136),{"Трафіковий","Основний","Маржинальний","Сезонний","Стратегічний"},0),0.18,0.21,0.26,0.25,0.3)</f>
        <v/>
      </c>
      <c r="AB136" s="104">
        <f>CHOOSE(MATCH(IF($U136="","Основний",$U136),{"Трафіковий","Основний","Маржинальний","Сезонний","Стратегічний"},0),0.19,0.22,0.28,0.26,0.32)</f>
        <v/>
      </c>
      <c r="AC136" s="104">
        <f>CHOOSE(MATCH(IF($U136="","Основний",$U136),{"Трафіковий","Основний","Маржинальний","Сезонний","Стратегічний"},0),0.17,0.2,0.25,0.24,0.28)</f>
        <v/>
      </c>
      <c r="AD136" s="104">
        <f>CHOOSE(MATCH(IF($U136="","Основний",$U136),{"Трафіковий","Основний","Маржинальний","Сезонний","Стратегічний"},0),0.18,0.21,0.26,0.25,0.3)</f>
        <v/>
      </c>
      <c r="AE136" s="104">
        <f>CHOOSE(MATCH(IF($U136="","Основний",$U136),{"Трафіковий","Основний","Маржинальний","Сезонний","Стратегічний"},0),0.18,0.2,0.28,0.27,0.32)</f>
        <v/>
      </c>
      <c r="AF136" s="104">
        <f>CHOOSE(MATCH(IF($U136="","Основний",$U136),{"Трафіковий","Основний","Маржинальний","Сезонний","Стратегічний"},0),0.15,0.175,0.22,0.21,0.25)</f>
        <v/>
      </c>
      <c r="AG136" s="104">
        <f>CHOOSE(MATCH(IF($U136="","Основний",$U136),{"Трафіковий","Основний","Маржинальний","Сезонний","Стратегічний"},0),0.13,0.16,0.21,0.2,0.25)</f>
        <v/>
      </c>
      <c r="AH136" s="104">
        <f>CHOOSE(MATCH(IF($U136="","Основний",$U136),{"Трафіковий","Основний","Маржинальний","Сезонний","Стратегічний"},0),0.15,0.18,0.23,0.22,0.27)</f>
        <v/>
      </c>
      <c r="AI136" s="104">
        <f>CHOOSE(MATCH(IF($U136="","Основний",$U136),{"Трафіковий","Основний","Маржинальний","Сезонний","Стратегічний"},0),0.16,0.19,0.25,0.23,0.29)</f>
        <v/>
      </c>
      <c r="AJ136" s="104">
        <f>CHOOSE(MATCH(IF($U136="","Основний",$U136),{"Трафіковий","Основний","Маржинальний","Сезонний","Стратегічний"},0),0.14,0.17,0.22,0.21,0.25)</f>
        <v/>
      </c>
      <c r="AK136" s="104">
        <f>CHOOSE(MATCH(IF($U136="","Основний",$U136),{"Трафіковий","Основний","Маржинальний","Сезонний","Стратегічний"},0),0.15,0.18,0.23,0.22,0.27)</f>
        <v/>
      </c>
      <c r="AL136" s="104">
        <f>CHOOSE(MATCH(IF($U136="","Основний",$U136),{"Трафіковий","Основний","Маржинальний","Сезонний","Стратегічний"},0),0.15,0.17,0.25,0.24,0.29)</f>
        <v/>
      </c>
      <c r="AM136" s="104">
        <f>CHOOSE(MATCH(IF($U136="","Основний",$U136),{"Трафіковий","Основний","Маржинальний","Сезонний","Стратегічний"},0),0.12,0.145,0.19,0.18,0.22)</f>
        <v/>
      </c>
      <c r="AN136" s="157">
        <f>CHOOSE(MATCH(IF($U136="","Основний",$U136),{"Трафіковий","Основний","Маржинальний","Сезонний","Стратегічний"},0),Settings!$B$78,Settings!$B$80,Settings!$B$82,Settings!$B$84,Settings!$B$86)</f>
        <v/>
      </c>
      <c r="AO136" s="157">
        <f>CHOOSE(MATCH(IF($U136="","Основний",$U136),{"Трафіковий","Основний","Маржинальний","Сезонний","Стратегічний"},0),Settings!$C$78,Settings!$C$80,Settings!$C$82,Settings!$C$84,Settings!$C$86)</f>
        <v/>
      </c>
      <c r="AP136" s="157">
        <f>CHOOSE(MATCH(IF($U136="","Основний",$U136),{"Трафіковий","Основний","Маржинальний","Сезонний","Стратегічний"},0),Settings!$D$78,Settings!$D$80,Settings!$D$82,Settings!$D$84,Settings!$D$86)</f>
        <v/>
      </c>
      <c r="AQ136" s="157">
        <f>CHOOSE(MATCH(IF($U136="","Основний",$U136),{"Трафіковий","Основний","Маржинальний","Сезонний","Стратегічний"},0),Settings!$F$78,Settings!$F$80,Settings!$F$82,Settings!$F$84,Settings!$F$86)</f>
        <v/>
      </c>
      <c r="AR136" s="157">
        <f>CHOOSE(MATCH(IF($U136="","Основний",$U136),{"Трафіковий","Основний","Маржинальний","Сезонний","Стратегічний"},0),Settings!$G$78,Settings!$G$80,Settings!$G$82,Settings!$G$84,Settings!$G$86)</f>
        <v/>
      </c>
      <c r="AS136" s="157">
        <f>CHOOSE(MATCH(IF($U136="","Основний",$U136),{"Трафіковий","Основний","Маржинальний","Сезонний","Стратегічний"},0),Settings!$H$78,Settings!$H$80,Settings!$H$82,Settings!$H$84,Settings!$H$86)</f>
        <v/>
      </c>
      <c r="AT136" s="157">
        <f>CHOOSE(MATCH(IF($U136="","Основний",$U136),{"Трафіковий","Основний","Маржинальний","Сезонний","Стратегічний"},0),Settings!$I$78,Settings!$I$80,Settings!$I$82,Settings!$I$84,Settings!$I$86)</f>
        <v/>
      </c>
      <c r="AU136" s="171" t="n"/>
      <c r="AV136" t="n">
        <v>1.35</v>
      </c>
    </row>
    <row r="137">
      <c r="A137" s="33" t="inlineStr">
        <is>
          <t>NEW</t>
        </is>
      </c>
      <c r="B137" s="34" t="inlineStr">
        <is>
          <t>ZG132S</t>
        </is>
      </c>
      <c r="C137" s="34" t="inlineStr">
        <is>
          <t>LED SOLAR REFLEKTOR  SPILO 1500LM IP54 WW</t>
        </is>
      </c>
      <c r="D137" s="34" t="inlineStr">
        <is>
          <t>Світильники та прожектори на соняній батареї</t>
        </is>
      </c>
      <c r="E137" s="33" t="inlineStr">
        <is>
          <t>PC</t>
        </is>
      </c>
      <c r="F137" s="94" t="n">
        <v>9.343999999999999</v>
      </c>
      <c r="G137" s="35" t="n">
        <v>9405421000</v>
      </c>
      <c r="H137" s="31" t="n">
        <v>1.3</v>
      </c>
      <c r="I137" s="84">
        <f>IFERROR(F137*Settings!$B$2*H137*IF(AND(ISNUMBER(E137),E137&gt;1),E137,1),"")</f>
        <v/>
      </c>
      <c r="J137" s="32">
        <f>Settings!$B$66</f>
        <v/>
      </c>
      <c r="K137" s="95">
        <f>IFERROR(IF(T137="","",(T137*(1-AN137)*(1-Settings!$B$17)-I137)/(T137*(1-AN137)*(1-Settings!$B$17))),"")</f>
        <v/>
      </c>
      <c r="L137" s="101">
        <f>IFERROR(IF(T137="","",(T137*(1-AO137)*(1-Settings!$C$17)-I137)/(T137*(1-AO137)*(1-Settings!$C$17))),"")</f>
        <v/>
      </c>
      <c r="M137" s="101">
        <f>IFERROR(IF(T137="","",(T137*(1-AP137)*(1-Settings!$D$17)-I137)/(T137*(1-AP137)*(1-Settings!$D$17))),"")</f>
        <v/>
      </c>
      <c r="N137" s="101">
        <f>IFERROR(IF(T137="","",(T137*(1-AQ137)*(1-Settings!$F$17)-I137)/(T137*(1-AQ137)*(1-Settings!$F$17))),"")</f>
        <v/>
      </c>
      <c r="O137" s="101">
        <f>IFERROR(IF(T137="","",(T137*(1-AR137)*(1-Settings!$G$17)-I137)/(T137*(1-AR137)*(1-Settings!$G$17))),"")</f>
        <v/>
      </c>
      <c r="P137" s="101">
        <f>IFERROR(IF(T137="","",(T137*(1-AS137)*(1-Settings!$H$17)-I137)/(T137*(1-AS137)*(1-Settings!$H$17))),"")</f>
        <v/>
      </c>
      <c r="Q137" s="101">
        <f>IFERROR(IF(T137="","",(T137*(1-AT137)*(1-Settings!$I$68)*(1-Settings!$I$17)-I137)/(T137*(1-AT137)*(1-Settings!$I$68)*(1-Settings!$I$17))),"")</f>
        <v/>
      </c>
      <c r="R137" s="91">
        <f>IFERROR(IF(OR(I137="",Z137&gt;=1,Settings!$B$17&gt;=1,AN137&gt;=1),"",IF(MOD(ROUND(I137/(1-Z137)/(1-Settings!$B$17)/(1-AN137),0),10)=0,ROUND(I137/(1-Z137)/(1-Settings!$B$17)/(1-AN137),0)-1,IF(MOD(ROUND(I137/(1-Z137)/(1-Settings!$B$17)/(1-AN137),0),10)&lt;=5,FLOOR(ROUND(I137/(1-Z137)/(1-Settings!$B$17)/(1-AN137),0),10)+6,FLOOR(ROUND(I137/(1-Z137)/(1-Settings!$B$17)/(1-AN137),0),10)+9))),"")</f>
        <v/>
      </c>
      <c r="S137" s="92" t="n"/>
      <c r="T137" s="91">
        <f>IF(S137&lt;&gt;"", IF(MOD(S137,10)=0,S137-1,IF(MOD(S137,10)&lt;=5,FLOOR(S137,10)+6,FLOOR(S137,10)+9)), R137)</f>
        <v/>
      </c>
      <c r="U137" s="87" t="inlineStr">
        <is>
          <t>Основний</t>
        </is>
      </c>
      <c r="V137" s="88" t="n"/>
      <c r="W137" s="88" t="n"/>
      <c r="X137" s="89">
        <f>IFERROR(IF(OR(V137="",W137="",T137=""),"", IF(T137&gt;W137,"Дорогий",IF(T137&lt;V137,"Дешевий","У ринку"))),"")</f>
        <v/>
      </c>
      <c r="Y137" s="90" t="n"/>
      <c r="Z137" s="104">
        <f>CHOOSE(MATCH(IF($U137="","Основний",$U137),{"Трафіковий","Основний","Маржинальний","Сезонний","Стратегічний"},0),0.16,0.19,0.24,0.23,0.28)</f>
        <v/>
      </c>
      <c r="AA137" s="104">
        <f>CHOOSE(MATCH(IF($U137="","Основний",$U137),{"Трафіковий","Основний","Маржинальний","Сезонний","Стратегічний"},0),0.18,0.21,0.26,0.25,0.3)</f>
        <v/>
      </c>
      <c r="AB137" s="104">
        <f>CHOOSE(MATCH(IF($U137="","Основний",$U137),{"Трафіковий","Основний","Маржинальний","Сезонний","Стратегічний"},0),0.19,0.22,0.28,0.26,0.32)</f>
        <v/>
      </c>
      <c r="AC137" s="104">
        <f>CHOOSE(MATCH(IF($U137="","Основний",$U137),{"Трафіковий","Основний","Маржинальний","Сезонний","Стратегічний"},0),0.17,0.2,0.25,0.24,0.28)</f>
        <v/>
      </c>
      <c r="AD137" s="104">
        <f>CHOOSE(MATCH(IF($U137="","Основний",$U137),{"Трафіковий","Основний","Маржинальний","Сезонний","Стратегічний"},0),0.18,0.21,0.26,0.25,0.3)</f>
        <v/>
      </c>
      <c r="AE137" s="104">
        <f>CHOOSE(MATCH(IF($U137="","Основний",$U137),{"Трафіковий","Основний","Маржинальний","Сезонний","Стратегічний"},0),0.18,0.2,0.28,0.27,0.32)</f>
        <v/>
      </c>
      <c r="AF137" s="104">
        <f>CHOOSE(MATCH(IF($U137="","Основний",$U137),{"Трафіковий","Основний","Маржинальний","Сезонний","Стратегічний"},0),0.15,0.175,0.22,0.21,0.25)</f>
        <v/>
      </c>
      <c r="AG137" s="104">
        <f>CHOOSE(MATCH(IF($U137="","Основний",$U137),{"Трафіковий","Основний","Маржинальний","Сезонний","Стратегічний"},0),0.13,0.16,0.21,0.2,0.25)</f>
        <v/>
      </c>
      <c r="AH137" s="104">
        <f>CHOOSE(MATCH(IF($U137="","Основний",$U137),{"Трафіковий","Основний","Маржинальний","Сезонний","Стратегічний"},0),0.15,0.18,0.23,0.22,0.27)</f>
        <v/>
      </c>
      <c r="AI137" s="104">
        <f>CHOOSE(MATCH(IF($U137="","Основний",$U137),{"Трафіковий","Основний","Маржинальний","Сезонний","Стратегічний"},0),0.16,0.19,0.25,0.23,0.29)</f>
        <v/>
      </c>
      <c r="AJ137" s="104">
        <f>CHOOSE(MATCH(IF($U137="","Основний",$U137),{"Трафіковий","Основний","Маржинальний","Сезонний","Стратегічний"},0),0.14,0.17,0.22,0.21,0.25)</f>
        <v/>
      </c>
      <c r="AK137" s="104">
        <f>CHOOSE(MATCH(IF($U137="","Основний",$U137),{"Трафіковий","Основний","Маржинальний","Сезонний","Стратегічний"},0),0.15,0.18,0.23,0.22,0.27)</f>
        <v/>
      </c>
      <c r="AL137" s="104">
        <f>CHOOSE(MATCH(IF($U137="","Основний",$U137),{"Трафіковий","Основний","Маржинальний","Сезонний","Стратегічний"},0),0.15,0.17,0.25,0.24,0.29)</f>
        <v/>
      </c>
      <c r="AM137" s="104">
        <f>CHOOSE(MATCH(IF($U137="","Основний",$U137),{"Трафіковий","Основний","Маржинальний","Сезонний","Стратегічний"},0),0.12,0.145,0.19,0.18,0.22)</f>
        <v/>
      </c>
      <c r="AN137" s="157">
        <f>CHOOSE(MATCH(IF($U137="","Основний",$U137),{"Трафіковий","Основний","Маржинальний","Сезонний","Стратегічний"},0),Settings!$B$78,Settings!$B$80,Settings!$B$82,Settings!$B$84,Settings!$B$86)</f>
        <v/>
      </c>
      <c r="AO137" s="157">
        <f>CHOOSE(MATCH(IF($U137="","Основний",$U137),{"Трафіковий","Основний","Маржинальний","Сезонний","Стратегічний"},0),Settings!$C$78,Settings!$C$80,Settings!$C$82,Settings!$C$84,Settings!$C$86)</f>
        <v/>
      </c>
      <c r="AP137" s="157">
        <f>CHOOSE(MATCH(IF($U137="","Основний",$U137),{"Трафіковий","Основний","Маржинальний","Сезонний","Стратегічний"},0),Settings!$D$78,Settings!$D$80,Settings!$D$82,Settings!$D$84,Settings!$D$86)</f>
        <v/>
      </c>
      <c r="AQ137" s="157">
        <f>CHOOSE(MATCH(IF($U137="","Основний",$U137),{"Трафіковий","Основний","Маржинальний","Сезонний","Стратегічний"},0),Settings!$F$78,Settings!$F$80,Settings!$F$82,Settings!$F$84,Settings!$F$86)</f>
        <v/>
      </c>
      <c r="AR137" s="157">
        <f>CHOOSE(MATCH(IF($U137="","Основний",$U137),{"Трафіковий","Основний","Маржинальний","Сезонний","Стратегічний"},0),Settings!$G$78,Settings!$G$80,Settings!$G$82,Settings!$G$84,Settings!$G$86)</f>
        <v/>
      </c>
      <c r="AS137" s="157">
        <f>CHOOSE(MATCH(IF($U137="","Основний",$U137),{"Трафіковий","Основний","Маржинальний","Сезонний","Стратегічний"},0),Settings!$H$78,Settings!$H$80,Settings!$H$82,Settings!$H$84,Settings!$H$86)</f>
        <v/>
      </c>
      <c r="AT137" s="157">
        <f>CHOOSE(MATCH(IF($U137="","Основний",$U137),{"Трафіковий","Основний","Маржинальний","Сезонний","Стратегічний"},0),Settings!$I$78,Settings!$I$80,Settings!$I$82,Settings!$I$84,Settings!$I$86)</f>
        <v/>
      </c>
      <c r="AU137" s="171" t="n"/>
      <c r="AV137" t="n">
        <v>1.35</v>
      </c>
    </row>
    <row r="138">
      <c r="A138" s="28" t="inlineStr">
        <is>
          <t>NEW</t>
        </is>
      </c>
      <c r="B138" s="29" t="inlineStr">
        <is>
          <t>Z7901</t>
        </is>
      </c>
      <c r="C138" s="29" t="inlineStr">
        <is>
          <t>LED GROW LAMP UMBRELLA</t>
        </is>
      </c>
      <c r="D138" s="29" t="inlineStr">
        <is>
          <t>Світильники для розсади</t>
        </is>
      </c>
      <c r="E138" s="28" t="inlineStr">
        <is>
          <t>PC</t>
        </is>
      </c>
      <c r="F138" s="93" t="n">
        <v>3.167</v>
      </c>
      <c r="G138" s="30" t="n">
        <v>9405214000</v>
      </c>
      <c r="H138" s="31" t="n">
        <v>1.4</v>
      </c>
      <c r="I138" s="84">
        <f>IFERROR(F138*Settings!$B$2*H138*IF(AND(ISNUMBER(E138),E138&gt;1),E138,1),"")</f>
        <v/>
      </c>
      <c r="J138" s="32">
        <f>Settings!$B$66</f>
        <v/>
      </c>
      <c r="K138" s="95">
        <f>IFERROR(IF(T138="","",(T138*(1-AN138)*(1-Settings!$B$17)-I138)/(T138*(1-AN138)*(1-Settings!$B$17))),"")</f>
        <v/>
      </c>
      <c r="L138" s="101">
        <f>IFERROR(IF(T138="","",(T138*(1-AO138)*(1-Settings!$C$17)-I138)/(T138*(1-AO138)*(1-Settings!$C$17))),"")</f>
        <v/>
      </c>
      <c r="M138" s="101">
        <f>IFERROR(IF(T138="","",(T138*(1-AP138)*(1-Settings!$D$17)-I138)/(T138*(1-AP138)*(1-Settings!$D$17))),"")</f>
        <v/>
      </c>
      <c r="N138" s="101">
        <f>IFERROR(IF(T138="","",(T138*(1-AQ138)*(1-Settings!$F$17)-I138)/(T138*(1-AQ138)*(1-Settings!$F$17))),"")</f>
        <v/>
      </c>
      <c r="O138" s="101">
        <f>IFERROR(IF(T138="","",(T138*(1-AR138)*(1-Settings!$G$17)-I138)/(T138*(1-AR138)*(1-Settings!$G$17))),"")</f>
        <v/>
      </c>
      <c r="P138" s="101">
        <f>IFERROR(IF(T138="","",(T138*(1-AS138)*(1-Settings!$H$17)-I138)/(T138*(1-AS138)*(1-Settings!$H$17))),"")</f>
        <v/>
      </c>
      <c r="Q138" s="101">
        <f>IFERROR(IF(T138="","",(T138*(1-AT138)*(1-Settings!$I$68)*(1-Settings!$I$17)-I138)/(T138*(1-AT138)*(1-Settings!$I$68)*(1-Settings!$I$17))),"")</f>
        <v/>
      </c>
      <c r="R138" s="91">
        <f>IFERROR(IF(OR(I138="",Z138&gt;=1,Settings!$B$17&gt;=1,AN138&gt;=1),"",IF(MOD(ROUND(I138/(1-Z138)/(1-Settings!$B$17)/(1-AN138),0),10)=0,ROUND(I138/(1-Z138)/(1-Settings!$B$17)/(1-AN138),0)-1,IF(MOD(ROUND(I138/(1-Z138)/(1-Settings!$B$17)/(1-AN138),0),10)&lt;=5,FLOOR(ROUND(I138/(1-Z138)/(1-Settings!$B$17)/(1-AN138),0),10)+6,FLOOR(ROUND(I138/(1-Z138)/(1-Settings!$B$17)/(1-AN138),0),10)+9))),"")</f>
        <v/>
      </c>
      <c r="S138" s="92" t="n"/>
      <c r="T138" s="91">
        <f>IF(S138&lt;&gt;"", IF(MOD(S138,10)=0,S138-1,IF(MOD(S138,10)&lt;=5,FLOOR(S138,10)+6,FLOOR(S138,10)+9)), R138)</f>
        <v/>
      </c>
      <c r="U138" s="87" t="inlineStr">
        <is>
          <t>Основний</t>
        </is>
      </c>
      <c r="V138" s="88" t="n"/>
      <c r="W138" s="88" t="n"/>
      <c r="X138" s="89">
        <f>IFERROR(IF(OR(V138="",W138="",T138=""),"", IF(T138&gt;W138,"Дорогий",IF(T138&lt;V138,"Дешевий","У ринку"))),"")</f>
        <v/>
      </c>
      <c r="Y138" s="90" t="n"/>
      <c r="Z138" s="104">
        <f>CHOOSE(MATCH(IF($U138="","Основний",$U138),{"Трафіковий","Основний","Маржинальний","Сезонний","Стратегічний"},0),0.16,0.19,0.24,0.23,0.28)</f>
        <v/>
      </c>
      <c r="AA138" s="104">
        <f>CHOOSE(MATCH(IF($U138="","Основний",$U138),{"Трафіковий","Основний","Маржинальний","Сезонний","Стратегічний"},0),0.18,0.21,0.26,0.25,0.3)</f>
        <v/>
      </c>
      <c r="AB138" s="104">
        <f>CHOOSE(MATCH(IF($U138="","Основний",$U138),{"Трафіковий","Основний","Маржинальний","Сезонний","Стратегічний"},0),0.19,0.22,0.28,0.26,0.32)</f>
        <v/>
      </c>
      <c r="AC138" s="104">
        <f>CHOOSE(MATCH(IF($U138="","Основний",$U138),{"Трафіковий","Основний","Маржинальний","Сезонний","Стратегічний"},0),0.17,0.2,0.25,0.24,0.28)</f>
        <v/>
      </c>
      <c r="AD138" s="104">
        <f>CHOOSE(MATCH(IF($U138="","Основний",$U138),{"Трафіковий","Основний","Маржинальний","Сезонний","Стратегічний"},0),0.18,0.21,0.26,0.25,0.3)</f>
        <v/>
      </c>
      <c r="AE138" s="104">
        <f>CHOOSE(MATCH(IF($U138="","Основний",$U138),{"Трафіковий","Основний","Маржинальний","Сезонний","Стратегічний"},0),0.18,0.2,0.28,0.27,0.32)</f>
        <v/>
      </c>
      <c r="AF138" s="104">
        <f>CHOOSE(MATCH(IF($U138="","Основний",$U138),{"Трафіковий","Основний","Маржинальний","Сезонний","Стратегічний"},0),0.15,0.175,0.22,0.21,0.25)</f>
        <v/>
      </c>
      <c r="AG138" s="104">
        <f>CHOOSE(MATCH(IF($U138="","Основний",$U138),{"Трафіковий","Основний","Маржинальний","Сезонний","Стратегічний"},0),0.13,0.16,0.21,0.2,0.25)</f>
        <v/>
      </c>
      <c r="AH138" s="104">
        <f>CHOOSE(MATCH(IF($U138="","Основний",$U138),{"Трафіковий","Основний","Маржинальний","Сезонний","Стратегічний"},0),0.15,0.18,0.23,0.22,0.27)</f>
        <v/>
      </c>
      <c r="AI138" s="104">
        <f>CHOOSE(MATCH(IF($U138="","Основний",$U138),{"Трафіковий","Основний","Маржинальний","Сезонний","Стратегічний"},0),0.16,0.19,0.25,0.23,0.29)</f>
        <v/>
      </c>
      <c r="AJ138" s="104">
        <f>CHOOSE(MATCH(IF($U138="","Основний",$U138),{"Трафіковий","Основний","Маржинальний","Сезонний","Стратегічний"},0),0.14,0.17,0.22,0.21,0.25)</f>
        <v/>
      </c>
      <c r="AK138" s="104">
        <f>CHOOSE(MATCH(IF($U138="","Основний",$U138),{"Трафіковий","Основний","Маржинальний","Сезонний","Стратегічний"},0),0.15,0.18,0.23,0.22,0.27)</f>
        <v/>
      </c>
      <c r="AL138" s="104">
        <f>CHOOSE(MATCH(IF($U138="","Основний",$U138),{"Трафіковий","Основний","Маржинальний","Сезонний","Стратегічний"},0),0.15,0.17,0.25,0.24,0.29)</f>
        <v/>
      </c>
      <c r="AM138" s="104">
        <f>CHOOSE(MATCH(IF($U138="","Основний",$U138),{"Трафіковий","Основний","Маржинальний","Сезонний","Стратегічний"},0),0.12,0.145,0.19,0.18,0.22)</f>
        <v/>
      </c>
      <c r="AN138" s="157">
        <f>CHOOSE(MATCH(IF($U138="","Основний",$U138),{"Трафіковий","Основний","Маржинальний","Сезонний","Стратегічний"},0),Settings!$B$78,Settings!$B$80,Settings!$B$82,Settings!$B$84,Settings!$B$86)</f>
        <v/>
      </c>
      <c r="AO138" s="157">
        <f>CHOOSE(MATCH(IF($U138="","Основний",$U138),{"Трафіковий","Основний","Маржинальний","Сезонний","Стратегічний"},0),Settings!$C$78,Settings!$C$80,Settings!$C$82,Settings!$C$84,Settings!$C$86)</f>
        <v/>
      </c>
      <c r="AP138" s="157">
        <f>CHOOSE(MATCH(IF($U138="","Основний",$U138),{"Трафіковий","Основний","Маржинальний","Сезонний","Стратегічний"},0),Settings!$D$78,Settings!$D$80,Settings!$D$82,Settings!$D$84,Settings!$D$86)</f>
        <v/>
      </c>
      <c r="AQ138" s="157">
        <f>CHOOSE(MATCH(IF($U138="","Основний",$U138),{"Трафіковий","Основний","Маржинальний","Сезонний","Стратегічний"},0),Settings!$F$78,Settings!$F$80,Settings!$F$82,Settings!$F$84,Settings!$F$86)</f>
        <v/>
      </c>
      <c r="AR138" s="157">
        <f>CHOOSE(MATCH(IF($U138="","Основний",$U138),{"Трафіковий","Основний","Маржинальний","Сезонний","Стратегічний"},0),Settings!$G$78,Settings!$G$80,Settings!$G$82,Settings!$G$84,Settings!$G$86)</f>
        <v/>
      </c>
      <c r="AS138" s="157">
        <f>CHOOSE(MATCH(IF($U138="","Основний",$U138),{"Трафіковий","Основний","Маржинальний","Сезонний","Стратегічний"},0),Settings!$H$78,Settings!$H$80,Settings!$H$82,Settings!$H$84,Settings!$H$86)</f>
        <v/>
      </c>
      <c r="AT138" s="157">
        <f>CHOOSE(MATCH(IF($U138="","Основний",$U138),{"Трафіковий","Основний","Маржинальний","Сезонний","Стратегічний"},0),Settings!$I$78,Settings!$I$80,Settings!$I$82,Settings!$I$84,Settings!$I$86)</f>
        <v/>
      </c>
      <c r="AU138" s="171" t="n"/>
      <c r="AV138" t="n">
        <v>1.35</v>
      </c>
    </row>
    <row r="139">
      <c r="A139" s="33" t="inlineStr">
        <is>
          <t>NEW</t>
        </is>
      </c>
      <c r="B139" s="34" t="inlineStr">
        <is>
          <t>Z7902</t>
        </is>
      </c>
      <c r="C139" s="34" t="inlineStr">
        <is>
          <t>LED GROW LAMP RING</t>
        </is>
      </c>
      <c r="D139" s="34" t="inlineStr">
        <is>
          <t>Світильники для розсади</t>
        </is>
      </c>
      <c r="E139" s="33" t="inlineStr">
        <is>
          <t>PC</t>
        </is>
      </c>
      <c r="F139" s="94" t="n">
        <v>4.311</v>
      </c>
      <c r="G139" s="35" t="n">
        <v>9405214000</v>
      </c>
      <c r="H139" s="31" t="n">
        <v>1.4</v>
      </c>
      <c r="I139" s="84">
        <f>IFERROR(F139*Settings!$B$2*H139*IF(AND(ISNUMBER(E139),E139&gt;1),E139,1),"")</f>
        <v/>
      </c>
      <c r="J139" s="32">
        <f>Settings!$B$66</f>
        <v/>
      </c>
      <c r="K139" s="95">
        <f>IFERROR(IF(T139="","",(T139*(1-AN139)*(1-Settings!$B$17)-I139)/(T139*(1-AN139)*(1-Settings!$B$17))),"")</f>
        <v/>
      </c>
      <c r="L139" s="101">
        <f>IFERROR(IF(T139="","",(T139*(1-AO139)*(1-Settings!$C$17)-I139)/(T139*(1-AO139)*(1-Settings!$C$17))),"")</f>
        <v/>
      </c>
      <c r="M139" s="101">
        <f>IFERROR(IF(T139="","",(T139*(1-AP139)*(1-Settings!$D$17)-I139)/(T139*(1-AP139)*(1-Settings!$D$17))),"")</f>
        <v/>
      </c>
      <c r="N139" s="101">
        <f>IFERROR(IF(T139="","",(T139*(1-AQ139)*(1-Settings!$F$17)-I139)/(T139*(1-AQ139)*(1-Settings!$F$17))),"")</f>
        <v/>
      </c>
      <c r="O139" s="101">
        <f>IFERROR(IF(T139="","",(T139*(1-AR139)*(1-Settings!$G$17)-I139)/(T139*(1-AR139)*(1-Settings!$G$17))),"")</f>
        <v/>
      </c>
      <c r="P139" s="101">
        <f>IFERROR(IF(T139="","",(T139*(1-AS139)*(1-Settings!$H$17)-I139)/(T139*(1-AS139)*(1-Settings!$H$17))),"")</f>
        <v/>
      </c>
      <c r="Q139" s="101">
        <f>IFERROR(IF(T139="","",(T139*(1-AT139)*(1-Settings!$I$68)*(1-Settings!$I$17)-I139)/(T139*(1-AT139)*(1-Settings!$I$68)*(1-Settings!$I$17))),"")</f>
        <v/>
      </c>
      <c r="R139" s="91">
        <f>IFERROR(IF(OR(I139="",Z139&gt;=1,Settings!$B$17&gt;=1,AN139&gt;=1),"",IF(MOD(ROUND(I139/(1-Z139)/(1-Settings!$B$17)/(1-AN139),0),10)=0,ROUND(I139/(1-Z139)/(1-Settings!$B$17)/(1-AN139),0)-1,IF(MOD(ROUND(I139/(1-Z139)/(1-Settings!$B$17)/(1-AN139),0),10)&lt;=5,FLOOR(ROUND(I139/(1-Z139)/(1-Settings!$B$17)/(1-AN139),0),10)+6,FLOOR(ROUND(I139/(1-Z139)/(1-Settings!$B$17)/(1-AN139),0),10)+9))),"")</f>
        <v/>
      </c>
      <c r="S139" s="92" t="n"/>
      <c r="T139" s="91">
        <f>IF(S139&lt;&gt;"", IF(MOD(S139,10)=0,S139-1,IF(MOD(S139,10)&lt;=5,FLOOR(S139,10)+6,FLOOR(S139,10)+9)), R139)</f>
        <v/>
      </c>
      <c r="U139" s="87" t="inlineStr">
        <is>
          <t>Основний</t>
        </is>
      </c>
      <c r="V139" s="88" t="n"/>
      <c r="W139" s="88" t="n"/>
      <c r="X139" s="89">
        <f>IFERROR(IF(OR(V139="",W139="",T139=""),"", IF(T139&gt;W139,"Дорогий",IF(T139&lt;V139,"Дешевий","У ринку"))),"")</f>
        <v/>
      </c>
      <c r="Y139" s="90" t="n"/>
      <c r="Z139" s="104">
        <f>CHOOSE(MATCH(IF($U139="","Основний",$U139),{"Трафіковий","Основний","Маржинальний","Сезонний","Стратегічний"},0),0.16,0.19,0.24,0.23,0.28)</f>
        <v/>
      </c>
      <c r="AA139" s="104">
        <f>CHOOSE(MATCH(IF($U139="","Основний",$U139),{"Трафіковий","Основний","Маржинальний","Сезонний","Стратегічний"},0),0.18,0.21,0.26,0.25,0.3)</f>
        <v/>
      </c>
      <c r="AB139" s="104">
        <f>CHOOSE(MATCH(IF($U139="","Основний",$U139),{"Трафіковий","Основний","Маржинальний","Сезонний","Стратегічний"},0),0.19,0.22,0.28,0.26,0.32)</f>
        <v/>
      </c>
      <c r="AC139" s="104">
        <f>CHOOSE(MATCH(IF($U139="","Основний",$U139),{"Трафіковий","Основний","Маржинальний","Сезонний","Стратегічний"},0),0.17,0.2,0.25,0.24,0.28)</f>
        <v/>
      </c>
      <c r="AD139" s="104">
        <f>CHOOSE(MATCH(IF($U139="","Основний",$U139),{"Трафіковий","Основний","Маржинальний","Сезонний","Стратегічний"},0),0.18,0.21,0.26,0.25,0.3)</f>
        <v/>
      </c>
      <c r="AE139" s="104">
        <f>CHOOSE(MATCH(IF($U139="","Основний",$U139),{"Трафіковий","Основний","Маржинальний","Сезонний","Стратегічний"},0),0.18,0.2,0.28,0.27,0.32)</f>
        <v/>
      </c>
      <c r="AF139" s="104">
        <f>CHOOSE(MATCH(IF($U139="","Основний",$U139),{"Трафіковий","Основний","Маржинальний","Сезонний","Стратегічний"},0),0.15,0.175,0.22,0.21,0.25)</f>
        <v/>
      </c>
      <c r="AG139" s="104">
        <f>CHOOSE(MATCH(IF($U139="","Основний",$U139),{"Трафіковий","Основний","Маржинальний","Сезонний","Стратегічний"},0),0.13,0.16,0.21,0.2,0.25)</f>
        <v/>
      </c>
      <c r="AH139" s="104">
        <f>CHOOSE(MATCH(IF($U139="","Основний",$U139),{"Трафіковий","Основний","Маржинальний","Сезонний","Стратегічний"},0),0.15,0.18,0.23,0.22,0.27)</f>
        <v/>
      </c>
      <c r="AI139" s="104">
        <f>CHOOSE(MATCH(IF($U139="","Основний",$U139),{"Трафіковий","Основний","Маржинальний","Сезонний","Стратегічний"},0),0.16,0.19,0.25,0.23,0.29)</f>
        <v/>
      </c>
      <c r="AJ139" s="104">
        <f>CHOOSE(MATCH(IF($U139="","Основний",$U139),{"Трафіковий","Основний","Маржинальний","Сезонний","Стратегічний"},0),0.14,0.17,0.22,0.21,0.25)</f>
        <v/>
      </c>
      <c r="AK139" s="104">
        <f>CHOOSE(MATCH(IF($U139="","Основний",$U139),{"Трафіковий","Основний","Маржинальний","Сезонний","Стратегічний"},0),0.15,0.18,0.23,0.22,0.27)</f>
        <v/>
      </c>
      <c r="AL139" s="104">
        <f>CHOOSE(MATCH(IF($U139="","Основний",$U139),{"Трафіковий","Основний","Маржинальний","Сезонний","Стратегічний"},0),0.15,0.17,0.25,0.24,0.29)</f>
        <v/>
      </c>
      <c r="AM139" s="104">
        <f>CHOOSE(MATCH(IF($U139="","Основний",$U139),{"Трафіковий","Основний","Маржинальний","Сезонний","Стратегічний"},0),0.12,0.145,0.19,0.18,0.22)</f>
        <v/>
      </c>
      <c r="AN139" s="157">
        <f>CHOOSE(MATCH(IF($U139="","Основний",$U139),{"Трафіковий","Основний","Маржинальний","Сезонний","Стратегічний"},0),Settings!$B$78,Settings!$B$80,Settings!$B$82,Settings!$B$84,Settings!$B$86)</f>
        <v/>
      </c>
      <c r="AO139" s="157">
        <f>CHOOSE(MATCH(IF($U139="","Основний",$U139),{"Трафіковий","Основний","Маржинальний","Сезонний","Стратегічний"},0),Settings!$C$78,Settings!$C$80,Settings!$C$82,Settings!$C$84,Settings!$C$86)</f>
        <v/>
      </c>
      <c r="AP139" s="157">
        <f>CHOOSE(MATCH(IF($U139="","Основний",$U139),{"Трафіковий","Основний","Маржинальний","Сезонний","Стратегічний"},0),Settings!$D$78,Settings!$D$80,Settings!$D$82,Settings!$D$84,Settings!$D$86)</f>
        <v/>
      </c>
      <c r="AQ139" s="157">
        <f>CHOOSE(MATCH(IF($U139="","Основний",$U139),{"Трафіковий","Основний","Маржинальний","Сезонний","Стратегічний"},0),Settings!$F$78,Settings!$F$80,Settings!$F$82,Settings!$F$84,Settings!$F$86)</f>
        <v/>
      </c>
      <c r="AR139" s="157">
        <f>CHOOSE(MATCH(IF($U139="","Основний",$U139),{"Трафіковий","Основний","Маржинальний","Сезонний","Стратегічний"},0),Settings!$G$78,Settings!$G$80,Settings!$G$82,Settings!$G$84,Settings!$G$86)</f>
        <v/>
      </c>
      <c r="AS139" s="157">
        <f>CHOOSE(MATCH(IF($U139="","Основний",$U139),{"Трафіковий","Основний","Маржинальний","Сезонний","Стратегічний"},0),Settings!$H$78,Settings!$H$80,Settings!$H$82,Settings!$H$84,Settings!$H$86)</f>
        <v/>
      </c>
      <c r="AT139" s="157">
        <f>CHOOSE(MATCH(IF($U139="","Основний",$U139),{"Трафіковий","Основний","Маржинальний","Сезонний","Стратегічний"},0),Settings!$I$78,Settings!$I$80,Settings!$I$82,Settings!$I$84,Settings!$I$86)</f>
        <v/>
      </c>
      <c r="AU139" s="171" t="n"/>
      <c r="AV139" t="n">
        <v>1.35</v>
      </c>
    </row>
    <row r="140">
      <c r="A140" s="28" t="inlineStr">
        <is>
          <t>NEW</t>
        </is>
      </c>
      <c r="B140" s="29" t="inlineStr">
        <is>
          <t>Z7903</t>
        </is>
      </c>
      <c r="C140" s="29" t="inlineStr">
        <is>
          <t>LED GROW LAMP SEEDLINGS</t>
        </is>
      </c>
      <c r="D140" s="29" t="inlineStr">
        <is>
          <t>Світильники для розсади</t>
        </is>
      </c>
      <c r="E140" s="28" t="inlineStr">
        <is>
          <t>PC</t>
        </is>
      </c>
      <c r="F140" s="93" t="n">
        <v>11.661</v>
      </c>
      <c r="G140" s="30" t="n">
        <v>9405214000</v>
      </c>
      <c r="H140" s="31" t="n">
        <v>1.4</v>
      </c>
      <c r="I140" s="84">
        <f>IFERROR(F140*Settings!$B$2*H140*IF(AND(ISNUMBER(E140),E140&gt;1),E140,1),"")</f>
        <v/>
      </c>
      <c r="J140" s="32">
        <f>Settings!$B$66</f>
        <v/>
      </c>
      <c r="K140" s="95">
        <f>IFERROR(IF(T140="","",(T140*(1-AN140)*(1-Settings!$B$17)-I140)/(T140*(1-AN140)*(1-Settings!$B$17))),"")</f>
        <v/>
      </c>
      <c r="L140" s="101">
        <f>IFERROR(IF(T140="","",(T140*(1-AO140)*(1-Settings!$C$17)-I140)/(T140*(1-AO140)*(1-Settings!$C$17))),"")</f>
        <v/>
      </c>
      <c r="M140" s="101">
        <f>IFERROR(IF(T140="","",(T140*(1-AP140)*(1-Settings!$D$17)-I140)/(T140*(1-AP140)*(1-Settings!$D$17))),"")</f>
        <v/>
      </c>
      <c r="N140" s="101">
        <f>IFERROR(IF(T140="","",(T140*(1-AQ140)*(1-Settings!$F$17)-I140)/(T140*(1-AQ140)*(1-Settings!$F$17))),"")</f>
        <v/>
      </c>
      <c r="O140" s="101">
        <f>IFERROR(IF(T140="","",(T140*(1-AR140)*(1-Settings!$G$17)-I140)/(T140*(1-AR140)*(1-Settings!$G$17))),"")</f>
        <v/>
      </c>
      <c r="P140" s="101">
        <f>IFERROR(IF(T140="","",(T140*(1-AS140)*(1-Settings!$H$17)-I140)/(T140*(1-AS140)*(1-Settings!$H$17))),"")</f>
        <v/>
      </c>
      <c r="Q140" s="101">
        <f>IFERROR(IF(T140="","",(T140*(1-AT140)*(1-Settings!$I$68)*(1-Settings!$I$17)-I140)/(T140*(1-AT140)*(1-Settings!$I$68)*(1-Settings!$I$17))),"")</f>
        <v/>
      </c>
      <c r="R140" s="91">
        <f>IFERROR(IF(OR(I140="",Z140&gt;=1,Settings!$B$17&gt;=1,AN140&gt;=1),"",IF(MOD(ROUND(I140/(1-Z140)/(1-Settings!$B$17)/(1-AN140),0),10)=0,ROUND(I140/(1-Z140)/(1-Settings!$B$17)/(1-AN140),0)-1,IF(MOD(ROUND(I140/(1-Z140)/(1-Settings!$B$17)/(1-AN140),0),10)&lt;=5,FLOOR(ROUND(I140/(1-Z140)/(1-Settings!$B$17)/(1-AN140),0),10)+6,FLOOR(ROUND(I140/(1-Z140)/(1-Settings!$B$17)/(1-AN140),0),10)+9))),"")</f>
        <v/>
      </c>
      <c r="S140" s="92" t="n">
        <v>1560</v>
      </c>
      <c r="T140" s="91">
        <f>IF(S140&lt;&gt;"", IF(MOD(S140,10)=0,S140-1,IF(MOD(S140,10)&lt;=5,FLOOR(S140,10)+6,FLOOR(S140,10)+9)), R140)</f>
        <v/>
      </c>
      <c r="U140" s="87" t="inlineStr">
        <is>
          <t>Основний</t>
        </is>
      </c>
      <c r="V140" s="88" t="n"/>
      <c r="W140" s="88" t="n"/>
      <c r="X140" s="89">
        <f>IFERROR(IF(OR(V140="",W140="",T140=""),"", IF(T140&gt;W140,"Дорогий",IF(T140&lt;V140,"Дешевий","У ринку"))),"")</f>
        <v/>
      </c>
      <c r="Y140" s="90" t="n"/>
      <c r="Z140" s="104">
        <f>CHOOSE(MATCH(IF($U140="","Основний",$U140),{"Трафіковий","Основний","Маржинальний","Сезонний","Стратегічний"},0),0.16,0.19,0.24,0.23,0.28)</f>
        <v/>
      </c>
      <c r="AA140" s="104">
        <f>CHOOSE(MATCH(IF($U140="","Основний",$U140),{"Трафіковий","Основний","Маржинальний","Сезонний","Стратегічний"},0),0.18,0.21,0.26,0.25,0.3)</f>
        <v/>
      </c>
      <c r="AB140" s="104">
        <f>CHOOSE(MATCH(IF($U140="","Основний",$U140),{"Трафіковий","Основний","Маржинальний","Сезонний","Стратегічний"},0),0.19,0.22,0.28,0.26,0.32)</f>
        <v/>
      </c>
      <c r="AC140" s="104">
        <f>CHOOSE(MATCH(IF($U140="","Основний",$U140),{"Трафіковий","Основний","Маржинальний","Сезонний","Стратегічний"},0),0.17,0.2,0.25,0.24,0.28)</f>
        <v/>
      </c>
      <c r="AD140" s="104">
        <f>CHOOSE(MATCH(IF($U140="","Основний",$U140),{"Трафіковий","Основний","Маржинальний","Сезонний","Стратегічний"},0),0.18,0.21,0.26,0.25,0.3)</f>
        <v/>
      </c>
      <c r="AE140" s="104">
        <f>CHOOSE(MATCH(IF($U140="","Основний",$U140),{"Трафіковий","Основний","Маржинальний","Сезонний","Стратегічний"},0),0.18,0.2,0.28,0.27,0.32)</f>
        <v/>
      </c>
      <c r="AF140" s="104">
        <f>CHOOSE(MATCH(IF($U140="","Основний",$U140),{"Трафіковий","Основний","Маржинальний","Сезонний","Стратегічний"},0),0.15,0.175,0.22,0.21,0.25)</f>
        <v/>
      </c>
      <c r="AG140" s="104">
        <f>CHOOSE(MATCH(IF($U140="","Основний",$U140),{"Трафіковий","Основний","Маржинальний","Сезонний","Стратегічний"},0),0.13,0.16,0.21,0.2,0.25)</f>
        <v/>
      </c>
      <c r="AH140" s="104">
        <f>CHOOSE(MATCH(IF($U140="","Основний",$U140),{"Трафіковий","Основний","Маржинальний","Сезонний","Стратегічний"},0),0.15,0.18,0.23,0.22,0.27)</f>
        <v/>
      </c>
      <c r="AI140" s="104">
        <f>CHOOSE(MATCH(IF($U140="","Основний",$U140),{"Трафіковий","Основний","Маржинальний","Сезонний","Стратегічний"},0),0.16,0.19,0.25,0.23,0.29)</f>
        <v/>
      </c>
      <c r="AJ140" s="104">
        <f>CHOOSE(MATCH(IF($U140="","Основний",$U140),{"Трафіковий","Основний","Маржинальний","Сезонний","Стратегічний"},0),0.14,0.17,0.22,0.21,0.25)</f>
        <v/>
      </c>
      <c r="AK140" s="104">
        <f>CHOOSE(MATCH(IF($U140="","Основний",$U140),{"Трафіковий","Основний","Маржинальний","Сезонний","Стратегічний"},0),0.15,0.18,0.23,0.22,0.27)</f>
        <v/>
      </c>
      <c r="AL140" s="104">
        <f>CHOOSE(MATCH(IF($U140="","Основний",$U140),{"Трафіковий","Основний","Маржинальний","Сезонний","Стратегічний"},0),0.15,0.17,0.25,0.24,0.29)</f>
        <v/>
      </c>
      <c r="AM140" s="104">
        <f>CHOOSE(MATCH(IF($U140="","Основний",$U140),{"Трафіковий","Основний","Маржинальний","Сезонний","Стратегічний"},0),0.12,0.145,0.19,0.18,0.22)</f>
        <v/>
      </c>
      <c r="AN140" s="157">
        <f>CHOOSE(MATCH(IF($U140="","Основний",$U140),{"Трафіковий","Основний","Маржинальний","Сезонний","Стратегічний"},0),Settings!$B$78,Settings!$B$80,Settings!$B$82,Settings!$B$84,Settings!$B$86)</f>
        <v/>
      </c>
      <c r="AO140" s="157">
        <f>CHOOSE(MATCH(IF($U140="","Основний",$U140),{"Трафіковий","Основний","Маржинальний","Сезонний","Стратегічний"},0),Settings!$C$78,Settings!$C$80,Settings!$C$82,Settings!$C$84,Settings!$C$86)</f>
        <v/>
      </c>
      <c r="AP140" s="157">
        <f>CHOOSE(MATCH(IF($U140="","Основний",$U140),{"Трафіковий","Основний","Маржинальний","Сезонний","Стратегічний"},0),Settings!$D$78,Settings!$D$80,Settings!$D$82,Settings!$D$84,Settings!$D$86)</f>
        <v/>
      </c>
      <c r="AQ140" s="157">
        <f>CHOOSE(MATCH(IF($U140="","Основний",$U140),{"Трафіковий","Основний","Маржинальний","Сезонний","Стратегічний"},0),Settings!$F$78,Settings!$F$80,Settings!$F$82,Settings!$F$84,Settings!$F$86)</f>
        <v/>
      </c>
      <c r="AR140" s="157">
        <f>CHOOSE(MATCH(IF($U140="","Основний",$U140),{"Трафіковий","Основний","Маржинальний","Сезонний","Стратегічний"},0),Settings!$G$78,Settings!$G$80,Settings!$G$82,Settings!$G$84,Settings!$G$86)</f>
        <v/>
      </c>
      <c r="AS140" s="157">
        <f>CHOOSE(MATCH(IF($U140="","Основний",$U140),{"Трафіковий","Основний","Маржинальний","Сезонний","Стратегічний"},0),Settings!$H$78,Settings!$H$80,Settings!$H$82,Settings!$H$84,Settings!$H$86)</f>
        <v/>
      </c>
      <c r="AT140" s="157">
        <f>CHOOSE(MATCH(IF($U140="","Основний",$U140),{"Трафіковий","Основний","Маржинальний","Сезонний","Стратегічний"},0),Settings!$I$78,Settings!$I$80,Settings!$I$82,Settings!$I$84,Settings!$I$86)</f>
        <v/>
      </c>
      <c r="AU140" s="171" t="n"/>
      <c r="AV140" t="n">
        <v>1.35</v>
      </c>
    </row>
    <row r="141">
      <c r="A141" s="33" t="inlineStr">
        <is>
          <t>NEW</t>
        </is>
      </c>
      <c r="B141" s="34" t="inlineStr">
        <is>
          <t>Z7904</t>
        </is>
      </c>
      <c r="C141" s="34" t="inlineStr">
        <is>
          <t>LED GROW LAMP HERBS</t>
        </is>
      </c>
      <c r="D141" s="34" t="inlineStr">
        <is>
          <t>Світильники для розсади</t>
        </is>
      </c>
      <c r="E141" s="33" t="inlineStr">
        <is>
          <t>PC</t>
        </is>
      </c>
      <c r="F141" s="94" t="n">
        <v>9.541</v>
      </c>
      <c r="G141" s="35" t="n">
        <v>9405214000</v>
      </c>
      <c r="H141" s="31" t="n">
        <v>1.4</v>
      </c>
      <c r="I141" s="84">
        <f>IFERROR(F141*Settings!$B$2*H141*IF(AND(ISNUMBER(E141),E141&gt;1),E141,1),"")</f>
        <v/>
      </c>
      <c r="J141" s="32">
        <f>Settings!$B$66</f>
        <v/>
      </c>
      <c r="K141" s="95">
        <f>IFERROR(IF(T141="","",(T141*(1-AN141)*(1-Settings!$B$17)-I141)/(T141*(1-AN141)*(1-Settings!$B$17))),"")</f>
        <v/>
      </c>
      <c r="L141" s="101">
        <f>IFERROR(IF(T141="","",(T141*(1-AO141)*(1-Settings!$C$17)-I141)/(T141*(1-AO141)*(1-Settings!$C$17))),"")</f>
        <v/>
      </c>
      <c r="M141" s="101">
        <f>IFERROR(IF(T141="","",(T141*(1-AP141)*(1-Settings!$D$17)-I141)/(T141*(1-AP141)*(1-Settings!$D$17))),"")</f>
        <v/>
      </c>
      <c r="N141" s="101">
        <f>IFERROR(IF(T141="","",(T141*(1-AQ141)*(1-Settings!$F$17)-I141)/(T141*(1-AQ141)*(1-Settings!$F$17))),"")</f>
        <v/>
      </c>
      <c r="O141" s="101">
        <f>IFERROR(IF(T141="","",(T141*(1-AR141)*(1-Settings!$G$17)-I141)/(T141*(1-AR141)*(1-Settings!$G$17))),"")</f>
        <v/>
      </c>
      <c r="P141" s="101">
        <f>IFERROR(IF(T141="","",(T141*(1-AS141)*(1-Settings!$H$17)-I141)/(T141*(1-AS141)*(1-Settings!$H$17))),"")</f>
        <v/>
      </c>
      <c r="Q141" s="101">
        <f>IFERROR(IF(T141="","",(T141*(1-AT141)*(1-Settings!$I$68)*(1-Settings!$I$17)-I141)/(T141*(1-AT141)*(1-Settings!$I$68)*(1-Settings!$I$17))),"")</f>
        <v/>
      </c>
      <c r="R141" s="91">
        <f>IFERROR(IF(OR(I141="",Z141&gt;=1,Settings!$B$17&gt;=1,AN141&gt;=1),"",IF(MOD(ROUND(I141/(1-Z141)/(1-Settings!$B$17)/(1-AN141),0),10)=0,ROUND(I141/(1-Z141)/(1-Settings!$B$17)/(1-AN141),0)-1,IF(MOD(ROUND(I141/(1-Z141)/(1-Settings!$B$17)/(1-AN141),0),10)&lt;=5,FLOOR(ROUND(I141/(1-Z141)/(1-Settings!$B$17)/(1-AN141),0),10)+6,FLOOR(ROUND(I141/(1-Z141)/(1-Settings!$B$17)/(1-AN141),0),10)+9))),"")</f>
        <v/>
      </c>
      <c r="S141" s="92" t="n"/>
      <c r="T141" s="91">
        <f>IF(S141&lt;&gt;"", IF(MOD(S141,10)=0,S141-1,IF(MOD(S141,10)&lt;=5,FLOOR(S141,10)+6,FLOOR(S141,10)+9)), R141)</f>
        <v/>
      </c>
      <c r="U141" s="87" t="inlineStr">
        <is>
          <t>Основний</t>
        </is>
      </c>
      <c r="V141" s="88" t="n"/>
      <c r="W141" s="88" t="n"/>
      <c r="X141" s="89">
        <f>IFERROR(IF(OR(V141="",W141="",T141=""),"", IF(T141&gt;W141,"Дорогий",IF(T141&lt;V141,"Дешевий","У ринку"))),"")</f>
        <v/>
      </c>
      <c r="Y141" s="90" t="n"/>
      <c r="Z141" s="104">
        <f>CHOOSE(MATCH(IF($U141="","Основний",$U141),{"Трафіковий","Основний","Маржинальний","Сезонний","Стратегічний"},0),0.16,0.19,0.24,0.23,0.28)</f>
        <v/>
      </c>
      <c r="AA141" s="104">
        <f>CHOOSE(MATCH(IF($U141="","Основний",$U141),{"Трафіковий","Основний","Маржинальний","Сезонний","Стратегічний"},0),0.18,0.21,0.26,0.25,0.3)</f>
        <v/>
      </c>
      <c r="AB141" s="104">
        <f>CHOOSE(MATCH(IF($U141="","Основний",$U141),{"Трафіковий","Основний","Маржинальний","Сезонний","Стратегічний"},0),0.19,0.22,0.28,0.26,0.32)</f>
        <v/>
      </c>
      <c r="AC141" s="104">
        <f>CHOOSE(MATCH(IF($U141="","Основний",$U141),{"Трафіковий","Основний","Маржинальний","Сезонний","Стратегічний"},0),0.17,0.2,0.25,0.24,0.28)</f>
        <v/>
      </c>
      <c r="AD141" s="104">
        <f>CHOOSE(MATCH(IF($U141="","Основний",$U141),{"Трафіковий","Основний","Маржинальний","Сезонний","Стратегічний"},0),0.18,0.21,0.26,0.25,0.3)</f>
        <v/>
      </c>
      <c r="AE141" s="104">
        <f>CHOOSE(MATCH(IF($U141="","Основний",$U141),{"Трафіковий","Основний","Маржинальний","Сезонний","Стратегічний"},0),0.18,0.2,0.28,0.27,0.32)</f>
        <v/>
      </c>
      <c r="AF141" s="104">
        <f>CHOOSE(MATCH(IF($U141="","Основний",$U141),{"Трафіковий","Основний","Маржинальний","Сезонний","Стратегічний"},0),0.15,0.175,0.22,0.21,0.25)</f>
        <v/>
      </c>
      <c r="AG141" s="104">
        <f>CHOOSE(MATCH(IF($U141="","Основний",$U141),{"Трафіковий","Основний","Маржинальний","Сезонний","Стратегічний"},0),0.13,0.16,0.21,0.2,0.25)</f>
        <v/>
      </c>
      <c r="AH141" s="104">
        <f>CHOOSE(MATCH(IF($U141="","Основний",$U141),{"Трафіковий","Основний","Маржинальний","Сезонний","Стратегічний"},0),0.15,0.18,0.23,0.22,0.27)</f>
        <v/>
      </c>
      <c r="AI141" s="104">
        <f>CHOOSE(MATCH(IF($U141="","Основний",$U141),{"Трафіковий","Основний","Маржинальний","Сезонний","Стратегічний"},0),0.16,0.19,0.25,0.23,0.29)</f>
        <v/>
      </c>
      <c r="AJ141" s="104">
        <f>CHOOSE(MATCH(IF($U141="","Основний",$U141),{"Трафіковий","Основний","Маржинальний","Сезонний","Стратегічний"},0),0.14,0.17,0.22,0.21,0.25)</f>
        <v/>
      </c>
      <c r="AK141" s="104">
        <f>CHOOSE(MATCH(IF($U141="","Основний",$U141),{"Трафіковий","Основний","Маржинальний","Сезонний","Стратегічний"},0),0.15,0.18,0.23,0.22,0.27)</f>
        <v/>
      </c>
      <c r="AL141" s="104">
        <f>CHOOSE(MATCH(IF($U141="","Основний",$U141),{"Трафіковий","Основний","Маржинальний","Сезонний","Стратегічний"},0),0.15,0.17,0.25,0.24,0.29)</f>
        <v/>
      </c>
      <c r="AM141" s="104">
        <f>CHOOSE(MATCH(IF($U141="","Основний",$U141),{"Трафіковий","Основний","Маржинальний","Сезонний","Стратегічний"},0),0.12,0.145,0.19,0.18,0.22)</f>
        <v/>
      </c>
      <c r="AN141" s="157">
        <f>CHOOSE(MATCH(IF($U141="","Основний",$U141),{"Трафіковий","Основний","Маржинальний","Сезонний","Стратегічний"},0),Settings!$B$78,Settings!$B$80,Settings!$B$82,Settings!$B$84,Settings!$B$86)</f>
        <v/>
      </c>
      <c r="AO141" s="157">
        <f>CHOOSE(MATCH(IF($U141="","Основний",$U141),{"Трафіковий","Основний","Маржинальний","Сезонний","Стратегічний"},0),Settings!$C$78,Settings!$C$80,Settings!$C$82,Settings!$C$84,Settings!$C$86)</f>
        <v/>
      </c>
      <c r="AP141" s="157">
        <f>CHOOSE(MATCH(IF($U141="","Основний",$U141),{"Трафіковий","Основний","Маржинальний","Сезонний","Стратегічний"},0),Settings!$D$78,Settings!$D$80,Settings!$D$82,Settings!$D$84,Settings!$D$86)</f>
        <v/>
      </c>
      <c r="AQ141" s="157">
        <f>CHOOSE(MATCH(IF($U141="","Основний",$U141),{"Трафіковий","Основний","Маржинальний","Сезонний","Стратегічний"},0),Settings!$F$78,Settings!$F$80,Settings!$F$82,Settings!$F$84,Settings!$F$86)</f>
        <v/>
      </c>
      <c r="AR141" s="157">
        <f>CHOOSE(MATCH(IF($U141="","Основний",$U141),{"Трафіковий","Основний","Маржинальний","Сезонний","Стратегічний"},0),Settings!$G$78,Settings!$G$80,Settings!$G$82,Settings!$G$84,Settings!$G$86)</f>
        <v/>
      </c>
      <c r="AS141" s="157">
        <f>CHOOSE(MATCH(IF($U141="","Основний",$U141),{"Трафіковий","Основний","Маржинальний","Сезонний","Стратегічний"},0),Settings!$H$78,Settings!$H$80,Settings!$H$82,Settings!$H$84,Settings!$H$86)</f>
        <v/>
      </c>
      <c r="AT141" s="157">
        <f>CHOOSE(MATCH(IF($U141="","Основний",$U141),{"Трафіковий","Основний","Маржинальний","Сезонний","Стратегічний"},0),Settings!$I$78,Settings!$I$80,Settings!$I$82,Settings!$I$84,Settings!$I$86)</f>
        <v/>
      </c>
      <c r="AU141" s="171" t="n"/>
      <c r="AV141" t="n">
        <v>1.35</v>
      </c>
    </row>
    <row r="142">
      <c r="A142" s="28" t="inlineStr">
        <is>
          <t>NEW</t>
        </is>
      </c>
      <c r="B142" s="29" t="inlineStr">
        <is>
          <t>Z7905</t>
        </is>
      </c>
      <c r="C142" s="29" t="inlineStr">
        <is>
          <t>LED GROW INTERIOR LAMP</t>
        </is>
      </c>
      <c r="D142" s="29" t="inlineStr">
        <is>
          <t>Світильники для розсади</t>
        </is>
      </c>
      <c r="E142" s="28" t="inlineStr">
        <is>
          <t>PC</t>
        </is>
      </c>
      <c r="F142" s="93" t="n">
        <v>12.368</v>
      </c>
      <c r="G142" s="30" t="n">
        <v>9405214000</v>
      </c>
      <c r="H142" s="31" t="n">
        <v>1.4</v>
      </c>
      <c r="I142" s="84">
        <f>IFERROR(F142*Settings!$B$2*H142*IF(AND(ISNUMBER(E142),E142&gt;1),E142,1),"")</f>
        <v/>
      </c>
      <c r="J142" s="32">
        <f>Settings!$B$66</f>
        <v/>
      </c>
      <c r="K142" s="95">
        <f>IFERROR(IF(T142="","",(T142*(1-AN142)*(1-Settings!$B$17)-I142)/(T142*(1-AN142)*(1-Settings!$B$17))),"")</f>
        <v/>
      </c>
      <c r="L142" s="101">
        <f>IFERROR(IF(T142="","",(T142*(1-AO142)*(1-Settings!$C$17)-I142)/(T142*(1-AO142)*(1-Settings!$C$17))),"")</f>
        <v/>
      </c>
      <c r="M142" s="101">
        <f>IFERROR(IF(T142="","",(T142*(1-AP142)*(1-Settings!$D$17)-I142)/(T142*(1-AP142)*(1-Settings!$D$17))),"")</f>
        <v/>
      </c>
      <c r="N142" s="101">
        <f>IFERROR(IF(T142="","",(T142*(1-AQ142)*(1-Settings!$F$17)-I142)/(T142*(1-AQ142)*(1-Settings!$F$17))),"")</f>
        <v/>
      </c>
      <c r="O142" s="101">
        <f>IFERROR(IF(T142="","",(T142*(1-AR142)*(1-Settings!$G$17)-I142)/(T142*(1-AR142)*(1-Settings!$G$17))),"")</f>
        <v/>
      </c>
      <c r="P142" s="101">
        <f>IFERROR(IF(T142="","",(T142*(1-AS142)*(1-Settings!$H$17)-I142)/(T142*(1-AS142)*(1-Settings!$H$17))),"")</f>
        <v/>
      </c>
      <c r="Q142" s="101">
        <f>IFERROR(IF(T142="","",(T142*(1-AT142)*(1-Settings!$I$68)*(1-Settings!$I$17)-I142)/(T142*(1-AT142)*(1-Settings!$I$68)*(1-Settings!$I$17))),"")</f>
        <v/>
      </c>
      <c r="R142" s="91">
        <f>IFERROR(IF(OR(I142="",Z142&gt;=1,Settings!$B$17&gt;=1,AN142&gt;=1),"",IF(MOD(ROUND(I142/(1-Z142)/(1-Settings!$B$17)/(1-AN142),0),10)=0,ROUND(I142/(1-Z142)/(1-Settings!$B$17)/(1-AN142),0)-1,IF(MOD(ROUND(I142/(1-Z142)/(1-Settings!$B$17)/(1-AN142),0),10)&lt;=5,FLOOR(ROUND(I142/(1-Z142)/(1-Settings!$B$17)/(1-AN142),0),10)+6,FLOOR(ROUND(I142/(1-Z142)/(1-Settings!$B$17)/(1-AN142),0),10)+9))),"")</f>
        <v/>
      </c>
      <c r="S142" s="92" t="n">
        <v>1600</v>
      </c>
      <c r="T142" s="91">
        <f>IF(S142&lt;&gt;"", IF(MOD(S142,10)=0,S142-1,IF(MOD(S142,10)&lt;=5,FLOOR(S142,10)+6,FLOOR(S142,10)+9)), R142)</f>
        <v/>
      </c>
      <c r="U142" s="87" t="inlineStr">
        <is>
          <t>Основний</t>
        </is>
      </c>
      <c r="V142" s="88" t="n"/>
      <c r="W142" s="88" t="n"/>
      <c r="X142" s="89">
        <f>IFERROR(IF(OR(V142="",W142="",T142=""),"", IF(T142&gt;W142,"Дорогий",IF(T142&lt;V142,"Дешевий","У ринку"))),"")</f>
        <v/>
      </c>
      <c r="Y142" s="90" t="n"/>
      <c r="Z142" s="104">
        <f>CHOOSE(MATCH(IF($U142="","Основний",$U142),{"Трафіковий","Основний","Маржинальний","Сезонний","Стратегічний"},0),0.16,0.19,0.24,0.23,0.28)</f>
        <v/>
      </c>
      <c r="AA142" s="104">
        <f>CHOOSE(MATCH(IF($U142="","Основний",$U142),{"Трафіковий","Основний","Маржинальний","Сезонний","Стратегічний"},0),0.18,0.21,0.26,0.25,0.3)</f>
        <v/>
      </c>
      <c r="AB142" s="104">
        <f>CHOOSE(MATCH(IF($U142="","Основний",$U142),{"Трафіковий","Основний","Маржинальний","Сезонний","Стратегічний"},0),0.19,0.22,0.28,0.26,0.32)</f>
        <v/>
      </c>
      <c r="AC142" s="104">
        <f>CHOOSE(MATCH(IF($U142="","Основний",$U142),{"Трафіковий","Основний","Маржинальний","Сезонний","Стратегічний"},0),0.17,0.2,0.25,0.24,0.28)</f>
        <v/>
      </c>
      <c r="AD142" s="104">
        <f>CHOOSE(MATCH(IF($U142="","Основний",$U142),{"Трафіковий","Основний","Маржинальний","Сезонний","Стратегічний"},0),0.18,0.21,0.26,0.25,0.3)</f>
        <v/>
      </c>
      <c r="AE142" s="104">
        <f>CHOOSE(MATCH(IF($U142="","Основний",$U142),{"Трафіковий","Основний","Маржинальний","Сезонний","Стратегічний"},0),0.18,0.2,0.28,0.27,0.32)</f>
        <v/>
      </c>
      <c r="AF142" s="104">
        <f>CHOOSE(MATCH(IF($U142="","Основний",$U142),{"Трафіковий","Основний","Маржинальний","Сезонний","Стратегічний"},0),0.15,0.175,0.22,0.21,0.25)</f>
        <v/>
      </c>
      <c r="AG142" s="104">
        <f>CHOOSE(MATCH(IF($U142="","Основний",$U142),{"Трафіковий","Основний","Маржинальний","Сезонний","Стратегічний"},0),0.13,0.16,0.21,0.2,0.25)</f>
        <v/>
      </c>
      <c r="AH142" s="104">
        <f>CHOOSE(MATCH(IF($U142="","Основний",$U142),{"Трафіковий","Основний","Маржинальний","Сезонний","Стратегічний"},0),0.15,0.18,0.23,0.22,0.27)</f>
        <v/>
      </c>
      <c r="AI142" s="104">
        <f>CHOOSE(MATCH(IF($U142="","Основний",$U142),{"Трафіковий","Основний","Маржинальний","Сезонний","Стратегічний"},0),0.16,0.19,0.25,0.23,0.29)</f>
        <v/>
      </c>
      <c r="AJ142" s="104">
        <f>CHOOSE(MATCH(IF($U142="","Основний",$U142),{"Трафіковий","Основний","Маржинальний","Сезонний","Стратегічний"},0),0.14,0.17,0.22,0.21,0.25)</f>
        <v/>
      </c>
      <c r="AK142" s="104">
        <f>CHOOSE(MATCH(IF($U142="","Основний",$U142),{"Трафіковий","Основний","Маржинальний","Сезонний","Стратегічний"},0),0.15,0.18,0.23,0.22,0.27)</f>
        <v/>
      </c>
      <c r="AL142" s="104">
        <f>CHOOSE(MATCH(IF($U142="","Основний",$U142),{"Трафіковий","Основний","Маржинальний","Сезонний","Стратегічний"},0),0.15,0.17,0.25,0.24,0.29)</f>
        <v/>
      </c>
      <c r="AM142" s="104">
        <f>CHOOSE(MATCH(IF($U142="","Основний",$U142),{"Трафіковий","Основний","Маржинальний","Сезонний","Стратегічний"},0),0.12,0.145,0.19,0.18,0.22)</f>
        <v/>
      </c>
      <c r="AN142" s="157">
        <f>CHOOSE(MATCH(IF($U142="","Основний",$U142),{"Трафіковий","Основний","Маржинальний","Сезонний","Стратегічний"},0),Settings!$B$78,Settings!$B$80,Settings!$B$82,Settings!$B$84,Settings!$B$86)</f>
        <v/>
      </c>
      <c r="AO142" s="157">
        <f>CHOOSE(MATCH(IF($U142="","Основний",$U142),{"Трафіковий","Основний","Маржинальний","Сезонний","Стратегічний"},0),Settings!$C$78,Settings!$C$80,Settings!$C$82,Settings!$C$84,Settings!$C$86)</f>
        <v/>
      </c>
      <c r="AP142" s="157">
        <f>CHOOSE(MATCH(IF($U142="","Основний",$U142),{"Трафіковий","Основний","Маржинальний","Сезонний","Стратегічний"},0),Settings!$D$78,Settings!$D$80,Settings!$D$82,Settings!$D$84,Settings!$D$86)</f>
        <v/>
      </c>
      <c r="AQ142" s="157">
        <f>CHOOSE(MATCH(IF($U142="","Основний",$U142),{"Трафіковий","Основний","Маржинальний","Сезонний","Стратегічний"},0),Settings!$F$78,Settings!$F$80,Settings!$F$82,Settings!$F$84,Settings!$F$86)</f>
        <v/>
      </c>
      <c r="AR142" s="157">
        <f>CHOOSE(MATCH(IF($U142="","Основний",$U142),{"Трафіковий","Основний","Маржинальний","Сезонний","Стратегічний"},0),Settings!$G$78,Settings!$G$80,Settings!$G$82,Settings!$G$84,Settings!$G$86)</f>
        <v/>
      </c>
      <c r="AS142" s="157">
        <f>CHOOSE(MATCH(IF($U142="","Основний",$U142),{"Трафіковий","Основний","Маржинальний","Сезонний","Стратегічний"},0),Settings!$H$78,Settings!$H$80,Settings!$H$82,Settings!$H$84,Settings!$H$86)</f>
        <v/>
      </c>
      <c r="AT142" s="157">
        <f>CHOOSE(MATCH(IF($U142="","Основний",$U142),{"Трафіковий","Основний","Маржинальний","Сезонний","Стратегічний"},0),Settings!$I$78,Settings!$I$80,Settings!$I$82,Settings!$I$84,Settings!$I$86)</f>
        <v/>
      </c>
      <c r="AU142" s="171" t="n"/>
      <c r="AV142" t="n">
        <v>1.35</v>
      </c>
    </row>
    <row r="143">
      <c r="A143" s="33" t="inlineStr">
        <is>
          <t>SELL OUT</t>
        </is>
      </c>
      <c r="B143" s="34" t="inlineStr">
        <is>
          <t>ZS2812</t>
        </is>
      </c>
      <c r="C143" s="34" t="inlineStr">
        <is>
          <t>LED FLOODLIGHT ACCO 10W 1000LM IP54 CW</t>
        </is>
      </c>
      <c r="D143" s="34" t="inlineStr">
        <is>
          <t>Прожектори робочі акумуляторні</t>
        </is>
      </c>
      <c r="E143" s="33" t="inlineStr">
        <is>
          <t>PC</t>
        </is>
      </c>
      <c r="F143" s="94" t="n">
        <v>19.353</v>
      </c>
      <c r="G143" s="35" t="n">
        <v>9405421000</v>
      </c>
      <c r="H143" s="31" t="n">
        <v>1.35</v>
      </c>
      <c r="I143" s="84">
        <f>IFERROR(F143*Settings!$B$2*H143*IF(AND(ISNUMBER(E143),E143&gt;1),E143,1),"")</f>
        <v/>
      </c>
      <c r="J143" s="32">
        <f>Settings!$B$66</f>
        <v/>
      </c>
      <c r="K143" s="95">
        <f>IFERROR(IF(T143="","",(T143*(1-AN143)*(1-Settings!$B$17)-I143)/(T143*(1-AN143)*(1-Settings!$B$17))),"")</f>
        <v/>
      </c>
      <c r="L143" s="101">
        <f>IFERROR(IF(T143="","",(T143*(1-AO143)*(1-Settings!$C$17)-I143)/(T143*(1-AO143)*(1-Settings!$C$17))),"")</f>
        <v/>
      </c>
      <c r="M143" s="101">
        <f>IFERROR(IF(T143="","",(T143*(1-AP143)*(1-Settings!$D$17)-I143)/(T143*(1-AP143)*(1-Settings!$D$17))),"")</f>
        <v/>
      </c>
      <c r="N143" s="101">
        <f>IFERROR(IF(T143="","",(T143*(1-AQ143)*(1-Settings!$F$17)-I143)/(T143*(1-AQ143)*(1-Settings!$F$17))),"")</f>
        <v/>
      </c>
      <c r="O143" s="101">
        <f>IFERROR(IF(T143="","",(T143*(1-AR143)*(1-Settings!$G$17)-I143)/(T143*(1-AR143)*(1-Settings!$G$17))),"")</f>
        <v/>
      </c>
      <c r="P143" s="101">
        <f>IFERROR(IF(T143="","",(T143*(1-AS143)*(1-Settings!$H$17)-I143)/(T143*(1-AS143)*(1-Settings!$H$17))),"")</f>
        <v/>
      </c>
      <c r="Q143" s="101">
        <f>IFERROR(IF(T143="","",(T143*(1-AT143)*(1-Settings!$I$68)*(1-Settings!$I$17)-I143)/(T143*(1-AT143)*(1-Settings!$I$68)*(1-Settings!$I$17))),"")</f>
        <v/>
      </c>
      <c r="R143" s="91">
        <f>IFERROR(IF(OR(I143="",Z143&gt;=1,Settings!$B$17&gt;=1,AN143&gt;=1),"",IF(MOD(ROUND(I143/(1-Z143)/(1-Settings!$B$17)/(1-AN143),0),10)=0,ROUND(I143/(1-Z143)/(1-Settings!$B$17)/(1-AN143),0)-1,IF(MOD(ROUND(I143/(1-Z143)/(1-Settings!$B$17)/(1-AN143),0),10)&lt;=5,FLOOR(ROUND(I143/(1-Z143)/(1-Settings!$B$17)/(1-AN143),0),10)+6,FLOOR(ROUND(I143/(1-Z143)/(1-Settings!$B$17)/(1-AN143),0),10)+9))),"")</f>
        <v/>
      </c>
      <c r="S143" s="92" t="n">
        <v>2400</v>
      </c>
      <c r="T143" s="91">
        <f>IF(S143&lt;&gt;"", IF(MOD(S143,10)=0,S143-1,IF(MOD(S143,10)&lt;=5,FLOOR(S143,10)+6,FLOOR(S143,10)+9)), R143)</f>
        <v/>
      </c>
      <c r="U143" s="87" t="inlineStr">
        <is>
          <t>Основний</t>
        </is>
      </c>
      <c r="V143" s="88" t="n"/>
      <c r="W143" s="88" t="n"/>
      <c r="X143" s="89">
        <f>IFERROR(IF(OR(V143="",W143="",T143=""),"", IF(T143&gt;W143,"Дорогий",IF(T143&lt;V143,"Дешевий","У ринку"))),"")</f>
        <v/>
      </c>
      <c r="Y143" s="90" t="n"/>
      <c r="Z143" s="104">
        <f>CHOOSE(MATCH(IF($U143="","Основний",$U143),{"Трафіковий","Основний","Маржинальний","Сезонний","Стратегічний"},0),0.16,0.19,0.24,0.23,0.28)</f>
        <v/>
      </c>
      <c r="AA143" s="104">
        <f>CHOOSE(MATCH(IF($U143="","Основний",$U143),{"Трафіковий","Основний","Маржинальний","Сезонний","Стратегічний"},0),0.18,0.21,0.26,0.25,0.3)</f>
        <v/>
      </c>
      <c r="AB143" s="104">
        <f>CHOOSE(MATCH(IF($U143="","Основний",$U143),{"Трафіковий","Основний","Маржинальний","Сезонний","Стратегічний"},0),0.19,0.22,0.28,0.26,0.32)</f>
        <v/>
      </c>
      <c r="AC143" s="104">
        <f>CHOOSE(MATCH(IF($U143="","Основний",$U143),{"Трафіковий","Основний","Маржинальний","Сезонний","Стратегічний"},0),0.17,0.2,0.25,0.24,0.28)</f>
        <v/>
      </c>
      <c r="AD143" s="104">
        <f>CHOOSE(MATCH(IF($U143="","Основний",$U143),{"Трафіковий","Основний","Маржинальний","Сезонний","Стратегічний"},0),0.18,0.21,0.26,0.25,0.3)</f>
        <v/>
      </c>
      <c r="AE143" s="104">
        <f>CHOOSE(MATCH(IF($U143="","Основний",$U143),{"Трафіковий","Основний","Маржинальний","Сезонний","Стратегічний"},0),0.18,0.2,0.28,0.27,0.32)</f>
        <v/>
      </c>
      <c r="AF143" s="104">
        <f>CHOOSE(MATCH(IF($U143="","Основний",$U143),{"Трафіковий","Основний","Маржинальний","Сезонний","Стратегічний"},0),0.15,0.175,0.22,0.21,0.25)</f>
        <v/>
      </c>
      <c r="AG143" s="104">
        <f>CHOOSE(MATCH(IF($U143="","Основний",$U143),{"Трафіковий","Основний","Маржинальний","Сезонний","Стратегічний"},0),0.13,0.16,0.21,0.2,0.25)</f>
        <v/>
      </c>
      <c r="AH143" s="104">
        <f>CHOOSE(MATCH(IF($U143="","Основний",$U143),{"Трафіковий","Основний","Маржинальний","Сезонний","Стратегічний"},0),0.15,0.18,0.23,0.22,0.27)</f>
        <v/>
      </c>
      <c r="AI143" s="104">
        <f>CHOOSE(MATCH(IF($U143="","Основний",$U143),{"Трафіковий","Основний","Маржинальний","Сезонний","Стратегічний"},0),0.16,0.19,0.25,0.23,0.29)</f>
        <v/>
      </c>
      <c r="AJ143" s="104">
        <f>CHOOSE(MATCH(IF($U143="","Основний",$U143),{"Трафіковий","Основний","Маржинальний","Сезонний","Стратегічний"},0),0.14,0.17,0.22,0.21,0.25)</f>
        <v/>
      </c>
      <c r="AK143" s="104">
        <f>CHOOSE(MATCH(IF($U143="","Основний",$U143),{"Трафіковий","Основний","Маржинальний","Сезонний","Стратегічний"},0),0.15,0.18,0.23,0.22,0.27)</f>
        <v/>
      </c>
      <c r="AL143" s="104">
        <f>CHOOSE(MATCH(IF($U143="","Основний",$U143),{"Трафіковий","Основний","Маржинальний","Сезонний","Стратегічний"},0),0.15,0.17,0.25,0.24,0.29)</f>
        <v/>
      </c>
      <c r="AM143" s="104">
        <f>CHOOSE(MATCH(IF($U143="","Основний",$U143),{"Трафіковий","Основний","Маржинальний","Сезонний","Стратегічний"},0),0.12,0.145,0.19,0.18,0.22)</f>
        <v/>
      </c>
      <c r="AN143" s="157">
        <f>CHOOSE(MATCH(IF($U143="","Основний",$U143),{"Трафіковий","Основний","Маржинальний","Сезонний","Стратегічний"},0),Settings!$B$78,Settings!$B$80,Settings!$B$82,Settings!$B$84,Settings!$B$86)</f>
        <v/>
      </c>
      <c r="AO143" s="157">
        <f>CHOOSE(MATCH(IF($U143="","Основний",$U143),{"Трафіковий","Основний","Маржинальний","Сезонний","Стратегічний"},0),Settings!$C$78,Settings!$C$80,Settings!$C$82,Settings!$C$84,Settings!$C$86)</f>
        <v/>
      </c>
      <c r="AP143" s="157">
        <f>CHOOSE(MATCH(IF($U143="","Основний",$U143),{"Трафіковий","Основний","Маржинальний","Сезонний","Стратегічний"},0),Settings!$D$78,Settings!$D$80,Settings!$D$82,Settings!$D$84,Settings!$D$86)</f>
        <v/>
      </c>
      <c r="AQ143" s="157">
        <f>CHOOSE(MATCH(IF($U143="","Основний",$U143),{"Трафіковий","Основний","Маржинальний","Сезонний","Стратегічний"},0),Settings!$F$78,Settings!$F$80,Settings!$F$82,Settings!$F$84,Settings!$F$86)</f>
        <v/>
      </c>
      <c r="AR143" s="157">
        <f>CHOOSE(MATCH(IF($U143="","Основний",$U143),{"Трафіковий","Основний","Маржинальний","Сезонний","Стратегічний"},0),Settings!$G$78,Settings!$G$80,Settings!$G$82,Settings!$G$84,Settings!$G$86)</f>
        <v/>
      </c>
      <c r="AS143" s="157">
        <f>CHOOSE(MATCH(IF($U143="","Основний",$U143),{"Трафіковий","Основний","Маржинальний","Сезонний","Стратегічний"},0),Settings!$H$78,Settings!$H$80,Settings!$H$82,Settings!$H$84,Settings!$H$86)</f>
        <v/>
      </c>
      <c r="AT143" s="157">
        <f>CHOOSE(MATCH(IF($U143="","Основний",$U143),{"Трафіковий","Основний","Маржинальний","Сезонний","Стратегічний"},0),Settings!$I$78,Settings!$I$80,Settings!$I$82,Settings!$I$84,Settings!$I$86)</f>
        <v/>
      </c>
      <c r="AU143" s="171" t="n"/>
      <c r="AV143" t="n">
        <v>1.35</v>
      </c>
    </row>
    <row r="144">
      <c r="A144" s="28" t="inlineStr">
        <is>
          <t>NEW</t>
        </is>
      </c>
      <c r="B144" s="29" t="inlineStr">
        <is>
          <t>ZS2813</t>
        </is>
      </c>
      <c r="C144" s="29" t="inlineStr">
        <is>
          <t>LED FLOODLIGHT ACCO 20W 1650LM IP54 CW</t>
        </is>
      </c>
      <c r="D144" s="29" t="inlineStr">
        <is>
          <t>Прожектори робочі акумуляторні</t>
        </is>
      </c>
      <c r="E144" s="28" t="inlineStr">
        <is>
          <t>PC</t>
        </is>
      </c>
      <c r="F144" s="93" t="n">
        <v>16.772</v>
      </c>
      <c r="G144" s="30" t="n">
        <v>9405421000</v>
      </c>
      <c r="H144" s="31" t="n">
        <v>1.35</v>
      </c>
      <c r="I144" s="84">
        <f>IFERROR(F144*Settings!$B$2*H144*IF(AND(ISNUMBER(E144),E144&gt;1),E144,1),"")</f>
        <v/>
      </c>
      <c r="J144" s="32">
        <f>Settings!$B$66</f>
        <v/>
      </c>
      <c r="K144" s="95">
        <f>IFERROR(IF(T144="","",(T144*(1-AN144)*(1-Settings!$B$17)-I144)/(T144*(1-AN144)*(1-Settings!$B$17))),"")</f>
        <v/>
      </c>
      <c r="L144" s="101">
        <f>IFERROR(IF(T144="","",(T144*(1-AO144)*(1-Settings!$C$17)-I144)/(T144*(1-AO144)*(1-Settings!$C$17))),"")</f>
        <v/>
      </c>
      <c r="M144" s="101">
        <f>IFERROR(IF(T144="","",(T144*(1-AP144)*(1-Settings!$D$17)-I144)/(T144*(1-AP144)*(1-Settings!$D$17))),"")</f>
        <v/>
      </c>
      <c r="N144" s="101">
        <f>IFERROR(IF(T144="","",(T144*(1-AQ144)*(1-Settings!$F$17)-I144)/(T144*(1-AQ144)*(1-Settings!$F$17))),"")</f>
        <v/>
      </c>
      <c r="O144" s="101">
        <f>IFERROR(IF(T144="","",(T144*(1-AR144)*(1-Settings!$G$17)-I144)/(T144*(1-AR144)*(1-Settings!$G$17))),"")</f>
        <v/>
      </c>
      <c r="P144" s="101">
        <f>IFERROR(IF(T144="","",(T144*(1-AS144)*(1-Settings!$H$17)-I144)/(T144*(1-AS144)*(1-Settings!$H$17))),"")</f>
        <v/>
      </c>
      <c r="Q144" s="101">
        <f>IFERROR(IF(T144="","",(T144*(1-AT144)*(1-Settings!$I$68)*(1-Settings!$I$17)-I144)/(T144*(1-AT144)*(1-Settings!$I$68)*(1-Settings!$I$17))),"")</f>
        <v/>
      </c>
      <c r="R144" s="91">
        <f>IFERROR(IF(OR(I144="",Z144&gt;=1,Settings!$B$17&gt;=1,AN144&gt;=1),"",IF(MOD(ROUND(I144/(1-Z144)/(1-Settings!$B$17)/(1-AN144),0),10)=0,ROUND(I144/(1-Z144)/(1-Settings!$B$17)/(1-AN144),0)-1,IF(MOD(ROUND(I144/(1-Z144)/(1-Settings!$B$17)/(1-AN144),0),10)&lt;=5,FLOOR(ROUND(I144/(1-Z144)/(1-Settings!$B$17)/(1-AN144),0),10)+6,FLOOR(ROUND(I144/(1-Z144)/(1-Settings!$B$17)/(1-AN144),0),10)+9))),"")</f>
        <v/>
      </c>
      <c r="S144" s="92" t="n">
        <v>2120</v>
      </c>
      <c r="T144" s="91">
        <f>IF(S144&lt;&gt;"", IF(MOD(S144,10)=0,S144-1,IF(MOD(S144,10)&lt;=5,FLOOR(S144,10)+6,FLOOR(S144,10)+9)), R144)</f>
        <v/>
      </c>
      <c r="U144" s="87" t="inlineStr">
        <is>
          <t>Основний</t>
        </is>
      </c>
      <c r="V144" s="88" t="n"/>
      <c r="W144" s="88" t="n"/>
      <c r="X144" s="89">
        <f>IFERROR(IF(OR(V144="",W144="",T144=""),"", IF(T144&gt;W144,"Дорогий",IF(T144&lt;V144,"Дешевий","У ринку"))),"")</f>
        <v/>
      </c>
      <c r="Y144" s="90" t="n"/>
      <c r="Z144" s="104">
        <f>CHOOSE(MATCH(IF($U144="","Основний",$U144),{"Трафіковий","Основний","Маржинальний","Сезонний","Стратегічний"},0),0.16,0.19,0.24,0.23,0.28)</f>
        <v/>
      </c>
      <c r="AA144" s="104">
        <f>CHOOSE(MATCH(IF($U144="","Основний",$U144),{"Трафіковий","Основний","Маржинальний","Сезонний","Стратегічний"},0),0.18,0.21,0.26,0.25,0.3)</f>
        <v/>
      </c>
      <c r="AB144" s="104">
        <f>CHOOSE(MATCH(IF($U144="","Основний",$U144),{"Трафіковий","Основний","Маржинальний","Сезонний","Стратегічний"},0),0.19,0.22,0.28,0.26,0.32)</f>
        <v/>
      </c>
      <c r="AC144" s="104">
        <f>CHOOSE(MATCH(IF($U144="","Основний",$U144),{"Трафіковий","Основний","Маржинальний","Сезонний","Стратегічний"},0),0.17,0.2,0.25,0.24,0.28)</f>
        <v/>
      </c>
      <c r="AD144" s="104">
        <f>CHOOSE(MATCH(IF($U144="","Основний",$U144),{"Трафіковий","Основний","Маржинальний","Сезонний","Стратегічний"},0),0.18,0.21,0.26,0.25,0.3)</f>
        <v/>
      </c>
      <c r="AE144" s="104">
        <f>CHOOSE(MATCH(IF($U144="","Основний",$U144),{"Трафіковий","Основний","Маржинальний","Сезонний","Стратегічний"},0),0.18,0.2,0.28,0.27,0.32)</f>
        <v/>
      </c>
      <c r="AF144" s="104">
        <f>CHOOSE(MATCH(IF($U144="","Основний",$U144),{"Трафіковий","Основний","Маржинальний","Сезонний","Стратегічний"},0),0.15,0.175,0.22,0.21,0.25)</f>
        <v/>
      </c>
      <c r="AG144" s="104">
        <f>CHOOSE(MATCH(IF($U144="","Основний",$U144),{"Трафіковий","Основний","Маржинальний","Сезонний","Стратегічний"},0),0.13,0.16,0.21,0.2,0.25)</f>
        <v/>
      </c>
      <c r="AH144" s="104">
        <f>CHOOSE(MATCH(IF($U144="","Основний",$U144),{"Трафіковий","Основний","Маржинальний","Сезонний","Стратегічний"},0),0.15,0.18,0.23,0.22,0.27)</f>
        <v/>
      </c>
      <c r="AI144" s="104">
        <f>CHOOSE(MATCH(IF($U144="","Основний",$U144),{"Трафіковий","Основний","Маржинальний","Сезонний","Стратегічний"},0),0.16,0.19,0.25,0.23,0.29)</f>
        <v/>
      </c>
      <c r="AJ144" s="104">
        <f>CHOOSE(MATCH(IF($U144="","Основний",$U144),{"Трафіковий","Основний","Маржинальний","Сезонний","Стратегічний"},0),0.14,0.17,0.22,0.21,0.25)</f>
        <v/>
      </c>
      <c r="AK144" s="104">
        <f>CHOOSE(MATCH(IF($U144="","Основний",$U144),{"Трафіковий","Основний","Маржинальний","Сезонний","Стратегічний"},0),0.15,0.18,0.23,0.22,0.27)</f>
        <v/>
      </c>
      <c r="AL144" s="104">
        <f>CHOOSE(MATCH(IF($U144="","Основний",$U144),{"Трафіковий","Основний","Маржинальний","Сезонний","Стратегічний"},0),0.15,0.17,0.25,0.24,0.29)</f>
        <v/>
      </c>
      <c r="AM144" s="104">
        <f>CHOOSE(MATCH(IF($U144="","Основний",$U144),{"Трафіковий","Основний","Маржинальний","Сезонний","Стратегічний"},0),0.12,0.145,0.19,0.18,0.22)</f>
        <v/>
      </c>
      <c r="AN144" s="157">
        <f>CHOOSE(MATCH(IF($U144="","Основний",$U144),{"Трафіковий","Основний","Маржинальний","Сезонний","Стратегічний"},0),Settings!$B$78,Settings!$B$80,Settings!$B$82,Settings!$B$84,Settings!$B$86)</f>
        <v/>
      </c>
      <c r="AO144" s="157">
        <f>CHOOSE(MATCH(IF($U144="","Основний",$U144),{"Трафіковий","Основний","Маржинальний","Сезонний","Стратегічний"},0),Settings!$C$78,Settings!$C$80,Settings!$C$82,Settings!$C$84,Settings!$C$86)</f>
        <v/>
      </c>
      <c r="AP144" s="157">
        <f>CHOOSE(MATCH(IF($U144="","Основний",$U144),{"Трафіковий","Основний","Маржинальний","Сезонний","Стратегічний"},0),Settings!$D$78,Settings!$D$80,Settings!$D$82,Settings!$D$84,Settings!$D$86)</f>
        <v/>
      </c>
      <c r="AQ144" s="157">
        <f>CHOOSE(MATCH(IF($U144="","Основний",$U144),{"Трафіковий","Основний","Маржинальний","Сезонний","Стратегічний"},0),Settings!$F$78,Settings!$F$80,Settings!$F$82,Settings!$F$84,Settings!$F$86)</f>
        <v/>
      </c>
      <c r="AR144" s="157">
        <f>CHOOSE(MATCH(IF($U144="","Основний",$U144),{"Трафіковий","Основний","Маржинальний","Сезонний","Стратегічний"},0),Settings!$G$78,Settings!$G$80,Settings!$G$82,Settings!$G$84,Settings!$G$86)</f>
        <v/>
      </c>
      <c r="AS144" s="157">
        <f>CHOOSE(MATCH(IF($U144="","Основний",$U144),{"Трафіковий","Основний","Маржинальний","Сезонний","Стратегічний"},0),Settings!$H$78,Settings!$H$80,Settings!$H$82,Settings!$H$84,Settings!$H$86)</f>
        <v/>
      </c>
      <c r="AT144" s="157">
        <f>CHOOSE(MATCH(IF($U144="","Основний",$U144),{"Трафіковий","Основний","Маржинальний","Сезонний","Стратегічний"},0),Settings!$I$78,Settings!$I$80,Settings!$I$82,Settings!$I$84,Settings!$I$86)</f>
        <v/>
      </c>
      <c r="AU144" s="171" t="n"/>
      <c r="AV144" t="n">
        <v>1.35</v>
      </c>
    </row>
    <row r="145">
      <c r="A145" s="33" t="inlineStr">
        <is>
          <t>NEW</t>
        </is>
      </c>
      <c r="B145" s="34" t="inlineStr">
        <is>
          <t>ZS2823</t>
        </is>
      </c>
      <c r="C145" s="34" t="inlineStr">
        <is>
          <t>LED FLOODLIGHT ACCO 35W 3300LM IP54 CW</t>
        </is>
      </c>
      <c r="D145" s="34" t="inlineStr">
        <is>
          <t>Прожектори робочі акумуляторні</t>
        </is>
      </c>
      <c r="E145" s="33" t="inlineStr">
        <is>
          <t>PC</t>
        </is>
      </c>
      <c r="F145" s="94" t="n">
        <v>26.521</v>
      </c>
      <c r="G145" s="35" t="n">
        <v>9405421000</v>
      </c>
      <c r="H145" s="31" t="n">
        <v>1.35</v>
      </c>
      <c r="I145" s="84">
        <f>IFERROR(F145*Settings!$B$2*H145*IF(AND(ISNUMBER(E145),E145&gt;1),E145,1),"")</f>
        <v/>
      </c>
      <c r="J145" s="32">
        <f>Settings!$B$66</f>
        <v/>
      </c>
      <c r="K145" s="95">
        <f>IFERROR(IF(T145="","",(T145*(1-AN145)*(1-Settings!$B$17)-I145)/(T145*(1-AN145)*(1-Settings!$B$17))),"")</f>
        <v/>
      </c>
      <c r="L145" s="101">
        <f>IFERROR(IF(T145="","",(T145*(1-AO145)*(1-Settings!$C$17)-I145)/(T145*(1-AO145)*(1-Settings!$C$17))),"")</f>
        <v/>
      </c>
      <c r="M145" s="101">
        <f>IFERROR(IF(T145="","",(T145*(1-AP145)*(1-Settings!$D$17)-I145)/(T145*(1-AP145)*(1-Settings!$D$17))),"")</f>
        <v/>
      </c>
      <c r="N145" s="101">
        <f>IFERROR(IF(T145="","",(T145*(1-AQ145)*(1-Settings!$F$17)-I145)/(T145*(1-AQ145)*(1-Settings!$F$17))),"")</f>
        <v/>
      </c>
      <c r="O145" s="101">
        <f>IFERROR(IF(T145="","",(T145*(1-AR145)*(1-Settings!$G$17)-I145)/(T145*(1-AR145)*(1-Settings!$G$17))),"")</f>
        <v/>
      </c>
      <c r="P145" s="101">
        <f>IFERROR(IF(T145="","",(T145*(1-AS145)*(1-Settings!$H$17)-I145)/(T145*(1-AS145)*(1-Settings!$H$17))),"")</f>
        <v/>
      </c>
      <c r="Q145" s="101">
        <f>IFERROR(IF(T145="","",(T145*(1-AT145)*(1-Settings!$I$68)*(1-Settings!$I$17)-I145)/(T145*(1-AT145)*(1-Settings!$I$68)*(1-Settings!$I$17))),"")</f>
        <v/>
      </c>
      <c r="R145" s="91">
        <f>IFERROR(IF(OR(I145="",Z145&gt;=1,Settings!$B$17&gt;=1,AN145&gt;=1),"",IF(MOD(ROUND(I145/(1-Z145)/(1-Settings!$B$17)/(1-AN145),0),10)=0,ROUND(I145/(1-Z145)/(1-Settings!$B$17)/(1-AN145),0)-1,IF(MOD(ROUND(I145/(1-Z145)/(1-Settings!$B$17)/(1-AN145),0),10)&lt;=5,FLOOR(ROUND(I145/(1-Z145)/(1-Settings!$B$17)/(1-AN145),0),10)+6,FLOOR(ROUND(I145/(1-Z145)/(1-Settings!$B$17)/(1-AN145),0),10)+9))),"")</f>
        <v/>
      </c>
      <c r="S145" s="92" t="n">
        <v>3400</v>
      </c>
      <c r="T145" s="91">
        <f>IF(S145&lt;&gt;"", IF(MOD(S145,10)=0,S145-1,IF(MOD(S145,10)&lt;=5,FLOOR(S145,10)+6,FLOOR(S145,10)+9)), R145)</f>
        <v/>
      </c>
      <c r="U145" s="87" t="inlineStr">
        <is>
          <t>Основний</t>
        </is>
      </c>
      <c r="V145" s="88" t="n"/>
      <c r="W145" s="88" t="n"/>
      <c r="X145" s="89">
        <f>IFERROR(IF(OR(V145="",W145="",T145=""),"", IF(T145&gt;W145,"Дорогий",IF(T145&lt;V145,"Дешевий","У ринку"))),"")</f>
        <v/>
      </c>
      <c r="Y145" s="90" t="n"/>
      <c r="Z145" s="104">
        <f>CHOOSE(MATCH(IF($U145="","Основний",$U145),{"Трафіковий","Основний","Маржинальний","Сезонний","Стратегічний"},0),0.16,0.19,0.24,0.23,0.28)</f>
        <v/>
      </c>
      <c r="AA145" s="104">
        <f>CHOOSE(MATCH(IF($U145="","Основний",$U145),{"Трафіковий","Основний","Маржинальний","Сезонний","Стратегічний"},0),0.18,0.21,0.26,0.25,0.3)</f>
        <v/>
      </c>
      <c r="AB145" s="104">
        <f>CHOOSE(MATCH(IF($U145="","Основний",$U145),{"Трафіковий","Основний","Маржинальний","Сезонний","Стратегічний"},0),0.19,0.22,0.28,0.26,0.32)</f>
        <v/>
      </c>
      <c r="AC145" s="104">
        <f>CHOOSE(MATCH(IF($U145="","Основний",$U145),{"Трафіковий","Основний","Маржинальний","Сезонний","Стратегічний"},0),0.17,0.2,0.25,0.24,0.28)</f>
        <v/>
      </c>
      <c r="AD145" s="104">
        <f>CHOOSE(MATCH(IF($U145="","Основний",$U145),{"Трафіковий","Основний","Маржинальний","Сезонний","Стратегічний"},0),0.18,0.21,0.26,0.25,0.3)</f>
        <v/>
      </c>
      <c r="AE145" s="104">
        <f>CHOOSE(MATCH(IF($U145="","Основний",$U145),{"Трафіковий","Основний","Маржинальний","Сезонний","Стратегічний"},0),0.18,0.2,0.28,0.27,0.32)</f>
        <v/>
      </c>
      <c r="AF145" s="104">
        <f>CHOOSE(MATCH(IF($U145="","Основний",$U145),{"Трафіковий","Основний","Маржинальний","Сезонний","Стратегічний"},0),0.15,0.175,0.22,0.21,0.25)</f>
        <v/>
      </c>
      <c r="AG145" s="104">
        <f>CHOOSE(MATCH(IF($U145="","Основний",$U145),{"Трафіковий","Основний","Маржинальний","Сезонний","Стратегічний"},0),0.13,0.16,0.21,0.2,0.25)</f>
        <v/>
      </c>
      <c r="AH145" s="104">
        <f>CHOOSE(MATCH(IF($U145="","Основний",$U145),{"Трафіковий","Основний","Маржинальний","Сезонний","Стратегічний"},0),0.15,0.18,0.23,0.22,0.27)</f>
        <v/>
      </c>
      <c r="AI145" s="104">
        <f>CHOOSE(MATCH(IF($U145="","Основний",$U145),{"Трафіковий","Основний","Маржинальний","Сезонний","Стратегічний"},0),0.16,0.19,0.25,0.23,0.29)</f>
        <v/>
      </c>
      <c r="AJ145" s="104">
        <f>CHOOSE(MATCH(IF($U145="","Основний",$U145),{"Трафіковий","Основний","Маржинальний","Сезонний","Стратегічний"},0),0.14,0.17,0.22,0.21,0.25)</f>
        <v/>
      </c>
      <c r="AK145" s="104">
        <f>CHOOSE(MATCH(IF($U145="","Основний",$U145),{"Трафіковий","Основний","Маржинальний","Сезонний","Стратегічний"},0),0.15,0.18,0.23,0.22,0.27)</f>
        <v/>
      </c>
      <c r="AL145" s="104">
        <f>CHOOSE(MATCH(IF($U145="","Основний",$U145),{"Трафіковий","Основний","Маржинальний","Сезонний","Стратегічний"},0),0.15,0.17,0.25,0.24,0.29)</f>
        <v/>
      </c>
      <c r="AM145" s="104">
        <f>CHOOSE(MATCH(IF($U145="","Основний",$U145),{"Трафіковий","Основний","Маржинальний","Сезонний","Стратегічний"},0),0.12,0.145,0.19,0.18,0.22)</f>
        <v/>
      </c>
      <c r="AN145" s="157">
        <f>CHOOSE(MATCH(IF($U145="","Основний",$U145),{"Трафіковий","Основний","Маржинальний","Сезонний","Стратегічний"},0),Settings!$B$78,Settings!$B$80,Settings!$B$82,Settings!$B$84,Settings!$B$86)</f>
        <v/>
      </c>
      <c r="AO145" s="157">
        <f>CHOOSE(MATCH(IF($U145="","Основний",$U145),{"Трафіковий","Основний","Маржинальний","Сезонний","Стратегічний"},0),Settings!$C$78,Settings!$C$80,Settings!$C$82,Settings!$C$84,Settings!$C$86)</f>
        <v/>
      </c>
      <c r="AP145" s="157">
        <f>CHOOSE(MATCH(IF($U145="","Основний",$U145),{"Трафіковий","Основний","Маржинальний","Сезонний","Стратегічний"},0),Settings!$D$78,Settings!$D$80,Settings!$D$82,Settings!$D$84,Settings!$D$86)</f>
        <v/>
      </c>
      <c r="AQ145" s="157">
        <f>CHOOSE(MATCH(IF($U145="","Основний",$U145),{"Трафіковий","Основний","Маржинальний","Сезонний","Стратегічний"},0),Settings!$F$78,Settings!$F$80,Settings!$F$82,Settings!$F$84,Settings!$F$86)</f>
        <v/>
      </c>
      <c r="AR145" s="157">
        <f>CHOOSE(MATCH(IF($U145="","Основний",$U145),{"Трафіковий","Основний","Маржинальний","Сезонний","Стратегічний"},0),Settings!$G$78,Settings!$G$80,Settings!$G$82,Settings!$G$84,Settings!$G$86)</f>
        <v/>
      </c>
      <c r="AS145" s="157">
        <f>CHOOSE(MATCH(IF($U145="","Основний",$U145),{"Трафіковий","Основний","Маржинальний","Сезонний","Стратегічний"},0),Settings!$H$78,Settings!$H$80,Settings!$H$82,Settings!$H$84,Settings!$H$86)</f>
        <v/>
      </c>
      <c r="AT145" s="157">
        <f>CHOOSE(MATCH(IF($U145="","Основний",$U145),{"Трафіковий","Основний","Маржинальний","Сезонний","Стратегічний"},0),Settings!$I$78,Settings!$I$80,Settings!$I$82,Settings!$I$84,Settings!$I$86)</f>
        <v/>
      </c>
      <c r="AU145" s="171" t="n"/>
      <c r="AV145" t="n">
        <v>1.35</v>
      </c>
    </row>
    <row r="146">
      <c r="A146" s="28" t="inlineStr">
        <is>
          <t>NEW</t>
        </is>
      </c>
      <c r="B146" s="29" t="inlineStr">
        <is>
          <t>ZS2833</t>
        </is>
      </c>
      <c r="C146" s="29" t="inlineStr">
        <is>
          <t>LED FLOODLIGHT ACCO 50W 4950LM IP54 CW</t>
        </is>
      </c>
      <c r="D146" s="29" t="inlineStr">
        <is>
          <t>Прожектори робочі акумуляторні</t>
        </is>
      </c>
      <c r="E146" s="28" t="inlineStr">
        <is>
          <t>PC</t>
        </is>
      </c>
      <c r="F146" s="93" t="n">
        <v>33.689</v>
      </c>
      <c r="G146" s="30" t="n">
        <v>9405421000</v>
      </c>
      <c r="H146" s="31" t="n">
        <v>1.35</v>
      </c>
      <c r="I146" s="84">
        <f>IFERROR(F146*Settings!$B$2*H146*IF(AND(ISNUMBER(E146),E146&gt;1),E146,1),"")</f>
        <v/>
      </c>
      <c r="J146" s="32">
        <f>Settings!$B$66</f>
        <v/>
      </c>
      <c r="K146" s="95">
        <f>IFERROR(IF(T146="","",(T146*(1-AN146)*(1-Settings!$B$17)-I146)/(T146*(1-AN146)*(1-Settings!$B$17))),"")</f>
        <v/>
      </c>
      <c r="L146" s="101">
        <f>IFERROR(IF(T146="","",(T146*(1-AO146)*(1-Settings!$C$17)-I146)/(T146*(1-AO146)*(1-Settings!$C$17))),"")</f>
        <v/>
      </c>
      <c r="M146" s="101">
        <f>IFERROR(IF(T146="","",(T146*(1-AP146)*(1-Settings!$D$17)-I146)/(T146*(1-AP146)*(1-Settings!$D$17))),"")</f>
        <v/>
      </c>
      <c r="N146" s="101">
        <f>IFERROR(IF(T146="","",(T146*(1-AQ146)*(1-Settings!$F$17)-I146)/(T146*(1-AQ146)*(1-Settings!$F$17))),"")</f>
        <v/>
      </c>
      <c r="O146" s="101">
        <f>IFERROR(IF(T146="","",(T146*(1-AR146)*(1-Settings!$G$17)-I146)/(T146*(1-AR146)*(1-Settings!$G$17))),"")</f>
        <v/>
      </c>
      <c r="P146" s="101">
        <f>IFERROR(IF(T146="","",(T146*(1-AS146)*(1-Settings!$H$17)-I146)/(T146*(1-AS146)*(1-Settings!$H$17))),"")</f>
        <v/>
      </c>
      <c r="Q146" s="101">
        <f>IFERROR(IF(T146="","",(T146*(1-AT146)*(1-Settings!$I$68)*(1-Settings!$I$17)-I146)/(T146*(1-AT146)*(1-Settings!$I$68)*(1-Settings!$I$17))),"")</f>
        <v/>
      </c>
      <c r="R146" s="91">
        <f>IFERROR(IF(OR(I146="",Z146&gt;=1,Settings!$B$17&gt;=1,AN146&gt;=1),"",IF(MOD(ROUND(I146/(1-Z146)/(1-Settings!$B$17)/(1-AN146),0),10)=0,ROUND(I146/(1-Z146)/(1-Settings!$B$17)/(1-AN146),0)-1,IF(MOD(ROUND(I146/(1-Z146)/(1-Settings!$B$17)/(1-AN146),0),10)&lt;=5,FLOOR(ROUND(I146/(1-Z146)/(1-Settings!$B$17)/(1-AN146),0),10)+6,FLOOR(ROUND(I146/(1-Z146)/(1-Settings!$B$17)/(1-AN146),0),10)+9))),"")</f>
        <v/>
      </c>
      <c r="S146" s="92" t="n">
        <v>4300</v>
      </c>
      <c r="T146" s="91">
        <f>IF(S146&lt;&gt;"", IF(MOD(S146,10)=0,S146-1,IF(MOD(S146,10)&lt;=5,FLOOR(S146,10)+6,FLOOR(S146,10)+9)), R146)</f>
        <v/>
      </c>
      <c r="U146" s="87" t="inlineStr">
        <is>
          <t>Основний</t>
        </is>
      </c>
      <c r="V146" s="88" t="n"/>
      <c r="W146" s="88" t="n"/>
      <c r="X146" s="89">
        <f>IFERROR(IF(OR(V146="",W146="",T146=""),"", IF(T146&gt;W146,"Дорогий",IF(T146&lt;V146,"Дешевий","У ринку"))),"")</f>
        <v/>
      </c>
      <c r="Y146" s="90" t="n"/>
      <c r="Z146" s="104">
        <f>CHOOSE(MATCH(IF($U146="","Основний",$U146),{"Трафіковий","Основний","Маржинальний","Сезонний","Стратегічний"},0),0.16,0.19,0.24,0.23,0.28)</f>
        <v/>
      </c>
      <c r="AA146" s="104">
        <f>CHOOSE(MATCH(IF($U146="","Основний",$U146),{"Трафіковий","Основний","Маржинальний","Сезонний","Стратегічний"},0),0.18,0.21,0.26,0.25,0.3)</f>
        <v/>
      </c>
      <c r="AB146" s="104">
        <f>CHOOSE(MATCH(IF($U146="","Основний",$U146),{"Трафіковий","Основний","Маржинальний","Сезонний","Стратегічний"},0),0.19,0.22,0.28,0.26,0.32)</f>
        <v/>
      </c>
      <c r="AC146" s="104">
        <f>CHOOSE(MATCH(IF($U146="","Основний",$U146),{"Трафіковий","Основний","Маржинальний","Сезонний","Стратегічний"},0),0.17,0.2,0.25,0.24,0.28)</f>
        <v/>
      </c>
      <c r="AD146" s="104">
        <f>CHOOSE(MATCH(IF($U146="","Основний",$U146),{"Трафіковий","Основний","Маржинальний","Сезонний","Стратегічний"},0),0.18,0.21,0.26,0.25,0.3)</f>
        <v/>
      </c>
      <c r="AE146" s="104">
        <f>CHOOSE(MATCH(IF($U146="","Основний",$U146),{"Трафіковий","Основний","Маржинальний","Сезонний","Стратегічний"},0),0.18,0.2,0.28,0.27,0.32)</f>
        <v/>
      </c>
      <c r="AF146" s="104">
        <f>CHOOSE(MATCH(IF($U146="","Основний",$U146),{"Трафіковий","Основний","Маржинальний","Сезонний","Стратегічний"},0),0.15,0.175,0.22,0.21,0.25)</f>
        <v/>
      </c>
      <c r="AG146" s="104">
        <f>CHOOSE(MATCH(IF($U146="","Основний",$U146),{"Трафіковий","Основний","Маржинальний","Сезонний","Стратегічний"},0),0.13,0.16,0.21,0.2,0.25)</f>
        <v/>
      </c>
      <c r="AH146" s="104">
        <f>CHOOSE(MATCH(IF($U146="","Основний",$U146),{"Трафіковий","Основний","Маржинальний","Сезонний","Стратегічний"},0),0.15,0.18,0.23,0.22,0.27)</f>
        <v/>
      </c>
      <c r="AI146" s="104">
        <f>CHOOSE(MATCH(IF($U146="","Основний",$U146),{"Трафіковий","Основний","Маржинальний","Сезонний","Стратегічний"},0),0.16,0.19,0.25,0.23,0.29)</f>
        <v/>
      </c>
      <c r="AJ146" s="104">
        <f>CHOOSE(MATCH(IF($U146="","Основний",$U146),{"Трафіковий","Основний","Маржинальний","Сезонний","Стратегічний"},0),0.14,0.17,0.22,0.21,0.25)</f>
        <v/>
      </c>
      <c r="AK146" s="104">
        <f>CHOOSE(MATCH(IF($U146="","Основний",$U146),{"Трафіковий","Основний","Маржинальний","Сезонний","Стратегічний"},0),0.15,0.18,0.23,0.22,0.27)</f>
        <v/>
      </c>
      <c r="AL146" s="104">
        <f>CHOOSE(MATCH(IF($U146="","Основний",$U146),{"Трафіковий","Основний","Маржинальний","Сезонний","Стратегічний"},0),0.15,0.17,0.25,0.24,0.29)</f>
        <v/>
      </c>
      <c r="AM146" s="104">
        <f>CHOOSE(MATCH(IF($U146="","Основний",$U146),{"Трафіковий","Основний","Маржинальний","Сезонний","Стратегічний"},0),0.12,0.145,0.19,0.18,0.22)</f>
        <v/>
      </c>
      <c r="AN146" s="157">
        <f>CHOOSE(MATCH(IF($U146="","Основний",$U146),{"Трафіковий","Основний","Маржинальний","Сезонний","Стратегічний"},0),Settings!$B$78,Settings!$B$80,Settings!$B$82,Settings!$B$84,Settings!$B$86)</f>
        <v/>
      </c>
      <c r="AO146" s="157">
        <f>CHOOSE(MATCH(IF($U146="","Основний",$U146),{"Трафіковий","Основний","Маржинальний","Сезонний","Стратегічний"},0),Settings!$C$78,Settings!$C$80,Settings!$C$82,Settings!$C$84,Settings!$C$86)</f>
        <v/>
      </c>
      <c r="AP146" s="157">
        <f>CHOOSE(MATCH(IF($U146="","Основний",$U146),{"Трафіковий","Основний","Маржинальний","Сезонний","Стратегічний"},0),Settings!$D$78,Settings!$D$80,Settings!$D$82,Settings!$D$84,Settings!$D$86)</f>
        <v/>
      </c>
      <c r="AQ146" s="157">
        <f>CHOOSE(MATCH(IF($U146="","Основний",$U146),{"Трафіковий","Основний","Маржинальний","Сезонний","Стратегічний"},0),Settings!$F$78,Settings!$F$80,Settings!$F$82,Settings!$F$84,Settings!$F$86)</f>
        <v/>
      </c>
      <c r="AR146" s="157">
        <f>CHOOSE(MATCH(IF($U146="","Основний",$U146),{"Трафіковий","Основний","Маржинальний","Сезонний","Стратегічний"},0),Settings!$G$78,Settings!$G$80,Settings!$G$82,Settings!$G$84,Settings!$G$86)</f>
        <v/>
      </c>
      <c r="AS146" s="157">
        <f>CHOOSE(MATCH(IF($U146="","Основний",$U146),{"Трафіковий","Основний","Маржинальний","Сезонний","Стратегічний"},0),Settings!$H$78,Settings!$H$80,Settings!$H$82,Settings!$H$84,Settings!$H$86)</f>
        <v/>
      </c>
      <c r="AT146" s="157">
        <f>CHOOSE(MATCH(IF($U146="","Основний",$U146),{"Трафіковий","Основний","Маржинальний","Сезонний","Стратегічний"},0),Settings!$I$78,Settings!$I$80,Settings!$I$82,Settings!$I$84,Settings!$I$86)</f>
        <v/>
      </c>
      <c r="AU146" s="171" t="n"/>
      <c r="AV146" t="n">
        <v>1.35</v>
      </c>
    </row>
    <row r="147">
      <c r="A147" s="33" t="n"/>
      <c r="B147" s="34" t="inlineStr">
        <is>
          <t>ZS3360S</t>
        </is>
      </c>
      <c r="C147" s="34" t="inlineStr">
        <is>
          <t>LED WORKLIGHT 360° 70W 7000LM IP54 SCH</t>
        </is>
      </c>
      <c r="D147" s="34" t="inlineStr">
        <is>
          <t>Прожектори робочі акумуляторні</t>
        </is>
      </c>
      <c r="E147" s="33" t="inlineStr">
        <is>
          <t>PC</t>
        </is>
      </c>
      <c r="F147" s="94" t="n">
        <v>56.786</v>
      </c>
      <c r="G147" s="35" t="n">
        <v>9405423100</v>
      </c>
      <c r="H147" s="31" t="n">
        <v>1.4</v>
      </c>
      <c r="I147" s="84">
        <f>IFERROR(F147*Settings!$B$2*H147*IF(AND(ISNUMBER(E147),E147&gt;1),E147,1),"")</f>
        <v/>
      </c>
      <c r="J147" s="32">
        <f>Settings!$B$66</f>
        <v/>
      </c>
      <c r="K147" s="95">
        <f>IFERROR(IF(T147="","",(T147*(1-AN147)*(1-Settings!$B$17)-I147)/(T147*(1-AN147)*(1-Settings!$B$17))),"")</f>
        <v/>
      </c>
      <c r="L147" s="101">
        <f>IFERROR(IF(T147="","",(T147*(1-AO147)*(1-Settings!$C$17)-I147)/(T147*(1-AO147)*(1-Settings!$C$17))),"")</f>
        <v/>
      </c>
      <c r="M147" s="101">
        <f>IFERROR(IF(T147="","",(T147*(1-AP147)*(1-Settings!$D$17)-I147)/(T147*(1-AP147)*(1-Settings!$D$17))),"")</f>
        <v/>
      </c>
      <c r="N147" s="101">
        <f>IFERROR(IF(T147="","",(T147*(1-AQ147)*(1-Settings!$F$17)-I147)/(T147*(1-AQ147)*(1-Settings!$F$17))),"")</f>
        <v/>
      </c>
      <c r="O147" s="101">
        <f>IFERROR(IF(T147="","",(T147*(1-AR147)*(1-Settings!$G$17)-I147)/(T147*(1-AR147)*(1-Settings!$G$17))),"")</f>
        <v/>
      </c>
      <c r="P147" s="101">
        <f>IFERROR(IF(T147="","",(T147*(1-AS147)*(1-Settings!$H$17)-I147)/(T147*(1-AS147)*(1-Settings!$H$17))),"")</f>
        <v/>
      </c>
      <c r="Q147" s="101">
        <f>IFERROR(IF(T147="","",(T147*(1-AT147)*(1-Settings!$I$68)*(1-Settings!$I$17)-I147)/(T147*(1-AT147)*(1-Settings!$I$68)*(1-Settings!$I$17))),"")</f>
        <v/>
      </c>
      <c r="R147" s="91">
        <f>IFERROR(IF(OR(I147="",Z147&gt;=1,Settings!$B$17&gt;=1,AN147&gt;=1),"",IF(MOD(ROUND(I147/(1-Z147)/(1-Settings!$B$17)/(1-AN147),0),10)=0,ROUND(I147/(1-Z147)/(1-Settings!$B$17)/(1-AN147),0)-1,IF(MOD(ROUND(I147/(1-Z147)/(1-Settings!$B$17)/(1-AN147),0),10)&lt;=5,FLOOR(ROUND(I147/(1-Z147)/(1-Settings!$B$17)/(1-AN147),0),10)+6,FLOOR(ROUND(I147/(1-Z147)/(1-Settings!$B$17)/(1-AN147),0),10)+9))),"")</f>
        <v/>
      </c>
      <c r="S147" s="92" t="n">
        <v>7500</v>
      </c>
      <c r="T147" s="91">
        <f>IF(S147&lt;&gt;"", IF(MOD(S147,10)=0,S147-1,IF(MOD(S147,10)&lt;=5,FLOOR(S147,10)+6,FLOOR(S147,10)+9)), R147)</f>
        <v/>
      </c>
      <c r="U147" s="87" t="inlineStr">
        <is>
          <t>Основний</t>
        </is>
      </c>
      <c r="V147" s="88" t="n"/>
      <c r="W147" s="88" t="n"/>
      <c r="X147" s="89">
        <f>IFERROR(IF(OR(V147="",W147="",T147=""),"", IF(T147&gt;W147,"Дорогий",IF(T147&lt;V147,"Дешевий","У ринку"))),"")</f>
        <v/>
      </c>
      <c r="Y147" s="90" t="n"/>
      <c r="Z147" s="104">
        <f>CHOOSE(MATCH(IF($U147="","Основний",$U147),{"Трафіковий","Основний","Маржинальний","Сезонний","Стратегічний"},0),0.16,0.19,0.24,0.23,0.28)</f>
        <v/>
      </c>
      <c r="AA147" s="104">
        <f>CHOOSE(MATCH(IF($U147="","Основний",$U147),{"Трафіковий","Основний","Маржинальний","Сезонний","Стратегічний"},0),0.18,0.21,0.26,0.25,0.3)</f>
        <v/>
      </c>
      <c r="AB147" s="104">
        <f>CHOOSE(MATCH(IF($U147="","Основний",$U147),{"Трафіковий","Основний","Маржинальний","Сезонний","Стратегічний"},0),0.19,0.22,0.28,0.26,0.32)</f>
        <v/>
      </c>
      <c r="AC147" s="104">
        <f>CHOOSE(MATCH(IF($U147="","Основний",$U147),{"Трафіковий","Основний","Маржинальний","Сезонний","Стратегічний"},0),0.17,0.2,0.25,0.24,0.28)</f>
        <v/>
      </c>
      <c r="AD147" s="104">
        <f>CHOOSE(MATCH(IF($U147="","Основний",$U147),{"Трафіковий","Основний","Маржинальний","Сезонний","Стратегічний"},0),0.18,0.21,0.26,0.25,0.3)</f>
        <v/>
      </c>
      <c r="AE147" s="104">
        <f>CHOOSE(MATCH(IF($U147="","Основний",$U147),{"Трафіковий","Основний","Маржинальний","Сезонний","Стратегічний"},0),0.18,0.2,0.28,0.27,0.32)</f>
        <v/>
      </c>
      <c r="AF147" s="104">
        <f>CHOOSE(MATCH(IF($U147="","Основний",$U147),{"Трафіковий","Основний","Маржинальний","Сезонний","Стратегічний"},0),0.15,0.175,0.22,0.21,0.25)</f>
        <v/>
      </c>
      <c r="AG147" s="104">
        <f>CHOOSE(MATCH(IF($U147="","Основний",$U147),{"Трафіковий","Основний","Маржинальний","Сезонний","Стратегічний"},0),0.13,0.16,0.21,0.2,0.25)</f>
        <v/>
      </c>
      <c r="AH147" s="104">
        <f>CHOOSE(MATCH(IF($U147="","Основний",$U147),{"Трафіковий","Основний","Маржинальний","Сезонний","Стратегічний"},0),0.15,0.18,0.23,0.22,0.27)</f>
        <v/>
      </c>
      <c r="AI147" s="104">
        <f>CHOOSE(MATCH(IF($U147="","Основний",$U147),{"Трафіковий","Основний","Маржинальний","Сезонний","Стратегічний"},0),0.16,0.19,0.25,0.23,0.29)</f>
        <v/>
      </c>
      <c r="AJ147" s="104">
        <f>CHOOSE(MATCH(IF($U147="","Основний",$U147),{"Трафіковий","Основний","Маржинальний","Сезонний","Стратегічний"},0),0.14,0.17,0.22,0.21,0.25)</f>
        <v/>
      </c>
      <c r="AK147" s="104">
        <f>CHOOSE(MATCH(IF($U147="","Основний",$U147),{"Трафіковий","Основний","Маржинальний","Сезонний","Стратегічний"},0),0.15,0.18,0.23,0.22,0.27)</f>
        <v/>
      </c>
      <c r="AL147" s="104">
        <f>CHOOSE(MATCH(IF($U147="","Основний",$U147),{"Трафіковий","Основний","Маржинальний","Сезонний","Стратегічний"},0),0.15,0.17,0.25,0.24,0.29)</f>
        <v/>
      </c>
      <c r="AM147" s="104">
        <f>CHOOSE(MATCH(IF($U147="","Основний",$U147),{"Трафіковий","Основний","Маржинальний","Сезонний","Стратегічний"},0),0.12,0.145,0.19,0.18,0.22)</f>
        <v/>
      </c>
      <c r="AN147" s="157">
        <f>CHOOSE(MATCH(IF($U147="","Основний",$U147),{"Трафіковий","Основний","Маржинальний","Сезонний","Стратегічний"},0),Settings!$B$78,Settings!$B$80,Settings!$B$82,Settings!$B$84,Settings!$B$86)</f>
        <v/>
      </c>
      <c r="AO147" s="157">
        <f>CHOOSE(MATCH(IF($U147="","Основний",$U147),{"Трафіковий","Основний","Маржинальний","Сезонний","Стратегічний"},0),Settings!$C$78,Settings!$C$80,Settings!$C$82,Settings!$C$84,Settings!$C$86)</f>
        <v/>
      </c>
      <c r="AP147" s="157">
        <f>CHOOSE(MATCH(IF($U147="","Основний",$U147),{"Трафіковий","Основний","Маржинальний","Сезонний","Стратегічний"},0),Settings!$D$78,Settings!$D$80,Settings!$D$82,Settings!$D$84,Settings!$D$86)</f>
        <v/>
      </c>
      <c r="AQ147" s="157">
        <f>CHOOSE(MATCH(IF($U147="","Основний",$U147),{"Трафіковий","Основний","Маржинальний","Сезонний","Стратегічний"},0),Settings!$F$78,Settings!$F$80,Settings!$F$82,Settings!$F$84,Settings!$F$86)</f>
        <v/>
      </c>
      <c r="AR147" s="157">
        <f>CHOOSE(MATCH(IF($U147="","Основний",$U147),{"Трафіковий","Основний","Маржинальний","Сезонний","Стратегічний"},0),Settings!$G$78,Settings!$G$80,Settings!$G$82,Settings!$G$84,Settings!$G$86)</f>
        <v/>
      </c>
      <c r="AS147" s="157">
        <f>CHOOSE(MATCH(IF($U147="","Основний",$U147),{"Трафіковий","Основний","Маржинальний","Сезонний","Стратегічний"},0),Settings!$H$78,Settings!$H$80,Settings!$H$82,Settings!$H$84,Settings!$H$86)</f>
        <v/>
      </c>
      <c r="AT147" s="157">
        <f>CHOOSE(MATCH(IF($U147="","Основний",$U147),{"Трафіковий","Основний","Маржинальний","Сезонний","Стратегічний"},0),Settings!$I$78,Settings!$I$80,Settings!$I$82,Settings!$I$84,Settings!$I$86)</f>
        <v/>
      </c>
      <c r="AU147" s="171" t="n"/>
      <c r="AV147" t="n">
        <v>1.35</v>
      </c>
    </row>
    <row r="148">
      <c r="A148" s="28" t="inlineStr">
        <is>
          <t>NEW</t>
        </is>
      </c>
      <c r="B148" s="29" t="inlineStr">
        <is>
          <t>ZS3323</t>
        </is>
      </c>
      <c r="C148" s="29" t="inlineStr">
        <is>
          <t>LED WORKLIGHT ELION 20W NW</t>
        </is>
      </c>
      <c r="D148" s="29" t="inlineStr">
        <is>
          <t>Світильники для дзеркал</t>
        </is>
      </c>
      <c r="E148" s="28" t="inlineStr">
        <is>
          <t>PC</t>
        </is>
      </c>
      <c r="F148" s="93" t="n">
        <v>10.862</v>
      </c>
      <c r="G148" s="30" t="n">
        <v>9405421000</v>
      </c>
      <c r="H148" s="31" t="n">
        <v>1.35</v>
      </c>
      <c r="I148" s="84">
        <f>IFERROR(F148*Settings!$B$2*H148*IF(AND(ISNUMBER(E148),E148&gt;1),E148,1),"")</f>
        <v/>
      </c>
      <c r="J148" s="32">
        <f>Settings!$B$66</f>
        <v/>
      </c>
      <c r="K148" s="95">
        <f>IFERROR(IF(T148="","",(T148*(1-AN148)*(1-Settings!$B$17)-I148)/(T148*(1-AN148)*(1-Settings!$B$17))),"")</f>
        <v/>
      </c>
      <c r="L148" s="101">
        <f>IFERROR(IF(T148="","",(T148*(1-AO148)*(1-Settings!$C$17)-I148)/(T148*(1-AO148)*(1-Settings!$C$17))),"")</f>
        <v/>
      </c>
      <c r="M148" s="101">
        <f>IFERROR(IF(T148="","",(T148*(1-AP148)*(1-Settings!$D$17)-I148)/(T148*(1-AP148)*(1-Settings!$D$17))),"")</f>
        <v/>
      </c>
      <c r="N148" s="101">
        <f>IFERROR(IF(T148="","",(T148*(1-AQ148)*(1-Settings!$F$17)-I148)/(T148*(1-AQ148)*(1-Settings!$F$17))),"")</f>
        <v/>
      </c>
      <c r="O148" s="101">
        <f>IFERROR(IF(T148="","",(T148*(1-AR148)*(1-Settings!$G$17)-I148)/(T148*(1-AR148)*(1-Settings!$G$17))),"")</f>
        <v/>
      </c>
      <c r="P148" s="101">
        <f>IFERROR(IF(T148="","",(T148*(1-AS148)*(1-Settings!$H$17)-I148)/(T148*(1-AS148)*(1-Settings!$H$17))),"")</f>
        <v/>
      </c>
      <c r="Q148" s="101">
        <f>IFERROR(IF(T148="","",(T148*(1-AT148)*(1-Settings!$I$68)*(1-Settings!$I$17)-I148)/(T148*(1-AT148)*(1-Settings!$I$68)*(1-Settings!$I$17))),"")</f>
        <v/>
      </c>
      <c r="R148" s="91">
        <f>IFERROR(IF(OR(I148="",Z148&gt;=1,Settings!$B$17&gt;=1,AN148&gt;=1),"",IF(MOD(ROUND(I148/(1-Z148)/(1-Settings!$B$17)/(1-AN148),0),10)=0,ROUND(I148/(1-Z148)/(1-Settings!$B$17)/(1-AN148),0)-1,IF(MOD(ROUND(I148/(1-Z148)/(1-Settings!$B$17)/(1-AN148),0),10)&lt;=5,FLOOR(ROUND(I148/(1-Z148)/(1-Settings!$B$17)/(1-AN148),0),10)+6,FLOOR(ROUND(I148/(1-Z148)/(1-Settings!$B$17)/(1-AN148),0),10)+9))),"")</f>
        <v/>
      </c>
      <c r="S148" s="92" t="n"/>
      <c r="T148" s="91">
        <f>IF(S148&lt;&gt;"", IF(MOD(S148,10)=0,S148-1,IF(MOD(S148,10)&lt;=5,FLOOR(S148,10)+6,FLOOR(S148,10)+9)), R148)</f>
        <v/>
      </c>
      <c r="U148" s="87" t="inlineStr">
        <is>
          <t>Основний</t>
        </is>
      </c>
      <c r="V148" s="88" t="n"/>
      <c r="W148" s="88" t="n"/>
      <c r="X148" s="89">
        <f>IFERROR(IF(OR(V148="",W148="",T148=""),"", IF(T148&gt;W148,"Дорогий",IF(T148&lt;V148,"Дешевий","У ринку"))),"")</f>
        <v/>
      </c>
      <c r="Y148" s="90" t="n"/>
      <c r="Z148" s="104">
        <f>CHOOSE(MATCH(IF($U148="","Основний",$U148),{"Трафіковий","Основний","Маржинальний","Сезонний","Стратегічний"},0),0.16,0.19,0.24,0.23,0.28)</f>
        <v/>
      </c>
      <c r="AA148" s="104">
        <f>CHOOSE(MATCH(IF($U148="","Основний",$U148),{"Трафіковий","Основний","Маржинальний","Сезонний","Стратегічний"},0),0.18,0.21,0.26,0.25,0.3)</f>
        <v/>
      </c>
      <c r="AB148" s="104">
        <f>CHOOSE(MATCH(IF($U148="","Основний",$U148),{"Трафіковий","Основний","Маржинальний","Сезонний","Стратегічний"},0),0.19,0.22,0.28,0.26,0.32)</f>
        <v/>
      </c>
      <c r="AC148" s="104">
        <f>CHOOSE(MATCH(IF($U148="","Основний",$U148),{"Трафіковий","Основний","Маржинальний","Сезонний","Стратегічний"},0),0.17,0.2,0.25,0.24,0.28)</f>
        <v/>
      </c>
      <c r="AD148" s="104">
        <f>CHOOSE(MATCH(IF($U148="","Основний",$U148),{"Трафіковий","Основний","Маржинальний","Сезонний","Стратегічний"},0),0.18,0.21,0.26,0.25,0.3)</f>
        <v/>
      </c>
      <c r="AE148" s="104">
        <f>CHOOSE(MATCH(IF($U148="","Основний",$U148),{"Трафіковий","Основний","Маржинальний","Сезонний","Стратегічний"},0),0.18,0.2,0.28,0.27,0.32)</f>
        <v/>
      </c>
      <c r="AF148" s="104">
        <f>CHOOSE(MATCH(IF($U148="","Основний",$U148),{"Трафіковий","Основний","Маржинальний","Сезонний","Стратегічний"},0),0.15,0.175,0.22,0.21,0.25)</f>
        <v/>
      </c>
      <c r="AG148" s="104">
        <f>CHOOSE(MATCH(IF($U148="","Основний",$U148),{"Трафіковий","Основний","Маржинальний","Сезонний","Стратегічний"},0),0.13,0.16,0.21,0.2,0.25)</f>
        <v/>
      </c>
      <c r="AH148" s="104">
        <f>CHOOSE(MATCH(IF($U148="","Основний",$U148),{"Трафіковий","Основний","Маржинальний","Сезонний","Стратегічний"},0),0.15,0.18,0.23,0.22,0.27)</f>
        <v/>
      </c>
      <c r="AI148" s="104">
        <f>CHOOSE(MATCH(IF($U148="","Основний",$U148),{"Трафіковий","Основний","Маржинальний","Сезонний","Стратегічний"},0),0.16,0.19,0.25,0.23,0.29)</f>
        <v/>
      </c>
      <c r="AJ148" s="104">
        <f>CHOOSE(MATCH(IF($U148="","Основний",$U148),{"Трафіковий","Основний","Маржинальний","Сезонний","Стратегічний"},0),0.14,0.17,0.22,0.21,0.25)</f>
        <v/>
      </c>
      <c r="AK148" s="104">
        <f>CHOOSE(MATCH(IF($U148="","Основний",$U148),{"Трафіковий","Основний","Маржинальний","Сезонний","Стратегічний"},0),0.15,0.18,0.23,0.22,0.27)</f>
        <v/>
      </c>
      <c r="AL148" s="104">
        <f>CHOOSE(MATCH(IF($U148="","Основний",$U148),{"Трафіковий","Основний","Маржинальний","Сезонний","Стратегічний"},0),0.15,0.17,0.25,0.24,0.29)</f>
        <v/>
      </c>
      <c r="AM148" s="104">
        <f>CHOOSE(MATCH(IF($U148="","Основний",$U148),{"Трафіковий","Основний","Маржинальний","Сезонний","Стратегічний"},0),0.12,0.145,0.19,0.18,0.22)</f>
        <v/>
      </c>
      <c r="AN148" s="157">
        <f>CHOOSE(MATCH(IF($U148="","Основний",$U148),{"Трафіковий","Основний","Маржинальний","Сезонний","Стратегічний"},0),Settings!$B$78,Settings!$B$80,Settings!$B$82,Settings!$B$84,Settings!$B$86)</f>
        <v/>
      </c>
      <c r="AO148" s="157">
        <f>CHOOSE(MATCH(IF($U148="","Основний",$U148),{"Трафіковий","Основний","Маржинальний","Сезонний","Стратегічний"},0),Settings!$C$78,Settings!$C$80,Settings!$C$82,Settings!$C$84,Settings!$C$86)</f>
        <v/>
      </c>
      <c r="AP148" s="157">
        <f>CHOOSE(MATCH(IF($U148="","Основний",$U148),{"Трафіковий","Основний","Маржинальний","Сезонний","Стратегічний"},0),Settings!$D$78,Settings!$D$80,Settings!$D$82,Settings!$D$84,Settings!$D$86)</f>
        <v/>
      </c>
      <c r="AQ148" s="157">
        <f>CHOOSE(MATCH(IF($U148="","Основний",$U148),{"Трафіковий","Основний","Маржинальний","Сезонний","Стратегічний"},0),Settings!$F$78,Settings!$F$80,Settings!$F$82,Settings!$F$84,Settings!$F$86)</f>
        <v/>
      </c>
      <c r="AR148" s="157">
        <f>CHOOSE(MATCH(IF($U148="","Основний",$U148),{"Трафіковий","Основний","Маржинальний","Сезонний","Стратегічний"},0),Settings!$G$78,Settings!$G$80,Settings!$G$82,Settings!$G$84,Settings!$G$86)</f>
        <v/>
      </c>
      <c r="AS148" s="157">
        <f>CHOOSE(MATCH(IF($U148="","Основний",$U148),{"Трафіковий","Основний","Маржинальний","Сезонний","Стратегічний"},0),Settings!$H$78,Settings!$H$80,Settings!$H$82,Settings!$H$84,Settings!$H$86)</f>
        <v/>
      </c>
      <c r="AT148" s="157">
        <f>CHOOSE(MATCH(IF($U148="","Основний",$U148),{"Трафіковий","Основний","Маржинальний","Сезонний","Стратегічний"},0),Settings!$I$78,Settings!$I$80,Settings!$I$82,Settings!$I$84,Settings!$I$86)</f>
        <v/>
      </c>
      <c r="AU148" s="171" t="n"/>
      <c r="AV148" t="n">
        <v>1.35</v>
      </c>
    </row>
    <row r="149">
      <c r="A149" s="33" t="inlineStr">
        <is>
          <t>NEW</t>
        </is>
      </c>
      <c r="B149" s="34" t="inlineStr">
        <is>
          <t>ZS3333</t>
        </is>
      </c>
      <c r="C149" s="34" t="inlineStr">
        <is>
          <t>LED WORKLIGHT ELION 30W NW</t>
        </is>
      </c>
      <c r="D149" s="34" t="inlineStr">
        <is>
          <t>Світильники для дзеркал</t>
        </is>
      </c>
      <c r="E149" s="33" t="inlineStr">
        <is>
          <t>PC</t>
        </is>
      </c>
      <c r="F149" s="94" t="n">
        <v>13.606</v>
      </c>
      <c r="G149" s="35" t="n">
        <v>9405421000</v>
      </c>
      <c r="H149" s="31" t="n">
        <v>1.35</v>
      </c>
      <c r="I149" s="84">
        <f>IFERROR(F149*Settings!$B$2*H149*IF(AND(ISNUMBER(E149),E149&gt;1),E149,1),"")</f>
        <v/>
      </c>
      <c r="J149" s="32">
        <f>Settings!$B$66</f>
        <v/>
      </c>
      <c r="K149" s="95">
        <f>IFERROR(IF(T149="","",(T149*(1-AN149)*(1-Settings!$B$17)-I149)/(T149*(1-AN149)*(1-Settings!$B$17))),"")</f>
        <v/>
      </c>
      <c r="L149" s="101">
        <f>IFERROR(IF(T149="","",(T149*(1-AO149)*(1-Settings!$C$17)-I149)/(T149*(1-AO149)*(1-Settings!$C$17))),"")</f>
        <v/>
      </c>
      <c r="M149" s="101">
        <f>IFERROR(IF(T149="","",(T149*(1-AP149)*(1-Settings!$D$17)-I149)/(T149*(1-AP149)*(1-Settings!$D$17))),"")</f>
        <v/>
      </c>
      <c r="N149" s="101">
        <f>IFERROR(IF(T149="","",(T149*(1-AQ149)*(1-Settings!$F$17)-I149)/(T149*(1-AQ149)*(1-Settings!$F$17))),"")</f>
        <v/>
      </c>
      <c r="O149" s="101">
        <f>IFERROR(IF(T149="","",(T149*(1-AR149)*(1-Settings!$G$17)-I149)/(T149*(1-AR149)*(1-Settings!$G$17))),"")</f>
        <v/>
      </c>
      <c r="P149" s="101">
        <f>IFERROR(IF(T149="","",(T149*(1-AS149)*(1-Settings!$H$17)-I149)/(T149*(1-AS149)*(1-Settings!$H$17))),"")</f>
        <v/>
      </c>
      <c r="Q149" s="101">
        <f>IFERROR(IF(T149="","",(T149*(1-AT149)*(1-Settings!$I$68)*(1-Settings!$I$17)-I149)/(T149*(1-AT149)*(1-Settings!$I$68)*(1-Settings!$I$17))),"")</f>
        <v/>
      </c>
      <c r="R149" s="91">
        <f>IFERROR(IF(OR(I149="",Z149&gt;=1,Settings!$B$17&gt;=1,AN149&gt;=1),"",IF(MOD(ROUND(I149/(1-Z149)/(1-Settings!$B$17)/(1-AN149),0),10)=0,ROUND(I149/(1-Z149)/(1-Settings!$B$17)/(1-AN149),0)-1,IF(MOD(ROUND(I149/(1-Z149)/(1-Settings!$B$17)/(1-AN149),0),10)&lt;=5,FLOOR(ROUND(I149/(1-Z149)/(1-Settings!$B$17)/(1-AN149),0),10)+6,FLOOR(ROUND(I149/(1-Z149)/(1-Settings!$B$17)/(1-AN149),0),10)+9))),"")</f>
        <v/>
      </c>
      <c r="S149" s="92" t="n"/>
      <c r="T149" s="91">
        <f>IF(S149&lt;&gt;"", IF(MOD(S149,10)=0,S149-1,IF(MOD(S149,10)&lt;=5,FLOOR(S149,10)+6,FLOOR(S149,10)+9)), R149)</f>
        <v/>
      </c>
      <c r="U149" s="87" t="inlineStr">
        <is>
          <t>Основний</t>
        </is>
      </c>
      <c r="V149" s="88" t="n"/>
      <c r="W149" s="88" t="n"/>
      <c r="X149" s="89">
        <f>IFERROR(IF(OR(V149="",W149="",T149=""),"", IF(T149&gt;W149,"Дорогий",IF(T149&lt;V149,"Дешевий","У ринку"))),"")</f>
        <v/>
      </c>
      <c r="Y149" s="90" t="n"/>
      <c r="Z149" s="104">
        <f>CHOOSE(MATCH(IF($U149="","Основний",$U149),{"Трафіковий","Основний","Маржинальний","Сезонний","Стратегічний"},0),0.16,0.19,0.24,0.23,0.28)</f>
        <v/>
      </c>
      <c r="AA149" s="104">
        <f>CHOOSE(MATCH(IF($U149="","Основний",$U149),{"Трафіковий","Основний","Маржинальний","Сезонний","Стратегічний"},0),0.18,0.21,0.26,0.25,0.3)</f>
        <v/>
      </c>
      <c r="AB149" s="104">
        <f>CHOOSE(MATCH(IF($U149="","Основний",$U149),{"Трафіковий","Основний","Маржинальний","Сезонний","Стратегічний"},0),0.19,0.22,0.28,0.26,0.32)</f>
        <v/>
      </c>
      <c r="AC149" s="104">
        <f>CHOOSE(MATCH(IF($U149="","Основний",$U149),{"Трафіковий","Основний","Маржинальний","Сезонний","Стратегічний"},0),0.17,0.2,0.25,0.24,0.28)</f>
        <v/>
      </c>
      <c r="AD149" s="104">
        <f>CHOOSE(MATCH(IF($U149="","Основний",$U149),{"Трафіковий","Основний","Маржинальний","Сезонний","Стратегічний"},0),0.18,0.21,0.26,0.25,0.3)</f>
        <v/>
      </c>
      <c r="AE149" s="104">
        <f>CHOOSE(MATCH(IF($U149="","Основний",$U149),{"Трафіковий","Основний","Маржинальний","Сезонний","Стратегічний"},0),0.18,0.2,0.28,0.27,0.32)</f>
        <v/>
      </c>
      <c r="AF149" s="104">
        <f>CHOOSE(MATCH(IF($U149="","Основний",$U149),{"Трафіковий","Основний","Маржинальний","Сезонний","Стратегічний"},0),0.15,0.175,0.22,0.21,0.25)</f>
        <v/>
      </c>
      <c r="AG149" s="104">
        <f>CHOOSE(MATCH(IF($U149="","Основний",$U149),{"Трафіковий","Основний","Маржинальний","Сезонний","Стратегічний"},0),0.13,0.16,0.21,0.2,0.25)</f>
        <v/>
      </c>
      <c r="AH149" s="104">
        <f>CHOOSE(MATCH(IF($U149="","Основний",$U149),{"Трафіковий","Основний","Маржинальний","Сезонний","Стратегічний"},0),0.15,0.18,0.23,0.22,0.27)</f>
        <v/>
      </c>
      <c r="AI149" s="104">
        <f>CHOOSE(MATCH(IF($U149="","Основний",$U149),{"Трафіковий","Основний","Маржинальний","Сезонний","Стратегічний"},0),0.16,0.19,0.25,0.23,0.29)</f>
        <v/>
      </c>
      <c r="AJ149" s="104">
        <f>CHOOSE(MATCH(IF($U149="","Основний",$U149),{"Трафіковий","Основний","Маржинальний","Сезонний","Стратегічний"},0),0.14,0.17,0.22,0.21,0.25)</f>
        <v/>
      </c>
      <c r="AK149" s="104">
        <f>CHOOSE(MATCH(IF($U149="","Основний",$U149),{"Трафіковий","Основний","Маржинальний","Сезонний","Стратегічний"},0),0.15,0.18,0.23,0.22,0.27)</f>
        <v/>
      </c>
      <c r="AL149" s="104">
        <f>CHOOSE(MATCH(IF($U149="","Основний",$U149),{"Трафіковий","Основний","Маржинальний","Сезонний","Стратегічний"},0),0.15,0.17,0.25,0.24,0.29)</f>
        <v/>
      </c>
      <c r="AM149" s="104">
        <f>CHOOSE(MATCH(IF($U149="","Основний",$U149),{"Трафіковий","Основний","Маржинальний","Сезонний","Стратегічний"},0),0.12,0.145,0.19,0.18,0.22)</f>
        <v/>
      </c>
      <c r="AN149" s="157">
        <f>CHOOSE(MATCH(IF($U149="","Основний",$U149),{"Трафіковий","Основний","Маржинальний","Сезонний","Стратегічний"},0),Settings!$B$78,Settings!$B$80,Settings!$B$82,Settings!$B$84,Settings!$B$86)</f>
        <v/>
      </c>
      <c r="AO149" s="157">
        <f>CHOOSE(MATCH(IF($U149="","Основний",$U149),{"Трафіковий","Основний","Маржинальний","Сезонний","Стратегічний"},0),Settings!$C$78,Settings!$C$80,Settings!$C$82,Settings!$C$84,Settings!$C$86)</f>
        <v/>
      </c>
      <c r="AP149" s="157">
        <f>CHOOSE(MATCH(IF($U149="","Основний",$U149),{"Трафіковий","Основний","Маржинальний","Сезонний","Стратегічний"},0),Settings!$D$78,Settings!$D$80,Settings!$D$82,Settings!$D$84,Settings!$D$86)</f>
        <v/>
      </c>
      <c r="AQ149" s="157">
        <f>CHOOSE(MATCH(IF($U149="","Основний",$U149),{"Трафіковий","Основний","Маржинальний","Сезонний","Стратегічний"},0),Settings!$F$78,Settings!$F$80,Settings!$F$82,Settings!$F$84,Settings!$F$86)</f>
        <v/>
      </c>
      <c r="AR149" s="157">
        <f>CHOOSE(MATCH(IF($U149="","Основний",$U149),{"Трафіковий","Основний","Маржинальний","Сезонний","Стратегічний"},0),Settings!$G$78,Settings!$G$80,Settings!$G$82,Settings!$G$84,Settings!$G$86)</f>
        <v/>
      </c>
      <c r="AS149" s="157">
        <f>CHOOSE(MATCH(IF($U149="","Основний",$U149),{"Трафіковий","Основний","Маржинальний","Сезонний","Стратегічний"},0),Settings!$H$78,Settings!$H$80,Settings!$H$82,Settings!$H$84,Settings!$H$86)</f>
        <v/>
      </c>
      <c r="AT149" s="157">
        <f>CHOOSE(MATCH(IF($U149="","Основний",$U149),{"Трафіковий","Основний","Маржинальний","Сезонний","Стратегічний"},0),Settings!$I$78,Settings!$I$80,Settings!$I$82,Settings!$I$84,Settings!$I$86)</f>
        <v/>
      </c>
      <c r="AU149" s="171" t="n"/>
      <c r="AV149" t="n">
        <v>1.35</v>
      </c>
    </row>
    <row r="150">
      <c r="A150" s="28" t="inlineStr">
        <is>
          <t>NEW</t>
        </is>
      </c>
      <c r="B150" s="29" t="inlineStr">
        <is>
          <t>ZS3343</t>
        </is>
      </c>
      <c r="C150" s="29" t="inlineStr">
        <is>
          <t>LED WORKLIGHT ELION 50W NW</t>
        </is>
      </c>
      <c r="D150" s="29" t="inlineStr">
        <is>
          <t>Світильники для дзеркал</t>
        </is>
      </c>
      <c r="E150" s="28" t="inlineStr">
        <is>
          <t>PC</t>
        </is>
      </c>
      <c r="F150" s="93" t="n">
        <v>17.321</v>
      </c>
      <c r="G150" s="30" t="n">
        <v>9405421000</v>
      </c>
      <c r="H150" s="31" t="n">
        <v>1.35</v>
      </c>
      <c r="I150" s="84">
        <f>IFERROR(F150*Settings!$B$2*H150*IF(AND(ISNUMBER(E150),E150&gt;1),E150,1),"")</f>
        <v/>
      </c>
      <c r="J150" s="32">
        <f>Settings!$B$66</f>
        <v/>
      </c>
      <c r="K150" s="95">
        <f>IFERROR(IF(T150="","",(T150*(1-AN150)*(1-Settings!$B$17)-I150)/(T150*(1-AN150)*(1-Settings!$B$17))),"")</f>
        <v/>
      </c>
      <c r="L150" s="101">
        <f>IFERROR(IF(T150="","",(T150*(1-AO150)*(1-Settings!$C$17)-I150)/(T150*(1-AO150)*(1-Settings!$C$17))),"")</f>
        <v/>
      </c>
      <c r="M150" s="101">
        <f>IFERROR(IF(T150="","",(T150*(1-AP150)*(1-Settings!$D$17)-I150)/(T150*(1-AP150)*(1-Settings!$D$17))),"")</f>
        <v/>
      </c>
      <c r="N150" s="101">
        <f>IFERROR(IF(T150="","",(T150*(1-AQ150)*(1-Settings!$F$17)-I150)/(T150*(1-AQ150)*(1-Settings!$F$17))),"")</f>
        <v/>
      </c>
      <c r="O150" s="101">
        <f>IFERROR(IF(T150="","",(T150*(1-AR150)*(1-Settings!$G$17)-I150)/(T150*(1-AR150)*(1-Settings!$G$17))),"")</f>
        <v/>
      </c>
      <c r="P150" s="101">
        <f>IFERROR(IF(T150="","",(T150*(1-AS150)*(1-Settings!$H$17)-I150)/(T150*(1-AS150)*(1-Settings!$H$17))),"")</f>
        <v/>
      </c>
      <c r="Q150" s="101">
        <f>IFERROR(IF(T150="","",(T150*(1-AT150)*(1-Settings!$I$68)*(1-Settings!$I$17)-I150)/(T150*(1-AT150)*(1-Settings!$I$68)*(1-Settings!$I$17))),"")</f>
        <v/>
      </c>
      <c r="R150" s="91">
        <f>IFERROR(IF(OR(I150="",Z150&gt;=1,Settings!$B$17&gt;=1,AN150&gt;=1),"",IF(MOD(ROUND(I150/(1-Z150)/(1-Settings!$B$17)/(1-AN150),0),10)=0,ROUND(I150/(1-Z150)/(1-Settings!$B$17)/(1-AN150),0)-1,IF(MOD(ROUND(I150/(1-Z150)/(1-Settings!$B$17)/(1-AN150),0),10)&lt;=5,FLOOR(ROUND(I150/(1-Z150)/(1-Settings!$B$17)/(1-AN150),0),10)+6,FLOOR(ROUND(I150/(1-Z150)/(1-Settings!$B$17)/(1-AN150),0),10)+9))),"")</f>
        <v/>
      </c>
      <c r="S150" s="92" t="n"/>
      <c r="T150" s="91">
        <f>IF(S150&lt;&gt;"", IF(MOD(S150,10)=0,S150-1,IF(MOD(S150,10)&lt;=5,FLOOR(S150,10)+6,FLOOR(S150,10)+9)), R150)</f>
        <v/>
      </c>
      <c r="U150" s="87" t="inlineStr">
        <is>
          <t>Основний</t>
        </is>
      </c>
      <c r="V150" s="88" t="n"/>
      <c r="W150" s="88" t="n"/>
      <c r="X150" s="89">
        <f>IFERROR(IF(OR(V150="",W150="",T150=""),"", IF(T150&gt;W150,"Дорогий",IF(T150&lt;V150,"Дешевий","У ринку"))),"")</f>
        <v/>
      </c>
      <c r="Y150" s="90" t="n"/>
      <c r="Z150" s="104">
        <f>CHOOSE(MATCH(IF($U150="","Основний",$U150),{"Трафіковий","Основний","Маржинальний","Сезонний","Стратегічний"},0),0.16,0.19,0.24,0.23,0.28)</f>
        <v/>
      </c>
      <c r="AA150" s="104">
        <f>CHOOSE(MATCH(IF($U150="","Основний",$U150),{"Трафіковий","Основний","Маржинальний","Сезонний","Стратегічний"},0),0.18,0.21,0.26,0.25,0.3)</f>
        <v/>
      </c>
      <c r="AB150" s="104">
        <f>CHOOSE(MATCH(IF($U150="","Основний",$U150),{"Трафіковий","Основний","Маржинальний","Сезонний","Стратегічний"},0),0.19,0.22,0.28,0.26,0.32)</f>
        <v/>
      </c>
      <c r="AC150" s="104">
        <f>CHOOSE(MATCH(IF($U150="","Основний",$U150),{"Трафіковий","Основний","Маржинальний","Сезонний","Стратегічний"},0),0.17,0.2,0.25,0.24,0.28)</f>
        <v/>
      </c>
      <c r="AD150" s="104">
        <f>CHOOSE(MATCH(IF($U150="","Основний",$U150),{"Трафіковий","Основний","Маржинальний","Сезонний","Стратегічний"},0),0.18,0.21,0.26,0.25,0.3)</f>
        <v/>
      </c>
      <c r="AE150" s="104">
        <f>CHOOSE(MATCH(IF($U150="","Основний",$U150),{"Трафіковий","Основний","Маржинальний","Сезонний","Стратегічний"},0),0.18,0.2,0.28,0.27,0.32)</f>
        <v/>
      </c>
      <c r="AF150" s="104">
        <f>CHOOSE(MATCH(IF($U150="","Основний",$U150),{"Трафіковий","Основний","Маржинальний","Сезонний","Стратегічний"},0),0.15,0.175,0.22,0.21,0.25)</f>
        <v/>
      </c>
      <c r="AG150" s="104">
        <f>CHOOSE(MATCH(IF($U150="","Основний",$U150),{"Трафіковий","Основний","Маржинальний","Сезонний","Стратегічний"},0),0.13,0.16,0.21,0.2,0.25)</f>
        <v/>
      </c>
      <c r="AH150" s="104">
        <f>CHOOSE(MATCH(IF($U150="","Основний",$U150),{"Трафіковий","Основний","Маржинальний","Сезонний","Стратегічний"},0),0.15,0.18,0.23,0.22,0.27)</f>
        <v/>
      </c>
      <c r="AI150" s="104">
        <f>CHOOSE(MATCH(IF($U150="","Основний",$U150),{"Трафіковий","Основний","Маржинальний","Сезонний","Стратегічний"},0),0.16,0.19,0.25,0.23,0.29)</f>
        <v/>
      </c>
      <c r="AJ150" s="104">
        <f>CHOOSE(MATCH(IF($U150="","Основний",$U150),{"Трафіковий","Основний","Маржинальний","Сезонний","Стратегічний"},0),0.14,0.17,0.22,0.21,0.25)</f>
        <v/>
      </c>
      <c r="AK150" s="104">
        <f>CHOOSE(MATCH(IF($U150="","Основний",$U150),{"Трафіковий","Основний","Маржинальний","Сезонний","Стратегічний"},0),0.15,0.18,0.23,0.22,0.27)</f>
        <v/>
      </c>
      <c r="AL150" s="104">
        <f>CHOOSE(MATCH(IF($U150="","Основний",$U150),{"Трафіковий","Основний","Маржинальний","Сезонний","Стратегічний"},0),0.15,0.17,0.25,0.24,0.29)</f>
        <v/>
      </c>
      <c r="AM150" s="104">
        <f>CHOOSE(MATCH(IF($U150="","Основний",$U150),{"Трафіковий","Основний","Маржинальний","Сезонний","Стратегічний"},0),0.12,0.145,0.19,0.18,0.22)</f>
        <v/>
      </c>
      <c r="AN150" s="157">
        <f>CHOOSE(MATCH(IF($U150="","Основний",$U150),{"Трафіковий","Основний","Маржинальний","Сезонний","Стратегічний"},0),Settings!$B$78,Settings!$B$80,Settings!$B$82,Settings!$B$84,Settings!$B$86)</f>
        <v/>
      </c>
      <c r="AO150" s="157">
        <f>CHOOSE(MATCH(IF($U150="","Основний",$U150),{"Трафіковий","Основний","Маржинальний","Сезонний","Стратегічний"},0),Settings!$C$78,Settings!$C$80,Settings!$C$82,Settings!$C$84,Settings!$C$86)</f>
        <v/>
      </c>
      <c r="AP150" s="157">
        <f>CHOOSE(MATCH(IF($U150="","Основний",$U150),{"Трафіковий","Основний","Маржинальний","Сезонний","Стратегічний"},0),Settings!$D$78,Settings!$D$80,Settings!$D$82,Settings!$D$84,Settings!$D$86)</f>
        <v/>
      </c>
      <c r="AQ150" s="157">
        <f>CHOOSE(MATCH(IF($U150="","Основний",$U150),{"Трафіковий","Основний","Маржинальний","Сезонний","Стратегічний"},0),Settings!$F$78,Settings!$F$80,Settings!$F$82,Settings!$F$84,Settings!$F$86)</f>
        <v/>
      </c>
      <c r="AR150" s="157">
        <f>CHOOSE(MATCH(IF($U150="","Основний",$U150),{"Трафіковий","Основний","Маржинальний","Сезонний","Стратегічний"},0),Settings!$G$78,Settings!$G$80,Settings!$G$82,Settings!$G$84,Settings!$G$86)</f>
        <v/>
      </c>
      <c r="AS150" s="157">
        <f>CHOOSE(MATCH(IF($U150="","Основний",$U150),{"Трафіковий","Основний","Маржинальний","Сезонний","Стратегічний"},0),Settings!$H$78,Settings!$H$80,Settings!$H$82,Settings!$H$84,Settings!$H$86)</f>
        <v/>
      </c>
      <c r="AT150" s="157">
        <f>CHOOSE(MATCH(IF($U150="","Основний",$U150),{"Трафіковий","Основний","Маржинальний","Сезонний","Стратегічний"},0),Settings!$I$78,Settings!$I$80,Settings!$I$82,Settings!$I$84,Settings!$I$86)</f>
        <v/>
      </c>
      <c r="AU150" s="171" t="n"/>
      <c r="AV150" t="n">
        <v>1.35</v>
      </c>
    </row>
    <row r="151">
      <c r="A151" s="33" t="inlineStr">
        <is>
          <t>NEW</t>
        </is>
      </c>
      <c r="B151" s="34" t="inlineStr">
        <is>
          <t>ZS3353</t>
        </is>
      </c>
      <c r="C151" s="34" t="inlineStr">
        <is>
          <t>LED WORKLIGHT ELION 100W NW</t>
        </is>
      </c>
      <c r="D151" s="34" t="inlineStr">
        <is>
          <t>Світильники для дзеркал</t>
        </is>
      </c>
      <c r="E151" s="33" t="inlineStr">
        <is>
          <t>PC</t>
        </is>
      </c>
      <c r="F151" s="94" t="n">
        <v>32.038</v>
      </c>
      <c r="G151" s="35" t="n">
        <v>9405421000</v>
      </c>
      <c r="H151" s="31" t="n">
        <v>1.35</v>
      </c>
      <c r="I151" s="84">
        <f>IFERROR(F151*Settings!$B$2*H151*IF(AND(ISNUMBER(E151),E151&gt;1),E151,1),"")</f>
        <v/>
      </c>
      <c r="J151" s="32">
        <f>Settings!$B$66</f>
        <v/>
      </c>
      <c r="K151" s="95">
        <f>IFERROR(IF(T151="","",(T151*(1-AN151)*(1-Settings!$B$17)-I151)/(T151*(1-AN151)*(1-Settings!$B$17))),"")</f>
        <v/>
      </c>
      <c r="L151" s="101">
        <f>IFERROR(IF(T151="","",(T151*(1-AO151)*(1-Settings!$C$17)-I151)/(T151*(1-AO151)*(1-Settings!$C$17))),"")</f>
        <v/>
      </c>
      <c r="M151" s="101">
        <f>IFERROR(IF(T151="","",(T151*(1-AP151)*(1-Settings!$D$17)-I151)/(T151*(1-AP151)*(1-Settings!$D$17))),"")</f>
        <v/>
      </c>
      <c r="N151" s="101">
        <f>IFERROR(IF(T151="","",(T151*(1-AQ151)*(1-Settings!$F$17)-I151)/(T151*(1-AQ151)*(1-Settings!$F$17))),"")</f>
        <v/>
      </c>
      <c r="O151" s="101">
        <f>IFERROR(IF(T151="","",(T151*(1-AR151)*(1-Settings!$G$17)-I151)/(T151*(1-AR151)*(1-Settings!$G$17))),"")</f>
        <v/>
      </c>
      <c r="P151" s="101">
        <f>IFERROR(IF(T151="","",(T151*(1-AS151)*(1-Settings!$H$17)-I151)/(T151*(1-AS151)*(1-Settings!$H$17))),"")</f>
        <v/>
      </c>
      <c r="Q151" s="101">
        <f>IFERROR(IF(T151="","",(T151*(1-AT151)*(1-Settings!$I$68)*(1-Settings!$I$17)-I151)/(T151*(1-AT151)*(1-Settings!$I$68)*(1-Settings!$I$17))),"")</f>
        <v/>
      </c>
      <c r="R151" s="91">
        <f>IFERROR(IF(OR(I151="",Z151&gt;=1,Settings!$B$17&gt;=1,AN151&gt;=1),"",IF(MOD(ROUND(I151/(1-Z151)/(1-Settings!$B$17)/(1-AN151),0),10)=0,ROUND(I151/(1-Z151)/(1-Settings!$B$17)/(1-AN151),0)-1,IF(MOD(ROUND(I151/(1-Z151)/(1-Settings!$B$17)/(1-AN151),0),10)&lt;=5,FLOOR(ROUND(I151/(1-Z151)/(1-Settings!$B$17)/(1-AN151),0),10)+6,FLOOR(ROUND(I151/(1-Z151)/(1-Settings!$B$17)/(1-AN151),0),10)+9))),"")</f>
        <v/>
      </c>
      <c r="S151" s="92" t="n"/>
      <c r="T151" s="91">
        <f>IF(S151&lt;&gt;"", IF(MOD(S151,10)=0,S151-1,IF(MOD(S151,10)&lt;=5,FLOOR(S151,10)+6,FLOOR(S151,10)+9)), R151)</f>
        <v/>
      </c>
      <c r="U151" s="87" t="inlineStr">
        <is>
          <t>Основний</t>
        </is>
      </c>
      <c r="V151" s="88" t="n"/>
      <c r="W151" s="88" t="n"/>
      <c r="X151" s="89">
        <f>IFERROR(IF(OR(V151="",W151="",T151=""),"", IF(T151&gt;W151,"Дорогий",IF(T151&lt;V151,"Дешевий","У ринку"))),"")</f>
        <v/>
      </c>
      <c r="Y151" s="90" t="n"/>
      <c r="Z151" s="104">
        <f>CHOOSE(MATCH(IF($U151="","Основний",$U151),{"Трафіковий","Основний","Маржинальний","Сезонний","Стратегічний"},0),0.16,0.19,0.24,0.23,0.28)</f>
        <v/>
      </c>
      <c r="AA151" s="104">
        <f>CHOOSE(MATCH(IF($U151="","Основний",$U151),{"Трафіковий","Основний","Маржинальний","Сезонний","Стратегічний"},0),0.18,0.21,0.26,0.25,0.3)</f>
        <v/>
      </c>
      <c r="AB151" s="104">
        <f>CHOOSE(MATCH(IF($U151="","Основний",$U151),{"Трафіковий","Основний","Маржинальний","Сезонний","Стратегічний"},0),0.19,0.22,0.28,0.26,0.32)</f>
        <v/>
      </c>
      <c r="AC151" s="104">
        <f>CHOOSE(MATCH(IF($U151="","Основний",$U151),{"Трафіковий","Основний","Маржинальний","Сезонний","Стратегічний"},0),0.17,0.2,0.25,0.24,0.28)</f>
        <v/>
      </c>
      <c r="AD151" s="104">
        <f>CHOOSE(MATCH(IF($U151="","Основний",$U151),{"Трафіковий","Основний","Маржинальний","Сезонний","Стратегічний"},0),0.18,0.21,0.26,0.25,0.3)</f>
        <v/>
      </c>
      <c r="AE151" s="104">
        <f>CHOOSE(MATCH(IF($U151="","Основний",$U151),{"Трафіковий","Основний","Маржинальний","Сезонний","Стратегічний"},0),0.18,0.2,0.28,0.27,0.32)</f>
        <v/>
      </c>
      <c r="AF151" s="104">
        <f>CHOOSE(MATCH(IF($U151="","Основний",$U151),{"Трафіковий","Основний","Маржинальний","Сезонний","Стратегічний"},0),0.15,0.175,0.22,0.21,0.25)</f>
        <v/>
      </c>
      <c r="AG151" s="104">
        <f>CHOOSE(MATCH(IF($U151="","Основний",$U151),{"Трафіковий","Основний","Маржинальний","Сезонний","Стратегічний"},0),0.13,0.16,0.21,0.2,0.25)</f>
        <v/>
      </c>
      <c r="AH151" s="104">
        <f>CHOOSE(MATCH(IF($U151="","Основний",$U151),{"Трафіковий","Основний","Маржинальний","Сезонний","Стратегічний"},0),0.15,0.18,0.23,0.22,0.27)</f>
        <v/>
      </c>
      <c r="AI151" s="104">
        <f>CHOOSE(MATCH(IF($U151="","Основний",$U151),{"Трафіковий","Основний","Маржинальний","Сезонний","Стратегічний"},0),0.16,0.19,0.25,0.23,0.29)</f>
        <v/>
      </c>
      <c r="AJ151" s="104">
        <f>CHOOSE(MATCH(IF($U151="","Основний",$U151),{"Трафіковий","Основний","Маржинальний","Сезонний","Стратегічний"},0),0.14,0.17,0.22,0.21,0.25)</f>
        <v/>
      </c>
      <c r="AK151" s="104">
        <f>CHOOSE(MATCH(IF($U151="","Основний",$U151),{"Трафіковий","Основний","Маржинальний","Сезонний","Стратегічний"},0),0.15,0.18,0.23,0.22,0.27)</f>
        <v/>
      </c>
      <c r="AL151" s="104">
        <f>CHOOSE(MATCH(IF($U151="","Основний",$U151),{"Трафіковий","Основний","Маржинальний","Сезонний","Стратегічний"},0),0.15,0.17,0.25,0.24,0.29)</f>
        <v/>
      </c>
      <c r="AM151" s="104">
        <f>CHOOSE(MATCH(IF($U151="","Основний",$U151),{"Трафіковий","Основний","Маржинальний","Сезонний","Стратегічний"},0),0.12,0.145,0.19,0.18,0.22)</f>
        <v/>
      </c>
      <c r="AN151" s="157">
        <f>CHOOSE(MATCH(IF($U151="","Основний",$U151),{"Трафіковий","Основний","Маржинальний","Сезонний","Стратегічний"},0),Settings!$B$78,Settings!$B$80,Settings!$B$82,Settings!$B$84,Settings!$B$86)</f>
        <v/>
      </c>
      <c r="AO151" s="157">
        <f>CHOOSE(MATCH(IF($U151="","Основний",$U151),{"Трафіковий","Основний","Маржинальний","Сезонний","Стратегічний"},0),Settings!$C$78,Settings!$C$80,Settings!$C$82,Settings!$C$84,Settings!$C$86)</f>
        <v/>
      </c>
      <c r="AP151" s="157">
        <f>CHOOSE(MATCH(IF($U151="","Основний",$U151),{"Трафіковий","Основний","Маржинальний","Сезонний","Стратегічний"},0),Settings!$D$78,Settings!$D$80,Settings!$D$82,Settings!$D$84,Settings!$D$86)</f>
        <v/>
      </c>
      <c r="AQ151" s="157">
        <f>CHOOSE(MATCH(IF($U151="","Основний",$U151),{"Трафіковий","Основний","Маржинальний","Сезонний","Стратегічний"},0),Settings!$F$78,Settings!$F$80,Settings!$F$82,Settings!$F$84,Settings!$F$86)</f>
        <v/>
      </c>
      <c r="AR151" s="157">
        <f>CHOOSE(MATCH(IF($U151="","Основний",$U151),{"Трафіковий","Основний","Маржинальний","Сезонний","Стратегічний"},0),Settings!$G$78,Settings!$G$80,Settings!$G$82,Settings!$G$84,Settings!$G$86)</f>
        <v/>
      </c>
      <c r="AS151" s="157">
        <f>CHOOSE(MATCH(IF($U151="","Основний",$U151),{"Трафіковий","Основний","Маржинальний","Сезонний","Стратегічний"},0),Settings!$H$78,Settings!$H$80,Settings!$H$82,Settings!$H$84,Settings!$H$86)</f>
        <v/>
      </c>
      <c r="AT151" s="157">
        <f>CHOOSE(MATCH(IF($U151="","Основний",$U151),{"Трафіковий","Основний","Маржинальний","Сезонний","Стратегічний"},0),Settings!$I$78,Settings!$I$80,Settings!$I$82,Settings!$I$84,Settings!$I$86)</f>
        <v/>
      </c>
      <c r="AU151" s="171" t="n"/>
      <c r="AV151" t="n">
        <v>1.35</v>
      </c>
    </row>
    <row r="152">
      <c r="A152" s="28" t="inlineStr">
        <is>
          <t>NEW</t>
        </is>
      </c>
      <c r="B152" s="29" t="inlineStr">
        <is>
          <t>ZS2160</t>
        </is>
      </c>
      <c r="C152" s="29" t="inlineStr">
        <is>
          <t>LED MIRROR LIGHT GLASO 30CM 6W 700LM IP44 NW W</t>
        </is>
      </c>
      <c r="D152" s="29" t="inlineStr">
        <is>
          <t>Світильники для дзеркал</t>
        </is>
      </c>
      <c r="E152" s="28" t="inlineStr">
        <is>
          <t>PC</t>
        </is>
      </c>
      <c r="F152" s="93" t="n">
        <v>5.604</v>
      </c>
      <c r="G152" s="30" t="n">
        <v>9405423990</v>
      </c>
      <c r="H152" s="31" t="n">
        <v>1.35</v>
      </c>
      <c r="I152" s="84">
        <f>IFERROR(F152*Settings!$B$2*H152*IF(AND(ISNUMBER(E152),E152&gt;1),E152,1),"")</f>
        <v/>
      </c>
      <c r="J152" s="32">
        <f>Settings!$B$66</f>
        <v/>
      </c>
      <c r="K152" s="95">
        <f>IFERROR(IF(T152="","",(T152*(1-AN152)*(1-Settings!$B$17)-I152)/(T152*(1-AN152)*(1-Settings!$B$17))),"")</f>
        <v/>
      </c>
      <c r="L152" s="101">
        <f>IFERROR(IF(T152="","",(T152*(1-AO152)*(1-Settings!$C$17)-I152)/(T152*(1-AO152)*(1-Settings!$C$17))),"")</f>
        <v/>
      </c>
      <c r="M152" s="101">
        <f>IFERROR(IF(T152="","",(T152*(1-AP152)*(1-Settings!$D$17)-I152)/(T152*(1-AP152)*(1-Settings!$D$17))),"")</f>
        <v/>
      </c>
      <c r="N152" s="101">
        <f>IFERROR(IF(T152="","",(T152*(1-AQ152)*(1-Settings!$F$17)-I152)/(T152*(1-AQ152)*(1-Settings!$F$17))),"")</f>
        <v/>
      </c>
      <c r="O152" s="101">
        <f>IFERROR(IF(T152="","",(T152*(1-AR152)*(1-Settings!$G$17)-I152)/(T152*(1-AR152)*(1-Settings!$G$17))),"")</f>
        <v/>
      </c>
      <c r="P152" s="101">
        <f>IFERROR(IF(T152="","",(T152*(1-AS152)*(1-Settings!$H$17)-I152)/(T152*(1-AS152)*(1-Settings!$H$17))),"")</f>
        <v/>
      </c>
      <c r="Q152" s="101">
        <f>IFERROR(IF(T152="","",(T152*(1-AT152)*(1-Settings!$I$68)*(1-Settings!$I$17)-I152)/(T152*(1-AT152)*(1-Settings!$I$68)*(1-Settings!$I$17))),"")</f>
        <v/>
      </c>
      <c r="R152" s="91">
        <f>IFERROR(IF(OR(I152="",Z152&gt;=1,Settings!$B$17&gt;=1,AN152&gt;=1),"",IF(MOD(ROUND(I152/(1-Z152)/(1-Settings!$B$17)/(1-AN152),0),10)=0,ROUND(I152/(1-Z152)/(1-Settings!$B$17)/(1-AN152),0)-1,IF(MOD(ROUND(I152/(1-Z152)/(1-Settings!$B$17)/(1-AN152),0),10)&lt;=5,FLOOR(ROUND(I152/(1-Z152)/(1-Settings!$B$17)/(1-AN152),0),10)+6,FLOOR(ROUND(I152/(1-Z152)/(1-Settings!$B$17)/(1-AN152),0),10)+9))),"")</f>
        <v/>
      </c>
      <c r="S152" s="92" t="n"/>
      <c r="T152" s="91">
        <f>IF(S152&lt;&gt;"", IF(MOD(S152,10)=0,S152-1,IF(MOD(S152,10)&lt;=5,FLOOR(S152,10)+6,FLOOR(S152,10)+9)), R152)</f>
        <v/>
      </c>
      <c r="U152" s="87" t="inlineStr">
        <is>
          <t>Основний</t>
        </is>
      </c>
      <c r="V152" s="88" t="n"/>
      <c r="W152" s="88" t="n"/>
      <c r="X152" s="89">
        <f>IFERROR(IF(OR(V152="",W152="",T152=""),"", IF(T152&gt;W152,"Дорогий",IF(T152&lt;V152,"Дешевий","У ринку"))),"")</f>
        <v/>
      </c>
      <c r="Y152" s="90" t="n"/>
      <c r="Z152" s="104">
        <f>CHOOSE(MATCH(IF($U152="","Основний",$U152),{"Трафіковий","Основний","Маржинальний","Сезонний","Стратегічний"},0),0.16,0.19,0.24,0.23,0.28)</f>
        <v/>
      </c>
      <c r="AA152" s="104">
        <f>CHOOSE(MATCH(IF($U152="","Основний",$U152),{"Трафіковий","Основний","Маржинальний","Сезонний","Стратегічний"},0),0.18,0.21,0.26,0.25,0.3)</f>
        <v/>
      </c>
      <c r="AB152" s="104">
        <f>CHOOSE(MATCH(IF($U152="","Основний",$U152),{"Трафіковий","Основний","Маржинальний","Сезонний","Стратегічний"},0),0.19,0.22,0.28,0.26,0.32)</f>
        <v/>
      </c>
      <c r="AC152" s="104">
        <f>CHOOSE(MATCH(IF($U152="","Основний",$U152),{"Трафіковий","Основний","Маржинальний","Сезонний","Стратегічний"},0),0.17,0.2,0.25,0.24,0.28)</f>
        <v/>
      </c>
      <c r="AD152" s="104">
        <f>CHOOSE(MATCH(IF($U152="","Основний",$U152),{"Трафіковий","Основний","Маржинальний","Сезонний","Стратегічний"},0),0.18,0.21,0.26,0.25,0.3)</f>
        <v/>
      </c>
      <c r="AE152" s="104">
        <f>CHOOSE(MATCH(IF($U152="","Основний",$U152),{"Трафіковий","Основний","Маржинальний","Сезонний","Стратегічний"},0),0.18,0.2,0.28,0.27,0.32)</f>
        <v/>
      </c>
      <c r="AF152" s="104">
        <f>CHOOSE(MATCH(IF($U152="","Основний",$U152),{"Трафіковий","Основний","Маржинальний","Сезонний","Стратегічний"},0),0.15,0.175,0.22,0.21,0.25)</f>
        <v/>
      </c>
      <c r="AG152" s="104">
        <f>CHOOSE(MATCH(IF($U152="","Основний",$U152),{"Трафіковий","Основний","Маржинальний","Сезонний","Стратегічний"},0),0.13,0.16,0.21,0.2,0.25)</f>
        <v/>
      </c>
      <c r="AH152" s="104">
        <f>CHOOSE(MATCH(IF($U152="","Основний",$U152),{"Трафіковий","Основний","Маржинальний","Сезонний","Стратегічний"},0),0.15,0.18,0.23,0.22,0.27)</f>
        <v/>
      </c>
      <c r="AI152" s="104">
        <f>CHOOSE(MATCH(IF($U152="","Основний",$U152),{"Трафіковий","Основний","Маржинальний","Сезонний","Стратегічний"},0),0.16,0.19,0.25,0.23,0.29)</f>
        <v/>
      </c>
      <c r="AJ152" s="104">
        <f>CHOOSE(MATCH(IF($U152="","Основний",$U152),{"Трафіковий","Основний","Маржинальний","Сезонний","Стратегічний"},0),0.14,0.17,0.22,0.21,0.25)</f>
        <v/>
      </c>
      <c r="AK152" s="104">
        <f>CHOOSE(MATCH(IF($U152="","Основний",$U152),{"Трафіковий","Основний","Маржинальний","Сезонний","Стратегічний"},0),0.15,0.18,0.23,0.22,0.27)</f>
        <v/>
      </c>
      <c r="AL152" s="104">
        <f>CHOOSE(MATCH(IF($U152="","Основний",$U152),{"Трафіковий","Основний","Маржинальний","Сезонний","Стратегічний"},0),0.15,0.17,0.25,0.24,0.29)</f>
        <v/>
      </c>
      <c r="AM152" s="104">
        <f>CHOOSE(MATCH(IF($U152="","Основний",$U152),{"Трафіковий","Основний","Маржинальний","Сезонний","Стратегічний"},0),0.12,0.145,0.19,0.18,0.22)</f>
        <v/>
      </c>
      <c r="AN152" s="157">
        <f>CHOOSE(MATCH(IF($U152="","Основний",$U152),{"Трафіковий","Основний","Маржинальний","Сезонний","Стратегічний"},0),Settings!$B$78,Settings!$B$80,Settings!$B$82,Settings!$B$84,Settings!$B$86)</f>
        <v/>
      </c>
      <c r="AO152" s="157">
        <f>CHOOSE(MATCH(IF($U152="","Основний",$U152),{"Трафіковий","Основний","Маржинальний","Сезонний","Стратегічний"},0),Settings!$C$78,Settings!$C$80,Settings!$C$82,Settings!$C$84,Settings!$C$86)</f>
        <v/>
      </c>
      <c r="AP152" s="157">
        <f>CHOOSE(MATCH(IF($U152="","Основний",$U152),{"Трафіковий","Основний","Маржинальний","Сезонний","Стратегічний"},0),Settings!$D$78,Settings!$D$80,Settings!$D$82,Settings!$D$84,Settings!$D$86)</f>
        <v/>
      </c>
      <c r="AQ152" s="157">
        <f>CHOOSE(MATCH(IF($U152="","Основний",$U152),{"Трафіковий","Основний","Маржинальний","Сезонний","Стратегічний"},0),Settings!$F$78,Settings!$F$80,Settings!$F$82,Settings!$F$84,Settings!$F$86)</f>
        <v/>
      </c>
      <c r="AR152" s="157">
        <f>CHOOSE(MATCH(IF($U152="","Основний",$U152),{"Трафіковий","Основний","Маржинальний","Сезонний","Стратегічний"},0),Settings!$G$78,Settings!$G$80,Settings!$G$82,Settings!$G$84,Settings!$G$86)</f>
        <v/>
      </c>
      <c r="AS152" s="157">
        <f>CHOOSE(MATCH(IF($U152="","Основний",$U152),{"Трафіковий","Основний","Маржинальний","Сезонний","Стратегічний"},0),Settings!$H$78,Settings!$H$80,Settings!$H$82,Settings!$H$84,Settings!$H$86)</f>
        <v/>
      </c>
      <c r="AT152" s="157">
        <f>CHOOSE(MATCH(IF($U152="","Основний",$U152),{"Трафіковий","Основний","Маржинальний","Сезонний","Стратегічний"},0),Settings!$I$78,Settings!$I$80,Settings!$I$82,Settings!$I$84,Settings!$I$86)</f>
        <v/>
      </c>
      <c r="AU152" s="171" t="n"/>
      <c r="AV152" t="n">
        <v>1.35</v>
      </c>
    </row>
    <row r="153">
      <c r="A153" s="33" t="inlineStr">
        <is>
          <t>NEW</t>
        </is>
      </c>
      <c r="B153" s="34" t="inlineStr">
        <is>
          <t>ZS2163</t>
        </is>
      </c>
      <c r="C153" s="34" t="inlineStr">
        <is>
          <t>LED MIRROR LIGHT GLASO 30CM 6W 700LM IP44 NW B</t>
        </is>
      </c>
      <c r="D153" s="34" t="inlineStr">
        <is>
          <t>Світильники для дзеркал</t>
        </is>
      </c>
      <c r="E153" s="33" t="inlineStr">
        <is>
          <t>PC</t>
        </is>
      </c>
      <c r="F153" s="94" t="n">
        <v>5.604</v>
      </c>
      <c r="G153" s="35" t="n">
        <v>9405423990</v>
      </c>
      <c r="H153" s="31" t="n">
        <v>1.35</v>
      </c>
      <c r="I153" s="84">
        <f>IFERROR(F153*Settings!$B$2*H153*IF(AND(ISNUMBER(E153),E153&gt;1),E153,1),"")</f>
        <v/>
      </c>
      <c r="J153" s="32">
        <f>Settings!$B$66</f>
        <v/>
      </c>
      <c r="K153" s="95">
        <f>IFERROR(IF(T153="","",(T153*(1-AN153)*(1-Settings!$B$17)-I153)/(T153*(1-AN153)*(1-Settings!$B$17))),"")</f>
        <v/>
      </c>
      <c r="L153" s="101">
        <f>IFERROR(IF(T153="","",(T153*(1-AO153)*(1-Settings!$C$17)-I153)/(T153*(1-AO153)*(1-Settings!$C$17))),"")</f>
        <v/>
      </c>
      <c r="M153" s="101">
        <f>IFERROR(IF(T153="","",(T153*(1-AP153)*(1-Settings!$D$17)-I153)/(T153*(1-AP153)*(1-Settings!$D$17))),"")</f>
        <v/>
      </c>
      <c r="N153" s="101">
        <f>IFERROR(IF(T153="","",(T153*(1-AQ153)*(1-Settings!$F$17)-I153)/(T153*(1-AQ153)*(1-Settings!$F$17))),"")</f>
        <v/>
      </c>
      <c r="O153" s="101">
        <f>IFERROR(IF(T153="","",(T153*(1-AR153)*(1-Settings!$G$17)-I153)/(T153*(1-AR153)*(1-Settings!$G$17))),"")</f>
        <v/>
      </c>
      <c r="P153" s="101">
        <f>IFERROR(IF(T153="","",(T153*(1-AS153)*(1-Settings!$H$17)-I153)/(T153*(1-AS153)*(1-Settings!$H$17))),"")</f>
        <v/>
      </c>
      <c r="Q153" s="101">
        <f>IFERROR(IF(T153="","",(T153*(1-AT153)*(1-Settings!$I$68)*(1-Settings!$I$17)-I153)/(T153*(1-AT153)*(1-Settings!$I$68)*(1-Settings!$I$17))),"")</f>
        <v/>
      </c>
      <c r="R153" s="91">
        <f>IFERROR(IF(OR(I153="",Z153&gt;=1,Settings!$B$17&gt;=1,AN153&gt;=1),"",IF(MOD(ROUND(I153/(1-Z153)/(1-Settings!$B$17)/(1-AN153),0),10)=0,ROUND(I153/(1-Z153)/(1-Settings!$B$17)/(1-AN153),0)-1,IF(MOD(ROUND(I153/(1-Z153)/(1-Settings!$B$17)/(1-AN153),0),10)&lt;=5,FLOOR(ROUND(I153/(1-Z153)/(1-Settings!$B$17)/(1-AN153),0),10)+6,FLOOR(ROUND(I153/(1-Z153)/(1-Settings!$B$17)/(1-AN153),0),10)+9))),"")</f>
        <v/>
      </c>
      <c r="S153" s="92" t="n"/>
      <c r="T153" s="91">
        <f>IF(S153&lt;&gt;"", IF(MOD(S153,10)=0,S153-1,IF(MOD(S153,10)&lt;=5,FLOOR(S153,10)+6,FLOOR(S153,10)+9)), R153)</f>
        <v/>
      </c>
      <c r="U153" s="87" t="inlineStr">
        <is>
          <t>Основний</t>
        </is>
      </c>
      <c r="V153" s="88" t="n"/>
      <c r="W153" s="88" t="n"/>
      <c r="X153" s="89">
        <f>IFERROR(IF(OR(V153="",W153="",T153=""),"", IF(T153&gt;W153,"Дорогий",IF(T153&lt;V153,"Дешевий","У ринку"))),"")</f>
        <v/>
      </c>
      <c r="Y153" s="90" t="n"/>
      <c r="Z153" s="104">
        <f>CHOOSE(MATCH(IF($U153="","Основний",$U153),{"Трафіковий","Основний","Маржинальний","Сезонний","Стратегічний"},0),0.16,0.19,0.24,0.23,0.28)</f>
        <v/>
      </c>
      <c r="AA153" s="104">
        <f>CHOOSE(MATCH(IF($U153="","Основний",$U153),{"Трафіковий","Основний","Маржинальний","Сезонний","Стратегічний"},0),0.18,0.21,0.26,0.25,0.3)</f>
        <v/>
      </c>
      <c r="AB153" s="104">
        <f>CHOOSE(MATCH(IF($U153="","Основний",$U153),{"Трафіковий","Основний","Маржинальний","Сезонний","Стратегічний"},0),0.19,0.22,0.28,0.26,0.32)</f>
        <v/>
      </c>
      <c r="AC153" s="104">
        <f>CHOOSE(MATCH(IF($U153="","Основний",$U153),{"Трафіковий","Основний","Маржинальний","Сезонний","Стратегічний"},0),0.17,0.2,0.25,0.24,0.28)</f>
        <v/>
      </c>
      <c r="AD153" s="104">
        <f>CHOOSE(MATCH(IF($U153="","Основний",$U153),{"Трафіковий","Основний","Маржинальний","Сезонний","Стратегічний"},0),0.18,0.21,0.26,0.25,0.3)</f>
        <v/>
      </c>
      <c r="AE153" s="104">
        <f>CHOOSE(MATCH(IF($U153="","Основний",$U153),{"Трафіковий","Основний","Маржинальний","Сезонний","Стратегічний"},0),0.18,0.2,0.28,0.27,0.32)</f>
        <v/>
      </c>
      <c r="AF153" s="104">
        <f>CHOOSE(MATCH(IF($U153="","Основний",$U153),{"Трафіковий","Основний","Маржинальний","Сезонний","Стратегічний"},0),0.15,0.175,0.22,0.21,0.25)</f>
        <v/>
      </c>
      <c r="AG153" s="104">
        <f>CHOOSE(MATCH(IF($U153="","Основний",$U153),{"Трафіковий","Основний","Маржинальний","Сезонний","Стратегічний"},0),0.13,0.16,0.21,0.2,0.25)</f>
        <v/>
      </c>
      <c r="AH153" s="104">
        <f>CHOOSE(MATCH(IF($U153="","Основний",$U153),{"Трафіковий","Основний","Маржинальний","Сезонний","Стратегічний"},0),0.15,0.18,0.23,0.22,0.27)</f>
        <v/>
      </c>
      <c r="AI153" s="104">
        <f>CHOOSE(MATCH(IF($U153="","Основний",$U153),{"Трафіковий","Основний","Маржинальний","Сезонний","Стратегічний"},0),0.16,0.19,0.25,0.23,0.29)</f>
        <v/>
      </c>
      <c r="AJ153" s="104">
        <f>CHOOSE(MATCH(IF($U153="","Основний",$U153),{"Трафіковий","Основний","Маржинальний","Сезонний","Стратегічний"},0),0.14,0.17,0.22,0.21,0.25)</f>
        <v/>
      </c>
      <c r="AK153" s="104">
        <f>CHOOSE(MATCH(IF($U153="","Основний",$U153),{"Трафіковий","Основний","Маржинальний","Сезонний","Стратегічний"},0),0.15,0.18,0.23,0.22,0.27)</f>
        <v/>
      </c>
      <c r="AL153" s="104">
        <f>CHOOSE(MATCH(IF($U153="","Основний",$U153),{"Трафіковий","Основний","Маржинальний","Сезонний","Стратегічний"},0),0.15,0.17,0.25,0.24,0.29)</f>
        <v/>
      </c>
      <c r="AM153" s="104">
        <f>CHOOSE(MATCH(IF($U153="","Основний",$U153),{"Трафіковий","Основний","Маржинальний","Сезонний","Стратегічний"},0),0.12,0.145,0.19,0.18,0.22)</f>
        <v/>
      </c>
      <c r="AN153" s="157">
        <f>CHOOSE(MATCH(IF($U153="","Основний",$U153),{"Трафіковий","Основний","Маржинальний","Сезонний","Стратегічний"},0),Settings!$B$78,Settings!$B$80,Settings!$B$82,Settings!$B$84,Settings!$B$86)</f>
        <v/>
      </c>
      <c r="AO153" s="157">
        <f>CHOOSE(MATCH(IF($U153="","Основний",$U153),{"Трафіковий","Основний","Маржинальний","Сезонний","Стратегічний"},0),Settings!$C$78,Settings!$C$80,Settings!$C$82,Settings!$C$84,Settings!$C$86)</f>
        <v/>
      </c>
      <c r="AP153" s="157">
        <f>CHOOSE(MATCH(IF($U153="","Основний",$U153),{"Трафіковий","Основний","Маржинальний","Сезонний","Стратегічний"},0),Settings!$D$78,Settings!$D$80,Settings!$D$82,Settings!$D$84,Settings!$D$86)</f>
        <v/>
      </c>
      <c r="AQ153" s="157">
        <f>CHOOSE(MATCH(IF($U153="","Основний",$U153),{"Трафіковий","Основний","Маржинальний","Сезонний","Стратегічний"},0),Settings!$F$78,Settings!$F$80,Settings!$F$82,Settings!$F$84,Settings!$F$86)</f>
        <v/>
      </c>
      <c r="AR153" s="157">
        <f>CHOOSE(MATCH(IF($U153="","Основний",$U153),{"Трафіковий","Основний","Маржинальний","Сезонний","Стратегічний"},0),Settings!$G$78,Settings!$G$80,Settings!$G$82,Settings!$G$84,Settings!$G$86)</f>
        <v/>
      </c>
      <c r="AS153" s="157">
        <f>CHOOSE(MATCH(IF($U153="","Основний",$U153),{"Трафіковий","Основний","Маржинальний","Сезонний","Стратегічний"},0),Settings!$H$78,Settings!$H$80,Settings!$H$82,Settings!$H$84,Settings!$H$86)</f>
        <v/>
      </c>
      <c r="AT153" s="157">
        <f>CHOOSE(MATCH(IF($U153="","Основний",$U153),{"Трафіковий","Основний","Маржинальний","Сезонний","Стратегічний"},0),Settings!$I$78,Settings!$I$80,Settings!$I$82,Settings!$I$84,Settings!$I$86)</f>
        <v/>
      </c>
      <c r="AU153" s="171" t="n"/>
      <c r="AV153" t="n">
        <v>1.35</v>
      </c>
    </row>
    <row r="154">
      <c r="A154" s="28" t="inlineStr">
        <is>
          <t>NEW</t>
        </is>
      </c>
      <c r="B154" s="29" t="inlineStr">
        <is>
          <t>ZS2166</t>
        </is>
      </c>
      <c r="C154" s="29" t="inlineStr">
        <is>
          <t>LED MIRROR LIGHT GLASO 30CM 6W 700LM IP44 NW S</t>
        </is>
      </c>
      <c r="D154" s="29" t="inlineStr">
        <is>
          <t>Світильники для дзеркал</t>
        </is>
      </c>
      <c r="E154" s="28" t="inlineStr">
        <is>
          <t>PC</t>
        </is>
      </c>
      <c r="F154" s="93" t="n">
        <v>7.586</v>
      </c>
      <c r="G154" s="30" t="n">
        <v>9405423990</v>
      </c>
      <c r="H154" s="31" t="n">
        <v>1.35</v>
      </c>
      <c r="I154" s="84">
        <f>IFERROR(F154*Settings!$B$2*H154*IF(AND(ISNUMBER(E154),E154&gt;1),E154,1),"")</f>
        <v/>
      </c>
      <c r="J154" s="32">
        <f>Settings!$B$66</f>
        <v/>
      </c>
      <c r="K154" s="95">
        <f>IFERROR(IF(T154="","",(T154*(1-AN154)*(1-Settings!$B$17)-I154)/(T154*(1-AN154)*(1-Settings!$B$17))),"")</f>
        <v/>
      </c>
      <c r="L154" s="101">
        <f>IFERROR(IF(T154="","",(T154*(1-AO154)*(1-Settings!$C$17)-I154)/(T154*(1-AO154)*(1-Settings!$C$17))),"")</f>
        <v/>
      </c>
      <c r="M154" s="101">
        <f>IFERROR(IF(T154="","",(T154*(1-AP154)*(1-Settings!$D$17)-I154)/(T154*(1-AP154)*(1-Settings!$D$17))),"")</f>
        <v/>
      </c>
      <c r="N154" s="101">
        <f>IFERROR(IF(T154="","",(T154*(1-AQ154)*(1-Settings!$F$17)-I154)/(T154*(1-AQ154)*(1-Settings!$F$17))),"")</f>
        <v/>
      </c>
      <c r="O154" s="101">
        <f>IFERROR(IF(T154="","",(T154*(1-AR154)*(1-Settings!$G$17)-I154)/(T154*(1-AR154)*(1-Settings!$G$17))),"")</f>
        <v/>
      </c>
      <c r="P154" s="101">
        <f>IFERROR(IF(T154="","",(T154*(1-AS154)*(1-Settings!$H$17)-I154)/(T154*(1-AS154)*(1-Settings!$H$17))),"")</f>
        <v/>
      </c>
      <c r="Q154" s="101">
        <f>IFERROR(IF(T154="","",(T154*(1-AT154)*(1-Settings!$I$68)*(1-Settings!$I$17)-I154)/(T154*(1-AT154)*(1-Settings!$I$68)*(1-Settings!$I$17))),"")</f>
        <v/>
      </c>
      <c r="R154" s="91">
        <f>IFERROR(IF(OR(I154="",Z154&gt;=1,Settings!$B$17&gt;=1,AN154&gt;=1),"",IF(MOD(ROUND(I154/(1-Z154)/(1-Settings!$B$17)/(1-AN154),0),10)=0,ROUND(I154/(1-Z154)/(1-Settings!$B$17)/(1-AN154),0)-1,IF(MOD(ROUND(I154/(1-Z154)/(1-Settings!$B$17)/(1-AN154),0),10)&lt;=5,FLOOR(ROUND(I154/(1-Z154)/(1-Settings!$B$17)/(1-AN154),0),10)+6,FLOOR(ROUND(I154/(1-Z154)/(1-Settings!$B$17)/(1-AN154),0),10)+9))),"")</f>
        <v/>
      </c>
      <c r="S154" s="92" t="n"/>
      <c r="T154" s="91">
        <f>IF(S154&lt;&gt;"", IF(MOD(S154,10)=0,S154-1,IF(MOD(S154,10)&lt;=5,FLOOR(S154,10)+6,FLOOR(S154,10)+9)), R154)</f>
        <v/>
      </c>
      <c r="U154" s="87" t="inlineStr">
        <is>
          <t>Основний</t>
        </is>
      </c>
      <c r="V154" s="88" t="n"/>
      <c r="W154" s="88" t="n"/>
      <c r="X154" s="89">
        <f>IFERROR(IF(OR(V154="",W154="",T154=""),"", IF(T154&gt;W154,"Дорогий",IF(T154&lt;V154,"Дешевий","У ринку"))),"")</f>
        <v/>
      </c>
      <c r="Y154" s="90" t="n"/>
      <c r="Z154" s="104">
        <f>CHOOSE(MATCH(IF($U154="","Основний",$U154),{"Трафіковий","Основний","Маржинальний","Сезонний","Стратегічний"},0),0.16,0.19,0.24,0.23,0.28)</f>
        <v/>
      </c>
      <c r="AA154" s="104">
        <f>CHOOSE(MATCH(IF($U154="","Основний",$U154),{"Трафіковий","Основний","Маржинальний","Сезонний","Стратегічний"},0),0.18,0.21,0.26,0.25,0.3)</f>
        <v/>
      </c>
      <c r="AB154" s="104">
        <f>CHOOSE(MATCH(IF($U154="","Основний",$U154),{"Трафіковий","Основний","Маржинальний","Сезонний","Стратегічний"},0),0.19,0.22,0.28,0.26,0.32)</f>
        <v/>
      </c>
      <c r="AC154" s="104">
        <f>CHOOSE(MATCH(IF($U154="","Основний",$U154),{"Трафіковий","Основний","Маржинальний","Сезонний","Стратегічний"},0),0.17,0.2,0.25,0.24,0.28)</f>
        <v/>
      </c>
      <c r="AD154" s="104">
        <f>CHOOSE(MATCH(IF($U154="","Основний",$U154),{"Трафіковий","Основний","Маржинальний","Сезонний","Стратегічний"},0),0.18,0.21,0.26,0.25,0.3)</f>
        <v/>
      </c>
      <c r="AE154" s="104">
        <f>CHOOSE(MATCH(IF($U154="","Основний",$U154),{"Трафіковий","Основний","Маржинальний","Сезонний","Стратегічний"},0),0.18,0.2,0.28,0.27,0.32)</f>
        <v/>
      </c>
      <c r="AF154" s="104">
        <f>CHOOSE(MATCH(IF($U154="","Основний",$U154),{"Трафіковий","Основний","Маржинальний","Сезонний","Стратегічний"},0),0.15,0.175,0.22,0.21,0.25)</f>
        <v/>
      </c>
      <c r="AG154" s="104">
        <f>CHOOSE(MATCH(IF($U154="","Основний",$U154),{"Трафіковий","Основний","Маржинальний","Сезонний","Стратегічний"},0),0.13,0.16,0.21,0.2,0.25)</f>
        <v/>
      </c>
      <c r="AH154" s="104">
        <f>CHOOSE(MATCH(IF($U154="","Основний",$U154),{"Трафіковий","Основний","Маржинальний","Сезонний","Стратегічний"},0),0.15,0.18,0.23,0.22,0.27)</f>
        <v/>
      </c>
      <c r="AI154" s="104">
        <f>CHOOSE(MATCH(IF($U154="","Основний",$U154),{"Трафіковий","Основний","Маржинальний","Сезонний","Стратегічний"},0),0.16,0.19,0.25,0.23,0.29)</f>
        <v/>
      </c>
      <c r="AJ154" s="104">
        <f>CHOOSE(MATCH(IF($U154="","Основний",$U154),{"Трафіковий","Основний","Маржинальний","Сезонний","Стратегічний"},0),0.14,0.17,0.22,0.21,0.25)</f>
        <v/>
      </c>
      <c r="AK154" s="104">
        <f>CHOOSE(MATCH(IF($U154="","Основний",$U154),{"Трафіковий","Основний","Маржинальний","Сезонний","Стратегічний"},0),0.15,0.18,0.23,0.22,0.27)</f>
        <v/>
      </c>
      <c r="AL154" s="104">
        <f>CHOOSE(MATCH(IF($U154="","Основний",$U154),{"Трафіковий","Основний","Маржинальний","Сезонний","Стратегічний"},0),0.15,0.17,0.25,0.24,0.29)</f>
        <v/>
      </c>
      <c r="AM154" s="104">
        <f>CHOOSE(MATCH(IF($U154="","Основний",$U154),{"Трафіковий","Основний","Маржинальний","Сезонний","Стратегічний"},0),0.12,0.145,0.19,0.18,0.22)</f>
        <v/>
      </c>
      <c r="AN154" s="157">
        <f>CHOOSE(MATCH(IF($U154="","Основний",$U154),{"Трафіковий","Основний","Маржинальний","Сезонний","Стратегічний"},0),Settings!$B$78,Settings!$B$80,Settings!$B$82,Settings!$B$84,Settings!$B$86)</f>
        <v/>
      </c>
      <c r="AO154" s="157">
        <f>CHOOSE(MATCH(IF($U154="","Основний",$U154),{"Трафіковий","Основний","Маржинальний","Сезонний","Стратегічний"},0),Settings!$C$78,Settings!$C$80,Settings!$C$82,Settings!$C$84,Settings!$C$86)</f>
        <v/>
      </c>
      <c r="AP154" s="157">
        <f>CHOOSE(MATCH(IF($U154="","Основний",$U154),{"Трафіковий","Основний","Маржинальний","Сезонний","Стратегічний"},0),Settings!$D$78,Settings!$D$80,Settings!$D$82,Settings!$D$84,Settings!$D$86)</f>
        <v/>
      </c>
      <c r="AQ154" s="157">
        <f>CHOOSE(MATCH(IF($U154="","Основний",$U154),{"Трафіковий","Основний","Маржинальний","Сезонний","Стратегічний"},0),Settings!$F$78,Settings!$F$80,Settings!$F$82,Settings!$F$84,Settings!$F$86)</f>
        <v/>
      </c>
      <c r="AR154" s="157">
        <f>CHOOSE(MATCH(IF($U154="","Основний",$U154),{"Трафіковий","Основний","Маржинальний","Сезонний","Стратегічний"},0),Settings!$G$78,Settings!$G$80,Settings!$G$82,Settings!$G$84,Settings!$G$86)</f>
        <v/>
      </c>
      <c r="AS154" s="157">
        <f>CHOOSE(MATCH(IF($U154="","Основний",$U154),{"Трафіковий","Основний","Маржинальний","Сезонний","Стратегічний"},0),Settings!$H$78,Settings!$H$80,Settings!$H$82,Settings!$H$84,Settings!$H$86)</f>
        <v/>
      </c>
      <c r="AT154" s="157">
        <f>CHOOSE(MATCH(IF($U154="","Основний",$U154),{"Трафіковий","Основний","Маржинальний","Сезонний","Стратегічний"},0),Settings!$I$78,Settings!$I$80,Settings!$I$82,Settings!$I$84,Settings!$I$86)</f>
        <v/>
      </c>
      <c r="AU154" s="171" t="n"/>
      <c r="AV154" t="n">
        <v>1.35</v>
      </c>
    </row>
    <row r="155">
      <c r="A155" s="33" t="inlineStr">
        <is>
          <t>NEW</t>
        </is>
      </c>
      <c r="B155" s="34" t="inlineStr">
        <is>
          <t>ZS2161</t>
        </is>
      </c>
      <c r="C155" s="34" t="inlineStr">
        <is>
          <t>LED MIRROR LIGHT PROMA 50CM 10W 1000LM IP44 NW W</t>
        </is>
      </c>
      <c r="D155" s="34" t="inlineStr">
        <is>
          <t>Світильники для дзеркал</t>
        </is>
      </c>
      <c r="E155" s="33" t="inlineStr">
        <is>
          <t>PC</t>
        </is>
      </c>
      <c r="F155" s="94" t="n">
        <v>6.114</v>
      </c>
      <c r="G155" s="35" t="n">
        <v>9405423990</v>
      </c>
      <c r="H155" s="31" t="n">
        <v>1.35</v>
      </c>
      <c r="I155" s="84">
        <f>IFERROR(F155*Settings!$B$2*H155*IF(AND(ISNUMBER(E155),E155&gt;1),E155,1),"")</f>
        <v/>
      </c>
      <c r="J155" s="32">
        <f>Settings!$B$66</f>
        <v/>
      </c>
      <c r="K155" s="95">
        <f>IFERROR(IF(T155="","",(T155*(1-AN155)*(1-Settings!$B$17)-I155)/(T155*(1-AN155)*(1-Settings!$B$17))),"")</f>
        <v/>
      </c>
      <c r="L155" s="101">
        <f>IFERROR(IF(T155="","",(T155*(1-AO155)*(1-Settings!$C$17)-I155)/(T155*(1-AO155)*(1-Settings!$C$17))),"")</f>
        <v/>
      </c>
      <c r="M155" s="101">
        <f>IFERROR(IF(T155="","",(T155*(1-AP155)*(1-Settings!$D$17)-I155)/(T155*(1-AP155)*(1-Settings!$D$17))),"")</f>
        <v/>
      </c>
      <c r="N155" s="101">
        <f>IFERROR(IF(T155="","",(T155*(1-AQ155)*(1-Settings!$F$17)-I155)/(T155*(1-AQ155)*(1-Settings!$F$17))),"")</f>
        <v/>
      </c>
      <c r="O155" s="101">
        <f>IFERROR(IF(T155="","",(T155*(1-AR155)*(1-Settings!$G$17)-I155)/(T155*(1-AR155)*(1-Settings!$G$17))),"")</f>
        <v/>
      </c>
      <c r="P155" s="101">
        <f>IFERROR(IF(T155="","",(T155*(1-AS155)*(1-Settings!$H$17)-I155)/(T155*(1-AS155)*(1-Settings!$H$17))),"")</f>
        <v/>
      </c>
      <c r="Q155" s="101">
        <f>IFERROR(IF(T155="","",(T155*(1-AT155)*(1-Settings!$I$68)*(1-Settings!$I$17)-I155)/(T155*(1-AT155)*(1-Settings!$I$68)*(1-Settings!$I$17))),"")</f>
        <v/>
      </c>
      <c r="R155" s="91">
        <f>IFERROR(IF(OR(I155="",Z155&gt;=1,Settings!$B$17&gt;=1,AN155&gt;=1),"",IF(MOD(ROUND(I155/(1-Z155)/(1-Settings!$B$17)/(1-AN155),0),10)=0,ROUND(I155/(1-Z155)/(1-Settings!$B$17)/(1-AN155),0)-1,IF(MOD(ROUND(I155/(1-Z155)/(1-Settings!$B$17)/(1-AN155),0),10)&lt;=5,FLOOR(ROUND(I155/(1-Z155)/(1-Settings!$B$17)/(1-AN155),0),10)+6,FLOOR(ROUND(I155/(1-Z155)/(1-Settings!$B$17)/(1-AN155),0),10)+9))),"")</f>
        <v/>
      </c>
      <c r="S155" s="92" t="n"/>
      <c r="T155" s="91">
        <f>IF(S155&lt;&gt;"", IF(MOD(S155,10)=0,S155-1,IF(MOD(S155,10)&lt;=5,FLOOR(S155,10)+6,FLOOR(S155,10)+9)), R155)</f>
        <v/>
      </c>
      <c r="U155" s="87" t="inlineStr">
        <is>
          <t>Основний</t>
        </is>
      </c>
      <c r="V155" s="88" t="n"/>
      <c r="W155" s="88" t="n"/>
      <c r="X155" s="89">
        <f>IFERROR(IF(OR(V155="",W155="",T155=""),"", IF(T155&gt;W155,"Дорогий",IF(T155&lt;V155,"Дешевий","У ринку"))),"")</f>
        <v/>
      </c>
      <c r="Y155" s="90" t="n"/>
      <c r="Z155" s="104">
        <f>CHOOSE(MATCH(IF($U155="","Основний",$U155),{"Трафіковий","Основний","Маржинальний","Сезонний","Стратегічний"},0),0.16,0.19,0.24,0.23,0.28)</f>
        <v/>
      </c>
      <c r="AA155" s="104">
        <f>CHOOSE(MATCH(IF($U155="","Основний",$U155),{"Трафіковий","Основний","Маржинальний","Сезонний","Стратегічний"},0),0.18,0.21,0.26,0.25,0.3)</f>
        <v/>
      </c>
      <c r="AB155" s="104">
        <f>CHOOSE(MATCH(IF($U155="","Основний",$U155),{"Трафіковий","Основний","Маржинальний","Сезонний","Стратегічний"},0),0.19,0.22,0.28,0.26,0.32)</f>
        <v/>
      </c>
      <c r="AC155" s="104">
        <f>CHOOSE(MATCH(IF($U155="","Основний",$U155),{"Трафіковий","Основний","Маржинальний","Сезонний","Стратегічний"},0),0.17,0.2,0.25,0.24,0.28)</f>
        <v/>
      </c>
      <c r="AD155" s="104">
        <f>CHOOSE(MATCH(IF($U155="","Основний",$U155),{"Трафіковий","Основний","Маржинальний","Сезонний","Стратегічний"},0),0.18,0.21,0.26,0.25,0.3)</f>
        <v/>
      </c>
      <c r="AE155" s="104">
        <f>CHOOSE(MATCH(IF($U155="","Основний",$U155),{"Трафіковий","Основний","Маржинальний","Сезонний","Стратегічний"},0),0.18,0.2,0.28,0.27,0.32)</f>
        <v/>
      </c>
      <c r="AF155" s="104">
        <f>CHOOSE(MATCH(IF($U155="","Основний",$U155),{"Трафіковий","Основний","Маржинальний","Сезонний","Стратегічний"},0),0.15,0.175,0.22,0.21,0.25)</f>
        <v/>
      </c>
      <c r="AG155" s="104">
        <f>CHOOSE(MATCH(IF($U155="","Основний",$U155),{"Трафіковий","Основний","Маржинальний","Сезонний","Стратегічний"},0),0.13,0.16,0.21,0.2,0.25)</f>
        <v/>
      </c>
      <c r="AH155" s="104">
        <f>CHOOSE(MATCH(IF($U155="","Основний",$U155),{"Трафіковий","Основний","Маржинальний","Сезонний","Стратегічний"},0),0.15,0.18,0.23,0.22,0.27)</f>
        <v/>
      </c>
      <c r="AI155" s="104">
        <f>CHOOSE(MATCH(IF($U155="","Основний",$U155),{"Трафіковий","Основний","Маржинальний","Сезонний","Стратегічний"},0),0.16,0.19,0.25,0.23,0.29)</f>
        <v/>
      </c>
      <c r="AJ155" s="104">
        <f>CHOOSE(MATCH(IF($U155="","Основний",$U155),{"Трафіковий","Основний","Маржинальний","Сезонний","Стратегічний"},0),0.14,0.17,0.22,0.21,0.25)</f>
        <v/>
      </c>
      <c r="AK155" s="104">
        <f>CHOOSE(MATCH(IF($U155="","Основний",$U155),{"Трафіковий","Основний","Маржинальний","Сезонний","Стратегічний"},0),0.15,0.18,0.23,0.22,0.27)</f>
        <v/>
      </c>
      <c r="AL155" s="104">
        <f>CHOOSE(MATCH(IF($U155="","Основний",$U155),{"Трафіковий","Основний","Маржинальний","Сезонний","Стратегічний"},0),0.15,0.17,0.25,0.24,0.29)</f>
        <v/>
      </c>
      <c r="AM155" s="104">
        <f>CHOOSE(MATCH(IF($U155="","Основний",$U155),{"Трафіковий","Основний","Маржинальний","Сезонний","Стратегічний"},0),0.12,0.145,0.19,0.18,0.22)</f>
        <v/>
      </c>
      <c r="AN155" s="157">
        <f>CHOOSE(MATCH(IF($U155="","Основний",$U155),{"Трафіковий","Основний","Маржинальний","Сезонний","Стратегічний"},0),Settings!$B$78,Settings!$B$80,Settings!$B$82,Settings!$B$84,Settings!$B$86)</f>
        <v/>
      </c>
      <c r="AO155" s="157">
        <f>CHOOSE(MATCH(IF($U155="","Основний",$U155),{"Трафіковий","Основний","Маржинальний","Сезонний","Стратегічний"},0),Settings!$C$78,Settings!$C$80,Settings!$C$82,Settings!$C$84,Settings!$C$86)</f>
        <v/>
      </c>
      <c r="AP155" s="157">
        <f>CHOOSE(MATCH(IF($U155="","Основний",$U155),{"Трафіковий","Основний","Маржинальний","Сезонний","Стратегічний"},0),Settings!$D$78,Settings!$D$80,Settings!$D$82,Settings!$D$84,Settings!$D$86)</f>
        <v/>
      </c>
      <c r="AQ155" s="157">
        <f>CHOOSE(MATCH(IF($U155="","Основний",$U155),{"Трафіковий","Основний","Маржинальний","Сезонний","Стратегічний"},0),Settings!$F$78,Settings!$F$80,Settings!$F$82,Settings!$F$84,Settings!$F$86)</f>
        <v/>
      </c>
      <c r="AR155" s="157">
        <f>CHOOSE(MATCH(IF($U155="","Основний",$U155),{"Трафіковий","Основний","Маржинальний","Сезонний","Стратегічний"},0),Settings!$G$78,Settings!$G$80,Settings!$G$82,Settings!$G$84,Settings!$G$86)</f>
        <v/>
      </c>
      <c r="AS155" s="157">
        <f>CHOOSE(MATCH(IF($U155="","Основний",$U155),{"Трафіковий","Основний","Маржинальний","Сезонний","Стратегічний"},0),Settings!$H$78,Settings!$H$80,Settings!$H$82,Settings!$H$84,Settings!$H$86)</f>
        <v/>
      </c>
      <c r="AT155" s="157">
        <f>CHOOSE(MATCH(IF($U155="","Основний",$U155),{"Трафіковий","Основний","Маржинальний","Сезонний","Стратегічний"},0),Settings!$I$78,Settings!$I$80,Settings!$I$82,Settings!$I$84,Settings!$I$86)</f>
        <v/>
      </c>
      <c r="AU155" s="171" t="n"/>
      <c r="AV155" t="n">
        <v>1.35</v>
      </c>
    </row>
    <row r="156">
      <c r="A156" s="28" t="inlineStr">
        <is>
          <t>NEW</t>
        </is>
      </c>
      <c r="B156" s="29" t="inlineStr">
        <is>
          <t>ZS2164</t>
        </is>
      </c>
      <c r="C156" s="29" t="inlineStr">
        <is>
          <t>LED MIRROR LIGHT GLASO 50CM 10W 1000LM IP44 NW B</t>
        </is>
      </c>
      <c r="D156" s="29" t="inlineStr">
        <is>
          <t>Світильники для дзеркал</t>
        </is>
      </c>
      <c r="E156" s="28" t="inlineStr">
        <is>
          <t>PC</t>
        </is>
      </c>
      <c r="F156" s="93" t="n">
        <v>6.114</v>
      </c>
      <c r="G156" s="30" t="n">
        <v>9405423990</v>
      </c>
      <c r="H156" s="31" t="n">
        <v>1.35</v>
      </c>
      <c r="I156" s="84">
        <f>IFERROR(F156*Settings!$B$2*H156*IF(AND(ISNUMBER(E156),E156&gt;1),E156,1),"")</f>
        <v/>
      </c>
      <c r="J156" s="32">
        <f>Settings!$B$66</f>
        <v/>
      </c>
      <c r="K156" s="95">
        <f>IFERROR(IF(T156="","",(T156*(1-AN156)*(1-Settings!$B$17)-I156)/(T156*(1-AN156)*(1-Settings!$B$17))),"")</f>
        <v/>
      </c>
      <c r="L156" s="101">
        <f>IFERROR(IF(T156="","",(T156*(1-AO156)*(1-Settings!$C$17)-I156)/(T156*(1-AO156)*(1-Settings!$C$17))),"")</f>
        <v/>
      </c>
      <c r="M156" s="101">
        <f>IFERROR(IF(T156="","",(T156*(1-AP156)*(1-Settings!$D$17)-I156)/(T156*(1-AP156)*(1-Settings!$D$17))),"")</f>
        <v/>
      </c>
      <c r="N156" s="101">
        <f>IFERROR(IF(T156="","",(T156*(1-AQ156)*(1-Settings!$F$17)-I156)/(T156*(1-AQ156)*(1-Settings!$F$17))),"")</f>
        <v/>
      </c>
      <c r="O156" s="101">
        <f>IFERROR(IF(T156="","",(T156*(1-AR156)*(1-Settings!$G$17)-I156)/(T156*(1-AR156)*(1-Settings!$G$17))),"")</f>
        <v/>
      </c>
      <c r="P156" s="101">
        <f>IFERROR(IF(T156="","",(T156*(1-AS156)*(1-Settings!$H$17)-I156)/(T156*(1-AS156)*(1-Settings!$H$17))),"")</f>
        <v/>
      </c>
      <c r="Q156" s="101">
        <f>IFERROR(IF(T156="","",(T156*(1-AT156)*(1-Settings!$I$68)*(1-Settings!$I$17)-I156)/(T156*(1-AT156)*(1-Settings!$I$68)*(1-Settings!$I$17))),"")</f>
        <v/>
      </c>
      <c r="R156" s="91">
        <f>IFERROR(IF(OR(I156="",Z156&gt;=1,Settings!$B$17&gt;=1,AN156&gt;=1),"",IF(MOD(ROUND(I156/(1-Z156)/(1-Settings!$B$17)/(1-AN156),0),10)=0,ROUND(I156/(1-Z156)/(1-Settings!$B$17)/(1-AN156),0)-1,IF(MOD(ROUND(I156/(1-Z156)/(1-Settings!$B$17)/(1-AN156),0),10)&lt;=5,FLOOR(ROUND(I156/(1-Z156)/(1-Settings!$B$17)/(1-AN156),0),10)+6,FLOOR(ROUND(I156/(1-Z156)/(1-Settings!$B$17)/(1-AN156),0),10)+9))),"")</f>
        <v/>
      </c>
      <c r="S156" s="92" t="n"/>
      <c r="T156" s="91">
        <f>IF(S156&lt;&gt;"", IF(MOD(S156,10)=0,S156-1,IF(MOD(S156,10)&lt;=5,FLOOR(S156,10)+6,FLOOR(S156,10)+9)), R156)</f>
        <v/>
      </c>
      <c r="U156" s="87" t="inlineStr">
        <is>
          <t>Основний</t>
        </is>
      </c>
      <c r="V156" s="88" t="n"/>
      <c r="W156" s="88" t="n"/>
      <c r="X156" s="89">
        <f>IFERROR(IF(OR(V156="",W156="",T156=""),"", IF(T156&gt;W156,"Дорогий",IF(T156&lt;V156,"Дешевий","У ринку"))),"")</f>
        <v/>
      </c>
      <c r="Y156" s="90" t="n"/>
      <c r="Z156" s="104">
        <f>CHOOSE(MATCH(IF($U156="","Основний",$U156),{"Трафіковий","Основний","Маржинальний","Сезонний","Стратегічний"},0),0.16,0.19,0.24,0.23,0.28)</f>
        <v/>
      </c>
      <c r="AA156" s="104">
        <f>CHOOSE(MATCH(IF($U156="","Основний",$U156),{"Трафіковий","Основний","Маржинальний","Сезонний","Стратегічний"},0),0.18,0.21,0.26,0.25,0.3)</f>
        <v/>
      </c>
      <c r="AB156" s="104">
        <f>CHOOSE(MATCH(IF($U156="","Основний",$U156),{"Трафіковий","Основний","Маржинальний","Сезонний","Стратегічний"},0),0.19,0.22,0.28,0.26,0.32)</f>
        <v/>
      </c>
      <c r="AC156" s="104">
        <f>CHOOSE(MATCH(IF($U156="","Основний",$U156),{"Трафіковий","Основний","Маржинальний","Сезонний","Стратегічний"},0),0.17,0.2,0.25,0.24,0.28)</f>
        <v/>
      </c>
      <c r="AD156" s="104">
        <f>CHOOSE(MATCH(IF($U156="","Основний",$U156),{"Трафіковий","Основний","Маржинальний","Сезонний","Стратегічний"},0),0.18,0.21,0.26,0.25,0.3)</f>
        <v/>
      </c>
      <c r="AE156" s="104">
        <f>CHOOSE(MATCH(IF($U156="","Основний",$U156),{"Трафіковий","Основний","Маржинальний","Сезонний","Стратегічний"},0),0.18,0.2,0.28,0.27,0.32)</f>
        <v/>
      </c>
      <c r="AF156" s="104">
        <f>CHOOSE(MATCH(IF($U156="","Основний",$U156),{"Трафіковий","Основний","Маржинальний","Сезонний","Стратегічний"},0),0.15,0.175,0.22,0.21,0.25)</f>
        <v/>
      </c>
      <c r="AG156" s="104">
        <f>CHOOSE(MATCH(IF($U156="","Основний",$U156),{"Трафіковий","Основний","Маржинальний","Сезонний","Стратегічний"},0),0.13,0.16,0.21,0.2,0.25)</f>
        <v/>
      </c>
      <c r="AH156" s="104">
        <f>CHOOSE(MATCH(IF($U156="","Основний",$U156),{"Трафіковий","Основний","Маржинальний","Сезонний","Стратегічний"},0),0.15,0.18,0.23,0.22,0.27)</f>
        <v/>
      </c>
      <c r="AI156" s="104">
        <f>CHOOSE(MATCH(IF($U156="","Основний",$U156),{"Трафіковий","Основний","Маржинальний","Сезонний","Стратегічний"},0),0.16,0.19,0.25,0.23,0.29)</f>
        <v/>
      </c>
      <c r="AJ156" s="104">
        <f>CHOOSE(MATCH(IF($U156="","Основний",$U156),{"Трафіковий","Основний","Маржинальний","Сезонний","Стратегічний"},0),0.14,0.17,0.22,0.21,0.25)</f>
        <v/>
      </c>
      <c r="AK156" s="104">
        <f>CHOOSE(MATCH(IF($U156="","Основний",$U156),{"Трафіковий","Основний","Маржинальний","Сезонний","Стратегічний"},0),0.15,0.18,0.23,0.22,0.27)</f>
        <v/>
      </c>
      <c r="AL156" s="104">
        <f>CHOOSE(MATCH(IF($U156="","Основний",$U156),{"Трафіковий","Основний","Маржинальний","Сезонний","Стратегічний"},0),0.15,0.17,0.25,0.24,0.29)</f>
        <v/>
      </c>
      <c r="AM156" s="104">
        <f>CHOOSE(MATCH(IF($U156="","Основний",$U156),{"Трафіковий","Основний","Маржинальний","Сезонний","Стратегічний"},0),0.12,0.145,0.19,0.18,0.22)</f>
        <v/>
      </c>
      <c r="AN156" s="157">
        <f>CHOOSE(MATCH(IF($U156="","Основний",$U156),{"Трафіковий","Основний","Маржинальний","Сезонний","Стратегічний"},0),Settings!$B$78,Settings!$B$80,Settings!$B$82,Settings!$B$84,Settings!$B$86)</f>
        <v/>
      </c>
      <c r="AO156" s="157">
        <f>CHOOSE(MATCH(IF($U156="","Основний",$U156),{"Трафіковий","Основний","Маржинальний","Сезонний","Стратегічний"},0),Settings!$C$78,Settings!$C$80,Settings!$C$82,Settings!$C$84,Settings!$C$86)</f>
        <v/>
      </c>
      <c r="AP156" s="157">
        <f>CHOOSE(MATCH(IF($U156="","Основний",$U156),{"Трафіковий","Основний","Маржинальний","Сезонний","Стратегічний"},0),Settings!$D$78,Settings!$D$80,Settings!$D$82,Settings!$D$84,Settings!$D$86)</f>
        <v/>
      </c>
      <c r="AQ156" s="157">
        <f>CHOOSE(MATCH(IF($U156="","Основний",$U156),{"Трафіковий","Основний","Маржинальний","Сезонний","Стратегічний"},0),Settings!$F$78,Settings!$F$80,Settings!$F$82,Settings!$F$84,Settings!$F$86)</f>
        <v/>
      </c>
      <c r="AR156" s="157">
        <f>CHOOSE(MATCH(IF($U156="","Основний",$U156),{"Трафіковий","Основний","Маржинальний","Сезонний","Стратегічний"},0),Settings!$G$78,Settings!$G$80,Settings!$G$82,Settings!$G$84,Settings!$G$86)</f>
        <v/>
      </c>
      <c r="AS156" s="157">
        <f>CHOOSE(MATCH(IF($U156="","Основний",$U156),{"Трафіковий","Основний","Маржинальний","Сезонний","Стратегічний"},0),Settings!$H$78,Settings!$H$80,Settings!$H$82,Settings!$H$84,Settings!$H$86)</f>
        <v/>
      </c>
      <c r="AT156" s="157">
        <f>CHOOSE(MATCH(IF($U156="","Основний",$U156),{"Трафіковий","Основний","Маржинальний","Сезонний","Стратегічний"},0),Settings!$I$78,Settings!$I$80,Settings!$I$82,Settings!$I$84,Settings!$I$86)</f>
        <v/>
      </c>
      <c r="AU156" s="171" t="n"/>
      <c r="AV156" t="n">
        <v>1.35</v>
      </c>
    </row>
    <row r="157">
      <c r="A157" s="33" t="inlineStr">
        <is>
          <t>NEW</t>
        </is>
      </c>
      <c r="B157" s="34" t="inlineStr">
        <is>
          <t>ZS2167</t>
        </is>
      </c>
      <c r="C157" s="34" t="inlineStr">
        <is>
          <t>LED MIRROR LIGHT GLASO 50CM 10W 1000LM IP44 NW S</t>
        </is>
      </c>
      <c r="D157" s="34" t="inlineStr">
        <is>
          <t>Світильники для дзеркал</t>
        </is>
      </c>
      <c r="E157" s="33" t="inlineStr">
        <is>
          <t>PC</t>
        </is>
      </c>
      <c r="F157" s="94" t="n">
        <v>8.222</v>
      </c>
      <c r="G157" s="35" t="n">
        <v>9405423990</v>
      </c>
      <c r="H157" s="31" t="n">
        <v>1.35</v>
      </c>
      <c r="I157" s="84">
        <f>IFERROR(F157*Settings!$B$2*H157*IF(AND(ISNUMBER(E157),E157&gt;1),E157,1),"")</f>
        <v/>
      </c>
      <c r="J157" s="32">
        <f>Settings!$B$66</f>
        <v/>
      </c>
      <c r="K157" s="95">
        <f>IFERROR(IF(T157="","",(T157*(1-AN157)*(1-Settings!$B$17)-I157)/(T157*(1-AN157)*(1-Settings!$B$17))),"")</f>
        <v/>
      </c>
      <c r="L157" s="101">
        <f>IFERROR(IF(T157="","",(T157*(1-AO157)*(1-Settings!$C$17)-I157)/(T157*(1-AO157)*(1-Settings!$C$17))),"")</f>
        <v/>
      </c>
      <c r="M157" s="101">
        <f>IFERROR(IF(T157="","",(T157*(1-AP157)*(1-Settings!$D$17)-I157)/(T157*(1-AP157)*(1-Settings!$D$17))),"")</f>
        <v/>
      </c>
      <c r="N157" s="101">
        <f>IFERROR(IF(T157="","",(T157*(1-AQ157)*(1-Settings!$F$17)-I157)/(T157*(1-AQ157)*(1-Settings!$F$17))),"")</f>
        <v/>
      </c>
      <c r="O157" s="101">
        <f>IFERROR(IF(T157="","",(T157*(1-AR157)*(1-Settings!$G$17)-I157)/(T157*(1-AR157)*(1-Settings!$G$17))),"")</f>
        <v/>
      </c>
      <c r="P157" s="101">
        <f>IFERROR(IF(T157="","",(T157*(1-AS157)*(1-Settings!$H$17)-I157)/(T157*(1-AS157)*(1-Settings!$H$17))),"")</f>
        <v/>
      </c>
      <c r="Q157" s="101">
        <f>IFERROR(IF(T157="","",(T157*(1-AT157)*(1-Settings!$I$68)*(1-Settings!$I$17)-I157)/(T157*(1-AT157)*(1-Settings!$I$68)*(1-Settings!$I$17))),"")</f>
        <v/>
      </c>
      <c r="R157" s="91">
        <f>IFERROR(IF(OR(I157="",Z157&gt;=1,Settings!$B$17&gt;=1,AN157&gt;=1),"",IF(MOD(ROUND(I157/(1-Z157)/(1-Settings!$B$17)/(1-AN157),0),10)=0,ROUND(I157/(1-Z157)/(1-Settings!$B$17)/(1-AN157),0)-1,IF(MOD(ROUND(I157/(1-Z157)/(1-Settings!$B$17)/(1-AN157),0),10)&lt;=5,FLOOR(ROUND(I157/(1-Z157)/(1-Settings!$B$17)/(1-AN157),0),10)+6,FLOOR(ROUND(I157/(1-Z157)/(1-Settings!$B$17)/(1-AN157),0),10)+9))),"")</f>
        <v/>
      </c>
      <c r="S157" s="92" t="n"/>
      <c r="T157" s="91">
        <f>IF(S157&lt;&gt;"", IF(MOD(S157,10)=0,S157-1,IF(MOD(S157,10)&lt;=5,FLOOR(S157,10)+6,FLOOR(S157,10)+9)), R157)</f>
        <v/>
      </c>
      <c r="U157" s="87" t="inlineStr">
        <is>
          <t>Основний</t>
        </is>
      </c>
      <c r="V157" s="88" t="n"/>
      <c r="W157" s="88" t="n"/>
      <c r="X157" s="89">
        <f>IFERROR(IF(OR(V157="",W157="",T157=""),"", IF(T157&gt;W157,"Дорогий",IF(T157&lt;V157,"Дешевий","У ринку"))),"")</f>
        <v/>
      </c>
      <c r="Y157" s="90" t="n"/>
      <c r="Z157" s="104">
        <f>CHOOSE(MATCH(IF($U157="","Основний",$U157),{"Трафіковий","Основний","Маржинальний","Сезонний","Стратегічний"},0),0.16,0.19,0.24,0.23,0.28)</f>
        <v/>
      </c>
      <c r="AA157" s="104">
        <f>CHOOSE(MATCH(IF($U157="","Основний",$U157),{"Трафіковий","Основний","Маржинальний","Сезонний","Стратегічний"},0),0.18,0.21,0.26,0.25,0.3)</f>
        <v/>
      </c>
      <c r="AB157" s="104">
        <f>CHOOSE(MATCH(IF($U157="","Основний",$U157),{"Трафіковий","Основний","Маржинальний","Сезонний","Стратегічний"},0),0.19,0.22,0.28,0.26,0.32)</f>
        <v/>
      </c>
      <c r="AC157" s="104">
        <f>CHOOSE(MATCH(IF($U157="","Основний",$U157),{"Трафіковий","Основний","Маржинальний","Сезонний","Стратегічний"},0),0.17,0.2,0.25,0.24,0.28)</f>
        <v/>
      </c>
      <c r="AD157" s="104">
        <f>CHOOSE(MATCH(IF($U157="","Основний",$U157),{"Трафіковий","Основний","Маржинальний","Сезонний","Стратегічний"},0),0.18,0.21,0.26,0.25,0.3)</f>
        <v/>
      </c>
      <c r="AE157" s="104">
        <f>CHOOSE(MATCH(IF($U157="","Основний",$U157),{"Трафіковий","Основний","Маржинальний","Сезонний","Стратегічний"},0),0.18,0.2,0.28,0.27,0.32)</f>
        <v/>
      </c>
      <c r="AF157" s="104">
        <f>CHOOSE(MATCH(IF($U157="","Основний",$U157),{"Трафіковий","Основний","Маржинальний","Сезонний","Стратегічний"},0),0.15,0.175,0.22,0.21,0.25)</f>
        <v/>
      </c>
      <c r="AG157" s="104">
        <f>CHOOSE(MATCH(IF($U157="","Основний",$U157),{"Трафіковий","Основний","Маржинальний","Сезонний","Стратегічний"},0),0.13,0.16,0.21,0.2,0.25)</f>
        <v/>
      </c>
      <c r="AH157" s="104">
        <f>CHOOSE(MATCH(IF($U157="","Основний",$U157),{"Трафіковий","Основний","Маржинальний","Сезонний","Стратегічний"},0),0.15,0.18,0.23,0.22,0.27)</f>
        <v/>
      </c>
      <c r="AI157" s="104">
        <f>CHOOSE(MATCH(IF($U157="","Основний",$U157),{"Трафіковий","Основний","Маржинальний","Сезонний","Стратегічний"},0),0.16,0.19,0.25,0.23,0.29)</f>
        <v/>
      </c>
      <c r="AJ157" s="104">
        <f>CHOOSE(MATCH(IF($U157="","Основний",$U157),{"Трафіковий","Основний","Маржинальний","Сезонний","Стратегічний"},0),0.14,0.17,0.22,0.21,0.25)</f>
        <v/>
      </c>
      <c r="AK157" s="104">
        <f>CHOOSE(MATCH(IF($U157="","Основний",$U157),{"Трафіковий","Основний","Маржинальний","Сезонний","Стратегічний"},0),0.15,0.18,0.23,0.22,0.27)</f>
        <v/>
      </c>
      <c r="AL157" s="104">
        <f>CHOOSE(MATCH(IF($U157="","Основний",$U157),{"Трафіковий","Основний","Маржинальний","Сезонний","Стратегічний"},0),0.15,0.17,0.25,0.24,0.29)</f>
        <v/>
      </c>
      <c r="AM157" s="104">
        <f>CHOOSE(MATCH(IF($U157="","Основний",$U157),{"Трафіковий","Основний","Маржинальний","Сезонний","Стратегічний"},0),0.12,0.145,0.19,0.18,0.22)</f>
        <v/>
      </c>
      <c r="AN157" s="157">
        <f>CHOOSE(MATCH(IF($U157="","Основний",$U157),{"Трафіковий","Основний","Маржинальний","Сезонний","Стратегічний"},0),Settings!$B$78,Settings!$B$80,Settings!$B$82,Settings!$B$84,Settings!$B$86)</f>
        <v/>
      </c>
      <c r="AO157" s="157">
        <f>CHOOSE(MATCH(IF($U157="","Основний",$U157),{"Трафіковий","Основний","Маржинальний","Сезонний","Стратегічний"},0),Settings!$C$78,Settings!$C$80,Settings!$C$82,Settings!$C$84,Settings!$C$86)</f>
        <v/>
      </c>
      <c r="AP157" s="157">
        <f>CHOOSE(MATCH(IF($U157="","Основний",$U157),{"Трафіковий","Основний","Маржинальний","Сезонний","Стратегічний"},0),Settings!$D$78,Settings!$D$80,Settings!$D$82,Settings!$D$84,Settings!$D$86)</f>
        <v/>
      </c>
      <c r="AQ157" s="157">
        <f>CHOOSE(MATCH(IF($U157="","Основний",$U157),{"Трафіковий","Основний","Маржинальний","Сезонний","Стратегічний"},0),Settings!$F$78,Settings!$F$80,Settings!$F$82,Settings!$F$84,Settings!$F$86)</f>
        <v/>
      </c>
      <c r="AR157" s="157">
        <f>CHOOSE(MATCH(IF($U157="","Основний",$U157),{"Трафіковий","Основний","Маржинальний","Сезонний","Стратегічний"},0),Settings!$G$78,Settings!$G$80,Settings!$G$82,Settings!$G$84,Settings!$G$86)</f>
        <v/>
      </c>
      <c r="AS157" s="157">
        <f>CHOOSE(MATCH(IF($U157="","Основний",$U157),{"Трафіковий","Основний","Маржинальний","Сезонний","Стратегічний"},0),Settings!$H$78,Settings!$H$80,Settings!$H$82,Settings!$H$84,Settings!$H$86)</f>
        <v/>
      </c>
      <c r="AT157" s="157">
        <f>CHOOSE(MATCH(IF($U157="","Основний",$U157),{"Трафіковий","Основний","Маржинальний","Сезонний","Стратегічний"},0),Settings!$I$78,Settings!$I$80,Settings!$I$82,Settings!$I$84,Settings!$I$86)</f>
        <v/>
      </c>
      <c r="AU157" s="171" t="n"/>
      <c r="AV157" t="n">
        <v>1.35</v>
      </c>
    </row>
    <row r="158">
      <c r="A158" s="28" t="inlineStr">
        <is>
          <t>SELL OUT</t>
        </is>
      </c>
      <c r="B158" s="29" t="inlineStr">
        <is>
          <t>DCPW01</t>
        </is>
      </c>
      <c r="C158" s="29" t="inlineStr">
        <is>
          <t>50LED 10×PARTY BULB WW IP44 MI</t>
        </is>
      </c>
      <c r="D158" s="29" t="inlineStr">
        <is>
          <t>Гирлянди вуличні</t>
        </is>
      </c>
      <c r="E158" s="28" t="inlineStr">
        <is>
          <t>PC</t>
        </is>
      </c>
      <c r="F158" s="93" t="n">
        <v>11.625</v>
      </c>
      <c r="G158" s="30" t="n">
        <v>9405423100</v>
      </c>
      <c r="H158" s="31" t="n">
        <v>1.4</v>
      </c>
      <c r="I158" s="84">
        <f>IFERROR(F158*Settings!$B$2*H158*IF(AND(ISNUMBER(E158),E158&gt;1),E158,1),"")</f>
        <v/>
      </c>
      <c r="J158" s="32">
        <f>Settings!$B$66</f>
        <v/>
      </c>
      <c r="K158" s="95">
        <f>IFERROR(IF(T158="","",(T158*(1-AN158)*(1-Settings!$B$17)-I158)/(T158*(1-AN158)*(1-Settings!$B$17))),"")</f>
        <v/>
      </c>
      <c r="L158" s="101">
        <f>IFERROR(IF(T158="","",(T158*(1-AO158)*(1-Settings!$C$17)-I158)/(T158*(1-AO158)*(1-Settings!$C$17))),"")</f>
        <v/>
      </c>
      <c r="M158" s="101">
        <f>IFERROR(IF(T158="","",(T158*(1-AP158)*(1-Settings!$D$17)-I158)/(T158*(1-AP158)*(1-Settings!$D$17))),"")</f>
        <v/>
      </c>
      <c r="N158" s="101">
        <f>IFERROR(IF(T158="","",(T158*(1-AQ158)*(1-Settings!$F$17)-I158)/(T158*(1-AQ158)*(1-Settings!$F$17))),"")</f>
        <v/>
      </c>
      <c r="O158" s="101">
        <f>IFERROR(IF(T158="","",(T158*(1-AR158)*(1-Settings!$G$17)-I158)/(T158*(1-AR158)*(1-Settings!$G$17))),"")</f>
        <v/>
      </c>
      <c r="P158" s="101">
        <f>IFERROR(IF(T158="","",(T158*(1-AS158)*(1-Settings!$H$17)-I158)/(T158*(1-AS158)*(1-Settings!$H$17))),"")</f>
        <v/>
      </c>
      <c r="Q158" s="101">
        <f>IFERROR(IF(T158="","",(T158*(1-AT158)*(1-Settings!$I$68)*(1-Settings!$I$17)-I158)/(T158*(1-AT158)*(1-Settings!$I$68)*(1-Settings!$I$17))),"")</f>
        <v/>
      </c>
      <c r="R158" s="91">
        <f>IFERROR(IF(OR(I158="",Z158&gt;=1,Settings!$B$17&gt;=1,AN158&gt;=1),"",IF(MOD(ROUND(I158/(1-Z158)/(1-Settings!$B$17)/(1-AN158),0),10)=0,ROUND(I158/(1-Z158)/(1-Settings!$B$17)/(1-AN158),0)-1,IF(MOD(ROUND(I158/(1-Z158)/(1-Settings!$B$17)/(1-AN158),0),10)&lt;=5,FLOOR(ROUND(I158/(1-Z158)/(1-Settings!$B$17)/(1-AN158),0),10)+6,FLOOR(ROUND(I158/(1-Z158)/(1-Settings!$B$17)/(1-AN158),0),10)+9))),"")</f>
        <v/>
      </c>
      <c r="S158" s="92" t="n">
        <v>1500</v>
      </c>
      <c r="T158" s="91">
        <f>IF(S158&lt;&gt;"", IF(MOD(S158,10)=0,S158-1,IF(MOD(S158,10)&lt;=5,FLOOR(S158,10)+6,FLOOR(S158,10)+9)), R158)</f>
        <v/>
      </c>
      <c r="U158" s="87" t="inlineStr">
        <is>
          <t>Основний</t>
        </is>
      </c>
      <c r="V158" s="88" t="n"/>
      <c r="W158" s="88" t="n"/>
      <c r="X158" s="89">
        <f>IFERROR(IF(OR(V158="",W158="",T158=""),"", IF(T158&gt;W158,"Дорогий",IF(T158&lt;V158,"Дешевий","У ринку"))),"")</f>
        <v/>
      </c>
      <c r="Y158" s="90" t="n"/>
      <c r="Z158" s="104">
        <f>CHOOSE(MATCH(IF($U158="","Основний",$U158),{"Трафіковий","Основний","Маржинальний","Сезонний","Стратегічний"},0),0.16,0.19,0.24,0.23,0.28)</f>
        <v/>
      </c>
      <c r="AA158" s="104">
        <f>CHOOSE(MATCH(IF($U158="","Основний",$U158),{"Трафіковий","Основний","Маржинальний","Сезонний","Стратегічний"},0),0.18,0.21,0.26,0.25,0.3)</f>
        <v/>
      </c>
      <c r="AB158" s="104">
        <f>CHOOSE(MATCH(IF($U158="","Основний",$U158),{"Трафіковий","Основний","Маржинальний","Сезонний","Стратегічний"},0),0.19,0.22,0.28,0.26,0.32)</f>
        <v/>
      </c>
      <c r="AC158" s="104">
        <f>CHOOSE(MATCH(IF($U158="","Основний",$U158),{"Трафіковий","Основний","Маржинальний","Сезонний","Стратегічний"},0),0.17,0.2,0.25,0.24,0.28)</f>
        <v/>
      </c>
      <c r="AD158" s="104">
        <f>CHOOSE(MATCH(IF($U158="","Основний",$U158),{"Трафіковий","Основний","Маржинальний","Сезонний","Стратегічний"},0),0.18,0.21,0.26,0.25,0.3)</f>
        <v/>
      </c>
      <c r="AE158" s="104">
        <f>CHOOSE(MATCH(IF($U158="","Основний",$U158),{"Трафіковий","Основний","Маржинальний","Сезонний","Стратегічний"},0),0.18,0.2,0.28,0.27,0.32)</f>
        <v/>
      </c>
      <c r="AF158" s="104">
        <f>CHOOSE(MATCH(IF($U158="","Основний",$U158),{"Трафіковий","Основний","Маржинальний","Сезонний","Стратегічний"},0),0.15,0.175,0.22,0.21,0.25)</f>
        <v/>
      </c>
      <c r="AG158" s="104">
        <f>CHOOSE(MATCH(IF($U158="","Основний",$U158),{"Трафіковий","Основний","Маржинальний","Сезонний","Стратегічний"},0),0.13,0.16,0.21,0.2,0.25)</f>
        <v/>
      </c>
      <c r="AH158" s="104">
        <f>CHOOSE(MATCH(IF($U158="","Основний",$U158),{"Трафіковий","Основний","Маржинальний","Сезонний","Стратегічний"},0),0.15,0.18,0.23,0.22,0.27)</f>
        <v/>
      </c>
      <c r="AI158" s="104">
        <f>CHOOSE(MATCH(IF($U158="","Основний",$U158),{"Трафіковий","Основний","Маржинальний","Сезонний","Стратегічний"},0),0.16,0.19,0.25,0.23,0.29)</f>
        <v/>
      </c>
      <c r="AJ158" s="104">
        <f>CHOOSE(MATCH(IF($U158="","Основний",$U158),{"Трафіковий","Основний","Маржинальний","Сезонний","Стратегічний"},0),0.14,0.17,0.22,0.21,0.25)</f>
        <v/>
      </c>
      <c r="AK158" s="104">
        <f>CHOOSE(MATCH(IF($U158="","Основний",$U158),{"Трафіковий","Основний","Маржинальний","Сезонний","Стратегічний"},0),0.15,0.18,0.23,0.22,0.27)</f>
        <v/>
      </c>
      <c r="AL158" s="104">
        <f>CHOOSE(MATCH(IF($U158="","Основний",$U158),{"Трафіковий","Основний","Маржинальний","Сезонний","Стратегічний"},0),0.15,0.17,0.25,0.24,0.29)</f>
        <v/>
      </c>
      <c r="AM158" s="104">
        <f>CHOOSE(MATCH(IF($U158="","Основний",$U158),{"Трафіковий","Основний","Маржинальний","Сезонний","Стратегічний"},0),0.12,0.145,0.19,0.18,0.22)</f>
        <v/>
      </c>
      <c r="AN158" s="157">
        <f>CHOOSE(MATCH(IF($U158="","Основний",$U158),{"Трафіковий","Основний","Маржинальний","Сезонний","Стратегічний"},0),Settings!$B$78,Settings!$B$80,Settings!$B$82,Settings!$B$84,Settings!$B$86)</f>
        <v/>
      </c>
      <c r="AO158" s="157">
        <f>CHOOSE(MATCH(IF($U158="","Основний",$U158),{"Трафіковий","Основний","Маржинальний","Сезонний","Стратегічний"},0),Settings!$C$78,Settings!$C$80,Settings!$C$82,Settings!$C$84,Settings!$C$86)</f>
        <v/>
      </c>
      <c r="AP158" s="157">
        <f>CHOOSE(MATCH(IF($U158="","Основний",$U158),{"Трафіковий","Основний","Маржинальний","Сезонний","Стратегічний"},0),Settings!$D$78,Settings!$D$80,Settings!$D$82,Settings!$D$84,Settings!$D$86)</f>
        <v/>
      </c>
      <c r="AQ158" s="157">
        <f>CHOOSE(MATCH(IF($U158="","Основний",$U158),{"Трафіковий","Основний","Маржинальний","Сезонний","Стратегічний"},0),Settings!$F$78,Settings!$F$80,Settings!$F$82,Settings!$F$84,Settings!$F$86)</f>
        <v/>
      </c>
      <c r="AR158" s="157">
        <f>CHOOSE(MATCH(IF($U158="","Основний",$U158),{"Трафіковий","Основний","Маржинальний","Сезонний","Стратегічний"},0),Settings!$G$78,Settings!$G$80,Settings!$G$82,Settings!$G$84,Settings!$G$86)</f>
        <v/>
      </c>
      <c r="AS158" s="157">
        <f>CHOOSE(MATCH(IF($U158="","Основний",$U158),{"Трафіковий","Основний","Маржинальний","Сезонний","Стратегічний"},0),Settings!$H$78,Settings!$H$80,Settings!$H$82,Settings!$H$84,Settings!$H$86)</f>
        <v/>
      </c>
      <c r="AT158" s="157">
        <f>CHOOSE(MATCH(IF($U158="","Основний",$U158),{"Трафіковий","Основний","Маржинальний","Сезонний","Стратегічний"},0),Settings!$I$78,Settings!$I$80,Settings!$I$82,Settings!$I$84,Settings!$I$86)</f>
        <v/>
      </c>
      <c r="AU158" s="171" t="n"/>
      <c r="AV158" t="n">
        <v>1.39</v>
      </c>
    </row>
    <row r="159">
      <c r="A159" s="33" t="inlineStr">
        <is>
          <t>SELL OUT</t>
        </is>
      </c>
      <c r="B159" s="34" t="inlineStr">
        <is>
          <t>DCPW02</t>
        </is>
      </c>
      <c r="C159" s="34" t="inlineStr">
        <is>
          <t>50LED 10PARTY BULB WW IP44 CL</t>
        </is>
      </c>
      <c r="D159" s="34" t="inlineStr">
        <is>
          <t>Гирлянди вуличні</t>
        </is>
      </c>
      <c r="E159" s="33" t="inlineStr">
        <is>
          <t>PC</t>
        </is>
      </c>
      <c r="F159" s="94" t="n">
        <v>11.625</v>
      </c>
      <c r="G159" s="35" t="n">
        <v>9405423100</v>
      </c>
      <c r="H159" s="31" t="n">
        <v>1.4</v>
      </c>
      <c r="I159" s="84">
        <f>IFERROR(F159*Settings!$B$2*H159*IF(AND(ISNUMBER(E159),E159&gt;1),E159,1),"")</f>
        <v/>
      </c>
      <c r="J159" s="32">
        <f>Settings!$B$66</f>
        <v/>
      </c>
      <c r="K159" s="95">
        <f>IFERROR(IF(T159="","",(T159*(1-AN159)*(1-Settings!$B$17)-I159)/(T159*(1-AN159)*(1-Settings!$B$17))),"")</f>
        <v/>
      </c>
      <c r="L159" s="101">
        <f>IFERROR(IF(T159="","",(T159*(1-AO159)*(1-Settings!$C$17)-I159)/(T159*(1-AO159)*(1-Settings!$C$17))),"")</f>
        <v/>
      </c>
      <c r="M159" s="101">
        <f>IFERROR(IF(T159="","",(T159*(1-AP159)*(1-Settings!$D$17)-I159)/(T159*(1-AP159)*(1-Settings!$D$17))),"")</f>
        <v/>
      </c>
      <c r="N159" s="101">
        <f>IFERROR(IF(T159="","",(T159*(1-AQ159)*(1-Settings!$F$17)-I159)/(T159*(1-AQ159)*(1-Settings!$F$17))),"")</f>
        <v/>
      </c>
      <c r="O159" s="101">
        <f>IFERROR(IF(T159="","",(T159*(1-AR159)*(1-Settings!$G$17)-I159)/(T159*(1-AR159)*(1-Settings!$G$17))),"")</f>
        <v/>
      </c>
      <c r="P159" s="101">
        <f>IFERROR(IF(T159="","",(T159*(1-AS159)*(1-Settings!$H$17)-I159)/(T159*(1-AS159)*(1-Settings!$H$17))),"")</f>
        <v/>
      </c>
      <c r="Q159" s="101">
        <f>IFERROR(IF(T159="","",(T159*(1-AT159)*(1-Settings!$I$68)*(1-Settings!$I$17)-I159)/(T159*(1-AT159)*(1-Settings!$I$68)*(1-Settings!$I$17))),"")</f>
        <v/>
      </c>
      <c r="R159" s="91">
        <f>IFERROR(IF(OR(I159="",Z159&gt;=1,Settings!$B$17&gt;=1,AN159&gt;=1),"",IF(MOD(ROUND(I159/(1-Z159)/(1-Settings!$B$17)/(1-AN159),0),10)=0,ROUND(I159/(1-Z159)/(1-Settings!$B$17)/(1-AN159),0)-1,IF(MOD(ROUND(I159/(1-Z159)/(1-Settings!$B$17)/(1-AN159),0),10)&lt;=5,FLOOR(ROUND(I159/(1-Z159)/(1-Settings!$B$17)/(1-AN159),0),10)+6,FLOOR(ROUND(I159/(1-Z159)/(1-Settings!$B$17)/(1-AN159),0),10)+9))),"")</f>
        <v/>
      </c>
      <c r="S159" s="92" t="n">
        <v>1500</v>
      </c>
      <c r="T159" s="91">
        <f>IF(S159&lt;&gt;"", IF(MOD(S159,10)=0,S159-1,IF(MOD(S159,10)&lt;=5,FLOOR(S159,10)+6,FLOOR(S159,10)+9)), R159)</f>
        <v/>
      </c>
      <c r="U159" s="87" t="inlineStr">
        <is>
          <t>Основний</t>
        </is>
      </c>
      <c r="V159" s="88" t="n"/>
      <c r="W159" s="88" t="n"/>
      <c r="X159" s="89">
        <f>IFERROR(IF(OR(V159="",W159="",T159=""),"", IF(T159&gt;W159,"Дорогий",IF(T159&lt;V159,"Дешевий","У ринку"))),"")</f>
        <v/>
      </c>
      <c r="Y159" s="90" t="n"/>
      <c r="Z159" s="104">
        <f>CHOOSE(MATCH(IF($U159="","Основний",$U159),{"Трафіковий","Основний","Маржинальний","Сезонний","Стратегічний"},0),0.16,0.19,0.24,0.23,0.28)</f>
        <v/>
      </c>
      <c r="AA159" s="104">
        <f>CHOOSE(MATCH(IF($U159="","Основний",$U159),{"Трафіковий","Основний","Маржинальний","Сезонний","Стратегічний"},0),0.18,0.21,0.26,0.25,0.3)</f>
        <v/>
      </c>
      <c r="AB159" s="104">
        <f>CHOOSE(MATCH(IF($U159="","Основний",$U159),{"Трафіковий","Основний","Маржинальний","Сезонний","Стратегічний"},0),0.19,0.22,0.28,0.26,0.32)</f>
        <v/>
      </c>
      <c r="AC159" s="104">
        <f>CHOOSE(MATCH(IF($U159="","Основний",$U159),{"Трафіковий","Основний","Маржинальний","Сезонний","Стратегічний"},0),0.17,0.2,0.25,0.24,0.28)</f>
        <v/>
      </c>
      <c r="AD159" s="104">
        <f>CHOOSE(MATCH(IF($U159="","Основний",$U159),{"Трафіковий","Основний","Маржинальний","Сезонний","Стратегічний"},0),0.18,0.21,0.26,0.25,0.3)</f>
        <v/>
      </c>
      <c r="AE159" s="104">
        <f>CHOOSE(MATCH(IF($U159="","Основний",$U159),{"Трафіковий","Основний","Маржинальний","Сезонний","Стратегічний"},0),0.18,0.2,0.28,0.27,0.32)</f>
        <v/>
      </c>
      <c r="AF159" s="104">
        <f>CHOOSE(MATCH(IF($U159="","Основний",$U159),{"Трафіковий","Основний","Маржинальний","Сезонний","Стратегічний"},0),0.15,0.175,0.22,0.21,0.25)</f>
        <v/>
      </c>
      <c r="AG159" s="104">
        <f>CHOOSE(MATCH(IF($U159="","Основний",$U159),{"Трафіковий","Основний","Маржинальний","Сезонний","Стратегічний"},0),0.13,0.16,0.21,0.2,0.25)</f>
        <v/>
      </c>
      <c r="AH159" s="104">
        <f>CHOOSE(MATCH(IF($U159="","Основний",$U159),{"Трафіковий","Основний","Маржинальний","Сезонний","Стратегічний"},0),0.15,0.18,0.23,0.22,0.27)</f>
        <v/>
      </c>
      <c r="AI159" s="104">
        <f>CHOOSE(MATCH(IF($U159="","Основний",$U159),{"Трафіковий","Основний","Маржинальний","Сезонний","Стратегічний"},0),0.16,0.19,0.25,0.23,0.29)</f>
        <v/>
      </c>
      <c r="AJ159" s="104">
        <f>CHOOSE(MATCH(IF($U159="","Основний",$U159),{"Трафіковий","Основний","Маржинальний","Сезонний","Стратегічний"},0),0.14,0.17,0.22,0.21,0.25)</f>
        <v/>
      </c>
      <c r="AK159" s="104">
        <f>CHOOSE(MATCH(IF($U159="","Основний",$U159),{"Трафіковий","Основний","Маржинальний","Сезонний","Стратегічний"},0),0.15,0.18,0.23,0.22,0.27)</f>
        <v/>
      </c>
      <c r="AL159" s="104">
        <f>CHOOSE(MATCH(IF($U159="","Основний",$U159),{"Трафіковий","Основний","Маржинальний","Сезонний","Стратегічний"},0),0.15,0.17,0.25,0.24,0.29)</f>
        <v/>
      </c>
      <c r="AM159" s="104">
        <f>CHOOSE(MATCH(IF($U159="","Основний",$U159),{"Трафіковий","Основний","Маржинальний","Сезонний","Стратегічний"},0),0.12,0.145,0.19,0.18,0.22)</f>
        <v/>
      </c>
      <c r="AN159" s="157">
        <f>CHOOSE(MATCH(IF($U159="","Основний",$U159),{"Трафіковий","Основний","Маржинальний","Сезонний","Стратегічний"},0),Settings!$B$78,Settings!$B$80,Settings!$B$82,Settings!$B$84,Settings!$B$86)</f>
        <v/>
      </c>
      <c r="AO159" s="157">
        <f>CHOOSE(MATCH(IF($U159="","Основний",$U159),{"Трафіковий","Основний","Маржинальний","Сезонний","Стратегічний"},0),Settings!$C$78,Settings!$C$80,Settings!$C$82,Settings!$C$84,Settings!$C$86)</f>
        <v/>
      </c>
      <c r="AP159" s="157">
        <f>CHOOSE(MATCH(IF($U159="","Основний",$U159),{"Трафіковий","Основний","Маржинальний","Сезонний","Стратегічний"},0),Settings!$D$78,Settings!$D$80,Settings!$D$82,Settings!$D$84,Settings!$D$86)</f>
        <v/>
      </c>
      <c r="AQ159" s="157">
        <f>CHOOSE(MATCH(IF($U159="","Основний",$U159),{"Трафіковий","Основний","Маржинальний","Сезонний","Стратегічний"},0),Settings!$F$78,Settings!$F$80,Settings!$F$82,Settings!$F$84,Settings!$F$86)</f>
        <v/>
      </c>
      <c r="AR159" s="157">
        <f>CHOOSE(MATCH(IF($U159="","Основний",$U159),{"Трафіковий","Основний","Маржинальний","Сезонний","Стратегічний"},0),Settings!$G$78,Settings!$G$80,Settings!$G$82,Settings!$G$84,Settings!$G$86)</f>
        <v/>
      </c>
      <c r="AS159" s="157">
        <f>CHOOSE(MATCH(IF($U159="","Основний",$U159),{"Трафіковий","Основний","Маржинальний","Сезонний","Стратегічний"},0),Settings!$H$78,Settings!$H$80,Settings!$H$82,Settings!$H$84,Settings!$H$86)</f>
        <v/>
      </c>
      <c r="AT159" s="157">
        <f>CHOOSE(MATCH(IF($U159="","Основний",$U159),{"Трафіковий","Основний","Маржинальний","Сезонний","Стратегічний"},0),Settings!$I$78,Settings!$I$80,Settings!$I$82,Settings!$I$84,Settings!$I$86)</f>
        <v/>
      </c>
      <c r="AU159" s="171" t="n"/>
      <c r="AV159" t="n">
        <v>1.39</v>
      </c>
    </row>
    <row r="160">
      <c r="A160" s="28" t="inlineStr">
        <is>
          <t>SELL OUT</t>
        </is>
      </c>
      <c r="B160" s="29" t="inlineStr">
        <is>
          <t>DCPV01</t>
        </is>
      </c>
      <c r="C160" s="29" t="inlineStr">
        <is>
          <t>10 BURN 100LED PARTY LIGHT IP44 VN</t>
        </is>
      </c>
      <c r="D160" s="29" t="inlineStr">
        <is>
          <t>Гирлянди вуличні</t>
        </is>
      </c>
      <c r="E160" s="28" t="inlineStr">
        <is>
          <t>PC</t>
        </is>
      </c>
      <c r="F160" s="93" t="n">
        <v>11.707</v>
      </c>
      <c r="G160" s="30" t="n">
        <v>9405423100</v>
      </c>
      <c r="H160" s="31" t="n">
        <v>1.4</v>
      </c>
      <c r="I160" s="84">
        <f>IFERROR(F160*Settings!$B$2*H160*IF(AND(ISNUMBER(E160),E160&gt;1),E160,1),"")</f>
        <v/>
      </c>
      <c r="J160" s="32">
        <f>Settings!$B$66</f>
        <v/>
      </c>
      <c r="K160" s="95">
        <f>IFERROR(IF(T160="","",(T160*(1-AN160)*(1-Settings!$B$17)-I160)/(T160*(1-AN160)*(1-Settings!$B$17))),"")</f>
        <v/>
      </c>
      <c r="L160" s="101">
        <f>IFERROR(IF(T160="","",(T160*(1-AO160)*(1-Settings!$C$17)-I160)/(T160*(1-AO160)*(1-Settings!$C$17))),"")</f>
        <v/>
      </c>
      <c r="M160" s="101">
        <f>IFERROR(IF(T160="","",(T160*(1-AP160)*(1-Settings!$D$17)-I160)/(T160*(1-AP160)*(1-Settings!$D$17))),"")</f>
        <v/>
      </c>
      <c r="N160" s="101">
        <f>IFERROR(IF(T160="","",(T160*(1-AQ160)*(1-Settings!$F$17)-I160)/(T160*(1-AQ160)*(1-Settings!$F$17))),"")</f>
        <v/>
      </c>
      <c r="O160" s="101">
        <f>IFERROR(IF(T160="","",(T160*(1-AR160)*(1-Settings!$G$17)-I160)/(T160*(1-AR160)*(1-Settings!$G$17))),"")</f>
        <v/>
      </c>
      <c r="P160" s="101">
        <f>IFERROR(IF(T160="","",(T160*(1-AS160)*(1-Settings!$H$17)-I160)/(T160*(1-AS160)*(1-Settings!$H$17))),"")</f>
        <v/>
      </c>
      <c r="Q160" s="101">
        <f>IFERROR(IF(T160="","",(T160*(1-AT160)*(1-Settings!$I$68)*(1-Settings!$I$17)-I160)/(T160*(1-AT160)*(1-Settings!$I$68)*(1-Settings!$I$17))),"")</f>
        <v/>
      </c>
      <c r="R160" s="91">
        <f>IFERROR(IF(OR(I160="",Z160&gt;=1,Settings!$B$17&gt;=1,AN160&gt;=1),"",IF(MOD(ROUND(I160/(1-Z160)/(1-Settings!$B$17)/(1-AN160),0),10)=0,ROUND(I160/(1-Z160)/(1-Settings!$B$17)/(1-AN160),0)-1,IF(MOD(ROUND(I160/(1-Z160)/(1-Settings!$B$17)/(1-AN160),0),10)&lt;=5,FLOOR(ROUND(I160/(1-Z160)/(1-Settings!$B$17)/(1-AN160),0),10)+6,FLOOR(ROUND(I160/(1-Z160)/(1-Settings!$B$17)/(1-AN160),0),10)+9))),"")</f>
        <v/>
      </c>
      <c r="S160" s="92" t="n">
        <v>1300</v>
      </c>
      <c r="T160" s="91">
        <f>IF(S160&lt;&gt;"", IF(MOD(S160,10)=0,S160-1,IF(MOD(S160,10)&lt;=5,FLOOR(S160,10)+6,FLOOR(S160,10)+9)), R160)</f>
        <v/>
      </c>
      <c r="U160" s="87" t="inlineStr">
        <is>
          <t>Основний</t>
        </is>
      </c>
      <c r="V160" s="88" t="n"/>
      <c r="W160" s="88" t="n"/>
      <c r="X160" s="89">
        <f>IFERROR(IF(OR(V160="",W160="",T160=""),"", IF(T160&gt;W160,"Дорогий",IF(T160&lt;V160,"Дешевий","У ринку"))),"")</f>
        <v/>
      </c>
      <c r="Y160" s="90" t="n"/>
      <c r="Z160" s="104">
        <f>CHOOSE(MATCH(IF($U160="","Основний",$U160),{"Трафіковий","Основний","Маржинальний","Сезонний","Стратегічний"},0),0.16,0.19,0.24,0.23,0.28)</f>
        <v/>
      </c>
      <c r="AA160" s="104">
        <f>CHOOSE(MATCH(IF($U160="","Основний",$U160),{"Трафіковий","Основний","Маржинальний","Сезонний","Стратегічний"},0),0.18,0.21,0.26,0.25,0.3)</f>
        <v/>
      </c>
      <c r="AB160" s="104">
        <f>CHOOSE(MATCH(IF($U160="","Основний",$U160),{"Трафіковий","Основний","Маржинальний","Сезонний","Стратегічний"},0),0.19,0.22,0.28,0.26,0.32)</f>
        <v/>
      </c>
      <c r="AC160" s="104">
        <f>CHOOSE(MATCH(IF($U160="","Основний",$U160),{"Трафіковий","Основний","Маржинальний","Сезонний","Стратегічний"},0),0.17,0.2,0.25,0.24,0.28)</f>
        <v/>
      </c>
      <c r="AD160" s="104">
        <f>CHOOSE(MATCH(IF($U160="","Основний",$U160),{"Трафіковий","Основний","Маржинальний","Сезонний","Стратегічний"},0),0.18,0.21,0.26,0.25,0.3)</f>
        <v/>
      </c>
      <c r="AE160" s="104">
        <f>CHOOSE(MATCH(IF($U160="","Основний",$U160),{"Трафіковий","Основний","Маржинальний","Сезонний","Стратегічний"},0),0.18,0.2,0.28,0.27,0.32)</f>
        <v/>
      </c>
      <c r="AF160" s="104">
        <f>CHOOSE(MATCH(IF($U160="","Основний",$U160),{"Трафіковий","Основний","Маржинальний","Сезонний","Стратегічний"},0),0.15,0.175,0.22,0.21,0.25)</f>
        <v/>
      </c>
      <c r="AG160" s="104">
        <f>CHOOSE(MATCH(IF($U160="","Основний",$U160),{"Трафіковий","Основний","Маржинальний","Сезонний","Стратегічний"},0),0.13,0.16,0.21,0.2,0.25)</f>
        <v/>
      </c>
      <c r="AH160" s="104">
        <f>CHOOSE(MATCH(IF($U160="","Основний",$U160),{"Трафіковий","Основний","Маржинальний","Сезонний","Стратегічний"},0),0.15,0.18,0.23,0.22,0.27)</f>
        <v/>
      </c>
      <c r="AI160" s="104">
        <f>CHOOSE(MATCH(IF($U160="","Основний",$U160),{"Трафіковий","Основний","Маржинальний","Сезонний","Стратегічний"},0),0.16,0.19,0.25,0.23,0.29)</f>
        <v/>
      </c>
      <c r="AJ160" s="104">
        <f>CHOOSE(MATCH(IF($U160="","Основний",$U160),{"Трафіковий","Основний","Маржинальний","Сезонний","Стратегічний"},0),0.14,0.17,0.22,0.21,0.25)</f>
        <v/>
      </c>
      <c r="AK160" s="104">
        <f>CHOOSE(MATCH(IF($U160="","Основний",$U160),{"Трафіковий","Основний","Маржинальний","Сезонний","Стратегічний"},0),0.15,0.18,0.23,0.22,0.27)</f>
        <v/>
      </c>
      <c r="AL160" s="104">
        <f>CHOOSE(MATCH(IF($U160="","Основний",$U160),{"Трафіковий","Основний","Маржинальний","Сезонний","Стратегічний"},0),0.15,0.17,0.25,0.24,0.29)</f>
        <v/>
      </c>
      <c r="AM160" s="104">
        <f>CHOOSE(MATCH(IF($U160="","Основний",$U160),{"Трафіковий","Основний","Маржинальний","Сезонний","Стратегічний"},0),0.12,0.145,0.19,0.18,0.22)</f>
        <v/>
      </c>
      <c r="AN160" s="157">
        <f>CHOOSE(MATCH(IF($U160="","Основний",$U160),{"Трафіковий","Основний","Маржинальний","Сезонний","Стратегічний"},0),Settings!$B$78,Settings!$B$80,Settings!$B$82,Settings!$B$84,Settings!$B$86)</f>
        <v/>
      </c>
      <c r="AO160" s="157">
        <f>CHOOSE(MATCH(IF($U160="","Основний",$U160),{"Трафіковий","Основний","Маржинальний","Сезонний","Стратегічний"},0),Settings!$C$78,Settings!$C$80,Settings!$C$82,Settings!$C$84,Settings!$C$86)</f>
        <v/>
      </c>
      <c r="AP160" s="157">
        <f>CHOOSE(MATCH(IF($U160="","Основний",$U160),{"Трафіковий","Основний","Маржинальний","Сезонний","Стратегічний"},0),Settings!$D$78,Settings!$D$80,Settings!$D$82,Settings!$D$84,Settings!$D$86)</f>
        <v/>
      </c>
      <c r="AQ160" s="157">
        <f>CHOOSE(MATCH(IF($U160="","Основний",$U160),{"Трафіковий","Основний","Маржинальний","Сезонний","Стратегічний"},0),Settings!$F$78,Settings!$F$80,Settings!$F$82,Settings!$F$84,Settings!$F$86)</f>
        <v/>
      </c>
      <c r="AR160" s="157">
        <f>CHOOSE(MATCH(IF($U160="","Основний",$U160),{"Трафіковий","Основний","Маржинальний","Сезонний","Стратегічний"},0),Settings!$G$78,Settings!$G$80,Settings!$G$82,Settings!$G$84,Settings!$G$86)</f>
        <v/>
      </c>
      <c r="AS160" s="157">
        <f>CHOOSE(MATCH(IF($U160="","Основний",$U160),{"Трафіковий","Основний","Маржинальний","Сезонний","Стратегічний"},0),Settings!$H$78,Settings!$H$80,Settings!$H$82,Settings!$H$84,Settings!$H$86)</f>
        <v/>
      </c>
      <c r="AT160" s="157">
        <f>CHOOSE(MATCH(IF($U160="","Основний",$U160),{"Трафіковий","Основний","Маржинальний","Сезонний","Стратегічний"},0),Settings!$I$78,Settings!$I$80,Settings!$I$82,Settings!$I$84,Settings!$I$86)</f>
        <v/>
      </c>
      <c r="AU160" s="171" t="n"/>
      <c r="AV160" t="n">
        <v>1.39</v>
      </c>
    </row>
    <row r="161">
      <c r="A161" s="33" t="inlineStr">
        <is>
          <t>SELL OUT</t>
        </is>
      </c>
      <c r="B161" s="34" t="inlineStr">
        <is>
          <t>DCPM01</t>
        </is>
      </c>
      <c r="C161" s="34" t="inlineStr">
        <is>
          <t>50LED 10×PARTY BULB MC IP44</t>
        </is>
      </c>
      <c r="D161" s="34" t="inlineStr">
        <is>
          <t>Гирлянди вуличні</t>
        </is>
      </c>
      <c r="E161" s="33" t="inlineStr">
        <is>
          <t>PC</t>
        </is>
      </c>
      <c r="F161" s="94" t="n">
        <v>12.987</v>
      </c>
      <c r="G161" s="35" t="n">
        <v>9405423100</v>
      </c>
      <c r="H161" s="31" t="n">
        <v>1.4</v>
      </c>
      <c r="I161" s="84">
        <f>IFERROR(F161*Settings!$B$2*H161*IF(AND(ISNUMBER(E161),E161&gt;1),E161,1),"")</f>
        <v/>
      </c>
      <c r="J161" s="32">
        <f>Settings!$B$66</f>
        <v/>
      </c>
      <c r="K161" s="95">
        <f>IFERROR(IF(T161="","",(T161*(1-AN161)*(1-Settings!$B$17)-I161)/(T161*(1-AN161)*(1-Settings!$B$17))),"")</f>
        <v/>
      </c>
      <c r="L161" s="101">
        <f>IFERROR(IF(T161="","",(T161*(1-AO161)*(1-Settings!$C$17)-I161)/(T161*(1-AO161)*(1-Settings!$C$17))),"")</f>
        <v/>
      </c>
      <c r="M161" s="101">
        <f>IFERROR(IF(T161="","",(T161*(1-AP161)*(1-Settings!$D$17)-I161)/(T161*(1-AP161)*(1-Settings!$D$17))),"")</f>
        <v/>
      </c>
      <c r="N161" s="101">
        <f>IFERROR(IF(T161="","",(T161*(1-AQ161)*(1-Settings!$F$17)-I161)/(T161*(1-AQ161)*(1-Settings!$F$17))),"")</f>
        <v/>
      </c>
      <c r="O161" s="101">
        <f>IFERROR(IF(T161="","",(T161*(1-AR161)*(1-Settings!$G$17)-I161)/(T161*(1-AR161)*(1-Settings!$G$17))),"")</f>
        <v/>
      </c>
      <c r="P161" s="101">
        <f>IFERROR(IF(T161="","",(T161*(1-AS161)*(1-Settings!$H$17)-I161)/(T161*(1-AS161)*(1-Settings!$H$17))),"")</f>
        <v/>
      </c>
      <c r="Q161" s="101">
        <f>IFERROR(IF(T161="","",(T161*(1-AT161)*(1-Settings!$I$68)*(1-Settings!$I$17)-I161)/(T161*(1-AT161)*(1-Settings!$I$68)*(1-Settings!$I$17))),"")</f>
        <v/>
      </c>
      <c r="R161" s="91">
        <f>IFERROR(IF(OR(I161="",Z161&gt;=1,Settings!$B$17&gt;=1,AN161&gt;=1),"",IF(MOD(ROUND(I161/(1-Z161)/(1-Settings!$B$17)/(1-AN161),0),10)=0,ROUND(I161/(1-Z161)/(1-Settings!$B$17)/(1-AN161),0)-1,IF(MOD(ROUND(I161/(1-Z161)/(1-Settings!$B$17)/(1-AN161),0),10)&lt;=5,FLOOR(ROUND(I161/(1-Z161)/(1-Settings!$B$17)/(1-AN161),0),10)+6,FLOOR(ROUND(I161/(1-Z161)/(1-Settings!$B$17)/(1-AN161),0),10)+9))),"")</f>
        <v/>
      </c>
      <c r="S161" s="92" t="n">
        <v>1500</v>
      </c>
      <c r="T161" s="91">
        <f>IF(S161&lt;&gt;"", IF(MOD(S161,10)=0,S161-1,IF(MOD(S161,10)&lt;=5,FLOOR(S161,10)+6,FLOOR(S161,10)+9)), R161)</f>
        <v/>
      </c>
      <c r="U161" s="87" t="inlineStr">
        <is>
          <t>Основний</t>
        </is>
      </c>
      <c r="V161" s="88" t="n"/>
      <c r="W161" s="88" t="n"/>
      <c r="X161" s="89">
        <f>IFERROR(IF(OR(V161="",W161="",T161=""),"", IF(T161&gt;W161,"Дорогий",IF(T161&lt;V161,"Дешевий","У ринку"))),"")</f>
        <v/>
      </c>
      <c r="Y161" s="90" t="n"/>
      <c r="Z161" s="104">
        <f>CHOOSE(MATCH(IF($U161="","Основний",$U161),{"Трафіковий","Основний","Маржинальний","Сезонний","Стратегічний"},0),0.16,0.19,0.24,0.23,0.28)</f>
        <v/>
      </c>
      <c r="AA161" s="104">
        <f>CHOOSE(MATCH(IF($U161="","Основний",$U161),{"Трафіковий","Основний","Маржинальний","Сезонний","Стратегічний"},0),0.18,0.21,0.26,0.25,0.3)</f>
        <v/>
      </c>
      <c r="AB161" s="104">
        <f>CHOOSE(MATCH(IF($U161="","Основний",$U161),{"Трафіковий","Основний","Маржинальний","Сезонний","Стратегічний"},0),0.19,0.22,0.28,0.26,0.32)</f>
        <v/>
      </c>
      <c r="AC161" s="104">
        <f>CHOOSE(MATCH(IF($U161="","Основний",$U161),{"Трафіковий","Основний","Маржинальний","Сезонний","Стратегічний"},0),0.17,0.2,0.25,0.24,0.28)</f>
        <v/>
      </c>
      <c r="AD161" s="104">
        <f>CHOOSE(MATCH(IF($U161="","Основний",$U161),{"Трафіковий","Основний","Маржинальний","Сезонний","Стратегічний"},0),0.18,0.21,0.26,0.25,0.3)</f>
        <v/>
      </c>
      <c r="AE161" s="104">
        <f>CHOOSE(MATCH(IF($U161="","Основний",$U161),{"Трафіковий","Основний","Маржинальний","Сезонний","Стратегічний"},0),0.18,0.2,0.28,0.27,0.32)</f>
        <v/>
      </c>
      <c r="AF161" s="104">
        <f>CHOOSE(MATCH(IF($U161="","Основний",$U161),{"Трафіковий","Основний","Маржинальний","Сезонний","Стратегічний"},0),0.15,0.175,0.22,0.21,0.25)</f>
        <v/>
      </c>
      <c r="AG161" s="104">
        <f>CHOOSE(MATCH(IF($U161="","Основний",$U161),{"Трафіковий","Основний","Маржинальний","Сезонний","Стратегічний"},0),0.13,0.16,0.21,0.2,0.25)</f>
        <v/>
      </c>
      <c r="AH161" s="104">
        <f>CHOOSE(MATCH(IF($U161="","Основний",$U161),{"Трафіковий","Основний","Маржинальний","Сезонний","Стратегічний"},0),0.15,0.18,0.23,0.22,0.27)</f>
        <v/>
      </c>
      <c r="AI161" s="104">
        <f>CHOOSE(MATCH(IF($U161="","Основний",$U161),{"Трафіковий","Основний","Маржинальний","Сезонний","Стратегічний"},0),0.16,0.19,0.25,0.23,0.29)</f>
        <v/>
      </c>
      <c r="AJ161" s="104">
        <f>CHOOSE(MATCH(IF($U161="","Основний",$U161),{"Трафіковий","Основний","Маржинальний","Сезонний","Стратегічний"},0),0.14,0.17,0.22,0.21,0.25)</f>
        <v/>
      </c>
      <c r="AK161" s="104">
        <f>CHOOSE(MATCH(IF($U161="","Основний",$U161),{"Трафіковий","Основний","Маржинальний","Сезонний","Стратегічний"},0),0.15,0.18,0.23,0.22,0.27)</f>
        <v/>
      </c>
      <c r="AL161" s="104">
        <f>CHOOSE(MATCH(IF($U161="","Основний",$U161),{"Трафіковий","Основний","Маржинальний","Сезонний","Стратегічний"},0),0.15,0.17,0.25,0.24,0.29)</f>
        <v/>
      </c>
      <c r="AM161" s="104">
        <f>CHOOSE(MATCH(IF($U161="","Основний",$U161),{"Трафіковий","Основний","Маржинальний","Сезонний","Стратегічний"},0),0.12,0.145,0.19,0.18,0.22)</f>
        <v/>
      </c>
      <c r="AN161" s="157">
        <f>CHOOSE(MATCH(IF($U161="","Основний",$U161),{"Трафіковий","Основний","Маржинальний","Сезонний","Стратегічний"},0),Settings!$B$78,Settings!$B$80,Settings!$B$82,Settings!$B$84,Settings!$B$86)</f>
        <v/>
      </c>
      <c r="AO161" s="157">
        <f>CHOOSE(MATCH(IF($U161="","Основний",$U161),{"Трафіковий","Основний","Маржинальний","Сезонний","Стратегічний"},0),Settings!$C$78,Settings!$C$80,Settings!$C$82,Settings!$C$84,Settings!$C$86)</f>
        <v/>
      </c>
      <c r="AP161" s="157">
        <f>CHOOSE(MATCH(IF($U161="","Основний",$U161),{"Трафіковий","Основний","Маржинальний","Сезонний","Стратегічний"},0),Settings!$D$78,Settings!$D$80,Settings!$D$82,Settings!$D$84,Settings!$D$86)</f>
        <v/>
      </c>
      <c r="AQ161" s="157">
        <f>CHOOSE(MATCH(IF($U161="","Основний",$U161),{"Трафіковий","Основний","Маржинальний","Сезонний","Стратегічний"},0),Settings!$F$78,Settings!$F$80,Settings!$F$82,Settings!$F$84,Settings!$F$86)</f>
        <v/>
      </c>
      <c r="AR161" s="157">
        <f>CHOOSE(MATCH(IF($U161="","Основний",$U161),{"Трафіковий","Основний","Маржинальний","Сезонний","Стратегічний"},0),Settings!$G$78,Settings!$G$80,Settings!$G$82,Settings!$G$84,Settings!$G$86)</f>
        <v/>
      </c>
      <c r="AS161" s="157">
        <f>CHOOSE(MATCH(IF($U161="","Основний",$U161),{"Трафіковий","Основний","Маржинальний","Сезонний","Стратегічний"},0),Settings!$H$78,Settings!$H$80,Settings!$H$82,Settings!$H$84,Settings!$H$86)</f>
        <v/>
      </c>
      <c r="AT161" s="157">
        <f>CHOOSE(MATCH(IF($U161="","Основний",$U161),{"Трафіковий","Основний","Маржинальний","Сезонний","Стратегічний"},0),Settings!$I$78,Settings!$I$80,Settings!$I$82,Settings!$I$84,Settings!$I$86)</f>
        <v/>
      </c>
      <c r="AU161" s="171" t="n"/>
      <c r="AV161" t="n">
        <v>1.39</v>
      </c>
    </row>
    <row r="162">
      <c r="A162" s="28" t="inlineStr">
        <is>
          <t>SELL OUT</t>
        </is>
      </c>
      <c r="B162" s="29" t="inlineStr">
        <is>
          <t>DCPW04</t>
        </is>
      </c>
      <c r="C162" s="29" t="inlineStr">
        <is>
          <t>16LED ACRYLIC PARTY BULBS IP44 WW</t>
        </is>
      </c>
      <c r="D162" s="29" t="inlineStr">
        <is>
          <t>Гирлянди вуличні</t>
        </is>
      </c>
      <c r="E162" s="28" t="inlineStr">
        <is>
          <t>PC</t>
        </is>
      </c>
      <c r="F162" s="93" t="n">
        <v>14.44</v>
      </c>
      <c r="G162" s="30" t="n">
        <v>9405423100</v>
      </c>
      <c r="H162" s="31" t="n">
        <v>1.4</v>
      </c>
      <c r="I162" s="84">
        <f>IFERROR(F162*Settings!$B$2*H162*IF(AND(ISNUMBER(E162),E162&gt;1),E162,1),"")</f>
        <v/>
      </c>
      <c r="J162" s="32">
        <f>Settings!$B$66</f>
        <v/>
      </c>
      <c r="K162" s="95">
        <f>IFERROR(IF(T162="","",(T162*(1-AN162)*(1-Settings!$B$17)-I162)/(T162*(1-AN162)*(1-Settings!$B$17))),"")</f>
        <v/>
      </c>
      <c r="L162" s="101">
        <f>IFERROR(IF(T162="","",(T162*(1-AO162)*(1-Settings!$C$17)-I162)/(T162*(1-AO162)*(1-Settings!$C$17))),"")</f>
        <v/>
      </c>
      <c r="M162" s="101">
        <f>IFERROR(IF(T162="","",(T162*(1-AP162)*(1-Settings!$D$17)-I162)/(T162*(1-AP162)*(1-Settings!$D$17))),"")</f>
        <v/>
      </c>
      <c r="N162" s="101">
        <f>IFERROR(IF(T162="","",(T162*(1-AQ162)*(1-Settings!$F$17)-I162)/(T162*(1-AQ162)*(1-Settings!$F$17))),"")</f>
        <v/>
      </c>
      <c r="O162" s="101">
        <f>IFERROR(IF(T162="","",(T162*(1-AR162)*(1-Settings!$G$17)-I162)/(T162*(1-AR162)*(1-Settings!$G$17))),"")</f>
        <v/>
      </c>
      <c r="P162" s="101">
        <f>IFERROR(IF(T162="","",(T162*(1-AS162)*(1-Settings!$H$17)-I162)/(T162*(1-AS162)*(1-Settings!$H$17))),"")</f>
        <v/>
      </c>
      <c r="Q162" s="101">
        <f>IFERROR(IF(T162="","",(T162*(1-AT162)*(1-Settings!$I$68)*(1-Settings!$I$17)-I162)/(T162*(1-AT162)*(1-Settings!$I$68)*(1-Settings!$I$17))),"")</f>
        <v/>
      </c>
      <c r="R162" s="91">
        <f>IFERROR(IF(OR(I162="",Z162&gt;=1,Settings!$B$17&gt;=1,AN162&gt;=1),"",IF(MOD(ROUND(I162/(1-Z162)/(1-Settings!$B$17)/(1-AN162),0),10)=0,ROUND(I162/(1-Z162)/(1-Settings!$B$17)/(1-AN162),0)-1,IF(MOD(ROUND(I162/(1-Z162)/(1-Settings!$B$17)/(1-AN162),0),10)&lt;=5,FLOOR(ROUND(I162/(1-Z162)/(1-Settings!$B$17)/(1-AN162),0),10)+6,FLOOR(ROUND(I162/(1-Z162)/(1-Settings!$B$17)/(1-AN162),0),10)+9))),"")</f>
        <v/>
      </c>
      <c r="S162" s="92" t="n">
        <v>1600</v>
      </c>
      <c r="T162" s="91">
        <f>IF(S162&lt;&gt;"", IF(MOD(S162,10)=0,S162-1,IF(MOD(S162,10)&lt;=5,FLOOR(S162,10)+6,FLOOR(S162,10)+9)), R162)</f>
        <v/>
      </c>
      <c r="U162" s="87" t="inlineStr">
        <is>
          <t>Основний</t>
        </is>
      </c>
      <c r="V162" s="88" t="n"/>
      <c r="W162" s="88" t="n"/>
      <c r="X162" s="89">
        <f>IFERROR(IF(OR(V162="",W162="",T162=""),"", IF(T162&gt;W162,"Дорогий",IF(T162&lt;V162,"Дешевий","У ринку"))),"")</f>
        <v/>
      </c>
      <c r="Y162" s="90" t="n"/>
      <c r="Z162" s="104">
        <f>CHOOSE(MATCH(IF($U162="","Основний",$U162),{"Трафіковий","Основний","Маржинальний","Сезонний","Стратегічний"},0),0.16,0.19,0.24,0.23,0.28)</f>
        <v/>
      </c>
      <c r="AA162" s="104">
        <f>CHOOSE(MATCH(IF($U162="","Основний",$U162),{"Трафіковий","Основний","Маржинальний","Сезонний","Стратегічний"},0),0.18,0.21,0.26,0.25,0.3)</f>
        <v/>
      </c>
      <c r="AB162" s="104">
        <f>CHOOSE(MATCH(IF($U162="","Основний",$U162),{"Трафіковий","Основний","Маржинальний","Сезонний","Стратегічний"},0),0.19,0.22,0.28,0.26,0.32)</f>
        <v/>
      </c>
      <c r="AC162" s="104">
        <f>CHOOSE(MATCH(IF($U162="","Основний",$U162),{"Трафіковий","Основний","Маржинальний","Сезонний","Стратегічний"},0),0.17,0.2,0.25,0.24,0.28)</f>
        <v/>
      </c>
      <c r="AD162" s="104">
        <f>CHOOSE(MATCH(IF($U162="","Основний",$U162),{"Трафіковий","Основний","Маржинальний","Сезонний","Стратегічний"},0),0.18,0.21,0.26,0.25,0.3)</f>
        <v/>
      </c>
      <c r="AE162" s="104">
        <f>CHOOSE(MATCH(IF($U162="","Основний",$U162),{"Трафіковий","Основний","Маржинальний","Сезонний","Стратегічний"},0),0.18,0.2,0.28,0.27,0.32)</f>
        <v/>
      </c>
      <c r="AF162" s="104">
        <f>CHOOSE(MATCH(IF($U162="","Основний",$U162),{"Трафіковий","Основний","Маржинальний","Сезонний","Стратегічний"},0),0.15,0.175,0.22,0.21,0.25)</f>
        <v/>
      </c>
      <c r="AG162" s="104">
        <f>CHOOSE(MATCH(IF($U162="","Основний",$U162),{"Трафіковий","Основний","Маржинальний","Сезонний","Стратегічний"},0),0.13,0.16,0.21,0.2,0.25)</f>
        <v/>
      </c>
      <c r="AH162" s="104">
        <f>CHOOSE(MATCH(IF($U162="","Основний",$U162),{"Трафіковий","Основний","Маржинальний","Сезонний","Стратегічний"},0),0.15,0.18,0.23,0.22,0.27)</f>
        <v/>
      </c>
      <c r="AI162" s="104">
        <f>CHOOSE(MATCH(IF($U162="","Основний",$U162),{"Трафіковий","Основний","Маржинальний","Сезонний","Стратегічний"},0),0.16,0.19,0.25,0.23,0.29)</f>
        <v/>
      </c>
      <c r="AJ162" s="104">
        <f>CHOOSE(MATCH(IF($U162="","Основний",$U162),{"Трафіковий","Основний","Маржинальний","Сезонний","Стратегічний"},0),0.14,0.17,0.22,0.21,0.25)</f>
        <v/>
      </c>
      <c r="AK162" s="104">
        <f>CHOOSE(MATCH(IF($U162="","Основний",$U162),{"Трафіковий","Основний","Маржинальний","Сезонний","Стратегічний"},0),0.15,0.18,0.23,0.22,0.27)</f>
        <v/>
      </c>
      <c r="AL162" s="104">
        <f>CHOOSE(MATCH(IF($U162="","Основний",$U162),{"Трафіковий","Основний","Маржинальний","Сезонний","Стратегічний"},0),0.15,0.17,0.25,0.24,0.29)</f>
        <v/>
      </c>
      <c r="AM162" s="104">
        <f>CHOOSE(MATCH(IF($U162="","Основний",$U162),{"Трафіковий","Основний","Маржинальний","Сезонний","Стратегічний"},0),0.12,0.145,0.19,0.18,0.22)</f>
        <v/>
      </c>
      <c r="AN162" s="157">
        <f>CHOOSE(MATCH(IF($U162="","Основний",$U162),{"Трафіковий","Основний","Маржинальний","Сезонний","Стратегічний"},0),Settings!$B$78,Settings!$B$80,Settings!$B$82,Settings!$B$84,Settings!$B$86)</f>
        <v/>
      </c>
      <c r="AO162" s="157">
        <f>CHOOSE(MATCH(IF($U162="","Основний",$U162),{"Трафіковий","Основний","Маржинальний","Сезонний","Стратегічний"},0),Settings!$C$78,Settings!$C$80,Settings!$C$82,Settings!$C$84,Settings!$C$86)</f>
        <v/>
      </c>
      <c r="AP162" s="157">
        <f>CHOOSE(MATCH(IF($U162="","Основний",$U162),{"Трафіковий","Основний","Маржинальний","Сезонний","Стратегічний"},0),Settings!$D$78,Settings!$D$80,Settings!$D$82,Settings!$D$84,Settings!$D$86)</f>
        <v/>
      </c>
      <c r="AQ162" s="157">
        <f>CHOOSE(MATCH(IF($U162="","Основний",$U162),{"Трафіковий","Основний","Маржинальний","Сезонний","Стратегічний"},0),Settings!$F$78,Settings!$F$80,Settings!$F$82,Settings!$F$84,Settings!$F$86)</f>
        <v/>
      </c>
      <c r="AR162" s="157">
        <f>CHOOSE(MATCH(IF($U162="","Основний",$U162),{"Трафіковий","Основний","Маржинальний","Сезонний","Стратегічний"},0),Settings!$G$78,Settings!$G$80,Settings!$G$82,Settings!$G$84,Settings!$G$86)</f>
        <v/>
      </c>
      <c r="AS162" s="157">
        <f>CHOOSE(MATCH(IF($U162="","Основний",$U162),{"Трафіковий","Основний","Маржинальний","Сезонний","Стратегічний"},0),Settings!$H$78,Settings!$H$80,Settings!$H$82,Settings!$H$84,Settings!$H$86)</f>
        <v/>
      </c>
      <c r="AT162" s="157">
        <f>CHOOSE(MATCH(IF($U162="","Основний",$U162),{"Трафіковий","Основний","Маржинальний","Сезонний","Стратегічний"},0),Settings!$I$78,Settings!$I$80,Settings!$I$82,Settings!$I$84,Settings!$I$86)</f>
        <v/>
      </c>
      <c r="AU162" s="171" t="n"/>
      <c r="AV162" t="n">
        <v>1.39</v>
      </c>
    </row>
    <row r="163">
      <c r="A163" s="33" t="inlineStr">
        <is>
          <t>NEW</t>
        </is>
      </c>
      <c r="B163" s="34" t="inlineStr">
        <is>
          <t>DCH001</t>
        </is>
      </c>
      <c r="C163" s="34" t="inlineStr">
        <is>
          <t>SELF ADHESIVE HOOK TRANSP.</t>
        </is>
      </c>
      <c r="D163" s="34" t="inlineStr">
        <is>
          <t>Гирлянди вуличні</t>
        </is>
      </c>
      <c r="E163" s="33" t="inlineStr">
        <is>
          <t>PC</t>
        </is>
      </c>
      <c r="F163" s="94" t="n">
        <v>0.039</v>
      </c>
      <c r="G163" s="35" t="n">
        <v>3926909790</v>
      </c>
      <c r="H163" s="31" t="n">
        <v>1.3</v>
      </c>
      <c r="I163" s="84">
        <f>IFERROR(F163*Settings!$B$2*H163*IF(AND(ISNUMBER(E163),E163&gt;1),E163,1),"")</f>
        <v/>
      </c>
      <c r="J163" s="32">
        <f>Settings!$B$66</f>
        <v/>
      </c>
      <c r="K163" s="95">
        <f>IFERROR(IF(T163="","",(T163*(1-AN163)*(1-Settings!$B$17)-I163)/(T163*(1-AN163)*(1-Settings!$B$17))),"")</f>
        <v/>
      </c>
      <c r="L163" s="101">
        <f>IFERROR(IF(T163="","",(T163*(1-AO163)*(1-Settings!$C$17)-I163)/(T163*(1-AO163)*(1-Settings!$C$17))),"")</f>
        <v/>
      </c>
      <c r="M163" s="101">
        <f>IFERROR(IF(T163="","",(T163*(1-AP163)*(1-Settings!$D$17)-I163)/(T163*(1-AP163)*(1-Settings!$D$17))),"")</f>
        <v/>
      </c>
      <c r="N163" s="101">
        <f>IFERROR(IF(T163="","",(T163*(1-AQ163)*(1-Settings!$F$17)-I163)/(T163*(1-AQ163)*(1-Settings!$F$17))),"")</f>
        <v/>
      </c>
      <c r="O163" s="101">
        <f>IFERROR(IF(T163="","",(T163*(1-AR163)*(1-Settings!$G$17)-I163)/(T163*(1-AR163)*(1-Settings!$G$17))),"")</f>
        <v/>
      </c>
      <c r="P163" s="101">
        <f>IFERROR(IF(T163="","",(T163*(1-AS163)*(1-Settings!$H$17)-I163)/(T163*(1-AS163)*(1-Settings!$H$17))),"")</f>
        <v/>
      </c>
      <c r="Q163" s="101">
        <f>IFERROR(IF(T163="","",(T163*(1-AT163)*(1-Settings!$I$68)*(1-Settings!$I$17)-I163)/(T163*(1-AT163)*(1-Settings!$I$68)*(1-Settings!$I$17))),"")</f>
        <v/>
      </c>
      <c r="R163" s="91">
        <f>IFERROR(IF(OR(I163="",Z163&gt;=1,Settings!$B$17&gt;=1,AN163&gt;=1),"",IF(MOD(ROUND(I163/(1-Z163)/(1-Settings!$B$17)/(1-AN163),0),10)=0,ROUND(I163/(1-Z163)/(1-Settings!$B$17)/(1-AN163),0)-1,IF(MOD(ROUND(I163/(1-Z163)/(1-Settings!$B$17)/(1-AN163),0),10)&lt;=5,FLOOR(ROUND(I163/(1-Z163)/(1-Settings!$B$17)/(1-AN163),0),10)+6,FLOOR(ROUND(I163/(1-Z163)/(1-Settings!$B$17)/(1-AN163),0),10)+9))),"")</f>
        <v/>
      </c>
      <c r="S163" s="92" t="n"/>
      <c r="T163" s="91">
        <f>IF(S163&lt;&gt;"", IF(MOD(S163,10)=0,S163-1,IF(MOD(S163,10)&lt;=5,FLOOR(S163,10)+6,FLOOR(S163,10)+9)), R163)</f>
        <v/>
      </c>
      <c r="U163" s="87" t="inlineStr">
        <is>
          <t>Основний</t>
        </is>
      </c>
      <c r="V163" s="88" t="n"/>
      <c r="W163" s="88" t="n"/>
      <c r="X163" s="89">
        <f>IFERROR(IF(OR(V163="",W163="",T163=""),"", IF(T163&gt;W163,"Дорогий",IF(T163&lt;V163,"Дешевий","У ринку"))),"")</f>
        <v/>
      </c>
      <c r="Y163" s="90" t="n"/>
      <c r="Z163" s="104">
        <f>CHOOSE(MATCH(IF($U163="","Основний",$U163),{"Трафіковий","Основний","Маржинальний","Сезонний","Стратегічний"},0),0.16,0.19,0.24,0.23,0.28)</f>
        <v/>
      </c>
      <c r="AA163" s="104">
        <f>CHOOSE(MATCH(IF($U163="","Основний",$U163),{"Трафіковий","Основний","Маржинальний","Сезонний","Стратегічний"},0),0.18,0.21,0.26,0.25,0.3)</f>
        <v/>
      </c>
      <c r="AB163" s="104">
        <f>CHOOSE(MATCH(IF($U163="","Основний",$U163),{"Трафіковий","Основний","Маржинальний","Сезонний","Стратегічний"},0),0.19,0.22,0.28,0.26,0.32)</f>
        <v/>
      </c>
      <c r="AC163" s="104">
        <f>CHOOSE(MATCH(IF($U163="","Основний",$U163),{"Трафіковий","Основний","Маржинальний","Сезонний","Стратегічний"},0),0.17,0.2,0.25,0.24,0.28)</f>
        <v/>
      </c>
      <c r="AD163" s="104">
        <f>CHOOSE(MATCH(IF($U163="","Основний",$U163),{"Трафіковий","Основний","Маржинальний","Сезонний","Стратегічний"},0),0.18,0.21,0.26,0.25,0.3)</f>
        <v/>
      </c>
      <c r="AE163" s="104">
        <f>CHOOSE(MATCH(IF($U163="","Основний",$U163),{"Трафіковий","Основний","Маржинальний","Сезонний","Стратегічний"},0),0.18,0.2,0.28,0.27,0.32)</f>
        <v/>
      </c>
      <c r="AF163" s="104">
        <f>CHOOSE(MATCH(IF($U163="","Основний",$U163),{"Трафіковий","Основний","Маржинальний","Сезонний","Стратегічний"},0),0.15,0.175,0.22,0.21,0.25)</f>
        <v/>
      </c>
      <c r="AG163" s="104">
        <f>CHOOSE(MATCH(IF($U163="","Основний",$U163),{"Трафіковий","Основний","Маржинальний","Сезонний","Стратегічний"},0),0.13,0.16,0.21,0.2,0.25)</f>
        <v/>
      </c>
      <c r="AH163" s="104">
        <f>CHOOSE(MATCH(IF($U163="","Основний",$U163),{"Трафіковий","Основний","Маржинальний","Сезонний","Стратегічний"},0),0.15,0.18,0.23,0.22,0.27)</f>
        <v/>
      </c>
      <c r="AI163" s="104">
        <f>CHOOSE(MATCH(IF($U163="","Основний",$U163),{"Трафіковий","Основний","Маржинальний","Сезонний","Стратегічний"},0),0.16,0.19,0.25,0.23,0.29)</f>
        <v/>
      </c>
      <c r="AJ163" s="104">
        <f>CHOOSE(MATCH(IF($U163="","Основний",$U163),{"Трафіковий","Основний","Маржинальний","Сезонний","Стратегічний"},0),0.14,0.17,0.22,0.21,0.25)</f>
        <v/>
      </c>
      <c r="AK163" s="104">
        <f>CHOOSE(MATCH(IF($U163="","Основний",$U163),{"Трафіковий","Основний","Маржинальний","Сезонний","Стратегічний"},0),0.15,0.18,0.23,0.22,0.27)</f>
        <v/>
      </c>
      <c r="AL163" s="104">
        <f>CHOOSE(MATCH(IF($U163="","Основний",$U163),{"Трафіковий","Основний","Маржинальний","Сезонний","Стратегічний"},0),0.15,0.17,0.25,0.24,0.29)</f>
        <v/>
      </c>
      <c r="AM163" s="104">
        <f>CHOOSE(MATCH(IF($U163="","Основний",$U163),{"Трафіковий","Основний","Маржинальний","Сезонний","Стратегічний"},0),0.12,0.145,0.19,0.18,0.22)</f>
        <v/>
      </c>
      <c r="AN163" s="157">
        <f>CHOOSE(MATCH(IF($U163="","Основний",$U163),{"Трафіковий","Основний","Маржинальний","Сезонний","Стратегічний"},0),Settings!$B$78,Settings!$B$80,Settings!$B$82,Settings!$B$84,Settings!$B$86)</f>
        <v/>
      </c>
      <c r="AO163" s="157">
        <f>CHOOSE(MATCH(IF($U163="","Основний",$U163),{"Трафіковий","Основний","Маржинальний","Сезонний","Стратегічний"},0),Settings!$C$78,Settings!$C$80,Settings!$C$82,Settings!$C$84,Settings!$C$86)</f>
        <v/>
      </c>
      <c r="AP163" s="157">
        <f>CHOOSE(MATCH(IF($U163="","Основний",$U163),{"Трафіковий","Основний","Маржинальний","Сезонний","Стратегічний"},0),Settings!$D$78,Settings!$D$80,Settings!$D$82,Settings!$D$84,Settings!$D$86)</f>
        <v/>
      </c>
      <c r="AQ163" s="157">
        <f>CHOOSE(MATCH(IF($U163="","Основний",$U163),{"Трафіковий","Основний","Маржинальний","Сезонний","Стратегічний"},0),Settings!$F$78,Settings!$F$80,Settings!$F$82,Settings!$F$84,Settings!$F$86)</f>
        <v/>
      </c>
      <c r="AR163" s="157">
        <f>CHOOSE(MATCH(IF($U163="","Основний",$U163),{"Трафіковий","Основний","Маржинальний","Сезонний","Стратегічний"},0),Settings!$G$78,Settings!$G$80,Settings!$G$82,Settings!$G$84,Settings!$G$86)</f>
        <v/>
      </c>
      <c r="AS163" s="157">
        <f>CHOOSE(MATCH(IF($U163="","Основний",$U163),{"Трафіковий","Основний","Маржинальний","Сезонний","Стратегічний"},0),Settings!$H$78,Settings!$H$80,Settings!$H$82,Settings!$H$84,Settings!$H$86)</f>
        <v/>
      </c>
      <c r="AT163" s="157">
        <f>CHOOSE(MATCH(IF($U163="","Основний",$U163),{"Трафіковий","Основний","Маржинальний","Сезонний","Стратегічний"},0),Settings!$I$78,Settings!$I$80,Settings!$I$82,Settings!$I$84,Settings!$I$86)</f>
        <v/>
      </c>
      <c r="AU163" s="171" t="n"/>
      <c r="AV163" t="n">
        <v>1.35</v>
      </c>
    </row>
    <row r="164">
      <c r="A164" s="28" t="inlineStr">
        <is>
          <t>NEW</t>
        </is>
      </c>
      <c r="B164" s="29" t="inlineStr">
        <is>
          <t>DCH002</t>
        </is>
      </c>
      <c r="C164" s="29" t="inlineStr">
        <is>
          <t>SELF ADHESIVE DOUBLE HOOK TRANSP.</t>
        </is>
      </c>
      <c r="D164" s="29" t="inlineStr">
        <is>
          <t>Гирлянди вуличні</t>
        </is>
      </c>
      <c r="E164" s="28" t="inlineStr">
        <is>
          <t>PC</t>
        </is>
      </c>
      <c r="F164" s="93" t="n">
        <v>0.093</v>
      </c>
      <c r="G164" s="30" t="n">
        <v>3926909790</v>
      </c>
      <c r="H164" s="31" t="n">
        <v>1.3</v>
      </c>
      <c r="I164" s="84">
        <f>IFERROR(F164*Settings!$B$2*H164*IF(AND(ISNUMBER(E164),E164&gt;1),E164,1),"")</f>
        <v/>
      </c>
      <c r="J164" s="32">
        <f>Settings!$B$66</f>
        <v/>
      </c>
      <c r="K164" s="95">
        <f>IFERROR(IF(T164="","",(T164*(1-AN164)*(1-Settings!$B$17)-I164)/(T164*(1-AN164)*(1-Settings!$B$17))),"")</f>
        <v/>
      </c>
      <c r="L164" s="101">
        <f>IFERROR(IF(T164="","",(T164*(1-AO164)*(1-Settings!$C$17)-I164)/(T164*(1-AO164)*(1-Settings!$C$17))),"")</f>
        <v/>
      </c>
      <c r="M164" s="101">
        <f>IFERROR(IF(T164="","",(T164*(1-AP164)*(1-Settings!$D$17)-I164)/(T164*(1-AP164)*(1-Settings!$D$17))),"")</f>
        <v/>
      </c>
      <c r="N164" s="101">
        <f>IFERROR(IF(T164="","",(T164*(1-AQ164)*(1-Settings!$F$17)-I164)/(T164*(1-AQ164)*(1-Settings!$F$17))),"")</f>
        <v/>
      </c>
      <c r="O164" s="101">
        <f>IFERROR(IF(T164="","",(T164*(1-AR164)*(1-Settings!$G$17)-I164)/(T164*(1-AR164)*(1-Settings!$G$17))),"")</f>
        <v/>
      </c>
      <c r="P164" s="101">
        <f>IFERROR(IF(T164="","",(T164*(1-AS164)*(1-Settings!$H$17)-I164)/(T164*(1-AS164)*(1-Settings!$H$17))),"")</f>
        <v/>
      </c>
      <c r="Q164" s="101">
        <f>IFERROR(IF(T164="","",(T164*(1-AT164)*(1-Settings!$I$68)*(1-Settings!$I$17)-I164)/(T164*(1-AT164)*(1-Settings!$I$68)*(1-Settings!$I$17))),"")</f>
        <v/>
      </c>
      <c r="R164" s="91">
        <f>IFERROR(IF(OR(I164="",Z164&gt;=1,Settings!$B$17&gt;=1,AN164&gt;=1),"",IF(MOD(ROUND(I164/(1-Z164)/(1-Settings!$B$17)/(1-AN164),0),10)=0,ROUND(I164/(1-Z164)/(1-Settings!$B$17)/(1-AN164),0)-1,IF(MOD(ROUND(I164/(1-Z164)/(1-Settings!$B$17)/(1-AN164),0),10)&lt;=5,FLOOR(ROUND(I164/(1-Z164)/(1-Settings!$B$17)/(1-AN164),0),10)+6,FLOOR(ROUND(I164/(1-Z164)/(1-Settings!$B$17)/(1-AN164),0),10)+9))),"")</f>
        <v/>
      </c>
      <c r="S164" s="92" t="n"/>
      <c r="T164" s="91">
        <f>IF(S164&lt;&gt;"", IF(MOD(S164,10)=0,S164-1,IF(MOD(S164,10)&lt;=5,FLOOR(S164,10)+6,FLOOR(S164,10)+9)), R164)</f>
        <v/>
      </c>
      <c r="U164" s="87" t="inlineStr">
        <is>
          <t>Основний</t>
        </is>
      </c>
      <c r="V164" s="88" t="n"/>
      <c r="W164" s="88" t="n"/>
      <c r="X164" s="89">
        <f>IFERROR(IF(OR(V164="",W164="",T164=""),"", IF(T164&gt;W164,"Дорогий",IF(T164&lt;V164,"Дешевий","У ринку"))),"")</f>
        <v/>
      </c>
      <c r="Y164" s="90" t="n"/>
      <c r="Z164" s="104">
        <f>CHOOSE(MATCH(IF($U164="","Основний",$U164),{"Трафіковий","Основний","Маржинальний","Сезонний","Стратегічний"},0),0.16,0.19,0.24,0.23,0.28)</f>
        <v/>
      </c>
      <c r="AA164" s="104">
        <f>CHOOSE(MATCH(IF($U164="","Основний",$U164),{"Трафіковий","Основний","Маржинальний","Сезонний","Стратегічний"},0),0.18,0.21,0.26,0.25,0.3)</f>
        <v/>
      </c>
      <c r="AB164" s="104">
        <f>CHOOSE(MATCH(IF($U164="","Основний",$U164),{"Трафіковий","Основний","Маржинальний","Сезонний","Стратегічний"},0),0.19,0.22,0.28,0.26,0.32)</f>
        <v/>
      </c>
      <c r="AC164" s="104">
        <f>CHOOSE(MATCH(IF($U164="","Основний",$U164),{"Трафіковий","Основний","Маржинальний","Сезонний","Стратегічний"},0),0.17,0.2,0.25,0.24,0.28)</f>
        <v/>
      </c>
      <c r="AD164" s="104">
        <f>CHOOSE(MATCH(IF($U164="","Основний",$U164),{"Трафіковий","Основний","Маржинальний","Сезонний","Стратегічний"},0),0.18,0.21,0.26,0.25,0.3)</f>
        <v/>
      </c>
      <c r="AE164" s="104">
        <f>CHOOSE(MATCH(IF($U164="","Основний",$U164),{"Трафіковий","Основний","Маржинальний","Сезонний","Стратегічний"},0),0.18,0.2,0.28,0.27,0.32)</f>
        <v/>
      </c>
      <c r="AF164" s="104">
        <f>CHOOSE(MATCH(IF($U164="","Основний",$U164),{"Трафіковий","Основний","Маржинальний","Сезонний","Стратегічний"},0),0.15,0.175,0.22,0.21,0.25)</f>
        <v/>
      </c>
      <c r="AG164" s="104">
        <f>CHOOSE(MATCH(IF($U164="","Основний",$U164),{"Трафіковий","Основний","Маржинальний","Сезонний","Стратегічний"},0),0.13,0.16,0.21,0.2,0.25)</f>
        <v/>
      </c>
      <c r="AH164" s="104">
        <f>CHOOSE(MATCH(IF($U164="","Основний",$U164),{"Трафіковий","Основний","Маржинальний","Сезонний","Стратегічний"},0),0.15,0.18,0.23,0.22,0.27)</f>
        <v/>
      </c>
      <c r="AI164" s="104">
        <f>CHOOSE(MATCH(IF($U164="","Основний",$U164),{"Трафіковий","Основний","Маржинальний","Сезонний","Стратегічний"},0),0.16,0.19,0.25,0.23,0.29)</f>
        <v/>
      </c>
      <c r="AJ164" s="104">
        <f>CHOOSE(MATCH(IF($U164="","Основний",$U164),{"Трафіковий","Основний","Маржинальний","Сезонний","Стратегічний"},0),0.14,0.17,0.22,0.21,0.25)</f>
        <v/>
      </c>
      <c r="AK164" s="104">
        <f>CHOOSE(MATCH(IF($U164="","Основний",$U164),{"Трафіковий","Основний","Маржинальний","Сезонний","Стратегічний"},0),0.15,0.18,0.23,0.22,0.27)</f>
        <v/>
      </c>
      <c r="AL164" s="104">
        <f>CHOOSE(MATCH(IF($U164="","Основний",$U164),{"Трафіковий","Основний","Маржинальний","Сезонний","Стратегічний"},0),0.15,0.17,0.25,0.24,0.29)</f>
        <v/>
      </c>
      <c r="AM164" s="104">
        <f>CHOOSE(MATCH(IF($U164="","Основний",$U164),{"Трафіковий","Основний","Маржинальний","Сезонний","Стратегічний"},0),0.12,0.145,0.19,0.18,0.22)</f>
        <v/>
      </c>
      <c r="AN164" s="157">
        <f>CHOOSE(MATCH(IF($U164="","Основний",$U164),{"Трафіковий","Основний","Маржинальний","Сезонний","Стратегічний"},0),Settings!$B$78,Settings!$B$80,Settings!$B$82,Settings!$B$84,Settings!$B$86)</f>
        <v/>
      </c>
      <c r="AO164" s="157">
        <f>CHOOSE(MATCH(IF($U164="","Основний",$U164),{"Трафіковий","Основний","Маржинальний","Сезонний","Стратегічний"},0),Settings!$C$78,Settings!$C$80,Settings!$C$82,Settings!$C$84,Settings!$C$86)</f>
        <v/>
      </c>
      <c r="AP164" s="157">
        <f>CHOOSE(MATCH(IF($U164="","Основний",$U164),{"Трафіковий","Основний","Маржинальний","Сезонний","Стратегічний"},0),Settings!$D$78,Settings!$D$80,Settings!$D$82,Settings!$D$84,Settings!$D$86)</f>
        <v/>
      </c>
      <c r="AQ164" s="157">
        <f>CHOOSE(MATCH(IF($U164="","Основний",$U164),{"Трафіковий","Основний","Маржинальний","Сезонний","Стратегічний"},0),Settings!$F$78,Settings!$F$80,Settings!$F$82,Settings!$F$84,Settings!$F$86)</f>
        <v/>
      </c>
      <c r="AR164" s="157">
        <f>CHOOSE(MATCH(IF($U164="","Основний",$U164),{"Трафіковий","Основний","Маржинальний","Сезонний","Стратегічний"},0),Settings!$G$78,Settings!$G$80,Settings!$G$82,Settings!$G$84,Settings!$G$86)</f>
        <v/>
      </c>
      <c r="AS164" s="157">
        <f>CHOOSE(MATCH(IF($U164="","Основний",$U164),{"Трафіковий","Основний","Маржинальний","Сезонний","Стратегічний"},0),Settings!$H$78,Settings!$H$80,Settings!$H$82,Settings!$H$84,Settings!$H$86)</f>
        <v/>
      </c>
      <c r="AT164" s="157">
        <f>CHOOSE(MATCH(IF($U164="","Основний",$U164),{"Трафіковий","Основний","Маржинальний","Сезонний","Стратегічний"},0),Settings!$I$78,Settings!$I$80,Settings!$I$82,Settings!$I$84,Settings!$I$86)</f>
        <v/>
      </c>
      <c r="AU164" s="171" t="n"/>
      <c r="AV164" t="n">
        <v>1.35</v>
      </c>
    </row>
    <row r="165">
      <c r="A165" s="33" t="n"/>
      <c r="B165" s="34" t="inlineStr">
        <is>
          <t>ZTV55</t>
        </is>
      </c>
      <c r="C165" s="34" t="inlineStr">
        <is>
          <t>GOSMART AMBIENT TV LIGHT 55"</t>
        </is>
      </c>
      <c r="D165" s="34" t="inlineStr">
        <is>
          <t>GOSMART AMBIENT</t>
        </is>
      </c>
      <c r="E165" s="33" t="inlineStr">
        <is>
          <t>PC</t>
        </is>
      </c>
      <c r="F165" s="94" t="n">
        <v>42.661</v>
      </c>
      <c r="G165" s="35" t="n">
        <v>8529909300</v>
      </c>
      <c r="H165" s="31" t="n">
        <v>1.35</v>
      </c>
      <c r="I165" s="84">
        <f>IFERROR(F165*Settings!$B$2*H165*IF(AND(ISNUMBER(E165),E165&gt;1),E165,1),"")</f>
        <v/>
      </c>
      <c r="J165" s="32">
        <f>Settings!$B$66</f>
        <v/>
      </c>
      <c r="K165" s="95">
        <f>IFERROR(IF(T165="","",(T165*(1-AN165)*(1-Settings!$B$17)-I165)/(T165*(1-AN165)*(1-Settings!$B$17))),"")</f>
        <v/>
      </c>
      <c r="L165" s="101">
        <f>IFERROR(IF(T165="","",(T165*(1-AO165)*(1-Settings!$C$17)-I165)/(T165*(1-AO165)*(1-Settings!$C$17))),"")</f>
        <v/>
      </c>
      <c r="M165" s="101">
        <f>IFERROR(IF(T165="","",(T165*(1-AP165)*(1-Settings!$D$17)-I165)/(T165*(1-AP165)*(1-Settings!$D$17))),"")</f>
        <v/>
      </c>
      <c r="N165" s="101">
        <f>IFERROR(IF(T165="","",(T165*(1-AQ165)*(1-Settings!$F$17)-I165)/(T165*(1-AQ165)*(1-Settings!$F$17))),"")</f>
        <v/>
      </c>
      <c r="O165" s="101">
        <f>IFERROR(IF(T165="","",(T165*(1-AR165)*(1-Settings!$G$17)-I165)/(T165*(1-AR165)*(1-Settings!$G$17))),"")</f>
        <v/>
      </c>
      <c r="P165" s="101">
        <f>IFERROR(IF(T165="","",(T165*(1-AS165)*(1-Settings!$H$17)-I165)/(T165*(1-AS165)*(1-Settings!$H$17))),"")</f>
        <v/>
      </c>
      <c r="Q165" s="101">
        <f>IFERROR(IF(T165="","",(T165*(1-AT165)*(1-Settings!$I$68)*(1-Settings!$I$17)-I165)/(T165*(1-AT165)*(1-Settings!$I$68)*(1-Settings!$I$17))),"")</f>
        <v/>
      </c>
      <c r="R165" s="91">
        <f>IFERROR(IF(OR(I165="",Z165&gt;=1,Settings!$B$17&gt;=1,AN165&gt;=1),"",IF(MOD(ROUND(I165/(1-Z165)/(1-Settings!$B$17)/(1-AN165),0),10)=0,ROUND(I165/(1-Z165)/(1-Settings!$B$17)/(1-AN165),0)-1,IF(MOD(ROUND(I165/(1-Z165)/(1-Settings!$B$17)/(1-AN165),0),10)&lt;=5,FLOOR(ROUND(I165/(1-Z165)/(1-Settings!$B$17)/(1-AN165),0),10)+6,FLOOR(ROUND(I165/(1-Z165)/(1-Settings!$B$17)/(1-AN165),0),10)+9))),"")</f>
        <v/>
      </c>
      <c r="S165" s="92" t="n"/>
      <c r="T165" s="91">
        <f>IF(S165&lt;&gt;"", IF(MOD(S165,10)=0,S165-1,IF(MOD(S165,10)&lt;=5,FLOOR(S165,10)+6,FLOOR(S165,10)+9)), R165)</f>
        <v/>
      </c>
      <c r="U165" s="87" t="inlineStr">
        <is>
          <t>Основний</t>
        </is>
      </c>
      <c r="V165" s="88" t="n"/>
      <c r="W165" s="88" t="n"/>
      <c r="X165" s="89">
        <f>IFERROR(IF(OR(V165="",W165="",T165=""),"", IF(T165&gt;W165,"Дорогий",IF(T165&lt;V165,"Дешевий","У ринку"))),"")</f>
        <v/>
      </c>
      <c r="Y165" s="90" t="n"/>
      <c r="Z165" s="104">
        <f>CHOOSE(MATCH(IF($U165="","Основний",$U165),{"Трафіковий","Основний","Маржинальний","Сезонний","Стратегічний"},0),0.16,0.19,0.24,0.23,0.28)</f>
        <v/>
      </c>
      <c r="AA165" s="104">
        <f>CHOOSE(MATCH(IF($U165="","Основний",$U165),{"Трафіковий","Основний","Маржинальний","Сезонний","Стратегічний"},0),0.18,0.21,0.26,0.25,0.3)</f>
        <v/>
      </c>
      <c r="AB165" s="104">
        <f>CHOOSE(MATCH(IF($U165="","Основний",$U165),{"Трафіковий","Основний","Маржинальний","Сезонний","Стратегічний"},0),0.19,0.22,0.28,0.26,0.32)</f>
        <v/>
      </c>
      <c r="AC165" s="104">
        <f>CHOOSE(MATCH(IF($U165="","Основний",$U165),{"Трафіковий","Основний","Маржинальний","Сезонний","Стратегічний"},0),0.17,0.2,0.25,0.24,0.28)</f>
        <v/>
      </c>
      <c r="AD165" s="104">
        <f>CHOOSE(MATCH(IF($U165="","Основний",$U165),{"Трафіковий","Основний","Маржинальний","Сезонний","Стратегічний"},0),0.18,0.21,0.26,0.25,0.3)</f>
        <v/>
      </c>
      <c r="AE165" s="104">
        <f>CHOOSE(MATCH(IF($U165="","Основний",$U165),{"Трафіковий","Основний","Маржинальний","Сезонний","Стратегічний"},0),0.18,0.2,0.28,0.27,0.32)</f>
        <v/>
      </c>
      <c r="AF165" s="104">
        <f>CHOOSE(MATCH(IF($U165="","Основний",$U165),{"Трафіковий","Основний","Маржинальний","Сезонний","Стратегічний"},0),0.15,0.175,0.22,0.21,0.25)</f>
        <v/>
      </c>
      <c r="AG165" s="104">
        <f>CHOOSE(MATCH(IF($U165="","Основний",$U165),{"Трафіковий","Основний","Маржинальний","Сезонний","Стратегічний"},0),0.13,0.16,0.21,0.2,0.25)</f>
        <v/>
      </c>
      <c r="AH165" s="104">
        <f>CHOOSE(MATCH(IF($U165="","Основний",$U165),{"Трафіковий","Основний","Маржинальний","Сезонний","Стратегічний"},0),0.15,0.18,0.23,0.22,0.27)</f>
        <v/>
      </c>
      <c r="AI165" s="104">
        <f>CHOOSE(MATCH(IF($U165="","Основний",$U165),{"Трафіковий","Основний","Маржинальний","Сезонний","Стратегічний"},0),0.16,0.19,0.25,0.23,0.29)</f>
        <v/>
      </c>
      <c r="AJ165" s="104">
        <f>CHOOSE(MATCH(IF($U165="","Основний",$U165),{"Трафіковий","Основний","Маржинальний","Сезонний","Стратегічний"},0),0.14,0.17,0.22,0.21,0.25)</f>
        <v/>
      </c>
      <c r="AK165" s="104">
        <f>CHOOSE(MATCH(IF($U165="","Основний",$U165),{"Трафіковий","Основний","Маржинальний","Сезонний","Стратегічний"},0),0.15,0.18,0.23,0.22,0.27)</f>
        <v/>
      </c>
      <c r="AL165" s="104">
        <f>CHOOSE(MATCH(IF($U165="","Основний",$U165),{"Трафіковий","Основний","Маржинальний","Сезонний","Стратегічний"},0),0.15,0.17,0.25,0.24,0.29)</f>
        <v/>
      </c>
      <c r="AM165" s="104">
        <f>CHOOSE(MATCH(IF($U165="","Основний",$U165),{"Трафіковий","Основний","Маржинальний","Сезонний","Стратегічний"},0),0.12,0.145,0.19,0.18,0.22)</f>
        <v/>
      </c>
      <c r="AN165" s="157">
        <f>CHOOSE(MATCH(IF($U165="","Основний",$U165),{"Трафіковий","Основний","Маржинальний","Сезонний","Стратегічний"},0),Settings!$B$78,Settings!$B$80,Settings!$B$82,Settings!$B$84,Settings!$B$86)</f>
        <v/>
      </c>
      <c r="AO165" s="157">
        <f>CHOOSE(MATCH(IF($U165="","Основний",$U165),{"Трафіковий","Основний","Маржинальний","Сезонний","Стратегічний"},0),Settings!$C$78,Settings!$C$80,Settings!$C$82,Settings!$C$84,Settings!$C$86)</f>
        <v/>
      </c>
      <c r="AP165" s="157">
        <f>CHOOSE(MATCH(IF($U165="","Основний",$U165),{"Трафіковий","Основний","Маржинальний","Сезонний","Стратегічний"},0),Settings!$D$78,Settings!$D$80,Settings!$D$82,Settings!$D$84,Settings!$D$86)</f>
        <v/>
      </c>
      <c r="AQ165" s="157">
        <f>CHOOSE(MATCH(IF($U165="","Основний",$U165),{"Трафіковий","Основний","Маржинальний","Сезонний","Стратегічний"},0),Settings!$F$78,Settings!$F$80,Settings!$F$82,Settings!$F$84,Settings!$F$86)</f>
        <v/>
      </c>
      <c r="AR165" s="157">
        <f>CHOOSE(MATCH(IF($U165="","Основний",$U165),{"Трафіковий","Основний","Маржинальний","Сезонний","Стратегічний"},0),Settings!$G$78,Settings!$G$80,Settings!$G$82,Settings!$G$84,Settings!$G$86)</f>
        <v/>
      </c>
      <c r="AS165" s="157">
        <f>CHOOSE(MATCH(IF($U165="","Основний",$U165),{"Трафіковий","Основний","Маржинальний","Сезонний","Стратегічний"},0),Settings!$H$78,Settings!$H$80,Settings!$H$82,Settings!$H$84,Settings!$H$86)</f>
        <v/>
      </c>
      <c r="AT165" s="157">
        <f>CHOOSE(MATCH(IF($U165="","Основний",$U165),{"Трафіковий","Основний","Маржинальний","Сезонний","Стратегічний"},0),Settings!$I$78,Settings!$I$80,Settings!$I$82,Settings!$I$84,Settings!$I$86)</f>
        <v/>
      </c>
      <c r="AU165" s="171" t="n"/>
      <c r="AV165" t="n">
        <v>1.35</v>
      </c>
    </row>
    <row r="166">
      <c r="A166" s="28" t="n"/>
      <c r="B166" s="29" t="inlineStr">
        <is>
          <t>ZTV65</t>
        </is>
      </c>
      <c r="C166" s="29" t="inlineStr">
        <is>
          <t>GOSMART AMBIENT TV LIGHT 65"</t>
        </is>
      </c>
      <c r="D166" s="29" t="inlineStr">
        <is>
          <t>GOSMART AMBIENT</t>
        </is>
      </c>
      <c r="E166" s="28" t="inlineStr">
        <is>
          <t>PC</t>
        </is>
      </c>
      <c r="F166" s="93" t="n">
        <v>48.554</v>
      </c>
      <c r="G166" s="30" t="n">
        <v>8529909300</v>
      </c>
      <c r="H166" s="31" t="n">
        <v>1.35</v>
      </c>
      <c r="I166" s="84">
        <f>IFERROR(F166*Settings!$B$2*H166*IF(AND(ISNUMBER(E166),E166&gt;1),E166,1),"")</f>
        <v/>
      </c>
      <c r="J166" s="32">
        <f>Settings!$B$66</f>
        <v/>
      </c>
      <c r="K166" s="95">
        <f>IFERROR(IF(T166="","",(T166*(1-AN166)*(1-Settings!$B$17)-I166)/(T166*(1-AN166)*(1-Settings!$B$17))),"")</f>
        <v/>
      </c>
      <c r="L166" s="101">
        <f>IFERROR(IF(T166="","",(T166*(1-AO166)*(1-Settings!$C$17)-I166)/(T166*(1-AO166)*(1-Settings!$C$17))),"")</f>
        <v/>
      </c>
      <c r="M166" s="101">
        <f>IFERROR(IF(T166="","",(T166*(1-AP166)*(1-Settings!$D$17)-I166)/(T166*(1-AP166)*(1-Settings!$D$17))),"")</f>
        <v/>
      </c>
      <c r="N166" s="101">
        <f>IFERROR(IF(T166="","",(T166*(1-AQ166)*(1-Settings!$F$17)-I166)/(T166*(1-AQ166)*(1-Settings!$F$17))),"")</f>
        <v/>
      </c>
      <c r="O166" s="101">
        <f>IFERROR(IF(T166="","",(T166*(1-AR166)*(1-Settings!$G$17)-I166)/(T166*(1-AR166)*(1-Settings!$G$17))),"")</f>
        <v/>
      </c>
      <c r="P166" s="101">
        <f>IFERROR(IF(T166="","",(T166*(1-AS166)*(1-Settings!$H$17)-I166)/(T166*(1-AS166)*(1-Settings!$H$17))),"")</f>
        <v/>
      </c>
      <c r="Q166" s="101">
        <f>IFERROR(IF(T166="","",(T166*(1-AT166)*(1-Settings!$I$68)*(1-Settings!$I$17)-I166)/(T166*(1-AT166)*(1-Settings!$I$68)*(1-Settings!$I$17))),"")</f>
        <v/>
      </c>
      <c r="R166" s="91">
        <f>IFERROR(IF(OR(I166="",Z166&gt;=1,Settings!$B$17&gt;=1,AN166&gt;=1),"",IF(MOD(ROUND(I166/(1-Z166)/(1-Settings!$B$17)/(1-AN166),0),10)=0,ROUND(I166/(1-Z166)/(1-Settings!$B$17)/(1-AN166),0)-1,IF(MOD(ROUND(I166/(1-Z166)/(1-Settings!$B$17)/(1-AN166),0),10)&lt;=5,FLOOR(ROUND(I166/(1-Z166)/(1-Settings!$B$17)/(1-AN166),0),10)+6,FLOOR(ROUND(I166/(1-Z166)/(1-Settings!$B$17)/(1-AN166),0),10)+9))),"")</f>
        <v/>
      </c>
      <c r="S166" s="92" t="n"/>
      <c r="T166" s="91">
        <f>IF(S166&lt;&gt;"", IF(MOD(S166,10)=0,S166-1,IF(MOD(S166,10)&lt;=5,FLOOR(S166,10)+6,FLOOR(S166,10)+9)), R166)</f>
        <v/>
      </c>
      <c r="U166" s="87" t="inlineStr">
        <is>
          <t>Основний</t>
        </is>
      </c>
      <c r="V166" s="88" t="n"/>
      <c r="W166" s="88" t="n"/>
      <c r="X166" s="89">
        <f>IFERROR(IF(OR(V166="",W166="",T166=""),"", IF(T166&gt;W166,"Дорогий",IF(T166&lt;V166,"Дешевий","У ринку"))),"")</f>
        <v/>
      </c>
      <c r="Y166" s="90" t="n"/>
      <c r="Z166" s="104">
        <f>CHOOSE(MATCH(IF($U166="","Основний",$U166),{"Трафіковий","Основний","Маржинальний","Сезонний","Стратегічний"},0),0.16,0.19,0.24,0.23,0.28)</f>
        <v/>
      </c>
      <c r="AA166" s="104">
        <f>CHOOSE(MATCH(IF($U166="","Основний",$U166),{"Трафіковий","Основний","Маржинальний","Сезонний","Стратегічний"},0),0.18,0.21,0.26,0.25,0.3)</f>
        <v/>
      </c>
      <c r="AB166" s="104">
        <f>CHOOSE(MATCH(IF($U166="","Основний",$U166),{"Трафіковий","Основний","Маржинальний","Сезонний","Стратегічний"},0),0.19,0.22,0.28,0.26,0.32)</f>
        <v/>
      </c>
      <c r="AC166" s="104">
        <f>CHOOSE(MATCH(IF($U166="","Основний",$U166),{"Трафіковий","Основний","Маржинальний","Сезонний","Стратегічний"},0),0.17,0.2,0.25,0.24,0.28)</f>
        <v/>
      </c>
      <c r="AD166" s="104">
        <f>CHOOSE(MATCH(IF($U166="","Основний",$U166),{"Трафіковий","Основний","Маржинальний","Сезонний","Стратегічний"},0),0.18,0.21,0.26,0.25,0.3)</f>
        <v/>
      </c>
      <c r="AE166" s="104">
        <f>CHOOSE(MATCH(IF($U166="","Основний",$U166),{"Трафіковий","Основний","Маржинальний","Сезонний","Стратегічний"},0),0.18,0.2,0.28,0.27,0.32)</f>
        <v/>
      </c>
      <c r="AF166" s="104">
        <f>CHOOSE(MATCH(IF($U166="","Основний",$U166),{"Трафіковий","Основний","Маржинальний","Сезонний","Стратегічний"},0),0.15,0.175,0.22,0.21,0.25)</f>
        <v/>
      </c>
      <c r="AG166" s="104">
        <f>CHOOSE(MATCH(IF($U166="","Основний",$U166),{"Трафіковий","Основний","Маржинальний","Сезонний","Стратегічний"},0),0.13,0.16,0.21,0.2,0.25)</f>
        <v/>
      </c>
      <c r="AH166" s="104">
        <f>CHOOSE(MATCH(IF($U166="","Основний",$U166),{"Трафіковий","Основний","Маржинальний","Сезонний","Стратегічний"},0),0.15,0.18,0.23,0.22,0.27)</f>
        <v/>
      </c>
      <c r="AI166" s="104">
        <f>CHOOSE(MATCH(IF($U166="","Основний",$U166),{"Трафіковий","Основний","Маржинальний","Сезонний","Стратегічний"},0),0.16,0.19,0.25,0.23,0.29)</f>
        <v/>
      </c>
      <c r="AJ166" s="104">
        <f>CHOOSE(MATCH(IF($U166="","Основний",$U166),{"Трафіковий","Основний","Маржинальний","Сезонний","Стратегічний"},0),0.14,0.17,0.22,0.21,0.25)</f>
        <v/>
      </c>
      <c r="AK166" s="104">
        <f>CHOOSE(MATCH(IF($U166="","Основний",$U166),{"Трафіковий","Основний","Маржинальний","Сезонний","Стратегічний"},0),0.15,0.18,0.23,0.22,0.27)</f>
        <v/>
      </c>
      <c r="AL166" s="104">
        <f>CHOOSE(MATCH(IF($U166="","Основний",$U166),{"Трафіковий","Основний","Маржинальний","Сезонний","Стратегічний"},0),0.15,0.17,0.25,0.24,0.29)</f>
        <v/>
      </c>
      <c r="AM166" s="104">
        <f>CHOOSE(MATCH(IF($U166="","Основний",$U166),{"Трафіковий","Основний","Маржинальний","Сезонний","Стратегічний"},0),0.12,0.145,0.19,0.18,0.22)</f>
        <v/>
      </c>
      <c r="AN166" s="157">
        <f>CHOOSE(MATCH(IF($U166="","Основний",$U166),{"Трафіковий","Основний","Маржинальний","Сезонний","Стратегічний"},0),Settings!$B$78,Settings!$B$80,Settings!$B$82,Settings!$B$84,Settings!$B$86)</f>
        <v/>
      </c>
      <c r="AO166" s="157">
        <f>CHOOSE(MATCH(IF($U166="","Основний",$U166),{"Трафіковий","Основний","Маржинальний","Сезонний","Стратегічний"},0),Settings!$C$78,Settings!$C$80,Settings!$C$82,Settings!$C$84,Settings!$C$86)</f>
        <v/>
      </c>
      <c r="AP166" s="157">
        <f>CHOOSE(MATCH(IF($U166="","Основний",$U166),{"Трафіковий","Основний","Маржинальний","Сезонний","Стратегічний"},0),Settings!$D$78,Settings!$D$80,Settings!$D$82,Settings!$D$84,Settings!$D$86)</f>
        <v/>
      </c>
      <c r="AQ166" s="157">
        <f>CHOOSE(MATCH(IF($U166="","Основний",$U166),{"Трафіковий","Основний","Маржинальний","Сезонний","Стратегічний"},0),Settings!$F$78,Settings!$F$80,Settings!$F$82,Settings!$F$84,Settings!$F$86)</f>
        <v/>
      </c>
      <c r="AR166" s="157">
        <f>CHOOSE(MATCH(IF($U166="","Основний",$U166),{"Трафіковий","Основний","Маржинальний","Сезонний","Стратегічний"},0),Settings!$G$78,Settings!$G$80,Settings!$G$82,Settings!$G$84,Settings!$G$86)</f>
        <v/>
      </c>
      <c r="AS166" s="157">
        <f>CHOOSE(MATCH(IF($U166="","Основний",$U166),{"Трафіковий","Основний","Маржинальний","Сезонний","Стратегічний"},0),Settings!$H$78,Settings!$H$80,Settings!$H$82,Settings!$H$84,Settings!$H$86)</f>
        <v/>
      </c>
      <c r="AT166" s="157">
        <f>CHOOSE(MATCH(IF($U166="","Основний",$U166),{"Трафіковий","Основний","Маржинальний","Сезонний","Стратегічний"},0),Settings!$I$78,Settings!$I$80,Settings!$I$82,Settings!$I$84,Settings!$I$86)</f>
        <v/>
      </c>
      <c r="AU166" s="171" t="n"/>
      <c r="AV166" t="n">
        <v>1.35</v>
      </c>
    </row>
    <row r="167">
      <c r="A167" s="33" t="n"/>
      <c r="B167" s="34" t="inlineStr">
        <is>
          <t>ZTV75</t>
        </is>
      </c>
      <c r="C167" s="34" t="inlineStr">
        <is>
          <t>GOSMART AMBIENT TV LIGHT 75"</t>
        </is>
      </c>
      <c r="D167" s="34" t="inlineStr">
        <is>
          <t>GOSMART AMBIENT</t>
        </is>
      </c>
      <c r="E167" s="33" t="inlineStr">
        <is>
          <t>PC</t>
        </is>
      </c>
      <c r="F167" s="94" t="n">
        <v>56.193</v>
      </c>
      <c r="G167" s="35" t="n">
        <v>8529909300</v>
      </c>
      <c r="H167" s="31" t="n">
        <v>1.35</v>
      </c>
      <c r="I167" s="84">
        <f>IFERROR(F167*Settings!$B$2*H167*IF(AND(ISNUMBER(E167),E167&gt;1),E167,1),"")</f>
        <v/>
      </c>
      <c r="J167" s="32">
        <f>Settings!$B$66</f>
        <v/>
      </c>
      <c r="K167" s="95">
        <f>IFERROR(IF(T167="","",(T167*(1-AN167)*(1-Settings!$B$17)-I167)/(T167*(1-AN167)*(1-Settings!$B$17))),"")</f>
        <v/>
      </c>
      <c r="L167" s="101">
        <f>IFERROR(IF(T167="","",(T167*(1-AO167)*(1-Settings!$C$17)-I167)/(T167*(1-AO167)*(1-Settings!$C$17))),"")</f>
        <v/>
      </c>
      <c r="M167" s="101">
        <f>IFERROR(IF(T167="","",(T167*(1-AP167)*(1-Settings!$D$17)-I167)/(T167*(1-AP167)*(1-Settings!$D$17))),"")</f>
        <v/>
      </c>
      <c r="N167" s="101">
        <f>IFERROR(IF(T167="","",(T167*(1-AQ167)*(1-Settings!$F$17)-I167)/(T167*(1-AQ167)*(1-Settings!$F$17))),"")</f>
        <v/>
      </c>
      <c r="O167" s="101">
        <f>IFERROR(IF(T167="","",(T167*(1-AR167)*(1-Settings!$G$17)-I167)/(T167*(1-AR167)*(1-Settings!$G$17))),"")</f>
        <v/>
      </c>
      <c r="P167" s="101">
        <f>IFERROR(IF(T167="","",(T167*(1-AS167)*(1-Settings!$H$17)-I167)/(T167*(1-AS167)*(1-Settings!$H$17))),"")</f>
        <v/>
      </c>
      <c r="Q167" s="101">
        <f>IFERROR(IF(T167="","",(T167*(1-AT167)*(1-Settings!$I$68)*(1-Settings!$I$17)-I167)/(T167*(1-AT167)*(1-Settings!$I$68)*(1-Settings!$I$17))),"")</f>
        <v/>
      </c>
      <c r="R167" s="91">
        <f>IFERROR(IF(OR(I167="",Z167&gt;=1,Settings!$B$17&gt;=1,AN167&gt;=1),"",IF(MOD(ROUND(I167/(1-Z167)/(1-Settings!$B$17)/(1-AN167),0),10)=0,ROUND(I167/(1-Z167)/(1-Settings!$B$17)/(1-AN167),0)-1,IF(MOD(ROUND(I167/(1-Z167)/(1-Settings!$B$17)/(1-AN167),0),10)&lt;=5,FLOOR(ROUND(I167/(1-Z167)/(1-Settings!$B$17)/(1-AN167),0),10)+6,FLOOR(ROUND(I167/(1-Z167)/(1-Settings!$B$17)/(1-AN167),0),10)+9))),"")</f>
        <v/>
      </c>
      <c r="S167" s="92" t="n"/>
      <c r="T167" s="91">
        <f>IF(S167&lt;&gt;"", IF(MOD(S167,10)=0,S167-1,IF(MOD(S167,10)&lt;=5,FLOOR(S167,10)+6,FLOOR(S167,10)+9)), R167)</f>
        <v/>
      </c>
      <c r="U167" s="87" t="inlineStr">
        <is>
          <t>Основний</t>
        </is>
      </c>
      <c r="V167" s="88" t="n"/>
      <c r="W167" s="88" t="n"/>
      <c r="X167" s="89">
        <f>IFERROR(IF(OR(V167="",W167="",T167=""),"", IF(T167&gt;W167,"Дорогий",IF(T167&lt;V167,"Дешевий","У ринку"))),"")</f>
        <v/>
      </c>
      <c r="Y167" s="90" t="n"/>
      <c r="Z167" s="104">
        <f>CHOOSE(MATCH(IF($U167="","Основний",$U167),{"Трафіковий","Основний","Маржинальний","Сезонний","Стратегічний"},0),0.16,0.19,0.24,0.23,0.28)</f>
        <v/>
      </c>
      <c r="AA167" s="104">
        <f>CHOOSE(MATCH(IF($U167="","Основний",$U167),{"Трафіковий","Основний","Маржинальний","Сезонний","Стратегічний"},0),0.18,0.21,0.26,0.25,0.3)</f>
        <v/>
      </c>
      <c r="AB167" s="104">
        <f>CHOOSE(MATCH(IF($U167="","Основний",$U167),{"Трафіковий","Основний","Маржинальний","Сезонний","Стратегічний"},0),0.19,0.22,0.28,0.26,0.32)</f>
        <v/>
      </c>
      <c r="AC167" s="104">
        <f>CHOOSE(MATCH(IF($U167="","Основний",$U167),{"Трафіковий","Основний","Маржинальний","Сезонний","Стратегічний"},0),0.17,0.2,0.25,0.24,0.28)</f>
        <v/>
      </c>
      <c r="AD167" s="104">
        <f>CHOOSE(MATCH(IF($U167="","Основний",$U167),{"Трафіковий","Основний","Маржинальний","Сезонний","Стратегічний"},0),0.18,0.21,0.26,0.25,0.3)</f>
        <v/>
      </c>
      <c r="AE167" s="104">
        <f>CHOOSE(MATCH(IF($U167="","Основний",$U167),{"Трафіковий","Основний","Маржинальний","Сезонний","Стратегічний"},0),0.18,0.2,0.28,0.27,0.32)</f>
        <v/>
      </c>
      <c r="AF167" s="104">
        <f>CHOOSE(MATCH(IF($U167="","Основний",$U167),{"Трафіковий","Основний","Маржинальний","Сезонний","Стратегічний"},0),0.15,0.175,0.22,0.21,0.25)</f>
        <v/>
      </c>
      <c r="AG167" s="104">
        <f>CHOOSE(MATCH(IF($U167="","Основний",$U167),{"Трафіковий","Основний","Маржинальний","Сезонний","Стратегічний"},0),0.13,0.16,0.21,0.2,0.25)</f>
        <v/>
      </c>
      <c r="AH167" s="104">
        <f>CHOOSE(MATCH(IF($U167="","Основний",$U167),{"Трафіковий","Основний","Маржинальний","Сезонний","Стратегічний"},0),0.15,0.18,0.23,0.22,0.27)</f>
        <v/>
      </c>
      <c r="AI167" s="104">
        <f>CHOOSE(MATCH(IF($U167="","Основний",$U167),{"Трафіковий","Основний","Маржинальний","Сезонний","Стратегічний"},0),0.16,0.19,0.25,0.23,0.29)</f>
        <v/>
      </c>
      <c r="AJ167" s="104">
        <f>CHOOSE(MATCH(IF($U167="","Основний",$U167),{"Трафіковий","Основний","Маржинальний","Сезонний","Стратегічний"},0),0.14,0.17,0.22,0.21,0.25)</f>
        <v/>
      </c>
      <c r="AK167" s="104">
        <f>CHOOSE(MATCH(IF($U167="","Основний",$U167),{"Трафіковий","Основний","Маржинальний","Сезонний","Стратегічний"},0),0.15,0.18,0.23,0.22,0.27)</f>
        <v/>
      </c>
      <c r="AL167" s="104">
        <f>CHOOSE(MATCH(IF($U167="","Основний",$U167),{"Трафіковий","Основний","Маржинальний","Сезонний","Стратегічний"},0),0.15,0.17,0.25,0.24,0.29)</f>
        <v/>
      </c>
      <c r="AM167" s="104">
        <f>CHOOSE(MATCH(IF($U167="","Основний",$U167),{"Трафіковий","Основний","Маржинальний","Сезонний","Стратегічний"},0),0.12,0.145,0.19,0.18,0.22)</f>
        <v/>
      </c>
      <c r="AN167" s="157">
        <f>CHOOSE(MATCH(IF($U167="","Основний",$U167),{"Трафіковий","Основний","Маржинальний","Сезонний","Стратегічний"},0),Settings!$B$78,Settings!$B$80,Settings!$B$82,Settings!$B$84,Settings!$B$86)</f>
        <v/>
      </c>
      <c r="AO167" s="157">
        <f>CHOOSE(MATCH(IF($U167="","Основний",$U167),{"Трафіковий","Основний","Маржинальний","Сезонний","Стратегічний"},0),Settings!$C$78,Settings!$C$80,Settings!$C$82,Settings!$C$84,Settings!$C$86)</f>
        <v/>
      </c>
      <c r="AP167" s="157">
        <f>CHOOSE(MATCH(IF($U167="","Основний",$U167),{"Трафіковий","Основний","Маржинальний","Сезонний","Стратегічний"},0),Settings!$D$78,Settings!$D$80,Settings!$D$82,Settings!$D$84,Settings!$D$86)</f>
        <v/>
      </c>
      <c r="AQ167" s="157">
        <f>CHOOSE(MATCH(IF($U167="","Основний",$U167),{"Трафіковий","Основний","Маржинальний","Сезонний","Стратегічний"},0),Settings!$F$78,Settings!$F$80,Settings!$F$82,Settings!$F$84,Settings!$F$86)</f>
        <v/>
      </c>
      <c r="AR167" s="157">
        <f>CHOOSE(MATCH(IF($U167="","Основний",$U167),{"Трафіковий","Основний","Маржинальний","Сезонний","Стратегічний"},0),Settings!$G$78,Settings!$G$80,Settings!$G$82,Settings!$G$84,Settings!$G$86)</f>
        <v/>
      </c>
      <c r="AS167" s="157">
        <f>CHOOSE(MATCH(IF($U167="","Основний",$U167),{"Трафіковий","Основний","Маржинальний","Сезонний","Стратегічний"},0),Settings!$H$78,Settings!$H$80,Settings!$H$82,Settings!$H$84,Settings!$H$86)</f>
        <v/>
      </c>
      <c r="AT167" s="157">
        <f>CHOOSE(MATCH(IF($U167="","Основний",$U167),{"Трафіковий","Основний","Маржинальний","Сезонний","Стратегічний"},0),Settings!$I$78,Settings!$I$80,Settings!$I$82,Settings!$I$84,Settings!$I$86)</f>
        <v/>
      </c>
      <c r="AU167" s="171" t="n"/>
      <c r="AV167" t="n">
        <v>1.35</v>
      </c>
    </row>
    <row r="168">
      <c r="A168" s="28" t="n"/>
      <c r="B168" s="29" t="inlineStr">
        <is>
          <t>Z7617</t>
        </is>
      </c>
      <c r="C168" s="29" t="inlineStr">
        <is>
          <t>LED MONITOR LIGHT AVA</t>
        </is>
      </c>
      <c r="D168" s="29" t="inlineStr">
        <is>
          <t>GOSMART AMBIENT</t>
        </is>
      </c>
      <c r="E168" s="28" t="inlineStr">
        <is>
          <t>PC</t>
        </is>
      </c>
      <c r="F168" s="93" t="n">
        <v>14.898</v>
      </c>
      <c r="G168" s="30" t="n">
        <v>9405423990</v>
      </c>
      <c r="H168" s="31" t="n">
        <v>1.35</v>
      </c>
      <c r="I168" s="84">
        <f>IFERROR(F168*Settings!$B$2*H168*IF(AND(ISNUMBER(E168),E168&gt;1),E168,1),"")</f>
        <v/>
      </c>
      <c r="J168" s="32">
        <f>Settings!$B$66</f>
        <v/>
      </c>
      <c r="K168" s="95">
        <f>IFERROR(IF(T168="","",(T168*(1-AN168)*(1-Settings!$B$17)-I168)/(T168*(1-AN168)*(1-Settings!$B$17))),"")</f>
        <v/>
      </c>
      <c r="L168" s="101">
        <f>IFERROR(IF(T168="","",(T168*(1-AO168)*(1-Settings!$C$17)-I168)/(T168*(1-AO168)*(1-Settings!$C$17))),"")</f>
        <v/>
      </c>
      <c r="M168" s="101">
        <f>IFERROR(IF(T168="","",(T168*(1-AP168)*(1-Settings!$D$17)-I168)/(T168*(1-AP168)*(1-Settings!$D$17))),"")</f>
        <v/>
      </c>
      <c r="N168" s="101">
        <f>IFERROR(IF(T168="","",(T168*(1-AQ168)*(1-Settings!$F$17)-I168)/(T168*(1-AQ168)*(1-Settings!$F$17))),"")</f>
        <v/>
      </c>
      <c r="O168" s="101">
        <f>IFERROR(IF(T168="","",(T168*(1-AR168)*(1-Settings!$G$17)-I168)/(T168*(1-AR168)*(1-Settings!$G$17))),"")</f>
        <v/>
      </c>
      <c r="P168" s="101">
        <f>IFERROR(IF(T168="","",(T168*(1-AS168)*(1-Settings!$H$17)-I168)/(T168*(1-AS168)*(1-Settings!$H$17))),"")</f>
        <v/>
      </c>
      <c r="Q168" s="101">
        <f>IFERROR(IF(T168="","",(T168*(1-AT168)*(1-Settings!$I$68)*(1-Settings!$I$17)-I168)/(T168*(1-AT168)*(1-Settings!$I$68)*(1-Settings!$I$17))),"")</f>
        <v/>
      </c>
      <c r="R168" s="91">
        <f>IFERROR(IF(OR(I168="",Z168&gt;=1,Settings!$B$17&gt;=1,AN168&gt;=1),"",IF(MOD(ROUND(I168/(1-Z168)/(1-Settings!$B$17)/(1-AN168),0),10)=0,ROUND(I168/(1-Z168)/(1-Settings!$B$17)/(1-AN168),0)-1,IF(MOD(ROUND(I168/(1-Z168)/(1-Settings!$B$17)/(1-AN168),0),10)&lt;=5,FLOOR(ROUND(I168/(1-Z168)/(1-Settings!$B$17)/(1-AN168),0),10)+6,FLOOR(ROUND(I168/(1-Z168)/(1-Settings!$B$17)/(1-AN168),0),10)+9))),"")</f>
        <v/>
      </c>
      <c r="S168" s="92" t="n"/>
      <c r="T168" s="91">
        <f>IF(S168&lt;&gt;"", IF(MOD(S168,10)=0,S168-1,IF(MOD(S168,10)&lt;=5,FLOOR(S168,10)+6,FLOOR(S168,10)+9)), R168)</f>
        <v/>
      </c>
      <c r="U168" s="87" t="inlineStr">
        <is>
          <t>Основний</t>
        </is>
      </c>
      <c r="V168" s="88" t="n"/>
      <c r="W168" s="88" t="n"/>
      <c r="X168" s="89">
        <f>IFERROR(IF(OR(V168="",W168="",T168=""),"", IF(T168&gt;W168,"Дорогий",IF(T168&lt;V168,"Дешевий","У ринку"))),"")</f>
        <v/>
      </c>
      <c r="Y168" s="90" t="n"/>
      <c r="Z168" s="104">
        <f>CHOOSE(MATCH(IF($U168="","Основний",$U168),{"Трафіковий","Основний","Маржинальний","Сезонний","Стратегічний"},0),0.16,0.19,0.24,0.23,0.28)</f>
        <v/>
      </c>
      <c r="AA168" s="104">
        <f>CHOOSE(MATCH(IF($U168="","Основний",$U168),{"Трафіковий","Основний","Маржинальний","Сезонний","Стратегічний"},0),0.18,0.21,0.26,0.25,0.3)</f>
        <v/>
      </c>
      <c r="AB168" s="104">
        <f>CHOOSE(MATCH(IF($U168="","Основний",$U168),{"Трафіковий","Основний","Маржинальний","Сезонний","Стратегічний"},0),0.19,0.22,0.28,0.26,0.32)</f>
        <v/>
      </c>
      <c r="AC168" s="104">
        <f>CHOOSE(MATCH(IF($U168="","Основний",$U168),{"Трафіковий","Основний","Маржинальний","Сезонний","Стратегічний"},0),0.17,0.2,0.25,0.24,0.28)</f>
        <v/>
      </c>
      <c r="AD168" s="104">
        <f>CHOOSE(MATCH(IF($U168="","Основний",$U168),{"Трафіковий","Основний","Маржинальний","Сезонний","Стратегічний"},0),0.18,0.21,0.26,0.25,0.3)</f>
        <v/>
      </c>
      <c r="AE168" s="104">
        <f>CHOOSE(MATCH(IF($U168="","Основний",$U168),{"Трафіковий","Основний","Маржинальний","Сезонний","Стратегічний"},0),0.18,0.2,0.28,0.27,0.32)</f>
        <v/>
      </c>
      <c r="AF168" s="104">
        <f>CHOOSE(MATCH(IF($U168="","Основний",$U168),{"Трафіковий","Основний","Маржинальний","Сезонний","Стратегічний"},0),0.15,0.175,0.22,0.21,0.25)</f>
        <v/>
      </c>
      <c r="AG168" s="104">
        <f>CHOOSE(MATCH(IF($U168="","Основний",$U168),{"Трафіковий","Основний","Маржинальний","Сезонний","Стратегічний"},0),0.13,0.16,0.21,0.2,0.25)</f>
        <v/>
      </c>
      <c r="AH168" s="104">
        <f>CHOOSE(MATCH(IF($U168="","Основний",$U168),{"Трафіковий","Основний","Маржинальний","Сезонний","Стратегічний"},0),0.15,0.18,0.23,0.22,0.27)</f>
        <v/>
      </c>
      <c r="AI168" s="104">
        <f>CHOOSE(MATCH(IF($U168="","Основний",$U168),{"Трафіковий","Основний","Маржинальний","Сезонний","Стратегічний"},0),0.16,0.19,0.25,0.23,0.29)</f>
        <v/>
      </c>
      <c r="AJ168" s="104">
        <f>CHOOSE(MATCH(IF($U168="","Основний",$U168),{"Трафіковий","Основний","Маржинальний","Сезонний","Стратегічний"},0),0.14,0.17,0.22,0.21,0.25)</f>
        <v/>
      </c>
      <c r="AK168" s="104">
        <f>CHOOSE(MATCH(IF($U168="","Основний",$U168),{"Трафіковий","Основний","Маржинальний","Сезонний","Стратегічний"},0),0.15,0.18,0.23,0.22,0.27)</f>
        <v/>
      </c>
      <c r="AL168" s="104">
        <f>CHOOSE(MATCH(IF($U168="","Основний",$U168),{"Трафіковий","Основний","Маржинальний","Сезонний","Стратегічний"},0),0.15,0.17,0.25,0.24,0.29)</f>
        <v/>
      </c>
      <c r="AM168" s="104">
        <f>CHOOSE(MATCH(IF($U168="","Основний",$U168),{"Трафіковий","Основний","Маржинальний","Сезонний","Стратегічний"},0),0.12,0.145,0.19,0.18,0.22)</f>
        <v/>
      </c>
      <c r="AN168" s="157">
        <f>CHOOSE(MATCH(IF($U168="","Основний",$U168),{"Трафіковий","Основний","Маржинальний","Сезонний","Стратегічний"},0),Settings!$B$78,Settings!$B$80,Settings!$B$82,Settings!$B$84,Settings!$B$86)</f>
        <v/>
      </c>
      <c r="AO168" s="157">
        <f>CHOOSE(MATCH(IF($U168="","Основний",$U168),{"Трафіковий","Основний","Маржинальний","Сезонний","Стратегічний"},0),Settings!$C$78,Settings!$C$80,Settings!$C$82,Settings!$C$84,Settings!$C$86)</f>
        <v/>
      </c>
      <c r="AP168" s="157">
        <f>CHOOSE(MATCH(IF($U168="","Основний",$U168),{"Трафіковий","Основний","Маржинальний","Сезонний","Стратегічний"},0),Settings!$D$78,Settings!$D$80,Settings!$D$82,Settings!$D$84,Settings!$D$86)</f>
        <v/>
      </c>
      <c r="AQ168" s="157">
        <f>CHOOSE(MATCH(IF($U168="","Основний",$U168),{"Трафіковий","Основний","Маржинальний","Сезонний","Стратегічний"},0),Settings!$F$78,Settings!$F$80,Settings!$F$82,Settings!$F$84,Settings!$F$86)</f>
        <v/>
      </c>
      <c r="AR168" s="157">
        <f>CHOOSE(MATCH(IF($U168="","Основний",$U168),{"Трафіковий","Основний","Маржинальний","Сезонний","Стратегічний"},0),Settings!$G$78,Settings!$G$80,Settings!$G$82,Settings!$G$84,Settings!$G$86)</f>
        <v/>
      </c>
      <c r="AS168" s="157">
        <f>CHOOSE(MATCH(IF($U168="","Основний",$U168),{"Трафіковий","Основний","Маржинальний","Сезонний","Стратегічний"},0),Settings!$H$78,Settings!$H$80,Settings!$H$82,Settings!$H$84,Settings!$H$86)</f>
        <v/>
      </c>
      <c r="AT168" s="157">
        <f>CHOOSE(MATCH(IF($U168="","Основний",$U168),{"Трафіковий","Основний","Маржинальний","Сезонний","Стратегічний"},0),Settings!$I$78,Settings!$I$80,Settings!$I$82,Settings!$I$84,Settings!$I$86)</f>
        <v/>
      </c>
      <c r="AU168" s="171" t="n"/>
      <c r="AV168" t="n">
        <v>1.35</v>
      </c>
    </row>
    <row r="169">
      <c r="A169" s="33" t="inlineStr">
        <is>
          <t>SELL OUT</t>
        </is>
      </c>
      <c r="B169" s="34" t="inlineStr">
        <is>
          <t>Z7625</t>
        </is>
      </c>
      <c r="C169" s="34" t="inlineStr">
        <is>
          <t>LED MONITOR LIGHT MIA</t>
        </is>
      </c>
      <c r="D169" s="34" t="inlineStr">
        <is>
          <t>GOSMART AMBIENT</t>
        </is>
      </c>
      <c r="E169" s="33" t="inlineStr">
        <is>
          <t>PC</t>
        </is>
      </c>
      <c r="F169" s="94" t="n">
        <v>12.003</v>
      </c>
      <c r="G169" s="35" t="n">
        <v>9405423990</v>
      </c>
      <c r="H169" s="31" t="n">
        <v>1.35</v>
      </c>
      <c r="I169" s="84">
        <f>IFERROR(F169*Settings!$B$2*H169*IF(AND(ISNUMBER(E169),E169&gt;1),E169,1),"")</f>
        <v/>
      </c>
      <c r="J169" s="32">
        <f>Settings!$B$66</f>
        <v/>
      </c>
      <c r="K169" s="95">
        <f>IFERROR(IF(T169="","",(T169*(1-AN169)*(1-Settings!$B$17)-I169)/(T169*(1-AN169)*(1-Settings!$B$17))),"")</f>
        <v/>
      </c>
      <c r="L169" s="101">
        <f>IFERROR(IF(T169="","",(T169*(1-AO169)*(1-Settings!$C$17)-I169)/(T169*(1-AO169)*(1-Settings!$C$17))),"")</f>
        <v/>
      </c>
      <c r="M169" s="101">
        <f>IFERROR(IF(T169="","",(T169*(1-AP169)*(1-Settings!$D$17)-I169)/(T169*(1-AP169)*(1-Settings!$D$17))),"")</f>
        <v/>
      </c>
      <c r="N169" s="101">
        <f>IFERROR(IF(T169="","",(T169*(1-AQ169)*(1-Settings!$F$17)-I169)/(T169*(1-AQ169)*(1-Settings!$F$17))),"")</f>
        <v/>
      </c>
      <c r="O169" s="101">
        <f>IFERROR(IF(T169="","",(T169*(1-AR169)*(1-Settings!$G$17)-I169)/(T169*(1-AR169)*(1-Settings!$G$17))),"")</f>
        <v/>
      </c>
      <c r="P169" s="101">
        <f>IFERROR(IF(T169="","",(T169*(1-AS169)*(1-Settings!$H$17)-I169)/(T169*(1-AS169)*(1-Settings!$H$17))),"")</f>
        <v/>
      </c>
      <c r="Q169" s="101">
        <f>IFERROR(IF(T169="","",(T169*(1-AT169)*(1-Settings!$I$68)*(1-Settings!$I$17)-I169)/(T169*(1-AT169)*(1-Settings!$I$68)*(1-Settings!$I$17))),"")</f>
        <v/>
      </c>
      <c r="R169" s="91">
        <f>IFERROR(IF(OR(I169="",Z169&gt;=1,Settings!$B$17&gt;=1,AN169&gt;=1),"",IF(MOD(ROUND(I169/(1-Z169)/(1-Settings!$B$17)/(1-AN169),0),10)=0,ROUND(I169/(1-Z169)/(1-Settings!$B$17)/(1-AN169),0)-1,IF(MOD(ROUND(I169/(1-Z169)/(1-Settings!$B$17)/(1-AN169),0),10)&lt;=5,FLOOR(ROUND(I169/(1-Z169)/(1-Settings!$B$17)/(1-AN169),0),10)+6,FLOOR(ROUND(I169/(1-Z169)/(1-Settings!$B$17)/(1-AN169),0),10)+9))),"")</f>
        <v/>
      </c>
      <c r="S169" s="92" t="n"/>
      <c r="T169" s="91">
        <f>IF(S169&lt;&gt;"", IF(MOD(S169,10)=0,S169-1,IF(MOD(S169,10)&lt;=5,FLOOR(S169,10)+6,FLOOR(S169,10)+9)), R169)</f>
        <v/>
      </c>
      <c r="U169" s="87" t="inlineStr">
        <is>
          <t>Основний</t>
        </is>
      </c>
      <c r="V169" s="88" t="n"/>
      <c r="W169" s="88" t="n"/>
      <c r="X169" s="89">
        <f>IFERROR(IF(OR(V169="",W169="",T169=""),"", IF(T169&gt;W169,"Дорогий",IF(T169&lt;V169,"Дешевий","У ринку"))),"")</f>
        <v/>
      </c>
      <c r="Y169" s="90" t="n"/>
      <c r="Z169" s="104">
        <f>CHOOSE(MATCH(IF($U169="","Основний",$U169),{"Трафіковий","Основний","Маржинальний","Сезонний","Стратегічний"},0),0.16,0.19,0.24,0.23,0.28)</f>
        <v/>
      </c>
      <c r="AA169" s="104">
        <f>CHOOSE(MATCH(IF($U169="","Основний",$U169),{"Трафіковий","Основний","Маржинальний","Сезонний","Стратегічний"},0),0.18,0.21,0.26,0.25,0.3)</f>
        <v/>
      </c>
      <c r="AB169" s="104">
        <f>CHOOSE(MATCH(IF($U169="","Основний",$U169),{"Трафіковий","Основний","Маржинальний","Сезонний","Стратегічний"},0),0.19,0.22,0.28,0.26,0.32)</f>
        <v/>
      </c>
      <c r="AC169" s="104">
        <f>CHOOSE(MATCH(IF($U169="","Основний",$U169),{"Трафіковий","Основний","Маржинальний","Сезонний","Стратегічний"},0),0.17,0.2,0.25,0.24,0.28)</f>
        <v/>
      </c>
      <c r="AD169" s="104">
        <f>CHOOSE(MATCH(IF($U169="","Основний",$U169),{"Трафіковий","Основний","Маржинальний","Сезонний","Стратегічний"},0),0.18,0.21,0.26,0.25,0.3)</f>
        <v/>
      </c>
      <c r="AE169" s="104">
        <f>CHOOSE(MATCH(IF($U169="","Основний",$U169),{"Трафіковий","Основний","Маржинальний","Сезонний","Стратегічний"},0),0.18,0.2,0.28,0.27,0.32)</f>
        <v/>
      </c>
      <c r="AF169" s="104">
        <f>CHOOSE(MATCH(IF($U169="","Основний",$U169),{"Трафіковий","Основний","Маржинальний","Сезонний","Стратегічний"},0),0.15,0.175,0.22,0.21,0.25)</f>
        <v/>
      </c>
      <c r="AG169" s="104">
        <f>CHOOSE(MATCH(IF($U169="","Основний",$U169),{"Трафіковий","Основний","Маржинальний","Сезонний","Стратегічний"},0),0.13,0.16,0.21,0.2,0.25)</f>
        <v/>
      </c>
      <c r="AH169" s="104">
        <f>CHOOSE(MATCH(IF($U169="","Основний",$U169),{"Трафіковий","Основний","Маржинальний","Сезонний","Стратегічний"},0),0.15,0.18,0.23,0.22,0.27)</f>
        <v/>
      </c>
      <c r="AI169" s="104">
        <f>CHOOSE(MATCH(IF($U169="","Основний",$U169),{"Трафіковий","Основний","Маржинальний","Сезонний","Стратегічний"},0),0.16,0.19,0.25,0.23,0.29)</f>
        <v/>
      </c>
      <c r="AJ169" s="104">
        <f>CHOOSE(MATCH(IF($U169="","Основний",$U169),{"Трафіковий","Основний","Маржинальний","Сезонний","Стратегічний"},0),0.14,0.17,0.22,0.21,0.25)</f>
        <v/>
      </c>
      <c r="AK169" s="104">
        <f>CHOOSE(MATCH(IF($U169="","Основний",$U169),{"Трафіковий","Основний","Маржинальний","Сезонний","Стратегічний"},0),0.15,0.18,0.23,0.22,0.27)</f>
        <v/>
      </c>
      <c r="AL169" s="104">
        <f>CHOOSE(MATCH(IF($U169="","Основний",$U169),{"Трафіковий","Основний","Маржинальний","Сезонний","Стратегічний"},0),0.15,0.17,0.25,0.24,0.29)</f>
        <v/>
      </c>
      <c r="AM169" s="104">
        <f>CHOOSE(MATCH(IF($U169="","Основний",$U169),{"Трафіковий","Основний","Маржинальний","Сезонний","Стратегічний"},0),0.12,0.145,0.19,0.18,0.22)</f>
        <v/>
      </c>
      <c r="AN169" s="157">
        <f>CHOOSE(MATCH(IF($U169="","Основний",$U169),{"Трафіковий","Основний","Маржинальний","Сезонний","Стратегічний"},0),Settings!$B$78,Settings!$B$80,Settings!$B$82,Settings!$B$84,Settings!$B$86)</f>
        <v/>
      </c>
      <c r="AO169" s="157">
        <f>CHOOSE(MATCH(IF($U169="","Основний",$U169),{"Трафіковий","Основний","Маржинальний","Сезонний","Стратегічний"},0),Settings!$C$78,Settings!$C$80,Settings!$C$82,Settings!$C$84,Settings!$C$86)</f>
        <v/>
      </c>
      <c r="AP169" s="157">
        <f>CHOOSE(MATCH(IF($U169="","Основний",$U169),{"Трафіковий","Основний","Маржинальний","Сезонний","Стратегічний"},0),Settings!$D$78,Settings!$D$80,Settings!$D$82,Settings!$D$84,Settings!$D$86)</f>
        <v/>
      </c>
      <c r="AQ169" s="157">
        <f>CHOOSE(MATCH(IF($U169="","Основний",$U169),{"Трафіковий","Основний","Маржинальний","Сезонний","Стратегічний"},0),Settings!$F$78,Settings!$F$80,Settings!$F$82,Settings!$F$84,Settings!$F$86)</f>
        <v/>
      </c>
      <c r="AR169" s="157">
        <f>CHOOSE(MATCH(IF($U169="","Основний",$U169),{"Трафіковий","Основний","Маржинальний","Сезонний","Стратегічний"},0),Settings!$G$78,Settings!$G$80,Settings!$G$82,Settings!$G$84,Settings!$G$86)</f>
        <v/>
      </c>
      <c r="AS169" s="157">
        <f>CHOOSE(MATCH(IF($U169="","Основний",$U169),{"Трафіковий","Основний","Маржинальний","Сезонний","Стратегічний"},0),Settings!$H$78,Settings!$H$80,Settings!$H$82,Settings!$H$84,Settings!$H$86)</f>
        <v/>
      </c>
      <c r="AT169" s="157">
        <f>CHOOSE(MATCH(IF($U169="","Основний",$U169),{"Трафіковий","Основний","Маржинальний","Сезонний","Стратегічний"},0),Settings!$I$78,Settings!$I$80,Settings!$I$82,Settings!$I$84,Settings!$I$86)</f>
        <v/>
      </c>
      <c r="AU169" s="171" t="n"/>
      <c r="AV169" t="n">
        <v>1.35</v>
      </c>
    </row>
    <row r="170">
      <c r="A170" s="28" t="inlineStr">
        <is>
          <t>NEW</t>
        </is>
      </c>
      <c r="B170" s="29" t="inlineStr">
        <is>
          <t>ZCW11BR</t>
        </is>
      </c>
      <c r="C170" s="29" t="inlineStr">
        <is>
          <t>GOSMART AMBIENT 8,3W 480LM BLACK</t>
        </is>
      </c>
      <c r="D170" s="29" t="inlineStr">
        <is>
          <t>GOSMART AMBIENT</t>
        </is>
      </c>
      <c r="E170" s="28" t="inlineStr">
        <is>
          <t>PC</t>
        </is>
      </c>
      <c r="F170" s="93" t="n">
        <v>14.255</v>
      </c>
      <c r="G170" s="30" t="n">
        <v>9405114090</v>
      </c>
      <c r="H170" s="31" t="n">
        <v>1.35</v>
      </c>
      <c r="I170" s="84">
        <f>IFERROR(F170*Settings!$B$2*H170*IF(AND(ISNUMBER(E170),E170&gt;1),E170,1),"")</f>
        <v/>
      </c>
      <c r="J170" s="32">
        <f>Settings!$B$66</f>
        <v/>
      </c>
      <c r="K170" s="95">
        <f>IFERROR(IF(T170="","",(T170*(1-AN170)*(1-Settings!$B$17)-I170)/(T170*(1-AN170)*(1-Settings!$B$17))),"")</f>
        <v/>
      </c>
      <c r="L170" s="101">
        <f>IFERROR(IF(T170="","",(T170*(1-AO170)*(1-Settings!$C$17)-I170)/(T170*(1-AO170)*(1-Settings!$C$17))),"")</f>
        <v/>
      </c>
      <c r="M170" s="101">
        <f>IFERROR(IF(T170="","",(T170*(1-AP170)*(1-Settings!$D$17)-I170)/(T170*(1-AP170)*(1-Settings!$D$17))),"")</f>
        <v/>
      </c>
      <c r="N170" s="101">
        <f>IFERROR(IF(T170="","",(T170*(1-AQ170)*(1-Settings!$F$17)-I170)/(T170*(1-AQ170)*(1-Settings!$F$17))),"")</f>
        <v/>
      </c>
      <c r="O170" s="101">
        <f>IFERROR(IF(T170="","",(T170*(1-AR170)*(1-Settings!$G$17)-I170)/(T170*(1-AR170)*(1-Settings!$G$17))),"")</f>
        <v/>
      </c>
      <c r="P170" s="101">
        <f>IFERROR(IF(T170="","",(T170*(1-AS170)*(1-Settings!$H$17)-I170)/(T170*(1-AS170)*(1-Settings!$H$17))),"")</f>
        <v/>
      </c>
      <c r="Q170" s="101">
        <f>IFERROR(IF(T170="","",(T170*(1-AT170)*(1-Settings!$I$68)*(1-Settings!$I$17)-I170)/(T170*(1-AT170)*(1-Settings!$I$68)*(1-Settings!$I$17))),"")</f>
        <v/>
      </c>
      <c r="R170" s="91">
        <f>IFERROR(IF(OR(I170="",Z170&gt;=1,Settings!$B$17&gt;=1,AN170&gt;=1),"",IF(MOD(ROUND(I170/(1-Z170)/(1-Settings!$B$17)/(1-AN170),0),10)=0,ROUND(I170/(1-Z170)/(1-Settings!$B$17)/(1-AN170),0)-1,IF(MOD(ROUND(I170/(1-Z170)/(1-Settings!$B$17)/(1-AN170),0),10)&lt;=5,FLOOR(ROUND(I170/(1-Z170)/(1-Settings!$B$17)/(1-AN170),0),10)+6,FLOOR(ROUND(I170/(1-Z170)/(1-Settings!$B$17)/(1-AN170),0),10)+9))),"")</f>
        <v/>
      </c>
      <c r="S170" s="92" t="n"/>
      <c r="T170" s="91">
        <f>IF(S170&lt;&gt;"", IF(MOD(S170,10)=0,S170-1,IF(MOD(S170,10)&lt;=5,FLOOR(S170,10)+6,FLOOR(S170,10)+9)), R170)</f>
        <v/>
      </c>
      <c r="U170" s="87" t="inlineStr">
        <is>
          <t>Основний</t>
        </is>
      </c>
      <c r="V170" s="88" t="n"/>
      <c r="W170" s="88" t="n"/>
      <c r="X170" s="89">
        <f>IFERROR(IF(OR(V170="",W170="",T170=""),"", IF(T170&gt;W170,"Дорогий",IF(T170&lt;V170,"Дешевий","У ринку"))),"")</f>
        <v/>
      </c>
      <c r="Y170" s="90" t="n"/>
      <c r="Z170" s="104">
        <f>CHOOSE(MATCH(IF($U170="","Основний",$U170),{"Трафіковий","Основний","Маржинальний","Сезонний","Стратегічний"},0),0.16,0.19,0.24,0.23,0.28)</f>
        <v/>
      </c>
      <c r="AA170" s="104">
        <f>CHOOSE(MATCH(IF($U170="","Основний",$U170),{"Трафіковий","Основний","Маржинальний","Сезонний","Стратегічний"},0),0.18,0.21,0.26,0.25,0.3)</f>
        <v/>
      </c>
      <c r="AB170" s="104">
        <f>CHOOSE(MATCH(IF($U170="","Основний",$U170),{"Трафіковий","Основний","Маржинальний","Сезонний","Стратегічний"},0),0.19,0.22,0.28,0.26,0.32)</f>
        <v/>
      </c>
      <c r="AC170" s="104">
        <f>CHOOSE(MATCH(IF($U170="","Основний",$U170),{"Трафіковий","Основний","Маржинальний","Сезонний","Стратегічний"},0),0.17,0.2,0.25,0.24,0.28)</f>
        <v/>
      </c>
      <c r="AD170" s="104">
        <f>CHOOSE(MATCH(IF($U170="","Основний",$U170),{"Трафіковий","Основний","Маржинальний","Сезонний","Стратегічний"},0),0.18,0.21,0.26,0.25,0.3)</f>
        <v/>
      </c>
      <c r="AE170" s="104">
        <f>CHOOSE(MATCH(IF($U170="","Основний",$U170),{"Трафіковий","Основний","Маржинальний","Сезонний","Стратегічний"},0),0.18,0.2,0.28,0.27,0.32)</f>
        <v/>
      </c>
      <c r="AF170" s="104">
        <f>CHOOSE(MATCH(IF($U170="","Основний",$U170),{"Трафіковий","Основний","Маржинальний","Сезонний","Стратегічний"},0),0.15,0.175,0.22,0.21,0.25)</f>
        <v/>
      </c>
      <c r="AG170" s="104">
        <f>CHOOSE(MATCH(IF($U170="","Основний",$U170),{"Трафіковий","Основний","Маржинальний","Сезонний","Стратегічний"},0),0.13,0.16,0.21,0.2,0.25)</f>
        <v/>
      </c>
      <c r="AH170" s="104">
        <f>CHOOSE(MATCH(IF($U170="","Основний",$U170),{"Трафіковий","Основний","Маржинальний","Сезонний","Стратегічний"},0),0.15,0.18,0.23,0.22,0.27)</f>
        <v/>
      </c>
      <c r="AI170" s="104">
        <f>CHOOSE(MATCH(IF($U170="","Основний",$U170),{"Трафіковий","Основний","Маржинальний","Сезонний","Стратегічний"},0),0.16,0.19,0.25,0.23,0.29)</f>
        <v/>
      </c>
      <c r="AJ170" s="104">
        <f>CHOOSE(MATCH(IF($U170="","Основний",$U170),{"Трафіковий","Основний","Маржинальний","Сезонний","Стратегічний"},0),0.14,0.17,0.22,0.21,0.25)</f>
        <v/>
      </c>
      <c r="AK170" s="104">
        <f>CHOOSE(MATCH(IF($U170="","Основний",$U170),{"Трафіковий","Основний","Маржинальний","Сезонний","Стратегічний"},0),0.15,0.18,0.23,0.22,0.27)</f>
        <v/>
      </c>
      <c r="AL170" s="104">
        <f>CHOOSE(MATCH(IF($U170="","Основний",$U170),{"Трафіковий","Основний","Маржинальний","Сезонний","Стратегічний"},0),0.15,0.17,0.25,0.24,0.29)</f>
        <v/>
      </c>
      <c r="AM170" s="104">
        <f>CHOOSE(MATCH(IF($U170="","Основний",$U170),{"Трафіковий","Основний","Маржинальний","Сезонний","Стратегічний"},0),0.12,0.145,0.19,0.18,0.22)</f>
        <v/>
      </c>
      <c r="AN170" s="157">
        <f>CHOOSE(MATCH(IF($U170="","Основний",$U170),{"Трафіковий","Основний","Маржинальний","Сезонний","Стратегічний"},0),Settings!$B$78,Settings!$B$80,Settings!$B$82,Settings!$B$84,Settings!$B$86)</f>
        <v/>
      </c>
      <c r="AO170" s="157">
        <f>CHOOSE(MATCH(IF($U170="","Основний",$U170),{"Трафіковий","Основний","Маржинальний","Сезонний","Стратегічний"},0),Settings!$C$78,Settings!$C$80,Settings!$C$82,Settings!$C$84,Settings!$C$86)</f>
        <v/>
      </c>
      <c r="AP170" s="157">
        <f>CHOOSE(MATCH(IF($U170="","Основний",$U170),{"Трафіковий","Основний","Маржинальний","Сезонний","Стратегічний"},0),Settings!$D$78,Settings!$D$80,Settings!$D$82,Settings!$D$84,Settings!$D$86)</f>
        <v/>
      </c>
      <c r="AQ170" s="157">
        <f>CHOOSE(MATCH(IF($U170="","Основний",$U170),{"Трафіковий","Основний","Маржинальний","Сезонний","Стратегічний"},0),Settings!$F$78,Settings!$F$80,Settings!$F$82,Settings!$F$84,Settings!$F$86)</f>
        <v/>
      </c>
      <c r="AR170" s="157">
        <f>CHOOSE(MATCH(IF($U170="","Основний",$U170),{"Трафіковий","Основний","Маржинальний","Сезонний","Стратегічний"},0),Settings!$G$78,Settings!$G$80,Settings!$G$82,Settings!$G$84,Settings!$G$86)</f>
        <v/>
      </c>
      <c r="AS170" s="157">
        <f>CHOOSE(MATCH(IF($U170="","Основний",$U170),{"Трафіковий","Основний","Маржинальний","Сезонний","Стратегічний"},0),Settings!$H$78,Settings!$H$80,Settings!$H$82,Settings!$H$84,Settings!$H$86)</f>
        <v/>
      </c>
      <c r="AT170" s="157">
        <f>CHOOSE(MATCH(IF($U170="","Основний",$U170),{"Трафіковий","Основний","Маржинальний","Сезонний","Стратегічний"},0),Settings!$I$78,Settings!$I$80,Settings!$I$82,Settings!$I$84,Settings!$I$86)</f>
        <v/>
      </c>
      <c r="AU170" s="171" t="n"/>
      <c r="AV170" t="n">
        <v>1.35</v>
      </c>
    </row>
    <row r="171">
      <c r="A171" s="33" t="inlineStr">
        <is>
          <t>NEW</t>
        </is>
      </c>
      <c r="B171" s="34" t="inlineStr">
        <is>
          <t>ZCW11WR</t>
        </is>
      </c>
      <c r="C171" s="34" t="inlineStr">
        <is>
          <t>GOSMART AMBIENT 8,3W 480LM WHITE</t>
        </is>
      </c>
      <c r="D171" s="34" t="inlineStr">
        <is>
          <t>GOSMART AMBIENT</t>
        </is>
      </c>
      <c r="E171" s="33" t="inlineStr">
        <is>
          <t>PC</t>
        </is>
      </c>
      <c r="F171" s="94" t="n">
        <v>14.252</v>
      </c>
      <c r="G171" s="35" t="n">
        <v>9405114090</v>
      </c>
      <c r="H171" s="31" t="n">
        <v>1.35</v>
      </c>
      <c r="I171" s="84">
        <f>IFERROR(F171*Settings!$B$2*H171*IF(AND(ISNUMBER(E171),E171&gt;1),E171,1),"")</f>
        <v/>
      </c>
      <c r="J171" s="32">
        <f>Settings!$B$66</f>
        <v/>
      </c>
      <c r="K171" s="95">
        <f>IFERROR(IF(T171="","",(T171*(1-AN171)*(1-Settings!$B$17)-I171)/(T171*(1-AN171)*(1-Settings!$B$17))),"")</f>
        <v/>
      </c>
      <c r="L171" s="101">
        <f>IFERROR(IF(T171="","",(T171*(1-AO171)*(1-Settings!$C$17)-I171)/(T171*(1-AO171)*(1-Settings!$C$17))),"")</f>
        <v/>
      </c>
      <c r="M171" s="101">
        <f>IFERROR(IF(T171="","",(T171*(1-AP171)*(1-Settings!$D$17)-I171)/(T171*(1-AP171)*(1-Settings!$D$17))),"")</f>
        <v/>
      </c>
      <c r="N171" s="101">
        <f>IFERROR(IF(T171="","",(T171*(1-AQ171)*(1-Settings!$F$17)-I171)/(T171*(1-AQ171)*(1-Settings!$F$17))),"")</f>
        <v/>
      </c>
      <c r="O171" s="101">
        <f>IFERROR(IF(T171="","",(T171*(1-AR171)*(1-Settings!$G$17)-I171)/(T171*(1-AR171)*(1-Settings!$G$17))),"")</f>
        <v/>
      </c>
      <c r="P171" s="101">
        <f>IFERROR(IF(T171="","",(T171*(1-AS171)*(1-Settings!$H$17)-I171)/(T171*(1-AS171)*(1-Settings!$H$17))),"")</f>
        <v/>
      </c>
      <c r="Q171" s="101">
        <f>IFERROR(IF(T171="","",(T171*(1-AT171)*(1-Settings!$I$68)*(1-Settings!$I$17)-I171)/(T171*(1-AT171)*(1-Settings!$I$68)*(1-Settings!$I$17))),"")</f>
        <v/>
      </c>
      <c r="R171" s="91">
        <f>IFERROR(IF(OR(I171="",Z171&gt;=1,Settings!$B$17&gt;=1,AN171&gt;=1),"",IF(MOD(ROUND(I171/(1-Z171)/(1-Settings!$B$17)/(1-AN171),0),10)=0,ROUND(I171/(1-Z171)/(1-Settings!$B$17)/(1-AN171),0)-1,IF(MOD(ROUND(I171/(1-Z171)/(1-Settings!$B$17)/(1-AN171),0),10)&lt;=5,FLOOR(ROUND(I171/(1-Z171)/(1-Settings!$B$17)/(1-AN171),0),10)+6,FLOOR(ROUND(I171/(1-Z171)/(1-Settings!$B$17)/(1-AN171),0),10)+9))),"")</f>
        <v/>
      </c>
      <c r="S171" s="92" t="n"/>
      <c r="T171" s="91">
        <f>IF(S171&lt;&gt;"", IF(MOD(S171,10)=0,S171-1,IF(MOD(S171,10)&lt;=5,FLOOR(S171,10)+6,FLOOR(S171,10)+9)), R171)</f>
        <v/>
      </c>
      <c r="U171" s="87" t="inlineStr">
        <is>
          <t>Основний</t>
        </is>
      </c>
      <c r="V171" s="88" t="n"/>
      <c r="W171" s="88" t="n"/>
      <c r="X171" s="89">
        <f>IFERROR(IF(OR(V171="",W171="",T171=""),"", IF(T171&gt;W171,"Дорогий",IF(T171&lt;V171,"Дешевий","У ринку"))),"")</f>
        <v/>
      </c>
      <c r="Y171" s="90" t="n"/>
      <c r="Z171" s="104">
        <f>CHOOSE(MATCH(IF($U171="","Основний",$U171),{"Трафіковий","Основний","Маржинальний","Сезонний","Стратегічний"},0),0.16,0.19,0.24,0.23,0.28)</f>
        <v/>
      </c>
      <c r="AA171" s="104">
        <f>CHOOSE(MATCH(IF($U171="","Основний",$U171),{"Трафіковий","Основний","Маржинальний","Сезонний","Стратегічний"},0),0.18,0.21,0.26,0.25,0.3)</f>
        <v/>
      </c>
      <c r="AB171" s="104">
        <f>CHOOSE(MATCH(IF($U171="","Основний",$U171),{"Трафіковий","Основний","Маржинальний","Сезонний","Стратегічний"},0),0.19,0.22,0.28,0.26,0.32)</f>
        <v/>
      </c>
      <c r="AC171" s="104">
        <f>CHOOSE(MATCH(IF($U171="","Основний",$U171),{"Трафіковий","Основний","Маржинальний","Сезонний","Стратегічний"},0),0.17,0.2,0.25,0.24,0.28)</f>
        <v/>
      </c>
      <c r="AD171" s="104">
        <f>CHOOSE(MATCH(IF($U171="","Основний",$U171),{"Трафіковий","Основний","Маржинальний","Сезонний","Стратегічний"},0),0.18,0.21,0.26,0.25,0.3)</f>
        <v/>
      </c>
      <c r="AE171" s="104">
        <f>CHOOSE(MATCH(IF($U171="","Основний",$U171),{"Трафіковий","Основний","Маржинальний","Сезонний","Стратегічний"},0),0.18,0.2,0.28,0.27,0.32)</f>
        <v/>
      </c>
      <c r="AF171" s="104">
        <f>CHOOSE(MATCH(IF($U171="","Основний",$U171),{"Трафіковий","Основний","Маржинальний","Сезонний","Стратегічний"},0),0.15,0.175,0.22,0.21,0.25)</f>
        <v/>
      </c>
      <c r="AG171" s="104">
        <f>CHOOSE(MATCH(IF($U171="","Основний",$U171),{"Трафіковий","Основний","Маржинальний","Сезонний","Стратегічний"},0),0.13,0.16,0.21,0.2,0.25)</f>
        <v/>
      </c>
      <c r="AH171" s="104">
        <f>CHOOSE(MATCH(IF($U171="","Основний",$U171),{"Трафіковий","Основний","Маржинальний","Сезонний","Стратегічний"},0),0.15,0.18,0.23,0.22,0.27)</f>
        <v/>
      </c>
      <c r="AI171" s="104">
        <f>CHOOSE(MATCH(IF($U171="","Основний",$U171),{"Трафіковий","Основний","Маржинальний","Сезонний","Стратегічний"},0),0.16,0.19,0.25,0.23,0.29)</f>
        <v/>
      </c>
      <c r="AJ171" s="104">
        <f>CHOOSE(MATCH(IF($U171="","Основний",$U171),{"Трафіковий","Основний","Маржинальний","Сезонний","Стратегічний"},0),0.14,0.17,0.22,0.21,0.25)</f>
        <v/>
      </c>
      <c r="AK171" s="104">
        <f>CHOOSE(MATCH(IF($U171="","Основний",$U171),{"Трафіковий","Основний","Маржинальний","Сезонний","Стратегічний"},0),0.15,0.18,0.23,0.22,0.27)</f>
        <v/>
      </c>
      <c r="AL171" s="104">
        <f>CHOOSE(MATCH(IF($U171="","Основний",$U171),{"Трафіковий","Основний","Маржинальний","Сезонний","Стратегічний"},0),0.15,0.17,0.25,0.24,0.29)</f>
        <v/>
      </c>
      <c r="AM171" s="104">
        <f>CHOOSE(MATCH(IF($U171="","Основний",$U171),{"Трафіковий","Основний","Маржинальний","Сезонний","Стратегічний"},0),0.12,0.145,0.19,0.18,0.22)</f>
        <v/>
      </c>
      <c r="AN171" s="157">
        <f>CHOOSE(MATCH(IF($U171="","Основний",$U171),{"Трафіковий","Основний","Маржинальний","Сезонний","Стратегічний"},0),Settings!$B$78,Settings!$B$80,Settings!$B$82,Settings!$B$84,Settings!$B$86)</f>
        <v/>
      </c>
      <c r="AO171" s="157">
        <f>CHOOSE(MATCH(IF($U171="","Основний",$U171),{"Трафіковий","Основний","Маржинальний","Сезонний","Стратегічний"},0),Settings!$C$78,Settings!$C$80,Settings!$C$82,Settings!$C$84,Settings!$C$86)</f>
        <v/>
      </c>
      <c r="AP171" s="157">
        <f>CHOOSE(MATCH(IF($U171="","Основний",$U171),{"Трафіковий","Основний","Маржинальний","Сезонний","Стратегічний"},0),Settings!$D$78,Settings!$D$80,Settings!$D$82,Settings!$D$84,Settings!$D$86)</f>
        <v/>
      </c>
      <c r="AQ171" s="157">
        <f>CHOOSE(MATCH(IF($U171="","Основний",$U171),{"Трафіковий","Основний","Маржинальний","Сезонний","Стратегічний"},0),Settings!$F$78,Settings!$F$80,Settings!$F$82,Settings!$F$84,Settings!$F$86)</f>
        <v/>
      </c>
      <c r="AR171" s="157">
        <f>CHOOSE(MATCH(IF($U171="","Основний",$U171),{"Трафіковий","Основний","Маржинальний","Сезонний","Стратегічний"},0),Settings!$G$78,Settings!$G$80,Settings!$G$82,Settings!$G$84,Settings!$G$86)</f>
        <v/>
      </c>
      <c r="AS171" s="157">
        <f>CHOOSE(MATCH(IF($U171="","Основний",$U171),{"Трафіковий","Основний","Маржинальний","Сезонний","Стратегічний"},0),Settings!$H$78,Settings!$H$80,Settings!$H$82,Settings!$H$84,Settings!$H$86)</f>
        <v/>
      </c>
      <c r="AT171" s="157">
        <f>CHOOSE(MATCH(IF($U171="","Основний",$U171),{"Трафіковий","Основний","Маржинальний","Сезонний","Стратегічний"},0),Settings!$I$78,Settings!$I$80,Settings!$I$82,Settings!$I$84,Settings!$I$86)</f>
        <v/>
      </c>
      <c r="AU171" s="171" t="n"/>
      <c r="AV171" t="n">
        <v>1.35</v>
      </c>
    </row>
    <row r="172">
      <c r="A172" s="28" t="inlineStr">
        <is>
          <t>SELL OUT</t>
        </is>
      </c>
      <c r="B172" s="29" t="inlineStr">
        <is>
          <t>ZIW191R</t>
        </is>
      </c>
      <c r="C172" s="29" t="inlineStr">
        <is>
          <t>GOSMART OUTDOOR SPOTLIGHT EXPANSION KIT 1pc</t>
        </is>
      </c>
      <c r="D172" s="29" t="inlineStr">
        <is>
          <t>GOSMART AMBIENT</t>
        </is>
      </c>
      <c r="E172" s="28" t="inlineStr">
        <is>
          <t>PC</t>
        </is>
      </c>
      <c r="F172" s="93" t="n">
        <v>5.88</v>
      </c>
      <c r="G172" s="30" t="n">
        <v>9405423100</v>
      </c>
      <c r="H172" s="31" t="n">
        <v>1.35</v>
      </c>
      <c r="I172" s="84">
        <f>IFERROR(F172*Settings!$B$2*H172*IF(AND(ISNUMBER(E172),E172&gt;1),E172,1),"")</f>
        <v/>
      </c>
      <c r="J172" s="32">
        <f>Settings!$B$66</f>
        <v/>
      </c>
      <c r="K172" s="95">
        <f>IFERROR(IF(T172="","",(T172*(1-AN172)*(1-Settings!$B$17)-I172)/(T172*(1-AN172)*(1-Settings!$B$17))),"")</f>
        <v/>
      </c>
      <c r="L172" s="101">
        <f>IFERROR(IF(T172="","",(T172*(1-AO172)*(1-Settings!$C$17)-I172)/(T172*(1-AO172)*(1-Settings!$C$17))),"")</f>
        <v/>
      </c>
      <c r="M172" s="101">
        <f>IFERROR(IF(T172="","",(T172*(1-AP172)*(1-Settings!$D$17)-I172)/(T172*(1-AP172)*(1-Settings!$D$17))),"")</f>
        <v/>
      </c>
      <c r="N172" s="101">
        <f>IFERROR(IF(T172="","",(T172*(1-AQ172)*(1-Settings!$F$17)-I172)/(T172*(1-AQ172)*(1-Settings!$F$17))),"")</f>
        <v/>
      </c>
      <c r="O172" s="101">
        <f>IFERROR(IF(T172="","",(T172*(1-AR172)*(1-Settings!$G$17)-I172)/(T172*(1-AR172)*(1-Settings!$G$17))),"")</f>
        <v/>
      </c>
      <c r="P172" s="101">
        <f>IFERROR(IF(T172="","",(T172*(1-AS172)*(1-Settings!$H$17)-I172)/(T172*(1-AS172)*(1-Settings!$H$17))),"")</f>
        <v/>
      </c>
      <c r="Q172" s="101">
        <f>IFERROR(IF(T172="","",(T172*(1-AT172)*(1-Settings!$I$68)*(1-Settings!$I$17)-I172)/(T172*(1-AT172)*(1-Settings!$I$68)*(1-Settings!$I$17))),"")</f>
        <v/>
      </c>
      <c r="R172" s="91">
        <f>IFERROR(IF(OR(I172="",Z172&gt;=1,Settings!$B$17&gt;=1,AN172&gt;=1),"",IF(MOD(ROUND(I172/(1-Z172)/(1-Settings!$B$17)/(1-AN172),0),10)=0,ROUND(I172/(1-Z172)/(1-Settings!$B$17)/(1-AN172),0)-1,IF(MOD(ROUND(I172/(1-Z172)/(1-Settings!$B$17)/(1-AN172),0),10)&lt;=5,FLOOR(ROUND(I172/(1-Z172)/(1-Settings!$B$17)/(1-AN172),0),10)+6,FLOOR(ROUND(I172/(1-Z172)/(1-Settings!$B$17)/(1-AN172),0),10)+9))),"")</f>
        <v/>
      </c>
      <c r="S172" s="92" t="n">
        <v>700</v>
      </c>
      <c r="T172" s="91">
        <f>IF(S172&lt;&gt;"", IF(MOD(S172,10)=0,S172-1,IF(MOD(S172,10)&lt;=5,FLOOR(S172,10)+6,FLOOR(S172,10)+9)), R172)</f>
        <v/>
      </c>
      <c r="U172" s="87" t="inlineStr">
        <is>
          <t>Основний</t>
        </is>
      </c>
      <c r="V172" s="88" t="n"/>
      <c r="W172" s="88" t="n"/>
      <c r="X172" s="89">
        <f>IFERROR(IF(OR(V172="",W172="",T172=""),"", IF(T172&gt;W172,"Дорогий",IF(T172&lt;V172,"Дешевий","У ринку"))),"")</f>
        <v/>
      </c>
      <c r="Y172" s="90" t="n"/>
      <c r="Z172" s="104">
        <f>CHOOSE(MATCH(IF($U172="","Основний",$U172),{"Трафіковий","Основний","Маржинальний","Сезонний","Стратегічний"},0),0.16,0.19,0.24,0.23,0.28)</f>
        <v/>
      </c>
      <c r="AA172" s="104">
        <f>CHOOSE(MATCH(IF($U172="","Основний",$U172),{"Трафіковий","Основний","Маржинальний","Сезонний","Стратегічний"},0),0.18,0.21,0.26,0.25,0.3)</f>
        <v/>
      </c>
      <c r="AB172" s="104">
        <f>CHOOSE(MATCH(IF($U172="","Основний",$U172),{"Трафіковий","Основний","Маржинальний","Сезонний","Стратегічний"},0),0.19,0.22,0.28,0.26,0.32)</f>
        <v/>
      </c>
      <c r="AC172" s="104">
        <f>CHOOSE(MATCH(IF($U172="","Основний",$U172),{"Трафіковий","Основний","Маржинальний","Сезонний","Стратегічний"},0),0.17,0.2,0.25,0.24,0.28)</f>
        <v/>
      </c>
      <c r="AD172" s="104">
        <f>CHOOSE(MATCH(IF($U172="","Основний",$U172),{"Трафіковий","Основний","Маржинальний","Сезонний","Стратегічний"},0),0.18,0.21,0.26,0.25,0.3)</f>
        <v/>
      </c>
      <c r="AE172" s="104">
        <f>CHOOSE(MATCH(IF($U172="","Основний",$U172),{"Трафіковий","Основний","Маржинальний","Сезонний","Стратегічний"},0),0.18,0.2,0.28,0.27,0.32)</f>
        <v/>
      </c>
      <c r="AF172" s="104">
        <f>CHOOSE(MATCH(IF($U172="","Основний",$U172),{"Трафіковий","Основний","Маржинальний","Сезонний","Стратегічний"},0),0.15,0.175,0.22,0.21,0.25)</f>
        <v/>
      </c>
      <c r="AG172" s="104">
        <f>CHOOSE(MATCH(IF($U172="","Основний",$U172),{"Трафіковий","Основний","Маржинальний","Сезонний","Стратегічний"},0),0.13,0.16,0.21,0.2,0.25)</f>
        <v/>
      </c>
      <c r="AH172" s="104">
        <f>CHOOSE(MATCH(IF($U172="","Основний",$U172),{"Трафіковий","Основний","Маржинальний","Сезонний","Стратегічний"},0),0.15,0.18,0.23,0.22,0.27)</f>
        <v/>
      </c>
      <c r="AI172" s="104">
        <f>CHOOSE(MATCH(IF($U172="","Основний",$U172),{"Трафіковий","Основний","Маржинальний","Сезонний","Стратегічний"},0),0.16,0.19,0.25,0.23,0.29)</f>
        <v/>
      </c>
      <c r="AJ172" s="104">
        <f>CHOOSE(MATCH(IF($U172="","Основний",$U172),{"Трафіковий","Основний","Маржинальний","Сезонний","Стратегічний"},0),0.14,0.17,0.22,0.21,0.25)</f>
        <v/>
      </c>
      <c r="AK172" s="104">
        <f>CHOOSE(MATCH(IF($U172="","Основний",$U172),{"Трафіковий","Основний","Маржинальний","Сезонний","Стратегічний"},0),0.15,0.18,0.23,0.22,0.27)</f>
        <v/>
      </c>
      <c r="AL172" s="104">
        <f>CHOOSE(MATCH(IF($U172="","Основний",$U172),{"Трафіковий","Основний","Маржинальний","Сезонний","Стратегічний"},0),0.15,0.17,0.25,0.24,0.29)</f>
        <v/>
      </c>
      <c r="AM172" s="104">
        <f>CHOOSE(MATCH(IF($U172="","Основний",$U172),{"Трафіковий","Основний","Маржинальний","Сезонний","Стратегічний"},0),0.12,0.145,0.19,0.18,0.22)</f>
        <v/>
      </c>
      <c r="AN172" s="157">
        <f>CHOOSE(MATCH(IF($U172="","Основний",$U172),{"Трафіковий","Основний","Маржинальний","Сезонний","Стратегічний"},0),Settings!$B$78,Settings!$B$80,Settings!$B$82,Settings!$B$84,Settings!$B$86)</f>
        <v/>
      </c>
      <c r="AO172" s="157">
        <f>CHOOSE(MATCH(IF($U172="","Основний",$U172),{"Трафіковий","Основний","Маржинальний","Сезонний","Стратегічний"},0),Settings!$C$78,Settings!$C$80,Settings!$C$82,Settings!$C$84,Settings!$C$86)</f>
        <v/>
      </c>
      <c r="AP172" s="157">
        <f>CHOOSE(MATCH(IF($U172="","Основний",$U172),{"Трафіковий","Основний","Маржинальний","Сезонний","Стратегічний"},0),Settings!$D$78,Settings!$D$80,Settings!$D$82,Settings!$D$84,Settings!$D$86)</f>
        <v/>
      </c>
      <c r="AQ172" s="157">
        <f>CHOOSE(MATCH(IF($U172="","Основний",$U172),{"Трафіковий","Основний","Маржинальний","Сезонний","Стратегічний"},0),Settings!$F$78,Settings!$F$80,Settings!$F$82,Settings!$F$84,Settings!$F$86)</f>
        <v/>
      </c>
      <c r="AR172" s="157">
        <f>CHOOSE(MATCH(IF($U172="","Основний",$U172),{"Трафіковий","Основний","Маржинальний","Сезонний","Стратегічний"},0),Settings!$G$78,Settings!$G$80,Settings!$G$82,Settings!$G$84,Settings!$G$86)</f>
        <v/>
      </c>
      <c r="AS172" s="157">
        <f>CHOOSE(MATCH(IF($U172="","Основний",$U172),{"Трафіковий","Основний","Маржинальний","Сезонний","Стратегічний"},0),Settings!$H$78,Settings!$H$80,Settings!$H$82,Settings!$H$84,Settings!$H$86)</f>
        <v/>
      </c>
      <c r="AT172" s="157">
        <f>CHOOSE(MATCH(IF($U172="","Основний",$U172),{"Трафіковий","Основний","Маржинальний","Сезонний","Стратегічний"},0),Settings!$I$78,Settings!$I$80,Settings!$I$82,Settings!$I$84,Settings!$I$86)</f>
        <v/>
      </c>
      <c r="AU172" s="171" t="n"/>
      <c r="AV172" t="n">
        <v>1.35</v>
      </c>
    </row>
    <row r="173">
      <c r="A173" s="33" t="inlineStr">
        <is>
          <t>SELL OUT</t>
        </is>
      </c>
      <c r="B173" s="34" t="inlineStr">
        <is>
          <t>ZIW194R</t>
        </is>
      </c>
      <c r="C173" s="34" t="inlineStr">
        <is>
          <t>GOSMART OUTDOOR SPOTLIGHT STARTER KIT 4pcs</t>
        </is>
      </c>
      <c r="D173" s="34" t="inlineStr">
        <is>
          <t>GOSMART AMBIENT</t>
        </is>
      </c>
      <c r="E173" s="33" t="inlineStr">
        <is>
          <t>PC</t>
        </is>
      </c>
      <c r="F173" s="94" t="n">
        <v>28.37</v>
      </c>
      <c r="G173" s="35" t="n">
        <v>9405423100</v>
      </c>
      <c r="H173" s="31" t="n">
        <v>1.35</v>
      </c>
      <c r="I173" s="84">
        <f>IFERROR(F173*Settings!$B$2*H173*IF(AND(ISNUMBER(E173),E173&gt;1),E173,1),"")</f>
        <v/>
      </c>
      <c r="J173" s="32">
        <f>Settings!$B$66</f>
        <v/>
      </c>
      <c r="K173" s="95">
        <f>IFERROR(IF(T173="","",(T173*(1-AN173)*(1-Settings!$B$17)-I173)/(T173*(1-AN173)*(1-Settings!$B$17))),"")</f>
        <v/>
      </c>
      <c r="L173" s="101">
        <f>IFERROR(IF(T173="","",(T173*(1-AO173)*(1-Settings!$C$17)-I173)/(T173*(1-AO173)*(1-Settings!$C$17))),"")</f>
        <v/>
      </c>
      <c r="M173" s="101">
        <f>IFERROR(IF(T173="","",(T173*(1-AP173)*(1-Settings!$D$17)-I173)/(T173*(1-AP173)*(1-Settings!$D$17))),"")</f>
        <v/>
      </c>
      <c r="N173" s="101">
        <f>IFERROR(IF(T173="","",(T173*(1-AQ173)*(1-Settings!$F$17)-I173)/(T173*(1-AQ173)*(1-Settings!$F$17))),"")</f>
        <v/>
      </c>
      <c r="O173" s="101">
        <f>IFERROR(IF(T173="","",(T173*(1-AR173)*(1-Settings!$G$17)-I173)/(T173*(1-AR173)*(1-Settings!$G$17))),"")</f>
        <v/>
      </c>
      <c r="P173" s="101">
        <f>IFERROR(IF(T173="","",(T173*(1-AS173)*(1-Settings!$H$17)-I173)/(T173*(1-AS173)*(1-Settings!$H$17))),"")</f>
        <v/>
      </c>
      <c r="Q173" s="101">
        <f>IFERROR(IF(T173="","",(T173*(1-AT173)*(1-Settings!$I$68)*(1-Settings!$I$17)-I173)/(T173*(1-AT173)*(1-Settings!$I$68)*(1-Settings!$I$17))),"")</f>
        <v/>
      </c>
      <c r="R173" s="91">
        <f>IFERROR(IF(OR(I173="",Z173&gt;=1,Settings!$B$17&gt;=1,AN173&gt;=1),"",IF(MOD(ROUND(I173/(1-Z173)/(1-Settings!$B$17)/(1-AN173),0),10)=0,ROUND(I173/(1-Z173)/(1-Settings!$B$17)/(1-AN173),0)-1,IF(MOD(ROUND(I173/(1-Z173)/(1-Settings!$B$17)/(1-AN173),0),10)&lt;=5,FLOOR(ROUND(I173/(1-Z173)/(1-Settings!$B$17)/(1-AN173),0),10)+6,FLOOR(ROUND(I173/(1-Z173)/(1-Settings!$B$17)/(1-AN173),0),10)+9))),"")</f>
        <v/>
      </c>
      <c r="S173" s="92" t="n">
        <v>3000</v>
      </c>
      <c r="T173" s="91">
        <f>IF(S173&lt;&gt;"", IF(MOD(S173,10)=0,S173-1,IF(MOD(S173,10)&lt;=5,FLOOR(S173,10)+6,FLOOR(S173,10)+9)), R173)</f>
        <v/>
      </c>
      <c r="U173" s="87" t="inlineStr">
        <is>
          <t>Основний</t>
        </is>
      </c>
      <c r="V173" s="88" t="n"/>
      <c r="W173" s="88" t="n"/>
      <c r="X173" s="89">
        <f>IFERROR(IF(OR(V173="",W173="",T173=""),"", IF(T173&gt;W173,"Дорогий",IF(T173&lt;V173,"Дешевий","У ринку"))),"")</f>
        <v/>
      </c>
      <c r="Y173" s="90" t="n"/>
      <c r="Z173" s="104">
        <f>CHOOSE(MATCH(IF($U173="","Основний",$U173),{"Трафіковий","Основний","Маржинальний","Сезонний","Стратегічний"},0),0.16,0.19,0.24,0.23,0.28)</f>
        <v/>
      </c>
      <c r="AA173" s="104">
        <f>CHOOSE(MATCH(IF($U173="","Основний",$U173),{"Трафіковий","Основний","Маржинальний","Сезонний","Стратегічний"},0),0.18,0.21,0.26,0.25,0.3)</f>
        <v/>
      </c>
      <c r="AB173" s="104">
        <f>CHOOSE(MATCH(IF($U173="","Основний",$U173),{"Трафіковий","Основний","Маржинальний","Сезонний","Стратегічний"},0),0.19,0.22,0.28,0.26,0.32)</f>
        <v/>
      </c>
      <c r="AC173" s="104">
        <f>CHOOSE(MATCH(IF($U173="","Основний",$U173),{"Трафіковий","Основний","Маржинальний","Сезонний","Стратегічний"},0),0.17,0.2,0.25,0.24,0.28)</f>
        <v/>
      </c>
      <c r="AD173" s="104">
        <f>CHOOSE(MATCH(IF($U173="","Основний",$U173),{"Трафіковий","Основний","Маржинальний","Сезонний","Стратегічний"},0),0.18,0.21,0.26,0.25,0.3)</f>
        <v/>
      </c>
      <c r="AE173" s="104">
        <f>CHOOSE(MATCH(IF($U173="","Основний",$U173),{"Трафіковий","Основний","Маржинальний","Сезонний","Стратегічний"},0),0.18,0.2,0.28,0.27,0.32)</f>
        <v/>
      </c>
      <c r="AF173" s="104">
        <f>CHOOSE(MATCH(IF($U173="","Основний",$U173),{"Трафіковий","Основний","Маржинальний","Сезонний","Стратегічний"},0),0.15,0.175,0.22,0.21,0.25)</f>
        <v/>
      </c>
      <c r="AG173" s="104">
        <f>CHOOSE(MATCH(IF($U173="","Основний",$U173),{"Трафіковий","Основний","Маржинальний","Сезонний","Стратегічний"},0),0.13,0.16,0.21,0.2,0.25)</f>
        <v/>
      </c>
      <c r="AH173" s="104">
        <f>CHOOSE(MATCH(IF($U173="","Основний",$U173),{"Трафіковий","Основний","Маржинальний","Сезонний","Стратегічний"},0),0.15,0.18,0.23,0.22,0.27)</f>
        <v/>
      </c>
      <c r="AI173" s="104">
        <f>CHOOSE(MATCH(IF($U173="","Основний",$U173),{"Трафіковий","Основний","Маржинальний","Сезонний","Стратегічний"},0),0.16,0.19,0.25,0.23,0.29)</f>
        <v/>
      </c>
      <c r="AJ173" s="104">
        <f>CHOOSE(MATCH(IF($U173="","Основний",$U173),{"Трафіковий","Основний","Маржинальний","Сезонний","Стратегічний"},0),0.14,0.17,0.22,0.21,0.25)</f>
        <v/>
      </c>
      <c r="AK173" s="104">
        <f>CHOOSE(MATCH(IF($U173="","Основний",$U173),{"Трафіковий","Основний","Маржинальний","Сезонний","Стратегічний"},0),0.15,0.18,0.23,0.22,0.27)</f>
        <v/>
      </c>
      <c r="AL173" s="104">
        <f>CHOOSE(MATCH(IF($U173="","Основний",$U173),{"Трафіковий","Основний","Маржинальний","Сезонний","Стратегічний"},0),0.15,0.17,0.25,0.24,0.29)</f>
        <v/>
      </c>
      <c r="AM173" s="104">
        <f>CHOOSE(MATCH(IF($U173="","Основний",$U173),{"Трафіковий","Основний","Маржинальний","Сезонний","Стратегічний"},0),0.12,0.145,0.19,0.18,0.22)</f>
        <v/>
      </c>
      <c r="AN173" s="157">
        <f>CHOOSE(MATCH(IF($U173="","Основний",$U173),{"Трафіковий","Основний","Маржинальний","Сезонний","Стратегічний"},0),Settings!$B$78,Settings!$B$80,Settings!$B$82,Settings!$B$84,Settings!$B$86)</f>
        <v/>
      </c>
      <c r="AO173" s="157">
        <f>CHOOSE(MATCH(IF($U173="","Основний",$U173),{"Трафіковий","Основний","Маржинальний","Сезонний","Стратегічний"},0),Settings!$C$78,Settings!$C$80,Settings!$C$82,Settings!$C$84,Settings!$C$86)</f>
        <v/>
      </c>
      <c r="AP173" s="157">
        <f>CHOOSE(MATCH(IF($U173="","Основний",$U173),{"Трафіковий","Основний","Маржинальний","Сезонний","Стратегічний"},0),Settings!$D$78,Settings!$D$80,Settings!$D$82,Settings!$D$84,Settings!$D$86)</f>
        <v/>
      </c>
      <c r="AQ173" s="157">
        <f>CHOOSE(MATCH(IF($U173="","Основний",$U173),{"Трафіковий","Основний","Маржинальний","Сезонний","Стратегічний"},0),Settings!$F$78,Settings!$F$80,Settings!$F$82,Settings!$F$84,Settings!$F$86)</f>
        <v/>
      </c>
      <c r="AR173" s="157">
        <f>CHOOSE(MATCH(IF($U173="","Основний",$U173),{"Трафіковий","Основний","Маржинальний","Сезонний","Стратегічний"},0),Settings!$G$78,Settings!$G$80,Settings!$G$82,Settings!$G$84,Settings!$G$86)</f>
        <v/>
      </c>
      <c r="AS173" s="157">
        <f>CHOOSE(MATCH(IF($U173="","Основний",$U173),{"Трафіковий","Основний","Маржинальний","Сезонний","Стратегічний"},0),Settings!$H$78,Settings!$H$80,Settings!$H$82,Settings!$H$84,Settings!$H$86)</f>
        <v/>
      </c>
      <c r="AT173" s="157">
        <f>CHOOSE(MATCH(IF($U173="","Основний",$U173),{"Трафіковий","Основний","Маржинальний","Сезонний","Стратегічний"},0),Settings!$I$78,Settings!$I$80,Settings!$I$82,Settings!$I$84,Settings!$I$86)</f>
        <v/>
      </c>
      <c r="AU173" s="171" t="n"/>
      <c r="AV173" t="n">
        <v>1.35</v>
      </c>
    </row>
    <row r="174">
      <c r="A174" s="28" t="inlineStr">
        <is>
          <t>SELL OUT</t>
        </is>
      </c>
      <c r="B174" s="29" t="inlineStr">
        <is>
          <t>ZIW181R</t>
        </is>
      </c>
      <c r="C174" s="29" t="inlineStr">
        <is>
          <t>GOSMART OUTDOOR FLOODLIGHT STARTER KIT 1pc</t>
        </is>
      </c>
      <c r="D174" s="29" t="inlineStr">
        <is>
          <t>GOSMART AMBIENT</t>
        </is>
      </c>
      <c r="E174" s="28" t="inlineStr">
        <is>
          <t>PC</t>
        </is>
      </c>
      <c r="F174" s="93" t="n">
        <v>7.35</v>
      </c>
      <c r="G174" s="30" t="n">
        <v>9405423100</v>
      </c>
      <c r="H174" s="31" t="n">
        <v>1.35</v>
      </c>
      <c r="I174" s="84">
        <f>IFERROR(F174*Settings!$B$2*H174*IF(AND(ISNUMBER(E174),E174&gt;1),E174,1),"")</f>
        <v/>
      </c>
      <c r="J174" s="32">
        <f>Settings!$B$66</f>
        <v/>
      </c>
      <c r="K174" s="95">
        <f>IFERROR(IF(T174="","",(T174*(1-AN174)*(1-Settings!$B$17)-I174)/(T174*(1-AN174)*(1-Settings!$B$17))),"")</f>
        <v/>
      </c>
      <c r="L174" s="101">
        <f>IFERROR(IF(T174="","",(T174*(1-AO174)*(1-Settings!$C$17)-I174)/(T174*(1-AO174)*(1-Settings!$C$17))),"")</f>
        <v/>
      </c>
      <c r="M174" s="101">
        <f>IFERROR(IF(T174="","",(T174*(1-AP174)*(1-Settings!$D$17)-I174)/(T174*(1-AP174)*(1-Settings!$D$17))),"")</f>
        <v/>
      </c>
      <c r="N174" s="101">
        <f>IFERROR(IF(T174="","",(T174*(1-AQ174)*(1-Settings!$F$17)-I174)/(T174*(1-AQ174)*(1-Settings!$F$17))),"")</f>
        <v/>
      </c>
      <c r="O174" s="101">
        <f>IFERROR(IF(T174="","",(T174*(1-AR174)*(1-Settings!$G$17)-I174)/(T174*(1-AR174)*(1-Settings!$G$17))),"")</f>
        <v/>
      </c>
      <c r="P174" s="101">
        <f>IFERROR(IF(T174="","",(T174*(1-AS174)*(1-Settings!$H$17)-I174)/(T174*(1-AS174)*(1-Settings!$H$17))),"")</f>
        <v/>
      </c>
      <c r="Q174" s="101">
        <f>IFERROR(IF(T174="","",(T174*(1-AT174)*(1-Settings!$I$68)*(1-Settings!$I$17)-I174)/(T174*(1-AT174)*(1-Settings!$I$68)*(1-Settings!$I$17))),"")</f>
        <v/>
      </c>
      <c r="R174" s="91">
        <f>IFERROR(IF(OR(I174="",Z174&gt;=1,Settings!$B$17&gt;=1,AN174&gt;=1),"",IF(MOD(ROUND(I174/(1-Z174)/(1-Settings!$B$17)/(1-AN174),0),10)=0,ROUND(I174/(1-Z174)/(1-Settings!$B$17)/(1-AN174),0)-1,IF(MOD(ROUND(I174/(1-Z174)/(1-Settings!$B$17)/(1-AN174),0),10)&lt;=5,FLOOR(ROUND(I174/(1-Z174)/(1-Settings!$B$17)/(1-AN174),0),10)+6,FLOOR(ROUND(I174/(1-Z174)/(1-Settings!$B$17)/(1-AN174),0),10)+9))),"")</f>
        <v/>
      </c>
      <c r="S174" s="92" t="n">
        <v>900</v>
      </c>
      <c r="T174" s="91">
        <f>IF(S174&lt;&gt;"", IF(MOD(S174,10)=0,S174-1,IF(MOD(S174,10)&lt;=5,FLOOR(S174,10)+6,FLOOR(S174,10)+9)), R174)</f>
        <v/>
      </c>
      <c r="U174" s="87" t="inlineStr">
        <is>
          <t>Основний</t>
        </is>
      </c>
      <c r="V174" s="88" t="n"/>
      <c r="W174" s="88" t="n"/>
      <c r="X174" s="89">
        <f>IFERROR(IF(OR(V174="",W174="",T174=""),"", IF(T174&gt;W174,"Дорогий",IF(T174&lt;V174,"Дешевий","У ринку"))),"")</f>
        <v/>
      </c>
      <c r="Y174" s="90" t="n"/>
      <c r="Z174" s="104">
        <f>CHOOSE(MATCH(IF($U174="","Основний",$U174),{"Трафіковий","Основний","Маржинальний","Сезонний","Стратегічний"},0),0.16,0.19,0.24,0.23,0.28)</f>
        <v/>
      </c>
      <c r="AA174" s="104">
        <f>CHOOSE(MATCH(IF($U174="","Основний",$U174),{"Трафіковий","Основний","Маржинальний","Сезонний","Стратегічний"},0),0.18,0.21,0.26,0.25,0.3)</f>
        <v/>
      </c>
      <c r="AB174" s="104">
        <f>CHOOSE(MATCH(IF($U174="","Основний",$U174),{"Трафіковий","Основний","Маржинальний","Сезонний","Стратегічний"},0),0.19,0.22,0.28,0.26,0.32)</f>
        <v/>
      </c>
      <c r="AC174" s="104">
        <f>CHOOSE(MATCH(IF($U174="","Основний",$U174),{"Трафіковий","Основний","Маржинальний","Сезонний","Стратегічний"},0),0.17,0.2,0.25,0.24,0.28)</f>
        <v/>
      </c>
      <c r="AD174" s="104">
        <f>CHOOSE(MATCH(IF($U174="","Основний",$U174),{"Трафіковий","Основний","Маржинальний","Сезонний","Стратегічний"},0),0.18,0.21,0.26,0.25,0.3)</f>
        <v/>
      </c>
      <c r="AE174" s="104">
        <f>CHOOSE(MATCH(IF($U174="","Основний",$U174),{"Трафіковий","Основний","Маржинальний","Сезонний","Стратегічний"},0),0.18,0.2,0.28,0.27,0.32)</f>
        <v/>
      </c>
      <c r="AF174" s="104">
        <f>CHOOSE(MATCH(IF($U174="","Основний",$U174),{"Трафіковий","Основний","Маржинальний","Сезонний","Стратегічний"},0),0.15,0.175,0.22,0.21,0.25)</f>
        <v/>
      </c>
      <c r="AG174" s="104">
        <f>CHOOSE(MATCH(IF($U174="","Основний",$U174),{"Трафіковий","Основний","Маржинальний","Сезонний","Стратегічний"},0),0.13,0.16,0.21,0.2,0.25)</f>
        <v/>
      </c>
      <c r="AH174" s="104">
        <f>CHOOSE(MATCH(IF($U174="","Основний",$U174),{"Трафіковий","Основний","Маржинальний","Сезонний","Стратегічний"},0),0.15,0.18,0.23,0.22,0.27)</f>
        <v/>
      </c>
      <c r="AI174" s="104">
        <f>CHOOSE(MATCH(IF($U174="","Основний",$U174),{"Трафіковий","Основний","Маржинальний","Сезонний","Стратегічний"},0),0.16,0.19,0.25,0.23,0.29)</f>
        <v/>
      </c>
      <c r="AJ174" s="104">
        <f>CHOOSE(MATCH(IF($U174="","Основний",$U174),{"Трафіковий","Основний","Маржинальний","Сезонний","Стратегічний"},0),0.14,0.17,0.22,0.21,0.25)</f>
        <v/>
      </c>
      <c r="AK174" s="104">
        <f>CHOOSE(MATCH(IF($U174="","Основний",$U174),{"Трафіковий","Основний","Маржинальний","Сезонний","Стратегічний"},0),0.15,0.18,0.23,0.22,0.27)</f>
        <v/>
      </c>
      <c r="AL174" s="104">
        <f>CHOOSE(MATCH(IF($U174="","Основний",$U174),{"Трафіковий","Основний","Маржинальний","Сезонний","Стратегічний"},0),0.15,0.17,0.25,0.24,0.29)</f>
        <v/>
      </c>
      <c r="AM174" s="104">
        <f>CHOOSE(MATCH(IF($U174="","Основний",$U174),{"Трафіковий","Основний","Маржинальний","Сезонний","Стратегічний"},0),0.12,0.145,0.19,0.18,0.22)</f>
        <v/>
      </c>
      <c r="AN174" s="157">
        <f>CHOOSE(MATCH(IF($U174="","Основний",$U174),{"Трафіковий","Основний","Маржинальний","Сезонний","Стратегічний"},0),Settings!$B$78,Settings!$B$80,Settings!$B$82,Settings!$B$84,Settings!$B$86)</f>
        <v/>
      </c>
      <c r="AO174" s="157">
        <f>CHOOSE(MATCH(IF($U174="","Основний",$U174),{"Трафіковий","Основний","Маржинальний","Сезонний","Стратегічний"},0),Settings!$C$78,Settings!$C$80,Settings!$C$82,Settings!$C$84,Settings!$C$86)</f>
        <v/>
      </c>
      <c r="AP174" s="157">
        <f>CHOOSE(MATCH(IF($U174="","Основний",$U174),{"Трафіковий","Основний","Маржинальний","Сезонний","Стратегічний"},0),Settings!$D$78,Settings!$D$80,Settings!$D$82,Settings!$D$84,Settings!$D$86)</f>
        <v/>
      </c>
      <c r="AQ174" s="157">
        <f>CHOOSE(MATCH(IF($U174="","Основний",$U174),{"Трафіковий","Основний","Маржинальний","Сезонний","Стратегічний"},0),Settings!$F$78,Settings!$F$80,Settings!$F$82,Settings!$F$84,Settings!$F$86)</f>
        <v/>
      </c>
      <c r="AR174" s="157">
        <f>CHOOSE(MATCH(IF($U174="","Основний",$U174),{"Трафіковий","Основний","Маржинальний","Сезонний","Стратегічний"},0),Settings!$G$78,Settings!$G$80,Settings!$G$82,Settings!$G$84,Settings!$G$86)</f>
        <v/>
      </c>
      <c r="AS174" s="157">
        <f>CHOOSE(MATCH(IF($U174="","Основний",$U174),{"Трафіковий","Основний","Маржинальний","Сезонний","Стратегічний"},0),Settings!$H$78,Settings!$H$80,Settings!$H$82,Settings!$H$84,Settings!$H$86)</f>
        <v/>
      </c>
      <c r="AT174" s="157">
        <f>CHOOSE(MATCH(IF($U174="","Основний",$U174),{"Трафіковий","Основний","Маржинальний","Сезонний","Стратегічний"},0),Settings!$I$78,Settings!$I$80,Settings!$I$82,Settings!$I$84,Settings!$I$86)</f>
        <v/>
      </c>
      <c r="AU174" s="171" t="n"/>
      <c r="AV174" t="n">
        <v>1.35</v>
      </c>
    </row>
    <row r="175">
      <c r="A175" s="33" t="inlineStr">
        <is>
          <t>SELL OUT</t>
        </is>
      </c>
      <c r="B175" s="34" t="inlineStr">
        <is>
          <t>ZIW184R</t>
        </is>
      </c>
      <c r="C175" s="34" t="inlineStr">
        <is>
          <t>GOSMART OUTDOOR FLOODLIGHT STARTER KIT 3pcs</t>
        </is>
      </c>
      <c r="D175" s="34" t="inlineStr">
        <is>
          <t>GOSMART AMBIENT</t>
        </is>
      </c>
      <c r="E175" s="33" t="inlineStr">
        <is>
          <t>PC</t>
        </is>
      </c>
      <c r="F175" s="94" t="n">
        <v>31.31</v>
      </c>
      <c r="G175" s="35" t="n">
        <v>9405423100</v>
      </c>
      <c r="H175" s="31" t="n">
        <v>1.35</v>
      </c>
      <c r="I175" s="84">
        <f>IFERROR(F175*Settings!$B$2*H175*IF(AND(ISNUMBER(E175),E175&gt;1),E175,1),"")</f>
        <v/>
      </c>
      <c r="J175" s="32">
        <f>Settings!$B$66</f>
        <v/>
      </c>
      <c r="K175" s="95">
        <f>IFERROR(IF(T175="","",(T175*(1-AN175)*(1-Settings!$B$17)-I175)/(T175*(1-AN175)*(1-Settings!$B$17))),"")</f>
        <v/>
      </c>
      <c r="L175" s="101">
        <f>IFERROR(IF(T175="","",(T175*(1-AO175)*(1-Settings!$C$17)-I175)/(T175*(1-AO175)*(1-Settings!$C$17))),"")</f>
        <v/>
      </c>
      <c r="M175" s="101">
        <f>IFERROR(IF(T175="","",(T175*(1-AP175)*(1-Settings!$D$17)-I175)/(T175*(1-AP175)*(1-Settings!$D$17))),"")</f>
        <v/>
      </c>
      <c r="N175" s="101">
        <f>IFERROR(IF(T175="","",(T175*(1-AQ175)*(1-Settings!$F$17)-I175)/(T175*(1-AQ175)*(1-Settings!$F$17))),"")</f>
        <v/>
      </c>
      <c r="O175" s="101">
        <f>IFERROR(IF(T175="","",(T175*(1-AR175)*(1-Settings!$G$17)-I175)/(T175*(1-AR175)*(1-Settings!$G$17))),"")</f>
        <v/>
      </c>
      <c r="P175" s="101">
        <f>IFERROR(IF(T175="","",(T175*(1-AS175)*(1-Settings!$H$17)-I175)/(T175*(1-AS175)*(1-Settings!$H$17))),"")</f>
        <v/>
      </c>
      <c r="Q175" s="101">
        <f>IFERROR(IF(T175="","",(T175*(1-AT175)*(1-Settings!$I$68)*(1-Settings!$I$17)-I175)/(T175*(1-AT175)*(1-Settings!$I$68)*(1-Settings!$I$17))),"")</f>
        <v/>
      </c>
      <c r="R175" s="91">
        <f>IFERROR(IF(OR(I175="",Z175&gt;=1,Settings!$B$17&gt;=1,AN175&gt;=1),"",IF(MOD(ROUND(I175/(1-Z175)/(1-Settings!$B$17)/(1-AN175),0),10)=0,ROUND(I175/(1-Z175)/(1-Settings!$B$17)/(1-AN175),0)-1,IF(MOD(ROUND(I175/(1-Z175)/(1-Settings!$B$17)/(1-AN175),0),10)&lt;=5,FLOOR(ROUND(I175/(1-Z175)/(1-Settings!$B$17)/(1-AN175),0),10)+6,FLOOR(ROUND(I175/(1-Z175)/(1-Settings!$B$17)/(1-AN175),0),10)+9))),"")</f>
        <v/>
      </c>
      <c r="S175" s="92" t="n">
        <v>3800</v>
      </c>
      <c r="T175" s="91">
        <f>IF(S175&lt;&gt;"", IF(MOD(S175,10)=0,S175-1,IF(MOD(S175,10)&lt;=5,FLOOR(S175,10)+6,FLOOR(S175,10)+9)), R175)</f>
        <v/>
      </c>
      <c r="U175" s="87" t="inlineStr">
        <is>
          <t>Основний</t>
        </is>
      </c>
      <c r="V175" s="88" t="n"/>
      <c r="W175" s="88" t="n"/>
      <c r="X175" s="89">
        <f>IFERROR(IF(OR(V175="",W175="",T175=""),"", IF(T175&gt;W175,"Дорогий",IF(T175&lt;V175,"Дешевий","У ринку"))),"")</f>
        <v/>
      </c>
      <c r="Y175" s="90" t="n"/>
      <c r="Z175" s="104">
        <f>CHOOSE(MATCH(IF($U175="","Основний",$U175),{"Трафіковий","Основний","Маржинальний","Сезонний","Стратегічний"},0),0.16,0.19,0.24,0.23,0.28)</f>
        <v/>
      </c>
      <c r="AA175" s="104">
        <f>CHOOSE(MATCH(IF($U175="","Основний",$U175),{"Трафіковий","Основний","Маржинальний","Сезонний","Стратегічний"},0),0.18,0.21,0.26,0.25,0.3)</f>
        <v/>
      </c>
      <c r="AB175" s="104">
        <f>CHOOSE(MATCH(IF($U175="","Основний",$U175),{"Трафіковий","Основний","Маржинальний","Сезонний","Стратегічний"},0),0.19,0.22,0.28,0.26,0.32)</f>
        <v/>
      </c>
      <c r="AC175" s="104">
        <f>CHOOSE(MATCH(IF($U175="","Основний",$U175),{"Трафіковий","Основний","Маржинальний","Сезонний","Стратегічний"},0),0.17,0.2,0.25,0.24,0.28)</f>
        <v/>
      </c>
      <c r="AD175" s="104">
        <f>CHOOSE(MATCH(IF($U175="","Основний",$U175),{"Трафіковий","Основний","Маржинальний","Сезонний","Стратегічний"},0),0.18,0.21,0.26,0.25,0.3)</f>
        <v/>
      </c>
      <c r="AE175" s="104">
        <f>CHOOSE(MATCH(IF($U175="","Основний",$U175),{"Трафіковий","Основний","Маржинальний","Сезонний","Стратегічний"},0),0.18,0.2,0.28,0.27,0.32)</f>
        <v/>
      </c>
      <c r="AF175" s="104">
        <f>CHOOSE(MATCH(IF($U175="","Основний",$U175),{"Трафіковий","Основний","Маржинальний","Сезонний","Стратегічний"},0),0.15,0.175,0.22,0.21,0.25)</f>
        <v/>
      </c>
      <c r="AG175" s="104">
        <f>CHOOSE(MATCH(IF($U175="","Основний",$U175),{"Трафіковий","Основний","Маржинальний","Сезонний","Стратегічний"},0),0.13,0.16,0.21,0.2,0.25)</f>
        <v/>
      </c>
      <c r="AH175" s="104">
        <f>CHOOSE(MATCH(IF($U175="","Основний",$U175),{"Трафіковий","Основний","Маржинальний","Сезонний","Стратегічний"},0),0.15,0.18,0.23,0.22,0.27)</f>
        <v/>
      </c>
      <c r="AI175" s="104">
        <f>CHOOSE(MATCH(IF($U175="","Основний",$U175),{"Трафіковий","Основний","Маржинальний","Сезонний","Стратегічний"},0),0.16,0.19,0.25,0.23,0.29)</f>
        <v/>
      </c>
      <c r="AJ175" s="104">
        <f>CHOOSE(MATCH(IF($U175="","Основний",$U175),{"Трафіковий","Основний","Маржинальний","Сезонний","Стратегічний"},0),0.14,0.17,0.22,0.21,0.25)</f>
        <v/>
      </c>
      <c r="AK175" s="104">
        <f>CHOOSE(MATCH(IF($U175="","Основний",$U175),{"Трафіковий","Основний","Маржинальний","Сезонний","Стратегічний"},0),0.15,0.18,0.23,0.22,0.27)</f>
        <v/>
      </c>
      <c r="AL175" s="104">
        <f>CHOOSE(MATCH(IF($U175="","Основний",$U175),{"Трафіковий","Основний","Маржинальний","Сезонний","Стратегічний"},0),0.15,0.17,0.25,0.24,0.29)</f>
        <v/>
      </c>
      <c r="AM175" s="104">
        <f>CHOOSE(MATCH(IF($U175="","Основний",$U175),{"Трафіковий","Основний","Маржинальний","Сезонний","Стратегічний"},0),0.12,0.145,0.19,0.18,0.22)</f>
        <v/>
      </c>
      <c r="AN175" s="157">
        <f>CHOOSE(MATCH(IF($U175="","Основний",$U175),{"Трафіковий","Основний","Маржинальний","Сезонний","Стратегічний"},0),Settings!$B$78,Settings!$B$80,Settings!$B$82,Settings!$B$84,Settings!$B$86)</f>
        <v/>
      </c>
      <c r="AO175" s="157">
        <f>CHOOSE(MATCH(IF($U175="","Основний",$U175),{"Трафіковий","Основний","Маржинальний","Сезонний","Стратегічний"},0),Settings!$C$78,Settings!$C$80,Settings!$C$82,Settings!$C$84,Settings!$C$86)</f>
        <v/>
      </c>
      <c r="AP175" s="157">
        <f>CHOOSE(MATCH(IF($U175="","Основний",$U175),{"Трафіковий","Основний","Маржинальний","Сезонний","Стратегічний"},0),Settings!$D$78,Settings!$D$80,Settings!$D$82,Settings!$D$84,Settings!$D$86)</f>
        <v/>
      </c>
      <c r="AQ175" s="157">
        <f>CHOOSE(MATCH(IF($U175="","Основний",$U175),{"Трафіковий","Основний","Маржинальний","Сезонний","Стратегічний"},0),Settings!$F$78,Settings!$F$80,Settings!$F$82,Settings!$F$84,Settings!$F$86)</f>
        <v/>
      </c>
      <c r="AR175" s="157">
        <f>CHOOSE(MATCH(IF($U175="","Основний",$U175),{"Трафіковий","Основний","Маржинальний","Сезонний","Стратегічний"},0),Settings!$G$78,Settings!$G$80,Settings!$G$82,Settings!$G$84,Settings!$G$86)</f>
        <v/>
      </c>
      <c r="AS175" s="157">
        <f>CHOOSE(MATCH(IF($U175="","Основний",$U175),{"Трафіковий","Основний","Маржинальний","Сезонний","Стратегічний"},0),Settings!$H$78,Settings!$H$80,Settings!$H$82,Settings!$H$84,Settings!$H$86)</f>
        <v/>
      </c>
      <c r="AT175" s="157">
        <f>CHOOSE(MATCH(IF($U175="","Основний",$U175),{"Трафіковий","Основний","Маржинальний","Сезонний","Стратегічний"},0),Settings!$I$78,Settings!$I$80,Settings!$I$82,Settings!$I$84,Settings!$I$86)</f>
        <v/>
      </c>
      <c r="AU175" s="171" t="n"/>
      <c r="AV175" t="n">
        <v>1.35</v>
      </c>
    </row>
    <row r="176">
      <c r="A176" s="28" t="inlineStr">
        <is>
          <t>SELL OUT</t>
        </is>
      </c>
      <c r="B176" s="29" t="inlineStr">
        <is>
          <t>ZIW223R</t>
        </is>
      </c>
      <c r="C176" s="29" t="inlineStr">
        <is>
          <t>GOSMART WALL HEXAGONS (3pack)</t>
        </is>
      </c>
      <c r="D176" s="29" t="inlineStr">
        <is>
          <t>GOSMART AMBIENT</t>
        </is>
      </c>
      <c r="E176" s="28" t="inlineStr">
        <is>
          <t>PC</t>
        </is>
      </c>
      <c r="F176" s="93" t="n">
        <v>15.402</v>
      </c>
      <c r="G176" s="30" t="n">
        <v>9405423100</v>
      </c>
      <c r="H176" s="31" t="n">
        <v>1.35</v>
      </c>
      <c r="I176" s="84">
        <f>IFERROR(F176*Settings!$B$2*H176*IF(AND(ISNUMBER(E176),E176&gt;1),E176,1),"")</f>
        <v/>
      </c>
      <c r="J176" s="32">
        <f>Settings!$B$66</f>
        <v/>
      </c>
      <c r="K176" s="95">
        <f>IFERROR(IF(T176="","",(T176*(1-AN176)*(1-Settings!$B$17)-I176)/(T176*(1-AN176)*(1-Settings!$B$17))),"")</f>
        <v/>
      </c>
      <c r="L176" s="101">
        <f>IFERROR(IF(T176="","",(T176*(1-AO176)*(1-Settings!$C$17)-I176)/(T176*(1-AO176)*(1-Settings!$C$17))),"")</f>
        <v/>
      </c>
      <c r="M176" s="101">
        <f>IFERROR(IF(T176="","",(T176*(1-AP176)*(1-Settings!$D$17)-I176)/(T176*(1-AP176)*(1-Settings!$D$17))),"")</f>
        <v/>
      </c>
      <c r="N176" s="101">
        <f>IFERROR(IF(T176="","",(T176*(1-AQ176)*(1-Settings!$F$17)-I176)/(T176*(1-AQ176)*(1-Settings!$F$17))),"")</f>
        <v/>
      </c>
      <c r="O176" s="101">
        <f>IFERROR(IF(T176="","",(T176*(1-AR176)*(1-Settings!$G$17)-I176)/(T176*(1-AR176)*(1-Settings!$G$17))),"")</f>
        <v/>
      </c>
      <c r="P176" s="101">
        <f>IFERROR(IF(T176="","",(T176*(1-AS176)*(1-Settings!$H$17)-I176)/(T176*(1-AS176)*(1-Settings!$H$17))),"")</f>
        <v/>
      </c>
      <c r="Q176" s="101">
        <f>IFERROR(IF(T176="","",(T176*(1-AT176)*(1-Settings!$I$68)*(1-Settings!$I$17)-I176)/(T176*(1-AT176)*(1-Settings!$I$68)*(1-Settings!$I$17))),"")</f>
        <v/>
      </c>
      <c r="R176" s="91">
        <f>IFERROR(IF(OR(I176="",Z176&gt;=1,Settings!$B$17&gt;=1,AN176&gt;=1),"",IF(MOD(ROUND(I176/(1-Z176)/(1-Settings!$B$17)/(1-AN176),0),10)=0,ROUND(I176/(1-Z176)/(1-Settings!$B$17)/(1-AN176),0)-1,IF(MOD(ROUND(I176/(1-Z176)/(1-Settings!$B$17)/(1-AN176),0),10)&lt;=5,FLOOR(ROUND(I176/(1-Z176)/(1-Settings!$B$17)/(1-AN176),0),10)+6,FLOOR(ROUND(I176/(1-Z176)/(1-Settings!$B$17)/(1-AN176),0),10)+9))),"")</f>
        <v/>
      </c>
      <c r="S176" s="92" t="n">
        <v>1800</v>
      </c>
      <c r="T176" s="91">
        <f>IF(S176&lt;&gt;"", IF(MOD(S176,10)=0,S176-1,IF(MOD(S176,10)&lt;=5,FLOOR(S176,10)+6,FLOOR(S176,10)+9)), R176)</f>
        <v/>
      </c>
      <c r="U176" s="87" t="inlineStr">
        <is>
          <t>Основний</t>
        </is>
      </c>
      <c r="V176" s="88" t="n"/>
      <c r="W176" s="88" t="n"/>
      <c r="X176" s="89">
        <f>IFERROR(IF(OR(V176="",W176="",T176=""),"", IF(T176&gt;W176,"Дорогий",IF(T176&lt;V176,"Дешевий","У ринку"))),"")</f>
        <v/>
      </c>
      <c r="Y176" s="90" t="n"/>
      <c r="Z176" s="104">
        <f>CHOOSE(MATCH(IF($U176="","Основний",$U176),{"Трафіковий","Основний","Маржинальний","Сезонний","Стратегічний"},0),0.16,0.19,0.24,0.23,0.28)</f>
        <v/>
      </c>
      <c r="AA176" s="104">
        <f>CHOOSE(MATCH(IF($U176="","Основний",$U176),{"Трафіковий","Основний","Маржинальний","Сезонний","Стратегічний"},0),0.18,0.21,0.26,0.25,0.3)</f>
        <v/>
      </c>
      <c r="AB176" s="104">
        <f>CHOOSE(MATCH(IF($U176="","Основний",$U176),{"Трафіковий","Основний","Маржинальний","Сезонний","Стратегічний"},0),0.19,0.22,0.28,0.26,0.32)</f>
        <v/>
      </c>
      <c r="AC176" s="104">
        <f>CHOOSE(MATCH(IF($U176="","Основний",$U176),{"Трафіковий","Основний","Маржинальний","Сезонний","Стратегічний"},0),0.17,0.2,0.25,0.24,0.28)</f>
        <v/>
      </c>
      <c r="AD176" s="104">
        <f>CHOOSE(MATCH(IF($U176="","Основний",$U176),{"Трафіковий","Основний","Маржинальний","Сезонний","Стратегічний"},0),0.18,0.21,0.26,0.25,0.3)</f>
        <v/>
      </c>
      <c r="AE176" s="104">
        <f>CHOOSE(MATCH(IF($U176="","Основний",$U176),{"Трафіковий","Основний","Маржинальний","Сезонний","Стратегічний"},0),0.18,0.2,0.28,0.27,0.32)</f>
        <v/>
      </c>
      <c r="AF176" s="104">
        <f>CHOOSE(MATCH(IF($U176="","Основний",$U176),{"Трафіковий","Основний","Маржинальний","Сезонний","Стратегічний"},0),0.15,0.175,0.22,0.21,0.25)</f>
        <v/>
      </c>
      <c r="AG176" s="104">
        <f>CHOOSE(MATCH(IF($U176="","Основний",$U176),{"Трафіковий","Основний","Маржинальний","Сезонний","Стратегічний"},0),0.13,0.16,0.21,0.2,0.25)</f>
        <v/>
      </c>
      <c r="AH176" s="104">
        <f>CHOOSE(MATCH(IF($U176="","Основний",$U176),{"Трафіковий","Основний","Маржинальний","Сезонний","Стратегічний"},0),0.15,0.18,0.23,0.22,0.27)</f>
        <v/>
      </c>
      <c r="AI176" s="104">
        <f>CHOOSE(MATCH(IF($U176="","Основний",$U176),{"Трафіковий","Основний","Маржинальний","Сезонний","Стратегічний"},0),0.16,0.19,0.25,0.23,0.29)</f>
        <v/>
      </c>
      <c r="AJ176" s="104">
        <f>CHOOSE(MATCH(IF($U176="","Основний",$U176),{"Трафіковий","Основний","Маржинальний","Сезонний","Стратегічний"},0),0.14,0.17,0.22,0.21,0.25)</f>
        <v/>
      </c>
      <c r="AK176" s="104">
        <f>CHOOSE(MATCH(IF($U176="","Основний",$U176),{"Трафіковий","Основний","Маржинальний","Сезонний","Стратегічний"},0),0.15,0.18,0.23,0.22,0.27)</f>
        <v/>
      </c>
      <c r="AL176" s="104">
        <f>CHOOSE(MATCH(IF($U176="","Основний",$U176),{"Трафіковий","Основний","Маржинальний","Сезонний","Стратегічний"},0),0.15,0.17,0.25,0.24,0.29)</f>
        <v/>
      </c>
      <c r="AM176" s="104">
        <f>CHOOSE(MATCH(IF($U176="","Основний",$U176),{"Трафіковий","Основний","Маржинальний","Сезонний","Стратегічний"},0),0.12,0.145,0.19,0.18,0.22)</f>
        <v/>
      </c>
      <c r="AN176" s="157">
        <f>CHOOSE(MATCH(IF($U176="","Основний",$U176),{"Трафіковий","Основний","Маржинальний","Сезонний","Стратегічний"},0),Settings!$B$78,Settings!$B$80,Settings!$B$82,Settings!$B$84,Settings!$B$86)</f>
        <v/>
      </c>
      <c r="AO176" s="157">
        <f>CHOOSE(MATCH(IF($U176="","Основний",$U176),{"Трафіковий","Основний","Маржинальний","Сезонний","Стратегічний"},0),Settings!$C$78,Settings!$C$80,Settings!$C$82,Settings!$C$84,Settings!$C$86)</f>
        <v/>
      </c>
      <c r="AP176" s="157">
        <f>CHOOSE(MATCH(IF($U176="","Основний",$U176),{"Трафіковий","Основний","Маржинальний","Сезонний","Стратегічний"},0),Settings!$D$78,Settings!$D$80,Settings!$D$82,Settings!$D$84,Settings!$D$86)</f>
        <v/>
      </c>
      <c r="AQ176" s="157">
        <f>CHOOSE(MATCH(IF($U176="","Основний",$U176),{"Трафіковий","Основний","Маржинальний","Сезонний","Стратегічний"},0),Settings!$F$78,Settings!$F$80,Settings!$F$82,Settings!$F$84,Settings!$F$86)</f>
        <v/>
      </c>
      <c r="AR176" s="157">
        <f>CHOOSE(MATCH(IF($U176="","Основний",$U176),{"Трафіковий","Основний","Маржинальний","Сезонний","Стратегічний"},0),Settings!$G$78,Settings!$G$80,Settings!$G$82,Settings!$G$84,Settings!$G$86)</f>
        <v/>
      </c>
      <c r="AS176" s="157">
        <f>CHOOSE(MATCH(IF($U176="","Основний",$U176),{"Трафіковий","Основний","Маржинальний","Сезонний","Стратегічний"},0),Settings!$H$78,Settings!$H$80,Settings!$H$82,Settings!$H$84,Settings!$H$86)</f>
        <v/>
      </c>
      <c r="AT176" s="157">
        <f>CHOOSE(MATCH(IF($U176="","Основний",$U176),{"Трафіковий","Основний","Маржинальний","Сезонний","Стратегічний"},0),Settings!$I$78,Settings!$I$80,Settings!$I$82,Settings!$I$84,Settings!$I$86)</f>
        <v/>
      </c>
      <c r="AU176" s="171" t="n"/>
      <c r="AV176" t="n">
        <v>1.35</v>
      </c>
    </row>
    <row r="177">
      <c r="A177" s="33" t="inlineStr">
        <is>
          <t>SELL OUT</t>
        </is>
      </c>
      <c r="B177" s="34" t="inlineStr">
        <is>
          <t>ZIW22AR</t>
        </is>
      </c>
      <c r="C177" s="34" t="inlineStr">
        <is>
          <t>GOSMART WALL HEXAGONS (10pack)</t>
        </is>
      </c>
      <c r="D177" s="34" t="inlineStr">
        <is>
          <t>GOSMART AMBIENT</t>
        </is>
      </c>
      <c r="E177" s="33" t="inlineStr">
        <is>
          <t>PC</t>
        </is>
      </c>
      <c r="F177" s="94" t="n">
        <v>56.12</v>
      </c>
      <c r="G177" s="35" t="n">
        <v>9405423100</v>
      </c>
      <c r="H177" s="31" t="n">
        <v>1.35</v>
      </c>
      <c r="I177" s="84">
        <f>IFERROR(F177*Settings!$B$2*H177*IF(AND(ISNUMBER(E177),E177&gt;1),E177,1),"")</f>
        <v/>
      </c>
      <c r="J177" s="32">
        <f>Settings!$B$66</f>
        <v/>
      </c>
      <c r="K177" s="95">
        <f>IFERROR(IF(T177="","",(T177*(1-AN177)*(1-Settings!$B$17)-I177)/(T177*(1-AN177)*(1-Settings!$B$17))),"")</f>
        <v/>
      </c>
      <c r="L177" s="101">
        <f>IFERROR(IF(T177="","",(T177*(1-AO177)*(1-Settings!$C$17)-I177)/(T177*(1-AO177)*(1-Settings!$C$17))),"")</f>
        <v/>
      </c>
      <c r="M177" s="101">
        <f>IFERROR(IF(T177="","",(T177*(1-AP177)*(1-Settings!$D$17)-I177)/(T177*(1-AP177)*(1-Settings!$D$17))),"")</f>
        <v/>
      </c>
      <c r="N177" s="101">
        <f>IFERROR(IF(T177="","",(T177*(1-AQ177)*(1-Settings!$F$17)-I177)/(T177*(1-AQ177)*(1-Settings!$F$17))),"")</f>
        <v/>
      </c>
      <c r="O177" s="101">
        <f>IFERROR(IF(T177="","",(T177*(1-AR177)*(1-Settings!$G$17)-I177)/(T177*(1-AR177)*(1-Settings!$G$17))),"")</f>
        <v/>
      </c>
      <c r="P177" s="101">
        <f>IFERROR(IF(T177="","",(T177*(1-AS177)*(1-Settings!$H$17)-I177)/(T177*(1-AS177)*(1-Settings!$H$17))),"")</f>
        <v/>
      </c>
      <c r="Q177" s="101">
        <f>IFERROR(IF(T177="","",(T177*(1-AT177)*(1-Settings!$I$68)*(1-Settings!$I$17)-I177)/(T177*(1-AT177)*(1-Settings!$I$68)*(1-Settings!$I$17))),"")</f>
        <v/>
      </c>
      <c r="R177" s="91">
        <f>IFERROR(IF(OR(I177="",Z177&gt;=1,Settings!$B$17&gt;=1,AN177&gt;=1),"",IF(MOD(ROUND(I177/(1-Z177)/(1-Settings!$B$17)/(1-AN177),0),10)=0,ROUND(I177/(1-Z177)/(1-Settings!$B$17)/(1-AN177),0)-1,IF(MOD(ROUND(I177/(1-Z177)/(1-Settings!$B$17)/(1-AN177),0),10)&lt;=5,FLOOR(ROUND(I177/(1-Z177)/(1-Settings!$B$17)/(1-AN177),0),10)+6,FLOOR(ROUND(I177/(1-Z177)/(1-Settings!$B$17)/(1-AN177),0),10)+9))),"")</f>
        <v/>
      </c>
      <c r="S177" s="92" t="n">
        <v>6800</v>
      </c>
      <c r="T177" s="91">
        <f>IF(S177&lt;&gt;"", IF(MOD(S177,10)=0,S177-1,IF(MOD(S177,10)&lt;=5,FLOOR(S177,10)+6,FLOOR(S177,10)+9)), R177)</f>
        <v/>
      </c>
      <c r="U177" s="87" t="inlineStr">
        <is>
          <t>Основний</t>
        </is>
      </c>
      <c r="V177" s="88" t="n"/>
      <c r="W177" s="88" t="n"/>
      <c r="X177" s="89">
        <f>IFERROR(IF(OR(V177="",W177="",T177=""),"", IF(T177&gt;W177,"Дорогий",IF(T177&lt;V177,"Дешевий","У ринку"))),"")</f>
        <v/>
      </c>
      <c r="Y177" s="90" t="n"/>
      <c r="Z177" s="104">
        <f>CHOOSE(MATCH(IF($U177="","Основний",$U177),{"Трафіковий","Основний","Маржинальний","Сезонний","Стратегічний"},0),0.16,0.19,0.24,0.23,0.28)</f>
        <v/>
      </c>
      <c r="AA177" s="104">
        <f>CHOOSE(MATCH(IF($U177="","Основний",$U177),{"Трафіковий","Основний","Маржинальний","Сезонний","Стратегічний"},0),0.18,0.21,0.26,0.25,0.3)</f>
        <v/>
      </c>
      <c r="AB177" s="104">
        <f>CHOOSE(MATCH(IF($U177="","Основний",$U177),{"Трафіковий","Основний","Маржинальний","Сезонний","Стратегічний"},0),0.19,0.22,0.28,0.26,0.32)</f>
        <v/>
      </c>
      <c r="AC177" s="104">
        <f>CHOOSE(MATCH(IF($U177="","Основний",$U177),{"Трафіковий","Основний","Маржинальний","Сезонний","Стратегічний"},0),0.17,0.2,0.25,0.24,0.28)</f>
        <v/>
      </c>
      <c r="AD177" s="104">
        <f>CHOOSE(MATCH(IF($U177="","Основний",$U177),{"Трафіковий","Основний","Маржинальний","Сезонний","Стратегічний"},0),0.18,0.21,0.26,0.25,0.3)</f>
        <v/>
      </c>
      <c r="AE177" s="104">
        <f>CHOOSE(MATCH(IF($U177="","Основний",$U177),{"Трафіковий","Основний","Маржинальний","Сезонний","Стратегічний"},0),0.18,0.2,0.28,0.27,0.32)</f>
        <v/>
      </c>
      <c r="AF177" s="104">
        <f>CHOOSE(MATCH(IF($U177="","Основний",$U177),{"Трафіковий","Основний","Маржинальний","Сезонний","Стратегічний"},0),0.15,0.175,0.22,0.21,0.25)</f>
        <v/>
      </c>
      <c r="AG177" s="104">
        <f>CHOOSE(MATCH(IF($U177="","Основний",$U177),{"Трафіковий","Основний","Маржинальний","Сезонний","Стратегічний"},0),0.13,0.16,0.21,0.2,0.25)</f>
        <v/>
      </c>
      <c r="AH177" s="104">
        <f>CHOOSE(MATCH(IF($U177="","Основний",$U177),{"Трафіковий","Основний","Маржинальний","Сезонний","Стратегічний"},0),0.15,0.18,0.23,0.22,0.27)</f>
        <v/>
      </c>
      <c r="AI177" s="104">
        <f>CHOOSE(MATCH(IF($U177="","Основний",$U177),{"Трафіковий","Основний","Маржинальний","Сезонний","Стратегічний"},0),0.16,0.19,0.25,0.23,0.29)</f>
        <v/>
      </c>
      <c r="AJ177" s="104">
        <f>CHOOSE(MATCH(IF($U177="","Основний",$U177),{"Трафіковий","Основний","Маржинальний","Сезонний","Стратегічний"},0),0.14,0.17,0.22,0.21,0.25)</f>
        <v/>
      </c>
      <c r="AK177" s="104">
        <f>CHOOSE(MATCH(IF($U177="","Основний",$U177),{"Трафіковий","Основний","Маржинальний","Сезонний","Стратегічний"},0),0.15,0.18,0.23,0.22,0.27)</f>
        <v/>
      </c>
      <c r="AL177" s="104">
        <f>CHOOSE(MATCH(IF($U177="","Основний",$U177),{"Трафіковий","Основний","Маржинальний","Сезонний","Стратегічний"},0),0.15,0.17,0.25,0.24,0.29)</f>
        <v/>
      </c>
      <c r="AM177" s="104">
        <f>CHOOSE(MATCH(IF($U177="","Основний",$U177),{"Трафіковий","Основний","Маржинальний","Сезонний","Стратегічний"},0),0.12,0.145,0.19,0.18,0.22)</f>
        <v/>
      </c>
      <c r="AN177" s="157">
        <f>CHOOSE(MATCH(IF($U177="","Основний",$U177),{"Трафіковий","Основний","Маржинальний","Сезонний","Стратегічний"},0),Settings!$B$78,Settings!$B$80,Settings!$B$82,Settings!$B$84,Settings!$B$86)</f>
        <v/>
      </c>
      <c r="AO177" s="157">
        <f>CHOOSE(MATCH(IF($U177="","Основний",$U177),{"Трафіковий","Основний","Маржинальний","Сезонний","Стратегічний"},0),Settings!$C$78,Settings!$C$80,Settings!$C$82,Settings!$C$84,Settings!$C$86)</f>
        <v/>
      </c>
      <c r="AP177" s="157">
        <f>CHOOSE(MATCH(IF($U177="","Основний",$U177),{"Трафіковий","Основний","Маржинальний","Сезонний","Стратегічний"},0),Settings!$D$78,Settings!$D$80,Settings!$D$82,Settings!$D$84,Settings!$D$86)</f>
        <v/>
      </c>
      <c r="AQ177" s="157">
        <f>CHOOSE(MATCH(IF($U177="","Основний",$U177),{"Трафіковий","Основний","Маржинальний","Сезонний","Стратегічний"},0),Settings!$F$78,Settings!$F$80,Settings!$F$82,Settings!$F$84,Settings!$F$86)</f>
        <v/>
      </c>
      <c r="AR177" s="157">
        <f>CHOOSE(MATCH(IF($U177="","Основний",$U177),{"Трафіковий","Основний","Маржинальний","Сезонний","Стратегічний"},0),Settings!$G$78,Settings!$G$80,Settings!$G$82,Settings!$G$84,Settings!$G$86)</f>
        <v/>
      </c>
      <c r="AS177" s="157">
        <f>CHOOSE(MATCH(IF($U177="","Основний",$U177),{"Трафіковий","Основний","Маржинальний","Сезонний","Стратегічний"},0),Settings!$H$78,Settings!$H$80,Settings!$H$82,Settings!$H$84,Settings!$H$86)</f>
        <v/>
      </c>
      <c r="AT177" s="157">
        <f>CHOOSE(MATCH(IF($U177="","Основний",$U177),{"Трафіковий","Основний","Маржинальний","Сезонний","Стратегічний"},0),Settings!$I$78,Settings!$I$80,Settings!$I$82,Settings!$I$84,Settings!$I$86)</f>
        <v/>
      </c>
      <c r="AU177" s="171" t="n"/>
      <c r="AV177" t="n">
        <v>1.35</v>
      </c>
    </row>
    <row r="178">
      <c r="A178" s="28" t="inlineStr">
        <is>
          <t>SELL OUT</t>
        </is>
      </c>
      <c r="B178" s="29" t="inlineStr">
        <is>
          <t>ZIW426R</t>
        </is>
      </c>
      <c r="C178" s="29" t="inlineStr">
        <is>
          <t>GOSMART TABLE QUANTUM LIGHT</t>
        </is>
      </c>
      <c r="D178" s="29" t="inlineStr">
        <is>
          <t>GOSMART AMBIENT</t>
        </is>
      </c>
      <c r="E178" s="28" t="inlineStr">
        <is>
          <t>PC</t>
        </is>
      </c>
      <c r="F178" s="93" t="n">
        <v>23.627</v>
      </c>
      <c r="G178" s="30" t="n">
        <v>9405423100</v>
      </c>
      <c r="H178" s="31" t="n">
        <v>1.35</v>
      </c>
      <c r="I178" s="84">
        <f>IFERROR(F178*Settings!$B$2*H178*IF(AND(ISNUMBER(E178),E178&gt;1),E178,1),"")</f>
        <v/>
      </c>
      <c r="J178" s="32">
        <f>Settings!$B$66</f>
        <v/>
      </c>
      <c r="K178" s="95">
        <f>IFERROR(IF(T178="","",(T178*(1-AN178)*(1-Settings!$B$17)-I178)/(T178*(1-AN178)*(1-Settings!$B$17))),"")</f>
        <v/>
      </c>
      <c r="L178" s="101">
        <f>IFERROR(IF(T178="","",(T178*(1-AO178)*(1-Settings!$C$17)-I178)/(T178*(1-AO178)*(1-Settings!$C$17))),"")</f>
        <v/>
      </c>
      <c r="M178" s="101">
        <f>IFERROR(IF(T178="","",(T178*(1-AP178)*(1-Settings!$D$17)-I178)/(T178*(1-AP178)*(1-Settings!$D$17))),"")</f>
        <v/>
      </c>
      <c r="N178" s="101">
        <f>IFERROR(IF(T178="","",(T178*(1-AQ178)*(1-Settings!$F$17)-I178)/(T178*(1-AQ178)*(1-Settings!$F$17))),"")</f>
        <v/>
      </c>
      <c r="O178" s="101">
        <f>IFERROR(IF(T178="","",(T178*(1-AR178)*(1-Settings!$G$17)-I178)/(T178*(1-AR178)*(1-Settings!$G$17))),"")</f>
        <v/>
      </c>
      <c r="P178" s="101">
        <f>IFERROR(IF(T178="","",(T178*(1-AS178)*(1-Settings!$H$17)-I178)/(T178*(1-AS178)*(1-Settings!$H$17))),"")</f>
        <v/>
      </c>
      <c r="Q178" s="101">
        <f>IFERROR(IF(T178="","",(T178*(1-AT178)*(1-Settings!$I$68)*(1-Settings!$I$17)-I178)/(T178*(1-AT178)*(1-Settings!$I$68)*(1-Settings!$I$17))),"")</f>
        <v/>
      </c>
      <c r="R178" s="91">
        <f>IFERROR(IF(OR(I178="",Z178&gt;=1,Settings!$B$17&gt;=1,AN178&gt;=1),"",IF(MOD(ROUND(I178/(1-Z178)/(1-Settings!$B$17)/(1-AN178),0),10)=0,ROUND(I178/(1-Z178)/(1-Settings!$B$17)/(1-AN178),0)-1,IF(MOD(ROUND(I178/(1-Z178)/(1-Settings!$B$17)/(1-AN178),0),10)&lt;=5,FLOOR(ROUND(I178/(1-Z178)/(1-Settings!$B$17)/(1-AN178),0),10)+6,FLOOR(ROUND(I178/(1-Z178)/(1-Settings!$B$17)/(1-AN178),0),10)+9))),"")</f>
        <v/>
      </c>
      <c r="S178" s="92" t="n">
        <v>2800</v>
      </c>
      <c r="T178" s="91">
        <f>IF(S178&lt;&gt;"", IF(MOD(S178,10)=0,S178-1,IF(MOD(S178,10)&lt;=5,FLOOR(S178,10)+6,FLOOR(S178,10)+9)), R178)</f>
        <v/>
      </c>
      <c r="U178" s="87" t="inlineStr">
        <is>
          <t>Основний</t>
        </is>
      </c>
      <c r="V178" s="88" t="n"/>
      <c r="W178" s="88" t="n"/>
      <c r="X178" s="89">
        <f>IFERROR(IF(OR(V178="",W178="",T178=""),"", IF(T178&gt;W178,"Дорогий",IF(T178&lt;V178,"Дешевий","У ринку"))),"")</f>
        <v/>
      </c>
      <c r="Y178" s="90" t="n"/>
      <c r="Z178" s="104">
        <f>CHOOSE(MATCH(IF($U178="","Основний",$U178),{"Трафіковий","Основний","Маржинальний","Сезонний","Стратегічний"},0),0.16,0.19,0.24,0.23,0.28)</f>
        <v/>
      </c>
      <c r="AA178" s="104">
        <f>CHOOSE(MATCH(IF($U178="","Основний",$U178),{"Трафіковий","Основний","Маржинальний","Сезонний","Стратегічний"},0),0.18,0.21,0.26,0.25,0.3)</f>
        <v/>
      </c>
      <c r="AB178" s="104">
        <f>CHOOSE(MATCH(IF($U178="","Основний",$U178),{"Трафіковий","Основний","Маржинальний","Сезонний","Стратегічний"},0),0.19,0.22,0.28,0.26,0.32)</f>
        <v/>
      </c>
      <c r="AC178" s="104">
        <f>CHOOSE(MATCH(IF($U178="","Основний",$U178),{"Трафіковий","Основний","Маржинальний","Сезонний","Стратегічний"},0),0.17,0.2,0.25,0.24,0.28)</f>
        <v/>
      </c>
      <c r="AD178" s="104">
        <f>CHOOSE(MATCH(IF($U178="","Основний",$U178),{"Трафіковий","Основний","Маржинальний","Сезонний","Стратегічний"},0),0.18,0.21,0.26,0.25,0.3)</f>
        <v/>
      </c>
      <c r="AE178" s="104">
        <f>CHOOSE(MATCH(IF($U178="","Основний",$U178),{"Трафіковий","Основний","Маржинальний","Сезонний","Стратегічний"},0),0.18,0.2,0.28,0.27,0.32)</f>
        <v/>
      </c>
      <c r="AF178" s="104">
        <f>CHOOSE(MATCH(IF($U178="","Основний",$U178),{"Трафіковий","Основний","Маржинальний","Сезонний","Стратегічний"},0),0.15,0.175,0.22,0.21,0.25)</f>
        <v/>
      </c>
      <c r="AG178" s="104">
        <f>CHOOSE(MATCH(IF($U178="","Основний",$U178),{"Трафіковий","Основний","Маржинальний","Сезонний","Стратегічний"},0),0.13,0.16,0.21,0.2,0.25)</f>
        <v/>
      </c>
      <c r="AH178" s="104">
        <f>CHOOSE(MATCH(IF($U178="","Основний",$U178),{"Трафіковий","Основний","Маржинальний","Сезонний","Стратегічний"},0),0.15,0.18,0.23,0.22,0.27)</f>
        <v/>
      </c>
      <c r="AI178" s="104">
        <f>CHOOSE(MATCH(IF($U178="","Основний",$U178),{"Трафіковий","Основний","Маржинальний","Сезонний","Стратегічний"},0),0.16,0.19,0.25,0.23,0.29)</f>
        <v/>
      </c>
      <c r="AJ178" s="104">
        <f>CHOOSE(MATCH(IF($U178="","Основний",$U178),{"Трафіковий","Основний","Маржинальний","Сезонний","Стратегічний"},0),0.14,0.17,0.22,0.21,0.25)</f>
        <v/>
      </c>
      <c r="AK178" s="104">
        <f>CHOOSE(MATCH(IF($U178="","Основний",$U178),{"Трафіковий","Основний","Маржинальний","Сезонний","Стратегічний"},0),0.15,0.18,0.23,0.22,0.27)</f>
        <v/>
      </c>
      <c r="AL178" s="104">
        <f>CHOOSE(MATCH(IF($U178="","Основний",$U178),{"Трафіковий","Основний","Маржинальний","Сезонний","Стратегічний"},0),0.15,0.17,0.25,0.24,0.29)</f>
        <v/>
      </c>
      <c r="AM178" s="104">
        <f>CHOOSE(MATCH(IF($U178="","Основний",$U178),{"Трафіковий","Основний","Маржинальний","Сезонний","Стратегічний"},0),0.12,0.145,0.19,0.18,0.22)</f>
        <v/>
      </c>
      <c r="AN178" s="157">
        <f>CHOOSE(MATCH(IF($U178="","Основний",$U178),{"Трафіковий","Основний","Маржинальний","Сезонний","Стратегічний"},0),Settings!$B$78,Settings!$B$80,Settings!$B$82,Settings!$B$84,Settings!$B$86)</f>
        <v/>
      </c>
      <c r="AO178" s="157">
        <f>CHOOSE(MATCH(IF($U178="","Основний",$U178),{"Трафіковий","Основний","Маржинальний","Сезонний","Стратегічний"},0),Settings!$C$78,Settings!$C$80,Settings!$C$82,Settings!$C$84,Settings!$C$86)</f>
        <v/>
      </c>
      <c r="AP178" s="157">
        <f>CHOOSE(MATCH(IF($U178="","Основний",$U178),{"Трафіковий","Основний","Маржинальний","Сезонний","Стратегічний"},0),Settings!$D$78,Settings!$D$80,Settings!$D$82,Settings!$D$84,Settings!$D$86)</f>
        <v/>
      </c>
      <c r="AQ178" s="157">
        <f>CHOOSE(MATCH(IF($U178="","Основний",$U178),{"Трафіковий","Основний","Маржинальний","Сезонний","Стратегічний"},0),Settings!$F$78,Settings!$F$80,Settings!$F$82,Settings!$F$84,Settings!$F$86)</f>
        <v/>
      </c>
      <c r="AR178" s="157">
        <f>CHOOSE(MATCH(IF($U178="","Основний",$U178),{"Трафіковий","Основний","Маржинальний","Сезонний","Стратегічний"},0),Settings!$G$78,Settings!$G$80,Settings!$G$82,Settings!$G$84,Settings!$G$86)</f>
        <v/>
      </c>
      <c r="AS178" s="157">
        <f>CHOOSE(MATCH(IF($U178="","Основний",$U178),{"Трафіковий","Основний","Маржинальний","Сезонний","Стратегічний"},0),Settings!$H$78,Settings!$H$80,Settings!$H$82,Settings!$H$84,Settings!$H$86)</f>
        <v/>
      </c>
      <c r="AT178" s="157">
        <f>CHOOSE(MATCH(IF($U178="","Основний",$U178),{"Трафіковий","Основний","Маржинальний","Сезонний","Стратегічний"},0),Settings!$I$78,Settings!$I$80,Settings!$I$82,Settings!$I$84,Settings!$I$86)</f>
        <v/>
      </c>
      <c r="AU178" s="171" t="n"/>
      <c r="AV178" t="n">
        <v>1.35</v>
      </c>
    </row>
    <row r="179">
      <c r="A179" s="33" t="inlineStr">
        <is>
          <t>SELL OUT</t>
        </is>
      </c>
      <c r="B179" s="34" t="inlineStr">
        <is>
          <t>ZIW249R</t>
        </is>
      </c>
      <c r="C179" s="34" t="inlineStr">
        <is>
          <t>GOSMART LINES WHITE 9 PACK</t>
        </is>
      </c>
      <c r="D179" s="34" t="inlineStr">
        <is>
          <t>GOSMART AMBIENT</t>
        </is>
      </c>
      <c r="E179" s="33" t="inlineStr">
        <is>
          <t>PC</t>
        </is>
      </c>
      <c r="F179" s="94" t="n">
        <v>50.777</v>
      </c>
      <c r="G179" s="35" t="n">
        <v>9405423100</v>
      </c>
      <c r="H179" s="31" t="n">
        <v>1.35</v>
      </c>
      <c r="I179" s="84">
        <f>IFERROR(F179*Settings!$B$2*H179*IF(AND(ISNUMBER(E179),E179&gt;1),E179,1),"")</f>
        <v/>
      </c>
      <c r="J179" s="32">
        <f>Settings!$B$66</f>
        <v/>
      </c>
      <c r="K179" s="95">
        <f>IFERROR(IF(T179="","",(T179*(1-AN179)*(1-Settings!$B$17)-I179)/(T179*(1-AN179)*(1-Settings!$B$17))),"")</f>
        <v/>
      </c>
      <c r="L179" s="101">
        <f>IFERROR(IF(T179="","",(T179*(1-AO179)*(1-Settings!$C$17)-I179)/(T179*(1-AO179)*(1-Settings!$C$17))),"")</f>
        <v/>
      </c>
      <c r="M179" s="101">
        <f>IFERROR(IF(T179="","",(T179*(1-AP179)*(1-Settings!$D$17)-I179)/(T179*(1-AP179)*(1-Settings!$D$17))),"")</f>
        <v/>
      </c>
      <c r="N179" s="101">
        <f>IFERROR(IF(T179="","",(T179*(1-AQ179)*(1-Settings!$F$17)-I179)/(T179*(1-AQ179)*(1-Settings!$F$17))),"")</f>
        <v/>
      </c>
      <c r="O179" s="101">
        <f>IFERROR(IF(T179="","",(T179*(1-AR179)*(1-Settings!$G$17)-I179)/(T179*(1-AR179)*(1-Settings!$G$17))),"")</f>
        <v/>
      </c>
      <c r="P179" s="101">
        <f>IFERROR(IF(T179="","",(T179*(1-AS179)*(1-Settings!$H$17)-I179)/(T179*(1-AS179)*(1-Settings!$H$17))),"")</f>
        <v/>
      </c>
      <c r="Q179" s="101">
        <f>IFERROR(IF(T179="","",(T179*(1-AT179)*(1-Settings!$I$68)*(1-Settings!$I$17)-I179)/(T179*(1-AT179)*(1-Settings!$I$68)*(1-Settings!$I$17))),"")</f>
        <v/>
      </c>
      <c r="R179" s="91">
        <f>IFERROR(IF(OR(I179="",Z179&gt;=1,Settings!$B$17&gt;=1,AN179&gt;=1),"",IF(MOD(ROUND(I179/(1-Z179)/(1-Settings!$B$17)/(1-AN179),0),10)=0,ROUND(I179/(1-Z179)/(1-Settings!$B$17)/(1-AN179),0)-1,IF(MOD(ROUND(I179/(1-Z179)/(1-Settings!$B$17)/(1-AN179),0),10)&lt;=5,FLOOR(ROUND(I179/(1-Z179)/(1-Settings!$B$17)/(1-AN179),0),10)+6,FLOOR(ROUND(I179/(1-Z179)/(1-Settings!$B$17)/(1-AN179),0),10)+9))),"")</f>
        <v/>
      </c>
      <c r="S179" s="92" t="n">
        <v>5800</v>
      </c>
      <c r="T179" s="91">
        <f>IF(S179&lt;&gt;"", IF(MOD(S179,10)=0,S179-1,IF(MOD(S179,10)&lt;=5,FLOOR(S179,10)+6,FLOOR(S179,10)+9)), R179)</f>
        <v/>
      </c>
      <c r="U179" s="87" t="inlineStr">
        <is>
          <t>Основний</t>
        </is>
      </c>
      <c r="V179" s="88" t="n"/>
      <c r="W179" s="88" t="n"/>
      <c r="X179" s="89">
        <f>IFERROR(IF(OR(V179="",W179="",T179=""),"", IF(T179&gt;W179,"Дорогий",IF(T179&lt;V179,"Дешевий","У ринку"))),"")</f>
        <v/>
      </c>
      <c r="Y179" s="90" t="n"/>
      <c r="Z179" s="104">
        <f>CHOOSE(MATCH(IF($U179="","Основний",$U179),{"Трафіковий","Основний","Маржинальний","Сезонний","Стратегічний"},0),0.16,0.19,0.24,0.23,0.28)</f>
        <v/>
      </c>
      <c r="AA179" s="104">
        <f>CHOOSE(MATCH(IF($U179="","Основний",$U179),{"Трафіковий","Основний","Маржинальний","Сезонний","Стратегічний"},0),0.18,0.21,0.26,0.25,0.3)</f>
        <v/>
      </c>
      <c r="AB179" s="104">
        <f>CHOOSE(MATCH(IF($U179="","Основний",$U179),{"Трафіковий","Основний","Маржинальний","Сезонний","Стратегічний"},0),0.19,0.22,0.28,0.26,0.32)</f>
        <v/>
      </c>
      <c r="AC179" s="104">
        <f>CHOOSE(MATCH(IF($U179="","Основний",$U179),{"Трафіковий","Основний","Маржинальний","Сезонний","Стратегічний"},0),0.17,0.2,0.25,0.24,0.28)</f>
        <v/>
      </c>
      <c r="AD179" s="104">
        <f>CHOOSE(MATCH(IF($U179="","Основний",$U179),{"Трафіковий","Основний","Маржинальний","Сезонний","Стратегічний"},0),0.18,0.21,0.26,0.25,0.3)</f>
        <v/>
      </c>
      <c r="AE179" s="104">
        <f>CHOOSE(MATCH(IF($U179="","Основний",$U179),{"Трафіковий","Основний","Маржинальний","Сезонний","Стратегічний"},0),0.18,0.2,0.28,0.27,0.32)</f>
        <v/>
      </c>
      <c r="AF179" s="104">
        <f>CHOOSE(MATCH(IF($U179="","Основний",$U179),{"Трафіковий","Основний","Маржинальний","Сезонний","Стратегічний"},0),0.15,0.175,0.22,0.21,0.25)</f>
        <v/>
      </c>
      <c r="AG179" s="104">
        <f>CHOOSE(MATCH(IF($U179="","Основний",$U179),{"Трафіковий","Основний","Маржинальний","Сезонний","Стратегічний"},0),0.13,0.16,0.21,0.2,0.25)</f>
        <v/>
      </c>
      <c r="AH179" s="104">
        <f>CHOOSE(MATCH(IF($U179="","Основний",$U179),{"Трафіковий","Основний","Маржинальний","Сезонний","Стратегічний"},0),0.15,0.18,0.23,0.22,0.27)</f>
        <v/>
      </c>
      <c r="AI179" s="104">
        <f>CHOOSE(MATCH(IF($U179="","Основний",$U179),{"Трафіковий","Основний","Маржинальний","Сезонний","Стратегічний"},0),0.16,0.19,0.25,0.23,0.29)</f>
        <v/>
      </c>
      <c r="AJ179" s="104">
        <f>CHOOSE(MATCH(IF($U179="","Основний",$U179),{"Трафіковий","Основний","Маржинальний","Сезонний","Стратегічний"},0),0.14,0.17,0.22,0.21,0.25)</f>
        <v/>
      </c>
      <c r="AK179" s="104">
        <f>CHOOSE(MATCH(IF($U179="","Основний",$U179),{"Трафіковий","Основний","Маржинальний","Сезонний","Стратегічний"},0),0.15,0.18,0.23,0.22,0.27)</f>
        <v/>
      </c>
      <c r="AL179" s="104">
        <f>CHOOSE(MATCH(IF($U179="","Основний",$U179),{"Трафіковий","Основний","Маржинальний","Сезонний","Стратегічний"},0),0.15,0.17,0.25,0.24,0.29)</f>
        <v/>
      </c>
      <c r="AM179" s="104">
        <f>CHOOSE(MATCH(IF($U179="","Основний",$U179),{"Трафіковий","Основний","Маржинальний","Сезонний","Стратегічний"},0),0.12,0.145,0.19,0.18,0.22)</f>
        <v/>
      </c>
      <c r="AN179" s="157">
        <f>CHOOSE(MATCH(IF($U179="","Основний",$U179),{"Трафіковий","Основний","Маржинальний","Сезонний","Стратегічний"},0),Settings!$B$78,Settings!$B$80,Settings!$B$82,Settings!$B$84,Settings!$B$86)</f>
        <v/>
      </c>
      <c r="AO179" s="157">
        <f>CHOOSE(MATCH(IF($U179="","Основний",$U179),{"Трафіковий","Основний","Маржинальний","Сезонний","Стратегічний"},0),Settings!$C$78,Settings!$C$80,Settings!$C$82,Settings!$C$84,Settings!$C$86)</f>
        <v/>
      </c>
      <c r="AP179" s="157">
        <f>CHOOSE(MATCH(IF($U179="","Основний",$U179),{"Трафіковий","Основний","Маржинальний","Сезонний","Стратегічний"},0),Settings!$D$78,Settings!$D$80,Settings!$D$82,Settings!$D$84,Settings!$D$86)</f>
        <v/>
      </c>
      <c r="AQ179" s="157">
        <f>CHOOSE(MATCH(IF($U179="","Основний",$U179),{"Трафіковий","Основний","Маржинальний","Сезонний","Стратегічний"},0),Settings!$F$78,Settings!$F$80,Settings!$F$82,Settings!$F$84,Settings!$F$86)</f>
        <v/>
      </c>
      <c r="AR179" s="157">
        <f>CHOOSE(MATCH(IF($U179="","Основний",$U179),{"Трафіковий","Основний","Маржинальний","Сезонний","Стратегічний"},0),Settings!$G$78,Settings!$G$80,Settings!$G$82,Settings!$G$84,Settings!$G$86)</f>
        <v/>
      </c>
      <c r="AS179" s="157">
        <f>CHOOSE(MATCH(IF($U179="","Основний",$U179),{"Трафіковий","Основний","Маржинальний","Сезонний","Стратегічний"},0),Settings!$H$78,Settings!$H$80,Settings!$H$82,Settings!$H$84,Settings!$H$86)</f>
        <v/>
      </c>
      <c r="AT179" s="157">
        <f>CHOOSE(MATCH(IF($U179="","Основний",$U179),{"Трафіковий","Основний","Маржинальний","Сезонний","Стратегічний"},0),Settings!$I$78,Settings!$I$80,Settings!$I$82,Settings!$I$84,Settings!$I$86)</f>
        <v/>
      </c>
      <c r="AU179" s="171" t="n"/>
      <c r="AV179" t="n">
        <v>1.35</v>
      </c>
    </row>
    <row r="180">
      <c r="A180" s="28" t="inlineStr">
        <is>
          <t>SELL OUT</t>
        </is>
      </c>
      <c r="B180" s="29" t="inlineStr">
        <is>
          <t>ZIW269R</t>
        </is>
      </c>
      <c r="C180" s="29" t="inlineStr">
        <is>
          <t>GOSMART LINES BLACK 9 PACK</t>
        </is>
      </c>
      <c r="D180" s="29" t="inlineStr">
        <is>
          <t>GOSMART AMBIENT</t>
        </is>
      </c>
      <c r="E180" s="28" t="inlineStr">
        <is>
          <t>PC</t>
        </is>
      </c>
      <c r="F180" s="93" t="n">
        <v>50.777</v>
      </c>
      <c r="G180" s="30" t="n">
        <v>9405423100</v>
      </c>
      <c r="H180" s="31" t="n">
        <v>1.35</v>
      </c>
      <c r="I180" s="84">
        <f>IFERROR(F180*Settings!$B$2*H180*IF(AND(ISNUMBER(E180),E180&gt;1),E180,1),"")</f>
        <v/>
      </c>
      <c r="J180" s="32">
        <f>Settings!$B$66</f>
        <v/>
      </c>
      <c r="K180" s="95">
        <f>IFERROR(IF(T180="","",(T180*(1-AN180)*(1-Settings!$B$17)-I180)/(T180*(1-AN180)*(1-Settings!$B$17))),"")</f>
        <v/>
      </c>
      <c r="L180" s="101">
        <f>IFERROR(IF(T180="","",(T180*(1-AO180)*(1-Settings!$C$17)-I180)/(T180*(1-AO180)*(1-Settings!$C$17))),"")</f>
        <v/>
      </c>
      <c r="M180" s="101">
        <f>IFERROR(IF(T180="","",(T180*(1-AP180)*(1-Settings!$D$17)-I180)/(T180*(1-AP180)*(1-Settings!$D$17))),"")</f>
        <v/>
      </c>
      <c r="N180" s="101">
        <f>IFERROR(IF(T180="","",(T180*(1-AQ180)*(1-Settings!$F$17)-I180)/(T180*(1-AQ180)*(1-Settings!$F$17))),"")</f>
        <v/>
      </c>
      <c r="O180" s="101">
        <f>IFERROR(IF(T180="","",(T180*(1-AR180)*(1-Settings!$G$17)-I180)/(T180*(1-AR180)*(1-Settings!$G$17))),"")</f>
        <v/>
      </c>
      <c r="P180" s="101">
        <f>IFERROR(IF(T180="","",(T180*(1-AS180)*(1-Settings!$H$17)-I180)/(T180*(1-AS180)*(1-Settings!$H$17))),"")</f>
        <v/>
      </c>
      <c r="Q180" s="101">
        <f>IFERROR(IF(T180="","",(T180*(1-AT180)*(1-Settings!$I$68)*(1-Settings!$I$17)-I180)/(T180*(1-AT180)*(1-Settings!$I$68)*(1-Settings!$I$17))),"")</f>
        <v/>
      </c>
      <c r="R180" s="91">
        <f>IFERROR(IF(OR(I180="",Z180&gt;=1,Settings!$B$17&gt;=1,AN180&gt;=1),"",IF(MOD(ROUND(I180/(1-Z180)/(1-Settings!$B$17)/(1-AN180),0),10)=0,ROUND(I180/(1-Z180)/(1-Settings!$B$17)/(1-AN180),0)-1,IF(MOD(ROUND(I180/(1-Z180)/(1-Settings!$B$17)/(1-AN180),0),10)&lt;=5,FLOOR(ROUND(I180/(1-Z180)/(1-Settings!$B$17)/(1-AN180),0),10)+6,FLOOR(ROUND(I180/(1-Z180)/(1-Settings!$B$17)/(1-AN180),0),10)+9))),"")</f>
        <v/>
      </c>
      <c r="S180" s="92" t="n">
        <v>5800</v>
      </c>
      <c r="T180" s="91">
        <f>IF(S180&lt;&gt;"", IF(MOD(S180,10)=0,S180-1,IF(MOD(S180,10)&lt;=5,FLOOR(S180,10)+6,FLOOR(S180,10)+9)), R180)</f>
        <v/>
      </c>
      <c r="U180" s="87" t="inlineStr">
        <is>
          <t>Основний</t>
        </is>
      </c>
      <c r="V180" s="88" t="n"/>
      <c r="W180" s="88" t="n"/>
      <c r="X180" s="89">
        <f>IFERROR(IF(OR(V180="",W180="",T180=""),"", IF(T180&gt;W180,"Дорогий",IF(T180&lt;V180,"Дешевий","У ринку"))),"")</f>
        <v/>
      </c>
      <c r="Y180" s="90" t="n"/>
      <c r="Z180" s="104">
        <f>CHOOSE(MATCH(IF($U180="","Основний",$U180),{"Трафіковий","Основний","Маржинальний","Сезонний","Стратегічний"},0),0.16,0.19,0.24,0.23,0.28)</f>
        <v/>
      </c>
      <c r="AA180" s="104">
        <f>CHOOSE(MATCH(IF($U180="","Основний",$U180),{"Трафіковий","Основний","Маржинальний","Сезонний","Стратегічний"},0),0.18,0.21,0.26,0.25,0.3)</f>
        <v/>
      </c>
      <c r="AB180" s="104">
        <f>CHOOSE(MATCH(IF($U180="","Основний",$U180),{"Трафіковий","Основний","Маржинальний","Сезонний","Стратегічний"},0),0.19,0.22,0.28,0.26,0.32)</f>
        <v/>
      </c>
      <c r="AC180" s="104">
        <f>CHOOSE(MATCH(IF($U180="","Основний",$U180),{"Трафіковий","Основний","Маржинальний","Сезонний","Стратегічний"},0),0.17,0.2,0.25,0.24,0.28)</f>
        <v/>
      </c>
      <c r="AD180" s="104">
        <f>CHOOSE(MATCH(IF($U180="","Основний",$U180),{"Трафіковий","Основний","Маржинальний","Сезонний","Стратегічний"},0),0.18,0.21,0.26,0.25,0.3)</f>
        <v/>
      </c>
      <c r="AE180" s="104">
        <f>CHOOSE(MATCH(IF($U180="","Основний",$U180),{"Трафіковий","Основний","Маржинальний","Сезонний","Стратегічний"},0),0.18,0.2,0.28,0.27,0.32)</f>
        <v/>
      </c>
      <c r="AF180" s="104">
        <f>CHOOSE(MATCH(IF($U180="","Основний",$U180),{"Трафіковий","Основний","Маржинальний","Сезонний","Стратегічний"},0),0.15,0.175,0.22,0.21,0.25)</f>
        <v/>
      </c>
      <c r="AG180" s="104">
        <f>CHOOSE(MATCH(IF($U180="","Основний",$U180),{"Трафіковий","Основний","Маржинальний","Сезонний","Стратегічний"},0),0.13,0.16,0.21,0.2,0.25)</f>
        <v/>
      </c>
      <c r="AH180" s="104">
        <f>CHOOSE(MATCH(IF($U180="","Основний",$U180),{"Трафіковий","Основний","Маржинальний","Сезонний","Стратегічний"},0),0.15,0.18,0.23,0.22,0.27)</f>
        <v/>
      </c>
      <c r="AI180" s="104">
        <f>CHOOSE(MATCH(IF($U180="","Основний",$U180),{"Трафіковий","Основний","Маржинальний","Сезонний","Стратегічний"},0),0.16,0.19,0.25,0.23,0.29)</f>
        <v/>
      </c>
      <c r="AJ180" s="104">
        <f>CHOOSE(MATCH(IF($U180="","Основний",$U180),{"Трафіковий","Основний","Маржинальний","Сезонний","Стратегічний"},0),0.14,0.17,0.22,0.21,0.25)</f>
        <v/>
      </c>
      <c r="AK180" s="104">
        <f>CHOOSE(MATCH(IF($U180="","Основний",$U180),{"Трафіковий","Основний","Маржинальний","Сезонний","Стратегічний"},0),0.15,0.18,0.23,0.22,0.27)</f>
        <v/>
      </c>
      <c r="AL180" s="104">
        <f>CHOOSE(MATCH(IF($U180="","Основний",$U180),{"Трафіковий","Основний","Маржинальний","Сезонний","Стратегічний"},0),0.15,0.17,0.25,0.24,0.29)</f>
        <v/>
      </c>
      <c r="AM180" s="104">
        <f>CHOOSE(MATCH(IF($U180="","Основний",$U180),{"Трафіковий","Основний","Маржинальний","Сезонний","Стратегічний"},0),0.12,0.145,0.19,0.18,0.22)</f>
        <v/>
      </c>
      <c r="AN180" s="157">
        <f>CHOOSE(MATCH(IF($U180="","Основний",$U180),{"Трафіковий","Основний","Маржинальний","Сезонний","Стратегічний"},0),Settings!$B$78,Settings!$B$80,Settings!$B$82,Settings!$B$84,Settings!$B$86)</f>
        <v/>
      </c>
      <c r="AO180" s="157">
        <f>CHOOSE(MATCH(IF($U180="","Основний",$U180),{"Трафіковий","Основний","Маржинальний","Сезонний","Стратегічний"},0),Settings!$C$78,Settings!$C$80,Settings!$C$82,Settings!$C$84,Settings!$C$86)</f>
        <v/>
      </c>
      <c r="AP180" s="157">
        <f>CHOOSE(MATCH(IF($U180="","Основний",$U180),{"Трафіковий","Основний","Маржинальний","Сезонний","Стратегічний"},0),Settings!$D$78,Settings!$D$80,Settings!$D$82,Settings!$D$84,Settings!$D$86)</f>
        <v/>
      </c>
      <c r="AQ180" s="157">
        <f>CHOOSE(MATCH(IF($U180="","Основний",$U180),{"Трафіковий","Основний","Маржинальний","Сезонний","Стратегічний"},0),Settings!$F$78,Settings!$F$80,Settings!$F$82,Settings!$F$84,Settings!$F$86)</f>
        <v/>
      </c>
      <c r="AR180" s="157">
        <f>CHOOSE(MATCH(IF($U180="","Основний",$U180),{"Трафіковий","Основний","Маржинальний","Сезонний","Стратегічний"},0),Settings!$G$78,Settings!$G$80,Settings!$G$82,Settings!$G$84,Settings!$G$86)</f>
        <v/>
      </c>
      <c r="AS180" s="157">
        <f>CHOOSE(MATCH(IF($U180="","Основний",$U180),{"Трафіковий","Основний","Маржинальний","Сезонний","Стратегічний"},0),Settings!$H$78,Settings!$H$80,Settings!$H$82,Settings!$H$84,Settings!$H$86)</f>
        <v/>
      </c>
      <c r="AT180" s="157">
        <f>CHOOSE(MATCH(IF($U180="","Основний",$U180),{"Трафіковий","Основний","Маржинальний","Сезонний","Стратегічний"},0),Settings!$I$78,Settings!$I$80,Settings!$I$82,Settings!$I$84,Settings!$I$86)</f>
        <v/>
      </c>
      <c r="AU180" s="171" t="n"/>
      <c r="AV180" t="n">
        <v>1.35</v>
      </c>
    </row>
    <row r="181">
      <c r="A181" s="33" t="inlineStr">
        <is>
          <t>SELL OUT</t>
        </is>
      </c>
      <c r="B181" s="34" t="inlineStr">
        <is>
          <t>ZIW154R</t>
        </is>
      </c>
      <c r="C181" s="34" t="inlineStr">
        <is>
          <t>GOSMART STRING DOWNLIGHTS RGBIC+CCT 4PC</t>
        </is>
      </c>
      <c r="D181" s="34" t="inlineStr">
        <is>
          <t>GOSMART AMBIENT</t>
        </is>
      </c>
      <c r="E181" s="33" t="inlineStr">
        <is>
          <t>PC</t>
        </is>
      </c>
      <c r="F181" s="94" t="n">
        <v>7.512</v>
      </c>
      <c r="G181" s="35" t="n">
        <v>9405423100</v>
      </c>
      <c r="H181" s="31" t="n">
        <v>1.35</v>
      </c>
      <c r="I181" s="84">
        <f>IFERROR(F181*Settings!$B$2*H181*IF(AND(ISNUMBER(E181),E181&gt;1),E181,1),"")</f>
        <v/>
      </c>
      <c r="J181" s="32">
        <f>Settings!$B$66</f>
        <v/>
      </c>
      <c r="K181" s="95">
        <f>IFERROR(IF(T181="","",(T181*(1-AN181)*(1-Settings!$B$17)-I181)/(T181*(1-AN181)*(1-Settings!$B$17))),"")</f>
        <v/>
      </c>
      <c r="L181" s="101">
        <f>IFERROR(IF(T181="","",(T181*(1-AO181)*(1-Settings!$C$17)-I181)/(T181*(1-AO181)*(1-Settings!$C$17))),"")</f>
        <v/>
      </c>
      <c r="M181" s="101">
        <f>IFERROR(IF(T181="","",(T181*(1-AP181)*(1-Settings!$D$17)-I181)/(T181*(1-AP181)*(1-Settings!$D$17))),"")</f>
        <v/>
      </c>
      <c r="N181" s="101">
        <f>IFERROR(IF(T181="","",(T181*(1-AQ181)*(1-Settings!$F$17)-I181)/(T181*(1-AQ181)*(1-Settings!$F$17))),"")</f>
        <v/>
      </c>
      <c r="O181" s="101">
        <f>IFERROR(IF(T181="","",(T181*(1-AR181)*(1-Settings!$G$17)-I181)/(T181*(1-AR181)*(1-Settings!$G$17))),"")</f>
        <v/>
      </c>
      <c r="P181" s="101">
        <f>IFERROR(IF(T181="","",(T181*(1-AS181)*(1-Settings!$H$17)-I181)/(T181*(1-AS181)*(1-Settings!$H$17))),"")</f>
        <v/>
      </c>
      <c r="Q181" s="101">
        <f>IFERROR(IF(T181="","",(T181*(1-AT181)*(1-Settings!$I$68)*(1-Settings!$I$17)-I181)/(T181*(1-AT181)*(1-Settings!$I$68)*(1-Settings!$I$17))),"")</f>
        <v/>
      </c>
      <c r="R181" s="91">
        <f>IFERROR(IF(OR(I181="",Z181&gt;=1,Settings!$B$17&gt;=1,AN181&gt;=1),"",IF(MOD(ROUND(I181/(1-Z181)/(1-Settings!$B$17)/(1-AN181),0),10)=0,ROUND(I181/(1-Z181)/(1-Settings!$B$17)/(1-AN181),0)-1,IF(MOD(ROUND(I181/(1-Z181)/(1-Settings!$B$17)/(1-AN181),0),10)&lt;=5,FLOOR(ROUND(I181/(1-Z181)/(1-Settings!$B$17)/(1-AN181),0),10)+6,FLOOR(ROUND(I181/(1-Z181)/(1-Settings!$B$17)/(1-AN181),0),10)+9))),"")</f>
        <v/>
      </c>
      <c r="S181" s="92" t="n">
        <v>900</v>
      </c>
      <c r="T181" s="91">
        <f>IF(S181&lt;&gt;"", IF(MOD(S181,10)=0,S181-1,IF(MOD(S181,10)&lt;=5,FLOOR(S181,10)+6,FLOOR(S181,10)+9)), R181)</f>
        <v/>
      </c>
      <c r="U181" s="87" t="inlineStr">
        <is>
          <t>Основний</t>
        </is>
      </c>
      <c r="V181" s="88" t="n"/>
      <c r="W181" s="88" t="n"/>
      <c r="X181" s="89">
        <f>IFERROR(IF(OR(V181="",W181="",T181=""),"", IF(T181&gt;W181,"Дорогий",IF(T181&lt;V181,"Дешевий","У ринку"))),"")</f>
        <v/>
      </c>
      <c r="Y181" s="90" t="n"/>
      <c r="Z181" s="104">
        <f>CHOOSE(MATCH(IF($U181="","Основний",$U181),{"Трафіковий","Основний","Маржинальний","Сезонний","Стратегічний"},0),0.16,0.19,0.24,0.23,0.28)</f>
        <v/>
      </c>
      <c r="AA181" s="104">
        <f>CHOOSE(MATCH(IF($U181="","Основний",$U181),{"Трафіковий","Основний","Маржинальний","Сезонний","Стратегічний"},0),0.18,0.21,0.26,0.25,0.3)</f>
        <v/>
      </c>
      <c r="AB181" s="104">
        <f>CHOOSE(MATCH(IF($U181="","Основний",$U181),{"Трафіковий","Основний","Маржинальний","Сезонний","Стратегічний"},0),0.19,0.22,0.28,0.26,0.32)</f>
        <v/>
      </c>
      <c r="AC181" s="104">
        <f>CHOOSE(MATCH(IF($U181="","Основний",$U181),{"Трафіковий","Основний","Маржинальний","Сезонний","Стратегічний"},0),0.17,0.2,0.25,0.24,0.28)</f>
        <v/>
      </c>
      <c r="AD181" s="104">
        <f>CHOOSE(MATCH(IF($U181="","Основний",$U181),{"Трафіковий","Основний","Маржинальний","Сезонний","Стратегічний"},0),0.18,0.21,0.26,0.25,0.3)</f>
        <v/>
      </c>
      <c r="AE181" s="104">
        <f>CHOOSE(MATCH(IF($U181="","Основний",$U181),{"Трафіковий","Основний","Маржинальний","Сезонний","Стратегічний"},0),0.18,0.2,0.28,0.27,0.32)</f>
        <v/>
      </c>
      <c r="AF181" s="104">
        <f>CHOOSE(MATCH(IF($U181="","Основний",$U181),{"Трафіковий","Основний","Маржинальний","Сезонний","Стратегічний"},0),0.15,0.175,0.22,0.21,0.25)</f>
        <v/>
      </c>
      <c r="AG181" s="104">
        <f>CHOOSE(MATCH(IF($U181="","Основний",$U181),{"Трафіковий","Основний","Маржинальний","Сезонний","Стратегічний"},0),0.13,0.16,0.21,0.2,0.25)</f>
        <v/>
      </c>
      <c r="AH181" s="104">
        <f>CHOOSE(MATCH(IF($U181="","Основний",$U181),{"Трафіковий","Основний","Маржинальний","Сезонний","Стратегічний"},0),0.15,0.18,0.23,0.22,0.27)</f>
        <v/>
      </c>
      <c r="AI181" s="104">
        <f>CHOOSE(MATCH(IF($U181="","Основний",$U181),{"Трафіковий","Основний","Маржинальний","Сезонний","Стратегічний"},0),0.16,0.19,0.25,0.23,0.29)</f>
        <v/>
      </c>
      <c r="AJ181" s="104">
        <f>CHOOSE(MATCH(IF($U181="","Основний",$U181),{"Трафіковий","Основний","Маржинальний","Сезонний","Стратегічний"},0),0.14,0.17,0.22,0.21,0.25)</f>
        <v/>
      </c>
      <c r="AK181" s="104">
        <f>CHOOSE(MATCH(IF($U181="","Основний",$U181),{"Трафіковий","Основний","Маржинальний","Сезонний","Стратегічний"},0),0.15,0.18,0.23,0.22,0.27)</f>
        <v/>
      </c>
      <c r="AL181" s="104">
        <f>CHOOSE(MATCH(IF($U181="","Основний",$U181),{"Трафіковий","Основний","Маржинальний","Сезонний","Стратегічний"},0),0.15,0.17,0.25,0.24,0.29)</f>
        <v/>
      </c>
      <c r="AM181" s="104">
        <f>CHOOSE(MATCH(IF($U181="","Основний",$U181),{"Трафіковий","Основний","Маржинальний","Сезонний","Стратегічний"},0),0.12,0.145,0.19,0.18,0.22)</f>
        <v/>
      </c>
      <c r="AN181" s="157">
        <f>CHOOSE(MATCH(IF($U181="","Основний",$U181),{"Трафіковий","Основний","Маржинальний","Сезонний","Стратегічний"},0),Settings!$B$78,Settings!$B$80,Settings!$B$82,Settings!$B$84,Settings!$B$86)</f>
        <v/>
      </c>
      <c r="AO181" s="157">
        <f>CHOOSE(MATCH(IF($U181="","Основний",$U181),{"Трафіковий","Основний","Маржинальний","Сезонний","Стратегічний"},0),Settings!$C$78,Settings!$C$80,Settings!$C$82,Settings!$C$84,Settings!$C$86)</f>
        <v/>
      </c>
      <c r="AP181" s="157">
        <f>CHOOSE(MATCH(IF($U181="","Основний",$U181),{"Трафіковий","Основний","Маржинальний","Сезонний","Стратегічний"},0),Settings!$D$78,Settings!$D$80,Settings!$D$82,Settings!$D$84,Settings!$D$86)</f>
        <v/>
      </c>
      <c r="AQ181" s="157">
        <f>CHOOSE(MATCH(IF($U181="","Основний",$U181),{"Трафіковий","Основний","Маржинальний","Сезонний","Стратегічний"},0),Settings!$F$78,Settings!$F$80,Settings!$F$82,Settings!$F$84,Settings!$F$86)</f>
        <v/>
      </c>
      <c r="AR181" s="157">
        <f>CHOOSE(MATCH(IF($U181="","Основний",$U181),{"Трафіковий","Основний","Маржинальний","Сезонний","Стратегічний"},0),Settings!$G$78,Settings!$G$80,Settings!$G$82,Settings!$G$84,Settings!$G$86)</f>
        <v/>
      </c>
      <c r="AS181" s="157">
        <f>CHOOSE(MATCH(IF($U181="","Основний",$U181),{"Трафіковий","Основний","Маржинальний","Сезонний","Стратегічний"},0),Settings!$H$78,Settings!$H$80,Settings!$H$82,Settings!$H$84,Settings!$H$86)</f>
        <v/>
      </c>
      <c r="AT181" s="157">
        <f>CHOOSE(MATCH(IF($U181="","Основний",$U181),{"Трафіковий","Основний","Маржинальний","Сезонний","Стратегічний"},0),Settings!$I$78,Settings!$I$80,Settings!$I$82,Settings!$I$84,Settings!$I$86)</f>
        <v/>
      </c>
      <c r="AU181" s="171" t="n"/>
      <c r="AV181" t="n">
        <v>1.35</v>
      </c>
    </row>
    <row r="182">
      <c r="A182" s="28" t="inlineStr">
        <is>
          <t>SELL OUT</t>
        </is>
      </c>
      <c r="B182" s="29" t="inlineStr">
        <is>
          <t>ZIW15CR</t>
        </is>
      </c>
      <c r="C182" s="29" t="inlineStr">
        <is>
          <t>GOSMART STRING DOWNLIGHTS RGBIC+CCT 12PC</t>
        </is>
      </c>
      <c r="D182" s="29" t="inlineStr">
        <is>
          <t>GOSMART AMBIENT</t>
        </is>
      </c>
      <c r="E182" s="28" t="inlineStr">
        <is>
          <t>PC</t>
        </is>
      </c>
      <c r="F182" s="93" t="n">
        <v>26.99</v>
      </c>
      <c r="G182" s="30" t="n">
        <v>9405119090</v>
      </c>
      <c r="H182" s="31" t="n">
        <v>1.35</v>
      </c>
      <c r="I182" s="84">
        <f>IFERROR(F182*Settings!$B$2*H182*IF(AND(ISNUMBER(E182),E182&gt;1),E182,1),"")</f>
        <v/>
      </c>
      <c r="J182" s="32">
        <f>Settings!$B$66</f>
        <v/>
      </c>
      <c r="K182" s="95">
        <f>IFERROR(IF(T182="","",(T182*(1-AN182)*(1-Settings!$B$17)-I182)/(T182*(1-AN182)*(1-Settings!$B$17))),"")</f>
        <v/>
      </c>
      <c r="L182" s="101">
        <f>IFERROR(IF(T182="","",(T182*(1-AO182)*(1-Settings!$C$17)-I182)/(T182*(1-AO182)*(1-Settings!$C$17))),"")</f>
        <v/>
      </c>
      <c r="M182" s="101">
        <f>IFERROR(IF(T182="","",(T182*(1-AP182)*(1-Settings!$D$17)-I182)/(T182*(1-AP182)*(1-Settings!$D$17))),"")</f>
        <v/>
      </c>
      <c r="N182" s="101">
        <f>IFERROR(IF(T182="","",(T182*(1-AQ182)*(1-Settings!$F$17)-I182)/(T182*(1-AQ182)*(1-Settings!$F$17))),"")</f>
        <v/>
      </c>
      <c r="O182" s="101">
        <f>IFERROR(IF(T182="","",(T182*(1-AR182)*(1-Settings!$G$17)-I182)/(T182*(1-AR182)*(1-Settings!$G$17))),"")</f>
        <v/>
      </c>
      <c r="P182" s="101">
        <f>IFERROR(IF(T182="","",(T182*(1-AS182)*(1-Settings!$H$17)-I182)/(T182*(1-AS182)*(1-Settings!$H$17))),"")</f>
        <v/>
      </c>
      <c r="Q182" s="101">
        <f>IFERROR(IF(T182="","",(T182*(1-AT182)*(1-Settings!$I$68)*(1-Settings!$I$17)-I182)/(T182*(1-AT182)*(1-Settings!$I$68)*(1-Settings!$I$17))),"")</f>
        <v/>
      </c>
      <c r="R182" s="91">
        <f>IFERROR(IF(OR(I182="",Z182&gt;=1,Settings!$B$17&gt;=1,AN182&gt;=1),"",IF(MOD(ROUND(I182/(1-Z182)/(1-Settings!$B$17)/(1-AN182),0),10)=0,ROUND(I182/(1-Z182)/(1-Settings!$B$17)/(1-AN182),0)-1,IF(MOD(ROUND(I182/(1-Z182)/(1-Settings!$B$17)/(1-AN182),0),10)&lt;=5,FLOOR(ROUND(I182/(1-Z182)/(1-Settings!$B$17)/(1-AN182),0),10)+6,FLOOR(ROUND(I182/(1-Z182)/(1-Settings!$B$17)/(1-AN182),0),10)+9))),"")</f>
        <v/>
      </c>
      <c r="S182" s="92" t="n">
        <v>3000</v>
      </c>
      <c r="T182" s="91">
        <f>IF(S182&lt;&gt;"", IF(MOD(S182,10)=0,S182-1,IF(MOD(S182,10)&lt;=5,FLOOR(S182,10)+6,FLOOR(S182,10)+9)), R182)</f>
        <v/>
      </c>
      <c r="U182" s="87" t="inlineStr">
        <is>
          <t>Основний</t>
        </is>
      </c>
      <c r="V182" s="88" t="n"/>
      <c r="W182" s="88" t="n"/>
      <c r="X182" s="89">
        <f>IFERROR(IF(OR(V182="",W182="",T182=""),"", IF(T182&gt;W182,"Дорогий",IF(T182&lt;V182,"Дешевий","У ринку"))),"")</f>
        <v/>
      </c>
      <c r="Y182" s="90" t="n"/>
      <c r="Z182" s="104">
        <f>CHOOSE(MATCH(IF($U182="","Основний",$U182),{"Трафіковий","Основний","Маржинальний","Сезонний","Стратегічний"},0),0.16,0.19,0.24,0.23,0.28)</f>
        <v/>
      </c>
      <c r="AA182" s="104">
        <f>CHOOSE(MATCH(IF($U182="","Основний",$U182),{"Трафіковий","Основний","Маржинальний","Сезонний","Стратегічний"},0),0.18,0.21,0.26,0.25,0.3)</f>
        <v/>
      </c>
      <c r="AB182" s="104">
        <f>CHOOSE(MATCH(IF($U182="","Основний",$U182),{"Трафіковий","Основний","Маржинальний","Сезонний","Стратегічний"},0),0.19,0.22,0.28,0.26,0.32)</f>
        <v/>
      </c>
      <c r="AC182" s="104">
        <f>CHOOSE(MATCH(IF($U182="","Основний",$U182),{"Трафіковий","Основний","Маржинальний","Сезонний","Стратегічний"},0),0.17,0.2,0.25,0.24,0.28)</f>
        <v/>
      </c>
      <c r="AD182" s="104">
        <f>CHOOSE(MATCH(IF($U182="","Основний",$U182),{"Трафіковий","Основний","Маржинальний","Сезонний","Стратегічний"},0),0.18,0.21,0.26,0.25,0.3)</f>
        <v/>
      </c>
      <c r="AE182" s="104">
        <f>CHOOSE(MATCH(IF($U182="","Основний",$U182),{"Трафіковий","Основний","Маржинальний","Сезонний","Стратегічний"},0),0.18,0.2,0.28,0.27,0.32)</f>
        <v/>
      </c>
      <c r="AF182" s="104">
        <f>CHOOSE(MATCH(IF($U182="","Основний",$U182),{"Трафіковий","Основний","Маржинальний","Сезонний","Стратегічний"},0),0.15,0.175,0.22,0.21,0.25)</f>
        <v/>
      </c>
      <c r="AG182" s="104">
        <f>CHOOSE(MATCH(IF($U182="","Основний",$U182),{"Трафіковий","Основний","Маржинальний","Сезонний","Стратегічний"},0),0.13,0.16,0.21,0.2,0.25)</f>
        <v/>
      </c>
      <c r="AH182" s="104">
        <f>CHOOSE(MATCH(IF($U182="","Основний",$U182),{"Трафіковий","Основний","Маржинальний","Сезонний","Стратегічний"},0),0.15,0.18,0.23,0.22,0.27)</f>
        <v/>
      </c>
      <c r="AI182" s="104">
        <f>CHOOSE(MATCH(IF($U182="","Основний",$U182),{"Трафіковий","Основний","Маржинальний","Сезонний","Стратегічний"},0),0.16,0.19,0.25,0.23,0.29)</f>
        <v/>
      </c>
      <c r="AJ182" s="104">
        <f>CHOOSE(MATCH(IF($U182="","Основний",$U182),{"Трафіковий","Основний","Маржинальний","Сезонний","Стратегічний"},0),0.14,0.17,0.22,0.21,0.25)</f>
        <v/>
      </c>
      <c r="AK182" s="104">
        <f>CHOOSE(MATCH(IF($U182="","Основний",$U182),{"Трафіковий","Основний","Маржинальний","Сезонний","Стратегічний"},0),0.15,0.18,0.23,0.22,0.27)</f>
        <v/>
      </c>
      <c r="AL182" s="104">
        <f>CHOOSE(MATCH(IF($U182="","Основний",$U182),{"Трафіковий","Основний","Маржинальний","Сезонний","Стратегічний"},0),0.15,0.17,0.25,0.24,0.29)</f>
        <v/>
      </c>
      <c r="AM182" s="104">
        <f>CHOOSE(MATCH(IF($U182="","Основний",$U182),{"Трафіковий","Основний","Маржинальний","Сезонний","Стратегічний"},0),0.12,0.145,0.19,0.18,0.22)</f>
        <v/>
      </c>
      <c r="AN182" s="157">
        <f>CHOOSE(MATCH(IF($U182="","Основний",$U182),{"Трафіковий","Основний","Маржинальний","Сезонний","Стратегічний"},0),Settings!$B$78,Settings!$B$80,Settings!$B$82,Settings!$B$84,Settings!$B$86)</f>
        <v/>
      </c>
      <c r="AO182" s="157">
        <f>CHOOSE(MATCH(IF($U182="","Основний",$U182),{"Трафіковий","Основний","Маржинальний","Сезонний","Стратегічний"},0),Settings!$C$78,Settings!$C$80,Settings!$C$82,Settings!$C$84,Settings!$C$86)</f>
        <v/>
      </c>
      <c r="AP182" s="157">
        <f>CHOOSE(MATCH(IF($U182="","Основний",$U182),{"Трафіковий","Основний","Маржинальний","Сезонний","Стратегічний"},0),Settings!$D$78,Settings!$D$80,Settings!$D$82,Settings!$D$84,Settings!$D$86)</f>
        <v/>
      </c>
      <c r="AQ182" s="157">
        <f>CHOOSE(MATCH(IF($U182="","Основний",$U182),{"Трафіковий","Основний","Маржинальний","Сезонний","Стратегічний"},0),Settings!$F$78,Settings!$F$80,Settings!$F$82,Settings!$F$84,Settings!$F$86)</f>
        <v/>
      </c>
      <c r="AR182" s="157">
        <f>CHOOSE(MATCH(IF($U182="","Основний",$U182),{"Трафіковий","Основний","Маржинальний","Сезонний","Стратегічний"},0),Settings!$G$78,Settings!$G$80,Settings!$G$82,Settings!$G$84,Settings!$G$86)</f>
        <v/>
      </c>
      <c r="AS182" s="157">
        <f>CHOOSE(MATCH(IF($U182="","Основний",$U182),{"Трафіковий","Основний","Маржинальний","Сезонний","Стратегічний"},0),Settings!$H$78,Settings!$H$80,Settings!$H$82,Settings!$H$84,Settings!$H$86)</f>
        <v/>
      </c>
      <c r="AT182" s="157">
        <f>CHOOSE(MATCH(IF($U182="","Основний",$U182),{"Трафіковий","Основний","Маржинальний","Сезонний","Стратегічний"},0),Settings!$I$78,Settings!$I$80,Settings!$I$82,Settings!$I$84,Settings!$I$86)</f>
        <v/>
      </c>
      <c r="AU182" s="171" t="n"/>
      <c r="AV182" t="n">
        <v>1.35</v>
      </c>
    </row>
    <row r="183">
      <c r="A183" s="33" t="inlineStr">
        <is>
          <t>SELL OUT</t>
        </is>
      </c>
      <c r="B183" s="34" t="inlineStr">
        <is>
          <t>ZIW17FR</t>
        </is>
      </c>
      <c r="C183" s="34" t="inlineStr">
        <is>
          <t>GOSMART LED LIGHT CHAIN 15x PARTY BULBS, 15 M</t>
        </is>
      </c>
      <c r="D183" s="34" t="inlineStr">
        <is>
          <t>GOSMART AMBIENT</t>
        </is>
      </c>
      <c r="E183" s="33" t="inlineStr">
        <is>
          <t>PC</t>
        </is>
      </c>
      <c r="F183" s="94" t="n">
        <v>33.774</v>
      </c>
      <c r="G183" s="35" t="n">
        <v>9405119090</v>
      </c>
      <c r="H183" s="31" t="n">
        <v>1.35</v>
      </c>
      <c r="I183" s="84">
        <f>IFERROR(F183*Settings!$B$2*H183*IF(AND(ISNUMBER(E183),E183&gt;1),E183,1),"")</f>
        <v/>
      </c>
      <c r="J183" s="32">
        <f>Settings!$B$66</f>
        <v/>
      </c>
      <c r="K183" s="95">
        <f>IFERROR(IF(T183="","",(T183*(1-AN183)*(1-Settings!$B$17)-I183)/(T183*(1-AN183)*(1-Settings!$B$17))),"")</f>
        <v/>
      </c>
      <c r="L183" s="101">
        <f>IFERROR(IF(T183="","",(T183*(1-AO183)*(1-Settings!$C$17)-I183)/(T183*(1-AO183)*(1-Settings!$C$17))),"")</f>
        <v/>
      </c>
      <c r="M183" s="101">
        <f>IFERROR(IF(T183="","",(T183*(1-AP183)*(1-Settings!$D$17)-I183)/(T183*(1-AP183)*(1-Settings!$D$17))),"")</f>
        <v/>
      </c>
      <c r="N183" s="101">
        <f>IFERROR(IF(T183="","",(T183*(1-AQ183)*(1-Settings!$F$17)-I183)/(T183*(1-AQ183)*(1-Settings!$F$17))),"")</f>
        <v/>
      </c>
      <c r="O183" s="101">
        <f>IFERROR(IF(T183="","",(T183*(1-AR183)*(1-Settings!$G$17)-I183)/(T183*(1-AR183)*(1-Settings!$G$17))),"")</f>
        <v/>
      </c>
      <c r="P183" s="101">
        <f>IFERROR(IF(T183="","",(T183*(1-AS183)*(1-Settings!$H$17)-I183)/(T183*(1-AS183)*(1-Settings!$H$17))),"")</f>
        <v/>
      </c>
      <c r="Q183" s="101">
        <f>IFERROR(IF(T183="","",(T183*(1-AT183)*(1-Settings!$I$68)*(1-Settings!$I$17)-I183)/(T183*(1-AT183)*(1-Settings!$I$68)*(1-Settings!$I$17))),"")</f>
        <v/>
      </c>
      <c r="R183" s="91">
        <f>IFERROR(IF(OR(I183="",Z183&gt;=1,Settings!$B$17&gt;=1,AN183&gt;=1),"",IF(MOD(ROUND(I183/(1-Z183)/(1-Settings!$B$17)/(1-AN183),0),10)=0,ROUND(I183/(1-Z183)/(1-Settings!$B$17)/(1-AN183),0)-1,IF(MOD(ROUND(I183/(1-Z183)/(1-Settings!$B$17)/(1-AN183),0),10)&lt;=5,FLOOR(ROUND(I183/(1-Z183)/(1-Settings!$B$17)/(1-AN183),0),10)+6,FLOOR(ROUND(I183/(1-Z183)/(1-Settings!$B$17)/(1-AN183),0),10)+9))),"")</f>
        <v/>
      </c>
      <c r="S183" s="92" t="n">
        <v>3800</v>
      </c>
      <c r="T183" s="91">
        <f>IF(S183&lt;&gt;"", IF(MOD(S183,10)=0,S183-1,IF(MOD(S183,10)&lt;=5,FLOOR(S183,10)+6,FLOOR(S183,10)+9)), R183)</f>
        <v/>
      </c>
      <c r="U183" s="87" t="inlineStr">
        <is>
          <t>Основний</t>
        </is>
      </c>
      <c r="V183" s="88" t="n"/>
      <c r="W183" s="88" t="n"/>
      <c r="X183" s="89">
        <f>IFERROR(IF(OR(V183="",W183="",T183=""),"", IF(T183&gt;W183,"Дорогий",IF(T183&lt;V183,"Дешевий","У ринку"))),"")</f>
        <v/>
      </c>
      <c r="Y183" s="90" t="n"/>
      <c r="Z183" s="104">
        <f>CHOOSE(MATCH(IF($U183="","Основний",$U183),{"Трафіковий","Основний","Маржинальний","Сезонний","Стратегічний"},0),0.16,0.19,0.24,0.23,0.28)</f>
        <v/>
      </c>
      <c r="AA183" s="104">
        <f>CHOOSE(MATCH(IF($U183="","Основний",$U183),{"Трафіковий","Основний","Маржинальний","Сезонний","Стратегічний"},0),0.18,0.21,0.26,0.25,0.3)</f>
        <v/>
      </c>
      <c r="AB183" s="104">
        <f>CHOOSE(MATCH(IF($U183="","Основний",$U183),{"Трафіковий","Основний","Маржинальний","Сезонний","Стратегічний"},0),0.19,0.22,0.28,0.26,0.32)</f>
        <v/>
      </c>
      <c r="AC183" s="104">
        <f>CHOOSE(MATCH(IF($U183="","Основний",$U183),{"Трафіковий","Основний","Маржинальний","Сезонний","Стратегічний"},0),0.17,0.2,0.25,0.24,0.28)</f>
        <v/>
      </c>
      <c r="AD183" s="104">
        <f>CHOOSE(MATCH(IF($U183="","Основний",$U183),{"Трафіковий","Основний","Маржинальний","Сезонний","Стратегічний"},0),0.18,0.21,0.26,0.25,0.3)</f>
        <v/>
      </c>
      <c r="AE183" s="104">
        <f>CHOOSE(MATCH(IF($U183="","Основний",$U183),{"Трафіковий","Основний","Маржинальний","Сезонний","Стратегічний"},0),0.18,0.2,0.28,0.27,0.32)</f>
        <v/>
      </c>
      <c r="AF183" s="104">
        <f>CHOOSE(MATCH(IF($U183="","Основний",$U183),{"Трафіковий","Основний","Маржинальний","Сезонний","Стратегічний"},0),0.15,0.175,0.22,0.21,0.25)</f>
        <v/>
      </c>
      <c r="AG183" s="104">
        <f>CHOOSE(MATCH(IF($U183="","Основний",$U183),{"Трафіковий","Основний","Маржинальний","Сезонний","Стратегічний"},0),0.13,0.16,0.21,0.2,0.25)</f>
        <v/>
      </c>
      <c r="AH183" s="104">
        <f>CHOOSE(MATCH(IF($U183="","Основний",$U183),{"Трафіковий","Основний","Маржинальний","Сезонний","Стратегічний"},0),0.15,0.18,0.23,0.22,0.27)</f>
        <v/>
      </c>
      <c r="AI183" s="104">
        <f>CHOOSE(MATCH(IF($U183="","Основний",$U183),{"Трафіковий","Основний","Маржинальний","Сезонний","Стратегічний"},0),0.16,0.19,0.25,0.23,0.29)</f>
        <v/>
      </c>
      <c r="AJ183" s="104">
        <f>CHOOSE(MATCH(IF($U183="","Основний",$U183),{"Трафіковий","Основний","Маржинальний","Сезонний","Стратегічний"},0),0.14,0.17,0.22,0.21,0.25)</f>
        <v/>
      </c>
      <c r="AK183" s="104">
        <f>CHOOSE(MATCH(IF($U183="","Основний",$U183),{"Трафіковий","Основний","Маржинальний","Сезонний","Стратегічний"},0),0.15,0.18,0.23,0.22,0.27)</f>
        <v/>
      </c>
      <c r="AL183" s="104">
        <f>CHOOSE(MATCH(IF($U183="","Основний",$U183),{"Трафіковий","Основний","Маржинальний","Сезонний","Стратегічний"},0),0.15,0.17,0.25,0.24,0.29)</f>
        <v/>
      </c>
      <c r="AM183" s="104">
        <f>CHOOSE(MATCH(IF($U183="","Основний",$U183),{"Трафіковий","Основний","Маржинальний","Сезонний","Стратегічний"},0),0.12,0.145,0.19,0.18,0.22)</f>
        <v/>
      </c>
      <c r="AN183" s="157">
        <f>CHOOSE(MATCH(IF($U183="","Основний",$U183),{"Трафіковий","Основний","Маржинальний","Сезонний","Стратегічний"},0),Settings!$B$78,Settings!$B$80,Settings!$B$82,Settings!$B$84,Settings!$B$86)</f>
        <v/>
      </c>
      <c r="AO183" s="157">
        <f>CHOOSE(MATCH(IF($U183="","Основний",$U183),{"Трафіковий","Основний","Маржинальний","Сезонний","Стратегічний"},0),Settings!$C$78,Settings!$C$80,Settings!$C$82,Settings!$C$84,Settings!$C$86)</f>
        <v/>
      </c>
      <c r="AP183" s="157">
        <f>CHOOSE(MATCH(IF($U183="","Основний",$U183),{"Трафіковий","Основний","Маржинальний","Сезонний","Стратегічний"},0),Settings!$D$78,Settings!$D$80,Settings!$D$82,Settings!$D$84,Settings!$D$86)</f>
        <v/>
      </c>
      <c r="AQ183" s="157">
        <f>CHOOSE(MATCH(IF($U183="","Основний",$U183),{"Трафіковий","Основний","Маржинальний","Сезонний","Стратегічний"},0),Settings!$F$78,Settings!$F$80,Settings!$F$82,Settings!$F$84,Settings!$F$86)</f>
        <v/>
      </c>
      <c r="AR183" s="157">
        <f>CHOOSE(MATCH(IF($U183="","Основний",$U183),{"Трафіковий","Основний","Маржинальний","Сезонний","Стратегічний"},0),Settings!$G$78,Settings!$G$80,Settings!$G$82,Settings!$G$84,Settings!$G$86)</f>
        <v/>
      </c>
      <c r="AS183" s="157">
        <f>CHOOSE(MATCH(IF($U183="","Основний",$U183),{"Трафіковий","Основний","Маржинальний","Сезонний","Стратегічний"},0),Settings!$H$78,Settings!$H$80,Settings!$H$82,Settings!$H$84,Settings!$H$86)</f>
        <v/>
      </c>
      <c r="AT183" s="157">
        <f>CHOOSE(MATCH(IF($U183="","Основний",$U183),{"Трафіковий","Основний","Маржинальний","Сезонний","Стратегічний"},0),Settings!$I$78,Settings!$I$80,Settings!$I$82,Settings!$I$84,Settings!$I$86)</f>
        <v/>
      </c>
      <c r="AU183" s="171" t="n"/>
      <c r="AV183" t="n">
        <v>1.35</v>
      </c>
    </row>
    <row r="184">
      <c r="A184" s="28" t="inlineStr">
        <is>
          <t>SELL OUT</t>
        </is>
      </c>
      <c r="B184" s="29" t="inlineStr">
        <is>
          <t>ZPW313I</t>
        </is>
      </c>
      <c r="C184" s="29" t="inlineStr">
        <is>
          <t>GOSMART LED NEON STRIP 3M</t>
        </is>
      </c>
      <c r="D184" s="29" t="inlineStr">
        <is>
          <t>GOSMART AMBIENT</t>
        </is>
      </c>
      <c r="E184" s="28" t="inlineStr">
        <is>
          <t>PC</t>
        </is>
      </c>
      <c r="F184" s="93" t="n">
        <v>22.303</v>
      </c>
      <c r="G184" s="30" t="n">
        <v>9405423100</v>
      </c>
      <c r="H184" s="31" t="n">
        <v>1.35</v>
      </c>
      <c r="I184" s="84">
        <f>IFERROR(F184*Settings!$B$2*H184*IF(AND(ISNUMBER(E184),E184&gt;1),E184,1),"")</f>
        <v/>
      </c>
      <c r="J184" s="32">
        <f>Settings!$B$66</f>
        <v/>
      </c>
      <c r="K184" s="95">
        <f>IFERROR(IF(T184="","",(T184*(1-AN184)*(1-Settings!$B$17)-I184)/(T184*(1-AN184)*(1-Settings!$B$17))),"")</f>
        <v/>
      </c>
      <c r="L184" s="101">
        <f>IFERROR(IF(T184="","",(T184*(1-AO184)*(1-Settings!$C$17)-I184)/(T184*(1-AO184)*(1-Settings!$C$17))),"")</f>
        <v/>
      </c>
      <c r="M184" s="101">
        <f>IFERROR(IF(T184="","",(T184*(1-AP184)*(1-Settings!$D$17)-I184)/(T184*(1-AP184)*(1-Settings!$D$17))),"")</f>
        <v/>
      </c>
      <c r="N184" s="101">
        <f>IFERROR(IF(T184="","",(T184*(1-AQ184)*(1-Settings!$F$17)-I184)/(T184*(1-AQ184)*(1-Settings!$F$17))),"")</f>
        <v/>
      </c>
      <c r="O184" s="101">
        <f>IFERROR(IF(T184="","",(T184*(1-AR184)*(1-Settings!$G$17)-I184)/(T184*(1-AR184)*(1-Settings!$G$17))),"")</f>
        <v/>
      </c>
      <c r="P184" s="101">
        <f>IFERROR(IF(T184="","",(T184*(1-AS184)*(1-Settings!$H$17)-I184)/(T184*(1-AS184)*(1-Settings!$H$17))),"")</f>
        <v/>
      </c>
      <c r="Q184" s="101">
        <f>IFERROR(IF(T184="","",(T184*(1-AT184)*(1-Settings!$I$68)*(1-Settings!$I$17)-I184)/(T184*(1-AT184)*(1-Settings!$I$68)*(1-Settings!$I$17))),"")</f>
        <v/>
      </c>
      <c r="R184" s="91">
        <f>IFERROR(IF(OR(I184="",Z184&gt;=1,Settings!$B$17&gt;=1,AN184&gt;=1),"",IF(MOD(ROUND(I184/(1-Z184)/(1-Settings!$B$17)/(1-AN184),0),10)=0,ROUND(I184/(1-Z184)/(1-Settings!$B$17)/(1-AN184),0)-1,IF(MOD(ROUND(I184/(1-Z184)/(1-Settings!$B$17)/(1-AN184),0),10)&lt;=5,FLOOR(ROUND(I184/(1-Z184)/(1-Settings!$B$17)/(1-AN184),0),10)+6,FLOOR(ROUND(I184/(1-Z184)/(1-Settings!$B$17)/(1-AN184),0),10)+9))),"")</f>
        <v/>
      </c>
      <c r="S184" s="92" t="n">
        <v>2700</v>
      </c>
      <c r="T184" s="91">
        <f>IF(S184&lt;&gt;"", IF(MOD(S184,10)=0,S184-1,IF(MOD(S184,10)&lt;=5,FLOOR(S184,10)+6,FLOOR(S184,10)+9)), R184)</f>
        <v/>
      </c>
      <c r="U184" s="87" t="inlineStr">
        <is>
          <t>Основний</t>
        </is>
      </c>
      <c r="V184" s="88" t="n"/>
      <c r="W184" s="88" t="n"/>
      <c r="X184" s="89">
        <f>IFERROR(IF(OR(V184="",W184="",T184=""),"", IF(T184&gt;W184,"Дорогий",IF(T184&lt;V184,"Дешевий","У ринку"))),"")</f>
        <v/>
      </c>
      <c r="Y184" s="90" t="n"/>
      <c r="Z184" s="104">
        <f>CHOOSE(MATCH(IF($U184="","Основний",$U184),{"Трафіковий","Основний","Маржинальний","Сезонний","Стратегічний"},0),0.16,0.19,0.24,0.23,0.28)</f>
        <v/>
      </c>
      <c r="AA184" s="104">
        <f>CHOOSE(MATCH(IF($U184="","Основний",$U184),{"Трафіковий","Основний","Маржинальний","Сезонний","Стратегічний"},0),0.18,0.21,0.26,0.25,0.3)</f>
        <v/>
      </c>
      <c r="AB184" s="104">
        <f>CHOOSE(MATCH(IF($U184="","Основний",$U184),{"Трафіковий","Основний","Маржинальний","Сезонний","Стратегічний"},0),0.19,0.22,0.28,0.26,0.32)</f>
        <v/>
      </c>
      <c r="AC184" s="104">
        <f>CHOOSE(MATCH(IF($U184="","Основний",$U184),{"Трафіковий","Основний","Маржинальний","Сезонний","Стратегічний"},0),0.17,0.2,0.25,0.24,0.28)</f>
        <v/>
      </c>
      <c r="AD184" s="104">
        <f>CHOOSE(MATCH(IF($U184="","Основний",$U184),{"Трафіковий","Основний","Маржинальний","Сезонний","Стратегічний"},0),0.18,0.21,0.26,0.25,0.3)</f>
        <v/>
      </c>
      <c r="AE184" s="104">
        <f>CHOOSE(MATCH(IF($U184="","Основний",$U184),{"Трафіковий","Основний","Маржинальний","Сезонний","Стратегічний"},0),0.18,0.2,0.28,0.27,0.32)</f>
        <v/>
      </c>
      <c r="AF184" s="104">
        <f>CHOOSE(MATCH(IF($U184="","Основний",$U184),{"Трафіковий","Основний","Маржинальний","Сезонний","Стратегічний"},0),0.15,0.175,0.22,0.21,0.25)</f>
        <v/>
      </c>
      <c r="AG184" s="104">
        <f>CHOOSE(MATCH(IF($U184="","Основний",$U184),{"Трафіковий","Основний","Маржинальний","Сезонний","Стратегічний"},0),0.13,0.16,0.21,0.2,0.25)</f>
        <v/>
      </c>
      <c r="AH184" s="104">
        <f>CHOOSE(MATCH(IF($U184="","Основний",$U184),{"Трафіковий","Основний","Маржинальний","Сезонний","Стратегічний"},0),0.15,0.18,0.23,0.22,0.27)</f>
        <v/>
      </c>
      <c r="AI184" s="104">
        <f>CHOOSE(MATCH(IF($U184="","Основний",$U184),{"Трафіковий","Основний","Маржинальний","Сезонний","Стратегічний"},0),0.16,0.19,0.25,0.23,0.29)</f>
        <v/>
      </c>
      <c r="AJ184" s="104">
        <f>CHOOSE(MATCH(IF($U184="","Основний",$U184),{"Трафіковий","Основний","Маржинальний","Сезонний","Стратегічний"},0),0.14,0.17,0.22,0.21,0.25)</f>
        <v/>
      </c>
      <c r="AK184" s="104">
        <f>CHOOSE(MATCH(IF($U184="","Основний",$U184),{"Трафіковий","Основний","Маржинальний","Сезонний","Стратегічний"},0),0.15,0.18,0.23,0.22,0.27)</f>
        <v/>
      </c>
      <c r="AL184" s="104">
        <f>CHOOSE(MATCH(IF($U184="","Основний",$U184),{"Трафіковий","Основний","Маржинальний","Сезонний","Стратегічний"},0),0.15,0.17,0.25,0.24,0.29)</f>
        <v/>
      </c>
      <c r="AM184" s="104">
        <f>CHOOSE(MATCH(IF($U184="","Основний",$U184),{"Трафіковий","Основний","Маржинальний","Сезонний","Стратегічний"},0),0.12,0.145,0.19,0.18,0.22)</f>
        <v/>
      </c>
      <c r="AN184" s="157">
        <f>CHOOSE(MATCH(IF($U184="","Основний",$U184),{"Трафіковий","Основний","Маржинальний","Сезонний","Стратегічний"},0),Settings!$B$78,Settings!$B$80,Settings!$B$82,Settings!$B$84,Settings!$B$86)</f>
        <v/>
      </c>
      <c r="AO184" s="157">
        <f>CHOOSE(MATCH(IF($U184="","Основний",$U184),{"Трафіковий","Основний","Маржинальний","Сезонний","Стратегічний"},0),Settings!$C$78,Settings!$C$80,Settings!$C$82,Settings!$C$84,Settings!$C$86)</f>
        <v/>
      </c>
      <c r="AP184" s="157">
        <f>CHOOSE(MATCH(IF($U184="","Основний",$U184),{"Трафіковий","Основний","Маржинальний","Сезонний","Стратегічний"},0),Settings!$D$78,Settings!$D$80,Settings!$D$82,Settings!$D$84,Settings!$D$86)</f>
        <v/>
      </c>
      <c r="AQ184" s="157">
        <f>CHOOSE(MATCH(IF($U184="","Основний",$U184),{"Трафіковий","Основний","Маржинальний","Сезонний","Стратегічний"},0),Settings!$F$78,Settings!$F$80,Settings!$F$82,Settings!$F$84,Settings!$F$86)</f>
        <v/>
      </c>
      <c r="AR184" s="157">
        <f>CHOOSE(MATCH(IF($U184="","Основний",$U184),{"Трафіковий","Основний","Маржинальний","Сезонний","Стратегічний"},0),Settings!$G$78,Settings!$G$80,Settings!$G$82,Settings!$G$84,Settings!$G$86)</f>
        <v/>
      </c>
      <c r="AS184" s="157">
        <f>CHOOSE(MATCH(IF($U184="","Основний",$U184),{"Трафіковий","Основний","Маржинальний","Сезонний","Стратегічний"},0),Settings!$H$78,Settings!$H$80,Settings!$H$82,Settings!$H$84,Settings!$H$86)</f>
        <v/>
      </c>
      <c r="AT184" s="157">
        <f>CHOOSE(MATCH(IF($U184="","Основний",$U184),{"Трафіковий","Основний","Маржинальний","Сезонний","Стратегічний"},0),Settings!$I$78,Settings!$I$80,Settings!$I$82,Settings!$I$84,Settings!$I$86)</f>
        <v/>
      </c>
      <c r="AU184" s="171" t="n"/>
      <c r="AV184" t="n">
        <v>1.35</v>
      </c>
    </row>
    <row r="185">
      <c r="A185" s="33" t="inlineStr">
        <is>
          <t>SELL OUT</t>
        </is>
      </c>
      <c r="B185" s="34" t="inlineStr">
        <is>
          <t>ZPW513I</t>
        </is>
      </c>
      <c r="C185" s="34" t="inlineStr">
        <is>
          <t>GOSMART LED NEON STRIP 5M</t>
        </is>
      </c>
      <c r="D185" s="34" t="inlineStr">
        <is>
          <t>GOSMART AMBIENT</t>
        </is>
      </c>
      <c r="E185" s="33" t="inlineStr">
        <is>
          <t>PC</t>
        </is>
      </c>
      <c r="F185" s="94" t="n">
        <v>31.721</v>
      </c>
      <c r="G185" s="35" t="n">
        <v>9405423100</v>
      </c>
      <c r="H185" s="31" t="n">
        <v>1.35</v>
      </c>
      <c r="I185" s="84">
        <f>IFERROR(F185*Settings!$B$2*H185*IF(AND(ISNUMBER(E185),E185&gt;1),E185,1),"")</f>
        <v/>
      </c>
      <c r="J185" s="32">
        <f>Settings!$B$66</f>
        <v/>
      </c>
      <c r="K185" s="95">
        <f>IFERROR(IF(T185="","",(T185*(1-AN185)*(1-Settings!$B$17)-I185)/(T185*(1-AN185)*(1-Settings!$B$17))),"")</f>
        <v/>
      </c>
      <c r="L185" s="101">
        <f>IFERROR(IF(T185="","",(T185*(1-AO185)*(1-Settings!$C$17)-I185)/(T185*(1-AO185)*(1-Settings!$C$17))),"")</f>
        <v/>
      </c>
      <c r="M185" s="101">
        <f>IFERROR(IF(T185="","",(T185*(1-AP185)*(1-Settings!$D$17)-I185)/(T185*(1-AP185)*(1-Settings!$D$17))),"")</f>
        <v/>
      </c>
      <c r="N185" s="101">
        <f>IFERROR(IF(T185="","",(T185*(1-AQ185)*(1-Settings!$F$17)-I185)/(T185*(1-AQ185)*(1-Settings!$F$17))),"")</f>
        <v/>
      </c>
      <c r="O185" s="101">
        <f>IFERROR(IF(T185="","",(T185*(1-AR185)*(1-Settings!$G$17)-I185)/(T185*(1-AR185)*(1-Settings!$G$17))),"")</f>
        <v/>
      </c>
      <c r="P185" s="101">
        <f>IFERROR(IF(T185="","",(T185*(1-AS185)*(1-Settings!$H$17)-I185)/(T185*(1-AS185)*(1-Settings!$H$17))),"")</f>
        <v/>
      </c>
      <c r="Q185" s="101">
        <f>IFERROR(IF(T185="","",(T185*(1-AT185)*(1-Settings!$I$68)*(1-Settings!$I$17)-I185)/(T185*(1-AT185)*(1-Settings!$I$68)*(1-Settings!$I$17))),"")</f>
        <v/>
      </c>
      <c r="R185" s="91">
        <f>IFERROR(IF(OR(I185="",Z185&gt;=1,Settings!$B$17&gt;=1,AN185&gt;=1),"",IF(MOD(ROUND(I185/(1-Z185)/(1-Settings!$B$17)/(1-AN185),0),10)=0,ROUND(I185/(1-Z185)/(1-Settings!$B$17)/(1-AN185),0)-1,IF(MOD(ROUND(I185/(1-Z185)/(1-Settings!$B$17)/(1-AN185),0),10)&lt;=5,FLOOR(ROUND(I185/(1-Z185)/(1-Settings!$B$17)/(1-AN185),0),10)+6,FLOOR(ROUND(I185/(1-Z185)/(1-Settings!$B$17)/(1-AN185),0),10)+9))),"")</f>
        <v/>
      </c>
      <c r="S185" s="92" t="n">
        <v>3800</v>
      </c>
      <c r="T185" s="91">
        <f>IF(S185&lt;&gt;"", IF(MOD(S185,10)=0,S185-1,IF(MOD(S185,10)&lt;=5,FLOOR(S185,10)+6,FLOOR(S185,10)+9)), R185)</f>
        <v/>
      </c>
      <c r="U185" s="87" t="inlineStr">
        <is>
          <t>Основний</t>
        </is>
      </c>
      <c r="V185" s="88" t="n"/>
      <c r="W185" s="88" t="n"/>
      <c r="X185" s="89">
        <f>IFERROR(IF(OR(V185="",W185="",T185=""),"", IF(T185&gt;W185,"Дорогий",IF(T185&lt;V185,"Дешевий","У ринку"))),"")</f>
        <v/>
      </c>
      <c r="Y185" s="90" t="n"/>
      <c r="Z185" s="104">
        <f>CHOOSE(MATCH(IF($U185="","Основний",$U185),{"Трафіковий","Основний","Маржинальний","Сезонний","Стратегічний"},0),0.16,0.19,0.24,0.23,0.28)</f>
        <v/>
      </c>
      <c r="AA185" s="104">
        <f>CHOOSE(MATCH(IF($U185="","Основний",$U185),{"Трафіковий","Основний","Маржинальний","Сезонний","Стратегічний"},0),0.18,0.21,0.26,0.25,0.3)</f>
        <v/>
      </c>
      <c r="AB185" s="104">
        <f>CHOOSE(MATCH(IF($U185="","Основний",$U185),{"Трафіковий","Основний","Маржинальний","Сезонний","Стратегічний"},0),0.19,0.22,0.28,0.26,0.32)</f>
        <v/>
      </c>
      <c r="AC185" s="104">
        <f>CHOOSE(MATCH(IF($U185="","Основний",$U185),{"Трафіковий","Основний","Маржинальний","Сезонний","Стратегічний"},0),0.17,0.2,0.25,0.24,0.28)</f>
        <v/>
      </c>
      <c r="AD185" s="104">
        <f>CHOOSE(MATCH(IF($U185="","Основний",$U185),{"Трафіковий","Основний","Маржинальний","Сезонний","Стратегічний"},0),0.18,0.21,0.26,0.25,0.3)</f>
        <v/>
      </c>
      <c r="AE185" s="104">
        <f>CHOOSE(MATCH(IF($U185="","Основний",$U185),{"Трафіковий","Основний","Маржинальний","Сезонний","Стратегічний"},0),0.18,0.2,0.28,0.27,0.32)</f>
        <v/>
      </c>
      <c r="AF185" s="104">
        <f>CHOOSE(MATCH(IF($U185="","Основний",$U185),{"Трафіковий","Основний","Маржинальний","Сезонний","Стратегічний"},0),0.15,0.175,0.22,0.21,0.25)</f>
        <v/>
      </c>
      <c r="AG185" s="104">
        <f>CHOOSE(MATCH(IF($U185="","Основний",$U185),{"Трафіковий","Основний","Маржинальний","Сезонний","Стратегічний"},0),0.13,0.16,0.21,0.2,0.25)</f>
        <v/>
      </c>
      <c r="AH185" s="104">
        <f>CHOOSE(MATCH(IF($U185="","Основний",$U185),{"Трафіковий","Основний","Маржинальний","Сезонний","Стратегічний"},0),0.15,0.18,0.23,0.22,0.27)</f>
        <v/>
      </c>
      <c r="AI185" s="104">
        <f>CHOOSE(MATCH(IF($U185="","Основний",$U185),{"Трафіковий","Основний","Маржинальний","Сезонний","Стратегічний"},0),0.16,0.19,0.25,0.23,0.29)</f>
        <v/>
      </c>
      <c r="AJ185" s="104">
        <f>CHOOSE(MATCH(IF($U185="","Основний",$U185),{"Трафіковий","Основний","Маржинальний","Сезонний","Стратегічний"},0),0.14,0.17,0.22,0.21,0.25)</f>
        <v/>
      </c>
      <c r="AK185" s="104">
        <f>CHOOSE(MATCH(IF($U185="","Основний",$U185),{"Трафіковий","Основний","Маржинальний","Сезонний","Стратегічний"},0),0.15,0.18,0.23,0.22,0.27)</f>
        <v/>
      </c>
      <c r="AL185" s="104">
        <f>CHOOSE(MATCH(IF($U185="","Основний",$U185),{"Трафіковий","Основний","Маржинальний","Сезонний","Стратегічний"},0),0.15,0.17,0.25,0.24,0.29)</f>
        <v/>
      </c>
      <c r="AM185" s="104">
        <f>CHOOSE(MATCH(IF($U185="","Основний",$U185),{"Трафіковий","Основний","Маржинальний","Сезонний","Стратегічний"},0),0.12,0.145,0.19,0.18,0.22)</f>
        <v/>
      </c>
      <c r="AN185" s="157">
        <f>CHOOSE(MATCH(IF($U185="","Основний",$U185),{"Трафіковий","Основний","Маржинальний","Сезонний","Стратегічний"},0),Settings!$B$78,Settings!$B$80,Settings!$B$82,Settings!$B$84,Settings!$B$86)</f>
        <v/>
      </c>
      <c r="AO185" s="157">
        <f>CHOOSE(MATCH(IF($U185="","Основний",$U185),{"Трафіковий","Основний","Маржинальний","Сезонний","Стратегічний"},0),Settings!$C$78,Settings!$C$80,Settings!$C$82,Settings!$C$84,Settings!$C$86)</f>
        <v/>
      </c>
      <c r="AP185" s="157">
        <f>CHOOSE(MATCH(IF($U185="","Основний",$U185),{"Трафіковий","Основний","Маржинальний","Сезонний","Стратегічний"},0),Settings!$D$78,Settings!$D$80,Settings!$D$82,Settings!$D$84,Settings!$D$86)</f>
        <v/>
      </c>
      <c r="AQ185" s="157">
        <f>CHOOSE(MATCH(IF($U185="","Основний",$U185),{"Трафіковий","Основний","Маржинальний","Сезонний","Стратегічний"},0),Settings!$F$78,Settings!$F$80,Settings!$F$82,Settings!$F$84,Settings!$F$86)</f>
        <v/>
      </c>
      <c r="AR185" s="157">
        <f>CHOOSE(MATCH(IF($U185="","Основний",$U185),{"Трафіковий","Основний","Маржинальний","Сезонний","Стратегічний"},0),Settings!$G$78,Settings!$G$80,Settings!$G$82,Settings!$G$84,Settings!$G$86)</f>
        <v/>
      </c>
      <c r="AS185" s="157">
        <f>CHOOSE(MATCH(IF($U185="","Основний",$U185),{"Трафіковий","Основний","Маржинальний","Сезонний","Стратегічний"},0),Settings!$H$78,Settings!$H$80,Settings!$H$82,Settings!$H$84,Settings!$H$86)</f>
        <v/>
      </c>
      <c r="AT185" s="157">
        <f>CHOOSE(MATCH(IF($U185="","Основний",$U185),{"Трафіковий","Основний","Маржинальний","Сезонний","Стратегічний"},0),Settings!$I$78,Settings!$I$80,Settings!$I$82,Settings!$I$84,Settings!$I$86)</f>
        <v/>
      </c>
      <c r="AU185" s="171" t="n"/>
      <c r="AV185" t="n">
        <v>1.35</v>
      </c>
    </row>
    <row r="186">
      <c r="A186" s="28" t="inlineStr">
        <is>
          <t>NEW</t>
        </is>
      </c>
      <c r="B186" s="29" t="inlineStr">
        <is>
          <t>ZPW218R</t>
        </is>
      </c>
      <c r="C186" s="29" t="inlineStr">
        <is>
          <t>GOSMART LED strip 11W 750lm 2m WIFI RGBCCT</t>
        </is>
      </c>
      <c r="D186" s="29" t="inlineStr">
        <is>
          <t>GOSMART AMBIENT</t>
        </is>
      </c>
      <c r="E186" s="28" t="inlineStr">
        <is>
          <t>PC</t>
        </is>
      </c>
      <c r="F186" s="93" t="n">
        <v>11.971</v>
      </c>
      <c r="G186" s="30" t="n">
        <v>9405423100</v>
      </c>
      <c r="H186" s="31" t="n">
        <v>1.35</v>
      </c>
      <c r="I186" s="84">
        <f>IFERROR(F186*Settings!$B$2*H186*IF(AND(ISNUMBER(E186),E186&gt;1),E186,1),"")</f>
        <v/>
      </c>
      <c r="J186" s="32">
        <f>Settings!$B$66</f>
        <v/>
      </c>
      <c r="K186" s="95">
        <f>IFERROR(IF(T186="","",(T186*(1-AN186)*(1-Settings!$B$17)-I186)/(T186*(1-AN186)*(1-Settings!$B$17))),"")</f>
        <v/>
      </c>
      <c r="L186" s="101">
        <f>IFERROR(IF(T186="","",(T186*(1-AO186)*(1-Settings!$C$17)-I186)/(T186*(1-AO186)*(1-Settings!$C$17))),"")</f>
        <v/>
      </c>
      <c r="M186" s="101">
        <f>IFERROR(IF(T186="","",(T186*(1-AP186)*(1-Settings!$D$17)-I186)/(T186*(1-AP186)*(1-Settings!$D$17))),"")</f>
        <v/>
      </c>
      <c r="N186" s="101">
        <f>IFERROR(IF(T186="","",(T186*(1-AQ186)*(1-Settings!$F$17)-I186)/(T186*(1-AQ186)*(1-Settings!$F$17))),"")</f>
        <v/>
      </c>
      <c r="O186" s="101">
        <f>IFERROR(IF(T186="","",(T186*(1-AR186)*(1-Settings!$G$17)-I186)/(T186*(1-AR186)*(1-Settings!$G$17))),"")</f>
        <v/>
      </c>
      <c r="P186" s="101">
        <f>IFERROR(IF(T186="","",(T186*(1-AS186)*(1-Settings!$H$17)-I186)/(T186*(1-AS186)*(1-Settings!$H$17))),"")</f>
        <v/>
      </c>
      <c r="Q186" s="101">
        <f>IFERROR(IF(T186="","",(T186*(1-AT186)*(1-Settings!$I$68)*(1-Settings!$I$17)-I186)/(T186*(1-AT186)*(1-Settings!$I$68)*(1-Settings!$I$17))),"")</f>
        <v/>
      </c>
      <c r="R186" s="91">
        <f>IFERROR(IF(OR(I186="",Z186&gt;=1,Settings!$B$17&gt;=1,AN186&gt;=1),"",IF(MOD(ROUND(I186/(1-Z186)/(1-Settings!$B$17)/(1-AN186),0),10)=0,ROUND(I186/(1-Z186)/(1-Settings!$B$17)/(1-AN186),0)-1,IF(MOD(ROUND(I186/(1-Z186)/(1-Settings!$B$17)/(1-AN186),0),10)&lt;=5,FLOOR(ROUND(I186/(1-Z186)/(1-Settings!$B$17)/(1-AN186),0),10)+6,FLOOR(ROUND(I186/(1-Z186)/(1-Settings!$B$17)/(1-AN186),0),10)+9))),"")</f>
        <v/>
      </c>
      <c r="S186" s="92" t="n">
        <v>1500</v>
      </c>
      <c r="T186" s="91">
        <f>IF(S186&lt;&gt;"", IF(MOD(S186,10)=0,S186-1,IF(MOD(S186,10)&lt;=5,FLOOR(S186,10)+6,FLOOR(S186,10)+9)), R186)</f>
        <v/>
      </c>
      <c r="U186" s="87" t="inlineStr">
        <is>
          <t>Основний</t>
        </is>
      </c>
      <c r="V186" s="88" t="n"/>
      <c r="W186" s="88" t="n"/>
      <c r="X186" s="89">
        <f>IFERROR(IF(OR(V186="",W186="",T186=""),"", IF(T186&gt;W186,"Дорогий",IF(T186&lt;V186,"Дешевий","У ринку"))),"")</f>
        <v/>
      </c>
      <c r="Y186" s="90" t="n"/>
      <c r="Z186" s="104">
        <f>CHOOSE(MATCH(IF($U186="","Основний",$U186),{"Трафіковий","Основний","Маржинальний","Сезонний","Стратегічний"},0),0.16,0.19,0.24,0.23,0.28)</f>
        <v/>
      </c>
      <c r="AA186" s="104">
        <f>CHOOSE(MATCH(IF($U186="","Основний",$U186),{"Трафіковий","Основний","Маржинальний","Сезонний","Стратегічний"},0),0.18,0.21,0.26,0.25,0.3)</f>
        <v/>
      </c>
      <c r="AB186" s="104">
        <f>CHOOSE(MATCH(IF($U186="","Основний",$U186),{"Трафіковий","Основний","Маржинальний","Сезонний","Стратегічний"},0),0.19,0.22,0.28,0.26,0.32)</f>
        <v/>
      </c>
      <c r="AC186" s="104">
        <f>CHOOSE(MATCH(IF($U186="","Основний",$U186),{"Трафіковий","Основний","Маржинальний","Сезонний","Стратегічний"},0),0.17,0.2,0.25,0.24,0.28)</f>
        <v/>
      </c>
      <c r="AD186" s="104">
        <f>CHOOSE(MATCH(IF($U186="","Основний",$U186),{"Трафіковий","Основний","Маржинальний","Сезонний","Стратегічний"},0),0.18,0.21,0.26,0.25,0.3)</f>
        <v/>
      </c>
      <c r="AE186" s="104">
        <f>CHOOSE(MATCH(IF($U186="","Основний",$U186),{"Трафіковий","Основний","Маржинальний","Сезонний","Стратегічний"},0),0.18,0.2,0.28,0.27,0.32)</f>
        <v/>
      </c>
      <c r="AF186" s="104">
        <f>CHOOSE(MATCH(IF($U186="","Основний",$U186),{"Трафіковий","Основний","Маржинальний","Сезонний","Стратегічний"},0),0.15,0.175,0.22,0.21,0.25)</f>
        <v/>
      </c>
      <c r="AG186" s="104">
        <f>CHOOSE(MATCH(IF($U186="","Основний",$U186),{"Трафіковий","Основний","Маржинальний","Сезонний","Стратегічний"},0),0.13,0.16,0.21,0.2,0.25)</f>
        <v/>
      </c>
      <c r="AH186" s="104">
        <f>CHOOSE(MATCH(IF($U186="","Основний",$U186),{"Трафіковий","Основний","Маржинальний","Сезонний","Стратегічний"},0),0.15,0.18,0.23,0.22,0.27)</f>
        <v/>
      </c>
      <c r="AI186" s="104">
        <f>CHOOSE(MATCH(IF($U186="","Основний",$U186),{"Трафіковий","Основний","Маржинальний","Сезонний","Стратегічний"},0),0.16,0.19,0.25,0.23,0.29)</f>
        <v/>
      </c>
      <c r="AJ186" s="104">
        <f>CHOOSE(MATCH(IF($U186="","Основний",$U186),{"Трафіковий","Основний","Маржинальний","Сезонний","Стратегічний"},0),0.14,0.17,0.22,0.21,0.25)</f>
        <v/>
      </c>
      <c r="AK186" s="104">
        <f>CHOOSE(MATCH(IF($U186="","Основний",$U186),{"Трафіковий","Основний","Маржинальний","Сезонний","Стратегічний"},0),0.15,0.18,0.23,0.22,0.27)</f>
        <v/>
      </c>
      <c r="AL186" s="104">
        <f>CHOOSE(MATCH(IF($U186="","Основний",$U186),{"Трафіковий","Основний","Маржинальний","Сезонний","Стратегічний"},0),0.15,0.17,0.25,0.24,0.29)</f>
        <v/>
      </c>
      <c r="AM186" s="104">
        <f>CHOOSE(MATCH(IF($U186="","Основний",$U186),{"Трафіковий","Основний","Маржинальний","Сезонний","Стратегічний"},0),0.12,0.145,0.19,0.18,0.22)</f>
        <v/>
      </c>
      <c r="AN186" s="157">
        <f>CHOOSE(MATCH(IF($U186="","Основний",$U186),{"Трафіковий","Основний","Маржинальний","Сезонний","Стратегічний"},0),Settings!$B$78,Settings!$B$80,Settings!$B$82,Settings!$B$84,Settings!$B$86)</f>
        <v/>
      </c>
      <c r="AO186" s="157">
        <f>CHOOSE(MATCH(IF($U186="","Основний",$U186),{"Трафіковий","Основний","Маржинальний","Сезонний","Стратегічний"},0),Settings!$C$78,Settings!$C$80,Settings!$C$82,Settings!$C$84,Settings!$C$86)</f>
        <v/>
      </c>
      <c r="AP186" s="157">
        <f>CHOOSE(MATCH(IF($U186="","Основний",$U186),{"Трафіковий","Основний","Маржинальний","Сезонний","Стратегічний"},0),Settings!$D$78,Settings!$D$80,Settings!$D$82,Settings!$D$84,Settings!$D$86)</f>
        <v/>
      </c>
      <c r="AQ186" s="157">
        <f>CHOOSE(MATCH(IF($U186="","Основний",$U186),{"Трафіковий","Основний","Маржинальний","Сезонний","Стратегічний"},0),Settings!$F$78,Settings!$F$80,Settings!$F$82,Settings!$F$84,Settings!$F$86)</f>
        <v/>
      </c>
      <c r="AR186" s="157">
        <f>CHOOSE(MATCH(IF($U186="","Основний",$U186),{"Трафіковий","Основний","Маржинальний","Сезонний","Стратегічний"},0),Settings!$G$78,Settings!$G$80,Settings!$G$82,Settings!$G$84,Settings!$G$86)</f>
        <v/>
      </c>
      <c r="AS186" s="157">
        <f>CHOOSE(MATCH(IF($U186="","Основний",$U186),{"Трафіковий","Основний","Маржинальний","Сезонний","Стратегічний"},0),Settings!$H$78,Settings!$H$80,Settings!$H$82,Settings!$H$84,Settings!$H$86)</f>
        <v/>
      </c>
      <c r="AT186" s="157">
        <f>CHOOSE(MATCH(IF($U186="","Основний",$U186),{"Трафіковий","Основний","Маржинальний","Сезонний","Стратегічний"},0),Settings!$I$78,Settings!$I$80,Settings!$I$82,Settings!$I$84,Settings!$I$86)</f>
        <v/>
      </c>
      <c r="AU186" s="171" t="n"/>
      <c r="AV186" t="n">
        <v>1.35</v>
      </c>
    </row>
    <row r="187">
      <c r="A187" s="33" t="inlineStr">
        <is>
          <t>NEW</t>
        </is>
      </c>
      <c r="B187" s="34" t="inlineStr">
        <is>
          <t>ZPW518R</t>
        </is>
      </c>
      <c r="C187" s="34" t="inlineStr">
        <is>
          <t>LED GOSMART STRIP 21W 1400lm 5m WIFI RGBCCT</t>
        </is>
      </c>
      <c r="D187" s="34" t="inlineStr">
        <is>
          <t>GOSMART AMBIENT</t>
        </is>
      </c>
      <c r="E187" s="33" t="inlineStr">
        <is>
          <t>PC</t>
        </is>
      </c>
      <c r="F187" s="94" t="n">
        <v>19.1</v>
      </c>
      <c r="G187" s="35" t="n">
        <v>9405423100</v>
      </c>
      <c r="H187" s="31" t="n">
        <v>1.35</v>
      </c>
      <c r="I187" s="84">
        <f>IFERROR(F187*Settings!$B$2*H187*IF(AND(ISNUMBER(E187),E187&gt;1),E187,1),"")</f>
        <v/>
      </c>
      <c r="J187" s="32">
        <f>Settings!$B$66</f>
        <v/>
      </c>
      <c r="K187" s="95">
        <f>IFERROR(IF(T187="","",(T187*(1-AN187)*(1-Settings!$B$17)-I187)/(T187*(1-AN187)*(1-Settings!$B$17))),"")</f>
        <v/>
      </c>
      <c r="L187" s="101">
        <f>IFERROR(IF(T187="","",(T187*(1-AO187)*(1-Settings!$C$17)-I187)/(T187*(1-AO187)*(1-Settings!$C$17))),"")</f>
        <v/>
      </c>
      <c r="M187" s="101">
        <f>IFERROR(IF(T187="","",(T187*(1-AP187)*(1-Settings!$D$17)-I187)/(T187*(1-AP187)*(1-Settings!$D$17))),"")</f>
        <v/>
      </c>
      <c r="N187" s="101">
        <f>IFERROR(IF(T187="","",(T187*(1-AQ187)*(1-Settings!$F$17)-I187)/(T187*(1-AQ187)*(1-Settings!$F$17))),"")</f>
        <v/>
      </c>
      <c r="O187" s="101">
        <f>IFERROR(IF(T187="","",(T187*(1-AR187)*(1-Settings!$G$17)-I187)/(T187*(1-AR187)*(1-Settings!$G$17))),"")</f>
        <v/>
      </c>
      <c r="P187" s="101">
        <f>IFERROR(IF(T187="","",(T187*(1-AS187)*(1-Settings!$H$17)-I187)/(T187*(1-AS187)*(1-Settings!$H$17))),"")</f>
        <v/>
      </c>
      <c r="Q187" s="101">
        <f>IFERROR(IF(T187="","",(T187*(1-AT187)*(1-Settings!$I$68)*(1-Settings!$I$17)-I187)/(T187*(1-AT187)*(1-Settings!$I$68)*(1-Settings!$I$17))),"")</f>
        <v/>
      </c>
      <c r="R187" s="91">
        <f>IFERROR(IF(OR(I187="",Z187&gt;=1,Settings!$B$17&gt;=1,AN187&gt;=1),"",IF(MOD(ROUND(I187/(1-Z187)/(1-Settings!$B$17)/(1-AN187),0),10)=0,ROUND(I187/(1-Z187)/(1-Settings!$B$17)/(1-AN187),0)-1,IF(MOD(ROUND(I187/(1-Z187)/(1-Settings!$B$17)/(1-AN187),0),10)&lt;=5,FLOOR(ROUND(I187/(1-Z187)/(1-Settings!$B$17)/(1-AN187),0),10)+6,FLOOR(ROUND(I187/(1-Z187)/(1-Settings!$B$17)/(1-AN187),0),10)+9))),"")</f>
        <v/>
      </c>
      <c r="S187" s="92" t="n">
        <v>2400</v>
      </c>
      <c r="T187" s="91">
        <f>IF(S187&lt;&gt;"", IF(MOD(S187,10)=0,S187-1,IF(MOD(S187,10)&lt;=5,FLOOR(S187,10)+6,FLOOR(S187,10)+9)), R187)</f>
        <v/>
      </c>
      <c r="U187" s="87" t="inlineStr">
        <is>
          <t>Основний</t>
        </is>
      </c>
      <c r="V187" s="88" t="n"/>
      <c r="W187" s="88" t="n"/>
      <c r="X187" s="89">
        <f>IFERROR(IF(OR(V187="",W187="",T187=""),"", IF(T187&gt;W187,"Дорогий",IF(T187&lt;V187,"Дешевий","У ринку"))),"")</f>
        <v/>
      </c>
      <c r="Y187" s="90" t="n"/>
      <c r="Z187" s="104">
        <f>CHOOSE(MATCH(IF($U187="","Основний",$U187),{"Трафіковий","Основний","Маржинальний","Сезонний","Стратегічний"},0),0.16,0.19,0.24,0.23,0.28)</f>
        <v/>
      </c>
      <c r="AA187" s="104">
        <f>CHOOSE(MATCH(IF($U187="","Основний",$U187),{"Трафіковий","Основний","Маржинальний","Сезонний","Стратегічний"},0),0.18,0.21,0.26,0.25,0.3)</f>
        <v/>
      </c>
      <c r="AB187" s="104">
        <f>CHOOSE(MATCH(IF($U187="","Основний",$U187),{"Трафіковий","Основний","Маржинальний","Сезонний","Стратегічний"},0),0.19,0.22,0.28,0.26,0.32)</f>
        <v/>
      </c>
      <c r="AC187" s="104">
        <f>CHOOSE(MATCH(IF($U187="","Основний",$U187),{"Трафіковий","Основний","Маржинальний","Сезонний","Стратегічний"},0),0.17,0.2,0.25,0.24,0.28)</f>
        <v/>
      </c>
      <c r="AD187" s="104">
        <f>CHOOSE(MATCH(IF($U187="","Основний",$U187),{"Трафіковий","Основний","Маржинальний","Сезонний","Стратегічний"},0),0.18,0.21,0.26,0.25,0.3)</f>
        <v/>
      </c>
      <c r="AE187" s="104">
        <f>CHOOSE(MATCH(IF($U187="","Основний",$U187),{"Трафіковий","Основний","Маржинальний","Сезонний","Стратегічний"},0),0.18,0.2,0.28,0.27,0.32)</f>
        <v/>
      </c>
      <c r="AF187" s="104">
        <f>CHOOSE(MATCH(IF($U187="","Основний",$U187),{"Трафіковий","Основний","Маржинальний","Сезонний","Стратегічний"},0),0.15,0.175,0.22,0.21,0.25)</f>
        <v/>
      </c>
      <c r="AG187" s="104">
        <f>CHOOSE(MATCH(IF($U187="","Основний",$U187),{"Трафіковий","Основний","Маржинальний","Сезонний","Стратегічний"},0),0.13,0.16,0.21,0.2,0.25)</f>
        <v/>
      </c>
      <c r="AH187" s="104">
        <f>CHOOSE(MATCH(IF($U187="","Основний",$U187),{"Трафіковий","Основний","Маржинальний","Сезонний","Стратегічний"},0),0.15,0.18,0.23,0.22,0.27)</f>
        <v/>
      </c>
      <c r="AI187" s="104">
        <f>CHOOSE(MATCH(IF($U187="","Основний",$U187),{"Трафіковий","Основний","Маржинальний","Сезонний","Стратегічний"},0),0.16,0.19,0.25,0.23,0.29)</f>
        <v/>
      </c>
      <c r="AJ187" s="104">
        <f>CHOOSE(MATCH(IF($U187="","Основний",$U187),{"Трафіковий","Основний","Маржинальний","Сезонний","Стратегічний"},0),0.14,0.17,0.22,0.21,0.25)</f>
        <v/>
      </c>
      <c r="AK187" s="104">
        <f>CHOOSE(MATCH(IF($U187="","Основний",$U187),{"Трафіковий","Основний","Маржинальний","Сезонний","Стратегічний"},0),0.15,0.18,0.23,0.22,0.27)</f>
        <v/>
      </c>
      <c r="AL187" s="104">
        <f>CHOOSE(MATCH(IF($U187="","Основний",$U187),{"Трафіковий","Основний","Маржинальний","Сезонний","Стратегічний"},0),0.15,0.17,0.25,0.24,0.29)</f>
        <v/>
      </c>
      <c r="AM187" s="104">
        <f>CHOOSE(MATCH(IF($U187="","Основний",$U187),{"Трафіковий","Основний","Маржинальний","Сезонний","Стратегічний"},0),0.12,0.145,0.19,0.18,0.22)</f>
        <v/>
      </c>
      <c r="AN187" s="157">
        <f>CHOOSE(MATCH(IF($U187="","Основний",$U187),{"Трафіковий","Основний","Маржинальний","Сезонний","Стратегічний"},0),Settings!$B$78,Settings!$B$80,Settings!$B$82,Settings!$B$84,Settings!$B$86)</f>
        <v/>
      </c>
      <c r="AO187" s="157">
        <f>CHOOSE(MATCH(IF($U187="","Основний",$U187),{"Трафіковий","Основний","Маржинальний","Сезонний","Стратегічний"},0),Settings!$C$78,Settings!$C$80,Settings!$C$82,Settings!$C$84,Settings!$C$86)</f>
        <v/>
      </c>
      <c r="AP187" s="157">
        <f>CHOOSE(MATCH(IF($U187="","Основний",$U187),{"Трафіковий","Основний","Маржинальний","Сезонний","Стратегічний"},0),Settings!$D$78,Settings!$D$80,Settings!$D$82,Settings!$D$84,Settings!$D$86)</f>
        <v/>
      </c>
      <c r="AQ187" s="157">
        <f>CHOOSE(MATCH(IF($U187="","Основний",$U187),{"Трафіковий","Основний","Маржинальний","Сезонний","Стратегічний"},0),Settings!$F$78,Settings!$F$80,Settings!$F$82,Settings!$F$84,Settings!$F$86)</f>
        <v/>
      </c>
      <c r="AR187" s="157">
        <f>CHOOSE(MATCH(IF($U187="","Основний",$U187),{"Трафіковий","Основний","Маржинальний","Сезонний","Стратегічний"},0),Settings!$G$78,Settings!$G$80,Settings!$G$82,Settings!$G$84,Settings!$G$86)</f>
        <v/>
      </c>
      <c r="AS187" s="157">
        <f>CHOOSE(MATCH(IF($U187="","Основний",$U187),{"Трафіковий","Основний","Маржинальний","Сезонний","Стратегічний"},0),Settings!$H$78,Settings!$H$80,Settings!$H$82,Settings!$H$84,Settings!$H$86)</f>
        <v/>
      </c>
      <c r="AT187" s="157">
        <f>CHOOSE(MATCH(IF($U187="","Основний",$U187),{"Трафіковий","Основний","Маржинальний","Сезонний","Стратегічний"},0),Settings!$I$78,Settings!$I$80,Settings!$I$82,Settings!$I$84,Settings!$I$86)</f>
        <v/>
      </c>
      <c r="AU187" s="171" t="n"/>
      <c r="AV187" t="n">
        <v>1.35</v>
      </c>
    </row>
    <row r="188">
      <c r="A188" s="28" t="n"/>
      <c r="B188" s="29" t="inlineStr">
        <is>
          <t>ZN1110</t>
        </is>
      </c>
      <c r="C188" s="29" t="inlineStr">
        <is>
          <t>LED EMERGENCY BULKHEAD NESSI 3W 3h IP65</t>
        </is>
      </c>
      <c r="D188" s="29" t="inlineStr">
        <is>
          <t>Світильники аварійні</t>
        </is>
      </c>
      <c r="E188" s="28" t="inlineStr">
        <is>
          <t>PC</t>
        </is>
      </c>
      <c r="F188" s="93" t="n">
        <v>10.631</v>
      </c>
      <c r="G188" s="30" t="n">
        <v>9405114090</v>
      </c>
      <c r="H188" s="31" t="n">
        <v>1.35</v>
      </c>
      <c r="I188" s="84">
        <f>IFERROR(F188*Settings!$B$2*H188*IF(AND(ISNUMBER(E188),E188&gt;1),E188,1),"")</f>
        <v/>
      </c>
      <c r="J188" s="32">
        <f>Settings!$B$66</f>
        <v/>
      </c>
      <c r="K188" s="95">
        <f>IFERROR(IF(T188="","",(T188*(1-AN188)*(1-Settings!$B$17)-I188)/(T188*(1-AN188)*(1-Settings!$B$17))),"")</f>
        <v/>
      </c>
      <c r="L188" s="101">
        <f>IFERROR(IF(T188="","",(T188*(1-AO188)*(1-Settings!$C$17)-I188)/(T188*(1-AO188)*(1-Settings!$C$17))),"")</f>
        <v/>
      </c>
      <c r="M188" s="101">
        <f>IFERROR(IF(T188="","",(T188*(1-AP188)*(1-Settings!$D$17)-I188)/(T188*(1-AP188)*(1-Settings!$D$17))),"")</f>
        <v/>
      </c>
      <c r="N188" s="101">
        <f>IFERROR(IF(T188="","",(T188*(1-AQ188)*(1-Settings!$F$17)-I188)/(T188*(1-AQ188)*(1-Settings!$F$17))),"")</f>
        <v/>
      </c>
      <c r="O188" s="101">
        <f>IFERROR(IF(T188="","",(T188*(1-AR188)*(1-Settings!$G$17)-I188)/(T188*(1-AR188)*(1-Settings!$G$17))),"")</f>
        <v/>
      </c>
      <c r="P188" s="101">
        <f>IFERROR(IF(T188="","",(T188*(1-AS188)*(1-Settings!$H$17)-I188)/(T188*(1-AS188)*(1-Settings!$H$17))),"")</f>
        <v/>
      </c>
      <c r="Q188" s="101">
        <f>IFERROR(IF(T188="","",(T188*(1-AT188)*(1-Settings!$I$68)*(1-Settings!$I$17)-I188)/(T188*(1-AT188)*(1-Settings!$I$68)*(1-Settings!$I$17))),"")</f>
        <v/>
      </c>
      <c r="R188" s="91">
        <f>IFERROR(IF(OR(I188="",Z188&gt;=1,Settings!$B$17&gt;=1,AN188&gt;=1),"",IF(MOD(ROUND(I188/(1-Z188)/(1-Settings!$B$17)/(1-AN188),0),10)=0,ROUND(I188/(1-Z188)/(1-Settings!$B$17)/(1-AN188),0)-1,IF(MOD(ROUND(I188/(1-Z188)/(1-Settings!$B$17)/(1-AN188),0),10)&lt;=5,FLOOR(ROUND(I188/(1-Z188)/(1-Settings!$B$17)/(1-AN188),0),10)+6,FLOOR(ROUND(I188/(1-Z188)/(1-Settings!$B$17)/(1-AN188),0),10)+9))),"")</f>
        <v/>
      </c>
      <c r="S188" s="92" t="n">
        <v>1310</v>
      </c>
      <c r="T188" s="91">
        <f>IF(S188&lt;&gt;"", IF(MOD(S188,10)=0,S188-1,IF(MOD(S188,10)&lt;=5,FLOOR(S188,10)+6,FLOOR(S188,10)+9)), R188)</f>
        <v/>
      </c>
      <c r="U188" s="87" t="inlineStr">
        <is>
          <t>Основний</t>
        </is>
      </c>
      <c r="V188" s="88" t="n"/>
      <c r="W188" s="88" t="n"/>
      <c r="X188" s="89">
        <f>IFERROR(IF(OR(V188="",W188="",T188=""),"", IF(T188&gt;W188,"Дорогий",IF(T188&lt;V188,"Дешевий","У ринку"))),"")</f>
        <v/>
      </c>
      <c r="Y188" s="90" t="n"/>
      <c r="Z188" s="104">
        <f>CHOOSE(MATCH(IF($U188="","Основний",$U188),{"Трафіковий","Основний","Маржинальний","Сезонний","Стратегічний"},0),0.16,0.19,0.24,0.23,0.28)</f>
        <v/>
      </c>
      <c r="AA188" s="104">
        <f>CHOOSE(MATCH(IF($U188="","Основний",$U188),{"Трафіковий","Основний","Маржинальний","Сезонний","Стратегічний"},0),0.18,0.21,0.26,0.25,0.3)</f>
        <v/>
      </c>
      <c r="AB188" s="104">
        <f>CHOOSE(MATCH(IF($U188="","Основний",$U188),{"Трафіковий","Основний","Маржинальний","Сезонний","Стратегічний"},0),0.19,0.22,0.28,0.26,0.32)</f>
        <v/>
      </c>
      <c r="AC188" s="104">
        <f>CHOOSE(MATCH(IF($U188="","Основний",$U188),{"Трафіковий","Основний","Маржинальний","Сезонний","Стратегічний"},0),0.17,0.2,0.25,0.24,0.28)</f>
        <v/>
      </c>
      <c r="AD188" s="104">
        <f>CHOOSE(MATCH(IF($U188="","Основний",$U188),{"Трафіковий","Основний","Маржинальний","Сезонний","Стратегічний"},0),0.18,0.21,0.26,0.25,0.3)</f>
        <v/>
      </c>
      <c r="AE188" s="104">
        <f>CHOOSE(MATCH(IF($U188="","Основний",$U188),{"Трафіковий","Основний","Маржинальний","Сезонний","Стратегічний"},0),0.18,0.2,0.28,0.27,0.32)</f>
        <v/>
      </c>
      <c r="AF188" s="104">
        <f>CHOOSE(MATCH(IF($U188="","Основний",$U188),{"Трафіковий","Основний","Маржинальний","Сезонний","Стратегічний"},0),0.15,0.175,0.22,0.21,0.25)</f>
        <v/>
      </c>
      <c r="AG188" s="104">
        <f>CHOOSE(MATCH(IF($U188="","Основний",$U188),{"Трафіковий","Основний","Маржинальний","Сезонний","Стратегічний"},0),0.13,0.16,0.21,0.2,0.25)</f>
        <v/>
      </c>
      <c r="AH188" s="104">
        <f>CHOOSE(MATCH(IF($U188="","Основний",$U188),{"Трафіковий","Основний","Маржинальний","Сезонний","Стратегічний"},0),0.15,0.18,0.23,0.22,0.27)</f>
        <v/>
      </c>
      <c r="AI188" s="104">
        <f>CHOOSE(MATCH(IF($U188="","Основний",$U188),{"Трафіковий","Основний","Маржинальний","Сезонний","Стратегічний"},0),0.16,0.19,0.25,0.23,0.29)</f>
        <v/>
      </c>
      <c r="AJ188" s="104">
        <f>CHOOSE(MATCH(IF($U188="","Основний",$U188),{"Трафіковий","Основний","Маржинальний","Сезонний","Стратегічний"},0),0.14,0.17,0.22,0.21,0.25)</f>
        <v/>
      </c>
      <c r="AK188" s="104">
        <f>CHOOSE(MATCH(IF($U188="","Основний",$U188),{"Трафіковий","Основний","Маржинальний","Сезонний","Стратегічний"},0),0.15,0.18,0.23,0.22,0.27)</f>
        <v/>
      </c>
      <c r="AL188" s="104">
        <f>CHOOSE(MATCH(IF($U188="","Основний",$U188),{"Трафіковий","Основний","Маржинальний","Сезонний","Стратегічний"},0),0.15,0.17,0.25,0.24,0.29)</f>
        <v/>
      </c>
      <c r="AM188" s="104">
        <f>CHOOSE(MATCH(IF($U188="","Основний",$U188),{"Трафіковий","Основний","Маржинальний","Сезонний","Стратегічний"},0),0.12,0.145,0.19,0.18,0.22)</f>
        <v/>
      </c>
      <c r="AN188" s="157">
        <f>CHOOSE(MATCH(IF($U188="","Основний",$U188),{"Трафіковий","Основний","Маржинальний","Сезонний","Стратегічний"},0),Settings!$B$78,Settings!$B$80,Settings!$B$82,Settings!$B$84,Settings!$B$86)</f>
        <v/>
      </c>
      <c r="AO188" s="157">
        <f>CHOOSE(MATCH(IF($U188="","Основний",$U188),{"Трафіковий","Основний","Маржинальний","Сезонний","Стратегічний"},0),Settings!$C$78,Settings!$C$80,Settings!$C$82,Settings!$C$84,Settings!$C$86)</f>
        <v/>
      </c>
      <c r="AP188" s="157">
        <f>CHOOSE(MATCH(IF($U188="","Основний",$U188),{"Трафіковий","Основний","Маржинальний","Сезонний","Стратегічний"},0),Settings!$D$78,Settings!$D$80,Settings!$D$82,Settings!$D$84,Settings!$D$86)</f>
        <v/>
      </c>
      <c r="AQ188" s="157">
        <f>CHOOSE(MATCH(IF($U188="","Основний",$U188),{"Трафіковий","Основний","Маржинальний","Сезонний","Стратегічний"},0),Settings!$F$78,Settings!$F$80,Settings!$F$82,Settings!$F$84,Settings!$F$86)</f>
        <v/>
      </c>
      <c r="AR188" s="157">
        <f>CHOOSE(MATCH(IF($U188="","Основний",$U188),{"Трафіковий","Основний","Маржинальний","Сезонний","Стратегічний"},0),Settings!$G$78,Settings!$G$80,Settings!$G$82,Settings!$G$84,Settings!$G$86)</f>
        <v/>
      </c>
      <c r="AS188" s="157">
        <f>CHOOSE(MATCH(IF($U188="","Основний",$U188),{"Трафіковий","Основний","Маржинальний","Сезонний","Стратегічний"},0),Settings!$H$78,Settings!$H$80,Settings!$H$82,Settings!$H$84,Settings!$H$86)</f>
        <v/>
      </c>
      <c r="AT188" s="157">
        <f>CHOOSE(MATCH(IF($U188="","Основний",$U188),{"Трафіковий","Основний","Маржинальний","Сезонний","Стратегічний"},0),Settings!$I$78,Settings!$I$80,Settings!$I$82,Settings!$I$84,Settings!$I$86)</f>
        <v/>
      </c>
      <c r="AU188" s="171" t="n"/>
      <c r="AV188" t="n">
        <v>1.35</v>
      </c>
    </row>
    <row r="189">
      <c r="A189" s="33" t="n"/>
      <c r="B189" s="34" t="inlineStr">
        <is>
          <t>ZN1112</t>
        </is>
      </c>
      <c r="C189" s="34" t="inlineStr">
        <is>
          <t>EXIT DIFFUSER FOR EMERGENCY BULKHEAD NESSI</t>
        </is>
      </c>
      <c r="D189" s="34" t="inlineStr">
        <is>
          <t>Світильники аварійні</t>
        </is>
      </c>
      <c r="E189" s="33" t="inlineStr">
        <is>
          <t>PC</t>
        </is>
      </c>
      <c r="F189" s="94" t="n">
        <v>6.293</v>
      </c>
      <c r="G189" s="35" t="n">
        <v>9405920090</v>
      </c>
      <c r="H189" s="31" t="n">
        <v>1.4</v>
      </c>
      <c r="I189" s="84">
        <f>IFERROR(F189*Settings!$B$2*H189*IF(AND(ISNUMBER(E189),E189&gt;1),E189,1),"")</f>
        <v/>
      </c>
      <c r="J189" s="32">
        <f>Settings!$B$66</f>
        <v/>
      </c>
      <c r="K189" s="95">
        <f>IFERROR(IF(T189="","",(T189*(1-AN189)*(1-Settings!$B$17)-I189)/(T189*(1-AN189)*(1-Settings!$B$17))),"")</f>
        <v/>
      </c>
      <c r="L189" s="101">
        <f>IFERROR(IF(T189="","",(T189*(1-AO189)*(1-Settings!$C$17)-I189)/(T189*(1-AO189)*(1-Settings!$C$17))),"")</f>
        <v/>
      </c>
      <c r="M189" s="101">
        <f>IFERROR(IF(T189="","",(T189*(1-AP189)*(1-Settings!$D$17)-I189)/(T189*(1-AP189)*(1-Settings!$D$17))),"")</f>
        <v/>
      </c>
      <c r="N189" s="101">
        <f>IFERROR(IF(T189="","",(T189*(1-AQ189)*(1-Settings!$F$17)-I189)/(T189*(1-AQ189)*(1-Settings!$F$17))),"")</f>
        <v/>
      </c>
      <c r="O189" s="101">
        <f>IFERROR(IF(T189="","",(T189*(1-AR189)*(1-Settings!$G$17)-I189)/(T189*(1-AR189)*(1-Settings!$G$17))),"")</f>
        <v/>
      </c>
      <c r="P189" s="101">
        <f>IFERROR(IF(T189="","",(T189*(1-AS189)*(1-Settings!$H$17)-I189)/(T189*(1-AS189)*(1-Settings!$H$17))),"")</f>
        <v/>
      </c>
      <c r="Q189" s="101">
        <f>IFERROR(IF(T189="","",(T189*(1-AT189)*(1-Settings!$I$68)*(1-Settings!$I$17)-I189)/(T189*(1-AT189)*(1-Settings!$I$68)*(1-Settings!$I$17))),"")</f>
        <v/>
      </c>
      <c r="R189" s="91">
        <f>IFERROR(IF(OR(I189="",Z189&gt;=1,Settings!$B$17&gt;=1,AN189&gt;=1),"",IF(MOD(ROUND(I189/(1-Z189)/(1-Settings!$B$17)/(1-AN189),0),10)=0,ROUND(I189/(1-Z189)/(1-Settings!$B$17)/(1-AN189),0)-1,IF(MOD(ROUND(I189/(1-Z189)/(1-Settings!$B$17)/(1-AN189),0),10)&lt;=5,FLOOR(ROUND(I189/(1-Z189)/(1-Settings!$B$17)/(1-AN189),0),10)+6,FLOOR(ROUND(I189/(1-Z189)/(1-Settings!$B$17)/(1-AN189),0),10)+9))),"")</f>
        <v/>
      </c>
      <c r="S189" s="92" t="n">
        <v>800</v>
      </c>
      <c r="T189" s="91">
        <f>IF(S189&lt;&gt;"", IF(MOD(S189,10)=0,S189-1,IF(MOD(S189,10)&lt;=5,FLOOR(S189,10)+6,FLOOR(S189,10)+9)), R189)</f>
        <v/>
      </c>
      <c r="U189" s="87" t="inlineStr">
        <is>
          <t>Основний</t>
        </is>
      </c>
      <c r="V189" s="88" t="n"/>
      <c r="W189" s="88" t="n"/>
      <c r="X189" s="89">
        <f>IFERROR(IF(OR(V189="",W189="",T189=""),"", IF(T189&gt;W189,"Дорогий",IF(T189&lt;V189,"Дешевий","У ринку"))),"")</f>
        <v/>
      </c>
      <c r="Y189" s="90" t="n"/>
      <c r="Z189" s="104">
        <f>CHOOSE(MATCH(IF($U189="","Основний",$U189),{"Трафіковий","Основний","Маржинальний","Сезонний","Стратегічний"},0),0.16,0.19,0.24,0.23,0.28)</f>
        <v/>
      </c>
      <c r="AA189" s="104">
        <f>CHOOSE(MATCH(IF($U189="","Основний",$U189),{"Трафіковий","Основний","Маржинальний","Сезонний","Стратегічний"},0),0.18,0.21,0.26,0.25,0.3)</f>
        <v/>
      </c>
      <c r="AB189" s="104">
        <f>CHOOSE(MATCH(IF($U189="","Основний",$U189),{"Трафіковий","Основний","Маржинальний","Сезонний","Стратегічний"},0),0.19,0.22,0.28,0.26,0.32)</f>
        <v/>
      </c>
      <c r="AC189" s="104">
        <f>CHOOSE(MATCH(IF($U189="","Основний",$U189),{"Трафіковий","Основний","Маржинальний","Сезонний","Стратегічний"},0),0.17,0.2,0.25,0.24,0.28)</f>
        <v/>
      </c>
      <c r="AD189" s="104">
        <f>CHOOSE(MATCH(IF($U189="","Основний",$U189),{"Трафіковий","Основний","Маржинальний","Сезонний","Стратегічний"},0),0.18,0.21,0.26,0.25,0.3)</f>
        <v/>
      </c>
      <c r="AE189" s="104">
        <f>CHOOSE(MATCH(IF($U189="","Основний",$U189),{"Трафіковий","Основний","Маржинальний","Сезонний","Стратегічний"},0),0.18,0.2,0.28,0.27,0.32)</f>
        <v/>
      </c>
      <c r="AF189" s="104">
        <f>CHOOSE(MATCH(IF($U189="","Основний",$U189),{"Трафіковий","Основний","Маржинальний","Сезонний","Стратегічний"},0),0.15,0.175,0.22,0.21,0.25)</f>
        <v/>
      </c>
      <c r="AG189" s="104">
        <f>CHOOSE(MATCH(IF($U189="","Основний",$U189),{"Трафіковий","Основний","Маржинальний","Сезонний","Стратегічний"},0),0.13,0.16,0.21,0.2,0.25)</f>
        <v/>
      </c>
      <c r="AH189" s="104">
        <f>CHOOSE(MATCH(IF($U189="","Основний",$U189),{"Трафіковий","Основний","Маржинальний","Сезонний","Стратегічний"},0),0.15,0.18,0.23,0.22,0.27)</f>
        <v/>
      </c>
      <c r="AI189" s="104">
        <f>CHOOSE(MATCH(IF($U189="","Основний",$U189),{"Трафіковий","Основний","Маржинальний","Сезонний","Стратегічний"},0),0.16,0.19,0.25,0.23,0.29)</f>
        <v/>
      </c>
      <c r="AJ189" s="104">
        <f>CHOOSE(MATCH(IF($U189="","Основний",$U189),{"Трафіковий","Основний","Маржинальний","Сезонний","Стратегічний"},0),0.14,0.17,0.22,0.21,0.25)</f>
        <v/>
      </c>
      <c r="AK189" s="104">
        <f>CHOOSE(MATCH(IF($U189="","Основний",$U189),{"Трафіковий","Основний","Маржинальний","Сезонний","Стратегічний"},0),0.15,0.18,0.23,0.22,0.27)</f>
        <v/>
      </c>
      <c r="AL189" s="104">
        <f>CHOOSE(MATCH(IF($U189="","Основний",$U189),{"Трафіковий","Основний","Маржинальний","Сезонний","Стратегічний"},0),0.15,0.17,0.25,0.24,0.29)</f>
        <v/>
      </c>
      <c r="AM189" s="104">
        <f>CHOOSE(MATCH(IF($U189="","Основний",$U189),{"Трафіковий","Основний","Маржинальний","Сезонний","Стратегічний"},0),0.12,0.145,0.19,0.18,0.22)</f>
        <v/>
      </c>
      <c r="AN189" s="157">
        <f>CHOOSE(MATCH(IF($U189="","Основний",$U189),{"Трафіковий","Основний","Маржинальний","Сезонний","Стратегічний"},0),Settings!$B$78,Settings!$B$80,Settings!$B$82,Settings!$B$84,Settings!$B$86)</f>
        <v/>
      </c>
      <c r="AO189" s="157">
        <f>CHOOSE(MATCH(IF($U189="","Основний",$U189),{"Трафіковий","Основний","Маржинальний","Сезонний","Стратегічний"},0),Settings!$C$78,Settings!$C$80,Settings!$C$82,Settings!$C$84,Settings!$C$86)</f>
        <v/>
      </c>
      <c r="AP189" s="157">
        <f>CHOOSE(MATCH(IF($U189="","Основний",$U189),{"Трафіковий","Основний","Маржинальний","Сезонний","Стратегічний"},0),Settings!$D$78,Settings!$D$80,Settings!$D$82,Settings!$D$84,Settings!$D$86)</f>
        <v/>
      </c>
      <c r="AQ189" s="157">
        <f>CHOOSE(MATCH(IF($U189="","Основний",$U189),{"Трафіковий","Основний","Маржинальний","Сезонний","Стратегічний"},0),Settings!$F$78,Settings!$F$80,Settings!$F$82,Settings!$F$84,Settings!$F$86)</f>
        <v/>
      </c>
      <c r="AR189" s="157">
        <f>CHOOSE(MATCH(IF($U189="","Основний",$U189),{"Трафіковий","Основний","Маржинальний","Сезонний","Стратегічний"},0),Settings!$G$78,Settings!$G$80,Settings!$G$82,Settings!$G$84,Settings!$G$86)</f>
        <v/>
      </c>
      <c r="AS189" s="157">
        <f>CHOOSE(MATCH(IF($U189="","Основний",$U189),{"Трафіковий","Основний","Маржинальний","Сезонний","Стратегічний"},0),Settings!$H$78,Settings!$H$80,Settings!$H$82,Settings!$H$84,Settings!$H$86)</f>
        <v/>
      </c>
      <c r="AT189" s="157">
        <f>CHOOSE(MATCH(IF($U189="","Основний",$U189),{"Трафіковий","Основний","Маржинальний","Сезонний","Стратегічний"},0),Settings!$I$78,Settings!$I$80,Settings!$I$82,Settings!$I$84,Settings!$I$86)</f>
        <v/>
      </c>
      <c r="AU189" s="171" t="n"/>
      <c r="AV189" t="n">
        <v>1.35</v>
      </c>
    </row>
    <row r="190">
      <c r="A190" s="28" t="n"/>
      <c r="B190" s="29" t="inlineStr">
        <is>
          <t>ZN1310</t>
        </is>
      </c>
      <c r="C190" s="29" t="inlineStr">
        <is>
          <t>EMERGENCY DOWNLIGHT ORSU 3W 240LM 3H</t>
        </is>
      </c>
      <c r="D190" s="29" t="inlineStr">
        <is>
          <t>Світильники аварійні</t>
        </is>
      </c>
      <c r="E190" s="28" t="inlineStr">
        <is>
          <t>PC</t>
        </is>
      </c>
      <c r="F190" s="93" t="n">
        <v>22.638</v>
      </c>
      <c r="G190" s="30" t="n">
        <v>9405114090</v>
      </c>
      <c r="H190" s="31" t="n">
        <v>1.35</v>
      </c>
      <c r="I190" s="84">
        <f>IFERROR(F190*Settings!$B$2*H190*IF(AND(ISNUMBER(E190),E190&gt;1),E190,1),"")</f>
        <v/>
      </c>
      <c r="J190" s="32">
        <f>Settings!$B$66</f>
        <v/>
      </c>
      <c r="K190" s="95">
        <f>IFERROR(IF(T190="","",(T190*(1-AN190)*(1-Settings!$B$17)-I190)/(T190*(1-AN190)*(1-Settings!$B$17))),"")</f>
        <v/>
      </c>
      <c r="L190" s="101">
        <f>IFERROR(IF(T190="","",(T190*(1-AO190)*(1-Settings!$C$17)-I190)/(T190*(1-AO190)*(1-Settings!$C$17))),"")</f>
        <v/>
      </c>
      <c r="M190" s="101">
        <f>IFERROR(IF(T190="","",(T190*(1-AP190)*(1-Settings!$D$17)-I190)/(T190*(1-AP190)*(1-Settings!$D$17))),"")</f>
        <v/>
      </c>
      <c r="N190" s="101">
        <f>IFERROR(IF(T190="","",(T190*(1-AQ190)*(1-Settings!$F$17)-I190)/(T190*(1-AQ190)*(1-Settings!$F$17))),"")</f>
        <v/>
      </c>
      <c r="O190" s="101">
        <f>IFERROR(IF(T190="","",(T190*(1-AR190)*(1-Settings!$G$17)-I190)/(T190*(1-AR190)*(1-Settings!$G$17))),"")</f>
        <v/>
      </c>
      <c r="P190" s="101">
        <f>IFERROR(IF(T190="","",(T190*(1-AS190)*(1-Settings!$H$17)-I190)/(T190*(1-AS190)*(1-Settings!$H$17))),"")</f>
        <v/>
      </c>
      <c r="Q190" s="101">
        <f>IFERROR(IF(T190="","",(T190*(1-AT190)*(1-Settings!$I$68)*(1-Settings!$I$17)-I190)/(T190*(1-AT190)*(1-Settings!$I$68)*(1-Settings!$I$17))),"")</f>
        <v/>
      </c>
      <c r="R190" s="91">
        <f>IFERROR(IF(OR(I190="",Z190&gt;=1,Settings!$B$17&gt;=1,AN190&gt;=1),"",IF(MOD(ROUND(I190/(1-Z190)/(1-Settings!$B$17)/(1-AN190),0),10)=0,ROUND(I190/(1-Z190)/(1-Settings!$B$17)/(1-AN190),0)-1,IF(MOD(ROUND(I190/(1-Z190)/(1-Settings!$B$17)/(1-AN190),0),10)&lt;=5,FLOOR(ROUND(I190/(1-Z190)/(1-Settings!$B$17)/(1-AN190),0),10)+6,FLOOR(ROUND(I190/(1-Z190)/(1-Settings!$B$17)/(1-AN190),0),10)+9))),"")</f>
        <v/>
      </c>
      <c r="S190" s="92" t="n">
        <v>2800</v>
      </c>
      <c r="T190" s="91">
        <f>IF(S190&lt;&gt;"", IF(MOD(S190,10)=0,S190-1,IF(MOD(S190,10)&lt;=5,FLOOR(S190,10)+6,FLOOR(S190,10)+9)), R190)</f>
        <v/>
      </c>
      <c r="U190" s="87" t="inlineStr">
        <is>
          <t>Основний</t>
        </is>
      </c>
      <c r="V190" s="88" t="n"/>
      <c r="W190" s="88" t="n"/>
      <c r="X190" s="89">
        <f>IFERROR(IF(OR(V190="",W190="",T190=""),"", IF(T190&gt;W190,"Дорогий",IF(T190&lt;V190,"Дешевий","У ринку"))),"")</f>
        <v/>
      </c>
      <c r="Y190" s="90" t="n"/>
      <c r="Z190" s="104">
        <f>CHOOSE(MATCH(IF($U190="","Основний",$U190),{"Трафіковий","Основний","Маржинальний","Сезонний","Стратегічний"},0),0.16,0.19,0.24,0.23,0.28)</f>
        <v/>
      </c>
      <c r="AA190" s="104">
        <f>CHOOSE(MATCH(IF($U190="","Основний",$U190),{"Трафіковий","Основний","Маржинальний","Сезонний","Стратегічний"},0),0.18,0.21,0.26,0.25,0.3)</f>
        <v/>
      </c>
      <c r="AB190" s="104">
        <f>CHOOSE(MATCH(IF($U190="","Основний",$U190),{"Трафіковий","Основний","Маржинальний","Сезонний","Стратегічний"},0),0.19,0.22,0.28,0.26,0.32)</f>
        <v/>
      </c>
      <c r="AC190" s="104">
        <f>CHOOSE(MATCH(IF($U190="","Основний",$U190),{"Трафіковий","Основний","Маржинальний","Сезонний","Стратегічний"},0),0.17,0.2,0.25,0.24,0.28)</f>
        <v/>
      </c>
      <c r="AD190" s="104">
        <f>CHOOSE(MATCH(IF($U190="","Основний",$U190),{"Трафіковий","Основний","Маржинальний","Сезонний","Стратегічний"},0),0.18,0.21,0.26,0.25,0.3)</f>
        <v/>
      </c>
      <c r="AE190" s="104">
        <f>CHOOSE(MATCH(IF($U190="","Основний",$U190),{"Трафіковий","Основний","Маржинальний","Сезонний","Стратегічний"},0),0.18,0.2,0.28,0.27,0.32)</f>
        <v/>
      </c>
      <c r="AF190" s="104">
        <f>CHOOSE(MATCH(IF($U190="","Основний",$U190),{"Трафіковий","Основний","Маржинальний","Сезонний","Стратегічний"},0),0.15,0.175,0.22,0.21,0.25)</f>
        <v/>
      </c>
      <c r="AG190" s="104">
        <f>CHOOSE(MATCH(IF($U190="","Основний",$U190),{"Трафіковий","Основний","Маржинальний","Сезонний","Стратегічний"},0),0.13,0.16,0.21,0.2,0.25)</f>
        <v/>
      </c>
      <c r="AH190" s="104">
        <f>CHOOSE(MATCH(IF($U190="","Основний",$U190),{"Трафіковий","Основний","Маржинальний","Сезонний","Стратегічний"},0),0.15,0.18,0.23,0.22,0.27)</f>
        <v/>
      </c>
      <c r="AI190" s="104">
        <f>CHOOSE(MATCH(IF($U190="","Основний",$U190),{"Трафіковий","Основний","Маржинальний","Сезонний","Стратегічний"},0),0.16,0.19,0.25,0.23,0.29)</f>
        <v/>
      </c>
      <c r="AJ190" s="104">
        <f>CHOOSE(MATCH(IF($U190="","Основний",$U190),{"Трафіковий","Основний","Маржинальний","Сезонний","Стратегічний"},0),0.14,0.17,0.22,0.21,0.25)</f>
        <v/>
      </c>
      <c r="AK190" s="104">
        <f>CHOOSE(MATCH(IF($U190="","Основний",$U190),{"Трафіковий","Основний","Маржинальний","Сезонний","Стратегічний"},0),0.15,0.18,0.23,0.22,0.27)</f>
        <v/>
      </c>
      <c r="AL190" s="104">
        <f>CHOOSE(MATCH(IF($U190="","Основний",$U190),{"Трафіковий","Основний","Маржинальний","Сезонний","Стратегічний"},0),0.15,0.17,0.25,0.24,0.29)</f>
        <v/>
      </c>
      <c r="AM190" s="104">
        <f>CHOOSE(MATCH(IF($U190="","Основний",$U190),{"Трафіковий","Основний","Маржинальний","Сезонний","Стратегічний"},0),0.12,0.145,0.19,0.18,0.22)</f>
        <v/>
      </c>
      <c r="AN190" s="157">
        <f>CHOOSE(MATCH(IF($U190="","Основний",$U190),{"Трафіковий","Основний","Маржинальний","Сезонний","Стратегічний"},0),Settings!$B$78,Settings!$B$80,Settings!$B$82,Settings!$B$84,Settings!$B$86)</f>
        <v/>
      </c>
      <c r="AO190" s="157">
        <f>CHOOSE(MATCH(IF($U190="","Основний",$U190),{"Трафіковий","Основний","Маржинальний","Сезонний","Стратегічний"},0),Settings!$C$78,Settings!$C$80,Settings!$C$82,Settings!$C$84,Settings!$C$86)</f>
        <v/>
      </c>
      <c r="AP190" s="157">
        <f>CHOOSE(MATCH(IF($U190="","Основний",$U190),{"Трафіковий","Основний","Маржинальний","Сезонний","Стратегічний"},0),Settings!$D$78,Settings!$D$80,Settings!$D$82,Settings!$D$84,Settings!$D$86)</f>
        <v/>
      </c>
      <c r="AQ190" s="157">
        <f>CHOOSE(MATCH(IF($U190="","Основний",$U190),{"Трафіковий","Основний","Маржинальний","Сезонний","Стратегічний"},0),Settings!$F$78,Settings!$F$80,Settings!$F$82,Settings!$F$84,Settings!$F$86)</f>
        <v/>
      </c>
      <c r="AR190" s="157">
        <f>CHOOSE(MATCH(IF($U190="","Основний",$U190),{"Трафіковий","Основний","Маржинальний","Сезонний","Стратегічний"},0),Settings!$G$78,Settings!$G$80,Settings!$G$82,Settings!$G$84,Settings!$G$86)</f>
        <v/>
      </c>
      <c r="AS190" s="157">
        <f>CHOOSE(MATCH(IF($U190="","Основний",$U190),{"Трафіковий","Основний","Маржинальний","Сезонний","Стратегічний"},0),Settings!$H$78,Settings!$H$80,Settings!$H$82,Settings!$H$84,Settings!$H$86)</f>
        <v/>
      </c>
      <c r="AT190" s="157">
        <f>CHOOSE(MATCH(IF($U190="","Основний",$U190),{"Трафіковий","Основний","Маржинальний","Сезонний","Стратегічний"},0),Settings!$I$78,Settings!$I$80,Settings!$I$82,Settings!$I$84,Settings!$I$86)</f>
        <v/>
      </c>
      <c r="AU190" s="171" t="n"/>
      <c r="AV190" t="n">
        <v>1.35</v>
      </c>
    </row>
    <row r="191">
      <c r="A191" s="33" t="inlineStr">
        <is>
          <t>NEW</t>
        </is>
      </c>
      <c r="B191" s="34" t="inlineStr">
        <is>
          <t>ZN1120</t>
        </is>
      </c>
      <c r="C191" s="34" t="inlineStr">
        <is>
          <t>LED EMERGENCY BULKHEAD NESSI 10W 3h IP66</t>
        </is>
      </c>
      <c r="D191" s="34" t="inlineStr">
        <is>
          <t>Світильники аварійні</t>
        </is>
      </c>
      <c r="E191" s="33" t="inlineStr">
        <is>
          <t>PC</t>
        </is>
      </c>
      <c r="F191" s="94" t="n">
        <v>32.703</v>
      </c>
      <c r="G191" s="35" t="n">
        <v>9405114090</v>
      </c>
      <c r="H191" s="31" t="n">
        <v>1.35</v>
      </c>
      <c r="I191" s="84">
        <f>IFERROR(F191*Settings!$B$2*H191*IF(AND(ISNUMBER(E191),E191&gt;1),E191,1),"")</f>
        <v/>
      </c>
      <c r="J191" s="32">
        <f>Settings!$B$66</f>
        <v/>
      </c>
      <c r="K191" s="95">
        <f>IFERROR(IF(T191="","",(T191*(1-AN191)*(1-Settings!$B$17)-I191)/(T191*(1-AN191)*(1-Settings!$B$17))),"")</f>
        <v/>
      </c>
      <c r="L191" s="101">
        <f>IFERROR(IF(T191="","",(T191*(1-AO191)*(1-Settings!$C$17)-I191)/(T191*(1-AO191)*(1-Settings!$C$17))),"")</f>
        <v/>
      </c>
      <c r="M191" s="101">
        <f>IFERROR(IF(T191="","",(T191*(1-AP191)*(1-Settings!$D$17)-I191)/(T191*(1-AP191)*(1-Settings!$D$17))),"")</f>
        <v/>
      </c>
      <c r="N191" s="101">
        <f>IFERROR(IF(T191="","",(T191*(1-AQ191)*(1-Settings!$F$17)-I191)/(T191*(1-AQ191)*(1-Settings!$F$17))),"")</f>
        <v/>
      </c>
      <c r="O191" s="101">
        <f>IFERROR(IF(T191="","",(T191*(1-AR191)*(1-Settings!$G$17)-I191)/(T191*(1-AR191)*(1-Settings!$G$17))),"")</f>
        <v/>
      </c>
      <c r="P191" s="101">
        <f>IFERROR(IF(T191="","",(T191*(1-AS191)*(1-Settings!$H$17)-I191)/(T191*(1-AS191)*(1-Settings!$H$17))),"")</f>
        <v/>
      </c>
      <c r="Q191" s="101">
        <f>IFERROR(IF(T191="","",(T191*(1-AT191)*(1-Settings!$I$68)*(1-Settings!$I$17)-I191)/(T191*(1-AT191)*(1-Settings!$I$68)*(1-Settings!$I$17))),"")</f>
        <v/>
      </c>
      <c r="R191" s="91">
        <f>IFERROR(IF(OR(I191="",Z191&gt;=1,Settings!$B$17&gt;=1,AN191&gt;=1),"",IF(MOD(ROUND(I191/(1-Z191)/(1-Settings!$B$17)/(1-AN191),0),10)=0,ROUND(I191/(1-Z191)/(1-Settings!$B$17)/(1-AN191),0)-1,IF(MOD(ROUND(I191/(1-Z191)/(1-Settings!$B$17)/(1-AN191),0),10)&lt;=5,FLOOR(ROUND(I191/(1-Z191)/(1-Settings!$B$17)/(1-AN191),0),10)+6,FLOOR(ROUND(I191/(1-Z191)/(1-Settings!$B$17)/(1-AN191),0),10)+9))),"")</f>
        <v/>
      </c>
      <c r="S191" s="92" t="n"/>
      <c r="T191" s="91">
        <f>IF(S191&lt;&gt;"", IF(MOD(S191,10)=0,S191-1,IF(MOD(S191,10)&lt;=5,FLOOR(S191,10)+6,FLOOR(S191,10)+9)), R191)</f>
        <v/>
      </c>
      <c r="U191" s="87" t="inlineStr">
        <is>
          <t>Основний</t>
        </is>
      </c>
      <c r="V191" s="88" t="n"/>
      <c r="W191" s="88" t="n"/>
      <c r="X191" s="89">
        <f>IFERROR(IF(OR(V191="",W191="",T191=""),"", IF(T191&gt;W191,"Дорогий",IF(T191&lt;V191,"Дешевий","У ринку"))),"")</f>
        <v/>
      </c>
      <c r="Y191" s="90" t="n"/>
      <c r="Z191" s="104">
        <f>CHOOSE(MATCH(IF($U191="","Основний",$U191),{"Трафіковий","Основний","Маржинальний","Сезонний","Стратегічний"},0),0.16,0.19,0.24,0.23,0.28)</f>
        <v/>
      </c>
      <c r="AA191" s="104">
        <f>CHOOSE(MATCH(IF($U191="","Основний",$U191),{"Трафіковий","Основний","Маржинальний","Сезонний","Стратегічний"},0),0.18,0.21,0.26,0.25,0.3)</f>
        <v/>
      </c>
      <c r="AB191" s="104">
        <f>CHOOSE(MATCH(IF($U191="","Основний",$U191),{"Трафіковий","Основний","Маржинальний","Сезонний","Стратегічний"},0),0.19,0.22,0.28,0.26,0.32)</f>
        <v/>
      </c>
      <c r="AC191" s="104">
        <f>CHOOSE(MATCH(IF($U191="","Основний",$U191),{"Трафіковий","Основний","Маржинальний","Сезонний","Стратегічний"},0),0.17,0.2,0.25,0.24,0.28)</f>
        <v/>
      </c>
      <c r="AD191" s="104">
        <f>CHOOSE(MATCH(IF($U191="","Основний",$U191),{"Трафіковий","Основний","Маржинальний","Сезонний","Стратегічний"},0),0.18,0.21,0.26,0.25,0.3)</f>
        <v/>
      </c>
      <c r="AE191" s="104">
        <f>CHOOSE(MATCH(IF($U191="","Основний",$U191),{"Трафіковий","Основний","Маржинальний","Сезонний","Стратегічний"},0),0.18,0.2,0.28,0.27,0.32)</f>
        <v/>
      </c>
      <c r="AF191" s="104">
        <f>CHOOSE(MATCH(IF($U191="","Основний",$U191),{"Трафіковий","Основний","Маржинальний","Сезонний","Стратегічний"},0),0.15,0.175,0.22,0.21,0.25)</f>
        <v/>
      </c>
      <c r="AG191" s="104">
        <f>CHOOSE(MATCH(IF($U191="","Основний",$U191),{"Трафіковий","Основний","Маржинальний","Сезонний","Стратегічний"},0),0.13,0.16,0.21,0.2,0.25)</f>
        <v/>
      </c>
      <c r="AH191" s="104">
        <f>CHOOSE(MATCH(IF($U191="","Основний",$U191),{"Трафіковий","Основний","Маржинальний","Сезонний","Стратегічний"},0),0.15,0.18,0.23,0.22,0.27)</f>
        <v/>
      </c>
      <c r="AI191" s="104">
        <f>CHOOSE(MATCH(IF($U191="","Основний",$U191),{"Трафіковий","Основний","Маржинальний","Сезонний","Стратегічний"},0),0.16,0.19,0.25,0.23,0.29)</f>
        <v/>
      </c>
      <c r="AJ191" s="104">
        <f>CHOOSE(MATCH(IF($U191="","Основний",$U191),{"Трафіковий","Основний","Маржинальний","Сезонний","Стратегічний"},0),0.14,0.17,0.22,0.21,0.25)</f>
        <v/>
      </c>
      <c r="AK191" s="104">
        <f>CHOOSE(MATCH(IF($U191="","Основний",$U191),{"Трафіковий","Основний","Маржинальний","Сезонний","Стратегічний"},0),0.15,0.18,0.23,0.22,0.27)</f>
        <v/>
      </c>
      <c r="AL191" s="104">
        <f>CHOOSE(MATCH(IF($U191="","Основний",$U191),{"Трафіковий","Основний","Маржинальний","Сезонний","Стратегічний"},0),0.15,0.17,0.25,0.24,0.29)</f>
        <v/>
      </c>
      <c r="AM191" s="104">
        <f>CHOOSE(MATCH(IF($U191="","Основний",$U191),{"Трафіковий","Основний","Маржинальний","Сезонний","Стратегічний"},0),0.12,0.145,0.19,0.18,0.22)</f>
        <v/>
      </c>
      <c r="AN191" s="157">
        <f>CHOOSE(MATCH(IF($U191="","Основний",$U191),{"Трафіковий","Основний","Маржинальний","Сезонний","Стратегічний"},0),Settings!$B$78,Settings!$B$80,Settings!$B$82,Settings!$B$84,Settings!$B$86)</f>
        <v/>
      </c>
      <c r="AO191" s="157">
        <f>CHOOSE(MATCH(IF($U191="","Основний",$U191),{"Трафіковий","Основний","Маржинальний","Сезонний","Стратегічний"},0),Settings!$C$78,Settings!$C$80,Settings!$C$82,Settings!$C$84,Settings!$C$86)</f>
        <v/>
      </c>
      <c r="AP191" s="157">
        <f>CHOOSE(MATCH(IF($U191="","Основний",$U191),{"Трафіковий","Основний","Маржинальний","Сезонний","Стратегічний"},0),Settings!$D$78,Settings!$D$80,Settings!$D$82,Settings!$D$84,Settings!$D$86)</f>
        <v/>
      </c>
      <c r="AQ191" s="157">
        <f>CHOOSE(MATCH(IF($U191="","Основний",$U191),{"Трафіковий","Основний","Маржинальний","Сезонний","Стратегічний"},0),Settings!$F$78,Settings!$F$80,Settings!$F$82,Settings!$F$84,Settings!$F$86)</f>
        <v/>
      </c>
      <c r="AR191" s="157">
        <f>CHOOSE(MATCH(IF($U191="","Основний",$U191),{"Трафіковий","Основний","Маржинальний","Сезонний","Стратегічний"},0),Settings!$G$78,Settings!$G$80,Settings!$G$82,Settings!$G$84,Settings!$G$86)</f>
        <v/>
      </c>
      <c r="AS191" s="157">
        <f>CHOOSE(MATCH(IF($U191="","Основний",$U191),{"Трафіковий","Основний","Маржинальний","Сезонний","Стратегічний"},0),Settings!$H$78,Settings!$H$80,Settings!$H$82,Settings!$H$84,Settings!$H$86)</f>
        <v/>
      </c>
      <c r="AT191" s="157">
        <f>CHOOSE(MATCH(IF($U191="","Основний",$U191),{"Трафіковий","Основний","Маржинальний","Сезонний","Стратегічний"},0),Settings!$I$78,Settings!$I$80,Settings!$I$82,Settings!$I$84,Settings!$I$86)</f>
        <v/>
      </c>
      <c r="AU191" s="171" t="n"/>
      <c r="AV191" t="n">
        <v>1.35</v>
      </c>
    </row>
    <row r="192">
      <c r="A192" s="28" t="inlineStr">
        <is>
          <t>NEW</t>
        </is>
      </c>
      <c r="B192" s="29" t="inlineStr">
        <is>
          <t>ZN1320</t>
        </is>
      </c>
      <c r="C192" s="29" t="inlineStr">
        <is>
          <t>EMERGENCY DOWNLIGHT ORSU 6W 450LM 3H</t>
        </is>
      </c>
      <c r="D192" s="29" t="inlineStr">
        <is>
          <t>Світильники аварійні</t>
        </is>
      </c>
      <c r="E192" s="28" t="inlineStr">
        <is>
          <t>PC</t>
        </is>
      </c>
      <c r="F192" s="93" t="n">
        <v>27.048</v>
      </c>
      <c r="G192" s="30" t="n">
        <v>9405114090</v>
      </c>
      <c r="H192" s="31" t="n">
        <v>1.35</v>
      </c>
      <c r="I192" s="84">
        <f>IFERROR(F192*Settings!$B$2*H192*IF(AND(ISNUMBER(E192),E192&gt;1),E192,1),"")</f>
        <v/>
      </c>
      <c r="J192" s="32">
        <f>Settings!$B$66</f>
        <v/>
      </c>
      <c r="K192" s="95">
        <f>IFERROR(IF(T192="","",(T192*(1-AN192)*(1-Settings!$B$17)-I192)/(T192*(1-AN192)*(1-Settings!$B$17))),"")</f>
        <v/>
      </c>
      <c r="L192" s="101">
        <f>IFERROR(IF(T192="","",(T192*(1-AO192)*(1-Settings!$C$17)-I192)/(T192*(1-AO192)*(1-Settings!$C$17))),"")</f>
        <v/>
      </c>
      <c r="M192" s="101">
        <f>IFERROR(IF(T192="","",(T192*(1-AP192)*(1-Settings!$D$17)-I192)/(T192*(1-AP192)*(1-Settings!$D$17))),"")</f>
        <v/>
      </c>
      <c r="N192" s="101">
        <f>IFERROR(IF(T192="","",(T192*(1-AQ192)*(1-Settings!$F$17)-I192)/(T192*(1-AQ192)*(1-Settings!$F$17))),"")</f>
        <v/>
      </c>
      <c r="O192" s="101">
        <f>IFERROR(IF(T192="","",(T192*(1-AR192)*(1-Settings!$G$17)-I192)/(T192*(1-AR192)*(1-Settings!$G$17))),"")</f>
        <v/>
      </c>
      <c r="P192" s="101">
        <f>IFERROR(IF(T192="","",(T192*(1-AS192)*(1-Settings!$H$17)-I192)/(T192*(1-AS192)*(1-Settings!$H$17))),"")</f>
        <v/>
      </c>
      <c r="Q192" s="101">
        <f>IFERROR(IF(T192="","",(T192*(1-AT192)*(1-Settings!$I$68)*(1-Settings!$I$17)-I192)/(T192*(1-AT192)*(1-Settings!$I$68)*(1-Settings!$I$17))),"")</f>
        <v/>
      </c>
      <c r="R192" s="91">
        <f>IFERROR(IF(OR(I192="",Z192&gt;=1,Settings!$B$17&gt;=1,AN192&gt;=1),"",IF(MOD(ROUND(I192/(1-Z192)/(1-Settings!$B$17)/(1-AN192),0),10)=0,ROUND(I192/(1-Z192)/(1-Settings!$B$17)/(1-AN192),0)-1,IF(MOD(ROUND(I192/(1-Z192)/(1-Settings!$B$17)/(1-AN192),0),10)&lt;=5,FLOOR(ROUND(I192/(1-Z192)/(1-Settings!$B$17)/(1-AN192),0),10)+6,FLOOR(ROUND(I192/(1-Z192)/(1-Settings!$B$17)/(1-AN192),0),10)+9))),"")</f>
        <v/>
      </c>
      <c r="S192" s="92" t="n"/>
      <c r="T192" s="91">
        <f>IF(S192&lt;&gt;"", IF(MOD(S192,10)=0,S192-1,IF(MOD(S192,10)&lt;=5,FLOOR(S192,10)+6,FLOOR(S192,10)+9)), R192)</f>
        <v/>
      </c>
      <c r="U192" s="87" t="inlineStr">
        <is>
          <t>Основний</t>
        </is>
      </c>
      <c r="V192" s="88" t="n"/>
      <c r="W192" s="88" t="n"/>
      <c r="X192" s="89">
        <f>IFERROR(IF(OR(V192="",W192="",T192=""),"", IF(T192&gt;W192,"Дорогий",IF(T192&lt;V192,"Дешевий","У ринку"))),"")</f>
        <v/>
      </c>
      <c r="Y192" s="90" t="n"/>
      <c r="Z192" s="104">
        <f>CHOOSE(MATCH(IF($U192="","Основний",$U192),{"Трафіковий","Основний","Маржинальний","Сезонний","Стратегічний"},0),0.16,0.19,0.24,0.23,0.28)</f>
        <v/>
      </c>
      <c r="AA192" s="104">
        <f>CHOOSE(MATCH(IF($U192="","Основний",$U192),{"Трафіковий","Основний","Маржинальний","Сезонний","Стратегічний"},0),0.18,0.21,0.26,0.25,0.3)</f>
        <v/>
      </c>
      <c r="AB192" s="104">
        <f>CHOOSE(MATCH(IF($U192="","Основний",$U192),{"Трафіковий","Основний","Маржинальний","Сезонний","Стратегічний"},0),0.19,0.22,0.28,0.26,0.32)</f>
        <v/>
      </c>
      <c r="AC192" s="104">
        <f>CHOOSE(MATCH(IF($U192="","Основний",$U192),{"Трафіковий","Основний","Маржинальний","Сезонний","Стратегічний"},0),0.17,0.2,0.25,0.24,0.28)</f>
        <v/>
      </c>
      <c r="AD192" s="104">
        <f>CHOOSE(MATCH(IF($U192="","Основний",$U192),{"Трафіковий","Основний","Маржинальний","Сезонний","Стратегічний"},0),0.18,0.21,0.26,0.25,0.3)</f>
        <v/>
      </c>
      <c r="AE192" s="104">
        <f>CHOOSE(MATCH(IF($U192="","Основний",$U192),{"Трафіковий","Основний","Маржинальний","Сезонний","Стратегічний"},0),0.18,0.2,0.28,0.27,0.32)</f>
        <v/>
      </c>
      <c r="AF192" s="104">
        <f>CHOOSE(MATCH(IF($U192="","Основний",$U192),{"Трафіковий","Основний","Маржинальний","Сезонний","Стратегічний"},0),0.15,0.175,0.22,0.21,0.25)</f>
        <v/>
      </c>
      <c r="AG192" s="104">
        <f>CHOOSE(MATCH(IF($U192="","Основний",$U192),{"Трафіковий","Основний","Маржинальний","Сезонний","Стратегічний"},0),0.13,0.16,0.21,0.2,0.25)</f>
        <v/>
      </c>
      <c r="AH192" s="104">
        <f>CHOOSE(MATCH(IF($U192="","Основний",$U192),{"Трафіковий","Основний","Маржинальний","Сезонний","Стратегічний"},0),0.15,0.18,0.23,0.22,0.27)</f>
        <v/>
      </c>
      <c r="AI192" s="104">
        <f>CHOOSE(MATCH(IF($U192="","Основний",$U192),{"Трафіковий","Основний","Маржинальний","Сезонний","Стратегічний"},0),0.16,0.19,0.25,0.23,0.29)</f>
        <v/>
      </c>
      <c r="AJ192" s="104">
        <f>CHOOSE(MATCH(IF($U192="","Основний",$U192),{"Трафіковий","Основний","Маржинальний","Сезонний","Стратегічний"},0),0.14,0.17,0.22,0.21,0.25)</f>
        <v/>
      </c>
      <c r="AK192" s="104">
        <f>CHOOSE(MATCH(IF($U192="","Основний",$U192),{"Трафіковий","Основний","Маржинальний","Сезонний","Стратегічний"},0),0.15,0.18,0.23,0.22,0.27)</f>
        <v/>
      </c>
      <c r="AL192" s="104">
        <f>CHOOSE(MATCH(IF($U192="","Основний",$U192),{"Трафіковий","Основний","Маржинальний","Сезонний","Стратегічний"},0),0.15,0.17,0.25,0.24,0.29)</f>
        <v/>
      </c>
      <c r="AM192" s="104">
        <f>CHOOSE(MATCH(IF($U192="","Основний",$U192),{"Трафіковий","Основний","Маржинальний","Сезонний","Стратегічний"},0),0.12,0.145,0.19,0.18,0.22)</f>
        <v/>
      </c>
      <c r="AN192" s="157">
        <f>CHOOSE(MATCH(IF($U192="","Основний",$U192),{"Трафіковий","Основний","Маржинальний","Сезонний","Стратегічний"},0),Settings!$B$78,Settings!$B$80,Settings!$B$82,Settings!$B$84,Settings!$B$86)</f>
        <v/>
      </c>
      <c r="AO192" s="157">
        <f>CHOOSE(MATCH(IF($U192="","Основний",$U192),{"Трафіковий","Основний","Маржинальний","Сезонний","Стратегічний"},0),Settings!$C$78,Settings!$C$80,Settings!$C$82,Settings!$C$84,Settings!$C$86)</f>
        <v/>
      </c>
      <c r="AP192" s="157">
        <f>CHOOSE(MATCH(IF($U192="","Основний",$U192),{"Трафіковий","Основний","Маржинальний","Сезонний","Стратегічний"},0),Settings!$D$78,Settings!$D$80,Settings!$D$82,Settings!$D$84,Settings!$D$86)</f>
        <v/>
      </c>
      <c r="AQ192" s="157">
        <f>CHOOSE(MATCH(IF($U192="","Основний",$U192),{"Трафіковий","Основний","Маржинальний","Сезонний","Стратегічний"},0),Settings!$F$78,Settings!$F$80,Settings!$F$82,Settings!$F$84,Settings!$F$86)</f>
        <v/>
      </c>
      <c r="AR192" s="157">
        <f>CHOOSE(MATCH(IF($U192="","Основний",$U192),{"Трафіковий","Основний","Маржинальний","Сезонний","Стратегічний"},0),Settings!$G$78,Settings!$G$80,Settings!$G$82,Settings!$G$84,Settings!$G$86)</f>
        <v/>
      </c>
      <c r="AS192" s="157">
        <f>CHOOSE(MATCH(IF($U192="","Основний",$U192),{"Трафіковий","Основний","Маржинальний","Сезонний","Стратегічний"},0),Settings!$H$78,Settings!$H$80,Settings!$H$82,Settings!$H$84,Settings!$H$86)</f>
        <v/>
      </c>
      <c r="AT192" s="157">
        <f>CHOOSE(MATCH(IF($U192="","Основний",$U192),{"Трафіковий","Основний","Маржинальний","Сезонний","Стратегічний"},0),Settings!$I$78,Settings!$I$80,Settings!$I$82,Settings!$I$84,Settings!$I$86)</f>
        <v/>
      </c>
      <c r="AU192" s="171" t="n"/>
      <c r="AV192" t="n">
        <v>1.35</v>
      </c>
    </row>
    <row r="193">
      <c r="A193" s="33" t="inlineStr">
        <is>
          <t>NEW</t>
        </is>
      </c>
      <c r="B193" s="34" t="inlineStr">
        <is>
          <t>ZN1330</t>
        </is>
      </c>
      <c r="C193" s="34" t="inlineStr">
        <is>
          <t>EMERGENCY DOWNLIGHT ORSU 1W 130LM 3H MT</t>
        </is>
      </c>
      <c r="D193" s="34" t="inlineStr">
        <is>
          <t>Світильники аварійні</t>
        </is>
      </c>
      <c r="E193" s="33" t="inlineStr">
        <is>
          <t>PC</t>
        </is>
      </c>
      <c r="F193" s="94" t="n">
        <v>14.543</v>
      </c>
      <c r="G193" s="35" t="n">
        <v>9405114090</v>
      </c>
      <c r="H193" s="31" t="n">
        <v>1.35</v>
      </c>
      <c r="I193" s="84">
        <f>IFERROR(F193*Settings!$B$2*H193*IF(AND(ISNUMBER(E193),E193&gt;1),E193,1),"")</f>
        <v/>
      </c>
      <c r="J193" s="32">
        <f>Settings!$B$66</f>
        <v/>
      </c>
      <c r="K193" s="95">
        <f>IFERROR(IF(T193="","",(T193*(1-AN193)*(1-Settings!$B$17)-I193)/(T193*(1-AN193)*(1-Settings!$B$17))),"")</f>
        <v/>
      </c>
      <c r="L193" s="101">
        <f>IFERROR(IF(T193="","",(T193*(1-AO193)*(1-Settings!$C$17)-I193)/(T193*(1-AO193)*(1-Settings!$C$17))),"")</f>
        <v/>
      </c>
      <c r="M193" s="101">
        <f>IFERROR(IF(T193="","",(T193*(1-AP193)*(1-Settings!$D$17)-I193)/(T193*(1-AP193)*(1-Settings!$D$17))),"")</f>
        <v/>
      </c>
      <c r="N193" s="101">
        <f>IFERROR(IF(T193="","",(T193*(1-AQ193)*(1-Settings!$F$17)-I193)/(T193*(1-AQ193)*(1-Settings!$F$17))),"")</f>
        <v/>
      </c>
      <c r="O193" s="101">
        <f>IFERROR(IF(T193="","",(T193*(1-AR193)*(1-Settings!$G$17)-I193)/(T193*(1-AR193)*(1-Settings!$G$17))),"")</f>
        <v/>
      </c>
      <c r="P193" s="101">
        <f>IFERROR(IF(T193="","",(T193*(1-AS193)*(1-Settings!$H$17)-I193)/(T193*(1-AS193)*(1-Settings!$H$17))),"")</f>
        <v/>
      </c>
      <c r="Q193" s="101">
        <f>IFERROR(IF(T193="","",(T193*(1-AT193)*(1-Settings!$I$68)*(1-Settings!$I$17)-I193)/(T193*(1-AT193)*(1-Settings!$I$68)*(1-Settings!$I$17))),"")</f>
        <v/>
      </c>
      <c r="R193" s="91">
        <f>IFERROR(IF(OR(I193="",Z193&gt;=1,Settings!$B$17&gt;=1,AN193&gt;=1),"",IF(MOD(ROUND(I193/(1-Z193)/(1-Settings!$B$17)/(1-AN193),0),10)=0,ROUND(I193/(1-Z193)/(1-Settings!$B$17)/(1-AN193),0)-1,IF(MOD(ROUND(I193/(1-Z193)/(1-Settings!$B$17)/(1-AN193),0),10)&lt;=5,FLOOR(ROUND(I193/(1-Z193)/(1-Settings!$B$17)/(1-AN193),0),10)+6,FLOOR(ROUND(I193/(1-Z193)/(1-Settings!$B$17)/(1-AN193),0),10)+9))),"")</f>
        <v/>
      </c>
      <c r="S193" s="92" t="n"/>
      <c r="T193" s="91">
        <f>IF(S193&lt;&gt;"", IF(MOD(S193,10)=0,S193-1,IF(MOD(S193,10)&lt;=5,FLOOR(S193,10)+6,FLOOR(S193,10)+9)), R193)</f>
        <v/>
      </c>
      <c r="U193" s="87" t="inlineStr">
        <is>
          <t>Основний</t>
        </is>
      </c>
      <c r="V193" s="88" t="n"/>
      <c r="W193" s="88" t="n"/>
      <c r="X193" s="89">
        <f>IFERROR(IF(OR(V193="",W193="",T193=""),"", IF(T193&gt;W193,"Дорогий",IF(T193&lt;V193,"Дешевий","У ринку"))),"")</f>
        <v/>
      </c>
      <c r="Y193" s="90" t="n"/>
      <c r="Z193" s="104">
        <f>CHOOSE(MATCH(IF($U193="","Основний",$U193),{"Трафіковий","Основний","Маржинальний","Сезонний","Стратегічний"},0),0.16,0.19,0.24,0.23,0.28)</f>
        <v/>
      </c>
      <c r="AA193" s="104">
        <f>CHOOSE(MATCH(IF($U193="","Основний",$U193),{"Трафіковий","Основний","Маржинальний","Сезонний","Стратегічний"},0),0.18,0.21,0.26,0.25,0.3)</f>
        <v/>
      </c>
      <c r="AB193" s="104">
        <f>CHOOSE(MATCH(IF($U193="","Основний",$U193),{"Трафіковий","Основний","Маржинальний","Сезонний","Стратегічний"},0),0.19,0.22,0.28,0.26,0.32)</f>
        <v/>
      </c>
      <c r="AC193" s="104">
        <f>CHOOSE(MATCH(IF($U193="","Основний",$U193),{"Трафіковий","Основний","Маржинальний","Сезонний","Стратегічний"},0),0.17,0.2,0.25,0.24,0.28)</f>
        <v/>
      </c>
      <c r="AD193" s="104">
        <f>CHOOSE(MATCH(IF($U193="","Основний",$U193),{"Трафіковий","Основний","Маржинальний","Сезонний","Стратегічний"},0),0.18,0.21,0.26,0.25,0.3)</f>
        <v/>
      </c>
      <c r="AE193" s="104">
        <f>CHOOSE(MATCH(IF($U193="","Основний",$U193),{"Трафіковий","Основний","Маржинальний","Сезонний","Стратегічний"},0),0.18,0.2,0.28,0.27,0.32)</f>
        <v/>
      </c>
      <c r="AF193" s="104">
        <f>CHOOSE(MATCH(IF($U193="","Основний",$U193),{"Трафіковий","Основний","Маржинальний","Сезонний","Стратегічний"},0),0.15,0.175,0.22,0.21,0.25)</f>
        <v/>
      </c>
      <c r="AG193" s="104">
        <f>CHOOSE(MATCH(IF($U193="","Основний",$U193),{"Трафіковий","Основний","Маржинальний","Сезонний","Стратегічний"},0),0.13,0.16,0.21,0.2,0.25)</f>
        <v/>
      </c>
      <c r="AH193" s="104">
        <f>CHOOSE(MATCH(IF($U193="","Основний",$U193),{"Трафіковий","Основний","Маржинальний","Сезонний","Стратегічний"},0),0.15,0.18,0.23,0.22,0.27)</f>
        <v/>
      </c>
      <c r="AI193" s="104">
        <f>CHOOSE(MATCH(IF($U193="","Основний",$U193),{"Трафіковий","Основний","Маржинальний","Сезонний","Стратегічний"},0),0.16,0.19,0.25,0.23,0.29)</f>
        <v/>
      </c>
      <c r="AJ193" s="104">
        <f>CHOOSE(MATCH(IF($U193="","Основний",$U193),{"Трафіковий","Основний","Маржинальний","Сезонний","Стратегічний"},0),0.14,0.17,0.22,0.21,0.25)</f>
        <v/>
      </c>
      <c r="AK193" s="104">
        <f>CHOOSE(MATCH(IF($U193="","Основний",$U193),{"Трафіковий","Основний","Маржинальний","Сезонний","Стратегічний"},0),0.15,0.18,0.23,0.22,0.27)</f>
        <v/>
      </c>
      <c r="AL193" s="104">
        <f>CHOOSE(MATCH(IF($U193="","Основний",$U193),{"Трафіковий","Основний","Маржинальний","Сезонний","Стратегічний"},0),0.15,0.17,0.25,0.24,0.29)</f>
        <v/>
      </c>
      <c r="AM193" s="104">
        <f>CHOOSE(MATCH(IF($U193="","Основний",$U193),{"Трафіковий","Основний","Маржинальний","Сезонний","Стратегічний"},0),0.12,0.145,0.19,0.18,0.22)</f>
        <v/>
      </c>
      <c r="AN193" s="157">
        <f>CHOOSE(MATCH(IF($U193="","Основний",$U193),{"Трафіковий","Основний","Маржинальний","Сезонний","Стратегічний"},0),Settings!$B$78,Settings!$B$80,Settings!$B$82,Settings!$B$84,Settings!$B$86)</f>
        <v/>
      </c>
      <c r="AO193" s="157">
        <f>CHOOSE(MATCH(IF($U193="","Основний",$U193),{"Трафіковий","Основний","Маржинальний","Сезонний","Стратегічний"},0),Settings!$C$78,Settings!$C$80,Settings!$C$82,Settings!$C$84,Settings!$C$86)</f>
        <v/>
      </c>
      <c r="AP193" s="157">
        <f>CHOOSE(MATCH(IF($U193="","Основний",$U193),{"Трафіковий","Основний","Маржинальний","Сезонний","Стратегічний"},0),Settings!$D$78,Settings!$D$80,Settings!$D$82,Settings!$D$84,Settings!$D$86)</f>
        <v/>
      </c>
      <c r="AQ193" s="157">
        <f>CHOOSE(MATCH(IF($U193="","Основний",$U193),{"Трафіковий","Основний","Маржинальний","Сезонний","Стратегічний"},0),Settings!$F$78,Settings!$F$80,Settings!$F$82,Settings!$F$84,Settings!$F$86)</f>
        <v/>
      </c>
      <c r="AR193" s="157">
        <f>CHOOSE(MATCH(IF($U193="","Основний",$U193),{"Трафіковий","Основний","Маржинальний","Сезонний","Стратегічний"},0),Settings!$G$78,Settings!$G$80,Settings!$G$82,Settings!$G$84,Settings!$G$86)</f>
        <v/>
      </c>
      <c r="AS193" s="157">
        <f>CHOOSE(MATCH(IF($U193="","Основний",$U193),{"Трафіковий","Основний","Маржинальний","Сезонний","Стратегічний"},0),Settings!$H$78,Settings!$H$80,Settings!$H$82,Settings!$H$84,Settings!$H$86)</f>
        <v/>
      </c>
      <c r="AT193" s="157">
        <f>CHOOSE(MATCH(IF($U193="","Основний",$U193),{"Трафіковий","Основний","Маржинальний","Сезонний","Стратегічний"},0),Settings!$I$78,Settings!$I$80,Settings!$I$82,Settings!$I$84,Settings!$I$86)</f>
        <v/>
      </c>
      <c r="AU193" s="171" t="n"/>
      <c r="AV193" t="n">
        <v>1.35</v>
      </c>
    </row>
    <row r="194">
      <c r="A194" s="28" t="inlineStr">
        <is>
          <t>NEW</t>
        </is>
      </c>
      <c r="B194" s="29" t="inlineStr">
        <is>
          <t>ZN1340</t>
        </is>
      </c>
      <c r="C194" s="29" t="inlineStr">
        <is>
          <t>EMERGENCY DOWNLIGHT ORSU 3W 330LM 3H MT</t>
        </is>
      </c>
      <c r="D194" s="29" t="inlineStr">
        <is>
          <t>Світильники аварійні</t>
        </is>
      </c>
      <c r="E194" s="28" t="inlineStr">
        <is>
          <t>PC</t>
        </is>
      </c>
      <c r="F194" s="93" t="n">
        <v>19.415</v>
      </c>
      <c r="G194" s="30" t="n">
        <v>9405114090</v>
      </c>
      <c r="H194" s="31" t="n">
        <v>1.35</v>
      </c>
      <c r="I194" s="84">
        <f>IFERROR(F194*Settings!$B$2*H194*IF(AND(ISNUMBER(E194),E194&gt;1),E194,1),"")</f>
        <v/>
      </c>
      <c r="J194" s="32">
        <f>Settings!$B$66</f>
        <v/>
      </c>
      <c r="K194" s="95">
        <f>IFERROR(IF(T194="","",(T194*(1-AN194)*(1-Settings!$B$17)-I194)/(T194*(1-AN194)*(1-Settings!$B$17))),"")</f>
        <v/>
      </c>
      <c r="L194" s="101">
        <f>IFERROR(IF(T194="","",(T194*(1-AO194)*(1-Settings!$C$17)-I194)/(T194*(1-AO194)*(1-Settings!$C$17))),"")</f>
        <v/>
      </c>
      <c r="M194" s="101">
        <f>IFERROR(IF(T194="","",(T194*(1-AP194)*(1-Settings!$D$17)-I194)/(T194*(1-AP194)*(1-Settings!$D$17))),"")</f>
        <v/>
      </c>
      <c r="N194" s="101">
        <f>IFERROR(IF(T194="","",(T194*(1-AQ194)*(1-Settings!$F$17)-I194)/(T194*(1-AQ194)*(1-Settings!$F$17))),"")</f>
        <v/>
      </c>
      <c r="O194" s="101">
        <f>IFERROR(IF(T194="","",(T194*(1-AR194)*(1-Settings!$G$17)-I194)/(T194*(1-AR194)*(1-Settings!$G$17))),"")</f>
        <v/>
      </c>
      <c r="P194" s="101">
        <f>IFERROR(IF(T194="","",(T194*(1-AS194)*(1-Settings!$H$17)-I194)/(T194*(1-AS194)*(1-Settings!$H$17))),"")</f>
        <v/>
      </c>
      <c r="Q194" s="101">
        <f>IFERROR(IF(T194="","",(T194*(1-AT194)*(1-Settings!$I$68)*(1-Settings!$I$17)-I194)/(T194*(1-AT194)*(1-Settings!$I$68)*(1-Settings!$I$17))),"")</f>
        <v/>
      </c>
      <c r="R194" s="91">
        <f>IFERROR(IF(OR(I194="",Z194&gt;=1,Settings!$B$17&gt;=1,AN194&gt;=1),"",IF(MOD(ROUND(I194/(1-Z194)/(1-Settings!$B$17)/(1-AN194),0),10)=0,ROUND(I194/(1-Z194)/(1-Settings!$B$17)/(1-AN194),0)-1,IF(MOD(ROUND(I194/(1-Z194)/(1-Settings!$B$17)/(1-AN194),0),10)&lt;=5,FLOOR(ROUND(I194/(1-Z194)/(1-Settings!$B$17)/(1-AN194),0),10)+6,FLOOR(ROUND(I194/(1-Z194)/(1-Settings!$B$17)/(1-AN194),0),10)+9))),"")</f>
        <v/>
      </c>
      <c r="S194" s="92" t="n"/>
      <c r="T194" s="91">
        <f>IF(S194&lt;&gt;"", IF(MOD(S194,10)=0,S194-1,IF(MOD(S194,10)&lt;=5,FLOOR(S194,10)+6,FLOOR(S194,10)+9)), R194)</f>
        <v/>
      </c>
      <c r="U194" s="87" t="inlineStr">
        <is>
          <t>Основний</t>
        </is>
      </c>
      <c r="V194" s="88" t="n"/>
      <c r="W194" s="88" t="n"/>
      <c r="X194" s="89">
        <f>IFERROR(IF(OR(V194="",W194="",T194=""),"", IF(T194&gt;W194,"Дорогий",IF(T194&lt;V194,"Дешевий","У ринку"))),"")</f>
        <v/>
      </c>
      <c r="Y194" s="90" t="n"/>
      <c r="Z194" s="104">
        <f>CHOOSE(MATCH(IF($U194="","Основний",$U194),{"Трафіковий","Основний","Маржинальний","Сезонний","Стратегічний"},0),0.16,0.19,0.24,0.23,0.28)</f>
        <v/>
      </c>
      <c r="AA194" s="104">
        <f>CHOOSE(MATCH(IF($U194="","Основний",$U194),{"Трафіковий","Основний","Маржинальний","Сезонний","Стратегічний"},0),0.18,0.21,0.26,0.25,0.3)</f>
        <v/>
      </c>
      <c r="AB194" s="104">
        <f>CHOOSE(MATCH(IF($U194="","Основний",$U194),{"Трафіковий","Основний","Маржинальний","Сезонний","Стратегічний"},0),0.19,0.22,0.28,0.26,0.32)</f>
        <v/>
      </c>
      <c r="AC194" s="104">
        <f>CHOOSE(MATCH(IF($U194="","Основний",$U194),{"Трафіковий","Основний","Маржинальний","Сезонний","Стратегічний"},0),0.17,0.2,0.25,0.24,0.28)</f>
        <v/>
      </c>
      <c r="AD194" s="104">
        <f>CHOOSE(MATCH(IF($U194="","Основний",$U194),{"Трафіковий","Основний","Маржинальний","Сезонний","Стратегічний"},0),0.18,0.21,0.26,0.25,0.3)</f>
        <v/>
      </c>
      <c r="AE194" s="104">
        <f>CHOOSE(MATCH(IF($U194="","Основний",$U194),{"Трафіковий","Основний","Маржинальний","Сезонний","Стратегічний"},0),0.18,0.2,0.28,0.27,0.32)</f>
        <v/>
      </c>
      <c r="AF194" s="104">
        <f>CHOOSE(MATCH(IF($U194="","Основний",$U194),{"Трафіковий","Основний","Маржинальний","Сезонний","Стратегічний"},0),0.15,0.175,0.22,0.21,0.25)</f>
        <v/>
      </c>
      <c r="AG194" s="104">
        <f>CHOOSE(MATCH(IF($U194="","Основний",$U194),{"Трафіковий","Основний","Маржинальний","Сезонний","Стратегічний"},0),0.13,0.16,0.21,0.2,0.25)</f>
        <v/>
      </c>
      <c r="AH194" s="104">
        <f>CHOOSE(MATCH(IF($U194="","Основний",$U194),{"Трафіковий","Основний","Маржинальний","Сезонний","Стратегічний"},0),0.15,0.18,0.23,0.22,0.27)</f>
        <v/>
      </c>
      <c r="AI194" s="104">
        <f>CHOOSE(MATCH(IF($U194="","Основний",$U194),{"Трафіковий","Основний","Маржинальний","Сезонний","Стратегічний"},0),0.16,0.19,0.25,0.23,0.29)</f>
        <v/>
      </c>
      <c r="AJ194" s="104">
        <f>CHOOSE(MATCH(IF($U194="","Основний",$U194),{"Трафіковий","Основний","Маржинальний","Сезонний","Стратегічний"},0),0.14,0.17,0.22,0.21,0.25)</f>
        <v/>
      </c>
      <c r="AK194" s="104">
        <f>CHOOSE(MATCH(IF($U194="","Основний",$U194),{"Трафіковий","Основний","Маржинальний","Сезонний","Стратегічний"},0),0.15,0.18,0.23,0.22,0.27)</f>
        <v/>
      </c>
      <c r="AL194" s="104">
        <f>CHOOSE(MATCH(IF($U194="","Основний",$U194),{"Трафіковий","Основний","Маржинальний","Сезонний","Стратегічний"},0),0.15,0.17,0.25,0.24,0.29)</f>
        <v/>
      </c>
      <c r="AM194" s="104">
        <f>CHOOSE(MATCH(IF($U194="","Основний",$U194),{"Трафіковий","Основний","Маржинальний","Сезонний","Стратегічний"},0),0.12,0.145,0.19,0.18,0.22)</f>
        <v/>
      </c>
      <c r="AN194" s="157">
        <f>CHOOSE(MATCH(IF($U194="","Основний",$U194),{"Трафіковий","Основний","Маржинальний","Сезонний","Стратегічний"},0),Settings!$B$78,Settings!$B$80,Settings!$B$82,Settings!$B$84,Settings!$B$86)</f>
        <v/>
      </c>
      <c r="AO194" s="157">
        <f>CHOOSE(MATCH(IF($U194="","Основний",$U194),{"Трафіковий","Основний","Маржинальний","Сезонний","Стратегічний"},0),Settings!$C$78,Settings!$C$80,Settings!$C$82,Settings!$C$84,Settings!$C$86)</f>
        <v/>
      </c>
      <c r="AP194" s="157">
        <f>CHOOSE(MATCH(IF($U194="","Основний",$U194),{"Трафіковий","Основний","Маржинальний","Сезонний","Стратегічний"},0),Settings!$D$78,Settings!$D$80,Settings!$D$82,Settings!$D$84,Settings!$D$86)</f>
        <v/>
      </c>
      <c r="AQ194" s="157">
        <f>CHOOSE(MATCH(IF($U194="","Основний",$U194),{"Трафіковий","Основний","Маржинальний","Сезонний","Стратегічний"},0),Settings!$F$78,Settings!$F$80,Settings!$F$82,Settings!$F$84,Settings!$F$86)</f>
        <v/>
      </c>
      <c r="AR194" s="157">
        <f>CHOOSE(MATCH(IF($U194="","Основний",$U194),{"Трафіковий","Основний","Маржинальний","Сезонний","Стратегічний"},0),Settings!$G$78,Settings!$G$80,Settings!$G$82,Settings!$G$84,Settings!$G$86)</f>
        <v/>
      </c>
      <c r="AS194" s="157">
        <f>CHOOSE(MATCH(IF($U194="","Основний",$U194),{"Трафіковий","Основний","Маржинальний","Сезонний","Стратегічний"},0),Settings!$H$78,Settings!$H$80,Settings!$H$82,Settings!$H$84,Settings!$H$86)</f>
        <v/>
      </c>
      <c r="AT194" s="157">
        <f>CHOOSE(MATCH(IF($U194="","Основний",$U194),{"Трафіковий","Основний","Маржинальний","Сезонний","Стратегічний"},0),Settings!$I$78,Settings!$I$80,Settings!$I$82,Settings!$I$84,Settings!$I$86)</f>
        <v/>
      </c>
      <c r="AU194" s="171" t="n"/>
      <c r="AV194" t="n">
        <v>1.35</v>
      </c>
    </row>
    <row r="195">
      <c r="A195" s="33" t="inlineStr">
        <is>
          <t>NEW</t>
        </is>
      </c>
      <c r="B195" s="34" t="inlineStr">
        <is>
          <t>ZN2120</t>
        </is>
      </c>
      <c r="C195" s="34" t="inlineStr">
        <is>
          <t>LED EMERGENCY BULKHEAD NESSI 3W AT 3h IP66</t>
        </is>
      </c>
      <c r="D195" s="34" t="inlineStr">
        <is>
          <t>Світильники аварійні</t>
        </is>
      </c>
      <c r="E195" s="33" t="inlineStr">
        <is>
          <t>PC</t>
        </is>
      </c>
      <c r="F195" s="94" t="n">
        <v>12.033</v>
      </c>
      <c r="G195" s="35" t="n">
        <v>9405114090</v>
      </c>
      <c r="H195" s="31" t="n">
        <v>1.35</v>
      </c>
      <c r="I195" s="84">
        <f>IFERROR(F195*Settings!$B$2*H195*IF(AND(ISNUMBER(E195),E195&gt;1),E195,1),"")</f>
        <v/>
      </c>
      <c r="J195" s="32">
        <f>Settings!$B$66</f>
        <v/>
      </c>
      <c r="K195" s="95">
        <f>IFERROR(IF(T195="","",(T195*(1-AN195)*(1-Settings!$B$17)-I195)/(T195*(1-AN195)*(1-Settings!$B$17))),"")</f>
        <v/>
      </c>
      <c r="L195" s="101">
        <f>IFERROR(IF(T195="","",(T195*(1-AO195)*(1-Settings!$C$17)-I195)/(T195*(1-AO195)*(1-Settings!$C$17))),"")</f>
        <v/>
      </c>
      <c r="M195" s="101">
        <f>IFERROR(IF(T195="","",(T195*(1-AP195)*(1-Settings!$D$17)-I195)/(T195*(1-AP195)*(1-Settings!$D$17))),"")</f>
        <v/>
      </c>
      <c r="N195" s="101">
        <f>IFERROR(IF(T195="","",(T195*(1-AQ195)*(1-Settings!$F$17)-I195)/(T195*(1-AQ195)*(1-Settings!$F$17))),"")</f>
        <v/>
      </c>
      <c r="O195" s="101">
        <f>IFERROR(IF(T195="","",(T195*(1-AR195)*(1-Settings!$G$17)-I195)/(T195*(1-AR195)*(1-Settings!$G$17))),"")</f>
        <v/>
      </c>
      <c r="P195" s="101">
        <f>IFERROR(IF(T195="","",(T195*(1-AS195)*(1-Settings!$H$17)-I195)/(T195*(1-AS195)*(1-Settings!$H$17))),"")</f>
        <v/>
      </c>
      <c r="Q195" s="101">
        <f>IFERROR(IF(T195="","",(T195*(1-AT195)*(1-Settings!$I$68)*(1-Settings!$I$17)-I195)/(T195*(1-AT195)*(1-Settings!$I$68)*(1-Settings!$I$17))),"")</f>
        <v/>
      </c>
      <c r="R195" s="91">
        <f>IFERROR(IF(OR(I195="",Z195&gt;=1,Settings!$B$17&gt;=1,AN195&gt;=1),"",IF(MOD(ROUND(I195/(1-Z195)/(1-Settings!$B$17)/(1-AN195),0),10)=0,ROUND(I195/(1-Z195)/(1-Settings!$B$17)/(1-AN195),0)-1,IF(MOD(ROUND(I195/(1-Z195)/(1-Settings!$B$17)/(1-AN195),0),10)&lt;=5,FLOOR(ROUND(I195/(1-Z195)/(1-Settings!$B$17)/(1-AN195),0),10)+6,FLOOR(ROUND(I195/(1-Z195)/(1-Settings!$B$17)/(1-AN195),0),10)+9))),"")</f>
        <v/>
      </c>
      <c r="S195" s="92" t="n">
        <v>1500</v>
      </c>
      <c r="T195" s="91">
        <f>IF(S195&lt;&gt;"", IF(MOD(S195,10)=0,S195-1,IF(MOD(S195,10)&lt;=5,FLOOR(S195,10)+6,FLOOR(S195,10)+9)), R195)</f>
        <v/>
      </c>
      <c r="U195" s="87" t="inlineStr">
        <is>
          <t>Основний</t>
        </is>
      </c>
      <c r="V195" s="88" t="n"/>
      <c r="W195" s="88" t="n"/>
      <c r="X195" s="89">
        <f>IFERROR(IF(OR(V195="",W195="",T195=""),"", IF(T195&gt;W195,"Дорогий",IF(T195&lt;V195,"Дешевий","У ринку"))),"")</f>
        <v/>
      </c>
      <c r="Y195" s="90" t="n"/>
      <c r="Z195" s="104">
        <f>CHOOSE(MATCH(IF($U195="","Основний",$U195),{"Трафіковий","Основний","Маржинальний","Сезонний","Стратегічний"},0),0.16,0.19,0.24,0.23,0.28)</f>
        <v/>
      </c>
      <c r="AA195" s="104">
        <f>CHOOSE(MATCH(IF($U195="","Основний",$U195),{"Трафіковий","Основний","Маржинальний","Сезонний","Стратегічний"},0),0.18,0.21,0.26,0.25,0.3)</f>
        <v/>
      </c>
      <c r="AB195" s="104">
        <f>CHOOSE(MATCH(IF($U195="","Основний",$U195),{"Трафіковий","Основний","Маржинальний","Сезонний","Стратегічний"},0),0.19,0.22,0.28,0.26,0.32)</f>
        <v/>
      </c>
      <c r="AC195" s="104">
        <f>CHOOSE(MATCH(IF($U195="","Основний",$U195),{"Трафіковий","Основний","Маржинальний","Сезонний","Стратегічний"},0),0.17,0.2,0.25,0.24,0.28)</f>
        <v/>
      </c>
      <c r="AD195" s="104">
        <f>CHOOSE(MATCH(IF($U195="","Основний",$U195),{"Трафіковий","Основний","Маржинальний","Сезонний","Стратегічний"},0),0.18,0.21,0.26,0.25,0.3)</f>
        <v/>
      </c>
      <c r="AE195" s="104">
        <f>CHOOSE(MATCH(IF($U195="","Основний",$U195),{"Трафіковий","Основний","Маржинальний","Сезонний","Стратегічний"},0),0.18,0.2,0.28,0.27,0.32)</f>
        <v/>
      </c>
      <c r="AF195" s="104">
        <f>CHOOSE(MATCH(IF($U195="","Основний",$U195),{"Трафіковий","Основний","Маржинальний","Сезонний","Стратегічний"},0),0.15,0.175,0.22,0.21,0.25)</f>
        <v/>
      </c>
      <c r="AG195" s="104">
        <f>CHOOSE(MATCH(IF($U195="","Основний",$U195),{"Трафіковий","Основний","Маржинальний","Сезонний","Стратегічний"},0),0.13,0.16,0.21,0.2,0.25)</f>
        <v/>
      </c>
      <c r="AH195" s="104">
        <f>CHOOSE(MATCH(IF($U195="","Основний",$U195),{"Трафіковий","Основний","Маржинальний","Сезонний","Стратегічний"},0),0.15,0.18,0.23,0.22,0.27)</f>
        <v/>
      </c>
      <c r="AI195" s="104">
        <f>CHOOSE(MATCH(IF($U195="","Основний",$U195),{"Трафіковий","Основний","Маржинальний","Сезонний","Стратегічний"},0),0.16,0.19,0.25,0.23,0.29)</f>
        <v/>
      </c>
      <c r="AJ195" s="104">
        <f>CHOOSE(MATCH(IF($U195="","Основний",$U195),{"Трафіковий","Основний","Маржинальний","Сезонний","Стратегічний"},0),0.14,0.17,0.22,0.21,0.25)</f>
        <v/>
      </c>
      <c r="AK195" s="104">
        <f>CHOOSE(MATCH(IF($U195="","Основний",$U195),{"Трафіковий","Основний","Маржинальний","Сезонний","Стратегічний"},0),0.15,0.18,0.23,0.22,0.27)</f>
        <v/>
      </c>
      <c r="AL195" s="104">
        <f>CHOOSE(MATCH(IF($U195="","Основний",$U195),{"Трафіковий","Основний","Маржинальний","Сезонний","Стратегічний"},0),0.15,0.17,0.25,0.24,0.29)</f>
        <v/>
      </c>
      <c r="AM195" s="104">
        <f>CHOOSE(MATCH(IF($U195="","Основний",$U195),{"Трафіковий","Основний","Маржинальний","Сезонний","Стратегічний"},0),0.12,0.145,0.19,0.18,0.22)</f>
        <v/>
      </c>
      <c r="AN195" s="157">
        <f>CHOOSE(MATCH(IF($U195="","Основний",$U195),{"Трафіковий","Основний","Маржинальний","Сезонний","Стратегічний"},0),Settings!$B$78,Settings!$B$80,Settings!$B$82,Settings!$B$84,Settings!$B$86)</f>
        <v/>
      </c>
      <c r="AO195" s="157">
        <f>CHOOSE(MATCH(IF($U195="","Основний",$U195),{"Трафіковий","Основний","Маржинальний","Сезонний","Стратегічний"},0),Settings!$C$78,Settings!$C$80,Settings!$C$82,Settings!$C$84,Settings!$C$86)</f>
        <v/>
      </c>
      <c r="AP195" s="157">
        <f>CHOOSE(MATCH(IF($U195="","Основний",$U195),{"Трафіковий","Основний","Маржинальний","Сезонний","Стратегічний"},0),Settings!$D$78,Settings!$D$80,Settings!$D$82,Settings!$D$84,Settings!$D$86)</f>
        <v/>
      </c>
      <c r="AQ195" s="157">
        <f>CHOOSE(MATCH(IF($U195="","Основний",$U195),{"Трафіковий","Основний","Маржинальний","Сезонний","Стратегічний"},0),Settings!$F$78,Settings!$F$80,Settings!$F$82,Settings!$F$84,Settings!$F$86)</f>
        <v/>
      </c>
      <c r="AR195" s="157">
        <f>CHOOSE(MATCH(IF($U195="","Основний",$U195),{"Трафіковий","Основний","Маржинальний","Сезонний","Стратегічний"},0),Settings!$G$78,Settings!$G$80,Settings!$G$82,Settings!$G$84,Settings!$G$86)</f>
        <v/>
      </c>
      <c r="AS195" s="157">
        <f>CHOOSE(MATCH(IF($U195="","Основний",$U195),{"Трафіковий","Основний","Маржинальний","Сезонний","Стратегічний"},0),Settings!$H$78,Settings!$H$80,Settings!$H$82,Settings!$H$84,Settings!$H$86)</f>
        <v/>
      </c>
      <c r="AT195" s="157">
        <f>CHOOSE(MATCH(IF($U195="","Основний",$U195),{"Трафіковий","Основний","Маржинальний","Сезонний","Стратегічний"},0),Settings!$I$78,Settings!$I$80,Settings!$I$82,Settings!$I$84,Settings!$I$86)</f>
        <v/>
      </c>
      <c r="AU195" s="171" t="n"/>
      <c r="AV195" t="n">
        <v>1.35</v>
      </c>
    </row>
    <row r="196">
      <c r="A196" s="28" t="inlineStr">
        <is>
          <t>NEW</t>
        </is>
      </c>
      <c r="B196" s="29" t="inlineStr">
        <is>
          <t>ZN2130</t>
        </is>
      </c>
      <c r="C196" s="29" t="inlineStr">
        <is>
          <t>LED EMERGENCY BULKHEAD NESSI 4W 3h AT IP66</t>
        </is>
      </c>
      <c r="D196" s="29" t="inlineStr">
        <is>
          <t>Світильники аварійні</t>
        </is>
      </c>
      <c r="E196" s="28" t="inlineStr">
        <is>
          <t>PC</t>
        </is>
      </c>
      <c r="F196" s="93" t="n">
        <v>14.186</v>
      </c>
      <c r="G196" s="30" t="n">
        <v>9405114090</v>
      </c>
      <c r="H196" s="31" t="n">
        <v>1.35</v>
      </c>
      <c r="I196" s="84">
        <f>IFERROR(F196*Settings!$B$2*H196*IF(AND(ISNUMBER(E196),E196&gt;1),E196,1),"")</f>
        <v/>
      </c>
      <c r="J196" s="32">
        <f>Settings!$B$66</f>
        <v/>
      </c>
      <c r="K196" s="95">
        <f>IFERROR(IF(T196="","",(T196*(1-AN196)*(1-Settings!$B$17)-I196)/(T196*(1-AN196)*(1-Settings!$B$17))),"")</f>
        <v/>
      </c>
      <c r="L196" s="101">
        <f>IFERROR(IF(T196="","",(T196*(1-AO196)*(1-Settings!$C$17)-I196)/(T196*(1-AO196)*(1-Settings!$C$17))),"")</f>
        <v/>
      </c>
      <c r="M196" s="101">
        <f>IFERROR(IF(T196="","",(T196*(1-AP196)*(1-Settings!$D$17)-I196)/(T196*(1-AP196)*(1-Settings!$D$17))),"")</f>
        <v/>
      </c>
      <c r="N196" s="101">
        <f>IFERROR(IF(T196="","",(T196*(1-AQ196)*(1-Settings!$F$17)-I196)/(T196*(1-AQ196)*(1-Settings!$F$17))),"")</f>
        <v/>
      </c>
      <c r="O196" s="101">
        <f>IFERROR(IF(T196="","",(T196*(1-AR196)*(1-Settings!$G$17)-I196)/(T196*(1-AR196)*(1-Settings!$G$17))),"")</f>
        <v/>
      </c>
      <c r="P196" s="101">
        <f>IFERROR(IF(T196="","",(T196*(1-AS196)*(1-Settings!$H$17)-I196)/(T196*(1-AS196)*(1-Settings!$H$17))),"")</f>
        <v/>
      </c>
      <c r="Q196" s="101">
        <f>IFERROR(IF(T196="","",(T196*(1-AT196)*(1-Settings!$I$68)*(1-Settings!$I$17)-I196)/(T196*(1-AT196)*(1-Settings!$I$68)*(1-Settings!$I$17))),"")</f>
        <v/>
      </c>
      <c r="R196" s="91">
        <f>IFERROR(IF(OR(I196="",Z196&gt;=1,Settings!$B$17&gt;=1,AN196&gt;=1),"",IF(MOD(ROUND(I196/(1-Z196)/(1-Settings!$B$17)/(1-AN196),0),10)=0,ROUND(I196/(1-Z196)/(1-Settings!$B$17)/(1-AN196),0)-1,IF(MOD(ROUND(I196/(1-Z196)/(1-Settings!$B$17)/(1-AN196),0),10)&lt;=5,FLOOR(ROUND(I196/(1-Z196)/(1-Settings!$B$17)/(1-AN196),0),10)+6,FLOOR(ROUND(I196/(1-Z196)/(1-Settings!$B$17)/(1-AN196),0),10)+9))),"")</f>
        <v/>
      </c>
      <c r="S196" s="92" t="n">
        <v>1800</v>
      </c>
      <c r="T196" s="91">
        <f>IF(S196&lt;&gt;"", IF(MOD(S196,10)=0,S196-1,IF(MOD(S196,10)&lt;=5,FLOOR(S196,10)+6,FLOOR(S196,10)+9)), R196)</f>
        <v/>
      </c>
      <c r="U196" s="87" t="inlineStr">
        <is>
          <t>Основний</t>
        </is>
      </c>
      <c r="V196" s="88" t="n"/>
      <c r="W196" s="88" t="n"/>
      <c r="X196" s="89">
        <f>IFERROR(IF(OR(V196="",W196="",T196=""),"", IF(T196&gt;W196,"Дорогий",IF(T196&lt;V196,"Дешевий","У ринку"))),"")</f>
        <v/>
      </c>
      <c r="Y196" s="90" t="n"/>
      <c r="Z196" s="104">
        <f>CHOOSE(MATCH(IF($U196="","Основний",$U196),{"Трафіковий","Основний","Маржинальний","Сезонний","Стратегічний"},0),0.16,0.19,0.24,0.23,0.28)</f>
        <v/>
      </c>
      <c r="AA196" s="104">
        <f>CHOOSE(MATCH(IF($U196="","Основний",$U196),{"Трафіковий","Основний","Маржинальний","Сезонний","Стратегічний"},0),0.18,0.21,0.26,0.25,0.3)</f>
        <v/>
      </c>
      <c r="AB196" s="104">
        <f>CHOOSE(MATCH(IF($U196="","Основний",$U196),{"Трафіковий","Основний","Маржинальний","Сезонний","Стратегічний"},0),0.19,0.22,0.28,0.26,0.32)</f>
        <v/>
      </c>
      <c r="AC196" s="104">
        <f>CHOOSE(MATCH(IF($U196="","Основний",$U196),{"Трафіковий","Основний","Маржинальний","Сезонний","Стратегічний"},0),0.17,0.2,0.25,0.24,0.28)</f>
        <v/>
      </c>
      <c r="AD196" s="104">
        <f>CHOOSE(MATCH(IF($U196="","Основний",$U196),{"Трафіковий","Основний","Маржинальний","Сезонний","Стратегічний"},0),0.18,0.21,0.26,0.25,0.3)</f>
        <v/>
      </c>
      <c r="AE196" s="104">
        <f>CHOOSE(MATCH(IF($U196="","Основний",$U196),{"Трафіковий","Основний","Маржинальний","Сезонний","Стратегічний"},0),0.18,0.2,0.28,0.27,0.32)</f>
        <v/>
      </c>
      <c r="AF196" s="104">
        <f>CHOOSE(MATCH(IF($U196="","Основний",$U196),{"Трафіковий","Основний","Маржинальний","Сезонний","Стратегічний"},0),0.15,0.175,0.22,0.21,0.25)</f>
        <v/>
      </c>
      <c r="AG196" s="104">
        <f>CHOOSE(MATCH(IF($U196="","Основний",$U196),{"Трафіковий","Основний","Маржинальний","Сезонний","Стратегічний"},0),0.13,0.16,0.21,0.2,0.25)</f>
        <v/>
      </c>
      <c r="AH196" s="104">
        <f>CHOOSE(MATCH(IF($U196="","Основний",$U196),{"Трафіковий","Основний","Маржинальний","Сезонний","Стратегічний"},0),0.15,0.18,0.23,0.22,0.27)</f>
        <v/>
      </c>
      <c r="AI196" s="104">
        <f>CHOOSE(MATCH(IF($U196="","Основний",$U196),{"Трафіковий","Основний","Маржинальний","Сезонний","Стратегічний"},0),0.16,0.19,0.25,0.23,0.29)</f>
        <v/>
      </c>
      <c r="AJ196" s="104">
        <f>CHOOSE(MATCH(IF($U196="","Основний",$U196),{"Трафіковий","Основний","Маржинальний","Сезонний","Стратегічний"},0),0.14,0.17,0.22,0.21,0.25)</f>
        <v/>
      </c>
      <c r="AK196" s="104">
        <f>CHOOSE(MATCH(IF($U196="","Основний",$U196),{"Трафіковий","Основний","Маржинальний","Сезонний","Стратегічний"},0),0.15,0.18,0.23,0.22,0.27)</f>
        <v/>
      </c>
      <c r="AL196" s="104">
        <f>CHOOSE(MATCH(IF($U196="","Основний",$U196),{"Трафіковий","Основний","Маржинальний","Сезонний","Стратегічний"},0),0.15,0.17,0.25,0.24,0.29)</f>
        <v/>
      </c>
      <c r="AM196" s="104">
        <f>CHOOSE(MATCH(IF($U196="","Основний",$U196),{"Трафіковий","Основний","Маржинальний","Сезонний","Стратегічний"},0),0.12,0.145,0.19,0.18,0.22)</f>
        <v/>
      </c>
      <c r="AN196" s="157">
        <f>CHOOSE(MATCH(IF($U196="","Основний",$U196),{"Трафіковий","Основний","Маржинальний","Сезонний","Стратегічний"},0),Settings!$B$78,Settings!$B$80,Settings!$B$82,Settings!$B$84,Settings!$B$86)</f>
        <v/>
      </c>
      <c r="AO196" s="157">
        <f>CHOOSE(MATCH(IF($U196="","Основний",$U196),{"Трафіковий","Основний","Маржинальний","Сезонний","Стратегічний"},0),Settings!$C$78,Settings!$C$80,Settings!$C$82,Settings!$C$84,Settings!$C$86)</f>
        <v/>
      </c>
      <c r="AP196" s="157">
        <f>CHOOSE(MATCH(IF($U196="","Основний",$U196),{"Трафіковий","Основний","Маржинальний","Сезонний","Стратегічний"},0),Settings!$D$78,Settings!$D$80,Settings!$D$82,Settings!$D$84,Settings!$D$86)</f>
        <v/>
      </c>
      <c r="AQ196" s="157">
        <f>CHOOSE(MATCH(IF($U196="","Основний",$U196),{"Трафіковий","Основний","Маржинальний","Сезонний","Стратегічний"},0),Settings!$F$78,Settings!$F$80,Settings!$F$82,Settings!$F$84,Settings!$F$86)</f>
        <v/>
      </c>
      <c r="AR196" s="157">
        <f>CHOOSE(MATCH(IF($U196="","Основний",$U196),{"Трафіковий","Основний","Маржинальний","Сезонний","Стратегічний"},0),Settings!$G$78,Settings!$G$80,Settings!$G$82,Settings!$G$84,Settings!$G$86)</f>
        <v/>
      </c>
      <c r="AS196" s="157">
        <f>CHOOSE(MATCH(IF($U196="","Основний",$U196),{"Трафіковий","Основний","Маржинальний","Сезонний","Стратегічний"},0),Settings!$H$78,Settings!$H$80,Settings!$H$82,Settings!$H$84,Settings!$H$86)</f>
        <v/>
      </c>
      <c r="AT196" s="157">
        <f>CHOOSE(MATCH(IF($U196="","Основний",$U196),{"Трафіковий","Основний","Маржинальний","Сезонний","Стратегічний"},0),Settings!$I$78,Settings!$I$80,Settings!$I$82,Settings!$I$84,Settings!$I$86)</f>
        <v/>
      </c>
      <c r="AU196" s="171" t="n"/>
      <c r="AV196" t="n">
        <v>1.35</v>
      </c>
    </row>
    <row r="197">
      <c r="A197" s="33" t="n"/>
      <c r="B197" s="34" t="inlineStr">
        <is>
          <t>ZR9310</t>
        </is>
      </c>
      <c r="C197" s="34" t="inlineStr">
        <is>
          <t>EMERGENCY MODULE 6W/1H</t>
        </is>
      </c>
      <c r="D197" s="34" t="inlineStr">
        <is>
          <t>Світильники аварійні</t>
        </is>
      </c>
      <c r="E197" s="33" t="inlineStr">
        <is>
          <t>PC</t>
        </is>
      </c>
      <c r="F197" s="94" t="n">
        <v>22.252</v>
      </c>
      <c r="G197" s="35" t="n">
        <v>8543709099</v>
      </c>
      <c r="H197" s="31" t="n">
        <v>1.4</v>
      </c>
      <c r="I197" s="84">
        <f>IFERROR(F197*Settings!$B$2*H197*IF(AND(ISNUMBER(E197),E197&gt;1),E197,1),"")</f>
        <v/>
      </c>
      <c r="J197" s="32">
        <f>Settings!$B$66</f>
        <v/>
      </c>
      <c r="K197" s="95">
        <f>IFERROR(IF(T197="","",(T197*(1-AN197)*(1-Settings!$B$17)-I197)/(T197*(1-AN197)*(1-Settings!$B$17))),"")</f>
        <v/>
      </c>
      <c r="L197" s="101">
        <f>IFERROR(IF(T197="","",(T197*(1-AO197)*(1-Settings!$C$17)-I197)/(T197*(1-AO197)*(1-Settings!$C$17))),"")</f>
        <v/>
      </c>
      <c r="M197" s="101">
        <f>IFERROR(IF(T197="","",(T197*(1-AP197)*(1-Settings!$D$17)-I197)/(T197*(1-AP197)*(1-Settings!$D$17))),"")</f>
        <v/>
      </c>
      <c r="N197" s="101">
        <f>IFERROR(IF(T197="","",(T197*(1-AQ197)*(1-Settings!$F$17)-I197)/(T197*(1-AQ197)*(1-Settings!$F$17))),"")</f>
        <v/>
      </c>
      <c r="O197" s="101">
        <f>IFERROR(IF(T197="","",(T197*(1-AR197)*(1-Settings!$G$17)-I197)/(T197*(1-AR197)*(1-Settings!$G$17))),"")</f>
        <v/>
      </c>
      <c r="P197" s="101">
        <f>IFERROR(IF(T197="","",(T197*(1-AS197)*(1-Settings!$H$17)-I197)/(T197*(1-AS197)*(1-Settings!$H$17))),"")</f>
        <v/>
      </c>
      <c r="Q197" s="101">
        <f>IFERROR(IF(T197="","",(T197*(1-AT197)*(1-Settings!$I$68)*(1-Settings!$I$17)-I197)/(T197*(1-AT197)*(1-Settings!$I$68)*(1-Settings!$I$17))),"")</f>
        <v/>
      </c>
      <c r="R197" s="91">
        <f>IFERROR(IF(OR(I197="",Z197&gt;=1,Settings!$B$17&gt;=1,AN197&gt;=1),"",IF(MOD(ROUND(I197/(1-Z197)/(1-Settings!$B$17)/(1-AN197),0),10)=0,ROUND(I197/(1-Z197)/(1-Settings!$B$17)/(1-AN197),0)-1,IF(MOD(ROUND(I197/(1-Z197)/(1-Settings!$B$17)/(1-AN197),0),10)&lt;=5,FLOOR(ROUND(I197/(1-Z197)/(1-Settings!$B$17)/(1-AN197),0),10)+6,FLOOR(ROUND(I197/(1-Z197)/(1-Settings!$B$17)/(1-AN197),0),10)+9))),"")</f>
        <v/>
      </c>
      <c r="S197" s="92" t="n">
        <v>2900</v>
      </c>
      <c r="T197" s="91">
        <f>IF(S197&lt;&gt;"", IF(MOD(S197,10)=0,S197-1,IF(MOD(S197,10)&lt;=5,FLOOR(S197,10)+6,FLOOR(S197,10)+9)), R197)</f>
        <v/>
      </c>
      <c r="U197" s="87" t="inlineStr">
        <is>
          <t>Основний</t>
        </is>
      </c>
      <c r="V197" s="88" t="n"/>
      <c r="W197" s="88" t="n"/>
      <c r="X197" s="89">
        <f>IFERROR(IF(OR(V197="",W197="",T197=""),"", IF(T197&gt;W197,"Дорогий",IF(T197&lt;V197,"Дешевий","У ринку"))),"")</f>
        <v/>
      </c>
      <c r="Y197" s="90" t="n"/>
      <c r="Z197" s="104">
        <f>CHOOSE(MATCH(IF($U197="","Основний",$U197),{"Трафіковий","Основний","Маржинальний","Сезонний","Стратегічний"},0),0.16,0.19,0.24,0.23,0.28)</f>
        <v/>
      </c>
      <c r="AA197" s="104">
        <f>CHOOSE(MATCH(IF($U197="","Основний",$U197),{"Трафіковий","Основний","Маржинальний","Сезонний","Стратегічний"},0),0.18,0.21,0.26,0.25,0.3)</f>
        <v/>
      </c>
      <c r="AB197" s="104">
        <f>CHOOSE(MATCH(IF($U197="","Основний",$U197),{"Трафіковий","Основний","Маржинальний","Сезонний","Стратегічний"},0),0.19,0.22,0.28,0.26,0.32)</f>
        <v/>
      </c>
      <c r="AC197" s="104">
        <f>CHOOSE(MATCH(IF($U197="","Основний",$U197),{"Трафіковий","Основний","Маржинальний","Сезонний","Стратегічний"},0),0.17,0.2,0.25,0.24,0.28)</f>
        <v/>
      </c>
      <c r="AD197" s="104">
        <f>CHOOSE(MATCH(IF($U197="","Основний",$U197),{"Трафіковий","Основний","Маржинальний","Сезонний","Стратегічний"},0),0.18,0.21,0.26,0.25,0.3)</f>
        <v/>
      </c>
      <c r="AE197" s="104">
        <f>CHOOSE(MATCH(IF($U197="","Основний",$U197),{"Трафіковий","Основний","Маржинальний","Сезонний","Стратегічний"},0),0.18,0.2,0.28,0.27,0.32)</f>
        <v/>
      </c>
      <c r="AF197" s="104">
        <f>CHOOSE(MATCH(IF($U197="","Основний",$U197),{"Трафіковий","Основний","Маржинальний","Сезонний","Стратегічний"},0),0.15,0.175,0.22,0.21,0.25)</f>
        <v/>
      </c>
      <c r="AG197" s="104">
        <f>CHOOSE(MATCH(IF($U197="","Основний",$U197),{"Трафіковий","Основний","Маржинальний","Сезонний","Стратегічний"},0),0.13,0.16,0.21,0.2,0.25)</f>
        <v/>
      </c>
      <c r="AH197" s="104">
        <f>CHOOSE(MATCH(IF($U197="","Основний",$U197),{"Трафіковий","Основний","Маржинальний","Сезонний","Стратегічний"},0),0.15,0.18,0.23,0.22,0.27)</f>
        <v/>
      </c>
      <c r="AI197" s="104">
        <f>CHOOSE(MATCH(IF($U197="","Основний",$U197),{"Трафіковий","Основний","Маржинальний","Сезонний","Стратегічний"},0),0.16,0.19,0.25,0.23,0.29)</f>
        <v/>
      </c>
      <c r="AJ197" s="104">
        <f>CHOOSE(MATCH(IF($U197="","Основний",$U197),{"Трафіковий","Основний","Маржинальний","Сезонний","Стратегічний"},0),0.14,0.17,0.22,0.21,0.25)</f>
        <v/>
      </c>
      <c r="AK197" s="104">
        <f>CHOOSE(MATCH(IF($U197="","Основний",$U197),{"Трафіковий","Основний","Маржинальний","Сезонний","Стратегічний"},0),0.15,0.18,0.23,0.22,0.27)</f>
        <v/>
      </c>
      <c r="AL197" s="104">
        <f>CHOOSE(MATCH(IF($U197="","Основний",$U197),{"Трафіковий","Основний","Маржинальний","Сезонний","Стратегічний"},0),0.15,0.17,0.25,0.24,0.29)</f>
        <v/>
      </c>
      <c r="AM197" s="104">
        <f>CHOOSE(MATCH(IF($U197="","Основний",$U197),{"Трафіковий","Основний","Маржинальний","Сезонний","Стратегічний"},0),0.12,0.145,0.19,0.18,0.22)</f>
        <v/>
      </c>
      <c r="AN197" s="157">
        <f>CHOOSE(MATCH(IF($U197="","Основний",$U197),{"Трафіковий","Основний","Маржинальний","Сезонний","Стратегічний"},0),Settings!$B$78,Settings!$B$80,Settings!$B$82,Settings!$B$84,Settings!$B$86)</f>
        <v/>
      </c>
      <c r="AO197" s="157">
        <f>CHOOSE(MATCH(IF($U197="","Основний",$U197),{"Трафіковий","Основний","Маржинальний","Сезонний","Стратегічний"},0),Settings!$C$78,Settings!$C$80,Settings!$C$82,Settings!$C$84,Settings!$C$86)</f>
        <v/>
      </c>
      <c r="AP197" s="157">
        <f>CHOOSE(MATCH(IF($U197="","Основний",$U197),{"Трафіковий","Основний","Маржинальний","Сезонний","Стратегічний"},0),Settings!$D$78,Settings!$D$80,Settings!$D$82,Settings!$D$84,Settings!$D$86)</f>
        <v/>
      </c>
      <c r="AQ197" s="157">
        <f>CHOOSE(MATCH(IF($U197="","Основний",$U197),{"Трафіковий","Основний","Маржинальний","Сезонний","Стратегічний"},0),Settings!$F$78,Settings!$F$80,Settings!$F$82,Settings!$F$84,Settings!$F$86)</f>
        <v/>
      </c>
      <c r="AR197" s="157">
        <f>CHOOSE(MATCH(IF($U197="","Основний",$U197),{"Трафіковий","Основний","Маржинальний","Сезонний","Стратегічний"},0),Settings!$G$78,Settings!$G$80,Settings!$G$82,Settings!$G$84,Settings!$G$86)</f>
        <v/>
      </c>
      <c r="AS197" s="157">
        <f>CHOOSE(MATCH(IF($U197="","Основний",$U197),{"Трафіковий","Основний","Маржинальний","Сезонний","Стратегічний"},0),Settings!$H$78,Settings!$H$80,Settings!$H$82,Settings!$H$84,Settings!$H$86)</f>
        <v/>
      </c>
      <c r="AT197" s="157">
        <f>CHOOSE(MATCH(IF($U197="","Основний",$U197),{"Трафіковий","Основний","Маржинальний","Сезонний","Стратегічний"},0),Settings!$I$78,Settings!$I$80,Settings!$I$82,Settings!$I$84,Settings!$I$86)</f>
        <v/>
      </c>
      <c r="AU197" s="171" t="n"/>
      <c r="AV197" t="n">
        <v>1.35</v>
      </c>
    </row>
    <row r="198">
      <c r="A198" s="28" t="n"/>
      <c r="B198" s="29" t="inlineStr">
        <is>
          <t>B0560B</t>
        </is>
      </c>
      <c r="C198" s="29" t="inlineStr">
        <is>
          <t>EMOS PWB NTBF20 20000MAH 65W PD 1×USB-C 1×USB-A</t>
        </is>
      </c>
      <c r="D198" s="29" t="inlineStr">
        <is>
          <t>Powerbanks</t>
        </is>
      </c>
      <c r="E198" s="28" t="inlineStr">
        <is>
          <t>PC</t>
        </is>
      </c>
      <c r="F198" s="93" t="n">
        <v>19.046</v>
      </c>
      <c r="G198" s="30" t="n">
        <v>8507800090</v>
      </c>
      <c r="H198" s="31" t="n">
        <v>1.3</v>
      </c>
      <c r="I198" s="84">
        <f>IFERROR(F198*Settings!$B$2*H198*IF(AND(ISNUMBER(E198),E198&gt;1),E198,1),"")</f>
        <v/>
      </c>
      <c r="J198" s="32">
        <f>Settings!$B$66</f>
        <v/>
      </c>
      <c r="K198" s="95">
        <f>IFERROR(IF(T198="","",(T198*(1-AN198)*(1-Settings!$B$17)-I198)/(T198*(1-AN198)*(1-Settings!$B$17))),"")</f>
        <v/>
      </c>
      <c r="L198" s="101">
        <f>IFERROR(IF(T198="","",(T198*(1-AO198)*(1-Settings!$C$17)-I198)/(T198*(1-AO198)*(1-Settings!$C$17))),"")</f>
        <v/>
      </c>
      <c r="M198" s="101">
        <f>IFERROR(IF(T198="","",(T198*(1-AP198)*(1-Settings!$D$17)-I198)/(T198*(1-AP198)*(1-Settings!$D$17))),"")</f>
        <v/>
      </c>
      <c r="N198" s="101">
        <f>IFERROR(IF(T198="","",(T198*(1-AQ198)*(1-Settings!$F$17)-I198)/(T198*(1-AQ198)*(1-Settings!$F$17))),"")</f>
        <v/>
      </c>
      <c r="O198" s="101">
        <f>IFERROR(IF(T198="","",(T198*(1-AR198)*(1-Settings!$G$17)-I198)/(T198*(1-AR198)*(1-Settings!$G$17))),"")</f>
        <v/>
      </c>
      <c r="P198" s="101">
        <f>IFERROR(IF(T198="","",(T198*(1-AS198)*(1-Settings!$H$17)-I198)/(T198*(1-AS198)*(1-Settings!$H$17))),"")</f>
        <v/>
      </c>
      <c r="Q198" s="101">
        <f>IFERROR(IF(T198="","",(T198*(1-AT198)*(1-Settings!$I$68)*(1-Settings!$I$17)-I198)/(T198*(1-AT198)*(1-Settings!$I$68)*(1-Settings!$I$17))),"")</f>
        <v/>
      </c>
      <c r="R198" s="91">
        <f>IFERROR(IF(OR(I198="",Z198&gt;=1,Settings!$B$17&gt;=1,AN198&gt;=1),"",IF(MOD(ROUND(I198/(1-Z198)/(1-Settings!$B$17)/(1-AN198),0),10)=0,ROUND(I198/(1-Z198)/(1-Settings!$B$17)/(1-AN198),0)-1,IF(MOD(ROUND(I198/(1-Z198)/(1-Settings!$B$17)/(1-AN198),0),10)&lt;=5,FLOOR(ROUND(I198/(1-Z198)/(1-Settings!$B$17)/(1-AN198),0),10)+6,FLOOR(ROUND(I198/(1-Z198)/(1-Settings!$B$17)/(1-AN198),0),10)+9))),"")</f>
        <v/>
      </c>
      <c r="S198" s="174">
        <f>R198*0.95</f>
        <v/>
      </c>
      <c r="T198" s="91">
        <f>IF(S198&lt;&gt;"", IF(MOD(S198,10)=0,S198-1,IF(MOD(S198,10)&lt;=5,FLOOR(S198,10)+6,FLOOR(S198,10)+9)), R198)</f>
        <v/>
      </c>
      <c r="U198" s="87" t="inlineStr">
        <is>
          <t>Основний</t>
        </is>
      </c>
      <c r="V198" s="88" t="n"/>
      <c r="W198" s="88" t="n"/>
      <c r="X198" s="89">
        <f>IFERROR(IF(OR(V198="",W198="",T198=""),"", IF(T198&gt;W198,"Дорогий",IF(T198&lt;V198,"Дешевий","У ринку"))),"")</f>
        <v/>
      </c>
      <c r="Y198" s="90" t="n"/>
      <c r="Z198" s="104">
        <f>CHOOSE(MATCH(IF($U198="","Основний",$U198),{"Трафіковий","Основний","Маржинальний","Сезонний","Стратегічний"},0),0.16,0.19,0.24,0.23,0.28)</f>
        <v/>
      </c>
      <c r="AA198" s="104">
        <f>CHOOSE(MATCH(IF($U198="","Основний",$U198),{"Трафіковий","Основний","Маржинальний","Сезонний","Стратегічний"},0),0.18,0.21,0.26,0.25,0.3)</f>
        <v/>
      </c>
      <c r="AB198" s="104">
        <f>CHOOSE(MATCH(IF($U198="","Основний",$U198),{"Трафіковий","Основний","Маржинальний","Сезонний","Стратегічний"},0),0.19,0.22,0.28,0.26,0.32)</f>
        <v/>
      </c>
      <c r="AC198" s="104">
        <f>CHOOSE(MATCH(IF($U198="","Основний",$U198),{"Трафіковий","Основний","Маржинальний","Сезонний","Стратегічний"},0),0.17,0.2,0.25,0.24,0.28)</f>
        <v/>
      </c>
      <c r="AD198" s="104">
        <f>CHOOSE(MATCH(IF($U198="","Основний",$U198),{"Трафіковий","Основний","Маржинальний","Сезонний","Стратегічний"},0),0.18,0.21,0.26,0.25,0.3)</f>
        <v/>
      </c>
      <c r="AE198" s="104">
        <f>CHOOSE(MATCH(IF($U198="","Основний",$U198),{"Трафіковий","Основний","Маржинальний","Сезонний","Стратегічний"},0),0.18,0.2,0.28,0.27,0.32)</f>
        <v/>
      </c>
      <c r="AF198" s="104">
        <f>CHOOSE(MATCH(IF($U198="","Основний",$U198),{"Трафіковий","Основний","Маржинальний","Сезонний","Стратегічний"},0),0.15,0.175,0.22,0.21,0.25)</f>
        <v/>
      </c>
      <c r="AG198" s="104">
        <f>CHOOSE(MATCH(IF($U198="","Основний",$U198),{"Трафіковий","Основний","Маржинальний","Сезонний","Стратегічний"},0),0.13,0.16,0.21,0.2,0.25)</f>
        <v/>
      </c>
      <c r="AH198" s="104">
        <f>CHOOSE(MATCH(IF($U198="","Основний",$U198),{"Трафіковий","Основний","Маржинальний","Сезонний","Стратегічний"},0),0.15,0.18,0.23,0.22,0.27)</f>
        <v/>
      </c>
      <c r="AI198" s="104">
        <f>CHOOSE(MATCH(IF($U198="","Основний",$U198),{"Трафіковий","Основний","Маржинальний","Сезонний","Стратегічний"},0),0.16,0.19,0.25,0.23,0.29)</f>
        <v/>
      </c>
      <c r="AJ198" s="104">
        <f>CHOOSE(MATCH(IF($U198="","Основний",$U198),{"Трафіковий","Основний","Маржинальний","Сезонний","Стратегічний"},0),0.14,0.17,0.22,0.21,0.25)</f>
        <v/>
      </c>
      <c r="AK198" s="104">
        <f>CHOOSE(MATCH(IF($U198="","Основний",$U198),{"Трафіковий","Основний","Маржинальний","Сезонний","Стратегічний"},0),0.15,0.18,0.23,0.22,0.27)</f>
        <v/>
      </c>
      <c r="AL198" s="104">
        <f>CHOOSE(MATCH(IF($U198="","Основний",$U198),{"Трафіковий","Основний","Маржинальний","Сезонний","Стратегічний"},0),0.15,0.17,0.25,0.24,0.29)</f>
        <v/>
      </c>
      <c r="AM198" s="104">
        <f>CHOOSE(MATCH(IF($U198="","Основний",$U198),{"Трафіковий","Основний","Маржинальний","Сезонний","Стратегічний"},0),0.12,0.145,0.19,0.18,0.22)</f>
        <v/>
      </c>
      <c r="AN198" s="157">
        <f>CHOOSE(MATCH(IF($U198="","Основний",$U198),{"Трафіковий","Основний","Маржинальний","Сезонний","Стратегічний"},0),Settings!$B$78,Settings!$B$80,Settings!$B$82,Settings!$B$84,Settings!$B$86)</f>
        <v/>
      </c>
      <c r="AO198" s="157">
        <f>CHOOSE(MATCH(IF($U198="","Основний",$U198),{"Трафіковий","Основний","Маржинальний","Сезонний","Стратегічний"},0),Settings!$C$78,Settings!$C$80,Settings!$C$82,Settings!$C$84,Settings!$C$86)</f>
        <v/>
      </c>
      <c r="AP198" s="157">
        <f>CHOOSE(MATCH(IF($U198="","Основний",$U198),{"Трафіковий","Основний","Маржинальний","Сезонний","Стратегічний"},0),Settings!$D$78,Settings!$D$80,Settings!$D$82,Settings!$D$84,Settings!$D$86)</f>
        <v/>
      </c>
      <c r="AQ198" s="157">
        <f>CHOOSE(MATCH(IF($U198="","Основний",$U198),{"Трафіковий","Основний","Маржинальний","Сезонний","Стратегічний"},0),Settings!$F$78,Settings!$F$80,Settings!$F$82,Settings!$F$84,Settings!$F$86)</f>
        <v/>
      </c>
      <c r="AR198" s="157">
        <f>CHOOSE(MATCH(IF($U198="","Основний",$U198),{"Трафіковий","Основний","Маржинальний","Сезонний","Стратегічний"},0),Settings!$G$78,Settings!$G$80,Settings!$G$82,Settings!$G$84,Settings!$G$86)</f>
        <v/>
      </c>
      <c r="AS198" s="157">
        <f>CHOOSE(MATCH(IF($U198="","Основний",$U198),{"Трафіковий","Основний","Маржинальний","Сезонний","Стратегічний"},0),Settings!$H$78,Settings!$H$80,Settings!$H$82,Settings!$H$84,Settings!$H$86)</f>
        <v/>
      </c>
      <c r="AT198" s="157">
        <f>CHOOSE(MATCH(IF($U198="","Основний",$U198),{"Трафіковий","Основний","Маржинальний","Сезонний","Стратегічний"},0),Settings!$I$78,Settings!$I$80,Settings!$I$82,Settings!$I$84,Settings!$I$86)</f>
        <v/>
      </c>
      <c r="AU198" s="171" t="n"/>
      <c r="AV198" t="n">
        <v>1.35</v>
      </c>
    </row>
    <row r="199">
      <c r="A199" s="33" t="n"/>
      <c r="B199" s="34" t="inlineStr">
        <is>
          <t>B0561B</t>
        </is>
      </c>
      <c r="C199" s="34" t="inlineStr">
        <is>
          <t>EMOS PWB NTBF30 27000MAH 100W PD 1×USB-C 1×USB-A</t>
        </is>
      </c>
      <c r="D199" s="34" t="inlineStr">
        <is>
          <t>Powerbanks</t>
        </is>
      </c>
      <c r="E199" s="33" t="inlineStr">
        <is>
          <t>PC</t>
        </is>
      </c>
      <c r="F199" s="94" t="n">
        <v>34.87</v>
      </c>
      <c r="G199" s="35" t="n">
        <v>8507800090</v>
      </c>
      <c r="H199" s="31" t="n">
        <v>1.3</v>
      </c>
      <c r="I199" s="84">
        <f>IFERROR(F199*Settings!$B$2*H199*IF(AND(ISNUMBER(E199),E199&gt;1),E199,1),"")</f>
        <v/>
      </c>
      <c r="J199" s="32">
        <f>Settings!$B$66</f>
        <v/>
      </c>
      <c r="K199" s="95">
        <f>IFERROR(IF(T199="","",(T199*(1-AN199)*(1-Settings!$B$17)-I199)/(T199*(1-AN199)*(1-Settings!$B$17))),"")</f>
        <v/>
      </c>
      <c r="L199" s="101">
        <f>IFERROR(IF(T199="","",(T199*(1-AO199)*(1-Settings!$C$17)-I199)/(T199*(1-AO199)*(1-Settings!$C$17))),"")</f>
        <v/>
      </c>
      <c r="M199" s="101">
        <f>IFERROR(IF(T199="","",(T199*(1-AP199)*(1-Settings!$D$17)-I199)/(T199*(1-AP199)*(1-Settings!$D$17))),"")</f>
        <v/>
      </c>
      <c r="N199" s="101">
        <f>IFERROR(IF(T199="","",(T199*(1-AQ199)*(1-Settings!$F$17)-I199)/(T199*(1-AQ199)*(1-Settings!$F$17))),"")</f>
        <v/>
      </c>
      <c r="O199" s="101">
        <f>IFERROR(IF(T199="","",(T199*(1-AR199)*(1-Settings!$G$17)-I199)/(T199*(1-AR199)*(1-Settings!$G$17))),"")</f>
        <v/>
      </c>
      <c r="P199" s="101">
        <f>IFERROR(IF(T199="","",(T199*(1-AS199)*(1-Settings!$H$17)-I199)/(T199*(1-AS199)*(1-Settings!$H$17))),"")</f>
        <v/>
      </c>
      <c r="Q199" s="101">
        <f>IFERROR(IF(T199="","",(T199*(1-AT199)*(1-Settings!$I$68)*(1-Settings!$I$17)-I199)/(T199*(1-AT199)*(1-Settings!$I$68)*(1-Settings!$I$17))),"")</f>
        <v/>
      </c>
      <c r="R199" s="91">
        <f>IFERROR(IF(OR(I199="",Z199&gt;=1,Settings!$B$17&gt;=1,AN199&gt;=1),"",IF(MOD(ROUND(I199/(1-Z199)/(1-Settings!$B$17)/(1-AN199),0),10)=0,ROUND(I199/(1-Z199)/(1-Settings!$B$17)/(1-AN199),0)-1,IF(MOD(ROUND(I199/(1-Z199)/(1-Settings!$B$17)/(1-AN199),0),10)&lt;=5,FLOOR(ROUND(I199/(1-Z199)/(1-Settings!$B$17)/(1-AN199),0),10)+6,FLOOR(ROUND(I199/(1-Z199)/(1-Settings!$B$17)/(1-AN199),0),10)+9))),"")</f>
        <v/>
      </c>
      <c r="S199" s="174">
        <f>R199*0.95</f>
        <v/>
      </c>
      <c r="T199" s="91">
        <f>IF(S199&lt;&gt;"", IF(MOD(S199,10)=0,S199-1,IF(MOD(S199,10)&lt;=5,FLOOR(S199,10)+6,FLOOR(S199,10)+9)), R199)</f>
        <v/>
      </c>
      <c r="U199" s="87" t="inlineStr">
        <is>
          <t>Основний</t>
        </is>
      </c>
      <c r="V199" s="88" t="n"/>
      <c r="W199" s="88" t="n"/>
      <c r="X199" s="89">
        <f>IFERROR(IF(OR(V199="",W199="",T199=""),"", IF(T199&gt;W199,"Дорогий",IF(T199&lt;V199,"Дешевий","У ринку"))),"")</f>
        <v/>
      </c>
      <c r="Y199" s="90" t="n"/>
      <c r="Z199" s="104">
        <f>CHOOSE(MATCH(IF($U199="","Основний",$U199),{"Трафіковий","Основний","Маржинальний","Сезонний","Стратегічний"},0),0.16,0.19,0.24,0.23,0.28)</f>
        <v/>
      </c>
      <c r="AA199" s="104">
        <f>CHOOSE(MATCH(IF($U199="","Основний",$U199),{"Трафіковий","Основний","Маржинальний","Сезонний","Стратегічний"},0),0.18,0.21,0.26,0.25,0.3)</f>
        <v/>
      </c>
      <c r="AB199" s="104">
        <f>CHOOSE(MATCH(IF($U199="","Основний",$U199),{"Трафіковий","Основний","Маржинальний","Сезонний","Стратегічний"},0),0.19,0.22,0.28,0.26,0.32)</f>
        <v/>
      </c>
      <c r="AC199" s="104">
        <f>CHOOSE(MATCH(IF($U199="","Основний",$U199),{"Трафіковий","Основний","Маржинальний","Сезонний","Стратегічний"},0),0.17,0.2,0.25,0.24,0.28)</f>
        <v/>
      </c>
      <c r="AD199" s="104">
        <f>CHOOSE(MATCH(IF($U199="","Основний",$U199),{"Трафіковий","Основний","Маржинальний","Сезонний","Стратегічний"},0),0.18,0.21,0.26,0.25,0.3)</f>
        <v/>
      </c>
      <c r="AE199" s="104">
        <f>CHOOSE(MATCH(IF($U199="","Основний",$U199),{"Трафіковий","Основний","Маржинальний","Сезонний","Стратегічний"},0),0.18,0.2,0.28,0.27,0.32)</f>
        <v/>
      </c>
      <c r="AF199" s="104">
        <f>CHOOSE(MATCH(IF($U199="","Основний",$U199),{"Трафіковий","Основний","Маржинальний","Сезонний","Стратегічний"},0),0.15,0.175,0.22,0.21,0.25)</f>
        <v/>
      </c>
      <c r="AG199" s="104">
        <f>CHOOSE(MATCH(IF($U199="","Основний",$U199),{"Трафіковий","Основний","Маржинальний","Сезонний","Стратегічний"},0),0.13,0.16,0.21,0.2,0.25)</f>
        <v/>
      </c>
      <c r="AH199" s="104">
        <f>CHOOSE(MATCH(IF($U199="","Основний",$U199),{"Трафіковий","Основний","Маржинальний","Сезонний","Стратегічний"},0),0.15,0.18,0.23,0.22,0.27)</f>
        <v/>
      </c>
      <c r="AI199" s="104">
        <f>CHOOSE(MATCH(IF($U199="","Основний",$U199),{"Трафіковий","Основний","Маржинальний","Сезонний","Стратегічний"},0),0.16,0.19,0.25,0.23,0.29)</f>
        <v/>
      </c>
      <c r="AJ199" s="104">
        <f>CHOOSE(MATCH(IF($U199="","Основний",$U199),{"Трафіковий","Основний","Маржинальний","Сезонний","Стратегічний"},0),0.14,0.17,0.22,0.21,0.25)</f>
        <v/>
      </c>
      <c r="AK199" s="104">
        <f>CHOOSE(MATCH(IF($U199="","Основний",$U199),{"Трафіковий","Основний","Маржинальний","Сезонний","Стратегічний"},0),0.15,0.18,0.23,0.22,0.27)</f>
        <v/>
      </c>
      <c r="AL199" s="104">
        <f>CHOOSE(MATCH(IF($U199="","Основний",$U199),{"Трафіковий","Основний","Маржинальний","Сезонний","Стратегічний"},0),0.15,0.17,0.25,0.24,0.29)</f>
        <v/>
      </c>
      <c r="AM199" s="104">
        <f>CHOOSE(MATCH(IF($U199="","Основний",$U199),{"Трафіковий","Основний","Маржинальний","Сезонний","Стратегічний"},0),0.12,0.145,0.19,0.18,0.22)</f>
        <v/>
      </c>
      <c r="AN199" s="157">
        <f>CHOOSE(MATCH(IF($U199="","Основний",$U199),{"Трафіковий","Основний","Маржинальний","Сезонний","Стратегічний"},0),Settings!$B$78,Settings!$B$80,Settings!$B$82,Settings!$B$84,Settings!$B$86)</f>
        <v/>
      </c>
      <c r="AO199" s="157">
        <f>CHOOSE(MATCH(IF($U199="","Основний",$U199),{"Трафіковий","Основний","Маржинальний","Сезонний","Стратегічний"},0),Settings!$C$78,Settings!$C$80,Settings!$C$82,Settings!$C$84,Settings!$C$86)</f>
        <v/>
      </c>
      <c r="AP199" s="157">
        <f>CHOOSE(MATCH(IF($U199="","Основний",$U199),{"Трафіковий","Основний","Маржинальний","Сезонний","Стратегічний"},0),Settings!$D$78,Settings!$D$80,Settings!$D$82,Settings!$D$84,Settings!$D$86)</f>
        <v/>
      </c>
      <c r="AQ199" s="157">
        <f>CHOOSE(MATCH(IF($U199="","Основний",$U199),{"Трафіковий","Основний","Маржинальний","Сезонний","Стратегічний"},0),Settings!$F$78,Settings!$F$80,Settings!$F$82,Settings!$F$84,Settings!$F$86)</f>
        <v/>
      </c>
      <c r="AR199" s="157">
        <f>CHOOSE(MATCH(IF($U199="","Основний",$U199),{"Трафіковий","Основний","Маржинальний","Сезонний","Стратегічний"},0),Settings!$G$78,Settings!$G$80,Settings!$G$82,Settings!$G$84,Settings!$G$86)</f>
        <v/>
      </c>
      <c r="AS199" s="157">
        <f>CHOOSE(MATCH(IF($U199="","Основний",$U199),{"Трафіковий","Основний","Маржинальний","Сезонний","Стратегічний"},0),Settings!$H$78,Settings!$H$80,Settings!$H$82,Settings!$H$84,Settings!$H$86)</f>
        <v/>
      </c>
      <c r="AT199" s="157">
        <f>CHOOSE(MATCH(IF($U199="","Основний",$U199),{"Трафіковий","Основний","Маржинальний","Сезонний","Стратегічний"},0),Settings!$I$78,Settings!$I$80,Settings!$I$82,Settings!$I$84,Settings!$I$86)</f>
        <v/>
      </c>
      <c r="AU199" s="171" t="n"/>
      <c r="AV199" t="n">
        <v>1.35</v>
      </c>
    </row>
    <row r="200">
      <c r="A200" s="28" t="inlineStr">
        <is>
          <t>NEW</t>
        </is>
      </c>
      <c r="B200" s="29" t="inlineStr">
        <is>
          <t>B0531B</t>
        </is>
      </c>
      <c r="C200" s="29" t="inlineStr">
        <is>
          <t>EMOS Powerbank BetaQ 10 10000 B</t>
        </is>
      </c>
      <c r="D200" s="29" t="inlineStr">
        <is>
          <t>Powerbanks</t>
        </is>
      </c>
      <c r="E200" s="28" t="inlineStr">
        <is>
          <t>PC</t>
        </is>
      </c>
      <c r="F200" s="93" t="n">
        <v>8.705</v>
      </c>
      <c r="G200" s="30" t="n">
        <v>8507800090</v>
      </c>
      <c r="H200" s="31" t="n">
        <v>1.3</v>
      </c>
      <c r="I200" s="84">
        <f>IFERROR(F200*Settings!$B$2*H200*IF(AND(ISNUMBER(E200),E200&gt;1),E200,1),"")</f>
        <v/>
      </c>
      <c r="J200" s="32">
        <f>Settings!$B$66</f>
        <v/>
      </c>
      <c r="K200" s="95">
        <f>IFERROR(IF(T200="","",(T200*(1-AN200)*(1-Settings!$B$17)-I200)/(T200*(1-AN200)*(1-Settings!$B$17))),"")</f>
        <v/>
      </c>
      <c r="L200" s="101">
        <f>IFERROR(IF(T200="","",(T200*(1-AO200)*(1-Settings!$C$17)-I200)/(T200*(1-AO200)*(1-Settings!$C$17))),"")</f>
        <v/>
      </c>
      <c r="M200" s="101">
        <f>IFERROR(IF(T200="","",(T200*(1-AP200)*(1-Settings!$D$17)-I200)/(T200*(1-AP200)*(1-Settings!$D$17))),"")</f>
        <v/>
      </c>
      <c r="N200" s="101">
        <f>IFERROR(IF(T200="","",(T200*(1-AQ200)*(1-Settings!$F$17)-I200)/(T200*(1-AQ200)*(1-Settings!$F$17))),"")</f>
        <v/>
      </c>
      <c r="O200" s="101">
        <f>IFERROR(IF(T200="","",(T200*(1-AR200)*(1-Settings!$G$17)-I200)/(T200*(1-AR200)*(1-Settings!$G$17))),"")</f>
        <v/>
      </c>
      <c r="P200" s="101">
        <f>IFERROR(IF(T200="","",(T200*(1-AS200)*(1-Settings!$H$17)-I200)/(T200*(1-AS200)*(1-Settings!$H$17))),"")</f>
        <v/>
      </c>
      <c r="Q200" s="101">
        <f>IFERROR(IF(T200="","",(T200*(1-AT200)*(1-Settings!$I$68)*(1-Settings!$I$17)-I200)/(T200*(1-AT200)*(1-Settings!$I$68)*(1-Settings!$I$17))),"")</f>
        <v/>
      </c>
      <c r="R200" s="91">
        <f>IFERROR(IF(OR(I200="",Z200&gt;=1,Settings!$B$17&gt;=1,AN200&gt;=1),"",IF(MOD(ROUND(I200/(1-Z200)/(1-Settings!$B$17)/(1-AN200),0),10)=0,ROUND(I200/(1-Z200)/(1-Settings!$B$17)/(1-AN200),0)-1,IF(MOD(ROUND(I200/(1-Z200)/(1-Settings!$B$17)/(1-AN200),0),10)&lt;=5,FLOOR(ROUND(I200/(1-Z200)/(1-Settings!$B$17)/(1-AN200),0),10)+6,FLOOR(ROUND(I200/(1-Z200)/(1-Settings!$B$17)/(1-AN200),0),10)+9))),"")</f>
        <v/>
      </c>
      <c r="S200" s="174">
        <f>R200*0.95</f>
        <v/>
      </c>
      <c r="T200" s="91">
        <f>IF(S200&lt;&gt;"", IF(MOD(S200,10)=0,S200-1,IF(MOD(S200,10)&lt;=5,FLOOR(S200,10)+6,FLOOR(S200,10)+9)), R200)</f>
        <v/>
      </c>
      <c r="U200" s="87" t="inlineStr">
        <is>
          <t>Основний</t>
        </is>
      </c>
      <c r="V200" s="88" t="n"/>
      <c r="W200" s="88" t="n"/>
      <c r="X200" s="89">
        <f>IFERROR(IF(OR(V200="",W200="",T200=""),"", IF(T200&gt;W200,"Дорогий",IF(T200&lt;V200,"Дешевий","У ринку"))),"")</f>
        <v/>
      </c>
      <c r="Y200" s="90" t="n"/>
      <c r="Z200" s="104">
        <f>CHOOSE(MATCH(IF($U200="","Основний",$U200),{"Трафіковий","Основний","Маржинальний","Сезонний","Стратегічний"},0),0.16,0.19,0.24,0.23,0.28)</f>
        <v/>
      </c>
      <c r="AA200" s="104">
        <f>CHOOSE(MATCH(IF($U200="","Основний",$U200),{"Трафіковий","Основний","Маржинальний","Сезонний","Стратегічний"},0),0.18,0.21,0.26,0.25,0.3)</f>
        <v/>
      </c>
      <c r="AB200" s="104">
        <f>CHOOSE(MATCH(IF($U200="","Основний",$U200),{"Трафіковий","Основний","Маржинальний","Сезонний","Стратегічний"},0),0.19,0.22,0.28,0.26,0.32)</f>
        <v/>
      </c>
      <c r="AC200" s="104">
        <f>CHOOSE(MATCH(IF($U200="","Основний",$U200),{"Трафіковий","Основний","Маржинальний","Сезонний","Стратегічний"},0),0.17,0.2,0.25,0.24,0.28)</f>
        <v/>
      </c>
      <c r="AD200" s="104">
        <f>CHOOSE(MATCH(IF($U200="","Основний",$U200),{"Трафіковий","Основний","Маржинальний","Сезонний","Стратегічний"},0),0.18,0.21,0.26,0.25,0.3)</f>
        <v/>
      </c>
      <c r="AE200" s="104">
        <f>CHOOSE(MATCH(IF($U200="","Основний",$U200),{"Трафіковий","Основний","Маржинальний","Сезонний","Стратегічний"},0),0.18,0.2,0.28,0.27,0.32)</f>
        <v/>
      </c>
      <c r="AF200" s="104">
        <f>CHOOSE(MATCH(IF($U200="","Основний",$U200),{"Трафіковий","Основний","Маржинальний","Сезонний","Стратегічний"},0),0.15,0.175,0.22,0.21,0.25)</f>
        <v/>
      </c>
      <c r="AG200" s="104">
        <f>CHOOSE(MATCH(IF($U200="","Основний",$U200),{"Трафіковий","Основний","Маржинальний","Сезонний","Стратегічний"},0),0.13,0.16,0.21,0.2,0.25)</f>
        <v/>
      </c>
      <c r="AH200" s="104">
        <f>CHOOSE(MATCH(IF($U200="","Основний",$U200),{"Трафіковий","Основний","Маржинальний","Сезонний","Стратегічний"},0),0.15,0.18,0.23,0.22,0.27)</f>
        <v/>
      </c>
      <c r="AI200" s="104">
        <f>CHOOSE(MATCH(IF($U200="","Основний",$U200),{"Трафіковий","Основний","Маржинальний","Сезонний","Стратегічний"},0),0.16,0.19,0.25,0.23,0.29)</f>
        <v/>
      </c>
      <c r="AJ200" s="104">
        <f>CHOOSE(MATCH(IF($U200="","Основний",$U200),{"Трафіковий","Основний","Маржинальний","Сезонний","Стратегічний"},0),0.14,0.17,0.22,0.21,0.25)</f>
        <v/>
      </c>
      <c r="AK200" s="104">
        <f>CHOOSE(MATCH(IF($U200="","Основний",$U200),{"Трафіковий","Основний","Маржинальний","Сезонний","Стратегічний"},0),0.15,0.18,0.23,0.22,0.27)</f>
        <v/>
      </c>
      <c r="AL200" s="104">
        <f>CHOOSE(MATCH(IF($U200="","Основний",$U200),{"Трафіковий","Основний","Маржинальний","Сезонний","Стратегічний"},0),0.15,0.17,0.25,0.24,0.29)</f>
        <v/>
      </c>
      <c r="AM200" s="104">
        <f>CHOOSE(MATCH(IF($U200="","Основний",$U200),{"Трафіковий","Основний","Маржинальний","Сезонний","Стратегічний"},0),0.12,0.145,0.19,0.18,0.22)</f>
        <v/>
      </c>
      <c r="AN200" s="157">
        <f>CHOOSE(MATCH(IF($U200="","Основний",$U200),{"Трафіковий","Основний","Маржинальний","Сезонний","Стратегічний"},0),Settings!$B$78,Settings!$B$80,Settings!$B$82,Settings!$B$84,Settings!$B$86)</f>
        <v/>
      </c>
      <c r="AO200" s="157">
        <f>CHOOSE(MATCH(IF($U200="","Основний",$U200),{"Трафіковий","Основний","Маржинальний","Сезонний","Стратегічний"},0),Settings!$C$78,Settings!$C$80,Settings!$C$82,Settings!$C$84,Settings!$C$86)</f>
        <v/>
      </c>
      <c r="AP200" s="157">
        <f>CHOOSE(MATCH(IF($U200="","Основний",$U200),{"Трафіковий","Основний","Маржинальний","Сезонний","Стратегічний"},0),Settings!$D$78,Settings!$D$80,Settings!$D$82,Settings!$D$84,Settings!$D$86)</f>
        <v/>
      </c>
      <c r="AQ200" s="157">
        <f>CHOOSE(MATCH(IF($U200="","Основний",$U200),{"Трафіковий","Основний","Маржинальний","Сезонний","Стратегічний"},0),Settings!$F$78,Settings!$F$80,Settings!$F$82,Settings!$F$84,Settings!$F$86)</f>
        <v/>
      </c>
      <c r="AR200" s="157">
        <f>CHOOSE(MATCH(IF($U200="","Основний",$U200),{"Трафіковий","Основний","Маржинальний","Сезонний","Стратегічний"},0),Settings!$G$78,Settings!$G$80,Settings!$G$82,Settings!$G$84,Settings!$G$86)</f>
        <v/>
      </c>
      <c r="AS200" s="157">
        <f>CHOOSE(MATCH(IF($U200="","Основний",$U200),{"Трафіковий","Основний","Маржинальний","Сезонний","Стратегічний"},0),Settings!$H$78,Settings!$H$80,Settings!$H$82,Settings!$H$84,Settings!$H$86)</f>
        <v/>
      </c>
      <c r="AT200" s="157">
        <f>CHOOSE(MATCH(IF($U200="","Основний",$U200),{"Трафіковий","Основний","Маржинальний","Сезонний","Стратегічний"},0),Settings!$I$78,Settings!$I$80,Settings!$I$82,Settings!$I$84,Settings!$I$86)</f>
        <v/>
      </c>
      <c r="AU200" s="171" t="n"/>
      <c r="AV200" t="n">
        <v>1.35</v>
      </c>
    </row>
    <row r="201">
      <c r="A201" s="33" t="inlineStr">
        <is>
          <t>NEW</t>
        </is>
      </c>
      <c r="B201" s="34" t="inlineStr">
        <is>
          <t>B0532B</t>
        </is>
      </c>
      <c r="C201" s="34" t="inlineStr">
        <is>
          <t>EMOS Powerbank BetaQ 20 20000 B</t>
        </is>
      </c>
      <c r="D201" s="34" t="inlineStr">
        <is>
          <t>Powerbanks</t>
        </is>
      </c>
      <c r="E201" s="33" t="inlineStr">
        <is>
          <t>PC</t>
        </is>
      </c>
      <c r="F201" s="94" t="n">
        <v>11.304</v>
      </c>
      <c r="G201" s="35" t="n">
        <v>8507800090</v>
      </c>
      <c r="H201" s="31" t="n">
        <v>1.3</v>
      </c>
      <c r="I201" s="84">
        <f>IFERROR(F201*Settings!$B$2*H201*IF(AND(ISNUMBER(E201),E201&gt;1),E201,1),"")</f>
        <v/>
      </c>
      <c r="J201" s="32">
        <f>Settings!$B$66</f>
        <v/>
      </c>
      <c r="K201" s="95">
        <f>IFERROR(IF(T201="","",(T201*(1-AN201)*(1-Settings!$B$17)-I201)/(T201*(1-AN201)*(1-Settings!$B$17))),"")</f>
        <v/>
      </c>
      <c r="L201" s="101">
        <f>IFERROR(IF(T201="","",(T201*(1-AO201)*(1-Settings!$C$17)-I201)/(T201*(1-AO201)*(1-Settings!$C$17))),"")</f>
        <v/>
      </c>
      <c r="M201" s="101">
        <f>IFERROR(IF(T201="","",(T201*(1-AP201)*(1-Settings!$D$17)-I201)/(T201*(1-AP201)*(1-Settings!$D$17))),"")</f>
        <v/>
      </c>
      <c r="N201" s="101">
        <f>IFERROR(IF(T201="","",(T201*(1-AQ201)*(1-Settings!$F$17)-I201)/(T201*(1-AQ201)*(1-Settings!$F$17))),"")</f>
        <v/>
      </c>
      <c r="O201" s="101">
        <f>IFERROR(IF(T201="","",(T201*(1-AR201)*(1-Settings!$G$17)-I201)/(T201*(1-AR201)*(1-Settings!$G$17))),"")</f>
        <v/>
      </c>
      <c r="P201" s="101">
        <f>IFERROR(IF(T201="","",(T201*(1-AS201)*(1-Settings!$H$17)-I201)/(T201*(1-AS201)*(1-Settings!$H$17))),"")</f>
        <v/>
      </c>
      <c r="Q201" s="101">
        <f>IFERROR(IF(T201="","",(T201*(1-AT201)*(1-Settings!$I$68)*(1-Settings!$I$17)-I201)/(T201*(1-AT201)*(1-Settings!$I$68)*(1-Settings!$I$17))),"")</f>
        <v/>
      </c>
      <c r="R201" s="91">
        <f>IFERROR(IF(OR(I201="",Z201&gt;=1,Settings!$B$17&gt;=1,AN201&gt;=1),"",IF(MOD(ROUND(I201/(1-Z201)/(1-Settings!$B$17)/(1-AN201),0),10)=0,ROUND(I201/(1-Z201)/(1-Settings!$B$17)/(1-AN201),0)-1,IF(MOD(ROUND(I201/(1-Z201)/(1-Settings!$B$17)/(1-AN201),0),10)&lt;=5,FLOOR(ROUND(I201/(1-Z201)/(1-Settings!$B$17)/(1-AN201),0),10)+6,FLOOR(ROUND(I201/(1-Z201)/(1-Settings!$B$17)/(1-AN201),0),10)+9))),"")</f>
        <v/>
      </c>
      <c r="S201" s="174">
        <f>R201*0.95</f>
        <v/>
      </c>
      <c r="T201" s="91">
        <f>IF(S201&lt;&gt;"", IF(MOD(S201,10)=0,S201-1,IF(MOD(S201,10)&lt;=5,FLOOR(S201,10)+6,FLOOR(S201,10)+9)), R201)</f>
        <v/>
      </c>
      <c r="U201" s="87" t="inlineStr">
        <is>
          <t>Основний</t>
        </is>
      </c>
      <c r="V201" s="88" t="n"/>
      <c r="W201" s="88" t="n"/>
      <c r="X201" s="89">
        <f>IFERROR(IF(OR(V201="",W201="",T201=""),"", IF(T201&gt;W201,"Дорогий",IF(T201&lt;V201,"Дешевий","У ринку"))),"")</f>
        <v/>
      </c>
      <c r="Y201" s="90" t="n"/>
      <c r="Z201" s="104">
        <f>CHOOSE(MATCH(IF($U201="","Основний",$U201),{"Трафіковий","Основний","Маржинальний","Сезонний","Стратегічний"},0),0.16,0.19,0.24,0.23,0.28)</f>
        <v/>
      </c>
      <c r="AA201" s="104">
        <f>CHOOSE(MATCH(IF($U201="","Основний",$U201),{"Трафіковий","Основний","Маржинальний","Сезонний","Стратегічний"},0),0.18,0.21,0.26,0.25,0.3)</f>
        <v/>
      </c>
      <c r="AB201" s="104">
        <f>CHOOSE(MATCH(IF($U201="","Основний",$U201),{"Трафіковий","Основний","Маржинальний","Сезонний","Стратегічний"},0),0.19,0.22,0.28,0.26,0.32)</f>
        <v/>
      </c>
      <c r="AC201" s="104">
        <f>CHOOSE(MATCH(IF($U201="","Основний",$U201),{"Трафіковий","Основний","Маржинальний","Сезонний","Стратегічний"},0),0.17,0.2,0.25,0.24,0.28)</f>
        <v/>
      </c>
      <c r="AD201" s="104">
        <f>CHOOSE(MATCH(IF($U201="","Основний",$U201),{"Трафіковий","Основний","Маржинальний","Сезонний","Стратегічний"},0),0.18,0.21,0.26,0.25,0.3)</f>
        <v/>
      </c>
      <c r="AE201" s="104">
        <f>CHOOSE(MATCH(IF($U201="","Основний",$U201),{"Трафіковий","Основний","Маржинальний","Сезонний","Стратегічний"},0),0.18,0.2,0.28,0.27,0.32)</f>
        <v/>
      </c>
      <c r="AF201" s="104">
        <f>CHOOSE(MATCH(IF($U201="","Основний",$U201),{"Трафіковий","Основний","Маржинальний","Сезонний","Стратегічний"},0),0.15,0.175,0.22,0.21,0.25)</f>
        <v/>
      </c>
      <c r="AG201" s="104">
        <f>CHOOSE(MATCH(IF($U201="","Основний",$U201),{"Трафіковий","Основний","Маржинальний","Сезонний","Стратегічний"},0),0.13,0.16,0.21,0.2,0.25)</f>
        <v/>
      </c>
      <c r="AH201" s="104">
        <f>CHOOSE(MATCH(IF($U201="","Основний",$U201),{"Трафіковий","Основний","Маржинальний","Сезонний","Стратегічний"},0),0.15,0.18,0.23,0.22,0.27)</f>
        <v/>
      </c>
      <c r="AI201" s="104">
        <f>CHOOSE(MATCH(IF($U201="","Основний",$U201),{"Трафіковий","Основний","Маржинальний","Сезонний","Стратегічний"},0),0.16,0.19,0.25,0.23,0.29)</f>
        <v/>
      </c>
      <c r="AJ201" s="104">
        <f>CHOOSE(MATCH(IF($U201="","Основний",$U201),{"Трафіковий","Основний","Маржинальний","Сезонний","Стратегічний"},0),0.14,0.17,0.22,0.21,0.25)</f>
        <v/>
      </c>
      <c r="AK201" s="104">
        <f>CHOOSE(MATCH(IF($U201="","Основний",$U201),{"Трафіковий","Основний","Маржинальний","Сезонний","Стратегічний"},0),0.15,0.18,0.23,0.22,0.27)</f>
        <v/>
      </c>
      <c r="AL201" s="104">
        <f>CHOOSE(MATCH(IF($U201="","Основний",$U201),{"Трафіковий","Основний","Маржинальний","Сезонний","Стратегічний"},0),0.15,0.17,0.25,0.24,0.29)</f>
        <v/>
      </c>
      <c r="AM201" s="104">
        <f>CHOOSE(MATCH(IF($U201="","Основний",$U201),{"Трафіковий","Основний","Маржинальний","Сезонний","Стратегічний"},0),0.12,0.145,0.19,0.18,0.22)</f>
        <v/>
      </c>
      <c r="AN201" s="157">
        <f>CHOOSE(MATCH(IF($U201="","Основний",$U201),{"Трафіковий","Основний","Маржинальний","Сезонний","Стратегічний"},0),Settings!$B$78,Settings!$B$80,Settings!$B$82,Settings!$B$84,Settings!$B$86)</f>
        <v/>
      </c>
      <c r="AO201" s="157">
        <f>CHOOSE(MATCH(IF($U201="","Основний",$U201),{"Трафіковий","Основний","Маржинальний","Сезонний","Стратегічний"},0),Settings!$C$78,Settings!$C$80,Settings!$C$82,Settings!$C$84,Settings!$C$86)</f>
        <v/>
      </c>
      <c r="AP201" s="157">
        <f>CHOOSE(MATCH(IF($U201="","Основний",$U201),{"Трафіковий","Основний","Маржинальний","Сезонний","Стратегічний"},0),Settings!$D$78,Settings!$D$80,Settings!$D$82,Settings!$D$84,Settings!$D$86)</f>
        <v/>
      </c>
      <c r="AQ201" s="157">
        <f>CHOOSE(MATCH(IF($U201="","Основний",$U201),{"Трафіковий","Основний","Маржинальний","Сезонний","Стратегічний"},0),Settings!$F$78,Settings!$F$80,Settings!$F$82,Settings!$F$84,Settings!$F$86)</f>
        <v/>
      </c>
      <c r="AR201" s="157">
        <f>CHOOSE(MATCH(IF($U201="","Основний",$U201),{"Трафіковий","Основний","Маржинальний","Сезонний","Стратегічний"},0),Settings!$G$78,Settings!$G$80,Settings!$G$82,Settings!$G$84,Settings!$G$86)</f>
        <v/>
      </c>
      <c r="AS201" s="157">
        <f>CHOOSE(MATCH(IF($U201="","Основний",$U201),{"Трафіковий","Основний","Маржинальний","Сезонний","Стратегічний"},0),Settings!$H$78,Settings!$H$80,Settings!$H$82,Settings!$H$84,Settings!$H$86)</f>
        <v/>
      </c>
      <c r="AT201" s="157">
        <f>CHOOSE(MATCH(IF($U201="","Основний",$U201),{"Трафіковий","Основний","Маржинальний","Сезонний","Стратегічний"},0),Settings!$I$78,Settings!$I$80,Settings!$I$82,Settings!$I$84,Settings!$I$86)</f>
        <v/>
      </c>
      <c r="AU201" s="171" t="n"/>
      <c r="AV201" t="n">
        <v>1.35</v>
      </c>
    </row>
    <row r="202">
      <c r="A202" s="28" t="inlineStr">
        <is>
          <t>NEW</t>
        </is>
      </c>
      <c r="B202" s="29" t="inlineStr">
        <is>
          <t>B0571B</t>
        </is>
      </c>
      <c r="C202" s="29" t="inlineStr">
        <is>
          <t>EMOS POWERB. ALPHAQ3 10000 BLACK 2xUSB-A 1xUSB-C</t>
        </is>
      </c>
      <c r="D202" s="29" t="inlineStr">
        <is>
          <t>Powerbanks</t>
        </is>
      </c>
      <c r="E202" s="28" t="inlineStr">
        <is>
          <t>PC</t>
        </is>
      </c>
      <c r="F202" s="93" t="n">
        <v>6.326</v>
      </c>
      <c r="G202" s="30" t="n">
        <v>8507800090</v>
      </c>
      <c r="H202" s="31" t="n">
        <v>1.3</v>
      </c>
      <c r="I202" s="84">
        <f>IFERROR(F202*Settings!$B$2*H202*IF(AND(ISNUMBER(E202),E202&gt;1),E202,1),"")</f>
        <v/>
      </c>
      <c r="J202" s="32">
        <f>Settings!$B$66</f>
        <v/>
      </c>
      <c r="K202" s="95">
        <f>IFERROR(IF(T202="","",(T202*(1-AN202)*(1-Settings!$B$17)-I202)/(T202*(1-AN202)*(1-Settings!$B$17))),"")</f>
        <v/>
      </c>
      <c r="L202" s="101">
        <f>IFERROR(IF(T202="","",(T202*(1-AO202)*(1-Settings!$C$17)-I202)/(T202*(1-AO202)*(1-Settings!$C$17))),"")</f>
        <v/>
      </c>
      <c r="M202" s="101">
        <f>IFERROR(IF(T202="","",(T202*(1-AP202)*(1-Settings!$D$17)-I202)/(T202*(1-AP202)*(1-Settings!$D$17))),"")</f>
        <v/>
      </c>
      <c r="N202" s="101">
        <f>IFERROR(IF(T202="","",(T202*(1-AQ202)*(1-Settings!$F$17)-I202)/(T202*(1-AQ202)*(1-Settings!$F$17))),"")</f>
        <v/>
      </c>
      <c r="O202" s="101">
        <f>IFERROR(IF(T202="","",(T202*(1-AR202)*(1-Settings!$G$17)-I202)/(T202*(1-AR202)*(1-Settings!$G$17))),"")</f>
        <v/>
      </c>
      <c r="P202" s="101">
        <f>IFERROR(IF(T202="","",(T202*(1-AS202)*(1-Settings!$H$17)-I202)/(T202*(1-AS202)*(1-Settings!$H$17))),"")</f>
        <v/>
      </c>
      <c r="Q202" s="101">
        <f>IFERROR(IF(T202="","",(T202*(1-AT202)*(1-Settings!$I$68)*(1-Settings!$I$17)-I202)/(T202*(1-AT202)*(1-Settings!$I$68)*(1-Settings!$I$17))),"")</f>
        <v/>
      </c>
      <c r="R202" s="91">
        <f>IFERROR(IF(OR(I202="",Z202&gt;=1,Settings!$B$17&gt;=1,AN202&gt;=1),"",IF(MOD(ROUND(I202/(1-Z202)/(1-Settings!$B$17)/(1-AN202),0),10)=0,ROUND(I202/(1-Z202)/(1-Settings!$B$17)/(1-AN202),0)-1,IF(MOD(ROUND(I202/(1-Z202)/(1-Settings!$B$17)/(1-AN202),0),10)&lt;=5,FLOOR(ROUND(I202/(1-Z202)/(1-Settings!$B$17)/(1-AN202),0),10)+6,FLOOR(ROUND(I202/(1-Z202)/(1-Settings!$B$17)/(1-AN202),0),10)+9))),"")</f>
        <v/>
      </c>
      <c r="S202" s="174">
        <f>R202*0.95</f>
        <v/>
      </c>
      <c r="T202" s="91">
        <f>IF(S202&lt;&gt;"", IF(MOD(S202,10)=0,S202-1,IF(MOD(S202,10)&lt;=5,FLOOR(S202,10)+6,FLOOR(S202,10)+9)), R202)</f>
        <v/>
      </c>
      <c r="U202" s="87" t="inlineStr">
        <is>
          <t>Основний</t>
        </is>
      </c>
      <c r="V202" s="88" t="n"/>
      <c r="W202" s="88" t="n"/>
      <c r="X202" s="89">
        <f>IFERROR(IF(OR(V202="",W202="",T202=""),"", IF(T202&gt;W202,"Дорогий",IF(T202&lt;V202,"Дешевий","У ринку"))),"")</f>
        <v/>
      </c>
      <c r="Y202" s="90" t="n"/>
      <c r="Z202" s="104">
        <f>CHOOSE(MATCH(IF($U202="","Основний",$U202),{"Трафіковий","Основний","Маржинальний","Сезонний","Стратегічний"},0),0.16,0.19,0.24,0.23,0.28)</f>
        <v/>
      </c>
      <c r="AA202" s="104">
        <f>CHOOSE(MATCH(IF($U202="","Основний",$U202),{"Трафіковий","Основний","Маржинальний","Сезонний","Стратегічний"},0),0.18,0.21,0.26,0.25,0.3)</f>
        <v/>
      </c>
      <c r="AB202" s="104">
        <f>CHOOSE(MATCH(IF($U202="","Основний",$U202),{"Трафіковий","Основний","Маржинальний","Сезонний","Стратегічний"},0),0.19,0.22,0.28,0.26,0.32)</f>
        <v/>
      </c>
      <c r="AC202" s="104">
        <f>CHOOSE(MATCH(IF($U202="","Основний",$U202),{"Трафіковий","Основний","Маржинальний","Сезонний","Стратегічний"},0),0.17,0.2,0.25,0.24,0.28)</f>
        <v/>
      </c>
      <c r="AD202" s="104">
        <f>CHOOSE(MATCH(IF($U202="","Основний",$U202),{"Трафіковий","Основний","Маржинальний","Сезонний","Стратегічний"},0),0.18,0.21,0.26,0.25,0.3)</f>
        <v/>
      </c>
      <c r="AE202" s="104">
        <f>CHOOSE(MATCH(IF($U202="","Основний",$U202),{"Трафіковий","Основний","Маржинальний","Сезонний","Стратегічний"},0),0.18,0.2,0.28,0.27,0.32)</f>
        <v/>
      </c>
      <c r="AF202" s="104">
        <f>CHOOSE(MATCH(IF($U202="","Основний",$U202),{"Трафіковий","Основний","Маржинальний","Сезонний","Стратегічний"},0),0.15,0.175,0.22,0.21,0.25)</f>
        <v/>
      </c>
      <c r="AG202" s="104">
        <f>CHOOSE(MATCH(IF($U202="","Основний",$U202),{"Трафіковий","Основний","Маржинальний","Сезонний","Стратегічний"},0),0.13,0.16,0.21,0.2,0.25)</f>
        <v/>
      </c>
      <c r="AH202" s="104">
        <f>CHOOSE(MATCH(IF($U202="","Основний",$U202),{"Трафіковий","Основний","Маржинальний","Сезонний","Стратегічний"},0),0.15,0.18,0.23,0.22,0.27)</f>
        <v/>
      </c>
      <c r="AI202" s="104">
        <f>CHOOSE(MATCH(IF($U202="","Основний",$U202),{"Трафіковий","Основний","Маржинальний","Сезонний","Стратегічний"},0),0.16,0.19,0.25,0.23,0.29)</f>
        <v/>
      </c>
      <c r="AJ202" s="104">
        <f>CHOOSE(MATCH(IF($U202="","Основний",$U202),{"Трафіковий","Основний","Маржинальний","Сезонний","Стратегічний"},0),0.14,0.17,0.22,0.21,0.25)</f>
        <v/>
      </c>
      <c r="AK202" s="104">
        <f>CHOOSE(MATCH(IF($U202="","Основний",$U202),{"Трафіковий","Основний","Маржинальний","Сезонний","Стратегічний"},0),0.15,0.18,0.23,0.22,0.27)</f>
        <v/>
      </c>
      <c r="AL202" s="104">
        <f>CHOOSE(MATCH(IF($U202="","Основний",$U202),{"Трафіковий","Основний","Маржинальний","Сезонний","Стратегічний"},0),0.15,0.17,0.25,0.24,0.29)</f>
        <v/>
      </c>
      <c r="AM202" s="104">
        <f>CHOOSE(MATCH(IF($U202="","Основний",$U202),{"Трафіковий","Основний","Маржинальний","Сезонний","Стратегічний"},0),0.12,0.145,0.19,0.18,0.22)</f>
        <v/>
      </c>
      <c r="AN202" s="157">
        <f>CHOOSE(MATCH(IF($U202="","Основний",$U202),{"Трафіковий","Основний","Маржинальний","Сезонний","Стратегічний"},0),Settings!$B$78,Settings!$B$80,Settings!$B$82,Settings!$B$84,Settings!$B$86)</f>
        <v/>
      </c>
      <c r="AO202" s="157">
        <f>CHOOSE(MATCH(IF($U202="","Основний",$U202),{"Трафіковий","Основний","Маржинальний","Сезонний","Стратегічний"},0),Settings!$C$78,Settings!$C$80,Settings!$C$82,Settings!$C$84,Settings!$C$86)</f>
        <v/>
      </c>
      <c r="AP202" s="157">
        <f>CHOOSE(MATCH(IF($U202="","Основний",$U202),{"Трафіковий","Основний","Маржинальний","Сезонний","Стратегічний"},0),Settings!$D$78,Settings!$D$80,Settings!$D$82,Settings!$D$84,Settings!$D$86)</f>
        <v/>
      </c>
      <c r="AQ202" s="157">
        <f>CHOOSE(MATCH(IF($U202="","Основний",$U202),{"Трафіковий","Основний","Маржинальний","Сезонний","Стратегічний"},0),Settings!$F$78,Settings!$F$80,Settings!$F$82,Settings!$F$84,Settings!$F$86)</f>
        <v/>
      </c>
      <c r="AR202" s="157">
        <f>CHOOSE(MATCH(IF($U202="","Основний",$U202),{"Трафіковий","Основний","Маржинальний","Сезонний","Стратегічний"},0),Settings!$G$78,Settings!$G$80,Settings!$G$82,Settings!$G$84,Settings!$G$86)</f>
        <v/>
      </c>
      <c r="AS202" s="157">
        <f>CHOOSE(MATCH(IF($U202="","Основний",$U202),{"Трафіковий","Основний","Маржинальний","Сезонний","Стратегічний"},0),Settings!$H$78,Settings!$H$80,Settings!$H$82,Settings!$H$84,Settings!$H$86)</f>
        <v/>
      </c>
      <c r="AT202" s="157">
        <f>CHOOSE(MATCH(IF($U202="","Основний",$U202),{"Трафіковий","Основний","Маржинальний","Сезонний","Стратегічний"},0),Settings!$I$78,Settings!$I$80,Settings!$I$82,Settings!$I$84,Settings!$I$86)</f>
        <v/>
      </c>
      <c r="AU202" s="171" t="n"/>
      <c r="AV202" t="n">
        <v>1.35</v>
      </c>
    </row>
    <row r="203">
      <c r="A203" s="33" t="inlineStr">
        <is>
          <t>NEW</t>
        </is>
      </c>
      <c r="B203" s="34" t="inlineStr">
        <is>
          <t>B0572B</t>
        </is>
      </c>
      <c r="C203" s="34" t="inlineStr">
        <is>
          <t>EMOS POWERB. ALPHAQ3 20000 BLACK 2xUSB-A 1xUSB-C</t>
        </is>
      </c>
      <c r="D203" s="34" t="inlineStr">
        <is>
          <t>Powerbanks</t>
        </is>
      </c>
      <c r="E203" s="33" t="inlineStr">
        <is>
          <t>PC</t>
        </is>
      </c>
      <c r="F203" s="94" t="n">
        <v>9.032</v>
      </c>
      <c r="G203" s="35" t="n">
        <v>8507800090</v>
      </c>
      <c r="H203" s="31" t="n">
        <v>1.3</v>
      </c>
      <c r="I203" s="84">
        <f>IFERROR(F203*Settings!$B$2*H203*IF(AND(ISNUMBER(E203),E203&gt;1),E203,1),"")</f>
        <v/>
      </c>
      <c r="J203" s="32">
        <f>Settings!$B$66</f>
        <v/>
      </c>
      <c r="K203" s="95">
        <f>IFERROR(IF(T203="","",(T203*(1-AN203)*(1-Settings!$B$17)-I203)/(T203*(1-AN203)*(1-Settings!$B$17))),"")</f>
        <v/>
      </c>
      <c r="L203" s="101">
        <f>IFERROR(IF(T203="","",(T203*(1-AO203)*(1-Settings!$C$17)-I203)/(T203*(1-AO203)*(1-Settings!$C$17))),"")</f>
        <v/>
      </c>
      <c r="M203" s="101">
        <f>IFERROR(IF(T203="","",(T203*(1-AP203)*(1-Settings!$D$17)-I203)/(T203*(1-AP203)*(1-Settings!$D$17))),"")</f>
        <v/>
      </c>
      <c r="N203" s="101">
        <f>IFERROR(IF(T203="","",(T203*(1-AQ203)*(1-Settings!$F$17)-I203)/(T203*(1-AQ203)*(1-Settings!$F$17))),"")</f>
        <v/>
      </c>
      <c r="O203" s="101">
        <f>IFERROR(IF(T203="","",(T203*(1-AR203)*(1-Settings!$G$17)-I203)/(T203*(1-AR203)*(1-Settings!$G$17))),"")</f>
        <v/>
      </c>
      <c r="P203" s="101">
        <f>IFERROR(IF(T203="","",(T203*(1-AS203)*(1-Settings!$H$17)-I203)/(T203*(1-AS203)*(1-Settings!$H$17))),"")</f>
        <v/>
      </c>
      <c r="Q203" s="101">
        <f>IFERROR(IF(T203="","",(T203*(1-AT203)*(1-Settings!$I$68)*(1-Settings!$I$17)-I203)/(T203*(1-AT203)*(1-Settings!$I$68)*(1-Settings!$I$17))),"")</f>
        <v/>
      </c>
      <c r="R203" s="91">
        <f>IFERROR(IF(OR(I203="",Z203&gt;=1,Settings!$B$17&gt;=1,AN203&gt;=1),"",IF(MOD(ROUND(I203/(1-Z203)/(1-Settings!$B$17)/(1-AN203),0),10)=0,ROUND(I203/(1-Z203)/(1-Settings!$B$17)/(1-AN203),0)-1,IF(MOD(ROUND(I203/(1-Z203)/(1-Settings!$B$17)/(1-AN203),0),10)&lt;=5,FLOOR(ROUND(I203/(1-Z203)/(1-Settings!$B$17)/(1-AN203),0),10)+6,FLOOR(ROUND(I203/(1-Z203)/(1-Settings!$B$17)/(1-AN203),0),10)+9))),"")</f>
        <v/>
      </c>
      <c r="S203" s="174">
        <f>R203*0.95</f>
        <v/>
      </c>
      <c r="T203" s="91">
        <f>IF(S203&lt;&gt;"", IF(MOD(S203,10)=0,S203-1,IF(MOD(S203,10)&lt;=5,FLOOR(S203,10)+6,FLOOR(S203,10)+9)), R203)</f>
        <v/>
      </c>
      <c r="U203" s="87" t="inlineStr">
        <is>
          <t>Основний</t>
        </is>
      </c>
      <c r="V203" s="88" t="n"/>
      <c r="W203" s="88" t="n"/>
      <c r="X203" s="89">
        <f>IFERROR(IF(OR(V203="",W203="",T203=""),"", IF(T203&gt;W203,"Дорогий",IF(T203&lt;V203,"Дешевий","У ринку"))),"")</f>
        <v/>
      </c>
      <c r="Y203" s="90" t="n"/>
      <c r="Z203" s="104">
        <f>CHOOSE(MATCH(IF($U203="","Основний",$U203),{"Трафіковий","Основний","Маржинальний","Сезонний","Стратегічний"},0),0.16,0.19,0.24,0.23,0.28)</f>
        <v/>
      </c>
      <c r="AA203" s="104">
        <f>CHOOSE(MATCH(IF($U203="","Основний",$U203),{"Трафіковий","Основний","Маржинальний","Сезонний","Стратегічний"},0),0.18,0.21,0.26,0.25,0.3)</f>
        <v/>
      </c>
      <c r="AB203" s="104">
        <f>CHOOSE(MATCH(IF($U203="","Основний",$U203),{"Трафіковий","Основний","Маржинальний","Сезонний","Стратегічний"},0),0.19,0.22,0.28,0.26,0.32)</f>
        <v/>
      </c>
      <c r="AC203" s="104">
        <f>CHOOSE(MATCH(IF($U203="","Основний",$U203),{"Трафіковий","Основний","Маржинальний","Сезонний","Стратегічний"},0),0.17,0.2,0.25,0.24,0.28)</f>
        <v/>
      </c>
      <c r="AD203" s="104">
        <f>CHOOSE(MATCH(IF($U203="","Основний",$U203),{"Трафіковий","Основний","Маржинальний","Сезонний","Стратегічний"},0),0.18,0.21,0.26,0.25,0.3)</f>
        <v/>
      </c>
      <c r="AE203" s="104">
        <f>CHOOSE(MATCH(IF($U203="","Основний",$U203),{"Трафіковий","Основний","Маржинальний","Сезонний","Стратегічний"},0),0.18,0.2,0.28,0.27,0.32)</f>
        <v/>
      </c>
      <c r="AF203" s="104">
        <f>CHOOSE(MATCH(IF($U203="","Основний",$U203),{"Трафіковий","Основний","Маржинальний","Сезонний","Стратегічний"},0),0.15,0.175,0.22,0.21,0.25)</f>
        <v/>
      </c>
      <c r="AG203" s="104">
        <f>CHOOSE(MATCH(IF($U203="","Основний",$U203),{"Трафіковий","Основний","Маржинальний","Сезонний","Стратегічний"},0),0.13,0.16,0.21,0.2,0.25)</f>
        <v/>
      </c>
      <c r="AH203" s="104">
        <f>CHOOSE(MATCH(IF($U203="","Основний",$U203),{"Трафіковий","Основний","Маржинальний","Сезонний","Стратегічний"},0),0.15,0.18,0.23,0.22,0.27)</f>
        <v/>
      </c>
      <c r="AI203" s="104">
        <f>CHOOSE(MATCH(IF($U203="","Основний",$U203),{"Трафіковий","Основний","Маржинальний","Сезонний","Стратегічний"},0),0.16,0.19,0.25,0.23,0.29)</f>
        <v/>
      </c>
      <c r="AJ203" s="104">
        <f>CHOOSE(MATCH(IF($U203="","Основний",$U203),{"Трафіковий","Основний","Маржинальний","Сезонний","Стратегічний"},0),0.14,0.17,0.22,0.21,0.25)</f>
        <v/>
      </c>
      <c r="AK203" s="104">
        <f>CHOOSE(MATCH(IF($U203="","Основний",$U203),{"Трафіковий","Основний","Маржинальний","Сезонний","Стратегічний"},0),0.15,0.18,0.23,0.22,0.27)</f>
        <v/>
      </c>
      <c r="AL203" s="104">
        <f>CHOOSE(MATCH(IF($U203="","Основний",$U203),{"Трафіковий","Основний","Маржинальний","Сезонний","Стратегічний"},0),0.15,0.17,0.25,0.24,0.29)</f>
        <v/>
      </c>
      <c r="AM203" s="104">
        <f>CHOOSE(MATCH(IF($U203="","Основний",$U203),{"Трафіковий","Основний","Маржинальний","Сезонний","Стратегічний"},0),0.12,0.145,0.19,0.18,0.22)</f>
        <v/>
      </c>
      <c r="AN203" s="157">
        <f>CHOOSE(MATCH(IF($U203="","Основний",$U203),{"Трафіковий","Основний","Маржинальний","Сезонний","Стратегічний"},0),Settings!$B$78,Settings!$B$80,Settings!$B$82,Settings!$B$84,Settings!$B$86)</f>
        <v/>
      </c>
      <c r="AO203" s="157">
        <f>CHOOSE(MATCH(IF($U203="","Основний",$U203),{"Трафіковий","Основний","Маржинальний","Сезонний","Стратегічний"},0),Settings!$C$78,Settings!$C$80,Settings!$C$82,Settings!$C$84,Settings!$C$86)</f>
        <v/>
      </c>
      <c r="AP203" s="157">
        <f>CHOOSE(MATCH(IF($U203="","Основний",$U203),{"Трафіковий","Основний","Маржинальний","Сезонний","Стратегічний"},0),Settings!$D$78,Settings!$D$80,Settings!$D$82,Settings!$D$84,Settings!$D$86)</f>
        <v/>
      </c>
      <c r="AQ203" s="157">
        <f>CHOOSE(MATCH(IF($U203="","Основний",$U203),{"Трафіковий","Основний","Маржинальний","Сезонний","Стратегічний"},0),Settings!$F$78,Settings!$F$80,Settings!$F$82,Settings!$F$84,Settings!$F$86)</f>
        <v/>
      </c>
      <c r="AR203" s="157">
        <f>CHOOSE(MATCH(IF($U203="","Основний",$U203),{"Трафіковий","Основний","Маржинальний","Сезонний","Стратегічний"},0),Settings!$G$78,Settings!$G$80,Settings!$G$82,Settings!$G$84,Settings!$G$86)</f>
        <v/>
      </c>
      <c r="AS203" s="157">
        <f>CHOOSE(MATCH(IF($U203="","Основний",$U203),{"Трафіковий","Основний","Маржинальний","Сезонний","Стратегічний"},0),Settings!$H$78,Settings!$H$80,Settings!$H$82,Settings!$H$84,Settings!$H$86)</f>
        <v/>
      </c>
      <c r="AT203" s="157">
        <f>CHOOSE(MATCH(IF($U203="","Основний",$U203),{"Трафіковий","Основний","Маржинальний","Сезонний","Стратегічний"},0),Settings!$I$78,Settings!$I$80,Settings!$I$82,Settings!$I$84,Settings!$I$86)</f>
        <v/>
      </c>
      <c r="AU203" s="171" t="n"/>
      <c r="AV203" t="n">
        <v>1.35</v>
      </c>
    </row>
    <row r="204">
      <c r="A204" s="28" t="inlineStr">
        <is>
          <t>NEW</t>
        </is>
      </c>
      <c r="B204" s="29" t="inlineStr">
        <is>
          <t>B0551GY</t>
        </is>
      </c>
      <c r="C204" s="29" t="inlineStr">
        <is>
          <t>EMOS Mini Powerbank 10 000 mAh - metallic grey</t>
        </is>
      </c>
      <c r="D204" s="29" t="inlineStr">
        <is>
          <t>Powerbanks</t>
        </is>
      </c>
      <c r="E204" s="28" t="inlineStr">
        <is>
          <t>PC</t>
        </is>
      </c>
      <c r="F204" s="93" t="n">
        <v>12.446</v>
      </c>
      <c r="G204" s="30" t="n">
        <v>8507800090</v>
      </c>
      <c r="H204" s="31" t="n">
        <v>1.3</v>
      </c>
      <c r="I204" s="84">
        <f>IFERROR(F204*Settings!$B$2*H204*IF(AND(ISNUMBER(E204),E204&gt;1),E204,1),"")</f>
        <v/>
      </c>
      <c r="J204" s="32">
        <f>Settings!$B$66</f>
        <v/>
      </c>
      <c r="K204" s="95">
        <f>IFERROR(IF(T204="","",(T204*(1-AN204)*(1-Settings!$B$17)-I204)/(T204*(1-AN204)*(1-Settings!$B$17))),"")</f>
        <v/>
      </c>
      <c r="L204" s="101">
        <f>IFERROR(IF(T204="","",(T204*(1-AO204)*(1-Settings!$C$17)-I204)/(T204*(1-AO204)*(1-Settings!$C$17))),"")</f>
        <v/>
      </c>
      <c r="M204" s="101">
        <f>IFERROR(IF(T204="","",(T204*(1-AP204)*(1-Settings!$D$17)-I204)/(T204*(1-AP204)*(1-Settings!$D$17))),"")</f>
        <v/>
      </c>
      <c r="N204" s="101">
        <f>IFERROR(IF(T204="","",(T204*(1-AQ204)*(1-Settings!$F$17)-I204)/(T204*(1-AQ204)*(1-Settings!$F$17))),"")</f>
        <v/>
      </c>
      <c r="O204" s="101">
        <f>IFERROR(IF(T204="","",(T204*(1-AR204)*(1-Settings!$G$17)-I204)/(T204*(1-AR204)*(1-Settings!$G$17))),"")</f>
        <v/>
      </c>
      <c r="P204" s="101">
        <f>IFERROR(IF(T204="","",(T204*(1-AS204)*(1-Settings!$H$17)-I204)/(T204*(1-AS204)*(1-Settings!$H$17))),"")</f>
        <v/>
      </c>
      <c r="Q204" s="101">
        <f>IFERROR(IF(T204="","",(T204*(1-AT204)*(1-Settings!$I$68)*(1-Settings!$I$17)-I204)/(T204*(1-AT204)*(1-Settings!$I$68)*(1-Settings!$I$17))),"")</f>
        <v/>
      </c>
      <c r="R204" s="91">
        <f>IFERROR(IF(OR(I204="",Z204&gt;=1,Settings!$B$17&gt;=1,AN204&gt;=1),"",IF(MOD(ROUND(I204/(1-Z204)/(1-Settings!$B$17)/(1-AN204),0),10)=0,ROUND(I204/(1-Z204)/(1-Settings!$B$17)/(1-AN204),0)-1,IF(MOD(ROUND(I204/(1-Z204)/(1-Settings!$B$17)/(1-AN204),0),10)&lt;=5,FLOOR(ROUND(I204/(1-Z204)/(1-Settings!$B$17)/(1-AN204),0),10)+6,FLOOR(ROUND(I204/(1-Z204)/(1-Settings!$B$17)/(1-AN204),0),10)+9))),"")</f>
        <v/>
      </c>
      <c r="S204" s="174">
        <f>R204*0.95</f>
        <v/>
      </c>
      <c r="T204" s="91">
        <f>IF(S204&lt;&gt;"", IF(MOD(S204,10)=0,S204-1,IF(MOD(S204,10)&lt;=5,FLOOR(S204,10)+6,FLOOR(S204,10)+9)), R204)</f>
        <v/>
      </c>
      <c r="U204" s="87" t="inlineStr">
        <is>
          <t>Основний</t>
        </is>
      </c>
      <c r="V204" s="88" t="n"/>
      <c r="W204" s="88" t="n"/>
      <c r="X204" s="89">
        <f>IFERROR(IF(OR(V204="",W204="",T204=""),"", IF(T204&gt;W204,"Дорогий",IF(T204&lt;V204,"Дешевий","У ринку"))),"")</f>
        <v/>
      </c>
      <c r="Y204" s="90" t="n"/>
      <c r="Z204" s="104">
        <f>CHOOSE(MATCH(IF($U204="","Основний",$U204),{"Трафіковий","Основний","Маржинальний","Сезонний","Стратегічний"},0),0.16,0.19,0.24,0.23,0.28)</f>
        <v/>
      </c>
      <c r="AA204" s="104">
        <f>CHOOSE(MATCH(IF($U204="","Основний",$U204),{"Трафіковий","Основний","Маржинальний","Сезонний","Стратегічний"},0),0.18,0.21,0.26,0.25,0.3)</f>
        <v/>
      </c>
      <c r="AB204" s="104">
        <f>CHOOSE(MATCH(IF($U204="","Основний",$U204),{"Трафіковий","Основний","Маржинальний","Сезонний","Стратегічний"},0),0.19,0.22,0.28,0.26,0.32)</f>
        <v/>
      </c>
      <c r="AC204" s="104">
        <f>CHOOSE(MATCH(IF($U204="","Основний",$U204),{"Трафіковий","Основний","Маржинальний","Сезонний","Стратегічний"},0),0.17,0.2,0.25,0.24,0.28)</f>
        <v/>
      </c>
      <c r="AD204" s="104">
        <f>CHOOSE(MATCH(IF($U204="","Основний",$U204),{"Трафіковий","Основний","Маржинальний","Сезонний","Стратегічний"},0),0.18,0.21,0.26,0.25,0.3)</f>
        <v/>
      </c>
      <c r="AE204" s="104">
        <f>CHOOSE(MATCH(IF($U204="","Основний",$U204),{"Трафіковий","Основний","Маржинальний","Сезонний","Стратегічний"},0),0.18,0.2,0.28,0.27,0.32)</f>
        <v/>
      </c>
      <c r="AF204" s="104">
        <f>CHOOSE(MATCH(IF($U204="","Основний",$U204),{"Трафіковий","Основний","Маржинальний","Сезонний","Стратегічний"},0),0.15,0.175,0.22,0.21,0.25)</f>
        <v/>
      </c>
      <c r="AG204" s="104">
        <f>CHOOSE(MATCH(IF($U204="","Основний",$U204),{"Трафіковий","Основний","Маржинальний","Сезонний","Стратегічний"},0),0.13,0.16,0.21,0.2,0.25)</f>
        <v/>
      </c>
      <c r="AH204" s="104">
        <f>CHOOSE(MATCH(IF($U204="","Основний",$U204),{"Трафіковий","Основний","Маржинальний","Сезонний","Стратегічний"},0),0.15,0.18,0.23,0.22,0.27)</f>
        <v/>
      </c>
      <c r="AI204" s="104">
        <f>CHOOSE(MATCH(IF($U204="","Основний",$U204),{"Трафіковий","Основний","Маржинальний","Сезонний","Стратегічний"},0),0.16,0.19,0.25,0.23,0.29)</f>
        <v/>
      </c>
      <c r="AJ204" s="104">
        <f>CHOOSE(MATCH(IF($U204="","Основний",$U204),{"Трафіковий","Основний","Маржинальний","Сезонний","Стратегічний"},0),0.14,0.17,0.22,0.21,0.25)</f>
        <v/>
      </c>
      <c r="AK204" s="104">
        <f>CHOOSE(MATCH(IF($U204="","Основний",$U204),{"Трафіковий","Основний","Маржинальний","Сезонний","Стратегічний"},0),0.15,0.18,0.23,0.22,0.27)</f>
        <v/>
      </c>
      <c r="AL204" s="104">
        <f>CHOOSE(MATCH(IF($U204="","Основний",$U204),{"Трафіковий","Основний","Маржинальний","Сезонний","Стратегічний"},0),0.15,0.17,0.25,0.24,0.29)</f>
        <v/>
      </c>
      <c r="AM204" s="104">
        <f>CHOOSE(MATCH(IF($U204="","Основний",$U204),{"Трафіковий","Основний","Маржинальний","Сезонний","Стратегічний"},0),0.12,0.145,0.19,0.18,0.22)</f>
        <v/>
      </c>
      <c r="AN204" s="157">
        <f>CHOOSE(MATCH(IF($U204="","Основний",$U204),{"Трафіковий","Основний","Маржинальний","Сезонний","Стратегічний"},0),Settings!$B$78,Settings!$B$80,Settings!$B$82,Settings!$B$84,Settings!$B$86)</f>
        <v/>
      </c>
      <c r="AO204" s="157">
        <f>CHOOSE(MATCH(IF($U204="","Основний",$U204),{"Трафіковий","Основний","Маржинальний","Сезонний","Стратегічний"},0),Settings!$C$78,Settings!$C$80,Settings!$C$82,Settings!$C$84,Settings!$C$86)</f>
        <v/>
      </c>
      <c r="AP204" s="157">
        <f>CHOOSE(MATCH(IF($U204="","Основний",$U204),{"Трафіковий","Основний","Маржинальний","Сезонний","Стратегічний"},0),Settings!$D$78,Settings!$D$80,Settings!$D$82,Settings!$D$84,Settings!$D$86)</f>
        <v/>
      </c>
      <c r="AQ204" s="157">
        <f>CHOOSE(MATCH(IF($U204="","Основний",$U204),{"Трафіковий","Основний","Маржинальний","Сезонний","Стратегічний"},0),Settings!$F$78,Settings!$F$80,Settings!$F$82,Settings!$F$84,Settings!$F$86)</f>
        <v/>
      </c>
      <c r="AR204" s="157">
        <f>CHOOSE(MATCH(IF($U204="","Основний",$U204),{"Трафіковий","Основний","Маржинальний","Сезонний","Стратегічний"},0),Settings!$G$78,Settings!$G$80,Settings!$G$82,Settings!$G$84,Settings!$G$86)</f>
        <v/>
      </c>
      <c r="AS204" s="157">
        <f>CHOOSE(MATCH(IF($U204="","Основний",$U204),{"Трафіковий","Основний","Маржинальний","Сезонний","Стратегічний"},0),Settings!$H$78,Settings!$H$80,Settings!$H$82,Settings!$H$84,Settings!$H$86)</f>
        <v/>
      </c>
      <c r="AT204" s="157">
        <f>CHOOSE(MATCH(IF($U204="","Основний",$U204),{"Трафіковий","Основний","Маржинальний","Сезонний","Стратегічний"},0),Settings!$I$78,Settings!$I$80,Settings!$I$82,Settings!$I$84,Settings!$I$86)</f>
        <v/>
      </c>
      <c r="AU204" s="171" t="n"/>
      <c r="AV204" t="n">
        <v>1.35</v>
      </c>
    </row>
    <row r="205">
      <c r="A205" s="33" t="inlineStr">
        <is>
          <t>NEW</t>
        </is>
      </c>
      <c r="B205" s="34" t="inlineStr">
        <is>
          <t>B0551BL</t>
        </is>
      </c>
      <c r="C205" s="34" t="inlineStr">
        <is>
          <t>EMOS POWERBANK WI 1046 10000MAH BLUE</t>
        </is>
      </c>
      <c r="D205" s="34" t="inlineStr">
        <is>
          <t>Powerbanks</t>
        </is>
      </c>
      <c r="E205" s="33" t="inlineStr">
        <is>
          <t>PC</t>
        </is>
      </c>
      <c r="F205" s="94" t="n">
        <v>12.129</v>
      </c>
      <c r="G205" s="35" t="n">
        <v>8507800090</v>
      </c>
      <c r="H205" s="31" t="n">
        <v>1.3</v>
      </c>
      <c r="I205" s="84">
        <f>IFERROR(F205*Settings!$B$2*H205*IF(AND(ISNUMBER(E205),E205&gt;1),E205,1),"")</f>
        <v/>
      </c>
      <c r="J205" s="32">
        <f>Settings!$B$66</f>
        <v/>
      </c>
      <c r="K205" s="95">
        <f>IFERROR(IF(T205="","",(T205*(1-AN205)*(1-Settings!$B$17)-I205)/(T205*(1-AN205)*(1-Settings!$B$17))),"")</f>
        <v/>
      </c>
      <c r="L205" s="101">
        <f>IFERROR(IF(T205="","",(T205*(1-AO205)*(1-Settings!$C$17)-I205)/(T205*(1-AO205)*(1-Settings!$C$17))),"")</f>
        <v/>
      </c>
      <c r="M205" s="101">
        <f>IFERROR(IF(T205="","",(T205*(1-AP205)*(1-Settings!$D$17)-I205)/(T205*(1-AP205)*(1-Settings!$D$17))),"")</f>
        <v/>
      </c>
      <c r="N205" s="101">
        <f>IFERROR(IF(T205="","",(T205*(1-AQ205)*(1-Settings!$F$17)-I205)/(T205*(1-AQ205)*(1-Settings!$F$17))),"")</f>
        <v/>
      </c>
      <c r="O205" s="101">
        <f>IFERROR(IF(T205="","",(T205*(1-AR205)*(1-Settings!$G$17)-I205)/(T205*(1-AR205)*(1-Settings!$G$17))),"")</f>
        <v/>
      </c>
      <c r="P205" s="101">
        <f>IFERROR(IF(T205="","",(T205*(1-AS205)*(1-Settings!$H$17)-I205)/(T205*(1-AS205)*(1-Settings!$H$17))),"")</f>
        <v/>
      </c>
      <c r="Q205" s="101">
        <f>IFERROR(IF(T205="","",(T205*(1-AT205)*(1-Settings!$I$68)*(1-Settings!$I$17)-I205)/(T205*(1-AT205)*(1-Settings!$I$68)*(1-Settings!$I$17))),"")</f>
        <v/>
      </c>
      <c r="R205" s="91">
        <f>IFERROR(IF(OR(I205="",Z205&gt;=1,Settings!$B$17&gt;=1,AN205&gt;=1),"",IF(MOD(ROUND(I205/(1-Z205)/(1-Settings!$B$17)/(1-AN205),0),10)=0,ROUND(I205/(1-Z205)/(1-Settings!$B$17)/(1-AN205),0)-1,IF(MOD(ROUND(I205/(1-Z205)/(1-Settings!$B$17)/(1-AN205),0),10)&lt;=5,FLOOR(ROUND(I205/(1-Z205)/(1-Settings!$B$17)/(1-AN205),0),10)+6,FLOOR(ROUND(I205/(1-Z205)/(1-Settings!$B$17)/(1-AN205),0),10)+9))),"")</f>
        <v/>
      </c>
      <c r="S205" s="174">
        <f>R205*0.95</f>
        <v/>
      </c>
      <c r="T205" s="91">
        <f>IF(S205&lt;&gt;"", IF(MOD(S205,10)=0,S205-1,IF(MOD(S205,10)&lt;=5,FLOOR(S205,10)+6,FLOOR(S205,10)+9)), R205)</f>
        <v/>
      </c>
      <c r="U205" s="87" t="inlineStr">
        <is>
          <t>Основний</t>
        </is>
      </c>
      <c r="V205" s="88" t="n"/>
      <c r="W205" s="88" t="n"/>
      <c r="X205" s="89">
        <f>IFERROR(IF(OR(V205="",W205="",T205=""),"", IF(T205&gt;W205,"Дорогий",IF(T205&lt;V205,"Дешевий","У ринку"))),"")</f>
        <v/>
      </c>
      <c r="Y205" s="90" t="n"/>
      <c r="Z205" s="104">
        <f>CHOOSE(MATCH(IF($U205="","Основний",$U205),{"Трафіковий","Основний","Маржинальний","Сезонний","Стратегічний"},0),0.16,0.19,0.24,0.23,0.28)</f>
        <v/>
      </c>
      <c r="AA205" s="104">
        <f>CHOOSE(MATCH(IF($U205="","Основний",$U205),{"Трафіковий","Основний","Маржинальний","Сезонний","Стратегічний"},0),0.18,0.21,0.26,0.25,0.3)</f>
        <v/>
      </c>
      <c r="AB205" s="104">
        <f>CHOOSE(MATCH(IF($U205="","Основний",$U205),{"Трафіковий","Основний","Маржинальний","Сезонний","Стратегічний"},0),0.19,0.22,0.28,0.26,0.32)</f>
        <v/>
      </c>
      <c r="AC205" s="104">
        <f>CHOOSE(MATCH(IF($U205="","Основний",$U205),{"Трафіковий","Основний","Маржинальний","Сезонний","Стратегічний"},0),0.17,0.2,0.25,0.24,0.28)</f>
        <v/>
      </c>
      <c r="AD205" s="104">
        <f>CHOOSE(MATCH(IF($U205="","Основний",$U205),{"Трафіковий","Основний","Маржинальний","Сезонний","Стратегічний"},0),0.18,0.21,0.26,0.25,0.3)</f>
        <v/>
      </c>
      <c r="AE205" s="104">
        <f>CHOOSE(MATCH(IF($U205="","Основний",$U205),{"Трафіковий","Основний","Маржинальний","Сезонний","Стратегічний"},0),0.18,0.2,0.28,0.27,0.32)</f>
        <v/>
      </c>
      <c r="AF205" s="104">
        <f>CHOOSE(MATCH(IF($U205="","Основний",$U205),{"Трафіковий","Основний","Маржинальний","Сезонний","Стратегічний"},0),0.15,0.175,0.22,0.21,0.25)</f>
        <v/>
      </c>
      <c r="AG205" s="104">
        <f>CHOOSE(MATCH(IF($U205="","Основний",$U205),{"Трафіковий","Основний","Маржинальний","Сезонний","Стратегічний"},0),0.13,0.16,0.21,0.2,0.25)</f>
        <v/>
      </c>
      <c r="AH205" s="104">
        <f>CHOOSE(MATCH(IF($U205="","Основний",$U205),{"Трафіковий","Основний","Маржинальний","Сезонний","Стратегічний"},0),0.15,0.18,0.23,0.22,0.27)</f>
        <v/>
      </c>
      <c r="AI205" s="104">
        <f>CHOOSE(MATCH(IF($U205="","Основний",$U205),{"Трафіковий","Основний","Маржинальний","Сезонний","Стратегічний"},0),0.16,0.19,0.25,0.23,0.29)</f>
        <v/>
      </c>
      <c r="AJ205" s="104">
        <f>CHOOSE(MATCH(IF($U205="","Основний",$U205),{"Трафіковий","Основний","Маржинальний","Сезонний","Стратегічний"},0),0.14,0.17,0.22,0.21,0.25)</f>
        <v/>
      </c>
      <c r="AK205" s="104">
        <f>CHOOSE(MATCH(IF($U205="","Основний",$U205),{"Трафіковий","Основний","Маржинальний","Сезонний","Стратегічний"},0),0.15,0.18,0.23,0.22,0.27)</f>
        <v/>
      </c>
      <c r="AL205" s="104">
        <f>CHOOSE(MATCH(IF($U205="","Основний",$U205),{"Трафіковий","Основний","Маржинальний","Сезонний","Стратегічний"},0),0.15,0.17,0.25,0.24,0.29)</f>
        <v/>
      </c>
      <c r="AM205" s="104">
        <f>CHOOSE(MATCH(IF($U205="","Основний",$U205),{"Трафіковий","Основний","Маржинальний","Сезонний","Стратегічний"},0),0.12,0.145,0.19,0.18,0.22)</f>
        <v/>
      </c>
      <c r="AN205" s="157">
        <f>CHOOSE(MATCH(IF($U205="","Основний",$U205),{"Трафіковий","Основний","Маржинальний","Сезонний","Стратегічний"},0),Settings!$B$78,Settings!$B$80,Settings!$B$82,Settings!$B$84,Settings!$B$86)</f>
        <v/>
      </c>
      <c r="AO205" s="157">
        <f>CHOOSE(MATCH(IF($U205="","Основний",$U205),{"Трафіковий","Основний","Маржинальний","Сезонний","Стратегічний"},0),Settings!$C$78,Settings!$C$80,Settings!$C$82,Settings!$C$84,Settings!$C$86)</f>
        <v/>
      </c>
      <c r="AP205" s="157">
        <f>CHOOSE(MATCH(IF($U205="","Основний",$U205),{"Трафіковий","Основний","Маржинальний","Сезонний","Стратегічний"},0),Settings!$D$78,Settings!$D$80,Settings!$D$82,Settings!$D$84,Settings!$D$86)</f>
        <v/>
      </c>
      <c r="AQ205" s="157">
        <f>CHOOSE(MATCH(IF($U205="","Основний",$U205),{"Трафіковий","Основний","Маржинальний","Сезонний","Стратегічний"},0),Settings!$F$78,Settings!$F$80,Settings!$F$82,Settings!$F$84,Settings!$F$86)</f>
        <v/>
      </c>
      <c r="AR205" s="157">
        <f>CHOOSE(MATCH(IF($U205="","Основний",$U205),{"Трафіковий","Основний","Маржинальний","Сезонний","Стратегічний"},0),Settings!$G$78,Settings!$G$80,Settings!$G$82,Settings!$G$84,Settings!$G$86)</f>
        <v/>
      </c>
      <c r="AS205" s="157">
        <f>CHOOSE(MATCH(IF($U205="","Основний",$U205),{"Трафіковий","Основний","Маржинальний","Сезонний","Стратегічний"},0),Settings!$H$78,Settings!$H$80,Settings!$H$82,Settings!$H$84,Settings!$H$86)</f>
        <v/>
      </c>
      <c r="AT205" s="157">
        <f>CHOOSE(MATCH(IF($U205="","Основний",$U205),{"Трафіковий","Основний","Маржинальний","Сезонний","Стратегічний"},0),Settings!$I$78,Settings!$I$80,Settings!$I$82,Settings!$I$84,Settings!$I$86)</f>
        <v/>
      </c>
      <c r="AU205" s="171" t="n"/>
      <c r="AV205" t="n">
        <v>1.35</v>
      </c>
    </row>
    <row r="206">
      <c r="A206" s="28" t="inlineStr">
        <is>
          <t>SELL OUT</t>
        </is>
      </c>
      <c r="B206" s="29" t="inlineStr">
        <is>
          <t>B0551S</t>
        </is>
      </c>
      <c r="C206" s="29" t="inlineStr">
        <is>
          <t>EMOS POWERBANK WI 1046 10000MAH SALMON</t>
        </is>
      </c>
      <c r="D206" s="29" t="inlineStr">
        <is>
          <t>Powerbanks</t>
        </is>
      </c>
      <c r="E206" s="28" t="inlineStr">
        <is>
          <t>PC</t>
        </is>
      </c>
      <c r="F206" s="93" t="n">
        <v>12.129</v>
      </c>
      <c r="G206" s="30" t="n">
        <v>8507800090</v>
      </c>
      <c r="H206" s="31" t="n">
        <v>1.3</v>
      </c>
      <c r="I206" s="84">
        <f>IFERROR(F206*Settings!$B$2*H206*IF(AND(ISNUMBER(E206),E206&gt;1),E206,1),"")</f>
        <v/>
      </c>
      <c r="J206" s="32">
        <f>Settings!$B$66</f>
        <v/>
      </c>
      <c r="K206" s="95">
        <f>IFERROR(IF(T206="","",(T206*(1-AN206)*(1-Settings!$B$17)-I206)/(T206*(1-AN206)*(1-Settings!$B$17))),"")</f>
        <v/>
      </c>
      <c r="L206" s="101">
        <f>IFERROR(IF(T206="","",(T206*(1-AO206)*(1-Settings!$C$17)-I206)/(T206*(1-AO206)*(1-Settings!$C$17))),"")</f>
        <v/>
      </c>
      <c r="M206" s="101">
        <f>IFERROR(IF(T206="","",(T206*(1-AP206)*(1-Settings!$D$17)-I206)/(T206*(1-AP206)*(1-Settings!$D$17))),"")</f>
        <v/>
      </c>
      <c r="N206" s="101">
        <f>IFERROR(IF(T206="","",(T206*(1-AQ206)*(1-Settings!$F$17)-I206)/(T206*(1-AQ206)*(1-Settings!$F$17))),"")</f>
        <v/>
      </c>
      <c r="O206" s="101">
        <f>IFERROR(IF(T206="","",(T206*(1-AR206)*(1-Settings!$G$17)-I206)/(T206*(1-AR206)*(1-Settings!$G$17))),"")</f>
        <v/>
      </c>
      <c r="P206" s="101">
        <f>IFERROR(IF(T206="","",(T206*(1-AS206)*(1-Settings!$H$17)-I206)/(T206*(1-AS206)*(1-Settings!$H$17))),"")</f>
        <v/>
      </c>
      <c r="Q206" s="101">
        <f>IFERROR(IF(T206="","",(T206*(1-AT206)*(1-Settings!$I$68)*(1-Settings!$I$17)-I206)/(T206*(1-AT206)*(1-Settings!$I$68)*(1-Settings!$I$17))),"")</f>
        <v/>
      </c>
      <c r="R206" s="91">
        <f>IFERROR(IF(OR(I206="",Z206&gt;=1,Settings!$B$17&gt;=1,AN206&gt;=1),"",IF(MOD(ROUND(I206/(1-Z206)/(1-Settings!$B$17)/(1-AN206),0),10)=0,ROUND(I206/(1-Z206)/(1-Settings!$B$17)/(1-AN206),0)-1,IF(MOD(ROUND(I206/(1-Z206)/(1-Settings!$B$17)/(1-AN206),0),10)&lt;=5,FLOOR(ROUND(I206/(1-Z206)/(1-Settings!$B$17)/(1-AN206),0),10)+6,FLOOR(ROUND(I206/(1-Z206)/(1-Settings!$B$17)/(1-AN206),0),10)+9))),"")</f>
        <v/>
      </c>
      <c r="S206" s="174">
        <f>R206*0.95</f>
        <v/>
      </c>
      <c r="T206" s="91">
        <f>IF(S206&lt;&gt;"", IF(MOD(S206,10)=0,S206-1,IF(MOD(S206,10)&lt;=5,FLOOR(S206,10)+6,FLOOR(S206,10)+9)), R206)</f>
        <v/>
      </c>
      <c r="U206" s="87" t="inlineStr">
        <is>
          <t>Основний</t>
        </is>
      </c>
      <c r="V206" s="88" t="n"/>
      <c r="W206" s="88" t="n"/>
      <c r="X206" s="89">
        <f>IFERROR(IF(OR(V206="",W206="",T206=""),"", IF(T206&gt;W206,"Дорогий",IF(T206&lt;V206,"Дешевий","У ринку"))),"")</f>
        <v/>
      </c>
      <c r="Y206" s="90" t="n"/>
      <c r="Z206" s="104">
        <f>CHOOSE(MATCH(IF($U206="","Основний",$U206),{"Трафіковий","Основний","Маржинальний","Сезонний","Стратегічний"},0),0.16,0.19,0.24,0.23,0.28)</f>
        <v/>
      </c>
      <c r="AA206" s="104">
        <f>CHOOSE(MATCH(IF($U206="","Основний",$U206),{"Трафіковий","Основний","Маржинальний","Сезонний","Стратегічний"},0),0.18,0.21,0.26,0.25,0.3)</f>
        <v/>
      </c>
      <c r="AB206" s="104">
        <f>CHOOSE(MATCH(IF($U206="","Основний",$U206),{"Трафіковий","Основний","Маржинальний","Сезонний","Стратегічний"},0),0.19,0.22,0.28,0.26,0.32)</f>
        <v/>
      </c>
      <c r="AC206" s="104">
        <f>CHOOSE(MATCH(IF($U206="","Основний",$U206),{"Трафіковий","Основний","Маржинальний","Сезонний","Стратегічний"},0),0.17,0.2,0.25,0.24,0.28)</f>
        <v/>
      </c>
      <c r="AD206" s="104">
        <f>CHOOSE(MATCH(IF($U206="","Основний",$U206),{"Трафіковий","Основний","Маржинальний","Сезонний","Стратегічний"},0),0.18,0.21,0.26,0.25,0.3)</f>
        <v/>
      </c>
      <c r="AE206" s="104">
        <f>CHOOSE(MATCH(IF($U206="","Основний",$U206),{"Трафіковий","Основний","Маржинальний","Сезонний","Стратегічний"},0),0.18,0.2,0.28,0.27,0.32)</f>
        <v/>
      </c>
      <c r="AF206" s="104">
        <f>CHOOSE(MATCH(IF($U206="","Основний",$U206),{"Трафіковий","Основний","Маржинальний","Сезонний","Стратегічний"},0),0.15,0.175,0.22,0.21,0.25)</f>
        <v/>
      </c>
      <c r="AG206" s="104">
        <f>CHOOSE(MATCH(IF($U206="","Основний",$U206),{"Трафіковий","Основний","Маржинальний","Сезонний","Стратегічний"},0),0.13,0.16,0.21,0.2,0.25)</f>
        <v/>
      </c>
      <c r="AH206" s="104">
        <f>CHOOSE(MATCH(IF($U206="","Основний",$U206),{"Трафіковий","Основний","Маржинальний","Сезонний","Стратегічний"},0),0.15,0.18,0.23,0.22,0.27)</f>
        <v/>
      </c>
      <c r="AI206" s="104">
        <f>CHOOSE(MATCH(IF($U206="","Основний",$U206),{"Трафіковий","Основний","Маржинальний","Сезонний","Стратегічний"},0),0.16,0.19,0.25,0.23,0.29)</f>
        <v/>
      </c>
      <c r="AJ206" s="104">
        <f>CHOOSE(MATCH(IF($U206="","Основний",$U206),{"Трафіковий","Основний","Маржинальний","Сезонний","Стратегічний"},0),0.14,0.17,0.22,0.21,0.25)</f>
        <v/>
      </c>
      <c r="AK206" s="104">
        <f>CHOOSE(MATCH(IF($U206="","Основний",$U206),{"Трафіковий","Основний","Маржинальний","Сезонний","Стратегічний"},0),0.15,0.18,0.23,0.22,0.27)</f>
        <v/>
      </c>
      <c r="AL206" s="104">
        <f>CHOOSE(MATCH(IF($U206="","Основний",$U206),{"Трафіковий","Основний","Маржинальний","Сезонний","Стратегічний"},0),0.15,0.17,0.25,0.24,0.29)</f>
        <v/>
      </c>
      <c r="AM206" s="104">
        <f>CHOOSE(MATCH(IF($U206="","Основний",$U206),{"Трафіковий","Основний","Маржинальний","Сезонний","Стратегічний"},0),0.12,0.145,0.19,0.18,0.22)</f>
        <v/>
      </c>
      <c r="AN206" s="157">
        <f>CHOOSE(MATCH(IF($U206="","Основний",$U206),{"Трафіковий","Основний","Маржинальний","Сезонний","Стратегічний"},0),Settings!$B$78,Settings!$B$80,Settings!$B$82,Settings!$B$84,Settings!$B$86)</f>
        <v/>
      </c>
      <c r="AO206" s="157">
        <f>CHOOSE(MATCH(IF($U206="","Основний",$U206),{"Трафіковий","Основний","Маржинальний","Сезонний","Стратегічний"},0),Settings!$C$78,Settings!$C$80,Settings!$C$82,Settings!$C$84,Settings!$C$86)</f>
        <v/>
      </c>
      <c r="AP206" s="157">
        <f>CHOOSE(MATCH(IF($U206="","Основний",$U206),{"Трафіковий","Основний","Маржинальний","Сезонний","Стратегічний"},0),Settings!$D$78,Settings!$D$80,Settings!$D$82,Settings!$D$84,Settings!$D$86)</f>
        <v/>
      </c>
      <c r="AQ206" s="157">
        <f>CHOOSE(MATCH(IF($U206="","Основний",$U206),{"Трафіковий","Основний","Маржинальний","Сезонний","Стратегічний"},0),Settings!$F$78,Settings!$F$80,Settings!$F$82,Settings!$F$84,Settings!$F$86)</f>
        <v/>
      </c>
      <c r="AR206" s="157">
        <f>CHOOSE(MATCH(IF($U206="","Основний",$U206),{"Трафіковий","Основний","Маржинальний","Сезонний","Стратегічний"},0),Settings!$G$78,Settings!$G$80,Settings!$G$82,Settings!$G$84,Settings!$G$86)</f>
        <v/>
      </c>
      <c r="AS206" s="157">
        <f>CHOOSE(MATCH(IF($U206="","Основний",$U206),{"Трафіковий","Основний","Маржинальний","Сезонний","Стратегічний"},0),Settings!$H$78,Settings!$H$80,Settings!$H$82,Settings!$H$84,Settings!$H$86)</f>
        <v/>
      </c>
      <c r="AT206" s="157">
        <f>CHOOSE(MATCH(IF($U206="","Основний",$U206),{"Трафіковий","Основний","Маржинальний","Сезонний","Стратегічний"},0),Settings!$I$78,Settings!$I$80,Settings!$I$82,Settings!$I$84,Settings!$I$86)</f>
        <v/>
      </c>
      <c r="AU206" s="171" t="n"/>
      <c r="AV206" t="n">
        <v>1.35</v>
      </c>
    </row>
    <row r="207">
      <c r="A207" s="33" t="inlineStr">
        <is>
          <t>NEW</t>
        </is>
      </c>
      <c r="B207" s="34" t="inlineStr">
        <is>
          <t>B0552RG</t>
        </is>
      </c>
      <c r="C207" s="34" t="inlineStr">
        <is>
          <t>EMOS POWERBANK WI1031 10000 mAh ROSEGOLD 1xUSB-C</t>
        </is>
      </c>
      <c r="D207" s="34" t="inlineStr">
        <is>
          <t>Powerbanks</t>
        </is>
      </c>
      <c r="E207" s="33" t="inlineStr">
        <is>
          <t>PC</t>
        </is>
      </c>
      <c r="F207" s="94" t="n">
        <v>16.309</v>
      </c>
      <c r="G207" s="35" t="n">
        <v>8507800090</v>
      </c>
      <c r="H207" s="31" t="n">
        <v>1.3</v>
      </c>
      <c r="I207" s="84">
        <f>IFERROR(F207*Settings!$B$2*H207*IF(AND(ISNUMBER(E207),E207&gt;1),E207,1),"")</f>
        <v/>
      </c>
      <c r="J207" s="32">
        <f>Settings!$B$66</f>
        <v/>
      </c>
      <c r="K207" s="95">
        <f>IFERROR(IF(T207="","",(T207*(1-AN207)*(1-Settings!$B$17)-I207)/(T207*(1-AN207)*(1-Settings!$B$17))),"")</f>
        <v/>
      </c>
      <c r="L207" s="101">
        <f>IFERROR(IF(T207="","",(T207*(1-AO207)*(1-Settings!$C$17)-I207)/(T207*(1-AO207)*(1-Settings!$C$17))),"")</f>
        <v/>
      </c>
      <c r="M207" s="101">
        <f>IFERROR(IF(T207="","",(T207*(1-AP207)*(1-Settings!$D$17)-I207)/(T207*(1-AP207)*(1-Settings!$D$17))),"")</f>
        <v/>
      </c>
      <c r="N207" s="101">
        <f>IFERROR(IF(T207="","",(T207*(1-AQ207)*(1-Settings!$F$17)-I207)/(T207*(1-AQ207)*(1-Settings!$F$17))),"")</f>
        <v/>
      </c>
      <c r="O207" s="101">
        <f>IFERROR(IF(T207="","",(T207*(1-AR207)*(1-Settings!$G$17)-I207)/(T207*(1-AR207)*(1-Settings!$G$17))),"")</f>
        <v/>
      </c>
      <c r="P207" s="101">
        <f>IFERROR(IF(T207="","",(T207*(1-AS207)*(1-Settings!$H$17)-I207)/(T207*(1-AS207)*(1-Settings!$H$17))),"")</f>
        <v/>
      </c>
      <c r="Q207" s="101">
        <f>IFERROR(IF(T207="","",(T207*(1-AT207)*(1-Settings!$I$68)*(1-Settings!$I$17)-I207)/(T207*(1-AT207)*(1-Settings!$I$68)*(1-Settings!$I$17))),"")</f>
        <v/>
      </c>
      <c r="R207" s="91">
        <f>IFERROR(IF(OR(I207="",Z207&gt;=1,Settings!$B$17&gt;=1,AN207&gt;=1),"",IF(MOD(ROUND(I207/(1-Z207)/(1-Settings!$B$17)/(1-AN207),0),10)=0,ROUND(I207/(1-Z207)/(1-Settings!$B$17)/(1-AN207),0)-1,IF(MOD(ROUND(I207/(1-Z207)/(1-Settings!$B$17)/(1-AN207),0),10)&lt;=5,FLOOR(ROUND(I207/(1-Z207)/(1-Settings!$B$17)/(1-AN207),0),10)+6,FLOOR(ROUND(I207/(1-Z207)/(1-Settings!$B$17)/(1-AN207),0),10)+9))),"")</f>
        <v/>
      </c>
      <c r="S207" s="174">
        <f>R207*0.95</f>
        <v/>
      </c>
      <c r="T207" s="91">
        <f>IF(S207&lt;&gt;"", IF(MOD(S207,10)=0,S207-1,IF(MOD(S207,10)&lt;=5,FLOOR(S207,10)+6,FLOOR(S207,10)+9)), R207)</f>
        <v/>
      </c>
      <c r="U207" s="87" t="inlineStr">
        <is>
          <t>Основний</t>
        </is>
      </c>
      <c r="V207" s="88" t="n"/>
      <c r="W207" s="88" t="n"/>
      <c r="X207" s="89">
        <f>IFERROR(IF(OR(V207="",W207="",T207=""),"", IF(T207&gt;W207,"Дорогий",IF(T207&lt;V207,"Дешевий","У ринку"))),"")</f>
        <v/>
      </c>
      <c r="Y207" s="90" t="n"/>
      <c r="Z207" s="104">
        <f>CHOOSE(MATCH(IF($U207="","Основний",$U207),{"Трафіковий","Основний","Маржинальний","Сезонний","Стратегічний"},0),0.16,0.19,0.24,0.23,0.28)</f>
        <v/>
      </c>
      <c r="AA207" s="104">
        <f>CHOOSE(MATCH(IF($U207="","Основний",$U207),{"Трафіковий","Основний","Маржинальний","Сезонний","Стратегічний"},0),0.18,0.21,0.26,0.25,0.3)</f>
        <v/>
      </c>
      <c r="AB207" s="104">
        <f>CHOOSE(MATCH(IF($U207="","Основний",$U207),{"Трафіковий","Основний","Маржинальний","Сезонний","Стратегічний"},0),0.19,0.22,0.28,0.26,0.32)</f>
        <v/>
      </c>
      <c r="AC207" s="104">
        <f>CHOOSE(MATCH(IF($U207="","Основний",$U207),{"Трафіковий","Основний","Маржинальний","Сезонний","Стратегічний"},0),0.17,0.2,0.25,0.24,0.28)</f>
        <v/>
      </c>
      <c r="AD207" s="104">
        <f>CHOOSE(MATCH(IF($U207="","Основний",$U207),{"Трафіковий","Основний","Маржинальний","Сезонний","Стратегічний"},0),0.18,0.21,0.26,0.25,0.3)</f>
        <v/>
      </c>
      <c r="AE207" s="104">
        <f>CHOOSE(MATCH(IF($U207="","Основний",$U207),{"Трафіковий","Основний","Маржинальний","Сезонний","Стратегічний"},0),0.18,0.2,0.28,0.27,0.32)</f>
        <v/>
      </c>
      <c r="AF207" s="104">
        <f>CHOOSE(MATCH(IF($U207="","Основний",$U207),{"Трафіковий","Основний","Маржинальний","Сезонний","Стратегічний"},0),0.15,0.175,0.22,0.21,0.25)</f>
        <v/>
      </c>
      <c r="AG207" s="104">
        <f>CHOOSE(MATCH(IF($U207="","Основний",$U207),{"Трафіковий","Основний","Маржинальний","Сезонний","Стратегічний"},0),0.13,0.16,0.21,0.2,0.25)</f>
        <v/>
      </c>
      <c r="AH207" s="104">
        <f>CHOOSE(MATCH(IF($U207="","Основний",$U207),{"Трафіковий","Основний","Маржинальний","Сезонний","Стратегічний"},0),0.15,0.18,0.23,0.22,0.27)</f>
        <v/>
      </c>
      <c r="AI207" s="104">
        <f>CHOOSE(MATCH(IF($U207="","Основний",$U207),{"Трафіковий","Основний","Маржинальний","Сезонний","Стратегічний"},0),0.16,0.19,0.25,0.23,0.29)</f>
        <v/>
      </c>
      <c r="AJ207" s="104">
        <f>CHOOSE(MATCH(IF($U207="","Основний",$U207),{"Трафіковий","Основний","Маржинальний","Сезонний","Стратегічний"},0),0.14,0.17,0.22,0.21,0.25)</f>
        <v/>
      </c>
      <c r="AK207" s="104">
        <f>CHOOSE(MATCH(IF($U207="","Основний",$U207),{"Трафіковий","Основний","Маржинальний","Сезонний","Стратегічний"},0),0.15,0.18,0.23,0.22,0.27)</f>
        <v/>
      </c>
      <c r="AL207" s="104">
        <f>CHOOSE(MATCH(IF($U207="","Основний",$U207),{"Трафіковий","Основний","Маржинальний","Сезонний","Стратегічний"},0),0.15,0.17,0.25,0.24,0.29)</f>
        <v/>
      </c>
      <c r="AM207" s="104">
        <f>CHOOSE(MATCH(IF($U207="","Основний",$U207),{"Трафіковий","Основний","Маржинальний","Сезонний","Стратегічний"},0),0.12,0.145,0.19,0.18,0.22)</f>
        <v/>
      </c>
      <c r="AN207" s="157">
        <f>CHOOSE(MATCH(IF($U207="","Основний",$U207),{"Трафіковий","Основний","Маржинальний","Сезонний","Стратегічний"},0),Settings!$B$78,Settings!$B$80,Settings!$B$82,Settings!$B$84,Settings!$B$86)</f>
        <v/>
      </c>
      <c r="AO207" s="157">
        <f>CHOOSE(MATCH(IF($U207="","Основний",$U207),{"Трафіковий","Основний","Маржинальний","Сезонний","Стратегічний"},0),Settings!$C$78,Settings!$C$80,Settings!$C$82,Settings!$C$84,Settings!$C$86)</f>
        <v/>
      </c>
      <c r="AP207" s="157">
        <f>CHOOSE(MATCH(IF($U207="","Основний",$U207),{"Трафіковий","Основний","Маржинальний","Сезонний","Стратегічний"},0),Settings!$D$78,Settings!$D$80,Settings!$D$82,Settings!$D$84,Settings!$D$86)</f>
        <v/>
      </c>
      <c r="AQ207" s="157">
        <f>CHOOSE(MATCH(IF($U207="","Основний",$U207),{"Трафіковий","Основний","Маржинальний","Сезонний","Стратегічний"},0),Settings!$F$78,Settings!$F$80,Settings!$F$82,Settings!$F$84,Settings!$F$86)</f>
        <v/>
      </c>
      <c r="AR207" s="157">
        <f>CHOOSE(MATCH(IF($U207="","Основний",$U207),{"Трафіковий","Основний","Маржинальний","Сезонний","Стратегічний"},0),Settings!$G$78,Settings!$G$80,Settings!$G$82,Settings!$G$84,Settings!$G$86)</f>
        <v/>
      </c>
      <c r="AS207" s="157">
        <f>CHOOSE(MATCH(IF($U207="","Основний",$U207),{"Трафіковий","Основний","Маржинальний","Сезонний","Стратегічний"},0),Settings!$H$78,Settings!$H$80,Settings!$H$82,Settings!$H$84,Settings!$H$86)</f>
        <v/>
      </c>
      <c r="AT207" s="157">
        <f>CHOOSE(MATCH(IF($U207="","Основний",$U207),{"Трафіковий","Основний","Маржинальний","Сезонний","Стратегічний"},0),Settings!$I$78,Settings!$I$80,Settings!$I$82,Settings!$I$84,Settings!$I$86)</f>
        <v/>
      </c>
      <c r="AU207" s="171" t="n"/>
      <c r="AV207" t="n">
        <v>1.35</v>
      </c>
    </row>
    <row r="208">
      <c r="A208" s="28" t="inlineStr">
        <is>
          <t>NEW</t>
        </is>
      </c>
      <c r="B208" s="29" t="inlineStr">
        <is>
          <t>B0552AG</t>
        </is>
      </c>
      <c r="C208" s="29" t="inlineStr">
        <is>
          <t>EMOS POWERBANK WI1031 10000mAh ARMY-GREEN 1xUSB-C</t>
        </is>
      </c>
      <c r="D208" s="29" t="inlineStr">
        <is>
          <t>Powerbanks</t>
        </is>
      </c>
      <c r="E208" s="28" t="inlineStr">
        <is>
          <t>PC</t>
        </is>
      </c>
      <c r="F208" s="93" t="n">
        <v>16.31</v>
      </c>
      <c r="G208" s="30" t="n">
        <v>8507800090</v>
      </c>
      <c r="H208" s="31" t="n">
        <v>1.3</v>
      </c>
      <c r="I208" s="84">
        <f>IFERROR(F208*Settings!$B$2*H208*IF(AND(ISNUMBER(E208),E208&gt;1),E208,1),"")</f>
        <v/>
      </c>
      <c r="J208" s="32">
        <f>Settings!$B$66</f>
        <v/>
      </c>
      <c r="K208" s="95">
        <f>IFERROR(IF(T208="","",(T208*(1-AN208)*(1-Settings!$B$17)-I208)/(T208*(1-AN208)*(1-Settings!$B$17))),"")</f>
        <v/>
      </c>
      <c r="L208" s="101">
        <f>IFERROR(IF(T208="","",(T208*(1-AO208)*(1-Settings!$C$17)-I208)/(T208*(1-AO208)*(1-Settings!$C$17))),"")</f>
        <v/>
      </c>
      <c r="M208" s="101">
        <f>IFERROR(IF(T208="","",(T208*(1-AP208)*(1-Settings!$D$17)-I208)/(T208*(1-AP208)*(1-Settings!$D$17))),"")</f>
        <v/>
      </c>
      <c r="N208" s="101">
        <f>IFERROR(IF(T208="","",(T208*(1-AQ208)*(1-Settings!$F$17)-I208)/(T208*(1-AQ208)*(1-Settings!$F$17))),"")</f>
        <v/>
      </c>
      <c r="O208" s="101">
        <f>IFERROR(IF(T208="","",(T208*(1-AR208)*(1-Settings!$G$17)-I208)/(T208*(1-AR208)*(1-Settings!$G$17))),"")</f>
        <v/>
      </c>
      <c r="P208" s="101">
        <f>IFERROR(IF(T208="","",(T208*(1-AS208)*(1-Settings!$H$17)-I208)/(T208*(1-AS208)*(1-Settings!$H$17))),"")</f>
        <v/>
      </c>
      <c r="Q208" s="101">
        <f>IFERROR(IF(T208="","",(T208*(1-AT208)*(1-Settings!$I$68)*(1-Settings!$I$17)-I208)/(T208*(1-AT208)*(1-Settings!$I$68)*(1-Settings!$I$17))),"")</f>
        <v/>
      </c>
      <c r="R208" s="91">
        <f>IFERROR(IF(OR(I208="",Z208&gt;=1,Settings!$B$17&gt;=1,AN208&gt;=1),"",IF(MOD(ROUND(I208/(1-Z208)/(1-Settings!$B$17)/(1-AN208),0),10)=0,ROUND(I208/(1-Z208)/(1-Settings!$B$17)/(1-AN208),0)-1,IF(MOD(ROUND(I208/(1-Z208)/(1-Settings!$B$17)/(1-AN208),0),10)&lt;=5,FLOOR(ROUND(I208/(1-Z208)/(1-Settings!$B$17)/(1-AN208),0),10)+6,FLOOR(ROUND(I208/(1-Z208)/(1-Settings!$B$17)/(1-AN208),0),10)+9))),"")</f>
        <v/>
      </c>
      <c r="S208" s="174">
        <f>R208*0.95</f>
        <v/>
      </c>
      <c r="T208" s="91">
        <f>IF(S208&lt;&gt;"", IF(MOD(S208,10)=0,S208-1,IF(MOD(S208,10)&lt;=5,FLOOR(S208,10)+6,FLOOR(S208,10)+9)), R208)</f>
        <v/>
      </c>
      <c r="U208" s="87" t="inlineStr">
        <is>
          <t>Основний</t>
        </is>
      </c>
      <c r="V208" s="88" t="n"/>
      <c r="W208" s="88" t="n"/>
      <c r="X208" s="89">
        <f>IFERROR(IF(OR(V208="",W208="",T208=""),"", IF(T208&gt;W208,"Дорогий",IF(T208&lt;V208,"Дешевий","У ринку"))),"")</f>
        <v/>
      </c>
      <c r="Y208" s="90" t="n"/>
      <c r="Z208" s="104">
        <f>CHOOSE(MATCH(IF($U208="","Основний",$U208),{"Трафіковий","Основний","Маржинальний","Сезонний","Стратегічний"},0),0.16,0.19,0.24,0.23,0.28)</f>
        <v/>
      </c>
      <c r="AA208" s="104">
        <f>CHOOSE(MATCH(IF($U208="","Основний",$U208),{"Трафіковий","Основний","Маржинальний","Сезонний","Стратегічний"},0),0.18,0.21,0.26,0.25,0.3)</f>
        <v/>
      </c>
      <c r="AB208" s="104">
        <f>CHOOSE(MATCH(IF($U208="","Основний",$U208),{"Трафіковий","Основний","Маржинальний","Сезонний","Стратегічний"},0),0.19,0.22,0.28,0.26,0.32)</f>
        <v/>
      </c>
      <c r="AC208" s="104">
        <f>CHOOSE(MATCH(IF($U208="","Основний",$U208),{"Трафіковий","Основний","Маржинальний","Сезонний","Стратегічний"},0),0.17,0.2,0.25,0.24,0.28)</f>
        <v/>
      </c>
      <c r="AD208" s="104">
        <f>CHOOSE(MATCH(IF($U208="","Основний",$U208),{"Трафіковий","Основний","Маржинальний","Сезонний","Стратегічний"},0),0.18,0.21,0.26,0.25,0.3)</f>
        <v/>
      </c>
      <c r="AE208" s="104">
        <f>CHOOSE(MATCH(IF($U208="","Основний",$U208),{"Трафіковий","Основний","Маржинальний","Сезонний","Стратегічний"},0),0.18,0.2,0.28,0.27,0.32)</f>
        <v/>
      </c>
      <c r="AF208" s="104">
        <f>CHOOSE(MATCH(IF($U208="","Основний",$U208),{"Трафіковий","Основний","Маржинальний","Сезонний","Стратегічний"},0),0.15,0.175,0.22,0.21,0.25)</f>
        <v/>
      </c>
      <c r="AG208" s="104">
        <f>CHOOSE(MATCH(IF($U208="","Основний",$U208),{"Трафіковий","Основний","Маржинальний","Сезонний","Стратегічний"},0),0.13,0.16,0.21,0.2,0.25)</f>
        <v/>
      </c>
      <c r="AH208" s="104">
        <f>CHOOSE(MATCH(IF($U208="","Основний",$U208),{"Трафіковий","Основний","Маржинальний","Сезонний","Стратегічний"},0),0.15,0.18,0.23,0.22,0.27)</f>
        <v/>
      </c>
      <c r="AI208" s="104">
        <f>CHOOSE(MATCH(IF($U208="","Основний",$U208),{"Трафіковий","Основний","Маржинальний","Сезонний","Стратегічний"},0),0.16,0.19,0.25,0.23,0.29)</f>
        <v/>
      </c>
      <c r="AJ208" s="104">
        <f>CHOOSE(MATCH(IF($U208="","Основний",$U208),{"Трафіковий","Основний","Маржинальний","Сезонний","Стратегічний"},0),0.14,0.17,0.22,0.21,0.25)</f>
        <v/>
      </c>
      <c r="AK208" s="104">
        <f>CHOOSE(MATCH(IF($U208="","Основний",$U208),{"Трафіковий","Основний","Маржинальний","Сезонний","Стратегічний"},0),0.15,0.18,0.23,0.22,0.27)</f>
        <v/>
      </c>
      <c r="AL208" s="104">
        <f>CHOOSE(MATCH(IF($U208="","Основний",$U208),{"Трафіковий","Основний","Маржинальний","Сезонний","Стратегічний"},0),0.15,0.17,0.25,0.24,0.29)</f>
        <v/>
      </c>
      <c r="AM208" s="104">
        <f>CHOOSE(MATCH(IF($U208="","Основний",$U208),{"Трафіковий","Основний","Маржинальний","Сезонний","Стратегічний"},0),0.12,0.145,0.19,0.18,0.22)</f>
        <v/>
      </c>
      <c r="AN208" s="157">
        <f>CHOOSE(MATCH(IF($U208="","Основний",$U208),{"Трафіковий","Основний","Маржинальний","Сезонний","Стратегічний"},0),Settings!$B$78,Settings!$B$80,Settings!$B$82,Settings!$B$84,Settings!$B$86)</f>
        <v/>
      </c>
      <c r="AO208" s="157">
        <f>CHOOSE(MATCH(IF($U208="","Основний",$U208),{"Трафіковий","Основний","Маржинальний","Сезонний","Стратегічний"},0),Settings!$C$78,Settings!$C$80,Settings!$C$82,Settings!$C$84,Settings!$C$86)</f>
        <v/>
      </c>
      <c r="AP208" s="157">
        <f>CHOOSE(MATCH(IF($U208="","Основний",$U208),{"Трафіковий","Основний","Маржинальний","Сезонний","Стратегічний"},0),Settings!$D$78,Settings!$D$80,Settings!$D$82,Settings!$D$84,Settings!$D$86)</f>
        <v/>
      </c>
      <c r="AQ208" s="157">
        <f>CHOOSE(MATCH(IF($U208="","Основний",$U208),{"Трафіковий","Основний","Маржинальний","Сезонний","Стратегічний"},0),Settings!$F$78,Settings!$F$80,Settings!$F$82,Settings!$F$84,Settings!$F$86)</f>
        <v/>
      </c>
      <c r="AR208" s="157">
        <f>CHOOSE(MATCH(IF($U208="","Основний",$U208),{"Трафіковий","Основний","Маржинальний","Сезонний","Стратегічний"},0),Settings!$G$78,Settings!$G$80,Settings!$G$82,Settings!$G$84,Settings!$G$86)</f>
        <v/>
      </c>
      <c r="AS208" s="157">
        <f>CHOOSE(MATCH(IF($U208="","Основний",$U208),{"Трафіковий","Основний","Маржинальний","Сезонний","Стратегічний"},0),Settings!$H$78,Settings!$H$80,Settings!$H$82,Settings!$H$84,Settings!$H$86)</f>
        <v/>
      </c>
      <c r="AT208" s="157">
        <f>CHOOSE(MATCH(IF($U208="","Основний",$U208),{"Трафіковий","Основний","Маржинальний","Сезонний","Стратегічний"},0),Settings!$I$78,Settings!$I$80,Settings!$I$82,Settings!$I$84,Settings!$I$86)</f>
        <v/>
      </c>
      <c r="AU208" s="171" t="n"/>
      <c r="AV208" t="n">
        <v>1.35</v>
      </c>
    </row>
    <row r="209">
      <c r="A209" s="33" t="n"/>
      <c r="B209" s="34" t="inlineStr">
        <is>
          <t>V01B10</t>
        </is>
      </c>
      <c r="C209" s="34" t="inlineStr">
        <is>
          <t>USB WALL CHARGER BASIC 10W, A</t>
        </is>
      </c>
      <c r="D209" s="34" t="inlineStr">
        <is>
          <t>Зарядки USB</t>
        </is>
      </c>
      <c r="E209" s="33" t="inlineStr">
        <is>
          <t>PC</t>
        </is>
      </c>
      <c r="F209" s="94" t="n">
        <v>2.116</v>
      </c>
      <c r="G209" s="35" t="n">
        <v>8504408390</v>
      </c>
      <c r="H209" s="31" t="n">
        <v>1.3</v>
      </c>
      <c r="I209" s="84">
        <f>IFERROR(F209*Settings!$B$2*H209*IF(AND(ISNUMBER(E209),E209&gt;1),E209,1),"")</f>
        <v/>
      </c>
      <c r="J209" s="32">
        <f>Settings!$B$66</f>
        <v/>
      </c>
      <c r="K209" s="95">
        <f>IFERROR(IF(T209="","",(T209*(1-AN209)*(1-Settings!$B$17)-I209)/(T209*(1-AN209)*(1-Settings!$B$17))),"")</f>
        <v/>
      </c>
      <c r="L209" s="101">
        <f>IFERROR(IF(T209="","",(T209*(1-AO209)*(1-Settings!$C$17)-I209)/(T209*(1-AO209)*(1-Settings!$C$17))),"")</f>
        <v/>
      </c>
      <c r="M209" s="101">
        <f>IFERROR(IF(T209="","",(T209*(1-AP209)*(1-Settings!$D$17)-I209)/(T209*(1-AP209)*(1-Settings!$D$17))),"")</f>
        <v/>
      </c>
      <c r="N209" s="101">
        <f>IFERROR(IF(T209="","",(T209*(1-AQ209)*(1-Settings!$F$17)-I209)/(T209*(1-AQ209)*(1-Settings!$F$17))),"")</f>
        <v/>
      </c>
      <c r="O209" s="101">
        <f>IFERROR(IF(T209="","",(T209*(1-AR209)*(1-Settings!$G$17)-I209)/(T209*(1-AR209)*(1-Settings!$G$17))),"")</f>
        <v/>
      </c>
      <c r="P209" s="101">
        <f>IFERROR(IF(T209="","",(T209*(1-AS209)*(1-Settings!$H$17)-I209)/(T209*(1-AS209)*(1-Settings!$H$17))),"")</f>
        <v/>
      </c>
      <c r="Q209" s="101">
        <f>IFERROR(IF(T209="","",(T209*(1-AT209)*(1-Settings!$I$68)*(1-Settings!$I$17)-I209)/(T209*(1-AT209)*(1-Settings!$I$68)*(1-Settings!$I$17))),"")</f>
        <v/>
      </c>
      <c r="R209" s="91">
        <f>IFERROR(IF(OR(I209="",Z209&gt;=1,Settings!$B$17&gt;=1,AN209&gt;=1),"",IF(MOD(ROUND(I209/(1-Z209)/(1-Settings!$B$17)/(1-AN209),0),10)=0,ROUND(I209/(1-Z209)/(1-Settings!$B$17)/(1-AN209),0)-1,IF(MOD(ROUND(I209/(1-Z209)/(1-Settings!$B$17)/(1-AN209),0),10)&lt;=5,FLOOR(ROUND(I209/(1-Z209)/(1-Settings!$B$17)/(1-AN209),0),10)+6,FLOOR(ROUND(I209/(1-Z209)/(1-Settings!$B$17)/(1-AN209),0),10)+9))),"")</f>
        <v/>
      </c>
      <c r="S209" s="174">
        <f>R209*0.95</f>
        <v/>
      </c>
      <c r="T209" s="91">
        <f>IF(S209&lt;&gt;"", IF(MOD(S209,10)=0,S209-1,IF(MOD(S209,10)&lt;=5,FLOOR(S209,10)+6,FLOOR(S209,10)+9)), R209)</f>
        <v/>
      </c>
      <c r="U209" s="87" t="inlineStr">
        <is>
          <t>Основний</t>
        </is>
      </c>
      <c r="V209" s="88" t="n"/>
      <c r="W209" s="88" t="n"/>
      <c r="X209" s="89">
        <f>IFERROR(IF(OR(V209="",W209="",T209=""),"", IF(T209&gt;W209,"Дорогий",IF(T209&lt;V209,"Дешевий","У ринку"))),"")</f>
        <v/>
      </c>
      <c r="Y209" s="90" t="n"/>
      <c r="Z209" s="104">
        <f>CHOOSE(MATCH(IF($U209="","Основний",$U209),{"Трафіковий","Основний","Маржинальний","Сезонний","Стратегічний"},0),0.16,0.19,0.24,0.23,0.28)</f>
        <v/>
      </c>
      <c r="AA209" s="104">
        <f>CHOOSE(MATCH(IF($U209="","Основний",$U209),{"Трафіковий","Основний","Маржинальний","Сезонний","Стратегічний"},0),0.18,0.21,0.26,0.25,0.3)</f>
        <v/>
      </c>
      <c r="AB209" s="104">
        <f>CHOOSE(MATCH(IF($U209="","Основний",$U209),{"Трафіковий","Основний","Маржинальний","Сезонний","Стратегічний"},0),0.19,0.22,0.28,0.26,0.32)</f>
        <v/>
      </c>
      <c r="AC209" s="104">
        <f>CHOOSE(MATCH(IF($U209="","Основний",$U209),{"Трафіковий","Основний","Маржинальний","Сезонний","Стратегічний"},0),0.17,0.2,0.25,0.24,0.28)</f>
        <v/>
      </c>
      <c r="AD209" s="104">
        <f>CHOOSE(MATCH(IF($U209="","Основний",$U209),{"Трафіковий","Основний","Маржинальний","Сезонний","Стратегічний"},0),0.18,0.21,0.26,0.25,0.3)</f>
        <v/>
      </c>
      <c r="AE209" s="104">
        <f>CHOOSE(MATCH(IF($U209="","Основний",$U209),{"Трафіковий","Основний","Маржинальний","Сезонний","Стратегічний"},0),0.18,0.2,0.28,0.27,0.32)</f>
        <v/>
      </c>
      <c r="AF209" s="104">
        <f>CHOOSE(MATCH(IF($U209="","Основний",$U209),{"Трафіковий","Основний","Маржинальний","Сезонний","Стратегічний"},0),0.15,0.175,0.22,0.21,0.25)</f>
        <v/>
      </c>
      <c r="AG209" s="104">
        <f>CHOOSE(MATCH(IF($U209="","Основний",$U209),{"Трафіковий","Основний","Маржинальний","Сезонний","Стратегічний"},0),0.13,0.16,0.21,0.2,0.25)</f>
        <v/>
      </c>
      <c r="AH209" s="104">
        <f>CHOOSE(MATCH(IF($U209="","Основний",$U209),{"Трафіковий","Основний","Маржинальний","Сезонний","Стратегічний"},0),0.15,0.18,0.23,0.22,0.27)</f>
        <v/>
      </c>
      <c r="AI209" s="104">
        <f>CHOOSE(MATCH(IF($U209="","Основний",$U209),{"Трафіковий","Основний","Маржинальний","Сезонний","Стратегічний"},0),0.16,0.19,0.25,0.23,0.29)</f>
        <v/>
      </c>
      <c r="AJ209" s="104">
        <f>CHOOSE(MATCH(IF($U209="","Основний",$U209),{"Трафіковий","Основний","Маржинальний","Сезонний","Стратегічний"},0),0.14,0.17,0.22,0.21,0.25)</f>
        <v/>
      </c>
      <c r="AK209" s="104">
        <f>CHOOSE(MATCH(IF($U209="","Основний",$U209),{"Трафіковий","Основний","Маржинальний","Сезонний","Стратегічний"},0),0.15,0.18,0.23,0.22,0.27)</f>
        <v/>
      </c>
      <c r="AL209" s="104">
        <f>CHOOSE(MATCH(IF($U209="","Основний",$U209),{"Трафіковий","Основний","Маржинальний","Сезонний","Стратегічний"},0),0.15,0.17,0.25,0.24,0.29)</f>
        <v/>
      </c>
      <c r="AM209" s="104">
        <f>CHOOSE(MATCH(IF($U209="","Основний",$U209),{"Трафіковий","Основний","Маржинальний","Сезонний","Стратегічний"},0),0.12,0.145,0.19,0.18,0.22)</f>
        <v/>
      </c>
      <c r="AN209" s="157">
        <f>CHOOSE(MATCH(IF($U209="","Основний",$U209),{"Трафіковий","Основний","Маржинальний","Сезонний","Стратегічний"},0),Settings!$B$78,Settings!$B$80,Settings!$B$82,Settings!$B$84,Settings!$B$86)</f>
        <v/>
      </c>
      <c r="AO209" s="157">
        <f>CHOOSE(MATCH(IF($U209="","Основний",$U209),{"Трафіковий","Основний","Маржинальний","Сезонний","Стратегічний"},0),Settings!$C$78,Settings!$C$80,Settings!$C$82,Settings!$C$84,Settings!$C$86)</f>
        <v/>
      </c>
      <c r="AP209" s="157">
        <f>CHOOSE(MATCH(IF($U209="","Основний",$U209),{"Трафіковий","Основний","Маржинальний","Сезонний","Стратегічний"},0),Settings!$D$78,Settings!$D$80,Settings!$D$82,Settings!$D$84,Settings!$D$86)</f>
        <v/>
      </c>
      <c r="AQ209" s="157">
        <f>CHOOSE(MATCH(IF($U209="","Основний",$U209),{"Трафіковий","Основний","Маржинальний","Сезонний","Стратегічний"},0),Settings!$F$78,Settings!$F$80,Settings!$F$82,Settings!$F$84,Settings!$F$86)</f>
        <v/>
      </c>
      <c r="AR209" s="157">
        <f>CHOOSE(MATCH(IF($U209="","Основний",$U209),{"Трафіковий","Основний","Маржинальний","Сезонний","Стратегічний"},0),Settings!$G$78,Settings!$G$80,Settings!$G$82,Settings!$G$84,Settings!$G$86)</f>
        <v/>
      </c>
      <c r="AS209" s="157">
        <f>CHOOSE(MATCH(IF($U209="","Основний",$U209),{"Трафіковий","Основний","Маржинальний","Сезонний","Стратегічний"},0),Settings!$H$78,Settings!$H$80,Settings!$H$82,Settings!$H$84,Settings!$H$86)</f>
        <v/>
      </c>
      <c r="AT209" s="157">
        <f>CHOOSE(MATCH(IF($U209="","Основний",$U209),{"Трафіковий","Основний","Маржинальний","Сезонний","Стратегічний"},0),Settings!$I$78,Settings!$I$80,Settings!$I$82,Settings!$I$84,Settings!$I$86)</f>
        <v/>
      </c>
      <c r="AU209" s="171" t="n"/>
      <c r="AV209" t="n">
        <v>1.4286</v>
      </c>
    </row>
    <row r="210">
      <c r="A210" s="28" t="n"/>
      <c r="B210" s="29" t="inlineStr">
        <is>
          <t>V02B15</t>
        </is>
      </c>
      <c r="C210" s="29" t="inlineStr">
        <is>
          <t>USB WALL CHARGER BASIC 15W, AC</t>
        </is>
      </c>
      <c r="D210" s="29" t="inlineStr">
        <is>
          <t>Зарядки USB</t>
        </is>
      </c>
      <c r="E210" s="28" t="inlineStr">
        <is>
          <t>PC</t>
        </is>
      </c>
      <c r="F210" s="93" t="n">
        <v>2.867</v>
      </c>
      <c r="G210" s="30" t="n">
        <v>8504408390</v>
      </c>
      <c r="H210" s="31" t="n">
        <v>1.3</v>
      </c>
      <c r="I210" s="84">
        <f>IFERROR(F210*Settings!$B$2*H210*IF(AND(ISNUMBER(E210),E210&gt;1),E210,1),"")</f>
        <v/>
      </c>
      <c r="J210" s="32">
        <f>Settings!$B$66</f>
        <v/>
      </c>
      <c r="K210" s="95">
        <f>IFERROR(IF(T210="","",(T210*(1-AN210)*(1-Settings!$B$17)-I210)/(T210*(1-AN210)*(1-Settings!$B$17))),"")</f>
        <v/>
      </c>
      <c r="L210" s="101">
        <f>IFERROR(IF(T210="","",(T210*(1-AO210)*(1-Settings!$C$17)-I210)/(T210*(1-AO210)*(1-Settings!$C$17))),"")</f>
        <v/>
      </c>
      <c r="M210" s="101">
        <f>IFERROR(IF(T210="","",(T210*(1-AP210)*(1-Settings!$D$17)-I210)/(T210*(1-AP210)*(1-Settings!$D$17))),"")</f>
        <v/>
      </c>
      <c r="N210" s="101">
        <f>IFERROR(IF(T210="","",(T210*(1-AQ210)*(1-Settings!$F$17)-I210)/(T210*(1-AQ210)*(1-Settings!$F$17))),"")</f>
        <v/>
      </c>
      <c r="O210" s="101">
        <f>IFERROR(IF(T210="","",(T210*(1-AR210)*(1-Settings!$G$17)-I210)/(T210*(1-AR210)*(1-Settings!$G$17))),"")</f>
        <v/>
      </c>
      <c r="P210" s="101">
        <f>IFERROR(IF(T210="","",(T210*(1-AS210)*(1-Settings!$H$17)-I210)/(T210*(1-AS210)*(1-Settings!$H$17))),"")</f>
        <v/>
      </c>
      <c r="Q210" s="101">
        <f>IFERROR(IF(T210="","",(T210*(1-AT210)*(1-Settings!$I$68)*(1-Settings!$I$17)-I210)/(T210*(1-AT210)*(1-Settings!$I$68)*(1-Settings!$I$17))),"")</f>
        <v/>
      </c>
      <c r="R210" s="91">
        <f>IFERROR(IF(OR(I210="",Z210&gt;=1,Settings!$B$17&gt;=1,AN210&gt;=1),"",IF(MOD(ROUND(I210/(1-Z210)/(1-Settings!$B$17)/(1-AN210),0),10)=0,ROUND(I210/(1-Z210)/(1-Settings!$B$17)/(1-AN210),0)-1,IF(MOD(ROUND(I210/(1-Z210)/(1-Settings!$B$17)/(1-AN210),0),10)&lt;=5,FLOOR(ROUND(I210/(1-Z210)/(1-Settings!$B$17)/(1-AN210),0),10)+6,FLOOR(ROUND(I210/(1-Z210)/(1-Settings!$B$17)/(1-AN210),0),10)+9))),"")</f>
        <v/>
      </c>
      <c r="S210" s="174">
        <f>R210*0.95</f>
        <v/>
      </c>
      <c r="T210" s="91">
        <f>IF(S210&lt;&gt;"", IF(MOD(S210,10)=0,S210-1,IF(MOD(S210,10)&lt;=5,FLOOR(S210,10)+6,FLOOR(S210,10)+9)), R210)</f>
        <v/>
      </c>
      <c r="U210" s="87" t="inlineStr">
        <is>
          <t>Основний</t>
        </is>
      </c>
      <c r="V210" s="88" t="n"/>
      <c r="W210" s="88" t="n"/>
      <c r="X210" s="89">
        <f>IFERROR(IF(OR(V210="",W210="",T210=""),"", IF(T210&gt;W210,"Дорогий",IF(T210&lt;V210,"Дешевий","У ринку"))),"")</f>
        <v/>
      </c>
      <c r="Y210" s="90" t="n"/>
      <c r="Z210" s="104">
        <f>CHOOSE(MATCH(IF($U210="","Основний",$U210),{"Трафіковий","Основний","Маржинальний","Сезонний","Стратегічний"},0),0.16,0.19,0.24,0.23,0.28)</f>
        <v/>
      </c>
      <c r="AA210" s="104">
        <f>CHOOSE(MATCH(IF($U210="","Основний",$U210),{"Трафіковий","Основний","Маржинальний","Сезонний","Стратегічний"},0),0.18,0.21,0.26,0.25,0.3)</f>
        <v/>
      </c>
      <c r="AB210" s="104">
        <f>CHOOSE(MATCH(IF($U210="","Основний",$U210),{"Трафіковий","Основний","Маржинальний","Сезонний","Стратегічний"},0),0.19,0.22,0.28,0.26,0.32)</f>
        <v/>
      </c>
      <c r="AC210" s="104">
        <f>CHOOSE(MATCH(IF($U210="","Основний",$U210),{"Трафіковий","Основний","Маржинальний","Сезонний","Стратегічний"},0),0.17,0.2,0.25,0.24,0.28)</f>
        <v/>
      </c>
      <c r="AD210" s="104">
        <f>CHOOSE(MATCH(IF($U210="","Основний",$U210),{"Трафіковий","Основний","Маржинальний","Сезонний","Стратегічний"},0),0.18,0.21,0.26,0.25,0.3)</f>
        <v/>
      </c>
      <c r="AE210" s="104">
        <f>CHOOSE(MATCH(IF($U210="","Основний",$U210),{"Трафіковий","Основний","Маржинальний","Сезонний","Стратегічний"},0),0.18,0.2,0.28,0.27,0.32)</f>
        <v/>
      </c>
      <c r="AF210" s="104">
        <f>CHOOSE(MATCH(IF($U210="","Основний",$U210),{"Трафіковий","Основний","Маржинальний","Сезонний","Стратегічний"},0),0.15,0.175,0.22,0.21,0.25)</f>
        <v/>
      </c>
      <c r="AG210" s="104">
        <f>CHOOSE(MATCH(IF($U210="","Основний",$U210),{"Трафіковий","Основний","Маржинальний","Сезонний","Стратегічний"},0),0.13,0.16,0.21,0.2,0.25)</f>
        <v/>
      </c>
      <c r="AH210" s="104">
        <f>CHOOSE(MATCH(IF($U210="","Основний",$U210),{"Трафіковий","Основний","Маржинальний","Сезонний","Стратегічний"},0),0.15,0.18,0.23,0.22,0.27)</f>
        <v/>
      </c>
      <c r="AI210" s="104">
        <f>CHOOSE(MATCH(IF($U210="","Основний",$U210),{"Трафіковий","Основний","Маржинальний","Сезонний","Стратегічний"},0),0.16,0.19,0.25,0.23,0.29)</f>
        <v/>
      </c>
      <c r="AJ210" s="104">
        <f>CHOOSE(MATCH(IF($U210="","Основний",$U210),{"Трафіковий","Основний","Маржинальний","Сезонний","Стратегічний"},0),0.14,0.17,0.22,0.21,0.25)</f>
        <v/>
      </c>
      <c r="AK210" s="104">
        <f>CHOOSE(MATCH(IF($U210="","Основний",$U210),{"Трафіковий","Основний","Маржинальний","Сезонний","Стратегічний"},0),0.15,0.18,0.23,0.22,0.27)</f>
        <v/>
      </c>
      <c r="AL210" s="104">
        <f>CHOOSE(MATCH(IF($U210="","Основний",$U210),{"Трафіковий","Основний","Маржинальний","Сезонний","Стратегічний"},0),0.15,0.17,0.25,0.24,0.29)</f>
        <v/>
      </c>
      <c r="AM210" s="104">
        <f>CHOOSE(MATCH(IF($U210="","Основний",$U210),{"Трафіковий","Основний","Маржинальний","Сезонний","Стратегічний"},0),0.12,0.145,0.19,0.18,0.22)</f>
        <v/>
      </c>
      <c r="AN210" s="157">
        <f>CHOOSE(MATCH(IF($U210="","Основний",$U210),{"Трафіковий","Основний","Маржинальний","Сезонний","Стратегічний"},0),Settings!$B$78,Settings!$B$80,Settings!$B$82,Settings!$B$84,Settings!$B$86)</f>
        <v/>
      </c>
      <c r="AO210" s="157">
        <f>CHOOSE(MATCH(IF($U210="","Основний",$U210),{"Трафіковий","Основний","Маржинальний","Сезонний","Стратегічний"},0),Settings!$C$78,Settings!$C$80,Settings!$C$82,Settings!$C$84,Settings!$C$86)</f>
        <v/>
      </c>
      <c r="AP210" s="157">
        <f>CHOOSE(MATCH(IF($U210="","Основний",$U210),{"Трафіковий","Основний","Маржинальний","Сезонний","Стратегічний"},0),Settings!$D$78,Settings!$D$80,Settings!$D$82,Settings!$D$84,Settings!$D$86)</f>
        <v/>
      </c>
      <c r="AQ210" s="157">
        <f>CHOOSE(MATCH(IF($U210="","Основний",$U210),{"Трафіковий","Основний","Маржинальний","Сезонний","Стратегічний"},0),Settings!$F$78,Settings!$F$80,Settings!$F$82,Settings!$F$84,Settings!$F$86)</f>
        <v/>
      </c>
      <c r="AR210" s="157">
        <f>CHOOSE(MATCH(IF($U210="","Основний",$U210),{"Трафіковий","Основний","Маржинальний","Сезонний","Стратегічний"},0),Settings!$G$78,Settings!$G$80,Settings!$G$82,Settings!$G$84,Settings!$G$86)</f>
        <v/>
      </c>
      <c r="AS210" s="157">
        <f>CHOOSE(MATCH(IF($U210="","Основний",$U210),{"Трафіковий","Основний","Маржинальний","Сезонний","Стратегічний"},0),Settings!$H$78,Settings!$H$80,Settings!$H$82,Settings!$H$84,Settings!$H$86)</f>
        <v/>
      </c>
      <c r="AT210" s="157">
        <f>CHOOSE(MATCH(IF($U210="","Основний",$U210),{"Трафіковий","Основний","Маржинальний","Сезонний","Стратегічний"},0),Settings!$I$78,Settings!$I$80,Settings!$I$82,Settings!$I$84,Settings!$I$86)</f>
        <v/>
      </c>
      <c r="AU210" s="171" t="n"/>
      <c r="AV210" t="n">
        <v>1.4286</v>
      </c>
    </row>
    <row r="211">
      <c r="A211" s="33" t="n"/>
      <c r="B211" s="34" t="inlineStr">
        <is>
          <t>V03G35</t>
        </is>
      </c>
      <c r="C211" s="34" t="inlineStr">
        <is>
          <t>USB WALL CHARGER GAN PD 35W, 2C</t>
        </is>
      </c>
      <c r="D211" s="34" t="inlineStr">
        <is>
          <t>Зарядки USB</t>
        </is>
      </c>
      <c r="E211" s="33" t="inlineStr">
        <is>
          <t>PC</t>
        </is>
      </c>
      <c r="F211" s="94" t="n">
        <v>6.143</v>
      </c>
      <c r="G211" s="35" t="n">
        <v>8504408390</v>
      </c>
      <c r="H211" s="31" t="n">
        <v>1.3</v>
      </c>
      <c r="I211" s="84">
        <f>IFERROR(F211*Settings!$B$2*H211*IF(AND(ISNUMBER(E211),E211&gt;1),E211,1),"")</f>
        <v/>
      </c>
      <c r="J211" s="32">
        <f>Settings!$B$66</f>
        <v/>
      </c>
      <c r="K211" s="95">
        <f>IFERROR(IF(T211="","",(T211*(1-AN211)*(1-Settings!$B$17)-I211)/(T211*(1-AN211)*(1-Settings!$B$17))),"")</f>
        <v/>
      </c>
      <c r="L211" s="101">
        <f>IFERROR(IF(T211="","",(T211*(1-AO211)*(1-Settings!$C$17)-I211)/(T211*(1-AO211)*(1-Settings!$C$17))),"")</f>
        <v/>
      </c>
      <c r="M211" s="101">
        <f>IFERROR(IF(T211="","",(T211*(1-AP211)*(1-Settings!$D$17)-I211)/(T211*(1-AP211)*(1-Settings!$D$17))),"")</f>
        <v/>
      </c>
      <c r="N211" s="101">
        <f>IFERROR(IF(T211="","",(T211*(1-AQ211)*(1-Settings!$F$17)-I211)/(T211*(1-AQ211)*(1-Settings!$F$17))),"")</f>
        <v/>
      </c>
      <c r="O211" s="101">
        <f>IFERROR(IF(T211="","",(T211*(1-AR211)*(1-Settings!$G$17)-I211)/(T211*(1-AR211)*(1-Settings!$G$17))),"")</f>
        <v/>
      </c>
      <c r="P211" s="101">
        <f>IFERROR(IF(T211="","",(T211*(1-AS211)*(1-Settings!$H$17)-I211)/(T211*(1-AS211)*(1-Settings!$H$17))),"")</f>
        <v/>
      </c>
      <c r="Q211" s="101">
        <f>IFERROR(IF(T211="","",(T211*(1-AT211)*(1-Settings!$I$68)*(1-Settings!$I$17)-I211)/(T211*(1-AT211)*(1-Settings!$I$68)*(1-Settings!$I$17))),"")</f>
        <v/>
      </c>
      <c r="R211" s="91">
        <f>IFERROR(IF(OR(I211="",Z211&gt;=1,Settings!$B$17&gt;=1,AN211&gt;=1),"",IF(MOD(ROUND(I211/(1-Z211)/(1-Settings!$B$17)/(1-AN211),0),10)=0,ROUND(I211/(1-Z211)/(1-Settings!$B$17)/(1-AN211),0)-1,IF(MOD(ROUND(I211/(1-Z211)/(1-Settings!$B$17)/(1-AN211),0),10)&lt;=5,FLOOR(ROUND(I211/(1-Z211)/(1-Settings!$B$17)/(1-AN211),0),10)+6,FLOOR(ROUND(I211/(1-Z211)/(1-Settings!$B$17)/(1-AN211),0),10)+9))),"")</f>
        <v/>
      </c>
      <c r="S211" s="174">
        <f>R211*0.95</f>
        <v/>
      </c>
      <c r="T211" s="91">
        <f>IF(S211&lt;&gt;"", IF(MOD(S211,10)=0,S211-1,IF(MOD(S211,10)&lt;=5,FLOOR(S211,10)+6,FLOOR(S211,10)+9)), R211)</f>
        <v/>
      </c>
      <c r="U211" s="87" t="inlineStr">
        <is>
          <t>Основний</t>
        </is>
      </c>
      <c r="V211" s="88" t="n"/>
      <c r="W211" s="88" t="n"/>
      <c r="X211" s="89">
        <f>IFERROR(IF(OR(V211="",W211="",T211=""),"", IF(T211&gt;W211,"Дорогий",IF(T211&lt;V211,"Дешевий","У ринку"))),"")</f>
        <v/>
      </c>
      <c r="Y211" s="90" t="n"/>
      <c r="Z211" s="104">
        <f>CHOOSE(MATCH(IF($U211="","Основний",$U211),{"Трафіковий","Основний","Маржинальний","Сезонний","Стратегічний"},0),0.16,0.19,0.24,0.23,0.28)</f>
        <v/>
      </c>
      <c r="AA211" s="104">
        <f>CHOOSE(MATCH(IF($U211="","Основний",$U211),{"Трафіковий","Основний","Маржинальний","Сезонний","Стратегічний"},0),0.18,0.21,0.26,0.25,0.3)</f>
        <v/>
      </c>
      <c r="AB211" s="104">
        <f>CHOOSE(MATCH(IF($U211="","Основний",$U211),{"Трафіковий","Основний","Маржинальний","Сезонний","Стратегічний"},0),0.19,0.22,0.28,0.26,0.32)</f>
        <v/>
      </c>
      <c r="AC211" s="104">
        <f>CHOOSE(MATCH(IF($U211="","Основний",$U211),{"Трафіковий","Основний","Маржинальний","Сезонний","Стратегічний"},0),0.17,0.2,0.25,0.24,0.28)</f>
        <v/>
      </c>
      <c r="AD211" s="104">
        <f>CHOOSE(MATCH(IF($U211="","Основний",$U211),{"Трафіковий","Основний","Маржинальний","Сезонний","Стратегічний"},0),0.18,0.21,0.26,0.25,0.3)</f>
        <v/>
      </c>
      <c r="AE211" s="104">
        <f>CHOOSE(MATCH(IF($U211="","Основний",$U211),{"Трафіковий","Основний","Маржинальний","Сезонний","Стратегічний"},0),0.18,0.2,0.28,0.27,0.32)</f>
        <v/>
      </c>
      <c r="AF211" s="104">
        <f>CHOOSE(MATCH(IF($U211="","Основний",$U211),{"Трафіковий","Основний","Маржинальний","Сезонний","Стратегічний"},0),0.15,0.175,0.22,0.21,0.25)</f>
        <v/>
      </c>
      <c r="AG211" s="104">
        <f>CHOOSE(MATCH(IF($U211="","Основний",$U211),{"Трафіковий","Основний","Маржинальний","Сезонний","Стратегічний"},0),0.13,0.16,0.21,0.2,0.25)</f>
        <v/>
      </c>
      <c r="AH211" s="104">
        <f>CHOOSE(MATCH(IF($U211="","Основний",$U211),{"Трафіковий","Основний","Маржинальний","Сезонний","Стратегічний"},0),0.15,0.18,0.23,0.22,0.27)</f>
        <v/>
      </c>
      <c r="AI211" s="104">
        <f>CHOOSE(MATCH(IF($U211="","Основний",$U211),{"Трафіковий","Основний","Маржинальний","Сезонний","Стратегічний"},0),0.16,0.19,0.25,0.23,0.29)</f>
        <v/>
      </c>
      <c r="AJ211" s="104">
        <f>CHOOSE(MATCH(IF($U211="","Основний",$U211),{"Трафіковий","Основний","Маржинальний","Сезонний","Стратегічний"},0),0.14,0.17,0.22,0.21,0.25)</f>
        <v/>
      </c>
      <c r="AK211" s="104">
        <f>CHOOSE(MATCH(IF($U211="","Основний",$U211),{"Трафіковий","Основний","Маржинальний","Сезонний","Стратегічний"},0),0.15,0.18,0.23,0.22,0.27)</f>
        <v/>
      </c>
      <c r="AL211" s="104">
        <f>CHOOSE(MATCH(IF($U211="","Основний",$U211),{"Трафіковий","Основний","Маржинальний","Сезонний","Стратегічний"},0),0.15,0.17,0.25,0.24,0.29)</f>
        <v/>
      </c>
      <c r="AM211" s="104">
        <f>CHOOSE(MATCH(IF($U211="","Основний",$U211),{"Трафіковий","Основний","Маржинальний","Сезонний","Стратегічний"},0),0.12,0.145,0.19,0.18,0.22)</f>
        <v/>
      </c>
      <c r="AN211" s="157">
        <f>CHOOSE(MATCH(IF($U211="","Основний",$U211),{"Трафіковий","Основний","Маржинальний","Сезонний","Стратегічний"},0),Settings!$B$78,Settings!$B$80,Settings!$B$82,Settings!$B$84,Settings!$B$86)</f>
        <v/>
      </c>
      <c r="AO211" s="157">
        <f>CHOOSE(MATCH(IF($U211="","Основний",$U211),{"Трафіковий","Основний","Маржинальний","Сезонний","Стратегічний"},0),Settings!$C$78,Settings!$C$80,Settings!$C$82,Settings!$C$84,Settings!$C$86)</f>
        <v/>
      </c>
      <c r="AP211" s="157">
        <f>CHOOSE(MATCH(IF($U211="","Основний",$U211),{"Трафіковий","Основний","Маржинальний","Сезонний","Стратегічний"},0),Settings!$D$78,Settings!$D$80,Settings!$D$82,Settings!$D$84,Settings!$D$86)</f>
        <v/>
      </c>
      <c r="AQ211" s="157">
        <f>CHOOSE(MATCH(IF($U211="","Основний",$U211),{"Трафіковий","Основний","Маржинальний","Сезонний","Стратегічний"},0),Settings!$F$78,Settings!$F$80,Settings!$F$82,Settings!$F$84,Settings!$F$86)</f>
        <v/>
      </c>
      <c r="AR211" s="157">
        <f>CHOOSE(MATCH(IF($U211="","Основний",$U211),{"Трафіковий","Основний","Маржинальний","Сезонний","Стратегічний"},0),Settings!$G$78,Settings!$G$80,Settings!$G$82,Settings!$G$84,Settings!$G$86)</f>
        <v/>
      </c>
      <c r="AS211" s="157">
        <f>CHOOSE(MATCH(IF($U211="","Основний",$U211),{"Трафіковий","Основний","Маржинальний","Сезонний","Стратегічний"},0),Settings!$H$78,Settings!$H$80,Settings!$H$82,Settings!$H$84,Settings!$H$86)</f>
        <v/>
      </c>
      <c r="AT211" s="157">
        <f>CHOOSE(MATCH(IF($U211="","Основний",$U211),{"Трафіковий","Основний","Маржинальний","Сезонний","Стратегічний"},0),Settings!$I$78,Settings!$I$80,Settings!$I$82,Settings!$I$84,Settings!$I$86)</f>
        <v/>
      </c>
      <c r="AU211" s="171" t="n"/>
      <c r="AV211" t="n">
        <v>1.4286</v>
      </c>
    </row>
    <row r="212">
      <c r="A212" s="28" t="n"/>
      <c r="B212" s="29" t="inlineStr">
        <is>
          <t>V02G20</t>
        </is>
      </c>
      <c r="C212" s="29" t="inlineStr">
        <is>
          <t>USB WALL CHARGER GAN PD 20W, AC</t>
        </is>
      </c>
      <c r="D212" s="29" t="inlineStr">
        <is>
          <t>Зарядки USB</t>
        </is>
      </c>
      <c r="E212" s="28" t="inlineStr">
        <is>
          <t>PC</t>
        </is>
      </c>
      <c r="F212" s="93" t="n">
        <v>3.14</v>
      </c>
      <c r="G212" s="30" t="n">
        <v>8504408390</v>
      </c>
      <c r="H212" s="31" t="n">
        <v>1.3</v>
      </c>
      <c r="I212" s="84">
        <f>IFERROR(F212*Settings!$B$2*H212*IF(AND(ISNUMBER(E212),E212&gt;1),E212,1),"")</f>
        <v/>
      </c>
      <c r="J212" s="32">
        <f>Settings!$B$66</f>
        <v/>
      </c>
      <c r="K212" s="95">
        <f>IFERROR(IF(T212="","",(T212*(1-AN212)*(1-Settings!$B$17)-I212)/(T212*(1-AN212)*(1-Settings!$B$17))),"")</f>
        <v/>
      </c>
      <c r="L212" s="101">
        <f>IFERROR(IF(T212="","",(T212*(1-AO212)*(1-Settings!$C$17)-I212)/(T212*(1-AO212)*(1-Settings!$C$17))),"")</f>
        <v/>
      </c>
      <c r="M212" s="101">
        <f>IFERROR(IF(T212="","",(T212*(1-AP212)*(1-Settings!$D$17)-I212)/(T212*(1-AP212)*(1-Settings!$D$17))),"")</f>
        <v/>
      </c>
      <c r="N212" s="101">
        <f>IFERROR(IF(T212="","",(T212*(1-AQ212)*(1-Settings!$F$17)-I212)/(T212*(1-AQ212)*(1-Settings!$F$17))),"")</f>
        <v/>
      </c>
      <c r="O212" s="101">
        <f>IFERROR(IF(T212="","",(T212*(1-AR212)*(1-Settings!$G$17)-I212)/(T212*(1-AR212)*(1-Settings!$G$17))),"")</f>
        <v/>
      </c>
      <c r="P212" s="101">
        <f>IFERROR(IF(T212="","",(T212*(1-AS212)*(1-Settings!$H$17)-I212)/(T212*(1-AS212)*(1-Settings!$H$17))),"")</f>
        <v/>
      </c>
      <c r="Q212" s="101">
        <f>IFERROR(IF(T212="","",(T212*(1-AT212)*(1-Settings!$I$68)*(1-Settings!$I$17)-I212)/(T212*(1-AT212)*(1-Settings!$I$68)*(1-Settings!$I$17))),"")</f>
        <v/>
      </c>
      <c r="R212" s="91">
        <f>IFERROR(IF(OR(I212="",Z212&gt;=1,Settings!$B$17&gt;=1,AN212&gt;=1),"",IF(MOD(ROUND(I212/(1-Z212)/(1-Settings!$B$17)/(1-AN212),0),10)=0,ROUND(I212/(1-Z212)/(1-Settings!$B$17)/(1-AN212),0)-1,IF(MOD(ROUND(I212/(1-Z212)/(1-Settings!$B$17)/(1-AN212),0),10)&lt;=5,FLOOR(ROUND(I212/(1-Z212)/(1-Settings!$B$17)/(1-AN212),0),10)+6,FLOOR(ROUND(I212/(1-Z212)/(1-Settings!$B$17)/(1-AN212),0),10)+9))),"")</f>
        <v/>
      </c>
      <c r="S212" s="174">
        <f>R212*0.95</f>
        <v/>
      </c>
      <c r="T212" s="91">
        <f>IF(S212&lt;&gt;"", IF(MOD(S212,10)=0,S212-1,IF(MOD(S212,10)&lt;=5,FLOOR(S212,10)+6,FLOOR(S212,10)+9)), R212)</f>
        <v/>
      </c>
      <c r="U212" s="87" t="inlineStr">
        <is>
          <t>Основний</t>
        </is>
      </c>
      <c r="V212" s="88" t="n"/>
      <c r="W212" s="88" t="n"/>
      <c r="X212" s="89">
        <f>IFERROR(IF(OR(V212="",W212="",T212=""),"", IF(T212&gt;W212,"Дорогий",IF(T212&lt;V212,"Дешевий","У ринку"))),"")</f>
        <v/>
      </c>
      <c r="Y212" s="90" t="n"/>
      <c r="Z212" s="104">
        <f>CHOOSE(MATCH(IF($U212="","Основний",$U212),{"Трафіковий","Основний","Маржинальний","Сезонний","Стратегічний"},0),0.16,0.19,0.24,0.23,0.28)</f>
        <v/>
      </c>
      <c r="AA212" s="104">
        <f>CHOOSE(MATCH(IF($U212="","Основний",$U212),{"Трафіковий","Основний","Маржинальний","Сезонний","Стратегічний"},0),0.18,0.21,0.26,0.25,0.3)</f>
        <v/>
      </c>
      <c r="AB212" s="104">
        <f>CHOOSE(MATCH(IF($U212="","Основний",$U212),{"Трафіковий","Основний","Маржинальний","Сезонний","Стратегічний"},0),0.19,0.22,0.28,0.26,0.32)</f>
        <v/>
      </c>
      <c r="AC212" s="104">
        <f>CHOOSE(MATCH(IF($U212="","Основний",$U212),{"Трафіковий","Основний","Маржинальний","Сезонний","Стратегічний"},0),0.17,0.2,0.25,0.24,0.28)</f>
        <v/>
      </c>
      <c r="AD212" s="104">
        <f>CHOOSE(MATCH(IF($U212="","Основний",$U212),{"Трафіковий","Основний","Маржинальний","Сезонний","Стратегічний"},0),0.18,0.21,0.26,0.25,0.3)</f>
        <v/>
      </c>
      <c r="AE212" s="104">
        <f>CHOOSE(MATCH(IF($U212="","Основний",$U212),{"Трафіковий","Основний","Маржинальний","Сезонний","Стратегічний"},0),0.18,0.2,0.28,0.27,0.32)</f>
        <v/>
      </c>
      <c r="AF212" s="104">
        <f>CHOOSE(MATCH(IF($U212="","Основний",$U212),{"Трафіковий","Основний","Маржинальний","Сезонний","Стратегічний"},0),0.15,0.175,0.22,0.21,0.25)</f>
        <v/>
      </c>
      <c r="AG212" s="104">
        <f>CHOOSE(MATCH(IF($U212="","Основний",$U212),{"Трафіковий","Основний","Маржинальний","Сезонний","Стратегічний"},0),0.13,0.16,0.21,0.2,0.25)</f>
        <v/>
      </c>
      <c r="AH212" s="104">
        <f>CHOOSE(MATCH(IF($U212="","Основний",$U212),{"Трафіковий","Основний","Маржинальний","Сезонний","Стратегічний"},0),0.15,0.18,0.23,0.22,0.27)</f>
        <v/>
      </c>
      <c r="AI212" s="104">
        <f>CHOOSE(MATCH(IF($U212="","Основний",$U212),{"Трафіковий","Основний","Маржинальний","Сезонний","Стратегічний"},0),0.16,0.19,0.25,0.23,0.29)</f>
        <v/>
      </c>
      <c r="AJ212" s="104">
        <f>CHOOSE(MATCH(IF($U212="","Основний",$U212),{"Трафіковий","Основний","Маржинальний","Сезонний","Стратегічний"},0),0.14,0.17,0.22,0.21,0.25)</f>
        <v/>
      </c>
      <c r="AK212" s="104">
        <f>CHOOSE(MATCH(IF($U212="","Основний",$U212),{"Трафіковий","Основний","Маржинальний","Сезонний","Стратегічний"},0),0.15,0.18,0.23,0.22,0.27)</f>
        <v/>
      </c>
      <c r="AL212" s="104">
        <f>CHOOSE(MATCH(IF($U212="","Основний",$U212),{"Трафіковий","Основний","Маржинальний","Сезонний","Стратегічний"},0),0.15,0.17,0.25,0.24,0.29)</f>
        <v/>
      </c>
      <c r="AM212" s="104">
        <f>CHOOSE(MATCH(IF($U212="","Основний",$U212),{"Трафіковий","Основний","Маржинальний","Сезонний","Стратегічний"},0),0.12,0.145,0.19,0.18,0.22)</f>
        <v/>
      </c>
      <c r="AN212" s="157">
        <f>CHOOSE(MATCH(IF($U212="","Основний",$U212),{"Трафіковий","Основний","Маржинальний","Сезонний","Стратегічний"},0),Settings!$B$78,Settings!$B$80,Settings!$B$82,Settings!$B$84,Settings!$B$86)</f>
        <v/>
      </c>
      <c r="AO212" s="157">
        <f>CHOOSE(MATCH(IF($U212="","Основний",$U212),{"Трафіковий","Основний","Маржинальний","Сезонний","Стратегічний"},0),Settings!$C$78,Settings!$C$80,Settings!$C$82,Settings!$C$84,Settings!$C$86)</f>
        <v/>
      </c>
      <c r="AP212" s="157">
        <f>CHOOSE(MATCH(IF($U212="","Основний",$U212),{"Трафіковий","Основний","Маржинальний","Сезонний","Стратегічний"},0),Settings!$D$78,Settings!$D$80,Settings!$D$82,Settings!$D$84,Settings!$D$86)</f>
        <v/>
      </c>
      <c r="AQ212" s="157">
        <f>CHOOSE(MATCH(IF($U212="","Основний",$U212),{"Трафіковий","Основний","Маржинальний","Сезонний","Стратегічний"},0),Settings!$F$78,Settings!$F$80,Settings!$F$82,Settings!$F$84,Settings!$F$86)</f>
        <v/>
      </c>
      <c r="AR212" s="157">
        <f>CHOOSE(MATCH(IF($U212="","Основний",$U212),{"Трафіковий","Основний","Маржинальний","Сезонний","Стратегічний"},0),Settings!$G$78,Settings!$G$80,Settings!$G$82,Settings!$G$84,Settings!$G$86)</f>
        <v/>
      </c>
      <c r="AS212" s="157">
        <f>CHOOSE(MATCH(IF($U212="","Основний",$U212),{"Трафіковий","Основний","Маржинальний","Сезонний","Стратегічний"},0),Settings!$H$78,Settings!$H$80,Settings!$H$82,Settings!$H$84,Settings!$H$86)</f>
        <v/>
      </c>
      <c r="AT212" s="157">
        <f>CHOOSE(MATCH(IF($U212="","Основний",$U212),{"Трафіковий","Основний","Маржинальний","Сезонний","Стратегічний"},0),Settings!$I$78,Settings!$I$80,Settings!$I$82,Settings!$I$84,Settings!$I$86)</f>
        <v/>
      </c>
      <c r="AU212" s="171" t="n"/>
      <c r="AV212" t="n">
        <v>1.4286</v>
      </c>
    </row>
    <row r="213">
      <c r="A213" s="33" t="n"/>
      <c r="B213" s="34" t="inlineStr">
        <is>
          <t>V01G20</t>
        </is>
      </c>
      <c r="C213" s="34" t="inlineStr">
        <is>
          <t>USB WALL CHARGER GAN PD 20W, C</t>
        </is>
      </c>
      <c r="D213" s="34" t="inlineStr">
        <is>
          <t>Зарядки USB</t>
        </is>
      </c>
      <c r="E213" s="33" t="inlineStr">
        <is>
          <t>PC</t>
        </is>
      </c>
      <c r="F213" s="94" t="n">
        <v>2.88</v>
      </c>
      <c r="G213" s="35" t="n">
        <v>8504408390</v>
      </c>
      <c r="H213" s="31" t="n">
        <v>1.3</v>
      </c>
      <c r="I213" s="84">
        <f>IFERROR(F213*Settings!$B$2*H213*IF(AND(ISNUMBER(E213),E213&gt;1),E213,1),"")</f>
        <v/>
      </c>
      <c r="J213" s="32">
        <f>Settings!$B$66</f>
        <v/>
      </c>
      <c r="K213" s="95">
        <f>IFERROR(IF(T213="","",(T213*(1-AN213)*(1-Settings!$B$17)-I213)/(T213*(1-AN213)*(1-Settings!$B$17))),"")</f>
        <v/>
      </c>
      <c r="L213" s="101">
        <f>IFERROR(IF(T213="","",(T213*(1-AO213)*(1-Settings!$C$17)-I213)/(T213*(1-AO213)*(1-Settings!$C$17))),"")</f>
        <v/>
      </c>
      <c r="M213" s="101">
        <f>IFERROR(IF(T213="","",(T213*(1-AP213)*(1-Settings!$D$17)-I213)/(T213*(1-AP213)*(1-Settings!$D$17))),"")</f>
        <v/>
      </c>
      <c r="N213" s="101">
        <f>IFERROR(IF(T213="","",(T213*(1-AQ213)*(1-Settings!$F$17)-I213)/(T213*(1-AQ213)*(1-Settings!$F$17))),"")</f>
        <v/>
      </c>
      <c r="O213" s="101">
        <f>IFERROR(IF(T213="","",(T213*(1-AR213)*(1-Settings!$G$17)-I213)/(T213*(1-AR213)*(1-Settings!$G$17))),"")</f>
        <v/>
      </c>
      <c r="P213" s="101">
        <f>IFERROR(IF(T213="","",(T213*(1-AS213)*(1-Settings!$H$17)-I213)/(T213*(1-AS213)*(1-Settings!$H$17))),"")</f>
        <v/>
      </c>
      <c r="Q213" s="101">
        <f>IFERROR(IF(T213="","",(T213*(1-AT213)*(1-Settings!$I$68)*(1-Settings!$I$17)-I213)/(T213*(1-AT213)*(1-Settings!$I$68)*(1-Settings!$I$17))),"")</f>
        <v/>
      </c>
      <c r="R213" s="91">
        <f>IFERROR(IF(OR(I213="",Z213&gt;=1,Settings!$B$17&gt;=1,AN213&gt;=1),"",IF(MOD(ROUND(I213/(1-Z213)/(1-Settings!$B$17)/(1-AN213),0),10)=0,ROUND(I213/(1-Z213)/(1-Settings!$B$17)/(1-AN213),0)-1,IF(MOD(ROUND(I213/(1-Z213)/(1-Settings!$B$17)/(1-AN213),0),10)&lt;=5,FLOOR(ROUND(I213/(1-Z213)/(1-Settings!$B$17)/(1-AN213),0),10)+6,FLOOR(ROUND(I213/(1-Z213)/(1-Settings!$B$17)/(1-AN213),0),10)+9))),"")</f>
        <v/>
      </c>
      <c r="S213" s="174">
        <f>R213*0.95</f>
        <v/>
      </c>
      <c r="T213" s="91">
        <f>IF(S213&lt;&gt;"", IF(MOD(S213,10)=0,S213-1,IF(MOD(S213,10)&lt;=5,FLOOR(S213,10)+6,FLOOR(S213,10)+9)), R213)</f>
        <v/>
      </c>
      <c r="U213" s="87" t="inlineStr">
        <is>
          <t>Основний</t>
        </is>
      </c>
      <c r="V213" s="88" t="n"/>
      <c r="W213" s="88" t="n"/>
      <c r="X213" s="89">
        <f>IFERROR(IF(OR(V213="",W213="",T213=""),"", IF(T213&gt;W213,"Дорогий",IF(T213&lt;V213,"Дешевий","У ринку"))),"")</f>
        <v/>
      </c>
      <c r="Y213" s="90" t="n"/>
      <c r="Z213" s="104">
        <f>CHOOSE(MATCH(IF($U213="","Основний",$U213),{"Трафіковий","Основний","Маржинальний","Сезонний","Стратегічний"},0),0.16,0.19,0.24,0.23,0.28)</f>
        <v/>
      </c>
      <c r="AA213" s="104">
        <f>CHOOSE(MATCH(IF($U213="","Основний",$U213),{"Трафіковий","Основний","Маржинальний","Сезонний","Стратегічний"},0),0.18,0.21,0.26,0.25,0.3)</f>
        <v/>
      </c>
      <c r="AB213" s="104">
        <f>CHOOSE(MATCH(IF($U213="","Основний",$U213),{"Трафіковий","Основний","Маржинальний","Сезонний","Стратегічний"},0),0.19,0.22,0.28,0.26,0.32)</f>
        <v/>
      </c>
      <c r="AC213" s="104">
        <f>CHOOSE(MATCH(IF($U213="","Основний",$U213),{"Трафіковий","Основний","Маржинальний","Сезонний","Стратегічний"},0),0.17,0.2,0.25,0.24,0.28)</f>
        <v/>
      </c>
      <c r="AD213" s="104">
        <f>CHOOSE(MATCH(IF($U213="","Основний",$U213),{"Трафіковий","Основний","Маржинальний","Сезонний","Стратегічний"},0),0.18,0.21,0.26,0.25,0.3)</f>
        <v/>
      </c>
      <c r="AE213" s="104">
        <f>CHOOSE(MATCH(IF($U213="","Основний",$U213),{"Трафіковий","Основний","Маржинальний","Сезонний","Стратегічний"},0),0.18,0.2,0.28,0.27,0.32)</f>
        <v/>
      </c>
      <c r="AF213" s="104">
        <f>CHOOSE(MATCH(IF($U213="","Основний",$U213),{"Трафіковий","Основний","Маржинальний","Сезонний","Стратегічний"},0),0.15,0.175,0.22,0.21,0.25)</f>
        <v/>
      </c>
      <c r="AG213" s="104">
        <f>CHOOSE(MATCH(IF($U213="","Основний",$U213),{"Трафіковий","Основний","Маржинальний","Сезонний","Стратегічний"},0),0.13,0.16,0.21,0.2,0.25)</f>
        <v/>
      </c>
      <c r="AH213" s="104">
        <f>CHOOSE(MATCH(IF($U213="","Основний",$U213),{"Трафіковий","Основний","Маржинальний","Сезонний","Стратегічний"},0),0.15,0.18,0.23,0.22,0.27)</f>
        <v/>
      </c>
      <c r="AI213" s="104">
        <f>CHOOSE(MATCH(IF($U213="","Основний",$U213),{"Трафіковий","Основний","Маржинальний","Сезонний","Стратегічний"},0),0.16,0.19,0.25,0.23,0.29)</f>
        <v/>
      </c>
      <c r="AJ213" s="104">
        <f>CHOOSE(MATCH(IF($U213="","Основний",$U213),{"Трафіковий","Основний","Маржинальний","Сезонний","Стратегічний"},0),0.14,0.17,0.22,0.21,0.25)</f>
        <v/>
      </c>
      <c r="AK213" s="104">
        <f>CHOOSE(MATCH(IF($U213="","Основний",$U213),{"Трафіковий","Основний","Маржинальний","Сезонний","Стратегічний"},0),0.15,0.18,0.23,0.22,0.27)</f>
        <v/>
      </c>
      <c r="AL213" s="104">
        <f>CHOOSE(MATCH(IF($U213="","Основний",$U213),{"Трафіковий","Основний","Маржинальний","Сезонний","Стратегічний"},0),0.15,0.17,0.25,0.24,0.29)</f>
        <v/>
      </c>
      <c r="AM213" s="104">
        <f>CHOOSE(MATCH(IF($U213="","Основний",$U213),{"Трафіковий","Основний","Маржинальний","Сезонний","Стратегічний"},0),0.12,0.145,0.19,0.18,0.22)</f>
        <v/>
      </c>
      <c r="AN213" s="157">
        <f>CHOOSE(MATCH(IF($U213="","Основний",$U213),{"Трафіковий","Основний","Маржинальний","Сезонний","Стратегічний"},0),Settings!$B$78,Settings!$B$80,Settings!$B$82,Settings!$B$84,Settings!$B$86)</f>
        <v/>
      </c>
      <c r="AO213" s="157">
        <f>CHOOSE(MATCH(IF($U213="","Основний",$U213),{"Трафіковий","Основний","Маржинальний","Сезонний","Стратегічний"},0),Settings!$C$78,Settings!$C$80,Settings!$C$82,Settings!$C$84,Settings!$C$86)</f>
        <v/>
      </c>
      <c r="AP213" s="157">
        <f>CHOOSE(MATCH(IF($U213="","Основний",$U213),{"Трафіковий","Основний","Маржинальний","Сезонний","Стратегічний"},0),Settings!$D$78,Settings!$D$80,Settings!$D$82,Settings!$D$84,Settings!$D$86)</f>
        <v/>
      </c>
      <c r="AQ213" s="157">
        <f>CHOOSE(MATCH(IF($U213="","Основний",$U213),{"Трафіковий","Основний","Маржинальний","Сезонний","Стратегічний"},0),Settings!$F$78,Settings!$F$80,Settings!$F$82,Settings!$F$84,Settings!$F$86)</f>
        <v/>
      </c>
      <c r="AR213" s="157">
        <f>CHOOSE(MATCH(IF($U213="","Основний",$U213),{"Трафіковий","Основний","Маржинальний","Сезонний","Стратегічний"},0),Settings!$G$78,Settings!$G$80,Settings!$G$82,Settings!$G$84,Settings!$G$86)</f>
        <v/>
      </c>
      <c r="AS213" s="157">
        <f>CHOOSE(MATCH(IF($U213="","Основний",$U213),{"Трафіковий","Основний","Маржинальний","Сезонний","Стратегічний"},0),Settings!$H$78,Settings!$H$80,Settings!$H$82,Settings!$H$84,Settings!$H$86)</f>
        <v/>
      </c>
      <c r="AT213" s="157">
        <f>CHOOSE(MATCH(IF($U213="","Основний",$U213),{"Трафіковий","Основний","Маржинальний","Сезонний","Стратегічний"},0),Settings!$I$78,Settings!$I$80,Settings!$I$82,Settings!$I$84,Settings!$I$86)</f>
        <v/>
      </c>
      <c r="AU213" s="171" t="n"/>
      <c r="AV213" t="n">
        <v>1.4286</v>
      </c>
    </row>
    <row r="214">
      <c r="A214" s="28" t="n"/>
      <c r="B214" s="29" t="inlineStr">
        <is>
          <t>V04G45</t>
        </is>
      </c>
      <c r="C214" s="29" t="inlineStr">
        <is>
          <t>USB WALL CHARGER GAN PD 45W, AC</t>
        </is>
      </c>
      <c r="D214" s="29" t="inlineStr">
        <is>
          <t>Зарядки USB</t>
        </is>
      </c>
      <c r="E214" s="28" t="inlineStr">
        <is>
          <t>PC</t>
        </is>
      </c>
      <c r="F214" s="93" t="n">
        <v>7.03</v>
      </c>
      <c r="G214" s="30" t="n">
        <v>8504408390</v>
      </c>
      <c r="H214" s="31" t="n">
        <v>1.3</v>
      </c>
      <c r="I214" s="84">
        <f>IFERROR(F214*Settings!$B$2*H214*IF(AND(ISNUMBER(E214),E214&gt;1),E214,1),"")</f>
        <v/>
      </c>
      <c r="J214" s="32">
        <f>Settings!$B$66</f>
        <v/>
      </c>
      <c r="K214" s="95">
        <f>IFERROR(IF(T214="","",(T214*(1-AN214)*(1-Settings!$B$17)-I214)/(T214*(1-AN214)*(1-Settings!$B$17))),"")</f>
        <v/>
      </c>
      <c r="L214" s="101">
        <f>IFERROR(IF(T214="","",(T214*(1-AO214)*(1-Settings!$C$17)-I214)/(T214*(1-AO214)*(1-Settings!$C$17))),"")</f>
        <v/>
      </c>
      <c r="M214" s="101">
        <f>IFERROR(IF(T214="","",(T214*(1-AP214)*(1-Settings!$D$17)-I214)/(T214*(1-AP214)*(1-Settings!$D$17))),"")</f>
        <v/>
      </c>
      <c r="N214" s="101">
        <f>IFERROR(IF(T214="","",(T214*(1-AQ214)*(1-Settings!$F$17)-I214)/(T214*(1-AQ214)*(1-Settings!$F$17))),"")</f>
        <v/>
      </c>
      <c r="O214" s="101">
        <f>IFERROR(IF(T214="","",(T214*(1-AR214)*(1-Settings!$G$17)-I214)/(T214*(1-AR214)*(1-Settings!$G$17))),"")</f>
        <v/>
      </c>
      <c r="P214" s="101">
        <f>IFERROR(IF(T214="","",(T214*(1-AS214)*(1-Settings!$H$17)-I214)/(T214*(1-AS214)*(1-Settings!$H$17))),"")</f>
        <v/>
      </c>
      <c r="Q214" s="101">
        <f>IFERROR(IF(T214="","",(T214*(1-AT214)*(1-Settings!$I$68)*(1-Settings!$I$17)-I214)/(T214*(1-AT214)*(1-Settings!$I$68)*(1-Settings!$I$17))),"")</f>
        <v/>
      </c>
      <c r="R214" s="91">
        <f>IFERROR(IF(OR(I214="",Z214&gt;=1,Settings!$B$17&gt;=1,AN214&gt;=1),"",IF(MOD(ROUND(I214/(1-Z214)/(1-Settings!$B$17)/(1-AN214),0),10)=0,ROUND(I214/(1-Z214)/(1-Settings!$B$17)/(1-AN214),0)-1,IF(MOD(ROUND(I214/(1-Z214)/(1-Settings!$B$17)/(1-AN214),0),10)&lt;=5,FLOOR(ROUND(I214/(1-Z214)/(1-Settings!$B$17)/(1-AN214),0),10)+6,FLOOR(ROUND(I214/(1-Z214)/(1-Settings!$B$17)/(1-AN214),0),10)+9))),"")</f>
        <v/>
      </c>
      <c r="S214" s="174">
        <f>R214*0.95</f>
        <v/>
      </c>
      <c r="T214" s="91">
        <f>IF(S214&lt;&gt;"", IF(MOD(S214,10)=0,S214-1,IF(MOD(S214,10)&lt;=5,FLOOR(S214,10)+6,FLOOR(S214,10)+9)), R214)</f>
        <v/>
      </c>
      <c r="U214" s="87" t="inlineStr">
        <is>
          <t>Основний</t>
        </is>
      </c>
      <c r="V214" s="88" t="n"/>
      <c r="W214" s="88" t="n"/>
      <c r="X214" s="89">
        <f>IFERROR(IF(OR(V214="",W214="",T214=""),"", IF(T214&gt;W214,"Дорогий",IF(T214&lt;V214,"Дешевий","У ринку"))),"")</f>
        <v/>
      </c>
      <c r="Y214" s="90" t="n"/>
      <c r="Z214" s="104">
        <f>CHOOSE(MATCH(IF($U214="","Основний",$U214),{"Трафіковий","Основний","Маржинальний","Сезонний","Стратегічний"},0),0.16,0.19,0.24,0.23,0.28)</f>
        <v/>
      </c>
      <c r="AA214" s="104">
        <f>CHOOSE(MATCH(IF($U214="","Основний",$U214),{"Трафіковий","Основний","Маржинальний","Сезонний","Стратегічний"},0),0.18,0.21,0.26,0.25,0.3)</f>
        <v/>
      </c>
      <c r="AB214" s="104">
        <f>CHOOSE(MATCH(IF($U214="","Основний",$U214),{"Трафіковий","Основний","Маржинальний","Сезонний","Стратегічний"},0),0.19,0.22,0.28,0.26,0.32)</f>
        <v/>
      </c>
      <c r="AC214" s="104">
        <f>CHOOSE(MATCH(IF($U214="","Основний",$U214),{"Трафіковий","Основний","Маржинальний","Сезонний","Стратегічний"},0),0.17,0.2,0.25,0.24,0.28)</f>
        <v/>
      </c>
      <c r="AD214" s="104">
        <f>CHOOSE(MATCH(IF($U214="","Основний",$U214),{"Трафіковий","Основний","Маржинальний","Сезонний","Стратегічний"},0),0.18,0.21,0.26,0.25,0.3)</f>
        <v/>
      </c>
      <c r="AE214" s="104">
        <f>CHOOSE(MATCH(IF($U214="","Основний",$U214),{"Трафіковий","Основний","Маржинальний","Сезонний","Стратегічний"},0),0.18,0.2,0.28,0.27,0.32)</f>
        <v/>
      </c>
      <c r="AF214" s="104">
        <f>CHOOSE(MATCH(IF($U214="","Основний",$U214),{"Трафіковий","Основний","Маржинальний","Сезонний","Стратегічний"},0),0.15,0.175,0.22,0.21,0.25)</f>
        <v/>
      </c>
      <c r="AG214" s="104">
        <f>CHOOSE(MATCH(IF($U214="","Основний",$U214),{"Трафіковий","Основний","Маржинальний","Сезонний","Стратегічний"},0),0.13,0.16,0.21,0.2,0.25)</f>
        <v/>
      </c>
      <c r="AH214" s="104">
        <f>CHOOSE(MATCH(IF($U214="","Основний",$U214),{"Трафіковий","Основний","Маржинальний","Сезонний","Стратегічний"},0),0.15,0.18,0.23,0.22,0.27)</f>
        <v/>
      </c>
      <c r="AI214" s="104">
        <f>CHOOSE(MATCH(IF($U214="","Основний",$U214),{"Трафіковий","Основний","Маржинальний","Сезонний","Стратегічний"},0),0.16,0.19,0.25,0.23,0.29)</f>
        <v/>
      </c>
      <c r="AJ214" s="104">
        <f>CHOOSE(MATCH(IF($U214="","Основний",$U214),{"Трафіковий","Основний","Маржинальний","Сезонний","Стратегічний"},0),0.14,0.17,0.22,0.21,0.25)</f>
        <v/>
      </c>
      <c r="AK214" s="104">
        <f>CHOOSE(MATCH(IF($U214="","Основний",$U214),{"Трафіковий","Основний","Маржинальний","Сезонний","Стратегічний"},0),0.15,0.18,0.23,0.22,0.27)</f>
        <v/>
      </c>
      <c r="AL214" s="104">
        <f>CHOOSE(MATCH(IF($U214="","Основний",$U214),{"Трафіковий","Основний","Маржинальний","Сезонний","Стратегічний"},0),0.15,0.17,0.25,0.24,0.29)</f>
        <v/>
      </c>
      <c r="AM214" s="104">
        <f>CHOOSE(MATCH(IF($U214="","Основний",$U214),{"Трафіковий","Основний","Маржинальний","Сезонний","Стратегічний"},0),0.12,0.145,0.19,0.18,0.22)</f>
        <v/>
      </c>
      <c r="AN214" s="157">
        <f>CHOOSE(MATCH(IF($U214="","Основний",$U214),{"Трафіковий","Основний","Маржинальний","Сезонний","Стратегічний"},0),Settings!$B$78,Settings!$B$80,Settings!$B$82,Settings!$B$84,Settings!$B$86)</f>
        <v/>
      </c>
      <c r="AO214" s="157">
        <f>CHOOSE(MATCH(IF($U214="","Основний",$U214),{"Трафіковий","Основний","Маржинальний","Сезонний","Стратегічний"},0),Settings!$C$78,Settings!$C$80,Settings!$C$82,Settings!$C$84,Settings!$C$86)</f>
        <v/>
      </c>
      <c r="AP214" s="157">
        <f>CHOOSE(MATCH(IF($U214="","Основний",$U214),{"Трафіковий","Основний","Маржинальний","Сезонний","Стратегічний"},0),Settings!$D$78,Settings!$D$80,Settings!$D$82,Settings!$D$84,Settings!$D$86)</f>
        <v/>
      </c>
      <c r="AQ214" s="157">
        <f>CHOOSE(MATCH(IF($U214="","Основний",$U214),{"Трафіковий","Основний","Маржинальний","Сезонний","Стратегічний"},0),Settings!$F$78,Settings!$F$80,Settings!$F$82,Settings!$F$84,Settings!$F$86)</f>
        <v/>
      </c>
      <c r="AR214" s="157">
        <f>CHOOSE(MATCH(IF($U214="","Основний",$U214),{"Трафіковий","Основний","Маржинальний","Сезонний","Стратегічний"},0),Settings!$G$78,Settings!$G$80,Settings!$G$82,Settings!$G$84,Settings!$G$86)</f>
        <v/>
      </c>
      <c r="AS214" s="157">
        <f>CHOOSE(MATCH(IF($U214="","Основний",$U214),{"Трафіковий","Основний","Маржинальний","Сезонний","Стратегічний"},0),Settings!$H$78,Settings!$H$80,Settings!$H$82,Settings!$H$84,Settings!$H$86)</f>
        <v/>
      </c>
      <c r="AT214" s="157">
        <f>CHOOSE(MATCH(IF($U214="","Основний",$U214),{"Трафіковий","Основний","Маржинальний","Сезонний","Стратегічний"},0),Settings!$I$78,Settings!$I$80,Settings!$I$82,Settings!$I$84,Settings!$I$86)</f>
        <v/>
      </c>
      <c r="AU214" s="171" t="n"/>
      <c r="AV214" t="n">
        <v>1.4286</v>
      </c>
    </row>
    <row r="215">
      <c r="A215" s="33" t="n"/>
      <c r="B215" s="34" t="inlineStr">
        <is>
          <t>V05G65</t>
        </is>
      </c>
      <c r="C215" s="34" t="inlineStr">
        <is>
          <t>USB WALL CHARGER GAN PD 65W, A2C</t>
        </is>
      </c>
      <c r="D215" s="34" t="inlineStr">
        <is>
          <t>Зарядки USB</t>
        </is>
      </c>
      <c r="E215" s="33" t="inlineStr">
        <is>
          <t>PC</t>
        </is>
      </c>
      <c r="F215" s="94" t="n">
        <v>10.893</v>
      </c>
      <c r="G215" s="35" t="n">
        <v>8504408390</v>
      </c>
      <c r="H215" s="31" t="n">
        <v>1.3</v>
      </c>
      <c r="I215" s="84">
        <f>IFERROR(F215*Settings!$B$2*H215*IF(AND(ISNUMBER(E215),E215&gt;1),E215,1),"")</f>
        <v/>
      </c>
      <c r="J215" s="32">
        <f>Settings!$B$66</f>
        <v/>
      </c>
      <c r="K215" s="95">
        <f>IFERROR(IF(T215="","",(T215*(1-AN215)*(1-Settings!$B$17)-I215)/(T215*(1-AN215)*(1-Settings!$B$17))),"")</f>
        <v/>
      </c>
      <c r="L215" s="101">
        <f>IFERROR(IF(T215="","",(T215*(1-AO215)*(1-Settings!$C$17)-I215)/(T215*(1-AO215)*(1-Settings!$C$17))),"")</f>
        <v/>
      </c>
      <c r="M215" s="101">
        <f>IFERROR(IF(T215="","",(T215*(1-AP215)*(1-Settings!$D$17)-I215)/(T215*(1-AP215)*(1-Settings!$D$17))),"")</f>
        <v/>
      </c>
      <c r="N215" s="101">
        <f>IFERROR(IF(T215="","",(T215*(1-AQ215)*(1-Settings!$F$17)-I215)/(T215*(1-AQ215)*(1-Settings!$F$17))),"")</f>
        <v/>
      </c>
      <c r="O215" s="101">
        <f>IFERROR(IF(T215="","",(T215*(1-AR215)*(1-Settings!$G$17)-I215)/(T215*(1-AR215)*(1-Settings!$G$17))),"")</f>
        <v/>
      </c>
      <c r="P215" s="101">
        <f>IFERROR(IF(T215="","",(T215*(1-AS215)*(1-Settings!$H$17)-I215)/(T215*(1-AS215)*(1-Settings!$H$17))),"")</f>
        <v/>
      </c>
      <c r="Q215" s="101">
        <f>IFERROR(IF(T215="","",(T215*(1-AT215)*(1-Settings!$I$68)*(1-Settings!$I$17)-I215)/(T215*(1-AT215)*(1-Settings!$I$68)*(1-Settings!$I$17))),"")</f>
        <v/>
      </c>
      <c r="R215" s="91">
        <f>IFERROR(IF(OR(I215="",Z215&gt;=1,Settings!$B$17&gt;=1,AN215&gt;=1),"",IF(MOD(ROUND(I215/(1-Z215)/(1-Settings!$B$17)/(1-AN215),0),10)=0,ROUND(I215/(1-Z215)/(1-Settings!$B$17)/(1-AN215),0)-1,IF(MOD(ROUND(I215/(1-Z215)/(1-Settings!$B$17)/(1-AN215),0),10)&lt;=5,FLOOR(ROUND(I215/(1-Z215)/(1-Settings!$B$17)/(1-AN215),0),10)+6,FLOOR(ROUND(I215/(1-Z215)/(1-Settings!$B$17)/(1-AN215),0),10)+9))),"")</f>
        <v/>
      </c>
      <c r="S215" s="174">
        <f>R215*0.95</f>
        <v/>
      </c>
      <c r="T215" s="91">
        <f>IF(S215&lt;&gt;"", IF(MOD(S215,10)=0,S215-1,IF(MOD(S215,10)&lt;=5,FLOOR(S215,10)+6,FLOOR(S215,10)+9)), R215)</f>
        <v/>
      </c>
      <c r="U215" s="87" t="inlineStr">
        <is>
          <t>Основний</t>
        </is>
      </c>
      <c r="V215" s="88" t="n"/>
      <c r="W215" s="88" t="n"/>
      <c r="X215" s="89">
        <f>IFERROR(IF(OR(V215="",W215="",T215=""),"", IF(T215&gt;W215,"Дорогий",IF(T215&lt;V215,"Дешевий","У ринку"))),"")</f>
        <v/>
      </c>
      <c r="Y215" s="90" t="n"/>
      <c r="Z215" s="104">
        <f>CHOOSE(MATCH(IF($U215="","Основний",$U215),{"Трафіковий","Основний","Маржинальний","Сезонний","Стратегічний"},0),0.16,0.19,0.24,0.23,0.28)</f>
        <v/>
      </c>
      <c r="AA215" s="104">
        <f>CHOOSE(MATCH(IF($U215="","Основний",$U215),{"Трафіковий","Основний","Маржинальний","Сезонний","Стратегічний"},0),0.18,0.21,0.26,0.25,0.3)</f>
        <v/>
      </c>
      <c r="AB215" s="104">
        <f>CHOOSE(MATCH(IF($U215="","Основний",$U215),{"Трафіковий","Основний","Маржинальний","Сезонний","Стратегічний"},0),0.19,0.22,0.28,0.26,0.32)</f>
        <v/>
      </c>
      <c r="AC215" s="104">
        <f>CHOOSE(MATCH(IF($U215="","Основний",$U215),{"Трафіковий","Основний","Маржинальний","Сезонний","Стратегічний"},0),0.17,0.2,0.25,0.24,0.28)</f>
        <v/>
      </c>
      <c r="AD215" s="104">
        <f>CHOOSE(MATCH(IF($U215="","Основний",$U215),{"Трафіковий","Основний","Маржинальний","Сезонний","Стратегічний"},0),0.18,0.21,0.26,0.25,0.3)</f>
        <v/>
      </c>
      <c r="AE215" s="104">
        <f>CHOOSE(MATCH(IF($U215="","Основний",$U215),{"Трафіковий","Основний","Маржинальний","Сезонний","Стратегічний"},0),0.18,0.2,0.28,0.27,0.32)</f>
        <v/>
      </c>
      <c r="AF215" s="104">
        <f>CHOOSE(MATCH(IF($U215="","Основний",$U215),{"Трафіковий","Основний","Маржинальний","Сезонний","Стратегічний"},0),0.15,0.175,0.22,0.21,0.25)</f>
        <v/>
      </c>
      <c r="AG215" s="104">
        <f>CHOOSE(MATCH(IF($U215="","Основний",$U215),{"Трафіковий","Основний","Маржинальний","Сезонний","Стратегічний"},0),0.13,0.16,0.21,0.2,0.25)</f>
        <v/>
      </c>
      <c r="AH215" s="104">
        <f>CHOOSE(MATCH(IF($U215="","Основний",$U215),{"Трафіковий","Основний","Маржинальний","Сезонний","Стратегічний"},0),0.15,0.18,0.23,0.22,0.27)</f>
        <v/>
      </c>
      <c r="AI215" s="104">
        <f>CHOOSE(MATCH(IF($U215="","Основний",$U215),{"Трафіковий","Основний","Маржинальний","Сезонний","Стратегічний"},0),0.16,0.19,0.25,0.23,0.29)</f>
        <v/>
      </c>
      <c r="AJ215" s="104">
        <f>CHOOSE(MATCH(IF($U215="","Основний",$U215),{"Трафіковий","Основний","Маржинальний","Сезонний","Стратегічний"},0),0.14,0.17,0.22,0.21,0.25)</f>
        <v/>
      </c>
      <c r="AK215" s="104">
        <f>CHOOSE(MATCH(IF($U215="","Основний",$U215),{"Трафіковий","Основний","Маржинальний","Сезонний","Стратегічний"},0),0.15,0.18,0.23,0.22,0.27)</f>
        <v/>
      </c>
      <c r="AL215" s="104">
        <f>CHOOSE(MATCH(IF($U215="","Основний",$U215),{"Трафіковий","Основний","Маржинальний","Сезонний","Стратегічний"},0),0.15,0.17,0.25,0.24,0.29)</f>
        <v/>
      </c>
      <c r="AM215" s="104">
        <f>CHOOSE(MATCH(IF($U215="","Основний",$U215),{"Трафіковий","Основний","Маржинальний","Сезонний","Стратегічний"},0),0.12,0.145,0.19,0.18,0.22)</f>
        <v/>
      </c>
      <c r="AN215" s="157">
        <f>CHOOSE(MATCH(IF($U215="","Основний",$U215),{"Трафіковий","Основний","Маржинальний","Сезонний","Стратегічний"},0),Settings!$B$78,Settings!$B$80,Settings!$B$82,Settings!$B$84,Settings!$B$86)</f>
        <v/>
      </c>
      <c r="AO215" s="157">
        <f>CHOOSE(MATCH(IF($U215="","Основний",$U215),{"Трафіковий","Основний","Маржинальний","Сезонний","Стратегічний"},0),Settings!$C$78,Settings!$C$80,Settings!$C$82,Settings!$C$84,Settings!$C$86)</f>
        <v/>
      </c>
      <c r="AP215" s="157">
        <f>CHOOSE(MATCH(IF($U215="","Основний",$U215),{"Трафіковий","Основний","Маржинальний","Сезонний","Стратегічний"},0),Settings!$D$78,Settings!$D$80,Settings!$D$82,Settings!$D$84,Settings!$D$86)</f>
        <v/>
      </c>
      <c r="AQ215" s="157">
        <f>CHOOSE(MATCH(IF($U215="","Основний",$U215),{"Трафіковий","Основний","Маржинальний","Сезонний","Стратегічний"},0),Settings!$F$78,Settings!$F$80,Settings!$F$82,Settings!$F$84,Settings!$F$86)</f>
        <v/>
      </c>
      <c r="AR215" s="157">
        <f>CHOOSE(MATCH(IF($U215="","Основний",$U215),{"Трафіковий","Основний","Маржинальний","Сезонний","Стратегічний"},0),Settings!$G$78,Settings!$G$80,Settings!$G$82,Settings!$G$84,Settings!$G$86)</f>
        <v/>
      </c>
      <c r="AS215" s="157">
        <f>CHOOSE(MATCH(IF($U215="","Основний",$U215),{"Трафіковий","Основний","Маржинальний","Сезонний","Стратегічний"},0),Settings!$H$78,Settings!$H$80,Settings!$H$82,Settings!$H$84,Settings!$H$86)</f>
        <v/>
      </c>
      <c r="AT215" s="157">
        <f>CHOOSE(MATCH(IF($U215="","Основний",$U215),{"Трафіковий","Основний","Маржинальний","Сезонний","Стратегічний"},0),Settings!$I$78,Settings!$I$80,Settings!$I$82,Settings!$I$84,Settings!$I$86)</f>
        <v/>
      </c>
      <c r="AU215" s="171" t="n"/>
      <c r="AV215" t="n">
        <v>1.4286</v>
      </c>
    </row>
    <row r="216">
      <c r="A216" s="28" t="n"/>
      <c r="B216" s="29" t="inlineStr">
        <is>
          <t>V06G120</t>
        </is>
      </c>
      <c r="C216" s="29" t="inlineStr">
        <is>
          <t>USB WALL CHARGER GAN PD 120W, A3C</t>
        </is>
      </c>
      <c r="D216" s="29" t="inlineStr">
        <is>
          <t>Зарядки USB</t>
        </is>
      </c>
      <c r="E216" s="28" t="inlineStr">
        <is>
          <t>PC</t>
        </is>
      </c>
      <c r="F216" s="93" t="n">
        <v>25.905</v>
      </c>
      <c r="G216" s="30" t="n">
        <v>8504408390</v>
      </c>
      <c r="H216" s="31" t="n">
        <v>1.3</v>
      </c>
      <c r="I216" s="84">
        <f>IFERROR(F216*Settings!$B$2*H216*IF(AND(ISNUMBER(E216),E216&gt;1),E216,1),"")</f>
        <v/>
      </c>
      <c r="J216" s="32">
        <f>Settings!$B$66</f>
        <v/>
      </c>
      <c r="K216" s="95">
        <f>IFERROR(IF(T216="","",(T216*(1-AN216)*(1-Settings!$B$17)-I216)/(T216*(1-AN216)*(1-Settings!$B$17))),"")</f>
        <v/>
      </c>
      <c r="L216" s="101">
        <f>IFERROR(IF(T216="","",(T216*(1-AO216)*(1-Settings!$C$17)-I216)/(T216*(1-AO216)*(1-Settings!$C$17))),"")</f>
        <v/>
      </c>
      <c r="M216" s="101">
        <f>IFERROR(IF(T216="","",(T216*(1-AP216)*(1-Settings!$D$17)-I216)/(T216*(1-AP216)*(1-Settings!$D$17))),"")</f>
        <v/>
      </c>
      <c r="N216" s="101">
        <f>IFERROR(IF(T216="","",(T216*(1-AQ216)*(1-Settings!$F$17)-I216)/(T216*(1-AQ216)*(1-Settings!$F$17))),"")</f>
        <v/>
      </c>
      <c r="O216" s="101">
        <f>IFERROR(IF(T216="","",(T216*(1-AR216)*(1-Settings!$G$17)-I216)/(T216*(1-AR216)*(1-Settings!$G$17))),"")</f>
        <v/>
      </c>
      <c r="P216" s="101">
        <f>IFERROR(IF(T216="","",(T216*(1-AS216)*(1-Settings!$H$17)-I216)/(T216*(1-AS216)*(1-Settings!$H$17))),"")</f>
        <v/>
      </c>
      <c r="Q216" s="101">
        <f>IFERROR(IF(T216="","",(T216*(1-AT216)*(1-Settings!$I$68)*(1-Settings!$I$17)-I216)/(T216*(1-AT216)*(1-Settings!$I$68)*(1-Settings!$I$17))),"")</f>
        <v/>
      </c>
      <c r="R216" s="91">
        <f>IFERROR(IF(OR(I216="",Z216&gt;=1,Settings!$B$17&gt;=1,AN216&gt;=1),"",IF(MOD(ROUND(I216/(1-Z216)/(1-Settings!$B$17)/(1-AN216),0),10)=0,ROUND(I216/(1-Z216)/(1-Settings!$B$17)/(1-AN216),0)-1,IF(MOD(ROUND(I216/(1-Z216)/(1-Settings!$B$17)/(1-AN216),0),10)&lt;=5,FLOOR(ROUND(I216/(1-Z216)/(1-Settings!$B$17)/(1-AN216),0),10)+6,FLOOR(ROUND(I216/(1-Z216)/(1-Settings!$B$17)/(1-AN216),0),10)+9))),"")</f>
        <v/>
      </c>
      <c r="S216" s="174">
        <f>R216*0.95</f>
        <v/>
      </c>
      <c r="T216" s="91">
        <f>IF(S216&lt;&gt;"", IF(MOD(S216,10)=0,S216-1,IF(MOD(S216,10)&lt;=5,FLOOR(S216,10)+6,FLOOR(S216,10)+9)), R216)</f>
        <v/>
      </c>
      <c r="U216" s="87" t="inlineStr">
        <is>
          <t>Основний</t>
        </is>
      </c>
      <c r="V216" s="88" t="n"/>
      <c r="W216" s="88" t="n"/>
      <c r="X216" s="89">
        <f>IFERROR(IF(OR(V216="",W216="",T216=""),"", IF(T216&gt;W216,"Дорогий",IF(T216&lt;V216,"Дешевий","У ринку"))),"")</f>
        <v/>
      </c>
      <c r="Y216" s="90" t="n"/>
      <c r="Z216" s="104">
        <f>CHOOSE(MATCH(IF($U216="","Основний",$U216),{"Трафіковий","Основний","Маржинальний","Сезонний","Стратегічний"},0),0.16,0.19,0.24,0.23,0.28)</f>
        <v/>
      </c>
      <c r="AA216" s="104">
        <f>CHOOSE(MATCH(IF($U216="","Основний",$U216),{"Трафіковий","Основний","Маржинальний","Сезонний","Стратегічний"},0),0.18,0.21,0.26,0.25,0.3)</f>
        <v/>
      </c>
      <c r="AB216" s="104">
        <f>CHOOSE(MATCH(IF($U216="","Основний",$U216),{"Трафіковий","Основний","Маржинальний","Сезонний","Стратегічний"},0),0.19,0.22,0.28,0.26,0.32)</f>
        <v/>
      </c>
      <c r="AC216" s="104">
        <f>CHOOSE(MATCH(IF($U216="","Основний",$U216),{"Трафіковий","Основний","Маржинальний","Сезонний","Стратегічний"},0),0.17,0.2,0.25,0.24,0.28)</f>
        <v/>
      </c>
      <c r="AD216" s="104">
        <f>CHOOSE(MATCH(IF($U216="","Основний",$U216),{"Трафіковий","Основний","Маржинальний","Сезонний","Стратегічний"},0),0.18,0.21,0.26,0.25,0.3)</f>
        <v/>
      </c>
      <c r="AE216" s="104">
        <f>CHOOSE(MATCH(IF($U216="","Основний",$U216),{"Трафіковий","Основний","Маржинальний","Сезонний","Стратегічний"},0),0.18,0.2,0.28,0.27,0.32)</f>
        <v/>
      </c>
      <c r="AF216" s="104">
        <f>CHOOSE(MATCH(IF($U216="","Основний",$U216),{"Трафіковий","Основний","Маржинальний","Сезонний","Стратегічний"},0),0.15,0.175,0.22,0.21,0.25)</f>
        <v/>
      </c>
      <c r="AG216" s="104">
        <f>CHOOSE(MATCH(IF($U216="","Основний",$U216),{"Трафіковий","Основний","Маржинальний","Сезонний","Стратегічний"},0),0.13,0.16,0.21,0.2,0.25)</f>
        <v/>
      </c>
      <c r="AH216" s="104">
        <f>CHOOSE(MATCH(IF($U216="","Основний",$U216),{"Трафіковий","Основний","Маржинальний","Сезонний","Стратегічний"},0),0.15,0.18,0.23,0.22,0.27)</f>
        <v/>
      </c>
      <c r="AI216" s="104">
        <f>CHOOSE(MATCH(IF($U216="","Основний",$U216),{"Трафіковий","Основний","Маржинальний","Сезонний","Стратегічний"},0),0.16,0.19,0.25,0.23,0.29)</f>
        <v/>
      </c>
      <c r="AJ216" s="104">
        <f>CHOOSE(MATCH(IF($U216="","Основний",$U216),{"Трафіковий","Основний","Маржинальний","Сезонний","Стратегічний"},0),0.14,0.17,0.22,0.21,0.25)</f>
        <v/>
      </c>
      <c r="AK216" s="104">
        <f>CHOOSE(MATCH(IF($U216="","Основний",$U216),{"Трафіковий","Основний","Маржинальний","Сезонний","Стратегічний"},0),0.15,0.18,0.23,0.22,0.27)</f>
        <v/>
      </c>
      <c r="AL216" s="104">
        <f>CHOOSE(MATCH(IF($U216="","Основний",$U216),{"Трафіковий","Основний","Маржинальний","Сезонний","Стратегічний"},0),0.15,0.17,0.25,0.24,0.29)</f>
        <v/>
      </c>
      <c r="AM216" s="104">
        <f>CHOOSE(MATCH(IF($U216="","Основний",$U216),{"Трафіковий","Основний","Маржинальний","Сезонний","Стратегічний"},0),0.12,0.145,0.19,0.18,0.22)</f>
        <v/>
      </c>
      <c r="AN216" s="157">
        <f>CHOOSE(MATCH(IF($U216="","Основний",$U216),{"Трафіковий","Основний","Маржинальний","Сезонний","Стратегічний"},0),Settings!$B$78,Settings!$B$80,Settings!$B$82,Settings!$B$84,Settings!$B$86)</f>
        <v/>
      </c>
      <c r="AO216" s="157">
        <f>CHOOSE(MATCH(IF($U216="","Основний",$U216),{"Трафіковий","Основний","Маржинальний","Сезонний","Стратегічний"},0),Settings!$C$78,Settings!$C$80,Settings!$C$82,Settings!$C$84,Settings!$C$86)</f>
        <v/>
      </c>
      <c r="AP216" s="157">
        <f>CHOOSE(MATCH(IF($U216="","Основний",$U216),{"Трафіковий","Основний","Маржинальний","Сезонний","Стратегічний"},0),Settings!$D$78,Settings!$D$80,Settings!$D$82,Settings!$D$84,Settings!$D$86)</f>
        <v/>
      </c>
      <c r="AQ216" s="157">
        <f>CHOOSE(MATCH(IF($U216="","Основний",$U216),{"Трафіковий","Основний","Маржинальний","Сезонний","Стратегічний"},0),Settings!$F$78,Settings!$F$80,Settings!$F$82,Settings!$F$84,Settings!$F$86)</f>
        <v/>
      </c>
      <c r="AR216" s="157">
        <f>CHOOSE(MATCH(IF($U216="","Основний",$U216),{"Трафіковий","Основний","Маржинальний","Сезонний","Стратегічний"},0),Settings!$G$78,Settings!$G$80,Settings!$G$82,Settings!$G$84,Settings!$G$86)</f>
        <v/>
      </c>
      <c r="AS216" s="157">
        <f>CHOOSE(MATCH(IF($U216="","Основний",$U216),{"Трафіковий","Основний","Маржинальний","Сезонний","Стратегічний"},0),Settings!$H$78,Settings!$H$80,Settings!$H$82,Settings!$H$84,Settings!$H$86)</f>
        <v/>
      </c>
      <c r="AT216" s="157">
        <f>CHOOSE(MATCH(IF($U216="","Основний",$U216),{"Трафіковий","Основний","Маржинальний","Сезонний","Стратегічний"},0),Settings!$I$78,Settings!$I$80,Settings!$I$82,Settings!$I$84,Settings!$I$86)</f>
        <v/>
      </c>
      <c r="AU216" s="171" t="n"/>
      <c r="AV216" t="n">
        <v>1.4286</v>
      </c>
    </row>
    <row r="217">
      <c r="A217" s="33" t="n"/>
      <c r="B217" s="34" t="inlineStr">
        <is>
          <t>N3110N</t>
        </is>
      </c>
      <c r="C217" s="34" t="inlineStr">
        <is>
          <t>SWITCHING POWER ADAPTOR 600MA</t>
        </is>
      </c>
      <c r="D217" s="34" t="inlineStr">
        <is>
          <t>Зарядки USB</t>
        </is>
      </c>
      <c r="E217" s="33" t="inlineStr">
        <is>
          <t>PC</t>
        </is>
      </c>
      <c r="F217" s="94" t="n">
        <v>4.068</v>
      </c>
      <c r="G217" s="35" t="n">
        <v>8504408390</v>
      </c>
      <c r="H217" s="31" t="n">
        <v>1.3</v>
      </c>
      <c r="I217" s="84">
        <f>IFERROR(F217*Settings!$B$2*H217*IF(AND(ISNUMBER(E217),E217&gt;1),E217,1),"")</f>
        <v/>
      </c>
      <c r="J217" s="32">
        <f>Settings!$B$66</f>
        <v/>
      </c>
      <c r="K217" s="95">
        <f>IFERROR(IF(T217="","",(T217*(1-AN217)*(1-Settings!$B$17)-I217)/(T217*(1-AN217)*(1-Settings!$B$17))),"")</f>
        <v/>
      </c>
      <c r="L217" s="101">
        <f>IFERROR(IF(T217="","",(T217*(1-AO217)*(1-Settings!$C$17)-I217)/(T217*(1-AO217)*(1-Settings!$C$17))),"")</f>
        <v/>
      </c>
      <c r="M217" s="101">
        <f>IFERROR(IF(T217="","",(T217*(1-AP217)*(1-Settings!$D$17)-I217)/(T217*(1-AP217)*(1-Settings!$D$17))),"")</f>
        <v/>
      </c>
      <c r="N217" s="101">
        <f>IFERROR(IF(T217="","",(T217*(1-AQ217)*(1-Settings!$F$17)-I217)/(T217*(1-AQ217)*(1-Settings!$F$17))),"")</f>
        <v/>
      </c>
      <c r="O217" s="101">
        <f>IFERROR(IF(T217="","",(T217*(1-AR217)*(1-Settings!$G$17)-I217)/(T217*(1-AR217)*(1-Settings!$G$17))),"")</f>
        <v/>
      </c>
      <c r="P217" s="101">
        <f>IFERROR(IF(T217="","",(T217*(1-AS217)*(1-Settings!$H$17)-I217)/(T217*(1-AS217)*(1-Settings!$H$17))),"")</f>
        <v/>
      </c>
      <c r="Q217" s="101">
        <f>IFERROR(IF(T217="","",(T217*(1-AT217)*(1-Settings!$I$68)*(1-Settings!$I$17)-I217)/(T217*(1-AT217)*(1-Settings!$I$68)*(1-Settings!$I$17))),"")</f>
        <v/>
      </c>
      <c r="R217" s="91">
        <f>IFERROR(IF(OR(I217="",Z217&gt;=1,Settings!$B$17&gt;=1,AN217&gt;=1),"",IF(MOD(ROUND(I217/(1-Z217)/(1-Settings!$B$17)/(1-AN217),0),10)=0,ROUND(I217/(1-Z217)/(1-Settings!$B$17)/(1-AN217),0)-1,IF(MOD(ROUND(I217/(1-Z217)/(1-Settings!$B$17)/(1-AN217),0),10)&lt;=5,FLOOR(ROUND(I217/(1-Z217)/(1-Settings!$B$17)/(1-AN217),0),10)+6,FLOOR(ROUND(I217/(1-Z217)/(1-Settings!$B$17)/(1-AN217),0),10)+9))),"")</f>
        <v/>
      </c>
      <c r="S217" s="174">
        <f>R217*0.95</f>
        <v/>
      </c>
      <c r="T217" s="91">
        <f>IF(S217&lt;&gt;"", IF(MOD(S217,10)=0,S217-1,IF(MOD(S217,10)&lt;=5,FLOOR(S217,10)+6,FLOOR(S217,10)+9)), R217)</f>
        <v/>
      </c>
      <c r="U217" s="87" t="inlineStr">
        <is>
          <t>Основний</t>
        </is>
      </c>
      <c r="V217" s="88" t="n"/>
      <c r="W217" s="88" t="n"/>
      <c r="X217" s="89">
        <f>IFERROR(IF(OR(V217="",W217="",T217=""),"", IF(T217&gt;W217,"Дорогий",IF(T217&lt;V217,"Дешевий","У ринку"))),"")</f>
        <v/>
      </c>
      <c r="Y217" s="90" t="n"/>
      <c r="Z217" s="104">
        <f>CHOOSE(MATCH(IF($U217="","Основний",$U217),{"Трафіковий","Основний","Маржинальний","Сезонний","Стратегічний"},0),0.16,0.19,0.24,0.23,0.28)</f>
        <v/>
      </c>
      <c r="AA217" s="104">
        <f>CHOOSE(MATCH(IF($U217="","Основний",$U217),{"Трафіковий","Основний","Маржинальний","Сезонний","Стратегічний"},0),0.18,0.21,0.26,0.25,0.3)</f>
        <v/>
      </c>
      <c r="AB217" s="104">
        <f>CHOOSE(MATCH(IF($U217="","Основний",$U217),{"Трафіковий","Основний","Маржинальний","Сезонний","Стратегічний"},0),0.19,0.22,0.28,0.26,0.32)</f>
        <v/>
      </c>
      <c r="AC217" s="104">
        <f>CHOOSE(MATCH(IF($U217="","Основний",$U217),{"Трафіковий","Основний","Маржинальний","Сезонний","Стратегічний"},0),0.17,0.2,0.25,0.24,0.28)</f>
        <v/>
      </c>
      <c r="AD217" s="104">
        <f>CHOOSE(MATCH(IF($U217="","Основний",$U217),{"Трафіковий","Основний","Маржинальний","Сезонний","Стратегічний"},0),0.18,0.21,0.26,0.25,0.3)</f>
        <v/>
      </c>
      <c r="AE217" s="104">
        <f>CHOOSE(MATCH(IF($U217="","Основний",$U217),{"Трафіковий","Основний","Маржинальний","Сезонний","Стратегічний"},0),0.18,0.2,0.28,0.27,0.32)</f>
        <v/>
      </c>
      <c r="AF217" s="104">
        <f>CHOOSE(MATCH(IF($U217="","Основний",$U217),{"Трафіковий","Основний","Маржинальний","Сезонний","Стратегічний"},0),0.15,0.175,0.22,0.21,0.25)</f>
        <v/>
      </c>
      <c r="AG217" s="104">
        <f>CHOOSE(MATCH(IF($U217="","Основний",$U217),{"Трафіковий","Основний","Маржинальний","Сезонний","Стратегічний"},0),0.13,0.16,0.21,0.2,0.25)</f>
        <v/>
      </c>
      <c r="AH217" s="104">
        <f>CHOOSE(MATCH(IF($U217="","Основний",$U217),{"Трафіковий","Основний","Маржинальний","Сезонний","Стратегічний"},0),0.15,0.18,0.23,0.22,0.27)</f>
        <v/>
      </c>
      <c r="AI217" s="104">
        <f>CHOOSE(MATCH(IF($U217="","Основний",$U217),{"Трафіковий","Основний","Маржинальний","Сезонний","Стратегічний"},0),0.16,0.19,0.25,0.23,0.29)</f>
        <v/>
      </c>
      <c r="AJ217" s="104">
        <f>CHOOSE(MATCH(IF($U217="","Основний",$U217),{"Трафіковий","Основний","Маржинальний","Сезонний","Стратегічний"},0),0.14,0.17,0.22,0.21,0.25)</f>
        <v/>
      </c>
      <c r="AK217" s="104">
        <f>CHOOSE(MATCH(IF($U217="","Основний",$U217),{"Трафіковий","Основний","Маржинальний","Сезонний","Стратегічний"},0),0.15,0.18,0.23,0.22,0.27)</f>
        <v/>
      </c>
      <c r="AL217" s="104">
        <f>CHOOSE(MATCH(IF($U217="","Основний",$U217),{"Трафіковий","Основний","Маржинальний","Сезонний","Стратегічний"},0),0.15,0.17,0.25,0.24,0.29)</f>
        <v/>
      </c>
      <c r="AM217" s="104">
        <f>CHOOSE(MATCH(IF($U217="","Основний",$U217),{"Трафіковий","Основний","Маржинальний","Сезонний","Стратегічний"},0),0.12,0.145,0.19,0.18,0.22)</f>
        <v/>
      </c>
      <c r="AN217" s="157">
        <f>CHOOSE(MATCH(IF($U217="","Основний",$U217),{"Трафіковий","Основний","Маржинальний","Сезонний","Стратегічний"},0),Settings!$B$78,Settings!$B$80,Settings!$B$82,Settings!$B$84,Settings!$B$86)</f>
        <v/>
      </c>
      <c r="AO217" s="157">
        <f>CHOOSE(MATCH(IF($U217="","Основний",$U217),{"Трафіковий","Основний","Маржинальний","Сезонний","Стратегічний"},0),Settings!$C$78,Settings!$C$80,Settings!$C$82,Settings!$C$84,Settings!$C$86)</f>
        <v/>
      </c>
      <c r="AP217" s="157">
        <f>CHOOSE(MATCH(IF($U217="","Основний",$U217),{"Трафіковий","Основний","Маржинальний","Сезонний","Стратегічний"},0),Settings!$D$78,Settings!$D$80,Settings!$D$82,Settings!$D$84,Settings!$D$86)</f>
        <v/>
      </c>
      <c r="AQ217" s="157">
        <f>CHOOSE(MATCH(IF($U217="","Основний",$U217),{"Трафіковий","Основний","Маржинальний","Сезонний","Стратегічний"},0),Settings!$F$78,Settings!$F$80,Settings!$F$82,Settings!$F$84,Settings!$F$86)</f>
        <v/>
      </c>
      <c r="AR217" s="157">
        <f>CHOOSE(MATCH(IF($U217="","Основний",$U217),{"Трафіковий","Основний","Маржинальний","Сезонний","Стратегічний"},0),Settings!$G$78,Settings!$G$80,Settings!$G$82,Settings!$G$84,Settings!$G$86)</f>
        <v/>
      </c>
      <c r="AS217" s="157">
        <f>CHOOSE(MATCH(IF($U217="","Основний",$U217),{"Трафіковий","Основний","Маржинальний","Сезонний","Стратегічний"},0),Settings!$H$78,Settings!$H$80,Settings!$H$82,Settings!$H$84,Settings!$H$86)</f>
        <v/>
      </c>
      <c r="AT217" s="157">
        <f>CHOOSE(MATCH(IF($U217="","Основний",$U217),{"Трафіковий","Основний","Маржинальний","Сезонний","Стратегічний"},0),Settings!$I$78,Settings!$I$80,Settings!$I$82,Settings!$I$84,Settings!$I$86)</f>
        <v/>
      </c>
      <c r="AU217" s="171" t="n"/>
      <c r="AV217" t="n">
        <v>1.35</v>
      </c>
    </row>
    <row r="218">
      <c r="A218" s="28" t="n"/>
      <c r="B218" s="29" t="inlineStr">
        <is>
          <t>N3111N</t>
        </is>
      </c>
      <c r="C218" s="29" t="inlineStr">
        <is>
          <t>SWITCHING POWER ADAPTOR 1000MA</t>
        </is>
      </c>
      <c r="D218" s="29" t="inlineStr">
        <is>
          <t>Зарядки USB</t>
        </is>
      </c>
      <c r="E218" s="28" t="inlineStr">
        <is>
          <t>PC</t>
        </is>
      </c>
      <c r="F218" s="93" t="n">
        <v>4.641</v>
      </c>
      <c r="G218" s="30" t="n">
        <v>8504408390</v>
      </c>
      <c r="H218" s="31" t="n">
        <v>1.3</v>
      </c>
      <c r="I218" s="84">
        <f>IFERROR(F218*Settings!$B$2*H218*IF(AND(ISNUMBER(E218),E218&gt;1),E218,1),"")</f>
        <v/>
      </c>
      <c r="J218" s="32">
        <f>Settings!$B$66</f>
        <v/>
      </c>
      <c r="K218" s="95">
        <f>IFERROR(IF(T218="","",(T218*(1-AN218)*(1-Settings!$B$17)-I218)/(T218*(1-AN218)*(1-Settings!$B$17))),"")</f>
        <v/>
      </c>
      <c r="L218" s="101">
        <f>IFERROR(IF(T218="","",(T218*(1-AO218)*(1-Settings!$C$17)-I218)/(T218*(1-AO218)*(1-Settings!$C$17))),"")</f>
        <v/>
      </c>
      <c r="M218" s="101">
        <f>IFERROR(IF(T218="","",(T218*(1-AP218)*(1-Settings!$D$17)-I218)/(T218*(1-AP218)*(1-Settings!$D$17))),"")</f>
        <v/>
      </c>
      <c r="N218" s="101">
        <f>IFERROR(IF(T218="","",(T218*(1-AQ218)*(1-Settings!$F$17)-I218)/(T218*(1-AQ218)*(1-Settings!$F$17))),"")</f>
        <v/>
      </c>
      <c r="O218" s="101">
        <f>IFERROR(IF(T218="","",(T218*(1-AR218)*(1-Settings!$G$17)-I218)/(T218*(1-AR218)*(1-Settings!$G$17))),"")</f>
        <v/>
      </c>
      <c r="P218" s="101">
        <f>IFERROR(IF(T218="","",(T218*(1-AS218)*(1-Settings!$H$17)-I218)/(T218*(1-AS218)*(1-Settings!$H$17))),"")</f>
        <v/>
      </c>
      <c r="Q218" s="101">
        <f>IFERROR(IF(T218="","",(T218*(1-AT218)*(1-Settings!$I$68)*(1-Settings!$I$17)-I218)/(T218*(1-AT218)*(1-Settings!$I$68)*(1-Settings!$I$17))),"")</f>
        <v/>
      </c>
      <c r="R218" s="91">
        <f>IFERROR(IF(OR(I218="",Z218&gt;=1,Settings!$B$17&gt;=1,AN218&gt;=1),"",IF(MOD(ROUND(I218/(1-Z218)/(1-Settings!$B$17)/(1-AN218),0),10)=0,ROUND(I218/(1-Z218)/(1-Settings!$B$17)/(1-AN218),0)-1,IF(MOD(ROUND(I218/(1-Z218)/(1-Settings!$B$17)/(1-AN218),0),10)&lt;=5,FLOOR(ROUND(I218/(1-Z218)/(1-Settings!$B$17)/(1-AN218),0),10)+6,FLOOR(ROUND(I218/(1-Z218)/(1-Settings!$B$17)/(1-AN218),0),10)+9))),"")</f>
        <v/>
      </c>
      <c r="S218" s="174">
        <f>R218*0.95</f>
        <v/>
      </c>
      <c r="T218" s="91">
        <f>IF(S218&lt;&gt;"", IF(MOD(S218,10)=0,S218-1,IF(MOD(S218,10)&lt;=5,FLOOR(S218,10)+6,FLOOR(S218,10)+9)), R218)</f>
        <v/>
      </c>
      <c r="U218" s="87" t="inlineStr">
        <is>
          <t>Основний</t>
        </is>
      </c>
      <c r="V218" s="88" t="n"/>
      <c r="W218" s="88" t="n"/>
      <c r="X218" s="89">
        <f>IFERROR(IF(OR(V218="",W218="",T218=""),"", IF(T218&gt;W218,"Дорогий",IF(T218&lt;V218,"Дешевий","У ринку"))),"")</f>
        <v/>
      </c>
      <c r="Y218" s="90" t="n"/>
      <c r="Z218" s="104">
        <f>CHOOSE(MATCH(IF($U218="","Основний",$U218),{"Трафіковий","Основний","Маржинальний","Сезонний","Стратегічний"},0),0.16,0.19,0.24,0.23,0.28)</f>
        <v/>
      </c>
      <c r="AA218" s="104">
        <f>CHOOSE(MATCH(IF($U218="","Основний",$U218),{"Трафіковий","Основний","Маржинальний","Сезонний","Стратегічний"},0),0.18,0.21,0.26,0.25,0.3)</f>
        <v/>
      </c>
      <c r="AB218" s="104">
        <f>CHOOSE(MATCH(IF($U218="","Основний",$U218),{"Трафіковий","Основний","Маржинальний","Сезонний","Стратегічний"},0),0.19,0.22,0.28,0.26,0.32)</f>
        <v/>
      </c>
      <c r="AC218" s="104">
        <f>CHOOSE(MATCH(IF($U218="","Основний",$U218),{"Трафіковий","Основний","Маржинальний","Сезонний","Стратегічний"},0),0.17,0.2,0.25,0.24,0.28)</f>
        <v/>
      </c>
      <c r="AD218" s="104">
        <f>CHOOSE(MATCH(IF($U218="","Основний",$U218),{"Трафіковий","Основний","Маржинальний","Сезонний","Стратегічний"},0),0.18,0.21,0.26,0.25,0.3)</f>
        <v/>
      </c>
      <c r="AE218" s="104">
        <f>CHOOSE(MATCH(IF($U218="","Основний",$U218),{"Трафіковий","Основний","Маржинальний","Сезонний","Стратегічний"},0),0.18,0.2,0.28,0.27,0.32)</f>
        <v/>
      </c>
      <c r="AF218" s="104">
        <f>CHOOSE(MATCH(IF($U218="","Основний",$U218),{"Трафіковий","Основний","Маржинальний","Сезонний","Стратегічний"},0),0.15,0.175,0.22,0.21,0.25)</f>
        <v/>
      </c>
      <c r="AG218" s="104">
        <f>CHOOSE(MATCH(IF($U218="","Основний",$U218),{"Трафіковий","Основний","Маржинальний","Сезонний","Стратегічний"},0),0.13,0.16,0.21,0.2,0.25)</f>
        <v/>
      </c>
      <c r="AH218" s="104">
        <f>CHOOSE(MATCH(IF($U218="","Основний",$U218),{"Трафіковий","Основний","Маржинальний","Сезонний","Стратегічний"},0),0.15,0.18,0.23,0.22,0.27)</f>
        <v/>
      </c>
      <c r="AI218" s="104">
        <f>CHOOSE(MATCH(IF($U218="","Основний",$U218),{"Трафіковий","Основний","Маржинальний","Сезонний","Стратегічний"},0),0.16,0.19,0.25,0.23,0.29)</f>
        <v/>
      </c>
      <c r="AJ218" s="104">
        <f>CHOOSE(MATCH(IF($U218="","Основний",$U218),{"Трафіковий","Основний","Маржинальний","Сезонний","Стратегічний"},0),0.14,0.17,0.22,0.21,0.25)</f>
        <v/>
      </c>
      <c r="AK218" s="104">
        <f>CHOOSE(MATCH(IF($U218="","Основний",$U218),{"Трафіковий","Основний","Маржинальний","Сезонний","Стратегічний"},0),0.15,0.18,0.23,0.22,0.27)</f>
        <v/>
      </c>
      <c r="AL218" s="104">
        <f>CHOOSE(MATCH(IF($U218="","Основний",$U218),{"Трафіковий","Основний","Маржинальний","Сезонний","Стратегічний"},0),0.15,0.17,0.25,0.24,0.29)</f>
        <v/>
      </c>
      <c r="AM218" s="104">
        <f>CHOOSE(MATCH(IF($U218="","Основний",$U218),{"Трафіковий","Основний","Маржинальний","Сезонний","Стратегічний"},0),0.12,0.145,0.19,0.18,0.22)</f>
        <v/>
      </c>
      <c r="AN218" s="157">
        <f>CHOOSE(MATCH(IF($U218="","Основний",$U218),{"Трафіковий","Основний","Маржинальний","Сезонний","Стратегічний"},0),Settings!$B$78,Settings!$B$80,Settings!$B$82,Settings!$B$84,Settings!$B$86)</f>
        <v/>
      </c>
      <c r="AO218" s="157">
        <f>CHOOSE(MATCH(IF($U218="","Основний",$U218),{"Трафіковий","Основний","Маржинальний","Сезонний","Стратегічний"},0),Settings!$C$78,Settings!$C$80,Settings!$C$82,Settings!$C$84,Settings!$C$86)</f>
        <v/>
      </c>
      <c r="AP218" s="157">
        <f>CHOOSE(MATCH(IF($U218="","Основний",$U218),{"Трафіковий","Основний","Маржинальний","Сезонний","Стратегічний"},0),Settings!$D$78,Settings!$D$80,Settings!$D$82,Settings!$D$84,Settings!$D$86)</f>
        <v/>
      </c>
      <c r="AQ218" s="157">
        <f>CHOOSE(MATCH(IF($U218="","Основний",$U218),{"Трафіковий","Основний","Маржинальний","Сезонний","Стратегічний"},0),Settings!$F$78,Settings!$F$80,Settings!$F$82,Settings!$F$84,Settings!$F$86)</f>
        <v/>
      </c>
      <c r="AR218" s="157">
        <f>CHOOSE(MATCH(IF($U218="","Основний",$U218),{"Трафіковий","Основний","Маржинальний","Сезонний","Стратегічний"},0),Settings!$G$78,Settings!$G$80,Settings!$G$82,Settings!$G$84,Settings!$G$86)</f>
        <v/>
      </c>
      <c r="AS218" s="157">
        <f>CHOOSE(MATCH(IF($U218="","Основний",$U218),{"Трафіковий","Основний","Маржинальний","Сезонний","Стратегічний"},0),Settings!$H$78,Settings!$H$80,Settings!$H$82,Settings!$H$84,Settings!$H$86)</f>
        <v/>
      </c>
      <c r="AT218" s="157">
        <f>CHOOSE(MATCH(IF($U218="","Основний",$U218),{"Трафіковий","Основний","Маржинальний","Сезонний","Стратегічний"},0),Settings!$I$78,Settings!$I$80,Settings!$I$82,Settings!$I$84,Settings!$I$86)</f>
        <v/>
      </c>
      <c r="AU218" s="171" t="n"/>
      <c r="AV218" t="n">
        <v>1.35</v>
      </c>
    </row>
    <row r="219">
      <c r="A219" s="33" t="n"/>
      <c r="B219" s="34" t="inlineStr">
        <is>
          <t>N3112N</t>
        </is>
      </c>
      <c r="C219" s="34" t="inlineStr">
        <is>
          <t>SWITCHING POWER ADAPTOR 1500MA</t>
        </is>
      </c>
      <c r="D219" s="34" t="inlineStr">
        <is>
          <t>Зарядки USB</t>
        </is>
      </c>
      <c r="E219" s="33" t="inlineStr">
        <is>
          <t>PC</t>
        </is>
      </c>
      <c r="F219" s="94" t="n">
        <v>6.074</v>
      </c>
      <c r="G219" s="35" t="n">
        <v>8504408390</v>
      </c>
      <c r="H219" s="31" t="n">
        <v>1.3</v>
      </c>
      <c r="I219" s="84">
        <f>IFERROR(F219*Settings!$B$2*H219*IF(AND(ISNUMBER(E219),E219&gt;1),E219,1),"")</f>
        <v/>
      </c>
      <c r="J219" s="32">
        <f>Settings!$B$66</f>
        <v/>
      </c>
      <c r="K219" s="95">
        <f>IFERROR(IF(T219="","",(T219*(1-AN219)*(1-Settings!$B$17)-I219)/(T219*(1-AN219)*(1-Settings!$B$17))),"")</f>
        <v/>
      </c>
      <c r="L219" s="101">
        <f>IFERROR(IF(T219="","",(T219*(1-AO219)*(1-Settings!$C$17)-I219)/(T219*(1-AO219)*(1-Settings!$C$17))),"")</f>
        <v/>
      </c>
      <c r="M219" s="101">
        <f>IFERROR(IF(T219="","",(T219*(1-AP219)*(1-Settings!$D$17)-I219)/(T219*(1-AP219)*(1-Settings!$D$17))),"")</f>
        <v/>
      </c>
      <c r="N219" s="101">
        <f>IFERROR(IF(T219="","",(T219*(1-AQ219)*(1-Settings!$F$17)-I219)/(T219*(1-AQ219)*(1-Settings!$F$17))),"")</f>
        <v/>
      </c>
      <c r="O219" s="101">
        <f>IFERROR(IF(T219="","",(T219*(1-AR219)*(1-Settings!$G$17)-I219)/(T219*(1-AR219)*(1-Settings!$G$17))),"")</f>
        <v/>
      </c>
      <c r="P219" s="101">
        <f>IFERROR(IF(T219="","",(T219*(1-AS219)*(1-Settings!$H$17)-I219)/(T219*(1-AS219)*(1-Settings!$H$17))),"")</f>
        <v/>
      </c>
      <c r="Q219" s="101">
        <f>IFERROR(IF(T219="","",(T219*(1-AT219)*(1-Settings!$I$68)*(1-Settings!$I$17)-I219)/(T219*(1-AT219)*(1-Settings!$I$68)*(1-Settings!$I$17))),"")</f>
        <v/>
      </c>
      <c r="R219" s="91">
        <f>IFERROR(IF(OR(I219="",Z219&gt;=1,Settings!$B$17&gt;=1,AN219&gt;=1),"",IF(MOD(ROUND(I219/(1-Z219)/(1-Settings!$B$17)/(1-AN219),0),10)=0,ROUND(I219/(1-Z219)/(1-Settings!$B$17)/(1-AN219),0)-1,IF(MOD(ROUND(I219/(1-Z219)/(1-Settings!$B$17)/(1-AN219),0),10)&lt;=5,FLOOR(ROUND(I219/(1-Z219)/(1-Settings!$B$17)/(1-AN219),0),10)+6,FLOOR(ROUND(I219/(1-Z219)/(1-Settings!$B$17)/(1-AN219),0),10)+9))),"")</f>
        <v/>
      </c>
      <c r="S219" s="174">
        <f>R219*0.95</f>
        <v/>
      </c>
      <c r="T219" s="91">
        <f>IF(S219&lt;&gt;"", IF(MOD(S219,10)=0,S219-1,IF(MOD(S219,10)&lt;=5,FLOOR(S219,10)+6,FLOOR(S219,10)+9)), R219)</f>
        <v/>
      </c>
      <c r="U219" s="87" t="inlineStr">
        <is>
          <t>Основний</t>
        </is>
      </c>
      <c r="V219" s="88" t="n"/>
      <c r="W219" s="88" t="n"/>
      <c r="X219" s="89">
        <f>IFERROR(IF(OR(V219="",W219="",T219=""),"", IF(T219&gt;W219,"Дорогий",IF(T219&lt;V219,"Дешевий","У ринку"))),"")</f>
        <v/>
      </c>
      <c r="Y219" s="90" t="n"/>
      <c r="Z219" s="104">
        <f>CHOOSE(MATCH(IF($U219="","Основний",$U219),{"Трафіковий","Основний","Маржинальний","Сезонний","Стратегічний"},0),0.16,0.19,0.24,0.23,0.28)</f>
        <v/>
      </c>
      <c r="AA219" s="104">
        <f>CHOOSE(MATCH(IF($U219="","Основний",$U219),{"Трафіковий","Основний","Маржинальний","Сезонний","Стратегічний"},0),0.18,0.21,0.26,0.25,0.3)</f>
        <v/>
      </c>
      <c r="AB219" s="104">
        <f>CHOOSE(MATCH(IF($U219="","Основний",$U219),{"Трафіковий","Основний","Маржинальний","Сезонний","Стратегічний"},0),0.19,0.22,0.28,0.26,0.32)</f>
        <v/>
      </c>
      <c r="AC219" s="104">
        <f>CHOOSE(MATCH(IF($U219="","Основний",$U219),{"Трафіковий","Основний","Маржинальний","Сезонний","Стратегічний"},0),0.17,0.2,0.25,0.24,0.28)</f>
        <v/>
      </c>
      <c r="AD219" s="104">
        <f>CHOOSE(MATCH(IF($U219="","Основний",$U219),{"Трафіковий","Основний","Маржинальний","Сезонний","Стратегічний"},0),0.18,0.21,0.26,0.25,0.3)</f>
        <v/>
      </c>
      <c r="AE219" s="104">
        <f>CHOOSE(MATCH(IF($U219="","Основний",$U219),{"Трафіковий","Основний","Маржинальний","Сезонний","Стратегічний"},0),0.18,0.2,0.28,0.27,0.32)</f>
        <v/>
      </c>
      <c r="AF219" s="104">
        <f>CHOOSE(MATCH(IF($U219="","Основний",$U219),{"Трафіковий","Основний","Маржинальний","Сезонний","Стратегічний"},0),0.15,0.175,0.22,0.21,0.25)</f>
        <v/>
      </c>
      <c r="AG219" s="104">
        <f>CHOOSE(MATCH(IF($U219="","Основний",$U219),{"Трафіковий","Основний","Маржинальний","Сезонний","Стратегічний"},0),0.13,0.16,0.21,0.2,0.25)</f>
        <v/>
      </c>
      <c r="AH219" s="104">
        <f>CHOOSE(MATCH(IF($U219="","Основний",$U219),{"Трафіковий","Основний","Маржинальний","Сезонний","Стратегічний"},0),0.15,0.18,0.23,0.22,0.27)</f>
        <v/>
      </c>
      <c r="AI219" s="104">
        <f>CHOOSE(MATCH(IF($U219="","Основний",$U219),{"Трафіковий","Основний","Маржинальний","Сезонний","Стратегічний"},0),0.16,0.19,0.25,0.23,0.29)</f>
        <v/>
      </c>
      <c r="AJ219" s="104">
        <f>CHOOSE(MATCH(IF($U219="","Основний",$U219),{"Трафіковий","Основний","Маржинальний","Сезонний","Стратегічний"},0),0.14,0.17,0.22,0.21,0.25)</f>
        <v/>
      </c>
      <c r="AK219" s="104">
        <f>CHOOSE(MATCH(IF($U219="","Основний",$U219),{"Трафіковий","Основний","Маржинальний","Сезонний","Стратегічний"},0),0.15,0.18,0.23,0.22,0.27)</f>
        <v/>
      </c>
      <c r="AL219" s="104">
        <f>CHOOSE(MATCH(IF($U219="","Основний",$U219),{"Трафіковий","Основний","Маржинальний","Сезонний","Стратегічний"},0),0.15,0.17,0.25,0.24,0.29)</f>
        <v/>
      </c>
      <c r="AM219" s="104">
        <f>CHOOSE(MATCH(IF($U219="","Основний",$U219),{"Трафіковий","Основний","Маржинальний","Сезонний","Стратегічний"},0),0.12,0.145,0.19,0.18,0.22)</f>
        <v/>
      </c>
      <c r="AN219" s="157">
        <f>CHOOSE(MATCH(IF($U219="","Основний",$U219),{"Трафіковий","Основний","Маржинальний","Сезонний","Стратегічний"},0),Settings!$B$78,Settings!$B$80,Settings!$B$82,Settings!$B$84,Settings!$B$86)</f>
        <v/>
      </c>
      <c r="AO219" s="157">
        <f>CHOOSE(MATCH(IF($U219="","Основний",$U219),{"Трафіковий","Основний","Маржинальний","Сезонний","Стратегічний"},0),Settings!$C$78,Settings!$C$80,Settings!$C$82,Settings!$C$84,Settings!$C$86)</f>
        <v/>
      </c>
      <c r="AP219" s="157">
        <f>CHOOSE(MATCH(IF($U219="","Основний",$U219),{"Трафіковий","Основний","Маржинальний","Сезонний","Стратегічний"},0),Settings!$D$78,Settings!$D$80,Settings!$D$82,Settings!$D$84,Settings!$D$86)</f>
        <v/>
      </c>
      <c r="AQ219" s="157">
        <f>CHOOSE(MATCH(IF($U219="","Основний",$U219),{"Трафіковий","Основний","Маржинальний","Сезонний","Стратегічний"},0),Settings!$F$78,Settings!$F$80,Settings!$F$82,Settings!$F$84,Settings!$F$86)</f>
        <v/>
      </c>
      <c r="AR219" s="157">
        <f>CHOOSE(MATCH(IF($U219="","Основний",$U219),{"Трафіковий","Основний","Маржинальний","Сезонний","Стратегічний"},0),Settings!$G$78,Settings!$G$80,Settings!$G$82,Settings!$G$84,Settings!$G$86)</f>
        <v/>
      </c>
      <c r="AS219" s="157">
        <f>CHOOSE(MATCH(IF($U219="","Основний",$U219),{"Трафіковий","Основний","Маржинальний","Сезонний","Стратегічний"},0),Settings!$H$78,Settings!$H$80,Settings!$H$82,Settings!$H$84,Settings!$H$86)</f>
        <v/>
      </c>
      <c r="AT219" s="157">
        <f>CHOOSE(MATCH(IF($U219="","Основний",$U219),{"Трафіковий","Основний","Маржинальний","Сезонний","Стратегічний"},0),Settings!$I$78,Settings!$I$80,Settings!$I$82,Settings!$I$84,Settings!$I$86)</f>
        <v/>
      </c>
      <c r="AU219" s="171" t="n"/>
      <c r="AV219" t="n">
        <v>1.35</v>
      </c>
    </row>
    <row r="220">
      <c r="A220" s="28" t="n"/>
      <c r="B220" s="29" t="inlineStr">
        <is>
          <t>N3113N</t>
        </is>
      </c>
      <c r="C220" s="29" t="inlineStr">
        <is>
          <t>SWITCHING POWER ADAPTOR 2250MA</t>
        </is>
      </c>
      <c r="D220" s="29" t="inlineStr">
        <is>
          <t>Зарядки USB</t>
        </is>
      </c>
      <c r="E220" s="28" t="inlineStr">
        <is>
          <t>PC</t>
        </is>
      </c>
      <c r="F220" s="93" t="n">
        <v>6.497</v>
      </c>
      <c r="G220" s="30" t="n">
        <v>8504408390</v>
      </c>
      <c r="H220" s="31" t="n">
        <v>1.3</v>
      </c>
      <c r="I220" s="84">
        <f>IFERROR(F220*Settings!$B$2*H220*IF(AND(ISNUMBER(E220),E220&gt;1),E220,1),"")</f>
        <v/>
      </c>
      <c r="J220" s="32">
        <f>Settings!$B$66</f>
        <v/>
      </c>
      <c r="K220" s="95">
        <f>IFERROR(IF(T220="","",(T220*(1-AN220)*(1-Settings!$B$17)-I220)/(T220*(1-AN220)*(1-Settings!$B$17))),"")</f>
        <v/>
      </c>
      <c r="L220" s="101">
        <f>IFERROR(IF(T220="","",(T220*(1-AO220)*(1-Settings!$C$17)-I220)/(T220*(1-AO220)*(1-Settings!$C$17))),"")</f>
        <v/>
      </c>
      <c r="M220" s="101">
        <f>IFERROR(IF(T220="","",(T220*(1-AP220)*(1-Settings!$D$17)-I220)/(T220*(1-AP220)*(1-Settings!$D$17))),"")</f>
        <v/>
      </c>
      <c r="N220" s="101">
        <f>IFERROR(IF(T220="","",(T220*(1-AQ220)*(1-Settings!$F$17)-I220)/(T220*(1-AQ220)*(1-Settings!$F$17))),"")</f>
        <v/>
      </c>
      <c r="O220" s="101">
        <f>IFERROR(IF(T220="","",(T220*(1-AR220)*(1-Settings!$G$17)-I220)/(T220*(1-AR220)*(1-Settings!$G$17))),"")</f>
        <v/>
      </c>
      <c r="P220" s="101">
        <f>IFERROR(IF(T220="","",(T220*(1-AS220)*(1-Settings!$H$17)-I220)/(T220*(1-AS220)*(1-Settings!$H$17))),"")</f>
        <v/>
      </c>
      <c r="Q220" s="101">
        <f>IFERROR(IF(T220="","",(T220*(1-AT220)*(1-Settings!$I$68)*(1-Settings!$I$17)-I220)/(T220*(1-AT220)*(1-Settings!$I$68)*(1-Settings!$I$17))),"")</f>
        <v/>
      </c>
      <c r="R220" s="91">
        <f>IFERROR(IF(OR(I220="",Z220&gt;=1,Settings!$B$17&gt;=1,AN220&gt;=1),"",IF(MOD(ROUND(I220/(1-Z220)/(1-Settings!$B$17)/(1-AN220),0),10)=0,ROUND(I220/(1-Z220)/(1-Settings!$B$17)/(1-AN220),0)-1,IF(MOD(ROUND(I220/(1-Z220)/(1-Settings!$B$17)/(1-AN220),0),10)&lt;=5,FLOOR(ROUND(I220/(1-Z220)/(1-Settings!$B$17)/(1-AN220),0),10)+6,FLOOR(ROUND(I220/(1-Z220)/(1-Settings!$B$17)/(1-AN220),0),10)+9))),"")</f>
        <v/>
      </c>
      <c r="S220" s="174">
        <f>R220*0.95</f>
        <v/>
      </c>
      <c r="T220" s="91">
        <f>IF(S220&lt;&gt;"", IF(MOD(S220,10)=0,S220-1,IF(MOD(S220,10)&lt;=5,FLOOR(S220,10)+6,FLOOR(S220,10)+9)), R220)</f>
        <v/>
      </c>
      <c r="U220" s="87" t="inlineStr">
        <is>
          <t>Основний</t>
        </is>
      </c>
      <c r="V220" s="88" t="n"/>
      <c r="W220" s="88" t="n"/>
      <c r="X220" s="89">
        <f>IFERROR(IF(OR(V220="",W220="",T220=""),"", IF(T220&gt;W220,"Дорогий",IF(T220&lt;V220,"Дешевий","У ринку"))),"")</f>
        <v/>
      </c>
      <c r="Y220" s="90" t="n"/>
      <c r="Z220" s="104">
        <f>CHOOSE(MATCH(IF($U220="","Основний",$U220),{"Трафіковий","Основний","Маржинальний","Сезонний","Стратегічний"},0),0.16,0.19,0.24,0.23,0.28)</f>
        <v/>
      </c>
      <c r="AA220" s="104">
        <f>CHOOSE(MATCH(IF($U220="","Основний",$U220),{"Трафіковий","Основний","Маржинальний","Сезонний","Стратегічний"},0),0.18,0.21,0.26,0.25,0.3)</f>
        <v/>
      </c>
      <c r="AB220" s="104">
        <f>CHOOSE(MATCH(IF($U220="","Основний",$U220),{"Трафіковий","Основний","Маржинальний","Сезонний","Стратегічний"},0),0.19,0.22,0.28,0.26,0.32)</f>
        <v/>
      </c>
      <c r="AC220" s="104">
        <f>CHOOSE(MATCH(IF($U220="","Основний",$U220),{"Трафіковий","Основний","Маржинальний","Сезонний","Стратегічний"},0),0.17,0.2,0.25,0.24,0.28)</f>
        <v/>
      </c>
      <c r="AD220" s="104">
        <f>CHOOSE(MATCH(IF($U220="","Основний",$U220),{"Трафіковий","Основний","Маржинальний","Сезонний","Стратегічний"},0),0.18,0.21,0.26,0.25,0.3)</f>
        <v/>
      </c>
      <c r="AE220" s="104">
        <f>CHOOSE(MATCH(IF($U220="","Основний",$U220),{"Трафіковий","Основний","Маржинальний","Сезонний","Стратегічний"},0),0.18,0.2,0.28,0.27,0.32)</f>
        <v/>
      </c>
      <c r="AF220" s="104">
        <f>CHOOSE(MATCH(IF($U220="","Основний",$U220),{"Трафіковий","Основний","Маржинальний","Сезонний","Стратегічний"},0),0.15,0.175,0.22,0.21,0.25)</f>
        <v/>
      </c>
      <c r="AG220" s="104">
        <f>CHOOSE(MATCH(IF($U220="","Основний",$U220),{"Трафіковий","Основний","Маржинальний","Сезонний","Стратегічний"},0),0.13,0.16,0.21,0.2,0.25)</f>
        <v/>
      </c>
      <c r="AH220" s="104">
        <f>CHOOSE(MATCH(IF($U220="","Основний",$U220),{"Трафіковий","Основний","Маржинальний","Сезонний","Стратегічний"},0),0.15,0.18,0.23,0.22,0.27)</f>
        <v/>
      </c>
      <c r="AI220" s="104">
        <f>CHOOSE(MATCH(IF($U220="","Основний",$U220),{"Трафіковий","Основний","Маржинальний","Сезонний","Стратегічний"},0),0.16,0.19,0.25,0.23,0.29)</f>
        <v/>
      </c>
      <c r="AJ220" s="104">
        <f>CHOOSE(MATCH(IF($U220="","Основний",$U220),{"Трафіковий","Основний","Маржинальний","Сезонний","Стратегічний"},0),0.14,0.17,0.22,0.21,0.25)</f>
        <v/>
      </c>
      <c r="AK220" s="104">
        <f>CHOOSE(MATCH(IF($U220="","Основний",$U220),{"Трафіковий","Основний","Маржинальний","Сезонний","Стратегічний"},0),0.15,0.18,0.23,0.22,0.27)</f>
        <v/>
      </c>
      <c r="AL220" s="104">
        <f>CHOOSE(MATCH(IF($U220="","Основний",$U220),{"Трафіковий","Основний","Маржинальний","Сезонний","Стратегічний"},0),0.15,0.17,0.25,0.24,0.29)</f>
        <v/>
      </c>
      <c r="AM220" s="104">
        <f>CHOOSE(MATCH(IF($U220="","Основний",$U220),{"Трафіковий","Основний","Маржинальний","Сезонний","Стратегічний"},0),0.12,0.145,0.19,0.18,0.22)</f>
        <v/>
      </c>
      <c r="AN220" s="157">
        <f>CHOOSE(MATCH(IF($U220="","Основний",$U220),{"Трафіковий","Основний","Маржинальний","Сезонний","Стратегічний"},0),Settings!$B$78,Settings!$B$80,Settings!$B$82,Settings!$B$84,Settings!$B$86)</f>
        <v/>
      </c>
      <c r="AO220" s="157">
        <f>CHOOSE(MATCH(IF($U220="","Основний",$U220),{"Трафіковий","Основний","Маржинальний","Сезонний","Стратегічний"},0),Settings!$C$78,Settings!$C$80,Settings!$C$82,Settings!$C$84,Settings!$C$86)</f>
        <v/>
      </c>
      <c r="AP220" s="157">
        <f>CHOOSE(MATCH(IF($U220="","Основний",$U220),{"Трафіковий","Основний","Маржинальний","Сезонний","Стратегічний"},0),Settings!$D$78,Settings!$D$80,Settings!$D$82,Settings!$D$84,Settings!$D$86)</f>
        <v/>
      </c>
      <c r="AQ220" s="157">
        <f>CHOOSE(MATCH(IF($U220="","Основний",$U220),{"Трафіковий","Основний","Маржинальний","Сезонний","Стратегічний"},0),Settings!$F$78,Settings!$F$80,Settings!$F$82,Settings!$F$84,Settings!$F$86)</f>
        <v/>
      </c>
      <c r="AR220" s="157">
        <f>CHOOSE(MATCH(IF($U220="","Основний",$U220),{"Трафіковий","Основний","Маржинальний","Сезонний","Стратегічний"},0),Settings!$G$78,Settings!$G$80,Settings!$G$82,Settings!$G$84,Settings!$G$86)</f>
        <v/>
      </c>
      <c r="AS220" s="157">
        <f>CHOOSE(MATCH(IF($U220="","Основний",$U220),{"Трафіковий","Основний","Маржинальний","Сезонний","Стратегічний"},0),Settings!$H$78,Settings!$H$80,Settings!$H$82,Settings!$H$84,Settings!$H$86)</f>
        <v/>
      </c>
      <c r="AT220" s="157">
        <f>CHOOSE(MATCH(IF($U220="","Основний",$U220),{"Трафіковий","Основний","Маржинальний","Сезонний","Стратегічний"},0),Settings!$I$78,Settings!$I$80,Settings!$I$82,Settings!$I$84,Settings!$I$86)</f>
        <v/>
      </c>
      <c r="AU220" s="171" t="n"/>
      <c r="AV220" t="n">
        <v>1.35</v>
      </c>
    </row>
    <row r="221">
      <c r="A221" s="33" t="n"/>
      <c r="B221" s="34" t="inlineStr">
        <is>
          <t>N1014</t>
        </is>
      </c>
      <c r="C221" s="34" t="inlineStr">
        <is>
          <t>LEAD ACID BATTERY CHARGER</t>
        </is>
      </c>
      <c r="D221" s="34" t="inlineStr">
        <is>
          <t>Свинцеві акумулятори SLA</t>
        </is>
      </c>
      <c r="E221" s="33" t="inlineStr">
        <is>
          <t>PC</t>
        </is>
      </c>
      <c r="F221" s="94" t="n">
        <v>22.292</v>
      </c>
      <c r="G221" s="35" t="n">
        <v>8504406090</v>
      </c>
      <c r="H221" s="31" t="n">
        <v>1.3</v>
      </c>
      <c r="I221" s="84">
        <f>IFERROR(F221*Settings!$B$2*H221*IF(AND(ISNUMBER(E221),E221&gt;1),E221,1),"")</f>
        <v/>
      </c>
      <c r="J221" s="32">
        <f>Settings!$B$66</f>
        <v/>
      </c>
      <c r="K221" s="95">
        <f>IFERROR(IF(T221="","",(T221*(1-AN221)*(1-Settings!$B$17)-I221)/(T221*(1-AN221)*(1-Settings!$B$17))),"")</f>
        <v/>
      </c>
      <c r="L221" s="101">
        <f>IFERROR(IF(T221="","",(T221*(1-AO221)*(1-Settings!$C$17)-I221)/(T221*(1-AO221)*(1-Settings!$C$17))),"")</f>
        <v/>
      </c>
      <c r="M221" s="101">
        <f>IFERROR(IF(T221="","",(T221*(1-AP221)*(1-Settings!$D$17)-I221)/(T221*(1-AP221)*(1-Settings!$D$17))),"")</f>
        <v/>
      </c>
      <c r="N221" s="101">
        <f>IFERROR(IF(T221="","",(T221*(1-AQ221)*(1-Settings!$F$17)-I221)/(T221*(1-AQ221)*(1-Settings!$F$17))),"")</f>
        <v/>
      </c>
      <c r="O221" s="101">
        <f>IFERROR(IF(T221="","",(T221*(1-AR221)*(1-Settings!$G$17)-I221)/(T221*(1-AR221)*(1-Settings!$G$17))),"")</f>
        <v/>
      </c>
      <c r="P221" s="101">
        <f>IFERROR(IF(T221="","",(T221*(1-AS221)*(1-Settings!$H$17)-I221)/(T221*(1-AS221)*(1-Settings!$H$17))),"")</f>
        <v/>
      </c>
      <c r="Q221" s="101">
        <f>IFERROR(IF(T221="","",(T221*(1-AT221)*(1-Settings!$I$68)*(1-Settings!$I$17)-I221)/(T221*(1-AT221)*(1-Settings!$I$68)*(1-Settings!$I$17))),"")</f>
        <v/>
      </c>
      <c r="R221" s="91">
        <f>IFERROR(IF(OR(I221="",Z221&gt;=1,Settings!$B$17&gt;=1,AN221&gt;=1),"",IF(MOD(ROUND(I221/(1-Z221)/(1-Settings!$B$17)/(1-AN221),0),10)=0,ROUND(I221/(1-Z221)/(1-Settings!$B$17)/(1-AN221),0)-1,IF(MOD(ROUND(I221/(1-Z221)/(1-Settings!$B$17)/(1-AN221),0),10)&lt;=5,FLOOR(ROUND(I221/(1-Z221)/(1-Settings!$B$17)/(1-AN221),0),10)+6,FLOOR(ROUND(I221/(1-Z221)/(1-Settings!$B$17)/(1-AN221),0),10)+9))),"")</f>
        <v/>
      </c>
      <c r="S221" s="174">
        <f>R221*0.95</f>
        <v/>
      </c>
      <c r="T221" s="91">
        <f>IF(S221&lt;&gt;"", IF(MOD(S221,10)=0,S221-1,IF(MOD(S221,10)&lt;=5,FLOOR(S221,10)+6,FLOOR(S221,10)+9)), R221)</f>
        <v/>
      </c>
      <c r="U221" s="87" t="inlineStr">
        <is>
          <t>Основний</t>
        </is>
      </c>
      <c r="V221" s="88" t="n"/>
      <c r="W221" s="88" t="n"/>
      <c r="X221" s="89">
        <f>IFERROR(IF(OR(V221="",W221="",T221=""),"", IF(T221&gt;W221,"Дорогий",IF(T221&lt;V221,"Дешевий","У ринку"))),"")</f>
        <v/>
      </c>
      <c r="Y221" s="90" t="n"/>
      <c r="Z221" s="104">
        <f>CHOOSE(MATCH(IF($U221="","Основний",$U221),{"Трафіковий","Основний","Маржинальний","Сезонний","Стратегічний"},0),0.16,0.19,0.24,0.23,0.28)</f>
        <v/>
      </c>
      <c r="AA221" s="104">
        <f>CHOOSE(MATCH(IF($U221="","Основний",$U221),{"Трафіковий","Основний","Маржинальний","Сезонний","Стратегічний"},0),0.18,0.21,0.26,0.25,0.3)</f>
        <v/>
      </c>
      <c r="AB221" s="104">
        <f>CHOOSE(MATCH(IF($U221="","Основний",$U221),{"Трафіковий","Основний","Маржинальний","Сезонний","Стратегічний"},0),0.19,0.22,0.28,0.26,0.32)</f>
        <v/>
      </c>
      <c r="AC221" s="104">
        <f>CHOOSE(MATCH(IF($U221="","Основний",$U221),{"Трафіковий","Основний","Маржинальний","Сезонний","Стратегічний"},0),0.17,0.2,0.25,0.24,0.28)</f>
        <v/>
      </c>
      <c r="AD221" s="104">
        <f>CHOOSE(MATCH(IF($U221="","Основний",$U221),{"Трафіковий","Основний","Маржинальний","Сезонний","Стратегічний"},0),0.18,0.21,0.26,0.25,0.3)</f>
        <v/>
      </c>
      <c r="AE221" s="104">
        <f>CHOOSE(MATCH(IF($U221="","Основний",$U221),{"Трафіковий","Основний","Маржинальний","Сезонний","Стратегічний"},0),0.18,0.2,0.28,0.27,0.32)</f>
        <v/>
      </c>
      <c r="AF221" s="104">
        <f>CHOOSE(MATCH(IF($U221="","Основний",$U221),{"Трафіковий","Основний","Маржинальний","Сезонний","Стратегічний"},0),0.15,0.175,0.22,0.21,0.25)</f>
        <v/>
      </c>
      <c r="AG221" s="104">
        <f>CHOOSE(MATCH(IF($U221="","Основний",$U221),{"Трафіковий","Основний","Маржинальний","Сезонний","Стратегічний"},0),0.13,0.16,0.21,0.2,0.25)</f>
        <v/>
      </c>
      <c r="AH221" s="104">
        <f>CHOOSE(MATCH(IF($U221="","Основний",$U221),{"Трафіковий","Основний","Маржинальний","Сезонний","Стратегічний"},0),0.15,0.18,0.23,0.22,0.27)</f>
        <v/>
      </c>
      <c r="AI221" s="104">
        <f>CHOOSE(MATCH(IF($U221="","Основний",$U221),{"Трафіковий","Основний","Маржинальний","Сезонний","Стратегічний"},0),0.16,0.19,0.25,0.23,0.29)</f>
        <v/>
      </c>
      <c r="AJ221" s="104">
        <f>CHOOSE(MATCH(IF($U221="","Основний",$U221),{"Трафіковий","Основний","Маржинальний","Сезонний","Стратегічний"},0),0.14,0.17,0.22,0.21,0.25)</f>
        <v/>
      </c>
      <c r="AK221" s="104">
        <f>CHOOSE(MATCH(IF($U221="","Основний",$U221),{"Трафіковий","Основний","Маржинальний","Сезонний","Стратегічний"},0),0.15,0.18,0.23,0.22,0.27)</f>
        <v/>
      </c>
      <c r="AL221" s="104">
        <f>CHOOSE(MATCH(IF($U221="","Основний",$U221),{"Трафіковий","Основний","Маржинальний","Сезонний","Стратегічний"},0),0.15,0.17,0.25,0.24,0.29)</f>
        <v/>
      </c>
      <c r="AM221" s="104">
        <f>CHOOSE(MATCH(IF($U221="","Основний",$U221),{"Трафіковий","Основний","Маржинальний","Сезонний","Стратегічний"},0),0.12,0.145,0.19,0.18,0.22)</f>
        <v/>
      </c>
      <c r="AN221" s="157">
        <f>CHOOSE(MATCH(IF($U221="","Основний",$U221),{"Трафіковий","Основний","Маржинальний","Сезонний","Стратегічний"},0),Settings!$B$78,Settings!$B$80,Settings!$B$82,Settings!$B$84,Settings!$B$86)</f>
        <v/>
      </c>
      <c r="AO221" s="157">
        <f>CHOOSE(MATCH(IF($U221="","Основний",$U221),{"Трафіковий","Основний","Маржинальний","Сезонний","Стратегічний"},0),Settings!$C$78,Settings!$C$80,Settings!$C$82,Settings!$C$84,Settings!$C$86)</f>
        <v/>
      </c>
      <c r="AP221" s="157">
        <f>CHOOSE(MATCH(IF($U221="","Основний",$U221),{"Трафіковий","Основний","Маржинальний","Сезонний","Стратегічний"},0),Settings!$D$78,Settings!$D$80,Settings!$D$82,Settings!$D$84,Settings!$D$86)</f>
        <v/>
      </c>
      <c r="AQ221" s="157">
        <f>CHOOSE(MATCH(IF($U221="","Основний",$U221),{"Трафіковий","Основний","Маржинальний","Сезонний","Стратегічний"},0),Settings!$F$78,Settings!$F$80,Settings!$F$82,Settings!$F$84,Settings!$F$86)</f>
        <v/>
      </c>
      <c r="AR221" s="157">
        <f>CHOOSE(MATCH(IF($U221="","Основний",$U221),{"Трафіковий","Основний","Маржинальний","Сезонний","Стратегічний"},0),Settings!$G$78,Settings!$G$80,Settings!$G$82,Settings!$G$84,Settings!$G$86)</f>
        <v/>
      </c>
      <c r="AS221" s="157">
        <f>CHOOSE(MATCH(IF($U221="","Основний",$U221),{"Трафіковий","Основний","Маржинальний","Сезонний","Стратегічний"},0),Settings!$H$78,Settings!$H$80,Settings!$H$82,Settings!$H$84,Settings!$H$86)</f>
        <v/>
      </c>
      <c r="AT221" s="157">
        <f>CHOOSE(MATCH(IF($U221="","Основний",$U221),{"Трафіковий","Основний","Маржинальний","Сезонний","Стратегічний"},0),Settings!$I$78,Settings!$I$80,Settings!$I$82,Settings!$I$84,Settings!$I$86)</f>
        <v/>
      </c>
      <c r="AU221" s="171" t="n"/>
      <c r="AV221" t="n">
        <v>1.35</v>
      </c>
    </row>
    <row r="222">
      <c r="A222" s="28" t="n"/>
      <c r="B222" s="29" t="inlineStr">
        <is>
          <t>N1015</t>
        </is>
      </c>
      <c r="C222" s="29" t="inlineStr">
        <is>
          <t>LEAD ACID BATTERY CHARGER</t>
        </is>
      </c>
      <c r="D222" s="29" t="inlineStr">
        <is>
          <t>Свинцеві акумулятори SLA</t>
        </is>
      </c>
      <c r="E222" s="28" t="inlineStr">
        <is>
          <t>PC</t>
        </is>
      </c>
      <c r="F222" s="93" t="n">
        <v>10.634</v>
      </c>
      <c r="G222" s="30" t="n">
        <v>8504406090</v>
      </c>
      <c r="H222" s="31" t="n">
        <v>1.3</v>
      </c>
      <c r="I222" s="84">
        <f>IFERROR(F222*Settings!$B$2*H222*IF(AND(ISNUMBER(E222),E222&gt;1),E222,1),"")</f>
        <v/>
      </c>
      <c r="J222" s="32">
        <f>Settings!$B$66</f>
        <v/>
      </c>
      <c r="K222" s="95">
        <f>IFERROR(IF(T222="","",(T222*(1-AN222)*(1-Settings!$B$17)-I222)/(T222*(1-AN222)*(1-Settings!$B$17))),"")</f>
        <v/>
      </c>
      <c r="L222" s="101">
        <f>IFERROR(IF(T222="","",(T222*(1-AO222)*(1-Settings!$C$17)-I222)/(T222*(1-AO222)*(1-Settings!$C$17))),"")</f>
        <v/>
      </c>
      <c r="M222" s="101">
        <f>IFERROR(IF(T222="","",(T222*(1-AP222)*(1-Settings!$D$17)-I222)/(T222*(1-AP222)*(1-Settings!$D$17))),"")</f>
        <v/>
      </c>
      <c r="N222" s="101">
        <f>IFERROR(IF(T222="","",(T222*(1-AQ222)*(1-Settings!$F$17)-I222)/(T222*(1-AQ222)*(1-Settings!$F$17))),"")</f>
        <v/>
      </c>
      <c r="O222" s="101">
        <f>IFERROR(IF(T222="","",(T222*(1-AR222)*(1-Settings!$G$17)-I222)/(T222*(1-AR222)*(1-Settings!$G$17))),"")</f>
        <v/>
      </c>
      <c r="P222" s="101">
        <f>IFERROR(IF(T222="","",(T222*(1-AS222)*(1-Settings!$H$17)-I222)/(T222*(1-AS222)*(1-Settings!$H$17))),"")</f>
        <v/>
      </c>
      <c r="Q222" s="101">
        <f>IFERROR(IF(T222="","",(T222*(1-AT222)*(1-Settings!$I$68)*(1-Settings!$I$17)-I222)/(T222*(1-AT222)*(1-Settings!$I$68)*(1-Settings!$I$17))),"")</f>
        <v/>
      </c>
      <c r="R222" s="91">
        <f>IFERROR(IF(OR(I222="",Z222&gt;=1,Settings!$B$17&gt;=1,AN222&gt;=1),"",IF(MOD(ROUND(I222/(1-Z222)/(1-Settings!$B$17)/(1-AN222),0),10)=0,ROUND(I222/(1-Z222)/(1-Settings!$B$17)/(1-AN222),0)-1,IF(MOD(ROUND(I222/(1-Z222)/(1-Settings!$B$17)/(1-AN222),0),10)&lt;=5,FLOOR(ROUND(I222/(1-Z222)/(1-Settings!$B$17)/(1-AN222),0),10)+6,FLOOR(ROUND(I222/(1-Z222)/(1-Settings!$B$17)/(1-AN222),0),10)+9))),"")</f>
        <v/>
      </c>
      <c r="S222" s="174">
        <f>R222*0.95</f>
        <v/>
      </c>
      <c r="T222" s="91">
        <f>IF(S222&lt;&gt;"", IF(MOD(S222,10)=0,S222-1,IF(MOD(S222,10)&lt;=5,FLOOR(S222,10)+6,FLOOR(S222,10)+9)), R222)</f>
        <v/>
      </c>
      <c r="U222" s="87" t="inlineStr">
        <is>
          <t>Основний</t>
        </is>
      </c>
      <c r="V222" s="88" t="n"/>
      <c r="W222" s="88" t="n"/>
      <c r="X222" s="89">
        <f>IFERROR(IF(OR(V222="",W222="",T222=""),"", IF(T222&gt;W222,"Дорогий",IF(T222&lt;V222,"Дешевий","У ринку"))),"")</f>
        <v/>
      </c>
      <c r="Y222" s="90" t="n"/>
      <c r="Z222" s="104">
        <f>CHOOSE(MATCH(IF($U222="","Основний",$U222),{"Трафіковий","Основний","Маржинальний","Сезонний","Стратегічний"},0),0.16,0.19,0.24,0.23,0.28)</f>
        <v/>
      </c>
      <c r="AA222" s="104">
        <f>CHOOSE(MATCH(IF($U222="","Основний",$U222),{"Трафіковий","Основний","Маржинальний","Сезонний","Стратегічний"},0),0.18,0.21,0.26,0.25,0.3)</f>
        <v/>
      </c>
      <c r="AB222" s="104">
        <f>CHOOSE(MATCH(IF($U222="","Основний",$U222),{"Трафіковий","Основний","Маржинальний","Сезонний","Стратегічний"},0),0.19,0.22,0.28,0.26,0.32)</f>
        <v/>
      </c>
      <c r="AC222" s="104">
        <f>CHOOSE(MATCH(IF($U222="","Основний",$U222),{"Трафіковий","Основний","Маржинальний","Сезонний","Стратегічний"},0),0.17,0.2,0.25,0.24,0.28)</f>
        <v/>
      </c>
      <c r="AD222" s="104">
        <f>CHOOSE(MATCH(IF($U222="","Основний",$U222),{"Трафіковий","Основний","Маржинальний","Сезонний","Стратегічний"},0),0.18,0.21,0.26,0.25,0.3)</f>
        <v/>
      </c>
      <c r="AE222" s="104">
        <f>CHOOSE(MATCH(IF($U222="","Основний",$U222),{"Трафіковий","Основний","Маржинальний","Сезонний","Стратегічний"},0),0.18,0.2,0.28,0.27,0.32)</f>
        <v/>
      </c>
      <c r="AF222" s="104">
        <f>CHOOSE(MATCH(IF($U222="","Основний",$U222),{"Трафіковий","Основний","Маржинальний","Сезонний","Стратегічний"},0),0.15,0.175,0.22,0.21,0.25)</f>
        <v/>
      </c>
      <c r="AG222" s="104">
        <f>CHOOSE(MATCH(IF($U222="","Основний",$U222),{"Трафіковий","Основний","Маржинальний","Сезонний","Стратегічний"},0),0.13,0.16,0.21,0.2,0.25)</f>
        <v/>
      </c>
      <c r="AH222" s="104">
        <f>CHOOSE(MATCH(IF($U222="","Основний",$U222),{"Трафіковий","Основний","Маржинальний","Сезонний","Стратегічний"},0),0.15,0.18,0.23,0.22,0.27)</f>
        <v/>
      </c>
      <c r="AI222" s="104">
        <f>CHOOSE(MATCH(IF($U222="","Основний",$U222),{"Трафіковий","Основний","Маржинальний","Сезонний","Стратегічний"},0),0.16,0.19,0.25,0.23,0.29)</f>
        <v/>
      </c>
      <c r="AJ222" s="104">
        <f>CHOOSE(MATCH(IF($U222="","Основний",$U222),{"Трафіковий","Основний","Маржинальний","Сезонний","Стратегічний"},0),0.14,0.17,0.22,0.21,0.25)</f>
        <v/>
      </c>
      <c r="AK222" s="104">
        <f>CHOOSE(MATCH(IF($U222="","Основний",$U222),{"Трафіковий","Основний","Маржинальний","Сезонний","Стратегічний"},0),0.15,0.18,0.23,0.22,0.27)</f>
        <v/>
      </c>
      <c r="AL222" s="104">
        <f>CHOOSE(MATCH(IF($U222="","Основний",$U222),{"Трафіковий","Основний","Маржинальний","Сезонний","Стратегічний"},0),0.15,0.17,0.25,0.24,0.29)</f>
        <v/>
      </c>
      <c r="AM222" s="104">
        <f>CHOOSE(MATCH(IF($U222="","Основний",$U222),{"Трафіковий","Основний","Маржинальний","Сезонний","Стратегічний"},0),0.12,0.145,0.19,0.18,0.22)</f>
        <v/>
      </c>
      <c r="AN222" s="157">
        <f>CHOOSE(MATCH(IF($U222="","Основний",$U222),{"Трафіковий","Основний","Маржинальний","Сезонний","Стратегічний"},0),Settings!$B$78,Settings!$B$80,Settings!$B$82,Settings!$B$84,Settings!$B$86)</f>
        <v/>
      </c>
      <c r="AO222" s="157">
        <f>CHOOSE(MATCH(IF($U222="","Основний",$U222),{"Трафіковий","Основний","Маржинальний","Сезонний","Стратегічний"},0),Settings!$C$78,Settings!$C$80,Settings!$C$82,Settings!$C$84,Settings!$C$86)</f>
        <v/>
      </c>
      <c r="AP222" s="157">
        <f>CHOOSE(MATCH(IF($U222="","Основний",$U222),{"Трафіковий","Основний","Маржинальний","Сезонний","Стратегічний"},0),Settings!$D$78,Settings!$D$80,Settings!$D$82,Settings!$D$84,Settings!$D$86)</f>
        <v/>
      </c>
      <c r="AQ222" s="157">
        <f>CHOOSE(MATCH(IF($U222="","Основний",$U222),{"Трафіковий","Основний","Маржинальний","Сезонний","Стратегічний"},0),Settings!$F$78,Settings!$F$80,Settings!$F$82,Settings!$F$84,Settings!$F$86)</f>
        <v/>
      </c>
      <c r="AR222" s="157">
        <f>CHOOSE(MATCH(IF($U222="","Основний",$U222),{"Трафіковий","Основний","Маржинальний","Сезонний","Стратегічний"},0),Settings!$G$78,Settings!$G$80,Settings!$G$82,Settings!$G$84,Settings!$G$86)</f>
        <v/>
      </c>
      <c r="AS222" s="157">
        <f>CHOOSE(MATCH(IF($U222="","Основний",$U222),{"Трафіковий","Основний","Маржинальний","Сезонний","Стратегічний"},0),Settings!$H$78,Settings!$H$80,Settings!$H$82,Settings!$H$84,Settings!$H$86)</f>
        <v/>
      </c>
      <c r="AT222" s="157">
        <f>CHOOSE(MATCH(IF($U222="","Основний",$U222),{"Трафіковий","Основний","Маржинальний","Сезонний","Стратегічний"},0),Settings!$I$78,Settings!$I$80,Settings!$I$82,Settings!$I$84,Settings!$I$86)</f>
        <v/>
      </c>
      <c r="AU222" s="171" t="n"/>
      <c r="AV222" t="n">
        <v>1.35</v>
      </c>
    </row>
    <row r="223">
      <c r="A223" s="33" t="n"/>
      <c r="B223" s="34" t="inlineStr">
        <is>
          <t>B9641</t>
        </is>
      </c>
      <c r="C223" s="34" t="inlineStr">
        <is>
          <t>ACCU.SLA 6V 4AH FAST.4.7 MM</t>
        </is>
      </c>
      <c r="D223" s="34" t="inlineStr">
        <is>
          <t>Свинцеві акумулятори SLA</t>
        </is>
      </c>
      <c r="E223" s="33" t="inlineStr">
        <is>
          <t>PC</t>
        </is>
      </c>
      <c r="F223" s="94" t="n">
        <v>2.868</v>
      </c>
      <c r="G223" s="35" t="n">
        <v>8507202090</v>
      </c>
      <c r="H223" s="31" t="n">
        <v>1.38</v>
      </c>
      <c r="I223" s="84">
        <f>IFERROR(F223*Settings!$B$2*H223*IF(AND(ISNUMBER(E223),E223&gt;1),E223,1),"")</f>
        <v/>
      </c>
      <c r="J223" s="32">
        <f>Settings!$B$66</f>
        <v/>
      </c>
      <c r="K223" s="95">
        <f>IFERROR(IF(T223="","",(T223*(1-AN223)*(1-Settings!$B$17)-I223)/(T223*(1-AN223)*(1-Settings!$B$17))),"")</f>
        <v/>
      </c>
      <c r="L223" s="101">
        <f>IFERROR(IF(T223="","",(T223*(1-AO223)*(1-Settings!$C$17)-I223)/(T223*(1-AO223)*(1-Settings!$C$17))),"")</f>
        <v/>
      </c>
      <c r="M223" s="101">
        <f>IFERROR(IF(T223="","",(T223*(1-AP223)*(1-Settings!$D$17)-I223)/(T223*(1-AP223)*(1-Settings!$D$17))),"")</f>
        <v/>
      </c>
      <c r="N223" s="101">
        <f>IFERROR(IF(T223="","",(T223*(1-AQ223)*(1-Settings!$F$17)-I223)/(T223*(1-AQ223)*(1-Settings!$F$17))),"")</f>
        <v/>
      </c>
      <c r="O223" s="101">
        <f>IFERROR(IF(T223="","",(T223*(1-AR223)*(1-Settings!$G$17)-I223)/(T223*(1-AR223)*(1-Settings!$G$17))),"")</f>
        <v/>
      </c>
      <c r="P223" s="101">
        <f>IFERROR(IF(T223="","",(T223*(1-AS223)*(1-Settings!$H$17)-I223)/(T223*(1-AS223)*(1-Settings!$H$17))),"")</f>
        <v/>
      </c>
      <c r="Q223" s="101">
        <f>IFERROR(IF(T223="","",(T223*(1-AT223)*(1-Settings!$I$68)*(1-Settings!$I$17)-I223)/(T223*(1-AT223)*(1-Settings!$I$68)*(1-Settings!$I$17))),"")</f>
        <v/>
      </c>
      <c r="R223" s="91">
        <f>IFERROR(IF(OR(I223="",Z223&gt;=1,Settings!$B$17&gt;=1,AN223&gt;=1),"",IF(MOD(ROUND(I223/(1-Z223)/(1-Settings!$B$17)/(1-AN223),0),10)=0,ROUND(I223/(1-Z223)/(1-Settings!$B$17)/(1-AN223),0)-1,IF(MOD(ROUND(I223/(1-Z223)/(1-Settings!$B$17)/(1-AN223),0),10)&lt;=5,FLOOR(ROUND(I223/(1-Z223)/(1-Settings!$B$17)/(1-AN223),0),10)+6,FLOOR(ROUND(I223/(1-Z223)/(1-Settings!$B$17)/(1-AN223),0),10)+9))),"")</f>
        <v/>
      </c>
      <c r="S223" s="174">
        <f>R223*0.95</f>
        <v/>
      </c>
      <c r="T223" s="91">
        <f>IF(S223&lt;&gt;"", IF(MOD(S223,10)=0,S223-1,IF(MOD(S223,10)&lt;=5,FLOOR(S223,10)+6,FLOOR(S223,10)+9)), R223)</f>
        <v/>
      </c>
      <c r="U223" s="87" t="inlineStr">
        <is>
          <t>Основний</t>
        </is>
      </c>
      <c r="V223" s="88" t="n"/>
      <c r="W223" s="88" t="n"/>
      <c r="X223" s="89">
        <f>IFERROR(IF(OR(V223="",W223="",T223=""),"", IF(T223&gt;W223,"Дорогий",IF(T223&lt;V223,"Дешевий","У ринку"))),"")</f>
        <v/>
      </c>
      <c r="Y223" s="90" t="n"/>
      <c r="Z223" s="104">
        <f>CHOOSE(MATCH(IF($U223="","Основний",$U223),{"Трафіковий","Основний","Маржинальний","Сезонний","Стратегічний"},0),0.16,0.19,0.24,0.23,0.28)</f>
        <v/>
      </c>
      <c r="AA223" s="104">
        <f>CHOOSE(MATCH(IF($U223="","Основний",$U223),{"Трафіковий","Основний","Маржинальний","Сезонний","Стратегічний"},0),0.18,0.21,0.26,0.25,0.3)</f>
        <v/>
      </c>
      <c r="AB223" s="104">
        <f>CHOOSE(MATCH(IF($U223="","Основний",$U223),{"Трафіковий","Основний","Маржинальний","Сезонний","Стратегічний"},0),0.19,0.22,0.28,0.26,0.32)</f>
        <v/>
      </c>
      <c r="AC223" s="104">
        <f>CHOOSE(MATCH(IF($U223="","Основний",$U223),{"Трафіковий","Основний","Маржинальний","Сезонний","Стратегічний"},0),0.17,0.2,0.25,0.24,0.28)</f>
        <v/>
      </c>
      <c r="AD223" s="104">
        <f>CHOOSE(MATCH(IF($U223="","Основний",$U223),{"Трафіковий","Основний","Маржинальний","Сезонний","Стратегічний"},0),0.18,0.21,0.26,0.25,0.3)</f>
        <v/>
      </c>
      <c r="AE223" s="104">
        <f>CHOOSE(MATCH(IF($U223="","Основний",$U223),{"Трафіковий","Основний","Маржинальний","Сезонний","Стратегічний"},0),0.18,0.2,0.28,0.27,0.32)</f>
        <v/>
      </c>
      <c r="AF223" s="104">
        <f>CHOOSE(MATCH(IF($U223="","Основний",$U223),{"Трафіковий","Основний","Маржинальний","Сезонний","Стратегічний"},0),0.15,0.175,0.22,0.21,0.25)</f>
        <v/>
      </c>
      <c r="AG223" s="104">
        <f>CHOOSE(MATCH(IF($U223="","Основний",$U223),{"Трафіковий","Основний","Маржинальний","Сезонний","Стратегічний"},0),0.13,0.16,0.21,0.2,0.25)</f>
        <v/>
      </c>
      <c r="AH223" s="104">
        <f>CHOOSE(MATCH(IF($U223="","Основний",$U223),{"Трафіковий","Основний","Маржинальний","Сезонний","Стратегічний"},0),0.15,0.18,0.23,0.22,0.27)</f>
        <v/>
      </c>
      <c r="AI223" s="104">
        <f>CHOOSE(MATCH(IF($U223="","Основний",$U223),{"Трафіковий","Основний","Маржинальний","Сезонний","Стратегічний"},0),0.16,0.19,0.25,0.23,0.29)</f>
        <v/>
      </c>
      <c r="AJ223" s="104">
        <f>CHOOSE(MATCH(IF($U223="","Основний",$U223),{"Трафіковий","Основний","Маржинальний","Сезонний","Стратегічний"},0),0.14,0.17,0.22,0.21,0.25)</f>
        <v/>
      </c>
      <c r="AK223" s="104">
        <f>CHOOSE(MATCH(IF($U223="","Основний",$U223),{"Трафіковий","Основний","Маржинальний","Сезонний","Стратегічний"},0),0.15,0.18,0.23,0.22,0.27)</f>
        <v/>
      </c>
      <c r="AL223" s="104">
        <f>CHOOSE(MATCH(IF($U223="","Основний",$U223),{"Трафіковий","Основний","Маржинальний","Сезонний","Стратегічний"},0),0.15,0.17,0.25,0.24,0.29)</f>
        <v/>
      </c>
      <c r="AM223" s="104">
        <f>CHOOSE(MATCH(IF($U223="","Основний",$U223),{"Трафіковий","Основний","Маржинальний","Сезонний","Стратегічний"},0),0.12,0.145,0.19,0.18,0.22)</f>
        <v/>
      </c>
      <c r="AN223" s="157">
        <f>CHOOSE(MATCH(IF($U223="","Основний",$U223),{"Трафіковий","Основний","Маржинальний","Сезонний","Стратегічний"},0),Settings!$B$78,Settings!$B$80,Settings!$B$82,Settings!$B$84,Settings!$B$86)</f>
        <v/>
      </c>
      <c r="AO223" s="157">
        <f>CHOOSE(MATCH(IF($U223="","Основний",$U223),{"Трафіковий","Основний","Маржинальний","Сезонний","Стратегічний"},0),Settings!$C$78,Settings!$C$80,Settings!$C$82,Settings!$C$84,Settings!$C$86)</f>
        <v/>
      </c>
      <c r="AP223" s="157">
        <f>CHOOSE(MATCH(IF($U223="","Основний",$U223),{"Трафіковий","Основний","Маржинальний","Сезонний","Стратегічний"},0),Settings!$D$78,Settings!$D$80,Settings!$D$82,Settings!$D$84,Settings!$D$86)</f>
        <v/>
      </c>
      <c r="AQ223" s="157">
        <f>CHOOSE(MATCH(IF($U223="","Основний",$U223),{"Трафіковий","Основний","Маржинальний","Сезонний","Стратегічний"},0),Settings!$F$78,Settings!$F$80,Settings!$F$82,Settings!$F$84,Settings!$F$86)</f>
        <v/>
      </c>
      <c r="AR223" s="157">
        <f>CHOOSE(MATCH(IF($U223="","Основний",$U223),{"Трафіковий","Основний","Маржинальний","Сезонний","Стратегічний"},0),Settings!$G$78,Settings!$G$80,Settings!$G$82,Settings!$G$84,Settings!$G$86)</f>
        <v/>
      </c>
      <c r="AS223" s="157">
        <f>CHOOSE(MATCH(IF($U223="","Основний",$U223),{"Трафіковий","Основний","Маржинальний","Сезонний","Стратегічний"},0),Settings!$H$78,Settings!$H$80,Settings!$H$82,Settings!$H$84,Settings!$H$86)</f>
        <v/>
      </c>
      <c r="AT223" s="157">
        <f>CHOOSE(MATCH(IF($U223="","Основний",$U223),{"Трафіковий","Основний","Маржинальний","Сезонний","Стратегічний"},0),Settings!$I$78,Settings!$I$80,Settings!$I$82,Settings!$I$84,Settings!$I$86)</f>
        <v/>
      </c>
      <c r="AU223" s="171" t="n"/>
      <c r="AV223" t="n">
        <v>1.35</v>
      </c>
    </row>
    <row r="224">
      <c r="A224" s="28" t="n"/>
      <c r="B224" s="29" t="inlineStr">
        <is>
          <t>B9651</t>
        </is>
      </c>
      <c r="C224" s="29" t="inlineStr">
        <is>
          <t>ACCU.SLA 6V 1.3AH FAST.4.7 MM</t>
        </is>
      </c>
      <c r="D224" s="29" t="inlineStr">
        <is>
          <t>Свинцеві акумулятори SLA</t>
        </is>
      </c>
      <c r="E224" s="28" t="inlineStr">
        <is>
          <t>PC</t>
        </is>
      </c>
      <c r="F224" s="93" t="n">
        <v>2.373</v>
      </c>
      <c r="G224" s="30" t="n">
        <v>8507202090</v>
      </c>
      <c r="H224" s="31" t="n">
        <v>1.38</v>
      </c>
      <c r="I224" s="84">
        <f>IFERROR(F224*Settings!$B$2*H224*IF(AND(ISNUMBER(E224),E224&gt;1),E224,1),"")</f>
        <v/>
      </c>
      <c r="J224" s="32">
        <f>Settings!$B$66</f>
        <v/>
      </c>
      <c r="K224" s="95">
        <f>IFERROR(IF(T224="","",(T224*(1-AN224)*(1-Settings!$B$17)-I224)/(T224*(1-AN224)*(1-Settings!$B$17))),"")</f>
        <v/>
      </c>
      <c r="L224" s="101">
        <f>IFERROR(IF(T224="","",(T224*(1-AO224)*(1-Settings!$C$17)-I224)/(T224*(1-AO224)*(1-Settings!$C$17))),"")</f>
        <v/>
      </c>
      <c r="M224" s="101">
        <f>IFERROR(IF(T224="","",(T224*(1-AP224)*(1-Settings!$D$17)-I224)/(T224*(1-AP224)*(1-Settings!$D$17))),"")</f>
        <v/>
      </c>
      <c r="N224" s="101">
        <f>IFERROR(IF(T224="","",(T224*(1-AQ224)*(1-Settings!$F$17)-I224)/(T224*(1-AQ224)*(1-Settings!$F$17))),"")</f>
        <v/>
      </c>
      <c r="O224" s="101">
        <f>IFERROR(IF(T224="","",(T224*(1-AR224)*(1-Settings!$G$17)-I224)/(T224*(1-AR224)*(1-Settings!$G$17))),"")</f>
        <v/>
      </c>
      <c r="P224" s="101">
        <f>IFERROR(IF(T224="","",(T224*(1-AS224)*(1-Settings!$H$17)-I224)/(T224*(1-AS224)*(1-Settings!$H$17))),"")</f>
        <v/>
      </c>
      <c r="Q224" s="101">
        <f>IFERROR(IF(T224="","",(T224*(1-AT224)*(1-Settings!$I$68)*(1-Settings!$I$17)-I224)/(T224*(1-AT224)*(1-Settings!$I$68)*(1-Settings!$I$17))),"")</f>
        <v/>
      </c>
      <c r="R224" s="91">
        <f>IFERROR(IF(OR(I224="",Z224&gt;=1,Settings!$B$17&gt;=1,AN224&gt;=1),"",IF(MOD(ROUND(I224/(1-Z224)/(1-Settings!$B$17)/(1-AN224),0),10)=0,ROUND(I224/(1-Z224)/(1-Settings!$B$17)/(1-AN224),0)-1,IF(MOD(ROUND(I224/(1-Z224)/(1-Settings!$B$17)/(1-AN224),0),10)&lt;=5,FLOOR(ROUND(I224/(1-Z224)/(1-Settings!$B$17)/(1-AN224),0),10)+6,FLOOR(ROUND(I224/(1-Z224)/(1-Settings!$B$17)/(1-AN224),0),10)+9))),"")</f>
        <v/>
      </c>
      <c r="S224" s="174">
        <f>R224*0.95</f>
        <v/>
      </c>
      <c r="T224" s="91">
        <f>IF(S224&lt;&gt;"", IF(MOD(S224,10)=0,S224-1,IF(MOD(S224,10)&lt;=5,FLOOR(S224,10)+6,FLOOR(S224,10)+9)), R224)</f>
        <v/>
      </c>
      <c r="U224" s="87" t="inlineStr">
        <is>
          <t>Основний</t>
        </is>
      </c>
      <c r="V224" s="88" t="n"/>
      <c r="W224" s="88" t="n"/>
      <c r="X224" s="89">
        <f>IFERROR(IF(OR(V224="",W224="",T224=""),"", IF(T224&gt;W224,"Дорогий",IF(T224&lt;V224,"Дешевий","У ринку"))),"")</f>
        <v/>
      </c>
      <c r="Y224" s="90" t="n"/>
      <c r="Z224" s="104">
        <f>CHOOSE(MATCH(IF($U224="","Основний",$U224),{"Трафіковий","Основний","Маржинальний","Сезонний","Стратегічний"},0),0.16,0.19,0.24,0.23,0.28)</f>
        <v/>
      </c>
      <c r="AA224" s="104">
        <f>CHOOSE(MATCH(IF($U224="","Основний",$U224),{"Трафіковий","Основний","Маржинальний","Сезонний","Стратегічний"},0),0.18,0.21,0.26,0.25,0.3)</f>
        <v/>
      </c>
      <c r="AB224" s="104">
        <f>CHOOSE(MATCH(IF($U224="","Основний",$U224),{"Трафіковий","Основний","Маржинальний","Сезонний","Стратегічний"},0),0.19,0.22,0.28,0.26,0.32)</f>
        <v/>
      </c>
      <c r="AC224" s="104">
        <f>CHOOSE(MATCH(IF($U224="","Основний",$U224),{"Трафіковий","Основний","Маржинальний","Сезонний","Стратегічний"},0),0.17,0.2,0.25,0.24,0.28)</f>
        <v/>
      </c>
      <c r="AD224" s="104">
        <f>CHOOSE(MATCH(IF($U224="","Основний",$U224),{"Трафіковий","Основний","Маржинальний","Сезонний","Стратегічний"},0),0.18,0.21,0.26,0.25,0.3)</f>
        <v/>
      </c>
      <c r="AE224" s="104">
        <f>CHOOSE(MATCH(IF($U224="","Основний",$U224),{"Трафіковий","Основний","Маржинальний","Сезонний","Стратегічний"},0),0.18,0.2,0.28,0.27,0.32)</f>
        <v/>
      </c>
      <c r="AF224" s="104">
        <f>CHOOSE(MATCH(IF($U224="","Основний",$U224),{"Трафіковий","Основний","Маржинальний","Сезонний","Стратегічний"},0),0.15,0.175,0.22,0.21,0.25)</f>
        <v/>
      </c>
      <c r="AG224" s="104">
        <f>CHOOSE(MATCH(IF($U224="","Основний",$U224),{"Трафіковий","Основний","Маржинальний","Сезонний","Стратегічний"},0),0.13,0.16,0.21,0.2,0.25)</f>
        <v/>
      </c>
      <c r="AH224" s="104">
        <f>CHOOSE(MATCH(IF($U224="","Основний",$U224),{"Трафіковий","Основний","Маржинальний","Сезонний","Стратегічний"},0),0.15,0.18,0.23,0.22,0.27)</f>
        <v/>
      </c>
      <c r="AI224" s="104">
        <f>CHOOSE(MATCH(IF($U224="","Основний",$U224),{"Трафіковий","Основний","Маржинальний","Сезонний","Стратегічний"},0),0.16,0.19,0.25,0.23,0.29)</f>
        <v/>
      </c>
      <c r="AJ224" s="104">
        <f>CHOOSE(MATCH(IF($U224="","Основний",$U224),{"Трафіковий","Основний","Маржинальний","Сезонний","Стратегічний"},0),0.14,0.17,0.22,0.21,0.25)</f>
        <v/>
      </c>
      <c r="AK224" s="104">
        <f>CHOOSE(MATCH(IF($U224="","Основний",$U224),{"Трафіковий","Основний","Маржинальний","Сезонний","Стратегічний"},0),0.15,0.18,0.23,0.22,0.27)</f>
        <v/>
      </c>
      <c r="AL224" s="104">
        <f>CHOOSE(MATCH(IF($U224="","Основний",$U224),{"Трафіковий","Основний","Маржинальний","Сезонний","Стратегічний"},0),0.15,0.17,0.25,0.24,0.29)</f>
        <v/>
      </c>
      <c r="AM224" s="104">
        <f>CHOOSE(MATCH(IF($U224="","Основний",$U224),{"Трафіковий","Основний","Маржинальний","Сезонний","Стратегічний"},0),0.12,0.145,0.19,0.18,0.22)</f>
        <v/>
      </c>
      <c r="AN224" s="157">
        <f>CHOOSE(MATCH(IF($U224="","Основний",$U224),{"Трафіковий","Основний","Маржинальний","Сезонний","Стратегічний"},0),Settings!$B$78,Settings!$B$80,Settings!$B$82,Settings!$B$84,Settings!$B$86)</f>
        <v/>
      </c>
      <c r="AO224" s="157">
        <f>CHOOSE(MATCH(IF($U224="","Основний",$U224),{"Трафіковий","Основний","Маржинальний","Сезонний","Стратегічний"},0),Settings!$C$78,Settings!$C$80,Settings!$C$82,Settings!$C$84,Settings!$C$86)</f>
        <v/>
      </c>
      <c r="AP224" s="157">
        <f>CHOOSE(MATCH(IF($U224="","Основний",$U224),{"Трафіковий","Основний","Маржинальний","Сезонний","Стратегічний"},0),Settings!$D$78,Settings!$D$80,Settings!$D$82,Settings!$D$84,Settings!$D$86)</f>
        <v/>
      </c>
      <c r="AQ224" s="157">
        <f>CHOOSE(MATCH(IF($U224="","Основний",$U224),{"Трафіковий","Основний","Маржинальний","Сезонний","Стратегічний"},0),Settings!$F$78,Settings!$F$80,Settings!$F$82,Settings!$F$84,Settings!$F$86)</f>
        <v/>
      </c>
      <c r="AR224" s="157">
        <f>CHOOSE(MATCH(IF($U224="","Основний",$U224),{"Трафіковий","Основний","Маржинальний","Сезонний","Стратегічний"},0),Settings!$G$78,Settings!$G$80,Settings!$G$82,Settings!$G$84,Settings!$G$86)</f>
        <v/>
      </c>
      <c r="AS224" s="157">
        <f>CHOOSE(MATCH(IF($U224="","Основний",$U224),{"Трафіковий","Основний","Маржинальний","Сезонний","Стратегічний"},0),Settings!$H$78,Settings!$H$80,Settings!$H$82,Settings!$H$84,Settings!$H$86)</f>
        <v/>
      </c>
      <c r="AT224" s="157">
        <f>CHOOSE(MATCH(IF($U224="","Основний",$U224),{"Трафіковий","Основний","Маржинальний","Сезонний","Стратегічний"},0),Settings!$I$78,Settings!$I$80,Settings!$I$82,Settings!$I$84,Settings!$I$86)</f>
        <v/>
      </c>
      <c r="AU224" s="171" t="n"/>
      <c r="AV224" t="n">
        <v>1.35</v>
      </c>
    </row>
    <row r="225">
      <c r="A225" s="33" t="n"/>
      <c r="B225" s="34" t="inlineStr">
        <is>
          <t>B9659</t>
        </is>
      </c>
      <c r="C225" s="34" t="inlineStr">
        <is>
          <t>ACCU.SLA 6V 7AH FAST.4.7 MM</t>
        </is>
      </c>
      <c r="D225" s="34" t="inlineStr">
        <is>
          <t>Свинцеві акумулятори SLA</t>
        </is>
      </c>
      <c r="E225" s="33" t="inlineStr">
        <is>
          <t>PC</t>
        </is>
      </c>
      <c r="F225" s="94" t="n">
        <v>4.63</v>
      </c>
      <c r="G225" s="35" t="n">
        <v>8507202090</v>
      </c>
      <c r="H225" s="31" t="n">
        <v>1.38</v>
      </c>
      <c r="I225" s="84">
        <f>IFERROR(F225*Settings!$B$2*H225*IF(AND(ISNUMBER(E225),E225&gt;1),E225,1),"")</f>
        <v/>
      </c>
      <c r="J225" s="32">
        <f>Settings!$B$66</f>
        <v/>
      </c>
      <c r="K225" s="95">
        <f>IFERROR(IF(T225="","",(T225*(1-AN225)*(1-Settings!$B$17)-I225)/(T225*(1-AN225)*(1-Settings!$B$17))),"")</f>
        <v/>
      </c>
      <c r="L225" s="101">
        <f>IFERROR(IF(T225="","",(T225*(1-AO225)*(1-Settings!$C$17)-I225)/(T225*(1-AO225)*(1-Settings!$C$17))),"")</f>
        <v/>
      </c>
      <c r="M225" s="101">
        <f>IFERROR(IF(T225="","",(T225*(1-AP225)*(1-Settings!$D$17)-I225)/(T225*(1-AP225)*(1-Settings!$D$17))),"")</f>
        <v/>
      </c>
      <c r="N225" s="101">
        <f>IFERROR(IF(T225="","",(T225*(1-AQ225)*(1-Settings!$F$17)-I225)/(T225*(1-AQ225)*(1-Settings!$F$17))),"")</f>
        <v/>
      </c>
      <c r="O225" s="101">
        <f>IFERROR(IF(T225="","",(T225*(1-AR225)*(1-Settings!$G$17)-I225)/(T225*(1-AR225)*(1-Settings!$G$17))),"")</f>
        <v/>
      </c>
      <c r="P225" s="101">
        <f>IFERROR(IF(T225="","",(T225*(1-AS225)*(1-Settings!$H$17)-I225)/(T225*(1-AS225)*(1-Settings!$H$17))),"")</f>
        <v/>
      </c>
      <c r="Q225" s="101">
        <f>IFERROR(IF(T225="","",(T225*(1-AT225)*(1-Settings!$I$68)*(1-Settings!$I$17)-I225)/(T225*(1-AT225)*(1-Settings!$I$68)*(1-Settings!$I$17))),"")</f>
        <v/>
      </c>
      <c r="R225" s="91">
        <f>IFERROR(IF(OR(I225="",Z225&gt;=1,Settings!$B$17&gt;=1,AN225&gt;=1),"",IF(MOD(ROUND(I225/(1-Z225)/(1-Settings!$B$17)/(1-AN225),0),10)=0,ROUND(I225/(1-Z225)/(1-Settings!$B$17)/(1-AN225),0)-1,IF(MOD(ROUND(I225/(1-Z225)/(1-Settings!$B$17)/(1-AN225),0),10)&lt;=5,FLOOR(ROUND(I225/(1-Z225)/(1-Settings!$B$17)/(1-AN225),0),10)+6,FLOOR(ROUND(I225/(1-Z225)/(1-Settings!$B$17)/(1-AN225),0),10)+9))),"")</f>
        <v/>
      </c>
      <c r="S225" s="174">
        <f>R225*0.95</f>
        <v/>
      </c>
      <c r="T225" s="91">
        <f>IF(S225&lt;&gt;"", IF(MOD(S225,10)=0,S225-1,IF(MOD(S225,10)&lt;=5,FLOOR(S225,10)+6,FLOOR(S225,10)+9)), R225)</f>
        <v/>
      </c>
      <c r="U225" s="87" t="inlineStr">
        <is>
          <t>Основний</t>
        </is>
      </c>
      <c r="V225" s="88" t="n"/>
      <c r="W225" s="88" t="n"/>
      <c r="X225" s="89">
        <f>IFERROR(IF(OR(V225="",W225="",T225=""),"", IF(T225&gt;W225,"Дорогий",IF(T225&lt;V225,"Дешевий","У ринку"))),"")</f>
        <v/>
      </c>
      <c r="Y225" s="90" t="n"/>
      <c r="Z225" s="104">
        <f>CHOOSE(MATCH(IF($U225="","Основний",$U225),{"Трафіковий","Основний","Маржинальний","Сезонний","Стратегічний"},0),0.16,0.19,0.24,0.23,0.28)</f>
        <v/>
      </c>
      <c r="AA225" s="104">
        <f>CHOOSE(MATCH(IF($U225="","Основний",$U225),{"Трафіковий","Основний","Маржинальний","Сезонний","Стратегічний"},0),0.18,0.21,0.26,0.25,0.3)</f>
        <v/>
      </c>
      <c r="AB225" s="104">
        <f>CHOOSE(MATCH(IF($U225="","Основний",$U225),{"Трафіковий","Основний","Маржинальний","Сезонний","Стратегічний"},0),0.19,0.22,0.28,0.26,0.32)</f>
        <v/>
      </c>
      <c r="AC225" s="104">
        <f>CHOOSE(MATCH(IF($U225="","Основний",$U225),{"Трафіковий","Основний","Маржинальний","Сезонний","Стратегічний"},0),0.17,0.2,0.25,0.24,0.28)</f>
        <v/>
      </c>
      <c r="AD225" s="104">
        <f>CHOOSE(MATCH(IF($U225="","Основний",$U225),{"Трафіковий","Основний","Маржинальний","Сезонний","Стратегічний"},0),0.18,0.21,0.26,0.25,0.3)</f>
        <v/>
      </c>
      <c r="AE225" s="104">
        <f>CHOOSE(MATCH(IF($U225="","Основний",$U225),{"Трафіковий","Основний","Маржинальний","Сезонний","Стратегічний"},0),0.18,0.2,0.28,0.27,0.32)</f>
        <v/>
      </c>
      <c r="AF225" s="104">
        <f>CHOOSE(MATCH(IF($U225="","Основний",$U225),{"Трафіковий","Основний","Маржинальний","Сезонний","Стратегічний"},0),0.15,0.175,0.22,0.21,0.25)</f>
        <v/>
      </c>
      <c r="AG225" s="104">
        <f>CHOOSE(MATCH(IF($U225="","Основний",$U225),{"Трафіковий","Основний","Маржинальний","Сезонний","Стратегічний"},0),0.13,0.16,0.21,0.2,0.25)</f>
        <v/>
      </c>
      <c r="AH225" s="104">
        <f>CHOOSE(MATCH(IF($U225="","Основний",$U225),{"Трафіковий","Основний","Маржинальний","Сезонний","Стратегічний"},0),0.15,0.18,0.23,0.22,0.27)</f>
        <v/>
      </c>
      <c r="AI225" s="104">
        <f>CHOOSE(MATCH(IF($U225="","Основний",$U225),{"Трафіковий","Основний","Маржинальний","Сезонний","Стратегічний"},0),0.16,0.19,0.25,0.23,0.29)</f>
        <v/>
      </c>
      <c r="AJ225" s="104">
        <f>CHOOSE(MATCH(IF($U225="","Основний",$U225),{"Трафіковий","Основний","Маржинальний","Сезонний","Стратегічний"},0),0.14,0.17,0.22,0.21,0.25)</f>
        <v/>
      </c>
      <c r="AK225" s="104">
        <f>CHOOSE(MATCH(IF($U225="","Основний",$U225),{"Трафіковий","Основний","Маржинальний","Сезонний","Стратегічний"},0),0.15,0.18,0.23,0.22,0.27)</f>
        <v/>
      </c>
      <c r="AL225" s="104">
        <f>CHOOSE(MATCH(IF($U225="","Основний",$U225),{"Трафіковий","Основний","Маржинальний","Сезонний","Стратегічний"},0),0.15,0.17,0.25,0.24,0.29)</f>
        <v/>
      </c>
      <c r="AM225" s="104">
        <f>CHOOSE(MATCH(IF($U225="","Основний",$U225),{"Трафіковий","Основний","Маржинальний","Сезонний","Стратегічний"},0),0.12,0.145,0.19,0.18,0.22)</f>
        <v/>
      </c>
      <c r="AN225" s="157">
        <f>CHOOSE(MATCH(IF($U225="","Основний",$U225),{"Трафіковий","Основний","Маржинальний","Сезонний","Стратегічний"},0),Settings!$B$78,Settings!$B$80,Settings!$B$82,Settings!$B$84,Settings!$B$86)</f>
        <v/>
      </c>
      <c r="AO225" s="157">
        <f>CHOOSE(MATCH(IF($U225="","Основний",$U225),{"Трафіковий","Основний","Маржинальний","Сезонний","Стратегічний"},0),Settings!$C$78,Settings!$C$80,Settings!$C$82,Settings!$C$84,Settings!$C$86)</f>
        <v/>
      </c>
      <c r="AP225" s="157">
        <f>CHOOSE(MATCH(IF($U225="","Основний",$U225),{"Трафіковий","Основний","Маржинальний","Сезонний","Стратегічний"},0),Settings!$D$78,Settings!$D$80,Settings!$D$82,Settings!$D$84,Settings!$D$86)</f>
        <v/>
      </c>
      <c r="AQ225" s="157">
        <f>CHOOSE(MATCH(IF($U225="","Основний",$U225),{"Трафіковий","Основний","Маржинальний","Сезонний","Стратегічний"},0),Settings!$F$78,Settings!$F$80,Settings!$F$82,Settings!$F$84,Settings!$F$86)</f>
        <v/>
      </c>
      <c r="AR225" s="157">
        <f>CHOOSE(MATCH(IF($U225="","Основний",$U225),{"Трафіковий","Основний","Маржинальний","Сезонний","Стратегічний"},0),Settings!$G$78,Settings!$G$80,Settings!$G$82,Settings!$G$84,Settings!$G$86)</f>
        <v/>
      </c>
      <c r="AS225" s="157">
        <f>CHOOSE(MATCH(IF($U225="","Основний",$U225),{"Трафіковий","Основний","Маржинальний","Сезонний","Стратегічний"},0),Settings!$H$78,Settings!$H$80,Settings!$H$82,Settings!$H$84,Settings!$H$86)</f>
        <v/>
      </c>
      <c r="AT225" s="157">
        <f>CHOOSE(MATCH(IF($U225="","Основний",$U225),{"Трафіковий","Основний","Маржинальний","Сезонний","Стратегічний"},0),Settings!$I$78,Settings!$I$80,Settings!$I$82,Settings!$I$84,Settings!$I$86)</f>
        <v/>
      </c>
      <c r="AU225" s="171" t="n"/>
      <c r="AV225" t="n">
        <v>1.35</v>
      </c>
    </row>
    <row r="226">
      <c r="A226" s="28" t="n"/>
      <c r="B226" s="29" t="inlineStr">
        <is>
          <t>B9682</t>
        </is>
      </c>
      <c r="C226" s="29" t="inlineStr">
        <is>
          <t>ACCU.SLA 6V 12AH FAST.4.7 MM</t>
        </is>
      </c>
      <c r="D226" s="29" t="inlineStr">
        <is>
          <t>Свинцеві акумулятори SLA</t>
        </is>
      </c>
      <c r="E226" s="28" t="inlineStr">
        <is>
          <t>PC</t>
        </is>
      </c>
      <c r="F226" s="93" t="n">
        <v>7.731</v>
      </c>
      <c r="G226" s="30" t="n">
        <v>8507202090</v>
      </c>
      <c r="H226" s="31" t="n">
        <v>1.38</v>
      </c>
      <c r="I226" s="84">
        <f>IFERROR(F226*Settings!$B$2*H226*IF(AND(ISNUMBER(E226),E226&gt;1),E226,1),"")</f>
        <v/>
      </c>
      <c r="J226" s="32">
        <f>Settings!$B$66</f>
        <v/>
      </c>
      <c r="K226" s="95">
        <f>IFERROR(IF(T226="","",(T226*(1-AN226)*(1-Settings!$B$17)-I226)/(T226*(1-AN226)*(1-Settings!$B$17))),"")</f>
        <v/>
      </c>
      <c r="L226" s="101">
        <f>IFERROR(IF(T226="","",(T226*(1-AO226)*(1-Settings!$C$17)-I226)/(T226*(1-AO226)*(1-Settings!$C$17))),"")</f>
        <v/>
      </c>
      <c r="M226" s="101">
        <f>IFERROR(IF(T226="","",(T226*(1-AP226)*(1-Settings!$D$17)-I226)/(T226*(1-AP226)*(1-Settings!$D$17))),"")</f>
        <v/>
      </c>
      <c r="N226" s="101">
        <f>IFERROR(IF(T226="","",(T226*(1-AQ226)*(1-Settings!$F$17)-I226)/(T226*(1-AQ226)*(1-Settings!$F$17))),"")</f>
        <v/>
      </c>
      <c r="O226" s="101">
        <f>IFERROR(IF(T226="","",(T226*(1-AR226)*(1-Settings!$G$17)-I226)/(T226*(1-AR226)*(1-Settings!$G$17))),"")</f>
        <v/>
      </c>
      <c r="P226" s="101">
        <f>IFERROR(IF(T226="","",(T226*(1-AS226)*(1-Settings!$H$17)-I226)/(T226*(1-AS226)*(1-Settings!$H$17))),"")</f>
        <v/>
      </c>
      <c r="Q226" s="101">
        <f>IFERROR(IF(T226="","",(T226*(1-AT226)*(1-Settings!$I$68)*(1-Settings!$I$17)-I226)/(T226*(1-AT226)*(1-Settings!$I$68)*(1-Settings!$I$17))),"")</f>
        <v/>
      </c>
      <c r="R226" s="91">
        <f>IFERROR(IF(OR(I226="",Z226&gt;=1,Settings!$B$17&gt;=1,AN226&gt;=1),"",IF(MOD(ROUND(I226/(1-Z226)/(1-Settings!$B$17)/(1-AN226),0),10)=0,ROUND(I226/(1-Z226)/(1-Settings!$B$17)/(1-AN226),0)-1,IF(MOD(ROUND(I226/(1-Z226)/(1-Settings!$B$17)/(1-AN226),0),10)&lt;=5,FLOOR(ROUND(I226/(1-Z226)/(1-Settings!$B$17)/(1-AN226),0),10)+6,FLOOR(ROUND(I226/(1-Z226)/(1-Settings!$B$17)/(1-AN226),0),10)+9))),"")</f>
        <v/>
      </c>
      <c r="S226" s="174">
        <f>R226*0.95</f>
        <v/>
      </c>
      <c r="T226" s="91">
        <f>IF(S226&lt;&gt;"", IF(MOD(S226,10)=0,S226-1,IF(MOD(S226,10)&lt;=5,FLOOR(S226,10)+6,FLOOR(S226,10)+9)), R226)</f>
        <v/>
      </c>
      <c r="U226" s="87" t="inlineStr">
        <is>
          <t>Основний</t>
        </is>
      </c>
      <c r="V226" s="88" t="n"/>
      <c r="W226" s="88" t="n"/>
      <c r="X226" s="89">
        <f>IFERROR(IF(OR(V226="",W226="",T226=""),"", IF(T226&gt;W226,"Дорогий",IF(T226&lt;V226,"Дешевий","У ринку"))),"")</f>
        <v/>
      </c>
      <c r="Y226" s="90" t="n"/>
      <c r="Z226" s="104">
        <f>CHOOSE(MATCH(IF($U226="","Основний",$U226),{"Трафіковий","Основний","Маржинальний","Сезонний","Стратегічний"},0),0.16,0.19,0.24,0.23,0.28)</f>
        <v/>
      </c>
      <c r="AA226" s="104">
        <f>CHOOSE(MATCH(IF($U226="","Основний",$U226),{"Трафіковий","Основний","Маржинальний","Сезонний","Стратегічний"},0),0.18,0.21,0.26,0.25,0.3)</f>
        <v/>
      </c>
      <c r="AB226" s="104">
        <f>CHOOSE(MATCH(IF($U226="","Основний",$U226),{"Трафіковий","Основний","Маржинальний","Сезонний","Стратегічний"},0),0.19,0.22,0.28,0.26,0.32)</f>
        <v/>
      </c>
      <c r="AC226" s="104">
        <f>CHOOSE(MATCH(IF($U226="","Основний",$U226),{"Трафіковий","Основний","Маржинальний","Сезонний","Стратегічний"},0),0.17,0.2,0.25,0.24,0.28)</f>
        <v/>
      </c>
      <c r="AD226" s="104">
        <f>CHOOSE(MATCH(IF($U226="","Основний",$U226),{"Трафіковий","Основний","Маржинальний","Сезонний","Стратегічний"},0),0.18,0.21,0.26,0.25,0.3)</f>
        <v/>
      </c>
      <c r="AE226" s="104">
        <f>CHOOSE(MATCH(IF($U226="","Основний",$U226),{"Трафіковий","Основний","Маржинальний","Сезонний","Стратегічний"},0),0.18,0.2,0.28,0.27,0.32)</f>
        <v/>
      </c>
      <c r="AF226" s="104">
        <f>CHOOSE(MATCH(IF($U226="","Основний",$U226),{"Трафіковий","Основний","Маржинальний","Сезонний","Стратегічний"},0),0.15,0.175,0.22,0.21,0.25)</f>
        <v/>
      </c>
      <c r="AG226" s="104">
        <f>CHOOSE(MATCH(IF($U226="","Основний",$U226),{"Трафіковий","Основний","Маржинальний","Сезонний","Стратегічний"},0),0.13,0.16,0.21,0.2,0.25)</f>
        <v/>
      </c>
      <c r="AH226" s="104">
        <f>CHOOSE(MATCH(IF($U226="","Основний",$U226),{"Трафіковий","Основний","Маржинальний","Сезонний","Стратегічний"},0),0.15,0.18,0.23,0.22,0.27)</f>
        <v/>
      </c>
      <c r="AI226" s="104">
        <f>CHOOSE(MATCH(IF($U226="","Основний",$U226),{"Трафіковий","Основний","Маржинальний","Сезонний","Стратегічний"},0),0.16,0.19,0.25,0.23,0.29)</f>
        <v/>
      </c>
      <c r="AJ226" s="104">
        <f>CHOOSE(MATCH(IF($U226="","Основний",$U226),{"Трафіковий","Основний","Маржинальний","Сезонний","Стратегічний"},0),0.14,0.17,0.22,0.21,0.25)</f>
        <v/>
      </c>
      <c r="AK226" s="104">
        <f>CHOOSE(MATCH(IF($U226="","Основний",$U226),{"Трафіковий","Основний","Маржинальний","Сезонний","Стратегічний"},0),0.15,0.18,0.23,0.22,0.27)</f>
        <v/>
      </c>
      <c r="AL226" s="104">
        <f>CHOOSE(MATCH(IF($U226="","Основний",$U226),{"Трафіковий","Основний","Маржинальний","Сезонний","Стратегічний"},0),0.15,0.17,0.25,0.24,0.29)</f>
        <v/>
      </c>
      <c r="AM226" s="104">
        <f>CHOOSE(MATCH(IF($U226="","Основний",$U226),{"Трафіковий","Основний","Маржинальний","Сезонний","Стратегічний"},0),0.12,0.145,0.19,0.18,0.22)</f>
        <v/>
      </c>
      <c r="AN226" s="157">
        <f>CHOOSE(MATCH(IF($U226="","Основний",$U226),{"Трафіковий","Основний","Маржинальний","Сезонний","Стратегічний"},0),Settings!$B$78,Settings!$B$80,Settings!$B$82,Settings!$B$84,Settings!$B$86)</f>
        <v/>
      </c>
      <c r="AO226" s="157">
        <f>CHOOSE(MATCH(IF($U226="","Основний",$U226),{"Трафіковий","Основний","Маржинальний","Сезонний","Стратегічний"},0),Settings!$C$78,Settings!$C$80,Settings!$C$82,Settings!$C$84,Settings!$C$86)</f>
        <v/>
      </c>
      <c r="AP226" s="157">
        <f>CHOOSE(MATCH(IF($U226="","Основний",$U226),{"Трафіковий","Основний","Маржинальний","Сезонний","Стратегічний"},0),Settings!$D$78,Settings!$D$80,Settings!$D$82,Settings!$D$84,Settings!$D$86)</f>
        <v/>
      </c>
      <c r="AQ226" s="157">
        <f>CHOOSE(MATCH(IF($U226="","Основний",$U226),{"Трафіковий","Основний","Маржинальний","Сезонний","Стратегічний"},0),Settings!$F$78,Settings!$F$80,Settings!$F$82,Settings!$F$84,Settings!$F$86)</f>
        <v/>
      </c>
      <c r="AR226" s="157">
        <f>CHOOSE(MATCH(IF($U226="","Основний",$U226),{"Трафіковий","Основний","Маржинальний","Сезонний","Стратегічний"},0),Settings!$G$78,Settings!$G$80,Settings!$G$82,Settings!$G$84,Settings!$G$86)</f>
        <v/>
      </c>
      <c r="AS226" s="157">
        <f>CHOOSE(MATCH(IF($U226="","Основний",$U226),{"Трафіковий","Основний","Маржинальний","Сезонний","Стратегічний"},0),Settings!$H$78,Settings!$H$80,Settings!$H$82,Settings!$H$84,Settings!$H$86)</f>
        <v/>
      </c>
      <c r="AT226" s="157">
        <f>CHOOSE(MATCH(IF($U226="","Основний",$U226),{"Трафіковий","Основний","Маржинальний","Сезонний","Стратегічний"},0),Settings!$I$78,Settings!$I$80,Settings!$I$82,Settings!$I$84,Settings!$I$86)</f>
        <v/>
      </c>
      <c r="AU226" s="171" t="n"/>
      <c r="AV226" t="n">
        <v>1.35</v>
      </c>
    </row>
    <row r="227">
      <c r="A227" s="33" t="n"/>
      <c r="B227" s="34" t="inlineStr">
        <is>
          <t>B9652</t>
        </is>
      </c>
      <c r="C227" s="34" t="inlineStr">
        <is>
          <t>ACCU.SLA 12V 1.3AH FAST.4.7 MM</t>
        </is>
      </c>
      <c r="D227" s="34" t="inlineStr">
        <is>
          <t>Свинцеві акумулятори SLA</t>
        </is>
      </c>
      <c r="E227" s="33" t="inlineStr">
        <is>
          <t>PC</t>
        </is>
      </c>
      <c r="F227" s="94" t="n">
        <v>4.28</v>
      </c>
      <c r="G227" s="35" t="n">
        <v>8507202090</v>
      </c>
      <c r="H227" s="31" t="n">
        <v>1.38</v>
      </c>
      <c r="I227" s="84">
        <f>IFERROR(F227*Settings!$B$2*H227*IF(AND(ISNUMBER(E227),E227&gt;1),E227,1),"")</f>
        <v/>
      </c>
      <c r="J227" s="32">
        <f>Settings!$B$66</f>
        <v/>
      </c>
      <c r="K227" s="95">
        <f>IFERROR(IF(T227="","",(T227*(1-AN227)*(1-Settings!$B$17)-I227)/(T227*(1-AN227)*(1-Settings!$B$17))),"")</f>
        <v/>
      </c>
      <c r="L227" s="101">
        <f>IFERROR(IF(T227="","",(T227*(1-AO227)*(1-Settings!$C$17)-I227)/(T227*(1-AO227)*(1-Settings!$C$17))),"")</f>
        <v/>
      </c>
      <c r="M227" s="101">
        <f>IFERROR(IF(T227="","",(T227*(1-AP227)*(1-Settings!$D$17)-I227)/(T227*(1-AP227)*(1-Settings!$D$17))),"")</f>
        <v/>
      </c>
      <c r="N227" s="101">
        <f>IFERROR(IF(T227="","",(T227*(1-AQ227)*(1-Settings!$F$17)-I227)/(T227*(1-AQ227)*(1-Settings!$F$17))),"")</f>
        <v/>
      </c>
      <c r="O227" s="101">
        <f>IFERROR(IF(T227="","",(T227*(1-AR227)*(1-Settings!$G$17)-I227)/(T227*(1-AR227)*(1-Settings!$G$17))),"")</f>
        <v/>
      </c>
      <c r="P227" s="101">
        <f>IFERROR(IF(T227="","",(T227*(1-AS227)*(1-Settings!$H$17)-I227)/(T227*(1-AS227)*(1-Settings!$H$17))),"")</f>
        <v/>
      </c>
      <c r="Q227" s="101">
        <f>IFERROR(IF(T227="","",(T227*(1-AT227)*(1-Settings!$I$68)*(1-Settings!$I$17)-I227)/(T227*(1-AT227)*(1-Settings!$I$68)*(1-Settings!$I$17))),"")</f>
        <v/>
      </c>
      <c r="R227" s="91">
        <f>IFERROR(IF(OR(I227="",Z227&gt;=1,Settings!$B$17&gt;=1,AN227&gt;=1),"",IF(MOD(ROUND(I227/(1-Z227)/(1-Settings!$B$17)/(1-AN227),0),10)=0,ROUND(I227/(1-Z227)/(1-Settings!$B$17)/(1-AN227),0)-1,IF(MOD(ROUND(I227/(1-Z227)/(1-Settings!$B$17)/(1-AN227),0),10)&lt;=5,FLOOR(ROUND(I227/(1-Z227)/(1-Settings!$B$17)/(1-AN227),0),10)+6,FLOOR(ROUND(I227/(1-Z227)/(1-Settings!$B$17)/(1-AN227),0),10)+9))),"")</f>
        <v/>
      </c>
      <c r="S227" s="174">
        <f>R227*0.95</f>
        <v/>
      </c>
      <c r="T227" s="91">
        <f>IF(S227&lt;&gt;"", IF(MOD(S227,10)=0,S227-1,IF(MOD(S227,10)&lt;=5,FLOOR(S227,10)+6,FLOOR(S227,10)+9)), R227)</f>
        <v/>
      </c>
      <c r="U227" s="87" t="inlineStr">
        <is>
          <t>Основний</t>
        </is>
      </c>
      <c r="V227" s="88" t="n"/>
      <c r="W227" s="88" t="n"/>
      <c r="X227" s="89">
        <f>IFERROR(IF(OR(V227="",W227="",T227=""),"", IF(T227&gt;W227,"Дорогий",IF(T227&lt;V227,"Дешевий","У ринку"))),"")</f>
        <v/>
      </c>
      <c r="Y227" s="90" t="n"/>
      <c r="Z227" s="104">
        <f>CHOOSE(MATCH(IF($U227="","Основний",$U227),{"Трафіковий","Основний","Маржинальний","Сезонний","Стратегічний"},0),0.16,0.19,0.24,0.23,0.28)</f>
        <v/>
      </c>
      <c r="AA227" s="104">
        <f>CHOOSE(MATCH(IF($U227="","Основний",$U227),{"Трафіковий","Основний","Маржинальний","Сезонний","Стратегічний"},0),0.18,0.21,0.26,0.25,0.3)</f>
        <v/>
      </c>
      <c r="AB227" s="104">
        <f>CHOOSE(MATCH(IF($U227="","Основний",$U227),{"Трафіковий","Основний","Маржинальний","Сезонний","Стратегічний"},0),0.19,0.22,0.28,0.26,0.32)</f>
        <v/>
      </c>
      <c r="AC227" s="104">
        <f>CHOOSE(MATCH(IF($U227="","Основний",$U227),{"Трафіковий","Основний","Маржинальний","Сезонний","Стратегічний"},0),0.17,0.2,0.25,0.24,0.28)</f>
        <v/>
      </c>
      <c r="AD227" s="104">
        <f>CHOOSE(MATCH(IF($U227="","Основний",$U227),{"Трафіковий","Основний","Маржинальний","Сезонний","Стратегічний"},0),0.18,0.21,0.26,0.25,0.3)</f>
        <v/>
      </c>
      <c r="AE227" s="104">
        <f>CHOOSE(MATCH(IF($U227="","Основний",$U227),{"Трафіковий","Основний","Маржинальний","Сезонний","Стратегічний"},0),0.18,0.2,0.28,0.27,0.32)</f>
        <v/>
      </c>
      <c r="AF227" s="104">
        <f>CHOOSE(MATCH(IF($U227="","Основний",$U227),{"Трафіковий","Основний","Маржинальний","Сезонний","Стратегічний"},0),0.15,0.175,0.22,0.21,0.25)</f>
        <v/>
      </c>
      <c r="AG227" s="104">
        <f>CHOOSE(MATCH(IF($U227="","Основний",$U227),{"Трафіковий","Основний","Маржинальний","Сезонний","Стратегічний"},0),0.13,0.16,0.21,0.2,0.25)</f>
        <v/>
      </c>
      <c r="AH227" s="104">
        <f>CHOOSE(MATCH(IF($U227="","Основний",$U227),{"Трафіковий","Основний","Маржинальний","Сезонний","Стратегічний"},0),0.15,0.18,0.23,0.22,0.27)</f>
        <v/>
      </c>
      <c r="AI227" s="104">
        <f>CHOOSE(MATCH(IF($U227="","Основний",$U227),{"Трафіковий","Основний","Маржинальний","Сезонний","Стратегічний"},0),0.16,0.19,0.25,0.23,0.29)</f>
        <v/>
      </c>
      <c r="AJ227" s="104">
        <f>CHOOSE(MATCH(IF($U227="","Основний",$U227),{"Трафіковий","Основний","Маржинальний","Сезонний","Стратегічний"},0),0.14,0.17,0.22,0.21,0.25)</f>
        <v/>
      </c>
      <c r="AK227" s="104">
        <f>CHOOSE(MATCH(IF($U227="","Основний",$U227),{"Трафіковий","Основний","Маржинальний","Сезонний","Стратегічний"},0),0.15,0.18,0.23,0.22,0.27)</f>
        <v/>
      </c>
      <c r="AL227" s="104">
        <f>CHOOSE(MATCH(IF($U227="","Основний",$U227),{"Трафіковий","Основний","Маржинальний","Сезонний","Стратегічний"},0),0.15,0.17,0.25,0.24,0.29)</f>
        <v/>
      </c>
      <c r="AM227" s="104">
        <f>CHOOSE(MATCH(IF($U227="","Основний",$U227),{"Трафіковий","Основний","Маржинальний","Сезонний","Стратегічний"},0),0.12,0.145,0.19,0.18,0.22)</f>
        <v/>
      </c>
      <c r="AN227" s="157">
        <f>CHOOSE(MATCH(IF($U227="","Основний",$U227),{"Трафіковий","Основний","Маржинальний","Сезонний","Стратегічний"},0),Settings!$B$78,Settings!$B$80,Settings!$B$82,Settings!$B$84,Settings!$B$86)</f>
        <v/>
      </c>
      <c r="AO227" s="157">
        <f>CHOOSE(MATCH(IF($U227="","Основний",$U227),{"Трафіковий","Основний","Маржинальний","Сезонний","Стратегічний"},0),Settings!$C$78,Settings!$C$80,Settings!$C$82,Settings!$C$84,Settings!$C$86)</f>
        <v/>
      </c>
      <c r="AP227" s="157">
        <f>CHOOSE(MATCH(IF($U227="","Основний",$U227),{"Трафіковий","Основний","Маржинальний","Сезонний","Стратегічний"},0),Settings!$D$78,Settings!$D$80,Settings!$D$82,Settings!$D$84,Settings!$D$86)</f>
        <v/>
      </c>
      <c r="AQ227" s="157">
        <f>CHOOSE(MATCH(IF($U227="","Основний",$U227),{"Трафіковий","Основний","Маржинальний","Сезонний","Стратегічний"},0),Settings!$F$78,Settings!$F$80,Settings!$F$82,Settings!$F$84,Settings!$F$86)</f>
        <v/>
      </c>
      <c r="AR227" s="157">
        <f>CHOOSE(MATCH(IF($U227="","Основний",$U227),{"Трафіковий","Основний","Маржинальний","Сезонний","Стратегічний"},0),Settings!$G$78,Settings!$G$80,Settings!$G$82,Settings!$G$84,Settings!$G$86)</f>
        <v/>
      </c>
      <c r="AS227" s="157">
        <f>CHOOSE(MATCH(IF($U227="","Основний",$U227),{"Трафіковий","Основний","Маржинальний","Сезонний","Стратегічний"},0),Settings!$H$78,Settings!$H$80,Settings!$H$82,Settings!$H$84,Settings!$H$86)</f>
        <v/>
      </c>
      <c r="AT227" s="157">
        <f>CHOOSE(MATCH(IF($U227="","Основний",$U227),{"Трафіковий","Основний","Маржинальний","Сезонний","Стратегічний"},0),Settings!$I$78,Settings!$I$80,Settings!$I$82,Settings!$I$84,Settings!$I$86)</f>
        <v/>
      </c>
      <c r="AU227" s="171" t="n"/>
      <c r="AV227" t="n">
        <v>1.35</v>
      </c>
    </row>
    <row r="228">
      <c r="A228" s="28" t="n"/>
      <c r="B228" s="29" t="inlineStr">
        <is>
          <t>B9672</t>
        </is>
      </c>
      <c r="C228" s="29" t="inlineStr">
        <is>
          <t>ACCU.SLA 12V 2.2AH FAST.4.7 MM</t>
        </is>
      </c>
      <c r="D228" s="29" t="inlineStr">
        <is>
          <t>Свинцеві акумулятори SLA</t>
        </is>
      </c>
      <c r="E228" s="28" t="inlineStr">
        <is>
          <t>PC</t>
        </is>
      </c>
      <c r="F228" s="93" t="n">
        <v>5.387</v>
      </c>
      <c r="G228" s="30" t="n">
        <v>8507202090</v>
      </c>
      <c r="H228" s="31" t="n">
        <v>1.38</v>
      </c>
      <c r="I228" s="84">
        <f>IFERROR(F228*Settings!$B$2*H228*IF(AND(ISNUMBER(E228),E228&gt;1),E228,1),"")</f>
        <v/>
      </c>
      <c r="J228" s="32">
        <f>Settings!$B$66</f>
        <v/>
      </c>
      <c r="K228" s="95">
        <f>IFERROR(IF(T228="","",(T228*(1-AN228)*(1-Settings!$B$17)-I228)/(T228*(1-AN228)*(1-Settings!$B$17))),"")</f>
        <v/>
      </c>
      <c r="L228" s="101">
        <f>IFERROR(IF(T228="","",(T228*(1-AO228)*(1-Settings!$C$17)-I228)/(T228*(1-AO228)*(1-Settings!$C$17))),"")</f>
        <v/>
      </c>
      <c r="M228" s="101">
        <f>IFERROR(IF(T228="","",(T228*(1-AP228)*(1-Settings!$D$17)-I228)/(T228*(1-AP228)*(1-Settings!$D$17))),"")</f>
        <v/>
      </c>
      <c r="N228" s="101">
        <f>IFERROR(IF(T228="","",(T228*(1-AQ228)*(1-Settings!$F$17)-I228)/(T228*(1-AQ228)*(1-Settings!$F$17))),"")</f>
        <v/>
      </c>
      <c r="O228" s="101">
        <f>IFERROR(IF(T228="","",(T228*(1-AR228)*(1-Settings!$G$17)-I228)/(T228*(1-AR228)*(1-Settings!$G$17))),"")</f>
        <v/>
      </c>
      <c r="P228" s="101">
        <f>IFERROR(IF(T228="","",(T228*(1-AS228)*(1-Settings!$H$17)-I228)/(T228*(1-AS228)*(1-Settings!$H$17))),"")</f>
        <v/>
      </c>
      <c r="Q228" s="101">
        <f>IFERROR(IF(T228="","",(T228*(1-AT228)*(1-Settings!$I$68)*(1-Settings!$I$17)-I228)/(T228*(1-AT228)*(1-Settings!$I$68)*(1-Settings!$I$17))),"")</f>
        <v/>
      </c>
      <c r="R228" s="91">
        <f>IFERROR(IF(OR(I228="",Z228&gt;=1,Settings!$B$17&gt;=1,AN228&gt;=1),"",IF(MOD(ROUND(I228/(1-Z228)/(1-Settings!$B$17)/(1-AN228),0),10)=0,ROUND(I228/(1-Z228)/(1-Settings!$B$17)/(1-AN228),0)-1,IF(MOD(ROUND(I228/(1-Z228)/(1-Settings!$B$17)/(1-AN228),0),10)&lt;=5,FLOOR(ROUND(I228/(1-Z228)/(1-Settings!$B$17)/(1-AN228),0),10)+6,FLOOR(ROUND(I228/(1-Z228)/(1-Settings!$B$17)/(1-AN228),0),10)+9))),"")</f>
        <v/>
      </c>
      <c r="S228" s="174">
        <f>R228*0.95</f>
        <v/>
      </c>
      <c r="T228" s="91">
        <f>IF(S228&lt;&gt;"", IF(MOD(S228,10)=0,S228-1,IF(MOD(S228,10)&lt;=5,FLOOR(S228,10)+6,FLOOR(S228,10)+9)), R228)</f>
        <v/>
      </c>
      <c r="U228" s="87" t="inlineStr">
        <is>
          <t>Основний</t>
        </is>
      </c>
      <c r="V228" s="88" t="n"/>
      <c r="W228" s="88" t="n"/>
      <c r="X228" s="89">
        <f>IFERROR(IF(OR(V228="",W228="",T228=""),"", IF(T228&gt;W228,"Дорогий",IF(T228&lt;V228,"Дешевий","У ринку"))),"")</f>
        <v/>
      </c>
      <c r="Y228" s="90" t="n"/>
      <c r="Z228" s="104">
        <f>CHOOSE(MATCH(IF($U228="","Основний",$U228),{"Трафіковий","Основний","Маржинальний","Сезонний","Стратегічний"},0),0.16,0.19,0.24,0.23,0.28)</f>
        <v/>
      </c>
      <c r="AA228" s="104">
        <f>CHOOSE(MATCH(IF($U228="","Основний",$U228),{"Трафіковий","Основний","Маржинальний","Сезонний","Стратегічний"},0),0.18,0.21,0.26,0.25,0.3)</f>
        <v/>
      </c>
      <c r="AB228" s="104">
        <f>CHOOSE(MATCH(IF($U228="","Основний",$U228),{"Трафіковий","Основний","Маржинальний","Сезонний","Стратегічний"},0),0.19,0.22,0.28,0.26,0.32)</f>
        <v/>
      </c>
      <c r="AC228" s="104">
        <f>CHOOSE(MATCH(IF($U228="","Основний",$U228),{"Трафіковий","Основний","Маржинальний","Сезонний","Стратегічний"},0),0.17,0.2,0.25,0.24,0.28)</f>
        <v/>
      </c>
      <c r="AD228" s="104">
        <f>CHOOSE(MATCH(IF($U228="","Основний",$U228),{"Трафіковий","Основний","Маржинальний","Сезонний","Стратегічний"},0),0.18,0.21,0.26,0.25,0.3)</f>
        <v/>
      </c>
      <c r="AE228" s="104">
        <f>CHOOSE(MATCH(IF($U228="","Основний",$U228),{"Трафіковий","Основний","Маржинальний","Сезонний","Стратегічний"},0),0.18,0.2,0.28,0.27,0.32)</f>
        <v/>
      </c>
      <c r="AF228" s="104">
        <f>CHOOSE(MATCH(IF($U228="","Основний",$U228),{"Трафіковий","Основний","Маржинальний","Сезонний","Стратегічний"},0),0.15,0.175,0.22,0.21,0.25)</f>
        <v/>
      </c>
      <c r="AG228" s="104">
        <f>CHOOSE(MATCH(IF($U228="","Основний",$U228),{"Трафіковий","Основний","Маржинальний","Сезонний","Стратегічний"},0),0.13,0.16,0.21,0.2,0.25)</f>
        <v/>
      </c>
      <c r="AH228" s="104">
        <f>CHOOSE(MATCH(IF($U228="","Основний",$U228),{"Трафіковий","Основний","Маржинальний","Сезонний","Стратегічний"},0),0.15,0.18,0.23,0.22,0.27)</f>
        <v/>
      </c>
      <c r="AI228" s="104">
        <f>CHOOSE(MATCH(IF($U228="","Основний",$U228),{"Трафіковий","Основний","Маржинальний","Сезонний","Стратегічний"},0),0.16,0.19,0.25,0.23,0.29)</f>
        <v/>
      </c>
      <c r="AJ228" s="104">
        <f>CHOOSE(MATCH(IF($U228="","Основний",$U228),{"Трафіковий","Основний","Маржинальний","Сезонний","Стратегічний"},0),0.14,0.17,0.22,0.21,0.25)</f>
        <v/>
      </c>
      <c r="AK228" s="104">
        <f>CHOOSE(MATCH(IF($U228="","Основний",$U228),{"Трафіковий","Основний","Маржинальний","Сезонний","Стратегічний"},0),0.15,0.18,0.23,0.22,0.27)</f>
        <v/>
      </c>
      <c r="AL228" s="104">
        <f>CHOOSE(MATCH(IF($U228="","Основний",$U228),{"Трафіковий","Основний","Маржинальний","Сезонний","Стратегічний"},0),0.15,0.17,0.25,0.24,0.29)</f>
        <v/>
      </c>
      <c r="AM228" s="104">
        <f>CHOOSE(MATCH(IF($U228="","Основний",$U228),{"Трафіковий","Основний","Маржинальний","Сезонний","Стратегічний"},0),0.12,0.145,0.19,0.18,0.22)</f>
        <v/>
      </c>
      <c r="AN228" s="157">
        <f>CHOOSE(MATCH(IF($U228="","Основний",$U228),{"Трафіковий","Основний","Маржинальний","Сезонний","Стратегічний"},0),Settings!$B$78,Settings!$B$80,Settings!$B$82,Settings!$B$84,Settings!$B$86)</f>
        <v/>
      </c>
      <c r="AO228" s="157">
        <f>CHOOSE(MATCH(IF($U228="","Основний",$U228),{"Трафіковий","Основний","Маржинальний","Сезонний","Стратегічний"},0),Settings!$C$78,Settings!$C$80,Settings!$C$82,Settings!$C$84,Settings!$C$86)</f>
        <v/>
      </c>
      <c r="AP228" s="157">
        <f>CHOOSE(MATCH(IF($U228="","Основний",$U228),{"Трафіковий","Основний","Маржинальний","Сезонний","Стратегічний"},0),Settings!$D$78,Settings!$D$80,Settings!$D$82,Settings!$D$84,Settings!$D$86)</f>
        <v/>
      </c>
      <c r="AQ228" s="157">
        <f>CHOOSE(MATCH(IF($U228="","Основний",$U228),{"Трафіковий","Основний","Маржинальний","Сезонний","Стратегічний"},0),Settings!$F$78,Settings!$F$80,Settings!$F$82,Settings!$F$84,Settings!$F$86)</f>
        <v/>
      </c>
      <c r="AR228" s="157">
        <f>CHOOSE(MATCH(IF($U228="","Основний",$U228),{"Трафіковий","Основний","Маржинальний","Сезонний","Стратегічний"},0),Settings!$G$78,Settings!$G$80,Settings!$G$82,Settings!$G$84,Settings!$G$86)</f>
        <v/>
      </c>
      <c r="AS228" s="157">
        <f>CHOOSE(MATCH(IF($U228="","Основний",$U228),{"Трафіковий","Основний","Маржинальний","Сезонний","Стратегічний"},0),Settings!$H$78,Settings!$H$80,Settings!$H$82,Settings!$H$84,Settings!$H$86)</f>
        <v/>
      </c>
      <c r="AT228" s="157">
        <f>CHOOSE(MATCH(IF($U228="","Основний",$U228),{"Трафіковий","Основний","Маржинальний","Сезонний","Стратегічний"},0),Settings!$I$78,Settings!$I$80,Settings!$I$82,Settings!$I$84,Settings!$I$86)</f>
        <v/>
      </c>
      <c r="AU228" s="171" t="n"/>
      <c r="AV228" t="n">
        <v>1.35</v>
      </c>
    </row>
    <row r="229">
      <c r="A229" s="33" t="n"/>
      <c r="B229" s="34" t="inlineStr">
        <is>
          <t>B9653</t>
        </is>
      </c>
      <c r="C229" s="34" t="inlineStr">
        <is>
          <t>ACCU.SLA 12V 4,5AH FAST.4.7 MM</t>
        </is>
      </c>
      <c r="D229" s="34" t="inlineStr">
        <is>
          <t>Свинцеві акумулятори SLA</t>
        </is>
      </c>
      <c r="E229" s="33" t="inlineStr">
        <is>
          <t>PC</t>
        </is>
      </c>
      <c r="F229" s="94" t="n">
        <v>6.431</v>
      </c>
      <c r="G229" s="35" t="n">
        <v>8507202090</v>
      </c>
      <c r="H229" s="31" t="n">
        <v>1.38</v>
      </c>
      <c r="I229" s="84">
        <f>IFERROR(F229*Settings!$B$2*H229*IF(AND(ISNUMBER(E229),E229&gt;1),E229,1),"")</f>
        <v/>
      </c>
      <c r="J229" s="32">
        <f>Settings!$B$66</f>
        <v/>
      </c>
      <c r="K229" s="95">
        <f>IFERROR(IF(T229="","",(T229*(1-AN229)*(1-Settings!$B$17)-I229)/(T229*(1-AN229)*(1-Settings!$B$17))),"")</f>
        <v/>
      </c>
      <c r="L229" s="101">
        <f>IFERROR(IF(T229="","",(T229*(1-AO229)*(1-Settings!$C$17)-I229)/(T229*(1-AO229)*(1-Settings!$C$17))),"")</f>
        <v/>
      </c>
      <c r="M229" s="101">
        <f>IFERROR(IF(T229="","",(T229*(1-AP229)*(1-Settings!$D$17)-I229)/(T229*(1-AP229)*(1-Settings!$D$17))),"")</f>
        <v/>
      </c>
      <c r="N229" s="101">
        <f>IFERROR(IF(T229="","",(T229*(1-AQ229)*(1-Settings!$F$17)-I229)/(T229*(1-AQ229)*(1-Settings!$F$17))),"")</f>
        <v/>
      </c>
      <c r="O229" s="101">
        <f>IFERROR(IF(T229="","",(T229*(1-AR229)*(1-Settings!$G$17)-I229)/(T229*(1-AR229)*(1-Settings!$G$17))),"")</f>
        <v/>
      </c>
      <c r="P229" s="101">
        <f>IFERROR(IF(T229="","",(T229*(1-AS229)*(1-Settings!$H$17)-I229)/(T229*(1-AS229)*(1-Settings!$H$17))),"")</f>
        <v/>
      </c>
      <c r="Q229" s="101">
        <f>IFERROR(IF(T229="","",(T229*(1-AT229)*(1-Settings!$I$68)*(1-Settings!$I$17)-I229)/(T229*(1-AT229)*(1-Settings!$I$68)*(1-Settings!$I$17))),"")</f>
        <v/>
      </c>
      <c r="R229" s="91">
        <f>IFERROR(IF(OR(I229="",Z229&gt;=1,Settings!$B$17&gt;=1,AN229&gt;=1),"",IF(MOD(ROUND(I229/(1-Z229)/(1-Settings!$B$17)/(1-AN229),0),10)=0,ROUND(I229/(1-Z229)/(1-Settings!$B$17)/(1-AN229),0)-1,IF(MOD(ROUND(I229/(1-Z229)/(1-Settings!$B$17)/(1-AN229),0),10)&lt;=5,FLOOR(ROUND(I229/(1-Z229)/(1-Settings!$B$17)/(1-AN229),0),10)+6,FLOOR(ROUND(I229/(1-Z229)/(1-Settings!$B$17)/(1-AN229),0),10)+9))),"")</f>
        <v/>
      </c>
      <c r="S229" s="174">
        <f>R229*0.95</f>
        <v/>
      </c>
      <c r="T229" s="91">
        <f>IF(S229&lt;&gt;"", IF(MOD(S229,10)=0,S229-1,IF(MOD(S229,10)&lt;=5,FLOOR(S229,10)+6,FLOOR(S229,10)+9)), R229)</f>
        <v/>
      </c>
      <c r="U229" s="87" t="inlineStr">
        <is>
          <t>Основний</t>
        </is>
      </c>
      <c r="V229" s="88" t="n"/>
      <c r="W229" s="88" t="n"/>
      <c r="X229" s="89">
        <f>IFERROR(IF(OR(V229="",W229="",T229=""),"", IF(T229&gt;W229,"Дорогий",IF(T229&lt;V229,"Дешевий","У ринку"))),"")</f>
        <v/>
      </c>
      <c r="Y229" s="90" t="n"/>
      <c r="Z229" s="104">
        <f>CHOOSE(MATCH(IF($U229="","Основний",$U229),{"Трафіковий","Основний","Маржинальний","Сезонний","Стратегічний"},0),0.16,0.19,0.24,0.23,0.28)</f>
        <v/>
      </c>
      <c r="AA229" s="104">
        <f>CHOOSE(MATCH(IF($U229="","Основний",$U229),{"Трафіковий","Основний","Маржинальний","Сезонний","Стратегічний"},0),0.18,0.21,0.26,0.25,0.3)</f>
        <v/>
      </c>
      <c r="AB229" s="104">
        <f>CHOOSE(MATCH(IF($U229="","Основний",$U229),{"Трафіковий","Основний","Маржинальний","Сезонний","Стратегічний"},0),0.19,0.22,0.28,0.26,0.32)</f>
        <v/>
      </c>
      <c r="AC229" s="104">
        <f>CHOOSE(MATCH(IF($U229="","Основний",$U229),{"Трафіковий","Основний","Маржинальний","Сезонний","Стратегічний"},0),0.17,0.2,0.25,0.24,0.28)</f>
        <v/>
      </c>
      <c r="AD229" s="104">
        <f>CHOOSE(MATCH(IF($U229="","Основний",$U229),{"Трафіковий","Основний","Маржинальний","Сезонний","Стратегічний"},0),0.18,0.21,0.26,0.25,0.3)</f>
        <v/>
      </c>
      <c r="AE229" s="104">
        <f>CHOOSE(MATCH(IF($U229="","Основний",$U229),{"Трафіковий","Основний","Маржинальний","Сезонний","Стратегічний"},0),0.18,0.2,0.28,0.27,0.32)</f>
        <v/>
      </c>
      <c r="AF229" s="104">
        <f>CHOOSE(MATCH(IF($U229="","Основний",$U229),{"Трафіковий","Основний","Маржинальний","Сезонний","Стратегічний"},0),0.15,0.175,0.22,0.21,0.25)</f>
        <v/>
      </c>
      <c r="AG229" s="104">
        <f>CHOOSE(MATCH(IF($U229="","Основний",$U229),{"Трафіковий","Основний","Маржинальний","Сезонний","Стратегічний"},0),0.13,0.16,0.21,0.2,0.25)</f>
        <v/>
      </c>
      <c r="AH229" s="104">
        <f>CHOOSE(MATCH(IF($U229="","Основний",$U229),{"Трафіковий","Основний","Маржинальний","Сезонний","Стратегічний"},0),0.15,0.18,0.23,0.22,0.27)</f>
        <v/>
      </c>
      <c r="AI229" s="104">
        <f>CHOOSE(MATCH(IF($U229="","Основний",$U229),{"Трафіковий","Основний","Маржинальний","Сезонний","Стратегічний"},0),0.16,0.19,0.25,0.23,0.29)</f>
        <v/>
      </c>
      <c r="AJ229" s="104">
        <f>CHOOSE(MATCH(IF($U229="","Основний",$U229),{"Трафіковий","Основний","Маржинальний","Сезонний","Стратегічний"},0),0.14,0.17,0.22,0.21,0.25)</f>
        <v/>
      </c>
      <c r="AK229" s="104">
        <f>CHOOSE(MATCH(IF($U229="","Основний",$U229),{"Трафіковий","Основний","Маржинальний","Сезонний","Стратегічний"},0),0.15,0.18,0.23,0.22,0.27)</f>
        <v/>
      </c>
      <c r="AL229" s="104">
        <f>CHOOSE(MATCH(IF($U229="","Основний",$U229),{"Трафіковий","Основний","Маржинальний","Сезонний","Стратегічний"},0),0.15,0.17,0.25,0.24,0.29)</f>
        <v/>
      </c>
      <c r="AM229" s="104">
        <f>CHOOSE(MATCH(IF($U229="","Основний",$U229),{"Трафіковий","Основний","Маржинальний","Сезонний","Стратегічний"},0),0.12,0.145,0.19,0.18,0.22)</f>
        <v/>
      </c>
      <c r="AN229" s="157">
        <f>CHOOSE(MATCH(IF($U229="","Основний",$U229),{"Трафіковий","Основний","Маржинальний","Сезонний","Стратегічний"},0),Settings!$B$78,Settings!$B$80,Settings!$B$82,Settings!$B$84,Settings!$B$86)</f>
        <v/>
      </c>
      <c r="AO229" s="157">
        <f>CHOOSE(MATCH(IF($U229="","Основний",$U229),{"Трафіковий","Основний","Маржинальний","Сезонний","Стратегічний"},0),Settings!$C$78,Settings!$C$80,Settings!$C$82,Settings!$C$84,Settings!$C$86)</f>
        <v/>
      </c>
      <c r="AP229" s="157">
        <f>CHOOSE(MATCH(IF($U229="","Основний",$U229),{"Трафіковий","Основний","Маржинальний","Сезонний","Стратегічний"},0),Settings!$D$78,Settings!$D$80,Settings!$D$82,Settings!$D$84,Settings!$D$86)</f>
        <v/>
      </c>
      <c r="AQ229" s="157">
        <f>CHOOSE(MATCH(IF($U229="","Основний",$U229),{"Трафіковий","Основний","Маржинальний","Сезонний","Стратегічний"},0),Settings!$F$78,Settings!$F$80,Settings!$F$82,Settings!$F$84,Settings!$F$86)</f>
        <v/>
      </c>
      <c r="AR229" s="157">
        <f>CHOOSE(MATCH(IF($U229="","Основний",$U229),{"Трафіковий","Основний","Маржинальний","Сезонний","Стратегічний"},0),Settings!$G$78,Settings!$G$80,Settings!$G$82,Settings!$G$84,Settings!$G$86)</f>
        <v/>
      </c>
      <c r="AS229" s="157">
        <f>CHOOSE(MATCH(IF($U229="","Основний",$U229),{"Трафіковий","Основний","Маржинальний","Сезонний","Стратегічний"},0),Settings!$H$78,Settings!$H$80,Settings!$H$82,Settings!$H$84,Settings!$H$86)</f>
        <v/>
      </c>
      <c r="AT229" s="157">
        <f>CHOOSE(MATCH(IF($U229="","Основний",$U229),{"Трафіковий","Основний","Маржинальний","Сезонний","Стратегічний"},0),Settings!$I$78,Settings!$I$80,Settings!$I$82,Settings!$I$84,Settings!$I$86)</f>
        <v/>
      </c>
      <c r="AU229" s="171" t="n"/>
      <c r="AV229" t="n">
        <v>1.35</v>
      </c>
    </row>
    <row r="230">
      <c r="A230" s="28" t="n"/>
      <c r="B230" s="29" t="inlineStr">
        <is>
          <t>B9679</t>
        </is>
      </c>
      <c r="C230" s="29" t="inlineStr">
        <is>
          <t>ACCU.SLA 12V 5AH FAST.6.3 MM</t>
        </is>
      </c>
      <c r="D230" s="29" t="inlineStr">
        <is>
          <t>Свинцеві акумулятори SLA</t>
        </is>
      </c>
      <c r="E230" s="28" t="inlineStr">
        <is>
          <t>PC</t>
        </is>
      </c>
      <c r="F230" s="93" t="n">
        <v>7.531</v>
      </c>
      <c r="G230" s="30" t="n">
        <v>8507202090</v>
      </c>
      <c r="H230" s="31" t="n">
        <v>1.38</v>
      </c>
      <c r="I230" s="84">
        <f>IFERROR(F230*Settings!$B$2*H230*IF(AND(ISNUMBER(E230),E230&gt;1),E230,1),"")</f>
        <v/>
      </c>
      <c r="J230" s="32">
        <f>Settings!$B$66</f>
        <v/>
      </c>
      <c r="K230" s="95">
        <f>IFERROR(IF(T230="","",(T230*(1-AN230)*(1-Settings!$B$17)-I230)/(T230*(1-AN230)*(1-Settings!$B$17))),"")</f>
        <v/>
      </c>
      <c r="L230" s="101">
        <f>IFERROR(IF(T230="","",(T230*(1-AO230)*(1-Settings!$C$17)-I230)/(T230*(1-AO230)*(1-Settings!$C$17))),"")</f>
        <v/>
      </c>
      <c r="M230" s="101">
        <f>IFERROR(IF(T230="","",(T230*(1-AP230)*(1-Settings!$D$17)-I230)/(T230*(1-AP230)*(1-Settings!$D$17))),"")</f>
        <v/>
      </c>
      <c r="N230" s="101">
        <f>IFERROR(IF(T230="","",(T230*(1-AQ230)*(1-Settings!$F$17)-I230)/(T230*(1-AQ230)*(1-Settings!$F$17))),"")</f>
        <v/>
      </c>
      <c r="O230" s="101">
        <f>IFERROR(IF(T230="","",(T230*(1-AR230)*(1-Settings!$G$17)-I230)/(T230*(1-AR230)*(1-Settings!$G$17))),"")</f>
        <v/>
      </c>
      <c r="P230" s="101">
        <f>IFERROR(IF(T230="","",(T230*(1-AS230)*(1-Settings!$H$17)-I230)/(T230*(1-AS230)*(1-Settings!$H$17))),"")</f>
        <v/>
      </c>
      <c r="Q230" s="101">
        <f>IFERROR(IF(T230="","",(T230*(1-AT230)*(1-Settings!$I$68)*(1-Settings!$I$17)-I230)/(T230*(1-AT230)*(1-Settings!$I$68)*(1-Settings!$I$17))),"")</f>
        <v/>
      </c>
      <c r="R230" s="91">
        <f>IFERROR(IF(OR(I230="",Z230&gt;=1,Settings!$B$17&gt;=1,AN230&gt;=1),"",IF(MOD(ROUND(I230/(1-Z230)/(1-Settings!$B$17)/(1-AN230),0),10)=0,ROUND(I230/(1-Z230)/(1-Settings!$B$17)/(1-AN230),0)-1,IF(MOD(ROUND(I230/(1-Z230)/(1-Settings!$B$17)/(1-AN230),0),10)&lt;=5,FLOOR(ROUND(I230/(1-Z230)/(1-Settings!$B$17)/(1-AN230),0),10)+6,FLOOR(ROUND(I230/(1-Z230)/(1-Settings!$B$17)/(1-AN230),0),10)+9))),"")</f>
        <v/>
      </c>
      <c r="S230" s="174">
        <f>R230*0.95</f>
        <v/>
      </c>
      <c r="T230" s="91">
        <f>IF(S230&lt;&gt;"", IF(MOD(S230,10)=0,S230-1,IF(MOD(S230,10)&lt;=5,FLOOR(S230,10)+6,FLOOR(S230,10)+9)), R230)</f>
        <v/>
      </c>
      <c r="U230" s="87" t="inlineStr">
        <is>
          <t>Основний</t>
        </is>
      </c>
      <c r="V230" s="88" t="n"/>
      <c r="W230" s="88" t="n"/>
      <c r="X230" s="89">
        <f>IFERROR(IF(OR(V230="",W230="",T230=""),"", IF(T230&gt;W230,"Дорогий",IF(T230&lt;V230,"Дешевий","У ринку"))),"")</f>
        <v/>
      </c>
      <c r="Y230" s="90" t="n"/>
      <c r="Z230" s="104">
        <f>CHOOSE(MATCH(IF($U230="","Основний",$U230),{"Трафіковий","Основний","Маржинальний","Сезонний","Стратегічний"},0),0.16,0.19,0.24,0.23,0.28)</f>
        <v/>
      </c>
      <c r="AA230" s="104">
        <f>CHOOSE(MATCH(IF($U230="","Основний",$U230),{"Трафіковий","Основний","Маржинальний","Сезонний","Стратегічний"},0),0.18,0.21,0.26,0.25,0.3)</f>
        <v/>
      </c>
      <c r="AB230" s="104">
        <f>CHOOSE(MATCH(IF($U230="","Основний",$U230),{"Трафіковий","Основний","Маржинальний","Сезонний","Стратегічний"},0),0.19,0.22,0.28,0.26,0.32)</f>
        <v/>
      </c>
      <c r="AC230" s="104">
        <f>CHOOSE(MATCH(IF($U230="","Основний",$U230),{"Трафіковий","Основний","Маржинальний","Сезонний","Стратегічний"},0),0.17,0.2,0.25,0.24,0.28)</f>
        <v/>
      </c>
      <c r="AD230" s="104">
        <f>CHOOSE(MATCH(IF($U230="","Основний",$U230),{"Трафіковий","Основний","Маржинальний","Сезонний","Стратегічний"},0),0.18,0.21,0.26,0.25,0.3)</f>
        <v/>
      </c>
      <c r="AE230" s="104">
        <f>CHOOSE(MATCH(IF($U230="","Основний",$U230),{"Трафіковий","Основний","Маржинальний","Сезонний","Стратегічний"},0),0.18,0.2,0.28,0.27,0.32)</f>
        <v/>
      </c>
      <c r="AF230" s="104">
        <f>CHOOSE(MATCH(IF($U230="","Основний",$U230),{"Трафіковий","Основний","Маржинальний","Сезонний","Стратегічний"},0),0.15,0.175,0.22,0.21,0.25)</f>
        <v/>
      </c>
      <c r="AG230" s="104">
        <f>CHOOSE(MATCH(IF($U230="","Основний",$U230),{"Трафіковий","Основний","Маржинальний","Сезонний","Стратегічний"},0),0.13,0.16,0.21,0.2,0.25)</f>
        <v/>
      </c>
      <c r="AH230" s="104">
        <f>CHOOSE(MATCH(IF($U230="","Основний",$U230),{"Трафіковий","Основний","Маржинальний","Сезонний","Стратегічний"},0),0.15,0.18,0.23,0.22,0.27)</f>
        <v/>
      </c>
      <c r="AI230" s="104">
        <f>CHOOSE(MATCH(IF($U230="","Основний",$U230),{"Трафіковий","Основний","Маржинальний","Сезонний","Стратегічний"},0),0.16,0.19,0.25,0.23,0.29)</f>
        <v/>
      </c>
      <c r="AJ230" s="104">
        <f>CHOOSE(MATCH(IF($U230="","Основний",$U230),{"Трафіковий","Основний","Маржинальний","Сезонний","Стратегічний"},0),0.14,0.17,0.22,0.21,0.25)</f>
        <v/>
      </c>
      <c r="AK230" s="104">
        <f>CHOOSE(MATCH(IF($U230="","Основний",$U230),{"Трафіковий","Основний","Маржинальний","Сезонний","Стратегічний"},0),0.15,0.18,0.23,0.22,0.27)</f>
        <v/>
      </c>
      <c r="AL230" s="104">
        <f>CHOOSE(MATCH(IF($U230="","Основний",$U230),{"Трафіковий","Основний","Маржинальний","Сезонний","Стратегічний"},0),0.15,0.17,0.25,0.24,0.29)</f>
        <v/>
      </c>
      <c r="AM230" s="104">
        <f>CHOOSE(MATCH(IF($U230="","Основний",$U230),{"Трафіковий","Основний","Маржинальний","Сезонний","Стратегічний"},0),0.12,0.145,0.19,0.18,0.22)</f>
        <v/>
      </c>
      <c r="AN230" s="157">
        <f>CHOOSE(MATCH(IF($U230="","Основний",$U230),{"Трафіковий","Основний","Маржинальний","Сезонний","Стратегічний"},0),Settings!$B$78,Settings!$B$80,Settings!$B$82,Settings!$B$84,Settings!$B$86)</f>
        <v/>
      </c>
      <c r="AO230" s="157">
        <f>CHOOSE(MATCH(IF($U230="","Основний",$U230),{"Трафіковий","Основний","Маржинальний","Сезонний","Стратегічний"},0),Settings!$C$78,Settings!$C$80,Settings!$C$82,Settings!$C$84,Settings!$C$86)</f>
        <v/>
      </c>
      <c r="AP230" s="157">
        <f>CHOOSE(MATCH(IF($U230="","Основний",$U230),{"Трафіковий","Основний","Маржинальний","Сезонний","Стратегічний"},0),Settings!$D$78,Settings!$D$80,Settings!$D$82,Settings!$D$84,Settings!$D$86)</f>
        <v/>
      </c>
      <c r="AQ230" s="157">
        <f>CHOOSE(MATCH(IF($U230="","Основний",$U230),{"Трафіковий","Основний","Маржинальний","Сезонний","Стратегічний"},0),Settings!$F$78,Settings!$F$80,Settings!$F$82,Settings!$F$84,Settings!$F$86)</f>
        <v/>
      </c>
      <c r="AR230" s="157">
        <f>CHOOSE(MATCH(IF($U230="","Основний",$U230),{"Трафіковий","Основний","Маржинальний","Сезонний","Стратегічний"},0),Settings!$G$78,Settings!$G$80,Settings!$G$82,Settings!$G$84,Settings!$G$86)</f>
        <v/>
      </c>
      <c r="AS230" s="157">
        <f>CHOOSE(MATCH(IF($U230="","Основний",$U230),{"Трафіковий","Основний","Маржинальний","Сезонний","Стратегічний"},0),Settings!$H$78,Settings!$H$80,Settings!$H$82,Settings!$H$84,Settings!$H$86)</f>
        <v/>
      </c>
      <c r="AT230" s="157">
        <f>CHOOSE(MATCH(IF($U230="","Основний",$U230),{"Трафіковий","Основний","Маржинальний","Сезонний","Стратегічний"},0),Settings!$I$78,Settings!$I$80,Settings!$I$82,Settings!$I$84,Settings!$I$86)</f>
        <v/>
      </c>
      <c r="AU230" s="171" t="n"/>
      <c r="AV230" t="n">
        <v>1.35</v>
      </c>
    </row>
    <row r="231">
      <c r="A231" s="33" t="n"/>
      <c r="B231" s="34" t="inlineStr">
        <is>
          <t>B9691</t>
        </is>
      </c>
      <c r="C231" s="34" t="inlineStr">
        <is>
          <t>ACCU.SLA 12V 7AH FAST.4.7 MM</t>
        </is>
      </c>
      <c r="D231" s="34" t="inlineStr">
        <is>
          <t>Свинцеві акумулятори SLA</t>
        </is>
      </c>
      <c r="E231" s="33" t="inlineStr">
        <is>
          <t>PC</t>
        </is>
      </c>
      <c r="F231" s="94" t="n">
        <v>8.459</v>
      </c>
      <c r="G231" s="35" t="n">
        <v>8507202090</v>
      </c>
      <c r="H231" s="31" t="n">
        <v>1.38</v>
      </c>
      <c r="I231" s="84">
        <f>IFERROR(F231*Settings!$B$2*H231*IF(AND(ISNUMBER(E231),E231&gt;1),E231,1),"")</f>
        <v/>
      </c>
      <c r="J231" s="32">
        <f>Settings!$B$66</f>
        <v/>
      </c>
      <c r="K231" s="95">
        <f>IFERROR(IF(T231="","",(T231*(1-AN231)*(1-Settings!$B$17)-I231)/(T231*(1-AN231)*(1-Settings!$B$17))),"")</f>
        <v/>
      </c>
      <c r="L231" s="101">
        <f>IFERROR(IF(T231="","",(T231*(1-AO231)*(1-Settings!$C$17)-I231)/(T231*(1-AO231)*(1-Settings!$C$17))),"")</f>
        <v/>
      </c>
      <c r="M231" s="101">
        <f>IFERROR(IF(T231="","",(T231*(1-AP231)*(1-Settings!$D$17)-I231)/(T231*(1-AP231)*(1-Settings!$D$17))),"")</f>
        <v/>
      </c>
      <c r="N231" s="101">
        <f>IFERROR(IF(T231="","",(T231*(1-AQ231)*(1-Settings!$F$17)-I231)/(T231*(1-AQ231)*(1-Settings!$F$17))),"")</f>
        <v/>
      </c>
      <c r="O231" s="101">
        <f>IFERROR(IF(T231="","",(T231*(1-AR231)*(1-Settings!$G$17)-I231)/(T231*(1-AR231)*(1-Settings!$G$17))),"")</f>
        <v/>
      </c>
      <c r="P231" s="101">
        <f>IFERROR(IF(T231="","",(T231*(1-AS231)*(1-Settings!$H$17)-I231)/(T231*(1-AS231)*(1-Settings!$H$17))),"")</f>
        <v/>
      </c>
      <c r="Q231" s="101">
        <f>IFERROR(IF(T231="","",(T231*(1-AT231)*(1-Settings!$I$68)*(1-Settings!$I$17)-I231)/(T231*(1-AT231)*(1-Settings!$I$68)*(1-Settings!$I$17))),"")</f>
        <v/>
      </c>
      <c r="R231" s="91">
        <f>IFERROR(IF(OR(I231="",Z231&gt;=1,Settings!$B$17&gt;=1,AN231&gt;=1),"",IF(MOD(ROUND(I231/(1-Z231)/(1-Settings!$B$17)/(1-AN231),0),10)=0,ROUND(I231/(1-Z231)/(1-Settings!$B$17)/(1-AN231),0)-1,IF(MOD(ROUND(I231/(1-Z231)/(1-Settings!$B$17)/(1-AN231),0),10)&lt;=5,FLOOR(ROUND(I231/(1-Z231)/(1-Settings!$B$17)/(1-AN231),0),10)+6,FLOOR(ROUND(I231/(1-Z231)/(1-Settings!$B$17)/(1-AN231),0),10)+9))),"")</f>
        <v/>
      </c>
      <c r="S231" s="174">
        <f>R231*0.95</f>
        <v/>
      </c>
      <c r="T231" s="91">
        <f>IF(S231&lt;&gt;"", IF(MOD(S231,10)=0,S231-1,IF(MOD(S231,10)&lt;=5,FLOOR(S231,10)+6,FLOOR(S231,10)+9)), R231)</f>
        <v/>
      </c>
      <c r="U231" s="87" t="inlineStr">
        <is>
          <t>Основний</t>
        </is>
      </c>
      <c r="V231" s="88" t="n"/>
      <c r="W231" s="88" t="n"/>
      <c r="X231" s="89">
        <f>IFERROR(IF(OR(V231="",W231="",T231=""),"", IF(T231&gt;W231,"Дорогий",IF(T231&lt;V231,"Дешевий","У ринку"))),"")</f>
        <v/>
      </c>
      <c r="Y231" s="90" t="n"/>
      <c r="Z231" s="104">
        <f>CHOOSE(MATCH(IF($U231="","Основний",$U231),{"Трафіковий","Основний","Маржинальний","Сезонний","Стратегічний"},0),0.16,0.19,0.24,0.23,0.28)</f>
        <v/>
      </c>
      <c r="AA231" s="104">
        <f>CHOOSE(MATCH(IF($U231="","Основний",$U231),{"Трафіковий","Основний","Маржинальний","Сезонний","Стратегічний"},0),0.18,0.21,0.26,0.25,0.3)</f>
        <v/>
      </c>
      <c r="AB231" s="104">
        <f>CHOOSE(MATCH(IF($U231="","Основний",$U231),{"Трафіковий","Основний","Маржинальний","Сезонний","Стратегічний"},0),0.19,0.22,0.28,0.26,0.32)</f>
        <v/>
      </c>
      <c r="AC231" s="104">
        <f>CHOOSE(MATCH(IF($U231="","Основний",$U231),{"Трафіковий","Основний","Маржинальний","Сезонний","Стратегічний"},0),0.17,0.2,0.25,0.24,0.28)</f>
        <v/>
      </c>
      <c r="AD231" s="104">
        <f>CHOOSE(MATCH(IF($U231="","Основний",$U231),{"Трафіковий","Основний","Маржинальний","Сезонний","Стратегічний"},0),0.18,0.21,0.26,0.25,0.3)</f>
        <v/>
      </c>
      <c r="AE231" s="104">
        <f>CHOOSE(MATCH(IF($U231="","Основний",$U231),{"Трафіковий","Основний","Маржинальний","Сезонний","Стратегічний"},0),0.18,0.2,0.28,0.27,0.32)</f>
        <v/>
      </c>
      <c r="AF231" s="104">
        <f>CHOOSE(MATCH(IF($U231="","Основний",$U231),{"Трафіковий","Основний","Маржинальний","Сезонний","Стратегічний"},0),0.15,0.175,0.22,0.21,0.25)</f>
        <v/>
      </c>
      <c r="AG231" s="104">
        <f>CHOOSE(MATCH(IF($U231="","Основний",$U231),{"Трафіковий","Основний","Маржинальний","Сезонний","Стратегічний"},0),0.13,0.16,0.21,0.2,0.25)</f>
        <v/>
      </c>
      <c r="AH231" s="104">
        <f>CHOOSE(MATCH(IF($U231="","Основний",$U231),{"Трафіковий","Основний","Маржинальний","Сезонний","Стратегічний"},0),0.15,0.18,0.23,0.22,0.27)</f>
        <v/>
      </c>
      <c r="AI231" s="104">
        <f>CHOOSE(MATCH(IF($U231="","Основний",$U231),{"Трафіковий","Основний","Маржинальний","Сезонний","Стратегічний"},0),0.16,0.19,0.25,0.23,0.29)</f>
        <v/>
      </c>
      <c r="AJ231" s="104">
        <f>CHOOSE(MATCH(IF($U231="","Основний",$U231),{"Трафіковий","Основний","Маржинальний","Сезонний","Стратегічний"},0),0.14,0.17,0.22,0.21,0.25)</f>
        <v/>
      </c>
      <c r="AK231" s="104">
        <f>CHOOSE(MATCH(IF($U231="","Основний",$U231),{"Трафіковий","Основний","Маржинальний","Сезонний","Стратегічний"},0),0.15,0.18,0.23,0.22,0.27)</f>
        <v/>
      </c>
      <c r="AL231" s="104">
        <f>CHOOSE(MATCH(IF($U231="","Основний",$U231),{"Трафіковий","Основний","Маржинальний","Сезонний","Стратегічний"},0),0.15,0.17,0.25,0.24,0.29)</f>
        <v/>
      </c>
      <c r="AM231" s="104">
        <f>CHOOSE(MATCH(IF($U231="","Основний",$U231),{"Трафіковий","Основний","Маржинальний","Сезонний","Стратегічний"},0),0.12,0.145,0.19,0.18,0.22)</f>
        <v/>
      </c>
      <c r="AN231" s="157">
        <f>CHOOSE(MATCH(IF($U231="","Основний",$U231),{"Трафіковий","Основний","Маржинальний","Сезонний","Стратегічний"},0),Settings!$B$78,Settings!$B$80,Settings!$B$82,Settings!$B$84,Settings!$B$86)</f>
        <v/>
      </c>
      <c r="AO231" s="157">
        <f>CHOOSE(MATCH(IF($U231="","Основний",$U231),{"Трафіковий","Основний","Маржинальний","Сезонний","Стратегічний"},0),Settings!$C$78,Settings!$C$80,Settings!$C$82,Settings!$C$84,Settings!$C$86)</f>
        <v/>
      </c>
      <c r="AP231" s="157">
        <f>CHOOSE(MATCH(IF($U231="","Основний",$U231),{"Трафіковий","Основний","Маржинальний","Сезонний","Стратегічний"},0),Settings!$D$78,Settings!$D$80,Settings!$D$82,Settings!$D$84,Settings!$D$86)</f>
        <v/>
      </c>
      <c r="AQ231" s="157">
        <f>CHOOSE(MATCH(IF($U231="","Основний",$U231),{"Трафіковий","Основний","Маржинальний","Сезонний","Стратегічний"},0),Settings!$F$78,Settings!$F$80,Settings!$F$82,Settings!$F$84,Settings!$F$86)</f>
        <v/>
      </c>
      <c r="AR231" s="157">
        <f>CHOOSE(MATCH(IF($U231="","Основний",$U231),{"Трафіковий","Основний","Маржинальний","Сезонний","Стратегічний"},0),Settings!$G$78,Settings!$G$80,Settings!$G$82,Settings!$G$84,Settings!$G$86)</f>
        <v/>
      </c>
      <c r="AS231" s="157">
        <f>CHOOSE(MATCH(IF($U231="","Основний",$U231),{"Трафіковий","Основний","Маржинальний","Сезонний","Стратегічний"},0),Settings!$H$78,Settings!$H$80,Settings!$H$82,Settings!$H$84,Settings!$H$86)</f>
        <v/>
      </c>
      <c r="AT231" s="157">
        <f>CHOOSE(MATCH(IF($U231="","Основний",$U231),{"Трафіковий","Основний","Маржинальний","Сезонний","Стратегічний"},0),Settings!$I$78,Settings!$I$80,Settings!$I$82,Settings!$I$84,Settings!$I$86)</f>
        <v/>
      </c>
      <c r="AU231" s="171" t="n"/>
      <c r="AV231" t="n">
        <v>1.35</v>
      </c>
    </row>
    <row r="232">
      <c r="A232" s="28" t="n"/>
      <c r="B232" s="29" t="inlineStr">
        <is>
          <t>B9654</t>
        </is>
      </c>
      <c r="C232" s="29" t="inlineStr">
        <is>
          <t>ACCU.SLA 12V 7.2AH FAST.4.7 MM</t>
        </is>
      </c>
      <c r="D232" s="29" t="inlineStr">
        <is>
          <t>Свинцеві акумулятори SLA</t>
        </is>
      </c>
      <c r="E232" s="28" t="inlineStr">
        <is>
          <t>PC</t>
        </is>
      </c>
      <c r="F232" s="93" t="n">
        <v>9.231</v>
      </c>
      <c r="G232" s="30" t="n">
        <v>8507202090</v>
      </c>
      <c r="H232" s="31" t="n">
        <v>1.38</v>
      </c>
      <c r="I232" s="84">
        <f>IFERROR(F232*Settings!$B$2*H232*IF(AND(ISNUMBER(E232),E232&gt;1),E232,1),"")</f>
        <v/>
      </c>
      <c r="J232" s="32">
        <f>Settings!$B$66</f>
        <v/>
      </c>
      <c r="K232" s="95">
        <f>IFERROR(IF(T232="","",(T232*(1-AN232)*(1-Settings!$B$17)-I232)/(T232*(1-AN232)*(1-Settings!$B$17))),"")</f>
        <v/>
      </c>
      <c r="L232" s="101">
        <f>IFERROR(IF(T232="","",(T232*(1-AO232)*(1-Settings!$C$17)-I232)/(T232*(1-AO232)*(1-Settings!$C$17))),"")</f>
        <v/>
      </c>
      <c r="M232" s="101">
        <f>IFERROR(IF(T232="","",(T232*(1-AP232)*(1-Settings!$D$17)-I232)/(T232*(1-AP232)*(1-Settings!$D$17))),"")</f>
        <v/>
      </c>
      <c r="N232" s="101">
        <f>IFERROR(IF(T232="","",(T232*(1-AQ232)*(1-Settings!$F$17)-I232)/(T232*(1-AQ232)*(1-Settings!$F$17))),"")</f>
        <v/>
      </c>
      <c r="O232" s="101">
        <f>IFERROR(IF(T232="","",(T232*(1-AR232)*(1-Settings!$G$17)-I232)/(T232*(1-AR232)*(1-Settings!$G$17))),"")</f>
        <v/>
      </c>
      <c r="P232" s="101">
        <f>IFERROR(IF(T232="","",(T232*(1-AS232)*(1-Settings!$H$17)-I232)/(T232*(1-AS232)*(1-Settings!$H$17))),"")</f>
        <v/>
      </c>
      <c r="Q232" s="101">
        <f>IFERROR(IF(T232="","",(T232*(1-AT232)*(1-Settings!$I$68)*(1-Settings!$I$17)-I232)/(T232*(1-AT232)*(1-Settings!$I$68)*(1-Settings!$I$17))),"")</f>
        <v/>
      </c>
      <c r="R232" s="91">
        <f>IFERROR(IF(OR(I232="",Z232&gt;=1,Settings!$B$17&gt;=1,AN232&gt;=1),"",IF(MOD(ROUND(I232/(1-Z232)/(1-Settings!$B$17)/(1-AN232),0),10)=0,ROUND(I232/(1-Z232)/(1-Settings!$B$17)/(1-AN232),0)-1,IF(MOD(ROUND(I232/(1-Z232)/(1-Settings!$B$17)/(1-AN232),0),10)&lt;=5,FLOOR(ROUND(I232/(1-Z232)/(1-Settings!$B$17)/(1-AN232),0),10)+6,FLOOR(ROUND(I232/(1-Z232)/(1-Settings!$B$17)/(1-AN232),0),10)+9))),"")</f>
        <v/>
      </c>
      <c r="S232" s="174">
        <f>R232*0.95</f>
        <v/>
      </c>
      <c r="T232" s="91">
        <f>IF(S232&lt;&gt;"", IF(MOD(S232,10)=0,S232-1,IF(MOD(S232,10)&lt;=5,FLOOR(S232,10)+6,FLOOR(S232,10)+9)), R232)</f>
        <v/>
      </c>
      <c r="U232" s="87" t="inlineStr">
        <is>
          <t>Основний</t>
        </is>
      </c>
      <c r="V232" s="88" t="n"/>
      <c r="W232" s="88" t="n"/>
      <c r="X232" s="89">
        <f>IFERROR(IF(OR(V232="",W232="",T232=""),"", IF(T232&gt;W232,"Дорогий",IF(T232&lt;V232,"Дешевий","У ринку"))),"")</f>
        <v/>
      </c>
      <c r="Y232" s="90" t="n"/>
      <c r="Z232" s="104">
        <f>CHOOSE(MATCH(IF($U232="","Основний",$U232),{"Трафіковий","Основний","Маржинальний","Сезонний","Стратегічний"},0),0.16,0.19,0.24,0.23,0.28)</f>
        <v/>
      </c>
      <c r="AA232" s="104">
        <f>CHOOSE(MATCH(IF($U232="","Основний",$U232),{"Трафіковий","Основний","Маржинальний","Сезонний","Стратегічний"},0),0.18,0.21,0.26,0.25,0.3)</f>
        <v/>
      </c>
      <c r="AB232" s="104">
        <f>CHOOSE(MATCH(IF($U232="","Основний",$U232),{"Трафіковий","Основний","Маржинальний","Сезонний","Стратегічний"},0),0.19,0.22,0.28,0.26,0.32)</f>
        <v/>
      </c>
      <c r="AC232" s="104">
        <f>CHOOSE(MATCH(IF($U232="","Основний",$U232),{"Трафіковий","Основний","Маржинальний","Сезонний","Стратегічний"},0),0.17,0.2,0.25,0.24,0.28)</f>
        <v/>
      </c>
      <c r="AD232" s="104">
        <f>CHOOSE(MATCH(IF($U232="","Основний",$U232),{"Трафіковий","Основний","Маржинальний","Сезонний","Стратегічний"},0),0.18,0.21,0.26,0.25,0.3)</f>
        <v/>
      </c>
      <c r="AE232" s="104">
        <f>CHOOSE(MATCH(IF($U232="","Основний",$U232),{"Трафіковий","Основний","Маржинальний","Сезонний","Стратегічний"},0),0.18,0.2,0.28,0.27,0.32)</f>
        <v/>
      </c>
      <c r="AF232" s="104">
        <f>CHOOSE(MATCH(IF($U232="","Основний",$U232),{"Трафіковий","Основний","Маржинальний","Сезонний","Стратегічний"},0),0.15,0.175,0.22,0.21,0.25)</f>
        <v/>
      </c>
      <c r="AG232" s="104">
        <f>CHOOSE(MATCH(IF($U232="","Основний",$U232),{"Трафіковий","Основний","Маржинальний","Сезонний","Стратегічний"},0),0.13,0.16,0.21,0.2,0.25)</f>
        <v/>
      </c>
      <c r="AH232" s="104">
        <f>CHOOSE(MATCH(IF($U232="","Основний",$U232),{"Трафіковий","Основний","Маржинальний","Сезонний","Стратегічний"},0),0.15,0.18,0.23,0.22,0.27)</f>
        <v/>
      </c>
      <c r="AI232" s="104">
        <f>CHOOSE(MATCH(IF($U232="","Основний",$U232),{"Трафіковий","Основний","Маржинальний","Сезонний","Стратегічний"},0),0.16,0.19,0.25,0.23,0.29)</f>
        <v/>
      </c>
      <c r="AJ232" s="104">
        <f>CHOOSE(MATCH(IF($U232="","Основний",$U232),{"Трафіковий","Основний","Маржинальний","Сезонний","Стратегічний"},0),0.14,0.17,0.22,0.21,0.25)</f>
        <v/>
      </c>
      <c r="AK232" s="104">
        <f>CHOOSE(MATCH(IF($U232="","Основний",$U232),{"Трафіковий","Основний","Маржинальний","Сезонний","Стратегічний"},0),0.15,0.18,0.23,0.22,0.27)</f>
        <v/>
      </c>
      <c r="AL232" s="104">
        <f>CHOOSE(MATCH(IF($U232="","Основний",$U232),{"Трафіковий","Основний","Маржинальний","Сезонний","Стратегічний"},0),0.15,0.17,0.25,0.24,0.29)</f>
        <v/>
      </c>
      <c r="AM232" s="104">
        <f>CHOOSE(MATCH(IF($U232="","Основний",$U232),{"Трафіковий","Основний","Маржинальний","Сезонний","Стратегічний"},0),0.12,0.145,0.19,0.18,0.22)</f>
        <v/>
      </c>
      <c r="AN232" s="157">
        <f>CHOOSE(MATCH(IF($U232="","Основний",$U232),{"Трафіковий","Основний","Маржинальний","Сезонний","Стратегічний"},0),Settings!$B$78,Settings!$B$80,Settings!$B$82,Settings!$B$84,Settings!$B$86)</f>
        <v/>
      </c>
      <c r="AO232" s="157">
        <f>CHOOSE(MATCH(IF($U232="","Основний",$U232),{"Трафіковий","Основний","Маржинальний","Сезонний","Стратегічний"},0),Settings!$C$78,Settings!$C$80,Settings!$C$82,Settings!$C$84,Settings!$C$86)</f>
        <v/>
      </c>
      <c r="AP232" s="157">
        <f>CHOOSE(MATCH(IF($U232="","Основний",$U232),{"Трафіковий","Основний","Маржинальний","Сезонний","Стратегічний"},0),Settings!$D$78,Settings!$D$80,Settings!$D$82,Settings!$D$84,Settings!$D$86)</f>
        <v/>
      </c>
      <c r="AQ232" s="157">
        <f>CHOOSE(MATCH(IF($U232="","Основний",$U232),{"Трафіковий","Основний","Маржинальний","Сезонний","Стратегічний"},0),Settings!$F$78,Settings!$F$80,Settings!$F$82,Settings!$F$84,Settings!$F$86)</f>
        <v/>
      </c>
      <c r="AR232" s="157">
        <f>CHOOSE(MATCH(IF($U232="","Основний",$U232),{"Трафіковий","Основний","Маржинальний","Сезонний","Стратегічний"},0),Settings!$G$78,Settings!$G$80,Settings!$G$82,Settings!$G$84,Settings!$G$86)</f>
        <v/>
      </c>
      <c r="AS232" s="157">
        <f>CHOOSE(MATCH(IF($U232="","Основний",$U232),{"Трафіковий","Основний","Маржинальний","Сезонний","Стратегічний"},0),Settings!$H$78,Settings!$H$80,Settings!$H$82,Settings!$H$84,Settings!$H$86)</f>
        <v/>
      </c>
      <c r="AT232" s="157">
        <f>CHOOSE(MATCH(IF($U232="","Основний",$U232),{"Трафіковий","Основний","Маржинальний","Сезонний","Стратегічний"},0),Settings!$I$78,Settings!$I$80,Settings!$I$82,Settings!$I$84,Settings!$I$86)</f>
        <v/>
      </c>
      <c r="AU232" s="171" t="n"/>
      <c r="AV232" t="n">
        <v>1.35</v>
      </c>
    </row>
    <row r="233">
      <c r="A233" s="33" t="n"/>
      <c r="B233" s="34" t="inlineStr">
        <is>
          <t>B9674</t>
        </is>
      </c>
      <c r="C233" s="34" t="inlineStr">
        <is>
          <t>ACCU.SLA 12V 7.2AH FAST.6.3 MM</t>
        </is>
      </c>
      <c r="D233" s="34" t="inlineStr">
        <is>
          <t>Свинцеві акумулятори SLA</t>
        </is>
      </c>
      <c r="E233" s="33" t="inlineStr">
        <is>
          <t>PC</t>
        </is>
      </c>
      <c r="F233" s="94" t="n">
        <v>9.346</v>
      </c>
      <c r="G233" s="35" t="n">
        <v>8507202090</v>
      </c>
      <c r="H233" s="31" t="n">
        <v>1.38</v>
      </c>
      <c r="I233" s="84">
        <f>IFERROR(F233*Settings!$B$2*H233*IF(AND(ISNUMBER(E233),E233&gt;1),E233,1),"")</f>
        <v/>
      </c>
      <c r="J233" s="32">
        <f>Settings!$B$66</f>
        <v/>
      </c>
      <c r="K233" s="95">
        <f>IFERROR(IF(T233="","",(T233*(1-AN233)*(1-Settings!$B$17)-I233)/(T233*(1-AN233)*(1-Settings!$B$17))),"")</f>
        <v/>
      </c>
      <c r="L233" s="101">
        <f>IFERROR(IF(T233="","",(T233*(1-AO233)*(1-Settings!$C$17)-I233)/(T233*(1-AO233)*(1-Settings!$C$17))),"")</f>
        <v/>
      </c>
      <c r="M233" s="101">
        <f>IFERROR(IF(T233="","",(T233*(1-AP233)*(1-Settings!$D$17)-I233)/(T233*(1-AP233)*(1-Settings!$D$17))),"")</f>
        <v/>
      </c>
      <c r="N233" s="101">
        <f>IFERROR(IF(T233="","",(T233*(1-AQ233)*(1-Settings!$F$17)-I233)/(T233*(1-AQ233)*(1-Settings!$F$17))),"")</f>
        <v/>
      </c>
      <c r="O233" s="101">
        <f>IFERROR(IF(T233="","",(T233*(1-AR233)*(1-Settings!$G$17)-I233)/(T233*(1-AR233)*(1-Settings!$G$17))),"")</f>
        <v/>
      </c>
      <c r="P233" s="101">
        <f>IFERROR(IF(T233="","",(T233*(1-AS233)*(1-Settings!$H$17)-I233)/(T233*(1-AS233)*(1-Settings!$H$17))),"")</f>
        <v/>
      </c>
      <c r="Q233" s="101">
        <f>IFERROR(IF(T233="","",(T233*(1-AT233)*(1-Settings!$I$68)*(1-Settings!$I$17)-I233)/(T233*(1-AT233)*(1-Settings!$I$68)*(1-Settings!$I$17))),"")</f>
        <v/>
      </c>
      <c r="R233" s="91">
        <f>IFERROR(IF(OR(I233="",Z233&gt;=1,Settings!$B$17&gt;=1,AN233&gt;=1),"",IF(MOD(ROUND(I233/(1-Z233)/(1-Settings!$B$17)/(1-AN233),0),10)=0,ROUND(I233/(1-Z233)/(1-Settings!$B$17)/(1-AN233),0)-1,IF(MOD(ROUND(I233/(1-Z233)/(1-Settings!$B$17)/(1-AN233),0),10)&lt;=5,FLOOR(ROUND(I233/(1-Z233)/(1-Settings!$B$17)/(1-AN233),0),10)+6,FLOOR(ROUND(I233/(1-Z233)/(1-Settings!$B$17)/(1-AN233),0),10)+9))),"")</f>
        <v/>
      </c>
      <c r="S233" s="174">
        <f>R233*0.95</f>
        <v/>
      </c>
      <c r="T233" s="91">
        <f>IF(S233&lt;&gt;"", IF(MOD(S233,10)=0,S233-1,IF(MOD(S233,10)&lt;=5,FLOOR(S233,10)+6,FLOOR(S233,10)+9)), R233)</f>
        <v/>
      </c>
      <c r="U233" s="87" t="inlineStr">
        <is>
          <t>Основний</t>
        </is>
      </c>
      <c r="V233" s="88" t="n"/>
      <c r="W233" s="88" t="n"/>
      <c r="X233" s="89">
        <f>IFERROR(IF(OR(V233="",W233="",T233=""),"", IF(T233&gt;W233,"Дорогий",IF(T233&lt;V233,"Дешевий","У ринку"))),"")</f>
        <v/>
      </c>
      <c r="Y233" s="90" t="n"/>
      <c r="Z233" s="104">
        <f>CHOOSE(MATCH(IF($U233="","Основний",$U233),{"Трафіковий","Основний","Маржинальний","Сезонний","Стратегічний"},0),0.16,0.19,0.24,0.23,0.28)</f>
        <v/>
      </c>
      <c r="AA233" s="104">
        <f>CHOOSE(MATCH(IF($U233="","Основний",$U233),{"Трафіковий","Основний","Маржинальний","Сезонний","Стратегічний"},0),0.18,0.21,0.26,0.25,0.3)</f>
        <v/>
      </c>
      <c r="AB233" s="104">
        <f>CHOOSE(MATCH(IF($U233="","Основний",$U233),{"Трафіковий","Основний","Маржинальний","Сезонний","Стратегічний"},0),0.19,0.22,0.28,0.26,0.32)</f>
        <v/>
      </c>
      <c r="AC233" s="104">
        <f>CHOOSE(MATCH(IF($U233="","Основний",$U233),{"Трафіковий","Основний","Маржинальний","Сезонний","Стратегічний"},0),0.17,0.2,0.25,0.24,0.28)</f>
        <v/>
      </c>
      <c r="AD233" s="104">
        <f>CHOOSE(MATCH(IF($U233="","Основний",$U233),{"Трафіковий","Основний","Маржинальний","Сезонний","Стратегічний"},0),0.18,0.21,0.26,0.25,0.3)</f>
        <v/>
      </c>
      <c r="AE233" s="104">
        <f>CHOOSE(MATCH(IF($U233="","Основний",$U233),{"Трафіковий","Основний","Маржинальний","Сезонний","Стратегічний"},0),0.18,0.2,0.28,0.27,0.32)</f>
        <v/>
      </c>
      <c r="AF233" s="104">
        <f>CHOOSE(MATCH(IF($U233="","Основний",$U233),{"Трафіковий","Основний","Маржинальний","Сезонний","Стратегічний"},0),0.15,0.175,0.22,0.21,0.25)</f>
        <v/>
      </c>
      <c r="AG233" s="104">
        <f>CHOOSE(MATCH(IF($U233="","Основний",$U233),{"Трафіковий","Основний","Маржинальний","Сезонний","Стратегічний"},0),0.13,0.16,0.21,0.2,0.25)</f>
        <v/>
      </c>
      <c r="AH233" s="104">
        <f>CHOOSE(MATCH(IF($U233="","Основний",$U233),{"Трафіковий","Основний","Маржинальний","Сезонний","Стратегічний"},0),0.15,0.18,0.23,0.22,0.27)</f>
        <v/>
      </c>
      <c r="AI233" s="104">
        <f>CHOOSE(MATCH(IF($U233="","Основний",$U233),{"Трафіковий","Основний","Маржинальний","Сезонний","Стратегічний"},0),0.16,0.19,0.25,0.23,0.29)</f>
        <v/>
      </c>
      <c r="AJ233" s="104">
        <f>CHOOSE(MATCH(IF($U233="","Основний",$U233),{"Трафіковий","Основний","Маржинальний","Сезонний","Стратегічний"},0),0.14,0.17,0.22,0.21,0.25)</f>
        <v/>
      </c>
      <c r="AK233" s="104">
        <f>CHOOSE(MATCH(IF($U233="","Основний",$U233),{"Трафіковий","Основний","Маржинальний","Сезонний","Стратегічний"},0),0.15,0.18,0.23,0.22,0.27)</f>
        <v/>
      </c>
      <c r="AL233" s="104">
        <f>CHOOSE(MATCH(IF($U233="","Основний",$U233),{"Трафіковий","Основний","Маржинальний","Сезонний","Стратегічний"},0),0.15,0.17,0.25,0.24,0.29)</f>
        <v/>
      </c>
      <c r="AM233" s="104">
        <f>CHOOSE(MATCH(IF($U233="","Основний",$U233),{"Трафіковий","Основний","Маржинальний","Сезонний","Стратегічний"},0),0.12,0.145,0.19,0.18,0.22)</f>
        <v/>
      </c>
      <c r="AN233" s="157">
        <f>CHOOSE(MATCH(IF($U233="","Основний",$U233),{"Трафіковий","Основний","Маржинальний","Сезонний","Стратегічний"},0),Settings!$B$78,Settings!$B$80,Settings!$B$82,Settings!$B$84,Settings!$B$86)</f>
        <v/>
      </c>
      <c r="AO233" s="157">
        <f>CHOOSE(MATCH(IF($U233="","Основний",$U233),{"Трафіковий","Основний","Маржинальний","Сезонний","Стратегічний"},0),Settings!$C$78,Settings!$C$80,Settings!$C$82,Settings!$C$84,Settings!$C$86)</f>
        <v/>
      </c>
      <c r="AP233" s="157">
        <f>CHOOSE(MATCH(IF($U233="","Основний",$U233),{"Трафіковий","Основний","Маржинальний","Сезонний","Стратегічний"},0),Settings!$D$78,Settings!$D$80,Settings!$D$82,Settings!$D$84,Settings!$D$86)</f>
        <v/>
      </c>
      <c r="AQ233" s="157">
        <f>CHOOSE(MATCH(IF($U233="","Основний",$U233),{"Трафіковий","Основний","Маржинальний","Сезонний","Стратегічний"},0),Settings!$F$78,Settings!$F$80,Settings!$F$82,Settings!$F$84,Settings!$F$86)</f>
        <v/>
      </c>
      <c r="AR233" s="157">
        <f>CHOOSE(MATCH(IF($U233="","Основний",$U233),{"Трафіковий","Основний","Маржинальний","Сезонний","Стратегічний"},0),Settings!$G$78,Settings!$G$80,Settings!$G$82,Settings!$G$84,Settings!$G$86)</f>
        <v/>
      </c>
      <c r="AS233" s="157">
        <f>CHOOSE(MATCH(IF($U233="","Основний",$U233),{"Трафіковий","Основний","Маржинальний","Сезонний","Стратегічний"},0),Settings!$H$78,Settings!$H$80,Settings!$H$82,Settings!$H$84,Settings!$H$86)</f>
        <v/>
      </c>
      <c r="AT233" s="157">
        <f>CHOOSE(MATCH(IF($U233="","Основний",$U233),{"Трафіковий","Основний","Маржинальний","Сезонний","Стратегічний"},0),Settings!$I$78,Settings!$I$80,Settings!$I$82,Settings!$I$84,Settings!$I$86)</f>
        <v/>
      </c>
      <c r="AU233" s="171" t="n"/>
      <c r="AV233" t="n">
        <v>1.35</v>
      </c>
    </row>
    <row r="234">
      <c r="A234" s="28" t="n"/>
      <c r="B234" s="29" t="inlineStr">
        <is>
          <t>B9675</t>
        </is>
      </c>
      <c r="C234" s="29" t="inlineStr">
        <is>
          <t>ACCU.SLA 12V 9AH FAST.6.3 MM</t>
        </is>
      </c>
      <c r="D234" s="29" t="inlineStr">
        <is>
          <t>Свинцеві акумулятори SLA</t>
        </is>
      </c>
      <c r="E234" s="28" t="inlineStr">
        <is>
          <t>PC</t>
        </is>
      </c>
      <c r="F234" s="93" t="n">
        <v>10.403</v>
      </c>
      <c r="G234" s="30" t="n">
        <v>8507202090</v>
      </c>
      <c r="H234" s="31" t="n">
        <v>1.38</v>
      </c>
      <c r="I234" s="84">
        <f>IFERROR(F234*Settings!$B$2*H234*IF(AND(ISNUMBER(E234),E234&gt;1),E234,1),"")</f>
        <v/>
      </c>
      <c r="J234" s="32">
        <f>Settings!$B$66</f>
        <v/>
      </c>
      <c r="K234" s="95">
        <f>IFERROR(IF(T234="","",(T234*(1-AN234)*(1-Settings!$B$17)-I234)/(T234*(1-AN234)*(1-Settings!$B$17))),"")</f>
        <v/>
      </c>
      <c r="L234" s="101">
        <f>IFERROR(IF(T234="","",(T234*(1-AO234)*(1-Settings!$C$17)-I234)/(T234*(1-AO234)*(1-Settings!$C$17))),"")</f>
        <v/>
      </c>
      <c r="M234" s="101">
        <f>IFERROR(IF(T234="","",(T234*(1-AP234)*(1-Settings!$D$17)-I234)/(T234*(1-AP234)*(1-Settings!$D$17))),"")</f>
        <v/>
      </c>
      <c r="N234" s="101">
        <f>IFERROR(IF(T234="","",(T234*(1-AQ234)*(1-Settings!$F$17)-I234)/(T234*(1-AQ234)*(1-Settings!$F$17))),"")</f>
        <v/>
      </c>
      <c r="O234" s="101">
        <f>IFERROR(IF(T234="","",(T234*(1-AR234)*(1-Settings!$G$17)-I234)/(T234*(1-AR234)*(1-Settings!$G$17))),"")</f>
        <v/>
      </c>
      <c r="P234" s="101">
        <f>IFERROR(IF(T234="","",(T234*(1-AS234)*(1-Settings!$H$17)-I234)/(T234*(1-AS234)*(1-Settings!$H$17))),"")</f>
        <v/>
      </c>
      <c r="Q234" s="101">
        <f>IFERROR(IF(T234="","",(T234*(1-AT234)*(1-Settings!$I$68)*(1-Settings!$I$17)-I234)/(T234*(1-AT234)*(1-Settings!$I$68)*(1-Settings!$I$17))),"")</f>
        <v/>
      </c>
      <c r="R234" s="91">
        <f>IFERROR(IF(OR(I234="",Z234&gt;=1,Settings!$B$17&gt;=1,AN234&gt;=1),"",IF(MOD(ROUND(I234/(1-Z234)/(1-Settings!$B$17)/(1-AN234),0),10)=0,ROUND(I234/(1-Z234)/(1-Settings!$B$17)/(1-AN234),0)-1,IF(MOD(ROUND(I234/(1-Z234)/(1-Settings!$B$17)/(1-AN234),0),10)&lt;=5,FLOOR(ROUND(I234/(1-Z234)/(1-Settings!$B$17)/(1-AN234),0),10)+6,FLOOR(ROUND(I234/(1-Z234)/(1-Settings!$B$17)/(1-AN234),0),10)+9))),"")</f>
        <v/>
      </c>
      <c r="S234" s="174">
        <f>R234*0.95</f>
        <v/>
      </c>
      <c r="T234" s="91">
        <f>IF(S234&lt;&gt;"", IF(MOD(S234,10)=0,S234-1,IF(MOD(S234,10)&lt;=5,FLOOR(S234,10)+6,FLOOR(S234,10)+9)), R234)</f>
        <v/>
      </c>
      <c r="U234" s="87" t="inlineStr">
        <is>
          <t>Основний</t>
        </is>
      </c>
      <c r="V234" s="88" t="n"/>
      <c r="W234" s="88" t="n"/>
      <c r="X234" s="89">
        <f>IFERROR(IF(OR(V234="",W234="",T234=""),"", IF(T234&gt;W234,"Дорогий",IF(T234&lt;V234,"Дешевий","У ринку"))),"")</f>
        <v/>
      </c>
      <c r="Y234" s="90" t="n"/>
      <c r="Z234" s="104">
        <f>CHOOSE(MATCH(IF($U234="","Основний",$U234),{"Трафіковий","Основний","Маржинальний","Сезонний","Стратегічний"},0),0.16,0.19,0.24,0.23,0.28)</f>
        <v/>
      </c>
      <c r="AA234" s="104">
        <f>CHOOSE(MATCH(IF($U234="","Основний",$U234),{"Трафіковий","Основний","Маржинальний","Сезонний","Стратегічний"},0),0.18,0.21,0.26,0.25,0.3)</f>
        <v/>
      </c>
      <c r="AB234" s="104">
        <f>CHOOSE(MATCH(IF($U234="","Основний",$U234),{"Трафіковий","Основний","Маржинальний","Сезонний","Стратегічний"},0),0.19,0.22,0.28,0.26,0.32)</f>
        <v/>
      </c>
      <c r="AC234" s="104">
        <f>CHOOSE(MATCH(IF($U234="","Основний",$U234),{"Трафіковий","Основний","Маржинальний","Сезонний","Стратегічний"},0),0.17,0.2,0.25,0.24,0.28)</f>
        <v/>
      </c>
      <c r="AD234" s="104">
        <f>CHOOSE(MATCH(IF($U234="","Основний",$U234),{"Трафіковий","Основний","Маржинальний","Сезонний","Стратегічний"},0),0.18,0.21,0.26,0.25,0.3)</f>
        <v/>
      </c>
      <c r="AE234" s="104">
        <f>CHOOSE(MATCH(IF($U234="","Основний",$U234),{"Трафіковий","Основний","Маржинальний","Сезонний","Стратегічний"},0),0.18,0.2,0.28,0.27,0.32)</f>
        <v/>
      </c>
      <c r="AF234" s="104">
        <f>CHOOSE(MATCH(IF($U234="","Основний",$U234),{"Трафіковий","Основний","Маржинальний","Сезонний","Стратегічний"},0),0.15,0.175,0.22,0.21,0.25)</f>
        <v/>
      </c>
      <c r="AG234" s="104">
        <f>CHOOSE(MATCH(IF($U234="","Основний",$U234),{"Трафіковий","Основний","Маржинальний","Сезонний","Стратегічний"},0),0.13,0.16,0.21,0.2,0.25)</f>
        <v/>
      </c>
      <c r="AH234" s="104">
        <f>CHOOSE(MATCH(IF($U234="","Основний",$U234),{"Трафіковий","Основний","Маржинальний","Сезонний","Стратегічний"},0),0.15,0.18,0.23,0.22,0.27)</f>
        <v/>
      </c>
      <c r="AI234" s="104">
        <f>CHOOSE(MATCH(IF($U234="","Основний",$U234),{"Трафіковий","Основний","Маржинальний","Сезонний","Стратегічний"},0),0.16,0.19,0.25,0.23,0.29)</f>
        <v/>
      </c>
      <c r="AJ234" s="104">
        <f>CHOOSE(MATCH(IF($U234="","Основний",$U234),{"Трафіковий","Основний","Маржинальний","Сезонний","Стратегічний"},0),0.14,0.17,0.22,0.21,0.25)</f>
        <v/>
      </c>
      <c r="AK234" s="104">
        <f>CHOOSE(MATCH(IF($U234="","Основний",$U234),{"Трафіковий","Основний","Маржинальний","Сезонний","Стратегічний"},0),0.15,0.18,0.23,0.22,0.27)</f>
        <v/>
      </c>
      <c r="AL234" s="104">
        <f>CHOOSE(MATCH(IF($U234="","Основний",$U234),{"Трафіковий","Основний","Маржинальний","Сезонний","Стратегічний"},0),0.15,0.17,0.25,0.24,0.29)</f>
        <v/>
      </c>
      <c r="AM234" s="104">
        <f>CHOOSE(MATCH(IF($U234="","Основний",$U234),{"Трафіковий","Основний","Маржинальний","Сезонний","Стратегічний"},0),0.12,0.145,0.19,0.18,0.22)</f>
        <v/>
      </c>
      <c r="AN234" s="157">
        <f>CHOOSE(MATCH(IF($U234="","Основний",$U234),{"Трафіковий","Основний","Маржинальний","Сезонний","Стратегічний"},0),Settings!$B$78,Settings!$B$80,Settings!$B$82,Settings!$B$84,Settings!$B$86)</f>
        <v/>
      </c>
      <c r="AO234" s="157">
        <f>CHOOSE(MATCH(IF($U234="","Основний",$U234),{"Трафіковий","Основний","Маржинальний","Сезонний","Стратегічний"},0),Settings!$C$78,Settings!$C$80,Settings!$C$82,Settings!$C$84,Settings!$C$86)</f>
        <v/>
      </c>
      <c r="AP234" s="157">
        <f>CHOOSE(MATCH(IF($U234="","Основний",$U234),{"Трафіковий","Основний","Маржинальний","Сезонний","Стратегічний"},0),Settings!$D$78,Settings!$D$80,Settings!$D$82,Settings!$D$84,Settings!$D$86)</f>
        <v/>
      </c>
      <c r="AQ234" s="157">
        <f>CHOOSE(MATCH(IF($U234="","Основний",$U234),{"Трафіковий","Основний","Маржинальний","Сезонний","Стратегічний"},0),Settings!$F$78,Settings!$F$80,Settings!$F$82,Settings!$F$84,Settings!$F$86)</f>
        <v/>
      </c>
      <c r="AR234" s="157">
        <f>CHOOSE(MATCH(IF($U234="","Основний",$U234),{"Трафіковий","Основний","Маржинальний","Сезонний","Стратегічний"},0),Settings!$G$78,Settings!$G$80,Settings!$G$82,Settings!$G$84,Settings!$G$86)</f>
        <v/>
      </c>
      <c r="AS234" s="157">
        <f>CHOOSE(MATCH(IF($U234="","Основний",$U234),{"Трафіковий","Основний","Маржинальний","Сезонний","Стратегічний"},0),Settings!$H$78,Settings!$H$80,Settings!$H$82,Settings!$H$84,Settings!$H$86)</f>
        <v/>
      </c>
      <c r="AT234" s="157">
        <f>CHOOSE(MATCH(IF($U234="","Основний",$U234),{"Трафіковий","Основний","Маржинальний","Сезонний","Стратегічний"},0),Settings!$I$78,Settings!$I$80,Settings!$I$82,Settings!$I$84,Settings!$I$86)</f>
        <v/>
      </c>
      <c r="AU234" s="171" t="n"/>
      <c r="AV234" t="n">
        <v>1.35</v>
      </c>
    </row>
    <row r="235">
      <c r="A235" s="33" t="n"/>
      <c r="B235" s="34" t="inlineStr">
        <is>
          <t>B9656</t>
        </is>
      </c>
      <c r="C235" s="34" t="inlineStr">
        <is>
          <t>ACCU.SLA 12V 12AH FAST.6.3 MM</t>
        </is>
      </c>
      <c r="D235" s="34" t="inlineStr">
        <is>
          <t>Свинцеві акумулятори SLA</t>
        </is>
      </c>
      <c r="E235" s="33" t="inlineStr">
        <is>
          <t>PC</t>
        </is>
      </c>
      <c r="F235" s="94" t="n">
        <v>12.675</v>
      </c>
      <c r="G235" s="35" t="n">
        <v>8507202090</v>
      </c>
      <c r="H235" s="31" t="n">
        <v>1.38</v>
      </c>
      <c r="I235" s="84">
        <f>IFERROR(F235*Settings!$B$2*H235*IF(AND(ISNUMBER(E235),E235&gt;1),E235,1),"")</f>
        <v/>
      </c>
      <c r="J235" s="32">
        <f>Settings!$B$66</f>
        <v/>
      </c>
      <c r="K235" s="95">
        <f>IFERROR(IF(T235="","",(T235*(1-AN235)*(1-Settings!$B$17)-I235)/(T235*(1-AN235)*(1-Settings!$B$17))),"")</f>
        <v/>
      </c>
      <c r="L235" s="101">
        <f>IFERROR(IF(T235="","",(T235*(1-AO235)*(1-Settings!$C$17)-I235)/(T235*(1-AO235)*(1-Settings!$C$17))),"")</f>
        <v/>
      </c>
      <c r="M235" s="101">
        <f>IFERROR(IF(T235="","",(T235*(1-AP235)*(1-Settings!$D$17)-I235)/(T235*(1-AP235)*(1-Settings!$D$17))),"")</f>
        <v/>
      </c>
      <c r="N235" s="101">
        <f>IFERROR(IF(T235="","",(T235*(1-AQ235)*(1-Settings!$F$17)-I235)/(T235*(1-AQ235)*(1-Settings!$F$17))),"")</f>
        <v/>
      </c>
      <c r="O235" s="101">
        <f>IFERROR(IF(T235="","",(T235*(1-AR235)*(1-Settings!$G$17)-I235)/(T235*(1-AR235)*(1-Settings!$G$17))),"")</f>
        <v/>
      </c>
      <c r="P235" s="101">
        <f>IFERROR(IF(T235="","",(T235*(1-AS235)*(1-Settings!$H$17)-I235)/(T235*(1-AS235)*(1-Settings!$H$17))),"")</f>
        <v/>
      </c>
      <c r="Q235" s="101">
        <f>IFERROR(IF(T235="","",(T235*(1-AT235)*(1-Settings!$I$68)*(1-Settings!$I$17)-I235)/(T235*(1-AT235)*(1-Settings!$I$68)*(1-Settings!$I$17))),"")</f>
        <v/>
      </c>
      <c r="R235" s="91">
        <f>IFERROR(IF(OR(I235="",Z235&gt;=1,Settings!$B$17&gt;=1,AN235&gt;=1),"",IF(MOD(ROUND(I235/(1-Z235)/(1-Settings!$B$17)/(1-AN235),0),10)=0,ROUND(I235/(1-Z235)/(1-Settings!$B$17)/(1-AN235),0)-1,IF(MOD(ROUND(I235/(1-Z235)/(1-Settings!$B$17)/(1-AN235),0),10)&lt;=5,FLOOR(ROUND(I235/(1-Z235)/(1-Settings!$B$17)/(1-AN235),0),10)+6,FLOOR(ROUND(I235/(1-Z235)/(1-Settings!$B$17)/(1-AN235),0),10)+9))),"")</f>
        <v/>
      </c>
      <c r="S235" s="174">
        <f>R235*0.95</f>
        <v/>
      </c>
      <c r="T235" s="91">
        <f>IF(S235&lt;&gt;"", IF(MOD(S235,10)=0,S235-1,IF(MOD(S235,10)&lt;=5,FLOOR(S235,10)+6,FLOOR(S235,10)+9)), R235)</f>
        <v/>
      </c>
      <c r="U235" s="87" t="inlineStr">
        <is>
          <t>Основний</t>
        </is>
      </c>
      <c r="V235" s="88" t="n"/>
      <c r="W235" s="88" t="n"/>
      <c r="X235" s="89">
        <f>IFERROR(IF(OR(V235="",W235="",T235=""),"", IF(T235&gt;W235,"Дорогий",IF(T235&lt;V235,"Дешевий","У ринку"))),"")</f>
        <v/>
      </c>
      <c r="Y235" s="90" t="n"/>
      <c r="Z235" s="104">
        <f>CHOOSE(MATCH(IF($U235="","Основний",$U235),{"Трафіковий","Основний","Маржинальний","Сезонний","Стратегічний"},0),0.16,0.19,0.24,0.23,0.28)</f>
        <v/>
      </c>
      <c r="AA235" s="104">
        <f>CHOOSE(MATCH(IF($U235="","Основний",$U235),{"Трафіковий","Основний","Маржинальний","Сезонний","Стратегічний"},0),0.18,0.21,0.26,0.25,0.3)</f>
        <v/>
      </c>
      <c r="AB235" s="104">
        <f>CHOOSE(MATCH(IF($U235="","Основний",$U235),{"Трафіковий","Основний","Маржинальний","Сезонний","Стратегічний"},0),0.19,0.22,0.28,0.26,0.32)</f>
        <v/>
      </c>
      <c r="AC235" s="104">
        <f>CHOOSE(MATCH(IF($U235="","Основний",$U235),{"Трафіковий","Основний","Маржинальний","Сезонний","Стратегічний"},0),0.17,0.2,0.25,0.24,0.28)</f>
        <v/>
      </c>
      <c r="AD235" s="104">
        <f>CHOOSE(MATCH(IF($U235="","Основний",$U235),{"Трафіковий","Основний","Маржинальний","Сезонний","Стратегічний"},0),0.18,0.21,0.26,0.25,0.3)</f>
        <v/>
      </c>
      <c r="AE235" s="104">
        <f>CHOOSE(MATCH(IF($U235="","Основний",$U235),{"Трафіковий","Основний","Маржинальний","Сезонний","Стратегічний"},0),0.18,0.2,0.28,0.27,0.32)</f>
        <v/>
      </c>
      <c r="AF235" s="104">
        <f>CHOOSE(MATCH(IF($U235="","Основний",$U235),{"Трафіковий","Основний","Маржинальний","Сезонний","Стратегічний"},0),0.15,0.175,0.22,0.21,0.25)</f>
        <v/>
      </c>
      <c r="AG235" s="104">
        <f>CHOOSE(MATCH(IF($U235="","Основний",$U235),{"Трафіковий","Основний","Маржинальний","Сезонний","Стратегічний"},0),0.13,0.16,0.21,0.2,0.25)</f>
        <v/>
      </c>
      <c r="AH235" s="104">
        <f>CHOOSE(MATCH(IF($U235="","Основний",$U235),{"Трафіковий","Основний","Маржинальний","Сезонний","Стратегічний"},0),0.15,0.18,0.23,0.22,0.27)</f>
        <v/>
      </c>
      <c r="AI235" s="104">
        <f>CHOOSE(MATCH(IF($U235="","Основний",$U235),{"Трафіковий","Основний","Маржинальний","Сезонний","Стратегічний"},0),0.16,0.19,0.25,0.23,0.29)</f>
        <v/>
      </c>
      <c r="AJ235" s="104">
        <f>CHOOSE(MATCH(IF($U235="","Основний",$U235),{"Трафіковий","Основний","Маржинальний","Сезонний","Стратегічний"},0),0.14,0.17,0.22,0.21,0.25)</f>
        <v/>
      </c>
      <c r="AK235" s="104">
        <f>CHOOSE(MATCH(IF($U235="","Основний",$U235),{"Трафіковий","Основний","Маржинальний","Сезонний","Стратегічний"},0),0.15,0.18,0.23,0.22,0.27)</f>
        <v/>
      </c>
      <c r="AL235" s="104">
        <f>CHOOSE(MATCH(IF($U235="","Основний",$U235),{"Трафіковий","Основний","Маржинальний","Сезонний","Стратегічний"},0),0.15,0.17,0.25,0.24,0.29)</f>
        <v/>
      </c>
      <c r="AM235" s="104">
        <f>CHOOSE(MATCH(IF($U235="","Основний",$U235),{"Трафіковий","Основний","Маржинальний","Сезонний","Стратегічний"},0),0.12,0.145,0.19,0.18,0.22)</f>
        <v/>
      </c>
      <c r="AN235" s="157">
        <f>CHOOSE(MATCH(IF($U235="","Основний",$U235),{"Трафіковий","Основний","Маржинальний","Сезонний","Стратегічний"},0),Settings!$B$78,Settings!$B$80,Settings!$B$82,Settings!$B$84,Settings!$B$86)</f>
        <v/>
      </c>
      <c r="AO235" s="157">
        <f>CHOOSE(MATCH(IF($U235="","Основний",$U235),{"Трафіковий","Основний","Маржинальний","Сезонний","Стратегічний"},0),Settings!$C$78,Settings!$C$80,Settings!$C$82,Settings!$C$84,Settings!$C$86)</f>
        <v/>
      </c>
      <c r="AP235" s="157">
        <f>CHOOSE(MATCH(IF($U235="","Основний",$U235),{"Трафіковий","Основний","Маржинальний","Сезонний","Стратегічний"},0),Settings!$D$78,Settings!$D$80,Settings!$D$82,Settings!$D$84,Settings!$D$86)</f>
        <v/>
      </c>
      <c r="AQ235" s="157">
        <f>CHOOSE(MATCH(IF($U235="","Основний",$U235),{"Трафіковий","Основний","Маржинальний","Сезонний","Стратегічний"},0),Settings!$F$78,Settings!$F$80,Settings!$F$82,Settings!$F$84,Settings!$F$86)</f>
        <v/>
      </c>
      <c r="AR235" s="157">
        <f>CHOOSE(MATCH(IF($U235="","Основний",$U235),{"Трафіковий","Основний","Маржинальний","Сезонний","Стратегічний"},0),Settings!$G$78,Settings!$G$80,Settings!$G$82,Settings!$G$84,Settings!$G$86)</f>
        <v/>
      </c>
      <c r="AS235" s="157">
        <f>CHOOSE(MATCH(IF($U235="","Основний",$U235),{"Трафіковий","Основний","Маржинальний","Сезонний","Стратегічний"},0),Settings!$H$78,Settings!$H$80,Settings!$H$82,Settings!$H$84,Settings!$H$86)</f>
        <v/>
      </c>
      <c r="AT235" s="157">
        <f>CHOOSE(MATCH(IF($U235="","Основний",$U235),{"Трафіковий","Основний","Маржинальний","Сезонний","Стратегічний"},0),Settings!$I$78,Settings!$I$80,Settings!$I$82,Settings!$I$84,Settings!$I$86)</f>
        <v/>
      </c>
      <c r="AU235" s="171" t="n"/>
      <c r="AV235" t="n">
        <v>1.35</v>
      </c>
    </row>
    <row r="236">
      <c r="A236" s="28" t="n"/>
      <c r="B236" s="29" t="inlineStr">
        <is>
          <t>B9656V</t>
        </is>
      </c>
      <c r="C236" s="29" t="inlineStr">
        <is>
          <t>ACCU.SLA 12V 15AH FAST.6.3 MM TRACTION</t>
        </is>
      </c>
      <c r="D236" s="29" t="inlineStr">
        <is>
          <t>Свинцеві акумулятори SLA</t>
        </is>
      </c>
      <c r="E236" s="28" t="inlineStr">
        <is>
          <t>PC</t>
        </is>
      </c>
      <c r="F236" s="93" t="n">
        <v>17.326</v>
      </c>
      <c r="G236" s="30" t="n">
        <v>8507202090</v>
      </c>
      <c r="H236" s="31" t="n">
        <v>1.38</v>
      </c>
      <c r="I236" s="84">
        <f>IFERROR(F236*Settings!$B$2*H236*IF(AND(ISNUMBER(E236),E236&gt;1),E236,1),"")</f>
        <v/>
      </c>
      <c r="J236" s="32">
        <f>Settings!$B$66</f>
        <v/>
      </c>
      <c r="K236" s="95">
        <f>IFERROR(IF(T236="","",(T236*(1-AN236)*(1-Settings!$B$17)-I236)/(T236*(1-AN236)*(1-Settings!$B$17))),"")</f>
        <v/>
      </c>
      <c r="L236" s="101">
        <f>IFERROR(IF(T236="","",(T236*(1-AO236)*(1-Settings!$C$17)-I236)/(T236*(1-AO236)*(1-Settings!$C$17))),"")</f>
        <v/>
      </c>
      <c r="M236" s="101">
        <f>IFERROR(IF(T236="","",(T236*(1-AP236)*(1-Settings!$D$17)-I236)/(T236*(1-AP236)*(1-Settings!$D$17))),"")</f>
        <v/>
      </c>
      <c r="N236" s="101">
        <f>IFERROR(IF(T236="","",(T236*(1-AQ236)*(1-Settings!$F$17)-I236)/(T236*(1-AQ236)*(1-Settings!$F$17))),"")</f>
        <v/>
      </c>
      <c r="O236" s="101">
        <f>IFERROR(IF(T236="","",(T236*(1-AR236)*(1-Settings!$G$17)-I236)/(T236*(1-AR236)*(1-Settings!$G$17))),"")</f>
        <v/>
      </c>
      <c r="P236" s="101">
        <f>IFERROR(IF(T236="","",(T236*(1-AS236)*(1-Settings!$H$17)-I236)/(T236*(1-AS236)*(1-Settings!$H$17))),"")</f>
        <v/>
      </c>
      <c r="Q236" s="101">
        <f>IFERROR(IF(T236="","",(T236*(1-AT236)*(1-Settings!$I$68)*(1-Settings!$I$17)-I236)/(T236*(1-AT236)*(1-Settings!$I$68)*(1-Settings!$I$17))),"")</f>
        <v/>
      </c>
      <c r="R236" s="91">
        <f>IFERROR(IF(OR(I236="",Z236&gt;=1,Settings!$B$17&gt;=1,AN236&gt;=1),"",IF(MOD(ROUND(I236/(1-Z236)/(1-Settings!$B$17)/(1-AN236),0),10)=0,ROUND(I236/(1-Z236)/(1-Settings!$B$17)/(1-AN236),0)-1,IF(MOD(ROUND(I236/(1-Z236)/(1-Settings!$B$17)/(1-AN236),0),10)&lt;=5,FLOOR(ROUND(I236/(1-Z236)/(1-Settings!$B$17)/(1-AN236),0),10)+6,FLOOR(ROUND(I236/(1-Z236)/(1-Settings!$B$17)/(1-AN236),0),10)+9))),"")</f>
        <v/>
      </c>
      <c r="S236" s="174">
        <f>R236*0.95</f>
        <v/>
      </c>
      <c r="T236" s="91">
        <f>IF(S236&lt;&gt;"", IF(MOD(S236,10)=0,S236-1,IF(MOD(S236,10)&lt;=5,FLOOR(S236,10)+6,FLOOR(S236,10)+9)), R236)</f>
        <v/>
      </c>
      <c r="U236" s="87" t="inlineStr">
        <is>
          <t>Основний</t>
        </is>
      </c>
      <c r="V236" s="88" t="n"/>
      <c r="W236" s="88" t="n"/>
      <c r="X236" s="89">
        <f>IFERROR(IF(OR(V236="",W236="",T236=""),"", IF(T236&gt;W236,"Дорогий",IF(T236&lt;V236,"Дешевий","У ринку"))),"")</f>
        <v/>
      </c>
      <c r="Y236" s="90" t="n"/>
      <c r="Z236" s="104">
        <f>CHOOSE(MATCH(IF($U236="","Основний",$U236),{"Трафіковий","Основний","Маржинальний","Сезонний","Стратегічний"},0),0.16,0.19,0.24,0.23,0.28)</f>
        <v/>
      </c>
      <c r="AA236" s="104">
        <f>CHOOSE(MATCH(IF($U236="","Основний",$U236),{"Трафіковий","Основний","Маржинальний","Сезонний","Стратегічний"},0),0.18,0.21,0.26,0.25,0.3)</f>
        <v/>
      </c>
      <c r="AB236" s="104">
        <f>CHOOSE(MATCH(IF($U236="","Основний",$U236),{"Трафіковий","Основний","Маржинальний","Сезонний","Стратегічний"},0),0.19,0.22,0.28,0.26,0.32)</f>
        <v/>
      </c>
      <c r="AC236" s="104">
        <f>CHOOSE(MATCH(IF($U236="","Основний",$U236),{"Трафіковий","Основний","Маржинальний","Сезонний","Стратегічний"},0),0.17,0.2,0.25,0.24,0.28)</f>
        <v/>
      </c>
      <c r="AD236" s="104">
        <f>CHOOSE(MATCH(IF($U236="","Основний",$U236),{"Трафіковий","Основний","Маржинальний","Сезонний","Стратегічний"},0),0.18,0.21,0.26,0.25,0.3)</f>
        <v/>
      </c>
      <c r="AE236" s="104">
        <f>CHOOSE(MATCH(IF($U236="","Основний",$U236),{"Трафіковий","Основний","Маржинальний","Сезонний","Стратегічний"},0),0.18,0.2,0.28,0.27,0.32)</f>
        <v/>
      </c>
      <c r="AF236" s="104">
        <f>CHOOSE(MATCH(IF($U236="","Основний",$U236),{"Трафіковий","Основний","Маржинальний","Сезонний","Стратегічний"},0),0.15,0.175,0.22,0.21,0.25)</f>
        <v/>
      </c>
      <c r="AG236" s="104">
        <f>CHOOSE(MATCH(IF($U236="","Основний",$U236),{"Трафіковий","Основний","Маржинальний","Сезонний","Стратегічний"},0),0.13,0.16,0.21,0.2,0.25)</f>
        <v/>
      </c>
      <c r="AH236" s="104">
        <f>CHOOSE(MATCH(IF($U236="","Основний",$U236),{"Трафіковий","Основний","Маржинальний","Сезонний","Стратегічний"},0),0.15,0.18,0.23,0.22,0.27)</f>
        <v/>
      </c>
      <c r="AI236" s="104">
        <f>CHOOSE(MATCH(IF($U236="","Основний",$U236),{"Трафіковий","Основний","Маржинальний","Сезонний","Стратегічний"},0),0.16,0.19,0.25,0.23,0.29)</f>
        <v/>
      </c>
      <c r="AJ236" s="104">
        <f>CHOOSE(MATCH(IF($U236="","Основний",$U236),{"Трафіковий","Основний","Маржинальний","Сезонний","Стратегічний"},0),0.14,0.17,0.22,0.21,0.25)</f>
        <v/>
      </c>
      <c r="AK236" s="104">
        <f>CHOOSE(MATCH(IF($U236="","Основний",$U236),{"Трафіковий","Основний","Маржинальний","Сезонний","Стратегічний"},0),0.15,0.18,0.23,0.22,0.27)</f>
        <v/>
      </c>
      <c r="AL236" s="104">
        <f>CHOOSE(MATCH(IF($U236="","Основний",$U236),{"Трафіковий","Основний","Маржинальний","Сезонний","Стратегічний"},0),0.15,0.17,0.25,0.24,0.29)</f>
        <v/>
      </c>
      <c r="AM236" s="104">
        <f>CHOOSE(MATCH(IF($U236="","Основний",$U236),{"Трафіковий","Основний","Маржинальний","Сезонний","Стратегічний"},0),0.12,0.145,0.19,0.18,0.22)</f>
        <v/>
      </c>
      <c r="AN236" s="157">
        <f>CHOOSE(MATCH(IF($U236="","Основний",$U236),{"Трафіковий","Основний","Маржинальний","Сезонний","Стратегічний"},0),Settings!$B$78,Settings!$B$80,Settings!$B$82,Settings!$B$84,Settings!$B$86)</f>
        <v/>
      </c>
      <c r="AO236" s="157">
        <f>CHOOSE(MATCH(IF($U236="","Основний",$U236),{"Трафіковий","Основний","Маржинальний","Сезонний","Стратегічний"},0),Settings!$C$78,Settings!$C$80,Settings!$C$82,Settings!$C$84,Settings!$C$86)</f>
        <v/>
      </c>
      <c r="AP236" s="157">
        <f>CHOOSE(MATCH(IF($U236="","Основний",$U236),{"Трафіковий","Основний","Маржинальний","Сезонний","Стратегічний"},0),Settings!$D$78,Settings!$D$80,Settings!$D$82,Settings!$D$84,Settings!$D$86)</f>
        <v/>
      </c>
      <c r="AQ236" s="157">
        <f>CHOOSE(MATCH(IF($U236="","Основний",$U236),{"Трафіковий","Основний","Маржинальний","Сезонний","Стратегічний"},0),Settings!$F$78,Settings!$F$80,Settings!$F$82,Settings!$F$84,Settings!$F$86)</f>
        <v/>
      </c>
      <c r="AR236" s="157">
        <f>CHOOSE(MATCH(IF($U236="","Основний",$U236),{"Трафіковий","Основний","Маржинальний","Сезонний","Стратегічний"},0),Settings!$G$78,Settings!$G$80,Settings!$G$82,Settings!$G$84,Settings!$G$86)</f>
        <v/>
      </c>
      <c r="AS236" s="157">
        <f>CHOOSE(MATCH(IF($U236="","Основний",$U236),{"Трафіковий","Основний","Маржинальний","Сезонний","Стратегічний"},0),Settings!$H$78,Settings!$H$80,Settings!$H$82,Settings!$H$84,Settings!$H$86)</f>
        <v/>
      </c>
      <c r="AT236" s="157">
        <f>CHOOSE(MATCH(IF($U236="","Основний",$U236),{"Трафіковий","Основний","Маржинальний","Сезонний","Стратегічний"},0),Settings!$I$78,Settings!$I$80,Settings!$I$82,Settings!$I$84,Settings!$I$86)</f>
        <v/>
      </c>
      <c r="AU236" s="171" t="n"/>
      <c r="AV236" t="n">
        <v>1.35</v>
      </c>
    </row>
    <row r="237">
      <c r="A237" s="33" t="n"/>
      <c r="B237" s="34" t="inlineStr">
        <is>
          <t>B9655</t>
        </is>
      </c>
      <c r="C237" s="34" t="inlineStr">
        <is>
          <t>ACCU.SLA 12V 18AH L1</t>
        </is>
      </c>
      <c r="D237" s="34" t="inlineStr">
        <is>
          <t>Свинцеві акумулятори SLA</t>
        </is>
      </c>
      <c r="E237" s="33" t="inlineStr">
        <is>
          <t>PC</t>
        </is>
      </c>
      <c r="F237" s="94" t="n">
        <v>19.233</v>
      </c>
      <c r="G237" s="35" t="n">
        <v>8507202090</v>
      </c>
      <c r="H237" s="31" t="n">
        <v>1.38</v>
      </c>
      <c r="I237" s="84">
        <f>IFERROR(F237*Settings!$B$2*H237*IF(AND(ISNUMBER(E237),E237&gt;1),E237,1),"")</f>
        <v/>
      </c>
      <c r="J237" s="32">
        <f>Settings!$B$66</f>
        <v/>
      </c>
      <c r="K237" s="95">
        <f>IFERROR(IF(T237="","",(T237*(1-AN237)*(1-Settings!$B$17)-I237)/(T237*(1-AN237)*(1-Settings!$B$17))),"")</f>
        <v/>
      </c>
      <c r="L237" s="101">
        <f>IFERROR(IF(T237="","",(T237*(1-AO237)*(1-Settings!$C$17)-I237)/(T237*(1-AO237)*(1-Settings!$C$17))),"")</f>
        <v/>
      </c>
      <c r="M237" s="101">
        <f>IFERROR(IF(T237="","",(T237*(1-AP237)*(1-Settings!$D$17)-I237)/(T237*(1-AP237)*(1-Settings!$D$17))),"")</f>
        <v/>
      </c>
      <c r="N237" s="101">
        <f>IFERROR(IF(T237="","",(T237*(1-AQ237)*(1-Settings!$F$17)-I237)/(T237*(1-AQ237)*(1-Settings!$F$17))),"")</f>
        <v/>
      </c>
      <c r="O237" s="101">
        <f>IFERROR(IF(T237="","",(T237*(1-AR237)*(1-Settings!$G$17)-I237)/(T237*(1-AR237)*(1-Settings!$G$17))),"")</f>
        <v/>
      </c>
      <c r="P237" s="101">
        <f>IFERROR(IF(T237="","",(T237*(1-AS237)*(1-Settings!$H$17)-I237)/(T237*(1-AS237)*(1-Settings!$H$17))),"")</f>
        <v/>
      </c>
      <c r="Q237" s="101">
        <f>IFERROR(IF(T237="","",(T237*(1-AT237)*(1-Settings!$I$68)*(1-Settings!$I$17)-I237)/(T237*(1-AT237)*(1-Settings!$I$68)*(1-Settings!$I$17))),"")</f>
        <v/>
      </c>
      <c r="R237" s="91">
        <f>IFERROR(IF(OR(I237="",Z237&gt;=1,Settings!$B$17&gt;=1,AN237&gt;=1),"",IF(MOD(ROUND(I237/(1-Z237)/(1-Settings!$B$17)/(1-AN237),0),10)=0,ROUND(I237/(1-Z237)/(1-Settings!$B$17)/(1-AN237),0)-1,IF(MOD(ROUND(I237/(1-Z237)/(1-Settings!$B$17)/(1-AN237),0),10)&lt;=5,FLOOR(ROUND(I237/(1-Z237)/(1-Settings!$B$17)/(1-AN237),0),10)+6,FLOOR(ROUND(I237/(1-Z237)/(1-Settings!$B$17)/(1-AN237),0),10)+9))),"")</f>
        <v/>
      </c>
      <c r="S237" s="174">
        <f>R237*0.95</f>
        <v/>
      </c>
      <c r="T237" s="91">
        <f>IF(S237&lt;&gt;"", IF(MOD(S237,10)=0,S237-1,IF(MOD(S237,10)&lt;=5,FLOOR(S237,10)+6,FLOOR(S237,10)+9)), R237)</f>
        <v/>
      </c>
      <c r="U237" s="87" t="inlineStr">
        <is>
          <t>Основний</t>
        </is>
      </c>
      <c r="V237" s="88" t="n"/>
      <c r="W237" s="88" t="n"/>
      <c r="X237" s="89">
        <f>IFERROR(IF(OR(V237="",W237="",T237=""),"", IF(T237&gt;W237,"Дорогий",IF(T237&lt;V237,"Дешевий","У ринку"))),"")</f>
        <v/>
      </c>
      <c r="Y237" s="90" t="n"/>
      <c r="Z237" s="104">
        <f>CHOOSE(MATCH(IF($U237="","Основний",$U237),{"Трафіковий","Основний","Маржинальний","Сезонний","Стратегічний"},0),0.16,0.19,0.24,0.23,0.28)</f>
        <v/>
      </c>
      <c r="AA237" s="104">
        <f>CHOOSE(MATCH(IF($U237="","Основний",$U237),{"Трафіковий","Основний","Маржинальний","Сезонний","Стратегічний"},0),0.18,0.21,0.26,0.25,0.3)</f>
        <v/>
      </c>
      <c r="AB237" s="104">
        <f>CHOOSE(MATCH(IF($U237="","Основний",$U237),{"Трафіковий","Основний","Маржинальний","Сезонний","Стратегічний"},0),0.19,0.22,0.28,0.26,0.32)</f>
        <v/>
      </c>
      <c r="AC237" s="104">
        <f>CHOOSE(MATCH(IF($U237="","Основний",$U237),{"Трафіковий","Основний","Маржинальний","Сезонний","Стратегічний"},0),0.17,0.2,0.25,0.24,0.28)</f>
        <v/>
      </c>
      <c r="AD237" s="104">
        <f>CHOOSE(MATCH(IF($U237="","Основний",$U237),{"Трафіковий","Основний","Маржинальний","Сезонний","Стратегічний"},0),0.18,0.21,0.26,0.25,0.3)</f>
        <v/>
      </c>
      <c r="AE237" s="104">
        <f>CHOOSE(MATCH(IF($U237="","Основний",$U237),{"Трафіковий","Основний","Маржинальний","Сезонний","Стратегічний"},0),0.18,0.2,0.28,0.27,0.32)</f>
        <v/>
      </c>
      <c r="AF237" s="104">
        <f>CHOOSE(MATCH(IF($U237="","Основний",$U237),{"Трафіковий","Основний","Маржинальний","Сезонний","Стратегічний"},0),0.15,0.175,0.22,0.21,0.25)</f>
        <v/>
      </c>
      <c r="AG237" s="104">
        <f>CHOOSE(MATCH(IF($U237="","Основний",$U237),{"Трафіковий","Основний","Маржинальний","Сезонний","Стратегічний"},0),0.13,0.16,0.21,0.2,0.25)</f>
        <v/>
      </c>
      <c r="AH237" s="104">
        <f>CHOOSE(MATCH(IF($U237="","Основний",$U237),{"Трафіковий","Основний","Маржинальний","Сезонний","Стратегічний"},0),0.15,0.18,0.23,0.22,0.27)</f>
        <v/>
      </c>
      <c r="AI237" s="104">
        <f>CHOOSE(MATCH(IF($U237="","Основний",$U237),{"Трафіковий","Основний","Маржинальний","Сезонний","Стратегічний"},0),0.16,0.19,0.25,0.23,0.29)</f>
        <v/>
      </c>
      <c r="AJ237" s="104">
        <f>CHOOSE(MATCH(IF($U237="","Основний",$U237),{"Трафіковий","Основний","Маржинальний","Сезонний","Стратегічний"},0),0.14,0.17,0.22,0.21,0.25)</f>
        <v/>
      </c>
      <c r="AK237" s="104">
        <f>CHOOSE(MATCH(IF($U237="","Основний",$U237),{"Трафіковий","Основний","Маржинальний","Сезонний","Стратегічний"},0),0.15,0.18,0.23,0.22,0.27)</f>
        <v/>
      </c>
      <c r="AL237" s="104">
        <f>CHOOSE(MATCH(IF($U237="","Основний",$U237),{"Трафіковий","Основний","Маржинальний","Сезонний","Стратегічний"},0),0.15,0.17,0.25,0.24,0.29)</f>
        <v/>
      </c>
      <c r="AM237" s="104">
        <f>CHOOSE(MATCH(IF($U237="","Основний",$U237),{"Трафіковий","Основний","Маржинальний","Сезонний","Стратегічний"},0),0.12,0.145,0.19,0.18,0.22)</f>
        <v/>
      </c>
      <c r="AN237" s="157">
        <f>CHOOSE(MATCH(IF($U237="","Основний",$U237),{"Трафіковий","Основний","Маржинальний","Сезонний","Стратегічний"},0),Settings!$B$78,Settings!$B$80,Settings!$B$82,Settings!$B$84,Settings!$B$86)</f>
        <v/>
      </c>
      <c r="AO237" s="157">
        <f>CHOOSE(MATCH(IF($U237="","Основний",$U237),{"Трафіковий","Основний","Маржинальний","Сезонний","Стратегічний"},0),Settings!$C$78,Settings!$C$80,Settings!$C$82,Settings!$C$84,Settings!$C$86)</f>
        <v/>
      </c>
      <c r="AP237" s="157">
        <f>CHOOSE(MATCH(IF($U237="","Основний",$U237),{"Трафіковий","Основний","Маржинальний","Сезонний","Стратегічний"},0),Settings!$D$78,Settings!$D$80,Settings!$D$82,Settings!$D$84,Settings!$D$86)</f>
        <v/>
      </c>
      <c r="AQ237" s="157">
        <f>CHOOSE(MATCH(IF($U237="","Основний",$U237),{"Трафіковий","Основний","Маржинальний","Сезонний","Стратегічний"},0),Settings!$F$78,Settings!$F$80,Settings!$F$82,Settings!$F$84,Settings!$F$86)</f>
        <v/>
      </c>
      <c r="AR237" s="157">
        <f>CHOOSE(MATCH(IF($U237="","Основний",$U237),{"Трафіковий","Основний","Маржинальний","Сезонний","Стратегічний"},0),Settings!$G$78,Settings!$G$80,Settings!$G$82,Settings!$G$84,Settings!$G$86)</f>
        <v/>
      </c>
      <c r="AS237" s="157">
        <f>CHOOSE(MATCH(IF($U237="","Основний",$U237),{"Трафіковий","Основний","Маржинальний","Сезонний","Стратегічний"},0),Settings!$H$78,Settings!$H$80,Settings!$H$82,Settings!$H$84,Settings!$H$86)</f>
        <v/>
      </c>
      <c r="AT237" s="157">
        <f>CHOOSE(MATCH(IF($U237="","Основний",$U237),{"Трафіковий","Основний","Маржинальний","Сезонний","Стратегічний"},0),Settings!$I$78,Settings!$I$80,Settings!$I$82,Settings!$I$84,Settings!$I$86)</f>
        <v/>
      </c>
      <c r="AU237" s="171" t="n"/>
      <c r="AV237" t="n">
        <v>1.35</v>
      </c>
    </row>
    <row r="238">
      <c r="A238" s="28" t="n"/>
      <c r="B238" s="29" t="inlineStr">
        <is>
          <t>B9683</t>
        </is>
      </c>
      <c r="C238" s="29" t="inlineStr">
        <is>
          <t>ACCUMULATOR SLA 12V 26AH L2</t>
        </is>
      </c>
      <c r="D238" s="29" t="inlineStr">
        <is>
          <t>Свинцеві акумулятори SLA</t>
        </is>
      </c>
      <c r="E238" s="28" t="inlineStr">
        <is>
          <t>PC</t>
        </is>
      </c>
      <c r="F238" s="93" t="n">
        <v>34.253</v>
      </c>
      <c r="G238" s="30" t="n">
        <v>8507202090</v>
      </c>
      <c r="H238" s="31" t="n">
        <v>1.38</v>
      </c>
      <c r="I238" s="84">
        <f>IFERROR(F238*Settings!$B$2*H238*IF(AND(ISNUMBER(E238),E238&gt;1),E238,1),"")</f>
        <v/>
      </c>
      <c r="J238" s="32">
        <f>Settings!$B$66</f>
        <v/>
      </c>
      <c r="K238" s="95">
        <f>IFERROR(IF(T238="","",(T238*(1-AN238)*(1-Settings!$B$17)-I238)/(T238*(1-AN238)*(1-Settings!$B$17))),"")</f>
        <v/>
      </c>
      <c r="L238" s="101">
        <f>IFERROR(IF(T238="","",(T238*(1-AO238)*(1-Settings!$C$17)-I238)/(T238*(1-AO238)*(1-Settings!$C$17))),"")</f>
        <v/>
      </c>
      <c r="M238" s="101">
        <f>IFERROR(IF(T238="","",(T238*(1-AP238)*(1-Settings!$D$17)-I238)/(T238*(1-AP238)*(1-Settings!$D$17))),"")</f>
        <v/>
      </c>
      <c r="N238" s="101">
        <f>IFERROR(IF(T238="","",(T238*(1-AQ238)*(1-Settings!$F$17)-I238)/(T238*(1-AQ238)*(1-Settings!$F$17))),"")</f>
        <v/>
      </c>
      <c r="O238" s="101">
        <f>IFERROR(IF(T238="","",(T238*(1-AR238)*(1-Settings!$G$17)-I238)/(T238*(1-AR238)*(1-Settings!$G$17))),"")</f>
        <v/>
      </c>
      <c r="P238" s="101">
        <f>IFERROR(IF(T238="","",(T238*(1-AS238)*(1-Settings!$H$17)-I238)/(T238*(1-AS238)*(1-Settings!$H$17))),"")</f>
        <v/>
      </c>
      <c r="Q238" s="101">
        <f>IFERROR(IF(T238="","",(T238*(1-AT238)*(1-Settings!$I$68)*(1-Settings!$I$17)-I238)/(T238*(1-AT238)*(1-Settings!$I$68)*(1-Settings!$I$17))),"")</f>
        <v/>
      </c>
      <c r="R238" s="91">
        <f>IFERROR(IF(OR(I238="",Z238&gt;=1,Settings!$B$17&gt;=1,AN238&gt;=1),"",IF(MOD(ROUND(I238/(1-Z238)/(1-Settings!$B$17)/(1-AN238),0),10)=0,ROUND(I238/(1-Z238)/(1-Settings!$B$17)/(1-AN238),0)-1,IF(MOD(ROUND(I238/(1-Z238)/(1-Settings!$B$17)/(1-AN238),0),10)&lt;=5,FLOOR(ROUND(I238/(1-Z238)/(1-Settings!$B$17)/(1-AN238),0),10)+6,FLOOR(ROUND(I238/(1-Z238)/(1-Settings!$B$17)/(1-AN238),0),10)+9))),"")</f>
        <v/>
      </c>
      <c r="S238" s="174">
        <f>R238*0.95</f>
        <v/>
      </c>
      <c r="T238" s="91">
        <f>IF(S238&lt;&gt;"", IF(MOD(S238,10)=0,S238-1,IF(MOD(S238,10)&lt;=5,FLOOR(S238,10)+6,FLOOR(S238,10)+9)), R238)</f>
        <v/>
      </c>
      <c r="U238" s="87" t="inlineStr">
        <is>
          <t>Основний</t>
        </is>
      </c>
      <c r="V238" s="88" t="n"/>
      <c r="W238" s="88" t="n"/>
      <c r="X238" s="89">
        <f>IFERROR(IF(OR(V238="",W238="",T238=""),"", IF(T238&gt;W238,"Дорогий",IF(T238&lt;V238,"Дешевий","У ринку"))),"")</f>
        <v/>
      </c>
      <c r="Y238" s="90" t="n"/>
      <c r="Z238" s="104">
        <f>CHOOSE(MATCH(IF($U238="","Основний",$U238),{"Трафіковий","Основний","Маржинальний","Сезонний","Стратегічний"},0),0.16,0.19,0.24,0.23,0.28)</f>
        <v/>
      </c>
      <c r="AA238" s="104">
        <f>CHOOSE(MATCH(IF($U238="","Основний",$U238),{"Трафіковий","Основний","Маржинальний","Сезонний","Стратегічний"},0),0.18,0.21,0.26,0.25,0.3)</f>
        <v/>
      </c>
      <c r="AB238" s="104">
        <f>CHOOSE(MATCH(IF($U238="","Основний",$U238),{"Трафіковий","Основний","Маржинальний","Сезонний","Стратегічний"},0),0.19,0.22,0.28,0.26,0.32)</f>
        <v/>
      </c>
      <c r="AC238" s="104">
        <f>CHOOSE(MATCH(IF($U238="","Основний",$U238),{"Трафіковий","Основний","Маржинальний","Сезонний","Стратегічний"},0),0.17,0.2,0.25,0.24,0.28)</f>
        <v/>
      </c>
      <c r="AD238" s="104">
        <f>CHOOSE(MATCH(IF($U238="","Основний",$U238),{"Трафіковий","Основний","Маржинальний","Сезонний","Стратегічний"},0),0.18,0.21,0.26,0.25,0.3)</f>
        <v/>
      </c>
      <c r="AE238" s="104">
        <f>CHOOSE(MATCH(IF($U238="","Основний",$U238),{"Трафіковий","Основний","Маржинальний","Сезонний","Стратегічний"},0),0.18,0.2,0.28,0.27,0.32)</f>
        <v/>
      </c>
      <c r="AF238" s="104">
        <f>CHOOSE(MATCH(IF($U238="","Основний",$U238),{"Трафіковий","Основний","Маржинальний","Сезонний","Стратегічний"},0),0.15,0.175,0.22,0.21,0.25)</f>
        <v/>
      </c>
      <c r="AG238" s="104">
        <f>CHOOSE(MATCH(IF($U238="","Основний",$U238),{"Трафіковий","Основний","Маржинальний","Сезонний","Стратегічний"},0),0.13,0.16,0.21,0.2,0.25)</f>
        <v/>
      </c>
      <c r="AH238" s="104">
        <f>CHOOSE(MATCH(IF($U238="","Основний",$U238),{"Трафіковий","Основний","Маржинальний","Сезонний","Стратегічний"},0),0.15,0.18,0.23,0.22,0.27)</f>
        <v/>
      </c>
      <c r="AI238" s="104">
        <f>CHOOSE(MATCH(IF($U238="","Основний",$U238),{"Трафіковий","Основний","Маржинальний","Сезонний","Стратегічний"},0),0.16,0.19,0.25,0.23,0.29)</f>
        <v/>
      </c>
      <c r="AJ238" s="104">
        <f>CHOOSE(MATCH(IF($U238="","Основний",$U238),{"Трафіковий","Основний","Маржинальний","Сезонний","Стратегічний"},0),0.14,0.17,0.22,0.21,0.25)</f>
        <v/>
      </c>
      <c r="AK238" s="104">
        <f>CHOOSE(MATCH(IF($U238="","Основний",$U238),{"Трафіковий","Основний","Маржинальний","Сезонний","Стратегічний"},0),0.15,0.18,0.23,0.22,0.27)</f>
        <v/>
      </c>
      <c r="AL238" s="104">
        <f>CHOOSE(MATCH(IF($U238="","Основний",$U238),{"Трафіковий","Основний","Маржинальний","Сезонний","Стратегічний"},0),0.15,0.17,0.25,0.24,0.29)</f>
        <v/>
      </c>
      <c r="AM238" s="104">
        <f>CHOOSE(MATCH(IF($U238="","Основний",$U238),{"Трафіковий","Основний","Маржинальний","Сезонний","Стратегічний"},0),0.12,0.145,0.19,0.18,0.22)</f>
        <v/>
      </c>
      <c r="AN238" s="157">
        <f>CHOOSE(MATCH(IF($U238="","Основний",$U238),{"Трафіковий","Основний","Маржинальний","Сезонний","Стратегічний"},0),Settings!$B$78,Settings!$B$80,Settings!$B$82,Settings!$B$84,Settings!$B$86)</f>
        <v/>
      </c>
      <c r="AO238" s="157">
        <f>CHOOSE(MATCH(IF($U238="","Основний",$U238),{"Трафіковий","Основний","Маржинальний","Сезонний","Стратегічний"},0),Settings!$C$78,Settings!$C$80,Settings!$C$82,Settings!$C$84,Settings!$C$86)</f>
        <v/>
      </c>
      <c r="AP238" s="157">
        <f>CHOOSE(MATCH(IF($U238="","Основний",$U238),{"Трафіковий","Основний","Маржинальний","Сезонний","Стратегічний"},0),Settings!$D$78,Settings!$D$80,Settings!$D$82,Settings!$D$84,Settings!$D$86)</f>
        <v/>
      </c>
      <c r="AQ238" s="157">
        <f>CHOOSE(MATCH(IF($U238="","Основний",$U238),{"Трафіковий","Основний","Маржинальний","Сезонний","Стратегічний"},0),Settings!$F$78,Settings!$F$80,Settings!$F$82,Settings!$F$84,Settings!$F$86)</f>
        <v/>
      </c>
      <c r="AR238" s="157">
        <f>CHOOSE(MATCH(IF($U238="","Основний",$U238),{"Трафіковий","Основний","Маржинальний","Сезонний","Стратегічний"},0),Settings!$G$78,Settings!$G$80,Settings!$G$82,Settings!$G$84,Settings!$G$86)</f>
        <v/>
      </c>
      <c r="AS238" s="157">
        <f>CHOOSE(MATCH(IF($U238="","Основний",$U238),{"Трафіковий","Основний","Маржинальний","Сезонний","Стратегічний"},0),Settings!$H$78,Settings!$H$80,Settings!$H$82,Settings!$H$84,Settings!$H$86)</f>
        <v/>
      </c>
      <c r="AT238" s="157">
        <f>CHOOSE(MATCH(IF($U238="","Основний",$U238),{"Трафіковий","Основний","Маржинальний","Сезонний","Стратегічний"},0),Settings!$I$78,Settings!$I$80,Settings!$I$82,Settings!$I$84,Settings!$I$86)</f>
        <v/>
      </c>
      <c r="AU238" s="171" t="n"/>
      <c r="AV238" t="n">
        <v>1.3</v>
      </c>
    </row>
    <row r="239">
      <c r="A239" s="33" t="n"/>
      <c r="B239" s="34" t="inlineStr">
        <is>
          <t>B9684</t>
        </is>
      </c>
      <c r="C239" s="34" t="inlineStr">
        <is>
          <t>ACCUMULATOR SLA 12V 40AH M6</t>
        </is>
      </c>
      <c r="D239" s="34" t="inlineStr">
        <is>
          <t>Свинцеві акумулятори SLA</t>
        </is>
      </c>
      <c r="E239" s="33" t="inlineStr">
        <is>
          <t>PC</t>
        </is>
      </c>
      <c r="F239" s="94" t="n">
        <v>56.302</v>
      </c>
      <c r="G239" s="35" t="n">
        <v>8507202090</v>
      </c>
      <c r="H239" s="31" t="n">
        <v>1.38</v>
      </c>
      <c r="I239" s="84">
        <f>IFERROR(F239*Settings!$B$2*H239*IF(AND(ISNUMBER(E239),E239&gt;1),E239,1),"")</f>
        <v/>
      </c>
      <c r="J239" s="32">
        <f>Settings!$B$66</f>
        <v/>
      </c>
      <c r="K239" s="95">
        <f>IFERROR(IF(T239="","",(T239*(1-AN239)*(1-Settings!$B$17)-I239)/(T239*(1-AN239)*(1-Settings!$B$17))),"")</f>
        <v/>
      </c>
      <c r="L239" s="101">
        <f>IFERROR(IF(T239="","",(T239*(1-AO239)*(1-Settings!$C$17)-I239)/(T239*(1-AO239)*(1-Settings!$C$17))),"")</f>
        <v/>
      </c>
      <c r="M239" s="101">
        <f>IFERROR(IF(T239="","",(T239*(1-AP239)*(1-Settings!$D$17)-I239)/(T239*(1-AP239)*(1-Settings!$D$17))),"")</f>
        <v/>
      </c>
      <c r="N239" s="101">
        <f>IFERROR(IF(T239="","",(T239*(1-AQ239)*(1-Settings!$F$17)-I239)/(T239*(1-AQ239)*(1-Settings!$F$17))),"")</f>
        <v/>
      </c>
      <c r="O239" s="101">
        <f>IFERROR(IF(T239="","",(T239*(1-AR239)*(1-Settings!$G$17)-I239)/(T239*(1-AR239)*(1-Settings!$G$17))),"")</f>
        <v/>
      </c>
      <c r="P239" s="101">
        <f>IFERROR(IF(T239="","",(T239*(1-AS239)*(1-Settings!$H$17)-I239)/(T239*(1-AS239)*(1-Settings!$H$17))),"")</f>
        <v/>
      </c>
      <c r="Q239" s="101">
        <f>IFERROR(IF(T239="","",(T239*(1-AT239)*(1-Settings!$I$68)*(1-Settings!$I$17)-I239)/(T239*(1-AT239)*(1-Settings!$I$68)*(1-Settings!$I$17))),"")</f>
        <v/>
      </c>
      <c r="R239" s="91">
        <f>IFERROR(IF(OR(I239="",Z239&gt;=1,Settings!$B$17&gt;=1,AN239&gt;=1),"",IF(MOD(ROUND(I239/(1-Z239)/(1-Settings!$B$17)/(1-AN239),0),10)=0,ROUND(I239/(1-Z239)/(1-Settings!$B$17)/(1-AN239),0)-1,IF(MOD(ROUND(I239/(1-Z239)/(1-Settings!$B$17)/(1-AN239),0),10)&lt;=5,FLOOR(ROUND(I239/(1-Z239)/(1-Settings!$B$17)/(1-AN239),0),10)+6,FLOOR(ROUND(I239/(1-Z239)/(1-Settings!$B$17)/(1-AN239),0),10)+9))),"")</f>
        <v/>
      </c>
      <c r="S239" s="174">
        <f>R239*0.95</f>
        <v/>
      </c>
      <c r="T239" s="91">
        <f>IF(S239&lt;&gt;"", IF(MOD(S239,10)=0,S239-1,IF(MOD(S239,10)&lt;=5,FLOOR(S239,10)+6,FLOOR(S239,10)+9)), R239)</f>
        <v/>
      </c>
      <c r="U239" s="87" t="inlineStr">
        <is>
          <t>Основний</t>
        </is>
      </c>
      <c r="V239" s="88" t="n"/>
      <c r="W239" s="88" t="n"/>
      <c r="X239" s="89">
        <f>IFERROR(IF(OR(V239="",W239="",T239=""),"", IF(T239&gt;W239,"Дорогий",IF(T239&lt;V239,"Дешевий","У ринку"))),"")</f>
        <v/>
      </c>
      <c r="Y239" s="90" t="n"/>
      <c r="Z239" s="104">
        <f>CHOOSE(MATCH(IF($U239="","Основний",$U239),{"Трафіковий","Основний","Маржинальний","Сезонний","Стратегічний"},0),0.16,0.19,0.24,0.23,0.28)</f>
        <v/>
      </c>
      <c r="AA239" s="104">
        <f>CHOOSE(MATCH(IF($U239="","Основний",$U239),{"Трафіковий","Основний","Маржинальний","Сезонний","Стратегічний"},0),0.18,0.21,0.26,0.25,0.3)</f>
        <v/>
      </c>
      <c r="AB239" s="104">
        <f>CHOOSE(MATCH(IF($U239="","Основний",$U239),{"Трафіковий","Основний","Маржинальний","Сезонний","Стратегічний"},0),0.19,0.22,0.28,0.26,0.32)</f>
        <v/>
      </c>
      <c r="AC239" s="104">
        <f>CHOOSE(MATCH(IF($U239="","Основний",$U239),{"Трафіковий","Основний","Маржинальний","Сезонний","Стратегічний"},0),0.17,0.2,0.25,0.24,0.28)</f>
        <v/>
      </c>
      <c r="AD239" s="104">
        <f>CHOOSE(MATCH(IF($U239="","Основний",$U239),{"Трафіковий","Основний","Маржинальний","Сезонний","Стратегічний"},0),0.18,0.21,0.26,0.25,0.3)</f>
        <v/>
      </c>
      <c r="AE239" s="104">
        <f>CHOOSE(MATCH(IF($U239="","Основний",$U239),{"Трафіковий","Основний","Маржинальний","Сезонний","Стратегічний"},0),0.18,0.2,0.28,0.27,0.32)</f>
        <v/>
      </c>
      <c r="AF239" s="104">
        <f>CHOOSE(MATCH(IF($U239="","Основний",$U239),{"Трафіковий","Основний","Маржинальний","Сезонний","Стратегічний"},0),0.15,0.175,0.22,0.21,0.25)</f>
        <v/>
      </c>
      <c r="AG239" s="104">
        <f>CHOOSE(MATCH(IF($U239="","Основний",$U239),{"Трафіковий","Основний","Маржинальний","Сезонний","Стратегічний"},0),0.13,0.16,0.21,0.2,0.25)</f>
        <v/>
      </c>
      <c r="AH239" s="104">
        <f>CHOOSE(MATCH(IF($U239="","Основний",$U239),{"Трафіковий","Основний","Маржинальний","Сезонний","Стратегічний"},0),0.15,0.18,0.23,0.22,0.27)</f>
        <v/>
      </c>
      <c r="AI239" s="104">
        <f>CHOOSE(MATCH(IF($U239="","Основний",$U239),{"Трафіковий","Основний","Маржинальний","Сезонний","Стратегічний"},0),0.16,0.19,0.25,0.23,0.29)</f>
        <v/>
      </c>
      <c r="AJ239" s="104">
        <f>CHOOSE(MATCH(IF($U239="","Основний",$U239),{"Трафіковий","Основний","Маржинальний","Сезонний","Стратегічний"},0),0.14,0.17,0.22,0.21,0.25)</f>
        <v/>
      </c>
      <c r="AK239" s="104">
        <f>CHOOSE(MATCH(IF($U239="","Основний",$U239),{"Трафіковий","Основний","Маржинальний","Сезонний","Стратегічний"},0),0.15,0.18,0.23,0.22,0.27)</f>
        <v/>
      </c>
      <c r="AL239" s="104">
        <f>CHOOSE(MATCH(IF($U239="","Основний",$U239),{"Трафіковий","Основний","Маржинальний","Сезонний","Стратегічний"},0),0.15,0.17,0.25,0.24,0.29)</f>
        <v/>
      </c>
      <c r="AM239" s="104">
        <f>CHOOSE(MATCH(IF($U239="","Основний",$U239),{"Трафіковий","Основний","Маржинальний","Сезонний","Стратегічний"},0),0.12,0.145,0.19,0.18,0.22)</f>
        <v/>
      </c>
      <c r="AN239" s="157">
        <f>CHOOSE(MATCH(IF($U239="","Основний",$U239),{"Трафіковий","Основний","Маржинальний","Сезонний","Стратегічний"},0),Settings!$B$78,Settings!$B$80,Settings!$B$82,Settings!$B$84,Settings!$B$86)</f>
        <v/>
      </c>
      <c r="AO239" s="157">
        <f>CHOOSE(MATCH(IF($U239="","Основний",$U239),{"Трафіковий","Основний","Маржинальний","Сезонний","Стратегічний"},0),Settings!$C$78,Settings!$C$80,Settings!$C$82,Settings!$C$84,Settings!$C$86)</f>
        <v/>
      </c>
      <c r="AP239" s="157">
        <f>CHOOSE(MATCH(IF($U239="","Основний",$U239),{"Трафіковий","Основний","Маржинальний","Сезонний","Стратегічний"},0),Settings!$D$78,Settings!$D$80,Settings!$D$82,Settings!$D$84,Settings!$D$86)</f>
        <v/>
      </c>
      <c r="AQ239" s="157">
        <f>CHOOSE(MATCH(IF($U239="","Основний",$U239),{"Трафіковий","Основний","Маржинальний","Сезонний","Стратегічний"},0),Settings!$F$78,Settings!$F$80,Settings!$F$82,Settings!$F$84,Settings!$F$86)</f>
        <v/>
      </c>
      <c r="AR239" s="157">
        <f>CHOOSE(MATCH(IF($U239="","Основний",$U239),{"Трафіковий","Основний","Маржинальний","Сезонний","Стратегічний"},0),Settings!$G$78,Settings!$G$80,Settings!$G$82,Settings!$G$84,Settings!$G$86)</f>
        <v/>
      </c>
      <c r="AS239" s="157">
        <f>CHOOSE(MATCH(IF($U239="","Основний",$U239),{"Трафіковий","Основний","Маржинальний","Сезонний","Стратегічний"},0),Settings!$H$78,Settings!$H$80,Settings!$H$82,Settings!$H$84,Settings!$H$86)</f>
        <v/>
      </c>
      <c r="AT239" s="157">
        <f>CHOOSE(MATCH(IF($U239="","Основний",$U239),{"Трафіковий","Основний","Маржинальний","Сезонний","Стратегічний"},0),Settings!$I$78,Settings!$I$80,Settings!$I$82,Settings!$I$84,Settings!$I$86)</f>
        <v/>
      </c>
      <c r="AU239" s="171" t="n"/>
      <c r="AV239" t="n">
        <v>1.3</v>
      </c>
    </row>
    <row r="240">
      <c r="A240" s="28" t="n"/>
      <c r="B240" s="29" t="inlineStr">
        <is>
          <t>B9685</t>
        </is>
      </c>
      <c r="C240" s="29" t="inlineStr">
        <is>
          <t>ACCUMULATOR SLA 12V 65AH M8</t>
        </is>
      </c>
      <c r="D240" s="29" t="inlineStr">
        <is>
          <t>Свинцеві акумулятори SLA</t>
        </is>
      </c>
      <c r="E240" s="28" t="inlineStr">
        <is>
          <t>PC</t>
        </is>
      </c>
      <c r="F240" s="93" t="n">
        <v>79.252</v>
      </c>
      <c r="G240" s="30" t="n">
        <v>8507202090</v>
      </c>
      <c r="H240" s="31" t="n">
        <v>1.38</v>
      </c>
      <c r="I240" s="84">
        <f>IFERROR(F240*Settings!$B$2*H240*IF(AND(ISNUMBER(E240),E240&gt;1),E240,1),"")</f>
        <v/>
      </c>
      <c r="J240" s="32">
        <f>Settings!$B$66</f>
        <v/>
      </c>
      <c r="K240" s="95">
        <f>IFERROR(IF(T240="","",(T240*(1-AN240)*(1-Settings!$B$17)-I240)/(T240*(1-AN240)*(1-Settings!$B$17))),"")</f>
        <v/>
      </c>
      <c r="L240" s="101">
        <f>IFERROR(IF(T240="","",(T240*(1-AO240)*(1-Settings!$C$17)-I240)/(T240*(1-AO240)*(1-Settings!$C$17))),"")</f>
        <v/>
      </c>
      <c r="M240" s="101">
        <f>IFERROR(IF(T240="","",(T240*(1-AP240)*(1-Settings!$D$17)-I240)/(T240*(1-AP240)*(1-Settings!$D$17))),"")</f>
        <v/>
      </c>
      <c r="N240" s="101">
        <f>IFERROR(IF(T240="","",(T240*(1-AQ240)*(1-Settings!$F$17)-I240)/(T240*(1-AQ240)*(1-Settings!$F$17))),"")</f>
        <v/>
      </c>
      <c r="O240" s="101">
        <f>IFERROR(IF(T240="","",(T240*(1-AR240)*(1-Settings!$G$17)-I240)/(T240*(1-AR240)*(1-Settings!$G$17))),"")</f>
        <v/>
      </c>
      <c r="P240" s="101">
        <f>IFERROR(IF(T240="","",(T240*(1-AS240)*(1-Settings!$H$17)-I240)/(T240*(1-AS240)*(1-Settings!$H$17))),"")</f>
        <v/>
      </c>
      <c r="Q240" s="101">
        <f>IFERROR(IF(T240="","",(T240*(1-AT240)*(1-Settings!$I$68)*(1-Settings!$I$17)-I240)/(T240*(1-AT240)*(1-Settings!$I$68)*(1-Settings!$I$17))),"")</f>
        <v/>
      </c>
      <c r="R240" s="91">
        <f>IFERROR(IF(OR(I240="",Z240&gt;=1,Settings!$B$17&gt;=1,AN240&gt;=1),"",IF(MOD(ROUND(I240/(1-Z240)/(1-Settings!$B$17)/(1-AN240),0),10)=0,ROUND(I240/(1-Z240)/(1-Settings!$B$17)/(1-AN240),0)-1,IF(MOD(ROUND(I240/(1-Z240)/(1-Settings!$B$17)/(1-AN240),0),10)&lt;=5,FLOOR(ROUND(I240/(1-Z240)/(1-Settings!$B$17)/(1-AN240),0),10)+6,FLOOR(ROUND(I240/(1-Z240)/(1-Settings!$B$17)/(1-AN240),0),10)+9))),"")</f>
        <v/>
      </c>
      <c r="S240" s="174">
        <f>R240*0.95</f>
        <v/>
      </c>
      <c r="T240" s="91">
        <f>IF(S240&lt;&gt;"", IF(MOD(S240,10)=0,S240-1,IF(MOD(S240,10)&lt;=5,FLOOR(S240,10)+6,FLOOR(S240,10)+9)), R240)</f>
        <v/>
      </c>
      <c r="U240" s="87" t="inlineStr">
        <is>
          <t>Основний</t>
        </is>
      </c>
      <c r="V240" s="88" t="n"/>
      <c r="W240" s="88" t="n"/>
      <c r="X240" s="89">
        <f>IFERROR(IF(OR(V240="",W240="",T240=""),"", IF(T240&gt;W240,"Дорогий",IF(T240&lt;V240,"Дешевий","У ринку"))),"")</f>
        <v/>
      </c>
      <c r="Y240" s="90" t="n"/>
      <c r="Z240" s="104">
        <f>CHOOSE(MATCH(IF($U240="","Основний",$U240),{"Трафіковий","Основний","Маржинальний","Сезонний","Стратегічний"},0),0.16,0.19,0.24,0.23,0.28)</f>
        <v/>
      </c>
      <c r="AA240" s="104">
        <f>CHOOSE(MATCH(IF($U240="","Основний",$U240),{"Трафіковий","Основний","Маржинальний","Сезонний","Стратегічний"},0),0.18,0.21,0.26,0.25,0.3)</f>
        <v/>
      </c>
      <c r="AB240" s="104">
        <f>CHOOSE(MATCH(IF($U240="","Основний",$U240),{"Трафіковий","Основний","Маржинальний","Сезонний","Стратегічний"},0),0.19,0.22,0.28,0.26,0.32)</f>
        <v/>
      </c>
      <c r="AC240" s="104">
        <f>CHOOSE(MATCH(IF($U240="","Основний",$U240),{"Трафіковий","Основний","Маржинальний","Сезонний","Стратегічний"},0),0.17,0.2,0.25,0.24,0.28)</f>
        <v/>
      </c>
      <c r="AD240" s="104">
        <f>CHOOSE(MATCH(IF($U240="","Основний",$U240),{"Трафіковий","Основний","Маржинальний","Сезонний","Стратегічний"},0),0.18,0.21,0.26,0.25,0.3)</f>
        <v/>
      </c>
      <c r="AE240" s="104">
        <f>CHOOSE(MATCH(IF($U240="","Основний",$U240),{"Трафіковий","Основний","Маржинальний","Сезонний","Стратегічний"},0),0.18,0.2,0.28,0.27,0.32)</f>
        <v/>
      </c>
      <c r="AF240" s="104">
        <f>CHOOSE(MATCH(IF($U240="","Основний",$U240),{"Трафіковий","Основний","Маржинальний","Сезонний","Стратегічний"},0),0.15,0.175,0.22,0.21,0.25)</f>
        <v/>
      </c>
      <c r="AG240" s="104">
        <f>CHOOSE(MATCH(IF($U240="","Основний",$U240),{"Трафіковий","Основний","Маржинальний","Сезонний","Стратегічний"},0),0.13,0.16,0.21,0.2,0.25)</f>
        <v/>
      </c>
      <c r="AH240" s="104">
        <f>CHOOSE(MATCH(IF($U240="","Основний",$U240),{"Трафіковий","Основний","Маржинальний","Сезонний","Стратегічний"},0),0.15,0.18,0.23,0.22,0.27)</f>
        <v/>
      </c>
      <c r="AI240" s="104">
        <f>CHOOSE(MATCH(IF($U240="","Основний",$U240),{"Трафіковий","Основний","Маржинальний","Сезонний","Стратегічний"},0),0.16,0.19,0.25,0.23,0.29)</f>
        <v/>
      </c>
      <c r="AJ240" s="104">
        <f>CHOOSE(MATCH(IF($U240="","Основний",$U240),{"Трафіковий","Основний","Маржинальний","Сезонний","Стратегічний"},0),0.14,0.17,0.22,0.21,0.25)</f>
        <v/>
      </c>
      <c r="AK240" s="104">
        <f>CHOOSE(MATCH(IF($U240="","Основний",$U240),{"Трафіковий","Основний","Маржинальний","Сезонний","Стратегічний"},0),0.15,0.18,0.23,0.22,0.27)</f>
        <v/>
      </c>
      <c r="AL240" s="104">
        <f>CHOOSE(MATCH(IF($U240="","Основний",$U240),{"Трафіковий","Основний","Маржинальний","Сезонний","Стратегічний"},0),0.15,0.17,0.25,0.24,0.29)</f>
        <v/>
      </c>
      <c r="AM240" s="104">
        <f>CHOOSE(MATCH(IF($U240="","Основний",$U240),{"Трафіковий","Основний","Маржинальний","Сезонний","Стратегічний"},0),0.12,0.145,0.19,0.18,0.22)</f>
        <v/>
      </c>
      <c r="AN240" s="157">
        <f>CHOOSE(MATCH(IF($U240="","Основний",$U240),{"Трафіковий","Основний","Маржинальний","Сезонний","Стратегічний"},0),Settings!$B$78,Settings!$B$80,Settings!$B$82,Settings!$B$84,Settings!$B$86)</f>
        <v/>
      </c>
      <c r="AO240" s="157">
        <f>CHOOSE(MATCH(IF($U240="","Основний",$U240),{"Трафіковий","Основний","Маржинальний","Сезонний","Стратегічний"},0),Settings!$C$78,Settings!$C$80,Settings!$C$82,Settings!$C$84,Settings!$C$86)</f>
        <v/>
      </c>
      <c r="AP240" s="157">
        <f>CHOOSE(MATCH(IF($U240="","Основний",$U240),{"Трафіковий","Основний","Маржинальний","Сезонний","Стратегічний"},0),Settings!$D$78,Settings!$D$80,Settings!$D$82,Settings!$D$84,Settings!$D$86)</f>
        <v/>
      </c>
      <c r="AQ240" s="157">
        <f>CHOOSE(MATCH(IF($U240="","Основний",$U240),{"Трафіковий","Основний","Маржинальний","Сезонний","Стратегічний"},0),Settings!$F$78,Settings!$F$80,Settings!$F$82,Settings!$F$84,Settings!$F$86)</f>
        <v/>
      </c>
      <c r="AR240" s="157">
        <f>CHOOSE(MATCH(IF($U240="","Основний",$U240),{"Трафіковий","Основний","Маржинальний","Сезонний","Стратегічний"},0),Settings!$G$78,Settings!$G$80,Settings!$G$82,Settings!$G$84,Settings!$G$86)</f>
        <v/>
      </c>
      <c r="AS240" s="157">
        <f>CHOOSE(MATCH(IF($U240="","Основний",$U240),{"Трафіковий","Основний","Маржинальний","Сезонний","Стратегічний"},0),Settings!$H$78,Settings!$H$80,Settings!$H$82,Settings!$H$84,Settings!$H$86)</f>
        <v/>
      </c>
      <c r="AT240" s="157">
        <f>CHOOSE(MATCH(IF($U240="","Основний",$U240),{"Трафіковий","Основний","Маржинальний","Сезонний","Стратегічний"},0),Settings!$I$78,Settings!$I$80,Settings!$I$82,Settings!$I$84,Settings!$I$86)</f>
        <v/>
      </c>
      <c r="AU240" s="171" t="n"/>
      <c r="AV240" t="n">
        <v>1.3</v>
      </c>
    </row>
    <row r="241">
      <c r="A241" s="33" t="n"/>
      <c r="B241" s="34" t="inlineStr">
        <is>
          <t>P01301</t>
        </is>
      </c>
      <c r="C241" s="34" t="inlineStr">
        <is>
          <t>2WIRE CORD SET 1,5M 2,5A</t>
        </is>
      </c>
      <c r="D241" s="34" t="inlineStr">
        <is>
          <t>Пооджувачи та адаптери</t>
        </is>
      </c>
      <c r="E241" s="33" t="inlineStr">
        <is>
          <t>PC</t>
        </is>
      </c>
      <c r="F241" s="94" t="n">
        <v>0.959</v>
      </c>
      <c r="G241" s="35" t="n">
        <v>8544429090</v>
      </c>
      <c r="H241" s="31" t="n">
        <v>1.4</v>
      </c>
      <c r="I241" s="84">
        <f>IFERROR(F241*Settings!$B$2*H241*IF(AND(ISNUMBER(E241),E241&gt;1),E241,1),"")</f>
        <v/>
      </c>
      <c r="J241" s="32">
        <f>Settings!$B$66</f>
        <v/>
      </c>
      <c r="K241" s="95">
        <f>IFERROR(IF(T241="","",(T241*(1-AN241)*(1-Settings!$B$17)-I241)/(T241*(1-AN241)*(1-Settings!$B$17))),"")</f>
        <v/>
      </c>
      <c r="L241" s="101">
        <f>IFERROR(IF(T241="","",(T241*(1-AO241)*(1-Settings!$C$17)-I241)/(T241*(1-AO241)*(1-Settings!$C$17))),"")</f>
        <v/>
      </c>
      <c r="M241" s="101">
        <f>IFERROR(IF(T241="","",(T241*(1-AP241)*(1-Settings!$D$17)-I241)/(T241*(1-AP241)*(1-Settings!$D$17))),"")</f>
        <v/>
      </c>
      <c r="N241" s="101">
        <f>IFERROR(IF(T241="","",(T241*(1-AQ241)*(1-Settings!$F$17)-I241)/(T241*(1-AQ241)*(1-Settings!$F$17))),"")</f>
        <v/>
      </c>
      <c r="O241" s="101">
        <f>IFERROR(IF(T241="","",(T241*(1-AR241)*(1-Settings!$G$17)-I241)/(T241*(1-AR241)*(1-Settings!$G$17))),"")</f>
        <v/>
      </c>
      <c r="P241" s="101">
        <f>IFERROR(IF(T241="","",(T241*(1-AS241)*(1-Settings!$H$17)-I241)/(T241*(1-AS241)*(1-Settings!$H$17))),"")</f>
        <v/>
      </c>
      <c r="Q241" s="101">
        <f>IFERROR(IF(T241="","",(T241*(1-AT241)*(1-Settings!$I$68)*(1-Settings!$I$17)-I241)/(T241*(1-AT241)*(1-Settings!$I$68)*(1-Settings!$I$17))),"")</f>
        <v/>
      </c>
      <c r="R241" s="91">
        <f>IFERROR(IF(OR(I241="",Z241&gt;=1,Settings!$B$17&gt;=1,AN241&gt;=1),"",IF(MOD(ROUND(I241/(1-Z241)/(1-Settings!$B$17)/(1-AN241),0),10)=0,ROUND(I241/(1-Z241)/(1-Settings!$B$17)/(1-AN241),0)-1,IF(MOD(ROUND(I241/(1-Z241)/(1-Settings!$B$17)/(1-AN241),0),10)&lt;=5,FLOOR(ROUND(I241/(1-Z241)/(1-Settings!$B$17)/(1-AN241),0),10)+6,FLOOR(ROUND(I241/(1-Z241)/(1-Settings!$B$17)/(1-AN241),0),10)+9))),"")</f>
        <v/>
      </c>
      <c r="S241" s="174" t="n"/>
      <c r="T241" s="91">
        <f>IF(S241&lt;&gt;"", IF(MOD(S241,10)=0,S241-1,IF(MOD(S241,10)&lt;=5,FLOOR(S241,10)+6,FLOOR(S241,10)+9)), R241)</f>
        <v/>
      </c>
      <c r="U241" s="87" t="inlineStr">
        <is>
          <t>Основний</t>
        </is>
      </c>
      <c r="V241" s="88" t="n"/>
      <c r="W241" s="88" t="n"/>
      <c r="X241" s="89">
        <f>IFERROR(IF(OR(V241="",W241="",T241=""),"", IF(T241&gt;W241,"Дорогий",IF(T241&lt;V241,"Дешевий","У ринку"))),"")</f>
        <v/>
      </c>
      <c r="Y241" s="90" t="n"/>
      <c r="Z241" s="104">
        <f>CHOOSE(MATCH(IF($U241="","Основний",$U241),{"Трафіковий","Основний","Маржинальний","Сезонний","Стратегічний"},0),0.16,0.19,0.24,0.23,0.28)</f>
        <v/>
      </c>
      <c r="AA241" s="104">
        <f>CHOOSE(MATCH(IF($U241="","Основний",$U241),{"Трафіковий","Основний","Маржинальний","Сезонний","Стратегічний"},0),0.18,0.21,0.26,0.25,0.3)</f>
        <v/>
      </c>
      <c r="AB241" s="104">
        <f>CHOOSE(MATCH(IF($U241="","Основний",$U241),{"Трафіковий","Основний","Маржинальний","Сезонний","Стратегічний"},0),0.19,0.22,0.28,0.26,0.32)</f>
        <v/>
      </c>
      <c r="AC241" s="104">
        <f>CHOOSE(MATCH(IF($U241="","Основний",$U241),{"Трафіковий","Основний","Маржинальний","Сезонний","Стратегічний"},0),0.17,0.2,0.25,0.24,0.28)</f>
        <v/>
      </c>
      <c r="AD241" s="104">
        <f>CHOOSE(MATCH(IF($U241="","Основний",$U241),{"Трафіковий","Основний","Маржинальний","Сезонний","Стратегічний"},0),0.18,0.21,0.26,0.25,0.3)</f>
        <v/>
      </c>
      <c r="AE241" s="104">
        <f>CHOOSE(MATCH(IF($U241="","Основний",$U241),{"Трафіковий","Основний","Маржинальний","Сезонний","Стратегічний"},0),0.18,0.2,0.28,0.27,0.32)</f>
        <v/>
      </c>
      <c r="AF241" s="104">
        <f>CHOOSE(MATCH(IF($U241="","Основний",$U241),{"Трафіковий","Основний","Маржинальний","Сезонний","Стратегічний"},0),0.15,0.175,0.22,0.21,0.25)</f>
        <v/>
      </c>
      <c r="AG241" s="104">
        <f>CHOOSE(MATCH(IF($U241="","Основний",$U241),{"Трафіковий","Основний","Маржинальний","Сезонний","Стратегічний"},0),0.13,0.16,0.21,0.2,0.25)</f>
        <v/>
      </c>
      <c r="AH241" s="104">
        <f>CHOOSE(MATCH(IF($U241="","Основний",$U241),{"Трафіковий","Основний","Маржинальний","Сезонний","Стратегічний"},0),0.15,0.18,0.23,0.22,0.27)</f>
        <v/>
      </c>
      <c r="AI241" s="104">
        <f>CHOOSE(MATCH(IF($U241="","Основний",$U241),{"Трафіковий","Основний","Маржинальний","Сезонний","Стратегічний"},0),0.16,0.19,0.25,0.23,0.29)</f>
        <v/>
      </c>
      <c r="AJ241" s="104">
        <f>CHOOSE(MATCH(IF($U241="","Основний",$U241),{"Трафіковий","Основний","Маржинальний","Сезонний","Стратегічний"},0),0.14,0.17,0.22,0.21,0.25)</f>
        <v/>
      </c>
      <c r="AK241" s="104">
        <f>CHOOSE(MATCH(IF($U241="","Основний",$U241),{"Трафіковий","Основний","Маржинальний","Сезонний","Стратегічний"},0),0.15,0.18,0.23,0.22,0.27)</f>
        <v/>
      </c>
      <c r="AL241" s="104">
        <f>CHOOSE(MATCH(IF($U241="","Основний",$U241),{"Трафіковий","Основний","Маржинальний","Сезонний","Стратегічний"},0),0.15,0.17,0.25,0.24,0.29)</f>
        <v/>
      </c>
      <c r="AM241" s="104">
        <f>CHOOSE(MATCH(IF($U241="","Основний",$U241),{"Трафіковий","Основний","Маржинальний","Сезонний","Стратегічний"},0),0.12,0.145,0.19,0.18,0.22)</f>
        <v/>
      </c>
      <c r="AN241" s="157">
        <f>CHOOSE(MATCH(IF($U241="","Основний",$U241),{"Трафіковий","Основний","Маржинальний","Сезонний","Стратегічний"},0),Settings!$B$78,Settings!$B$80,Settings!$B$82,Settings!$B$84,Settings!$B$86)</f>
        <v/>
      </c>
      <c r="AO241" s="157">
        <f>CHOOSE(MATCH(IF($U241="","Основний",$U241),{"Трафіковий","Основний","Маржинальний","Сезонний","Стратегічний"},0),Settings!$C$78,Settings!$C$80,Settings!$C$82,Settings!$C$84,Settings!$C$86)</f>
        <v/>
      </c>
      <c r="AP241" s="157">
        <f>CHOOSE(MATCH(IF($U241="","Основний",$U241),{"Трафіковий","Основний","Маржинальний","Сезонний","Стратегічний"},0),Settings!$D$78,Settings!$D$80,Settings!$D$82,Settings!$D$84,Settings!$D$86)</f>
        <v/>
      </c>
      <c r="AQ241" s="157">
        <f>CHOOSE(MATCH(IF($U241="","Основний",$U241),{"Трафіковий","Основний","Маржинальний","Сезонний","Стратегічний"},0),Settings!$F$78,Settings!$F$80,Settings!$F$82,Settings!$F$84,Settings!$F$86)</f>
        <v/>
      </c>
      <c r="AR241" s="157">
        <f>CHOOSE(MATCH(IF($U241="","Основний",$U241),{"Трафіковий","Основний","Маржинальний","Сезонний","Стратегічний"},0),Settings!$G$78,Settings!$G$80,Settings!$G$82,Settings!$G$84,Settings!$G$86)</f>
        <v/>
      </c>
      <c r="AS241" s="157">
        <f>CHOOSE(MATCH(IF($U241="","Основний",$U241),{"Трафіковий","Основний","Маржинальний","Сезонний","Стратегічний"},0),Settings!$H$78,Settings!$H$80,Settings!$H$82,Settings!$H$84,Settings!$H$86)</f>
        <v/>
      </c>
      <c r="AT241" s="157">
        <f>CHOOSE(MATCH(IF($U241="","Основний",$U241),{"Трафіковий","Основний","Маржинальний","Сезонний","Стратегічний"},0),Settings!$I$78,Settings!$I$80,Settings!$I$82,Settings!$I$84,Settings!$I$86)</f>
        <v/>
      </c>
      <c r="AU241" s="171" t="n"/>
      <c r="AV241" t="n">
        <v>1.35</v>
      </c>
    </row>
    <row r="242">
      <c r="A242" s="28" t="n"/>
      <c r="B242" s="29" t="inlineStr">
        <is>
          <t>P01303</t>
        </is>
      </c>
      <c r="C242" s="29" t="inlineStr">
        <is>
          <t>2WIRE CORD SET 3M 2,5A</t>
        </is>
      </c>
      <c r="D242" s="29" t="inlineStr">
        <is>
          <t>Пооджувачи та адаптери</t>
        </is>
      </c>
      <c r="E242" s="28" t="inlineStr">
        <is>
          <t>PC</t>
        </is>
      </c>
      <c r="F242" s="93" t="n">
        <v>1.481</v>
      </c>
      <c r="G242" s="30" t="n">
        <v>8544429090</v>
      </c>
      <c r="H242" s="31" t="n">
        <v>1.4</v>
      </c>
      <c r="I242" s="84">
        <f>IFERROR(F242*Settings!$B$2*H242*IF(AND(ISNUMBER(E242),E242&gt;1),E242,1),"")</f>
        <v/>
      </c>
      <c r="J242" s="32">
        <f>Settings!$B$66</f>
        <v/>
      </c>
      <c r="K242" s="95">
        <f>IFERROR(IF(T242="","",(T242*(1-AN242)*(1-Settings!$B$17)-I242)/(T242*(1-AN242)*(1-Settings!$B$17))),"")</f>
        <v/>
      </c>
      <c r="L242" s="101">
        <f>IFERROR(IF(T242="","",(T242*(1-AO242)*(1-Settings!$C$17)-I242)/(T242*(1-AO242)*(1-Settings!$C$17))),"")</f>
        <v/>
      </c>
      <c r="M242" s="101">
        <f>IFERROR(IF(T242="","",(T242*(1-AP242)*(1-Settings!$D$17)-I242)/(T242*(1-AP242)*(1-Settings!$D$17))),"")</f>
        <v/>
      </c>
      <c r="N242" s="101">
        <f>IFERROR(IF(T242="","",(T242*(1-AQ242)*(1-Settings!$F$17)-I242)/(T242*(1-AQ242)*(1-Settings!$F$17))),"")</f>
        <v/>
      </c>
      <c r="O242" s="101">
        <f>IFERROR(IF(T242="","",(T242*(1-AR242)*(1-Settings!$G$17)-I242)/(T242*(1-AR242)*(1-Settings!$G$17))),"")</f>
        <v/>
      </c>
      <c r="P242" s="101">
        <f>IFERROR(IF(T242="","",(T242*(1-AS242)*(1-Settings!$H$17)-I242)/(T242*(1-AS242)*(1-Settings!$H$17))),"")</f>
        <v/>
      </c>
      <c r="Q242" s="101">
        <f>IFERROR(IF(T242="","",(T242*(1-AT242)*(1-Settings!$I$68)*(1-Settings!$I$17)-I242)/(T242*(1-AT242)*(1-Settings!$I$68)*(1-Settings!$I$17))),"")</f>
        <v/>
      </c>
      <c r="R242" s="91">
        <f>IFERROR(IF(OR(I242="",Z242&gt;=1,Settings!$B$17&gt;=1,AN242&gt;=1),"",IF(MOD(ROUND(I242/(1-Z242)/(1-Settings!$B$17)/(1-AN242),0),10)=0,ROUND(I242/(1-Z242)/(1-Settings!$B$17)/(1-AN242),0)-1,IF(MOD(ROUND(I242/(1-Z242)/(1-Settings!$B$17)/(1-AN242),0),10)&lt;=5,FLOOR(ROUND(I242/(1-Z242)/(1-Settings!$B$17)/(1-AN242),0),10)+6,FLOOR(ROUND(I242/(1-Z242)/(1-Settings!$B$17)/(1-AN242),0),10)+9))),"")</f>
        <v/>
      </c>
      <c r="S242" s="174" t="n"/>
      <c r="T242" s="91">
        <f>IF(S242&lt;&gt;"", IF(MOD(S242,10)=0,S242-1,IF(MOD(S242,10)&lt;=5,FLOOR(S242,10)+6,FLOOR(S242,10)+9)), R242)</f>
        <v/>
      </c>
      <c r="U242" s="87" t="inlineStr">
        <is>
          <t>Основний</t>
        </is>
      </c>
      <c r="V242" s="88" t="n"/>
      <c r="W242" s="88" t="n"/>
      <c r="X242" s="89">
        <f>IFERROR(IF(OR(V242="",W242="",T242=""),"", IF(T242&gt;W242,"Дорогий",IF(T242&lt;V242,"Дешевий","У ринку"))),"")</f>
        <v/>
      </c>
      <c r="Y242" s="90" t="n"/>
      <c r="Z242" s="104">
        <f>CHOOSE(MATCH(IF($U242="","Основний",$U242),{"Трафіковий","Основний","Маржинальний","Сезонний","Стратегічний"},0),0.16,0.19,0.24,0.23,0.28)</f>
        <v/>
      </c>
      <c r="AA242" s="104">
        <f>CHOOSE(MATCH(IF($U242="","Основний",$U242),{"Трафіковий","Основний","Маржинальний","Сезонний","Стратегічний"},0),0.18,0.21,0.26,0.25,0.3)</f>
        <v/>
      </c>
      <c r="AB242" s="104">
        <f>CHOOSE(MATCH(IF($U242="","Основний",$U242),{"Трафіковий","Основний","Маржинальний","Сезонний","Стратегічний"},0),0.19,0.22,0.28,0.26,0.32)</f>
        <v/>
      </c>
      <c r="AC242" s="104">
        <f>CHOOSE(MATCH(IF($U242="","Основний",$U242),{"Трафіковий","Основний","Маржинальний","Сезонний","Стратегічний"},0),0.17,0.2,0.25,0.24,0.28)</f>
        <v/>
      </c>
      <c r="AD242" s="104">
        <f>CHOOSE(MATCH(IF($U242="","Основний",$U242),{"Трафіковий","Основний","Маржинальний","Сезонний","Стратегічний"},0),0.18,0.21,0.26,0.25,0.3)</f>
        <v/>
      </c>
      <c r="AE242" s="104">
        <f>CHOOSE(MATCH(IF($U242="","Основний",$U242),{"Трафіковий","Основний","Маржинальний","Сезонний","Стратегічний"},0),0.18,0.2,0.28,0.27,0.32)</f>
        <v/>
      </c>
      <c r="AF242" s="104">
        <f>CHOOSE(MATCH(IF($U242="","Основний",$U242),{"Трафіковий","Основний","Маржинальний","Сезонний","Стратегічний"},0),0.15,0.175,0.22,0.21,0.25)</f>
        <v/>
      </c>
      <c r="AG242" s="104">
        <f>CHOOSE(MATCH(IF($U242="","Основний",$U242),{"Трафіковий","Основний","Маржинальний","Сезонний","Стратегічний"},0),0.13,0.16,0.21,0.2,0.25)</f>
        <v/>
      </c>
      <c r="AH242" s="104">
        <f>CHOOSE(MATCH(IF($U242="","Основний",$U242),{"Трафіковий","Основний","Маржинальний","Сезонний","Стратегічний"},0),0.15,0.18,0.23,0.22,0.27)</f>
        <v/>
      </c>
      <c r="AI242" s="104">
        <f>CHOOSE(MATCH(IF($U242="","Основний",$U242),{"Трафіковий","Основний","Маржинальний","Сезонний","Стратегічний"},0),0.16,0.19,0.25,0.23,0.29)</f>
        <v/>
      </c>
      <c r="AJ242" s="104">
        <f>CHOOSE(MATCH(IF($U242="","Основний",$U242),{"Трафіковий","Основний","Маржинальний","Сезонний","Стратегічний"},0),0.14,0.17,0.22,0.21,0.25)</f>
        <v/>
      </c>
      <c r="AK242" s="104">
        <f>CHOOSE(MATCH(IF($U242="","Основний",$U242),{"Трафіковий","Основний","Маржинальний","Сезонний","Стратегічний"},0),0.15,0.18,0.23,0.22,0.27)</f>
        <v/>
      </c>
      <c r="AL242" s="104">
        <f>CHOOSE(MATCH(IF($U242="","Основний",$U242),{"Трафіковий","Основний","Маржинальний","Сезонний","Стратегічний"},0),0.15,0.17,0.25,0.24,0.29)</f>
        <v/>
      </c>
      <c r="AM242" s="104">
        <f>CHOOSE(MATCH(IF($U242="","Основний",$U242),{"Трафіковий","Основний","Маржинальний","Сезонний","Стратегічний"},0),0.12,0.145,0.19,0.18,0.22)</f>
        <v/>
      </c>
      <c r="AN242" s="157">
        <f>CHOOSE(MATCH(IF($U242="","Основний",$U242),{"Трафіковий","Основний","Маржинальний","Сезонний","Стратегічний"},0),Settings!$B$78,Settings!$B$80,Settings!$B$82,Settings!$B$84,Settings!$B$86)</f>
        <v/>
      </c>
      <c r="AO242" s="157">
        <f>CHOOSE(MATCH(IF($U242="","Основний",$U242),{"Трафіковий","Основний","Маржинальний","Сезонний","Стратегічний"},0),Settings!$C$78,Settings!$C$80,Settings!$C$82,Settings!$C$84,Settings!$C$86)</f>
        <v/>
      </c>
      <c r="AP242" s="157">
        <f>CHOOSE(MATCH(IF($U242="","Основний",$U242),{"Трафіковий","Основний","Маржинальний","Сезонний","Стратегічний"},0),Settings!$D$78,Settings!$D$80,Settings!$D$82,Settings!$D$84,Settings!$D$86)</f>
        <v/>
      </c>
      <c r="AQ242" s="157">
        <f>CHOOSE(MATCH(IF($U242="","Основний",$U242),{"Трафіковий","Основний","Маржинальний","Сезонний","Стратегічний"},0),Settings!$F$78,Settings!$F$80,Settings!$F$82,Settings!$F$84,Settings!$F$86)</f>
        <v/>
      </c>
      <c r="AR242" s="157">
        <f>CHOOSE(MATCH(IF($U242="","Основний",$U242),{"Трафіковий","Основний","Маржинальний","Сезонний","Стратегічний"},0),Settings!$G$78,Settings!$G$80,Settings!$G$82,Settings!$G$84,Settings!$G$86)</f>
        <v/>
      </c>
      <c r="AS242" s="157">
        <f>CHOOSE(MATCH(IF($U242="","Основний",$U242),{"Трафіковий","Основний","Маржинальний","Сезонний","Стратегічний"},0),Settings!$H$78,Settings!$H$80,Settings!$H$82,Settings!$H$84,Settings!$H$86)</f>
        <v/>
      </c>
      <c r="AT242" s="157">
        <f>CHOOSE(MATCH(IF($U242="","Основний",$U242),{"Трафіковий","Основний","Маржинальний","Сезонний","Стратегічний"},0),Settings!$I$78,Settings!$I$80,Settings!$I$82,Settings!$I$84,Settings!$I$86)</f>
        <v/>
      </c>
      <c r="AU242" s="171" t="n"/>
      <c r="AV242" t="n">
        <v>1.35</v>
      </c>
    </row>
    <row r="243">
      <c r="A243" s="33" t="n"/>
      <c r="B243" s="34" t="inlineStr">
        <is>
          <t>P01305</t>
        </is>
      </c>
      <c r="C243" s="34" t="inlineStr">
        <is>
          <t>2WIRE CORD SET 5M 2,5A</t>
        </is>
      </c>
      <c r="D243" s="34" t="inlineStr">
        <is>
          <t>Пооджувачи та адаптери</t>
        </is>
      </c>
      <c r="E243" s="33" t="inlineStr">
        <is>
          <t>PC</t>
        </is>
      </c>
      <c r="F243" s="94" t="n">
        <v>1.91</v>
      </c>
      <c r="G243" s="35" t="n">
        <v>8544429090</v>
      </c>
      <c r="H243" s="31" t="n">
        <v>1.4</v>
      </c>
      <c r="I243" s="84">
        <f>IFERROR(F243*Settings!$B$2*H243*IF(AND(ISNUMBER(E243),E243&gt;1),E243,1),"")</f>
        <v/>
      </c>
      <c r="J243" s="32">
        <f>Settings!$B$66</f>
        <v/>
      </c>
      <c r="K243" s="95">
        <f>IFERROR(IF(T243="","",(T243*(1-AN243)*(1-Settings!$B$17)-I243)/(T243*(1-AN243)*(1-Settings!$B$17))),"")</f>
        <v/>
      </c>
      <c r="L243" s="101">
        <f>IFERROR(IF(T243="","",(T243*(1-AO243)*(1-Settings!$C$17)-I243)/(T243*(1-AO243)*(1-Settings!$C$17))),"")</f>
        <v/>
      </c>
      <c r="M243" s="101">
        <f>IFERROR(IF(T243="","",(T243*(1-AP243)*(1-Settings!$D$17)-I243)/(T243*(1-AP243)*(1-Settings!$D$17))),"")</f>
        <v/>
      </c>
      <c r="N243" s="101">
        <f>IFERROR(IF(T243="","",(T243*(1-AQ243)*(1-Settings!$F$17)-I243)/(T243*(1-AQ243)*(1-Settings!$F$17))),"")</f>
        <v/>
      </c>
      <c r="O243" s="101">
        <f>IFERROR(IF(T243="","",(T243*(1-AR243)*(1-Settings!$G$17)-I243)/(T243*(1-AR243)*(1-Settings!$G$17))),"")</f>
        <v/>
      </c>
      <c r="P243" s="101">
        <f>IFERROR(IF(T243="","",(T243*(1-AS243)*(1-Settings!$H$17)-I243)/(T243*(1-AS243)*(1-Settings!$H$17))),"")</f>
        <v/>
      </c>
      <c r="Q243" s="101">
        <f>IFERROR(IF(T243="","",(T243*(1-AT243)*(1-Settings!$I$68)*(1-Settings!$I$17)-I243)/(T243*(1-AT243)*(1-Settings!$I$68)*(1-Settings!$I$17))),"")</f>
        <v/>
      </c>
      <c r="R243" s="91">
        <f>IFERROR(IF(OR(I243="",Z243&gt;=1,Settings!$B$17&gt;=1,AN243&gt;=1),"",IF(MOD(ROUND(I243/(1-Z243)/(1-Settings!$B$17)/(1-AN243),0),10)=0,ROUND(I243/(1-Z243)/(1-Settings!$B$17)/(1-AN243),0)-1,IF(MOD(ROUND(I243/(1-Z243)/(1-Settings!$B$17)/(1-AN243),0),10)&lt;=5,FLOOR(ROUND(I243/(1-Z243)/(1-Settings!$B$17)/(1-AN243),0),10)+6,FLOOR(ROUND(I243/(1-Z243)/(1-Settings!$B$17)/(1-AN243),0),10)+9))),"")</f>
        <v/>
      </c>
      <c r="S243" s="174" t="n"/>
      <c r="T243" s="91">
        <f>IF(S243&lt;&gt;"", IF(MOD(S243,10)=0,S243-1,IF(MOD(S243,10)&lt;=5,FLOOR(S243,10)+6,FLOOR(S243,10)+9)), R243)</f>
        <v/>
      </c>
      <c r="U243" s="87" t="inlineStr">
        <is>
          <t>Основний</t>
        </is>
      </c>
      <c r="V243" s="88" t="n"/>
      <c r="W243" s="88" t="n"/>
      <c r="X243" s="89">
        <f>IFERROR(IF(OR(V243="",W243="",T243=""),"", IF(T243&gt;W243,"Дорогий",IF(T243&lt;V243,"Дешевий","У ринку"))),"")</f>
        <v/>
      </c>
      <c r="Y243" s="90" t="n"/>
      <c r="Z243" s="104">
        <f>CHOOSE(MATCH(IF($U243="","Основний",$U243),{"Трафіковий","Основний","Маржинальний","Сезонний","Стратегічний"},0),0.16,0.19,0.24,0.23,0.28)</f>
        <v/>
      </c>
      <c r="AA243" s="104">
        <f>CHOOSE(MATCH(IF($U243="","Основний",$U243),{"Трафіковий","Основний","Маржинальний","Сезонний","Стратегічний"},0),0.18,0.21,0.26,0.25,0.3)</f>
        <v/>
      </c>
      <c r="AB243" s="104">
        <f>CHOOSE(MATCH(IF($U243="","Основний",$U243),{"Трафіковий","Основний","Маржинальний","Сезонний","Стратегічний"},0),0.19,0.22,0.28,0.26,0.32)</f>
        <v/>
      </c>
      <c r="AC243" s="104">
        <f>CHOOSE(MATCH(IF($U243="","Основний",$U243),{"Трафіковий","Основний","Маржинальний","Сезонний","Стратегічний"},0),0.17,0.2,0.25,0.24,0.28)</f>
        <v/>
      </c>
      <c r="AD243" s="104">
        <f>CHOOSE(MATCH(IF($U243="","Основний",$U243),{"Трафіковий","Основний","Маржинальний","Сезонний","Стратегічний"},0),0.18,0.21,0.26,0.25,0.3)</f>
        <v/>
      </c>
      <c r="AE243" s="104">
        <f>CHOOSE(MATCH(IF($U243="","Основний",$U243),{"Трафіковий","Основний","Маржинальний","Сезонний","Стратегічний"},0),0.18,0.2,0.28,0.27,0.32)</f>
        <v/>
      </c>
      <c r="AF243" s="104">
        <f>CHOOSE(MATCH(IF($U243="","Основний",$U243),{"Трафіковий","Основний","Маржинальний","Сезонний","Стратегічний"},0),0.15,0.175,0.22,0.21,0.25)</f>
        <v/>
      </c>
      <c r="AG243" s="104">
        <f>CHOOSE(MATCH(IF($U243="","Основний",$U243),{"Трафіковий","Основний","Маржинальний","Сезонний","Стратегічний"},0),0.13,0.16,0.21,0.2,0.25)</f>
        <v/>
      </c>
      <c r="AH243" s="104">
        <f>CHOOSE(MATCH(IF($U243="","Основний",$U243),{"Трафіковий","Основний","Маржинальний","Сезонний","Стратегічний"},0),0.15,0.18,0.23,0.22,0.27)</f>
        <v/>
      </c>
      <c r="AI243" s="104">
        <f>CHOOSE(MATCH(IF($U243="","Основний",$U243),{"Трафіковий","Основний","Маржинальний","Сезонний","Стратегічний"},0),0.16,0.19,0.25,0.23,0.29)</f>
        <v/>
      </c>
      <c r="AJ243" s="104">
        <f>CHOOSE(MATCH(IF($U243="","Основний",$U243),{"Трафіковий","Основний","Маржинальний","Сезонний","Стратегічний"},0),0.14,0.17,0.22,0.21,0.25)</f>
        <v/>
      </c>
      <c r="AK243" s="104">
        <f>CHOOSE(MATCH(IF($U243="","Основний",$U243),{"Трафіковий","Основний","Маржинальний","Сезонний","Стратегічний"},0),0.15,0.18,0.23,0.22,0.27)</f>
        <v/>
      </c>
      <c r="AL243" s="104">
        <f>CHOOSE(MATCH(IF($U243="","Основний",$U243),{"Трафіковий","Основний","Маржинальний","Сезонний","Стратегічний"},0),0.15,0.17,0.25,0.24,0.29)</f>
        <v/>
      </c>
      <c r="AM243" s="104">
        <f>CHOOSE(MATCH(IF($U243="","Основний",$U243),{"Трафіковий","Основний","Маржинальний","Сезонний","Стратегічний"},0),0.12,0.145,0.19,0.18,0.22)</f>
        <v/>
      </c>
      <c r="AN243" s="157">
        <f>CHOOSE(MATCH(IF($U243="","Основний",$U243),{"Трафіковий","Основний","Маржинальний","Сезонний","Стратегічний"},0),Settings!$B$78,Settings!$B$80,Settings!$B$82,Settings!$B$84,Settings!$B$86)</f>
        <v/>
      </c>
      <c r="AO243" s="157">
        <f>CHOOSE(MATCH(IF($U243="","Основний",$U243),{"Трафіковий","Основний","Маржинальний","Сезонний","Стратегічний"},0),Settings!$C$78,Settings!$C$80,Settings!$C$82,Settings!$C$84,Settings!$C$86)</f>
        <v/>
      </c>
      <c r="AP243" s="157">
        <f>CHOOSE(MATCH(IF($U243="","Основний",$U243),{"Трафіковий","Основний","Маржинальний","Сезонний","Стратегічний"},0),Settings!$D$78,Settings!$D$80,Settings!$D$82,Settings!$D$84,Settings!$D$86)</f>
        <v/>
      </c>
      <c r="AQ243" s="157">
        <f>CHOOSE(MATCH(IF($U243="","Основний",$U243),{"Трафіковий","Основний","Маржинальний","Сезонний","Стратегічний"},0),Settings!$F$78,Settings!$F$80,Settings!$F$82,Settings!$F$84,Settings!$F$86)</f>
        <v/>
      </c>
      <c r="AR243" s="157">
        <f>CHOOSE(MATCH(IF($U243="","Основний",$U243),{"Трафіковий","Основний","Маржинальний","Сезонний","Стратегічний"},0),Settings!$G$78,Settings!$G$80,Settings!$G$82,Settings!$G$84,Settings!$G$86)</f>
        <v/>
      </c>
      <c r="AS243" s="157">
        <f>CHOOSE(MATCH(IF($U243="","Основний",$U243),{"Трафіковий","Основний","Маржинальний","Сезонний","Стратегічний"},0),Settings!$H$78,Settings!$H$80,Settings!$H$82,Settings!$H$84,Settings!$H$86)</f>
        <v/>
      </c>
      <c r="AT243" s="157">
        <f>CHOOSE(MATCH(IF($U243="","Основний",$U243),{"Трафіковий","Основний","Маржинальний","Сезонний","Стратегічний"},0),Settings!$I$78,Settings!$I$80,Settings!$I$82,Settings!$I$84,Settings!$I$86)</f>
        <v/>
      </c>
      <c r="AU243" s="171" t="n"/>
      <c r="AV243" t="n">
        <v>1.35</v>
      </c>
    </row>
    <row r="244">
      <c r="A244" s="28" t="n"/>
      <c r="B244" s="29" t="inlineStr">
        <is>
          <t>PC01301</t>
        </is>
      </c>
      <c r="C244" s="29" t="inlineStr">
        <is>
          <t>2WIRE CORD SET 1,5M 2,5A BLACK</t>
        </is>
      </c>
      <c r="D244" s="29" t="inlineStr">
        <is>
          <t>Пооджувачи та адаптери</t>
        </is>
      </c>
      <c r="E244" s="28" t="inlineStr">
        <is>
          <t>PC</t>
        </is>
      </c>
      <c r="F244" s="93" t="n">
        <v>1.013</v>
      </c>
      <c r="G244" s="30" t="n">
        <v>8544429090</v>
      </c>
      <c r="H244" s="31" t="n">
        <v>1.4</v>
      </c>
      <c r="I244" s="84">
        <f>IFERROR(F244*Settings!$B$2*H244*IF(AND(ISNUMBER(E244),E244&gt;1),E244,1),"")</f>
        <v/>
      </c>
      <c r="J244" s="32">
        <f>Settings!$B$66</f>
        <v/>
      </c>
      <c r="K244" s="95">
        <f>IFERROR(IF(T244="","",(T244*(1-AN244)*(1-Settings!$B$17)-I244)/(T244*(1-AN244)*(1-Settings!$B$17))),"")</f>
        <v/>
      </c>
      <c r="L244" s="101">
        <f>IFERROR(IF(T244="","",(T244*(1-AO244)*(1-Settings!$C$17)-I244)/(T244*(1-AO244)*(1-Settings!$C$17))),"")</f>
        <v/>
      </c>
      <c r="M244" s="101">
        <f>IFERROR(IF(T244="","",(T244*(1-AP244)*(1-Settings!$D$17)-I244)/(T244*(1-AP244)*(1-Settings!$D$17))),"")</f>
        <v/>
      </c>
      <c r="N244" s="101">
        <f>IFERROR(IF(T244="","",(T244*(1-AQ244)*(1-Settings!$F$17)-I244)/(T244*(1-AQ244)*(1-Settings!$F$17))),"")</f>
        <v/>
      </c>
      <c r="O244" s="101">
        <f>IFERROR(IF(T244="","",(T244*(1-AR244)*(1-Settings!$G$17)-I244)/(T244*(1-AR244)*(1-Settings!$G$17))),"")</f>
        <v/>
      </c>
      <c r="P244" s="101">
        <f>IFERROR(IF(T244="","",(T244*(1-AS244)*(1-Settings!$H$17)-I244)/(T244*(1-AS244)*(1-Settings!$H$17))),"")</f>
        <v/>
      </c>
      <c r="Q244" s="101">
        <f>IFERROR(IF(T244="","",(T244*(1-AT244)*(1-Settings!$I$68)*(1-Settings!$I$17)-I244)/(T244*(1-AT244)*(1-Settings!$I$68)*(1-Settings!$I$17))),"")</f>
        <v/>
      </c>
      <c r="R244" s="91">
        <f>IFERROR(IF(OR(I244="",Z244&gt;=1,Settings!$B$17&gt;=1,AN244&gt;=1),"",IF(MOD(ROUND(I244/(1-Z244)/(1-Settings!$B$17)/(1-AN244),0),10)=0,ROUND(I244/(1-Z244)/(1-Settings!$B$17)/(1-AN244),0)-1,IF(MOD(ROUND(I244/(1-Z244)/(1-Settings!$B$17)/(1-AN244),0),10)&lt;=5,FLOOR(ROUND(I244/(1-Z244)/(1-Settings!$B$17)/(1-AN244),0),10)+6,FLOOR(ROUND(I244/(1-Z244)/(1-Settings!$B$17)/(1-AN244),0),10)+9))),"")</f>
        <v/>
      </c>
      <c r="S244" s="174" t="n"/>
      <c r="T244" s="91">
        <f>IF(S244&lt;&gt;"", IF(MOD(S244,10)=0,S244-1,IF(MOD(S244,10)&lt;=5,FLOOR(S244,10)+6,FLOOR(S244,10)+9)), R244)</f>
        <v/>
      </c>
      <c r="U244" s="87" t="inlineStr">
        <is>
          <t>Основний</t>
        </is>
      </c>
      <c r="V244" s="88" t="n"/>
      <c r="W244" s="88" t="n"/>
      <c r="X244" s="89">
        <f>IFERROR(IF(OR(V244="",W244="",T244=""),"", IF(T244&gt;W244,"Дорогий",IF(T244&lt;V244,"Дешевий","У ринку"))),"")</f>
        <v/>
      </c>
      <c r="Y244" s="90" t="n"/>
      <c r="Z244" s="104">
        <f>CHOOSE(MATCH(IF($U244="","Основний",$U244),{"Трафіковий","Основний","Маржинальний","Сезонний","Стратегічний"},0),0.16,0.19,0.24,0.23,0.28)</f>
        <v/>
      </c>
      <c r="AA244" s="104">
        <f>CHOOSE(MATCH(IF($U244="","Основний",$U244),{"Трафіковий","Основний","Маржинальний","Сезонний","Стратегічний"},0),0.18,0.21,0.26,0.25,0.3)</f>
        <v/>
      </c>
      <c r="AB244" s="104">
        <f>CHOOSE(MATCH(IF($U244="","Основний",$U244),{"Трафіковий","Основний","Маржинальний","Сезонний","Стратегічний"},0),0.19,0.22,0.28,0.26,0.32)</f>
        <v/>
      </c>
      <c r="AC244" s="104">
        <f>CHOOSE(MATCH(IF($U244="","Основний",$U244),{"Трафіковий","Основний","Маржинальний","Сезонний","Стратегічний"},0),0.17,0.2,0.25,0.24,0.28)</f>
        <v/>
      </c>
      <c r="AD244" s="104">
        <f>CHOOSE(MATCH(IF($U244="","Основний",$U244),{"Трафіковий","Основний","Маржинальний","Сезонний","Стратегічний"},0),0.18,0.21,0.26,0.25,0.3)</f>
        <v/>
      </c>
      <c r="AE244" s="104">
        <f>CHOOSE(MATCH(IF($U244="","Основний",$U244),{"Трафіковий","Основний","Маржинальний","Сезонний","Стратегічний"},0),0.18,0.2,0.28,0.27,0.32)</f>
        <v/>
      </c>
      <c r="AF244" s="104">
        <f>CHOOSE(MATCH(IF($U244="","Основний",$U244),{"Трафіковий","Основний","Маржинальний","Сезонний","Стратегічний"},0),0.15,0.175,0.22,0.21,0.25)</f>
        <v/>
      </c>
      <c r="AG244" s="104">
        <f>CHOOSE(MATCH(IF($U244="","Основний",$U244),{"Трафіковий","Основний","Маржинальний","Сезонний","Стратегічний"},0),0.13,0.16,0.21,0.2,0.25)</f>
        <v/>
      </c>
      <c r="AH244" s="104">
        <f>CHOOSE(MATCH(IF($U244="","Основний",$U244),{"Трафіковий","Основний","Маржинальний","Сезонний","Стратегічний"},0),0.15,0.18,0.23,0.22,0.27)</f>
        <v/>
      </c>
      <c r="AI244" s="104">
        <f>CHOOSE(MATCH(IF($U244="","Основний",$U244),{"Трафіковий","Основний","Маржинальний","Сезонний","Стратегічний"},0),0.16,0.19,0.25,0.23,0.29)</f>
        <v/>
      </c>
      <c r="AJ244" s="104">
        <f>CHOOSE(MATCH(IF($U244="","Основний",$U244),{"Трафіковий","Основний","Маржинальний","Сезонний","Стратегічний"},0),0.14,0.17,0.22,0.21,0.25)</f>
        <v/>
      </c>
      <c r="AK244" s="104">
        <f>CHOOSE(MATCH(IF($U244="","Основний",$U244),{"Трафіковий","Основний","Маржинальний","Сезонний","Стратегічний"},0),0.15,0.18,0.23,0.22,0.27)</f>
        <v/>
      </c>
      <c r="AL244" s="104">
        <f>CHOOSE(MATCH(IF($U244="","Основний",$U244),{"Трафіковий","Основний","Маржинальний","Сезонний","Стратегічний"},0),0.15,0.17,0.25,0.24,0.29)</f>
        <v/>
      </c>
      <c r="AM244" s="104">
        <f>CHOOSE(MATCH(IF($U244="","Основний",$U244),{"Трафіковий","Основний","Маржинальний","Сезонний","Стратегічний"},0),0.12,0.145,0.19,0.18,0.22)</f>
        <v/>
      </c>
      <c r="AN244" s="157">
        <f>CHOOSE(MATCH(IF($U244="","Основний",$U244),{"Трафіковий","Основний","Маржинальний","Сезонний","Стратегічний"},0),Settings!$B$78,Settings!$B$80,Settings!$B$82,Settings!$B$84,Settings!$B$86)</f>
        <v/>
      </c>
      <c r="AO244" s="157">
        <f>CHOOSE(MATCH(IF($U244="","Основний",$U244),{"Трафіковий","Основний","Маржинальний","Сезонний","Стратегічний"},0),Settings!$C$78,Settings!$C$80,Settings!$C$82,Settings!$C$84,Settings!$C$86)</f>
        <v/>
      </c>
      <c r="AP244" s="157">
        <f>CHOOSE(MATCH(IF($U244="","Основний",$U244),{"Трафіковий","Основний","Маржинальний","Сезонний","Стратегічний"},0),Settings!$D$78,Settings!$D$80,Settings!$D$82,Settings!$D$84,Settings!$D$86)</f>
        <v/>
      </c>
      <c r="AQ244" s="157">
        <f>CHOOSE(MATCH(IF($U244="","Основний",$U244),{"Трафіковий","Основний","Маржинальний","Сезонний","Стратегічний"},0),Settings!$F$78,Settings!$F$80,Settings!$F$82,Settings!$F$84,Settings!$F$86)</f>
        <v/>
      </c>
      <c r="AR244" s="157">
        <f>CHOOSE(MATCH(IF($U244="","Основний",$U244),{"Трафіковий","Основний","Маржинальний","Сезонний","Стратегічний"},0),Settings!$G$78,Settings!$G$80,Settings!$G$82,Settings!$G$84,Settings!$G$86)</f>
        <v/>
      </c>
      <c r="AS244" s="157">
        <f>CHOOSE(MATCH(IF($U244="","Основний",$U244),{"Трафіковий","Основний","Маржинальний","Сезонний","Стратегічний"},0),Settings!$H$78,Settings!$H$80,Settings!$H$82,Settings!$H$84,Settings!$H$86)</f>
        <v/>
      </c>
      <c r="AT244" s="157">
        <f>CHOOSE(MATCH(IF($U244="","Основний",$U244),{"Трафіковий","Основний","Маржинальний","Сезонний","Стратегічний"},0),Settings!$I$78,Settings!$I$80,Settings!$I$82,Settings!$I$84,Settings!$I$86)</f>
        <v/>
      </c>
      <c r="AU244" s="171" t="n"/>
      <c r="AV244" t="n">
        <v>1.35</v>
      </c>
    </row>
    <row r="245">
      <c r="A245" s="33" t="n"/>
      <c r="B245" s="34" t="inlineStr">
        <is>
          <t>PC01303</t>
        </is>
      </c>
      <c r="C245" s="34" t="inlineStr">
        <is>
          <t>2WIRE CORD SET 3M 2,5A BLACK</t>
        </is>
      </c>
      <c r="D245" s="34" t="inlineStr">
        <is>
          <t>Пооджувачи та адаптери</t>
        </is>
      </c>
      <c r="E245" s="33" t="inlineStr">
        <is>
          <t>PC</t>
        </is>
      </c>
      <c r="F245" s="94" t="n">
        <v>1.369</v>
      </c>
      <c r="G245" s="35" t="n">
        <v>8544429090</v>
      </c>
      <c r="H245" s="31" t="n">
        <v>1.4</v>
      </c>
      <c r="I245" s="84">
        <f>IFERROR(F245*Settings!$B$2*H245*IF(AND(ISNUMBER(E245),E245&gt;1),E245,1),"")</f>
        <v/>
      </c>
      <c r="J245" s="32">
        <f>Settings!$B$66</f>
        <v/>
      </c>
      <c r="K245" s="95">
        <f>IFERROR(IF(T245="","",(T245*(1-AN245)*(1-Settings!$B$17)-I245)/(T245*(1-AN245)*(1-Settings!$B$17))),"")</f>
        <v/>
      </c>
      <c r="L245" s="101">
        <f>IFERROR(IF(T245="","",(T245*(1-AO245)*(1-Settings!$C$17)-I245)/(T245*(1-AO245)*(1-Settings!$C$17))),"")</f>
        <v/>
      </c>
      <c r="M245" s="101">
        <f>IFERROR(IF(T245="","",(T245*(1-AP245)*(1-Settings!$D$17)-I245)/(T245*(1-AP245)*(1-Settings!$D$17))),"")</f>
        <v/>
      </c>
      <c r="N245" s="101">
        <f>IFERROR(IF(T245="","",(T245*(1-AQ245)*(1-Settings!$F$17)-I245)/(T245*(1-AQ245)*(1-Settings!$F$17))),"")</f>
        <v/>
      </c>
      <c r="O245" s="101">
        <f>IFERROR(IF(T245="","",(T245*(1-AR245)*(1-Settings!$G$17)-I245)/(T245*(1-AR245)*(1-Settings!$G$17))),"")</f>
        <v/>
      </c>
      <c r="P245" s="101">
        <f>IFERROR(IF(T245="","",(T245*(1-AS245)*(1-Settings!$H$17)-I245)/(T245*(1-AS245)*(1-Settings!$H$17))),"")</f>
        <v/>
      </c>
      <c r="Q245" s="101">
        <f>IFERROR(IF(T245="","",(T245*(1-AT245)*(1-Settings!$I$68)*(1-Settings!$I$17)-I245)/(T245*(1-AT245)*(1-Settings!$I$68)*(1-Settings!$I$17))),"")</f>
        <v/>
      </c>
      <c r="R245" s="91">
        <f>IFERROR(IF(OR(I245="",Z245&gt;=1,Settings!$B$17&gt;=1,AN245&gt;=1),"",IF(MOD(ROUND(I245/(1-Z245)/(1-Settings!$B$17)/(1-AN245),0),10)=0,ROUND(I245/(1-Z245)/(1-Settings!$B$17)/(1-AN245),0)-1,IF(MOD(ROUND(I245/(1-Z245)/(1-Settings!$B$17)/(1-AN245),0),10)&lt;=5,FLOOR(ROUND(I245/(1-Z245)/(1-Settings!$B$17)/(1-AN245),0),10)+6,FLOOR(ROUND(I245/(1-Z245)/(1-Settings!$B$17)/(1-AN245),0),10)+9))),"")</f>
        <v/>
      </c>
      <c r="S245" s="174" t="n"/>
      <c r="T245" s="91">
        <f>IF(S245&lt;&gt;"", IF(MOD(S245,10)=0,S245-1,IF(MOD(S245,10)&lt;=5,FLOOR(S245,10)+6,FLOOR(S245,10)+9)), R245)</f>
        <v/>
      </c>
      <c r="U245" s="87" t="inlineStr">
        <is>
          <t>Основний</t>
        </is>
      </c>
      <c r="V245" s="88" t="n"/>
      <c r="W245" s="88" t="n"/>
      <c r="X245" s="89">
        <f>IFERROR(IF(OR(V245="",W245="",T245=""),"", IF(T245&gt;W245,"Дорогий",IF(T245&lt;V245,"Дешевий","У ринку"))),"")</f>
        <v/>
      </c>
      <c r="Y245" s="90" t="n"/>
      <c r="Z245" s="104">
        <f>CHOOSE(MATCH(IF($U245="","Основний",$U245),{"Трафіковий","Основний","Маржинальний","Сезонний","Стратегічний"},0),0.16,0.19,0.24,0.23,0.28)</f>
        <v/>
      </c>
      <c r="AA245" s="104">
        <f>CHOOSE(MATCH(IF($U245="","Основний",$U245),{"Трафіковий","Основний","Маржинальний","Сезонний","Стратегічний"},0),0.18,0.21,0.26,0.25,0.3)</f>
        <v/>
      </c>
      <c r="AB245" s="104">
        <f>CHOOSE(MATCH(IF($U245="","Основний",$U245),{"Трафіковий","Основний","Маржинальний","Сезонний","Стратегічний"},0),0.19,0.22,0.28,0.26,0.32)</f>
        <v/>
      </c>
      <c r="AC245" s="104">
        <f>CHOOSE(MATCH(IF($U245="","Основний",$U245),{"Трафіковий","Основний","Маржинальний","Сезонний","Стратегічний"},0),0.17,0.2,0.25,0.24,0.28)</f>
        <v/>
      </c>
      <c r="AD245" s="104">
        <f>CHOOSE(MATCH(IF($U245="","Основний",$U245),{"Трафіковий","Основний","Маржинальний","Сезонний","Стратегічний"},0),0.18,0.21,0.26,0.25,0.3)</f>
        <v/>
      </c>
      <c r="AE245" s="104">
        <f>CHOOSE(MATCH(IF($U245="","Основний",$U245),{"Трафіковий","Основний","Маржинальний","Сезонний","Стратегічний"},0),0.18,0.2,0.28,0.27,0.32)</f>
        <v/>
      </c>
      <c r="AF245" s="104">
        <f>CHOOSE(MATCH(IF($U245="","Основний",$U245),{"Трафіковий","Основний","Маржинальний","Сезонний","Стратегічний"},0),0.15,0.175,0.22,0.21,0.25)</f>
        <v/>
      </c>
      <c r="AG245" s="104">
        <f>CHOOSE(MATCH(IF($U245="","Основний",$U245),{"Трафіковий","Основний","Маржинальний","Сезонний","Стратегічний"},0),0.13,0.16,0.21,0.2,0.25)</f>
        <v/>
      </c>
      <c r="AH245" s="104">
        <f>CHOOSE(MATCH(IF($U245="","Основний",$U245),{"Трафіковий","Основний","Маржинальний","Сезонний","Стратегічний"},0),0.15,0.18,0.23,0.22,0.27)</f>
        <v/>
      </c>
      <c r="AI245" s="104">
        <f>CHOOSE(MATCH(IF($U245="","Основний",$U245),{"Трафіковий","Основний","Маржинальний","Сезонний","Стратегічний"},0),0.16,0.19,0.25,0.23,0.29)</f>
        <v/>
      </c>
      <c r="AJ245" s="104">
        <f>CHOOSE(MATCH(IF($U245="","Основний",$U245),{"Трафіковий","Основний","Маржинальний","Сезонний","Стратегічний"},0),0.14,0.17,0.22,0.21,0.25)</f>
        <v/>
      </c>
      <c r="AK245" s="104">
        <f>CHOOSE(MATCH(IF($U245="","Основний",$U245),{"Трафіковий","Основний","Маржинальний","Сезонний","Стратегічний"},0),0.15,0.18,0.23,0.22,0.27)</f>
        <v/>
      </c>
      <c r="AL245" s="104">
        <f>CHOOSE(MATCH(IF($U245="","Основний",$U245),{"Трафіковий","Основний","Маржинальний","Сезонний","Стратегічний"},0),0.15,0.17,0.25,0.24,0.29)</f>
        <v/>
      </c>
      <c r="AM245" s="104">
        <f>CHOOSE(MATCH(IF($U245="","Основний",$U245),{"Трафіковий","Основний","Маржинальний","Сезонний","Стратегічний"},0),0.12,0.145,0.19,0.18,0.22)</f>
        <v/>
      </c>
      <c r="AN245" s="157">
        <f>CHOOSE(MATCH(IF($U245="","Основний",$U245),{"Трафіковий","Основний","Маржинальний","Сезонний","Стратегічний"},0),Settings!$B$78,Settings!$B$80,Settings!$B$82,Settings!$B$84,Settings!$B$86)</f>
        <v/>
      </c>
      <c r="AO245" s="157">
        <f>CHOOSE(MATCH(IF($U245="","Основний",$U245),{"Трафіковий","Основний","Маржинальний","Сезонний","Стратегічний"},0),Settings!$C$78,Settings!$C$80,Settings!$C$82,Settings!$C$84,Settings!$C$86)</f>
        <v/>
      </c>
      <c r="AP245" s="157">
        <f>CHOOSE(MATCH(IF($U245="","Основний",$U245),{"Трафіковий","Основний","Маржинальний","Сезонний","Стратегічний"},0),Settings!$D$78,Settings!$D$80,Settings!$D$82,Settings!$D$84,Settings!$D$86)</f>
        <v/>
      </c>
      <c r="AQ245" s="157">
        <f>CHOOSE(MATCH(IF($U245="","Основний",$U245),{"Трафіковий","Основний","Маржинальний","Сезонний","Стратегічний"},0),Settings!$F$78,Settings!$F$80,Settings!$F$82,Settings!$F$84,Settings!$F$86)</f>
        <v/>
      </c>
      <c r="AR245" s="157">
        <f>CHOOSE(MATCH(IF($U245="","Основний",$U245),{"Трафіковий","Основний","Маржинальний","Сезонний","Стратегічний"},0),Settings!$G$78,Settings!$G$80,Settings!$G$82,Settings!$G$84,Settings!$G$86)</f>
        <v/>
      </c>
      <c r="AS245" s="157">
        <f>CHOOSE(MATCH(IF($U245="","Основний",$U245),{"Трафіковий","Основний","Маржинальний","Сезонний","Стратегічний"},0),Settings!$H$78,Settings!$H$80,Settings!$H$82,Settings!$H$84,Settings!$H$86)</f>
        <v/>
      </c>
      <c r="AT245" s="157">
        <f>CHOOSE(MATCH(IF($U245="","Основний",$U245),{"Трафіковий","Основний","Маржинальний","Сезонний","Стратегічний"},0),Settings!$I$78,Settings!$I$80,Settings!$I$82,Settings!$I$84,Settings!$I$86)</f>
        <v/>
      </c>
      <c r="AU245" s="171" t="n"/>
      <c r="AV245" t="n">
        <v>1.35</v>
      </c>
    </row>
    <row r="246">
      <c r="A246" s="28" t="n"/>
      <c r="B246" s="29" t="inlineStr">
        <is>
          <t>PC01305</t>
        </is>
      </c>
      <c r="C246" s="29" t="inlineStr">
        <is>
          <t>2WIRE CORD SET 5M 2,5A BLACK</t>
        </is>
      </c>
      <c r="D246" s="29" t="inlineStr">
        <is>
          <t>Пооджувачи та адаптери</t>
        </is>
      </c>
      <c r="E246" s="28" t="inlineStr">
        <is>
          <t>PC</t>
        </is>
      </c>
      <c r="F246" s="93" t="n">
        <v>1.958</v>
      </c>
      <c r="G246" s="30" t="n">
        <v>8544429090</v>
      </c>
      <c r="H246" s="31" t="n">
        <v>1.4</v>
      </c>
      <c r="I246" s="84">
        <f>IFERROR(F246*Settings!$B$2*H246*IF(AND(ISNUMBER(E246),E246&gt;1),E246,1),"")</f>
        <v/>
      </c>
      <c r="J246" s="32">
        <f>Settings!$B$66</f>
        <v/>
      </c>
      <c r="K246" s="95">
        <f>IFERROR(IF(T246="","",(T246*(1-AN246)*(1-Settings!$B$17)-I246)/(T246*(1-AN246)*(1-Settings!$B$17))),"")</f>
        <v/>
      </c>
      <c r="L246" s="101">
        <f>IFERROR(IF(T246="","",(T246*(1-AO246)*(1-Settings!$C$17)-I246)/(T246*(1-AO246)*(1-Settings!$C$17))),"")</f>
        <v/>
      </c>
      <c r="M246" s="101">
        <f>IFERROR(IF(T246="","",(T246*(1-AP246)*(1-Settings!$D$17)-I246)/(T246*(1-AP246)*(1-Settings!$D$17))),"")</f>
        <v/>
      </c>
      <c r="N246" s="101">
        <f>IFERROR(IF(T246="","",(T246*(1-AQ246)*(1-Settings!$F$17)-I246)/(T246*(1-AQ246)*(1-Settings!$F$17))),"")</f>
        <v/>
      </c>
      <c r="O246" s="101">
        <f>IFERROR(IF(T246="","",(T246*(1-AR246)*(1-Settings!$G$17)-I246)/(T246*(1-AR246)*(1-Settings!$G$17))),"")</f>
        <v/>
      </c>
      <c r="P246" s="101">
        <f>IFERROR(IF(T246="","",(T246*(1-AS246)*(1-Settings!$H$17)-I246)/(T246*(1-AS246)*(1-Settings!$H$17))),"")</f>
        <v/>
      </c>
      <c r="Q246" s="101">
        <f>IFERROR(IF(T246="","",(T246*(1-AT246)*(1-Settings!$I$68)*(1-Settings!$I$17)-I246)/(T246*(1-AT246)*(1-Settings!$I$68)*(1-Settings!$I$17))),"")</f>
        <v/>
      </c>
      <c r="R246" s="91">
        <f>IFERROR(IF(OR(I246="",Z246&gt;=1,Settings!$B$17&gt;=1,AN246&gt;=1),"",IF(MOD(ROUND(I246/(1-Z246)/(1-Settings!$B$17)/(1-AN246),0),10)=0,ROUND(I246/(1-Z246)/(1-Settings!$B$17)/(1-AN246),0)-1,IF(MOD(ROUND(I246/(1-Z246)/(1-Settings!$B$17)/(1-AN246),0),10)&lt;=5,FLOOR(ROUND(I246/(1-Z246)/(1-Settings!$B$17)/(1-AN246),0),10)+6,FLOOR(ROUND(I246/(1-Z246)/(1-Settings!$B$17)/(1-AN246),0),10)+9))),"")</f>
        <v/>
      </c>
      <c r="S246" s="174" t="n"/>
      <c r="T246" s="91">
        <f>IF(S246&lt;&gt;"", IF(MOD(S246,10)=0,S246-1,IF(MOD(S246,10)&lt;=5,FLOOR(S246,10)+6,FLOOR(S246,10)+9)), R246)</f>
        <v/>
      </c>
      <c r="U246" s="87" t="inlineStr">
        <is>
          <t>Основний</t>
        </is>
      </c>
      <c r="V246" s="88" t="n"/>
      <c r="W246" s="88" t="n"/>
      <c r="X246" s="89">
        <f>IFERROR(IF(OR(V246="",W246="",T246=""),"", IF(T246&gt;W246,"Дорогий",IF(T246&lt;V246,"Дешевий","У ринку"))),"")</f>
        <v/>
      </c>
      <c r="Y246" s="90" t="n"/>
      <c r="Z246" s="104">
        <f>CHOOSE(MATCH(IF($U246="","Основний",$U246),{"Трафіковий","Основний","Маржинальний","Сезонний","Стратегічний"},0),0.16,0.19,0.24,0.23,0.28)</f>
        <v/>
      </c>
      <c r="AA246" s="104">
        <f>CHOOSE(MATCH(IF($U246="","Основний",$U246),{"Трафіковий","Основний","Маржинальний","Сезонний","Стратегічний"},0),0.18,0.21,0.26,0.25,0.3)</f>
        <v/>
      </c>
      <c r="AB246" s="104">
        <f>CHOOSE(MATCH(IF($U246="","Основний",$U246),{"Трафіковий","Основний","Маржинальний","Сезонний","Стратегічний"},0),0.19,0.22,0.28,0.26,0.32)</f>
        <v/>
      </c>
      <c r="AC246" s="104">
        <f>CHOOSE(MATCH(IF($U246="","Основний",$U246),{"Трафіковий","Основний","Маржинальний","Сезонний","Стратегічний"},0),0.17,0.2,0.25,0.24,0.28)</f>
        <v/>
      </c>
      <c r="AD246" s="104">
        <f>CHOOSE(MATCH(IF($U246="","Основний",$U246),{"Трафіковий","Основний","Маржинальний","Сезонний","Стратегічний"},0),0.18,0.21,0.26,0.25,0.3)</f>
        <v/>
      </c>
      <c r="AE246" s="104">
        <f>CHOOSE(MATCH(IF($U246="","Основний",$U246),{"Трафіковий","Основний","Маржинальний","Сезонний","Стратегічний"},0),0.18,0.2,0.28,0.27,0.32)</f>
        <v/>
      </c>
      <c r="AF246" s="104">
        <f>CHOOSE(MATCH(IF($U246="","Основний",$U246),{"Трафіковий","Основний","Маржинальний","Сезонний","Стратегічний"},0),0.15,0.175,0.22,0.21,0.25)</f>
        <v/>
      </c>
      <c r="AG246" s="104">
        <f>CHOOSE(MATCH(IF($U246="","Основний",$U246),{"Трафіковий","Основний","Маржинальний","Сезонний","Стратегічний"},0),0.13,0.16,0.21,0.2,0.25)</f>
        <v/>
      </c>
      <c r="AH246" s="104">
        <f>CHOOSE(MATCH(IF($U246="","Основний",$U246),{"Трафіковий","Основний","Маржинальний","Сезонний","Стратегічний"},0),0.15,0.18,0.23,0.22,0.27)</f>
        <v/>
      </c>
      <c r="AI246" s="104">
        <f>CHOOSE(MATCH(IF($U246="","Основний",$U246),{"Трафіковий","Основний","Маржинальний","Сезонний","Стратегічний"},0),0.16,0.19,0.25,0.23,0.29)</f>
        <v/>
      </c>
      <c r="AJ246" s="104">
        <f>CHOOSE(MATCH(IF($U246="","Основний",$U246),{"Трафіковий","Основний","Маржинальний","Сезонний","Стратегічний"},0),0.14,0.17,0.22,0.21,0.25)</f>
        <v/>
      </c>
      <c r="AK246" s="104">
        <f>CHOOSE(MATCH(IF($U246="","Основний",$U246),{"Трафіковий","Основний","Маржинальний","Сезонний","Стратегічний"},0),0.15,0.18,0.23,0.22,0.27)</f>
        <v/>
      </c>
      <c r="AL246" s="104">
        <f>CHOOSE(MATCH(IF($U246="","Основний",$U246),{"Трафіковий","Основний","Маржинальний","Сезонний","Стратегічний"},0),0.15,0.17,0.25,0.24,0.29)</f>
        <v/>
      </c>
      <c r="AM246" s="104">
        <f>CHOOSE(MATCH(IF($U246="","Основний",$U246),{"Трафіковий","Основний","Маржинальний","Сезонний","Стратегічний"},0),0.12,0.145,0.19,0.18,0.22)</f>
        <v/>
      </c>
      <c r="AN246" s="157">
        <f>CHOOSE(MATCH(IF($U246="","Основний",$U246),{"Трафіковий","Основний","Маржинальний","Сезонний","Стратегічний"},0),Settings!$B$78,Settings!$B$80,Settings!$B$82,Settings!$B$84,Settings!$B$86)</f>
        <v/>
      </c>
      <c r="AO246" s="157">
        <f>CHOOSE(MATCH(IF($U246="","Основний",$U246),{"Трафіковий","Основний","Маржинальний","Сезонний","Стратегічний"},0),Settings!$C$78,Settings!$C$80,Settings!$C$82,Settings!$C$84,Settings!$C$86)</f>
        <v/>
      </c>
      <c r="AP246" s="157">
        <f>CHOOSE(MATCH(IF($U246="","Основний",$U246),{"Трафіковий","Основний","Маржинальний","Сезонний","Стратегічний"},0),Settings!$D$78,Settings!$D$80,Settings!$D$82,Settings!$D$84,Settings!$D$86)</f>
        <v/>
      </c>
      <c r="AQ246" s="157">
        <f>CHOOSE(MATCH(IF($U246="","Основний",$U246),{"Трафіковий","Основний","Маржинальний","Сезонний","Стратегічний"},0),Settings!$F$78,Settings!$F$80,Settings!$F$82,Settings!$F$84,Settings!$F$86)</f>
        <v/>
      </c>
      <c r="AR246" s="157">
        <f>CHOOSE(MATCH(IF($U246="","Основний",$U246),{"Трафіковий","Основний","Маржинальний","Сезонний","Стратегічний"},0),Settings!$G$78,Settings!$G$80,Settings!$G$82,Settings!$G$84,Settings!$G$86)</f>
        <v/>
      </c>
      <c r="AS246" s="157">
        <f>CHOOSE(MATCH(IF($U246="","Основний",$U246),{"Трафіковий","Основний","Маржинальний","Сезонний","Стратегічний"},0),Settings!$H$78,Settings!$H$80,Settings!$H$82,Settings!$H$84,Settings!$H$86)</f>
        <v/>
      </c>
      <c r="AT246" s="157">
        <f>CHOOSE(MATCH(IF($U246="","Основний",$U246),{"Трафіковий","Основний","Маржинальний","Сезонний","Стратегічний"},0),Settings!$I$78,Settings!$I$80,Settings!$I$82,Settings!$I$84,Settings!$I$86)</f>
        <v/>
      </c>
      <c r="AU246" s="171" t="n"/>
      <c r="AV246" t="n">
        <v>1.35</v>
      </c>
    </row>
    <row r="247">
      <c r="A247" s="33" t="n"/>
      <c r="B247" s="34" t="inlineStr">
        <is>
          <t>P0003C</t>
        </is>
      </c>
      <c r="C247" s="34" t="inlineStr">
        <is>
          <t>HOLDER OF EXTENSION POWER CORD</t>
        </is>
      </c>
      <c r="D247" s="34" t="inlineStr">
        <is>
          <t>Пооджувачи та адаптери</t>
        </is>
      </c>
      <c r="E247" s="33" t="inlineStr">
        <is>
          <t>PC</t>
        </is>
      </c>
      <c r="F247" s="94" t="n">
        <v>0.437</v>
      </c>
      <c r="G247" s="35" t="n">
        <v>3926909790</v>
      </c>
      <c r="H247" s="31" t="n">
        <v>1.3</v>
      </c>
      <c r="I247" s="84">
        <f>IFERROR(F247*Settings!$B$2*H247*IF(AND(ISNUMBER(E247),E247&gt;1),E247,1),"")</f>
        <v/>
      </c>
      <c r="J247" s="32">
        <f>Settings!$B$66</f>
        <v/>
      </c>
      <c r="K247" s="95">
        <f>IFERROR(IF(T247="","",(T247*(1-AN247)*(1-Settings!$B$17)-I247)/(T247*(1-AN247)*(1-Settings!$B$17))),"")</f>
        <v/>
      </c>
      <c r="L247" s="101">
        <f>IFERROR(IF(T247="","",(T247*(1-AO247)*(1-Settings!$C$17)-I247)/(T247*(1-AO247)*(1-Settings!$C$17))),"")</f>
        <v/>
      </c>
      <c r="M247" s="101">
        <f>IFERROR(IF(T247="","",(T247*(1-AP247)*(1-Settings!$D$17)-I247)/(T247*(1-AP247)*(1-Settings!$D$17))),"")</f>
        <v/>
      </c>
      <c r="N247" s="101">
        <f>IFERROR(IF(T247="","",(T247*(1-AQ247)*(1-Settings!$F$17)-I247)/(T247*(1-AQ247)*(1-Settings!$F$17))),"")</f>
        <v/>
      </c>
      <c r="O247" s="101">
        <f>IFERROR(IF(T247="","",(T247*(1-AR247)*(1-Settings!$G$17)-I247)/(T247*(1-AR247)*(1-Settings!$G$17))),"")</f>
        <v/>
      </c>
      <c r="P247" s="101">
        <f>IFERROR(IF(T247="","",(T247*(1-AS247)*(1-Settings!$H$17)-I247)/(T247*(1-AS247)*(1-Settings!$H$17))),"")</f>
        <v/>
      </c>
      <c r="Q247" s="101">
        <f>IFERROR(IF(T247="","",(T247*(1-AT247)*(1-Settings!$I$68)*(1-Settings!$I$17)-I247)/(T247*(1-AT247)*(1-Settings!$I$68)*(1-Settings!$I$17))),"")</f>
        <v/>
      </c>
      <c r="R247" s="91">
        <f>IFERROR(IF(OR(I247="",Z247&gt;=1,Settings!$B$17&gt;=1,AN247&gt;=1),"",IF(MOD(ROUND(I247/(1-Z247)/(1-Settings!$B$17)/(1-AN247),0),10)=0,ROUND(I247/(1-Z247)/(1-Settings!$B$17)/(1-AN247),0)-1,IF(MOD(ROUND(I247/(1-Z247)/(1-Settings!$B$17)/(1-AN247),0),10)&lt;=5,FLOOR(ROUND(I247/(1-Z247)/(1-Settings!$B$17)/(1-AN247),0),10)+6,FLOOR(ROUND(I247/(1-Z247)/(1-Settings!$B$17)/(1-AN247),0),10)+9))),"")</f>
        <v/>
      </c>
      <c r="S247" s="174" t="n"/>
      <c r="T247" s="91">
        <f>IF(S247&lt;&gt;"", IF(MOD(S247,10)=0,S247-1,IF(MOD(S247,10)&lt;=5,FLOOR(S247,10)+6,FLOOR(S247,10)+9)), R247)</f>
        <v/>
      </c>
      <c r="U247" s="87" t="inlineStr">
        <is>
          <t>Маржинальний</t>
        </is>
      </c>
      <c r="V247" s="88" t="n"/>
      <c r="W247" s="88" t="n"/>
      <c r="X247" s="89">
        <f>IFERROR(IF(OR(V247="",W247="",T247=""),"", IF(T247&gt;W247,"Дорогий",IF(T247&lt;V247,"Дешевий","У ринку"))),"")</f>
        <v/>
      </c>
      <c r="Y247" s="90" t="n"/>
      <c r="Z247" s="104">
        <f>CHOOSE(MATCH(IF($U247="","Основний",$U247),{"Трафіковий","Основний","Маржинальний","Сезонний","Стратегічний"},0),0.16,0.19,0.24,0.23,0.28)</f>
        <v/>
      </c>
      <c r="AA247" s="104">
        <f>CHOOSE(MATCH(IF($U247="","Основний",$U247),{"Трафіковий","Основний","Маржинальний","Сезонний","Стратегічний"},0),0.18,0.21,0.26,0.25,0.3)</f>
        <v/>
      </c>
      <c r="AB247" s="104">
        <f>CHOOSE(MATCH(IF($U247="","Основний",$U247),{"Трафіковий","Основний","Маржинальний","Сезонний","Стратегічний"},0),0.19,0.22,0.28,0.26,0.32)</f>
        <v/>
      </c>
      <c r="AC247" s="104">
        <f>CHOOSE(MATCH(IF($U247="","Основний",$U247),{"Трафіковий","Основний","Маржинальний","Сезонний","Стратегічний"},0),0.17,0.2,0.25,0.24,0.28)</f>
        <v/>
      </c>
      <c r="AD247" s="104">
        <f>CHOOSE(MATCH(IF($U247="","Основний",$U247),{"Трафіковий","Основний","Маржинальний","Сезонний","Стратегічний"},0),0.18,0.21,0.26,0.25,0.3)</f>
        <v/>
      </c>
      <c r="AE247" s="104">
        <f>CHOOSE(MATCH(IF($U247="","Основний",$U247),{"Трафіковий","Основний","Маржинальний","Сезонний","Стратегічний"},0),0.18,0.2,0.28,0.27,0.32)</f>
        <v/>
      </c>
      <c r="AF247" s="104">
        <f>CHOOSE(MATCH(IF($U247="","Основний",$U247),{"Трафіковий","Основний","Маржинальний","Сезонний","Стратегічний"},0),0.15,0.175,0.22,0.21,0.25)</f>
        <v/>
      </c>
      <c r="AG247" s="104">
        <f>CHOOSE(MATCH(IF($U247="","Основний",$U247),{"Трафіковий","Основний","Маржинальний","Сезонний","Стратегічний"},0),0.13,0.16,0.21,0.2,0.25)</f>
        <v/>
      </c>
      <c r="AH247" s="104">
        <f>CHOOSE(MATCH(IF($U247="","Основний",$U247),{"Трафіковий","Основний","Маржинальний","Сезонний","Стратегічний"},0),0.15,0.18,0.23,0.22,0.27)</f>
        <v/>
      </c>
      <c r="AI247" s="104">
        <f>CHOOSE(MATCH(IF($U247="","Основний",$U247),{"Трафіковий","Основний","Маржинальний","Сезонний","Стратегічний"},0),0.16,0.19,0.25,0.23,0.29)</f>
        <v/>
      </c>
      <c r="AJ247" s="104">
        <f>CHOOSE(MATCH(IF($U247="","Основний",$U247),{"Трафіковий","Основний","Маржинальний","Сезонний","Стратегічний"},0),0.14,0.17,0.22,0.21,0.25)</f>
        <v/>
      </c>
      <c r="AK247" s="104">
        <f>CHOOSE(MATCH(IF($U247="","Основний",$U247),{"Трафіковий","Основний","Маржинальний","Сезонний","Стратегічний"},0),0.15,0.18,0.23,0.22,0.27)</f>
        <v/>
      </c>
      <c r="AL247" s="104">
        <f>CHOOSE(MATCH(IF($U247="","Основний",$U247),{"Трафіковий","Основний","Маржинальний","Сезонний","Стратегічний"},0),0.15,0.17,0.25,0.24,0.29)</f>
        <v/>
      </c>
      <c r="AM247" s="104">
        <f>CHOOSE(MATCH(IF($U247="","Основний",$U247),{"Трафіковий","Основний","Маржинальний","Сезонний","Стратегічний"},0),0.12,0.145,0.19,0.18,0.22)</f>
        <v/>
      </c>
      <c r="AN247" s="157">
        <f>CHOOSE(MATCH(IF($U247="","Основний",$U247),{"Трафіковий","Основний","Маржинальний","Сезонний","Стратегічний"},0),Settings!$B$78,Settings!$B$80,Settings!$B$82,Settings!$B$84,Settings!$B$86)</f>
        <v/>
      </c>
      <c r="AO247" s="157">
        <f>CHOOSE(MATCH(IF($U247="","Основний",$U247),{"Трафіковий","Основний","Маржинальний","Сезонний","Стратегічний"},0),Settings!$C$78,Settings!$C$80,Settings!$C$82,Settings!$C$84,Settings!$C$86)</f>
        <v/>
      </c>
      <c r="AP247" s="157">
        <f>CHOOSE(MATCH(IF($U247="","Основний",$U247),{"Трафіковий","Основний","Маржинальний","Сезонний","Стратегічний"},0),Settings!$D$78,Settings!$D$80,Settings!$D$82,Settings!$D$84,Settings!$D$86)</f>
        <v/>
      </c>
      <c r="AQ247" s="157">
        <f>CHOOSE(MATCH(IF($U247="","Основний",$U247),{"Трафіковий","Основний","Маржинальний","Сезонний","Стратегічний"},0),Settings!$F$78,Settings!$F$80,Settings!$F$82,Settings!$F$84,Settings!$F$86)</f>
        <v/>
      </c>
      <c r="AR247" s="157">
        <f>CHOOSE(MATCH(IF($U247="","Основний",$U247),{"Трафіковий","Основний","Маржинальний","Сезонний","Стратегічний"},0),Settings!$G$78,Settings!$G$80,Settings!$G$82,Settings!$G$84,Settings!$G$86)</f>
        <v/>
      </c>
      <c r="AS247" s="157">
        <f>CHOOSE(MATCH(IF($U247="","Основний",$U247),{"Трафіковий","Основний","Маржинальний","Сезонний","Стратегічний"},0),Settings!$H$78,Settings!$H$80,Settings!$H$82,Settings!$H$84,Settings!$H$86)</f>
        <v/>
      </c>
      <c r="AT247" s="157">
        <f>CHOOSE(MATCH(IF($U247="","Основний",$U247),{"Трафіковий","Основний","Маржинальний","Сезонний","Стратегічний"},0),Settings!$I$78,Settings!$I$80,Settings!$I$82,Settings!$I$84,Settings!$I$86)</f>
        <v/>
      </c>
      <c r="AU247" s="171" t="n"/>
      <c r="AV247" t="n">
        <v>1.35</v>
      </c>
    </row>
    <row r="248">
      <c r="A248" s="28" t="n"/>
      <c r="B248" s="29" t="inlineStr">
        <is>
          <t>P0004C</t>
        </is>
      </c>
      <c r="C248" s="29" t="inlineStr">
        <is>
          <t>HOLDER OF EXT.P.CORD FOR 5,6 S</t>
        </is>
      </c>
      <c r="D248" s="29" t="inlineStr">
        <is>
          <t>Пооджувачи та адаптери</t>
        </is>
      </c>
      <c r="E248" s="28" t="inlineStr">
        <is>
          <t>PC</t>
        </is>
      </c>
      <c r="F248" s="93" t="n">
        <v>0.452</v>
      </c>
      <c r="G248" s="30" t="n">
        <v>3926909790</v>
      </c>
      <c r="H248" s="31" t="n">
        <v>1.3</v>
      </c>
      <c r="I248" s="84">
        <f>IFERROR(F248*Settings!$B$2*H248*IF(AND(ISNUMBER(E248),E248&gt;1),E248,1),"")</f>
        <v/>
      </c>
      <c r="J248" s="32">
        <f>Settings!$B$66</f>
        <v/>
      </c>
      <c r="K248" s="95">
        <f>IFERROR(IF(T248="","",(T248*(1-AN248)*(1-Settings!$B$17)-I248)/(T248*(1-AN248)*(1-Settings!$B$17))),"")</f>
        <v/>
      </c>
      <c r="L248" s="101">
        <f>IFERROR(IF(T248="","",(T248*(1-AO248)*(1-Settings!$C$17)-I248)/(T248*(1-AO248)*(1-Settings!$C$17))),"")</f>
        <v/>
      </c>
      <c r="M248" s="101">
        <f>IFERROR(IF(T248="","",(T248*(1-AP248)*(1-Settings!$D$17)-I248)/(T248*(1-AP248)*(1-Settings!$D$17))),"")</f>
        <v/>
      </c>
      <c r="N248" s="101">
        <f>IFERROR(IF(T248="","",(T248*(1-AQ248)*(1-Settings!$F$17)-I248)/(T248*(1-AQ248)*(1-Settings!$F$17))),"")</f>
        <v/>
      </c>
      <c r="O248" s="101">
        <f>IFERROR(IF(T248="","",(T248*(1-AR248)*(1-Settings!$G$17)-I248)/(T248*(1-AR248)*(1-Settings!$G$17))),"")</f>
        <v/>
      </c>
      <c r="P248" s="101">
        <f>IFERROR(IF(T248="","",(T248*(1-AS248)*(1-Settings!$H$17)-I248)/(T248*(1-AS248)*(1-Settings!$H$17))),"")</f>
        <v/>
      </c>
      <c r="Q248" s="101">
        <f>IFERROR(IF(T248="","",(T248*(1-AT248)*(1-Settings!$I$68)*(1-Settings!$I$17)-I248)/(T248*(1-AT248)*(1-Settings!$I$68)*(1-Settings!$I$17))),"")</f>
        <v/>
      </c>
      <c r="R248" s="91">
        <f>IFERROR(IF(OR(I248="",Z248&gt;=1,Settings!$B$17&gt;=1,AN248&gt;=1),"",IF(MOD(ROUND(I248/(1-Z248)/(1-Settings!$B$17)/(1-AN248),0),10)=0,ROUND(I248/(1-Z248)/(1-Settings!$B$17)/(1-AN248),0)-1,IF(MOD(ROUND(I248/(1-Z248)/(1-Settings!$B$17)/(1-AN248),0),10)&lt;=5,FLOOR(ROUND(I248/(1-Z248)/(1-Settings!$B$17)/(1-AN248),0),10)+6,FLOOR(ROUND(I248/(1-Z248)/(1-Settings!$B$17)/(1-AN248),0),10)+9))),"")</f>
        <v/>
      </c>
      <c r="S248" s="174" t="n"/>
      <c r="T248" s="91">
        <f>IF(S248&lt;&gt;"", IF(MOD(S248,10)=0,S248-1,IF(MOD(S248,10)&lt;=5,FLOOR(S248,10)+6,FLOOR(S248,10)+9)), R248)</f>
        <v/>
      </c>
      <c r="U248" s="87" t="inlineStr">
        <is>
          <t>Маржинальний</t>
        </is>
      </c>
      <c r="V248" s="88" t="n"/>
      <c r="W248" s="88" t="n"/>
      <c r="X248" s="89">
        <f>IFERROR(IF(OR(V248="",W248="",T248=""),"", IF(T248&gt;W248,"Дорогий",IF(T248&lt;V248,"Дешевий","У ринку"))),"")</f>
        <v/>
      </c>
      <c r="Y248" s="90" t="n"/>
      <c r="Z248" s="104">
        <f>CHOOSE(MATCH(IF($U248="","Основний",$U248),{"Трафіковий","Основний","Маржинальний","Сезонний","Стратегічний"},0),0.16,0.19,0.24,0.23,0.28)</f>
        <v/>
      </c>
      <c r="AA248" s="104">
        <f>CHOOSE(MATCH(IF($U248="","Основний",$U248),{"Трафіковий","Основний","Маржинальний","Сезонний","Стратегічний"},0),0.18,0.21,0.26,0.25,0.3)</f>
        <v/>
      </c>
      <c r="AB248" s="104">
        <f>CHOOSE(MATCH(IF($U248="","Основний",$U248),{"Трафіковий","Основний","Маржинальний","Сезонний","Стратегічний"},0),0.19,0.22,0.28,0.26,0.32)</f>
        <v/>
      </c>
      <c r="AC248" s="104">
        <f>CHOOSE(MATCH(IF($U248="","Основний",$U248),{"Трафіковий","Основний","Маржинальний","Сезонний","Стратегічний"},0),0.17,0.2,0.25,0.24,0.28)</f>
        <v/>
      </c>
      <c r="AD248" s="104">
        <f>CHOOSE(MATCH(IF($U248="","Основний",$U248),{"Трафіковий","Основний","Маржинальний","Сезонний","Стратегічний"},0),0.18,0.21,0.26,0.25,0.3)</f>
        <v/>
      </c>
      <c r="AE248" s="104">
        <f>CHOOSE(MATCH(IF($U248="","Основний",$U248),{"Трафіковий","Основний","Маржинальний","Сезонний","Стратегічний"},0),0.18,0.2,0.28,0.27,0.32)</f>
        <v/>
      </c>
      <c r="AF248" s="104">
        <f>CHOOSE(MATCH(IF($U248="","Основний",$U248),{"Трафіковий","Основний","Маржинальний","Сезонний","Стратегічний"},0),0.15,0.175,0.22,0.21,0.25)</f>
        <v/>
      </c>
      <c r="AG248" s="104">
        <f>CHOOSE(MATCH(IF($U248="","Основний",$U248),{"Трафіковий","Основний","Маржинальний","Сезонний","Стратегічний"},0),0.13,0.16,0.21,0.2,0.25)</f>
        <v/>
      </c>
      <c r="AH248" s="104">
        <f>CHOOSE(MATCH(IF($U248="","Основний",$U248),{"Трафіковий","Основний","Маржинальний","Сезонний","Стратегічний"},0),0.15,0.18,0.23,0.22,0.27)</f>
        <v/>
      </c>
      <c r="AI248" s="104">
        <f>CHOOSE(MATCH(IF($U248="","Основний",$U248),{"Трафіковий","Основний","Маржинальний","Сезонний","Стратегічний"},0),0.16,0.19,0.25,0.23,0.29)</f>
        <v/>
      </c>
      <c r="AJ248" s="104">
        <f>CHOOSE(MATCH(IF($U248="","Основний",$U248),{"Трафіковий","Основний","Маржинальний","Сезонний","Стратегічний"},0),0.14,0.17,0.22,0.21,0.25)</f>
        <v/>
      </c>
      <c r="AK248" s="104">
        <f>CHOOSE(MATCH(IF($U248="","Основний",$U248),{"Трафіковий","Основний","Маржинальний","Сезонний","Стратегічний"},0),0.15,0.18,0.23,0.22,0.27)</f>
        <v/>
      </c>
      <c r="AL248" s="104">
        <f>CHOOSE(MATCH(IF($U248="","Основний",$U248),{"Трафіковий","Основний","Маржинальний","Сезонний","Стратегічний"},0),0.15,0.17,0.25,0.24,0.29)</f>
        <v/>
      </c>
      <c r="AM248" s="104">
        <f>CHOOSE(MATCH(IF($U248="","Основний",$U248),{"Трафіковий","Основний","Маржинальний","Сезонний","Стратегічний"},0),0.12,0.145,0.19,0.18,0.22)</f>
        <v/>
      </c>
      <c r="AN248" s="157">
        <f>CHOOSE(MATCH(IF($U248="","Основний",$U248),{"Трафіковий","Основний","Маржинальний","Сезонний","Стратегічний"},0),Settings!$B$78,Settings!$B$80,Settings!$B$82,Settings!$B$84,Settings!$B$86)</f>
        <v/>
      </c>
      <c r="AO248" s="157">
        <f>CHOOSE(MATCH(IF($U248="","Основний",$U248),{"Трафіковий","Основний","Маржинальний","Сезонний","Стратегічний"},0),Settings!$C$78,Settings!$C$80,Settings!$C$82,Settings!$C$84,Settings!$C$86)</f>
        <v/>
      </c>
      <c r="AP248" s="157">
        <f>CHOOSE(MATCH(IF($U248="","Основний",$U248),{"Трафіковий","Основний","Маржинальний","Сезонний","Стратегічний"},0),Settings!$D$78,Settings!$D$80,Settings!$D$82,Settings!$D$84,Settings!$D$86)</f>
        <v/>
      </c>
      <c r="AQ248" s="157">
        <f>CHOOSE(MATCH(IF($U248="","Основний",$U248),{"Трафіковий","Основний","Маржинальний","Сезонний","Стратегічний"},0),Settings!$F$78,Settings!$F$80,Settings!$F$82,Settings!$F$84,Settings!$F$86)</f>
        <v/>
      </c>
      <c r="AR248" s="157">
        <f>CHOOSE(MATCH(IF($U248="","Основний",$U248),{"Трафіковий","Основний","Маржинальний","Сезонний","Стратегічний"},0),Settings!$G$78,Settings!$G$80,Settings!$G$82,Settings!$G$84,Settings!$G$86)</f>
        <v/>
      </c>
      <c r="AS248" s="157">
        <f>CHOOSE(MATCH(IF($U248="","Основний",$U248),{"Трафіковий","Основний","Маржинальний","Сезонний","Стратегічний"},0),Settings!$H$78,Settings!$H$80,Settings!$H$82,Settings!$H$84,Settings!$H$86)</f>
        <v/>
      </c>
      <c r="AT248" s="157">
        <f>CHOOSE(MATCH(IF($U248="","Основний",$U248),{"Трафіковий","Основний","Маржинальний","Сезонний","Стратегічний"},0),Settings!$I$78,Settings!$I$80,Settings!$I$82,Settings!$I$84,Settings!$I$86)</f>
        <v/>
      </c>
      <c r="AU248" s="171" t="n"/>
      <c r="AV248" t="n">
        <v>1.35</v>
      </c>
    </row>
    <row r="249">
      <c r="A249" s="33" t="inlineStr">
        <is>
          <t>NEW</t>
        </is>
      </c>
      <c r="B249" s="34" t="inlineStr">
        <is>
          <t>P0221U</t>
        </is>
      </c>
      <c r="C249" s="34" t="inlineStr">
        <is>
          <t>EXT.CORD 1,5M 1,5MM 2S+2×USB A+1×USB C SCHUKO</t>
        </is>
      </c>
      <c r="D249" s="34" t="inlineStr">
        <is>
          <t>Пооджувачи та адаптери</t>
        </is>
      </c>
      <c r="E249" s="33" t="inlineStr">
        <is>
          <t>PC</t>
        </is>
      </c>
      <c r="F249" s="94" t="n">
        <v>5.317</v>
      </c>
      <c r="G249" s="35" t="n">
        <v>8544429090</v>
      </c>
      <c r="H249" s="31" t="n">
        <v>1.4</v>
      </c>
      <c r="I249" s="84">
        <f>IFERROR(F249*Settings!$B$2*H249*IF(AND(ISNUMBER(E249),E249&gt;1),E249,1),"")</f>
        <v/>
      </c>
      <c r="J249" s="32">
        <f>Settings!$B$66</f>
        <v/>
      </c>
      <c r="K249" s="95">
        <f>IFERROR(IF(T249="","",(T249*(1-AN249)*(1-Settings!$B$17)-I249)/(T249*(1-AN249)*(1-Settings!$B$17))),"")</f>
        <v/>
      </c>
      <c r="L249" s="101">
        <f>IFERROR(IF(T249="","",(T249*(1-AO249)*(1-Settings!$C$17)-I249)/(T249*(1-AO249)*(1-Settings!$C$17))),"")</f>
        <v/>
      </c>
      <c r="M249" s="101">
        <f>IFERROR(IF(T249="","",(T249*(1-AP249)*(1-Settings!$D$17)-I249)/(T249*(1-AP249)*(1-Settings!$D$17))),"")</f>
        <v/>
      </c>
      <c r="N249" s="101">
        <f>IFERROR(IF(T249="","",(T249*(1-AQ249)*(1-Settings!$F$17)-I249)/(T249*(1-AQ249)*(1-Settings!$F$17))),"")</f>
        <v/>
      </c>
      <c r="O249" s="101">
        <f>IFERROR(IF(T249="","",(T249*(1-AR249)*(1-Settings!$G$17)-I249)/(T249*(1-AR249)*(1-Settings!$G$17))),"")</f>
        <v/>
      </c>
      <c r="P249" s="101">
        <f>IFERROR(IF(T249="","",(T249*(1-AS249)*(1-Settings!$H$17)-I249)/(T249*(1-AS249)*(1-Settings!$H$17))),"")</f>
        <v/>
      </c>
      <c r="Q249" s="101">
        <f>IFERROR(IF(T249="","",(T249*(1-AT249)*(1-Settings!$I$68)*(1-Settings!$I$17)-I249)/(T249*(1-AT249)*(1-Settings!$I$68)*(1-Settings!$I$17))),"")</f>
        <v/>
      </c>
      <c r="R249" s="91">
        <f>IFERROR(IF(OR(I249="",Z249&gt;=1,Settings!$B$17&gt;=1,AN249&gt;=1),"",IF(MOD(ROUND(I249/(1-Z249)/(1-Settings!$B$17)/(1-AN249),0),10)=0,ROUND(I249/(1-Z249)/(1-Settings!$B$17)/(1-AN249),0)-1,IF(MOD(ROUND(I249/(1-Z249)/(1-Settings!$B$17)/(1-AN249),0),10)&lt;=5,FLOOR(ROUND(I249/(1-Z249)/(1-Settings!$B$17)/(1-AN249),0),10)+6,FLOOR(ROUND(I249/(1-Z249)/(1-Settings!$B$17)/(1-AN249),0),10)+9))),"")</f>
        <v/>
      </c>
      <c r="S249" s="174">
        <f>R249*0.95</f>
        <v/>
      </c>
      <c r="T249" s="91">
        <f>IF(S249&lt;&gt;"", IF(MOD(S249,10)=0,S249-1,IF(MOD(S249,10)&lt;=5,FLOOR(S249,10)+6,FLOOR(S249,10)+9)), R249)</f>
        <v/>
      </c>
      <c r="U249" s="87" t="inlineStr">
        <is>
          <t>Основний</t>
        </is>
      </c>
      <c r="V249" s="88" t="n"/>
      <c r="W249" s="88" t="n"/>
      <c r="X249" s="89">
        <f>IFERROR(IF(OR(V249="",W249="",T249=""),"", IF(T249&gt;W249,"Дорогий",IF(T249&lt;V249,"Дешевий","У ринку"))),"")</f>
        <v/>
      </c>
      <c r="Y249" s="90" t="n"/>
      <c r="Z249" s="104">
        <f>CHOOSE(MATCH(IF($U249="","Основний",$U249),{"Трафіковий","Основний","Маржинальний","Сезонний","Стратегічний"},0),0.16,0.19,0.24,0.23,0.28)</f>
        <v/>
      </c>
      <c r="AA249" s="104">
        <f>CHOOSE(MATCH(IF($U249="","Основний",$U249),{"Трафіковий","Основний","Маржинальний","Сезонний","Стратегічний"},0),0.18,0.21,0.26,0.25,0.3)</f>
        <v/>
      </c>
      <c r="AB249" s="104">
        <f>CHOOSE(MATCH(IF($U249="","Основний",$U249),{"Трафіковий","Основний","Маржинальний","Сезонний","Стратегічний"},0),0.19,0.22,0.28,0.26,0.32)</f>
        <v/>
      </c>
      <c r="AC249" s="104">
        <f>CHOOSE(MATCH(IF($U249="","Основний",$U249),{"Трафіковий","Основний","Маржинальний","Сезонний","Стратегічний"},0),0.17,0.2,0.25,0.24,0.28)</f>
        <v/>
      </c>
      <c r="AD249" s="104">
        <f>CHOOSE(MATCH(IF($U249="","Основний",$U249),{"Трафіковий","Основний","Маржинальний","Сезонний","Стратегічний"},0),0.18,0.21,0.26,0.25,0.3)</f>
        <v/>
      </c>
      <c r="AE249" s="104">
        <f>CHOOSE(MATCH(IF($U249="","Основний",$U249),{"Трафіковий","Основний","Маржинальний","Сезонний","Стратегічний"},0),0.18,0.2,0.28,0.27,0.32)</f>
        <v/>
      </c>
      <c r="AF249" s="104">
        <f>CHOOSE(MATCH(IF($U249="","Основний",$U249),{"Трафіковий","Основний","Маржинальний","Сезонний","Стратегічний"},0),0.15,0.175,0.22,0.21,0.25)</f>
        <v/>
      </c>
      <c r="AG249" s="104">
        <f>CHOOSE(MATCH(IF($U249="","Основний",$U249),{"Трафіковий","Основний","Маржинальний","Сезонний","Стратегічний"},0),0.13,0.16,0.21,0.2,0.25)</f>
        <v/>
      </c>
      <c r="AH249" s="104">
        <f>CHOOSE(MATCH(IF($U249="","Основний",$U249),{"Трафіковий","Основний","Маржинальний","Сезонний","Стратегічний"},0),0.15,0.18,0.23,0.22,0.27)</f>
        <v/>
      </c>
      <c r="AI249" s="104">
        <f>CHOOSE(MATCH(IF($U249="","Основний",$U249),{"Трафіковий","Основний","Маржинальний","Сезонний","Стратегічний"},0),0.16,0.19,0.25,0.23,0.29)</f>
        <v/>
      </c>
      <c r="AJ249" s="104">
        <f>CHOOSE(MATCH(IF($U249="","Основний",$U249),{"Трафіковий","Основний","Маржинальний","Сезонний","Стратегічний"},0),0.14,0.17,0.22,0.21,0.25)</f>
        <v/>
      </c>
      <c r="AK249" s="104">
        <f>CHOOSE(MATCH(IF($U249="","Основний",$U249),{"Трафіковий","Основний","Маржинальний","Сезонний","Стратегічний"},0),0.15,0.18,0.23,0.22,0.27)</f>
        <v/>
      </c>
      <c r="AL249" s="104">
        <f>CHOOSE(MATCH(IF($U249="","Основний",$U249),{"Трафіковий","Основний","Маржинальний","Сезонний","Стратегічний"},0),0.15,0.17,0.25,0.24,0.29)</f>
        <v/>
      </c>
      <c r="AM249" s="104">
        <f>CHOOSE(MATCH(IF($U249="","Основний",$U249),{"Трафіковий","Основний","Маржинальний","Сезонний","Стратегічний"},0),0.12,0.145,0.19,0.18,0.22)</f>
        <v/>
      </c>
      <c r="AN249" s="157">
        <f>CHOOSE(MATCH(IF($U249="","Основний",$U249),{"Трафіковий","Основний","Маржинальний","Сезонний","Стратегічний"},0),Settings!$B$78,Settings!$B$80,Settings!$B$82,Settings!$B$84,Settings!$B$86)</f>
        <v/>
      </c>
      <c r="AO249" s="157">
        <f>CHOOSE(MATCH(IF($U249="","Основний",$U249),{"Трафіковий","Основний","Маржинальний","Сезонний","Стратегічний"},0),Settings!$C$78,Settings!$C$80,Settings!$C$82,Settings!$C$84,Settings!$C$86)</f>
        <v/>
      </c>
      <c r="AP249" s="157">
        <f>CHOOSE(MATCH(IF($U249="","Основний",$U249),{"Трафіковий","Основний","Маржинальний","Сезонний","Стратегічний"},0),Settings!$D$78,Settings!$D$80,Settings!$D$82,Settings!$D$84,Settings!$D$86)</f>
        <v/>
      </c>
      <c r="AQ249" s="157">
        <f>CHOOSE(MATCH(IF($U249="","Основний",$U249),{"Трафіковий","Основний","Маржинальний","Сезонний","Стратегічний"},0),Settings!$F$78,Settings!$F$80,Settings!$F$82,Settings!$F$84,Settings!$F$86)</f>
        <v/>
      </c>
      <c r="AR249" s="157">
        <f>CHOOSE(MATCH(IF($U249="","Основний",$U249),{"Трафіковий","Основний","Маржинальний","Сезонний","Стратегічний"},0),Settings!$G$78,Settings!$G$80,Settings!$G$82,Settings!$G$84,Settings!$G$86)</f>
        <v/>
      </c>
      <c r="AS249" s="157">
        <f>CHOOSE(MATCH(IF($U249="","Основний",$U249),{"Трафіковий","Основний","Маржинальний","Сезонний","Стратегічний"},0),Settings!$H$78,Settings!$H$80,Settings!$H$82,Settings!$H$84,Settings!$H$86)</f>
        <v/>
      </c>
      <c r="AT249" s="157">
        <f>CHOOSE(MATCH(IF($U249="","Основний",$U249),{"Трафіковий","Основний","Маржинальний","Сезонний","Стратегічний"},0),Settings!$I$78,Settings!$I$80,Settings!$I$82,Settings!$I$84,Settings!$I$86)</f>
        <v/>
      </c>
      <c r="AU249" s="171" t="n"/>
      <c r="AV249" t="n">
        <v>1.35</v>
      </c>
    </row>
    <row r="250">
      <c r="A250" s="28" t="n"/>
      <c r="B250" s="29" t="inlineStr">
        <is>
          <t>P0321</t>
        </is>
      </c>
      <c r="C250" s="29" t="inlineStr">
        <is>
          <t>EXT.POWER CORD 3S 1,5M SCHUKO</t>
        </is>
      </c>
      <c r="D250" s="29" t="inlineStr">
        <is>
          <t>Пооджувачи та адаптери</t>
        </is>
      </c>
      <c r="E250" s="28" t="inlineStr">
        <is>
          <t>PC</t>
        </is>
      </c>
      <c r="F250" s="93" t="n">
        <v>1.799</v>
      </c>
      <c r="G250" s="30" t="n">
        <v>8544429090</v>
      </c>
      <c r="H250" s="31" t="n">
        <v>1.4</v>
      </c>
      <c r="I250" s="84">
        <f>IFERROR(F250*Settings!$B$2*H250*IF(AND(ISNUMBER(E250),E250&gt;1),E250,1),"")</f>
        <v/>
      </c>
      <c r="J250" s="32">
        <f>Settings!$B$66</f>
        <v/>
      </c>
      <c r="K250" s="95">
        <f>IFERROR(IF(T250="","",(T250*(1-AN250)*(1-Settings!$B$17)-I250)/(T250*(1-AN250)*(1-Settings!$B$17))),"")</f>
        <v/>
      </c>
      <c r="L250" s="101">
        <f>IFERROR(IF(T250="","",(T250*(1-AO250)*(1-Settings!$C$17)-I250)/(T250*(1-AO250)*(1-Settings!$C$17))),"")</f>
        <v/>
      </c>
      <c r="M250" s="101">
        <f>IFERROR(IF(T250="","",(T250*(1-AP250)*(1-Settings!$D$17)-I250)/(T250*(1-AP250)*(1-Settings!$D$17))),"")</f>
        <v/>
      </c>
      <c r="N250" s="101">
        <f>IFERROR(IF(T250="","",(T250*(1-AQ250)*(1-Settings!$F$17)-I250)/(T250*(1-AQ250)*(1-Settings!$F$17))),"")</f>
        <v/>
      </c>
      <c r="O250" s="101">
        <f>IFERROR(IF(T250="","",(T250*(1-AR250)*(1-Settings!$G$17)-I250)/(T250*(1-AR250)*(1-Settings!$G$17))),"")</f>
        <v/>
      </c>
      <c r="P250" s="101">
        <f>IFERROR(IF(T250="","",(T250*(1-AS250)*(1-Settings!$H$17)-I250)/(T250*(1-AS250)*(1-Settings!$H$17))),"")</f>
        <v/>
      </c>
      <c r="Q250" s="101">
        <f>IFERROR(IF(T250="","",(T250*(1-AT250)*(1-Settings!$I$68)*(1-Settings!$I$17)-I250)/(T250*(1-AT250)*(1-Settings!$I$68)*(1-Settings!$I$17))),"")</f>
        <v/>
      </c>
      <c r="R250" s="91">
        <f>IFERROR(IF(OR(I250="",Z250&gt;=1,Settings!$B$17&gt;=1,AN250&gt;=1),"",IF(MOD(ROUND(I250/(1-Z250)/(1-Settings!$B$17)/(1-AN250),0),10)=0,ROUND(I250/(1-Z250)/(1-Settings!$B$17)/(1-AN250),0)-1,IF(MOD(ROUND(I250/(1-Z250)/(1-Settings!$B$17)/(1-AN250),0),10)&lt;=5,FLOOR(ROUND(I250/(1-Z250)/(1-Settings!$B$17)/(1-AN250),0),10)+6,FLOOR(ROUND(I250/(1-Z250)/(1-Settings!$B$17)/(1-AN250),0),10)+9))),"")</f>
        <v/>
      </c>
      <c r="S250" s="174">
        <f>R250*0.95</f>
        <v/>
      </c>
      <c r="T250" s="91">
        <f>IF(S250&lt;&gt;"", IF(MOD(S250,10)=0,S250-1,IF(MOD(S250,10)&lt;=5,FLOOR(S250,10)+6,FLOOR(S250,10)+9)), R250)</f>
        <v/>
      </c>
      <c r="U250" s="87" t="inlineStr">
        <is>
          <t>Основний</t>
        </is>
      </c>
      <c r="V250" s="88" t="n"/>
      <c r="W250" s="88" t="n"/>
      <c r="X250" s="89">
        <f>IFERROR(IF(OR(V250="",W250="",T250=""),"", IF(T250&gt;W250,"Дорогий",IF(T250&lt;V250,"Дешевий","У ринку"))),"")</f>
        <v/>
      </c>
      <c r="Y250" s="90" t="n"/>
      <c r="Z250" s="104">
        <f>CHOOSE(MATCH(IF($U250="","Основний",$U250),{"Трафіковий","Основний","Маржинальний","Сезонний","Стратегічний"},0),0.16,0.19,0.24,0.23,0.28)</f>
        <v/>
      </c>
      <c r="AA250" s="104">
        <f>CHOOSE(MATCH(IF($U250="","Основний",$U250),{"Трафіковий","Основний","Маржинальний","Сезонний","Стратегічний"},0),0.18,0.21,0.26,0.25,0.3)</f>
        <v/>
      </c>
      <c r="AB250" s="104">
        <f>CHOOSE(MATCH(IF($U250="","Основний",$U250),{"Трафіковий","Основний","Маржинальний","Сезонний","Стратегічний"},0),0.19,0.22,0.28,0.26,0.32)</f>
        <v/>
      </c>
      <c r="AC250" s="104">
        <f>CHOOSE(MATCH(IF($U250="","Основний",$U250),{"Трафіковий","Основний","Маржинальний","Сезонний","Стратегічний"},0),0.17,0.2,0.25,0.24,0.28)</f>
        <v/>
      </c>
      <c r="AD250" s="104">
        <f>CHOOSE(MATCH(IF($U250="","Основний",$U250),{"Трафіковий","Основний","Маржинальний","Сезонний","Стратегічний"},0),0.18,0.21,0.26,0.25,0.3)</f>
        <v/>
      </c>
      <c r="AE250" s="104">
        <f>CHOOSE(MATCH(IF($U250="","Основний",$U250),{"Трафіковий","Основний","Маржинальний","Сезонний","Стратегічний"},0),0.18,0.2,0.28,0.27,0.32)</f>
        <v/>
      </c>
      <c r="AF250" s="104">
        <f>CHOOSE(MATCH(IF($U250="","Основний",$U250),{"Трафіковий","Основний","Маржинальний","Сезонний","Стратегічний"},0),0.15,0.175,0.22,0.21,0.25)</f>
        <v/>
      </c>
      <c r="AG250" s="104">
        <f>CHOOSE(MATCH(IF($U250="","Основний",$U250),{"Трафіковий","Основний","Маржинальний","Сезонний","Стратегічний"},0),0.13,0.16,0.21,0.2,0.25)</f>
        <v/>
      </c>
      <c r="AH250" s="104">
        <f>CHOOSE(MATCH(IF($U250="","Основний",$U250),{"Трафіковий","Основний","Маржинальний","Сезонний","Стратегічний"},0),0.15,0.18,0.23,0.22,0.27)</f>
        <v/>
      </c>
      <c r="AI250" s="104">
        <f>CHOOSE(MATCH(IF($U250="","Основний",$U250),{"Трафіковий","Основний","Маржинальний","Сезонний","Стратегічний"},0),0.16,0.19,0.25,0.23,0.29)</f>
        <v/>
      </c>
      <c r="AJ250" s="104">
        <f>CHOOSE(MATCH(IF($U250="","Основний",$U250),{"Трафіковий","Основний","Маржинальний","Сезонний","Стратегічний"},0),0.14,0.17,0.22,0.21,0.25)</f>
        <v/>
      </c>
      <c r="AK250" s="104">
        <f>CHOOSE(MATCH(IF($U250="","Основний",$U250),{"Трафіковий","Основний","Маржинальний","Сезонний","Стратегічний"},0),0.15,0.18,0.23,0.22,0.27)</f>
        <v/>
      </c>
      <c r="AL250" s="104">
        <f>CHOOSE(MATCH(IF($U250="","Основний",$U250),{"Трафіковий","Основний","Маржинальний","Сезонний","Стратегічний"},0),0.15,0.17,0.25,0.24,0.29)</f>
        <v/>
      </c>
      <c r="AM250" s="104">
        <f>CHOOSE(MATCH(IF($U250="","Основний",$U250),{"Трафіковий","Основний","Маржинальний","Сезонний","Стратегічний"},0),0.12,0.145,0.19,0.18,0.22)</f>
        <v/>
      </c>
      <c r="AN250" s="157">
        <f>CHOOSE(MATCH(IF($U250="","Основний",$U250),{"Трафіковий","Основний","Маржинальний","Сезонний","Стратегічний"},0),Settings!$B$78,Settings!$B$80,Settings!$B$82,Settings!$B$84,Settings!$B$86)</f>
        <v/>
      </c>
      <c r="AO250" s="157">
        <f>CHOOSE(MATCH(IF($U250="","Основний",$U250),{"Трафіковий","Основний","Маржинальний","Сезонний","Стратегічний"},0),Settings!$C$78,Settings!$C$80,Settings!$C$82,Settings!$C$84,Settings!$C$86)</f>
        <v/>
      </c>
      <c r="AP250" s="157">
        <f>CHOOSE(MATCH(IF($U250="","Основний",$U250),{"Трафіковий","Основний","Маржинальний","Сезонний","Стратегічний"},0),Settings!$D$78,Settings!$D$80,Settings!$D$82,Settings!$D$84,Settings!$D$86)</f>
        <v/>
      </c>
      <c r="AQ250" s="157">
        <f>CHOOSE(MATCH(IF($U250="","Основний",$U250),{"Трафіковий","Основний","Маржинальний","Сезонний","Стратегічний"},0),Settings!$F$78,Settings!$F$80,Settings!$F$82,Settings!$F$84,Settings!$F$86)</f>
        <v/>
      </c>
      <c r="AR250" s="157">
        <f>CHOOSE(MATCH(IF($U250="","Основний",$U250),{"Трафіковий","Основний","Маржинальний","Сезонний","Стратегічний"},0),Settings!$G$78,Settings!$G$80,Settings!$G$82,Settings!$G$84,Settings!$G$86)</f>
        <v/>
      </c>
      <c r="AS250" s="157">
        <f>CHOOSE(MATCH(IF($U250="","Основний",$U250),{"Трафіковий","Основний","Маржинальний","Сезонний","Стратегічний"},0),Settings!$H$78,Settings!$H$80,Settings!$H$82,Settings!$H$84,Settings!$H$86)</f>
        <v/>
      </c>
      <c r="AT250" s="157">
        <f>CHOOSE(MATCH(IF($U250="","Основний",$U250),{"Трафіковий","Основний","Маржинальний","Сезонний","Стратегічний"},0),Settings!$I$78,Settings!$I$80,Settings!$I$82,Settings!$I$84,Settings!$I$86)</f>
        <v/>
      </c>
      <c r="AU250" s="171" t="n"/>
      <c r="AV250" t="n">
        <v>1.35</v>
      </c>
    </row>
    <row r="251">
      <c r="A251" s="33" t="n"/>
      <c r="B251" s="34" t="inlineStr">
        <is>
          <t>P0322</t>
        </is>
      </c>
      <c r="C251" s="34" t="inlineStr">
        <is>
          <t>EXT.POWER CORD 3S 2M SCHUKO</t>
        </is>
      </c>
      <c r="D251" s="34" t="inlineStr">
        <is>
          <t>Пооджувачи та адаптери</t>
        </is>
      </c>
      <c r="E251" s="33" t="inlineStr">
        <is>
          <t>PC</t>
        </is>
      </c>
      <c r="F251" s="94" t="n">
        <v>2.017</v>
      </c>
      <c r="G251" s="35" t="n">
        <v>8544429090</v>
      </c>
      <c r="H251" s="31" t="n">
        <v>1.4</v>
      </c>
      <c r="I251" s="84">
        <f>IFERROR(F251*Settings!$B$2*H251*IF(AND(ISNUMBER(E251),E251&gt;1),E251,1),"")</f>
        <v/>
      </c>
      <c r="J251" s="32">
        <f>Settings!$B$66</f>
        <v/>
      </c>
      <c r="K251" s="95">
        <f>IFERROR(IF(T251="","",(T251*(1-AN251)*(1-Settings!$B$17)-I251)/(T251*(1-AN251)*(1-Settings!$B$17))),"")</f>
        <v/>
      </c>
      <c r="L251" s="101">
        <f>IFERROR(IF(T251="","",(T251*(1-AO251)*(1-Settings!$C$17)-I251)/(T251*(1-AO251)*(1-Settings!$C$17))),"")</f>
        <v/>
      </c>
      <c r="M251" s="101">
        <f>IFERROR(IF(T251="","",(T251*(1-AP251)*(1-Settings!$D$17)-I251)/(T251*(1-AP251)*(1-Settings!$D$17))),"")</f>
        <v/>
      </c>
      <c r="N251" s="101">
        <f>IFERROR(IF(T251="","",(T251*(1-AQ251)*(1-Settings!$F$17)-I251)/(T251*(1-AQ251)*(1-Settings!$F$17))),"")</f>
        <v/>
      </c>
      <c r="O251" s="101">
        <f>IFERROR(IF(T251="","",(T251*(1-AR251)*(1-Settings!$G$17)-I251)/(T251*(1-AR251)*(1-Settings!$G$17))),"")</f>
        <v/>
      </c>
      <c r="P251" s="101">
        <f>IFERROR(IF(T251="","",(T251*(1-AS251)*(1-Settings!$H$17)-I251)/(T251*(1-AS251)*(1-Settings!$H$17))),"")</f>
        <v/>
      </c>
      <c r="Q251" s="101">
        <f>IFERROR(IF(T251="","",(T251*(1-AT251)*(1-Settings!$I$68)*(1-Settings!$I$17)-I251)/(T251*(1-AT251)*(1-Settings!$I$68)*(1-Settings!$I$17))),"")</f>
        <v/>
      </c>
      <c r="R251" s="91">
        <f>IFERROR(IF(OR(I251="",Z251&gt;=1,Settings!$B$17&gt;=1,AN251&gt;=1),"",IF(MOD(ROUND(I251/(1-Z251)/(1-Settings!$B$17)/(1-AN251),0),10)=0,ROUND(I251/(1-Z251)/(1-Settings!$B$17)/(1-AN251),0)-1,IF(MOD(ROUND(I251/(1-Z251)/(1-Settings!$B$17)/(1-AN251),0),10)&lt;=5,FLOOR(ROUND(I251/(1-Z251)/(1-Settings!$B$17)/(1-AN251),0),10)+6,FLOOR(ROUND(I251/(1-Z251)/(1-Settings!$B$17)/(1-AN251),0),10)+9))),"")</f>
        <v/>
      </c>
      <c r="S251" s="174">
        <f>R251*0.95</f>
        <v/>
      </c>
      <c r="T251" s="91">
        <f>IF(S251&lt;&gt;"", IF(MOD(S251,10)=0,S251-1,IF(MOD(S251,10)&lt;=5,FLOOR(S251,10)+6,FLOOR(S251,10)+9)), R251)</f>
        <v/>
      </c>
      <c r="U251" s="87" t="inlineStr">
        <is>
          <t>Основний</t>
        </is>
      </c>
      <c r="V251" s="88" t="n"/>
      <c r="W251" s="88" t="n"/>
      <c r="X251" s="89">
        <f>IFERROR(IF(OR(V251="",W251="",T251=""),"", IF(T251&gt;W251,"Дорогий",IF(T251&lt;V251,"Дешевий","У ринку"))),"")</f>
        <v/>
      </c>
      <c r="Y251" s="90" t="n"/>
      <c r="Z251" s="104">
        <f>CHOOSE(MATCH(IF($U251="","Основний",$U251),{"Трафіковий","Основний","Маржинальний","Сезонний","Стратегічний"},0),0.16,0.19,0.24,0.23,0.28)</f>
        <v/>
      </c>
      <c r="AA251" s="104">
        <f>CHOOSE(MATCH(IF($U251="","Основний",$U251),{"Трафіковий","Основний","Маржинальний","Сезонний","Стратегічний"},0),0.18,0.21,0.26,0.25,0.3)</f>
        <v/>
      </c>
      <c r="AB251" s="104">
        <f>CHOOSE(MATCH(IF($U251="","Основний",$U251),{"Трафіковий","Основний","Маржинальний","Сезонний","Стратегічний"},0),0.19,0.22,0.28,0.26,0.32)</f>
        <v/>
      </c>
      <c r="AC251" s="104">
        <f>CHOOSE(MATCH(IF($U251="","Основний",$U251),{"Трафіковий","Основний","Маржинальний","Сезонний","Стратегічний"},0),0.17,0.2,0.25,0.24,0.28)</f>
        <v/>
      </c>
      <c r="AD251" s="104">
        <f>CHOOSE(MATCH(IF($U251="","Основний",$U251),{"Трафіковий","Основний","Маржинальний","Сезонний","Стратегічний"},0),0.18,0.21,0.26,0.25,0.3)</f>
        <v/>
      </c>
      <c r="AE251" s="104">
        <f>CHOOSE(MATCH(IF($U251="","Основний",$U251),{"Трафіковий","Основний","Маржинальний","Сезонний","Стратегічний"},0),0.18,0.2,0.28,0.27,0.32)</f>
        <v/>
      </c>
      <c r="AF251" s="104">
        <f>CHOOSE(MATCH(IF($U251="","Основний",$U251),{"Трафіковий","Основний","Маржинальний","Сезонний","Стратегічний"},0),0.15,0.175,0.22,0.21,0.25)</f>
        <v/>
      </c>
      <c r="AG251" s="104">
        <f>CHOOSE(MATCH(IF($U251="","Основний",$U251),{"Трафіковий","Основний","Маржинальний","Сезонний","Стратегічний"},0),0.13,0.16,0.21,0.2,0.25)</f>
        <v/>
      </c>
      <c r="AH251" s="104">
        <f>CHOOSE(MATCH(IF($U251="","Основний",$U251),{"Трафіковий","Основний","Маржинальний","Сезонний","Стратегічний"},0),0.15,0.18,0.23,0.22,0.27)</f>
        <v/>
      </c>
      <c r="AI251" s="104">
        <f>CHOOSE(MATCH(IF($U251="","Основний",$U251),{"Трафіковий","Основний","Маржинальний","Сезонний","Стратегічний"},0),0.16,0.19,0.25,0.23,0.29)</f>
        <v/>
      </c>
      <c r="AJ251" s="104">
        <f>CHOOSE(MATCH(IF($U251="","Основний",$U251),{"Трафіковий","Основний","Маржинальний","Сезонний","Стратегічний"},0),0.14,0.17,0.22,0.21,0.25)</f>
        <v/>
      </c>
      <c r="AK251" s="104">
        <f>CHOOSE(MATCH(IF($U251="","Основний",$U251),{"Трафіковий","Основний","Маржинальний","Сезонний","Стратегічний"},0),0.15,0.18,0.23,0.22,0.27)</f>
        <v/>
      </c>
      <c r="AL251" s="104">
        <f>CHOOSE(MATCH(IF($U251="","Основний",$U251),{"Трафіковий","Основний","Маржинальний","Сезонний","Стратегічний"},0),0.15,0.17,0.25,0.24,0.29)</f>
        <v/>
      </c>
      <c r="AM251" s="104">
        <f>CHOOSE(MATCH(IF($U251="","Основний",$U251),{"Трафіковий","Основний","Маржинальний","Сезонний","Стратегічний"},0),0.12,0.145,0.19,0.18,0.22)</f>
        <v/>
      </c>
      <c r="AN251" s="157">
        <f>CHOOSE(MATCH(IF($U251="","Основний",$U251),{"Трафіковий","Основний","Маржинальний","Сезонний","Стратегічний"},0),Settings!$B$78,Settings!$B$80,Settings!$B$82,Settings!$B$84,Settings!$B$86)</f>
        <v/>
      </c>
      <c r="AO251" s="157">
        <f>CHOOSE(MATCH(IF($U251="","Основний",$U251),{"Трафіковий","Основний","Маржинальний","Сезонний","Стратегічний"},0),Settings!$C$78,Settings!$C$80,Settings!$C$82,Settings!$C$84,Settings!$C$86)</f>
        <v/>
      </c>
      <c r="AP251" s="157">
        <f>CHOOSE(MATCH(IF($U251="","Основний",$U251),{"Трафіковий","Основний","Маржинальний","Сезонний","Стратегічний"},0),Settings!$D$78,Settings!$D$80,Settings!$D$82,Settings!$D$84,Settings!$D$86)</f>
        <v/>
      </c>
      <c r="AQ251" s="157">
        <f>CHOOSE(MATCH(IF($U251="","Основний",$U251),{"Трафіковий","Основний","Маржинальний","Сезонний","Стратегічний"},0),Settings!$F$78,Settings!$F$80,Settings!$F$82,Settings!$F$84,Settings!$F$86)</f>
        <v/>
      </c>
      <c r="AR251" s="157">
        <f>CHOOSE(MATCH(IF($U251="","Основний",$U251),{"Трафіковий","Основний","Маржинальний","Сезонний","Стратегічний"},0),Settings!$G$78,Settings!$G$80,Settings!$G$82,Settings!$G$84,Settings!$G$86)</f>
        <v/>
      </c>
      <c r="AS251" s="157">
        <f>CHOOSE(MATCH(IF($U251="","Основний",$U251),{"Трафіковий","Основний","Маржинальний","Сезонний","Стратегічний"},0),Settings!$H$78,Settings!$H$80,Settings!$H$82,Settings!$H$84,Settings!$H$86)</f>
        <v/>
      </c>
      <c r="AT251" s="157">
        <f>CHOOSE(MATCH(IF($U251="","Основний",$U251),{"Трафіковий","Основний","Маржинальний","Сезонний","Стратегічний"},0),Settings!$I$78,Settings!$I$80,Settings!$I$82,Settings!$I$84,Settings!$I$86)</f>
        <v/>
      </c>
      <c r="AU251" s="171" t="n"/>
      <c r="AV251" t="n">
        <v>1.35</v>
      </c>
    </row>
    <row r="252">
      <c r="A252" s="28" t="n"/>
      <c r="B252" s="29" t="inlineStr">
        <is>
          <t>P0421</t>
        </is>
      </c>
      <c r="C252" s="29" t="inlineStr">
        <is>
          <t>EXT.POWER CORD 4S 1,5M SCHUKO</t>
        </is>
      </c>
      <c r="D252" s="29" t="inlineStr">
        <is>
          <t>Пооджувачи та адаптери</t>
        </is>
      </c>
      <c r="E252" s="28" t="inlineStr">
        <is>
          <t>PC</t>
        </is>
      </c>
      <c r="F252" s="93" t="n">
        <v>2.295</v>
      </c>
      <c r="G252" s="30" t="n">
        <v>8544429090</v>
      </c>
      <c r="H252" s="31" t="n">
        <v>1.4</v>
      </c>
      <c r="I252" s="84">
        <f>IFERROR(F252*Settings!$B$2*H252*IF(AND(ISNUMBER(E252),E252&gt;1),E252,1),"")</f>
        <v/>
      </c>
      <c r="J252" s="32">
        <f>Settings!$B$66</f>
        <v/>
      </c>
      <c r="K252" s="95">
        <f>IFERROR(IF(T252="","",(T252*(1-AN252)*(1-Settings!$B$17)-I252)/(T252*(1-AN252)*(1-Settings!$B$17))),"")</f>
        <v/>
      </c>
      <c r="L252" s="101">
        <f>IFERROR(IF(T252="","",(T252*(1-AO252)*(1-Settings!$C$17)-I252)/(T252*(1-AO252)*(1-Settings!$C$17))),"")</f>
        <v/>
      </c>
      <c r="M252" s="101">
        <f>IFERROR(IF(T252="","",(T252*(1-AP252)*(1-Settings!$D$17)-I252)/(T252*(1-AP252)*(1-Settings!$D$17))),"")</f>
        <v/>
      </c>
      <c r="N252" s="101">
        <f>IFERROR(IF(T252="","",(T252*(1-AQ252)*(1-Settings!$F$17)-I252)/(T252*(1-AQ252)*(1-Settings!$F$17))),"")</f>
        <v/>
      </c>
      <c r="O252" s="101">
        <f>IFERROR(IF(T252="","",(T252*(1-AR252)*(1-Settings!$G$17)-I252)/(T252*(1-AR252)*(1-Settings!$G$17))),"")</f>
        <v/>
      </c>
      <c r="P252" s="101">
        <f>IFERROR(IF(T252="","",(T252*(1-AS252)*(1-Settings!$H$17)-I252)/(T252*(1-AS252)*(1-Settings!$H$17))),"")</f>
        <v/>
      </c>
      <c r="Q252" s="101">
        <f>IFERROR(IF(T252="","",(T252*(1-AT252)*(1-Settings!$I$68)*(1-Settings!$I$17)-I252)/(T252*(1-AT252)*(1-Settings!$I$68)*(1-Settings!$I$17))),"")</f>
        <v/>
      </c>
      <c r="R252" s="91">
        <f>IFERROR(IF(OR(I252="",Z252&gt;=1,Settings!$B$17&gt;=1,AN252&gt;=1),"",IF(MOD(ROUND(I252/(1-Z252)/(1-Settings!$B$17)/(1-AN252),0),10)=0,ROUND(I252/(1-Z252)/(1-Settings!$B$17)/(1-AN252),0)-1,IF(MOD(ROUND(I252/(1-Z252)/(1-Settings!$B$17)/(1-AN252),0),10)&lt;=5,FLOOR(ROUND(I252/(1-Z252)/(1-Settings!$B$17)/(1-AN252),0),10)+6,FLOOR(ROUND(I252/(1-Z252)/(1-Settings!$B$17)/(1-AN252),0),10)+9))),"")</f>
        <v/>
      </c>
      <c r="S252" s="174">
        <f>R252*0.95</f>
        <v/>
      </c>
      <c r="T252" s="91">
        <f>IF(S252&lt;&gt;"", IF(MOD(S252,10)=0,S252-1,IF(MOD(S252,10)&lt;=5,FLOOR(S252,10)+6,FLOOR(S252,10)+9)), R252)</f>
        <v/>
      </c>
      <c r="U252" s="87" t="inlineStr">
        <is>
          <t>Основний</t>
        </is>
      </c>
      <c r="V252" s="88" t="n"/>
      <c r="W252" s="88" t="n"/>
      <c r="X252" s="89">
        <f>IFERROR(IF(OR(V252="",W252="",T252=""),"", IF(T252&gt;W252,"Дорогий",IF(T252&lt;V252,"Дешевий","У ринку"))),"")</f>
        <v/>
      </c>
      <c r="Y252" s="90" t="n"/>
      <c r="Z252" s="104">
        <f>CHOOSE(MATCH(IF($U252="","Основний",$U252),{"Трафіковий","Основний","Маржинальний","Сезонний","Стратегічний"},0),0.16,0.19,0.24,0.23,0.28)</f>
        <v/>
      </c>
      <c r="AA252" s="104">
        <f>CHOOSE(MATCH(IF($U252="","Основний",$U252),{"Трафіковий","Основний","Маржинальний","Сезонний","Стратегічний"},0),0.18,0.21,0.26,0.25,0.3)</f>
        <v/>
      </c>
      <c r="AB252" s="104">
        <f>CHOOSE(MATCH(IF($U252="","Основний",$U252),{"Трафіковий","Основний","Маржинальний","Сезонний","Стратегічний"},0),0.19,0.22,0.28,0.26,0.32)</f>
        <v/>
      </c>
      <c r="AC252" s="104">
        <f>CHOOSE(MATCH(IF($U252="","Основний",$U252),{"Трафіковий","Основний","Маржинальний","Сезонний","Стратегічний"},0),0.17,0.2,0.25,0.24,0.28)</f>
        <v/>
      </c>
      <c r="AD252" s="104">
        <f>CHOOSE(MATCH(IF($U252="","Основний",$U252),{"Трафіковий","Основний","Маржинальний","Сезонний","Стратегічний"},0),0.18,0.21,0.26,0.25,0.3)</f>
        <v/>
      </c>
      <c r="AE252" s="104">
        <f>CHOOSE(MATCH(IF($U252="","Основний",$U252),{"Трафіковий","Основний","Маржинальний","Сезонний","Стратегічний"},0),0.18,0.2,0.28,0.27,0.32)</f>
        <v/>
      </c>
      <c r="AF252" s="104">
        <f>CHOOSE(MATCH(IF($U252="","Основний",$U252),{"Трафіковий","Основний","Маржинальний","Сезонний","Стратегічний"},0),0.15,0.175,0.22,0.21,0.25)</f>
        <v/>
      </c>
      <c r="AG252" s="104">
        <f>CHOOSE(MATCH(IF($U252="","Основний",$U252),{"Трафіковий","Основний","Маржинальний","Сезонний","Стратегічний"},0),0.13,0.16,0.21,0.2,0.25)</f>
        <v/>
      </c>
      <c r="AH252" s="104">
        <f>CHOOSE(MATCH(IF($U252="","Основний",$U252),{"Трафіковий","Основний","Маржинальний","Сезонний","Стратегічний"},0),0.15,0.18,0.23,0.22,0.27)</f>
        <v/>
      </c>
      <c r="AI252" s="104">
        <f>CHOOSE(MATCH(IF($U252="","Основний",$U252),{"Трафіковий","Основний","Маржинальний","Сезонний","Стратегічний"},0),0.16,0.19,0.25,0.23,0.29)</f>
        <v/>
      </c>
      <c r="AJ252" s="104">
        <f>CHOOSE(MATCH(IF($U252="","Основний",$U252),{"Трафіковий","Основний","Маржинальний","Сезонний","Стратегічний"},0),0.14,0.17,0.22,0.21,0.25)</f>
        <v/>
      </c>
      <c r="AK252" s="104">
        <f>CHOOSE(MATCH(IF($U252="","Основний",$U252),{"Трафіковий","Основний","Маржинальний","Сезонний","Стратегічний"},0),0.15,0.18,0.23,0.22,0.27)</f>
        <v/>
      </c>
      <c r="AL252" s="104">
        <f>CHOOSE(MATCH(IF($U252="","Основний",$U252),{"Трафіковий","Основний","Маржинальний","Сезонний","Стратегічний"},0),0.15,0.17,0.25,0.24,0.29)</f>
        <v/>
      </c>
      <c r="AM252" s="104">
        <f>CHOOSE(MATCH(IF($U252="","Основний",$U252),{"Трафіковий","Основний","Маржинальний","Сезонний","Стратегічний"},0),0.12,0.145,0.19,0.18,0.22)</f>
        <v/>
      </c>
      <c r="AN252" s="157">
        <f>CHOOSE(MATCH(IF($U252="","Основний",$U252),{"Трафіковий","Основний","Маржинальний","Сезонний","Стратегічний"},0),Settings!$B$78,Settings!$B$80,Settings!$B$82,Settings!$B$84,Settings!$B$86)</f>
        <v/>
      </c>
      <c r="AO252" s="157">
        <f>CHOOSE(MATCH(IF($U252="","Основний",$U252),{"Трафіковий","Основний","Маржинальний","Сезонний","Стратегічний"},0),Settings!$C$78,Settings!$C$80,Settings!$C$82,Settings!$C$84,Settings!$C$86)</f>
        <v/>
      </c>
      <c r="AP252" s="157">
        <f>CHOOSE(MATCH(IF($U252="","Основний",$U252),{"Трафіковий","Основний","Маржинальний","Сезонний","Стратегічний"},0),Settings!$D$78,Settings!$D$80,Settings!$D$82,Settings!$D$84,Settings!$D$86)</f>
        <v/>
      </c>
      <c r="AQ252" s="157">
        <f>CHOOSE(MATCH(IF($U252="","Основний",$U252),{"Трафіковий","Основний","Маржинальний","Сезонний","Стратегічний"},0),Settings!$F$78,Settings!$F$80,Settings!$F$82,Settings!$F$84,Settings!$F$86)</f>
        <v/>
      </c>
      <c r="AR252" s="157">
        <f>CHOOSE(MATCH(IF($U252="","Основний",$U252),{"Трафіковий","Основний","Маржинальний","Сезонний","Стратегічний"},0),Settings!$G$78,Settings!$G$80,Settings!$G$82,Settings!$G$84,Settings!$G$86)</f>
        <v/>
      </c>
      <c r="AS252" s="157">
        <f>CHOOSE(MATCH(IF($U252="","Основний",$U252),{"Трафіковий","Основний","Маржинальний","Сезонний","Стратегічний"},0),Settings!$H$78,Settings!$H$80,Settings!$H$82,Settings!$H$84,Settings!$H$86)</f>
        <v/>
      </c>
      <c r="AT252" s="157">
        <f>CHOOSE(MATCH(IF($U252="","Основний",$U252),{"Трафіковий","Основний","Маржинальний","Сезонний","Стратегічний"},0),Settings!$I$78,Settings!$I$80,Settings!$I$82,Settings!$I$84,Settings!$I$86)</f>
        <v/>
      </c>
      <c r="AU252" s="171" t="n"/>
      <c r="AV252" t="n">
        <v>1.35</v>
      </c>
    </row>
    <row r="253">
      <c r="A253" s="33" t="inlineStr">
        <is>
          <t>NEW</t>
        </is>
      </c>
      <c r="B253" s="34" t="inlineStr">
        <is>
          <t>P0422</t>
        </is>
      </c>
      <c r="C253" s="34" t="inlineStr">
        <is>
          <t>EXT.POWER CORD 4S 2M SCHUKO</t>
        </is>
      </c>
      <c r="D253" s="34" t="inlineStr">
        <is>
          <t>Пооджувачи та адаптери</t>
        </is>
      </c>
      <c r="E253" s="33" t="inlineStr">
        <is>
          <t>PC</t>
        </is>
      </c>
      <c r="F253" s="94" t="n">
        <v>2.528</v>
      </c>
      <c r="G253" s="35" t="n">
        <v>8544429090</v>
      </c>
      <c r="H253" s="31" t="n">
        <v>1.4</v>
      </c>
      <c r="I253" s="84">
        <f>IFERROR(F253*Settings!$B$2*H253*IF(AND(ISNUMBER(E253),E253&gt;1),E253,1),"")</f>
        <v/>
      </c>
      <c r="J253" s="32">
        <f>Settings!$B$66</f>
        <v/>
      </c>
      <c r="K253" s="95">
        <f>IFERROR(IF(T253="","",(T253*(1-AN253)*(1-Settings!$B$17)-I253)/(T253*(1-AN253)*(1-Settings!$B$17))),"")</f>
        <v/>
      </c>
      <c r="L253" s="101">
        <f>IFERROR(IF(T253="","",(T253*(1-AO253)*(1-Settings!$C$17)-I253)/(T253*(1-AO253)*(1-Settings!$C$17))),"")</f>
        <v/>
      </c>
      <c r="M253" s="101">
        <f>IFERROR(IF(T253="","",(T253*(1-AP253)*(1-Settings!$D$17)-I253)/(T253*(1-AP253)*(1-Settings!$D$17))),"")</f>
        <v/>
      </c>
      <c r="N253" s="101">
        <f>IFERROR(IF(T253="","",(T253*(1-AQ253)*(1-Settings!$F$17)-I253)/(T253*(1-AQ253)*(1-Settings!$F$17))),"")</f>
        <v/>
      </c>
      <c r="O253" s="101">
        <f>IFERROR(IF(T253="","",(T253*(1-AR253)*(1-Settings!$G$17)-I253)/(T253*(1-AR253)*(1-Settings!$G$17))),"")</f>
        <v/>
      </c>
      <c r="P253" s="101">
        <f>IFERROR(IF(T253="","",(T253*(1-AS253)*(1-Settings!$H$17)-I253)/(T253*(1-AS253)*(1-Settings!$H$17))),"")</f>
        <v/>
      </c>
      <c r="Q253" s="101">
        <f>IFERROR(IF(T253="","",(T253*(1-AT253)*(1-Settings!$I$68)*(1-Settings!$I$17)-I253)/(T253*(1-AT253)*(1-Settings!$I$68)*(1-Settings!$I$17))),"")</f>
        <v/>
      </c>
      <c r="R253" s="91">
        <f>IFERROR(IF(OR(I253="",Z253&gt;=1,Settings!$B$17&gt;=1,AN253&gt;=1),"",IF(MOD(ROUND(I253/(1-Z253)/(1-Settings!$B$17)/(1-AN253),0),10)=0,ROUND(I253/(1-Z253)/(1-Settings!$B$17)/(1-AN253),0)-1,IF(MOD(ROUND(I253/(1-Z253)/(1-Settings!$B$17)/(1-AN253),0),10)&lt;=5,FLOOR(ROUND(I253/(1-Z253)/(1-Settings!$B$17)/(1-AN253),0),10)+6,FLOOR(ROUND(I253/(1-Z253)/(1-Settings!$B$17)/(1-AN253),0),10)+9))),"")</f>
        <v/>
      </c>
      <c r="S253" s="174">
        <f>R253*0.95</f>
        <v/>
      </c>
      <c r="T253" s="91">
        <f>IF(S253&lt;&gt;"", IF(MOD(S253,10)=0,S253-1,IF(MOD(S253,10)&lt;=5,FLOOR(S253,10)+6,FLOOR(S253,10)+9)), R253)</f>
        <v/>
      </c>
      <c r="U253" s="87" t="inlineStr">
        <is>
          <t>Основний</t>
        </is>
      </c>
      <c r="V253" s="88" t="n"/>
      <c r="W253" s="88" t="n"/>
      <c r="X253" s="89">
        <f>IFERROR(IF(OR(V253="",W253="",T253=""),"", IF(T253&gt;W253,"Дорогий",IF(T253&lt;V253,"Дешевий","У ринку"))),"")</f>
        <v/>
      </c>
      <c r="Y253" s="90" t="n"/>
      <c r="Z253" s="104">
        <f>CHOOSE(MATCH(IF($U253="","Основний",$U253),{"Трафіковий","Основний","Маржинальний","Сезонний","Стратегічний"},0),0.16,0.19,0.24,0.23,0.28)</f>
        <v/>
      </c>
      <c r="AA253" s="104">
        <f>CHOOSE(MATCH(IF($U253="","Основний",$U253),{"Трафіковий","Основний","Маржинальний","Сезонний","Стратегічний"},0),0.18,0.21,0.26,0.25,0.3)</f>
        <v/>
      </c>
      <c r="AB253" s="104">
        <f>CHOOSE(MATCH(IF($U253="","Основний",$U253),{"Трафіковий","Основний","Маржинальний","Сезонний","Стратегічний"},0),0.19,0.22,0.28,0.26,0.32)</f>
        <v/>
      </c>
      <c r="AC253" s="104">
        <f>CHOOSE(MATCH(IF($U253="","Основний",$U253),{"Трафіковий","Основний","Маржинальний","Сезонний","Стратегічний"},0),0.17,0.2,0.25,0.24,0.28)</f>
        <v/>
      </c>
      <c r="AD253" s="104">
        <f>CHOOSE(MATCH(IF($U253="","Основний",$U253),{"Трафіковий","Основний","Маржинальний","Сезонний","Стратегічний"},0),0.18,0.21,0.26,0.25,0.3)</f>
        <v/>
      </c>
      <c r="AE253" s="104">
        <f>CHOOSE(MATCH(IF($U253="","Основний",$U253),{"Трафіковий","Основний","Маржинальний","Сезонний","Стратегічний"},0),0.18,0.2,0.28,0.27,0.32)</f>
        <v/>
      </c>
      <c r="AF253" s="104">
        <f>CHOOSE(MATCH(IF($U253="","Основний",$U253),{"Трафіковий","Основний","Маржинальний","Сезонний","Стратегічний"},0),0.15,0.175,0.22,0.21,0.25)</f>
        <v/>
      </c>
      <c r="AG253" s="104">
        <f>CHOOSE(MATCH(IF($U253="","Основний",$U253),{"Трафіковий","Основний","Маржинальний","Сезонний","Стратегічний"},0),0.13,0.16,0.21,0.2,0.25)</f>
        <v/>
      </c>
      <c r="AH253" s="104">
        <f>CHOOSE(MATCH(IF($U253="","Основний",$U253),{"Трафіковий","Основний","Маржинальний","Сезонний","Стратегічний"},0),0.15,0.18,0.23,0.22,0.27)</f>
        <v/>
      </c>
      <c r="AI253" s="104">
        <f>CHOOSE(MATCH(IF($U253="","Основний",$U253),{"Трафіковий","Основний","Маржинальний","Сезонний","Стратегічний"},0),0.16,0.19,0.25,0.23,0.29)</f>
        <v/>
      </c>
      <c r="AJ253" s="104">
        <f>CHOOSE(MATCH(IF($U253="","Основний",$U253),{"Трафіковий","Основний","Маржинальний","Сезонний","Стратегічний"},0),0.14,0.17,0.22,0.21,0.25)</f>
        <v/>
      </c>
      <c r="AK253" s="104">
        <f>CHOOSE(MATCH(IF($U253="","Основний",$U253),{"Трафіковий","Основний","Маржинальний","Сезонний","Стратегічний"},0),0.15,0.18,0.23,0.22,0.27)</f>
        <v/>
      </c>
      <c r="AL253" s="104">
        <f>CHOOSE(MATCH(IF($U253="","Основний",$U253),{"Трафіковий","Основний","Маржинальний","Сезонний","Стратегічний"},0),0.15,0.17,0.25,0.24,0.29)</f>
        <v/>
      </c>
      <c r="AM253" s="104">
        <f>CHOOSE(MATCH(IF($U253="","Основний",$U253),{"Трафіковий","Основний","Маржинальний","Сезонний","Стратегічний"},0),0.12,0.145,0.19,0.18,0.22)</f>
        <v/>
      </c>
      <c r="AN253" s="157">
        <f>CHOOSE(MATCH(IF($U253="","Основний",$U253),{"Трафіковий","Основний","Маржинальний","Сезонний","Стратегічний"},0),Settings!$B$78,Settings!$B$80,Settings!$B$82,Settings!$B$84,Settings!$B$86)</f>
        <v/>
      </c>
      <c r="AO253" s="157">
        <f>CHOOSE(MATCH(IF($U253="","Основний",$U253),{"Трафіковий","Основний","Маржинальний","Сезонний","Стратегічний"},0),Settings!$C$78,Settings!$C$80,Settings!$C$82,Settings!$C$84,Settings!$C$86)</f>
        <v/>
      </c>
      <c r="AP253" s="157">
        <f>CHOOSE(MATCH(IF($U253="","Основний",$U253),{"Трафіковий","Основний","Маржинальний","Сезонний","Стратегічний"},0),Settings!$D$78,Settings!$D$80,Settings!$D$82,Settings!$D$84,Settings!$D$86)</f>
        <v/>
      </c>
      <c r="AQ253" s="157">
        <f>CHOOSE(MATCH(IF($U253="","Основний",$U253),{"Трафіковий","Основний","Маржинальний","Сезонний","Стратегічний"},0),Settings!$F$78,Settings!$F$80,Settings!$F$82,Settings!$F$84,Settings!$F$86)</f>
        <v/>
      </c>
      <c r="AR253" s="157">
        <f>CHOOSE(MATCH(IF($U253="","Основний",$U253),{"Трафіковий","Основний","Маржинальний","Сезонний","Стратегічний"},0),Settings!$G$78,Settings!$G$80,Settings!$G$82,Settings!$G$84,Settings!$G$86)</f>
        <v/>
      </c>
      <c r="AS253" s="157">
        <f>CHOOSE(MATCH(IF($U253="","Основний",$U253),{"Трафіковий","Основний","Маржинальний","Сезонний","Стратегічний"},0),Settings!$H$78,Settings!$H$80,Settings!$H$82,Settings!$H$84,Settings!$H$86)</f>
        <v/>
      </c>
      <c r="AT253" s="157">
        <f>CHOOSE(MATCH(IF($U253="","Основний",$U253),{"Трафіковий","Основний","Маржинальний","Сезонний","Стратегічний"},0),Settings!$I$78,Settings!$I$80,Settings!$I$82,Settings!$I$84,Settings!$I$86)</f>
        <v/>
      </c>
      <c r="AU253" s="171" t="n"/>
      <c r="AV253" t="n">
        <v>1.35</v>
      </c>
    </row>
    <row r="254">
      <c r="A254" s="28" t="n"/>
      <c r="B254" s="29" t="inlineStr">
        <is>
          <t>P0521</t>
        </is>
      </c>
      <c r="C254" s="29" t="inlineStr">
        <is>
          <t>EXT.POWER CORD 5S 1,5M SCHUKO</t>
        </is>
      </c>
      <c r="D254" s="29" t="inlineStr">
        <is>
          <t>Пооджувачи та адаптери</t>
        </is>
      </c>
      <c r="E254" s="28" t="inlineStr">
        <is>
          <t>PC</t>
        </is>
      </c>
      <c r="F254" s="93" t="n">
        <v>2.522</v>
      </c>
      <c r="G254" s="30" t="n">
        <v>8544429090</v>
      </c>
      <c r="H254" s="31" t="n">
        <v>1.4</v>
      </c>
      <c r="I254" s="84">
        <f>IFERROR(F254*Settings!$B$2*H254*IF(AND(ISNUMBER(E254),E254&gt;1),E254,1),"")</f>
        <v/>
      </c>
      <c r="J254" s="32">
        <f>Settings!$B$66</f>
        <v/>
      </c>
      <c r="K254" s="95">
        <f>IFERROR(IF(T254="","",(T254*(1-AN254)*(1-Settings!$B$17)-I254)/(T254*(1-AN254)*(1-Settings!$B$17))),"")</f>
        <v/>
      </c>
      <c r="L254" s="101">
        <f>IFERROR(IF(T254="","",(T254*(1-AO254)*(1-Settings!$C$17)-I254)/(T254*(1-AO254)*(1-Settings!$C$17))),"")</f>
        <v/>
      </c>
      <c r="M254" s="101">
        <f>IFERROR(IF(T254="","",(T254*(1-AP254)*(1-Settings!$D$17)-I254)/(T254*(1-AP254)*(1-Settings!$D$17))),"")</f>
        <v/>
      </c>
      <c r="N254" s="101">
        <f>IFERROR(IF(T254="","",(T254*(1-AQ254)*(1-Settings!$F$17)-I254)/(T254*(1-AQ254)*(1-Settings!$F$17))),"")</f>
        <v/>
      </c>
      <c r="O254" s="101">
        <f>IFERROR(IF(T254="","",(T254*(1-AR254)*(1-Settings!$G$17)-I254)/(T254*(1-AR254)*(1-Settings!$G$17))),"")</f>
        <v/>
      </c>
      <c r="P254" s="101">
        <f>IFERROR(IF(T254="","",(T254*(1-AS254)*(1-Settings!$H$17)-I254)/(T254*(1-AS254)*(1-Settings!$H$17))),"")</f>
        <v/>
      </c>
      <c r="Q254" s="101">
        <f>IFERROR(IF(T254="","",(T254*(1-AT254)*(1-Settings!$I$68)*(1-Settings!$I$17)-I254)/(T254*(1-AT254)*(1-Settings!$I$68)*(1-Settings!$I$17))),"")</f>
        <v/>
      </c>
      <c r="R254" s="91">
        <f>IFERROR(IF(OR(I254="",Z254&gt;=1,Settings!$B$17&gt;=1,AN254&gt;=1),"",IF(MOD(ROUND(I254/(1-Z254)/(1-Settings!$B$17)/(1-AN254),0),10)=0,ROUND(I254/(1-Z254)/(1-Settings!$B$17)/(1-AN254),0)-1,IF(MOD(ROUND(I254/(1-Z254)/(1-Settings!$B$17)/(1-AN254),0),10)&lt;=5,FLOOR(ROUND(I254/(1-Z254)/(1-Settings!$B$17)/(1-AN254),0),10)+6,FLOOR(ROUND(I254/(1-Z254)/(1-Settings!$B$17)/(1-AN254),0),10)+9))),"")</f>
        <v/>
      </c>
      <c r="S254" s="174">
        <f>R254*0.95</f>
        <v/>
      </c>
      <c r="T254" s="91">
        <f>IF(S254&lt;&gt;"", IF(MOD(S254,10)=0,S254-1,IF(MOD(S254,10)&lt;=5,FLOOR(S254,10)+6,FLOOR(S254,10)+9)), R254)</f>
        <v/>
      </c>
      <c r="U254" s="87" t="inlineStr">
        <is>
          <t>Основний</t>
        </is>
      </c>
      <c r="V254" s="88" t="n"/>
      <c r="W254" s="88" t="n"/>
      <c r="X254" s="89">
        <f>IFERROR(IF(OR(V254="",W254="",T254=""),"", IF(T254&gt;W254,"Дорогий",IF(T254&lt;V254,"Дешевий","У ринку"))),"")</f>
        <v/>
      </c>
      <c r="Y254" s="90" t="n"/>
      <c r="Z254" s="104">
        <f>CHOOSE(MATCH(IF($U254="","Основний",$U254),{"Трафіковий","Основний","Маржинальний","Сезонний","Стратегічний"},0),0.16,0.19,0.24,0.23,0.28)</f>
        <v/>
      </c>
      <c r="AA254" s="104">
        <f>CHOOSE(MATCH(IF($U254="","Основний",$U254),{"Трафіковий","Основний","Маржинальний","Сезонний","Стратегічний"},0),0.18,0.21,0.26,0.25,0.3)</f>
        <v/>
      </c>
      <c r="AB254" s="104">
        <f>CHOOSE(MATCH(IF($U254="","Основний",$U254),{"Трафіковий","Основний","Маржинальний","Сезонний","Стратегічний"},0),0.19,0.22,0.28,0.26,0.32)</f>
        <v/>
      </c>
      <c r="AC254" s="104">
        <f>CHOOSE(MATCH(IF($U254="","Основний",$U254),{"Трафіковий","Основний","Маржинальний","Сезонний","Стратегічний"},0),0.17,0.2,0.25,0.24,0.28)</f>
        <v/>
      </c>
      <c r="AD254" s="104">
        <f>CHOOSE(MATCH(IF($U254="","Основний",$U254),{"Трафіковий","Основний","Маржинальний","Сезонний","Стратегічний"},0),0.18,0.21,0.26,0.25,0.3)</f>
        <v/>
      </c>
      <c r="AE254" s="104">
        <f>CHOOSE(MATCH(IF($U254="","Основний",$U254),{"Трафіковий","Основний","Маржинальний","Сезонний","Стратегічний"},0),0.18,0.2,0.28,0.27,0.32)</f>
        <v/>
      </c>
      <c r="AF254" s="104">
        <f>CHOOSE(MATCH(IF($U254="","Основний",$U254),{"Трафіковий","Основний","Маржинальний","Сезонний","Стратегічний"},0),0.15,0.175,0.22,0.21,0.25)</f>
        <v/>
      </c>
      <c r="AG254" s="104">
        <f>CHOOSE(MATCH(IF($U254="","Основний",$U254),{"Трафіковий","Основний","Маржинальний","Сезонний","Стратегічний"},0),0.13,0.16,0.21,0.2,0.25)</f>
        <v/>
      </c>
      <c r="AH254" s="104">
        <f>CHOOSE(MATCH(IF($U254="","Основний",$U254),{"Трафіковий","Основний","Маржинальний","Сезонний","Стратегічний"},0),0.15,0.18,0.23,0.22,0.27)</f>
        <v/>
      </c>
      <c r="AI254" s="104">
        <f>CHOOSE(MATCH(IF($U254="","Основний",$U254),{"Трафіковий","Основний","Маржинальний","Сезонний","Стратегічний"},0),0.16,0.19,0.25,0.23,0.29)</f>
        <v/>
      </c>
      <c r="AJ254" s="104">
        <f>CHOOSE(MATCH(IF($U254="","Основний",$U254),{"Трафіковий","Основний","Маржинальний","Сезонний","Стратегічний"},0),0.14,0.17,0.22,0.21,0.25)</f>
        <v/>
      </c>
      <c r="AK254" s="104">
        <f>CHOOSE(MATCH(IF($U254="","Основний",$U254),{"Трафіковий","Основний","Маржинальний","Сезонний","Стратегічний"},0),0.15,0.18,0.23,0.22,0.27)</f>
        <v/>
      </c>
      <c r="AL254" s="104">
        <f>CHOOSE(MATCH(IF($U254="","Основний",$U254),{"Трафіковий","Основний","Маржинальний","Сезонний","Стратегічний"},0),0.15,0.17,0.25,0.24,0.29)</f>
        <v/>
      </c>
      <c r="AM254" s="104">
        <f>CHOOSE(MATCH(IF($U254="","Основний",$U254),{"Трафіковий","Основний","Маржинальний","Сезонний","Стратегічний"},0),0.12,0.145,0.19,0.18,0.22)</f>
        <v/>
      </c>
      <c r="AN254" s="157">
        <f>CHOOSE(MATCH(IF($U254="","Основний",$U254),{"Трафіковий","Основний","Маржинальний","Сезонний","Стратегічний"},0),Settings!$B$78,Settings!$B$80,Settings!$B$82,Settings!$B$84,Settings!$B$86)</f>
        <v/>
      </c>
      <c r="AO254" s="157">
        <f>CHOOSE(MATCH(IF($U254="","Основний",$U254),{"Трафіковий","Основний","Маржинальний","Сезонний","Стратегічний"},0),Settings!$C$78,Settings!$C$80,Settings!$C$82,Settings!$C$84,Settings!$C$86)</f>
        <v/>
      </c>
      <c r="AP254" s="157">
        <f>CHOOSE(MATCH(IF($U254="","Основний",$U254),{"Трафіковий","Основний","Маржинальний","Сезонний","Стратегічний"},0),Settings!$D$78,Settings!$D$80,Settings!$D$82,Settings!$D$84,Settings!$D$86)</f>
        <v/>
      </c>
      <c r="AQ254" s="157">
        <f>CHOOSE(MATCH(IF($U254="","Основний",$U254),{"Трафіковий","Основний","Маржинальний","Сезонний","Стратегічний"},0),Settings!$F$78,Settings!$F$80,Settings!$F$82,Settings!$F$84,Settings!$F$86)</f>
        <v/>
      </c>
      <c r="AR254" s="157">
        <f>CHOOSE(MATCH(IF($U254="","Основний",$U254),{"Трафіковий","Основний","Маржинальний","Сезонний","Стратегічний"},0),Settings!$G$78,Settings!$G$80,Settings!$G$82,Settings!$G$84,Settings!$G$86)</f>
        <v/>
      </c>
      <c r="AS254" s="157">
        <f>CHOOSE(MATCH(IF($U254="","Основний",$U254),{"Трафіковий","Основний","Маржинальний","Сезонний","Стратегічний"},0),Settings!$H$78,Settings!$H$80,Settings!$H$82,Settings!$H$84,Settings!$H$86)</f>
        <v/>
      </c>
      <c r="AT254" s="157">
        <f>CHOOSE(MATCH(IF($U254="","Основний",$U254),{"Трафіковий","Основний","Маржинальний","Сезонний","Стратегічний"},0),Settings!$I$78,Settings!$I$80,Settings!$I$82,Settings!$I$84,Settings!$I$86)</f>
        <v/>
      </c>
      <c r="AU254" s="171" t="n"/>
      <c r="AV254" t="n">
        <v>1.35</v>
      </c>
    </row>
    <row r="255">
      <c r="A255" s="33" t="inlineStr">
        <is>
          <t>NEW</t>
        </is>
      </c>
      <c r="B255" s="34" t="inlineStr">
        <is>
          <t>P0522</t>
        </is>
      </c>
      <c r="C255" s="34" t="inlineStr">
        <is>
          <t>EXT.POWER CORD 5S 2M SCHUKO</t>
        </is>
      </c>
      <c r="D255" s="34" t="inlineStr">
        <is>
          <t>Пооджувачи та адаптери</t>
        </is>
      </c>
      <c r="E255" s="33" t="inlineStr">
        <is>
          <t>PC</t>
        </is>
      </c>
      <c r="F255" s="94" t="n">
        <v>2.696</v>
      </c>
      <c r="G255" s="35" t="n">
        <v>8544429090</v>
      </c>
      <c r="H255" s="31" t="n">
        <v>1.4</v>
      </c>
      <c r="I255" s="84">
        <f>IFERROR(F255*Settings!$B$2*H255*IF(AND(ISNUMBER(E255),E255&gt;1),E255,1),"")</f>
        <v/>
      </c>
      <c r="J255" s="32">
        <f>Settings!$B$66</f>
        <v/>
      </c>
      <c r="K255" s="95">
        <f>IFERROR(IF(T255="","",(T255*(1-AN255)*(1-Settings!$B$17)-I255)/(T255*(1-AN255)*(1-Settings!$B$17))),"")</f>
        <v/>
      </c>
      <c r="L255" s="101">
        <f>IFERROR(IF(T255="","",(T255*(1-AO255)*(1-Settings!$C$17)-I255)/(T255*(1-AO255)*(1-Settings!$C$17))),"")</f>
        <v/>
      </c>
      <c r="M255" s="101">
        <f>IFERROR(IF(T255="","",(T255*(1-AP255)*(1-Settings!$D$17)-I255)/(T255*(1-AP255)*(1-Settings!$D$17))),"")</f>
        <v/>
      </c>
      <c r="N255" s="101">
        <f>IFERROR(IF(T255="","",(T255*(1-AQ255)*(1-Settings!$F$17)-I255)/(T255*(1-AQ255)*(1-Settings!$F$17))),"")</f>
        <v/>
      </c>
      <c r="O255" s="101">
        <f>IFERROR(IF(T255="","",(T255*(1-AR255)*(1-Settings!$G$17)-I255)/(T255*(1-AR255)*(1-Settings!$G$17))),"")</f>
        <v/>
      </c>
      <c r="P255" s="101">
        <f>IFERROR(IF(T255="","",(T255*(1-AS255)*(1-Settings!$H$17)-I255)/(T255*(1-AS255)*(1-Settings!$H$17))),"")</f>
        <v/>
      </c>
      <c r="Q255" s="101">
        <f>IFERROR(IF(T255="","",(T255*(1-AT255)*(1-Settings!$I$68)*(1-Settings!$I$17)-I255)/(T255*(1-AT255)*(1-Settings!$I$68)*(1-Settings!$I$17))),"")</f>
        <v/>
      </c>
      <c r="R255" s="91">
        <f>IFERROR(IF(OR(I255="",Z255&gt;=1,Settings!$B$17&gt;=1,AN255&gt;=1),"",IF(MOD(ROUND(I255/(1-Z255)/(1-Settings!$B$17)/(1-AN255),0),10)=0,ROUND(I255/(1-Z255)/(1-Settings!$B$17)/(1-AN255),0)-1,IF(MOD(ROUND(I255/(1-Z255)/(1-Settings!$B$17)/(1-AN255),0),10)&lt;=5,FLOOR(ROUND(I255/(1-Z255)/(1-Settings!$B$17)/(1-AN255),0),10)+6,FLOOR(ROUND(I255/(1-Z255)/(1-Settings!$B$17)/(1-AN255),0),10)+9))),"")</f>
        <v/>
      </c>
      <c r="S255" s="174">
        <f>R255*0.95</f>
        <v/>
      </c>
      <c r="T255" s="91">
        <f>IF(S255&lt;&gt;"", IF(MOD(S255,10)=0,S255-1,IF(MOD(S255,10)&lt;=5,FLOOR(S255,10)+6,FLOOR(S255,10)+9)), R255)</f>
        <v/>
      </c>
      <c r="U255" s="87" t="inlineStr">
        <is>
          <t>Основний</t>
        </is>
      </c>
      <c r="V255" s="88" t="n"/>
      <c r="W255" s="88" t="n"/>
      <c r="X255" s="89">
        <f>IFERROR(IF(OR(V255="",W255="",T255=""),"", IF(T255&gt;W255,"Дорогий",IF(T255&lt;V255,"Дешевий","У ринку"))),"")</f>
        <v/>
      </c>
      <c r="Y255" s="90" t="n"/>
      <c r="Z255" s="104">
        <f>CHOOSE(MATCH(IF($U255="","Основний",$U255),{"Трафіковий","Основний","Маржинальний","Сезонний","Стратегічний"},0),0.16,0.19,0.24,0.23,0.28)</f>
        <v/>
      </c>
      <c r="AA255" s="104">
        <f>CHOOSE(MATCH(IF($U255="","Основний",$U255),{"Трафіковий","Основний","Маржинальний","Сезонний","Стратегічний"},0),0.18,0.21,0.26,0.25,0.3)</f>
        <v/>
      </c>
      <c r="AB255" s="104">
        <f>CHOOSE(MATCH(IF($U255="","Основний",$U255),{"Трафіковий","Основний","Маржинальний","Сезонний","Стратегічний"},0),0.19,0.22,0.28,0.26,0.32)</f>
        <v/>
      </c>
      <c r="AC255" s="104">
        <f>CHOOSE(MATCH(IF($U255="","Основний",$U255),{"Трафіковий","Основний","Маржинальний","Сезонний","Стратегічний"},0),0.17,0.2,0.25,0.24,0.28)</f>
        <v/>
      </c>
      <c r="AD255" s="104">
        <f>CHOOSE(MATCH(IF($U255="","Основний",$U255),{"Трафіковий","Основний","Маржинальний","Сезонний","Стратегічний"},0),0.18,0.21,0.26,0.25,0.3)</f>
        <v/>
      </c>
      <c r="AE255" s="104">
        <f>CHOOSE(MATCH(IF($U255="","Основний",$U255),{"Трафіковий","Основний","Маржинальний","Сезонний","Стратегічний"},0),0.18,0.2,0.28,0.27,0.32)</f>
        <v/>
      </c>
      <c r="AF255" s="104">
        <f>CHOOSE(MATCH(IF($U255="","Основний",$U255),{"Трафіковий","Основний","Маржинальний","Сезонний","Стратегічний"},0),0.15,0.175,0.22,0.21,0.25)</f>
        <v/>
      </c>
      <c r="AG255" s="104">
        <f>CHOOSE(MATCH(IF($U255="","Основний",$U255),{"Трафіковий","Основний","Маржинальний","Сезонний","Стратегічний"},0),0.13,0.16,0.21,0.2,0.25)</f>
        <v/>
      </c>
      <c r="AH255" s="104">
        <f>CHOOSE(MATCH(IF($U255="","Основний",$U255),{"Трафіковий","Основний","Маржинальний","Сезонний","Стратегічний"},0),0.15,0.18,0.23,0.22,0.27)</f>
        <v/>
      </c>
      <c r="AI255" s="104">
        <f>CHOOSE(MATCH(IF($U255="","Основний",$U255),{"Трафіковий","Основний","Маржинальний","Сезонний","Стратегічний"},0),0.16,0.19,0.25,0.23,0.29)</f>
        <v/>
      </c>
      <c r="AJ255" s="104">
        <f>CHOOSE(MATCH(IF($U255="","Основний",$U255),{"Трафіковий","Основний","Маржинальний","Сезонний","Стратегічний"},0),0.14,0.17,0.22,0.21,0.25)</f>
        <v/>
      </c>
      <c r="AK255" s="104">
        <f>CHOOSE(MATCH(IF($U255="","Основний",$U255),{"Трафіковий","Основний","Маржинальний","Сезонний","Стратегічний"},0),0.15,0.18,0.23,0.22,0.27)</f>
        <v/>
      </c>
      <c r="AL255" s="104">
        <f>CHOOSE(MATCH(IF($U255="","Основний",$U255),{"Трафіковий","Основний","Маржинальний","Сезонний","Стратегічний"},0),0.15,0.17,0.25,0.24,0.29)</f>
        <v/>
      </c>
      <c r="AM255" s="104">
        <f>CHOOSE(MATCH(IF($U255="","Основний",$U255),{"Трафіковий","Основний","Маржинальний","Сезонний","Стратегічний"},0),0.12,0.145,0.19,0.18,0.22)</f>
        <v/>
      </c>
      <c r="AN255" s="157">
        <f>CHOOSE(MATCH(IF($U255="","Основний",$U255),{"Трафіковий","Основний","Маржинальний","Сезонний","Стратегічний"},0),Settings!$B$78,Settings!$B$80,Settings!$B$82,Settings!$B$84,Settings!$B$86)</f>
        <v/>
      </c>
      <c r="AO255" s="157">
        <f>CHOOSE(MATCH(IF($U255="","Основний",$U255),{"Трафіковий","Основний","Маржинальний","Сезонний","Стратегічний"},0),Settings!$C$78,Settings!$C$80,Settings!$C$82,Settings!$C$84,Settings!$C$86)</f>
        <v/>
      </c>
      <c r="AP255" s="157">
        <f>CHOOSE(MATCH(IF($U255="","Основний",$U255),{"Трафіковий","Основний","Маржинальний","Сезонний","Стратегічний"},0),Settings!$D$78,Settings!$D$80,Settings!$D$82,Settings!$D$84,Settings!$D$86)</f>
        <v/>
      </c>
      <c r="AQ255" s="157">
        <f>CHOOSE(MATCH(IF($U255="","Основний",$U255),{"Трафіковий","Основний","Маржинальний","Сезонний","Стратегічний"},0),Settings!$F$78,Settings!$F$80,Settings!$F$82,Settings!$F$84,Settings!$F$86)</f>
        <v/>
      </c>
      <c r="AR255" s="157">
        <f>CHOOSE(MATCH(IF($U255="","Основний",$U255),{"Трафіковий","Основний","Маржинальний","Сезонний","Стратегічний"},0),Settings!$G$78,Settings!$G$80,Settings!$G$82,Settings!$G$84,Settings!$G$86)</f>
        <v/>
      </c>
      <c r="AS255" s="157">
        <f>CHOOSE(MATCH(IF($U255="","Основний",$U255),{"Трафіковий","Основний","Маржинальний","Сезонний","Стратегічний"},0),Settings!$H$78,Settings!$H$80,Settings!$H$82,Settings!$H$84,Settings!$H$86)</f>
        <v/>
      </c>
      <c r="AT255" s="157">
        <f>CHOOSE(MATCH(IF($U255="","Основний",$U255),{"Трафіковий","Основний","Маржинальний","Сезонний","Стратегічний"},0),Settings!$I$78,Settings!$I$80,Settings!$I$82,Settings!$I$84,Settings!$I$86)</f>
        <v/>
      </c>
      <c r="AU255" s="171" t="n"/>
      <c r="AV255" t="n">
        <v>1.35</v>
      </c>
    </row>
    <row r="256">
      <c r="A256" s="28" t="inlineStr">
        <is>
          <t>NEW</t>
        </is>
      </c>
      <c r="B256" s="29" t="inlineStr">
        <is>
          <t>P0621</t>
        </is>
      </c>
      <c r="C256" s="29" t="inlineStr">
        <is>
          <t>EXT.POWER CORD 6S 1,4M SCHUKO</t>
        </is>
      </c>
      <c r="D256" s="29" t="inlineStr">
        <is>
          <t>Пооджувачи та адаптери</t>
        </is>
      </c>
      <c r="E256" s="28" t="inlineStr">
        <is>
          <t>PC</t>
        </is>
      </c>
      <c r="F256" s="93" t="n">
        <v>2.669</v>
      </c>
      <c r="G256" s="30" t="n">
        <v>8544429090</v>
      </c>
      <c r="H256" s="31" t="n">
        <v>1.4</v>
      </c>
      <c r="I256" s="84">
        <f>IFERROR(F256*Settings!$B$2*H256*IF(AND(ISNUMBER(E256),E256&gt;1),E256,1),"")</f>
        <v/>
      </c>
      <c r="J256" s="32">
        <f>Settings!$B$66</f>
        <v/>
      </c>
      <c r="K256" s="95">
        <f>IFERROR(IF(T256="","",(T256*(1-AN256)*(1-Settings!$B$17)-I256)/(T256*(1-AN256)*(1-Settings!$B$17))),"")</f>
        <v/>
      </c>
      <c r="L256" s="101">
        <f>IFERROR(IF(T256="","",(T256*(1-AO256)*(1-Settings!$C$17)-I256)/(T256*(1-AO256)*(1-Settings!$C$17))),"")</f>
        <v/>
      </c>
      <c r="M256" s="101">
        <f>IFERROR(IF(T256="","",(T256*(1-AP256)*(1-Settings!$D$17)-I256)/(T256*(1-AP256)*(1-Settings!$D$17))),"")</f>
        <v/>
      </c>
      <c r="N256" s="101">
        <f>IFERROR(IF(T256="","",(T256*(1-AQ256)*(1-Settings!$F$17)-I256)/(T256*(1-AQ256)*(1-Settings!$F$17))),"")</f>
        <v/>
      </c>
      <c r="O256" s="101">
        <f>IFERROR(IF(T256="","",(T256*(1-AR256)*(1-Settings!$G$17)-I256)/(T256*(1-AR256)*(1-Settings!$G$17))),"")</f>
        <v/>
      </c>
      <c r="P256" s="101">
        <f>IFERROR(IF(T256="","",(T256*(1-AS256)*(1-Settings!$H$17)-I256)/(T256*(1-AS256)*(1-Settings!$H$17))),"")</f>
        <v/>
      </c>
      <c r="Q256" s="101">
        <f>IFERROR(IF(T256="","",(T256*(1-AT256)*(1-Settings!$I$68)*(1-Settings!$I$17)-I256)/(T256*(1-AT256)*(1-Settings!$I$68)*(1-Settings!$I$17))),"")</f>
        <v/>
      </c>
      <c r="R256" s="91">
        <f>IFERROR(IF(OR(I256="",Z256&gt;=1,Settings!$B$17&gt;=1,AN256&gt;=1),"",IF(MOD(ROUND(I256/(1-Z256)/(1-Settings!$B$17)/(1-AN256),0),10)=0,ROUND(I256/(1-Z256)/(1-Settings!$B$17)/(1-AN256),0)-1,IF(MOD(ROUND(I256/(1-Z256)/(1-Settings!$B$17)/(1-AN256),0),10)&lt;=5,FLOOR(ROUND(I256/(1-Z256)/(1-Settings!$B$17)/(1-AN256),0),10)+6,FLOOR(ROUND(I256/(1-Z256)/(1-Settings!$B$17)/(1-AN256),0),10)+9))),"")</f>
        <v/>
      </c>
      <c r="S256" s="174">
        <f>R256*0.95</f>
        <v/>
      </c>
      <c r="T256" s="91">
        <f>IF(S256&lt;&gt;"", IF(MOD(S256,10)=0,S256-1,IF(MOD(S256,10)&lt;=5,FLOOR(S256,10)+6,FLOOR(S256,10)+9)), R256)</f>
        <v/>
      </c>
      <c r="U256" s="87" t="inlineStr">
        <is>
          <t>Основний</t>
        </is>
      </c>
      <c r="V256" s="88" t="n"/>
      <c r="W256" s="88" t="n"/>
      <c r="X256" s="89">
        <f>IFERROR(IF(OR(V256="",W256="",T256=""),"", IF(T256&gt;W256,"Дорогий",IF(T256&lt;V256,"Дешевий","У ринку"))),"")</f>
        <v/>
      </c>
      <c r="Y256" s="90" t="n"/>
      <c r="Z256" s="104">
        <f>CHOOSE(MATCH(IF($U256="","Основний",$U256),{"Трафіковий","Основний","Маржинальний","Сезонний","Стратегічний"},0),0.16,0.19,0.24,0.23,0.28)</f>
        <v/>
      </c>
      <c r="AA256" s="104">
        <f>CHOOSE(MATCH(IF($U256="","Основний",$U256),{"Трафіковий","Основний","Маржинальний","Сезонний","Стратегічний"},0),0.18,0.21,0.26,0.25,0.3)</f>
        <v/>
      </c>
      <c r="AB256" s="104">
        <f>CHOOSE(MATCH(IF($U256="","Основний",$U256),{"Трафіковий","Основний","Маржинальний","Сезонний","Стратегічний"},0),0.19,0.22,0.28,0.26,0.32)</f>
        <v/>
      </c>
      <c r="AC256" s="104">
        <f>CHOOSE(MATCH(IF($U256="","Основний",$U256),{"Трафіковий","Основний","Маржинальний","Сезонний","Стратегічний"},0),0.17,0.2,0.25,0.24,0.28)</f>
        <v/>
      </c>
      <c r="AD256" s="104">
        <f>CHOOSE(MATCH(IF($U256="","Основний",$U256),{"Трафіковий","Основний","Маржинальний","Сезонний","Стратегічний"},0),0.18,0.21,0.26,0.25,0.3)</f>
        <v/>
      </c>
      <c r="AE256" s="104">
        <f>CHOOSE(MATCH(IF($U256="","Основний",$U256),{"Трафіковий","Основний","Маржинальний","Сезонний","Стратегічний"},0),0.18,0.2,0.28,0.27,0.32)</f>
        <v/>
      </c>
      <c r="AF256" s="104">
        <f>CHOOSE(MATCH(IF($U256="","Основний",$U256),{"Трафіковий","Основний","Маржинальний","Сезонний","Стратегічний"},0),0.15,0.175,0.22,0.21,0.25)</f>
        <v/>
      </c>
      <c r="AG256" s="104">
        <f>CHOOSE(MATCH(IF($U256="","Основний",$U256),{"Трафіковий","Основний","Маржинальний","Сезонний","Стратегічний"},0),0.13,0.16,0.21,0.2,0.25)</f>
        <v/>
      </c>
      <c r="AH256" s="104">
        <f>CHOOSE(MATCH(IF($U256="","Основний",$U256),{"Трафіковий","Основний","Маржинальний","Сезонний","Стратегічний"},0),0.15,0.18,0.23,0.22,0.27)</f>
        <v/>
      </c>
      <c r="AI256" s="104">
        <f>CHOOSE(MATCH(IF($U256="","Основний",$U256),{"Трафіковий","Основний","Маржинальний","Сезонний","Стратегічний"},0),0.16,0.19,0.25,0.23,0.29)</f>
        <v/>
      </c>
      <c r="AJ256" s="104">
        <f>CHOOSE(MATCH(IF($U256="","Основний",$U256),{"Трафіковий","Основний","Маржинальний","Сезонний","Стратегічний"},0),0.14,0.17,0.22,0.21,0.25)</f>
        <v/>
      </c>
      <c r="AK256" s="104">
        <f>CHOOSE(MATCH(IF($U256="","Основний",$U256),{"Трафіковий","Основний","Маржинальний","Сезонний","Стратегічний"},0),0.15,0.18,0.23,0.22,0.27)</f>
        <v/>
      </c>
      <c r="AL256" s="104">
        <f>CHOOSE(MATCH(IF($U256="","Основний",$U256),{"Трафіковий","Основний","Маржинальний","Сезонний","Стратегічний"},0),0.15,0.17,0.25,0.24,0.29)</f>
        <v/>
      </c>
      <c r="AM256" s="104">
        <f>CHOOSE(MATCH(IF($U256="","Основний",$U256),{"Трафіковий","Основний","Маржинальний","Сезонний","Стратегічний"},0),0.12,0.145,0.19,0.18,0.22)</f>
        <v/>
      </c>
      <c r="AN256" s="157">
        <f>CHOOSE(MATCH(IF($U256="","Основний",$U256),{"Трафіковий","Основний","Маржинальний","Сезонний","Стратегічний"},0),Settings!$B$78,Settings!$B$80,Settings!$B$82,Settings!$B$84,Settings!$B$86)</f>
        <v/>
      </c>
      <c r="AO256" s="157">
        <f>CHOOSE(MATCH(IF($U256="","Основний",$U256),{"Трафіковий","Основний","Маржинальний","Сезонний","Стратегічний"},0),Settings!$C$78,Settings!$C$80,Settings!$C$82,Settings!$C$84,Settings!$C$86)</f>
        <v/>
      </c>
      <c r="AP256" s="157">
        <f>CHOOSE(MATCH(IF($U256="","Основний",$U256),{"Трафіковий","Основний","Маржинальний","Сезонний","Стратегічний"},0),Settings!$D$78,Settings!$D$80,Settings!$D$82,Settings!$D$84,Settings!$D$86)</f>
        <v/>
      </c>
      <c r="AQ256" s="157">
        <f>CHOOSE(MATCH(IF($U256="","Основний",$U256),{"Трафіковий","Основний","Маржинальний","Сезонний","Стратегічний"},0),Settings!$F$78,Settings!$F$80,Settings!$F$82,Settings!$F$84,Settings!$F$86)</f>
        <v/>
      </c>
      <c r="AR256" s="157">
        <f>CHOOSE(MATCH(IF($U256="","Основний",$U256),{"Трафіковий","Основний","Маржинальний","Сезонний","Стратегічний"},0),Settings!$G$78,Settings!$G$80,Settings!$G$82,Settings!$G$84,Settings!$G$86)</f>
        <v/>
      </c>
      <c r="AS256" s="157">
        <f>CHOOSE(MATCH(IF($U256="","Основний",$U256),{"Трафіковий","Основний","Маржинальний","Сезонний","Стратегічний"},0),Settings!$H$78,Settings!$H$80,Settings!$H$82,Settings!$H$84,Settings!$H$86)</f>
        <v/>
      </c>
      <c r="AT256" s="157">
        <f>CHOOSE(MATCH(IF($U256="","Основний",$U256),{"Трафіковий","Основний","Маржинальний","Сезонний","Стратегічний"},0),Settings!$I$78,Settings!$I$80,Settings!$I$82,Settings!$I$84,Settings!$I$86)</f>
        <v/>
      </c>
      <c r="AU256" s="171" t="n"/>
      <c r="AV256" t="n">
        <v>1.35</v>
      </c>
    </row>
    <row r="257">
      <c r="A257" s="33" t="n"/>
      <c r="B257" s="34" t="inlineStr">
        <is>
          <t>P0622</t>
        </is>
      </c>
      <c r="C257" s="34" t="inlineStr">
        <is>
          <t>EXT.POWER CORD 6S 2M SCHUKO</t>
        </is>
      </c>
      <c r="D257" s="34" t="inlineStr">
        <is>
          <t>Пооджувачи та адаптери</t>
        </is>
      </c>
      <c r="E257" s="33" t="inlineStr">
        <is>
          <t>PC</t>
        </is>
      </c>
      <c r="F257" s="94" t="n">
        <v>2.695</v>
      </c>
      <c r="G257" s="35" t="n">
        <v>8544429090</v>
      </c>
      <c r="H257" s="31" t="n">
        <v>1.4</v>
      </c>
      <c r="I257" s="84">
        <f>IFERROR(F257*Settings!$B$2*H257*IF(AND(ISNUMBER(E257),E257&gt;1),E257,1),"")</f>
        <v/>
      </c>
      <c r="J257" s="32">
        <f>Settings!$B$66</f>
        <v/>
      </c>
      <c r="K257" s="95">
        <f>IFERROR(IF(T257="","",(T257*(1-AN257)*(1-Settings!$B$17)-I257)/(T257*(1-AN257)*(1-Settings!$B$17))),"")</f>
        <v/>
      </c>
      <c r="L257" s="101">
        <f>IFERROR(IF(T257="","",(T257*(1-AO257)*(1-Settings!$C$17)-I257)/(T257*(1-AO257)*(1-Settings!$C$17))),"")</f>
        <v/>
      </c>
      <c r="M257" s="101">
        <f>IFERROR(IF(T257="","",(T257*(1-AP257)*(1-Settings!$D$17)-I257)/(T257*(1-AP257)*(1-Settings!$D$17))),"")</f>
        <v/>
      </c>
      <c r="N257" s="101">
        <f>IFERROR(IF(T257="","",(T257*(1-AQ257)*(1-Settings!$F$17)-I257)/(T257*(1-AQ257)*(1-Settings!$F$17))),"")</f>
        <v/>
      </c>
      <c r="O257" s="101">
        <f>IFERROR(IF(T257="","",(T257*(1-AR257)*(1-Settings!$G$17)-I257)/(T257*(1-AR257)*(1-Settings!$G$17))),"")</f>
        <v/>
      </c>
      <c r="P257" s="101">
        <f>IFERROR(IF(T257="","",(T257*(1-AS257)*(1-Settings!$H$17)-I257)/(T257*(1-AS257)*(1-Settings!$H$17))),"")</f>
        <v/>
      </c>
      <c r="Q257" s="101">
        <f>IFERROR(IF(T257="","",(T257*(1-AT257)*(1-Settings!$I$68)*(1-Settings!$I$17)-I257)/(T257*(1-AT257)*(1-Settings!$I$68)*(1-Settings!$I$17))),"")</f>
        <v/>
      </c>
      <c r="R257" s="91">
        <f>IFERROR(IF(OR(I257="",Z257&gt;=1,Settings!$B$17&gt;=1,AN257&gt;=1),"",IF(MOD(ROUND(I257/(1-Z257)/(1-Settings!$B$17)/(1-AN257),0),10)=0,ROUND(I257/(1-Z257)/(1-Settings!$B$17)/(1-AN257),0)-1,IF(MOD(ROUND(I257/(1-Z257)/(1-Settings!$B$17)/(1-AN257),0),10)&lt;=5,FLOOR(ROUND(I257/(1-Z257)/(1-Settings!$B$17)/(1-AN257),0),10)+6,FLOOR(ROUND(I257/(1-Z257)/(1-Settings!$B$17)/(1-AN257),0),10)+9))),"")</f>
        <v/>
      </c>
      <c r="S257" s="174">
        <f>R257*0.95</f>
        <v/>
      </c>
      <c r="T257" s="91">
        <f>IF(S257&lt;&gt;"", IF(MOD(S257,10)=0,S257-1,IF(MOD(S257,10)&lt;=5,FLOOR(S257,10)+6,FLOOR(S257,10)+9)), R257)</f>
        <v/>
      </c>
      <c r="U257" s="87" t="inlineStr">
        <is>
          <t>Основний</t>
        </is>
      </c>
      <c r="V257" s="88" t="n"/>
      <c r="W257" s="88" t="n"/>
      <c r="X257" s="89">
        <f>IFERROR(IF(OR(V257="",W257="",T257=""),"", IF(T257&gt;W257,"Дорогий",IF(T257&lt;V257,"Дешевий","У ринку"))),"")</f>
        <v/>
      </c>
      <c r="Y257" s="90" t="n"/>
      <c r="Z257" s="104">
        <f>CHOOSE(MATCH(IF($U257="","Основний",$U257),{"Трафіковий","Основний","Маржинальний","Сезонний","Стратегічний"},0),0.16,0.19,0.24,0.23,0.28)</f>
        <v/>
      </c>
      <c r="AA257" s="104">
        <f>CHOOSE(MATCH(IF($U257="","Основний",$U257),{"Трафіковий","Основний","Маржинальний","Сезонний","Стратегічний"},0),0.18,0.21,0.26,0.25,0.3)</f>
        <v/>
      </c>
      <c r="AB257" s="104">
        <f>CHOOSE(MATCH(IF($U257="","Основний",$U257),{"Трафіковий","Основний","Маржинальний","Сезонний","Стратегічний"},0),0.19,0.22,0.28,0.26,0.32)</f>
        <v/>
      </c>
      <c r="AC257" s="104">
        <f>CHOOSE(MATCH(IF($U257="","Основний",$U257),{"Трафіковий","Основний","Маржинальний","Сезонний","Стратегічний"},0),0.17,0.2,0.25,0.24,0.28)</f>
        <v/>
      </c>
      <c r="AD257" s="104">
        <f>CHOOSE(MATCH(IF($U257="","Основний",$U257),{"Трафіковий","Основний","Маржинальний","Сезонний","Стратегічний"},0),0.18,0.21,0.26,0.25,0.3)</f>
        <v/>
      </c>
      <c r="AE257" s="104">
        <f>CHOOSE(MATCH(IF($U257="","Основний",$U257),{"Трафіковий","Основний","Маржинальний","Сезонний","Стратегічний"},0),0.18,0.2,0.28,0.27,0.32)</f>
        <v/>
      </c>
      <c r="AF257" s="104">
        <f>CHOOSE(MATCH(IF($U257="","Основний",$U257),{"Трафіковий","Основний","Маржинальний","Сезонний","Стратегічний"},0),0.15,0.175,0.22,0.21,0.25)</f>
        <v/>
      </c>
      <c r="AG257" s="104">
        <f>CHOOSE(MATCH(IF($U257="","Основний",$U257),{"Трафіковий","Основний","Маржинальний","Сезонний","Стратегічний"},0),0.13,0.16,0.21,0.2,0.25)</f>
        <v/>
      </c>
      <c r="AH257" s="104">
        <f>CHOOSE(MATCH(IF($U257="","Основний",$U257),{"Трафіковий","Основний","Маржинальний","Сезонний","Стратегічний"},0),0.15,0.18,0.23,0.22,0.27)</f>
        <v/>
      </c>
      <c r="AI257" s="104">
        <f>CHOOSE(MATCH(IF($U257="","Основний",$U257),{"Трафіковий","Основний","Маржинальний","Сезонний","Стратегічний"},0),0.16,0.19,0.25,0.23,0.29)</f>
        <v/>
      </c>
      <c r="AJ257" s="104">
        <f>CHOOSE(MATCH(IF($U257="","Основний",$U257),{"Трафіковий","Основний","Маржинальний","Сезонний","Стратегічний"},0),0.14,0.17,0.22,0.21,0.25)</f>
        <v/>
      </c>
      <c r="AK257" s="104">
        <f>CHOOSE(MATCH(IF($U257="","Основний",$U257),{"Трафіковий","Основний","Маржинальний","Сезонний","Стратегічний"},0),0.15,0.18,0.23,0.22,0.27)</f>
        <v/>
      </c>
      <c r="AL257" s="104">
        <f>CHOOSE(MATCH(IF($U257="","Основний",$U257),{"Трафіковий","Основний","Маржинальний","Сезонний","Стратегічний"},0),0.15,0.17,0.25,0.24,0.29)</f>
        <v/>
      </c>
      <c r="AM257" s="104">
        <f>CHOOSE(MATCH(IF($U257="","Основний",$U257),{"Трафіковий","Основний","Маржинальний","Сезонний","Стратегічний"},0),0.12,0.145,0.19,0.18,0.22)</f>
        <v/>
      </c>
      <c r="AN257" s="157">
        <f>CHOOSE(MATCH(IF($U257="","Основний",$U257),{"Трафіковий","Основний","Маржинальний","Сезонний","Стратегічний"},0),Settings!$B$78,Settings!$B$80,Settings!$B$82,Settings!$B$84,Settings!$B$86)</f>
        <v/>
      </c>
      <c r="AO257" s="157">
        <f>CHOOSE(MATCH(IF($U257="","Основний",$U257),{"Трафіковий","Основний","Маржинальний","Сезонний","Стратегічний"},0),Settings!$C$78,Settings!$C$80,Settings!$C$82,Settings!$C$84,Settings!$C$86)</f>
        <v/>
      </c>
      <c r="AP257" s="157">
        <f>CHOOSE(MATCH(IF($U257="","Основний",$U257),{"Трафіковий","Основний","Маржинальний","Сезонний","Стратегічний"},0),Settings!$D$78,Settings!$D$80,Settings!$D$82,Settings!$D$84,Settings!$D$86)</f>
        <v/>
      </c>
      <c r="AQ257" s="157">
        <f>CHOOSE(MATCH(IF($U257="","Основний",$U257),{"Трафіковий","Основний","Маржинальний","Сезонний","Стратегічний"},0),Settings!$F$78,Settings!$F$80,Settings!$F$82,Settings!$F$84,Settings!$F$86)</f>
        <v/>
      </c>
      <c r="AR257" s="157">
        <f>CHOOSE(MATCH(IF($U257="","Основний",$U257),{"Трафіковий","Основний","Маржинальний","Сезонний","Стратегічний"},0),Settings!$G$78,Settings!$G$80,Settings!$G$82,Settings!$G$84,Settings!$G$86)</f>
        <v/>
      </c>
      <c r="AS257" s="157">
        <f>CHOOSE(MATCH(IF($U257="","Основний",$U257),{"Трафіковий","Основний","Маржинальний","Сезонний","Стратегічний"},0),Settings!$H$78,Settings!$H$80,Settings!$H$82,Settings!$H$84,Settings!$H$86)</f>
        <v/>
      </c>
      <c r="AT257" s="157">
        <f>CHOOSE(MATCH(IF($U257="","Основний",$U257),{"Трафіковий","Основний","Маржинальний","Сезонний","Стратегічний"},0),Settings!$I$78,Settings!$I$80,Settings!$I$82,Settings!$I$84,Settings!$I$86)</f>
        <v/>
      </c>
      <c r="AU257" s="171" t="n"/>
      <c r="AV257" t="n">
        <v>1.35</v>
      </c>
    </row>
    <row r="258">
      <c r="A258" s="28" t="n"/>
      <c r="B258" s="29" t="inlineStr">
        <is>
          <t>P1321</t>
        </is>
      </c>
      <c r="C258" s="29" t="inlineStr">
        <is>
          <t>EXT.POWER CORD 3S 1,5M SW.SCH.</t>
        </is>
      </c>
      <c r="D258" s="29" t="inlineStr">
        <is>
          <t>Пооджувачи та адаптери</t>
        </is>
      </c>
      <c r="E258" s="28" t="inlineStr">
        <is>
          <t>PC</t>
        </is>
      </c>
      <c r="F258" s="93" t="n">
        <v>2.104</v>
      </c>
      <c r="G258" s="30" t="n">
        <v>8544429090</v>
      </c>
      <c r="H258" s="31" t="n">
        <v>1.4</v>
      </c>
      <c r="I258" s="84">
        <f>IFERROR(F258*Settings!$B$2*H258*IF(AND(ISNUMBER(E258),E258&gt;1),E258,1),"")</f>
        <v/>
      </c>
      <c r="J258" s="32">
        <f>Settings!$B$66</f>
        <v/>
      </c>
      <c r="K258" s="95">
        <f>IFERROR(IF(T258="","",(T258*(1-AN258)*(1-Settings!$B$17)-I258)/(T258*(1-AN258)*(1-Settings!$B$17))),"")</f>
        <v/>
      </c>
      <c r="L258" s="101">
        <f>IFERROR(IF(T258="","",(T258*(1-AO258)*(1-Settings!$C$17)-I258)/(T258*(1-AO258)*(1-Settings!$C$17))),"")</f>
        <v/>
      </c>
      <c r="M258" s="101">
        <f>IFERROR(IF(T258="","",(T258*(1-AP258)*(1-Settings!$D$17)-I258)/(T258*(1-AP258)*(1-Settings!$D$17))),"")</f>
        <v/>
      </c>
      <c r="N258" s="101">
        <f>IFERROR(IF(T258="","",(T258*(1-AQ258)*(1-Settings!$F$17)-I258)/(T258*(1-AQ258)*(1-Settings!$F$17))),"")</f>
        <v/>
      </c>
      <c r="O258" s="101">
        <f>IFERROR(IF(T258="","",(T258*(1-AR258)*(1-Settings!$G$17)-I258)/(T258*(1-AR258)*(1-Settings!$G$17))),"")</f>
        <v/>
      </c>
      <c r="P258" s="101">
        <f>IFERROR(IF(T258="","",(T258*(1-AS258)*(1-Settings!$H$17)-I258)/(T258*(1-AS258)*(1-Settings!$H$17))),"")</f>
        <v/>
      </c>
      <c r="Q258" s="101">
        <f>IFERROR(IF(T258="","",(T258*(1-AT258)*(1-Settings!$I$68)*(1-Settings!$I$17)-I258)/(T258*(1-AT258)*(1-Settings!$I$68)*(1-Settings!$I$17))),"")</f>
        <v/>
      </c>
      <c r="R258" s="91">
        <f>IFERROR(IF(OR(I258="",Z258&gt;=1,Settings!$B$17&gt;=1,AN258&gt;=1),"",IF(MOD(ROUND(I258/(1-Z258)/(1-Settings!$B$17)/(1-AN258),0),10)=0,ROUND(I258/(1-Z258)/(1-Settings!$B$17)/(1-AN258),0)-1,IF(MOD(ROUND(I258/(1-Z258)/(1-Settings!$B$17)/(1-AN258),0),10)&lt;=5,FLOOR(ROUND(I258/(1-Z258)/(1-Settings!$B$17)/(1-AN258),0),10)+6,FLOOR(ROUND(I258/(1-Z258)/(1-Settings!$B$17)/(1-AN258),0),10)+9))),"")</f>
        <v/>
      </c>
      <c r="S258" s="174">
        <f>R258*0.95</f>
        <v/>
      </c>
      <c r="T258" s="91">
        <f>IF(S258&lt;&gt;"", IF(MOD(S258,10)=0,S258-1,IF(MOD(S258,10)&lt;=5,FLOOR(S258,10)+6,FLOOR(S258,10)+9)), R258)</f>
        <v/>
      </c>
      <c r="U258" s="87" t="inlineStr">
        <is>
          <t>Основний</t>
        </is>
      </c>
      <c r="V258" s="88" t="n"/>
      <c r="W258" s="88" t="n"/>
      <c r="X258" s="89">
        <f>IFERROR(IF(OR(V258="",W258="",T258=""),"", IF(T258&gt;W258,"Дорогий",IF(T258&lt;V258,"Дешевий","У ринку"))),"")</f>
        <v/>
      </c>
      <c r="Y258" s="90" t="n"/>
      <c r="Z258" s="104">
        <f>CHOOSE(MATCH(IF($U258="","Основний",$U258),{"Трафіковий","Основний","Маржинальний","Сезонний","Стратегічний"},0),0.16,0.19,0.24,0.23,0.28)</f>
        <v/>
      </c>
      <c r="AA258" s="104">
        <f>CHOOSE(MATCH(IF($U258="","Основний",$U258),{"Трафіковий","Основний","Маржинальний","Сезонний","Стратегічний"},0),0.18,0.21,0.26,0.25,0.3)</f>
        <v/>
      </c>
      <c r="AB258" s="104">
        <f>CHOOSE(MATCH(IF($U258="","Основний",$U258),{"Трафіковий","Основний","Маржинальний","Сезонний","Стратегічний"},0),0.19,0.22,0.28,0.26,0.32)</f>
        <v/>
      </c>
      <c r="AC258" s="104">
        <f>CHOOSE(MATCH(IF($U258="","Основний",$U258),{"Трафіковий","Основний","Маржинальний","Сезонний","Стратегічний"},0),0.17,0.2,0.25,0.24,0.28)</f>
        <v/>
      </c>
      <c r="AD258" s="104">
        <f>CHOOSE(MATCH(IF($U258="","Основний",$U258),{"Трафіковий","Основний","Маржинальний","Сезонний","Стратегічний"},0),0.18,0.21,0.26,0.25,0.3)</f>
        <v/>
      </c>
      <c r="AE258" s="104">
        <f>CHOOSE(MATCH(IF($U258="","Основний",$U258),{"Трафіковий","Основний","Маржинальний","Сезонний","Стратегічний"},0),0.18,0.2,0.28,0.27,0.32)</f>
        <v/>
      </c>
      <c r="AF258" s="104">
        <f>CHOOSE(MATCH(IF($U258="","Основний",$U258),{"Трафіковий","Основний","Маржинальний","Сезонний","Стратегічний"},0),0.15,0.175,0.22,0.21,0.25)</f>
        <v/>
      </c>
      <c r="AG258" s="104">
        <f>CHOOSE(MATCH(IF($U258="","Основний",$U258),{"Трафіковий","Основний","Маржинальний","Сезонний","Стратегічний"},0),0.13,0.16,0.21,0.2,0.25)</f>
        <v/>
      </c>
      <c r="AH258" s="104">
        <f>CHOOSE(MATCH(IF($U258="","Основний",$U258),{"Трафіковий","Основний","Маржинальний","Сезонний","Стратегічний"},0),0.15,0.18,0.23,0.22,0.27)</f>
        <v/>
      </c>
      <c r="AI258" s="104">
        <f>CHOOSE(MATCH(IF($U258="","Основний",$U258),{"Трафіковий","Основний","Маржинальний","Сезонний","Стратегічний"},0),0.16,0.19,0.25,0.23,0.29)</f>
        <v/>
      </c>
      <c r="AJ258" s="104">
        <f>CHOOSE(MATCH(IF($U258="","Основний",$U258),{"Трафіковий","Основний","Маржинальний","Сезонний","Стратегічний"},0),0.14,0.17,0.22,0.21,0.25)</f>
        <v/>
      </c>
      <c r="AK258" s="104">
        <f>CHOOSE(MATCH(IF($U258="","Основний",$U258),{"Трафіковий","Основний","Маржинальний","Сезонний","Стратегічний"},0),0.15,0.18,0.23,0.22,0.27)</f>
        <v/>
      </c>
      <c r="AL258" s="104">
        <f>CHOOSE(MATCH(IF($U258="","Основний",$U258),{"Трафіковий","Основний","Маржинальний","Сезонний","Стратегічний"},0),0.15,0.17,0.25,0.24,0.29)</f>
        <v/>
      </c>
      <c r="AM258" s="104">
        <f>CHOOSE(MATCH(IF($U258="","Основний",$U258),{"Трафіковий","Основний","Маржинальний","Сезонний","Стратегічний"},0),0.12,0.145,0.19,0.18,0.22)</f>
        <v/>
      </c>
      <c r="AN258" s="157">
        <f>CHOOSE(MATCH(IF($U258="","Основний",$U258),{"Трафіковий","Основний","Маржинальний","Сезонний","Стратегічний"},0),Settings!$B$78,Settings!$B$80,Settings!$B$82,Settings!$B$84,Settings!$B$86)</f>
        <v/>
      </c>
      <c r="AO258" s="157">
        <f>CHOOSE(MATCH(IF($U258="","Основний",$U258),{"Трафіковий","Основний","Маржинальний","Сезонний","Стратегічний"},0),Settings!$C$78,Settings!$C$80,Settings!$C$82,Settings!$C$84,Settings!$C$86)</f>
        <v/>
      </c>
      <c r="AP258" s="157">
        <f>CHOOSE(MATCH(IF($U258="","Основний",$U258),{"Трафіковий","Основний","Маржинальний","Сезонний","Стратегічний"},0),Settings!$D$78,Settings!$D$80,Settings!$D$82,Settings!$D$84,Settings!$D$86)</f>
        <v/>
      </c>
      <c r="AQ258" s="157">
        <f>CHOOSE(MATCH(IF($U258="","Основний",$U258),{"Трафіковий","Основний","Маржинальний","Сезонний","Стратегічний"},0),Settings!$F$78,Settings!$F$80,Settings!$F$82,Settings!$F$84,Settings!$F$86)</f>
        <v/>
      </c>
      <c r="AR258" s="157">
        <f>CHOOSE(MATCH(IF($U258="","Основний",$U258),{"Трафіковий","Основний","Маржинальний","Сезонний","Стратегічний"},0),Settings!$G$78,Settings!$G$80,Settings!$G$82,Settings!$G$84,Settings!$G$86)</f>
        <v/>
      </c>
      <c r="AS258" s="157">
        <f>CHOOSE(MATCH(IF($U258="","Основний",$U258),{"Трафіковий","Основний","Маржинальний","Сезонний","Стратегічний"},0),Settings!$H$78,Settings!$H$80,Settings!$H$82,Settings!$H$84,Settings!$H$86)</f>
        <v/>
      </c>
      <c r="AT258" s="157">
        <f>CHOOSE(MATCH(IF($U258="","Основний",$U258),{"Трафіковий","Основний","Маржинальний","Сезонний","Стратегічний"},0),Settings!$I$78,Settings!$I$80,Settings!$I$82,Settings!$I$84,Settings!$I$86)</f>
        <v/>
      </c>
      <c r="AU258" s="171" t="n"/>
      <c r="AV258" t="n">
        <v>1.35</v>
      </c>
    </row>
    <row r="259">
      <c r="A259" s="33" t="n"/>
      <c r="B259" s="34" t="inlineStr">
        <is>
          <t>PC1321</t>
        </is>
      </c>
      <c r="C259" s="34" t="inlineStr">
        <is>
          <t>EXT.POW.CORD 3S 1,5M SW.SCHU.B</t>
        </is>
      </c>
      <c r="D259" s="34" t="inlineStr">
        <is>
          <t>Пооджувачи та адаптери</t>
        </is>
      </c>
      <c r="E259" s="33" t="inlineStr">
        <is>
          <t>PC</t>
        </is>
      </c>
      <c r="F259" s="94" t="n">
        <v>2.139</v>
      </c>
      <c r="G259" s="35" t="n">
        <v>8544429090</v>
      </c>
      <c r="H259" s="31" t="n">
        <v>1.4</v>
      </c>
      <c r="I259" s="84">
        <f>IFERROR(F259*Settings!$B$2*H259*IF(AND(ISNUMBER(E259),E259&gt;1),E259,1),"")</f>
        <v/>
      </c>
      <c r="J259" s="32">
        <f>Settings!$B$66</f>
        <v/>
      </c>
      <c r="K259" s="95">
        <f>IFERROR(IF(T259="","",(T259*(1-AN259)*(1-Settings!$B$17)-I259)/(T259*(1-AN259)*(1-Settings!$B$17))),"")</f>
        <v/>
      </c>
      <c r="L259" s="101">
        <f>IFERROR(IF(T259="","",(T259*(1-AO259)*(1-Settings!$C$17)-I259)/(T259*(1-AO259)*(1-Settings!$C$17))),"")</f>
        <v/>
      </c>
      <c r="M259" s="101">
        <f>IFERROR(IF(T259="","",(T259*(1-AP259)*(1-Settings!$D$17)-I259)/(T259*(1-AP259)*(1-Settings!$D$17))),"")</f>
        <v/>
      </c>
      <c r="N259" s="101">
        <f>IFERROR(IF(T259="","",(T259*(1-AQ259)*(1-Settings!$F$17)-I259)/(T259*(1-AQ259)*(1-Settings!$F$17))),"")</f>
        <v/>
      </c>
      <c r="O259" s="101">
        <f>IFERROR(IF(T259="","",(T259*(1-AR259)*(1-Settings!$G$17)-I259)/(T259*(1-AR259)*(1-Settings!$G$17))),"")</f>
        <v/>
      </c>
      <c r="P259" s="101">
        <f>IFERROR(IF(T259="","",(T259*(1-AS259)*(1-Settings!$H$17)-I259)/(T259*(1-AS259)*(1-Settings!$H$17))),"")</f>
        <v/>
      </c>
      <c r="Q259" s="101">
        <f>IFERROR(IF(T259="","",(T259*(1-AT259)*(1-Settings!$I$68)*(1-Settings!$I$17)-I259)/(T259*(1-AT259)*(1-Settings!$I$68)*(1-Settings!$I$17))),"")</f>
        <v/>
      </c>
      <c r="R259" s="91">
        <f>IFERROR(IF(OR(I259="",Z259&gt;=1,Settings!$B$17&gt;=1,AN259&gt;=1),"",IF(MOD(ROUND(I259/(1-Z259)/(1-Settings!$B$17)/(1-AN259),0),10)=0,ROUND(I259/(1-Z259)/(1-Settings!$B$17)/(1-AN259),0)-1,IF(MOD(ROUND(I259/(1-Z259)/(1-Settings!$B$17)/(1-AN259),0),10)&lt;=5,FLOOR(ROUND(I259/(1-Z259)/(1-Settings!$B$17)/(1-AN259),0),10)+6,FLOOR(ROUND(I259/(1-Z259)/(1-Settings!$B$17)/(1-AN259),0),10)+9))),"")</f>
        <v/>
      </c>
      <c r="S259" s="174">
        <f>R259*0.95</f>
        <v/>
      </c>
      <c r="T259" s="91">
        <f>IF(S259&lt;&gt;"", IF(MOD(S259,10)=0,S259-1,IF(MOD(S259,10)&lt;=5,FLOOR(S259,10)+6,FLOOR(S259,10)+9)), R259)</f>
        <v/>
      </c>
      <c r="U259" s="87" t="inlineStr">
        <is>
          <t>Основний</t>
        </is>
      </c>
      <c r="V259" s="88" t="n"/>
      <c r="W259" s="88" t="n"/>
      <c r="X259" s="89">
        <f>IFERROR(IF(OR(V259="",W259="",T259=""),"", IF(T259&gt;W259,"Дорогий",IF(T259&lt;V259,"Дешевий","У ринку"))),"")</f>
        <v/>
      </c>
      <c r="Y259" s="90" t="n"/>
      <c r="Z259" s="104">
        <f>CHOOSE(MATCH(IF($U259="","Основний",$U259),{"Трафіковий","Основний","Маржинальний","Сезонний","Стратегічний"},0),0.16,0.19,0.24,0.23,0.28)</f>
        <v/>
      </c>
      <c r="AA259" s="104">
        <f>CHOOSE(MATCH(IF($U259="","Основний",$U259),{"Трафіковий","Основний","Маржинальний","Сезонний","Стратегічний"},0),0.18,0.21,0.26,0.25,0.3)</f>
        <v/>
      </c>
      <c r="AB259" s="104">
        <f>CHOOSE(MATCH(IF($U259="","Основний",$U259),{"Трафіковий","Основний","Маржинальний","Сезонний","Стратегічний"},0),0.19,0.22,0.28,0.26,0.32)</f>
        <v/>
      </c>
      <c r="AC259" s="104">
        <f>CHOOSE(MATCH(IF($U259="","Основний",$U259),{"Трафіковий","Основний","Маржинальний","Сезонний","Стратегічний"},0),0.17,0.2,0.25,0.24,0.28)</f>
        <v/>
      </c>
      <c r="AD259" s="104">
        <f>CHOOSE(MATCH(IF($U259="","Основний",$U259),{"Трафіковий","Основний","Маржинальний","Сезонний","Стратегічний"},0),0.18,0.21,0.26,0.25,0.3)</f>
        <v/>
      </c>
      <c r="AE259" s="104">
        <f>CHOOSE(MATCH(IF($U259="","Основний",$U259),{"Трафіковий","Основний","Маржинальний","Сезонний","Стратегічний"},0),0.18,0.2,0.28,0.27,0.32)</f>
        <v/>
      </c>
      <c r="AF259" s="104">
        <f>CHOOSE(MATCH(IF($U259="","Основний",$U259),{"Трафіковий","Основний","Маржинальний","Сезонний","Стратегічний"},0),0.15,0.175,0.22,0.21,0.25)</f>
        <v/>
      </c>
      <c r="AG259" s="104">
        <f>CHOOSE(MATCH(IF($U259="","Основний",$U259),{"Трафіковий","Основний","Маржинальний","Сезонний","Стратегічний"},0),0.13,0.16,0.21,0.2,0.25)</f>
        <v/>
      </c>
      <c r="AH259" s="104">
        <f>CHOOSE(MATCH(IF($U259="","Основний",$U259),{"Трафіковий","Основний","Маржинальний","Сезонний","Стратегічний"},0),0.15,0.18,0.23,0.22,0.27)</f>
        <v/>
      </c>
      <c r="AI259" s="104">
        <f>CHOOSE(MATCH(IF($U259="","Основний",$U259),{"Трафіковий","Основний","Маржинальний","Сезонний","Стратегічний"},0),0.16,0.19,0.25,0.23,0.29)</f>
        <v/>
      </c>
      <c r="AJ259" s="104">
        <f>CHOOSE(MATCH(IF($U259="","Основний",$U259),{"Трафіковий","Основний","Маржинальний","Сезонний","Стратегічний"},0),0.14,0.17,0.22,0.21,0.25)</f>
        <v/>
      </c>
      <c r="AK259" s="104">
        <f>CHOOSE(MATCH(IF($U259="","Основний",$U259),{"Трафіковий","Основний","Маржинальний","Сезонний","Стратегічний"},0),0.15,0.18,0.23,0.22,0.27)</f>
        <v/>
      </c>
      <c r="AL259" s="104">
        <f>CHOOSE(MATCH(IF($U259="","Основний",$U259),{"Трафіковий","Основний","Маржинальний","Сезонний","Стратегічний"},0),0.15,0.17,0.25,0.24,0.29)</f>
        <v/>
      </c>
      <c r="AM259" s="104">
        <f>CHOOSE(MATCH(IF($U259="","Основний",$U259),{"Трафіковий","Основний","Маржинальний","Сезонний","Стратегічний"},0),0.12,0.145,0.19,0.18,0.22)</f>
        <v/>
      </c>
      <c r="AN259" s="157">
        <f>CHOOSE(MATCH(IF($U259="","Основний",$U259),{"Трафіковий","Основний","Маржинальний","Сезонний","Стратегічний"},0),Settings!$B$78,Settings!$B$80,Settings!$B$82,Settings!$B$84,Settings!$B$86)</f>
        <v/>
      </c>
      <c r="AO259" s="157">
        <f>CHOOSE(MATCH(IF($U259="","Основний",$U259),{"Трафіковий","Основний","Маржинальний","Сезонний","Стратегічний"},0),Settings!$C$78,Settings!$C$80,Settings!$C$82,Settings!$C$84,Settings!$C$86)</f>
        <v/>
      </c>
      <c r="AP259" s="157">
        <f>CHOOSE(MATCH(IF($U259="","Основний",$U259),{"Трафіковий","Основний","Маржинальний","Сезонний","Стратегічний"},0),Settings!$D$78,Settings!$D$80,Settings!$D$82,Settings!$D$84,Settings!$D$86)</f>
        <v/>
      </c>
      <c r="AQ259" s="157">
        <f>CHOOSE(MATCH(IF($U259="","Основний",$U259),{"Трафіковий","Основний","Маржинальний","Сезонний","Стратегічний"},0),Settings!$F$78,Settings!$F$80,Settings!$F$82,Settings!$F$84,Settings!$F$86)</f>
        <v/>
      </c>
      <c r="AR259" s="157">
        <f>CHOOSE(MATCH(IF($U259="","Основний",$U259),{"Трафіковий","Основний","Маржинальний","Сезонний","Стратегічний"},0),Settings!$G$78,Settings!$G$80,Settings!$G$82,Settings!$G$84,Settings!$G$86)</f>
        <v/>
      </c>
      <c r="AS259" s="157">
        <f>CHOOSE(MATCH(IF($U259="","Основний",$U259),{"Трафіковий","Основний","Маржинальний","Сезонний","Стратегічний"},0),Settings!$H$78,Settings!$H$80,Settings!$H$82,Settings!$H$84,Settings!$H$86)</f>
        <v/>
      </c>
      <c r="AT259" s="157">
        <f>CHOOSE(MATCH(IF($U259="","Основний",$U259),{"Трафіковий","Основний","Маржинальний","Сезонний","Стратегічний"},0),Settings!$I$78,Settings!$I$80,Settings!$I$82,Settings!$I$84,Settings!$I$86)</f>
        <v/>
      </c>
      <c r="AU259" s="171" t="n"/>
      <c r="AV259" t="n">
        <v>1.35</v>
      </c>
    </row>
    <row r="260">
      <c r="A260" s="28" t="n"/>
      <c r="B260" s="29" t="inlineStr">
        <is>
          <t>P1322</t>
        </is>
      </c>
      <c r="C260" s="29" t="inlineStr">
        <is>
          <t>EXT.POWER CORD 3S 2M SW.SCH.</t>
        </is>
      </c>
      <c r="D260" s="29" t="inlineStr">
        <is>
          <t>Пооджувачи та адаптери</t>
        </is>
      </c>
      <c r="E260" s="28" t="inlineStr">
        <is>
          <t>PC</t>
        </is>
      </c>
      <c r="F260" s="93" t="n">
        <v>2.336</v>
      </c>
      <c r="G260" s="30" t="n">
        <v>8544429090</v>
      </c>
      <c r="H260" s="31" t="n">
        <v>1.4</v>
      </c>
      <c r="I260" s="84">
        <f>IFERROR(F260*Settings!$B$2*H260*IF(AND(ISNUMBER(E260),E260&gt;1),E260,1),"")</f>
        <v/>
      </c>
      <c r="J260" s="32">
        <f>Settings!$B$66</f>
        <v/>
      </c>
      <c r="K260" s="95">
        <f>IFERROR(IF(T260="","",(T260*(1-AN260)*(1-Settings!$B$17)-I260)/(T260*(1-AN260)*(1-Settings!$B$17))),"")</f>
        <v/>
      </c>
      <c r="L260" s="101">
        <f>IFERROR(IF(T260="","",(T260*(1-AO260)*(1-Settings!$C$17)-I260)/(T260*(1-AO260)*(1-Settings!$C$17))),"")</f>
        <v/>
      </c>
      <c r="M260" s="101">
        <f>IFERROR(IF(T260="","",(T260*(1-AP260)*(1-Settings!$D$17)-I260)/(T260*(1-AP260)*(1-Settings!$D$17))),"")</f>
        <v/>
      </c>
      <c r="N260" s="101">
        <f>IFERROR(IF(T260="","",(T260*(1-AQ260)*(1-Settings!$F$17)-I260)/(T260*(1-AQ260)*(1-Settings!$F$17))),"")</f>
        <v/>
      </c>
      <c r="O260" s="101">
        <f>IFERROR(IF(T260="","",(T260*(1-AR260)*(1-Settings!$G$17)-I260)/(T260*(1-AR260)*(1-Settings!$G$17))),"")</f>
        <v/>
      </c>
      <c r="P260" s="101">
        <f>IFERROR(IF(T260="","",(T260*(1-AS260)*(1-Settings!$H$17)-I260)/(T260*(1-AS260)*(1-Settings!$H$17))),"")</f>
        <v/>
      </c>
      <c r="Q260" s="101">
        <f>IFERROR(IF(T260="","",(T260*(1-AT260)*(1-Settings!$I$68)*(1-Settings!$I$17)-I260)/(T260*(1-AT260)*(1-Settings!$I$68)*(1-Settings!$I$17))),"")</f>
        <v/>
      </c>
      <c r="R260" s="91">
        <f>IFERROR(IF(OR(I260="",Z260&gt;=1,Settings!$B$17&gt;=1,AN260&gt;=1),"",IF(MOD(ROUND(I260/(1-Z260)/(1-Settings!$B$17)/(1-AN260),0),10)=0,ROUND(I260/(1-Z260)/(1-Settings!$B$17)/(1-AN260),0)-1,IF(MOD(ROUND(I260/(1-Z260)/(1-Settings!$B$17)/(1-AN260),0),10)&lt;=5,FLOOR(ROUND(I260/(1-Z260)/(1-Settings!$B$17)/(1-AN260),0),10)+6,FLOOR(ROUND(I260/(1-Z260)/(1-Settings!$B$17)/(1-AN260),0),10)+9))),"")</f>
        <v/>
      </c>
      <c r="S260" s="174">
        <f>R260*0.95</f>
        <v/>
      </c>
      <c r="T260" s="91">
        <f>IF(S260&lt;&gt;"", IF(MOD(S260,10)=0,S260-1,IF(MOD(S260,10)&lt;=5,FLOOR(S260,10)+6,FLOOR(S260,10)+9)), R260)</f>
        <v/>
      </c>
      <c r="U260" s="87" t="inlineStr">
        <is>
          <t>Основний</t>
        </is>
      </c>
      <c r="V260" s="88" t="n"/>
      <c r="W260" s="88" t="n"/>
      <c r="X260" s="89">
        <f>IFERROR(IF(OR(V260="",W260="",T260=""),"", IF(T260&gt;W260,"Дорогий",IF(T260&lt;V260,"Дешевий","У ринку"))),"")</f>
        <v/>
      </c>
      <c r="Y260" s="90" t="n"/>
      <c r="Z260" s="104">
        <f>CHOOSE(MATCH(IF($U260="","Основний",$U260),{"Трафіковий","Основний","Маржинальний","Сезонний","Стратегічний"},0),0.16,0.19,0.24,0.23,0.28)</f>
        <v/>
      </c>
      <c r="AA260" s="104">
        <f>CHOOSE(MATCH(IF($U260="","Основний",$U260),{"Трафіковий","Основний","Маржинальний","Сезонний","Стратегічний"},0),0.18,0.21,0.26,0.25,0.3)</f>
        <v/>
      </c>
      <c r="AB260" s="104">
        <f>CHOOSE(MATCH(IF($U260="","Основний",$U260),{"Трафіковий","Основний","Маржинальний","Сезонний","Стратегічний"},0),0.19,0.22,0.28,0.26,0.32)</f>
        <v/>
      </c>
      <c r="AC260" s="104">
        <f>CHOOSE(MATCH(IF($U260="","Основний",$U260),{"Трафіковий","Основний","Маржинальний","Сезонний","Стратегічний"},0),0.17,0.2,0.25,0.24,0.28)</f>
        <v/>
      </c>
      <c r="AD260" s="104">
        <f>CHOOSE(MATCH(IF($U260="","Основний",$U260),{"Трафіковий","Основний","Маржинальний","Сезонний","Стратегічний"},0),0.18,0.21,0.26,0.25,0.3)</f>
        <v/>
      </c>
      <c r="AE260" s="104">
        <f>CHOOSE(MATCH(IF($U260="","Основний",$U260),{"Трафіковий","Основний","Маржинальний","Сезонний","Стратегічний"},0),0.18,0.2,0.28,0.27,0.32)</f>
        <v/>
      </c>
      <c r="AF260" s="104">
        <f>CHOOSE(MATCH(IF($U260="","Основний",$U260),{"Трафіковий","Основний","Маржинальний","Сезонний","Стратегічний"},0),0.15,0.175,0.22,0.21,0.25)</f>
        <v/>
      </c>
      <c r="AG260" s="104">
        <f>CHOOSE(MATCH(IF($U260="","Основний",$U260),{"Трафіковий","Основний","Маржинальний","Сезонний","Стратегічний"},0),0.13,0.16,0.21,0.2,0.25)</f>
        <v/>
      </c>
      <c r="AH260" s="104">
        <f>CHOOSE(MATCH(IF($U260="","Основний",$U260),{"Трафіковий","Основний","Маржинальний","Сезонний","Стратегічний"},0),0.15,0.18,0.23,0.22,0.27)</f>
        <v/>
      </c>
      <c r="AI260" s="104">
        <f>CHOOSE(MATCH(IF($U260="","Основний",$U260),{"Трафіковий","Основний","Маржинальний","Сезонний","Стратегічний"},0),0.16,0.19,0.25,0.23,0.29)</f>
        <v/>
      </c>
      <c r="AJ260" s="104">
        <f>CHOOSE(MATCH(IF($U260="","Основний",$U260),{"Трафіковий","Основний","Маржинальний","Сезонний","Стратегічний"},0),0.14,0.17,0.22,0.21,0.25)</f>
        <v/>
      </c>
      <c r="AK260" s="104">
        <f>CHOOSE(MATCH(IF($U260="","Основний",$U260),{"Трафіковий","Основний","Маржинальний","Сезонний","Стратегічний"},0),0.15,0.18,0.23,0.22,0.27)</f>
        <v/>
      </c>
      <c r="AL260" s="104">
        <f>CHOOSE(MATCH(IF($U260="","Основний",$U260),{"Трафіковий","Основний","Маржинальний","Сезонний","Стратегічний"},0),0.15,0.17,0.25,0.24,0.29)</f>
        <v/>
      </c>
      <c r="AM260" s="104">
        <f>CHOOSE(MATCH(IF($U260="","Основний",$U260),{"Трафіковий","Основний","Маржинальний","Сезонний","Стратегічний"},0),0.12,0.145,0.19,0.18,0.22)</f>
        <v/>
      </c>
      <c r="AN260" s="157">
        <f>CHOOSE(MATCH(IF($U260="","Основний",$U260),{"Трафіковий","Основний","Маржинальний","Сезонний","Стратегічний"},0),Settings!$B$78,Settings!$B$80,Settings!$B$82,Settings!$B$84,Settings!$B$86)</f>
        <v/>
      </c>
      <c r="AO260" s="157">
        <f>CHOOSE(MATCH(IF($U260="","Основний",$U260),{"Трафіковий","Основний","Маржинальний","Сезонний","Стратегічний"},0),Settings!$C$78,Settings!$C$80,Settings!$C$82,Settings!$C$84,Settings!$C$86)</f>
        <v/>
      </c>
      <c r="AP260" s="157">
        <f>CHOOSE(MATCH(IF($U260="","Основний",$U260),{"Трафіковий","Основний","Маржинальний","Сезонний","Стратегічний"},0),Settings!$D$78,Settings!$D$80,Settings!$D$82,Settings!$D$84,Settings!$D$86)</f>
        <v/>
      </c>
      <c r="AQ260" s="157">
        <f>CHOOSE(MATCH(IF($U260="","Основний",$U260),{"Трафіковий","Основний","Маржинальний","Сезонний","Стратегічний"},0),Settings!$F$78,Settings!$F$80,Settings!$F$82,Settings!$F$84,Settings!$F$86)</f>
        <v/>
      </c>
      <c r="AR260" s="157">
        <f>CHOOSE(MATCH(IF($U260="","Основний",$U260),{"Трафіковий","Основний","Маржинальний","Сезонний","Стратегічний"},0),Settings!$G$78,Settings!$G$80,Settings!$G$82,Settings!$G$84,Settings!$G$86)</f>
        <v/>
      </c>
      <c r="AS260" s="157">
        <f>CHOOSE(MATCH(IF($U260="","Основний",$U260),{"Трафіковий","Основний","Маржинальний","Сезонний","Стратегічний"},0),Settings!$H$78,Settings!$H$80,Settings!$H$82,Settings!$H$84,Settings!$H$86)</f>
        <v/>
      </c>
      <c r="AT260" s="157">
        <f>CHOOSE(MATCH(IF($U260="","Основний",$U260),{"Трафіковий","Основний","Маржинальний","Сезонний","Стратегічний"},0),Settings!$I$78,Settings!$I$80,Settings!$I$82,Settings!$I$84,Settings!$I$86)</f>
        <v/>
      </c>
      <c r="AU260" s="171" t="n"/>
      <c r="AV260" t="n">
        <v>1.35</v>
      </c>
    </row>
    <row r="261">
      <c r="A261" s="33" t="inlineStr">
        <is>
          <t>NEW</t>
        </is>
      </c>
      <c r="B261" s="34" t="inlineStr">
        <is>
          <t>P1421</t>
        </is>
      </c>
      <c r="C261" s="34" t="inlineStr">
        <is>
          <t>EXT.POWER CORD 4S 1,4M SW.SCHUKO</t>
        </is>
      </c>
      <c r="D261" s="34" t="inlineStr">
        <is>
          <t>Пооджувачи та адаптери</t>
        </is>
      </c>
      <c r="E261" s="33" t="inlineStr">
        <is>
          <t>PC</t>
        </is>
      </c>
      <c r="F261" s="94" t="n">
        <v>2.419</v>
      </c>
      <c r="G261" s="35" t="n">
        <v>8544429090</v>
      </c>
      <c r="H261" s="31" t="n">
        <v>1.4</v>
      </c>
      <c r="I261" s="84">
        <f>IFERROR(F261*Settings!$B$2*H261*IF(AND(ISNUMBER(E261),E261&gt;1),E261,1),"")</f>
        <v/>
      </c>
      <c r="J261" s="32">
        <f>Settings!$B$66</f>
        <v/>
      </c>
      <c r="K261" s="95">
        <f>IFERROR(IF(T261="","",(T261*(1-AN261)*(1-Settings!$B$17)-I261)/(T261*(1-AN261)*(1-Settings!$B$17))),"")</f>
        <v/>
      </c>
      <c r="L261" s="101">
        <f>IFERROR(IF(T261="","",(T261*(1-AO261)*(1-Settings!$C$17)-I261)/(T261*(1-AO261)*(1-Settings!$C$17))),"")</f>
        <v/>
      </c>
      <c r="M261" s="101">
        <f>IFERROR(IF(T261="","",(T261*(1-AP261)*(1-Settings!$D$17)-I261)/(T261*(1-AP261)*(1-Settings!$D$17))),"")</f>
        <v/>
      </c>
      <c r="N261" s="101">
        <f>IFERROR(IF(T261="","",(T261*(1-AQ261)*(1-Settings!$F$17)-I261)/(T261*(1-AQ261)*(1-Settings!$F$17))),"")</f>
        <v/>
      </c>
      <c r="O261" s="101">
        <f>IFERROR(IF(T261="","",(T261*(1-AR261)*(1-Settings!$G$17)-I261)/(T261*(1-AR261)*(1-Settings!$G$17))),"")</f>
        <v/>
      </c>
      <c r="P261" s="101">
        <f>IFERROR(IF(T261="","",(T261*(1-AS261)*(1-Settings!$H$17)-I261)/(T261*(1-AS261)*(1-Settings!$H$17))),"")</f>
        <v/>
      </c>
      <c r="Q261" s="101">
        <f>IFERROR(IF(T261="","",(T261*(1-AT261)*(1-Settings!$I$68)*(1-Settings!$I$17)-I261)/(T261*(1-AT261)*(1-Settings!$I$68)*(1-Settings!$I$17))),"")</f>
        <v/>
      </c>
      <c r="R261" s="91">
        <f>IFERROR(IF(OR(I261="",Z261&gt;=1,Settings!$B$17&gt;=1,AN261&gt;=1),"",IF(MOD(ROUND(I261/(1-Z261)/(1-Settings!$B$17)/(1-AN261),0),10)=0,ROUND(I261/(1-Z261)/(1-Settings!$B$17)/(1-AN261),0)-1,IF(MOD(ROUND(I261/(1-Z261)/(1-Settings!$B$17)/(1-AN261),0),10)&lt;=5,FLOOR(ROUND(I261/(1-Z261)/(1-Settings!$B$17)/(1-AN261),0),10)+6,FLOOR(ROUND(I261/(1-Z261)/(1-Settings!$B$17)/(1-AN261),0),10)+9))),"")</f>
        <v/>
      </c>
      <c r="S261" s="174">
        <f>R261*0.95</f>
        <v/>
      </c>
      <c r="T261" s="91">
        <f>IF(S261&lt;&gt;"", IF(MOD(S261,10)=0,S261-1,IF(MOD(S261,10)&lt;=5,FLOOR(S261,10)+6,FLOOR(S261,10)+9)), R261)</f>
        <v/>
      </c>
      <c r="U261" s="87" t="inlineStr">
        <is>
          <t>Основний</t>
        </is>
      </c>
      <c r="V261" s="88" t="n"/>
      <c r="W261" s="88" t="n"/>
      <c r="X261" s="89">
        <f>IFERROR(IF(OR(V261="",W261="",T261=""),"", IF(T261&gt;W261,"Дорогий",IF(T261&lt;V261,"Дешевий","У ринку"))),"")</f>
        <v/>
      </c>
      <c r="Y261" s="90" t="n"/>
      <c r="Z261" s="104">
        <f>CHOOSE(MATCH(IF($U261="","Основний",$U261),{"Трафіковий","Основний","Маржинальний","Сезонний","Стратегічний"},0),0.16,0.19,0.24,0.23,0.28)</f>
        <v/>
      </c>
      <c r="AA261" s="104">
        <f>CHOOSE(MATCH(IF($U261="","Основний",$U261),{"Трафіковий","Основний","Маржинальний","Сезонний","Стратегічний"},0),0.18,0.21,0.26,0.25,0.3)</f>
        <v/>
      </c>
      <c r="AB261" s="104">
        <f>CHOOSE(MATCH(IF($U261="","Основний",$U261),{"Трафіковий","Основний","Маржинальний","Сезонний","Стратегічний"},0),0.19,0.22,0.28,0.26,0.32)</f>
        <v/>
      </c>
      <c r="AC261" s="104">
        <f>CHOOSE(MATCH(IF($U261="","Основний",$U261),{"Трафіковий","Основний","Маржинальний","Сезонний","Стратегічний"},0),0.17,0.2,0.25,0.24,0.28)</f>
        <v/>
      </c>
      <c r="AD261" s="104">
        <f>CHOOSE(MATCH(IF($U261="","Основний",$U261),{"Трафіковий","Основний","Маржинальний","Сезонний","Стратегічний"},0),0.18,0.21,0.26,0.25,0.3)</f>
        <v/>
      </c>
      <c r="AE261" s="104">
        <f>CHOOSE(MATCH(IF($U261="","Основний",$U261),{"Трафіковий","Основний","Маржинальний","Сезонний","Стратегічний"},0),0.18,0.2,0.28,0.27,0.32)</f>
        <v/>
      </c>
      <c r="AF261" s="104">
        <f>CHOOSE(MATCH(IF($U261="","Основний",$U261),{"Трафіковий","Основний","Маржинальний","Сезонний","Стратегічний"},0),0.15,0.175,0.22,0.21,0.25)</f>
        <v/>
      </c>
      <c r="AG261" s="104">
        <f>CHOOSE(MATCH(IF($U261="","Основний",$U261),{"Трафіковий","Основний","Маржинальний","Сезонний","Стратегічний"},0),0.13,0.16,0.21,0.2,0.25)</f>
        <v/>
      </c>
      <c r="AH261" s="104">
        <f>CHOOSE(MATCH(IF($U261="","Основний",$U261),{"Трафіковий","Основний","Маржинальний","Сезонний","Стратегічний"},0),0.15,0.18,0.23,0.22,0.27)</f>
        <v/>
      </c>
      <c r="AI261" s="104">
        <f>CHOOSE(MATCH(IF($U261="","Основний",$U261),{"Трафіковий","Основний","Маржинальний","Сезонний","Стратегічний"},0),0.16,0.19,0.25,0.23,0.29)</f>
        <v/>
      </c>
      <c r="AJ261" s="104">
        <f>CHOOSE(MATCH(IF($U261="","Основний",$U261),{"Трафіковий","Основний","Маржинальний","Сезонний","Стратегічний"},0),0.14,0.17,0.22,0.21,0.25)</f>
        <v/>
      </c>
      <c r="AK261" s="104">
        <f>CHOOSE(MATCH(IF($U261="","Основний",$U261),{"Трафіковий","Основний","Маржинальний","Сезонний","Стратегічний"},0),0.15,0.18,0.23,0.22,0.27)</f>
        <v/>
      </c>
      <c r="AL261" s="104">
        <f>CHOOSE(MATCH(IF($U261="","Основний",$U261),{"Трафіковий","Основний","Маржинальний","Сезонний","Стратегічний"},0),0.15,0.17,0.25,0.24,0.29)</f>
        <v/>
      </c>
      <c r="AM261" s="104">
        <f>CHOOSE(MATCH(IF($U261="","Основний",$U261),{"Трафіковий","Основний","Маржинальний","Сезонний","Стратегічний"},0),0.12,0.145,0.19,0.18,0.22)</f>
        <v/>
      </c>
      <c r="AN261" s="157">
        <f>CHOOSE(MATCH(IF($U261="","Основний",$U261),{"Трафіковий","Основний","Маржинальний","Сезонний","Стратегічний"},0),Settings!$B$78,Settings!$B$80,Settings!$B$82,Settings!$B$84,Settings!$B$86)</f>
        <v/>
      </c>
      <c r="AO261" s="157">
        <f>CHOOSE(MATCH(IF($U261="","Основний",$U261),{"Трафіковий","Основний","Маржинальний","Сезонний","Стратегічний"},0),Settings!$C$78,Settings!$C$80,Settings!$C$82,Settings!$C$84,Settings!$C$86)</f>
        <v/>
      </c>
      <c r="AP261" s="157">
        <f>CHOOSE(MATCH(IF($U261="","Основний",$U261),{"Трафіковий","Основний","Маржинальний","Сезонний","Стратегічний"},0),Settings!$D$78,Settings!$D$80,Settings!$D$82,Settings!$D$84,Settings!$D$86)</f>
        <v/>
      </c>
      <c r="AQ261" s="157">
        <f>CHOOSE(MATCH(IF($U261="","Основний",$U261),{"Трафіковий","Основний","Маржинальний","Сезонний","Стратегічний"},0),Settings!$F$78,Settings!$F$80,Settings!$F$82,Settings!$F$84,Settings!$F$86)</f>
        <v/>
      </c>
      <c r="AR261" s="157">
        <f>CHOOSE(MATCH(IF($U261="","Основний",$U261),{"Трафіковий","Основний","Маржинальний","Сезонний","Стратегічний"},0),Settings!$G$78,Settings!$G$80,Settings!$G$82,Settings!$G$84,Settings!$G$86)</f>
        <v/>
      </c>
      <c r="AS261" s="157">
        <f>CHOOSE(MATCH(IF($U261="","Основний",$U261),{"Трафіковий","Основний","Маржинальний","Сезонний","Стратегічний"},0),Settings!$H$78,Settings!$H$80,Settings!$H$82,Settings!$H$84,Settings!$H$86)</f>
        <v/>
      </c>
      <c r="AT261" s="157">
        <f>CHOOSE(MATCH(IF($U261="","Основний",$U261),{"Трафіковий","Основний","Маржинальний","Сезонний","Стратегічний"},0),Settings!$I$78,Settings!$I$80,Settings!$I$82,Settings!$I$84,Settings!$I$86)</f>
        <v/>
      </c>
      <c r="AU261" s="171" t="n"/>
      <c r="AV261" t="n">
        <v>1.35</v>
      </c>
    </row>
    <row r="262">
      <c r="A262" s="28" t="n"/>
      <c r="B262" s="29" t="inlineStr">
        <is>
          <t>P1422</t>
        </is>
      </c>
      <c r="C262" s="29" t="inlineStr">
        <is>
          <t>EXT.POWER CORD 4S 2M SW.SCH.</t>
        </is>
      </c>
      <c r="D262" s="29" t="inlineStr">
        <is>
          <t>Пооджувачи та адаптери</t>
        </is>
      </c>
      <c r="E262" s="28" t="inlineStr">
        <is>
          <t>PC</t>
        </is>
      </c>
      <c r="F262" s="93" t="n">
        <v>2.573</v>
      </c>
      <c r="G262" s="30" t="n">
        <v>8544429090</v>
      </c>
      <c r="H262" s="31" t="n">
        <v>1.4</v>
      </c>
      <c r="I262" s="84">
        <f>IFERROR(F262*Settings!$B$2*H262*IF(AND(ISNUMBER(E262),E262&gt;1),E262,1),"")</f>
        <v/>
      </c>
      <c r="J262" s="32">
        <f>Settings!$B$66</f>
        <v/>
      </c>
      <c r="K262" s="95">
        <f>IFERROR(IF(T262="","",(T262*(1-AN262)*(1-Settings!$B$17)-I262)/(T262*(1-AN262)*(1-Settings!$B$17))),"")</f>
        <v/>
      </c>
      <c r="L262" s="101">
        <f>IFERROR(IF(T262="","",(T262*(1-AO262)*(1-Settings!$C$17)-I262)/(T262*(1-AO262)*(1-Settings!$C$17))),"")</f>
        <v/>
      </c>
      <c r="M262" s="101">
        <f>IFERROR(IF(T262="","",(T262*(1-AP262)*(1-Settings!$D$17)-I262)/(T262*(1-AP262)*(1-Settings!$D$17))),"")</f>
        <v/>
      </c>
      <c r="N262" s="101">
        <f>IFERROR(IF(T262="","",(T262*(1-AQ262)*(1-Settings!$F$17)-I262)/(T262*(1-AQ262)*(1-Settings!$F$17))),"")</f>
        <v/>
      </c>
      <c r="O262" s="101">
        <f>IFERROR(IF(T262="","",(T262*(1-AR262)*(1-Settings!$G$17)-I262)/(T262*(1-AR262)*(1-Settings!$G$17))),"")</f>
        <v/>
      </c>
      <c r="P262" s="101">
        <f>IFERROR(IF(T262="","",(T262*(1-AS262)*(1-Settings!$H$17)-I262)/(T262*(1-AS262)*(1-Settings!$H$17))),"")</f>
        <v/>
      </c>
      <c r="Q262" s="101">
        <f>IFERROR(IF(T262="","",(T262*(1-AT262)*(1-Settings!$I$68)*(1-Settings!$I$17)-I262)/(T262*(1-AT262)*(1-Settings!$I$68)*(1-Settings!$I$17))),"")</f>
        <v/>
      </c>
      <c r="R262" s="91">
        <f>IFERROR(IF(OR(I262="",Z262&gt;=1,Settings!$B$17&gt;=1,AN262&gt;=1),"",IF(MOD(ROUND(I262/(1-Z262)/(1-Settings!$B$17)/(1-AN262),0),10)=0,ROUND(I262/(1-Z262)/(1-Settings!$B$17)/(1-AN262),0)-1,IF(MOD(ROUND(I262/(1-Z262)/(1-Settings!$B$17)/(1-AN262),0),10)&lt;=5,FLOOR(ROUND(I262/(1-Z262)/(1-Settings!$B$17)/(1-AN262),0),10)+6,FLOOR(ROUND(I262/(1-Z262)/(1-Settings!$B$17)/(1-AN262),0),10)+9))),"")</f>
        <v/>
      </c>
      <c r="S262" s="174">
        <f>R262*0.95</f>
        <v/>
      </c>
      <c r="T262" s="91">
        <f>IF(S262&lt;&gt;"", IF(MOD(S262,10)=0,S262-1,IF(MOD(S262,10)&lt;=5,FLOOR(S262,10)+6,FLOOR(S262,10)+9)), R262)</f>
        <v/>
      </c>
      <c r="U262" s="87" t="inlineStr">
        <is>
          <t>Основний</t>
        </is>
      </c>
      <c r="V262" s="88" t="n"/>
      <c r="W262" s="88" t="n"/>
      <c r="X262" s="89">
        <f>IFERROR(IF(OR(V262="",W262="",T262=""),"", IF(T262&gt;W262,"Дорогий",IF(T262&lt;V262,"Дешевий","У ринку"))),"")</f>
        <v/>
      </c>
      <c r="Y262" s="90" t="n"/>
      <c r="Z262" s="104">
        <f>CHOOSE(MATCH(IF($U262="","Основний",$U262),{"Трафіковий","Основний","Маржинальний","Сезонний","Стратегічний"},0),0.16,0.19,0.24,0.23,0.28)</f>
        <v/>
      </c>
      <c r="AA262" s="104">
        <f>CHOOSE(MATCH(IF($U262="","Основний",$U262),{"Трафіковий","Основний","Маржинальний","Сезонний","Стратегічний"},0),0.18,0.21,0.26,0.25,0.3)</f>
        <v/>
      </c>
      <c r="AB262" s="104">
        <f>CHOOSE(MATCH(IF($U262="","Основний",$U262),{"Трафіковий","Основний","Маржинальний","Сезонний","Стратегічний"},0),0.19,0.22,0.28,0.26,0.32)</f>
        <v/>
      </c>
      <c r="AC262" s="104">
        <f>CHOOSE(MATCH(IF($U262="","Основний",$U262),{"Трафіковий","Основний","Маржинальний","Сезонний","Стратегічний"},0),0.17,0.2,0.25,0.24,0.28)</f>
        <v/>
      </c>
      <c r="AD262" s="104">
        <f>CHOOSE(MATCH(IF($U262="","Основний",$U262),{"Трафіковий","Основний","Маржинальний","Сезонний","Стратегічний"},0),0.18,0.21,0.26,0.25,0.3)</f>
        <v/>
      </c>
      <c r="AE262" s="104">
        <f>CHOOSE(MATCH(IF($U262="","Основний",$U262),{"Трафіковий","Основний","Маржинальний","Сезонний","Стратегічний"},0),0.18,0.2,0.28,0.27,0.32)</f>
        <v/>
      </c>
      <c r="AF262" s="104">
        <f>CHOOSE(MATCH(IF($U262="","Основний",$U262),{"Трафіковий","Основний","Маржинальний","Сезонний","Стратегічний"},0),0.15,0.175,0.22,0.21,0.25)</f>
        <v/>
      </c>
      <c r="AG262" s="104">
        <f>CHOOSE(MATCH(IF($U262="","Основний",$U262),{"Трафіковий","Основний","Маржинальний","Сезонний","Стратегічний"},0),0.13,0.16,0.21,0.2,0.25)</f>
        <v/>
      </c>
      <c r="AH262" s="104">
        <f>CHOOSE(MATCH(IF($U262="","Основний",$U262),{"Трафіковий","Основний","Маржинальний","Сезонний","Стратегічний"},0),0.15,0.18,0.23,0.22,0.27)</f>
        <v/>
      </c>
      <c r="AI262" s="104">
        <f>CHOOSE(MATCH(IF($U262="","Основний",$U262),{"Трафіковий","Основний","Маржинальний","Сезонний","Стратегічний"},0),0.16,0.19,0.25,0.23,0.29)</f>
        <v/>
      </c>
      <c r="AJ262" s="104">
        <f>CHOOSE(MATCH(IF($U262="","Основний",$U262),{"Трафіковий","Основний","Маржинальний","Сезонний","Стратегічний"},0),0.14,0.17,0.22,0.21,0.25)</f>
        <v/>
      </c>
      <c r="AK262" s="104">
        <f>CHOOSE(MATCH(IF($U262="","Основний",$U262),{"Трафіковий","Основний","Маржинальний","Сезонний","Стратегічний"},0),0.15,0.18,0.23,0.22,0.27)</f>
        <v/>
      </c>
      <c r="AL262" s="104">
        <f>CHOOSE(MATCH(IF($U262="","Основний",$U262),{"Трафіковий","Основний","Маржинальний","Сезонний","Стратегічний"},0),0.15,0.17,0.25,0.24,0.29)</f>
        <v/>
      </c>
      <c r="AM262" s="104">
        <f>CHOOSE(MATCH(IF($U262="","Основний",$U262),{"Трафіковий","Основний","Маржинальний","Сезонний","Стратегічний"},0),0.12,0.145,0.19,0.18,0.22)</f>
        <v/>
      </c>
      <c r="AN262" s="157">
        <f>CHOOSE(MATCH(IF($U262="","Основний",$U262),{"Трафіковий","Основний","Маржинальний","Сезонний","Стратегічний"},0),Settings!$B$78,Settings!$B$80,Settings!$B$82,Settings!$B$84,Settings!$B$86)</f>
        <v/>
      </c>
      <c r="AO262" s="157">
        <f>CHOOSE(MATCH(IF($U262="","Основний",$U262),{"Трафіковий","Основний","Маржинальний","Сезонний","Стратегічний"},0),Settings!$C$78,Settings!$C$80,Settings!$C$82,Settings!$C$84,Settings!$C$86)</f>
        <v/>
      </c>
      <c r="AP262" s="157">
        <f>CHOOSE(MATCH(IF($U262="","Основний",$U262),{"Трафіковий","Основний","Маржинальний","Сезонний","Стратегічний"},0),Settings!$D$78,Settings!$D$80,Settings!$D$82,Settings!$D$84,Settings!$D$86)</f>
        <v/>
      </c>
      <c r="AQ262" s="157">
        <f>CHOOSE(MATCH(IF($U262="","Основний",$U262),{"Трафіковий","Основний","Маржинальний","Сезонний","Стратегічний"},0),Settings!$F$78,Settings!$F$80,Settings!$F$82,Settings!$F$84,Settings!$F$86)</f>
        <v/>
      </c>
      <c r="AR262" s="157">
        <f>CHOOSE(MATCH(IF($U262="","Основний",$U262),{"Трафіковий","Основний","Маржинальний","Сезонний","Стратегічний"},0),Settings!$G$78,Settings!$G$80,Settings!$G$82,Settings!$G$84,Settings!$G$86)</f>
        <v/>
      </c>
      <c r="AS262" s="157">
        <f>CHOOSE(MATCH(IF($U262="","Основний",$U262),{"Трафіковий","Основний","Маржинальний","Сезонний","Стратегічний"},0),Settings!$H$78,Settings!$H$80,Settings!$H$82,Settings!$H$84,Settings!$H$86)</f>
        <v/>
      </c>
      <c r="AT262" s="157">
        <f>CHOOSE(MATCH(IF($U262="","Основний",$U262),{"Трафіковий","Основний","Маржинальний","Сезонний","Стратегічний"},0),Settings!$I$78,Settings!$I$80,Settings!$I$82,Settings!$I$84,Settings!$I$86)</f>
        <v/>
      </c>
      <c r="AU262" s="171" t="n"/>
      <c r="AV262" t="n">
        <v>1.35</v>
      </c>
    </row>
    <row r="263">
      <c r="A263" s="33" t="inlineStr">
        <is>
          <t>NEW</t>
        </is>
      </c>
      <c r="B263" s="34" t="inlineStr">
        <is>
          <t>P1521</t>
        </is>
      </c>
      <c r="C263" s="34" t="inlineStr">
        <is>
          <t>EXT.POWER CORD 5S 1,4M SW.SCHUKO</t>
        </is>
      </c>
      <c r="D263" s="34" t="inlineStr">
        <is>
          <t>Пооджувачи та адаптери</t>
        </is>
      </c>
      <c r="E263" s="33" t="inlineStr">
        <is>
          <t>PC</t>
        </is>
      </c>
      <c r="F263" s="94" t="n">
        <v>2.806</v>
      </c>
      <c r="G263" s="35" t="n">
        <v>8544429090</v>
      </c>
      <c r="H263" s="31" t="n">
        <v>1.4</v>
      </c>
      <c r="I263" s="84">
        <f>IFERROR(F263*Settings!$B$2*H263*IF(AND(ISNUMBER(E263),E263&gt;1),E263,1),"")</f>
        <v/>
      </c>
      <c r="J263" s="32">
        <f>Settings!$B$66</f>
        <v/>
      </c>
      <c r="K263" s="95">
        <f>IFERROR(IF(T263="","",(T263*(1-AN263)*(1-Settings!$B$17)-I263)/(T263*(1-AN263)*(1-Settings!$B$17))),"")</f>
        <v/>
      </c>
      <c r="L263" s="101">
        <f>IFERROR(IF(T263="","",(T263*(1-AO263)*(1-Settings!$C$17)-I263)/(T263*(1-AO263)*(1-Settings!$C$17))),"")</f>
        <v/>
      </c>
      <c r="M263" s="101">
        <f>IFERROR(IF(T263="","",(T263*(1-AP263)*(1-Settings!$D$17)-I263)/(T263*(1-AP263)*(1-Settings!$D$17))),"")</f>
        <v/>
      </c>
      <c r="N263" s="101">
        <f>IFERROR(IF(T263="","",(T263*(1-AQ263)*(1-Settings!$F$17)-I263)/(T263*(1-AQ263)*(1-Settings!$F$17))),"")</f>
        <v/>
      </c>
      <c r="O263" s="101">
        <f>IFERROR(IF(T263="","",(T263*(1-AR263)*(1-Settings!$G$17)-I263)/(T263*(1-AR263)*(1-Settings!$G$17))),"")</f>
        <v/>
      </c>
      <c r="P263" s="101">
        <f>IFERROR(IF(T263="","",(T263*(1-AS263)*(1-Settings!$H$17)-I263)/(T263*(1-AS263)*(1-Settings!$H$17))),"")</f>
        <v/>
      </c>
      <c r="Q263" s="101">
        <f>IFERROR(IF(T263="","",(T263*(1-AT263)*(1-Settings!$I$68)*(1-Settings!$I$17)-I263)/(T263*(1-AT263)*(1-Settings!$I$68)*(1-Settings!$I$17))),"")</f>
        <v/>
      </c>
      <c r="R263" s="91">
        <f>IFERROR(IF(OR(I263="",Z263&gt;=1,Settings!$B$17&gt;=1,AN263&gt;=1),"",IF(MOD(ROUND(I263/(1-Z263)/(1-Settings!$B$17)/(1-AN263),0),10)=0,ROUND(I263/(1-Z263)/(1-Settings!$B$17)/(1-AN263),0)-1,IF(MOD(ROUND(I263/(1-Z263)/(1-Settings!$B$17)/(1-AN263),0),10)&lt;=5,FLOOR(ROUND(I263/(1-Z263)/(1-Settings!$B$17)/(1-AN263),0),10)+6,FLOOR(ROUND(I263/(1-Z263)/(1-Settings!$B$17)/(1-AN263),0),10)+9))),"")</f>
        <v/>
      </c>
      <c r="S263" s="174">
        <f>R263*0.95</f>
        <v/>
      </c>
      <c r="T263" s="91">
        <f>IF(S263&lt;&gt;"", IF(MOD(S263,10)=0,S263-1,IF(MOD(S263,10)&lt;=5,FLOOR(S263,10)+6,FLOOR(S263,10)+9)), R263)</f>
        <v/>
      </c>
      <c r="U263" s="87" t="inlineStr">
        <is>
          <t>Основний</t>
        </is>
      </c>
      <c r="V263" s="88" t="n"/>
      <c r="W263" s="88" t="n"/>
      <c r="X263" s="89">
        <f>IFERROR(IF(OR(V263="",W263="",T263=""),"", IF(T263&gt;W263,"Дорогий",IF(T263&lt;V263,"Дешевий","У ринку"))),"")</f>
        <v/>
      </c>
      <c r="Y263" s="90" t="n"/>
      <c r="Z263" s="104">
        <f>CHOOSE(MATCH(IF($U263="","Основний",$U263),{"Трафіковий","Основний","Маржинальний","Сезонний","Стратегічний"},0),0.16,0.19,0.24,0.23,0.28)</f>
        <v/>
      </c>
      <c r="AA263" s="104">
        <f>CHOOSE(MATCH(IF($U263="","Основний",$U263),{"Трафіковий","Основний","Маржинальний","Сезонний","Стратегічний"},0),0.18,0.21,0.26,0.25,0.3)</f>
        <v/>
      </c>
      <c r="AB263" s="104">
        <f>CHOOSE(MATCH(IF($U263="","Основний",$U263),{"Трафіковий","Основний","Маржинальний","Сезонний","Стратегічний"},0),0.19,0.22,0.28,0.26,0.32)</f>
        <v/>
      </c>
      <c r="AC263" s="104">
        <f>CHOOSE(MATCH(IF($U263="","Основний",$U263),{"Трафіковий","Основний","Маржинальний","Сезонний","Стратегічний"},0),0.17,0.2,0.25,0.24,0.28)</f>
        <v/>
      </c>
      <c r="AD263" s="104">
        <f>CHOOSE(MATCH(IF($U263="","Основний",$U263),{"Трафіковий","Основний","Маржинальний","Сезонний","Стратегічний"},0),0.18,0.21,0.26,0.25,0.3)</f>
        <v/>
      </c>
      <c r="AE263" s="104">
        <f>CHOOSE(MATCH(IF($U263="","Основний",$U263),{"Трафіковий","Основний","Маржинальний","Сезонний","Стратегічний"},0),0.18,0.2,0.28,0.27,0.32)</f>
        <v/>
      </c>
      <c r="AF263" s="104">
        <f>CHOOSE(MATCH(IF($U263="","Основний",$U263),{"Трафіковий","Основний","Маржинальний","Сезонний","Стратегічний"},0),0.15,0.175,0.22,0.21,0.25)</f>
        <v/>
      </c>
      <c r="AG263" s="104">
        <f>CHOOSE(MATCH(IF($U263="","Основний",$U263),{"Трафіковий","Основний","Маржинальний","Сезонний","Стратегічний"},0),0.13,0.16,0.21,0.2,0.25)</f>
        <v/>
      </c>
      <c r="AH263" s="104">
        <f>CHOOSE(MATCH(IF($U263="","Основний",$U263),{"Трафіковий","Основний","Маржинальний","Сезонний","Стратегічний"},0),0.15,0.18,0.23,0.22,0.27)</f>
        <v/>
      </c>
      <c r="AI263" s="104">
        <f>CHOOSE(MATCH(IF($U263="","Основний",$U263),{"Трафіковий","Основний","Маржинальний","Сезонний","Стратегічний"},0),0.16,0.19,0.25,0.23,0.29)</f>
        <v/>
      </c>
      <c r="AJ263" s="104">
        <f>CHOOSE(MATCH(IF($U263="","Основний",$U263),{"Трафіковий","Основний","Маржинальний","Сезонний","Стратегічний"},0),0.14,0.17,0.22,0.21,0.25)</f>
        <v/>
      </c>
      <c r="AK263" s="104">
        <f>CHOOSE(MATCH(IF($U263="","Основний",$U263),{"Трафіковий","Основний","Маржинальний","Сезонний","Стратегічний"},0),0.15,0.18,0.23,0.22,0.27)</f>
        <v/>
      </c>
      <c r="AL263" s="104">
        <f>CHOOSE(MATCH(IF($U263="","Основний",$U263),{"Трафіковий","Основний","Маржинальний","Сезонний","Стратегічний"},0),0.15,0.17,0.25,0.24,0.29)</f>
        <v/>
      </c>
      <c r="AM263" s="104">
        <f>CHOOSE(MATCH(IF($U263="","Основний",$U263),{"Трафіковий","Основний","Маржинальний","Сезонний","Стратегічний"},0),0.12,0.145,0.19,0.18,0.22)</f>
        <v/>
      </c>
      <c r="AN263" s="157">
        <f>CHOOSE(MATCH(IF($U263="","Основний",$U263),{"Трафіковий","Основний","Маржинальний","Сезонний","Стратегічний"},0),Settings!$B$78,Settings!$B$80,Settings!$B$82,Settings!$B$84,Settings!$B$86)</f>
        <v/>
      </c>
      <c r="AO263" s="157">
        <f>CHOOSE(MATCH(IF($U263="","Основний",$U263),{"Трафіковий","Основний","Маржинальний","Сезонний","Стратегічний"},0),Settings!$C$78,Settings!$C$80,Settings!$C$82,Settings!$C$84,Settings!$C$86)</f>
        <v/>
      </c>
      <c r="AP263" s="157">
        <f>CHOOSE(MATCH(IF($U263="","Основний",$U263),{"Трафіковий","Основний","Маржинальний","Сезонний","Стратегічний"},0),Settings!$D$78,Settings!$D$80,Settings!$D$82,Settings!$D$84,Settings!$D$86)</f>
        <v/>
      </c>
      <c r="AQ263" s="157">
        <f>CHOOSE(MATCH(IF($U263="","Основний",$U263),{"Трафіковий","Основний","Маржинальний","Сезонний","Стратегічний"},0),Settings!$F$78,Settings!$F$80,Settings!$F$82,Settings!$F$84,Settings!$F$86)</f>
        <v/>
      </c>
      <c r="AR263" s="157">
        <f>CHOOSE(MATCH(IF($U263="","Основний",$U263),{"Трафіковий","Основний","Маржинальний","Сезонний","Стратегічний"},0),Settings!$G$78,Settings!$G$80,Settings!$G$82,Settings!$G$84,Settings!$G$86)</f>
        <v/>
      </c>
      <c r="AS263" s="157">
        <f>CHOOSE(MATCH(IF($U263="","Основний",$U263),{"Трафіковий","Основний","Маржинальний","Сезонний","Стратегічний"},0),Settings!$H$78,Settings!$H$80,Settings!$H$82,Settings!$H$84,Settings!$H$86)</f>
        <v/>
      </c>
      <c r="AT263" s="157">
        <f>CHOOSE(MATCH(IF($U263="","Основний",$U263),{"Трафіковий","Основний","Маржинальний","Сезонний","Стратегічний"},0),Settings!$I$78,Settings!$I$80,Settings!$I$82,Settings!$I$84,Settings!$I$86)</f>
        <v/>
      </c>
      <c r="AU263" s="171" t="n"/>
      <c r="AV263" t="n">
        <v>1.35</v>
      </c>
    </row>
    <row r="264">
      <c r="A264" s="28" t="n"/>
      <c r="B264" s="29" t="inlineStr">
        <is>
          <t>P1522</t>
        </is>
      </c>
      <c r="C264" s="29" t="inlineStr">
        <is>
          <t>EXT.POWER CORD 5S 2M SW.SCH.</t>
        </is>
      </c>
      <c r="D264" s="29" t="inlineStr">
        <is>
          <t>Пооджувачи та адаптери</t>
        </is>
      </c>
      <c r="E264" s="28" t="inlineStr">
        <is>
          <t>PC</t>
        </is>
      </c>
      <c r="F264" s="93" t="n">
        <v>3.116</v>
      </c>
      <c r="G264" s="30" t="n">
        <v>8544429090</v>
      </c>
      <c r="H264" s="31" t="n">
        <v>1.4</v>
      </c>
      <c r="I264" s="84">
        <f>IFERROR(F264*Settings!$B$2*H264*IF(AND(ISNUMBER(E264),E264&gt;1),E264,1),"")</f>
        <v/>
      </c>
      <c r="J264" s="32">
        <f>Settings!$B$66</f>
        <v/>
      </c>
      <c r="K264" s="95">
        <f>IFERROR(IF(T264="","",(T264*(1-AN264)*(1-Settings!$B$17)-I264)/(T264*(1-AN264)*(1-Settings!$B$17))),"")</f>
        <v/>
      </c>
      <c r="L264" s="101">
        <f>IFERROR(IF(T264="","",(T264*(1-AO264)*(1-Settings!$C$17)-I264)/(T264*(1-AO264)*(1-Settings!$C$17))),"")</f>
        <v/>
      </c>
      <c r="M264" s="101">
        <f>IFERROR(IF(T264="","",(T264*(1-AP264)*(1-Settings!$D$17)-I264)/(T264*(1-AP264)*(1-Settings!$D$17))),"")</f>
        <v/>
      </c>
      <c r="N264" s="101">
        <f>IFERROR(IF(T264="","",(T264*(1-AQ264)*(1-Settings!$F$17)-I264)/(T264*(1-AQ264)*(1-Settings!$F$17))),"")</f>
        <v/>
      </c>
      <c r="O264" s="101">
        <f>IFERROR(IF(T264="","",(T264*(1-AR264)*(1-Settings!$G$17)-I264)/(T264*(1-AR264)*(1-Settings!$G$17))),"")</f>
        <v/>
      </c>
      <c r="P264" s="101">
        <f>IFERROR(IF(T264="","",(T264*(1-AS264)*(1-Settings!$H$17)-I264)/(T264*(1-AS264)*(1-Settings!$H$17))),"")</f>
        <v/>
      </c>
      <c r="Q264" s="101">
        <f>IFERROR(IF(T264="","",(T264*(1-AT264)*(1-Settings!$I$68)*(1-Settings!$I$17)-I264)/(T264*(1-AT264)*(1-Settings!$I$68)*(1-Settings!$I$17))),"")</f>
        <v/>
      </c>
      <c r="R264" s="91">
        <f>IFERROR(IF(OR(I264="",Z264&gt;=1,Settings!$B$17&gt;=1,AN264&gt;=1),"",IF(MOD(ROUND(I264/(1-Z264)/(1-Settings!$B$17)/(1-AN264),0),10)=0,ROUND(I264/(1-Z264)/(1-Settings!$B$17)/(1-AN264),0)-1,IF(MOD(ROUND(I264/(1-Z264)/(1-Settings!$B$17)/(1-AN264),0),10)&lt;=5,FLOOR(ROUND(I264/(1-Z264)/(1-Settings!$B$17)/(1-AN264),0),10)+6,FLOOR(ROUND(I264/(1-Z264)/(1-Settings!$B$17)/(1-AN264),0),10)+9))),"")</f>
        <v/>
      </c>
      <c r="S264" s="174">
        <f>R264*0.95</f>
        <v/>
      </c>
      <c r="T264" s="91">
        <f>IF(S264&lt;&gt;"", IF(MOD(S264,10)=0,S264-1,IF(MOD(S264,10)&lt;=5,FLOOR(S264,10)+6,FLOOR(S264,10)+9)), R264)</f>
        <v/>
      </c>
      <c r="U264" s="87" t="inlineStr">
        <is>
          <t>Основний</t>
        </is>
      </c>
      <c r="V264" s="88" t="n"/>
      <c r="W264" s="88" t="n"/>
      <c r="X264" s="89">
        <f>IFERROR(IF(OR(V264="",W264="",T264=""),"", IF(T264&gt;W264,"Дорогий",IF(T264&lt;V264,"Дешевий","У ринку"))),"")</f>
        <v/>
      </c>
      <c r="Y264" s="90" t="n"/>
      <c r="Z264" s="104">
        <f>CHOOSE(MATCH(IF($U264="","Основний",$U264),{"Трафіковий","Основний","Маржинальний","Сезонний","Стратегічний"},0),0.16,0.19,0.24,0.23,0.28)</f>
        <v/>
      </c>
      <c r="AA264" s="104">
        <f>CHOOSE(MATCH(IF($U264="","Основний",$U264),{"Трафіковий","Основний","Маржинальний","Сезонний","Стратегічний"},0),0.18,0.21,0.26,0.25,0.3)</f>
        <v/>
      </c>
      <c r="AB264" s="104">
        <f>CHOOSE(MATCH(IF($U264="","Основний",$U264),{"Трафіковий","Основний","Маржинальний","Сезонний","Стратегічний"},0),0.19,0.22,0.28,0.26,0.32)</f>
        <v/>
      </c>
      <c r="AC264" s="104">
        <f>CHOOSE(MATCH(IF($U264="","Основний",$U264),{"Трафіковий","Основний","Маржинальний","Сезонний","Стратегічний"},0),0.17,0.2,0.25,0.24,0.28)</f>
        <v/>
      </c>
      <c r="AD264" s="104">
        <f>CHOOSE(MATCH(IF($U264="","Основний",$U264),{"Трафіковий","Основний","Маржинальний","Сезонний","Стратегічний"},0),0.18,0.21,0.26,0.25,0.3)</f>
        <v/>
      </c>
      <c r="AE264" s="104">
        <f>CHOOSE(MATCH(IF($U264="","Основний",$U264),{"Трафіковий","Основний","Маржинальний","Сезонний","Стратегічний"},0),0.18,0.2,0.28,0.27,0.32)</f>
        <v/>
      </c>
      <c r="AF264" s="104">
        <f>CHOOSE(MATCH(IF($U264="","Основний",$U264),{"Трафіковий","Основний","Маржинальний","Сезонний","Стратегічний"},0),0.15,0.175,0.22,0.21,0.25)</f>
        <v/>
      </c>
      <c r="AG264" s="104">
        <f>CHOOSE(MATCH(IF($U264="","Основний",$U264),{"Трафіковий","Основний","Маржинальний","Сезонний","Стратегічний"},0),0.13,0.16,0.21,0.2,0.25)</f>
        <v/>
      </c>
      <c r="AH264" s="104">
        <f>CHOOSE(MATCH(IF($U264="","Основний",$U264),{"Трафіковий","Основний","Маржинальний","Сезонний","Стратегічний"},0),0.15,0.18,0.23,0.22,0.27)</f>
        <v/>
      </c>
      <c r="AI264" s="104">
        <f>CHOOSE(MATCH(IF($U264="","Основний",$U264),{"Трафіковий","Основний","Маржинальний","Сезонний","Стратегічний"},0),0.16,0.19,0.25,0.23,0.29)</f>
        <v/>
      </c>
      <c r="AJ264" s="104">
        <f>CHOOSE(MATCH(IF($U264="","Основний",$U264),{"Трафіковий","Основний","Маржинальний","Сезонний","Стратегічний"},0),0.14,0.17,0.22,0.21,0.25)</f>
        <v/>
      </c>
      <c r="AK264" s="104">
        <f>CHOOSE(MATCH(IF($U264="","Основний",$U264),{"Трафіковий","Основний","Маржинальний","Сезонний","Стратегічний"},0),0.15,0.18,0.23,0.22,0.27)</f>
        <v/>
      </c>
      <c r="AL264" s="104">
        <f>CHOOSE(MATCH(IF($U264="","Основний",$U264),{"Трафіковий","Основний","Маржинальний","Сезонний","Стратегічний"},0),0.15,0.17,0.25,0.24,0.29)</f>
        <v/>
      </c>
      <c r="AM264" s="104">
        <f>CHOOSE(MATCH(IF($U264="","Основний",$U264),{"Трафіковий","Основний","Маржинальний","Сезонний","Стратегічний"},0),0.12,0.145,0.19,0.18,0.22)</f>
        <v/>
      </c>
      <c r="AN264" s="157">
        <f>CHOOSE(MATCH(IF($U264="","Основний",$U264),{"Трафіковий","Основний","Маржинальний","Сезонний","Стратегічний"},0),Settings!$B$78,Settings!$B$80,Settings!$B$82,Settings!$B$84,Settings!$B$86)</f>
        <v/>
      </c>
      <c r="AO264" s="157">
        <f>CHOOSE(MATCH(IF($U264="","Основний",$U264),{"Трафіковий","Основний","Маржинальний","Сезонний","Стратегічний"},0),Settings!$C$78,Settings!$C$80,Settings!$C$82,Settings!$C$84,Settings!$C$86)</f>
        <v/>
      </c>
      <c r="AP264" s="157">
        <f>CHOOSE(MATCH(IF($U264="","Основний",$U264),{"Трафіковий","Основний","Маржинальний","Сезонний","Стратегічний"},0),Settings!$D$78,Settings!$D$80,Settings!$D$82,Settings!$D$84,Settings!$D$86)</f>
        <v/>
      </c>
      <c r="AQ264" s="157">
        <f>CHOOSE(MATCH(IF($U264="","Основний",$U264),{"Трафіковий","Основний","Маржинальний","Сезонний","Стратегічний"},0),Settings!$F$78,Settings!$F$80,Settings!$F$82,Settings!$F$84,Settings!$F$86)</f>
        <v/>
      </c>
      <c r="AR264" s="157">
        <f>CHOOSE(MATCH(IF($U264="","Основний",$U264),{"Трафіковий","Основний","Маржинальний","Сезонний","Стратегічний"},0),Settings!$G$78,Settings!$G$80,Settings!$G$82,Settings!$G$84,Settings!$G$86)</f>
        <v/>
      </c>
      <c r="AS264" s="157">
        <f>CHOOSE(MATCH(IF($U264="","Основний",$U264),{"Трафіковий","Основний","Маржинальний","Сезонний","Стратегічний"},0),Settings!$H$78,Settings!$H$80,Settings!$H$82,Settings!$H$84,Settings!$H$86)</f>
        <v/>
      </c>
      <c r="AT264" s="157">
        <f>CHOOSE(MATCH(IF($U264="","Основний",$U264),{"Трафіковий","Основний","Маржинальний","Сезонний","Стратегічний"},0),Settings!$I$78,Settings!$I$80,Settings!$I$82,Settings!$I$84,Settings!$I$86)</f>
        <v/>
      </c>
      <c r="AU264" s="171" t="n"/>
      <c r="AV264" t="n">
        <v>1.35</v>
      </c>
    </row>
    <row r="265">
      <c r="A265" s="33" t="inlineStr">
        <is>
          <t>NEW</t>
        </is>
      </c>
      <c r="B265" s="34" t="inlineStr">
        <is>
          <t>P1621</t>
        </is>
      </c>
      <c r="C265" s="34" t="inlineStr">
        <is>
          <t>EXT.POWER CORD 6S 1,4M SW.SCHUKO</t>
        </is>
      </c>
      <c r="D265" s="34" t="inlineStr">
        <is>
          <t>Пооджувачи та адаптери</t>
        </is>
      </c>
      <c r="E265" s="33" t="inlineStr">
        <is>
          <t>PC</t>
        </is>
      </c>
      <c r="F265" s="94" t="n">
        <v>3.067</v>
      </c>
      <c r="G265" s="35" t="n">
        <v>8544429090</v>
      </c>
      <c r="H265" s="31" t="n">
        <v>1.4</v>
      </c>
      <c r="I265" s="84">
        <f>IFERROR(F265*Settings!$B$2*H265*IF(AND(ISNUMBER(E265),E265&gt;1),E265,1),"")</f>
        <v/>
      </c>
      <c r="J265" s="32">
        <f>Settings!$B$66</f>
        <v/>
      </c>
      <c r="K265" s="95">
        <f>IFERROR(IF(T265="","",(T265*(1-AN265)*(1-Settings!$B$17)-I265)/(T265*(1-AN265)*(1-Settings!$B$17))),"")</f>
        <v/>
      </c>
      <c r="L265" s="101">
        <f>IFERROR(IF(T265="","",(T265*(1-AO265)*(1-Settings!$C$17)-I265)/(T265*(1-AO265)*(1-Settings!$C$17))),"")</f>
        <v/>
      </c>
      <c r="M265" s="101">
        <f>IFERROR(IF(T265="","",(T265*(1-AP265)*(1-Settings!$D$17)-I265)/(T265*(1-AP265)*(1-Settings!$D$17))),"")</f>
        <v/>
      </c>
      <c r="N265" s="101">
        <f>IFERROR(IF(T265="","",(T265*(1-AQ265)*(1-Settings!$F$17)-I265)/(T265*(1-AQ265)*(1-Settings!$F$17))),"")</f>
        <v/>
      </c>
      <c r="O265" s="101">
        <f>IFERROR(IF(T265="","",(T265*(1-AR265)*(1-Settings!$G$17)-I265)/(T265*(1-AR265)*(1-Settings!$G$17))),"")</f>
        <v/>
      </c>
      <c r="P265" s="101">
        <f>IFERROR(IF(T265="","",(T265*(1-AS265)*(1-Settings!$H$17)-I265)/(T265*(1-AS265)*(1-Settings!$H$17))),"")</f>
        <v/>
      </c>
      <c r="Q265" s="101">
        <f>IFERROR(IF(T265="","",(T265*(1-AT265)*(1-Settings!$I$68)*(1-Settings!$I$17)-I265)/(T265*(1-AT265)*(1-Settings!$I$68)*(1-Settings!$I$17))),"")</f>
        <v/>
      </c>
      <c r="R265" s="91">
        <f>IFERROR(IF(OR(I265="",Z265&gt;=1,Settings!$B$17&gt;=1,AN265&gt;=1),"",IF(MOD(ROUND(I265/(1-Z265)/(1-Settings!$B$17)/(1-AN265),0),10)=0,ROUND(I265/(1-Z265)/(1-Settings!$B$17)/(1-AN265),0)-1,IF(MOD(ROUND(I265/(1-Z265)/(1-Settings!$B$17)/(1-AN265),0),10)&lt;=5,FLOOR(ROUND(I265/(1-Z265)/(1-Settings!$B$17)/(1-AN265),0),10)+6,FLOOR(ROUND(I265/(1-Z265)/(1-Settings!$B$17)/(1-AN265),0),10)+9))),"")</f>
        <v/>
      </c>
      <c r="S265" s="174">
        <f>R265*0.95</f>
        <v/>
      </c>
      <c r="T265" s="91">
        <f>IF(S265&lt;&gt;"", IF(MOD(S265,10)=0,S265-1,IF(MOD(S265,10)&lt;=5,FLOOR(S265,10)+6,FLOOR(S265,10)+9)), R265)</f>
        <v/>
      </c>
      <c r="U265" s="87" t="inlineStr">
        <is>
          <t>Основний</t>
        </is>
      </c>
      <c r="V265" s="88" t="n"/>
      <c r="W265" s="88" t="n"/>
      <c r="X265" s="89">
        <f>IFERROR(IF(OR(V265="",W265="",T265=""),"", IF(T265&gt;W265,"Дорогий",IF(T265&lt;V265,"Дешевий","У ринку"))),"")</f>
        <v/>
      </c>
      <c r="Y265" s="90" t="n"/>
      <c r="Z265" s="104">
        <f>CHOOSE(MATCH(IF($U265="","Основний",$U265),{"Трафіковий","Основний","Маржинальний","Сезонний","Стратегічний"},0),0.16,0.19,0.24,0.23,0.28)</f>
        <v/>
      </c>
      <c r="AA265" s="104">
        <f>CHOOSE(MATCH(IF($U265="","Основний",$U265),{"Трафіковий","Основний","Маржинальний","Сезонний","Стратегічний"},0),0.18,0.21,0.26,0.25,0.3)</f>
        <v/>
      </c>
      <c r="AB265" s="104">
        <f>CHOOSE(MATCH(IF($U265="","Основний",$U265),{"Трафіковий","Основний","Маржинальний","Сезонний","Стратегічний"},0),0.19,0.22,0.28,0.26,0.32)</f>
        <v/>
      </c>
      <c r="AC265" s="104">
        <f>CHOOSE(MATCH(IF($U265="","Основний",$U265),{"Трафіковий","Основний","Маржинальний","Сезонний","Стратегічний"},0),0.17,0.2,0.25,0.24,0.28)</f>
        <v/>
      </c>
      <c r="AD265" s="104">
        <f>CHOOSE(MATCH(IF($U265="","Основний",$U265),{"Трафіковий","Основний","Маржинальний","Сезонний","Стратегічний"},0),0.18,0.21,0.26,0.25,0.3)</f>
        <v/>
      </c>
      <c r="AE265" s="104">
        <f>CHOOSE(MATCH(IF($U265="","Основний",$U265),{"Трафіковий","Основний","Маржинальний","Сезонний","Стратегічний"},0),0.18,0.2,0.28,0.27,0.32)</f>
        <v/>
      </c>
      <c r="AF265" s="104">
        <f>CHOOSE(MATCH(IF($U265="","Основний",$U265),{"Трафіковий","Основний","Маржинальний","Сезонний","Стратегічний"},0),0.15,0.175,0.22,0.21,0.25)</f>
        <v/>
      </c>
      <c r="AG265" s="104">
        <f>CHOOSE(MATCH(IF($U265="","Основний",$U265),{"Трафіковий","Основний","Маржинальний","Сезонний","Стратегічний"},0),0.13,0.16,0.21,0.2,0.25)</f>
        <v/>
      </c>
      <c r="AH265" s="104">
        <f>CHOOSE(MATCH(IF($U265="","Основний",$U265),{"Трафіковий","Основний","Маржинальний","Сезонний","Стратегічний"},0),0.15,0.18,0.23,0.22,0.27)</f>
        <v/>
      </c>
      <c r="AI265" s="104">
        <f>CHOOSE(MATCH(IF($U265="","Основний",$U265),{"Трафіковий","Основний","Маржинальний","Сезонний","Стратегічний"},0),0.16,0.19,0.25,0.23,0.29)</f>
        <v/>
      </c>
      <c r="AJ265" s="104">
        <f>CHOOSE(MATCH(IF($U265="","Основний",$U265),{"Трафіковий","Основний","Маржинальний","Сезонний","Стратегічний"},0),0.14,0.17,0.22,0.21,0.25)</f>
        <v/>
      </c>
      <c r="AK265" s="104">
        <f>CHOOSE(MATCH(IF($U265="","Основний",$U265),{"Трафіковий","Основний","Маржинальний","Сезонний","Стратегічний"},0),0.15,0.18,0.23,0.22,0.27)</f>
        <v/>
      </c>
      <c r="AL265" s="104">
        <f>CHOOSE(MATCH(IF($U265="","Основний",$U265),{"Трафіковий","Основний","Маржинальний","Сезонний","Стратегічний"},0),0.15,0.17,0.25,0.24,0.29)</f>
        <v/>
      </c>
      <c r="AM265" s="104">
        <f>CHOOSE(MATCH(IF($U265="","Основний",$U265),{"Трафіковий","Основний","Маржинальний","Сезонний","Стратегічний"},0),0.12,0.145,0.19,0.18,0.22)</f>
        <v/>
      </c>
      <c r="AN265" s="157">
        <f>CHOOSE(MATCH(IF($U265="","Основний",$U265),{"Трафіковий","Основний","Маржинальний","Сезонний","Стратегічний"},0),Settings!$B$78,Settings!$B$80,Settings!$B$82,Settings!$B$84,Settings!$B$86)</f>
        <v/>
      </c>
      <c r="AO265" s="157">
        <f>CHOOSE(MATCH(IF($U265="","Основний",$U265),{"Трафіковий","Основний","Маржинальний","Сезонний","Стратегічний"},0),Settings!$C$78,Settings!$C$80,Settings!$C$82,Settings!$C$84,Settings!$C$86)</f>
        <v/>
      </c>
      <c r="AP265" s="157">
        <f>CHOOSE(MATCH(IF($U265="","Основний",$U265),{"Трафіковий","Основний","Маржинальний","Сезонний","Стратегічний"},0),Settings!$D$78,Settings!$D$80,Settings!$D$82,Settings!$D$84,Settings!$D$86)</f>
        <v/>
      </c>
      <c r="AQ265" s="157">
        <f>CHOOSE(MATCH(IF($U265="","Основний",$U265),{"Трафіковий","Основний","Маржинальний","Сезонний","Стратегічний"},0),Settings!$F$78,Settings!$F$80,Settings!$F$82,Settings!$F$84,Settings!$F$86)</f>
        <v/>
      </c>
      <c r="AR265" s="157">
        <f>CHOOSE(MATCH(IF($U265="","Основний",$U265),{"Трафіковий","Основний","Маржинальний","Сезонний","Стратегічний"},0),Settings!$G$78,Settings!$G$80,Settings!$G$82,Settings!$G$84,Settings!$G$86)</f>
        <v/>
      </c>
      <c r="AS265" s="157">
        <f>CHOOSE(MATCH(IF($U265="","Основний",$U265),{"Трафіковий","Основний","Маржинальний","Сезонний","Стратегічний"},0),Settings!$H$78,Settings!$H$80,Settings!$H$82,Settings!$H$84,Settings!$H$86)</f>
        <v/>
      </c>
      <c r="AT265" s="157">
        <f>CHOOSE(MATCH(IF($U265="","Основний",$U265),{"Трафіковий","Основний","Маржинальний","Сезонний","Стратегічний"},0),Settings!$I$78,Settings!$I$80,Settings!$I$82,Settings!$I$84,Settings!$I$86)</f>
        <v/>
      </c>
      <c r="AU265" s="171" t="n"/>
      <c r="AV265" t="n">
        <v>1.35</v>
      </c>
    </row>
    <row r="266">
      <c r="A266" s="28" t="n"/>
      <c r="B266" s="29" t="inlineStr">
        <is>
          <t>P1622</t>
        </is>
      </c>
      <c r="C266" s="29" t="inlineStr">
        <is>
          <t>EXT.POWER CORD 6S 2M SW.SCH.</t>
        </is>
      </c>
      <c r="D266" s="29" t="inlineStr">
        <is>
          <t>Пооджувачи та адаптери</t>
        </is>
      </c>
      <c r="E266" s="28" t="inlineStr">
        <is>
          <t>PC</t>
        </is>
      </c>
      <c r="F266" s="93" t="n">
        <v>3.38</v>
      </c>
      <c r="G266" s="30" t="n">
        <v>8544429090</v>
      </c>
      <c r="H266" s="31" t="n">
        <v>1.4</v>
      </c>
      <c r="I266" s="84">
        <f>IFERROR(F266*Settings!$B$2*H266*IF(AND(ISNUMBER(E266),E266&gt;1),E266,1),"")</f>
        <v/>
      </c>
      <c r="J266" s="32">
        <f>Settings!$B$66</f>
        <v/>
      </c>
      <c r="K266" s="95">
        <f>IFERROR(IF(T266="","",(T266*(1-AN266)*(1-Settings!$B$17)-I266)/(T266*(1-AN266)*(1-Settings!$B$17))),"")</f>
        <v/>
      </c>
      <c r="L266" s="101">
        <f>IFERROR(IF(T266="","",(T266*(1-AO266)*(1-Settings!$C$17)-I266)/(T266*(1-AO266)*(1-Settings!$C$17))),"")</f>
        <v/>
      </c>
      <c r="M266" s="101">
        <f>IFERROR(IF(T266="","",(T266*(1-AP266)*(1-Settings!$D$17)-I266)/(T266*(1-AP266)*(1-Settings!$D$17))),"")</f>
        <v/>
      </c>
      <c r="N266" s="101">
        <f>IFERROR(IF(T266="","",(T266*(1-AQ266)*(1-Settings!$F$17)-I266)/(T266*(1-AQ266)*(1-Settings!$F$17))),"")</f>
        <v/>
      </c>
      <c r="O266" s="101">
        <f>IFERROR(IF(T266="","",(T266*(1-AR266)*(1-Settings!$G$17)-I266)/(T266*(1-AR266)*(1-Settings!$G$17))),"")</f>
        <v/>
      </c>
      <c r="P266" s="101">
        <f>IFERROR(IF(T266="","",(T266*(1-AS266)*(1-Settings!$H$17)-I266)/(T266*(1-AS266)*(1-Settings!$H$17))),"")</f>
        <v/>
      </c>
      <c r="Q266" s="101">
        <f>IFERROR(IF(T266="","",(T266*(1-AT266)*(1-Settings!$I$68)*(1-Settings!$I$17)-I266)/(T266*(1-AT266)*(1-Settings!$I$68)*(1-Settings!$I$17))),"")</f>
        <v/>
      </c>
      <c r="R266" s="91">
        <f>IFERROR(IF(OR(I266="",Z266&gt;=1,Settings!$B$17&gt;=1,AN266&gt;=1),"",IF(MOD(ROUND(I266/(1-Z266)/(1-Settings!$B$17)/(1-AN266),0),10)=0,ROUND(I266/(1-Z266)/(1-Settings!$B$17)/(1-AN266),0)-1,IF(MOD(ROUND(I266/(1-Z266)/(1-Settings!$B$17)/(1-AN266),0),10)&lt;=5,FLOOR(ROUND(I266/(1-Z266)/(1-Settings!$B$17)/(1-AN266),0),10)+6,FLOOR(ROUND(I266/(1-Z266)/(1-Settings!$B$17)/(1-AN266),0),10)+9))),"")</f>
        <v/>
      </c>
      <c r="S266" s="174">
        <f>R266*0.95</f>
        <v/>
      </c>
      <c r="T266" s="91">
        <f>IF(S266&lt;&gt;"", IF(MOD(S266,10)=0,S266-1,IF(MOD(S266,10)&lt;=5,FLOOR(S266,10)+6,FLOOR(S266,10)+9)), R266)</f>
        <v/>
      </c>
      <c r="U266" s="87" t="inlineStr">
        <is>
          <t>Основний</t>
        </is>
      </c>
      <c r="V266" s="88" t="n"/>
      <c r="W266" s="88" t="n"/>
      <c r="X266" s="89">
        <f>IFERROR(IF(OR(V266="",W266="",T266=""),"", IF(T266&gt;W266,"Дорогий",IF(T266&lt;V266,"Дешевий","У ринку"))),"")</f>
        <v/>
      </c>
      <c r="Y266" s="90" t="n"/>
      <c r="Z266" s="104">
        <f>CHOOSE(MATCH(IF($U266="","Основний",$U266),{"Трафіковий","Основний","Маржинальний","Сезонний","Стратегічний"},0),0.16,0.19,0.24,0.23,0.28)</f>
        <v/>
      </c>
      <c r="AA266" s="104">
        <f>CHOOSE(MATCH(IF($U266="","Основний",$U266),{"Трафіковий","Основний","Маржинальний","Сезонний","Стратегічний"},0),0.18,0.21,0.26,0.25,0.3)</f>
        <v/>
      </c>
      <c r="AB266" s="104">
        <f>CHOOSE(MATCH(IF($U266="","Основний",$U266),{"Трафіковий","Основний","Маржинальний","Сезонний","Стратегічний"},0),0.19,0.22,0.28,0.26,0.32)</f>
        <v/>
      </c>
      <c r="AC266" s="104">
        <f>CHOOSE(MATCH(IF($U266="","Основний",$U266),{"Трафіковий","Основний","Маржинальний","Сезонний","Стратегічний"},0),0.17,0.2,0.25,0.24,0.28)</f>
        <v/>
      </c>
      <c r="AD266" s="104">
        <f>CHOOSE(MATCH(IF($U266="","Основний",$U266),{"Трафіковий","Основний","Маржинальний","Сезонний","Стратегічний"},0),0.18,0.21,0.26,0.25,0.3)</f>
        <v/>
      </c>
      <c r="AE266" s="104">
        <f>CHOOSE(MATCH(IF($U266="","Основний",$U266),{"Трафіковий","Основний","Маржинальний","Сезонний","Стратегічний"},0),0.18,0.2,0.28,0.27,0.32)</f>
        <v/>
      </c>
      <c r="AF266" s="104">
        <f>CHOOSE(MATCH(IF($U266="","Основний",$U266),{"Трафіковий","Основний","Маржинальний","Сезонний","Стратегічний"},0),0.15,0.175,0.22,0.21,0.25)</f>
        <v/>
      </c>
      <c r="AG266" s="104">
        <f>CHOOSE(MATCH(IF($U266="","Основний",$U266),{"Трафіковий","Основний","Маржинальний","Сезонний","Стратегічний"},0),0.13,0.16,0.21,0.2,0.25)</f>
        <v/>
      </c>
      <c r="AH266" s="104">
        <f>CHOOSE(MATCH(IF($U266="","Основний",$U266),{"Трафіковий","Основний","Маржинальний","Сезонний","Стратегічний"},0),0.15,0.18,0.23,0.22,0.27)</f>
        <v/>
      </c>
      <c r="AI266" s="104">
        <f>CHOOSE(MATCH(IF($U266="","Основний",$U266),{"Трафіковий","Основний","Маржинальний","Сезонний","Стратегічний"},0),0.16,0.19,0.25,0.23,0.29)</f>
        <v/>
      </c>
      <c r="AJ266" s="104">
        <f>CHOOSE(MATCH(IF($U266="","Основний",$U266),{"Трафіковий","Основний","Маржинальний","Сезонний","Стратегічний"},0),0.14,0.17,0.22,0.21,0.25)</f>
        <v/>
      </c>
      <c r="AK266" s="104">
        <f>CHOOSE(MATCH(IF($U266="","Основний",$U266),{"Трафіковий","Основний","Маржинальний","Сезонний","Стратегічний"},0),0.15,0.18,0.23,0.22,0.27)</f>
        <v/>
      </c>
      <c r="AL266" s="104">
        <f>CHOOSE(MATCH(IF($U266="","Основний",$U266),{"Трафіковий","Основний","Маржинальний","Сезонний","Стратегічний"},0),0.15,0.17,0.25,0.24,0.29)</f>
        <v/>
      </c>
      <c r="AM266" s="104">
        <f>CHOOSE(MATCH(IF($U266="","Основний",$U266),{"Трафіковий","Основний","Маржинальний","Сезонний","Стратегічний"},0),0.12,0.145,0.19,0.18,0.22)</f>
        <v/>
      </c>
      <c r="AN266" s="157">
        <f>CHOOSE(MATCH(IF($U266="","Основний",$U266),{"Трафіковий","Основний","Маржинальний","Сезонний","Стратегічний"},0),Settings!$B$78,Settings!$B$80,Settings!$B$82,Settings!$B$84,Settings!$B$86)</f>
        <v/>
      </c>
      <c r="AO266" s="157">
        <f>CHOOSE(MATCH(IF($U266="","Основний",$U266),{"Трафіковий","Основний","Маржинальний","Сезонний","Стратегічний"},0),Settings!$C$78,Settings!$C$80,Settings!$C$82,Settings!$C$84,Settings!$C$86)</f>
        <v/>
      </c>
      <c r="AP266" s="157">
        <f>CHOOSE(MATCH(IF($U266="","Основний",$U266),{"Трафіковий","Основний","Маржинальний","Сезонний","Стратегічний"},0),Settings!$D$78,Settings!$D$80,Settings!$D$82,Settings!$D$84,Settings!$D$86)</f>
        <v/>
      </c>
      <c r="AQ266" s="157">
        <f>CHOOSE(MATCH(IF($U266="","Основний",$U266),{"Трафіковий","Основний","Маржинальний","Сезонний","Стратегічний"},0),Settings!$F$78,Settings!$F$80,Settings!$F$82,Settings!$F$84,Settings!$F$86)</f>
        <v/>
      </c>
      <c r="AR266" s="157">
        <f>CHOOSE(MATCH(IF($U266="","Основний",$U266),{"Трафіковий","Основний","Маржинальний","Сезонний","Стратегічний"},0),Settings!$G$78,Settings!$G$80,Settings!$G$82,Settings!$G$84,Settings!$G$86)</f>
        <v/>
      </c>
      <c r="AS266" s="157">
        <f>CHOOSE(MATCH(IF($U266="","Основний",$U266),{"Трафіковий","Основний","Маржинальний","Сезонний","Стратегічний"},0),Settings!$H$78,Settings!$H$80,Settings!$H$82,Settings!$H$84,Settings!$H$86)</f>
        <v/>
      </c>
      <c r="AT266" s="157">
        <f>CHOOSE(MATCH(IF($U266="","Основний",$U266),{"Трафіковий","Основний","Маржинальний","Сезонний","Стратегічний"},0),Settings!$I$78,Settings!$I$80,Settings!$I$82,Settings!$I$84,Settings!$I$86)</f>
        <v/>
      </c>
      <c r="AU266" s="171" t="n"/>
      <c r="AV266" t="n">
        <v>1.35</v>
      </c>
    </row>
    <row r="267">
      <c r="A267" s="33" t="inlineStr">
        <is>
          <t>NEW</t>
        </is>
      </c>
      <c r="B267" s="34" t="inlineStr">
        <is>
          <t>P0222CQ</t>
        </is>
      </c>
      <c r="C267" s="34" t="inlineStr">
        <is>
          <t>SCHUKO EXT. CORD 2S 2M 1.5MM+2×USB A+1×C,Qi 10W</t>
        </is>
      </c>
      <c r="D267" s="34" t="inlineStr">
        <is>
          <t>Пооджувачи та адаптери</t>
        </is>
      </c>
      <c r="E267" s="33" t="inlineStr">
        <is>
          <t>PC</t>
        </is>
      </c>
      <c r="F267" s="94" t="n">
        <v>19.002</v>
      </c>
      <c r="G267" s="35" t="n">
        <v>8544429090</v>
      </c>
      <c r="H267" s="31" t="n">
        <v>1.4</v>
      </c>
      <c r="I267" s="84">
        <f>IFERROR(F267*Settings!$B$2*H267*IF(AND(ISNUMBER(E267),E267&gt;1),E267,1),"")</f>
        <v/>
      </c>
      <c r="J267" s="32">
        <f>Settings!$B$66</f>
        <v/>
      </c>
      <c r="K267" s="95">
        <f>IFERROR(IF(T267="","",(T267*(1-AN267)*(1-Settings!$B$17)-I267)/(T267*(1-AN267)*(1-Settings!$B$17))),"")</f>
        <v/>
      </c>
      <c r="L267" s="101">
        <f>IFERROR(IF(T267="","",(T267*(1-AO267)*(1-Settings!$C$17)-I267)/(T267*(1-AO267)*(1-Settings!$C$17))),"")</f>
        <v/>
      </c>
      <c r="M267" s="101">
        <f>IFERROR(IF(T267="","",(T267*(1-AP267)*(1-Settings!$D$17)-I267)/(T267*(1-AP267)*(1-Settings!$D$17))),"")</f>
        <v/>
      </c>
      <c r="N267" s="101">
        <f>IFERROR(IF(T267="","",(T267*(1-AQ267)*(1-Settings!$F$17)-I267)/(T267*(1-AQ267)*(1-Settings!$F$17))),"")</f>
        <v/>
      </c>
      <c r="O267" s="101">
        <f>IFERROR(IF(T267="","",(T267*(1-AR267)*(1-Settings!$G$17)-I267)/(T267*(1-AR267)*(1-Settings!$G$17))),"")</f>
        <v/>
      </c>
      <c r="P267" s="101">
        <f>IFERROR(IF(T267="","",(T267*(1-AS267)*(1-Settings!$H$17)-I267)/(T267*(1-AS267)*(1-Settings!$H$17))),"")</f>
        <v/>
      </c>
      <c r="Q267" s="101">
        <f>IFERROR(IF(T267="","",(T267*(1-AT267)*(1-Settings!$I$68)*(1-Settings!$I$17)-I267)/(T267*(1-AT267)*(1-Settings!$I$68)*(1-Settings!$I$17))),"")</f>
        <v/>
      </c>
      <c r="R267" s="91">
        <f>IFERROR(IF(OR(I267="",Z267&gt;=1,Settings!$B$17&gt;=1,AN267&gt;=1),"",IF(MOD(ROUND(I267/(1-Z267)/(1-Settings!$B$17)/(1-AN267),0),10)=0,ROUND(I267/(1-Z267)/(1-Settings!$B$17)/(1-AN267),0)-1,IF(MOD(ROUND(I267/(1-Z267)/(1-Settings!$B$17)/(1-AN267),0),10)&lt;=5,FLOOR(ROUND(I267/(1-Z267)/(1-Settings!$B$17)/(1-AN267),0),10)+6,FLOOR(ROUND(I267/(1-Z267)/(1-Settings!$B$17)/(1-AN267),0),10)+9))),"")</f>
        <v/>
      </c>
      <c r="S267" s="174">
        <f>R267*0.95</f>
        <v/>
      </c>
      <c r="T267" s="91">
        <f>IF(S267&lt;&gt;"", IF(MOD(S267,10)=0,S267-1,IF(MOD(S267,10)&lt;=5,FLOOR(S267,10)+6,FLOOR(S267,10)+9)), R267)</f>
        <v/>
      </c>
      <c r="U267" s="87" t="inlineStr">
        <is>
          <t>Основний</t>
        </is>
      </c>
      <c r="V267" s="88" t="n"/>
      <c r="W267" s="88" t="n"/>
      <c r="X267" s="89">
        <f>IFERROR(IF(OR(V267="",W267="",T267=""),"", IF(T267&gt;W267,"Дорогий",IF(T267&lt;V267,"Дешевий","У ринку"))),"")</f>
        <v/>
      </c>
      <c r="Y267" s="90" t="n"/>
      <c r="Z267" s="104">
        <f>CHOOSE(MATCH(IF($U267="","Основний",$U267),{"Трафіковий","Основний","Маржинальний","Сезонний","Стратегічний"},0),0.16,0.19,0.24,0.23,0.28)</f>
        <v/>
      </c>
      <c r="AA267" s="104">
        <f>CHOOSE(MATCH(IF($U267="","Основний",$U267),{"Трафіковий","Основний","Маржинальний","Сезонний","Стратегічний"},0),0.18,0.21,0.26,0.25,0.3)</f>
        <v/>
      </c>
      <c r="AB267" s="104">
        <f>CHOOSE(MATCH(IF($U267="","Основний",$U267),{"Трафіковий","Основний","Маржинальний","Сезонний","Стратегічний"},0),0.19,0.22,0.28,0.26,0.32)</f>
        <v/>
      </c>
      <c r="AC267" s="104">
        <f>CHOOSE(MATCH(IF($U267="","Основний",$U267),{"Трафіковий","Основний","Маржинальний","Сезонний","Стратегічний"},0),0.17,0.2,0.25,0.24,0.28)</f>
        <v/>
      </c>
      <c r="AD267" s="104">
        <f>CHOOSE(MATCH(IF($U267="","Основний",$U267),{"Трафіковий","Основний","Маржинальний","Сезонний","Стратегічний"},0),0.18,0.21,0.26,0.25,0.3)</f>
        <v/>
      </c>
      <c r="AE267" s="104">
        <f>CHOOSE(MATCH(IF($U267="","Основний",$U267),{"Трафіковий","Основний","Маржинальний","Сезонний","Стратегічний"},0),0.18,0.2,0.28,0.27,0.32)</f>
        <v/>
      </c>
      <c r="AF267" s="104">
        <f>CHOOSE(MATCH(IF($U267="","Основний",$U267),{"Трафіковий","Основний","Маржинальний","Сезонний","Стратегічний"},0),0.15,0.175,0.22,0.21,0.25)</f>
        <v/>
      </c>
      <c r="AG267" s="104">
        <f>CHOOSE(MATCH(IF($U267="","Основний",$U267),{"Трафіковий","Основний","Маржинальний","Сезонний","Стратегічний"},0),0.13,0.16,0.21,0.2,0.25)</f>
        <v/>
      </c>
      <c r="AH267" s="104">
        <f>CHOOSE(MATCH(IF($U267="","Основний",$U267),{"Трафіковий","Основний","Маржинальний","Сезонний","Стратегічний"},0),0.15,0.18,0.23,0.22,0.27)</f>
        <v/>
      </c>
      <c r="AI267" s="104">
        <f>CHOOSE(MATCH(IF($U267="","Основний",$U267),{"Трафіковий","Основний","Маржинальний","Сезонний","Стратегічний"},0),0.16,0.19,0.25,0.23,0.29)</f>
        <v/>
      </c>
      <c r="AJ267" s="104">
        <f>CHOOSE(MATCH(IF($U267="","Основний",$U267),{"Трафіковий","Основний","Маржинальний","Сезонний","Стратегічний"},0),0.14,0.17,0.22,0.21,0.25)</f>
        <v/>
      </c>
      <c r="AK267" s="104">
        <f>CHOOSE(MATCH(IF($U267="","Основний",$U267),{"Трафіковий","Основний","Маржинальний","Сезонний","Стратегічний"},0),0.15,0.18,0.23,0.22,0.27)</f>
        <v/>
      </c>
      <c r="AL267" s="104">
        <f>CHOOSE(MATCH(IF($U267="","Основний",$U267),{"Трафіковий","Основний","Маржинальний","Сезонний","Стратегічний"},0),0.15,0.17,0.25,0.24,0.29)</f>
        <v/>
      </c>
      <c r="AM267" s="104">
        <f>CHOOSE(MATCH(IF($U267="","Основний",$U267),{"Трафіковий","Основний","Маржинальний","Сезонний","Стратегічний"},0),0.12,0.145,0.19,0.18,0.22)</f>
        <v/>
      </c>
      <c r="AN267" s="157">
        <f>CHOOSE(MATCH(IF($U267="","Основний",$U267),{"Трафіковий","Основний","Маржинальний","Сезонний","Стратегічний"},0),Settings!$B$78,Settings!$B$80,Settings!$B$82,Settings!$B$84,Settings!$B$86)</f>
        <v/>
      </c>
      <c r="AO267" s="157">
        <f>CHOOSE(MATCH(IF($U267="","Основний",$U267),{"Трафіковий","Основний","Маржинальний","Сезонний","Стратегічний"},0),Settings!$C$78,Settings!$C$80,Settings!$C$82,Settings!$C$84,Settings!$C$86)</f>
        <v/>
      </c>
      <c r="AP267" s="157">
        <f>CHOOSE(MATCH(IF($U267="","Основний",$U267),{"Трафіковий","Основний","Маржинальний","Сезонний","Стратегічний"},0),Settings!$D$78,Settings!$D$80,Settings!$D$82,Settings!$D$84,Settings!$D$86)</f>
        <v/>
      </c>
      <c r="AQ267" s="157">
        <f>CHOOSE(MATCH(IF($U267="","Основний",$U267),{"Трафіковий","Основний","Маржинальний","Сезонний","Стратегічний"},0),Settings!$F$78,Settings!$F$80,Settings!$F$82,Settings!$F$84,Settings!$F$86)</f>
        <v/>
      </c>
      <c r="AR267" s="157">
        <f>CHOOSE(MATCH(IF($U267="","Основний",$U267),{"Трафіковий","Основний","Маржинальний","Сезонний","Стратегічний"},0),Settings!$G$78,Settings!$G$80,Settings!$G$82,Settings!$G$84,Settings!$G$86)</f>
        <v/>
      </c>
      <c r="AS267" s="157">
        <f>CHOOSE(MATCH(IF($U267="","Основний",$U267),{"Трафіковий","Основний","Маржинальний","Сезонний","Стратегічний"},0),Settings!$H$78,Settings!$H$80,Settings!$H$82,Settings!$H$84,Settings!$H$86)</f>
        <v/>
      </c>
      <c r="AT267" s="157">
        <f>CHOOSE(MATCH(IF($U267="","Основний",$U267),{"Трафіковий","Основний","Маржинальний","Сезонний","Стратегічний"},0),Settings!$I$78,Settings!$I$80,Settings!$I$82,Settings!$I$84,Settings!$I$86)</f>
        <v/>
      </c>
      <c r="AU267" s="171" t="n"/>
      <c r="AV267" t="n">
        <v>1.35</v>
      </c>
    </row>
    <row r="268">
      <c r="A268" s="28" t="inlineStr">
        <is>
          <t>NEW</t>
        </is>
      </c>
      <c r="B268" s="29" t="inlineStr">
        <is>
          <t>P1321PD</t>
        </is>
      </c>
      <c r="C268" s="29" t="inlineStr">
        <is>
          <t>EX.CORD W. SW. FIX.TABLE 3S 1,5M+USB A+C, 1,5MM2</t>
        </is>
      </c>
      <c r="D268" s="29" t="inlineStr">
        <is>
          <t>Пооджувачи та адаптери</t>
        </is>
      </c>
      <c r="E268" s="28" t="inlineStr">
        <is>
          <t>PC</t>
        </is>
      </c>
      <c r="F268" s="93" t="n">
        <v>14.422</v>
      </c>
      <c r="G268" s="30" t="n">
        <v>8544429090</v>
      </c>
      <c r="H268" s="31" t="n">
        <v>1.4</v>
      </c>
      <c r="I268" s="84">
        <f>IFERROR(F268*Settings!$B$2*H268*IF(AND(ISNUMBER(E268),E268&gt;1),E268,1),"")</f>
        <v/>
      </c>
      <c r="J268" s="32">
        <f>Settings!$B$66</f>
        <v/>
      </c>
      <c r="K268" s="95">
        <f>IFERROR(IF(T268="","",(T268*(1-AN268)*(1-Settings!$B$17)-I268)/(T268*(1-AN268)*(1-Settings!$B$17))),"")</f>
        <v/>
      </c>
      <c r="L268" s="101">
        <f>IFERROR(IF(T268="","",(T268*(1-AO268)*(1-Settings!$C$17)-I268)/(T268*(1-AO268)*(1-Settings!$C$17))),"")</f>
        <v/>
      </c>
      <c r="M268" s="101">
        <f>IFERROR(IF(T268="","",(T268*(1-AP268)*(1-Settings!$D$17)-I268)/(T268*(1-AP268)*(1-Settings!$D$17))),"")</f>
        <v/>
      </c>
      <c r="N268" s="101">
        <f>IFERROR(IF(T268="","",(T268*(1-AQ268)*(1-Settings!$F$17)-I268)/(T268*(1-AQ268)*(1-Settings!$F$17))),"")</f>
        <v/>
      </c>
      <c r="O268" s="101">
        <f>IFERROR(IF(T268="","",(T268*(1-AR268)*(1-Settings!$G$17)-I268)/(T268*(1-AR268)*(1-Settings!$G$17))),"")</f>
        <v/>
      </c>
      <c r="P268" s="101">
        <f>IFERROR(IF(T268="","",(T268*(1-AS268)*(1-Settings!$H$17)-I268)/(T268*(1-AS268)*(1-Settings!$H$17))),"")</f>
        <v/>
      </c>
      <c r="Q268" s="101">
        <f>IFERROR(IF(T268="","",(T268*(1-AT268)*(1-Settings!$I$68)*(1-Settings!$I$17)-I268)/(T268*(1-AT268)*(1-Settings!$I$68)*(1-Settings!$I$17))),"")</f>
        <v/>
      </c>
      <c r="R268" s="91">
        <f>IFERROR(IF(OR(I268="",Z268&gt;=1,Settings!$B$17&gt;=1,AN268&gt;=1),"",IF(MOD(ROUND(I268/(1-Z268)/(1-Settings!$B$17)/(1-AN268),0),10)=0,ROUND(I268/(1-Z268)/(1-Settings!$B$17)/(1-AN268),0)-1,IF(MOD(ROUND(I268/(1-Z268)/(1-Settings!$B$17)/(1-AN268),0),10)&lt;=5,FLOOR(ROUND(I268/(1-Z268)/(1-Settings!$B$17)/(1-AN268),0),10)+6,FLOOR(ROUND(I268/(1-Z268)/(1-Settings!$B$17)/(1-AN268),0),10)+9))),"")</f>
        <v/>
      </c>
      <c r="S268" s="174">
        <f>R268*0.95</f>
        <v/>
      </c>
      <c r="T268" s="91">
        <f>IF(S268&lt;&gt;"", IF(MOD(S268,10)=0,S268-1,IF(MOD(S268,10)&lt;=5,FLOOR(S268,10)+6,FLOOR(S268,10)+9)), R268)</f>
        <v/>
      </c>
      <c r="U268" s="87" t="inlineStr">
        <is>
          <t>Основний</t>
        </is>
      </c>
      <c r="V268" s="88" t="n"/>
      <c r="W268" s="88" t="n"/>
      <c r="X268" s="89">
        <f>IFERROR(IF(OR(V268="",W268="",T268=""),"", IF(T268&gt;W268,"Дорогий",IF(T268&lt;V268,"Дешевий","У ринку"))),"")</f>
        <v/>
      </c>
      <c r="Y268" s="90" t="n"/>
      <c r="Z268" s="104">
        <f>CHOOSE(MATCH(IF($U268="","Основний",$U268),{"Трафіковий","Основний","Маржинальний","Сезонний","Стратегічний"},0),0.16,0.19,0.24,0.23,0.28)</f>
        <v/>
      </c>
      <c r="AA268" s="104">
        <f>CHOOSE(MATCH(IF($U268="","Основний",$U268),{"Трафіковий","Основний","Маржинальний","Сезонний","Стратегічний"},0),0.18,0.21,0.26,0.25,0.3)</f>
        <v/>
      </c>
      <c r="AB268" s="104">
        <f>CHOOSE(MATCH(IF($U268="","Основний",$U268),{"Трафіковий","Основний","Маржинальний","Сезонний","Стратегічний"},0),0.19,0.22,0.28,0.26,0.32)</f>
        <v/>
      </c>
      <c r="AC268" s="104">
        <f>CHOOSE(MATCH(IF($U268="","Основний",$U268),{"Трафіковий","Основний","Маржинальний","Сезонний","Стратегічний"},0),0.17,0.2,0.25,0.24,0.28)</f>
        <v/>
      </c>
      <c r="AD268" s="104">
        <f>CHOOSE(MATCH(IF($U268="","Основний",$U268),{"Трафіковий","Основний","Маржинальний","Сезонний","Стратегічний"},0),0.18,0.21,0.26,0.25,0.3)</f>
        <v/>
      </c>
      <c r="AE268" s="104">
        <f>CHOOSE(MATCH(IF($U268="","Основний",$U268),{"Трафіковий","Основний","Маржинальний","Сезонний","Стратегічний"},0),0.18,0.2,0.28,0.27,0.32)</f>
        <v/>
      </c>
      <c r="AF268" s="104">
        <f>CHOOSE(MATCH(IF($U268="","Основний",$U268),{"Трафіковий","Основний","Маржинальний","Сезонний","Стратегічний"},0),0.15,0.175,0.22,0.21,0.25)</f>
        <v/>
      </c>
      <c r="AG268" s="104">
        <f>CHOOSE(MATCH(IF($U268="","Основний",$U268),{"Трафіковий","Основний","Маржинальний","Сезонний","Стратегічний"},0),0.13,0.16,0.21,0.2,0.25)</f>
        <v/>
      </c>
      <c r="AH268" s="104">
        <f>CHOOSE(MATCH(IF($U268="","Основний",$U268),{"Трафіковий","Основний","Маржинальний","Сезонний","Стратегічний"},0),0.15,0.18,0.23,0.22,0.27)</f>
        <v/>
      </c>
      <c r="AI268" s="104">
        <f>CHOOSE(MATCH(IF($U268="","Основний",$U268),{"Трафіковий","Основний","Маржинальний","Сезонний","Стратегічний"},0),0.16,0.19,0.25,0.23,0.29)</f>
        <v/>
      </c>
      <c r="AJ268" s="104">
        <f>CHOOSE(MATCH(IF($U268="","Основний",$U268),{"Трафіковий","Основний","Маржинальний","Сезонний","Стратегічний"},0),0.14,0.17,0.22,0.21,0.25)</f>
        <v/>
      </c>
      <c r="AK268" s="104">
        <f>CHOOSE(MATCH(IF($U268="","Основний",$U268),{"Трафіковий","Основний","Маржинальний","Сезонний","Стратегічний"},0),0.15,0.18,0.23,0.22,0.27)</f>
        <v/>
      </c>
      <c r="AL268" s="104">
        <f>CHOOSE(MATCH(IF($U268="","Основний",$U268),{"Трафіковий","Основний","Маржинальний","Сезонний","Стратегічний"},0),0.15,0.17,0.25,0.24,0.29)</f>
        <v/>
      </c>
      <c r="AM268" s="104">
        <f>CHOOSE(MATCH(IF($U268="","Основний",$U268),{"Трафіковий","Основний","Маржинальний","Сезонний","Стратегічний"},0),0.12,0.145,0.19,0.18,0.22)</f>
        <v/>
      </c>
      <c r="AN268" s="157">
        <f>CHOOSE(MATCH(IF($U268="","Основний",$U268),{"Трафіковий","Основний","Маржинальний","Сезонний","Стратегічний"},0),Settings!$B$78,Settings!$B$80,Settings!$B$82,Settings!$B$84,Settings!$B$86)</f>
        <v/>
      </c>
      <c r="AO268" s="157">
        <f>CHOOSE(MATCH(IF($U268="","Основний",$U268),{"Трафіковий","Основний","Маржинальний","Сезонний","Стратегічний"},0),Settings!$C$78,Settings!$C$80,Settings!$C$82,Settings!$C$84,Settings!$C$86)</f>
        <v/>
      </c>
      <c r="AP268" s="157">
        <f>CHOOSE(MATCH(IF($U268="","Основний",$U268),{"Трафіковий","Основний","Маржинальний","Сезонний","Стратегічний"},0),Settings!$D$78,Settings!$D$80,Settings!$D$82,Settings!$D$84,Settings!$D$86)</f>
        <v/>
      </c>
      <c r="AQ268" s="157">
        <f>CHOOSE(MATCH(IF($U268="","Основний",$U268),{"Трафіковий","Основний","Маржинальний","Сезонний","Стратегічний"},0),Settings!$F$78,Settings!$F$80,Settings!$F$82,Settings!$F$84,Settings!$F$86)</f>
        <v/>
      </c>
      <c r="AR268" s="157">
        <f>CHOOSE(MATCH(IF($U268="","Основний",$U268),{"Трафіковий","Основний","Маржинальний","Сезонний","Стратегічний"},0),Settings!$G$78,Settings!$G$80,Settings!$G$82,Settings!$G$84,Settings!$G$86)</f>
        <v/>
      </c>
      <c r="AS268" s="157">
        <f>CHOOSE(MATCH(IF($U268="","Основний",$U268),{"Трафіковий","Основний","Маржинальний","Сезонний","Стратегічний"},0),Settings!$H$78,Settings!$H$80,Settings!$H$82,Settings!$H$84,Settings!$H$86)</f>
        <v/>
      </c>
      <c r="AT268" s="157">
        <f>CHOOSE(MATCH(IF($U268="","Основний",$U268),{"Трафіковий","Основний","Маржинальний","Сезонний","Стратегічний"},0),Settings!$I$78,Settings!$I$80,Settings!$I$82,Settings!$I$84,Settings!$I$86)</f>
        <v/>
      </c>
      <c r="AU268" s="171" t="n"/>
      <c r="AV268" t="n">
        <v>1.35</v>
      </c>
    </row>
    <row r="269">
      <c r="A269" s="33" t="inlineStr">
        <is>
          <t>SELL OUT</t>
        </is>
      </c>
      <c r="B269" s="34" t="inlineStr">
        <is>
          <t>P1322PD</t>
        </is>
      </c>
      <c r="C269" s="34" t="inlineStr">
        <is>
          <t>SCHUKO EXT. CORD 3S 2M SW. 1.5MM+USB A+C FAST CH.</t>
        </is>
      </c>
      <c r="D269" s="34" t="inlineStr">
        <is>
          <t>Пооджувачи та адаптери</t>
        </is>
      </c>
      <c r="E269" s="33" t="inlineStr">
        <is>
          <t>PC</t>
        </is>
      </c>
      <c r="F269" s="94" t="n">
        <v>8.260999999999999</v>
      </c>
      <c r="G269" s="35" t="n">
        <v>8544429090</v>
      </c>
      <c r="H269" s="31" t="n">
        <v>1.4</v>
      </c>
      <c r="I269" s="84">
        <f>IFERROR(F269*Settings!$B$2*H269*IF(AND(ISNUMBER(E269),E269&gt;1),E269,1),"")</f>
        <v/>
      </c>
      <c r="J269" s="32">
        <f>Settings!$B$66</f>
        <v/>
      </c>
      <c r="K269" s="95">
        <f>IFERROR(IF(T269="","",(T269*(1-AN269)*(1-Settings!$B$17)-I269)/(T269*(1-AN269)*(1-Settings!$B$17))),"")</f>
        <v/>
      </c>
      <c r="L269" s="101">
        <f>IFERROR(IF(T269="","",(T269*(1-AO269)*(1-Settings!$C$17)-I269)/(T269*(1-AO269)*(1-Settings!$C$17))),"")</f>
        <v/>
      </c>
      <c r="M269" s="101">
        <f>IFERROR(IF(T269="","",(T269*(1-AP269)*(1-Settings!$D$17)-I269)/(T269*(1-AP269)*(1-Settings!$D$17))),"")</f>
        <v/>
      </c>
      <c r="N269" s="101">
        <f>IFERROR(IF(T269="","",(T269*(1-AQ269)*(1-Settings!$F$17)-I269)/(T269*(1-AQ269)*(1-Settings!$F$17))),"")</f>
        <v/>
      </c>
      <c r="O269" s="101">
        <f>IFERROR(IF(T269="","",(T269*(1-AR269)*(1-Settings!$G$17)-I269)/(T269*(1-AR269)*(1-Settings!$G$17))),"")</f>
        <v/>
      </c>
      <c r="P269" s="101">
        <f>IFERROR(IF(T269="","",(T269*(1-AS269)*(1-Settings!$H$17)-I269)/(T269*(1-AS269)*(1-Settings!$H$17))),"")</f>
        <v/>
      </c>
      <c r="Q269" s="101">
        <f>IFERROR(IF(T269="","",(T269*(1-AT269)*(1-Settings!$I$68)*(1-Settings!$I$17)-I269)/(T269*(1-AT269)*(1-Settings!$I$68)*(1-Settings!$I$17))),"")</f>
        <v/>
      </c>
      <c r="R269" s="91">
        <f>IFERROR(IF(OR(I269="",Z269&gt;=1,Settings!$B$17&gt;=1,AN269&gt;=1),"",IF(MOD(ROUND(I269/(1-Z269)/(1-Settings!$B$17)/(1-AN269),0),10)=0,ROUND(I269/(1-Z269)/(1-Settings!$B$17)/(1-AN269),0)-1,IF(MOD(ROUND(I269/(1-Z269)/(1-Settings!$B$17)/(1-AN269),0),10)&lt;=5,FLOOR(ROUND(I269/(1-Z269)/(1-Settings!$B$17)/(1-AN269),0),10)+6,FLOOR(ROUND(I269/(1-Z269)/(1-Settings!$B$17)/(1-AN269),0),10)+9))),"")</f>
        <v/>
      </c>
      <c r="S269" s="174">
        <f>R269*0.95</f>
        <v/>
      </c>
      <c r="T269" s="91">
        <f>IF(S269&lt;&gt;"", IF(MOD(S269,10)=0,S269-1,IF(MOD(S269,10)&lt;=5,FLOOR(S269,10)+6,FLOOR(S269,10)+9)), R269)</f>
        <v/>
      </c>
      <c r="U269" s="87" t="inlineStr">
        <is>
          <t>Основний</t>
        </is>
      </c>
      <c r="V269" s="88" t="n"/>
      <c r="W269" s="88" t="n"/>
      <c r="X269" s="89">
        <f>IFERROR(IF(OR(V269="",W269="",T269=""),"", IF(T269&gt;W269,"Дорогий",IF(T269&lt;V269,"Дешевий","У ринку"))),"")</f>
        <v/>
      </c>
      <c r="Y269" s="90" t="n"/>
      <c r="Z269" s="104">
        <f>CHOOSE(MATCH(IF($U269="","Основний",$U269),{"Трафіковий","Основний","Маржинальний","Сезонний","Стратегічний"},0),0.16,0.19,0.24,0.23,0.28)</f>
        <v/>
      </c>
      <c r="AA269" s="104">
        <f>CHOOSE(MATCH(IF($U269="","Основний",$U269),{"Трафіковий","Основний","Маржинальний","Сезонний","Стратегічний"},0),0.18,0.21,0.26,0.25,0.3)</f>
        <v/>
      </c>
      <c r="AB269" s="104">
        <f>CHOOSE(MATCH(IF($U269="","Основний",$U269),{"Трафіковий","Основний","Маржинальний","Сезонний","Стратегічний"},0),0.19,0.22,0.28,0.26,0.32)</f>
        <v/>
      </c>
      <c r="AC269" s="104">
        <f>CHOOSE(MATCH(IF($U269="","Основний",$U269),{"Трафіковий","Основний","Маржинальний","Сезонний","Стратегічний"},0),0.17,0.2,0.25,0.24,0.28)</f>
        <v/>
      </c>
      <c r="AD269" s="104">
        <f>CHOOSE(MATCH(IF($U269="","Основний",$U269),{"Трафіковий","Основний","Маржинальний","Сезонний","Стратегічний"},0),0.18,0.21,0.26,0.25,0.3)</f>
        <v/>
      </c>
      <c r="AE269" s="104">
        <f>CHOOSE(MATCH(IF($U269="","Основний",$U269),{"Трафіковий","Основний","Маржинальний","Сезонний","Стратегічний"},0),0.18,0.2,0.28,0.27,0.32)</f>
        <v/>
      </c>
      <c r="AF269" s="104">
        <f>CHOOSE(MATCH(IF($U269="","Основний",$U269),{"Трафіковий","Основний","Маржинальний","Сезонний","Стратегічний"},0),0.15,0.175,0.22,0.21,0.25)</f>
        <v/>
      </c>
      <c r="AG269" s="104">
        <f>CHOOSE(MATCH(IF($U269="","Основний",$U269),{"Трафіковий","Основний","Маржинальний","Сезонний","Стратегічний"},0),0.13,0.16,0.21,0.2,0.25)</f>
        <v/>
      </c>
      <c r="AH269" s="104">
        <f>CHOOSE(MATCH(IF($U269="","Основний",$U269),{"Трафіковий","Основний","Маржинальний","Сезонний","Стратегічний"},0),0.15,0.18,0.23,0.22,0.27)</f>
        <v/>
      </c>
      <c r="AI269" s="104">
        <f>CHOOSE(MATCH(IF($U269="","Основний",$U269),{"Трафіковий","Основний","Маржинальний","Сезонний","Стратегічний"},0),0.16,0.19,0.25,0.23,0.29)</f>
        <v/>
      </c>
      <c r="AJ269" s="104">
        <f>CHOOSE(MATCH(IF($U269="","Основний",$U269),{"Трафіковий","Основний","Маржинальний","Сезонний","Стратегічний"},0),0.14,0.17,0.22,0.21,0.25)</f>
        <v/>
      </c>
      <c r="AK269" s="104">
        <f>CHOOSE(MATCH(IF($U269="","Основний",$U269),{"Трафіковий","Основний","Маржинальний","Сезонний","Стратегічний"},0),0.15,0.18,0.23,0.22,0.27)</f>
        <v/>
      </c>
      <c r="AL269" s="104">
        <f>CHOOSE(MATCH(IF($U269="","Основний",$U269),{"Трафіковий","Основний","Маржинальний","Сезонний","Стратегічний"},0),0.15,0.17,0.25,0.24,0.29)</f>
        <v/>
      </c>
      <c r="AM269" s="104">
        <f>CHOOSE(MATCH(IF($U269="","Основний",$U269),{"Трафіковий","Основний","Маржинальний","Сезонний","Стратегічний"},0),0.12,0.145,0.19,0.18,0.22)</f>
        <v/>
      </c>
      <c r="AN269" s="157">
        <f>CHOOSE(MATCH(IF($U269="","Основний",$U269),{"Трафіковий","Основний","Маржинальний","Сезонний","Стратегічний"},0),Settings!$B$78,Settings!$B$80,Settings!$B$82,Settings!$B$84,Settings!$B$86)</f>
        <v/>
      </c>
      <c r="AO269" s="157">
        <f>CHOOSE(MATCH(IF($U269="","Основний",$U269),{"Трафіковий","Основний","Маржинальний","Сезонний","Стратегічний"},0),Settings!$C$78,Settings!$C$80,Settings!$C$82,Settings!$C$84,Settings!$C$86)</f>
        <v/>
      </c>
      <c r="AP269" s="157">
        <f>CHOOSE(MATCH(IF($U269="","Основний",$U269),{"Трафіковий","Основний","Маржинальний","Сезонний","Стратегічний"},0),Settings!$D$78,Settings!$D$80,Settings!$D$82,Settings!$D$84,Settings!$D$86)</f>
        <v/>
      </c>
      <c r="AQ269" s="157">
        <f>CHOOSE(MATCH(IF($U269="","Основний",$U269),{"Трафіковий","Основний","Маржинальний","Сезонний","Стратегічний"},0),Settings!$F$78,Settings!$F$80,Settings!$F$82,Settings!$F$84,Settings!$F$86)</f>
        <v/>
      </c>
      <c r="AR269" s="157">
        <f>CHOOSE(MATCH(IF($U269="","Основний",$U269),{"Трафіковий","Основний","Маржинальний","Сезонний","Стратегічний"},0),Settings!$G$78,Settings!$G$80,Settings!$G$82,Settings!$G$84,Settings!$G$86)</f>
        <v/>
      </c>
      <c r="AS269" s="157">
        <f>CHOOSE(MATCH(IF($U269="","Основний",$U269),{"Трафіковий","Основний","Маржинальний","Сезонний","Стратегічний"},0),Settings!$H$78,Settings!$H$80,Settings!$H$82,Settings!$H$84,Settings!$H$86)</f>
        <v/>
      </c>
      <c r="AT269" s="157">
        <f>CHOOSE(MATCH(IF($U269="","Основний",$U269),{"Трафіковий","Основний","Маржинальний","Сезонний","Стратегічний"},0),Settings!$I$78,Settings!$I$80,Settings!$I$82,Settings!$I$84,Settings!$I$86)</f>
        <v/>
      </c>
      <c r="AU269" s="171" t="n"/>
      <c r="AV269" t="n">
        <v>1.35</v>
      </c>
    </row>
    <row r="270">
      <c r="A270" s="28" t="inlineStr">
        <is>
          <t>NEW</t>
        </is>
      </c>
      <c r="B270" s="29" t="inlineStr">
        <is>
          <t>P1322CU</t>
        </is>
      </c>
      <c r="C270" s="29" t="inlineStr">
        <is>
          <t>SCHUKO EXT. CORD 3S 2M SW. 1.5MM+USB A+C</t>
        </is>
      </c>
      <c r="D270" s="29" t="inlineStr">
        <is>
          <t>Пооджувачи та адаптери</t>
        </is>
      </c>
      <c r="E270" s="28" t="inlineStr">
        <is>
          <t>PC</t>
        </is>
      </c>
      <c r="F270" s="93" t="n">
        <v>6.572</v>
      </c>
      <c r="G270" s="30" t="n">
        <v>8544429090</v>
      </c>
      <c r="H270" s="31" t="n">
        <v>1.4</v>
      </c>
      <c r="I270" s="84">
        <f>IFERROR(F270*Settings!$B$2*H270*IF(AND(ISNUMBER(E270),E270&gt;1),E270,1),"")</f>
        <v/>
      </c>
      <c r="J270" s="32">
        <f>Settings!$B$66</f>
        <v/>
      </c>
      <c r="K270" s="95">
        <f>IFERROR(IF(T270="","",(T270*(1-AN270)*(1-Settings!$B$17)-I270)/(T270*(1-AN270)*(1-Settings!$B$17))),"")</f>
        <v/>
      </c>
      <c r="L270" s="101">
        <f>IFERROR(IF(T270="","",(T270*(1-AO270)*(1-Settings!$C$17)-I270)/(T270*(1-AO270)*(1-Settings!$C$17))),"")</f>
        <v/>
      </c>
      <c r="M270" s="101">
        <f>IFERROR(IF(T270="","",(T270*(1-AP270)*(1-Settings!$D$17)-I270)/(T270*(1-AP270)*(1-Settings!$D$17))),"")</f>
        <v/>
      </c>
      <c r="N270" s="101">
        <f>IFERROR(IF(T270="","",(T270*(1-AQ270)*(1-Settings!$F$17)-I270)/(T270*(1-AQ270)*(1-Settings!$F$17))),"")</f>
        <v/>
      </c>
      <c r="O270" s="101">
        <f>IFERROR(IF(T270="","",(T270*(1-AR270)*(1-Settings!$G$17)-I270)/(T270*(1-AR270)*(1-Settings!$G$17))),"")</f>
        <v/>
      </c>
      <c r="P270" s="101">
        <f>IFERROR(IF(T270="","",(T270*(1-AS270)*(1-Settings!$H$17)-I270)/(T270*(1-AS270)*(1-Settings!$H$17))),"")</f>
        <v/>
      </c>
      <c r="Q270" s="101">
        <f>IFERROR(IF(T270="","",(T270*(1-AT270)*(1-Settings!$I$68)*(1-Settings!$I$17)-I270)/(T270*(1-AT270)*(1-Settings!$I$68)*(1-Settings!$I$17))),"")</f>
        <v/>
      </c>
      <c r="R270" s="91">
        <f>IFERROR(IF(OR(I270="",Z270&gt;=1,Settings!$B$17&gt;=1,AN270&gt;=1),"",IF(MOD(ROUND(I270/(1-Z270)/(1-Settings!$B$17)/(1-AN270),0),10)=0,ROUND(I270/(1-Z270)/(1-Settings!$B$17)/(1-AN270),0)-1,IF(MOD(ROUND(I270/(1-Z270)/(1-Settings!$B$17)/(1-AN270),0),10)&lt;=5,FLOOR(ROUND(I270/(1-Z270)/(1-Settings!$B$17)/(1-AN270),0),10)+6,FLOOR(ROUND(I270/(1-Z270)/(1-Settings!$B$17)/(1-AN270),0),10)+9))),"")</f>
        <v/>
      </c>
      <c r="S270" s="174">
        <f>R270*0.95</f>
        <v/>
      </c>
      <c r="T270" s="91">
        <f>IF(S270&lt;&gt;"", IF(MOD(S270,10)=0,S270-1,IF(MOD(S270,10)&lt;=5,FLOOR(S270,10)+6,FLOOR(S270,10)+9)), R270)</f>
        <v/>
      </c>
      <c r="U270" s="87" t="inlineStr">
        <is>
          <t>Основний</t>
        </is>
      </c>
      <c r="V270" s="88" t="n"/>
      <c r="W270" s="88" t="n"/>
      <c r="X270" s="89">
        <f>IFERROR(IF(OR(V270="",W270="",T270=""),"", IF(T270&gt;W270,"Дорогий",IF(T270&lt;V270,"Дешевий","У ринку"))),"")</f>
        <v/>
      </c>
      <c r="Y270" s="90" t="n"/>
      <c r="Z270" s="104">
        <f>CHOOSE(MATCH(IF($U270="","Основний",$U270),{"Трафіковий","Основний","Маржинальний","Сезонний","Стратегічний"},0),0.16,0.19,0.24,0.23,0.28)</f>
        <v/>
      </c>
      <c r="AA270" s="104">
        <f>CHOOSE(MATCH(IF($U270="","Основний",$U270),{"Трафіковий","Основний","Маржинальний","Сезонний","Стратегічний"},0),0.18,0.21,0.26,0.25,0.3)</f>
        <v/>
      </c>
      <c r="AB270" s="104">
        <f>CHOOSE(MATCH(IF($U270="","Основний",$U270),{"Трафіковий","Основний","Маржинальний","Сезонний","Стратегічний"},0),0.19,0.22,0.28,0.26,0.32)</f>
        <v/>
      </c>
      <c r="AC270" s="104">
        <f>CHOOSE(MATCH(IF($U270="","Основний",$U270),{"Трафіковий","Основний","Маржинальний","Сезонний","Стратегічний"},0),0.17,0.2,0.25,0.24,0.28)</f>
        <v/>
      </c>
      <c r="AD270" s="104">
        <f>CHOOSE(MATCH(IF($U270="","Основний",$U270),{"Трафіковий","Основний","Маржинальний","Сезонний","Стратегічний"},0),0.18,0.21,0.26,0.25,0.3)</f>
        <v/>
      </c>
      <c r="AE270" s="104">
        <f>CHOOSE(MATCH(IF($U270="","Основний",$U270),{"Трафіковий","Основний","Маржинальний","Сезонний","Стратегічний"},0),0.18,0.2,0.28,0.27,0.32)</f>
        <v/>
      </c>
      <c r="AF270" s="104">
        <f>CHOOSE(MATCH(IF($U270="","Основний",$U270),{"Трафіковий","Основний","Маржинальний","Сезонний","Стратегічний"},0),0.15,0.175,0.22,0.21,0.25)</f>
        <v/>
      </c>
      <c r="AG270" s="104">
        <f>CHOOSE(MATCH(IF($U270="","Основний",$U270),{"Трафіковий","Основний","Маржинальний","Сезонний","Стратегічний"},0),0.13,0.16,0.21,0.2,0.25)</f>
        <v/>
      </c>
      <c r="AH270" s="104">
        <f>CHOOSE(MATCH(IF($U270="","Основний",$U270),{"Трафіковий","Основний","Маржинальний","Сезонний","Стратегічний"},0),0.15,0.18,0.23,0.22,0.27)</f>
        <v/>
      </c>
      <c r="AI270" s="104">
        <f>CHOOSE(MATCH(IF($U270="","Основний",$U270),{"Трафіковий","Основний","Маржинальний","Сезонний","Стратегічний"},0),0.16,0.19,0.25,0.23,0.29)</f>
        <v/>
      </c>
      <c r="AJ270" s="104">
        <f>CHOOSE(MATCH(IF($U270="","Основний",$U270),{"Трафіковий","Основний","Маржинальний","Сезонний","Стратегічний"},0),0.14,0.17,0.22,0.21,0.25)</f>
        <v/>
      </c>
      <c r="AK270" s="104">
        <f>CHOOSE(MATCH(IF($U270="","Основний",$U270),{"Трафіковий","Основний","Маржинальний","Сезонний","Стратегічний"},0),0.15,0.18,0.23,0.22,0.27)</f>
        <v/>
      </c>
      <c r="AL270" s="104">
        <f>CHOOSE(MATCH(IF($U270="","Основний",$U270),{"Трафіковий","Основний","Маржинальний","Сезонний","Стратегічний"},0),0.15,0.17,0.25,0.24,0.29)</f>
        <v/>
      </c>
      <c r="AM270" s="104">
        <f>CHOOSE(MATCH(IF($U270="","Основний",$U270),{"Трафіковий","Основний","Маржинальний","Сезонний","Стратегічний"},0),0.12,0.145,0.19,0.18,0.22)</f>
        <v/>
      </c>
      <c r="AN270" s="157">
        <f>CHOOSE(MATCH(IF($U270="","Основний",$U270),{"Трафіковий","Основний","Маржинальний","Сезонний","Стратегічний"},0),Settings!$B$78,Settings!$B$80,Settings!$B$82,Settings!$B$84,Settings!$B$86)</f>
        <v/>
      </c>
      <c r="AO270" s="157">
        <f>CHOOSE(MATCH(IF($U270="","Основний",$U270),{"Трафіковий","Основний","Маржинальний","Сезонний","Стратегічний"},0),Settings!$C$78,Settings!$C$80,Settings!$C$82,Settings!$C$84,Settings!$C$86)</f>
        <v/>
      </c>
      <c r="AP270" s="157">
        <f>CHOOSE(MATCH(IF($U270="","Основний",$U270),{"Трафіковий","Основний","Маржинальний","Сезонний","Стратегічний"},0),Settings!$D$78,Settings!$D$80,Settings!$D$82,Settings!$D$84,Settings!$D$86)</f>
        <v/>
      </c>
      <c r="AQ270" s="157">
        <f>CHOOSE(MATCH(IF($U270="","Основний",$U270),{"Трафіковий","Основний","Маржинальний","Сезонний","Стратегічний"},0),Settings!$F$78,Settings!$F$80,Settings!$F$82,Settings!$F$84,Settings!$F$86)</f>
        <v/>
      </c>
      <c r="AR270" s="157">
        <f>CHOOSE(MATCH(IF($U270="","Основний",$U270),{"Трафіковий","Основний","Маржинальний","Сезонний","Стратегічний"},0),Settings!$G$78,Settings!$G$80,Settings!$G$82,Settings!$G$84,Settings!$G$86)</f>
        <v/>
      </c>
      <c r="AS270" s="157">
        <f>CHOOSE(MATCH(IF($U270="","Основний",$U270),{"Трафіковий","Основний","Маржинальний","Сезонний","Стратегічний"},0),Settings!$H$78,Settings!$H$80,Settings!$H$82,Settings!$H$84,Settings!$H$86)</f>
        <v/>
      </c>
      <c r="AT270" s="157">
        <f>CHOOSE(MATCH(IF($U270="","Основний",$U270),{"Трафіковий","Основний","Маржинальний","Сезонний","Стратегічний"},0),Settings!$I$78,Settings!$I$80,Settings!$I$82,Settings!$I$84,Settings!$I$86)</f>
        <v/>
      </c>
      <c r="AU270" s="171" t="n"/>
      <c r="AV270" t="n">
        <v>1.35</v>
      </c>
    </row>
    <row r="271">
      <c r="A271" s="33" t="inlineStr">
        <is>
          <t>NEW</t>
        </is>
      </c>
      <c r="B271" s="34" t="inlineStr">
        <is>
          <t>P1523FC</t>
        </is>
      </c>
      <c r="C271" s="34" t="inlineStr">
        <is>
          <t>SCHUKO EXT. CORD 5S 3M SW. 1.5MM+USB A+C FAST CH.</t>
        </is>
      </c>
      <c r="D271" s="34" t="inlineStr">
        <is>
          <t>Пооджувачи та адаптери</t>
        </is>
      </c>
      <c r="E271" s="33" t="inlineStr">
        <is>
          <t>PC</t>
        </is>
      </c>
      <c r="F271" s="94" t="n">
        <v>9.888999999999999</v>
      </c>
      <c r="G271" s="35" t="n">
        <v>8544429090</v>
      </c>
      <c r="H271" s="31" t="n">
        <v>1.4</v>
      </c>
      <c r="I271" s="84">
        <f>IFERROR(F271*Settings!$B$2*H271*IF(AND(ISNUMBER(E271),E271&gt;1),E271,1),"")</f>
        <v/>
      </c>
      <c r="J271" s="32">
        <f>Settings!$B$66</f>
        <v/>
      </c>
      <c r="K271" s="95">
        <f>IFERROR(IF(T271="","",(T271*(1-AN271)*(1-Settings!$B$17)-I271)/(T271*(1-AN271)*(1-Settings!$B$17))),"")</f>
        <v/>
      </c>
      <c r="L271" s="101">
        <f>IFERROR(IF(T271="","",(T271*(1-AO271)*(1-Settings!$C$17)-I271)/(T271*(1-AO271)*(1-Settings!$C$17))),"")</f>
        <v/>
      </c>
      <c r="M271" s="101">
        <f>IFERROR(IF(T271="","",(T271*(1-AP271)*(1-Settings!$D$17)-I271)/(T271*(1-AP271)*(1-Settings!$D$17))),"")</f>
        <v/>
      </c>
      <c r="N271" s="101">
        <f>IFERROR(IF(T271="","",(T271*(1-AQ271)*(1-Settings!$F$17)-I271)/(T271*(1-AQ271)*(1-Settings!$F$17))),"")</f>
        <v/>
      </c>
      <c r="O271" s="101">
        <f>IFERROR(IF(T271="","",(T271*(1-AR271)*(1-Settings!$G$17)-I271)/(T271*(1-AR271)*(1-Settings!$G$17))),"")</f>
        <v/>
      </c>
      <c r="P271" s="101">
        <f>IFERROR(IF(T271="","",(T271*(1-AS271)*(1-Settings!$H$17)-I271)/(T271*(1-AS271)*(1-Settings!$H$17))),"")</f>
        <v/>
      </c>
      <c r="Q271" s="101">
        <f>IFERROR(IF(T271="","",(T271*(1-AT271)*(1-Settings!$I$68)*(1-Settings!$I$17)-I271)/(T271*(1-AT271)*(1-Settings!$I$68)*(1-Settings!$I$17))),"")</f>
        <v/>
      </c>
      <c r="R271" s="91">
        <f>IFERROR(IF(OR(I271="",Z271&gt;=1,Settings!$B$17&gt;=1,AN271&gt;=1),"",IF(MOD(ROUND(I271/(1-Z271)/(1-Settings!$B$17)/(1-AN271),0),10)=0,ROUND(I271/(1-Z271)/(1-Settings!$B$17)/(1-AN271),0)-1,IF(MOD(ROUND(I271/(1-Z271)/(1-Settings!$B$17)/(1-AN271),0),10)&lt;=5,FLOOR(ROUND(I271/(1-Z271)/(1-Settings!$B$17)/(1-AN271),0),10)+6,FLOOR(ROUND(I271/(1-Z271)/(1-Settings!$B$17)/(1-AN271),0),10)+9))),"")</f>
        <v/>
      </c>
      <c r="S271" s="174">
        <f>R271*0.95</f>
        <v/>
      </c>
      <c r="T271" s="91">
        <f>IF(S271&lt;&gt;"", IF(MOD(S271,10)=0,S271-1,IF(MOD(S271,10)&lt;=5,FLOOR(S271,10)+6,FLOOR(S271,10)+9)), R271)</f>
        <v/>
      </c>
      <c r="U271" s="87" t="inlineStr">
        <is>
          <t>Основний</t>
        </is>
      </c>
      <c r="V271" s="88" t="n"/>
      <c r="W271" s="88" t="n"/>
      <c r="X271" s="89">
        <f>IFERROR(IF(OR(V271="",W271="",T271=""),"", IF(T271&gt;W271,"Дорогий",IF(T271&lt;V271,"Дешевий","У ринку"))),"")</f>
        <v/>
      </c>
      <c r="Y271" s="90" t="n"/>
      <c r="Z271" s="104">
        <f>CHOOSE(MATCH(IF($U271="","Основний",$U271),{"Трафіковий","Основний","Маржинальний","Сезонний","Стратегічний"},0),0.16,0.19,0.24,0.23,0.28)</f>
        <v/>
      </c>
      <c r="AA271" s="104">
        <f>CHOOSE(MATCH(IF($U271="","Основний",$U271),{"Трафіковий","Основний","Маржинальний","Сезонний","Стратегічний"},0),0.18,0.21,0.26,0.25,0.3)</f>
        <v/>
      </c>
      <c r="AB271" s="104">
        <f>CHOOSE(MATCH(IF($U271="","Основний",$U271),{"Трафіковий","Основний","Маржинальний","Сезонний","Стратегічний"},0),0.19,0.22,0.28,0.26,0.32)</f>
        <v/>
      </c>
      <c r="AC271" s="104">
        <f>CHOOSE(MATCH(IF($U271="","Основний",$U271),{"Трафіковий","Основний","Маржинальний","Сезонний","Стратегічний"},0),0.17,0.2,0.25,0.24,0.28)</f>
        <v/>
      </c>
      <c r="AD271" s="104">
        <f>CHOOSE(MATCH(IF($U271="","Основний",$U271),{"Трафіковий","Основний","Маржинальний","Сезонний","Стратегічний"},0),0.18,0.21,0.26,0.25,0.3)</f>
        <v/>
      </c>
      <c r="AE271" s="104">
        <f>CHOOSE(MATCH(IF($U271="","Основний",$U271),{"Трафіковий","Основний","Маржинальний","Сезонний","Стратегічний"},0),0.18,0.2,0.28,0.27,0.32)</f>
        <v/>
      </c>
      <c r="AF271" s="104">
        <f>CHOOSE(MATCH(IF($U271="","Основний",$U271),{"Трафіковий","Основний","Маржинальний","Сезонний","Стратегічний"},0),0.15,0.175,0.22,0.21,0.25)</f>
        <v/>
      </c>
      <c r="AG271" s="104">
        <f>CHOOSE(MATCH(IF($U271="","Основний",$U271),{"Трафіковий","Основний","Маржинальний","Сезонний","Стратегічний"},0),0.13,0.16,0.21,0.2,0.25)</f>
        <v/>
      </c>
      <c r="AH271" s="104">
        <f>CHOOSE(MATCH(IF($U271="","Основний",$U271),{"Трафіковий","Основний","Маржинальний","Сезонний","Стратегічний"},0),0.15,0.18,0.23,0.22,0.27)</f>
        <v/>
      </c>
      <c r="AI271" s="104">
        <f>CHOOSE(MATCH(IF($U271="","Основний",$U271),{"Трафіковий","Основний","Маржинальний","Сезонний","Стратегічний"},0),0.16,0.19,0.25,0.23,0.29)</f>
        <v/>
      </c>
      <c r="AJ271" s="104">
        <f>CHOOSE(MATCH(IF($U271="","Основний",$U271),{"Трафіковий","Основний","Маржинальний","Сезонний","Стратегічний"},0),0.14,0.17,0.22,0.21,0.25)</f>
        <v/>
      </c>
      <c r="AK271" s="104">
        <f>CHOOSE(MATCH(IF($U271="","Основний",$U271),{"Трафіковий","Основний","Маржинальний","Сезонний","Стратегічний"},0),0.15,0.18,0.23,0.22,0.27)</f>
        <v/>
      </c>
      <c r="AL271" s="104">
        <f>CHOOSE(MATCH(IF($U271="","Основний",$U271),{"Трафіковий","Основний","Маржинальний","Сезонний","Стратегічний"},0),0.15,0.17,0.25,0.24,0.29)</f>
        <v/>
      </c>
      <c r="AM271" s="104">
        <f>CHOOSE(MATCH(IF($U271="","Основний",$U271),{"Трафіковий","Основний","Маржинальний","Сезонний","Стратегічний"},0),0.12,0.145,0.19,0.18,0.22)</f>
        <v/>
      </c>
      <c r="AN271" s="157">
        <f>CHOOSE(MATCH(IF($U271="","Основний",$U271),{"Трафіковий","Основний","Маржинальний","Сезонний","Стратегічний"},0),Settings!$B$78,Settings!$B$80,Settings!$B$82,Settings!$B$84,Settings!$B$86)</f>
        <v/>
      </c>
      <c r="AO271" s="157">
        <f>CHOOSE(MATCH(IF($U271="","Основний",$U271),{"Трафіковий","Основний","Маржинальний","Сезонний","Стратегічний"},0),Settings!$C$78,Settings!$C$80,Settings!$C$82,Settings!$C$84,Settings!$C$86)</f>
        <v/>
      </c>
      <c r="AP271" s="157">
        <f>CHOOSE(MATCH(IF($U271="","Основний",$U271),{"Трафіковий","Основний","Маржинальний","Сезонний","Стратегічний"},0),Settings!$D$78,Settings!$D$80,Settings!$D$82,Settings!$D$84,Settings!$D$86)</f>
        <v/>
      </c>
      <c r="AQ271" s="157">
        <f>CHOOSE(MATCH(IF($U271="","Основний",$U271),{"Трафіковий","Основний","Маржинальний","Сезонний","Стратегічний"},0),Settings!$F$78,Settings!$F$80,Settings!$F$82,Settings!$F$84,Settings!$F$86)</f>
        <v/>
      </c>
      <c r="AR271" s="157">
        <f>CHOOSE(MATCH(IF($U271="","Основний",$U271),{"Трафіковий","Основний","Маржинальний","Сезонний","Стратегічний"},0),Settings!$G$78,Settings!$G$80,Settings!$G$82,Settings!$G$84,Settings!$G$86)</f>
        <v/>
      </c>
      <c r="AS271" s="157">
        <f>CHOOSE(MATCH(IF($U271="","Основний",$U271),{"Трафіковий","Основний","Маржинальний","Сезонний","Стратегічний"},0),Settings!$H$78,Settings!$H$80,Settings!$H$82,Settings!$H$84,Settings!$H$86)</f>
        <v/>
      </c>
      <c r="AT271" s="157">
        <f>CHOOSE(MATCH(IF($U271="","Основний",$U271),{"Трафіковий","Основний","Маржинальний","Сезонний","Стратегічний"},0),Settings!$I$78,Settings!$I$80,Settings!$I$82,Settings!$I$84,Settings!$I$86)</f>
        <v/>
      </c>
      <c r="AU271" s="171" t="n"/>
      <c r="AV271" t="n">
        <v>1.35</v>
      </c>
    </row>
    <row r="272">
      <c r="A272" s="28" t="n"/>
      <c r="B272" s="29" t="inlineStr">
        <is>
          <t>PS1721</t>
        </is>
      </c>
      <c r="C272" s="29" t="inlineStr">
        <is>
          <t>EXT.POW.CORD 3+4S 1,5M SW.SCH.</t>
        </is>
      </c>
      <c r="D272" s="29" t="inlineStr">
        <is>
          <t>Пооджувачи та адаптери</t>
        </is>
      </c>
      <c r="E272" s="28" t="inlineStr">
        <is>
          <t>PC</t>
        </is>
      </c>
      <c r="F272" s="93" t="n">
        <v>3.511</v>
      </c>
      <c r="G272" s="30" t="n">
        <v>8544429090</v>
      </c>
      <c r="H272" s="31" t="n">
        <v>1.4</v>
      </c>
      <c r="I272" s="84">
        <f>IFERROR(F272*Settings!$B$2*H272*IF(AND(ISNUMBER(E272),E272&gt;1),E272,1),"")</f>
        <v/>
      </c>
      <c r="J272" s="32">
        <f>Settings!$B$66</f>
        <v/>
      </c>
      <c r="K272" s="95">
        <f>IFERROR(IF(T272="","",(T272*(1-AN272)*(1-Settings!$B$17)-I272)/(T272*(1-AN272)*(1-Settings!$B$17))),"")</f>
        <v/>
      </c>
      <c r="L272" s="101">
        <f>IFERROR(IF(T272="","",(T272*(1-AO272)*(1-Settings!$C$17)-I272)/(T272*(1-AO272)*(1-Settings!$C$17))),"")</f>
        <v/>
      </c>
      <c r="M272" s="101">
        <f>IFERROR(IF(T272="","",(T272*(1-AP272)*(1-Settings!$D$17)-I272)/(T272*(1-AP272)*(1-Settings!$D$17))),"")</f>
        <v/>
      </c>
      <c r="N272" s="101">
        <f>IFERROR(IF(T272="","",(T272*(1-AQ272)*(1-Settings!$F$17)-I272)/(T272*(1-AQ272)*(1-Settings!$F$17))),"")</f>
        <v/>
      </c>
      <c r="O272" s="101">
        <f>IFERROR(IF(T272="","",(T272*(1-AR272)*(1-Settings!$G$17)-I272)/(T272*(1-AR272)*(1-Settings!$G$17))),"")</f>
        <v/>
      </c>
      <c r="P272" s="101">
        <f>IFERROR(IF(T272="","",(T272*(1-AS272)*(1-Settings!$H$17)-I272)/(T272*(1-AS272)*(1-Settings!$H$17))),"")</f>
        <v/>
      </c>
      <c r="Q272" s="101">
        <f>IFERROR(IF(T272="","",(T272*(1-AT272)*(1-Settings!$I$68)*(1-Settings!$I$17)-I272)/(T272*(1-AT272)*(1-Settings!$I$68)*(1-Settings!$I$17))),"")</f>
        <v/>
      </c>
      <c r="R272" s="91">
        <f>IFERROR(IF(OR(I272="",Z272&gt;=1,Settings!$B$17&gt;=1,AN272&gt;=1),"",IF(MOD(ROUND(I272/(1-Z272)/(1-Settings!$B$17)/(1-AN272),0),10)=0,ROUND(I272/(1-Z272)/(1-Settings!$B$17)/(1-AN272),0)-1,IF(MOD(ROUND(I272/(1-Z272)/(1-Settings!$B$17)/(1-AN272),0),10)&lt;=5,FLOOR(ROUND(I272/(1-Z272)/(1-Settings!$B$17)/(1-AN272),0),10)+6,FLOOR(ROUND(I272/(1-Z272)/(1-Settings!$B$17)/(1-AN272),0),10)+9))),"")</f>
        <v/>
      </c>
      <c r="S272" s="174">
        <f>R272*0.95</f>
        <v/>
      </c>
      <c r="T272" s="91">
        <f>IF(S272&lt;&gt;"", IF(MOD(S272,10)=0,S272-1,IF(MOD(S272,10)&lt;=5,FLOOR(S272,10)+6,FLOOR(S272,10)+9)), R272)</f>
        <v/>
      </c>
      <c r="U272" s="87" t="inlineStr">
        <is>
          <t>Основний</t>
        </is>
      </c>
      <c r="V272" s="88" t="n"/>
      <c r="W272" s="88" t="n"/>
      <c r="X272" s="89">
        <f>IFERROR(IF(OR(V272="",W272="",T272=""),"", IF(T272&gt;W272,"Дорогий",IF(T272&lt;V272,"Дешевий","У ринку"))),"")</f>
        <v/>
      </c>
      <c r="Y272" s="90" t="n"/>
      <c r="Z272" s="104">
        <f>CHOOSE(MATCH(IF($U272="","Основний",$U272),{"Трафіковий","Основний","Маржинальний","Сезонний","Стратегічний"},0),0.16,0.19,0.24,0.23,0.28)</f>
        <v/>
      </c>
      <c r="AA272" s="104">
        <f>CHOOSE(MATCH(IF($U272="","Основний",$U272),{"Трафіковий","Основний","Маржинальний","Сезонний","Стратегічний"},0),0.18,0.21,0.26,0.25,0.3)</f>
        <v/>
      </c>
      <c r="AB272" s="104">
        <f>CHOOSE(MATCH(IF($U272="","Основний",$U272),{"Трафіковий","Основний","Маржинальний","Сезонний","Стратегічний"},0),0.19,0.22,0.28,0.26,0.32)</f>
        <v/>
      </c>
      <c r="AC272" s="104">
        <f>CHOOSE(MATCH(IF($U272="","Основний",$U272),{"Трафіковий","Основний","Маржинальний","Сезонний","Стратегічний"},0),0.17,0.2,0.25,0.24,0.28)</f>
        <v/>
      </c>
      <c r="AD272" s="104">
        <f>CHOOSE(MATCH(IF($U272="","Основний",$U272),{"Трафіковий","Основний","Маржинальний","Сезонний","Стратегічний"},0),0.18,0.21,0.26,0.25,0.3)</f>
        <v/>
      </c>
      <c r="AE272" s="104">
        <f>CHOOSE(MATCH(IF($U272="","Основний",$U272),{"Трафіковий","Основний","Маржинальний","Сезонний","Стратегічний"},0),0.18,0.2,0.28,0.27,0.32)</f>
        <v/>
      </c>
      <c r="AF272" s="104">
        <f>CHOOSE(MATCH(IF($U272="","Основний",$U272),{"Трафіковий","Основний","Маржинальний","Сезонний","Стратегічний"},0),0.15,0.175,0.22,0.21,0.25)</f>
        <v/>
      </c>
      <c r="AG272" s="104">
        <f>CHOOSE(MATCH(IF($U272="","Основний",$U272),{"Трафіковий","Основний","Маржинальний","Сезонний","Стратегічний"},0),0.13,0.16,0.21,0.2,0.25)</f>
        <v/>
      </c>
      <c r="AH272" s="104">
        <f>CHOOSE(MATCH(IF($U272="","Основний",$U272),{"Трафіковий","Основний","Маржинальний","Сезонний","Стратегічний"},0),0.15,0.18,0.23,0.22,0.27)</f>
        <v/>
      </c>
      <c r="AI272" s="104">
        <f>CHOOSE(MATCH(IF($U272="","Основний",$U272),{"Трафіковий","Основний","Маржинальний","Сезонний","Стратегічний"},0),0.16,0.19,0.25,0.23,0.29)</f>
        <v/>
      </c>
      <c r="AJ272" s="104">
        <f>CHOOSE(MATCH(IF($U272="","Основний",$U272),{"Трафіковий","Основний","Маржинальний","Сезонний","Стратегічний"},0),0.14,0.17,0.22,0.21,0.25)</f>
        <v/>
      </c>
      <c r="AK272" s="104">
        <f>CHOOSE(MATCH(IF($U272="","Основний",$U272),{"Трафіковий","Основний","Маржинальний","Сезонний","Стратегічний"},0),0.15,0.18,0.23,0.22,0.27)</f>
        <v/>
      </c>
      <c r="AL272" s="104">
        <f>CHOOSE(MATCH(IF($U272="","Основний",$U272),{"Трафіковий","Основний","Маржинальний","Сезонний","Стратегічний"},0),0.15,0.17,0.25,0.24,0.29)</f>
        <v/>
      </c>
      <c r="AM272" s="104">
        <f>CHOOSE(MATCH(IF($U272="","Основний",$U272),{"Трафіковий","Основний","Маржинальний","Сезонний","Стратегічний"},0),0.12,0.145,0.19,0.18,0.22)</f>
        <v/>
      </c>
      <c r="AN272" s="157">
        <f>CHOOSE(MATCH(IF($U272="","Основний",$U272),{"Трафіковий","Основний","Маржинальний","Сезонний","Стратегічний"},0),Settings!$B$78,Settings!$B$80,Settings!$B$82,Settings!$B$84,Settings!$B$86)</f>
        <v/>
      </c>
      <c r="AO272" s="157">
        <f>CHOOSE(MATCH(IF($U272="","Основний",$U272),{"Трафіковий","Основний","Маржинальний","Сезонний","Стратегічний"},0),Settings!$C$78,Settings!$C$80,Settings!$C$82,Settings!$C$84,Settings!$C$86)</f>
        <v/>
      </c>
      <c r="AP272" s="157">
        <f>CHOOSE(MATCH(IF($U272="","Основний",$U272),{"Трафіковий","Основний","Маржинальний","Сезонний","Стратегічний"},0),Settings!$D$78,Settings!$D$80,Settings!$D$82,Settings!$D$84,Settings!$D$86)</f>
        <v/>
      </c>
      <c r="AQ272" s="157">
        <f>CHOOSE(MATCH(IF($U272="","Основний",$U272),{"Трафіковий","Основний","Маржинальний","Сезонний","Стратегічний"},0),Settings!$F$78,Settings!$F$80,Settings!$F$82,Settings!$F$84,Settings!$F$86)</f>
        <v/>
      </c>
      <c r="AR272" s="157">
        <f>CHOOSE(MATCH(IF($U272="","Основний",$U272),{"Трафіковий","Основний","Маржинальний","Сезонний","Стратегічний"},0),Settings!$G$78,Settings!$G$80,Settings!$G$82,Settings!$G$84,Settings!$G$86)</f>
        <v/>
      </c>
      <c r="AS272" s="157">
        <f>CHOOSE(MATCH(IF($U272="","Основний",$U272),{"Трафіковий","Основний","Маржинальний","Сезонний","Стратегічний"},0),Settings!$H$78,Settings!$H$80,Settings!$H$82,Settings!$H$84,Settings!$H$86)</f>
        <v/>
      </c>
      <c r="AT272" s="157">
        <f>CHOOSE(MATCH(IF($U272="","Основний",$U272),{"Трафіковий","Основний","Маржинальний","Сезонний","Стратегічний"},0),Settings!$I$78,Settings!$I$80,Settings!$I$82,Settings!$I$84,Settings!$I$86)</f>
        <v/>
      </c>
      <c r="AU272" s="171" t="n"/>
      <c r="AV272" t="n">
        <v>1.35</v>
      </c>
    </row>
    <row r="273">
      <c r="A273" s="33" t="n"/>
      <c r="B273" s="34" t="inlineStr">
        <is>
          <t>P04219GU</t>
        </is>
      </c>
      <c r="C273" s="34" t="inlineStr">
        <is>
          <t>EXT.POW.CORD SCHUKO 4S 1,9M+2×USB</t>
        </is>
      </c>
      <c r="D273" s="34" t="inlineStr">
        <is>
          <t>Пооджувачи та адаптери</t>
        </is>
      </c>
      <c r="E273" s="33" t="inlineStr">
        <is>
          <t>PC</t>
        </is>
      </c>
      <c r="F273" s="94" t="n">
        <v>12.497</v>
      </c>
      <c r="G273" s="35" t="n">
        <v>8544429090</v>
      </c>
      <c r="H273" s="31" t="n">
        <v>1.4</v>
      </c>
      <c r="I273" s="84">
        <f>IFERROR(F273*Settings!$B$2*H273*IF(AND(ISNUMBER(E273),E273&gt;1),E273,1),"")</f>
        <v/>
      </c>
      <c r="J273" s="32">
        <f>Settings!$B$66</f>
        <v/>
      </c>
      <c r="K273" s="95">
        <f>IFERROR(IF(T273="","",(T273*(1-AN273)*(1-Settings!$B$17)-I273)/(T273*(1-AN273)*(1-Settings!$B$17))),"")</f>
        <v/>
      </c>
      <c r="L273" s="101">
        <f>IFERROR(IF(T273="","",(T273*(1-AO273)*(1-Settings!$C$17)-I273)/(T273*(1-AO273)*(1-Settings!$C$17))),"")</f>
        <v/>
      </c>
      <c r="M273" s="101">
        <f>IFERROR(IF(T273="","",(T273*(1-AP273)*(1-Settings!$D$17)-I273)/(T273*(1-AP273)*(1-Settings!$D$17))),"")</f>
        <v/>
      </c>
      <c r="N273" s="101">
        <f>IFERROR(IF(T273="","",(T273*(1-AQ273)*(1-Settings!$F$17)-I273)/(T273*(1-AQ273)*(1-Settings!$F$17))),"")</f>
        <v/>
      </c>
      <c r="O273" s="101">
        <f>IFERROR(IF(T273="","",(T273*(1-AR273)*(1-Settings!$G$17)-I273)/(T273*(1-AR273)*(1-Settings!$G$17))),"")</f>
        <v/>
      </c>
      <c r="P273" s="101">
        <f>IFERROR(IF(T273="","",(T273*(1-AS273)*(1-Settings!$H$17)-I273)/(T273*(1-AS273)*(1-Settings!$H$17))),"")</f>
        <v/>
      </c>
      <c r="Q273" s="101">
        <f>IFERROR(IF(T273="","",(T273*(1-AT273)*(1-Settings!$I$68)*(1-Settings!$I$17)-I273)/(T273*(1-AT273)*(1-Settings!$I$68)*(1-Settings!$I$17))),"")</f>
        <v/>
      </c>
      <c r="R273" s="91">
        <f>IFERROR(IF(OR(I273="",Z273&gt;=1,Settings!$B$17&gt;=1,AN273&gt;=1),"",IF(MOD(ROUND(I273/(1-Z273)/(1-Settings!$B$17)/(1-AN273),0),10)=0,ROUND(I273/(1-Z273)/(1-Settings!$B$17)/(1-AN273),0)-1,IF(MOD(ROUND(I273/(1-Z273)/(1-Settings!$B$17)/(1-AN273),0),10)&lt;=5,FLOOR(ROUND(I273/(1-Z273)/(1-Settings!$B$17)/(1-AN273),0),10)+6,FLOOR(ROUND(I273/(1-Z273)/(1-Settings!$B$17)/(1-AN273),0),10)+9))),"")</f>
        <v/>
      </c>
      <c r="S273" s="174">
        <f>R273*0.95</f>
        <v/>
      </c>
      <c r="T273" s="91">
        <f>IF(S273&lt;&gt;"", IF(MOD(S273,10)=0,S273-1,IF(MOD(S273,10)&lt;=5,FLOOR(S273,10)+6,FLOOR(S273,10)+9)), R273)</f>
        <v/>
      </c>
      <c r="U273" s="87" t="inlineStr">
        <is>
          <t>Основний</t>
        </is>
      </c>
      <c r="V273" s="88" t="n"/>
      <c r="W273" s="88" t="n"/>
      <c r="X273" s="89">
        <f>IFERROR(IF(OR(V273="",W273="",T273=""),"", IF(T273&gt;W273,"Дорогий",IF(T273&lt;V273,"Дешевий","У ринку"))),"")</f>
        <v/>
      </c>
      <c r="Y273" s="90" t="n"/>
      <c r="Z273" s="104">
        <f>CHOOSE(MATCH(IF($U273="","Основний",$U273),{"Трафіковий","Основний","Маржинальний","Сезонний","Стратегічний"},0),0.16,0.19,0.24,0.23,0.28)</f>
        <v/>
      </c>
      <c r="AA273" s="104">
        <f>CHOOSE(MATCH(IF($U273="","Основний",$U273),{"Трафіковий","Основний","Маржинальний","Сезонний","Стратегічний"},0),0.18,0.21,0.26,0.25,0.3)</f>
        <v/>
      </c>
      <c r="AB273" s="104">
        <f>CHOOSE(MATCH(IF($U273="","Основний",$U273),{"Трафіковий","Основний","Маржинальний","Сезонний","Стратегічний"},0),0.19,0.22,0.28,0.26,0.32)</f>
        <v/>
      </c>
      <c r="AC273" s="104">
        <f>CHOOSE(MATCH(IF($U273="","Основний",$U273),{"Трафіковий","Основний","Маржинальний","Сезонний","Стратегічний"},0),0.17,0.2,0.25,0.24,0.28)</f>
        <v/>
      </c>
      <c r="AD273" s="104">
        <f>CHOOSE(MATCH(IF($U273="","Основний",$U273),{"Трафіковий","Основний","Маржинальний","Сезонний","Стратегічний"},0),0.18,0.21,0.26,0.25,0.3)</f>
        <v/>
      </c>
      <c r="AE273" s="104">
        <f>CHOOSE(MATCH(IF($U273="","Основний",$U273),{"Трафіковий","Основний","Маржинальний","Сезонний","Стратегічний"},0),0.18,0.2,0.28,0.27,0.32)</f>
        <v/>
      </c>
      <c r="AF273" s="104">
        <f>CHOOSE(MATCH(IF($U273="","Основний",$U273),{"Трафіковий","Основний","Маржинальний","Сезонний","Стратегічний"},0),0.15,0.175,0.22,0.21,0.25)</f>
        <v/>
      </c>
      <c r="AG273" s="104">
        <f>CHOOSE(MATCH(IF($U273="","Основний",$U273),{"Трафіковий","Основний","Маржинальний","Сезонний","Стратегічний"},0),0.13,0.16,0.21,0.2,0.25)</f>
        <v/>
      </c>
      <c r="AH273" s="104">
        <f>CHOOSE(MATCH(IF($U273="","Основний",$U273),{"Трафіковий","Основний","Маржинальний","Сезонний","Стратегічний"},0),0.15,0.18,0.23,0.22,0.27)</f>
        <v/>
      </c>
      <c r="AI273" s="104">
        <f>CHOOSE(MATCH(IF($U273="","Основний",$U273),{"Трафіковий","Основний","Маржинальний","Сезонний","Стратегічний"},0),0.16,0.19,0.25,0.23,0.29)</f>
        <v/>
      </c>
      <c r="AJ273" s="104">
        <f>CHOOSE(MATCH(IF($U273="","Основний",$U273),{"Трафіковий","Основний","Маржинальний","Сезонний","Стратегічний"},0),0.14,0.17,0.22,0.21,0.25)</f>
        <v/>
      </c>
      <c r="AK273" s="104">
        <f>CHOOSE(MATCH(IF($U273="","Основний",$U273),{"Трафіковий","Основний","Маржинальний","Сезонний","Стратегічний"},0),0.15,0.18,0.23,0.22,0.27)</f>
        <v/>
      </c>
      <c r="AL273" s="104">
        <f>CHOOSE(MATCH(IF($U273="","Основний",$U273),{"Трафіковий","Основний","Маржинальний","Сезонний","Стратегічний"},0),0.15,0.17,0.25,0.24,0.29)</f>
        <v/>
      </c>
      <c r="AM273" s="104">
        <f>CHOOSE(MATCH(IF($U273="","Основний",$U273),{"Трафіковий","Основний","Маржинальний","Сезонний","Стратегічний"},0),0.12,0.145,0.19,0.18,0.22)</f>
        <v/>
      </c>
      <c r="AN273" s="157">
        <f>CHOOSE(MATCH(IF($U273="","Основний",$U273),{"Трафіковий","Основний","Маржинальний","Сезонний","Стратегічний"},0),Settings!$B$78,Settings!$B$80,Settings!$B$82,Settings!$B$84,Settings!$B$86)</f>
        <v/>
      </c>
      <c r="AO273" s="157">
        <f>CHOOSE(MATCH(IF($U273="","Основний",$U273),{"Трафіковий","Основний","Маржинальний","Сезонний","Стратегічний"},0),Settings!$C$78,Settings!$C$80,Settings!$C$82,Settings!$C$84,Settings!$C$86)</f>
        <v/>
      </c>
      <c r="AP273" s="157">
        <f>CHOOSE(MATCH(IF($U273="","Основний",$U273),{"Трафіковий","Основний","Маржинальний","Сезонний","Стратегічний"},0),Settings!$D$78,Settings!$D$80,Settings!$D$82,Settings!$D$84,Settings!$D$86)</f>
        <v/>
      </c>
      <c r="AQ273" s="157">
        <f>CHOOSE(MATCH(IF($U273="","Основний",$U273),{"Трафіковий","Основний","Маржинальний","Сезонний","Стратегічний"},0),Settings!$F$78,Settings!$F$80,Settings!$F$82,Settings!$F$84,Settings!$F$86)</f>
        <v/>
      </c>
      <c r="AR273" s="157">
        <f>CHOOSE(MATCH(IF($U273="","Основний",$U273),{"Трафіковий","Основний","Маржинальний","Сезонний","Стратегічний"},0),Settings!$G$78,Settings!$G$80,Settings!$G$82,Settings!$G$84,Settings!$G$86)</f>
        <v/>
      </c>
      <c r="AS273" s="157">
        <f>CHOOSE(MATCH(IF($U273="","Основний",$U273),{"Трафіковий","Основний","Маржинальний","Сезонний","Стратегічний"},0),Settings!$H$78,Settings!$H$80,Settings!$H$82,Settings!$H$84,Settings!$H$86)</f>
        <v/>
      </c>
      <c r="AT273" s="157">
        <f>CHOOSE(MATCH(IF($U273="","Основний",$U273),{"Трафіковий","Основний","Маржинальний","Сезонний","Стратегічний"},0),Settings!$I$78,Settings!$I$80,Settings!$I$82,Settings!$I$84,Settings!$I$86)</f>
        <v/>
      </c>
      <c r="AU273" s="171" t="n"/>
      <c r="AV273" t="n">
        <v>1.35</v>
      </c>
    </row>
    <row r="274">
      <c r="A274" s="28" t="inlineStr">
        <is>
          <t>NEW</t>
        </is>
      </c>
      <c r="B274" s="29" t="inlineStr">
        <is>
          <t>P1422SM</t>
        </is>
      </c>
      <c r="C274" s="29" t="inlineStr">
        <is>
          <t>GOSMART  EXT. CORD 4 S. SWITCH +1x USB-A+1x USB-C</t>
        </is>
      </c>
      <c r="D274" s="29" t="inlineStr">
        <is>
          <t>Пооджувачи та адаптери</t>
        </is>
      </c>
      <c r="E274" s="28" t="inlineStr">
        <is>
          <t>PC</t>
        </is>
      </c>
      <c r="F274" s="93" t="n">
        <v>29.747</v>
      </c>
      <c r="G274" s="30" t="n">
        <v>8544429090</v>
      </c>
      <c r="H274" s="31" t="n">
        <v>1.4</v>
      </c>
      <c r="I274" s="84">
        <f>IFERROR(F274*Settings!$B$2*H274*IF(AND(ISNUMBER(E274),E274&gt;1),E274,1),"")</f>
        <v/>
      </c>
      <c r="J274" s="32">
        <f>Settings!$B$66</f>
        <v/>
      </c>
      <c r="K274" s="95">
        <f>IFERROR(IF(T274="","",(T274*(1-AN274)*(1-Settings!$B$17)-I274)/(T274*(1-AN274)*(1-Settings!$B$17))),"")</f>
        <v/>
      </c>
      <c r="L274" s="101">
        <f>IFERROR(IF(T274="","",(T274*(1-AO274)*(1-Settings!$C$17)-I274)/(T274*(1-AO274)*(1-Settings!$C$17))),"")</f>
        <v/>
      </c>
      <c r="M274" s="101">
        <f>IFERROR(IF(T274="","",(T274*(1-AP274)*(1-Settings!$D$17)-I274)/(T274*(1-AP274)*(1-Settings!$D$17))),"")</f>
        <v/>
      </c>
      <c r="N274" s="101">
        <f>IFERROR(IF(T274="","",(T274*(1-AQ274)*(1-Settings!$F$17)-I274)/(T274*(1-AQ274)*(1-Settings!$F$17))),"")</f>
        <v/>
      </c>
      <c r="O274" s="101">
        <f>IFERROR(IF(T274="","",(T274*(1-AR274)*(1-Settings!$G$17)-I274)/(T274*(1-AR274)*(1-Settings!$G$17))),"")</f>
        <v/>
      </c>
      <c r="P274" s="101">
        <f>IFERROR(IF(T274="","",(T274*(1-AS274)*(1-Settings!$H$17)-I274)/(T274*(1-AS274)*(1-Settings!$H$17))),"")</f>
        <v/>
      </c>
      <c r="Q274" s="101">
        <f>IFERROR(IF(T274="","",(T274*(1-AT274)*(1-Settings!$I$68)*(1-Settings!$I$17)-I274)/(T274*(1-AT274)*(1-Settings!$I$68)*(1-Settings!$I$17))),"")</f>
        <v/>
      </c>
      <c r="R274" s="91">
        <f>IFERROR(IF(OR(I274="",Z274&gt;=1,Settings!$B$17&gt;=1,AN274&gt;=1),"",IF(MOD(ROUND(I274/(1-Z274)/(1-Settings!$B$17)/(1-AN274),0),10)=0,ROUND(I274/(1-Z274)/(1-Settings!$B$17)/(1-AN274),0)-1,IF(MOD(ROUND(I274/(1-Z274)/(1-Settings!$B$17)/(1-AN274),0),10)&lt;=5,FLOOR(ROUND(I274/(1-Z274)/(1-Settings!$B$17)/(1-AN274),0),10)+6,FLOOR(ROUND(I274/(1-Z274)/(1-Settings!$B$17)/(1-AN274),0),10)+9))),"")</f>
        <v/>
      </c>
      <c r="S274" s="174">
        <f>R274*0.95</f>
        <v/>
      </c>
      <c r="T274" s="91">
        <f>IF(S274&lt;&gt;"", IF(MOD(S274,10)=0,S274-1,IF(MOD(S274,10)&lt;=5,FLOOR(S274,10)+6,FLOOR(S274,10)+9)), R274)</f>
        <v/>
      </c>
      <c r="U274" s="87" t="inlineStr">
        <is>
          <t>Основний</t>
        </is>
      </c>
      <c r="V274" s="88" t="n"/>
      <c r="W274" s="88" t="n"/>
      <c r="X274" s="89">
        <f>IFERROR(IF(OR(V274="",W274="",T274=""),"", IF(T274&gt;W274,"Дорогий",IF(T274&lt;V274,"Дешевий","У ринку"))),"")</f>
        <v/>
      </c>
      <c r="Y274" s="90" t="n"/>
      <c r="Z274" s="104">
        <f>CHOOSE(MATCH(IF($U274="","Основний",$U274),{"Трафіковий","Основний","Маржинальний","Сезонний","Стратегічний"},0),0.16,0.19,0.24,0.23,0.28)</f>
        <v/>
      </c>
      <c r="AA274" s="104">
        <f>CHOOSE(MATCH(IF($U274="","Основний",$U274),{"Трафіковий","Основний","Маржинальний","Сезонний","Стратегічний"},0),0.18,0.21,0.26,0.25,0.3)</f>
        <v/>
      </c>
      <c r="AB274" s="104">
        <f>CHOOSE(MATCH(IF($U274="","Основний",$U274),{"Трафіковий","Основний","Маржинальний","Сезонний","Стратегічний"},0),0.19,0.22,0.28,0.26,0.32)</f>
        <v/>
      </c>
      <c r="AC274" s="104">
        <f>CHOOSE(MATCH(IF($U274="","Основний",$U274),{"Трафіковий","Основний","Маржинальний","Сезонний","Стратегічний"},0),0.17,0.2,0.25,0.24,0.28)</f>
        <v/>
      </c>
      <c r="AD274" s="104">
        <f>CHOOSE(MATCH(IF($U274="","Основний",$U274),{"Трафіковий","Основний","Маржинальний","Сезонний","Стратегічний"},0),0.18,0.21,0.26,0.25,0.3)</f>
        <v/>
      </c>
      <c r="AE274" s="104">
        <f>CHOOSE(MATCH(IF($U274="","Основний",$U274),{"Трафіковий","Основний","Маржинальний","Сезонний","Стратегічний"},0),0.18,0.2,0.28,0.27,0.32)</f>
        <v/>
      </c>
      <c r="AF274" s="104">
        <f>CHOOSE(MATCH(IF($U274="","Основний",$U274),{"Трафіковий","Основний","Маржинальний","Сезонний","Стратегічний"},0),0.15,0.175,0.22,0.21,0.25)</f>
        <v/>
      </c>
      <c r="AG274" s="104">
        <f>CHOOSE(MATCH(IF($U274="","Основний",$U274),{"Трафіковий","Основний","Маржинальний","Сезонний","Стратегічний"},0),0.13,0.16,0.21,0.2,0.25)</f>
        <v/>
      </c>
      <c r="AH274" s="104">
        <f>CHOOSE(MATCH(IF($U274="","Основний",$U274),{"Трафіковий","Основний","Маржинальний","Сезонний","Стратегічний"},0),0.15,0.18,0.23,0.22,0.27)</f>
        <v/>
      </c>
      <c r="AI274" s="104">
        <f>CHOOSE(MATCH(IF($U274="","Основний",$U274),{"Трафіковий","Основний","Маржинальний","Сезонний","Стратегічний"},0),0.16,0.19,0.25,0.23,0.29)</f>
        <v/>
      </c>
      <c r="AJ274" s="104">
        <f>CHOOSE(MATCH(IF($U274="","Основний",$U274),{"Трафіковий","Основний","Маржинальний","Сезонний","Стратегічний"},0),0.14,0.17,0.22,0.21,0.25)</f>
        <v/>
      </c>
      <c r="AK274" s="104">
        <f>CHOOSE(MATCH(IF($U274="","Основний",$U274),{"Трафіковий","Основний","Маржинальний","Сезонний","Стратегічний"},0),0.15,0.18,0.23,0.22,0.27)</f>
        <v/>
      </c>
      <c r="AL274" s="104">
        <f>CHOOSE(MATCH(IF($U274="","Основний",$U274),{"Трафіковий","Основний","Маржинальний","Сезонний","Стратегічний"},0),0.15,0.17,0.25,0.24,0.29)</f>
        <v/>
      </c>
      <c r="AM274" s="104">
        <f>CHOOSE(MATCH(IF($U274="","Основний",$U274),{"Трафіковий","Основний","Маржинальний","Сезонний","Стратегічний"},0),0.12,0.145,0.19,0.18,0.22)</f>
        <v/>
      </c>
      <c r="AN274" s="157">
        <f>CHOOSE(MATCH(IF($U274="","Основний",$U274),{"Трафіковий","Основний","Маржинальний","Сезонний","Стратегічний"},0),Settings!$B$78,Settings!$B$80,Settings!$B$82,Settings!$B$84,Settings!$B$86)</f>
        <v/>
      </c>
      <c r="AO274" s="157">
        <f>CHOOSE(MATCH(IF($U274="","Основний",$U274),{"Трафіковий","Основний","Маржинальний","Сезонний","Стратегічний"},0),Settings!$C$78,Settings!$C$80,Settings!$C$82,Settings!$C$84,Settings!$C$86)</f>
        <v/>
      </c>
      <c r="AP274" s="157">
        <f>CHOOSE(MATCH(IF($U274="","Основний",$U274),{"Трафіковий","Основний","Маржинальний","Сезонний","Стратегічний"},0),Settings!$D$78,Settings!$D$80,Settings!$D$82,Settings!$D$84,Settings!$D$86)</f>
        <v/>
      </c>
      <c r="AQ274" s="157">
        <f>CHOOSE(MATCH(IF($U274="","Основний",$U274),{"Трафіковий","Основний","Маржинальний","Сезонний","Стратегічний"},0),Settings!$F$78,Settings!$F$80,Settings!$F$82,Settings!$F$84,Settings!$F$86)</f>
        <v/>
      </c>
      <c r="AR274" s="157">
        <f>CHOOSE(MATCH(IF($U274="","Основний",$U274),{"Трафіковий","Основний","Маржинальний","Сезонний","Стратегічний"},0),Settings!$G$78,Settings!$G$80,Settings!$G$82,Settings!$G$84,Settings!$G$86)</f>
        <v/>
      </c>
      <c r="AS274" s="157">
        <f>CHOOSE(MATCH(IF($U274="","Основний",$U274),{"Трафіковий","Основний","Маржинальний","Сезонний","Стратегічний"},0),Settings!$H$78,Settings!$H$80,Settings!$H$82,Settings!$H$84,Settings!$H$86)</f>
        <v/>
      </c>
      <c r="AT274" s="157">
        <f>CHOOSE(MATCH(IF($U274="","Основний",$U274),{"Трафіковий","Основний","Маржинальний","Сезонний","Стратегічний"},0),Settings!$I$78,Settings!$I$80,Settings!$I$82,Settings!$I$84,Settings!$I$86)</f>
        <v/>
      </c>
      <c r="AU274" s="171" t="n"/>
      <c r="AV274" t="n">
        <v>1.35</v>
      </c>
    </row>
    <row r="275">
      <c r="A275" s="33" t="inlineStr">
        <is>
          <t>NEW</t>
        </is>
      </c>
      <c r="B275" s="34" t="inlineStr">
        <is>
          <t>P1523CU</t>
        </is>
      </c>
      <c r="C275" s="34" t="inlineStr">
        <is>
          <t>SCHUKO EXT. CORD 5S 3M SW. 1.5MM+USB A+C</t>
        </is>
      </c>
      <c r="D275" s="34" t="inlineStr">
        <is>
          <t>Пооджувачи та адаптери</t>
        </is>
      </c>
      <c r="E275" s="33" t="inlineStr">
        <is>
          <t>PC</t>
        </is>
      </c>
      <c r="F275" s="94" t="n">
        <v>7.994</v>
      </c>
      <c r="G275" s="35" t="n">
        <v>8544429090</v>
      </c>
      <c r="H275" s="31" t="n">
        <v>1.4</v>
      </c>
      <c r="I275" s="84">
        <f>IFERROR(F275*Settings!$B$2*H275*IF(AND(ISNUMBER(E275),E275&gt;1),E275,1),"")</f>
        <v/>
      </c>
      <c r="J275" s="32">
        <f>Settings!$B$66</f>
        <v/>
      </c>
      <c r="K275" s="95">
        <f>IFERROR(IF(T275="","",(T275*(1-AN275)*(1-Settings!$B$17)-I275)/(T275*(1-AN275)*(1-Settings!$B$17))),"")</f>
        <v/>
      </c>
      <c r="L275" s="101">
        <f>IFERROR(IF(T275="","",(T275*(1-AO275)*(1-Settings!$C$17)-I275)/(T275*(1-AO275)*(1-Settings!$C$17))),"")</f>
        <v/>
      </c>
      <c r="M275" s="101">
        <f>IFERROR(IF(T275="","",(T275*(1-AP275)*(1-Settings!$D$17)-I275)/(T275*(1-AP275)*(1-Settings!$D$17))),"")</f>
        <v/>
      </c>
      <c r="N275" s="101">
        <f>IFERROR(IF(T275="","",(T275*(1-AQ275)*(1-Settings!$F$17)-I275)/(T275*(1-AQ275)*(1-Settings!$F$17))),"")</f>
        <v/>
      </c>
      <c r="O275" s="101">
        <f>IFERROR(IF(T275="","",(T275*(1-AR275)*(1-Settings!$G$17)-I275)/(T275*(1-AR275)*(1-Settings!$G$17))),"")</f>
        <v/>
      </c>
      <c r="P275" s="101">
        <f>IFERROR(IF(T275="","",(T275*(1-AS275)*(1-Settings!$H$17)-I275)/(T275*(1-AS275)*(1-Settings!$H$17))),"")</f>
        <v/>
      </c>
      <c r="Q275" s="101">
        <f>IFERROR(IF(T275="","",(T275*(1-AT275)*(1-Settings!$I$68)*(1-Settings!$I$17)-I275)/(T275*(1-AT275)*(1-Settings!$I$68)*(1-Settings!$I$17))),"")</f>
        <v/>
      </c>
      <c r="R275" s="91">
        <f>IFERROR(IF(OR(I275="",Z275&gt;=1,Settings!$B$17&gt;=1,AN275&gt;=1),"",IF(MOD(ROUND(I275/(1-Z275)/(1-Settings!$B$17)/(1-AN275),0),10)=0,ROUND(I275/(1-Z275)/(1-Settings!$B$17)/(1-AN275),0)-1,IF(MOD(ROUND(I275/(1-Z275)/(1-Settings!$B$17)/(1-AN275),0),10)&lt;=5,FLOOR(ROUND(I275/(1-Z275)/(1-Settings!$B$17)/(1-AN275),0),10)+6,FLOOR(ROUND(I275/(1-Z275)/(1-Settings!$B$17)/(1-AN275),0),10)+9))),"")</f>
        <v/>
      </c>
      <c r="S275" s="174">
        <f>R275*0.95</f>
        <v/>
      </c>
      <c r="T275" s="91">
        <f>IF(S275&lt;&gt;"", IF(MOD(S275,10)=0,S275-1,IF(MOD(S275,10)&lt;=5,FLOOR(S275,10)+6,FLOOR(S275,10)+9)), R275)</f>
        <v/>
      </c>
      <c r="U275" s="87" t="inlineStr">
        <is>
          <t>Основний</t>
        </is>
      </c>
      <c r="V275" s="88" t="n"/>
      <c r="W275" s="88" t="n"/>
      <c r="X275" s="89">
        <f>IFERROR(IF(OR(V275="",W275="",T275=""),"", IF(T275&gt;W275,"Дорогий",IF(T275&lt;V275,"Дешевий","У ринку"))),"")</f>
        <v/>
      </c>
      <c r="Y275" s="90" t="n"/>
      <c r="Z275" s="104">
        <f>CHOOSE(MATCH(IF($U275="","Основний",$U275),{"Трафіковий","Основний","Маржинальний","Сезонний","Стратегічний"},0),0.16,0.19,0.24,0.23,0.28)</f>
        <v/>
      </c>
      <c r="AA275" s="104">
        <f>CHOOSE(MATCH(IF($U275="","Основний",$U275),{"Трафіковий","Основний","Маржинальний","Сезонний","Стратегічний"},0),0.18,0.21,0.26,0.25,0.3)</f>
        <v/>
      </c>
      <c r="AB275" s="104">
        <f>CHOOSE(MATCH(IF($U275="","Основний",$U275),{"Трафіковий","Основний","Маржинальний","Сезонний","Стратегічний"},0),0.19,0.22,0.28,0.26,0.32)</f>
        <v/>
      </c>
      <c r="AC275" s="104">
        <f>CHOOSE(MATCH(IF($U275="","Основний",$U275),{"Трафіковий","Основний","Маржинальний","Сезонний","Стратегічний"},0),0.17,0.2,0.25,0.24,0.28)</f>
        <v/>
      </c>
      <c r="AD275" s="104">
        <f>CHOOSE(MATCH(IF($U275="","Основний",$U275),{"Трафіковий","Основний","Маржинальний","Сезонний","Стратегічний"},0),0.18,0.21,0.26,0.25,0.3)</f>
        <v/>
      </c>
      <c r="AE275" s="104">
        <f>CHOOSE(MATCH(IF($U275="","Основний",$U275),{"Трафіковий","Основний","Маржинальний","Сезонний","Стратегічний"},0),0.18,0.2,0.28,0.27,0.32)</f>
        <v/>
      </c>
      <c r="AF275" s="104">
        <f>CHOOSE(MATCH(IF($U275="","Основний",$U275),{"Трафіковий","Основний","Маржинальний","Сезонний","Стратегічний"},0),0.15,0.175,0.22,0.21,0.25)</f>
        <v/>
      </c>
      <c r="AG275" s="104">
        <f>CHOOSE(MATCH(IF($U275="","Основний",$U275),{"Трафіковий","Основний","Маржинальний","Сезонний","Стратегічний"},0),0.13,0.16,0.21,0.2,0.25)</f>
        <v/>
      </c>
      <c r="AH275" s="104">
        <f>CHOOSE(MATCH(IF($U275="","Основний",$U275),{"Трафіковий","Основний","Маржинальний","Сезонний","Стратегічний"},0),0.15,0.18,0.23,0.22,0.27)</f>
        <v/>
      </c>
      <c r="AI275" s="104">
        <f>CHOOSE(MATCH(IF($U275="","Основний",$U275),{"Трафіковий","Основний","Маржинальний","Сезонний","Стратегічний"},0),0.16,0.19,0.25,0.23,0.29)</f>
        <v/>
      </c>
      <c r="AJ275" s="104">
        <f>CHOOSE(MATCH(IF($U275="","Основний",$U275),{"Трафіковий","Основний","Маржинальний","Сезонний","Стратегічний"},0),0.14,0.17,0.22,0.21,0.25)</f>
        <v/>
      </c>
      <c r="AK275" s="104">
        <f>CHOOSE(MATCH(IF($U275="","Основний",$U275),{"Трафіковий","Основний","Маржинальний","Сезонний","Стратегічний"},0),0.15,0.18,0.23,0.22,0.27)</f>
        <v/>
      </c>
      <c r="AL275" s="104">
        <f>CHOOSE(MATCH(IF($U275="","Основний",$U275),{"Трафіковий","Основний","Маржинальний","Сезонний","Стратегічний"},0),0.15,0.17,0.25,0.24,0.29)</f>
        <v/>
      </c>
      <c r="AM275" s="104">
        <f>CHOOSE(MATCH(IF($U275="","Основний",$U275),{"Трафіковий","Основний","Маржинальний","Сезонний","Стратегічний"},0),0.12,0.145,0.19,0.18,0.22)</f>
        <v/>
      </c>
      <c r="AN275" s="157">
        <f>CHOOSE(MATCH(IF($U275="","Основний",$U275),{"Трафіковий","Основний","Маржинальний","Сезонний","Стратегічний"},0),Settings!$B$78,Settings!$B$80,Settings!$B$82,Settings!$B$84,Settings!$B$86)</f>
        <v/>
      </c>
      <c r="AO275" s="157">
        <f>CHOOSE(MATCH(IF($U275="","Основний",$U275),{"Трафіковий","Основний","Маржинальний","Сезонний","Стратегічний"},0),Settings!$C$78,Settings!$C$80,Settings!$C$82,Settings!$C$84,Settings!$C$86)</f>
        <v/>
      </c>
      <c r="AP275" s="157">
        <f>CHOOSE(MATCH(IF($U275="","Основний",$U275),{"Трафіковий","Основний","Маржинальний","Сезонний","Стратегічний"},0),Settings!$D$78,Settings!$D$80,Settings!$D$82,Settings!$D$84,Settings!$D$86)</f>
        <v/>
      </c>
      <c r="AQ275" s="157">
        <f>CHOOSE(MATCH(IF($U275="","Основний",$U275),{"Трафіковий","Основний","Маржинальний","Сезонний","Стратегічний"},0),Settings!$F$78,Settings!$F$80,Settings!$F$82,Settings!$F$84,Settings!$F$86)</f>
        <v/>
      </c>
      <c r="AR275" s="157">
        <f>CHOOSE(MATCH(IF($U275="","Основний",$U275),{"Трафіковий","Основний","Маржинальний","Сезонний","Стратегічний"},0),Settings!$G$78,Settings!$G$80,Settings!$G$82,Settings!$G$84,Settings!$G$86)</f>
        <v/>
      </c>
      <c r="AS275" s="157">
        <f>CHOOSE(MATCH(IF($U275="","Основний",$U275),{"Трафіковий","Основний","Маржинальний","Сезонний","Стратегічний"},0),Settings!$H$78,Settings!$H$80,Settings!$H$82,Settings!$H$84,Settings!$H$86)</f>
        <v/>
      </c>
      <c r="AT275" s="157">
        <f>CHOOSE(MATCH(IF($U275="","Основний",$U275),{"Трафіковий","Основний","Маржинальний","Сезонний","Стратегічний"},0),Settings!$I$78,Settings!$I$80,Settings!$I$82,Settings!$I$84,Settings!$I$86)</f>
        <v/>
      </c>
      <c r="AU275" s="171" t="n"/>
      <c r="AV275" t="n">
        <v>1.35</v>
      </c>
    </row>
    <row r="276">
      <c r="A276" s="28" t="n"/>
      <c r="B276" s="29" t="inlineStr">
        <is>
          <t>P14231</t>
        </is>
      </c>
      <c r="C276" s="29" t="inlineStr">
        <is>
          <t>EXT. CORD 4S 3M 1,5MM IP44 SCH.</t>
        </is>
      </c>
      <c r="D276" s="29" t="inlineStr">
        <is>
          <t>Пооджувачи та адаптери</t>
        </is>
      </c>
      <c r="E276" s="28" t="inlineStr">
        <is>
          <t>PC</t>
        </is>
      </c>
      <c r="F276" s="93" t="n">
        <v>6.808</v>
      </c>
      <c r="G276" s="30" t="n">
        <v>8544429090</v>
      </c>
      <c r="H276" s="31" t="n">
        <v>1.4</v>
      </c>
      <c r="I276" s="84">
        <f>IFERROR(F276*Settings!$B$2*H276*IF(AND(ISNUMBER(E276),E276&gt;1),E276,1),"")</f>
        <v/>
      </c>
      <c r="J276" s="32">
        <f>Settings!$B$66</f>
        <v/>
      </c>
      <c r="K276" s="95">
        <f>IFERROR(IF(T276="","",(T276*(1-AN276)*(1-Settings!$B$17)-I276)/(T276*(1-AN276)*(1-Settings!$B$17))),"")</f>
        <v/>
      </c>
      <c r="L276" s="101">
        <f>IFERROR(IF(T276="","",(T276*(1-AO276)*(1-Settings!$C$17)-I276)/(T276*(1-AO276)*(1-Settings!$C$17))),"")</f>
        <v/>
      </c>
      <c r="M276" s="101">
        <f>IFERROR(IF(T276="","",(T276*(1-AP276)*(1-Settings!$D$17)-I276)/(T276*(1-AP276)*(1-Settings!$D$17))),"")</f>
        <v/>
      </c>
      <c r="N276" s="101">
        <f>IFERROR(IF(T276="","",(T276*(1-AQ276)*(1-Settings!$F$17)-I276)/(T276*(1-AQ276)*(1-Settings!$F$17))),"")</f>
        <v/>
      </c>
      <c r="O276" s="101">
        <f>IFERROR(IF(T276="","",(T276*(1-AR276)*(1-Settings!$G$17)-I276)/(T276*(1-AR276)*(1-Settings!$G$17))),"")</f>
        <v/>
      </c>
      <c r="P276" s="101">
        <f>IFERROR(IF(T276="","",(T276*(1-AS276)*(1-Settings!$H$17)-I276)/(T276*(1-AS276)*(1-Settings!$H$17))),"")</f>
        <v/>
      </c>
      <c r="Q276" s="101">
        <f>IFERROR(IF(T276="","",(T276*(1-AT276)*(1-Settings!$I$68)*(1-Settings!$I$17)-I276)/(T276*(1-AT276)*(1-Settings!$I$68)*(1-Settings!$I$17))),"")</f>
        <v/>
      </c>
      <c r="R276" s="91">
        <f>IFERROR(IF(OR(I276="",Z276&gt;=1,Settings!$B$17&gt;=1,AN276&gt;=1),"",IF(MOD(ROUND(I276/(1-Z276)/(1-Settings!$B$17)/(1-AN276),0),10)=0,ROUND(I276/(1-Z276)/(1-Settings!$B$17)/(1-AN276),0)-1,IF(MOD(ROUND(I276/(1-Z276)/(1-Settings!$B$17)/(1-AN276),0),10)&lt;=5,FLOOR(ROUND(I276/(1-Z276)/(1-Settings!$B$17)/(1-AN276),0),10)+6,FLOOR(ROUND(I276/(1-Z276)/(1-Settings!$B$17)/(1-AN276),0),10)+9))),"")</f>
        <v/>
      </c>
      <c r="S276" s="174">
        <f>R276*0.95</f>
        <v/>
      </c>
      <c r="T276" s="91">
        <f>IF(S276&lt;&gt;"", IF(MOD(S276,10)=0,S276-1,IF(MOD(S276,10)&lt;=5,FLOOR(S276,10)+6,FLOOR(S276,10)+9)), R276)</f>
        <v/>
      </c>
      <c r="U276" s="87" t="inlineStr">
        <is>
          <t>Основний</t>
        </is>
      </c>
      <c r="V276" s="88" t="n"/>
      <c r="W276" s="88" t="n"/>
      <c r="X276" s="89">
        <f>IFERROR(IF(OR(V276="",W276="",T276=""),"", IF(T276&gt;W276,"Дорогий",IF(T276&lt;V276,"Дешевий","У ринку"))),"")</f>
        <v/>
      </c>
      <c r="Y276" s="90" t="n"/>
      <c r="Z276" s="104">
        <f>CHOOSE(MATCH(IF($U276="","Основний",$U276),{"Трафіковий","Основний","Маржинальний","Сезонний","Стратегічний"},0),0.16,0.19,0.24,0.23,0.28)</f>
        <v/>
      </c>
      <c r="AA276" s="104">
        <f>CHOOSE(MATCH(IF($U276="","Основний",$U276),{"Трафіковий","Основний","Маржинальний","Сезонний","Стратегічний"},0),0.18,0.21,0.26,0.25,0.3)</f>
        <v/>
      </c>
      <c r="AB276" s="104">
        <f>CHOOSE(MATCH(IF($U276="","Основний",$U276),{"Трафіковий","Основний","Маржинальний","Сезонний","Стратегічний"},0),0.19,0.22,0.28,0.26,0.32)</f>
        <v/>
      </c>
      <c r="AC276" s="104">
        <f>CHOOSE(MATCH(IF($U276="","Основний",$U276),{"Трафіковий","Основний","Маржинальний","Сезонний","Стратегічний"},0),0.17,0.2,0.25,0.24,0.28)</f>
        <v/>
      </c>
      <c r="AD276" s="104">
        <f>CHOOSE(MATCH(IF($U276="","Основний",$U276),{"Трафіковий","Основний","Маржинальний","Сезонний","Стратегічний"},0),0.18,0.21,0.26,0.25,0.3)</f>
        <v/>
      </c>
      <c r="AE276" s="104">
        <f>CHOOSE(MATCH(IF($U276="","Основний",$U276),{"Трафіковий","Основний","Маржинальний","Сезонний","Стратегічний"},0),0.18,0.2,0.28,0.27,0.32)</f>
        <v/>
      </c>
      <c r="AF276" s="104">
        <f>CHOOSE(MATCH(IF($U276="","Основний",$U276),{"Трафіковий","Основний","Маржинальний","Сезонний","Стратегічний"},0),0.15,0.175,0.22,0.21,0.25)</f>
        <v/>
      </c>
      <c r="AG276" s="104">
        <f>CHOOSE(MATCH(IF($U276="","Основний",$U276),{"Трафіковий","Основний","Маржинальний","Сезонний","Стратегічний"},0),0.13,0.16,0.21,0.2,0.25)</f>
        <v/>
      </c>
      <c r="AH276" s="104">
        <f>CHOOSE(MATCH(IF($U276="","Основний",$U276),{"Трафіковий","Основний","Маржинальний","Сезонний","Стратегічний"},0),0.15,0.18,0.23,0.22,0.27)</f>
        <v/>
      </c>
      <c r="AI276" s="104">
        <f>CHOOSE(MATCH(IF($U276="","Основний",$U276),{"Трафіковий","Основний","Маржинальний","Сезонний","Стратегічний"},0),0.16,0.19,0.25,0.23,0.29)</f>
        <v/>
      </c>
      <c r="AJ276" s="104">
        <f>CHOOSE(MATCH(IF($U276="","Основний",$U276),{"Трафіковий","Основний","Маржинальний","Сезонний","Стратегічний"},0),0.14,0.17,0.22,0.21,0.25)</f>
        <v/>
      </c>
      <c r="AK276" s="104">
        <f>CHOOSE(MATCH(IF($U276="","Основний",$U276),{"Трафіковий","Основний","Маржинальний","Сезонний","Стратегічний"},0),0.15,0.18,0.23,0.22,0.27)</f>
        <v/>
      </c>
      <c r="AL276" s="104">
        <f>CHOOSE(MATCH(IF($U276="","Основний",$U276),{"Трафіковий","Основний","Маржинальний","Сезонний","Стратегічний"},0),0.15,0.17,0.25,0.24,0.29)</f>
        <v/>
      </c>
      <c r="AM276" s="104">
        <f>CHOOSE(MATCH(IF($U276="","Основний",$U276),{"Трафіковий","Основний","Маржинальний","Сезонний","Стратегічний"},0),0.12,0.145,0.19,0.18,0.22)</f>
        <v/>
      </c>
      <c r="AN276" s="157">
        <f>CHOOSE(MATCH(IF($U276="","Основний",$U276),{"Трафіковий","Основний","Маржинальний","Сезонний","Стратегічний"},0),Settings!$B$78,Settings!$B$80,Settings!$B$82,Settings!$B$84,Settings!$B$86)</f>
        <v/>
      </c>
      <c r="AO276" s="157">
        <f>CHOOSE(MATCH(IF($U276="","Основний",$U276),{"Трафіковий","Основний","Маржинальний","Сезонний","Стратегічний"},0),Settings!$C$78,Settings!$C$80,Settings!$C$82,Settings!$C$84,Settings!$C$86)</f>
        <v/>
      </c>
      <c r="AP276" s="157">
        <f>CHOOSE(MATCH(IF($U276="","Основний",$U276),{"Трафіковий","Основний","Маржинальний","Сезонний","Стратегічний"},0),Settings!$D$78,Settings!$D$80,Settings!$D$82,Settings!$D$84,Settings!$D$86)</f>
        <v/>
      </c>
      <c r="AQ276" s="157">
        <f>CHOOSE(MATCH(IF($U276="","Основний",$U276),{"Трафіковий","Основний","Маржинальний","Сезонний","Стратегічний"},0),Settings!$F$78,Settings!$F$80,Settings!$F$82,Settings!$F$84,Settings!$F$86)</f>
        <v/>
      </c>
      <c r="AR276" s="157">
        <f>CHOOSE(MATCH(IF($U276="","Основний",$U276),{"Трафіковий","Основний","Маржинальний","Сезонний","Стратегічний"},0),Settings!$G$78,Settings!$G$80,Settings!$G$82,Settings!$G$84,Settings!$G$86)</f>
        <v/>
      </c>
      <c r="AS276" s="157">
        <f>CHOOSE(MATCH(IF($U276="","Основний",$U276),{"Трафіковий","Основний","Маржинальний","Сезонний","Стратегічний"},0),Settings!$H$78,Settings!$H$80,Settings!$H$82,Settings!$H$84,Settings!$H$86)</f>
        <v/>
      </c>
      <c r="AT276" s="157">
        <f>CHOOSE(MATCH(IF($U276="","Основний",$U276),{"Трафіковий","Основний","Маржинальний","Сезонний","Стратегічний"},0),Settings!$I$78,Settings!$I$80,Settings!$I$82,Settings!$I$84,Settings!$I$86)</f>
        <v/>
      </c>
      <c r="AU276" s="171" t="n"/>
      <c r="AV276" t="n">
        <v>1.35</v>
      </c>
    </row>
    <row r="277">
      <c r="A277" s="33" t="n"/>
      <c r="B277" s="34" t="inlineStr">
        <is>
          <t>P14251</t>
        </is>
      </c>
      <c r="C277" s="34" t="inlineStr">
        <is>
          <t>EXT. CORD 4S 5M 1,5MM IP44 SCH.</t>
        </is>
      </c>
      <c r="D277" s="34" t="inlineStr">
        <is>
          <t>Пооджувачи та адаптери</t>
        </is>
      </c>
      <c r="E277" s="33" t="inlineStr">
        <is>
          <t>PC</t>
        </is>
      </c>
      <c r="F277" s="94" t="n">
        <v>9.968</v>
      </c>
      <c r="G277" s="35" t="n">
        <v>8544429090</v>
      </c>
      <c r="H277" s="31" t="n">
        <v>1.4</v>
      </c>
      <c r="I277" s="84">
        <f>IFERROR(F277*Settings!$B$2*H277*IF(AND(ISNUMBER(E277),E277&gt;1),E277,1),"")</f>
        <v/>
      </c>
      <c r="J277" s="32">
        <f>Settings!$B$66</f>
        <v/>
      </c>
      <c r="K277" s="95">
        <f>IFERROR(IF(T277="","",(T277*(1-AN277)*(1-Settings!$B$17)-I277)/(T277*(1-AN277)*(1-Settings!$B$17))),"")</f>
        <v/>
      </c>
      <c r="L277" s="101">
        <f>IFERROR(IF(T277="","",(T277*(1-AO277)*(1-Settings!$C$17)-I277)/(T277*(1-AO277)*(1-Settings!$C$17))),"")</f>
        <v/>
      </c>
      <c r="M277" s="101">
        <f>IFERROR(IF(T277="","",(T277*(1-AP277)*(1-Settings!$D$17)-I277)/(T277*(1-AP277)*(1-Settings!$D$17))),"")</f>
        <v/>
      </c>
      <c r="N277" s="101">
        <f>IFERROR(IF(T277="","",(T277*(1-AQ277)*(1-Settings!$F$17)-I277)/(T277*(1-AQ277)*(1-Settings!$F$17))),"")</f>
        <v/>
      </c>
      <c r="O277" s="101">
        <f>IFERROR(IF(T277="","",(T277*(1-AR277)*(1-Settings!$G$17)-I277)/(T277*(1-AR277)*(1-Settings!$G$17))),"")</f>
        <v/>
      </c>
      <c r="P277" s="101">
        <f>IFERROR(IF(T277="","",(T277*(1-AS277)*(1-Settings!$H$17)-I277)/(T277*(1-AS277)*(1-Settings!$H$17))),"")</f>
        <v/>
      </c>
      <c r="Q277" s="101">
        <f>IFERROR(IF(T277="","",(T277*(1-AT277)*(1-Settings!$I$68)*(1-Settings!$I$17)-I277)/(T277*(1-AT277)*(1-Settings!$I$68)*(1-Settings!$I$17))),"")</f>
        <v/>
      </c>
      <c r="R277" s="91">
        <f>IFERROR(IF(OR(I277="",Z277&gt;=1,Settings!$B$17&gt;=1,AN277&gt;=1),"",IF(MOD(ROUND(I277/(1-Z277)/(1-Settings!$B$17)/(1-AN277),0),10)=0,ROUND(I277/(1-Z277)/(1-Settings!$B$17)/(1-AN277),0)-1,IF(MOD(ROUND(I277/(1-Z277)/(1-Settings!$B$17)/(1-AN277),0),10)&lt;=5,FLOOR(ROUND(I277/(1-Z277)/(1-Settings!$B$17)/(1-AN277),0),10)+6,FLOOR(ROUND(I277/(1-Z277)/(1-Settings!$B$17)/(1-AN277),0),10)+9))),"")</f>
        <v/>
      </c>
      <c r="S277" s="174">
        <f>R277*0.95</f>
        <v/>
      </c>
      <c r="T277" s="91">
        <f>IF(S277&lt;&gt;"", IF(MOD(S277,10)=0,S277-1,IF(MOD(S277,10)&lt;=5,FLOOR(S277,10)+6,FLOOR(S277,10)+9)), R277)</f>
        <v/>
      </c>
      <c r="U277" s="87" t="inlineStr">
        <is>
          <t>Основний</t>
        </is>
      </c>
      <c r="V277" s="88" t="n"/>
      <c r="W277" s="88" t="n"/>
      <c r="X277" s="89">
        <f>IFERROR(IF(OR(V277="",W277="",T277=""),"", IF(T277&gt;W277,"Дорогий",IF(T277&lt;V277,"Дешевий","У ринку"))),"")</f>
        <v/>
      </c>
      <c r="Y277" s="90" t="n"/>
      <c r="Z277" s="104">
        <f>CHOOSE(MATCH(IF($U277="","Основний",$U277),{"Трафіковий","Основний","Маржинальний","Сезонний","Стратегічний"},0),0.16,0.19,0.24,0.23,0.28)</f>
        <v/>
      </c>
      <c r="AA277" s="104">
        <f>CHOOSE(MATCH(IF($U277="","Основний",$U277),{"Трафіковий","Основний","Маржинальний","Сезонний","Стратегічний"},0),0.18,0.21,0.26,0.25,0.3)</f>
        <v/>
      </c>
      <c r="AB277" s="104">
        <f>CHOOSE(MATCH(IF($U277="","Основний",$U277),{"Трафіковий","Основний","Маржинальний","Сезонний","Стратегічний"},0),0.19,0.22,0.28,0.26,0.32)</f>
        <v/>
      </c>
      <c r="AC277" s="104">
        <f>CHOOSE(MATCH(IF($U277="","Основний",$U277),{"Трафіковий","Основний","Маржинальний","Сезонний","Стратегічний"},0),0.17,0.2,0.25,0.24,0.28)</f>
        <v/>
      </c>
      <c r="AD277" s="104">
        <f>CHOOSE(MATCH(IF($U277="","Основний",$U277),{"Трафіковий","Основний","Маржинальний","Сезонний","Стратегічний"},0),0.18,0.21,0.26,0.25,0.3)</f>
        <v/>
      </c>
      <c r="AE277" s="104">
        <f>CHOOSE(MATCH(IF($U277="","Основний",$U277),{"Трафіковий","Основний","Маржинальний","Сезонний","Стратегічний"},0),0.18,0.2,0.28,0.27,0.32)</f>
        <v/>
      </c>
      <c r="AF277" s="104">
        <f>CHOOSE(MATCH(IF($U277="","Основний",$U277),{"Трафіковий","Основний","Маржинальний","Сезонний","Стратегічний"},0),0.15,0.175,0.22,0.21,0.25)</f>
        <v/>
      </c>
      <c r="AG277" s="104">
        <f>CHOOSE(MATCH(IF($U277="","Основний",$U277),{"Трафіковий","Основний","Маржинальний","Сезонний","Стратегічний"},0),0.13,0.16,0.21,0.2,0.25)</f>
        <v/>
      </c>
      <c r="AH277" s="104">
        <f>CHOOSE(MATCH(IF($U277="","Основний",$U277),{"Трафіковий","Основний","Маржинальний","Сезонний","Стратегічний"},0),0.15,0.18,0.23,0.22,0.27)</f>
        <v/>
      </c>
      <c r="AI277" s="104">
        <f>CHOOSE(MATCH(IF($U277="","Основний",$U277),{"Трафіковий","Основний","Маржинальний","Сезонний","Стратегічний"},0),0.16,0.19,0.25,0.23,0.29)</f>
        <v/>
      </c>
      <c r="AJ277" s="104">
        <f>CHOOSE(MATCH(IF($U277="","Основний",$U277),{"Трафіковий","Основний","Маржинальний","Сезонний","Стратегічний"},0),0.14,0.17,0.22,0.21,0.25)</f>
        <v/>
      </c>
      <c r="AK277" s="104">
        <f>CHOOSE(MATCH(IF($U277="","Основний",$U277),{"Трафіковий","Основний","Маржинальний","Сезонний","Стратегічний"},0),0.15,0.18,0.23,0.22,0.27)</f>
        <v/>
      </c>
      <c r="AL277" s="104">
        <f>CHOOSE(MATCH(IF($U277="","Основний",$U277),{"Трафіковий","Основний","Маржинальний","Сезонний","Стратегічний"},0),0.15,0.17,0.25,0.24,0.29)</f>
        <v/>
      </c>
      <c r="AM277" s="104">
        <f>CHOOSE(MATCH(IF($U277="","Основний",$U277),{"Трафіковий","Основний","Маржинальний","Сезонний","Стратегічний"},0),0.12,0.145,0.19,0.18,0.22)</f>
        <v/>
      </c>
      <c r="AN277" s="157">
        <f>CHOOSE(MATCH(IF($U277="","Основний",$U277),{"Трафіковий","Основний","Маржинальний","Сезонний","Стратегічний"},0),Settings!$B$78,Settings!$B$80,Settings!$B$82,Settings!$B$84,Settings!$B$86)</f>
        <v/>
      </c>
      <c r="AO277" s="157">
        <f>CHOOSE(MATCH(IF($U277="","Основний",$U277),{"Трафіковий","Основний","Маржинальний","Сезонний","Стратегічний"},0),Settings!$C$78,Settings!$C$80,Settings!$C$82,Settings!$C$84,Settings!$C$86)</f>
        <v/>
      </c>
      <c r="AP277" s="157">
        <f>CHOOSE(MATCH(IF($U277="","Основний",$U277),{"Трафіковий","Основний","Маржинальний","Сезонний","Стратегічний"},0),Settings!$D$78,Settings!$D$80,Settings!$D$82,Settings!$D$84,Settings!$D$86)</f>
        <v/>
      </c>
      <c r="AQ277" s="157">
        <f>CHOOSE(MATCH(IF($U277="","Основний",$U277),{"Трафіковий","Основний","Маржинальний","Сезонний","Стратегічний"},0),Settings!$F$78,Settings!$F$80,Settings!$F$82,Settings!$F$84,Settings!$F$86)</f>
        <v/>
      </c>
      <c r="AR277" s="157">
        <f>CHOOSE(MATCH(IF($U277="","Основний",$U277),{"Трафіковий","Основний","Маржинальний","Сезонний","Стратегічний"},0),Settings!$G$78,Settings!$G$80,Settings!$G$82,Settings!$G$84,Settings!$G$86)</f>
        <v/>
      </c>
      <c r="AS277" s="157">
        <f>CHOOSE(MATCH(IF($U277="","Основний",$U277),{"Трафіковий","Основний","Маржинальний","Сезонний","Стратегічний"},0),Settings!$H$78,Settings!$H$80,Settings!$H$82,Settings!$H$84,Settings!$H$86)</f>
        <v/>
      </c>
      <c r="AT277" s="157">
        <f>CHOOSE(MATCH(IF($U277="","Основний",$U277),{"Трафіковий","Основний","Маржинальний","Сезонний","Стратегічний"},0),Settings!$I$78,Settings!$I$80,Settings!$I$82,Settings!$I$84,Settings!$I$86)</f>
        <v/>
      </c>
      <c r="AU277" s="171" t="n"/>
      <c r="AV277" t="n">
        <v>1.35</v>
      </c>
    </row>
    <row r="278">
      <c r="A278" s="28" t="n"/>
      <c r="B278" s="29" t="inlineStr">
        <is>
          <t>P14201</t>
        </is>
      </c>
      <c r="C278" s="29" t="inlineStr">
        <is>
          <t>EXT. CORD 4S 10M 1,5MM IP44 SCH.</t>
        </is>
      </c>
      <c r="D278" s="29" t="inlineStr">
        <is>
          <t>Пооджувачи та адаптери</t>
        </is>
      </c>
      <c r="E278" s="28" t="inlineStr">
        <is>
          <t>PC</t>
        </is>
      </c>
      <c r="F278" s="93" t="n">
        <v>14.136</v>
      </c>
      <c r="G278" s="30" t="n">
        <v>8544429090</v>
      </c>
      <c r="H278" s="31" t="n">
        <v>1.4</v>
      </c>
      <c r="I278" s="84">
        <f>IFERROR(F278*Settings!$B$2*H278*IF(AND(ISNUMBER(E278),E278&gt;1),E278,1),"")</f>
        <v/>
      </c>
      <c r="J278" s="32">
        <f>Settings!$B$66</f>
        <v/>
      </c>
      <c r="K278" s="95">
        <f>IFERROR(IF(T278="","",(T278*(1-AN278)*(1-Settings!$B$17)-I278)/(T278*(1-AN278)*(1-Settings!$B$17))),"")</f>
        <v/>
      </c>
      <c r="L278" s="101">
        <f>IFERROR(IF(T278="","",(T278*(1-AO278)*(1-Settings!$C$17)-I278)/(T278*(1-AO278)*(1-Settings!$C$17))),"")</f>
        <v/>
      </c>
      <c r="M278" s="101">
        <f>IFERROR(IF(T278="","",(T278*(1-AP278)*(1-Settings!$D$17)-I278)/(T278*(1-AP278)*(1-Settings!$D$17))),"")</f>
        <v/>
      </c>
      <c r="N278" s="101">
        <f>IFERROR(IF(T278="","",(T278*(1-AQ278)*(1-Settings!$F$17)-I278)/(T278*(1-AQ278)*(1-Settings!$F$17))),"")</f>
        <v/>
      </c>
      <c r="O278" s="101">
        <f>IFERROR(IF(T278="","",(T278*(1-AR278)*(1-Settings!$G$17)-I278)/(T278*(1-AR278)*(1-Settings!$G$17))),"")</f>
        <v/>
      </c>
      <c r="P278" s="101">
        <f>IFERROR(IF(T278="","",(T278*(1-AS278)*(1-Settings!$H$17)-I278)/(T278*(1-AS278)*(1-Settings!$H$17))),"")</f>
        <v/>
      </c>
      <c r="Q278" s="101">
        <f>IFERROR(IF(T278="","",(T278*(1-AT278)*(1-Settings!$I$68)*(1-Settings!$I$17)-I278)/(T278*(1-AT278)*(1-Settings!$I$68)*(1-Settings!$I$17))),"")</f>
        <v/>
      </c>
      <c r="R278" s="91">
        <f>IFERROR(IF(OR(I278="",Z278&gt;=1,Settings!$B$17&gt;=1,AN278&gt;=1),"",IF(MOD(ROUND(I278/(1-Z278)/(1-Settings!$B$17)/(1-AN278),0),10)=0,ROUND(I278/(1-Z278)/(1-Settings!$B$17)/(1-AN278),0)-1,IF(MOD(ROUND(I278/(1-Z278)/(1-Settings!$B$17)/(1-AN278),0),10)&lt;=5,FLOOR(ROUND(I278/(1-Z278)/(1-Settings!$B$17)/(1-AN278),0),10)+6,FLOOR(ROUND(I278/(1-Z278)/(1-Settings!$B$17)/(1-AN278),0),10)+9))),"")</f>
        <v/>
      </c>
      <c r="S278" s="174">
        <f>R278*0.95</f>
        <v/>
      </c>
      <c r="T278" s="91">
        <f>IF(S278&lt;&gt;"", IF(MOD(S278,10)=0,S278-1,IF(MOD(S278,10)&lt;=5,FLOOR(S278,10)+6,FLOOR(S278,10)+9)), R278)</f>
        <v/>
      </c>
      <c r="U278" s="87" t="inlineStr">
        <is>
          <t>Основний</t>
        </is>
      </c>
      <c r="V278" s="88" t="n"/>
      <c r="W278" s="88" t="n"/>
      <c r="X278" s="89">
        <f>IFERROR(IF(OR(V278="",W278="",T278=""),"", IF(T278&gt;W278,"Дорогий",IF(T278&lt;V278,"Дешевий","У ринку"))),"")</f>
        <v/>
      </c>
      <c r="Y278" s="90" t="n"/>
      <c r="Z278" s="104">
        <f>CHOOSE(MATCH(IF($U278="","Основний",$U278),{"Трафіковий","Основний","Маржинальний","Сезонний","Стратегічний"},0),0.16,0.19,0.24,0.23,0.28)</f>
        <v/>
      </c>
      <c r="AA278" s="104">
        <f>CHOOSE(MATCH(IF($U278="","Основний",$U278),{"Трафіковий","Основний","Маржинальний","Сезонний","Стратегічний"},0),0.18,0.21,0.26,0.25,0.3)</f>
        <v/>
      </c>
      <c r="AB278" s="104">
        <f>CHOOSE(MATCH(IF($U278="","Основний",$U278),{"Трафіковий","Основний","Маржинальний","Сезонний","Стратегічний"},0),0.19,0.22,0.28,0.26,0.32)</f>
        <v/>
      </c>
      <c r="AC278" s="104">
        <f>CHOOSE(MATCH(IF($U278="","Основний",$U278),{"Трафіковий","Основний","Маржинальний","Сезонний","Стратегічний"},0),0.17,0.2,0.25,0.24,0.28)</f>
        <v/>
      </c>
      <c r="AD278" s="104">
        <f>CHOOSE(MATCH(IF($U278="","Основний",$U278),{"Трафіковий","Основний","Маржинальний","Сезонний","Стратегічний"},0),0.18,0.21,0.26,0.25,0.3)</f>
        <v/>
      </c>
      <c r="AE278" s="104">
        <f>CHOOSE(MATCH(IF($U278="","Основний",$U278),{"Трафіковий","Основний","Маржинальний","Сезонний","Стратегічний"},0),0.18,0.2,0.28,0.27,0.32)</f>
        <v/>
      </c>
      <c r="AF278" s="104">
        <f>CHOOSE(MATCH(IF($U278="","Основний",$U278),{"Трафіковий","Основний","Маржинальний","Сезонний","Стратегічний"},0),0.15,0.175,0.22,0.21,0.25)</f>
        <v/>
      </c>
      <c r="AG278" s="104">
        <f>CHOOSE(MATCH(IF($U278="","Основний",$U278),{"Трафіковий","Основний","Маржинальний","Сезонний","Стратегічний"},0),0.13,0.16,0.21,0.2,0.25)</f>
        <v/>
      </c>
      <c r="AH278" s="104">
        <f>CHOOSE(MATCH(IF($U278="","Основний",$U278),{"Трафіковий","Основний","Маржинальний","Сезонний","Стратегічний"},0),0.15,0.18,0.23,0.22,0.27)</f>
        <v/>
      </c>
      <c r="AI278" s="104">
        <f>CHOOSE(MATCH(IF($U278="","Основний",$U278),{"Трафіковий","Основний","Маржинальний","Сезонний","Стратегічний"},0),0.16,0.19,0.25,0.23,0.29)</f>
        <v/>
      </c>
      <c r="AJ278" s="104">
        <f>CHOOSE(MATCH(IF($U278="","Основний",$U278),{"Трафіковий","Основний","Маржинальний","Сезонний","Стратегічний"},0),0.14,0.17,0.22,0.21,0.25)</f>
        <v/>
      </c>
      <c r="AK278" s="104">
        <f>CHOOSE(MATCH(IF($U278="","Основний",$U278),{"Трафіковий","Основний","Маржинальний","Сезонний","Стратегічний"},0),0.15,0.18,0.23,0.22,0.27)</f>
        <v/>
      </c>
      <c r="AL278" s="104">
        <f>CHOOSE(MATCH(IF($U278="","Основний",$U278),{"Трафіковий","Основний","Маржинальний","Сезонний","Стратегічний"},0),0.15,0.17,0.25,0.24,0.29)</f>
        <v/>
      </c>
      <c r="AM278" s="104">
        <f>CHOOSE(MATCH(IF($U278="","Основний",$U278),{"Трафіковий","Основний","Маржинальний","Сезонний","Стратегічний"},0),0.12,0.145,0.19,0.18,0.22)</f>
        <v/>
      </c>
      <c r="AN278" s="157">
        <f>CHOOSE(MATCH(IF($U278="","Основний",$U278),{"Трафіковий","Основний","Маржинальний","Сезонний","Стратегічний"},0),Settings!$B$78,Settings!$B$80,Settings!$B$82,Settings!$B$84,Settings!$B$86)</f>
        <v/>
      </c>
      <c r="AO278" s="157">
        <f>CHOOSE(MATCH(IF($U278="","Основний",$U278),{"Трафіковий","Основний","Маржинальний","Сезонний","Стратегічний"},0),Settings!$C$78,Settings!$C$80,Settings!$C$82,Settings!$C$84,Settings!$C$86)</f>
        <v/>
      </c>
      <c r="AP278" s="157">
        <f>CHOOSE(MATCH(IF($U278="","Основний",$U278),{"Трафіковий","Основний","Маржинальний","Сезонний","Стратегічний"},0),Settings!$D$78,Settings!$D$80,Settings!$D$82,Settings!$D$84,Settings!$D$86)</f>
        <v/>
      </c>
      <c r="AQ278" s="157">
        <f>CHOOSE(MATCH(IF($U278="","Основний",$U278),{"Трафіковий","Основний","Маржинальний","Сезонний","Стратегічний"},0),Settings!$F$78,Settings!$F$80,Settings!$F$82,Settings!$F$84,Settings!$F$86)</f>
        <v/>
      </c>
      <c r="AR278" s="157">
        <f>CHOOSE(MATCH(IF($U278="","Основний",$U278),{"Трафіковий","Основний","Маржинальний","Сезонний","Стратегічний"},0),Settings!$G$78,Settings!$G$80,Settings!$G$82,Settings!$G$84,Settings!$G$86)</f>
        <v/>
      </c>
      <c r="AS278" s="157">
        <f>CHOOSE(MATCH(IF($U278="","Основний",$U278),{"Трафіковий","Основний","Маржинальний","Сезонний","Стратегічний"},0),Settings!$H$78,Settings!$H$80,Settings!$H$82,Settings!$H$84,Settings!$H$86)</f>
        <v/>
      </c>
      <c r="AT278" s="157">
        <f>CHOOSE(MATCH(IF($U278="","Основний",$U278),{"Трафіковий","Основний","Маржинальний","Сезонний","Стратегічний"},0),Settings!$I$78,Settings!$I$80,Settings!$I$82,Settings!$I$84,Settings!$I$86)</f>
        <v/>
      </c>
      <c r="AU278" s="171" t="n"/>
      <c r="AV278" t="n">
        <v>1.35</v>
      </c>
    </row>
    <row r="279">
      <c r="A279" s="33" t="n"/>
      <c r="B279" s="34" t="inlineStr">
        <is>
          <t>P0321R</t>
        </is>
      </c>
      <c r="C279" s="34" t="inlineStr">
        <is>
          <t>EX.CORD 3S 1,5M 1,5MM SCHUKO</t>
        </is>
      </c>
      <c r="D279" s="34" t="inlineStr">
        <is>
          <t>Пооджувачи та адаптери</t>
        </is>
      </c>
      <c r="E279" s="33" t="inlineStr">
        <is>
          <t>PC</t>
        </is>
      </c>
      <c r="F279" s="94" t="n">
        <v>2.075</v>
      </c>
      <c r="G279" s="35" t="n">
        <v>8544429090</v>
      </c>
      <c r="H279" s="31" t="n">
        <v>1.4</v>
      </c>
      <c r="I279" s="84">
        <f>IFERROR(F279*Settings!$B$2*H279*IF(AND(ISNUMBER(E279),E279&gt;1),E279,1),"")</f>
        <v/>
      </c>
      <c r="J279" s="32">
        <f>Settings!$B$66</f>
        <v/>
      </c>
      <c r="K279" s="95">
        <f>IFERROR(IF(T279="","",(T279*(1-AN279)*(1-Settings!$B$17)-I279)/(T279*(1-AN279)*(1-Settings!$B$17))),"")</f>
        <v/>
      </c>
      <c r="L279" s="101">
        <f>IFERROR(IF(T279="","",(T279*(1-AO279)*(1-Settings!$C$17)-I279)/(T279*(1-AO279)*(1-Settings!$C$17))),"")</f>
        <v/>
      </c>
      <c r="M279" s="101">
        <f>IFERROR(IF(T279="","",(T279*(1-AP279)*(1-Settings!$D$17)-I279)/(T279*(1-AP279)*(1-Settings!$D$17))),"")</f>
        <v/>
      </c>
      <c r="N279" s="101">
        <f>IFERROR(IF(T279="","",(T279*(1-AQ279)*(1-Settings!$F$17)-I279)/(T279*(1-AQ279)*(1-Settings!$F$17))),"")</f>
        <v/>
      </c>
      <c r="O279" s="101">
        <f>IFERROR(IF(T279="","",(T279*(1-AR279)*(1-Settings!$G$17)-I279)/(T279*(1-AR279)*(1-Settings!$G$17))),"")</f>
        <v/>
      </c>
      <c r="P279" s="101">
        <f>IFERROR(IF(T279="","",(T279*(1-AS279)*(1-Settings!$H$17)-I279)/(T279*(1-AS279)*(1-Settings!$H$17))),"")</f>
        <v/>
      </c>
      <c r="Q279" s="101">
        <f>IFERROR(IF(T279="","",(T279*(1-AT279)*(1-Settings!$I$68)*(1-Settings!$I$17)-I279)/(T279*(1-AT279)*(1-Settings!$I$68)*(1-Settings!$I$17))),"")</f>
        <v/>
      </c>
      <c r="R279" s="91">
        <f>IFERROR(IF(OR(I279="",Z279&gt;=1,Settings!$B$17&gt;=1,AN279&gt;=1),"",IF(MOD(ROUND(I279/(1-Z279)/(1-Settings!$B$17)/(1-AN279),0),10)=0,ROUND(I279/(1-Z279)/(1-Settings!$B$17)/(1-AN279),0)-1,IF(MOD(ROUND(I279/(1-Z279)/(1-Settings!$B$17)/(1-AN279),0),10)&lt;=5,FLOOR(ROUND(I279/(1-Z279)/(1-Settings!$B$17)/(1-AN279),0),10)+6,FLOOR(ROUND(I279/(1-Z279)/(1-Settings!$B$17)/(1-AN279),0),10)+9))),"")</f>
        <v/>
      </c>
      <c r="S279" s="92" t="n">
        <v>300</v>
      </c>
      <c r="T279" s="91">
        <f>IF(S279&lt;&gt;"", IF(MOD(S279,10)=0,S279-1,IF(MOD(S279,10)&lt;=5,FLOOR(S279,10)+6,FLOOR(S279,10)+9)), R279)</f>
        <v/>
      </c>
      <c r="U279" s="87" t="inlineStr">
        <is>
          <t>Основний</t>
        </is>
      </c>
      <c r="V279" s="88" t="n"/>
      <c r="W279" s="88" t="n"/>
      <c r="X279" s="89">
        <f>IFERROR(IF(OR(V279="",W279="",T279=""),"", IF(T279&gt;W279,"Дорогий",IF(T279&lt;V279,"Дешевий","У ринку"))),"")</f>
        <v/>
      </c>
      <c r="Y279" s="90" t="n"/>
      <c r="Z279" s="104">
        <f>CHOOSE(MATCH(IF($U279="","Основний",$U279),{"Трафіковий","Основний","Маржинальний","Сезонний","Стратегічний"},0),0.16,0.19,0.24,0.23,0.28)</f>
        <v/>
      </c>
      <c r="AA279" s="104">
        <f>CHOOSE(MATCH(IF($U279="","Основний",$U279),{"Трафіковий","Основний","Маржинальний","Сезонний","Стратегічний"},0),0.18,0.21,0.26,0.25,0.3)</f>
        <v/>
      </c>
      <c r="AB279" s="104">
        <f>CHOOSE(MATCH(IF($U279="","Основний",$U279),{"Трафіковий","Основний","Маржинальний","Сезонний","Стратегічний"},0),0.19,0.22,0.28,0.26,0.32)</f>
        <v/>
      </c>
      <c r="AC279" s="104">
        <f>CHOOSE(MATCH(IF($U279="","Основний",$U279),{"Трафіковий","Основний","Маржинальний","Сезонний","Стратегічний"},0),0.17,0.2,0.25,0.24,0.28)</f>
        <v/>
      </c>
      <c r="AD279" s="104">
        <f>CHOOSE(MATCH(IF($U279="","Основний",$U279),{"Трафіковий","Основний","Маржинальний","Сезонний","Стратегічний"},0),0.18,0.21,0.26,0.25,0.3)</f>
        <v/>
      </c>
      <c r="AE279" s="104">
        <f>CHOOSE(MATCH(IF($U279="","Основний",$U279),{"Трафіковий","Основний","Маржинальний","Сезонний","Стратегічний"},0),0.18,0.2,0.28,0.27,0.32)</f>
        <v/>
      </c>
      <c r="AF279" s="104">
        <f>CHOOSE(MATCH(IF($U279="","Основний",$U279),{"Трафіковий","Основний","Маржинальний","Сезонний","Стратегічний"},0),0.15,0.175,0.22,0.21,0.25)</f>
        <v/>
      </c>
      <c r="AG279" s="104">
        <f>CHOOSE(MATCH(IF($U279="","Основний",$U279),{"Трафіковий","Основний","Маржинальний","Сезонний","Стратегічний"},0),0.13,0.16,0.21,0.2,0.25)</f>
        <v/>
      </c>
      <c r="AH279" s="104">
        <f>CHOOSE(MATCH(IF($U279="","Основний",$U279),{"Трафіковий","Основний","Маржинальний","Сезонний","Стратегічний"},0),0.15,0.18,0.23,0.22,0.27)</f>
        <v/>
      </c>
      <c r="AI279" s="104">
        <f>CHOOSE(MATCH(IF($U279="","Основний",$U279),{"Трафіковий","Основний","Маржинальний","Сезонний","Стратегічний"},0),0.16,0.19,0.25,0.23,0.29)</f>
        <v/>
      </c>
      <c r="AJ279" s="104">
        <f>CHOOSE(MATCH(IF($U279="","Основний",$U279),{"Трафіковий","Основний","Маржинальний","Сезонний","Стратегічний"},0),0.14,0.17,0.22,0.21,0.25)</f>
        <v/>
      </c>
      <c r="AK279" s="104">
        <f>CHOOSE(MATCH(IF($U279="","Основний",$U279),{"Трафіковий","Основний","Маржинальний","Сезонний","Стратегічний"},0),0.15,0.18,0.23,0.22,0.27)</f>
        <v/>
      </c>
      <c r="AL279" s="104">
        <f>CHOOSE(MATCH(IF($U279="","Основний",$U279),{"Трафіковий","Основний","Маржинальний","Сезонний","Стратегічний"},0),0.15,0.17,0.25,0.24,0.29)</f>
        <v/>
      </c>
      <c r="AM279" s="104">
        <f>CHOOSE(MATCH(IF($U279="","Основний",$U279),{"Трафіковий","Основний","Маржинальний","Сезонний","Стратегічний"},0),0.12,0.145,0.19,0.18,0.22)</f>
        <v/>
      </c>
      <c r="AN279" s="157">
        <f>CHOOSE(MATCH(IF($U279="","Основний",$U279),{"Трафіковий","Основний","Маржинальний","Сезонний","Стратегічний"},0),Settings!$B$78,Settings!$B$80,Settings!$B$82,Settings!$B$84,Settings!$B$86)</f>
        <v/>
      </c>
      <c r="AO279" s="157">
        <f>CHOOSE(MATCH(IF($U279="","Основний",$U279),{"Трафіковий","Основний","Маржинальний","Сезонний","Стратегічний"},0),Settings!$C$78,Settings!$C$80,Settings!$C$82,Settings!$C$84,Settings!$C$86)</f>
        <v/>
      </c>
      <c r="AP279" s="157">
        <f>CHOOSE(MATCH(IF($U279="","Основний",$U279),{"Трафіковий","Основний","Маржинальний","Сезонний","Стратегічний"},0),Settings!$D$78,Settings!$D$80,Settings!$D$82,Settings!$D$84,Settings!$D$86)</f>
        <v/>
      </c>
      <c r="AQ279" s="157">
        <f>CHOOSE(MATCH(IF($U279="","Основний",$U279),{"Трафіковий","Основний","Маржинальний","Сезонний","Стратегічний"},0),Settings!$F$78,Settings!$F$80,Settings!$F$82,Settings!$F$84,Settings!$F$86)</f>
        <v/>
      </c>
      <c r="AR279" s="157">
        <f>CHOOSE(MATCH(IF($U279="","Основний",$U279),{"Трафіковий","Основний","Маржинальний","Сезонний","Стратегічний"},0),Settings!$G$78,Settings!$G$80,Settings!$G$82,Settings!$G$84,Settings!$G$86)</f>
        <v/>
      </c>
      <c r="AS279" s="157">
        <f>CHOOSE(MATCH(IF($U279="","Основний",$U279),{"Трафіковий","Основний","Маржинальний","Сезонний","Стратегічний"},0),Settings!$H$78,Settings!$H$80,Settings!$H$82,Settings!$H$84,Settings!$H$86)</f>
        <v/>
      </c>
      <c r="AT279" s="157">
        <f>CHOOSE(MATCH(IF($U279="","Основний",$U279),{"Трафіковий","Основний","Маржинальний","Сезонний","Стратегічний"},0),Settings!$I$78,Settings!$I$80,Settings!$I$82,Settings!$I$84,Settings!$I$86)</f>
        <v/>
      </c>
      <c r="AU279" s="171" t="n"/>
      <c r="AV279" t="n">
        <v>1.35</v>
      </c>
    </row>
    <row r="280">
      <c r="A280" s="28" t="n"/>
      <c r="B280" s="29" t="inlineStr">
        <is>
          <t>P0323R</t>
        </is>
      </c>
      <c r="C280" s="29" t="inlineStr">
        <is>
          <t>EXT.POW.CORD 3S 3M 1,5MM SCH</t>
        </is>
      </c>
      <c r="D280" s="29" t="inlineStr">
        <is>
          <t>Пооджувачи та адаптери</t>
        </is>
      </c>
      <c r="E280" s="28" t="inlineStr">
        <is>
          <t>PC</t>
        </is>
      </c>
      <c r="F280" s="93" t="n">
        <v>3.047</v>
      </c>
      <c r="G280" s="30" t="n">
        <v>8544429090</v>
      </c>
      <c r="H280" s="31" t="n">
        <v>1.4</v>
      </c>
      <c r="I280" s="84">
        <f>IFERROR(F280*Settings!$B$2*H280*IF(AND(ISNUMBER(E280),E280&gt;1),E280,1),"")</f>
        <v/>
      </c>
      <c r="J280" s="32">
        <f>Settings!$B$66</f>
        <v/>
      </c>
      <c r="K280" s="95">
        <f>IFERROR(IF(T280="","",(T280*(1-AN280)*(1-Settings!$B$17)-I280)/(T280*(1-AN280)*(1-Settings!$B$17))),"")</f>
        <v/>
      </c>
      <c r="L280" s="101">
        <f>IFERROR(IF(T280="","",(T280*(1-AO280)*(1-Settings!$C$17)-I280)/(T280*(1-AO280)*(1-Settings!$C$17))),"")</f>
        <v/>
      </c>
      <c r="M280" s="101">
        <f>IFERROR(IF(T280="","",(T280*(1-AP280)*(1-Settings!$D$17)-I280)/(T280*(1-AP280)*(1-Settings!$D$17))),"")</f>
        <v/>
      </c>
      <c r="N280" s="101">
        <f>IFERROR(IF(T280="","",(T280*(1-AQ280)*(1-Settings!$F$17)-I280)/(T280*(1-AQ280)*(1-Settings!$F$17))),"")</f>
        <v/>
      </c>
      <c r="O280" s="101">
        <f>IFERROR(IF(T280="","",(T280*(1-AR280)*(1-Settings!$G$17)-I280)/(T280*(1-AR280)*(1-Settings!$G$17))),"")</f>
        <v/>
      </c>
      <c r="P280" s="101">
        <f>IFERROR(IF(T280="","",(T280*(1-AS280)*(1-Settings!$H$17)-I280)/(T280*(1-AS280)*(1-Settings!$H$17))),"")</f>
        <v/>
      </c>
      <c r="Q280" s="101">
        <f>IFERROR(IF(T280="","",(T280*(1-AT280)*(1-Settings!$I$68)*(1-Settings!$I$17)-I280)/(T280*(1-AT280)*(1-Settings!$I$68)*(1-Settings!$I$17))),"")</f>
        <v/>
      </c>
      <c r="R280" s="91">
        <f>IFERROR(IF(OR(I280="",Z280&gt;=1,Settings!$B$17&gt;=1,AN280&gt;=1),"",IF(MOD(ROUND(I280/(1-Z280)/(1-Settings!$B$17)/(1-AN280),0),10)=0,ROUND(I280/(1-Z280)/(1-Settings!$B$17)/(1-AN280),0)-1,IF(MOD(ROUND(I280/(1-Z280)/(1-Settings!$B$17)/(1-AN280),0),10)&lt;=5,FLOOR(ROUND(I280/(1-Z280)/(1-Settings!$B$17)/(1-AN280),0),10)+6,FLOOR(ROUND(I280/(1-Z280)/(1-Settings!$B$17)/(1-AN280),0),10)+9))),"")</f>
        <v/>
      </c>
      <c r="S280" s="174">
        <f>R280*0.95</f>
        <v/>
      </c>
      <c r="T280" s="91">
        <f>IF(S280&lt;&gt;"", IF(MOD(S280,10)=0,S280-1,IF(MOD(S280,10)&lt;=5,FLOOR(S280,10)+6,FLOOR(S280,10)+9)), R280)</f>
        <v/>
      </c>
      <c r="U280" s="87" t="inlineStr">
        <is>
          <t>Основний</t>
        </is>
      </c>
      <c r="V280" s="88" t="n"/>
      <c r="W280" s="88" t="n"/>
      <c r="X280" s="89">
        <f>IFERROR(IF(OR(V280="",W280="",T280=""),"", IF(T280&gt;W280,"Дорогий",IF(T280&lt;V280,"Дешевий","У ринку"))),"")</f>
        <v/>
      </c>
      <c r="Y280" s="90" t="n"/>
      <c r="Z280" s="104">
        <f>CHOOSE(MATCH(IF($U280="","Основний",$U280),{"Трафіковий","Основний","Маржинальний","Сезонний","Стратегічний"},0),0.16,0.19,0.24,0.23,0.28)</f>
        <v/>
      </c>
      <c r="AA280" s="104">
        <f>CHOOSE(MATCH(IF($U280="","Основний",$U280),{"Трафіковий","Основний","Маржинальний","Сезонний","Стратегічний"},0),0.18,0.21,0.26,0.25,0.3)</f>
        <v/>
      </c>
      <c r="AB280" s="104">
        <f>CHOOSE(MATCH(IF($U280="","Основний",$U280),{"Трафіковий","Основний","Маржинальний","Сезонний","Стратегічний"},0),0.19,0.22,0.28,0.26,0.32)</f>
        <v/>
      </c>
      <c r="AC280" s="104">
        <f>CHOOSE(MATCH(IF($U280="","Основний",$U280),{"Трафіковий","Основний","Маржинальний","Сезонний","Стратегічний"},0),0.17,0.2,0.25,0.24,0.28)</f>
        <v/>
      </c>
      <c r="AD280" s="104">
        <f>CHOOSE(MATCH(IF($U280="","Основний",$U280),{"Трафіковий","Основний","Маржинальний","Сезонний","Стратегічний"},0),0.18,0.21,0.26,0.25,0.3)</f>
        <v/>
      </c>
      <c r="AE280" s="104">
        <f>CHOOSE(MATCH(IF($U280="","Основний",$U280),{"Трафіковий","Основний","Маржинальний","Сезонний","Стратегічний"},0),0.18,0.2,0.28,0.27,0.32)</f>
        <v/>
      </c>
      <c r="AF280" s="104">
        <f>CHOOSE(MATCH(IF($U280="","Основний",$U280),{"Трафіковий","Основний","Маржинальний","Сезонний","Стратегічний"},0),0.15,0.175,0.22,0.21,0.25)</f>
        <v/>
      </c>
      <c r="AG280" s="104">
        <f>CHOOSE(MATCH(IF($U280="","Основний",$U280),{"Трафіковий","Основний","Маржинальний","Сезонний","Стратегічний"},0),0.13,0.16,0.21,0.2,0.25)</f>
        <v/>
      </c>
      <c r="AH280" s="104">
        <f>CHOOSE(MATCH(IF($U280="","Основний",$U280),{"Трафіковий","Основний","Маржинальний","Сезонний","Стратегічний"},0),0.15,0.18,0.23,0.22,0.27)</f>
        <v/>
      </c>
      <c r="AI280" s="104">
        <f>CHOOSE(MATCH(IF($U280="","Основний",$U280),{"Трафіковий","Основний","Маржинальний","Сезонний","Стратегічний"},0),0.16,0.19,0.25,0.23,0.29)</f>
        <v/>
      </c>
      <c r="AJ280" s="104">
        <f>CHOOSE(MATCH(IF($U280="","Основний",$U280),{"Трафіковий","Основний","Маржинальний","Сезонний","Стратегічний"},0),0.14,0.17,0.22,0.21,0.25)</f>
        <v/>
      </c>
      <c r="AK280" s="104">
        <f>CHOOSE(MATCH(IF($U280="","Основний",$U280),{"Трафіковий","Основний","Маржинальний","Сезонний","Стратегічний"},0),0.15,0.18,0.23,0.22,0.27)</f>
        <v/>
      </c>
      <c r="AL280" s="104">
        <f>CHOOSE(MATCH(IF($U280="","Основний",$U280),{"Трафіковий","Основний","Маржинальний","Сезонний","Стратегічний"},0),0.15,0.17,0.25,0.24,0.29)</f>
        <v/>
      </c>
      <c r="AM280" s="104">
        <f>CHOOSE(MATCH(IF($U280="","Основний",$U280),{"Трафіковий","Основний","Маржинальний","Сезонний","Стратегічний"},0),0.12,0.145,0.19,0.18,0.22)</f>
        <v/>
      </c>
      <c r="AN280" s="157">
        <f>CHOOSE(MATCH(IF($U280="","Основний",$U280),{"Трафіковий","Основний","Маржинальний","Сезонний","Стратегічний"},0),Settings!$B$78,Settings!$B$80,Settings!$B$82,Settings!$B$84,Settings!$B$86)</f>
        <v/>
      </c>
      <c r="AO280" s="157">
        <f>CHOOSE(MATCH(IF($U280="","Основний",$U280),{"Трафіковий","Основний","Маржинальний","Сезонний","Стратегічний"},0),Settings!$C$78,Settings!$C$80,Settings!$C$82,Settings!$C$84,Settings!$C$86)</f>
        <v/>
      </c>
      <c r="AP280" s="157">
        <f>CHOOSE(MATCH(IF($U280="","Основний",$U280),{"Трафіковий","Основний","Маржинальний","Сезонний","Стратегічний"},0),Settings!$D$78,Settings!$D$80,Settings!$D$82,Settings!$D$84,Settings!$D$86)</f>
        <v/>
      </c>
      <c r="AQ280" s="157">
        <f>CHOOSE(MATCH(IF($U280="","Основний",$U280),{"Трафіковий","Основний","Маржинальний","Сезонний","Стратегічний"},0),Settings!$F$78,Settings!$F$80,Settings!$F$82,Settings!$F$84,Settings!$F$86)</f>
        <v/>
      </c>
      <c r="AR280" s="157">
        <f>CHOOSE(MATCH(IF($U280="","Основний",$U280),{"Трафіковий","Основний","Маржинальний","Сезонний","Стратегічний"},0),Settings!$G$78,Settings!$G$80,Settings!$G$82,Settings!$G$84,Settings!$G$86)</f>
        <v/>
      </c>
      <c r="AS280" s="157">
        <f>CHOOSE(MATCH(IF($U280="","Основний",$U280),{"Трафіковий","Основний","Маржинальний","Сезонний","Стратегічний"},0),Settings!$H$78,Settings!$H$80,Settings!$H$82,Settings!$H$84,Settings!$H$86)</f>
        <v/>
      </c>
      <c r="AT280" s="157">
        <f>CHOOSE(MATCH(IF($U280="","Основний",$U280),{"Трафіковий","Основний","Маржинальний","Сезонний","Стратегічний"},0),Settings!$I$78,Settings!$I$80,Settings!$I$82,Settings!$I$84,Settings!$I$86)</f>
        <v/>
      </c>
      <c r="AU280" s="171" t="n"/>
      <c r="AV280" t="n">
        <v>1.35</v>
      </c>
    </row>
    <row r="281">
      <c r="A281" s="33" t="n"/>
      <c r="B281" s="34" t="inlineStr">
        <is>
          <t>P0325R</t>
        </is>
      </c>
      <c r="C281" s="34" t="inlineStr">
        <is>
          <t>EXT.POW.CORD 3S 5M 1,5MM SCH</t>
        </is>
      </c>
      <c r="D281" s="34" t="inlineStr">
        <is>
          <t>Пооджувачи та адаптери</t>
        </is>
      </c>
      <c r="E281" s="33" t="inlineStr">
        <is>
          <t>PC</t>
        </is>
      </c>
      <c r="F281" s="94" t="n">
        <v>4.513</v>
      </c>
      <c r="G281" s="35" t="n">
        <v>8544429090</v>
      </c>
      <c r="H281" s="31" t="n">
        <v>1.4</v>
      </c>
      <c r="I281" s="84">
        <f>IFERROR(F281*Settings!$B$2*H281*IF(AND(ISNUMBER(E281),E281&gt;1),E281,1),"")</f>
        <v/>
      </c>
      <c r="J281" s="32">
        <f>Settings!$B$66</f>
        <v/>
      </c>
      <c r="K281" s="95">
        <f>IFERROR(IF(T281="","",(T281*(1-AN281)*(1-Settings!$B$17)-I281)/(T281*(1-AN281)*(1-Settings!$B$17))),"")</f>
        <v/>
      </c>
      <c r="L281" s="101">
        <f>IFERROR(IF(T281="","",(T281*(1-AO281)*(1-Settings!$C$17)-I281)/(T281*(1-AO281)*(1-Settings!$C$17))),"")</f>
        <v/>
      </c>
      <c r="M281" s="101">
        <f>IFERROR(IF(T281="","",(T281*(1-AP281)*(1-Settings!$D$17)-I281)/(T281*(1-AP281)*(1-Settings!$D$17))),"")</f>
        <v/>
      </c>
      <c r="N281" s="101">
        <f>IFERROR(IF(T281="","",(T281*(1-AQ281)*(1-Settings!$F$17)-I281)/(T281*(1-AQ281)*(1-Settings!$F$17))),"")</f>
        <v/>
      </c>
      <c r="O281" s="101">
        <f>IFERROR(IF(T281="","",(T281*(1-AR281)*(1-Settings!$G$17)-I281)/(T281*(1-AR281)*(1-Settings!$G$17))),"")</f>
        <v/>
      </c>
      <c r="P281" s="101">
        <f>IFERROR(IF(T281="","",(T281*(1-AS281)*(1-Settings!$H$17)-I281)/(T281*(1-AS281)*(1-Settings!$H$17))),"")</f>
        <v/>
      </c>
      <c r="Q281" s="101">
        <f>IFERROR(IF(T281="","",(T281*(1-AT281)*(1-Settings!$I$68)*(1-Settings!$I$17)-I281)/(T281*(1-AT281)*(1-Settings!$I$68)*(1-Settings!$I$17))),"")</f>
        <v/>
      </c>
      <c r="R281" s="91">
        <f>IFERROR(IF(OR(I281="",Z281&gt;=1,Settings!$B$17&gt;=1,AN281&gt;=1),"",IF(MOD(ROUND(I281/(1-Z281)/(1-Settings!$B$17)/(1-AN281),0),10)=0,ROUND(I281/(1-Z281)/(1-Settings!$B$17)/(1-AN281),0)-1,IF(MOD(ROUND(I281/(1-Z281)/(1-Settings!$B$17)/(1-AN281),0),10)&lt;=5,FLOOR(ROUND(I281/(1-Z281)/(1-Settings!$B$17)/(1-AN281),0),10)+6,FLOOR(ROUND(I281/(1-Z281)/(1-Settings!$B$17)/(1-AN281),0),10)+9))),"")</f>
        <v/>
      </c>
      <c r="S281" s="92" t="n">
        <v>630</v>
      </c>
      <c r="T281" s="91">
        <f>IF(S281&lt;&gt;"", IF(MOD(S281,10)=0,S281-1,IF(MOD(S281,10)&lt;=5,FLOOR(S281,10)+6,FLOOR(S281,10)+9)), R281)</f>
        <v/>
      </c>
      <c r="U281" s="87" t="inlineStr">
        <is>
          <t>Основний</t>
        </is>
      </c>
      <c r="V281" s="88" t="n"/>
      <c r="W281" s="88" t="n"/>
      <c r="X281" s="89">
        <f>IFERROR(IF(OR(V281="",W281="",T281=""),"", IF(T281&gt;W281,"Дорогий",IF(T281&lt;V281,"Дешевий","У ринку"))),"")</f>
        <v/>
      </c>
      <c r="Y281" s="90" t="n"/>
      <c r="Z281" s="104">
        <f>CHOOSE(MATCH(IF($U281="","Основний",$U281),{"Трафіковий","Основний","Маржинальний","Сезонний","Стратегічний"},0),0.16,0.19,0.24,0.23,0.28)</f>
        <v/>
      </c>
      <c r="AA281" s="104">
        <f>CHOOSE(MATCH(IF($U281="","Основний",$U281),{"Трафіковий","Основний","Маржинальний","Сезонний","Стратегічний"},0),0.18,0.21,0.26,0.25,0.3)</f>
        <v/>
      </c>
      <c r="AB281" s="104">
        <f>CHOOSE(MATCH(IF($U281="","Основний",$U281),{"Трафіковий","Основний","Маржинальний","Сезонний","Стратегічний"},0),0.19,0.22,0.28,0.26,0.32)</f>
        <v/>
      </c>
      <c r="AC281" s="104">
        <f>CHOOSE(MATCH(IF($U281="","Основний",$U281),{"Трафіковий","Основний","Маржинальний","Сезонний","Стратегічний"},0),0.17,0.2,0.25,0.24,0.28)</f>
        <v/>
      </c>
      <c r="AD281" s="104">
        <f>CHOOSE(MATCH(IF($U281="","Основний",$U281),{"Трафіковий","Основний","Маржинальний","Сезонний","Стратегічний"},0),0.18,0.21,0.26,0.25,0.3)</f>
        <v/>
      </c>
      <c r="AE281" s="104">
        <f>CHOOSE(MATCH(IF($U281="","Основний",$U281),{"Трафіковий","Основний","Маржинальний","Сезонний","Стратегічний"},0),0.18,0.2,0.28,0.27,0.32)</f>
        <v/>
      </c>
      <c r="AF281" s="104">
        <f>CHOOSE(MATCH(IF($U281="","Основний",$U281),{"Трафіковий","Основний","Маржинальний","Сезонний","Стратегічний"},0),0.15,0.175,0.22,0.21,0.25)</f>
        <v/>
      </c>
      <c r="AG281" s="104">
        <f>CHOOSE(MATCH(IF($U281="","Основний",$U281),{"Трафіковий","Основний","Маржинальний","Сезонний","Стратегічний"},0),0.13,0.16,0.21,0.2,0.25)</f>
        <v/>
      </c>
      <c r="AH281" s="104">
        <f>CHOOSE(MATCH(IF($U281="","Основний",$U281),{"Трафіковий","Основний","Маржинальний","Сезонний","Стратегічний"},0),0.15,0.18,0.23,0.22,0.27)</f>
        <v/>
      </c>
      <c r="AI281" s="104">
        <f>CHOOSE(MATCH(IF($U281="","Основний",$U281),{"Трафіковий","Основний","Маржинальний","Сезонний","Стратегічний"},0),0.16,0.19,0.25,0.23,0.29)</f>
        <v/>
      </c>
      <c r="AJ281" s="104">
        <f>CHOOSE(MATCH(IF($U281="","Основний",$U281),{"Трафіковий","Основний","Маржинальний","Сезонний","Стратегічний"},0),0.14,0.17,0.22,0.21,0.25)</f>
        <v/>
      </c>
      <c r="AK281" s="104">
        <f>CHOOSE(MATCH(IF($U281="","Основний",$U281),{"Трафіковий","Основний","Маржинальний","Сезонний","Стратегічний"},0),0.15,0.18,0.23,0.22,0.27)</f>
        <v/>
      </c>
      <c r="AL281" s="104">
        <f>CHOOSE(MATCH(IF($U281="","Основний",$U281),{"Трафіковий","Основний","Маржинальний","Сезонний","Стратегічний"},0),0.15,0.17,0.25,0.24,0.29)</f>
        <v/>
      </c>
      <c r="AM281" s="104">
        <f>CHOOSE(MATCH(IF($U281="","Основний",$U281),{"Трафіковий","Основний","Маржинальний","Сезонний","Стратегічний"},0),0.12,0.145,0.19,0.18,0.22)</f>
        <v/>
      </c>
      <c r="AN281" s="157">
        <f>CHOOSE(MATCH(IF($U281="","Основний",$U281),{"Трафіковий","Основний","Маржинальний","Сезонний","Стратегічний"},0),Settings!$B$78,Settings!$B$80,Settings!$B$82,Settings!$B$84,Settings!$B$86)</f>
        <v/>
      </c>
      <c r="AO281" s="157">
        <f>CHOOSE(MATCH(IF($U281="","Основний",$U281),{"Трафіковий","Основний","Маржинальний","Сезонний","Стратегічний"},0),Settings!$C$78,Settings!$C$80,Settings!$C$82,Settings!$C$84,Settings!$C$86)</f>
        <v/>
      </c>
      <c r="AP281" s="157">
        <f>CHOOSE(MATCH(IF($U281="","Основний",$U281),{"Трафіковий","Основний","Маржинальний","Сезонний","Стратегічний"},0),Settings!$D$78,Settings!$D$80,Settings!$D$82,Settings!$D$84,Settings!$D$86)</f>
        <v/>
      </c>
      <c r="AQ281" s="157">
        <f>CHOOSE(MATCH(IF($U281="","Основний",$U281),{"Трафіковий","Основний","Маржинальний","Сезонний","Стратегічний"},0),Settings!$F$78,Settings!$F$80,Settings!$F$82,Settings!$F$84,Settings!$F$86)</f>
        <v/>
      </c>
      <c r="AR281" s="157">
        <f>CHOOSE(MATCH(IF($U281="","Основний",$U281),{"Трафіковий","Основний","Маржинальний","Сезонний","Стратегічний"},0),Settings!$G$78,Settings!$G$80,Settings!$G$82,Settings!$G$84,Settings!$G$86)</f>
        <v/>
      </c>
      <c r="AS281" s="157">
        <f>CHOOSE(MATCH(IF($U281="","Основний",$U281),{"Трафіковий","Основний","Маржинальний","Сезонний","Стратегічний"},0),Settings!$H$78,Settings!$H$80,Settings!$H$82,Settings!$H$84,Settings!$H$86)</f>
        <v/>
      </c>
      <c r="AT281" s="157">
        <f>CHOOSE(MATCH(IF($U281="","Основний",$U281),{"Трафіковий","Основний","Маржинальний","Сезонний","Стратегічний"},0),Settings!$I$78,Settings!$I$80,Settings!$I$82,Settings!$I$84,Settings!$I$86)</f>
        <v/>
      </c>
      <c r="AU281" s="171" t="n"/>
      <c r="AV281" t="n">
        <v>1.35</v>
      </c>
    </row>
    <row r="282">
      <c r="A282" s="28" t="n"/>
      <c r="B282" s="29" t="inlineStr">
        <is>
          <t>P0421R</t>
        </is>
      </c>
      <c r="C282" s="29" t="inlineStr">
        <is>
          <t>EX. CORD 4S 1,5M 1,5MM SCHUKO</t>
        </is>
      </c>
      <c r="D282" s="29" t="inlineStr">
        <is>
          <t>Пооджувачи та адаптери</t>
        </is>
      </c>
      <c r="E282" s="28" t="inlineStr">
        <is>
          <t>PC</t>
        </is>
      </c>
      <c r="F282" s="93" t="n">
        <v>2.298</v>
      </c>
      <c r="G282" s="30" t="n">
        <v>8544429090</v>
      </c>
      <c r="H282" s="31" t="n">
        <v>1.4</v>
      </c>
      <c r="I282" s="84">
        <f>IFERROR(F282*Settings!$B$2*H282*IF(AND(ISNUMBER(E282),E282&gt;1),E282,1),"")</f>
        <v/>
      </c>
      <c r="J282" s="32">
        <f>Settings!$B$66</f>
        <v/>
      </c>
      <c r="K282" s="95">
        <f>IFERROR(IF(T282="","",(T282*(1-AN282)*(1-Settings!$B$17)-I282)/(T282*(1-AN282)*(1-Settings!$B$17))),"")</f>
        <v/>
      </c>
      <c r="L282" s="101">
        <f>IFERROR(IF(T282="","",(T282*(1-AO282)*(1-Settings!$C$17)-I282)/(T282*(1-AO282)*(1-Settings!$C$17))),"")</f>
        <v/>
      </c>
      <c r="M282" s="101">
        <f>IFERROR(IF(T282="","",(T282*(1-AP282)*(1-Settings!$D$17)-I282)/(T282*(1-AP282)*(1-Settings!$D$17))),"")</f>
        <v/>
      </c>
      <c r="N282" s="101">
        <f>IFERROR(IF(T282="","",(T282*(1-AQ282)*(1-Settings!$F$17)-I282)/(T282*(1-AQ282)*(1-Settings!$F$17))),"")</f>
        <v/>
      </c>
      <c r="O282" s="101">
        <f>IFERROR(IF(T282="","",(T282*(1-AR282)*(1-Settings!$G$17)-I282)/(T282*(1-AR282)*(1-Settings!$G$17))),"")</f>
        <v/>
      </c>
      <c r="P282" s="101">
        <f>IFERROR(IF(T282="","",(T282*(1-AS282)*(1-Settings!$H$17)-I282)/(T282*(1-AS282)*(1-Settings!$H$17))),"")</f>
        <v/>
      </c>
      <c r="Q282" s="101">
        <f>IFERROR(IF(T282="","",(T282*(1-AT282)*(1-Settings!$I$68)*(1-Settings!$I$17)-I282)/(T282*(1-AT282)*(1-Settings!$I$68)*(1-Settings!$I$17))),"")</f>
        <v/>
      </c>
      <c r="R282" s="91">
        <f>IFERROR(IF(OR(I282="",Z282&gt;=1,Settings!$B$17&gt;=1,AN282&gt;=1),"",IF(MOD(ROUND(I282/(1-Z282)/(1-Settings!$B$17)/(1-AN282),0),10)=0,ROUND(I282/(1-Z282)/(1-Settings!$B$17)/(1-AN282),0)-1,IF(MOD(ROUND(I282/(1-Z282)/(1-Settings!$B$17)/(1-AN282),0),10)&lt;=5,FLOOR(ROUND(I282/(1-Z282)/(1-Settings!$B$17)/(1-AN282),0),10)+6,FLOOR(ROUND(I282/(1-Z282)/(1-Settings!$B$17)/(1-AN282),0),10)+9))),"")</f>
        <v/>
      </c>
      <c r="S282" s="174">
        <f>R282*0.95</f>
        <v/>
      </c>
      <c r="T282" s="91">
        <f>IF(S282&lt;&gt;"", IF(MOD(S282,10)=0,S282-1,IF(MOD(S282,10)&lt;=5,FLOOR(S282,10)+6,FLOOR(S282,10)+9)), R282)</f>
        <v/>
      </c>
      <c r="U282" s="87" t="inlineStr">
        <is>
          <t>Основний</t>
        </is>
      </c>
      <c r="V282" s="88" t="n"/>
      <c r="W282" s="88" t="n"/>
      <c r="X282" s="89">
        <f>IFERROR(IF(OR(V282="",W282="",T282=""),"", IF(T282&gt;W282,"Дорогий",IF(T282&lt;V282,"Дешевий","У ринку"))),"")</f>
        <v/>
      </c>
      <c r="Y282" s="90" t="n"/>
      <c r="Z282" s="104">
        <f>CHOOSE(MATCH(IF($U282="","Основний",$U282),{"Трафіковий","Основний","Маржинальний","Сезонний","Стратегічний"},0),0.16,0.19,0.24,0.23,0.28)</f>
        <v/>
      </c>
      <c r="AA282" s="104">
        <f>CHOOSE(MATCH(IF($U282="","Основний",$U282),{"Трафіковий","Основний","Маржинальний","Сезонний","Стратегічний"},0),0.18,0.21,0.26,0.25,0.3)</f>
        <v/>
      </c>
      <c r="AB282" s="104">
        <f>CHOOSE(MATCH(IF($U282="","Основний",$U282),{"Трафіковий","Основний","Маржинальний","Сезонний","Стратегічний"},0),0.19,0.22,0.28,0.26,0.32)</f>
        <v/>
      </c>
      <c r="AC282" s="104">
        <f>CHOOSE(MATCH(IF($U282="","Основний",$U282),{"Трафіковий","Основний","Маржинальний","Сезонний","Стратегічний"},0),0.17,0.2,0.25,0.24,0.28)</f>
        <v/>
      </c>
      <c r="AD282" s="104">
        <f>CHOOSE(MATCH(IF($U282="","Основний",$U282),{"Трафіковий","Основний","Маржинальний","Сезонний","Стратегічний"},0),0.18,0.21,0.26,0.25,0.3)</f>
        <v/>
      </c>
      <c r="AE282" s="104">
        <f>CHOOSE(MATCH(IF($U282="","Основний",$U282),{"Трафіковий","Основний","Маржинальний","Сезонний","Стратегічний"},0),0.18,0.2,0.28,0.27,0.32)</f>
        <v/>
      </c>
      <c r="AF282" s="104">
        <f>CHOOSE(MATCH(IF($U282="","Основний",$U282),{"Трафіковий","Основний","Маржинальний","Сезонний","Стратегічний"},0),0.15,0.175,0.22,0.21,0.25)</f>
        <v/>
      </c>
      <c r="AG282" s="104">
        <f>CHOOSE(MATCH(IF($U282="","Основний",$U282),{"Трафіковий","Основний","Маржинальний","Сезонний","Стратегічний"},0),0.13,0.16,0.21,0.2,0.25)</f>
        <v/>
      </c>
      <c r="AH282" s="104">
        <f>CHOOSE(MATCH(IF($U282="","Основний",$U282),{"Трафіковий","Основний","Маржинальний","Сезонний","Стратегічний"},0),0.15,0.18,0.23,0.22,0.27)</f>
        <v/>
      </c>
      <c r="AI282" s="104">
        <f>CHOOSE(MATCH(IF($U282="","Основний",$U282),{"Трафіковий","Основний","Маржинальний","Сезонний","Стратегічний"},0),0.16,0.19,0.25,0.23,0.29)</f>
        <v/>
      </c>
      <c r="AJ282" s="104">
        <f>CHOOSE(MATCH(IF($U282="","Основний",$U282),{"Трафіковий","Основний","Маржинальний","Сезонний","Стратегічний"},0),0.14,0.17,0.22,0.21,0.25)</f>
        <v/>
      </c>
      <c r="AK282" s="104">
        <f>CHOOSE(MATCH(IF($U282="","Основний",$U282),{"Трафіковий","Основний","Маржинальний","Сезонний","Стратегічний"},0),0.15,0.18,0.23,0.22,0.27)</f>
        <v/>
      </c>
      <c r="AL282" s="104">
        <f>CHOOSE(MATCH(IF($U282="","Основний",$U282),{"Трафіковий","Основний","Маржинальний","Сезонний","Стратегічний"},0),0.15,0.17,0.25,0.24,0.29)</f>
        <v/>
      </c>
      <c r="AM282" s="104">
        <f>CHOOSE(MATCH(IF($U282="","Основний",$U282),{"Трафіковий","Основний","Маржинальний","Сезонний","Стратегічний"},0),0.12,0.145,0.19,0.18,0.22)</f>
        <v/>
      </c>
      <c r="AN282" s="157">
        <f>CHOOSE(MATCH(IF($U282="","Основний",$U282),{"Трафіковий","Основний","Маржинальний","Сезонний","Стратегічний"},0),Settings!$B$78,Settings!$B$80,Settings!$B$82,Settings!$B$84,Settings!$B$86)</f>
        <v/>
      </c>
      <c r="AO282" s="157">
        <f>CHOOSE(MATCH(IF($U282="","Основний",$U282),{"Трафіковий","Основний","Маржинальний","Сезонний","Стратегічний"},0),Settings!$C$78,Settings!$C$80,Settings!$C$82,Settings!$C$84,Settings!$C$86)</f>
        <v/>
      </c>
      <c r="AP282" s="157">
        <f>CHOOSE(MATCH(IF($U282="","Основний",$U282),{"Трафіковий","Основний","Маржинальний","Сезонний","Стратегічний"},0),Settings!$D$78,Settings!$D$80,Settings!$D$82,Settings!$D$84,Settings!$D$86)</f>
        <v/>
      </c>
      <c r="AQ282" s="157">
        <f>CHOOSE(MATCH(IF($U282="","Основний",$U282),{"Трафіковий","Основний","Маржинальний","Сезонний","Стратегічний"},0),Settings!$F$78,Settings!$F$80,Settings!$F$82,Settings!$F$84,Settings!$F$86)</f>
        <v/>
      </c>
      <c r="AR282" s="157">
        <f>CHOOSE(MATCH(IF($U282="","Основний",$U282),{"Трафіковий","Основний","Маржинальний","Сезонний","Стратегічний"},0),Settings!$G$78,Settings!$G$80,Settings!$G$82,Settings!$G$84,Settings!$G$86)</f>
        <v/>
      </c>
      <c r="AS282" s="157">
        <f>CHOOSE(MATCH(IF($U282="","Основний",$U282),{"Трафіковий","Основний","Маржинальний","Сезонний","Стратегічний"},0),Settings!$H$78,Settings!$H$80,Settings!$H$82,Settings!$H$84,Settings!$H$86)</f>
        <v/>
      </c>
      <c r="AT282" s="157">
        <f>CHOOSE(MATCH(IF($U282="","Основний",$U282),{"Трафіковий","Основний","Маржинальний","Сезонний","Стратегічний"},0),Settings!$I$78,Settings!$I$80,Settings!$I$82,Settings!$I$84,Settings!$I$86)</f>
        <v/>
      </c>
      <c r="AU282" s="171" t="n"/>
      <c r="AV282" t="n">
        <v>1.35</v>
      </c>
    </row>
    <row r="283">
      <c r="A283" s="33" t="n"/>
      <c r="B283" s="34" t="inlineStr">
        <is>
          <t>P0423R</t>
        </is>
      </c>
      <c r="C283" s="34" t="inlineStr">
        <is>
          <t>EX. CORD 4 SOC.3M 1,5MM SCHUKO</t>
        </is>
      </c>
      <c r="D283" s="34" t="inlineStr">
        <is>
          <t>Пооджувачи та адаптери</t>
        </is>
      </c>
      <c r="E283" s="33" t="inlineStr">
        <is>
          <t>PC</t>
        </is>
      </c>
      <c r="F283" s="94" t="n">
        <v>3.281</v>
      </c>
      <c r="G283" s="35" t="n">
        <v>8544429090</v>
      </c>
      <c r="H283" s="31" t="n">
        <v>1.4</v>
      </c>
      <c r="I283" s="84">
        <f>IFERROR(F283*Settings!$B$2*H283*IF(AND(ISNUMBER(E283),E283&gt;1),E283,1),"")</f>
        <v/>
      </c>
      <c r="J283" s="32">
        <f>Settings!$B$66</f>
        <v/>
      </c>
      <c r="K283" s="95">
        <f>IFERROR(IF(T283="","",(T283*(1-AN283)*(1-Settings!$B$17)-I283)/(T283*(1-AN283)*(1-Settings!$B$17))),"")</f>
        <v/>
      </c>
      <c r="L283" s="101">
        <f>IFERROR(IF(T283="","",(T283*(1-AO283)*(1-Settings!$C$17)-I283)/(T283*(1-AO283)*(1-Settings!$C$17))),"")</f>
        <v/>
      </c>
      <c r="M283" s="101">
        <f>IFERROR(IF(T283="","",(T283*(1-AP283)*(1-Settings!$D$17)-I283)/(T283*(1-AP283)*(1-Settings!$D$17))),"")</f>
        <v/>
      </c>
      <c r="N283" s="101">
        <f>IFERROR(IF(T283="","",(T283*(1-AQ283)*(1-Settings!$F$17)-I283)/(T283*(1-AQ283)*(1-Settings!$F$17))),"")</f>
        <v/>
      </c>
      <c r="O283" s="101">
        <f>IFERROR(IF(T283="","",(T283*(1-AR283)*(1-Settings!$G$17)-I283)/(T283*(1-AR283)*(1-Settings!$G$17))),"")</f>
        <v/>
      </c>
      <c r="P283" s="101">
        <f>IFERROR(IF(T283="","",(T283*(1-AS283)*(1-Settings!$H$17)-I283)/(T283*(1-AS283)*(1-Settings!$H$17))),"")</f>
        <v/>
      </c>
      <c r="Q283" s="101">
        <f>IFERROR(IF(T283="","",(T283*(1-AT283)*(1-Settings!$I$68)*(1-Settings!$I$17)-I283)/(T283*(1-AT283)*(1-Settings!$I$68)*(1-Settings!$I$17))),"")</f>
        <v/>
      </c>
      <c r="R283" s="91">
        <f>IFERROR(IF(OR(I283="",Z283&gt;=1,Settings!$B$17&gt;=1,AN283&gt;=1),"",IF(MOD(ROUND(I283/(1-Z283)/(1-Settings!$B$17)/(1-AN283),0),10)=0,ROUND(I283/(1-Z283)/(1-Settings!$B$17)/(1-AN283),0)-1,IF(MOD(ROUND(I283/(1-Z283)/(1-Settings!$B$17)/(1-AN283),0),10)&lt;=5,FLOOR(ROUND(I283/(1-Z283)/(1-Settings!$B$17)/(1-AN283),0),10)+6,FLOOR(ROUND(I283/(1-Z283)/(1-Settings!$B$17)/(1-AN283),0),10)+9))),"")</f>
        <v/>
      </c>
      <c r="S283" s="174">
        <f>R283*0.95</f>
        <v/>
      </c>
      <c r="T283" s="91">
        <f>IF(S283&lt;&gt;"", IF(MOD(S283,10)=0,S283-1,IF(MOD(S283,10)&lt;=5,FLOOR(S283,10)+6,FLOOR(S283,10)+9)), R283)</f>
        <v/>
      </c>
      <c r="U283" s="87" t="inlineStr">
        <is>
          <t>Основний</t>
        </is>
      </c>
      <c r="V283" s="88" t="n"/>
      <c r="W283" s="88" t="n"/>
      <c r="X283" s="89">
        <f>IFERROR(IF(OR(V283="",W283="",T283=""),"", IF(T283&gt;W283,"Дорогий",IF(T283&lt;V283,"Дешевий","У ринку"))),"")</f>
        <v/>
      </c>
      <c r="Y283" s="90" t="n"/>
      <c r="Z283" s="104">
        <f>CHOOSE(MATCH(IF($U283="","Основний",$U283),{"Трафіковий","Основний","Маржинальний","Сезонний","Стратегічний"},0),0.16,0.19,0.24,0.23,0.28)</f>
        <v/>
      </c>
      <c r="AA283" s="104">
        <f>CHOOSE(MATCH(IF($U283="","Основний",$U283),{"Трафіковий","Основний","Маржинальний","Сезонний","Стратегічний"},0),0.18,0.21,0.26,0.25,0.3)</f>
        <v/>
      </c>
      <c r="AB283" s="104">
        <f>CHOOSE(MATCH(IF($U283="","Основний",$U283),{"Трафіковий","Основний","Маржинальний","Сезонний","Стратегічний"},0),0.19,0.22,0.28,0.26,0.32)</f>
        <v/>
      </c>
      <c r="AC283" s="104">
        <f>CHOOSE(MATCH(IF($U283="","Основний",$U283),{"Трафіковий","Основний","Маржинальний","Сезонний","Стратегічний"},0),0.17,0.2,0.25,0.24,0.28)</f>
        <v/>
      </c>
      <c r="AD283" s="104">
        <f>CHOOSE(MATCH(IF($U283="","Основний",$U283),{"Трафіковий","Основний","Маржинальний","Сезонний","Стратегічний"},0),0.18,0.21,0.26,0.25,0.3)</f>
        <v/>
      </c>
      <c r="AE283" s="104">
        <f>CHOOSE(MATCH(IF($U283="","Основний",$U283),{"Трафіковий","Основний","Маржинальний","Сезонний","Стратегічний"},0),0.18,0.2,0.28,0.27,0.32)</f>
        <v/>
      </c>
      <c r="AF283" s="104">
        <f>CHOOSE(MATCH(IF($U283="","Основний",$U283),{"Трафіковий","Основний","Маржинальний","Сезонний","Стратегічний"},0),0.15,0.175,0.22,0.21,0.25)</f>
        <v/>
      </c>
      <c r="AG283" s="104">
        <f>CHOOSE(MATCH(IF($U283="","Основний",$U283),{"Трафіковий","Основний","Маржинальний","Сезонний","Стратегічний"},0),0.13,0.16,0.21,0.2,0.25)</f>
        <v/>
      </c>
      <c r="AH283" s="104">
        <f>CHOOSE(MATCH(IF($U283="","Основний",$U283),{"Трафіковий","Основний","Маржинальний","Сезонний","Стратегічний"},0),0.15,0.18,0.23,0.22,0.27)</f>
        <v/>
      </c>
      <c r="AI283" s="104">
        <f>CHOOSE(MATCH(IF($U283="","Основний",$U283),{"Трафіковий","Основний","Маржинальний","Сезонний","Стратегічний"},0),0.16,0.19,0.25,0.23,0.29)</f>
        <v/>
      </c>
      <c r="AJ283" s="104">
        <f>CHOOSE(MATCH(IF($U283="","Основний",$U283),{"Трафіковий","Основний","Маржинальний","Сезонний","Стратегічний"},0),0.14,0.17,0.22,0.21,0.25)</f>
        <v/>
      </c>
      <c r="AK283" s="104">
        <f>CHOOSE(MATCH(IF($U283="","Основний",$U283),{"Трафіковий","Основний","Маржинальний","Сезонний","Стратегічний"},0),0.15,0.18,0.23,0.22,0.27)</f>
        <v/>
      </c>
      <c r="AL283" s="104">
        <f>CHOOSE(MATCH(IF($U283="","Основний",$U283),{"Трафіковий","Основний","Маржинальний","Сезонний","Стратегічний"},0),0.15,0.17,0.25,0.24,0.29)</f>
        <v/>
      </c>
      <c r="AM283" s="104">
        <f>CHOOSE(MATCH(IF($U283="","Основний",$U283),{"Трафіковий","Основний","Маржинальний","Сезонний","Стратегічний"},0),0.12,0.145,0.19,0.18,0.22)</f>
        <v/>
      </c>
      <c r="AN283" s="157">
        <f>CHOOSE(MATCH(IF($U283="","Основний",$U283),{"Трафіковий","Основний","Маржинальний","Сезонний","Стратегічний"},0),Settings!$B$78,Settings!$B$80,Settings!$B$82,Settings!$B$84,Settings!$B$86)</f>
        <v/>
      </c>
      <c r="AO283" s="157">
        <f>CHOOSE(MATCH(IF($U283="","Основний",$U283),{"Трафіковий","Основний","Маржинальний","Сезонний","Стратегічний"},0),Settings!$C$78,Settings!$C$80,Settings!$C$82,Settings!$C$84,Settings!$C$86)</f>
        <v/>
      </c>
      <c r="AP283" s="157">
        <f>CHOOSE(MATCH(IF($U283="","Основний",$U283),{"Трафіковий","Основний","Маржинальний","Сезонний","Стратегічний"},0),Settings!$D$78,Settings!$D$80,Settings!$D$82,Settings!$D$84,Settings!$D$86)</f>
        <v/>
      </c>
      <c r="AQ283" s="157">
        <f>CHOOSE(MATCH(IF($U283="","Основний",$U283),{"Трафіковий","Основний","Маржинальний","Сезонний","Стратегічний"},0),Settings!$F$78,Settings!$F$80,Settings!$F$82,Settings!$F$84,Settings!$F$86)</f>
        <v/>
      </c>
      <c r="AR283" s="157">
        <f>CHOOSE(MATCH(IF($U283="","Основний",$U283),{"Трафіковий","Основний","Маржинальний","Сезонний","Стратегічний"},0),Settings!$G$78,Settings!$G$80,Settings!$G$82,Settings!$G$84,Settings!$G$86)</f>
        <v/>
      </c>
      <c r="AS283" s="157">
        <f>CHOOSE(MATCH(IF($U283="","Основний",$U283),{"Трафіковий","Основний","Маржинальний","Сезонний","Стратегічний"},0),Settings!$H$78,Settings!$H$80,Settings!$H$82,Settings!$H$84,Settings!$H$86)</f>
        <v/>
      </c>
      <c r="AT283" s="157">
        <f>CHOOSE(MATCH(IF($U283="","Основний",$U283),{"Трафіковий","Основний","Маржинальний","Сезонний","Стратегічний"},0),Settings!$I$78,Settings!$I$80,Settings!$I$82,Settings!$I$84,Settings!$I$86)</f>
        <v/>
      </c>
      <c r="AU283" s="171" t="n"/>
      <c r="AV283" t="n">
        <v>1.35</v>
      </c>
    </row>
    <row r="284">
      <c r="A284" s="28" t="n"/>
      <c r="B284" s="29" t="inlineStr">
        <is>
          <t>P0425R</t>
        </is>
      </c>
      <c r="C284" s="29" t="inlineStr">
        <is>
          <t>EXT.POWER CORD 4S 5M SCH 1,5MM</t>
        </is>
      </c>
      <c r="D284" s="29" t="inlineStr">
        <is>
          <t>Пооджувачи та адаптери</t>
        </is>
      </c>
      <c r="E284" s="28" t="inlineStr">
        <is>
          <t>PC</t>
        </is>
      </c>
      <c r="F284" s="93" t="n">
        <v>4.759</v>
      </c>
      <c r="G284" s="30" t="n">
        <v>8544429090</v>
      </c>
      <c r="H284" s="31" t="n">
        <v>1.4</v>
      </c>
      <c r="I284" s="84">
        <f>IFERROR(F284*Settings!$B$2*H284*IF(AND(ISNUMBER(E284),E284&gt;1),E284,1),"")</f>
        <v/>
      </c>
      <c r="J284" s="32">
        <f>Settings!$B$66</f>
        <v/>
      </c>
      <c r="K284" s="95">
        <f>IFERROR(IF(T284="","",(T284*(1-AN284)*(1-Settings!$B$17)-I284)/(T284*(1-AN284)*(1-Settings!$B$17))),"")</f>
        <v/>
      </c>
      <c r="L284" s="101">
        <f>IFERROR(IF(T284="","",(T284*(1-AO284)*(1-Settings!$C$17)-I284)/(T284*(1-AO284)*(1-Settings!$C$17))),"")</f>
        <v/>
      </c>
      <c r="M284" s="101">
        <f>IFERROR(IF(T284="","",(T284*(1-AP284)*(1-Settings!$D$17)-I284)/(T284*(1-AP284)*(1-Settings!$D$17))),"")</f>
        <v/>
      </c>
      <c r="N284" s="101">
        <f>IFERROR(IF(T284="","",(T284*(1-AQ284)*(1-Settings!$F$17)-I284)/(T284*(1-AQ284)*(1-Settings!$F$17))),"")</f>
        <v/>
      </c>
      <c r="O284" s="101">
        <f>IFERROR(IF(T284="","",(T284*(1-AR284)*(1-Settings!$G$17)-I284)/(T284*(1-AR284)*(1-Settings!$G$17))),"")</f>
        <v/>
      </c>
      <c r="P284" s="101">
        <f>IFERROR(IF(T284="","",(T284*(1-AS284)*(1-Settings!$H$17)-I284)/(T284*(1-AS284)*(1-Settings!$H$17))),"")</f>
        <v/>
      </c>
      <c r="Q284" s="101">
        <f>IFERROR(IF(T284="","",(T284*(1-AT284)*(1-Settings!$I$68)*(1-Settings!$I$17)-I284)/(T284*(1-AT284)*(1-Settings!$I$68)*(1-Settings!$I$17))),"")</f>
        <v/>
      </c>
      <c r="R284" s="91">
        <f>IFERROR(IF(OR(I284="",Z284&gt;=1,Settings!$B$17&gt;=1,AN284&gt;=1),"",IF(MOD(ROUND(I284/(1-Z284)/(1-Settings!$B$17)/(1-AN284),0),10)=0,ROUND(I284/(1-Z284)/(1-Settings!$B$17)/(1-AN284),0)-1,IF(MOD(ROUND(I284/(1-Z284)/(1-Settings!$B$17)/(1-AN284),0),10)&lt;=5,FLOOR(ROUND(I284/(1-Z284)/(1-Settings!$B$17)/(1-AN284),0),10)+6,FLOOR(ROUND(I284/(1-Z284)/(1-Settings!$B$17)/(1-AN284),0),10)+9))),"")</f>
        <v/>
      </c>
      <c r="S284" s="174">
        <f>R284*0.95</f>
        <v/>
      </c>
      <c r="T284" s="91">
        <f>IF(S284&lt;&gt;"", IF(MOD(S284,10)=0,S284-1,IF(MOD(S284,10)&lt;=5,FLOOR(S284,10)+6,FLOOR(S284,10)+9)), R284)</f>
        <v/>
      </c>
      <c r="U284" s="87" t="inlineStr">
        <is>
          <t>Основний</t>
        </is>
      </c>
      <c r="V284" s="88" t="n"/>
      <c r="W284" s="88" t="n"/>
      <c r="X284" s="89">
        <f>IFERROR(IF(OR(V284="",W284="",T284=""),"", IF(T284&gt;W284,"Дорогий",IF(T284&lt;V284,"Дешевий","У ринку"))),"")</f>
        <v/>
      </c>
      <c r="Y284" s="90" t="n"/>
      <c r="Z284" s="104">
        <f>CHOOSE(MATCH(IF($U284="","Основний",$U284),{"Трафіковий","Основний","Маржинальний","Сезонний","Стратегічний"},0),0.16,0.19,0.24,0.23,0.28)</f>
        <v/>
      </c>
      <c r="AA284" s="104">
        <f>CHOOSE(MATCH(IF($U284="","Основний",$U284),{"Трафіковий","Основний","Маржинальний","Сезонний","Стратегічний"},0),0.18,0.21,0.26,0.25,0.3)</f>
        <v/>
      </c>
      <c r="AB284" s="104">
        <f>CHOOSE(MATCH(IF($U284="","Основний",$U284),{"Трафіковий","Основний","Маржинальний","Сезонний","Стратегічний"},0),0.19,0.22,0.28,0.26,0.32)</f>
        <v/>
      </c>
      <c r="AC284" s="104">
        <f>CHOOSE(MATCH(IF($U284="","Основний",$U284),{"Трафіковий","Основний","Маржинальний","Сезонний","Стратегічний"},0),0.17,0.2,0.25,0.24,0.28)</f>
        <v/>
      </c>
      <c r="AD284" s="104">
        <f>CHOOSE(MATCH(IF($U284="","Основний",$U284),{"Трафіковий","Основний","Маржинальний","Сезонний","Стратегічний"},0),0.18,0.21,0.26,0.25,0.3)</f>
        <v/>
      </c>
      <c r="AE284" s="104">
        <f>CHOOSE(MATCH(IF($U284="","Основний",$U284),{"Трафіковий","Основний","Маржинальний","Сезонний","Стратегічний"},0),0.18,0.2,0.28,0.27,0.32)</f>
        <v/>
      </c>
      <c r="AF284" s="104">
        <f>CHOOSE(MATCH(IF($U284="","Основний",$U284),{"Трафіковий","Основний","Маржинальний","Сезонний","Стратегічний"},0),0.15,0.175,0.22,0.21,0.25)</f>
        <v/>
      </c>
      <c r="AG284" s="104">
        <f>CHOOSE(MATCH(IF($U284="","Основний",$U284),{"Трафіковий","Основний","Маржинальний","Сезонний","Стратегічний"},0),0.13,0.16,0.21,0.2,0.25)</f>
        <v/>
      </c>
      <c r="AH284" s="104">
        <f>CHOOSE(MATCH(IF($U284="","Основний",$U284),{"Трафіковий","Основний","Маржинальний","Сезонний","Стратегічний"},0),0.15,0.18,0.23,0.22,0.27)</f>
        <v/>
      </c>
      <c r="AI284" s="104">
        <f>CHOOSE(MATCH(IF($U284="","Основний",$U284),{"Трафіковий","Основний","Маржинальний","Сезонний","Стратегічний"},0),0.16,0.19,0.25,0.23,0.29)</f>
        <v/>
      </c>
      <c r="AJ284" s="104">
        <f>CHOOSE(MATCH(IF($U284="","Основний",$U284),{"Трафіковий","Основний","Маржинальний","Сезонний","Стратегічний"},0),0.14,0.17,0.22,0.21,0.25)</f>
        <v/>
      </c>
      <c r="AK284" s="104">
        <f>CHOOSE(MATCH(IF($U284="","Основний",$U284),{"Трафіковий","Основний","Маржинальний","Сезонний","Стратегічний"},0),0.15,0.18,0.23,0.22,0.27)</f>
        <v/>
      </c>
      <c r="AL284" s="104">
        <f>CHOOSE(MATCH(IF($U284="","Основний",$U284),{"Трафіковий","Основний","Маржинальний","Сезонний","Стратегічний"},0),0.15,0.17,0.25,0.24,0.29)</f>
        <v/>
      </c>
      <c r="AM284" s="104">
        <f>CHOOSE(MATCH(IF($U284="","Основний",$U284),{"Трафіковий","Основний","Маржинальний","Сезонний","Стратегічний"},0),0.12,0.145,0.19,0.18,0.22)</f>
        <v/>
      </c>
      <c r="AN284" s="157">
        <f>CHOOSE(MATCH(IF($U284="","Основний",$U284),{"Трафіковий","Основний","Маржинальний","Сезонний","Стратегічний"},0),Settings!$B$78,Settings!$B$80,Settings!$B$82,Settings!$B$84,Settings!$B$86)</f>
        <v/>
      </c>
      <c r="AO284" s="157">
        <f>CHOOSE(MATCH(IF($U284="","Основний",$U284),{"Трафіковий","Основний","Маржинальний","Сезонний","Стратегічний"},0),Settings!$C$78,Settings!$C$80,Settings!$C$82,Settings!$C$84,Settings!$C$86)</f>
        <v/>
      </c>
      <c r="AP284" s="157">
        <f>CHOOSE(MATCH(IF($U284="","Основний",$U284),{"Трафіковий","Основний","Маржинальний","Сезонний","Стратегічний"},0),Settings!$D$78,Settings!$D$80,Settings!$D$82,Settings!$D$84,Settings!$D$86)</f>
        <v/>
      </c>
      <c r="AQ284" s="157">
        <f>CHOOSE(MATCH(IF($U284="","Основний",$U284),{"Трафіковий","Основний","Маржинальний","Сезонний","Стратегічний"},0),Settings!$F$78,Settings!$F$80,Settings!$F$82,Settings!$F$84,Settings!$F$86)</f>
        <v/>
      </c>
      <c r="AR284" s="157">
        <f>CHOOSE(MATCH(IF($U284="","Основний",$U284),{"Трафіковий","Основний","Маржинальний","Сезонний","Стратегічний"},0),Settings!$G$78,Settings!$G$80,Settings!$G$82,Settings!$G$84,Settings!$G$86)</f>
        <v/>
      </c>
      <c r="AS284" s="157">
        <f>CHOOSE(MATCH(IF($U284="","Основний",$U284),{"Трафіковий","Основний","Маржинальний","Сезонний","Стратегічний"},0),Settings!$H$78,Settings!$H$80,Settings!$H$82,Settings!$H$84,Settings!$H$86)</f>
        <v/>
      </c>
      <c r="AT284" s="157">
        <f>CHOOSE(MATCH(IF($U284="","Основний",$U284),{"Трафіковий","Основний","Маржинальний","Сезонний","Стратегічний"},0),Settings!$I$78,Settings!$I$80,Settings!$I$82,Settings!$I$84,Settings!$I$86)</f>
        <v/>
      </c>
      <c r="AU284" s="171" t="n"/>
      <c r="AV284" t="n">
        <v>1.35</v>
      </c>
    </row>
    <row r="285">
      <c r="A285" s="33" t="n"/>
      <c r="B285" s="34" t="inlineStr">
        <is>
          <t>P0521R</t>
        </is>
      </c>
      <c r="C285" s="34" t="inlineStr">
        <is>
          <t>EX. CORD 5S 1,5M 1,5MM SCHUKO</t>
        </is>
      </c>
      <c r="D285" s="34" t="inlineStr">
        <is>
          <t>Пооджувачи та адаптери</t>
        </is>
      </c>
      <c r="E285" s="33" t="inlineStr">
        <is>
          <t>PC</t>
        </is>
      </c>
      <c r="F285" s="94" t="n">
        <v>2.452</v>
      </c>
      <c r="G285" s="35" t="n">
        <v>8544429090</v>
      </c>
      <c r="H285" s="31" t="n">
        <v>1.4</v>
      </c>
      <c r="I285" s="84">
        <f>IFERROR(F285*Settings!$B$2*H285*IF(AND(ISNUMBER(E285),E285&gt;1),E285,1),"")</f>
        <v/>
      </c>
      <c r="J285" s="32">
        <f>Settings!$B$66</f>
        <v/>
      </c>
      <c r="K285" s="95">
        <f>IFERROR(IF(T285="","",(T285*(1-AN285)*(1-Settings!$B$17)-I285)/(T285*(1-AN285)*(1-Settings!$B$17))),"")</f>
        <v/>
      </c>
      <c r="L285" s="101">
        <f>IFERROR(IF(T285="","",(T285*(1-AO285)*(1-Settings!$C$17)-I285)/(T285*(1-AO285)*(1-Settings!$C$17))),"")</f>
        <v/>
      </c>
      <c r="M285" s="101">
        <f>IFERROR(IF(T285="","",(T285*(1-AP285)*(1-Settings!$D$17)-I285)/(T285*(1-AP285)*(1-Settings!$D$17))),"")</f>
        <v/>
      </c>
      <c r="N285" s="101">
        <f>IFERROR(IF(T285="","",(T285*(1-AQ285)*(1-Settings!$F$17)-I285)/(T285*(1-AQ285)*(1-Settings!$F$17))),"")</f>
        <v/>
      </c>
      <c r="O285" s="101">
        <f>IFERROR(IF(T285="","",(T285*(1-AR285)*(1-Settings!$G$17)-I285)/(T285*(1-AR285)*(1-Settings!$G$17))),"")</f>
        <v/>
      </c>
      <c r="P285" s="101">
        <f>IFERROR(IF(T285="","",(T285*(1-AS285)*(1-Settings!$H$17)-I285)/(T285*(1-AS285)*(1-Settings!$H$17))),"")</f>
        <v/>
      </c>
      <c r="Q285" s="101">
        <f>IFERROR(IF(T285="","",(T285*(1-AT285)*(1-Settings!$I$68)*(1-Settings!$I$17)-I285)/(T285*(1-AT285)*(1-Settings!$I$68)*(1-Settings!$I$17))),"")</f>
        <v/>
      </c>
      <c r="R285" s="91">
        <f>IFERROR(IF(OR(I285="",Z285&gt;=1,Settings!$B$17&gt;=1,AN285&gt;=1),"",IF(MOD(ROUND(I285/(1-Z285)/(1-Settings!$B$17)/(1-AN285),0),10)=0,ROUND(I285/(1-Z285)/(1-Settings!$B$17)/(1-AN285),0)-1,IF(MOD(ROUND(I285/(1-Z285)/(1-Settings!$B$17)/(1-AN285),0),10)&lt;=5,FLOOR(ROUND(I285/(1-Z285)/(1-Settings!$B$17)/(1-AN285),0),10)+6,FLOOR(ROUND(I285/(1-Z285)/(1-Settings!$B$17)/(1-AN285),0),10)+9))),"")</f>
        <v/>
      </c>
      <c r="S285" s="174">
        <f>R285*0.95</f>
        <v/>
      </c>
      <c r="T285" s="91">
        <f>IF(S285&lt;&gt;"", IF(MOD(S285,10)=0,S285-1,IF(MOD(S285,10)&lt;=5,FLOOR(S285,10)+6,FLOOR(S285,10)+9)), R285)</f>
        <v/>
      </c>
      <c r="U285" s="87" t="inlineStr">
        <is>
          <t>Основний</t>
        </is>
      </c>
      <c r="V285" s="88" t="n"/>
      <c r="W285" s="88" t="n"/>
      <c r="X285" s="89">
        <f>IFERROR(IF(OR(V285="",W285="",T285=""),"", IF(T285&gt;W285,"Дорогий",IF(T285&lt;V285,"Дешевий","У ринку"))),"")</f>
        <v/>
      </c>
      <c r="Y285" s="90" t="n"/>
      <c r="Z285" s="104">
        <f>CHOOSE(MATCH(IF($U285="","Основний",$U285),{"Трафіковий","Основний","Маржинальний","Сезонний","Стратегічний"},0),0.16,0.19,0.24,0.23,0.28)</f>
        <v/>
      </c>
      <c r="AA285" s="104">
        <f>CHOOSE(MATCH(IF($U285="","Основний",$U285),{"Трафіковий","Основний","Маржинальний","Сезонний","Стратегічний"},0),0.18,0.21,0.26,0.25,0.3)</f>
        <v/>
      </c>
      <c r="AB285" s="104">
        <f>CHOOSE(MATCH(IF($U285="","Основний",$U285),{"Трафіковий","Основний","Маржинальний","Сезонний","Стратегічний"},0),0.19,0.22,0.28,0.26,0.32)</f>
        <v/>
      </c>
      <c r="AC285" s="104">
        <f>CHOOSE(MATCH(IF($U285="","Основний",$U285),{"Трафіковий","Основний","Маржинальний","Сезонний","Стратегічний"},0),0.17,0.2,0.25,0.24,0.28)</f>
        <v/>
      </c>
      <c r="AD285" s="104">
        <f>CHOOSE(MATCH(IF($U285="","Основний",$U285),{"Трафіковий","Основний","Маржинальний","Сезонний","Стратегічний"},0),0.18,0.21,0.26,0.25,0.3)</f>
        <v/>
      </c>
      <c r="AE285" s="104">
        <f>CHOOSE(MATCH(IF($U285="","Основний",$U285),{"Трафіковий","Основний","Маржинальний","Сезонний","Стратегічний"},0),0.18,0.2,0.28,0.27,0.32)</f>
        <v/>
      </c>
      <c r="AF285" s="104">
        <f>CHOOSE(MATCH(IF($U285="","Основний",$U285),{"Трафіковий","Основний","Маржинальний","Сезонний","Стратегічний"},0),0.15,0.175,0.22,0.21,0.25)</f>
        <v/>
      </c>
      <c r="AG285" s="104">
        <f>CHOOSE(MATCH(IF($U285="","Основний",$U285),{"Трафіковий","Основний","Маржинальний","Сезонний","Стратегічний"},0),0.13,0.16,0.21,0.2,0.25)</f>
        <v/>
      </c>
      <c r="AH285" s="104">
        <f>CHOOSE(MATCH(IF($U285="","Основний",$U285),{"Трафіковий","Основний","Маржинальний","Сезонний","Стратегічний"},0),0.15,0.18,0.23,0.22,0.27)</f>
        <v/>
      </c>
      <c r="AI285" s="104">
        <f>CHOOSE(MATCH(IF($U285="","Основний",$U285),{"Трафіковий","Основний","Маржинальний","Сезонний","Стратегічний"},0),0.16,0.19,0.25,0.23,0.29)</f>
        <v/>
      </c>
      <c r="AJ285" s="104">
        <f>CHOOSE(MATCH(IF($U285="","Основний",$U285),{"Трафіковий","Основний","Маржинальний","Сезонний","Стратегічний"},0),0.14,0.17,0.22,0.21,0.25)</f>
        <v/>
      </c>
      <c r="AK285" s="104">
        <f>CHOOSE(MATCH(IF($U285="","Основний",$U285),{"Трафіковий","Основний","Маржинальний","Сезонний","Стратегічний"},0),0.15,0.18,0.23,0.22,0.27)</f>
        <v/>
      </c>
      <c r="AL285" s="104">
        <f>CHOOSE(MATCH(IF($U285="","Основний",$U285),{"Трафіковий","Основний","Маржинальний","Сезонний","Стратегічний"},0),0.15,0.17,0.25,0.24,0.29)</f>
        <v/>
      </c>
      <c r="AM285" s="104">
        <f>CHOOSE(MATCH(IF($U285="","Основний",$U285),{"Трафіковий","Основний","Маржинальний","Сезонний","Стратегічний"},0),0.12,0.145,0.19,0.18,0.22)</f>
        <v/>
      </c>
      <c r="AN285" s="157">
        <f>CHOOSE(MATCH(IF($U285="","Основний",$U285),{"Трафіковий","Основний","Маржинальний","Сезонний","Стратегічний"},0),Settings!$B$78,Settings!$B$80,Settings!$B$82,Settings!$B$84,Settings!$B$86)</f>
        <v/>
      </c>
      <c r="AO285" s="157">
        <f>CHOOSE(MATCH(IF($U285="","Основний",$U285),{"Трафіковий","Основний","Маржинальний","Сезонний","Стратегічний"},0),Settings!$C$78,Settings!$C$80,Settings!$C$82,Settings!$C$84,Settings!$C$86)</f>
        <v/>
      </c>
      <c r="AP285" s="157">
        <f>CHOOSE(MATCH(IF($U285="","Основний",$U285),{"Трафіковий","Основний","Маржинальний","Сезонний","Стратегічний"},0),Settings!$D$78,Settings!$D$80,Settings!$D$82,Settings!$D$84,Settings!$D$86)</f>
        <v/>
      </c>
      <c r="AQ285" s="157">
        <f>CHOOSE(MATCH(IF($U285="","Основний",$U285),{"Трафіковий","Основний","Маржинальний","Сезонний","Стратегічний"},0),Settings!$F$78,Settings!$F$80,Settings!$F$82,Settings!$F$84,Settings!$F$86)</f>
        <v/>
      </c>
      <c r="AR285" s="157">
        <f>CHOOSE(MATCH(IF($U285="","Основний",$U285),{"Трафіковий","Основний","Маржинальний","Сезонний","Стратегічний"},0),Settings!$G$78,Settings!$G$80,Settings!$G$82,Settings!$G$84,Settings!$G$86)</f>
        <v/>
      </c>
      <c r="AS285" s="157">
        <f>CHOOSE(MATCH(IF($U285="","Основний",$U285),{"Трафіковий","Основний","Маржинальний","Сезонний","Стратегічний"},0),Settings!$H$78,Settings!$H$80,Settings!$H$82,Settings!$H$84,Settings!$H$86)</f>
        <v/>
      </c>
      <c r="AT285" s="157">
        <f>CHOOSE(MATCH(IF($U285="","Основний",$U285),{"Трафіковий","Основний","Маржинальний","Сезонний","Стратегічний"},0),Settings!$I$78,Settings!$I$80,Settings!$I$82,Settings!$I$84,Settings!$I$86)</f>
        <v/>
      </c>
      <c r="AU285" s="171" t="n"/>
      <c r="AV285" t="n">
        <v>1.35</v>
      </c>
    </row>
    <row r="286">
      <c r="A286" s="28" t="n"/>
      <c r="B286" s="29" t="inlineStr">
        <is>
          <t>P0523R</t>
        </is>
      </c>
      <c r="C286" s="29" t="inlineStr">
        <is>
          <t>EXT.POW.CORD 5S 3M 1,5MM SCH</t>
        </is>
      </c>
      <c r="D286" s="29" t="inlineStr">
        <is>
          <t>Пооджувачи та адаптери</t>
        </is>
      </c>
      <c r="E286" s="28" t="inlineStr">
        <is>
          <t>PC</t>
        </is>
      </c>
      <c r="F286" s="93" t="n">
        <v>3.439</v>
      </c>
      <c r="G286" s="30" t="n">
        <v>8544429090</v>
      </c>
      <c r="H286" s="31" t="n">
        <v>1.4</v>
      </c>
      <c r="I286" s="84">
        <f>IFERROR(F286*Settings!$B$2*H286*IF(AND(ISNUMBER(E286),E286&gt;1),E286,1),"")</f>
        <v/>
      </c>
      <c r="J286" s="32">
        <f>Settings!$B$66</f>
        <v/>
      </c>
      <c r="K286" s="95">
        <f>IFERROR(IF(T286="","",(T286*(1-AN286)*(1-Settings!$B$17)-I286)/(T286*(1-AN286)*(1-Settings!$B$17))),"")</f>
        <v/>
      </c>
      <c r="L286" s="101">
        <f>IFERROR(IF(T286="","",(T286*(1-AO286)*(1-Settings!$C$17)-I286)/(T286*(1-AO286)*(1-Settings!$C$17))),"")</f>
        <v/>
      </c>
      <c r="M286" s="101">
        <f>IFERROR(IF(T286="","",(T286*(1-AP286)*(1-Settings!$D$17)-I286)/(T286*(1-AP286)*(1-Settings!$D$17))),"")</f>
        <v/>
      </c>
      <c r="N286" s="101">
        <f>IFERROR(IF(T286="","",(T286*(1-AQ286)*(1-Settings!$F$17)-I286)/(T286*(1-AQ286)*(1-Settings!$F$17))),"")</f>
        <v/>
      </c>
      <c r="O286" s="101">
        <f>IFERROR(IF(T286="","",(T286*(1-AR286)*(1-Settings!$G$17)-I286)/(T286*(1-AR286)*(1-Settings!$G$17))),"")</f>
        <v/>
      </c>
      <c r="P286" s="101">
        <f>IFERROR(IF(T286="","",(T286*(1-AS286)*(1-Settings!$H$17)-I286)/(T286*(1-AS286)*(1-Settings!$H$17))),"")</f>
        <v/>
      </c>
      <c r="Q286" s="101">
        <f>IFERROR(IF(T286="","",(T286*(1-AT286)*(1-Settings!$I$68)*(1-Settings!$I$17)-I286)/(T286*(1-AT286)*(1-Settings!$I$68)*(1-Settings!$I$17))),"")</f>
        <v/>
      </c>
      <c r="R286" s="91">
        <f>IFERROR(IF(OR(I286="",Z286&gt;=1,Settings!$B$17&gt;=1,AN286&gt;=1),"",IF(MOD(ROUND(I286/(1-Z286)/(1-Settings!$B$17)/(1-AN286),0),10)=0,ROUND(I286/(1-Z286)/(1-Settings!$B$17)/(1-AN286),0)-1,IF(MOD(ROUND(I286/(1-Z286)/(1-Settings!$B$17)/(1-AN286),0),10)&lt;=5,FLOOR(ROUND(I286/(1-Z286)/(1-Settings!$B$17)/(1-AN286),0),10)+6,FLOOR(ROUND(I286/(1-Z286)/(1-Settings!$B$17)/(1-AN286),0),10)+9))),"")</f>
        <v/>
      </c>
      <c r="S286" s="174">
        <f>R286*0.95</f>
        <v/>
      </c>
      <c r="T286" s="91">
        <f>IF(S286&lt;&gt;"", IF(MOD(S286,10)=0,S286-1,IF(MOD(S286,10)&lt;=5,FLOOR(S286,10)+6,FLOOR(S286,10)+9)), R286)</f>
        <v/>
      </c>
      <c r="U286" s="87" t="inlineStr">
        <is>
          <t>Основний</t>
        </is>
      </c>
      <c r="V286" s="88" t="n"/>
      <c r="W286" s="88" t="n"/>
      <c r="X286" s="89">
        <f>IFERROR(IF(OR(V286="",W286="",T286=""),"", IF(T286&gt;W286,"Дорогий",IF(T286&lt;V286,"Дешевий","У ринку"))),"")</f>
        <v/>
      </c>
      <c r="Y286" s="90" t="n"/>
      <c r="Z286" s="104">
        <f>CHOOSE(MATCH(IF($U286="","Основний",$U286),{"Трафіковий","Основний","Маржинальний","Сезонний","Стратегічний"},0),0.16,0.19,0.24,0.23,0.28)</f>
        <v/>
      </c>
      <c r="AA286" s="104">
        <f>CHOOSE(MATCH(IF($U286="","Основний",$U286),{"Трафіковий","Основний","Маржинальний","Сезонний","Стратегічний"},0),0.18,0.21,0.26,0.25,0.3)</f>
        <v/>
      </c>
      <c r="AB286" s="104">
        <f>CHOOSE(MATCH(IF($U286="","Основний",$U286),{"Трафіковий","Основний","Маржинальний","Сезонний","Стратегічний"},0),0.19,0.22,0.28,0.26,0.32)</f>
        <v/>
      </c>
      <c r="AC286" s="104">
        <f>CHOOSE(MATCH(IF($U286="","Основний",$U286),{"Трафіковий","Основний","Маржинальний","Сезонний","Стратегічний"},0),0.17,0.2,0.25,0.24,0.28)</f>
        <v/>
      </c>
      <c r="AD286" s="104">
        <f>CHOOSE(MATCH(IF($U286="","Основний",$U286),{"Трафіковий","Основний","Маржинальний","Сезонний","Стратегічний"},0),0.18,0.21,0.26,0.25,0.3)</f>
        <v/>
      </c>
      <c r="AE286" s="104">
        <f>CHOOSE(MATCH(IF($U286="","Основний",$U286),{"Трафіковий","Основний","Маржинальний","Сезонний","Стратегічний"},0),0.18,0.2,0.28,0.27,0.32)</f>
        <v/>
      </c>
      <c r="AF286" s="104">
        <f>CHOOSE(MATCH(IF($U286="","Основний",$U286),{"Трафіковий","Основний","Маржинальний","Сезонний","Стратегічний"},0),0.15,0.175,0.22,0.21,0.25)</f>
        <v/>
      </c>
      <c r="AG286" s="104">
        <f>CHOOSE(MATCH(IF($U286="","Основний",$U286),{"Трафіковий","Основний","Маржинальний","Сезонний","Стратегічний"},0),0.13,0.16,0.21,0.2,0.25)</f>
        <v/>
      </c>
      <c r="AH286" s="104">
        <f>CHOOSE(MATCH(IF($U286="","Основний",$U286),{"Трафіковий","Основний","Маржинальний","Сезонний","Стратегічний"},0),0.15,0.18,0.23,0.22,0.27)</f>
        <v/>
      </c>
      <c r="AI286" s="104">
        <f>CHOOSE(MATCH(IF($U286="","Основний",$U286),{"Трафіковий","Основний","Маржинальний","Сезонний","Стратегічний"},0),0.16,0.19,0.25,0.23,0.29)</f>
        <v/>
      </c>
      <c r="AJ286" s="104">
        <f>CHOOSE(MATCH(IF($U286="","Основний",$U286),{"Трафіковий","Основний","Маржинальний","Сезонний","Стратегічний"},0),0.14,0.17,0.22,0.21,0.25)</f>
        <v/>
      </c>
      <c r="AK286" s="104">
        <f>CHOOSE(MATCH(IF($U286="","Основний",$U286),{"Трафіковий","Основний","Маржинальний","Сезонний","Стратегічний"},0),0.15,0.18,0.23,0.22,0.27)</f>
        <v/>
      </c>
      <c r="AL286" s="104">
        <f>CHOOSE(MATCH(IF($U286="","Основний",$U286),{"Трафіковий","Основний","Маржинальний","Сезонний","Стратегічний"},0),0.15,0.17,0.25,0.24,0.29)</f>
        <v/>
      </c>
      <c r="AM286" s="104">
        <f>CHOOSE(MATCH(IF($U286="","Основний",$U286),{"Трафіковий","Основний","Маржинальний","Сезонний","Стратегічний"},0),0.12,0.145,0.19,0.18,0.22)</f>
        <v/>
      </c>
      <c r="AN286" s="157">
        <f>CHOOSE(MATCH(IF($U286="","Основний",$U286),{"Трафіковий","Основний","Маржинальний","Сезонний","Стратегічний"},0),Settings!$B$78,Settings!$B$80,Settings!$B$82,Settings!$B$84,Settings!$B$86)</f>
        <v/>
      </c>
      <c r="AO286" s="157">
        <f>CHOOSE(MATCH(IF($U286="","Основний",$U286),{"Трафіковий","Основний","Маржинальний","Сезонний","Стратегічний"},0),Settings!$C$78,Settings!$C$80,Settings!$C$82,Settings!$C$84,Settings!$C$86)</f>
        <v/>
      </c>
      <c r="AP286" s="157">
        <f>CHOOSE(MATCH(IF($U286="","Основний",$U286),{"Трафіковий","Основний","Маржинальний","Сезонний","Стратегічний"},0),Settings!$D$78,Settings!$D$80,Settings!$D$82,Settings!$D$84,Settings!$D$86)</f>
        <v/>
      </c>
      <c r="AQ286" s="157">
        <f>CHOOSE(MATCH(IF($U286="","Основний",$U286),{"Трафіковий","Основний","Маржинальний","Сезонний","Стратегічний"},0),Settings!$F$78,Settings!$F$80,Settings!$F$82,Settings!$F$84,Settings!$F$86)</f>
        <v/>
      </c>
      <c r="AR286" s="157">
        <f>CHOOSE(MATCH(IF($U286="","Основний",$U286),{"Трафіковий","Основний","Маржинальний","Сезонний","Стратегічний"},0),Settings!$G$78,Settings!$G$80,Settings!$G$82,Settings!$G$84,Settings!$G$86)</f>
        <v/>
      </c>
      <c r="AS286" s="157">
        <f>CHOOSE(MATCH(IF($U286="","Основний",$U286),{"Трафіковий","Основний","Маржинальний","Сезонний","Стратегічний"},0),Settings!$H$78,Settings!$H$80,Settings!$H$82,Settings!$H$84,Settings!$H$86)</f>
        <v/>
      </c>
      <c r="AT286" s="157">
        <f>CHOOSE(MATCH(IF($U286="","Основний",$U286),{"Трафіковий","Основний","Маржинальний","Сезонний","Стратегічний"},0),Settings!$I$78,Settings!$I$80,Settings!$I$82,Settings!$I$84,Settings!$I$86)</f>
        <v/>
      </c>
      <c r="AU286" s="171" t="n"/>
      <c r="AV286" t="n">
        <v>1.35</v>
      </c>
    </row>
    <row r="287">
      <c r="A287" s="33" t="n"/>
      <c r="B287" s="34" t="inlineStr">
        <is>
          <t>P0525R</t>
        </is>
      </c>
      <c r="C287" s="34" t="inlineStr">
        <is>
          <t>EXT.POW.CORD 5S 5M 1,5MM SCH</t>
        </is>
      </c>
      <c r="D287" s="34" t="inlineStr">
        <is>
          <t>Пооджувачи та адаптери</t>
        </is>
      </c>
      <c r="E287" s="33" t="inlineStr">
        <is>
          <t>PC</t>
        </is>
      </c>
      <c r="F287" s="94" t="n">
        <v>4.933</v>
      </c>
      <c r="G287" s="35" t="n">
        <v>8544429090</v>
      </c>
      <c r="H287" s="31" t="n">
        <v>1.4</v>
      </c>
      <c r="I287" s="84">
        <f>IFERROR(F287*Settings!$B$2*H287*IF(AND(ISNUMBER(E287),E287&gt;1),E287,1),"")</f>
        <v/>
      </c>
      <c r="J287" s="32">
        <f>Settings!$B$66</f>
        <v/>
      </c>
      <c r="K287" s="95">
        <f>IFERROR(IF(T287="","",(T287*(1-AN287)*(1-Settings!$B$17)-I287)/(T287*(1-AN287)*(1-Settings!$B$17))),"")</f>
        <v/>
      </c>
      <c r="L287" s="101">
        <f>IFERROR(IF(T287="","",(T287*(1-AO287)*(1-Settings!$C$17)-I287)/(T287*(1-AO287)*(1-Settings!$C$17))),"")</f>
        <v/>
      </c>
      <c r="M287" s="101">
        <f>IFERROR(IF(T287="","",(T287*(1-AP287)*(1-Settings!$D$17)-I287)/(T287*(1-AP287)*(1-Settings!$D$17))),"")</f>
        <v/>
      </c>
      <c r="N287" s="101">
        <f>IFERROR(IF(T287="","",(T287*(1-AQ287)*(1-Settings!$F$17)-I287)/(T287*(1-AQ287)*(1-Settings!$F$17))),"")</f>
        <v/>
      </c>
      <c r="O287" s="101">
        <f>IFERROR(IF(T287="","",(T287*(1-AR287)*(1-Settings!$G$17)-I287)/(T287*(1-AR287)*(1-Settings!$G$17))),"")</f>
        <v/>
      </c>
      <c r="P287" s="101">
        <f>IFERROR(IF(T287="","",(T287*(1-AS287)*(1-Settings!$H$17)-I287)/(T287*(1-AS287)*(1-Settings!$H$17))),"")</f>
        <v/>
      </c>
      <c r="Q287" s="101">
        <f>IFERROR(IF(T287="","",(T287*(1-AT287)*(1-Settings!$I$68)*(1-Settings!$I$17)-I287)/(T287*(1-AT287)*(1-Settings!$I$68)*(1-Settings!$I$17))),"")</f>
        <v/>
      </c>
      <c r="R287" s="91">
        <f>IFERROR(IF(OR(I287="",Z287&gt;=1,Settings!$B$17&gt;=1,AN287&gt;=1),"",IF(MOD(ROUND(I287/(1-Z287)/(1-Settings!$B$17)/(1-AN287),0),10)=0,ROUND(I287/(1-Z287)/(1-Settings!$B$17)/(1-AN287),0)-1,IF(MOD(ROUND(I287/(1-Z287)/(1-Settings!$B$17)/(1-AN287),0),10)&lt;=5,FLOOR(ROUND(I287/(1-Z287)/(1-Settings!$B$17)/(1-AN287),0),10)+6,FLOOR(ROUND(I287/(1-Z287)/(1-Settings!$B$17)/(1-AN287),0),10)+9))),"")</f>
        <v/>
      </c>
      <c r="S287" s="174">
        <f>R287*0.95</f>
        <v/>
      </c>
      <c r="T287" s="91">
        <f>IF(S287&lt;&gt;"", IF(MOD(S287,10)=0,S287-1,IF(MOD(S287,10)&lt;=5,FLOOR(S287,10)+6,FLOOR(S287,10)+9)), R287)</f>
        <v/>
      </c>
      <c r="U287" s="87" t="inlineStr">
        <is>
          <t>Основний</t>
        </is>
      </c>
      <c r="V287" s="88" t="n"/>
      <c r="W287" s="88" t="n"/>
      <c r="X287" s="89">
        <f>IFERROR(IF(OR(V287="",W287="",T287=""),"", IF(T287&gt;W287,"Дорогий",IF(T287&lt;V287,"Дешевий","У ринку"))),"")</f>
        <v/>
      </c>
      <c r="Y287" s="90" t="n"/>
      <c r="Z287" s="104">
        <f>CHOOSE(MATCH(IF($U287="","Основний",$U287),{"Трафіковий","Основний","Маржинальний","Сезонний","Стратегічний"},0),0.16,0.19,0.24,0.23,0.28)</f>
        <v/>
      </c>
      <c r="AA287" s="104">
        <f>CHOOSE(MATCH(IF($U287="","Основний",$U287),{"Трафіковий","Основний","Маржинальний","Сезонний","Стратегічний"},0),0.18,0.21,0.26,0.25,0.3)</f>
        <v/>
      </c>
      <c r="AB287" s="104">
        <f>CHOOSE(MATCH(IF($U287="","Основний",$U287),{"Трафіковий","Основний","Маржинальний","Сезонний","Стратегічний"},0),0.19,0.22,0.28,0.26,0.32)</f>
        <v/>
      </c>
      <c r="AC287" s="104">
        <f>CHOOSE(MATCH(IF($U287="","Основний",$U287),{"Трафіковий","Основний","Маржинальний","Сезонний","Стратегічний"},0),0.17,0.2,0.25,0.24,0.28)</f>
        <v/>
      </c>
      <c r="AD287" s="104">
        <f>CHOOSE(MATCH(IF($U287="","Основний",$U287),{"Трафіковий","Основний","Маржинальний","Сезонний","Стратегічний"},0),0.18,0.21,0.26,0.25,0.3)</f>
        <v/>
      </c>
      <c r="AE287" s="104">
        <f>CHOOSE(MATCH(IF($U287="","Основний",$U287),{"Трафіковий","Основний","Маржинальний","Сезонний","Стратегічний"},0),0.18,0.2,0.28,0.27,0.32)</f>
        <v/>
      </c>
      <c r="AF287" s="104">
        <f>CHOOSE(MATCH(IF($U287="","Основний",$U287),{"Трафіковий","Основний","Маржинальний","Сезонний","Стратегічний"},0),0.15,0.175,0.22,0.21,0.25)</f>
        <v/>
      </c>
      <c r="AG287" s="104">
        <f>CHOOSE(MATCH(IF($U287="","Основний",$U287),{"Трафіковий","Основний","Маржинальний","Сезонний","Стратегічний"},0),0.13,0.16,0.21,0.2,0.25)</f>
        <v/>
      </c>
      <c r="AH287" s="104">
        <f>CHOOSE(MATCH(IF($U287="","Основний",$U287),{"Трафіковий","Основний","Маржинальний","Сезонний","Стратегічний"},0),0.15,0.18,0.23,0.22,0.27)</f>
        <v/>
      </c>
      <c r="AI287" s="104">
        <f>CHOOSE(MATCH(IF($U287="","Основний",$U287),{"Трафіковий","Основний","Маржинальний","Сезонний","Стратегічний"},0),0.16,0.19,0.25,0.23,0.29)</f>
        <v/>
      </c>
      <c r="AJ287" s="104">
        <f>CHOOSE(MATCH(IF($U287="","Основний",$U287),{"Трафіковий","Основний","Маржинальний","Сезонний","Стратегічний"},0),0.14,0.17,0.22,0.21,0.25)</f>
        <v/>
      </c>
      <c r="AK287" s="104">
        <f>CHOOSE(MATCH(IF($U287="","Основний",$U287),{"Трафіковий","Основний","Маржинальний","Сезонний","Стратегічний"},0),0.15,0.18,0.23,0.22,0.27)</f>
        <v/>
      </c>
      <c r="AL287" s="104">
        <f>CHOOSE(MATCH(IF($U287="","Основний",$U287),{"Трафіковий","Основний","Маржинальний","Сезонний","Стратегічний"},0),0.15,0.17,0.25,0.24,0.29)</f>
        <v/>
      </c>
      <c r="AM287" s="104">
        <f>CHOOSE(MATCH(IF($U287="","Основний",$U287),{"Трафіковий","Основний","Маржинальний","Сезонний","Стратегічний"},0),0.12,0.145,0.19,0.18,0.22)</f>
        <v/>
      </c>
      <c r="AN287" s="157">
        <f>CHOOSE(MATCH(IF($U287="","Основний",$U287),{"Трафіковий","Основний","Маржинальний","Сезонний","Стратегічний"},0),Settings!$B$78,Settings!$B$80,Settings!$B$82,Settings!$B$84,Settings!$B$86)</f>
        <v/>
      </c>
      <c r="AO287" s="157">
        <f>CHOOSE(MATCH(IF($U287="","Основний",$U287),{"Трафіковий","Основний","Маржинальний","Сезонний","Стратегічний"},0),Settings!$C$78,Settings!$C$80,Settings!$C$82,Settings!$C$84,Settings!$C$86)</f>
        <v/>
      </c>
      <c r="AP287" s="157">
        <f>CHOOSE(MATCH(IF($U287="","Основний",$U287),{"Трафіковий","Основний","Маржинальний","Сезонний","Стратегічний"},0),Settings!$D$78,Settings!$D$80,Settings!$D$82,Settings!$D$84,Settings!$D$86)</f>
        <v/>
      </c>
      <c r="AQ287" s="157">
        <f>CHOOSE(MATCH(IF($U287="","Основний",$U287),{"Трафіковий","Основний","Маржинальний","Сезонний","Стратегічний"},0),Settings!$F$78,Settings!$F$80,Settings!$F$82,Settings!$F$84,Settings!$F$86)</f>
        <v/>
      </c>
      <c r="AR287" s="157">
        <f>CHOOSE(MATCH(IF($U287="","Основний",$U287),{"Трафіковий","Основний","Маржинальний","Сезонний","Стратегічний"},0),Settings!$G$78,Settings!$G$80,Settings!$G$82,Settings!$G$84,Settings!$G$86)</f>
        <v/>
      </c>
      <c r="AS287" s="157">
        <f>CHOOSE(MATCH(IF($U287="","Основний",$U287),{"Трафіковий","Основний","Маржинальний","Сезонний","Стратегічний"},0),Settings!$H$78,Settings!$H$80,Settings!$H$82,Settings!$H$84,Settings!$H$86)</f>
        <v/>
      </c>
      <c r="AT287" s="157">
        <f>CHOOSE(MATCH(IF($U287="","Основний",$U287),{"Трафіковий","Основний","Маржинальний","Сезонний","Стратегічний"},0),Settings!$I$78,Settings!$I$80,Settings!$I$82,Settings!$I$84,Settings!$I$86)</f>
        <v/>
      </c>
      <c r="AU287" s="171" t="n"/>
      <c r="AV287" t="n">
        <v>1.35</v>
      </c>
    </row>
    <row r="288">
      <c r="A288" s="28" t="n"/>
      <c r="B288" s="29" t="inlineStr">
        <is>
          <t>P0623R</t>
        </is>
      </c>
      <c r="C288" s="29" t="inlineStr">
        <is>
          <t>EXT.POWER CORD 6S 3M 1,5MM SCHUKO</t>
        </is>
      </c>
      <c r="D288" s="29" t="inlineStr">
        <is>
          <t>Пооджувачи та адаптери</t>
        </is>
      </c>
      <c r="E288" s="28" t="inlineStr">
        <is>
          <t>PC</t>
        </is>
      </c>
      <c r="F288" s="93" t="n">
        <v>3.633</v>
      </c>
      <c r="G288" s="30" t="n">
        <v>8544429090</v>
      </c>
      <c r="H288" s="31" t="n">
        <v>1.4</v>
      </c>
      <c r="I288" s="84">
        <f>IFERROR(F288*Settings!$B$2*H288*IF(AND(ISNUMBER(E288),E288&gt;1),E288,1),"")</f>
        <v/>
      </c>
      <c r="J288" s="32">
        <f>Settings!$B$66</f>
        <v/>
      </c>
      <c r="K288" s="95">
        <f>IFERROR(IF(T288="","",(T288*(1-AN288)*(1-Settings!$B$17)-I288)/(T288*(1-AN288)*(1-Settings!$B$17))),"")</f>
        <v/>
      </c>
      <c r="L288" s="101">
        <f>IFERROR(IF(T288="","",(T288*(1-AO288)*(1-Settings!$C$17)-I288)/(T288*(1-AO288)*(1-Settings!$C$17))),"")</f>
        <v/>
      </c>
      <c r="M288" s="101">
        <f>IFERROR(IF(T288="","",(T288*(1-AP288)*(1-Settings!$D$17)-I288)/(T288*(1-AP288)*(1-Settings!$D$17))),"")</f>
        <v/>
      </c>
      <c r="N288" s="101">
        <f>IFERROR(IF(T288="","",(T288*(1-AQ288)*(1-Settings!$F$17)-I288)/(T288*(1-AQ288)*(1-Settings!$F$17))),"")</f>
        <v/>
      </c>
      <c r="O288" s="101">
        <f>IFERROR(IF(T288="","",(T288*(1-AR288)*(1-Settings!$G$17)-I288)/(T288*(1-AR288)*(1-Settings!$G$17))),"")</f>
        <v/>
      </c>
      <c r="P288" s="101">
        <f>IFERROR(IF(T288="","",(T288*(1-AS288)*(1-Settings!$H$17)-I288)/(T288*(1-AS288)*(1-Settings!$H$17))),"")</f>
        <v/>
      </c>
      <c r="Q288" s="101">
        <f>IFERROR(IF(T288="","",(T288*(1-AT288)*(1-Settings!$I$68)*(1-Settings!$I$17)-I288)/(T288*(1-AT288)*(1-Settings!$I$68)*(1-Settings!$I$17))),"")</f>
        <v/>
      </c>
      <c r="R288" s="91">
        <f>IFERROR(IF(OR(I288="",Z288&gt;=1,Settings!$B$17&gt;=1,AN288&gt;=1),"",IF(MOD(ROUND(I288/(1-Z288)/(1-Settings!$B$17)/(1-AN288),0),10)=0,ROUND(I288/(1-Z288)/(1-Settings!$B$17)/(1-AN288),0)-1,IF(MOD(ROUND(I288/(1-Z288)/(1-Settings!$B$17)/(1-AN288),0),10)&lt;=5,FLOOR(ROUND(I288/(1-Z288)/(1-Settings!$B$17)/(1-AN288),0),10)+6,FLOOR(ROUND(I288/(1-Z288)/(1-Settings!$B$17)/(1-AN288),0),10)+9))),"")</f>
        <v/>
      </c>
      <c r="S288" s="174">
        <f>R288*0.95</f>
        <v/>
      </c>
      <c r="T288" s="91">
        <f>IF(S288&lt;&gt;"", IF(MOD(S288,10)=0,S288-1,IF(MOD(S288,10)&lt;=5,FLOOR(S288,10)+6,FLOOR(S288,10)+9)), R288)</f>
        <v/>
      </c>
      <c r="U288" s="87" t="inlineStr">
        <is>
          <t>Основний</t>
        </is>
      </c>
      <c r="V288" s="88" t="n"/>
      <c r="W288" s="88" t="n"/>
      <c r="X288" s="89">
        <f>IFERROR(IF(OR(V288="",W288="",T288=""),"", IF(T288&gt;W288,"Дорогий",IF(T288&lt;V288,"Дешевий","У ринку"))),"")</f>
        <v/>
      </c>
      <c r="Y288" s="90" t="n"/>
      <c r="Z288" s="104">
        <f>CHOOSE(MATCH(IF($U288="","Основний",$U288),{"Трафіковий","Основний","Маржинальний","Сезонний","Стратегічний"},0),0.16,0.19,0.24,0.23,0.28)</f>
        <v/>
      </c>
      <c r="AA288" s="104">
        <f>CHOOSE(MATCH(IF($U288="","Основний",$U288),{"Трафіковий","Основний","Маржинальний","Сезонний","Стратегічний"},0),0.18,0.21,0.26,0.25,0.3)</f>
        <v/>
      </c>
      <c r="AB288" s="104">
        <f>CHOOSE(MATCH(IF($U288="","Основний",$U288),{"Трафіковий","Основний","Маржинальний","Сезонний","Стратегічний"},0),0.19,0.22,0.28,0.26,0.32)</f>
        <v/>
      </c>
      <c r="AC288" s="104">
        <f>CHOOSE(MATCH(IF($U288="","Основний",$U288),{"Трафіковий","Основний","Маржинальний","Сезонний","Стратегічний"},0),0.17,0.2,0.25,0.24,0.28)</f>
        <v/>
      </c>
      <c r="AD288" s="104">
        <f>CHOOSE(MATCH(IF($U288="","Основний",$U288),{"Трафіковий","Основний","Маржинальний","Сезонний","Стратегічний"},0),0.18,0.21,0.26,0.25,0.3)</f>
        <v/>
      </c>
      <c r="AE288" s="104">
        <f>CHOOSE(MATCH(IF($U288="","Основний",$U288),{"Трафіковий","Основний","Маржинальний","Сезонний","Стратегічний"},0),0.18,0.2,0.28,0.27,0.32)</f>
        <v/>
      </c>
      <c r="AF288" s="104">
        <f>CHOOSE(MATCH(IF($U288="","Основний",$U288),{"Трафіковий","Основний","Маржинальний","Сезонний","Стратегічний"},0),0.15,0.175,0.22,0.21,0.25)</f>
        <v/>
      </c>
      <c r="AG288" s="104">
        <f>CHOOSE(MATCH(IF($U288="","Основний",$U288),{"Трафіковий","Основний","Маржинальний","Сезонний","Стратегічний"},0),0.13,0.16,0.21,0.2,0.25)</f>
        <v/>
      </c>
      <c r="AH288" s="104">
        <f>CHOOSE(MATCH(IF($U288="","Основний",$U288),{"Трафіковий","Основний","Маржинальний","Сезонний","Стратегічний"},0),0.15,0.18,0.23,0.22,0.27)</f>
        <v/>
      </c>
      <c r="AI288" s="104">
        <f>CHOOSE(MATCH(IF($U288="","Основний",$U288),{"Трафіковий","Основний","Маржинальний","Сезонний","Стратегічний"},0),0.16,0.19,0.25,0.23,0.29)</f>
        <v/>
      </c>
      <c r="AJ288" s="104">
        <f>CHOOSE(MATCH(IF($U288="","Основний",$U288),{"Трафіковий","Основний","Маржинальний","Сезонний","Стратегічний"},0),0.14,0.17,0.22,0.21,0.25)</f>
        <v/>
      </c>
      <c r="AK288" s="104">
        <f>CHOOSE(MATCH(IF($U288="","Основний",$U288),{"Трафіковий","Основний","Маржинальний","Сезонний","Стратегічний"},0),0.15,0.18,0.23,0.22,0.27)</f>
        <v/>
      </c>
      <c r="AL288" s="104">
        <f>CHOOSE(MATCH(IF($U288="","Основний",$U288),{"Трафіковий","Основний","Маржинальний","Сезонний","Стратегічний"},0),0.15,0.17,0.25,0.24,0.29)</f>
        <v/>
      </c>
      <c r="AM288" s="104">
        <f>CHOOSE(MATCH(IF($U288="","Основний",$U288),{"Трафіковий","Основний","Маржинальний","Сезонний","Стратегічний"},0),0.12,0.145,0.19,0.18,0.22)</f>
        <v/>
      </c>
      <c r="AN288" s="157">
        <f>CHOOSE(MATCH(IF($U288="","Основний",$U288),{"Трафіковий","Основний","Маржинальний","Сезонний","Стратегічний"},0),Settings!$B$78,Settings!$B$80,Settings!$B$82,Settings!$B$84,Settings!$B$86)</f>
        <v/>
      </c>
      <c r="AO288" s="157">
        <f>CHOOSE(MATCH(IF($U288="","Основний",$U288),{"Трафіковий","Основний","Маржинальний","Сезонний","Стратегічний"},0),Settings!$C$78,Settings!$C$80,Settings!$C$82,Settings!$C$84,Settings!$C$86)</f>
        <v/>
      </c>
      <c r="AP288" s="157">
        <f>CHOOSE(MATCH(IF($U288="","Основний",$U288),{"Трафіковий","Основний","Маржинальний","Сезонний","Стратегічний"},0),Settings!$D$78,Settings!$D$80,Settings!$D$82,Settings!$D$84,Settings!$D$86)</f>
        <v/>
      </c>
      <c r="AQ288" s="157">
        <f>CHOOSE(MATCH(IF($U288="","Основний",$U288),{"Трафіковий","Основний","Маржинальний","Сезонний","Стратегічний"},0),Settings!$F$78,Settings!$F$80,Settings!$F$82,Settings!$F$84,Settings!$F$86)</f>
        <v/>
      </c>
      <c r="AR288" s="157">
        <f>CHOOSE(MATCH(IF($U288="","Основний",$U288),{"Трафіковий","Основний","Маржинальний","Сезонний","Стратегічний"},0),Settings!$G$78,Settings!$G$80,Settings!$G$82,Settings!$G$84,Settings!$G$86)</f>
        <v/>
      </c>
      <c r="AS288" s="157">
        <f>CHOOSE(MATCH(IF($U288="","Основний",$U288),{"Трафіковий","Основний","Маржинальний","Сезонний","Стратегічний"},0),Settings!$H$78,Settings!$H$80,Settings!$H$82,Settings!$H$84,Settings!$H$86)</f>
        <v/>
      </c>
      <c r="AT288" s="157">
        <f>CHOOSE(MATCH(IF($U288="","Основний",$U288),{"Трафіковий","Основний","Маржинальний","Сезонний","Стратегічний"},0),Settings!$I$78,Settings!$I$80,Settings!$I$82,Settings!$I$84,Settings!$I$86)</f>
        <v/>
      </c>
      <c r="AU288" s="171" t="n"/>
      <c r="AV288" t="n">
        <v>1.35</v>
      </c>
    </row>
    <row r="289">
      <c r="A289" s="33" t="n"/>
      <c r="B289" s="34" t="inlineStr">
        <is>
          <t>P0625R</t>
        </is>
      </c>
      <c r="C289" s="34" t="inlineStr">
        <is>
          <t>EXT.POWER CORD 6S 5M 1.5MM SCHUKO</t>
        </is>
      </c>
      <c r="D289" s="34" t="inlineStr">
        <is>
          <t>Пооджувачи та адаптери</t>
        </is>
      </c>
      <c r="E289" s="33" t="inlineStr">
        <is>
          <t>PC</t>
        </is>
      </c>
      <c r="F289" s="94" t="n">
        <v>5.152</v>
      </c>
      <c r="G289" s="35" t="n">
        <v>8544429090</v>
      </c>
      <c r="H289" s="31" t="n">
        <v>1.4</v>
      </c>
      <c r="I289" s="84">
        <f>IFERROR(F289*Settings!$B$2*H289*IF(AND(ISNUMBER(E289),E289&gt;1),E289,1),"")</f>
        <v/>
      </c>
      <c r="J289" s="32">
        <f>Settings!$B$66</f>
        <v/>
      </c>
      <c r="K289" s="95">
        <f>IFERROR(IF(T289="","",(T289*(1-AN289)*(1-Settings!$B$17)-I289)/(T289*(1-AN289)*(1-Settings!$B$17))),"")</f>
        <v/>
      </c>
      <c r="L289" s="101">
        <f>IFERROR(IF(T289="","",(T289*(1-AO289)*(1-Settings!$C$17)-I289)/(T289*(1-AO289)*(1-Settings!$C$17))),"")</f>
        <v/>
      </c>
      <c r="M289" s="101">
        <f>IFERROR(IF(T289="","",(T289*(1-AP289)*(1-Settings!$D$17)-I289)/(T289*(1-AP289)*(1-Settings!$D$17))),"")</f>
        <v/>
      </c>
      <c r="N289" s="101">
        <f>IFERROR(IF(T289="","",(T289*(1-AQ289)*(1-Settings!$F$17)-I289)/(T289*(1-AQ289)*(1-Settings!$F$17))),"")</f>
        <v/>
      </c>
      <c r="O289" s="101">
        <f>IFERROR(IF(T289="","",(T289*(1-AR289)*(1-Settings!$G$17)-I289)/(T289*(1-AR289)*(1-Settings!$G$17))),"")</f>
        <v/>
      </c>
      <c r="P289" s="101">
        <f>IFERROR(IF(T289="","",(T289*(1-AS289)*(1-Settings!$H$17)-I289)/(T289*(1-AS289)*(1-Settings!$H$17))),"")</f>
        <v/>
      </c>
      <c r="Q289" s="101">
        <f>IFERROR(IF(T289="","",(T289*(1-AT289)*(1-Settings!$I$68)*(1-Settings!$I$17)-I289)/(T289*(1-AT289)*(1-Settings!$I$68)*(1-Settings!$I$17))),"")</f>
        <v/>
      </c>
      <c r="R289" s="91">
        <f>IFERROR(IF(OR(I289="",Z289&gt;=1,Settings!$B$17&gt;=1,AN289&gt;=1),"",IF(MOD(ROUND(I289/(1-Z289)/(1-Settings!$B$17)/(1-AN289),0),10)=0,ROUND(I289/(1-Z289)/(1-Settings!$B$17)/(1-AN289),0)-1,IF(MOD(ROUND(I289/(1-Z289)/(1-Settings!$B$17)/(1-AN289),0),10)&lt;=5,FLOOR(ROUND(I289/(1-Z289)/(1-Settings!$B$17)/(1-AN289),0),10)+6,FLOOR(ROUND(I289/(1-Z289)/(1-Settings!$B$17)/(1-AN289),0),10)+9))),"")</f>
        <v/>
      </c>
      <c r="S289" s="174">
        <f>R289*0.95</f>
        <v/>
      </c>
      <c r="T289" s="91">
        <f>IF(S289&lt;&gt;"", IF(MOD(S289,10)=0,S289-1,IF(MOD(S289,10)&lt;=5,FLOOR(S289,10)+6,FLOOR(S289,10)+9)), R289)</f>
        <v/>
      </c>
      <c r="U289" s="87" t="inlineStr">
        <is>
          <t>Основний</t>
        </is>
      </c>
      <c r="V289" s="88" t="n"/>
      <c r="W289" s="88" t="n"/>
      <c r="X289" s="89">
        <f>IFERROR(IF(OR(V289="",W289="",T289=""),"", IF(T289&gt;W289,"Дорогий",IF(T289&lt;V289,"Дешевий","У ринку"))),"")</f>
        <v/>
      </c>
      <c r="Y289" s="90" t="n"/>
      <c r="Z289" s="104">
        <f>CHOOSE(MATCH(IF($U289="","Основний",$U289),{"Трафіковий","Основний","Маржинальний","Сезонний","Стратегічний"},0),0.16,0.19,0.24,0.23,0.28)</f>
        <v/>
      </c>
      <c r="AA289" s="104">
        <f>CHOOSE(MATCH(IF($U289="","Основний",$U289),{"Трафіковий","Основний","Маржинальний","Сезонний","Стратегічний"},0),0.18,0.21,0.26,0.25,0.3)</f>
        <v/>
      </c>
      <c r="AB289" s="104">
        <f>CHOOSE(MATCH(IF($U289="","Основний",$U289),{"Трафіковий","Основний","Маржинальний","Сезонний","Стратегічний"},0),0.19,0.22,0.28,0.26,0.32)</f>
        <v/>
      </c>
      <c r="AC289" s="104">
        <f>CHOOSE(MATCH(IF($U289="","Основний",$U289),{"Трафіковий","Основний","Маржинальний","Сезонний","Стратегічний"},0),0.17,0.2,0.25,0.24,0.28)</f>
        <v/>
      </c>
      <c r="AD289" s="104">
        <f>CHOOSE(MATCH(IF($U289="","Основний",$U289),{"Трафіковий","Основний","Маржинальний","Сезонний","Стратегічний"},0),0.18,0.21,0.26,0.25,0.3)</f>
        <v/>
      </c>
      <c r="AE289" s="104">
        <f>CHOOSE(MATCH(IF($U289="","Основний",$U289),{"Трафіковий","Основний","Маржинальний","Сезонний","Стратегічний"},0),0.18,0.2,0.28,0.27,0.32)</f>
        <v/>
      </c>
      <c r="AF289" s="104">
        <f>CHOOSE(MATCH(IF($U289="","Основний",$U289),{"Трафіковий","Основний","Маржинальний","Сезонний","Стратегічний"},0),0.15,0.175,0.22,0.21,0.25)</f>
        <v/>
      </c>
      <c r="AG289" s="104">
        <f>CHOOSE(MATCH(IF($U289="","Основний",$U289),{"Трафіковий","Основний","Маржинальний","Сезонний","Стратегічний"},0),0.13,0.16,0.21,0.2,0.25)</f>
        <v/>
      </c>
      <c r="AH289" s="104">
        <f>CHOOSE(MATCH(IF($U289="","Основний",$U289),{"Трафіковий","Основний","Маржинальний","Сезонний","Стратегічний"},0),0.15,0.18,0.23,0.22,0.27)</f>
        <v/>
      </c>
      <c r="AI289" s="104">
        <f>CHOOSE(MATCH(IF($U289="","Основний",$U289),{"Трафіковий","Основний","Маржинальний","Сезонний","Стратегічний"},0),0.16,0.19,0.25,0.23,0.29)</f>
        <v/>
      </c>
      <c r="AJ289" s="104">
        <f>CHOOSE(MATCH(IF($U289="","Основний",$U289),{"Трафіковий","Основний","Маржинальний","Сезонний","Стратегічний"},0),0.14,0.17,0.22,0.21,0.25)</f>
        <v/>
      </c>
      <c r="AK289" s="104">
        <f>CHOOSE(MATCH(IF($U289="","Основний",$U289),{"Трафіковий","Основний","Маржинальний","Сезонний","Стратегічний"},0),0.15,0.18,0.23,0.22,0.27)</f>
        <v/>
      </c>
      <c r="AL289" s="104">
        <f>CHOOSE(MATCH(IF($U289="","Основний",$U289),{"Трафіковий","Основний","Маржинальний","Сезонний","Стратегічний"},0),0.15,0.17,0.25,0.24,0.29)</f>
        <v/>
      </c>
      <c r="AM289" s="104">
        <f>CHOOSE(MATCH(IF($U289="","Основний",$U289),{"Трафіковий","Основний","Маржинальний","Сезонний","Стратегічний"},0),0.12,0.145,0.19,0.18,0.22)</f>
        <v/>
      </c>
      <c r="AN289" s="157">
        <f>CHOOSE(MATCH(IF($U289="","Основний",$U289),{"Трафіковий","Основний","Маржинальний","Сезонний","Стратегічний"},0),Settings!$B$78,Settings!$B$80,Settings!$B$82,Settings!$B$84,Settings!$B$86)</f>
        <v/>
      </c>
      <c r="AO289" s="157">
        <f>CHOOSE(MATCH(IF($U289="","Основний",$U289),{"Трафіковий","Основний","Маржинальний","Сезонний","Стратегічний"},0),Settings!$C$78,Settings!$C$80,Settings!$C$82,Settings!$C$84,Settings!$C$86)</f>
        <v/>
      </c>
      <c r="AP289" s="157">
        <f>CHOOSE(MATCH(IF($U289="","Основний",$U289),{"Трафіковий","Основний","Маржинальний","Сезонний","Стратегічний"},0),Settings!$D$78,Settings!$D$80,Settings!$D$82,Settings!$D$84,Settings!$D$86)</f>
        <v/>
      </c>
      <c r="AQ289" s="157">
        <f>CHOOSE(MATCH(IF($U289="","Основний",$U289),{"Трафіковий","Основний","Маржинальний","Сезонний","Стратегічний"},0),Settings!$F$78,Settings!$F$80,Settings!$F$82,Settings!$F$84,Settings!$F$86)</f>
        <v/>
      </c>
      <c r="AR289" s="157">
        <f>CHOOSE(MATCH(IF($U289="","Основний",$U289),{"Трафіковий","Основний","Маржинальний","Сезонний","Стратегічний"},0),Settings!$G$78,Settings!$G$80,Settings!$G$82,Settings!$G$84,Settings!$G$86)</f>
        <v/>
      </c>
      <c r="AS289" s="157">
        <f>CHOOSE(MATCH(IF($U289="","Основний",$U289),{"Трафіковий","Основний","Маржинальний","Сезонний","Стратегічний"},0),Settings!$H$78,Settings!$H$80,Settings!$H$82,Settings!$H$84,Settings!$H$86)</f>
        <v/>
      </c>
      <c r="AT289" s="157">
        <f>CHOOSE(MATCH(IF($U289="","Основний",$U289),{"Трафіковий","Основний","Маржинальний","Сезонний","Стратегічний"},0),Settings!$I$78,Settings!$I$80,Settings!$I$82,Settings!$I$84,Settings!$I$86)</f>
        <v/>
      </c>
      <c r="AU289" s="171" t="n"/>
      <c r="AV289" t="n">
        <v>1.35</v>
      </c>
    </row>
    <row r="290">
      <c r="A290" s="28" t="n"/>
      <c r="B290" s="29" t="inlineStr">
        <is>
          <t>P1321R</t>
        </is>
      </c>
      <c r="C290" s="29" t="inlineStr">
        <is>
          <t>EXTENSION CORD 3S 1,5M 1,5MM SW.SCH.</t>
        </is>
      </c>
      <c r="D290" s="29" t="inlineStr">
        <is>
          <t>Пооджувачи та адаптери</t>
        </is>
      </c>
      <c r="E290" s="28" t="inlineStr">
        <is>
          <t>PC</t>
        </is>
      </c>
      <c r="F290" s="93" t="n">
        <v>2.394</v>
      </c>
      <c r="G290" s="30" t="n">
        <v>8544429090</v>
      </c>
      <c r="H290" s="31" t="n">
        <v>1.4</v>
      </c>
      <c r="I290" s="84">
        <f>IFERROR(F290*Settings!$B$2*H290*IF(AND(ISNUMBER(E290),E290&gt;1),E290,1),"")</f>
        <v/>
      </c>
      <c r="J290" s="32">
        <f>Settings!$B$66</f>
        <v/>
      </c>
      <c r="K290" s="95">
        <f>IFERROR(IF(T290="","",(T290*(1-AN290)*(1-Settings!$B$17)-I290)/(T290*(1-AN290)*(1-Settings!$B$17))),"")</f>
        <v/>
      </c>
      <c r="L290" s="101">
        <f>IFERROR(IF(T290="","",(T290*(1-AO290)*(1-Settings!$C$17)-I290)/(T290*(1-AO290)*(1-Settings!$C$17))),"")</f>
        <v/>
      </c>
      <c r="M290" s="101">
        <f>IFERROR(IF(T290="","",(T290*(1-AP290)*(1-Settings!$D$17)-I290)/(T290*(1-AP290)*(1-Settings!$D$17))),"")</f>
        <v/>
      </c>
      <c r="N290" s="101">
        <f>IFERROR(IF(T290="","",(T290*(1-AQ290)*(1-Settings!$F$17)-I290)/(T290*(1-AQ290)*(1-Settings!$F$17))),"")</f>
        <v/>
      </c>
      <c r="O290" s="101">
        <f>IFERROR(IF(T290="","",(T290*(1-AR290)*(1-Settings!$G$17)-I290)/(T290*(1-AR290)*(1-Settings!$G$17))),"")</f>
        <v/>
      </c>
      <c r="P290" s="101">
        <f>IFERROR(IF(T290="","",(T290*(1-AS290)*(1-Settings!$H$17)-I290)/(T290*(1-AS290)*(1-Settings!$H$17))),"")</f>
        <v/>
      </c>
      <c r="Q290" s="101">
        <f>IFERROR(IF(T290="","",(T290*(1-AT290)*(1-Settings!$I$68)*(1-Settings!$I$17)-I290)/(T290*(1-AT290)*(1-Settings!$I$68)*(1-Settings!$I$17))),"")</f>
        <v/>
      </c>
      <c r="R290" s="91">
        <f>IFERROR(IF(OR(I290="",Z290&gt;=1,Settings!$B$17&gt;=1,AN290&gt;=1),"",IF(MOD(ROUND(I290/(1-Z290)/(1-Settings!$B$17)/(1-AN290),0),10)=0,ROUND(I290/(1-Z290)/(1-Settings!$B$17)/(1-AN290),0)-1,IF(MOD(ROUND(I290/(1-Z290)/(1-Settings!$B$17)/(1-AN290),0),10)&lt;=5,FLOOR(ROUND(I290/(1-Z290)/(1-Settings!$B$17)/(1-AN290),0),10)+6,FLOOR(ROUND(I290/(1-Z290)/(1-Settings!$B$17)/(1-AN290),0),10)+9))),"")</f>
        <v/>
      </c>
      <c r="S290" s="92" t="n">
        <v>370</v>
      </c>
      <c r="T290" s="91">
        <f>IF(S290&lt;&gt;"", IF(MOD(S290,10)=0,S290-1,IF(MOD(S290,10)&lt;=5,FLOOR(S290,10)+6,FLOOR(S290,10)+9)), R290)</f>
        <v/>
      </c>
      <c r="U290" s="87" t="inlineStr">
        <is>
          <t>Маржинальний</t>
        </is>
      </c>
      <c r="V290" s="88" t="n"/>
      <c r="W290" s="88" t="n"/>
      <c r="X290" s="89">
        <f>IFERROR(IF(OR(V290="",W290="",T290=""),"", IF(T290&gt;W290,"Дорогий",IF(T290&lt;V290,"Дешевий","У ринку"))),"")</f>
        <v/>
      </c>
      <c r="Y290" s="90" t="n"/>
      <c r="Z290" s="104">
        <f>CHOOSE(MATCH(IF($U290="","Основний",$U290),{"Трафіковий","Основний","Маржинальний","Сезонний","Стратегічний"},0),0.16,0.19,0.24,0.23,0.28)</f>
        <v/>
      </c>
      <c r="AA290" s="104">
        <f>CHOOSE(MATCH(IF($U290="","Основний",$U290),{"Трафіковий","Основний","Маржинальний","Сезонний","Стратегічний"},0),0.18,0.21,0.26,0.25,0.3)</f>
        <v/>
      </c>
      <c r="AB290" s="104">
        <f>CHOOSE(MATCH(IF($U290="","Основний",$U290),{"Трафіковий","Основний","Маржинальний","Сезонний","Стратегічний"},0),0.19,0.22,0.28,0.26,0.32)</f>
        <v/>
      </c>
      <c r="AC290" s="104">
        <f>CHOOSE(MATCH(IF($U290="","Основний",$U290),{"Трафіковий","Основний","Маржинальний","Сезонний","Стратегічний"},0),0.17,0.2,0.25,0.24,0.28)</f>
        <v/>
      </c>
      <c r="AD290" s="104">
        <f>CHOOSE(MATCH(IF($U290="","Основний",$U290),{"Трафіковий","Основний","Маржинальний","Сезонний","Стратегічний"},0),0.18,0.21,0.26,0.25,0.3)</f>
        <v/>
      </c>
      <c r="AE290" s="104">
        <f>CHOOSE(MATCH(IF($U290="","Основний",$U290),{"Трафіковий","Основний","Маржинальний","Сезонний","Стратегічний"},0),0.18,0.2,0.28,0.27,0.32)</f>
        <v/>
      </c>
      <c r="AF290" s="104">
        <f>CHOOSE(MATCH(IF($U290="","Основний",$U290),{"Трафіковий","Основний","Маржинальний","Сезонний","Стратегічний"},0),0.15,0.175,0.22,0.21,0.25)</f>
        <v/>
      </c>
      <c r="AG290" s="104">
        <f>CHOOSE(MATCH(IF($U290="","Основний",$U290),{"Трафіковий","Основний","Маржинальний","Сезонний","Стратегічний"},0),0.13,0.16,0.21,0.2,0.25)</f>
        <v/>
      </c>
      <c r="AH290" s="104">
        <f>CHOOSE(MATCH(IF($U290="","Основний",$U290),{"Трафіковий","Основний","Маржинальний","Сезонний","Стратегічний"},0),0.15,0.18,0.23,0.22,0.27)</f>
        <v/>
      </c>
      <c r="AI290" s="104">
        <f>CHOOSE(MATCH(IF($U290="","Основний",$U290),{"Трафіковий","Основний","Маржинальний","Сезонний","Стратегічний"},0),0.16,0.19,0.25,0.23,0.29)</f>
        <v/>
      </c>
      <c r="AJ290" s="104">
        <f>CHOOSE(MATCH(IF($U290="","Основний",$U290),{"Трафіковий","Основний","Маржинальний","Сезонний","Стратегічний"},0),0.14,0.17,0.22,0.21,0.25)</f>
        <v/>
      </c>
      <c r="AK290" s="104">
        <f>CHOOSE(MATCH(IF($U290="","Основний",$U290),{"Трафіковий","Основний","Маржинальний","Сезонний","Стратегічний"},0),0.15,0.18,0.23,0.22,0.27)</f>
        <v/>
      </c>
      <c r="AL290" s="104">
        <f>CHOOSE(MATCH(IF($U290="","Основний",$U290),{"Трафіковий","Основний","Маржинальний","Сезонний","Стратегічний"},0),0.15,0.17,0.25,0.24,0.29)</f>
        <v/>
      </c>
      <c r="AM290" s="104">
        <f>CHOOSE(MATCH(IF($U290="","Основний",$U290),{"Трафіковий","Основний","Маржинальний","Сезонний","Стратегічний"},0),0.12,0.145,0.19,0.18,0.22)</f>
        <v/>
      </c>
      <c r="AN290" s="157">
        <f>CHOOSE(MATCH(IF($U290="","Основний",$U290),{"Трафіковий","Основний","Маржинальний","Сезонний","Стратегічний"},0),Settings!$B$78,Settings!$B$80,Settings!$B$82,Settings!$B$84,Settings!$B$86)</f>
        <v/>
      </c>
      <c r="AO290" s="157">
        <f>CHOOSE(MATCH(IF($U290="","Основний",$U290),{"Трафіковий","Основний","Маржинальний","Сезонний","Стратегічний"},0),Settings!$C$78,Settings!$C$80,Settings!$C$82,Settings!$C$84,Settings!$C$86)</f>
        <v/>
      </c>
      <c r="AP290" s="157">
        <f>CHOOSE(MATCH(IF($U290="","Основний",$U290),{"Трафіковий","Основний","Маржинальний","Сезонний","Стратегічний"},0),Settings!$D$78,Settings!$D$80,Settings!$D$82,Settings!$D$84,Settings!$D$86)</f>
        <v/>
      </c>
      <c r="AQ290" s="157">
        <f>CHOOSE(MATCH(IF($U290="","Основний",$U290),{"Трафіковий","Основний","Маржинальний","Сезонний","Стратегічний"},0),Settings!$F$78,Settings!$F$80,Settings!$F$82,Settings!$F$84,Settings!$F$86)</f>
        <v/>
      </c>
      <c r="AR290" s="157">
        <f>CHOOSE(MATCH(IF($U290="","Основний",$U290),{"Трафіковий","Основний","Маржинальний","Сезонний","Стратегічний"},0),Settings!$G$78,Settings!$G$80,Settings!$G$82,Settings!$G$84,Settings!$G$86)</f>
        <v/>
      </c>
      <c r="AS290" s="157">
        <f>CHOOSE(MATCH(IF($U290="","Основний",$U290),{"Трафіковий","Основний","Маржинальний","Сезонний","Стратегічний"},0),Settings!$H$78,Settings!$H$80,Settings!$H$82,Settings!$H$84,Settings!$H$86)</f>
        <v/>
      </c>
      <c r="AT290" s="157">
        <f>CHOOSE(MATCH(IF($U290="","Основний",$U290),{"Трафіковий","Основний","Маржинальний","Сезонний","Стратегічний"},0),Settings!$I$78,Settings!$I$80,Settings!$I$82,Settings!$I$84,Settings!$I$86)</f>
        <v/>
      </c>
      <c r="AU290" s="171" t="n"/>
      <c r="AV290" t="n">
        <v>1.35</v>
      </c>
    </row>
    <row r="291">
      <c r="A291" s="33" t="n"/>
      <c r="B291" s="34" t="inlineStr">
        <is>
          <t>PC1321R</t>
        </is>
      </c>
      <c r="C291" s="34" t="inlineStr">
        <is>
          <t>EXTENSION CORD 3S 1,5M 1,5MM SW. BLACK SCH.</t>
        </is>
      </c>
      <c r="D291" s="34" t="inlineStr">
        <is>
          <t>Пооджувачи та адаптери</t>
        </is>
      </c>
      <c r="E291" s="33" t="inlineStr">
        <is>
          <t>PC</t>
        </is>
      </c>
      <c r="F291" s="94" t="n">
        <v>2.771</v>
      </c>
      <c r="G291" s="35" t="n">
        <v>8544429090</v>
      </c>
      <c r="H291" s="31" t="n">
        <v>1.4</v>
      </c>
      <c r="I291" s="84">
        <f>IFERROR(F291*Settings!$B$2*H291*IF(AND(ISNUMBER(E291),E291&gt;1),E291,1),"")</f>
        <v/>
      </c>
      <c r="J291" s="32">
        <f>Settings!$B$66</f>
        <v/>
      </c>
      <c r="K291" s="95">
        <f>IFERROR(IF(T291="","",(T291*(1-AN291)*(1-Settings!$B$17)-I291)/(T291*(1-AN291)*(1-Settings!$B$17))),"")</f>
        <v/>
      </c>
      <c r="L291" s="101">
        <f>IFERROR(IF(T291="","",(T291*(1-AO291)*(1-Settings!$C$17)-I291)/(T291*(1-AO291)*(1-Settings!$C$17))),"")</f>
        <v/>
      </c>
      <c r="M291" s="101">
        <f>IFERROR(IF(T291="","",(T291*(1-AP291)*(1-Settings!$D$17)-I291)/(T291*(1-AP291)*(1-Settings!$D$17))),"")</f>
        <v/>
      </c>
      <c r="N291" s="101">
        <f>IFERROR(IF(T291="","",(T291*(1-AQ291)*(1-Settings!$F$17)-I291)/(T291*(1-AQ291)*(1-Settings!$F$17))),"")</f>
        <v/>
      </c>
      <c r="O291" s="101">
        <f>IFERROR(IF(T291="","",(T291*(1-AR291)*(1-Settings!$G$17)-I291)/(T291*(1-AR291)*(1-Settings!$G$17))),"")</f>
        <v/>
      </c>
      <c r="P291" s="101">
        <f>IFERROR(IF(T291="","",(T291*(1-AS291)*(1-Settings!$H$17)-I291)/(T291*(1-AS291)*(1-Settings!$H$17))),"")</f>
        <v/>
      </c>
      <c r="Q291" s="101">
        <f>IFERROR(IF(T291="","",(T291*(1-AT291)*(1-Settings!$I$68)*(1-Settings!$I$17)-I291)/(T291*(1-AT291)*(1-Settings!$I$68)*(1-Settings!$I$17))),"")</f>
        <v/>
      </c>
      <c r="R291" s="91">
        <f>IFERROR(IF(OR(I291="",Z291&gt;=1,Settings!$B$17&gt;=1,AN291&gt;=1),"",IF(MOD(ROUND(I291/(1-Z291)/(1-Settings!$B$17)/(1-AN291),0),10)=0,ROUND(I291/(1-Z291)/(1-Settings!$B$17)/(1-AN291),0)-1,IF(MOD(ROUND(I291/(1-Z291)/(1-Settings!$B$17)/(1-AN291),0),10)&lt;=5,FLOOR(ROUND(I291/(1-Z291)/(1-Settings!$B$17)/(1-AN291),0),10)+6,FLOOR(ROUND(I291/(1-Z291)/(1-Settings!$B$17)/(1-AN291),0),10)+9))),"")</f>
        <v/>
      </c>
      <c r="S291" s="92" t="n">
        <v>400</v>
      </c>
      <c r="T291" s="91">
        <f>IF(S291&lt;&gt;"", IF(MOD(S291,10)=0,S291-1,IF(MOD(S291,10)&lt;=5,FLOOR(S291,10)+6,FLOOR(S291,10)+9)), R291)</f>
        <v/>
      </c>
      <c r="U291" s="87" t="inlineStr">
        <is>
          <t>Маржинальний</t>
        </is>
      </c>
      <c r="V291" s="88" t="n"/>
      <c r="W291" s="88" t="n"/>
      <c r="X291" s="89">
        <f>IFERROR(IF(OR(V291="",W291="",T291=""),"", IF(T291&gt;W291,"Дорогий",IF(T291&lt;V291,"Дешевий","У ринку"))),"")</f>
        <v/>
      </c>
      <c r="Y291" s="90" t="n"/>
      <c r="Z291" s="104">
        <f>CHOOSE(MATCH(IF($U291="","Основний",$U291),{"Трафіковий","Основний","Маржинальний","Сезонний","Стратегічний"},0),0.16,0.19,0.24,0.23,0.28)</f>
        <v/>
      </c>
      <c r="AA291" s="104">
        <f>CHOOSE(MATCH(IF($U291="","Основний",$U291),{"Трафіковий","Основний","Маржинальний","Сезонний","Стратегічний"},0),0.18,0.21,0.26,0.25,0.3)</f>
        <v/>
      </c>
      <c r="AB291" s="104">
        <f>CHOOSE(MATCH(IF($U291="","Основний",$U291),{"Трафіковий","Основний","Маржинальний","Сезонний","Стратегічний"},0),0.19,0.22,0.28,0.26,0.32)</f>
        <v/>
      </c>
      <c r="AC291" s="104">
        <f>CHOOSE(MATCH(IF($U291="","Основний",$U291),{"Трафіковий","Основний","Маржинальний","Сезонний","Стратегічний"},0),0.17,0.2,0.25,0.24,0.28)</f>
        <v/>
      </c>
      <c r="AD291" s="104">
        <f>CHOOSE(MATCH(IF($U291="","Основний",$U291),{"Трафіковий","Основний","Маржинальний","Сезонний","Стратегічний"},0),0.18,0.21,0.26,0.25,0.3)</f>
        <v/>
      </c>
      <c r="AE291" s="104">
        <f>CHOOSE(MATCH(IF($U291="","Основний",$U291),{"Трафіковий","Основний","Маржинальний","Сезонний","Стратегічний"},0),0.18,0.2,0.28,0.27,0.32)</f>
        <v/>
      </c>
      <c r="AF291" s="104">
        <f>CHOOSE(MATCH(IF($U291="","Основний",$U291),{"Трафіковий","Основний","Маржинальний","Сезонний","Стратегічний"},0),0.15,0.175,0.22,0.21,0.25)</f>
        <v/>
      </c>
      <c r="AG291" s="104">
        <f>CHOOSE(MATCH(IF($U291="","Основний",$U291),{"Трафіковий","Основний","Маржинальний","Сезонний","Стратегічний"},0),0.13,0.16,0.21,0.2,0.25)</f>
        <v/>
      </c>
      <c r="AH291" s="104">
        <f>CHOOSE(MATCH(IF($U291="","Основний",$U291),{"Трафіковий","Основний","Маржинальний","Сезонний","Стратегічний"},0),0.15,0.18,0.23,0.22,0.27)</f>
        <v/>
      </c>
      <c r="AI291" s="104">
        <f>CHOOSE(MATCH(IF($U291="","Основний",$U291),{"Трафіковий","Основний","Маржинальний","Сезонний","Стратегічний"},0),0.16,0.19,0.25,0.23,0.29)</f>
        <v/>
      </c>
      <c r="AJ291" s="104">
        <f>CHOOSE(MATCH(IF($U291="","Основний",$U291),{"Трафіковий","Основний","Маржинальний","Сезонний","Стратегічний"},0),0.14,0.17,0.22,0.21,0.25)</f>
        <v/>
      </c>
      <c r="AK291" s="104">
        <f>CHOOSE(MATCH(IF($U291="","Основний",$U291),{"Трафіковий","Основний","Маржинальний","Сезонний","Стратегічний"},0),0.15,0.18,0.23,0.22,0.27)</f>
        <v/>
      </c>
      <c r="AL291" s="104">
        <f>CHOOSE(MATCH(IF($U291="","Основний",$U291),{"Трафіковий","Основний","Маржинальний","Сезонний","Стратегічний"},0),0.15,0.17,0.25,0.24,0.29)</f>
        <v/>
      </c>
      <c r="AM291" s="104">
        <f>CHOOSE(MATCH(IF($U291="","Основний",$U291),{"Трафіковий","Основний","Маржинальний","Сезонний","Стратегічний"},0),0.12,0.145,0.19,0.18,0.22)</f>
        <v/>
      </c>
      <c r="AN291" s="157">
        <f>CHOOSE(MATCH(IF($U291="","Основний",$U291),{"Трафіковий","Основний","Маржинальний","Сезонний","Стратегічний"},0),Settings!$B$78,Settings!$B$80,Settings!$B$82,Settings!$B$84,Settings!$B$86)</f>
        <v/>
      </c>
      <c r="AO291" s="157">
        <f>CHOOSE(MATCH(IF($U291="","Основний",$U291),{"Трафіковий","Основний","Маржинальний","Сезонний","Стратегічний"},0),Settings!$C$78,Settings!$C$80,Settings!$C$82,Settings!$C$84,Settings!$C$86)</f>
        <v/>
      </c>
      <c r="AP291" s="157">
        <f>CHOOSE(MATCH(IF($U291="","Основний",$U291),{"Трафіковий","Основний","Маржинальний","Сезонний","Стратегічний"},0),Settings!$D$78,Settings!$D$80,Settings!$D$82,Settings!$D$84,Settings!$D$86)</f>
        <v/>
      </c>
      <c r="AQ291" s="157">
        <f>CHOOSE(MATCH(IF($U291="","Основний",$U291),{"Трафіковий","Основний","Маржинальний","Сезонний","Стратегічний"},0),Settings!$F$78,Settings!$F$80,Settings!$F$82,Settings!$F$84,Settings!$F$86)</f>
        <v/>
      </c>
      <c r="AR291" s="157">
        <f>CHOOSE(MATCH(IF($U291="","Основний",$U291),{"Трафіковий","Основний","Маржинальний","Сезонний","Стратегічний"},0),Settings!$G$78,Settings!$G$80,Settings!$G$82,Settings!$G$84,Settings!$G$86)</f>
        <v/>
      </c>
      <c r="AS291" s="157">
        <f>CHOOSE(MATCH(IF($U291="","Основний",$U291),{"Трафіковий","Основний","Маржинальний","Сезонний","Стратегічний"},0),Settings!$H$78,Settings!$H$80,Settings!$H$82,Settings!$H$84,Settings!$H$86)</f>
        <v/>
      </c>
      <c r="AT291" s="157">
        <f>CHOOSE(MATCH(IF($U291="","Основний",$U291),{"Трафіковий","Основний","Маржинальний","Сезонний","Стратегічний"},0),Settings!$I$78,Settings!$I$80,Settings!$I$82,Settings!$I$84,Settings!$I$86)</f>
        <v/>
      </c>
      <c r="AU291" s="171" t="n"/>
      <c r="AV291" t="n">
        <v>1.35</v>
      </c>
    </row>
    <row r="292">
      <c r="A292" s="28" t="n"/>
      <c r="B292" s="29" t="inlineStr">
        <is>
          <t>P1323R</t>
        </is>
      </c>
      <c r="C292" s="29" t="inlineStr">
        <is>
          <t>E.PO.CORD 3S 3M 1,5MM SW.SCH.</t>
        </is>
      </c>
      <c r="D292" s="29" t="inlineStr">
        <is>
          <t>Пооджувачи та адаптери</t>
        </is>
      </c>
      <c r="E292" s="28" t="inlineStr">
        <is>
          <t>PC</t>
        </is>
      </c>
      <c r="F292" s="93" t="n">
        <v>3.455</v>
      </c>
      <c r="G292" s="30" t="n">
        <v>8544429090</v>
      </c>
      <c r="H292" s="31" t="n">
        <v>1.4</v>
      </c>
      <c r="I292" s="84">
        <f>IFERROR(F292*Settings!$B$2*H292*IF(AND(ISNUMBER(E292),E292&gt;1),E292,1),"")</f>
        <v/>
      </c>
      <c r="J292" s="32">
        <f>Settings!$B$66</f>
        <v/>
      </c>
      <c r="K292" s="95">
        <f>IFERROR(IF(T292="","",(T292*(1-AN292)*(1-Settings!$B$17)-I292)/(T292*(1-AN292)*(1-Settings!$B$17))),"")</f>
        <v/>
      </c>
      <c r="L292" s="101">
        <f>IFERROR(IF(T292="","",(T292*(1-AO292)*(1-Settings!$C$17)-I292)/(T292*(1-AO292)*(1-Settings!$C$17))),"")</f>
        <v/>
      </c>
      <c r="M292" s="101">
        <f>IFERROR(IF(T292="","",(T292*(1-AP292)*(1-Settings!$D$17)-I292)/(T292*(1-AP292)*(1-Settings!$D$17))),"")</f>
        <v/>
      </c>
      <c r="N292" s="101">
        <f>IFERROR(IF(T292="","",(T292*(1-AQ292)*(1-Settings!$F$17)-I292)/(T292*(1-AQ292)*(1-Settings!$F$17))),"")</f>
        <v/>
      </c>
      <c r="O292" s="101">
        <f>IFERROR(IF(T292="","",(T292*(1-AR292)*(1-Settings!$G$17)-I292)/(T292*(1-AR292)*(1-Settings!$G$17))),"")</f>
        <v/>
      </c>
      <c r="P292" s="101">
        <f>IFERROR(IF(T292="","",(T292*(1-AS292)*(1-Settings!$H$17)-I292)/(T292*(1-AS292)*(1-Settings!$H$17))),"")</f>
        <v/>
      </c>
      <c r="Q292" s="101">
        <f>IFERROR(IF(T292="","",(T292*(1-AT292)*(1-Settings!$I$68)*(1-Settings!$I$17)-I292)/(T292*(1-AT292)*(1-Settings!$I$68)*(1-Settings!$I$17))),"")</f>
        <v/>
      </c>
      <c r="R292" s="91">
        <f>IFERROR(IF(OR(I292="",Z292&gt;=1,Settings!$B$17&gt;=1,AN292&gt;=1),"",IF(MOD(ROUND(I292/(1-Z292)/(1-Settings!$B$17)/(1-AN292),0),10)=0,ROUND(I292/(1-Z292)/(1-Settings!$B$17)/(1-AN292),0)-1,IF(MOD(ROUND(I292/(1-Z292)/(1-Settings!$B$17)/(1-AN292),0),10)&lt;=5,FLOOR(ROUND(I292/(1-Z292)/(1-Settings!$B$17)/(1-AN292),0),10)+6,FLOOR(ROUND(I292/(1-Z292)/(1-Settings!$B$17)/(1-AN292),0),10)+9))),"")</f>
        <v/>
      </c>
      <c r="S292" s="174">
        <f>R292*0.95</f>
        <v/>
      </c>
      <c r="T292" s="91">
        <f>IF(S292&lt;&gt;"", IF(MOD(S292,10)=0,S292-1,IF(MOD(S292,10)&lt;=5,FLOOR(S292,10)+6,FLOOR(S292,10)+9)), R292)</f>
        <v/>
      </c>
      <c r="U292" s="87" t="inlineStr">
        <is>
          <t>Основний</t>
        </is>
      </c>
      <c r="V292" s="88" t="n"/>
      <c r="W292" s="88" t="n"/>
      <c r="X292" s="89">
        <f>IFERROR(IF(OR(V292="",W292="",T292=""),"", IF(T292&gt;W292,"Дорогий",IF(T292&lt;V292,"Дешевий","У ринку"))),"")</f>
        <v/>
      </c>
      <c r="Y292" s="90" t="n"/>
      <c r="Z292" s="104">
        <f>CHOOSE(MATCH(IF($U292="","Основний",$U292),{"Трафіковий","Основний","Маржинальний","Сезонний","Стратегічний"},0),0.16,0.19,0.24,0.23,0.28)</f>
        <v/>
      </c>
      <c r="AA292" s="104">
        <f>CHOOSE(MATCH(IF($U292="","Основний",$U292),{"Трафіковий","Основний","Маржинальний","Сезонний","Стратегічний"},0),0.18,0.21,0.26,0.25,0.3)</f>
        <v/>
      </c>
      <c r="AB292" s="104">
        <f>CHOOSE(MATCH(IF($U292="","Основний",$U292),{"Трафіковий","Основний","Маржинальний","Сезонний","Стратегічний"},0),0.19,0.22,0.28,0.26,0.32)</f>
        <v/>
      </c>
      <c r="AC292" s="104">
        <f>CHOOSE(MATCH(IF($U292="","Основний",$U292),{"Трафіковий","Основний","Маржинальний","Сезонний","Стратегічний"},0),0.17,0.2,0.25,0.24,0.28)</f>
        <v/>
      </c>
      <c r="AD292" s="104">
        <f>CHOOSE(MATCH(IF($U292="","Основний",$U292),{"Трафіковий","Основний","Маржинальний","Сезонний","Стратегічний"},0),0.18,0.21,0.26,0.25,0.3)</f>
        <v/>
      </c>
      <c r="AE292" s="104">
        <f>CHOOSE(MATCH(IF($U292="","Основний",$U292),{"Трафіковий","Основний","Маржинальний","Сезонний","Стратегічний"},0),0.18,0.2,0.28,0.27,0.32)</f>
        <v/>
      </c>
      <c r="AF292" s="104">
        <f>CHOOSE(MATCH(IF($U292="","Основний",$U292),{"Трафіковий","Основний","Маржинальний","Сезонний","Стратегічний"},0),0.15,0.175,0.22,0.21,0.25)</f>
        <v/>
      </c>
      <c r="AG292" s="104">
        <f>CHOOSE(MATCH(IF($U292="","Основний",$U292),{"Трафіковий","Основний","Маржинальний","Сезонний","Стратегічний"},0),0.13,0.16,0.21,0.2,0.25)</f>
        <v/>
      </c>
      <c r="AH292" s="104">
        <f>CHOOSE(MATCH(IF($U292="","Основний",$U292),{"Трафіковий","Основний","Маржинальний","Сезонний","Стратегічний"},0),0.15,0.18,0.23,0.22,0.27)</f>
        <v/>
      </c>
      <c r="AI292" s="104">
        <f>CHOOSE(MATCH(IF($U292="","Основний",$U292),{"Трафіковий","Основний","Маржинальний","Сезонний","Стратегічний"},0),0.16,0.19,0.25,0.23,0.29)</f>
        <v/>
      </c>
      <c r="AJ292" s="104">
        <f>CHOOSE(MATCH(IF($U292="","Основний",$U292),{"Трафіковий","Основний","Маржинальний","Сезонний","Стратегічний"},0),0.14,0.17,0.22,0.21,0.25)</f>
        <v/>
      </c>
      <c r="AK292" s="104">
        <f>CHOOSE(MATCH(IF($U292="","Основний",$U292),{"Трафіковий","Основний","Маржинальний","Сезонний","Стратегічний"},0),0.15,0.18,0.23,0.22,0.27)</f>
        <v/>
      </c>
      <c r="AL292" s="104">
        <f>CHOOSE(MATCH(IF($U292="","Основний",$U292),{"Трафіковий","Основний","Маржинальний","Сезонний","Стратегічний"},0),0.15,0.17,0.25,0.24,0.29)</f>
        <v/>
      </c>
      <c r="AM292" s="104">
        <f>CHOOSE(MATCH(IF($U292="","Основний",$U292),{"Трафіковий","Основний","Маржинальний","Сезонний","Стратегічний"},0),0.12,0.145,0.19,0.18,0.22)</f>
        <v/>
      </c>
      <c r="AN292" s="157">
        <f>CHOOSE(MATCH(IF($U292="","Основний",$U292),{"Трафіковий","Основний","Маржинальний","Сезонний","Стратегічний"},0),Settings!$B$78,Settings!$B$80,Settings!$B$82,Settings!$B$84,Settings!$B$86)</f>
        <v/>
      </c>
      <c r="AO292" s="157">
        <f>CHOOSE(MATCH(IF($U292="","Основний",$U292),{"Трафіковий","Основний","Маржинальний","Сезонний","Стратегічний"},0),Settings!$C$78,Settings!$C$80,Settings!$C$82,Settings!$C$84,Settings!$C$86)</f>
        <v/>
      </c>
      <c r="AP292" s="157">
        <f>CHOOSE(MATCH(IF($U292="","Основний",$U292),{"Трафіковий","Основний","Маржинальний","Сезонний","Стратегічний"},0),Settings!$D$78,Settings!$D$80,Settings!$D$82,Settings!$D$84,Settings!$D$86)</f>
        <v/>
      </c>
      <c r="AQ292" s="157">
        <f>CHOOSE(MATCH(IF($U292="","Основний",$U292),{"Трафіковий","Основний","Маржинальний","Сезонний","Стратегічний"},0),Settings!$F$78,Settings!$F$80,Settings!$F$82,Settings!$F$84,Settings!$F$86)</f>
        <v/>
      </c>
      <c r="AR292" s="157">
        <f>CHOOSE(MATCH(IF($U292="","Основний",$U292),{"Трафіковий","Основний","Маржинальний","Сезонний","Стратегічний"},0),Settings!$G$78,Settings!$G$80,Settings!$G$82,Settings!$G$84,Settings!$G$86)</f>
        <v/>
      </c>
      <c r="AS292" s="157">
        <f>CHOOSE(MATCH(IF($U292="","Основний",$U292),{"Трафіковий","Основний","Маржинальний","Сезонний","Стратегічний"},0),Settings!$H$78,Settings!$H$80,Settings!$H$82,Settings!$H$84,Settings!$H$86)</f>
        <v/>
      </c>
      <c r="AT292" s="157">
        <f>CHOOSE(MATCH(IF($U292="","Основний",$U292),{"Трафіковий","Основний","Маржинальний","Сезонний","Стратегічний"},0),Settings!$I$78,Settings!$I$80,Settings!$I$82,Settings!$I$84,Settings!$I$86)</f>
        <v/>
      </c>
      <c r="AU292" s="171" t="n"/>
      <c r="AV292" t="n">
        <v>1.35</v>
      </c>
    </row>
    <row r="293">
      <c r="A293" s="33" t="n"/>
      <c r="B293" s="34" t="inlineStr">
        <is>
          <t>P1325R</t>
        </is>
      </c>
      <c r="C293" s="34" t="inlineStr">
        <is>
          <t>E.PO.CORD 3S 5M 1,5MM SW.SCH.</t>
        </is>
      </c>
      <c r="D293" s="34" t="inlineStr">
        <is>
          <t>Пооджувачи та адаптери</t>
        </is>
      </c>
      <c r="E293" s="33" t="inlineStr">
        <is>
          <t>PC</t>
        </is>
      </c>
      <c r="F293" s="94" t="n">
        <v>4.958</v>
      </c>
      <c r="G293" s="35" t="n">
        <v>8544429090</v>
      </c>
      <c r="H293" s="31" t="n">
        <v>1.4</v>
      </c>
      <c r="I293" s="84">
        <f>IFERROR(F293*Settings!$B$2*H293*IF(AND(ISNUMBER(E293),E293&gt;1),E293,1),"")</f>
        <v/>
      </c>
      <c r="J293" s="32">
        <f>Settings!$B$66</f>
        <v/>
      </c>
      <c r="K293" s="95">
        <f>IFERROR(IF(T293="","",(T293*(1-AN293)*(1-Settings!$B$17)-I293)/(T293*(1-AN293)*(1-Settings!$B$17))),"")</f>
        <v/>
      </c>
      <c r="L293" s="101">
        <f>IFERROR(IF(T293="","",(T293*(1-AO293)*(1-Settings!$C$17)-I293)/(T293*(1-AO293)*(1-Settings!$C$17))),"")</f>
        <v/>
      </c>
      <c r="M293" s="101">
        <f>IFERROR(IF(T293="","",(T293*(1-AP293)*(1-Settings!$D$17)-I293)/(T293*(1-AP293)*(1-Settings!$D$17))),"")</f>
        <v/>
      </c>
      <c r="N293" s="101">
        <f>IFERROR(IF(T293="","",(T293*(1-AQ293)*(1-Settings!$F$17)-I293)/(T293*(1-AQ293)*(1-Settings!$F$17))),"")</f>
        <v/>
      </c>
      <c r="O293" s="101">
        <f>IFERROR(IF(T293="","",(T293*(1-AR293)*(1-Settings!$G$17)-I293)/(T293*(1-AR293)*(1-Settings!$G$17))),"")</f>
        <v/>
      </c>
      <c r="P293" s="101">
        <f>IFERROR(IF(T293="","",(T293*(1-AS293)*(1-Settings!$H$17)-I293)/(T293*(1-AS293)*(1-Settings!$H$17))),"")</f>
        <v/>
      </c>
      <c r="Q293" s="101">
        <f>IFERROR(IF(T293="","",(T293*(1-AT293)*(1-Settings!$I$68)*(1-Settings!$I$17)-I293)/(T293*(1-AT293)*(1-Settings!$I$68)*(1-Settings!$I$17))),"")</f>
        <v/>
      </c>
      <c r="R293" s="91">
        <f>IFERROR(IF(OR(I293="",Z293&gt;=1,Settings!$B$17&gt;=1,AN293&gt;=1),"",IF(MOD(ROUND(I293/(1-Z293)/(1-Settings!$B$17)/(1-AN293),0),10)=0,ROUND(I293/(1-Z293)/(1-Settings!$B$17)/(1-AN293),0)-1,IF(MOD(ROUND(I293/(1-Z293)/(1-Settings!$B$17)/(1-AN293),0),10)&lt;=5,FLOOR(ROUND(I293/(1-Z293)/(1-Settings!$B$17)/(1-AN293),0),10)+6,FLOOR(ROUND(I293/(1-Z293)/(1-Settings!$B$17)/(1-AN293),0),10)+9))),"")</f>
        <v/>
      </c>
      <c r="S293" s="92" t="n">
        <v>700</v>
      </c>
      <c r="T293" s="91">
        <f>IF(S293&lt;&gt;"", IF(MOD(S293,10)=0,S293-1,IF(MOD(S293,10)&lt;=5,FLOOR(S293,10)+6,FLOOR(S293,10)+9)), R293)</f>
        <v/>
      </c>
      <c r="U293" s="87" t="inlineStr">
        <is>
          <t>Основний</t>
        </is>
      </c>
      <c r="V293" s="88" t="n"/>
      <c r="W293" s="88" t="n"/>
      <c r="X293" s="89">
        <f>IFERROR(IF(OR(V293="",W293="",T293=""),"", IF(T293&gt;W293,"Дорогий",IF(T293&lt;V293,"Дешевий","У ринку"))),"")</f>
        <v/>
      </c>
      <c r="Y293" s="90" t="n"/>
      <c r="Z293" s="104">
        <f>CHOOSE(MATCH(IF($U293="","Основний",$U293),{"Трафіковий","Основний","Маржинальний","Сезонний","Стратегічний"},0),0.16,0.19,0.24,0.23,0.28)</f>
        <v/>
      </c>
      <c r="AA293" s="104">
        <f>CHOOSE(MATCH(IF($U293="","Основний",$U293),{"Трафіковий","Основний","Маржинальний","Сезонний","Стратегічний"},0),0.18,0.21,0.26,0.25,0.3)</f>
        <v/>
      </c>
      <c r="AB293" s="104">
        <f>CHOOSE(MATCH(IF($U293="","Основний",$U293),{"Трафіковий","Основний","Маржинальний","Сезонний","Стратегічний"},0),0.19,0.22,0.28,0.26,0.32)</f>
        <v/>
      </c>
      <c r="AC293" s="104">
        <f>CHOOSE(MATCH(IF($U293="","Основний",$U293),{"Трафіковий","Основний","Маржинальний","Сезонний","Стратегічний"},0),0.17,0.2,0.25,0.24,0.28)</f>
        <v/>
      </c>
      <c r="AD293" s="104">
        <f>CHOOSE(MATCH(IF($U293="","Основний",$U293),{"Трафіковий","Основний","Маржинальний","Сезонний","Стратегічний"},0),0.18,0.21,0.26,0.25,0.3)</f>
        <v/>
      </c>
      <c r="AE293" s="104">
        <f>CHOOSE(MATCH(IF($U293="","Основний",$U293),{"Трафіковий","Основний","Маржинальний","Сезонний","Стратегічний"},0),0.18,0.2,0.28,0.27,0.32)</f>
        <v/>
      </c>
      <c r="AF293" s="104">
        <f>CHOOSE(MATCH(IF($U293="","Основний",$U293),{"Трафіковий","Основний","Маржинальний","Сезонний","Стратегічний"},0),0.15,0.175,0.22,0.21,0.25)</f>
        <v/>
      </c>
      <c r="AG293" s="104">
        <f>CHOOSE(MATCH(IF($U293="","Основний",$U293),{"Трафіковий","Основний","Маржинальний","Сезонний","Стратегічний"},0),0.13,0.16,0.21,0.2,0.25)</f>
        <v/>
      </c>
      <c r="AH293" s="104">
        <f>CHOOSE(MATCH(IF($U293="","Основний",$U293),{"Трафіковий","Основний","Маржинальний","Сезонний","Стратегічний"},0),0.15,0.18,0.23,0.22,0.27)</f>
        <v/>
      </c>
      <c r="AI293" s="104">
        <f>CHOOSE(MATCH(IF($U293="","Основний",$U293),{"Трафіковий","Основний","Маржинальний","Сезонний","Стратегічний"},0),0.16,0.19,0.25,0.23,0.29)</f>
        <v/>
      </c>
      <c r="AJ293" s="104">
        <f>CHOOSE(MATCH(IF($U293="","Основний",$U293),{"Трафіковий","Основний","Маржинальний","Сезонний","Стратегічний"},0),0.14,0.17,0.22,0.21,0.25)</f>
        <v/>
      </c>
      <c r="AK293" s="104">
        <f>CHOOSE(MATCH(IF($U293="","Основний",$U293),{"Трафіковий","Основний","Маржинальний","Сезонний","Стратегічний"},0),0.15,0.18,0.23,0.22,0.27)</f>
        <v/>
      </c>
      <c r="AL293" s="104">
        <f>CHOOSE(MATCH(IF($U293="","Основний",$U293),{"Трафіковий","Основний","Маржинальний","Сезонний","Стратегічний"},0),0.15,0.17,0.25,0.24,0.29)</f>
        <v/>
      </c>
      <c r="AM293" s="104">
        <f>CHOOSE(MATCH(IF($U293="","Основний",$U293),{"Трафіковий","Основний","Маржинальний","Сезонний","Стратегічний"},0),0.12,0.145,0.19,0.18,0.22)</f>
        <v/>
      </c>
      <c r="AN293" s="157">
        <f>CHOOSE(MATCH(IF($U293="","Основний",$U293),{"Трафіковий","Основний","Маржинальний","Сезонний","Стратегічний"},0),Settings!$B$78,Settings!$B$80,Settings!$B$82,Settings!$B$84,Settings!$B$86)</f>
        <v/>
      </c>
      <c r="AO293" s="157">
        <f>CHOOSE(MATCH(IF($U293="","Основний",$U293),{"Трафіковий","Основний","Маржинальний","Сезонний","Стратегічний"},0),Settings!$C$78,Settings!$C$80,Settings!$C$82,Settings!$C$84,Settings!$C$86)</f>
        <v/>
      </c>
      <c r="AP293" s="157">
        <f>CHOOSE(MATCH(IF($U293="","Основний",$U293),{"Трафіковий","Основний","Маржинальний","Сезонний","Стратегічний"},0),Settings!$D$78,Settings!$D$80,Settings!$D$82,Settings!$D$84,Settings!$D$86)</f>
        <v/>
      </c>
      <c r="AQ293" s="157">
        <f>CHOOSE(MATCH(IF($U293="","Основний",$U293),{"Трафіковий","Основний","Маржинальний","Сезонний","Стратегічний"},0),Settings!$F$78,Settings!$F$80,Settings!$F$82,Settings!$F$84,Settings!$F$86)</f>
        <v/>
      </c>
      <c r="AR293" s="157">
        <f>CHOOSE(MATCH(IF($U293="","Основний",$U293),{"Трафіковий","Основний","Маржинальний","Сезонний","Стратегічний"},0),Settings!$G$78,Settings!$G$80,Settings!$G$82,Settings!$G$84,Settings!$G$86)</f>
        <v/>
      </c>
      <c r="AS293" s="157">
        <f>CHOOSE(MATCH(IF($U293="","Основний",$U293),{"Трафіковий","Основний","Маржинальний","Сезонний","Стратегічний"},0),Settings!$H$78,Settings!$H$80,Settings!$H$82,Settings!$H$84,Settings!$H$86)</f>
        <v/>
      </c>
      <c r="AT293" s="157">
        <f>CHOOSE(MATCH(IF($U293="","Основний",$U293),{"Трафіковий","Основний","Маржинальний","Сезонний","Стратегічний"},0),Settings!$I$78,Settings!$I$80,Settings!$I$82,Settings!$I$84,Settings!$I$86)</f>
        <v/>
      </c>
      <c r="AU293" s="171" t="n"/>
      <c r="AV293" t="n">
        <v>1.35</v>
      </c>
    </row>
    <row r="294">
      <c r="A294" s="28" t="n"/>
      <c r="B294" s="29" t="inlineStr">
        <is>
          <t>P1421R</t>
        </is>
      </c>
      <c r="C294" s="29" t="inlineStr">
        <is>
          <t>EXTENSION CORD 4S 1,5M 1,5MM SW. SCH</t>
        </is>
      </c>
      <c r="D294" s="29" t="inlineStr">
        <is>
          <t>Пооджувачи та адаптери</t>
        </is>
      </c>
      <c r="E294" s="28" t="inlineStr">
        <is>
          <t>PC</t>
        </is>
      </c>
      <c r="F294" s="93" t="n">
        <v>2.976</v>
      </c>
      <c r="G294" s="30" t="n">
        <v>8544429090</v>
      </c>
      <c r="H294" s="31" t="n">
        <v>1.4</v>
      </c>
      <c r="I294" s="84">
        <f>IFERROR(F294*Settings!$B$2*H294*IF(AND(ISNUMBER(E294),E294&gt;1),E294,1),"")</f>
        <v/>
      </c>
      <c r="J294" s="32">
        <f>Settings!$B$66</f>
        <v/>
      </c>
      <c r="K294" s="95">
        <f>IFERROR(IF(T294="","",(T294*(1-AN294)*(1-Settings!$B$17)-I294)/(T294*(1-AN294)*(1-Settings!$B$17))),"")</f>
        <v/>
      </c>
      <c r="L294" s="101">
        <f>IFERROR(IF(T294="","",(T294*(1-AO294)*(1-Settings!$C$17)-I294)/(T294*(1-AO294)*(1-Settings!$C$17))),"")</f>
        <v/>
      </c>
      <c r="M294" s="101">
        <f>IFERROR(IF(T294="","",(T294*(1-AP294)*(1-Settings!$D$17)-I294)/(T294*(1-AP294)*(1-Settings!$D$17))),"")</f>
        <v/>
      </c>
      <c r="N294" s="101">
        <f>IFERROR(IF(T294="","",(T294*(1-AQ294)*(1-Settings!$F$17)-I294)/(T294*(1-AQ294)*(1-Settings!$F$17))),"")</f>
        <v/>
      </c>
      <c r="O294" s="101">
        <f>IFERROR(IF(T294="","",(T294*(1-AR294)*(1-Settings!$G$17)-I294)/(T294*(1-AR294)*(1-Settings!$G$17))),"")</f>
        <v/>
      </c>
      <c r="P294" s="101">
        <f>IFERROR(IF(T294="","",(T294*(1-AS294)*(1-Settings!$H$17)-I294)/(T294*(1-AS294)*(1-Settings!$H$17))),"")</f>
        <v/>
      </c>
      <c r="Q294" s="101">
        <f>IFERROR(IF(T294="","",(T294*(1-AT294)*(1-Settings!$I$68)*(1-Settings!$I$17)-I294)/(T294*(1-AT294)*(1-Settings!$I$68)*(1-Settings!$I$17))),"")</f>
        <v/>
      </c>
      <c r="R294" s="91">
        <f>IFERROR(IF(OR(I294="",Z294&gt;=1,Settings!$B$17&gt;=1,AN294&gt;=1),"",IF(MOD(ROUND(I294/(1-Z294)/(1-Settings!$B$17)/(1-AN294),0),10)=0,ROUND(I294/(1-Z294)/(1-Settings!$B$17)/(1-AN294),0)-1,IF(MOD(ROUND(I294/(1-Z294)/(1-Settings!$B$17)/(1-AN294),0),10)&lt;=5,FLOOR(ROUND(I294/(1-Z294)/(1-Settings!$B$17)/(1-AN294),0),10)+6,FLOOR(ROUND(I294/(1-Z294)/(1-Settings!$B$17)/(1-AN294),0),10)+9))),"")</f>
        <v/>
      </c>
      <c r="S294" s="174">
        <f>R294*0.95</f>
        <v/>
      </c>
      <c r="T294" s="91">
        <f>IF(S294&lt;&gt;"", IF(MOD(S294,10)=0,S294-1,IF(MOD(S294,10)&lt;=5,FLOOR(S294,10)+6,FLOOR(S294,10)+9)), R294)</f>
        <v/>
      </c>
      <c r="U294" s="87" t="inlineStr">
        <is>
          <t>Основний</t>
        </is>
      </c>
      <c r="V294" s="88" t="n"/>
      <c r="W294" s="88" t="n"/>
      <c r="X294" s="89">
        <f>IFERROR(IF(OR(V294="",W294="",T294=""),"", IF(T294&gt;W294,"Дорогий",IF(T294&lt;V294,"Дешевий","У ринку"))),"")</f>
        <v/>
      </c>
      <c r="Y294" s="90" t="n"/>
      <c r="Z294" s="104">
        <f>CHOOSE(MATCH(IF($U294="","Основний",$U294),{"Трафіковий","Основний","Маржинальний","Сезонний","Стратегічний"},0),0.16,0.19,0.24,0.23,0.28)</f>
        <v/>
      </c>
      <c r="AA294" s="104">
        <f>CHOOSE(MATCH(IF($U294="","Основний",$U294),{"Трафіковий","Основний","Маржинальний","Сезонний","Стратегічний"},0),0.18,0.21,0.26,0.25,0.3)</f>
        <v/>
      </c>
      <c r="AB294" s="104">
        <f>CHOOSE(MATCH(IF($U294="","Основний",$U294),{"Трафіковий","Основний","Маржинальний","Сезонний","Стратегічний"},0),0.19,0.22,0.28,0.26,0.32)</f>
        <v/>
      </c>
      <c r="AC294" s="104">
        <f>CHOOSE(MATCH(IF($U294="","Основний",$U294),{"Трафіковий","Основний","Маржинальний","Сезонний","Стратегічний"},0),0.17,0.2,0.25,0.24,0.28)</f>
        <v/>
      </c>
      <c r="AD294" s="104">
        <f>CHOOSE(MATCH(IF($U294="","Основний",$U294),{"Трафіковий","Основний","Маржинальний","Сезонний","Стратегічний"},0),0.18,0.21,0.26,0.25,0.3)</f>
        <v/>
      </c>
      <c r="AE294" s="104">
        <f>CHOOSE(MATCH(IF($U294="","Основний",$U294),{"Трафіковий","Основний","Маржинальний","Сезонний","Стратегічний"},0),0.18,0.2,0.28,0.27,0.32)</f>
        <v/>
      </c>
      <c r="AF294" s="104">
        <f>CHOOSE(MATCH(IF($U294="","Основний",$U294),{"Трафіковий","Основний","Маржинальний","Сезонний","Стратегічний"},0),0.15,0.175,0.22,0.21,0.25)</f>
        <v/>
      </c>
      <c r="AG294" s="104">
        <f>CHOOSE(MATCH(IF($U294="","Основний",$U294),{"Трафіковий","Основний","Маржинальний","Сезонний","Стратегічний"},0),0.13,0.16,0.21,0.2,0.25)</f>
        <v/>
      </c>
      <c r="AH294" s="104">
        <f>CHOOSE(MATCH(IF($U294="","Основний",$U294),{"Трафіковий","Основний","Маржинальний","Сезонний","Стратегічний"},0),0.15,0.18,0.23,0.22,0.27)</f>
        <v/>
      </c>
      <c r="AI294" s="104">
        <f>CHOOSE(MATCH(IF($U294="","Основний",$U294),{"Трафіковий","Основний","Маржинальний","Сезонний","Стратегічний"},0),0.16,0.19,0.25,0.23,0.29)</f>
        <v/>
      </c>
      <c r="AJ294" s="104">
        <f>CHOOSE(MATCH(IF($U294="","Основний",$U294),{"Трафіковий","Основний","Маржинальний","Сезонний","Стратегічний"},0),0.14,0.17,0.22,0.21,0.25)</f>
        <v/>
      </c>
      <c r="AK294" s="104">
        <f>CHOOSE(MATCH(IF($U294="","Основний",$U294),{"Трафіковий","Основний","Маржинальний","Сезонний","Стратегічний"},0),0.15,0.18,0.23,0.22,0.27)</f>
        <v/>
      </c>
      <c r="AL294" s="104">
        <f>CHOOSE(MATCH(IF($U294="","Основний",$U294),{"Трафіковий","Основний","Маржинальний","Сезонний","Стратегічний"},0),0.15,0.17,0.25,0.24,0.29)</f>
        <v/>
      </c>
      <c r="AM294" s="104">
        <f>CHOOSE(MATCH(IF($U294="","Основний",$U294),{"Трафіковий","Основний","Маржинальний","Сезонний","Стратегічний"},0),0.12,0.145,0.19,0.18,0.22)</f>
        <v/>
      </c>
      <c r="AN294" s="157">
        <f>CHOOSE(MATCH(IF($U294="","Основний",$U294),{"Трафіковий","Основний","Маржинальний","Сезонний","Стратегічний"},0),Settings!$B$78,Settings!$B$80,Settings!$B$82,Settings!$B$84,Settings!$B$86)</f>
        <v/>
      </c>
      <c r="AO294" s="157">
        <f>CHOOSE(MATCH(IF($U294="","Основний",$U294),{"Трафіковий","Основний","Маржинальний","Сезонний","Стратегічний"},0),Settings!$C$78,Settings!$C$80,Settings!$C$82,Settings!$C$84,Settings!$C$86)</f>
        <v/>
      </c>
      <c r="AP294" s="157">
        <f>CHOOSE(MATCH(IF($U294="","Основний",$U294),{"Трафіковий","Основний","Маржинальний","Сезонний","Стратегічний"},0),Settings!$D$78,Settings!$D$80,Settings!$D$82,Settings!$D$84,Settings!$D$86)</f>
        <v/>
      </c>
      <c r="AQ294" s="157">
        <f>CHOOSE(MATCH(IF($U294="","Основний",$U294),{"Трафіковий","Основний","Маржинальний","Сезонний","Стратегічний"},0),Settings!$F$78,Settings!$F$80,Settings!$F$82,Settings!$F$84,Settings!$F$86)</f>
        <v/>
      </c>
      <c r="AR294" s="157">
        <f>CHOOSE(MATCH(IF($U294="","Основний",$U294),{"Трафіковий","Основний","Маржинальний","Сезонний","Стратегічний"},0),Settings!$G$78,Settings!$G$80,Settings!$G$82,Settings!$G$84,Settings!$G$86)</f>
        <v/>
      </c>
      <c r="AS294" s="157">
        <f>CHOOSE(MATCH(IF($U294="","Основний",$U294),{"Трафіковий","Основний","Маржинальний","Сезонний","Стратегічний"},0),Settings!$H$78,Settings!$H$80,Settings!$H$82,Settings!$H$84,Settings!$H$86)</f>
        <v/>
      </c>
      <c r="AT294" s="157">
        <f>CHOOSE(MATCH(IF($U294="","Основний",$U294),{"Трафіковий","Основний","Маржинальний","Сезонний","Стратегічний"},0),Settings!$I$78,Settings!$I$80,Settings!$I$82,Settings!$I$84,Settings!$I$86)</f>
        <v/>
      </c>
      <c r="AU294" s="171" t="n"/>
      <c r="AV294" t="n">
        <v>1.35</v>
      </c>
    </row>
    <row r="295">
      <c r="A295" s="33" t="n"/>
      <c r="B295" s="34" t="inlineStr">
        <is>
          <t>PC1421R</t>
        </is>
      </c>
      <c r="C295" s="34" t="inlineStr">
        <is>
          <t>EXTENSION CORD 4S 1,5M 1,5MM SW. BLACK SCH.</t>
        </is>
      </c>
      <c r="D295" s="34" t="inlineStr">
        <is>
          <t>Пооджувачи та адаптери</t>
        </is>
      </c>
      <c r="E295" s="33" t="inlineStr">
        <is>
          <t>PC</t>
        </is>
      </c>
      <c r="F295" s="94" t="n">
        <v>2.602</v>
      </c>
      <c r="G295" s="35" t="n">
        <v>8544429090</v>
      </c>
      <c r="H295" s="31" t="n">
        <v>1.4</v>
      </c>
      <c r="I295" s="84">
        <f>IFERROR(F295*Settings!$B$2*H295*IF(AND(ISNUMBER(E295),E295&gt;1),E295,1),"")</f>
        <v/>
      </c>
      <c r="J295" s="32">
        <f>Settings!$B$66</f>
        <v/>
      </c>
      <c r="K295" s="95">
        <f>IFERROR(IF(T295="","",(T295*(1-AN295)*(1-Settings!$B$17)-I295)/(T295*(1-AN295)*(1-Settings!$B$17))),"")</f>
        <v/>
      </c>
      <c r="L295" s="101">
        <f>IFERROR(IF(T295="","",(T295*(1-AO295)*(1-Settings!$C$17)-I295)/(T295*(1-AO295)*(1-Settings!$C$17))),"")</f>
        <v/>
      </c>
      <c r="M295" s="101">
        <f>IFERROR(IF(T295="","",(T295*(1-AP295)*(1-Settings!$D$17)-I295)/(T295*(1-AP295)*(1-Settings!$D$17))),"")</f>
        <v/>
      </c>
      <c r="N295" s="101">
        <f>IFERROR(IF(T295="","",(T295*(1-AQ295)*(1-Settings!$F$17)-I295)/(T295*(1-AQ295)*(1-Settings!$F$17))),"")</f>
        <v/>
      </c>
      <c r="O295" s="101">
        <f>IFERROR(IF(T295="","",(T295*(1-AR295)*(1-Settings!$G$17)-I295)/(T295*(1-AR295)*(1-Settings!$G$17))),"")</f>
        <v/>
      </c>
      <c r="P295" s="101">
        <f>IFERROR(IF(T295="","",(T295*(1-AS295)*(1-Settings!$H$17)-I295)/(T295*(1-AS295)*(1-Settings!$H$17))),"")</f>
        <v/>
      </c>
      <c r="Q295" s="101">
        <f>IFERROR(IF(T295="","",(T295*(1-AT295)*(1-Settings!$I$68)*(1-Settings!$I$17)-I295)/(T295*(1-AT295)*(1-Settings!$I$68)*(1-Settings!$I$17))),"")</f>
        <v/>
      </c>
      <c r="R295" s="91">
        <f>IFERROR(IF(OR(I295="",Z295&gt;=1,Settings!$B$17&gt;=1,AN295&gt;=1),"",IF(MOD(ROUND(I295/(1-Z295)/(1-Settings!$B$17)/(1-AN295),0),10)=0,ROUND(I295/(1-Z295)/(1-Settings!$B$17)/(1-AN295),0)-1,IF(MOD(ROUND(I295/(1-Z295)/(1-Settings!$B$17)/(1-AN295),0),10)&lt;=5,FLOOR(ROUND(I295/(1-Z295)/(1-Settings!$B$17)/(1-AN295),0),10)+6,FLOOR(ROUND(I295/(1-Z295)/(1-Settings!$B$17)/(1-AN295),0),10)+9))),"")</f>
        <v/>
      </c>
      <c r="S295" s="174">
        <f>R295*0.95</f>
        <v/>
      </c>
      <c r="T295" s="91">
        <f>IF(S295&lt;&gt;"", IF(MOD(S295,10)=0,S295-1,IF(MOD(S295,10)&lt;=5,FLOOR(S295,10)+6,FLOOR(S295,10)+9)), R295)</f>
        <v/>
      </c>
      <c r="U295" s="87" t="inlineStr">
        <is>
          <t>Основний</t>
        </is>
      </c>
      <c r="V295" s="88" t="n"/>
      <c r="W295" s="88" t="n"/>
      <c r="X295" s="89">
        <f>IFERROR(IF(OR(V295="",W295="",T295=""),"", IF(T295&gt;W295,"Дорогий",IF(T295&lt;V295,"Дешевий","У ринку"))),"")</f>
        <v/>
      </c>
      <c r="Y295" s="90" t="n"/>
      <c r="Z295" s="104">
        <f>CHOOSE(MATCH(IF($U295="","Основний",$U295),{"Трафіковий","Основний","Маржинальний","Сезонний","Стратегічний"},0),0.16,0.19,0.24,0.23,0.28)</f>
        <v/>
      </c>
      <c r="AA295" s="104">
        <f>CHOOSE(MATCH(IF($U295="","Основний",$U295),{"Трафіковий","Основний","Маржинальний","Сезонний","Стратегічний"},0),0.18,0.21,0.26,0.25,0.3)</f>
        <v/>
      </c>
      <c r="AB295" s="104">
        <f>CHOOSE(MATCH(IF($U295="","Основний",$U295),{"Трафіковий","Основний","Маржинальний","Сезонний","Стратегічний"},0),0.19,0.22,0.28,0.26,0.32)</f>
        <v/>
      </c>
      <c r="AC295" s="104">
        <f>CHOOSE(MATCH(IF($U295="","Основний",$U295),{"Трафіковий","Основний","Маржинальний","Сезонний","Стратегічний"},0),0.17,0.2,0.25,0.24,0.28)</f>
        <v/>
      </c>
      <c r="AD295" s="104">
        <f>CHOOSE(MATCH(IF($U295="","Основний",$U295),{"Трафіковий","Основний","Маржинальний","Сезонний","Стратегічний"},0),0.18,0.21,0.26,0.25,0.3)</f>
        <v/>
      </c>
      <c r="AE295" s="104">
        <f>CHOOSE(MATCH(IF($U295="","Основний",$U295),{"Трафіковий","Основний","Маржинальний","Сезонний","Стратегічний"},0),0.18,0.2,0.28,0.27,0.32)</f>
        <v/>
      </c>
      <c r="AF295" s="104">
        <f>CHOOSE(MATCH(IF($U295="","Основний",$U295),{"Трафіковий","Основний","Маржинальний","Сезонний","Стратегічний"},0),0.15,0.175,0.22,0.21,0.25)</f>
        <v/>
      </c>
      <c r="AG295" s="104">
        <f>CHOOSE(MATCH(IF($U295="","Основний",$U295),{"Трафіковий","Основний","Маржинальний","Сезонний","Стратегічний"},0),0.13,0.16,0.21,0.2,0.25)</f>
        <v/>
      </c>
      <c r="AH295" s="104">
        <f>CHOOSE(MATCH(IF($U295="","Основний",$U295),{"Трафіковий","Основний","Маржинальний","Сезонний","Стратегічний"},0),0.15,0.18,0.23,0.22,0.27)</f>
        <v/>
      </c>
      <c r="AI295" s="104">
        <f>CHOOSE(MATCH(IF($U295="","Основний",$U295),{"Трафіковий","Основний","Маржинальний","Сезонний","Стратегічний"},0),0.16,0.19,0.25,0.23,0.29)</f>
        <v/>
      </c>
      <c r="AJ295" s="104">
        <f>CHOOSE(MATCH(IF($U295="","Основний",$U295),{"Трафіковий","Основний","Маржинальний","Сезонний","Стратегічний"},0),0.14,0.17,0.22,0.21,0.25)</f>
        <v/>
      </c>
      <c r="AK295" s="104">
        <f>CHOOSE(MATCH(IF($U295="","Основний",$U295),{"Трафіковий","Основний","Маржинальний","Сезонний","Стратегічний"},0),0.15,0.18,0.23,0.22,0.27)</f>
        <v/>
      </c>
      <c r="AL295" s="104">
        <f>CHOOSE(MATCH(IF($U295="","Основний",$U295),{"Трафіковий","Основний","Маржинальний","Сезонний","Стратегічний"},0),0.15,0.17,0.25,0.24,0.29)</f>
        <v/>
      </c>
      <c r="AM295" s="104">
        <f>CHOOSE(MATCH(IF($U295="","Основний",$U295),{"Трафіковий","Основний","Маржинальний","Сезонний","Стратегічний"},0),0.12,0.145,0.19,0.18,0.22)</f>
        <v/>
      </c>
      <c r="AN295" s="157">
        <f>CHOOSE(MATCH(IF($U295="","Основний",$U295),{"Трафіковий","Основний","Маржинальний","Сезонний","Стратегічний"},0),Settings!$B$78,Settings!$B$80,Settings!$B$82,Settings!$B$84,Settings!$B$86)</f>
        <v/>
      </c>
      <c r="AO295" s="157">
        <f>CHOOSE(MATCH(IF($U295="","Основний",$U295),{"Трафіковий","Основний","Маржинальний","Сезонний","Стратегічний"},0),Settings!$C$78,Settings!$C$80,Settings!$C$82,Settings!$C$84,Settings!$C$86)</f>
        <v/>
      </c>
      <c r="AP295" s="157">
        <f>CHOOSE(MATCH(IF($U295="","Основний",$U295),{"Трафіковий","Основний","Маржинальний","Сезонний","Стратегічний"},0),Settings!$D$78,Settings!$D$80,Settings!$D$82,Settings!$D$84,Settings!$D$86)</f>
        <v/>
      </c>
      <c r="AQ295" s="157">
        <f>CHOOSE(MATCH(IF($U295="","Основний",$U295),{"Трафіковий","Основний","Маржинальний","Сезонний","Стратегічний"},0),Settings!$F$78,Settings!$F$80,Settings!$F$82,Settings!$F$84,Settings!$F$86)</f>
        <v/>
      </c>
      <c r="AR295" s="157">
        <f>CHOOSE(MATCH(IF($U295="","Основний",$U295),{"Трафіковий","Основний","Маржинальний","Сезонний","Стратегічний"},0),Settings!$G$78,Settings!$G$80,Settings!$G$82,Settings!$G$84,Settings!$G$86)</f>
        <v/>
      </c>
      <c r="AS295" s="157">
        <f>CHOOSE(MATCH(IF($U295="","Основний",$U295),{"Трафіковий","Основний","Маржинальний","Сезонний","Стратегічний"},0),Settings!$H$78,Settings!$H$80,Settings!$H$82,Settings!$H$84,Settings!$H$86)</f>
        <v/>
      </c>
      <c r="AT295" s="157">
        <f>CHOOSE(MATCH(IF($U295="","Основний",$U295),{"Трафіковий","Основний","Маржинальний","Сезонний","Стратегічний"},0),Settings!$I$78,Settings!$I$80,Settings!$I$82,Settings!$I$84,Settings!$I$86)</f>
        <v/>
      </c>
      <c r="AU295" s="171" t="n"/>
      <c r="AV295" t="n">
        <v>1.35</v>
      </c>
    </row>
    <row r="296">
      <c r="A296" s="28" t="n"/>
      <c r="B296" s="29" t="inlineStr">
        <is>
          <t>P1423R</t>
        </is>
      </c>
      <c r="C296" s="29" t="inlineStr">
        <is>
          <t>EXT.P.CORD 4S 3M SW.SCH.1,5MM</t>
        </is>
      </c>
      <c r="D296" s="29" t="inlineStr">
        <is>
          <t>Пооджувачи та адаптери</t>
        </is>
      </c>
      <c r="E296" s="28" t="inlineStr">
        <is>
          <t>PC</t>
        </is>
      </c>
      <c r="F296" s="93" t="n">
        <v>3.643</v>
      </c>
      <c r="G296" s="30" t="n">
        <v>8544429090</v>
      </c>
      <c r="H296" s="31" t="n">
        <v>1.4</v>
      </c>
      <c r="I296" s="84">
        <f>IFERROR(F296*Settings!$B$2*H296*IF(AND(ISNUMBER(E296),E296&gt;1),E296,1),"")</f>
        <v/>
      </c>
      <c r="J296" s="32">
        <f>Settings!$B$66</f>
        <v/>
      </c>
      <c r="K296" s="95">
        <f>IFERROR(IF(T296="","",(T296*(1-AN296)*(1-Settings!$B$17)-I296)/(T296*(1-AN296)*(1-Settings!$B$17))),"")</f>
        <v/>
      </c>
      <c r="L296" s="101">
        <f>IFERROR(IF(T296="","",(T296*(1-AO296)*(1-Settings!$C$17)-I296)/(T296*(1-AO296)*(1-Settings!$C$17))),"")</f>
        <v/>
      </c>
      <c r="M296" s="101">
        <f>IFERROR(IF(T296="","",(T296*(1-AP296)*(1-Settings!$D$17)-I296)/(T296*(1-AP296)*(1-Settings!$D$17))),"")</f>
        <v/>
      </c>
      <c r="N296" s="101">
        <f>IFERROR(IF(T296="","",(T296*(1-AQ296)*(1-Settings!$F$17)-I296)/(T296*(1-AQ296)*(1-Settings!$F$17))),"")</f>
        <v/>
      </c>
      <c r="O296" s="101">
        <f>IFERROR(IF(T296="","",(T296*(1-AR296)*(1-Settings!$G$17)-I296)/(T296*(1-AR296)*(1-Settings!$G$17))),"")</f>
        <v/>
      </c>
      <c r="P296" s="101">
        <f>IFERROR(IF(T296="","",(T296*(1-AS296)*(1-Settings!$H$17)-I296)/(T296*(1-AS296)*(1-Settings!$H$17))),"")</f>
        <v/>
      </c>
      <c r="Q296" s="101">
        <f>IFERROR(IF(T296="","",(T296*(1-AT296)*(1-Settings!$I$68)*(1-Settings!$I$17)-I296)/(T296*(1-AT296)*(1-Settings!$I$68)*(1-Settings!$I$17))),"")</f>
        <v/>
      </c>
      <c r="R296" s="91">
        <f>IFERROR(IF(OR(I296="",Z296&gt;=1,Settings!$B$17&gt;=1,AN296&gt;=1),"",IF(MOD(ROUND(I296/(1-Z296)/(1-Settings!$B$17)/(1-AN296),0),10)=0,ROUND(I296/(1-Z296)/(1-Settings!$B$17)/(1-AN296),0)-1,IF(MOD(ROUND(I296/(1-Z296)/(1-Settings!$B$17)/(1-AN296),0),10)&lt;=5,FLOOR(ROUND(I296/(1-Z296)/(1-Settings!$B$17)/(1-AN296),0),10)+6,FLOOR(ROUND(I296/(1-Z296)/(1-Settings!$B$17)/(1-AN296),0),10)+9))),"")</f>
        <v/>
      </c>
      <c r="S296" s="92" t="n">
        <v>550</v>
      </c>
      <c r="T296" s="91">
        <f>IF(S296&lt;&gt;"", IF(MOD(S296,10)=0,S296-1,IF(MOD(S296,10)&lt;=5,FLOOR(S296,10)+6,FLOOR(S296,10)+9)), R296)</f>
        <v/>
      </c>
      <c r="U296" s="87" t="inlineStr">
        <is>
          <t>Маржинальний</t>
        </is>
      </c>
      <c r="V296" s="88" t="n"/>
      <c r="W296" s="88" t="n"/>
      <c r="X296" s="89">
        <f>IFERROR(IF(OR(V296="",W296="",T296=""),"", IF(T296&gt;W296,"Дорогий",IF(T296&lt;V296,"Дешевий","У ринку"))),"")</f>
        <v/>
      </c>
      <c r="Y296" s="90" t="n"/>
      <c r="Z296" s="104">
        <f>CHOOSE(MATCH(IF($U296="","Основний",$U296),{"Трафіковий","Основний","Маржинальний","Сезонний","Стратегічний"},0),0.16,0.19,0.24,0.23,0.28)</f>
        <v/>
      </c>
      <c r="AA296" s="104">
        <f>CHOOSE(MATCH(IF($U296="","Основний",$U296),{"Трафіковий","Основний","Маржинальний","Сезонний","Стратегічний"},0),0.18,0.21,0.26,0.25,0.3)</f>
        <v/>
      </c>
      <c r="AB296" s="104">
        <f>CHOOSE(MATCH(IF($U296="","Основний",$U296),{"Трафіковий","Основний","Маржинальний","Сезонний","Стратегічний"},0),0.19,0.22,0.28,0.26,0.32)</f>
        <v/>
      </c>
      <c r="AC296" s="104">
        <f>CHOOSE(MATCH(IF($U296="","Основний",$U296),{"Трафіковий","Основний","Маржинальний","Сезонний","Стратегічний"},0),0.17,0.2,0.25,0.24,0.28)</f>
        <v/>
      </c>
      <c r="AD296" s="104">
        <f>CHOOSE(MATCH(IF($U296="","Основний",$U296),{"Трафіковий","Основний","Маржинальний","Сезонний","Стратегічний"},0),0.18,0.21,0.26,0.25,0.3)</f>
        <v/>
      </c>
      <c r="AE296" s="104">
        <f>CHOOSE(MATCH(IF($U296="","Основний",$U296),{"Трафіковий","Основний","Маржинальний","Сезонний","Стратегічний"},0),0.18,0.2,0.28,0.27,0.32)</f>
        <v/>
      </c>
      <c r="AF296" s="104">
        <f>CHOOSE(MATCH(IF($U296="","Основний",$U296),{"Трафіковий","Основний","Маржинальний","Сезонний","Стратегічний"},0),0.15,0.175,0.22,0.21,0.25)</f>
        <v/>
      </c>
      <c r="AG296" s="104">
        <f>CHOOSE(MATCH(IF($U296="","Основний",$U296),{"Трафіковий","Основний","Маржинальний","Сезонний","Стратегічний"},0),0.13,0.16,0.21,0.2,0.25)</f>
        <v/>
      </c>
      <c r="AH296" s="104">
        <f>CHOOSE(MATCH(IF($U296="","Основний",$U296),{"Трафіковий","Основний","Маржинальний","Сезонний","Стратегічний"},0),0.15,0.18,0.23,0.22,0.27)</f>
        <v/>
      </c>
      <c r="AI296" s="104">
        <f>CHOOSE(MATCH(IF($U296="","Основний",$U296),{"Трафіковий","Основний","Маржинальний","Сезонний","Стратегічний"},0),0.16,0.19,0.25,0.23,0.29)</f>
        <v/>
      </c>
      <c r="AJ296" s="104">
        <f>CHOOSE(MATCH(IF($U296="","Основний",$U296),{"Трафіковий","Основний","Маржинальний","Сезонний","Стратегічний"},0),0.14,0.17,0.22,0.21,0.25)</f>
        <v/>
      </c>
      <c r="AK296" s="104">
        <f>CHOOSE(MATCH(IF($U296="","Основний",$U296),{"Трафіковий","Основний","Маржинальний","Сезонний","Стратегічний"},0),0.15,0.18,0.23,0.22,0.27)</f>
        <v/>
      </c>
      <c r="AL296" s="104">
        <f>CHOOSE(MATCH(IF($U296="","Основний",$U296),{"Трафіковий","Основний","Маржинальний","Сезонний","Стратегічний"},0),0.15,0.17,0.25,0.24,0.29)</f>
        <v/>
      </c>
      <c r="AM296" s="104">
        <f>CHOOSE(MATCH(IF($U296="","Основний",$U296),{"Трафіковий","Основний","Маржинальний","Сезонний","Стратегічний"},0),0.12,0.145,0.19,0.18,0.22)</f>
        <v/>
      </c>
      <c r="AN296" s="157">
        <f>CHOOSE(MATCH(IF($U296="","Основний",$U296),{"Трафіковий","Основний","Маржинальний","Сезонний","Стратегічний"},0),Settings!$B$78,Settings!$B$80,Settings!$B$82,Settings!$B$84,Settings!$B$86)</f>
        <v/>
      </c>
      <c r="AO296" s="157">
        <f>CHOOSE(MATCH(IF($U296="","Основний",$U296),{"Трафіковий","Основний","Маржинальний","Сезонний","Стратегічний"},0),Settings!$C$78,Settings!$C$80,Settings!$C$82,Settings!$C$84,Settings!$C$86)</f>
        <v/>
      </c>
      <c r="AP296" s="157">
        <f>CHOOSE(MATCH(IF($U296="","Основний",$U296),{"Трафіковий","Основний","Маржинальний","Сезонний","Стратегічний"},0),Settings!$D$78,Settings!$D$80,Settings!$D$82,Settings!$D$84,Settings!$D$86)</f>
        <v/>
      </c>
      <c r="AQ296" s="157">
        <f>CHOOSE(MATCH(IF($U296="","Основний",$U296),{"Трафіковий","Основний","Маржинальний","Сезонний","Стратегічний"},0),Settings!$F$78,Settings!$F$80,Settings!$F$82,Settings!$F$84,Settings!$F$86)</f>
        <v/>
      </c>
      <c r="AR296" s="157">
        <f>CHOOSE(MATCH(IF($U296="","Основний",$U296),{"Трафіковий","Основний","Маржинальний","Сезонний","Стратегічний"},0),Settings!$G$78,Settings!$G$80,Settings!$G$82,Settings!$G$84,Settings!$G$86)</f>
        <v/>
      </c>
      <c r="AS296" s="157">
        <f>CHOOSE(MATCH(IF($U296="","Основний",$U296),{"Трафіковий","Основний","Маржинальний","Сезонний","Стратегічний"},0),Settings!$H$78,Settings!$H$80,Settings!$H$82,Settings!$H$84,Settings!$H$86)</f>
        <v/>
      </c>
      <c r="AT296" s="157">
        <f>CHOOSE(MATCH(IF($U296="","Основний",$U296),{"Трафіковий","Основний","Маржинальний","Сезонний","Стратегічний"},0),Settings!$I$78,Settings!$I$80,Settings!$I$82,Settings!$I$84,Settings!$I$86)</f>
        <v/>
      </c>
      <c r="AU296" s="171" t="n"/>
      <c r="AV296" t="n">
        <v>1.35</v>
      </c>
    </row>
    <row r="297">
      <c r="A297" s="33" t="n"/>
      <c r="B297" s="34" t="inlineStr">
        <is>
          <t>PC1423R</t>
        </is>
      </c>
      <c r="C297" s="34" t="inlineStr">
        <is>
          <t>EXTENSION CORD 4S 3M 1,5MM SW. BLACK SCH.</t>
        </is>
      </c>
      <c r="D297" s="34" t="inlineStr">
        <is>
          <t>Пооджувачи та адаптери</t>
        </is>
      </c>
      <c r="E297" s="33" t="inlineStr">
        <is>
          <t>PC</t>
        </is>
      </c>
      <c r="F297" s="94" t="n">
        <v>3.829</v>
      </c>
      <c r="G297" s="35" t="n">
        <v>8544429090</v>
      </c>
      <c r="H297" s="31" t="n">
        <v>1.4</v>
      </c>
      <c r="I297" s="84">
        <f>IFERROR(F297*Settings!$B$2*H297*IF(AND(ISNUMBER(E297),E297&gt;1),E297,1),"")</f>
        <v/>
      </c>
      <c r="J297" s="32">
        <f>Settings!$B$66</f>
        <v/>
      </c>
      <c r="K297" s="95">
        <f>IFERROR(IF(T297="","",(T297*(1-AN297)*(1-Settings!$B$17)-I297)/(T297*(1-AN297)*(1-Settings!$B$17))),"")</f>
        <v/>
      </c>
      <c r="L297" s="101">
        <f>IFERROR(IF(T297="","",(T297*(1-AO297)*(1-Settings!$C$17)-I297)/(T297*(1-AO297)*(1-Settings!$C$17))),"")</f>
        <v/>
      </c>
      <c r="M297" s="101">
        <f>IFERROR(IF(T297="","",(T297*(1-AP297)*(1-Settings!$D$17)-I297)/(T297*(1-AP297)*(1-Settings!$D$17))),"")</f>
        <v/>
      </c>
      <c r="N297" s="101">
        <f>IFERROR(IF(T297="","",(T297*(1-AQ297)*(1-Settings!$F$17)-I297)/(T297*(1-AQ297)*(1-Settings!$F$17))),"")</f>
        <v/>
      </c>
      <c r="O297" s="101">
        <f>IFERROR(IF(T297="","",(T297*(1-AR297)*(1-Settings!$G$17)-I297)/(T297*(1-AR297)*(1-Settings!$G$17))),"")</f>
        <v/>
      </c>
      <c r="P297" s="101">
        <f>IFERROR(IF(T297="","",(T297*(1-AS297)*(1-Settings!$H$17)-I297)/(T297*(1-AS297)*(1-Settings!$H$17))),"")</f>
        <v/>
      </c>
      <c r="Q297" s="101">
        <f>IFERROR(IF(T297="","",(T297*(1-AT297)*(1-Settings!$I$68)*(1-Settings!$I$17)-I297)/(T297*(1-AT297)*(1-Settings!$I$68)*(1-Settings!$I$17))),"")</f>
        <v/>
      </c>
      <c r="R297" s="91">
        <f>IFERROR(IF(OR(I297="",Z297&gt;=1,Settings!$B$17&gt;=1,AN297&gt;=1),"",IF(MOD(ROUND(I297/(1-Z297)/(1-Settings!$B$17)/(1-AN297),0),10)=0,ROUND(I297/(1-Z297)/(1-Settings!$B$17)/(1-AN297),0)-1,IF(MOD(ROUND(I297/(1-Z297)/(1-Settings!$B$17)/(1-AN297),0),10)&lt;=5,FLOOR(ROUND(I297/(1-Z297)/(1-Settings!$B$17)/(1-AN297),0),10)+6,FLOOR(ROUND(I297/(1-Z297)/(1-Settings!$B$17)/(1-AN297),0),10)+9))),"")</f>
        <v/>
      </c>
      <c r="S297" s="92" t="n">
        <v>550</v>
      </c>
      <c r="T297" s="91">
        <f>IF(S297&lt;&gt;"", IF(MOD(S297,10)=0,S297-1,IF(MOD(S297,10)&lt;=5,FLOOR(S297,10)+6,FLOOR(S297,10)+9)), R297)</f>
        <v/>
      </c>
      <c r="U297" s="87" t="inlineStr">
        <is>
          <t>Маржинальний</t>
        </is>
      </c>
      <c r="V297" s="88" t="n"/>
      <c r="W297" s="88" t="n"/>
      <c r="X297" s="89">
        <f>IFERROR(IF(OR(V297="",W297="",T297=""),"", IF(T297&gt;W297,"Дорогий",IF(T297&lt;V297,"Дешевий","У ринку"))),"")</f>
        <v/>
      </c>
      <c r="Y297" s="90" t="n"/>
      <c r="Z297" s="104">
        <f>CHOOSE(MATCH(IF($U297="","Основний",$U297),{"Трафіковий","Основний","Маржинальний","Сезонний","Стратегічний"},0),0.16,0.19,0.24,0.23,0.28)</f>
        <v/>
      </c>
      <c r="AA297" s="104">
        <f>CHOOSE(MATCH(IF($U297="","Основний",$U297),{"Трафіковий","Основний","Маржинальний","Сезонний","Стратегічний"},0),0.18,0.21,0.26,0.25,0.3)</f>
        <v/>
      </c>
      <c r="AB297" s="104">
        <f>CHOOSE(MATCH(IF($U297="","Основний",$U297),{"Трафіковий","Основний","Маржинальний","Сезонний","Стратегічний"},0),0.19,0.22,0.28,0.26,0.32)</f>
        <v/>
      </c>
      <c r="AC297" s="104">
        <f>CHOOSE(MATCH(IF($U297="","Основний",$U297),{"Трафіковий","Основний","Маржинальний","Сезонний","Стратегічний"},0),0.17,0.2,0.25,0.24,0.28)</f>
        <v/>
      </c>
      <c r="AD297" s="104">
        <f>CHOOSE(MATCH(IF($U297="","Основний",$U297),{"Трафіковий","Основний","Маржинальний","Сезонний","Стратегічний"},0),0.18,0.21,0.26,0.25,0.3)</f>
        <v/>
      </c>
      <c r="AE297" s="104">
        <f>CHOOSE(MATCH(IF($U297="","Основний",$U297),{"Трафіковий","Основний","Маржинальний","Сезонний","Стратегічний"},0),0.18,0.2,0.28,0.27,0.32)</f>
        <v/>
      </c>
      <c r="AF297" s="104">
        <f>CHOOSE(MATCH(IF($U297="","Основний",$U297),{"Трафіковий","Основний","Маржинальний","Сезонний","Стратегічний"},0),0.15,0.175,0.22,0.21,0.25)</f>
        <v/>
      </c>
      <c r="AG297" s="104">
        <f>CHOOSE(MATCH(IF($U297="","Основний",$U297),{"Трафіковий","Основний","Маржинальний","Сезонний","Стратегічний"},0),0.13,0.16,0.21,0.2,0.25)</f>
        <v/>
      </c>
      <c r="AH297" s="104">
        <f>CHOOSE(MATCH(IF($U297="","Основний",$U297),{"Трафіковий","Основний","Маржинальний","Сезонний","Стратегічний"},0),0.15,0.18,0.23,0.22,0.27)</f>
        <v/>
      </c>
      <c r="AI297" s="104">
        <f>CHOOSE(MATCH(IF($U297="","Основний",$U297),{"Трафіковий","Основний","Маржинальний","Сезонний","Стратегічний"},0),0.16,0.19,0.25,0.23,0.29)</f>
        <v/>
      </c>
      <c r="AJ297" s="104">
        <f>CHOOSE(MATCH(IF($U297="","Основний",$U297),{"Трафіковий","Основний","Маржинальний","Сезонний","Стратегічний"},0),0.14,0.17,0.22,0.21,0.25)</f>
        <v/>
      </c>
      <c r="AK297" s="104">
        <f>CHOOSE(MATCH(IF($U297="","Основний",$U297),{"Трафіковий","Основний","Маржинальний","Сезонний","Стратегічний"},0),0.15,0.18,0.23,0.22,0.27)</f>
        <v/>
      </c>
      <c r="AL297" s="104">
        <f>CHOOSE(MATCH(IF($U297="","Основний",$U297),{"Трафіковий","Основний","Маржинальний","Сезонний","Стратегічний"},0),0.15,0.17,0.25,0.24,0.29)</f>
        <v/>
      </c>
      <c r="AM297" s="104">
        <f>CHOOSE(MATCH(IF($U297="","Основний",$U297),{"Трафіковий","Основний","Маржинальний","Сезонний","Стратегічний"},0),0.12,0.145,0.19,0.18,0.22)</f>
        <v/>
      </c>
      <c r="AN297" s="157">
        <f>CHOOSE(MATCH(IF($U297="","Основний",$U297),{"Трафіковий","Основний","Маржинальний","Сезонний","Стратегічний"},0),Settings!$B$78,Settings!$B$80,Settings!$B$82,Settings!$B$84,Settings!$B$86)</f>
        <v/>
      </c>
      <c r="AO297" s="157">
        <f>CHOOSE(MATCH(IF($U297="","Основний",$U297),{"Трафіковий","Основний","Маржинальний","Сезонний","Стратегічний"},0),Settings!$C$78,Settings!$C$80,Settings!$C$82,Settings!$C$84,Settings!$C$86)</f>
        <v/>
      </c>
      <c r="AP297" s="157">
        <f>CHOOSE(MATCH(IF($U297="","Основний",$U297),{"Трафіковий","Основний","Маржинальний","Сезонний","Стратегічний"},0),Settings!$D$78,Settings!$D$80,Settings!$D$82,Settings!$D$84,Settings!$D$86)</f>
        <v/>
      </c>
      <c r="AQ297" s="157">
        <f>CHOOSE(MATCH(IF($U297="","Основний",$U297),{"Трафіковий","Основний","Маржинальний","Сезонний","Стратегічний"},0),Settings!$F$78,Settings!$F$80,Settings!$F$82,Settings!$F$84,Settings!$F$86)</f>
        <v/>
      </c>
      <c r="AR297" s="157">
        <f>CHOOSE(MATCH(IF($U297="","Основний",$U297),{"Трафіковий","Основний","Маржинальний","Сезонний","Стратегічний"},0),Settings!$G$78,Settings!$G$80,Settings!$G$82,Settings!$G$84,Settings!$G$86)</f>
        <v/>
      </c>
      <c r="AS297" s="157">
        <f>CHOOSE(MATCH(IF($U297="","Основний",$U297),{"Трафіковий","Основний","Маржинальний","Сезонний","Стратегічний"},0),Settings!$H$78,Settings!$H$80,Settings!$H$82,Settings!$H$84,Settings!$H$86)</f>
        <v/>
      </c>
      <c r="AT297" s="157">
        <f>CHOOSE(MATCH(IF($U297="","Основний",$U297),{"Трафіковий","Основний","Маржинальний","Сезонний","Стратегічний"},0),Settings!$I$78,Settings!$I$80,Settings!$I$82,Settings!$I$84,Settings!$I$86)</f>
        <v/>
      </c>
      <c r="AU297" s="171" t="n"/>
      <c r="AV297" t="n">
        <v>1.35</v>
      </c>
    </row>
    <row r="298">
      <c r="A298" s="28" t="n"/>
      <c r="B298" s="29" t="inlineStr">
        <is>
          <t>P1425R</t>
        </is>
      </c>
      <c r="C298" s="29" t="inlineStr">
        <is>
          <t>EXT.P. CORD 4S 5M SW.SCH.1,5MM</t>
        </is>
      </c>
      <c r="D298" s="29" t="inlineStr">
        <is>
          <t>Пооджувачи та адаптери</t>
        </is>
      </c>
      <c r="E298" s="28" t="inlineStr">
        <is>
          <t>PC</t>
        </is>
      </c>
      <c r="F298" s="93" t="n">
        <v>5.145</v>
      </c>
      <c r="G298" s="30" t="n">
        <v>8544429090</v>
      </c>
      <c r="H298" s="31" t="n">
        <v>1.4</v>
      </c>
      <c r="I298" s="84">
        <f>IFERROR(F298*Settings!$B$2*H298*IF(AND(ISNUMBER(E298),E298&gt;1),E298,1),"")</f>
        <v/>
      </c>
      <c r="J298" s="32">
        <f>Settings!$B$66</f>
        <v/>
      </c>
      <c r="K298" s="95">
        <f>IFERROR(IF(T298="","",(T298*(1-AN298)*(1-Settings!$B$17)-I298)/(T298*(1-AN298)*(1-Settings!$B$17))),"")</f>
        <v/>
      </c>
      <c r="L298" s="101">
        <f>IFERROR(IF(T298="","",(T298*(1-AO298)*(1-Settings!$C$17)-I298)/(T298*(1-AO298)*(1-Settings!$C$17))),"")</f>
        <v/>
      </c>
      <c r="M298" s="101">
        <f>IFERROR(IF(T298="","",(T298*(1-AP298)*(1-Settings!$D$17)-I298)/(T298*(1-AP298)*(1-Settings!$D$17))),"")</f>
        <v/>
      </c>
      <c r="N298" s="101">
        <f>IFERROR(IF(T298="","",(T298*(1-AQ298)*(1-Settings!$F$17)-I298)/(T298*(1-AQ298)*(1-Settings!$F$17))),"")</f>
        <v/>
      </c>
      <c r="O298" s="101">
        <f>IFERROR(IF(T298="","",(T298*(1-AR298)*(1-Settings!$G$17)-I298)/(T298*(1-AR298)*(1-Settings!$G$17))),"")</f>
        <v/>
      </c>
      <c r="P298" s="101">
        <f>IFERROR(IF(T298="","",(T298*(1-AS298)*(1-Settings!$H$17)-I298)/(T298*(1-AS298)*(1-Settings!$H$17))),"")</f>
        <v/>
      </c>
      <c r="Q298" s="101">
        <f>IFERROR(IF(T298="","",(T298*(1-AT298)*(1-Settings!$I$68)*(1-Settings!$I$17)-I298)/(T298*(1-AT298)*(1-Settings!$I$68)*(1-Settings!$I$17))),"")</f>
        <v/>
      </c>
      <c r="R298" s="91">
        <f>IFERROR(IF(OR(I298="",Z298&gt;=1,Settings!$B$17&gt;=1,AN298&gt;=1),"",IF(MOD(ROUND(I298/(1-Z298)/(1-Settings!$B$17)/(1-AN298),0),10)=0,ROUND(I298/(1-Z298)/(1-Settings!$B$17)/(1-AN298),0)-1,IF(MOD(ROUND(I298/(1-Z298)/(1-Settings!$B$17)/(1-AN298),0),10)&lt;=5,FLOOR(ROUND(I298/(1-Z298)/(1-Settings!$B$17)/(1-AN298),0),10)+6,FLOOR(ROUND(I298/(1-Z298)/(1-Settings!$B$17)/(1-AN298),0),10)+9))),"")</f>
        <v/>
      </c>
      <c r="S298" s="174">
        <f>R298*0.95</f>
        <v/>
      </c>
      <c r="T298" s="91">
        <f>IF(S298&lt;&gt;"", IF(MOD(S298,10)=0,S298-1,IF(MOD(S298,10)&lt;=5,FLOOR(S298,10)+6,FLOOR(S298,10)+9)), R298)</f>
        <v/>
      </c>
      <c r="U298" s="87" t="inlineStr">
        <is>
          <t>Основний</t>
        </is>
      </c>
      <c r="V298" s="88" t="n"/>
      <c r="W298" s="88" t="n"/>
      <c r="X298" s="89">
        <f>IFERROR(IF(OR(V298="",W298="",T298=""),"", IF(T298&gt;W298,"Дорогий",IF(T298&lt;V298,"Дешевий","У ринку"))),"")</f>
        <v/>
      </c>
      <c r="Y298" s="90" t="n"/>
      <c r="Z298" s="104">
        <f>CHOOSE(MATCH(IF($U298="","Основний",$U298),{"Трафіковий","Основний","Маржинальний","Сезонний","Стратегічний"},0),0.16,0.19,0.24,0.23,0.28)</f>
        <v/>
      </c>
      <c r="AA298" s="104">
        <f>CHOOSE(MATCH(IF($U298="","Основний",$U298),{"Трафіковий","Основний","Маржинальний","Сезонний","Стратегічний"},0),0.18,0.21,0.26,0.25,0.3)</f>
        <v/>
      </c>
      <c r="AB298" s="104">
        <f>CHOOSE(MATCH(IF($U298="","Основний",$U298),{"Трафіковий","Основний","Маржинальний","Сезонний","Стратегічний"},0),0.19,0.22,0.28,0.26,0.32)</f>
        <v/>
      </c>
      <c r="AC298" s="104">
        <f>CHOOSE(MATCH(IF($U298="","Основний",$U298),{"Трафіковий","Основний","Маржинальний","Сезонний","Стратегічний"},0),0.17,0.2,0.25,0.24,0.28)</f>
        <v/>
      </c>
      <c r="AD298" s="104">
        <f>CHOOSE(MATCH(IF($U298="","Основний",$U298),{"Трафіковий","Основний","Маржинальний","Сезонний","Стратегічний"},0),0.18,0.21,0.26,0.25,0.3)</f>
        <v/>
      </c>
      <c r="AE298" s="104">
        <f>CHOOSE(MATCH(IF($U298="","Основний",$U298),{"Трафіковий","Основний","Маржинальний","Сезонний","Стратегічний"},0),0.18,0.2,0.28,0.27,0.32)</f>
        <v/>
      </c>
      <c r="AF298" s="104">
        <f>CHOOSE(MATCH(IF($U298="","Основний",$U298),{"Трафіковий","Основний","Маржинальний","Сезонний","Стратегічний"},0),0.15,0.175,0.22,0.21,0.25)</f>
        <v/>
      </c>
      <c r="AG298" s="104">
        <f>CHOOSE(MATCH(IF($U298="","Основний",$U298),{"Трафіковий","Основний","Маржинальний","Сезонний","Стратегічний"},0),0.13,0.16,0.21,0.2,0.25)</f>
        <v/>
      </c>
      <c r="AH298" s="104">
        <f>CHOOSE(MATCH(IF($U298="","Основний",$U298),{"Трафіковий","Основний","Маржинальний","Сезонний","Стратегічний"},0),0.15,0.18,0.23,0.22,0.27)</f>
        <v/>
      </c>
      <c r="AI298" s="104">
        <f>CHOOSE(MATCH(IF($U298="","Основний",$U298),{"Трафіковий","Основний","Маржинальний","Сезонний","Стратегічний"},0),0.16,0.19,0.25,0.23,0.29)</f>
        <v/>
      </c>
      <c r="AJ298" s="104">
        <f>CHOOSE(MATCH(IF($U298="","Основний",$U298),{"Трафіковий","Основний","Маржинальний","Сезонний","Стратегічний"},0),0.14,0.17,0.22,0.21,0.25)</f>
        <v/>
      </c>
      <c r="AK298" s="104">
        <f>CHOOSE(MATCH(IF($U298="","Основний",$U298),{"Трафіковий","Основний","Маржинальний","Сезонний","Стратегічний"},0),0.15,0.18,0.23,0.22,0.27)</f>
        <v/>
      </c>
      <c r="AL298" s="104">
        <f>CHOOSE(MATCH(IF($U298="","Основний",$U298),{"Трафіковий","Основний","Маржинальний","Сезонний","Стратегічний"},0),0.15,0.17,0.25,0.24,0.29)</f>
        <v/>
      </c>
      <c r="AM298" s="104">
        <f>CHOOSE(MATCH(IF($U298="","Основний",$U298),{"Трафіковий","Основний","Маржинальний","Сезонний","Стратегічний"},0),0.12,0.145,0.19,0.18,0.22)</f>
        <v/>
      </c>
      <c r="AN298" s="157">
        <f>CHOOSE(MATCH(IF($U298="","Основний",$U298),{"Трафіковий","Основний","Маржинальний","Сезонний","Стратегічний"},0),Settings!$B$78,Settings!$B$80,Settings!$B$82,Settings!$B$84,Settings!$B$86)</f>
        <v/>
      </c>
      <c r="AO298" s="157">
        <f>CHOOSE(MATCH(IF($U298="","Основний",$U298),{"Трафіковий","Основний","Маржинальний","Сезонний","Стратегічний"},0),Settings!$C$78,Settings!$C$80,Settings!$C$82,Settings!$C$84,Settings!$C$86)</f>
        <v/>
      </c>
      <c r="AP298" s="157">
        <f>CHOOSE(MATCH(IF($U298="","Основний",$U298),{"Трафіковий","Основний","Маржинальний","Сезонний","Стратегічний"},0),Settings!$D$78,Settings!$D$80,Settings!$D$82,Settings!$D$84,Settings!$D$86)</f>
        <v/>
      </c>
      <c r="AQ298" s="157">
        <f>CHOOSE(MATCH(IF($U298="","Основний",$U298),{"Трафіковий","Основний","Маржинальний","Сезонний","Стратегічний"},0),Settings!$F$78,Settings!$F$80,Settings!$F$82,Settings!$F$84,Settings!$F$86)</f>
        <v/>
      </c>
      <c r="AR298" s="157">
        <f>CHOOSE(MATCH(IF($U298="","Основний",$U298),{"Трафіковий","Основний","Маржинальний","Сезонний","Стратегічний"},0),Settings!$G$78,Settings!$G$80,Settings!$G$82,Settings!$G$84,Settings!$G$86)</f>
        <v/>
      </c>
      <c r="AS298" s="157">
        <f>CHOOSE(MATCH(IF($U298="","Основний",$U298),{"Трафіковий","Основний","Маржинальний","Сезонний","Стратегічний"},0),Settings!$H$78,Settings!$H$80,Settings!$H$82,Settings!$H$84,Settings!$H$86)</f>
        <v/>
      </c>
      <c r="AT298" s="157">
        <f>CHOOSE(MATCH(IF($U298="","Основний",$U298),{"Трафіковий","Основний","Маржинальний","Сезонний","Стратегічний"},0),Settings!$I$78,Settings!$I$80,Settings!$I$82,Settings!$I$84,Settings!$I$86)</f>
        <v/>
      </c>
      <c r="AU298" s="171" t="n"/>
      <c r="AV298" t="n">
        <v>1.35</v>
      </c>
    </row>
    <row r="299">
      <c r="A299" s="33" t="n"/>
      <c r="B299" s="34" t="inlineStr">
        <is>
          <t>PC1425R</t>
        </is>
      </c>
      <c r="C299" s="34" t="inlineStr">
        <is>
          <t>EXTENSION CORD 4S 5M 1,5MM SW. BLACK SCH</t>
        </is>
      </c>
      <c r="D299" s="34" t="inlineStr">
        <is>
          <t>Пооджувачи та адаптери</t>
        </is>
      </c>
      <c r="E299" s="33" t="inlineStr">
        <is>
          <t>PC</t>
        </is>
      </c>
      <c r="F299" s="94" t="n">
        <v>5.145</v>
      </c>
      <c r="G299" s="35" t="n">
        <v>8544429090</v>
      </c>
      <c r="H299" s="31" t="n">
        <v>1.4</v>
      </c>
      <c r="I299" s="84">
        <f>IFERROR(F299*Settings!$B$2*H299*IF(AND(ISNUMBER(E299),E299&gt;1),E299,1),"")</f>
        <v/>
      </c>
      <c r="J299" s="32">
        <f>Settings!$B$66</f>
        <v/>
      </c>
      <c r="K299" s="95">
        <f>IFERROR(IF(T299="","",(T299*(1-AN299)*(1-Settings!$B$17)-I299)/(T299*(1-AN299)*(1-Settings!$B$17))),"")</f>
        <v/>
      </c>
      <c r="L299" s="101">
        <f>IFERROR(IF(T299="","",(T299*(1-AO299)*(1-Settings!$C$17)-I299)/(T299*(1-AO299)*(1-Settings!$C$17))),"")</f>
        <v/>
      </c>
      <c r="M299" s="101">
        <f>IFERROR(IF(T299="","",(T299*(1-AP299)*(1-Settings!$D$17)-I299)/(T299*(1-AP299)*(1-Settings!$D$17))),"")</f>
        <v/>
      </c>
      <c r="N299" s="101">
        <f>IFERROR(IF(T299="","",(T299*(1-AQ299)*(1-Settings!$F$17)-I299)/(T299*(1-AQ299)*(1-Settings!$F$17))),"")</f>
        <v/>
      </c>
      <c r="O299" s="101">
        <f>IFERROR(IF(T299="","",(T299*(1-AR299)*(1-Settings!$G$17)-I299)/(T299*(1-AR299)*(1-Settings!$G$17))),"")</f>
        <v/>
      </c>
      <c r="P299" s="101">
        <f>IFERROR(IF(T299="","",(T299*(1-AS299)*(1-Settings!$H$17)-I299)/(T299*(1-AS299)*(1-Settings!$H$17))),"")</f>
        <v/>
      </c>
      <c r="Q299" s="101">
        <f>IFERROR(IF(T299="","",(T299*(1-AT299)*(1-Settings!$I$68)*(1-Settings!$I$17)-I299)/(T299*(1-AT299)*(1-Settings!$I$68)*(1-Settings!$I$17))),"")</f>
        <v/>
      </c>
      <c r="R299" s="91">
        <f>IFERROR(IF(OR(I299="",Z299&gt;=1,Settings!$B$17&gt;=1,AN299&gt;=1),"",IF(MOD(ROUND(I299/(1-Z299)/(1-Settings!$B$17)/(1-AN299),0),10)=0,ROUND(I299/(1-Z299)/(1-Settings!$B$17)/(1-AN299),0)-1,IF(MOD(ROUND(I299/(1-Z299)/(1-Settings!$B$17)/(1-AN299),0),10)&lt;=5,FLOOR(ROUND(I299/(1-Z299)/(1-Settings!$B$17)/(1-AN299),0),10)+6,FLOOR(ROUND(I299/(1-Z299)/(1-Settings!$B$17)/(1-AN299),0),10)+9))),"")</f>
        <v/>
      </c>
      <c r="S299" s="92" t="n">
        <v>740</v>
      </c>
      <c r="T299" s="91">
        <f>IF(S299&lt;&gt;"", IF(MOD(S299,10)=0,S299-1,IF(MOD(S299,10)&lt;=5,FLOOR(S299,10)+6,FLOOR(S299,10)+9)), R299)</f>
        <v/>
      </c>
      <c r="U299" s="87" t="inlineStr">
        <is>
          <t>Маржинальний</t>
        </is>
      </c>
      <c r="V299" s="88" t="n"/>
      <c r="W299" s="88" t="n"/>
      <c r="X299" s="89">
        <f>IFERROR(IF(OR(V299="",W299="",T299=""),"", IF(T299&gt;W299,"Дорогий",IF(T299&lt;V299,"Дешевий","У ринку"))),"")</f>
        <v/>
      </c>
      <c r="Y299" s="90" t="n"/>
      <c r="Z299" s="104">
        <f>CHOOSE(MATCH(IF($U299="","Основний",$U299),{"Трафіковий","Основний","Маржинальний","Сезонний","Стратегічний"},0),0.16,0.19,0.24,0.23,0.28)</f>
        <v/>
      </c>
      <c r="AA299" s="104">
        <f>CHOOSE(MATCH(IF($U299="","Основний",$U299),{"Трафіковий","Основний","Маржинальний","Сезонний","Стратегічний"},0),0.18,0.21,0.26,0.25,0.3)</f>
        <v/>
      </c>
      <c r="AB299" s="104">
        <f>CHOOSE(MATCH(IF($U299="","Основний",$U299),{"Трафіковий","Основний","Маржинальний","Сезонний","Стратегічний"},0),0.19,0.22,0.28,0.26,0.32)</f>
        <v/>
      </c>
      <c r="AC299" s="104">
        <f>CHOOSE(MATCH(IF($U299="","Основний",$U299),{"Трафіковий","Основний","Маржинальний","Сезонний","Стратегічний"},0),0.17,0.2,0.25,0.24,0.28)</f>
        <v/>
      </c>
      <c r="AD299" s="104">
        <f>CHOOSE(MATCH(IF($U299="","Основний",$U299),{"Трафіковий","Основний","Маржинальний","Сезонний","Стратегічний"},0),0.18,0.21,0.26,0.25,0.3)</f>
        <v/>
      </c>
      <c r="AE299" s="104">
        <f>CHOOSE(MATCH(IF($U299="","Основний",$U299),{"Трафіковий","Основний","Маржинальний","Сезонний","Стратегічний"},0),0.18,0.2,0.28,0.27,0.32)</f>
        <v/>
      </c>
      <c r="AF299" s="104">
        <f>CHOOSE(MATCH(IF($U299="","Основний",$U299),{"Трафіковий","Основний","Маржинальний","Сезонний","Стратегічний"},0),0.15,0.175,0.22,0.21,0.25)</f>
        <v/>
      </c>
      <c r="AG299" s="104">
        <f>CHOOSE(MATCH(IF($U299="","Основний",$U299),{"Трафіковий","Основний","Маржинальний","Сезонний","Стратегічний"},0),0.13,0.16,0.21,0.2,0.25)</f>
        <v/>
      </c>
      <c r="AH299" s="104">
        <f>CHOOSE(MATCH(IF($U299="","Основний",$U299),{"Трафіковий","Основний","Маржинальний","Сезонний","Стратегічний"},0),0.15,0.18,0.23,0.22,0.27)</f>
        <v/>
      </c>
      <c r="AI299" s="104">
        <f>CHOOSE(MATCH(IF($U299="","Основний",$U299),{"Трафіковий","Основний","Маржинальний","Сезонний","Стратегічний"},0),0.16,0.19,0.25,0.23,0.29)</f>
        <v/>
      </c>
      <c r="AJ299" s="104">
        <f>CHOOSE(MATCH(IF($U299="","Основний",$U299),{"Трафіковий","Основний","Маржинальний","Сезонний","Стратегічний"},0),0.14,0.17,0.22,0.21,0.25)</f>
        <v/>
      </c>
      <c r="AK299" s="104">
        <f>CHOOSE(MATCH(IF($U299="","Основний",$U299),{"Трафіковий","Основний","Маржинальний","Сезонний","Стратегічний"},0),0.15,0.18,0.23,0.22,0.27)</f>
        <v/>
      </c>
      <c r="AL299" s="104">
        <f>CHOOSE(MATCH(IF($U299="","Основний",$U299),{"Трафіковий","Основний","Маржинальний","Сезонний","Стратегічний"},0),0.15,0.17,0.25,0.24,0.29)</f>
        <v/>
      </c>
      <c r="AM299" s="104">
        <f>CHOOSE(MATCH(IF($U299="","Основний",$U299),{"Трафіковий","Основний","Маржинальний","Сезонний","Стратегічний"},0),0.12,0.145,0.19,0.18,0.22)</f>
        <v/>
      </c>
      <c r="AN299" s="157">
        <f>CHOOSE(MATCH(IF($U299="","Основний",$U299),{"Трафіковий","Основний","Маржинальний","Сезонний","Стратегічний"},0),Settings!$B$78,Settings!$B$80,Settings!$B$82,Settings!$B$84,Settings!$B$86)</f>
        <v/>
      </c>
      <c r="AO299" s="157">
        <f>CHOOSE(MATCH(IF($U299="","Основний",$U299),{"Трафіковий","Основний","Маржинальний","Сезонний","Стратегічний"},0),Settings!$C$78,Settings!$C$80,Settings!$C$82,Settings!$C$84,Settings!$C$86)</f>
        <v/>
      </c>
      <c r="AP299" s="157">
        <f>CHOOSE(MATCH(IF($U299="","Основний",$U299),{"Трафіковий","Основний","Маржинальний","Сезонний","Стратегічний"},0),Settings!$D$78,Settings!$D$80,Settings!$D$82,Settings!$D$84,Settings!$D$86)</f>
        <v/>
      </c>
      <c r="AQ299" s="157">
        <f>CHOOSE(MATCH(IF($U299="","Основний",$U299),{"Трафіковий","Основний","Маржинальний","Сезонний","Стратегічний"},0),Settings!$F$78,Settings!$F$80,Settings!$F$82,Settings!$F$84,Settings!$F$86)</f>
        <v/>
      </c>
      <c r="AR299" s="157">
        <f>CHOOSE(MATCH(IF($U299="","Основний",$U299),{"Трафіковий","Основний","Маржинальний","Сезонний","Стратегічний"},0),Settings!$G$78,Settings!$G$80,Settings!$G$82,Settings!$G$84,Settings!$G$86)</f>
        <v/>
      </c>
      <c r="AS299" s="157">
        <f>CHOOSE(MATCH(IF($U299="","Основний",$U299),{"Трафіковий","Основний","Маржинальний","Сезонний","Стратегічний"},0),Settings!$H$78,Settings!$H$80,Settings!$H$82,Settings!$H$84,Settings!$H$86)</f>
        <v/>
      </c>
      <c r="AT299" s="157">
        <f>CHOOSE(MATCH(IF($U299="","Основний",$U299),{"Трафіковий","Основний","Маржинальний","Сезонний","Стратегічний"},0),Settings!$I$78,Settings!$I$80,Settings!$I$82,Settings!$I$84,Settings!$I$86)</f>
        <v/>
      </c>
      <c r="AU299" s="171" t="n"/>
      <c r="AV299" t="n">
        <v>1.35</v>
      </c>
    </row>
    <row r="300">
      <c r="A300" s="28" t="n"/>
      <c r="B300" s="29" t="inlineStr">
        <is>
          <t>P1521R</t>
        </is>
      </c>
      <c r="C300" s="29" t="inlineStr">
        <is>
          <t>EXTENSION CORD 5S 1,5M 1,5MM SW. SCH.</t>
        </is>
      </c>
      <c r="D300" s="29" t="inlineStr">
        <is>
          <t>Пооджувачи та адаптери</t>
        </is>
      </c>
      <c r="E300" s="28" t="inlineStr">
        <is>
          <t>PC</t>
        </is>
      </c>
      <c r="F300" s="93" t="n">
        <v>2.828</v>
      </c>
      <c r="G300" s="30" t="n">
        <v>8544429090</v>
      </c>
      <c r="H300" s="31" t="n">
        <v>1.4</v>
      </c>
      <c r="I300" s="84">
        <f>IFERROR(F300*Settings!$B$2*H300*IF(AND(ISNUMBER(E300),E300&gt;1),E300,1),"")</f>
        <v/>
      </c>
      <c r="J300" s="32">
        <f>Settings!$B$66</f>
        <v/>
      </c>
      <c r="K300" s="95">
        <f>IFERROR(IF(T300="","",(T300*(1-AN300)*(1-Settings!$B$17)-I300)/(T300*(1-AN300)*(1-Settings!$B$17))),"")</f>
        <v/>
      </c>
      <c r="L300" s="101">
        <f>IFERROR(IF(T300="","",(T300*(1-AO300)*(1-Settings!$C$17)-I300)/(T300*(1-AO300)*(1-Settings!$C$17))),"")</f>
        <v/>
      </c>
      <c r="M300" s="101">
        <f>IFERROR(IF(T300="","",(T300*(1-AP300)*(1-Settings!$D$17)-I300)/(T300*(1-AP300)*(1-Settings!$D$17))),"")</f>
        <v/>
      </c>
      <c r="N300" s="101">
        <f>IFERROR(IF(T300="","",(T300*(1-AQ300)*(1-Settings!$F$17)-I300)/(T300*(1-AQ300)*(1-Settings!$F$17))),"")</f>
        <v/>
      </c>
      <c r="O300" s="101">
        <f>IFERROR(IF(T300="","",(T300*(1-AR300)*(1-Settings!$G$17)-I300)/(T300*(1-AR300)*(1-Settings!$G$17))),"")</f>
        <v/>
      </c>
      <c r="P300" s="101">
        <f>IFERROR(IF(T300="","",(T300*(1-AS300)*(1-Settings!$H$17)-I300)/(T300*(1-AS300)*(1-Settings!$H$17))),"")</f>
        <v/>
      </c>
      <c r="Q300" s="101">
        <f>IFERROR(IF(T300="","",(T300*(1-AT300)*(1-Settings!$I$68)*(1-Settings!$I$17)-I300)/(T300*(1-AT300)*(1-Settings!$I$68)*(1-Settings!$I$17))),"")</f>
        <v/>
      </c>
      <c r="R300" s="91">
        <f>IFERROR(IF(OR(I300="",Z300&gt;=1,Settings!$B$17&gt;=1,AN300&gt;=1),"",IF(MOD(ROUND(I300/(1-Z300)/(1-Settings!$B$17)/(1-AN300),0),10)=0,ROUND(I300/(1-Z300)/(1-Settings!$B$17)/(1-AN300),0)-1,IF(MOD(ROUND(I300/(1-Z300)/(1-Settings!$B$17)/(1-AN300),0),10)&lt;=5,FLOOR(ROUND(I300/(1-Z300)/(1-Settings!$B$17)/(1-AN300),0),10)+6,FLOOR(ROUND(I300/(1-Z300)/(1-Settings!$B$17)/(1-AN300),0),10)+9))),"")</f>
        <v/>
      </c>
      <c r="S300" s="92" t="n">
        <v>400</v>
      </c>
      <c r="T300" s="91">
        <f>IF(S300&lt;&gt;"", IF(MOD(S300,10)=0,S300-1,IF(MOD(S300,10)&lt;=5,FLOOR(S300,10)+6,FLOOR(S300,10)+9)), R300)</f>
        <v/>
      </c>
      <c r="U300" s="87" t="inlineStr">
        <is>
          <t>Маржинальний</t>
        </is>
      </c>
      <c r="V300" s="88" t="n"/>
      <c r="W300" s="88" t="n"/>
      <c r="X300" s="89">
        <f>IFERROR(IF(OR(V300="",W300="",T300=""),"", IF(T300&gt;W300,"Дорогий",IF(T300&lt;V300,"Дешевий","У ринку"))),"")</f>
        <v/>
      </c>
      <c r="Y300" s="90" t="n"/>
      <c r="Z300" s="104">
        <f>CHOOSE(MATCH(IF($U300="","Основний",$U300),{"Трафіковий","Основний","Маржинальний","Сезонний","Стратегічний"},0),0.16,0.19,0.24,0.23,0.28)</f>
        <v/>
      </c>
      <c r="AA300" s="104">
        <f>CHOOSE(MATCH(IF($U300="","Основний",$U300),{"Трафіковий","Основний","Маржинальний","Сезонний","Стратегічний"},0),0.18,0.21,0.26,0.25,0.3)</f>
        <v/>
      </c>
      <c r="AB300" s="104">
        <f>CHOOSE(MATCH(IF($U300="","Основний",$U300),{"Трафіковий","Основний","Маржинальний","Сезонний","Стратегічний"},0),0.19,0.22,0.28,0.26,0.32)</f>
        <v/>
      </c>
      <c r="AC300" s="104">
        <f>CHOOSE(MATCH(IF($U300="","Основний",$U300),{"Трафіковий","Основний","Маржинальний","Сезонний","Стратегічний"},0),0.17,0.2,0.25,0.24,0.28)</f>
        <v/>
      </c>
      <c r="AD300" s="104">
        <f>CHOOSE(MATCH(IF($U300="","Основний",$U300),{"Трафіковий","Основний","Маржинальний","Сезонний","Стратегічний"},0),0.18,0.21,0.26,0.25,0.3)</f>
        <v/>
      </c>
      <c r="AE300" s="104">
        <f>CHOOSE(MATCH(IF($U300="","Основний",$U300),{"Трафіковий","Основний","Маржинальний","Сезонний","Стратегічний"},0),0.18,0.2,0.28,0.27,0.32)</f>
        <v/>
      </c>
      <c r="AF300" s="104">
        <f>CHOOSE(MATCH(IF($U300="","Основний",$U300),{"Трафіковий","Основний","Маржинальний","Сезонний","Стратегічний"},0),0.15,0.175,0.22,0.21,0.25)</f>
        <v/>
      </c>
      <c r="AG300" s="104">
        <f>CHOOSE(MATCH(IF($U300="","Основний",$U300),{"Трафіковий","Основний","Маржинальний","Сезонний","Стратегічний"},0),0.13,0.16,0.21,0.2,0.25)</f>
        <v/>
      </c>
      <c r="AH300" s="104">
        <f>CHOOSE(MATCH(IF($U300="","Основний",$U300),{"Трафіковий","Основний","Маржинальний","Сезонний","Стратегічний"},0),0.15,0.18,0.23,0.22,0.27)</f>
        <v/>
      </c>
      <c r="AI300" s="104">
        <f>CHOOSE(MATCH(IF($U300="","Основний",$U300),{"Трафіковий","Основний","Маржинальний","Сезонний","Стратегічний"},0),0.16,0.19,0.25,0.23,0.29)</f>
        <v/>
      </c>
      <c r="AJ300" s="104">
        <f>CHOOSE(MATCH(IF($U300="","Основний",$U300),{"Трафіковий","Основний","Маржинальний","Сезонний","Стратегічний"},0),0.14,0.17,0.22,0.21,0.25)</f>
        <v/>
      </c>
      <c r="AK300" s="104">
        <f>CHOOSE(MATCH(IF($U300="","Основний",$U300),{"Трафіковий","Основний","Маржинальний","Сезонний","Стратегічний"},0),0.15,0.18,0.23,0.22,0.27)</f>
        <v/>
      </c>
      <c r="AL300" s="104">
        <f>CHOOSE(MATCH(IF($U300="","Основний",$U300),{"Трафіковий","Основний","Маржинальний","Сезонний","Стратегічний"},0),0.15,0.17,0.25,0.24,0.29)</f>
        <v/>
      </c>
      <c r="AM300" s="104">
        <f>CHOOSE(MATCH(IF($U300="","Основний",$U300),{"Трафіковий","Основний","Маржинальний","Сезонний","Стратегічний"},0),0.12,0.145,0.19,0.18,0.22)</f>
        <v/>
      </c>
      <c r="AN300" s="157">
        <f>CHOOSE(MATCH(IF($U300="","Основний",$U300),{"Трафіковий","Основний","Маржинальний","Сезонний","Стратегічний"},0),Settings!$B$78,Settings!$B$80,Settings!$B$82,Settings!$B$84,Settings!$B$86)</f>
        <v/>
      </c>
      <c r="AO300" s="157">
        <f>CHOOSE(MATCH(IF($U300="","Основний",$U300),{"Трафіковий","Основний","Маржинальний","Сезонний","Стратегічний"},0),Settings!$C$78,Settings!$C$80,Settings!$C$82,Settings!$C$84,Settings!$C$86)</f>
        <v/>
      </c>
      <c r="AP300" s="157">
        <f>CHOOSE(MATCH(IF($U300="","Основний",$U300),{"Трафіковий","Основний","Маржинальний","Сезонний","Стратегічний"},0),Settings!$D$78,Settings!$D$80,Settings!$D$82,Settings!$D$84,Settings!$D$86)</f>
        <v/>
      </c>
      <c r="AQ300" s="157">
        <f>CHOOSE(MATCH(IF($U300="","Основний",$U300),{"Трафіковий","Основний","Маржинальний","Сезонний","Стратегічний"},0),Settings!$F$78,Settings!$F$80,Settings!$F$82,Settings!$F$84,Settings!$F$86)</f>
        <v/>
      </c>
      <c r="AR300" s="157">
        <f>CHOOSE(MATCH(IF($U300="","Основний",$U300),{"Трафіковий","Основний","Маржинальний","Сезонний","Стратегічний"},0),Settings!$G$78,Settings!$G$80,Settings!$G$82,Settings!$G$84,Settings!$G$86)</f>
        <v/>
      </c>
      <c r="AS300" s="157">
        <f>CHOOSE(MATCH(IF($U300="","Основний",$U300),{"Трафіковий","Основний","Маржинальний","Сезонний","Стратегічний"},0),Settings!$H$78,Settings!$H$80,Settings!$H$82,Settings!$H$84,Settings!$H$86)</f>
        <v/>
      </c>
      <c r="AT300" s="157">
        <f>CHOOSE(MATCH(IF($U300="","Основний",$U300),{"Трафіковий","Основний","Маржинальний","Сезонний","Стратегічний"},0),Settings!$I$78,Settings!$I$80,Settings!$I$82,Settings!$I$84,Settings!$I$86)</f>
        <v/>
      </c>
      <c r="AU300" s="171" t="n"/>
      <c r="AV300" t="n">
        <v>1.35</v>
      </c>
    </row>
    <row r="301">
      <c r="A301" s="33" t="n"/>
      <c r="B301" s="34" t="inlineStr">
        <is>
          <t>PC1521R</t>
        </is>
      </c>
      <c r="C301" s="34" t="inlineStr">
        <is>
          <t>EXTENSION CORD 5S 1,5M 1,5MM SW. BLACK SCH.</t>
        </is>
      </c>
      <c r="D301" s="34" t="inlineStr">
        <is>
          <t>Пооджувачи та адаптери</t>
        </is>
      </c>
      <c r="E301" s="33" t="inlineStr">
        <is>
          <t>PC</t>
        </is>
      </c>
      <c r="F301" s="94" t="n">
        <v>2.804</v>
      </c>
      <c r="G301" s="35" t="n">
        <v>8544429090</v>
      </c>
      <c r="H301" s="31" t="n">
        <v>1.4</v>
      </c>
      <c r="I301" s="84">
        <f>IFERROR(F301*Settings!$B$2*H301*IF(AND(ISNUMBER(E301),E301&gt;1),E301,1),"")</f>
        <v/>
      </c>
      <c r="J301" s="32">
        <f>Settings!$B$66</f>
        <v/>
      </c>
      <c r="K301" s="95">
        <f>IFERROR(IF(T301="","",(T301*(1-AN301)*(1-Settings!$B$17)-I301)/(T301*(1-AN301)*(1-Settings!$B$17))),"")</f>
        <v/>
      </c>
      <c r="L301" s="101">
        <f>IFERROR(IF(T301="","",(T301*(1-AO301)*(1-Settings!$C$17)-I301)/(T301*(1-AO301)*(1-Settings!$C$17))),"")</f>
        <v/>
      </c>
      <c r="M301" s="101">
        <f>IFERROR(IF(T301="","",(T301*(1-AP301)*(1-Settings!$D$17)-I301)/(T301*(1-AP301)*(1-Settings!$D$17))),"")</f>
        <v/>
      </c>
      <c r="N301" s="101">
        <f>IFERROR(IF(T301="","",(T301*(1-AQ301)*(1-Settings!$F$17)-I301)/(T301*(1-AQ301)*(1-Settings!$F$17))),"")</f>
        <v/>
      </c>
      <c r="O301" s="101">
        <f>IFERROR(IF(T301="","",(T301*(1-AR301)*(1-Settings!$G$17)-I301)/(T301*(1-AR301)*(1-Settings!$G$17))),"")</f>
        <v/>
      </c>
      <c r="P301" s="101">
        <f>IFERROR(IF(T301="","",(T301*(1-AS301)*(1-Settings!$H$17)-I301)/(T301*(1-AS301)*(1-Settings!$H$17))),"")</f>
        <v/>
      </c>
      <c r="Q301" s="101">
        <f>IFERROR(IF(T301="","",(T301*(1-AT301)*(1-Settings!$I$68)*(1-Settings!$I$17)-I301)/(T301*(1-AT301)*(1-Settings!$I$68)*(1-Settings!$I$17))),"")</f>
        <v/>
      </c>
      <c r="R301" s="91">
        <f>IFERROR(IF(OR(I301="",Z301&gt;=1,Settings!$B$17&gt;=1,AN301&gt;=1),"",IF(MOD(ROUND(I301/(1-Z301)/(1-Settings!$B$17)/(1-AN301),0),10)=0,ROUND(I301/(1-Z301)/(1-Settings!$B$17)/(1-AN301),0)-1,IF(MOD(ROUND(I301/(1-Z301)/(1-Settings!$B$17)/(1-AN301),0),10)&lt;=5,FLOOR(ROUND(I301/(1-Z301)/(1-Settings!$B$17)/(1-AN301),0),10)+6,FLOOR(ROUND(I301/(1-Z301)/(1-Settings!$B$17)/(1-AN301),0),10)+9))),"")</f>
        <v/>
      </c>
      <c r="S301" s="174">
        <f>R301*0.95</f>
        <v/>
      </c>
      <c r="T301" s="91">
        <f>IF(S301&lt;&gt;"", IF(MOD(S301,10)=0,S301-1,IF(MOD(S301,10)&lt;=5,FLOOR(S301,10)+6,FLOOR(S301,10)+9)), R301)</f>
        <v/>
      </c>
      <c r="U301" s="87" t="inlineStr">
        <is>
          <t>Основний</t>
        </is>
      </c>
      <c r="V301" s="88" t="n"/>
      <c r="W301" s="88" t="n"/>
      <c r="X301" s="89">
        <f>IFERROR(IF(OR(V301="",W301="",T301=""),"", IF(T301&gt;W301,"Дорогий",IF(T301&lt;V301,"Дешевий","У ринку"))),"")</f>
        <v/>
      </c>
      <c r="Y301" s="90" t="n"/>
      <c r="Z301" s="104">
        <f>CHOOSE(MATCH(IF($U301="","Основний",$U301),{"Трафіковий","Основний","Маржинальний","Сезонний","Стратегічний"},0),0.16,0.19,0.24,0.23,0.28)</f>
        <v/>
      </c>
      <c r="AA301" s="104">
        <f>CHOOSE(MATCH(IF($U301="","Основний",$U301),{"Трафіковий","Основний","Маржинальний","Сезонний","Стратегічний"},0),0.18,0.21,0.26,0.25,0.3)</f>
        <v/>
      </c>
      <c r="AB301" s="104">
        <f>CHOOSE(MATCH(IF($U301="","Основний",$U301),{"Трафіковий","Основний","Маржинальний","Сезонний","Стратегічний"},0),0.19,0.22,0.28,0.26,0.32)</f>
        <v/>
      </c>
      <c r="AC301" s="104">
        <f>CHOOSE(MATCH(IF($U301="","Основний",$U301),{"Трафіковий","Основний","Маржинальний","Сезонний","Стратегічний"},0),0.17,0.2,0.25,0.24,0.28)</f>
        <v/>
      </c>
      <c r="AD301" s="104">
        <f>CHOOSE(MATCH(IF($U301="","Основний",$U301),{"Трафіковий","Основний","Маржинальний","Сезонний","Стратегічний"},0),0.18,0.21,0.26,0.25,0.3)</f>
        <v/>
      </c>
      <c r="AE301" s="104">
        <f>CHOOSE(MATCH(IF($U301="","Основний",$U301),{"Трафіковий","Основний","Маржинальний","Сезонний","Стратегічний"},0),0.18,0.2,0.28,0.27,0.32)</f>
        <v/>
      </c>
      <c r="AF301" s="104">
        <f>CHOOSE(MATCH(IF($U301="","Основний",$U301),{"Трафіковий","Основний","Маржинальний","Сезонний","Стратегічний"},0),0.15,0.175,0.22,0.21,0.25)</f>
        <v/>
      </c>
      <c r="AG301" s="104">
        <f>CHOOSE(MATCH(IF($U301="","Основний",$U301),{"Трафіковий","Основний","Маржинальний","Сезонний","Стратегічний"},0),0.13,0.16,0.21,0.2,0.25)</f>
        <v/>
      </c>
      <c r="AH301" s="104">
        <f>CHOOSE(MATCH(IF($U301="","Основний",$U301),{"Трафіковий","Основний","Маржинальний","Сезонний","Стратегічний"},0),0.15,0.18,0.23,0.22,0.27)</f>
        <v/>
      </c>
      <c r="AI301" s="104">
        <f>CHOOSE(MATCH(IF($U301="","Основний",$U301),{"Трафіковий","Основний","Маржинальний","Сезонний","Стратегічний"},0),0.16,0.19,0.25,0.23,0.29)</f>
        <v/>
      </c>
      <c r="AJ301" s="104">
        <f>CHOOSE(MATCH(IF($U301="","Основний",$U301),{"Трафіковий","Основний","Маржинальний","Сезонний","Стратегічний"},0),0.14,0.17,0.22,0.21,0.25)</f>
        <v/>
      </c>
      <c r="AK301" s="104">
        <f>CHOOSE(MATCH(IF($U301="","Основний",$U301),{"Трафіковий","Основний","Маржинальний","Сезонний","Стратегічний"},0),0.15,0.18,0.23,0.22,0.27)</f>
        <v/>
      </c>
      <c r="AL301" s="104">
        <f>CHOOSE(MATCH(IF($U301="","Основний",$U301),{"Трафіковий","Основний","Маржинальний","Сезонний","Стратегічний"},0),0.15,0.17,0.25,0.24,0.29)</f>
        <v/>
      </c>
      <c r="AM301" s="104">
        <f>CHOOSE(MATCH(IF($U301="","Основний",$U301),{"Трафіковий","Основний","Маржинальний","Сезонний","Стратегічний"},0),0.12,0.145,0.19,0.18,0.22)</f>
        <v/>
      </c>
      <c r="AN301" s="157">
        <f>CHOOSE(MATCH(IF($U301="","Основний",$U301),{"Трафіковий","Основний","Маржинальний","Сезонний","Стратегічний"},0),Settings!$B$78,Settings!$B$80,Settings!$B$82,Settings!$B$84,Settings!$B$86)</f>
        <v/>
      </c>
      <c r="AO301" s="157">
        <f>CHOOSE(MATCH(IF($U301="","Основний",$U301),{"Трафіковий","Основний","Маржинальний","Сезонний","Стратегічний"},0),Settings!$C$78,Settings!$C$80,Settings!$C$82,Settings!$C$84,Settings!$C$86)</f>
        <v/>
      </c>
      <c r="AP301" s="157">
        <f>CHOOSE(MATCH(IF($U301="","Основний",$U301),{"Трафіковий","Основний","Маржинальний","Сезонний","Стратегічний"},0),Settings!$D$78,Settings!$D$80,Settings!$D$82,Settings!$D$84,Settings!$D$86)</f>
        <v/>
      </c>
      <c r="AQ301" s="157">
        <f>CHOOSE(MATCH(IF($U301="","Основний",$U301),{"Трафіковий","Основний","Маржинальний","Сезонний","Стратегічний"},0),Settings!$F$78,Settings!$F$80,Settings!$F$82,Settings!$F$84,Settings!$F$86)</f>
        <v/>
      </c>
      <c r="AR301" s="157">
        <f>CHOOSE(MATCH(IF($U301="","Основний",$U301),{"Трафіковий","Основний","Маржинальний","Сезонний","Стратегічний"},0),Settings!$G$78,Settings!$G$80,Settings!$G$82,Settings!$G$84,Settings!$G$86)</f>
        <v/>
      </c>
      <c r="AS301" s="157">
        <f>CHOOSE(MATCH(IF($U301="","Основний",$U301),{"Трафіковий","Основний","Маржинальний","Сезонний","Стратегічний"},0),Settings!$H$78,Settings!$H$80,Settings!$H$82,Settings!$H$84,Settings!$H$86)</f>
        <v/>
      </c>
      <c r="AT301" s="157">
        <f>CHOOSE(MATCH(IF($U301="","Основний",$U301),{"Трафіковий","Основний","Маржинальний","Сезонний","Стратегічний"},0),Settings!$I$78,Settings!$I$80,Settings!$I$82,Settings!$I$84,Settings!$I$86)</f>
        <v/>
      </c>
      <c r="AU301" s="171" t="n"/>
      <c r="AV301" t="n">
        <v>1.35</v>
      </c>
    </row>
    <row r="302">
      <c r="A302" s="28" t="n"/>
      <c r="B302" s="29" t="inlineStr">
        <is>
          <t>P1523R</t>
        </is>
      </c>
      <c r="C302" s="29" t="inlineStr">
        <is>
          <t>E.POW.COR.5S 3M 1,5MM SW.SCH.</t>
        </is>
      </c>
      <c r="D302" s="29" t="inlineStr">
        <is>
          <t>Пооджувачи та адаптери</t>
        </is>
      </c>
      <c r="E302" s="28" t="inlineStr">
        <is>
          <t>PC</t>
        </is>
      </c>
      <c r="F302" s="93" t="n">
        <v>3.83</v>
      </c>
      <c r="G302" s="30" t="n">
        <v>8544429090</v>
      </c>
      <c r="H302" s="31" t="n">
        <v>1.4</v>
      </c>
      <c r="I302" s="84">
        <f>IFERROR(F302*Settings!$B$2*H302*IF(AND(ISNUMBER(E302),E302&gt;1),E302,1),"")</f>
        <v/>
      </c>
      <c r="J302" s="32">
        <f>Settings!$B$66</f>
        <v/>
      </c>
      <c r="K302" s="95">
        <f>IFERROR(IF(T302="","",(T302*(1-AN302)*(1-Settings!$B$17)-I302)/(T302*(1-AN302)*(1-Settings!$B$17))),"")</f>
        <v/>
      </c>
      <c r="L302" s="101">
        <f>IFERROR(IF(T302="","",(T302*(1-AO302)*(1-Settings!$C$17)-I302)/(T302*(1-AO302)*(1-Settings!$C$17))),"")</f>
        <v/>
      </c>
      <c r="M302" s="101">
        <f>IFERROR(IF(T302="","",(T302*(1-AP302)*(1-Settings!$D$17)-I302)/(T302*(1-AP302)*(1-Settings!$D$17))),"")</f>
        <v/>
      </c>
      <c r="N302" s="101">
        <f>IFERROR(IF(T302="","",(T302*(1-AQ302)*(1-Settings!$F$17)-I302)/(T302*(1-AQ302)*(1-Settings!$F$17))),"")</f>
        <v/>
      </c>
      <c r="O302" s="101">
        <f>IFERROR(IF(T302="","",(T302*(1-AR302)*(1-Settings!$G$17)-I302)/(T302*(1-AR302)*(1-Settings!$G$17))),"")</f>
        <v/>
      </c>
      <c r="P302" s="101">
        <f>IFERROR(IF(T302="","",(T302*(1-AS302)*(1-Settings!$H$17)-I302)/(T302*(1-AS302)*(1-Settings!$H$17))),"")</f>
        <v/>
      </c>
      <c r="Q302" s="101">
        <f>IFERROR(IF(T302="","",(T302*(1-AT302)*(1-Settings!$I$68)*(1-Settings!$I$17)-I302)/(T302*(1-AT302)*(1-Settings!$I$68)*(1-Settings!$I$17))),"")</f>
        <v/>
      </c>
      <c r="R302" s="91">
        <f>IFERROR(IF(OR(I302="",Z302&gt;=1,Settings!$B$17&gt;=1,AN302&gt;=1),"",IF(MOD(ROUND(I302/(1-Z302)/(1-Settings!$B$17)/(1-AN302),0),10)=0,ROUND(I302/(1-Z302)/(1-Settings!$B$17)/(1-AN302),0)-1,IF(MOD(ROUND(I302/(1-Z302)/(1-Settings!$B$17)/(1-AN302),0),10)&lt;=5,FLOOR(ROUND(I302/(1-Z302)/(1-Settings!$B$17)/(1-AN302),0),10)+6,FLOOR(ROUND(I302/(1-Z302)/(1-Settings!$B$17)/(1-AN302),0),10)+9))),"")</f>
        <v/>
      </c>
      <c r="S302" s="174">
        <f>R302*0.95</f>
        <v/>
      </c>
      <c r="T302" s="91">
        <f>IF(S302&lt;&gt;"", IF(MOD(S302,10)=0,S302-1,IF(MOD(S302,10)&lt;=5,FLOOR(S302,10)+6,FLOOR(S302,10)+9)), R302)</f>
        <v/>
      </c>
      <c r="U302" s="87" t="inlineStr">
        <is>
          <t>Основний</t>
        </is>
      </c>
      <c r="V302" s="88" t="n"/>
      <c r="W302" s="88" t="n"/>
      <c r="X302" s="89">
        <f>IFERROR(IF(OR(V302="",W302="",T302=""),"", IF(T302&gt;W302,"Дорогий",IF(T302&lt;V302,"Дешевий","У ринку"))),"")</f>
        <v/>
      </c>
      <c r="Y302" s="90" t="n"/>
      <c r="Z302" s="104">
        <f>CHOOSE(MATCH(IF($U302="","Основний",$U302),{"Трафіковий","Основний","Маржинальний","Сезонний","Стратегічний"},0),0.16,0.19,0.24,0.23,0.28)</f>
        <v/>
      </c>
      <c r="AA302" s="104">
        <f>CHOOSE(MATCH(IF($U302="","Основний",$U302),{"Трафіковий","Основний","Маржинальний","Сезонний","Стратегічний"},0),0.18,0.21,0.26,0.25,0.3)</f>
        <v/>
      </c>
      <c r="AB302" s="104">
        <f>CHOOSE(MATCH(IF($U302="","Основний",$U302),{"Трафіковий","Основний","Маржинальний","Сезонний","Стратегічний"},0),0.19,0.22,0.28,0.26,0.32)</f>
        <v/>
      </c>
      <c r="AC302" s="104">
        <f>CHOOSE(MATCH(IF($U302="","Основний",$U302),{"Трафіковий","Основний","Маржинальний","Сезонний","Стратегічний"},0),0.17,0.2,0.25,0.24,0.28)</f>
        <v/>
      </c>
      <c r="AD302" s="104">
        <f>CHOOSE(MATCH(IF($U302="","Основний",$U302),{"Трафіковий","Основний","Маржинальний","Сезонний","Стратегічний"},0),0.18,0.21,0.26,0.25,0.3)</f>
        <v/>
      </c>
      <c r="AE302" s="104">
        <f>CHOOSE(MATCH(IF($U302="","Основний",$U302),{"Трафіковий","Основний","Маржинальний","Сезонний","Стратегічний"},0),0.18,0.2,0.28,0.27,0.32)</f>
        <v/>
      </c>
      <c r="AF302" s="104">
        <f>CHOOSE(MATCH(IF($U302="","Основний",$U302),{"Трафіковий","Основний","Маржинальний","Сезонний","Стратегічний"},0),0.15,0.175,0.22,0.21,0.25)</f>
        <v/>
      </c>
      <c r="AG302" s="104">
        <f>CHOOSE(MATCH(IF($U302="","Основний",$U302),{"Трафіковий","Основний","Маржинальний","Сезонний","Стратегічний"},0),0.13,0.16,0.21,0.2,0.25)</f>
        <v/>
      </c>
      <c r="AH302" s="104">
        <f>CHOOSE(MATCH(IF($U302="","Основний",$U302),{"Трафіковий","Основний","Маржинальний","Сезонний","Стратегічний"},0),0.15,0.18,0.23,0.22,0.27)</f>
        <v/>
      </c>
      <c r="AI302" s="104">
        <f>CHOOSE(MATCH(IF($U302="","Основний",$U302),{"Трафіковий","Основний","Маржинальний","Сезонний","Стратегічний"},0),0.16,0.19,0.25,0.23,0.29)</f>
        <v/>
      </c>
      <c r="AJ302" s="104">
        <f>CHOOSE(MATCH(IF($U302="","Основний",$U302),{"Трафіковий","Основний","Маржинальний","Сезонний","Стратегічний"},0),0.14,0.17,0.22,0.21,0.25)</f>
        <v/>
      </c>
      <c r="AK302" s="104">
        <f>CHOOSE(MATCH(IF($U302="","Основний",$U302),{"Трафіковий","Основний","Маржинальний","Сезонний","Стратегічний"},0),0.15,0.18,0.23,0.22,0.27)</f>
        <v/>
      </c>
      <c r="AL302" s="104">
        <f>CHOOSE(MATCH(IF($U302="","Основний",$U302),{"Трафіковий","Основний","Маржинальний","Сезонний","Стратегічний"},0),0.15,0.17,0.25,0.24,0.29)</f>
        <v/>
      </c>
      <c r="AM302" s="104">
        <f>CHOOSE(MATCH(IF($U302="","Основний",$U302),{"Трафіковий","Основний","Маржинальний","Сезонний","Стратегічний"},0),0.12,0.145,0.19,0.18,0.22)</f>
        <v/>
      </c>
      <c r="AN302" s="157">
        <f>CHOOSE(MATCH(IF($U302="","Основний",$U302),{"Трафіковий","Основний","Маржинальний","Сезонний","Стратегічний"},0),Settings!$B$78,Settings!$B$80,Settings!$B$82,Settings!$B$84,Settings!$B$86)</f>
        <v/>
      </c>
      <c r="AO302" s="157">
        <f>CHOOSE(MATCH(IF($U302="","Основний",$U302),{"Трафіковий","Основний","Маржинальний","Сезонний","Стратегічний"},0),Settings!$C$78,Settings!$C$80,Settings!$C$82,Settings!$C$84,Settings!$C$86)</f>
        <v/>
      </c>
      <c r="AP302" s="157">
        <f>CHOOSE(MATCH(IF($U302="","Основний",$U302),{"Трафіковий","Основний","Маржинальний","Сезонний","Стратегічний"},0),Settings!$D$78,Settings!$D$80,Settings!$D$82,Settings!$D$84,Settings!$D$86)</f>
        <v/>
      </c>
      <c r="AQ302" s="157">
        <f>CHOOSE(MATCH(IF($U302="","Основний",$U302),{"Трафіковий","Основний","Маржинальний","Сезонний","Стратегічний"},0),Settings!$F$78,Settings!$F$80,Settings!$F$82,Settings!$F$84,Settings!$F$86)</f>
        <v/>
      </c>
      <c r="AR302" s="157">
        <f>CHOOSE(MATCH(IF($U302="","Основний",$U302),{"Трафіковий","Основний","Маржинальний","Сезонний","Стратегічний"},0),Settings!$G$78,Settings!$G$80,Settings!$G$82,Settings!$G$84,Settings!$G$86)</f>
        <v/>
      </c>
      <c r="AS302" s="157">
        <f>CHOOSE(MATCH(IF($U302="","Основний",$U302),{"Трафіковий","Основний","Маржинальний","Сезонний","Стратегічний"},0),Settings!$H$78,Settings!$H$80,Settings!$H$82,Settings!$H$84,Settings!$H$86)</f>
        <v/>
      </c>
      <c r="AT302" s="157">
        <f>CHOOSE(MATCH(IF($U302="","Основний",$U302),{"Трафіковий","Основний","Маржинальний","Сезонний","Стратегічний"},0),Settings!$I$78,Settings!$I$80,Settings!$I$82,Settings!$I$84,Settings!$I$86)</f>
        <v/>
      </c>
      <c r="AU302" s="171" t="n"/>
      <c r="AV302" t="n">
        <v>1.35</v>
      </c>
    </row>
    <row r="303">
      <c r="A303" s="33" t="n"/>
      <c r="B303" s="34" t="inlineStr">
        <is>
          <t>P1525R</t>
        </is>
      </c>
      <c r="C303" s="34" t="inlineStr">
        <is>
          <t>E.POW.COR.5S 5M 1,5MM SW.SCH.</t>
        </is>
      </c>
      <c r="D303" s="34" t="inlineStr">
        <is>
          <t>Пооджувачи та адаптери</t>
        </is>
      </c>
      <c r="E303" s="33" t="inlineStr">
        <is>
          <t>PC</t>
        </is>
      </c>
      <c r="F303" s="94" t="n">
        <v>5.391</v>
      </c>
      <c r="G303" s="35" t="n">
        <v>8544429090</v>
      </c>
      <c r="H303" s="31" t="n">
        <v>1.4</v>
      </c>
      <c r="I303" s="84">
        <f>IFERROR(F303*Settings!$B$2*H303*IF(AND(ISNUMBER(E303),E303&gt;1),E303,1),"")</f>
        <v/>
      </c>
      <c r="J303" s="32">
        <f>Settings!$B$66</f>
        <v/>
      </c>
      <c r="K303" s="95">
        <f>IFERROR(IF(T303="","",(T303*(1-AN303)*(1-Settings!$B$17)-I303)/(T303*(1-AN303)*(1-Settings!$B$17))),"")</f>
        <v/>
      </c>
      <c r="L303" s="101">
        <f>IFERROR(IF(T303="","",(T303*(1-AO303)*(1-Settings!$C$17)-I303)/(T303*(1-AO303)*(1-Settings!$C$17))),"")</f>
        <v/>
      </c>
      <c r="M303" s="101">
        <f>IFERROR(IF(T303="","",(T303*(1-AP303)*(1-Settings!$D$17)-I303)/(T303*(1-AP303)*(1-Settings!$D$17))),"")</f>
        <v/>
      </c>
      <c r="N303" s="101">
        <f>IFERROR(IF(T303="","",(T303*(1-AQ303)*(1-Settings!$F$17)-I303)/(T303*(1-AQ303)*(1-Settings!$F$17))),"")</f>
        <v/>
      </c>
      <c r="O303" s="101">
        <f>IFERROR(IF(T303="","",(T303*(1-AR303)*(1-Settings!$G$17)-I303)/(T303*(1-AR303)*(1-Settings!$G$17))),"")</f>
        <v/>
      </c>
      <c r="P303" s="101">
        <f>IFERROR(IF(T303="","",(T303*(1-AS303)*(1-Settings!$H$17)-I303)/(T303*(1-AS303)*(1-Settings!$H$17))),"")</f>
        <v/>
      </c>
      <c r="Q303" s="101">
        <f>IFERROR(IF(T303="","",(T303*(1-AT303)*(1-Settings!$I$68)*(1-Settings!$I$17)-I303)/(T303*(1-AT303)*(1-Settings!$I$68)*(1-Settings!$I$17))),"")</f>
        <v/>
      </c>
      <c r="R303" s="91">
        <f>IFERROR(IF(OR(I303="",Z303&gt;=1,Settings!$B$17&gt;=1,AN303&gt;=1),"",IF(MOD(ROUND(I303/(1-Z303)/(1-Settings!$B$17)/(1-AN303),0),10)=0,ROUND(I303/(1-Z303)/(1-Settings!$B$17)/(1-AN303),0)-1,IF(MOD(ROUND(I303/(1-Z303)/(1-Settings!$B$17)/(1-AN303),0),10)&lt;=5,FLOOR(ROUND(I303/(1-Z303)/(1-Settings!$B$17)/(1-AN303),0),10)+6,FLOOR(ROUND(I303/(1-Z303)/(1-Settings!$B$17)/(1-AN303),0),10)+9))),"")</f>
        <v/>
      </c>
      <c r="S303" s="92" t="n">
        <v>770</v>
      </c>
      <c r="T303" s="91">
        <f>IF(S303&lt;&gt;"", IF(MOD(S303,10)=0,S303-1,IF(MOD(S303,10)&lt;=5,FLOOR(S303,10)+6,FLOOR(S303,10)+9)), R303)</f>
        <v/>
      </c>
      <c r="U303" s="87" t="inlineStr">
        <is>
          <t>Маржинальний</t>
        </is>
      </c>
      <c r="V303" s="88" t="n"/>
      <c r="W303" s="88" t="n"/>
      <c r="X303" s="89">
        <f>IFERROR(IF(OR(V303="",W303="",T303=""),"", IF(T303&gt;W303,"Дорогий",IF(T303&lt;V303,"Дешевий","У ринку"))),"")</f>
        <v/>
      </c>
      <c r="Y303" s="90" t="n"/>
      <c r="Z303" s="104">
        <f>CHOOSE(MATCH(IF($U303="","Основний",$U303),{"Трафіковий","Основний","Маржинальний","Сезонний","Стратегічний"},0),0.16,0.19,0.24,0.23,0.28)</f>
        <v/>
      </c>
      <c r="AA303" s="104">
        <f>CHOOSE(MATCH(IF($U303="","Основний",$U303),{"Трафіковий","Основний","Маржинальний","Сезонний","Стратегічний"},0),0.18,0.21,0.26,0.25,0.3)</f>
        <v/>
      </c>
      <c r="AB303" s="104">
        <f>CHOOSE(MATCH(IF($U303="","Основний",$U303),{"Трафіковий","Основний","Маржинальний","Сезонний","Стратегічний"},0),0.19,0.22,0.28,0.26,0.32)</f>
        <v/>
      </c>
      <c r="AC303" s="104">
        <f>CHOOSE(MATCH(IF($U303="","Основний",$U303),{"Трафіковий","Основний","Маржинальний","Сезонний","Стратегічний"},0),0.17,0.2,0.25,0.24,0.28)</f>
        <v/>
      </c>
      <c r="AD303" s="104">
        <f>CHOOSE(MATCH(IF($U303="","Основний",$U303),{"Трафіковий","Основний","Маржинальний","Сезонний","Стратегічний"},0),0.18,0.21,0.26,0.25,0.3)</f>
        <v/>
      </c>
      <c r="AE303" s="104">
        <f>CHOOSE(MATCH(IF($U303="","Основний",$U303),{"Трафіковий","Основний","Маржинальний","Сезонний","Стратегічний"},0),0.18,0.2,0.28,0.27,0.32)</f>
        <v/>
      </c>
      <c r="AF303" s="104">
        <f>CHOOSE(MATCH(IF($U303="","Основний",$U303),{"Трафіковий","Основний","Маржинальний","Сезонний","Стратегічний"},0),0.15,0.175,0.22,0.21,0.25)</f>
        <v/>
      </c>
      <c r="AG303" s="104">
        <f>CHOOSE(MATCH(IF($U303="","Основний",$U303),{"Трафіковий","Основний","Маржинальний","Сезонний","Стратегічний"},0),0.13,0.16,0.21,0.2,0.25)</f>
        <v/>
      </c>
      <c r="AH303" s="104">
        <f>CHOOSE(MATCH(IF($U303="","Основний",$U303),{"Трафіковий","Основний","Маржинальний","Сезонний","Стратегічний"},0),0.15,0.18,0.23,0.22,0.27)</f>
        <v/>
      </c>
      <c r="AI303" s="104">
        <f>CHOOSE(MATCH(IF($U303="","Основний",$U303),{"Трафіковий","Основний","Маржинальний","Сезонний","Стратегічний"},0),0.16,0.19,0.25,0.23,0.29)</f>
        <v/>
      </c>
      <c r="AJ303" s="104">
        <f>CHOOSE(MATCH(IF($U303="","Основний",$U303),{"Трафіковий","Основний","Маржинальний","Сезонний","Стратегічний"},0),0.14,0.17,0.22,0.21,0.25)</f>
        <v/>
      </c>
      <c r="AK303" s="104">
        <f>CHOOSE(MATCH(IF($U303="","Основний",$U303),{"Трафіковий","Основний","Маржинальний","Сезонний","Стратегічний"},0),0.15,0.18,0.23,0.22,0.27)</f>
        <v/>
      </c>
      <c r="AL303" s="104">
        <f>CHOOSE(MATCH(IF($U303="","Основний",$U303),{"Трафіковий","Основний","Маржинальний","Сезонний","Стратегічний"},0),0.15,0.17,0.25,0.24,0.29)</f>
        <v/>
      </c>
      <c r="AM303" s="104">
        <f>CHOOSE(MATCH(IF($U303="","Основний",$U303),{"Трафіковий","Основний","Маржинальний","Сезонний","Стратегічний"},0),0.12,0.145,0.19,0.18,0.22)</f>
        <v/>
      </c>
      <c r="AN303" s="157">
        <f>CHOOSE(MATCH(IF($U303="","Основний",$U303),{"Трафіковий","Основний","Маржинальний","Сезонний","Стратегічний"},0),Settings!$B$78,Settings!$B$80,Settings!$B$82,Settings!$B$84,Settings!$B$86)</f>
        <v/>
      </c>
      <c r="AO303" s="157">
        <f>CHOOSE(MATCH(IF($U303="","Основний",$U303),{"Трафіковий","Основний","Маржинальний","Сезонний","Стратегічний"},0),Settings!$C$78,Settings!$C$80,Settings!$C$82,Settings!$C$84,Settings!$C$86)</f>
        <v/>
      </c>
      <c r="AP303" s="157">
        <f>CHOOSE(MATCH(IF($U303="","Основний",$U303),{"Трафіковий","Основний","Маржинальний","Сезонний","Стратегічний"},0),Settings!$D$78,Settings!$D$80,Settings!$D$82,Settings!$D$84,Settings!$D$86)</f>
        <v/>
      </c>
      <c r="AQ303" s="157">
        <f>CHOOSE(MATCH(IF($U303="","Основний",$U303),{"Трафіковий","Основний","Маржинальний","Сезонний","Стратегічний"},0),Settings!$F$78,Settings!$F$80,Settings!$F$82,Settings!$F$84,Settings!$F$86)</f>
        <v/>
      </c>
      <c r="AR303" s="157">
        <f>CHOOSE(MATCH(IF($U303="","Основний",$U303),{"Трафіковий","Основний","Маржинальний","Сезонний","Стратегічний"},0),Settings!$G$78,Settings!$G$80,Settings!$G$82,Settings!$G$84,Settings!$G$86)</f>
        <v/>
      </c>
      <c r="AS303" s="157">
        <f>CHOOSE(MATCH(IF($U303="","Основний",$U303),{"Трафіковий","Основний","Маржинальний","Сезонний","Стратегічний"},0),Settings!$H$78,Settings!$H$80,Settings!$H$82,Settings!$H$84,Settings!$H$86)</f>
        <v/>
      </c>
      <c r="AT303" s="157">
        <f>CHOOSE(MATCH(IF($U303="","Основний",$U303),{"Трафіковий","Основний","Маржинальний","Сезонний","Стратегічний"},0),Settings!$I$78,Settings!$I$80,Settings!$I$82,Settings!$I$84,Settings!$I$86)</f>
        <v/>
      </c>
      <c r="AU303" s="171" t="n"/>
      <c r="AV303" t="n">
        <v>1.35</v>
      </c>
    </row>
    <row r="304">
      <c r="A304" s="28" t="n"/>
      <c r="B304" s="29" t="inlineStr">
        <is>
          <t>P1621R</t>
        </is>
      </c>
      <c r="C304" s="29" t="inlineStr">
        <is>
          <t>EXTENSION CORD 6S 1,5M 1,5MM SW. SCH.</t>
        </is>
      </c>
      <c r="D304" s="29" t="inlineStr">
        <is>
          <t>Пооджувачи та адаптери</t>
        </is>
      </c>
      <c r="E304" s="28" t="inlineStr">
        <is>
          <t>PC</t>
        </is>
      </c>
      <c r="F304" s="93" t="n">
        <v>3.021</v>
      </c>
      <c r="G304" s="30" t="n">
        <v>8544429090</v>
      </c>
      <c r="H304" s="31" t="n">
        <v>1.4</v>
      </c>
      <c r="I304" s="84">
        <f>IFERROR(F304*Settings!$B$2*H304*IF(AND(ISNUMBER(E304),E304&gt;1),E304,1),"")</f>
        <v/>
      </c>
      <c r="J304" s="32">
        <f>Settings!$B$66</f>
        <v/>
      </c>
      <c r="K304" s="95">
        <f>IFERROR(IF(T304="","",(T304*(1-AN304)*(1-Settings!$B$17)-I304)/(T304*(1-AN304)*(1-Settings!$B$17))),"")</f>
        <v/>
      </c>
      <c r="L304" s="101">
        <f>IFERROR(IF(T304="","",(T304*(1-AO304)*(1-Settings!$C$17)-I304)/(T304*(1-AO304)*(1-Settings!$C$17))),"")</f>
        <v/>
      </c>
      <c r="M304" s="101">
        <f>IFERROR(IF(T304="","",(T304*(1-AP304)*(1-Settings!$D$17)-I304)/(T304*(1-AP304)*(1-Settings!$D$17))),"")</f>
        <v/>
      </c>
      <c r="N304" s="101">
        <f>IFERROR(IF(T304="","",(T304*(1-AQ304)*(1-Settings!$F$17)-I304)/(T304*(1-AQ304)*(1-Settings!$F$17))),"")</f>
        <v/>
      </c>
      <c r="O304" s="101">
        <f>IFERROR(IF(T304="","",(T304*(1-AR304)*(1-Settings!$G$17)-I304)/(T304*(1-AR304)*(1-Settings!$G$17))),"")</f>
        <v/>
      </c>
      <c r="P304" s="101">
        <f>IFERROR(IF(T304="","",(T304*(1-AS304)*(1-Settings!$H$17)-I304)/(T304*(1-AS304)*(1-Settings!$H$17))),"")</f>
        <v/>
      </c>
      <c r="Q304" s="101">
        <f>IFERROR(IF(T304="","",(T304*(1-AT304)*(1-Settings!$I$68)*(1-Settings!$I$17)-I304)/(T304*(1-AT304)*(1-Settings!$I$68)*(1-Settings!$I$17))),"")</f>
        <v/>
      </c>
      <c r="R304" s="91">
        <f>IFERROR(IF(OR(I304="",Z304&gt;=1,Settings!$B$17&gt;=1,AN304&gt;=1),"",IF(MOD(ROUND(I304/(1-Z304)/(1-Settings!$B$17)/(1-AN304),0),10)=0,ROUND(I304/(1-Z304)/(1-Settings!$B$17)/(1-AN304),0)-1,IF(MOD(ROUND(I304/(1-Z304)/(1-Settings!$B$17)/(1-AN304),0),10)&lt;=5,FLOOR(ROUND(I304/(1-Z304)/(1-Settings!$B$17)/(1-AN304),0),10)+6,FLOOR(ROUND(I304/(1-Z304)/(1-Settings!$B$17)/(1-AN304),0),10)+9))),"")</f>
        <v/>
      </c>
      <c r="S304" s="174">
        <f>R304*0.95</f>
        <v/>
      </c>
      <c r="T304" s="91">
        <f>IF(S304&lt;&gt;"", IF(MOD(S304,10)=0,S304-1,IF(MOD(S304,10)&lt;=5,FLOOR(S304,10)+6,FLOOR(S304,10)+9)), R304)</f>
        <v/>
      </c>
      <c r="U304" s="87" t="inlineStr">
        <is>
          <t>Основний</t>
        </is>
      </c>
      <c r="V304" s="88" t="n"/>
      <c r="W304" s="88" t="n"/>
      <c r="X304" s="89">
        <f>IFERROR(IF(OR(V304="",W304="",T304=""),"", IF(T304&gt;W304,"Дорогий",IF(T304&lt;V304,"Дешевий","У ринку"))),"")</f>
        <v/>
      </c>
      <c r="Y304" s="90" t="n"/>
      <c r="Z304" s="104">
        <f>CHOOSE(MATCH(IF($U304="","Основний",$U304),{"Трафіковий","Основний","Маржинальний","Сезонний","Стратегічний"},0),0.16,0.19,0.24,0.23,0.28)</f>
        <v/>
      </c>
      <c r="AA304" s="104">
        <f>CHOOSE(MATCH(IF($U304="","Основний",$U304),{"Трафіковий","Основний","Маржинальний","Сезонний","Стратегічний"},0),0.18,0.21,0.26,0.25,0.3)</f>
        <v/>
      </c>
      <c r="AB304" s="104">
        <f>CHOOSE(MATCH(IF($U304="","Основний",$U304),{"Трафіковий","Основний","Маржинальний","Сезонний","Стратегічний"},0),0.19,0.22,0.28,0.26,0.32)</f>
        <v/>
      </c>
      <c r="AC304" s="104">
        <f>CHOOSE(MATCH(IF($U304="","Основний",$U304),{"Трафіковий","Основний","Маржинальний","Сезонний","Стратегічний"},0),0.17,0.2,0.25,0.24,0.28)</f>
        <v/>
      </c>
      <c r="AD304" s="104">
        <f>CHOOSE(MATCH(IF($U304="","Основний",$U304),{"Трафіковий","Основний","Маржинальний","Сезонний","Стратегічний"},0),0.18,0.21,0.26,0.25,0.3)</f>
        <v/>
      </c>
      <c r="AE304" s="104">
        <f>CHOOSE(MATCH(IF($U304="","Основний",$U304),{"Трафіковий","Основний","Маржинальний","Сезонний","Стратегічний"},0),0.18,0.2,0.28,0.27,0.32)</f>
        <v/>
      </c>
      <c r="AF304" s="104">
        <f>CHOOSE(MATCH(IF($U304="","Основний",$U304),{"Трафіковий","Основний","Маржинальний","Сезонний","Стратегічний"},0),0.15,0.175,0.22,0.21,0.25)</f>
        <v/>
      </c>
      <c r="AG304" s="104">
        <f>CHOOSE(MATCH(IF($U304="","Основний",$U304),{"Трафіковий","Основний","Маржинальний","Сезонний","Стратегічний"},0),0.13,0.16,0.21,0.2,0.25)</f>
        <v/>
      </c>
      <c r="AH304" s="104">
        <f>CHOOSE(MATCH(IF($U304="","Основний",$U304),{"Трафіковий","Основний","Маржинальний","Сезонний","Стратегічний"},0),0.15,0.18,0.23,0.22,0.27)</f>
        <v/>
      </c>
      <c r="AI304" s="104">
        <f>CHOOSE(MATCH(IF($U304="","Основний",$U304),{"Трафіковий","Основний","Маржинальний","Сезонний","Стратегічний"},0),0.16,0.19,0.25,0.23,0.29)</f>
        <v/>
      </c>
      <c r="AJ304" s="104">
        <f>CHOOSE(MATCH(IF($U304="","Основний",$U304),{"Трафіковий","Основний","Маржинальний","Сезонний","Стратегічний"},0),0.14,0.17,0.22,0.21,0.25)</f>
        <v/>
      </c>
      <c r="AK304" s="104">
        <f>CHOOSE(MATCH(IF($U304="","Основний",$U304),{"Трафіковий","Основний","Маржинальний","Сезонний","Стратегічний"},0),0.15,0.18,0.23,0.22,0.27)</f>
        <v/>
      </c>
      <c r="AL304" s="104">
        <f>CHOOSE(MATCH(IF($U304="","Основний",$U304),{"Трафіковий","Основний","Маржинальний","Сезонний","Стратегічний"},0),0.15,0.17,0.25,0.24,0.29)</f>
        <v/>
      </c>
      <c r="AM304" s="104">
        <f>CHOOSE(MATCH(IF($U304="","Основний",$U304),{"Трафіковий","Основний","Маржинальний","Сезонний","Стратегічний"},0),0.12,0.145,0.19,0.18,0.22)</f>
        <v/>
      </c>
      <c r="AN304" s="157">
        <f>CHOOSE(MATCH(IF($U304="","Основний",$U304),{"Трафіковий","Основний","Маржинальний","Сезонний","Стратегічний"},0),Settings!$B$78,Settings!$B$80,Settings!$B$82,Settings!$B$84,Settings!$B$86)</f>
        <v/>
      </c>
      <c r="AO304" s="157">
        <f>CHOOSE(MATCH(IF($U304="","Основний",$U304),{"Трафіковий","Основний","Маржинальний","Сезонний","Стратегічний"},0),Settings!$C$78,Settings!$C$80,Settings!$C$82,Settings!$C$84,Settings!$C$86)</f>
        <v/>
      </c>
      <c r="AP304" s="157">
        <f>CHOOSE(MATCH(IF($U304="","Основний",$U304),{"Трафіковий","Основний","Маржинальний","Сезонний","Стратегічний"},0),Settings!$D$78,Settings!$D$80,Settings!$D$82,Settings!$D$84,Settings!$D$86)</f>
        <v/>
      </c>
      <c r="AQ304" s="157">
        <f>CHOOSE(MATCH(IF($U304="","Основний",$U304),{"Трафіковий","Основний","Маржинальний","Сезонний","Стратегічний"},0),Settings!$F$78,Settings!$F$80,Settings!$F$82,Settings!$F$84,Settings!$F$86)</f>
        <v/>
      </c>
      <c r="AR304" s="157">
        <f>CHOOSE(MATCH(IF($U304="","Основний",$U304),{"Трафіковий","Основний","Маржинальний","Сезонний","Стратегічний"},0),Settings!$G$78,Settings!$G$80,Settings!$G$82,Settings!$G$84,Settings!$G$86)</f>
        <v/>
      </c>
      <c r="AS304" s="157">
        <f>CHOOSE(MATCH(IF($U304="","Основний",$U304),{"Трафіковий","Основний","Маржинальний","Сезонний","Стратегічний"},0),Settings!$H$78,Settings!$H$80,Settings!$H$82,Settings!$H$84,Settings!$H$86)</f>
        <v/>
      </c>
      <c r="AT304" s="157">
        <f>CHOOSE(MATCH(IF($U304="","Основний",$U304),{"Трафіковий","Основний","Маржинальний","Сезонний","Стратегічний"},0),Settings!$I$78,Settings!$I$80,Settings!$I$82,Settings!$I$84,Settings!$I$86)</f>
        <v/>
      </c>
      <c r="AU304" s="171" t="n"/>
      <c r="AV304" t="n">
        <v>1.35</v>
      </c>
    </row>
    <row r="305">
      <c r="A305" s="33" t="n"/>
      <c r="B305" s="34" t="inlineStr">
        <is>
          <t>PC1621R</t>
        </is>
      </c>
      <c r="C305" s="34" t="inlineStr">
        <is>
          <t>EXTENSION CORD 6S 1,5M 1,5MM SW. BLACK SCH</t>
        </is>
      </c>
      <c r="D305" s="34" t="inlineStr">
        <is>
          <t>Пооджувачи та адаптери</t>
        </is>
      </c>
      <c r="E305" s="33" t="inlineStr">
        <is>
          <t>PC</t>
        </is>
      </c>
      <c r="F305" s="94" t="n">
        <v>3.104</v>
      </c>
      <c r="G305" s="35" t="n">
        <v>8544429090</v>
      </c>
      <c r="H305" s="31" t="n">
        <v>1.4</v>
      </c>
      <c r="I305" s="84">
        <f>IFERROR(F305*Settings!$B$2*H305*IF(AND(ISNUMBER(E305),E305&gt;1),E305,1),"")</f>
        <v/>
      </c>
      <c r="J305" s="32">
        <f>Settings!$B$66</f>
        <v/>
      </c>
      <c r="K305" s="95">
        <f>IFERROR(IF(T305="","",(T305*(1-AN305)*(1-Settings!$B$17)-I305)/(T305*(1-AN305)*(1-Settings!$B$17))),"")</f>
        <v/>
      </c>
      <c r="L305" s="101">
        <f>IFERROR(IF(T305="","",(T305*(1-AO305)*(1-Settings!$C$17)-I305)/(T305*(1-AO305)*(1-Settings!$C$17))),"")</f>
        <v/>
      </c>
      <c r="M305" s="101">
        <f>IFERROR(IF(T305="","",(T305*(1-AP305)*(1-Settings!$D$17)-I305)/(T305*(1-AP305)*(1-Settings!$D$17))),"")</f>
        <v/>
      </c>
      <c r="N305" s="101">
        <f>IFERROR(IF(T305="","",(T305*(1-AQ305)*(1-Settings!$F$17)-I305)/(T305*(1-AQ305)*(1-Settings!$F$17))),"")</f>
        <v/>
      </c>
      <c r="O305" s="101">
        <f>IFERROR(IF(T305="","",(T305*(1-AR305)*(1-Settings!$G$17)-I305)/(T305*(1-AR305)*(1-Settings!$G$17))),"")</f>
        <v/>
      </c>
      <c r="P305" s="101">
        <f>IFERROR(IF(T305="","",(T305*(1-AS305)*(1-Settings!$H$17)-I305)/(T305*(1-AS305)*(1-Settings!$H$17))),"")</f>
        <v/>
      </c>
      <c r="Q305" s="101">
        <f>IFERROR(IF(T305="","",(T305*(1-AT305)*(1-Settings!$I$68)*(1-Settings!$I$17)-I305)/(T305*(1-AT305)*(1-Settings!$I$68)*(1-Settings!$I$17))),"")</f>
        <v/>
      </c>
      <c r="R305" s="91">
        <f>IFERROR(IF(OR(I305="",Z305&gt;=1,Settings!$B$17&gt;=1,AN305&gt;=1),"",IF(MOD(ROUND(I305/(1-Z305)/(1-Settings!$B$17)/(1-AN305),0),10)=0,ROUND(I305/(1-Z305)/(1-Settings!$B$17)/(1-AN305),0)-1,IF(MOD(ROUND(I305/(1-Z305)/(1-Settings!$B$17)/(1-AN305),0),10)&lt;=5,FLOOR(ROUND(I305/(1-Z305)/(1-Settings!$B$17)/(1-AN305),0),10)+6,FLOOR(ROUND(I305/(1-Z305)/(1-Settings!$B$17)/(1-AN305),0),10)+9))),"")</f>
        <v/>
      </c>
      <c r="S305" s="174">
        <f>R305*0.95</f>
        <v/>
      </c>
      <c r="T305" s="91">
        <f>IF(S305&lt;&gt;"", IF(MOD(S305,10)=0,S305-1,IF(MOD(S305,10)&lt;=5,FLOOR(S305,10)+6,FLOOR(S305,10)+9)), R305)</f>
        <v/>
      </c>
      <c r="U305" s="87" t="inlineStr">
        <is>
          <t>Основний</t>
        </is>
      </c>
      <c r="V305" s="88" t="n"/>
      <c r="W305" s="88" t="n"/>
      <c r="X305" s="89">
        <f>IFERROR(IF(OR(V305="",W305="",T305=""),"", IF(T305&gt;W305,"Дорогий",IF(T305&lt;V305,"Дешевий","У ринку"))),"")</f>
        <v/>
      </c>
      <c r="Y305" s="90" t="n"/>
      <c r="Z305" s="104">
        <f>CHOOSE(MATCH(IF($U305="","Основний",$U305),{"Трафіковий","Основний","Маржинальний","Сезонний","Стратегічний"},0),0.16,0.19,0.24,0.23,0.28)</f>
        <v/>
      </c>
      <c r="AA305" s="104">
        <f>CHOOSE(MATCH(IF($U305="","Основний",$U305),{"Трафіковий","Основний","Маржинальний","Сезонний","Стратегічний"},0),0.18,0.21,0.26,0.25,0.3)</f>
        <v/>
      </c>
      <c r="AB305" s="104">
        <f>CHOOSE(MATCH(IF($U305="","Основний",$U305),{"Трафіковий","Основний","Маржинальний","Сезонний","Стратегічний"},0),0.19,0.22,0.28,0.26,0.32)</f>
        <v/>
      </c>
      <c r="AC305" s="104">
        <f>CHOOSE(MATCH(IF($U305="","Основний",$U305),{"Трафіковий","Основний","Маржинальний","Сезонний","Стратегічний"},0),0.17,0.2,0.25,0.24,0.28)</f>
        <v/>
      </c>
      <c r="AD305" s="104">
        <f>CHOOSE(MATCH(IF($U305="","Основний",$U305),{"Трафіковий","Основний","Маржинальний","Сезонний","Стратегічний"},0),0.18,0.21,0.26,0.25,0.3)</f>
        <v/>
      </c>
      <c r="AE305" s="104">
        <f>CHOOSE(MATCH(IF($U305="","Основний",$U305),{"Трафіковий","Основний","Маржинальний","Сезонний","Стратегічний"},0),0.18,0.2,0.28,0.27,0.32)</f>
        <v/>
      </c>
      <c r="AF305" s="104">
        <f>CHOOSE(MATCH(IF($U305="","Основний",$U305),{"Трафіковий","Основний","Маржинальний","Сезонний","Стратегічний"},0),0.15,0.175,0.22,0.21,0.25)</f>
        <v/>
      </c>
      <c r="AG305" s="104">
        <f>CHOOSE(MATCH(IF($U305="","Основний",$U305),{"Трафіковий","Основний","Маржинальний","Сезонний","Стратегічний"},0),0.13,0.16,0.21,0.2,0.25)</f>
        <v/>
      </c>
      <c r="AH305" s="104">
        <f>CHOOSE(MATCH(IF($U305="","Основний",$U305),{"Трафіковий","Основний","Маржинальний","Сезонний","Стратегічний"},0),0.15,0.18,0.23,0.22,0.27)</f>
        <v/>
      </c>
      <c r="AI305" s="104">
        <f>CHOOSE(MATCH(IF($U305="","Основний",$U305),{"Трафіковий","Основний","Маржинальний","Сезонний","Стратегічний"},0),0.16,0.19,0.25,0.23,0.29)</f>
        <v/>
      </c>
      <c r="AJ305" s="104">
        <f>CHOOSE(MATCH(IF($U305="","Основний",$U305),{"Трафіковий","Основний","Маржинальний","Сезонний","Стратегічний"},0),0.14,0.17,0.22,0.21,0.25)</f>
        <v/>
      </c>
      <c r="AK305" s="104">
        <f>CHOOSE(MATCH(IF($U305="","Основний",$U305),{"Трафіковий","Основний","Маржинальний","Сезонний","Стратегічний"},0),0.15,0.18,0.23,0.22,0.27)</f>
        <v/>
      </c>
      <c r="AL305" s="104">
        <f>CHOOSE(MATCH(IF($U305="","Основний",$U305),{"Трафіковий","Основний","Маржинальний","Сезонний","Стратегічний"},0),0.15,0.17,0.25,0.24,0.29)</f>
        <v/>
      </c>
      <c r="AM305" s="104">
        <f>CHOOSE(MATCH(IF($U305="","Основний",$U305),{"Трафіковий","Основний","Маржинальний","Сезонний","Стратегічний"},0),0.12,0.145,0.19,0.18,0.22)</f>
        <v/>
      </c>
      <c r="AN305" s="157">
        <f>CHOOSE(MATCH(IF($U305="","Основний",$U305),{"Трафіковий","Основний","Маржинальний","Сезонний","Стратегічний"},0),Settings!$B$78,Settings!$B$80,Settings!$B$82,Settings!$B$84,Settings!$B$86)</f>
        <v/>
      </c>
      <c r="AO305" s="157">
        <f>CHOOSE(MATCH(IF($U305="","Основний",$U305),{"Трафіковий","Основний","Маржинальний","Сезонний","Стратегічний"},0),Settings!$C$78,Settings!$C$80,Settings!$C$82,Settings!$C$84,Settings!$C$86)</f>
        <v/>
      </c>
      <c r="AP305" s="157">
        <f>CHOOSE(MATCH(IF($U305="","Основний",$U305),{"Трафіковий","Основний","Маржинальний","Сезонний","Стратегічний"},0),Settings!$D$78,Settings!$D$80,Settings!$D$82,Settings!$D$84,Settings!$D$86)</f>
        <v/>
      </c>
      <c r="AQ305" s="157">
        <f>CHOOSE(MATCH(IF($U305="","Основний",$U305),{"Трафіковий","Основний","Маржинальний","Сезонний","Стратегічний"},0),Settings!$F$78,Settings!$F$80,Settings!$F$82,Settings!$F$84,Settings!$F$86)</f>
        <v/>
      </c>
      <c r="AR305" s="157">
        <f>CHOOSE(MATCH(IF($U305="","Основний",$U305),{"Трафіковий","Основний","Маржинальний","Сезонний","Стратегічний"},0),Settings!$G$78,Settings!$G$80,Settings!$G$82,Settings!$G$84,Settings!$G$86)</f>
        <v/>
      </c>
      <c r="AS305" s="157">
        <f>CHOOSE(MATCH(IF($U305="","Основний",$U305),{"Трафіковий","Основний","Маржинальний","Сезонний","Стратегічний"},0),Settings!$H$78,Settings!$H$80,Settings!$H$82,Settings!$H$84,Settings!$H$86)</f>
        <v/>
      </c>
      <c r="AT305" s="157">
        <f>CHOOSE(MATCH(IF($U305="","Основний",$U305),{"Трафіковий","Основний","Маржинальний","Сезонний","Стратегічний"},0),Settings!$I$78,Settings!$I$80,Settings!$I$82,Settings!$I$84,Settings!$I$86)</f>
        <v/>
      </c>
      <c r="AU305" s="171" t="n"/>
      <c r="AV305" t="n">
        <v>1.35</v>
      </c>
    </row>
    <row r="306">
      <c r="A306" s="28" t="n"/>
      <c r="B306" s="29" t="inlineStr">
        <is>
          <t>P1623R</t>
        </is>
      </c>
      <c r="C306" s="29" t="inlineStr">
        <is>
          <t>EX.C.6S 3M 1,5MM SW.SCH</t>
        </is>
      </c>
      <c r="D306" s="29" t="inlineStr">
        <is>
          <t>Пооджувачи та адаптери</t>
        </is>
      </c>
      <c r="E306" s="28" t="inlineStr">
        <is>
          <t>PC</t>
        </is>
      </c>
      <c r="F306" s="93" t="n">
        <v>4.032</v>
      </c>
      <c r="G306" s="30" t="n">
        <v>8544429090</v>
      </c>
      <c r="H306" s="31" t="n">
        <v>1.4</v>
      </c>
      <c r="I306" s="84">
        <f>IFERROR(F306*Settings!$B$2*H306*IF(AND(ISNUMBER(E306),E306&gt;1),E306,1),"")</f>
        <v/>
      </c>
      <c r="J306" s="32">
        <f>Settings!$B$66</f>
        <v/>
      </c>
      <c r="K306" s="95">
        <f>IFERROR(IF(T306="","",(T306*(1-AN306)*(1-Settings!$B$17)-I306)/(T306*(1-AN306)*(1-Settings!$B$17))),"")</f>
        <v/>
      </c>
      <c r="L306" s="101">
        <f>IFERROR(IF(T306="","",(T306*(1-AO306)*(1-Settings!$C$17)-I306)/(T306*(1-AO306)*(1-Settings!$C$17))),"")</f>
        <v/>
      </c>
      <c r="M306" s="101">
        <f>IFERROR(IF(T306="","",(T306*(1-AP306)*(1-Settings!$D$17)-I306)/(T306*(1-AP306)*(1-Settings!$D$17))),"")</f>
        <v/>
      </c>
      <c r="N306" s="101">
        <f>IFERROR(IF(T306="","",(T306*(1-AQ306)*(1-Settings!$F$17)-I306)/(T306*(1-AQ306)*(1-Settings!$F$17))),"")</f>
        <v/>
      </c>
      <c r="O306" s="101">
        <f>IFERROR(IF(T306="","",(T306*(1-AR306)*(1-Settings!$G$17)-I306)/(T306*(1-AR306)*(1-Settings!$G$17))),"")</f>
        <v/>
      </c>
      <c r="P306" s="101">
        <f>IFERROR(IF(T306="","",(T306*(1-AS306)*(1-Settings!$H$17)-I306)/(T306*(1-AS306)*(1-Settings!$H$17))),"")</f>
        <v/>
      </c>
      <c r="Q306" s="101">
        <f>IFERROR(IF(T306="","",(T306*(1-AT306)*(1-Settings!$I$68)*(1-Settings!$I$17)-I306)/(T306*(1-AT306)*(1-Settings!$I$68)*(1-Settings!$I$17))),"")</f>
        <v/>
      </c>
      <c r="R306" s="91">
        <f>IFERROR(IF(OR(I306="",Z306&gt;=1,Settings!$B$17&gt;=1,AN306&gt;=1),"",IF(MOD(ROUND(I306/(1-Z306)/(1-Settings!$B$17)/(1-AN306),0),10)=0,ROUND(I306/(1-Z306)/(1-Settings!$B$17)/(1-AN306),0)-1,IF(MOD(ROUND(I306/(1-Z306)/(1-Settings!$B$17)/(1-AN306),0),10)&lt;=5,FLOOR(ROUND(I306/(1-Z306)/(1-Settings!$B$17)/(1-AN306),0),10)+6,FLOOR(ROUND(I306/(1-Z306)/(1-Settings!$B$17)/(1-AN306),0),10)+9))),"")</f>
        <v/>
      </c>
      <c r="S306" s="174">
        <f>R306*0.95</f>
        <v/>
      </c>
      <c r="T306" s="91">
        <f>IF(S306&lt;&gt;"", IF(MOD(S306,10)=0,S306-1,IF(MOD(S306,10)&lt;=5,FLOOR(S306,10)+6,FLOOR(S306,10)+9)), R306)</f>
        <v/>
      </c>
      <c r="U306" s="87" t="inlineStr">
        <is>
          <t>Основний</t>
        </is>
      </c>
      <c r="V306" s="88" t="n"/>
      <c r="W306" s="88" t="n"/>
      <c r="X306" s="89">
        <f>IFERROR(IF(OR(V306="",W306="",T306=""),"", IF(T306&gt;W306,"Дорогий",IF(T306&lt;V306,"Дешевий","У ринку"))),"")</f>
        <v/>
      </c>
      <c r="Y306" s="90" t="n"/>
      <c r="Z306" s="104">
        <f>CHOOSE(MATCH(IF($U306="","Основний",$U306),{"Трафіковий","Основний","Маржинальний","Сезонний","Стратегічний"},0),0.16,0.19,0.24,0.23,0.28)</f>
        <v/>
      </c>
      <c r="AA306" s="104">
        <f>CHOOSE(MATCH(IF($U306="","Основний",$U306),{"Трафіковий","Основний","Маржинальний","Сезонний","Стратегічний"},0),0.18,0.21,0.26,0.25,0.3)</f>
        <v/>
      </c>
      <c r="AB306" s="104">
        <f>CHOOSE(MATCH(IF($U306="","Основний",$U306),{"Трафіковий","Основний","Маржинальний","Сезонний","Стратегічний"},0),0.19,0.22,0.28,0.26,0.32)</f>
        <v/>
      </c>
      <c r="AC306" s="104">
        <f>CHOOSE(MATCH(IF($U306="","Основний",$U306),{"Трафіковий","Основний","Маржинальний","Сезонний","Стратегічний"},0),0.17,0.2,0.25,0.24,0.28)</f>
        <v/>
      </c>
      <c r="AD306" s="104">
        <f>CHOOSE(MATCH(IF($U306="","Основний",$U306),{"Трафіковий","Основний","Маржинальний","Сезонний","Стратегічний"},0),0.18,0.21,0.26,0.25,0.3)</f>
        <v/>
      </c>
      <c r="AE306" s="104">
        <f>CHOOSE(MATCH(IF($U306="","Основний",$U306),{"Трафіковий","Основний","Маржинальний","Сезонний","Стратегічний"},0),0.18,0.2,0.28,0.27,0.32)</f>
        <v/>
      </c>
      <c r="AF306" s="104">
        <f>CHOOSE(MATCH(IF($U306="","Основний",$U306),{"Трафіковий","Основний","Маржинальний","Сезонний","Стратегічний"},0),0.15,0.175,0.22,0.21,0.25)</f>
        <v/>
      </c>
      <c r="AG306" s="104">
        <f>CHOOSE(MATCH(IF($U306="","Основний",$U306),{"Трафіковий","Основний","Маржинальний","Сезонний","Стратегічний"},0),0.13,0.16,0.21,0.2,0.25)</f>
        <v/>
      </c>
      <c r="AH306" s="104">
        <f>CHOOSE(MATCH(IF($U306="","Основний",$U306),{"Трафіковий","Основний","Маржинальний","Сезонний","Стратегічний"},0),0.15,0.18,0.23,0.22,0.27)</f>
        <v/>
      </c>
      <c r="AI306" s="104">
        <f>CHOOSE(MATCH(IF($U306="","Основний",$U306),{"Трафіковий","Основний","Маржинальний","Сезонний","Стратегічний"},0),0.16,0.19,0.25,0.23,0.29)</f>
        <v/>
      </c>
      <c r="AJ306" s="104">
        <f>CHOOSE(MATCH(IF($U306="","Основний",$U306),{"Трафіковий","Основний","Маржинальний","Сезонний","Стратегічний"},0),0.14,0.17,0.22,0.21,0.25)</f>
        <v/>
      </c>
      <c r="AK306" s="104">
        <f>CHOOSE(MATCH(IF($U306="","Основний",$U306),{"Трафіковий","Основний","Маржинальний","Сезонний","Стратегічний"},0),0.15,0.18,0.23,0.22,0.27)</f>
        <v/>
      </c>
      <c r="AL306" s="104">
        <f>CHOOSE(MATCH(IF($U306="","Основний",$U306),{"Трафіковий","Основний","Маржинальний","Сезонний","Стратегічний"},0),0.15,0.17,0.25,0.24,0.29)</f>
        <v/>
      </c>
      <c r="AM306" s="104">
        <f>CHOOSE(MATCH(IF($U306="","Основний",$U306),{"Трафіковий","Основний","Маржинальний","Сезонний","Стратегічний"},0),0.12,0.145,0.19,0.18,0.22)</f>
        <v/>
      </c>
      <c r="AN306" s="157">
        <f>CHOOSE(MATCH(IF($U306="","Основний",$U306),{"Трафіковий","Основний","Маржинальний","Сезонний","Стратегічний"},0),Settings!$B$78,Settings!$B$80,Settings!$B$82,Settings!$B$84,Settings!$B$86)</f>
        <v/>
      </c>
      <c r="AO306" s="157">
        <f>CHOOSE(MATCH(IF($U306="","Основний",$U306),{"Трафіковий","Основний","Маржинальний","Сезонний","Стратегічний"},0),Settings!$C$78,Settings!$C$80,Settings!$C$82,Settings!$C$84,Settings!$C$86)</f>
        <v/>
      </c>
      <c r="AP306" s="157">
        <f>CHOOSE(MATCH(IF($U306="","Основний",$U306),{"Трафіковий","Основний","Маржинальний","Сезонний","Стратегічний"},0),Settings!$D$78,Settings!$D$80,Settings!$D$82,Settings!$D$84,Settings!$D$86)</f>
        <v/>
      </c>
      <c r="AQ306" s="157">
        <f>CHOOSE(MATCH(IF($U306="","Основний",$U306),{"Трафіковий","Основний","Маржинальний","Сезонний","Стратегічний"},0),Settings!$F$78,Settings!$F$80,Settings!$F$82,Settings!$F$84,Settings!$F$86)</f>
        <v/>
      </c>
      <c r="AR306" s="157">
        <f>CHOOSE(MATCH(IF($U306="","Основний",$U306),{"Трафіковий","Основний","Маржинальний","Сезонний","Стратегічний"},0),Settings!$G$78,Settings!$G$80,Settings!$G$82,Settings!$G$84,Settings!$G$86)</f>
        <v/>
      </c>
      <c r="AS306" s="157">
        <f>CHOOSE(MATCH(IF($U306="","Основний",$U306),{"Трафіковий","Основний","Маржинальний","Сезонний","Стратегічний"},0),Settings!$H$78,Settings!$H$80,Settings!$H$82,Settings!$H$84,Settings!$H$86)</f>
        <v/>
      </c>
      <c r="AT306" s="157">
        <f>CHOOSE(MATCH(IF($U306="","Основний",$U306),{"Трафіковий","Основний","Маржинальний","Сезонний","Стратегічний"},0),Settings!$I$78,Settings!$I$80,Settings!$I$82,Settings!$I$84,Settings!$I$86)</f>
        <v/>
      </c>
      <c r="AU306" s="171" t="n"/>
      <c r="AV306" t="n">
        <v>1.35</v>
      </c>
    </row>
    <row r="307">
      <c r="A307" s="33" t="n"/>
      <c r="B307" s="34" t="inlineStr">
        <is>
          <t>P1625R</t>
        </is>
      </c>
      <c r="C307" s="34" t="inlineStr">
        <is>
          <t>E.POW.COR.6S 5M 1,5MM SW.SCH.</t>
        </is>
      </c>
      <c r="D307" s="34" t="inlineStr">
        <is>
          <t>Пооджувачи та адаптери</t>
        </is>
      </c>
      <c r="E307" s="33" t="inlineStr">
        <is>
          <t>PC</t>
        </is>
      </c>
      <c r="F307" s="94" t="n">
        <v>5.55</v>
      </c>
      <c r="G307" s="35" t="n">
        <v>8544429090</v>
      </c>
      <c r="H307" s="31" t="n">
        <v>1.4</v>
      </c>
      <c r="I307" s="84">
        <f>IFERROR(F307*Settings!$B$2*H307*IF(AND(ISNUMBER(E307),E307&gt;1),E307,1),"")</f>
        <v/>
      </c>
      <c r="J307" s="32">
        <f>Settings!$B$66</f>
        <v/>
      </c>
      <c r="K307" s="95">
        <f>IFERROR(IF(T307="","",(T307*(1-AN307)*(1-Settings!$B$17)-I307)/(T307*(1-AN307)*(1-Settings!$B$17))),"")</f>
        <v/>
      </c>
      <c r="L307" s="101">
        <f>IFERROR(IF(T307="","",(T307*(1-AO307)*(1-Settings!$C$17)-I307)/(T307*(1-AO307)*(1-Settings!$C$17))),"")</f>
        <v/>
      </c>
      <c r="M307" s="101">
        <f>IFERROR(IF(T307="","",(T307*(1-AP307)*(1-Settings!$D$17)-I307)/(T307*(1-AP307)*(1-Settings!$D$17))),"")</f>
        <v/>
      </c>
      <c r="N307" s="101">
        <f>IFERROR(IF(T307="","",(T307*(1-AQ307)*(1-Settings!$F$17)-I307)/(T307*(1-AQ307)*(1-Settings!$F$17))),"")</f>
        <v/>
      </c>
      <c r="O307" s="101">
        <f>IFERROR(IF(T307="","",(T307*(1-AR307)*(1-Settings!$G$17)-I307)/(T307*(1-AR307)*(1-Settings!$G$17))),"")</f>
        <v/>
      </c>
      <c r="P307" s="101">
        <f>IFERROR(IF(T307="","",(T307*(1-AS307)*(1-Settings!$H$17)-I307)/(T307*(1-AS307)*(1-Settings!$H$17))),"")</f>
        <v/>
      </c>
      <c r="Q307" s="101">
        <f>IFERROR(IF(T307="","",(T307*(1-AT307)*(1-Settings!$I$68)*(1-Settings!$I$17)-I307)/(T307*(1-AT307)*(1-Settings!$I$68)*(1-Settings!$I$17))),"")</f>
        <v/>
      </c>
      <c r="R307" s="91">
        <f>IFERROR(IF(OR(I307="",Z307&gt;=1,Settings!$B$17&gt;=1,AN307&gt;=1),"",IF(MOD(ROUND(I307/(1-Z307)/(1-Settings!$B$17)/(1-AN307),0),10)=0,ROUND(I307/(1-Z307)/(1-Settings!$B$17)/(1-AN307),0)-1,IF(MOD(ROUND(I307/(1-Z307)/(1-Settings!$B$17)/(1-AN307),0),10)&lt;=5,FLOOR(ROUND(I307/(1-Z307)/(1-Settings!$B$17)/(1-AN307),0),10)+6,FLOOR(ROUND(I307/(1-Z307)/(1-Settings!$B$17)/(1-AN307),0),10)+9))),"")</f>
        <v/>
      </c>
      <c r="S307" s="174">
        <f>R307*0.95</f>
        <v/>
      </c>
      <c r="T307" s="91">
        <f>IF(S307&lt;&gt;"", IF(MOD(S307,10)=0,S307-1,IF(MOD(S307,10)&lt;=5,FLOOR(S307,10)+6,FLOOR(S307,10)+9)), R307)</f>
        <v/>
      </c>
      <c r="U307" s="87" t="inlineStr">
        <is>
          <t>Основний</t>
        </is>
      </c>
      <c r="V307" s="88" t="n"/>
      <c r="W307" s="88" t="n"/>
      <c r="X307" s="89">
        <f>IFERROR(IF(OR(V307="",W307="",T307=""),"", IF(T307&gt;W307,"Дорогий",IF(T307&lt;V307,"Дешевий","У ринку"))),"")</f>
        <v/>
      </c>
      <c r="Y307" s="90" t="n"/>
      <c r="Z307" s="104">
        <f>CHOOSE(MATCH(IF($U307="","Основний",$U307),{"Трафіковий","Основний","Маржинальний","Сезонний","Стратегічний"},0),0.16,0.19,0.24,0.23,0.28)</f>
        <v/>
      </c>
      <c r="AA307" s="104">
        <f>CHOOSE(MATCH(IF($U307="","Основний",$U307),{"Трафіковий","Основний","Маржинальний","Сезонний","Стратегічний"},0),0.18,0.21,0.26,0.25,0.3)</f>
        <v/>
      </c>
      <c r="AB307" s="104">
        <f>CHOOSE(MATCH(IF($U307="","Основний",$U307),{"Трафіковий","Основний","Маржинальний","Сезонний","Стратегічний"},0),0.19,0.22,0.28,0.26,0.32)</f>
        <v/>
      </c>
      <c r="AC307" s="104">
        <f>CHOOSE(MATCH(IF($U307="","Основний",$U307),{"Трафіковий","Основний","Маржинальний","Сезонний","Стратегічний"},0),0.17,0.2,0.25,0.24,0.28)</f>
        <v/>
      </c>
      <c r="AD307" s="104">
        <f>CHOOSE(MATCH(IF($U307="","Основний",$U307),{"Трафіковий","Основний","Маржинальний","Сезонний","Стратегічний"},0),0.18,0.21,0.26,0.25,0.3)</f>
        <v/>
      </c>
      <c r="AE307" s="104">
        <f>CHOOSE(MATCH(IF($U307="","Основний",$U307),{"Трафіковий","Основний","Маржинальний","Сезонний","Стратегічний"},0),0.18,0.2,0.28,0.27,0.32)</f>
        <v/>
      </c>
      <c r="AF307" s="104">
        <f>CHOOSE(MATCH(IF($U307="","Основний",$U307),{"Трафіковий","Основний","Маржинальний","Сезонний","Стратегічний"},0),0.15,0.175,0.22,0.21,0.25)</f>
        <v/>
      </c>
      <c r="AG307" s="104">
        <f>CHOOSE(MATCH(IF($U307="","Основний",$U307),{"Трафіковий","Основний","Маржинальний","Сезонний","Стратегічний"},0),0.13,0.16,0.21,0.2,0.25)</f>
        <v/>
      </c>
      <c r="AH307" s="104">
        <f>CHOOSE(MATCH(IF($U307="","Основний",$U307),{"Трафіковий","Основний","Маржинальний","Сезонний","Стратегічний"},0),0.15,0.18,0.23,0.22,0.27)</f>
        <v/>
      </c>
      <c r="AI307" s="104">
        <f>CHOOSE(MATCH(IF($U307="","Основний",$U307),{"Трафіковий","Основний","Маржинальний","Сезонний","Стратегічний"},0),0.16,0.19,0.25,0.23,0.29)</f>
        <v/>
      </c>
      <c r="AJ307" s="104">
        <f>CHOOSE(MATCH(IF($U307="","Основний",$U307),{"Трафіковий","Основний","Маржинальний","Сезонний","Стратегічний"},0),0.14,0.17,0.22,0.21,0.25)</f>
        <v/>
      </c>
      <c r="AK307" s="104">
        <f>CHOOSE(MATCH(IF($U307="","Основний",$U307),{"Трафіковий","Основний","Маржинальний","Сезонний","Стратегічний"},0),0.15,0.18,0.23,0.22,0.27)</f>
        <v/>
      </c>
      <c r="AL307" s="104">
        <f>CHOOSE(MATCH(IF($U307="","Основний",$U307),{"Трафіковий","Основний","Маржинальний","Сезонний","Стратегічний"},0),0.15,0.17,0.25,0.24,0.29)</f>
        <v/>
      </c>
      <c r="AM307" s="104">
        <f>CHOOSE(MATCH(IF($U307="","Основний",$U307),{"Трафіковий","Основний","Маржинальний","Сезонний","Стратегічний"},0),0.12,0.145,0.19,0.18,0.22)</f>
        <v/>
      </c>
      <c r="AN307" s="157">
        <f>CHOOSE(MATCH(IF($U307="","Основний",$U307),{"Трафіковий","Основний","Маржинальний","Сезонний","Стратегічний"},0),Settings!$B$78,Settings!$B$80,Settings!$B$82,Settings!$B$84,Settings!$B$86)</f>
        <v/>
      </c>
      <c r="AO307" s="157">
        <f>CHOOSE(MATCH(IF($U307="","Основний",$U307),{"Трафіковий","Основний","Маржинальний","Сезонний","Стратегічний"},0),Settings!$C$78,Settings!$C$80,Settings!$C$82,Settings!$C$84,Settings!$C$86)</f>
        <v/>
      </c>
      <c r="AP307" s="157">
        <f>CHOOSE(MATCH(IF($U307="","Основний",$U307),{"Трафіковий","Основний","Маржинальний","Сезонний","Стратегічний"},0),Settings!$D$78,Settings!$D$80,Settings!$D$82,Settings!$D$84,Settings!$D$86)</f>
        <v/>
      </c>
      <c r="AQ307" s="157">
        <f>CHOOSE(MATCH(IF($U307="","Основний",$U307),{"Трафіковий","Основний","Маржинальний","Сезонний","Стратегічний"},0),Settings!$F$78,Settings!$F$80,Settings!$F$82,Settings!$F$84,Settings!$F$86)</f>
        <v/>
      </c>
      <c r="AR307" s="157">
        <f>CHOOSE(MATCH(IF($U307="","Основний",$U307),{"Трафіковий","Основний","Маржинальний","Сезонний","Стратегічний"},0),Settings!$G$78,Settings!$G$80,Settings!$G$82,Settings!$G$84,Settings!$G$86)</f>
        <v/>
      </c>
      <c r="AS307" s="157">
        <f>CHOOSE(MATCH(IF($U307="","Основний",$U307),{"Трафіковий","Основний","Маржинальний","Сезонний","Стратегічний"},0),Settings!$H$78,Settings!$H$80,Settings!$H$82,Settings!$H$84,Settings!$H$86)</f>
        <v/>
      </c>
      <c r="AT307" s="157">
        <f>CHOOSE(MATCH(IF($U307="","Основний",$U307),{"Трафіковий","Основний","Маржинальний","Сезонний","Стратегічний"},0),Settings!$I$78,Settings!$I$80,Settings!$I$82,Settings!$I$84,Settings!$I$86)</f>
        <v/>
      </c>
      <c r="AU307" s="171" t="n"/>
      <c r="AV307" t="n">
        <v>1.35</v>
      </c>
    </row>
    <row r="308">
      <c r="A308" s="28" t="inlineStr">
        <is>
          <t>NEW</t>
        </is>
      </c>
      <c r="B308" s="29" t="inlineStr">
        <is>
          <t>P1322FC</t>
        </is>
      </c>
      <c r="C308" s="29" t="inlineStr">
        <is>
          <t>SCHUKO EXT. CORD 3S 2M SW. 1.5MM+USB A+C FAST CH.</t>
        </is>
      </c>
      <c r="D308" s="29" t="inlineStr">
        <is>
          <t>Пооджувачи та адаптери</t>
        </is>
      </c>
      <c r="E308" s="28" t="inlineStr">
        <is>
          <t>PC</t>
        </is>
      </c>
      <c r="F308" s="93" t="n">
        <v>7.925</v>
      </c>
      <c r="G308" s="30" t="n">
        <v>8544429090</v>
      </c>
      <c r="H308" s="31" t="n">
        <v>1.4</v>
      </c>
      <c r="I308" s="84">
        <f>IFERROR(F308*Settings!$B$2*H308*IF(AND(ISNUMBER(E308),E308&gt;1),E308,1),"")</f>
        <v/>
      </c>
      <c r="J308" s="32">
        <f>Settings!$B$66</f>
        <v/>
      </c>
      <c r="K308" s="95">
        <f>IFERROR(IF(T308="","",(T308*(1-AN308)*(1-Settings!$B$17)-I308)/(T308*(1-AN308)*(1-Settings!$B$17))),"")</f>
        <v/>
      </c>
      <c r="L308" s="101">
        <f>IFERROR(IF(T308="","",(T308*(1-AO308)*(1-Settings!$C$17)-I308)/(T308*(1-AO308)*(1-Settings!$C$17))),"")</f>
        <v/>
      </c>
      <c r="M308" s="101">
        <f>IFERROR(IF(T308="","",(T308*(1-AP308)*(1-Settings!$D$17)-I308)/(T308*(1-AP308)*(1-Settings!$D$17))),"")</f>
        <v/>
      </c>
      <c r="N308" s="101">
        <f>IFERROR(IF(T308="","",(T308*(1-AQ308)*(1-Settings!$F$17)-I308)/(T308*(1-AQ308)*(1-Settings!$F$17))),"")</f>
        <v/>
      </c>
      <c r="O308" s="101">
        <f>IFERROR(IF(T308="","",(T308*(1-AR308)*(1-Settings!$G$17)-I308)/(T308*(1-AR308)*(1-Settings!$G$17))),"")</f>
        <v/>
      </c>
      <c r="P308" s="101">
        <f>IFERROR(IF(T308="","",(T308*(1-AS308)*(1-Settings!$H$17)-I308)/(T308*(1-AS308)*(1-Settings!$H$17))),"")</f>
        <v/>
      </c>
      <c r="Q308" s="101">
        <f>IFERROR(IF(T308="","",(T308*(1-AT308)*(1-Settings!$I$68)*(1-Settings!$I$17)-I308)/(T308*(1-AT308)*(1-Settings!$I$68)*(1-Settings!$I$17))),"")</f>
        <v/>
      </c>
      <c r="R308" s="91">
        <f>IFERROR(IF(OR(I308="",Z308&gt;=1,Settings!$B$17&gt;=1,AN308&gt;=1),"",IF(MOD(ROUND(I308/(1-Z308)/(1-Settings!$B$17)/(1-AN308),0),10)=0,ROUND(I308/(1-Z308)/(1-Settings!$B$17)/(1-AN308),0)-1,IF(MOD(ROUND(I308/(1-Z308)/(1-Settings!$B$17)/(1-AN308),0),10)&lt;=5,FLOOR(ROUND(I308/(1-Z308)/(1-Settings!$B$17)/(1-AN308),0),10)+6,FLOOR(ROUND(I308/(1-Z308)/(1-Settings!$B$17)/(1-AN308),0),10)+9))),"")</f>
        <v/>
      </c>
      <c r="S308" s="174">
        <f>R308*0.95</f>
        <v/>
      </c>
      <c r="T308" s="91">
        <f>IF(S308&lt;&gt;"", IF(MOD(S308,10)=0,S308-1,IF(MOD(S308,10)&lt;=5,FLOOR(S308,10)+6,FLOOR(S308,10)+9)), R308)</f>
        <v/>
      </c>
      <c r="U308" s="87" t="inlineStr">
        <is>
          <t>Основний</t>
        </is>
      </c>
      <c r="V308" s="88" t="n"/>
      <c r="W308" s="88" t="n"/>
      <c r="X308" s="89">
        <f>IFERROR(IF(OR(V308="",W308="",T308=""),"", IF(T308&gt;W308,"Дорогий",IF(T308&lt;V308,"Дешевий","У ринку"))),"")</f>
        <v/>
      </c>
      <c r="Y308" s="90" t="n"/>
      <c r="Z308" s="104">
        <f>CHOOSE(MATCH(IF($U308="","Основний",$U308),{"Трафіковий","Основний","Маржинальний","Сезонний","Стратегічний"},0),0.16,0.19,0.24,0.23,0.28)</f>
        <v/>
      </c>
      <c r="AA308" s="104">
        <f>CHOOSE(MATCH(IF($U308="","Основний",$U308),{"Трафіковий","Основний","Маржинальний","Сезонний","Стратегічний"},0),0.18,0.21,0.26,0.25,0.3)</f>
        <v/>
      </c>
      <c r="AB308" s="104">
        <f>CHOOSE(MATCH(IF($U308="","Основний",$U308),{"Трафіковий","Основний","Маржинальний","Сезонний","Стратегічний"},0),0.19,0.22,0.28,0.26,0.32)</f>
        <v/>
      </c>
      <c r="AC308" s="104">
        <f>CHOOSE(MATCH(IF($U308="","Основний",$U308),{"Трафіковий","Основний","Маржинальний","Сезонний","Стратегічний"},0),0.17,0.2,0.25,0.24,0.28)</f>
        <v/>
      </c>
      <c r="AD308" s="104">
        <f>CHOOSE(MATCH(IF($U308="","Основний",$U308),{"Трафіковий","Основний","Маржинальний","Сезонний","Стратегічний"},0),0.18,0.21,0.26,0.25,0.3)</f>
        <v/>
      </c>
      <c r="AE308" s="104">
        <f>CHOOSE(MATCH(IF($U308="","Основний",$U308),{"Трафіковий","Основний","Маржинальний","Сезонний","Стратегічний"},0),0.18,0.2,0.28,0.27,0.32)</f>
        <v/>
      </c>
      <c r="AF308" s="104">
        <f>CHOOSE(MATCH(IF($U308="","Основний",$U308),{"Трафіковий","Основний","Маржинальний","Сезонний","Стратегічний"},0),0.15,0.175,0.22,0.21,0.25)</f>
        <v/>
      </c>
      <c r="AG308" s="104">
        <f>CHOOSE(MATCH(IF($U308="","Основний",$U308),{"Трафіковий","Основний","Маржинальний","Сезонний","Стратегічний"},0),0.13,0.16,0.21,0.2,0.25)</f>
        <v/>
      </c>
      <c r="AH308" s="104">
        <f>CHOOSE(MATCH(IF($U308="","Основний",$U308),{"Трафіковий","Основний","Маржинальний","Сезонний","Стратегічний"},0),0.15,0.18,0.23,0.22,0.27)</f>
        <v/>
      </c>
      <c r="AI308" s="104">
        <f>CHOOSE(MATCH(IF($U308="","Основний",$U308),{"Трафіковий","Основний","Маржинальний","Сезонний","Стратегічний"},0),0.16,0.19,0.25,0.23,0.29)</f>
        <v/>
      </c>
      <c r="AJ308" s="104">
        <f>CHOOSE(MATCH(IF($U308="","Основний",$U308),{"Трафіковий","Основний","Маржинальний","Сезонний","Стратегічний"},0),0.14,0.17,0.22,0.21,0.25)</f>
        <v/>
      </c>
      <c r="AK308" s="104">
        <f>CHOOSE(MATCH(IF($U308="","Основний",$U308),{"Трафіковий","Основний","Маржинальний","Сезонний","Стратегічний"},0),0.15,0.18,0.23,0.22,0.27)</f>
        <v/>
      </c>
      <c r="AL308" s="104">
        <f>CHOOSE(MATCH(IF($U308="","Основний",$U308),{"Трафіковий","Основний","Маржинальний","Сезонний","Стратегічний"},0),0.15,0.17,0.25,0.24,0.29)</f>
        <v/>
      </c>
      <c r="AM308" s="104">
        <f>CHOOSE(MATCH(IF($U308="","Основний",$U308),{"Трафіковий","Основний","Маржинальний","Сезонний","Стратегічний"},0),0.12,0.145,0.19,0.18,0.22)</f>
        <v/>
      </c>
      <c r="AN308" s="157">
        <f>CHOOSE(MATCH(IF($U308="","Основний",$U308),{"Трафіковий","Основний","Маржинальний","Сезонний","Стратегічний"},0),Settings!$B$78,Settings!$B$80,Settings!$B$82,Settings!$B$84,Settings!$B$86)</f>
        <v/>
      </c>
      <c r="AO308" s="157">
        <f>CHOOSE(MATCH(IF($U308="","Основний",$U308),{"Трафіковий","Основний","Маржинальний","Сезонний","Стратегічний"},0),Settings!$C$78,Settings!$C$80,Settings!$C$82,Settings!$C$84,Settings!$C$86)</f>
        <v/>
      </c>
      <c r="AP308" s="157">
        <f>CHOOSE(MATCH(IF($U308="","Основний",$U308),{"Трафіковий","Основний","Маржинальний","Сезонний","Стратегічний"},0),Settings!$D$78,Settings!$D$80,Settings!$D$82,Settings!$D$84,Settings!$D$86)</f>
        <v/>
      </c>
      <c r="AQ308" s="157">
        <f>CHOOSE(MATCH(IF($U308="","Основний",$U308),{"Трафіковий","Основний","Маржинальний","Сезонний","Стратегічний"},0),Settings!$F$78,Settings!$F$80,Settings!$F$82,Settings!$F$84,Settings!$F$86)</f>
        <v/>
      </c>
      <c r="AR308" s="157">
        <f>CHOOSE(MATCH(IF($U308="","Основний",$U308),{"Трафіковий","Основний","Маржинальний","Сезонний","Стратегічний"},0),Settings!$G$78,Settings!$G$80,Settings!$G$82,Settings!$G$84,Settings!$G$86)</f>
        <v/>
      </c>
      <c r="AS308" s="157">
        <f>CHOOSE(MATCH(IF($U308="","Основний",$U308),{"Трафіковий","Основний","Маржинальний","Сезонний","Стратегічний"},0),Settings!$H$78,Settings!$H$80,Settings!$H$82,Settings!$H$84,Settings!$H$86)</f>
        <v/>
      </c>
      <c r="AT308" s="157">
        <f>CHOOSE(MATCH(IF($U308="","Основний",$U308),{"Трафіковий","Основний","Маржинальний","Сезонний","Стратегічний"},0),Settings!$I$78,Settings!$I$80,Settings!$I$82,Settings!$I$84,Settings!$I$86)</f>
        <v/>
      </c>
      <c r="AU308" s="171" t="n"/>
      <c r="AV308" t="n">
        <v>1.35</v>
      </c>
    </row>
    <row r="309">
      <c r="A309" s="33" t="n"/>
      <c r="B309" s="34" t="inlineStr">
        <is>
          <t>P01805</t>
        </is>
      </c>
      <c r="C309" s="34" t="inlineStr">
        <is>
          <t>POWERCO.1S 5M 1,5MM RUBBER/NEOPRENE SCHUKO</t>
        </is>
      </c>
      <c r="D309" s="34" t="inlineStr">
        <is>
          <t>Пооджувачи та адаптери</t>
        </is>
      </c>
      <c r="E309" s="33" t="inlineStr">
        <is>
          <t>PC</t>
        </is>
      </c>
      <c r="F309" s="94" t="n">
        <v>6.351</v>
      </c>
      <c r="G309" s="35" t="n">
        <v>8544429090</v>
      </c>
      <c r="H309" s="31" t="n">
        <v>1.4</v>
      </c>
      <c r="I309" s="84">
        <f>IFERROR(F309*Settings!$B$2*H309*IF(AND(ISNUMBER(E309),E309&gt;1),E309,1),"")</f>
        <v/>
      </c>
      <c r="J309" s="32">
        <f>Settings!$B$66</f>
        <v/>
      </c>
      <c r="K309" s="95">
        <f>IFERROR(IF(T309="","",(T309*(1-AN309)*(1-Settings!$B$17)-I309)/(T309*(1-AN309)*(1-Settings!$B$17))),"")</f>
        <v/>
      </c>
      <c r="L309" s="101">
        <f>IFERROR(IF(T309="","",(T309*(1-AO309)*(1-Settings!$C$17)-I309)/(T309*(1-AO309)*(1-Settings!$C$17))),"")</f>
        <v/>
      </c>
      <c r="M309" s="101">
        <f>IFERROR(IF(T309="","",(T309*(1-AP309)*(1-Settings!$D$17)-I309)/(T309*(1-AP309)*(1-Settings!$D$17))),"")</f>
        <v/>
      </c>
      <c r="N309" s="101">
        <f>IFERROR(IF(T309="","",(T309*(1-AQ309)*(1-Settings!$F$17)-I309)/(T309*(1-AQ309)*(1-Settings!$F$17))),"")</f>
        <v/>
      </c>
      <c r="O309" s="101">
        <f>IFERROR(IF(T309="","",(T309*(1-AR309)*(1-Settings!$G$17)-I309)/(T309*(1-AR309)*(1-Settings!$G$17))),"")</f>
        <v/>
      </c>
      <c r="P309" s="101">
        <f>IFERROR(IF(T309="","",(T309*(1-AS309)*(1-Settings!$H$17)-I309)/(T309*(1-AS309)*(1-Settings!$H$17))),"")</f>
        <v/>
      </c>
      <c r="Q309" s="101">
        <f>IFERROR(IF(T309="","",(T309*(1-AT309)*(1-Settings!$I$68)*(1-Settings!$I$17)-I309)/(T309*(1-AT309)*(1-Settings!$I$68)*(1-Settings!$I$17))),"")</f>
        <v/>
      </c>
      <c r="R309" s="91">
        <f>IFERROR(IF(OR(I309="",Z309&gt;=1,Settings!$B$17&gt;=1,AN309&gt;=1),"",IF(MOD(ROUND(I309/(1-Z309)/(1-Settings!$B$17)/(1-AN309),0),10)=0,ROUND(I309/(1-Z309)/(1-Settings!$B$17)/(1-AN309),0)-1,IF(MOD(ROUND(I309/(1-Z309)/(1-Settings!$B$17)/(1-AN309),0),10)&lt;=5,FLOOR(ROUND(I309/(1-Z309)/(1-Settings!$B$17)/(1-AN309),0),10)+6,FLOOR(ROUND(I309/(1-Z309)/(1-Settings!$B$17)/(1-AN309),0),10)+9))),"")</f>
        <v/>
      </c>
      <c r="S309" s="174">
        <f>R309*0.95</f>
        <v/>
      </c>
      <c r="T309" s="91">
        <f>IF(S309&lt;&gt;"", IF(MOD(S309,10)=0,S309-1,IF(MOD(S309,10)&lt;=5,FLOOR(S309,10)+6,FLOOR(S309,10)+9)), R309)</f>
        <v/>
      </c>
      <c r="U309" s="87" t="inlineStr">
        <is>
          <t>Основний</t>
        </is>
      </c>
      <c r="V309" s="88" t="n"/>
      <c r="W309" s="88" t="n"/>
      <c r="X309" s="89">
        <f>IFERROR(IF(OR(V309="",W309="",T309=""),"", IF(T309&gt;W309,"Дорогий",IF(T309&lt;V309,"Дешевий","У ринку"))),"")</f>
        <v/>
      </c>
      <c r="Y309" s="90" t="n"/>
      <c r="Z309" s="104">
        <f>CHOOSE(MATCH(IF($U309="","Основний",$U309),{"Трафіковий","Основний","Маржинальний","Сезонний","Стратегічний"},0),0.16,0.19,0.24,0.23,0.28)</f>
        <v/>
      </c>
      <c r="AA309" s="104">
        <f>CHOOSE(MATCH(IF($U309="","Основний",$U309),{"Трафіковий","Основний","Маржинальний","Сезонний","Стратегічний"},0),0.18,0.21,0.26,0.25,0.3)</f>
        <v/>
      </c>
      <c r="AB309" s="104">
        <f>CHOOSE(MATCH(IF($U309="","Основний",$U309),{"Трафіковий","Основний","Маржинальний","Сезонний","Стратегічний"},0),0.19,0.22,0.28,0.26,0.32)</f>
        <v/>
      </c>
      <c r="AC309" s="104">
        <f>CHOOSE(MATCH(IF($U309="","Основний",$U309),{"Трафіковий","Основний","Маржинальний","Сезонний","Стратегічний"},0),0.17,0.2,0.25,0.24,0.28)</f>
        <v/>
      </c>
      <c r="AD309" s="104">
        <f>CHOOSE(MATCH(IF($U309="","Основний",$U309),{"Трафіковий","Основний","Маржинальний","Сезонний","Стратегічний"},0),0.18,0.21,0.26,0.25,0.3)</f>
        <v/>
      </c>
      <c r="AE309" s="104">
        <f>CHOOSE(MATCH(IF($U309="","Основний",$U309),{"Трафіковий","Основний","Маржинальний","Сезонний","Стратегічний"},0),0.18,0.2,0.28,0.27,0.32)</f>
        <v/>
      </c>
      <c r="AF309" s="104">
        <f>CHOOSE(MATCH(IF($U309="","Основний",$U309),{"Трафіковий","Основний","Маржинальний","Сезонний","Стратегічний"},0),0.15,0.175,0.22,0.21,0.25)</f>
        <v/>
      </c>
      <c r="AG309" s="104">
        <f>CHOOSE(MATCH(IF($U309="","Основний",$U309),{"Трафіковий","Основний","Маржинальний","Сезонний","Стратегічний"},0),0.13,0.16,0.21,0.2,0.25)</f>
        <v/>
      </c>
      <c r="AH309" s="104">
        <f>CHOOSE(MATCH(IF($U309="","Основний",$U309),{"Трафіковий","Основний","Маржинальний","Сезонний","Стратегічний"},0),0.15,0.18,0.23,0.22,0.27)</f>
        <v/>
      </c>
      <c r="AI309" s="104">
        <f>CHOOSE(MATCH(IF($U309="","Основний",$U309),{"Трафіковий","Основний","Маржинальний","Сезонний","Стратегічний"},0),0.16,0.19,0.25,0.23,0.29)</f>
        <v/>
      </c>
      <c r="AJ309" s="104">
        <f>CHOOSE(MATCH(IF($U309="","Основний",$U309),{"Трафіковий","Основний","Маржинальний","Сезонний","Стратегічний"},0),0.14,0.17,0.22,0.21,0.25)</f>
        <v/>
      </c>
      <c r="AK309" s="104">
        <f>CHOOSE(MATCH(IF($U309="","Основний",$U309),{"Трафіковий","Основний","Маржинальний","Сезонний","Стратегічний"},0),0.15,0.18,0.23,0.22,0.27)</f>
        <v/>
      </c>
      <c r="AL309" s="104">
        <f>CHOOSE(MATCH(IF($U309="","Основний",$U309),{"Трафіковий","Основний","Маржинальний","Сезонний","Стратегічний"},0),0.15,0.17,0.25,0.24,0.29)</f>
        <v/>
      </c>
      <c r="AM309" s="104">
        <f>CHOOSE(MATCH(IF($U309="","Основний",$U309),{"Трафіковий","Основний","Маржинальний","Сезонний","Стратегічний"},0),0.12,0.145,0.19,0.18,0.22)</f>
        <v/>
      </c>
      <c r="AN309" s="157">
        <f>CHOOSE(MATCH(IF($U309="","Основний",$U309),{"Трафіковий","Основний","Маржинальний","Сезонний","Стратегічний"},0),Settings!$B$78,Settings!$B$80,Settings!$B$82,Settings!$B$84,Settings!$B$86)</f>
        <v/>
      </c>
      <c r="AO309" s="157">
        <f>CHOOSE(MATCH(IF($U309="","Основний",$U309),{"Трафіковий","Основний","Маржинальний","Сезонний","Стратегічний"},0),Settings!$C$78,Settings!$C$80,Settings!$C$82,Settings!$C$84,Settings!$C$86)</f>
        <v/>
      </c>
      <c r="AP309" s="157">
        <f>CHOOSE(MATCH(IF($U309="","Основний",$U309),{"Трафіковий","Основний","Маржинальний","Сезонний","Стратегічний"},0),Settings!$D$78,Settings!$D$80,Settings!$D$82,Settings!$D$84,Settings!$D$86)</f>
        <v/>
      </c>
      <c r="AQ309" s="157">
        <f>CHOOSE(MATCH(IF($U309="","Основний",$U309),{"Трафіковий","Основний","Маржинальний","Сезонний","Стратегічний"},0),Settings!$F$78,Settings!$F$80,Settings!$F$82,Settings!$F$84,Settings!$F$86)</f>
        <v/>
      </c>
      <c r="AR309" s="157">
        <f>CHOOSE(MATCH(IF($U309="","Основний",$U309),{"Трафіковий","Основний","Маржинальний","Сезонний","Стратегічний"},0),Settings!$G$78,Settings!$G$80,Settings!$G$82,Settings!$G$84,Settings!$G$86)</f>
        <v/>
      </c>
      <c r="AS309" s="157">
        <f>CHOOSE(MATCH(IF($U309="","Основний",$U309),{"Трафіковий","Основний","Маржинальний","Сезонний","Стратегічний"},0),Settings!$H$78,Settings!$H$80,Settings!$H$82,Settings!$H$84,Settings!$H$86)</f>
        <v/>
      </c>
      <c r="AT309" s="157">
        <f>CHOOSE(MATCH(IF($U309="","Основний",$U309),{"Трафіковий","Основний","Маржинальний","Сезонний","Стратегічний"},0),Settings!$I$78,Settings!$I$80,Settings!$I$82,Settings!$I$84,Settings!$I$86)</f>
        <v/>
      </c>
      <c r="AU309" s="171" t="n"/>
      <c r="AV309" t="n">
        <v>1.35</v>
      </c>
    </row>
    <row r="310">
      <c r="A310" s="28" t="n"/>
      <c r="B310" s="29" t="inlineStr">
        <is>
          <t>P01810</t>
        </is>
      </c>
      <c r="C310" s="29" t="inlineStr">
        <is>
          <t>POWERCO.1S 10M 1,5MM RUBBER/NEOPRENE SCHUKO</t>
        </is>
      </c>
      <c r="D310" s="29" t="inlineStr">
        <is>
          <t>Пооджувачи та адаптери</t>
        </is>
      </c>
      <c r="E310" s="28" t="inlineStr">
        <is>
          <t>PC</t>
        </is>
      </c>
      <c r="F310" s="93" t="n">
        <v>11.593</v>
      </c>
      <c r="G310" s="30" t="n">
        <v>8544429090</v>
      </c>
      <c r="H310" s="31" t="n">
        <v>1.4</v>
      </c>
      <c r="I310" s="84">
        <f>IFERROR(F310*Settings!$B$2*H310*IF(AND(ISNUMBER(E310),E310&gt;1),E310,1),"")</f>
        <v/>
      </c>
      <c r="J310" s="32">
        <f>Settings!$B$66</f>
        <v/>
      </c>
      <c r="K310" s="95">
        <f>IFERROR(IF(T310="","",(T310*(1-AN310)*(1-Settings!$B$17)-I310)/(T310*(1-AN310)*(1-Settings!$B$17))),"")</f>
        <v/>
      </c>
      <c r="L310" s="101">
        <f>IFERROR(IF(T310="","",(T310*(1-AO310)*(1-Settings!$C$17)-I310)/(T310*(1-AO310)*(1-Settings!$C$17))),"")</f>
        <v/>
      </c>
      <c r="M310" s="101">
        <f>IFERROR(IF(T310="","",(T310*(1-AP310)*(1-Settings!$D$17)-I310)/(T310*(1-AP310)*(1-Settings!$D$17))),"")</f>
        <v/>
      </c>
      <c r="N310" s="101">
        <f>IFERROR(IF(T310="","",(T310*(1-AQ310)*(1-Settings!$F$17)-I310)/(T310*(1-AQ310)*(1-Settings!$F$17))),"")</f>
        <v/>
      </c>
      <c r="O310" s="101">
        <f>IFERROR(IF(T310="","",(T310*(1-AR310)*(1-Settings!$G$17)-I310)/(T310*(1-AR310)*(1-Settings!$G$17))),"")</f>
        <v/>
      </c>
      <c r="P310" s="101">
        <f>IFERROR(IF(T310="","",(T310*(1-AS310)*(1-Settings!$H$17)-I310)/(T310*(1-AS310)*(1-Settings!$H$17))),"")</f>
        <v/>
      </c>
      <c r="Q310" s="101">
        <f>IFERROR(IF(T310="","",(T310*(1-AT310)*(1-Settings!$I$68)*(1-Settings!$I$17)-I310)/(T310*(1-AT310)*(1-Settings!$I$68)*(1-Settings!$I$17))),"")</f>
        <v/>
      </c>
      <c r="R310" s="91">
        <f>IFERROR(IF(OR(I310="",Z310&gt;=1,Settings!$B$17&gt;=1,AN310&gt;=1),"",IF(MOD(ROUND(I310/(1-Z310)/(1-Settings!$B$17)/(1-AN310),0),10)=0,ROUND(I310/(1-Z310)/(1-Settings!$B$17)/(1-AN310),0)-1,IF(MOD(ROUND(I310/(1-Z310)/(1-Settings!$B$17)/(1-AN310),0),10)&lt;=5,FLOOR(ROUND(I310/(1-Z310)/(1-Settings!$B$17)/(1-AN310),0),10)+6,FLOOR(ROUND(I310/(1-Z310)/(1-Settings!$B$17)/(1-AN310),0),10)+9))),"")</f>
        <v/>
      </c>
      <c r="S310" s="174">
        <f>R310*0.95</f>
        <v/>
      </c>
      <c r="T310" s="91">
        <f>IF(S310&lt;&gt;"", IF(MOD(S310,10)=0,S310-1,IF(MOD(S310,10)&lt;=5,FLOOR(S310,10)+6,FLOOR(S310,10)+9)), R310)</f>
        <v/>
      </c>
      <c r="U310" s="87" t="inlineStr">
        <is>
          <t>Основний</t>
        </is>
      </c>
      <c r="V310" s="88" t="n"/>
      <c r="W310" s="88" t="n"/>
      <c r="X310" s="89">
        <f>IFERROR(IF(OR(V310="",W310="",T310=""),"", IF(T310&gt;W310,"Дорогий",IF(T310&lt;V310,"Дешевий","У ринку"))),"")</f>
        <v/>
      </c>
      <c r="Y310" s="90" t="n"/>
      <c r="Z310" s="104">
        <f>CHOOSE(MATCH(IF($U310="","Основний",$U310),{"Трафіковий","Основний","Маржинальний","Сезонний","Стратегічний"},0),0.16,0.19,0.24,0.23,0.28)</f>
        <v/>
      </c>
      <c r="AA310" s="104">
        <f>CHOOSE(MATCH(IF($U310="","Основний",$U310),{"Трафіковий","Основний","Маржинальний","Сезонний","Стратегічний"},0),0.18,0.21,0.26,0.25,0.3)</f>
        <v/>
      </c>
      <c r="AB310" s="104">
        <f>CHOOSE(MATCH(IF($U310="","Основний",$U310),{"Трафіковий","Основний","Маржинальний","Сезонний","Стратегічний"},0),0.19,0.22,0.28,0.26,0.32)</f>
        <v/>
      </c>
      <c r="AC310" s="104">
        <f>CHOOSE(MATCH(IF($U310="","Основний",$U310),{"Трафіковий","Основний","Маржинальний","Сезонний","Стратегічний"},0),0.17,0.2,0.25,0.24,0.28)</f>
        <v/>
      </c>
      <c r="AD310" s="104">
        <f>CHOOSE(MATCH(IF($U310="","Основний",$U310),{"Трафіковий","Основний","Маржинальний","Сезонний","Стратегічний"},0),0.18,0.21,0.26,0.25,0.3)</f>
        <v/>
      </c>
      <c r="AE310" s="104">
        <f>CHOOSE(MATCH(IF($U310="","Основний",$U310),{"Трафіковий","Основний","Маржинальний","Сезонний","Стратегічний"},0),0.18,0.2,0.28,0.27,0.32)</f>
        <v/>
      </c>
      <c r="AF310" s="104">
        <f>CHOOSE(MATCH(IF($U310="","Основний",$U310),{"Трафіковий","Основний","Маржинальний","Сезонний","Стратегічний"},0),0.15,0.175,0.22,0.21,0.25)</f>
        <v/>
      </c>
      <c r="AG310" s="104">
        <f>CHOOSE(MATCH(IF($U310="","Основний",$U310),{"Трафіковий","Основний","Маржинальний","Сезонний","Стратегічний"},0),0.13,0.16,0.21,0.2,0.25)</f>
        <v/>
      </c>
      <c r="AH310" s="104">
        <f>CHOOSE(MATCH(IF($U310="","Основний",$U310),{"Трафіковий","Основний","Маржинальний","Сезонний","Стратегічний"},0),0.15,0.18,0.23,0.22,0.27)</f>
        <v/>
      </c>
      <c r="AI310" s="104">
        <f>CHOOSE(MATCH(IF($U310="","Основний",$U310),{"Трафіковий","Основний","Маржинальний","Сезонний","Стратегічний"},0),0.16,0.19,0.25,0.23,0.29)</f>
        <v/>
      </c>
      <c r="AJ310" s="104">
        <f>CHOOSE(MATCH(IF($U310="","Основний",$U310),{"Трафіковий","Основний","Маржинальний","Сезонний","Стратегічний"},0),0.14,0.17,0.22,0.21,0.25)</f>
        <v/>
      </c>
      <c r="AK310" s="104">
        <f>CHOOSE(MATCH(IF($U310="","Основний",$U310),{"Трафіковий","Основний","Маржинальний","Сезонний","Стратегічний"},0),0.15,0.18,0.23,0.22,0.27)</f>
        <v/>
      </c>
      <c r="AL310" s="104">
        <f>CHOOSE(MATCH(IF($U310="","Основний",$U310),{"Трафіковий","Основний","Маржинальний","Сезонний","Стратегічний"},0),0.15,0.17,0.25,0.24,0.29)</f>
        <v/>
      </c>
      <c r="AM310" s="104">
        <f>CHOOSE(MATCH(IF($U310="","Основний",$U310),{"Трафіковий","Основний","Маржинальний","Сезонний","Стратегічний"},0),0.12,0.145,0.19,0.18,0.22)</f>
        <v/>
      </c>
      <c r="AN310" s="157">
        <f>CHOOSE(MATCH(IF($U310="","Основний",$U310),{"Трафіковий","Основний","Маржинальний","Сезонний","Стратегічний"},0),Settings!$B$78,Settings!$B$80,Settings!$B$82,Settings!$B$84,Settings!$B$86)</f>
        <v/>
      </c>
      <c r="AO310" s="157">
        <f>CHOOSE(MATCH(IF($U310="","Основний",$U310),{"Трафіковий","Основний","Маржинальний","Сезонний","Стратегічний"},0),Settings!$C$78,Settings!$C$80,Settings!$C$82,Settings!$C$84,Settings!$C$86)</f>
        <v/>
      </c>
      <c r="AP310" s="157">
        <f>CHOOSE(MATCH(IF($U310="","Основний",$U310),{"Трафіковий","Основний","Маржинальний","Сезонний","Стратегічний"},0),Settings!$D$78,Settings!$D$80,Settings!$D$82,Settings!$D$84,Settings!$D$86)</f>
        <v/>
      </c>
      <c r="AQ310" s="157">
        <f>CHOOSE(MATCH(IF($U310="","Основний",$U310),{"Трафіковий","Основний","Маржинальний","Сезонний","Стратегічний"},0),Settings!$F$78,Settings!$F$80,Settings!$F$82,Settings!$F$84,Settings!$F$86)</f>
        <v/>
      </c>
      <c r="AR310" s="157">
        <f>CHOOSE(MATCH(IF($U310="","Основний",$U310),{"Трафіковий","Основний","Маржинальний","Сезонний","Стратегічний"},0),Settings!$G$78,Settings!$G$80,Settings!$G$82,Settings!$G$84,Settings!$G$86)</f>
        <v/>
      </c>
      <c r="AS310" s="157">
        <f>CHOOSE(MATCH(IF($U310="","Основний",$U310),{"Трафіковий","Основний","Маржинальний","Сезонний","Стратегічний"},0),Settings!$H$78,Settings!$H$80,Settings!$H$82,Settings!$H$84,Settings!$H$86)</f>
        <v/>
      </c>
      <c r="AT310" s="157">
        <f>CHOOSE(MATCH(IF($U310="","Основний",$U310),{"Трафіковий","Основний","Маржинальний","Сезонний","Стратегічний"},0),Settings!$I$78,Settings!$I$80,Settings!$I$82,Settings!$I$84,Settings!$I$86)</f>
        <v/>
      </c>
      <c r="AU310" s="171" t="n"/>
      <c r="AV310" t="n">
        <v>1.35</v>
      </c>
    </row>
    <row r="311">
      <c r="A311" s="33" t="n"/>
      <c r="B311" s="34" t="inlineStr">
        <is>
          <t>P01820</t>
        </is>
      </c>
      <c r="C311" s="34" t="inlineStr">
        <is>
          <t>POWERCO.1S 20M 1,5MM RUBBER/NEOPRENE SCHUKO</t>
        </is>
      </c>
      <c r="D311" s="34" t="inlineStr">
        <is>
          <t>Пооджувачи та адаптери</t>
        </is>
      </c>
      <c r="E311" s="33" t="inlineStr">
        <is>
          <t>PC</t>
        </is>
      </c>
      <c r="F311" s="94" t="n">
        <v>21.01</v>
      </c>
      <c r="G311" s="35" t="n">
        <v>8544429090</v>
      </c>
      <c r="H311" s="31" t="n">
        <v>1.4</v>
      </c>
      <c r="I311" s="84">
        <f>IFERROR(F311*Settings!$B$2*H311*IF(AND(ISNUMBER(E311),E311&gt;1),E311,1),"")</f>
        <v/>
      </c>
      <c r="J311" s="32">
        <f>Settings!$B$66</f>
        <v/>
      </c>
      <c r="K311" s="95">
        <f>IFERROR(IF(T311="","",(T311*(1-AN311)*(1-Settings!$B$17)-I311)/(T311*(1-AN311)*(1-Settings!$B$17))),"")</f>
        <v/>
      </c>
      <c r="L311" s="101">
        <f>IFERROR(IF(T311="","",(T311*(1-AO311)*(1-Settings!$C$17)-I311)/(T311*(1-AO311)*(1-Settings!$C$17))),"")</f>
        <v/>
      </c>
      <c r="M311" s="101">
        <f>IFERROR(IF(T311="","",(T311*(1-AP311)*(1-Settings!$D$17)-I311)/(T311*(1-AP311)*(1-Settings!$D$17))),"")</f>
        <v/>
      </c>
      <c r="N311" s="101">
        <f>IFERROR(IF(T311="","",(T311*(1-AQ311)*(1-Settings!$F$17)-I311)/(T311*(1-AQ311)*(1-Settings!$F$17))),"")</f>
        <v/>
      </c>
      <c r="O311" s="101">
        <f>IFERROR(IF(T311="","",(T311*(1-AR311)*(1-Settings!$G$17)-I311)/(T311*(1-AR311)*(1-Settings!$G$17))),"")</f>
        <v/>
      </c>
      <c r="P311" s="101">
        <f>IFERROR(IF(T311="","",(T311*(1-AS311)*(1-Settings!$H$17)-I311)/(T311*(1-AS311)*(1-Settings!$H$17))),"")</f>
        <v/>
      </c>
      <c r="Q311" s="101">
        <f>IFERROR(IF(T311="","",(T311*(1-AT311)*(1-Settings!$I$68)*(1-Settings!$I$17)-I311)/(T311*(1-AT311)*(1-Settings!$I$68)*(1-Settings!$I$17))),"")</f>
        <v/>
      </c>
      <c r="R311" s="91">
        <f>IFERROR(IF(OR(I311="",Z311&gt;=1,Settings!$B$17&gt;=1,AN311&gt;=1),"",IF(MOD(ROUND(I311/(1-Z311)/(1-Settings!$B$17)/(1-AN311),0),10)=0,ROUND(I311/(1-Z311)/(1-Settings!$B$17)/(1-AN311),0)-1,IF(MOD(ROUND(I311/(1-Z311)/(1-Settings!$B$17)/(1-AN311),0),10)&lt;=5,FLOOR(ROUND(I311/(1-Z311)/(1-Settings!$B$17)/(1-AN311),0),10)+6,FLOOR(ROUND(I311/(1-Z311)/(1-Settings!$B$17)/(1-AN311),0),10)+9))),"")</f>
        <v/>
      </c>
      <c r="S311" s="174" t="n">
        <v>2500</v>
      </c>
      <c r="T311" s="91">
        <f>IF(S311&lt;&gt;"", IF(MOD(S311,10)=0,S311-1,IF(MOD(S311,10)&lt;=5,FLOOR(S311,10)+6,FLOOR(S311,10)+9)), R311)</f>
        <v/>
      </c>
      <c r="U311" s="87" t="inlineStr">
        <is>
          <t>Трафіковий</t>
        </is>
      </c>
      <c r="V311" s="88" t="n"/>
      <c r="W311" s="88" t="n"/>
      <c r="X311" s="89">
        <f>IFERROR(IF(OR(V311="",W311="",T311=""),"", IF(T311&gt;W311,"Дорогий",IF(T311&lt;V311,"Дешевий","У ринку"))),"")</f>
        <v/>
      </c>
      <c r="Y311" s="90" t="n"/>
      <c r="Z311" s="104">
        <f>CHOOSE(MATCH(IF($U311="","Основний",$U311),{"Трафіковий","Основний","Маржинальний","Сезонний","Стратегічний"},0),0.16,0.19,0.24,0.23,0.28)</f>
        <v/>
      </c>
      <c r="AA311" s="104">
        <f>CHOOSE(MATCH(IF($U311="","Основний",$U311),{"Трафіковий","Основний","Маржинальний","Сезонний","Стратегічний"},0),0.18,0.21,0.26,0.25,0.3)</f>
        <v/>
      </c>
      <c r="AB311" s="104">
        <f>CHOOSE(MATCH(IF($U311="","Основний",$U311),{"Трафіковий","Основний","Маржинальний","Сезонний","Стратегічний"},0),0.19,0.22,0.28,0.26,0.32)</f>
        <v/>
      </c>
      <c r="AC311" s="104">
        <f>CHOOSE(MATCH(IF($U311="","Основний",$U311),{"Трафіковий","Основний","Маржинальний","Сезонний","Стратегічний"},0),0.17,0.2,0.25,0.24,0.28)</f>
        <v/>
      </c>
      <c r="AD311" s="104">
        <f>CHOOSE(MATCH(IF($U311="","Основний",$U311),{"Трафіковий","Основний","Маржинальний","Сезонний","Стратегічний"},0),0.18,0.21,0.26,0.25,0.3)</f>
        <v/>
      </c>
      <c r="AE311" s="104">
        <f>CHOOSE(MATCH(IF($U311="","Основний",$U311),{"Трафіковий","Основний","Маржинальний","Сезонний","Стратегічний"},0),0.18,0.2,0.28,0.27,0.32)</f>
        <v/>
      </c>
      <c r="AF311" s="104">
        <f>CHOOSE(MATCH(IF($U311="","Основний",$U311),{"Трафіковий","Основний","Маржинальний","Сезонний","Стратегічний"},0),0.15,0.175,0.22,0.21,0.25)</f>
        <v/>
      </c>
      <c r="AG311" s="104">
        <f>CHOOSE(MATCH(IF($U311="","Основний",$U311),{"Трафіковий","Основний","Маржинальний","Сезонний","Стратегічний"},0),0.13,0.16,0.21,0.2,0.25)</f>
        <v/>
      </c>
      <c r="AH311" s="104">
        <f>CHOOSE(MATCH(IF($U311="","Основний",$U311),{"Трафіковий","Основний","Маржинальний","Сезонний","Стратегічний"},0),0.15,0.18,0.23,0.22,0.27)</f>
        <v/>
      </c>
      <c r="AI311" s="104">
        <f>CHOOSE(MATCH(IF($U311="","Основний",$U311),{"Трафіковий","Основний","Маржинальний","Сезонний","Стратегічний"},0),0.16,0.19,0.25,0.23,0.29)</f>
        <v/>
      </c>
      <c r="AJ311" s="104">
        <f>CHOOSE(MATCH(IF($U311="","Основний",$U311),{"Трафіковий","Основний","Маржинальний","Сезонний","Стратегічний"},0),0.14,0.17,0.22,0.21,0.25)</f>
        <v/>
      </c>
      <c r="AK311" s="104">
        <f>CHOOSE(MATCH(IF($U311="","Основний",$U311),{"Трафіковий","Основний","Маржинальний","Сезонний","Стратегічний"},0),0.15,0.18,0.23,0.22,0.27)</f>
        <v/>
      </c>
      <c r="AL311" s="104">
        <f>CHOOSE(MATCH(IF($U311="","Основний",$U311),{"Трафіковий","Основний","Маржинальний","Сезонний","Стратегічний"},0),0.15,0.17,0.25,0.24,0.29)</f>
        <v/>
      </c>
      <c r="AM311" s="104">
        <f>CHOOSE(MATCH(IF($U311="","Основний",$U311),{"Трафіковий","Основний","Маржинальний","Сезонний","Стратегічний"},0),0.12,0.145,0.19,0.18,0.22)</f>
        <v/>
      </c>
      <c r="AN311" s="157">
        <f>CHOOSE(MATCH(IF($U311="","Основний",$U311),{"Трафіковий","Основний","Маржинальний","Сезонний","Стратегічний"},0),Settings!$B$78,Settings!$B$80,Settings!$B$82,Settings!$B$84,Settings!$B$86)</f>
        <v/>
      </c>
      <c r="AO311" s="157">
        <f>CHOOSE(MATCH(IF($U311="","Основний",$U311),{"Трафіковий","Основний","Маржинальний","Сезонний","Стратегічний"},0),Settings!$C$78,Settings!$C$80,Settings!$C$82,Settings!$C$84,Settings!$C$86)</f>
        <v/>
      </c>
      <c r="AP311" s="157">
        <f>CHOOSE(MATCH(IF($U311="","Основний",$U311),{"Трафіковий","Основний","Маржинальний","Сезонний","Стратегічний"},0),Settings!$D$78,Settings!$D$80,Settings!$D$82,Settings!$D$84,Settings!$D$86)</f>
        <v/>
      </c>
      <c r="AQ311" s="157">
        <f>CHOOSE(MATCH(IF($U311="","Основний",$U311),{"Трафіковий","Основний","Маржинальний","Сезонний","Стратегічний"},0),Settings!$F$78,Settings!$F$80,Settings!$F$82,Settings!$F$84,Settings!$F$86)</f>
        <v/>
      </c>
      <c r="AR311" s="157">
        <f>CHOOSE(MATCH(IF($U311="","Основний",$U311),{"Трафіковий","Основний","Маржинальний","Сезонний","Стратегічний"},0),Settings!$G$78,Settings!$G$80,Settings!$G$82,Settings!$G$84,Settings!$G$86)</f>
        <v/>
      </c>
      <c r="AS311" s="157">
        <f>CHOOSE(MATCH(IF($U311="","Основний",$U311),{"Трафіковий","Основний","Маржинальний","Сезонний","Стратегічний"},0),Settings!$H$78,Settings!$H$80,Settings!$H$82,Settings!$H$84,Settings!$H$86)</f>
        <v/>
      </c>
      <c r="AT311" s="157">
        <f>CHOOSE(MATCH(IF($U311="","Основний",$U311),{"Трафіковий","Основний","Маржинальний","Сезонний","Стратегічний"},0),Settings!$I$78,Settings!$I$80,Settings!$I$82,Settings!$I$84,Settings!$I$86)</f>
        <v/>
      </c>
      <c r="AU311" s="171" t="n"/>
      <c r="AV311" t="n">
        <v>1.35</v>
      </c>
    </row>
    <row r="312">
      <c r="A312" s="28" t="n"/>
      <c r="B312" s="29" t="inlineStr">
        <is>
          <t>P01830</t>
        </is>
      </c>
      <c r="C312" s="29" t="inlineStr">
        <is>
          <t>POWERCO.1S 30M 1,5MM RUBBER/NEOPRENE SCHUKO</t>
        </is>
      </c>
      <c r="D312" s="29" t="inlineStr">
        <is>
          <t>Пооджувачи та адаптери</t>
        </is>
      </c>
      <c r="E312" s="28" t="inlineStr">
        <is>
          <t>PC</t>
        </is>
      </c>
      <c r="F312" s="93" t="n">
        <v>30.837</v>
      </c>
      <c r="G312" s="30" t="n">
        <v>8544429090</v>
      </c>
      <c r="H312" s="31" t="n">
        <v>1.4</v>
      </c>
      <c r="I312" s="84">
        <f>IFERROR(F312*Settings!$B$2*H312*IF(AND(ISNUMBER(E312),E312&gt;1),E312,1),"")</f>
        <v/>
      </c>
      <c r="J312" s="32">
        <f>Settings!$B$66</f>
        <v/>
      </c>
      <c r="K312" s="95">
        <f>IFERROR(IF(T312="","",(T312*(1-AN312)*(1-Settings!$B$17)-I312)/(T312*(1-AN312)*(1-Settings!$B$17))),"")</f>
        <v/>
      </c>
      <c r="L312" s="101">
        <f>IFERROR(IF(T312="","",(T312*(1-AO312)*(1-Settings!$C$17)-I312)/(T312*(1-AO312)*(1-Settings!$C$17))),"")</f>
        <v/>
      </c>
      <c r="M312" s="101">
        <f>IFERROR(IF(T312="","",(T312*(1-AP312)*(1-Settings!$D$17)-I312)/(T312*(1-AP312)*(1-Settings!$D$17))),"")</f>
        <v/>
      </c>
      <c r="N312" s="101">
        <f>IFERROR(IF(T312="","",(T312*(1-AQ312)*(1-Settings!$F$17)-I312)/(T312*(1-AQ312)*(1-Settings!$F$17))),"")</f>
        <v/>
      </c>
      <c r="O312" s="101">
        <f>IFERROR(IF(T312="","",(T312*(1-AR312)*(1-Settings!$G$17)-I312)/(T312*(1-AR312)*(1-Settings!$G$17))),"")</f>
        <v/>
      </c>
      <c r="P312" s="101">
        <f>IFERROR(IF(T312="","",(T312*(1-AS312)*(1-Settings!$H$17)-I312)/(T312*(1-AS312)*(1-Settings!$H$17))),"")</f>
        <v/>
      </c>
      <c r="Q312" s="101">
        <f>IFERROR(IF(T312="","",(T312*(1-AT312)*(1-Settings!$I$68)*(1-Settings!$I$17)-I312)/(T312*(1-AT312)*(1-Settings!$I$68)*(1-Settings!$I$17))),"")</f>
        <v/>
      </c>
      <c r="R312" s="91">
        <f>IFERROR(IF(OR(I312="",Z312&gt;=1,Settings!$B$17&gt;=1,AN312&gt;=1),"",IF(MOD(ROUND(I312/(1-Z312)/(1-Settings!$B$17)/(1-AN312),0),10)=0,ROUND(I312/(1-Z312)/(1-Settings!$B$17)/(1-AN312),0)-1,IF(MOD(ROUND(I312/(1-Z312)/(1-Settings!$B$17)/(1-AN312),0),10)&lt;=5,FLOOR(ROUND(I312/(1-Z312)/(1-Settings!$B$17)/(1-AN312),0),10)+6,FLOOR(ROUND(I312/(1-Z312)/(1-Settings!$B$17)/(1-AN312),0),10)+9))),"")</f>
        <v/>
      </c>
      <c r="S312" s="174" t="n">
        <v>3600</v>
      </c>
      <c r="T312" s="91">
        <f>IF(S312&lt;&gt;"", IF(MOD(S312,10)=0,S312-1,IF(MOD(S312,10)&lt;=5,FLOOR(S312,10)+6,FLOOR(S312,10)+9)), R312)</f>
        <v/>
      </c>
      <c r="U312" s="87" t="inlineStr">
        <is>
          <t>Трафіковий</t>
        </is>
      </c>
      <c r="V312" s="88" t="n"/>
      <c r="W312" s="88" t="n"/>
      <c r="X312" s="89">
        <f>IFERROR(IF(OR(V312="",W312="",T312=""),"", IF(T312&gt;W312,"Дорогий",IF(T312&lt;V312,"Дешевий","У ринку"))),"")</f>
        <v/>
      </c>
      <c r="Y312" s="90" t="n"/>
      <c r="Z312" s="104">
        <f>CHOOSE(MATCH(IF($U312="","Основний",$U312),{"Трафіковий","Основний","Маржинальний","Сезонний","Стратегічний"},0),0.16,0.19,0.24,0.23,0.28)</f>
        <v/>
      </c>
      <c r="AA312" s="104">
        <f>CHOOSE(MATCH(IF($U312="","Основний",$U312),{"Трафіковий","Основний","Маржинальний","Сезонний","Стратегічний"},0),0.18,0.21,0.26,0.25,0.3)</f>
        <v/>
      </c>
      <c r="AB312" s="104">
        <f>CHOOSE(MATCH(IF($U312="","Основний",$U312),{"Трафіковий","Основний","Маржинальний","Сезонний","Стратегічний"},0),0.19,0.22,0.28,0.26,0.32)</f>
        <v/>
      </c>
      <c r="AC312" s="104">
        <f>CHOOSE(MATCH(IF($U312="","Основний",$U312),{"Трафіковий","Основний","Маржинальний","Сезонний","Стратегічний"},0),0.17,0.2,0.25,0.24,0.28)</f>
        <v/>
      </c>
      <c r="AD312" s="104">
        <f>CHOOSE(MATCH(IF($U312="","Основний",$U312),{"Трафіковий","Основний","Маржинальний","Сезонний","Стратегічний"},0),0.18,0.21,0.26,0.25,0.3)</f>
        <v/>
      </c>
      <c r="AE312" s="104">
        <f>CHOOSE(MATCH(IF($U312="","Основний",$U312),{"Трафіковий","Основний","Маржинальний","Сезонний","Стратегічний"},0),0.18,0.2,0.28,0.27,0.32)</f>
        <v/>
      </c>
      <c r="AF312" s="104">
        <f>CHOOSE(MATCH(IF($U312="","Основний",$U312),{"Трафіковий","Основний","Маржинальний","Сезонний","Стратегічний"},0),0.15,0.175,0.22,0.21,0.25)</f>
        <v/>
      </c>
      <c r="AG312" s="104">
        <f>CHOOSE(MATCH(IF($U312="","Основний",$U312),{"Трафіковий","Основний","Маржинальний","Сезонний","Стратегічний"},0),0.13,0.16,0.21,0.2,0.25)</f>
        <v/>
      </c>
      <c r="AH312" s="104">
        <f>CHOOSE(MATCH(IF($U312="","Основний",$U312),{"Трафіковий","Основний","Маржинальний","Сезонний","Стратегічний"},0),0.15,0.18,0.23,0.22,0.27)</f>
        <v/>
      </c>
      <c r="AI312" s="104">
        <f>CHOOSE(MATCH(IF($U312="","Основний",$U312),{"Трафіковий","Основний","Маржинальний","Сезонний","Стратегічний"},0),0.16,0.19,0.25,0.23,0.29)</f>
        <v/>
      </c>
      <c r="AJ312" s="104">
        <f>CHOOSE(MATCH(IF($U312="","Основний",$U312),{"Трафіковий","Основний","Маржинальний","Сезонний","Стратегічний"},0),0.14,0.17,0.22,0.21,0.25)</f>
        <v/>
      </c>
      <c r="AK312" s="104">
        <f>CHOOSE(MATCH(IF($U312="","Основний",$U312),{"Трафіковий","Основний","Маржинальний","Сезонний","Стратегічний"},0),0.15,0.18,0.23,0.22,0.27)</f>
        <v/>
      </c>
      <c r="AL312" s="104">
        <f>CHOOSE(MATCH(IF($U312="","Основний",$U312),{"Трафіковий","Основний","Маржинальний","Сезонний","Стратегічний"},0),0.15,0.17,0.25,0.24,0.29)</f>
        <v/>
      </c>
      <c r="AM312" s="104">
        <f>CHOOSE(MATCH(IF($U312="","Основний",$U312),{"Трафіковий","Основний","Маржинальний","Сезонний","Стратегічний"},0),0.12,0.145,0.19,0.18,0.22)</f>
        <v/>
      </c>
      <c r="AN312" s="157">
        <f>CHOOSE(MATCH(IF($U312="","Основний",$U312),{"Трафіковий","Основний","Маржинальний","Сезонний","Стратегічний"},0),Settings!$B$78,Settings!$B$80,Settings!$B$82,Settings!$B$84,Settings!$B$86)</f>
        <v/>
      </c>
      <c r="AO312" s="157">
        <f>CHOOSE(MATCH(IF($U312="","Основний",$U312),{"Трафіковий","Основний","Маржинальний","Сезонний","Стратегічний"},0),Settings!$C$78,Settings!$C$80,Settings!$C$82,Settings!$C$84,Settings!$C$86)</f>
        <v/>
      </c>
      <c r="AP312" s="157">
        <f>CHOOSE(MATCH(IF($U312="","Основний",$U312),{"Трафіковий","Основний","Маржинальний","Сезонний","Стратегічний"},0),Settings!$D$78,Settings!$D$80,Settings!$D$82,Settings!$D$84,Settings!$D$86)</f>
        <v/>
      </c>
      <c r="AQ312" s="157">
        <f>CHOOSE(MATCH(IF($U312="","Основний",$U312),{"Трафіковий","Основний","Маржинальний","Сезонний","Стратегічний"},0),Settings!$F$78,Settings!$F$80,Settings!$F$82,Settings!$F$84,Settings!$F$86)</f>
        <v/>
      </c>
      <c r="AR312" s="157">
        <f>CHOOSE(MATCH(IF($U312="","Основний",$U312),{"Трафіковий","Основний","Маржинальний","Сезонний","Стратегічний"},0),Settings!$G$78,Settings!$G$80,Settings!$G$82,Settings!$G$84,Settings!$G$86)</f>
        <v/>
      </c>
      <c r="AS312" s="157">
        <f>CHOOSE(MATCH(IF($U312="","Основний",$U312),{"Трафіковий","Основний","Маржинальний","Сезонний","Стратегічний"},0),Settings!$H$78,Settings!$H$80,Settings!$H$82,Settings!$H$84,Settings!$H$86)</f>
        <v/>
      </c>
      <c r="AT312" s="157">
        <f>CHOOSE(MATCH(IF($U312="","Основний",$U312),{"Трафіковий","Основний","Маржинальний","Сезонний","Стратегічний"},0),Settings!$I$78,Settings!$I$80,Settings!$I$82,Settings!$I$84,Settings!$I$86)</f>
        <v/>
      </c>
      <c r="AU312" s="171" t="n"/>
      <c r="AV312" t="n">
        <v>1.35</v>
      </c>
    </row>
    <row r="313">
      <c r="A313" s="33" t="n"/>
      <c r="B313" s="34" t="inlineStr">
        <is>
          <t>P01810R</t>
        </is>
      </c>
      <c r="C313" s="34" t="inlineStr">
        <is>
          <t>POWERCO.1S 10M 2,5MM RUBBER/NEOPRENE SCHUKO</t>
        </is>
      </c>
      <c r="D313" s="34" t="inlineStr">
        <is>
          <t>Пооджувачи та адаптери</t>
        </is>
      </c>
      <c r="E313" s="33" t="inlineStr">
        <is>
          <t>PC</t>
        </is>
      </c>
      <c r="F313" s="94" t="n">
        <v>17.999</v>
      </c>
      <c r="G313" s="35" t="n">
        <v>8544429090</v>
      </c>
      <c r="H313" s="31" t="n">
        <v>1.4</v>
      </c>
      <c r="I313" s="84">
        <f>IFERROR(F313*Settings!$B$2*H313*IF(AND(ISNUMBER(E313),E313&gt;1),E313,1),"")</f>
        <v/>
      </c>
      <c r="J313" s="32">
        <f>Settings!$B$66</f>
        <v/>
      </c>
      <c r="K313" s="95">
        <f>IFERROR(IF(T313="","",(T313*(1-AN313)*(1-Settings!$B$17)-I313)/(T313*(1-AN313)*(1-Settings!$B$17))),"")</f>
        <v/>
      </c>
      <c r="L313" s="101">
        <f>IFERROR(IF(T313="","",(T313*(1-AO313)*(1-Settings!$C$17)-I313)/(T313*(1-AO313)*(1-Settings!$C$17))),"")</f>
        <v/>
      </c>
      <c r="M313" s="101">
        <f>IFERROR(IF(T313="","",(T313*(1-AP313)*(1-Settings!$D$17)-I313)/(T313*(1-AP313)*(1-Settings!$D$17))),"")</f>
        <v/>
      </c>
      <c r="N313" s="101">
        <f>IFERROR(IF(T313="","",(T313*(1-AQ313)*(1-Settings!$F$17)-I313)/(T313*(1-AQ313)*(1-Settings!$F$17))),"")</f>
        <v/>
      </c>
      <c r="O313" s="101">
        <f>IFERROR(IF(T313="","",(T313*(1-AR313)*(1-Settings!$G$17)-I313)/(T313*(1-AR313)*(1-Settings!$G$17))),"")</f>
        <v/>
      </c>
      <c r="P313" s="101">
        <f>IFERROR(IF(T313="","",(T313*(1-AS313)*(1-Settings!$H$17)-I313)/(T313*(1-AS313)*(1-Settings!$H$17))),"")</f>
        <v/>
      </c>
      <c r="Q313" s="101">
        <f>IFERROR(IF(T313="","",(T313*(1-AT313)*(1-Settings!$I$68)*(1-Settings!$I$17)-I313)/(T313*(1-AT313)*(1-Settings!$I$68)*(1-Settings!$I$17))),"")</f>
        <v/>
      </c>
      <c r="R313" s="91">
        <f>IFERROR(IF(OR(I313="",Z313&gt;=1,Settings!$B$17&gt;=1,AN313&gt;=1),"",IF(MOD(ROUND(I313/(1-Z313)/(1-Settings!$B$17)/(1-AN313),0),10)=0,ROUND(I313/(1-Z313)/(1-Settings!$B$17)/(1-AN313),0)-1,IF(MOD(ROUND(I313/(1-Z313)/(1-Settings!$B$17)/(1-AN313),0),10)&lt;=5,FLOOR(ROUND(I313/(1-Z313)/(1-Settings!$B$17)/(1-AN313),0),10)+6,FLOOR(ROUND(I313/(1-Z313)/(1-Settings!$B$17)/(1-AN313),0),10)+9))),"")</f>
        <v/>
      </c>
      <c r="S313" s="174">
        <f>R313*0.95</f>
        <v/>
      </c>
      <c r="T313" s="91">
        <f>IF(S313&lt;&gt;"", IF(MOD(S313,10)=0,S313-1,IF(MOD(S313,10)&lt;=5,FLOOR(S313,10)+6,FLOOR(S313,10)+9)), R313)</f>
        <v/>
      </c>
      <c r="U313" s="87" t="inlineStr">
        <is>
          <t>Основний</t>
        </is>
      </c>
      <c r="V313" s="88" t="n"/>
      <c r="W313" s="88" t="n"/>
      <c r="X313" s="89">
        <f>IFERROR(IF(OR(V313="",W313="",T313=""),"", IF(T313&gt;W313,"Дорогий",IF(T313&lt;V313,"Дешевий","У ринку"))),"")</f>
        <v/>
      </c>
      <c r="Y313" s="90" t="n"/>
      <c r="Z313" s="104">
        <f>CHOOSE(MATCH(IF($U313="","Основний",$U313),{"Трафіковий","Основний","Маржинальний","Сезонний","Стратегічний"},0),0.16,0.19,0.24,0.23,0.28)</f>
        <v/>
      </c>
      <c r="AA313" s="104">
        <f>CHOOSE(MATCH(IF($U313="","Основний",$U313),{"Трафіковий","Основний","Маржинальний","Сезонний","Стратегічний"},0),0.18,0.21,0.26,0.25,0.3)</f>
        <v/>
      </c>
      <c r="AB313" s="104">
        <f>CHOOSE(MATCH(IF($U313="","Основний",$U313),{"Трафіковий","Основний","Маржинальний","Сезонний","Стратегічний"},0),0.19,0.22,0.28,0.26,0.32)</f>
        <v/>
      </c>
      <c r="AC313" s="104">
        <f>CHOOSE(MATCH(IF($U313="","Основний",$U313),{"Трафіковий","Основний","Маржинальний","Сезонний","Стратегічний"},0),0.17,0.2,0.25,0.24,0.28)</f>
        <v/>
      </c>
      <c r="AD313" s="104">
        <f>CHOOSE(MATCH(IF($U313="","Основний",$U313),{"Трафіковий","Основний","Маржинальний","Сезонний","Стратегічний"},0),0.18,0.21,0.26,0.25,0.3)</f>
        <v/>
      </c>
      <c r="AE313" s="104">
        <f>CHOOSE(MATCH(IF($U313="","Основний",$U313),{"Трафіковий","Основний","Маржинальний","Сезонний","Стратегічний"},0),0.18,0.2,0.28,0.27,0.32)</f>
        <v/>
      </c>
      <c r="AF313" s="104">
        <f>CHOOSE(MATCH(IF($U313="","Основний",$U313),{"Трафіковий","Основний","Маржинальний","Сезонний","Стратегічний"},0),0.15,0.175,0.22,0.21,0.25)</f>
        <v/>
      </c>
      <c r="AG313" s="104">
        <f>CHOOSE(MATCH(IF($U313="","Основний",$U313),{"Трафіковий","Основний","Маржинальний","Сезонний","Стратегічний"},0),0.13,0.16,0.21,0.2,0.25)</f>
        <v/>
      </c>
      <c r="AH313" s="104">
        <f>CHOOSE(MATCH(IF($U313="","Основний",$U313),{"Трафіковий","Основний","Маржинальний","Сезонний","Стратегічний"},0),0.15,0.18,0.23,0.22,0.27)</f>
        <v/>
      </c>
      <c r="AI313" s="104">
        <f>CHOOSE(MATCH(IF($U313="","Основний",$U313),{"Трафіковий","Основний","Маржинальний","Сезонний","Стратегічний"},0),0.16,0.19,0.25,0.23,0.29)</f>
        <v/>
      </c>
      <c r="AJ313" s="104">
        <f>CHOOSE(MATCH(IF($U313="","Основний",$U313),{"Трафіковий","Основний","Маржинальний","Сезонний","Стратегічний"},0),0.14,0.17,0.22,0.21,0.25)</f>
        <v/>
      </c>
      <c r="AK313" s="104">
        <f>CHOOSE(MATCH(IF($U313="","Основний",$U313),{"Трафіковий","Основний","Маржинальний","Сезонний","Стратегічний"},0),0.15,0.18,0.23,0.22,0.27)</f>
        <v/>
      </c>
      <c r="AL313" s="104">
        <f>CHOOSE(MATCH(IF($U313="","Основний",$U313),{"Трафіковий","Основний","Маржинальний","Сезонний","Стратегічний"},0),0.15,0.17,0.25,0.24,0.29)</f>
        <v/>
      </c>
      <c r="AM313" s="104">
        <f>CHOOSE(MATCH(IF($U313="","Основний",$U313),{"Трафіковий","Основний","Маржинальний","Сезонний","Стратегічний"},0),0.12,0.145,0.19,0.18,0.22)</f>
        <v/>
      </c>
      <c r="AN313" s="157">
        <f>CHOOSE(MATCH(IF($U313="","Основний",$U313),{"Трафіковий","Основний","Маржинальний","Сезонний","Стратегічний"},0),Settings!$B$78,Settings!$B$80,Settings!$B$82,Settings!$B$84,Settings!$B$86)</f>
        <v/>
      </c>
      <c r="AO313" s="157">
        <f>CHOOSE(MATCH(IF($U313="","Основний",$U313),{"Трафіковий","Основний","Маржинальний","Сезонний","Стратегічний"},0),Settings!$C$78,Settings!$C$80,Settings!$C$82,Settings!$C$84,Settings!$C$86)</f>
        <v/>
      </c>
      <c r="AP313" s="157">
        <f>CHOOSE(MATCH(IF($U313="","Основний",$U313),{"Трафіковий","Основний","Маржинальний","Сезонний","Стратегічний"},0),Settings!$D$78,Settings!$D$80,Settings!$D$82,Settings!$D$84,Settings!$D$86)</f>
        <v/>
      </c>
      <c r="AQ313" s="157">
        <f>CHOOSE(MATCH(IF($U313="","Основний",$U313),{"Трафіковий","Основний","Маржинальний","Сезонний","Стратегічний"},0),Settings!$F$78,Settings!$F$80,Settings!$F$82,Settings!$F$84,Settings!$F$86)</f>
        <v/>
      </c>
      <c r="AR313" s="157">
        <f>CHOOSE(MATCH(IF($U313="","Основний",$U313),{"Трафіковий","Основний","Маржинальний","Сезонний","Стратегічний"},0),Settings!$G$78,Settings!$G$80,Settings!$G$82,Settings!$G$84,Settings!$G$86)</f>
        <v/>
      </c>
      <c r="AS313" s="157">
        <f>CHOOSE(MATCH(IF($U313="","Основний",$U313),{"Трафіковий","Основний","Маржинальний","Сезонний","Стратегічний"},0),Settings!$H$78,Settings!$H$80,Settings!$H$82,Settings!$H$84,Settings!$H$86)</f>
        <v/>
      </c>
      <c r="AT313" s="157">
        <f>CHOOSE(MATCH(IF($U313="","Основний",$U313),{"Трафіковий","Основний","Маржинальний","Сезонний","Стратегічний"},0),Settings!$I$78,Settings!$I$80,Settings!$I$82,Settings!$I$84,Settings!$I$86)</f>
        <v/>
      </c>
      <c r="AU313" s="171" t="n"/>
      <c r="AV313" t="n">
        <v>1.35</v>
      </c>
    </row>
    <row r="314">
      <c r="A314" s="28" t="n"/>
      <c r="B314" s="29" t="inlineStr">
        <is>
          <t>P01825R</t>
        </is>
      </c>
      <c r="C314" s="29" t="inlineStr">
        <is>
          <t>POWERCO.1S 25M 2,5MM RUBBER/NEOPRENE SCHUKO</t>
        </is>
      </c>
      <c r="D314" s="29" t="inlineStr">
        <is>
          <t>Пооджувачи та адаптери</t>
        </is>
      </c>
      <c r="E314" s="28" t="inlineStr">
        <is>
          <t>PC</t>
        </is>
      </c>
      <c r="F314" s="93" t="n">
        <v>44.237</v>
      </c>
      <c r="G314" s="30" t="n">
        <v>8544429090</v>
      </c>
      <c r="H314" s="31" t="n">
        <v>1.4</v>
      </c>
      <c r="I314" s="84">
        <f>IFERROR(F314*Settings!$B$2*H314*IF(AND(ISNUMBER(E314),E314&gt;1),E314,1),"")</f>
        <v/>
      </c>
      <c r="J314" s="32">
        <f>Settings!$B$66</f>
        <v/>
      </c>
      <c r="K314" s="95">
        <f>IFERROR(IF(T314="","",(T314*(1-AN314)*(1-Settings!$B$17)-I314)/(T314*(1-AN314)*(1-Settings!$B$17))),"")</f>
        <v/>
      </c>
      <c r="L314" s="101">
        <f>IFERROR(IF(T314="","",(T314*(1-AO314)*(1-Settings!$C$17)-I314)/(T314*(1-AO314)*(1-Settings!$C$17))),"")</f>
        <v/>
      </c>
      <c r="M314" s="101">
        <f>IFERROR(IF(T314="","",(T314*(1-AP314)*(1-Settings!$D$17)-I314)/(T314*(1-AP314)*(1-Settings!$D$17))),"")</f>
        <v/>
      </c>
      <c r="N314" s="101">
        <f>IFERROR(IF(T314="","",(T314*(1-AQ314)*(1-Settings!$F$17)-I314)/(T314*(1-AQ314)*(1-Settings!$F$17))),"")</f>
        <v/>
      </c>
      <c r="O314" s="101">
        <f>IFERROR(IF(T314="","",(T314*(1-AR314)*(1-Settings!$G$17)-I314)/(T314*(1-AR314)*(1-Settings!$G$17))),"")</f>
        <v/>
      </c>
      <c r="P314" s="101">
        <f>IFERROR(IF(T314="","",(T314*(1-AS314)*(1-Settings!$H$17)-I314)/(T314*(1-AS314)*(1-Settings!$H$17))),"")</f>
        <v/>
      </c>
      <c r="Q314" s="101">
        <f>IFERROR(IF(T314="","",(T314*(1-AT314)*(1-Settings!$I$68)*(1-Settings!$I$17)-I314)/(T314*(1-AT314)*(1-Settings!$I$68)*(1-Settings!$I$17))),"")</f>
        <v/>
      </c>
      <c r="R314" s="91">
        <f>IFERROR(IF(OR(I314="",Z314&gt;=1,Settings!$B$17&gt;=1,AN314&gt;=1),"",IF(MOD(ROUND(I314/(1-Z314)/(1-Settings!$B$17)/(1-AN314),0),10)=0,ROUND(I314/(1-Z314)/(1-Settings!$B$17)/(1-AN314),0)-1,IF(MOD(ROUND(I314/(1-Z314)/(1-Settings!$B$17)/(1-AN314),0),10)&lt;=5,FLOOR(ROUND(I314/(1-Z314)/(1-Settings!$B$17)/(1-AN314),0),10)+6,FLOOR(ROUND(I314/(1-Z314)/(1-Settings!$B$17)/(1-AN314),0),10)+9))),"")</f>
        <v/>
      </c>
      <c r="S314" s="174" t="n">
        <v>5170</v>
      </c>
      <c r="T314" s="91">
        <f>IF(S314&lt;&gt;"", IF(MOD(S314,10)=0,S314-1,IF(MOD(S314,10)&lt;=5,FLOOR(S314,10)+6,FLOOR(S314,10)+9)), R314)</f>
        <v/>
      </c>
      <c r="U314" s="87" t="inlineStr">
        <is>
          <t>Трафіковий</t>
        </is>
      </c>
      <c r="V314" s="88" t="n"/>
      <c r="W314" s="88" t="n"/>
      <c r="X314" s="89">
        <f>IFERROR(IF(OR(V314="",W314="",T314=""),"", IF(T314&gt;W314,"Дорогий",IF(T314&lt;V314,"Дешевий","У ринку"))),"")</f>
        <v/>
      </c>
      <c r="Y314" s="90" t="n"/>
      <c r="Z314" s="104">
        <f>CHOOSE(MATCH(IF($U314="","Основний",$U314),{"Трафіковий","Основний","Маржинальний","Сезонний","Стратегічний"},0),0.16,0.19,0.24,0.23,0.28)</f>
        <v/>
      </c>
      <c r="AA314" s="104">
        <f>CHOOSE(MATCH(IF($U314="","Основний",$U314),{"Трафіковий","Основний","Маржинальний","Сезонний","Стратегічний"},0),0.18,0.21,0.26,0.25,0.3)</f>
        <v/>
      </c>
      <c r="AB314" s="104">
        <f>CHOOSE(MATCH(IF($U314="","Основний",$U314),{"Трафіковий","Основний","Маржинальний","Сезонний","Стратегічний"},0),0.19,0.22,0.28,0.26,0.32)</f>
        <v/>
      </c>
      <c r="AC314" s="104">
        <f>CHOOSE(MATCH(IF($U314="","Основний",$U314),{"Трафіковий","Основний","Маржинальний","Сезонний","Стратегічний"},0),0.17,0.2,0.25,0.24,0.28)</f>
        <v/>
      </c>
      <c r="AD314" s="104">
        <f>CHOOSE(MATCH(IF($U314="","Основний",$U314),{"Трафіковий","Основний","Маржинальний","Сезонний","Стратегічний"},0),0.18,0.21,0.26,0.25,0.3)</f>
        <v/>
      </c>
      <c r="AE314" s="104">
        <f>CHOOSE(MATCH(IF($U314="","Основний",$U314),{"Трафіковий","Основний","Маржинальний","Сезонний","Стратегічний"},0),0.18,0.2,0.28,0.27,0.32)</f>
        <v/>
      </c>
      <c r="AF314" s="104">
        <f>CHOOSE(MATCH(IF($U314="","Основний",$U314),{"Трафіковий","Основний","Маржинальний","Сезонний","Стратегічний"},0),0.15,0.175,0.22,0.21,0.25)</f>
        <v/>
      </c>
      <c r="AG314" s="104">
        <f>CHOOSE(MATCH(IF($U314="","Основний",$U314),{"Трафіковий","Основний","Маржинальний","Сезонний","Стратегічний"},0),0.13,0.16,0.21,0.2,0.25)</f>
        <v/>
      </c>
      <c r="AH314" s="104">
        <f>CHOOSE(MATCH(IF($U314="","Основний",$U314),{"Трафіковий","Основний","Маржинальний","Сезонний","Стратегічний"},0),0.15,0.18,0.23,0.22,0.27)</f>
        <v/>
      </c>
      <c r="AI314" s="104">
        <f>CHOOSE(MATCH(IF($U314="","Основний",$U314),{"Трафіковий","Основний","Маржинальний","Сезонний","Стратегічний"},0),0.16,0.19,0.25,0.23,0.29)</f>
        <v/>
      </c>
      <c r="AJ314" s="104">
        <f>CHOOSE(MATCH(IF($U314="","Основний",$U314),{"Трафіковий","Основний","Маржинальний","Сезонний","Стратегічний"},0),0.14,0.17,0.22,0.21,0.25)</f>
        <v/>
      </c>
      <c r="AK314" s="104">
        <f>CHOOSE(MATCH(IF($U314="","Основний",$U314),{"Трафіковий","Основний","Маржинальний","Сезонний","Стратегічний"},0),0.15,0.18,0.23,0.22,0.27)</f>
        <v/>
      </c>
      <c r="AL314" s="104">
        <f>CHOOSE(MATCH(IF($U314="","Основний",$U314),{"Трафіковий","Основний","Маржинальний","Сезонний","Стратегічний"},0),0.15,0.17,0.25,0.24,0.29)</f>
        <v/>
      </c>
      <c r="AM314" s="104">
        <f>CHOOSE(MATCH(IF($U314="","Основний",$U314),{"Трафіковий","Основний","Маржинальний","Сезонний","Стратегічний"},0),0.12,0.145,0.19,0.18,0.22)</f>
        <v/>
      </c>
      <c r="AN314" s="157">
        <f>CHOOSE(MATCH(IF($U314="","Основний",$U314),{"Трафіковий","Основний","Маржинальний","Сезонний","Стратегічний"},0),Settings!$B$78,Settings!$B$80,Settings!$B$82,Settings!$B$84,Settings!$B$86)</f>
        <v/>
      </c>
      <c r="AO314" s="157">
        <f>CHOOSE(MATCH(IF($U314="","Основний",$U314),{"Трафіковий","Основний","Маржинальний","Сезонний","Стратегічний"},0),Settings!$C$78,Settings!$C$80,Settings!$C$82,Settings!$C$84,Settings!$C$86)</f>
        <v/>
      </c>
      <c r="AP314" s="157">
        <f>CHOOSE(MATCH(IF($U314="","Основний",$U314),{"Трафіковий","Основний","Маржинальний","Сезонний","Стратегічний"},0),Settings!$D$78,Settings!$D$80,Settings!$D$82,Settings!$D$84,Settings!$D$86)</f>
        <v/>
      </c>
      <c r="AQ314" s="157">
        <f>CHOOSE(MATCH(IF($U314="","Основний",$U314),{"Трафіковий","Основний","Маржинальний","Сезонний","Стратегічний"},0),Settings!$F$78,Settings!$F$80,Settings!$F$82,Settings!$F$84,Settings!$F$86)</f>
        <v/>
      </c>
      <c r="AR314" s="157">
        <f>CHOOSE(MATCH(IF($U314="","Основний",$U314),{"Трафіковий","Основний","Маржинальний","Сезонний","Стратегічний"},0),Settings!$G$78,Settings!$G$80,Settings!$G$82,Settings!$G$84,Settings!$G$86)</f>
        <v/>
      </c>
      <c r="AS314" s="157">
        <f>CHOOSE(MATCH(IF($U314="","Основний",$U314),{"Трафіковий","Основний","Маржинальний","Сезонний","Стратегічний"},0),Settings!$H$78,Settings!$H$80,Settings!$H$82,Settings!$H$84,Settings!$H$86)</f>
        <v/>
      </c>
      <c r="AT314" s="157">
        <f>CHOOSE(MATCH(IF($U314="","Основний",$U314),{"Трафіковий","Основний","Маржинальний","Сезонний","Стратегічний"},0),Settings!$I$78,Settings!$I$80,Settings!$I$82,Settings!$I$84,Settings!$I$86)</f>
        <v/>
      </c>
      <c r="AU314" s="171" t="n"/>
      <c r="AV314" t="n">
        <v>1.35</v>
      </c>
    </row>
    <row r="315">
      <c r="A315" s="33" t="n"/>
      <c r="B315" s="34" t="inlineStr">
        <is>
          <t>P0701</t>
        </is>
      </c>
      <c r="C315" s="34" t="inlineStr">
        <is>
          <t>P.CORD 2S 10M 1,5MM RUBB.IP44 SCHUKO</t>
        </is>
      </c>
      <c r="D315" s="34" t="inlineStr">
        <is>
          <t>Пооджувачи та адаптери</t>
        </is>
      </c>
      <c r="E315" s="33" t="inlineStr">
        <is>
          <t>PC</t>
        </is>
      </c>
      <c r="F315" s="94" t="n">
        <v>11.738</v>
      </c>
      <c r="G315" s="35" t="n">
        <v>8544429090</v>
      </c>
      <c r="H315" s="31" t="n">
        <v>1.4</v>
      </c>
      <c r="I315" s="84">
        <f>IFERROR(F315*Settings!$B$2*H315*IF(AND(ISNUMBER(E315),E315&gt;1),E315,1),"")</f>
        <v/>
      </c>
      <c r="J315" s="32">
        <f>Settings!$B$66</f>
        <v/>
      </c>
      <c r="K315" s="95">
        <f>IFERROR(IF(T315="","",(T315*(1-AN315)*(1-Settings!$B$17)-I315)/(T315*(1-AN315)*(1-Settings!$B$17))),"")</f>
        <v/>
      </c>
      <c r="L315" s="101">
        <f>IFERROR(IF(T315="","",(T315*(1-AO315)*(1-Settings!$C$17)-I315)/(T315*(1-AO315)*(1-Settings!$C$17))),"")</f>
        <v/>
      </c>
      <c r="M315" s="101">
        <f>IFERROR(IF(T315="","",(T315*(1-AP315)*(1-Settings!$D$17)-I315)/(T315*(1-AP315)*(1-Settings!$D$17))),"")</f>
        <v/>
      </c>
      <c r="N315" s="101">
        <f>IFERROR(IF(T315="","",(T315*(1-AQ315)*(1-Settings!$F$17)-I315)/(T315*(1-AQ315)*(1-Settings!$F$17))),"")</f>
        <v/>
      </c>
      <c r="O315" s="101">
        <f>IFERROR(IF(T315="","",(T315*(1-AR315)*(1-Settings!$G$17)-I315)/(T315*(1-AR315)*(1-Settings!$G$17))),"")</f>
        <v/>
      </c>
      <c r="P315" s="101">
        <f>IFERROR(IF(T315="","",(T315*(1-AS315)*(1-Settings!$H$17)-I315)/(T315*(1-AS315)*(1-Settings!$H$17))),"")</f>
        <v/>
      </c>
      <c r="Q315" s="101">
        <f>IFERROR(IF(T315="","",(T315*(1-AT315)*(1-Settings!$I$68)*(1-Settings!$I$17)-I315)/(T315*(1-AT315)*(1-Settings!$I$68)*(1-Settings!$I$17))),"")</f>
        <v/>
      </c>
      <c r="R315" s="91">
        <f>IFERROR(IF(OR(I315="",Z315&gt;=1,Settings!$B$17&gt;=1,AN315&gt;=1),"",IF(MOD(ROUND(I315/(1-Z315)/(1-Settings!$B$17)/(1-AN315),0),10)=0,ROUND(I315/(1-Z315)/(1-Settings!$B$17)/(1-AN315),0)-1,IF(MOD(ROUND(I315/(1-Z315)/(1-Settings!$B$17)/(1-AN315),0),10)&lt;=5,FLOOR(ROUND(I315/(1-Z315)/(1-Settings!$B$17)/(1-AN315),0),10)+6,FLOOR(ROUND(I315/(1-Z315)/(1-Settings!$B$17)/(1-AN315),0),10)+9))),"")</f>
        <v/>
      </c>
      <c r="S315" s="174">
        <f>R315*0.95</f>
        <v/>
      </c>
      <c r="T315" s="91">
        <f>IF(S315&lt;&gt;"", IF(MOD(S315,10)=0,S315-1,IF(MOD(S315,10)&lt;=5,FLOOR(S315,10)+6,FLOOR(S315,10)+9)), R315)</f>
        <v/>
      </c>
      <c r="U315" s="87" t="inlineStr">
        <is>
          <t>Основний</t>
        </is>
      </c>
      <c r="V315" s="88" t="n"/>
      <c r="W315" s="88" t="n"/>
      <c r="X315" s="89">
        <f>IFERROR(IF(OR(V315="",W315="",T315=""),"", IF(T315&gt;W315,"Дорогий",IF(T315&lt;V315,"Дешевий","У ринку"))),"")</f>
        <v/>
      </c>
      <c r="Y315" s="90" t="n"/>
      <c r="Z315" s="104">
        <f>CHOOSE(MATCH(IF($U315="","Основний",$U315),{"Трафіковий","Основний","Маржинальний","Сезонний","Стратегічний"},0),0.16,0.19,0.24,0.23,0.28)</f>
        <v/>
      </c>
      <c r="AA315" s="104">
        <f>CHOOSE(MATCH(IF($U315="","Основний",$U315),{"Трафіковий","Основний","Маржинальний","Сезонний","Стратегічний"},0),0.18,0.21,0.26,0.25,0.3)</f>
        <v/>
      </c>
      <c r="AB315" s="104">
        <f>CHOOSE(MATCH(IF($U315="","Основний",$U315),{"Трафіковий","Основний","Маржинальний","Сезонний","Стратегічний"},0),0.19,0.22,0.28,0.26,0.32)</f>
        <v/>
      </c>
      <c r="AC315" s="104">
        <f>CHOOSE(MATCH(IF($U315="","Основний",$U315),{"Трафіковий","Основний","Маржинальний","Сезонний","Стратегічний"},0),0.17,0.2,0.25,0.24,0.28)</f>
        <v/>
      </c>
      <c r="AD315" s="104">
        <f>CHOOSE(MATCH(IF($U315="","Основний",$U315),{"Трафіковий","Основний","Маржинальний","Сезонний","Стратегічний"},0),0.18,0.21,0.26,0.25,0.3)</f>
        <v/>
      </c>
      <c r="AE315" s="104">
        <f>CHOOSE(MATCH(IF($U315="","Основний",$U315),{"Трафіковий","Основний","Маржинальний","Сезонний","Стратегічний"},0),0.18,0.2,0.28,0.27,0.32)</f>
        <v/>
      </c>
      <c r="AF315" s="104">
        <f>CHOOSE(MATCH(IF($U315="","Основний",$U315),{"Трафіковий","Основний","Маржинальний","Сезонний","Стратегічний"},0),0.15,0.175,0.22,0.21,0.25)</f>
        <v/>
      </c>
      <c r="AG315" s="104">
        <f>CHOOSE(MATCH(IF($U315="","Основний",$U315),{"Трафіковий","Основний","Маржинальний","Сезонний","Стратегічний"},0),0.13,0.16,0.21,0.2,0.25)</f>
        <v/>
      </c>
      <c r="AH315" s="104">
        <f>CHOOSE(MATCH(IF($U315="","Основний",$U315),{"Трафіковий","Основний","Маржинальний","Сезонний","Стратегічний"},0),0.15,0.18,0.23,0.22,0.27)</f>
        <v/>
      </c>
      <c r="AI315" s="104">
        <f>CHOOSE(MATCH(IF($U315="","Основний",$U315),{"Трафіковий","Основний","Маржинальний","Сезонний","Стратегічний"},0),0.16,0.19,0.25,0.23,0.29)</f>
        <v/>
      </c>
      <c r="AJ315" s="104">
        <f>CHOOSE(MATCH(IF($U315="","Основний",$U315),{"Трафіковий","Основний","Маржинальний","Сезонний","Стратегічний"},0),0.14,0.17,0.22,0.21,0.25)</f>
        <v/>
      </c>
      <c r="AK315" s="104">
        <f>CHOOSE(MATCH(IF($U315="","Основний",$U315),{"Трафіковий","Основний","Маржинальний","Сезонний","Стратегічний"},0),0.15,0.18,0.23,0.22,0.27)</f>
        <v/>
      </c>
      <c r="AL315" s="104">
        <f>CHOOSE(MATCH(IF($U315="","Основний",$U315),{"Трафіковий","Основний","Маржинальний","Сезонний","Стратегічний"},0),0.15,0.17,0.25,0.24,0.29)</f>
        <v/>
      </c>
      <c r="AM315" s="104">
        <f>CHOOSE(MATCH(IF($U315="","Основний",$U315),{"Трафіковий","Основний","Маржинальний","Сезонний","Стратегічний"},0),0.12,0.145,0.19,0.18,0.22)</f>
        <v/>
      </c>
      <c r="AN315" s="157">
        <f>CHOOSE(MATCH(IF($U315="","Основний",$U315),{"Трафіковий","Основний","Маржинальний","Сезонний","Стратегічний"},0),Settings!$B$78,Settings!$B$80,Settings!$B$82,Settings!$B$84,Settings!$B$86)</f>
        <v/>
      </c>
      <c r="AO315" s="157">
        <f>CHOOSE(MATCH(IF($U315="","Основний",$U315),{"Трафіковий","Основний","Маржинальний","Сезонний","Стратегічний"},0),Settings!$C$78,Settings!$C$80,Settings!$C$82,Settings!$C$84,Settings!$C$86)</f>
        <v/>
      </c>
      <c r="AP315" s="157">
        <f>CHOOSE(MATCH(IF($U315="","Основний",$U315),{"Трафіковий","Основний","Маржинальний","Сезонний","Стратегічний"},0),Settings!$D$78,Settings!$D$80,Settings!$D$82,Settings!$D$84,Settings!$D$86)</f>
        <v/>
      </c>
      <c r="AQ315" s="157">
        <f>CHOOSE(MATCH(IF($U315="","Основний",$U315),{"Трафіковий","Основний","Маржинальний","Сезонний","Стратегічний"},0),Settings!$F$78,Settings!$F$80,Settings!$F$82,Settings!$F$84,Settings!$F$86)</f>
        <v/>
      </c>
      <c r="AR315" s="157">
        <f>CHOOSE(MATCH(IF($U315="","Основний",$U315),{"Трафіковий","Основний","Маржинальний","Сезонний","Стратегічний"},0),Settings!$G$78,Settings!$G$80,Settings!$G$82,Settings!$G$84,Settings!$G$86)</f>
        <v/>
      </c>
      <c r="AS315" s="157">
        <f>CHOOSE(MATCH(IF($U315="","Основний",$U315),{"Трафіковий","Основний","Маржинальний","Сезонний","Стратегічний"},0),Settings!$H$78,Settings!$H$80,Settings!$H$82,Settings!$H$84,Settings!$H$86)</f>
        <v/>
      </c>
      <c r="AT315" s="157">
        <f>CHOOSE(MATCH(IF($U315="","Основний",$U315),{"Трафіковий","Основний","Маржинальний","Сезонний","Стратегічний"},0),Settings!$I$78,Settings!$I$80,Settings!$I$82,Settings!$I$84,Settings!$I$86)</f>
        <v/>
      </c>
      <c r="AU315" s="171" t="n"/>
      <c r="AV315" t="n">
        <v>1.35</v>
      </c>
    </row>
    <row r="316">
      <c r="A316" s="28" t="n"/>
      <c r="B316" s="29" t="inlineStr">
        <is>
          <t>P0702</t>
        </is>
      </c>
      <c r="C316" s="29" t="inlineStr">
        <is>
          <t>P.CORD 2S 15M 1,5MM RUBB.IP44 SCHUKO</t>
        </is>
      </c>
      <c r="D316" s="29" t="inlineStr">
        <is>
          <t>Пооджувачи та адаптери</t>
        </is>
      </c>
      <c r="E316" s="28" t="inlineStr">
        <is>
          <t>PC</t>
        </is>
      </c>
      <c r="F316" s="93" t="n">
        <v>16.206</v>
      </c>
      <c r="G316" s="30" t="n">
        <v>8544429090</v>
      </c>
      <c r="H316" s="31" t="n">
        <v>1.4</v>
      </c>
      <c r="I316" s="84">
        <f>IFERROR(F316*Settings!$B$2*H316*IF(AND(ISNUMBER(E316),E316&gt;1),E316,1),"")</f>
        <v/>
      </c>
      <c r="J316" s="32">
        <f>Settings!$B$66</f>
        <v/>
      </c>
      <c r="K316" s="95">
        <f>IFERROR(IF(T316="","",(T316*(1-AN316)*(1-Settings!$B$17)-I316)/(T316*(1-AN316)*(1-Settings!$B$17))),"")</f>
        <v/>
      </c>
      <c r="L316" s="101">
        <f>IFERROR(IF(T316="","",(T316*(1-AO316)*(1-Settings!$C$17)-I316)/(T316*(1-AO316)*(1-Settings!$C$17))),"")</f>
        <v/>
      </c>
      <c r="M316" s="101">
        <f>IFERROR(IF(T316="","",(T316*(1-AP316)*(1-Settings!$D$17)-I316)/(T316*(1-AP316)*(1-Settings!$D$17))),"")</f>
        <v/>
      </c>
      <c r="N316" s="101">
        <f>IFERROR(IF(T316="","",(T316*(1-AQ316)*(1-Settings!$F$17)-I316)/(T316*(1-AQ316)*(1-Settings!$F$17))),"")</f>
        <v/>
      </c>
      <c r="O316" s="101">
        <f>IFERROR(IF(T316="","",(T316*(1-AR316)*(1-Settings!$G$17)-I316)/(T316*(1-AR316)*(1-Settings!$G$17))),"")</f>
        <v/>
      </c>
      <c r="P316" s="101">
        <f>IFERROR(IF(T316="","",(T316*(1-AS316)*(1-Settings!$H$17)-I316)/(T316*(1-AS316)*(1-Settings!$H$17))),"")</f>
        <v/>
      </c>
      <c r="Q316" s="101">
        <f>IFERROR(IF(T316="","",(T316*(1-AT316)*(1-Settings!$I$68)*(1-Settings!$I$17)-I316)/(T316*(1-AT316)*(1-Settings!$I$68)*(1-Settings!$I$17))),"")</f>
        <v/>
      </c>
      <c r="R316" s="91">
        <f>IFERROR(IF(OR(I316="",Z316&gt;=1,Settings!$B$17&gt;=1,AN316&gt;=1),"",IF(MOD(ROUND(I316/(1-Z316)/(1-Settings!$B$17)/(1-AN316),0),10)=0,ROUND(I316/(1-Z316)/(1-Settings!$B$17)/(1-AN316),0)-1,IF(MOD(ROUND(I316/(1-Z316)/(1-Settings!$B$17)/(1-AN316),0),10)&lt;=5,FLOOR(ROUND(I316/(1-Z316)/(1-Settings!$B$17)/(1-AN316),0),10)+6,FLOOR(ROUND(I316/(1-Z316)/(1-Settings!$B$17)/(1-AN316),0),10)+9))),"")</f>
        <v/>
      </c>
      <c r="S316" s="174">
        <f>R316*0.95</f>
        <v/>
      </c>
      <c r="T316" s="91">
        <f>IF(S316&lt;&gt;"", IF(MOD(S316,10)=0,S316-1,IF(MOD(S316,10)&lt;=5,FLOOR(S316,10)+6,FLOOR(S316,10)+9)), R316)</f>
        <v/>
      </c>
      <c r="U316" s="87" t="inlineStr">
        <is>
          <t>Основний</t>
        </is>
      </c>
      <c r="V316" s="88" t="n"/>
      <c r="W316" s="88" t="n"/>
      <c r="X316" s="89">
        <f>IFERROR(IF(OR(V316="",W316="",T316=""),"", IF(T316&gt;W316,"Дорогий",IF(T316&lt;V316,"Дешевий","У ринку"))),"")</f>
        <v/>
      </c>
      <c r="Y316" s="90" t="n"/>
      <c r="Z316" s="104">
        <f>CHOOSE(MATCH(IF($U316="","Основний",$U316),{"Трафіковий","Основний","Маржинальний","Сезонний","Стратегічний"},0),0.16,0.19,0.24,0.23,0.28)</f>
        <v/>
      </c>
      <c r="AA316" s="104">
        <f>CHOOSE(MATCH(IF($U316="","Основний",$U316),{"Трафіковий","Основний","Маржинальний","Сезонний","Стратегічний"},0),0.18,0.21,0.26,0.25,0.3)</f>
        <v/>
      </c>
      <c r="AB316" s="104">
        <f>CHOOSE(MATCH(IF($U316="","Основний",$U316),{"Трафіковий","Основний","Маржинальний","Сезонний","Стратегічний"},0),0.19,0.22,0.28,0.26,0.32)</f>
        <v/>
      </c>
      <c r="AC316" s="104">
        <f>CHOOSE(MATCH(IF($U316="","Основний",$U316),{"Трафіковий","Основний","Маржинальний","Сезонний","Стратегічний"},0),0.17,0.2,0.25,0.24,0.28)</f>
        <v/>
      </c>
      <c r="AD316" s="104">
        <f>CHOOSE(MATCH(IF($U316="","Основний",$U316),{"Трафіковий","Основний","Маржинальний","Сезонний","Стратегічний"},0),0.18,0.21,0.26,0.25,0.3)</f>
        <v/>
      </c>
      <c r="AE316" s="104">
        <f>CHOOSE(MATCH(IF($U316="","Основний",$U316),{"Трафіковий","Основний","Маржинальний","Сезонний","Стратегічний"},0),0.18,0.2,0.28,0.27,0.32)</f>
        <v/>
      </c>
      <c r="AF316" s="104">
        <f>CHOOSE(MATCH(IF($U316="","Основний",$U316),{"Трафіковий","Основний","Маржинальний","Сезонний","Стратегічний"},0),0.15,0.175,0.22,0.21,0.25)</f>
        <v/>
      </c>
      <c r="AG316" s="104">
        <f>CHOOSE(MATCH(IF($U316="","Основний",$U316),{"Трафіковий","Основний","Маржинальний","Сезонний","Стратегічний"},0),0.13,0.16,0.21,0.2,0.25)</f>
        <v/>
      </c>
      <c r="AH316" s="104">
        <f>CHOOSE(MATCH(IF($U316="","Основний",$U316),{"Трафіковий","Основний","Маржинальний","Сезонний","Стратегічний"},0),0.15,0.18,0.23,0.22,0.27)</f>
        <v/>
      </c>
      <c r="AI316" s="104">
        <f>CHOOSE(MATCH(IF($U316="","Основний",$U316),{"Трафіковий","Основний","Маржинальний","Сезонний","Стратегічний"},0),0.16,0.19,0.25,0.23,0.29)</f>
        <v/>
      </c>
      <c r="AJ316" s="104">
        <f>CHOOSE(MATCH(IF($U316="","Основний",$U316),{"Трафіковий","Основний","Маржинальний","Сезонний","Стратегічний"},0),0.14,0.17,0.22,0.21,0.25)</f>
        <v/>
      </c>
      <c r="AK316" s="104">
        <f>CHOOSE(MATCH(IF($U316="","Основний",$U316),{"Трафіковий","Основний","Маржинальний","Сезонний","Стратегічний"},0),0.15,0.18,0.23,0.22,0.27)</f>
        <v/>
      </c>
      <c r="AL316" s="104">
        <f>CHOOSE(MATCH(IF($U316="","Основний",$U316),{"Трафіковий","Основний","Маржинальний","Сезонний","Стратегічний"},0),0.15,0.17,0.25,0.24,0.29)</f>
        <v/>
      </c>
      <c r="AM316" s="104">
        <f>CHOOSE(MATCH(IF($U316="","Основний",$U316),{"Трафіковий","Основний","Маржинальний","Сезонний","Стратегічний"},0),0.12,0.145,0.19,0.18,0.22)</f>
        <v/>
      </c>
      <c r="AN316" s="157">
        <f>CHOOSE(MATCH(IF($U316="","Основний",$U316),{"Трафіковий","Основний","Маржинальний","Сезонний","Стратегічний"},0),Settings!$B$78,Settings!$B$80,Settings!$B$82,Settings!$B$84,Settings!$B$86)</f>
        <v/>
      </c>
      <c r="AO316" s="157">
        <f>CHOOSE(MATCH(IF($U316="","Основний",$U316),{"Трафіковий","Основний","Маржинальний","Сезонний","Стратегічний"},0),Settings!$C$78,Settings!$C$80,Settings!$C$82,Settings!$C$84,Settings!$C$86)</f>
        <v/>
      </c>
      <c r="AP316" s="157">
        <f>CHOOSE(MATCH(IF($U316="","Основний",$U316),{"Трафіковий","Основний","Маржинальний","Сезонний","Стратегічний"},0),Settings!$D$78,Settings!$D$80,Settings!$D$82,Settings!$D$84,Settings!$D$86)</f>
        <v/>
      </c>
      <c r="AQ316" s="157">
        <f>CHOOSE(MATCH(IF($U316="","Основний",$U316),{"Трафіковий","Основний","Маржинальний","Сезонний","Стратегічний"},0),Settings!$F$78,Settings!$F$80,Settings!$F$82,Settings!$F$84,Settings!$F$86)</f>
        <v/>
      </c>
      <c r="AR316" s="157">
        <f>CHOOSE(MATCH(IF($U316="","Основний",$U316),{"Трафіковий","Основний","Маржинальний","Сезонний","Стратегічний"},0),Settings!$G$78,Settings!$G$80,Settings!$G$82,Settings!$G$84,Settings!$G$86)</f>
        <v/>
      </c>
      <c r="AS316" s="157">
        <f>CHOOSE(MATCH(IF($U316="","Основний",$U316),{"Трафіковий","Основний","Маржинальний","Сезонний","Стратегічний"},0),Settings!$H$78,Settings!$H$80,Settings!$H$82,Settings!$H$84,Settings!$H$86)</f>
        <v/>
      </c>
      <c r="AT316" s="157">
        <f>CHOOSE(MATCH(IF($U316="","Основний",$U316),{"Трафіковий","Основний","Маржинальний","Сезонний","Стратегічний"},0),Settings!$I$78,Settings!$I$80,Settings!$I$82,Settings!$I$84,Settings!$I$86)</f>
        <v/>
      </c>
      <c r="AU316" s="171" t="n"/>
      <c r="AV316" t="n">
        <v>1.35</v>
      </c>
    </row>
    <row r="317">
      <c r="A317" s="33" t="n"/>
      <c r="B317" s="34" t="inlineStr">
        <is>
          <t>P0703</t>
        </is>
      </c>
      <c r="C317" s="34" t="inlineStr">
        <is>
          <t>P.CORD 2S 20M 1,5MM RUBB.IP44 SCHUKO</t>
        </is>
      </c>
      <c r="D317" s="34" t="inlineStr">
        <is>
          <t>Пооджувачи та адаптери</t>
        </is>
      </c>
      <c r="E317" s="33" t="inlineStr">
        <is>
          <t>PC</t>
        </is>
      </c>
      <c r="F317" s="94" t="n">
        <v>21.458</v>
      </c>
      <c r="G317" s="35" t="n">
        <v>8544429090</v>
      </c>
      <c r="H317" s="31" t="n">
        <v>1.4</v>
      </c>
      <c r="I317" s="84">
        <f>IFERROR(F317*Settings!$B$2*H317*IF(AND(ISNUMBER(E317),E317&gt;1),E317,1),"")</f>
        <v/>
      </c>
      <c r="J317" s="32">
        <f>Settings!$B$66</f>
        <v/>
      </c>
      <c r="K317" s="95">
        <f>IFERROR(IF(T317="","",(T317*(1-AN317)*(1-Settings!$B$17)-I317)/(T317*(1-AN317)*(1-Settings!$B$17))),"")</f>
        <v/>
      </c>
      <c r="L317" s="101">
        <f>IFERROR(IF(T317="","",(T317*(1-AO317)*(1-Settings!$C$17)-I317)/(T317*(1-AO317)*(1-Settings!$C$17))),"")</f>
        <v/>
      </c>
      <c r="M317" s="101">
        <f>IFERROR(IF(T317="","",(T317*(1-AP317)*(1-Settings!$D$17)-I317)/(T317*(1-AP317)*(1-Settings!$D$17))),"")</f>
        <v/>
      </c>
      <c r="N317" s="101">
        <f>IFERROR(IF(T317="","",(T317*(1-AQ317)*(1-Settings!$F$17)-I317)/(T317*(1-AQ317)*(1-Settings!$F$17))),"")</f>
        <v/>
      </c>
      <c r="O317" s="101">
        <f>IFERROR(IF(T317="","",(T317*(1-AR317)*(1-Settings!$G$17)-I317)/(T317*(1-AR317)*(1-Settings!$G$17))),"")</f>
        <v/>
      </c>
      <c r="P317" s="101">
        <f>IFERROR(IF(T317="","",(T317*(1-AS317)*(1-Settings!$H$17)-I317)/(T317*(1-AS317)*(1-Settings!$H$17))),"")</f>
        <v/>
      </c>
      <c r="Q317" s="101">
        <f>IFERROR(IF(T317="","",(T317*(1-AT317)*(1-Settings!$I$68)*(1-Settings!$I$17)-I317)/(T317*(1-AT317)*(1-Settings!$I$68)*(1-Settings!$I$17))),"")</f>
        <v/>
      </c>
      <c r="R317" s="91">
        <f>IFERROR(IF(OR(I317="",Z317&gt;=1,Settings!$B$17&gt;=1,AN317&gt;=1),"",IF(MOD(ROUND(I317/(1-Z317)/(1-Settings!$B$17)/(1-AN317),0),10)=0,ROUND(I317/(1-Z317)/(1-Settings!$B$17)/(1-AN317),0)-1,IF(MOD(ROUND(I317/(1-Z317)/(1-Settings!$B$17)/(1-AN317),0),10)&lt;=5,FLOOR(ROUND(I317/(1-Z317)/(1-Settings!$B$17)/(1-AN317),0),10)+6,FLOOR(ROUND(I317/(1-Z317)/(1-Settings!$B$17)/(1-AN317),0),10)+9))),"")</f>
        <v/>
      </c>
      <c r="S317" s="174" t="n">
        <v>2500</v>
      </c>
      <c r="T317" s="91">
        <f>IF(S317&lt;&gt;"", IF(MOD(S317,10)=0,S317-1,IF(MOD(S317,10)&lt;=5,FLOOR(S317,10)+6,FLOOR(S317,10)+9)), R317)</f>
        <v/>
      </c>
      <c r="U317" s="87" t="inlineStr">
        <is>
          <t>Трафіковий</t>
        </is>
      </c>
      <c r="V317" s="88" t="n"/>
      <c r="W317" s="88" t="n"/>
      <c r="X317" s="89">
        <f>IFERROR(IF(OR(V317="",W317="",T317=""),"", IF(T317&gt;W317,"Дорогий",IF(T317&lt;V317,"Дешевий","У ринку"))),"")</f>
        <v/>
      </c>
      <c r="Y317" s="90" t="n"/>
      <c r="Z317" s="104">
        <f>CHOOSE(MATCH(IF($U317="","Основний",$U317),{"Трафіковий","Основний","Маржинальний","Сезонний","Стратегічний"},0),0.16,0.19,0.24,0.23,0.28)</f>
        <v/>
      </c>
      <c r="AA317" s="104">
        <f>CHOOSE(MATCH(IF($U317="","Основний",$U317),{"Трафіковий","Основний","Маржинальний","Сезонний","Стратегічний"},0),0.18,0.21,0.26,0.25,0.3)</f>
        <v/>
      </c>
      <c r="AB317" s="104">
        <f>CHOOSE(MATCH(IF($U317="","Основний",$U317),{"Трафіковий","Основний","Маржинальний","Сезонний","Стратегічний"},0),0.19,0.22,0.28,0.26,0.32)</f>
        <v/>
      </c>
      <c r="AC317" s="104">
        <f>CHOOSE(MATCH(IF($U317="","Основний",$U317),{"Трафіковий","Основний","Маржинальний","Сезонний","Стратегічний"},0),0.17,0.2,0.25,0.24,0.28)</f>
        <v/>
      </c>
      <c r="AD317" s="104">
        <f>CHOOSE(MATCH(IF($U317="","Основний",$U317),{"Трафіковий","Основний","Маржинальний","Сезонний","Стратегічний"},0),0.18,0.21,0.26,0.25,0.3)</f>
        <v/>
      </c>
      <c r="AE317" s="104">
        <f>CHOOSE(MATCH(IF($U317="","Основний",$U317),{"Трафіковий","Основний","Маржинальний","Сезонний","Стратегічний"},0),0.18,0.2,0.28,0.27,0.32)</f>
        <v/>
      </c>
      <c r="AF317" s="104">
        <f>CHOOSE(MATCH(IF($U317="","Основний",$U317),{"Трафіковий","Основний","Маржинальний","Сезонний","Стратегічний"},0),0.15,0.175,0.22,0.21,0.25)</f>
        <v/>
      </c>
      <c r="AG317" s="104">
        <f>CHOOSE(MATCH(IF($U317="","Основний",$U317),{"Трафіковий","Основний","Маржинальний","Сезонний","Стратегічний"},0),0.13,0.16,0.21,0.2,0.25)</f>
        <v/>
      </c>
      <c r="AH317" s="104">
        <f>CHOOSE(MATCH(IF($U317="","Основний",$U317),{"Трафіковий","Основний","Маржинальний","Сезонний","Стратегічний"},0),0.15,0.18,0.23,0.22,0.27)</f>
        <v/>
      </c>
      <c r="AI317" s="104">
        <f>CHOOSE(MATCH(IF($U317="","Основний",$U317),{"Трафіковий","Основний","Маржинальний","Сезонний","Стратегічний"},0),0.16,0.19,0.25,0.23,0.29)</f>
        <v/>
      </c>
      <c r="AJ317" s="104">
        <f>CHOOSE(MATCH(IF($U317="","Основний",$U317),{"Трафіковий","Основний","Маржинальний","Сезонний","Стратегічний"},0),0.14,0.17,0.22,0.21,0.25)</f>
        <v/>
      </c>
      <c r="AK317" s="104">
        <f>CHOOSE(MATCH(IF($U317="","Основний",$U317),{"Трафіковий","Основний","Маржинальний","Сезонний","Стратегічний"},0),0.15,0.18,0.23,0.22,0.27)</f>
        <v/>
      </c>
      <c r="AL317" s="104">
        <f>CHOOSE(MATCH(IF($U317="","Основний",$U317),{"Трафіковий","Основний","Маржинальний","Сезонний","Стратегічний"},0),0.15,0.17,0.25,0.24,0.29)</f>
        <v/>
      </c>
      <c r="AM317" s="104">
        <f>CHOOSE(MATCH(IF($U317="","Основний",$U317),{"Трафіковий","Основний","Маржинальний","Сезонний","Стратегічний"},0),0.12,0.145,0.19,0.18,0.22)</f>
        <v/>
      </c>
      <c r="AN317" s="157">
        <f>CHOOSE(MATCH(IF($U317="","Основний",$U317),{"Трафіковий","Основний","Маржинальний","Сезонний","Стратегічний"},0),Settings!$B$78,Settings!$B$80,Settings!$B$82,Settings!$B$84,Settings!$B$86)</f>
        <v/>
      </c>
      <c r="AO317" s="157">
        <f>CHOOSE(MATCH(IF($U317="","Основний",$U317),{"Трафіковий","Основний","Маржинальний","Сезонний","Стратегічний"},0),Settings!$C$78,Settings!$C$80,Settings!$C$82,Settings!$C$84,Settings!$C$86)</f>
        <v/>
      </c>
      <c r="AP317" s="157">
        <f>CHOOSE(MATCH(IF($U317="","Основний",$U317),{"Трафіковий","Основний","Маржинальний","Сезонний","Стратегічний"},0),Settings!$D$78,Settings!$D$80,Settings!$D$82,Settings!$D$84,Settings!$D$86)</f>
        <v/>
      </c>
      <c r="AQ317" s="157">
        <f>CHOOSE(MATCH(IF($U317="","Основний",$U317),{"Трафіковий","Основний","Маржинальний","Сезонний","Стратегічний"},0),Settings!$F$78,Settings!$F$80,Settings!$F$82,Settings!$F$84,Settings!$F$86)</f>
        <v/>
      </c>
      <c r="AR317" s="157">
        <f>CHOOSE(MATCH(IF($U317="","Основний",$U317),{"Трафіковий","Основний","Маржинальний","Сезонний","Стратегічний"},0),Settings!$G$78,Settings!$G$80,Settings!$G$82,Settings!$G$84,Settings!$G$86)</f>
        <v/>
      </c>
      <c r="AS317" s="157">
        <f>CHOOSE(MATCH(IF($U317="","Основний",$U317),{"Трафіковий","Основний","Маржинальний","Сезонний","Стратегічний"},0),Settings!$H$78,Settings!$H$80,Settings!$H$82,Settings!$H$84,Settings!$H$86)</f>
        <v/>
      </c>
      <c r="AT317" s="157">
        <f>CHOOSE(MATCH(IF($U317="","Основний",$U317),{"Трафіковий","Основний","Маржинальний","Сезонний","Стратегічний"},0),Settings!$I$78,Settings!$I$80,Settings!$I$82,Settings!$I$84,Settings!$I$86)</f>
        <v/>
      </c>
      <c r="AU317" s="171" t="n"/>
      <c r="AV317" t="n">
        <v>1.35</v>
      </c>
    </row>
    <row r="318">
      <c r="A318" s="28" t="n"/>
      <c r="B318" s="29" t="inlineStr">
        <is>
          <t>P0704</t>
        </is>
      </c>
      <c r="C318" s="29" t="inlineStr">
        <is>
          <t>P.CORD 2S 25M 1,5MM RUBB.IP44 SCHUKO</t>
        </is>
      </c>
      <c r="D318" s="29" t="inlineStr">
        <is>
          <t>Пооджувачи та адаптери</t>
        </is>
      </c>
      <c r="E318" s="28" t="inlineStr">
        <is>
          <t>PC</t>
        </is>
      </c>
      <c r="F318" s="93" t="n">
        <v>27.101</v>
      </c>
      <c r="G318" s="30" t="n">
        <v>8544429090</v>
      </c>
      <c r="H318" s="31" t="n">
        <v>1.4</v>
      </c>
      <c r="I318" s="84">
        <f>IFERROR(F318*Settings!$B$2*H318*IF(AND(ISNUMBER(E318),E318&gt;1),E318,1),"")</f>
        <v/>
      </c>
      <c r="J318" s="32">
        <f>Settings!$B$66</f>
        <v/>
      </c>
      <c r="K318" s="95">
        <f>IFERROR(IF(T318="","",(T318*(1-AN318)*(1-Settings!$B$17)-I318)/(T318*(1-AN318)*(1-Settings!$B$17))),"")</f>
        <v/>
      </c>
      <c r="L318" s="101">
        <f>IFERROR(IF(T318="","",(T318*(1-AO318)*(1-Settings!$C$17)-I318)/(T318*(1-AO318)*(1-Settings!$C$17))),"")</f>
        <v/>
      </c>
      <c r="M318" s="101">
        <f>IFERROR(IF(T318="","",(T318*(1-AP318)*(1-Settings!$D$17)-I318)/(T318*(1-AP318)*(1-Settings!$D$17))),"")</f>
        <v/>
      </c>
      <c r="N318" s="101">
        <f>IFERROR(IF(T318="","",(T318*(1-AQ318)*(1-Settings!$F$17)-I318)/(T318*(1-AQ318)*(1-Settings!$F$17))),"")</f>
        <v/>
      </c>
      <c r="O318" s="101">
        <f>IFERROR(IF(T318="","",(T318*(1-AR318)*(1-Settings!$G$17)-I318)/(T318*(1-AR318)*(1-Settings!$G$17))),"")</f>
        <v/>
      </c>
      <c r="P318" s="101">
        <f>IFERROR(IF(T318="","",(T318*(1-AS318)*(1-Settings!$H$17)-I318)/(T318*(1-AS318)*(1-Settings!$H$17))),"")</f>
        <v/>
      </c>
      <c r="Q318" s="101">
        <f>IFERROR(IF(T318="","",(T318*(1-AT318)*(1-Settings!$I$68)*(1-Settings!$I$17)-I318)/(T318*(1-AT318)*(1-Settings!$I$68)*(1-Settings!$I$17))),"")</f>
        <v/>
      </c>
      <c r="R318" s="91">
        <f>IFERROR(IF(OR(I318="",Z318&gt;=1,Settings!$B$17&gt;=1,AN318&gt;=1),"",IF(MOD(ROUND(I318/(1-Z318)/(1-Settings!$B$17)/(1-AN318),0),10)=0,ROUND(I318/(1-Z318)/(1-Settings!$B$17)/(1-AN318),0)-1,IF(MOD(ROUND(I318/(1-Z318)/(1-Settings!$B$17)/(1-AN318),0),10)&lt;=5,FLOOR(ROUND(I318/(1-Z318)/(1-Settings!$B$17)/(1-AN318),0),10)+6,FLOOR(ROUND(I318/(1-Z318)/(1-Settings!$B$17)/(1-AN318),0),10)+9))),"")</f>
        <v/>
      </c>
      <c r="S318" s="174" t="n">
        <v>3100</v>
      </c>
      <c r="T318" s="91">
        <f>IF(S318&lt;&gt;"", IF(MOD(S318,10)=0,S318-1,IF(MOD(S318,10)&lt;=5,FLOOR(S318,10)+6,FLOOR(S318,10)+9)), R318)</f>
        <v/>
      </c>
      <c r="U318" s="87" t="inlineStr">
        <is>
          <t>Трафіковий</t>
        </is>
      </c>
      <c r="V318" s="88" t="n"/>
      <c r="W318" s="88" t="n"/>
      <c r="X318" s="89">
        <f>IFERROR(IF(OR(V318="",W318="",T318=""),"", IF(T318&gt;W318,"Дорогий",IF(T318&lt;V318,"Дешевий","У ринку"))),"")</f>
        <v/>
      </c>
      <c r="Y318" s="90" t="n"/>
      <c r="Z318" s="104">
        <f>CHOOSE(MATCH(IF($U318="","Основний",$U318),{"Трафіковий","Основний","Маржинальний","Сезонний","Стратегічний"},0),0.16,0.19,0.24,0.23,0.28)</f>
        <v/>
      </c>
      <c r="AA318" s="104">
        <f>CHOOSE(MATCH(IF($U318="","Основний",$U318),{"Трафіковий","Основний","Маржинальний","Сезонний","Стратегічний"},0),0.18,0.21,0.26,0.25,0.3)</f>
        <v/>
      </c>
      <c r="AB318" s="104">
        <f>CHOOSE(MATCH(IF($U318="","Основний",$U318),{"Трафіковий","Основний","Маржинальний","Сезонний","Стратегічний"},0),0.19,0.22,0.28,0.26,0.32)</f>
        <v/>
      </c>
      <c r="AC318" s="104">
        <f>CHOOSE(MATCH(IF($U318="","Основний",$U318),{"Трафіковий","Основний","Маржинальний","Сезонний","Стратегічний"},0),0.17,0.2,0.25,0.24,0.28)</f>
        <v/>
      </c>
      <c r="AD318" s="104">
        <f>CHOOSE(MATCH(IF($U318="","Основний",$U318),{"Трафіковий","Основний","Маржинальний","Сезонний","Стратегічний"},0),0.18,0.21,0.26,0.25,0.3)</f>
        <v/>
      </c>
      <c r="AE318" s="104">
        <f>CHOOSE(MATCH(IF($U318="","Основний",$U318),{"Трафіковий","Основний","Маржинальний","Сезонний","Стратегічний"},0),0.18,0.2,0.28,0.27,0.32)</f>
        <v/>
      </c>
      <c r="AF318" s="104">
        <f>CHOOSE(MATCH(IF($U318="","Основний",$U318),{"Трафіковий","Основний","Маржинальний","Сезонний","Стратегічний"},0),0.15,0.175,0.22,0.21,0.25)</f>
        <v/>
      </c>
      <c r="AG318" s="104">
        <f>CHOOSE(MATCH(IF($U318="","Основний",$U318),{"Трафіковий","Основний","Маржинальний","Сезонний","Стратегічний"},0),0.13,0.16,0.21,0.2,0.25)</f>
        <v/>
      </c>
      <c r="AH318" s="104">
        <f>CHOOSE(MATCH(IF($U318="","Основний",$U318),{"Трафіковий","Основний","Маржинальний","Сезонний","Стратегічний"},0),0.15,0.18,0.23,0.22,0.27)</f>
        <v/>
      </c>
      <c r="AI318" s="104">
        <f>CHOOSE(MATCH(IF($U318="","Основний",$U318),{"Трафіковий","Основний","Маржинальний","Сезонний","Стратегічний"},0),0.16,0.19,0.25,0.23,0.29)</f>
        <v/>
      </c>
      <c r="AJ318" s="104">
        <f>CHOOSE(MATCH(IF($U318="","Основний",$U318),{"Трафіковий","Основний","Маржинальний","Сезонний","Стратегічний"},0),0.14,0.17,0.22,0.21,0.25)</f>
        <v/>
      </c>
      <c r="AK318" s="104">
        <f>CHOOSE(MATCH(IF($U318="","Основний",$U318),{"Трафіковий","Основний","Маржинальний","Сезонний","Стратегічний"},0),0.15,0.18,0.23,0.22,0.27)</f>
        <v/>
      </c>
      <c r="AL318" s="104">
        <f>CHOOSE(MATCH(IF($U318="","Основний",$U318),{"Трафіковий","Основний","Маржинальний","Сезонний","Стратегічний"},0),0.15,0.17,0.25,0.24,0.29)</f>
        <v/>
      </c>
      <c r="AM318" s="104">
        <f>CHOOSE(MATCH(IF($U318="","Основний",$U318),{"Трафіковий","Основний","Маржинальний","Сезонний","Стратегічний"},0),0.12,0.145,0.19,0.18,0.22)</f>
        <v/>
      </c>
      <c r="AN318" s="157">
        <f>CHOOSE(MATCH(IF($U318="","Основний",$U318),{"Трафіковий","Основний","Маржинальний","Сезонний","Стратегічний"},0),Settings!$B$78,Settings!$B$80,Settings!$B$82,Settings!$B$84,Settings!$B$86)</f>
        <v/>
      </c>
      <c r="AO318" s="157">
        <f>CHOOSE(MATCH(IF($U318="","Основний",$U318),{"Трафіковий","Основний","Маржинальний","Сезонний","Стратегічний"},0),Settings!$C$78,Settings!$C$80,Settings!$C$82,Settings!$C$84,Settings!$C$86)</f>
        <v/>
      </c>
      <c r="AP318" s="157">
        <f>CHOOSE(MATCH(IF($U318="","Основний",$U318),{"Трафіковий","Основний","Маржинальний","Сезонний","Стратегічний"},0),Settings!$D$78,Settings!$D$80,Settings!$D$82,Settings!$D$84,Settings!$D$86)</f>
        <v/>
      </c>
      <c r="AQ318" s="157">
        <f>CHOOSE(MATCH(IF($U318="","Основний",$U318),{"Трафіковий","Основний","Маржинальний","Сезонний","Стратегічний"},0),Settings!$F$78,Settings!$F$80,Settings!$F$82,Settings!$F$84,Settings!$F$86)</f>
        <v/>
      </c>
      <c r="AR318" s="157">
        <f>CHOOSE(MATCH(IF($U318="","Основний",$U318),{"Трафіковий","Основний","Маржинальний","Сезонний","Стратегічний"},0),Settings!$G$78,Settings!$G$80,Settings!$G$82,Settings!$G$84,Settings!$G$86)</f>
        <v/>
      </c>
      <c r="AS318" s="157">
        <f>CHOOSE(MATCH(IF($U318="","Основний",$U318),{"Трафіковий","Основний","Маржинальний","Сезонний","Стратегічний"},0),Settings!$H$78,Settings!$H$80,Settings!$H$82,Settings!$H$84,Settings!$H$86)</f>
        <v/>
      </c>
      <c r="AT318" s="157">
        <f>CHOOSE(MATCH(IF($U318="","Основний",$U318),{"Трафіковий","Основний","Маржинальний","Сезонний","Стратегічний"},0),Settings!$I$78,Settings!$I$80,Settings!$I$82,Settings!$I$84,Settings!$I$86)</f>
        <v/>
      </c>
      <c r="AU318" s="171" t="n"/>
      <c r="AV318" t="n">
        <v>1.3</v>
      </c>
    </row>
    <row r="319">
      <c r="A319" s="33" t="inlineStr">
        <is>
          <t>NEW</t>
        </is>
      </c>
      <c r="B319" s="34" t="inlineStr">
        <is>
          <t>P01510W</t>
        </is>
      </c>
      <c r="C319" s="34" t="inlineStr">
        <is>
          <t>SCHUKO EX. CORD 1S 10M 1,5MM ANTIFREEZING CABLE</t>
        </is>
      </c>
      <c r="D319" s="34" t="inlineStr">
        <is>
          <t>Пооджувачи та адаптери</t>
        </is>
      </c>
      <c r="E319" s="33" t="inlineStr">
        <is>
          <t>PC</t>
        </is>
      </c>
      <c r="F319" s="94" t="n">
        <v>10.293</v>
      </c>
      <c r="G319" s="35" t="n">
        <v>8544429090</v>
      </c>
      <c r="H319" s="31" t="n">
        <v>1.4</v>
      </c>
      <c r="I319" s="84">
        <f>IFERROR(F319*Settings!$B$2*H319*IF(AND(ISNUMBER(E319),E319&gt;1),E319,1),"")</f>
        <v/>
      </c>
      <c r="J319" s="32">
        <f>Settings!$B$66</f>
        <v/>
      </c>
      <c r="K319" s="95">
        <f>IFERROR(IF(T319="","",(T319*(1-AN319)*(1-Settings!$B$17)-I319)/(T319*(1-AN319)*(1-Settings!$B$17))),"")</f>
        <v/>
      </c>
      <c r="L319" s="101">
        <f>IFERROR(IF(T319="","",(T319*(1-AO319)*(1-Settings!$C$17)-I319)/(T319*(1-AO319)*(1-Settings!$C$17))),"")</f>
        <v/>
      </c>
      <c r="M319" s="101">
        <f>IFERROR(IF(T319="","",(T319*(1-AP319)*(1-Settings!$D$17)-I319)/(T319*(1-AP319)*(1-Settings!$D$17))),"")</f>
        <v/>
      </c>
      <c r="N319" s="101">
        <f>IFERROR(IF(T319="","",(T319*(1-AQ319)*(1-Settings!$F$17)-I319)/(T319*(1-AQ319)*(1-Settings!$F$17))),"")</f>
        <v/>
      </c>
      <c r="O319" s="101">
        <f>IFERROR(IF(T319="","",(T319*(1-AR319)*(1-Settings!$G$17)-I319)/(T319*(1-AR319)*(1-Settings!$G$17))),"")</f>
        <v/>
      </c>
      <c r="P319" s="101">
        <f>IFERROR(IF(T319="","",(T319*(1-AS319)*(1-Settings!$H$17)-I319)/(T319*(1-AS319)*(1-Settings!$H$17))),"")</f>
        <v/>
      </c>
      <c r="Q319" s="101">
        <f>IFERROR(IF(T319="","",(T319*(1-AT319)*(1-Settings!$I$68)*(1-Settings!$I$17)-I319)/(T319*(1-AT319)*(1-Settings!$I$68)*(1-Settings!$I$17))),"")</f>
        <v/>
      </c>
      <c r="R319" s="91">
        <f>IFERROR(IF(OR(I319="",Z319&gt;=1,Settings!$B$17&gt;=1,AN319&gt;=1),"",IF(MOD(ROUND(I319/(1-Z319)/(1-Settings!$B$17)/(1-AN319),0),10)=0,ROUND(I319/(1-Z319)/(1-Settings!$B$17)/(1-AN319),0)-1,IF(MOD(ROUND(I319/(1-Z319)/(1-Settings!$B$17)/(1-AN319),0),10)&lt;=5,FLOOR(ROUND(I319/(1-Z319)/(1-Settings!$B$17)/(1-AN319),0),10)+6,FLOOR(ROUND(I319/(1-Z319)/(1-Settings!$B$17)/(1-AN319),0),10)+9))),"")</f>
        <v/>
      </c>
      <c r="S319" s="174">
        <f>R319*0.95</f>
        <v/>
      </c>
      <c r="T319" s="91">
        <f>IF(S319&lt;&gt;"", IF(MOD(S319,10)=0,S319-1,IF(MOD(S319,10)&lt;=5,FLOOR(S319,10)+6,FLOOR(S319,10)+9)), R319)</f>
        <v/>
      </c>
      <c r="U319" s="87" t="inlineStr">
        <is>
          <t>Основний</t>
        </is>
      </c>
      <c r="V319" s="88" t="n"/>
      <c r="W319" s="88" t="n"/>
      <c r="X319" s="89">
        <f>IFERROR(IF(OR(V319="",W319="",T319=""),"", IF(T319&gt;W319,"Дорогий",IF(T319&lt;V319,"Дешевий","У ринку"))),"")</f>
        <v/>
      </c>
      <c r="Y319" s="90" t="n"/>
      <c r="Z319" s="104">
        <f>CHOOSE(MATCH(IF($U319="","Основний",$U319),{"Трафіковий","Основний","Маржинальний","Сезонний","Стратегічний"},0),0.16,0.19,0.24,0.23,0.28)</f>
        <v/>
      </c>
      <c r="AA319" s="104">
        <f>CHOOSE(MATCH(IF($U319="","Основний",$U319),{"Трафіковий","Основний","Маржинальний","Сезонний","Стратегічний"},0),0.18,0.21,0.26,0.25,0.3)</f>
        <v/>
      </c>
      <c r="AB319" s="104">
        <f>CHOOSE(MATCH(IF($U319="","Основний",$U319),{"Трафіковий","Основний","Маржинальний","Сезонний","Стратегічний"},0),0.19,0.22,0.28,0.26,0.32)</f>
        <v/>
      </c>
      <c r="AC319" s="104">
        <f>CHOOSE(MATCH(IF($U319="","Основний",$U319),{"Трафіковий","Основний","Маржинальний","Сезонний","Стратегічний"},0),0.17,0.2,0.25,0.24,0.28)</f>
        <v/>
      </c>
      <c r="AD319" s="104">
        <f>CHOOSE(MATCH(IF($U319="","Основний",$U319),{"Трафіковий","Основний","Маржинальний","Сезонний","Стратегічний"},0),0.18,0.21,0.26,0.25,0.3)</f>
        <v/>
      </c>
      <c r="AE319" s="104">
        <f>CHOOSE(MATCH(IF($U319="","Основний",$U319),{"Трафіковий","Основний","Маржинальний","Сезонний","Стратегічний"},0),0.18,0.2,0.28,0.27,0.32)</f>
        <v/>
      </c>
      <c r="AF319" s="104">
        <f>CHOOSE(MATCH(IF($U319="","Основний",$U319),{"Трафіковий","Основний","Маржинальний","Сезонний","Стратегічний"},0),0.15,0.175,0.22,0.21,0.25)</f>
        <v/>
      </c>
      <c r="AG319" s="104">
        <f>CHOOSE(MATCH(IF($U319="","Основний",$U319),{"Трафіковий","Основний","Маржинальний","Сезонний","Стратегічний"},0),0.13,0.16,0.21,0.2,0.25)</f>
        <v/>
      </c>
      <c r="AH319" s="104">
        <f>CHOOSE(MATCH(IF($U319="","Основний",$U319),{"Трафіковий","Основний","Маржинальний","Сезонний","Стратегічний"},0),0.15,0.18,0.23,0.22,0.27)</f>
        <v/>
      </c>
      <c r="AI319" s="104">
        <f>CHOOSE(MATCH(IF($U319="","Основний",$U319),{"Трафіковий","Основний","Маржинальний","Сезонний","Стратегічний"},0),0.16,0.19,0.25,0.23,0.29)</f>
        <v/>
      </c>
      <c r="AJ319" s="104">
        <f>CHOOSE(MATCH(IF($U319="","Основний",$U319),{"Трафіковий","Основний","Маржинальний","Сезонний","Стратегічний"},0),0.14,0.17,0.22,0.21,0.25)</f>
        <v/>
      </c>
      <c r="AK319" s="104">
        <f>CHOOSE(MATCH(IF($U319="","Основний",$U319),{"Трафіковий","Основний","Маржинальний","Сезонний","Стратегічний"},0),0.15,0.18,0.23,0.22,0.27)</f>
        <v/>
      </c>
      <c r="AL319" s="104">
        <f>CHOOSE(MATCH(IF($U319="","Основний",$U319),{"Трафіковий","Основний","Маржинальний","Сезонний","Стратегічний"},0),0.15,0.17,0.25,0.24,0.29)</f>
        <v/>
      </c>
      <c r="AM319" s="104">
        <f>CHOOSE(MATCH(IF($U319="","Основний",$U319),{"Трафіковий","Основний","Маржинальний","Сезонний","Стратегічний"},0),0.12,0.145,0.19,0.18,0.22)</f>
        <v/>
      </c>
      <c r="AN319" s="157">
        <f>CHOOSE(MATCH(IF($U319="","Основний",$U319),{"Трафіковий","Основний","Маржинальний","Сезонний","Стратегічний"},0),Settings!$B$78,Settings!$B$80,Settings!$B$82,Settings!$B$84,Settings!$B$86)</f>
        <v/>
      </c>
      <c r="AO319" s="157">
        <f>CHOOSE(MATCH(IF($U319="","Основний",$U319),{"Трафіковий","Основний","Маржинальний","Сезонний","Стратегічний"},0),Settings!$C$78,Settings!$C$80,Settings!$C$82,Settings!$C$84,Settings!$C$86)</f>
        <v/>
      </c>
      <c r="AP319" s="157">
        <f>CHOOSE(MATCH(IF($U319="","Основний",$U319),{"Трафіковий","Основний","Маржинальний","Сезонний","Стратегічний"},0),Settings!$D$78,Settings!$D$80,Settings!$D$82,Settings!$D$84,Settings!$D$86)</f>
        <v/>
      </c>
      <c r="AQ319" s="157">
        <f>CHOOSE(MATCH(IF($U319="","Основний",$U319),{"Трафіковий","Основний","Маржинальний","Сезонний","Стратегічний"},0),Settings!$F$78,Settings!$F$80,Settings!$F$82,Settings!$F$84,Settings!$F$86)</f>
        <v/>
      </c>
      <c r="AR319" s="157">
        <f>CHOOSE(MATCH(IF($U319="","Основний",$U319),{"Трафіковий","Основний","Маржинальний","Сезонний","Стратегічний"},0),Settings!$G$78,Settings!$G$80,Settings!$G$82,Settings!$G$84,Settings!$G$86)</f>
        <v/>
      </c>
      <c r="AS319" s="157">
        <f>CHOOSE(MATCH(IF($U319="","Основний",$U319),{"Трафіковий","Основний","Маржинальний","Сезонний","Стратегічний"},0),Settings!$H$78,Settings!$H$80,Settings!$H$82,Settings!$H$84,Settings!$H$86)</f>
        <v/>
      </c>
      <c r="AT319" s="157">
        <f>CHOOSE(MATCH(IF($U319="","Основний",$U319),{"Трафіковий","Основний","Маржинальний","Сезонний","Стратегічний"},0),Settings!$I$78,Settings!$I$80,Settings!$I$82,Settings!$I$84,Settings!$I$86)</f>
        <v/>
      </c>
      <c r="AU319" s="171" t="n"/>
      <c r="AV319" t="n">
        <v>1.35</v>
      </c>
    </row>
    <row r="320">
      <c r="A320" s="28" t="inlineStr">
        <is>
          <t>NEW</t>
        </is>
      </c>
      <c r="B320" s="29" t="inlineStr">
        <is>
          <t>P01520W</t>
        </is>
      </c>
      <c r="C320" s="29" t="inlineStr">
        <is>
          <t>SCHUKO EX. CORD 1S 20M 1,5MM ANTIFREEZING CABLE</t>
        </is>
      </c>
      <c r="D320" s="29" t="inlineStr">
        <is>
          <t>Пооджувачи та адаптери</t>
        </is>
      </c>
      <c r="E320" s="28" t="inlineStr">
        <is>
          <t>PC</t>
        </is>
      </c>
      <c r="F320" s="93" t="n">
        <v>23.241</v>
      </c>
      <c r="G320" s="30" t="n">
        <v>8544429090</v>
      </c>
      <c r="H320" s="31" t="n">
        <v>1.4</v>
      </c>
      <c r="I320" s="84">
        <f>IFERROR(F320*Settings!$B$2*H320*IF(AND(ISNUMBER(E320),E320&gt;1),E320,1),"")</f>
        <v/>
      </c>
      <c r="J320" s="32">
        <f>Settings!$B$66</f>
        <v/>
      </c>
      <c r="K320" s="95">
        <f>IFERROR(IF(T320="","",(T320*(1-AN320)*(1-Settings!$B$17)-I320)/(T320*(1-AN320)*(1-Settings!$B$17))),"")</f>
        <v/>
      </c>
      <c r="L320" s="101">
        <f>IFERROR(IF(T320="","",(T320*(1-AO320)*(1-Settings!$C$17)-I320)/(T320*(1-AO320)*(1-Settings!$C$17))),"")</f>
        <v/>
      </c>
      <c r="M320" s="101">
        <f>IFERROR(IF(T320="","",(T320*(1-AP320)*(1-Settings!$D$17)-I320)/(T320*(1-AP320)*(1-Settings!$D$17))),"")</f>
        <v/>
      </c>
      <c r="N320" s="101">
        <f>IFERROR(IF(T320="","",(T320*(1-AQ320)*(1-Settings!$F$17)-I320)/(T320*(1-AQ320)*(1-Settings!$F$17))),"")</f>
        <v/>
      </c>
      <c r="O320" s="101">
        <f>IFERROR(IF(T320="","",(T320*(1-AR320)*(1-Settings!$G$17)-I320)/(T320*(1-AR320)*(1-Settings!$G$17))),"")</f>
        <v/>
      </c>
      <c r="P320" s="101">
        <f>IFERROR(IF(T320="","",(T320*(1-AS320)*(1-Settings!$H$17)-I320)/(T320*(1-AS320)*(1-Settings!$H$17))),"")</f>
        <v/>
      </c>
      <c r="Q320" s="101">
        <f>IFERROR(IF(T320="","",(T320*(1-AT320)*(1-Settings!$I$68)*(1-Settings!$I$17)-I320)/(T320*(1-AT320)*(1-Settings!$I$68)*(1-Settings!$I$17))),"")</f>
        <v/>
      </c>
      <c r="R320" s="91">
        <f>IFERROR(IF(OR(I320="",Z320&gt;=1,Settings!$B$17&gt;=1,AN320&gt;=1),"",IF(MOD(ROUND(I320/(1-Z320)/(1-Settings!$B$17)/(1-AN320),0),10)=0,ROUND(I320/(1-Z320)/(1-Settings!$B$17)/(1-AN320),0)-1,IF(MOD(ROUND(I320/(1-Z320)/(1-Settings!$B$17)/(1-AN320),0),10)&lt;=5,FLOOR(ROUND(I320/(1-Z320)/(1-Settings!$B$17)/(1-AN320),0),10)+6,FLOOR(ROUND(I320/(1-Z320)/(1-Settings!$B$17)/(1-AN320),0),10)+9))),"")</f>
        <v/>
      </c>
      <c r="S320" s="174">
        <f>R320*0.95</f>
        <v/>
      </c>
      <c r="T320" s="91">
        <f>IF(S320&lt;&gt;"", IF(MOD(S320,10)=0,S320-1,IF(MOD(S320,10)&lt;=5,FLOOR(S320,10)+6,FLOOR(S320,10)+9)), R320)</f>
        <v/>
      </c>
      <c r="U320" s="87" t="inlineStr">
        <is>
          <t>Основний</t>
        </is>
      </c>
      <c r="V320" s="88" t="n"/>
      <c r="W320" s="88" t="n"/>
      <c r="X320" s="89">
        <f>IFERROR(IF(OR(V320="",W320="",T320=""),"", IF(T320&gt;W320,"Дорогий",IF(T320&lt;V320,"Дешевий","У ринку"))),"")</f>
        <v/>
      </c>
      <c r="Y320" s="90" t="n"/>
      <c r="Z320" s="104">
        <f>CHOOSE(MATCH(IF($U320="","Основний",$U320),{"Трафіковий","Основний","Маржинальний","Сезонний","Стратегічний"},0),0.16,0.19,0.24,0.23,0.28)</f>
        <v/>
      </c>
      <c r="AA320" s="104">
        <f>CHOOSE(MATCH(IF($U320="","Основний",$U320),{"Трафіковий","Основний","Маржинальний","Сезонний","Стратегічний"},0),0.18,0.21,0.26,0.25,0.3)</f>
        <v/>
      </c>
      <c r="AB320" s="104">
        <f>CHOOSE(MATCH(IF($U320="","Основний",$U320),{"Трафіковий","Основний","Маржинальний","Сезонний","Стратегічний"},0),0.19,0.22,0.28,0.26,0.32)</f>
        <v/>
      </c>
      <c r="AC320" s="104">
        <f>CHOOSE(MATCH(IF($U320="","Основний",$U320),{"Трафіковий","Основний","Маржинальний","Сезонний","Стратегічний"},0),0.17,0.2,0.25,0.24,0.28)</f>
        <v/>
      </c>
      <c r="AD320" s="104">
        <f>CHOOSE(MATCH(IF($U320="","Основний",$U320),{"Трафіковий","Основний","Маржинальний","Сезонний","Стратегічний"},0),0.18,0.21,0.26,0.25,0.3)</f>
        <v/>
      </c>
      <c r="AE320" s="104">
        <f>CHOOSE(MATCH(IF($U320="","Основний",$U320),{"Трафіковий","Основний","Маржинальний","Сезонний","Стратегічний"},0),0.18,0.2,0.28,0.27,0.32)</f>
        <v/>
      </c>
      <c r="AF320" s="104">
        <f>CHOOSE(MATCH(IF($U320="","Основний",$U320),{"Трафіковий","Основний","Маржинальний","Сезонний","Стратегічний"},0),0.15,0.175,0.22,0.21,0.25)</f>
        <v/>
      </c>
      <c r="AG320" s="104">
        <f>CHOOSE(MATCH(IF($U320="","Основний",$U320),{"Трафіковий","Основний","Маржинальний","Сезонний","Стратегічний"},0),0.13,0.16,0.21,0.2,0.25)</f>
        <v/>
      </c>
      <c r="AH320" s="104">
        <f>CHOOSE(MATCH(IF($U320="","Основний",$U320),{"Трафіковий","Основний","Маржинальний","Сезонний","Стратегічний"},0),0.15,0.18,0.23,0.22,0.27)</f>
        <v/>
      </c>
      <c r="AI320" s="104">
        <f>CHOOSE(MATCH(IF($U320="","Основний",$U320),{"Трафіковий","Основний","Маржинальний","Сезонний","Стратегічний"},0),0.16,0.19,0.25,0.23,0.29)</f>
        <v/>
      </c>
      <c r="AJ320" s="104">
        <f>CHOOSE(MATCH(IF($U320="","Основний",$U320),{"Трафіковий","Основний","Маржинальний","Сезонний","Стратегічний"},0),0.14,0.17,0.22,0.21,0.25)</f>
        <v/>
      </c>
      <c r="AK320" s="104">
        <f>CHOOSE(MATCH(IF($U320="","Основний",$U320),{"Трафіковий","Основний","Маржинальний","Сезонний","Стратегічний"},0),0.15,0.18,0.23,0.22,0.27)</f>
        <v/>
      </c>
      <c r="AL320" s="104">
        <f>CHOOSE(MATCH(IF($U320="","Основний",$U320),{"Трафіковий","Основний","Маржинальний","Сезонний","Стратегічний"},0),0.15,0.17,0.25,0.24,0.29)</f>
        <v/>
      </c>
      <c r="AM320" s="104">
        <f>CHOOSE(MATCH(IF($U320="","Основний",$U320),{"Трафіковий","Основний","Маржинальний","Сезонний","Стратегічний"},0),0.12,0.145,0.19,0.18,0.22)</f>
        <v/>
      </c>
      <c r="AN320" s="157">
        <f>CHOOSE(MATCH(IF($U320="","Основний",$U320),{"Трафіковий","Основний","Маржинальний","Сезонний","Стратегічний"},0),Settings!$B$78,Settings!$B$80,Settings!$B$82,Settings!$B$84,Settings!$B$86)</f>
        <v/>
      </c>
      <c r="AO320" s="157">
        <f>CHOOSE(MATCH(IF($U320="","Основний",$U320),{"Трафіковий","Основний","Маржинальний","Сезонний","Стратегічний"},0),Settings!$C$78,Settings!$C$80,Settings!$C$82,Settings!$C$84,Settings!$C$86)</f>
        <v/>
      </c>
      <c r="AP320" s="157">
        <f>CHOOSE(MATCH(IF($U320="","Основний",$U320),{"Трафіковий","Основний","Маржинальний","Сезонний","Стратегічний"},0),Settings!$D$78,Settings!$D$80,Settings!$D$82,Settings!$D$84,Settings!$D$86)</f>
        <v/>
      </c>
      <c r="AQ320" s="157">
        <f>CHOOSE(MATCH(IF($U320="","Основний",$U320),{"Трафіковий","Основний","Маржинальний","Сезонний","Стратегічний"},0),Settings!$F$78,Settings!$F$80,Settings!$F$82,Settings!$F$84,Settings!$F$86)</f>
        <v/>
      </c>
      <c r="AR320" s="157">
        <f>CHOOSE(MATCH(IF($U320="","Основний",$U320),{"Трафіковий","Основний","Маржинальний","Сезонний","Стратегічний"},0),Settings!$G$78,Settings!$G$80,Settings!$G$82,Settings!$G$84,Settings!$G$86)</f>
        <v/>
      </c>
      <c r="AS320" s="157">
        <f>CHOOSE(MATCH(IF($U320="","Основний",$U320),{"Трафіковий","Основний","Маржинальний","Сезонний","Стратегічний"},0),Settings!$H$78,Settings!$H$80,Settings!$H$82,Settings!$H$84,Settings!$H$86)</f>
        <v/>
      </c>
      <c r="AT320" s="157">
        <f>CHOOSE(MATCH(IF($U320="","Основний",$U320),{"Трафіковий","Основний","Маржинальний","Сезонний","Стратегічний"},0),Settings!$I$78,Settings!$I$80,Settings!$I$82,Settings!$I$84,Settings!$I$86)</f>
        <v/>
      </c>
      <c r="AU320" s="171" t="n"/>
      <c r="AV320" t="n">
        <v>1.35</v>
      </c>
    </row>
    <row r="321">
      <c r="A321" s="33" t="inlineStr">
        <is>
          <t>NEW</t>
        </is>
      </c>
      <c r="B321" s="34" t="inlineStr">
        <is>
          <t>PC0121R</t>
        </is>
      </c>
      <c r="C321" s="34" t="inlineStr">
        <is>
          <t>POWER CORD SET 1S 1,5M SCH 1,5MM</t>
        </is>
      </c>
      <c r="D321" s="34" t="inlineStr">
        <is>
          <t>Пооджувачи та адаптери</t>
        </is>
      </c>
      <c r="E321" s="33" t="inlineStr">
        <is>
          <t>PC</t>
        </is>
      </c>
      <c r="F321" s="94" t="n">
        <v>2.122</v>
      </c>
      <c r="G321" s="35" t="n">
        <v>8544429090</v>
      </c>
      <c r="H321" s="31" t="n">
        <v>1.4</v>
      </c>
      <c r="I321" s="84">
        <f>IFERROR(F321*Settings!$B$2*H321*IF(AND(ISNUMBER(E321),E321&gt;1),E321,1),"")</f>
        <v/>
      </c>
      <c r="J321" s="32">
        <f>Settings!$B$66</f>
        <v/>
      </c>
      <c r="K321" s="95">
        <f>IFERROR(IF(T321="","",(T321*(1-AN321)*(1-Settings!$B$17)-I321)/(T321*(1-AN321)*(1-Settings!$B$17))),"")</f>
        <v/>
      </c>
      <c r="L321" s="101">
        <f>IFERROR(IF(T321="","",(T321*(1-AO321)*(1-Settings!$C$17)-I321)/(T321*(1-AO321)*(1-Settings!$C$17))),"")</f>
        <v/>
      </c>
      <c r="M321" s="101">
        <f>IFERROR(IF(T321="","",(T321*(1-AP321)*(1-Settings!$D$17)-I321)/(T321*(1-AP321)*(1-Settings!$D$17))),"")</f>
        <v/>
      </c>
      <c r="N321" s="101">
        <f>IFERROR(IF(T321="","",(T321*(1-AQ321)*(1-Settings!$F$17)-I321)/(T321*(1-AQ321)*(1-Settings!$F$17))),"")</f>
        <v/>
      </c>
      <c r="O321" s="101">
        <f>IFERROR(IF(T321="","",(T321*(1-AR321)*(1-Settings!$G$17)-I321)/(T321*(1-AR321)*(1-Settings!$G$17))),"")</f>
        <v/>
      </c>
      <c r="P321" s="101">
        <f>IFERROR(IF(T321="","",(T321*(1-AS321)*(1-Settings!$H$17)-I321)/(T321*(1-AS321)*(1-Settings!$H$17))),"")</f>
        <v/>
      </c>
      <c r="Q321" s="101">
        <f>IFERROR(IF(T321="","",(T321*(1-AT321)*(1-Settings!$I$68)*(1-Settings!$I$17)-I321)/(T321*(1-AT321)*(1-Settings!$I$68)*(1-Settings!$I$17))),"")</f>
        <v/>
      </c>
      <c r="R321" s="91">
        <f>IFERROR(IF(OR(I321="",Z321&gt;=1,Settings!$B$17&gt;=1,AN321&gt;=1),"",IF(MOD(ROUND(I321/(1-Z321)/(1-Settings!$B$17)/(1-AN321),0),10)=0,ROUND(I321/(1-Z321)/(1-Settings!$B$17)/(1-AN321),0)-1,IF(MOD(ROUND(I321/(1-Z321)/(1-Settings!$B$17)/(1-AN321),0),10)&lt;=5,FLOOR(ROUND(I321/(1-Z321)/(1-Settings!$B$17)/(1-AN321),0),10)+6,FLOOR(ROUND(I321/(1-Z321)/(1-Settings!$B$17)/(1-AN321),0),10)+9))),"")</f>
        <v/>
      </c>
      <c r="S321" s="174">
        <f>R321*0.95</f>
        <v/>
      </c>
      <c r="T321" s="91">
        <f>IF(S321&lt;&gt;"", IF(MOD(S321,10)=0,S321-1,IF(MOD(S321,10)&lt;=5,FLOOR(S321,10)+6,FLOOR(S321,10)+9)), R321)</f>
        <v/>
      </c>
      <c r="U321" s="87" t="inlineStr">
        <is>
          <t>Основний</t>
        </is>
      </c>
      <c r="V321" s="88" t="n"/>
      <c r="W321" s="88" t="n"/>
      <c r="X321" s="89">
        <f>IFERROR(IF(OR(V321="",W321="",T321=""),"", IF(T321&gt;W321,"Дорогий",IF(T321&lt;V321,"Дешевий","У ринку"))),"")</f>
        <v/>
      </c>
      <c r="Y321" s="90" t="n"/>
      <c r="Z321" s="104">
        <f>CHOOSE(MATCH(IF($U321="","Основний",$U321),{"Трафіковий","Основний","Маржинальний","Сезонний","Стратегічний"},0),0.16,0.19,0.24,0.23,0.28)</f>
        <v/>
      </c>
      <c r="AA321" s="104">
        <f>CHOOSE(MATCH(IF($U321="","Основний",$U321),{"Трафіковий","Основний","Маржинальний","Сезонний","Стратегічний"},0),0.18,0.21,0.26,0.25,0.3)</f>
        <v/>
      </c>
      <c r="AB321" s="104">
        <f>CHOOSE(MATCH(IF($U321="","Основний",$U321),{"Трафіковий","Основний","Маржинальний","Сезонний","Стратегічний"},0),0.19,0.22,0.28,0.26,0.32)</f>
        <v/>
      </c>
      <c r="AC321" s="104">
        <f>CHOOSE(MATCH(IF($U321="","Основний",$U321),{"Трафіковий","Основний","Маржинальний","Сезонний","Стратегічний"},0),0.17,0.2,0.25,0.24,0.28)</f>
        <v/>
      </c>
      <c r="AD321" s="104">
        <f>CHOOSE(MATCH(IF($U321="","Основний",$U321),{"Трафіковий","Основний","Маржинальний","Сезонний","Стратегічний"},0),0.18,0.21,0.26,0.25,0.3)</f>
        <v/>
      </c>
      <c r="AE321" s="104">
        <f>CHOOSE(MATCH(IF($U321="","Основний",$U321),{"Трафіковий","Основний","Маржинальний","Сезонний","Стратегічний"},0),0.18,0.2,0.28,0.27,0.32)</f>
        <v/>
      </c>
      <c r="AF321" s="104">
        <f>CHOOSE(MATCH(IF($U321="","Основний",$U321),{"Трафіковий","Основний","Маржинальний","Сезонний","Стратегічний"},0),0.15,0.175,0.22,0.21,0.25)</f>
        <v/>
      </c>
      <c r="AG321" s="104">
        <f>CHOOSE(MATCH(IF($U321="","Основний",$U321),{"Трафіковий","Основний","Маржинальний","Сезонний","Стратегічний"},0),0.13,0.16,0.21,0.2,0.25)</f>
        <v/>
      </c>
      <c r="AH321" s="104">
        <f>CHOOSE(MATCH(IF($U321="","Основний",$U321),{"Трафіковий","Основний","Маржинальний","Сезонний","Стратегічний"},0),0.15,0.18,0.23,0.22,0.27)</f>
        <v/>
      </c>
      <c r="AI321" s="104">
        <f>CHOOSE(MATCH(IF($U321="","Основний",$U321),{"Трафіковий","Основний","Маржинальний","Сезонний","Стратегічний"},0),0.16,0.19,0.25,0.23,0.29)</f>
        <v/>
      </c>
      <c r="AJ321" s="104">
        <f>CHOOSE(MATCH(IF($U321="","Основний",$U321),{"Трафіковий","Основний","Маржинальний","Сезонний","Стратегічний"},0),0.14,0.17,0.22,0.21,0.25)</f>
        <v/>
      </c>
      <c r="AK321" s="104">
        <f>CHOOSE(MATCH(IF($U321="","Основний",$U321),{"Трафіковий","Основний","Маржинальний","Сезонний","Стратегічний"},0),0.15,0.18,0.23,0.22,0.27)</f>
        <v/>
      </c>
      <c r="AL321" s="104">
        <f>CHOOSE(MATCH(IF($U321="","Основний",$U321),{"Трафіковий","Основний","Маржинальний","Сезонний","Стратегічний"},0),0.15,0.17,0.25,0.24,0.29)</f>
        <v/>
      </c>
      <c r="AM321" s="104">
        <f>CHOOSE(MATCH(IF($U321="","Основний",$U321),{"Трафіковий","Основний","Маржинальний","Сезонний","Стратегічний"},0),0.12,0.145,0.19,0.18,0.22)</f>
        <v/>
      </c>
      <c r="AN321" s="157">
        <f>CHOOSE(MATCH(IF($U321="","Основний",$U321),{"Трафіковий","Основний","Маржинальний","Сезонний","Стратегічний"},0),Settings!$B$78,Settings!$B$80,Settings!$B$82,Settings!$B$84,Settings!$B$86)</f>
        <v/>
      </c>
      <c r="AO321" s="157">
        <f>CHOOSE(MATCH(IF($U321="","Основний",$U321),{"Трафіковий","Основний","Маржинальний","Сезонний","Стратегічний"},0),Settings!$C$78,Settings!$C$80,Settings!$C$82,Settings!$C$84,Settings!$C$86)</f>
        <v/>
      </c>
      <c r="AP321" s="157">
        <f>CHOOSE(MATCH(IF($U321="","Основний",$U321),{"Трафіковий","Основний","Маржинальний","Сезонний","Стратегічний"},0),Settings!$D$78,Settings!$D$80,Settings!$D$82,Settings!$D$84,Settings!$D$86)</f>
        <v/>
      </c>
      <c r="AQ321" s="157">
        <f>CHOOSE(MATCH(IF($U321="","Основний",$U321),{"Трафіковий","Основний","Маржинальний","Сезонний","Стратегічний"},0),Settings!$F$78,Settings!$F$80,Settings!$F$82,Settings!$F$84,Settings!$F$86)</f>
        <v/>
      </c>
      <c r="AR321" s="157">
        <f>CHOOSE(MATCH(IF($U321="","Основний",$U321),{"Трафіковий","Основний","Маржинальний","Сезонний","Стратегічний"},0),Settings!$G$78,Settings!$G$80,Settings!$G$82,Settings!$G$84,Settings!$G$86)</f>
        <v/>
      </c>
      <c r="AS321" s="157">
        <f>CHOOSE(MATCH(IF($U321="","Основний",$U321),{"Трафіковий","Основний","Маржинальний","Сезонний","Стратегічний"},0),Settings!$H$78,Settings!$H$80,Settings!$H$82,Settings!$H$84,Settings!$H$86)</f>
        <v/>
      </c>
      <c r="AT321" s="157">
        <f>CHOOSE(MATCH(IF($U321="","Основний",$U321),{"Трафіковий","Основний","Маржинальний","Сезонний","Стратегічний"},0),Settings!$I$78,Settings!$I$80,Settings!$I$82,Settings!$I$84,Settings!$I$86)</f>
        <v/>
      </c>
      <c r="AU321" s="171" t="n"/>
      <c r="AV321" t="n">
        <v>1.35</v>
      </c>
    </row>
    <row r="322">
      <c r="A322" s="28" t="inlineStr">
        <is>
          <t>NEW</t>
        </is>
      </c>
      <c r="B322" s="29" t="inlineStr">
        <is>
          <t>PC0123R</t>
        </is>
      </c>
      <c r="C322" s="29" t="inlineStr">
        <is>
          <t>POWER CORD SET 1S 3M SCH 1,5MM</t>
        </is>
      </c>
      <c r="D322" s="29" t="inlineStr">
        <is>
          <t>Пооджувачи та адаптери</t>
        </is>
      </c>
      <c r="E322" s="28" t="inlineStr">
        <is>
          <t>PC</t>
        </is>
      </c>
      <c r="F322" s="93" t="n">
        <v>3.285</v>
      </c>
      <c r="G322" s="30" t="n">
        <v>8544429090</v>
      </c>
      <c r="H322" s="31" t="n">
        <v>1.4</v>
      </c>
      <c r="I322" s="84">
        <f>IFERROR(F322*Settings!$B$2*H322*IF(AND(ISNUMBER(E322),E322&gt;1),E322,1),"")</f>
        <v/>
      </c>
      <c r="J322" s="32">
        <f>Settings!$B$66</f>
        <v/>
      </c>
      <c r="K322" s="95">
        <f>IFERROR(IF(T322="","",(T322*(1-AN322)*(1-Settings!$B$17)-I322)/(T322*(1-AN322)*(1-Settings!$B$17))),"")</f>
        <v/>
      </c>
      <c r="L322" s="101">
        <f>IFERROR(IF(T322="","",(T322*(1-AO322)*(1-Settings!$C$17)-I322)/(T322*(1-AO322)*(1-Settings!$C$17))),"")</f>
        <v/>
      </c>
      <c r="M322" s="101">
        <f>IFERROR(IF(T322="","",(T322*(1-AP322)*(1-Settings!$D$17)-I322)/(T322*(1-AP322)*(1-Settings!$D$17))),"")</f>
        <v/>
      </c>
      <c r="N322" s="101">
        <f>IFERROR(IF(T322="","",(T322*(1-AQ322)*(1-Settings!$F$17)-I322)/(T322*(1-AQ322)*(1-Settings!$F$17))),"")</f>
        <v/>
      </c>
      <c r="O322" s="101">
        <f>IFERROR(IF(T322="","",(T322*(1-AR322)*(1-Settings!$G$17)-I322)/(T322*(1-AR322)*(1-Settings!$G$17))),"")</f>
        <v/>
      </c>
      <c r="P322" s="101">
        <f>IFERROR(IF(T322="","",(T322*(1-AS322)*(1-Settings!$H$17)-I322)/(T322*(1-AS322)*(1-Settings!$H$17))),"")</f>
        <v/>
      </c>
      <c r="Q322" s="101">
        <f>IFERROR(IF(T322="","",(T322*(1-AT322)*(1-Settings!$I$68)*(1-Settings!$I$17)-I322)/(T322*(1-AT322)*(1-Settings!$I$68)*(1-Settings!$I$17))),"")</f>
        <v/>
      </c>
      <c r="R322" s="91">
        <f>IFERROR(IF(OR(I322="",Z322&gt;=1,Settings!$B$17&gt;=1,AN322&gt;=1),"",IF(MOD(ROUND(I322/(1-Z322)/(1-Settings!$B$17)/(1-AN322),0),10)=0,ROUND(I322/(1-Z322)/(1-Settings!$B$17)/(1-AN322),0)-1,IF(MOD(ROUND(I322/(1-Z322)/(1-Settings!$B$17)/(1-AN322),0),10)&lt;=5,FLOOR(ROUND(I322/(1-Z322)/(1-Settings!$B$17)/(1-AN322),0),10)+6,FLOOR(ROUND(I322/(1-Z322)/(1-Settings!$B$17)/(1-AN322),0),10)+9))),"")</f>
        <v/>
      </c>
      <c r="S322" s="174">
        <f>R322*0.95</f>
        <v/>
      </c>
      <c r="T322" s="91">
        <f>IF(S322&lt;&gt;"", IF(MOD(S322,10)=0,S322-1,IF(MOD(S322,10)&lt;=5,FLOOR(S322,10)+6,FLOOR(S322,10)+9)), R322)</f>
        <v/>
      </c>
      <c r="U322" s="87" t="inlineStr">
        <is>
          <t>Основний</t>
        </is>
      </c>
      <c r="V322" s="88" t="n"/>
      <c r="W322" s="88" t="n"/>
      <c r="X322" s="89">
        <f>IFERROR(IF(OR(V322="",W322="",T322=""),"", IF(T322&gt;W322,"Дорогий",IF(T322&lt;V322,"Дешевий","У ринку"))),"")</f>
        <v/>
      </c>
      <c r="Y322" s="90" t="n"/>
      <c r="Z322" s="104">
        <f>CHOOSE(MATCH(IF($U322="","Основний",$U322),{"Трафіковий","Основний","Маржинальний","Сезонний","Стратегічний"},0),0.16,0.19,0.24,0.23,0.28)</f>
        <v/>
      </c>
      <c r="AA322" s="104">
        <f>CHOOSE(MATCH(IF($U322="","Основний",$U322),{"Трафіковий","Основний","Маржинальний","Сезонний","Стратегічний"},0),0.18,0.21,0.26,0.25,0.3)</f>
        <v/>
      </c>
      <c r="AB322" s="104">
        <f>CHOOSE(MATCH(IF($U322="","Основний",$U322),{"Трафіковий","Основний","Маржинальний","Сезонний","Стратегічний"},0),0.19,0.22,0.28,0.26,0.32)</f>
        <v/>
      </c>
      <c r="AC322" s="104">
        <f>CHOOSE(MATCH(IF($U322="","Основний",$U322),{"Трафіковий","Основний","Маржинальний","Сезонний","Стратегічний"},0),0.17,0.2,0.25,0.24,0.28)</f>
        <v/>
      </c>
      <c r="AD322" s="104">
        <f>CHOOSE(MATCH(IF($U322="","Основний",$U322),{"Трафіковий","Основний","Маржинальний","Сезонний","Стратегічний"},0),0.18,0.21,0.26,0.25,0.3)</f>
        <v/>
      </c>
      <c r="AE322" s="104">
        <f>CHOOSE(MATCH(IF($U322="","Основний",$U322),{"Трафіковий","Основний","Маржинальний","Сезонний","Стратегічний"},0),0.18,0.2,0.28,0.27,0.32)</f>
        <v/>
      </c>
      <c r="AF322" s="104">
        <f>CHOOSE(MATCH(IF($U322="","Основний",$U322),{"Трафіковий","Основний","Маржинальний","Сезонний","Стратегічний"},0),0.15,0.175,0.22,0.21,0.25)</f>
        <v/>
      </c>
      <c r="AG322" s="104">
        <f>CHOOSE(MATCH(IF($U322="","Основний",$U322),{"Трафіковий","Основний","Маржинальний","Сезонний","Стратегічний"},0),0.13,0.16,0.21,0.2,0.25)</f>
        <v/>
      </c>
      <c r="AH322" s="104">
        <f>CHOOSE(MATCH(IF($U322="","Основний",$U322),{"Трафіковий","Основний","Маржинальний","Сезонний","Стратегічний"},0),0.15,0.18,0.23,0.22,0.27)</f>
        <v/>
      </c>
      <c r="AI322" s="104">
        <f>CHOOSE(MATCH(IF($U322="","Основний",$U322),{"Трафіковий","Основний","Маржинальний","Сезонний","Стратегічний"},0),0.16,0.19,0.25,0.23,0.29)</f>
        <v/>
      </c>
      <c r="AJ322" s="104">
        <f>CHOOSE(MATCH(IF($U322="","Основний",$U322),{"Трафіковий","Основний","Маржинальний","Сезонний","Стратегічний"},0),0.14,0.17,0.22,0.21,0.25)</f>
        <v/>
      </c>
      <c r="AK322" s="104">
        <f>CHOOSE(MATCH(IF($U322="","Основний",$U322),{"Трафіковий","Основний","Маржинальний","Сезонний","Стратегічний"},0),0.15,0.18,0.23,0.22,0.27)</f>
        <v/>
      </c>
      <c r="AL322" s="104">
        <f>CHOOSE(MATCH(IF($U322="","Основний",$U322),{"Трафіковий","Основний","Маржинальний","Сезонний","Стратегічний"},0),0.15,0.17,0.25,0.24,0.29)</f>
        <v/>
      </c>
      <c r="AM322" s="104">
        <f>CHOOSE(MATCH(IF($U322="","Основний",$U322),{"Трафіковий","Основний","Маржинальний","Сезонний","Стратегічний"},0),0.12,0.145,0.19,0.18,0.22)</f>
        <v/>
      </c>
      <c r="AN322" s="157">
        <f>CHOOSE(MATCH(IF($U322="","Основний",$U322),{"Трафіковий","Основний","Маржинальний","Сезонний","Стратегічний"},0),Settings!$B$78,Settings!$B$80,Settings!$B$82,Settings!$B$84,Settings!$B$86)</f>
        <v/>
      </c>
      <c r="AO322" s="157">
        <f>CHOOSE(MATCH(IF($U322="","Основний",$U322),{"Трафіковий","Основний","Маржинальний","Сезонний","Стратегічний"},0),Settings!$C$78,Settings!$C$80,Settings!$C$82,Settings!$C$84,Settings!$C$86)</f>
        <v/>
      </c>
      <c r="AP322" s="157">
        <f>CHOOSE(MATCH(IF($U322="","Основний",$U322),{"Трафіковий","Основний","Маржинальний","Сезонний","Стратегічний"},0),Settings!$D$78,Settings!$D$80,Settings!$D$82,Settings!$D$84,Settings!$D$86)</f>
        <v/>
      </c>
      <c r="AQ322" s="157">
        <f>CHOOSE(MATCH(IF($U322="","Основний",$U322),{"Трафіковий","Основний","Маржинальний","Сезонний","Стратегічний"},0),Settings!$F$78,Settings!$F$80,Settings!$F$82,Settings!$F$84,Settings!$F$86)</f>
        <v/>
      </c>
      <c r="AR322" s="157">
        <f>CHOOSE(MATCH(IF($U322="","Основний",$U322),{"Трафіковий","Основний","Маржинальний","Сезонний","Стратегічний"},0),Settings!$G$78,Settings!$G$80,Settings!$G$82,Settings!$G$84,Settings!$G$86)</f>
        <v/>
      </c>
      <c r="AS322" s="157">
        <f>CHOOSE(MATCH(IF($U322="","Основний",$U322),{"Трафіковий","Основний","Маржинальний","Сезонний","Стратегічний"},0),Settings!$H$78,Settings!$H$80,Settings!$H$82,Settings!$H$84,Settings!$H$86)</f>
        <v/>
      </c>
      <c r="AT322" s="157">
        <f>CHOOSE(MATCH(IF($U322="","Основний",$U322),{"Трафіковий","Основний","Маржинальний","Сезонний","Стратегічний"},0),Settings!$I$78,Settings!$I$80,Settings!$I$82,Settings!$I$84,Settings!$I$86)</f>
        <v/>
      </c>
      <c r="AU322" s="171" t="n"/>
      <c r="AV322" t="n">
        <v>1.35</v>
      </c>
    </row>
    <row r="323">
      <c r="A323" s="33" t="inlineStr">
        <is>
          <t>NEW</t>
        </is>
      </c>
      <c r="B323" s="34" t="inlineStr">
        <is>
          <t>PC0125R</t>
        </is>
      </c>
      <c r="C323" s="34" t="inlineStr">
        <is>
          <t>POWER CORD SET 1S 5M SCH 1,5MM</t>
        </is>
      </c>
      <c r="D323" s="34" t="inlineStr">
        <is>
          <t>Пооджувачи та адаптери</t>
        </is>
      </c>
      <c r="E323" s="33" t="inlineStr">
        <is>
          <t>PC</t>
        </is>
      </c>
      <c r="F323" s="94" t="n">
        <v>4.914</v>
      </c>
      <c r="G323" s="35" t="n">
        <v>8544429090</v>
      </c>
      <c r="H323" s="31" t="n">
        <v>1.4</v>
      </c>
      <c r="I323" s="84">
        <f>IFERROR(F323*Settings!$B$2*H323*IF(AND(ISNUMBER(E323),E323&gt;1),E323,1),"")</f>
        <v/>
      </c>
      <c r="J323" s="32">
        <f>Settings!$B$66</f>
        <v/>
      </c>
      <c r="K323" s="95">
        <f>IFERROR(IF(T323="","",(T323*(1-AN323)*(1-Settings!$B$17)-I323)/(T323*(1-AN323)*(1-Settings!$B$17))),"")</f>
        <v/>
      </c>
      <c r="L323" s="101">
        <f>IFERROR(IF(T323="","",(T323*(1-AO323)*(1-Settings!$C$17)-I323)/(T323*(1-AO323)*(1-Settings!$C$17))),"")</f>
        <v/>
      </c>
      <c r="M323" s="101">
        <f>IFERROR(IF(T323="","",(T323*(1-AP323)*(1-Settings!$D$17)-I323)/(T323*(1-AP323)*(1-Settings!$D$17))),"")</f>
        <v/>
      </c>
      <c r="N323" s="101">
        <f>IFERROR(IF(T323="","",(T323*(1-AQ323)*(1-Settings!$F$17)-I323)/(T323*(1-AQ323)*(1-Settings!$F$17))),"")</f>
        <v/>
      </c>
      <c r="O323" s="101">
        <f>IFERROR(IF(T323="","",(T323*(1-AR323)*(1-Settings!$G$17)-I323)/(T323*(1-AR323)*(1-Settings!$G$17))),"")</f>
        <v/>
      </c>
      <c r="P323" s="101">
        <f>IFERROR(IF(T323="","",(T323*(1-AS323)*(1-Settings!$H$17)-I323)/(T323*(1-AS323)*(1-Settings!$H$17))),"")</f>
        <v/>
      </c>
      <c r="Q323" s="101">
        <f>IFERROR(IF(T323="","",(T323*(1-AT323)*(1-Settings!$I$68)*(1-Settings!$I$17)-I323)/(T323*(1-AT323)*(1-Settings!$I$68)*(1-Settings!$I$17))),"")</f>
        <v/>
      </c>
      <c r="R323" s="91">
        <f>IFERROR(IF(OR(I323="",Z323&gt;=1,Settings!$B$17&gt;=1,AN323&gt;=1),"",IF(MOD(ROUND(I323/(1-Z323)/(1-Settings!$B$17)/(1-AN323),0),10)=0,ROUND(I323/(1-Z323)/(1-Settings!$B$17)/(1-AN323),0)-1,IF(MOD(ROUND(I323/(1-Z323)/(1-Settings!$B$17)/(1-AN323),0),10)&lt;=5,FLOOR(ROUND(I323/(1-Z323)/(1-Settings!$B$17)/(1-AN323),0),10)+6,FLOOR(ROUND(I323/(1-Z323)/(1-Settings!$B$17)/(1-AN323),0),10)+9))),"")</f>
        <v/>
      </c>
      <c r="S323" s="174">
        <f>R323*0.95</f>
        <v/>
      </c>
      <c r="T323" s="91">
        <f>IF(S323&lt;&gt;"", IF(MOD(S323,10)=0,S323-1,IF(MOD(S323,10)&lt;=5,FLOOR(S323,10)+6,FLOOR(S323,10)+9)), R323)</f>
        <v/>
      </c>
      <c r="U323" s="87" t="inlineStr">
        <is>
          <t>Основний</t>
        </is>
      </c>
      <c r="V323" s="88" t="n"/>
      <c r="W323" s="88" t="n"/>
      <c r="X323" s="89">
        <f>IFERROR(IF(OR(V323="",W323="",T323=""),"", IF(T323&gt;W323,"Дорогий",IF(T323&lt;V323,"Дешевий","У ринку"))),"")</f>
        <v/>
      </c>
      <c r="Y323" s="90" t="n"/>
      <c r="Z323" s="104">
        <f>CHOOSE(MATCH(IF($U323="","Основний",$U323),{"Трафіковий","Основний","Маржинальний","Сезонний","Стратегічний"},0),0.16,0.19,0.24,0.23,0.28)</f>
        <v/>
      </c>
      <c r="AA323" s="104">
        <f>CHOOSE(MATCH(IF($U323="","Основний",$U323),{"Трафіковий","Основний","Маржинальний","Сезонний","Стратегічний"},0),0.18,0.21,0.26,0.25,0.3)</f>
        <v/>
      </c>
      <c r="AB323" s="104">
        <f>CHOOSE(MATCH(IF($U323="","Основний",$U323),{"Трафіковий","Основний","Маржинальний","Сезонний","Стратегічний"},0),0.19,0.22,0.28,0.26,0.32)</f>
        <v/>
      </c>
      <c r="AC323" s="104">
        <f>CHOOSE(MATCH(IF($U323="","Основний",$U323),{"Трафіковий","Основний","Маржинальний","Сезонний","Стратегічний"},0),0.17,0.2,0.25,0.24,0.28)</f>
        <v/>
      </c>
      <c r="AD323" s="104">
        <f>CHOOSE(MATCH(IF($U323="","Основний",$U323),{"Трафіковий","Основний","Маржинальний","Сезонний","Стратегічний"},0),0.18,0.21,0.26,0.25,0.3)</f>
        <v/>
      </c>
      <c r="AE323" s="104">
        <f>CHOOSE(MATCH(IF($U323="","Основний",$U323),{"Трафіковий","Основний","Маржинальний","Сезонний","Стратегічний"},0),0.18,0.2,0.28,0.27,0.32)</f>
        <v/>
      </c>
      <c r="AF323" s="104">
        <f>CHOOSE(MATCH(IF($U323="","Основний",$U323),{"Трафіковий","Основний","Маржинальний","Сезонний","Стратегічний"},0),0.15,0.175,0.22,0.21,0.25)</f>
        <v/>
      </c>
      <c r="AG323" s="104">
        <f>CHOOSE(MATCH(IF($U323="","Основний",$U323),{"Трафіковий","Основний","Маржинальний","Сезонний","Стратегічний"},0),0.13,0.16,0.21,0.2,0.25)</f>
        <v/>
      </c>
      <c r="AH323" s="104">
        <f>CHOOSE(MATCH(IF($U323="","Основний",$U323),{"Трафіковий","Основний","Маржинальний","Сезонний","Стратегічний"},0),0.15,0.18,0.23,0.22,0.27)</f>
        <v/>
      </c>
      <c r="AI323" s="104">
        <f>CHOOSE(MATCH(IF($U323="","Основний",$U323),{"Трафіковий","Основний","Маржинальний","Сезонний","Стратегічний"},0),0.16,0.19,0.25,0.23,0.29)</f>
        <v/>
      </c>
      <c r="AJ323" s="104">
        <f>CHOOSE(MATCH(IF($U323="","Основний",$U323),{"Трафіковий","Основний","Маржинальний","Сезонний","Стратегічний"},0),0.14,0.17,0.22,0.21,0.25)</f>
        <v/>
      </c>
      <c r="AK323" s="104">
        <f>CHOOSE(MATCH(IF($U323="","Основний",$U323),{"Трафіковий","Основний","Маржинальний","Сезонний","Стратегічний"},0),0.15,0.18,0.23,0.22,0.27)</f>
        <v/>
      </c>
      <c r="AL323" s="104">
        <f>CHOOSE(MATCH(IF($U323="","Основний",$U323),{"Трафіковий","Основний","Маржинальний","Сезонний","Стратегічний"},0),0.15,0.17,0.25,0.24,0.29)</f>
        <v/>
      </c>
      <c r="AM323" s="104">
        <f>CHOOSE(MATCH(IF($U323="","Основний",$U323),{"Трафіковий","Основний","Маржинальний","Сезонний","Стратегічний"},0),0.12,0.145,0.19,0.18,0.22)</f>
        <v/>
      </c>
      <c r="AN323" s="157">
        <f>CHOOSE(MATCH(IF($U323="","Основний",$U323),{"Трафіковий","Основний","Маржинальний","Сезонний","Стратегічний"},0),Settings!$B$78,Settings!$B$80,Settings!$B$82,Settings!$B$84,Settings!$B$86)</f>
        <v/>
      </c>
      <c r="AO323" s="157">
        <f>CHOOSE(MATCH(IF($U323="","Основний",$U323),{"Трафіковий","Основний","Маржинальний","Сезонний","Стратегічний"},0),Settings!$C$78,Settings!$C$80,Settings!$C$82,Settings!$C$84,Settings!$C$86)</f>
        <v/>
      </c>
      <c r="AP323" s="157">
        <f>CHOOSE(MATCH(IF($U323="","Основний",$U323),{"Трафіковий","Основний","Маржинальний","Сезонний","Стратегічний"},0),Settings!$D$78,Settings!$D$80,Settings!$D$82,Settings!$D$84,Settings!$D$86)</f>
        <v/>
      </c>
      <c r="AQ323" s="157">
        <f>CHOOSE(MATCH(IF($U323="","Основний",$U323),{"Трафіковий","Основний","Маржинальний","Сезонний","Стратегічний"},0),Settings!$F$78,Settings!$F$80,Settings!$F$82,Settings!$F$84,Settings!$F$86)</f>
        <v/>
      </c>
      <c r="AR323" s="157">
        <f>CHOOSE(MATCH(IF($U323="","Основний",$U323),{"Трафіковий","Основний","Маржинальний","Сезонний","Стратегічний"},0),Settings!$G$78,Settings!$G$80,Settings!$G$82,Settings!$G$84,Settings!$G$86)</f>
        <v/>
      </c>
      <c r="AS323" s="157">
        <f>CHOOSE(MATCH(IF($U323="","Основний",$U323),{"Трафіковий","Основний","Маржинальний","Сезонний","Стратегічний"},0),Settings!$H$78,Settings!$H$80,Settings!$H$82,Settings!$H$84,Settings!$H$86)</f>
        <v/>
      </c>
      <c r="AT323" s="157">
        <f>CHOOSE(MATCH(IF($U323="","Основний",$U323),{"Трафіковий","Основний","Маржинальний","Сезонний","Стратегічний"},0),Settings!$I$78,Settings!$I$80,Settings!$I$82,Settings!$I$84,Settings!$I$86)</f>
        <v/>
      </c>
      <c r="AU323" s="171" t="n"/>
      <c r="AV323" t="n">
        <v>1.35</v>
      </c>
    </row>
    <row r="324">
      <c r="A324" s="28" t="inlineStr">
        <is>
          <t>NEW</t>
        </is>
      </c>
      <c r="B324" s="29" t="inlineStr">
        <is>
          <t>P0121</t>
        </is>
      </c>
      <c r="C324" s="29" t="inlineStr">
        <is>
          <t>POWER CORD SET 1S 1,4M SCHUKO</t>
        </is>
      </c>
      <c r="D324" s="29" t="inlineStr">
        <is>
          <t>Пооджувачи та адаптери</t>
        </is>
      </c>
      <c r="E324" s="28" t="inlineStr">
        <is>
          <t>PC</t>
        </is>
      </c>
      <c r="F324" s="93" t="n">
        <v>1.505</v>
      </c>
      <c r="G324" s="30" t="n">
        <v>8544429090</v>
      </c>
      <c r="H324" s="31" t="n">
        <v>1.4</v>
      </c>
      <c r="I324" s="84">
        <f>IFERROR(F324*Settings!$B$2*H324*IF(AND(ISNUMBER(E324),E324&gt;1),E324,1),"")</f>
        <v/>
      </c>
      <c r="J324" s="32">
        <f>Settings!$B$66</f>
        <v/>
      </c>
      <c r="K324" s="95">
        <f>IFERROR(IF(T324="","",(T324*(1-AN324)*(1-Settings!$B$17)-I324)/(T324*(1-AN324)*(1-Settings!$B$17))),"")</f>
        <v/>
      </c>
      <c r="L324" s="101">
        <f>IFERROR(IF(T324="","",(T324*(1-AO324)*(1-Settings!$C$17)-I324)/(T324*(1-AO324)*(1-Settings!$C$17))),"")</f>
        <v/>
      </c>
      <c r="M324" s="101">
        <f>IFERROR(IF(T324="","",(T324*(1-AP324)*(1-Settings!$D$17)-I324)/(T324*(1-AP324)*(1-Settings!$D$17))),"")</f>
        <v/>
      </c>
      <c r="N324" s="101">
        <f>IFERROR(IF(T324="","",(T324*(1-AQ324)*(1-Settings!$F$17)-I324)/(T324*(1-AQ324)*(1-Settings!$F$17))),"")</f>
        <v/>
      </c>
      <c r="O324" s="101">
        <f>IFERROR(IF(T324="","",(T324*(1-AR324)*(1-Settings!$G$17)-I324)/(T324*(1-AR324)*(1-Settings!$G$17))),"")</f>
        <v/>
      </c>
      <c r="P324" s="101">
        <f>IFERROR(IF(T324="","",(T324*(1-AS324)*(1-Settings!$H$17)-I324)/(T324*(1-AS324)*(1-Settings!$H$17))),"")</f>
        <v/>
      </c>
      <c r="Q324" s="101">
        <f>IFERROR(IF(T324="","",(T324*(1-AT324)*(1-Settings!$I$68)*(1-Settings!$I$17)-I324)/(T324*(1-AT324)*(1-Settings!$I$68)*(1-Settings!$I$17))),"")</f>
        <v/>
      </c>
      <c r="R324" s="91">
        <f>IFERROR(IF(OR(I324="",Z324&gt;=1,Settings!$B$17&gt;=1,AN324&gt;=1),"",IF(MOD(ROUND(I324/(1-Z324)/(1-Settings!$B$17)/(1-AN324),0),10)=0,ROUND(I324/(1-Z324)/(1-Settings!$B$17)/(1-AN324),0)-1,IF(MOD(ROUND(I324/(1-Z324)/(1-Settings!$B$17)/(1-AN324),0),10)&lt;=5,FLOOR(ROUND(I324/(1-Z324)/(1-Settings!$B$17)/(1-AN324),0),10)+6,FLOOR(ROUND(I324/(1-Z324)/(1-Settings!$B$17)/(1-AN324),0),10)+9))),"")</f>
        <v/>
      </c>
      <c r="S324" s="174">
        <f>R324*0.95</f>
        <v/>
      </c>
      <c r="T324" s="91">
        <f>IF(S324&lt;&gt;"", IF(MOD(S324,10)=0,S324-1,IF(MOD(S324,10)&lt;=5,FLOOR(S324,10)+6,FLOOR(S324,10)+9)), R324)</f>
        <v/>
      </c>
      <c r="U324" s="87" t="inlineStr">
        <is>
          <t>Основний</t>
        </is>
      </c>
      <c r="V324" s="88" t="n"/>
      <c r="W324" s="88" t="n"/>
      <c r="X324" s="89">
        <f>IFERROR(IF(OR(V324="",W324="",T324=""),"", IF(T324&gt;W324,"Дорогий",IF(T324&lt;V324,"Дешевий","У ринку"))),"")</f>
        <v/>
      </c>
      <c r="Y324" s="90" t="n"/>
      <c r="Z324" s="104">
        <f>CHOOSE(MATCH(IF($U324="","Основний",$U324),{"Трафіковий","Основний","Маржинальний","Сезонний","Стратегічний"},0),0.16,0.19,0.24,0.23,0.28)</f>
        <v/>
      </c>
      <c r="AA324" s="104">
        <f>CHOOSE(MATCH(IF($U324="","Основний",$U324),{"Трафіковий","Основний","Маржинальний","Сезонний","Стратегічний"},0),0.18,0.21,0.26,0.25,0.3)</f>
        <v/>
      </c>
      <c r="AB324" s="104">
        <f>CHOOSE(MATCH(IF($U324="","Основний",$U324),{"Трафіковий","Основний","Маржинальний","Сезонний","Стратегічний"},0),0.19,0.22,0.28,0.26,0.32)</f>
        <v/>
      </c>
      <c r="AC324" s="104">
        <f>CHOOSE(MATCH(IF($U324="","Основний",$U324),{"Трафіковий","Основний","Маржинальний","Сезонний","Стратегічний"},0),0.17,0.2,0.25,0.24,0.28)</f>
        <v/>
      </c>
      <c r="AD324" s="104">
        <f>CHOOSE(MATCH(IF($U324="","Основний",$U324),{"Трафіковий","Основний","Маржинальний","Сезонний","Стратегічний"},0),0.18,0.21,0.26,0.25,0.3)</f>
        <v/>
      </c>
      <c r="AE324" s="104">
        <f>CHOOSE(MATCH(IF($U324="","Основний",$U324),{"Трафіковий","Основний","Маржинальний","Сезонний","Стратегічний"},0),0.18,0.2,0.28,0.27,0.32)</f>
        <v/>
      </c>
      <c r="AF324" s="104">
        <f>CHOOSE(MATCH(IF($U324="","Основний",$U324),{"Трафіковий","Основний","Маржинальний","Сезонний","Стратегічний"},0),0.15,0.175,0.22,0.21,0.25)</f>
        <v/>
      </c>
      <c r="AG324" s="104">
        <f>CHOOSE(MATCH(IF($U324="","Основний",$U324),{"Трафіковий","Основний","Маржинальний","Сезонний","Стратегічний"},0),0.13,0.16,0.21,0.2,0.25)</f>
        <v/>
      </c>
      <c r="AH324" s="104">
        <f>CHOOSE(MATCH(IF($U324="","Основний",$U324),{"Трафіковий","Основний","Маржинальний","Сезонний","Стратегічний"},0),0.15,0.18,0.23,0.22,0.27)</f>
        <v/>
      </c>
      <c r="AI324" s="104">
        <f>CHOOSE(MATCH(IF($U324="","Основний",$U324),{"Трафіковий","Основний","Маржинальний","Сезонний","Стратегічний"},0),0.16,0.19,0.25,0.23,0.29)</f>
        <v/>
      </c>
      <c r="AJ324" s="104">
        <f>CHOOSE(MATCH(IF($U324="","Основний",$U324),{"Трафіковий","Основний","Маржинальний","Сезонний","Стратегічний"},0),0.14,0.17,0.22,0.21,0.25)</f>
        <v/>
      </c>
      <c r="AK324" s="104">
        <f>CHOOSE(MATCH(IF($U324="","Основний",$U324),{"Трафіковий","Основний","Маржинальний","Сезонний","Стратегічний"},0),0.15,0.18,0.23,0.22,0.27)</f>
        <v/>
      </c>
      <c r="AL324" s="104">
        <f>CHOOSE(MATCH(IF($U324="","Основний",$U324),{"Трафіковий","Основний","Маржинальний","Сезонний","Стратегічний"},0),0.15,0.17,0.25,0.24,0.29)</f>
        <v/>
      </c>
      <c r="AM324" s="104">
        <f>CHOOSE(MATCH(IF($U324="","Основний",$U324),{"Трафіковий","Основний","Маржинальний","Сезонний","Стратегічний"},0),0.12,0.145,0.19,0.18,0.22)</f>
        <v/>
      </c>
      <c r="AN324" s="157">
        <f>CHOOSE(MATCH(IF($U324="","Основний",$U324),{"Трафіковий","Основний","Маржинальний","Сезонний","Стратегічний"},0),Settings!$B$78,Settings!$B$80,Settings!$B$82,Settings!$B$84,Settings!$B$86)</f>
        <v/>
      </c>
      <c r="AO324" s="157">
        <f>CHOOSE(MATCH(IF($U324="","Основний",$U324),{"Трафіковий","Основний","Маржинальний","Сезонний","Стратегічний"},0),Settings!$C$78,Settings!$C$80,Settings!$C$82,Settings!$C$84,Settings!$C$86)</f>
        <v/>
      </c>
      <c r="AP324" s="157">
        <f>CHOOSE(MATCH(IF($U324="","Основний",$U324),{"Трафіковий","Основний","Маржинальний","Сезонний","Стратегічний"},0),Settings!$D$78,Settings!$D$80,Settings!$D$82,Settings!$D$84,Settings!$D$86)</f>
        <v/>
      </c>
      <c r="AQ324" s="157">
        <f>CHOOSE(MATCH(IF($U324="","Основний",$U324),{"Трафіковий","Основний","Маржинальний","Сезонний","Стратегічний"},0),Settings!$F$78,Settings!$F$80,Settings!$F$82,Settings!$F$84,Settings!$F$86)</f>
        <v/>
      </c>
      <c r="AR324" s="157">
        <f>CHOOSE(MATCH(IF($U324="","Основний",$U324),{"Трафіковий","Основний","Маржинальний","Сезонний","Стратегічний"},0),Settings!$G$78,Settings!$G$80,Settings!$G$82,Settings!$G$84,Settings!$G$86)</f>
        <v/>
      </c>
      <c r="AS324" s="157">
        <f>CHOOSE(MATCH(IF($U324="","Основний",$U324),{"Трафіковий","Основний","Маржинальний","Сезонний","Стратегічний"},0),Settings!$H$78,Settings!$H$80,Settings!$H$82,Settings!$H$84,Settings!$H$86)</f>
        <v/>
      </c>
      <c r="AT324" s="157">
        <f>CHOOSE(MATCH(IF($U324="","Основний",$U324),{"Трафіковий","Основний","Маржинальний","Сезонний","Стратегічний"},0),Settings!$I$78,Settings!$I$80,Settings!$I$82,Settings!$I$84,Settings!$I$86)</f>
        <v/>
      </c>
      <c r="AU324" s="171" t="n"/>
      <c r="AV324" t="n">
        <v>1.35</v>
      </c>
    </row>
    <row r="325">
      <c r="A325" s="33" t="inlineStr">
        <is>
          <t>SELL OUT</t>
        </is>
      </c>
      <c r="B325" s="34" t="inlineStr">
        <is>
          <t>P0122</t>
        </is>
      </c>
      <c r="C325" s="34" t="inlineStr">
        <is>
          <t>POWER CORD SET 1S 2M SCHUKO</t>
        </is>
      </c>
      <c r="D325" s="34" t="inlineStr">
        <is>
          <t>Пооджувачи та адаптери</t>
        </is>
      </c>
      <c r="E325" s="33" t="inlineStr">
        <is>
          <t>PC</t>
        </is>
      </c>
      <c r="F325" s="94" t="n">
        <v>2.102</v>
      </c>
      <c r="G325" s="35" t="n">
        <v>8544429090</v>
      </c>
      <c r="H325" s="31" t="n">
        <v>1.4</v>
      </c>
      <c r="I325" s="84">
        <f>IFERROR(F325*Settings!$B$2*H325*IF(AND(ISNUMBER(E325),E325&gt;1),E325,1),"")</f>
        <v/>
      </c>
      <c r="J325" s="32">
        <f>Settings!$B$66</f>
        <v/>
      </c>
      <c r="K325" s="95">
        <f>IFERROR(IF(T325="","",(T325*(1-AN325)*(1-Settings!$B$17)-I325)/(T325*(1-AN325)*(1-Settings!$B$17))),"")</f>
        <v/>
      </c>
      <c r="L325" s="101">
        <f>IFERROR(IF(T325="","",(T325*(1-AO325)*(1-Settings!$C$17)-I325)/(T325*(1-AO325)*(1-Settings!$C$17))),"")</f>
        <v/>
      </c>
      <c r="M325" s="101">
        <f>IFERROR(IF(T325="","",(T325*(1-AP325)*(1-Settings!$D$17)-I325)/(T325*(1-AP325)*(1-Settings!$D$17))),"")</f>
        <v/>
      </c>
      <c r="N325" s="101">
        <f>IFERROR(IF(T325="","",(T325*(1-AQ325)*(1-Settings!$F$17)-I325)/(T325*(1-AQ325)*(1-Settings!$F$17))),"")</f>
        <v/>
      </c>
      <c r="O325" s="101">
        <f>IFERROR(IF(T325="","",(T325*(1-AR325)*(1-Settings!$G$17)-I325)/(T325*(1-AR325)*(1-Settings!$G$17))),"")</f>
        <v/>
      </c>
      <c r="P325" s="101">
        <f>IFERROR(IF(T325="","",(T325*(1-AS325)*(1-Settings!$H$17)-I325)/(T325*(1-AS325)*(1-Settings!$H$17))),"")</f>
        <v/>
      </c>
      <c r="Q325" s="101">
        <f>IFERROR(IF(T325="","",(T325*(1-AT325)*(1-Settings!$I$68)*(1-Settings!$I$17)-I325)/(T325*(1-AT325)*(1-Settings!$I$68)*(1-Settings!$I$17))),"")</f>
        <v/>
      </c>
      <c r="R325" s="91">
        <f>IFERROR(IF(OR(I325="",Z325&gt;=1,Settings!$B$17&gt;=1,AN325&gt;=1),"",IF(MOD(ROUND(I325/(1-Z325)/(1-Settings!$B$17)/(1-AN325),0),10)=0,ROUND(I325/(1-Z325)/(1-Settings!$B$17)/(1-AN325),0)-1,IF(MOD(ROUND(I325/(1-Z325)/(1-Settings!$B$17)/(1-AN325),0),10)&lt;=5,FLOOR(ROUND(I325/(1-Z325)/(1-Settings!$B$17)/(1-AN325),0),10)+6,FLOOR(ROUND(I325/(1-Z325)/(1-Settings!$B$17)/(1-AN325),0),10)+9))),"")</f>
        <v/>
      </c>
      <c r="S325" s="174">
        <f>R325*0.95</f>
        <v/>
      </c>
      <c r="T325" s="91">
        <f>IF(S325&lt;&gt;"", IF(MOD(S325,10)=0,S325-1,IF(MOD(S325,10)&lt;=5,FLOOR(S325,10)+6,FLOOR(S325,10)+9)), R325)</f>
        <v/>
      </c>
      <c r="U325" s="87" t="inlineStr">
        <is>
          <t>Основний</t>
        </is>
      </c>
      <c r="V325" s="88" t="n"/>
      <c r="W325" s="88" t="n"/>
      <c r="X325" s="89">
        <f>IFERROR(IF(OR(V325="",W325="",T325=""),"", IF(T325&gt;W325,"Дорогий",IF(T325&lt;V325,"Дешевий","У ринку"))),"")</f>
        <v/>
      </c>
      <c r="Y325" s="90" t="n"/>
      <c r="Z325" s="104">
        <f>CHOOSE(MATCH(IF($U325="","Основний",$U325),{"Трафіковий","Основний","Маржинальний","Сезонний","Стратегічний"},0),0.16,0.19,0.24,0.23,0.28)</f>
        <v/>
      </c>
      <c r="AA325" s="104">
        <f>CHOOSE(MATCH(IF($U325="","Основний",$U325),{"Трафіковий","Основний","Маржинальний","Сезонний","Стратегічний"},0),0.18,0.21,0.26,0.25,0.3)</f>
        <v/>
      </c>
      <c r="AB325" s="104">
        <f>CHOOSE(MATCH(IF($U325="","Основний",$U325),{"Трафіковий","Основний","Маржинальний","Сезонний","Стратегічний"},0),0.19,0.22,0.28,0.26,0.32)</f>
        <v/>
      </c>
      <c r="AC325" s="104">
        <f>CHOOSE(MATCH(IF($U325="","Основний",$U325),{"Трафіковий","Основний","Маржинальний","Сезонний","Стратегічний"},0),0.17,0.2,0.25,0.24,0.28)</f>
        <v/>
      </c>
      <c r="AD325" s="104">
        <f>CHOOSE(MATCH(IF($U325="","Основний",$U325),{"Трафіковий","Основний","Маржинальний","Сезонний","Стратегічний"},0),0.18,0.21,0.26,0.25,0.3)</f>
        <v/>
      </c>
      <c r="AE325" s="104">
        <f>CHOOSE(MATCH(IF($U325="","Основний",$U325),{"Трафіковий","Основний","Маржинальний","Сезонний","Стратегічний"},0),0.18,0.2,0.28,0.27,0.32)</f>
        <v/>
      </c>
      <c r="AF325" s="104">
        <f>CHOOSE(MATCH(IF($U325="","Основний",$U325),{"Трафіковий","Основний","Маржинальний","Сезонний","Стратегічний"},0),0.15,0.175,0.22,0.21,0.25)</f>
        <v/>
      </c>
      <c r="AG325" s="104">
        <f>CHOOSE(MATCH(IF($U325="","Основний",$U325),{"Трафіковий","Основний","Маржинальний","Сезонний","Стратегічний"},0),0.13,0.16,0.21,0.2,0.25)</f>
        <v/>
      </c>
      <c r="AH325" s="104">
        <f>CHOOSE(MATCH(IF($U325="","Основний",$U325),{"Трафіковий","Основний","Маржинальний","Сезонний","Стратегічний"},0),0.15,0.18,0.23,0.22,0.27)</f>
        <v/>
      </c>
      <c r="AI325" s="104">
        <f>CHOOSE(MATCH(IF($U325="","Основний",$U325),{"Трафіковий","Основний","Маржинальний","Сезонний","Стратегічний"},0),0.16,0.19,0.25,0.23,0.29)</f>
        <v/>
      </c>
      <c r="AJ325" s="104">
        <f>CHOOSE(MATCH(IF($U325="","Основний",$U325),{"Трафіковий","Основний","Маржинальний","Сезонний","Стратегічний"},0),0.14,0.17,0.22,0.21,0.25)</f>
        <v/>
      </c>
      <c r="AK325" s="104">
        <f>CHOOSE(MATCH(IF($U325="","Основний",$U325),{"Трафіковий","Основний","Маржинальний","Сезонний","Стратегічний"},0),0.15,0.18,0.23,0.22,0.27)</f>
        <v/>
      </c>
      <c r="AL325" s="104">
        <f>CHOOSE(MATCH(IF($U325="","Основний",$U325),{"Трафіковий","Основний","Маржинальний","Сезонний","Стратегічний"},0),0.15,0.17,0.25,0.24,0.29)</f>
        <v/>
      </c>
      <c r="AM325" s="104">
        <f>CHOOSE(MATCH(IF($U325="","Основний",$U325),{"Трафіковий","Основний","Маржинальний","Сезонний","Стратегічний"},0),0.12,0.145,0.19,0.18,0.22)</f>
        <v/>
      </c>
      <c r="AN325" s="157">
        <f>CHOOSE(MATCH(IF($U325="","Основний",$U325),{"Трафіковий","Основний","Маржинальний","Сезонний","Стратегічний"},0),Settings!$B$78,Settings!$B$80,Settings!$B$82,Settings!$B$84,Settings!$B$86)</f>
        <v/>
      </c>
      <c r="AO325" s="157">
        <f>CHOOSE(MATCH(IF($U325="","Основний",$U325),{"Трафіковий","Основний","Маржинальний","Сезонний","Стратегічний"},0),Settings!$C$78,Settings!$C$80,Settings!$C$82,Settings!$C$84,Settings!$C$86)</f>
        <v/>
      </c>
      <c r="AP325" s="157">
        <f>CHOOSE(MATCH(IF($U325="","Основний",$U325),{"Трафіковий","Основний","Маржинальний","Сезонний","Стратегічний"},0),Settings!$D$78,Settings!$D$80,Settings!$D$82,Settings!$D$84,Settings!$D$86)</f>
        <v/>
      </c>
      <c r="AQ325" s="157">
        <f>CHOOSE(MATCH(IF($U325="","Основний",$U325),{"Трафіковий","Основний","Маржинальний","Сезонний","Стратегічний"},0),Settings!$F$78,Settings!$F$80,Settings!$F$82,Settings!$F$84,Settings!$F$86)</f>
        <v/>
      </c>
      <c r="AR325" s="157">
        <f>CHOOSE(MATCH(IF($U325="","Основний",$U325),{"Трафіковий","Основний","Маржинальний","Сезонний","Стратегічний"},0),Settings!$G$78,Settings!$G$80,Settings!$G$82,Settings!$G$84,Settings!$G$86)</f>
        <v/>
      </c>
      <c r="AS325" s="157">
        <f>CHOOSE(MATCH(IF($U325="","Основний",$U325),{"Трафіковий","Основний","Маржинальний","Сезонний","Стратегічний"},0),Settings!$H$78,Settings!$H$80,Settings!$H$82,Settings!$H$84,Settings!$H$86)</f>
        <v/>
      </c>
      <c r="AT325" s="157">
        <f>CHOOSE(MATCH(IF($U325="","Основний",$U325),{"Трафіковий","Основний","Маржинальний","Сезонний","Стратегічний"},0),Settings!$I$78,Settings!$I$80,Settings!$I$82,Settings!$I$84,Settings!$I$86)</f>
        <v/>
      </c>
      <c r="AU325" s="171" t="n"/>
      <c r="AV325" t="n">
        <v>1.35</v>
      </c>
    </row>
    <row r="326">
      <c r="A326" s="28" t="n"/>
      <c r="B326" s="29" t="inlineStr">
        <is>
          <t>P0123R</t>
        </is>
      </c>
      <c r="C326" s="29" t="inlineStr">
        <is>
          <t>POWER CORD SET 1S 3M SCH 1,5MM</t>
        </is>
      </c>
      <c r="D326" s="29" t="inlineStr">
        <is>
          <t>Пооджувачи та адаптери</t>
        </is>
      </c>
      <c r="E326" s="28" t="inlineStr">
        <is>
          <t>PC</t>
        </is>
      </c>
      <c r="F326" s="93" t="n">
        <v>3.076</v>
      </c>
      <c r="G326" s="30" t="n">
        <v>8544429090</v>
      </c>
      <c r="H326" s="31" t="n">
        <v>1.4</v>
      </c>
      <c r="I326" s="84">
        <f>IFERROR(F326*Settings!$B$2*H326*IF(AND(ISNUMBER(E326),E326&gt;1),E326,1),"")</f>
        <v/>
      </c>
      <c r="J326" s="32">
        <f>Settings!$B$66</f>
        <v/>
      </c>
      <c r="K326" s="95">
        <f>IFERROR(IF(T326="","",(T326*(1-AN326)*(1-Settings!$B$17)-I326)/(T326*(1-AN326)*(1-Settings!$B$17))),"")</f>
        <v/>
      </c>
      <c r="L326" s="101">
        <f>IFERROR(IF(T326="","",(T326*(1-AO326)*(1-Settings!$C$17)-I326)/(T326*(1-AO326)*(1-Settings!$C$17))),"")</f>
        <v/>
      </c>
      <c r="M326" s="101">
        <f>IFERROR(IF(T326="","",(T326*(1-AP326)*(1-Settings!$D$17)-I326)/(T326*(1-AP326)*(1-Settings!$D$17))),"")</f>
        <v/>
      </c>
      <c r="N326" s="101">
        <f>IFERROR(IF(T326="","",(T326*(1-AQ326)*(1-Settings!$F$17)-I326)/(T326*(1-AQ326)*(1-Settings!$F$17))),"")</f>
        <v/>
      </c>
      <c r="O326" s="101">
        <f>IFERROR(IF(T326="","",(T326*(1-AR326)*(1-Settings!$G$17)-I326)/(T326*(1-AR326)*(1-Settings!$G$17))),"")</f>
        <v/>
      </c>
      <c r="P326" s="101">
        <f>IFERROR(IF(T326="","",(T326*(1-AS326)*(1-Settings!$H$17)-I326)/(T326*(1-AS326)*(1-Settings!$H$17))),"")</f>
        <v/>
      </c>
      <c r="Q326" s="101">
        <f>IFERROR(IF(T326="","",(T326*(1-AT326)*(1-Settings!$I$68)*(1-Settings!$I$17)-I326)/(T326*(1-AT326)*(1-Settings!$I$68)*(1-Settings!$I$17))),"")</f>
        <v/>
      </c>
      <c r="R326" s="91">
        <f>IFERROR(IF(OR(I326="",Z326&gt;=1,Settings!$B$17&gt;=1,AN326&gt;=1),"",IF(MOD(ROUND(I326/(1-Z326)/(1-Settings!$B$17)/(1-AN326),0),10)=0,ROUND(I326/(1-Z326)/(1-Settings!$B$17)/(1-AN326),0)-1,IF(MOD(ROUND(I326/(1-Z326)/(1-Settings!$B$17)/(1-AN326),0),10)&lt;=5,FLOOR(ROUND(I326/(1-Z326)/(1-Settings!$B$17)/(1-AN326),0),10)+6,FLOOR(ROUND(I326/(1-Z326)/(1-Settings!$B$17)/(1-AN326),0),10)+9))),"")</f>
        <v/>
      </c>
      <c r="S326" s="174">
        <f>R326*0.95</f>
        <v/>
      </c>
      <c r="T326" s="91">
        <f>IF(S326&lt;&gt;"", IF(MOD(S326,10)=0,S326-1,IF(MOD(S326,10)&lt;=5,FLOOR(S326,10)+6,FLOOR(S326,10)+9)), R326)</f>
        <v/>
      </c>
      <c r="U326" s="87" t="inlineStr">
        <is>
          <t>Основний</t>
        </is>
      </c>
      <c r="V326" s="88" t="n"/>
      <c r="W326" s="88" t="n"/>
      <c r="X326" s="89">
        <f>IFERROR(IF(OR(V326="",W326="",T326=""),"", IF(T326&gt;W326,"Дорогий",IF(T326&lt;V326,"Дешевий","У ринку"))),"")</f>
        <v/>
      </c>
      <c r="Y326" s="90" t="n"/>
      <c r="Z326" s="104">
        <f>CHOOSE(MATCH(IF($U326="","Основний",$U326),{"Трафіковий","Основний","Маржинальний","Сезонний","Стратегічний"},0),0.16,0.19,0.24,0.23,0.28)</f>
        <v/>
      </c>
      <c r="AA326" s="104">
        <f>CHOOSE(MATCH(IF($U326="","Основний",$U326),{"Трафіковий","Основний","Маржинальний","Сезонний","Стратегічний"},0),0.18,0.21,0.26,0.25,0.3)</f>
        <v/>
      </c>
      <c r="AB326" s="104">
        <f>CHOOSE(MATCH(IF($U326="","Основний",$U326),{"Трафіковий","Основний","Маржинальний","Сезонний","Стратегічний"},0),0.19,0.22,0.28,0.26,0.32)</f>
        <v/>
      </c>
      <c r="AC326" s="104">
        <f>CHOOSE(MATCH(IF($U326="","Основний",$U326),{"Трафіковий","Основний","Маржинальний","Сезонний","Стратегічний"},0),0.17,0.2,0.25,0.24,0.28)</f>
        <v/>
      </c>
      <c r="AD326" s="104">
        <f>CHOOSE(MATCH(IF($U326="","Основний",$U326),{"Трафіковий","Основний","Маржинальний","Сезонний","Стратегічний"},0),0.18,0.21,0.26,0.25,0.3)</f>
        <v/>
      </c>
      <c r="AE326" s="104">
        <f>CHOOSE(MATCH(IF($U326="","Основний",$U326),{"Трафіковий","Основний","Маржинальний","Сезонний","Стратегічний"},0),0.18,0.2,0.28,0.27,0.32)</f>
        <v/>
      </c>
      <c r="AF326" s="104">
        <f>CHOOSE(MATCH(IF($U326="","Основний",$U326),{"Трафіковий","Основний","Маржинальний","Сезонний","Стратегічний"},0),0.15,0.175,0.22,0.21,0.25)</f>
        <v/>
      </c>
      <c r="AG326" s="104">
        <f>CHOOSE(MATCH(IF($U326="","Основний",$U326),{"Трафіковий","Основний","Маржинальний","Сезонний","Стратегічний"},0),0.13,0.16,0.21,0.2,0.25)</f>
        <v/>
      </c>
      <c r="AH326" s="104">
        <f>CHOOSE(MATCH(IF($U326="","Основний",$U326),{"Трафіковий","Основний","Маржинальний","Сезонний","Стратегічний"},0),0.15,0.18,0.23,0.22,0.27)</f>
        <v/>
      </c>
      <c r="AI326" s="104">
        <f>CHOOSE(MATCH(IF($U326="","Основний",$U326),{"Трафіковий","Основний","Маржинальний","Сезонний","Стратегічний"},0),0.16,0.19,0.25,0.23,0.29)</f>
        <v/>
      </c>
      <c r="AJ326" s="104">
        <f>CHOOSE(MATCH(IF($U326="","Основний",$U326),{"Трафіковий","Основний","Маржинальний","Сезонний","Стратегічний"},0),0.14,0.17,0.22,0.21,0.25)</f>
        <v/>
      </c>
      <c r="AK326" s="104">
        <f>CHOOSE(MATCH(IF($U326="","Основний",$U326),{"Трафіковий","Основний","Маржинальний","Сезонний","Стратегічний"},0),0.15,0.18,0.23,0.22,0.27)</f>
        <v/>
      </c>
      <c r="AL326" s="104">
        <f>CHOOSE(MATCH(IF($U326="","Основний",$U326),{"Трафіковий","Основний","Маржинальний","Сезонний","Стратегічний"},0),0.15,0.17,0.25,0.24,0.29)</f>
        <v/>
      </c>
      <c r="AM326" s="104">
        <f>CHOOSE(MATCH(IF($U326="","Основний",$U326),{"Трафіковий","Основний","Маржинальний","Сезонний","Стратегічний"},0),0.12,0.145,0.19,0.18,0.22)</f>
        <v/>
      </c>
      <c r="AN326" s="157">
        <f>CHOOSE(MATCH(IF($U326="","Основний",$U326),{"Трафіковий","Основний","Маржинальний","Сезонний","Стратегічний"},0),Settings!$B$78,Settings!$B$80,Settings!$B$82,Settings!$B$84,Settings!$B$86)</f>
        <v/>
      </c>
      <c r="AO326" s="157">
        <f>CHOOSE(MATCH(IF($U326="","Основний",$U326),{"Трафіковий","Основний","Маржинальний","Сезонний","Стратегічний"},0),Settings!$C$78,Settings!$C$80,Settings!$C$82,Settings!$C$84,Settings!$C$86)</f>
        <v/>
      </c>
      <c r="AP326" s="157">
        <f>CHOOSE(MATCH(IF($U326="","Основний",$U326),{"Трафіковий","Основний","Маржинальний","Сезонний","Стратегічний"},0),Settings!$D$78,Settings!$D$80,Settings!$D$82,Settings!$D$84,Settings!$D$86)</f>
        <v/>
      </c>
      <c r="AQ326" s="157">
        <f>CHOOSE(MATCH(IF($U326="","Основний",$U326),{"Трафіковий","Основний","Маржинальний","Сезонний","Стратегічний"},0),Settings!$F$78,Settings!$F$80,Settings!$F$82,Settings!$F$84,Settings!$F$86)</f>
        <v/>
      </c>
      <c r="AR326" s="157">
        <f>CHOOSE(MATCH(IF($U326="","Основний",$U326),{"Трафіковий","Основний","Маржинальний","Сезонний","Стратегічний"},0),Settings!$G$78,Settings!$G$80,Settings!$G$82,Settings!$G$84,Settings!$G$86)</f>
        <v/>
      </c>
      <c r="AS326" s="157">
        <f>CHOOSE(MATCH(IF($U326="","Основний",$U326),{"Трафіковий","Основний","Маржинальний","Сезонний","Стратегічний"},0),Settings!$H$78,Settings!$H$80,Settings!$H$82,Settings!$H$84,Settings!$H$86)</f>
        <v/>
      </c>
      <c r="AT326" s="157">
        <f>CHOOSE(MATCH(IF($U326="","Основний",$U326),{"Трафіковий","Основний","Маржинальний","Сезонний","Стратегічний"},0),Settings!$I$78,Settings!$I$80,Settings!$I$82,Settings!$I$84,Settings!$I$86)</f>
        <v/>
      </c>
      <c r="AU326" s="171" t="n"/>
      <c r="AV326" t="n">
        <v>1.35</v>
      </c>
    </row>
    <row r="327">
      <c r="A327" s="33" t="n"/>
      <c r="B327" s="34" t="inlineStr">
        <is>
          <t>P0125R</t>
        </is>
      </c>
      <c r="C327" s="34" t="inlineStr">
        <is>
          <t>POWER CORD SET 1S 5M SCH 1,5MM</t>
        </is>
      </c>
      <c r="D327" s="34" t="inlineStr">
        <is>
          <t>Пооджувачи та адаптери</t>
        </is>
      </c>
      <c r="E327" s="33" t="inlineStr">
        <is>
          <t>PC</t>
        </is>
      </c>
      <c r="F327" s="94" t="n">
        <v>4.298</v>
      </c>
      <c r="G327" s="35" t="n">
        <v>8544429090</v>
      </c>
      <c r="H327" s="31" t="n">
        <v>1.4</v>
      </c>
      <c r="I327" s="84">
        <f>IFERROR(F327*Settings!$B$2*H327*IF(AND(ISNUMBER(E327),E327&gt;1),E327,1),"")</f>
        <v/>
      </c>
      <c r="J327" s="32">
        <f>Settings!$B$66</f>
        <v/>
      </c>
      <c r="K327" s="95">
        <f>IFERROR(IF(T327="","",(T327*(1-AN327)*(1-Settings!$B$17)-I327)/(T327*(1-AN327)*(1-Settings!$B$17))),"")</f>
        <v/>
      </c>
      <c r="L327" s="101">
        <f>IFERROR(IF(T327="","",(T327*(1-AO327)*(1-Settings!$C$17)-I327)/(T327*(1-AO327)*(1-Settings!$C$17))),"")</f>
        <v/>
      </c>
      <c r="M327" s="101">
        <f>IFERROR(IF(T327="","",(T327*(1-AP327)*(1-Settings!$D$17)-I327)/(T327*(1-AP327)*(1-Settings!$D$17))),"")</f>
        <v/>
      </c>
      <c r="N327" s="101">
        <f>IFERROR(IF(T327="","",(T327*(1-AQ327)*(1-Settings!$F$17)-I327)/(T327*(1-AQ327)*(1-Settings!$F$17))),"")</f>
        <v/>
      </c>
      <c r="O327" s="101">
        <f>IFERROR(IF(T327="","",(T327*(1-AR327)*(1-Settings!$G$17)-I327)/(T327*(1-AR327)*(1-Settings!$G$17))),"")</f>
        <v/>
      </c>
      <c r="P327" s="101">
        <f>IFERROR(IF(T327="","",(T327*(1-AS327)*(1-Settings!$H$17)-I327)/(T327*(1-AS327)*(1-Settings!$H$17))),"")</f>
        <v/>
      </c>
      <c r="Q327" s="101">
        <f>IFERROR(IF(T327="","",(T327*(1-AT327)*(1-Settings!$I$68)*(1-Settings!$I$17)-I327)/(T327*(1-AT327)*(1-Settings!$I$68)*(1-Settings!$I$17))),"")</f>
        <v/>
      </c>
      <c r="R327" s="91">
        <f>IFERROR(IF(OR(I327="",Z327&gt;=1,Settings!$B$17&gt;=1,AN327&gt;=1),"",IF(MOD(ROUND(I327/(1-Z327)/(1-Settings!$B$17)/(1-AN327),0),10)=0,ROUND(I327/(1-Z327)/(1-Settings!$B$17)/(1-AN327),0)-1,IF(MOD(ROUND(I327/(1-Z327)/(1-Settings!$B$17)/(1-AN327),0),10)&lt;=5,FLOOR(ROUND(I327/(1-Z327)/(1-Settings!$B$17)/(1-AN327),0),10)+6,FLOOR(ROUND(I327/(1-Z327)/(1-Settings!$B$17)/(1-AN327),0),10)+9))),"")</f>
        <v/>
      </c>
      <c r="S327" s="174">
        <f>R327*0.95</f>
        <v/>
      </c>
      <c r="T327" s="91">
        <f>IF(S327&lt;&gt;"", IF(MOD(S327,10)=0,S327-1,IF(MOD(S327,10)&lt;=5,FLOOR(S327,10)+6,FLOOR(S327,10)+9)), R327)</f>
        <v/>
      </c>
      <c r="U327" s="87" t="inlineStr">
        <is>
          <t>Основний</t>
        </is>
      </c>
      <c r="V327" s="88" t="n"/>
      <c r="W327" s="88" t="n"/>
      <c r="X327" s="89">
        <f>IFERROR(IF(OR(V327="",W327="",T327=""),"", IF(T327&gt;W327,"Дорогий",IF(T327&lt;V327,"Дешевий","У ринку"))),"")</f>
        <v/>
      </c>
      <c r="Y327" s="90" t="n"/>
      <c r="Z327" s="104">
        <f>CHOOSE(MATCH(IF($U327="","Основний",$U327),{"Трафіковий","Основний","Маржинальний","Сезонний","Стратегічний"},0),0.16,0.19,0.24,0.23,0.28)</f>
        <v/>
      </c>
      <c r="AA327" s="104">
        <f>CHOOSE(MATCH(IF($U327="","Основний",$U327),{"Трафіковий","Основний","Маржинальний","Сезонний","Стратегічний"},0),0.18,0.21,0.26,0.25,0.3)</f>
        <v/>
      </c>
      <c r="AB327" s="104">
        <f>CHOOSE(MATCH(IF($U327="","Основний",$U327),{"Трафіковий","Основний","Маржинальний","Сезонний","Стратегічний"},0),0.19,0.22,0.28,0.26,0.32)</f>
        <v/>
      </c>
      <c r="AC327" s="104">
        <f>CHOOSE(MATCH(IF($U327="","Основний",$U327),{"Трафіковий","Основний","Маржинальний","Сезонний","Стратегічний"},0),0.17,0.2,0.25,0.24,0.28)</f>
        <v/>
      </c>
      <c r="AD327" s="104">
        <f>CHOOSE(MATCH(IF($U327="","Основний",$U327),{"Трафіковий","Основний","Маржинальний","Сезонний","Стратегічний"},0),0.18,0.21,0.26,0.25,0.3)</f>
        <v/>
      </c>
      <c r="AE327" s="104">
        <f>CHOOSE(MATCH(IF($U327="","Основний",$U327),{"Трафіковий","Основний","Маржинальний","Сезонний","Стратегічний"},0),0.18,0.2,0.28,0.27,0.32)</f>
        <v/>
      </c>
      <c r="AF327" s="104">
        <f>CHOOSE(MATCH(IF($U327="","Основний",$U327),{"Трафіковий","Основний","Маржинальний","Сезонний","Стратегічний"},0),0.15,0.175,0.22,0.21,0.25)</f>
        <v/>
      </c>
      <c r="AG327" s="104">
        <f>CHOOSE(MATCH(IF($U327="","Основний",$U327),{"Трафіковий","Основний","Маржинальний","Сезонний","Стратегічний"},0),0.13,0.16,0.21,0.2,0.25)</f>
        <v/>
      </c>
      <c r="AH327" s="104">
        <f>CHOOSE(MATCH(IF($U327="","Основний",$U327),{"Трафіковий","Основний","Маржинальний","Сезонний","Стратегічний"},0),0.15,0.18,0.23,0.22,0.27)</f>
        <v/>
      </c>
      <c r="AI327" s="104">
        <f>CHOOSE(MATCH(IF($U327="","Основний",$U327),{"Трафіковий","Основний","Маржинальний","Сезонний","Стратегічний"},0),0.16,0.19,0.25,0.23,0.29)</f>
        <v/>
      </c>
      <c r="AJ327" s="104">
        <f>CHOOSE(MATCH(IF($U327="","Основний",$U327),{"Трафіковий","Основний","Маржинальний","Сезонний","Стратегічний"},0),0.14,0.17,0.22,0.21,0.25)</f>
        <v/>
      </c>
      <c r="AK327" s="104">
        <f>CHOOSE(MATCH(IF($U327="","Основний",$U327),{"Трафіковий","Основний","Маржинальний","Сезонний","Стратегічний"},0),0.15,0.18,0.23,0.22,0.27)</f>
        <v/>
      </c>
      <c r="AL327" s="104">
        <f>CHOOSE(MATCH(IF($U327="","Основний",$U327),{"Трафіковий","Основний","Маржинальний","Сезонний","Стратегічний"},0),0.15,0.17,0.25,0.24,0.29)</f>
        <v/>
      </c>
      <c r="AM327" s="104">
        <f>CHOOSE(MATCH(IF($U327="","Основний",$U327),{"Трафіковий","Основний","Маржинальний","Сезонний","Стратегічний"},0),0.12,0.145,0.19,0.18,0.22)</f>
        <v/>
      </c>
      <c r="AN327" s="157">
        <f>CHOOSE(MATCH(IF($U327="","Основний",$U327),{"Трафіковий","Основний","Маржинальний","Сезонний","Стратегічний"},0),Settings!$B$78,Settings!$B$80,Settings!$B$82,Settings!$B$84,Settings!$B$86)</f>
        <v/>
      </c>
      <c r="AO327" s="157">
        <f>CHOOSE(MATCH(IF($U327="","Основний",$U327),{"Трафіковий","Основний","Маржинальний","Сезонний","Стратегічний"},0),Settings!$C$78,Settings!$C$80,Settings!$C$82,Settings!$C$84,Settings!$C$86)</f>
        <v/>
      </c>
      <c r="AP327" s="157">
        <f>CHOOSE(MATCH(IF($U327="","Основний",$U327),{"Трафіковий","Основний","Маржинальний","Сезонний","Стратегічний"},0),Settings!$D$78,Settings!$D$80,Settings!$D$82,Settings!$D$84,Settings!$D$86)</f>
        <v/>
      </c>
      <c r="AQ327" s="157">
        <f>CHOOSE(MATCH(IF($U327="","Основний",$U327),{"Трафіковий","Основний","Маржинальний","Сезонний","Стратегічний"},0),Settings!$F$78,Settings!$F$80,Settings!$F$82,Settings!$F$84,Settings!$F$86)</f>
        <v/>
      </c>
      <c r="AR327" s="157">
        <f>CHOOSE(MATCH(IF($U327="","Основний",$U327),{"Трафіковий","Основний","Маржинальний","Сезонний","Стратегічний"},0),Settings!$G$78,Settings!$G$80,Settings!$G$82,Settings!$G$84,Settings!$G$86)</f>
        <v/>
      </c>
      <c r="AS327" s="157">
        <f>CHOOSE(MATCH(IF($U327="","Основний",$U327),{"Трафіковий","Основний","Маржинальний","Сезонний","Стратегічний"},0),Settings!$H$78,Settings!$H$80,Settings!$H$82,Settings!$H$84,Settings!$H$86)</f>
        <v/>
      </c>
      <c r="AT327" s="157">
        <f>CHOOSE(MATCH(IF($U327="","Основний",$U327),{"Трафіковий","Основний","Маржинальний","Сезонний","Стратегічний"},0),Settings!$I$78,Settings!$I$80,Settings!$I$82,Settings!$I$84,Settings!$I$86)</f>
        <v/>
      </c>
      <c r="AU327" s="171" t="n"/>
      <c r="AV327" t="n">
        <v>1.35</v>
      </c>
    </row>
    <row r="328">
      <c r="A328" s="28" t="n"/>
      <c r="B328" s="29" t="inlineStr">
        <is>
          <t>P0127R</t>
        </is>
      </c>
      <c r="C328" s="29" t="inlineStr">
        <is>
          <t>POWER CORD SET 1S 7M SCH 1,5MM</t>
        </is>
      </c>
      <c r="D328" s="29" t="inlineStr">
        <is>
          <t>Пооджувачи та адаптери</t>
        </is>
      </c>
      <c r="E328" s="28" t="inlineStr">
        <is>
          <t>PC</t>
        </is>
      </c>
      <c r="F328" s="93" t="n">
        <v>5.721</v>
      </c>
      <c r="G328" s="30" t="n">
        <v>8544429090</v>
      </c>
      <c r="H328" s="31" t="n">
        <v>1.4</v>
      </c>
      <c r="I328" s="84">
        <f>IFERROR(F328*Settings!$B$2*H328*IF(AND(ISNUMBER(E328),E328&gt;1),E328,1),"")</f>
        <v/>
      </c>
      <c r="J328" s="32">
        <f>Settings!$B$66</f>
        <v/>
      </c>
      <c r="K328" s="95">
        <f>IFERROR(IF(T328="","",(T328*(1-AN328)*(1-Settings!$B$17)-I328)/(T328*(1-AN328)*(1-Settings!$B$17))),"")</f>
        <v/>
      </c>
      <c r="L328" s="101">
        <f>IFERROR(IF(T328="","",(T328*(1-AO328)*(1-Settings!$C$17)-I328)/(T328*(1-AO328)*(1-Settings!$C$17))),"")</f>
        <v/>
      </c>
      <c r="M328" s="101">
        <f>IFERROR(IF(T328="","",(T328*(1-AP328)*(1-Settings!$D$17)-I328)/(T328*(1-AP328)*(1-Settings!$D$17))),"")</f>
        <v/>
      </c>
      <c r="N328" s="101">
        <f>IFERROR(IF(T328="","",(T328*(1-AQ328)*(1-Settings!$F$17)-I328)/(T328*(1-AQ328)*(1-Settings!$F$17))),"")</f>
        <v/>
      </c>
      <c r="O328" s="101">
        <f>IFERROR(IF(T328="","",(T328*(1-AR328)*(1-Settings!$G$17)-I328)/(T328*(1-AR328)*(1-Settings!$G$17))),"")</f>
        <v/>
      </c>
      <c r="P328" s="101">
        <f>IFERROR(IF(T328="","",(T328*(1-AS328)*(1-Settings!$H$17)-I328)/(T328*(1-AS328)*(1-Settings!$H$17))),"")</f>
        <v/>
      </c>
      <c r="Q328" s="101">
        <f>IFERROR(IF(T328="","",(T328*(1-AT328)*(1-Settings!$I$68)*(1-Settings!$I$17)-I328)/(T328*(1-AT328)*(1-Settings!$I$68)*(1-Settings!$I$17))),"")</f>
        <v/>
      </c>
      <c r="R328" s="91">
        <f>IFERROR(IF(OR(I328="",Z328&gt;=1,Settings!$B$17&gt;=1,AN328&gt;=1),"",IF(MOD(ROUND(I328/(1-Z328)/(1-Settings!$B$17)/(1-AN328),0),10)=0,ROUND(I328/(1-Z328)/(1-Settings!$B$17)/(1-AN328),0)-1,IF(MOD(ROUND(I328/(1-Z328)/(1-Settings!$B$17)/(1-AN328),0),10)&lt;=5,FLOOR(ROUND(I328/(1-Z328)/(1-Settings!$B$17)/(1-AN328),0),10)+6,FLOOR(ROUND(I328/(1-Z328)/(1-Settings!$B$17)/(1-AN328),0),10)+9))),"")</f>
        <v/>
      </c>
      <c r="S328" s="174">
        <f>R328*0.95</f>
        <v/>
      </c>
      <c r="T328" s="91">
        <f>IF(S328&lt;&gt;"", IF(MOD(S328,10)=0,S328-1,IF(MOD(S328,10)&lt;=5,FLOOR(S328,10)+6,FLOOR(S328,10)+9)), R328)</f>
        <v/>
      </c>
      <c r="U328" s="87" t="inlineStr">
        <is>
          <t>Основний</t>
        </is>
      </c>
      <c r="V328" s="88" t="n"/>
      <c r="W328" s="88" t="n"/>
      <c r="X328" s="89">
        <f>IFERROR(IF(OR(V328="",W328="",T328=""),"", IF(T328&gt;W328,"Дорогий",IF(T328&lt;V328,"Дешевий","У ринку"))),"")</f>
        <v/>
      </c>
      <c r="Y328" s="90" t="n"/>
      <c r="Z328" s="104">
        <f>CHOOSE(MATCH(IF($U328="","Основний",$U328),{"Трафіковий","Основний","Маржинальний","Сезонний","Стратегічний"},0),0.16,0.19,0.24,0.23,0.28)</f>
        <v/>
      </c>
      <c r="AA328" s="104">
        <f>CHOOSE(MATCH(IF($U328="","Основний",$U328),{"Трафіковий","Основний","Маржинальний","Сезонний","Стратегічний"},0),0.18,0.21,0.26,0.25,0.3)</f>
        <v/>
      </c>
      <c r="AB328" s="104">
        <f>CHOOSE(MATCH(IF($U328="","Основний",$U328),{"Трафіковий","Основний","Маржинальний","Сезонний","Стратегічний"},0),0.19,0.22,0.28,0.26,0.32)</f>
        <v/>
      </c>
      <c r="AC328" s="104">
        <f>CHOOSE(MATCH(IF($U328="","Основний",$U328),{"Трафіковий","Основний","Маржинальний","Сезонний","Стратегічний"},0),0.17,0.2,0.25,0.24,0.28)</f>
        <v/>
      </c>
      <c r="AD328" s="104">
        <f>CHOOSE(MATCH(IF($U328="","Основний",$U328),{"Трафіковий","Основний","Маржинальний","Сезонний","Стратегічний"},0),0.18,0.21,0.26,0.25,0.3)</f>
        <v/>
      </c>
      <c r="AE328" s="104">
        <f>CHOOSE(MATCH(IF($U328="","Основний",$U328),{"Трафіковий","Основний","Маржинальний","Сезонний","Стратегічний"},0),0.18,0.2,0.28,0.27,0.32)</f>
        <v/>
      </c>
      <c r="AF328" s="104">
        <f>CHOOSE(MATCH(IF($U328="","Основний",$U328),{"Трафіковий","Основний","Маржинальний","Сезонний","Стратегічний"},0),0.15,0.175,0.22,0.21,0.25)</f>
        <v/>
      </c>
      <c r="AG328" s="104">
        <f>CHOOSE(MATCH(IF($U328="","Основний",$U328),{"Трафіковий","Основний","Маржинальний","Сезонний","Стратегічний"},0),0.13,0.16,0.21,0.2,0.25)</f>
        <v/>
      </c>
      <c r="AH328" s="104">
        <f>CHOOSE(MATCH(IF($U328="","Основний",$U328),{"Трафіковий","Основний","Маржинальний","Сезонний","Стратегічний"},0),0.15,0.18,0.23,0.22,0.27)</f>
        <v/>
      </c>
      <c r="AI328" s="104">
        <f>CHOOSE(MATCH(IF($U328="","Основний",$U328),{"Трафіковий","Основний","Маржинальний","Сезонний","Стратегічний"},0),0.16,0.19,0.25,0.23,0.29)</f>
        <v/>
      </c>
      <c r="AJ328" s="104">
        <f>CHOOSE(MATCH(IF($U328="","Основний",$U328),{"Трафіковий","Основний","Маржинальний","Сезонний","Стратегічний"},0),0.14,0.17,0.22,0.21,0.25)</f>
        <v/>
      </c>
      <c r="AK328" s="104">
        <f>CHOOSE(MATCH(IF($U328="","Основний",$U328),{"Трафіковий","Основний","Маржинальний","Сезонний","Стратегічний"},0),0.15,0.18,0.23,0.22,0.27)</f>
        <v/>
      </c>
      <c r="AL328" s="104">
        <f>CHOOSE(MATCH(IF($U328="","Основний",$U328),{"Трафіковий","Основний","Маржинальний","Сезонний","Стратегічний"},0),0.15,0.17,0.25,0.24,0.29)</f>
        <v/>
      </c>
      <c r="AM328" s="104">
        <f>CHOOSE(MATCH(IF($U328="","Основний",$U328),{"Трафіковий","Основний","Маржинальний","Сезонний","Стратегічний"},0),0.12,0.145,0.19,0.18,0.22)</f>
        <v/>
      </c>
      <c r="AN328" s="157">
        <f>CHOOSE(MATCH(IF($U328="","Основний",$U328),{"Трафіковий","Основний","Маржинальний","Сезонний","Стратегічний"},0),Settings!$B$78,Settings!$B$80,Settings!$B$82,Settings!$B$84,Settings!$B$86)</f>
        <v/>
      </c>
      <c r="AO328" s="157">
        <f>CHOOSE(MATCH(IF($U328="","Основний",$U328),{"Трафіковий","Основний","Маржинальний","Сезонний","Стратегічний"},0),Settings!$C$78,Settings!$C$80,Settings!$C$82,Settings!$C$84,Settings!$C$86)</f>
        <v/>
      </c>
      <c r="AP328" s="157">
        <f>CHOOSE(MATCH(IF($U328="","Основний",$U328),{"Трафіковий","Основний","Маржинальний","Сезонний","Стратегічний"},0),Settings!$D$78,Settings!$D$80,Settings!$D$82,Settings!$D$84,Settings!$D$86)</f>
        <v/>
      </c>
      <c r="AQ328" s="157">
        <f>CHOOSE(MATCH(IF($U328="","Основний",$U328),{"Трафіковий","Основний","Маржинальний","Сезонний","Стратегічний"},0),Settings!$F$78,Settings!$F$80,Settings!$F$82,Settings!$F$84,Settings!$F$86)</f>
        <v/>
      </c>
      <c r="AR328" s="157">
        <f>CHOOSE(MATCH(IF($U328="","Основний",$U328),{"Трафіковий","Основний","Маржинальний","Сезонний","Стратегічний"},0),Settings!$G$78,Settings!$G$80,Settings!$G$82,Settings!$G$84,Settings!$G$86)</f>
        <v/>
      </c>
      <c r="AS328" s="157">
        <f>CHOOSE(MATCH(IF($U328="","Основний",$U328),{"Трафіковий","Основний","Маржинальний","Сезонний","Стратегічний"},0),Settings!$H$78,Settings!$H$80,Settings!$H$82,Settings!$H$84,Settings!$H$86)</f>
        <v/>
      </c>
      <c r="AT328" s="157">
        <f>CHOOSE(MATCH(IF($U328="","Основний",$U328),{"Трафіковий","Основний","Маржинальний","Сезонний","Стратегічний"},0),Settings!$I$78,Settings!$I$80,Settings!$I$82,Settings!$I$84,Settings!$I$86)</f>
        <v/>
      </c>
      <c r="AU328" s="171" t="n"/>
      <c r="AV328" t="n">
        <v>1.35</v>
      </c>
    </row>
    <row r="329">
      <c r="A329" s="33" t="n"/>
      <c r="B329" s="34" t="inlineStr">
        <is>
          <t>P01210R</t>
        </is>
      </c>
      <c r="C329" s="34" t="inlineStr">
        <is>
          <t>POWER CORD SET 1S 10M 1,5MM ORANGE</t>
        </is>
      </c>
      <c r="D329" s="34" t="inlineStr">
        <is>
          <t>Пооджувачи та адаптери</t>
        </is>
      </c>
      <c r="E329" s="33" t="inlineStr">
        <is>
          <t>PC</t>
        </is>
      </c>
      <c r="F329" s="94" t="n">
        <v>8.012</v>
      </c>
      <c r="G329" s="35" t="n">
        <v>8544429090</v>
      </c>
      <c r="H329" s="31" t="n">
        <v>1.4</v>
      </c>
      <c r="I329" s="84">
        <f>IFERROR(F329*Settings!$B$2*H329*IF(AND(ISNUMBER(E329),E329&gt;1),E329,1),"")</f>
        <v/>
      </c>
      <c r="J329" s="32">
        <f>Settings!$B$66</f>
        <v/>
      </c>
      <c r="K329" s="95">
        <f>IFERROR(IF(T329="","",(T329*(1-AN329)*(1-Settings!$B$17)-I329)/(T329*(1-AN329)*(1-Settings!$B$17))),"")</f>
        <v/>
      </c>
      <c r="L329" s="101">
        <f>IFERROR(IF(T329="","",(T329*(1-AO329)*(1-Settings!$C$17)-I329)/(T329*(1-AO329)*(1-Settings!$C$17))),"")</f>
        <v/>
      </c>
      <c r="M329" s="101">
        <f>IFERROR(IF(T329="","",(T329*(1-AP329)*(1-Settings!$D$17)-I329)/(T329*(1-AP329)*(1-Settings!$D$17))),"")</f>
        <v/>
      </c>
      <c r="N329" s="101">
        <f>IFERROR(IF(T329="","",(T329*(1-AQ329)*(1-Settings!$F$17)-I329)/(T329*(1-AQ329)*(1-Settings!$F$17))),"")</f>
        <v/>
      </c>
      <c r="O329" s="101">
        <f>IFERROR(IF(T329="","",(T329*(1-AR329)*(1-Settings!$G$17)-I329)/(T329*(1-AR329)*(1-Settings!$G$17))),"")</f>
        <v/>
      </c>
      <c r="P329" s="101">
        <f>IFERROR(IF(T329="","",(T329*(1-AS329)*(1-Settings!$H$17)-I329)/(T329*(1-AS329)*(1-Settings!$H$17))),"")</f>
        <v/>
      </c>
      <c r="Q329" s="101">
        <f>IFERROR(IF(T329="","",(T329*(1-AT329)*(1-Settings!$I$68)*(1-Settings!$I$17)-I329)/(T329*(1-AT329)*(1-Settings!$I$68)*(1-Settings!$I$17))),"")</f>
        <v/>
      </c>
      <c r="R329" s="91">
        <f>IFERROR(IF(OR(I329="",Z329&gt;=1,Settings!$B$17&gt;=1,AN329&gt;=1),"",IF(MOD(ROUND(I329/(1-Z329)/(1-Settings!$B$17)/(1-AN329),0),10)=0,ROUND(I329/(1-Z329)/(1-Settings!$B$17)/(1-AN329),0)-1,IF(MOD(ROUND(I329/(1-Z329)/(1-Settings!$B$17)/(1-AN329),0),10)&lt;=5,FLOOR(ROUND(I329/(1-Z329)/(1-Settings!$B$17)/(1-AN329),0),10)+6,FLOOR(ROUND(I329/(1-Z329)/(1-Settings!$B$17)/(1-AN329),0),10)+9))),"")</f>
        <v/>
      </c>
      <c r="S329" s="174">
        <f>R329*0.95</f>
        <v/>
      </c>
      <c r="T329" s="91">
        <f>IF(S329&lt;&gt;"", IF(MOD(S329,10)=0,S329-1,IF(MOD(S329,10)&lt;=5,FLOOR(S329,10)+6,FLOOR(S329,10)+9)), R329)</f>
        <v/>
      </c>
      <c r="U329" s="87" t="inlineStr">
        <is>
          <t>Основний</t>
        </is>
      </c>
      <c r="V329" s="88" t="n"/>
      <c r="W329" s="88" t="n"/>
      <c r="X329" s="89">
        <f>IFERROR(IF(OR(V329="",W329="",T329=""),"", IF(T329&gt;W329,"Дорогий",IF(T329&lt;V329,"Дешевий","У ринку"))),"")</f>
        <v/>
      </c>
      <c r="Y329" s="90" t="n"/>
      <c r="Z329" s="104">
        <f>CHOOSE(MATCH(IF($U329="","Основний",$U329),{"Трафіковий","Основний","Маржинальний","Сезонний","Стратегічний"},0),0.16,0.19,0.24,0.23,0.28)</f>
        <v/>
      </c>
      <c r="AA329" s="104">
        <f>CHOOSE(MATCH(IF($U329="","Основний",$U329),{"Трафіковий","Основний","Маржинальний","Сезонний","Стратегічний"},0),0.18,0.21,0.26,0.25,0.3)</f>
        <v/>
      </c>
      <c r="AB329" s="104">
        <f>CHOOSE(MATCH(IF($U329="","Основний",$U329),{"Трафіковий","Основний","Маржинальний","Сезонний","Стратегічний"},0),0.19,0.22,0.28,0.26,0.32)</f>
        <v/>
      </c>
      <c r="AC329" s="104">
        <f>CHOOSE(MATCH(IF($U329="","Основний",$U329),{"Трафіковий","Основний","Маржинальний","Сезонний","Стратегічний"},0),0.17,0.2,0.25,0.24,0.28)</f>
        <v/>
      </c>
      <c r="AD329" s="104">
        <f>CHOOSE(MATCH(IF($U329="","Основний",$U329),{"Трафіковий","Основний","Маржинальний","Сезонний","Стратегічний"},0),0.18,0.21,0.26,0.25,0.3)</f>
        <v/>
      </c>
      <c r="AE329" s="104">
        <f>CHOOSE(MATCH(IF($U329="","Основний",$U329),{"Трафіковий","Основний","Маржинальний","Сезонний","Стратегічний"},0),0.18,0.2,0.28,0.27,0.32)</f>
        <v/>
      </c>
      <c r="AF329" s="104">
        <f>CHOOSE(MATCH(IF($U329="","Основний",$U329),{"Трафіковий","Основний","Маржинальний","Сезонний","Стратегічний"},0),0.15,0.175,0.22,0.21,0.25)</f>
        <v/>
      </c>
      <c r="AG329" s="104">
        <f>CHOOSE(MATCH(IF($U329="","Основний",$U329),{"Трафіковий","Основний","Маржинальний","Сезонний","Стратегічний"},0),0.13,0.16,0.21,0.2,0.25)</f>
        <v/>
      </c>
      <c r="AH329" s="104">
        <f>CHOOSE(MATCH(IF($U329="","Основний",$U329),{"Трафіковий","Основний","Маржинальний","Сезонний","Стратегічний"},0),0.15,0.18,0.23,0.22,0.27)</f>
        <v/>
      </c>
      <c r="AI329" s="104">
        <f>CHOOSE(MATCH(IF($U329="","Основний",$U329),{"Трафіковий","Основний","Маржинальний","Сезонний","Стратегічний"},0),0.16,0.19,0.25,0.23,0.29)</f>
        <v/>
      </c>
      <c r="AJ329" s="104">
        <f>CHOOSE(MATCH(IF($U329="","Основний",$U329),{"Трафіковий","Основний","Маржинальний","Сезонний","Стратегічний"},0),0.14,0.17,0.22,0.21,0.25)</f>
        <v/>
      </c>
      <c r="AK329" s="104">
        <f>CHOOSE(MATCH(IF($U329="","Основний",$U329),{"Трафіковий","Основний","Маржинальний","Сезонний","Стратегічний"},0),0.15,0.18,0.23,0.22,0.27)</f>
        <v/>
      </c>
      <c r="AL329" s="104">
        <f>CHOOSE(MATCH(IF($U329="","Основний",$U329),{"Трафіковий","Основний","Маржинальний","Сезонний","Стратегічний"},0),0.15,0.17,0.25,0.24,0.29)</f>
        <v/>
      </c>
      <c r="AM329" s="104">
        <f>CHOOSE(MATCH(IF($U329="","Основний",$U329),{"Трафіковий","Основний","Маржинальний","Сезонний","Стратегічний"},0),0.12,0.145,0.19,0.18,0.22)</f>
        <v/>
      </c>
      <c r="AN329" s="157">
        <f>CHOOSE(MATCH(IF($U329="","Основний",$U329),{"Трафіковий","Основний","Маржинальний","Сезонний","Стратегічний"},0),Settings!$B$78,Settings!$B$80,Settings!$B$82,Settings!$B$84,Settings!$B$86)</f>
        <v/>
      </c>
      <c r="AO329" s="157">
        <f>CHOOSE(MATCH(IF($U329="","Основний",$U329),{"Трафіковий","Основний","Маржинальний","Сезонний","Стратегічний"},0),Settings!$C$78,Settings!$C$80,Settings!$C$82,Settings!$C$84,Settings!$C$86)</f>
        <v/>
      </c>
      <c r="AP329" s="157">
        <f>CHOOSE(MATCH(IF($U329="","Основний",$U329),{"Трафіковий","Основний","Маржинальний","Сезонний","Стратегічний"},0),Settings!$D$78,Settings!$D$80,Settings!$D$82,Settings!$D$84,Settings!$D$86)</f>
        <v/>
      </c>
      <c r="AQ329" s="157">
        <f>CHOOSE(MATCH(IF($U329="","Основний",$U329),{"Трафіковий","Основний","Маржинальний","Сезонний","Стратегічний"},0),Settings!$F$78,Settings!$F$80,Settings!$F$82,Settings!$F$84,Settings!$F$86)</f>
        <v/>
      </c>
      <c r="AR329" s="157">
        <f>CHOOSE(MATCH(IF($U329="","Основний",$U329),{"Трафіковий","Основний","Маржинальний","Сезонний","Стратегічний"},0),Settings!$G$78,Settings!$G$80,Settings!$G$82,Settings!$G$84,Settings!$G$86)</f>
        <v/>
      </c>
      <c r="AS329" s="157">
        <f>CHOOSE(MATCH(IF($U329="","Основний",$U329),{"Трафіковий","Основний","Маржинальний","Сезонний","Стратегічний"},0),Settings!$H$78,Settings!$H$80,Settings!$H$82,Settings!$H$84,Settings!$H$86)</f>
        <v/>
      </c>
      <c r="AT329" s="157">
        <f>CHOOSE(MATCH(IF($U329="","Основний",$U329),{"Трафіковий","Основний","Маржинальний","Сезонний","Стратегічний"},0),Settings!$I$78,Settings!$I$80,Settings!$I$82,Settings!$I$84,Settings!$I$86)</f>
        <v/>
      </c>
      <c r="AU329" s="171" t="n"/>
      <c r="AV329" t="n">
        <v>1.35</v>
      </c>
    </row>
    <row r="330">
      <c r="A330" s="28" t="n"/>
      <c r="B330" s="29" t="inlineStr">
        <is>
          <t>P0120R</t>
        </is>
      </c>
      <c r="C330" s="29" t="inlineStr">
        <is>
          <t>POW. CORD SET 1S 10M SCH 1,5MM</t>
        </is>
      </c>
      <c r="D330" s="29" t="inlineStr">
        <is>
          <t>Пооджувачи та адаптери</t>
        </is>
      </c>
      <c r="E330" s="28" t="inlineStr">
        <is>
          <t>PC</t>
        </is>
      </c>
      <c r="F330" s="93" t="n">
        <v>7.72</v>
      </c>
      <c r="G330" s="30" t="n">
        <v>8544429090</v>
      </c>
      <c r="H330" s="31" t="n">
        <v>1.4</v>
      </c>
      <c r="I330" s="84">
        <f>IFERROR(F330*Settings!$B$2*H330*IF(AND(ISNUMBER(E330),E330&gt;1),E330,1),"")</f>
        <v/>
      </c>
      <c r="J330" s="32">
        <f>Settings!$B$66</f>
        <v/>
      </c>
      <c r="K330" s="95">
        <f>IFERROR(IF(T330="","",(T330*(1-AN330)*(1-Settings!$B$17)-I330)/(T330*(1-AN330)*(1-Settings!$B$17))),"")</f>
        <v/>
      </c>
      <c r="L330" s="101">
        <f>IFERROR(IF(T330="","",(T330*(1-AO330)*(1-Settings!$C$17)-I330)/(T330*(1-AO330)*(1-Settings!$C$17))),"")</f>
        <v/>
      </c>
      <c r="M330" s="101">
        <f>IFERROR(IF(T330="","",(T330*(1-AP330)*(1-Settings!$D$17)-I330)/(T330*(1-AP330)*(1-Settings!$D$17))),"")</f>
        <v/>
      </c>
      <c r="N330" s="101">
        <f>IFERROR(IF(T330="","",(T330*(1-AQ330)*(1-Settings!$F$17)-I330)/(T330*(1-AQ330)*(1-Settings!$F$17))),"")</f>
        <v/>
      </c>
      <c r="O330" s="101">
        <f>IFERROR(IF(T330="","",(T330*(1-AR330)*(1-Settings!$G$17)-I330)/(T330*(1-AR330)*(1-Settings!$G$17))),"")</f>
        <v/>
      </c>
      <c r="P330" s="101">
        <f>IFERROR(IF(T330="","",(T330*(1-AS330)*(1-Settings!$H$17)-I330)/(T330*(1-AS330)*(1-Settings!$H$17))),"")</f>
        <v/>
      </c>
      <c r="Q330" s="101">
        <f>IFERROR(IF(T330="","",(T330*(1-AT330)*(1-Settings!$I$68)*(1-Settings!$I$17)-I330)/(T330*(1-AT330)*(1-Settings!$I$68)*(1-Settings!$I$17))),"")</f>
        <v/>
      </c>
      <c r="R330" s="91">
        <f>IFERROR(IF(OR(I330="",Z330&gt;=1,Settings!$B$17&gt;=1,AN330&gt;=1),"",IF(MOD(ROUND(I330/(1-Z330)/(1-Settings!$B$17)/(1-AN330),0),10)=0,ROUND(I330/(1-Z330)/(1-Settings!$B$17)/(1-AN330),0)-1,IF(MOD(ROUND(I330/(1-Z330)/(1-Settings!$B$17)/(1-AN330),0),10)&lt;=5,FLOOR(ROUND(I330/(1-Z330)/(1-Settings!$B$17)/(1-AN330),0),10)+6,FLOOR(ROUND(I330/(1-Z330)/(1-Settings!$B$17)/(1-AN330),0),10)+9))),"")</f>
        <v/>
      </c>
      <c r="S330" s="174">
        <f>R330*0.95</f>
        <v/>
      </c>
      <c r="T330" s="91">
        <f>IF(S330&lt;&gt;"", IF(MOD(S330,10)=0,S330-1,IF(MOD(S330,10)&lt;=5,FLOOR(S330,10)+6,FLOOR(S330,10)+9)), R330)</f>
        <v/>
      </c>
      <c r="U330" s="87" t="inlineStr">
        <is>
          <t>Основний</t>
        </is>
      </c>
      <c r="V330" s="88" t="n"/>
      <c r="W330" s="88" t="n"/>
      <c r="X330" s="89">
        <f>IFERROR(IF(OR(V330="",W330="",T330=""),"", IF(T330&gt;W330,"Дорогий",IF(T330&lt;V330,"Дешевий","У ринку"))),"")</f>
        <v/>
      </c>
      <c r="Y330" s="90" t="n"/>
      <c r="Z330" s="104">
        <f>CHOOSE(MATCH(IF($U330="","Основний",$U330),{"Трафіковий","Основний","Маржинальний","Сезонний","Стратегічний"},0),0.16,0.19,0.24,0.23,0.28)</f>
        <v/>
      </c>
      <c r="AA330" s="104">
        <f>CHOOSE(MATCH(IF($U330="","Основний",$U330),{"Трафіковий","Основний","Маржинальний","Сезонний","Стратегічний"},0),0.18,0.21,0.26,0.25,0.3)</f>
        <v/>
      </c>
      <c r="AB330" s="104">
        <f>CHOOSE(MATCH(IF($U330="","Основний",$U330),{"Трафіковий","Основний","Маржинальний","Сезонний","Стратегічний"},0),0.19,0.22,0.28,0.26,0.32)</f>
        <v/>
      </c>
      <c r="AC330" s="104">
        <f>CHOOSE(MATCH(IF($U330="","Основний",$U330),{"Трафіковий","Основний","Маржинальний","Сезонний","Стратегічний"},0),0.17,0.2,0.25,0.24,0.28)</f>
        <v/>
      </c>
      <c r="AD330" s="104">
        <f>CHOOSE(MATCH(IF($U330="","Основний",$U330),{"Трафіковий","Основний","Маржинальний","Сезонний","Стратегічний"},0),0.18,0.21,0.26,0.25,0.3)</f>
        <v/>
      </c>
      <c r="AE330" s="104">
        <f>CHOOSE(MATCH(IF($U330="","Основний",$U330),{"Трафіковий","Основний","Маржинальний","Сезонний","Стратегічний"},0),0.18,0.2,0.28,0.27,0.32)</f>
        <v/>
      </c>
      <c r="AF330" s="104">
        <f>CHOOSE(MATCH(IF($U330="","Основний",$U330),{"Трафіковий","Основний","Маржинальний","Сезонний","Стратегічний"},0),0.15,0.175,0.22,0.21,0.25)</f>
        <v/>
      </c>
      <c r="AG330" s="104">
        <f>CHOOSE(MATCH(IF($U330="","Основний",$U330),{"Трафіковий","Основний","Маржинальний","Сезонний","Стратегічний"},0),0.13,0.16,0.21,0.2,0.25)</f>
        <v/>
      </c>
      <c r="AH330" s="104">
        <f>CHOOSE(MATCH(IF($U330="","Основний",$U330),{"Трафіковий","Основний","Маржинальний","Сезонний","Стратегічний"},0),0.15,0.18,0.23,0.22,0.27)</f>
        <v/>
      </c>
      <c r="AI330" s="104">
        <f>CHOOSE(MATCH(IF($U330="","Основний",$U330),{"Трафіковий","Основний","Маржинальний","Сезонний","Стратегічний"},0),0.16,0.19,0.25,0.23,0.29)</f>
        <v/>
      </c>
      <c r="AJ330" s="104">
        <f>CHOOSE(MATCH(IF($U330="","Основний",$U330),{"Трафіковий","Основний","Маржинальний","Сезонний","Стратегічний"},0),0.14,0.17,0.22,0.21,0.25)</f>
        <v/>
      </c>
      <c r="AK330" s="104">
        <f>CHOOSE(MATCH(IF($U330="","Основний",$U330),{"Трафіковий","Основний","Маржинальний","Сезонний","Стратегічний"},0),0.15,0.18,0.23,0.22,0.27)</f>
        <v/>
      </c>
      <c r="AL330" s="104">
        <f>CHOOSE(MATCH(IF($U330="","Основний",$U330),{"Трафіковий","Основний","Маржинальний","Сезонний","Стратегічний"},0),0.15,0.17,0.25,0.24,0.29)</f>
        <v/>
      </c>
      <c r="AM330" s="104">
        <f>CHOOSE(MATCH(IF($U330="","Основний",$U330),{"Трафіковий","Основний","Маржинальний","Сезонний","Стратегічний"},0),0.12,0.145,0.19,0.18,0.22)</f>
        <v/>
      </c>
      <c r="AN330" s="157">
        <f>CHOOSE(MATCH(IF($U330="","Основний",$U330),{"Трафіковий","Основний","Маржинальний","Сезонний","Стратегічний"},0),Settings!$B$78,Settings!$B$80,Settings!$B$82,Settings!$B$84,Settings!$B$86)</f>
        <v/>
      </c>
      <c r="AO330" s="157">
        <f>CHOOSE(MATCH(IF($U330="","Основний",$U330),{"Трафіковий","Основний","Маржинальний","Сезонний","Стратегічний"},0),Settings!$C$78,Settings!$C$80,Settings!$C$82,Settings!$C$84,Settings!$C$86)</f>
        <v/>
      </c>
      <c r="AP330" s="157">
        <f>CHOOSE(MATCH(IF($U330="","Основний",$U330),{"Трафіковий","Основний","Маржинальний","Сезонний","Стратегічний"},0),Settings!$D$78,Settings!$D$80,Settings!$D$82,Settings!$D$84,Settings!$D$86)</f>
        <v/>
      </c>
      <c r="AQ330" s="157">
        <f>CHOOSE(MATCH(IF($U330="","Основний",$U330),{"Трафіковий","Основний","Маржинальний","Сезонний","Стратегічний"},0),Settings!$F$78,Settings!$F$80,Settings!$F$82,Settings!$F$84,Settings!$F$86)</f>
        <v/>
      </c>
      <c r="AR330" s="157">
        <f>CHOOSE(MATCH(IF($U330="","Основний",$U330),{"Трафіковий","Основний","Маржинальний","Сезонний","Стратегічний"},0),Settings!$G$78,Settings!$G$80,Settings!$G$82,Settings!$G$84,Settings!$G$86)</f>
        <v/>
      </c>
      <c r="AS330" s="157">
        <f>CHOOSE(MATCH(IF($U330="","Основний",$U330),{"Трафіковий","Основний","Маржинальний","Сезонний","Стратегічний"},0),Settings!$H$78,Settings!$H$80,Settings!$H$82,Settings!$H$84,Settings!$H$86)</f>
        <v/>
      </c>
      <c r="AT330" s="157">
        <f>CHOOSE(MATCH(IF($U330="","Основний",$U330),{"Трафіковий","Основний","Маржинальний","Сезонний","Стратегічний"},0),Settings!$I$78,Settings!$I$80,Settings!$I$82,Settings!$I$84,Settings!$I$86)</f>
        <v/>
      </c>
      <c r="AU330" s="171" t="n"/>
      <c r="AV330" t="n">
        <v>1.35</v>
      </c>
    </row>
    <row r="331">
      <c r="A331" s="33" t="n"/>
      <c r="B331" s="34" t="inlineStr">
        <is>
          <t>P01215R</t>
        </is>
      </c>
      <c r="C331" s="34" t="inlineStr">
        <is>
          <t>POW. CORD SET 1S 15M SCH 1,5MM</t>
        </is>
      </c>
      <c r="D331" s="34" t="inlineStr">
        <is>
          <t>Пооджувачи та адаптери</t>
        </is>
      </c>
      <c r="E331" s="33" t="inlineStr">
        <is>
          <t>PC</t>
        </is>
      </c>
      <c r="F331" s="94" t="n">
        <v>11.81</v>
      </c>
      <c r="G331" s="35" t="n">
        <v>8544429090</v>
      </c>
      <c r="H331" s="31" t="n">
        <v>1.4</v>
      </c>
      <c r="I331" s="84">
        <f>IFERROR(F331*Settings!$B$2*H331*IF(AND(ISNUMBER(E331),E331&gt;1),E331,1),"")</f>
        <v/>
      </c>
      <c r="J331" s="32">
        <f>Settings!$B$66</f>
        <v/>
      </c>
      <c r="K331" s="95">
        <f>IFERROR(IF(T331="","",(T331*(1-AN331)*(1-Settings!$B$17)-I331)/(T331*(1-AN331)*(1-Settings!$B$17))),"")</f>
        <v/>
      </c>
      <c r="L331" s="101">
        <f>IFERROR(IF(T331="","",(T331*(1-AO331)*(1-Settings!$C$17)-I331)/(T331*(1-AO331)*(1-Settings!$C$17))),"")</f>
        <v/>
      </c>
      <c r="M331" s="101">
        <f>IFERROR(IF(T331="","",(T331*(1-AP331)*(1-Settings!$D$17)-I331)/(T331*(1-AP331)*(1-Settings!$D$17))),"")</f>
        <v/>
      </c>
      <c r="N331" s="101">
        <f>IFERROR(IF(T331="","",(T331*(1-AQ331)*(1-Settings!$F$17)-I331)/(T331*(1-AQ331)*(1-Settings!$F$17))),"")</f>
        <v/>
      </c>
      <c r="O331" s="101">
        <f>IFERROR(IF(T331="","",(T331*(1-AR331)*(1-Settings!$G$17)-I331)/(T331*(1-AR331)*(1-Settings!$G$17))),"")</f>
        <v/>
      </c>
      <c r="P331" s="101">
        <f>IFERROR(IF(T331="","",(T331*(1-AS331)*(1-Settings!$H$17)-I331)/(T331*(1-AS331)*(1-Settings!$H$17))),"")</f>
        <v/>
      </c>
      <c r="Q331" s="101">
        <f>IFERROR(IF(T331="","",(T331*(1-AT331)*(1-Settings!$I$68)*(1-Settings!$I$17)-I331)/(T331*(1-AT331)*(1-Settings!$I$68)*(1-Settings!$I$17))),"")</f>
        <v/>
      </c>
      <c r="R331" s="91">
        <f>IFERROR(IF(OR(I331="",Z331&gt;=1,Settings!$B$17&gt;=1,AN331&gt;=1),"",IF(MOD(ROUND(I331/(1-Z331)/(1-Settings!$B$17)/(1-AN331),0),10)=0,ROUND(I331/(1-Z331)/(1-Settings!$B$17)/(1-AN331),0)-1,IF(MOD(ROUND(I331/(1-Z331)/(1-Settings!$B$17)/(1-AN331),0),10)&lt;=5,FLOOR(ROUND(I331/(1-Z331)/(1-Settings!$B$17)/(1-AN331),0),10)+6,FLOOR(ROUND(I331/(1-Z331)/(1-Settings!$B$17)/(1-AN331),0),10)+9))),"")</f>
        <v/>
      </c>
      <c r="S331" s="174">
        <f>R331*0.95</f>
        <v/>
      </c>
      <c r="T331" s="91">
        <f>IF(S331&lt;&gt;"", IF(MOD(S331,10)=0,S331-1,IF(MOD(S331,10)&lt;=5,FLOOR(S331,10)+6,FLOOR(S331,10)+9)), R331)</f>
        <v/>
      </c>
      <c r="U331" s="87" t="inlineStr">
        <is>
          <t>Основний</t>
        </is>
      </c>
      <c r="V331" s="88" t="n"/>
      <c r="W331" s="88" t="n"/>
      <c r="X331" s="89">
        <f>IFERROR(IF(OR(V331="",W331="",T331=""),"", IF(T331&gt;W331,"Дорогий",IF(T331&lt;V331,"Дешевий","У ринку"))),"")</f>
        <v/>
      </c>
      <c r="Y331" s="90" t="n"/>
      <c r="Z331" s="104">
        <f>CHOOSE(MATCH(IF($U331="","Основний",$U331),{"Трафіковий","Основний","Маржинальний","Сезонний","Стратегічний"},0),0.16,0.19,0.24,0.23,0.28)</f>
        <v/>
      </c>
      <c r="AA331" s="104">
        <f>CHOOSE(MATCH(IF($U331="","Основний",$U331),{"Трафіковий","Основний","Маржинальний","Сезонний","Стратегічний"},0),0.18,0.21,0.26,0.25,0.3)</f>
        <v/>
      </c>
      <c r="AB331" s="104">
        <f>CHOOSE(MATCH(IF($U331="","Основний",$U331),{"Трафіковий","Основний","Маржинальний","Сезонний","Стратегічний"},0),0.19,0.22,0.28,0.26,0.32)</f>
        <v/>
      </c>
      <c r="AC331" s="104">
        <f>CHOOSE(MATCH(IF($U331="","Основний",$U331),{"Трафіковий","Основний","Маржинальний","Сезонний","Стратегічний"},0),0.17,0.2,0.25,0.24,0.28)</f>
        <v/>
      </c>
      <c r="AD331" s="104">
        <f>CHOOSE(MATCH(IF($U331="","Основний",$U331),{"Трафіковий","Основний","Маржинальний","Сезонний","Стратегічний"},0),0.18,0.21,0.26,0.25,0.3)</f>
        <v/>
      </c>
      <c r="AE331" s="104">
        <f>CHOOSE(MATCH(IF($U331="","Основний",$U331),{"Трафіковий","Основний","Маржинальний","Сезонний","Стратегічний"},0),0.18,0.2,0.28,0.27,0.32)</f>
        <v/>
      </c>
      <c r="AF331" s="104">
        <f>CHOOSE(MATCH(IF($U331="","Основний",$U331),{"Трафіковий","Основний","Маржинальний","Сезонний","Стратегічний"},0),0.15,0.175,0.22,0.21,0.25)</f>
        <v/>
      </c>
      <c r="AG331" s="104">
        <f>CHOOSE(MATCH(IF($U331="","Основний",$U331),{"Трафіковий","Основний","Маржинальний","Сезонний","Стратегічний"},0),0.13,0.16,0.21,0.2,0.25)</f>
        <v/>
      </c>
      <c r="AH331" s="104">
        <f>CHOOSE(MATCH(IF($U331="","Основний",$U331),{"Трафіковий","Основний","Маржинальний","Сезонний","Стратегічний"},0),0.15,0.18,0.23,0.22,0.27)</f>
        <v/>
      </c>
      <c r="AI331" s="104">
        <f>CHOOSE(MATCH(IF($U331="","Основний",$U331),{"Трафіковий","Основний","Маржинальний","Сезонний","Стратегічний"},0),0.16,0.19,0.25,0.23,0.29)</f>
        <v/>
      </c>
      <c r="AJ331" s="104">
        <f>CHOOSE(MATCH(IF($U331="","Основний",$U331),{"Трафіковий","Основний","Маржинальний","Сезонний","Стратегічний"},0),0.14,0.17,0.22,0.21,0.25)</f>
        <v/>
      </c>
      <c r="AK331" s="104">
        <f>CHOOSE(MATCH(IF($U331="","Основний",$U331),{"Трафіковий","Основний","Маржинальний","Сезонний","Стратегічний"},0),0.15,0.18,0.23,0.22,0.27)</f>
        <v/>
      </c>
      <c r="AL331" s="104">
        <f>CHOOSE(MATCH(IF($U331="","Основний",$U331),{"Трафіковий","Основний","Маржинальний","Сезонний","Стратегічний"},0),0.15,0.17,0.25,0.24,0.29)</f>
        <v/>
      </c>
      <c r="AM331" s="104">
        <f>CHOOSE(MATCH(IF($U331="","Основний",$U331),{"Трафіковий","Основний","Маржинальний","Сезонний","Стратегічний"},0),0.12,0.145,0.19,0.18,0.22)</f>
        <v/>
      </c>
      <c r="AN331" s="157">
        <f>CHOOSE(MATCH(IF($U331="","Основний",$U331),{"Трафіковий","Основний","Маржинальний","Сезонний","Стратегічний"},0),Settings!$B$78,Settings!$B$80,Settings!$B$82,Settings!$B$84,Settings!$B$86)</f>
        <v/>
      </c>
      <c r="AO331" s="157">
        <f>CHOOSE(MATCH(IF($U331="","Основний",$U331),{"Трафіковий","Основний","Маржинальний","Сезонний","Стратегічний"},0),Settings!$C$78,Settings!$C$80,Settings!$C$82,Settings!$C$84,Settings!$C$86)</f>
        <v/>
      </c>
      <c r="AP331" s="157">
        <f>CHOOSE(MATCH(IF($U331="","Основний",$U331),{"Трафіковий","Основний","Маржинальний","Сезонний","Стратегічний"},0),Settings!$D$78,Settings!$D$80,Settings!$D$82,Settings!$D$84,Settings!$D$86)</f>
        <v/>
      </c>
      <c r="AQ331" s="157">
        <f>CHOOSE(MATCH(IF($U331="","Основний",$U331),{"Трафіковий","Основний","Маржинальний","Сезонний","Стратегічний"},0),Settings!$F$78,Settings!$F$80,Settings!$F$82,Settings!$F$84,Settings!$F$86)</f>
        <v/>
      </c>
      <c r="AR331" s="157">
        <f>CHOOSE(MATCH(IF($U331="","Основний",$U331),{"Трафіковий","Основний","Маржинальний","Сезонний","Стратегічний"},0),Settings!$G$78,Settings!$G$80,Settings!$G$82,Settings!$G$84,Settings!$G$86)</f>
        <v/>
      </c>
      <c r="AS331" s="157">
        <f>CHOOSE(MATCH(IF($U331="","Основний",$U331),{"Трафіковий","Основний","Маржинальний","Сезонний","Стратегічний"},0),Settings!$H$78,Settings!$H$80,Settings!$H$82,Settings!$H$84,Settings!$H$86)</f>
        <v/>
      </c>
      <c r="AT331" s="157">
        <f>CHOOSE(MATCH(IF($U331="","Основний",$U331),{"Трафіковий","Основний","Маржинальний","Сезонний","Стратегічний"},0),Settings!$I$78,Settings!$I$80,Settings!$I$82,Settings!$I$84,Settings!$I$86)</f>
        <v/>
      </c>
      <c r="AU331" s="171" t="n"/>
      <c r="AV331" t="n">
        <v>1.35</v>
      </c>
    </row>
    <row r="332">
      <c r="A332" s="28" t="inlineStr">
        <is>
          <t>SELL OUT</t>
        </is>
      </c>
      <c r="B332" s="29" t="inlineStr">
        <is>
          <t>P01220</t>
        </is>
      </c>
      <c r="C332" s="29" t="inlineStr">
        <is>
          <t>POWER CORD SET 1S 20M SCHUKO</t>
        </is>
      </c>
      <c r="D332" s="29" t="inlineStr">
        <is>
          <t>Пооджувачи та адаптери</t>
        </is>
      </c>
      <c r="E332" s="28" t="inlineStr">
        <is>
          <t>PC</t>
        </is>
      </c>
      <c r="F332" s="93" t="n">
        <v>5.526</v>
      </c>
      <c r="G332" s="30" t="n">
        <v>8544429090</v>
      </c>
      <c r="H332" s="31" t="n">
        <v>1.4</v>
      </c>
      <c r="I332" s="84">
        <f>IFERROR(F332*Settings!$B$2*H332*IF(AND(ISNUMBER(E332),E332&gt;1),E332,1),"")</f>
        <v/>
      </c>
      <c r="J332" s="32">
        <f>Settings!$B$66</f>
        <v/>
      </c>
      <c r="K332" s="95">
        <f>IFERROR(IF(T332="","",(T332*(1-AN332)*(1-Settings!$B$17)-I332)/(T332*(1-AN332)*(1-Settings!$B$17))),"")</f>
        <v/>
      </c>
      <c r="L332" s="101">
        <f>IFERROR(IF(T332="","",(T332*(1-AO332)*(1-Settings!$C$17)-I332)/(T332*(1-AO332)*(1-Settings!$C$17))),"")</f>
        <v/>
      </c>
      <c r="M332" s="101">
        <f>IFERROR(IF(T332="","",(T332*(1-AP332)*(1-Settings!$D$17)-I332)/(T332*(1-AP332)*(1-Settings!$D$17))),"")</f>
        <v/>
      </c>
      <c r="N332" s="101">
        <f>IFERROR(IF(T332="","",(T332*(1-AQ332)*(1-Settings!$F$17)-I332)/(T332*(1-AQ332)*(1-Settings!$F$17))),"")</f>
        <v/>
      </c>
      <c r="O332" s="101">
        <f>IFERROR(IF(T332="","",(T332*(1-AR332)*(1-Settings!$G$17)-I332)/(T332*(1-AR332)*(1-Settings!$G$17))),"")</f>
        <v/>
      </c>
      <c r="P332" s="101">
        <f>IFERROR(IF(T332="","",(T332*(1-AS332)*(1-Settings!$H$17)-I332)/(T332*(1-AS332)*(1-Settings!$H$17))),"")</f>
        <v/>
      </c>
      <c r="Q332" s="101">
        <f>IFERROR(IF(T332="","",(T332*(1-AT332)*(1-Settings!$I$68)*(1-Settings!$I$17)-I332)/(T332*(1-AT332)*(1-Settings!$I$68)*(1-Settings!$I$17))),"")</f>
        <v/>
      </c>
      <c r="R332" s="91">
        <f>IFERROR(IF(OR(I332="",Z332&gt;=1,Settings!$B$17&gt;=1,AN332&gt;=1),"",IF(MOD(ROUND(I332/(1-Z332)/(1-Settings!$B$17)/(1-AN332),0),10)=0,ROUND(I332/(1-Z332)/(1-Settings!$B$17)/(1-AN332),0)-1,IF(MOD(ROUND(I332/(1-Z332)/(1-Settings!$B$17)/(1-AN332),0),10)&lt;=5,FLOOR(ROUND(I332/(1-Z332)/(1-Settings!$B$17)/(1-AN332),0),10)+6,FLOOR(ROUND(I332/(1-Z332)/(1-Settings!$B$17)/(1-AN332),0),10)+9))),"")</f>
        <v/>
      </c>
      <c r="S332" s="174" t="n"/>
      <c r="T332" s="91">
        <f>IF(S332&lt;&gt;"", IF(MOD(S332,10)=0,S332-1,IF(MOD(S332,10)&lt;=5,FLOOR(S332,10)+6,FLOOR(S332,10)+9)), R332)</f>
        <v/>
      </c>
      <c r="U332" s="87" t="inlineStr">
        <is>
          <t>Основний</t>
        </is>
      </c>
      <c r="V332" s="88" t="n"/>
      <c r="W332" s="88" t="n"/>
      <c r="X332" s="89">
        <f>IFERROR(IF(OR(V332="",W332="",T332=""),"", IF(T332&gt;W332,"Дорогий",IF(T332&lt;V332,"Дешевий","У ринку"))),"")</f>
        <v/>
      </c>
      <c r="Y332" s="90" t="n"/>
      <c r="Z332" s="104">
        <f>CHOOSE(MATCH(IF($U332="","Основний",$U332),{"Трафіковий","Основний","Маржинальний","Сезонний","Стратегічний"},0),0.16,0.19,0.24,0.23,0.28)</f>
        <v/>
      </c>
      <c r="AA332" s="104">
        <f>CHOOSE(MATCH(IF($U332="","Основний",$U332),{"Трафіковий","Основний","Маржинальний","Сезонний","Стратегічний"},0),0.18,0.21,0.26,0.25,0.3)</f>
        <v/>
      </c>
      <c r="AB332" s="104">
        <f>CHOOSE(MATCH(IF($U332="","Основний",$U332),{"Трафіковий","Основний","Маржинальний","Сезонний","Стратегічний"},0),0.19,0.22,0.28,0.26,0.32)</f>
        <v/>
      </c>
      <c r="AC332" s="104">
        <f>CHOOSE(MATCH(IF($U332="","Основний",$U332),{"Трафіковий","Основний","Маржинальний","Сезонний","Стратегічний"},0),0.17,0.2,0.25,0.24,0.28)</f>
        <v/>
      </c>
      <c r="AD332" s="104">
        <f>CHOOSE(MATCH(IF($U332="","Основний",$U332),{"Трафіковий","Основний","Маржинальний","Сезонний","Стратегічний"},0),0.18,0.21,0.26,0.25,0.3)</f>
        <v/>
      </c>
      <c r="AE332" s="104">
        <f>CHOOSE(MATCH(IF($U332="","Основний",$U332),{"Трафіковий","Основний","Маржинальний","Сезонний","Стратегічний"},0),0.18,0.2,0.28,0.27,0.32)</f>
        <v/>
      </c>
      <c r="AF332" s="104">
        <f>CHOOSE(MATCH(IF($U332="","Основний",$U332),{"Трафіковий","Основний","Маржинальний","Сезонний","Стратегічний"},0),0.15,0.175,0.22,0.21,0.25)</f>
        <v/>
      </c>
      <c r="AG332" s="104">
        <f>CHOOSE(MATCH(IF($U332="","Основний",$U332),{"Трафіковий","Основний","Маржинальний","Сезонний","Стратегічний"},0),0.13,0.16,0.21,0.2,0.25)</f>
        <v/>
      </c>
      <c r="AH332" s="104">
        <f>CHOOSE(MATCH(IF($U332="","Основний",$U332),{"Трафіковий","Основний","Маржинальний","Сезонний","Стратегічний"},0),0.15,0.18,0.23,0.22,0.27)</f>
        <v/>
      </c>
      <c r="AI332" s="104">
        <f>CHOOSE(MATCH(IF($U332="","Основний",$U332),{"Трафіковий","Основний","Маржинальний","Сезонний","Стратегічний"},0),0.16,0.19,0.25,0.23,0.29)</f>
        <v/>
      </c>
      <c r="AJ332" s="104">
        <f>CHOOSE(MATCH(IF($U332="","Основний",$U332),{"Трафіковий","Основний","Маржинальний","Сезонний","Стратегічний"},0),0.14,0.17,0.22,0.21,0.25)</f>
        <v/>
      </c>
      <c r="AK332" s="104">
        <f>CHOOSE(MATCH(IF($U332="","Основний",$U332),{"Трафіковий","Основний","Маржинальний","Сезонний","Стратегічний"},0),0.15,0.18,0.23,0.22,0.27)</f>
        <v/>
      </c>
      <c r="AL332" s="104">
        <f>CHOOSE(MATCH(IF($U332="","Основний",$U332),{"Трафіковий","Основний","Маржинальний","Сезонний","Стратегічний"},0),0.15,0.17,0.25,0.24,0.29)</f>
        <v/>
      </c>
      <c r="AM332" s="104">
        <f>CHOOSE(MATCH(IF($U332="","Основний",$U332),{"Трафіковий","Основний","Маржинальний","Сезонний","Стратегічний"},0),0.12,0.145,0.19,0.18,0.22)</f>
        <v/>
      </c>
      <c r="AN332" s="157">
        <f>CHOOSE(MATCH(IF($U332="","Основний",$U332),{"Трафіковий","Основний","Маржинальний","Сезонний","Стратегічний"},0),Settings!$B$78,Settings!$B$80,Settings!$B$82,Settings!$B$84,Settings!$B$86)</f>
        <v/>
      </c>
      <c r="AO332" s="157">
        <f>CHOOSE(MATCH(IF($U332="","Основний",$U332),{"Трафіковий","Основний","Маржинальний","Сезонний","Стратегічний"},0),Settings!$C$78,Settings!$C$80,Settings!$C$82,Settings!$C$84,Settings!$C$86)</f>
        <v/>
      </c>
      <c r="AP332" s="157">
        <f>CHOOSE(MATCH(IF($U332="","Основний",$U332),{"Трафіковий","Основний","Маржинальний","Сезонний","Стратегічний"},0),Settings!$D$78,Settings!$D$80,Settings!$D$82,Settings!$D$84,Settings!$D$86)</f>
        <v/>
      </c>
      <c r="AQ332" s="157">
        <f>CHOOSE(MATCH(IF($U332="","Основний",$U332),{"Трафіковий","Основний","Маржинальний","Сезонний","Стратегічний"},0),Settings!$F$78,Settings!$F$80,Settings!$F$82,Settings!$F$84,Settings!$F$86)</f>
        <v/>
      </c>
      <c r="AR332" s="157">
        <f>CHOOSE(MATCH(IF($U332="","Основний",$U332),{"Трафіковий","Основний","Маржинальний","Сезонний","Стратегічний"},0),Settings!$G$78,Settings!$G$80,Settings!$G$82,Settings!$G$84,Settings!$G$86)</f>
        <v/>
      </c>
      <c r="AS332" s="157">
        <f>CHOOSE(MATCH(IF($U332="","Основний",$U332),{"Трафіковий","Основний","Маржинальний","Сезонний","Стратегічний"},0),Settings!$H$78,Settings!$H$80,Settings!$H$82,Settings!$H$84,Settings!$H$86)</f>
        <v/>
      </c>
      <c r="AT332" s="157">
        <f>CHOOSE(MATCH(IF($U332="","Основний",$U332),{"Трафіковий","Основний","Маржинальний","Сезонний","Стратегічний"},0),Settings!$I$78,Settings!$I$80,Settings!$I$82,Settings!$I$84,Settings!$I$86)</f>
        <v/>
      </c>
      <c r="AU332" s="171" t="n"/>
      <c r="AV332" t="n">
        <v>1.35</v>
      </c>
    </row>
    <row r="333">
      <c r="A333" s="33" t="n"/>
      <c r="B333" s="34" t="inlineStr">
        <is>
          <t>P01320R</t>
        </is>
      </c>
      <c r="C333" s="34" t="inlineStr">
        <is>
          <t>TWIN CORE FLEXIBLE CORD 20M 1,5MM2</t>
        </is>
      </c>
      <c r="D333" s="34" t="inlineStr">
        <is>
          <t>Пооджувачи та адаптери</t>
        </is>
      </c>
      <c r="E333" s="33" t="inlineStr">
        <is>
          <t>PC</t>
        </is>
      </c>
      <c r="F333" s="94" t="n">
        <v>12.578</v>
      </c>
      <c r="G333" s="35" t="n">
        <v>8544429090</v>
      </c>
      <c r="H333" s="31" t="n">
        <v>1.4</v>
      </c>
      <c r="I333" s="84">
        <f>IFERROR(F333*Settings!$B$2*H333*IF(AND(ISNUMBER(E333),E333&gt;1),E333,1),"")</f>
        <v/>
      </c>
      <c r="J333" s="32">
        <f>Settings!$B$66</f>
        <v/>
      </c>
      <c r="K333" s="95">
        <f>IFERROR(IF(T333="","",(T333*(1-AN333)*(1-Settings!$B$17)-I333)/(T333*(1-AN333)*(1-Settings!$B$17))),"")</f>
        <v/>
      </c>
      <c r="L333" s="101">
        <f>IFERROR(IF(T333="","",(T333*(1-AO333)*(1-Settings!$C$17)-I333)/(T333*(1-AO333)*(1-Settings!$C$17))),"")</f>
        <v/>
      </c>
      <c r="M333" s="101">
        <f>IFERROR(IF(T333="","",(T333*(1-AP333)*(1-Settings!$D$17)-I333)/(T333*(1-AP333)*(1-Settings!$D$17))),"")</f>
        <v/>
      </c>
      <c r="N333" s="101">
        <f>IFERROR(IF(T333="","",(T333*(1-AQ333)*(1-Settings!$F$17)-I333)/(T333*(1-AQ333)*(1-Settings!$F$17))),"")</f>
        <v/>
      </c>
      <c r="O333" s="101">
        <f>IFERROR(IF(T333="","",(T333*(1-AR333)*(1-Settings!$G$17)-I333)/(T333*(1-AR333)*(1-Settings!$G$17))),"")</f>
        <v/>
      </c>
      <c r="P333" s="101">
        <f>IFERROR(IF(T333="","",(T333*(1-AS333)*(1-Settings!$H$17)-I333)/(T333*(1-AS333)*(1-Settings!$H$17))),"")</f>
        <v/>
      </c>
      <c r="Q333" s="101">
        <f>IFERROR(IF(T333="","",(T333*(1-AT333)*(1-Settings!$I$68)*(1-Settings!$I$17)-I333)/(T333*(1-AT333)*(1-Settings!$I$68)*(1-Settings!$I$17))),"")</f>
        <v/>
      </c>
      <c r="R333" s="91">
        <f>IFERROR(IF(OR(I333="",Z333&gt;=1,Settings!$B$17&gt;=1,AN333&gt;=1),"",IF(MOD(ROUND(I333/(1-Z333)/(1-Settings!$B$17)/(1-AN333),0),10)=0,ROUND(I333/(1-Z333)/(1-Settings!$B$17)/(1-AN333),0)-1,IF(MOD(ROUND(I333/(1-Z333)/(1-Settings!$B$17)/(1-AN333),0),10)&lt;=5,FLOOR(ROUND(I333/(1-Z333)/(1-Settings!$B$17)/(1-AN333),0),10)+6,FLOOR(ROUND(I333/(1-Z333)/(1-Settings!$B$17)/(1-AN333),0),10)+9))),"")</f>
        <v/>
      </c>
      <c r="S333" s="174">
        <f>R333*0.95</f>
        <v/>
      </c>
      <c r="T333" s="91">
        <f>IF(S333&lt;&gt;"", IF(MOD(S333,10)=0,S333-1,IF(MOD(S333,10)&lt;=5,FLOOR(S333,10)+6,FLOOR(S333,10)+9)), R333)</f>
        <v/>
      </c>
      <c r="U333" s="87" t="inlineStr">
        <is>
          <t>Основний</t>
        </is>
      </c>
      <c r="V333" s="88" t="n"/>
      <c r="W333" s="88" t="n"/>
      <c r="X333" s="89">
        <f>IFERROR(IF(OR(V333="",W333="",T333=""),"", IF(T333&gt;W333,"Дорогий",IF(T333&lt;V333,"Дешевий","У ринку"))),"")</f>
        <v/>
      </c>
      <c r="Y333" s="90" t="n"/>
      <c r="Z333" s="104">
        <f>CHOOSE(MATCH(IF($U333="","Основний",$U333),{"Трафіковий","Основний","Маржинальний","Сезонний","Стратегічний"},0),0.16,0.19,0.24,0.23,0.28)</f>
        <v/>
      </c>
      <c r="AA333" s="104">
        <f>CHOOSE(MATCH(IF($U333="","Основний",$U333),{"Трафіковий","Основний","Маржинальний","Сезонний","Стратегічний"},0),0.18,0.21,0.26,0.25,0.3)</f>
        <v/>
      </c>
      <c r="AB333" s="104">
        <f>CHOOSE(MATCH(IF($U333="","Основний",$U333),{"Трафіковий","Основний","Маржинальний","Сезонний","Стратегічний"},0),0.19,0.22,0.28,0.26,0.32)</f>
        <v/>
      </c>
      <c r="AC333" s="104">
        <f>CHOOSE(MATCH(IF($U333="","Основний",$U333),{"Трафіковий","Основний","Маржинальний","Сезонний","Стратегічний"},0),0.17,0.2,0.25,0.24,0.28)</f>
        <v/>
      </c>
      <c r="AD333" s="104">
        <f>CHOOSE(MATCH(IF($U333="","Основний",$U333),{"Трафіковий","Основний","Маржинальний","Сезонний","Стратегічний"},0),0.18,0.21,0.26,0.25,0.3)</f>
        <v/>
      </c>
      <c r="AE333" s="104">
        <f>CHOOSE(MATCH(IF($U333="","Основний",$U333),{"Трафіковий","Основний","Маржинальний","Сезонний","Стратегічний"},0),0.18,0.2,0.28,0.27,0.32)</f>
        <v/>
      </c>
      <c r="AF333" s="104">
        <f>CHOOSE(MATCH(IF($U333="","Основний",$U333),{"Трафіковий","Основний","Маржинальний","Сезонний","Стратегічний"},0),0.15,0.175,0.22,0.21,0.25)</f>
        <v/>
      </c>
      <c r="AG333" s="104">
        <f>CHOOSE(MATCH(IF($U333="","Основний",$U333),{"Трафіковий","Основний","Маржинальний","Сезонний","Стратегічний"},0),0.13,0.16,0.21,0.2,0.25)</f>
        <v/>
      </c>
      <c r="AH333" s="104">
        <f>CHOOSE(MATCH(IF($U333="","Основний",$U333),{"Трафіковий","Основний","Маржинальний","Сезонний","Стратегічний"},0),0.15,0.18,0.23,0.22,0.27)</f>
        <v/>
      </c>
      <c r="AI333" s="104">
        <f>CHOOSE(MATCH(IF($U333="","Основний",$U333),{"Трафіковий","Основний","Маржинальний","Сезонний","Стратегічний"},0),0.16,0.19,0.25,0.23,0.29)</f>
        <v/>
      </c>
      <c r="AJ333" s="104">
        <f>CHOOSE(MATCH(IF($U333="","Основний",$U333),{"Трафіковий","Основний","Маржинальний","Сезонний","Стратегічний"},0),0.14,0.17,0.22,0.21,0.25)</f>
        <v/>
      </c>
      <c r="AK333" s="104">
        <f>CHOOSE(MATCH(IF($U333="","Основний",$U333),{"Трафіковий","Основний","Маржинальний","Сезонний","Стратегічний"},0),0.15,0.18,0.23,0.22,0.27)</f>
        <v/>
      </c>
      <c r="AL333" s="104">
        <f>CHOOSE(MATCH(IF($U333="","Основний",$U333),{"Трафіковий","Основний","Маржинальний","Сезонний","Стратегічний"},0),0.15,0.17,0.25,0.24,0.29)</f>
        <v/>
      </c>
      <c r="AM333" s="104">
        <f>CHOOSE(MATCH(IF($U333="","Основний",$U333),{"Трафіковий","Основний","Маржинальний","Сезонний","Стратегічний"},0),0.12,0.145,0.19,0.18,0.22)</f>
        <v/>
      </c>
      <c r="AN333" s="157">
        <f>CHOOSE(MATCH(IF($U333="","Основний",$U333),{"Трафіковий","Основний","Маржинальний","Сезонний","Стратегічний"},0),Settings!$B$78,Settings!$B$80,Settings!$B$82,Settings!$B$84,Settings!$B$86)</f>
        <v/>
      </c>
      <c r="AO333" s="157">
        <f>CHOOSE(MATCH(IF($U333="","Основний",$U333),{"Трафіковий","Основний","Маржинальний","Сезонний","Стратегічний"},0),Settings!$C$78,Settings!$C$80,Settings!$C$82,Settings!$C$84,Settings!$C$86)</f>
        <v/>
      </c>
      <c r="AP333" s="157">
        <f>CHOOSE(MATCH(IF($U333="","Основний",$U333),{"Трафіковий","Основний","Маржинальний","Сезонний","Стратегічний"},0),Settings!$D$78,Settings!$D$80,Settings!$D$82,Settings!$D$84,Settings!$D$86)</f>
        <v/>
      </c>
      <c r="AQ333" s="157">
        <f>CHOOSE(MATCH(IF($U333="","Основний",$U333),{"Трафіковий","Основний","Маржинальний","Сезонний","Стратегічний"},0),Settings!$F$78,Settings!$F$80,Settings!$F$82,Settings!$F$84,Settings!$F$86)</f>
        <v/>
      </c>
      <c r="AR333" s="157">
        <f>CHOOSE(MATCH(IF($U333="","Основний",$U333),{"Трафіковий","Основний","Маржинальний","Сезонний","Стратегічний"},0),Settings!$G$78,Settings!$G$80,Settings!$G$82,Settings!$G$84,Settings!$G$86)</f>
        <v/>
      </c>
      <c r="AS333" s="157">
        <f>CHOOSE(MATCH(IF($U333="","Основний",$U333),{"Трафіковий","Основний","Маржинальний","Сезонний","Стратегічний"},0),Settings!$H$78,Settings!$H$80,Settings!$H$82,Settings!$H$84,Settings!$H$86)</f>
        <v/>
      </c>
      <c r="AT333" s="157">
        <f>CHOOSE(MATCH(IF($U333="","Основний",$U333),{"Трафіковий","Основний","Маржинальний","Сезонний","Стратегічний"},0),Settings!$I$78,Settings!$I$80,Settings!$I$82,Settings!$I$84,Settings!$I$86)</f>
        <v/>
      </c>
      <c r="AU333" s="171" t="n"/>
      <c r="AV333" t="n">
        <v>1.35</v>
      </c>
    </row>
    <row r="334">
      <c r="A334" s="28" t="n"/>
      <c r="B334" s="29" t="inlineStr">
        <is>
          <t>P01220R</t>
        </is>
      </c>
      <c r="C334" s="29" t="inlineStr">
        <is>
          <t>POW. CORD SET 1S 20M SCH 1,5MM</t>
        </is>
      </c>
      <c r="D334" s="29" t="inlineStr">
        <is>
          <t>Пооджувачи та адаптери</t>
        </is>
      </c>
      <c r="E334" s="28" t="inlineStr">
        <is>
          <t>PC</t>
        </is>
      </c>
      <c r="F334" s="93" t="n">
        <v>15.611</v>
      </c>
      <c r="G334" s="30" t="n">
        <v>8544429090</v>
      </c>
      <c r="H334" s="31" t="n">
        <v>1.4</v>
      </c>
      <c r="I334" s="84">
        <f>IFERROR(F334*Settings!$B$2*H334*IF(AND(ISNUMBER(E334),E334&gt;1),E334,1),"")</f>
        <v/>
      </c>
      <c r="J334" s="32">
        <f>Settings!$B$66</f>
        <v/>
      </c>
      <c r="K334" s="95">
        <f>IFERROR(IF(T334="","",(T334*(1-AN334)*(1-Settings!$B$17)-I334)/(T334*(1-AN334)*(1-Settings!$B$17))),"")</f>
        <v/>
      </c>
      <c r="L334" s="101">
        <f>IFERROR(IF(T334="","",(T334*(1-AO334)*(1-Settings!$C$17)-I334)/(T334*(1-AO334)*(1-Settings!$C$17))),"")</f>
        <v/>
      </c>
      <c r="M334" s="101">
        <f>IFERROR(IF(T334="","",(T334*(1-AP334)*(1-Settings!$D$17)-I334)/(T334*(1-AP334)*(1-Settings!$D$17))),"")</f>
        <v/>
      </c>
      <c r="N334" s="101">
        <f>IFERROR(IF(T334="","",(T334*(1-AQ334)*(1-Settings!$F$17)-I334)/(T334*(1-AQ334)*(1-Settings!$F$17))),"")</f>
        <v/>
      </c>
      <c r="O334" s="101">
        <f>IFERROR(IF(T334="","",(T334*(1-AR334)*(1-Settings!$G$17)-I334)/(T334*(1-AR334)*(1-Settings!$G$17))),"")</f>
        <v/>
      </c>
      <c r="P334" s="101">
        <f>IFERROR(IF(T334="","",(T334*(1-AS334)*(1-Settings!$H$17)-I334)/(T334*(1-AS334)*(1-Settings!$H$17))),"")</f>
        <v/>
      </c>
      <c r="Q334" s="101">
        <f>IFERROR(IF(T334="","",(T334*(1-AT334)*(1-Settings!$I$68)*(1-Settings!$I$17)-I334)/(T334*(1-AT334)*(1-Settings!$I$68)*(1-Settings!$I$17))),"")</f>
        <v/>
      </c>
      <c r="R334" s="91">
        <f>IFERROR(IF(OR(I334="",Z334&gt;=1,Settings!$B$17&gt;=1,AN334&gt;=1),"",IF(MOD(ROUND(I334/(1-Z334)/(1-Settings!$B$17)/(1-AN334),0),10)=0,ROUND(I334/(1-Z334)/(1-Settings!$B$17)/(1-AN334),0)-1,IF(MOD(ROUND(I334/(1-Z334)/(1-Settings!$B$17)/(1-AN334),0),10)&lt;=5,FLOOR(ROUND(I334/(1-Z334)/(1-Settings!$B$17)/(1-AN334),0),10)+6,FLOOR(ROUND(I334/(1-Z334)/(1-Settings!$B$17)/(1-AN334),0),10)+9))),"")</f>
        <v/>
      </c>
      <c r="S334" s="174">
        <f>R334*0.95</f>
        <v/>
      </c>
      <c r="T334" s="91">
        <f>IF(S334&lt;&gt;"", IF(MOD(S334,10)=0,S334-1,IF(MOD(S334,10)&lt;=5,FLOOR(S334,10)+6,FLOOR(S334,10)+9)), R334)</f>
        <v/>
      </c>
      <c r="U334" s="87" t="inlineStr">
        <is>
          <t>Основний</t>
        </is>
      </c>
      <c r="V334" s="88" t="n"/>
      <c r="W334" s="88" t="n"/>
      <c r="X334" s="89">
        <f>IFERROR(IF(OR(V334="",W334="",T334=""),"", IF(T334&gt;W334,"Дорогий",IF(T334&lt;V334,"Дешевий","У ринку"))),"")</f>
        <v/>
      </c>
      <c r="Y334" s="90" t="n"/>
      <c r="Z334" s="104">
        <f>CHOOSE(MATCH(IF($U334="","Основний",$U334),{"Трафіковий","Основний","Маржинальний","Сезонний","Стратегічний"},0),0.16,0.19,0.24,0.23,0.28)</f>
        <v/>
      </c>
      <c r="AA334" s="104">
        <f>CHOOSE(MATCH(IF($U334="","Основний",$U334),{"Трафіковий","Основний","Маржинальний","Сезонний","Стратегічний"},0),0.18,0.21,0.26,0.25,0.3)</f>
        <v/>
      </c>
      <c r="AB334" s="104">
        <f>CHOOSE(MATCH(IF($U334="","Основний",$U334),{"Трафіковий","Основний","Маржинальний","Сезонний","Стратегічний"},0),0.19,0.22,0.28,0.26,0.32)</f>
        <v/>
      </c>
      <c r="AC334" s="104">
        <f>CHOOSE(MATCH(IF($U334="","Основний",$U334),{"Трафіковий","Основний","Маржинальний","Сезонний","Стратегічний"},0),0.17,0.2,0.25,0.24,0.28)</f>
        <v/>
      </c>
      <c r="AD334" s="104">
        <f>CHOOSE(MATCH(IF($U334="","Основний",$U334),{"Трафіковий","Основний","Маржинальний","Сезонний","Стратегічний"},0),0.18,0.21,0.26,0.25,0.3)</f>
        <v/>
      </c>
      <c r="AE334" s="104">
        <f>CHOOSE(MATCH(IF($U334="","Основний",$U334),{"Трафіковий","Основний","Маржинальний","Сезонний","Стратегічний"},0),0.18,0.2,0.28,0.27,0.32)</f>
        <v/>
      </c>
      <c r="AF334" s="104">
        <f>CHOOSE(MATCH(IF($U334="","Основний",$U334),{"Трафіковий","Основний","Маржинальний","Сезонний","Стратегічний"},0),0.15,0.175,0.22,0.21,0.25)</f>
        <v/>
      </c>
      <c r="AG334" s="104">
        <f>CHOOSE(MATCH(IF($U334="","Основний",$U334),{"Трафіковий","Основний","Маржинальний","Сезонний","Стратегічний"},0),0.13,0.16,0.21,0.2,0.25)</f>
        <v/>
      </c>
      <c r="AH334" s="104">
        <f>CHOOSE(MATCH(IF($U334="","Основний",$U334),{"Трафіковий","Основний","Маржинальний","Сезонний","Стратегічний"},0),0.15,0.18,0.23,0.22,0.27)</f>
        <v/>
      </c>
      <c r="AI334" s="104">
        <f>CHOOSE(MATCH(IF($U334="","Основний",$U334),{"Трафіковий","Основний","Маржинальний","Сезонний","Стратегічний"},0),0.16,0.19,0.25,0.23,0.29)</f>
        <v/>
      </c>
      <c r="AJ334" s="104">
        <f>CHOOSE(MATCH(IF($U334="","Основний",$U334),{"Трафіковий","Основний","Маржинальний","Сезонний","Стратегічний"},0),0.14,0.17,0.22,0.21,0.25)</f>
        <v/>
      </c>
      <c r="AK334" s="104">
        <f>CHOOSE(MATCH(IF($U334="","Основний",$U334),{"Трафіковий","Основний","Маржинальний","Сезонний","Стратегічний"},0),0.15,0.18,0.23,0.22,0.27)</f>
        <v/>
      </c>
      <c r="AL334" s="104">
        <f>CHOOSE(MATCH(IF($U334="","Основний",$U334),{"Трафіковий","Основний","Маржинальний","Сезонний","Стратегічний"},0),0.15,0.17,0.25,0.24,0.29)</f>
        <v/>
      </c>
      <c r="AM334" s="104">
        <f>CHOOSE(MATCH(IF($U334="","Основний",$U334),{"Трафіковий","Основний","Маржинальний","Сезонний","Стратегічний"},0),0.12,0.145,0.19,0.18,0.22)</f>
        <v/>
      </c>
      <c r="AN334" s="157">
        <f>CHOOSE(MATCH(IF($U334="","Основний",$U334),{"Трафіковий","Основний","Маржинальний","Сезонний","Стратегічний"},0),Settings!$B$78,Settings!$B$80,Settings!$B$82,Settings!$B$84,Settings!$B$86)</f>
        <v/>
      </c>
      <c r="AO334" s="157">
        <f>CHOOSE(MATCH(IF($U334="","Основний",$U334),{"Трафіковий","Основний","Маржинальний","Сезонний","Стратегічний"},0),Settings!$C$78,Settings!$C$80,Settings!$C$82,Settings!$C$84,Settings!$C$86)</f>
        <v/>
      </c>
      <c r="AP334" s="157">
        <f>CHOOSE(MATCH(IF($U334="","Основний",$U334),{"Трафіковий","Основний","Маржинальний","Сезонний","Стратегічний"},0),Settings!$D$78,Settings!$D$80,Settings!$D$82,Settings!$D$84,Settings!$D$86)</f>
        <v/>
      </c>
      <c r="AQ334" s="157">
        <f>CHOOSE(MATCH(IF($U334="","Основний",$U334),{"Трафіковий","Основний","Маржинальний","Сезонний","Стратегічний"},0),Settings!$F$78,Settings!$F$80,Settings!$F$82,Settings!$F$84,Settings!$F$86)</f>
        <v/>
      </c>
      <c r="AR334" s="157">
        <f>CHOOSE(MATCH(IF($U334="","Основний",$U334),{"Трафіковий","Основний","Маржинальний","Сезонний","Стратегічний"},0),Settings!$G$78,Settings!$G$80,Settings!$G$82,Settings!$G$84,Settings!$G$86)</f>
        <v/>
      </c>
      <c r="AS334" s="157">
        <f>CHOOSE(MATCH(IF($U334="","Основний",$U334),{"Трафіковий","Основний","Маржинальний","Сезонний","Стратегічний"},0),Settings!$H$78,Settings!$H$80,Settings!$H$82,Settings!$H$84,Settings!$H$86)</f>
        <v/>
      </c>
      <c r="AT334" s="157">
        <f>CHOOSE(MATCH(IF($U334="","Основний",$U334),{"Трафіковий","Основний","Маржинальний","Сезонний","Стратегічний"},0),Settings!$I$78,Settings!$I$80,Settings!$I$82,Settings!$I$84,Settings!$I$86)</f>
        <v/>
      </c>
      <c r="AU334" s="171" t="n"/>
      <c r="AV334" t="n">
        <v>1.35</v>
      </c>
    </row>
    <row r="335">
      <c r="A335" s="33" t="n"/>
      <c r="B335" s="34" t="inlineStr">
        <is>
          <t>P01225R</t>
        </is>
      </c>
      <c r="C335" s="34" t="inlineStr">
        <is>
          <t>POW. CORD SET 1S 25M SCH 1,5MM</t>
        </is>
      </c>
      <c r="D335" s="34" t="inlineStr">
        <is>
          <t>Пооджувачи та адаптери</t>
        </is>
      </c>
      <c r="E335" s="33" t="inlineStr">
        <is>
          <t>PC</t>
        </is>
      </c>
      <c r="F335" s="94" t="n">
        <v>18.149</v>
      </c>
      <c r="G335" s="35" t="n">
        <v>8544429090</v>
      </c>
      <c r="H335" s="31" t="n">
        <v>1.4</v>
      </c>
      <c r="I335" s="84">
        <f>IFERROR(F335*Settings!$B$2*H335*IF(AND(ISNUMBER(E335),E335&gt;1),E335,1),"")</f>
        <v/>
      </c>
      <c r="J335" s="32">
        <f>Settings!$B$66</f>
        <v/>
      </c>
      <c r="K335" s="95">
        <f>IFERROR(IF(T335="","",(T335*(1-AN335)*(1-Settings!$B$17)-I335)/(T335*(1-AN335)*(1-Settings!$B$17))),"")</f>
        <v/>
      </c>
      <c r="L335" s="101">
        <f>IFERROR(IF(T335="","",(T335*(1-AO335)*(1-Settings!$C$17)-I335)/(T335*(1-AO335)*(1-Settings!$C$17))),"")</f>
        <v/>
      </c>
      <c r="M335" s="101">
        <f>IFERROR(IF(T335="","",(T335*(1-AP335)*(1-Settings!$D$17)-I335)/(T335*(1-AP335)*(1-Settings!$D$17))),"")</f>
        <v/>
      </c>
      <c r="N335" s="101">
        <f>IFERROR(IF(T335="","",(T335*(1-AQ335)*(1-Settings!$F$17)-I335)/(T335*(1-AQ335)*(1-Settings!$F$17))),"")</f>
        <v/>
      </c>
      <c r="O335" s="101">
        <f>IFERROR(IF(T335="","",(T335*(1-AR335)*(1-Settings!$G$17)-I335)/(T335*(1-AR335)*(1-Settings!$G$17))),"")</f>
        <v/>
      </c>
      <c r="P335" s="101">
        <f>IFERROR(IF(T335="","",(T335*(1-AS335)*(1-Settings!$H$17)-I335)/(T335*(1-AS335)*(1-Settings!$H$17))),"")</f>
        <v/>
      </c>
      <c r="Q335" s="101">
        <f>IFERROR(IF(T335="","",(T335*(1-AT335)*(1-Settings!$I$68)*(1-Settings!$I$17)-I335)/(T335*(1-AT335)*(1-Settings!$I$68)*(1-Settings!$I$17))),"")</f>
        <v/>
      </c>
      <c r="R335" s="91">
        <f>IFERROR(IF(OR(I335="",Z335&gt;=1,Settings!$B$17&gt;=1,AN335&gt;=1),"",IF(MOD(ROUND(I335/(1-Z335)/(1-Settings!$B$17)/(1-AN335),0),10)=0,ROUND(I335/(1-Z335)/(1-Settings!$B$17)/(1-AN335),0)-1,IF(MOD(ROUND(I335/(1-Z335)/(1-Settings!$B$17)/(1-AN335),0),10)&lt;=5,FLOOR(ROUND(I335/(1-Z335)/(1-Settings!$B$17)/(1-AN335),0),10)+6,FLOOR(ROUND(I335/(1-Z335)/(1-Settings!$B$17)/(1-AN335),0),10)+9))),"")</f>
        <v/>
      </c>
      <c r="S335" s="174">
        <f>R335*0.95</f>
        <v/>
      </c>
      <c r="T335" s="91">
        <f>IF(S335&lt;&gt;"", IF(MOD(S335,10)=0,S335-1,IF(MOD(S335,10)&lt;=5,FLOOR(S335,10)+6,FLOOR(S335,10)+9)), R335)</f>
        <v/>
      </c>
      <c r="U335" s="87" t="inlineStr">
        <is>
          <t>Основний</t>
        </is>
      </c>
      <c r="V335" s="88" t="n"/>
      <c r="W335" s="88" t="n"/>
      <c r="X335" s="89">
        <f>IFERROR(IF(OR(V335="",W335="",T335=""),"", IF(T335&gt;W335,"Дорогий",IF(T335&lt;V335,"Дешевий","У ринку"))),"")</f>
        <v/>
      </c>
      <c r="Y335" s="90" t="n"/>
      <c r="Z335" s="104">
        <f>CHOOSE(MATCH(IF($U335="","Основний",$U335),{"Трафіковий","Основний","Маржинальний","Сезонний","Стратегічний"},0),0.16,0.19,0.24,0.23,0.28)</f>
        <v/>
      </c>
      <c r="AA335" s="104">
        <f>CHOOSE(MATCH(IF($U335="","Основний",$U335),{"Трафіковий","Основний","Маржинальний","Сезонний","Стратегічний"},0),0.18,0.21,0.26,0.25,0.3)</f>
        <v/>
      </c>
      <c r="AB335" s="104">
        <f>CHOOSE(MATCH(IF($U335="","Основний",$U335),{"Трафіковий","Основний","Маржинальний","Сезонний","Стратегічний"},0),0.19,0.22,0.28,0.26,0.32)</f>
        <v/>
      </c>
      <c r="AC335" s="104">
        <f>CHOOSE(MATCH(IF($U335="","Основний",$U335),{"Трафіковий","Основний","Маржинальний","Сезонний","Стратегічний"},0),0.17,0.2,0.25,0.24,0.28)</f>
        <v/>
      </c>
      <c r="AD335" s="104">
        <f>CHOOSE(MATCH(IF($U335="","Основний",$U335),{"Трафіковий","Основний","Маржинальний","Сезонний","Стратегічний"},0),0.18,0.21,0.26,0.25,0.3)</f>
        <v/>
      </c>
      <c r="AE335" s="104">
        <f>CHOOSE(MATCH(IF($U335="","Основний",$U335),{"Трафіковий","Основний","Маржинальний","Сезонний","Стратегічний"},0),0.18,0.2,0.28,0.27,0.32)</f>
        <v/>
      </c>
      <c r="AF335" s="104">
        <f>CHOOSE(MATCH(IF($U335="","Основний",$U335),{"Трафіковий","Основний","Маржинальний","Сезонний","Стратегічний"},0),0.15,0.175,0.22,0.21,0.25)</f>
        <v/>
      </c>
      <c r="AG335" s="104">
        <f>CHOOSE(MATCH(IF($U335="","Основний",$U335),{"Трафіковий","Основний","Маржинальний","Сезонний","Стратегічний"},0),0.13,0.16,0.21,0.2,0.25)</f>
        <v/>
      </c>
      <c r="AH335" s="104">
        <f>CHOOSE(MATCH(IF($U335="","Основний",$U335),{"Трафіковий","Основний","Маржинальний","Сезонний","Стратегічний"},0),0.15,0.18,0.23,0.22,0.27)</f>
        <v/>
      </c>
      <c r="AI335" s="104">
        <f>CHOOSE(MATCH(IF($U335="","Основний",$U335),{"Трафіковий","Основний","Маржинальний","Сезонний","Стратегічний"},0),0.16,0.19,0.25,0.23,0.29)</f>
        <v/>
      </c>
      <c r="AJ335" s="104">
        <f>CHOOSE(MATCH(IF($U335="","Основний",$U335),{"Трафіковий","Основний","Маржинальний","Сезонний","Стратегічний"},0),0.14,0.17,0.22,0.21,0.25)</f>
        <v/>
      </c>
      <c r="AK335" s="104">
        <f>CHOOSE(MATCH(IF($U335="","Основний",$U335),{"Трафіковий","Основний","Маржинальний","Сезонний","Стратегічний"},0),0.15,0.18,0.23,0.22,0.27)</f>
        <v/>
      </c>
      <c r="AL335" s="104">
        <f>CHOOSE(MATCH(IF($U335="","Основний",$U335),{"Трафіковий","Основний","Маржинальний","Сезонний","Стратегічний"},0),0.15,0.17,0.25,0.24,0.29)</f>
        <v/>
      </c>
      <c r="AM335" s="104">
        <f>CHOOSE(MATCH(IF($U335="","Основний",$U335),{"Трафіковий","Основний","Маржинальний","Сезонний","Стратегічний"},0),0.12,0.145,0.19,0.18,0.22)</f>
        <v/>
      </c>
      <c r="AN335" s="157">
        <f>CHOOSE(MATCH(IF($U335="","Основний",$U335),{"Трафіковий","Основний","Маржинальний","Сезонний","Стратегічний"},0),Settings!$B$78,Settings!$B$80,Settings!$B$82,Settings!$B$84,Settings!$B$86)</f>
        <v/>
      </c>
      <c r="AO335" s="157">
        <f>CHOOSE(MATCH(IF($U335="","Основний",$U335),{"Трафіковий","Основний","Маржинальний","Сезонний","Стратегічний"},0),Settings!$C$78,Settings!$C$80,Settings!$C$82,Settings!$C$84,Settings!$C$86)</f>
        <v/>
      </c>
      <c r="AP335" s="157">
        <f>CHOOSE(MATCH(IF($U335="","Основний",$U335),{"Трафіковий","Основний","Маржинальний","Сезонний","Стратегічний"},0),Settings!$D$78,Settings!$D$80,Settings!$D$82,Settings!$D$84,Settings!$D$86)</f>
        <v/>
      </c>
      <c r="AQ335" s="157">
        <f>CHOOSE(MATCH(IF($U335="","Основний",$U335),{"Трафіковий","Основний","Маржинальний","Сезонний","Стратегічний"},0),Settings!$F$78,Settings!$F$80,Settings!$F$82,Settings!$F$84,Settings!$F$86)</f>
        <v/>
      </c>
      <c r="AR335" s="157">
        <f>CHOOSE(MATCH(IF($U335="","Основний",$U335),{"Трафіковий","Основний","Маржинальний","Сезонний","Стратегічний"},0),Settings!$G$78,Settings!$G$80,Settings!$G$82,Settings!$G$84,Settings!$G$86)</f>
        <v/>
      </c>
      <c r="AS335" s="157">
        <f>CHOOSE(MATCH(IF($U335="","Основний",$U335),{"Трафіковий","Основний","Маржинальний","Сезонний","Стратегічний"},0),Settings!$H$78,Settings!$H$80,Settings!$H$82,Settings!$H$84,Settings!$H$86)</f>
        <v/>
      </c>
      <c r="AT335" s="157">
        <f>CHOOSE(MATCH(IF($U335="","Основний",$U335),{"Трафіковий","Основний","Маржинальний","Сезонний","Стратегічний"},0),Settings!$I$78,Settings!$I$80,Settings!$I$82,Settings!$I$84,Settings!$I$86)</f>
        <v/>
      </c>
      <c r="AU335" s="171" t="n"/>
      <c r="AV335" t="n">
        <v>1.35</v>
      </c>
    </row>
    <row r="336">
      <c r="A336" s="28" t="n"/>
      <c r="B336" s="29" t="inlineStr">
        <is>
          <t>P01230R</t>
        </is>
      </c>
      <c r="C336" s="29" t="inlineStr">
        <is>
          <t>POW. CORD SET 1S 30M SCH 1,5MM</t>
        </is>
      </c>
      <c r="D336" s="29" t="inlineStr">
        <is>
          <t>Пооджувачи та адаптери</t>
        </is>
      </c>
      <c r="E336" s="28" t="inlineStr">
        <is>
          <t>PC</t>
        </is>
      </c>
      <c r="F336" s="93" t="n">
        <v>21.284</v>
      </c>
      <c r="G336" s="30" t="n">
        <v>8544429090</v>
      </c>
      <c r="H336" s="31" t="n">
        <v>1.4</v>
      </c>
      <c r="I336" s="84">
        <f>IFERROR(F336*Settings!$B$2*H336*IF(AND(ISNUMBER(E336),E336&gt;1),E336,1),"")</f>
        <v/>
      </c>
      <c r="J336" s="32">
        <f>Settings!$B$66</f>
        <v/>
      </c>
      <c r="K336" s="95">
        <f>IFERROR(IF(T336="","",(T336*(1-AN336)*(1-Settings!$B$17)-I336)/(T336*(1-AN336)*(1-Settings!$B$17))),"")</f>
        <v/>
      </c>
      <c r="L336" s="101">
        <f>IFERROR(IF(T336="","",(T336*(1-AO336)*(1-Settings!$C$17)-I336)/(T336*(1-AO336)*(1-Settings!$C$17))),"")</f>
        <v/>
      </c>
      <c r="M336" s="101">
        <f>IFERROR(IF(T336="","",(T336*(1-AP336)*(1-Settings!$D$17)-I336)/(T336*(1-AP336)*(1-Settings!$D$17))),"")</f>
        <v/>
      </c>
      <c r="N336" s="101">
        <f>IFERROR(IF(T336="","",(T336*(1-AQ336)*(1-Settings!$F$17)-I336)/(T336*(1-AQ336)*(1-Settings!$F$17))),"")</f>
        <v/>
      </c>
      <c r="O336" s="101">
        <f>IFERROR(IF(T336="","",(T336*(1-AR336)*(1-Settings!$G$17)-I336)/(T336*(1-AR336)*(1-Settings!$G$17))),"")</f>
        <v/>
      </c>
      <c r="P336" s="101">
        <f>IFERROR(IF(T336="","",(T336*(1-AS336)*(1-Settings!$H$17)-I336)/(T336*(1-AS336)*(1-Settings!$H$17))),"")</f>
        <v/>
      </c>
      <c r="Q336" s="101">
        <f>IFERROR(IF(T336="","",(T336*(1-AT336)*(1-Settings!$I$68)*(1-Settings!$I$17)-I336)/(T336*(1-AT336)*(1-Settings!$I$68)*(1-Settings!$I$17))),"")</f>
        <v/>
      </c>
      <c r="R336" s="91">
        <f>IFERROR(IF(OR(I336="",Z336&gt;=1,Settings!$B$17&gt;=1,AN336&gt;=1),"",IF(MOD(ROUND(I336/(1-Z336)/(1-Settings!$B$17)/(1-AN336),0),10)=0,ROUND(I336/(1-Z336)/(1-Settings!$B$17)/(1-AN336),0)-1,IF(MOD(ROUND(I336/(1-Z336)/(1-Settings!$B$17)/(1-AN336),0),10)&lt;=5,FLOOR(ROUND(I336/(1-Z336)/(1-Settings!$B$17)/(1-AN336),0),10)+6,FLOOR(ROUND(I336/(1-Z336)/(1-Settings!$B$17)/(1-AN336),0),10)+9))),"")</f>
        <v/>
      </c>
      <c r="S336" s="174">
        <f>R336*0.95</f>
        <v/>
      </c>
      <c r="T336" s="91">
        <f>IF(S336&lt;&gt;"", IF(MOD(S336,10)=0,S336-1,IF(MOD(S336,10)&lt;=5,FLOOR(S336,10)+6,FLOOR(S336,10)+9)), R336)</f>
        <v/>
      </c>
      <c r="U336" s="87" t="inlineStr">
        <is>
          <t>Основний</t>
        </is>
      </c>
      <c r="V336" s="88" t="n"/>
      <c r="W336" s="88" t="n"/>
      <c r="X336" s="89">
        <f>IFERROR(IF(OR(V336="",W336="",T336=""),"", IF(T336&gt;W336,"Дорогий",IF(T336&lt;V336,"Дешевий","У ринку"))),"")</f>
        <v/>
      </c>
      <c r="Y336" s="90" t="n"/>
      <c r="Z336" s="104">
        <f>CHOOSE(MATCH(IF($U336="","Основний",$U336),{"Трафіковий","Основний","Маржинальний","Сезонний","Стратегічний"},0),0.16,0.19,0.24,0.23,0.28)</f>
        <v/>
      </c>
      <c r="AA336" s="104">
        <f>CHOOSE(MATCH(IF($U336="","Основний",$U336),{"Трафіковий","Основний","Маржинальний","Сезонний","Стратегічний"},0),0.18,0.21,0.26,0.25,0.3)</f>
        <v/>
      </c>
      <c r="AB336" s="104">
        <f>CHOOSE(MATCH(IF($U336="","Основний",$U336),{"Трафіковий","Основний","Маржинальний","Сезонний","Стратегічний"},0),0.19,0.22,0.28,0.26,0.32)</f>
        <v/>
      </c>
      <c r="AC336" s="104">
        <f>CHOOSE(MATCH(IF($U336="","Основний",$U336),{"Трафіковий","Основний","Маржинальний","Сезонний","Стратегічний"},0),0.17,0.2,0.25,0.24,0.28)</f>
        <v/>
      </c>
      <c r="AD336" s="104">
        <f>CHOOSE(MATCH(IF($U336="","Основний",$U336),{"Трафіковий","Основний","Маржинальний","Сезонний","Стратегічний"},0),0.18,0.21,0.26,0.25,0.3)</f>
        <v/>
      </c>
      <c r="AE336" s="104">
        <f>CHOOSE(MATCH(IF($U336="","Основний",$U336),{"Трафіковий","Основний","Маржинальний","Сезонний","Стратегічний"},0),0.18,0.2,0.28,0.27,0.32)</f>
        <v/>
      </c>
      <c r="AF336" s="104">
        <f>CHOOSE(MATCH(IF($U336="","Основний",$U336),{"Трафіковий","Основний","Маржинальний","Сезонний","Стратегічний"},0),0.15,0.175,0.22,0.21,0.25)</f>
        <v/>
      </c>
      <c r="AG336" s="104">
        <f>CHOOSE(MATCH(IF($U336="","Основний",$U336),{"Трафіковий","Основний","Маржинальний","Сезонний","Стратегічний"},0),0.13,0.16,0.21,0.2,0.25)</f>
        <v/>
      </c>
      <c r="AH336" s="104">
        <f>CHOOSE(MATCH(IF($U336="","Основний",$U336),{"Трафіковий","Основний","Маржинальний","Сезонний","Стратегічний"},0),0.15,0.18,0.23,0.22,0.27)</f>
        <v/>
      </c>
      <c r="AI336" s="104">
        <f>CHOOSE(MATCH(IF($U336="","Основний",$U336),{"Трафіковий","Основний","Маржинальний","Сезонний","Стратегічний"},0),0.16,0.19,0.25,0.23,0.29)</f>
        <v/>
      </c>
      <c r="AJ336" s="104">
        <f>CHOOSE(MATCH(IF($U336="","Основний",$U336),{"Трафіковий","Основний","Маржинальний","Сезонний","Стратегічний"},0),0.14,0.17,0.22,0.21,0.25)</f>
        <v/>
      </c>
      <c r="AK336" s="104">
        <f>CHOOSE(MATCH(IF($U336="","Основний",$U336),{"Трафіковий","Основний","Маржинальний","Сезонний","Стратегічний"},0),0.15,0.18,0.23,0.22,0.27)</f>
        <v/>
      </c>
      <c r="AL336" s="104">
        <f>CHOOSE(MATCH(IF($U336="","Основний",$U336),{"Трафіковий","Основний","Маржинальний","Сезонний","Стратегічний"},0),0.15,0.17,0.25,0.24,0.29)</f>
        <v/>
      </c>
      <c r="AM336" s="104">
        <f>CHOOSE(MATCH(IF($U336="","Основний",$U336),{"Трафіковий","Основний","Маржинальний","Сезонний","Стратегічний"},0),0.12,0.145,0.19,0.18,0.22)</f>
        <v/>
      </c>
      <c r="AN336" s="157">
        <f>CHOOSE(MATCH(IF($U336="","Основний",$U336),{"Трафіковий","Основний","Маржинальний","Сезонний","Стратегічний"},0),Settings!$B$78,Settings!$B$80,Settings!$B$82,Settings!$B$84,Settings!$B$86)</f>
        <v/>
      </c>
      <c r="AO336" s="157">
        <f>CHOOSE(MATCH(IF($U336="","Основний",$U336),{"Трафіковий","Основний","Маржинальний","Сезонний","Стратегічний"},0),Settings!$C$78,Settings!$C$80,Settings!$C$82,Settings!$C$84,Settings!$C$86)</f>
        <v/>
      </c>
      <c r="AP336" s="157">
        <f>CHOOSE(MATCH(IF($U336="","Основний",$U336),{"Трафіковий","Основний","Маржинальний","Сезонний","Стратегічний"},0),Settings!$D$78,Settings!$D$80,Settings!$D$82,Settings!$D$84,Settings!$D$86)</f>
        <v/>
      </c>
      <c r="AQ336" s="157">
        <f>CHOOSE(MATCH(IF($U336="","Основний",$U336),{"Трафіковий","Основний","Маржинальний","Сезонний","Стратегічний"},0),Settings!$F$78,Settings!$F$80,Settings!$F$82,Settings!$F$84,Settings!$F$86)</f>
        <v/>
      </c>
      <c r="AR336" s="157">
        <f>CHOOSE(MATCH(IF($U336="","Основний",$U336),{"Трафіковий","Основний","Маржинальний","Сезонний","Стратегічний"},0),Settings!$G$78,Settings!$G$80,Settings!$G$82,Settings!$G$84,Settings!$G$86)</f>
        <v/>
      </c>
      <c r="AS336" s="157">
        <f>CHOOSE(MATCH(IF($U336="","Основний",$U336),{"Трафіковий","Основний","Маржинальний","Сезонний","Стратегічний"},0),Settings!$H$78,Settings!$H$80,Settings!$H$82,Settings!$H$84,Settings!$H$86)</f>
        <v/>
      </c>
      <c r="AT336" s="157">
        <f>CHOOSE(MATCH(IF($U336="","Основний",$U336),{"Трафіковий","Основний","Маржинальний","Сезонний","Стратегічний"},0),Settings!$I$78,Settings!$I$80,Settings!$I$82,Settings!$I$84,Settings!$I$86)</f>
        <v/>
      </c>
      <c r="AU336" s="171" t="n"/>
      <c r="AV336" t="n">
        <v>1.35</v>
      </c>
    </row>
    <row r="337">
      <c r="A337" s="33" t="n"/>
      <c r="B337" s="34" t="inlineStr">
        <is>
          <t>P0320</t>
        </is>
      </c>
      <c r="C337" s="34" t="inlineStr">
        <is>
          <t>SOCKET W/O CABLE 3× SCHUKO</t>
        </is>
      </c>
      <c r="D337" s="34" t="inlineStr">
        <is>
          <t>Пооджувачи та адаптери</t>
        </is>
      </c>
      <c r="E337" s="33" t="inlineStr">
        <is>
          <t>PC</t>
        </is>
      </c>
      <c r="F337" s="94" t="n">
        <v>1.034</v>
      </c>
      <c r="G337" s="35" t="n">
        <v>8536699099</v>
      </c>
      <c r="H337" s="31" t="n">
        <v>1.35</v>
      </c>
      <c r="I337" s="84">
        <f>IFERROR(F337*Settings!$B$2*H337*IF(AND(ISNUMBER(E337),E337&gt;1),E337,1),"")</f>
        <v/>
      </c>
      <c r="J337" s="32">
        <f>Settings!$B$66</f>
        <v/>
      </c>
      <c r="K337" s="95">
        <f>IFERROR(IF(T337="","",(T337*(1-AN337)*(1-Settings!$B$17)-I337)/(T337*(1-AN337)*(1-Settings!$B$17))),"")</f>
        <v/>
      </c>
      <c r="L337" s="101">
        <f>IFERROR(IF(T337="","",(T337*(1-AO337)*(1-Settings!$C$17)-I337)/(T337*(1-AO337)*(1-Settings!$C$17))),"")</f>
        <v/>
      </c>
      <c r="M337" s="101">
        <f>IFERROR(IF(T337="","",(T337*(1-AP337)*(1-Settings!$D$17)-I337)/(T337*(1-AP337)*(1-Settings!$D$17))),"")</f>
        <v/>
      </c>
      <c r="N337" s="101">
        <f>IFERROR(IF(T337="","",(T337*(1-AQ337)*(1-Settings!$F$17)-I337)/(T337*(1-AQ337)*(1-Settings!$F$17))),"")</f>
        <v/>
      </c>
      <c r="O337" s="101">
        <f>IFERROR(IF(T337="","",(T337*(1-AR337)*(1-Settings!$G$17)-I337)/(T337*(1-AR337)*(1-Settings!$G$17))),"")</f>
        <v/>
      </c>
      <c r="P337" s="101">
        <f>IFERROR(IF(T337="","",(T337*(1-AS337)*(1-Settings!$H$17)-I337)/(T337*(1-AS337)*(1-Settings!$H$17))),"")</f>
        <v/>
      </c>
      <c r="Q337" s="101">
        <f>IFERROR(IF(T337="","",(T337*(1-AT337)*(1-Settings!$I$68)*(1-Settings!$I$17)-I337)/(T337*(1-AT337)*(1-Settings!$I$68)*(1-Settings!$I$17))),"")</f>
        <v/>
      </c>
      <c r="R337" s="91">
        <f>IFERROR(IF(OR(I337="",Z337&gt;=1,Settings!$B$17&gt;=1,AN337&gt;=1),"",IF(MOD(ROUND(I337/(1-Z337)/(1-Settings!$B$17)/(1-AN337),0),10)=0,ROUND(I337/(1-Z337)/(1-Settings!$B$17)/(1-AN337),0)-1,IF(MOD(ROUND(I337/(1-Z337)/(1-Settings!$B$17)/(1-AN337),0),10)&lt;=5,FLOOR(ROUND(I337/(1-Z337)/(1-Settings!$B$17)/(1-AN337),0),10)+6,FLOOR(ROUND(I337/(1-Z337)/(1-Settings!$B$17)/(1-AN337),0),10)+9))),"")</f>
        <v/>
      </c>
      <c r="S337" s="174">
        <f>R337*0.95</f>
        <v/>
      </c>
      <c r="T337" s="91">
        <f>IF(S337&lt;&gt;"", IF(MOD(S337,10)=0,S337-1,IF(MOD(S337,10)&lt;=5,FLOOR(S337,10)+6,FLOOR(S337,10)+9)), R337)</f>
        <v/>
      </c>
      <c r="U337" s="87" t="inlineStr">
        <is>
          <t>Основний</t>
        </is>
      </c>
      <c r="V337" s="88" t="n"/>
      <c r="W337" s="88" t="n"/>
      <c r="X337" s="89">
        <f>IFERROR(IF(OR(V337="",W337="",T337=""),"", IF(T337&gt;W337,"Дорогий",IF(T337&lt;V337,"Дешевий","У ринку"))),"")</f>
        <v/>
      </c>
      <c r="Y337" s="90" t="n"/>
      <c r="Z337" s="104">
        <f>CHOOSE(MATCH(IF($U337="","Основний",$U337),{"Трафіковий","Основний","Маржинальний","Сезонний","Стратегічний"},0),0.16,0.19,0.24,0.23,0.28)</f>
        <v/>
      </c>
      <c r="AA337" s="104">
        <f>CHOOSE(MATCH(IF($U337="","Основний",$U337),{"Трафіковий","Основний","Маржинальний","Сезонний","Стратегічний"},0),0.18,0.21,0.26,0.25,0.3)</f>
        <v/>
      </c>
      <c r="AB337" s="104">
        <f>CHOOSE(MATCH(IF($U337="","Основний",$U337),{"Трафіковий","Основний","Маржинальний","Сезонний","Стратегічний"},0),0.19,0.22,0.28,0.26,0.32)</f>
        <v/>
      </c>
      <c r="AC337" s="104">
        <f>CHOOSE(MATCH(IF($U337="","Основний",$U337),{"Трафіковий","Основний","Маржинальний","Сезонний","Стратегічний"},0),0.17,0.2,0.25,0.24,0.28)</f>
        <v/>
      </c>
      <c r="AD337" s="104">
        <f>CHOOSE(MATCH(IF($U337="","Основний",$U337),{"Трафіковий","Основний","Маржинальний","Сезонний","Стратегічний"},0),0.18,0.21,0.26,0.25,0.3)</f>
        <v/>
      </c>
      <c r="AE337" s="104">
        <f>CHOOSE(MATCH(IF($U337="","Основний",$U337),{"Трафіковий","Основний","Маржинальний","Сезонний","Стратегічний"},0),0.18,0.2,0.28,0.27,0.32)</f>
        <v/>
      </c>
      <c r="AF337" s="104">
        <f>CHOOSE(MATCH(IF($U337="","Основний",$U337),{"Трафіковий","Основний","Маржинальний","Сезонний","Стратегічний"},0),0.15,0.175,0.22,0.21,0.25)</f>
        <v/>
      </c>
      <c r="AG337" s="104">
        <f>CHOOSE(MATCH(IF($U337="","Основний",$U337),{"Трафіковий","Основний","Маржинальний","Сезонний","Стратегічний"},0),0.13,0.16,0.21,0.2,0.25)</f>
        <v/>
      </c>
      <c r="AH337" s="104">
        <f>CHOOSE(MATCH(IF($U337="","Основний",$U337),{"Трафіковий","Основний","Маржинальний","Сезонний","Стратегічний"},0),0.15,0.18,0.23,0.22,0.27)</f>
        <v/>
      </c>
      <c r="AI337" s="104">
        <f>CHOOSE(MATCH(IF($U337="","Основний",$U337),{"Трафіковий","Основний","Маржинальний","Сезонний","Стратегічний"},0),0.16,0.19,0.25,0.23,0.29)</f>
        <v/>
      </c>
      <c r="AJ337" s="104">
        <f>CHOOSE(MATCH(IF($U337="","Основний",$U337),{"Трафіковий","Основний","Маржинальний","Сезонний","Стратегічний"},0),0.14,0.17,0.22,0.21,0.25)</f>
        <v/>
      </c>
      <c r="AK337" s="104">
        <f>CHOOSE(MATCH(IF($U337="","Основний",$U337),{"Трафіковий","Основний","Маржинальний","Сезонний","Стратегічний"},0),0.15,0.18,0.23,0.22,0.27)</f>
        <v/>
      </c>
      <c r="AL337" s="104">
        <f>CHOOSE(MATCH(IF($U337="","Основний",$U337),{"Трафіковий","Основний","Маржинальний","Сезонний","Стратегічний"},0),0.15,0.17,0.25,0.24,0.29)</f>
        <v/>
      </c>
      <c r="AM337" s="104">
        <f>CHOOSE(MATCH(IF($U337="","Основний",$U337),{"Трафіковий","Основний","Маржинальний","Сезонний","Стратегічний"},0),0.12,0.145,0.19,0.18,0.22)</f>
        <v/>
      </c>
      <c r="AN337" s="157">
        <f>CHOOSE(MATCH(IF($U337="","Основний",$U337),{"Трафіковий","Основний","Маржинальний","Сезонний","Стратегічний"},0),Settings!$B$78,Settings!$B$80,Settings!$B$82,Settings!$B$84,Settings!$B$86)</f>
        <v/>
      </c>
      <c r="AO337" s="157">
        <f>CHOOSE(MATCH(IF($U337="","Основний",$U337),{"Трафіковий","Основний","Маржинальний","Сезонний","Стратегічний"},0),Settings!$C$78,Settings!$C$80,Settings!$C$82,Settings!$C$84,Settings!$C$86)</f>
        <v/>
      </c>
      <c r="AP337" s="157">
        <f>CHOOSE(MATCH(IF($U337="","Основний",$U337),{"Трафіковий","Основний","Маржинальний","Сезонний","Стратегічний"},0),Settings!$D$78,Settings!$D$80,Settings!$D$82,Settings!$D$84,Settings!$D$86)</f>
        <v/>
      </c>
      <c r="AQ337" s="157">
        <f>CHOOSE(MATCH(IF($U337="","Основний",$U337),{"Трафіковий","Основний","Маржинальний","Сезонний","Стратегічний"},0),Settings!$F$78,Settings!$F$80,Settings!$F$82,Settings!$F$84,Settings!$F$86)</f>
        <v/>
      </c>
      <c r="AR337" s="157">
        <f>CHOOSE(MATCH(IF($U337="","Основний",$U337),{"Трафіковий","Основний","Маржинальний","Сезонний","Стратегічний"},0),Settings!$G$78,Settings!$G$80,Settings!$G$82,Settings!$G$84,Settings!$G$86)</f>
        <v/>
      </c>
      <c r="AS337" s="157">
        <f>CHOOSE(MATCH(IF($U337="","Основний",$U337),{"Трафіковий","Основний","Маржинальний","Сезонний","Стратегічний"},0),Settings!$H$78,Settings!$H$80,Settings!$H$82,Settings!$H$84,Settings!$H$86)</f>
        <v/>
      </c>
      <c r="AT337" s="157">
        <f>CHOOSE(MATCH(IF($U337="","Основний",$U337),{"Трафіковий","Основний","Маржинальний","Сезонний","Стратегічний"},0),Settings!$I$78,Settings!$I$80,Settings!$I$82,Settings!$I$84,Settings!$I$86)</f>
        <v/>
      </c>
      <c r="AU337" s="171" t="n"/>
      <c r="AV337" t="n">
        <v>1.35</v>
      </c>
    </row>
    <row r="338">
      <c r="A338" s="28" t="n"/>
      <c r="B338" s="29" t="inlineStr">
        <is>
          <t>P0520</t>
        </is>
      </c>
      <c r="C338" s="29" t="inlineStr">
        <is>
          <t>SOCKET W/O CABLE 5× SCHUKO</t>
        </is>
      </c>
      <c r="D338" s="29" t="inlineStr">
        <is>
          <t>Пооджувачи та адаптери</t>
        </is>
      </c>
      <c r="E338" s="28" t="inlineStr">
        <is>
          <t>PC</t>
        </is>
      </c>
      <c r="F338" s="93" t="n">
        <v>1.448</v>
      </c>
      <c r="G338" s="30" t="n">
        <v>8536699099</v>
      </c>
      <c r="H338" s="31" t="n">
        <v>1.35</v>
      </c>
      <c r="I338" s="84">
        <f>IFERROR(F338*Settings!$B$2*H338*IF(AND(ISNUMBER(E338),E338&gt;1),E338,1),"")</f>
        <v/>
      </c>
      <c r="J338" s="32">
        <f>Settings!$B$66</f>
        <v/>
      </c>
      <c r="K338" s="95">
        <f>IFERROR(IF(T338="","",(T338*(1-AN338)*(1-Settings!$B$17)-I338)/(T338*(1-AN338)*(1-Settings!$B$17))),"")</f>
        <v/>
      </c>
      <c r="L338" s="101">
        <f>IFERROR(IF(T338="","",(T338*(1-AO338)*(1-Settings!$C$17)-I338)/(T338*(1-AO338)*(1-Settings!$C$17))),"")</f>
        <v/>
      </c>
      <c r="M338" s="101">
        <f>IFERROR(IF(T338="","",(T338*(1-AP338)*(1-Settings!$D$17)-I338)/(T338*(1-AP338)*(1-Settings!$D$17))),"")</f>
        <v/>
      </c>
      <c r="N338" s="101">
        <f>IFERROR(IF(T338="","",(T338*(1-AQ338)*(1-Settings!$F$17)-I338)/(T338*(1-AQ338)*(1-Settings!$F$17))),"")</f>
        <v/>
      </c>
      <c r="O338" s="101">
        <f>IFERROR(IF(T338="","",(T338*(1-AR338)*(1-Settings!$G$17)-I338)/(T338*(1-AR338)*(1-Settings!$G$17))),"")</f>
        <v/>
      </c>
      <c r="P338" s="101">
        <f>IFERROR(IF(T338="","",(T338*(1-AS338)*(1-Settings!$H$17)-I338)/(T338*(1-AS338)*(1-Settings!$H$17))),"")</f>
        <v/>
      </c>
      <c r="Q338" s="101">
        <f>IFERROR(IF(T338="","",(T338*(1-AT338)*(1-Settings!$I$68)*(1-Settings!$I$17)-I338)/(T338*(1-AT338)*(1-Settings!$I$68)*(1-Settings!$I$17))),"")</f>
        <v/>
      </c>
      <c r="R338" s="91">
        <f>IFERROR(IF(OR(I338="",Z338&gt;=1,Settings!$B$17&gt;=1,AN338&gt;=1),"",IF(MOD(ROUND(I338/(1-Z338)/(1-Settings!$B$17)/(1-AN338),0),10)=0,ROUND(I338/(1-Z338)/(1-Settings!$B$17)/(1-AN338),0)-1,IF(MOD(ROUND(I338/(1-Z338)/(1-Settings!$B$17)/(1-AN338),0),10)&lt;=5,FLOOR(ROUND(I338/(1-Z338)/(1-Settings!$B$17)/(1-AN338),0),10)+6,FLOOR(ROUND(I338/(1-Z338)/(1-Settings!$B$17)/(1-AN338),0),10)+9))),"")</f>
        <v/>
      </c>
      <c r="S338" s="174">
        <f>R338*0.95</f>
        <v/>
      </c>
      <c r="T338" s="91">
        <f>IF(S338&lt;&gt;"", IF(MOD(S338,10)=0,S338-1,IF(MOD(S338,10)&lt;=5,FLOOR(S338,10)+6,FLOOR(S338,10)+9)), R338)</f>
        <v/>
      </c>
      <c r="U338" s="87" t="inlineStr">
        <is>
          <t>Основний</t>
        </is>
      </c>
      <c r="V338" s="88" t="n"/>
      <c r="W338" s="88" t="n"/>
      <c r="X338" s="89">
        <f>IFERROR(IF(OR(V338="",W338="",T338=""),"", IF(T338&gt;W338,"Дорогий",IF(T338&lt;V338,"Дешевий","У ринку"))),"")</f>
        <v/>
      </c>
      <c r="Y338" s="90" t="n"/>
      <c r="Z338" s="104">
        <f>CHOOSE(MATCH(IF($U338="","Основний",$U338),{"Трафіковий","Основний","Маржинальний","Сезонний","Стратегічний"},0),0.16,0.19,0.24,0.23,0.28)</f>
        <v/>
      </c>
      <c r="AA338" s="104">
        <f>CHOOSE(MATCH(IF($U338="","Основний",$U338),{"Трафіковий","Основний","Маржинальний","Сезонний","Стратегічний"},0),0.18,0.21,0.26,0.25,0.3)</f>
        <v/>
      </c>
      <c r="AB338" s="104">
        <f>CHOOSE(MATCH(IF($U338="","Основний",$U338),{"Трафіковий","Основний","Маржинальний","Сезонний","Стратегічний"},0),0.19,0.22,0.28,0.26,0.32)</f>
        <v/>
      </c>
      <c r="AC338" s="104">
        <f>CHOOSE(MATCH(IF($U338="","Основний",$U338),{"Трафіковий","Основний","Маржинальний","Сезонний","Стратегічний"},0),0.17,0.2,0.25,0.24,0.28)</f>
        <v/>
      </c>
      <c r="AD338" s="104">
        <f>CHOOSE(MATCH(IF($U338="","Основний",$U338),{"Трафіковий","Основний","Маржинальний","Сезонний","Стратегічний"},0),0.18,0.21,0.26,0.25,0.3)</f>
        <v/>
      </c>
      <c r="AE338" s="104">
        <f>CHOOSE(MATCH(IF($U338="","Основний",$U338),{"Трафіковий","Основний","Маржинальний","Сезонний","Стратегічний"},0),0.18,0.2,0.28,0.27,0.32)</f>
        <v/>
      </c>
      <c r="AF338" s="104">
        <f>CHOOSE(MATCH(IF($U338="","Основний",$U338),{"Трафіковий","Основний","Маржинальний","Сезонний","Стратегічний"},0),0.15,0.175,0.22,0.21,0.25)</f>
        <v/>
      </c>
      <c r="AG338" s="104">
        <f>CHOOSE(MATCH(IF($U338="","Основний",$U338),{"Трафіковий","Основний","Маржинальний","Сезонний","Стратегічний"},0),0.13,0.16,0.21,0.2,0.25)</f>
        <v/>
      </c>
      <c r="AH338" s="104">
        <f>CHOOSE(MATCH(IF($U338="","Основний",$U338),{"Трафіковий","Основний","Маржинальний","Сезонний","Стратегічний"},0),0.15,0.18,0.23,0.22,0.27)</f>
        <v/>
      </c>
      <c r="AI338" s="104">
        <f>CHOOSE(MATCH(IF($U338="","Основний",$U338),{"Трафіковий","Основний","Маржинальний","Сезонний","Стратегічний"},0),0.16,0.19,0.25,0.23,0.29)</f>
        <v/>
      </c>
      <c r="AJ338" s="104">
        <f>CHOOSE(MATCH(IF($U338="","Основний",$U338),{"Трафіковий","Основний","Маржинальний","Сезонний","Стратегічний"},0),0.14,0.17,0.22,0.21,0.25)</f>
        <v/>
      </c>
      <c r="AK338" s="104">
        <f>CHOOSE(MATCH(IF($U338="","Основний",$U338),{"Трафіковий","Основний","Маржинальний","Сезонний","Стратегічний"},0),0.15,0.18,0.23,0.22,0.27)</f>
        <v/>
      </c>
      <c r="AL338" s="104">
        <f>CHOOSE(MATCH(IF($U338="","Основний",$U338),{"Трафіковий","Основний","Маржинальний","Сезонний","Стратегічний"},0),0.15,0.17,0.25,0.24,0.29)</f>
        <v/>
      </c>
      <c r="AM338" s="104">
        <f>CHOOSE(MATCH(IF($U338="","Основний",$U338),{"Трафіковий","Основний","Маржинальний","Сезонний","Стратегічний"},0),0.12,0.145,0.19,0.18,0.22)</f>
        <v/>
      </c>
      <c r="AN338" s="157">
        <f>CHOOSE(MATCH(IF($U338="","Основний",$U338),{"Трафіковий","Основний","Маржинальний","Сезонний","Стратегічний"},0),Settings!$B$78,Settings!$B$80,Settings!$B$82,Settings!$B$84,Settings!$B$86)</f>
        <v/>
      </c>
      <c r="AO338" s="157">
        <f>CHOOSE(MATCH(IF($U338="","Основний",$U338),{"Трафіковий","Основний","Маржинальний","Сезонний","Стратегічний"},0),Settings!$C$78,Settings!$C$80,Settings!$C$82,Settings!$C$84,Settings!$C$86)</f>
        <v/>
      </c>
      <c r="AP338" s="157">
        <f>CHOOSE(MATCH(IF($U338="","Основний",$U338),{"Трафіковий","Основний","Маржинальний","Сезонний","Стратегічний"},0),Settings!$D$78,Settings!$D$80,Settings!$D$82,Settings!$D$84,Settings!$D$86)</f>
        <v/>
      </c>
      <c r="AQ338" s="157">
        <f>CHOOSE(MATCH(IF($U338="","Основний",$U338),{"Трафіковий","Основний","Маржинальний","Сезонний","Стратегічний"},0),Settings!$F$78,Settings!$F$80,Settings!$F$82,Settings!$F$84,Settings!$F$86)</f>
        <v/>
      </c>
      <c r="AR338" s="157">
        <f>CHOOSE(MATCH(IF($U338="","Основний",$U338),{"Трафіковий","Основний","Маржинальний","Сезонний","Стратегічний"},0),Settings!$G$78,Settings!$G$80,Settings!$G$82,Settings!$G$84,Settings!$G$86)</f>
        <v/>
      </c>
      <c r="AS338" s="157">
        <f>CHOOSE(MATCH(IF($U338="","Основний",$U338),{"Трафіковий","Основний","Маржинальний","Сезонний","Стратегічний"},0),Settings!$H$78,Settings!$H$80,Settings!$H$82,Settings!$H$84,Settings!$H$86)</f>
        <v/>
      </c>
      <c r="AT338" s="157">
        <f>CHOOSE(MATCH(IF($U338="","Основний",$U338),{"Трафіковий","Основний","Маржинальний","Сезонний","Стратегічний"},0),Settings!$I$78,Settings!$I$80,Settings!$I$82,Settings!$I$84,Settings!$I$86)</f>
        <v/>
      </c>
      <c r="AU338" s="171" t="n"/>
      <c r="AV338" t="n">
        <v>1.35</v>
      </c>
    </row>
    <row r="339">
      <c r="A339" s="33" t="n"/>
      <c r="B339" s="34" t="inlineStr">
        <is>
          <t>P1320</t>
        </is>
      </c>
      <c r="C339" s="34" t="inlineStr">
        <is>
          <t>SOCKET W/O CABLE 3× SW. SCHUKO</t>
        </is>
      </c>
      <c r="D339" s="34" t="inlineStr">
        <is>
          <t>Пооджувачи та адаптери</t>
        </is>
      </c>
      <c r="E339" s="33" t="inlineStr">
        <is>
          <t>PC</t>
        </is>
      </c>
      <c r="F339" s="94" t="n">
        <v>1.394</v>
      </c>
      <c r="G339" s="35" t="n">
        <v>8536699099</v>
      </c>
      <c r="H339" s="31" t="n">
        <v>1.35</v>
      </c>
      <c r="I339" s="84">
        <f>IFERROR(F339*Settings!$B$2*H339*IF(AND(ISNUMBER(E339),E339&gt;1),E339,1),"")</f>
        <v/>
      </c>
      <c r="J339" s="32">
        <f>Settings!$B$66</f>
        <v/>
      </c>
      <c r="K339" s="95">
        <f>IFERROR(IF(T339="","",(T339*(1-AN339)*(1-Settings!$B$17)-I339)/(T339*(1-AN339)*(1-Settings!$B$17))),"")</f>
        <v/>
      </c>
      <c r="L339" s="101">
        <f>IFERROR(IF(T339="","",(T339*(1-AO339)*(1-Settings!$C$17)-I339)/(T339*(1-AO339)*(1-Settings!$C$17))),"")</f>
        <v/>
      </c>
      <c r="M339" s="101">
        <f>IFERROR(IF(T339="","",(T339*(1-AP339)*(1-Settings!$D$17)-I339)/(T339*(1-AP339)*(1-Settings!$D$17))),"")</f>
        <v/>
      </c>
      <c r="N339" s="101">
        <f>IFERROR(IF(T339="","",(T339*(1-AQ339)*(1-Settings!$F$17)-I339)/(T339*(1-AQ339)*(1-Settings!$F$17))),"")</f>
        <v/>
      </c>
      <c r="O339" s="101">
        <f>IFERROR(IF(T339="","",(T339*(1-AR339)*(1-Settings!$G$17)-I339)/(T339*(1-AR339)*(1-Settings!$G$17))),"")</f>
        <v/>
      </c>
      <c r="P339" s="101">
        <f>IFERROR(IF(T339="","",(T339*(1-AS339)*(1-Settings!$H$17)-I339)/(T339*(1-AS339)*(1-Settings!$H$17))),"")</f>
        <v/>
      </c>
      <c r="Q339" s="101">
        <f>IFERROR(IF(T339="","",(T339*(1-AT339)*(1-Settings!$I$68)*(1-Settings!$I$17)-I339)/(T339*(1-AT339)*(1-Settings!$I$68)*(1-Settings!$I$17))),"")</f>
        <v/>
      </c>
      <c r="R339" s="91">
        <f>IFERROR(IF(OR(I339="",Z339&gt;=1,Settings!$B$17&gt;=1,AN339&gt;=1),"",IF(MOD(ROUND(I339/(1-Z339)/(1-Settings!$B$17)/(1-AN339),0),10)=0,ROUND(I339/(1-Z339)/(1-Settings!$B$17)/(1-AN339),0)-1,IF(MOD(ROUND(I339/(1-Z339)/(1-Settings!$B$17)/(1-AN339),0),10)&lt;=5,FLOOR(ROUND(I339/(1-Z339)/(1-Settings!$B$17)/(1-AN339),0),10)+6,FLOOR(ROUND(I339/(1-Z339)/(1-Settings!$B$17)/(1-AN339),0),10)+9))),"")</f>
        <v/>
      </c>
      <c r="S339" s="174">
        <f>R339*0.95</f>
        <v/>
      </c>
      <c r="T339" s="91">
        <f>IF(S339&lt;&gt;"", IF(MOD(S339,10)=0,S339-1,IF(MOD(S339,10)&lt;=5,FLOOR(S339,10)+6,FLOOR(S339,10)+9)), R339)</f>
        <v/>
      </c>
      <c r="U339" s="87" t="inlineStr">
        <is>
          <t>Основний</t>
        </is>
      </c>
      <c r="V339" s="88" t="n"/>
      <c r="W339" s="88" t="n"/>
      <c r="X339" s="89">
        <f>IFERROR(IF(OR(V339="",W339="",T339=""),"", IF(T339&gt;W339,"Дорогий",IF(T339&lt;V339,"Дешевий","У ринку"))),"")</f>
        <v/>
      </c>
      <c r="Y339" s="90" t="n"/>
      <c r="Z339" s="104">
        <f>CHOOSE(MATCH(IF($U339="","Основний",$U339),{"Трафіковий","Основний","Маржинальний","Сезонний","Стратегічний"},0),0.16,0.19,0.24,0.23,0.28)</f>
        <v/>
      </c>
      <c r="AA339" s="104">
        <f>CHOOSE(MATCH(IF($U339="","Основний",$U339),{"Трафіковий","Основний","Маржинальний","Сезонний","Стратегічний"},0),0.18,0.21,0.26,0.25,0.3)</f>
        <v/>
      </c>
      <c r="AB339" s="104">
        <f>CHOOSE(MATCH(IF($U339="","Основний",$U339),{"Трафіковий","Основний","Маржинальний","Сезонний","Стратегічний"},0),0.19,0.22,0.28,0.26,0.32)</f>
        <v/>
      </c>
      <c r="AC339" s="104">
        <f>CHOOSE(MATCH(IF($U339="","Основний",$U339),{"Трафіковий","Основний","Маржинальний","Сезонний","Стратегічний"},0),0.17,0.2,0.25,0.24,0.28)</f>
        <v/>
      </c>
      <c r="AD339" s="104">
        <f>CHOOSE(MATCH(IF($U339="","Основний",$U339),{"Трафіковий","Основний","Маржинальний","Сезонний","Стратегічний"},0),0.18,0.21,0.26,0.25,0.3)</f>
        <v/>
      </c>
      <c r="AE339" s="104">
        <f>CHOOSE(MATCH(IF($U339="","Основний",$U339),{"Трафіковий","Основний","Маржинальний","Сезонний","Стратегічний"},0),0.18,0.2,0.28,0.27,0.32)</f>
        <v/>
      </c>
      <c r="AF339" s="104">
        <f>CHOOSE(MATCH(IF($U339="","Основний",$U339),{"Трафіковий","Основний","Маржинальний","Сезонний","Стратегічний"},0),0.15,0.175,0.22,0.21,0.25)</f>
        <v/>
      </c>
      <c r="AG339" s="104">
        <f>CHOOSE(MATCH(IF($U339="","Основний",$U339),{"Трафіковий","Основний","Маржинальний","Сезонний","Стратегічний"},0),0.13,0.16,0.21,0.2,0.25)</f>
        <v/>
      </c>
      <c r="AH339" s="104">
        <f>CHOOSE(MATCH(IF($U339="","Основний",$U339),{"Трафіковий","Основний","Маржинальний","Сезонний","Стратегічний"},0),0.15,0.18,0.23,0.22,0.27)</f>
        <v/>
      </c>
      <c r="AI339" s="104">
        <f>CHOOSE(MATCH(IF($U339="","Основний",$U339),{"Трафіковий","Основний","Маржинальний","Сезонний","Стратегічний"},0),0.16,0.19,0.25,0.23,0.29)</f>
        <v/>
      </c>
      <c r="AJ339" s="104">
        <f>CHOOSE(MATCH(IF($U339="","Основний",$U339),{"Трафіковий","Основний","Маржинальний","Сезонний","Стратегічний"},0),0.14,0.17,0.22,0.21,0.25)</f>
        <v/>
      </c>
      <c r="AK339" s="104">
        <f>CHOOSE(MATCH(IF($U339="","Основний",$U339),{"Трафіковий","Основний","Маржинальний","Сезонний","Стратегічний"},0),0.15,0.18,0.23,0.22,0.27)</f>
        <v/>
      </c>
      <c r="AL339" s="104">
        <f>CHOOSE(MATCH(IF($U339="","Основний",$U339),{"Трафіковий","Основний","Маржинальний","Сезонний","Стратегічний"},0),0.15,0.17,0.25,0.24,0.29)</f>
        <v/>
      </c>
      <c r="AM339" s="104">
        <f>CHOOSE(MATCH(IF($U339="","Основний",$U339),{"Трафіковий","Основний","Маржинальний","Сезонний","Стратегічний"},0),0.12,0.145,0.19,0.18,0.22)</f>
        <v/>
      </c>
      <c r="AN339" s="157">
        <f>CHOOSE(MATCH(IF($U339="","Основний",$U339),{"Трафіковий","Основний","Маржинальний","Сезонний","Стратегічний"},0),Settings!$B$78,Settings!$B$80,Settings!$B$82,Settings!$B$84,Settings!$B$86)</f>
        <v/>
      </c>
      <c r="AO339" s="157">
        <f>CHOOSE(MATCH(IF($U339="","Основний",$U339),{"Трафіковий","Основний","Маржинальний","Сезонний","Стратегічний"},0),Settings!$C$78,Settings!$C$80,Settings!$C$82,Settings!$C$84,Settings!$C$86)</f>
        <v/>
      </c>
      <c r="AP339" s="157">
        <f>CHOOSE(MATCH(IF($U339="","Основний",$U339),{"Трафіковий","Основний","Маржинальний","Сезонний","Стратегічний"},0),Settings!$D$78,Settings!$D$80,Settings!$D$82,Settings!$D$84,Settings!$D$86)</f>
        <v/>
      </c>
      <c r="AQ339" s="157">
        <f>CHOOSE(MATCH(IF($U339="","Основний",$U339),{"Трафіковий","Основний","Маржинальний","Сезонний","Стратегічний"},0),Settings!$F$78,Settings!$F$80,Settings!$F$82,Settings!$F$84,Settings!$F$86)</f>
        <v/>
      </c>
      <c r="AR339" s="157">
        <f>CHOOSE(MATCH(IF($U339="","Основний",$U339),{"Трафіковий","Основний","Маржинальний","Сезонний","Стратегічний"},0),Settings!$G$78,Settings!$G$80,Settings!$G$82,Settings!$G$84,Settings!$G$86)</f>
        <v/>
      </c>
      <c r="AS339" s="157">
        <f>CHOOSE(MATCH(IF($U339="","Основний",$U339),{"Трафіковий","Основний","Маржинальний","Сезонний","Стратегічний"},0),Settings!$H$78,Settings!$H$80,Settings!$H$82,Settings!$H$84,Settings!$H$86)</f>
        <v/>
      </c>
      <c r="AT339" s="157">
        <f>CHOOSE(MATCH(IF($U339="","Основний",$U339),{"Трафіковий","Основний","Маржинальний","Сезонний","Стратегічний"},0),Settings!$I$78,Settings!$I$80,Settings!$I$82,Settings!$I$84,Settings!$I$86)</f>
        <v/>
      </c>
      <c r="AU339" s="171" t="n"/>
      <c r="AV339" t="n">
        <v>1.35</v>
      </c>
    </row>
    <row r="340">
      <c r="A340" s="28" t="n"/>
      <c r="B340" s="29" t="inlineStr">
        <is>
          <t>P1520</t>
        </is>
      </c>
      <c r="C340" s="29" t="inlineStr">
        <is>
          <t>SOCKET W/O CABLE 5× SW. SCHUKO</t>
        </is>
      </c>
      <c r="D340" s="29" t="inlineStr">
        <is>
          <t>Пооджувачи та адаптери</t>
        </is>
      </c>
      <c r="E340" s="28" t="inlineStr">
        <is>
          <t>PC</t>
        </is>
      </c>
      <c r="F340" s="93" t="n">
        <v>1.825</v>
      </c>
      <c r="G340" s="30" t="n">
        <v>8536699099</v>
      </c>
      <c r="H340" s="31" t="n">
        <v>1.35</v>
      </c>
      <c r="I340" s="84">
        <f>IFERROR(F340*Settings!$B$2*H340*IF(AND(ISNUMBER(E340),E340&gt;1),E340,1),"")</f>
        <v/>
      </c>
      <c r="J340" s="32">
        <f>Settings!$B$66</f>
        <v/>
      </c>
      <c r="K340" s="95">
        <f>IFERROR(IF(T340="","",(T340*(1-AN340)*(1-Settings!$B$17)-I340)/(T340*(1-AN340)*(1-Settings!$B$17))),"")</f>
        <v/>
      </c>
      <c r="L340" s="101">
        <f>IFERROR(IF(T340="","",(T340*(1-AO340)*(1-Settings!$C$17)-I340)/(T340*(1-AO340)*(1-Settings!$C$17))),"")</f>
        <v/>
      </c>
      <c r="M340" s="101">
        <f>IFERROR(IF(T340="","",(T340*(1-AP340)*(1-Settings!$D$17)-I340)/(T340*(1-AP340)*(1-Settings!$D$17))),"")</f>
        <v/>
      </c>
      <c r="N340" s="101">
        <f>IFERROR(IF(T340="","",(T340*(1-AQ340)*(1-Settings!$F$17)-I340)/(T340*(1-AQ340)*(1-Settings!$F$17))),"")</f>
        <v/>
      </c>
      <c r="O340" s="101">
        <f>IFERROR(IF(T340="","",(T340*(1-AR340)*(1-Settings!$G$17)-I340)/(T340*(1-AR340)*(1-Settings!$G$17))),"")</f>
        <v/>
      </c>
      <c r="P340" s="101">
        <f>IFERROR(IF(T340="","",(T340*(1-AS340)*(1-Settings!$H$17)-I340)/(T340*(1-AS340)*(1-Settings!$H$17))),"")</f>
        <v/>
      </c>
      <c r="Q340" s="101">
        <f>IFERROR(IF(T340="","",(T340*(1-AT340)*(1-Settings!$I$68)*(1-Settings!$I$17)-I340)/(T340*(1-AT340)*(1-Settings!$I$68)*(1-Settings!$I$17))),"")</f>
        <v/>
      </c>
      <c r="R340" s="91">
        <f>IFERROR(IF(OR(I340="",Z340&gt;=1,Settings!$B$17&gt;=1,AN340&gt;=1),"",IF(MOD(ROUND(I340/(1-Z340)/(1-Settings!$B$17)/(1-AN340),0),10)=0,ROUND(I340/(1-Z340)/(1-Settings!$B$17)/(1-AN340),0)-1,IF(MOD(ROUND(I340/(1-Z340)/(1-Settings!$B$17)/(1-AN340),0),10)&lt;=5,FLOOR(ROUND(I340/(1-Z340)/(1-Settings!$B$17)/(1-AN340),0),10)+6,FLOOR(ROUND(I340/(1-Z340)/(1-Settings!$B$17)/(1-AN340),0),10)+9))),"")</f>
        <v/>
      </c>
      <c r="S340" s="174">
        <f>R340*0.95</f>
        <v/>
      </c>
      <c r="T340" s="91">
        <f>IF(S340&lt;&gt;"", IF(MOD(S340,10)=0,S340-1,IF(MOD(S340,10)&lt;=5,FLOOR(S340,10)+6,FLOOR(S340,10)+9)), R340)</f>
        <v/>
      </c>
      <c r="U340" s="87" t="inlineStr">
        <is>
          <t>Основний</t>
        </is>
      </c>
      <c r="V340" s="88" t="n"/>
      <c r="W340" s="88" t="n"/>
      <c r="X340" s="89">
        <f>IFERROR(IF(OR(V340="",W340="",T340=""),"", IF(T340&gt;W340,"Дорогий",IF(T340&lt;V340,"Дешевий","У ринку"))),"")</f>
        <v/>
      </c>
      <c r="Y340" s="90" t="n"/>
      <c r="Z340" s="104">
        <f>CHOOSE(MATCH(IF($U340="","Основний",$U340),{"Трафіковий","Основний","Маржинальний","Сезонний","Стратегічний"},0),0.16,0.19,0.24,0.23,0.28)</f>
        <v/>
      </c>
      <c r="AA340" s="104">
        <f>CHOOSE(MATCH(IF($U340="","Основний",$U340),{"Трафіковий","Основний","Маржинальний","Сезонний","Стратегічний"},0),0.18,0.21,0.26,0.25,0.3)</f>
        <v/>
      </c>
      <c r="AB340" s="104">
        <f>CHOOSE(MATCH(IF($U340="","Основний",$U340),{"Трафіковий","Основний","Маржинальний","Сезонний","Стратегічний"},0),0.19,0.22,0.28,0.26,0.32)</f>
        <v/>
      </c>
      <c r="AC340" s="104">
        <f>CHOOSE(MATCH(IF($U340="","Основний",$U340),{"Трафіковий","Основний","Маржинальний","Сезонний","Стратегічний"},0),0.17,0.2,0.25,0.24,0.28)</f>
        <v/>
      </c>
      <c r="AD340" s="104">
        <f>CHOOSE(MATCH(IF($U340="","Основний",$U340),{"Трафіковий","Основний","Маржинальний","Сезонний","Стратегічний"},0),0.18,0.21,0.26,0.25,0.3)</f>
        <v/>
      </c>
      <c r="AE340" s="104">
        <f>CHOOSE(MATCH(IF($U340="","Основний",$U340),{"Трафіковий","Основний","Маржинальний","Сезонний","Стратегічний"},0),0.18,0.2,0.28,0.27,0.32)</f>
        <v/>
      </c>
      <c r="AF340" s="104">
        <f>CHOOSE(MATCH(IF($U340="","Основний",$U340),{"Трафіковий","Основний","Маржинальний","Сезонний","Стратегічний"},0),0.15,0.175,0.22,0.21,0.25)</f>
        <v/>
      </c>
      <c r="AG340" s="104">
        <f>CHOOSE(MATCH(IF($U340="","Основний",$U340),{"Трафіковий","Основний","Маржинальний","Сезонний","Стратегічний"},0),0.13,0.16,0.21,0.2,0.25)</f>
        <v/>
      </c>
      <c r="AH340" s="104">
        <f>CHOOSE(MATCH(IF($U340="","Основний",$U340),{"Трафіковий","Основний","Маржинальний","Сезонний","Стратегічний"},0),0.15,0.18,0.23,0.22,0.27)</f>
        <v/>
      </c>
      <c r="AI340" s="104">
        <f>CHOOSE(MATCH(IF($U340="","Основний",$U340),{"Трафіковий","Основний","Маржинальний","Сезонний","Стратегічний"},0),0.16,0.19,0.25,0.23,0.29)</f>
        <v/>
      </c>
      <c r="AJ340" s="104">
        <f>CHOOSE(MATCH(IF($U340="","Основний",$U340),{"Трафіковий","Основний","Маржинальний","Сезонний","Стратегічний"},0),0.14,0.17,0.22,0.21,0.25)</f>
        <v/>
      </c>
      <c r="AK340" s="104">
        <f>CHOOSE(MATCH(IF($U340="","Основний",$U340),{"Трафіковий","Основний","Маржинальний","Сезонний","Стратегічний"},0),0.15,0.18,0.23,0.22,0.27)</f>
        <v/>
      </c>
      <c r="AL340" s="104">
        <f>CHOOSE(MATCH(IF($U340="","Основний",$U340),{"Трафіковий","Основний","Маржинальний","Сезонний","Стратегічний"},0),0.15,0.17,0.25,0.24,0.29)</f>
        <v/>
      </c>
      <c r="AM340" s="104">
        <f>CHOOSE(MATCH(IF($U340="","Основний",$U340),{"Трафіковий","Основний","Маржинальний","Сезонний","Стратегічний"},0),0.12,0.145,0.19,0.18,0.22)</f>
        <v/>
      </c>
      <c r="AN340" s="157">
        <f>CHOOSE(MATCH(IF($U340="","Основний",$U340),{"Трафіковий","Основний","Маржинальний","Сезонний","Стратегічний"},0),Settings!$B$78,Settings!$B$80,Settings!$B$82,Settings!$B$84,Settings!$B$86)</f>
        <v/>
      </c>
      <c r="AO340" s="157">
        <f>CHOOSE(MATCH(IF($U340="","Основний",$U340),{"Трафіковий","Основний","Маржинальний","Сезонний","Стратегічний"},0),Settings!$C$78,Settings!$C$80,Settings!$C$82,Settings!$C$84,Settings!$C$86)</f>
        <v/>
      </c>
      <c r="AP340" s="157">
        <f>CHOOSE(MATCH(IF($U340="","Основний",$U340),{"Трафіковий","Основний","Маржинальний","Сезонний","Стратегічний"},0),Settings!$D$78,Settings!$D$80,Settings!$D$82,Settings!$D$84,Settings!$D$86)</f>
        <v/>
      </c>
      <c r="AQ340" s="157">
        <f>CHOOSE(MATCH(IF($U340="","Основний",$U340),{"Трафіковий","Основний","Маржинальний","Сезонний","Стратегічний"},0),Settings!$F$78,Settings!$F$80,Settings!$F$82,Settings!$F$84,Settings!$F$86)</f>
        <v/>
      </c>
      <c r="AR340" s="157">
        <f>CHOOSE(MATCH(IF($U340="","Основний",$U340),{"Трафіковий","Основний","Маржинальний","Сезонний","Стратегічний"},0),Settings!$G$78,Settings!$G$80,Settings!$G$82,Settings!$G$84,Settings!$G$86)</f>
        <v/>
      </c>
      <c r="AS340" s="157">
        <f>CHOOSE(MATCH(IF($U340="","Основний",$U340),{"Трафіковий","Основний","Маржинальний","Сезонний","Стратегічний"},0),Settings!$H$78,Settings!$H$80,Settings!$H$82,Settings!$H$84,Settings!$H$86)</f>
        <v/>
      </c>
      <c r="AT340" s="157">
        <f>CHOOSE(MATCH(IF($U340="","Основний",$U340),{"Трафіковий","Основний","Маржинальний","Сезонний","Стратегічний"},0),Settings!$I$78,Settings!$I$80,Settings!$I$82,Settings!$I$84,Settings!$I$86)</f>
        <v/>
      </c>
      <c r="AU340" s="171" t="n"/>
      <c r="AV340" t="n">
        <v>1.35</v>
      </c>
    </row>
    <row r="341">
      <c r="A341" s="33" t="inlineStr">
        <is>
          <t>NEW</t>
        </is>
      </c>
      <c r="B341" s="34" t="inlineStr">
        <is>
          <t>P54213</t>
        </is>
      </c>
      <c r="C341" s="34" t="inlineStr">
        <is>
          <t>SURGE PROTECTOR 3S 1,5M WHITE SCHUKO</t>
        </is>
      </c>
      <c r="D341" s="34" t="inlineStr">
        <is>
          <t>Пооджувачи та адаптери</t>
        </is>
      </c>
      <c r="E341" s="33" t="inlineStr">
        <is>
          <t>PC</t>
        </is>
      </c>
      <c r="F341" s="94" t="n">
        <v>5.943</v>
      </c>
      <c r="G341" s="35" t="n">
        <v>8544429090</v>
      </c>
      <c r="H341" s="31" t="n">
        <v>1.4</v>
      </c>
      <c r="I341" s="84">
        <f>IFERROR(F341*Settings!$B$2*H341*IF(AND(ISNUMBER(E341),E341&gt;1),E341,1),"")</f>
        <v/>
      </c>
      <c r="J341" s="32">
        <f>Settings!$B$66</f>
        <v/>
      </c>
      <c r="K341" s="95">
        <f>IFERROR(IF(T341="","",(T341*(1-AN341)*(1-Settings!$B$17)-I341)/(T341*(1-AN341)*(1-Settings!$B$17))),"")</f>
        <v/>
      </c>
      <c r="L341" s="101">
        <f>IFERROR(IF(T341="","",(T341*(1-AO341)*(1-Settings!$C$17)-I341)/(T341*(1-AO341)*(1-Settings!$C$17))),"")</f>
        <v/>
      </c>
      <c r="M341" s="101">
        <f>IFERROR(IF(T341="","",(T341*(1-AP341)*(1-Settings!$D$17)-I341)/(T341*(1-AP341)*(1-Settings!$D$17))),"")</f>
        <v/>
      </c>
      <c r="N341" s="101">
        <f>IFERROR(IF(T341="","",(T341*(1-AQ341)*(1-Settings!$F$17)-I341)/(T341*(1-AQ341)*(1-Settings!$F$17))),"")</f>
        <v/>
      </c>
      <c r="O341" s="101">
        <f>IFERROR(IF(T341="","",(T341*(1-AR341)*(1-Settings!$G$17)-I341)/(T341*(1-AR341)*(1-Settings!$G$17))),"")</f>
        <v/>
      </c>
      <c r="P341" s="101">
        <f>IFERROR(IF(T341="","",(T341*(1-AS341)*(1-Settings!$H$17)-I341)/(T341*(1-AS341)*(1-Settings!$H$17))),"")</f>
        <v/>
      </c>
      <c r="Q341" s="101">
        <f>IFERROR(IF(T341="","",(T341*(1-AT341)*(1-Settings!$I$68)*(1-Settings!$I$17)-I341)/(T341*(1-AT341)*(1-Settings!$I$68)*(1-Settings!$I$17))),"")</f>
        <v/>
      </c>
      <c r="R341" s="91">
        <f>IFERROR(IF(OR(I341="",Z341&gt;=1,Settings!$B$17&gt;=1,AN341&gt;=1),"",IF(MOD(ROUND(I341/(1-Z341)/(1-Settings!$B$17)/(1-AN341),0),10)=0,ROUND(I341/(1-Z341)/(1-Settings!$B$17)/(1-AN341),0)-1,IF(MOD(ROUND(I341/(1-Z341)/(1-Settings!$B$17)/(1-AN341),0),10)&lt;=5,FLOOR(ROUND(I341/(1-Z341)/(1-Settings!$B$17)/(1-AN341),0),10)+6,FLOOR(ROUND(I341/(1-Z341)/(1-Settings!$B$17)/(1-AN341),0),10)+9))),"")</f>
        <v/>
      </c>
      <c r="S341" s="174">
        <f>R341*0.95</f>
        <v/>
      </c>
      <c r="T341" s="91">
        <f>IF(S341&lt;&gt;"", IF(MOD(S341,10)=0,S341-1,IF(MOD(S341,10)&lt;=5,FLOOR(S341,10)+6,FLOOR(S341,10)+9)), R341)</f>
        <v/>
      </c>
      <c r="U341" s="87" t="inlineStr">
        <is>
          <t>Основний</t>
        </is>
      </c>
      <c r="V341" s="88" t="n"/>
      <c r="W341" s="88" t="n"/>
      <c r="X341" s="89">
        <f>IFERROR(IF(OR(V341="",W341="",T341=""),"", IF(T341&gt;W341,"Дорогий",IF(T341&lt;V341,"Дешевий","У ринку"))),"")</f>
        <v/>
      </c>
      <c r="Y341" s="90" t="n"/>
      <c r="Z341" s="104">
        <f>CHOOSE(MATCH(IF($U341="","Основний",$U341),{"Трафіковий","Основний","Маржинальний","Сезонний","Стратегічний"},0),0.16,0.19,0.24,0.23,0.28)</f>
        <v/>
      </c>
      <c r="AA341" s="104">
        <f>CHOOSE(MATCH(IF($U341="","Основний",$U341),{"Трафіковий","Основний","Маржинальний","Сезонний","Стратегічний"},0),0.18,0.21,0.26,0.25,0.3)</f>
        <v/>
      </c>
      <c r="AB341" s="104">
        <f>CHOOSE(MATCH(IF($U341="","Основний",$U341),{"Трафіковий","Основний","Маржинальний","Сезонний","Стратегічний"},0),0.19,0.22,0.28,0.26,0.32)</f>
        <v/>
      </c>
      <c r="AC341" s="104">
        <f>CHOOSE(MATCH(IF($U341="","Основний",$U341),{"Трафіковий","Основний","Маржинальний","Сезонний","Стратегічний"},0),0.17,0.2,0.25,0.24,0.28)</f>
        <v/>
      </c>
      <c r="AD341" s="104">
        <f>CHOOSE(MATCH(IF($U341="","Основний",$U341),{"Трафіковий","Основний","Маржинальний","Сезонний","Стратегічний"},0),0.18,0.21,0.26,0.25,0.3)</f>
        <v/>
      </c>
      <c r="AE341" s="104">
        <f>CHOOSE(MATCH(IF($U341="","Основний",$U341),{"Трафіковий","Основний","Маржинальний","Сезонний","Стратегічний"},0),0.18,0.2,0.28,0.27,0.32)</f>
        <v/>
      </c>
      <c r="AF341" s="104">
        <f>CHOOSE(MATCH(IF($U341="","Основний",$U341),{"Трафіковий","Основний","Маржинальний","Сезонний","Стратегічний"},0),0.15,0.175,0.22,0.21,0.25)</f>
        <v/>
      </c>
      <c r="AG341" s="104">
        <f>CHOOSE(MATCH(IF($U341="","Основний",$U341),{"Трафіковий","Основний","Маржинальний","Сезонний","Стратегічний"},0),0.13,0.16,0.21,0.2,0.25)</f>
        <v/>
      </c>
      <c r="AH341" s="104">
        <f>CHOOSE(MATCH(IF($U341="","Основний",$U341),{"Трафіковий","Основний","Маржинальний","Сезонний","Стратегічний"},0),0.15,0.18,0.23,0.22,0.27)</f>
        <v/>
      </c>
      <c r="AI341" s="104">
        <f>CHOOSE(MATCH(IF($U341="","Основний",$U341),{"Трафіковий","Основний","Маржинальний","Сезонний","Стратегічний"},0),0.16,0.19,0.25,0.23,0.29)</f>
        <v/>
      </c>
      <c r="AJ341" s="104">
        <f>CHOOSE(MATCH(IF($U341="","Основний",$U341),{"Трафіковий","Основний","Маржинальний","Сезонний","Стратегічний"},0),0.14,0.17,0.22,0.21,0.25)</f>
        <v/>
      </c>
      <c r="AK341" s="104">
        <f>CHOOSE(MATCH(IF($U341="","Основний",$U341),{"Трафіковий","Основний","Маржинальний","Сезонний","Стратегічний"},0),0.15,0.18,0.23,0.22,0.27)</f>
        <v/>
      </c>
      <c r="AL341" s="104">
        <f>CHOOSE(MATCH(IF($U341="","Основний",$U341),{"Трафіковий","Основний","Маржинальний","Сезонний","Стратегічний"},0),0.15,0.17,0.25,0.24,0.29)</f>
        <v/>
      </c>
      <c r="AM341" s="104">
        <f>CHOOSE(MATCH(IF($U341="","Основний",$U341),{"Трафіковий","Основний","Маржинальний","Сезонний","Стратегічний"},0),0.12,0.145,0.19,0.18,0.22)</f>
        <v/>
      </c>
      <c r="AN341" s="157">
        <f>CHOOSE(MATCH(IF($U341="","Основний",$U341),{"Трафіковий","Основний","Маржинальний","Сезонний","Стратегічний"},0),Settings!$B$78,Settings!$B$80,Settings!$B$82,Settings!$B$84,Settings!$B$86)</f>
        <v/>
      </c>
      <c r="AO341" s="157">
        <f>CHOOSE(MATCH(IF($U341="","Основний",$U341),{"Трафіковий","Основний","Маржинальний","Сезонний","Стратегічний"},0),Settings!$C$78,Settings!$C$80,Settings!$C$82,Settings!$C$84,Settings!$C$86)</f>
        <v/>
      </c>
      <c r="AP341" s="157">
        <f>CHOOSE(MATCH(IF($U341="","Основний",$U341),{"Трафіковий","Основний","Маржинальний","Сезонний","Стратегічний"},0),Settings!$D$78,Settings!$D$80,Settings!$D$82,Settings!$D$84,Settings!$D$86)</f>
        <v/>
      </c>
      <c r="AQ341" s="157">
        <f>CHOOSE(MATCH(IF($U341="","Основний",$U341),{"Трафіковий","Основний","Маржинальний","Сезонний","Стратегічний"},0),Settings!$F$78,Settings!$F$80,Settings!$F$82,Settings!$F$84,Settings!$F$86)</f>
        <v/>
      </c>
      <c r="AR341" s="157">
        <f>CHOOSE(MATCH(IF($U341="","Основний",$U341),{"Трафіковий","Основний","Маржинальний","Сезонний","Стратегічний"},0),Settings!$G$78,Settings!$G$80,Settings!$G$82,Settings!$G$84,Settings!$G$86)</f>
        <v/>
      </c>
      <c r="AS341" s="157">
        <f>CHOOSE(MATCH(IF($U341="","Основний",$U341),{"Трафіковий","Основний","Маржинальний","Сезонний","Стратегічний"},0),Settings!$H$78,Settings!$H$80,Settings!$H$82,Settings!$H$84,Settings!$H$86)</f>
        <v/>
      </c>
      <c r="AT341" s="157">
        <f>CHOOSE(MATCH(IF($U341="","Основний",$U341),{"Трафіковий","Основний","Маржинальний","Сезонний","Стратегічний"},0),Settings!$I$78,Settings!$I$80,Settings!$I$82,Settings!$I$84,Settings!$I$86)</f>
        <v/>
      </c>
      <c r="AU341" s="171" t="n"/>
      <c r="AV341" t="n">
        <v>1.35</v>
      </c>
    </row>
    <row r="342">
      <c r="A342" s="28" t="inlineStr">
        <is>
          <t>NEW</t>
        </is>
      </c>
      <c r="B342" s="29" t="inlineStr">
        <is>
          <t>P54214</t>
        </is>
      </c>
      <c r="C342" s="29" t="inlineStr">
        <is>
          <t>SURGE PROTECTOR 3S 1,5M BLACK SCHUKO</t>
        </is>
      </c>
      <c r="D342" s="29" t="inlineStr">
        <is>
          <t>Пооджувачи та адаптери</t>
        </is>
      </c>
      <c r="E342" s="28" t="inlineStr">
        <is>
          <t>PC</t>
        </is>
      </c>
      <c r="F342" s="93" t="n">
        <v>5.943</v>
      </c>
      <c r="G342" s="30" t="n">
        <v>8544429090</v>
      </c>
      <c r="H342" s="31" t="n">
        <v>1.4</v>
      </c>
      <c r="I342" s="84">
        <f>IFERROR(F342*Settings!$B$2*H342*IF(AND(ISNUMBER(E342),E342&gt;1),E342,1),"")</f>
        <v/>
      </c>
      <c r="J342" s="32">
        <f>Settings!$B$66</f>
        <v/>
      </c>
      <c r="K342" s="95">
        <f>IFERROR(IF(T342="","",(T342*(1-AN342)*(1-Settings!$B$17)-I342)/(T342*(1-AN342)*(1-Settings!$B$17))),"")</f>
        <v/>
      </c>
      <c r="L342" s="101">
        <f>IFERROR(IF(T342="","",(T342*(1-AO342)*(1-Settings!$C$17)-I342)/(T342*(1-AO342)*(1-Settings!$C$17))),"")</f>
        <v/>
      </c>
      <c r="M342" s="101">
        <f>IFERROR(IF(T342="","",(T342*(1-AP342)*(1-Settings!$D$17)-I342)/(T342*(1-AP342)*(1-Settings!$D$17))),"")</f>
        <v/>
      </c>
      <c r="N342" s="101">
        <f>IFERROR(IF(T342="","",(T342*(1-AQ342)*(1-Settings!$F$17)-I342)/(T342*(1-AQ342)*(1-Settings!$F$17))),"")</f>
        <v/>
      </c>
      <c r="O342" s="101">
        <f>IFERROR(IF(T342="","",(T342*(1-AR342)*(1-Settings!$G$17)-I342)/(T342*(1-AR342)*(1-Settings!$G$17))),"")</f>
        <v/>
      </c>
      <c r="P342" s="101">
        <f>IFERROR(IF(T342="","",(T342*(1-AS342)*(1-Settings!$H$17)-I342)/(T342*(1-AS342)*(1-Settings!$H$17))),"")</f>
        <v/>
      </c>
      <c r="Q342" s="101">
        <f>IFERROR(IF(T342="","",(T342*(1-AT342)*(1-Settings!$I$68)*(1-Settings!$I$17)-I342)/(T342*(1-AT342)*(1-Settings!$I$68)*(1-Settings!$I$17))),"")</f>
        <v/>
      </c>
      <c r="R342" s="91">
        <f>IFERROR(IF(OR(I342="",Z342&gt;=1,Settings!$B$17&gt;=1,AN342&gt;=1),"",IF(MOD(ROUND(I342/(1-Z342)/(1-Settings!$B$17)/(1-AN342),0),10)=0,ROUND(I342/(1-Z342)/(1-Settings!$B$17)/(1-AN342),0)-1,IF(MOD(ROUND(I342/(1-Z342)/(1-Settings!$B$17)/(1-AN342),0),10)&lt;=5,FLOOR(ROUND(I342/(1-Z342)/(1-Settings!$B$17)/(1-AN342),0),10)+6,FLOOR(ROUND(I342/(1-Z342)/(1-Settings!$B$17)/(1-AN342),0),10)+9))),"")</f>
        <v/>
      </c>
      <c r="S342" s="174">
        <f>R342*0.95</f>
        <v/>
      </c>
      <c r="T342" s="91">
        <f>IF(S342&lt;&gt;"", IF(MOD(S342,10)=0,S342-1,IF(MOD(S342,10)&lt;=5,FLOOR(S342,10)+6,FLOOR(S342,10)+9)), R342)</f>
        <v/>
      </c>
      <c r="U342" s="87" t="inlineStr">
        <is>
          <t>Основний</t>
        </is>
      </c>
      <c r="V342" s="88" t="n"/>
      <c r="W342" s="88" t="n"/>
      <c r="X342" s="89">
        <f>IFERROR(IF(OR(V342="",W342="",T342=""),"", IF(T342&gt;W342,"Дорогий",IF(T342&lt;V342,"Дешевий","У ринку"))),"")</f>
        <v/>
      </c>
      <c r="Y342" s="90" t="n"/>
      <c r="Z342" s="104">
        <f>CHOOSE(MATCH(IF($U342="","Основний",$U342),{"Трафіковий","Основний","Маржинальний","Сезонний","Стратегічний"},0),0.16,0.19,0.24,0.23,0.28)</f>
        <v/>
      </c>
      <c r="AA342" s="104">
        <f>CHOOSE(MATCH(IF($U342="","Основний",$U342),{"Трафіковий","Основний","Маржинальний","Сезонний","Стратегічний"},0),0.18,0.21,0.26,0.25,0.3)</f>
        <v/>
      </c>
      <c r="AB342" s="104">
        <f>CHOOSE(MATCH(IF($U342="","Основний",$U342),{"Трафіковий","Основний","Маржинальний","Сезонний","Стратегічний"},0),0.19,0.22,0.28,0.26,0.32)</f>
        <v/>
      </c>
      <c r="AC342" s="104">
        <f>CHOOSE(MATCH(IF($U342="","Основний",$U342),{"Трафіковий","Основний","Маржинальний","Сезонний","Стратегічний"},0),0.17,0.2,0.25,0.24,0.28)</f>
        <v/>
      </c>
      <c r="AD342" s="104">
        <f>CHOOSE(MATCH(IF($U342="","Основний",$U342),{"Трафіковий","Основний","Маржинальний","Сезонний","Стратегічний"},0),0.18,0.21,0.26,0.25,0.3)</f>
        <v/>
      </c>
      <c r="AE342" s="104">
        <f>CHOOSE(MATCH(IF($U342="","Основний",$U342),{"Трафіковий","Основний","Маржинальний","Сезонний","Стратегічний"},0),0.18,0.2,0.28,0.27,0.32)</f>
        <v/>
      </c>
      <c r="AF342" s="104">
        <f>CHOOSE(MATCH(IF($U342="","Основний",$U342),{"Трафіковий","Основний","Маржинальний","Сезонний","Стратегічний"},0),0.15,0.175,0.22,0.21,0.25)</f>
        <v/>
      </c>
      <c r="AG342" s="104">
        <f>CHOOSE(MATCH(IF($U342="","Основний",$U342),{"Трафіковий","Основний","Маржинальний","Сезонний","Стратегічний"},0),0.13,0.16,0.21,0.2,0.25)</f>
        <v/>
      </c>
      <c r="AH342" s="104">
        <f>CHOOSE(MATCH(IF($U342="","Основний",$U342),{"Трафіковий","Основний","Маржинальний","Сезонний","Стратегічний"},0),0.15,0.18,0.23,0.22,0.27)</f>
        <v/>
      </c>
      <c r="AI342" s="104">
        <f>CHOOSE(MATCH(IF($U342="","Основний",$U342),{"Трафіковий","Основний","Маржинальний","Сезонний","Стратегічний"},0),0.16,0.19,0.25,0.23,0.29)</f>
        <v/>
      </c>
      <c r="AJ342" s="104">
        <f>CHOOSE(MATCH(IF($U342="","Основний",$U342),{"Трафіковий","Основний","Маржинальний","Сезонний","Стратегічний"},0),0.14,0.17,0.22,0.21,0.25)</f>
        <v/>
      </c>
      <c r="AK342" s="104">
        <f>CHOOSE(MATCH(IF($U342="","Основний",$U342),{"Трафіковий","Основний","Маржинальний","Сезонний","Стратегічний"},0),0.15,0.18,0.23,0.22,0.27)</f>
        <v/>
      </c>
      <c r="AL342" s="104">
        <f>CHOOSE(MATCH(IF($U342="","Основний",$U342),{"Трафіковий","Основний","Маржинальний","Сезонний","Стратегічний"},0),0.15,0.17,0.25,0.24,0.29)</f>
        <v/>
      </c>
      <c r="AM342" s="104">
        <f>CHOOSE(MATCH(IF($U342="","Основний",$U342),{"Трафіковий","Основний","Маржинальний","Сезонний","Стратегічний"},0),0.12,0.145,0.19,0.18,0.22)</f>
        <v/>
      </c>
      <c r="AN342" s="157">
        <f>CHOOSE(MATCH(IF($U342="","Основний",$U342),{"Трафіковий","Основний","Маржинальний","Сезонний","Стратегічний"},0),Settings!$B$78,Settings!$B$80,Settings!$B$82,Settings!$B$84,Settings!$B$86)</f>
        <v/>
      </c>
      <c r="AO342" s="157">
        <f>CHOOSE(MATCH(IF($U342="","Основний",$U342),{"Трафіковий","Основний","Маржинальний","Сезонний","Стратегічний"},0),Settings!$C$78,Settings!$C$80,Settings!$C$82,Settings!$C$84,Settings!$C$86)</f>
        <v/>
      </c>
      <c r="AP342" s="157">
        <f>CHOOSE(MATCH(IF($U342="","Основний",$U342),{"Трафіковий","Основний","Маржинальний","Сезонний","Стратегічний"},0),Settings!$D$78,Settings!$D$80,Settings!$D$82,Settings!$D$84,Settings!$D$86)</f>
        <v/>
      </c>
      <c r="AQ342" s="157">
        <f>CHOOSE(MATCH(IF($U342="","Основний",$U342),{"Трафіковий","Основний","Маржинальний","Сезонний","Стратегічний"},0),Settings!$F$78,Settings!$F$80,Settings!$F$82,Settings!$F$84,Settings!$F$86)</f>
        <v/>
      </c>
      <c r="AR342" s="157">
        <f>CHOOSE(MATCH(IF($U342="","Основний",$U342),{"Трафіковий","Основний","Маржинальний","Сезонний","Стратегічний"},0),Settings!$G$78,Settings!$G$80,Settings!$G$82,Settings!$G$84,Settings!$G$86)</f>
        <v/>
      </c>
      <c r="AS342" s="157">
        <f>CHOOSE(MATCH(IF($U342="","Основний",$U342),{"Трафіковий","Основний","Маржинальний","Сезонний","Стратегічний"},0),Settings!$H$78,Settings!$H$80,Settings!$H$82,Settings!$H$84,Settings!$H$86)</f>
        <v/>
      </c>
      <c r="AT342" s="157">
        <f>CHOOSE(MATCH(IF($U342="","Основний",$U342),{"Трафіковий","Основний","Маржинальний","Сезонний","Стратегічний"},0),Settings!$I$78,Settings!$I$80,Settings!$I$82,Settings!$I$84,Settings!$I$86)</f>
        <v/>
      </c>
      <c r="AU342" s="171" t="n"/>
      <c r="AV342" t="n">
        <v>1.35</v>
      </c>
    </row>
    <row r="343">
      <c r="A343" s="33" t="inlineStr">
        <is>
          <t>NEW</t>
        </is>
      </c>
      <c r="B343" s="34" t="inlineStr">
        <is>
          <t>P54215</t>
        </is>
      </c>
      <c r="C343" s="34" t="inlineStr">
        <is>
          <t>SURGE PROTECTOR 6S 1,5M WHITE SCHUKO</t>
        </is>
      </c>
      <c r="D343" s="34" t="inlineStr">
        <is>
          <t>Пооджувачи та адаптери</t>
        </is>
      </c>
      <c r="E343" s="33" t="inlineStr">
        <is>
          <t>PC</t>
        </is>
      </c>
      <c r="F343" s="94" t="n">
        <v>6.983</v>
      </c>
      <c r="G343" s="35" t="n">
        <v>8544429090</v>
      </c>
      <c r="H343" s="31" t="n">
        <v>1.4</v>
      </c>
      <c r="I343" s="84">
        <f>IFERROR(F343*Settings!$B$2*H343*IF(AND(ISNUMBER(E343),E343&gt;1),E343,1),"")</f>
        <v/>
      </c>
      <c r="J343" s="32">
        <f>Settings!$B$66</f>
        <v/>
      </c>
      <c r="K343" s="95">
        <f>IFERROR(IF(T343="","",(T343*(1-AN343)*(1-Settings!$B$17)-I343)/(T343*(1-AN343)*(1-Settings!$B$17))),"")</f>
        <v/>
      </c>
      <c r="L343" s="101">
        <f>IFERROR(IF(T343="","",(T343*(1-AO343)*(1-Settings!$C$17)-I343)/(T343*(1-AO343)*(1-Settings!$C$17))),"")</f>
        <v/>
      </c>
      <c r="M343" s="101">
        <f>IFERROR(IF(T343="","",(T343*(1-AP343)*(1-Settings!$D$17)-I343)/(T343*(1-AP343)*(1-Settings!$D$17))),"")</f>
        <v/>
      </c>
      <c r="N343" s="101">
        <f>IFERROR(IF(T343="","",(T343*(1-AQ343)*(1-Settings!$F$17)-I343)/(T343*(1-AQ343)*(1-Settings!$F$17))),"")</f>
        <v/>
      </c>
      <c r="O343" s="101">
        <f>IFERROR(IF(T343="","",(T343*(1-AR343)*(1-Settings!$G$17)-I343)/(T343*(1-AR343)*(1-Settings!$G$17))),"")</f>
        <v/>
      </c>
      <c r="P343" s="101">
        <f>IFERROR(IF(T343="","",(T343*(1-AS343)*(1-Settings!$H$17)-I343)/(T343*(1-AS343)*(1-Settings!$H$17))),"")</f>
        <v/>
      </c>
      <c r="Q343" s="101">
        <f>IFERROR(IF(T343="","",(T343*(1-AT343)*(1-Settings!$I$68)*(1-Settings!$I$17)-I343)/(T343*(1-AT343)*(1-Settings!$I$68)*(1-Settings!$I$17))),"")</f>
        <v/>
      </c>
      <c r="R343" s="91">
        <f>IFERROR(IF(OR(I343="",Z343&gt;=1,Settings!$B$17&gt;=1,AN343&gt;=1),"",IF(MOD(ROUND(I343/(1-Z343)/(1-Settings!$B$17)/(1-AN343),0),10)=0,ROUND(I343/(1-Z343)/(1-Settings!$B$17)/(1-AN343),0)-1,IF(MOD(ROUND(I343/(1-Z343)/(1-Settings!$B$17)/(1-AN343),0),10)&lt;=5,FLOOR(ROUND(I343/(1-Z343)/(1-Settings!$B$17)/(1-AN343),0),10)+6,FLOOR(ROUND(I343/(1-Z343)/(1-Settings!$B$17)/(1-AN343),0),10)+9))),"")</f>
        <v/>
      </c>
      <c r="S343" s="174">
        <f>R343*0.95</f>
        <v/>
      </c>
      <c r="T343" s="91">
        <f>IF(S343&lt;&gt;"", IF(MOD(S343,10)=0,S343-1,IF(MOD(S343,10)&lt;=5,FLOOR(S343,10)+6,FLOOR(S343,10)+9)), R343)</f>
        <v/>
      </c>
      <c r="U343" s="87" t="inlineStr">
        <is>
          <t>Основний</t>
        </is>
      </c>
      <c r="V343" s="88" t="n"/>
      <c r="W343" s="88" t="n"/>
      <c r="X343" s="89">
        <f>IFERROR(IF(OR(V343="",W343="",T343=""),"", IF(T343&gt;W343,"Дорогий",IF(T343&lt;V343,"Дешевий","У ринку"))),"")</f>
        <v/>
      </c>
      <c r="Y343" s="90" t="n"/>
      <c r="Z343" s="104">
        <f>CHOOSE(MATCH(IF($U343="","Основний",$U343),{"Трафіковий","Основний","Маржинальний","Сезонний","Стратегічний"},0),0.16,0.19,0.24,0.23,0.28)</f>
        <v/>
      </c>
      <c r="AA343" s="104">
        <f>CHOOSE(MATCH(IF($U343="","Основний",$U343),{"Трафіковий","Основний","Маржинальний","Сезонний","Стратегічний"},0),0.18,0.21,0.26,0.25,0.3)</f>
        <v/>
      </c>
      <c r="AB343" s="104">
        <f>CHOOSE(MATCH(IF($U343="","Основний",$U343),{"Трафіковий","Основний","Маржинальний","Сезонний","Стратегічний"},0),0.19,0.22,0.28,0.26,0.32)</f>
        <v/>
      </c>
      <c r="AC343" s="104">
        <f>CHOOSE(MATCH(IF($U343="","Основний",$U343),{"Трафіковий","Основний","Маржинальний","Сезонний","Стратегічний"},0),0.17,0.2,0.25,0.24,0.28)</f>
        <v/>
      </c>
      <c r="AD343" s="104">
        <f>CHOOSE(MATCH(IF($U343="","Основний",$U343),{"Трафіковий","Основний","Маржинальний","Сезонний","Стратегічний"},0),0.18,0.21,0.26,0.25,0.3)</f>
        <v/>
      </c>
      <c r="AE343" s="104">
        <f>CHOOSE(MATCH(IF($U343="","Основний",$U343),{"Трафіковий","Основний","Маржинальний","Сезонний","Стратегічний"},0),0.18,0.2,0.28,0.27,0.32)</f>
        <v/>
      </c>
      <c r="AF343" s="104">
        <f>CHOOSE(MATCH(IF($U343="","Основний",$U343),{"Трафіковий","Основний","Маржинальний","Сезонний","Стратегічний"},0),0.15,0.175,0.22,0.21,0.25)</f>
        <v/>
      </c>
      <c r="AG343" s="104">
        <f>CHOOSE(MATCH(IF($U343="","Основний",$U343),{"Трафіковий","Основний","Маржинальний","Сезонний","Стратегічний"},0),0.13,0.16,0.21,0.2,0.25)</f>
        <v/>
      </c>
      <c r="AH343" s="104">
        <f>CHOOSE(MATCH(IF($U343="","Основний",$U343),{"Трафіковий","Основний","Маржинальний","Сезонний","Стратегічний"},0),0.15,0.18,0.23,0.22,0.27)</f>
        <v/>
      </c>
      <c r="AI343" s="104">
        <f>CHOOSE(MATCH(IF($U343="","Основний",$U343),{"Трафіковий","Основний","Маржинальний","Сезонний","Стратегічний"},0),0.16,0.19,0.25,0.23,0.29)</f>
        <v/>
      </c>
      <c r="AJ343" s="104">
        <f>CHOOSE(MATCH(IF($U343="","Основний",$U343),{"Трафіковий","Основний","Маржинальний","Сезонний","Стратегічний"},0),0.14,0.17,0.22,0.21,0.25)</f>
        <v/>
      </c>
      <c r="AK343" s="104">
        <f>CHOOSE(MATCH(IF($U343="","Основний",$U343),{"Трафіковий","Основний","Маржинальний","Сезонний","Стратегічний"},0),0.15,0.18,0.23,0.22,0.27)</f>
        <v/>
      </c>
      <c r="AL343" s="104">
        <f>CHOOSE(MATCH(IF($U343="","Основний",$U343),{"Трафіковий","Основний","Маржинальний","Сезонний","Стратегічний"},0),0.15,0.17,0.25,0.24,0.29)</f>
        <v/>
      </c>
      <c r="AM343" s="104">
        <f>CHOOSE(MATCH(IF($U343="","Основний",$U343),{"Трафіковий","Основний","Маржинальний","Сезонний","Стратегічний"},0),0.12,0.145,0.19,0.18,0.22)</f>
        <v/>
      </c>
      <c r="AN343" s="157">
        <f>CHOOSE(MATCH(IF($U343="","Основний",$U343),{"Трафіковий","Основний","Маржинальний","Сезонний","Стратегічний"},0),Settings!$B$78,Settings!$B$80,Settings!$B$82,Settings!$B$84,Settings!$B$86)</f>
        <v/>
      </c>
      <c r="AO343" s="157">
        <f>CHOOSE(MATCH(IF($U343="","Основний",$U343),{"Трафіковий","Основний","Маржинальний","Сезонний","Стратегічний"},0),Settings!$C$78,Settings!$C$80,Settings!$C$82,Settings!$C$84,Settings!$C$86)</f>
        <v/>
      </c>
      <c r="AP343" s="157">
        <f>CHOOSE(MATCH(IF($U343="","Основний",$U343),{"Трафіковий","Основний","Маржинальний","Сезонний","Стратегічний"},0),Settings!$D$78,Settings!$D$80,Settings!$D$82,Settings!$D$84,Settings!$D$86)</f>
        <v/>
      </c>
      <c r="AQ343" s="157">
        <f>CHOOSE(MATCH(IF($U343="","Основний",$U343),{"Трафіковий","Основний","Маржинальний","Сезонний","Стратегічний"},0),Settings!$F$78,Settings!$F$80,Settings!$F$82,Settings!$F$84,Settings!$F$86)</f>
        <v/>
      </c>
      <c r="AR343" s="157">
        <f>CHOOSE(MATCH(IF($U343="","Основний",$U343),{"Трафіковий","Основний","Маржинальний","Сезонний","Стратегічний"},0),Settings!$G$78,Settings!$G$80,Settings!$G$82,Settings!$G$84,Settings!$G$86)</f>
        <v/>
      </c>
      <c r="AS343" s="157">
        <f>CHOOSE(MATCH(IF($U343="","Основний",$U343),{"Трафіковий","Основний","Маржинальний","Сезонний","Стратегічний"},0),Settings!$H$78,Settings!$H$80,Settings!$H$82,Settings!$H$84,Settings!$H$86)</f>
        <v/>
      </c>
      <c r="AT343" s="157">
        <f>CHOOSE(MATCH(IF($U343="","Основний",$U343),{"Трафіковий","Основний","Маржинальний","Сезонний","Стратегічний"},0),Settings!$I$78,Settings!$I$80,Settings!$I$82,Settings!$I$84,Settings!$I$86)</f>
        <v/>
      </c>
      <c r="AU343" s="171" t="n"/>
      <c r="AV343" t="n">
        <v>1.35</v>
      </c>
    </row>
    <row r="344">
      <c r="A344" s="28" t="inlineStr">
        <is>
          <t>NEW</t>
        </is>
      </c>
      <c r="B344" s="29" t="inlineStr">
        <is>
          <t>P54218</t>
        </is>
      </c>
      <c r="C344" s="29" t="inlineStr">
        <is>
          <t>SURGE PROTECTOR 6S 1,5M BLACK SCHUKO</t>
        </is>
      </c>
      <c r="D344" s="29" t="inlineStr">
        <is>
          <t>Пооджувачи та адаптери</t>
        </is>
      </c>
      <c r="E344" s="28" t="inlineStr">
        <is>
          <t>PC</t>
        </is>
      </c>
      <c r="F344" s="93" t="n">
        <v>6.983</v>
      </c>
      <c r="G344" s="30" t="n">
        <v>8544429090</v>
      </c>
      <c r="H344" s="31" t="n">
        <v>1.4</v>
      </c>
      <c r="I344" s="84">
        <f>IFERROR(F344*Settings!$B$2*H344*IF(AND(ISNUMBER(E344),E344&gt;1),E344,1),"")</f>
        <v/>
      </c>
      <c r="J344" s="32">
        <f>Settings!$B$66</f>
        <v/>
      </c>
      <c r="K344" s="95">
        <f>IFERROR(IF(T344="","",(T344*(1-AN344)*(1-Settings!$B$17)-I344)/(T344*(1-AN344)*(1-Settings!$B$17))),"")</f>
        <v/>
      </c>
      <c r="L344" s="101">
        <f>IFERROR(IF(T344="","",(T344*(1-AO344)*(1-Settings!$C$17)-I344)/(T344*(1-AO344)*(1-Settings!$C$17))),"")</f>
        <v/>
      </c>
      <c r="M344" s="101">
        <f>IFERROR(IF(T344="","",(T344*(1-AP344)*(1-Settings!$D$17)-I344)/(T344*(1-AP344)*(1-Settings!$D$17))),"")</f>
        <v/>
      </c>
      <c r="N344" s="101">
        <f>IFERROR(IF(T344="","",(T344*(1-AQ344)*(1-Settings!$F$17)-I344)/(T344*(1-AQ344)*(1-Settings!$F$17))),"")</f>
        <v/>
      </c>
      <c r="O344" s="101">
        <f>IFERROR(IF(T344="","",(T344*(1-AR344)*(1-Settings!$G$17)-I344)/(T344*(1-AR344)*(1-Settings!$G$17))),"")</f>
        <v/>
      </c>
      <c r="P344" s="101">
        <f>IFERROR(IF(T344="","",(T344*(1-AS344)*(1-Settings!$H$17)-I344)/(T344*(1-AS344)*(1-Settings!$H$17))),"")</f>
        <v/>
      </c>
      <c r="Q344" s="101">
        <f>IFERROR(IF(T344="","",(T344*(1-AT344)*(1-Settings!$I$68)*(1-Settings!$I$17)-I344)/(T344*(1-AT344)*(1-Settings!$I$68)*(1-Settings!$I$17))),"")</f>
        <v/>
      </c>
      <c r="R344" s="91">
        <f>IFERROR(IF(OR(I344="",Z344&gt;=1,Settings!$B$17&gt;=1,AN344&gt;=1),"",IF(MOD(ROUND(I344/(1-Z344)/(1-Settings!$B$17)/(1-AN344),0),10)=0,ROUND(I344/(1-Z344)/(1-Settings!$B$17)/(1-AN344),0)-1,IF(MOD(ROUND(I344/(1-Z344)/(1-Settings!$B$17)/(1-AN344),0),10)&lt;=5,FLOOR(ROUND(I344/(1-Z344)/(1-Settings!$B$17)/(1-AN344),0),10)+6,FLOOR(ROUND(I344/(1-Z344)/(1-Settings!$B$17)/(1-AN344),0),10)+9))),"")</f>
        <v/>
      </c>
      <c r="S344" s="174">
        <f>R344*0.95</f>
        <v/>
      </c>
      <c r="T344" s="91">
        <f>IF(S344&lt;&gt;"", IF(MOD(S344,10)=0,S344-1,IF(MOD(S344,10)&lt;=5,FLOOR(S344,10)+6,FLOOR(S344,10)+9)), R344)</f>
        <v/>
      </c>
      <c r="U344" s="87" t="inlineStr">
        <is>
          <t>Основний</t>
        </is>
      </c>
      <c r="V344" s="88" t="n"/>
      <c r="W344" s="88" t="n"/>
      <c r="X344" s="89">
        <f>IFERROR(IF(OR(V344="",W344="",T344=""),"", IF(T344&gt;W344,"Дорогий",IF(T344&lt;V344,"Дешевий","У ринку"))),"")</f>
        <v/>
      </c>
      <c r="Y344" s="90" t="n"/>
      <c r="Z344" s="104">
        <f>CHOOSE(MATCH(IF($U344="","Основний",$U344),{"Трафіковий","Основний","Маржинальний","Сезонний","Стратегічний"},0),0.16,0.19,0.24,0.23,0.28)</f>
        <v/>
      </c>
      <c r="AA344" s="104">
        <f>CHOOSE(MATCH(IF($U344="","Основний",$U344),{"Трафіковий","Основний","Маржинальний","Сезонний","Стратегічний"},0),0.18,0.21,0.26,0.25,0.3)</f>
        <v/>
      </c>
      <c r="AB344" s="104">
        <f>CHOOSE(MATCH(IF($U344="","Основний",$U344),{"Трафіковий","Основний","Маржинальний","Сезонний","Стратегічний"},0),0.19,0.22,0.28,0.26,0.32)</f>
        <v/>
      </c>
      <c r="AC344" s="104">
        <f>CHOOSE(MATCH(IF($U344="","Основний",$U344),{"Трафіковий","Основний","Маржинальний","Сезонний","Стратегічний"},0),0.17,0.2,0.25,0.24,0.28)</f>
        <v/>
      </c>
      <c r="AD344" s="104">
        <f>CHOOSE(MATCH(IF($U344="","Основний",$U344),{"Трафіковий","Основний","Маржинальний","Сезонний","Стратегічний"},0),0.18,0.21,0.26,0.25,0.3)</f>
        <v/>
      </c>
      <c r="AE344" s="104">
        <f>CHOOSE(MATCH(IF($U344="","Основний",$U344),{"Трафіковий","Основний","Маржинальний","Сезонний","Стратегічний"},0),0.18,0.2,0.28,0.27,0.32)</f>
        <v/>
      </c>
      <c r="AF344" s="104">
        <f>CHOOSE(MATCH(IF($U344="","Основний",$U344),{"Трафіковий","Основний","Маржинальний","Сезонний","Стратегічний"},0),0.15,0.175,0.22,0.21,0.25)</f>
        <v/>
      </c>
      <c r="AG344" s="104">
        <f>CHOOSE(MATCH(IF($U344="","Основний",$U344),{"Трафіковий","Основний","Маржинальний","Сезонний","Стратегічний"},0),0.13,0.16,0.21,0.2,0.25)</f>
        <v/>
      </c>
      <c r="AH344" s="104">
        <f>CHOOSE(MATCH(IF($U344="","Основний",$U344),{"Трафіковий","Основний","Маржинальний","Сезонний","Стратегічний"},0),0.15,0.18,0.23,0.22,0.27)</f>
        <v/>
      </c>
      <c r="AI344" s="104">
        <f>CHOOSE(MATCH(IF($U344="","Основний",$U344),{"Трафіковий","Основний","Маржинальний","Сезонний","Стратегічний"},0),0.16,0.19,0.25,0.23,0.29)</f>
        <v/>
      </c>
      <c r="AJ344" s="104">
        <f>CHOOSE(MATCH(IF($U344="","Основний",$U344),{"Трафіковий","Основний","Маржинальний","Сезонний","Стратегічний"},0),0.14,0.17,0.22,0.21,0.25)</f>
        <v/>
      </c>
      <c r="AK344" s="104">
        <f>CHOOSE(MATCH(IF($U344="","Основний",$U344),{"Трафіковий","Основний","Маржинальний","Сезонний","Стратегічний"},0),0.15,0.18,0.23,0.22,0.27)</f>
        <v/>
      </c>
      <c r="AL344" s="104">
        <f>CHOOSE(MATCH(IF($U344="","Основний",$U344),{"Трафіковий","Основний","Маржинальний","Сезонний","Стратегічний"},0),0.15,0.17,0.25,0.24,0.29)</f>
        <v/>
      </c>
      <c r="AM344" s="104">
        <f>CHOOSE(MATCH(IF($U344="","Основний",$U344),{"Трафіковий","Основний","Маржинальний","Сезонний","Стратегічний"},0),0.12,0.145,0.19,0.18,0.22)</f>
        <v/>
      </c>
      <c r="AN344" s="157">
        <f>CHOOSE(MATCH(IF($U344="","Основний",$U344),{"Трафіковий","Основний","Маржинальний","Сезонний","Стратегічний"},0),Settings!$B$78,Settings!$B$80,Settings!$B$82,Settings!$B$84,Settings!$B$86)</f>
        <v/>
      </c>
      <c r="AO344" s="157">
        <f>CHOOSE(MATCH(IF($U344="","Основний",$U344),{"Трафіковий","Основний","Маржинальний","Сезонний","Стратегічний"},0),Settings!$C$78,Settings!$C$80,Settings!$C$82,Settings!$C$84,Settings!$C$86)</f>
        <v/>
      </c>
      <c r="AP344" s="157">
        <f>CHOOSE(MATCH(IF($U344="","Основний",$U344),{"Трафіковий","Основний","Маржинальний","Сезонний","Стратегічний"},0),Settings!$D$78,Settings!$D$80,Settings!$D$82,Settings!$D$84,Settings!$D$86)</f>
        <v/>
      </c>
      <c r="AQ344" s="157">
        <f>CHOOSE(MATCH(IF($U344="","Основний",$U344),{"Трафіковий","Основний","Маржинальний","Сезонний","Стратегічний"},0),Settings!$F$78,Settings!$F$80,Settings!$F$82,Settings!$F$84,Settings!$F$86)</f>
        <v/>
      </c>
      <c r="AR344" s="157">
        <f>CHOOSE(MATCH(IF($U344="","Основний",$U344),{"Трафіковий","Основний","Маржинальний","Сезонний","Стратегічний"},0),Settings!$G$78,Settings!$G$80,Settings!$G$82,Settings!$G$84,Settings!$G$86)</f>
        <v/>
      </c>
      <c r="AS344" s="157">
        <f>CHOOSE(MATCH(IF($U344="","Основний",$U344),{"Трафіковий","Основний","Маржинальний","Сезонний","Стратегічний"},0),Settings!$H$78,Settings!$H$80,Settings!$H$82,Settings!$H$84,Settings!$H$86)</f>
        <v/>
      </c>
      <c r="AT344" s="157">
        <f>CHOOSE(MATCH(IF($U344="","Основний",$U344),{"Трафіковий","Основний","Маржинальний","Сезонний","Стратегічний"},0),Settings!$I$78,Settings!$I$80,Settings!$I$82,Settings!$I$84,Settings!$I$86)</f>
        <v/>
      </c>
      <c r="AU344" s="171" t="n"/>
      <c r="AV344" t="n">
        <v>1.35</v>
      </c>
    </row>
    <row r="345">
      <c r="A345" s="33" t="inlineStr">
        <is>
          <t>NEW</t>
        </is>
      </c>
      <c r="B345" s="34" t="inlineStr">
        <is>
          <t>P54216</t>
        </is>
      </c>
      <c r="C345" s="34" t="inlineStr">
        <is>
          <t>SURGE PROTECTOR 6S 3M WHITE SCHUKO</t>
        </is>
      </c>
      <c r="D345" s="34" t="inlineStr">
        <is>
          <t>Пооджувачи та адаптери</t>
        </is>
      </c>
      <c r="E345" s="33" t="inlineStr">
        <is>
          <t>PC</t>
        </is>
      </c>
      <c r="F345" s="94" t="n">
        <v>8.542999999999999</v>
      </c>
      <c r="G345" s="35" t="n">
        <v>8544429090</v>
      </c>
      <c r="H345" s="31" t="n">
        <v>1.4</v>
      </c>
      <c r="I345" s="84">
        <f>IFERROR(F345*Settings!$B$2*H345*IF(AND(ISNUMBER(E345),E345&gt;1),E345,1),"")</f>
        <v/>
      </c>
      <c r="J345" s="32">
        <f>Settings!$B$66</f>
        <v/>
      </c>
      <c r="K345" s="95">
        <f>IFERROR(IF(T345="","",(T345*(1-AN345)*(1-Settings!$B$17)-I345)/(T345*(1-AN345)*(1-Settings!$B$17))),"")</f>
        <v/>
      </c>
      <c r="L345" s="101">
        <f>IFERROR(IF(T345="","",(T345*(1-AO345)*(1-Settings!$C$17)-I345)/(T345*(1-AO345)*(1-Settings!$C$17))),"")</f>
        <v/>
      </c>
      <c r="M345" s="101">
        <f>IFERROR(IF(T345="","",(T345*(1-AP345)*(1-Settings!$D$17)-I345)/(T345*(1-AP345)*(1-Settings!$D$17))),"")</f>
        <v/>
      </c>
      <c r="N345" s="101">
        <f>IFERROR(IF(T345="","",(T345*(1-AQ345)*(1-Settings!$F$17)-I345)/(T345*(1-AQ345)*(1-Settings!$F$17))),"")</f>
        <v/>
      </c>
      <c r="O345" s="101">
        <f>IFERROR(IF(T345="","",(T345*(1-AR345)*(1-Settings!$G$17)-I345)/(T345*(1-AR345)*(1-Settings!$G$17))),"")</f>
        <v/>
      </c>
      <c r="P345" s="101">
        <f>IFERROR(IF(T345="","",(T345*(1-AS345)*(1-Settings!$H$17)-I345)/(T345*(1-AS345)*(1-Settings!$H$17))),"")</f>
        <v/>
      </c>
      <c r="Q345" s="101">
        <f>IFERROR(IF(T345="","",(T345*(1-AT345)*(1-Settings!$I$68)*(1-Settings!$I$17)-I345)/(T345*(1-AT345)*(1-Settings!$I$68)*(1-Settings!$I$17))),"")</f>
        <v/>
      </c>
      <c r="R345" s="91">
        <f>IFERROR(IF(OR(I345="",Z345&gt;=1,Settings!$B$17&gt;=1,AN345&gt;=1),"",IF(MOD(ROUND(I345/(1-Z345)/(1-Settings!$B$17)/(1-AN345),0),10)=0,ROUND(I345/(1-Z345)/(1-Settings!$B$17)/(1-AN345),0)-1,IF(MOD(ROUND(I345/(1-Z345)/(1-Settings!$B$17)/(1-AN345),0),10)&lt;=5,FLOOR(ROUND(I345/(1-Z345)/(1-Settings!$B$17)/(1-AN345),0),10)+6,FLOOR(ROUND(I345/(1-Z345)/(1-Settings!$B$17)/(1-AN345),0),10)+9))),"")</f>
        <v/>
      </c>
      <c r="S345" s="174">
        <f>R345*0.95</f>
        <v/>
      </c>
      <c r="T345" s="91">
        <f>IF(S345&lt;&gt;"", IF(MOD(S345,10)=0,S345-1,IF(MOD(S345,10)&lt;=5,FLOOR(S345,10)+6,FLOOR(S345,10)+9)), R345)</f>
        <v/>
      </c>
      <c r="U345" s="87" t="inlineStr">
        <is>
          <t>Основний</t>
        </is>
      </c>
      <c r="V345" s="88" t="n"/>
      <c r="W345" s="88" t="n"/>
      <c r="X345" s="89">
        <f>IFERROR(IF(OR(V345="",W345="",T345=""),"", IF(T345&gt;W345,"Дорогий",IF(T345&lt;V345,"Дешевий","У ринку"))),"")</f>
        <v/>
      </c>
      <c r="Y345" s="90" t="n"/>
      <c r="Z345" s="104">
        <f>CHOOSE(MATCH(IF($U345="","Основний",$U345),{"Трафіковий","Основний","Маржинальний","Сезонний","Стратегічний"},0),0.16,0.19,0.24,0.23,0.28)</f>
        <v/>
      </c>
      <c r="AA345" s="104">
        <f>CHOOSE(MATCH(IF($U345="","Основний",$U345),{"Трафіковий","Основний","Маржинальний","Сезонний","Стратегічний"},0),0.18,0.21,0.26,0.25,0.3)</f>
        <v/>
      </c>
      <c r="AB345" s="104">
        <f>CHOOSE(MATCH(IF($U345="","Основний",$U345),{"Трафіковий","Основний","Маржинальний","Сезонний","Стратегічний"},0),0.19,0.22,0.28,0.26,0.32)</f>
        <v/>
      </c>
      <c r="AC345" s="104">
        <f>CHOOSE(MATCH(IF($U345="","Основний",$U345),{"Трафіковий","Основний","Маржинальний","Сезонний","Стратегічний"},0),0.17,0.2,0.25,0.24,0.28)</f>
        <v/>
      </c>
      <c r="AD345" s="104">
        <f>CHOOSE(MATCH(IF($U345="","Основний",$U345),{"Трафіковий","Основний","Маржинальний","Сезонний","Стратегічний"},0),0.18,0.21,0.26,0.25,0.3)</f>
        <v/>
      </c>
      <c r="AE345" s="104">
        <f>CHOOSE(MATCH(IF($U345="","Основний",$U345),{"Трафіковий","Основний","Маржинальний","Сезонний","Стратегічний"},0),0.18,0.2,0.28,0.27,0.32)</f>
        <v/>
      </c>
      <c r="AF345" s="104">
        <f>CHOOSE(MATCH(IF($U345="","Основний",$U345),{"Трафіковий","Основний","Маржинальний","Сезонний","Стратегічний"},0),0.15,0.175,0.22,0.21,0.25)</f>
        <v/>
      </c>
      <c r="AG345" s="104">
        <f>CHOOSE(MATCH(IF($U345="","Основний",$U345),{"Трафіковий","Основний","Маржинальний","Сезонний","Стратегічний"},0),0.13,0.16,0.21,0.2,0.25)</f>
        <v/>
      </c>
      <c r="AH345" s="104">
        <f>CHOOSE(MATCH(IF($U345="","Основний",$U345),{"Трафіковий","Основний","Маржинальний","Сезонний","Стратегічний"},0),0.15,0.18,0.23,0.22,0.27)</f>
        <v/>
      </c>
      <c r="AI345" s="104">
        <f>CHOOSE(MATCH(IF($U345="","Основний",$U345),{"Трафіковий","Основний","Маржинальний","Сезонний","Стратегічний"},0),0.16,0.19,0.25,0.23,0.29)</f>
        <v/>
      </c>
      <c r="AJ345" s="104">
        <f>CHOOSE(MATCH(IF($U345="","Основний",$U345),{"Трафіковий","Основний","Маржинальний","Сезонний","Стратегічний"},0),0.14,0.17,0.22,0.21,0.25)</f>
        <v/>
      </c>
      <c r="AK345" s="104">
        <f>CHOOSE(MATCH(IF($U345="","Основний",$U345),{"Трафіковий","Основний","Маржинальний","Сезонний","Стратегічний"},0),0.15,0.18,0.23,0.22,0.27)</f>
        <v/>
      </c>
      <c r="AL345" s="104">
        <f>CHOOSE(MATCH(IF($U345="","Основний",$U345),{"Трафіковий","Основний","Маржинальний","Сезонний","Стратегічний"},0),0.15,0.17,0.25,0.24,0.29)</f>
        <v/>
      </c>
      <c r="AM345" s="104">
        <f>CHOOSE(MATCH(IF($U345="","Основний",$U345),{"Трафіковий","Основний","Маржинальний","Сезонний","Стратегічний"},0),0.12,0.145,0.19,0.18,0.22)</f>
        <v/>
      </c>
      <c r="AN345" s="157">
        <f>CHOOSE(MATCH(IF($U345="","Основний",$U345),{"Трафіковий","Основний","Маржинальний","Сезонний","Стратегічний"},0),Settings!$B$78,Settings!$B$80,Settings!$B$82,Settings!$B$84,Settings!$B$86)</f>
        <v/>
      </c>
      <c r="AO345" s="157">
        <f>CHOOSE(MATCH(IF($U345="","Основний",$U345),{"Трафіковий","Основний","Маржинальний","Сезонний","Стратегічний"},0),Settings!$C$78,Settings!$C$80,Settings!$C$82,Settings!$C$84,Settings!$C$86)</f>
        <v/>
      </c>
      <c r="AP345" s="157">
        <f>CHOOSE(MATCH(IF($U345="","Основний",$U345),{"Трафіковий","Основний","Маржинальний","Сезонний","Стратегічний"},0),Settings!$D$78,Settings!$D$80,Settings!$D$82,Settings!$D$84,Settings!$D$86)</f>
        <v/>
      </c>
      <c r="AQ345" s="157">
        <f>CHOOSE(MATCH(IF($U345="","Основний",$U345),{"Трафіковий","Основний","Маржинальний","Сезонний","Стратегічний"},0),Settings!$F$78,Settings!$F$80,Settings!$F$82,Settings!$F$84,Settings!$F$86)</f>
        <v/>
      </c>
      <c r="AR345" s="157">
        <f>CHOOSE(MATCH(IF($U345="","Основний",$U345),{"Трафіковий","Основний","Маржинальний","Сезонний","Стратегічний"},0),Settings!$G$78,Settings!$G$80,Settings!$G$82,Settings!$G$84,Settings!$G$86)</f>
        <v/>
      </c>
      <c r="AS345" s="157">
        <f>CHOOSE(MATCH(IF($U345="","Основний",$U345),{"Трафіковий","Основний","Маржинальний","Сезонний","Стратегічний"},0),Settings!$H$78,Settings!$H$80,Settings!$H$82,Settings!$H$84,Settings!$H$86)</f>
        <v/>
      </c>
      <c r="AT345" s="157">
        <f>CHOOSE(MATCH(IF($U345="","Основний",$U345),{"Трафіковий","Основний","Маржинальний","Сезонний","Стратегічний"},0),Settings!$I$78,Settings!$I$80,Settings!$I$82,Settings!$I$84,Settings!$I$86)</f>
        <v/>
      </c>
      <c r="AU345" s="171" t="n"/>
      <c r="AV345" t="n">
        <v>1.35</v>
      </c>
    </row>
    <row r="346">
      <c r="A346" s="28" t="inlineStr">
        <is>
          <t>NEW</t>
        </is>
      </c>
      <c r="B346" s="29" t="inlineStr">
        <is>
          <t>P54219</t>
        </is>
      </c>
      <c r="C346" s="29" t="inlineStr">
        <is>
          <t>SURGE PROTECTOR 6S 3M BLACK SCHUKO</t>
        </is>
      </c>
      <c r="D346" s="29" t="inlineStr">
        <is>
          <t>Пооджувачи та адаптери</t>
        </is>
      </c>
      <c r="E346" s="28" t="inlineStr">
        <is>
          <t>PC</t>
        </is>
      </c>
      <c r="F346" s="93" t="n">
        <v>8.542999999999999</v>
      </c>
      <c r="G346" s="30" t="n">
        <v>8544429090</v>
      </c>
      <c r="H346" s="31" t="n">
        <v>1.4</v>
      </c>
      <c r="I346" s="84">
        <f>IFERROR(F346*Settings!$B$2*H346*IF(AND(ISNUMBER(E346),E346&gt;1),E346,1),"")</f>
        <v/>
      </c>
      <c r="J346" s="32">
        <f>Settings!$B$66</f>
        <v/>
      </c>
      <c r="K346" s="95">
        <f>IFERROR(IF(T346="","",(T346*(1-AN346)*(1-Settings!$B$17)-I346)/(T346*(1-AN346)*(1-Settings!$B$17))),"")</f>
        <v/>
      </c>
      <c r="L346" s="101">
        <f>IFERROR(IF(T346="","",(T346*(1-AO346)*(1-Settings!$C$17)-I346)/(T346*(1-AO346)*(1-Settings!$C$17))),"")</f>
        <v/>
      </c>
      <c r="M346" s="101">
        <f>IFERROR(IF(T346="","",(T346*(1-AP346)*(1-Settings!$D$17)-I346)/(T346*(1-AP346)*(1-Settings!$D$17))),"")</f>
        <v/>
      </c>
      <c r="N346" s="101">
        <f>IFERROR(IF(T346="","",(T346*(1-AQ346)*(1-Settings!$F$17)-I346)/(T346*(1-AQ346)*(1-Settings!$F$17))),"")</f>
        <v/>
      </c>
      <c r="O346" s="101">
        <f>IFERROR(IF(T346="","",(T346*(1-AR346)*(1-Settings!$G$17)-I346)/(T346*(1-AR346)*(1-Settings!$G$17))),"")</f>
        <v/>
      </c>
      <c r="P346" s="101">
        <f>IFERROR(IF(T346="","",(T346*(1-AS346)*(1-Settings!$H$17)-I346)/(T346*(1-AS346)*(1-Settings!$H$17))),"")</f>
        <v/>
      </c>
      <c r="Q346" s="101">
        <f>IFERROR(IF(T346="","",(T346*(1-AT346)*(1-Settings!$I$68)*(1-Settings!$I$17)-I346)/(T346*(1-AT346)*(1-Settings!$I$68)*(1-Settings!$I$17))),"")</f>
        <v/>
      </c>
      <c r="R346" s="91">
        <f>IFERROR(IF(OR(I346="",Z346&gt;=1,Settings!$B$17&gt;=1,AN346&gt;=1),"",IF(MOD(ROUND(I346/(1-Z346)/(1-Settings!$B$17)/(1-AN346),0),10)=0,ROUND(I346/(1-Z346)/(1-Settings!$B$17)/(1-AN346),0)-1,IF(MOD(ROUND(I346/(1-Z346)/(1-Settings!$B$17)/(1-AN346),0),10)&lt;=5,FLOOR(ROUND(I346/(1-Z346)/(1-Settings!$B$17)/(1-AN346),0),10)+6,FLOOR(ROUND(I346/(1-Z346)/(1-Settings!$B$17)/(1-AN346),0),10)+9))),"")</f>
        <v/>
      </c>
      <c r="S346" s="174">
        <f>R346*0.95</f>
        <v/>
      </c>
      <c r="T346" s="91">
        <f>IF(S346&lt;&gt;"", IF(MOD(S346,10)=0,S346-1,IF(MOD(S346,10)&lt;=5,FLOOR(S346,10)+6,FLOOR(S346,10)+9)), R346)</f>
        <v/>
      </c>
      <c r="U346" s="87" t="inlineStr">
        <is>
          <t>Основний</t>
        </is>
      </c>
      <c r="V346" s="88" t="n"/>
      <c r="W346" s="88" t="n"/>
      <c r="X346" s="89">
        <f>IFERROR(IF(OR(V346="",W346="",T346=""),"", IF(T346&gt;W346,"Дорогий",IF(T346&lt;V346,"Дешевий","У ринку"))),"")</f>
        <v/>
      </c>
      <c r="Y346" s="90" t="n"/>
      <c r="Z346" s="104">
        <f>CHOOSE(MATCH(IF($U346="","Основний",$U346),{"Трафіковий","Основний","Маржинальний","Сезонний","Стратегічний"},0),0.16,0.19,0.24,0.23,0.28)</f>
        <v/>
      </c>
      <c r="AA346" s="104">
        <f>CHOOSE(MATCH(IF($U346="","Основний",$U346),{"Трафіковий","Основний","Маржинальний","Сезонний","Стратегічний"},0),0.18,0.21,0.26,0.25,0.3)</f>
        <v/>
      </c>
      <c r="AB346" s="104">
        <f>CHOOSE(MATCH(IF($U346="","Основний",$U346),{"Трафіковий","Основний","Маржинальний","Сезонний","Стратегічний"},0),0.19,0.22,0.28,0.26,0.32)</f>
        <v/>
      </c>
      <c r="AC346" s="104">
        <f>CHOOSE(MATCH(IF($U346="","Основний",$U346),{"Трафіковий","Основний","Маржинальний","Сезонний","Стратегічний"},0),0.17,0.2,0.25,0.24,0.28)</f>
        <v/>
      </c>
      <c r="AD346" s="104">
        <f>CHOOSE(MATCH(IF($U346="","Основний",$U346),{"Трафіковий","Основний","Маржинальний","Сезонний","Стратегічний"},0),0.18,0.21,0.26,0.25,0.3)</f>
        <v/>
      </c>
      <c r="AE346" s="104">
        <f>CHOOSE(MATCH(IF($U346="","Основний",$U346),{"Трафіковий","Основний","Маржинальний","Сезонний","Стратегічний"},0),0.18,0.2,0.28,0.27,0.32)</f>
        <v/>
      </c>
      <c r="AF346" s="104">
        <f>CHOOSE(MATCH(IF($U346="","Основний",$U346),{"Трафіковий","Основний","Маржинальний","Сезонний","Стратегічний"},0),0.15,0.175,0.22,0.21,0.25)</f>
        <v/>
      </c>
      <c r="AG346" s="104">
        <f>CHOOSE(MATCH(IF($U346="","Основний",$U346),{"Трафіковий","Основний","Маржинальний","Сезонний","Стратегічний"},0),0.13,0.16,0.21,0.2,0.25)</f>
        <v/>
      </c>
      <c r="AH346" s="104">
        <f>CHOOSE(MATCH(IF($U346="","Основний",$U346),{"Трафіковий","Основний","Маржинальний","Сезонний","Стратегічний"},0),0.15,0.18,0.23,0.22,0.27)</f>
        <v/>
      </c>
      <c r="AI346" s="104">
        <f>CHOOSE(MATCH(IF($U346="","Основний",$U346),{"Трафіковий","Основний","Маржинальний","Сезонний","Стратегічний"},0),0.16,0.19,0.25,0.23,0.29)</f>
        <v/>
      </c>
      <c r="AJ346" s="104">
        <f>CHOOSE(MATCH(IF($U346="","Основний",$U346),{"Трафіковий","Основний","Маржинальний","Сезонний","Стратегічний"},0),0.14,0.17,0.22,0.21,0.25)</f>
        <v/>
      </c>
      <c r="AK346" s="104">
        <f>CHOOSE(MATCH(IF($U346="","Основний",$U346),{"Трафіковий","Основний","Маржинальний","Сезонний","Стратегічний"},0),0.15,0.18,0.23,0.22,0.27)</f>
        <v/>
      </c>
      <c r="AL346" s="104">
        <f>CHOOSE(MATCH(IF($U346="","Основний",$U346),{"Трафіковий","Основний","Маржинальний","Сезонний","Стратегічний"},0),0.15,0.17,0.25,0.24,0.29)</f>
        <v/>
      </c>
      <c r="AM346" s="104">
        <f>CHOOSE(MATCH(IF($U346="","Основний",$U346),{"Трафіковий","Основний","Маржинальний","Сезонний","Стратегічний"},0),0.12,0.145,0.19,0.18,0.22)</f>
        <v/>
      </c>
      <c r="AN346" s="157">
        <f>CHOOSE(MATCH(IF($U346="","Основний",$U346),{"Трафіковий","Основний","Маржинальний","Сезонний","Стратегічний"},0),Settings!$B$78,Settings!$B$80,Settings!$B$82,Settings!$B$84,Settings!$B$86)</f>
        <v/>
      </c>
      <c r="AO346" s="157">
        <f>CHOOSE(MATCH(IF($U346="","Основний",$U346),{"Трафіковий","Основний","Маржинальний","Сезонний","Стратегічний"},0),Settings!$C$78,Settings!$C$80,Settings!$C$82,Settings!$C$84,Settings!$C$86)</f>
        <v/>
      </c>
      <c r="AP346" s="157">
        <f>CHOOSE(MATCH(IF($U346="","Основний",$U346),{"Трафіковий","Основний","Маржинальний","Сезонний","Стратегічний"},0),Settings!$D$78,Settings!$D$80,Settings!$D$82,Settings!$D$84,Settings!$D$86)</f>
        <v/>
      </c>
      <c r="AQ346" s="157">
        <f>CHOOSE(MATCH(IF($U346="","Основний",$U346),{"Трафіковий","Основний","Маржинальний","Сезонний","Стратегічний"},0),Settings!$F$78,Settings!$F$80,Settings!$F$82,Settings!$F$84,Settings!$F$86)</f>
        <v/>
      </c>
      <c r="AR346" s="157">
        <f>CHOOSE(MATCH(IF($U346="","Основний",$U346),{"Трафіковий","Основний","Маржинальний","Сезонний","Стратегічний"},0),Settings!$G$78,Settings!$G$80,Settings!$G$82,Settings!$G$84,Settings!$G$86)</f>
        <v/>
      </c>
      <c r="AS346" s="157">
        <f>CHOOSE(MATCH(IF($U346="","Основний",$U346),{"Трафіковий","Основний","Маржинальний","Сезонний","Стратегічний"},0),Settings!$H$78,Settings!$H$80,Settings!$H$82,Settings!$H$84,Settings!$H$86)</f>
        <v/>
      </c>
      <c r="AT346" s="157">
        <f>CHOOSE(MATCH(IF($U346="","Основний",$U346),{"Трафіковий","Основний","Маржинальний","Сезонний","Стратегічний"},0),Settings!$I$78,Settings!$I$80,Settings!$I$82,Settings!$I$84,Settings!$I$86)</f>
        <v/>
      </c>
      <c r="AU346" s="171" t="n"/>
      <c r="AV346" t="n">
        <v>1.35</v>
      </c>
    </row>
    <row r="347">
      <c r="A347" s="33" t="inlineStr">
        <is>
          <t>NEW</t>
        </is>
      </c>
      <c r="B347" s="34" t="inlineStr">
        <is>
          <t>P54217</t>
        </is>
      </c>
      <c r="C347" s="34" t="inlineStr">
        <is>
          <t>SURGE PROTECTOR 6S 5M WHITE SCHUKO</t>
        </is>
      </c>
      <c r="D347" s="34" t="inlineStr">
        <is>
          <t>Пооджувачи та адаптери</t>
        </is>
      </c>
      <c r="E347" s="33" t="inlineStr">
        <is>
          <t>PC</t>
        </is>
      </c>
      <c r="F347" s="94" t="n">
        <v>10.623</v>
      </c>
      <c r="G347" s="35" t="n">
        <v>8544429090</v>
      </c>
      <c r="H347" s="31" t="n">
        <v>1.4</v>
      </c>
      <c r="I347" s="84">
        <f>IFERROR(F347*Settings!$B$2*H347*IF(AND(ISNUMBER(E347),E347&gt;1),E347,1),"")</f>
        <v/>
      </c>
      <c r="J347" s="32">
        <f>Settings!$B$66</f>
        <v/>
      </c>
      <c r="K347" s="95">
        <f>IFERROR(IF(T347="","",(T347*(1-AN347)*(1-Settings!$B$17)-I347)/(T347*(1-AN347)*(1-Settings!$B$17))),"")</f>
        <v/>
      </c>
      <c r="L347" s="101">
        <f>IFERROR(IF(T347="","",(T347*(1-AO347)*(1-Settings!$C$17)-I347)/(T347*(1-AO347)*(1-Settings!$C$17))),"")</f>
        <v/>
      </c>
      <c r="M347" s="101">
        <f>IFERROR(IF(T347="","",(T347*(1-AP347)*(1-Settings!$D$17)-I347)/(T347*(1-AP347)*(1-Settings!$D$17))),"")</f>
        <v/>
      </c>
      <c r="N347" s="101">
        <f>IFERROR(IF(T347="","",(T347*(1-AQ347)*(1-Settings!$F$17)-I347)/(T347*(1-AQ347)*(1-Settings!$F$17))),"")</f>
        <v/>
      </c>
      <c r="O347" s="101">
        <f>IFERROR(IF(T347="","",(T347*(1-AR347)*(1-Settings!$G$17)-I347)/(T347*(1-AR347)*(1-Settings!$G$17))),"")</f>
        <v/>
      </c>
      <c r="P347" s="101">
        <f>IFERROR(IF(T347="","",(T347*(1-AS347)*(1-Settings!$H$17)-I347)/(T347*(1-AS347)*(1-Settings!$H$17))),"")</f>
        <v/>
      </c>
      <c r="Q347" s="101">
        <f>IFERROR(IF(T347="","",(T347*(1-AT347)*(1-Settings!$I$68)*(1-Settings!$I$17)-I347)/(T347*(1-AT347)*(1-Settings!$I$68)*(1-Settings!$I$17))),"")</f>
        <v/>
      </c>
      <c r="R347" s="91">
        <f>IFERROR(IF(OR(I347="",Z347&gt;=1,Settings!$B$17&gt;=1,AN347&gt;=1),"",IF(MOD(ROUND(I347/(1-Z347)/(1-Settings!$B$17)/(1-AN347),0),10)=0,ROUND(I347/(1-Z347)/(1-Settings!$B$17)/(1-AN347),0)-1,IF(MOD(ROUND(I347/(1-Z347)/(1-Settings!$B$17)/(1-AN347),0),10)&lt;=5,FLOOR(ROUND(I347/(1-Z347)/(1-Settings!$B$17)/(1-AN347),0),10)+6,FLOOR(ROUND(I347/(1-Z347)/(1-Settings!$B$17)/(1-AN347),0),10)+9))),"")</f>
        <v/>
      </c>
      <c r="S347" s="174">
        <f>R347*0.95</f>
        <v/>
      </c>
      <c r="T347" s="91">
        <f>IF(S347&lt;&gt;"", IF(MOD(S347,10)=0,S347-1,IF(MOD(S347,10)&lt;=5,FLOOR(S347,10)+6,FLOOR(S347,10)+9)), R347)</f>
        <v/>
      </c>
      <c r="U347" s="87" t="inlineStr">
        <is>
          <t>Основний</t>
        </is>
      </c>
      <c r="V347" s="88" t="n"/>
      <c r="W347" s="88" t="n"/>
      <c r="X347" s="89">
        <f>IFERROR(IF(OR(V347="",W347="",T347=""),"", IF(T347&gt;W347,"Дорогий",IF(T347&lt;V347,"Дешевий","У ринку"))),"")</f>
        <v/>
      </c>
      <c r="Y347" s="90" t="n"/>
      <c r="Z347" s="104">
        <f>CHOOSE(MATCH(IF($U347="","Основний",$U347),{"Трафіковий","Основний","Маржинальний","Сезонний","Стратегічний"},0),0.16,0.19,0.24,0.23,0.28)</f>
        <v/>
      </c>
      <c r="AA347" s="104">
        <f>CHOOSE(MATCH(IF($U347="","Основний",$U347),{"Трафіковий","Основний","Маржинальний","Сезонний","Стратегічний"},0),0.18,0.21,0.26,0.25,0.3)</f>
        <v/>
      </c>
      <c r="AB347" s="104">
        <f>CHOOSE(MATCH(IF($U347="","Основний",$U347),{"Трафіковий","Основний","Маржинальний","Сезонний","Стратегічний"},0),0.19,0.22,0.28,0.26,0.32)</f>
        <v/>
      </c>
      <c r="AC347" s="104">
        <f>CHOOSE(MATCH(IF($U347="","Основний",$U347),{"Трафіковий","Основний","Маржинальний","Сезонний","Стратегічний"},0),0.17,0.2,0.25,0.24,0.28)</f>
        <v/>
      </c>
      <c r="AD347" s="104">
        <f>CHOOSE(MATCH(IF($U347="","Основний",$U347),{"Трафіковий","Основний","Маржинальний","Сезонний","Стратегічний"},0),0.18,0.21,0.26,0.25,0.3)</f>
        <v/>
      </c>
      <c r="AE347" s="104">
        <f>CHOOSE(MATCH(IF($U347="","Основний",$U347),{"Трафіковий","Основний","Маржинальний","Сезонний","Стратегічний"},0),0.18,0.2,0.28,0.27,0.32)</f>
        <v/>
      </c>
      <c r="AF347" s="104">
        <f>CHOOSE(MATCH(IF($U347="","Основний",$U347),{"Трафіковий","Основний","Маржинальний","Сезонний","Стратегічний"},0),0.15,0.175,0.22,0.21,0.25)</f>
        <v/>
      </c>
      <c r="AG347" s="104">
        <f>CHOOSE(MATCH(IF($U347="","Основний",$U347),{"Трафіковий","Основний","Маржинальний","Сезонний","Стратегічний"},0),0.13,0.16,0.21,0.2,0.25)</f>
        <v/>
      </c>
      <c r="AH347" s="104">
        <f>CHOOSE(MATCH(IF($U347="","Основний",$U347),{"Трафіковий","Основний","Маржинальний","Сезонний","Стратегічний"},0),0.15,0.18,0.23,0.22,0.27)</f>
        <v/>
      </c>
      <c r="AI347" s="104">
        <f>CHOOSE(MATCH(IF($U347="","Основний",$U347),{"Трафіковий","Основний","Маржинальний","Сезонний","Стратегічний"},0),0.16,0.19,0.25,0.23,0.29)</f>
        <v/>
      </c>
      <c r="AJ347" s="104">
        <f>CHOOSE(MATCH(IF($U347="","Основний",$U347),{"Трафіковий","Основний","Маржинальний","Сезонний","Стратегічний"},0),0.14,0.17,0.22,0.21,0.25)</f>
        <v/>
      </c>
      <c r="AK347" s="104">
        <f>CHOOSE(MATCH(IF($U347="","Основний",$U347),{"Трафіковий","Основний","Маржинальний","Сезонний","Стратегічний"},0),0.15,0.18,0.23,0.22,0.27)</f>
        <v/>
      </c>
      <c r="AL347" s="104">
        <f>CHOOSE(MATCH(IF($U347="","Основний",$U347),{"Трафіковий","Основний","Маржинальний","Сезонний","Стратегічний"},0),0.15,0.17,0.25,0.24,0.29)</f>
        <v/>
      </c>
      <c r="AM347" s="104">
        <f>CHOOSE(MATCH(IF($U347="","Основний",$U347),{"Трафіковий","Основний","Маржинальний","Сезонний","Стратегічний"},0),0.12,0.145,0.19,0.18,0.22)</f>
        <v/>
      </c>
      <c r="AN347" s="157">
        <f>CHOOSE(MATCH(IF($U347="","Основний",$U347),{"Трафіковий","Основний","Маржинальний","Сезонний","Стратегічний"},0),Settings!$B$78,Settings!$B$80,Settings!$B$82,Settings!$B$84,Settings!$B$86)</f>
        <v/>
      </c>
      <c r="AO347" s="157">
        <f>CHOOSE(MATCH(IF($U347="","Основний",$U347),{"Трафіковий","Основний","Маржинальний","Сезонний","Стратегічний"},0),Settings!$C$78,Settings!$C$80,Settings!$C$82,Settings!$C$84,Settings!$C$86)</f>
        <v/>
      </c>
      <c r="AP347" s="157">
        <f>CHOOSE(MATCH(IF($U347="","Основний",$U347),{"Трафіковий","Основний","Маржинальний","Сезонний","Стратегічний"},0),Settings!$D$78,Settings!$D$80,Settings!$D$82,Settings!$D$84,Settings!$D$86)</f>
        <v/>
      </c>
      <c r="AQ347" s="157">
        <f>CHOOSE(MATCH(IF($U347="","Основний",$U347),{"Трафіковий","Основний","Маржинальний","Сезонний","Стратегічний"},0),Settings!$F$78,Settings!$F$80,Settings!$F$82,Settings!$F$84,Settings!$F$86)</f>
        <v/>
      </c>
      <c r="AR347" s="157">
        <f>CHOOSE(MATCH(IF($U347="","Основний",$U347),{"Трафіковий","Основний","Маржинальний","Сезонний","Стратегічний"},0),Settings!$G$78,Settings!$G$80,Settings!$G$82,Settings!$G$84,Settings!$G$86)</f>
        <v/>
      </c>
      <c r="AS347" s="157">
        <f>CHOOSE(MATCH(IF($U347="","Основний",$U347),{"Трафіковий","Основний","Маржинальний","Сезонний","Стратегічний"},0),Settings!$H$78,Settings!$H$80,Settings!$H$82,Settings!$H$84,Settings!$H$86)</f>
        <v/>
      </c>
      <c r="AT347" s="157">
        <f>CHOOSE(MATCH(IF($U347="","Основний",$U347),{"Трафіковий","Основний","Маржинальний","Сезонний","Стратегічний"},0),Settings!$I$78,Settings!$I$80,Settings!$I$82,Settings!$I$84,Settings!$I$86)</f>
        <v/>
      </c>
      <c r="AU347" s="171" t="n"/>
      <c r="AV347" t="n">
        <v>1.35</v>
      </c>
    </row>
    <row r="348">
      <c r="A348" s="28" t="n"/>
      <c r="B348" s="29" t="inlineStr">
        <is>
          <t>P09225</t>
        </is>
      </c>
      <c r="C348" s="29" t="inlineStr">
        <is>
          <t>CABLE REEL 25M 1,5MM PVC SCH.</t>
        </is>
      </c>
      <c r="D348" s="29" t="inlineStr">
        <is>
          <t>Пооджувачи та адаптери</t>
        </is>
      </c>
      <c r="E348" s="28" t="inlineStr">
        <is>
          <t>PC</t>
        </is>
      </c>
      <c r="F348" s="93" t="n">
        <v>24.232</v>
      </c>
      <c r="G348" s="30" t="n">
        <v>8544429090</v>
      </c>
      <c r="H348" s="31" t="n">
        <v>1.4</v>
      </c>
      <c r="I348" s="84">
        <f>IFERROR(F348*Settings!$B$2*H348*IF(AND(ISNUMBER(E348),E348&gt;1),E348,1),"")</f>
        <v/>
      </c>
      <c r="J348" s="32">
        <f>Settings!$B$66</f>
        <v/>
      </c>
      <c r="K348" s="95">
        <f>IFERROR(IF(T348="","",(T348*(1-AN348)*(1-Settings!$B$17)-I348)/(T348*(1-AN348)*(1-Settings!$B$17))),"")</f>
        <v/>
      </c>
      <c r="L348" s="101">
        <f>IFERROR(IF(T348="","",(T348*(1-AO348)*(1-Settings!$C$17)-I348)/(T348*(1-AO348)*(1-Settings!$C$17))),"")</f>
        <v/>
      </c>
      <c r="M348" s="101">
        <f>IFERROR(IF(T348="","",(T348*(1-AP348)*(1-Settings!$D$17)-I348)/(T348*(1-AP348)*(1-Settings!$D$17))),"")</f>
        <v/>
      </c>
      <c r="N348" s="101">
        <f>IFERROR(IF(T348="","",(T348*(1-AQ348)*(1-Settings!$F$17)-I348)/(T348*(1-AQ348)*(1-Settings!$F$17))),"")</f>
        <v/>
      </c>
      <c r="O348" s="101">
        <f>IFERROR(IF(T348="","",(T348*(1-AR348)*(1-Settings!$G$17)-I348)/(T348*(1-AR348)*(1-Settings!$G$17))),"")</f>
        <v/>
      </c>
      <c r="P348" s="101">
        <f>IFERROR(IF(T348="","",(T348*(1-AS348)*(1-Settings!$H$17)-I348)/(T348*(1-AS348)*(1-Settings!$H$17))),"")</f>
        <v/>
      </c>
      <c r="Q348" s="101">
        <f>IFERROR(IF(T348="","",(T348*(1-AT348)*(1-Settings!$I$68)*(1-Settings!$I$17)-I348)/(T348*(1-AT348)*(1-Settings!$I$68)*(1-Settings!$I$17))),"")</f>
        <v/>
      </c>
      <c r="R348" s="91">
        <f>IFERROR(IF(OR(I348="",Z348&gt;=1,Settings!$B$17&gt;=1,AN348&gt;=1),"",IF(MOD(ROUND(I348/(1-Z348)/(1-Settings!$B$17)/(1-AN348),0),10)=0,ROUND(I348/(1-Z348)/(1-Settings!$B$17)/(1-AN348),0)-1,IF(MOD(ROUND(I348/(1-Z348)/(1-Settings!$B$17)/(1-AN348),0),10)&lt;=5,FLOOR(ROUND(I348/(1-Z348)/(1-Settings!$B$17)/(1-AN348),0),10)+6,FLOOR(ROUND(I348/(1-Z348)/(1-Settings!$B$17)/(1-AN348),0),10)+9))),"")</f>
        <v/>
      </c>
      <c r="S348" s="92" t="n">
        <v>3500</v>
      </c>
      <c r="T348" s="91">
        <f>IF(S348&lt;&gt;"", IF(MOD(S348,10)=0,S348-1,IF(MOD(S348,10)&lt;=5,FLOOR(S348,10)+6,FLOOR(S348,10)+9)), R348)</f>
        <v/>
      </c>
      <c r="U348" s="87" t="inlineStr">
        <is>
          <t>Основний</t>
        </is>
      </c>
      <c r="V348" s="88" t="n"/>
      <c r="W348" s="88" t="n"/>
      <c r="X348" s="89">
        <f>IFERROR(IF(OR(V348="",W348="",T348=""),"", IF(T348&gt;W348,"Дорогий",IF(T348&lt;V348,"Дешевий","У ринку"))),"")</f>
        <v/>
      </c>
      <c r="Y348" s="90" t="n"/>
      <c r="Z348" s="104">
        <f>CHOOSE(MATCH(IF($U348="","Основний",$U348),{"Трафіковий","Основний","Маржинальний","Сезонний","Стратегічний"},0),0.16,0.19,0.24,0.23,0.28)</f>
        <v/>
      </c>
      <c r="AA348" s="104">
        <f>CHOOSE(MATCH(IF($U348="","Основний",$U348),{"Трафіковий","Основний","Маржинальний","Сезонний","Стратегічний"},0),0.18,0.21,0.26,0.25,0.3)</f>
        <v/>
      </c>
      <c r="AB348" s="104">
        <f>CHOOSE(MATCH(IF($U348="","Основний",$U348),{"Трафіковий","Основний","Маржинальний","Сезонний","Стратегічний"},0),0.19,0.22,0.28,0.26,0.32)</f>
        <v/>
      </c>
      <c r="AC348" s="104">
        <f>CHOOSE(MATCH(IF($U348="","Основний",$U348),{"Трафіковий","Основний","Маржинальний","Сезонний","Стратегічний"},0),0.17,0.2,0.25,0.24,0.28)</f>
        <v/>
      </c>
      <c r="AD348" s="104">
        <f>CHOOSE(MATCH(IF($U348="","Основний",$U348),{"Трафіковий","Основний","Маржинальний","Сезонний","Стратегічний"},0),0.18,0.21,0.26,0.25,0.3)</f>
        <v/>
      </c>
      <c r="AE348" s="104">
        <f>CHOOSE(MATCH(IF($U348="","Основний",$U348),{"Трафіковий","Основний","Маржинальний","Сезонний","Стратегічний"},0),0.18,0.2,0.28,0.27,0.32)</f>
        <v/>
      </c>
      <c r="AF348" s="104">
        <f>CHOOSE(MATCH(IF($U348="","Основний",$U348),{"Трафіковий","Основний","Маржинальний","Сезонний","Стратегічний"},0),0.15,0.175,0.22,0.21,0.25)</f>
        <v/>
      </c>
      <c r="AG348" s="104">
        <f>CHOOSE(MATCH(IF($U348="","Основний",$U348),{"Трафіковий","Основний","Маржинальний","Сезонний","Стратегічний"},0),0.13,0.16,0.21,0.2,0.25)</f>
        <v/>
      </c>
      <c r="AH348" s="104">
        <f>CHOOSE(MATCH(IF($U348="","Основний",$U348),{"Трафіковий","Основний","Маржинальний","Сезонний","Стратегічний"},0),0.15,0.18,0.23,0.22,0.27)</f>
        <v/>
      </c>
      <c r="AI348" s="104">
        <f>CHOOSE(MATCH(IF($U348="","Основний",$U348),{"Трафіковий","Основний","Маржинальний","Сезонний","Стратегічний"},0),0.16,0.19,0.25,0.23,0.29)</f>
        <v/>
      </c>
      <c r="AJ348" s="104">
        <f>CHOOSE(MATCH(IF($U348="","Основний",$U348),{"Трафіковий","Основний","Маржинальний","Сезонний","Стратегічний"},0),0.14,0.17,0.22,0.21,0.25)</f>
        <v/>
      </c>
      <c r="AK348" s="104">
        <f>CHOOSE(MATCH(IF($U348="","Основний",$U348),{"Трафіковий","Основний","Маржинальний","Сезонний","Стратегічний"},0),0.15,0.18,0.23,0.22,0.27)</f>
        <v/>
      </c>
      <c r="AL348" s="104">
        <f>CHOOSE(MATCH(IF($U348="","Основний",$U348),{"Трафіковий","Основний","Маржинальний","Сезонний","Стратегічний"},0),0.15,0.17,0.25,0.24,0.29)</f>
        <v/>
      </c>
      <c r="AM348" s="104">
        <f>CHOOSE(MATCH(IF($U348="","Основний",$U348),{"Трафіковий","Основний","Маржинальний","Сезонний","Стратегічний"},0),0.12,0.145,0.19,0.18,0.22)</f>
        <v/>
      </c>
      <c r="AN348" s="157">
        <f>CHOOSE(MATCH(IF($U348="","Основний",$U348),{"Трафіковий","Основний","Маржинальний","Сезонний","Стратегічний"},0),Settings!$B$78,Settings!$B$80,Settings!$B$82,Settings!$B$84,Settings!$B$86)</f>
        <v/>
      </c>
      <c r="AO348" s="157">
        <f>CHOOSE(MATCH(IF($U348="","Основний",$U348),{"Трафіковий","Основний","Маржинальний","Сезонний","Стратегічний"},0),Settings!$C$78,Settings!$C$80,Settings!$C$82,Settings!$C$84,Settings!$C$86)</f>
        <v/>
      </c>
      <c r="AP348" s="157">
        <f>CHOOSE(MATCH(IF($U348="","Основний",$U348),{"Трафіковий","Основний","Маржинальний","Сезонний","Стратегічний"},0),Settings!$D$78,Settings!$D$80,Settings!$D$82,Settings!$D$84,Settings!$D$86)</f>
        <v/>
      </c>
      <c r="AQ348" s="157">
        <f>CHOOSE(MATCH(IF($U348="","Основний",$U348),{"Трафіковий","Основний","Маржинальний","Сезонний","Стратегічний"},0),Settings!$F$78,Settings!$F$80,Settings!$F$82,Settings!$F$84,Settings!$F$86)</f>
        <v/>
      </c>
      <c r="AR348" s="157">
        <f>CHOOSE(MATCH(IF($U348="","Основний",$U348),{"Трафіковий","Основний","Маржинальний","Сезонний","Стратегічний"},0),Settings!$G$78,Settings!$G$80,Settings!$G$82,Settings!$G$84,Settings!$G$86)</f>
        <v/>
      </c>
      <c r="AS348" s="157">
        <f>CHOOSE(MATCH(IF($U348="","Основний",$U348),{"Трафіковий","Основний","Маржинальний","Сезонний","Стратегічний"},0),Settings!$H$78,Settings!$H$80,Settings!$H$82,Settings!$H$84,Settings!$H$86)</f>
        <v/>
      </c>
      <c r="AT348" s="157">
        <f>CHOOSE(MATCH(IF($U348="","Основний",$U348),{"Трафіковий","Основний","Маржинальний","Сезонний","Стратегічний"},0),Settings!$I$78,Settings!$I$80,Settings!$I$82,Settings!$I$84,Settings!$I$86)</f>
        <v/>
      </c>
      <c r="AU348" s="171" t="n"/>
      <c r="AV348" t="n">
        <v>1.35</v>
      </c>
    </row>
    <row r="349">
      <c r="A349" s="33" t="n"/>
      <c r="B349" s="34" t="inlineStr">
        <is>
          <t>P092251</t>
        </is>
      </c>
      <c r="C349" s="34" t="inlineStr">
        <is>
          <t>CAB. REEL 4S 25M 1,5MM PVC SW</t>
        </is>
      </c>
      <c r="D349" s="34" t="inlineStr">
        <is>
          <t>Пооджувачи та адаптери</t>
        </is>
      </c>
      <c r="E349" s="33" t="inlineStr">
        <is>
          <t>PC</t>
        </is>
      </c>
      <c r="F349" s="94" t="n">
        <v>28.756</v>
      </c>
      <c r="G349" s="35" t="n">
        <v>8544429090</v>
      </c>
      <c r="H349" s="31" t="n">
        <v>1.4</v>
      </c>
      <c r="I349" s="84">
        <f>IFERROR(F349*Settings!$B$2*H349*IF(AND(ISNUMBER(E349),E349&gt;1),E349,1),"")</f>
        <v/>
      </c>
      <c r="J349" s="32">
        <f>Settings!$B$66</f>
        <v/>
      </c>
      <c r="K349" s="95">
        <f>IFERROR(IF(T349="","",(T349*(1-AN349)*(1-Settings!$B$17)-I349)/(T349*(1-AN349)*(1-Settings!$B$17))),"")</f>
        <v/>
      </c>
      <c r="L349" s="101">
        <f>IFERROR(IF(T349="","",(T349*(1-AO349)*(1-Settings!$C$17)-I349)/(T349*(1-AO349)*(1-Settings!$C$17))),"")</f>
        <v/>
      </c>
      <c r="M349" s="101">
        <f>IFERROR(IF(T349="","",(T349*(1-AP349)*(1-Settings!$D$17)-I349)/(T349*(1-AP349)*(1-Settings!$D$17))),"")</f>
        <v/>
      </c>
      <c r="N349" s="101">
        <f>IFERROR(IF(T349="","",(T349*(1-AQ349)*(1-Settings!$F$17)-I349)/(T349*(1-AQ349)*(1-Settings!$F$17))),"")</f>
        <v/>
      </c>
      <c r="O349" s="101">
        <f>IFERROR(IF(T349="","",(T349*(1-AR349)*(1-Settings!$G$17)-I349)/(T349*(1-AR349)*(1-Settings!$G$17))),"")</f>
        <v/>
      </c>
      <c r="P349" s="101">
        <f>IFERROR(IF(T349="","",(T349*(1-AS349)*(1-Settings!$H$17)-I349)/(T349*(1-AS349)*(1-Settings!$H$17))),"")</f>
        <v/>
      </c>
      <c r="Q349" s="101">
        <f>IFERROR(IF(T349="","",(T349*(1-AT349)*(1-Settings!$I$68)*(1-Settings!$I$17)-I349)/(T349*(1-AT349)*(1-Settings!$I$68)*(1-Settings!$I$17))),"")</f>
        <v/>
      </c>
      <c r="R349" s="91">
        <f>IFERROR(IF(OR(I349="",Z349&gt;=1,Settings!$B$17&gt;=1,AN349&gt;=1),"",IF(MOD(ROUND(I349/(1-Z349)/(1-Settings!$B$17)/(1-AN349),0),10)=0,ROUND(I349/(1-Z349)/(1-Settings!$B$17)/(1-AN349),0)-1,IF(MOD(ROUND(I349/(1-Z349)/(1-Settings!$B$17)/(1-AN349),0),10)&lt;=5,FLOOR(ROUND(I349/(1-Z349)/(1-Settings!$B$17)/(1-AN349),0),10)+6,FLOOR(ROUND(I349/(1-Z349)/(1-Settings!$B$17)/(1-AN349),0),10)+9))),"")</f>
        <v/>
      </c>
      <c r="S349" s="174" t="n"/>
      <c r="T349" s="91">
        <f>IF(S349&lt;&gt;"", IF(MOD(S349,10)=0,S349-1,IF(MOD(S349,10)&lt;=5,FLOOR(S349,10)+6,FLOOR(S349,10)+9)), R349)</f>
        <v/>
      </c>
      <c r="U349" s="87" t="inlineStr">
        <is>
          <t>Трафіковий</t>
        </is>
      </c>
      <c r="V349" s="88" t="n"/>
      <c r="W349" s="88" t="n"/>
      <c r="X349" s="89">
        <f>IFERROR(IF(OR(V349="",W349="",T349=""),"", IF(T349&gt;W349,"Дорогий",IF(T349&lt;V349,"Дешевий","У ринку"))),"")</f>
        <v/>
      </c>
      <c r="Y349" s="90" t="n"/>
      <c r="Z349" s="104">
        <f>CHOOSE(MATCH(IF($U349="","Основний",$U349),{"Трафіковий","Основний","Маржинальний","Сезонний","Стратегічний"},0),0.16,0.19,0.24,0.23,0.28)</f>
        <v/>
      </c>
      <c r="AA349" s="104">
        <f>CHOOSE(MATCH(IF($U349="","Основний",$U349),{"Трафіковий","Основний","Маржинальний","Сезонний","Стратегічний"},0),0.18,0.21,0.26,0.25,0.3)</f>
        <v/>
      </c>
      <c r="AB349" s="104">
        <f>CHOOSE(MATCH(IF($U349="","Основний",$U349),{"Трафіковий","Основний","Маржинальний","Сезонний","Стратегічний"},0),0.19,0.22,0.28,0.26,0.32)</f>
        <v/>
      </c>
      <c r="AC349" s="104">
        <f>CHOOSE(MATCH(IF($U349="","Основний",$U349),{"Трафіковий","Основний","Маржинальний","Сезонний","Стратегічний"},0),0.17,0.2,0.25,0.24,0.28)</f>
        <v/>
      </c>
      <c r="AD349" s="104">
        <f>CHOOSE(MATCH(IF($U349="","Основний",$U349),{"Трафіковий","Основний","Маржинальний","Сезонний","Стратегічний"},0),0.18,0.21,0.26,0.25,0.3)</f>
        <v/>
      </c>
      <c r="AE349" s="104">
        <f>CHOOSE(MATCH(IF($U349="","Основний",$U349),{"Трафіковий","Основний","Маржинальний","Сезонний","Стратегічний"},0),0.18,0.2,0.28,0.27,0.32)</f>
        <v/>
      </c>
      <c r="AF349" s="104">
        <f>CHOOSE(MATCH(IF($U349="","Основний",$U349),{"Трафіковий","Основний","Маржинальний","Сезонний","Стратегічний"},0),0.15,0.175,0.22,0.21,0.25)</f>
        <v/>
      </c>
      <c r="AG349" s="104">
        <f>CHOOSE(MATCH(IF($U349="","Основний",$U349),{"Трафіковий","Основний","Маржинальний","Сезонний","Стратегічний"},0),0.13,0.16,0.21,0.2,0.25)</f>
        <v/>
      </c>
      <c r="AH349" s="104">
        <f>CHOOSE(MATCH(IF($U349="","Основний",$U349),{"Трафіковий","Основний","Маржинальний","Сезонний","Стратегічний"},0),0.15,0.18,0.23,0.22,0.27)</f>
        <v/>
      </c>
      <c r="AI349" s="104">
        <f>CHOOSE(MATCH(IF($U349="","Основний",$U349),{"Трафіковий","Основний","Маржинальний","Сезонний","Стратегічний"},0),0.16,0.19,0.25,0.23,0.29)</f>
        <v/>
      </c>
      <c r="AJ349" s="104">
        <f>CHOOSE(MATCH(IF($U349="","Основний",$U349),{"Трафіковий","Основний","Маржинальний","Сезонний","Стратегічний"},0),0.14,0.17,0.22,0.21,0.25)</f>
        <v/>
      </c>
      <c r="AK349" s="104">
        <f>CHOOSE(MATCH(IF($U349="","Основний",$U349),{"Трафіковий","Основний","Маржинальний","Сезонний","Стратегічний"},0),0.15,0.18,0.23,0.22,0.27)</f>
        <v/>
      </c>
      <c r="AL349" s="104">
        <f>CHOOSE(MATCH(IF($U349="","Основний",$U349),{"Трафіковий","Основний","Маржинальний","Сезонний","Стратегічний"},0),0.15,0.17,0.25,0.24,0.29)</f>
        <v/>
      </c>
      <c r="AM349" s="104">
        <f>CHOOSE(MATCH(IF($U349="","Основний",$U349),{"Трафіковий","Основний","Маржинальний","Сезонний","Стратегічний"},0),0.12,0.145,0.19,0.18,0.22)</f>
        <v/>
      </c>
      <c r="AN349" s="157">
        <f>CHOOSE(MATCH(IF($U349="","Основний",$U349),{"Трафіковий","Основний","Маржинальний","Сезонний","Стратегічний"},0),Settings!$B$78,Settings!$B$80,Settings!$B$82,Settings!$B$84,Settings!$B$86)</f>
        <v/>
      </c>
      <c r="AO349" s="157">
        <f>CHOOSE(MATCH(IF($U349="","Основний",$U349),{"Трафіковий","Основний","Маржинальний","Сезонний","Стратегічний"},0),Settings!$C$78,Settings!$C$80,Settings!$C$82,Settings!$C$84,Settings!$C$86)</f>
        <v/>
      </c>
      <c r="AP349" s="157">
        <f>CHOOSE(MATCH(IF($U349="","Основний",$U349),{"Трафіковий","Основний","Маржинальний","Сезонний","Стратегічний"},0),Settings!$D$78,Settings!$D$80,Settings!$D$82,Settings!$D$84,Settings!$D$86)</f>
        <v/>
      </c>
      <c r="AQ349" s="157">
        <f>CHOOSE(MATCH(IF($U349="","Основний",$U349),{"Трафіковий","Основний","Маржинальний","Сезонний","Стратегічний"},0),Settings!$F$78,Settings!$F$80,Settings!$F$82,Settings!$F$84,Settings!$F$86)</f>
        <v/>
      </c>
      <c r="AR349" s="157">
        <f>CHOOSE(MATCH(IF($U349="","Основний",$U349),{"Трафіковий","Основний","Маржинальний","Сезонний","Стратегічний"},0),Settings!$G$78,Settings!$G$80,Settings!$G$82,Settings!$G$84,Settings!$G$86)</f>
        <v/>
      </c>
      <c r="AS349" s="157">
        <f>CHOOSE(MATCH(IF($U349="","Основний",$U349),{"Трафіковий","Основний","Маржинальний","Сезонний","Стратегічний"},0),Settings!$H$78,Settings!$H$80,Settings!$H$82,Settings!$H$84,Settings!$H$86)</f>
        <v/>
      </c>
      <c r="AT349" s="157">
        <f>CHOOSE(MATCH(IF($U349="","Основний",$U349),{"Трафіковий","Основний","Маржинальний","Сезонний","Стратегічний"},0),Settings!$I$78,Settings!$I$80,Settings!$I$82,Settings!$I$84,Settings!$I$86)</f>
        <v/>
      </c>
      <c r="AU349" s="171" t="n"/>
      <c r="AV349" t="n">
        <v>1.35</v>
      </c>
    </row>
    <row r="350">
      <c r="A350" s="28" t="n"/>
      <c r="B350" s="29" t="inlineStr">
        <is>
          <t>P09225M</t>
        </is>
      </c>
      <c r="C350" s="29" t="inlineStr">
        <is>
          <t>CABLE REEL 25M 2,5MM PVC SCH.</t>
        </is>
      </c>
      <c r="D350" s="29" t="inlineStr">
        <is>
          <t>Пооджувачи та адаптери</t>
        </is>
      </c>
      <c r="E350" s="28" t="inlineStr">
        <is>
          <t>PC</t>
        </is>
      </c>
      <c r="F350" s="93" t="n">
        <v>41.193</v>
      </c>
      <c r="G350" s="30" t="n">
        <v>8544429090</v>
      </c>
      <c r="H350" s="31" t="n">
        <v>1.4</v>
      </c>
      <c r="I350" s="84">
        <f>IFERROR(F350*Settings!$B$2*H350*IF(AND(ISNUMBER(E350),E350&gt;1),E350,1),"")</f>
        <v/>
      </c>
      <c r="J350" s="32">
        <f>Settings!$B$66</f>
        <v/>
      </c>
      <c r="K350" s="95">
        <f>IFERROR(IF(T350="","",(T350*(1-AN350)*(1-Settings!$B$17)-I350)/(T350*(1-AN350)*(1-Settings!$B$17))),"")</f>
        <v/>
      </c>
      <c r="L350" s="101">
        <f>IFERROR(IF(T350="","",(T350*(1-AO350)*(1-Settings!$C$17)-I350)/(T350*(1-AO350)*(1-Settings!$C$17))),"")</f>
        <v/>
      </c>
      <c r="M350" s="101">
        <f>IFERROR(IF(T350="","",(T350*(1-AP350)*(1-Settings!$D$17)-I350)/(T350*(1-AP350)*(1-Settings!$D$17))),"")</f>
        <v/>
      </c>
      <c r="N350" s="101">
        <f>IFERROR(IF(T350="","",(T350*(1-AQ350)*(1-Settings!$F$17)-I350)/(T350*(1-AQ350)*(1-Settings!$F$17))),"")</f>
        <v/>
      </c>
      <c r="O350" s="101">
        <f>IFERROR(IF(T350="","",(T350*(1-AR350)*(1-Settings!$G$17)-I350)/(T350*(1-AR350)*(1-Settings!$G$17))),"")</f>
        <v/>
      </c>
      <c r="P350" s="101">
        <f>IFERROR(IF(T350="","",(T350*(1-AS350)*(1-Settings!$H$17)-I350)/(T350*(1-AS350)*(1-Settings!$H$17))),"")</f>
        <v/>
      </c>
      <c r="Q350" s="101">
        <f>IFERROR(IF(T350="","",(T350*(1-AT350)*(1-Settings!$I$68)*(1-Settings!$I$17)-I350)/(T350*(1-AT350)*(1-Settings!$I$68)*(1-Settings!$I$17))),"")</f>
        <v/>
      </c>
      <c r="R350" s="91">
        <f>IFERROR(IF(OR(I350="",Z350&gt;=1,Settings!$B$17&gt;=1,AN350&gt;=1),"",IF(MOD(ROUND(I350/(1-Z350)/(1-Settings!$B$17)/(1-AN350),0),10)=0,ROUND(I350/(1-Z350)/(1-Settings!$B$17)/(1-AN350),0)-1,IF(MOD(ROUND(I350/(1-Z350)/(1-Settings!$B$17)/(1-AN350),0),10)&lt;=5,FLOOR(ROUND(I350/(1-Z350)/(1-Settings!$B$17)/(1-AN350),0),10)+6,FLOOR(ROUND(I350/(1-Z350)/(1-Settings!$B$17)/(1-AN350),0),10)+9))),"")</f>
        <v/>
      </c>
      <c r="S350" s="174" t="n"/>
      <c r="T350" s="91">
        <f>IF(S350&lt;&gt;"", IF(MOD(S350,10)=0,S350-1,IF(MOD(S350,10)&lt;=5,FLOOR(S350,10)+6,FLOOR(S350,10)+9)), R350)</f>
        <v/>
      </c>
      <c r="U350" s="87" t="inlineStr">
        <is>
          <t>Трафіковий</t>
        </is>
      </c>
      <c r="V350" s="88" t="n"/>
      <c r="W350" s="88" t="n"/>
      <c r="X350" s="89">
        <f>IFERROR(IF(OR(V350="",W350="",T350=""),"", IF(T350&gt;W350,"Дорогий",IF(T350&lt;V350,"Дешевий","У ринку"))),"")</f>
        <v/>
      </c>
      <c r="Y350" s="90" t="n"/>
      <c r="Z350" s="104">
        <f>CHOOSE(MATCH(IF($U350="","Основний",$U350),{"Трафіковий","Основний","Маржинальний","Сезонний","Стратегічний"},0),0.16,0.19,0.24,0.23,0.28)</f>
        <v/>
      </c>
      <c r="AA350" s="104">
        <f>CHOOSE(MATCH(IF($U350="","Основний",$U350),{"Трафіковий","Основний","Маржинальний","Сезонний","Стратегічний"},0),0.18,0.21,0.26,0.25,0.3)</f>
        <v/>
      </c>
      <c r="AB350" s="104">
        <f>CHOOSE(MATCH(IF($U350="","Основний",$U350),{"Трафіковий","Основний","Маржинальний","Сезонний","Стратегічний"},0),0.19,0.22,0.28,0.26,0.32)</f>
        <v/>
      </c>
      <c r="AC350" s="104">
        <f>CHOOSE(MATCH(IF($U350="","Основний",$U350),{"Трафіковий","Основний","Маржинальний","Сезонний","Стратегічний"},0),0.17,0.2,0.25,0.24,0.28)</f>
        <v/>
      </c>
      <c r="AD350" s="104">
        <f>CHOOSE(MATCH(IF($U350="","Основний",$U350),{"Трафіковий","Основний","Маржинальний","Сезонний","Стратегічний"},0),0.18,0.21,0.26,0.25,0.3)</f>
        <v/>
      </c>
      <c r="AE350" s="104">
        <f>CHOOSE(MATCH(IF($U350="","Основний",$U350),{"Трафіковий","Основний","Маржинальний","Сезонний","Стратегічний"},0),0.18,0.2,0.28,0.27,0.32)</f>
        <v/>
      </c>
      <c r="AF350" s="104">
        <f>CHOOSE(MATCH(IF($U350="","Основний",$U350),{"Трафіковий","Основний","Маржинальний","Сезонний","Стратегічний"},0),0.15,0.175,0.22,0.21,0.25)</f>
        <v/>
      </c>
      <c r="AG350" s="104">
        <f>CHOOSE(MATCH(IF($U350="","Основний",$U350),{"Трафіковий","Основний","Маржинальний","Сезонний","Стратегічний"},0),0.13,0.16,0.21,0.2,0.25)</f>
        <v/>
      </c>
      <c r="AH350" s="104">
        <f>CHOOSE(MATCH(IF($U350="","Основний",$U350),{"Трафіковий","Основний","Маржинальний","Сезонний","Стратегічний"},0),0.15,0.18,0.23,0.22,0.27)</f>
        <v/>
      </c>
      <c r="AI350" s="104">
        <f>CHOOSE(MATCH(IF($U350="","Основний",$U350),{"Трафіковий","Основний","Маржинальний","Сезонний","Стратегічний"},0),0.16,0.19,0.25,0.23,0.29)</f>
        <v/>
      </c>
      <c r="AJ350" s="104">
        <f>CHOOSE(MATCH(IF($U350="","Основний",$U350),{"Трафіковий","Основний","Маржинальний","Сезонний","Стратегічний"},0),0.14,0.17,0.22,0.21,0.25)</f>
        <v/>
      </c>
      <c r="AK350" s="104">
        <f>CHOOSE(MATCH(IF($U350="","Основний",$U350),{"Трафіковий","Основний","Маржинальний","Сезонний","Стратегічний"},0),0.15,0.18,0.23,0.22,0.27)</f>
        <v/>
      </c>
      <c r="AL350" s="104">
        <f>CHOOSE(MATCH(IF($U350="","Основний",$U350),{"Трафіковий","Основний","Маржинальний","Сезонний","Стратегічний"},0),0.15,0.17,0.25,0.24,0.29)</f>
        <v/>
      </c>
      <c r="AM350" s="104">
        <f>CHOOSE(MATCH(IF($U350="","Основний",$U350),{"Трафіковий","Основний","Маржинальний","Сезонний","Стратегічний"},0),0.12,0.145,0.19,0.18,0.22)</f>
        <v/>
      </c>
      <c r="AN350" s="157">
        <f>CHOOSE(MATCH(IF($U350="","Основний",$U350),{"Трафіковий","Основний","Маржинальний","Сезонний","Стратегічний"},0),Settings!$B$78,Settings!$B$80,Settings!$B$82,Settings!$B$84,Settings!$B$86)</f>
        <v/>
      </c>
      <c r="AO350" s="157">
        <f>CHOOSE(MATCH(IF($U350="","Основний",$U350),{"Трафіковий","Основний","Маржинальний","Сезонний","Стратегічний"},0),Settings!$C$78,Settings!$C$80,Settings!$C$82,Settings!$C$84,Settings!$C$86)</f>
        <v/>
      </c>
      <c r="AP350" s="157">
        <f>CHOOSE(MATCH(IF($U350="","Основний",$U350),{"Трафіковий","Основний","Маржинальний","Сезонний","Стратегічний"},0),Settings!$D$78,Settings!$D$80,Settings!$D$82,Settings!$D$84,Settings!$D$86)</f>
        <v/>
      </c>
      <c r="AQ350" s="157">
        <f>CHOOSE(MATCH(IF($U350="","Основний",$U350),{"Трафіковий","Основний","Маржинальний","Сезонний","Стратегічний"},0),Settings!$F$78,Settings!$F$80,Settings!$F$82,Settings!$F$84,Settings!$F$86)</f>
        <v/>
      </c>
      <c r="AR350" s="157">
        <f>CHOOSE(MATCH(IF($U350="","Основний",$U350),{"Трафіковий","Основний","Маржинальний","Сезонний","Стратегічний"},0),Settings!$G$78,Settings!$G$80,Settings!$G$82,Settings!$G$84,Settings!$G$86)</f>
        <v/>
      </c>
      <c r="AS350" s="157">
        <f>CHOOSE(MATCH(IF($U350="","Основний",$U350),{"Трафіковий","Основний","Маржинальний","Сезонний","Стратегічний"},0),Settings!$H$78,Settings!$H$80,Settings!$H$82,Settings!$H$84,Settings!$H$86)</f>
        <v/>
      </c>
      <c r="AT350" s="157">
        <f>CHOOSE(MATCH(IF($U350="","Основний",$U350),{"Трафіковий","Основний","Маржинальний","Сезонний","Стратегічний"},0),Settings!$I$78,Settings!$I$80,Settings!$I$82,Settings!$I$84,Settings!$I$86)</f>
        <v/>
      </c>
      <c r="AU350" s="171" t="n"/>
      <c r="AV350" t="n">
        <v>1.3</v>
      </c>
    </row>
    <row r="351">
      <c r="A351" s="33" t="n"/>
      <c r="B351" s="34" t="inlineStr">
        <is>
          <t>P19427</t>
        </is>
      </c>
      <c r="C351" s="34" t="inlineStr">
        <is>
          <t>FIX.CABLE REEL 25M 1,5MM SCH.</t>
        </is>
      </c>
      <c r="D351" s="34" t="inlineStr">
        <is>
          <t>Пооджувачи та адаптери</t>
        </is>
      </c>
      <c r="E351" s="33" t="inlineStr">
        <is>
          <t>PC</t>
        </is>
      </c>
      <c r="F351" s="94" t="n">
        <v>27.968</v>
      </c>
      <c r="G351" s="35" t="n">
        <v>8544429090</v>
      </c>
      <c r="H351" s="31" t="n">
        <v>1.4</v>
      </c>
      <c r="I351" s="84">
        <f>IFERROR(F351*Settings!$B$2*H351*IF(AND(ISNUMBER(E351),E351&gt;1),E351,1),"")</f>
        <v/>
      </c>
      <c r="J351" s="32">
        <f>Settings!$B$66</f>
        <v/>
      </c>
      <c r="K351" s="95">
        <f>IFERROR(IF(T351="","",(T351*(1-AN351)*(1-Settings!$B$17)-I351)/(T351*(1-AN351)*(1-Settings!$B$17))),"")</f>
        <v/>
      </c>
      <c r="L351" s="101">
        <f>IFERROR(IF(T351="","",(T351*(1-AO351)*(1-Settings!$C$17)-I351)/(T351*(1-AO351)*(1-Settings!$C$17))),"")</f>
        <v/>
      </c>
      <c r="M351" s="101">
        <f>IFERROR(IF(T351="","",(T351*(1-AP351)*(1-Settings!$D$17)-I351)/(T351*(1-AP351)*(1-Settings!$D$17))),"")</f>
        <v/>
      </c>
      <c r="N351" s="101">
        <f>IFERROR(IF(T351="","",(T351*(1-AQ351)*(1-Settings!$F$17)-I351)/(T351*(1-AQ351)*(1-Settings!$F$17))),"")</f>
        <v/>
      </c>
      <c r="O351" s="101">
        <f>IFERROR(IF(T351="","",(T351*(1-AR351)*(1-Settings!$G$17)-I351)/(T351*(1-AR351)*(1-Settings!$G$17))),"")</f>
        <v/>
      </c>
      <c r="P351" s="101">
        <f>IFERROR(IF(T351="","",(T351*(1-AS351)*(1-Settings!$H$17)-I351)/(T351*(1-AS351)*(1-Settings!$H$17))),"")</f>
        <v/>
      </c>
      <c r="Q351" s="101">
        <f>IFERROR(IF(T351="","",(T351*(1-AT351)*(1-Settings!$I$68)*(1-Settings!$I$17)-I351)/(T351*(1-AT351)*(1-Settings!$I$68)*(1-Settings!$I$17))),"")</f>
        <v/>
      </c>
      <c r="R351" s="91">
        <f>IFERROR(IF(OR(I351="",Z351&gt;=1,Settings!$B$17&gt;=1,AN351&gt;=1),"",IF(MOD(ROUND(I351/(1-Z351)/(1-Settings!$B$17)/(1-AN351),0),10)=0,ROUND(I351/(1-Z351)/(1-Settings!$B$17)/(1-AN351),0)-1,IF(MOD(ROUND(I351/(1-Z351)/(1-Settings!$B$17)/(1-AN351),0),10)&lt;=5,FLOOR(ROUND(I351/(1-Z351)/(1-Settings!$B$17)/(1-AN351),0),10)+6,FLOOR(ROUND(I351/(1-Z351)/(1-Settings!$B$17)/(1-AN351),0),10)+9))),"")</f>
        <v/>
      </c>
      <c r="S351" s="174" t="n"/>
      <c r="T351" s="91">
        <f>IF(S351&lt;&gt;"", IF(MOD(S351,10)=0,S351-1,IF(MOD(S351,10)&lt;=5,FLOOR(S351,10)+6,FLOOR(S351,10)+9)), R351)</f>
        <v/>
      </c>
      <c r="U351" s="87" t="inlineStr">
        <is>
          <t>Трафіковий</t>
        </is>
      </c>
      <c r="V351" s="88" t="n"/>
      <c r="W351" s="88" t="n"/>
      <c r="X351" s="89">
        <f>IFERROR(IF(OR(V351="",W351="",T351=""),"", IF(T351&gt;W351,"Дорогий",IF(T351&lt;V351,"Дешевий","У ринку"))),"")</f>
        <v/>
      </c>
      <c r="Y351" s="90" t="n"/>
      <c r="Z351" s="104">
        <f>CHOOSE(MATCH(IF($U351="","Основний",$U351),{"Трафіковий","Основний","Маржинальний","Сезонний","Стратегічний"},0),0.16,0.19,0.24,0.23,0.28)</f>
        <v/>
      </c>
      <c r="AA351" s="104">
        <f>CHOOSE(MATCH(IF($U351="","Основний",$U351),{"Трафіковий","Основний","Маржинальний","Сезонний","Стратегічний"},0),0.18,0.21,0.26,0.25,0.3)</f>
        <v/>
      </c>
      <c r="AB351" s="104">
        <f>CHOOSE(MATCH(IF($U351="","Основний",$U351),{"Трафіковий","Основний","Маржинальний","Сезонний","Стратегічний"},0),0.19,0.22,0.28,0.26,0.32)</f>
        <v/>
      </c>
      <c r="AC351" s="104">
        <f>CHOOSE(MATCH(IF($U351="","Основний",$U351),{"Трафіковий","Основний","Маржинальний","Сезонний","Стратегічний"},0),0.17,0.2,0.25,0.24,0.28)</f>
        <v/>
      </c>
      <c r="AD351" s="104">
        <f>CHOOSE(MATCH(IF($U351="","Основний",$U351),{"Трафіковий","Основний","Маржинальний","Сезонний","Стратегічний"},0),0.18,0.21,0.26,0.25,0.3)</f>
        <v/>
      </c>
      <c r="AE351" s="104">
        <f>CHOOSE(MATCH(IF($U351="","Основний",$U351),{"Трафіковий","Основний","Маржинальний","Сезонний","Стратегічний"},0),0.18,0.2,0.28,0.27,0.32)</f>
        <v/>
      </c>
      <c r="AF351" s="104">
        <f>CHOOSE(MATCH(IF($U351="","Основний",$U351),{"Трафіковий","Основний","Маржинальний","Сезонний","Стратегічний"},0),0.15,0.175,0.22,0.21,0.25)</f>
        <v/>
      </c>
      <c r="AG351" s="104">
        <f>CHOOSE(MATCH(IF($U351="","Основний",$U351),{"Трафіковий","Основний","Маржинальний","Сезонний","Стратегічний"},0),0.13,0.16,0.21,0.2,0.25)</f>
        <v/>
      </c>
      <c r="AH351" s="104">
        <f>CHOOSE(MATCH(IF($U351="","Основний",$U351),{"Трафіковий","Основний","Маржинальний","Сезонний","Стратегічний"},0),0.15,0.18,0.23,0.22,0.27)</f>
        <v/>
      </c>
      <c r="AI351" s="104">
        <f>CHOOSE(MATCH(IF($U351="","Основний",$U351),{"Трафіковий","Основний","Маржинальний","Сезонний","Стратегічний"},0),0.16,0.19,0.25,0.23,0.29)</f>
        <v/>
      </c>
      <c r="AJ351" s="104">
        <f>CHOOSE(MATCH(IF($U351="","Основний",$U351),{"Трафіковий","Основний","Маржинальний","Сезонний","Стратегічний"},0),0.14,0.17,0.22,0.21,0.25)</f>
        <v/>
      </c>
      <c r="AK351" s="104">
        <f>CHOOSE(MATCH(IF($U351="","Основний",$U351),{"Трафіковий","Основний","Маржинальний","Сезонний","Стратегічний"},0),0.15,0.18,0.23,0.22,0.27)</f>
        <v/>
      </c>
      <c r="AL351" s="104">
        <f>CHOOSE(MATCH(IF($U351="","Основний",$U351),{"Трафіковий","Основний","Маржинальний","Сезонний","Стратегічний"},0),0.15,0.17,0.25,0.24,0.29)</f>
        <v/>
      </c>
      <c r="AM351" s="104">
        <f>CHOOSE(MATCH(IF($U351="","Основний",$U351),{"Трафіковий","Основний","Маржинальний","Сезонний","Стратегічний"},0),0.12,0.145,0.19,0.18,0.22)</f>
        <v/>
      </c>
      <c r="AN351" s="157">
        <f>CHOOSE(MATCH(IF($U351="","Основний",$U351),{"Трафіковий","Основний","Маржинальний","Сезонний","Стратегічний"},0),Settings!$B$78,Settings!$B$80,Settings!$B$82,Settings!$B$84,Settings!$B$86)</f>
        <v/>
      </c>
      <c r="AO351" s="157">
        <f>CHOOSE(MATCH(IF($U351="","Основний",$U351),{"Трафіковий","Основний","Маржинальний","Сезонний","Стратегічний"},0),Settings!$C$78,Settings!$C$80,Settings!$C$82,Settings!$C$84,Settings!$C$86)</f>
        <v/>
      </c>
      <c r="AP351" s="157">
        <f>CHOOSE(MATCH(IF($U351="","Основний",$U351),{"Трафіковий","Основний","Маржинальний","Сезонний","Стратегічний"},0),Settings!$D$78,Settings!$D$80,Settings!$D$82,Settings!$D$84,Settings!$D$86)</f>
        <v/>
      </c>
      <c r="AQ351" s="157">
        <f>CHOOSE(MATCH(IF($U351="","Основний",$U351),{"Трафіковий","Основний","Маржинальний","Сезонний","Стратегічний"},0),Settings!$F$78,Settings!$F$80,Settings!$F$82,Settings!$F$84,Settings!$F$86)</f>
        <v/>
      </c>
      <c r="AR351" s="157">
        <f>CHOOSE(MATCH(IF($U351="","Основний",$U351),{"Трафіковий","Основний","Маржинальний","Сезонний","Стратегічний"},0),Settings!$G$78,Settings!$G$80,Settings!$G$82,Settings!$G$84,Settings!$G$86)</f>
        <v/>
      </c>
      <c r="AS351" s="157">
        <f>CHOOSE(MATCH(IF($U351="","Основний",$U351),{"Трафіковий","Основний","Маржинальний","Сезонний","Стратегічний"},0),Settings!$H$78,Settings!$H$80,Settings!$H$82,Settings!$H$84,Settings!$H$86)</f>
        <v/>
      </c>
      <c r="AT351" s="157">
        <f>CHOOSE(MATCH(IF($U351="","Основний",$U351),{"Трафіковий","Основний","Маржинальний","Сезонний","Стратегічний"},0),Settings!$I$78,Settings!$I$80,Settings!$I$82,Settings!$I$84,Settings!$I$86)</f>
        <v/>
      </c>
      <c r="AU351" s="171" t="n"/>
      <c r="AV351" t="n">
        <v>1.3</v>
      </c>
    </row>
    <row r="352">
      <c r="A352" s="28" t="n"/>
      <c r="B352" s="29" t="inlineStr">
        <is>
          <t>P09240</t>
        </is>
      </c>
      <c r="C352" s="29" t="inlineStr">
        <is>
          <t>CABLE REEL 40M 1,5MM PVC SCH.</t>
        </is>
      </c>
      <c r="D352" s="29" t="inlineStr">
        <is>
          <t>Пооджувачи та адаптери</t>
        </is>
      </c>
      <c r="E352" s="28" t="inlineStr">
        <is>
          <t>PC</t>
        </is>
      </c>
      <c r="F352" s="93" t="n">
        <v>35.396</v>
      </c>
      <c r="G352" s="30" t="n">
        <v>8544429090</v>
      </c>
      <c r="H352" s="31" t="n">
        <v>1.4</v>
      </c>
      <c r="I352" s="84">
        <f>IFERROR(F352*Settings!$B$2*H352*IF(AND(ISNUMBER(E352),E352&gt;1),E352,1),"")</f>
        <v/>
      </c>
      <c r="J352" s="32">
        <f>Settings!$B$66</f>
        <v/>
      </c>
      <c r="K352" s="95">
        <f>IFERROR(IF(T352="","",(T352*(1-AN352)*(1-Settings!$B$17)-I352)/(T352*(1-AN352)*(1-Settings!$B$17))),"")</f>
        <v/>
      </c>
      <c r="L352" s="101">
        <f>IFERROR(IF(T352="","",(T352*(1-AO352)*(1-Settings!$C$17)-I352)/(T352*(1-AO352)*(1-Settings!$C$17))),"")</f>
        <v/>
      </c>
      <c r="M352" s="101">
        <f>IFERROR(IF(T352="","",(T352*(1-AP352)*(1-Settings!$D$17)-I352)/(T352*(1-AP352)*(1-Settings!$D$17))),"")</f>
        <v/>
      </c>
      <c r="N352" s="101">
        <f>IFERROR(IF(T352="","",(T352*(1-AQ352)*(1-Settings!$F$17)-I352)/(T352*(1-AQ352)*(1-Settings!$F$17))),"")</f>
        <v/>
      </c>
      <c r="O352" s="101">
        <f>IFERROR(IF(T352="","",(T352*(1-AR352)*(1-Settings!$G$17)-I352)/(T352*(1-AR352)*(1-Settings!$G$17))),"")</f>
        <v/>
      </c>
      <c r="P352" s="101">
        <f>IFERROR(IF(T352="","",(T352*(1-AS352)*(1-Settings!$H$17)-I352)/(T352*(1-AS352)*(1-Settings!$H$17))),"")</f>
        <v/>
      </c>
      <c r="Q352" s="101">
        <f>IFERROR(IF(T352="","",(T352*(1-AT352)*(1-Settings!$I$68)*(1-Settings!$I$17)-I352)/(T352*(1-AT352)*(1-Settings!$I$68)*(1-Settings!$I$17))),"")</f>
        <v/>
      </c>
      <c r="R352" s="91">
        <f>IFERROR(IF(OR(I352="",Z352&gt;=1,Settings!$B$17&gt;=1,AN352&gt;=1),"",IF(MOD(ROUND(I352/(1-Z352)/(1-Settings!$B$17)/(1-AN352),0),10)=0,ROUND(I352/(1-Z352)/(1-Settings!$B$17)/(1-AN352),0)-1,IF(MOD(ROUND(I352/(1-Z352)/(1-Settings!$B$17)/(1-AN352),0),10)&lt;=5,FLOOR(ROUND(I352/(1-Z352)/(1-Settings!$B$17)/(1-AN352),0),10)+6,FLOOR(ROUND(I352/(1-Z352)/(1-Settings!$B$17)/(1-AN352),0),10)+9))),"")</f>
        <v/>
      </c>
      <c r="S352" s="174" t="n"/>
      <c r="T352" s="91">
        <f>IF(S352&lt;&gt;"", IF(MOD(S352,10)=0,S352-1,IF(MOD(S352,10)&lt;=5,FLOOR(S352,10)+6,FLOOR(S352,10)+9)), R352)</f>
        <v/>
      </c>
      <c r="U352" s="87" t="inlineStr">
        <is>
          <t>Трафіковий</t>
        </is>
      </c>
      <c r="V352" s="88" t="n"/>
      <c r="W352" s="88" t="n"/>
      <c r="X352" s="89">
        <f>IFERROR(IF(OR(V352="",W352="",T352=""),"", IF(T352&gt;W352,"Дорогий",IF(T352&lt;V352,"Дешевий","У ринку"))),"")</f>
        <v/>
      </c>
      <c r="Y352" s="90" t="n"/>
      <c r="Z352" s="104">
        <f>CHOOSE(MATCH(IF($U352="","Основний",$U352),{"Трафіковий","Основний","Маржинальний","Сезонний","Стратегічний"},0),0.16,0.19,0.24,0.23,0.28)</f>
        <v/>
      </c>
      <c r="AA352" s="104">
        <f>CHOOSE(MATCH(IF($U352="","Основний",$U352),{"Трафіковий","Основний","Маржинальний","Сезонний","Стратегічний"},0),0.18,0.21,0.26,0.25,0.3)</f>
        <v/>
      </c>
      <c r="AB352" s="104">
        <f>CHOOSE(MATCH(IF($U352="","Основний",$U352),{"Трафіковий","Основний","Маржинальний","Сезонний","Стратегічний"},0),0.19,0.22,0.28,0.26,0.32)</f>
        <v/>
      </c>
      <c r="AC352" s="104">
        <f>CHOOSE(MATCH(IF($U352="","Основний",$U352),{"Трафіковий","Основний","Маржинальний","Сезонний","Стратегічний"},0),0.17,0.2,0.25,0.24,0.28)</f>
        <v/>
      </c>
      <c r="AD352" s="104">
        <f>CHOOSE(MATCH(IF($U352="","Основний",$U352),{"Трафіковий","Основний","Маржинальний","Сезонний","Стратегічний"},0),0.18,0.21,0.26,0.25,0.3)</f>
        <v/>
      </c>
      <c r="AE352" s="104">
        <f>CHOOSE(MATCH(IF($U352="","Основний",$U352),{"Трафіковий","Основний","Маржинальний","Сезонний","Стратегічний"},0),0.18,0.2,0.28,0.27,0.32)</f>
        <v/>
      </c>
      <c r="AF352" s="104">
        <f>CHOOSE(MATCH(IF($U352="","Основний",$U352),{"Трафіковий","Основний","Маржинальний","Сезонний","Стратегічний"},0),0.15,0.175,0.22,0.21,0.25)</f>
        <v/>
      </c>
      <c r="AG352" s="104">
        <f>CHOOSE(MATCH(IF($U352="","Основний",$U352),{"Трафіковий","Основний","Маржинальний","Сезонний","Стратегічний"},0),0.13,0.16,0.21,0.2,0.25)</f>
        <v/>
      </c>
      <c r="AH352" s="104">
        <f>CHOOSE(MATCH(IF($U352="","Основний",$U352),{"Трафіковий","Основний","Маржинальний","Сезонний","Стратегічний"},0),0.15,0.18,0.23,0.22,0.27)</f>
        <v/>
      </c>
      <c r="AI352" s="104">
        <f>CHOOSE(MATCH(IF($U352="","Основний",$U352),{"Трафіковий","Основний","Маржинальний","Сезонний","Стратегічний"},0),0.16,0.19,0.25,0.23,0.29)</f>
        <v/>
      </c>
      <c r="AJ352" s="104">
        <f>CHOOSE(MATCH(IF($U352="","Основний",$U352),{"Трафіковий","Основний","Маржинальний","Сезонний","Стратегічний"},0),0.14,0.17,0.22,0.21,0.25)</f>
        <v/>
      </c>
      <c r="AK352" s="104">
        <f>CHOOSE(MATCH(IF($U352="","Основний",$U352),{"Трафіковий","Основний","Маржинальний","Сезонний","Стратегічний"},0),0.15,0.18,0.23,0.22,0.27)</f>
        <v/>
      </c>
      <c r="AL352" s="104">
        <f>CHOOSE(MATCH(IF($U352="","Основний",$U352),{"Трафіковий","Основний","Маржинальний","Сезонний","Стратегічний"},0),0.15,0.17,0.25,0.24,0.29)</f>
        <v/>
      </c>
      <c r="AM352" s="104">
        <f>CHOOSE(MATCH(IF($U352="","Основний",$U352),{"Трафіковий","Основний","Маржинальний","Сезонний","Стратегічний"},0),0.12,0.145,0.19,0.18,0.22)</f>
        <v/>
      </c>
      <c r="AN352" s="157">
        <f>CHOOSE(MATCH(IF($U352="","Основний",$U352),{"Трафіковий","Основний","Маржинальний","Сезонний","Стратегічний"},0),Settings!$B$78,Settings!$B$80,Settings!$B$82,Settings!$B$84,Settings!$B$86)</f>
        <v/>
      </c>
      <c r="AO352" s="157">
        <f>CHOOSE(MATCH(IF($U352="","Основний",$U352),{"Трафіковий","Основний","Маржинальний","Сезонний","Стратегічний"},0),Settings!$C$78,Settings!$C$80,Settings!$C$82,Settings!$C$84,Settings!$C$86)</f>
        <v/>
      </c>
      <c r="AP352" s="157">
        <f>CHOOSE(MATCH(IF($U352="","Основний",$U352),{"Трафіковий","Основний","Маржинальний","Сезонний","Стратегічний"},0),Settings!$D$78,Settings!$D$80,Settings!$D$82,Settings!$D$84,Settings!$D$86)</f>
        <v/>
      </c>
      <c r="AQ352" s="157">
        <f>CHOOSE(MATCH(IF($U352="","Основний",$U352),{"Трафіковий","Основний","Маржинальний","Сезонний","Стратегічний"},0),Settings!$F$78,Settings!$F$80,Settings!$F$82,Settings!$F$84,Settings!$F$86)</f>
        <v/>
      </c>
      <c r="AR352" s="157">
        <f>CHOOSE(MATCH(IF($U352="","Основний",$U352),{"Трафіковий","Основний","Маржинальний","Сезонний","Стратегічний"},0),Settings!$G$78,Settings!$G$80,Settings!$G$82,Settings!$G$84,Settings!$G$86)</f>
        <v/>
      </c>
      <c r="AS352" s="157">
        <f>CHOOSE(MATCH(IF($U352="","Основний",$U352),{"Трафіковий","Основний","Маржинальний","Сезонний","Стратегічний"},0),Settings!$H$78,Settings!$H$80,Settings!$H$82,Settings!$H$84,Settings!$H$86)</f>
        <v/>
      </c>
      <c r="AT352" s="157">
        <f>CHOOSE(MATCH(IF($U352="","Основний",$U352),{"Трафіковий","Основний","Маржинальний","Сезонний","Стратегічний"},0),Settings!$I$78,Settings!$I$80,Settings!$I$82,Settings!$I$84,Settings!$I$86)</f>
        <v/>
      </c>
      <c r="AU352" s="171" t="n"/>
      <c r="AV352" t="n">
        <v>1.3</v>
      </c>
    </row>
    <row r="353">
      <c r="A353" s="33" t="n"/>
      <c r="B353" s="34" t="inlineStr">
        <is>
          <t>P09240M</t>
        </is>
      </c>
      <c r="C353" s="34" t="inlineStr">
        <is>
          <t>CABLE REEL 40M 2,5MM PVC SCH.</t>
        </is>
      </c>
      <c r="D353" s="34" t="inlineStr">
        <is>
          <t>Пооджувачи та адаптери</t>
        </is>
      </c>
      <c r="E353" s="33" t="inlineStr">
        <is>
          <t>PC</t>
        </is>
      </c>
      <c r="F353" s="94" t="n">
        <v>62.556</v>
      </c>
      <c r="G353" s="35" t="n">
        <v>8544429090</v>
      </c>
      <c r="H353" s="31" t="n">
        <v>1.4</v>
      </c>
      <c r="I353" s="84">
        <f>IFERROR(F353*Settings!$B$2*H353*IF(AND(ISNUMBER(E353),E353&gt;1),E353,1),"")</f>
        <v/>
      </c>
      <c r="J353" s="32">
        <f>Settings!$B$66</f>
        <v/>
      </c>
      <c r="K353" s="95">
        <f>IFERROR(IF(T353="","",(T353*(1-AN353)*(1-Settings!$B$17)-I353)/(T353*(1-AN353)*(1-Settings!$B$17))),"")</f>
        <v/>
      </c>
      <c r="L353" s="101">
        <f>IFERROR(IF(T353="","",(T353*(1-AO353)*(1-Settings!$C$17)-I353)/(T353*(1-AO353)*(1-Settings!$C$17))),"")</f>
        <v/>
      </c>
      <c r="M353" s="101">
        <f>IFERROR(IF(T353="","",(T353*(1-AP353)*(1-Settings!$D$17)-I353)/(T353*(1-AP353)*(1-Settings!$D$17))),"")</f>
        <v/>
      </c>
      <c r="N353" s="101">
        <f>IFERROR(IF(T353="","",(T353*(1-AQ353)*(1-Settings!$F$17)-I353)/(T353*(1-AQ353)*(1-Settings!$F$17))),"")</f>
        <v/>
      </c>
      <c r="O353" s="101">
        <f>IFERROR(IF(T353="","",(T353*(1-AR353)*(1-Settings!$G$17)-I353)/(T353*(1-AR353)*(1-Settings!$G$17))),"")</f>
        <v/>
      </c>
      <c r="P353" s="101">
        <f>IFERROR(IF(T353="","",(T353*(1-AS353)*(1-Settings!$H$17)-I353)/(T353*(1-AS353)*(1-Settings!$H$17))),"")</f>
        <v/>
      </c>
      <c r="Q353" s="101">
        <f>IFERROR(IF(T353="","",(T353*(1-AT353)*(1-Settings!$I$68)*(1-Settings!$I$17)-I353)/(T353*(1-AT353)*(1-Settings!$I$68)*(1-Settings!$I$17))),"")</f>
        <v/>
      </c>
      <c r="R353" s="91">
        <f>IFERROR(IF(OR(I353="",Z353&gt;=1,Settings!$B$17&gt;=1,AN353&gt;=1),"",IF(MOD(ROUND(I353/(1-Z353)/(1-Settings!$B$17)/(1-AN353),0),10)=0,ROUND(I353/(1-Z353)/(1-Settings!$B$17)/(1-AN353),0)-1,IF(MOD(ROUND(I353/(1-Z353)/(1-Settings!$B$17)/(1-AN353),0),10)&lt;=5,FLOOR(ROUND(I353/(1-Z353)/(1-Settings!$B$17)/(1-AN353),0),10)+6,FLOOR(ROUND(I353/(1-Z353)/(1-Settings!$B$17)/(1-AN353),0),10)+9))),"")</f>
        <v/>
      </c>
      <c r="S353" s="174" t="n"/>
      <c r="T353" s="91">
        <f>IF(S353&lt;&gt;"", IF(MOD(S353,10)=0,S353-1,IF(MOD(S353,10)&lt;=5,FLOOR(S353,10)+6,FLOOR(S353,10)+9)), R353)</f>
        <v/>
      </c>
      <c r="U353" s="87" t="inlineStr">
        <is>
          <t>Трафіковий</t>
        </is>
      </c>
      <c r="V353" s="88" t="n"/>
      <c r="W353" s="88" t="n"/>
      <c r="X353" s="89">
        <f>IFERROR(IF(OR(V353="",W353="",T353=""),"", IF(T353&gt;W353,"Дорогий",IF(T353&lt;V353,"Дешевий","У ринку"))),"")</f>
        <v/>
      </c>
      <c r="Y353" s="90" t="n"/>
      <c r="Z353" s="104">
        <f>CHOOSE(MATCH(IF($U353="","Основний",$U353),{"Трафіковий","Основний","Маржинальний","Сезонний","Стратегічний"},0),0.16,0.19,0.24,0.23,0.28)</f>
        <v/>
      </c>
      <c r="AA353" s="104">
        <f>CHOOSE(MATCH(IF($U353="","Основний",$U353),{"Трафіковий","Основний","Маржинальний","Сезонний","Стратегічний"},0),0.18,0.21,0.26,0.25,0.3)</f>
        <v/>
      </c>
      <c r="AB353" s="104">
        <f>CHOOSE(MATCH(IF($U353="","Основний",$U353),{"Трафіковий","Основний","Маржинальний","Сезонний","Стратегічний"},0),0.19,0.22,0.28,0.26,0.32)</f>
        <v/>
      </c>
      <c r="AC353" s="104">
        <f>CHOOSE(MATCH(IF($U353="","Основний",$U353),{"Трафіковий","Основний","Маржинальний","Сезонний","Стратегічний"},0),0.17,0.2,0.25,0.24,0.28)</f>
        <v/>
      </c>
      <c r="AD353" s="104">
        <f>CHOOSE(MATCH(IF($U353="","Основний",$U353),{"Трафіковий","Основний","Маржинальний","Сезонний","Стратегічний"},0),0.18,0.21,0.26,0.25,0.3)</f>
        <v/>
      </c>
      <c r="AE353" s="104">
        <f>CHOOSE(MATCH(IF($U353="","Основний",$U353),{"Трафіковий","Основний","Маржинальний","Сезонний","Стратегічний"},0),0.18,0.2,0.28,0.27,0.32)</f>
        <v/>
      </c>
      <c r="AF353" s="104">
        <f>CHOOSE(MATCH(IF($U353="","Основний",$U353),{"Трафіковий","Основний","Маржинальний","Сезонний","Стратегічний"},0),0.15,0.175,0.22,0.21,0.25)</f>
        <v/>
      </c>
      <c r="AG353" s="104">
        <f>CHOOSE(MATCH(IF($U353="","Основний",$U353),{"Трафіковий","Основний","Маржинальний","Сезонний","Стратегічний"},0),0.13,0.16,0.21,0.2,0.25)</f>
        <v/>
      </c>
      <c r="AH353" s="104">
        <f>CHOOSE(MATCH(IF($U353="","Основний",$U353),{"Трафіковий","Основний","Маржинальний","Сезонний","Стратегічний"},0),0.15,0.18,0.23,0.22,0.27)</f>
        <v/>
      </c>
      <c r="AI353" s="104">
        <f>CHOOSE(MATCH(IF($U353="","Основний",$U353),{"Трафіковий","Основний","Маржинальний","Сезонний","Стратегічний"},0),0.16,0.19,0.25,0.23,0.29)</f>
        <v/>
      </c>
      <c r="AJ353" s="104">
        <f>CHOOSE(MATCH(IF($U353="","Основний",$U353),{"Трафіковий","Основний","Маржинальний","Сезонний","Стратегічний"},0),0.14,0.17,0.22,0.21,0.25)</f>
        <v/>
      </c>
      <c r="AK353" s="104">
        <f>CHOOSE(MATCH(IF($U353="","Основний",$U353),{"Трафіковий","Основний","Маржинальний","Сезонний","Стратегічний"},0),0.15,0.18,0.23,0.22,0.27)</f>
        <v/>
      </c>
      <c r="AL353" s="104">
        <f>CHOOSE(MATCH(IF($U353="","Основний",$U353),{"Трафіковий","Основний","Маржинальний","Сезонний","Стратегічний"},0),0.15,0.17,0.25,0.24,0.29)</f>
        <v/>
      </c>
      <c r="AM353" s="104">
        <f>CHOOSE(MATCH(IF($U353="","Основний",$U353),{"Трафіковий","Основний","Маржинальний","Сезонний","Стратегічний"},0),0.12,0.145,0.19,0.18,0.22)</f>
        <v/>
      </c>
      <c r="AN353" s="157">
        <f>CHOOSE(MATCH(IF($U353="","Основний",$U353),{"Трафіковий","Основний","Маржинальний","Сезонний","Стратегічний"},0),Settings!$B$78,Settings!$B$80,Settings!$B$82,Settings!$B$84,Settings!$B$86)</f>
        <v/>
      </c>
      <c r="AO353" s="157">
        <f>CHOOSE(MATCH(IF($U353="","Основний",$U353),{"Трафіковий","Основний","Маржинальний","Сезонний","Стратегічний"},0),Settings!$C$78,Settings!$C$80,Settings!$C$82,Settings!$C$84,Settings!$C$86)</f>
        <v/>
      </c>
      <c r="AP353" s="157">
        <f>CHOOSE(MATCH(IF($U353="","Основний",$U353),{"Трафіковий","Основний","Маржинальний","Сезонний","Стратегічний"},0),Settings!$D$78,Settings!$D$80,Settings!$D$82,Settings!$D$84,Settings!$D$86)</f>
        <v/>
      </c>
      <c r="AQ353" s="157">
        <f>CHOOSE(MATCH(IF($U353="","Основний",$U353),{"Трафіковий","Основний","Маржинальний","Сезонний","Стратегічний"},0),Settings!$F$78,Settings!$F$80,Settings!$F$82,Settings!$F$84,Settings!$F$86)</f>
        <v/>
      </c>
      <c r="AR353" s="157">
        <f>CHOOSE(MATCH(IF($U353="","Основний",$U353),{"Трафіковий","Основний","Маржинальний","Сезонний","Стратегічний"},0),Settings!$G$78,Settings!$G$80,Settings!$G$82,Settings!$G$84,Settings!$G$86)</f>
        <v/>
      </c>
      <c r="AS353" s="157">
        <f>CHOOSE(MATCH(IF($U353="","Основний",$U353),{"Трафіковий","Основний","Маржинальний","Сезонний","Стратегічний"},0),Settings!$H$78,Settings!$H$80,Settings!$H$82,Settings!$H$84,Settings!$H$86)</f>
        <v/>
      </c>
      <c r="AT353" s="157">
        <f>CHOOSE(MATCH(IF($U353="","Основний",$U353),{"Трафіковий","Основний","Маржинальний","Сезонний","Стратегічний"},0),Settings!$I$78,Settings!$I$80,Settings!$I$82,Settings!$I$84,Settings!$I$86)</f>
        <v/>
      </c>
      <c r="AU353" s="171" t="n"/>
      <c r="AV353" t="n">
        <v>1.3</v>
      </c>
    </row>
    <row r="354">
      <c r="A354" s="28" t="n"/>
      <c r="B354" s="29" t="inlineStr">
        <is>
          <t>P09250</t>
        </is>
      </c>
      <c r="C354" s="29" t="inlineStr">
        <is>
          <t>CABLE REEL 50M 1,5MM PVC SCH.</t>
        </is>
      </c>
      <c r="D354" s="29" t="inlineStr">
        <is>
          <t>Пооджувачи та адаптери</t>
        </is>
      </c>
      <c r="E354" s="28" t="inlineStr">
        <is>
          <t>PC</t>
        </is>
      </c>
      <c r="F354" s="93" t="n">
        <v>42.455</v>
      </c>
      <c r="G354" s="30" t="n">
        <v>8544429090</v>
      </c>
      <c r="H354" s="31" t="n">
        <v>1.4</v>
      </c>
      <c r="I354" s="84">
        <f>IFERROR(F354*Settings!$B$2*H354*IF(AND(ISNUMBER(E354),E354&gt;1),E354,1),"")</f>
        <v/>
      </c>
      <c r="J354" s="32">
        <f>Settings!$B$66</f>
        <v/>
      </c>
      <c r="K354" s="95">
        <f>IFERROR(IF(T354="","",(T354*(1-AN354)*(1-Settings!$B$17)-I354)/(T354*(1-AN354)*(1-Settings!$B$17))),"")</f>
        <v/>
      </c>
      <c r="L354" s="101">
        <f>IFERROR(IF(T354="","",(T354*(1-AO354)*(1-Settings!$C$17)-I354)/(T354*(1-AO354)*(1-Settings!$C$17))),"")</f>
        <v/>
      </c>
      <c r="M354" s="101">
        <f>IFERROR(IF(T354="","",(T354*(1-AP354)*(1-Settings!$D$17)-I354)/(T354*(1-AP354)*(1-Settings!$D$17))),"")</f>
        <v/>
      </c>
      <c r="N354" s="101">
        <f>IFERROR(IF(T354="","",(T354*(1-AQ354)*(1-Settings!$F$17)-I354)/(T354*(1-AQ354)*(1-Settings!$F$17))),"")</f>
        <v/>
      </c>
      <c r="O354" s="101">
        <f>IFERROR(IF(T354="","",(T354*(1-AR354)*(1-Settings!$G$17)-I354)/(T354*(1-AR354)*(1-Settings!$G$17))),"")</f>
        <v/>
      </c>
      <c r="P354" s="101">
        <f>IFERROR(IF(T354="","",(T354*(1-AS354)*(1-Settings!$H$17)-I354)/(T354*(1-AS354)*(1-Settings!$H$17))),"")</f>
        <v/>
      </c>
      <c r="Q354" s="101">
        <f>IFERROR(IF(T354="","",(T354*(1-AT354)*(1-Settings!$I$68)*(1-Settings!$I$17)-I354)/(T354*(1-AT354)*(1-Settings!$I$68)*(1-Settings!$I$17))),"")</f>
        <v/>
      </c>
      <c r="R354" s="91">
        <f>IFERROR(IF(OR(I354="",Z354&gt;=1,Settings!$B$17&gt;=1,AN354&gt;=1),"",IF(MOD(ROUND(I354/(1-Z354)/(1-Settings!$B$17)/(1-AN354),0),10)=0,ROUND(I354/(1-Z354)/(1-Settings!$B$17)/(1-AN354),0)-1,IF(MOD(ROUND(I354/(1-Z354)/(1-Settings!$B$17)/(1-AN354),0),10)&lt;=5,FLOOR(ROUND(I354/(1-Z354)/(1-Settings!$B$17)/(1-AN354),0),10)+6,FLOOR(ROUND(I354/(1-Z354)/(1-Settings!$B$17)/(1-AN354),0),10)+9))),"")</f>
        <v/>
      </c>
      <c r="S354" s="174" t="n"/>
      <c r="T354" s="91">
        <f>IF(S354&lt;&gt;"", IF(MOD(S354,10)=0,S354-1,IF(MOD(S354,10)&lt;=5,FLOOR(S354,10)+6,FLOOR(S354,10)+9)), R354)</f>
        <v/>
      </c>
      <c r="U354" s="87" t="inlineStr">
        <is>
          <t>Трафіковий</t>
        </is>
      </c>
      <c r="V354" s="88" t="n"/>
      <c r="W354" s="88" t="n"/>
      <c r="X354" s="89">
        <f>IFERROR(IF(OR(V354="",W354="",T354=""),"", IF(T354&gt;W354,"Дорогий",IF(T354&lt;V354,"Дешевий","У ринку"))),"")</f>
        <v/>
      </c>
      <c r="Y354" s="90" t="n"/>
      <c r="Z354" s="104">
        <f>CHOOSE(MATCH(IF($U354="","Основний",$U354),{"Трафіковий","Основний","Маржинальний","Сезонний","Стратегічний"},0),0.16,0.19,0.24,0.23,0.28)</f>
        <v/>
      </c>
      <c r="AA354" s="104">
        <f>CHOOSE(MATCH(IF($U354="","Основний",$U354),{"Трафіковий","Основний","Маржинальний","Сезонний","Стратегічний"},0),0.18,0.21,0.26,0.25,0.3)</f>
        <v/>
      </c>
      <c r="AB354" s="104">
        <f>CHOOSE(MATCH(IF($U354="","Основний",$U354),{"Трафіковий","Основний","Маржинальний","Сезонний","Стратегічний"},0),0.19,0.22,0.28,0.26,0.32)</f>
        <v/>
      </c>
      <c r="AC354" s="104">
        <f>CHOOSE(MATCH(IF($U354="","Основний",$U354),{"Трафіковий","Основний","Маржинальний","Сезонний","Стратегічний"},0),0.17,0.2,0.25,0.24,0.28)</f>
        <v/>
      </c>
      <c r="AD354" s="104">
        <f>CHOOSE(MATCH(IF($U354="","Основний",$U354),{"Трафіковий","Основний","Маржинальний","Сезонний","Стратегічний"},0),0.18,0.21,0.26,0.25,0.3)</f>
        <v/>
      </c>
      <c r="AE354" s="104">
        <f>CHOOSE(MATCH(IF($U354="","Основний",$U354),{"Трафіковий","Основний","Маржинальний","Сезонний","Стратегічний"},0),0.18,0.2,0.28,0.27,0.32)</f>
        <v/>
      </c>
      <c r="AF354" s="104">
        <f>CHOOSE(MATCH(IF($U354="","Основний",$U354),{"Трафіковий","Основний","Маржинальний","Сезонний","Стратегічний"},0),0.15,0.175,0.22,0.21,0.25)</f>
        <v/>
      </c>
      <c r="AG354" s="104">
        <f>CHOOSE(MATCH(IF($U354="","Основний",$U354),{"Трафіковий","Основний","Маржинальний","Сезонний","Стратегічний"},0),0.13,0.16,0.21,0.2,0.25)</f>
        <v/>
      </c>
      <c r="AH354" s="104">
        <f>CHOOSE(MATCH(IF($U354="","Основний",$U354),{"Трафіковий","Основний","Маржинальний","Сезонний","Стратегічний"},0),0.15,0.18,0.23,0.22,0.27)</f>
        <v/>
      </c>
      <c r="AI354" s="104">
        <f>CHOOSE(MATCH(IF($U354="","Основний",$U354),{"Трафіковий","Основний","Маржинальний","Сезонний","Стратегічний"},0),0.16,0.19,0.25,0.23,0.29)</f>
        <v/>
      </c>
      <c r="AJ354" s="104">
        <f>CHOOSE(MATCH(IF($U354="","Основний",$U354),{"Трафіковий","Основний","Маржинальний","Сезонний","Стратегічний"},0),0.14,0.17,0.22,0.21,0.25)</f>
        <v/>
      </c>
      <c r="AK354" s="104">
        <f>CHOOSE(MATCH(IF($U354="","Основний",$U354),{"Трафіковий","Основний","Маржинальний","Сезонний","Стратегічний"},0),0.15,0.18,0.23,0.22,0.27)</f>
        <v/>
      </c>
      <c r="AL354" s="104">
        <f>CHOOSE(MATCH(IF($U354="","Основний",$U354),{"Трафіковий","Основний","Маржинальний","Сезонний","Стратегічний"},0),0.15,0.17,0.25,0.24,0.29)</f>
        <v/>
      </c>
      <c r="AM354" s="104">
        <f>CHOOSE(MATCH(IF($U354="","Основний",$U354),{"Трафіковий","Основний","Маржинальний","Сезонний","Стратегічний"},0),0.12,0.145,0.19,0.18,0.22)</f>
        <v/>
      </c>
      <c r="AN354" s="157">
        <f>CHOOSE(MATCH(IF($U354="","Основний",$U354),{"Трафіковий","Основний","Маржинальний","Сезонний","Стратегічний"},0),Settings!$B$78,Settings!$B$80,Settings!$B$82,Settings!$B$84,Settings!$B$86)</f>
        <v/>
      </c>
      <c r="AO354" s="157">
        <f>CHOOSE(MATCH(IF($U354="","Основний",$U354),{"Трафіковий","Основний","Маржинальний","Сезонний","Стратегічний"},0),Settings!$C$78,Settings!$C$80,Settings!$C$82,Settings!$C$84,Settings!$C$86)</f>
        <v/>
      </c>
      <c r="AP354" s="157">
        <f>CHOOSE(MATCH(IF($U354="","Основний",$U354),{"Трафіковий","Основний","Маржинальний","Сезонний","Стратегічний"},0),Settings!$D$78,Settings!$D$80,Settings!$D$82,Settings!$D$84,Settings!$D$86)</f>
        <v/>
      </c>
      <c r="AQ354" s="157">
        <f>CHOOSE(MATCH(IF($U354="","Основний",$U354),{"Трафіковий","Основний","Маржинальний","Сезонний","Стратегічний"},0),Settings!$F$78,Settings!$F$80,Settings!$F$82,Settings!$F$84,Settings!$F$86)</f>
        <v/>
      </c>
      <c r="AR354" s="157">
        <f>CHOOSE(MATCH(IF($U354="","Основний",$U354),{"Трафіковий","Основний","Маржинальний","Сезонний","Стратегічний"},0),Settings!$G$78,Settings!$G$80,Settings!$G$82,Settings!$G$84,Settings!$G$86)</f>
        <v/>
      </c>
      <c r="AS354" s="157">
        <f>CHOOSE(MATCH(IF($U354="","Основний",$U354),{"Трафіковий","Основний","Маржинальний","Сезонний","Стратегічний"},0),Settings!$H$78,Settings!$H$80,Settings!$H$82,Settings!$H$84,Settings!$H$86)</f>
        <v/>
      </c>
      <c r="AT354" s="157">
        <f>CHOOSE(MATCH(IF($U354="","Основний",$U354),{"Трафіковий","Основний","Маржинальний","Сезонний","Стратегічний"},0),Settings!$I$78,Settings!$I$80,Settings!$I$82,Settings!$I$84,Settings!$I$86)</f>
        <v/>
      </c>
      <c r="AU354" s="171" t="n"/>
      <c r="AV354" t="n">
        <v>1.3</v>
      </c>
    </row>
    <row r="355">
      <c r="A355" s="33" t="n"/>
      <c r="B355" s="34" t="inlineStr">
        <is>
          <t>P092501</t>
        </is>
      </c>
      <c r="C355" s="34" t="inlineStr">
        <is>
          <t>CAB. REEL 4S 50M 1,5MM PVC SW</t>
        </is>
      </c>
      <c r="D355" s="34" t="inlineStr">
        <is>
          <t>Пооджувачи та адаптери</t>
        </is>
      </c>
      <c r="E355" s="33" t="inlineStr">
        <is>
          <t>PC</t>
        </is>
      </c>
      <c r="F355" s="94" t="n">
        <v>44.781</v>
      </c>
      <c r="G355" s="35" t="n">
        <v>8544429090</v>
      </c>
      <c r="H355" s="31" t="n">
        <v>1.4</v>
      </c>
      <c r="I355" s="84">
        <f>IFERROR(F355*Settings!$B$2*H355*IF(AND(ISNUMBER(E355),E355&gt;1),E355,1),"")</f>
        <v/>
      </c>
      <c r="J355" s="32">
        <f>Settings!$B$66</f>
        <v/>
      </c>
      <c r="K355" s="95">
        <f>IFERROR(IF(T355="","",(T355*(1-AN355)*(1-Settings!$B$17)-I355)/(T355*(1-AN355)*(1-Settings!$B$17))),"")</f>
        <v/>
      </c>
      <c r="L355" s="101">
        <f>IFERROR(IF(T355="","",(T355*(1-AO355)*(1-Settings!$C$17)-I355)/(T355*(1-AO355)*(1-Settings!$C$17))),"")</f>
        <v/>
      </c>
      <c r="M355" s="101">
        <f>IFERROR(IF(T355="","",(T355*(1-AP355)*(1-Settings!$D$17)-I355)/(T355*(1-AP355)*(1-Settings!$D$17))),"")</f>
        <v/>
      </c>
      <c r="N355" s="101">
        <f>IFERROR(IF(T355="","",(T355*(1-AQ355)*(1-Settings!$F$17)-I355)/(T355*(1-AQ355)*(1-Settings!$F$17))),"")</f>
        <v/>
      </c>
      <c r="O355" s="101">
        <f>IFERROR(IF(T355="","",(T355*(1-AR355)*(1-Settings!$G$17)-I355)/(T355*(1-AR355)*(1-Settings!$G$17))),"")</f>
        <v/>
      </c>
      <c r="P355" s="101">
        <f>IFERROR(IF(T355="","",(T355*(1-AS355)*(1-Settings!$H$17)-I355)/(T355*(1-AS355)*(1-Settings!$H$17))),"")</f>
        <v/>
      </c>
      <c r="Q355" s="101">
        <f>IFERROR(IF(T355="","",(T355*(1-AT355)*(1-Settings!$I$68)*(1-Settings!$I$17)-I355)/(T355*(1-AT355)*(1-Settings!$I$68)*(1-Settings!$I$17))),"")</f>
        <v/>
      </c>
      <c r="R355" s="91">
        <f>IFERROR(IF(OR(I355="",Z355&gt;=1,Settings!$B$17&gt;=1,AN355&gt;=1),"",IF(MOD(ROUND(I355/(1-Z355)/(1-Settings!$B$17)/(1-AN355),0),10)=0,ROUND(I355/(1-Z355)/(1-Settings!$B$17)/(1-AN355),0)-1,IF(MOD(ROUND(I355/(1-Z355)/(1-Settings!$B$17)/(1-AN355),0),10)&lt;=5,FLOOR(ROUND(I355/(1-Z355)/(1-Settings!$B$17)/(1-AN355),0),10)+6,FLOOR(ROUND(I355/(1-Z355)/(1-Settings!$B$17)/(1-AN355),0),10)+9))),"")</f>
        <v/>
      </c>
      <c r="S355" s="174" t="n"/>
      <c r="T355" s="91">
        <f>IF(S355&lt;&gt;"", IF(MOD(S355,10)=0,S355-1,IF(MOD(S355,10)&lt;=5,FLOOR(S355,10)+6,FLOOR(S355,10)+9)), R355)</f>
        <v/>
      </c>
      <c r="U355" s="87" t="inlineStr">
        <is>
          <t>Трафіковий</t>
        </is>
      </c>
      <c r="V355" s="88" t="n"/>
      <c r="W355" s="88" t="n"/>
      <c r="X355" s="89">
        <f>IFERROR(IF(OR(V355="",W355="",T355=""),"", IF(T355&gt;W355,"Дорогий",IF(T355&lt;V355,"Дешевий","У ринку"))),"")</f>
        <v/>
      </c>
      <c r="Y355" s="90" t="n"/>
      <c r="Z355" s="104">
        <f>CHOOSE(MATCH(IF($U355="","Основний",$U355),{"Трафіковий","Основний","Маржинальний","Сезонний","Стратегічний"},0),0.16,0.19,0.24,0.23,0.28)</f>
        <v/>
      </c>
      <c r="AA355" s="104">
        <f>CHOOSE(MATCH(IF($U355="","Основний",$U355),{"Трафіковий","Основний","Маржинальний","Сезонний","Стратегічний"},0),0.18,0.21,0.26,0.25,0.3)</f>
        <v/>
      </c>
      <c r="AB355" s="104">
        <f>CHOOSE(MATCH(IF($U355="","Основний",$U355),{"Трафіковий","Основний","Маржинальний","Сезонний","Стратегічний"},0),0.19,0.22,0.28,0.26,0.32)</f>
        <v/>
      </c>
      <c r="AC355" s="104">
        <f>CHOOSE(MATCH(IF($U355="","Основний",$U355),{"Трафіковий","Основний","Маржинальний","Сезонний","Стратегічний"},0),0.17,0.2,0.25,0.24,0.28)</f>
        <v/>
      </c>
      <c r="AD355" s="104">
        <f>CHOOSE(MATCH(IF($U355="","Основний",$U355),{"Трафіковий","Основний","Маржинальний","Сезонний","Стратегічний"},0),0.18,0.21,0.26,0.25,0.3)</f>
        <v/>
      </c>
      <c r="AE355" s="104">
        <f>CHOOSE(MATCH(IF($U355="","Основний",$U355),{"Трафіковий","Основний","Маржинальний","Сезонний","Стратегічний"},0),0.18,0.2,0.28,0.27,0.32)</f>
        <v/>
      </c>
      <c r="AF355" s="104">
        <f>CHOOSE(MATCH(IF($U355="","Основний",$U355),{"Трафіковий","Основний","Маржинальний","Сезонний","Стратегічний"},0),0.15,0.175,0.22,0.21,0.25)</f>
        <v/>
      </c>
      <c r="AG355" s="104">
        <f>CHOOSE(MATCH(IF($U355="","Основний",$U355),{"Трафіковий","Основний","Маржинальний","Сезонний","Стратегічний"},0),0.13,0.16,0.21,0.2,0.25)</f>
        <v/>
      </c>
      <c r="AH355" s="104">
        <f>CHOOSE(MATCH(IF($U355="","Основний",$U355),{"Трафіковий","Основний","Маржинальний","Сезонний","Стратегічний"},0),0.15,0.18,0.23,0.22,0.27)</f>
        <v/>
      </c>
      <c r="AI355" s="104">
        <f>CHOOSE(MATCH(IF($U355="","Основний",$U355),{"Трафіковий","Основний","Маржинальний","Сезонний","Стратегічний"},0),0.16,0.19,0.25,0.23,0.29)</f>
        <v/>
      </c>
      <c r="AJ355" s="104">
        <f>CHOOSE(MATCH(IF($U355="","Основний",$U355),{"Трафіковий","Основний","Маржинальний","Сезонний","Стратегічний"},0),0.14,0.17,0.22,0.21,0.25)</f>
        <v/>
      </c>
      <c r="AK355" s="104">
        <f>CHOOSE(MATCH(IF($U355="","Основний",$U355),{"Трафіковий","Основний","Маржинальний","Сезонний","Стратегічний"},0),0.15,0.18,0.23,0.22,0.27)</f>
        <v/>
      </c>
      <c r="AL355" s="104">
        <f>CHOOSE(MATCH(IF($U355="","Основний",$U355),{"Трафіковий","Основний","Маржинальний","Сезонний","Стратегічний"},0),0.15,0.17,0.25,0.24,0.29)</f>
        <v/>
      </c>
      <c r="AM355" s="104">
        <f>CHOOSE(MATCH(IF($U355="","Основний",$U355),{"Трафіковий","Основний","Маржинальний","Сезонний","Стратегічний"},0),0.12,0.145,0.19,0.18,0.22)</f>
        <v/>
      </c>
      <c r="AN355" s="157">
        <f>CHOOSE(MATCH(IF($U355="","Основний",$U355),{"Трафіковий","Основний","Маржинальний","Сезонний","Стратегічний"},0),Settings!$B$78,Settings!$B$80,Settings!$B$82,Settings!$B$84,Settings!$B$86)</f>
        <v/>
      </c>
      <c r="AO355" s="157">
        <f>CHOOSE(MATCH(IF($U355="","Основний",$U355),{"Трафіковий","Основний","Маржинальний","Сезонний","Стратегічний"},0),Settings!$C$78,Settings!$C$80,Settings!$C$82,Settings!$C$84,Settings!$C$86)</f>
        <v/>
      </c>
      <c r="AP355" s="157">
        <f>CHOOSE(MATCH(IF($U355="","Основний",$U355),{"Трафіковий","Основний","Маржинальний","Сезонний","Стратегічний"},0),Settings!$D$78,Settings!$D$80,Settings!$D$82,Settings!$D$84,Settings!$D$86)</f>
        <v/>
      </c>
      <c r="AQ355" s="157">
        <f>CHOOSE(MATCH(IF($U355="","Основний",$U355),{"Трафіковий","Основний","Маржинальний","Сезонний","Стратегічний"},0),Settings!$F$78,Settings!$F$80,Settings!$F$82,Settings!$F$84,Settings!$F$86)</f>
        <v/>
      </c>
      <c r="AR355" s="157">
        <f>CHOOSE(MATCH(IF($U355="","Основний",$U355),{"Трафіковий","Основний","Маржинальний","Сезонний","Стратегічний"},0),Settings!$G$78,Settings!$G$80,Settings!$G$82,Settings!$G$84,Settings!$G$86)</f>
        <v/>
      </c>
      <c r="AS355" s="157">
        <f>CHOOSE(MATCH(IF($U355="","Основний",$U355),{"Трафіковий","Основний","Маржинальний","Сезонний","Стратегічний"},0),Settings!$H$78,Settings!$H$80,Settings!$H$82,Settings!$H$84,Settings!$H$86)</f>
        <v/>
      </c>
      <c r="AT355" s="157">
        <f>CHOOSE(MATCH(IF($U355="","Основний",$U355),{"Трафіковий","Основний","Маржинальний","Сезонний","Стратегічний"},0),Settings!$I$78,Settings!$I$80,Settings!$I$82,Settings!$I$84,Settings!$I$86)</f>
        <v/>
      </c>
      <c r="AU355" s="171" t="n"/>
      <c r="AV355" t="n">
        <v>1.3</v>
      </c>
    </row>
    <row r="356">
      <c r="A356" s="28" t="n"/>
      <c r="B356" s="29" t="inlineStr">
        <is>
          <t>P19510</t>
        </is>
      </c>
      <c r="C356" s="29" t="inlineStr">
        <is>
          <t>CABLE REEL 10M 1MM PVC SCHUKO</t>
        </is>
      </c>
      <c r="D356" s="29" t="inlineStr">
        <is>
          <t>Пооджувачи та адаптери</t>
        </is>
      </c>
      <c r="E356" s="28" t="inlineStr">
        <is>
          <t>PC</t>
        </is>
      </c>
      <c r="F356" s="93" t="n">
        <v>9.093999999999999</v>
      </c>
      <c r="G356" s="30" t="n">
        <v>8544429090</v>
      </c>
      <c r="H356" s="31" t="n">
        <v>1.4</v>
      </c>
      <c r="I356" s="84">
        <f>IFERROR(F356*Settings!$B$2*H356*IF(AND(ISNUMBER(E356),E356&gt;1),E356,1),"")</f>
        <v/>
      </c>
      <c r="J356" s="32">
        <f>Settings!$B$66</f>
        <v/>
      </c>
      <c r="K356" s="95">
        <f>IFERROR(IF(T356="","",(T356*(1-AN356)*(1-Settings!$B$17)-I356)/(T356*(1-AN356)*(1-Settings!$B$17))),"")</f>
        <v/>
      </c>
      <c r="L356" s="101">
        <f>IFERROR(IF(T356="","",(T356*(1-AO356)*(1-Settings!$C$17)-I356)/(T356*(1-AO356)*(1-Settings!$C$17))),"")</f>
        <v/>
      </c>
      <c r="M356" s="101">
        <f>IFERROR(IF(T356="","",(T356*(1-AP356)*(1-Settings!$D$17)-I356)/(T356*(1-AP356)*(1-Settings!$D$17))),"")</f>
        <v/>
      </c>
      <c r="N356" s="101">
        <f>IFERROR(IF(T356="","",(T356*(1-AQ356)*(1-Settings!$F$17)-I356)/(T356*(1-AQ356)*(1-Settings!$F$17))),"")</f>
        <v/>
      </c>
      <c r="O356" s="101">
        <f>IFERROR(IF(T356="","",(T356*(1-AR356)*(1-Settings!$G$17)-I356)/(T356*(1-AR356)*(1-Settings!$G$17))),"")</f>
        <v/>
      </c>
      <c r="P356" s="101">
        <f>IFERROR(IF(T356="","",(T356*(1-AS356)*(1-Settings!$H$17)-I356)/(T356*(1-AS356)*(1-Settings!$H$17))),"")</f>
        <v/>
      </c>
      <c r="Q356" s="101">
        <f>IFERROR(IF(T356="","",(T356*(1-AT356)*(1-Settings!$I$68)*(1-Settings!$I$17)-I356)/(T356*(1-AT356)*(1-Settings!$I$68)*(1-Settings!$I$17))),"")</f>
        <v/>
      </c>
      <c r="R356" s="91">
        <f>IFERROR(IF(OR(I356="",Z356&gt;=1,Settings!$B$17&gt;=1,AN356&gt;=1),"",IF(MOD(ROUND(I356/(1-Z356)/(1-Settings!$B$17)/(1-AN356),0),10)=0,ROUND(I356/(1-Z356)/(1-Settings!$B$17)/(1-AN356),0)-1,IF(MOD(ROUND(I356/(1-Z356)/(1-Settings!$B$17)/(1-AN356),0),10)&lt;=5,FLOOR(ROUND(I356/(1-Z356)/(1-Settings!$B$17)/(1-AN356),0),10)+6,FLOOR(ROUND(I356/(1-Z356)/(1-Settings!$B$17)/(1-AN356),0),10)+9))),"")</f>
        <v/>
      </c>
      <c r="S356" s="92" t="n">
        <v>1300</v>
      </c>
      <c r="T356" s="91">
        <f>IF(S356&lt;&gt;"", IF(MOD(S356,10)=0,S356-1,IF(MOD(S356,10)&lt;=5,FLOOR(S356,10)+6,FLOOR(S356,10)+9)), R356)</f>
        <v/>
      </c>
      <c r="U356" s="87" t="inlineStr">
        <is>
          <t>Основний</t>
        </is>
      </c>
      <c r="V356" s="88" t="n"/>
      <c r="W356" s="88" t="n"/>
      <c r="X356" s="89">
        <f>IFERROR(IF(OR(V356="",W356="",T356=""),"", IF(T356&gt;W356,"Дорогий",IF(T356&lt;V356,"Дешевий","У ринку"))),"")</f>
        <v/>
      </c>
      <c r="Y356" s="90" t="n"/>
      <c r="Z356" s="104">
        <f>CHOOSE(MATCH(IF($U356="","Основний",$U356),{"Трафіковий","Основний","Маржинальний","Сезонний","Стратегічний"},0),0.16,0.19,0.24,0.23,0.28)</f>
        <v/>
      </c>
      <c r="AA356" s="104">
        <f>CHOOSE(MATCH(IF($U356="","Основний",$U356),{"Трафіковий","Основний","Маржинальний","Сезонний","Стратегічний"},0),0.18,0.21,0.26,0.25,0.3)</f>
        <v/>
      </c>
      <c r="AB356" s="104">
        <f>CHOOSE(MATCH(IF($U356="","Основний",$U356),{"Трафіковий","Основний","Маржинальний","Сезонний","Стратегічний"},0),0.19,0.22,0.28,0.26,0.32)</f>
        <v/>
      </c>
      <c r="AC356" s="104">
        <f>CHOOSE(MATCH(IF($U356="","Основний",$U356),{"Трафіковий","Основний","Маржинальний","Сезонний","Стратегічний"},0),0.17,0.2,0.25,0.24,0.28)</f>
        <v/>
      </c>
      <c r="AD356" s="104">
        <f>CHOOSE(MATCH(IF($U356="","Основний",$U356),{"Трафіковий","Основний","Маржинальний","Сезонний","Стратегічний"},0),0.18,0.21,0.26,0.25,0.3)</f>
        <v/>
      </c>
      <c r="AE356" s="104">
        <f>CHOOSE(MATCH(IF($U356="","Основний",$U356),{"Трафіковий","Основний","Маржинальний","Сезонний","Стратегічний"},0),0.18,0.2,0.28,0.27,0.32)</f>
        <v/>
      </c>
      <c r="AF356" s="104">
        <f>CHOOSE(MATCH(IF($U356="","Основний",$U356),{"Трафіковий","Основний","Маржинальний","Сезонний","Стратегічний"},0),0.15,0.175,0.22,0.21,0.25)</f>
        <v/>
      </c>
      <c r="AG356" s="104">
        <f>CHOOSE(MATCH(IF($U356="","Основний",$U356),{"Трафіковий","Основний","Маржинальний","Сезонний","Стратегічний"},0),0.13,0.16,0.21,0.2,0.25)</f>
        <v/>
      </c>
      <c r="AH356" s="104">
        <f>CHOOSE(MATCH(IF($U356="","Основний",$U356),{"Трафіковий","Основний","Маржинальний","Сезонний","Стратегічний"},0),0.15,0.18,0.23,0.22,0.27)</f>
        <v/>
      </c>
      <c r="AI356" s="104">
        <f>CHOOSE(MATCH(IF($U356="","Основний",$U356),{"Трафіковий","Основний","Маржинальний","Сезонний","Стратегічний"},0),0.16,0.19,0.25,0.23,0.29)</f>
        <v/>
      </c>
      <c r="AJ356" s="104">
        <f>CHOOSE(MATCH(IF($U356="","Основний",$U356),{"Трафіковий","Основний","Маржинальний","Сезонний","Стратегічний"},0),0.14,0.17,0.22,0.21,0.25)</f>
        <v/>
      </c>
      <c r="AK356" s="104">
        <f>CHOOSE(MATCH(IF($U356="","Основний",$U356),{"Трафіковий","Основний","Маржинальний","Сезонний","Стратегічний"},0),0.15,0.18,0.23,0.22,0.27)</f>
        <v/>
      </c>
      <c r="AL356" s="104">
        <f>CHOOSE(MATCH(IF($U356="","Основний",$U356),{"Трафіковий","Основний","Маржинальний","Сезонний","Стратегічний"},0),0.15,0.17,0.25,0.24,0.29)</f>
        <v/>
      </c>
      <c r="AM356" s="104">
        <f>CHOOSE(MATCH(IF($U356="","Основний",$U356),{"Трафіковий","Основний","Маржинальний","Сезонний","Стратегічний"},0),0.12,0.145,0.19,0.18,0.22)</f>
        <v/>
      </c>
      <c r="AN356" s="157">
        <f>CHOOSE(MATCH(IF($U356="","Основний",$U356),{"Трафіковий","Основний","Маржинальний","Сезонний","Стратегічний"},0),Settings!$B$78,Settings!$B$80,Settings!$B$82,Settings!$B$84,Settings!$B$86)</f>
        <v/>
      </c>
      <c r="AO356" s="157">
        <f>CHOOSE(MATCH(IF($U356="","Основний",$U356),{"Трафіковий","Основний","Маржинальний","Сезонний","Стратегічний"},0),Settings!$C$78,Settings!$C$80,Settings!$C$82,Settings!$C$84,Settings!$C$86)</f>
        <v/>
      </c>
      <c r="AP356" s="157">
        <f>CHOOSE(MATCH(IF($U356="","Основний",$U356),{"Трафіковий","Основний","Маржинальний","Сезонний","Стратегічний"},0),Settings!$D$78,Settings!$D$80,Settings!$D$82,Settings!$D$84,Settings!$D$86)</f>
        <v/>
      </c>
      <c r="AQ356" s="157">
        <f>CHOOSE(MATCH(IF($U356="","Основний",$U356),{"Трафіковий","Основний","Маржинальний","Сезонний","Стратегічний"},0),Settings!$F$78,Settings!$F$80,Settings!$F$82,Settings!$F$84,Settings!$F$86)</f>
        <v/>
      </c>
      <c r="AR356" s="157">
        <f>CHOOSE(MATCH(IF($U356="","Основний",$U356),{"Трафіковий","Основний","Маржинальний","Сезонний","Стратегічний"},0),Settings!$G$78,Settings!$G$80,Settings!$G$82,Settings!$G$84,Settings!$G$86)</f>
        <v/>
      </c>
      <c r="AS356" s="157">
        <f>CHOOSE(MATCH(IF($U356="","Основний",$U356),{"Трафіковий","Основний","Маржинальний","Сезонний","Стратегічний"},0),Settings!$H$78,Settings!$H$80,Settings!$H$82,Settings!$H$84,Settings!$H$86)</f>
        <v/>
      </c>
      <c r="AT356" s="157">
        <f>CHOOSE(MATCH(IF($U356="","Основний",$U356),{"Трафіковий","Основний","Маржинальний","Сезонний","Стратегічний"},0),Settings!$I$78,Settings!$I$80,Settings!$I$82,Settings!$I$84,Settings!$I$86)</f>
        <v/>
      </c>
      <c r="AU356" s="171" t="n"/>
      <c r="AV356" t="n">
        <v>1.35</v>
      </c>
    </row>
    <row r="357">
      <c r="A357" s="33" t="n"/>
      <c r="B357" s="34" t="inlineStr">
        <is>
          <t>P19515</t>
        </is>
      </c>
      <c r="C357" s="34" t="inlineStr">
        <is>
          <t>CABLE REEL 15M 1MM PVC SCHUKO</t>
        </is>
      </c>
      <c r="D357" s="34" t="inlineStr">
        <is>
          <t>Пооджувачи та адаптери</t>
        </is>
      </c>
      <c r="E357" s="33" t="inlineStr">
        <is>
          <t>PC</t>
        </is>
      </c>
      <c r="F357" s="94" t="n">
        <v>12.632</v>
      </c>
      <c r="G357" s="35" t="n">
        <v>8544429090</v>
      </c>
      <c r="H357" s="31" t="n">
        <v>1.4</v>
      </c>
      <c r="I357" s="84">
        <f>IFERROR(F357*Settings!$B$2*H357*IF(AND(ISNUMBER(E357),E357&gt;1),E357,1),"")</f>
        <v/>
      </c>
      <c r="J357" s="32">
        <f>Settings!$B$66</f>
        <v/>
      </c>
      <c r="K357" s="95">
        <f>IFERROR(IF(T357="","",(T357*(1-AN357)*(1-Settings!$B$17)-I357)/(T357*(1-AN357)*(1-Settings!$B$17))),"")</f>
        <v/>
      </c>
      <c r="L357" s="101">
        <f>IFERROR(IF(T357="","",(T357*(1-AO357)*(1-Settings!$C$17)-I357)/(T357*(1-AO357)*(1-Settings!$C$17))),"")</f>
        <v/>
      </c>
      <c r="M357" s="101">
        <f>IFERROR(IF(T357="","",(T357*(1-AP357)*(1-Settings!$D$17)-I357)/(T357*(1-AP357)*(1-Settings!$D$17))),"")</f>
        <v/>
      </c>
      <c r="N357" s="101">
        <f>IFERROR(IF(T357="","",(T357*(1-AQ357)*(1-Settings!$F$17)-I357)/(T357*(1-AQ357)*(1-Settings!$F$17))),"")</f>
        <v/>
      </c>
      <c r="O357" s="101">
        <f>IFERROR(IF(T357="","",(T357*(1-AR357)*(1-Settings!$G$17)-I357)/(T357*(1-AR357)*(1-Settings!$G$17))),"")</f>
        <v/>
      </c>
      <c r="P357" s="101">
        <f>IFERROR(IF(T357="","",(T357*(1-AS357)*(1-Settings!$H$17)-I357)/(T357*(1-AS357)*(1-Settings!$H$17))),"")</f>
        <v/>
      </c>
      <c r="Q357" s="101">
        <f>IFERROR(IF(T357="","",(T357*(1-AT357)*(1-Settings!$I$68)*(1-Settings!$I$17)-I357)/(T357*(1-AT357)*(1-Settings!$I$68)*(1-Settings!$I$17))),"")</f>
        <v/>
      </c>
      <c r="R357" s="91">
        <f>IFERROR(IF(OR(I357="",Z357&gt;=1,Settings!$B$17&gt;=1,AN357&gt;=1),"",IF(MOD(ROUND(I357/(1-Z357)/(1-Settings!$B$17)/(1-AN357),0),10)=0,ROUND(I357/(1-Z357)/(1-Settings!$B$17)/(1-AN357),0)-1,IF(MOD(ROUND(I357/(1-Z357)/(1-Settings!$B$17)/(1-AN357),0),10)&lt;=5,FLOOR(ROUND(I357/(1-Z357)/(1-Settings!$B$17)/(1-AN357),0),10)+6,FLOOR(ROUND(I357/(1-Z357)/(1-Settings!$B$17)/(1-AN357),0),10)+9))),"")</f>
        <v/>
      </c>
      <c r="S357" s="174" t="n"/>
      <c r="T357" s="91">
        <f>IF(S357&lt;&gt;"", IF(MOD(S357,10)=0,S357-1,IF(MOD(S357,10)&lt;=5,FLOOR(S357,10)+6,FLOOR(S357,10)+9)), R357)</f>
        <v/>
      </c>
      <c r="U357" s="87" t="inlineStr">
        <is>
          <t>Трафіковий</t>
        </is>
      </c>
      <c r="V357" s="88" t="n"/>
      <c r="W357" s="88" t="n"/>
      <c r="X357" s="89">
        <f>IFERROR(IF(OR(V357="",W357="",T357=""),"", IF(T357&gt;W357,"Дорогий",IF(T357&lt;V357,"Дешевий","У ринку"))),"")</f>
        <v/>
      </c>
      <c r="Y357" s="90" t="n"/>
      <c r="Z357" s="104">
        <f>CHOOSE(MATCH(IF($U357="","Основний",$U357),{"Трафіковий","Основний","Маржинальний","Сезонний","Стратегічний"},0),0.16,0.19,0.24,0.23,0.28)</f>
        <v/>
      </c>
      <c r="AA357" s="104">
        <f>CHOOSE(MATCH(IF($U357="","Основний",$U357),{"Трафіковий","Основний","Маржинальний","Сезонний","Стратегічний"},0),0.18,0.21,0.26,0.25,0.3)</f>
        <v/>
      </c>
      <c r="AB357" s="104">
        <f>CHOOSE(MATCH(IF($U357="","Основний",$U357),{"Трафіковий","Основний","Маржинальний","Сезонний","Стратегічний"},0),0.19,0.22,0.28,0.26,0.32)</f>
        <v/>
      </c>
      <c r="AC357" s="104">
        <f>CHOOSE(MATCH(IF($U357="","Основний",$U357),{"Трафіковий","Основний","Маржинальний","Сезонний","Стратегічний"},0),0.17,0.2,0.25,0.24,0.28)</f>
        <v/>
      </c>
      <c r="AD357" s="104">
        <f>CHOOSE(MATCH(IF($U357="","Основний",$U357),{"Трафіковий","Основний","Маржинальний","Сезонний","Стратегічний"},0),0.18,0.21,0.26,0.25,0.3)</f>
        <v/>
      </c>
      <c r="AE357" s="104">
        <f>CHOOSE(MATCH(IF($U357="","Основний",$U357),{"Трафіковий","Основний","Маржинальний","Сезонний","Стратегічний"},0),0.18,0.2,0.28,0.27,0.32)</f>
        <v/>
      </c>
      <c r="AF357" s="104">
        <f>CHOOSE(MATCH(IF($U357="","Основний",$U357),{"Трафіковий","Основний","Маржинальний","Сезонний","Стратегічний"},0),0.15,0.175,0.22,0.21,0.25)</f>
        <v/>
      </c>
      <c r="AG357" s="104">
        <f>CHOOSE(MATCH(IF($U357="","Основний",$U357),{"Трафіковий","Основний","Маржинальний","Сезонний","Стратегічний"},0),0.13,0.16,0.21,0.2,0.25)</f>
        <v/>
      </c>
      <c r="AH357" s="104">
        <f>CHOOSE(MATCH(IF($U357="","Основний",$U357),{"Трафіковий","Основний","Маржинальний","Сезонний","Стратегічний"},0),0.15,0.18,0.23,0.22,0.27)</f>
        <v/>
      </c>
      <c r="AI357" s="104">
        <f>CHOOSE(MATCH(IF($U357="","Основний",$U357),{"Трафіковий","Основний","Маржинальний","Сезонний","Стратегічний"},0),0.16,0.19,0.25,0.23,0.29)</f>
        <v/>
      </c>
      <c r="AJ357" s="104">
        <f>CHOOSE(MATCH(IF($U357="","Основний",$U357),{"Трафіковий","Основний","Маржинальний","Сезонний","Стратегічний"},0),0.14,0.17,0.22,0.21,0.25)</f>
        <v/>
      </c>
      <c r="AK357" s="104">
        <f>CHOOSE(MATCH(IF($U357="","Основний",$U357),{"Трафіковий","Основний","Маржинальний","Сезонний","Стратегічний"},0),0.15,0.18,0.23,0.22,0.27)</f>
        <v/>
      </c>
      <c r="AL357" s="104">
        <f>CHOOSE(MATCH(IF($U357="","Основний",$U357),{"Трафіковий","Основний","Маржинальний","Сезонний","Стратегічний"},0),0.15,0.17,0.25,0.24,0.29)</f>
        <v/>
      </c>
      <c r="AM357" s="104">
        <f>CHOOSE(MATCH(IF($U357="","Основний",$U357),{"Трафіковий","Основний","Маржинальний","Сезонний","Стратегічний"},0),0.12,0.145,0.19,0.18,0.22)</f>
        <v/>
      </c>
      <c r="AN357" s="157">
        <f>CHOOSE(MATCH(IF($U357="","Основний",$U357),{"Трафіковий","Основний","Маржинальний","Сезонний","Стратегічний"},0),Settings!$B$78,Settings!$B$80,Settings!$B$82,Settings!$B$84,Settings!$B$86)</f>
        <v/>
      </c>
      <c r="AO357" s="157">
        <f>CHOOSE(MATCH(IF($U357="","Основний",$U357),{"Трафіковий","Основний","Маржинальний","Сезонний","Стратегічний"},0),Settings!$C$78,Settings!$C$80,Settings!$C$82,Settings!$C$84,Settings!$C$86)</f>
        <v/>
      </c>
      <c r="AP357" s="157">
        <f>CHOOSE(MATCH(IF($U357="","Основний",$U357),{"Трафіковий","Основний","Маржинальний","Сезонний","Стратегічний"},0),Settings!$D$78,Settings!$D$80,Settings!$D$82,Settings!$D$84,Settings!$D$86)</f>
        <v/>
      </c>
      <c r="AQ357" s="157">
        <f>CHOOSE(MATCH(IF($U357="","Основний",$U357),{"Трафіковий","Основний","Маржинальний","Сезонний","Стратегічний"},0),Settings!$F$78,Settings!$F$80,Settings!$F$82,Settings!$F$84,Settings!$F$86)</f>
        <v/>
      </c>
      <c r="AR357" s="157">
        <f>CHOOSE(MATCH(IF($U357="","Основний",$U357),{"Трафіковий","Основний","Маржинальний","Сезонний","Стратегічний"},0),Settings!$G$78,Settings!$G$80,Settings!$G$82,Settings!$G$84,Settings!$G$86)</f>
        <v/>
      </c>
      <c r="AS357" s="157">
        <f>CHOOSE(MATCH(IF($U357="","Основний",$U357),{"Трафіковий","Основний","Маржинальний","Сезонний","Стратегічний"},0),Settings!$H$78,Settings!$H$80,Settings!$H$82,Settings!$H$84,Settings!$H$86)</f>
        <v/>
      </c>
      <c r="AT357" s="157">
        <f>CHOOSE(MATCH(IF($U357="","Основний",$U357),{"Трафіковий","Основний","Маржинальний","Сезонний","Стратегічний"},0),Settings!$I$78,Settings!$I$80,Settings!$I$82,Settings!$I$84,Settings!$I$86)</f>
        <v/>
      </c>
      <c r="AU357" s="171" t="n"/>
      <c r="AV357" t="n">
        <v>1.3</v>
      </c>
    </row>
    <row r="358">
      <c r="A358" s="28" t="n"/>
      <c r="B358" s="29" t="inlineStr">
        <is>
          <t>P09220</t>
        </is>
      </c>
      <c r="C358" s="29" t="inlineStr">
        <is>
          <t>CABLE REEL 20M 1MM PVC SCHUKO</t>
        </is>
      </c>
      <c r="D358" s="29" t="inlineStr">
        <is>
          <t>Пооджувачи та адаптери</t>
        </is>
      </c>
      <c r="E358" s="28" t="inlineStr">
        <is>
          <t>PC</t>
        </is>
      </c>
      <c r="F358" s="93" t="n">
        <v>14.985</v>
      </c>
      <c r="G358" s="30" t="n">
        <v>8544429090</v>
      </c>
      <c r="H358" s="31" t="n">
        <v>1.4</v>
      </c>
      <c r="I358" s="84">
        <f>IFERROR(F358*Settings!$B$2*H358*IF(AND(ISNUMBER(E358),E358&gt;1),E358,1),"")</f>
        <v/>
      </c>
      <c r="J358" s="32">
        <f>Settings!$B$66</f>
        <v/>
      </c>
      <c r="K358" s="95">
        <f>IFERROR(IF(T358="","",(T358*(1-AN358)*(1-Settings!$B$17)-I358)/(T358*(1-AN358)*(1-Settings!$B$17))),"")</f>
        <v/>
      </c>
      <c r="L358" s="101">
        <f>IFERROR(IF(T358="","",(T358*(1-AO358)*(1-Settings!$C$17)-I358)/(T358*(1-AO358)*(1-Settings!$C$17))),"")</f>
        <v/>
      </c>
      <c r="M358" s="101">
        <f>IFERROR(IF(T358="","",(T358*(1-AP358)*(1-Settings!$D$17)-I358)/(T358*(1-AP358)*(1-Settings!$D$17))),"")</f>
        <v/>
      </c>
      <c r="N358" s="101">
        <f>IFERROR(IF(T358="","",(T358*(1-AQ358)*(1-Settings!$F$17)-I358)/(T358*(1-AQ358)*(1-Settings!$F$17))),"")</f>
        <v/>
      </c>
      <c r="O358" s="101">
        <f>IFERROR(IF(T358="","",(T358*(1-AR358)*(1-Settings!$G$17)-I358)/(T358*(1-AR358)*(1-Settings!$G$17))),"")</f>
        <v/>
      </c>
      <c r="P358" s="101">
        <f>IFERROR(IF(T358="","",(T358*(1-AS358)*(1-Settings!$H$17)-I358)/(T358*(1-AS358)*(1-Settings!$H$17))),"")</f>
        <v/>
      </c>
      <c r="Q358" s="101">
        <f>IFERROR(IF(T358="","",(T358*(1-AT358)*(1-Settings!$I$68)*(1-Settings!$I$17)-I358)/(T358*(1-AT358)*(1-Settings!$I$68)*(1-Settings!$I$17))),"")</f>
        <v/>
      </c>
      <c r="R358" s="91">
        <f>IFERROR(IF(OR(I358="",Z358&gt;=1,Settings!$B$17&gt;=1,AN358&gt;=1),"",IF(MOD(ROUND(I358/(1-Z358)/(1-Settings!$B$17)/(1-AN358),0),10)=0,ROUND(I358/(1-Z358)/(1-Settings!$B$17)/(1-AN358),0)-1,IF(MOD(ROUND(I358/(1-Z358)/(1-Settings!$B$17)/(1-AN358),0),10)&lt;=5,FLOOR(ROUND(I358/(1-Z358)/(1-Settings!$B$17)/(1-AN358),0),10)+6,FLOOR(ROUND(I358/(1-Z358)/(1-Settings!$B$17)/(1-AN358),0),10)+9))),"")</f>
        <v/>
      </c>
      <c r="S358" s="92" t="n">
        <v>2000</v>
      </c>
      <c r="T358" s="91">
        <f>IF(S358&lt;&gt;"", IF(MOD(S358,10)=0,S358-1,IF(MOD(S358,10)&lt;=5,FLOOR(S358,10)+6,FLOOR(S358,10)+9)), R358)</f>
        <v/>
      </c>
      <c r="U358" s="87" t="inlineStr">
        <is>
          <t>Основний</t>
        </is>
      </c>
      <c r="V358" s="88" t="n"/>
      <c r="W358" s="88" t="n"/>
      <c r="X358" s="89">
        <f>IFERROR(IF(OR(V358="",W358="",T358=""),"", IF(T358&gt;W358,"Дорогий",IF(T358&lt;V358,"Дешевий","У ринку"))),"")</f>
        <v/>
      </c>
      <c r="Y358" s="90" t="n"/>
      <c r="Z358" s="104">
        <f>CHOOSE(MATCH(IF($U358="","Основний",$U358),{"Трафіковий","Основний","Маржинальний","Сезонний","Стратегічний"},0),0.16,0.19,0.24,0.23,0.28)</f>
        <v/>
      </c>
      <c r="AA358" s="104">
        <f>CHOOSE(MATCH(IF($U358="","Основний",$U358),{"Трафіковий","Основний","Маржинальний","Сезонний","Стратегічний"},0),0.18,0.21,0.26,0.25,0.3)</f>
        <v/>
      </c>
      <c r="AB358" s="104">
        <f>CHOOSE(MATCH(IF($U358="","Основний",$U358),{"Трафіковий","Основний","Маржинальний","Сезонний","Стратегічний"},0),0.19,0.22,0.28,0.26,0.32)</f>
        <v/>
      </c>
      <c r="AC358" s="104">
        <f>CHOOSE(MATCH(IF($U358="","Основний",$U358),{"Трафіковий","Основний","Маржинальний","Сезонний","Стратегічний"},0),0.17,0.2,0.25,0.24,0.28)</f>
        <v/>
      </c>
      <c r="AD358" s="104">
        <f>CHOOSE(MATCH(IF($U358="","Основний",$U358),{"Трафіковий","Основний","Маржинальний","Сезонний","Стратегічний"},0),0.18,0.21,0.26,0.25,0.3)</f>
        <v/>
      </c>
      <c r="AE358" s="104">
        <f>CHOOSE(MATCH(IF($U358="","Основний",$U358),{"Трафіковий","Основний","Маржинальний","Сезонний","Стратегічний"},0),0.18,0.2,0.28,0.27,0.32)</f>
        <v/>
      </c>
      <c r="AF358" s="104">
        <f>CHOOSE(MATCH(IF($U358="","Основний",$U358),{"Трафіковий","Основний","Маржинальний","Сезонний","Стратегічний"},0),0.15,0.175,0.22,0.21,0.25)</f>
        <v/>
      </c>
      <c r="AG358" s="104">
        <f>CHOOSE(MATCH(IF($U358="","Основний",$U358),{"Трафіковий","Основний","Маржинальний","Сезонний","Стратегічний"},0),0.13,0.16,0.21,0.2,0.25)</f>
        <v/>
      </c>
      <c r="AH358" s="104">
        <f>CHOOSE(MATCH(IF($U358="","Основний",$U358),{"Трафіковий","Основний","Маржинальний","Сезонний","Стратегічний"},0),0.15,0.18,0.23,0.22,0.27)</f>
        <v/>
      </c>
      <c r="AI358" s="104">
        <f>CHOOSE(MATCH(IF($U358="","Основний",$U358),{"Трафіковий","Основний","Маржинальний","Сезонний","Стратегічний"},0),0.16,0.19,0.25,0.23,0.29)</f>
        <v/>
      </c>
      <c r="AJ358" s="104">
        <f>CHOOSE(MATCH(IF($U358="","Основний",$U358),{"Трафіковий","Основний","Маржинальний","Сезонний","Стратегічний"},0),0.14,0.17,0.22,0.21,0.25)</f>
        <v/>
      </c>
      <c r="AK358" s="104">
        <f>CHOOSE(MATCH(IF($U358="","Основний",$U358),{"Трафіковий","Основний","Маржинальний","Сезонний","Стратегічний"},0),0.15,0.18,0.23,0.22,0.27)</f>
        <v/>
      </c>
      <c r="AL358" s="104">
        <f>CHOOSE(MATCH(IF($U358="","Основний",$U358),{"Трафіковий","Основний","Маржинальний","Сезонний","Стратегічний"},0),0.15,0.17,0.25,0.24,0.29)</f>
        <v/>
      </c>
      <c r="AM358" s="104">
        <f>CHOOSE(MATCH(IF($U358="","Основний",$U358),{"Трафіковий","Основний","Маржинальний","Сезонний","Стратегічний"},0),0.12,0.145,0.19,0.18,0.22)</f>
        <v/>
      </c>
      <c r="AN358" s="157">
        <f>CHOOSE(MATCH(IF($U358="","Основний",$U358),{"Трафіковий","Основний","Маржинальний","Сезонний","Стратегічний"},0),Settings!$B$78,Settings!$B$80,Settings!$B$82,Settings!$B$84,Settings!$B$86)</f>
        <v/>
      </c>
      <c r="AO358" s="157">
        <f>CHOOSE(MATCH(IF($U358="","Основний",$U358),{"Трафіковий","Основний","Маржинальний","Сезонний","Стратегічний"},0),Settings!$C$78,Settings!$C$80,Settings!$C$82,Settings!$C$84,Settings!$C$86)</f>
        <v/>
      </c>
      <c r="AP358" s="157">
        <f>CHOOSE(MATCH(IF($U358="","Основний",$U358),{"Трафіковий","Основний","Маржинальний","Сезонний","Стратегічний"},0),Settings!$D$78,Settings!$D$80,Settings!$D$82,Settings!$D$84,Settings!$D$86)</f>
        <v/>
      </c>
      <c r="AQ358" s="157">
        <f>CHOOSE(MATCH(IF($U358="","Основний",$U358),{"Трафіковий","Основний","Маржинальний","Сезонний","Стратегічний"},0),Settings!$F$78,Settings!$F$80,Settings!$F$82,Settings!$F$84,Settings!$F$86)</f>
        <v/>
      </c>
      <c r="AR358" s="157">
        <f>CHOOSE(MATCH(IF($U358="","Основний",$U358),{"Трафіковий","Основний","Маржинальний","Сезонний","Стратегічний"},0),Settings!$G$78,Settings!$G$80,Settings!$G$82,Settings!$G$84,Settings!$G$86)</f>
        <v/>
      </c>
      <c r="AS358" s="157">
        <f>CHOOSE(MATCH(IF($U358="","Основний",$U358),{"Трафіковий","Основний","Маржинальний","Сезонний","Стратегічний"},0),Settings!$H$78,Settings!$H$80,Settings!$H$82,Settings!$H$84,Settings!$H$86)</f>
        <v/>
      </c>
      <c r="AT358" s="157">
        <f>CHOOSE(MATCH(IF($U358="","Основний",$U358),{"Трафіковий","Основний","Маржинальний","Сезонний","Стратегічний"},0),Settings!$I$78,Settings!$I$80,Settings!$I$82,Settings!$I$84,Settings!$I$86)</f>
        <v/>
      </c>
      <c r="AU358" s="171" t="n"/>
      <c r="AV358" t="n">
        <v>1.35</v>
      </c>
    </row>
    <row r="359">
      <c r="A359" s="33" t="n"/>
      <c r="B359" s="34" t="inlineStr">
        <is>
          <t>P08225</t>
        </is>
      </c>
      <c r="C359" s="34" t="inlineStr">
        <is>
          <t>CABLE REEL 25M 1,5MM RUBB.SCH</t>
        </is>
      </c>
      <c r="D359" s="34" t="inlineStr">
        <is>
          <t>Пооджувачи та адаптери</t>
        </is>
      </c>
      <c r="E359" s="33" t="inlineStr">
        <is>
          <t>PC</t>
        </is>
      </c>
      <c r="F359" s="94" t="n">
        <v>30.584</v>
      </c>
      <c r="G359" s="35" t="n">
        <v>8544429090</v>
      </c>
      <c r="H359" s="31" t="n">
        <v>1.4</v>
      </c>
      <c r="I359" s="84">
        <f>IFERROR(F359*Settings!$B$2*H359*IF(AND(ISNUMBER(E359),E359&gt;1),E359,1),"")</f>
        <v/>
      </c>
      <c r="J359" s="32">
        <f>Settings!$B$66</f>
        <v/>
      </c>
      <c r="K359" s="95">
        <f>IFERROR(IF(T359="","",(T359*(1-AN359)*(1-Settings!$B$17)-I359)/(T359*(1-AN359)*(1-Settings!$B$17))),"")</f>
        <v/>
      </c>
      <c r="L359" s="101">
        <f>IFERROR(IF(T359="","",(T359*(1-AO359)*(1-Settings!$C$17)-I359)/(T359*(1-AO359)*(1-Settings!$C$17))),"")</f>
        <v/>
      </c>
      <c r="M359" s="101">
        <f>IFERROR(IF(T359="","",(T359*(1-AP359)*(1-Settings!$D$17)-I359)/(T359*(1-AP359)*(1-Settings!$D$17))),"")</f>
        <v/>
      </c>
      <c r="N359" s="101">
        <f>IFERROR(IF(T359="","",(T359*(1-AQ359)*(1-Settings!$F$17)-I359)/(T359*(1-AQ359)*(1-Settings!$F$17))),"")</f>
        <v/>
      </c>
      <c r="O359" s="101">
        <f>IFERROR(IF(T359="","",(T359*(1-AR359)*(1-Settings!$G$17)-I359)/(T359*(1-AR359)*(1-Settings!$G$17))),"")</f>
        <v/>
      </c>
      <c r="P359" s="101">
        <f>IFERROR(IF(T359="","",(T359*(1-AS359)*(1-Settings!$H$17)-I359)/(T359*(1-AS359)*(1-Settings!$H$17))),"")</f>
        <v/>
      </c>
      <c r="Q359" s="101">
        <f>IFERROR(IF(T359="","",(T359*(1-AT359)*(1-Settings!$I$68)*(1-Settings!$I$17)-I359)/(T359*(1-AT359)*(1-Settings!$I$68)*(1-Settings!$I$17))),"")</f>
        <v/>
      </c>
      <c r="R359" s="91">
        <f>IFERROR(IF(OR(I359="",Z359&gt;=1,Settings!$B$17&gt;=1,AN359&gt;=1),"",IF(MOD(ROUND(I359/(1-Z359)/(1-Settings!$B$17)/(1-AN359),0),10)=0,ROUND(I359/(1-Z359)/(1-Settings!$B$17)/(1-AN359),0)-1,IF(MOD(ROUND(I359/(1-Z359)/(1-Settings!$B$17)/(1-AN359),0),10)&lt;=5,FLOOR(ROUND(I359/(1-Z359)/(1-Settings!$B$17)/(1-AN359),0),10)+6,FLOOR(ROUND(I359/(1-Z359)/(1-Settings!$B$17)/(1-AN359),0),10)+9))),"")</f>
        <v/>
      </c>
      <c r="S359" s="174" t="n"/>
      <c r="T359" s="91">
        <f>IF(S359&lt;&gt;"", IF(MOD(S359,10)=0,S359-1,IF(MOD(S359,10)&lt;=5,FLOOR(S359,10)+6,FLOOR(S359,10)+9)), R359)</f>
        <v/>
      </c>
      <c r="U359" s="87" t="inlineStr">
        <is>
          <t>Трафіковий</t>
        </is>
      </c>
      <c r="V359" s="88" t="n"/>
      <c r="W359" s="88" t="n"/>
      <c r="X359" s="89">
        <f>IFERROR(IF(OR(V359="",W359="",T359=""),"", IF(T359&gt;W359,"Дорогий",IF(T359&lt;V359,"Дешевий","У ринку"))),"")</f>
        <v/>
      </c>
      <c r="Y359" s="90" t="n"/>
      <c r="Z359" s="104">
        <f>CHOOSE(MATCH(IF($U359="","Основний",$U359),{"Трафіковий","Основний","Маржинальний","Сезонний","Стратегічний"},0),0.16,0.19,0.24,0.23,0.28)</f>
        <v/>
      </c>
      <c r="AA359" s="104">
        <f>CHOOSE(MATCH(IF($U359="","Основний",$U359),{"Трафіковий","Основний","Маржинальний","Сезонний","Стратегічний"},0),0.18,0.21,0.26,0.25,0.3)</f>
        <v/>
      </c>
      <c r="AB359" s="104">
        <f>CHOOSE(MATCH(IF($U359="","Основний",$U359),{"Трафіковий","Основний","Маржинальний","Сезонний","Стратегічний"},0),0.19,0.22,0.28,0.26,0.32)</f>
        <v/>
      </c>
      <c r="AC359" s="104">
        <f>CHOOSE(MATCH(IF($U359="","Основний",$U359),{"Трафіковий","Основний","Маржинальний","Сезонний","Стратегічний"},0),0.17,0.2,0.25,0.24,0.28)</f>
        <v/>
      </c>
      <c r="AD359" s="104">
        <f>CHOOSE(MATCH(IF($U359="","Основний",$U359),{"Трафіковий","Основний","Маржинальний","Сезонний","Стратегічний"},0),0.18,0.21,0.26,0.25,0.3)</f>
        <v/>
      </c>
      <c r="AE359" s="104">
        <f>CHOOSE(MATCH(IF($U359="","Основний",$U359),{"Трафіковий","Основний","Маржинальний","Сезонний","Стратегічний"},0),0.18,0.2,0.28,0.27,0.32)</f>
        <v/>
      </c>
      <c r="AF359" s="104">
        <f>CHOOSE(MATCH(IF($U359="","Основний",$U359),{"Трафіковий","Основний","Маржинальний","Сезонний","Стратегічний"},0),0.15,0.175,0.22,0.21,0.25)</f>
        <v/>
      </c>
      <c r="AG359" s="104">
        <f>CHOOSE(MATCH(IF($U359="","Основний",$U359),{"Трафіковий","Основний","Маржинальний","Сезонний","Стратегічний"},0),0.13,0.16,0.21,0.2,0.25)</f>
        <v/>
      </c>
      <c r="AH359" s="104">
        <f>CHOOSE(MATCH(IF($U359="","Основний",$U359),{"Трафіковий","Основний","Маржинальний","Сезонний","Стратегічний"},0),0.15,0.18,0.23,0.22,0.27)</f>
        <v/>
      </c>
      <c r="AI359" s="104">
        <f>CHOOSE(MATCH(IF($U359="","Основний",$U359),{"Трафіковий","Основний","Маржинальний","Сезонний","Стратегічний"},0),0.16,0.19,0.25,0.23,0.29)</f>
        <v/>
      </c>
      <c r="AJ359" s="104">
        <f>CHOOSE(MATCH(IF($U359="","Основний",$U359),{"Трафіковий","Основний","Маржинальний","Сезонний","Стратегічний"},0),0.14,0.17,0.22,0.21,0.25)</f>
        <v/>
      </c>
      <c r="AK359" s="104">
        <f>CHOOSE(MATCH(IF($U359="","Основний",$U359),{"Трафіковий","Основний","Маржинальний","Сезонний","Стратегічний"},0),0.15,0.18,0.23,0.22,0.27)</f>
        <v/>
      </c>
      <c r="AL359" s="104">
        <f>CHOOSE(MATCH(IF($U359="","Основний",$U359),{"Трафіковий","Основний","Маржинальний","Сезонний","Стратегічний"},0),0.15,0.17,0.25,0.24,0.29)</f>
        <v/>
      </c>
      <c r="AM359" s="104">
        <f>CHOOSE(MATCH(IF($U359="","Основний",$U359),{"Трафіковий","Основний","Маржинальний","Сезонний","Стратегічний"},0),0.12,0.145,0.19,0.18,0.22)</f>
        <v/>
      </c>
      <c r="AN359" s="157">
        <f>CHOOSE(MATCH(IF($U359="","Основний",$U359),{"Трафіковий","Основний","Маржинальний","Сезонний","Стратегічний"},0),Settings!$B$78,Settings!$B$80,Settings!$B$82,Settings!$B$84,Settings!$B$86)</f>
        <v/>
      </c>
      <c r="AO359" s="157">
        <f>CHOOSE(MATCH(IF($U359="","Основний",$U359),{"Трафіковий","Основний","Маржинальний","Сезонний","Стратегічний"},0),Settings!$C$78,Settings!$C$80,Settings!$C$82,Settings!$C$84,Settings!$C$86)</f>
        <v/>
      </c>
      <c r="AP359" s="157">
        <f>CHOOSE(MATCH(IF($U359="","Основний",$U359),{"Трафіковий","Основний","Маржинальний","Сезонний","Стратегічний"},0),Settings!$D$78,Settings!$D$80,Settings!$D$82,Settings!$D$84,Settings!$D$86)</f>
        <v/>
      </c>
      <c r="AQ359" s="157">
        <f>CHOOSE(MATCH(IF($U359="","Основний",$U359),{"Трафіковий","Основний","Маржинальний","Сезонний","Стратегічний"},0),Settings!$F$78,Settings!$F$80,Settings!$F$82,Settings!$F$84,Settings!$F$86)</f>
        <v/>
      </c>
      <c r="AR359" s="157">
        <f>CHOOSE(MATCH(IF($U359="","Основний",$U359),{"Трафіковий","Основний","Маржинальний","Сезонний","Стратегічний"},0),Settings!$G$78,Settings!$G$80,Settings!$G$82,Settings!$G$84,Settings!$G$86)</f>
        <v/>
      </c>
      <c r="AS359" s="157">
        <f>CHOOSE(MATCH(IF($U359="","Основний",$U359),{"Трафіковий","Основний","Маржинальний","Сезонний","Стратегічний"},0),Settings!$H$78,Settings!$H$80,Settings!$H$82,Settings!$H$84,Settings!$H$86)</f>
        <v/>
      </c>
      <c r="AT359" s="157">
        <f>CHOOSE(MATCH(IF($U359="","Основний",$U359),{"Трафіковий","Основний","Маржинальний","Сезонний","Стратегічний"},0),Settings!$I$78,Settings!$I$80,Settings!$I$82,Settings!$I$84,Settings!$I$86)</f>
        <v/>
      </c>
      <c r="AU359" s="171" t="n"/>
      <c r="AV359" t="n">
        <v>1.3</v>
      </c>
    </row>
    <row r="360">
      <c r="A360" s="28" t="n"/>
      <c r="B360" s="29" t="inlineStr">
        <is>
          <t>P19222</t>
        </is>
      </c>
      <c r="C360" s="29" t="inlineStr">
        <is>
          <t>METAL CABLE REEL 4S 25M 1,5MM RUBBER SCHUKO</t>
        </is>
      </c>
      <c r="D360" s="29" t="inlineStr">
        <is>
          <t>Пооджувачи та адаптери</t>
        </is>
      </c>
      <c r="E360" s="28" t="inlineStr">
        <is>
          <t>PC</t>
        </is>
      </c>
      <c r="F360" s="93" t="n">
        <v>41.772</v>
      </c>
      <c r="G360" s="30" t="n">
        <v>8544429090</v>
      </c>
      <c r="H360" s="31" t="n">
        <v>1.4</v>
      </c>
      <c r="I360" s="84">
        <f>IFERROR(F360*Settings!$B$2*H360*IF(AND(ISNUMBER(E360),E360&gt;1),E360,1),"")</f>
        <v/>
      </c>
      <c r="J360" s="32">
        <f>Settings!$B$66</f>
        <v/>
      </c>
      <c r="K360" s="95">
        <f>IFERROR(IF(T360="","",(T360*(1-AN360)*(1-Settings!$B$17)-I360)/(T360*(1-AN360)*(1-Settings!$B$17))),"")</f>
        <v/>
      </c>
      <c r="L360" s="101">
        <f>IFERROR(IF(T360="","",(T360*(1-AO360)*(1-Settings!$C$17)-I360)/(T360*(1-AO360)*(1-Settings!$C$17))),"")</f>
        <v/>
      </c>
      <c r="M360" s="101">
        <f>IFERROR(IF(T360="","",(T360*(1-AP360)*(1-Settings!$D$17)-I360)/(T360*(1-AP360)*(1-Settings!$D$17))),"")</f>
        <v/>
      </c>
      <c r="N360" s="101">
        <f>IFERROR(IF(T360="","",(T360*(1-AQ360)*(1-Settings!$F$17)-I360)/(T360*(1-AQ360)*(1-Settings!$F$17))),"")</f>
        <v/>
      </c>
      <c r="O360" s="101">
        <f>IFERROR(IF(T360="","",(T360*(1-AR360)*(1-Settings!$G$17)-I360)/(T360*(1-AR360)*(1-Settings!$G$17))),"")</f>
        <v/>
      </c>
      <c r="P360" s="101">
        <f>IFERROR(IF(T360="","",(T360*(1-AS360)*(1-Settings!$H$17)-I360)/(T360*(1-AS360)*(1-Settings!$H$17))),"")</f>
        <v/>
      </c>
      <c r="Q360" s="101">
        <f>IFERROR(IF(T360="","",(T360*(1-AT360)*(1-Settings!$I$68)*(1-Settings!$I$17)-I360)/(T360*(1-AT360)*(1-Settings!$I$68)*(1-Settings!$I$17))),"")</f>
        <v/>
      </c>
      <c r="R360" s="91">
        <f>IFERROR(IF(OR(I360="",Z360&gt;=1,Settings!$B$17&gt;=1,AN360&gt;=1),"",IF(MOD(ROUND(I360/(1-Z360)/(1-Settings!$B$17)/(1-AN360),0),10)=0,ROUND(I360/(1-Z360)/(1-Settings!$B$17)/(1-AN360),0)-1,IF(MOD(ROUND(I360/(1-Z360)/(1-Settings!$B$17)/(1-AN360),0),10)&lt;=5,FLOOR(ROUND(I360/(1-Z360)/(1-Settings!$B$17)/(1-AN360),0),10)+6,FLOOR(ROUND(I360/(1-Z360)/(1-Settings!$B$17)/(1-AN360),0),10)+9))),"")</f>
        <v/>
      </c>
      <c r="S360" s="174" t="n"/>
      <c r="T360" s="91">
        <f>IF(S360&lt;&gt;"", IF(MOD(S360,10)=0,S360-1,IF(MOD(S360,10)&lt;=5,FLOOR(S360,10)+6,FLOOR(S360,10)+9)), R360)</f>
        <v/>
      </c>
      <c r="U360" s="87" t="inlineStr">
        <is>
          <t>Трафіковий</t>
        </is>
      </c>
      <c r="V360" s="88" t="n"/>
      <c r="W360" s="88" t="n"/>
      <c r="X360" s="89">
        <f>IFERROR(IF(OR(V360="",W360="",T360=""),"", IF(T360&gt;W360,"Дорогий",IF(T360&lt;V360,"Дешевий","У ринку"))),"")</f>
        <v/>
      </c>
      <c r="Y360" s="90" t="n"/>
      <c r="Z360" s="104">
        <f>CHOOSE(MATCH(IF($U360="","Основний",$U360),{"Трафіковий","Основний","Маржинальний","Сезонний","Стратегічний"},0),0.16,0.19,0.24,0.23,0.28)</f>
        <v/>
      </c>
      <c r="AA360" s="104">
        <f>CHOOSE(MATCH(IF($U360="","Основний",$U360),{"Трафіковий","Основний","Маржинальний","Сезонний","Стратегічний"},0),0.18,0.21,0.26,0.25,0.3)</f>
        <v/>
      </c>
      <c r="AB360" s="104">
        <f>CHOOSE(MATCH(IF($U360="","Основний",$U360),{"Трафіковий","Основний","Маржинальний","Сезонний","Стратегічний"},0),0.19,0.22,0.28,0.26,0.32)</f>
        <v/>
      </c>
      <c r="AC360" s="104">
        <f>CHOOSE(MATCH(IF($U360="","Основний",$U360),{"Трафіковий","Основний","Маржинальний","Сезонний","Стратегічний"},0),0.17,0.2,0.25,0.24,0.28)</f>
        <v/>
      </c>
      <c r="AD360" s="104">
        <f>CHOOSE(MATCH(IF($U360="","Основний",$U360),{"Трафіковий","Основний","Маржинальний","Сезонний","Стратегічний"},0),0.18,0.21,0.26,0.25,0.3)</f>
        <v/>
      </c>
      <c r="AE360" s="104">
        <f>CHOOSE(MATCH(IF($U360="","Основний",$U360),{"Трафіковий","Основний","Маржинальний","Сезонний","Стратегічний"},0),0.18,0.2,0.28,0.27,0.32)</f>
        <v/>
      </c>
      <c r="AF360" s="104">
        <f>CHOOSE(MATCH(IF($U360="","Основний",$U360),{"Трафіковий","Основний","Маржинальний","Сезонний","Стратегічний"},0),0.15,0.175,0.22,0.21,0.25)</f>
        <v/>
      </c>
      <c r="AG360" s="104">
        <f>CHOOSE(MATCH(IF($U360="","Основний",$U360),{"Трафіковий","Основний","Маржинальний","Сезонний","Стратегічний"},0),0.13,0.16,0.21,0.2,0.25)</f>
        <v/>
      </c>
      <c r="AH360" s="104">
        <f>CHOOSE(MATCH(IF($U360="","Основний",$U360),{"Трафіковий","Основний","Маржинальний","Сезонний","Стратегічний"},0),0.15,0.18,0.23,0.22,0.27)</f>
        <v/>
      </c>
      <c r="AI360" s="104">
        <f>CHOOSE(MATCH(IF($U360="","Основний",$U360),{"Трафіковий","Основний","Маржинальний","Сезонний","Стратегічний"},0),0.16,0.19,0.25,0.23,0.29)</f>
        <v/>
      </c>
      <c r="AJ360" s="104">
        <f>CHOOSE(MATCH(IF($U360="","Основний",$U360),{"Трафіковий","Основний","Маржинальний","Сезонний","Стратегічний"},0),0.14,0.17,0.22,0.21,0.25)</f>
        <v/>
      </c>
      <c r="AK360" s="104">
        <f>CHOOSE(MATCH(IF($U360="","Основний",$U360),{"Трафіковий","Основний","Маржинальний","Сезонний","Стратегічний"},0),0.15,0.18,0.23,0.22,0.27)</f>
        <v/>
      </c>
      <c r="AL360" s="104">
        <f>CHOOSE(MATCH(IF($U360="","Основний",$U360),{"Трафіковий","Основний","Маржинальний","Сезонний","Стратегічний"},0),0.15,0.17,0.25,0.24,0.29)</f>
        <v/>
      </c>
      <c r="AM360" s="104">
        <f>CHOOSE(MATCH(IF($U360="","Основний",$U360),{"Трафіковий","Основний","Маржинальний","Сезонний","Стратегічний"},0),0.12,0.145,0.19,0.18,0.22)</f>
        <v/>
      </c>
      <c r="AN360" s="157">
        <f>CHOOSE(MATCH(IF($U360="","Основний",$U360),{"Трафіковий","Основний","Маржинальний","Сезонний","Стратегічний"},0),Settings!$B$78,Settings!$B$80,Settings!$B$82,Settings!$B$84,Settings!$B$86)</f>
        <v/>
      </c>
      <c r="AO360" s="157">
        <f>CHOOSE(MATCH(IF($U360="","Основний",$U360),{"Трафіковий","Основний","Маржинальний","Сезонний","Стратегічний"},0),Settings!$C$78,Settings!$C$80,Settings!$C$82,Settings!$C$84,Settings!$C$86)</f>
        <v/>
      </c>
      <c r="AP360" s="157">
        <f>CHOOSE(MATCH(IF($U360="","Основний",$U360),{"Трафіковий","Основний","Маржинальний","Сезонний","Стратегічний"},0),Settings!$D$78,Settings!$D$80,Settings!$D$82,Settings!$D$84,Settings!$D$86)</f>
        <v/>
      </c>
      <c r="AQ360" s="157">
        <f>CHOOSE(MATCH(IF($U360="","Основний",$U360),{"Трафіковий","Основний","Маржинальний","Сезонний","Стратегічний"},0),Settings!$F$78,Settings!$F$80,Settings!$F$82,Settings!$F$84,Settings!$F$86)</f>
        <v/>
      </c>
      <c r="AR360" s="157">
        <f>CHOOSE(MATCH(IF($U360="","Основний",$U360),{"Трафіковий","Основний","Маржинальний","Сезонний","Стратегічний"},0),Settings!$G$78,Settings!$G$80,Settings!$G$82,Settings!$G$84,Settings!$G$86)</f>
        <v/>
      </c>
      <c r="AS360" s="157">
        <f>CHOOSE(MATCH(IF($U360="","Основний",$U360),{"Трафіковий","Основний","Маржинальний","Сезонний","Стратегічний"},0),Settings!$H$78,Settings!$H$80,Settings!$H$82,Settings!$H$84,Settings!$H$86)</f>
        <v/>
      </c>
      <c r="AT360" s="157">
        <f>CHOOSE(MATCH(IF($U360="","Основний",$U360),{"Трафіковий","Основний","Маржинальний","Сезонний","Стратегічний"},0),Settings!$I$78,Settings!$I$80,Settings!$I$82,Settings!$I$84,Settings!$I$86)</f>
        <v/>
      </c>
      <c r="AU360" s="171" t="n"/>
      <c r="AV360" t="n">
        <v>1.25</v>
      </c>
    </row>
    <row r="361">
      <c r="A361" s="33" t="n"/>
      <c r="B361" s="34" t="inlineStr">
        <is>
          <t>P08250</t>
        </is>
      </c>
      <c r="C361" s="34" t="inlineStr">
        <is>
          <t>CABLE REEL 50M 1,5MM RUBB.SCH</t>
        </is>
      </c>
      <c r="D361" s="34" t="inlineStr">
        <is>
          <t>Пооджувачи та адаптери</t>
        </is>
      </c>
      <c r="E361" s="33" t="inlineStr">
        <is>
          <t>PC</t>
        </is>
      </c>
      <c r="F361" s="94" t="n">
        <v>54.173</v>
      </c>
      <c r="G361" s="35" t="n">
        <v>8544429090</v>
      </c>
      <c r="H361" s="31" t="n">
        <v>1.4</v>
      </c>
      <c r="I361" s="84">
        <f>IFERROR(F361*Settings!$B$2*H361*IF(AND(ISNUMBER(E361),E361&gt;1),E361,1),"")</f>
        <v/>
      </c>
      <c r="J361" s="32">
        <f>Settings!$B$66</f>
        <v/>
      </c>
      <c r="K361" s="95">
        <f>IFERROR(IF(T361="","",(T361*(1-AN361)*(1-Settings!$B$17)-I361)/(T361*(1-AN361)*(1-Settings!$B$17))),"")</f>
        <v/>
      </c>
      <c r="L361" s="101">
        <f>IFERROR(IF(T361="","",(T361*(1-AO361)*(1-Settings!$C$17)-I361)/(T361*(1-AO361)*(1-Settings!$C$17))),"")</f>
        <v/>
      </c>
      <c r="M361" s="101">
        <f>IFERROR(IF(T361="","",(T361*(1-AP361)*(1-Settings!$D$17)-I361)/(T361*(1-AP361)*(1-Settings!$D$17))),"")</f>
        <v/>
      </c>
      <c r="N361" s="101">
        <f>IFERROR(IF(T361="","",(T361*(1-AQ361)*(1-Settings!$F$17)-I361)/(T361*(1-AQ361)*(1-Settings!$F$17))),"")</f>
        <v/>
      </c>
      <c r="O361" s="101">
        <f>IFERROR(IF(T361="","",(T361*(1-AR361)*(1-Settings!$G$17)-I361)/(T361*(1-AR361)*(1-Settings!$G$17))),"")</f>
        <v/>
      </c>
      <c r="P361" s="101">
        <f>IFERROR(IF(T361="","",(T361*(1-AS361)*(1-Settings!$H$17)-I361)/(T361*(1-AS361)*(1-Settings!$H$17))),"")</f>
        <v/>
      </c>
      <c r="Q361" s="101">
        <f>IFERROR(IF(T361="","",(T361*(1-AT361)*(1-Settings!$I$68)*(1-Settings!$I$17)-I361)/(T361*(1-AT361)*(1-Settings!$I$68)*(1-Settings!$I$17))),"")</f>
        <v/>
      </c>
      <c r="R361" s="91">
        <f>IFERROR(IF(OR(I361="",Z361&gt;=1,Settings!$B$17&gt;=1,AN361&gt;=1),"",IF(MOD(ROUND(I361/(1-Z361)/(1-Settings!$B$17)/(1-AN361),0),10)=0,ROUND(I361/(1-Z361)/(1-Settings!$B$17)/(1-AN361),0)-1,IF(MOD(ROUND(I361/(1-Z361)/(1-Settings!$B$17)/(1-AN361),0),10)&lt;=5,FLOOR(ROUND(I361/(1-Z361)/(1-Settings!$B$17)/(1-AN361),0),10)+6,FLOOR(ROUND(I361/(1-Z361)/(1-Settings!$B$17)/(1-AN361),0),10)+9))),"")</f>
        <v/>
      </c>
      <c r="S361" s="174" t="n"/>
      <c r="T361" s="91">
        <f>IF(S361&lt;&gt;"", IF(MOD(S361,10)=0,S361-1,IF(MOD(S361,10)&lt;=5,FLOOR(S361,10)+6,FLOOR(S361,10)+9)), R361)</f>
        <v/>
      </c>
      <c r="U361" s="87" t="inlineStr">
        <is>
          <t>Трафіковий</t>
        </is>
      </c>
      <c r="V361" s="88" t="n"/>
      <c r="W361" s="88" t="n"/>
      <c r="X361" s="89">
        <f>IFERROR(IF(OR(V361="",W361="",T361=""),"", IF(T361&gt;W361,"Дорогий",IF(T361&lt;V361,"Дешевий","У ринку"))),"")</f>
        <v/>
      </c>
      <c r="Y361" s="90" t="n"/>
      <c r="Z361" s="104">
        <f>CHOOSE(MATCH(IF($U361="","Основний",$U361),{"Трафіковий","Основний","Маржинальний","Сезонний","Стратегічний"},0),0.16,0.19,0.24,0.23,0.28)</f>
        <v/>
      </c>
      <c r="AA361" s="104">
        <f>CHOOSE(MATCH(IF($U361="","Основний",$U361),{"Трафіковий","Основний","Маржинальний","Сезонний","Стратегічний"},0),0.18,0.21,0.26,0.25,0.3)</f>
        <v/>
      </c>
      <c r="AB361" s="104">
        <f>CHOOSE(MATCH(IF($U361="","Основний",$U361),{"Трафіковий","Основний","Маржинальний","Сезонний","Стратегічний"},0),0.19,0.22,0.28,0.26,0.32)</f>
        <v/>
      </c>
      <c r="AC361" s="104">
        <f>CHOOSE(MATCH(IF($U361="","Основний",$U361),{"Трафіковий","Основний","Маржинальний","Сезонний","Стратегічний"},0),0.17,0.2,0.25,0.24,0.28)</f>
        <v/>
      </c>
      <c r="AD361" s="104">
        <f>CHOOSE(MATCH(IF($U361="","Основний",$U361),{"Трафіковий","Основний","Маржинальний","Сезонний","Стратегічний"},0),0.18,0.21,0.26,0.25,0.3)</f>
        <v/>
      </c>
      <c r="AE361" s="104">
        <f>CHOOSE(MATCH(IF($U361="","Основний",$U361),{"Трафіковий","Основний","Маржинальний","Сезонний","Стратегічний"},0),0.18,0.2,0.28,0.27,0.32)</f>
        <v/>
      </c>
      <c r="AF361" s="104">
        <f>CHOOSE(MATCH(IF($U361="","Основний",$U361),{"Трафіковий","Основний","Маржинальний","Сезонний","Стратегічний"},0),0.15,0.175,0.22,0.21,0.25)</f>
        <v/>
      </c>
      <c r="AG361" s="104">
        <f>CHOOSE(MATCH(IF($U361="","Основний",$U361),{"Трафіковий","Основний","Маржинальний","Сезонний","Стратегічний"},0),0.13,0.16,0.21,0.2,0.25)</f>
        <v/>
      </c>
      <c r="AH361" s="104">
        <f>CHOOSE(MATCH(IF($U361="","Основний",$U361),{"Трафіковий","Основний","Маржинальний","Сезонний","Стратегічний"},0),0.15,0.18,0.23,0.22,0.27)</f>
        <v/>
      </c>
      <c r="AI361" s="104">
        <f>CHOOSE(MATCH(IF($U361="","Основний",$U361),{"Трафіковий","Основний","Маржинальний","Сезонний","Стратегічний"},0),0.16,0.19,0.25,0.23,0.29)</f>
        <v/>
      </c>
      <c r="AJ361" s="104">
        <f>CHOOSE(MATCH(IF($U361="","Основний",$U361),{"Трафіковий","Основний","Маржинальний","Сезонний","Стратегічний"},0),0.14,0.17,0.22,0.21,0.25)</f>
        <v/>
      </c>
      <c r="AK361" s="104">
        <f>CHOOSE(MATCH(IF($U361="","Основний",$U361),{"Трафіковий","Основний","Маржинальний","Сезонний","Стратегічний"},0),0.15,0.18,0.23,0.22,0.27)</f>
        <v/>
      </c>
      <c r="AL361" s="104">
        <f>CHOOSE(MATCH(IF($U361="","Основний",$U361),{"Трафіковий","Основний","Маржинальний","Сезонний","Стратегічний"},0),0.15,0.17,0.25,0.24,0.29)</f>
        <v/>
      </c>
      <c r="AM361" s="104">
        <f>CHOOSE(MATCH(IF($U361="","Основний",$U361),{"Трафіковий","Основний","Маржинальний","Сезонний","Стратегічний"},0),0.12,0.145,0.19,0.18,0.22)</f>
        <v/>
      </c>
      <c r="AN361" s="157">
        <f>CHOOSE(MATCH(IF($U361="","Основний",$U361),{"Трафіковий","Основний","Маржинальний","Сезонний","Стратегічний"},0),Settings!$B$78,Settings!$B$80,Settings!$B$82,Settings!$B$84,Settings!$B$86)</f>
        <v/>
      </c>
      <c r="AO361" s="157">
        <f>CHOOSE(MATCH(IF($U361="","Основний",$U361),{"Трафіковий","Основний","Маржинальний","Сезонний","Стратегічний"},0),Settings!$C$78,Settings!$C$80,Settings!$C$82,Settings!$C$84,Settings!$C$86)</f>
        <v/>
      </c>
      <c r="AP361" s="157">
        <f>CHOOSE(MATCH(IF($U361="","Основний",$U361),{"Трафіковий","Основний","Маржинальний","Сезонний","Стратегічний"},0),Settings!$D$78,Settings!$D$80,Settings!$D$82,Settings!$D$84,Settings!$D$86)</f>
        <v/>
      </c>
      <c r="AQ361" s="157">
        <f>CHOOSE(MATCH(IF($U361="","Основний",$U361),{"Трафіковий","Основний","Маржинальний","Сезонний","Стратегічний"},0),Settings!$F$78,Settings!$F$80,Settings!$F$82,Settings!$F$84,Settings!$F$86)</f>
        <v/>
      </c>
      <c r="AR361" s="157">
        <f>CHOOSE(MATCH(IF($U361="","Основний",$U361),{"Трафіковий","Основний","Маржинальний","Сезонний","Стратегічний"},0),Settings!$G$78,Settings!$G$80,Settings!$G$82,Settings!$G$84,Settings!$G$86)</f>
        <v/>
      </c>
      <c r="AS361" s="157">
        <f>CHOOSE(MATCH(IF($U361="","Основний",$U361),{"Трафіковий","Основний","Маржинальний","Сезонний","Стратегічний"},0),Settings!$H$78,Settings!$H$80,Settings!$H$82,Settings!$H$84,Settings!$H$86)</f>
        <v/>
      </c>
      <c r="AT361" s="157">
        <f>CHOOSE(MATCH(IF($U361="","Основний",$U361),{"Трафіковий","Основний","Маржинальний","Сезонний","Стратегічний"},0),Settings!$I$78,Settings!$I$80,Settings!$I$82,Settings!$I$84,Settings!$I$86)</f>
        <v/>
      </c>
      <c r="AU361" s="171" t="n"/>
      <c r="AV361" t="n">
        <v>1.25</v>
      </c>
    </row>
    <row r="362">
      <c r="A362" s="28" t="n"/>
      <c r="B362" s="29" t="inlineStr">
        <is>
          <t>P19223</t>
        </is>
      </c>
      <c r="C362" s="29" t="inlineStr">
        <is>
          <t>METAL CABLE REEL 4S 50M 1,5MM RUBBER SCHUKO</t>
        </is>
      </c>
      <c r="D362" s="29" t="inlineStr">
        <is>
          <t>Пооджувачи та адаптери</t>
        </is>
      </c>
      <c r="E362" s="28" t="inlineStr">
        <is>
          <t>PC</t>
        </is>
      </c>
      <c r="F362" s="93" t="n">
        <v>68.294</v>
      </c>
      <c r="G362" s="30" t="n">
        <v>8544429090</v>
      </c>
      <c r="H362" s="31" t="n">
        <v>1.4</v>
      </c>
      <c r="I362" s="84">
        <f>IFERROR(F362*Settings!$B$2*H362*IF(AND(ISNUMBER(E362),E362&gt;1),E362,1),"")</f>
        <v/>
      </c>
      <c r="J362" s="32">
        <f>Settings!$B$66</f>
        <v/>
      </c>
      <c r="K362" s="95">
        <f>IFERROR(IF(T362="","",(T362*(1-AN362)*(1-Settings!$B$17)-I362)/(T362*(1-AN362)*(1-Settings!$B$17))),"")</f>
        <v/>
      </c>
      <c r="L362" s="101">
        <f>IFERROR(IF(T362="","",(T362*(1-AO362)*(1-Settings!$C$17)-I362)/(T362*(1-AO362)*(1-Settings!$C$17))),"")</f>
        <v/>
      </c>
      <c r="M362" s="101">
        <f>IFERROR(IF(T362="","",(T362*(1-AP362)*(1-Settings!$D$17)-I362)/(T362*(1-AP362)*(1-Settings!$D$17))),"")</f>
        <v/>
      </c>
      <c r="N362" s="101">
        <f>IFERROR(IF(T362="","",(T362*(1-AQ362)*(1-Settings!$F$17)-I362)/(T362*(1-AQ362)*(1-Settings!$F$17))),"")</f>
        <v/>
      </c>
      <c r="O362" s="101">
        <f>IFERROR(IF(T362="","",(T362*(1-AR362)*(1-Settings!$G$17)-I362)/(T362*(1-AR362)*(1-Settings!$G$17))),"")</f>
        <v/>
      </c>
      <c r="P362" s="101">
        <f>IFERROR(IF(T362="","",(T362*(1-AS362)*(1-Settings!$H$17)-I362)/(T362*(1-AS362)*(1-Settings!$H$17))),"")</f>
        <v/>
      </c>
      <c r="Q362" s="101">
        <f>IFERROR(IF(T362="","",(T362*(1-AT362)*(1-Settings!$I$68)*(1-Settings!$I$17)-I362)/(T362*(1-AT362)*(1-Settings!$I$68)*(1-Settings!$I$17))),"")</f>
        <v/>
      </c>
      <c r="R362" s="91">
        <f>IFERROR(IF(OR(I362="",Z362&gt;=1,Settings!$B$17&gt;=1,AN362&gt;=1),"",IF(MOD(ROUND(I362/(1-Z362)/(1-Settings!$B$17)/(1-AN362),0),10)=0,ROUND(I362/(1-Z362)/(1-Settings!$B$17)/(1-AN362),0)-1,IF(MOD(ROUND(I362/(1-Z362)/(1-Settings!$B$17)/(1-AN362),0),10)&lt;=5,FLOOR(ROUND(I362/(1-Z362)/(1-Settings!$B$17)/(1-AN362),0),10)+6,FLOOR(ROUND(I362/(1-Z362)/(1-Settings!$B$17)/(1-AN362),0),10)+9))),"")</f>
        <v/>
      </c>
      <c r="S362" s="174" t="n"/>
      <c r="T362" s="91">
        <f>IF(S362&lt;&gt;"", IF(MOD(S362,10)=0,S362-1,IF(MOD(S362,10)&lt;=5,FLOOR(S362,10)+6,FLOOR(S362,10)+9)), R362)</f>
        <v/>
      </c>
      <c r="U362" s="87" t="inlineStr">
        <is>
          <t>Трафіковий</t>
        </is>
      </c>
      <c r="V362" s="88" t="n"/>
      <c r="W362" s="88" t="n"/>
      <c r="X362" s="89">
        <f>IFERROR(IF(OR(V362="",W362="",T362=""),"", IF(T362&gt;W362,"Дорогий",IF(T362&lt;V362,"Дешевий","У ринку"))),"")</f>
        <v/>
      </c>
      <c r="Y362" s="90" t="n"/>
      <c r="Z362" s="104">
        <f>CHOOSE(MATCH(IF($U362="","Основний",$U362),{"Трафіковий","Основний","Маржинальний","Сезонний","Стратегічний"},0),0.16,0.19,0.24,0.23,0.28)</f>
        <v/>
      </c>
      <c r="AA362" s="104">
        <f>CHOOSE(MATCH(IF($U362="","Основний",$U362),{"Трафіковий","Основний","Маржинальний","Сезонний","Стратегічний"},0),0.18,0.21,0.26,0.25,0.3)</f>
        <v/>
      </c>
      <c r="AB362" s="104">
        <f>CHOOSE(MATCH(IF($U362="","Основний",$U362),{"Трафіковий","Основний","Маржинальний","Сезонний","Стратегічний"},0),0.19,0.22,0.28,0.26,0.32)</f>
        <v/>
      </c>
      <c r="AC362" s="104">
        <f>CHOOSE(MATCH(IF($U362="","Основний",$U362),{"Трафіковий","Основний","Маржинальний","Сезонний","Стратегічний"},0),0.17,0.2,0.25,0.24,0.28)</f>
        <v/>
      </c>
      <c r="AD362" s="104">
        <f>CHOOSE(MATCH(IF($U362="","Основний",$U362),{"Трафіковий","Основний","Маржинальний","Сезонний","Стратегічний"},0),0.18,0.21,0.26,0.25,0.3)</f>
        <v/>
      </c>
      <c r="AE362" s="104">
        <f>CHOOSE(MATCH(IF($U362="","Основний",$U362),{"Трафіковий","Основний","Маржинальний","Сезонний","Стратегічний"},0),0.18,0.2,0.28,0.27,0.32)</f>
        <v/>
      </c>
      <c r="AF362" s="104">
        <f>CHOOSE(MATCH(IF($U362="","Основний",$U362),{"Трафіковий","Основний","Маржинальний","Сезонний","Стратегічний"},0),0.15,0.175,0.22,0.21,0.25)</f>
        <v/>
      </c>
      <c r="AG362" s="104">
        <f>CHOOSE(MATCH(IF($U362="","Основний",$U362),{"Трафіковий","Основний","Маржинальний","Сезонний","Стратегічний"},0),0.13,0.16,0.21,0.2,0.25)</f>
        <v/>
      </c>
      <c r="AH362" s="104">
        <f>CHOOSE(MATCH(IF($U362="","Основний",$U362),{"Трафіковий","Основний","Маржинальний","Сезонний","Стратегічний"},0),0.15,0.18,0.23,0.22,0.27)</f>
        <v/>
      </c>
      <c r="AI362" s="104">
        <f>CHOOSE(MATCH(IF($U362="","Основний",$U362),{"Трафіковий","Основний","Маржинальний","Сезонний","Стратегічний"},0),0.16,0.19,0.25,0.23,0.29)</f>
        <v/>
      </c>
      <c r="AJ362" s="104">
        <f>CHOOSE(MATCH(IF($U362="","Основний",$U362),{"Трафіковий","Основний","Маржинальний","Сезонний","Стратегічний"},0),0.14,0.17,0.22,0.21,0.25)</f>
        <v/>
      </c>
      <c r="AK362" s="104">
        <f>CHOOSE(MATCH(IF($U362="","Основний",$U362),{"Трафіковий","Основний","Маржинальний","Сезонний","Стратегічний"},0),0.15,0.18,0.23,0.22,0.27)</f>
        <v/>
      </c>
      <c r="AL362" s="104">
        <f>CHOOSE(MATCH(IF($U362="","Основний",$U362),{"Трафіковий","Основний","Маржинальний","Сезонний","Стратегічний"},0),0.15,0.17,0.25,0.24,0.29)</f>
        <v/>
      </c>
      <c r="AM362" s="104">
        <f>CHOOSE(MATCH(IF($U362="","Основний",$U362),{"Трафіковий","Основний","Маржинальний","Сезонний","Стратегічний"},0),0.12,0.145,0.19,0.18,0.22)</f>
        <v/>
      </c>
      <c r="AN362" s="157">
        <f>CHOOSE(MATCH(IF($U362="","Основний",$U362),{"Трафіковий","Основний","Маржинальний","Сезонний","Стратегічний"},0),Settings!$B$78,Settings!$B$80,Settings!$B$82,Settings!$B$84,Settings!$B$86)</f>
        <v/>
      </c>
      <c r="AO362" s="157">
        <f>CHOOSE(MATCH(IF($U362="","Основний",$U362),{"Трафіковий","Основний","Маржинальний","Сезонний","Стратегічний"},0),Settings!$C$78,Settings!$C$80,Settings!$C$82,Settings!$C$84,Settings!$C$86)</f>
        <v/>
      </c>
      <c r="AP362" s="157">
        <f>CHOOSE(MATCH(IF($U362="","Основний",$U362),{"Трафіковий","Основний","Маржинальний","Сезонний","Стратегічний"},0),Settings!$D$78,Settings!$D$80,Settings!$D$82,Settings!$D$84,Settings!$D$86)</f>
        <v/>
      </c>
      <c r="AQ362" s="157">
        <f>CHOOSE(MATCH(IF($U362="","Основний",$U362),{"Трафіковий","Основний","Маржинальний","Сезонний","Стратегічний"},0),Settings!$F$78,Settings!$F$80,Settings!$F$82,Settings!$F$84,Settings!$F$86)</f>
        <v/>
      </c>
      <c r="AR362" s="157">
        <f>CHOOSE(MATCH(IF($U362="","Основний",$U362),{"Трафіковий","Основний","Маржинальний","Сезонний","Стратегічний"},0),Settings!$G$78,Settings!$G$80,Settings!$G$82,Settings!$G$84,Settings!$G$86)</f>
        <v/>
      </c>
      <c r="AS362" s="157">
        <f>CHOOSE(MATCH(IF($U362="","Основний",$U362),{"Трафіковий","Основний","Маржинальний","Сезонний","Стратегічний"},0),Settings!$H$78,Settings!$H$80,Settings!$H$82,Settings!$H$84,Settings!$H$86)</f>
        <v/>
      </c>
      <c r="AT362" s="157">
        <f>CHOOSE(MATCH(IF($U362="","Основний",$U362),{"Трафіковий","Основний","Маржинальний","Сезонний","Стратегічний"},0),Settings!$I$78,Settings!$I$80,Settings!$I$82,Settings!$I$84,Settings!$I$86)</f>
        <v/>
      </c>
      <c r="AU362" s="171" t="n"/>
      <c r="AV362" t="n">
        <v>1.25</v>
      </c>
    </row>
    <row r="363">
      <c r="A363" s="33" t="n"/>
      <c r="B363" s="34" t="inlineStr">
        <is>
          <t>P192250</t>
        </is>
      </c>
      <c r="C363" s="34" t="inlineStr">
        <is>
          <t>CABLE R.3S 25M 1,5MM RUB.SCH.</t>
        </is>
      </c>
      <c r="D363" s="34" t="inlineStr">
        <is>
          <t>Пооджувачи та адаптери</t>
        </is>
      </c>
      <c r="E363" s="33" t="inlineStr">
        <is>
          <t>PC</t>
        </is>
      </c>
      <c r="F363" s="94" t="n">
        <v>59.772</v>
      </c>
      <c r="G363" s="35" t="n">
        <v>8544429090</v>
      </c>
      <c r="H363" s="31" t="n">
        <v>1.4</v>
      </c>
      <c r="I363" s="84">
        <f>IFERROR(F363*Settings!$B$2*H363*IF(AND(ISNUMBER(E363),E363&gt;1),E363,1),"")</f>
        <v/>
      </c>
      <c r="J363" s="32">
        <f>Settings!$B$66</f>
        <v/>
      </c>
      <c r="K363" s="95">
        <f>IFERROR(IF(T363="","",(T363*(1-AN363)*(1-Settings!$B$17)-I363)/(T363*(1-AN363)*(1-Settings!$B$17))),"")</f>
        <v/>
      </c>
      <c r="L363" s="101">
        <f>IFERROR(IF(T363="","",(T363*(1-AO363)*(1-Settings!$C$17)-I363)/(T363*(1-AO363)*(1-Settings!$C$17))),"")</f>
        <v/>
      </c>
      <c r="M363" s="101">
        <f>IFERROR(IF(T363="","",(T363*(1-AP363)*(1-Settings!$D$17)-I363)/(T363*(1-AP363)*(1-Settings!$D$17))),"")</f>
        <v/>
      </c>
      <c r="N363" s="101">
        <f>IFERROR(IF(T363="","",(T363*(1-AQ363)*(1-Settings!$F$17)-I363)/(T363*(1-AQ363)*(1-Settings!$F$17))),"")</f>
        <v/>
      </c>
      <c r="O363" s="101">
        <f>IFERROR(IF(T363="","",(T363*(1-AR363)*(1-Settings!$G$17)-I363)/(T363*(1-AR363)*(1-Settings!$G$17))),"")</f>
        <v/>
      </c>
      <c r="P363" s="101">
        <f>IFERROR(IF(T363="","",(T363*(1-AS363)*(1-Settings!$H$17)-I363)/(T363*(1-AS363)*(1-Settings!$H$17))),"")</f>
        <v/>
      </c>
      <c r="Q363" s="101">
        <f>IFERROR(IF(T363="","",(T363*(1-AT363)*(1-Settings!$I$68)*(1-Settings!$I$17)-I363)/(T363*(1-AT363)*(1-Settings!$I$68)*(1-Settings!$I$17))),"")</f>
        <v/>
      </c>
      <c r="R363" s="91">
        <f>IFERROR(IF(OR(I363="",Z363&gt;=1,Settings!$B$17&gt;=1,AN363&gt;=1),"",IF(MOD(ROUND(I363/(1-Z363)/(1-Settings!$B$17)/(1-AN363),0),10)=0,ROUND(I363/(1-Z363)/(1-Settings!$B$17)/(1-AN363),0)-1,IF(MOD(ROUND(I363/(1-Z363)/(1-Settings!$B$17)/(1-AN363),0),10)&lt;=5,FLOOR(ROUND(I363/(1-Z363)/(1-Settings!$B$17)/(1-AN363),0),10)+6,FLOOR(ROUND(I363/(1-Z363)/(1-Settings!$B$17)/(1-AN363),0),10)+9))),"")</f>
        <v/>
      </c>
      <c r="S363" s="174" t="n"/>
      <c r="T363" s="91">
        <f>IF(S363&lt;&gt;"", IF(MOD(S363,10)=0,S363-1,IF(MOD(S363,10)&lt;=5,FLOOR(S363,10)+6,FLOOR(S363,10)+9)), R363)</f>
        <v/>
      </c>
      <c r="U363" s="87" t="inlineStr">
        <is>
          <t>Трафіковий</t>
        </is>
      </c>
      <c r="V363" s="88" t="n"/>
      <c r="W363" s="88" t="n"/>
      <c r="X363" s="89">
        <f>IFERROR(IF(OR(V363="",W363="",T363=""),"", IF(T363&gt;W363,"Дорогий",IF(T363&lt;V363,"Дешевий","У ринку"))),"")</f>
        <v/>
      </c>
      <c r="Y363" s="90" t="n"/>
      <c r="Z363" s="104">
        <f>CHOOSE(MATCH(IF($U363="","Основний",$U363),{"Трафіковий","Основний","Маржинальний","Сезонний","Стратегічний"},0),0.16,0.19,0.24,0.23,0.28)</f>
        <v/>
      </c>
      <c r="AA363" s="104">
        <f>CHOOSE(MATCH(IF($U363="","Основний",$U363),{"Трафіковий","Основний","Маржинальний","Сезонний","Стратегічний"},0),0.18,0.21,0.26,0.25,0.3)</f>
        <v/>
      </c>
      <c r="AB363" s="104">
        <f>CHOOSE(MATCH(IF($U363="","Основний",$U363),{"Трафіковий","Основний","Маржинальний","Сезонний","Стратегічний"},0),0.19,0.22,0.28,0.26,0.32)</f>
        <v/>
      </c>
      <c r="AC363" s="104">
        <f>CHOOSE(MATCH(IF($U363="","Основний",$U363),{"Трафіковий","Основний","Маржинальний","Сезонний","Стратегічний"},0),0.17,0.2,0.25,0.24,0.28)</f>
        <v/>
      </c>
      <c r="AD363" s="104">
        <f>CHOOSE(MATCH(IF($U363="","Основний",$U363),{"Трафіковий","Основний","Маржинальний","Сезонний","Стратегічний"},0),0.18,0.21,0.26,0.25,0.3)</f>
        <v/>
      </c>
      <c r="AE363" s="104">
        <f>CHOOSE(MATCH(IF($U363="","Основний",$U363),{"Трафіковий","Основний","Маржинальний","Сезонний","Стратегічний"},0),0.18,0.2,0.28,0.27,0.32)</f>
        <v/>
      </c>
      <c r="AF363" s="104">
        <f>CHOOSE(MATCH(IF($U363="","Основний",$U363),{"Трафіковий","Основний","Маржинальний","Сезонний","Стратегічний"},0),0.15,0.175,0.22,0.21,0.25)</f>
        <v/>
      </c>
      <c r="AG363" s="104">
        <f>CHOOSE(MATCH(IF($U363="","Основний",$U363),{"Трафіковий","Основний","Маржинальний","Сезонний","Стратегічний"},0),0.13,0.16,0.21,0.2,0.25)</f>
        <v/>
      </c>
      <c r="AH363" s="104">
        <f>CHOOSE(MATCH(IF($U363="","Основний",$U363),{"Трафіковий","Основний","Маржинальний","Сезонний","Стратегічний"},0),0.15,0.18,0.23,0.22,0.27)</f>
        <v/>
      </c>
      <c r="AI363" s="104">
        <f>CHOOSE(MATCH(IF($U363="","Основний",$U363),{"Трафіковий","Основний","Маржинальний","Сезонний","Стратегічний"},0),0.16,0.19,0.25,0.23,0.29)</f>
        <v/>
      </c>
      <c r="AJ363" s="104">
        <f>CHOOSE(MATCH(IF($U363="","Основний",$U363),{"Трафіковий","Основний","Маржинальний","Сезонний","Стратегічний"},0),0.14,0.17,0.22,0.21,0.25)</f>
        <v/>
      </c>
      <c r="AK363" s="104">
        <f>CHOOSE(MATCH(IF($U363="","Основний",$U363),{"Трафіковий","Основний","Маржинальний","Сезонний","Стратегічний"},0),0.15,0.18,0.23,0.22,0.27)</f>
        <v/>
      </c>
      <c r="AL363" s="104">
        <f>CHOOSE(MATCH(IF($U363="","Основний",$U363),{"Трафіковий","Основний","Маржинальний","Сезонний","Стратегічний"},0),0.15,0.17,0.25,0.24,0.29)</f>
        <v/>
      </c>
      <c r="AM363" s="104">
        <f>CHOOSE(MATCH(IF($U363="","Основний",$U363),{"Трафіковий","Основний","Маржинальний","Сезонний","Стратегічний"},0),0.12,0.145,0.19,0.18,0.22)</f>
        <v/>
      </c>
      <c r="AN363" s="157">
        <f>CHOOSE(MATCH(IF($U363="","Основний",$U363),{"Трафіковий","Основний","Маржинальний","Сезонний","Стратегічний"},0),Settings!$B$78,Settings!$B$80,Settings!$B$82,Settings!$B$84,Settings!$B$86)</f>
        <v/>
      </c>
      <c r="AO363" s="157">
        <f>CHOOSE(MATCH(IF($U363="","Основний",$U363),{"Трафіковий","Основний","Маржинальний","Сезонний","Стратегічний"},0),Settings!$C$78,Settings!$C$80,Settings!$C$82,Settings!$C$84,Settings!$C$86)</f>
        <v/>
      </c>
      <c r="AP363" s="157">
        <f>CHOOSE(MATCH(IF($U363="","Основний",$U363),{"Трафіковий","Основний","Маржинальний","Сезонний","Стратегічний"},0),Settings!$D$78,Settings!$D$80,Settings!$D$82,Settings!$D$84,Settings!$D$86)</f>
        <v/>
      </c>
      <c r="AQ363" s="157">
        <f>CHOOSE(MATCH(IF($U363="","Основний",$U363),{"Трафіковий","Основний","Маржинальний","Сезонний","Стратегічний"},0),Settings!$F$78,Settings!$F$80,Settings!$F$82,Settings!$F$84,Settings!$F$86)</f>
        <v/>
      </c>
      <c r="AR363" s="157">
        <f>CHOOSE(MATCH(IF($U363="","Основний",$U363),{"Трафіковий","Основний","Маржинальний","Сезонний","Стратегічний"},0),Settings!$G$78,Settings!$G$80,Settings!$G$82,Settings!$G$84,Settings!$G$86)</f>
        <v/>
      </c>
      <c r="AS363" s="157">
        <f>CHOOSE(MATCH(IF($U363="","Основний",$U363),{"Трафіковий","Основний","Маржинальний","Сезонний","Стратегічний"},0),Settings!$H$78,Settings!$H$80,Settings!$H$82,Settings!$H$84,Settings!$H$86)</f>
        <v/>
      </c>
      <c r="AT363" s="157">
        <f>CHOOSE(MATCH(IF($U363="","Основний",$U363),{"Трафіковий","Основний","Маржинальний","Сезонний","Стратегічний"},0),Settings!$I$78,Settings!$I$80,Settings!$I$82,Settings!$I$84,Settings!$I$86)</f>
        <v/>
      </c>
      <c r="AU363" s="171" t="n"/>
      <c r="AV363" t="n">
        <v>1.25</v>
      </c>
    </row>
    <row r="364">
      <c r="A364" s="28" t="n"/>
      <c r="B364" s="29" t="inlineStr">
        <is>
          <t>P08215</t>
        </is>
      </c>
      <c r="C364" s="29" t="inlineStr">
        <is>
          <t>CABLE REEL 4S + LED REFLEKTOR 15M 1,5MM RN SCHUKO</t>
        </is>
      </c>
      <c r="D364" s="29" t="inlineStr">
        <is>
          <t>Пооджувачи та адаптери</t>
        </is>
      </c>
      <c r="E364" s="28" t="inlineStr">
        <is>
          <t>PC</t>
        </is>
      </c>
      <c r="F364" s="93" t="n">
        <v>37.602</v>
      </c>
      <c r="G364" s="30" t="n">
        <v>8544429090</v>
      </c>
      <c r="H364" s="31" t="n">
        <v>1.4</v>
      </c>
      <c r="I364" s="84">
        <f>IFERROR(F364*Settings!$B$2*H364*IF(AND(ISNUMBER(E364),E364&gt;1),E364,1),"")</f>
        <v/>
      </c>
      <c r="J364" s="32">
        <f>Settings!$B$66</f>
        <v/>
      </c>
      <c r="K364" s="95">
        <f>IFERROR(IF(T364="","",(T364*(1-AN364)*(1-Settings!$B$17)-I364)/(T364*(1-AN364)*(1-Settings!$B$17))),"")</f>
        <v/>
      </c>
      <c r="L364" s="101">
        <f>IFERROR(IF(T364="","",(T364*(1-AO364)*(1-Settings!$C$17)-I364)/(T364*(1-AO364)*(1-Settings!$C$17))),"")</f>
        <v/>
      </c>
      <c r="M364" s="101">
        <f>IFERROR(IF(T364="","",(T364*(1-AP364)*(1-Settings!$D$17)-I364)/(T364*(1-AP364)*(1-Settings!$D$17))),"")</f>
        <v/>
      </c>
      <c r="N364" s="101">
        <f>IFERROR(IF(T364="","",(T364*(1-AQ364)*(1-Settings!$F$17)-I364)/(T364*(1-AQ364)*(1-Settings!$F$17))),"")</f>
        <v/>
      </c>
      <c r="O364" s="101">
        <f>IFERROR(IF(T364="","",(T364*(1-AR364)*(1-Settings!$G$17)-I364)/(T364*(1-AR364)*(1-Settings!$G$17))),"")</f>
        <v/>
      </c>
      <c r="P364" s="101">
        <f>IFERROR(IF(T364="","",(T364*(1-AS364)*(1-Settings!$H$17)-I364)/(T364*(1-AS364)*(1-Settings!$H$17))),"")</f>
        <v/>
      </c>
      <c r="Q364" s="101">
        <f>IFERROR(IF(T364="","",(T364*(1-AT364)*(1-Settings!$I$68)*(1-Settings!$I$17)-I364)/(T364*(1-AT364)*(1-Settings!$I$68)*(1-Settings!$I$17))),"")</f>
        <v/>
      </c>
      <c r="R364" s="91">
        <f>IFERROR(IF(OR(I364="",Z364&gt;=1,Settings!$B$17&gt;=1,AN364&gt;=1),"",IF(MOD(ROUND(I364/(1-Z364)/(1-Settings!$B$17)/(1-AN364),0),10)=0,ROUND(I364/(1-Z364)/(1-Settings!$B$17)/(1-AN364),0)-1,IF(MOD(ROUND(I364/(1-Z364)/(1-Settings!$B$17)/(1-AN364),0),10)&lt;=5,FLOOR(ROUND(I364/(1-Z364)/(1-Settings!$B$17)/(1-AN364),0),10)+6,FLOOR(ROUND(I364/(1-Z364)/(1-Settings!$B$17)/(1-AN364),0),10)+9))),"")</f>
        <v/>
      </c>
      <c r="S364" s="174" t="n"/>
      <c r="T364" s="91">
        <f>IF(S364&lt;&gt;"", IF(MOD(S364,10)=0,S364-1,IF(MOD(S364,10)&lt;=5,FLOOR(S364,10)+6,FLOOR(S364,10)+9)), R364)</f>
        <v/>
      </c>
      <c r="U364" s="87" t="inlineStr">
        <is>
          <t>Трафіковий</t>
        </is>
      </c>
      <c r="V364" s="88" t="n"/>
      <c r="W364" s="88" t="n"/>
      <c r="X364" s="89">
        <f>IFERROR(IF(OR(V364="",W364="",T364=""),"", IF(T364&gt;W364,"Дорогий",IF(T364&lt;V364,"Дешевий","У ринку"))),"")</f>
        <v/>
      </c>
      <c r="Y364" s="90" t="n"/>
      <c r="Z364" s="104">
        <f>CHOOSE(MATCH(IF($U364="","Основний",$U364),{"Трафіковий","Основний","Маржинальний","Сезонний","Стратегічний"},0),0.16,0.19,0.24,0.23,0.28)</f>
        <v/>
      </c>
      <c r="AA364" s="104">
        <f>CHOOSE(MATCH(IF($U364="","Основний",$U364),{"Трафіковий","Основний","Маржинальний","Сезонний","Стратегічний"},0),0.18,0.21,0.26,0.25,0.3)</f>
        <v/>
      </c>
      <c r="AB364" s="104">
        <f>CHOOSE(MATCH(IF($U364="","Основний",$U364),{"Трафіковий","Основний","Маржинальний","Сезонний","Стратегічний"},0),0.19,0.22,0.28,0.26,0.32)</f>
        <v/>
      </c>
      <c r="AC364" s="104">
        <f>CHOOSE(MATCH(IF($U364="","Основний",$U364),{"Трафіковий","Основний","Маржинальний","Сезонний","Стратегічний"},0),0.17,0.2,0.25,0.24,0.28)</f>
        <v/>
      </c>
      <c r="AD364" s="104">
        <f>CHOOSE(MATCH(IF($U364="","Основний",$U364),{"Трафіковий","Основний","Маржинальний","Сезонний","Стратегічний"},0),0.18,0.21,0.26,0.25,0.3)</f>
        <v/>
      </c>
      <c r="AE364" s="104">
        <f>CHOOSE(MATCH(IF($U364="","Основний",$U364),{"Трафіковий","Основний","Маржинальний","Сезонний","Стратегічний"},0),0.18,0.2,0.28,0.27,0.32)</f>
        <v/>
      </c>
      <c r="AF364" s="104">
        <f>CHOOSE(MATCH(IF($U364="","Основний",$U364),{"Трафіковий","Основний","Маржинальний","Сезонний","Стратегічний"},0),0.15,0.175,0.22,0.21,0.25)</f>
        <v/>
      </c>
      <c r="AG364" s="104">
        <f>CHOOSE(MATCH(IF($U364="","Основний",$U364),{"Трафіковий","Основний","Маржинальний","Сезонний","Стратегічний"},0),0.13,0.16,0.21,0.2,0.25)</f>
        <v/>
      </c>
      <c r="AH364" s="104">
        <f>CHOOSE(MATCH(IF($U364="","Основний",$U364),{"Трафіковий","Основний","Маржинальний","Сезонний","Стратегічний"},0),0.15,0.18,0.23,0.22,0.27)</f>
        <v/>
      </c>
      <c r="AI364" s="104">
        <f>CHOOSE(MATCH(IF($U364="","Основний",$U364),{"Трафіковий","Основний","Маржинальний","Сезонний","Стратегічний"},0),0.16,0.19,0.25,0.23,0.29)</f>
        <v/>
      </c>
      <c r="AJ364" s="104">
        <f>CHOOSE(MATCH(IF($U364="","Основний",$U364),{"Трафіковий","Основний","Маржинальний","Сезонний","Стратегічний"},0),0.14,0.17,0.22,0.21,0.25)</f>
        <v/>
      </c>
      <c r="AK364" s="104">
        <f>CHOOSE(MATCH(IF($U364="","Основний",$U364),{"Трафіковий","Основний","Маржинальний","Сезонний","Стратегічний"},0),0.15,0.18,0.23,0.22,0.27)</f>
        <v/>
      </c>
      <c r="AL364" s="104">
        <f>CHOOSE(MATCH(IF($U364="","Основний",$U364),{"Трафіковий","Основний","Маржинальний","Сезонний","Стратегічний"},0),0.15,0.17,0.25,0.24,0.29)</f>
        <v/>
      </c>
      <c r="AM364" s="104">
        <f>CHOOSE(MATCH(IF($U364="","Основний",$U364),{"Трафіковий","Основний","Маржинальний","Сезонний","Стратегічний"},0),0.12,0.145,0.19,0.18,0.22)</f>
        <v/>
      </c>
      <c r="AN364" s="157">
        <f>CHOOSE(MATCH(IF($U364="","Основний",$U364),{"Трафіковий","Основний","Маржинальний","Сезонний","Стратегічний"},0),Settings!$B$78,Settings!$B$80,Settings!$B$82,Settings!$B$84,Settings!$B$86)</f>
        <v/>
      </c>
      <c r="AO364" s="157">
        <f>CHOOSE(MATCH(IF($U364="","Основний",$U364),{"Трафіковий","Основний","Маржинальний","Сезонний","Стратегічний"},0),Settings!$C$78,Settings!$C$80,Settings!$C$82,Settings!$C$84,Settings!$C$86)</f>
        <v/>
      </c>
      <c r="AP364" s="157">
        <f>CHOOSE(MATCH(IF($U364="","Основний",$U364),{"Трафіковий","Основний","Маржинальний","Сезонний","Стратегічний"},0),Settings!$D$78,Settings!$D$80,Settings!$D$82,Settings!$D$84,Settings!$D$86)</f>
        <v/>
      </c>
      <c r="AQ364" s="157">
        <f>CHOOSE(MATCH(IF($U364="","Основний",$U364),{"Трафіковий","Основний","Маржинальний","Сезонний","Стратегічний"},0),Settings!$F$78,Settings!$F$80,Settings!$F$82,Settings!$F$84,Settings!$F$86)</f>
        <v/>
      </c>
      <c r="AR364" s="157">
        <f>CHOOSE(MATCH(IF($U364="","Основний",$U364),{"Трафіковий","Основний","Маржинальний","Сезонний","Стратегічний"},0),Settings!$G$78,Settings!$G$80,Settings!$G$82,Settings!$G$84,Settings!$G$86)</f>
        <v/>
      </c>
      <c r="AS364" s="157">
        <f>CHOOSE(MATCH(IF($U364="","Основний",$U364),{"Трафіковий","Основний","Маржинальний","Сезонний","Стратегічний"},0),Settings!$H$78,Settings!$H$80,Settings!$H$82,Settings!$H$84,Settings!$H$86)</f>
        <v/>
      </c>
      <c r="AT364" s="157">
        <f>CHOOSE(MATCH(IF($U364="","Основний",$U364),{"Трафіковий","Основний","Маржинальний","Сезонний","Стратегічний"},0),Settings!$I$78,Settings!$I$80,Settings!$I$82,Settings!$I$84,Settings!$I$86)</f>
        <v/>
      </c>
      <c r="AU364" s="171" t="n"/>
      <c r="AV364" t="n">
        <v>1.3</v>
      </c>
    </row>
    <row r="365">
      <c r="A365" s="33" t="n"/>
      <c r="B365" s="34" t="inlineStr">
        <is>
          <t>P19625</t>
        </is>
      </c>
      <c r="C365" s="34" t="inlineStr">
        <is>
          <t>CABLE REEL 25M 2,5MM RUB.SCH.</t>
        </is>
      </c>
      <c r="D365" s="34" t="inlineStr">
        <is>
          <t>Пооджувачи та адаптери</t>
        </is>
      </c>
      <c r="E365" s="33" t="inlineStr">
        <is>
          <t>PC</t>
        </is>
      </c>
      <c r="F365" s="94" t="n">
        <v>48.051</v>
      </c>
      <c r="G365" s="35" t="n">
        <v>8544429090</v>
      </c>
      <c r="H365" s="31" t="n">
        <v>1.4</v>
      </c>
      <c r="I365" s="84">
        <f>IFERROR(F365*Settings!$B$2*H365*IF(AND(ISNUMBER(E365),E365&gt;1),E365,1),"")</f>
        <v/>
      </c>
      <c r="J365" s="32">
        <f>Settings!$B$66</f>
        <v/>
      </c>
      <c r="K365" s="95">
        <f>IFERROR(IF(T365="","",(T365*(1-AN365)*(1-Settings!$B$17)-I365)/(T365*(1-AN365)*(1-Settings!$B$17))),"")</f>
        <v/>
      </c>
      <c r="L365" s="101">
        <f>IFERROR(IF(T365="","",(T365*(1-AO365)*(1-Settings!$C$17)-I365)/(T365*(1-AO365)*(1-Settings!$C$17))),"")</f>
        <v/>
      </c>
      <c r="M365" s="101">
        <f>IFERROR(IF(T365="","",(T365*(1-AP365)*(1-Settings!$D$17)-I365)/(T365*(1-AP365)*(1-Settings!$D$17))),"")</f>
        <v/>
      </c>
      <c r="N365" s="101">
        <f>IFERROR(IF(T365="","",(T365*(1-AQ365)*(1-Settings!$F$17)-I365)/(T365*(1-AQ365)*(1-Settings!$F$17))),"")</f>
        <v/>
      </c>
      <c r="O365" s="101">
        <f>IFERROR(IF(T365="","",(T365*(1-AR365)*(1-Settings!$G$17)-I365)/(T365*(1-AR365)*(1-Settings!$G$17))),"")</f>
        <v/>
      </c>
      <c r="P365" s="101">
        <f>IFERROR(IF(T365="","",(T365*(1-AS365)*(1-Settings!$H$17)-I365)/(T365*(1-AS365)*(1-Settings!$H$17))),"")</f>
        <v/>
      </c>
      <c r="Q365" s="101">
        <f>IFERROR(IF(T365="","",(T365*(1-AT365)*(1-Settings!$I$68)*(1-Settings!$I$17)-I365)/(T365*(1-AT365)*(1-Settings!$I$68)*(1-Settings!$I$17))),"")</f>
        <v/>
      </c>
      <c r="R365" s="91">
        <f>IFERROR(IF(OR(I365="",Z365&gt;=1,Settings!$B$17&gt;=1,AN365&gt;=1),"",IF(MOD(ROUND(I365/(1-Z365)/(1-Settings!$B$17)/(1-AN365),0),10)=0,ROUND(I365/(1-Z365)/(1-Settings!$B$17)/(1-AN365),0)-1,IF(MOD(ROUND(I365/(1-Z365)/(1-Settings!$B$17)/(1-AN365),0),10)&lt;=5,FLOOR(ROUND(I365/(1-Z365)/(1-Settings!$B$17)/(1-AN365),0),10)+6,FLOOR(ROUND(I365/(1-Z365)/(1-Settings!$B$17)/(1-AN365),0),10)+9))),"")</f>
        <v/>
      </c>
      <c r="S365" s="174" t="n"/>
      <c r="T365" s="91">
        <f>IF(S365&lt;&gt;"", IF(MOD(S365,10)=0,S365-1,IF(MOD(S365,10)&lt;=5,FLOOR(S365,10)+6,FLOOR(S365,10)+9)), R365)</f>
        <v/>
      </c>
      <c r="U365" s="87" t="inlineStr">
        <is>
          <t>Трафіковий</t>
        </is>
      </c>
      <c r="V365" s="88" t="n"/>
      <c r="W365" s="88" t="n"/>
      <c r="X365" s="89">
        <f>IFERROR(IF(OR(V365="",W365="",T365=""),"", IF(T365&gt;W365,"Дорогий",IF(T365&lt;V365,"Дешевий","У ринку"))),"")</f>
        <v/>
      </c>
      <c r="Y365" s="90" t="n"/>
      <c r="Z365" s="104">
        <f>CHOOSE(MATCH(IF($U365="","Основний",$U365),{"Трафіковий","Основний","Маржинальний","Сезонний","Стратегічний"},0),0.16,0.19,0.24,0.23,0.28)</f>
        <v/>
      </c>
      <c r="AA365" s="104">
        <f>CHOOSE(MATCH(IF($U365="","Основний",$U365),{"Трафіковий","Основний","Маржинальний","Сезонний","Стратегічний"},0),0.18,0.21,0.26,0.25,0.3)</f>
        <v/>
      </c>
      <c r="AB365" s="104">
        <f>CHOOSE(MATCH(IF($U365="","Основний",$U365),{"Трафіковий","Основний","Маржинальний","Сезонний","Стратегічний"},0),0.19,0.22,0.28,0.26,0.32)</f>
        <v/>
      </c>
      <c r="AC365" s="104">
        <f>CHOOSE(MATCH(IF($U365="","Основний",$U365),{"Трафіковий","Основний","Маржинальний","Сезонний","Стратегічний"},0),0.17,0.2,0.25,0.24,0.28)</f>
        <v/>
      </c>
      <c r="AD365" s="104">
        <f>CHOOSE(MATCH(IF($U365="","Основний",$U365),{"Трафіковий","Основний","Маржинальний","Сезонний","Стратегічний"},0),0.18,0.21,0.26,0.25,0.3)</f>
        <v/>
      </c>
      <c r="AE365" s="104">
        <f>CHOOSE(MATCH(IF($U365="","Основний",$U365),{"Трафіковий","Основний","Маржинальний","Сезонний","Стратегічний"},0),0.18,0.2,0.28,0.27,0.32)</f>
        <v/>
      </c>
      <c r="AF365" s="104">
        <f>CHOOSE(MATCH(IF($U365="","Основний",$U365),{"Трафіковий","Основний","Маржинальний","Сезонний","Стратегічний"},0),0.15,0.175,0.22,0.21,0.25)</f>
        <v/>
      </c>
      <c r="AG365" s="104">
        <f>CHOOSE(MATCH(IF($U365="","Основний",$U365),{"Трафіковий","Основний","Маржинальний","Сезонний","Стратегічний"},0),0.13,0.16,0.21,0.2,0.25)</f>
        <v/>
      </c>
      <c r="AH365" s="104">
        <f>CHOOSE(MATCH(IF($U365="","Основний",$U365),{"Трафіковий","Основний","Маржинальний","Сезонний","Стратегічний"},0),0.15,0.18,0.23,0.22,0.27)</f>
        <v/>
      </c>
      <c r="AI365" s="104">
        <f>CHOOSE(MATCH(IF($U365="","Основний",$U365),{"Трафіковий","Основний","Маржинальний","Сезонний","Стратегічний"},0),0.16,0.19,0.25,0.23,0.29)</f>
        <v/>
      </c>
      <c r="AJ365" s="104">
        <f>CHOOSE(MATCH(IF($U365="","Основний",$U365),{"Трафіковий","Основний","Маржинальний","Сезонний","Стратегічний"},0),0.14,0.17,0.22,0.21,0.25)</f>
        <v/>
      </c>
      <c r="AK365" s="104">
        <f>CHOOSE(MATCH(IF($U365="","Основний",$U365),{"Трафіковий","Основний","Маржинальний","Сезонний","Стратегічний"},0),0.15,0.18,0.23,0.22,0.27)</f>
        <v/>
      </c>
      <c r="AL365" s="104">
        <f>CHOOSE(MATCH(IF($U365="","Основний",$U365),{"Трафіковий","Основний","Маржинальний","Сезонний","Стратегічний"},0),0.15,0.17,0.25,0.24,0.29)</f>
        <v/>
      </c>
      <c r="AM365" s="104">
        <f>CHOOSE(MATCH(IF($U365="","Основний",$U365),{"Трафіковий","Основний","Маржинальний","Сезонний","Стратегічний"},0),0.12,0.145,0.19,0.18,0.22)</f>
        <v/>
      </c>
      <c r="AN365" s="157">
        <f>CHOOSE(MATCH(IF($U365="","Основний",$U365),{"Трафіковий","Основний","Маржинальний","Сезонний","Стратегічний"},0),Settings!$B$78,Settings!$B$80,Settings!$B$82,Settings!$B$84,Settings!$B$86)</f>
        <v/>
      </c>
      <c r="AO365" s="157">
        <f>CHOOSE(MATCH(IF($U365="","Основний",$U365),{"Трафіковий","Основний","Маржинальний","Сезонний","Стратегічний"},0),Settings!$C$78,Settings!$C$80,Settings!$C$82,Settings!$C$84,Settings!$C$86)</f>
        <v/>
      </c>
      <c r="AP365" s="157">
        <f>CHOOSE(MATCH(IF($U365="","Основний",$U365),{"Трафіковий","Основний","Маржинальний","Сезонний","Стратегічний"},0),Settings!$D$78,Settings!$D$80,Settings!$D$82,Settings!$D$84,Settings!$D$86)</f>
        <v/>
      </c>
      <c r="AQ365" s="157">
        <f>CHOOSE(MATCH(IF($U365="","Основний",$U365),{"Трафіковий","Основний","Маржинальний","Сезонний","Стратегічний"},0),Settings!$F$78,Settings!$F$80,Settings!$F$82,Settings!$F$84,Settings!$F$86)</f>
        <v/>
      </c>
      <c r="AR365" s="157">
        <f>CHOOSE(MATCH(IF($U365="","Основний",$U365),{"Трафіковий","Основний","Маржинальний","Сезонний","Стратегічний"},0),Settings!$G$78,Settings!$G$80,Settings!$G$82,Settings!$G$84,Settings!$G$86)</f>
        <v/>
      </c>
      <c r="AS365" s="157">
        <f>CHOOSE(MATCH(IF($U365="","Основний",$U365),{"Трафіковий","Основний","Маржинальний","Сезонний","Стратегічний"},0),Settings!$H$78,Settings!$H$80,Settings!$H$82,Settings!$H$84,Settings!$H$86)</f>
        <v/>
      </c>
      <c r="AT365" s="157">
        <f>CHOOSE(MATCH(IF($U365="","Основний",$U365),{"Трафіковий","Основний","Маржинальний","Сезонний","Стратегічний"},0),Settings!$I$78,Settings!$I$80,Settings!$I$82,Settings!$I$84,Settings!$I$86)</f>
        <v/>
      </c>
      <c r="AU365" s="171" t="n"/>
      <c r="AV365" t="n">
        <v>1.3</v>
      </c>
    </row>
    <row r="366">
      <c r="A366" s="28" t="n"/>
      <c r="B366" s="29" t="inlineStr">
        <is>
          <t>P19224</t>
        </is>
      </c>
      <c r="C366" s="29" t="inlineStr">
        <is>
          <t>METAL CABLE REEL 4S 40M 2,5MM RUBBER SCHUKO</t>
        </is>
      </c>
      <c r="D366" s="29" t="inlineStr">
        <is>
          <t>Пооджувачи та адаптери</t>
        </is>
      </c>
      <c r="E366" s="28" t="inlineStr">
        <is>
          <t>PC</t>
        </is>
      </c>
      <c r="F366" s="93" t="n">
        <v>77.51000000000001</v>
      </c>
      <c r="G366" s="30" t="n">
        <v>8544429090</v>
      </c>
      <c r="H366" s="31" t="n">
        <v>1.4</v>
      </c>
      <c r="I366" s="84">
        <f>IFERROR(F366*Settings!$B$2*H366*IF(AND(ISNUMBER(E366),E366&gt;1),E366,1),"")</f>
        <v/>
      </c>
      <c r="J366" s="32">
        <f>Settings!$B$66</f>
        <v/>
      </c>
      <c r="K366" s="95">
        <f>IFERROR(IF(T366="","",(T366*(1-AN366)*(1-Settings!$B$17)-I366)/(T366*(1-AN366)*(1-Settings!$B$17))),"")</f>
        <v/>
      </c>
      <c r="L366" s="101">
        <f>IFERROR(IF(T366="","",(T366*(1-AO366)*(1-Settings!$C$17)-I366)/(T366*(1-AO366)*(1-Settings!$C$17))),"")</f>
        <v/>
      </c>
      <c r="M366" s="101">
        <f>IFERROR(IF(T366="","",(T366*(1-AP366)*(1-Settings!$D$17)-I366)/(T366*(1-AP366)*(1-Settings!$D$17))),"")</f>
        <v/>
      </c>
      <c r="N366" s="101">
        <f>IFERROR(IF(T366="","",(T366*(1-AQ366)*(1-Settings!$F$17)-I366)/(T366*(1-AQ366)*(1-Settings!$F$17))),"")</f>
        <v/>
      </c>
      <c r="O366" s="101">
        <f>IFERROR(IF(T366="","",(T366*(1-AR366)*(1-Settings!$G$17)-I366)/(T366*(1-AR366)*(1-Settings!$G$17))),"")</f>
        <v/>
      </c>
      <c r="P366" s="101">
        <f>IFERROR(IF(T366="","",(T366*(1-AS366)*(1-Settings!$H$17)-I366)/(T366*(1-AS366)*(1-Settings!$H$17))),"")</f>
        <v/>
      </c>
      <c r="Q366" s="101">
        <f>IFERROR(IF(T366="","",(T366*(1-AT366)*(1-Settings!$I$68)*(1-Settings!$I$17)-I366)/(T366*(1-AT366)*(1-Settings!$I$68)*(1-Settings!$I$17))),"")</f>
        <v/>
      </c>
      <c r="R366" s="91">
        <f>IFERROR(IF(OR(I366="",Z366&gt;=1,Settings!$B$17&gt;=1,AN366&gt;=1),"",IF(MOD(ROUND(I366/(1-Z366)/(1-Settings!$B$17)/(1-AN366),0),10)=0,ROUND(I366/(1-Z366)/(1-Settings!$B$17)/(1-AN366),0)-1,IF(MOD(ROUND(I366/(1-Z366)/(1-Settings!$B$17)/(1-AN366),0),10)&lt;=5,FLOOR(ROUND(I366/(1-Z366)/(1-Settings!$B$17)/(1-AN366),0),10)+6,FLOOR(ROUND(I366/(1-Z366)/(1-Settings!$B$17)/(1-AN366),0),10)+9))),"")</f>
        <v/>
      </c>
      <c r="S366" s="174" t="n"/>
      <c r="T366" s="91">
        <f>IF(S366&lt;&gt;"", IF(MOD(S366,10)=0,S366-1,IF(MOD(S366,10)&lt;=5,FLOOR(S366,10)+6,FLOOR(S366,10)+9)), R366)</f>
        <v/>
      </c>
      <c r="U366" s="87" t="inlineStr">
        <is>
          <t>Трафіковий</t>
        </is>
      </c>
      <c r="V366" s="88" t="n"/>
      <c r="W366" s="88" t="n"/>
      <c r="X366" s="89">
        <f>IFERROR(IF(OR(V366="",W366="",T366=""),"", IF(T366&gt;W366,"Дорогий",IF(T366&lt;V366,"Дешевий","У ринку"))),"")</f>
        <v/>
      </c>
      <c r="Y366" s="90" t="n"/>
      <c r="Z366" s="104">
        <f>CHOOSE(MATCH(IF($U366="","Основний",$U366),{"Трафіковий","Основний","Маржинальний","Сезонний","Стратегічний"},0),0.16,0.19,0.24,0.23,0.28)</f>
        <v/>
      </c>
      <c r="AA366" s="104">
        <f>CHOOSE(MATCH(IF($U366="","Основний",$U366),{"Трафіковий","Основний","Маржинальний","Сезонний","Стратегічний"},0),0.18,0.21,0.26,0.25,0.3)</f>
        <v/>
      </c>
      <c r="AB366" s="104">
        <f>CHOOSE(MATCH(IF($U366="","Основний",$U366),{"Трафіковий","Основний","Маржинальний","Сезонний","Стратегічний"},0),0.19,0.22,0.28,0.26,0.32)</f>
        <v/>
      </c>
      <c r="AC366" s="104">
        <f>CHOOSE(MATCH(IF($U366="","Основний",$U366),{"Трафіковий","Основний","Маржинальний","Сезонний","Стратегічний"},0),0.17,0.2,0.25,0.24,0.28)</f>
        <v/>
      </c>
      <c r="AD366" s="104">
        <f>CHOOSE(MATCH(IF($U366="","Основний",$U366),{"Трафіковий","Основний","Маржинальний","Сезонний","Стратегічний"},0),0.18,0.21,0.26,0.25,0.3)</f>
        <v/>
      </c>
      <c r="AE366" s="104">
        <f>CHOOSE(MATCH(IF($U366="","Основний",$U366),{"Трафіковий","Основний","Маржинальний","Сезонний","Стратегічний"},0),0.18,0.2,0.28,0.27,0.32)</f>
        <v/>
      </c>
      <c r="AF366" s="104">
        <f>CHOOSE(MATCH(IF($U366="","Основний",$U366),{"Трафіковий","Основний","Маржинальний","Сезонний","Стратегічний"},0),0.15,0.175,0.22,0.21,0.25)</f>
        <v/>
      </c>
      <c r="AG366" s="104">
        <f>CHOOSE(MATCH(IF($U366="","Основний",$U366),{"Трафіковий","Основний","Маржинальний","Сезонний","Стратегічний"},0),0.13,0.16,0.21,0.2,0.25)</f>
        <v/>
      </c>
      <c r="AH366" s="104">
        <f>CHOOSE(MATCH(IF($U366="","Основний",$U366),{"Трафіковий","Основний","Маржинальний","Сезонний","Стратегічний"},0),0.15,0.18,0.23,0.22,0.27)</f>
        <v/>
      </c>
      <c r="AI366" s="104">
        <f>CHOOSE(MATCH(IF($U366="","Основний",$U366),{"Трафіковий","Основний","Маржинальний","Сезонний","Стратегічний"},0),0.16,0.19,0.25,0.23,0.29)</f>
        <v/>
      </c>
      <c r="AJ366" s="104">
        <f>CHOOSE(MATCH(IF($U366="","Основний",$U366),{"Трафіковий","Основний","Маржинальний","Сезонний","Стратегічний"},0),0.14,0.17,0.22,0.21,0.25)</f>
        <v/>
      </c>
      <c r="AK366" s="104">
        <f>CHOOSE(MATCH(IF($U366="","Основний",$U366),{"Трафіковий","Основний","Маржинальний","Сезонний","Стратегічний"},0),0.15,0.18,0.23,0.22,0.27)</f>
        <v/>
      </c>
      <c r="AL366" s="104">
        <f>CHOOSE(MATCH(IF($U366="","Основний",$U366),{"Трафіковий","Основний","Маржинальний","Сезонний","Стратегічний"},0),0.15,0.17,0.25,0.24,0.29)</f>
        <v/>
      </c>
      <c r="AM366" s="104">
        <f>CHOOSE(MATCH(IF($U366="","Основний",$U366),{"Трафіковий","Основний","Маржинальний","Сезонний","Стратегічний"},0),0.12,0.145,0.19,0.18,0.22)</f>
        <v/>
      </c>
      <c r="AN366" s="157">
        <f>CHOOSE(MATCH(IF($U366="","Основний",$U366),{"Трафіковий","Основний","Маржинальний","Сезонний","Стратегічний"},0),Settings!$B$78,Settings!$B$80,Settings!$B$82,Settings!$B$84,Settings!$B$86)</f>
        <v/>
      </c>
      <c r="AO366" s="157">
        <f>CHOOSE(MATCH(IF($U366="","Основний",$U366),{"Трафіковий","Основний","Маржинальний","Сезонний","Стратегічний"},0),Settings!$C$78,Settings!$C$80,Settings!$C$82,Settings!$C$84,Settings!$C$86)</f>
        <v/>
      </c>
      <c r="AP366" s="157">
        <f>CHOOSE(MATCH(IF($U366="","Основний",$U366),{"Трафіковий","Основний","Маржинальний","Сезонний","Стратегічний"},0),Settings!$D$78,Settings!$D$80,Settings!$D$82,Settings!$D$84,Settings!$D$86)</f>
        <v/>
      </c>
      <c r="AQ366" s="157">
        <f>CHOOSE(MATCH(IF($U366="","Основний",$U366),{"Трафіковий","Основний","Маржинальний","Сезонний","Стратегічний"},0),Settings!$F$78,Settings!$F$80,Settings!$F$82,Settings!$F$84,Settings!$F$86)</f>
        <v/>
      </c>
      <c r="AR366" s="157">
        <f>CHOOSE(MATCH(IF($U366="","Основний",$U366),{"Трафіковий","Основний","Маржинальний","Сезонний","Стратегічний"},0),Settings!$G$78,Settings!$G$80,Settings!$G$82,Settings!$G$84,Settings!$G$86)</f>
        <v/>
      </c>
      <c r="AS366" s="157">
        <f>CHOOSE(MATCH(IF($U366="","Основний",$U366),{"Трафіковий","Основний","Маржинальний","Сезонний","Стратегічний"},0),Settings!$H$78,Settings!$H$80,Settings!$H$82,Settings!$H$84,Settings!$H$86)</f>
        <v/>
      </c>
      <c r="AT366" s="157">
        <f>CHOOSE(MATCH(IF($U366="","Основний",$U366),{"Трафіковий","Основний","Маржинальний","Сезонний","Стратегічний"},0),Settings!$I$78,Settings!$I$80,Settings!$I$82,Settings!$I$84,Settings!$I$86)</f>
        <v/>
      </c>
      <c r="AU366" s="171" t="n"/>
      <c r="AV366" t="n">
        <v>1.25</v>
      </c>
    </row>
    <row r="367">
      <c r="A367" s="33" t="n"/>
      <c r="B367" s="34" t="inlineStr">
        <is>
          <t>P19221</t>
        </is>
      </c>
      <c r="C367" s="34" t="inlineStr">
        <is>
          <t>CABLE REEL 50M 2,5MM RUB.SCH.</t>
        </is>
      </c>
      <c r="D367" s="34" t="inlineStr">
        <is>
          <t>Пооджувачи та адаптери</t>
        </is>
      </c>
      <c r="E367" s="33" t="inlineStr">
        <is>
          <t>PC</t>
        </is>
      </c>
      <c r="F367" s="94" t="n">
        <v>93.212</v>
      </c>
      <c r="G367" s="35" t="n">
        <v>8544429090</v>
      </c>
      <c r="H367" s="31" t="n">
        <v>1.4</v>
      </c>
      <c r="I367" s="84">
        <f>IFERROR(F367*Settings!$B$2*H367*IF(AND(ISNUMBER(E367),E367&gt;1),E367,1),"")</f>
        <v/>
      </c>
      <c r="J367" s="32">
        <f>Settings!$B$66</f>
        <v/>
      </c>
      <c r="K367" s="95">
        <f>IFERROR(IF(T367="","",(T367*(1-AN367)*(1-Settings!$B$17)-I367)/(T367*(1-AN367)*(1-Settings!$B$17))),"")</f>
        <v/>
      </c>
      <c r="L367" s="101">
        <f>IFERROR(IF(T367="","",(T367*(1-AO367)*(1-Settings!$C$17)-I367)/(T367*(1-AO367)*(1-Settings!$C$17))),"")</f>
        <v/>
      </c>
      <c r="M367" s="101">
        <f>IFERROR(IF(T367="","",(T367*(1-AP367)*(1-Settings!$D$17)-I367)/(T367*(1-AP367)*(1-Settings!$D$17))),"")</f>
        <v/>
      </c>
      <c r="N367" s="101">
        <f>IFERROR(IF(T367="","",(T367*(1-AQ367)*(1-Settings!$F$17)-I367)/(T367*(1-AQ367)*(1-Settings!$F$17))),"")</f>
        <v/>
      </c>
      <c r="O367" s="101">
        <f>IFERROR(IF(T367="","",(T367*(1-AR367)*(1-Settings!$G$17)-I367)/(T367*(1-AR367)*(1-Settings!$G$17))),"")</f>
        <v/>
      </c>
      <c r="P367" s="101">
        <f>IFERROR(IF(T367="","",(T367*(1-AS367)*(1-Settings!$H$17)-I367)/(T367*(1-AS367)*(1-Settings!$H$17))),"")</f>
        <v/>
      </c>
      <c r="Q367" s="101">
        <f>IFERROR(IF(T367="","",(T367*(1-AT367)*(1-Settings!$I$68)*(1-Settings!$I$17)-I367)/(T367*(1-AT367)*(1-Settings!$I$68)*(1-Settings!$I$17))),"")</f>
        <v/>
      </c>
      <c r="R367" s="91">
        <f>IFERROR(IF(OR(I367="",Z367&gt;=1,Settings!$B$17&gt;=1,AN367&gt;=1),"",IF(MOD(ROUND(I367/(1-Z367)/(1-Settings!$B$17)/(1-AN367),0),10)=0,ROUND(I367/(1-Z367)/(1-Settings!$B$17)/(1-AN367),0)-1,IF(MOD(ROUND(I367/(1-Z367)/(1-Settings!$B$17)/(1-AN367),0),10)&lt;=5,FLOOR(ROUND(I367/(1-Z367)/(1-Settings!$B$17)/(1-AN367),0),10)+6,FLOOR(ROUND(I367/(1-Z367)/(1-Settings!$B$17)/(1-AN367),0),10)+9))),"")</f>
        <v/>
      </c>
      <c r="S367" s="174" t="n"/>
      <c r="T367" s="91">
        <f>IF(S367&lt;&gt;"", IF(MOD(S367,10)=0,S367-1,IF(MOD(S367,10)&lt;=5,FLOOR(S367,10)+6,FLOOR(S367,10)+9)), R367)</f>
        <v/>
      </c>
      <c r="U367" s="87" t="inlineStr">
        <is>
          <t>Трафіковий</t>
        </is>
      </c>
      <c r="V367" s="88" t="n"/>
      <c r="W367" s="88" t="n"/>
      <c r="X367" s="89">
        <f>IFERROR(IF(OR(V367="",W367="",T367=""),"", IF(T367&gt;W367,"Дорогий",IF(T367&lt;V367,"Дешевий","У ринку"))),"")</f>
        <v/>
      </c>
      <c r="Y367" s="90" t="n"/>
      <c r="Z367" s="104">
        <f>CHOOSE(MATCH(IF($U367="","Основний",$U367),{"Трафіковий","Основний","Маржинальний","Сезонний","Стратегічний"},0),0.16,0.19,0.24,0.23,0.28)</f>
        <v/>
      </c>
      <c r="AA367" s="104">
        <f>CHOOSE(MATCH(IF($U367="","Основний",$U367),{"Трафіковий","Основний","Маржинальний","Сезонний","Стратегічний"},0),0.18,0.21,0.26,0.25,0.3)</f>
        <v/>
      </c>
      <c r="AB367" s="104">
        <f>CHOOSE(MATCH(IF($U367="","Основний",$U367),{"Трафіковий","Основний","Маржинальний","Сезонний","Стратегічний"},0),0.19,0.22,0.28,0.26,0.32)</f>
        <v/>
      </c>
      <c r="AC367" s="104">
        <f>CHOOSE(MATCH(IF($U367="","Основний",$U367),{"Трафіковий","Основний","Маржинальний","Сезонний","Стратегічний"},0),0.17,0.2,0.25,0.24,0.28)</f>
        <v/>
      </c>
      <c r="AD367" s="104">
        <f>CHOOSE(MATCH(IF($U367="","Основний",$U367),{"Трафіковий","Основний","Маржинальний","Сезонний","Стратегічний"},0),0.18,0.21,0.26,0.25,0.3)</f>
        <v/>
      </c>
      <c r="AE367" s="104">
        <f>CHOOSE(MATCH(IF($U367="","Основний",$U367),{"Трафіковий","Основний","Маржинальний","Сезонний","Стратегічний"},0),0.18,0.2,0.28,0.27,0.32)</f>
        <v/>
      </c>
      <c r="AF367" s="104">
        <f>CHOOSE(MATCH(IF($U367="","Основний",$U367),{"Трафіковий","Основний","Маржинальний","Сезонний","Стратегічний"},0),0.15,0.175,0.22,0.21,0.25)</f>
        <v/>
      </c>
      <c r="AG367" s="104">
        <f>CHOOSE(MATCH(IF($U367="","Основний",$U367),{"Трафіковий","Основний","Маржинальний","Сезонний","Стратегічний"},0),0.13,0.16,0.21,0.2,0.25)</f>
        <v/>
      </c>
      <c r="AH367" s="104">
        <f>CHOOSE(MATCH(IF($U367="","Основний",$U367),{"Трафіковий","Основний","Маржинальний","Сезонний","Стратегічний"},0),0.15,0.18,0.23,0.22,0.27)</f>
        <v/>
      </c>
      <c r="AI367" s="104">
        <f>CHOOSE(MATCH(IF($U367="","Основний",$U367),{"Трафіковий","Основний","Маржинальний","Сезонний","Стратегічний"},0),0.16,0.19,0.25,0.23,0.29)</f>
        <v/>
      </c>
      <c r="AJ367" s="104">
        <f>CHOOSE(MATCH(IF($U367="","Основний",$U367),{"Трафіковий","Основний","Маржинальний","Сезонний","Стратегічний"},0),0.14,0.17,0.22,0.21,0.25)</f>
        <v/>
      </c>
      <c r="AK367" s="104">
        <f>CHOOSE(MATCH(IF($U367="","Основний",$U367),{"Трафіковий","Основний","Маржинальний","Сезонний","Стратегічний"},0),0.15,0.18,0.23,0.22,0.27)</f>
        <v/>
      </c>
      <c r="AL367" s="104">
        <f>CHOOSE(MATCH(IF($U367="","Основний",$U367),{"Трафіковий","Основний","Маржинальний","Сезонний","Стратегічний"},0),0.15,0.17,0.25,0.24,0.29)</f>
        <v/>
      </c>
      <c r="AM367" s="104">
        <f>CHOOSE(MATCH(IF($U367="","Основний",$U367),{"Трафіковий","Основний","Маржинальний","Сезонний","Стратегічний"},0),0.12,0.145,0.19,0.18,0.22)</f>
        <v/>
      </c>
      <c r="AN367" s="157">
        <f>CHOOSE(MATCH(IF($U367="","Основний",$U367),{"Трафіковий","Основний","Маржинальний","Сезонний","Стратегічний"},0),Settings!$B$78,Settings!$B$80,Settings!$B$82,Settings!$B$84,Settings!$B$86)</f>
        <v/>
      </c>
      <c r="AO367" s="157">
        <f>CHOOSE(MATCH(IF($U367="","Основний",$U367),{"Трафіковий","Основний","Маржинальний","Сезонний","Стратегічний"},0),Settings!$C$78,Settings!$C$80,Settings!$C$82,Settings!$C$84,Settings!$C$86)</f>
        <v/>
      </c>
      <c r="AP367" s="157">
        <f>CHOOSE(MATCH(IF($U367="","Основний",$U367),{"Трафіковий","Основний","Маржинальний","Сезонний","Стратегічний"},0),Settings!$D$78,Settings!$D$80,Settings!$D$82,Settings!$D$84,Settings!$D$86)</f>
        <v/>
      </c>
      <c r="AQ367" s="157">
        <f>CHOOSE(MATCH(IF($U367="","Основний",$U367),{"Трафіковий","Основний","Маржинальний","Сезонний","Стратегічний"},0),Settings!$F$78,Settings!$F$80,Settings!$F$82,Settings!$F$84,Settings!$F$86)</f>
        <v/>
      </c>
      <c r="AR367" s="157">
        <f>CHOOSE(MATCH(IF($U367="","Основний",$U367),{"Трафіковий","Основний","Маржинальний","Сезонний","Стратегічний"},0),Settings!$G$78,Settings!$G$80,Settings!$G$82,Settings!$G$84,Settings!$G$86)</f>
        <v/>
      </c>
      <c r="AS367" s="157">
        <f>CHOOSE(MATCH(IF($U367="","Основний",$U367),{"Трафіковий","Основний","Маржинальний","Сезонний","Стратегічний"},0),Settings!$H$78,Settings!$H$80,Settings!$H$82,Settings!$H$84,Settings!$H$86)</f>
        <v/>
      </c>
      <c r="AT367" s="157">
        <f>CHOOSE(MATCH(IF($U367="","Основний",$U367),{"Трафіковий","Основний","Маржинальний","Сезонний","Стратегічний"},0),Settings!$I$78,Settings!$I$80,Settings!$I$82,Settings!$I$84,Settings!$I$86)</f>
        <v/>
      </c>
      <c r="AU367" s="171" t="n"/>
      <c r="AV367" t="n">
        <v>1.25</v>
      </c>
    </row>
    <row r="368">
      <c r="A368" s="28" t="n"/>
      <c r="B368" s="29" t="inlineStr">
        <is>
          <t>P19733</t>
        </is>
      </c>
      <c r="C368" s="29" t="inlineStr">
        <is>
          <t>CABLE R.3S 33M 2,5MM RUB.SCH.</t>
        </is>
      </c>
      <c r="D368" s="29" t="inlineStr">
        <is>
          <t>Пооджувачи та адаптери</t>
        </is>
      </c>
      <c r="E368" s="28" t="inlineStr">
        <is>
          <t>PC</t>
        </is>
      </c>
      <c r="F368" s="93" t="n">
        <v>126.943</v>
      </c>
      <c r="G368" s="30" t="n">
        <v>8544429090</v>
      </c>
      <c r="H368" s="31" t="n">
        <v>1.4</v>
      </c>
      <c r="I368" s="84">
        <f>IFERROR(F368*Settings!$B$2*H368*IF(AND(ISNUMBER(E368),E368&gt;1),E368,1),"")</f>
        <v/>
      </c>
      <c r="J368" s="32">
        <f>Settings!$B$66</f>
        <v/>
      </c>
      <c r="K368" s="95">
        <f>IFERROR(IF(T368="","",(T368*(1-AN368)*(1-Settings!$B$17)-I368)/(T368*(1-AN368)*(1-Settings!$B$17))),"")</f>
        <v/>
      </c>
      <c r="L368" s="101">
        <f>IFERROR(IF(T368="","",(T368*(1-AO368)*(1-Settings!$C$17)-I368)/(T368*(1-AO368)*(1-Settings!$C$17))),"")</f>
        <v/>
      </c>
      <c r="M368" s="101">
        <f>IFERROR(IF(T368="","",(T368*(1-AP368)*(1-Settings!$D$17)-I368)/(T368*(1-AP368)*(1-Settings!$D$17))),"")</f>
        <v/>
      </c>
      <c r="N368" s="101">
        <f>IFERROR(IF(T368="","",(T368*(1-AQ368)*(1-Settings!$F$17)-I368)/(T368*(1-AQ368)*(1-Settings!$F$17))),"")</f>
        <v/>
      </c>
      <c r="O368" s="101">
        <f>IFERROR(IF(T368="","",(T368*(1-AR368)*(1-Settings!$G$17)-I368)/(T368*(1-AR368)*(1-Settings!$G$17))),"")</f>
        <v/>
      </c>
      <c r="P368" s="101">
        <f>IFERROR(IF(T368="","",(T368*(1-AS368)*(1-Settings!$H$17)-I368)/(T368*(1-AS368)*(1-Settings!$H$17))),"")</f>
        <v/>
      </c>
      <c r="Q368" s="101">
        <f>IFERROR(IF(T368="","",(T368*(1-AT368)*(1-Settings!$I$68)*(1-Settings!$I$17)-I368)/(T368*(1-AT368)*(1-Settings!$I$68)*(1-Settings!$I$17))),"")</f>
        <v/>
      </c>
      <c r="R368" s="91">
        <f>IFERROR(IF(OR(I368="",Z368&gt;=1,Settings!$B$17&gt;=1,AN368&gt;=1),"",IF(MOD(ROUND(I368/(1-Z368)/(1-Settings!$B$17)/(1-AN368),0),10)=0,ROUND(I368/(1-Z368)/(1-Settings!$B$17)/(1-AN368),0)-1,IF(MOD(ROUND(I368/(1-Z368)/(1-Settings!$B$17)/(1-AN368),0),10)&lt;=5,FLOOR(ROUND(I368/(1-Z368)/(1-Settings!$B$17)/(1-AN368),0),10)+6,FLOOR(ROUND(I368/(1-Z368)/(1-Settings!$B$17)/(1-AN368),0),10)+9))),"")</f>
        <v/>
      </c>
      <c r="S368" s="174" t="n"/>
      <c r="T368" s="91">
        <f>IF(S368&lt;&gt;"", IF(MOD(S368,10)=0,S368-1,IF(MOD(S368,10)&lt;=5,FLOOR(S368,10)+6,FLOOR(S368,10)+9)), R368)</f>
        <v/>
      </c>
      <c r="U368" s="87" t="inlineStr">
        <is>
          <t>Трафіковий</t>
        </is>
      </c>
      <c r="V368" s="88" t="n"/>
      <c r="W368" s="88" t="n"/>
      <c r="X368" s="89">
        <f>IFERROR(IF(OR(V368="",W368="",T368=""),"", IF(T368&gt;W368,"Дорогий",IF(T368&lt;V368,"Дешевий","У ринку"))),"")</f>
        <v/>
      </c>
      <c r="Y368" s="90" t="n"/>
      <c r="Z368" s="104">
        <f>CHOOSE(MATCH(IF($U368="","Основний",$U368),{"Трафіковий","Основний","Маржинальний","Сезонний","Стратегічний"},0),0.16,0.19,0.24,0.23,0.28)</f>
        <v/>
      </c>
      <c r="AA368" s="104">
        <f>CHOOSE(MATCH(IF($U368="","Основний",$U368),{"Трафіковий","Основний","Маржинальний","Сезонний","Стратегічний"},0),0.18,0.21,0.26,0.25,0.3)</f>
        <v/>
      </c>
      <c r="AB368" s="104">
        <f>CHOOSE(MATCH(IF($U368="","Основний",$U368),{"Трафіковий","Основний","Маржинальний","Сезонний","Стратегічний"},0),0.19,0.22,0.28,0.26,0.32)</f>
        <v/>
      </c>
      <c r="AC368" s="104">
        <f>CHOOSE(MATCH(IF($U368="","Основний",$U368),{"Трафіковий","Основний","Маржинальний","Сезонний","Стратегічний"},0),0.17,0.2,0.25,0.24,0.28)</f>
        <v/>
      </c>
      <c r="AD368" s="104">
        <f>CHOOSE(MATCH(IF($U368="","Основний",$U368),{"Трафіковий","Основний","Маржинальний","Сезонний","Стратегічний"},0),0.18,0.21,0.26,0.25,0.3)</f>
        <v/>
      </c>
      <c r="AE368" s="104">
        <f>CHOOSE(MATCH(IF($U368="","Основний",$U368),{"Трафіковий","Основний","Маржинальний","Сезонний","Стратегічний"},0),0.18,0.2,0.28,0.27,0.32)</f>
        <v/>
      </c>
      <c r="AF368" s="104">
        <f>CHOOSE(MATCH(IF($U368="","Основний",$U368),{"Трафіковий","Основний","Маржинальний","Сезонний","Стратегічний"},0),0.15,0.175,0.22,0.21,0.25)</f>
        <v/>
      </c>
      <c r="AG368" s="104">
        <f>CHOOSE(MATCH(IF($U368="","Основний",$U368),{"Трафіковий","Основний","Маржинальний","Сезонний","Стратегічний"},0),0.13,0.16,0.21,0.2,0.25)</f>
        <v/>
      </c>
      <c r="AH368" s="104">
        <f>CHOOSE(MATCH(IF($U368="","Основний",$U368),{"Трафіковий","Основний","Маржинальний","Сезонний","Стратегічний"},0),0.15,0.18,0.23,0.22,0.27)</f>
        <v/>
      </c>
      <c r="AI368" s="104">
        <f>CHOOSE(MATCH(IF($U368="","Основний",$U368),{"Трафіковий","Основний","Маржинальний","Сезонний","Стратегічний"},0),0.16,0.19,0.25,0.23,0.29)</f>
        <v/>
      </c>
      <c r="AJ368" s="104">
        <f>CHOOSE(MATCH(IF($U368="","Основний",$U368),{"Трафіковий","Основний","Маржинальний","Сезонний","Стратегічний"},0),0.14,0.17,0.22,0.21,0.25)</f>
        <v/>
      </c>
      <c r="AK368" s="104">
        <f>CHOOSE(MATCH(IF($U368="","Основний",$U368),{"Трафіковий","Основний","Маржинальний","Сезонний","Стратегічний"},0),0.15,0.18,0.23,0.22,0.27)</f>
        <v/>
      </c>
      <c r="AL368" s="104">
        <f>CHOOSE(MATCH(IF($U368="","Основний",$U368),{"Трафіковий","Основний","Маржинальний","Сезонний","Стратегічний"},0),0.15,0.17,0.25,0.24,0.29)</f>
        <v/>
      </c>
      <c r="AM368" s="104">
        <f>CHOOSE(MATCH(IF($U368="","Основний",$U368),{"Трафіковий","Основний","Маржинальний","Сезонний","Стратегічний"},0),0.12,0.145,0.19,0.18,0.22)</f>
        <v/>
      </c>
      <c r="AN368" s="157">
        <f>CHOOSE(MATCH(IF($U368="","Основний",$U368),{"Трафіковий","Основний","Маржинальний","Сезонний","Стратегічний"},0),Settings!$B$78,Settings!$B$80,Settings!$B$82,Settings!$B$84,Settings!$B$86)</f>
        <v/>
      </c>
      <c r="AO368" s="157">
        <f>CHOOSE(MATCH(IF($U368="","Основний",$U368),{"Трафіковий","Основний","Маржинальний","Сезонний","Стратегічний"},0),Settings!$C$78,Settings!$C$80,Settings!$C$82,Settings!$C$84,Settings!$C$86)</f>
        <v/>
      </c>
      <c r="AP368" s="157">
        <f>CHOOSE(MATCH(IF($U368="","Основний",$U368),{"Трафіковий","Основний","Маржинальний","Сезонний","Стратегічний"},0),Settings!$D$78,Settings!$D$80,Settings!$D$82,Settings!$D$84,Settings!$D$86)</f>
        <v/>
      </c>
      <c r="AQ368" s="157">
        <f>CHOOSE(MATCH(IF($U368="","Основний",$U368),{"Трафіковий","Основний","Маржинальний","Сезонний","Стратегічний"},0),Settings!$F$78,Settings!$F$80,Settings!$F$82,Settings!$F$84,Settings!$F$86)</f>
        <v/>
      </c>
      <c r="AR368" s="157">
        <f>CHOOSE(MATCH(IF($U368="","Основний",$U368),{"Трафіковий","Основний","Маржинальний","Сезонний","Стратегічний"},0),Settings!$G$78,Settings!$G$80,Settings!$G$82,Settings!$G$84,Settings!$G$86)</f>
        <v/>
      </c>
      <c r="AS368" s="157">
        <f>CHOOSE(MATCH(IF($U368="","Основний",$U368),{"Трафіковий","Основний","Маржинальний","Сезонний","Стратегічний"},0),Settings!$H$78,Settings!$H$80,Settings!$H$82,Settings!$H$84,Settings!$H$86)</f>
        <v/>
      </c>
      <c r="AT368" s="157">
        <f>CHOOSE(MATCH(IF($U368="","Основний",$U368),{"Трафіковий","Основний","Маржинальний","Сезонний","Стратегічний"},0),Settings!$I$78,Settings!$I$80,Settings!$I$82,Settings!$I$84,Settings!$I$86)</f>
        <v/>
      </c>
      <c r="AU368" s="171" t="n"/>
      <c r="AV368" t="n">
        <v>1.25</v>
      </c>
    </row>
    <row r="369">
      <c r="A369" s="33" t="inlineStr">
        <is>
          <t>NEW</t>
        </is>
      </c>
      <c r="B369" s="34" t="inlineStr">
        <is>
          <t>P082251</t>
        </is>
      </c>
      <c r="C369" s="34" t="inlineStr">
        <is>
          <t>CABLE REEL 4S 25M 1.0MM RUBBER IP44 SCHUKO</t>
        </is>
      </c>
      <c r="D369" s="34" t="inlineStr">
        <is>
          <t>Пооджувачи та адаптери</t>
        </is>
      </c>
      <c r="E369" s="33" t="inlineStr">
        <is>
          <t>PC</t>
        </is>
      </c>
      <c r="F369" s="94" t="n">
        <v>26.845</v>
      </c>
      <c r="G369" s="35" t="n">
        <v>8544429090</v>
      </c>
      <c r="H369" s="31" t="n">
        <v>1.4</v>
      </c>
      <c r="I369" s="84">
        <f>IFERROR(F369*Settings!$B$2*H369*IF(AND(ISNUMBER(E369),E369&gt;1),E369,1),"")</f>
        <v/>
      </c>
      <c r="J369" s="32">
        <f>Settings!$B$66</f>
        <v/>
      </c>
      <c r="K369" s="95">
        <f>IFERROR(IF(T369="","",(T369*(1-AN369)*(1-Settings!$B$17)-I369)/(T369*(1-AN369)*(1-Settings!$B$17))),"")</f>
        <v/>
      </c>
      <c r="L369" s="101">
        <f>IFERROR(IF(T369="","",(T369*(1-AO369)*(1-Settings!$C$17)-I369)/(T369*(1-AO369)*(1-Settings!$C$17))),"")</f>
        <v/>
      </c>
      <c r="M369" s="101">
        <f>IFERROR(IF(T369="","",(T369*(1-AP369)*(1-Settings!$D$17)-I369)/(T369*(1-AP369)*(1-Settings!$D$17))),"")</f>
        <v/>
      </c>
      <c r="N369" s="101">
        <f>IFERROR(IF(T369="","",(T369*(1-AQ369)*(1-Settings!$F$17)-I369)/(T369*(1-AQ369)*(1-Settings!$F$17))),"")</f>
        <v/>
      </c>
      <c r="O369" s="101">
        <f>IFERROR(IF(T369="","",(T369*(1-AR369)*(1-Settings!$G$17)-I369)/(T369*(1-AR369)*(1-Settings!$G$17))),"")</f>
        <v/>
      </c>
      <c r="P369" s="101">
        <f>IFERROR(IF(T369="","",(T369*(1-AS369)*(1-Settings!$H$17)-I369)/(T369*(1-AS369)*(1-Settings!$H$17))),"")</f>
        <v/>
      </c>
      <c r="Q369" s="101">
        <f>IFERROR(IF(T369="","",(T369*(1-AT369)*(1-Settings!$I$68)*(1-Settings!$I$17)-I369)/(T369*(1-AT369)*(1-Settings!$I$68)*(1-Settings!$I$17))),"")</f>
        <v/>
      </c>
      <c r="R369" s="91">
        <f>IFERROR(IF(OR(I369="",Z369&gt;=1,Settings!$B$17&gt;=1,AN369&gt;=1),"",IF(MOD(ROUND(I369/(1-Z369)/(1-Settings!$B$17)/(1-AN369),0),10)=0,ROUND(I369/(1-Z369)/(1-Settings!$B$17)/(1-AN369),0)-1,IF(MOD(ROUND(I369/(1-Z369)/(1-Settings!$B$17)/(1-AN369),0),10)&lt;=5,FLOOR(ROUND(I369/(1-Z369)/(1-Settings!$B$17)/(1-AN369),0),10)+6,FLOOR(ROUND(I369/(1-Z369)/(1-Settings!$B$17)/(1-AN369),0),10)+9))),"")</f>
        <v/>
      </c>
      <c r="S369" s="174" t="n"/>
      <c r="T369" s="91">
        <f>IF(S369&lt;&gt;"", IF(MOD(S369,10)=0,S369-1,IF(MOD(S369,10)&lt;=5,FLOOR(S369,10)+6,FLOOR(S369,10)+9)), R369)</f>
        <v/>
      </c>
      <c r="U369" s="87" t="inlineStr">
        <is>
          <t>Трафіковий</t>
        </is>
      </c>
      <c r="V369" s="88" t="n"/>
      <c r="W369" s="88" t="n"/>
      <c r="X369" s="89">
        <f>IFERROR(IF(OR(V369="",W369="",T369=""),"", IF(T369&gt;W369,"Дорогий",IF(T369&lt;V369,"Дешевий","У ринку"))),"")</f>
        <v/>
      </c>
      <c r="Y369" s="90" t="n"/>
      <c r="Z369" s="104">
        <f>CHOOSE(MATCH(IF($U369="","Основний",$U369),{"Трафіковий","Основний","Маржинальний","Сезонний","Стратегічний"},0),0.16,0.19,0.24,0.23,0.28)</f>
        <v/>
      </c>
      <c r="AA369" s="104">
        <f>CHOOSE(MATCH(IF($U369="","Основний",$U369),{"Трафіковий","Основний","Маржинальний","Сезонний","Стратегічний"},0),0.18,0.21,0.26,0.25,0.3)</f>
        <v/>
      </c>
      <c r="AB369" s="104">
        <f>CHOOSE(MATCH(IF($U369="","Основний",$U369),{"Трафіковий","Основний","Маржинальний","Сезонний","Стратегічний"},0),0.19,0.22,0.28,0.26,0.32)</f>
        <v/>
      </c>
      <c r="AC369" s="104">
        <f>CHOOSE(MATCH(IF($U369="","Основний",$U369),{"Трафіковий","Основний","Маржинальний","Сезонний","Стратегічний"},0),0.17,0.2,0.25,0.24,0.28)</f>
        <v/>
      </c>
      <c r="AD369" s="104">
        <f>CHOOSE(MATCH(IF($U369="","Основний",$U369),{"Трафіковий","Основний","Маржинальний","Сезонний","Стратегічний"},0),0.18,0.21,0.26,0.25,0.3)</f>
        <v/>
      </c>
      <c r="AE369" s="104">
        <f>CHOOSE(MATCH(IF($U369="","Основний",$U369),{"Трафіковий","Основний","Маржинальний","Сезонний","Стратегічний"},0),0.18,0.2,0.28,0.27,0.32)</f>
        <v/>
      </c>
      <c r="AF369" s="104">
        <f>CHOOSE(MATCH(IF($U369="","Основний",$U369),{"Трафіковий","Основний","Маржинальний","Сезонний","Стратегічний"},0),0.15,0.175,0.22,0.21,0.25)</f>
        <v/>
      </c>
      <c r="AG369" s="104">
        <f>CHOOSE(MATCH(IF($U369="","Основний",$U369),{"Трафіковий","Основний","Маржинальний","Сезонний","Стратегічний"},0),0.13,0.16,0.21,0.2,0.25)</f>
        <v/>
      </c>
      <c r="AH369" s="104">
        <f>CHOOSE(MATCH(IF($U369="","Основний",$U369),{"Трафіковий","Основний","Маржинальний","Сезонний","Стратегічний"},0),0.15,0.18,0.23,0.22,0.27)</f>
        <v/>
      </c>
      <c r="AI369" s="104">
        <f>CHOOSE(MATCH(IF($U369="","Основний",$U369),{"Трафіковий","Основний","Маржинальний","Сезонний","Стратегічний"},0),0.16,0.19,0.25,0.23,0.29)</f>
        <v/>
      </c>
      <c r="AJ369" s="104">
        <f>CHOOSE(MATCH(IF($U369="","Основний",$U369),{"Трафіковий","Основний","Маржинальний","Сезонний","Стратегічний"},0),0.14,0.17,0.22,0.21,0.25)</f>
        <v/>
      </c>
      <c r="AK369" s="104">
        <f>CHOOSE(MATCH(IF($U369="","Основний",$U369),{"Трафіковий","Основний","Маржинальний","Сезонний","Стратегічний"},0),0.15,0.18,0.23,0.22,0.27)</f>
        <v/>
      </c>
      <c r="AL369" s="104">
        <f>CHOOSE(MATCH(IF($U369="","Основний",$U369),{"Трафіковий","Основний","Маржинальний","Сезонний","Стратегічний"},0),0.15,0.17,0.25,0.24,0.29)</f>
        <v/>
      </c>
      <c r="AM369" s="104">
        <f>CHOOSE(MATCH(IF($U369="","Основний",$U369),{"Трафіковий","Основний","Маржинальний","Сезонний","Стратегічний"},0),0.12,0.145,0.19,0.18,0.22)</f>
        <v/>
      </c>
      <c r="AN369" s="157">
        <f>CHOOSE(MATCH(IF($U369="","Основний",$U369),{"Трафіковий","Основний","Маржинальний","Сезонний","Стратегічний"},0),Settings!$B$78,Settings!$B$80,Settings!$B$82,Settings!$B$84,Settings!$B$86)</f>
        <v/>
      </c>
      <c r="AO369" s="157">
        <f>CHOOSE(MATCH(IF($U369="","Основний",$U369),{"Трафіковий","Основний","Маржинальний","Сезонний","Стратегічний"},0),Settings!$C$78,Settings!$C$80,Settings!$C$82,Settings!$C$84,Settings!$C$86)</f>
        <v/>
      </c>
      <c r="AP369" s="157">
        <f>CHOOSE(MATCH(IF($U369="","Основний",$U369),{"Трафіковий","Основний","Маржинальний","Сезонний","Стратегічний"},0),Settings!$D$78,Settings!$D$80,Settings!$D$82,Settings!$D$84,Settings!$D$86)</f>
        <v/>
      </c>
      <c r="AQ369" s="157">
        <f>CHOOSE(MATCH(IF($U369="","Основний",$U369),{"Трафіковий","Основний","Маржинальний","Сезонний","Стратегічний"},0),Settings!$F$78,Settings!$F$80,Settings!$F$82,Settings!$F$84,Settings!$F$86)</f>
        <v/>
      </c>
      <c r="AR369" s="157">
        <f>CHOOSE(MATCH(IF($U369="","Основний",$U369),{"Трафіковий","Основний","Маржинальний","Сезонний","Стратегічний"},0),Settings!$G$78,Settings!$G$80,Settings!$G$82,Settings!$G$84,Settings!$G$86)</f>
        <v/>
      </c>
      <c r="AS369" s="157">
        <f>CHOOSE(MATCH(IF($U369="","Основний",$U369),{"Трафіковий","Основний","Маржинальний","Сезонний","Стратегічний"},0),Settings!$H$78,Settings!$H$80,Settings!$H$82,Settings!$H$84,Settings!$H$86)</f>
        <v/>
      </c>
      <c r="AT369" s="157">
        <f>CHOOSE(MATCH(IF($U369="","Основний",$U369),{"Трафіковий","Основний","Маржинальний","Сезонний","Стратегічний"},0),Settings!$I$78,Settings!$I$80,Settings!$I$82,Settings!$I$84,Settings!$I$86)</f>
        <v/>
      </c>
      <c r="AU369" s="171" t="n"/>
      <c r="AV369" t="n">
        <v>1.35</v>
      </c>
    </row>
    <row r="370">
      <c r="A370" s="28" t="inlineStr">
        <is>
          <t>NEW</t>
        </is>
      </c>
      <c r="B370" s="29" t="inlineStr">
        <is>
          <t>P08620W</t>
        </is>
      </c>
      <c r="C370" s="29" t="inlineStr">
        <is>
          <t>CABLE REEL 3S WITH USB+LED LAMP 20M 1,5MM ANTIFR.</t>
        </is>
      </c>
      <c r="D370" s="29" t="inlineStr">
        <is>
          <t>Пооджувачи та адаптери</t>
        </is>
      </c>
      <c r="E370" s="28" t="inlineStr">
        <is>
          <t>PC</t>
        </is>
      </c>
      <c r="F370" s="93" t="n">
        <v>48.854</v>
      </c>
      <c r="G370" s="30" t="n">
        <v>8544429090</v>
      </c>
      <c r="H370" s="31" t="n">
        <v>1.4</v>
      </c>
      <c r="I370" s="84">
        <f>IFERROR(F370*Settings!$B$2*H370*IF(AND(ISNUMBER(E370),E370&gt;1),E370,1),"")</f>
        <v/>
      </c>
      <c r="J370" s="32">
        <f>Settings!$B$66</f>
        <v/>
      </c>
      <c r="K370" s="95">
        <f>IFERROR(IF(T370="","",(T370*(1-AN370)*(1-Settings!$B$17)-I370)/(T370*(1-AN370)*(1-Settings!$B$17))),"")</f>
        <v/>
      </c>
      <c r="L370" s="101">
        <f>IFERROR(IF(T370="","",(T370*(1-AO370)*(1-Settings!$C$17)-I370)/(T370*(1-AO370)*(1-Settings!$C$17))),"")</f>
        <v/>
      </c>
      <c r="M370" s="101">
        <f>IFERROR(IF(T370="","",(T370*(1-AP370)*(1-Settings!$D$17)-I370)/(T370*(1-AP370)*(1-Settings!$D$17))),"")</f>
        <v/>
      </c>
      <c r="N370" s="101">
        <f>IFERROR(IF(T370="","",(T370*(1-AQ370)*(1-Settings!$F$17)-I370)/(T370*(1-AQ370)*(1-Settings!$F$17))),"")</f>
        <v/>
      </c>
      <c r="O370" s="101">
        <f>IFERROR(IF(T370="","",(T370*(1-AR370)*(1-Settings!$G$17)-I370)/(T370*(1-AR370)*(1-Settings!$G$17))),"")</f>
        <v/>
      </c>
      <c r="P370" s="101">
        <f>IFERROR(IF(T370="","",(T370*(1-AS370)*(1-Settings!$H$17)-I370)/(T370*(1-AS370)*(1-Settings!$H$17))),"")</f>
        <v/>
      </c>
      <c r="Q370" s="101">
        <f>IFERROR(IF(T370="","",(T370*(1-AT370)*(1-Settings!$I$68)*(1-Settings!$I$17)-I370)/(T370*(1-AT370)*(1-Settings!$I$68)*(1-Settings!$I$17))),"")</f>
        <v/>
      </c>
      <c r="R370" s="91">
        <f>IFERROR(IF(OR(I370="",Z370&gt;=1,Settings!$B$17&gt;=1,AN370&gt;=1),"",IF(MOD(ROUND(I370/(1-Z370)/(1-Settings!$B$17)/(1-AN370),0),10)=0,ROUND(I370/(1-Z370)/(1-Settings!$B$17)/(1-AN370),0)-1,IF(MOD(ROUND(I370/(1-Z370)/(1-Settings!$B$17)/(1-AN370),0),10)&lt;=5,FLOOR(ROUND(I370/(1-Z370)/(1-Settings!$B$17)/(1-AN370),0),10)+6,FLOOR(ROUND(I370/(1-Z370)/(1-Settings!$B$17)/(1-AN370),0),10)+9))),"")</f>
        <v/>
      </c>
      <c r="S370" s="174" t="n"/>
      <c r="T370" s="91">
        <f>IF(S370&lt;&gt;"", IF(MOD(S370,10)=0,S370-1,IF(MOD(S370,10)&lt;=5,FLOOR(S370,10)+6,FLOOR(S370,10)+9)), R370)</f>
        <v/>
      </c>
      <c r="U370" s="87" t="inlineStr">
        <is>
          <t>Трафіковий</t>
        </is>
      </c>
      <c r="V370" s="88" t="n"/>
      <c r="W370" s="88" t="n"/>
      <c r="X370" s="89">
        <f>IFERROR(IF(OR(V370="",W370="",T370=""),"", IF(T370&gt;W370,"Дорогий",IF(T370&lt;V370,"Дешевий","У ринку"))),"")</f>
        <v/>
      </c>
      <c r="Y370" s="90" t="n"/>
      <c r="Z370" s="104">
        <f>CHOOSE(MATCH(IF($U370="","Основний",$U370),{"Трафіковий","Основний","Маржинальний","Сезонний","Стратегічний"},0),0.16,0.19,0.24,0.23,0.28)</f>
        <v/>
      </c>
      <c r="AA370" s="104">
        <f>CHOOSE(MATCH(IF($U370="","Основний",$U370),{"Трафіковий","Основний","Маржинальний","Сезонний","Стратегічний"},0),0.18,0.21,0.26,0.25,0.3)</f>
        <v/>
      </c>
      <c r="AB370" s="104">
        <f>CHOOSE(MATCH(IF($U370="","Основний",$U370),{"Трафіковий","Основний","Маржинальний","Сезонний","Стратегічний"},0),0.19,0.22,0.28,0.26,0.32)</f>
        <v/>
      </c>
      <c r="AC370" s="104">
        <f>CHOOSE(MATCH(IF($U370="","Основний",$U370),{"Трафіковий","Основний","Маржинальний","Сезонний","Стратегічний"},0),0.17,0.2,0.25,0.24,0.28)</f>
        <v/>
      </c>
      <c r="AD370" s="104">
        <f>CHOOSE(MATCH(IF($U370="","Основний",$U370),{"Трафіковий","Основний","Маржинальний","Сезонний","Стратегічний"},0),0.18,0.21,0.26,0.25,0.3)</f>
        <v/>
      </c>
      <c r="AE370" s="104">
        <f>CHOOSE(MATCH(IF($U370="","Основний",$U370),{"Трафіковий","Основний","Маржинальний","Сезонний","Стратегічний"},0),0.18,0.2,0.28,0.27,0.32)</f>
        <v/>
      </c>
      <c r="AF370" s="104">
        <f>CHOOSE(MATCH(IF($U370="","Основний",$U370),{"Трафіковий","Основний","Маржинальний","Сезонний","Стратегічний"},0),0.15,0.175,0.22,0.21,0.25)</f>
        <v/>
      </c>
      <c r="AG370" s="104">
        <f>CHOOSE(MATCH(IF($U370="","Основний",$U370),{"Трафіковий","Основний","Маржинальний","Сезонний","Стратегічний"},0),0.13,0.16,0.21,0.2,0.25)</f>
        <v/>
      </c>
      <c r="AH370" s="104">
        <f>CHOOSE(MATCH(IF($U370="","Основний",$U370),{"Трафіковий","Основний","Маржинальний","Сезонний","Стратегічний"},0),0.15,0.18,0.23,0.22,0.27)</f>
        <v/>
      </c>
      <c r="AI370" s="104">
        <f>CHOOSE(MATCH(IF($U370="","Основний",$U370),{"Трафіковий","Основний","Маржинальний","Сезонний","Стратегічний"},0),0.16,0.19,0.25,0.23,0.29)</f>
        <v/>
      </c>
      <c r="AJ370" s="104">
        <f>CHOOSE(MATCH(IF($U370="","Основний",$U370),{"Трафіковий","Основний","Маржинальний","Сезонний","Стратегічний"},0),0.14,0.17,0.22,0.21,0.25)</f>
        <v/>
      </c>
      <c r="AK370" s="104">
        <f>CHOOSE(MATCH(IF($U370="","Основний",$U370),{"Трафіковий","Основний","Маржинальний","Сезонний","Стратегічний"},0),0.15,0.18,0.23,0.22,0.27)</f>
        <v/>
      </c>
      <c r="AL370" s="104">
        <f>CHOOSE(MATCH(IF($U370="","Основний",$U370),{"Трафіковий","Основний","Маржинальний","Сезонний","Стратегічний"},0),0.15,0.17,0.25,0.24,0.29)</f>
        <v/>
      </c>
      <c r="AM370" s="104">
        <f>CHOOSE(MATCH(IF($U370="","Основний",$U370),{"Трафіковий","Основний","Маржинальний","Сезонний","Стратегічний"},0),0.12,0.145,0.19,0.18,0.22)</f>
        <v/>
      </c>
      <c r="AN370" s="157">
        <f>CHOOSE(MATCH(IF($U370="","Основний",$U370),{"Трафіковий","Основний","Маржинальний","Сезонний","Стратегічний"},0),Settings!$B$78,Settings!$B$80,Settings!$B$82,Settings!$B$84,Settings!$B$86)</f>
        <v/>
      </c>
      <c r="AO370" s="157">
        <f>CHOOSE(MATCH(IF($U370="","Основний",$U370),{"Трафіковий","Основний","Маржинальний","Сезонний","Стратегічний"},0),Settings!$C$78,Settings!$C$80,Settings!$C$82,Settings!$C$84,Settings!$C$86)</f>
        <v/>
      </c>
      <c r="AP370" s="157">
        <f>CHOOSE(MATCH(IF($U370="","Основний",$U370),{"Трафіковий","Основний","Маржинальний","Сезонний","Стратегічний"},0),Settings!$D$78,Settings!$D$80,Settings!$D$82,Settings!$D$84,Settings!$D$86)</f>
        <v/>
      </c>
      <c r="AQ370" s="157">
        <f>CHOOSE(MATCH(IF($U370="","Основний",$U370),{"Трафіковий","Основний","Маржинальний","Сезонний","Стратегічний"},0),Settings!$F$78,Settings!$F$80,Settings!$F$82,Settings!$F$84,Settings!$F$86)</f>
        <v/>
      </c>
      <c r="AR370" s="157">
        <f>CHOOSE(MATCH(IF($U370="","Основний",$U370),{"Трафіковий","Основний","Маржинальний","Сезонний","Стратегічний"},0),Settings!$G$78,Settings!$G$80,Settings!$G$82,Settings!$G$84,Settings!$G$86)</f>
        <v/>
      </c>
      <c r="AS370" s="157">
        <f>CHOOSE(MATCH(IF($U370="","Основний",$U370),{"Трафіковий","Основний","Маржинальний","Сезонний","Стратегічний"},0),Settings!$H$78,Settings!$H$80,Settings!$H$82,Settings!$H$84,Settings!$H$86)</f>
        <v/>
      </c>
      <c r="AT370" s="157">
        <f>CHOOSE(MATCH(IF($U370="","Основний",$U370),{"Трафіковий","Основний","Маржинальний","Сезонний","Стратегічний"},0),Settings!$I$78,Settings!$I$80,Settings!$I$82,Settings!$I$84,Settings!$I$86)</f>
        <v/>
      </c>
      <c r="AU370" s="171" t="n"/>
      <c r="AV370" t="n">
        <v>1.3</v>
      </c>
    </row>
    <row r="371">
      <c r="A371" s="33" t="inlineStr">
        <is>
          <t>NEW</t>
        </is>
      </c>
      <c r="B371" s="34" t="inlineStr">
        <is>
          <t>P08625W</t>
        </is>
      </c>
      <c r="C371" s="34" t="inlineStr">
        <is>
          <t>CABLE REEL 4S 25M ANTIFREEZING PVC CABLE SCHUKO</t>
        </is>
      </c>
      <c r="D371" s="34" t="inlineStr">
        <is>
          <t>Пооджувачи та адаптери</t>
        </is>
      </c>
      <c r="E371" s="33" t="inlineStr">
        <is>
          <t>PC</t>
        </is>
      </c>
      <c r="F371" s="94" t="n">
        <v>36.376</v>
      </c>
      <c r="G371" s="35" t="n">
        <v>8544429090</v>
      </c>
      <c r="H371" s="31" t="n">
        <v>1.4</v>
      </c>
      <c r="I371" s="84">
        <f>IFERROR(F371*Settings!$B$2*H371*IF(AND(ISNUMBER(E371),E371&gt;1),E371,1),"")</f>
        <v/>
      </c>
      <c r="J371" s="32">
        <f>Settings!$B$66</f>
        <v/>
      </c>
      <c r="K371" s="95">
        <f>IFERROR(IF(T371="","",(T371*(1-AN371)*(1-Settings!$B$17)-I371)/(T371*(1-AN371)*(1-Settings!$B$17))),"")</f>
        <v/>
      </c>
      <c r="L371" s="101">
        <f>IFERROR(IF(T371="","",(T371*(1-AO371)*(1-Settings!$C$17)-I371)/(T371*(1-AO371)*(1-Settings!$C$17))),"")</f>
        <v/>
      </c>
      <c r="M371" s="101">
        <f>IFERROR(IF(T371="","",(T371*(1-AP371)*(1-Settings!$D$17)-I371)/(T371*(1-AP371)*(1-Settings!$D$17))),"")</f>
        <v/>
      </c>
      <c r="N371" s="101">
        <f>IFERROR(IF(T371="","",(T371*(1-AQ371)*(1-Settings!$F$17)-I371)/(T371*(1-AQ371)*(1-Settings!$F$17))),"")</f>
        <v/>
      </c>
      <c r="O371" s="101">
        <f>IFERROR(IF(T371="","",(T371*(1-AR371)*(1-Settings!$G$17)-I371)/(T371*(1-AR371)*(1-Settings!$G$17))),"")</f>
        <v/>
      </c>
      <c r="P371" s="101">
        <f>IFERROR(IF(T371="","",(T371*(1-AS371)*(1-Settings!$H$17)-I371)/(T371*(1-AS371)*(1-Settings!$H$17))),"")</f>
        <v/>
      </c>
      <c r="Q371" s="101">
        <f>IFERROR(IF(T371="","",(T371*(1-AT371)*(1-Settings!$I$68)*(1-Settings!$I$17)-I371)/(T371*(1-AT371)*(1-Settings!$I$68)*(1-Settings!$I$17))),"")</f>
        <v/>
      </c>
      <c r="R371" s="91">
        <f>IFERROR(IF(OR(I371="",Z371&gt;=1,Settings!$B$17&gt;=1,AN371&gt;=1),"",IF(MOD(ROUND(I371/(1-Z371)/(1-Settings!$B$17)/(1-AN371),0),10)=0,ROUND(I371/(1-Z371)/(1-Settings!$B$17)/(1-AN371),0)-1,IF(MOD(ROUND(I371/(1-Z371)/(1-Settings!$B$17)/(1-AN371),0),10)&lt;=5,FLOOR(ROUND(I371/(1-Z371)/(1-Settings!$B$17)/(1-AN371),0),10)+6,FLOOR(ROUND(I371/(1-Z371)/(1-Settings!$B$17)/(1-AN371),0),10)+9))),"")</f>
        <v/>
      </c>
      <c r="S371" s="174" t="n"/>
      <c r="T371" s="91">
        <f>IF(S371&lt;&gt;"", IF(MOD(S371,10)=0,S371-1,IF(MOD(S371,10)&lt;=5,FLOOR(S371,10)+6,FLOOR(S371,10)+9)), R371)</f>
        <v/>
      </c>
      <c r="U371" s="87" t="inlineStr">
        <is>
          <t>Трафіковий</t>
        </is>
      </c>
      <c r="V371" s="88" t="n"/>
      <c r="W371" s="88" t="n"/>
      <c r="X371" s="89">
        <f>IFERROR(IF(OR(V371="",W371="",T371=""),"", IF(T371&gt;W371,"Дорогий",IF(T371&lt;V371,"Дешевий","У ринку"))),"")</f>
        <v/>
      </c>
      <c r="Y371" s="90" t="n"/>
      <c r="Z371" s="104">
        <f>CHOOSE(MATCH(IF($U371="","Основний",$U371),{"Трафіковий","Основний","Маржинальний","Сезонний","Стратегічний"},0),0.16,0.19,0.24,0.23,0.28)</f>
        <v/>
      </c>
      <c r="AA371" s="104">
        <f>CHOOSE(MATCH(IF($U371="","Основний",$U371),{"Трафіковий","Основний","Маржинальний","Сезонний","Стратегічний"},0),0.18,0.21,0.26,0.25,0.3)</f>
        <v/>
      </c>
      <c r="AB371" s="104">
        <f>CHOOSE(MATCH(IF($U371="","Основний",$U371),{"Трафіковий","Основний","Маржинальний","Сезонний","Стратегічний"},0),0.19,0.22,0.28,0.26,0.32)</f>
        <v/>
      </c>
      <c r="AC371" s="104">
        <f>CHOOSE(MATCH(IF($U371="","Основний",$U371),{"Трафіковий","Основний","Маржинальний","Сезонний","Стратегічний"},0),0.17,0.2,0.25,0.24,0.28)</f>
        <v/>
      </c>
      <c r="AD371" s="104">
        <f>CHOOSE(MATCH(IF($U371="","Основний",$U371),{"Трафіковий","Основний","Маржинальний","Сезонний","Стратегічний"},0),0.18,0.21,0.26,0.25,0.3)</f>
        <v/>
      </c>
      <c r="AE371" s="104">
        <f>CHOOSE(MATCH(IF($U371="","Основний",$U371),{"Трафіковий","Основний","Маржинальний","Сезонний","Стратегічний"},0),0.18,0.2,0.28,0.27,0.32)</f>
        <v/>
      </c>
      <c r="AF371" s="104">
        <f>CHOOSE(MATCH(IF($U371="","Основний",$U371),{"Трафіковий","Основний","Маржинальний","Сезонний","Стратегічний"},0),0.15,0.175,0.22,0.21,0.25)</f>
        <v/>
      </c>
      <c r="AG371" s="104">
        <f>CHOOSE(MATCH(IF($U371="","Основний",$U371),{"Трафіковий","Основний","Маржинальний","Сезонний","Стратегічний"},0),0.13,0.16,0.21,0.2,0.25)</f>
        <v/>
      </c>
      <c r="AH371" s="104">
        <f>CHOOSE(MATCH(IF($U371="","Основний",$U371),{"Трафіковий","Основний","Маржинальний","Сезонний","Стратегічний"},0),0.15,0.18,0.23,0.22,0.27)</f>
        <v/>
      </c>
      <c r="AI371" s="104">
        <f>CHOOSE(MATCH(IF($U371="","Основний",$U371),{"Трафіковий","Основний","Маржинальний","Сезонний","Стратегічний"},0),0.16,0.19,0.25,0.23,0.29)</f>
        <v/>
      </c>
      <c r="AJ371" s="104">
        <f>CHOOSE(MATCH(IF($U371="","Основний",$U371),{"Трафіковий","Основний","Маржинальний","Сезонний","Стратегічний"},0),0.14,0.17,0.22,0.21,0.25)</f>
        <v/>
      </c>
      <c r="AK371" s="104">
        <f>CHOOSE(MATCH(IF($U371="","Основний",$U371),{"Трафіковий","Основний","Маржинальний","Сезонний","Стратегічний"},0),0.15,0.18,0.23,0.22,0.27)</f>
        <v/>
      </c>
      <c r="AL371" s="104">
        <f>CHOOSE(MATCH(IF($U371="","Основний",$U371),{"Трафіковий","Основний","Маржинальний","Сезонний","Стратегічний"},0),0.15,0.17,0.25,0.24,0.29)</f>
        <v/>
      </c>
      <c r="AM371" s="104">
        <f>CHOOSE(MATCH(IF($U371="","Основний",$U371),{"Трафіковий","Основний","Маржинальний","Сезонний","Стратегічний"},0),0.12,0.145,0.19,0.18,0.22)</f>
        <v/>
      </c>
      <c r="AN371" s="157">
        <f>CHOOSE(MATCH(IF($U371="","Основний",$U371),{"Трафіковий","Основний","Маржинальний","Сезонний","Стратегічний"},0),Settings!$B$78,Settings!$B$80,Settings!$B$82,Settings!$B$84,Settings!$B$86)</f>
        <v/>
      </c>
      <c r="AO371" s="157">
        <f>CHOOSE(MATCH(IF($U371="","Основний",$U371),{"Трафіковий","Основний","Маржинальний","Сезонний","Стратегічний"},0),Settings!$C$78,Settings!$C$80,Settings!$C$82,Settings!$C$84,Settings!$C$86)</f>
        <v/>
      </c>
      <c r="AP371" s="157">
        <f>CHOOSE(MATCH(IF($U371="","Основний",$U371),{"Трафіковий","Основний","Маржинальний","Сезонний","Стратегічний"},0),Settings!$D$78,Settings!$D$80,Settings!$D$82,Settings!$D$84,Settings!$D$86)</f>
        <v/>
      </c>
      <c r="AQ371" s="157">
        <f>CHOOSE(MATCH(IF($U371="","Основний",$U371),{"Трафіковий","Основний","Маржинальний","Сезонний","Стратегічний"},0),Settings!$F$78,Settings!$F$80,Settings!$F$82,Settings!$F$84,Settings!$F$86)</f>
        <v/>
      </c>
      <c r="AR371" s="157">
        <f>CHOOSE(MATCH(IF($U371="","Основний",$U371),{"Трафіковий","Основний","Маржинальний","Сезонний","Стратегічний"},0),Settings!$G$78,Settings!$G$80,Settings!$G$82,Settings!$G$84,Settings!$G$86)</f>
        <v/>
      </c>
      <c r="AS371" s="157">
        <f>CHOOSE(MATCH(IF($U371="","Основний",$U371),{"Трафіковий","Основний","Маржинальний","Сезонний","Стратегічний"},0),Settings!$H$78,Settings!$H$80,Settings!$H$82,Settings!$H$84,Settings!$H$86)</f>
        <v/>
      </c>
      <c r="AT371" s="157">
        <f>CHOOSE(MATCH(IF($U371="","Основний",$U371),{"Трафіковий","Основний","Маржинальний","Сезонний","Стратегічний"},0),Settings!$I$78,Settings!$I$80,Settings!$I$82,Settings!$I$84,Settings!$I$86)</f>
        <v/>
      </c>
      <c r="AU371" s="171" t="n"/>
      <c r="AV371" t="n">
        <v>1.3</v>
      </c>
    </row>
    <row r="372">
      <c r="A372" s="28" t="inlineStr">
        <is>
          <t>NEW</t>
        </is>
      </c>
      <c r="B372" s="29" t="inlineStr">
        <is>
          <t>P08650W</t>
        </is>
      </c>
      <c r="C372" s="29" t="inlineStr">
        <is>
          <t>CABLE REEL 4S 50M ANTIFREEZING PVC CABLE SCHUKO</t>
        </is>
      </c>
      <c r="D372" s="29" t="inlineStr">
        <is>
          <t>Пооджувачи та адаптери</t>
        </is>
      </c>
      <c r="E372" s="28" t="inlineStr">
        <is>
          <t>PC</t>
        </is>
      </c>
      <c r="F372" s="93" t="n">
        <v>64.727</v>
      </c>
      <c r="G372" s="30" t="n">
        <v>8544429090</v>
      </c>
      <c r="H372" s="31" t="n">
        <v>1.4</v>
      </c>
      <c r="I372" s="84">
        <f>IFERROR(F372*Settings!$B$2*H372*IF(AND(ISNUMBER(E372),E372&gt;1),E372,1),"")</f>
        <v/>
      </c>
      <c r="J372" s="32">
        <f>Settings!$B$66</f>
        <v/>
      </c>
      <c r="K372" s="95">
        <f>IFERROR(IF(T372="","",(T372*(1-AN372)*(1-Settings!$B$17)-I372)/(T372*(1-AN372)*(1-Settings!$B$17))),"")</f>
        <v/>
      </c>
      <c r="L372" s="101">
        <f>IFERROR(IF(T372="","",(T372*(1-AO372)*(1-Settings!$C$17)-I372)/(T372*(1-AO372)*(1-Settings!$C$17))),"")</f>
        <v/>
      </c>
      <c r="M372" s="101">
        <f>IFERROR(IF(T372="","",(T372*(1-AP372)*(1-Settings!$D$17)-I372)/(T372*(1-AP372)*(1-Settings!$D$17))),"")</f>
        <v/>
      </c>
      <c r="N372" s="101">
        <f>IFERROR(IF(T372="","",(T372*(1-AQ372)*(1-Settings!$F$17)-I372)/(T372*(1-AQ372)*(1-Settings!$F$17))),"")</f>
        <v/>
      </c>
      <c r="O372" s="101">
        <f>IFERROR(IF(T372="","",(T372*(1-AR372)*(1-Settings!$G$17)-I372)/(T372*(1-AR372)*(1-Settings!$G$17))),"")</f>
        <v/>
      </c>
      <c r="P372" s="101">
        <f>IFERROR(IF(T372="","",(T372*(1-AS372)*(1-Settings!$H$17)-I372)/(T372*(1-AS372)*(1-Settings!$H$17))),"")</f>
        <v/>
      </c>
      <c r="Q372" s="101">
        <f>IFERROR(IF(T372="","",(T372*(1-AT372)*(1-Settings!$I$68)*(1-Settings!$I$17)-I372)/(T372*(1-AT372)*(1-Settings!$I$68)*(1-Settings!$I$17))),"")</f>
        <v/>
      </c>
      <c r="R372" s="91">
        <f>IFERROR(IF(OR(I372="",Z372&gt;=1,Settings!$B$17&gt;=1,AN372&gt;=1),"",IF(MOD(ROUND(I372/(1-Z372)/(1-Settings!$B$17)/(1-AN372),0),10)=0,ROUND(I372/(1-Z372)/(1-Settings!$B$17)/(1-AN372),0)-1,IF(MOD(ROUND(I372/(1-Z372)/(1-Settings!$B$17)/(1-AN372),0),10)&lt;=5,FLOOR(ROUND(I372/(1-Z372)/(1-Settings!$B$17)/(1-AN372),0),10)+6,FLOOR(ROUND(I372/(1-Z372)/(1-Settings!$B$17)/(1-AN372),0),10)+9))),"")</f>
        <v/>
      </c>
      <c r="S372" s="174" t="n"/>
      <c r="T372" s="91">
        <f>IF(S372&lt;&gt;"", IF(MOD(S372,10)=0,S372-1,IF(MOD(S372,10)&lt;=5,FLOOR(S372,10)+6,FLOOR(S372,10)+9)), R372)</f>
        <v/>
      </c>
      <c r="U372" s="87" t="inlineStr">
        <is>
          <t>Трафіковий</t>
        </is>
      </c>
      <c r="V372" s="88" t="n"/>
      <c r="W372" s="88" t="n"/>
      <c r="X372" s="89">
        <f>IFERROR(IF(OR(V372="",W372="",T372=""),"", IF(T372&gt;W372,"Дорогий",IF(T372&lt;V372,"Дешевий","У ринку"))),"")</f>
        <v/>
      </c>
      <c r="Y372" s="90" t="n"/>
      <c r="Z372" s="104">
        <f>CHOOSE(MATCH(IF($U372="","Основний",$U372),{"Трафіковий","Основний","Маржинальний","Сезонний","Стратегічний"},0),0.16,0.19,0.24,0.23,0.28)</f>
        <v/>
      </c>
      <c r="AA372" s="104">
        <f>CHOOSE(MATCH(IF($U372="","Основний",$U372),{"Трафіковий","Основний","Маржинальний","Сезонний","Стратегічний"},0),0.18,0.21,0.26,0.25,0.3)</f>
        <v/>
      </c>
      <c r="AB372" s="104">
        <f>CHOOSE(MATCH(IF($U372="","Основний",$U372),{"Трафіковий","Основний","Маржинальний","Сезонний","Стратегічний"},0),0.19,0.22,0.28,0.26,0.32)</f>
        <v/>
      </c>
      <c r="AC372" s="104">
        <f>CHOOSE(MATCH(IF($U372="","Основний",$U372),{"Трафіковий","Основний","Маржинальний","Сезонний","Стратегічний"},0),0.17,0.2,0.25,0.24,0.28)</f>
        <v/>
      </c>
      <c r="AD372" s="104">
        <f>CHOOSE(MATCH(IF($U372="","Основний",$U372),{"Трафіковий","Основний","Маржинальний","Сезонний","Стратегічний"},0),0.18,0.21,0.26,0.25,0.3)</f>
        <v/>
      </c>
      <c r="AE372" s="104">
        <f>CHOOSE(MATCH(IF($U372="","Основний",$U372),{"Трафіковий","Основний","Маржинальний","Сезонний","Стратегічний"},0),0.18,0.2,0.28,0.27,0.32)</f>
        <v/>
      </c>
      <c r="AF372" s="104">
        <f>CHOOSE(MATCH(IF($U372="","Основний",$U372),{"Трафіковий","Основний","Маржинальний","Сезонний","Стратегічний"},0),0.15,0.175,0.22,0.21,0.25)</f>
        <v/>
      </c>
      <c r="AG372" s="104">
        <f>CHOOSE(MATCH(IF($U372="","Основний",$U372),{"Трафіковий","Основний","Маржинальний","Сезонний","Стратегічний"},0),0.13,0.16,0.21,0.2,0.25)</f>
        <v/>
      </c>
      <c r="AH372" s="104">
        <f>CHOOSE(MATCH(IF($U372="","Основний",$U372),{"Трафіковий","Основний","Маржинальний","Сезонний","Стратегічний"},0),0.15,0.18,0.23,0.22,0.27)</f>
        <v/>
      </c>
      <c r="AI372" s="104">
        <f>CHOOSE(MATCH(IF($U372="","Основний",$U372),{"Трафіковий","Основний","Маржинальний","Сезонний","Стратегічний"},0),0.16,0.19,0.25,0.23,0.29)</f>
        <v/>
      </c>
      <c r="AJ372" s="104">
        <f>CHOOSE(MATCH(IF($U372="","Основний",$U372),{"Трафіковий","Основний","Маржинальний","Сезонний","Стратегічний"},0),0.14,0.17,0.22,0.21,0.25)</f>
        <v/>
      </c>
      <c r="AK372" s="104">
        <f>CHOOSE(MATCH(IF($U372="","Основний",$U372),{"Трафіковий","Основний","Маржинальний","Сезонний","Стратегічний"},0),0.15,0.18,0.23,0.22,0.27)</f>
        <v/>
      </c>
      <c r="AL372" s="104">
        <f>CHOOSE(MATCH(IF($U372="","Основний",$U372),{"Трафіковий","Основний","Маржинальний","Сезонний","Стратегічний"},0),0.15,0.17,0.25,0.24,0.29)</f>
        <v/>
      </c>
      <c r="AM372" s="104">
        <f>CHOOSE(MATCH(IF($U372="","Основний",$U372),{"Трафіковий","Основний","Маржинальний","Сезонний","Стратегічний"},0),0.12,0.145,0.19,0.18,0.22)</f>
        <v/>
      </c>
      <c r="AN372" s="157">
        <f>CHOOSE(MATCH(IF($U372="","Основний",$U372),{"Трафіковий","Основний","Маржинальний","Сезонний","Стратегічний"},0),Settings!$B$78,Settings!$B$80,Settings!$B$82,Settings!$B$84,Settings!$B$86)</f>
        <v/>
      </c>
      <c r="AO372" s="157">
        <f>CHOOSE(MATCH(IF($U372="","Основний",$U372),{"Трафіковий","Основний","Маржинальний","Сезонний","Стратегічний"},0),Settings!$C$78,Settings!$C$80,Settings!$C$82,Settings!$C$84,Settings!$C$86)</f>
        <v/>
      </c>
      <c r="AP372" s="157">
        <f>CHOOSE(MATCH(IF($U372="","Основний",$U372),{"Трафіковий","Основний","Маржинальний","Сезонний","Стратегічний"},0),Settings!$D$78,Settings!$D$80,Settings!$D$82,Settings!$D$84,Settings!$D$86)</f>
        <v/>
      </c>
      <c r="AQ372" s="157">
        <f>CHOOSE(MATCH(IF($U372="","Основний",$U372),{"Трафіковий","Основний","Маржинальний","Сезонний","Стратегічний"},0),Settings!$F$78,Settings!$F$80,Settings!$F$82,Settings!$F$84,Settings!$F$86)</f>
        <v/>
      </c>
      <c r="AR372" s="157">
        <f>CHOOSE(MATCH(IF($U372="","Основний",$U372),{"Трафіковий","Основний","Маржинальний","Сезонний","Стратегічний"},0),Settings!$G$78,Settings!$G$80,Settings!$G$82,Settings!$G$84,Settings!$G$86)</f>
        <v/>
      </c>
      <c r="AS372" s="157">
        <f>CHOOSE(MATCH(IF($U372="","Основний",$U372),{"Трафіковий","Основний","Маржинальний","Сезонний","Стратегічний"},0),Settings!$H$78,Settings!$H$80,Settings!$H$82,Settings!$H$84,Settings!$H$86)</f>
        <v/>
      </c>
      <c r="AT372" s="157">
        <f>CHOOSE(MATCH(IF($U372="","Основний",$U372),{"Трафіковий","Основний","Маржинальний","Сезонний","Стратегічний"},0),Settings!$I$78,Settings!$I$80,Settings!$I$82,Settings!$I$84,Settings!$I$86)</f>
        <v/>
      </c>
      <c r="AU372" s="171" t="n"/>
      <c r="AV372" t="n">
        <v>1.3</v>
      </c>
    </row>
    <row r="373">
      <c r="A373" s="33" t="inlineStr">
        <is>
          <t>SELL OUT</t>
        </is>
      </c>
      <c r="B373" s="34" t="inlineStr">
        <is>
          <t>P0072</t>
        </is>
      </c>
      <c r="C373" s="34" t="inlineStr">
        <is>
          <t>ONE WAY SOCKET WITH 2× USB SCH</t>
        </is>
      </c>
      <c r="D373" s="34" t="inlineStr">
        <is>
          <t>Пооджувачи та адаптери</t>
        </is>
      </c>
      <c r="E373" s="33" t="inlineStr">
        <is>
          <t>PC</t>
        </is>
      </c>
      <c r="F373" s="94" t="n">
        <v>3.394</v>
      </c>
      <c r="G373" s="35" t="n">
        <v>8536699099</v>
      </c>
      <c r="H373" s="31" t="n">
        <v>1.35</v>
      </c>
      <c r="I373" s="84">
        <f>IFERROR(F373*Settings!$B$2*H373*IF(AND(ISNUMBER(E373),E373&gt;1),E373,1),"")</f>
        <v/>
      </c>
      <c r="J373" s="32">
        <f>Settings!$B$66</f>
        <v/>
      </c>
      <c r="K373" s="95">
        <f>IFERROR(IF(T373="","",(T373*(1-AN373)*(1-Settings!$B$17)-I373)/(T373*(1-AN373)*(1-Settings!$B$17))),"")</f>
        <v/>
      </c>
      <c r="L373" s="101">
        <f>IFERROR(IF(T373="","",(T373*(1-AO373)*(1-Settings!$C$17)-I373)/(T373*(1-AO373)*(1-Settings!$C$17))),"")</f>
        <v/>
      </c>
      <c r="M373" s="101">
        <f>IFERROR(IF(T373="","",(T373*(1-AP373)*(1-Settings!$D$17)-I373)/(T373*(1-AP373)*(1-Settings!$D$17))),"")</f>
        <v/>
      </c>
      <c r="N373" s="101">
        <f>IFERROR(IF(T373="","",(T373*(1-AQ373)*(1-Settings!$F$17)-I373)/(T373*(1-AQ373)*(1-Settings!$F$17))),"")</f>
        <v/>
      </c>
      <c r="O373" s="101">
        <f>IFERROR(IF(T373="","",(T373*(1-AR373)*(1-Settings!$G$17)-I373)/(T373*(1-AR373)*(1-Settings!$G$17))),"")</f>
        <v/>
      </c>
      <c r="P373" s="101">
        <f>IFERROR(IF(T373="","",(T373*(1-AS373)*(1-Settings!$H$17)-I373)/(T373*(1-AS373)*(1-Settings!$H$17))),"")</f>
        <v/>
      </c>
      <c r="Q373" s="101">
        <f>IFERROR(IF(T373="","",(T373*(1-AT373)*(1-Settings!$I$68)*(1-Settings!$I$17)-I373)/(T373*(1-AT373)*(1-Settings!$I$68)*(1-Settings!$I$17))),"")</f>
        <v/>
      </c>
      <c r="R373" s="91">
        <f>IFERROR(IF(OR(I373="",Z373&gt;=1,Settings!$B$17&gt;=1,AN373&gt;=1),"",IF(MOD(ROUND(I373/(1-Z373)/(1-Settings!$B$17)/(1-AN373),0),10)=0,ROUND(I373/(1-Z373)/(1-Settings!$B$17)/(1-AN373),0)-1,IF(MOD(ROUND(I373/(1-Z373)/(1-Settings!$B$17)/(1-AN373),0),10)&lt;=5,FLOOR(ROUND(I373/(1-Z373)/(1-Settings!$B$17)/(1-AN373),0),10)+6,FLOOR(ROUND(I373/(1-Z373)/(1-Settings!$B$17)/(1-AN373),0),10)+9))),"")</f>
        <v/>
      </c>
      <c r="S373" s="174" t="n"/>
      <c r="T373" s="91">
        <f>IF(S373&lt;&gt;"", IF(MOD(S373,10)=0,S373-1,IF(MOD(S373,10)&lt;=5,FLOOR(S373,10)+6,FLOOR(S373,10)+9)), R373)</f>
        <v/>
      </c>
      <c r="U373" s="87" t="inlineStr">
        <is>
          <t>Основний</t>
        </is>
      </c>
      <c r="V373" s="88" t="n"/>
      <c r="W373" s="88" t="n"/>
      <c r="X373" s="89">
        <f>IFERROR(IF(OR(V373="",W373="",T373=""),"", IF(T373&gt;W373,"Дорогий",IF(T373&lt;V373,"Дешевий","У ринку"))),"")</f>
        <v/>
      </c>
      <c r="Y373" s="90" t="n"/>
      <c r="Z373" s="104">
        <f>CHOOSE(MATCH(IF($U373="","Основний",$U373),{"Трафіковий","Основний","Маржинальний","Сезонний","Стратегічний"},0),0.16,0.19,0.24,0.23,0.28)</f>
        <v/>
      </c>
      <c r="AA373" s="104">
        <f>CHOOSE(MATCH(IF($U373="","Основний",$U373),{"Трафіковий","Основний","Маржинальний","Сезонний","Стратегічний"},0),0.18,0.21,0.26,0.25,0.3)</f>
        <v/>
      </c>
      <c r="AB373" s="104">
        <f>CHOOSE(MATCH(IF($U373="","Основний",$U373),{"Трафіковий","Основний","Маржинальний","Сезонний","Стратегічний"},0),0.19,0.22,0.28,0.26,0.32)</f>
        <v/>
      </c>
      <c r="AC373" s="104">
        <f>CHOOSE(MATCH(IF($U373="","Основний",$U373),{"Трафіковий","Основний","Маржинальний","Сезонний","Стратегічний"},0),0.17,0.2,0.25,0.24,0.28)</f>
        <v/>
      </c>
      <c r="AD373" s="104">
        <f>CHOOSE(MATCH(IF($U373="","Основний",$U373),{"Трафіковий","Основний","Маржинальний","Сезонний","Стратегічний"},0),0.18,0.21,0.26,0.25,0.3)</f>
        <v/>
      </c>
      <c r="AE373" s="104">
        <f>CHOOSE(MATCH(IF($U373="","Основний",$U373),{"Трафіковий","Основний","Маржинальний","Сезонний","Стратегічний"},0),0.18,0.2,0.28,0.27,0.32)</f>
        <v/>
      </c>
      <c r="AF373" s="104">
        <f>CHOOSE(MATCH(IF($U373="","Основний",$U373),{"Трафіковий","Основний","Маржинальний","Сезонний","Стратегічний"},0),0.15,0.175,0.22,0.21,0.25)</f>
        <v/>
      </c>
      <c r="AG373" s="104">
        <f>CHOOSE(MATCH(IF($U373="","Основний",$U373),{"Трафіковий","Основний","Маржинальний","Сезонний","Стратегічний"},0),0.13,0.16,0.21,0.2,0.25)</f>
        <v/>
      </c>
      <c r="AH373" s="104">
        <f>CHOOSE(MATCH(IF($U373="","Основний",$U373),{"Трафіковий","Основний","Маржинальний","Сезонний","Стратегічний"},0),0.15,0.18,0.23,0.22,0.27)</f>
        <v/>
      </c>
      <c r="AI373" s="104">
        <f>CHOOSE(MATCH(IF($U373="","Основний",$U373),{"Трафіковий","Основний","Маржинальний","Сезонний","Стратегічний"},0),0.16,0.19,0.25,0.23,0.29)</f>
        <v/>
      </c>
      <c r="AJ373" s="104">
        <f>CHOOSE(MATCH(IF($U373="","Основний",$U373),{"Трафіковий","Основний","Маржинальний","Сезонний","Стратегічний"},0),0.14,0.17,0.22,0.21,0.25)</f>
        <v/>
      </c>
      <c r="AK373" s="104">
        <f>CHOOSE(MATCH(IF($U373="","Основний",$U373),{"Трафіковий","Основний","Маржинальний","Сезонний","Стратегічний"},0),0.15,0.18,0.23,0.22,0.27)</f>
        <v/>
      </c>
      <c r="AL373" s="104">
        <f>CHOOSE(MATCH(IF($U373="","Основний",$U373),{"Трафіковий","Основний","Маржинальний","Сезонний","Стратегічний"},0),0.15,0.17,0.25,0.24,0.29)</f>
        <v/>
      </c>
      <c r="AM373" s="104">
        <f>CHOOSE(MATCH(IF($U373="","Основний",$U373),{"Трафіковий","Основний","Маржинальний","Сезонний","Стратегічний"},0),0.12,0.145,0.19,0.18,0.22)</f>
        <v/>
      </c>
      <c r="AN373" s="157">
        <f>CHOOSE(MATCH(IF($U373="","Основний",$U373),{"Трафіковий","Основний","Маржинальний","Сезонний","Стратегічний"},0),Settings!$B$78,Settings!$B$80,Settings!$B$82,Settings!$B$84,Settings!$B$86)</f>
        <v/>
      </c>
      <c r="AO373" s="157">
        <f>CHOOSE(MATCH(IF($U373="","Основний",$U373),{"Трафіковий","Основний","Маржинальний","Сезонний","Стратегічний"},0),Settings!$C$78,Settings!$C$80,Settings!$C$82,Settings!$C$84,Settings!$C$86)</f>
        <v/>
      </c>
      <c r="AP373" s="157">
        <f>CHOOSE(MATCH(IF($U373="","Основний",$U373),{"Трафіковий","Основний","Маржинальний","Сезонний","Стратегічний"},0),Settings!$D$78,Settings!$D$80,Settings!$D$82,Settings!$D$84,Settings!$D$86)</f>
        <v/>
      </c>
      <c r="AQ373" s="157">
        <f>CHOOSE(MATCH(IF($U373="","Основний",$U373),{"Трафіковий","Основний","Маржинальний","Сезонний","Стратегічний"},0),Settings!$F$78,Settings!$F$80,Settings!$F$82,Settings!$F$84,Settings!$F$86)</f>
        <v/>
      </c>
      <c r="AR373" s="157">
        <f>CHOOSE(MATCH(IF($U373="","Основний",$U373),{"Трафіковий","Основний","Маржинальний","Сезонний","Стратегічний"},0),Settings!$G$78,Settings!$G$80,Settings!$G$82,Settings!$G$84,Settings!$G$86)</f>
        <v/>
      </c>
      <c r="AS373" s="157">
        <f>CHOOSE(MATCH(IF($U373="","Основний",$U373),{"Трафіковий","Основний","Маржинальний","Сезонний","Стратегічний"},0),Settings!$H$78,Settings!$H$80,Settings!$H$82,Settings!$H$84,Settings!$H$86)</f>
        <v/>
      </c>
      <c r="AT373" s="157">
        <f>CHOOSE(MATCH(IF($U373="","Основний",$U373),{"Трафіковий","Основний","Маржинальний","Сезонний","Стратегічний"},0),Settings!$I$78,Settings!$I$80,Settings!$I$82,Settings!$I$84,Settings!$I$86)</f>
        <v/>
      </c>
      <c r="AU373" s="171" t="n"/>
      <c r="AV373" t="n">
        <v>1.35</v>
      </c>
    </row>
    <row r="374">
      <c r="A374" s="28" t="inlineStr">
        <is>
          <t>SELL OUT</t>
        </is>
      </c>
      <c r="B374" s="29" t="inlineStr">
        <is>
          <t>P0055N</t>
        </is>
      </c>
      <c r="C374" s="29" t="inlineStr">
        <is>
          <t>TRAVEL ADAPTOR P0055N WHITE</t>
        </is>
      </c>
      <c r="D374" s="29" t="inlineStr">
        <is>
          <t>Пооджувачи та адаптери</t>
        </is>
      </c>
      <c r="E374" s="28" t="inlineStr">
        <is>
          <t>PC</t>
        </is>
      </c>
      <c r="F374" s="93" t="n">
        <v>4.49</v>
      </c>
      <c r="G374" s="30" t="n">
        <v>8536699099</v>
      </c>
      <c r="H374" s="31" t="n">
        <v>1.35</v>
      </c>
      <c r="I374" s="84">
        <f>IFERROR(F374*Settings!$B$2*H374*IF(AND(ISNUMBER(E374),E374&gt;1),E374,1),"")</f>
        <v/>
      </c>
      <c r="J374" s="32">
        <f>Settings!$B$66</f>
        <v/>
      </c>
      <c r="K374" s="95">
        <f>IFERROR(IF(T374="","",(T374*(1-AN374)*(1-Settings!$B$17)-I374)/(T374*(1-AN374)*(1-Settings!$B$17))),"")</f>
        <v/>
      </c>
      <c r="L374" s="101">
        <f>IFERROR(IF(T374="","",(T374*(1-AO374)*(1-Settings!$C$17)-I374)/(T374*(1-AO374)*(1-Settings!$C$17))),"")</f>
        <v/>
      </c>
      <c r="M374" s="101">
        <f>IFERROR(IF(T374="","",(T374*(1-AP374)*(1-Settings!$D$17)-I374)/(T374*(1-AP374)*(1-Settings!$D$17))),"")</f>
        <v/>
      </c>
      <c r="N374" s="101">
        <f>IFERROR(IF(T374="","",(T374*(1-AQ374)*(1-Settings!$F$17)-I374)/(T374*(1-AQ374)*(1-Settings!$F$17))),"")</f>
        <v/>
      </c>
      <c r="O374" s="101">
        <f>IFERROR(IF(T374="","",(T374*(1-AR374)*(1-Settings!$G$17)-I374)/(T374*(1-AR374)*(1-Settings!$G$17))),"")</f>
        <v/>
      </c>
      <c r="P374" s="101">
        <f>IFERROR(IF(T374="","",(T374*(1-AS374)*(1-Settings!$H$17)-I374)/(T374*(1-AS374)*(1-Settings!$H$17))),"")</f>
        <v/>
      </c>
      <c r="Q374" s="101">
        <f>IFERROR(IF(T374="","",(T374*(1-AT374)*(1-Settings!$I$68)*(1-Settings!$I$17)-I374)/(T374*(1-AT374)*(1-Settings!$I$68)*(1-Settings!$I$17))),"")</f>
        <v/>
      </c>
      <c r="R374" s="91">
        <f>IFERROR(IF(OR(I374="",Z374&gt;=1,Settings!$B$17&gt;=1,AN374&gt;=1),"",IF(MOD(ROUND(I374/(1-Z374)/(1-Settings!$B$17)/(1-AN374),0),10)=0,ROUND(I374/(1-Z374)/(1-Settings!$B$17)/(1-AN374),0)-1,IF(MOD(ROUND(I374/(1-Z374)/(1-Settings!$B$17)/(1-AN374),0),10)&lt;=5,FLOOR(ROUND(I374/(1-Z374)/(1-Settings!$B$17)/(1-AN374),0),10)+6,FLOOR(ROUND(I374/(1-Z374)/(1-Settings!$B$17)/(1-AN374),0),10)+9))),"")</f>
        <v/>
      </c>
      <c r="S374" s="174" t="n"/>
      <c r="T374" s="91">
        <f>IF(S374&lt;&gt;"", IF(MOD(S374,10)=0,S374-1,IF(MOD(S374,10)&lt;=5,FLOOR(S374,10)+6,FLOOR(S374,10)+9)), R374)</f>
        <v/>
      </c>
      <c r="U374" s="87" t="inlineStr">
        <is>
          <t>Основний</t>
        </is>
      </c>
      <c r="V374" s="88" t="n"/>
      <c r="W374" s="88" t="n"/>
      <c r="X374" s="89">
        <f>IFERROR(IF(OR(V374="",W374="",T374=""),"", IF(T374&gt;W374,"Дорогий",IF(T374&lt;V374,"Дешевий","У ринку"))),"")</f>
        <v/>
      </c>
      <c r="Y374" s="90" t="n"/>
      <c r="Z374" s="104">
        <f>CHOOSE(MATCH(IF($U374="","Основний",$U374),{"Трафіковий","Основний","Маржинальний","Сезонний","Стратегічний"},0),0.16,0.19,0.24,0.23,0.28)</f>
        <v/>
      </c>
      <c r="AA374" s="104">
        <f>CHOOSE(MATCH(IF($U374="","Основний",$U374),{"Трафіковий","Основний","Маржинальний","Сезонний","Стратегічний"},0),0.18,0.21,0.26,0.25,0.3)</f>
        <v/>
      </c>
      <c r="AB374" s="104">
        <f>CHOOSE(MATCH(IF($U374="","Основний",$U374),{"Трафіковий","Основний","Маржинальний","Сезонний","Стратегічний"},0),0.19,0.22,0.28,0.26,0.32)</f>
        <v/>
      </c>
      <c r="AC374" s="104">
        <f>CHOOSE(MATCH(IF($U374="","Основний",$U374),{"Трафіковий","Основний","Маржинальний","Сезонний","Стратегічний"},0),0.17,0.2,0.25,0.24,0.28)</f>
        <v/>
      </c>
      <c r="AD374" s="104">
        <f>CHOOSE(MATCH(IF($U374="","Основний",$U374),{"Трафіковий","Основний","Маржинальний","Сезонний","Стратегічний"},0),0.18,0.21,0.26,0.25,0.3)</f>
        <v/>
      </c>
      <c r="AE374" s="104">
        <f>CHOOSE(MATCH(IF($U374="","Основний",$U374),{"Трафіковий","Основний","Маржинальний","Сезонний","Стратегічний"},0),0.18,0.2,0.28,0.27,0.32)</f>
        <v/>
      </c>
      <c r="AF374" s="104">
        <f>CHOOSE(MATCH(IF($U374="","Основний",$U374),{"Трафіковий","Основний","Маржинальний","Сезонний","Стратегічний"},0),0.15,0.175,0.22,0.21,0.25)</f>
        <v/>
      </c>
      <c r="AG374" s="104">
        <f>CHOOSE(MATCH(IF($U374="","Основний",$U374),{"Трафіковий","Основний","Маржинальний","Сезонний","Стратегічний"},0),0.13,0.16,0.21,0.2,0.25)</f>
        <v/>
      </c>
      <c r="AH374" s="104">
        <f>CHOOSE(MATCH(IF($U374="","Основний",$U374),{"Трафіковий","Основний","Маржинальний","Сезонний","Стратегічний"},0),0.15,0.18,0.23,0.22,0.27)</f>
        <v/>
      </c>
      <c r="AI374" s="104">
        <f>CHOOSE(MATCH(IF($U374="","Основний",$U374),{"Трафіковий","Основний","Маржинальний","Сезонний","Стратегічний"},0),0.16,0.19,0.25,0.23,0.29)</f>
        <v/>
      </c>
      <c r="AJ374" s="104">
        <f>CHOOSE(MATCH(IF($U374="","Основний",$U374),{"Трафіковий","Основний","Маржинальний","Сезонний","Стратегічний"},0),0.14,0.17,0.22,0.21,0.25)</f>
        <v/>
      </c>
      <c r="AK374" s="104">
        <f>CHOOSE(MATCH(IF($U374="","Основний",$U374),{"Трафіковий","Основний","Маржинальний","Сезонний","Стратегічний"},0),0.15,0.18,0.23,0.22,0.27)</f>
        <v/>
      </c>
      <c r="AL374" s="104">
        <f>CHOOSE(MATCH(IF($U374="","Основний",$U374),{"Трафіковий","Основний","Маржинальний","Сезонний","Стратегічний"},0),0.15,0.17,0.25,0.24,0.29)</f>
        <v/>
      </c>
      <c r="AM374" s="104">
        <f>CHOOSE(MATCH(IF($U374="","Основний",$U374),{"Трафіковий","Основний","Маржинальний","Сезонний","Стратегічний"},0),0.12,0.145,0.19,0.18,0.22)</f>
        <v/>
      </c>
      <c r="AN374" s="157">
        <f>CHOOSE(MATCH(IF($U374="","Основний",$U374),{"Трафіковий","Основний","Маржинальний","Сезонний","Стратегічний"},0),Settings!$B$78,Settings!$B$80,Settings!$B$82,Settings!$B$84,Settings!$B$86)</f>
        <v/>
      </c>
      <c r="AO374" s="157">
        <f>CHOOSE(MATCH(IF($U374="","Основний",$U374),{"Трафіковий","Основний","Маржинальний","Сезонний","Стратегічний"},0),Settings!$C$78,Settings!$C$80,Settings!$C$82,Settings!$C$84,Settings!$C$86)</f>
        <v/>
      </c>
      <c r="AP374" s="157">
        <f>CHOOSE(MATCH(IF($U374="","Основний",$U374),{"Трафіковий","Основний","Маржинальний","Сезонний","Стратегічний"},0),Settings!$D$78,Settings!$D$80,Settings!$D$82,Settings!$D$84,Settings!$D$86)</f>
        <v/>
      </c>
      <c r="AQ374" s="157">
        <f>CHOOSE(MATCH(IF($U374="","Основний",$U374),{"Трафіковий","Основний","Маржинальний","Сезонний","Стратегічний"},0),Settings!$F$78,Settings!$F$80,Settings!$F$82,Settings!$F$84,Settings!$F$86)</f>
        <v/>
      </c>
      <c r="AR374" s="157">
        <f>CHOOSE(MATCH(IF($U374="","Основний",$U374),{"Трафіковий","Основний","Маржинальний","Сезонний","Стратегічний"},0),Settings!$G$78,Settings!$G$80,Settings!$G$82,Settings!$G$84,Settings!$G$86)</f>
        <v/>
      </c>
      <c r="AS374" s="157">
        <f>CHOOSE(MATCH(IF($U374="","Основний",$U374),{"Трафіковий","Основний","Маржинальний","Сезонний","Стратегічний"},0),Settings!$H$78,Settings!$H$80,Settings!$H$82,Settings!$H$84,Settings!$H$86)</f>
        <v/>
      </c>
      <c r="AT374" s="157">
        <f>CHOOSE(MATCH(IF($U374="","Основний",$U374),{"Трафіковий","Основний","Маржинальний","Сезонний","Стратегічний"},0),Settings!$I$78,Settings!$I$80,Settings!$I$82,Settings!$I$84,Settings!$I$86)</f>
        <v/>
      </c>
      <c r="AU374" s="171" t="n"/>
      <c r="AV374" t="n">
        <v>1.35</v>
      </c>
    </row>
    <row r="375">
      <c r="A375" s="33" t="n"/>
      <c r="B375" s="34" t="inlineStr">
        <is>
          <t>P0056N</t>
        </is>
      </c>
      <c r="C375" s="34" t="inlineStr">
        <is>
          <t>TRAVEL ADAPTOR P0056N WHITE</t>
        </is>
      </c>
      <c r="D375" s="34" t="inlineStr">
        <is>
          <t>Пооджувачи та адаптери</t>
        </is>
      </c>
      <c r="E375" s="33" t="inlineStr">
        <is>
          <t>PC</t>
        </is>
      </c>
      <c r="F375" s="94" t="n">
        <v>15.713</v>
      </c>
      <c r="G375" s="35" t="n">
        <v>8536699099</v>
      </c>
      <c r="H375" s="31" t="n">
        <v>1.35</v>
      </c>
      <c r="I375" s="84">
        <f>IFERROR(F375*Settings!$B$2*H375*IF(AND(ISNUMBER(E375),E375&gt;1),E375,1),"")</f>
        <v/>
      </c>
      <c r="J375" s="32">
        <f>Settings!$B$66</f>
        <v/>
      </c>
      <c r="K375" s="95">
        <f>IFERROR(IF(T375="","",(T375*(1-AN375)*(1-Settings!$B$17)-I375)/(T375*(1-AN375)*(1-Settings!$B$17))),"")</f>
        <v/>
      </c>
      <c r="L375" s="101">
        <f>IFERROR(IF(T375="","",(T375*(1-AO375)*(1-Settings!$C$17)-I375)/(T375*(1-AO375)*(1-Settings!$C$17))),"")</f>
        <v/>
      </c>
      <c r="M375" s="101">
        <f>IFERROR(IF(T375="","",(T375*(1-AP375)*(1-Settings!$D$17)-I375)/(T375*(1-AP375)*(1-Settings!$D$17))),"")</f>
        <v/>
      </c>
      <c r="N375" s="101">
        <f>IFERROR(IF(T375="","",(T375*(1-AQ375)*(1-Settings!$F$17)-I375)/(T375*(1-AQ375)*(1-Settings!$F$17))),"")</f>
        <v/>
      </c>
      <c r="O375" s="101">
        <f>IFERROR(IF(T375="","",(T375*(1-AR375)*(1-Settings!$G$17)-I375)/(T375*(1-AR375)*(1-Settings!$G$17))),"")</f>
        <v/>
      </c>
      <c r="P375" s="101">
        <f>IFERROR(IF(T375="","",(T375*(1-AS375)*(1-Settings!$H$17)-I375)/(T375*(1-AS375)*(1-Settings!$H$17))),"")</f>
        <v/>
      </c>
      <c r="Q375" s="101">
        <f>IFERROR(IF(T375="","",(T375*(1-AT375)*(1-Settings!$I$68)*(1-Settings!$I$17)-I375)/(T375*(1-AT375)*(1-Settings!$I$68)*(1-Settings!$I$17))),"")</f>
        <v/>
      </c>
      <c r="R375" s="91">
        <f>IFERROR(IF(OR(I375="",Z375&gt;=1,Settings!$B$17&gt;=1,AN375&gt;=1),"",IF(MOD(ROUND(I375/(1-Z375)/(1-Settings!$B$17)/(1-AN375),0),10)=0,ROUND(I375/(1-Z375)/(1-Settings!$B$17)/(1-AN375),0)-1,IF(MOD(ROUND(I375/(1-Z375)/(1-Settings!$B$17)/(1-AN375),0),10)&lt;=5,FLOOR(ROUND(I375/(1-Z375)/(1-Settings!$B$17)/(1-AN375),0),10)+6,FLOOR(ROUND(I375/(1-Z375)/(1-Settings!$B$17)/(1-AN375),0),10)+9))),"")</f>
        <v/>
      </c>
      <c r="S375" s="174" t="n">
        <v>2000</v>
      </c>
      <c r="T375" s="91">
        <f>IF(S375&lt;&gt;"", IF(MOD(S375,10)=0,S375-1,IF(MOD(S375,10)&lt;=5,FLOOR(S375,10)+6,FLOOR(S375,10)+9)), R375)</f>
        <v/>
      </c>
      <c r="U375" s="87" t="inlineStr">
        <is>
          <t>Основний</t>
        </is>
      </c>
      <c r="V375" s="88" t="n"/>
      <c r="W375" s="88" t="n"/>
      <c r="X375" s="89">
        <f>IFERROR(IF(OR(V375="",W375="",T375=""),"", IF(T375&gt;W375,"Дорогий",IF(T375&lt;V375,"Дешевий","У ринку"))),"")</f>
        <v/>
      </c>
      <c r="Y375" s="90" t="n"/>
      <c r="Z375" s="104">
        <f>CHOOSE(MATCH(IF($U375="","Основний",$U375),{"Трафіковий","Основний","Маржинальний","Сезонний","Стратегічний"},0),0.16,0.19,0.24,0.23,0.28)</f>
        <v/>
      </c>
      <c r="AA375" s="104">
        <f>CHOOSE(MATCH(IF($U375="","Основний",$U375),{"Трафіковий","Основний","Маржинальний","Сезонний","Стратегічний"},0),0.18,0.21,0.26,0.25,0.3)</f>
        <v/>
      </c>
      <c r="AB375" s="104">
        <f>CHOOSE(MATCH(IF($U375="","Основний",$U375),{"Трафіковий","Основний","Маржинальний","Сезонний","Стратегічний"},0),0.19,0.22,0.28,0.26,0.32)</f>
        <v/>
      </c>
      <c r="AC375" s="104">
        <f>CHOOSE(MATCH(IF($U375="","Основний",$U375),{"Трафіковий","Основний","Маржинальний","Сезонний","Стратегічний"},0),0.17,0.2,0.25,0.24,0.28)</f>
        <v/>
      </c>
      <c r="AD375" s="104">
        <f>CHOOSE(MATCH(IF($U375="","Основний",$U375),{"Трафіковий","Основний","Маржинальний","Сезонний","Стратегічний"},0),0.18,0.21,0.26,0.25,0.3)</f>
        <v/>
      </c>
      <c r="AE375" s="104">
        <f>CHOOSE(MATCH(IF($U375="","Основний",$U375),{"Трафіковий","Основний","Маржинальний","Сезонний","Стратегічний"},0),0.18,0.2,0.28,0.27,0.32)</f>
        <v/>
      </c>
      <c r="AF375" s="104">
        <f>CHOOSE(MATCH(IF($U375="","Основний",$U375),{"Трафіковий","Основний","Маржинальний","Сезонний","Стратегічний"},0),0.15,0.175,0.22,0.21,0.25)</f>
        <v/>
      </c>
      <c r="AG375" s="104">
        <f>CHOOSE(MATCH(IF($U375="","Основний",$U375),{"Трафіковий","Основний","Маржинальний","Сезонний","Стратегічний"},0),0.13,0.16,0.21,0.2,0.25)</f>
        <v/>
      </c>
      <c r="AH375" s="104">
        <f>CHOOSE(MATCH(IF($U375="","Основний",$U375),{"Трафіковий","Основний","Маржинальний","Сезонний","Стратегічний"},0),0.15,0.18,0.23,0.22,0.27)</f>
        <v/>
      </c>
      <c r="AI375" s="104">
        <f>CHOOSE(MATCH(IF($U375="","Основний",$U375),{"Трафіковий","Основний","Маржинальний","Сезонний","Стратегічний"},0),0.16,0.19,0.25,0.23,0.29)</f>
        <v/>
      </c>
      <c r="AJ375" s="104">
        <f>CHOOSE(MATCH(IF($U375="","Основний",$U375),{"Трафіковий","Основний","Маржинальний","Сезонний","Стратегічний"},0),0.14,0.17,0.22,0.21,0.25)</f>
        <v/>
      </c>
      <c r="AK375" s="104">
        <f>CHOOSE(MATCH(IF($U375="","Основний",$U375),{"Трафіковий","Основний","Маржинальний","Сезонний","Стратегічний"},0),0.15,0.18,0.23,0.22,0.27)</f>
        <v/>
      </c>
      <c r="AL375" s="104">
        <f>CHOOSE(MATCH(IF($U375="","Основний",$U375),{"Трафіковий","Основний","Маржинальний","Сезонний","Стратегічний"},0),0.15,0.17,0.25,0.24,0.29)</f>
        <v/>
      </c>
      <c r="AM375" s="104">
        <f>CHOOSE(MATCH(IF($U375="","Основний",$U375),{"Трафіковий","Основний","Маржинальний","Сезонний","Стратегічний"},0),0.12,0.145,0.19,0.18,0.22)</f>
        <v/>
      </c>
      <c r="AN375" s="157">
        <f>CHOOSE(MATCH(IF($U375="","Основний",$U375),{"Трафіковий","Основний","Маржинальний","Сезонний","Стратегічний"},0),Settings!$B$78,Settings!$B$80,Settings!$B$82,Settings!$B$84,Settings!$B$86)</f>
        <v/>
      </c>
      <c r="AO375" s="157">
        <f>CHOOSE(MATCH(IF($U375="","Основний",$U375),{"Трафіковий","Основний","Маржинальний","Сезонний","Стратегічний"},0),Settings!$C$78,Settings!$C$80,Settings!$C$82,Settings!$C$84,Settings!$C$86)</f>
        <v/>
      </c>
      <c r="AP375" s="157">
        <f>CHOOSE(MATCH(IF($U375="","Основний",$U375),{"Трафіковий","Основний","Маржинальний","Сезонний","Стратегічний"},0),Settings!$D$78,Settings!$D$80,Settings!$D$82,Settings!$D$84,Settings!$D$86)</f>
        <v/>
      </c>
      <c r="AQ375" s="157">
        <f>CHOOSE(MATCH(IF($U375="","Основний",$U375),{"Трафіковий","Основний","Маржинальний","Сезонний","Стратегічний"},0),Settings!$F$78,Settings!$F$80,Settings!$F$82,Settings!$F$84,Settings!$F$86)</f>
        <v/>
      </c>
      <c r="AR375" s="157">
        <f>CHOOSE(MATCH(IF($U375="","Основний",$U375),{"Трафіковий","Основний","Маржинальний","Сезонний","Стратегічний"},0),Settings!$G$78,Settings!$G$80,Settings!$G$82,Settings!$G$84,Settings!$G$86)</f>
        <v/>
      </c>
      <c r="AS375" s="157">
        <f>CHOOSE(MATCH(IF($U375="","Основний",$U375),{"Трафіковий","Основний","Маржинальний","Сезонний","Стратегічний"},0),Settings!$H$78,Settings!$H$80,Settings!$H$82,Settings!$H$84,Settings!$H$86)</f>
        <v/>
      </c>
      <c r="AT375" s="157">
        <f>CHOOSE(MATCH(IF($U375="","Основний",$U375),{"Трафіковий","Основний","Маржинальний","Сезонний","Стратегічний"},0),Settings!$I$78,Settings!$I$80,Settings!$I$82,Settings!$I$84,Settings!$I$86)</f>
        <v/>
      </c>
      <c r="AU375" s="171" t="n"/>
      <c r="AV375" t="n">
        <v>1.35</v>
      </c>
    </row>
    <row r="376">
      <c r="A376" s="28" t="inlineStr">
        <is>
          <t>NEW</t>
        </is>
      </c>
      <c r="B376" s="29" t="inlineStr">
        <is>
          <t>P0055U</t>
        </is>
      </c>
      <c r="C376" s="29" t="inlineStr">
        <is>
          <t>TRAVEL ADAPTOR WITH USB A+C PD20W WHITE</t>
        </is>
      </c>
      <c r="D376" s="29" t="inlineStr">
        <is>
          <t>Пооджувачи та адаптери</t>
        </is>
      </c>
      <c r="E376" s="28" t="inlineStr">
        <is>
          <t>PC</t>
        </is>
      </c>
      <c r="F376" s="93" t="n">
        <v>9.145</v>
      </c>
      <c r="G376" s="30" t="n">
        <v>8536699099</v>
      </c>
      <c r="H376" s="31" t="n">
        <v>1.35</v>
      </c>
      <c r="I376" s="84">
        <f>IFERROR(F376*Settings!$B$2*H376*IF(AND(ISNUMBER(E376),E376&gt;1),E376,1),"")</f>
        <v/>
      </c>
      <c r="J376" s="32">
        <f>Settings!$B$66</f>
        <v/>
      </c>
      <c r="K376" s="95">
        <f>IFERROR(IF(T376="","",(T376*(1-AN376)*(1-Settings!$B$17)-I376)/(T376*(1-AN376)*(1-Settings!$B$17))),"")</f>
        <v/>
      </c>
      <c r="L376" s="101">
        <f>IFERROR(IF(T376="","",(T376*(1-AO376)*(1-Settings!$C$17)-I376)/(T376*(1-AO376)*(1-Settings!$C$17))),"")</f>
        <v/>
      </c>
      <c r="M376" s="101">
        <f>IFERROR(IF(T376="","",(T376*(1-AP376)*(1-Settings!$D$17)-I376)/(T376*(1-AP376)*(1-Settings!$D$17))),"")</f>
        <v/>
      </c>
      <c r="N376" s="101">
        <f>IFERROR(IF(T376="","",(T376*(1-AQ376)*(1-Settings!$F$17)-I376)/(T376*(1-AQ376)*(1-Settings!$F$17))),"")</f>
        <v/>
      </c>
      <c r="O376" s="101">
        <f>IFERROR(IF(T376="","",(T376*(1-AR376)*(1-Settings!$G$17)-I376)/(T376*(1-AR376)*(1-Settings!$G$17))),"")</f>
        <v/>
      </c>
      <c r="P376" s="101">
        <f>IFERROR(IF(T376="","",(T376*(1-AS376)*(1-Settings!$H$17)-I376)/(T376*(1-AS376)*(1-Settings!$H$17))),"")</f>
        <v/>
      </c>
      <c r="Q376" s="101">
        <f>IFERROR(IF(T376="","",(T376*(1-AT376)*(1-Settings!$I$68)*(1-Settings!$I$17)-I376)/(T376*(1-AT376)*(1-Settings!$I$68)*(1-Settings!$I$17))),"")</f>
        <v/>
      </c>
      <c r="R376" s="91">
        <f>IFERROR(IF(OR(I376="",Z376&gt;=1,Settings!$B$17&gt;=1,AN376&gt;=1),"",IF(MOD(ROUND(I376/(1-Z376)/(1-Settings!$B$17)/(1-AN376),0),10)=0,ROUND(I376/(1-Z376)/(1-Settings!$B$17)/(1-AN376),0)-1,IF(MOD(ROUND(I376/(1-Z376)/(1-Settings!$B$17)/(1-AN376),0),10)&lt;=5,FLOOR(ROUND(I376/(1-Z376)/(1-Settings!$B$17)/(1-AN376),0),10)+6,FLOOR(ROUND(I376/(1-Z376)/(1-Settings!$B$17)/(1-AN376),0),10)+9))),"")</f>
        <v/>
      </c>
      <c r="S376" s="174" t="n"/>
      <c r="T376" s="91">
        <f>IF(S376&lt;&gt;"", IF(MOD(S376,10)=0,S376-1,IF(MOD(S376,10)&lt;=5,FLOOR(S376,10)+6,FLOOR(S376,10)+9)), R376)</f>
        <v/>
      </c>
      <c r="U376" s="87" t="inlineStr">
        <is>
          <t>Основний</t>
        </is>
      </c>
      <c r="V376" s="88" t="n"/>
      <c r="W376" s="88" t="n"/>
      <c r="X376" s="89">
        <f>IFERROR(IF(OR(V376="",W376="",T376=""),"", IF(T376&gt;W376,"Дорогий",IF(T376&lt;V376,"Дешевий","У ринку"))),"")</f>
        <v/>
      </c>
      <c r="Y376" s="90" t="n"/>
      <c r="Z376" s="104">
        <f>CHOOSE(MATCH(IF($U376="","Основний",$U376),{"Трафіковий","Основний","Маржинальний","Сезонний","Стратегічний"},0),0.16,0.19,0.24,0.23,0.28)</f>
        <v/>
      </c>
      <c r="AA376" s="104">
        <f>CHOOSE(MATCH(IF($U376="","Основний",$U376),{"Трафіковий","Основний","Маржинальний","Сезонний","Стратегічний"},0),0.18,0.21,0.26,0.25,0.3)</f>
        <v/>
      </c>
      <c r="AB376" s="104">
        <f>CHOOSE(MATCH(IF($U376="","Основний",$U376),{"Трафіковий","Основний","Маржинальний","Сезонний","Стратегічний"},0),0.19,0.22,0.28,0.26,0.32)</f>
        <v/>
      </c>
      <c r="AC376" s="104">
        <f>CHOOSE(MATCH(IF($U376="","Основний",$U376),{"Трафіковий","Основний","Маржинальний","Сезонний","Стратегічний"},0),0.17,0.2,0.25,0.24,0.28)</f>
        <v/>
      </c>
      <c r="AD376" s="104">
        <f>CHOOSE(MATCH(IF($U376="","Основний",$U376),{"Трафіковий","Основний","Маржинальний","Сезонний","Стратегічний"},0),0.18,0.21,0.26,0.25,0.3)</f>
        <v/>
      </c>
      <c r="AE376" s="104">
        <f>CHOOSE(MATCH(IF($U376="","Основний",$U376),{"Трафіковий","Основний","Маржинальний","Сезонний","Стратегічний"},0),0.18,0.2,0.28,0.27,0.32)</f>
        <v/>
      </c>
      <c r="AF376" s="104">
        <f>CHOOSE(MATCH(IF($U376="","Основний",$U376),{"Трафіковий","Основний","Маржинальний","Сезонний","Стратегічний"},0),0.15,0.175,0.22,0.21,0.25)</f>
        <v/>
      </c>
      <c r="AG376" s="104">
        <f>CHOOSE(MATCH(IF($U376="","Основний",$U376),{"Трафіковий","Основний","Маржинальний","Сезонний","Стратегічний"},0),0.13,0.16,0.21,0.2,0.25)</f>
        <v/>
      </c>
      <c r="AH376" s="104">
        <f>CHOOSE(MATCH(IF($U376="","Основний",$U376),{"Трафіковий","Основний","Маржинальний","Сезонний","Стратегічний"},0),0.15,0.18,0.23,0.22,0.27)</f>
        <v/>
      </c>
      <c r="AI376" s="104">
        <f>CHOOSE(MATCH(IF($U376="","Основний",$U376),{"Трафіковий","Основний","Маржинальний","Сезонний","Стратегічний"},0),0.16,0.19,0.25,0.23,0.29)</f>
        <v/>
      </c>
      <c r="AJ376" s="104">
        <f>CHOOSE(MATCH(IF($U376="","Основний",$U376),{"Трафіковий","Основний","Маржинальний","Сезонний","Стратегічний"},0),0.14,0.17,0.22,0.21,0.25)</f>
        <v/>
      </c>
      <c r="AK376" s="104">
        <f>CHOOSE(MATCH(IF($U376="","Основний",$U376),{"Трафіковий","Основний","Маржинальний","Сезонний","Стратегічний"},0),0.15,0.18,0.23,0.22,0.27)</f>
        <v/>
      </c>
      <c r="AL376" s="104">
        <f>CHOOSE(MATCH(IF($U376="","Основний",$U376),{"Трафіковий","Основний","Маржинальний","Сезонний","Стратегічний"},0),0.15,0.17,0.25,0.24,0.29)</f>
        <v/>
      </c>
      <c r="AM376" s="104">
        <f>CHOOSE(MATCH(IF($U376="","Основний",$U376),{"Трафіковий","Основний","Маржинальний","Сезонний","Стратегічний"},0),0.12,0.145,0.19,0.18,0.22)</f>
        <v/>
      </c>
      <c r="AN376" s="157">
        <f>CHOOSE(MATCH(IF($U376="","Основний",$U376),{"Трафіковий","Основний","Маржинальний","Сезонний","Стратегічний"},0),Settings!$B$78,Settings!$B$80,Settings!$B$82,Settings!$B$84,Settings!$B$86)</f>
        <v/>
      </c>
      <c r="AO376" s="157">
        <f>CHOOSE(MATCH(IF($U376="","Основний",$U376),{"Трафіковий","Основний","Маржинальний","Сезонний","Стратегічний"},0),Settings!$C$78,Settings!$C$80,Settings!$C$82,Settings!$C$84,Settings!$C$86)</f>
        <v/>
      </c>
      <c r="AP376" s="157">
        <f>CHOOSE(MATCH(IF($U376="","Основний",$U376),{"Трафіковий","Основний","Маржинальний","Сезонний","Стратегічний"},0),Settings!$D$78,Settings!$D$80,Settings!$D$82,Settings!$D$84,Settings!$D$86)</f>
        <v/>
      </c>
      <c r="AQ376" s="157">
        <f>CHOOSE(MATCH(IF($U376="","Основний",$U376),{"Трафіковий","Основний","Маржинальний","Сезонний","Стратегічний"},0),Settings!$F$78,Settings!$F$80,Settings!$F$82,Settings!$F$84,Settings!$F$86)</f>
        <v/>
      </c>
      <c r="AR376" s="157">
        <f>CHOOSE(MATCH(IF($U376="","Основний",$U376),{"Трафіковий","Основний","Маржинальний","Сезонний","Стратегічний"},0),Settings!$G$78,Settings!$G$80,Settings!$G$82,Settings!$G$84,Settings!$G$86)</f>
        <v/>
      </c>
      <c r="AS376" s="157">
        <f>CHOOSE(MATCH(IF($U376="","Основний",$U376),{"Трафіковий","Основний","Маржинальний","Сезонний","Стратегічний"},0),Settings!$H$78,Settings!$H$80,Settings!$H$82,Settings!$H$84,Settings!$H$86)</f>
        <v/>
      </c>
      <c r="AT376" s="157">
        <f>CHOOSE(MATCH(IF($U376="","Основний",$U376),{"Трафіковий","Основний","Маржинальний","Сезонний","Стратегічний"},0),Settings!$I$78,Settings!$I$80,Settings!$I$82,Settings!$I$84,Settings!$I$86)</f>
        <v/>
      </c>
      <c r="AU376" s="171" t="n"/>
      <c r="AV376" t="n">
        <v>1.35</v>
      </c>
    </row>
    <row r="377">
      <c r="A377" s="33" t="inlineStr">
        <is>
          <t>NEW</t>
        </is>
      </c>
      <c r="B377" s="34" t="inlineStr">
        <is>
          <t>P0056U</t>
        </is>
      </c>
      <c r="C377" s="34" t="inlineStr">
        <is>
          <t>TRAVEL ADAPTOR P0055E WHITE</t>
        </is>
      </c>
      <c r="D377" s="34" t="inlineStr">
        <is>
          <t>Пооджувачи та адаптери</t>
        </is>
      </c>
      <c r="E377" s="33" t="inlineStr">
        <is>
          <t>PC</t>
        </is>
      </c>
      <c r="F377" s="94" t="n">
        <v>24.49</v>
      </c>
      <c r="G377" s="35" t="n">
        <v>8536699099</v>
      </c>
      <c r="H377" s="31" t="n">
        <v>1.35</v>
      </c>
      <c r="I377" s="84">
        <f>IFERROR(F377*Settings!$B$2*H377*IF(AND(ISNUMBER(E377),E377&gt;1),E377,1),"")</f>
        <v/>
      </c>
      <c r="J377" s="32">
        <f>Settings!$B$66</f>
        <v/>
      </c>
      <c r="K377" s="95">
        <f>IFERROR(IF(T377="","",(T377*(1-AN377)*(1-Settings!$B$17)-I377)/(T377*(1-AN377)*(1-Settings!$B$17))),"")</f>
        <v/>
      </c>
      <c r="L377" s="101">
        <f>IFERROR(IF(T377="","",(T377*(1-AO377)*(1-Settings!$C$17)-I377)/(T377*(1-AO377)*(1-Settings!$C$17))),"")</f>
        <v/>
      </c>
      <c r="M377" s="101">
        <f>IFERROR(IF(T377="","",(T377*(1-AP377)*(1-Settings!$D$17)-I377)/(T377*(1-AP377)*(1-Settings!$D$17))),"")</f>
        <v/>
      </c>
      <c r="N377" s="101">
        <f>IFERROR(IF(T377="","",(T377*(1-AQ377)*(1-Settings!$F$17)-I377)/(T377*(1-AQ377)*(1-Settings!$F$17))),"")</f>
        <v/>
      </c>
      <c r="O377" s="101">
        <f>IFERROR(IF(T377="","",(T377*(1-AR377)*(1-Settings!$G$17)-I377)/(T377*(1-AR377)*(1-Settings!$G$17))),"")</f>
        <v/>
      </c>
      <c r="P377" s="101">
        <f>IFERROR(IF(T377="","",(T377*(1-AS377)*(1-Settings!$H$17)-I377)/(T377*(1-AS377)*(1-Settings!$H$17))),"")</f>
        <v/>
      </c>
      <c r="Q377" s="101">
        <f>IFERROR(IF(T377="","",(T377*(1-AT377)*(1-Settings!$I$68)*(1-Settings!$I$17)-I377)/(T377*(1-AT377)*(1-Settings!$I$68)*(1-Settings!$I$17))),"")</f>
        <v/>
      </c>
      <c r="R377" s="91">
        <f>IFERROR(IF(OR(I377="",Z377&gt;=1,Settings!$B$17&gt;=1,AN377&gt;=1),"",IF(MOD(ROUND(I377/(1-Z377)/(1-Settings!$B$17)/(1-AN377),0),10)=0,ROUND(I377/(1-Z377)/(1-Settings!$B$17)/(1-AN377),0)-1,IF(MOD(ROUND(I377/(1-Z377)/(1-Settings!$B$17)/(1-AN377),0),10)&lt;=5,FLOOR(ROUND(I377/(1-Z377)/(1-Settings!$B$17)/(1-AN377),0),10)+6,FLOOR(ROUND(I377/(1-Z377)/(1-Settings!$B$17)/(1-AN377),0),10)+9))),"")</f>
        <v/>
      </c>
      <c r="S377" s="174">
        <f>R377*0.95</f>
        <v/>
      </c>
      <c r="T377" s="91">
        <f>IF(S377&lt;&gt;"", IF(MOD(S377,10)=0,S377-1,IF(MOD(S377,10)&lt;=5,FLOOR(S377,10)+6,FLOOR(S377,10)+9)), R377)</f>
        <v/>
      </c>
      <c r="U377" s="87" t="inlineStr">
        <is>
          <t>Основний</t>
        </is>
      </c>
      <c r="V377" s="88" t="n"/>
      <c r="W377" s="88" t="n"/>
      <c r="X377" s="89">
        <f>IFERROR(IF(OR(V377="",W377="",T377=""),"", IF(T377&gt;W377,"Дорогий",IF(T377&lt;V377,"Дешевий","У ринку"))),"")</f>
        <v/>
      </c>
      <c r="Y377" s="90" t="n"/>
      <c r="Z377" s="104">
        <f>CHOOSE(MATCH(IF($U377="","Основний",$U377),{"Трафіковий","Основний","Маржинальний","Сезонний","Стратегічний"},0),0.16,0.19,0.24,0.23,0.28)</f>
        <v/>
      </c>
      <c r="AA377" s="104">
        <f>CHOOSE(MATCH(IF($U377="","Основний",$U377),{"Трафіковий","Основний","Маржинальний","Сезонний","Стратегічний"},0),0.18,0.21,0.26,0.25,0.3)</f>
        <v/>
      </c>
      <c r="AB377" s="104">
        <f>CHOOSE(MATCH(IF($U377="","Основний",$U377),{"Трафіковий","Основний","Маржинальний","Сезонний","Стратегічний"},0),0.19,0.22,0.28,0.26,0.32)</f>
        <v/>
      </c>
      <c r="AC377" s="104">
        <f>CHOOSE(MATCH(IF($U377="","Основний",$U377),{"Трафіковий","Основний","Маржинальний","Сезонний","Стратегічний"},0),0.17,0.2,0.25,0.24,0.28)</f>
        <v/>
      </c>
      <c r="AD377" s="104">
        <f>CHOOSE(MATCH(IF($U377="","Основний",$U377),{"Трафіковий","Основний","Маржинальний","Сезонний","Стратегічний"},0),0.18,0.21,0.26,0.25,0.3)</f>
        <v/>
      </c>
      <c r="AE377" s="104">
        <f>CHOOSE(MATCH(IF($U377="","Основний",$U377),{"Трафіковий","Основний","Маржинальний","Сезонний","Стратегічний"},0),0.18,0.2,0.28,0.27,0.32)</f>
        <v/>
      </c>
      <c r="AF377" s="104">
        <f>CHOOSE(MATCH(IF($U377="","Основний",$U377),{"Трафіковий","Основний","Маржинальний","Сезонний","Стратегічний"},0),0.15,0.175,0.22,0.21,0.25)</f>
        <v/>
      </c>
      <c r="AG377" s="104">
        <f>CHOOSE(MATCH(IF($U377="","Основний",$U377),{"Трафіковий","Основний","Маржинальний","Сезонний","Стратегічний"},0),0.13,0.16,0.21,0.2,0.25)</f>
        <v/>
      </c>
      <c r="AH377" s="104">
        <f>CHOOSE(MATCH(IF($U377="","Основний",$U377),{"Трафіковий","Основний","Маржинальний","Сезонний","Стратегічний"},0),0.15,0.18,0.23,0.22,0.27)</f>
        <v/>
      </c>
      <c r="AI377" s="104">
        <f>CHOOSE(MATCH(IF($U377="","Основний",$U377),{"Трафіковий","Основний","Маржинальний","Сезонний","Стратегічний"},0),0.16,0.19,0.25,0.23,0.29)</f>
        <v/>
      </c>
      <c r="AJ377" s="104">
        <f>CHOOSE(MATCH(IF($U377="","Основний",$U377),{"Трафіковий","Основний","Маржинальний","Сезонний","Стратегічний"},0),0.14,0.17,0.22,0.21,0.25)</f>
        <v/>
      </c>
      <c r="AK377" s="104">
        <f>CHOOSE(MATCH(IF($U377="","Основний",$U377),{"Трафіковий","Основний","Маржинальний","Сезонний","Стратегічний"},0),0.15,0.18,0.23,0.22,0.27)</f>
        <v/>
      </c>
      <c r="AL377" s="104">
        <f>CHOOSE(MATCH(IF($U377="","Основний",$U377),{"Трафіковий","Основний","Маржинальний","Сезонний","Стратегічний"},0),0.15,0.17,0.25,0.24,0.29)</f>
        <v/>
      </c>
      <c r="AM377" s="104">
        <f>CHOOSE(MATCH(IF($U377="","Основний",$U377),{"Трафіковий","Основний","Маржинальний","Сезонний","Стратегічний"},0),0.12,0.145,0.19,0.18,0.22)</f>
        <v/>
      </c>
      <c r="AN377" s="157">
        <f>CHOOSE(MATCH(IF($U377="","Основний",$U377),{"Трафіковий","Основний","Маржинальний","Сезонний","Стратегічний"},0),Settings!$B$78,Settings!$B$80,Settings!$B$82,Settings!$B$84,Settings!$B$86)</f>
        <v/>
      </c>
      <c r="AO377" s="157">
        <f>CHOOSE(MATCH(IF($U377="","Основний",$U377),{"Трафіковий","Основний","Маржинальний","Сезонний","Стратегічний"},0),Settings!$C$78,Settings!$C$80,Settings!$C$82,Settings!$C$84,Settings!$C$86)</f>
        <v/>
      </c>
      <c r="AP377" s="157">
        <f>CHOOSE(MATCH(IF($U377="","Основний",$U377),{"Трафіковий","Основний","Маржинальний","Сезонний","Стратегічний"},0),Settings!$D$78,Settings!$D$80,Settings!$D$82,Settings!$D$84,Settings!$D$86)</f>
        <v/>
      </c>
      <c r="AQ377" s="157">
        <f>CHOOSE(MATCH(IF($U377="","Основний",$U377),{"Трафіковий","Основний","Маржинальний","Сезонний","Стратегічний"},0),Settings!$F$78,Settings!$F$80,Settings!$F$82,Settings!$F$84,Settings!$F$86)</f>
        <v/>
      </c>
      <c r="AR377" s="157">
        <f>CHOOSE(MATCH(IF($U377="","Основний",$U377),{"Трафіковий","Основний","Маржинальний","Сезонний","Стратегічний"},0),Settings!$G$78,Settings!$G$80,Settings!$G$82,Settings!$G$84,Settings!$G$86)</f>
        <v/>
      </c>
      <c r="AS377" s="157">
        <f>CHOOSE(MATCH(IF($U377="","Основний",$U377),{"Трафіковий","Основний","Маржинальний","Сезонний","Стратегічний"},0),Settings!$H$78,Settings!$H$80,Settings!$H$82,Settings!$H$84,Settings!$H$86)</f>
        <v/>
      </c>
      <c r="AT377" s="157">
        <f>CHOOSE(MATCH(IF($U377="","Основний",$U377),{"Трафіковий","Основний","Маржинальний","Сезонний","Стратегічний"},0),Settings!$I$78,Settings!$I$80,Settings!$I$82,Settings!$I$84,Settings!$I$86)</f>
        <v/>
      </c>
      <c r="AU377" s="171" t="n"/>
      <c r="AV377" t="n">
        <v>1.35</v>
      </c>
    </row>
    <row r="378">
      <c r="A378" s="28" t="n"/>
      <c r="B378" s="29" t="inlineStr">
        <is>
          <t>P0063</t>
        </is>
      </c>
      <c r="C378" s="29" t="inlineStr">
        <is>
          <t>ADAPTOR 2× W.SWITCH WHITE SCH.</t>
        </is>
      </c>
      <c r="D378" s="29" t="inlineStr">
        <is>
          <t>Пооджувачи та адаптери</t>
        </is>
      </c>
      <c r="E378" s="28" t="inlineStr">
        <is>
          <t>PC</t>
        </is>
      </c>
      <c r="F378" s="93" t="n">
        <v>1.433</v>
      </c>
      <c r="G378" s="30" t="n">
        <v>8536699099</v>
      </c>
      <c r="H378" s="31" t="n">
        <v>1.35</v>
      </c>
      <c r="I378" s="84">
        <f>IFERROR(F378*Settings!$B$2*H378*IF(AND(ISNUMBER(E378),E378&gt;1),E378,1),"")</f>
        <v/>
      </c>
      <c r="J378" s="32">
        <f>Settings!$B$66</f>
        <v/>
      </c>
      <c r="K378" s="95">
        <f>IFERROR(IF(T378="","",(T378*(1-AN378)*(1-Settings!$B$17)-I378)/(T378*(1-AN378)*(1-Settings!$B$17))),"")</f>
        <v/>
      </c>
      <c r="L378" s="101">
        <f>IFERROR(IF(T378="","",(T378*(1-AO378)*(1-Settings!$C$17)-I378)/(T378*(1-AO378)*(1-Settings!$C$17))),"")</f>
        <v/>
      </c>
      <c r="M378" s="101">
        <f>IFERROR(IF(T378="","",(T378*(1-AP378)*(1-Settings!$D$17)-I378)/(T378*(1-AP378)*(1-Settings!$D$17))),"")</f>
        <v/>
      </c>
      <c r="N378" s="101">
        <f>IFERROR(IF(T378="","",(T378*(1-AQ378)*(1-Settings!$F$17)-I378)/(T378*(1-AQ378)*(1-Settings!$F$17))),"")</f>
        <v/>
      </c>
      <c r="O378" s="101">
        <f>IFERROR(IF(T378="","",(T378*(1-AR378)*(1-Settings!$G$17)-I378)/(T378*(1-AR378)*(1-Settings!$G$17))),"")</f>
        <v/>
      </c>
      <c r="P378" s="101">
        <f>IFERROR(IF(T378="","",(T378*(1-AS378)*(1-Settings!$H$17)-I378)/(T378*(1-AS378)*(1-Settings!$H$17))),"")</f>
        <v/>
      </c>
      <c r="Q378" s="101">
        <f>IFERROR(IF(T378="","",(T378*(1-AT378)*(1-Settings!$I$68)*(1-Settings!$I$17)-I378)/(T378*(1-AT378)*(1-Settings!$I$68)*(1-Settings!$I$17))),"")</f>
        <v/>
      </c>
      <c r="R378" s="91">
        <f>IFERROR(IF(OR(I378="",Z378&gt;=1,Settings!$B$17&gt;=1,AN378&gt;=1),"",IF(MOD(ROUND(I378/(1-Z378)/(1-Settings!$B$17)/(1-AN378),0),10)=0,ROUND(I378/(1-Z378)/(1-Settings!$B$17)/(1-AN378),0)-1,IF(MOD(ROUND(I378/(1-Z378)/(1-Settings!$B$17)/(1-AN378),0),10)&lt;=5,FLOOR(ROUND(I378/(1-Z378)/(1-Settings!$B$17)/(1-AN378),0),10)+6,FLOOR(ROUND(I378/(1-Z378)/(1-Settings!$B$17)/(1-AN378),0),10)+9))),"")</f>
        <v/>
      </c>
      <c r="S378" s="174" t="n"/>
      <c r="T378" s="91">
        <f>IF(S378&lt;&gt;"", IF(MOD(S378,10)=0,S378-1,IF(MOD(S378,10)&lt;=5,FLOOR(S378,10)+6,FLOOR(S378,10)+9)), R378)</f>
        <v/>
      </c>
      <c r="U378" s="87" t="inlineStr">
        <is>
          <t>Основний</t>
        </is>
      </c>
      <c r="V378" s="88" t="n"/>
      <c r="W378" s="88" t="n"/>
      <c r="X378" s="89">
        <f>IFERROR(IF(OR(V378="",W378="",T378=""),"", IF(T378&gt;W378,"Дорогий",IF(T378&lt;V378,"Дешевий","У ринку"))),"")</f>
        <v/>
      </c>
      <c r="Y378" s="90" t="n"/>
      <c r="Z378" s="104">
        <f>CHOOSE(MATCH(IF($U378="","Основний",$U378),{"Трафіковий","Основний","Маржинальний","Сезонний","Стратегічний"},0),0.16,0.19,0.24,0.23,0.28)</f>
        <v/>
      </c>
      <c r="AA378" s="104">
        <f>CHOOSE(MATCH(IF($U378="","Основний",$U378),{"Трафіковий","Основний","Маржинальний","Сезонний","Стратегічний"},0),0.18,0.21,0.26,0.25,0.3)</f>
        <v/>
      </c>
      <c r="AB378" s="104">
        <f>CHOOSE(MATCH(IF($U378="","Основний",$U378),{"Трафіковий","Основний","Маржинальний","Сезонний","Стратегічний"},0),0.19,0.22,0.28,0.26,0.32)</f>
        <v/>
      </c>
      <c r="AC378" s="104">
        <f>CHOOSE(MATCH(IF($U378="","Основний",$U378),{"Трафіковий","Основний","Маржинальний","Сезонний","Стратегічний"},0),0.17,0.2,0.25,0.24,0.28)</f>
        <v/>
      </c>
      <c r="AD378" s="104">
        <f>CHOOSE(MATCH(IF($U378="","Основний",$U378),{"Трафіковий","Основний","Маржинальний","Сезонний","Стратегічний"},0),0.18,0.21,0.26,0.25,0.3)</f>
        <v/>
      </c>
      <c r="AE378" s="104">
        <f>CHOOSE(MATCH(IF($U378="","Основний",$U378),{"Трафіковий","Основний","Маржинальний","Сезонний","Стратегічний"},0),0.18,0.2,0.28,0.27,0.32)</f>
        <v/>
      </c>
      <c r="AF378" s="104">
        <f>CHOOSE(MATCH(IF($U378="","Основний",$U378),{"Трафіковий","Основний","Маржинальний","Сезонний","Стратегічний"},0),0.15,0.175,0.22,0.21,0.25)</f>
        <v/>
      </c>
      <c r="AG378" s="104">
        <f>CHOOSE(MATCH(IF($U378="","Основний",$U378),{"Трафіковий","Основний","Маржинальний","Сезонний","Стратегічний"},0),0.13,0.16,0.21,0.2,0.25)</f>
        <v/>
      </c>
      <c r="AH378" s="104">
        <f>CHOOSE(MATCH(IF($U378="","Основний",$U378),{"Трафіковий","Основний","Маржинальний","Сезонний","Стратегічний"},0),0.15,0.18,0.23,0.22,0.27)</f>
        <v/>
      </c>
      <c r="AI378" s="104">
        <f>CHOOSE(MATCH(IF($U378="","Основний",$U378),{"Трафіковий","Основний","Маржинальний","Сезонний","Стратегічний"},0),0.16,0.19,0.25,0.23,0.29)</f>
        <v/>
      </c>
      <c r="AJ378" s="104">
        <f>CHOOSE(MATCH(IF($U378="","Основний",$U378),{"Трафіковий","Основний","Маржинальний","Сезонний","Стратегічний"},0),0.14,0.17,0.22,0.21,0.25)</f>
        <v/>
      </c>
      <c r="AK378" s="104">
        <f>CHOOSE(MATCH(IF($U378="","Основний",$U378),{"Трафіковий","Основний","Маржинальний","Сезонний","Стратегічний"},0),0.15,0.18,0.23,0.22,0.27)</f>
        <v/>
      </c>
      <c r="AL378" s="104">
        <f>CHOOSE(MATCH(IF($U378="","Основний",$U378),{"Трафіковий","Основний","Маржинальний","Сезонний","Стратегічний"},0),0.15,0.17,0.25,0.24,0.29)</f>
        <v/>
      </c>
      <c r="AM378" s="104">
        <f>CHOOSE(MATCH(IF($U378="","Основний",$U378),{"Трафіковий","Основний","Маржинальний","Сезонний","Стратегічний"},0),0.12,0.145,0.19,0.18,0.22)</f>
        <v/>
      </c>
      <c r="AN378" s="157">
        <f>CHOOSE(MATCH(IF($U378="","Основний",$U378),{"Трафіковий","Основний","Маржинальний","Сезонний","Стратегічний"},0),Settings!$B$78,Settings!$B$80,Settings!$B$82,Settings!$B$84,Settings!$B$86)</f>
        <v/>
      </c>
      <c r="AO378" s="157">
        <f>CHOOSE(MATCH(IF($U378="","Основний",$U378),{"Трафіковий","Основний","Маржинальний","Сезонний","Стратегічний"},0),Settings!$C$78,Settings!$C$80,Settings!$C$82,Settings!$C$84,Settings!$C$86)</f>
        <v/>
      </c>
      <c r="AP378" s="157">
        <f>CHOOSE(MATCH(IF($U378="","Основний",$U378),{"Трафіковий","Основний","Маржинальний","Сезонний","Стратегічний"},0),Settings!$D$78,Settings!$D$80,Settings!$D$82,Settings!$D$84,Settings!$D$86)</f>
        <v/>
      </c>
      <c r="AQ378" s="157">
        <f>CHOOSE(MATCH(IF($U378="","Основний",$U378),{"Трафіковий","Основний","Маржинальний","Сезонний","Стратегічний"},0),Settings!$F$78,Settings!$F$80,Settings!$F$82,Settings!$F$84,Settings!$F$86)</f>
        <v/>
      </c>
      <c r="AR378" s="157">
        <f>CHOOSE(MATCH(IF($U378="","Основний",$U378),{"Трафіковий","Основний","Маржинальний","Сезонний","Стратегічний"},0),Settings!$G$78,Settings!$G$80,Settings!$G$82,Settings!$G$84,Settings!$G$86)</f>
        <v/>
      </c>
      <c r="AS378" s="157">
        <f>CHOOSE(MATCH(IF($U378="","Основний",$U378),{"Трафіковий","Основний","Маржинальний","Сезонний","Стратегічний"},0),Settings!$H$78,Settings!$H$80,Settings!$H$82,Settings!$H$84,Settings!$H$86)</f>
        <v/>
      </c>
      <c r="AT378" s="157">
        <f>CHOOSE(MATCH(IF($U378="","Основний",$U378),{"Трафіковий","Основний","Маржинальний","Сезонний","Стратегічний"},0),Settings!$I$78,Settings!$I$80,Settings!$I$82,Settings!$I$84,Settings!$I$86)</f>
        <v/>
      </c>
      <c r="AU378" s="171" t="n"/>
      <c r="AV378" t="n">
        <v>1.35</v>
      </c>
    </row>
    <row r="379">
      <c r="A379" s="33" t="n"/>
      <c r="B379" s="34" t="inlineStr">
        <is>
          <t>P00242</t>
        </is>
      </c>
      <c r="C379" s="34" t="inlineStr">
        <is>
          <t>ADAPTOR 3× ROUND SCHUKO</t>
        </is>
      </c>
      <c r="D379" s="34" t="inlineStr">
        <is>
          <t>Пооджувачи та адаптери</t>
        </is>
      </c>
      <c r="E379" s="33" t="inlineStr">
        <is>
          <t>PC</t>
        </is>
      </c>
      <c r="F379" s="94" t="n">
        <v>1.232</v>
      </c>
      <c r="G379" s="35" t="n">
        <v>8536699099</v>
      </c>
      <c r="H379" s="31" t="n">
        <v>1.35</v>
      </c>
      <c r="I379" s="84">
        <f>IFERROR(F379*Settings!$B$2*H379*IF(AND(ISNUMBER(E379),E379&gt;1),E379,1),"")</f>
        <v/>
      </c>
      <c r="J379" s="32">
        <f>Settings!$B$66</f>
        <v/>
      </c>
      <c r="K379" s="95">
        <f>IFERROR(IF(T379="","",(T379*(1-AN379)*(1-Settings!$B$17)-I379)/(T379*(1-AN379)*(1-Settings!$B$17))),"")</f>
        <v/>
      </c>
      <c r="L379" s="101">
        <f>IFERROR(IF(T379="","",(T379*(1-AO379)*(1-Settings!$C$17)-I379)/(T379*(1-AO379)*(1-Settings!$C$17))),"")</f>
        <v/>
      </c>
      <c r="M379" s="101">
        <f>IFERROR(IF(T379="","",(T379*(1-AP379)*(1-Settings!$D$17)-I379)/(T379*(1-AP379)*(1-Settings!$D$17))),"")</f>
        <v/>
      </c>
      <c r="N379" s="101">
        <f>IFERROR(IF(T379="","",(T379*(1-AQ379)*(1-Settings!$F$17)-I379)/(T379*(1-AQ379)*(1-Settings!$F$17))),"")</f>
        <v/>
      </c>
      <c r="O379" s="101">
        <f>IFERROR(IF(T379="","",(T379*(1-AR379)*(1-Settings!$G$17)-I379)/(T379*(1-AR379)*(1-Settings!$G$17))),"")</f>
        <v/>
      </c>
      <c r="P379" s="101">
        <f>IFERROR(IF(T379="","",(T379*(1-AS379)*(1-Settings!$H$17)-I379)/(T379*(1-AS379)*(1-Settings!$H$17))),"")</f>
        <v/>
      </c>
      <c r="Q379" s="101">
        <f>IFERROR(IF(T379="","",(T379*(1-AT379)*(1-Settings!$I$68)*(1-Settings!$I$17)-I379)/(T379*(1-AT379)*(1-Settings!$I$68)*(1-Settings!$I$17))),"")</f>
        <v/>
      </c>
      <c r="R379" s="91">
        <f>IFERROR(IF(OR(I379="",Z379&gt;=1,Settings!$B$17&gt;=1,AN379&gt;=1),"",IF(MOD(ROUND(I379/(1-Z379)/(1-Settings!$B$17)/(1-AN379),0),10)=0,ROUND(I379/(1-Z379)/(1-Settings!$B$17)/(1-AN379),0)-1,IF(MOD(ROUND(I379/(1-Z379)/(1-Settings!$B$17)/(1-AN379),0),10)&lt;=5,FLOOR(ROUND(I379/(1-Z379)/(1-Settings!$B$17)/(1-AN379),0),10)+6,FLOOR(ROUND(I379/(1-Z379)/(1-Settings!$B$17)/(1-AN379),0),10)+9))),"")</f>
        <v/>
      </c>
      <c r="S379" s="92" t="n">
        <v>200</v>
      </c>
      <c r="T379" s="91">
        <f>IF(S379&lt;&gt;"", IF(MOD(S379,10)=0,S379-1,IF(MOD(S379,10)&lt;=5,FLOOR(S379,10)+6,FLOOR(S379,10)+9)), R379)</f>
        <v/>
      </c>
      <c r="U379" s="87" t="inlineStr">
        <is>
          <t>Маржинальний</t>
        </is>
      </c>
      <c r="V379" s="88" t="n"/>
      <c r="W379" s="88" t="n"/>
      <c r="X379" s="89">
        <f>IFERROR(IF(OR(V379="",W379="",T379=""),"", IF(T379&gt;W379,"Дорогий",IF(T379&lt;V379,"Дешевий","У ринку"))),"")</f>
        <v/>
      </c>
      <c r="Y379" s="90" t="n"/>
      <c r="Z379" s="104">
        <f>CHOOSE(MATCH(IF($U379="","Основний",$U379),{"Трафіковий","Основний","Маржинальний","Сезонний","Стратегічний"},0),0.16,0.19,0.24,0.23,0.28)</f>
        <v/>
      </c>
      <c r="AA379" s="104">
        <f>CHOOSE(MATCH(IF($U379="","Основний",$U379),{"Трафіковий","Основний","Маржинальний","Сезонний","Стратегічний"},0),0.18,0.21,0.26,0.25,0.3)</f>
        <v/>
      </c>
      <c r="AB379" s="104">
        <f>CHOOSE(MATCH(IF($U379="","Основний",$U379),{"Трафіковий","Основний","Маржинальний","Сезонний","Стратегічний"},0),0.19,0.22,0.28,0.26,0.32)</f>
        <v/>
      </c>
      <c r="AC379" s="104">
        <f>CHOOSE(MATCH(IF($U379="","Основний",$U379),{"Трафіковий","Основний","Маржинальний","Сезонний","Стратегічний"},0),0.17,0.2,0.25,0.24,0.28)</f>
        <v/>
      </c>
      <c r="AD379" s="104">
        <f>CHOOSE(MATCH(IF($U379="","Основний",$U379),{"Трафіковий","Основний","Маржинальний","Сезонний","Стратегічний"},0),0.18,0.21,0.26,0.25,0.3)</f>
        <v/>
      </c>
      <c r="AE379" s="104">
        <f>CHOOSE(MATCH(IF($U379="","Основний",$U379),{"Трафіковий","Основний","Маржинальний","Сезонний","Стратегічний"},0),0.18,0.2,0.28,0.27,0.32)</f>
        <v/>
      </c>
      <c r="AF379" s="104">
        <f>CHOOSE(MATCH(IF($U379="","Основний",$U379),{"Трафіковий","Основний","Маржинальний","Сезонний","Стратегічний"},0),0.15,0.175,0.22,0.21,0.25)</f>
        <v/>
      </c>
      <c r="AG379" s="104">
        <f>CHOOSE(MATCH(IF($U379="","Основний",$U379),{"Трафіковий","Основний","Маржинальний","Сезонний","Стратегічний"},0),0.13,0.16,0.21,0.2,0.25)</f>
        <v/>
      </c>
      <c r="AH379" s="104">
        <f>CHOOSE(MATCH(IF($U379="","Основний",$U379),{"Трафіковий","Основний","Маржинальний","Сезонний","Стратегічний"},0),0.15,0.18,0.23,0.22,0.27)</f>
        <v/>
      </c>
      <c r="AI379" s="104">
        <f>CHOOSE(MATCH(IF($U379="","Основний",$U379),{"Трафіковий","Основний","Маржинальний","Сезонний","Стратегічний"},0),0.16,0.19,0.25,0.23,0.29)</f>
        <v/>
      </c>
      <c r="AJ379" s="104">
        <f>CHOOSE(MATCH(IF($U379="","Основний",$U379),{"Трафіковий","Основний","Маржинальний","Сезонний","Стратегічний"},0),0.14,0.17,0.22,0.21,0.25)</f>
        <v/>
      </c>
      <c r="AK379" s="104">
        <f>CHOOSE(MATCH(IF($U379="","Основний",$U379),{"Трафіковий","Основний","Маржинальний","Сезонний","Стратегічний"},0),0.15,0.18,0.23,0.22,0.27)</f>
        <v/>
      </c>
      <c r="AL379" s="104">
        <f>CHOOSE(MATCH(IF($U379="","Основний",$U379),{"Трафіковий","Основний","Маржинальний","Сезонний","Стратегічний"},0),0.15,0.17,0.25,0.24,0.29)</f>
        <v/>
      </c>
      <c r="AM379" s="104">
        <f>CHOOSE(MATCH(IF($U379="","Основний",$U379),{"Трафіковий","Основний","Маржинальний","Сезонний","Стратегічний"},0),0.12,0.145,0.19,0.18,0.22)</f>
        <v/>
      </c>
      <c r="AN379" s="157">
        <f>CHOOSE(MATCH(IF($U379="","Основний",$U379),{"Трафіковий","Основний","Маржинальний","Сезонний","Стратегічний"},0),Settings!$B$78,Settings!$B$80,Settings!$B$82,Settings!$B$84,Settings!$B$86)</f>
        <v/>
      </c>
      <c r="AO379" s="157">
        <f>CHOOSE(MATCH(IF($U379="","Основний",$U379),{"Трафіковий","Основний","Маржинальний","Сезонний","Стратегічний"},0),Settings!$C$78,Settings!$C$80,Settings!$C$82,Settings!$C$84,Settings!$C$86)</f>
        <v/>
      </c>
      <c r="AP379" s="157">
        <f>CHOOSE(MATCH(IF($U379="","Основний",$U379),{"Трафіковий","Основний","Маржинальний","Сезонний","Стратегічний"},0),Settings!$D$78,Settings!$D$80,Settings!$D$82,Settings!$D$84,Settings!$D$86)</f>
        <v/>
      </c>
      <c r="AQ379" s="157">
        <f>CHOOSE(MATCH(IF($U379="","Основний",$U379),{"Трафіковий","Основний","Маржинальний","Сезонний","Стратегічний"},0),Settings!$F$78,Settings!$F$80,Settings!$F$82,Settings!$F$84,Settings!$F$86)</f>
        <v/>
      </c>
      <c r="AR379" s="157">
        <f>CHOOSE(MATCH(IF($U379="","Основний",$U379),{"Трафіковий","Основний","Маржинальний","Сезонний","Стратегічний"},0),Settings!$G$78,Settings!$G$80,Settings!$G$82,Settings!$G$84,Settings!$G$86)</f>
        <v/>
      </c>
      <c r="AS379" s="157">
        <f>CHOOSE(MATCH(IF($U379="","Основний",$U379),{"Трафіковий","Основний","Маржинальний","Сезонний","Стратегічний"},0),Settings!$H$78,Settings!$H$80,Settings!$H$82,Settings!$H$84,Settings!$H$86)</f>
        <v/>
      </c>
      <c r="AT379" s="157">
        <f>CHOOSE(MATCH(IF($U379="","Основний",$U379),{"Трафіковий","Основний","Маржинальний","Сезонний","Стратегічний"},0),Settings!$I$78,Settings!$I$80,Settings!$I$82,Settings!$I$84,Settings!$I$86)</f>
        <v/>
      </c>
      <c r="AU379" s="171" t="n"/>
      <c r="AV379" t="n">
        <v>1.35</v>
      </c>
    </row>
    <row r="380">
      <c r="A380" s="28" t="inlineStr">
        <is>
          <t>NEW</t>
        </is>
      </c>
      <c r="B380" s="29" t="inlineStr">
        <is>
          <t>P00252N</t>
        </is>
      </c>
      <c r="C380" s="29" t="inlineStr">
        <is>
          <t>ADAPTOR 2× WHITE SCHUKO 16 A MAX.</t>
        </is>
      </c>
      <c r="D380" s="29" t="inlineStr">
        <is>
          <t>Пооджувачи та адаптери</t>
        </is>
      </c>
      <c r="E380" s="28" t="inlineStr">
        <is>
          <t>PC</t>
        </is>
      </c>
      <c r="F380" s="93" t="n">
        <v>1.112</v>
      </c>
      <c r="G380" s="30" t="n">
        <v>8536699099</v>
      </c>
      <c r="H380" s="31" t="n">
        <v>1.35</v>
      </c>
      <c r="I380" s="84">
        <f>IFERROR(F380*Settings!$B$2*H380*IF(AND(ISNUMBER(E380),E380&gt;1),E380,1),"")</f>
        <v/>
      </c>
      <c r="J380" s="32">
        <f>Settings!$B$66</f>
        <v/>
      </c>
      <c r="K380" s="95">
        <f>IFERROR(IF(T380="","",(T380*(1-AN380)*(1-Settings!$B$17)-I380)/(T380*(1-AN380)*(1-Settings!$B$17))),"")</f>
        <v/>
      </c>
      <c r="L380" s="101">
        <f>IFERROR(IF(T380="","",(T380*(1-AO380)*(1-Settings!$C$17)-I380)/(T380*(1-AO380)*(1-Settings!$C$17))),"")</f>
        <v/>
      </c>
      <c r="M380" s="101">
        <f>IFERROR(IF(T380="","",(T380*(1-AP380)*(1-Settings!$D$17)-I380)/(T380*(1-AP380)*(1-Settings!$D$17))),"")</f>
        <v/>
      </c>
      <c r="N380" s="101">
        <f>IFERROR(IF(T380="","",(T380*(1-AQ380)*(1-Settings!$F$17)-I380)/(T380*(1-AQ380)*(1-Settings!$F$17))),"")</f>
        <v/>
      </c>
      <c r="O380" s="101">
        <f>IFERROR(IF(T380="","",(T380*(1-AR380)*(1-Settings!$G$17)-I380)/(T380*(1-AR380)*(1-Settings!$G$17))),"")</f>
        <v/>
      </c>
      <c r="P380" s="101">
        <f>IFERROR(IF(T380="","",(T380*(1-AS380)*(1-Settings!$H$17)-I380)/(T380*(1-AS380)*(1-Settings!$H$17))),"")</f>
        <v/>
      </c>
      <c r="Q380" s="101">
        <f>IFERROR(IF(T380="","",(T380*(1-AT380)*(1-Settings!$I$68)*(1-Settings!$I$17)-I380)/(T380*(1-AT380)*(1-Settings!$I$68)*(1-Settings!$I$17))),"")</f>
        <v/>
      </c>
      <c r="R380" s="91">
        <f>IFERROR(IF(OR(I380="",Z380&gt;=1,Settings!$B$17&gt;=1,AN380&gt;=1),"",IF(MOD(ROUND(I380/(1-Z380)/(1-Settings!$B$17)/(1-AN380),0),10)=0,ROUND(I380/(1-Z380)/(1-Settings!$B$17)/(1-AN380),0)-1,IF(MOD(ROUND(I380/(1-Z380)/(1-Settings!$B$17)/(1-AN380),0),10)&lt;=5,FLOOR(ROUND(I380/(1-Z380)/(1-Settings!$B$17)/(1-AN380),0),10)+6,FLOOR(ROUND(I380/(1-Z380)/(1-Settings!$B$17)/(1-AN380),0),10)+9))),"")</f>
        <v/>
      </c>
      <c r="S380" s="174" t="n"/>
      <c r="T380" s="91">
        <f>IF(S380&lt;&gt;"", IF(MOD(S380,10)=0,S380-1,IF(MOD(S380,10)&lt;=5,FLOOR(S380,10)+6,FLOOR(S380,10)+9)), R380)</f>
        <v/>
      </c>
      <c r="U380" s="87" t="inlineStr">
        <is>
          <t>Маржинальний</t>
        </is>
      </c>
      <c r="V380" s="88" t="n"/>
      <c r="W380" s="88" t="n"/>
      <c r="X380" s="89">
        <f>IFERROR(IF(OR(V380="",W380="",T380=""),"", IF(T380&gt;W380,"Дорогий",IF(T380&lt;V380,"Дешевий","У ринку"))),"")</f>
        <v/>
      </c>
      <c r="Y380" s="90" t="n"/>
      <c r="Z380" s="104">
        <f>CHOOSE(MATCH(IF($U380="","Основний",$U380),{"Трафіковий","Основний","Маржинальний","Сезонний","Стратегічний"},0),0.16,0.19,0.24,0.23,0.28)</f>
        <v/>
      </c>
      <c r="AA380" s="104">
        <f>CHOOSE(MATCH(IF($U380="","Основний",$U380),{"Трафіковий","Основний","Маржинальний","Сезонний","Стратегічний"},0),0.18,0.21,0.26,0.25,0.3)</f>
        <v/>
      </c>
      <c r="AB380" s="104">
        <f>CHOOSE(MATCH(IF($U380="","Основний",$U380),{"Трафіковий","Основний","Маржинальний","Сезонний","Стратегічний"},0),0.19,0.22,0.28,0.26,0.32)</f>
        <v/>
      </c>
      <c r="AC380" s="104">
        <f>CHOOSE(MATCH(IF($U380="","Основний",$U380),{"Трафіковий","Основний","Маржинальний","Сезонний","Стратегічний"},0),0.17,0.2,0.25,0.24,0.28)</f>
        <v/>
      </c>
      <c r="AD380" s="104">
        <f>CHOOSE(MATCH(IF($U380="","Основний",$U380),{"Трафіковий","Основний","Маржинальний","Сезонний","Стратегічний"},0),0.18,0.21,0.26,0.25,0.3)</f>
        <v/>
      </c>
      <c r="AE380" s="104">
        <f>CHOOSE(MATCH(IF($U380="","Основний",$U380),{"Трафіковий","Основний","Маржинальний","Сезонний","Стратегічний"},0),0.18,0.2,0.28,0.27,0.32)</f>
        <v/>
      </c>
      <c r="AF380" s="104">
        <f>CHOOSE(MATCH(IF($U380="","Основний",$U380),{"Трафіковий","Основний","Маржинальний","Сезонний","Стратегічний"},0),0.15,0.175,0.22,0.21,0.25)</f>
        <v/>
      </c>
      <c r="AG380" s="104">
        <f>CHOOSE(MATCH(IF($U380="","Основний",$U380),{"Трафіковий","Основний","Маржинальний","Сезонний","Стратегічний"},0),0.13,0.16,0.21,0.2,0.25)</f>
        <v/>
      </c>
      <c r="AH380" s="104">
        <f>CHOOSE(MATCH(IF($U380="","Основний",$U380),{"Трафіковий","Основний","Маржинальний","Сезонний","Стратегічний"},0),0.15,0.18,0.23,0.22,0.27)</f>
        <v/>
      </c>
      <c r="AI380" s="104">
        <f>CHOOSE(MATCH(IF($U380="","Основний",$U380),{"Трафіковий","Основний","Маржинальний","Сезонний","Стратегічний"},0),0.16,0.19,0.25,0.23,0.29)</f>
        <v/>
      </c>
      <c r="AJ380" s="104">
        <f>CHOOSE(MATCH(IF($U380="","Основний",$U380),{"Трафіковий","Основний","Маржинальний","Сезонний","Стратегічний"},0),0.14,0.17,0.22,0.21,0.25)</f>
        <v/>
      </c>
      <c r="AK380" s="104">
        <f>CHOOSE(MATCH(IF($U380="","Основний",$U380),{"Трафіковий","Основний","Маржинальний","Сезонний","Стратегічний"},0),0.15,0.18,0.23,0.22,0.27)</f>
        <v/>
      </c>
      <c r="AL380" s="104">
        <f>CHOOSE(MATCH(IF($U380="","Основний",$U380),{"Трафіковий","Основний","Маржинальний","Сезонний","Стратегічний"},0),0.15,0.17,0.25,0.24,0.29)</f>
        <v/>
      </c>
      <c r="AM380" s="104">
        <f>CHOOSE(MATCH(IF($U380="","Основний",$U380),{"Трафіковий","Основний","Маржинальний","Сезонний","Стратегічний"},0),0.12,0.145,0.19,0.18,0.22)</f>
        <v/>
      </c>
      <c r="AN380" s="157">
        <f>CHOOSE(MATCH(IF($U380="","Основний",$U380),{"Трафіковий","Основний","Маржинальний","Сезонний","Стратегічний"},0),Settings!$B$78,Settings!$B$80,Settings!$B$82,Settings!$B$84,Settings!$B$86)</f>
        <v/>
      </c>
      <c r="AO380" s="157">
        <f>CHOOSE(MATCH(IF($U380="","Основний",$U380),{"Трафіковий","Основний","Маржинальний","Сезонний","Стратегічний"},0),Settings!$C$78,Settings!$C$80,Settings!$C$82,Settings!$C$84,Settings!$C$86)</f>
        <v/>
      </c>
      <c r="AP380" s="157">
        <f>CHOOSE(MATCH(IF($U380="","Основний",$U380),{"Трафіковий","Основний","Маржинальний","Сезонний","Стратегічний"},0),Settings!$D$78,Settings!$D$80,Settings!$D$82,Settings!$D$84,Settings!$D$86)</f>
        <v/>
      </c>
      <c r="AQ380" s="157">
        <f>CHOOSE(MATCH(IF($U380="","Основний",$U380),{"Трафіковий","Основний","Маржинальний","Сезонний","Стратегічний"},0),Settings!$F$78,Settings!$F$80,Settings!$F$82,Settings!$F$84,Settings!$F$86)</f>
        <v/>
      </c>
      <c r="AR380" s="157">
        <f>CHOOSE(MATCH(IF($U380="","Основний",$U380),{"Трафіковий","Основний","Маржинальний","Сезонний","Стратегічний"},0),Settings!$G$78,Settings!$G$80,Settings!$G$82,Settings!$G$84,Settings!$G$86)</f>
        <v/>
      </c>
      <c r="AS380" s="157">
        <f>CHOOSE(MATCH(IF($U380="","Основний",$U380),{"Трафіковий","Основний","Маржинальний","Сезонний","Стратегічний"},0),Settings!$H$78,Settings!$H$80,Settings!$H$82,Settings!$H$84,Settings!$H$86)</f>
        <v/>
      </c>
      <c r="AT380" s="157">
        <f>CHOOSE(MATCH(IF($U380="","Основний",$U380),{"Трафіковий","Основний","Маржинальний","Сезонний","Стратегічний"},0),Settings!$I$78,Settings!$I$80,Settings!$I$82,Settings!$I$84,Settings!$I$86)</f>
        <v/>
      </c>
      <c r="AU380" s="171" t="n"/>
      <c r="AV380" t="n">
        <v>1.35</v>
      </c>
    </row>
    <row r="381">
      <c r="A381" s="33" t="n"/>
      <c r="B381" s="34" t="inlineStr">
        <is>
          <t>P00262</t>
        </is>
      </c>
      <c r="C381" s="34" t="inlineStr">
        <is>
          <t>ADAPTOR WITCH SWITCH SCHUKO</t>
        </is>
      </c>
      <c r="D381" s="34" t="inlineStr">
        <is>
          <t>Пооджувачи та адаптери</t>
        </is>
      </c>
      <c r="E381" s="33" t="inlineStr">
        <is>
          <t>PC</t>
        </is>
      </c>
      <c r="F381" s="94" t="n">
        <v>1.261</v>
      </c>
      <c r="G381" s="35" t="n">
        <v>8536699099</v>
      </c>
      <c r="H381" s="31" t="n">
        <v>1.35</v>
      </c>
      <c r="I381" s="84">
        <f>IFERROR(F381*Settings!$B$2*H381*IF(AND(ISNUMBER(E381),E381&gt;1),E381,1),"")</f>
        <v/>
      </c>
      <c r="J381" s="32">
        <f>Settings!$B$66</f>
        <v/>
      </c>
      <c r="K381" s="95">
        <f>IFERROR(IF(T381="","",(T381*(1-AN381)*(1-Settings!$B$17)-I381)/(T381*(1-AN381)*(1-Settings!$B$17))),"")</f>
        <v/>
      </c>
      <c r="L381" s="101">
        <f>IFERROR(IF(T381="","",(T381*(1-AO381)*(1-Settings!$C$17)-I381)/(T381*(1-AO381)*(1-Settings!$C$17))),"")</f>
        <v/>
      </c>
      <c r="M381" s="101">
        <f>IFERROR(IF(T381="","",(T381*(1-AP381)*(1-Settings!$D$17)-I381)/(T381*(1-AP381)*(1-Settings!$D$17))),"")</f>
        <v/>
      </c>
      <c r="N381" s="101">
        <f>IFERROR(IF(T381="","",(T381*(1-AQ381)*(1-Settings!$F$17)-I381)/(T381*(1-AQ381)*(1-Settings!$F$17))),"")</f>
        <v/>
      </c>
      <c r="O381" s="101">
        <f>IFERROR(IF(T381="","",(T381*(1-AR381)*(1-Settings!$G$17)-I381)/(T381*(1-AR381)*(1-Settings!$G$17))),"")</f>
        <v/>
      </c>
      <c r="P381" s="101">
        <f>IFERROR(IF(T381="","",(T381*(1-AS381)*(1-Settings!$H$17)-I381)/(T381*(1-AS381)*(1-Settings!$H$17))),"")</f>
        <v/>
      </c>
      <c r="Q381" s="101">
        <f>IFERROR(IF(T381="","",(T381*(1-AT381)*(1-Settings!$I$68)*(1-Settings!$I$17)-I381)/(T381*(1-AT381)*(1-Settings!$I$68)*(1-Settings!$I$17))),"")</f>
        <v/>
      </c>
      <c r="R381" s="91">
        <f>IFERROR(IF(OR(I381="",Z381&gt;=1,Settings!$B$17&gt;=1,AN381&gt;=1),"",IF(MOD(ROUND(I381/(1-Z381)/(1-Settings!$B$17)/(1-AN381),0),10)=0,ROUND(I381/(1-Z381)/(1-Settings!$B$17)/(1-AN381),0)-1,IF(MOD(ROUND(I381/(1-Z381)/(1-Settings!$B$17)/(1-AN381),0),10)&lt;=5,FLOOR(ROUND(I381/(1-Z381)/(1-Settings!$B$17)/(1-AN381),0),10)+6,FLOOR(ROUND(I381/(1-Z381)/(1-Settings!$B$17)/(1-AN381),0),10)+9))),"")</f>
        <v/>
      </c>
      <c r="S381" s="174" t="n"/>
      <c r="T381" s="91">
        <f>IF(S381&lt;&gt;"", IF(MOD(S381,10)=0,S381-1,IF(MOD(S381,10)&lt;=5,FLOOR(S381,10)+6,FLOOR(S381,10)+9)), R381)</f>
        <v/>
      </c>
      <c r="U381" s="87" t="inlineStr">
        <is>
          <t>Маржинальний</t>
        </is>
      </c>
      <c r="V381" s="88" t="n"/>
      <c r="W381" s="88" t="n"/>
      <c r="X381" s="89">
        <f>IFERROR(IF(OR(V381="",W381="",T381=""),"", IF(T381&gt;W381,"Дорогий",IF(T381&lt;V381,"Дешевий","У ринку"))),"")</f>
        <v/>
      </c>
      <c r="Y381" s="90" t="n"/>
      <c r="Z381" s="104">
        <f>CHOOSE(MATCH(IF($U381="","Основний",$U381),{"Трафіковий","Основний","Маржинальний","Сезонний","Стратегічний"},0),0.16,0.19,0.24,0.23,0.28)</f>
        <v/>
      </c>
      <c r="AA381" s="104">
        <f>CHOOSE(MATCH(IF($U381="","Основний",$U381),{"Трафіковий","Основний","Маржинальний","Сезонний","Стратегічний"},0),0.18,0.21,0.26,0.25,0.3)</f>
        <v/>
      </c>
      <c r="AB381" s="104">
        <f>CHOOSE(MATCH(IF($U381="","Основний",$U381),{"Трафіковий","Основний","Маржинальний","Сезонний","Стратегічний"},0),0.19,0.22,0.28,0.26,0.32)</f>
        <v/>
      </c>
      <c r="AC381" s="104">
        <f>CHOOSE(MATCH(IF($U381="","Основний",$U381),{"Трафіковий","Основний","Маржинальний","Сезонний","Стратегічний"},0),0.17,0.2,0.25,0.24,0.28)</f>
        <v/>
      </c>
      <c r="AD381" s="104">
        <f>CHOOSE(MATCH(IF($U381="","Основний",$U381),{"Трафіковий","Основний","Маржинальний","Сезонний","Стратегічний"},0),0.18,0.21,0.26,0.25,0.3)</f>
        <v/>
      </c>
      <c r="AE381" s="104">
        <f>CHOOSE(MATCH(IF($U381="","Основний",$U381),{"Трафіковий","Основний","Маржинальний","Сезонний","Стратегічний"},0),0.18,0.2,0.28,0.27,0.32)</f>
        <v/>
      </c>
      <c r="AF381" s="104">
        <f>CHOOSE(MATCH(IF($U381="","Основний",$U381),{"Трафіковий","Основний","Маржинальний","Сезонний","Стратегічний"},0),0.15,0.175,0.22,0.21,0.25)</f>
        <v/>
      </c>
      <c r="AG381" s="104">
        <f>CHOOSE(MATCH(IF($U381="","Основний",$U381),{"Трафіковий","Основний","Маржинальний","Сезонний","Стратегічний"},0),0.13,0.16,0.21,0.2,0.25)</f>
        <v/>
      </c>
      <c r="AH381" s="104">
        <f>CHOOSE(MATCH(IF($U381="","Основний",$U381),{"Трафіковий","Основний","Маржинальний","Сезонний","Стратегічний"},0),0.15,0.18,0.23,0.22,0.27)</f>
        <v/>
      </c>
      <c r="AI381" s="104">
        <f>CHOOSE(MATCH(IF($U381="","Основний",$U381),{"Трафіковий","Основний","Маржинальний","Сезонний","Стратегічний"},0),0.16,0.19,0.25,0.23,0.29)</f>
        <v/>
      </c>
      <c r="AJ381" s="104">
        <f>CHOOSE(MATCH(IF($U381="","Основний",$U381),{"Трафіковий","Основний","Маржинальний","Сезонний","Стратегічний"},0),0.14,0.17,0.22,0.21,0.25)</f>
        <v/>
      </c>
      <c r="AK381" s="104">
        <f>CHOOSE(MATCH(IF($U381="","Основний",$U381),{"Трафіковий","Основний","Маржинальний","Сезонний","Стратегічний"},0),0.15,0.18,0.23,0.22,0.27)</f>
        <v/>
      </c>
      <c r="AL381" s="104">
        <f>CHOOSE(MATCH(IF($U381="","Основний",$U381),{"Трафіковий","Основний","Маржинальний","Сезонний","Стратегічний"},0),0.15,0.17,0.25,0.24,0.29)</f>
        <v/>
      </c>
      <c r="AM381" s="104">
        <f>CHOOSE(MATCH(IF($U381="","Основний",$U381),{"Трафіковий","Основний","Маржинальний","Сезонний","Стратегічний"},0),0.12,0.145,0.19,0.18,0.22)</f>
        <v/>
      </c>
      <c r="AN381" s="157">
        <f>CHOOSE(MATCH(IF($U381="","Основний",$U381),{"Трафіковий","Основний","Маржинальний","Сезонний","Стратегічний"},0),Settings!$B$78,Settings!$B$80,Settings!$B$82,Settings!$B$84,Settings!$B$86)</f>
        <v/>
      </c>
      <c r="AO381" s="157">
        <f>CHOOSE(MATCH(IF($U381="","Основний",$U381),{"Трафіковий","Основний","Маржинальний","Сезонний","Стратегічний"},0),Settings!$C$78,Settings!$C$80,Settings!$C$82,Settings!$C$84,Settings!$C$86)</f>
        <v/>
      </c>
      <c r="AP381" s="157">
        <f>CHOOSE(MATCH(IF($U381="","Основний",$U381),{"Трафіковий","Основний","Маржинальний","Сезонний","Стратегічний"},0),Settings!$D$78,Settings!$D$80,Settings!$D$82,Settings!$D$84,Settings!$D$86)</f>
        <v/>
      </c>
      <c r="AQ381" s="157">
        <f>CHOOSE(MATCH(IF($U381="","Основний",$U381),{"Трафіковий","Основний","Маржинальний","Сезонний","Стратегічний"},0),Settings!$F$78,Settings!$F$80,Settings!$F$82,Settings!$F$84,Settings!$F$86)</f>
        <v/>
      </c>
      <c r="AR381" s="157">
        <f>CHOOSE(MATCH(IF($U381="","Основний",$U381),{"Трафіковий","Основний","Маржинальний","Сезонний","Стратегічний"},0),Settings!$G$78,Settings!$G$80,Settings!$G$82,Settings!$G$84,Settings!$G$86)</f>
        <v/>
      </c>
      <c r="AS381" s="157">
        <f>CHOOSE(MATCH(IF($U381="","Основний",$U381),{"Трафіковий","Основний","Маржинальний","Сезонний","Стратегічний"},0),Settings!$H$78,Settings!$H$80,Settings!$H$82,Settings!$H$84,Settings!$H$86)</f>
        <v/>
      </c>
      <c r="AT381" s="157">
        <f>CHOOSE(MATCH(IF($U381="","Основний",$U381),{"Трафіковий","Основний","Маржинальний","Сезонний","Стратегічний"},0),Settings!$I$78,Settings!$I$80,Settings!$I$82,Settings!$I$84,Settings!$I$86)</f>
        <v/>
      </c>
      <c r="AU381" s="171" t="n"/>
      <c r="AV381" t="n">
        <v>1.35</v>
      </c>
    </row>
    <row r="382">
      <c r="A382" s="28" t="n"/>
      <c r="B382" s="29" t="inlineStr">
        <is>
          <t>P00272</t>
        </is>
      </c>
      <c r="C382" s="29" t="inlineStr">
        <is>
          <t>ADAPTOR 3× WHITE SCHUKO</t>
        </is>
      </c>
      <c r="D382" s="29" t="inlineStr">
        <is>
          <t>Пооджувачи та адаптери</t>
        </is>
      </c>
      <c r="E382" s="28" t="inlineStr">
        <is>
          <t>PC</t>
        </is>
      </c>
      <c r="F382" s="93" t="n">
        <v>0.922</v>
      </c>
      <c r="G382" s="30" t="n">
        <v>8536699099</v>
      </c>
      <c r="H382" s="31" t="n">
        <v>1.35</v>
      </c>
      <c r="I382" s="84">
        <f>IFERROR(F382*Settings!$B$2*H382*IF(AND(ISNUMBER(E382),E382&gt;1),E382,1),"")</f>
        <v/>
      </c>
      <c r="J382" s="32">
        <f>Settings!$B$66</f>
        <v/>
      </c>
      <c r="K382" s="95">
        <f>IFERROR(IF(T382="","",(T382*(1-AN382)*(1-Settings!$B$17)-I382)/(T382*(1-AN382)*(1-Settings!$B$17))),"")</f>
        <v/>
      </c>
      <c r="L382" s="101">
        <f>IFERROR(IF(T382="","",(T382*(1-AO382)*(1-Settings!$C$17)-I382)/(T382*(1-AO382)*(1-Settings!$C$17))),"")</f>
        <v/>
      </c>
      <c r="M382" s="101">
        <f>IFERROR(IF(T382="","",(T382*(1-AP382)*(1-Settings!$D$17)-I382)/(T382*(1-AP382)*(1-Settings!$D$17))),"")</f>
        <v/>
      </c>
      <c r="N382" s="101">
        <f>IFERROR(IF(T382="","",(T382*(1-AQ382)*(1-Settings!$F$17)-I382)/(T382*(1-AQ382)*(1-Settings!$F$17))),"")</f>
        <v/>
      </c>
      <c r="O382" s="101">
        <f>IFERROR(IF(T382="","",(T382*(1-AR382)*(1-Settings!$G$17)-I382)/(T382*(1-AR382)*(1-Settings!$G$17))),"")</f>
        <v/>
      </c>
      <c r="P382" s="101">
        <f>IFERROR(IF(T382="","",(T382*(1-AS382)*(1-Settings!$H$17)-I382)/(T382*(1-AS382)*(1-Settings!$H$17))),"")</f>
        <v/>
      </c>
      <c r="Q382" s="101">
        <f>IFERROR(IF(T382="","",(T382*(1-AT382)*(1-Settings!$I$68)*(1-Settings!$I$17)-I382)/(T382*(1-AT382)*(1-Settings!$I$68)*(1-Settings!$I$17))),"")</f>
        <v/>
      </c>
      <c r="R382" s="91">
        <f>IFERROR(IF(OR(I382="",Z382&gt;=1,Settings!$B$17&gt;=1,AN382&gt;=1),"",IF(MOD(ROUND(I382/(1-Z382)/(1-Settings!$B$17)/(1-AN382),0),10)=0,ROUND(I382/(1-Z382)/(1-Settings!$B$17)/(1-AN382),0)-1,IF(MOD(ROUND(I382/(1-Z382)/(1-Settings!$B$17)/(1-AN382),0),10)&lt;=5,FLOOR(ROUND(I382/(1-Z382)/(1-Settings!$B$17)/(1-AN382),0),10)+6,FLOOR(ROUND(I382/(1-Z382)/(1-Settings!$B$17)/(1-AN382),0),10)+9))),"")</f>
        <v/>
      </c>
      <c r="S382" s="174" t="n"/>
      <c r="T382" s="91">
        <f>IF(S382&lt;&gt;"", IF(MOD(S382,10)=0,S382-1,IF(MOD(S382,10)&lt;=5,FLOOR(S382,10)+6,FLOOR(S382,10)+9)), R382)</f>
        <v/>
      </c>
      <c r="U382" s="87" t="inlineStr">
        <is>
          <t>Маржинальний</t>
        </is>
      </c>
      <c r="V382" s="88" t="n"/>
      <c r="W382" s="88" t="n"/>
      <c r="X382" s="89">
        <f>IFERROR(IF(OR(V382="",W382="",T382=""),"", IF(T382&gt;W382,"Дорогий",IF(T382&lt;V382,"Дешевий","У ринку"))),"")</f>
        <v/>
      </c>
      <c r="Y382" s="90" t="n"/>
      <c r="Z382" s="104">
        <f>CHOOSE(MATCH(IF($U382="","Основний",$U382),{"Трафіковий","Основний","Маржинальний","Сезонний","Стратегічний"},0),0.16,0.19,0.24,0.23,0.28)</f>
        <v/>
      </c>
      <c r="AA382" s="104">
        <f>CHOOSE(MATCH(IF($U382="","Основний",$U382),{"Трафіковий","Основний","Маржинальний","Сезонний","Стратегічний"},0),0.18,0.21,0.26,0.25,0.3)</f>
        <v/>
      </c>
      <c r="AB382" s="104">
        <f>CHOOSE(MATCH(IF($U382="","Основний",$U382),{"Трафіковий","Основний","Маржинальний","Сезонний","Стратегічний"},0),0.19,0.22,0.28,0.26,0.32)</f>
        <v/>
      </c>
      <c r="AC382" s="104">
        <f>CHOOSE(MATCH(IF($U382="","Основний",$U382),{"Трафіковий","Основний","Маржинальний","Сезонний","Стратегічний"},0),0.17,0.2,0.25,0.24,0.28)</f>
        <v/>
      </c>
      <c r="AD382" s="104">
        <f>CHOOSE(MATCH(IF($U382="","Основний",$U382),{"Трафіковий","Основний","Маржинальний","Сезонний","Стратегічний"},0),0.18,0.21,0.26,0.25,0.3)</f>
        <v/>
      </c>
      <c r="AE382" s="104">
        <f>CHOOSE(MATCH(IF($U382="","Основний",$U382),{"Трафіковий","Основний","Маржинальний","Сезонний","Стратегічний"},0),0.18,0.2,0.28,0.27,0.32)</f>
        <v/>
      </c>
      <c r="AF382" s="104">
        <f>CHOOSE(MATCH(IF($U382="","Основний",$U382),{"Трафіковий","Основний","Маржинальний","Сезонний","Стратегічний"},0),0.15,0.175,0.22,0.21,0.25)</f>
        <v/>
      </c>
      <c r="AG382" s="104">
        <f>CHOOSE(MATCH(IF($U382="","Основний",$U382),{"Трафіковий","Основний","Маржинальний","Сезонний","Стратегічний"},0),0.13,0.16,0.21,0.2,0.25)</f>
        <v/>
      </c>
      <c r="AH382" s="104">
        <f>CHOOSE(MATCH(IF($U382="","Основний",$U382),{"Трафіковий","Основний","Маржинальний","Сезонний","Стратегічний"},0),0.15,0.18,0.23,0.22,0.27)</f>
        <v/>
      </c>
      <c r="AI382" s="104">
        <f>CHOOSE(MATCH(IF($U382="","Основний",$U382),{"Трафіковий","Основний","Маржинальний","Сезонний","Стратегічний"},0),0.16,0.19,0.25,0.23,0.29)</f>
        <v/>
      </c>
      <c r="AJ382" s="104">
        <f>CHOOSE(MATCH(IF($U382="","Основний",$U382),{"Трафіковий","Основний","Маржинальний","Сезонний","Стратегічний"},0),0.14,0.17,0.22,0.21,0.25)</f>
        <v/>
      </c>
      <c r="AK382" s="104">
        <f>CHOOSE(MATCH(IF($U382="","Основний",$U382),{"Трафіковий","Основний","Маржинальний","Сезонний","Стратегічний"},0),0.15,0.18,0.23,0.22,0.27)</f>
        <v/>
      </c>
      <c r="AL382" s="104">
        <f>CHOOSE(MATCH(IF($U382="","Основний",$U382),{"Трафіковий","Основний","Маржинальний","Сезонний","Стратегічний"},0),0.15,0.17,0.25,0.24,0.29)</f>
        <v/>
      </c>
      <c r="AM382" s="104">
        <f>CHOOSE(MATCH(IF($U382="","Основний",$U382),{"Трафіковий","Основний","Маржинальний","Сезонний","Стратегічний"},0),0.12,0.145,0.19,0.18,0.22)</f>
        <v/>
      </c>
      <c r="AN382" s="157">
        <f>CHOOSE(MATCH(IF($U382="","Основний",$U382),{"Трафіковий","Основний","Маржинальний","Сезонний","Стратегічний"},0),Settings!$B$78,Settings!$B$80,Settings!$B$82,Settings!$B$84,Settings!$B$86)</f>
        <v/>
      </c>
      <c r="AO382" s="157">
        <f>CHOOSE(MATCH(IF($U382="","Основний",$U382),{"Трафіковий","Основний","Маржинальний","Сезонний","Стратегічний"},0),Settings!$C$78,Settings!$C$80,Settings!$C$82,Settings!$C$84,Settings!$C$86)</f>
        <v/>
      </c>
      <c r="AP382" s="157">
        <f>CHOOSE(MATCH(IF($U382="","Основний",$U382),{"Трафіковий","Основний","Маржинальний","Сезонний","Стратегічний"},0),Settings!$D$78,Settings!$D$80,Settings!$D$82,Settings!$D$84,Settings!$D$86)</f>
        <v/>
      </c>
      <c r="AQ382" s="157">
        <f>CHOOSE(MATCH(IF($U382="","Основний",$U382),{"Трафіковий","Основний","Маржинальний","Сезонний","Стратегічний"},0),Settings!$F$78,Settings!$F$80,Settings!$F$82,Settings!$F$84,Settings!$F$86)</f>
        <v/>
      </c>
      <c r="AR382" s="157">
        <f>CHOOSE(MATCH(IF($U382="","Основний",$U382),{"Трафіковий","Основний","Маржинальний","Сезонний","Стратегічний"},0),Settings!$G$78,Settings!$G$80,Settings!$G$82,Settings!$G$84,Settings!$G$86)</f>
        <v/>
      </c>
      <c r="AS382" s="157">
        <f>CHOOSE(MATCH(IF($U382="","Основний",$U382),{"Трафіковий","Основний","Маржинальний","Сезонний","Стратегічний"},0),Settings!$H$78,Settings!$H$80,Settings!$H$82,Settings!$H$84,Settings!$H$86)</f>
        <v/>
      </c>
      <c r="AT382" s="157">
        <f>CHOOSE(MATCH(IF($U382="","Основний",$U382),{"Трафіковий","Основний","Маржинальний","Сезонний","Стратегічний"},0),Settings!$I$78,Settings!$I$80,Settings!$I$82,Settings!$I$84,Settings!$I$86)</f>
        <v/>
      </c>
      <c r="AU382" s="171" t="n"/>
      <c r="AV382" t="n">
        <v>1.35</v>
      </c>
    </row>
    <row r="383">
      <c r="A383" s="33" t="n"/>
      <c r="B383" s="34" t="inlineStr">
        <is>
          <t>P00282</t>
        </is>
      </c>
      <c r="C383" s="34" t="inlineStr">
        <is>
          <t>ADAPTOR 2+1 WITH SWITCH SCHUKO</t>
        </is>
      </c>
      <c r="D383" s="34" t="inlineStr">
        <is>
          <t>Пооджувачи та адаптери</t>
        </is>
      </c>
      <c r="E383" s="33" t="inlineStr">
        <is>
          <t>PC</t>
        </is>
      </c>
      <c r="F383" s="94" t="n">
        <v>1.38</v>
      </c>
      <c r="G383" s="35" t="n">
        <v>8536699099</v>
      </c>
      <c r="H383" s="31" t="n">
        <v>1.35</v>
      </c>
      <c r="I383" s="84">
        <f>IFERROR(F383*Settings!$B$2*H383*IF(AND(ISNUMBER(E383),E383&gt;1),E383,1),"")</f>
        <v/>
      </c>
      <c r="J383" s="32">
        <f>Settings!$B$66</f>
        <v/>
      </c>
      <c r="K383" s="95">
        <f>IFERROR(IF(T383="","",(T383*(1-AN383)*(1-Settings!$B$17)-I383)/(T383*(1-AN383)*(1-Settings!$B$17))),"")</f>
        <v/>
      </c>
      <c r="L383" s="101">
        <f>IFERROR(IF(T383="","",(T383*(1-AO383)*(1-Settings!$C$17)-I383)/(T383*(1-AO383)*(1-Settings!$C$17))),"")</f>
        <v/>
      </c>
      <c r="M383" s="101">
        <f>IFERROR(IF(T383="","",(T383*(1-AP383)*(1-Settings!$D$17)-I383)/(T383*(1-AP383)*(1-Settings!$D$17))),"")</f>
        <v/>
      </c>
      <c r="N383" s="101">
        <f>IFERROR(IF(T383="","",(T383*(1-AQ383)*(1-Settings!$F$17)-I383)/(T383*(1-AQ383)*(1-Settings!$F$17))),"")</f>
        <v/>
      </c>
      <c r="O383" s="101">
        <f>IFERROR(IF(T383="","",(T383*(1-AR383)*(1-Settings!$G$17)-I383)/(T383*(1-AR383)*(1-Settings!$G$17))),"")</f>
        <v/>
      </c>
      <c r="P383" s="101">
        <f>IFERROR(IF(T383="","",(T383*(1-AS383)*(1-Settings!$H$17)-I383)/(T383*(1-AS383)*(1-Settings!$H$17))),"")</f>
        <v/>
      </c>
      <c r="Q383" s="101">
        <f>IFERROR(IF(T383="","",(T383*(1-AT383)*(1-Settings!$I$68)*(1-Settings!$I$17)-I383)/(T383*(1-AT383)*(1-Settings!$I$68)*(1-Settings!$I$17))),"")</f>
        <v/>
      </c>
      <c r="R383" s="91">
        <f>IFERROR(IF(OR(I383="",Z383&gt;=1,Settings!$B$17&gt;=1,AN383&gt;=1),"",IF(MOD(ROUND(I383/(1-Z383)/(1-Settings!$B$17)/(1-AN383),0),10)=0,ROUND(I383/(1-Z383)/(1-Settings!$B$17)/(1-AN383),0)-1,IF(MOD(ROUND(I383/(1-Z383)/(1-Settings!$B$17)/(1-AN383),0),10)&lt;=5,FLOOR(ROUND(I383/(1-Z383)/(1-Settings!$B$17)/(1-AN383),0),10)+6,FLOOR(ROUND(I383/(1-Z383)/(1-Settings!$B$17)/(1-AN383),0),10)+9))),"")</f>
        <v/>
      </c>
      <c r="S383" s="174" t="n"/>
      <c r="T383" s="91">
        <f>IF(S383&lt;&gt;"", IF(MOD(S383,10)=0,S383-1,IF(MOD(S383,10)&lt;=5,FLOOR(S383,10)+6,FLOOR(S383,10)+9)), R383)</f>
        <v/>
      </c>
      <c r="U383" s="87" t="inlineStr">
        <is>
          <t>Маржинальний</t>
        </is>
      </c>
      <c r="V383" s="88" t="n"/>
      <c r="W383" s="88" t="n"/>
      <c r="X383" s="89">
        <f>IFERROR(IF(OR(V383="",W383="",T383=""),"", IF(T383&gt;W383,"Дорогий",IF(T383&lt;V383,"Дешевий","У ринку"))),"")</f>
        <v/>
      </c>
      <c r="Y383" s="90" t="n"/>
      <c r="Z383" s="104">
        <f>CHOOSE(MATCH(IF($U383="","Основний",$U383),{"Трафіковий","Основний","Маржинальний","Сезонний","Стратегічний"},0),0.16,0.19,0.24,0.23,0.28)</f>
        <v/>
      </c>
      <c r="AA383" s="104">
        <f>CHOOSE(MATCH(IF($U383="","Основний",$U383),{"Трафіковий","Основний","Маржинальний","Сезонний","Стратегічний"},0),0.18,0.21,0.26,0.25,0.3)</f>
        <v/>
      </c>
      <c r="AB383" s="104">
        <f>CHOOSE(MATCH(IF($U383="","Основний",$U383),{"Трафіковий","Основний","Маржинальний","Сезонний","Стратегічний"},0),0.19,0.22,0.28,0.26,0.32)</f>
        <v/>
      </c>
      <c r="AC383" s="104">
        <f>CHOOSE(MATCH(IF($U383="","Основний",$U383),{"Трафіковий","Основний","Маржинальний","Сезонний","Стратегічний"},0),0.17,0.2,0.25,0.24,0.28)</f>
        <v/>
      </c>
      <c r="AD383" s="104">
        <f>CHOOSE(MATCH(IF($U383="","Основний",$U383),{"Трафіковий","Основний","Маржинальний","Сезонний","Стратегічний"},0),0.18,0.21,0.26,0.25,0.3)</f>
        <v/>
      </c>
      <c r="AE383" s="104">
        <f>CHOOSE(MATCH(IF($U383="","Основний",$U383),{"Трафіковий","Основний","Маржинальний","Сезонний","Стратегічний"},0),0.18,0.2,0.28,0.27,0.32)</f>
        <v/>
      </c>
      <c r="AF383" s="104">
        <f>CHOOSE(MATCH(IF($U383="","Основний",$U383),{"Трафіковий","Основний","Маржинальний","Сезонний","Стратегічний"},0),0.15,0.175,0.22,0.21,0.25)</f>
        <v/>
      </c>
      <c r="AG383" s="104">
        <f>CHOOSE(MATCH(IF($U383="","Основний",$U383),{"Трафіковий","Основний","Маржинальний","Сезонний","Стратегічний"},0),0.13,0.16,0.21,0.2,0.25)</f>
        <v/>
      </c>
      <c r="AH383" s="104">
        <f>CHOOSE(MATCH(IF($U383="","Основний",$U383),{"Трафіковий","Основний","Маржинальний","Сезонний","Стратегічний"},0),0.15,0.18,0.23,0.22,0.27)</f>
        <v/>
      </c>
      <c r="AI383" s="104">
        <f>CHOOSE(MATCH(IF($U383="","Основний",$U383),{"Трафіковий","Основний","Маржинальний","Сезонний","Стратегічний"},0),0.16,0.19,0.25,0.23,0.29)</f>
        <v/>
      </c>
      <c r="AJ383" s="104">
        <f>CHOOSE(MATCH(IF($U383="","Основний",$U383),{"Трафіковий","Основний","Маржинальний","Сезонний","Стратегічний"},0),0.14,0.17,0.22,0.21,0.25)</f>
        <v/>
      </c>
      <c r="AK383" s="104">
        <f>CHOOSE(MATCH(IF($U383="","Основний",$U383),{"Трафіковий","Основний","Маржинальний","Сезонний","Стратегічний"},0),0.15,0.18,0.23,0.22,0.27)</f>
        <v/>
      </c>
      <c r="AL383" s="104">
        <f>CHOOSE(MATCH(IF($U383="","Основний",$U383),{"Трафіковий","Основний","Маржинальний","Сезонний","Стратегічний"},0),0.15,0.17,0.25,0.24,0.29)</f>
        <v/>
      </c>
      <c r="AM383" s="104">
        <f>CHOOSE(MATCH(IF($U383="","Основний",$U383),{"Трафіковий","Основний","Маржинальний","Сезонний","Стратегічний"},0),0.12,0.145,0.19,0.18,0.22)</f>
        <v/>
      </c>
      <c r="AN383" s="157">
        <f>CHOOSE(MATCH(IF($U383="","Основний",$U383),{"Трафіковий","Основний","Маржинальний","Сезонний","Стратегічний"},0),Settings!$B$78,Settings!$B$80,Settings!$B$82,Settings!$B$84,Settings!$B$86)</f>
        <v/>
      </c>
      <c r="AO383" s="157">
        <f>CHOOSE(MATCH(IF($U383="","Основний",$U383),{"Трафіковий","Основний","Маржинальний","Сезонний","Стратегічний"},0),Settings!$C$78,Settings!$C$80,Settings!$C$82,Settings!$C$84,Settings!$C$86)</f>
        <v/>
      </c>
      <c r="AP383" s="157">
        <f>CHOOSE(MATCH(IF($U383="","Основний",$U383),{"Трафіковий","Основний","Маржинальний","Сезонний","Стратегічний"},0),Settings!$D$78,Settings!$D$80,Settings!$D$82,Settings!$D$84,Settings!$D$86)</f>
        <v/>
      </c>
      <c r="AQ383" s="157">
        <f>CHOOSE(MATCH(IF($U383="","Основний",$U383),{"Трафіковий","Основний","Маржинальний","Сезонний","Стратегічний"},0),Settings!$F$78,Settings!$F$80,Settings!$F$82,Settings!$F$84,Settings!$F$86)</f>
        <v/>
      </c>
      <c r="AR383" s="157">
        <f>CHOOSE(MATCH(IF($U383="","Основний",$U383),{"Трафіковий","Основний","Маржинальний","Сезонний","Стратегічний"},0),Settings!$G$78,Settings!$G$80,Settings!$G$82,Settings!$G$84,Settings!$G$86)</f>
        <v/>
      </c>
      <c r="AS383" s="157">
        <f>CHOOSE(MATCH(IF($U383="","Основний",$U383),{"Трафіковий","Основний","Маржинальний","Сезонний","Стратегічний"},0),Settings!$H$78,Settings!$H$80,Settings!$H$82,Settings!$H$84,Settings!$H$86)</f>
        <v/>
      </c>
      <c r="AT383" s="157">
        <f>CHOOSE(MATCH(IF($U383="","Основний",$U383),{"Трафіковий","Основний","Маржинальний","Сезонний","Стратегічний"},0),Settings!$I$78,Settings!$I$80,Settings!$I$82,Settings!$I$84,Settings!$I$86)</f>
        <v/>
      </c>
      <c r="AU383" s="171" t="n"/>
      <c r="AV383" t="n">
        <v>1.35</v>
      </c>
    </row>
    <row r="384">
      <c r="A384" s="28" t="n"/>
      <c r="B384" s="29" t="inlineStr">
        <is>
          <t>P00292</t>
        </is>
      </c>
      <c r="C384" s="29" t="inlineStr">
        <is>
          <t>ONE WAY SOCKET WITH SWITCH  IP44, SCHUKO</t>
        </is>
      </c>
      <c r="D384" s="29" t="inlineStr">
        <is>
          <t>Пооджувачи та адаптери</t>
        </is>
      </c>
      <c r="E384" s="28" t="inlineStr">
        <is>
          <t>PC</t>
        </is>
      </c>
      <c r="F384" s="93" t="n">
        <v>2.105</v>
      </c>
      <c r="G384" s="30" t="n">
        <v>8536699099</v>
      </c>
      <c r="H384" s="31" t="n">
        <v>1.35</v>
      </c>
      <c r="I384" s="84">
        <f>IFERROR(F384*Settings!$B$2*H384*IF(AND(ISNUMBER(E384),E384&gt;1),E384,1),"")</f>
        <v/>
      </c>
      <c r="J384" s="32">
        <f>Settings!$B$66</f>
        <v/>
      </c>
      <c r="K384" s="95">
        <f>IFERROR(IF(T384="","",(T384*(1-AN384)*(1-Settings!$B$17)-I384)/(T384*(1-AN384)*(1-Settings!$B$17))),"")</f>
        <v/>
      </c>
      <c r="L384" s="101">
        <f>IFERROR(IF(T384="","",(T384*(1-AO384)*(1-Settings!$C$17)-I384)/(T384*(1-AO384)*(1-Settings!$C$17))),"")</f>
        <v/>
      </c>
      <c r="M384" s="101">
        <f>IFERROR(IF(T384="","",(T384*(1-AP384)*(1-Settings!$D$17)-I384)/(T384*(1-AP384)*(1-Settings!$D$17))),"")</f>
        <v/>
      </c>
      <c r="N384" s="101">
        <f>IFERROR(IF(T384="","",(T384*(1-AQ384)*(1-Settings!$F$17)-I384)/(T384*(1-AQ384)*(1-Settings!$F$17))),"")</f>
        <v/>
      </c>
      <c r="O384" s="101">
        <f>IFERROR(IF(T384="","",(T384*(1-AR384)*(1-Settings!$G$17)-I384)/(T384*(1-AR384)*(1-Settings!$G$17))),"")</f>
        <v/>
      </c>
      <c r="P384" s="101">
        <f>IFERROR(IF(T384="","",(T384*(1-AS384)*(1-Settings!$H$17)-I384)/(T384*(1-AS384)*(1-Settings!$H$17))),"")</f>
        <v/>
      </c>
      <c r="Q384" s="101">
        <f>IFERROR(IF(T384="","",(T384*(1-AT384)*(1-Settings!$I$68)*(1-Settings!$I$17)-I384)/(T384*(1-AT384)*(1-Settings!$I$68)*(1-Settings!$I$17))),"")</f>
        <v/>
      </c>
      <c r="R384" s="91">
        <f>IFERROR(IF(OR(I384="",Z384&gt;=1,Settings!$B$17&gt;=1,AN384&gt;=1),"",IF(MOD(ROUND(I384/(1-Z384)/(1-Settings!$B$17)/(1-AN384),0),10)=0,ROUND(I384/(1-Z384)/(1-Settings!$B$17)/(1-AN384),0)-1,IF(MOD(ROUND(I384/(1-Z384)/(1-Settings!$B$17)/(1-AN384),0),10)&lt;=5,FLOOR(ROUND(I384/(1-Z384)/(1-Settings!$B$17)/(1-AN384),0),10)+6,FLOOR(ROUND(I384/(1-Z384)/(1-Settings!$B$17)/(1-AN384),0),10)+9))),"")</f>
        <v/>
      </c>
      <c r="S384" s="92" t="n">
        <v>300</v>
      </c>
      <c r="T384" s="91">
        <f>IF(S384&lt;&gt;"", IF(MOD(S384,10)=0,S384-1,IF(MOD(S384,10)&lt;=5,FLOOR(S384,10)+6,FLOOR(S384,10)+9)), R384)</f>
        <v/>
      </c>
      <c r="U384" s="87" t="inlineStr">
        <is>
          <t>Маржинальний</t>
        </is>
      </c>
      <c r="V384" s="88" t="n"/>
      <c r="W384" s="88" t="n"/>
      <c r="X384" s="89">
        <f>IFERROR(IF(OR(V384="",W384="",T384=""),"", IF(T384&gt;W384,"Дорогий",IF(T384&lt;V384,"Дешевий","У ринку"))),"")</f>
        <v/>
      </c>
      <c r="Y384" s="90" t="n"/>
      <c r="Z384" s="104">
        <f>CHOOSE(MATCH(IF($U384="","Основний",$U384),{"Трафіковий","Основний","Маржинальний","Сезонний","Стратегічний"},0),0.16,0.19,0.24,0.23,0.28)</f>
        <v/>
      </c>
      <c r="AA384" s="104">
        <f>CHOOSE(MATCH(IF($U384="","Основний",$U384),{"Трафіковий","Основний","Маржинальний","Сезонний","Стратегічний"},0),0.18,0.21,0.26,0.25,0.3)</f>
        <v/>
      </c>
      <c r="AB384" s="104">
        <f>CHOOSE(MATCH(IF($U384="","Основний",$U384),{"Трафіковий","Основний","Маржинальний","Сезонний","Стратегічний"},0),0.19,0.22,0.28,0.26,0.32)</f>
        <v/>
      </c>
      <c r="AC384" s="104">
        <f>CHOOSE(MATCH(IF($U384="","Основний",$U384),{"Трафіковий","Основний","Маржинальний","Сезонний","Стратегічний"},0),0.17,0.2,0.25,0.24,0.28)</f>
        <v/>
      </c>
      <c r="AD384" s="104">
        <f>CHOOSE(MATCH(IF($U384="","Основний",$U384),{"Трафіковий","Основний","Маржинальний","Сезонний","Стратегічний"},0),0.18,0.21,0.26,0.25,0.3)</f>
        <v/>
      </c>
      <c r="AE384" s="104">
        <f>CHOOSE(MATCH(IF($U384="","Основний",$U384),{"Трафіковий","Основний","Маржинальний","Сезонний","Стратегічний"},0),0.18,0.2,0.28,0.27,0.32)</f>
        <v/>
      </c>
      <c r="AF384" s="104">
        <f>CHOOSE(MATCH(IF($U384="","Основний",$U384),{"Трафіковий","Основний","Маржинальний","Сезонний","Стратегічний"},0),0.15,0.175,0.22,0.21,0.25)</f>
        <v/>
      </c>
      <c r="AG384" s="104">
        <f>CHOOSE(MATCH(IF($U384="","Основний",$U384),{"Трафіковий","Основний","Маржинальний","Сезонний","Стратегічний"},0),0.13,0.16,0.21,0.2,0.25)</f>
        <v/>
      </c>
      <c r="AH384" s="104">
        <f>CHOOSE(MATCH(IF($U384="","Основний",$U384),{"Трафіковий","Основний","Маржинальний","Сезонний","Стратегічний"},0),0.15,0.18,0.23,0.22,0.27)</f>
        <v/>
      </c>
      <c r="AI384" s="104">
        <f>CHOOSE(MATCH(IF($U384="","Основний",$U384),{"Трафіковий","Основний","Маржинальний","Сезонний","Стратегічний"},0),0.16,0.19,0.25,0.23,0.29)</f>
        <v/>
      </c>
      <c r="AJ384" s="104">
        <f>CHOOSE(MATCH(IF($U384="","Основний",$U384),{"Трафіковий","Основний","Маржинальний","Сезонний","Стратегічний"},0),0.14,0.17,0.22,0.21,0.25)</f>
        <v/>
      </c>
      <c r="AK384" s="104">
        <f>CHOOSE(MATCH(IF($U384="","Основний",$U384),{"Трафіковий","Основний","Маржинальний","Сезонний","Стратегічний"},0),0.15,0.18,0.23,0.22,0.27)</f>
        <v/>
      </c>
      <c r="AL384" s="104">
        <f>CHOOSE(MATCH(IF($U384="","Основний",$U384),{"Трафіковий","Основний","Маржинальний","Сезонний","Стратегічний"},0),0.15,0.17,0.25,0.24,0.29)</f>
        <v/>
      </c>
      <c r="AM384" s="104">
        <f>CHOOSE(MATCH(IF($U384="","Основний",$U384),{"Трафіковий","Основний","Маржинальний","Сезонний","Стратегічний"},0),0.12,0.145,0.19,0.18,0.22)</f>
        <v/>
      </c>
      <c r="AN384" s="157">
        <f>CHOOSE(MATCH(IF($U384="","Основний",$U384),{"Трафіковий","Основний","Маржинальний","Сезонний","Стратегічний"},0),Settings!$B$78,Settings!$B$80,Settings!$B$82,Settings!$B$84,Settings!$B$86)</f>
        <v/>
      </c>
      <c r="AO384" s="157">
        <f>CHOOSE(MATCH(IF($U384="","Основний",$U384),{"Трафіковий","Основний","Маржинальний","Сезонний","Стратегічний"},0),Settings!$C$78,Settings!$C$80,Settings!$C$82,Settings!$C$84,Settings!$C$86)</f>
        <v/>
      </c>
      <c r="AP384" s="157">
        <f>CHOOSE(MATCH(IF($U384="","Основний",$U384),{"Трафіковий","Основний","Маржинальний","Сезонний","Стратегічний"},0),Settings!$D$78,Settings!$D$80,Settings!$D$82,Settings!$D$84,Settings!$D$86)</f>
        <v/>
      </c>
      <c r="AQ384" s="157">
        <f>CHOOSE(MATCH(IF($U384="","Основний",$U384),{"Трафіковий","Основний","Маржинальний","Сезонний","Стратегічний"},0),Settings!$F$78,Settings!$F$80,Settings!$F$82,Settings!$F$84,Settings!$F$86)</f>
        <v/>
      </c>
      <c r="AR384" s="157">
        <f>CHOOSE(MATCH(IF($U384="","Основний",$U384),{"Трафіковий","Основний","Маржинальний","Сезонний","Стратегічний"},0),Settings!$G$78,Settings!$G$80,Settings!$G$82,Settings!$G$84,Settings!$G$86)</f>
        <v/>
      </c>
      <c r="AS384" s="157">
        <f>CHOOSE(MATCH(IF($U384="","Основний",$U384),{"Трафіковий","Основний","Маржинальний","Сезонний","Стратегічний"},0),Settings!$H$78,Settings!$H$80,Settings!$H$82,Settings!$H$84,Settings!$H$86)</f>
        <v/>
      </c>
      <c r="AT384" s="157">
        <f>CHOOSE(MATCH(IF($U384="","Основний",$U384),{"Трафіковий","Основний","Маржинальний","Сезонний","Стратегічний"},0),Settings!$I$78,Settings!$I$80,Settings!$I$82,Settings!$I$84,Settings!$I$86)</f>
        <v/>
      </c>
      <c r="AU384" s="171" t="n"/>
      <c r="AV384" t="n">
        <v>1.35</v>
      </c>
    </row>
    <row r="385">
      <c r="A385" s="33" t="inlineStr">
        <is>
          <t>NEW</t>
        </is>
      </c>
      <c r="B385" s="34" t="inlineStr">
        <is>
          <t>P0075</t>
        </is>
      </c>
      <c r="C385" s="34" t="inlineStr">
        <is>
          <t>ADAPTOR 1×,1×USB-A+1×USB-C SCHUKO</t>
        </is>
      </c>
      <c r="D385" s="34" t="inlineStr">
        <is>
          <t>Пооджувачи та адаптери</t>
        </is>
      </c>
      <c r="E385" s="33" t="inlineStr">
        <is>
          <t>PC</t>
        </is>
      </c>
      <c r="F385" s="94" t="n">
        <v>4.913</v>
      </c>
      <c r="G385" s="35" t="n">
        <v>8536699099</v>
      </c>
      <c r="H385" s="31" t="n">
        <v>1.35</v>
      </c>
      <c r="I385" s="84">
        <f>IFERROR(F385*Settings!$B$2*H385*IF(AND(ISNUMBER(E385),E385&gt;1),E385,1),"")</f>
        <v/>
      </c>
      <c r="J385" s="32">
        <f>Settings!$B$66</f>
        <v/>
      </c>
      <c r="K385" s="95">
        <f>IFERROR(IF(T385="","",(T385*(1-AN385)*(1-Settings!$B$17)-I385)/(T385*(1-AN385)*(1-Settings!$B$17))),"")</f>
        <v/>
      </c>
      <c r="L385" s="101">
        <f>IFERROR(IF(T385="","",(T385*(1-AO385)*(1-Settings!$C$17)-I385)/(T385*(1-AO385)*(1-Settings!$C$17))),"")</f>
        <v/>
      </c>
      <c r="M385" s="101">
        <f>IFERROR(IF(T385="","",(T385*(1-AP385)*(1-Settings!$D$17)-I385)/(T385*(1-AP385)*(1-Settings!$D$17))),"")</f>
        <v/>
      </c>
      <c r="N385" s="101">
        <f>IFERROR(IF(T385="","",(T385*(1-AQ385)*(1-Settings!$F$17)-I385)/(T385*(1-AQ385)*(1-Settings!$F$17))),"")</f>
        <v/>
      </c>
      <c r="O385" s="101">
        <f>IFERROR(IF(T385="","",(T385*(1-AR385)*(1-Settings!$G$17)-I385)/(T385*(1-AR385)*(1-Settings!$G$17))),"")</f>
        <v/>
      </c>
      <c r="P385" s="101">
        <f>IFERROR(IF(T385="","",(T385*(1-AS385)*(1-Settings!$H$17)-I385)/(T385*(1-AS385)*(1-Settings!$H$17))),"")</f>
        <v/>
      </c>
      <c r="Q385" s="101">
        <f>IFERROR(IF(T385="","",(T385*(1-AT385)*(1-Settings!$I$68)*(1-Settings!$I$17)-I385)/(T385*(1-AT385)*(1-Settings!$I$68)*(1-Settings!$I$17))),"")</f>
        <v/>
      </c>
      <c r="R385" s="91">
        <f>IFERROR(IF(OR(I385="",Z385&gt;=1,Settings!$B$17&gt;=1,AN385&gt;=1),"",IF(MOD(ROUND(I385/(1-Z385)/(1-Settings!$B$17)/(1-AN385),0),10)=0,ROUND(I385/(1-Z385)/(1-Settings!$B$17)/(1-AN385),0)-1,IF(MOD(ROUND(I385/(1-Z385)/(1-Settings!$B$17)/(1-AN385),0),10)&lt;=5,FLOOR(ROUND(I385/(1-Z385)/(1-Settings!$B$17)/(1-AN385),0),10)+6,FLOOR(ROUND(I385/(1-Z385)/(1-Settings!$B$17)/(1-AN385),0),10)+9))),"")</f>
        <v/>
      </c>
      <c r="S385" s="174">
        <f>R385*0.95</f>
        <v/>
      </c>
      <c r="T385" s="91">
        <f>IF(S385&lt;&gt;"", IF(MOD(S385,10)=0,S385-1,IF(MOD(S385,10)&lt;=5,FLOOR(S385,10)+6,FLOOR(S385,10)+9)), R385)</f>
        <v/>
      </c>
      <c r="U385" s="87" t="inlineStr">
        <is>
          <t>Основний</t>
        </is>
      </c>
      <c r="V385" s="88" t="n"/>
      <c r="W385" s="88" t="n"/>
      <c r="X385" s="89">
        <f>IFERROR(IF(OR(V385="",W385="",T385=""),"", IF(T385&gt;W385,"Дорогий",IF(T385&lt;V385,"Дешевий","У ринку"))),"")</f>
        <v/>
      </c>
      <c r="Y385" s="90" t="n"/>
      <c r="Z385" s="104">
        <f>CHOOSE(MATCH(IF($U385="","Основний",$U385),{"Трафіковий","Основний","Маржинальний","Сезонний","Стратегічний"},0),0.16,0.19,0.24,0.23,0.28)</f>
        <v/>
      </c>
      <c r="AA385" s="104">
        <f>CHOOSE(MATCH(IF($U385="","Основний",$U385),{"Трафіковий","Основний","Маржинальний","Сезонний","Стратегічний"},0),0.18,0.21,0.26,0.25,0.3)</f>
        <v/>
      </c>
      <c r="AB385" s="104">
        <f>CHOOSE(MATCH(IF($U385="","Основний",$U385),{"Трафіковий","Основний","Маржинальний","Сезонний","Стратегічний"},0),0.19,0.22,0.28,0.26,0.32)</f>
        <v/>
      </c>
      <c r="AC385" s="104">
        <f>CHOOSE(MATCH(IF($U385="","Основний",$U385),{"Трафіковий","Основний","Маржинальний","Сезонний","Стратегічний"},0),0.17,0.2,0.25,0.24,0.28)</f>
        <v/>
      </c>
      <c r="AD385" s="104">
        <f>CHOOSE(MATCH(IF($U385="","Основний",$U385),{"Трафіковий","Основний","Маржинальний","Сезонний","Стратегічний"},0),0.18,0.21,0.26,0.25,0.3)</f>
        <v/>
      </c>
      <c r="AE385" s="104">
        <f>CHOOSE(MATCH(IF($U385="","Основний",$U385),{"Трафіковий","Основний","Маржинальний","Сезонний","Стратегічний"},0),0.18,0.2,0.28,0.27,0.32)</f>
        <v/>
      </c>
      <c r="AF385" s="104">
        <f>CHOOSE(MATCH(IF($U385="","Основний",$U385),{"Трафіковий","Основний","Маржинальний","Сезонний","Стратегічний"},0),0.15,0.175,0.22,0.21,0.25)</f>
        <v/>
      </c>
      <c r="AG385" s="104">
        <f>CHOOSE(MATCH(IF($U385="","Основний",$U385),{"Трафіковий","Основний","Маржинальний","Сезонний","Стратегічний"},0),0.13,0.16,0.21,0.2,0.25)</f>
        <v/>
      </c>
      <c r="AH385" s="104">
        <f>CHOOSE(MATCH(IF($U385="","Основний",$U385),{"Трафіковий","Основний","Маржинальний","Сезонний","Стратегічний"},0),0.15,0.18,0.23,0.22,0.27)</f>
        <v/>
      </c>
      <c r="AI385" s="104">
        <f>CHOOSE(MATCH(IF($U385="","Основний",$U385),{"Трафіковий","Основний","Маржинальний","Сезонний","Стратегічний"},0),0.16,0.19,0.25,0.23,0.29)</f>
        <v/>
      </c>
      <c r="AJ385" s="104">
        <f>CHOOSE(MATCH(IF($U385="","Основний",$U385),{"Трафіковий","Основний","Маржинальний","Сезонний","Стратегічний"},0),0.14,0.17,0.22,0.21,0.25)</f>
        <v/>
      </c>
      <c r="AK385" s="104">
        <f>CHOOSE(MATCH(IF($U385="","Основний",$U385),{"Трафіковий","Основний","Маржинальний","Сезонний","Стратегічний"},0),0.15,0.18,0.23,0.22,0.27)</f>
        <v/>
      </c>
      <c r="AL385" s="104">
        <f>CHOOSE(MATCH(IF($U385="","Основний",$U385),{"Трафіковий","Основний","Маржинальний","Сезонний","Стратегічний"},0),0.15,0.17,0.25,0.24,0.29)</f>
        <v/>
      </c>
      <c r="AM385" s="104">
        <f>CHOOSE(MATCH(IF($U385="","Основний",$U385),{"Трафіковий","Основний","Маржинальний","Сезонний","Стратегічний"},0),0.12,0.145,0.19,0.18,0.22)</f>
        <v/>
      </c>
      <c r="AN385" s="157">
        <f>CHOOSE(MATCH(IF($U385="","Основний",$U385),{"Трафіковий","Основний","Маржинальний","Сезонний","Стратегічний"},0),Settings!$B$78,Settings!$B$80,Settings!$B$82,Settings!$B$84,Settings!$B$86)</f>
        <v/>
      </c>
      <c r="AO385" s="157">
        <f>CHOOSE(MATCH(IF($U385="","Основний",$U385),{"Трафіковий","Основний","Маржинальний","Сезонний","Стратегічний"},0),Settings!$C$78,Settings!$C$80,Settings!$C$82,Settings!$C$84,Settings!$C$86)</f>
        <v/>
      </c>
      <c r="AP385" s="157">
        <f>CHOOSE(MATCH(IF($U385="","Основний",$U385),{"Трафіковий","Основний","Маржинальний","Сезонний","Стратегічний"},0),Settings!$D$78,Settings!$D$80,Settings!$D$82,Settings!$D$84,Settings!$D$86)</f>
        <v/>
      </c>
      <c r="AQ385" s="157">
        <f>CHOOSE(MATCH(IF($U385="","Основний",$U385),{"Трафіковий","Основний","Маржинальний","Сезонний","Стратегічний"},0),Settings!$F$78,Settings!$F$80,Settings!$F$82,Settings!$F$84,Settings!$F$86)</f>
        <v/>
      </c>
      <c r="AR385" s="157">
        <f>CHOOSE(MATCH(IF($U385="","Основний",$U385),{"Трафіковий","Основний","Маржинальний","Сезонний","Стратегічний"},0),Settings!$G$78,Settings!$G$80,Settings!$G$82,Settings!$G$84,Settings!$G$86)</f>
        <v/>
      </c>
      <c r="AS385" s="157">
        <f>CHOOSE(MATCH(IF($U385="","Основний",$U385),{"Трафіковий","Основний","Маржинальний","Сезонний","Стратегічний"},0),Settings!$H$78,Settings!$H$80,Settings!$H$82,Settings!$H$84,Settings!$H$86)</f>
        <v/>
      </c>
      <c r="AT385" s="157">
        <f>CHOOSE(MATCH(IF($U385="","Основний",$U385),{"Трафіковий","Основний","Маржинальний","Сезонний","Стратегічний"},0),Settings!$I$78,Settings!$I$80,Settings!$I$82,Settings!$I$84,Settings!$I$86)</f>
        <v/>
      </c>
      <c r="AU385" s="171" t="n"/>
      <c r="AV385" t="n">
        <v>1.35</v>
      </c>
    </row>
    <row r="386">
      <c r="A386" s="28" t="inlineStr">
        <is>
          <t>NEW</t>
        </is>
      </c>
      <c r="B386" s="29" t="inlineStr">
        <is>
          <t>P0077PD</t>
        </is>
      </c>
      <c r="C386" s="29" t="inlineStr">
        <is>
          <t>ADAPTOR 2×,1×USB-A(QC20W)+1×USB-C(PD20W) SCHUKO</t>
        </is>
      </c>
      <c r="D386" s="29" t="inlineStr">
        <is>
          <t>Пооджувачи та адаптери</t>
        </is>
      </c>
      <c r="E386" s="28" t="inlineStr">
        <is>
          <t>PC</t>
        </is>
      </c>
      <c r="F386" s="93" t="n">
        <v>6.788</v>
      </c>
      <c r="G386" s="30" t="n">
        <v>8536699099</v>
      </c>
      <c r="H386" s="31" t="n">
        <v>1.35</v>
      </c>
      <c r="I386" s="84">
        <f>IFERROR(F386*Settings!$B$2*H386*IF(AND(ISNUMBER(E386),E386&gt;1),E386,1),"")</f>
        <v/>
      </c>
      <c r="J386" s="32">
        <f>Settings!$B$66</f>
        <v/>
      </c>
      <c r="K386" s="95">
        <f>IFERROR(IF(T386="","",(T386*(1-AN386)*(1-Settings!$B$17)-I386)/(T386*(1-AN386)*(1-Settings!$B$17))),"")</f>
        <v/>
      </c>
      <c r="L386" s="101">
        <f>IFERROR(IF(T386="","",(T386*(1-AO386)*(1-Settings!$C$17)-I386)/(T386*(1-AO386)*(1-Settings!$C$17))),"")</f>
        <v/>
      </c>
      <c r="M386" s="101">
        <f>IFERROR(IF(T386="","",(T386*(1-AP386)*(1-Settings!$D$17)-I386)/(T386*(1-AP386)*(1-Settings!$D$17))),"")</f>
        <v/>
      </c>
      <c r="N386" s="101">
        <f>IFERROR(IF(T386="","",(T386*(1-AQ386)*(1-Settings!$F$17)-I386)/(T386*(1-AQ386)*(1-Settings!$F$17))),"")</f>
        <v/>
      </c>
      <c r="O386" s="101">
        <f>IFERROR(IF(T386="","",(T386*(1-AR386)*(1-Settings!$G$17)-I386)/(T386*(1-AR386)*(1-Settings!$G$17))),"")</f>
        <v/>
      </c>
      <c r="P386" s="101">
        <f>IFERROR(IF(T386="","",(T386*(1-AS386)*(1-Settings!$H$17)-I386)/(T386*(1-AS386)*(1-Settings!$H$17))),"")</f>
        <v/>
      </c>
      <c r="Q386" s="101">
        <f>IFERROR(IF(T386="","",(T386*(1-AT386)*(1-Settings!$I$68)*(1-Settings!$I$17)-I386)/(T386*(1-AT386)*(1-Settings!$I$68)*(1-Settings!$I$17))),"")</f>
        <v/>
      </c>
      <c r="R386" s="91">
        <f>IFERROR(IF(OR(I386="",Z386&gt;=1,Settings!$B$17&gt;=1,AN386&gt;=1),"",IF(MOD(ROUND(I386/(1-Z386)/(1-Settings!$B$17)/(1-AN386),0),10)=0,ROUND(I386/(1-Z386)/(1-Settings!$B$17)/(1-AN386),0)-1,IF(MOD(ROUND(I386/(1-Z386)/(1-Settings!$B$17)/(1-AN386),0),10)&lt;=5,FLOOR(ROUND(I386/(1-Z386)/(1-Settings!$B$17)/(1-AN386),0),10)+6,FLOOR(ROUND(I386/(1-Z386)/(1-Settings!$B$17)/(1-AN386),0),10)+9))),"")</f>
        <v/>
      </c>
      <c r="S386" s="174">
        <f>R386*0.95</f>
        <v/>
      </c>
      <c r="T386" s="91">
        <f>IF(S386&lt;&gt;"", IF(MOD(S386,10)=0,S386-1,IF(MOD(S386,10)&lt;=5,FLOOR(S386,10)+6,FLOOR(S386,10)+9)), R386)</f>
        <v/>
      </c>
      <c r="U386" s="87" t="inlineStr">
        <is>
          <t>Основний</t>
        </is>
      </c>
      <c r="V386" s="88" t="n"/>
      <c r="W386" s="88" t="n"/>
      <c r="X386" s="89">
        <f>IFERROR(IF(OR(V386="",W386="",T386=""),"", IF(T386&gt;W386,"Дорогий",IF(T386&lt;V386,"Дешевий","У ринку"))),"")</f>
        <v/>
      </c>
      <c r="Y386" s="90" t="n"/>
      <c r="Z386" s="104">
        <f>CHOOSE(MATCH(IF($U386="","Основний",$U386),{"Трафіковий","Основний","Маржинальний","Сезонний","Стратегічний"},0),0.16,0.19,0.24,0.23,0.28)</f>
        <v/>
      </c>
      <c r="AA386" s="104">
        <f>CHOOSE(MATCH(IF($U386="","Основний",$U386),{"Трафіковий","Основний","Маржинальний","Сезонний","Стратегічний"},0),0.18,0.21,0.26,0.25,0.3)</f>
        <v/>
      </c>
      <c r="AB386" s="104">
        <f>CHOOSE(MATCH(IF($U386="","Основний",$U386),{"Трафіковий","Основний","Маржинальний","Сезонний","Стратегічний"},0),0.19,0.22,0.28,0.26,0.32)</f>
        <v/>
      </c>
      <c r="AC386" s="104">
        <f>CHOOSE(MATCH(IF($U386="","Основний",$U386),{"Трафіковий","Основний","Маржинальний","Сезонний","Стратегічний"},0),0.17,0.2,0.25,0.24,0.28)</f>
        <v/>
      </c>
      <c r="AD386" s="104">
        <f>CHOOSE(MATCH(IF($U386="","Основний",$U386),{"Трафіковий","Основний","Маржинальний","Сезонний","Стратегічний"},0),0.18,0.21,0.26,0.25,0.3)</f>
        <v/>
      </c>
      <c r="AE386" s="104">
        <f>CHOOSE(MATCH(IF($U386="","Основний",$U386),{"Трафіковий","Основний","Маржинальний","Сезонний","Стратегічний"},0),0.18,0.2,0.28,0.27,0.32)</f>
        <v/>
      </c>
      <c r="AF386" s="104">
        <f>CHOOSE(MATCH(IF($U386="","Основний",$U386),{"Трафіковий","Основний","Маржинальний","Сезонний","Стратегічний"},0),0.15,0.175,0.22,0.21,0.25)</f>
        <v/>
      </c>
      <c r="AG386" s="104">
        <f>CHOOSE(MATCH(IF($U386="","Основний",$U386),{"Трафіковий","Основний","Маржинальний","Сезонний","Стратегічний"},0),0.13,0.16,0.21,0.2,0.25)</f>
        <v/>
      </c>
      <c r="AH386" s="104">
        <f>CHOOSE(MATCH(IF($U386="","Основний",$U386),{"Трафіковий","Основний","Маржинальний","Сезонний","Стратегічний"},0),0.15,0.18,0.23,0.22,0.27)</f>
        <v/>
      </c>
      <c r="AI386" s="104">
        <f>CHOOSE(MATCH(IF($U386="","Основний",$U386),{"Трафіковий","Основний","Маржинальний","Сезонний","Стратегічний"},0),0.16,0.19,0.25,0.23,0.29)</f>
        <v/>
      </c>
      <c r="AJ386" s="104">
        <f>CHOOSE(MATCH(IF($U386="","Основний",$U386),{"Трафіковий","Основний","Маржинальний","Сезонний","Стратегічний"},0),0.14,0.17,0.22,0.21,0.25)</f>
        <v/>
      </c>
      <c r="AK386" s="104">
        <f>CHOOSE(MATCH(IF($U386="","Основний",$U386),{"Трафіковий","Основний","Маржинальний","Сезонний","Стратегічний"},0),0.15,0.18,0.23,0.22,0.27)</f>
        <v/>
      </c>
      <c r="AL386" s="104">
        <f>CHOOSE(MATCH(IF($U386="","Основний",$U386),{"Трафіковий","Основний","Маржинальний","Сезонний","Стратегічний"},0),0.15,0.17,0.25,0.24,0.29)</f>
        <v/>
      </c>
      <c r="AM386" s="104">
        <f>CHOOSE(MATCH(IF($U386="","Основний",$U386),{"Трафіковий","Основний","Маржинальний","Сезонний","Стратегічний"},0),0.12,0.145,0.19,0.18,0.22)</f>
        <v/>
      </c>
      <c r="AN386" s="157">
        <f>CHOOSE(MATCH(IF($U386="","Основний",$U386),{"Трафіковий","Основний","Маржинальний","Сезонний","Стратегічний"},0),Settings!$B$78,Settings!$B$80,Settings!$B$82,Settings!$B$84,Settings!$B$86)</f>
        <v/>
      </c>
      <c r="AO386" s="157">
        <f>CHOOSE(MATCH(IF($U386="","Основний",$U386),{"Трафіковий","Основний","Маржинальний","Сезонний","Стратегічний"},0),Settings!$C$78,Settings!$C$80,Settings!$C$82,Settings!$C$84,Settings!$C$86)</f>
        <v/>
      </c>
      <c r="AP386" s="157">
        <f>CHOOSE(MATCH(IF($U386="","Основний",$U386),{"Трафіковий","Основний","Маржинальний","Сезонний","Стратегічний"},0),Settings!$D$78,Settings!$D$80,Settings!$D$82,Settings!$D$84,Settings!$D$86)</f>
        <v/>
      </c>
      <c r="AQ386" s="157">
        <f>CHOOSE(MATCH(IF($U386="","Основний",$U386),{"Трафіковий","Основний","Маржинальний","Сезонний","Стратегічний"},0),Settings!$F$78,Settings!$F$80,Settings!$F$82,Settings!$F$84,Settings!$F$86)</f>
        <v/>
      </c>
      <c r="AR386" s="157">
        <f>CHOOSE(MATCH(IF($U386="","Основний",$U386),{"Трафіковий","Основний","Маржинальний","Сезонний","Стратегічний"},0),Settings!$G$78,Settings!$G$80,Settings!$G$82,Settings!$G$84,Settings!$G$86)</f>
        <v/>
      </c>
      <c r="AS386" s="157">
        <f>CHOOSE(MATCH(IF($U386="","Основний",$U386),{"Трафіковий","Основний","Маржинальний","Сезонний","Стратегічний"},0),Settings!$H$78,Settings!$H$80,Settings!$H$82,Settings!$H$84,Settings!$H$86)</f>
        <v/>
      </c>
      <c r="AT386" s="157">
        <f>CHOOSE(MATCH(IF($U386="","Основний",$U386),{"Трафіковий","Основний","Маржинальний","Сезонний","Стратегічний"},0),Settings!$I$78,Settings!$I$80,Settings!$I$82,Settings!$I$84,Settings!$I$86)</f>
        <v/>
      </c>
      <c r="AU386" s="171" t="n"/>
      <c r="AV386" t="n">
        <v>1.35</v>
      </c>
    </row>
    <row r="387">
      <c r="A387" s="33" t="n"/>
      <c r="B387" s="34" t="inlineStr">
        <is>
          <t>P0047</t>
        </is>
      </c>
      <c r="C387" s="34" t="inlineStr">
        <is>
          <t>SOCKET STRAIGHT WHITE SCHUKO</t>
        </is>
      </c>
      <c r="D387" s="34" t="inlineStr">
        <is>
          <t>Пооджувачи та адаптери</t>
        </is>
      </c>
      <c r="E387" s="33" t="inlineStr">
        <is>
          <t>PC</t>
        </is>
      </c>
      <c r="F387" s="94" t="n">
        <v>0.696</v>
      </c>
      <c r="G387" s="35" t="n">
        <v>8536699099</v>
      </c>
      <c r="H387" s="31" t="n">
        <v>1.35</v>
      </c>
      <c r="I387" s="84">
        <f>IFERROR(F387*Settings!$B$2*H387*IF(AND(ISNUMBER(E387),E387&gt;1),E387,1),"")</f>
        <v/>
      </c>
      <c r="J387" s="32">
        <f>Settings!$B$66</f>
        <v/>
      </c>
      <c r="K387" s="95">
        <f>IFERROR(IF(T387="","",(T387*(1-AN387)*(1-Settings!$B$17)-I387)/(T387*(1-AN387)*(1-Settings!$B$17))),"")</f>
        <v/>
      </c>
      <c r="L387" s="101">
        <f>IFERROR(IF(T387="","",(T387*(1-AO387)*(1-Settings!$C$17)-I387)/(T387*(1-AO387)*(1-Settings!$C$17))),"")</f>
        <v/>
      </c>
      <c r="M387" s="101">
        <f>IFERROR(IF(T387="","",(T387*(1-AP387)*(1-Settings!$D$17)-I387)/(T387*(1-AP387)*(1-Settings!$D$17))),"")</f>
        <v/>
      </c>
      <c r="N387" s="101">
        <f>IFERROR(IF(T387="","",(T387*(1-AQ387)*(1-Settings!$F$17)-I387)/(T387*(1-AQ387)*(1-Settings!$F$17))),"")</f>
        <v/>
      </c>
      <c r="O387" s="101">
        <f>IFERROR(IF(T387="","",(T387*(1-AR387)*(1-Settings!$G$17)-I387)/(T387*(1-AR387)*(1-Settings!$G$17))),"")</f>
        <v/>
      </c>
      <c r="P387" s="101">
        <f>IFERROR(IF(T387="","",(T387*(1-AS387)*(1-Settings!$H$17)-I387)/(T387*(1-AS387)*(1-Settings!$H$17))),"")</f>
        <v/>
      </c>
      <c r="Q387" s="101">
        <f>IFERROR(IF(T387="","",(T387*(1-AT387)*(1-Settings!$I$68)*(1-Settings!$I$17)-I387)/(T387*(1-AT387)*(1-Settings!$I$68)*(1-Settings!$I$17))),"")</f>
        <v/>
      </c>
      <c r="R387" s="91">
        <f>IFERROR(IF(OR(I387="",Z387&gt;=1,Settings!$B$17&gt;=1,AN387&gt;=1),"",IF(MOD(ROUND(I387/(1-Z387)/(1-Settings!$B$17)/(1-AN387),0),10)=0,ROUND(I387/(1-Z387)/(1-Settings!$B$17)/(1-AN387),0)-1,IF(MOD(ROUND(I387/(1-Z387)/(1-Settings!$B$17)/(1-AN387),0),10)&lt;=5,FLOOR(ROUND(I387/(1-Z387)/(1-Settings!$B$17)/(1-AN387),0),10)+6,FLOOR(ROUND(I387/(1-Z387)/(1-Settings!$B$17)/(1-AN387),0),10)+9))),"")</f>
        <v/>
      </c>
      <c r="S387" s="174" t="n"/>
      <c r="T387" s="91">
        <f>IF(S387&lt;&gt;"", IF(MOD(S387,10)=0,S387-1,IF(MOD(S387,10)&lt;=5,FLOOR(S387,10)+6,FLOOR(S387,10)+9)), R387)</f>
        <v/>
      </c>
      <c r="U387" s="87" t="inlineStr">
        <is>
          <t>Основний</t>
        </is>
      </c>
      <c r="V387" s="88" t="n"/>
      <c r="W387" s="88" t="n"/>
      <c r="X387" s="89">
        <f>IFERROR(IF(OR(V387="",W387="",T387=""),"", IF(T387&gt;W387,"Дорогий",IF(T387&lt;V387,"Дешевий","У ринку"))),"")</f>
        <v/>
      </c>
      <c r="Y387" s="90" t="n"/>
      <c r="Z387" s="104">
        <f>CHOOSE(MATCH(IF($U387="","Основний",$U387),{"Трафіковий","Основний","Маржинальний","Сезонний","Стратегічний"},0),0.16,0.19,0.24,0.23,0.28)</f>
        <v/>
      </c>
      <c r="AA387" s="104">
        <f>CHOOSE(MATCH(IF($U387="","Основний",$U387),{"Трафіковий","Основний","Маржинальний","Сезонний","Стратегічний"},0),0.18,0.21,0.26,0.25,0.3)</f>
        <v/>
      </c>
      <c r="AB387" s="104">
        <f>CHOOSE(MATCH(IF($U387="","Основний",$U387),{"Трафіковий","Основний","Маржинальний","Сезонний","Стратегічний"},0),0.19,0.22,0.28,0.26,0.32)</f>
        <v/>
      </c>
      <c r="AC387" s="104">
        <f>CHOOSE(MATCH(IF($U387="","Основний",$U387),{"Трафіковий","Основний","Маржинальний","Сезонний","Стратегічний"},0),0.17,0.2,0.25,0.24,0.28)</f>
        <v/>
      </c>
      <c r="AD387" s="104">
        <f>CHOOSE(MATCH(IF($U387="","Основний",$U387),{"Трафіковий","Основний","Маржинальний","Сезонний","Стратегічний"},0),0.18,0.21,0.26,0.25,0.3)</f>
        <v/>
      </c>
      <c r="AE387" s="104">
        <f>CHOOSE(MATCH(IF($U387="","Основний",$U387),{"Трафіковий","Основний","Маржинальний","Сезонний","Стратегічний"},0),0.18,0.2,0.28,0.27,0.32)</f>
        <v/>
      </c>
      <c r="AF387" s="104">
        <f>CHOOSE(MATCH(IF($U387="","Основний",$U387),{"Трафіковий","Основний","Маржинальний","Сезонний","Стратегічний"},0),0.15,0.175,0.22,0.21,0.25)</f>
        <v/>
      </c>
      <c r="AG387" s="104">
        <f>CHOOSE(MATCH(IF($U387="","Основний",$U387),{"Трафіковий","Основний","Маржинальний","Сезонний","Стратегічний"},0),0.13,0.16,0.21,0.2,0.25)</f>
        <v/>
      </c>
      <c r="AH387" s="104">
        <f>CHOOSE(MATCH(IF($U387="","Основний",$U387),{"Трафіковий","Основний","Маржинальний","Сезонний","Стратегічний"},0),0.15,0.18,0.23,0.22,0.27)</f>
        <v/>
      </c>
      <c r="AI387" s="104">
        <f>CHOOSE(MATCH(IF($U387="","Основний",$U387),{"Трафіковий","Основний","Маржинальний","Сезонний","Стратегічний"},0),0.16,0.19,0.25,0.23,0.29)</f>
        <v/>
      </c>
      <c r="AJ387" s="104">
        <f>CHOOSE(MATCH(IF($U387="","Основний",$U387),{"Трафіковий","Основний","Маржинальний","Сезонний","Стратегічний"},0),0.14,0.17,0.22,0.21,0.25)</f>
        <v/>
      </c>
      <c r="AK387" s="104">
        <f>CHOOSE(MATCH(IF($U387="","Основний",$U387),{"Трафіковий","Основний","Маржинальний","Сезонний","Стратегічний"},0),0.15,0.18,0.23,0.22,0.27)</f>
        <v/>
      </c>
      <c r="AL387" s="104">
        <f>CHOOSE(MATCH(IF($U387="","Основний",$U387),{"Трафіковий","Основний","Маржинальний","Сезонний","Стратегічний"},0),0.15,0.17,0.25,0.24,0.29)</f>
        <v/>
      </c>
      <c r="AM387" s="104">
        <f>CHOOSE(MATCH(IF($U387="","Основний",$U387),{"Трафіковий","Основний","Маржинальний","Сезонний","Стратегічний"},0),0.12,0.145,0.19,0.18,0.22)</f>
        <v/>
      </c>
      <c r="AN387" s="157">
        <f>CHOOSE(MATCH(IF($U387="","Основний",$U387),{"Трафіковий","Основний","Маржинальний","Сезонний","Стратегічний"},0),Settings!$B$78,Settings!$B$80,Settings!$B$82,Settings!$B$84,Settings!$B$86)</f>
        <v/>
      </c>
      <c r="AO387" s="157">
        <f>CHOOSE(MATCH(IF($U387="","Основний",$U387),{"Трафіковий","Основний","Маржинальний","Сезонний","Стратегічний"},0),Settings!$C$78,Settings!$C$80,Settings!$C$82,Settings!$C$84,Settings!$C$86)</f>
        <v/>
      </c>
      <c r="AP387" s="157">
        <f>CHOOSE(MATCH(IF($U387="","Основний",$U387),{"Трафіковий","Основний","Маржинальний","Сезонний","Стратегічний"},0),Settings!$D$78,Settings!$D$80,Settings!$D$82,Settings!$D$84,Settings!$D$86)</f>
        <v/>
      </c>
      <c r="AQ387" s="157">
        <f>CHOOSE(MATCH(IF($U387="","Основний",$U387),{"Трафіковий","Основний","Маржинальний","Сезонний","Стратегічний"},0),Settings!$F$78,Settings!$F$80,Settings!$F$82,Settings!$F$84,Settings!$F$86)</f>
        <v/>
      </c>
      <c r="AR387" s="157">
        <f>CHOOSE(MATCH(IF($U387="","Основний",$U387),{"Трафіковий","Основний","Маржинальний","Сезонний","Стратегічний"},0),Settings!$G$78,Settings!$G$80,Settings!$G$82,Settings!$G$84,Settings!$G$86)</f>
        <v/>
      </c>
      <c r="AS387" s="157">
        <f>CHOOSE(MATCH(IF($U387="","Основний",$U387),{"Трафіковий","Основний","Маржинальний","Сезонний","Стратегічний"},0),Settings!$H$78,Settings!$H$80,Settings!$H$82,Settings!$H$84,Settings!$H$86)</f>
        <v/>
      </c>
      <c r="AT387" s="157">
        <f>CHOOSE(MATCH(IF($U387="","Основний",$U387),{"Трафіковий","Основний","Маржинальний","Сезонний","Стратегічний"},0),Settings!$I$78,Settings!$I$80,Settings!$I$82,Settings!$I$84,Settings!$I$86)</f>
        <v/>
      </c>
      <c r="AU387" s="171" t="n"/>
      <c r="AV387" t="n">
        <v>1.35</v>
      </c>
    </row>
    <row r="388">
      <c r="A388" s="28" t="n"/>
      <c r="B388" s="29" t="inlineStr">
        <is>
          <t>P0049</t>
        </is>
      </c>
      <c r="C388" s="29" t="inlineStr">
        <is>
          <t>SOCKET RUBBER IP44 BLACK SCHU.</t>
        </is>
      </c>
      <c r="D388" s="29" t="inlineStr">
        <is>
          <t>Пооджувачи та адаптери</t>
        </is>
      </c>
      <c r="E388" s="28" t="inlineStr">
        <is>
          <t>PC</t>
        </is>
      </c>
      <c r="F388" s="93" t="n">
        <v>1.451</v>
      </c>
      <c r="G388" s="30" t="n">
        <v>8536699099</v>
      </c>
      <c r="H388" s="31" t="n">
        <v>1.35</v>
      </c>
      <c r="I388" s="84">
        <f>IFERROR(F388*Settings!$B$2*H388*IF(AND(ISNUMBER(E388),E388&gt;1),E388,1),"")</f>
        <v/>
      </c>
      <c r="J388" s="32">
        <f>Settings!$B$66</f>
        <v/>
      </c>
      <c r="K388" s="95">
        <f>IFERROR(IF(T388="","",(T388*(1-AN388)*(1-Settings!$B$17)-I388)/(T388*(1-AN388)*(1-Settings!$B$17))),"")</f>
        <v/>
      </c>
      <c r="L388" s="101">
        <f>IFERROR(IF(T388="","",(T388*(1-AO388)*(1-Settings!$C$17)-I388)/(T388*(1-AO388)*(1-Settings!$C$17))),"")</f>
        <v/>
      </c>
      <c r="M388" s="101">
        <f>IFERROR(IF(T388="","",(T388*(1-AP388)*(1-Settings!$D$17)-I388)/(T388*(1-AP388)*(1-Settings!$D$17))),"")</f>
        <v/>
      </c>
      <c r="N388" s="101">
        <f>IFERROR(IF(T388="","",(T388*(1-AQ388)*(1-Settings!$F$17)-I388)/(T388*(1-AQ388)*(1-Settings!$F$17))),"")</f>
        <v/>
      </c>
      <c r="O388" s="101">
        <f>IFERROR(IF(T388="","",(T388*(1-AR388)*(1-Settings!$G$17)-I388)/(T388*(1-AR388)*(1-Settings!$G$17))),"")</f>
        <v/>
      </c>
      <c r="P388" s="101">
        <f>IFERROR(IF(T388="","",(T388*(1-AS388)*(1-Settings!$H$17)-I388)/(T388*(1-AS388)*(1-Settings!$H$17))),"")</f>
        <v/>
      </c>
      <c r="Q388" s="101">
        <f>IFERROR(IF(T388="","",(T388*(1-AT388)*(1-Settings!$I$68)*(1-Settings!$I$17)-I388)/(T388*(1-AT388)*(1-Settings!$I$68)*(1-Settings!$I$17))),"")</f>
        <v/>
      </c>
      <c r="R388" s="91">
        <f>IFERROR(IF(OR(I388="",Z388&gt;=1,Settings!$B$17&gt;=1,AN388&gt;=1),"",IF(MOD(ROUND(I388/(1-Z388)/(1-Settings!$B$17)/(1-AN388),0),10)=0,ROUND(I388/(1-Z388)/(1-Settings!$B$17)/(1-AN388),0)-1,IF(MOD(ROUND(I388/(1-Z388)/(1-Settings!$B$17)/(1-AN388),0),10)&lt;=5,FLOOR(ROUND(I388/(1-Z388)/(1-Settings!$B$17)/(1-AN388),0),10)+6,FLOOR(ROUND(I388/(1-Z388)/(1-Settings!$B$17)/(1-AN388),0),10)+9))),"")</f>
        <v/>
      </c>
      <c r="S388" s="174" t="n"/>
      <c r="T388" s="91">
        <f>IF(S388&lt;&gt;"", IF(MOD(S388,10)=0,S388-1,IF(MOD(S388,10)&lt;=5,FLOOR(S388,10)+6,FLOOR(S388,10)+9)), R388)</f>
        <v/>
      </c>
      <c r="U388" s="87" t="inlineStr">
        <is>
          <t>Основний</t>
        </is>
      </c>
      <c r="V388" s="88" t="n"/>
      <c r="W388" s="88" t="n"/>
      <c r="X388" s="89">
        <f>IFERROR(IF(OR(V388="",W388="",T388=""),"", IF(T388&gt;W388,"Дорогий",IF(T388&lt;V388,"Дешевий","У ринку"))),"")</f>
        <v/>
      </c>
      <c r="Y388" s="90" t="n"/>
      <c r="Z388" s="104">
        <f>CHOOSE(MATCH(IF($U388="","Основний",$U388),{"Трафіковий","Основний","Маржинальний","Сезонний","Стратегічний"},0),0.16,0.19,0.24,0.23,0.28)</f>
        <v/>
      </c>
      <c r="AA388" s="104">
        <f>CHOOSE(MATCH(IF($U388="","Основний",$U388),{"Трафіковий","Основний","Маржинальний","Сезонний","Стратегічний"},0),0.18,0.21,0.26,0.25,0.3)</f>
        <v/>
      </c>
      <c r="AB388" s="104">
        <f>CHOOSE(MATCH(IF($U388="","Основний",$U388),{"Трафіковий","Основний","Маржинальний","Сезонний","Стратегічний"},0),0.19,0.22,0.28,0.26,0.32)</f>
        <v/>
      </c>
      <c r="AC388" s="104">
        <f>CHOOSE(MATCH(IF($U388="","Основний",$U388),{"Трафіковий","Основний","Маржинальний","Сезонний","Стратегічний"},0),0.17,0.2,0.25,0.24,0.28)</f>
        <v/>
      </c>
      <c r="AD388" s="104">
        <f>CHOOSE(MATCH(IF($U388="","Основний",$U388),{"Трафіковий","Основний","Маржинальний","Сезонний","Стратегічний"},0),0.18,0.21,0.26,0.25,0.3)</f>
        <v/>
      </c>
      <c r="AE388" s="104">
        <f>CHOOSE(MATCH(IF($U388="","Основний",$U388),{"Трафіковий","Основний","Маржинальний","Сезонний","Стратегічний"},0),0.18,0.2,0.28,0.27,0.32)</f>
        <v/>
      </c>
      <c r="AF388" s="104">
        <f>CHOOSE(MATCH(IF($U388="","Основний",$U388),{"Трафіковий","Основний","Маржинальний","Сезонний","Стратегічний"},0),0.15,0.175,0.22,0.21,0.25)</f>
        <v/>
      </c>
      <c r="AG388" s="104">
        <f>CHOOSE(MATCH(IF($U388="","Основний",$U388),{"Трафіковий","Основний","Маржинальний","Сезонний","Стратегічний"},0),0.13,0.16,0.21,0.2,0.25)</f>
        <v/>
      </c>
      <c r="AH388" s="104">
        <f>CHOOSE(MATCH(IF($U388="","Основний",$U388),{"Трафіковий","Основний","Маржинальний","Сезонний","Стратегічний"},0),0.15,0.18,0.23,0.22,0.27)</f>
        <v/>
      </c>
      <c r="AI388" s="104">
        <f>CHOOSE(MATCH(IF($U388="","Основний",$U388),{"Трафіковий","Основний","Маржинальний","Сезонний","Стратегічний"},0),0.16,0.19,0.25,0.23,0.29)</f>
        <v/>
      </c>
      <c r="AJ388" s="104">
        <f>CHOOSE(MATCH(IF($U388="","Основний",$U388),{"Трафіковий","Основний","Маржинальний","Сезонний","Стратегічний"},0),0.14,0.17,0.22,0.21,0.25)</f>
        <v/>
      </c>
      <c r="AK388" s="104">
        <f>CHOOSE(MATCH(IF($U388="","Основний",$U388),{"Трафіковий","Основний","Маржинальний","Сезонний","Стратегічний"},0),0.15,0.18,0.23,0.22,0.27)</f>
        <v/>
      </c>
      <c r="AL388" s="104">
        <f>CHOOSE(MATCH(IF($U388="","Основний",$U388),{"Трафіковий","Основний","Маржинальний","Сезонний","Стратегічний"},0),0.15,0.17,0.25,0.24,0.29)</f>
        <v/>
      </c>
      <c r="AM388" s="104">
        <f>CHOOSE(MATCH(IF($U388="","Основний",$U388),{"Трафіковий","Основний","Маржинальний","Сезонний","Стратегічний"},0),0.12,0.145,0.19,0.18,0.22)</f>
        <v/>
      </c>
      <c r="AN388" s="157">
        <f>CHOOSE(MATCH(IF($U388="","Основний",$U388),{"Трафіковий","Основний","Маржинальний","Сезонний","Стратегічний"},0),Settings!$B$78,Settings!$B$80,Settings!$B$82,Settings!$B$84,Settings!$B$86)</f>
        <v/>
      </c>
      <c r="AO388" s="157">
        <f>CHOOSE(MATCH(IF($U388="","Основний",$U388),{"Трафіковий","Основний","Маржинальний","Сезонний","Стратегічний"},0),Settings!$C$78,Settings!$C$80,Settings!$C$82,Settings!$C$84,Settings!$C$86)</f>
        <v/>
      </c>
      <c r="AP388" s="157">
        <f>CHOOSE(MATCH(IF($U388="","Основний",$U388),{"Трафіковий","Основний","Маржинальний","Сезонний","Стратегічний"},0),Settings!$D$78,Settings!$D$80,Settings!$D$82,Settings!$D$84,Settings!$D$86)</f>
        <v/>
      </c>
      <c r="AQ388" s="157">
        <f>CHOOSE(MATCH(IF($U388="","Основний",$U388),{"Трафіковий","Основний","Маржинальний","Сезонний","Стратегічний"},0),Settings!$F$78,Settings!$F$80,Settings!$F$82,Settings!$F$84,Settings!$F$86)</f>
        <v/>
      </c>
      <c r="AR388" s="157">
        <f>CHOOSE(MATCH(IF($U388="","Основний",$U388),{"Трафіковий","Основний","Маржинальний","Сезонний","Стратегічний"},0),Settings!$G$78,Settings!$G$80,Settings!$G$82,Settings!$G$84,Settings!$G$86)</f>
        <v/>
      </c>
      <c r="AS388" s="157">
        <f>CHOOSE(MATCH(IF($U388="","Основний",$U388),{"Трафіковий","Основний","Маржинальний","Сезонний","Стратегічний"},0),Settings!$H$78,Settings!$H$80,Settings!$H$82,Settings!$H$84,Settings!$H$86)</f>
        <v/>
      </c>
      <c r="AT388" s="157">
        <f>CHOOSE(MATCH(IF($U388="","Основний",$U388),{"Трафіковий","Основний","Маржинальний","Сезонний","Стратегічний"},0),Settings!$I$78,Settings!$I$80,Settings!$I$82,Settings!$I$84,Settings!$I$86)</f>
        <v/>
      </c>
      <c r="AU388" s="171" t="n"/>
      <c r="AV388" t="n">
        <v>1.35</v>
      </c>
    </row>
    <row r="389">
      <c r="A389" s="33" t="n"/>
      <c r="B389" s="34" t="inlineStr">
        <is>
          <t>P0066</t>
        </is>
      </c>
      <c r="C389" s="34" t="inlineStr">
        <is>
          <t>ULTRA THIN PLUG-,ANGULAR</t>
        </is>
      </c>
      <c r="D389" s="34" t="inlineStr">
        <is>
          <t>Пооджувачи та адаптери</t>
        </is>
      </c>
      <c r="E389" s="33" t="inlineStr">
        <is>
          <t>PC</t>
        </is>
      </c>
      <c r="F389" s="94" t="n">
        <v>0.803</v>
      </c>
      <c r="G389" s="35" t="n">
        <v>8536699099</v>
      </c>
      <c r="H389" s="31" t="n">
        <v>1.35</v>
      </c>
      <c r="I389" s="84">
        <f>IFERROR(F389*Settings!$B$2*H389*IF(AND(ISNUMBER(E389),E389&gt;1),E389,1),"")</f>
        <v/>
      </c>
      <c r="J389" s="32">
        <f>Settings!$B$66</f>
        <v/>
      </c>
      <c r="K389" s="95">
        <f>IFERROR(IF(T389="","",(T389*(1-AN389)*(1-Settings!$B$17)-I389)/(T389*(1-AN389)*(1-Settings!$B$17))),"")</f>
        <v/>
      </c>
      <c r="L389" s="101">
        <f>IFERROR(IF(T389="","",(T389*(1-AO389)*(1-Settings!$C$17)-I389)/(T389*(1-AO389)*(1-Settings!$C$17))),"")</f>
        <v/>
      </c>
      <c r="M389" s="101">
        <f>IFERROR(IF(T389="","",(T389*(1-AP389)*(1-Settings!$D$17)-I389)/(T389*(1-AP389)*(1-Settings!$D$17))),"")</f>
        <v/>
      </c>
      <c r="N389" s="101">
        <f>IFERROR(IF(T389="","",(T389*(1-AQ389)*(1-Settings!$F$17)-I389)/(T389*(1-AQ389)*(1-Settings!$F$17))),"")</f>
        <v/>
      </c>
      <c r="O389" s="101">
        <f>IFERROR(IF(T389="","",(T389*(1-AR389)*(1-Settings!$G$17)-I389)/(T389*(1-AR389)*(1-Settings!$G$17))),"")</f>
        <v/>
      </c>
      <c r="P389" s="101">
        <f>IFERROR(IF(T389="","",(T389*(1-AS389)*(1-Settings!$H$17)-I389)/(T389*(1-AS389)*(1-Settings!$H$17))),"")</f>
        <v/>
      </c>
      <c r="Q389" s="101">
        <f>IFERROR(IF(T389="","",(T389*(1-AT389)*(1-Settings!$I$68)*(1-Settings!$I$17)-I389)/(T389*(1-AT389)*(1-Settings!$I$68)*(1-Settings!$I$17))),"")</f>
        <v/>
      </c>
      <c r="R389" s="91">
        <f>IFERROR(IF(OR(I389="",Z389&gt;=1,Settings!$B$17&gt;=1,AN389&gt;=1),"",IF(MOD(ROUND(I389/(1-Z389)/(1-Settings!$B$17)/(1-AN389),0),10)=0,ROUND(I389/(1-Z389)/(1-Settings!$B$17)/(1-AN389),0)-1,IF(MOD(ROUND(I389/(1-Z389)/(1-Settings!$B$17)/(1-AN389),0),10)&lt;=5,FLOOR(ROUND(I389/(1-Z389)/(1-Settings!$B$17)/(1-AN389),0),10)+6,FLOOR(ROUND(I389/(1-Z389)/(1-Settings!$B$17)/(1-AN389),0),10)+9))),"")</f>
        <v/>
      </c>
      <c r="S389" s="92" t="n">
        <v>120</v>
      </c>
      <c r="T389" s="91">
        <f>IF(S389&lt;&gt;"", IF(MOD(S389,10)=0,S389-1,IF(MOD(S389,10)&lt;=5,FLOOR(S389,10)+6,FLOOR(S389,10)+9)), R389)</f>
        <v/>
      </c>
      <c r="U389" s="87" t="inlineStr">
        <is>
          <t>Маржинальний</t>
        </is>
      </c>
      <c r="V389" s="88" t="n"/>
      <c r="W389" s="88" t="n"/>
      <c r="X389" s="89">
        <f>IFERROR(IF(OR(V389="",W389="",T389=""),"", IF(T389&gt;W389,"Дорогий",IF(T389&lt;V389,"Дешевий","У ринку"))),"")</f>
        <v/>
      </c>
      <c r="Y389" s="90" t="n"/>
      <c r="Z389" s="104">
        <f>CHOOSE(MATCH(IF($U389="","Основний",$U389),{"Трафіковий","Основний","Маржинальний","Сезонний","Стратегічний"},0),0.16,0.19,0.24,0.23,0.28)</f>
        <v/>
      </c>
      <c r="AA389" s="104">
        <f>CHOOSE(MATCH(IF($U389="","Основний",$U389),{"Трафіковий","Основний","Маржинальний","Сезонний","Стратегічний"},0),0.18,0.21,0.26,0.25,0.3)</f>
        <v/>
      </c>
      <c r="AB389" s="104">
        <f>CHOOSE(MATCH(IF($U389="","Основний",$U389),{"Трафіковий","Основний","Маржинальний","Сезонний","Стратегічний"},0),0.19,0.22,0.28,0.26,0.32)</f>
        <v/>
      </c>
      <c r="AC389" s="104">
        <f>CHOOSE(MATCH(IF($U389="","Основний",$U389),{"Трафіковий","Основний","Маржинальний","Сезонний","Стратегічний"},0),0.17,0.2,0.25,0.24,0.28)</f>
        <v/>
      </c>
      <c r="AD389" s="104">
        <f>CHOOSE(MATCH(IF($U389="","Основний",$U389),{"Трафіковий","Основний","Маржинальний","Сезонний","Стратегічний"},0),0.18,0.21,0.26,0.25,0.3)</f>
        <v/>
      </c>
      <c r="AE389" s="104">
        <f>CHOOSE(MATCH(IF($U389="","Основний",$U389),{"Трафіковий","Основний","Маржинальний","Сезонний","Стратегічний"},0),0.18,0.2,0.28,0.27,0.32)</f>
        <v/>
      </c>
      <c r="AF389" s="104">
        <f>CHOOSE(MATCH(IF($U389="","Основний",$U389),{"Трафіковий","Основний","Маржинальний","Сезонний","Стратегічний"},0),0.15,0.175,0.22,0.21,0.25)</f>
        <v/>
      </c>
      <c r="AG389" s="104">
        <f>CHOOSE(MATCH(IF($U389="","Основний",$U389),{"Трафіковий","Основний","Маржинальний","Сезонний","Стратегічний"},0),0.13,0.16,0.21,0.2,0.25)</f>
        <v/>
      </c>
      <c r="AH389" s="104">
        <f>CHOOSE(MATCH(IF($U389="","Основний",$U389),{"Трафіковий","Основний","Маржинальний","Сезонний","Стратегічний"},0),0.15,0.18,0.23,0.22,0.27)</f>
        <v/>
      </c>
      <c r="AI389" s="104">
        <f>CHOOSE(MATCH(IF($U389="","Основний",$U389),{"Трафіковий","Основний","Маржинальний","Сезонний","Стратегічний"},0),0.16,0.19,0.25,0.23,0.29)</f>
        <v/>
      </c>
      <c r="AJ389" s="104">
        <f>CHOOSE(MATCH(IF($U389="","Основний",$U389),{"Трафіковий","Основний","Маржинальний","Сезонний","Стратегічний"},0),0.14,0.17,0.22,0.21,0.25)</f>
        <v/>
      </c>
      <c r="AK389" s="104">
        <f>CHOOSE(MATCH(IF($U389="","Основний",$U389),{"Трафіковий","Основний","Маржинальний","Сезонний","Стратегічний"},0),0.15,0.18,0.23,0.22,0.27)</f>
        <v/>
      </c>
      <c r="AL389" s="104">
        <f>CHOOSE(MATCH(IF($U389="","Основний",$U389),{"Трафіковий","Основний","Маржинальний","Сезонний","Стратегічний"},0),0.15,0.17,0.25,0.24,0.29)</f>
        <v/>
      </c>
      <c r="AM389" s="104">
        <f>CHOOSE(MATCH(IF($U389="","Основний",$U389),{"Трафіковий","Основний","Маржинальний","Сезонний","Стратегічний"},0),0.12,0.145,0.19,0.18,0.22)</f>
        <v/>
      </c>
      <c r="AN389" s="157">
        <f>CHOOSE(MATCH(IF($U389="","Основний",$U389),{"Трафіковий","Основний","Маржинальний","Сезонний","Стратегічний"},0),Settings!$B$78,Settings!$B$80,Settings!$B$82,Settings!$B$84,Settings!$B$86)</f>
        <v/>
      </c>
      <c r="AO389" s="157">
        <f>CHOOSE(MATCH(IF($U389="","Основний",$U389),{"Трафіковий","Основний","Маржинальний","Сезонний","Стратегічний"},0),Settings!$C$78,Settings!$C$80,Settings!$C$82,Settings!$C$84,Settings!$C$86)</f>
        <v/>
      </c>
      <c r="AP389" s="157">
        <f>CHOOSE(MATCH(IF($U389="","Основний",$U389),{"Трафіковий","Основний","Маржинальний","Сезонний","Стратегічний"},0),Settings!$D$78,Settings!$D$80,Settings!$D$82,Settings!$D$84,Settings!$D$86)</f>
        <v/>
      </c>
      <c r="AQ389" s="157">
        <f>CHOOSE(MATCH(IF($U389="","Основний",$U389),{"Трафіковий","Основний","Маржинальний","Сезонний","Стратегічний"},0),Settings!$F$78,Settings!$F$80,Settings!$F$82,Settings!$F$84,Settings!$F$86)</f>
        <v/>
      </c>
      <c r="AR389" s="157">
        <f>CHOOSE(MATCH(IF($U389="","Основний",$U389),{"Трафіковий","Основний","Маржинальний","Сезонний","Стратегічний"},0),Settings!$G$78,Settings!$G$80,Settings!$G$82,Settings!$G$84,Settings!$G$86)</f>
        <v/>
      </c>
      <c r="AS389" s="157">
        <f>CHOOSE(MATCH(IF($U389="","Основний",$U389),{"Трафіковий","Основний","Маржинальний","Сезонний","Стратегічний"},0),Settings!$H$78,Settings!$H$80,Settings!$H$82,Settings!$H$84,Settings!$H$86)</f>
        <v/>
      </c>
      <c r="AT389" s="157">
        <f>CHOOSE(MATCH(IF($U389="","Основний",$U389),{"Трафіковий","Основний","Маржинальний","Сезонний","Стратегічний"},0),Settings!$I$78,Settings!$I$80,Settings!$I$82,Settings!$I$84,Settings!$I$86)</f>
        <v/>
      </c>
      <c r="AU389" s="171" t="n"/>
      <c r="AV389" t="n">
        <v>1.35</v>
      </c>
    </row>
    <row r="390">
      <c r="A390" s="28" t="n"/>
      <c r="B390" s="29" t="inlineStr">
        <is>
          <t>P0039</t>
        </is>
      </c>
      <c r="C390" s="29" t="inlineStr">
        <is>
          <t>PLUG ANGLE WHITE</t>
        </is>
      </c>
      <c r="D390" s="29" t="inlineStr">
        <is>
          <t>Пооджувачи та адаптери</t>
        </is>
      </c>
      <c r="E390" s="28" t="inlineStr">
        <is>
          <t>PC</t>
        </is>
      </c>
      <c r="F390" s="93" t="n">
        <v>0.642</v>
      </c>
      <c r="G390" s="30" t="n">
        <v>8536699099</v>
      </c>
      <c r="H390" s="31" t="n">
        <v>1.35</v>
      </c>
      <c r="I390" s="84">
        <f>IFERROR(F390*Settings!$B$2*H390*IF(AND(ISNUMBER(E390),E390&gt;1),E390,1),"")</f>
        <v/>
      </c>
      <c r="J390" s="32">
        <f>Settings!$B$66</f>
        <v/>
      </c>
      <c r="K390" s="95">
        <f>IFERROR(IF(T390="","",(T390*(1-AN390)*(1-Settings!$B$17)-I390)/(T390*(1-AN390)*(1-Settings!$B$17))),"")</f>
        <v/>
      </c>
      <c r="L390" s="101">
        <f>IFERROR(IF(T390="","",(T390*(1-AO390)*(1-Settings!$C$17)-I390)/(T390*(1-AO390)*(1-Settings!$C$17))),"")</f>
        <v/>
      </c>
      <c r="M390" s="101">
        <f>IFERROR(IF(T390="","",(T390*(1-AP390)*(1-Settings!$D$17)-I390)/(T390*(1-AP390)*(1-Settings!$D$17))),"")</f>
        <v/>
      </c>
      <c r="N390" s="101">
        <f>IFERROR(IF(T390="","",(T390*(1-AQ390)*(1-Settings!$F$17)-I390)/(T390*(1-AQ390)*(1-Settings!$F$17))),"")</f>
        <v/>
      </c>
      <c r="O390" s="101">
        <f>IFERROR(IF(T390="","",(T390*(1-AR390)*(1-Settings!$G$17)-I390)/(T390*(1-AR390)*(1-Settings!$G$17))),"")</f>
        <v/>
      </c>
      <c r="P390" s="101">
        <f>IFERROR(IF(T390="","",(T390*(1-AS390)*(1-Settings!$H$17)-I390)/(T390*(1-AS390)*(1-Settings!$H$17))),"")</f>
        <v/>
      </c>
      <c r="Q390" s="101">
        <f>IFERROR(IF(T390="","",(T390*(1-AT390)*(1-Settings!$I$68)*(1-Settings!$I$17)-I390)/(T390*(1-AT390)*(1-Settings!$I$68)*(1-Settings!$I$17))),"")</f>
        <v/>
      </c>
      <c r="R390" s="91">
        <f>IFERROR(IF(OR(I390="",Z390&gt;=1,Settings!$B$17&gt;=1,AN390&gt;=1),"",IF(MOD(ROUND(I390/(1-Z390)/(1-Settings!$B$17)/(1-AN390),0),10)=0,ROUND(I390/(1-Z390)/(1-Settings!$B$17)/(1-AN390),0)-1,IF(MOD(ROUND(I390/(1-Z390)/(1-Settings!$B$17)/(1-AN390),0),10)&lt;=5,FLOOR(ROUND(I390/(1-Z390)/(1-Settings!$B$17)/(1-AN390),0),10)+6,FLOOR(ROUND(I390/(1-Z390)/(1-Settings!$B$17)/(1-AN390),0),10)+9))),"")</f>
        <v/>
      </c>
      <c r="S390" s="92" t="n">
        <v>96</v>
      </c>
      <c r="T390" s="91">
        <f>IF(S390&lt;&gt;"", IF(MOD(S390,10)=0,S390-1,IF(MOD(S390,10)&lt;=5,FLOOR(S390,10)+6,FLOOR(S390,10)+9)), R390)</f>
        <v/>
      </c>
      <c r="U390" s="87" t="inlineStr">
        <is>
          <t>Маржинальний</t>
        </is>
      </c>
      <c r="V390" s="88" t="n"/>
      <c r="W390" s="88" t="n"/>
      <c r="X390" s="89">
        <f>IFERROR(IF(OR(V390="",W390="",T390=""),"", IF(T390&gt;W390,"Дорогий",IF(T390&lt;V390,"Дешевий","У ринку"))),"")</f>
        <v/>
      </c>
      <c r="Y390" s="90" t="n"/>
      <c r="Z390" s="104">
        <f>CHOOSE(MATCH(IF($U390="","Основний",$U390),{"Трафіковий","Основний","Маржинальний","Сезонний","Стратегічний"},0),0.16,0.19,0.24,0.23,0.28)</f>
        <v/>
      </c>
      <c r="AA390" s="104">
        <f>CHOOSE(MATCH(IF($U390="","Основний",$U390),{"Трафіковий","Основний","Маржинальний","Сезонний","Стратегічний"},0),0.18,0.21,0.26,0.25,0.3)</f>
        <v/>
      </c>
      <c r="AB390" s="104">
        <f>CHOOSE(MATCH(IF($U390="","Основний",$U390),{"Трафіковий","Основний","Маржинальний","Сезонний","Стратегічний"},0),0.19,0.22,0.28,0.26,0.32)</f>
        <v/>
      </c>
      <c r="AC390" s="104">
        <f>CHOOSE(MATCH(IF($U390="","Основний",$U390),{"Трафіковий","Основний","Маржинальний","Сезонний","Стратегічний"},0),0.17,0.2,0.25,0.24,0.28)</f>
        <v/>
      </c>
      <c r="AD390" s="104">
        <f>CHOOSE(MATCH(IF($U390="","Основний",$U390),{"Трафіковий","Основний","Маржинальний","Сезонний","Стратегічний"},0),0.18,0.21,0.26,0.25,0.3)</f>
        <v/>
      </c>
      <c r="AE390" s="104">
        <f>CHOOSE(MATCH(IF($U390="","Основний",$U390),{"Трафіковий","Основний","Маржинальний","Сезонний","Стратегічний"},0),0.18,0.2,0.28,0.27,0.32)</f>
        <v/>
      </c>
      <c r="AF390" s="104">
        <f>CHOOSE(MATCH(IF($U390="","Основний",$U390),{"Трафіковий","Основний","Маржинальний","Сезонний","Стратегічний"},0),0.15,0.175,0.22,0.21,0.25)</f>
        <v/>
      </c>
      <c r="AG390" s="104">
        <f>CHOOSE(MATCH(IF($U390="","Основний",$U390),{"Трафіковий","Основний","Маржинальний","Сезонний","Стратегічний"},0),0.13,0.16,0.21,0.2,0.25)</f>
        <v/>
      </c>
      <c r="AH390" s="104">
        <f>CHOOSE(MATCH(IF($U390="","Основний",$U390),{"Трафіковий","Основний","Маржинальний","Сезонний","Стратегічний"},0),0.15,0.18,0.23,0.22,0.27)</f>
        <v/>
      </c>
      <c r="AI390" s="104">
        <f>CHOOSE(MATCH(IF($U390="","Основний",$U390),{"Трафіковий","Основний","Маржинальний","Сезонний","Стратегічний"},0),0.16,0.19,0.25,0.23,0.29)</f>
        <v/>
      </c>
      <c r="AJ390" s="104">
        <f>CHOOSE(MATCH(IF($U390="","Основний",$U390),{"Трафіковий","Основний","Маржинальний","Сезонний","Стратегічний"},0),0.14,0.17,0.22,0.21,0.25)</f>
        <v/>
      </c>
      <c r="AK390" s="104">
        <f>CHOOSE(MATCH(IF($U390="","Основний",$U390),{"Трафіковий","Основний","Маржинальний","Сезонний","Стратегічний"},0),0.15,0.18,0.23,0.22,0.27)</f>
        <v/>
      </c>
      <c r="AL390" s="104">
        <f>CHOOSE(MATCH(IF($U390="","Основний",$U390),{"Трафіковий","Основний","Маржинальний","Сезонний","Стратегічний"},0),0.15,0.17,0.25,0.24,0.29)</f>
        <v/>
      </c>
      <c r="AM390" s="104">
        <f>CHOOSE(MATCH(IF($U390="","Основний",$U390),{"Трафіковий","Основний","Маржинальний","Сезонний","Стратегічний"},0),0.12,0.145,0.19,0.18,0.22)</f>
        <v/>
      </c>
      <c r="AN390" s="157">
        <f>CHOOSE(MATCH(IF($U390="","Основний",$U390),{"Трафіковий","Основний","Маржинальний","Сезонний","Стратегічний"},0),Settings!$B$78,Settings!$B$80,Settings!$B$82,Settings!$B$84,Settings!$B$86)</f>
        <v/>
      </c>
      <c r="AO390" s="157">
        <f>CHOOSE(MATCH(IF($U390="","Основний",$U390),{"Трафіковий","Основний","Маржинальний","Сезонний","Стратегічний"},0),Settings!$C$78,Settings!$C$80,Settings!$C$82,Settings!$C$84,Settings!$C$86)</f>
        <v/>
      </c>
      <c r="AP390" s="157">
        <f>CHOOSE(MATCH(IF($U390="","Основний",$U390),{"Трафіковий","Основний","Маржинальний","Сезонний","Стратегічний"},0),Settings!$D$78,Settings!$D$80,Settings!$D$82,Settings!$D$84,Settings!$D$86)</f>
        <v/>
      </c>
      <c r="AQ390" s="157">
        <f>CHOOSE(MATCH(IF($U390="","Основний",$U390),{"Трафіковий","Основний","Маржинальний","Сезонний","Стратегічний"},0),Settings!$F$78,Settings!$F$80,Settings!$F$82,Settings!$F$84,Settings!$F$86)</f>
        <v/>
      </c>
      <c r="AR390" s="157">
        <f>CHOOSE(MATCH(IF($U390="","Основний",$U390),{"Трафіковий","Основний","Маржинальний","Сезонний","Стратегічний"},0),Settings!$G$78,Settings!$G$80,Settings!$G$82,Settings!$G$84,Settings!$G$86)</f>
        <v/>
      </c>
      <c r="AS390" s="157">
        <f>CHOOSE(MATCH(IF($U390="","Основний",$U390),{"Трафіковий","Основний","Маржинальний","Сезонний","Стратегічний"},0),Settings!$H$78,Settings!$H$80,Settings!$H$82,Settings!$H$84,Settings!$H$86)</f>
        <v/>
      </c>
      <c r="AT390" s="157">
        <f>CHOOSE(MATCH(IF($U390="","Основний",$U390),{"Трафіковий","Основний","Маржинальний","Сезонний","Стратегічний"},0),Settings!$I$78,Settings!$I$80,Settings!$I$82,Settings!$I$84,Settings!$I$86)</f>
        <v/>
      </c>
      <c r="AU390" s="171" t="n"/>
      <c r="AV390" t="n">
        <v>1.35</v>
      </c>
    </row>
    <row r="391">
      <c r="A391" s="33" t="n"/>
      <c r="B391" s="34" t="inlineStr">
        <is>
          <t>P0038</t>
        </is>
      </c>
      <c r="C391" s="34" t="inlineStr">
        <is>
          <t>PLUG STRAIGHT WHITE</t>
        </is>
      </c>
      <c r="D391" s="34" t="inlineStr">
        <is>
          <t>Пооджувачи та адаптери</t>
        </is>
      </c>
      <c r="E391" s="33" t="inlineStr">
        <is>
          <t>PC</t>
        </is>
      </c>
      <c r="F391" s="94" t="n">
        <v>0.642</v>
      </c>
      <c r="G391" s="35" t="n">
        <v>8536699099</v>
      </c>
      <c r="H391" s="31" t="n">
        <v>1.35</v>
      </c>
      <c r="I391" s="84">
        <f>IFERROR(F391*Settings!$B$2*H391*IF(AND(ISNUMBER(E391),E391&gt;1),E391,1),"")</f>
        <v/>
      </c>
      <c r="J391" s="32">
        <f>Settings!$B$66</f>
        <v/>
      </c>
      <c r="K391" s="95">
        <f>IFERROR(IF(T391="","",(T391*(1-AN391)*(1-Settings!$B$17)-I391)/(T391*(1-AN391)*(1-Settings!$B$17))),"")</f>
        <v/>
      </c>
      <c r="L391" s="101">
        <f>IFERROR(IF(T391="","",(T391*(1-AO391)*(1-Settings!$C$17)-I391)/(T391*(1-AO391)*(1-Settings!$C$17))),"")</f>
        <v/>
      </c>
      <c r="M391" s="101">
        <f>IFERROR(IF(T391="","",(T391*(1-AP391)*(1-Settings!$D$17)-I391)/(T391*(1-AP391)*(1-Settings!$D$17))),"")</f>
        <v/>
      </c>
      <c r="N391" s="101">
        <f>IFERROR(IF(T391="","",(T391*(1-AQ391)*(1-Settings!$F$17)-I391)/(T391*(1-AQ391)*(1-Settings!$F$17))),"")</f>
        <v/>
      </c>
      <c r="O391" s="101">
        <f>IFERROR(IF(T391="","",(T391*(1-AR391)*(1-Settings!$G$17)-I391)/(T391*(1-AR391)*(1-Settings!$G$17))),"")</f>
        <v/>
      </c>
      <c r="P391" s="101">
        <f>IFERROR(IF(T391="","",(T391*(1-AS391)*(1-Settings!$H$17)-I391)/(T391*(1-AS391)*(1-Settings!$H$17))),"")</f>
        <v/>
      </c>
      <c r="Q391" s="101">
        <f>IFERROR(IF(T391="","",(T391*(1-AT391)*(1-Settings!$I$68)*(1-Settings!$I$17)-I391)/(T391*(1-AT391)*(1-Settings!$I$68)*(1-Settings!$I$17))),"")</f>
        <v/>
      </c>
      <c r="R391" s="91">
        <f>IFERROR(IF(OR(I391="",Z391&gt;=1,Settings!$B$17&gt;=1,AN391&gt;=1),"",IF(MOD(ROUND(I391/(1-Z391)/(1-Settings!$B$17)/(1-AN391),0),10)=0,ROUND(I391/(1-Z391)/(1-Settings!$B$17)/(1-AN391),0)-1,IF(MOD(ROUND(I391/(1-Z391)/(1-Settings!$B$17)/(1-AN391),0),10)&lt;=5,FLOOR(ROUND(I391/(1-Z391)/(1-Settings!$B$17)/(1-AN391),0),10)+6,FLOOR(ROUND(I391/(1-Z391)/(1-Settings!$B$17)/(1-AN391),0),10)+9))),"")</f>
        <v/>
      </c>
      <c r="S391" s="92" t="n">
        <v>96</v>
      </c>
      <c r="T391" s="91">
        <f>IF(S391&lt;&gt;"", IF(MOD(S391,10)=0,S391-1,IF(MOD(S391,10)&lt;=5,FLOOR(S391,10)+6,FLOOR(S391,10)+9)), R391)</f>
        <v/>
      </c>
      <c r="U391" s="87" t="inlineStr">
        <is>
          <t>Маржинальний</t>
        </is>
      </c>
      <c r="V391" s="88" t="n"/>
      <c r="W391" s="88" t="n"/>
      <c r="X391" s="89">
        <f>IFERROR(IF(OR(V391="",W391="",T391=""),"", IF(T391&gt;W391,"Дорогий",IF(T391&lt;V391,"Дешевий","У ринку"))),"")</f>
        <v/>
      </c>
      <c r="Y391" s="90" t="n"/>
      <c r="Z391" s="104">
        <f>CHOOSE(MATCH(IF($U391="","Основний",$U391),{"Трафіковий","Основний","Маржинальний","Сезонний","Стратегічний"},0),0.16,0.19,0.24,0.23,0.28)</f>
        <v/>
      </c>
      <c r="AA391" s="104">
        <f>CHOOSE(MATCH(IF($U391="","Основний",$U391),{"Трафіковий","Основний","Маржинальний","Сезонний","Стратегічний"},0),0.18,0.21,0.26,0.25,0.3)</f>
        <v/>
      </c>
      <c r="AB391" s="104">
        <f>CHOOSE(MATCH(IF($U391="","Основний",$U391),{"Трафіковий","Основний","Маржинальний","Сезонний","Стратегічний"},0),0.19,0.22,0.28,0.26,0.32)</f>
        <v/>
      </c>
      <c r="AC391" s="104">
        <f>CHOOSE(MATCH(IF($U391="","Основний",$U391),{"Трафіковий","Основний","Маржинальний","Сезонний","Стратегічний"},0),0.17,0.2,0.25,0.24,0.28)</f>
        <v/>
      </c>
      <c r="AD391" s="104">
        <f>CHOOSE(MATCH(IF($U391="","Основний",$U391),{"Трафіковий","Основний","Маржинальний","Сезонний","Стратегічний"},0),0.18,0.21,0.26,0.25,0.3)</f>
        <v/>
      </c>
      <c r="AE391" s="104">
        <f>CHOOSE(MATCH(IF($U391="","Основний",$U391),{"Трафіковий","Основний","Маржинальний","Сезонний","Стратегічний"},0),0.18,0.2,0.28,0.27,0.32)</f>
        <v/>
      </c>
      <c r="AF391" s="104">
        <f>CHOOSE(MATCH(IF($U391="","Основний",$U391),{"Трафіковий","Основний","Маржинальний","Сезонний","Стратегічний"},0),0.15,0.175,0.22,0.21,0.25)</f>
        <v/>
      </c>
      <c r="AG391" s="104">
        <f>CHOOSE(MATCH(IF($U391="","Основний",$U391),{"Трафіковий","Основний","Маржинальний","Сезонний","Стратегічний"},0),0.13,0.16,0.21,0.2,0.25)</f>
        <v/>
      </c>
      <c r="AH391" s="104">
        <f>CHOOSE(MATCH(IF($U391="","Основний",$U391),{"Трафіковий","Основний","Маржинальний","Сезонний","Стратегічний"},0),0.15,0.18,0.23,0.22,0.27)</f>
        <v/>
      </c>
      <c r="AI391" s="104">
        <f>CHOOSE(MATCH(IF($U391="","Основний",$U391),{"Трафіковий","Основний","Маржинальний","Сезонний","Стратегічний"},0),0.16,0.19,0.25,0.23,0.29)</f>
        <v/>
      </c>
      <c r="AJ391" s="104">
        <f>CHOOSE(MATCH(IF($U391="","Основний",$U391),{"Трафіковий","Основний","Маржинальний","Сезонний","Стратегічний"},0),0.14,0.17,0.22,0.21,0.25)</f>
        <v/>
      </c>
      <c r="AK391" s="104">
        <f>CHOOSE(MATCH(IF($U391="","Основний",$U391),{"Трафіковий","Основний","Маржинальний","Сезонний","Стратегічний"},0),0.15,0.18,0.23,0.22,0.27)</f>
        <v/>
      </c>
      <c r="AL391" s="104">
        <f>CHOOSE(MATCH(IF($U391="","Основний",$U391),{"Трафіковий","Основний","Маржинальний","Сезонний","Стратегічний"},0),0.15,0.17,0.25,0.24,0.29)</f>
        <v/>
      </c>
      <c r="AM391" s="104">
        <f>CHOOSE(MATCH(IF($U391="","Основний",$U391),{"Трафіковий","Основний","Маржинальний","Сезонний","Стратегічний"},0),0.12,0.145,0.19,0.18,0.22)</f>
        <v/>
      </c>
      <c r="AN391" s="157">
        <f>CHOOSE(MATCH(IF($U391="","Основний",$U391),{"Трафіковий","Основний","Маржинальний","Сезонний","Стратегічний"},0),Settings!$B$78,Settings!$B$80,Settings!$B$82,Settings!$B$84,Settings!$B$86)</f>
        <v/>
      </c>
      <c r="AO391" s="157">
        <f>CHOOSE(MATCH(IF($U391="","Основний",$U391),{"Трафіковий","Основний","Маржинальний","Сезонний","Стратегічний"},0),Settings!$C$78,Settings!$C$80,Settings!$C$82,Settings!$C$84,Settings!$C$86)</f>
        <v/>
      </c>
      <c r="AP391" s="157">
        <f>CHOOSE(MATCH(IF($U391="","Основний",$U391),{"Трафіковий","Основний","Маржинальний","Сезонний","Стратегічний"},0),Settings!$D$78,Settings!$D$80,Settings!$D$82,Settings!$D$84,Settings!$D$86)</f>
        <v/>
      </c>
      <c r="AQ391" s="157">
        <f>CHOOSE(MATCH(IF($U391="","Основний",$U391),{"Трафіковий","Основний","Маржинальний","Сезонний","Стратегічний"},0),Settings!$F$78,Settings!$F$80,Settings!$F$82,Settings!$F$84,Settings!$F$86)</f>
        <v/>
      </c>
      <c r="AR391" s="157">
        <f>CHOOSE(MATCH(IF($U391="","Основний",$U391),{"Трафіковий","Основний","Маржинальний","Сезонний","Стратегічний"},0),Settings!$G$78,Settings!$G$80,Settings!$G$82,Settings!$G$84,Settings!$G$86)</f>
        <v/>
      </c>
      <c r="AS391" s="157">
        <f>CHOOSE(MATCH(IF($U391="","Основний",$U391),{"Трафіковий","Основний","Маржинальний","Сезонний","Стратегічний"},0),Settings!$H$78,Settings!$H$80,Settings!$H$82,Settings!$H$84,Settings!$H$86)</f>
        <v/>
      </c>
      <c r="AT391" s="157">
        <f>CHOOSE(MATCH(IF($U391="","Основний",$U391),{"Трафіковий","Основний","Маржинальний","Сезонний","Стратегічний"},0),Settings!$I$78,Settings!$I$80,Settings!$I$82,Settings!$I$84,Settings!$I$86)</f>
        <v/>
      </c>
      <c r="AU391" s="171" t="n"/>
      <c r="AV391" t="n">
        <v>1.35</v>
      </c>
    </row>
    <row r="392">
      <c r="A392" s="28" t="n"/>
      <c r="B392" s="29" t="inlineStr">
        <is>
          <t>P0034</t>
        </is>
      </c>
      <c r="C392" s="29" t="inlineStr">
        <is>
          <t>PLUG STRAIGHT WHITE</t>
        </is>
      </c>
      <c r="D392" s="29" t="inlineStr">
        <is>
          <t>Пооджувачи та адаптери</t>
        </is>
      </c>
      <c r="E392" s="28" t="inlineStr">
        <is>
          <t>PC</t>
        </is>
      </c>
      <c r="F392" s="93" t="n">
        <v>0.506</v>
      </c>
      <c r="G392" s="30" t="n">
        <v>8536699099</v>
      </c>
      <c r="H392" s="31" t="n">
        <v>1.35</v>
      </c>
      <c r="I392" s="84">
        <f>IFERROR(F392*Settings!$B$2*H392*IF(AND(ISNUMBER(E392),E392&gt;1),E392,1),"")</f>
        <v/>
      </c>
      <c r="J392" s="32">
        <f>Settings!$B$66</f>
        <v/>
      </c>
      <c r="K392" s="95">
        <f>IFERROR(IF(T392="","",(T392*(1-AN392)*(1-Settings!$B$17)-I392)/(T392*(1-AN392)*(1-Settings!$B$17))),"")</f>
        <v/>
      </c>
      <c r="L392" s="101">
        <f>IFERROR(IF(T392="","",(T392*(1-AO392)*(1-Settings!$C$17)-I392)/(T392*(1-AO392)*(1-Settings!$C$17))),"")</f>
        <v/>
      </c>
      <c r="M392" s="101">
        <f>IFERROR(IF(T392="","",(T392*(1-AP392)*(1-Settings!$D$17)-I392)/(T392*(1-AP392)*(1-Settings!$D$17))),"")</f>
        <v/>
      </c>
      <c r="N392" s="101">
        <f>IFERROR(IF(T392="","",(T392*(1-AQ392)*(1-Settings!$F$17)-I392)/(T392*(1-AQ392)*(1-Settings!$F$17))),"")</f>
        <v/>
      </c>
      <c r="O392" s="101">
        <f>IFERROR(IF(T392="","",(T392*(1-AR392)*(1-Settings!$G$17)-I392)/(T392*(1-AR392)*(1-Settings!$G$17))),"")</f>
        <v/>
      </c>
      <c r="P392" s="101">
        <f>IFERROR(IF(T392="","",(T392*(1-AS392)*(1-Settings!$H$17)-I392)/(T392*(1-AS392)*(1-Settings!$H$17))),"")</f>
        <v/>
      </c>
      <c r="Q392" s="101">
        <f>IFERROR(IF(T392="","",(T392*(1-AT392)*(1-Settings!$I$68)*(1-Settings!$I$17)-I392)/(T392*(1-AT392)*(1-Settings!$I$68)*(1-Settings!$I$17))),"")</f>
        <v/>
      </c>
      <c r="R392" s="91">
        <f>IFERROR(IF(OR(I392="",Z392&gt;=1,Settings!$B$17&gt;=1,AN392&gt;=1),"",IF(MOD(ROUND(I392/(1-Z392)/(1-Settings!$B$17)/(1-AN392),0),10)=0,ROUND(I392/(1-Z392)/(1-Settings!$B$17)/(1-AN392),0)-1,IF(MOD(ROUND(I392/(1-Z392)/(1-Settings!$B$17)/(1-AN392),0),10)&lt;=5,FLOOR(ROUND(I392/(1-Z392)/(1-Settings!$B$17)/(1-AN392),0),10)+6,FLOOR(ROUND(I392/(1-Z392)/(1-Settings!$B$17)/(1-AN392),0),10)+9))),"")</f>
        <v/>
      </c>
      <c r="S392" s="174" t="n"/>
      <c r="T392" s="91">
        <f>IF(S392&lt;&gt;"", IF(MOD(S392,10)=0,S392-1,IF(MOD(S392,10)&lt;=5,FLOOR(S392,10)+6,FLOOR(S392,10)+9)), R392)</f>
        <v/>
      </c>
      <c r="U392" s="87" t="inlineStr">
        <is>
          <t>Маржинальний</t>
        </is>
      </c>
      <c r="V392" s="88" t="n"/>
      <c r="W392" s="88" t="n"/>
      <c r="X392" s="89">
        <f>IFERROR(IF(OR(V392="",W392="",T392=""),"", IF(T392&gt;W392,"Дорогий",IF(T392&lt;V392,"Дешевий","У ринку"))),"")</f>
        <v/>
      </c>
      <c r="Y392" s="90" t="n"/>
      <c r="Z392" s="104">
        <f>CHOOSE(MATCH(IF($U392="","Основний",$U392),{"Трафіковий","Основний","Маржинальний","Сезонний","Стратегічний"},0),0.16,0.19,0.24,0.23,0.28)</f>
        <v/>
      </c>
      <c r="AA392" s="104">
        <f>CHOOSE(MATCH(IF($U392="","Основний",$U392),{"Трафіковий","Основний","Маржинальний","Сезонний","Стратегічний"},0),0.18,0.21,0.26,0.25,0.3)</f>
        <v/>
      </c>
      <c r="AB392" s="104">
        <f>CHOOSE(MATCH(IF($U392="","Основний",$U392),{"Трафіковий","Основний","Маржинальний","Сезонний","Стратегічний"},0),0.19,0.22,0.28,0.26,0.32)</f>
        <v/>
      </c>
      <c r="AC392" s="104">
        <f>CHOOSE(MATCH(IF($U392="","Основний",$U392),{"Трафіковий","Основний","Маржинальний","Сезонний","Стратегічний"},0),0.17,0.2,0.25,0.24,0.28)</f>
        <v/>
      </c>
      <c r="AD392" s="104">
        <f>CHOOSE(MATCH(IF($U392="","Основний",$U392),{"Трафіковий","Основний","Маржинальний","Сезонний","Стратегічний"},0),0.18,0.21,0.26,0.25,0.3)</f>
        <v/>
      </c>
      <c r="AE392" s="104">
        <f>CHOOSE(MATCH(IF($U392="","Основний",$U392),{"Трафіковий","Основний","Маржинальний","Сезонний","Стратегічний"},0),0.18,0.2,0.28,0.27,0.32)</f>
        <v/>
      </c>
      <c r="AF392" s="104">
        <f>CHOOSE(MATCH(IF($U392="","Основний",$U392),{"Трафіковий","Основний","Маржинальний","Сезонний","Стратегічний"},0),0.15,0.175,0.22,0.21,0.25)</f>
        <v/>
      </c>
      <c r="AG392" s="104">
        <f>CHOOSE(MATCH(IF($U392="","Основний",$U392),{"Трафіковий","Основний","Маржинальний","Сезонний","Стратегічний"},0),0.13,0.16,0.21,0.2,0.25)</f>
        <v/>
      </c>
      <c r="AH392" s="104">
        <f>CHOOSE(MATCH(IF($U392="","Основний",$U392),{"Трафіковий","Основний","Маржинальний","Сезонний","Стратегічний"},0),0.15,0.18,0.23,0.22,0.27)</f>
        <v/>
      </c>
      <c r="AI392" s="104">
        <f>CHOOSE(MATCH(IF($U392="","Основний",$U392),{"Трафіковий","Основний","Маржинальний","Сезонний","Стратегічний"},0),0.16,0.19,0.25,0.23,0.29)</f>
        <v/>
      </c>
      <c r="AJ392" s="104">
        <f>CHOOSE(MATCH(IF($U392="","Основний",$U392),{"Трафіковий","Основний","Маржинальний","Сезонний","Стратегічний"},0),0.14,0.17,0.22,0.21,0.25)</f>
        <v/>
      </c>
      <c r="AK392" s="104">
        <f>CHOOSE(MATCH(IF($U392="","Основний",$U392),{"Трафіковий","Основний","Маржинальний","Сезонний","Стратегічний"},0),0.15,0.18,0.23,0.22,0.27)</f>
        <v/>
      </c>
      <c r="AL392" s="104">
        <f>CHOOSE(MATCH(IF($U392="","Основний",$U392),{"Трафіковий","Основний","Маржинальний","Сезонний","Стратегічний"},0),0.15,0.17,0.25,0.24,0.29)</f>
        <v/>
      </c>
      <c r="AM392" s="104">
        <f>CHOOSE(MATCH(IF($U392="","Основний",$U392),{"Трафіковий","Основний","Маржинальний","Сезонний","Стратегічний"},0),0.12,0.145,0.19,0.18,0.22)</f>
        <v/>
      </c>
      <c r="AN392" s="157">
        <f>CHOOSE(MATCH(IF($U392="","Основний",$U392),{"Трафіковий","Основний","Маржинальний","Сезонний","Стратегічний"},0),Settings!$B$78,Settings!$B$80,Settings!$B$82,Settings!$B$84,Settings!$B$86)</f>
        <v/>
      </c>
      <c r="AO392" s="157">
        <f>CHOOSE(MATCH(IF($U392="","Основний",$U392),{"Трафіковий","Основний","Маржинальний","Сезонний","Стратегічний"},0),Settings!$C$78,Settings!$C$80,Settings!$C$82,Settings!$C$84,Settings!$C$86)</f>
        <v/>
      </c>
      <c r="AP392" s="157">
        <f>CHOOSE(MATCH(IF($U392="","Основний",$U392),{"Трафіковий","Основний","Маржинальний","Сезонний","Стратегічний"},0),Settings!$D$78,Settings!$D$80,Settings!$D$82,Settings!$D$84,Settings!$D$86)</f>
        <v/>
      </c>
      <c r="AQ392" s="157">
        <f>CHOOSE(MATCH(IF($U392="","Основний",$U392),{"Трафіковий","Основний","Маржинальний","Сезонний","Стратегічний"},0),Settings!$F$78,Settings!$F$80,Settings!$F$82,Settings!$F$84,Settings!$F$86)</f>
        <v/>
      </c>
      <c r="AR392" s="157">
        <f>CHOOSE(MATCH(IF($U392="","Основний",$U392),{"Трафіковий","Основний","Маржинальний","Сезонний","Стратегічний"},0),Settings!$G$78,Settings!$G$80,Settings!$G$82,Settings!$G$84,Settings!$G$86)</f>
        <v/>
      </c>
      <c r="AS392" s="157">
        <f>CHOOSE(MATCH(IF($U392="","Основний",$U392),{"Трафіковий","Основний","Маржинальний","Сезонний","Стратегічний"},0),Settings!$H$78,Settings!$H$80,Settings!$H$82,Settings!$H$84,Settings!$H$86)</f>
        <v/>
      </c>
      <c r="AT392" s="157">
        <f>CHOOSE(MATCH(IF($U392="","Основний",$U392),{"Трафіковий","Основний","Маржинальний","Сезонний","Стратегічний"},0),Settings!$I$78,Settings!$I$80,Settings!$I$82,Settings!$I$84,Settings!$I$86)</f>
        <v/>
      </c>
      <c r="AU392" s="171" t="n"/>
      <c r="AV392" t="n">
        <v>1.35</v>
      </c>
    </row>
    <row r="393">
      <c r="A393" s="33" t="n"/>
      <c r="B393" s="34" t="inlineStr">
        <is>
          <t>P0050</t>
        </is>
      </c>
      <c r="C393" s="34" t="inlineStr">
        <is>
          <t>PLUG RUBBER IP44 BLACK</t>
        </is>
      </c>
      <c r="D393" s="34" t="inlineStr">
        <is>
          <t>Пооджувачи та адаптери</t>
        </is>
      </c>
      <c r="E393" s="33" t="inlineStr">
        <is>
          <t>PC</t>
        </is>
      </c>
      <c r="F393" s="94" t="n">
        <v>1.025</v>
      </c>
      <c r="G393" s="35" t="n">
        <v>8536699099</v>
      </c>
      <c r="H393" s="31" t="n">
        <v>1.35</v>
      </c>
      <c r="I393" s="84">
        <f>IFERROR(F393*Settings!$B$2*H393*IF(AND(ISNUMBER(E393),E393&gt;1),E393,1),"")</f>
        <v/>
      </c>
      <c r="J393" s="32">
        <f>Settings!$B$66</f>
        <v/>
      </c>
      <c r="K393" s="95">
        <f>IFERROR(IF(T393="","",(T393*(1-AN393)*(1-Settings!$B$17)-I393)/(T393*(1-AN393)*(1-Settings!$B$17))),"")</f>
        <v/>
      </c>
      <c r="L393" s="101">
        <f>IFERROR(IF(T393="","",(T393*(1-AO393)*(1-Settings!$C$17)-I393)/(T393*(1-AO393)*(1-Settings!$C$17))),"")</f>
        <v/>
      </c>
      <c r="M393" s="101">
        <f>IFERROR(IF(T393="","",(T393*(1-AP393)*(1-Settings!$D$17)-I393)/(T393*(1-AP393)*(1-Settings!$D$17))),"")</f>
        <v/>
      </c>
      <c r="N393" s="101">
        <f>IFERROR(IF(T393="","",(T393*(1-AQ393)*(1-Settings!$F$17)-I393)/(T393*(1-AQ393)*(1-Settings!$F$17))),"")</f>
        <v/>
      </c>
      <c r="O393" s="101">
        <f>IFERROR(IF(T393="","",(T393*(1-AR393)*(1-Settings!$G$17)-I393)/(T393*(1-AR393)*(1-Settings!$G$17))),"")</f>
        <v/>
      </c>
      <c r="P393" s="101">
        <f>IFERROR(IF(T393="","",(T393*(1-AS393)*(1-Settings!$H$17)-I393)/(T393*(1-AS393)*(1-Settings!$H$17))),"")</f>
        <v/>
      </c>
      <c r="Q393" s="101">
        <f>IFERROR(IF(T393="","",(T393*(1-AT393)*(1-Settings!$I$68)*(1-Settings!$I$17)-I393)/(T393*(1-AT393)*(1-Settings!$I$68)*(1-Settings!$I$17))),"")</f>
        <v/>
      </c>
      <c r="R393" s="91">
        <f>IFERROR(IF(OR(I393="",Z393&gt;=1,Settings!$B$17&gt;=1,AN393&gt;=1),"",IF(MOD(ROUND(I393/(1-Z393)/(1-Settings!$B$17)/(1-AN393),0),10)=0,ROUND(I393/(1-Z393)/(1-Settings!$B$17)/(1-AN393),0)-1,IF(MOD(ROUND(I393/(1-Z393)/(1-Settings!$B$17)/(1-AN393),0),10)&lt;=5,FLOOR(ROUND(I393/(1-Z393)/(1-Settings!$B$17)/(1-AN393),0),10)+6,FLOOR(ROUND(I393/(1-Z393)/(1-Settings!$B$17)/(1-AN393),0),10)+9))),"")</f>
        <v/>
      </c>
      <c r="S393" s="174" t="n"/>
      <c r="T393" s="91">
        <f>IF(S393&lt;&gt;"", IF(MOD(S393,10)=0,S393-1,IF(MOD(S393,10)&lt;=5,FLOOR(S393,10)+6,FLOOR(S393,10)+9)), R393)</f>
        <v/>
      </c>
      <c r="U393" s="87" t="inlineStr">
        <is>
          <t>Основний</t>
        </is>
      </c>
      <c r="V393" s="88" t="n"/>
      <c r="W393" s="88" t="n"/>
      <c r="X393" s="89">
        <f>IFERROR(IF(OR(V393="",W393="",T393=""),"", IF(T393&gt;W393,"Дорогий",IF(T393&lt;V393,"Дешевий","У ринку"))),"")</f>
        <v/>
      </c>
      <c r="Y393" s="90" t="n"/>
      <c r="Z393" s="104">
        <f>CHOOSE(MATCH(IF($U393="","Основний",$U393),{"Трафіковий","Основний","Маржинальний","Сезонний","Стратегічний"},0),0.16,0.19,0.24,0.23,0.28)</f>
        <v/>
      </c>
      <c r="AA393" s="104">
        <f>CHOOSE(MATCH(IF($U393="","Основний",$U393),{"Трафіковий","Основний","Маржинальний","Сезонний","Стратегічний"},0),0.18,0.21,0.26,0.25,0.3)</f>
        <v/>
      </c>
      <c r="AB393" s="104">
        <f>CHOOSE(MATCH(IF($U393="","Основний",$U393),{"Трафіковий","Основний","Маржинальний","Сезонний","Стратегічний"},0),0.19,0.22,0.28,0.26,0.32)</f>
        <v/>
      </c>
      <c r="AC393" s="104">
        <f>CHOOSE(MATCH(IF($U393="","Основний",$U393),{"Трафіковий","Основний","Маржинальний","Сезонний","Стратегічний"},0),0.17,0.2,0.25,0.24,0.28)</f>
        <v/>
      </c>
      <c r="AD393" s="104">
        <f>CHOOSE(MATCH(IF($U393="","Основний",$U393),{"Трафіковий","Основний","Маржинальний","Сезонний","Стратегічний"},0),0.18,0.21,0.26,0.25,0.3)</f>
        <v/>
      </c>
      <c r="AE393" s="104">
        <f>CHOOSE(MATCH(IF($U393="","Основний",$U393),{"Трафіковий","Основний","Маржинальний","Сезонний","Стратегічний"},0),0.18,0.2,0.28,0.27,0.32)</f>
        <v/>
      </c>
      <c r="AF393" s="104">
        <f>CHOOSE(MATCH(IF($U393="","Основний",$U393),{"Трафіковий","Основний","Маржинальний","Сезонний","Стратегічний"},0),0.15,0.175,0.22,0.21,0.25)</f>
        <v/>
      </c>
      <c r="AG393" s="104">
        <f>CHOOSE(MATCH(IF($U393="","Основний",$U393),{"Трафіковий","Основний","Маржинальний","Сезонний","Стратегічний"},0),0.13,0.16,0.21,0.2,0.25)</f>
        <v/>
      </c>
      <c r="AH393" s="104">
        <f>CHOOSE(MATCH(IF($U393="","Основний",$U393),{"Трафіковий","Основний","Маржинальний","Сезонний","Стратегічний"},0),0.15,0.18,0.23,0.22,0.27)</f>
        <v/>
      </c>
      <c r="AI393" s="104">
        <f>CHOOSE(MATCH(IF($U393="","Основний",$U393),{"Трафіковий","Основний","Маржинальний","Сезонний","Стратегічний"},0),0.16,0.19,0.25,0.23,0.29)</f>
        <v/>
      </c>
      <c r="AJ393" s="104">
        <f>CHOOSE(MATCH(IF($U393="","Основний",$U393),{"Трафіковий","Основний","Маржинальний","Сезонний","Стратегічний"},0),0.14,0.17,0.22,0.21,0.25)</f>
        <v/>
      </c>
      <c r="AK393" s="104">
        <f>CHOOSE(MATCH(IF($U393="","Основний",$U393),{"Трафіковий","Основний","Маржинальний","Сезонний","Стратегічний"},0),0.15,0.18,0.23,0.22,0.27)</f>
        <v/>
      </c>
      <c r="AL393" s="104">
        <f>CHOOSE(MATCH(IF($U393="","Основний",$U393),{"Трафіковий","Основний","Маржинальний","Сезонний","Стратегічний"},0),0.15,0.17,0.25,0.24,0.29)</f>
        <v/>
      </c>
      <c r="AM393" s="104">
        <f>CHOOSE(MATCH(IF($U393="","Основний",$U393),{"Трафіковий","Основний","Маржинальний","Сезонний","Стратегічний"},0),0.12,0.145,0.19,0.18,0.22)</f>
        <v/>
      </c>
      <c r="AN393" s="157">
        <f>CHOOSE(MATCH(IF($U393="","Основний",$U393),{"Трафіковий","Основний","Маржинальний","Сезонний","Стратегічний"},0),Settings!$B$78,Settings!$B$80,Settings!$B$82,Settings!$B$84,Settings!$B$86)</f>
        <v/>
      </c>
      <c r="AO393" s="157">
        <f>CHOOSE(MATCH(IF($U393="","Основний",$U393),{"Трафіковий","Основний","Маржинальний","Сезонний","Стратегічний"},0),Settings!$C$78,Settings!$C$80,Settings!$C$82,Settings!$C$84,Settings!$C$86)</f>
        <v/>
      </c>
      <c r="AP393" s="157">
        <f>CHOOSE(MATCH(IF($U393="","Основний",$U393),{"Трафіковий","Основний","Маржинальний","Сезонний","Стратегічний"},0),Settings!$D$78,Settings!$D$80,Settings!$D$82,Settings!$D$84,Settings!$D$86)</f>
        <v/>
      </c>
      <c r="AQ393" s="157">
        <f>CHOOSE(MATCH(IF($U393="","Основний",$U393),{"Трафіковий","Основний","Маржинальний","Сезонний","Стратегічний"},0),Settings!$F$78,Settings!$F$80,Settings!$F$82,Settings!$F$84,Settings!$F$86)</f>
        <v/>
      </c>
      <c r="AR393" s="157">
        <f>CHOOSE(MATCH(IF($U393="","Основний",$U393),{"Трафіковий","Основний","Маржинальний","Сезонний","Стратегічний"},0),Settings!$G$78,Settings!$G$80,Settings!$G$82,Settings!$G$84,Settings!$G$86)</f>
        <v/>
      </c>
      <c r="AS393" s="157">
        <f>CHOOSE(MATCH(IF($U393="","Основний",$U393),{"Трафіковий","Основний","Маржинальний","Сезонний","Стратегічний"},0),Settings!$H$78,Settings!$H$80,Settings!$H$82,Settings!$H$84,Settings!$H$86)</f>
        <v/>
      </c>
      <c r="AT393" s="157">
        <f>CHOOSE(MATCH(IF($U393="","Основний",$U393),{"Трафіковий","Основний","Маржинальний","Сезонний","Стратегічний"},0),Settings!$I$78,Settings!$I$80,Settings!$I$82,Settings!$I$84,Settings!$I$86)</f>
        <v/>
      </c>
      <c r="AU393" s="171" t="n"/>
      <c r="AV393" t="n">
        <v>1.35</v>
      </c>
    </row>
    <row r="394">
      <c r="A394" s="28" t="n"/>
      <c r="B394" s="29" t="inlineStr">
        <is>
          <t>P0068</t>
        </is>
      </c>
      <c r="C394" s="29" t="inlineStr">
        <is>
          <t>REMOTE CONTROL SOCKETS SCHUKO IP44</t>
        </is>
      </c>
      <c r="D394" s="29" t="inlineStr">
        <is>
          <t>Пооджувачи та адаптери</t>
        </is>
      </c>
      <c r="E394" s="28" t="inlineStr">
        <is>
          <t>PC</t>
        </is>
      </c>
      <c r="F394" s="93" t="n">
        <v>11.974</v>
      </c>
      <c r="G394" s="30" t="n">
        <v>8536508000</v>
      </c>
      <c r="H394" s="31" t="n">
        <v>1.3</v>
      </c>
      <c r="I394" s="84">
        <f>IFERROR(F394*Settings!$B$2*H394*IF(AND(ISNUMBER(E394),E394&gt;1),E394,1),"")</f>
        <v/>
      </c>
      <c r="J394" s="32">
        <f>Settings!$B$66</f>
        <v/>
      </c>
      <c r="K394" s="95">
        <f>IFERROR(IF(T394="","",(T394*(1-AN394)*(1-Settings!$B$17)-I394)/(T394*(1-AN394)*(1-Settings!$B$17))),"")</f>
        <v/>
      </c>
      <c r="L394" s="101">
        <f>IFERROR(IF(T394="","",(T394*(1-AO394)*(1-Settings!$C$17)-I394)/(T394*(1-AO394)*(1-Settings!$C$17))),"")</f>
        <v/>
      </c>
      <c r="M394" s="101">
        <f>IFERROR(IF(T394="","",(T394*(1-AP394)*(1-Settings!$D$17)-I394)/(T394*(1-AP394)*(1-Settings!$D$17))),"")</f>
        <v/>
      </c>
      <c r="N394" s="101">
        <f>IFERROR(IF(T394="","",(T394*(1-AQ394)*(1-Settings!$F$17)-I394)/(T394*(1-AQ394)*(1-Settings!$F$17))),"")</f>
        <v/>
      </c>
      <c r="O394" s="101">
        <f>IFERROR(IF(T394="","",(T394*(1-AR394)*(1-Settings!$G$17)-I394)/(T394*(1-AR394)*(1-Settings!$G$17))),"")</f>
        <v/>
      </c>
      <c r="P394" s="101">
        <f>IFERROR(IF(T394="","",(T394*(1-AS394)*(1-Settings!$H$17)-I394)/(T394*(1-AS394)*(1-Settings!$H$17))),"")</f>
        <v/>
      </c>
      <c r="Q394" s="101">
        <f>IFERROR(IF(T394="","",(T394*(1-AT394)*(1-Settings!$I$68)*(1-Settings!$I$17)-I394)/(T394*(1-AT394)*(1-Settings!$I$68)*(1-Settings!$I$17))),"")</f>
        <v/>
      </c>
      <c r="R394" s="91">
        <f>IFERROR(IF(OR(I394="",Z394&gt;=1,Settings!$B$17&gt;=1,AN394&gt;=1),"",IF(MOD(ROUND(I394/(1-Z394)/(1-Settings!$B$17)/(1-AN394),0),10)=0,ROUND(I394/(1-Z394)/(1-Settings!$B$17)/(1-AN394),0)-1,IF(MOD(ROUND(I394/(1-Z394)/(1-Settings!$B$17)/(1-AN394),0),10)&lt;=5,FLOOR(ROUND(I394/(1-Z394)/(1-Settings!$B$17)/(1-AN394),0),10)+6,FLOOR(ROUND(I394/(1-Z394)/(1-Settings!$B$17)/(1-AN394),0),10)+9))),"")</f>
        <v/>
      </c>
      <c r="S394" s="174" t="n"/>
      <c r="T394" s="91">
        <f>IF(S394&lt;&gt;"", IF(MOD(S394,10)=0,S394-1,IF(MOD(S394,10)&lt;=5,FLOOR(S394,10)+6,FLOOR(S394,10)+9)), R394)</f>
        <v/>
      </c>
      <c r="U394" s="87" t="inlineStr">
        <is>
          <t>Трафіковий</t>
        </is>
      </c>
      <c r="V394" s="88" t="n"/>
      <c r="W394" s="88" t="n"/>
      <c r="X394" s="89">
        <f>IFERROR(IF(OR(V394="",W394="",T394=""),"", IF(T394&gt;W394,"Дорогий",IF(T394&lt;V394,"Дешевий","У ринку"))),"")</f>
        <v/>
      </c>
      <c r="Y394" s="90" t="n"/>
      <c r="Z394" s="104">
        <f>CHOOSE(MATCH(IF($U394="","Основний",$U394),{"Трафіковий","Основний","Маржинальний","Сезонний","Стратегічний"},0),0.16,0.19,0.24,0.23,0.28)</f>
        <v/>
      </c>
      <c r="AA394" s="104">
        <f>CHOOSE(MATCH(IF($U394="","Основний",$U394),{"Трафіковий","Основний","Маржинальний","Сезонний","Стратегічний"},0),0.18,0.21,0.26,0.25,0.3)</f>
        <v/>
      </c>
      <c r="AB394" s="104">
        <f>CHOOSE(MATCH(IF($U394="","Основний",$U394),{"Трафіковий","Основний","Маржинальний","Сезонний","Стратегічний"},0),0.19,0.22,0.28,0.26,0.32)</f>
        <v/>
      </c>
      <c r="AC394" s="104">
        <f>CHOOSE(MATCH(IF($U394="","Основний",$U394),{"Трафіковий","Основний","Маржинальний","Сезонний","Стратегічний"},0),0.17,0.2,0.25,0.24,0.28)</f>
        <v/>
      </c>
      <c r="AD394" s="104">
        <f>CHOOSE(MATCH(IF($U394="","Основний",$U394),{"Трафіковий","Основний","Маржинальний","Сезонний","Стратегічний"},0),0.18,0.21,0.26,0.25,0.3)</f>
        <v/>
      </c>
      <c r="AE394" s="104">
        <f>CHOOSE(MATCH(IF($U394="","Основний",$U394),{"Трафіковий","Основний","Маржинальний","Сезонний","Стратегічний"},0),0.18,0.2,0.28,0.27,0.32)</f>
        <v/>
      </c>
      <c r="AF394" s="104">
        <f>CHOOSE(MATCH(IF($U394="","Основний",$U394),{"Трафіковий","Основний","Маржинальний","Сезонний","Стратегічний"},0),0.15,0.175,0.22,0.21,0.25)</f>
        <v/>
      </c>
      <c r="AG394" s="104">
        <f>CHOOSE(MATCH(IF($U394="","Основний",$U394),{"Трафіковий","Основний","Маржинальний","Сезонний","Стратегічний"},0),0.13,0.16,0.21,0.2,0.25)</f>
        <v/>
      </c>
      <c r="AH394" s="104">
        <f>CHOOSE(MATCH(IF($U394="","Основний",$U394),{"Трафіковий","Основний","Маржинальний","Сезонний","Стратегічний"},0),0.15,0.18,0.23,0.22,0.27)</f>
        <v/>
      </c>
      <c r="AI394" s="104">
        <f>CHOOSE(MATCH(IF($U394="","Основний",$U394),{"Трафіковий","Основний","Маржинальний","Сезонний","Стратегічний"},0),0.16,0.19,0.25,0.23,0.29)</f>
        <v/>
      </c>
      <c r="AJ394" s="104">
        <f>CHOOSE(MATCH(IF($U394="","Основний",$U394),{"Трафіковий","Основний","Маржинальний","Сезонний","Стратегічний"},0),0.14,0.17,0.22,0.21,0.25)</f>
        <v/>
      </c>
      <c r="AK394" s="104">
        <f>CHOOSE(MATCH(IF($U394="","Основний",$U394),{"Трафіковий","Основний","Маржинальний","Сезонний","Стратегічний"},0),0.15,0.18,0.23,0.22,0.27)</f>
        <v/>
      </c>
      <c r="AL394" s="104">
        <f>CHOOSE(MATCH(IF($U394="","Основний",$U394),{"Трафіковий","Основний","Маржинальний","Сезонний","Стратегічний"},0),0.15,0.17,0.25,0.24,0.29)</f>
        <v/>
      </c>
      <c r="AM394" s="104">
        <f>CHOOSE(MATCH(IF($U394="","Основний",$U394),{"Трафіковий","Основний","Маржинальний","Сезонний","Стратегічний"},0),0.12,0.145,0.19,0.18,0.22)</f>
        <v/>
      </c>
      <c r="AN394" s="157">
        <f>CHOOSE(MATCH(IF($U394="","Основний",$U394),{"Трафіковий","Основний","Маржинальний","Сезонний","Стратегічний"},0),Settings!$B$78,Settings!$B$80,Settings!$B$82,Settings!$B$84,Settings!$B$86)</f>
        <v/>
      </c>
      <c r="AO394" s="157">
        <f>CHOOSE(MATCH(IF($U394="","Основний",$U394),{"Трафіковий","Основний","Маржинальний","Сезонний","Стратегічний"},0),Settings!$C$78,Settings!$C$80,Settings!$C$82,Settings!$C$84,Settings!$C$86)</f>
        <v/>
      </c>
      <c r="AP394" s="157">
        <f>CHOOSE(MATCH(IF($U394="","Основний",$U394),{"Трафіковий","Основний","Маржинальний","Сезонний","Стратегічний"},0),Settings!$D$78,Settings!$D$80,Settings!$D$82,Settings!$D$84,Settings!$D$86)</f>
        <v/>
      </c>
      <c r="AQ394" s="157">
        <f>CHOOSE(MATCH(IF($U394="","Основний",$U394),{"Трафіковий","Основний","Маржинальний","Сезонний","Стратегічний"},0),Settings!$F$78,Settings!$F$80,Settings!$F$82,Settings!$F$84,Settings!$F$86)</f>
        <v/>
      </c>
      <c r="AR394" s="157">
        <f>CHOOSE(MATCH(IF($U394="","Основний",$U394),{"Трафіковий","Основний","Маржинальний","Сезонний","Стратегічний"},0),Settings!$G$78,Settings!$G$80,Settings!$G$82,Settings!$G$84,Settings!$G$86)</f>
        <v/>
      </c>
      <c r="AS394" s="157">
        <f>CHOOSE(MATCH(IF($U394="","Основний",$U394),{"Трафіковий","Основний","Маржинальний","Сезонний","Стратегічний"},0),Settings!$H$78,Settings!$H$80,Settings!$H$82,Settings!$H$84,Settings!$H$86)</f>
        <v/>
      </c>
      <c r="AT394" s="157">
        <f>CHOOSE(MATCH(IF($U394="","Основний",$U394),{"Трафіковий","Основний","Маржинальний","Сезонний","Стратегічний"},0),Settings!$I$78,Settings!$I$80,Settings!$I$82,Settings!$I$84,Settings!$I$86)</f>
        <v/>
      </c>
      <c r="AU394" s="171" t="n"/>
      <c r="AV394" t="n">
        <v>1.35</v>
      </c>
    </row>
    <row r="395">
      <c r="A395" s="33" t="n"/>
      <c r="B395" s="34" t="inlineStr">
        <is>
          <t>P0069</t>
        </is>
      </c>
      <c r="C395" s="34" t="inlineStr">
        <is>
          <t>REMOTE CONTROL SOCKETS SCHUKO</t>
        </is>
      </c>
      <c r="D395" s="34" t="inlineStr">
        <is>
          <t>Пооджувачи та адаптери</t>
        </is>
      </c>
      <c r="E395" s="33" t="inlineStr">
        <is>
          <t>PC</t>
        </is>
      </c>
      <c r="F395" s="94" t="n">
        <v>10.007</v>
      </c>
      <c r="G395" s="35" t="n">
        <v>8536508000</v>
      </c>
      <c r="H395" s="31" t="n">
        <v>1.35</v>
      </c>
      <c r="I395" s="84">
        <f>IFERROR(F395*Settings!$B$2*H395*IF(AND(ISNUMBER(E395),E395&gt;1),E395,1),"")</f>
        <v/>
      </c>
      <c r="J395" s="32">
        <f>Settings!$B$66</f>
        <v/>
      </c>
      <c r="K395" s="95">
        <f>IFERROR(IF(T395="","",(T395*(1-AN395)*(1-Settings!$B$17)-I395)/(T395*(1-AN395)*(1-Settings!$B$17))),"")</f>
        <v/>
      </c>
      <c r="L395" s="101">
        <f>IFERROR(IF(T395="","",(T395*(1-AO395)*(1-Settings!$C$17)-I395)/(T395*(1-AO395)*(1-Settings!$C$17))),"")</f>
        <v/>
      </c>
      <c r="M395" s="101">
        <f>IFERROR(IF(T395="","",(T395*(1-AP395)*(1-Settings!$D$17)-I395)/(T395*(1-AP395)*(1-Settings!$D$17))),"")</f>
        <v/>
      </c>
      <c r="N395" s="101">
        <f>IFERROR(IF(T395="","",(T395*(1-AQ395)*(1-Settings!$F$17)-I395)/(T395*(1-AQ395)*(1-Settings!$F$17))),"")</f>
        <v/>
      </c>
      <c r="O395" s="101">
        <f>IFERROR(IF(T395="","",(T395*(1-AR395)*(1-Settings!$G$17)-I395)/(T395*(1-AR395)*(1-Settings!$G$17))),"")</f>
        <v/>
      </c>
      <c r="P395" s="101">
        <f>IFERROR(IF(T395="","",(T395*(1-AS395)*(1-Settings!$H$17)-I395)/(T395*(1-AS395)*(1-Settings!$H$17))),"")</f>
        <v/>
      </c>
      <c r="Q395" s="101">
        <f>IFERROR(IF(T395="","",(T395*(1-AT395)*(1-Settings!$I$68)*(1-Settings!$I$17)-I395)/(T395*(1-AT395)*(1-Settings!$I$68)*(1-Settings!$I$17))),"")</f>
        <v/>
      </c>
      <c r="R395" s="91">
        <f>IFERROR(IF(OR(I395="",Z395&gt;=1,Settings!$B$17&gt;=1,AN395&gt;=1),"",IF(MOD(ROUND(I395/(1-Z395)/(1-Settings!$B$17)/(1-AN395),0),10)=0,ROUND(I395/(1-Z395)/(1-Settings!$B$17)/(1-AN395),0)-1,IF(MOD(ROUND(I395/(1-Z395)/(1-Settings!$B$17)/(1-AN395),0),10)&lt;=5,FLOOR(ROUND(I395/(1-Z395)/(1-Settings!$B$17)/(1-AN395),0),10)+6,FLOOR(ROUND(I395/(1-Z395)/(1-Settings!$B$17)/(1-AN395),0),10)+9))),"")</f>
        <v/>
      </c>
      <c r="S395" s="174" t="n"/>
      <c r="T395" s="91">
        <f>IF(S395&lt;&gt;"", IF(MOD(S395,10)=0,S395-1,IF(MOD(S395,10)&lt;=5,FLOOR(S395,10)+6,FLOOR(S395,10)+9)), R395)</f>
        <v/>
      </c>
      <c r="U395" s="87" t="inlineStr">
        <is>
          <t>Трафіковий</t>
        </is>
      </c>
      <c r="V395" s="88" t="n"/>
      <c r="W395" s="88" t="n"/>
      <c r="X395" s="89">
        <f>IFERROR(IF(OR(V395="",W395="",T395=""),"", IF(T395&gt;W395,"Дорогий",IF(T395&lt;V395,"Дешевий","У ринку"))),"")</f>
        <v/>
      </c>
      <c r="Y395" s="90" t="n"/>
      <c r="Z395" s="104">
        <f>CHOOSE(MATCH(IF($U395="","Основний",$U395),{"Трафіковий","Основний","Маржинальний","Сезонний","Стратегічний"},0),0.16,0.19,0.24,0.23,0.28)</f>
        <v/>
      </c>
      <c r="AA395" s="104">
        <f>CHOOSE(MATCH(IF($U395="","Основний",$U395),{"Трафіковий","Основний","Маржинальний","Сезонний","Стратегічний"},0),0.18,0.21,0.26,0.25,0.3)</f>
        <v/>
      </c>
      <c r="AB395" s="104">
        <f>CHOOSE(MATCH(IF($U395="","Основний",$U395),{"Трафіковий","Основний","Маржинальний","Сезонний","Стратегічний"},0),0.19,0.22,0.28,0.26,0.32)</f>
        <v/>
      </c>
      <c r="AC395" s="104">
        <f>CHOOSE(MATCH(IF($U395="","Основний",$U395),{"Трафіковий","Основний","Маржинальний","Сезонний","Стратегічний"},0),0.17,0.2,0.25,0.24,0.28)</f>
        <v/>
      </c>
      <c r="AD395" s="104">
        <f>CHOOSE(MATCH(IF($U395="","Основний",$U395),{"Трафіковий","Основний","Маржинальний","Сезонний","Стратегічний"},0),0.18,0.21,0.26,0.25,0.3)</f>
        <v/>
      </c>
      <c r="AE395" s="104">
        <f>CHOOSE(MATCH(IF($U395="","Основний",$U395),{"Трафіковий","Основний","Маржинальний","Сезонний","Стратегічний"},0),0.18,0.2,0.28,0.27,0.32)</f>
        <v/>
      </c>
      <c r="AF395" s="104">
        <f>CHOOSE(MATCH(IF($U395="","Основний",$U395),{"Трафіковий","Основний","Маржинальний","Сезонний","Стратегічний"},0),0.15,0.175,0.22,0.21,0.25)</f>
        <v/>
      </c>
      <c r="AG395" s="104">
        <f>CHOOSE(MATCH(IF($U395="","Основний",$U395),{"Трафіковий","Основний","Маржинальний","Сезонний","Стратегічний"},0),0.13,0.16,0.21,0.2,0.25)</f>
        <v/>
      </c>
      <c r="AH395" s="104">
        <f>CHOOSE(MATCH(IF($U395="","Основний",$U395),{"Трафіковий","Основний","Маржинальний","Сезонний","Стратегічний"},0),0.15,0.18,0.23,0.22,0.27)</f>
        <v/>
      </c>
      <c r="AI395" s="104">
        <f>CHOOSE(MATCH(IF($U395="","Основний",$U395),{"Трафіковий","Основний","Маржинальний","Сезонний","Стратегічний"},0),0.16,0.19,0.25,0.23,0.29)</f>
        <v/>
      </c>
      <c r="AJ395" s="104">
        <f>CHOOSE(MATCH(IF($U395="","Основний",$U395),{"Трафіковий","Основний","Маржинальний","Сезонний","Стратегічний"},0),0.14,0.17,0.22,0.21,0.25)</f>
        <v/>
      </c>
      <c r="AK395" s="104">
        <f>CHOOSE(MATCH(IF($U395="","Основний",$U395),{"Трафіковий","Основний","Маржинальний","Сезонний","Стратегічний"},0),0.15,0.18,0.23,0.22,0.27)</f>
        <v/>
      </c>
      <c r="AL395" s="104">
        <f>CHOOSE(MATCH(IF($U395="","Основний",$U395),{"Трафіковий","Основний","Маржинальний","Сезонний","Стратегічний"},0),0.15,0.17,0.25,0.24,0.29)</f>
        <v/>
      </c>
      <c r="AM395" s="104">
        <f>CHOOSE(MATCH(IF($U395="","Основний",$U395),{"Трафіковий","Основний","Маржинальний","Сезонний","Стратегічний"},0),0.12,0.145,0.19,0.18,0.22)</f>
        <v/>
      </c>
      <c r="AN395" s="157">
        <f>CHOOSE(MATCH(IF($U395="","Основний",$U395),{"Трафіковий","Основний","Маржинальний","Сезонний","Стратегічний"},0),Settings!$B$78,Settings!$B$80,Settings!$B$82,Settings!$B$84,Settings!$B$86)</f>
        <v/>
      </c>
      <c r="AO395" s="157">
        <f>CHOOSE(MATCH(IF($U395="","Основний",$U395),{"Трафіковий","Основний","Маржинальний","Сезонний","Стратегічний"},0),Settings!$C$78,Settings!$C$80,Settings!$C$82,Settings!$C$84,Settings!$C$86)</f>
        <v/>
      </c>
      <c r="AP395" s="157">
        <f>CHOOSE(MATCH(IF($U395="","Основний",$U395),{"Трафіковий","Основний","Маржинальний","Сезонний","Стратегічний"},0),Settings!$D$78,Settings!$D$80,Settings!$D$82,Settings!$D$84,Settings!$D$86)</f>
        <v/>
      </c>
      <c r="AQ395" s="157">
        <f>CHOOSE(MATCH(IF($U395="","Основний",$U395),{"Трафіковий","Основний","Маржинальний","Сезонний","Стратегічний"},0),Settings!$F$78,Settings!$F$80,Settings!$F$82,Settings!$F$84,Settings!$F$86)</f>
        <v/>
      </c>
      <c r="AR395" s="157">
        <f>CHOOSE(MATCH(IF($U395="","Основний",$U395),{"Трафіковий","Основний","Маржинальний","Сезонний","Стратегічний"},0),Settings!$G$78,Settings!$G$80,Settings!$G$82,Settings!$G$84,Settings!$G$86)</f>
        <v/>
      </c>
      <c r="AS395" s="157">
        <f>CHOOSE(MATCH(IF($U395="","Основний",$U395),{"Трафіковий","Основний","Маржинальний","Сезонний","Стратегічний"},0),Settings!$H$78,Settings!$H$80,Settings!$H$82,Settings!$H$84,Settings!$H$86)</f>
        <v/>
      </c>
      <c r="AT395" s="157">
        <f>CHOOSE(MATCH(IF($U395="","Основний",$U395),{"Трафіковий","Основний","Маржинальний","Сезонний","Стратегічний"},0),Settings!$I$78,Settings!$I$80,Settings!$I$82,Settings!$I$84,Settings!$I$86)</f>
        <v/>
      </c>
      <c r="AU395" s="171" t="n"/>
      <c r="AV395" t="n">
        <v>1.35</v>
      </c>
    </row>
    <row r="396">
      <c r="A396" s="28" t="n"/>
      <c r="B396" s="29" t="inlineStr">
        <is>
          <t>P5822</t>
        </is>
      </c>
      <c r="C396" s="29" t="inlineStr">
        <is>
          <t>DIGITAL POWER METER P5822 - SCHUKO</t>
        </is>
      </c>
      <c r="D396" s="29" t="inlineStr">
        <is>
          <t>Пооджувачи та адаптери</t>
        </is>
      </c>
      <c r="E396" s="28" t="inlineStr">
        <is>
          <t>PC</t>
        </is>
      </c>
      <c r="F396" s="93" t="n">
        <v>7.304</v>
      </c>
      <c r="G396" s="30" t="n">
        <v>9028301100</v>
      </c>
      <c r="H396" s="31" t="n">
        <v>1.3</v>
      </c>
      <c r="I396" s="84">
        <f>IFERROR(F396*Settings!$B$2*H396*IF(AND(ISNUMBER(E396),E396&gt;1),E396,1),"")</f>
        <v/>
      </c>
      <c r="J396" s="32">
        <f>Settings!$B$66</f>
        <v/>
      </c>
      <c r="K396" s="95">
        <f>IFERROR(IF(T396="","",(T396*(1-AN396)*(1-Settings!$B$17)-I396)/(T396*(1-AN396)*(1-Settings!$B$17))),"")</f>
        <v/>
      </c>
      <c r="L396" s="101">
        <f>IFERROR(IF(T396="","",(T396*(1-AO396)*(1-Settings!$C$17)-I396)/(T396*(1-AO396)*(1-Settings!$C$17))),"")</f>
        <v/>
      </c>
      <c r="M396" s="101">
        <f>IFERROR(IF(T396="","",(T396*(1-AP396)*(1-Settings!$D$17)-I396)/(T396*(1-AP396)*(1-Settings!$D$17))),"")</f>
        <v/>
      </c>
      <c r="N396" s="101">
        <f>IFERROR(IF(T396="","",(T396*(1-AQ396)*(1-Settings!$F$17)-I396)/(T396*(1-AQ396)*(1-Settings!$F$17))),"")</f>
        <v/>
      </c>
      <c r="O396" s="101">
        <f>IFERROR(IF(T396="","",(T396*(1-AR396)*(1-Settings!$G$17)-I396)/(T396*(1-AR396)*(1-Settings!$G$17))),"")</f>
        <v/>
      </c>
      <c r="P396" s="101">
        <f>IFERROR(IF(T396="","",(T396*(1-AS396)*(1-Settings!$H$17)-I396)/(T396*(1-AS396)*(1-Settings!$H$17))),"")</f>
        <v/>
      </c>
      <c r="Q396" s="101">
        <f>IFERROR(IF(T396="","",(T396*(1-AT396)*(1-Settings!$I$68)*(1-Settings!$I$17)-I396)/(T396*(1-AT396)*(1-Settings!$I$68)*(1-Settings!$I$17))),"")</f>
        <v/>
      </c>
      <c r="R396" s="91">
        <f>IFERROR(IF(OR(I396="",Z396&gt;=1,Settings!$B$17&gt;=1,AN396&gt;=1),"",IF(MOD(ROUND(I396/(1-Z396)/(1-Settings!$B$17)/(1-AN396),0),10)=0,ROUND(I396/(1-Z396)/(1-Settings!$B$17)/(1-AN396),0)-1,IF(MOD(ROUND(I396/(1-Z396)/(1-Settings!$B$17)/(1-AN396),0),10)&lt;=5,FLOOR(ROUND(I396/(1-Z396)/(1-Settings!$B$17)/(1-AN396),0),10)+6,FLOOR(ROUND(I396/(1-Z396)/(1-Settings!$B$17)/(1-AN396),0),10)+9))),"")</f>
        <v/>
      </c>
      <c r="S396" s="174">
        <f>R396*0.95</f>
        <v/>
      </c>
      <c r="T396" s="91">
        <f>IF(S396&lt;&gt;"", IF(MOD(S396,10)=0,S396-1,IF(MOD(S396,10)&lt;=5,FLOOR(S396,10)+6,FLOOR(S396,10)+9)), R396)</f>
        <v/>
      </c>
      <c r="U396" s="87" t="inlineStr">
        <is>
          <t>Основний</t>
        </is>
      </c>
      <c r="V396" s="88" t="n"/>
      <c r="W396" s="88" t="n"/>
      <c r="X396" s="89">
        <f>IFERROR(IF(OR(V396="",W396="",T396=""),"", IF(T396&gt;W396,"Дорогий",IF(T396&lt;V396,"Дешевий","У ринку"))),"")</f>
        <v/>
      </c>
      <c r="Y396" s="90" t="n"/>
      <c r="Z396" s="104">
        <f>CHOOSE(MATCH(IF($U396="","Основний",$U396),{"Трафіковий","Основний","Маржинальний","Сезонний","Стратегічний"},0),0.16,0.19,0.24,0.23,0.28)</f>
        <v/>
      </c>
      <c r="AA396" s="104">
        <f>CHOOSE(MATCH(IF($U396="","Основний",$U396),{"Трафіковий","Основний","Маржинальний","Сезонний","Стратегічний"},0),0.18,0.21,0.26,0.25,0.3)</f>
        <v/>
      </c>
      <c r="AB396" s="104">
        <f>CHOOSE(MATCH(IF($U396="","Основний",$U396),{"Трафіковий","Основний","Маржинальний","Сезонний","Стратегічний"},0),0.19,0.22,0.28,0.26,0.32)</f>
        <v/>
      </c>
      <c r="AC396" s="104">
        <f>CHOOSE(MATCH(IF($U396="","Основний",$U396),{"Трафіковий","Основний","Маржинальний","Сезонний","Стратегічний"},0),0.17,0.2,0.25,0.24,0.28)</f>
        <v/>
      </c>
      <c r="AD396" s="104">
        <f>CHOOSE(MATCH(IF($U396="","Основний",$U396),{"Трафіковий","Основний","Маржинальний","Сезонний","Стратегічний"},0),0.18,0.21,0.26,0.25,0.3)</f>
        <v/>
      </c>
      <c r="AE396" s="104">
        <f>CHOOSE(MATCH(IF($U396="","Основний",$U396),{"Трафіковий","Основний","Маржинальний","Сезонний","Стратегічний"},0),0.18,0.2,0.28,0.27,0.32)</f>
        <v/>
      </c>
      <c r="AF396" s="104">
        <f>CHOOSE(MATCH(IF($U396="","Основний",$U396),{"Трафіковий","Основний","Маржинальний","Сезонний","Стратегічний"},0),0.15,0.175,0.22,0.21,0.25)</f>
        <v/>
      </c>
      <c r="AG396" s="104">
        <f>CHOOSE(MATCH(IF($U396="","Основний",$U396),{"Трафіковий","Основний","Маржинальний","Сезонний","Стратегічний"},0),0.13,0.16,0.21,0.2,0.25)</f>
        <v/>
      </c>
      <c r="AH396" s="104">
        <f>CHOOSE(MATCH(IF($U396="","Основний",$U396),{"Трафіковий","Основний","Маржинальний","Сезонний","Стратегічний"},0),0.15,0.18,0.23,0.22,0.27)</f>
        <v/>
      </c>
      <c r="AI396" s="104">
        <f>CHOOSE(MATCH(IF($U396="","Основний",$U396),{"Трафіковий","Основний","Маржинальний","Сезонний","Стратегічний"},0),0.16,0.19,0.25,0.23,0.29)</f>
        <v/>
      </c>
      <c r="AJ396" s="104">
        <f>CHOOSE(MATCH(IF($U396="","Основний",$U396),{"Трафіковий","Основний","Маржинальний","Сезонний","Стратегічний"},0),0.14,0.17,0.22,0.21,0.25)</f>
        <v/>
      </c>
      <c r="AK396" s="104">
        <f>CHOOSE(MATCH(IF($U396="","Основний",$U396),{"Трафіковий","Основний","Маржинальний","Сезонний","Стратегічний"},0),0.15,0.18,0.23,0.22,0.27)</f>
        <v/>
      </c>
      <c r="AL396" s="104">
        <f>CHOOSE(MATCH(IF($U396="","Основний",$U396),{"Трафіковий","Основний","Маржинальний","Сезонний","Стратегічний"},0),0.15,0.17,0.25,0.24,0.29)</f>
        <v/>
      </c>
      <c r="AM396" s="104">
        <f>CHOOSE(MATCH(IF($U396="","Основний",$U396),{"Трафіковий","Основний","Маржинальний","Сезонний","Стратегічний"},0),0.12,0.145,0.19,0.18,0.22)</f>
        <v/>
      </c>
      <c r="AN396" s="157">
        <f>CHOOSE(MATCH(IF($U396="","Основний",$U396),{"Трафіковий","Основний","Маржинальний","Сезонний","Стратегічний"},0),Settings!$B$78,Settings!$B$80,Settings!$B$82,Settings!$B$84,Settings!$B$86)</f>
        <v/>
      </c>
      <c r="AO396" s="157">
        <f>CHOOSE(MATCH(IF($U396="","Основний",$U396),{"Трафіковий","Основний","Маржинальний","Сезонний","Стратегічний"},0),Settings!$C$78,Settings!$C$80,Settings!$C$82,Settings!$C$84,Settings!$C$86)</f>
        <v/>
      </c>
      <c r="AP396" s="157">
        <f>CHOOSE(MATCH(IF($U396="","Основний",$U396),{"Трафіковий","Основний","Маржинальний","Сезонний","Стратегічний"},0),Settings!$D$78,Settings!$D$80,Settings!$D$82,Settings!$D$84,Settings!$D$86)</f>
        <v/>
      </c>
      <c r="AQ396" s="157">
        <f>CHOOSE(MATCH(IF($U396="","Основний",$U396),{"Трафіковий","Основний","Маржинальний","Сезонний","Стратегічний"},0),Settings!$F$78,Settings!$F$80,Settings!$F$82,Settings!$F$84,Settings!$F$86)</f>
        <v/>
      </c>
      <c r="AR396" s="157">
        <f>CHOOSE(MATCH(IF($U396="","Основний",$U396),{"Трафіковий","Основний","Маржинальний","Сезонний","Стратегічний"},0),Settings!$G$78,Settings!$G$80,Settings!$G$82,Settings!$G$84,Settings!$G$86)</f>
        <v/>
      </c>
      <c r="AS396" s="157">
        <f>CHOOSE(MATCH(IF($U396="","Основний",$U396),{"Трафіковий","Основний","Маржинальний","Сезонний","Стратегічний"},0),Settings!$H$78,Settings!$H$80,Settings!$H$82,Settings!$H$84,Settings!$H$86)</f>
        <v/>
      </c>
      <c r="AT396" s="157">
        <f>CHOOSE(MATCH(IF($U396="","Основний",$U396),{"Трафіковий","Основний","Маржинальний","Сезонний","Стратегічний"},0),Settings!$I$78,Settings!$I$80,Settings!$I$82,Settings!$I$84,Settings!$I$86)</f>
        <v/>
      </c>
      <c r="AU396" s="171" t="n"/>
      <c r="AV396" t="n">
        <v>1.35</v>
      </c>
    </row>
    <row r="397">
      <c r="A397" s="33" t="n"/>
      <c r="B397" s="34" t="inlineStr">
        <is>
          <t>P5522</t>
        </is>
      </c>
      <c r="C397" s="34" t="inlineStr">
        <is>
          <t>MECHANICAL TIMER P5522 SCHUKO</t>
        </is>
      </c>
      <c r="D397" s="34" t="inlineStr">
        <is>
          <t>Пооджувачи та адаптери</t>
        </is>
      </c>
      <c r="E397" s="33" t="inlineStr">
        <is>
          <t>PC</t>
        </is>
      </c>
      <c r="F397" s="94" t="n">
        <v>2.318</v>
      </c>
      <c r="G397" s="35" t="n">
        <v>8536909500</v>
      </c>
      <c r="H397" s="31" t="n">
        <v>1.3</v>
      </c>
      <c r="I397" s="84">
        <f>IFERROR(F397*Settings!$B$2*H397*IF(AND(ISNUMBER(E397),E397&gt;1),E397,1),"")</f>
        <v/>
      </c>
      <c r="J397" s="32">
        <f>Settings!$B$66</f>
        <v/>
      </c>
      <c r="K397" s="95">
        <f>IFERROR(IF(T397="","",(T397*(1-AN397)*(1-Settings!$B$17)-I397)/(T397*(1-AN397)*(1-Settings!$B$17))),"")</f>
        <v/>
      </c>
      <c r="L397" s="101">
        <f>IFERROR(IF(T397="","",(T397*(1-AO397)*(1-Settings!$C$17)-I397)/(T397*(1-AO397)*(1-Settings!$C$17))),"")</f>
        <v/>
      </c>
      <c r="M397" s="101">
        <f>IFERROR(IF(T397="","",(T397*(1-AP397)*(1-Settings!$D$17)-I397)/(T397*(1-AP397)*(1-Settings!$D$17))),"")</f>
        <v/>
      </c>
      <c r="N397" s="101">
        <f>IFERROR(IF(T397="","",(T397*(1-AQ397)*(1-Settings!$F$17)-I397)/(T397*(1-AQ397)*(1-Settings!$F$17))),"")</f>
        <v/>
      </c>
      <c r="O397" s="101">
        <f>IFERROR(IF(T397="","",(T397*(1-AR397)*(1-Settings!$G$17)-I397)/(T397*(1-AR397)*(1-Settings!$G$17))),"")</f>
        <v/>
      </c>
      <c r="P397" s="101">
        <f>IFERROR(IF(T397="","",(T397*(1-AS397)*(1-Settings!$H$17)-I397)/(T397*(1-AS397)*(1-Settings!$H$17))),"")</f>
        <v/>
      </c>
      <c r="Q397" s="101">
        <f>IFERROR(IF(T397="","",(T397*(1-AT397)*(1-Settings!$I$68)*(1-Settings!$I$17)-I397)/(T397*(1-AT397)*(1-Settings!$I$68)*(1-Settings!$I$17))),"")</f>
        <v/>
      </c>
      <c r="R397" s="91">
        <f>IFERROR(IF(OR(I397="",Z397&gt;=1,Settings!$B$17&gt;=1,AN397&gt;=1),"",IF(MOD(ROUND(I397/(1-Z397)/(1-Settings!$B$17)/(1-AN397),0),10)=0,ROUND(I397/(1-Z397)/(1-Settings!$B$17)/(1-AN397),0)-1,IF(MOD(ROUND(I397/(1-Z397)/(1-Settings!$B$17)/(1-AN397),0),10)&lt;=5,FLOOR(ROUND(I397/(1-Z397)/(1-Settings!$B$17)/(1-AN397),0),10)+6,FLOOR(ROUND(I397/(1-Z397)/(1-Settings!$B$17)/(1-AN397),0),10)+9))),"")</f>
        <v/>
      </c>
      <c r="S397" s="174">
        <f>R397*0.95</f>
        <v/>
      </c>
      <c r="T397" s="91">
        <f>IF(S397&lt;&gt;"", IF(MOD(S397,10)=0,S397-1,IF(MOD(S397,10)&lt;=5,FLOOR(S397,10)+6,FLOOR(S397,10)+9)), R397)</f>
        <v/>
      </c>
      <c r="U397" s="87" t="inlineStr">
        <is>
          <t>Основний</t>
        </is>
      </c>
      <c r="V397" s="88" t="n"/>
      <c r="W397" s="88" t="n"/>
      <c r="X397" s="89">
        <f>IFERROR(IF(OR(V397="",W397="",T397=""),"", IF(T397&gt;W397,"Дорогий",IF(T397&lt;V397,"Дешевий","У ринку"))),"")</f>
        <v/>
      </c>
      <c r="Y397" s="90" t="n"/>
      <c r="Z397" s="104">
        <f>CHOOSE(MATCH(IF($U397="","Основний",$U397),{"Трафіковий","Основний","Маржинальний","Сезонний","Стратегічний"},0),0.16,0.19,0.24,0.23,0.28)</f>
        <v/>
      </c>
      <c r="AA397" s="104">
        <f>CHOOSE(MATCH(IF($U397="","Основний",$U397),{"Трафіковий","Основний","Маржинальний","Сезонний","Стратегічний"},0),0.18,0.21,0.26,0.25,0.3)</f>
        <v/>
      </c>
      <c r="AB397" s="104">
        <f>CHOOSE(MATCH(IF($U397="","Основний",$U397),{"Трафіковий","Основний","Маржинальний","Сезонний","Стратегічний"},0),0.19,0.22,0.28,0.26,0.32)</f>
        <v/>
      </c>
      <c r="AC397" s="104">
        <f>CHOOSE(MATCH(IF($U397="","Основний",$U397),{"Трафіковий","Основний","Маржинальний","Сезонний","Стратегічний"},0),0.17,0.2,0.25,0.24,0.28)</f>
        <v/>
      </c>
      <c r="AD397" s="104">
        <f>CHOOSE(MATCH(IF($U397="","Основний",$U397),{"Трафіковий","Основний","Маржинальний","Сезонний","Стратегічний"},0),0.18,0.21,0.26,0.25,0.3)</f>
        <v/>
      </c>
      <c r="AE397" s="104">
        <f>CHOOSE(MATCH(IF($U397="","Основний",$U397),{"Трафіковий","Основний","Маржинальний","Сезонний","Стратегічний"},0),0.18,0.2,0.28,0.27,0.32)</f>
        <v/>
      </c>
      <c r="AF397" s="104">
        <f>CHOOSE(MATCH(IF($U397="","Основний",$U397),{"Трафіковий","Основний","Маржинальний","Сезонний","Стратегічний"},0),0.15,0.175,0.22,0.21,0.25)</f>
        <v/>
      </c>
      <c r="AG397" s="104">
        <f>CHOOSE(MATCH(IF($U397="","Основний",$U397),{"Трафіковий","Основний","Маржинальний","Сезонний","Стратегічний"},0),0.13,0.16,0.21,0.2,0.25)</f>
        <v/>
      </c>
      <c r="AH397" s="104">
        <f>CHOOSE(MATCH(IF($U397="","Основний",$U397),{"Трафіковий","Основний","Маржинальний","Сезонний","Стратегічний"},0),0.15,0.18,0.23,0.22,0.27)</f>
        <v/>
      </c>
      <c r="AI397" s="104">
        <f>CHOOSE(MATCH(IF($U397="","Основний",$U397),{"Трафіковий","Основний","Маржинальний","Сезонний","Стратегічний"},0),0.16,0.19,0.25,0.23,0.29)</f>
        <v/>
      </c>
      <c r="AJ397" s="104">
        <f>CHOOSE(MATCH(IF($U397="","Основний",$U397),{"Трафіковий","Основний","Маржинальний","Сезонний","Стратегічний"},0),0.14,0.17,0.22,0.21,0.25)</f>
        <v/>
      </c>
      <c r="AK397" s="104">
        <f>CHOOSE(MATCH(IF($U397="","Основний",$U397),{"Трафіковий","Основний","Маржинальний","Сезонний","Стратегічний"},0),0.15,0.18,0.23,0.22,0.27)</f>
        <v/>
      </c>
      <c r="AL397" s="104">
        <f>CHOOSE(MATCH(IF($U397="","Основний",$U397),{"Трафіковий","Основний","Маржинальний","Сезонний","Стратегічний"},0),0.15,0.17,0.25,0.24,0.29)</f>
        <v/>
      </c>
      <c r="AM397" s="104">
        <f>CHOOSE(MATCH(IF($U397="","Основний",$U397),{"Трафіковий","Основний","Маржинальний","Сезонний","Стратегічний"},0),0.12,0.145,0.19,0.18,0.22)</f>
        <v/>
      </c>
      <c r="AN397" s="157">
        <f>CHOOSE(MATCH(IF($U397="","Основний",$U397),{"Трафіковий","Основний","Маржинальний","Сезонний","Стратегічний"},0),Settings!$B$78,Settings!$B$80,Settings!$B$82,Settings!$B$84,Settings!$B$86)</f>
        <v/>
      </c>
      <c r="AO397" s="157">
        <f>CHOOSE(MATCH(IF($U397="","Основний",$U397),{"Трафіковий","Основний","Маржинальний","Сезонний","Стратегічний"},0),Settings!$C$78,Settings!$C$80,Settings!$C$82,Settings!$C$84,Settings!$C$86)</f>
        <v/>
      </c>
      <c r="AP397" s="157">
        <f>CHOOSE(MATCH(IF($U397="","Основний",$U397),{"Трафіковий","Основний","Маржинальний","Сезонний","Стратегічний"},0),Settings!$D$78,Settings!$D$80,Settings!$D$82,Settings!$D$84,Settings!$D$86)</f>
        <v/>
      </c>
      <c r="AQ397" s="157">
        <f>CHOOSE(MATCH(IF($U397="","Основний",$U397),{"Трафіковий","Основний","Маржинальний","Сезонний","Стратегічний"},0),Settings!$F$78,Settings!$F$80,Settings!$F$82,Settings!$F$84,Settings!$F$86)</f>
        <v/>
      </c>
      <c r="AR397" s="157">
        <f>CHOOSE(MATCH(IF($U397="","Основний",$U397),{"Трафіковий","Основний","Маржинальний","Сезонний","Стратегічний"},0),Settings!$G$78,Settings!$G$80,Settings!$G$82,Settings!$G$84,Settings!$G$86)</f>
        <v/>
      </c>
      <c r="AS397" s="157">
        <f>CHOOSE(MATCH(IF($U397="","Основний",$U397),{"Трафіковий","Основний","Маржинальний","Сезонний","Стратегічний"},0),Settings!$H$78,Settings!$H$80,Settings!$H$82,Settings!$H$84,Settings!$H$86)</f>
        <v/>
      </c>
      <c r="AT397" s="157">
        <f>CHOOSE(MATCH(IF($U397="","Основний",$U397),{"Трафіковий","Основний","Маржинальний","Сезонний","Стратегічний"},0),Settings!$I$78,Settings!$I$80,Settings!$I$82,Settings!$I$84,Settings!$I$86)</f>
        <v/>
      </c>
      <c r="AU397" s="171" t="n"/>
      <c r="AV397" t="n">
        <v>1.35</v>
      </c>
    </row>
    <row r="398">
      <c r="A398" s="28" t="n"/>
      <c r="B398" s="29" t="inlineStr">
        <is>
          <t>P5523N</t>
        </is>
      </c>
      <c r="C398" s="29" t="inlineStr">
        <is>
          <t>MECHANICAL TIMER P5523N SCHUKO</t>
        </is>
      </c>
      <c r="D398" s="29" t="inlineStr">
        <is>
          <t>Пооджувачи та адаптери</t>
        </is>
      </c>
      <c r="E398" s="28" t="inlineStr">
        <is>
          <t>PC</t>
        </is>
      </c>
      <c r="F398" s="93" t="n">
        <v>1.749</v>
      </c>
      <c r="G398" s="30" t="n">
        <v>8536909500</v>
      </c>
      <c r="H398" s="31" t="n">
        <v>1.3</v>
      </c>
      <c r="I398" s="84">
        <f>IFERROR(F398*Settings!$B$2*H398*IF(AND(ISNUMBER(E398),E398&gt;1),E398,1),"")</f>
        <v/>
      </c>
      <c r="J398" s="32">
        <f>Settings!$B$66</f>
        <v/>
      </c>
      <c r="K398" s="95">
        <f>IFERROR(IF(T398="","",(T398*(1-AN398)*(1-Settings!$B$17)-I398)/(T398*(1-AN398)*(1-Settings!$B$17))),"")</f>
        <v/>
      </c>
      <c r="L398" s="101">
        <f>IFERROR(IF(T398="","",(T398*(1-AO398)*(1-Settings!$C$17)-I398)/(T398*(1-AO398)*(1-Settings!$C$17))),"")</f>
        <v/>
      </c>
      <c r="M398" s="101">
        <f>IFERROR(IF(T398="","",(T398*(1-AP398)*(1-Settings!$D$17)-I398)/(T398*(1-AP398)*(1-Settings!$D$17))),"")</f>
        <v/>
      </c>
      <c r="N398" s="101">
        <f>IFERROR(IF(T398="","",(T398*(1-AQ398)*(1-Settings!$F$17)-I398)/(T398*(1-AQ398)*(1-Settings!$F$17))),"")</f>
        <v/>
      </c>
      <c r="O398" s="101">
        <f>IFERROR(IF(T398="","",(T398*(1-AR398)*(1-Settings!$G$17)-I398)/(T398*(1-AR398)*(1-Settings!$G$17))),"")</f>
        <v/>
      </c>
      <c r="P398" s="101">
        <f>IFERROR(IF(T398="","",(T398*(1-AS398)*(1-Settings!$H$17)-I398)/(T398*(1-AS398)*(1-Settings!$H$17))),"")</f>
        <v/>
      </c>
      <c r="Q398" s="101">
        <f>IFERROR(IF(T398="","",(T398*(1-AT398)*(1-Settings!$I$68)*(1-Settings!$I$17)-I398)/(T398*(1-AT398)*(1-Settings!$I$68)*(1-Settings!$I$17))),"")</f>
        <v/>
      </c>
      <c r="R398" s="91">
        <f>IFERROR(IF(OR(I398="",Z398&gt;=1,Settings!$B$17&gt;=1,AN398&gt;=1),"",IF(MOD(ROUND(I398/(1-Z398)/(1-Settings!$B$17)/(1-AN398),0),10)=0,ROUND(I398/(1-Z398)/(1-Settings!$B$17)/(1-AN398),0)-1,IF(MOD(ROUND(I398/(1-Z398)/(1-Settings!$B$17)/(1-AN398),0),10)&lt;=5,FLOOR(ROUND(I398/(1-Z398)/(1-Settings!$B$17)/(1-AN398),0),10)+6,FLOOR(ROUND(I398/(1-Z398)/(1-Settings!$B$17)/(1-AN398),0),10)+9))),"")</f>
        <v/>
      </c>
      <c r="S398" s="174">
        <f>R398*0.95</f>
        <v/>
      </c>
      <c r="T398" s="91">
        <f>IF(S398&lt;&gt;"", IF(MOD(S398,10)=0,S398-1,IF(MOD(S398,10)&lt;=5,FLOOR(S398,10)+6,FLOOR(S398,10)+9)), R398)</f>
        <v/>
      </c>
      <c r="U398" s="87" t="inlineStr">
        <is>
          <t>Основний</t>
        </is>
      </c>
      <c r="V398" s="88" t="n"/>
      <c r="W398" s="88" t="n"/>
      <c r="X398" s="89">
        <f>IFERROR(IF(OR(V398="",W398="",T398=""),"", IF(T398&gt;W398,"Дорогий",IF(T398&lt;V398,"Дешевий","У ринку"))),"")</f>
        <v/>
      </c>
      <c r="Y398" s="90" t="n"/>
      <c r="Z398" s="104">
        <f>CHOOSE(MATCH(IF($U398="","Основний",$U398),{"Трафіковий","Основний","Маржинальний","Сезонний","Стратегічний"},0),0.16,0.19,0.24,0.23,0.28)</f>
        <v/>
      </c>
      <c r="AA398" s="104">
        <f>CHOOSE(MATCH(IF($U398="","Основний",$U398),{"Трафіковий","Основний","Маржинальний","Сезонний","Стратегічний"},0),0.18,0.21,0.26,0.25,0.3)</f>
        <v/>
      </c>
      <c r="AB398" s="104">
        <f>CHOOSE(MATCH(IF($U398="","Основний",$U398),{"Трафіковий","Основний","Маржинальний","Сезонний","Стратегічний"},0),0.19,0.22,0.28,0.26,0.32)</f>
        <v/>
      </c>
      <c r="AC398" s="104">
        <f>CHOOSE(MATCH(IF($U398="","Основний",$U398),{"Трафіковий","Основний","Маржинальний","Сезонний","Стратегічний"},0),0.17,0.2,0.25,0.24,0.28)</f>
        <v/>
      </c>
      <c r="AD398" s="104">
        <f>CHOOSE(MATCH(IF($U398="","Основний",$U398),{"Трафіковий","Основний","Маржинальний","Сезонний","Стратегічний"},0),0.18,0.21,0.26,0.25,0.3)</f>
        <v/>
      </c>
      <c r="AE398" s="104">
        <f>CHOOSE(MATCH(IF($U398="","Основний",$U398),{"Трафіковий","Основний","Маржинальний","Сезонний","Стратегічний"},0),0.18,0.2,0.28,0.27,0.32)</f>
        <v/>
      </c>
      <c r="AF398" s="104">
        <f>CHOOSE(MATCH(IF($U398="","Основний",$U398),{"Трафіковий","Основний","Маржинальний","Сезонний","Стратегічний"},0),0.15,0.175,0.22,0.21,0.25)</f>
        <v/>
      </c>
      <c r="AG398" s="104">
        <f>CHOOSE(MATCH(IF($U398="","Основний",$U398),{"Трафіковий","Основний","Маржинальний","Сезонний","Стратегічний"},0),0.13,0.16,0.21,0.2,0.25)</f>
        <v/>
      </c>
      <c r="AH398" s="104">
        <f>CHOOSE(MATCH(IF($U398="","Основний",$U398),{"Трафіковий","Основний","Маржинальний","Сезонний","Стратегічний"},0),0.15,0.18,0.23,0.22,0.27)</f>
        <v/>
      </c>
      <c r="AI398" s="104">
        <f>CHOOSE(MATCH(IF($U398="","Основний",$U398),{"Трафіковий","Основний","Маржинальний","Сезонний","Стратегічний"},0),0.16,0.19,0.25,0.23,0.29)</f>
        <v/>
      </c>
      <c r="AJ398" s="104">
        <f>CHOOSE(MATCH(IF($U398="","Основний",$U398),{"Трафіковий","Основний","Маржинальний","Сезонний","Стратегічний"},0),0.14,0.17,0.22,0.21,0.25)</f>
        <v/>
      </c>
      <c r="AK398" s="104">
        <f>CHOOSE(MATCH(IF($U398="","Основний",$U398),{"Трафіковий","Основний","Маржинальний","Сезонний","Стратегічний"},0),0.15,0.18,0.23,0.22,0.27)</f>
        <v/>
      </c>
      <c r="AL398" s="104">
        <f>CHOOSE(MATCH(IF($U398="","Основний",$U398),{"Трафіковий","Основний","Маржинальний","Сезонний","Стратегічний"},0),0.15,0.17,0.25,0.24,0.29)</f>
        <v/>
      </c>
      <c r="AM398" s="104">
        <f>CHOOSE(MATCH(IF($U398="","Основний",$U398),{"Трафіковий","Основний","Маржинальний","Сезонний","Стратегічний"},0),0.12,0.145,0.19,0.18,0.22)</f>
        <v/>
      </c>
      <c r="AN398" s="157">
        <f>CHOOSE(MATCH(IF($U398="","Основний",$U398),{"Трафіковий","Основний","Маржинальний","Сезонний","Стратегічний"},0),Settings!$B$78,Settings!$B$80,Settings!$B$82,Settings!$B$84,Settings!$B$86)</f>
        <v/>
      </c>
      <c r="AO398" s="157">
        <f>CHOOSE(MATCH(IF($U398="","Основний",$U398),{"Трафіковий","Основний","Маржинальний","Сезонний","Стратегічний"},0),Settings!$C$78,Settings!$C$80,Settings!$C$82,Settings!$C$84,Settings!$C$86)</f>
        <v/>
      </c>
      <c r="AP398" s="157">
        <f>CHOOSE(MATCH(IF($U398="","Основний",$U398),{"Трафіковий","Основний","Маржинальний","Сезонний","Стратегічний"},0),Settings!$D$78,Settings!$D$80,Settings!$D$82,Settings!$D$84,Settings!$D$86)</f>
        <v/>
      </c>
      <c r="AQ398" s="157">
        <f>CHOOSE(MATCH(IF($U398="","Основний",$U398),{"Трафіковий","Основний","Маржинальний","Сезонний","Стратегічний"},0),Settings!$F$78,Settings!$F$80,Settings!$F$82,Settings!$F$84,Settings!$F$86)</f>
        <v/>
      </c>
      <c r="AR398" s="157">
        <f>CHOOSE(MATCH(IF($U398="","Основний",$U398),{"Трафіковий","Основний","Маржинальний","Сезонний","Стратегічний"},0),Settings!$G$78,Settings!$G$80,Settings!$G$82,Settings!$G$84,Settings!$G$86)</f>
        <v/>
      </c>
      <c r="AS398" s="157">
        <f>CHOOSE(MATCH(IF($U398="","Основний",$U398),{"Трафіковий","Основний","Маржинальний","Сезонний","Стратегічний"},0),Settings!$H$78,Settings!$H$80,Settings!$H$82,Settings!$H$84,Settings!$H$86)</f>
        <v/>
      </c>
      <c r="AT398" s="157">
        <f>CHOOSE(MATCH(IF($U398="","Основний",$U398),{"Трафіковий","Основний","Маржинальний","Сезонний","Стратегічний"},0),Settings!$I$78,Settings!$I$80,Settings!$I$82,Settings!$I$84,Settings!$I$86)</f>
        <v/>
      </c>
      <c r="AU398" s="171" t="n"/>
      <c r="AV398" t="n">
        <v>1.35</v>
      </c>
    </row>
    <row r="399">
      <c r="A399" s="33" t="n"/>
      <c r="B399" s="34" t="inlineStr">
        <is>
          <t>P5521N</t>
        </is>
      </c>
      <c r="C399" s="34" t="inlineStr">
        <is>
          <t>DIGITAL TIMER P5521N SCHUKO</t>
        </is>
      </c>
      <c r="D399" s="34" t="inlineStr">
        <is>
          <t>Пооджувачи та адаптери</t>
        </is>
      </c>
      <c r="E399" s="33" t="inlineStr">
        <is>
          <t>PC</t>
        </is>
      </c>
      <c r="F399" s="94" t="n">
        <v>4.637</v>
      </c>
      <c r="G399" s="35" t="n">
        <v>8536909500</v>
      </c>
      <c r="H399" s="31" t="n">
        <v>1.3</v>
      </c>
      <c r="I399" s="84">
        <f>IFERROR(F399*Settings!$B$2*H399*IF(AND(ISNUMBER(E399),E399&gt;1),E399,1),"")</f>
        <v/>
      </c>
      <c r="J399" s="32">
        <f>Settings!$B$66</f>
        <v/>
      </c>
      <c r="K399" s="95">
        <f>IFERROR(IF(T399="","",(T399*(1-AN399)*(1-Settings!$B$17)-I399)/(T399*(1-AN399)*(1-Settings!$B$17))),"")</f>
        <v/>
      </c>
      <c r="L399" s="101">
        <f>IFERROR(IF(T399="","",(T399*(1-AO399)*(1-Settings!$C$17)-I399)/(T399*(1-AO399)*(1-Settings!$C$17))),"")</f>
        <v/>
      </c>
      <c r="M399" s="101">
        <f>IFERROR(IF(T399="","",(T399*(1-AP399)*(1-Settings!$D$17)-I399)/(T399*(1-AP399)*(1-Settings!$D$17))),"")</f>
        <v/>
      </c>
      <c r="N399" s="101">
        <f>IFERROR(IF(T399="","",(T399*(1-AQ399)*(1-Settings!$F$17)-I399)/(T399*(1-AQ399)*(1-Settings!$F$17))),"")</f>
        <v/>
      </c>
      <c r="O399" s="101">
        <f>IFERROR(IF(T399="","",(T399*(1-AR399)*(1-Settings!$G$17)-I399)/(T399*(1-AR399)*(1-Settings!$G$17))),"")</f>
        <v/>
      </c>
      <c r="P399" s="101">
        <f>IFERROR(IF(T399="","",(T399*(1-AS399)*(1-Settings!$H$17)-I399)/(T399*(1-AS399)*(1-Settings!$H$17))),"")</f>
        <v/>
      </c>
      <c r="Q399" s="101">
        <f>IFERROR(IF(T399="","",(T399*(1-AT399)*(1-Settings!$I$68)*(1-Settings!$I$17)-I399)/(T399*(1-AT399)*(1-Settings!$I$68)*(1-Settings!$I$17))),"")</f>
        <v/>
      </c>
      <c r="R399" s="91">
        <f>IFERROR(IF(OR(I399="",Z399&gt;=1,Settings!$B$17&gt;=1,AN399&gt;=1),"",IF(MOD(ROUND(I399/(1-Z399)/(1-Settings!$B$17)/(1-AN399),0),10)=0,ROUND(I399/(1-Z399)/(1-Settings!$B$17)/(1-AN399),0)-1,IF(MOD(ROUND(I399/(1-Z399)/(1-Settings!$B$17)/(1-AN399),0),10)&lt;=5,FLOOR(ROUND(I399/(1-Z399)/(1-Settings!$B$17)/(1-AN399),0),10)+6,FLOOR(ROUND(I399/(1-Z399)/(1-Settings!$B$17)/(1-AN399),0),10)+9))),"")</f>
        <v/>
      </c>
      <c r="S399" s="174">
        <f>R399*0.95</f>
        <v/>
      </c>
      <c r="T399" s="91">
        <f>IF(S399&lt;&gt;"", IF(MOD(S399,10)=0,S399-1,IF(MOD(S399,10)&lt;=5,FLOOR(S399,10)+6,FLOOR(S399,10)+9)), R399)</f>
        <v/>
      </c>
      <c r="U399" s="87" t="inlineStr">
        <is>
          <t>Основний</t>
        </is>
      </c>
      <c r="V399" s="88" t="n"/>
      <c r="W399" s="88" t="n"/>
      <c r="X399" s="89">
        <f>IFERROR(IF(OR(V399="",W399="",T399=""),"", IF(T399&gt;W399,"Дорогий",IF(T399&lt;V399,"Дешевий","У ринку"))),"")</f>
        <v/>
      </c>
      <c r="Y399" s="90" t="n"/>
      <c r="Z399" s="104">
        <f>CHOOSE(MATCH(IF($U399="","Основний",$U399),{"Трафіковий","Основний","Маржинальний","Сезонний","Стратегічний"},0),0.16,0.19,0.24,0.23,0.28)</f>
        <v/>
      </c>
      <c r="AA399" s="104">
        <f>CHOOSE(MATCH(IF($U399="","Основний",$U399),{"Трафіковий","Основний","Маржинальний","Сезонний","Стратегічний"},0),0.18,0.21,0.26,0.25,0.3)</f>
        <v/>
      </c>
      <c r="AB399" s="104">
        <f>CHOOSE(MATCH(IF($U399="","Основний",$U399),{"Трафіковий","Основний","Маржинальний","Сезонний","Стратегічний"},0),0.19,0.22,0.28,0.26,0.32)</f>
        <v/>
      </c>
      <c r="AC399" s="104">
        <f>CHOOSE(MATCH(IF($U399="","Основний",$U399),{"Трафіковий","Основний","Маржинальний","Сезонний","Стратегічний"},0),0.17,0.2,0.25,0.24,0.28)</f>
        <v/>
      </c>
      <c r="AD399" s="104">
        <f>CHOOSE(MATCH(IF($U399="","Основний",$U399),{"Трафіковий","Основний","Маржинальний","Сезонний","Стратегічний"},0),0.18,0.21,0.26,0.25,0.3)</f>
        <v/>
      </c>
      <c r="AE399" s="104">
        <f>CHOOSE(MATCH(IF($U399="","Основний",$U399),{"Трафіковий","Основний","Маржинальний","Сезонний","Стратегічний"},0),0.18,0.2,0.28,0.27,0.32)</f>
        <v/>
      </c>
      <c r="AF399" s="104">
        <f>CHOOSE(MATCH(IF($U399="","Основний",$U399),{"Трафіковий","Основний","Маржинальний","Сезонний","Стратегічний"},0),0.15,0.175,0.22,0.21,0.25)</f>
        <v/>
      </c>
      <c r="AG399" s="104">
        <f>CHOOSE(MATCH(IF($U399="","Основний",$U399),{"Трафіковий","Основний","Маржинальний","Сезонний","Стратегічний"},0),0.13,0.16,0.21,0.2,0.25)</f>
        <v/>
      </c>
      <c r="AH399" s="104">
        <f>CHOOSE(MATCH(IF($U399="","Основний",$U399),{"Трафіковий","Основний","Маржинальний","Сезонний","Стратегічний"},0),0.15,0.18,0.23,0.22,0.27)</f>
        <v/>
      </c>
      <c r="AI399" s="104">
        <f>CHOOSE(MATCH(IF($U399="","Основний",$U399),{"Трафіковий","Основний","Маржинальний","Сезонний","Стратегічний"},0),0.16,0.19,0.25,0.23,0.29)</f>
        <v/>
      </c>
      <c r="AJ399" s="104">
        <f>CHOOSE(MATCH(IF($U399="","Основний",$U399),{"Трафіковий","Основний","Маржинальний","Сезонний","Стратегічний"},0),0.14,0.17,0.22,0.21,0.25)</f>
        <v/>
      </c>
      <c r="AK399" s="104">
        <f>CHOOSE(MATCH(IF($U399="","Основний",$U399),{"Трафіковий","Основний","Маржинальний","Сезонний","Стратегічний"},0),0.15,0.18,0.23,0.22,0.27)</f>
        <v/>
      </c>
      <c r="AL399" s="104">
        <f>CHOOSE(MATCH(IF($U399="","Основний",$U399),{"Трафіковий","Основний","Маржинальний","Сезонний","Стратегічний"},0),0.15,0.17,0.25,0.24,0.29)</f>
        <v/>
      </c>
      <c r="AM399" s="104">
        <f>CHOOSE(MATCH(IF($U399="","Основний",$U399),{"Трафіковий","Основний","Маржинальний","Сезонний","Стратегічний"},0),0.12,0.145,0.19,0.18,0.22)</f>
        <v/>
      </c>
      <c r="AN399" s="157">
        <f>CHOOSE(MATCH(IF($U399="","Основний",$U399),{"Трафіковий","Основний","Маржинальний","Сезонний","Стратегічний"},0),Settings!$B$78,Settings!$B$80,Settings!$B$82,Settings!$B$84,Settings!$B$86)</f>
        <v/>
      </c>
      <c r="AO399" s="157">
        <f>CHOOSE(MATCH(IF($U399="","Основний",$U399),{"Трафіковий","Основний","Маржинальний","Сезонний","Стратегічний"},0),Settings!$C$78,Settings!$C$80,Settings!$C$82,Settings!$C$84,Settings!$C$86)</f>
        <v/>
      </c>
      <c r="AP399" s="157">
        <f>CHOOSE(MATCH(IF($U399="","Основний",$U399),{"Трафіковий","Основний","Маржинальний","Сезонний","Стратегічний"},0),Settings!$D$78,Settings!$D$80,Settings!$D$82,Settings!$D$84,Settings!$D$86)</f>
        <v/>
      </c>
      <c r="AQ399" s="157">
        <f>CHOOSE(MATCH(IF($U399="","Основний",$U399),{"Трафіковий","Основний","Маржинальний","Сезонний","Стратегічний"},0),Settings!$F$78,Settings!$F$80,Settings!$F$82,Settings!$F$84,Settings!$F$86)</f>
        <v/>
      </c>
      <c r="AR399" s="157">
        <f>CHOOSE(MATCH(IF($U399="","Основний",$U399),{"Трафіковий","Основний","Маржинальний","Сезонний","Стратегічний"},0),Settings!$G$78,Settings!$G$80,Settings!$G$82,Settings!$G$84,Settings!$G$86)</f>
        <v/>
      </c>
      <c r="AS399" s="157">
        <f>CHOOSE(MATCH(IF($U399="","Основний",$U399),{"Трафіковий","Основний","Маржинальний","Сезонний","Стратегічний"},0),Settings!$H$78,Settings!$H$80,Settings!$H$82,Settings!$H$84,Settings!$H$86)</f>
        <v/>
      </c>
      <c r="AT399" s="157">
        <f>CHOOSE(MATCH(IF($U399="","Основний",$U399),{"Трафіковий","Основний","Маржинальний","Сезонний","Стратегічний"},0),Settings!$I$78,Settings!$I$80,Settings!$I$82,Settings!$I$84,Settings!$I$86)</f>
        <v/>
      </c>
      <c r="AU399" s="171" t="n"/>
      <c r="AV399" t="n">
        <v>1.35</v>
      </c>
    </row>
    <row r="400">
      <c r="A400" s="28" t="inlineStr">
        <is>
          <t>NEW</t>
        </is>
      </c>
      <c r="B400" s="29" t="inlineStr">
        <is>
          <t>P5525N</t>
        </is>
      </c>
      <c r="C400" s="29" t="inlineStr">
        <is>
          <t>DIGITAL TIMER IP44 SCHUKO</t>
        </is>
      </c>
      <c r="D400" s="29" t="inlineStr">
        <is>
          <t>Пооджувачи та адаптери</t>
        </is>
      </c>
      <c r="E400" s="28" t="inlineStr">
        <is>
          <t>PC</t>
        </is>
      </c>
      <c r="F400" s="93" t="n">
        <v>7.863</v>
      </c>
      <c r="G400" s="30" t="n">
        <v>8536909500</v>
      </c>
      <c r="H400" s="31" t="n">
        <v>1.3</v>
      </c>
      <c r="I400" s="84">
        <f>IFERROR(F400*Settings!$B$2*H400*IF(AND(ISNUMBER(E400),E400&gt;1),E400,1),"")</f>
        <v/>
      </c>
      <c r="J400" s="32">
        <f>Settings!$B$66</f>
        <v/>
      </c>
      <c r="K400" s="95">
        <f>IFERROR(IF(T400="","",(T400*(1-AN400)*(1-Settings!$B$17)-I400)/(T400*(1-AN400)*(1-Settings!$B$17))),"")</f>
        <v/>
      </c>
      <c r="L400" s="101">
        <f>IFERROR(IF(T400="","",(T400*(1-AO400)*(1-Settings!$C$17)-I400)/(T400*(1-AO400)*(1-Settings!$C$17))),"")</f>
        <v/>
      </c>
      <c r="M400" s="101">
        <f>IFERROR(IF(T400="","",(T400*(1-AP400)*(1-Settings!$D$17)-I400)/(T400*(1-AP400)*(1-Settings!$D$17))),"")</f>
        <v/>
      </c>
      <c r="N400" s="101">
        <f>IFERROR(IF(T400="","",(T400*(1-AQ400)*(1-Settings!$F$17)-I400)/(T400*(1-AQ400)*(1-Settings!$F$17))),"")</f>
        <v/>
      </c>
      <c r="O400" s="101">
        <f>IFERROR(IF(T400="","",(T400*(1-AR400)*(1-Settings!$G$17)-I400)/(T400*(1-AR400)*(1-Settings!$G$17))),"")</f>
        <v/>
      </c>
      <c r="P400" s="101">
        <f>IFERROR(IF(T400="","",(T400*(1-AS400)*(1-Settings!$H$17)-I400)/(T400*(1-AS400)*(1-Settings!$H$17))),"")</f>
        <v/>
      </c>
      <c r="Q400" s="101">
        <f>IFERROR(IF(T400="","",(T400*(1-AT400)*(1-Settings!$I$68)*(1-Settings!$I$17)-I400)/(T400*(1-AT400)*(1-Settings!$I$68)*(1-Settings!$I$17))),"")</f>
        <v/>
      </c>
      <c r="R400" s="91">
        <f>IFERROR(IF(OR(I400="",Z400&gt;=1,Settings!$B$17&gt;=1,AN400&gt;=1),"",IF(MOD(ROUND(I400/(1-Z400)/(1-Settings!$B$17)/(1-AN400),0),10)=0,ROUND(I400/(1-Z400)/(1-Settings!$B$17)/(1-AN400),0)-1,IF(MOD(ROUND(I400/(1-Z400)/(1-Settings!$B$17)/(1-AN400),0),10)&lt;=5,FLOOR(ROUND(I400/(1-Z400)/(1-Settings!$B$17)/(1-AN400),0),10)+6,FLOOR(ROUND(I400/(1-Z400)/(1-Settings!$B$17)/(1-AN400),0),10)+9))),"")</f>
        <v/>
      </c>
      <c r="S400" s="174">
        <f>R400*0.95</f>
        <v/>
      </c>
      <c r="T400" s="91">
        <f>IF(S400&lt;&gt;"", IF(MOD(S400,10)=0,S400-1,IF(MOD(S400,10)&lt;=5,FLOOR(S400,10)+6,FLOOR(S400,10)+9)), R400)</f>
        <v/>
      </c>
      <c r="U400" s="87" t="inlineStr">
        <is>
          <t>Основний</t>
        </is>
      </c>
      <c r="V400" s="88" t="n"/>
      <c r="W400" s="88" t="n"/>
      <c r="X400" s="89">
        <f>IFERROR(IF(OR(V400="",W400="",T400=""),"", IF(T400&gt;W400,"Дорогий",IF(T400&lt;V400,"Дешевий","У ринку"))),"")</f>
        <v/>
      </c>
      <c r="Y400" s="90" t="n"/>
      <c r="Z400" s="104">
        <f>CHOOSE(MATCH(IF($U400="","Основний",$U400),{"Трафіковий","Основний","Маржинальний","Сезонний","Стратегічний"},0),0.16,0.19,0.24,0.23,0.28)</f>
        <v/>
      </c>
      <c r="AA400" s="104">
        <f>CHOOSE(MATCH(IF($U400="","Основний",$U400),{"Трафіковий","Основний","Маржинальний","Сезонний","Стратегічний"},0),0.18,0.21,0.26,0.25,0.3)</f>
        <v/>
      </c>
      <c r="AB400" s="104">
        <f>CHOOSE(MATCH(IF($U400="","Основний",$U400),{"Трафіковий","Основний","Маржинальний","Сезонний","Стратегічний"},0),0.19,0.22,0.28,0.26,0.32)</f>
        <v/>
      </c>
      <c r="AC400" s="104">
        <f>CHOOSE(MATCH(IF($U400="","Основний",$U400),{"Трафіковий","Основний","Маржинальний","Сезонний","Стратегічний"},0),0.17,0.2,0.25,0.24,0.28)</f>
        <v/>
      </c>
      <c r="AD400" s="104">
        <f>CHOOSE(MATCH(IF($U400="","Основний",$U400),{"Трафіковий","Основний","Маржинальний","Сезонний","Стратегічний"},0),0.18,0.21,0.26,0.25,0.3)</f>
        <v/>
      </c>
      <c r="AE400" s="104">
        <f>CHOOSE(MATCH(IF($U400="","Основний",$U400),{"Трафіковий","Основний","Маржинальний","Сезонний","Стратегічний"},0),0.18,0.2,0.28,0.27,0.32)</f>
        <v/>
      </c>
      <c r="AF400" s="104">
        <f>CHOOSE(MATCH(IF($U400="","Основний",$U400),{"Трафіковий","Основний","Маржинальний","Сезонний","Стратегічний"},0),0.15,0.175,0.22,0.21,0.25)</f>
        <v/>
      </c>
      <c r="AG400" s="104">
        <f>CHOOSE(MATCH(IF($U400="","Основний",$U400),{"Трафіковий","Основний","Маржинальний","Сезонний","Стратегічний"},0),0.13,0.16,0.21,0.2,0.25)</f>
        <v/>
      </c>
      <c r="AH400" s="104">
        <f>CHOOSE(MATCH(IF($U400="","Основний",$U400),{"Трафіковий","Основний","Маржинальний","Сезонний","Стратегічний"},0),0.15,0.18,0.23,0.22,0.27)</f>
        <v/>
      </c>
      <c r="AI400" s="104">
        <f>CHOOSE(MATCH(IF($U400="","Основний",$U400),{"Трафіковий","Основний","Маржинальний","Сезонний","Стратегічний"},0),0.16,0.19,0.25,0.23,0.29)</f>
        <v/>
      </c>
      <c r="AJ400" s="104">
        <f>CHOOSE(MATCH(IF($U400="","Основний",$U400),{"Трафіковий","Основний","Маржинальний","Сезонний","Стратегічний"},0),0.14,0.17,0.22,0.21,0.25)</f>
        <v/>
      </c>
      <c r="AK400" s="104">
        <f>CHOOSE(MATCH(IF($U400="","Основний",$U400),{"Трафіковий","Основний","Маржинальний","Сезонний","Стратегічний"},0),0.15,0.18,0.23,0.22,0.27)</f>
        <v/>
      </c>
      <c r="AL400" s="104">
        <f>CHOOSE(MATCH(IF($U400="","Основний",$U400),{"Трафіковий","Основний","Маржинальний","Сезонний","Стратегічний"},0),0.15,0.17,0.25,0.24,0.29)</f>
        <v/>
      </c>
      <c r="AM400" s="104">
        <f>CHOOSE(MATCH(IF($U400="","Основний",$U400),{"Трафіковий","Основний","Маржинальний","Сезонний","Стратегічний"},0),0.12,0.145,0.19,0.18,0.22)</f>
        <v/>
      </c>
      <c r="AN400" s="157">
        <f>CHOOSE(MATCH(IF($U400="","Основний",$U400),{"Трафіковий","Основний","Маржинальний","Сезонний","Стратегічний"},0),Settings!$B$78,Settings!$B$80,Settings!$B$82,Settings!$B$84,Settings!$B$86)</f>
        <v/>
      </c>
      <c r="AO400" s="157">
        <f>CHOOSE(MATCH(IF($U400="","Основний",$U400),{"Трафіковий","Основний","Маржинальний","Сезонний","Стратегічний"},0),Settings!$C$78,Settings!$C$80,Settings!$C$82,Settings!$C$84,Settings!$C$86)</f>
        <v/>
      </c>
      <c r="AP400" s="157">
        <f>CHOOSE(MATCH(IF($U400="","Основний",$U400),{"Трафіковий","Основний","Маржинальний","Сезонний","Стратегічний"},0),Settings!$D$78,Settings!$D$80,Settings!$D$82,Settings!$D$84,Settings!$D$86)</f>
        <v/>
      </c>
      <c r="AQ400" s="157">
        <f>CHOOSE(MATCH(IF($U400="","Основний",$U400),{"Трафіковий","Основний","Маржинальний","Сезонний","Стратегічний"},0),Settings!$F$78,Settings!$F$80,Settings!$F$82,Settings!$F$84,Settings!$F$86)</f>
        <v/>
      </c>
      <c r="AR400" s="157">
        <f>CHOOSE(MATCH(IF($U400="","Основний",$U400),{"Трафіковий","Основний","Маржинальний","Сезонний","Стратегічний"},0),Settings!$G$78,Settings!$G$80,Settings!$G$82,Settings!$G$84,Settings!$G$86)</f>
        <v/>
      </c>
      <c r="AS400" s="157">
        <f>CHOOSE(MATCH(IF($U400="","Основний",$U400),{"Трафіковий","Основний","Маржинальний","Сезонний","Стратегічний"},0),Settings!$H$78,Settings!$H$80,Settings!$H$82,Settings!$H$84,Settings!$H$86)</f>
        <v/>
      </c>
      <c r="AT400" s="157">
        <f>CHOOSE(MATCH(IF($U400="","Основний",$U400),{"Трафіковий","Основний","Маржинальний","Сезонний","Стратегічний"},0),Settings!$I$78,Settings!$I$80,Settings!$I$82,Settings!$I$84,Settings!$I$86)</f>
        <v/>
      </c>
      <c r="AU400" s="171" t="n"/>
      <c r="AV400" t="n">
        <v>1.35</v>
      </c>
    </row>
    <row r="401">
      <c r="A401" s="33" t="n"/>
      <c r="B401" s="34" t="inlineStr">
        <is>
          <t>P5526N</t>
        </is>
      </c>
      <c r="C401" s="34" t="inlineStr">
        <is>
          <t>MECHANICAL TIMER P5526N IP44 SCHUKO</t>
        </is>
      </c>
      <c r="D401" s="34" t="inlineStr">
        <is>
          <t>Пооджувачи та адаптери</t>
        </is>
      </c>
      <c r="E401" s="33" t="inlineStr">
        <is>
          <t>PC</t>
        </is>
      </c>
      <c r="F401" s="94" t="n">
        <v>2.459</v>
      </c>
      <c r="G401" s="35" t="n">
        <v>8536909500</v>
      </c>
      <c r="H401" s="31" t="n">
        <v>1.3</v>
      </c>
      <c r="I401" s="84">
        <f>IFERROR(F401*Settings!$B$2*H401*IF(AND(ISNUMBER(E401),E401&gt;1),E401,1),"")</f>
        <v/>
      </c>
      <c r="J401" s="32">
        <f>Settings!$B$66</f>
        <v/>
      </c>
      <c r="K401" s="95">
        <f>IFERROR(IF(T401="","",(T401*(1-AN401)*(1-Settings!$B$17)-I401)/(T401*(1-AN401)*(1-Settings!$B$17))),"")</f>
        <v/>
      </c>
      <c r="L401" s="101">
        <f>IFERROR(IF(T401="","",(T401*(1-AO401)*(1-Settings!$C$17)-I401)/(T401*(1-AO401)*(1-Settings!$C$17))),"")</f>
        <v/>
      </c>
      <c r="M401" s="101">
        <f>IFERROR(IF(T401="","",(T401*(1-AP401)*(1-Settings!$D$17)-I401)/(T401*(1-AP401)*(1-Settings!$D$17))),"")</f>
        <v/>
      </c>
      <c r="N401" s="101">
        <f>IFERROR(IF(T401="","",(T401*(1-AQ401)*(1-Settings!$F$17)-I401)/(T401*(1-AQ401)*(1-Settings!$F$17))),"")</f>
        <v/>
      </c>
      <c r="O401" s="101">
        <f>IFERROR(IF(T401="","",(T401*(1-AR401)*(1-Settings!$G$17)-I401)/(T401*(1-AR401)*(1-Settings!$G$17))),"")</f>
        <v/>
      </c>
      <c r="P401" s="101">
        <f>IFERROR(IF(T401="","",(T401*(1-AS401)*(1-Settings!$H$17)-I401)/(T401*(1-AS401)*(1-Settings!$H$17))),"")</f>
        <v/>
      </c>
      <c r="Q401" s="101">
        <f>IFERROR(IF(T401="","",(T401*(1-AT401)*(1-Settings!$I$68)*(1-Settings!$I$17)-I401)/(T401*(1-AT401)*(1-Settings!$I$68)*(1-Settings!$I$17))),"")</f>
        <v/>
      </c>
      <c r="R401" s="91">
        <f>IFERROR(IF(OR(I401="",Z401&gt;=1,Settings!$B$17&gt;=1,AN401&gt;=1),"",IF(MOD(ROUND(I401/(1-Z401)/(1-Settings!$B$17)/(1-AN401),0),10)=0,ROUND(I401/(1-Z401)/(1-Settings!$B$17)/(1-AN401),0)-1,IF(MOD(ROUND(I401/(1-Z401)/(1-Settings!$B$17)/(1-AN401),0),10)&lt;=5,FLOOR(ROUND(I401/(1-Z401)/(1-Settings!$B$17)/(1-AN401),0),10)+6,FLOOR(ROUND(I401/(1-Z401)/(1-Settings!$B$17)/(1-AN401),0),10)+9))),"")</f>
        <v/>
      </c>
      <c r="S401" s="174">
        <f>R401*0.95</f>
        <v/>
      </c>
      <c r="T401" s="91">
        <f>IF(S401&lt;&gt;"", IF(MOD(S401,10)=0,S401-1,IF(MOD(S401,10)&lt;=5,FLOOR(S401,10)+6,FLOOR(S401,10)+9)), R401)</f>
        <v/>
      </c>
      <c r="U401" s="87" t="inlineStr">
        <is>
          <t>Основний</t>
        </is>
      </c>
      <c r="V401" s="88" t="n"/>
      <c r="W401" s="88" t="n"/>
      <c r="X401" s="89">
        <f>IFERROR(IF(OR(V401="",W401="",T401=""),"", IF(T401&gt;W401,"Дорогий",IF(T401&lt;V401,"Дешевий","У ринку"))),"")</f>
        <v/>
      </c>
      <c r="Y401" s="90" t="n"/>
      <c r="Z401" s="104">
        <f>CHOOSE(MATCH(IF($U401="","Основний",$U401),{"Трафіковий","Основний","Маржинальний","Сезонний","Стратегічний"},0),0.16,0.19,0.24,0.23,0.28)</f>
        <v/>
      </c>
      <c r="AA401" s="104">
        <f>CHOOSE(MATCH(IF($U401="","Основний",$U401),{"Трафіковий","Основний","Маржинальний","Сезонний","Стратегічний"},0),0.18,0.21,0.26,0.25,0.3)</f>
        <v/>
      </c>
      <c r="AB401" s="104">
        <f>CHOOSE(MATCH(IF($U401="","Основний",$U401),{"Трафіковий","Основний","Маржинальний","Сезонний","Стратегічний"},0),0.19,0.22,0.28,0.26,0.32)</f>
        <v/>
      </c>
      <c r="AC401" s="104">
        <f>CHOOSE(MATCH(IF($U401="","Основний",$U401),{"Трафіковий","Основний","Маржинальний","Сезонний","Стратегічний"},0),0.17,0.2,0.25,0.24,0.28)</f>
        <v/>
      </c>
      <c r="AD401" s="104">
        <f>CHOOSE(MATCH(IF($U401="","Основний",$U401),{"Трафіковий","Основний","Маржинальний","Сезонний","Стратегічний"},0),0.18,0.21,0.26,0.25,0.3)</f>
        <v/>
      </c>
      <c r="AE401" s="104">
        <f>CHOOSE(MATCH(IF($U401="","Основний",$U401),{"Трафіковий","Основний","Маржинальний","Сезонний","Стратегічний"},0),0.18,0.2,0.28,0.27,0.32)</f>
        <v/>
      </c>
      <c r="AF401" s="104">
        <f>CHOOSE(MATCH(IF($U401="","Основний",$U401),{"Трафіковий","Основний","Маржинальний","Сезонний","Стратегічний"},0),0.15,0.175,0.22,0.21,0.25)</f>
        <v/>
      </c>
      <c r="AG401" s="104">
        <f>CHOOSE(MATCH(IF($U401="","Основний",$U401),{"Трафіковий","Основний","Маржинальний","Сезонний","Стратегічний"},0),0.13,0.16,0.21,0.2,0.25)</f>
        <v/>
      </c>
      <c r="AH401" s="104">
        <f>CHOOSE(MATCH(IF($U401="","Основний",$U401),{"Трафіковий","Основний","Маржинальний","Сезонний","Стратегічний"},0),0.15,0.18,0.23,0.22,0.27)</f>
        <v/>
      </c>
      <c r="AI401" s="104">
        <f>CHOOSE(MATCH(IF($U401="","Основний",$U401),{"Трафіковий","Основний","Маржинальний","Сезонний","Стратегічний"},0),0.16,0.19,0.25,0.23,0.29)</f>
        <v/>
      </c>
      <c r="AJ401" s="104">
        <f>CHOOSE(MATCH(IF($U401="","Основний",$U401),{"Трафіковий","Основний","Маржинальний","Сезонний","Стратегічний"},0),0.14,0.17,0.22,0.21,0.25)</f>
        <v/>
      </c>
      <c r="AK401" s="104">
        <f>CHOOSE(MATCH(IF($U401="","Основний",$U401),{"Трафіковий","Основний","Маржинальний","Сезонний","Стратегічний"},0),0.15,0.18,0.23,0.22,0.27)</f>
        <v/>
      </c>
      <c r="AL401" s="104">
        <f>CHOOSE(MATCH(IF($U401="","Основний",$U401),{"Трафіковий","Основний","Маржинальний","Сезонний","Стратегічний"},0),0.15,0.17,0.25,0.24,0.29)</f>
        <v/>
      </c>
      <c r="AM401" s="104">
        <f>CHOOSE(MATCH(IF($U401="","Основний",$U401),{"Трафіковий","Основний","Маржинальний","Сезонний","Стратегічний"},0),0.12,0.145,0.19,0.18,0.22)</f>
        <v/>
      </c>
      <c r="AN401" s="157">
        <f>CHOOSE(MATCH(IF($U401="","Основний",$U401),{"Трафіковий","Основний","Маржинальний","Сезонний","Стратегічний"},0),Settings!$B$78,Settings!$B$80,Settings!$B$82,Settings!$B$84,Settings!$B$86)</f>
        <v/>
      </c>
      <c r="AO401" s="157">
        <f>CHOOSE(MATCH(IF($U401="","Основний",$U401),{"Трафіковий","Основний","Маржинальний","Сезонний","Стратегічний"},0),Settings!$C$78,Settings!$C$80,Settings!$C$82,Settings!$C$84,Settings!$C$86)</f>
        <v/>
      </c>
      <c r="AP401" s="157">
        <f>CHOOSE(MATCH(IF($U401="","Основний",$U401),{"Трафіковий","Основний","Маржинальний","Сезонний","Стратегічний"},0),Settings!$D$78,Settings!$D$80,Settings!$D$82,Settings!$D$84,Settings!$D$86)</f>
        <v/>
      </c>
      <c r="AQ401" s="157">
        <f>CHOOSE(MATCH(IF($U401="","Основний",$U401),{"Трафіковий","Основний","Маржинальний","Сезонний","Стратегічний"},0),Settings!$F$78,Settings!$F$80,Settings!$F$82,Settings!$F$84,Settings!$F$86)</f>
        <v/>
      </c>
      <c r="AR401" s="157">
        <f>CHOOSE(MATCH(IF($U401="","Основний",$U401),{"Трафіковий","Основний","Маржинальний","Сезонний","Стратегічний"},0),Settings!$G$78,Settings!$G$80,Settings!$G$82,Settings!$G$84,Settings!$G$86)</f>
        <v/>
      </c>
      <c r="AS401" s="157">
        <f>CHOOSE(MATCH(IF($U401="","Основний",$U401),{"Трафіковий","Основний","Маржинальний","Сезонний","Стратегічний"},0),Settings!$H$78,Settings!$H$80,Settings!$H$82,Settings!$H$84,Settings!$H$86)</f>
        <v/>
      </c>
      <c r="AT401" s="157">
        <f>CHOOSE(MATCH(IF($U401="","Основний",$U401),{"Трафіковий","Основний","Маржинальний","Сезонний","Стратегічний"},0),Settings!$I$78,Settings!$I$80,Settings!$I$82,Settings!$I$84,Settings!$I$86)</f>
        <v/>
      </c>
      <c r="AU401" s="171" t="n"/>
      <c r="AV401" t="n">
        <v>1.35</v>
      </c>
    </row>
    <row r="402">
      <c r="A402" s="28" t="inlineStr">
        <is>
          <t>NEW</t>
        </is>
      </c>
      <c r="B402" s="29" t="inlineStr">
        <is>
          <t>P5533</t>
        </is>
      </c>
      <c r="C402" s="29" t="inlineStr">
        <is>
          <t>GOSMART ZIGBEE SOCKET  WITH TIMER/WATT. SCHUKO</t>
        </is>
      </c>
      <c r="D402" s="29" t="inlineStr">
        <is>
          <t>Пооджувачи та адаптери</t>
        </is>
      </c>
      <c r="E402" s="28" t="inlineStr">
        <is>
          <t>PC</t>
        </is>
      </c>
      <c r="F402" s="93" t="n">
        <v>9.574999999999999</v>
      </c>
      <c r="G402" s="30" t="n">
        <v>8536909500</v>
      </c>
      <c r="H402" s="31" t="n">
        <v>1.3</v>
      </c>
      <c r="I402" s="84">
        <f>IFERROR(F402*Settings!$B$2*H402*IF(AND(ISNUMBER(E402),E402&gt;1),E402,1),"")</f>
        <v/>
      </c>
      <c r="J402" s="32">
        <f>Settings!$B$66</f>
        <v/>
      </c>
      <c r="K402" s="95">
        <f>IFERROR(IF(T402="","",(T402*(1-AN402)*(1-Settings!$B$17)-I402)/(T402*(1-AN402)*(1-Settings!$B$17))),"")</f>
        <v/>
      </c>
      <c r="L402" s="101">
        <f>IFERROR(IF(T402="","",(T402*(1-AO402)*(1-Settings!$C$17)-I402)/(T402*(1-AO402)*(1-Settings!$C$17))),"")</f>
        <v/>
      </c>
      <c r="M402" s="101">
        <f>IFERROR(IF(T402="","",(T402*(1-AP402)*(1-Settings!$D$17)-I402)/(T402*(1-AP402)*(1-Settings!$D$17))),"")</f>
        <v/>
      </c>
      <c r="N402" s="101">
        <f>IFERROR(IF(T402="","",(T402*(1-AQ402)*(1-Settings!$F$17)-I402)/(T402*(1-AQ402)*(1-Settings!$F$17))),"")</f>
        <v/>
      </c>
      <c r="O402" s="101">
        <f>IFERROR(IF(T402="","",(T402*(1-AR402)*(1-Settings!$G$17)-I402)/(T402*(1-AR402)*(1-Settings!$G$17))),"")</f>
        <v/>
      </c>
      <c r="P402" s="101">
        <f>IFERROR(IF(T402="","",(T402*(1-AS402)*(1-Settings!$H$17)-I402)/(T402*(1-AS402)*(1-Settings!$H$17))),"")</f>
        <v/>
      </c>
      <c r="Q402" s="101">
        <f>IFERROR(IF(T402="","",(T402*(1-AT402)*(1-Settings!$I$68)*(1-Settings!$I$17)-I402)/(T402*(1-AT402)*(1-Settings!$I$68)*(1-Settings!$I$17))),"")</f>
        <v/>
      </c>
      <c r="R402" s="91">
        <f>IFERROR(IF(OR(I402="",Z402&gt;=1,Settings!$B$17&gt;=1,AN402&gt;=1),"",IF(MOD(ROUND(I402/(1-Z402)/(1-Settings!$B$17)/(1-AN402),0),10)=0,ROUND(I402/(1-Z402)/(1-Settings!$B$17)/(1-AN402),0)-1,IF(MOD(ROUND(I402/(1-Z402)/(1-Settings!$B$17)/(1-AN402),0),10)&lt;=5,FLOOR(ROUND(I402/(1-Z402)/(1-Settings!$B$17)/(1-AN402),0),10)+6,FLOOR(ROUND(I402/(1-Z402)/(1-Settings!$B$17)/(1-AN402),0),10)+9))),"")</f>
        <v/>
      </c>
      <c r="S402" s="174">
        <f>R402*0.95</f>
        <v/>
      </c>
      <c r="T402" s="91">
        <f>IF(S402&lt;&gt;"", IF(MOD(S402,10)=0,S402-1,IF(MOD(S402,10)&lt;=5,FLOOR(S402,10)+6,FLOOR(S402,10)+9)), R402)</f>
        <v/>
      </c>
      <c r="U402" s="87" t="inlineStr">
        <is>
          <t>Основний</t>
        </is>
      </c>
      <c r="V402" s="88" t="n"/>
      <c r="W402" s="88" t="n"/>
      <c r="X402" s="89">
        <f>IFERROR(IF(OR(V402="",W402="",T402=""),"", IF(T402&gt;W402,"Дорогий",IF(T402&lt;V402,"Дешевий","У ринку"))),"")</f>
        <v/>
      </c>
      <c r="Y402" s="90" t="n"/>
      <c r="Z402" s="104">
        <f>CHOOSE(MATCH(IF($U402="","Основний",$U402),{"Трафіковий","Основний","Маржинальний","Сезонний","Стратегічний"},0),0.16,0.19,0.24,0.23,0.28)</f>
        <v/>
      </c>
      <c r="AA402" s="104">
        <f>CHOOSE(MATCH(IF($U402="","Основний",$U402),{"Трафіковий","Основний","Маржинальний","Сезонний","Стратегічний"},0),0.18,0.21,0.26,0.25,0.3)</f>
        <v/>
      </c>
      <c r="AB402" s="104">
        <f>CHOOSE(MATCH(IF($U402="","Основний",$U402),{"Трафіковий","Основний","Маржинальний","Сезонний","Стратегічний"},0),0.19,0.22,0.28,0.26,0.32)</f>
        <v/>
      </c>
      <c r="AC402" s="104">
        <f>CHOOSE(MATCH(IF($U402="","Основний",$U402),{"Трафіковий","Основний","Маржинальний","Сезонний","Стратегічний"},0),0.17,0.2,0.25,0.24,0.28)</f>
        <v/>
      </c>
      <c r="AD402" s="104">
        <f>CHOOSE(MATCH(IF($U402="","Основний",$U402),{"Трафіковий","Основний","Маржинальний","Сезонний","Стратегічний"},0),0.18,0.21,0.26,0.25,0.3)</f>
        <v/>
      </c>
      <c r="AE402" s="104">
        <f>CHOOSE(MATCH(IF($U402="","Основний",$U402),{"Трафіковий","Основний","Маржинальний","Сезонний","Стратегічний"},0),0.18,0.2,0.28,0.27,0.32)</f>
        <v/>
      </c>
      <c r="AF402" s="104">
        <f>CHOOSE(MATCH(IF($U402="","Основний",$U402),{"Трафіковий","Основний","Маржинальний","Сезонний","Стратегічний"},0),0.15,0.175,0.22,0.21,0.25)</f>
        <v/>
      </c>
      <c r="AG402" s="104">
        <f>CHOOSE(MATCH(IF($U402="","Основний",$U402),{"Трафіковий","Основний","Маржинальний","Сезонний","Стратегічний"},0),0.13,0.16,0.21,0.2,0.25)</f>
        <v/>
      </c>
      <c r="AH402" s="104">
        <f>CHOOSE(MATCH(IF($U402="","Основний",$U402),{"Трафіковий","Основний","Маржинальний","Сезонний","Стратегічний"},0),0.15,0.18,0.23,0.22,0.27)</f>
        <v/>
      </c>
      <c r="AI402" s="104">
        <f>CHOOSE(MATCH(IF($U402="","Основний",$U402),{"Трафіковий","Основний","Маржинальний","Сезонний","Стратегічний"},0),0.16,0.19,0.25,0.23,0.29)</f>
        <v/>
      </c>
      <c r="AJ402" s="104">
        <f>CHOOSE(MATCH(IF($U402="","Основний",$U402),{"Трафіковий","Основний","Маржинальний","Сезонний","Стратегічний"},0),0.14,0.17,0.22,0.21,0.25)</f>
        <v/>
      </c>
      <c r="AK402" s="104">
        <f>CHOOSE(MATCH(IF($U402="","Основний",$U402),{"Трафіковий","Основний","Маржинальний","Сезонний","Стратегічний"},0),0.15,0.18,0.23,0.22,0.27)</f>
        <v/>
      </c>
      <c r="AL402" s="104">
        <f>CHOOSE(MATCH(IF($U402="","Основний",$U402),{"Трафіковий","Основний","Маржинальний","Сезонний","Стратегічний"},0),0.15,0.17,0.25,0.24,0.29)</f>
        <v/>
      </c>
      <c r="AM402" s="104">
        <f>CHOOSE(MATCH(IF($U402="","Основний",$U402),{"Трафіковий","Основний","Маржинальний","Сезонний","Стратегічний"},0),0.12,0.145,0.19,0.18,0.22)</f>
        <v/>
      </c>
      <c r="AN402" s="157">
        <f>CHOOSE(MATCH(IF($U402="","Основний",$U402),{"Трафіковий","Основний","Маржинальний","Сезонний","Стратегічний"},0),Settings!$B$78,Settings!$B$80,Settings!$B$82,Settings!$B$84,Settings!$B$86)</f>
        <v/>
      </c>
      <c r="AO402" s="157">
        <f>CHOOSE(MATCH(IF($U402="","Основний",$U402),{"Трафіковий","Основний","Маржинальний","Сезонний","Стратегічний"},0),Settings!$C$78,Settings!$C$80,Settings!$C$82,Settings!$C$84,Settings!$C$86)</f>
        <v/>
      </c>
      <c r="AP402" s="157">
        <f>CHOOSE(MATCH(IF($U402="","Основний",$U402),{"Трафіковий","Основний","Маржинальний","Сезонний","Стратегічний"},0),Settings!$D$78,Settings!$D$80,Settings!$D$82,Settings!$D$84,Settings!$D$86)</f>
        <v/>
      </c>
      <c r="AQ402" s="157">
        <f>CHOOSE(MATCH(IF($U402="","Основний",$U402),{"Трафіковий","Основний","Маржинальний","Сезонний","Стратегічний"},0),Settings!$F$78,Settings!$F$80,Settings!$F$82,Settings!$F$84,Settings!$F$86)</f>
        <v/>
      </c>
      <c r="AR402" s="157">
        <f>CHOOSE(MATCH(IF($U402="","Основний",$U402),{"Трафіковий","Основний","Маржинальний","Сезонний","Стратегічний"},0),Settings!$G$78,Settings!$G$80,Settings!$G$82,Settings!$G$84,Settings!$G$86)</f>
        <v/>
      </c>
      <c r="AS402" s="157">
        <f>CHOOSE(MATCH(IF($U402="","Основний",$U402),{"Трафіковий","Основний","Маржинальний","Сезонний","Стратегічний"},0),Settings!$H$78,Settings!$H$80,Settings!$H$82,Settings!$H$84,Settings!$H$86)</f>
        <v/>
      </c>
      <c r="AT402" s="157">
        <f>CHOOSE(MATCH(IF($U402="","Основний",$U402),{"Трафіковий","Основний","Маржинальний","Сезонний","Стратегічний"},0),Settings!$I$78,Settings!$I$80,Settings!$I$82,Settings!$I$84,Settings!$I$86)</f>
        <v/>
      </c>
      <c r="AU402" s="171" t="n"/>
      <c r="AV402" t="n">
        <v>1.35</v>
      </c>
    </row>
    <row r="403">
      <c r="A403" s="33" t="inlineStr">
        <is>
          <t>NEW</t>
        </is>
      </c>
      <c r="B403" s="34" t="inlineStr">
        <is>
          <t>P5534</t>
        </is>
      </c>
      <c r="C403" s="34" t="inlineStr">
        <is>
          <t>GOSMART ZIGBEE SOCKET IP44 WITH TIMER/WATT.SCHUKO</t>
        </is>
      </c>
      <c r="D403" s="34" t="inlineStr">
        <is>
          <t>Пооджувачи та адаптери</t>
        </is>
      </c>
      <c r="E403" s="33" t="inlineStr">
        <is>
          <t>PC</t>
        </is>
      </c>
      <c r="F403" s="94" t="n">
        <v>10.072</v>
      </c>
      <c r="G403" s="35" t="n">
        <v>8536909500</v>
      </c>
      <c r="H403" s="31" t="n">
        <v>1.3</v>
      </c>
      <c r="I403" s="84">
        <f>IFERROR(F403*Settings!$B$2*H403*IF(AND(ISNUMBER(E403),E403&gt;1),E403,1),"")</f>
        <v/>
      </c>
      <c r="J403" s="32">
        <f>Settings!$B$66</f>
        <v/>
      </c>
      <c r="K403" s="95">
        <f>IFERROR(IF(T403="","",(T403*(1-AN403)*(1-Settings!$B$17)-I403)/(T403*(1-AN403)*(1-Settings!$B$17))),"")</f>
        <v/>
      </c>
      <c r="L403" s="101">
        <f>IFERROR(IF(T403="","",(T403*(1-AO403)*(1-Settings!$C$17)-I403)/(T403*(1-AO403)*(1-Settings!$C$17))),"")</f>
        <v/>
      </c>
      <c r="M403" s="101">
        <f>IFERROR(IF(T403="","",(T403*(1-AP403)*(1-Settings!$D$17)-I403)/(T403*(1-AP403)*(1-Settings!$D$17))),"")</f>
        <v/>
      </c>
      <c r="N403" s="101">
        <f>IFERROR(IF(T403="","",(T403*(1-AQ403)*(1-Settings!$F$17)-I403)/(T403*(1-AQ403)*(1-Settings!$F$17))),"")</f>
        <v/>
      </c>
      <c r="O403" s="101">
        <f>IFERROR(IF(T403="","",(T403*(1-AR403)*(1-Settings!$G$17)-I403)/(T403*(1-AR403)*(1-Settings!$G$17))),"")</f>
        <v/>
      </c>
      <c r="P403" s="101">
        <f>IFERROR(IF(T403="","",(T403*(1-AS403)*(1-Settings!$H$17)-I403)/(T403*(1-AS403)*(1-Settings!$H$17))),"")</f>
        <v/>
      </c>
      <c r="Q403" s="101">
        <f>IFERROR(IF(T403="","",(T403*(1-AT403)*(1-Settings!$I$68)*(1-Settings!$I$17)-I403)/(T403*(1-AT403)*(1-Settings!$I$68)*(1-Settings!$I$17))),"")</f>
        <v/>
      </c>
      <c r="R403" s="91">
        <f>IFERROR(IF(OR(I403="",Z403&gt;=1,Settings!$B$17&gt;=1,AN403&gt;=1),"",IF(MOD(ROUND(I403/(1-Z403)/(1-Settings!$B$17)/(1-AN403),0),10)=0,ROUND(I403/(1-Z403)/(1-Settings!$B$17)/(1-AN403),0)-1,IF(MOD(ROUND(I403/(1-Z403)/(1-Settings!$B$17)/(1-AN403),0),10)&lt;=5,FLOOR(ROUND(I403/(1-Z403)/(1-Settings!$B$17)/(1-AN403),0),10)+6,FLOOR(ROUND(I403/(1-Z403)/(1-Settings!$B$17)/(1-AN403),0),10)+9))),"")</f>
        <v/>
      </c>
      <c r="S403" s="174">
        <f>R403*0.95</f>
        <v/>
      </c>
      <c r="T403" s="91">
        <f>IF(S403&lt;&gt;"", IF(MOD(S403,10)=0,S403-1,IF(MOD(S403,10)&lt;=5,FLOOR(S403,10)+6,FLOOR(S403,10)+9)), R403)</f>
        <v/>
      </c>
      <c r="U403" s="87" t="inlineStr">
        <is>
          <t>Основний</t>
        </is>
      </c>
      <c r="V403" s="88" t="n"/>
      <c r="W403" s="88" t="n"/>
      <c r="X403" s="89">
        <f>IFERROR(IF(OR(V403="",W403="",T403=""),"", IF(T403&gt;W403,"Дорогий",IF(T403&lt;V403,"Дешевий","У ринку"))),"")</f>
        <v/>
      </c>
      <c r="Y403" s="90" t="n"/>
      <c r="Z403" s="104">
        <f>CHOOSE(MATCH(IF($U403="","Основний",$U403),{"Трафіковий","Основний","Маржинальний","Сезонний","Стратегічний"},0),0.16,0.19,0.24,0.23,0.28)</f>
        <v/>
      </c>
      <c r="AA403" s="104">
        <f>CHOOSE(MATCH(IF($U403="","Основний",$U403),{"Трафіковий","Основний","Маржинальний","Сезонний","Стратегічний"},0),0.18,0.21,0.26,0.25,0.3)</f>
        <v/>
      </c>
      <c r="AB403" s="104">
        <f>CHOOSE(MATCH(IF($U403="","Основний",$U403),{"Трафіковий","Основний","Маржинальний","Сезонний","Стратегічний"},0),0.19,0.22,0.28,0.26,0.32)</f>
        <v/>
      </c>
      <c r="AC403" s="104">
        <f>CHOOSE(MATCH(IF($U403="","Основний",$U403),{"Трафіковий","Основний","Маржинальний","Сезонний","Стратегічний"},0),0.17,0.2,0.25,0.24,0.28)</f>
        <v/>
      </c>
      <c r="AD403" s="104">
        <f>CHOOSE(MATCH(IF($U403="","Основний",$U403),{"Трафіковий","Основний","Маржинальний","Сезонний","Стратегічний"},0),0.18,0.21,0.26,0.25,0.3)</f>
        <v/>
      </c>
      <c r="AE403" s="104">
        <f>CHOOSE(MATCH(IF($U403="","Основний",$U403),{"Трафіковий","Основний","Маржинальний","Сезонний","Стратегічний"},0),0.18,0.2,0.28,0.27,0.32)</f>
        <v/>
      </c>
      <c r="AF403" s="104">
        <f>CHOOSE(MATCH(IF($U403="","Основний",$U403),{"Трафіковий","Основний","Маржинальний","Сезонний","Стратегічний"},0),0.15,0.175,0.22,0.21,0.25)</f>
        <v/>
      </c>
      <c r="AG403" s="104">
        <f>CHOOSE(MATCH(IF($U403="","Основний",$U403),{"Трафіковий","Основний","Маржинальний","Сезонний","Стратегічний"},0),0.13,0.16,0.21,0.2,0.25)</f>
        <v/>
      </c>
      <c r="AH403" s="104">
        <f>CHOOSE(MATCH(IF($U403="","Основний",$U403),{"Трафіковий","Основний","Маржинальний","Сезонний","Стратегічний"},0),0.15,0.18,0.23,0.22,0.27)</f>
        <v/>
      </c>
      <c r="AI403" s="104">
        <f>CHOOSE(MATCH(IF($U403="","Основний",$U403),{"Трафіковий","Основний","Маржинальний","Сезонний","Стратегічний"},0),0.16,0.19,0.25,0.23,0.29)</f>
        <v/>
      </c>
      <c r="AJ403" s="104">
        <f>CHOOSE(MATCH(IF($U403="","Основний",$U403),{"Трафіковий","Основний","Маржинальний","Сезонний","Стратегічний"},0),0.14,0.17,0.22,0.21,0.25)</f>
        <v/>
      </c>
      <c r="AK403" s="104">
        <f>CHOOSE(MATCH(IF($U403="","Основний",$U403),{"Трафіковий","Основний","Маржинальний","Сезонний","Стратегічний"},0),0.15,0.18,0.23,0.22,0.27)</f>
        <v/>
      </c>
      <c r="AL403" s="104">
        <f>CHOOSE(MATCH(IF($U403="","Основний",$U403),{"Трафіковий","Основний","Маржинальний","Сезонний","Стратегічний"},0),0.15,0.17,0.25,0.24,0.29)</f>
        <v/>
      </c>
      <c r="AM403" s="104">
        <f>CHOOSE(MATCH(IF($U403="","Основний",$U403),{"Трафіковий","Основний","Маржинальний","Сезонний","Стратегічний"},0),0.12,0.145,0.19,0.18,0.22)</f>
        <v/>
      </c>
      <c r="AN403" s="157">
        <f>CHOOSE(MATCH(IF($U403="","Основний",$U403),{"Трафіковий","Основний","Маржинальний","Сезонний","Стратегічний"},0),Settings!$B$78,Settings!$B$80,Settings!$B$82,Settings!$B$84,Settings!$B$86)</f>
        <v/>
      </c>
      <c r="AO403" s="157">
        <f>CHOOSE(MATCH(IF($U403="","Основний",$U403),{"Трафіковий","Основний","Маржинальний","Сезонний","Стратегічний"},0),Settings!$C$78,Settings!$C$80,Settings!$C$82,Settings!$C$84,Settings!$C$86)</f>
        <v/>
      </c>
      <c r="AP403" s="157">
        <f>CHOOSE(MATCH(IF($U403="","Основний",$U403),{"Трафіковий","Основний","Маржинальний","Сезонний","Стратегічний"},0),Settings!$D$78,Settings!$D$80,Settings!$D$82,Settings!$D$84,Settings!$D$86)</f>
        <v/>
      </c>
      <c r="AQ403" s="157">
        <f>CHOOSE(MATCH(IF($U403="","Основний",$U403),{"Трафіковий","Основний","Маржинальний","Сезонний","Стратегічний"},0),Settings!$F$78,Settings!$F$80,Settings!$F$82,Settings!$F$84,Settings!$F$86)</f>
        <v/>
      </c>
      <c r="AR403" s="157">
        <f>CHOOSE(MATCH(IF($U403="","Основний",$U403),{"Трафіковий","Основний","Маржинальний","Сезонний","Стратегічний"},0),Settings!$G$78,Settings!$G$80,Settings!$G$82,Settings!$G$84,Settings!$G$86)</f>
        <v/>
      </c>
      <c r="AS403" s="157">
        <f>CHOOSE(MATCH(IF($U403="","Основний",$U403),{"Трафіковий","Основний","Маржинальний","Сезонний","Стратегічний"},0),Settings!$H$78,Settings!$H$80,Settings!$H$82,Settings!$H$84,Settings!$H$86)</f>
        <v/>
      </c>
      <c r="AT403" s="157">
        <f>CHOOSE(MATCH(IF($U403="","Основний",$U403),{"Трафіковий","Основний","Маржинальний","Сезонний","Стратегічний"},0),Settings!$I$78,Settings!$I$80,Settings!$I$82,Settings!$I$84,Settings!$I$86)</f>
        <v/>
      </c>
      <c r="AU403" s="171" t="n"/>
      <c r="AV403" t="n">
        <v>1.35</v>
      </c>
    </row>
    <row r="404">
      <c r="A404" s="28" t="inlineStr">
        <is>
          <t>NEW</t>
        </is>
      </c>
      <c r="B404" s="29" t="inlineStr">
        <is>
          <t>P5531</t>
        </is>
      </c>
      <c r="C404" s="29" t="inlineStr">
        <is>
          <t>GOSMART WIFI SOCKET SCHUKO WITH TIMER/WATTMETER</t>
        </is>
      </c>
      <c r="D404" s="29" t="inlineStr">
        <is>
          <t>Пооджувачи та адаптери</t>
        </is>
      </c>
      <c r="E404" s="28" t="inlineStr">
        <is>
          <t>PC</t>
        </is>
      </c>
      <c r="F404" s="93" t="n">
        <v>8.297000000000001</v>
      </c>
      <c r="G404" s="30" t="n">
        <v>8536909500</v>
      </c>
      <c r="H404" s="31" t="n">
        <v>1.3</v>
      </c>
      <c r="I404" s="84">
        <f>IFERROR(F404*Settings!$B$2*H404*IF(AND(ISNUMBER(E404),E404&gt;1),E404,1),"")</f>
        <v/>
      </c>
      <c r="J404" s="32">
        <f>Settings!$B$66</f>
        <v/>
      </c>
      <c r="K404" s="95">
        <f>IFERROR(IF(T404="","",(T404*(1-AN404)*(1-Settings!$B$17)-I404)/(T404*(1-AN404)*(1-Settings!$B$17))),"")</f>
        <v/>
      </c>
      <c r="L404" s="101">
        <f>IFERROR(IF(T404="","",(T404*(1-AO404)*(1-Settings!$C$17)-I404)/(T404*(1-AO404)*(1-Settings!$C$17))),"")</f>
        <v/>
      </c>
      <c r="M404" s="101">
        <f>IFERROR(IF(T404="","",(T404*(1-AP404)*(1-Settings!$D$17)-I404)/(T404*(1-AP404)*(1-Settings!$D$17))),"")</f>
        <v/>
      </c>
      <c r="N404" s="101">
        <f>IFERROR(IF(T404="","",(T404*(1-AQ404)*(1-Settings!$F$17)-I404)/(T404*(1-AQ404)*(1-Settings!$F$17))),"")</f>
        <v/>
      </c>
      <c r="O404" s="101">
        <f>IFERROR(IF(T404="","",(T404*(1-AR404)*(1-Settings!$G$17)-I404)/(T404*(1-AR404)*(1-Settings!$G$17))),"")</f>
        <v/>
      </c>
      <c r="P404" s="101">
        <f>IFERROR(IF(T404="","",(T404*(1-AS404)*(1-Settings!$H$17)-I404)/(T404*(1-AS404)*(1-Settings!$H$17))),"")</f>
        <v/>
      </c>
      <c r="Q404" s="101">
        <f>IFERROR(IF(T404="","",(T404*(1-AT404)*(1-Settings!$I$68)*(1-Settings!$I$17)-I404)/(T404*(1-AT404)*(1-Settings!$I$68)*(1-Settings!$I$17))),"")</f>
        <v/>
      </c>
      <c r="R404" s="91">
        <f>IFERROR(IF(OR(I404="",Z404&gt;=1,Settings!$B$17&gt;=1,AN404&gt;=1),"",IF(MOD(ROUND(I404/(1-Z404)/(1-Settings!$B$17)/(1-AN404),0),10)=0,ROUND(I404/(1-Z404)/(1-Settings!$B$17)/(1-AN404),0)-1,IF(MOD(ROUND(I404/(1-Z404)/(1-Settings!$B$17)/(1-AN404),0),10)&lt;=5,FLOOR(ROUND(I404/(1-Z404)/(1-Settings!$B$17)/(1-AN404),0),10)+6,FLOOR(ROUND(I404/(1-Z404)/(1-Settings!$B$17)/(1-AN404),0),10)+9))),"")</f>
        <v/>
      </c>
      <c r="S404" s="174">
        <f>R404*0.95</f>
        <v/>
      </c>
      <c r="T404" s="91">
        <f>IF(S404&lt;&gt;"", IF(MOD(S404,10)=0,S404-1,IF(MOD(S404,10)&lt;=5,FLOOR(S404,10)+6,FLOOR(S404,10)+9)), R404)</f>
        <v/>
      </c>
      <c r="U404" s="87" t="inlineStr">
        <is>
          <t>Основний</t>
        </is>
      </c>
      <c r="V404" s="88" t="n"/>
      <c r="W404" s="88" t="n"/>
      <c r="X404" s="89">
        <f>IFERROR(IF(OR(V404="",W404="",T404=""),"", IF(T404&gt;W404,"Дорогий",IF(T404&lt;V404,"Дешевий","У ринку"))),"")</f>
        <v/>
      </c>
      <c r="Y404" s="90" t="n"/>
      <c r="Z404" s="104">
        <f>CHOOSE(MATCH(IF($U404="","Основний",$U404),{"Трафіковий","Основний","Маржинальний","Сезонний","Стратегічний"},0),0.16,0.19,0.24,0.23,0.28)</f>
        <v/>
      </c>
      <c r="AA404" s="104">
        <f>CHOOSE(MATCH(IF($U404="","Основний",$U404),{"Трафіковий","Основний","Маржинальний","Сезонний","Стратегічний"},0),0.18,0.21,0.26,0.25,0.3)</f>
        <v/>
      </c>
      <c r="AB404" s="104">
        <f>CHOOSE(MATCH(IF($U404="","Основний",$U404),{"Трафіковий","Основний","Маржинальний","Сезонний","Стратегічний"},0),0.19,0.22,0.28,0.26,0.32)</f>
        <v/>
      </c>
      <c r="AC404" s="104">
        <f>CHOOSE(MATCH(IF($U404="","Основний",$U404),{"Трафіковий","Основний","Маржинальний","Сезонний","Стратегічний"},0),0.17,0.2,0.25,0.24,0.28)</f>
        <v/>
      </c>
      <c r="AD404" s="104">
        <f>CHOOSE(MATCH(IF($U404="","Основний",$U404),{"Трафіковий","Основний","Маржинальний","Сезонний","Стратегічний"},0),0.18,0.21,0.26,0.25,0.3)</f>
        <v/>
      </c>
      <c r="AE404" s="104">
        <f>CHOOSE(MATCH(IF($U404="","Основний",$U404),{"Трафіковий","Основний","Маржинальний","Сезонний","Стратегічний"},0),0.18,0.2,0.28,0.27,0.32)</f>
        <v/>
      </c>
      <c r="AF404" s="104">
        <f>CHOOSE(MATCH(IF($U404="","Основний",$U404),{"Трафіковий","Основний","Маржинальний","Сезонний","Стратегічний"},0),0.15,0.175,0.22,0.21,0.25)</f>
        <v/>
      </c>
      <c r="AG404" s="104">
        <f>CHOOSE(MATCH(IF($U404="","Основний",$U404),{"Трафіковий","Основний","Маржинальний","Сезонний","Стратегічний"},0),0.13,0.16,0.21,0.2,0.25)</f>
        <v/>
      </c>
      <c r="AH404" s="104">
        <f>CHOOSE(MATCH(IF($U404="","Основний",$U404),{"Трафіковий","Основний","Маржинальний","Сезонний","Стратегічний"},0),0.15,0.18,0.23,0.22,0.27)</f>
        <v/>
      </c>
      <c r="AI404" s="104">
        <f>CHOOSE(MATCH(IF($U404="","Основний",$U404),{"Трафіковий","Основний","Маржинальний","Сезонний","Стратегічний"},0),0.16,0.19,0.25,0.23,0.29)</f>
        <v/>
      </c>
      <c r="AJ404" s="104">
        <f>CHOOSE(MATCH(IF($U404="","Основний",$U404),{"Трафіковий","Основний","Маржинальний","Сезонний","Стратегічний"},0),0.14,0.17,0.22,0.21,0.25)</f>
        <v/>
      </c>
      <c r="AK404" s="104">
        <f>CHOOSE(MATCH(IF($U404="","Основний",$U404),{"Трафіковий","Основний","Маржинальний","Сезонний","Стратегічний"},0),0.15,0.18,0.23,0.22,0.27)</f>
        <v/>
      </c>
      <c r="AL404" s="104">
        <f>CHOOSE(MATCH(IF($U404="","Основний",$U404),{"Трафіковий","Основний","Маржинальний","Сезонний","Стратегічний"},0),0.15,0.17,0.25,0.24,0.29)</f>
        <v/>
      </c>
      <c r="AM404" s="104">
        <f>CHOOSE(MATCH(IF($U404="","Основний",$U404),{"Трафіковий","Основний","Маржинальний","Сезонний","Стратегічний"},0),0.12,0.145,0.19,0.18,0.22)</f>
        <v/>
      </c>
      <c r="AN404" s="157">
        <f>CHOOSE(MATCH(IF($U404="","Основний",$U404),{"Трафіковий","Основний","Маржинальний","Сезонний","Стратегічний"},0),Settings!$B$78,Settings!$B$80,Settings!$B$82,Settings!$B$84,Settings!$B$86)</f>
        <v/>
      </c>
      <c r="AO404" s="157">
        <f>CHOOSE(MATCH(IF($U404="","Основний",$U404),{"Трафіковий","Основний","Маржинальний","Сезонний","Стратегічний"},0),Settings!$C$78,Settings!$C$80,Settings!$C$82,Settings!$C$84,Settings!$C$86)</f>
        <v/>
      </c>
      <c r="AP404" s="157">
        <f>CHOOSE(MATCH(IF($U404="","Основний",$U404),{"Трафіковий","Основний","Маржинальний","Сезонний","Стратегічний"},0),Settings!$D$78,Settings!$D$80,Settings!$D$82,Settings!$D$84,Settings!$D$86)</f>
        <v/>
      </c>
      <c r="AQ404" s="157">
        <f>CHOOSE(MATCH(IF($U404="","Основний",$U404),{"Трафіковий","Основний","Маржинальний","Сезонний","Стратегічний"},0),Settings!$F$78,Settings!$F$80,Settings!$F$82,Settings!$F$84,Settings!$F$86)</f>
        <v/>
      </c>
      <c r="AR404" s="157">
        <f>CHOOSE(MATCH(IF($U404="","Основний",$U404),{"Трафіковий","Основний","Маржинальний","Сезонний","Стратегічний"},0),Settings!$G$78,Settings!$G$80,Settings!$G$82,Settings!$G$84,Settings!$G$86)</f>
        <v/>
      </c>
      <c r="AS404" s="157">
        <f>CHOOSE(MATCH(IF($U404="","Основний",$U404),{"Трафіковий","Основний","Маржинальний","Сезонний","Стратегічний"},0),Settings!$H$78,Settings!$H$80,Settings!$H$82,Settings!$H$84,Settings!$H$86)</f>
        <v/>
      </c>
      <c r="AT404" s="157">
        <f>CHOOSE(MATCH(IF($U404="","Основний",$U404),{"Трафіковий","Основний","Маржинальний","Сезонний","Стратегічний"},0),Settings!$I$78,Settings!$I$80,Settings!$I$82,Settings!$I$84,Settings!$I$86)</f>
        <v/>
      </c>
      <c r="AU404" s="171" t="n"/>
      <c r="AV404" t="n">
        <v>1.35</v>
      </c>
    </row>
    <row r="405">
      <c r="A405" s="33" t="inlineStr">
        <is>
          <t>NEW</t>
        </is>
      </c>
      <c r="B405" s="34" t="inlineStr">
        <is>
          <t>P5532</t>
        </is>
      </c>
      <c r="C405" s="34" t="inlineStr">
        <is>
          <t>GOSMART WIFI SOCKET IP44 WITH TIMER/WATT. SCHUKO</t>
        </is>
      </c>
      <c r="D405" s="34" t="inlineStr">
        <is>
          <t>Пооджувачи та адаптери</t>
        </is>
      </c>
      <c r="E405" s="33" t="inlineStr">
        <is>
          <t>PC</t>
        </is>
      </c>
      <c r="F405" s="94" t="n">
        <v>9.010999999999999</v>
      </c>
      <c r="G405" s="35" t="n">
        <v>8536909500</v>
      </c>
      <c r="H405" s="31" t="n">
        <v>1.3</v>
      </c>
      <c r="I405" s="84">
        <f>IFERROR(F405*Settings!$B$2*H405*IF(AND(ISNUMBER(E405),E405&gt;1),E405,1),"")</f>
        <v/>
      </c>
      <c r="J405" s="32">
        <f>Settings!$B$66</f>
        <v/>
      </c>
      <c r="K405" s="95">
        <f>IFERROR(IF(T405="","",(T405*(1-AN405)*(1-Settings!$B$17)-I405)/(T405*(1-AN405)*(1-Settings!$B$17))),"")</f>
        <v/>
      </c>
      <c r="L405" s="101">
        <f>IFERROR(IF(T405="","",(T405*(1-AO405)*(1-Settings!$C$17)-I405)/(T405*(1-AO405)*(1-Settings!$C$17))),"")</f>
        <v/>
      </c>
      <c r="M405" s="101">
        <f>IFERROR(IF(T405="","",(T405*(1-AP405)*(1-Settings!$D$17)-I405)/(T405*(1-AP405)*(1-Settings!$D$17))),"")</f>
        <v/>
      </c>
      <c r="N405" s="101">
        <f>IFERROR(IF(T405="","",(T405*(1-AQ405)*(1-Settings!$F$17)-I405)/(T405*(1-AQ405)*(1-Settings!$F$17))),"")</f>
        <v/>
      </c>
      <c r="O405" s="101">
        <f>IFERROR(IF(T405="","",(T405*(1-AR405)*(1-Settings!$G$17)-I405)/(T405*(1-AR405)*(1-Settings!$G$17))),"")</f>
        <v/>
      </c>
      <c r="P405" s="101">
        <f>IFERROR(IF(T405="","",(T405*(1-AS405)*(1-Settings!$H$17)-I405)/(T405*(1-AS405)*(1-Settings!$H$17))),"")</f>
        <v/>
      </c>
      <c r="Q405" s="101">
        <f>IFERROR(IF(T405="","",(T405*(1-AT405)*(1-Settings!$I$68)*(1-Settings!$I$17)-I405)/(T405*(1-AT405)*(1-Settings!$I$68)*(1-Settings!$I$17))),"")</f>
        <v/>
      </c>
      <c r="R405" s="91">
        <f>IFERROR(IF(OR(I405="",Z405&gt;=1,Settings!$B$17&gt;=1,AN405&gt;=1),"",IF(MOD(ROUND(I405/(1-Z405)/(1-Settings!$B$17)/(1-AN405),0),10)=0,ROUND(I405/(1-Z405)/(1-Settings!$B$17)/(1-AN405),0)-1,IF(MOD(ROUND(I405/(1-Z405)/(1-Settings!$B$17)/(1-AN405),0),10)&lt;=5,FLOOR(ROUND(I405/(1-Z405)/(1-Settings!$B$17)/(1-AN405),0),10)+6,FLOOR(ROUND(I405/(1-Z405)/(1-Settings!$B$17)/(1-AN405),0),10)+9))),"")</f>
        <v/>
      </c>
      <c r="S405" s="174">
        <f>R405*0.95</f>
        <v/>
      </c>
      <c r="T405" s="91">
        <f>IF(S405&lt;&gt;"", IF(MOD(S405,10)=0,S405-1,IF(MOD(S405,10)&lt;=5,FLOOR(S405,10)+6,FLOOR(S405,10)+9)), R405)</f>
        <v/>
      </c>
      <c r="U405" s="87" t="inlineStr">
        <is>
          <t>Основний</t>
        </is>
      </c>
      <c r="V405" s="88" t="n"/>
      <c r="W405" s="88" t="n"/>
      <c r="X405" s="89">
        <f>IFERROR(IF(OR(V405="",W405="",T405=""),"", IF(T405&gt;W405,"Дорогий",IF(T405&lt;V405,"Дешевий","У ринку"))),"")</f>
        <v/>
      </c>
      <c r="Y405" s="90" t="n"/>
      <c r="Z405" s="104">
        <f>CHOOSE(MATCH(IF($U405="","Основний",$U405),{"Трафіковий","Основний","Маржинальний","Сезонний","Стратегічний"},0),0.16,0.19,0.24,0.23,0.28)</f>
        <v/>
      </c>
      <c r="AA405" s="104">
        <f>CHOOSE(MATCH(IF($U405="","Основний",$U405),{"Трафіковий","Основний","Маржинальний","Сезонний","Стратегічний"},0),0.18,0.21,0.26,0.25,0.3)</f>
        <v/>
      </c>
      <c r="AB405" s="104">
        <f>CHOOSE(MATCH(IF($U405="","Основний",$U405),{"Трафіковий","Основний","Маржинальний","Сезонний","Стратегічний"},0),0.19,0.22,0.28,0.26,0.32)</f>
        <v/>
      </c>
      <c r="AC405" s="104">
        <f>CHOOSE(MATCH(IF($U405="","Основний",$U405),{"Трафіковий","Основний","Маржинальний","Сезонний","Стратегічний"},0),0.17,0.2,0.25,0.24,0.28)</f>
        <v/>
      </c>
      <c r="AD405" s="104">
        <f>CHOOSE(MATCH(IF($U405="","Основний",$U405),{"Трафіковий","Основний","Маржинальний","Сезонний","Стратегічний"},0),0.18,0.21,0.26,0.25,0.3)</f>
        <v/>
      </c>
      <c r="AE405" s="104">
        <f>CHOOSE(MATCH(IF($U405="","Основний",$U405),{"Трафіковий","Основний","Маржинальний","Сезонний","Стратегічний"},0),0.18,0.2,0.28,0.27,0.32)</f>
        <v/>
      </c>
      <c r="AF405" s="104">
        <f>CHOOSE(MATCH(IF($U405="","Основний",$U405),{"Трафіковий","Основний","Маржинальний","Сезонний","Стратегічний"},0),0.15,0.175,0.22,0.21,0.25)</f>
        <v/>
      </c>
      <c r="AG405" s="104">
        <f>CHOOSE(MATCH(IF($U405="","Основний",$U405),{"Трафіковий","Основний","Маржинальний","Сезонний","Стратегічний"},0),0.13,0.16,0.21,0.2,0.25)</f>
        <v/>
      </c>
      <c r="AH405" s="104">
        <f>CHOOSE(MATCH(IF($U405="","Основний",$U405),{"Трафіковий","Основний","Маржинальний","Сезонний","Стратегічний"},0),0.15,0.18,0.23,0.22,0.27)</f>
        <v/>
      </c>
      <c r="AI405" s="104">
        <f>CHOOSE(MATCH(IF($U405="","Основний",$U405),{"Трафіковий","Основний","Маржинальний","Сезонний","Стратегічний"},0),0.16,0.19,0.25,0.23,0.29)</f>
        <v/>
      </c>
      <c r="AJ405" s="104">
        <f>CHOOSE(MATCH(IF($U405="","Основний",$U405),{"Трафіковий","Основний","Маржинальний","Сезонний","Стратегічний"},0),0.14,0.17,0.22,0.21,0.25)</f>
        <v/>
      </c>
      <c r="AK405" s="104">
        <f>CHOOSE(MATCH(IF($U405="","Основний",$U405),{"Трафіковий","Основний","Маржинальний","Сезонний","Стратегічний"},0),0.15,0.18,0.23,0.22,0.27)</f>
        <v/>
      </c>
      <c r="AL405" s="104">
        <f>CHOOSE(MATCH(IF($U405="","Основний",$U405),{"Трафіковий","Основний","Маржинальний","Сезонний","Стратегічний"},0),0.15,0.17,0.25,0.24,0.29)</f>
        <v/>
      </c>
      <c r="AM405" s="104">
        <f>CHOOSE(MATCH(IF($U405="","Основний",$U405),{"Трафіковий","Основний","Маржинальний","Сезонний","Стратегічний"},0),0.12,0.145,0.19,0.18,0.22)</f>
        <v/>
      </c>
      <c r="AN405" s="157">
        <f>CHOOSE(MATCH(IF($U405="","Основний",$U405),{"Трафіковий","Основний","Маржинальний","Сезонний","Стратегічний"},0),Settings!$B$78,Settings!$B$80,Settings!$B$82,Settings!$B$84,Settings!$B$86)</f>
        <v/>
      </c>
      <c r="AO405" s="157">
        <f>CHOOSE(MATCH(IF($U405="","Основний",$U405),{"Трафіковий","Основний","Маржинальний","Сезонний","Стратегічний"},0),Settings!$C$78,Settings!$C$80,Settings!$C$82,Settings!$C$84,Settings!$C$86)</f>
        <v/>
      </c>
      <c r="AP405" s="157">
        <f>CHOOSE(MATCH(IF($U405="","Основний",$U405),{"Трафіковий","Основний","Маржинальний","Сезонний","Стратегічний"},0),Settings!$D$78,Settings!$D$80,Settings!$D$82,Settings!$D$84,Settings!$D$86)</f>
        <v/>
      </c>
      <c r="AQ405" s="157">
        <f>CHOOSE(MATCH(IF($U405="","Основний",$U405),{"Трафіковий","Основний","Маржинальний","Сезонний","Стратегічний"},0),Settings!$F$78,Settings!$F$80,Settings!$F$82,Settings!$F$84,Settings!$F$86)</f>
        <v/>
      </c>
      <c r="AR405" s="157">
        <f>CHOOSE(MATCH(IF($U405="","Основний",$U405),{"Трафіковий","Основний","Маржинальний","Сезонний","Стратегічний"},0),Settings!$G$78,Settings!$G$80,Settings!$G$82,Settings!$G$84,Settings!$G$86)</f>
        <v/>
      </c>
      <c r="AS405" s="157">
        <f>CHOOSE(MATCH(IF($U405="","Основний",$U405),{"Трафіковий","Основний","Маржинальний","Сезонний","Стратегічний"},0),Settings!$H$78,Settings!$H$80,Settings!$H$82,Settings!$H$84,Settings!$H$86)</f>
        <v/>
      </c>
      <c r="AT405" s="157">
        <f>CHOOSE(MATCH(IF($U405="","Основний",$U405),{"Трафіковий","Основний","Маржинальний","Сезонний","Стратегічний"},0),Settings!$I$78,Settings!$I$80,Settings!$I$82,Settings!$I$84,Settings!$I$86)</f>
        <v/>
      </c>
      <c r="AU405" s="171" t="n"/>
      <c r="AV405" t="n">
        <v>1.35</v>
      </c>
    </row>
    <row r="406">
      <c r="A406" s="28" t="inlineStr">
        <is>
          <t>NEW</t>
        </is>
      </c>
      <c r="B406" s="29" t="inlineStr">
        <is>
          <t>P0055E</t>
        </is>
      </c>
      <c r="C406" s="29" t="inlineStr">
        <is>
          <t>TRAVEL ADAPTOR P0055E WHITE</t>
        </is>
      </c>
      <c r="D406" s="29" t="inlineStr">
        <is>
          <t>Пооджувачи та адаптери</t>
        </is>
      </c>
      <c r="E406" s="28" t="inlineStr">
        <is>
          <t>PC</t>
        </is>
      </c>
      <c r="F406" s="93" t="n">
        <v>4.34</v>
      </c>
      <c r="G406" s="30" t="n">
        <v>8536699099</v>
      </c>
      <c r="H406" s="31" t="n">
        <v>1.35</v>
      </c>
      <c r="I406" s="84">
        <f>IFERROR(F406*Settings!$B$2*H406*IF(AND(ISNUMBER(E406),E406&gt;1),E406,1),"")</f>
        <v/>
      </c>
      <c r="J406" s="32">
        <f>Settings!$B$66</f>
        <v/>
      </c>
      <c r="K406" s="95">
        <f>IFERROR(IF(T406="","",(T406*(1-AN406)*(1-Settings!$B$17)-I406)/(T406*(1-AN406)*(1-Settings!$B$17))),"")</f>
        <v/>
      </c>
      <c r="L406" s="101">
        <f>IFERROR(IF(T406="","",(T406*(1-AO406)*(1-Settings!$C$17)-I406)/(T406*(1-AO406)*(1-Settings!$C$17))),"")</f>
        <v/>
      </c>
      <c r="M406" s="101">
        <f>IFERROR(IF(T406="","",(T406*(1-AP406)*(1-Settings!$D$17)-I406)/(T406*(1-AP406)*(1-Settings!$D$17))),"")</f>
        <v/>
      </c>
      <c r="N406" s="101">
        <f>IFERROR(IF(T406="","",(T406*(1-AQ406)*(1-Settings!$F$17)-I406)/(T406*(1-AQ406)*(1-Settings!$F$17))),"")</f>
        <v/>
      </c>
      <c r="O406" s="101">
        <f>IFERROR(IF(T406="","",(T406*(1-AR406)*(1-Settings!$G$17)-I406)/(T406*(1-AR406)*(1-Settings!$G$17))),"")</f>
        <v/>
      </c>
      <c r="P406" s="101">
        <f>IFERROR(IF(T406="","",(T406*(1-AS406)*(1-Settings!$H$17)-I406)/(T406*(1-AS406)*(1-Settings!$H$17))),"")</f>
        <v/>
      </c>
      <c r="Q406" s="101">
        <f>IFERROR(IF(T406="","",(T406*(1-AT406)*(1-Settings!$I$68)*(1-Settings!$I$17)-I406)/(T406*(1-AT406)*(1-Settings!$I$68)*(1-Settings!$I$17))),"")</f>
        <v/>
      </c>
      <c r="R406" s="91">
        <f>IFERROR(IF(OR(I406="",Z406&gt;=1,Settings!$B$17&gt;=1,AN406&gt;=1),"",IF(MOD(ROUND(I406/(1-Z406)/(1-Settings!$B$17)/(1-AN406),0),10)=0,ROUND(I406/(1-Z406)/(1-Settings!$B$17)/(1-AN406),0)-1,IF(MOD(ROUND(I406/(1-Z406)/(1-Settings!$B$17)/(1-AN406),0),10)&lt;=5,FLOOR(ROUND(I406/(1-Z406)/(1-Settings!$B$17)/(1-AN406),0),10)+6,FLOOR(ROUND(I406/(1-Z406)/(1-Settings!$B$17)/(1-AN406),0),10)+9))),"")</f>
        <v/>
      </c>
      <c r="S406" s="174">
        <f>R406*0.95</f>
        <v/>
      </c>
      <c r="T406" s="91">
        <f>IF(S406&lt;&gt;"", IF(MOD(S406,10)=0,S406-1,IF(MOD(S406,10)&lt;=5,FLOOR(S406,10)+6,FLOOR(S406,10)+9)), R406)</f>
        <v/>
      </c>
      <c r="U406" s="87" t="inlineStr">
        <is>
          <t>Основний</t>
        </is>
      </c>
      <c r="V406" s="88" t="n"/>
      <c r="W406" s="88" t="n"/>
      <c r="X406" s="89">
        <f>IFERROR(IF(OR(V406="",W406="",T406=""),"", IF(T406&gt;W406,"Дорогий",IF(T406&lt;V406,"Дешевий","У ринку"))),"")</f>
        <v/>
      </c>
      <c r="Y406" s="90" t="n"/>
      <c r="Z406" s="104">
        <f>CHOOSE(MATCH(IF($U406="","Основний",$U406),{"Трафіковий","Основний","Маржинальний","Сезонний","Стратегічний"},0),0.16,0.19,0.24,0.23,0.28)</f>
        <v/>
      </c>
      <c r="AA406" s="104">
        <f>CHOOSE(MATCH(IF($U406="","Основний",$U406),{"Трафіковий","Основний","Маржинальний","Сезонний","Стратегічний"},0),0.18,0.21,0.26,0.25,0.3)</f>
        <v/>
      </c>
      <c r="AB406" s="104">
        <f>CHOOSE(MATCH(IF($U406="","Основний",$U406),{"Трафіковий","Основний","Маржинальний","Сезонний","Стратегічний"},0),0.19,0.22,0.28,0.26,0.32)</f>
        <v/>
      </c>
      <c r="AC406" s="104">
        <f>CHOOSE(MATCH(IF($U406="","Основний",$U406),{"Трафіковий","Основний","Маржинальний","Сезонний","Стратегічний"},0),0.17,0.2,0.25,0.24,0.28)</f>
        <v/>
      </c>
      <c r="AD406" s="104">
        <f>CHOOSE(MATCH(IF($U406="","Основний",$U406),{"Трафіковий","Основний","Маржинальний","Сезонний","Стратегічний"},0),0.18,0.21,0.26,0.25,0.3)</f>
        <v/>
      </c>
      <c r="AE406" s="104">
        <f>CHOOSE(MATCH(IF($U406="","Основний",$U406),{"Трафіковий","Основний","Маржинальний","Сезонний","Стратегічний"},0),0.18,0.2,0.28,0.27,0.32)</f>
        <v/>
      </c>
      <c r="AF406" s="104">
        <f>CHOOSE(MATCH(IF($U406="","Основний",$U406),{"Трафіковий","Основний","Маржинальний","Сезонний","Стратегічний"},0),0.15,0.175,0.22,0.21,0.25)</f>
        <v/>
      </c>
      <c r="AG406" s="104">
        <f>CHOOSE(MATCH(IF($U406="","Основний",$U406),{"Трафіковий","Основний","Маржинальний","Сезонний","Стратегічний"},0),0.13,0.16,0.21,0.2,0.25)</f>
        <v/>
      </c>
      <c r="AH406" s="104">
        <f>CHOOSE(MATCH(IF($U406="","Основний",$U406),{"Трафіковий","Основний","Маржинальний","Сезонний","Стратегічний"},0),0.15,0.18,0.23,0.22,0.27)</f>
        <v/>
      </c>
      <c r="AI406" s="104">
        <f>CHOOSE(MATCH(IF($U406="","Основний",$U406),{"Трафіковий","Основний","Маржинальний","Сезонний","Стратегічний"},0),0.16,0.19,0.25,0.23,0.29)</f>
        <v/>
      </c>
      <c r="AJ406" s="104">
        <f>CHOOSE(MATCH(IF($U406="","Основний",$U406),{"Трафіковий","Основний","Маржинальний","Сезонний","Стратегічний"},0),0.14,0.17,0.22,0.21,0.25)</f>
        <v/>
      </c>
      <c r="AK406" s="104">
        <f>CHOOSE(MATCH(IF($U406="","Основний",$U406),{"Трафіковий","Основний","Маржинальний","Сезонний","Стратегічний"},0),0.15,0.18,0.23,0.22,0.27)</f>
        <v/>
      </c>
      <c r="AL406" s="104">
        <f>CHOOSE(MATCH(IF($U406="","Основний",$U406),{"Трафіковий","Основний","Маржинальний","Сезонний","Стратегічний"},0),0.15,0.17,0.25,0.24,0.29)</f>
        <v/>
      </c>
      <c r="AM406" s="104">
        <f>CHOOSE(MATCH(IF($U406="","Основний",$U406),{"Трафіковий","Основний","Маржинальний","Сезонний","Стратегічний"},0),0.12,0.145,0.19,0.18,0.22)</f>
        <v/>
      </c>
      <c r="AN406" s="157">
        <f>CHOOSE(MATCH(IF($U406="","Основний",$U406),{"Трафіковий","Основний","Маржинальний","Сезонний","Стратегічний"},0),Settings!$B$78,Settings!$B$80,Settings!$B$82,Settings!$B$84,Settings!$B$86)</f>
        <v/>
      </c>
      <c r="AO406" s="157">
        <f>CHOOSE(MATCH(IF($U406="","Основний",$U406),{"Трафіковий","Основний","Маржинальний","Сезонний","Стратегічний"},0),Settings!$C$78,Settings!$C$80,Settings!$C$82,Settings!$C$84,Settings!$C$86)</f>
        <v/>
      </c>
      <c r="AP406" s="157">
        <f>CHOOSE(MATCH(IF($U406="","Основний",$U406),{"Трафіковий","Основний","Маржинальний","Сезонний","Стратегічний"},0),Settings!$D$78,Settings!$D$80,Settings!$D$82,Settings!$D$84,Settings!$D$86)</f>
        <v/>
      </c>
      <c r="AQ406" s="157">
        <f>CHOOSE(MATCH(IF($U406="","Основний",$U406),{"Трафіковий","Основний","Маржинальний","Сезонний","Стратегічний"},0),Settings!$F$78,Settings!$F$80,Settings!$F$82,Settings!$F$84,Settings!$F$86)</f>
        <v/>
      </c>
      <c r="AR406" s="157">
        <f>CHOOSE(MATCH(IF($U406="","Основний",$U406),{"Трафіковий","Основний","Маржинальний","Сезонний","Стратегічний"},0),Settings!$G$78,Settings!$G$80,Settings!$G$82,Settings!$G$84,Settings!$G$86)</f>
        <v/>
      </c>
      <c r="AS406" s="157">
        <f>CHOOSE(MATCH(IF($U406="","Основний",$U406),{"Трафіковий","Основний","Маржинальний","Сезонний","Стратегічний"},0),Settings!$H$78,Settings!$H$80,Settings!$H$82,Settings!$H$84,Settings!$H$86)</f>
        <v/>
      </c>
      <c r="AT406" s="157">
        <f>CHOOSE(MATCH(IF($U406="","Основний",$U406),{"Трафіковий","Основний","Маржинальний","Сезонний","Стратегічний"},0),Settings!$I$78,Settings!$I$80,Settings!$I$82,Settings!$I$84,Settings!$I$86)</f>
        <v/>
      </c>
      <c r="AU406" s="171" t="n"/>
      <c r="AV406" t="n">
        <v>1.35</v>
      </c>
    </row>
    <row r="407">
      <c r="A407" s="33" t="n"/>
      <c r="B407" s="34" t="inlineStr">
        <is>
          <t>A1396</t>
        </is>
      </c>
      <c r="C407" s="34" t="inlineStr">
        <is>
          <t>WALL SOCKET IP44 SCHUKO</t>
        </is>
      </c>
      <c r="D407" s="34" t="inlineStr">
        <is>
          <t>Вуличні вимикачи та розетки</t>
        </is>
      </c>
      <c r="E407" s="33" t="inlineStr">
        <is>
          <t>PC</t>
        </is>
      </c>
      <c r="F407" s="94" t="n">
        <v>1.072</v>
      </c>
      <c r="G407" s="35" t="n">
        <v>8536699099</v>
      </c>
      <c r="H407" s="31" t="n">
        <v>1.35</v>
      </c>
      <c r="I407" s="84">
        <f>IFERROR(F407*Settings!$B$2*H407*IF(AND(ISNUMBER(E407),E407&gt;1),E407,1),"")</f>
        <v/>
      </c>
      <c r="J407" s="32">
        <f>Settings!$B$66</f>
        <v/>
      </c>
      <c r="K407" s="95">
        <f>IFERROR(IF(T407="","",(T407*(1-AN407)*(1-Settings!$B$17)-I407)/(T407*(1-AN407)*(1-Settings!$B$17))),"")</f>
        <v/>
      </c>
      <c r="L407" s="101">
        <f>IFERROR(IF(T407="","",(T407*(1-AO407)*(1-Settings!$C$17)-I407)/(T407*(1-AO407)*(1-Settings!$C$17))),"")</f>
        <v/>
      </c>
      <c r="M407" s="101">
        <f>IFERROR(IF(T407="","",(T407*(1-AP407)*(1-Settings!$D$17)-I407)/(T407*(1-AP407)*(1-Settings!$D$17))),"")</f>
        <v/>
      </c>
      <c r="N407" s="101">
        <f>IFERROR(IF(T407="","",(T407*(1-AQ407)*(1-Settings!$F$17)-I407)/(T407*(1-AQ407)*(1-Settings!$F$17))),"")</f>
        <v/>
      </c>
      <c r="O407" s="101">
        <f>IFERROR(IF(T407="","",(T407*(1-AR407)*(1-Settings!$G$17)-I407)/(T407*(1-AR407)*(1-Settings!$G$17))),"")</f>
        <v/>
      </c>
      <c r="P407" s="101">
        <f>IFERROR(IF(T407="","",(T407*(1-AS407)*(1-Settings!$H$17)-I407)/(T407*(1-AS407)*(1-Settings!$H$17))),"")</f>
        <v/>
      </c>
      <c r="Q407" s="101">
        <f>IFERROR(IF(T407="","",(T407*(1-AT407)*(1-Settings!$I$68)*(1-Settings!$I$17)-I407)/(T407*(1-AT407)*(1-Settings!$I$68)*(1-Settings!$I$17))),"")</f>
        <v/>
      </c>
      <c r="R407" s="91">
        <f>IFERROR(IF(OR(I407="",Z407&gt;=1,Settings!$B$17&gt;=1,AN407&gt;=1),"",IF(MOD(ROUND(I407/(1-Z407)/(1-Settings!$B$17)/(1-AN407),0),10)=0,ROUND(I407/(1-Z407)/(1-Settings!$B$17)/(1-AN407),0)-1,IF(MOD(ROUND(I407/(1-Z407)/(1-Settings!$B$17)/(1-AN407),0),10)&lt;=5,FLOOR(ROUND(I407/(1-Z407)/(1-Settings!$B$17)/(1-AN407),0),10)+6,FLOOR(ROUND(I407/(1-Z407)/(1-Settings!$B$17)/(1-AN407),0),10)+9))),"")</f>
        <v/>
      </c>
      <c r="S407" s="174">
        <f>R407*0.95</f>
        <v/>
      </c>
      <c r="T407" s="91">
        <f>IF(S407&lt;&gt;"", IF(MOD(S407,10)=0,S407-1,IF(MOD(S407,10)&lt;=5,FLOOR(S407,10)+6,FLOOR(S407,10)+9)), R407)</f>
        <v/>
      </c>
      <c r="U407" s="87" t="inlineStr">
        <is>
          <t>Основний</t>
        </is>
      </c>
      <c r="V407" s="88" t="n"/>
      <c r="W407" s="88" t="n"/>
      <c r="X407" s="89">
        <f>IFERROR(IF(OR(V407="",W407="",T407=""),"", IF(T407&gt;W407,"Дорогий",IF(T407&lt;V407,"Дешевий","У ринку"))),"")</f>
        <v/>
      </c>
      <c r="Y407" s="90" t="n"/>
      <c r="Z407" s="104">
        <f>CHOOSE(MATCH(IF($U407="","Основний",$U407),{"Трафіковий","Основний","Маржинальний","Сезонний","Стратегічний"},0),0.16,0.19,0.24,0.23,0.28)</f>
        <v/>
      </c>
      <c r="AA407" s="104">
        <f>CHOOSE(MATCH(IF($U407="","Основний",$U407),{"Трафіковий","Основний","Маржинальний","Сезонний","Стратегічний"},0),0.18,0.21,0.26,0.25,0.3)</f>
        <v/>
      </c>
      <c r="AB407" s="104">
        <f>CHOOSE(MATCH(IF($U407="","Основний",$U407),{"Трафіковий","Основний","Маржинальний","Сезонний","Стратегічний"},0),0.19,0.22,0.28,0.26,0.32)</f>
        <v/>
      </c>
      <c r="AC407" s="104">
        <f>CHOOSE(MATCH(IF($U407="","Основний",$U407),{"Трафіковий","Основний","Маржинальний","Сезонний","Стратегічний"},0),0.17,0.2,0.25,0.24,0.28)</f>
        <v/>
      </c>
      <c r="AD407" s="104">
        <f>CHOOSE(MATCH(IF($U407="","Основний",$U407),{"Трафіковий","Основний","Маржинальний","Сезонний","Стратегічний"},0),0.18,0.21,0.26,0.25,0.3)</f>
        <v/>
      </c>
      <c r="AE407" s="104">
        <f>CHOOSE(MATCH(IF($U407="","Основний",$U407),{"Трафіковий","Основний","Маржинальний","Сезонний","Стратегічний"},0),0.18,0.2,0.28,0.27,0.32)</f>
        <v/>
      </c>
      <c r="AF407" s="104">
        <f>CHOOSE(MATCH(IF($U407="","Основний",$U407),{"Трафіковий","Основний","Маржинальний","Сезонний","Стратегічний"},0),0.15,0.175,0.22,0.21,0.25)</f>
        <v/>
      </c>
      <c r="AG407" s="104">
        <f>CHOOSE(MATCH(IF($U407="","Основний",$U407),{"Трафіковий","Основний","Маржинальний","Сезонний","Стратегічний"},0),0.13,0.16,0.21,0.2,0.25)</f>
        <v/>
      </c>
      <c r="AH407" s="104">
        <f>CHOOSE(MATCH(IF($U407="","Основний",$U407),{"Трафіковий","Основний","Маржинальний","Сезонний","Стратегічний"},0),0.15,0.18,0.23,0.22,0.27)</f>
        <v/>
      </c>
      <c r="AI407" s="104">
        <f>CHOOSE(MATCH(IF($U407="","Основний",$U407),{"Трафіковий","Основний","Маржинальний","Сезонний","Стратегічний"},0),0.16,0.19,0.25,0.23,0.29)</f>
        <v/>
      </c>
      <c r="AJ407" s="104">
        <f>CHOOSE(MATCH(IF($U407="","Основний",$U407),{"Трафіковий","Основний","Маржинальний","Сезонний","Стратегічний"},0),0.14,0.17,0.22,0.21,0.25)</f>
        <v/>
      </c>
      <c r="AK407" s="104">
        <f>CHOOSE(MATCH(IF($U407="","Основний",$U407),{"Трафіковий","Основний","Маржинальний","Сезонний","Стратегічний"},0),0.15,0.18,0.23,0.22,0.27)</f>
        <v/>
      </c>
      <c r="AL407" s="104">
        <f>CHOOSE(MATCH(IF($U407="","Основний",$U407),{"Трафіковий","Основний","Маржинальний","Сезонний","Стратегічний"},0),0.15,0.17,0.25,0.24,0.29)</f>
        <v/>
      </c>
      <c r="AM407" s="104">
        <f>CHOOSE(MATCH(IF($U407="","Основний",$U407),{"Трафіковий","Основний","Маржинальний","Сезонний","Стратегічний"},0),0.12,0.145,0.19,0.18,0.22)</f>
        <v/>
      </c>
      <c r="AN407" s="157">
        <f>CHOOSE(MATCH(IF($U407="","Основний",$U407),{"Трафіковий","Основний","Маржинальний","Сезонний","Стратегічний"},0),Settings!$B$78,Settings!$B$80,Settings!$B$82,Settings!$B$84,Settings!$B$86)</f>
        <v/>
      </c>
      <c r="AO407" s="157">
        <f>CHOOSE(MATCH(IF($U407="","Основний",$U407),{"Трафіковий","Основний","Маржинальний","Сезонний","Стратегічний"},0),Settings!$C$78,Settings!$C$80,Settings!$C$82,Settings!$C$84,Settings!$C$86)</f>
        <v/>
      </c>
      <c r="AP407" s="157">
        <f>CHOOSE(MATCH(IF($U407="","Основний",$U407),{"Трафіковий","Основний","Маржинальний","Сезонний","Стратегічний"},0),Settings!$D$78,Settings!$D$80,Settings!$D$82,Settings!$D$84,Settings!$D$86)</f>
        <v/>
      </c>
      <c r="AQ407" s="157">
        <f>CHOOSE(MATCH(IF($U407="","Основний",$U407),{"Трафіковий","Основний","Маржинальний","Сезонний","Стратегічний"},0),Settings!$F$78,Settings!$F$80,Settings!$F$82,Settings!$F$84,Settings!$F$86)</f>
        <v/>
      </c>
      <c r="AR407" s="157">
        <f>CHOOSE(MATCH(IF($U407="","Основний",$U407),{"Трафіковий","Основний","Маржинальний","Сезонний","Стратегічний"},0),Settings!$G$78,Settings!$G$80,Settings!$G$82,Settings!$G$84,Settings!$G$86)</f>
        <v/>
      </c>
      <c r="AS407" s="157">
        <f>CHOOSE(MATCH(IF($U407="","Основний",$U407),{"Трафіковий","Основний","Маржинальний","Сезонний","Стратегічний"},0),Settings!$H$78,Settings!$H$80,Settings!$H$82,Settings!$H$84,Settings!$H$86)</f>
        <v/>
      </c>
      <c r="AT407" s="157">
        <f>CHOOSE(MATCH(IF($U407="","Основний",$U407),{"Трафіковий","Основний","Маржинальний","Сезонний","Стратегічний"},0),Settings!$I$78,Settings!$I$80,Settings!$I$82,Settings!$I$84,Settings!$I$86)</f>
        <v/>
      </c>
      <c r="AU407" s="171" t="n"/>
      <c r="AV407" t="n">
        <v>1.35</v>
      </c>
    </row>
    <row r="408">
      <c r="A408" s="28" t="n"/>
      <c r="B408" s="29" t="inlineStr">
        <is>
          <t>A1396.1</t>
        </is>
      </c>
      <c r="C408" s="29" t="inlineStr">
        <is>
          <t>DOUBLE SOCKET IP44 SCHUKO</t>
        </is>
      </c>
      <c r="D408" s="29" t="inlineStr">
        <is>
          <t>Вуличні вимикачи та розетки</t>
        </is>
      </c>
      <c r="E408" s="28" t="inlineStr">
        <is>
          <t>PC</t>
        </is>
      </c>
      <c r="F408" s="93" t="n">
        <v>2.09</v>
      </c>
      <c r="G408" s="30" t="n">
        <v>8536699099</v>
      </c>
      <c r="H408" s="31" t="n">
        <v>1.35</v>
      </c>
      <c r="I408" s="84">
        <f>IFERROR(F408*Settings!$B$2*H408*IF(AND(ISNUMBER(E408),E408&gt;1),E408,1),"")</f>
        <v/>
      </c>
      <c r="J408" s="32">
        <f>Settings!$B$66</f>
        <v/>
      </c>
      <c r="K408" s="95">
        <f>IFERROR(IF(T408="","",(T408*(1-AN408)*(1-Settings!$B$17)-I408)/(T408*(1-AN408)*(1-Settings!$B$17))),"")</f>
        <v/>
      </c>
      <c r="L408" s="101">
        <f>IFERROR(IF(T408="","",(T408*(1-AO408)*(1-Settings!$C$17)-I408)/(T408*(1-AO408)*(1-Settings!$C$17))),"")</f>
        <v/>
      </c>
      <c r="M408" s="101">
        <f>IFERROR(IF(T408="","",(T408*(1-AP408)*(1-Settings!$D$17)-I408)/(T408*(1-AP408)*(1-Settings!$D$17))),"")</f>
        <v/>
      </c>
      <c r="N408" s="101">
        <f>IFERROR(IF(T408="","",(T408*(1-AQ408)*(1-Settings!$F$17)-I408)/(T408*(1-AQ408)*(1-Settings!$F$17))),"")</f>
        <v/>
      </c>
      <c r="O408" s="101">
        <f>IFERROR(IF(T408="","",(T408*(1-AR408)*(1-Settings!$G$17)-I408)/(T408*(1-AR408)*(1-Settings!$G$17))),"")</f>
        <v/>
      </c>
      <c r="P408" s="101">
        <f>IFERROR(IF(T408="","",(T408*(1-AS408)*(1-Settings!$H$17)-I408)/(T408*(1-AS408)*(1-Settings!$H$17))),"")</f>
        <v/>
      </c>
      <c r="Q408" s="101">
        <f>IFERROR(IF(T408="","",(T408*(1-AT408)*(1-Settings!$I$68)*(1-Settings!$I$17)-I408)/(T408*(1-AT408)*(1-Settings!$I$68)*(1-Settings!$I$17))),"")</f>
        <v/>
      </c>
      <c r="R408" s="91">
        <f>IFERROR(IF(OR(I408="",Z408&gt;=1,Settings!$B$17&gt;=1,AN408&gt;=1),"",IF(MOD(ROUND(I408/(1-Z408)/(1-Settings!$B$17)/(1-AN408),0),10)=0,ROUND(I408/(1-Z408)/(1-Settings!$B$17)/(1-AN408),0)-1,IF(MOD(ROUND(I408/(1-Z408)/(1-Settings!$B$17)/(1-AN408),0),10)&lt;=5,FLOOR(ROUND(I408/(1-Z408)/(1-Settings!$B$17)/(1-AN408),0),10)+6,FLOOR(ROUND(I408/(1-Z408)/(1-Settings!$B$17)/(1-AN408),0),10)+9))),"")</f>
        <v/>
      </c>
      <c r="S408" s="174">
        <f>R408*0.95</f>
        <v/>
      </c>
      <c r="T408" s="91">
        <f>IF(S408&lt;&gt;"", IF(MOD(S408,10)=0,S408-1,IF(MOD(S408,10)&lt;=5,FLOOR(S408,10)+6,FLOOR(S408,10)+9)), R408)</f>
        <v/>
      </c>
      <c r="U408" s="87" t="inlineStr">
        <is>
          <t>Основний</t>
        </is>
      </c>
      <c r="V408" s="88" t="n"/>
      <c r="W408" s="88" t="n"/>
      <c r="X408" s="89">
        <f>IFERROR(IF(OR(V408="",W408="",T408=""),"", IF(T408&gt;W408,"Дорогий",IF(T408&lt;V408,"Дешевий","У ринку"))),"")</f>
        <v/>
      </c>
      <c r="Y408" s="90" t="n"/>
      <c r="Z408" s="104">
        <f>CHOOSE(MATCH(IF($U408="","Основний",$U408),{"Трафіковий","Основний","Маржинальний","Сезонний","Стратегічний"},0),0.16,0.19,0.24,0.23,0.28)</f>
        <v/>
      </c>
      <c r="AA408" s="104">
        <f>CHOOSE(MATCH(IF($U408="","Основний",$U408),{"Трафіковий","Основний","Маржинальний","Сезонний","Стратегічний"},0),0.18,0.21,0.26,0.25,0.3)</f>
        <v/>
      </c>
      <c r="AB408" s="104">
        <f>CHOOSE(MATCH(IF($U408="","Основний",$U408),{"Трафіковий","Основний","Маржинальний","Сезонний","Стратегічний"},0),0.19,0.22,0.28,0.26,0.32)</f>
        <v/>
      </c>
      <c r="AC408" s="104">
        <f>CHOOSE(MATCH(IF($U408="","Основний",$U408),{"Трафіковий","Основний","Маржинальний","Сезонний","Стратегічний"},0),0.17,0.2,0.25,0.24,0.28)</f>
        <v/>
      </c>
      <c r="AD408" s="104">
        <f>CHOOSE(MATCH(IF($U408="","Основний",$U408),{"Трафіковий","Основний","Маржинальний","Сезонний","Стратегічний"},0),0.18,0.21,0.26,0.25,0.3)</f>
        <v/>
      </c>
      <c r="AE408" s="104">
        <f>CHOOSE(MATCH(IF($U408="","Основний",$U408),{"Трафіковий","Основний","Маржинальний","Сезонний","Стратегічний"},0),0.18,0.2,0.28,0.27,0.32)</f>
        <v/>
      </c>
      <c r="AF408" s="104">
        <f>CHOOSE(MATCH(IF($U408="","Основний",$U408),{"Трафіковий","Основний","Маржинальний","Сезонний","Стратегічний"},0),0.15,0.175,0.22,0.21,0.25)</f>
        <v/>
      </c>
      <c r="AG408" s="104">
        <f>CHOOSE(MATCH(IF($U408="","Основний",$U408),{"Трафіковий","Основний","Маржинальний","Сезонний","Стратегічний"},0),0.13,0.16,0.21,0.2,0.25)</f>
        <v/>
      </c>
      <c r="AH408" s="104">
        <f>CHOOSE(MATCH(IF($U408="","Основний",$U408),{"Трафіковий","Основний","Маржинальний","Сезонний","Стратегічний"},0),0.15,0.18,0.23,0.22,0.27)</f>
        <v/>
      </c>
      <c r="AI408" s="104">
        <f>CHOOSE(MATCH(IF($U408="","Основний",$U408),{"Трафіковий","Основний","Маржинальний","Сезонний","Стратегічний"},0),0.16,0.19,0.25,0.23,0.29)</f>
        <v/>
      </c>
      <c r="AJ408" s="104">
        <f>CHOOSE(MATCH(IF($U408="","Основний",$U408),{"Трафіковий","Основний","Маржинальний","Сезонний","Стратегічний"},0),0.14,0.17,0.22,0.21,0.25)</f>
        <v/>
      </c>
      <c r="AK408" s="104">
        <f>CHOOSE(MATCH(IF($U408="","Основний",$U408),{"Трафіковий","Основний","Маржинальний","Сезонний","Стратегічний"},0),0.15,0.18,0.23,0.22,0.27)</f>
        <v/>
      </c>
      <c r="AL408" s="104">
        <f>CHOOSE(MATCH(IF($U408="","Основний",$U408),{"Трафіковий","Основний","Маржинальний","Сезонний","Стратегічний"},0),0.15,0.17,0.25,0.24,0.29)</f>
        <v/>
      </c>
      <c r="AM408" s="104">
        <f>CHOOSE(MATCH(IF($U408="","Основний",$U408),{"Трафіковий","Основний","Маржинальний","Сезонний","Стратегічний"},0),0.12,0.145,0.19,0.18,0.22)</f>
        <v/>
      </c>
      <c r="AN408" s="157">
        <f>CHOOSE(MATCH(IF($U408="","Основний",$U408),{"Трафіковий","Основний","Маржинальний","Сезонний","Стратегічний"},0),Settings!$B$78,Settings!$B$80,Settings!$B$82,Settings!$B$84,Settings!$B$86)</f>
        <v/>
      </c>
      <c r="AO408" s="157">
        <f>CHOOSE(MATCH(IF($U408="","Основний",$U408),{"Трафіковий","Основний","Маржинальний","Сезонний","Стратегічний"},0),Settings!$C$78,Settings!$C$80,Settings!$C$82,Settings!$C$84,Settings!$C$86)</f>
        <v/>
      </c>
      <c r="AP408" s="157">
        <f>CHOOSE(MATCH(IF($U408="","Основний",$U408),{"Трафіковий","Основний","Маржинальний","Сезонний","Стратегічний"},0),Settings!$D$78,Settings!$D$80,Settings!$D$82,Settings!$D$84,Settings!$D$86)</f>
        <v/>
      </c>
      <c r="AQ408" s="157">
        <f>CHOOSE(MATCH(IF($U408="","Основний",$U408),{"Трафіковий","Основний","Маржинальний","Сезонний","Стратегічний"},0),Settings!$F$78,Settings!$F$80,Settings!$F$82,Settings!$F$84,Settings!$F$86)</f>
        <v/>
      </c>
      <c r="AR408" s="157">
        <f>CHOOSE(MATCH(IF($U408="","Основний",$U408),{"Трафіковий","Основний","Маржинальний","Сезонний","Стратегічний"},0),Settings!$G$78,Settings!$G$80,Settings!$G$82,Settings!$G$84,Settings!$G$86)</f>
        <v/>
      </c>
      <c r="AS408" s="157">
        <f>CHOOSE(MATCH(IF($U408="","Основний",$U408),{"Трафіковий","Основний","Маржинальний","Сезонний","Стратегічний"},0),Settings!$H$78,Settings!$H$80,Settings!$H$82,Settings!$H$84,Settings!$H$86)</f>
        <v/>
      </c>
      <c r="AT408" s="157">
        <f>CHOOSE(MATCH(IF($U408="","Основний",$U408),{"Трафіковий","Основний","Маржинальний","Сезонний","Стратегічний"},0),Settings!$I$78,Settings!$I$80,Settings!$I$82,Settings!$I$84,Settings!$I$86)</f>
        <v/>
      </c>
      <c r="AU408" s="171" t="n"/>
      <c r="AV408" t="n">
        <v>1.35</v>
      </c>
    </row>
    <row r="409">
      <c r="A409" s="33" t="n"/>
      <c r="B409" s="34" t="inlineStr">
        <is>
          <t>A1398</t>
        </is>
      </c>
      <c r="C409" s="34" t="inlineStr">
        <is>
          <t>WALLMOUNTED SWITCH C.1,6 IP54</t>
        </is>
      </c>
      <c r="D409" s="34" t="inlineStr">
        <is>
          <t>Вуличні вимикачи та розетки</t>
        </is>
      </c>
      <c r="E409" s="33" t="inlineStr">
        <is>
          <t>PC</t>
        </is>
      </c>
      <c r="F409" s="94" t="n">
        <v>1.046</v>
      </c>
      <c r="G409" s="35" t="n">
        <v>8536508000</v>
      </c>
      <c r="H409" s="31" t="n">
        <v>1.35</v>
      </c>
      <c r="I409" s="84">
        <f>IFERROR(F409*Settings!$B$2*H409*IF(AND(ISNUMBER(E409),E409&gt;1),E409,1),"")</f>
        <v/>
      </c>
      <c r="J409" s="32">
        <f>Settings!$B$66</f>
        <v/>
      </c>
      <c r="K409" s="95">
        <f>IFERROR(IF(T409="","",(T409*(1-AN409)*(1-Settings!$B$17)-I409)/(T409*(1-AN409)*(1-Settings!$B$17))),"")</f>
        <v/>
      </c>
      <c r="L409" s="101">
        <f>IFERROR(IF(T409="","",(T409*(1-AO409)*(1-Settings!$C$17)-I409)/(T409*(1-AO409)*(1-Settings!$C$17))),"")</f>
        <v/>
      </c>
      <c r="M409" s="101">
        <f>IFERROR(IF(T409="","",(T409*(1-AP409)*(1-Settings!$D$17)-I409)/(T409*(1-AP409)*(1-Settings!$D$17))),"")</f>
        <v/>
      </c>
      <c r="N409" s="101">
        <f>IFERROR(IF(T409="","",(T409*(1-AQ409)*(1-Settings!$F$17)-I409)/(T409*(1-AQ409)*(1-Settings!$F$17))),"")</f>
        <v/>
      </c>
      <c r="O409" s="101">
        <f>IFERROR(IF(T409="","",(T409*(1-AR409)*(1-Settings!$G$17)-I409)/(T409*(1-AR409)*(1-Settings!$G$17))),"")</f>
        <v/>
      </c>
      <c r="P409" s="101">
        <f>IFERROR(IF(T409="","",(T409*(1-AS409)*(1-Settings!$H$17)-I409)/(T409*(1-AS409)*(1-Settings!$H$17))),"")</f>
        <v/>
      </c>
      <c r="Q409" s="101">
        <f>IFERROR(IF(T409="","",(T409*(1-AT409)*(1-Settings!$I$68)*(1-Settings!$I$17)-I409)/(T409*(1-AT409)*(1-Settings!$I$68)*(1-Settings!$I$17))),"")</f>
        <v/>
      </c>
      <c r="R409" s="91">
        <f>IFERROR(IF(OR(I409="",Z409&gt;=1,Settings!$B$17&gt;=1,AN409&gt;=1),"",IF(MOD(ROUND(I409/(1-Z409)/(1-Settings!$B$17)/(1-AN409),0),10)=0,ROUND(I409/(1-Z409)/(1-Settings!$B$17)/(1-AN409),0)-1,IF(MOD(ROUND(I409/(1-Z409)/(1-Settings!$B$17)/(1-AN409),0),10)&lt;=5,FLOOR(ROUND(I409/(1-Z409)/(1-Settings!$B$17)/(1-AN409),0),10)+6,FLOOR(ROUND(I409/(1-Z409)/(1-Settings!$B$17)/(1-AN409),0),10)+9))),"")</f>
        <v/>
      </c>
      <c r="S409" s="174">
        <f>R409*0.95</f>
        <v/>
      </c>
      <c r="T409" s="91">
        <f>IF(S409&lt;&gt;"", IF(MOD(S409,10)=0,S409-1,IF(MOD(S409,10)&lt;=5,FLOOR(S409,10)+6,FLOOR(S409,10)+9)), R409)</f>
        <v/>
      </c>
      <c r="U409" s="87" t="inlineStr">
        <is>
          <t>Основний</t>
        </is>
      </c>
      <c r="V409" s="88" t="n"/>
      <c r="W409" s="88" t="n"/>
      <c r="X409" s="89">
        <f>IFERROR(IF(OR(V409="",W409="",T409=""),"", IF(T409&gt;W409,"Дорогий",IF(T409&lt;V409,"Дешевий","У ринку"))),"")</f>
        <v/>
      </c>
      <c r="Y409" s="90" t="n"/>
      <c r="Z409" s="104">
        <f>CHOOSE(MATCH(IF($U409="","Основний",$U409),{"Трафіковий","Основний","Маржинальний","Сезонний","Стратегічний"},0),0.16,0.19,0.24,0.23,0.28)</f>
        <v/>
      </c>
      <c r="AA409" s="104">
        <f>CHOOSE(MATCH(IF($U409="","Основний",$U409),{"Трафіковий","Основний","Маржинальний","Сезонний","Стратегічний"},0),0.18,0.21,0.26,0.25,0.3)</f>
        <v/>
      </c>
      <c r="AB409" s="104">
        <f>CHOOSE(MATCH(IF($U409="","Основний",$U409),{"Трафіковий","Основний","Маржинальний","Сезонний","Стратегічний"},0),0.19,0.22,0.28,0.26,0.32)</f>
        <v/>
      </c>
      <c r="AC409" s="104">
        <f>CHOOSE(MATCH(IF($U409="","Основний",$U409),{"Трафіковий","Основний","Маржинальний","Сезонний","Стратегічний"},0),0.17,0.2,0.25,0.24,0.28)</f>
        <v/>
      </c>
      <c r="AD409" s="104">
        <f>CHOOSE(MATCH(IF($U409="","Основний",$U409),{"Трафіковий","Основний","Маржинальний","Сезонний","Стратегічний"},0),0.18,0.21,0.26,0.25,0.3)</f>
        <v/>
      </c>
      <c r="AE409" s="104">
        <f>CHOOSE(MATCH(IF($U409="","Основний",$U409),{"Трафіковий","Основний","Маржинальний","Сезонний","Стратегічний"},0),0.18,0.2,0.28,0.27,0.32)</f>
        <v/>
      </c>
      <c r="AF409" s="104">
        <f>CHOOSE(MATCH(IF($U409="","Основний",$U409),{"Трафіковий","Основний","Маржинальний","Сезонний","Стратегічний"},0),0.15,0.175,0.22,0.21,0.25)</f>
        <v/>
      </c>
      <c r="AG409" s="104">
        <f>CHOOSE(MATCH(IF($U409="","Основний",$U409),{"Трафіковий","Основний","Маржинальний","Сезонний","Стратегічний"},0),0.13,0.16,0.21,0.2,0.25)</f>
        <v/>
      </c>
      <c r="AH409" s="104">
        <f>CHOOSE(MATCH(IF($U409="","Основний",$U409),{"Трафіковий","Основний","Маржинальний","Сезонний","Стратегічний"},0),0.15,0.18,0.23,0.22,0.27)</f>
        <v/>
      </c>
      <c r="AI409" s="104">
        <f>CHOOSE(MATCH(IF($U409="","Основний",$U409),{"Трафіковий","Основний","Маржинальний","Сезонний","Стратегічний"},0),0.16,0.19,0.25,0.23,0.29)</f>
        <v/>
      </c>
      <c r="AJ409" s="104">
        <f>CHOOSE(MATCH(IF($U409="","Основний",$U409),{"Трафіковий","Основний","Маржинальний","Сезонний","Стратегічний"},0),0.14,0.17,0.22,0.21,0.25)</f>
        <v/>
      </c>
      <c r="AK409" s="104">
        <f>CHOOSE(MATCH(IF($U409="","Основний",$U409),{"Трафіковий","Основний","Маржинальний","Сезонний","Стратегічний"},0),0.15,0.18,0.23,0.22,0.27)</f>
        <v/>
      </c>
      <c r="AL409" s="104">
        <f>CHOOSE(MATCH(IF($U409="","Основний",$U409),{"Трафіковий","Основний","Маржинальний","Сезонний","Стратегічний"},0),0.15,0.17,0.25,0.24,0.29)</f>
        <v/>
      </c>
      <c r="AM409" s="104">
        <f>CHOOSE(MATCH(IF($U409="","Основний",$U409),{"Трафіковий","Основний","Маржинальний","Сезонний","Стратегічний"},0),0.12,0.145,0.19,0.18,0.22)</f>
        <v/>
      </c>
      <c r="AN409" s="157">
        <f>CHOOSE(MATCH(IF($U409="","Основний",$U409),{"Трафіковий","Основний","Маржинальний","Сезонний","Стратегічний"},0),Settings!$B$78,Settings!$B$80,Settings!$B$82,Settings!$B$84,Settings!$B$86)</f>
        <v/>
      </c>
      <c r="AO409" s="157">
        <f>CHOOSE(MATCH(IF($U409="","Основний",$U409),{"Трафіковий","Основний","Маржинальний","Сезонний","Стратегічний"},0),Settings!$C$78,Settings!$C$80,Settings!$C$82,Settings!$C$84,Settings!$C$86)</f>
        <v/>
      </c>
      <c r="AP409" s="157">
        <f>CHOOSE(MATCH(IF($U409="","Основний",$U409),{"Трафіковий","Основний","Маржинальний","Сезонний","Стратегічний"},0),Settings!$D$78,Settings!$D$80,Settings!$D$82,Settings!$D$84,Settings!$D$86)</f>
        <v/>
      </c>
      <c r="AQ409" s="157">
        <f>CHOOSE(MATCH(IF($U409="","Основний",$U409),{"Трафіковий","Основний","Маржинальний","Сезонний","Стратегічний"},0),Settings!$F$78,Settings!$F$80,Settings!$F$82,Settings!$F$84,Settings!$F$86)</f>
        <v/>
      </c>
      <c r="AR409" s="157">
        <f>CHOOSE(MATCH(IF($U409="","Основний",$U409),{"Трафіковий","Основний","Маржинальний","Сезонний","Стратегічний"},0),Settings!$G$78,Settings!$G$80,Settings!$G$82,Settings!$G$84,Settings!$G$86)</f>
        <v/>
      </c>
      <c r="AS409" s="157">
        <f>CHOOSE(MATCH(IF($U409="","Основний",$U409),{"Трафіковий","Основний","Маржинальний","Сезонний","Стратегічний"},0),Settings!$H$78,Settings!$H$80,Settings!$H$82,Settings!$H$84,Settings!$H$86)</f>
        <v/>
      </c>
      <c r="AT409" s="157">
        <f>CHOOSE(MATCH(IF($U409="","Основний",$U409),{"Трафіковий","Основний","Маржинальний","Сезонний","Стратегічний"},0),Settings!$I$78,Settings!$I$80,Settings!$I$82,Settings!$I$84,Settings!$I$86)</f>
        <v/>
      </c>
      <c r="AU409" s="171" t="n"/>
      <c r="AV409" t="n">
        <v>1.35</v>
      </c>
    </row>
    <row r="410">
      <c r="A410" s="28" t="inlineStr">
        <is>
          <t>NEW</t>
        </is>
      </c>
      <c r="B410" s="29" t="inlineStr">
        <is>
          <t>A1396.3</t>
        </is>
      </c>
      <c r="C410" s="29" t="inlineStr">
        <is>
          <t>DOUBLE SOCKET IP44 SCHUKO VERTICAL</t>
        </is>
      </c>
      <c r="D410" s="29" t="inlineStr">
        <is>
          <t>Вуличні вимикачи та розетки</t>
        </is>
      </c>
      <c r="E410" s="28" t="inlineStr">
        <is>
          <t>PC</t>
        </is>
      </c>
      <c r="F410" s="93" t="n">
        <v>2.39</v>
      </c>
      <c r="G410" s="30" t="n">
        <v>8536699099</v>
      </c>
      <c r="H410" s="31" t="n">
        <v>1.35</v>
      </c>
      <c r="I410" s="84">
        <f>IFERROR(F410*Settings!$B$2*H410*IF(AND(ISNUMBER(E410),E410&gt;1),E410,1),"")</f>
        <v/>
      </c>
      <c r="J410" s="32">
        <f>Settings!$B$66</f>
        <v/>
      </c>
      <c r="K410" s="95">
        <f>IFERROR(IF(T410="","",(T410*(1-AN410)*(1-Settings!$B$17)-I410)/(T410*(1-AN410)*(1-Settings!$B$17))),"")</f>
        <v/>
      </c>
      <c r="L410" s="101">
        <f>IFERROR(IF(T410="","",(T410*(1-AO410)*(1-Settings!$C$17)-I410)/(T410*(1-AO410)*(1-Settings!$C$17))),"")</f>
        <v/>
      </c>
      <c r="M410" s="101">
        <f>IFERROR(IF(T410="","",(T410*(1-AP410)*(1-Settings!$D$17)-I410)/(T410*(1-AP410)*(1-Settings!$D$17))),"")</f>
        <v/>
      </c>
      <c r="N410" s="101">
        <f>IFERROR(IF(T410="","",(T410*(1-AQ410)*(1-Settings!$F$17)-I410)/(T410*(1-AQ410)*(1-Settings!$F$17))),"")</f>
        <v/>
      </c>
      <c r="O410" s="101">
        <f>IFERROR(IF(T410="","",(T410*(1-AR410)*(1-Settings!$G$17)-I410)/(T410*(1-AR410)*(1-Settings!$G$17))),"")</f>
        <v/>
      </c>
      <c r="P410" s="101">
        <f>IFERROR(IF(T410="","",(T410*(1-AS410)*(1-Settings!$H$17)-I410)/(T410*(1-AS410)*(1-Settings!$H$17))),"")</f>
        <v/>
      </c>
      <c r="Q410" s="101">
        <f>IFERROR(IF(T410="","",(T410*(1-AT410)*(1-Settings!$I$68)*(1-Settings!$I$17)-I410)/(T410*(1-AT410)*(1-Settings!$I$68)*(1-Settings!$I$17))),"")</f>
        <v/>
      </c>
      <c r="R410" s="91">
        <f>IFERROR(IF(OR(I410="",Z410&gt;=1,Settings!$B$17&gt;=1,AN410&gt;=1),"",IF(MOD(ROUND(I410/(1-Z410)/(1-Settings!$B$17)/(1-AN410),0),10)=0,ROUND(I410/(1-Z410)/(1-Settings!$B$17)/(1-AN410),0)-1,IF(MOD(ROUND(I410/(1-Z410)/(1-Settings!$B$17)/(1-AN410),0),10)&lt;=5,FLOOR(ROUND(I410/(1-Z410)/(1-Settings!$B$17)/(1-AN410),0),10)+6,FLOOR(ROUND(I410/(1-Z410)/(1-Settings!$B$17)/(1-AN410),0),10)+9))),"")</f>
        <v/>
      </c>
      <c r="S410" s="174">
        <f>R410*0.95</f>
        <v/>
      </c>
      <c r="T410" s="91">
        <f>IF(S410&lt;&gt;"", IF(MOD(S410,10)=0,S410-1,IF(MOD(S410,10)&lt;=5,FLOOR(S410,10)+6,FLOOR(S410,10)+9)), R410)</f>
        <v/>
      </c>
      <c r="U410" s="87" t="inlineStr">
        <is>
          <t>Основний</t>
        </is>
      </c>
      <c r="V410" s="88" t="n"/>
      <c r="W410" s="88" t="n"/>
      <c r="X410" s="89">
        <f>IFERROR(IF(OR(V410="",W410="",T410=""),"", IF(T410&gt;W410,"Дорогий",IF(T410&lt;V410,"Дешевий","У ринку"))),"")</f>
        <v/>
      </c>
      <c r="Y410" s="90" t="n"/>
      <c r="Z410" s="104">
        <f>CHOOSE(MATCH(IF($U410="","Основний",$U410),{"Трафіковий","Основний","Маржинальний","Сезонний","Стратегічний"},0),0.16,0.19,0.24,0.23,0.28)</f>
        <v/>
      </c>
      <c r="AA410" s="104">
        <f>CHOOSE(MATCH(IF($U410="","Основний",$U410),{"Трафіковий","Основний","Маржинальний","Сезонний","Стратегічний"},0),0.18,0.21,0.26,0.25,0.3)</f>
        <v/>
      </c>
      <c r="AB410" s="104">
        <f>CHOOSE(MATCH(IF($U410="","Основний",$U410),{"Трафіковий","Основний","Маржинальний","Сезонний","Стратегічний"},0),0.19,0.22,0.28,0.26,0.32)</f>
        <v/>
      </c>
      <c r="AC410" s="104">
        <f>CHOOSE(MATCH(IF($U410="","Основний",$U410),{"Трафіковий","Основний","Маржинальний","Сезонний","Стратегічний"},0),0.17,0.2,0.25,0.24,0.28)</f>
        <v/>
      </c>
      <c r="AD410" s="104">
        <f>CHOOSE(MATCH(IF($U410="","Основний",$U410),{"Трафіковий","Основний","Маржинальний","Сезонний","Стратегічний"},0),0.18,0.21,0.26,0.25,0.3)</f>
        <v/>
      </c>
      <c r="AE410" s="104">
        <f>CHOOSE(MATCH(IF($U410="","Основний",$U410),{"Трафіковий","Основний","Маржинальний","Сезонний","Стратегічний"},0),0.18,0.2,0.28,0.27,0.32)</f>
        <v/>
      </c>
      <c r="AF410" s="104">
        <f>CHOOSE(MATCH(IF($U410="","Основний",$U410),{"Трафіковий","Основний","Маржинальний","Сезонний","Стратегічний"},0),0.15,0.175,0.22,0.21,0.25)</f>
        <v/>
      </c>
      <c r="AG410" s="104">
        <f>CHOOSE(MATCH(IF($U410="","Основний",$U410),{"Трафіковий","Основний","Маржинальний","Сезонний","Стратегічний"},0),0.13,0.16,0.21,0.2,0.25)</f>
        <v/>
      </c>
      <c r="AH410" s="104">
        <f>CHOOSE(MATCH(IF($U410="","Основний",$U410),{"Трафіковий","Основний","Маржинальний","Сезонний","Стратегічний"},0),0.15,0.18,0.23,0.22,0.27)</f>
        <v/>
      </c>
      <c r="AI410" s="104">
        <f>CHOOSE(MATCH(IF($U410="","Основний",$U410),{"Трафіковий","Основний","Маржинальний","Сезонний","Стратегічний"},0),0.16,0.19,0.25,0.23,0.29)</f>
        <v/>
      </c>
      <c r="AJ410" s="104">
        <f>CHOOSE(MATCH(IF($U410="","Основний",$U410),{"Трафіковий","Основний","Маржинальний","Сезонний","Стратегічний"},0),0.14,0.17,0.22,0.21,0.25)</f>
        <v/>
      </c>
      <c r="AK410" s="104">
        <f>CHOOSE(MATCH(IF($U410="","Основний",$U410),{"Трафіковий","Основний","Маржинальний","Сезонний","Стратегічний"},0),0.15,0.18,0.23,0.22,0.27)</f>
        <v/>
      </c>
      <c r="AL410" s="104">
        <f>CHOOSE(MATCH(IF($U410="","Основний",$U410),{"Трафіковий","Основний","Маржинальний","Сезонний","Стратегічний"},0),0.15,0.17,0.25,0.24,0.29)</f>
        <v/>
      </c>
      <c r="AM410" s="104">
        <f>CHOOSE(MATCH(IF($U410="","Основний",$U410),{"Трафіковий","Основний","Маржинальний","Сезонний","Стратегічний"},0),0.12,0.145,0.19,0.18,0.22)</f>
        <v/>
      </c>
      <c r="AN410" s="157">
        <f>CHOOSE(MATCH(IF($U410="","Основний",$U410),{"Трафіковий","Основний","Маржинальний","Сезонний","Стратегічний"},0),Settings!$B$78,Settings!$B$80,Settings!$B$82,Settings!$B$84,Settings!$B$86)</f>
        <v/>
      </c>
      <c r="AO410" s="157">
        <f>CHOOSE(MATCH(IF($U410="","Основний",$U410),{"Трафіковий","Основний","Маржинальний","Сезонний","Стратегічний"},0),Settings!$C$78,Settings!$C$80,Settings!$C$82,Settings!$C$84,Settings!$C$86)</f>
        <v/>
      </c>
      <c r="AP410" s="157">
        <f>CHOOSE(MATCH(IF($U410="","Основний",$U410),{"Трафіковий","Основний","Маржинальний","Сезонний","Стратегічний"},0),Settings!$D$78,Settings!$D$80,Settings!$D$82,Settings!$D$84,Settings!$D$86)</f>
        <v/>
      </c>
      <c r="AQ410" s="157">
        <f>CHOOSE(MATCH(IF($U410="","Основний",$U410),{"Трафіковий","Основний","Маржинальний","Сезонний","Стратегічний"},0),Settings!$F$78,Settings!$F$80,Settings!$F$82,Settings!$F$84,Settings!$F$86)</f>
        <v/>
      </c>
      <c r="AR410" s="157">
        <f>CHOOSE(MATCH(IF($U410="","Основний",$U410),{"Трафіковий","Основний","Маржинальний","Сезонний","Стратегічний"},0),Settings!$G$78,Settings!$G$80,Settings!$G$82,Settings!$G$84,Settings!$G$86)</f>
        <v/>
      </c>
      <c r="AS410" s="157">
        <f>CHOOSE(MATCH(IF($U410="","Основний",$U410),{"Трафіковий","Основний","Маржинальний","Сезонний","Стратегічний"},0),Settings!$H$78,Settings!$H$80,Settings!$H$82,Settings!$H$84,Settings!$H$86)</f>
        <v/>
      </c>
      <c r="AT410" s="157">
        <f>CHOOSE(MATCH(IF($U410="","Основний",$U410),{"Трафіковий","Основний","Маржинальний","Сезонний","Стратегічний"},0),Settings!$I$78,Settings!$I$80,Settings!$I$82,Settings!$I$84,Settings!$I$86)</f>
        <v/>
      </c>
      <c r="AU410" s="171" t="n"/>
      <c r="AV410" t="n">
        <v>1.35</v>
      </c>
    </row>
    <row r="411">
      <c r="A411" s="33" t="inlineStr">
        <is>
          <t>NEW</t>
        </is>
      </c>
      <c r="B411" s="34" t="inlineStr">
        <is>
          <t>A1396.4</t>
        </is>
      </c>
      <c r="C411" s="34" t="inlineStr">
        <is>
          <t>WALL SOCKET+TWO-WAY SWITCH IP44 SCHUKO VERTICAL</t>
        </is>
      </c>
      <c r="D411" s="34" t="inlineStr">
        <is>
          <t>Вуличні вимикачи та розетки</t>
        </is>
      </c>
      <c r="E411" s="33" t="inlineStr">
        <is>
          <t>PC</t>
        </is>
      </c>
      <c r="F411" s="94" t="n">
        <v>2.451</v>
      </c>
      <c r="G411" s="35" t="n">
        <v>8536699099</v>
      </c>
      <c r="H411" s="31" t="n">
        <v>1.35</v>
      </c>
      <c r="I411" s="84">
        <f>IFERROR(F411*Settings!$B$2*H411*IF(AND(ISNUMBER(E411),E411&gt;1),E411,1),"")</f>
        <v/>
      </c>
      <c r="J411" s="32">
        <f>Settings!$B$66</f>
        <v/>
      </c>
      <c r="K411" s="95">
        <f>IFERROR(IF(T411="","",(T411*(1-AN411)*(1-Settings!$B$17)-I411)/(T411*(1-AN411)*(1-Settings!$B$17))),"")</f>
        <v/>
      </c>
      <c r="L411" s="101">
        <f>IFERROR(IF(T411="","",(T411*(1-AO411)*(1-Settings!$C$17)-I411)/(T411*(1-AO411)*(1-Settings!$C$17))),"")</f>
        <v/>
      </c>
      <c r="M411" s="101">
        <f>IFERROR(IF(T411="","",(T411*(1-AP411)*(1-Settings!$D$17)-I411)/(T411*(1-AP411)*(1-Settings!$D$17))),"")</f>
        <v/>
      </c>
      <c r="N411" s="101">
        <f>IFERROR(IF(T411="","",(T411*(1-AQ411)*(1-Settings!$F$17)-I411)/(T411*(1-AQ411)*(1-Settings!$F$17))),"")</f>
        <v/>
      </c>
      <c r="O411" s="101">
        <f>IFERROR(IF(T411="","",(T411*(1-AR411)*(1-Settings!$G$17)-I411)/(T411*(1-AR411)*(1-Settings!$G$17))),"")</f>
        <v/>
      </c>
      <c r="P411" s="101">
        <f>IFERROR(IF(T411="","",(T411*(1-AS411)*(1-Settings!$H$17)-I411)/(T411*(1-AS411)*(1-Settings!$H$17))),"")</f>
        <v/>
      </c>
      <c r="Q411" s="101">
        <f>IFERROR(IF(T411="","",(T411*(1-AT411)*(1-Settings!$I$68)*(1-Settings!$I$17)-I411)/(T411*(1-AT411)*(1-Settings!$I$68)*(1-Settings!$I$17))),"")</f>
        <v/>
      </c>
      <c r="R411" s="91">
        <f>IFERROR(IF(OR(I411="",Z411&gt;=1,Settings!$B$17&gt;=1,AN411&gt;=1),"",IF(MOD(ROUND(I411/(1-Z411)/(1-Settings!$B$17)/(1-AN411),0),10)=0,ROUND(I411/(1-Z411)/(1-Settings!$B$17)/(1-AN411),0)-1,IF(MOD(ROUND(I411/(1-Z411)/(1-Settings!$B$17)/(1-AN411),0),10)&lt;=5,FLOOR(ROUND(I411/(1-Z411)/(1-Settings!$B$17)/(1-AN411),0),10)+6,FLOOR(ROUND(I411/(1-Z411)/(1-Settings!$B$17)/(1-AN411),0),10)+9))),"")</f>
        <v/>
      </c>
      <c r="S411" s="174">
        <f>R411*0.95</f>
        <v/>
      </c>
      <c r="T411" s="91">
        <f>IF(S411&lt;&gt;"", IF(MOD(S411,10)=0,S411-1,IF(MOD(S411,10)&lt;=5,FLOOR(S411,10)+6,FLOOR(S411,10)+9)), R411)</f>
        <v/>
      </c>
      <c r="U411" s="87" t="inlineStr">
        <is>
          <t>Основний</t>
        </is>
      </c>
      <c r="V411" s="88" t="n"/>
      <c r="W411" s="88" t="n"/>
      <c r="X411" s="89">
        <f>IFERROR(IF(OR(V411="",W411="",T411=""),"", IF(T411&gt;W411,"Дорогий",IF(T411&lt;V411,"Дешевий","У ринку"))),"")</f>
        <v/>
      </c>
      <c r="Y411" s="90" t="n"/>
      <c r="Z411" s="104">
        <f>CHOOSE(MATCH(IF($U411="","Основний",$U411),{"Трафіковий","Основний","Маржинальний","Сезонний","Стратегічний"},0),0.16,0.19,0.24,0.23,0.28)</f>
        <v/>
      </c>
      <c r="AA411" s="104">
        <f>CHOOSE(MATCH(IF($U411="","Основний",$U411),{"Трафіковий","Основний","Маржинальний","Сезонний","Стратегічний"},0),0.18,0.21,0.26,0.25,0.3)</f>
        <v/>
      </c>
      <c r="AB411" s="104">
        <f>CHOOSE(MATCH(IF($U411="","Основний",$U411),{"Трафіковий","Основний","Маржинальний","Сезонний","Стратегічний"},0),0.19,0.22,0.28,0.26,0.32)</f>
        <v/>
      </c>
      <c r="AC411" s="104">
        <f>CHOOSE(MATCH(IF($U411="","Основний",$U411),{"Трафіковий","Основний","Маржинальний","Сезонний","Стратегічний"},0),0.17,0.2,0.25,0.24,0.28)</f>
        <v/>
      </c>
      <c r="AD411" s="104">
        <f>CHOOSE(MATCH(IF($U411="","Основний",$U411),{"Трафіковий","Основний","Маржинальний","Сезонний","Стратегічний"},0),0.18,0.21,0.26,0.25,0.3)</f>
        <v/>
      </c>
      <c r="AE411" s="104">
        <f>CHOOSE(MATCH(IF($U411="","Основний",$U411),{"Трафіковий","Основний","Маржинальний","Сезонний","Стратегічний"},0),0.18,0.2,0.28,0.27,0.32)</f>
        <v/>
      </c>
      <c r="AF411" s="104">
        <f>CHOOSE(MATCH(IF($U411="","Основний",$U411),{"Трафіковий","Основний","Маржинальний","Сезонний","Стратегічний"},0),0.15,0.175,0.22,0.21,0.25)</f>
        <v/>
      </c>
      <c r="AG411" s="104">
        <f>CHOOSE(MATCH(IF($U411="","Основний",$U411),{"Трафіковий","Основний","Маржинальний","Сезонний","Стратегічний"},0),0.13,0.16,0.21,0.2,0.25)</f>
        <v/>
      </c>
      <c r="AH411" s="104">
        <f>CHOOSE(MATCH(IF($U411="","Основний",$U411),{"Трафіковий","Основний","Маржинальний","Сезонний","Стратегічний"},0),0.15,0.18,0.23,0.22,0.27)</f>
        <v/>
      </c>
      <c r="AI411" s="104">
        <f>CHOOSE(MATCH(IF($U411="","Основний",$U411),{"Трафіковий","Основний","Маржинальний","Сезонний","Стратегічний"},0),0.16,0.19,0.25,0.23,0.29)</f>
        <v/>
      </c>
      <c r="AJ411" s="104">
        <f>CHOOSE(MATCH(IF($U411="","Основний",$U411),{"Трафіковий","Основний","Маржинальний","Сезонний","Стратегічний"},0),0.14,0.17,0.22,0.21,0.25)</f>
        <v/>
      </c>
      <c r="AK411" s="104">
        <f>CHOOSE(MATCH(IF($U411="","Основний",$U411),{"Трафіковий","Основний","Маржинальний","Сезонний","Стратегічний"},0),0.15,0.18,0.23,0.22,0.27)</f>
        <v/>
      </c>
      <c r="AL411" s="104">
        <f>CHOOSE(MATCH(IF($U411="","Основний",$U411),{"Трафіковий","Основний","Маржинальний","Сезонний","Стратегічний"},0),0.15,0.17,0.25,0.24,0.29)</f>
        <v/>
      </c>
      <c r="AM411" s="104">
        <f>CHOOSE(MATCH(IF($U411="","Основний",$U411),{"Трафіковий","Основний","Маржинальний","Сезонний","Стратегічний"},0),0.12,0.145,0.19,0.18,0.22)</f>
        <v/>
      </c>
      <c r="AN411" s="157">
        <f>CHOOSE(MATCH(IF($U411="","Основний",$U411),{"Трафіковий","Основний","Маржинальний","Сезонний","Стратегічний"},0),Settings!$B$78,Settings!$B$80,Settings!$B$82,Settings!$B$84,Settings!$B$86)</f>
        <v/>
      </c>
      <c r="AO411" s="157">
        <f>CHOOSE(MATCH(IF($U411="","Основний",$U411),{"Трафіковий","Основний","Маржинальний","Сезонний","Стратегічний"},0),Settings!$C$78,Settings!$C$80,Settings!$C$82,Settings!$C$84,Settings!$C$86)</f>
        <v/>
      </c>
      <c r="AP411" s="157">
        <f>CHOOSE(MATCH(IF($U411="","Основний",$U411),{"Трафіковий","Основний","Маржинальний","Сезонний","Стратегічний"},0),Settings!$D$78,Settings!$D$80,Settings!$D$82,Settings!$D$84,Settings!$D$86)</f>
        <v/>
      </c>
      <c r="AQ411" s="157">
        <f>CHOOSE(MATCH(IF($U411="","Основний",$U411),{"Трафіковий","Основний","Маржинальний","Сезонний","Стратегічний"},0),Settings!$F$78,Settings!$F$80,Settings!$F$82,Settings!$F$84,Settings!$F$86)</f>
        <v/>
      </c>
      <c r="AR411" s="157">
        <f>CHOOSE(MATCH(IF($U411="","Основний",$U411),{"Трафіковий","Основний","Маржинальний","Сезонний","Стратегічний"},0),Settings!$G$78,Settings!$G$80,Settings!$G$82,Settings!$G$84,Settings!$G$86)</f>
        <v/>
      </c>
      <c r="AS411" s="157">
        <f>CHOOSE(MATCH(IF($U411="","Основний",$U411),{"Трафіковий","Основний","Маржинальний","Сезонний","Стратегічний"},0),Settings!$H$78,Settings!$H$80,Settings!$H$82,Settings!$H$84,Settings!$H$86)</f>
        <v/>
      </c>
      <c r="AT411" s="157">
        <f>CHOOSE(MATCH(IF($U411="","Основний",$U411),{"Трафіковий","Основний","Маржинальний","Сезонний","Стратегічний"},0),Settings!$I$78,Settings!$I$80,Settings!$I$82,Settings!$I$84,Settings!$I$86)</f>
        <v/>
      </c>
      <c r="AU411" s="171" t="n"/>
      <c r="AV411" t="n">
        <v>1.35</v>
      </c>
    </row>
    <row r="412">
      <c r="A412" s="28" t="n"/>
      <c r="B412" s="29" t="inlineStr">
        <is>
          <t>A1398.1</t>
        </is>
      </c>
      <c r="C412" s="29" t="inlineStr">
        <is>
          <t>WALLMOUNTED SWITCH C.5 IP54</t>
        </is>
      </c>
      <c r="D412" s="29" t="inlineStr">
        <is>
          <t>Вуличні вимикачи та розетки</t>
        </is>
      </c>
      <c r="E412" s="28" t="inlineStr">
        <is>
          <t>PC</t>
        </is>
      </c>
      <c r="F412" s="93" t="n">
        <v>1.301</v>
      </c>
      <c r="G412" s="30" t="n">
        <v>8536508000</v>
      </c>
      <c r="H412" s="31" t="n">
        <v>1.35</v>
      </c>
      <c r="I412" s="84">
        <f>IFERROR(F412*Settings!$B$2*H412*IF(AND(ISNUMBER(E412),E412&gt;1),E412,1),"")</f>
        <v/>
      </c>
      <c r="J412" s="32">
        <f>Settings!$B$66</f>
        <v/>
      </c>
      <c r="K412" s="95">
        <f>IFERROR(IF(T412="","",(T412*(1-AN412)*(1-Settings!$B$17)-I412)/(T412*(1-AN412)*(1-Settings!$B$17))),"")</f>
        <v/>
      </c>
      <c r="L412" s="101">
        <f>IFERROR(IF(T412="","",(T412*(1-AO412)*(1-Settings!$C$17)-I412)/(T412*(1-AO412)*(1-Settings!$C$17))),"")</f>
        <v/>
      </c>
      <c r="M412" s="101">
        <f>IFERROR(IF(T412="","",(T412*(1-AP412)*(1-Settings!$D$17)-I412)/(T412*(1-AP412)*(1-Settings!$D$17))),"")</f>
        <v/>
      </c>
      <c r="N412" s="101">
        <f>IFERROR(IF(T412="","",(T412*(1-AQ412)*(1-Settings!$F$17)-I412)/(T412*(1-AQ412)*(1-Settings!$F$17))),"")</f>
        <v/>
      </c>
      <c r="O412" s="101">
        <f>IFERROR(IF(T412="","",(T412*(1-AR412)*(1-Settings!$G$17)-I412)/(T412*(1-AR412)*(1-Settings!$G$17))),"")</f>
        <v/>
      </c>
      <c r="P412" s="101">
        <f>IFERROR(IF(T412="","",(T412*(1-AS412)*(1-Settings!$H$17)-I412)/(T412*(1-AS412)*(1-Settings!$H$17))),"")</f>
        <v/>
      </c>
      <c r="Q412" s="101">
        <f>IFERROR(IF(T412="","",(T412*(1-AT412)*(1-Settings!$I$68)*(1-Settings!$I$17)-I412)/(T412*(1-AT412)*(1-Settings!$I$68)*(1-Settings!$I$17))),"")</f>
        <v/>
      </c>
      <c r="R412" s="91">
        <f>IFERROR(IF(OR(I412="",Z412&gt;=1,Settings!$B$17&gt;=1,AN412&gt;=1),"",IF(MOD(ROUND(I412/(1-Z412)/(1-Settings!$B$17)/(1-AN412),0),10)=0,ROUND(I412/(1-Z412)/(1-Settings!$B$17)/(1-AN412),0)-1,IF(MOD(ROUND(I412/(1-Z412)/(1-Settings!$B$17)/(1-AN412),0),10)&lt;=5,FLOOR(ROUND(I412/(1-Z412)/(1-Settings!$B$17)/(1-AN412),0),10)+6,FLOOR(ROUND(I412/(1-Z412)/(1-Settings!$B$17)/(1-AN412),0),10)+9))),"")</f>
        <v/>
      </c>
      <c r="S412" s="174">
        <f>R412*0.95</f>
        <v/>
      </c>
      <c r="T412" s="91">
        <f>IF(S412&lt;&gt;"", IF(MOD(S412,10)=0,S412-1,IF(MOD(S412,10)&lt;=5,FLOOR(S412,10)+6,FLOOR(S412,10)+9)), R412)</f>
        <v/>
      </c>
      <c r="U412" s="87" t="inlineStr">
        <is>
          <t>Основний</t>
        </is>
      </c>
      <c r="V412" s="88" t="n"/>
      <c r="W412" s="88" t="n"/>
      <c r="X412" s="89">
        <f>IFERROR(IF(OR(V412="",W412="",T412=""),"", IF(T412&gt;W412,"Дорогий",IF(T412&lt;V412,"Дешевий","У ринку"))),"")</f>
        <v/>
      </c>
      <c r="Y412" s="90" t="n"/>
      <c r="Z412" s="104">
        <f>CHOOSE(MATCH(IF($U412="","Основний",$U412),{"Трафіковий","Основний","Маржинальний","Сезонний","Стратегічний"},0),0.16,0.19,0.24,0.23,0.28)</f>
        <v/>
      </c>
      <c r="AA412" s="104">
        <f>CHOOSE(MATCH(IF($U412="","Основний",$U412),{"Трафіковий","Основний","Маржинальний","Сезонний","Стратегічний"},0),0.18,0.21,0.26,0.25,0.3)</f>
        <v/>
      </c>
      <c r="AB412" s="104">
        <f>CHOOSE(MATCH(IF($U412="","Основний",$U412),{"Трафіковий","Основний","Маржинальний","Сезонний","Стратегічний"},0),0.19,0.22,0.28,0.26,0.32)</f>
        <v/>
      </c>
      <c r="AC412" s="104">
        <f>CHOOSE(MATCH(IF($U412="","Основний",$U412),{"Трафіковий","Основний","Маржинальний","Сезонний","Стратегічний"},0),0.17,0.2,0.25,0.24,0.28)</f>
        <v/>
      </c>
      <c r="AD412" s="104">
        <f>CHOOSE(MATCH(IF($U412="","Основний",$U412),{"Трафіковий","Основний","Маржинальний","Сезонний","Стратегічний"},0),0.18,0.21,0.26,0.25,0.3)</f>
        <v/>
      </c>
      <c r="AE412" s="104">
        <f>CHOOSE(MATCH(IF($U412="","Основний",$U412),{"Трафіковий","Основний","Маржинальний","Сезонний","Стратегічний"},0),0.18,0.2,0.28,0.27,0.32)</f>
        <v/>
      </c>
      <c r="AF412" s="104">
        <f>CHOOSE(MATCH(IF($U412="","Основний",$U412),{"Трафіковий","Основний","Маржинальний","Сезонний","Стратегічний"},0),0.15,0.175,0.22,0.21,0.25)</f>
        <v/>
      </c>
      <c r="AG412" s="104">
        <f>CHOOSE(MATCH(IF($U412="","Основний",$U412),{"Трафіковий","Основний","Маржинальний","Сезонний","Стратегічний"},0),0.13,0.16,0.21,0.2,0.25)</f>
        <v/>
      </c>
      <c r="AH412" s="104">
        <f>CHOOSE(MATCH(IF($U412="","Основний",$U412),{"Трафіковий","Основний","Маржинальний","Сезонний","Стратегічний"},0),0.15,0.18,0.23,0.22,0.27)</f>
        <v/>
      </c>
      <c r="AI412" s="104">
        <f>CHOOSE(MATCH(IF($U412="","Основний",$U412),{"Трафіковий","Основний","Маржинальний","Сезонний","Стратегічний"},0),0.16,0.19,0.25,0.23,0.29)</f>
        <v/>
      </c>
      <c r="AJ412" s="104">
        <f>CHOOSE(MATCH(IF($U412="","Основний",$U412),{"Трафіковий","Основний","Маржинальний","Сезонний","Стратегічний"},0),0.14,0.17,0.22,0.21,0.25)</f>
        <v/>
      </c>
      <c r="AK412" s="104">
        <f>CHOOSE(MATCH(IF($U412="","Основний",$U412),{"Трафіковий","Основний","Маржинальний","Сезонний","Стратегічний"},0),0.15,0.18,0.23,0.22,0.27)</f>
        <v/>
      </c>
      <c r="AL412" s="104">
        <f>CHOOSE(MATCH(IF($U412="","Основний",$U412),{"Трафіковий","Основний","Маржинальний","Сезонний","Стратегічний"},0),0.15,0.17,0.25,0.24,0.29)</f>
        <v/>
      </c>
      <c r="AM412" s="104">
        <f>CHOOSE(MATCH(IF($U412="","Основний",$U412),{"Трафіковий","Основний","Маржинальний","Сезонний","Стратегічний"},0),0.12,0.145,0.19,0.18,0.22)</f>
        <v/>
      </c>
      <c r="AN412" s="157">
        <f>CHOOSE(MATCH(IF($U412="","Основний",$U412),{"Трафіковий","Основний","Маржинальний","Сезонний","Стратегічний"},0),Settings!$B$78,Settings!$B$80,Settings!$B$82,Settings!$B$84,Settings!$B$86)</f>
        <v/>
      </c>
      <c r="AO412" s="157">
        <f>CHOOSE(MATCH(IF($U412="","Основний",$U412),{"Трафіковий","Основний","Маржинальний","Сезонний","Стратегічний"},0),Settings!$C$78,Settings!$C$80,Settings!$C$82,Settings!$C$84,Settings!$C$86)</f>
        <v/>
      </c>
      <c r="AP412" s="157">
        <f>CHOOSE(MATCH(IF($U412="","Основний",$U412),{"Трафіковий","Основний","Маржинальний","Сезонний","Стратегічний"},0),Settings!$D$78,Settings!$D$80,Settings!$D$82,Settings!$D$84,Settings!$D$86)</f>
        <v/>
      </c>
      <c r="AQ412" s="157">
        <f>CHOOSE(MATCH(IF($U412="","Основний",$U412),{"Трафіковий","Основний","Маржинальний","Сезонний","Стратегічний"},0),Settings!$F$78,Settings!$F$80,Settings!$F$82,Settings!$F$84,Settings!$F$86)</f>
        <v/>
      </c>
      <c r="AR412" s="157">
        <f>CHOOSE(MATCH(IF($U412="","Основний",$U412),{"Трафіковий","Основний","Маржинальний","Сезонний","Стратегічний"},0),Settings!$G$78,Settings!$G$80,Settings!$G$82,Settings!$G$84,Settings!$G$86)</f>
        <v/>
      </c>
      <c r="AS412" s="157">
        <f>CHOOSE(MATCH(IF($U412="","Основний",$U412),{"Трафіковий","Основний","Маржинальний","Сезонний","Стратегічний"},0),Settings!$H$78,Settings!$H$80,Settings!$H$82,Settings!$H$84,Settings!$H$86)</f>
        <v/>
      </c>
      <c r="AT412" s="157">
        <f>CHOOSE(MATCH(IF($U412="","Основний",$U412),{"Трафіковий","Основний","Маржинальний","Сезонний","Стратегічний"},0),Settings!$I$78,Settings!$I$80,Settings!$I$82,Settings!$I$84,Settings!$I$86)</f>
        <v/>
      </c>
      <c r="AU412" s="171" t="n"/>
      <c r="AV412" t="n">
        <v>1.35</v>
      </c>
    </row>
    <row r="413">
      <c r="A413" s="33" t="n"/>
      <c r="B413" s="34" t="inlineStr">
        <is>
          <t>A1398.3</t>
        </is>
      </c>
      <c r="C413" s="34" t="inlineStr">
        <is>
          <t>WALLMOUNTED SWITCH C.1,6 IP54 WHITE</t>
        </is>
      </c>
      <c r="D413" s="34" t="inlineStr">
        <is>
          <t>Вуличні вимикачи та розетки</t>
        </is>
      </c>
      <c r="E413" s="33" t="inlineStr">
        <is>
          <t>PC</t>
        </is>
      </c>
      <c r="F413" s="94" t="n">
        <v>1.107</v>
      </c>
      <c r="G413" s="35" t="n">
        <v>8536508000</v>
      </c>
      <c r="H413" s="31" t="n">
        <v>1.35</v>
      </c>
      <c r="I413" s="84">
        <f>IFERROR(F413*Settings!$B$2*H413*IF(AND(ISNUMBER(E413),E413&gt;1),E413,1),"")</f>
        <v/>
      </c>
      <c r="J413" s="32">
        <f>Settings!$B$66</f>
        <v/>
      </c>
      <c r="K413" s="95">
        <f>IFERROR(IF(T413="","",(T413*(1-AN413)*(1-Settings!$B$17)-I413)/(T413*(1-AN413)*(1-Settings!$B$17))),"")</f>
        <v/>
      </c>
      <c r="L413" s="101">
        <f>IFERROR(IF(T413="","",(T413*(1-AO413)*(1-Settings!$C$17)-I413)/(T413*(1-AO413)*(1-Settings!$C$17))),"")</f>
        <v/>
      </c>
      <c r="M413" s="101">
        <f>IFERROR(IF(T413="","",(T413*(1-AP413)*(1-Settings!$D$17)-I413)/(T413*(1-AP413)*(1-Settings!$D$17))),"")</f>
        <v/>
      </c>
      <c r="N413" s="101">
        <f>IFERROR(IF(T413="","",(T413*(1-AQ413)*(1-Settings!$F$17)-I413)/(T413*(1-AQ413)*(1-Settings!$F$17))),"")</f>
        <v/>
      </c>
      <c r="O413" s="101">
        <f>IFERROR(IF(T413="","",(T413*(1-AR413)*(1-Settings!$G$17)-I413)/(T413*(1-AR413)*(1-Settings!$G$17))),"")</f>
        <v/>
      </c>
      <c r="P413" s="101">
        <f>IFERROR(IF(T413="","",(T413*(1-AS413)*(1-Settings!$H$17)-I413)/(T413*(1-AS413)*(1-Settings!$H$17))),"")</f>
        <v/>
      </c>
      <c r="Q413" s="101">
        <f>IFERROR(IF(T413="","",(T413*(1-AT413)*(1-Settings!$I$68)*(1-Settings!$I$17)-I413)/(T413*(1-AT413)*(1-Settings!$I$68)*(1-Settings!$I$17))),"")</f>
        <v/>
      </c>
      <c r="R413" s="91">
        <f>IFERROR(IF(OR(I413="",Z413&gt;=1,Settings!$B$17&gt;=1,AN413&gt;=1),"",IF(MOD(ROUND(I413/(1-Z413)/(1-Settings!$B$17)/(1-AN413),0),10)=0,ROUND(I413/(1-Z413)/(1-Settings!$B$17)/(1-AN413),0)-1,IF(MOD(ROUND(I413/(1-Z413)/(1-Settings!$B$17)/(1-AN413),0),10)&lt;=5,FLOOR(ROUND(I413/(1-Z413)/(1-Settings!$B$17)/(1-AN413),0),10)+6,FLOOR(ROUND(I413/(1-Z413)/(1-Settings!$B$17)/(1-AN413),0),10)+9))),"")</f>
        <v/>
      </c>
      <c r="S413" s="174">
        <f>R413*0.95</f>
        <v/>
      </c>
      <c r="T413" s="91">
        <f>IF(S413&lt;&gt;"", IF(MOD(S413,10)=0,S413-1,IF(MOD(S413,10)&lt;=5,FLOOR(S413,10)+6,FLOOR(S413,10)+9)), R413)</f>
        <v/>
      </c>
      <c r="U413" s="87" t="inlineStr">
        <is>
          <t>Основний</t>
        </is>
      </c>
      <c r="V413" s="88" t="n"/>
      <c r="W413" s="88" t="n"/>
      <c r="X413" s="89">
        <f>IFERROR(IF(OR(V413="",W413="",T413=""),"", IF(T413&gt;W413,"Дорогий",IF(T413&lt;V413,"Дешевий","У ринку"))),"")</f>
        <v/>
      </c>
      <c r="Y413" s="90" t="n"/>
      <c r="Z413" s="104">
        <f>CHOOSE(MATCH(IF($U413="","Основний",$U413),{"Трафіковий","Основний","Маржинальний","Сезонний","Стратегічний"},0),0.16,0.19,0.24,0.23,0.28)</f>
        <v/>
      </c>
      <c r="AA413" s="104">
        <f>CHOOSE(MATCH(IF($U413="","Основний",$U413),{"Трафіковий","Основний","Маржинальний","Сезонний","Стратегічний"},0),0.18,0.21,0.26,0.25,0.3)</f>
        <v/>
      </c>
      <c r="AB413" s="104">
        <f>CHOOSE(MATCH(IF($U413="","Основний",$U413),{"Трафіковий","Основний","Маржинальний","Сезонний","Стратегічний"},0),0.19,0.22,0.28,0.26,0.32)</f>
        <v/>
      </c>
      <c r="AC413" s="104">
        <f>CHOOSE(MATCH(IF($U413="","Основний",$U413),{"Трафіковий","Основний","Маржинальний","Сезонний","Стратегічний"},0),0.17,0.2,0.25,0.24,0.28)</f>
        <v/>
      </c>
      <c r="AD413" s="104">
        <f>CHOOSE(MATCH(IF($U413="","Основний",$U413),{"Трафіковий","Основний","Маржинальний","Сезонний","Стратегічний"},0),0.18,0.21,0.26,0.25,0.3)</f>
        <v/>
      </c>
      <c r="AE413" s="104">
        <f>CHOOSE(MATCH(IF($U413="","Основний",$U413),{"Трафіковий","Основний","Маржинальний","Сезонний","Стратегічний"},0),0.18,0.2,0.28,0.27,0.32)</f>
        <v/>
      </c>
      <c r="AF413" s="104">
        <f>CHOOSE(MATCH(IF($U413="","Основний",$U413),{"Трафіковий","Основний","Маржинальний","Сезонний","Стратегічний"},0),0.15,0.175,0.22,0.21,0.25)</f>
        <v/>
      </c>
      <c r="AG413" s="104">
        <f>CHOOSE(MATCH(IF($U413="","Основний",$U413),{"Трафіковий","Основний","Маржинальний","Сезонний","Стратегічний"},0),0.13,0.16,0.21,0.2,0.25)</f>
        <v/>
      </c>
      <c r="AH413" s="104">
        <f>CHOOSE(MATCH(IF($U413="","Основний",$U413),{"Трафіковий","Основний","Маржинальний","Сезонний","Стратегічний"},0),0.15,0.18,0.23,0.22,0.27)</f>
        <v/>
      </c>
      <c r="AI413" s="104">
        <f>CHOOSE(MATCH(IF($U413="","Основний",$U413),{"Трафіковий","Основний","Маржинальний","Сезонний","Стратегічний"},0),0.16,0.19,0.25,0.23,0.29)</f>
        <v/>
      </c>
      <c r="AJ413" s="104">
        <f>CHOOSE(MATCH(IF($U413="","Основний",$U413),{"Трафіковий","Основний","Маржинальний","Сезонний","Стратегічний"},0),0.14,0.17,0.22,0.21,0.25)</f>
        <v/>
      </c>
      <c r="AK413" s="104">
        <f>CHOOSE(MATCH(IF($U413="","Основний",$U413),{"Трафіковий","Основний","Маржинальний","Сезонний","Стратегічний"},0),0.15,0.18,0.23,0.22,0.27)</f>
        <v/>
      </c>
      <c r="AL413" s="104">
        <f>CHOOSE(MATCH(IF($U413="","Основний",$U413),{"Трафіковий","Основний","Маржинальний","Сезонний","Стратегічний"},0),0.15,0.17,0.25,0.24,0.29)</f>
        <v/>
      </c>
      <c r="AM413" s="104">
        <f>CHOOSE(MATCH(IF($U413="","Основний",$U413),{"Трафіковий","Основний","Маржинальний","Сезонний","Стратегічний"},0),0.12,0.145,0.19,0.18,0.22)</f>
        <v/>
      </c>
      <c r="AN413" s="157">
        <f>CHOOSE(MATCH(IF($U413="","Основний",$U413),{"Трафіковий","Основний","Маржинальний","Сезонний","Стратегічний"},0),Settings!$B$78,Settings!$B$80,Settings!$B$82,Settings!$B$84,Settings!$B$86)</f>
        <v/>
      </c>
      <c r="AO413" s="157">
        <f>CHOOSE(MATCH(IF($U413="","Основний",$U413),{"Трафіковий","Основний","Маржинальний","Сезонний","Стратегічний"},0),Settings!$C$78,Settings!$C$80,Settings!$C$82,Settings!$C$84,Settings!$C$86)</f>
        <v/>
      </c>
      <c r="AP413" s="157">
        <f>CHOOSE(MATCH(IF($U413="","Основний",$U413),{"Трафіковий","Основний","Маржинальний","Сезонний","Стратегічний"},0),Settings!$D$78,Settings!$D$80,Settings!$D$82,Settings!$D$84,Settings!$D$86)</f>
        <v/>
      </c>
      <c r="AQ413" s="157">
        <f>CHOOSE(MATCH(IF($U413="","Основний",$U413),{"Трафіковий","Основний","Маржинальний","Сезонний","Стратегічний"},0),Settings!$F$78,Settings!$F$80,Settings!$F$82,Settings!$F$84,Settings!$F$86)</f>
        <v/>
      </c>
      <c r="AR413" s="157">
        <f>CHOOSE(MATCH(IF($U413="","Основний",$U413),{"Трафіковий","Основний","Маржинальний","Сезонний","Стратегічний"},0),Settings!$G$78,Settings!$G$80,Settings!$G$82,Settings!$G$84,Settings!$G$86)</f>
        <v/>
      </c>
      <c r="AS413" s="157">
        <f>CHOOSE(MATCH(IF($U413="","Основний",$U413),{"Трафіковий","Основний","Маржинальний","Сезонний","Стратегічний"},0),Settings!$H$78,Settings!$H$80,Settings!$H$82,Settings!$H$84,Settings!$H$86)</f>
        <v/>
      </c>
      <c r="AT413" s="157">
        <f>CHOOSE(MATCH(IF($U413="","Основний",$U413),{"Трафіковий","Основний","Маржинальний","Сезонний","Стратегічний"},0),Settings!$I$78,Settings!$I$80,Settings!$I$82,Settings!$I$84,Settings!$I$86)</f>
        <v/>
      </c>
      <c r="AU413" s="171" t="n"/>
      <c r="AV413" t="n">
        <v>1.35</v>
      </c>
    </row>
    <row r="414">
      <c r="A414" s="28" t="n"/>
      <c r="B414" s="29" t="inlineStr">
        <is>
          <t>A1398.4</t>
        </is>
      </c>
      <c r="C414" s="29" t="inlineStr">
        <is>
          <t>WALLMOUNTED SWITCH C.5 IP54 WHITE</t>
        </is>
      </c>
      <c r="D414" s="29" t="inlineStr">
        <is>
          <t>Вуличні вимикачи та розетки</t>
        </is>
      </c>
      <c r="E414" s="28" t="inlineStr">
        <is>
          <t>PC</t>
        </is>
      </c>
      <c r="F414" s="93" t="n">
        <v>1.334</v>
      </c>
      <c r="G414" s="30" t="n">
        <v>8536508000</v>
      </c>
      <c r="H414" s="31" t="n">
        <v>1.35</v>
      </c>
      <c r="I414" s="84">
        <f>IFERROR(F414*Settings!$B$2*H414*IF(AND(ISNUMBER(E414),E414&gt;1),E414,1),"")</f>
        <v/>
      </c>
      <c r="J414" s="32">
        <f>Settings!$B$66</f>
        <v/>
      </c>
      <c r="K414" s="95">
        <f>IFERROR(IF(T414="","",(T414*(1-AN414)*(1-Settings!$B$17)-I414)/(T414*(1-AN414)*(1-Settings!$B$17))),"")</f>
        <v/>
      </c>
      <c r="L414" s="101">
        <f>IFERROR(IF(T414="","",(T414*(1-AO414)*(1-Settings!$C$17)-I414)/(T414*(1-AO414)*(1-Settings!$C$17))),"")</f>
        <v/>
      </c>
      <c r="M414" s="101">
        <f>IFERROR(IF(T414="","",(T414*(1-AP414)*(1-Settings!$D$17)-I414)/(T414*(1-AP414)*(1-Settings!$D$17))),"")</f>
        <v/>
      </c>
      <c r="N414" s="101">
        <f>IFERROR(IF(T414="","",(T414*(1-AQ414)*(1-Settings!$F$17)-I414)/(T414*(1-AQ414)*(1-Settings!$F$17))),"")</f>
        <v/>
      </c>
      <c r="O414" s="101">
        <f>IFERROR(IF(T414="","",(T414*(1-AR414)*(1-Settings!$G$17)-I414)/(T414*(1-AR414)*(1-Settings!$G$17))),"")</f>
        <v/>
      </c>
      <c r="P414" s="101">
        <f>IFERROR(IF(T414="","",(T414*(1-AS414)*(1-Settings!$H$17)-I414)/(T414*(1-AS414)*(1-Settings!$H$17))),"")</f>
        <v/>
      </c>
      <c r="Q414" s="101">
        <f>IFERROR(IF(T414="","",(T414*(1-AT414)*(1-Settings!$I$68)*(1-Settings!$I$17)-I414)/(T414*(1-AT414)*(1-Settings!$I$68)*(1-Settings!$I$17))),"")</f>
        <v/>
      </c>
      <c r="R414" s="91">
        <f>IFERROR(IF(OR(I414="",Z414&gt;=1,Settings!$B$17&gt;=1,AN414&gt;=1),"",IF(MOD(ROUND(I414/(1-Z414)/(1-Settings!$B$17)/(1-AN414),0),10)=0,ROUND(I414/(1-Z414)/(1-Settings!$B$17)/(1-AN414),0)-1,IF(MOD(ROUND(I414/(1-Z414)/(1-Settings!$B$17)/(1-AN414),0),10)&lt;=5,FLOOR(ROUND(I414/(1-Z414)/(1-Settings!$B$17)/(1-AN414),0),10)+6,FLOOR(ROUND(I414/(1-Z414)/(1-Settings!$B$17)/(1-AN414),0),10)+9))),"")</f>
        <v/>
      </c>
      <c r="S414" s="174">
        <f>R414*0.95</f>
        <v/>
      </c>
      <c r="T414" s="91">
        <f>IF(S414&lt;&gt;"", IF(MOD(S414,10)=0,S414-1,IF(MOD(S414,10)&lt;=5,FLOOR(S414,10)+6,FLOOR(S414,10)+9)), R414)</f>
        <v/>
      </c>
      <c r="U414" s="87" t="inlineStr">
        <is>
          <t>Основний</t>
        </is>
      </c>
      <c r="V414" s="88" t="n"/>
      <c r="W414" s="88" t="n"/>
      <c r="X414" s="89">
        <f>IFERROR(IF(OR(V414="",W414="",T414=""),"", IF(T414&gt;W414,"Дорогий",IF(T414&lt;V414,"Дешевий","У ринку"))),"")</f>
        <v/>
      </c>
      <c r="Y414" s="90" t="n"/>
      <c r="Z414" s="104">
        <f>CHOOSE(MATCH(IF($U414="","Основний",$U414),{"Трафіковий","Основний","Маржинальний","Сезонний","Стратегічний"},0),0.16,0.19,0.24,0.23,0.28)</f>
        <v/>
      </c>
      <c r="AA414" s="104">
        <f>CHOOSE(MATCH(IF($U414="","Основний",$U414),{"Трафіковий","Основний","Маржинальний","Сезонний","Стратегічний"},0),0.18,0.21,0.26,0.25,0.3)</f>
        <v/>
      </c>
      <c r="AB414" s="104">
        <f>CHOOSE(MATCH(IF($U414="","Основний",$U414),{"Трафіковий","Основний","Маржинальний","Сезонний","Стратегічний"},0),0.19,0.22,0.28,0.26,0.32)</f>
        <v/>
      </c>
      <c r="AC414" s="104">
        <f>CHOOSE(MATCH(IF($U414="","Основний",$U414),{"Трафіковий","Основний","Маржинальний","Сезонний","Стратегічний"},0),0.17,0.2,0.25,0.24,0.28)</f>
        <v/>
      </c>
      <c r="AD414" s="104">
        <f>CHOOSE(MATCH(IF($U414="","Основний",$U414),{"Трафіковий","Основний","Маржинальний","Сезонний","Стратегічний"},0),0.18,0.21,0.26,0.25,0.3)</f>
        <v/>
      </c>
      <c r="AE414" s="104">
        <f>CHOOSE(MATCH(IF($U414="","Основний",$U414),{"Трафіковий","Основний","Маржинальний","Сезонний","Стратегічний"},0),0.18,0.2,0.28,0.27,0.32)</f>
        <v/>
      </c>
      <c r="AF414" s="104">
        <f>CHOOSE(MATCH(IF($U414="","Основний",$U414),{"Трафіковий","Основний","Маржинальний","Сезонний","Стратегічний"},0),0.15,0.175,0.22,0.21,0.25)</f>
        <v/>
      </c>
      <c r="AG414" s="104">
        <f>CHOOSE(MATCH(IF($U414="","Основний",$U414),{"Трафіковий","Основний","Маржинальний","Сезонний","Стратегічний"},0),0.13,0.16,0.21,0.2,0.25)</f>
        <v/>
      </c>
      <c r="AH414" s="104">
        <f>CHOOSE(MATCH(IF($U414="","Основний",$U414),{"Трафіковий","Основний","Маржинальний","Сезонний","Стратегічний"},0),0.15,0.18,0.23,0.22,0.27)</f>
        <v/>
      </c>
      <c r="AI414" s="104">
        <f>CHOOSE(MATCH(IF($U414="","Основний",$U414),{"Трафіковий","Основний","Маржинальний","Сезонний","Стратегічний"},0),0.16,0.19,0.25,0.23,0.29)</f>
        <v/>
      </c>
      <c r="AJ414" s="104">
        <f>CHOOSE(MATCH(IF($U414="","Основний",$U414),{"Трафіковий","Основний","Маржинальний","Сезонний","Стратегічний"},0),0.14,0.17,0.22,0.21,0.25)</f>
        <v/>
      </c>
      <c r="AK414" s="104">
        <f>CHOOSE(MATCH(IF($U414="","Основний",$U414),{"Трафіковий","Основний","Маржинальний","Сезонний","Стратегічний"},0),0.15,0.18,0.23,0.22,0.27)</f>
        <v/>
      </c>
      <c r="AL414" s="104">
        <f>CHOOSE(MATCH(IF($U414="","Основний",$U414),{"Трафіковий","Основний","Маржинальний","Сезонний","Стратегічний"},0),0.15,0.17,0.25,0.24,0.29)</f>
        <v/>
      </c>
      <c r="AM414" s="104">
        <f>CHOOSE(MATCH(IF($U414="","Основний",$U414),{"Трафіковий","Основний","Маржинальний","Сезонний","Стратегічний"},0),0.12,0.145,0.19,0.18,0.22)</f>
        <v/>
      </c>
      <c r="AN414" s="157">
        <f>CHOOSE(MATCH(IF($U414="","Основний",$U414),{"Трафіковий","Основний","Маржинальний","Сезонний","Стратегічний"},0),Settings!$B$78,Settings!$B$80,Settings!$B$82,Settings!$B$84,Settings!$B$86)</f>
        <v/>
      </c>
      <c r="AO414" s="157">
        <f>CHOOSE(MATCH(IF($U414="","Основний",$U414),{"Трафіковий","Основний","Маржинальний","Сезонний","Стратегічний"},0),Settings!$C$78,Settings!$C$80,Settings!$C$82,Settings!$C$84,Settings!$C$86)</f>
        <v/>
      </c>
      <c r="AP414" s="157">
        <f>CHOOSE(MATCH(IF($U414="","Основний",$U414),{"Трафіковий","Основний","Маржинальний","Сезонний","Стратегічний"},0),Settings!$D$78,Settings!$D$80,Settings!$D$82,Settings!$D$84,Settings!$D$86)</f>
        <v/>
      </c>
      <c r="AQ414" s="157">
        <f>CHOOSE(MATCH(IF($U414="","Основний",$U414),{"Трафіковий","Основний","Маржинальний","Сезонний","Стратегічний"},0),Settings!$F$78,Settings!$F$80,Settings!$F$82,Settings!$F$84,Settings!$F$86)</f>
        <v/>
      </c>
      <c r="AR414" s="157">
        <f>CHOOSE(MATCH(IF($U414="","Основний",$U414),{"Трафіковий","Основний","Маржинальний","Сезонний","Стратегічний"},0),Settings!$G$78,Settings!$G$80,Settings!$G$82,Settings!$G$84,Settings!$G$86)</f>
        <v/>
      </c>
      <c r="AS414" s="157">
        <f>CHOOSE(MATCH(IF($U414="","Основний",$U414),{"Трафіковий","Основний","Маржинальний","Сезонний","Стратегічний"},0),Settings!$H$78,Settings!$H$80,Settings!$H$82,Settings!$H$84,Settings!$H$86)</f>
        <v/>
      </c>
      <c r="AT414" s="157">
        <f>CHOOSE(MATCH(IF($U414="","Основний",$U414),{"Трафіковий","Основний","Маржинальний","Сезонний","Стратегічний"},0),Settings!$I$78,Settings!$I$80,Settings!$I$82,Settings!$I$84,Settings!$I$86)</f>
        <v/>
      </c>
      <c r="AU414" s="171" t="n"/>
      <c r="AV414" t="n">
        <v>1.35</v>
      </c>
    </row>
    <row r="415">
      <c r="A415" s="33" t="n"/>
      <c r="B415" s="34" t="inlineStr">
        <is>
          <t>A1399</t>
        </is>
      </c>
      <c r="C415" s="34" t="inlineStr">
        <is>
          <t>BELL SWITCH 1/0 IP54</t>
        </is>
      </c>
      <c r="D415" s="34" t="inlineStr">
        <is>
          <t>Вуличні вимикачи та розетки</t>
        </is>
      </c>
      <c r="E415" s="33" t="inlineStr">
        <is>
          <t>PC</t>
        </is>
      </c>
      <c r="F415" s="94" t="n">
        <v>1.107</v>
      </c>
      <c r="G415" s="35" t="n">
        <v>8536508000</v>
      </c>
      <c r="H415" s="31" t="n">
        <v>1.35</v>
      </c>
      <c r="I415" s="84">
        <f>IFERROR(F415*Settings!$B$2*H415*IF(AND(ISNUMBER(E415),E415&gt;1),E415,1),"")</f>
        <v/>
      </c>
      <c r="J415" s="32">
        <f>Settings!$B$66</f>
        <v/>
      </c>
      <c r="K415" s="95">
        <f>IFERROR(IF(T415="","",(T415*(1-AN415)*(1-Settings!$B$17)-I415)/(T415*(1-AN415)*(1-Settings!$B$17))),"")</f>
        <v/>
      </c>
      <c r="L415" s="101">
        <f>IFERROR(IF(T415="","",(T415*(1-AO415)*(1-Settings!$C$17)-I415)/(T415*(1-AO415)*(1-Settings!$C$17))),"")</f>
        <v/>
      </c>
      <c r="M415" s="101">
        <f>IFERROR(IF(T415="","",(T415*(1-AP415)*(1-Settings!$D$17)-I415)/(T415*(1-AP415)*(1-Settings!$D$17))),"")</f>
        <v/>
      </c>
      <c r="N415" s="101">
        <f>IFERROR(IF(T415="","",(T415*(1-AQ415)*(1-Settings!$F$17)-I415)/(T415*(1-AQ415)*(1-Settings!$F$17))),"")</f>
        <v/>
      </c>
      <c r="O415" s="101">
        <f>IFERROR(IF(T415="","",(T415*(1-AR415)*(1-Settings!$G$17)-I415)/(T415*(1-AR415)*(1-Settings!$G$17))),"")</f>
        <v/>
      </c>
      <c r="P415" s="101">
        <f>IFERROR(IF(T415="","",(T415*(1-AS415)*(1-Settings!$H$17)-I415)/(T415*(1-AS415)*(1-Settings!$H$17))),"")</f>
        <v/>
      </c>
      <c r="Q415" s="101">
        <f>IFERROR(IF(T415="","",(T415*(1-AT415)*(1-Settings!$I$68)*(1-Settings!$I$17)-I415)/(T415*(1-AT415)*(1-Settings!$I$68)*(1-Settings!$I$17))),"")</f>
        <v/>
      </c>
      <c r="R415" s="91">
        <f>IFERROR(IF(OR(I415="",Z415&gt;=1,Settings!$B$17&gt;=1,AN415&gt;=1),"",IF(MOD(ROUND(I415/(1-Z415)/(1-Settings!$B$17)/(1-AN415),0),10)=0,ROUND(I415/(1-Z415)/(1-Settings!$B$17)/(1-AN415),0)-1,IF(MOD(ROUND(I415/(1-Z415)/(1-Settings!$B$17)/(1-AN415),0),10)&lt;=5,FLOOR(ROUND(I415/(1-Z415)/(1-Settings!$B$17)/(1-AN415),0),10)+6,FLOOR(ROUND(I415/(1-Z415)/(1-Settings!$B$17)/(1-AN415),0),10)+9))),"")</f>
        <v/>
      </c>
      <c r="S415" s="174">
        <f>R415*0.95</f>
        <v/>
      </c>
      <c r="T415" s="91">
        <f>IF(S415&lt;&gt;"", IF(MOD(S415,10)=0,S415-1,IF(MOD(S415,10)&lt;=5,FLOOR(S415,10)+6,FLOOR(S415,10)+9)), R415)</f>
        <v/>
      </c>
      <c r="U415" s="87" t="inlineStr">
        <is>
          <t>Основний</t>
        </is>
      </c>
      <c r="V415" s="88" t="n"/>
      <c r="W415" s="88" t="n"/>
      <c r="X415" s="89">
        <f>IFERROR(IF(OR(V415="",W415="",T415=""),"", IF(T415&gt;W415,"Дорогий",IF(T415&lt;V415,"Дешевий","У ринку"))),"")</f>
        <v/>
      </c>
      <c r="Y415" s="90" t="n"/>
      <c r="Z415" s="104">
        <f>CHOOSE(MATCH(IF($U415="","Основний",$U415),{"Трафіковий","Основний","Маржинальний","Сезонний","Стратегічний"},0),0.16,0.19,0.24,0.23,0.28)</f>
        <v/>
      </c>
      <c r="AA415" s="104">
        <f>CHOOSE(MATCH(IF($U415="","Основний",$U415),{"Трафіковий","Основний","Маржинальний","Сезонний","Стратегічний"},0),0.18,0.21,0.26,0.25,0.3)</f>
        <v/>
      </c>
      <c r="AB415" s="104">
        <f>CHOOSE(MATCH(IF($U415="","Основний",$U415),{"Трафіковий","Основний","Маржинальний","Сезонний","Стратегічний"},0),0.19,0.22,0.28,0.26,0.32)</f>
        <v/>
      </c>
      <c r="AC415" s="104">
        <f>CHOOSE(MATCH(IF($U415="","Основний",$U415),{"Трафіковий","Основний","Маржинальний","Сезонний","Стратегічний"},0),0.17,0.2,0.25,0.24,0.28)</f>
        <v/>
      </c>
      <c r="AD415" s="104">
        <f>CHOOSE(MATCH(IF($U415="","Основний",$U415),{"Трафіковий","Основний","Маржинальний","Сезонний","Стратегічний"},0),0.18,0.21,0.26,0.25,0.3)</f>
        <v/>
      </c>
      <c r="AE415" s="104">
        <f>CHOOSE(MATCH(IF($U415="","Основний",$U415),{"Трафіковий","Основний","Маржинальний","Сезонний","Стратегічний"},0),0.18,0.2,0.28,0.27,0.32)</f>
        <v/>
      </c>
      <c r="AF415" s="104">
        <f>CHOOSE(MATCH(IF($U415="","Основний",$U415),{"Трафіковий","Основний","Маржинальний","Сезонний","Стратегічний"},0),0.15,0.175,0.22,0.21,0.25)</f>
        <v/>
      </c>
      <c r="AG415" s="104">
        <f>CHOOSE(MATCH(IF($U415="","Основний",$U415),{"Трафіковий","Основний","Маржинальний","Сезонний","Стратегічний"},0),0.13,0.16,0.21,0.2,0.25)</f>
        <v/>
      </c>
      <c r="AH415" s="104">
        <f>CHOOSE(MATCH(IF($U415="","Основний",$U415),{"Трафіковий","Основний","Маржинальний","Сезонний","Стратегічний"},0),0.15,0.18,0.23,0.22,0.27)</f>
        <v/>
      </c>
      <c r="AI415" s="104">
        <f>CHOOSE(MATCH(IF($U415="","Основний",$U415),{"Трафіковий","Основний","Маржинальний","Сезонний","Стратегічний"},0),0.16,0.19,0.25,0.23,0.29)</f>
        <v/>
      </c>
      <c r="AJ415" s="104">
        <f>CHOOSE(MATCH(IF($U415="","Основний",$U415),{"Трафіковий","Основний","Маржинальний","Сезонний","Стратегічний"},0),0.14,0.17,0.22,0.21,0.25)</f>
        <v/>
      </c>
      <c r="AK415" s="104">
        <f>CHOOSE(MATCH(IF($U415="","Основний",$U415),{"Трафіковий","Основний","Маржинальний","Сезонний","Стратегічний"},0),0.15,0.18,0.23,0.22,0.27)</f>
        <v/>
      </c>
      <c r="AL415" s="104">
        <f>CHOOSE(MATCH(IF($U415="","Основний",$U415),{"Трафіковий","Основний","Маржинальний","Сезонний","Стратегічний"},0),0.15,0.17,0.25,0.24,0.29)</f>
        <v/>
      </c>
      <c r="AM415" s="104">
        <f>CHOOSE(MATCH(IF($U415="","Основний",$U415),{"Трафіковий","Основний","Маржинальний","Сезонний","Стратегічний"},0),0.12,0.145,0.19,0.18,0.22)</f>
        <v/>
      </c>
      <c r="AN415" s="157">
        <f>CHOOSE(MATCH(IF($U415="","Основний",$U415),{"Трафіковий","Основний","Маржинальний","Сезонний","Стратегічний"},0),Settings!$B$78,Settings!$B$80,Settings!$B$82,Settings!$B$84,Settings!$B$86)</f>
        <v/>
      </c>
      <c r="AO415" s="157">
        <f>CHOOSE(MATCH(IF($U415="","Основний",$U415),{"Трафіковий","Основний","Маржинальний","Сезонний","Стратегічний"},0),Settings!$C$78,Settings!$C$80,Settings!$C$82,Settings!$C$84,Settings!$C$86)</f>
        <v/>
      </c>
      <c r="AP415" s="157">
        <f>CHOOSE(MATCH(IF($U415="","Основний",$U415),{"Трафіковий","Основний","Маржинальний","Сезонний","Стратегічний"},0),Settings!$D$78,Settings!$D$80,Settings!$D$82,Settings!$D$84,Settings!$D$86)</f>
        <v/>
      </c>
      <c r="AQ415" s="157">
        <f>CHOOSE(MATCH(IF($U415="","Основний",$U415),{"Трафіковий","Основний","Маржинальний","Сезонний","Стратегічний"},0),Settings!$F$78,Settings!$F$80,Settings!$F$82,Settings!$F$84,Settings!$F$86)</f>
        <v/>
      </c>
      <c r="AR415" s="157">
        <f>CHOOSE(MATCH(IF($U415="","Основний",$U415),{"Трафіковий","Основний","Маржинальний","Сезонний","Стратегічний"},0),Settings!$G$78,Settings!$G$80,Settings!$G$82,Settings!$G$84,Settings!$G$86)</f>
        <v/>
      </c>
      <c r="AS415" s="157">
        <f>CHOOSE(MATCH(IF($U415="","Основний",$U415),{"Трафіковий","Основний","Маржинальний","Сезонний","Стратегічний"},0),Settings!$H$78,Settings!$H$80,Settings!$H$82,Settings!$H$84,Settings!$H$86)</f>
        <v/>
      </c>
      <c r="AT415" s="157">
        <f>CHOOSE(MATCH(IF($U415="","Основний",$U415),{"Трафіковий","Основний","Маржинальний","Сезонний","Стратегічний"},0),Settings!$I$78,Settings!$I$80,Settings!$I$82,Settings!$I$84,Settings!$I$86)</f>
        <v/>
      </c>
      <c r="AU415" s="171" t="n"/>
      <c r="AV415" t="n">
        <v>1.35</v>
      </c>
    </row>
    <row r="416">
      <c r="A416" s="28" t="n"/>
      <c r="B416" s="29" t="inlineStr">
        <is>
          <t>A1398.2</t>
        </is>
      </c>
      <c r="C416" s="29" t="inlineStr">
        <is>
          <t>INTERMEDIATE SWITCH NO.7 IP54</t>
        </is>
      </c>
      <c r="D416" s="29" t="inlineStr">
        <is>
          <t>Вуличні вимикачи та розетки</t>
        </is>
      </c>
      <c r="E416" s="28" t="inlineStr">
        <is>
          <t>PC</t>
        </is>
      </c>
      <c r="F416" s="93" t="n">
        <v>1.533</v>
      </c>
      <c r="G416" s="30" t="n">
        <v>8536508000</v>
      </c>
      <c r="H416" s="31" t="n">
        <v>1.35</v>
      </c>
      <c r="I416" s="84">
        <f>IFERROR(F416*Settings!$B$2*H416*IF(AND(ISNUMBER(E416),E416&gt;1),E416,1),"")</f>
        <v/>
      </c>
      <c r="J416" s="32">
        <f>Settings!$B$66</f>
        <v/>
      </c>
      <c r="K416" s="95">
        <f>IFERROR(IF(T416="","",(T416*(1-AN416)*(1-Settings!$B$17)-I416)/(T416*(1-AN416)*(1-Settings!$B$17))),"")</f>
        <v/>
      </c>
      <c r="L416" s="101">
        <f>IFERROR(IF(T416="","",(T416*(1-AO416)*(1-Settings!$C$17)-I416)/(T416*(1-AO416)*(1-Settings!$C$17))),"")</f>
        <v/>
      </c>
      <c r="M416" s="101">
        <f>IFERROR(IF(T416="","",(T416*(1-AP416)*(1-Settings!$D$17)-I416)/(T416*(1-AP416)*(1-Settings!$D$17))),"")</f>
        <v/>
      </c>
      <c r="N416" s="101">
        <f>IFERROR(IF(T416="","",(T416*(1-AQ416)*(1-Settings!$F$17)-I416)/(T416*(1-AQ416)*(1-Settings!$F$17))),"")</f>
        <v/>
      </c>
      <c r="O416" s="101">
        <f>IFERROR(IF(T416="","",(T416*(1-AR416)*(1-Settings!$G$17)-I416)/(T416*(1-AR416)*(1-Settings!$G$17))),"")</f>
        <v/>
      </c>
      <c r="P416" s="101">
        <f>IFERROR(IF(T416="","",(T416*(1-AS416)*(1-Settings!$H$17)-I416)/(T416*(1-AS416)*(1-Settings!$H$17))),"")</f>
        <v/>
      </c>
      <c r="Q416" s="101">
        <f>IFERROR(IF(T416="","",(T416*(1-AT416)*(1-Settings!$I$68)*(1-Settings!$I$17)-I416)/(T416*(1-AT416)*(1-Settings!$I$68)*(1-Settings!$I$17))),"")</f>
        <v/>
      </c>
      <c r="R416" s="91">
        <f>IFERROR(IF(OR(I416="",Z416&gt;=1,Settings!$B$17&gt;=1,AN416&gt;=1),"",IF(MOD(ROUND(I416/(1-Z416)/(1-Settings!$B$17)/(1-AN416),0),10)=0,ROUND(I416/(1-Z416)/(1-Settings!$B$17)/(1-AN416),0)-1,IF(MOD(ROUND(I416/(1-Z416)/(1-Settings!$B$17)/(1-AN416),0),10)&lt;=5,FLOOR(ROUND(I416/(1-Z416)/(1-Settings!$B$17)/(1-AN416),0),10)+6,FLOOR(ROUND(I416/(1-Z416)/(1-Settings!$B$17)/(1-AN416),0),10)+9))),"")</f>
        <v/>
      </c>
      <c r="S416" s="174">
        <f>R416*0.95</f>
        <v/>
      </c>
      <c r="T416" s="91">
        <f>IF(S416&lt;&gt;"", IF(MOD(S416,10)=0,S416-1,IF(MOD(S416,10)&lt;=5,FLOOR(S416,10)+6,FLOOR(S416,10)+9)), R416)</f>
        <v/>
      </c>
      <c r="U416" s="87" t="inlineStr">
        <is>
          <t>Основний</t>
        </is>
      </c>
      <c r="V416" s="88" t="n"/>
      <c r="W416" s="88" t="n"/>
      <c r="X416" s="89">
        <f>IFERROR(IF(OR(V416="",W416="",T416=""),"", IF(T416&gt;W416,"Дорогий",IF(T416&lt;V416,"Дешевий","У ринку"))),"")</f>
        <v/>
      </c>
      <c r="Y416" s="90" t="n"/>
      <c r="Z416" s="104">
        <f>CHOOSE(MATCH(IF($U416="","Основний",$U416),{"Трафіковий","Основний","Маржинальний","Сезонний","Стратегічний"},0),0.16,0.19,0.24,0.23,0.28)</f>
        <v/>
      </c>
      <c r="AA416" s="104">
        <f>CHOOSE(MATCH(IF($U416="","Основний",$U416),{"Трафіковий","Основний","Маржинальний","Сезонний","Стратегічний"},0),0.18,0.21,0.26,0.25,0.3)</f>
        <v/>
      </c>
      <c r="AB416" s="104">
        <f>CHOOSE(MATCH(IF($U416="","Основний",$U416),{"Трафіковий","Основний","Маржинальний","Сезонний","Стратегічний"},0),0.19,0.22,0.28,0.26,0.32)</f>
        <v/>
      </c>
      <c r="AC416" s="104">
        <f>CHOOSE(MATCH(IF($U416="","Основний",$U416),{"Трафіковий","Основний","Маржинальний","Сезонний","Стратегічний"},0),0.17,0.2,0.25,0.24,0.28)</f>
        <v/>
      </c>
      <c r="AD416" s="104">
        <f>CHOOSE(MATCH(IF($U416="","Основний",$U416),{"Трафіковий","Основний","Маржинальний","Сезонний","Стратегічний"},0),0.18,0.21,0.26,0.25,0.3)</f>
        <v/>
      </c>
      <c r="AE416" s="104">
        <f>CHOOSE(MATCH(IF($U416="","Основний",$U416),{"Трафіковий","Основний","Маржинальний","Сезонний","Стратегічний"},0),0.18,0.2,0.28,0.27,0.32)</f>
        <v/>
      </c>
      <c r="AF416" s="104">
        <f>CHOOSE(MATCH(IF($U416="","Основний",$U416),{"Трафіковий","Основний","Маржинальний","Сезонний","Стратегічний"},0),0.15,0.175,0.22,0.21,0.25)</f>
        <v/>
      </c>
      <c r="AG416" s="104">
        <f>CHOOSE(MATCH(IF($U416="","Основний",$U416),{"Трафіковий","Основний","Маржинальний","Сезонний","Стратегічний"},0),0.13,0.16,0.21,0.2,0.25)</f>
        <v/>
      </c>
      <c r="AH416" s="104">
        <f>CHOOSE(MATCH(IF($U416="","Основний",$U416),{"Трафіковий","Основний","Маржинальний","Сезонний","Стратегічний"},0),0.15,0.18,0.23,0.22,0.27)</f>
        <v/>
      </c>
      <c r="AI416" s="104">
        <f>CHOOSE(MATCH(IF($U416="","Основний",$U416),{"Трафіковий","Основний","Маржинальний","Сезонний","Стратегічний"},0),0.16,0.19,0.25,0.23,0.29)</f>
        <v/>
      </c>
      <c r="AJ416" s="104">
        <f>CHOOSE(MATCH(IF($U416="","Основний",$U416),{"Трафіковий","Основний","Маржинальний","Сезонний","Стратегічний"},0),0.14,0.17,0.22,0.21,0.25)</f>
        <v/>
      </c>
      <c r="AK416" s="104">
        <f>CHOOSE(MATCH(IF($U416="","Основний",$U416),{"Трафіковий","Основний","Маржинальний","Сезонний","Стратегічний"},0),0.15,0.18,0.23,0.22,0.27)</f>
        <v/>
      </c>
      <c r="AL416" s="104">
        <f>CHOOSE(MATCH(IF($U416="","Основний",$U416),{"Трафіковий","Основний","Маржинальний","Сезонний","Стратегічний"},0),0.15,0.17,0.25,0.24,0.29)</f>
        <v/>
      </c>
      <c r="AM416" s="104">
        <f>CHOOSE(MATCH(IF($U416="","Основний",$U416),{"Трафіковий","Основний","Маржинальний","Сезонний","Стратегічний"},0),0.12,0.145,0.19,0.18,0.22)</f>
        <v/>
      </c>
      <c r="AN416" s="157">
        <f>CHOOSE(MATCH(IF($U416="","Основний",$U416),{"Трафіковий","Основний","Маржинальний","Сезонний","Стратегічний"},0),Settings!$B$78,Settings!$B$80,Settings!$B$82,Settings!$B$84,Settings!$B$86)</f>
        <v/>
      </c>
      <c r="AO416" s="157">
        <f>CHOOSE(MATCH(IF($U416="","Основний",$U416),{"Трафіковий","Основний","Маржинальний","Сезонний","Стратегічний"},0),Settings!$C$78,Settings!$C$80,Settings!$C$82,Settings!$C$84,Settings!$C$86)</f>
        <v/>
      </c>
      <c r="AP416" s="157">
        <f>CHOOSE(MATCH(IF($U416="","Основний",$U416),{"Трафіковий","Основний","Маржинальний","Сезонний","Стратегічний"},0),Settings!$D$78,Settings!$D$80,Settings!$D$82,Settings!$D$84,Settings!$D$86)</f>
        <v/>
      </c>
      <c r="AQ416" s="157">
        <f>CHOOSE(MATCH(IF($U416="","Основний",$U416),{"Трафіковий","Основний","Маржинальний","Сезонний","Стратегічний"},0),Settings!$F$78,Settings!$F$80,Settings!$F$82,Settings!$F$84,Settings!$F$86)</f>
        <v/>
      </c>
      <c r="AR416" s="157">
        <f>CHOOSE(MATCH(IF($U416="","Основний",$U416),{"Трафіковий","Основний","Маржинальний","Сезонний","Стратегічний"},0),Settings!$G$78,Settings!$G$80,Settings!$G$82,Settings!$G$84,Settings!$G$86)</f>
        <v/>
      </c>
      <c r="AS416" s="157">
        <f>CHOOSE(MATCH(IF($U416="","Основний",$U416),{"Трафіковий","Основний","Маржинальний","Сезонний","Стратегічний"},0),Settings!$H$78,Settings!$H$80,Settings!$H$82,Settings!$H$84,Settings!$H$86)</f>
        <v/>
      </c>
      <c r="AT416" s="157">
        <f>CHOOSE(MATCH(IF($U416="","Основний",$U416),{"Трафіковий","Основний","Маржинальний","Сезонний","Стратегічний"},0),Settings!$I$78,Settings!$I$80,Settings!$I$82,Settings!$I$84,Settings!$I$86)</f>
        <v/>
      </c>
      <c r="AU416" s="171" t="n"/>
      <c r="AV416" t="n">
        <v>1.35</v>
      </c>
    </row>
    <row r="417">
      <c r="A417" s="33" t="n"/>
      <c r="B417" s="34" t="inlineStr">
        <is>
          <t>A1396.2</t>
        </is>
      </c>
      <c r="C417" s="34" t="inlineStr">
        <is>
          <t>WALL SOCKET+TWO-WAY SWITCH NO.6  IP44 SCHUKO</t>
        </is>
      </c>
      <c r="D417" s="34" t="inlineStr">
        <is>
          <t>Вуличні вимикачи та розетки</t>
        </is>
      </c>
      <c r="E417" s="33" t="inlineStr">
        <is>
          <t>PC</t>
        </is>
      </c>
      <c r="F417" s="94" t="n">
        <v>2.496</v>
      </c>
      <c r="G417" s="35" t="n">
        <v>8536699099</v>
      </c>
      <c r="H417" s="31" t="n">
        <v>1.35</v>
      </c>
      <c r="I417" s="84">
        <f>IFERROR(F417*Settings!$B$2*H417*IF(AND(ISNUMBER(E417),E417&gt;1),E417,1),"")</f>
        <v/>
      </c>
      <c r="J417" s="32">
        <f>Settings!$B$66</f>
        <v/>
      </c>
      <c r="K417" s="95">
        <f>IFERROR(IF(T417="","",(T417*(1-AN417)*(1-Settings!$B$17)-I417)/(T417*(1-AN417)*(1-Settings!$B$17))),"")</f>
        <v/>
      </c>
      <c r="L417" s="101">
        <f>IFERROR(IF(T417="","",(T417*(1-AO417)*(1-Settings!$C$17)-I417)/(T417*(1-AO417)*(1-Settings!$C$17))),"")</f>
        <v/>
      </c>
      <c r="M417" s="101">
        <f>IFERROR(IF(T417="","",(T417*(1-AP417)*(1-Settings!$D$17)-I417)/(T417*(1-AP417)*(1-Settings!$D$17))),"")</f>
        <v/>
      </c>
      <c r="N417" s="101">
        <f>IFERROR(IF(T417="","",(T417*(1-AQ417)*(1-Settings!$F$17)-I417)/(T417*(1-AQ417)*(1-Settings!$F$17))),"")</f>
        <v/>
      </c>
      <c r="O417" s="101">
        <f>IFERROR(IF(T417="","",(T417*(1-AR417)*(1-Settings!$G$17)-I417)/(T417*(1-AR417)*(1-Settings!$G$17))),"")</f>
        <v/>
      </c>
      <c r="P417" s="101">
        <f>IFERROR(IF(T417="","",(T417*(1-AS417)*(1-Settings!$H$17)-I417)/(T417*(1-AS417)*(1-Settings!$H$17))),"")</f>
        <v/>
      </c>
      <c r="Q417" s="101">
        <f>IFERROR(IF(T417="","",(T417*(1-AT417)*(1-Settings!$I$68)*(1-Settings!$I$17)-I417)/(T417*(1-AT417)*(1-Settings!$I$68)*(1-Settings!$I$17))),"")</f>
        <v/>
      </c>
      <c r="R417" s="91">
        <f>IFERROR(IF(OR(I417="",Z417&gt;=1,Settings!$B$17&gt;=1,AN417&gt;=1),"",IF(MOD(ROUND(I417/(1-Z417)/(1-Settings!$B$17)/(1-AN417),0),10)=0,ROUND(I417/(1-Z417)/(1-Settings!$B$17)/(1-AN417),0)-1,IF(MOD(ROUND(I417/(1-Z417)/(1-Settings!$B$17)/(1-AN417),0),10)&lt;=5,FLOOR(ROUND(I417/(1-Z417)/(1-Settings!$B$17)/(1-AN417),0),10)+6,FLOOR(ROUND(I417/(1-Z417)/(1-Settings!$B$17)/(1-AN417),0),10)+9))),"")</f>
        <v/>
      </c>
      <c r="S417" s="174">
        <f>R417*0.95</f>
        <v/>
      </c>
      <c r="T417" s="91">
        <f>IF(S417&lt;&gt;"", IF(MOD(S417,10)=0,S417-1,IF(MOD(S417,10)&lt;=5,FLOOR(S417,10)+6,FLOOR(S417,10)+9)), R417)</f>
        <v/>
      </c>
      <c r="U417" s="87" t="inlineStr">
        <is>
          <t>Основний</t>
        </is>
      </c>
      <c r="V417" s="88" t="n"/>
      <c r="W417" s="88" t="n"/>
      <c r="X417" s="89">
        <f>IFERROR(IF(OR(V417="",W417="",T417=""),"", IF(T417&gt;W417,"Дорогий",IF(T417&lt;V417,"Дешевий","У ринку"))),"")</f>
        <v/>
      </c>
      <c r="Y417" s="90" t="n"/>
      <c r="Z417" s="104">
        <f>CHOOSE(MATCH(IF($U417="","Основний",$U417),{"Трафіковий","Основний","Маржинальний","Сезонний","Стратегічний"},0),0.16,0.19,0.24,0.23,0.28)</f>
        <v/>
      </c>
      <c r="AA417" s="104">
        <f>CHOOSE(MATCH(IF($U417="","Основний",$U417),{"Трафіковий","Основний","Маржинальний","Сезонний","Стратегічний"},0),0.18,0.21,0.26,0.25,0.3)</f>
        <v/>
      </c>
      <c r="AB417" s="104">
        <f>CHOOSE(MATCH(IF($U417="","Основний",$U417),{"Трафіковий","Основний","Маржинальний","Сезонний","Стратегічний"},0),0.19,0.22,0.28,0.26,0.32)</f>
        <v/>
      </c>
      <c r="AC417" s="104">
        <f>CHOOSE(MATCH(IF($U417="","Основний",$U417),{"Трафіковий","Основний","Маржинальний","Сезонний","Стратегічний"},0),0.17,0.2,0.25,0.24,0.28)</f>
        <v/>
      </c>
      <c r="AD417" s="104">
        <f>CHOOSE(MATCH(IF($U417="","Основний",$U417),{"Трафіковий","Основний","Маржинальний","Сезонний","Стратегічний"},0),0.18,0.21,0.26,0.25,0.3)</f>
        <v/>
      </c>
      <c r="AE417" s="104">
        <f>CHOOSE(MATCH(IF($U417="","Основний",$U417),{"Трафіковий","Основний","Маржинальний","Сезонний","Стратегічний"},0),0.18,0.2,0.28,0.27,0.32)</f>
        <v/>
      </c>
      <c r="AF417" s="104">
        <f>CHOOSE(MATCH(IF($U417="","Основний",$U417),{"Трафіковий","Основний","Маржинальний","Сезонний","Стратегічний"},0),0.15,0.175,0.22,0.21,0.25)</f>
        <v/>
      </c>
      <c r="AG417" s="104">
        <f>CHOOSE(MATCH(IF($U417="","Основний",$U417),{"Трафіковий","Основний","Маржинальний","Сезонний","Стратегічний"},0),0.13,0.16,0.21,0.2,0.25)</f>
        <v/>
      </c>
      <c r="AH417" s="104">
        <f>CHOOSE(MATCH(IF($U417="","Основний",$U417),{"Трафіковий","Основний","Маржинальний","Сезонний","Стратегічний"},0),0.15,0.18,0.23,0.22,0.27)</f>
        <v/>
      </c>
      <c r="AI417" s="104">
        <f>CHOOSE(MATCH(IF($U417="","Основний",$U417),{"Трафіковий","Основний","Маржинальний","Сезонний","Стратегічний"},0),0.16,0.19,0.25,0.23,0.29)</f>
        <v/>
      </c>
      <c r="AJ417" s="104">
        <f>CHOOSE(MATCH(IF($U417="","Основний",$U417),{"Трафіковий","Основний","Маржинальний","Сезонний","Стратегічний"},0),0.14,0.17,0.22,0.21,0.25)</f>
        <v/>
      </c>
      <c r="AK417" s="104">
        <f>CHOOSE(MATCH(IF($U417="","Основний",$U417),{"Трафіковий","Основний","Маржинальний","Сезонний","Стратегічний"},0),0.15,0.18,0.23,0.22,0.27)</f>
        <v/>
      </c>
      <c r="AL417" s="104">
        <f>CHOOSE(MATCH(IF($U417="","Основний",$U417),{"Трафіковий","Основний","Маржинальний","Сезонний","Стратегічний"},0),0.15,0.17,0.25,0.24,0.29)</f>
        <v/>
      </c>
      <c r="AM417" s="104">
        <f>CHOOSE(MATCH(IF($U417="","Основний",$U417),{"Трафіковий","Основний","Маржинальний","Сезонний","Стратегічний"},0),0.12,0.145,0.19,0.18,0.22)</f>
        <v/>
      </c>
      <c r="AN417" s="157">
        <f>CHOOSE(MATCH(IF($U417="","Основний",$U417),{"Трафіковий","Основний","Маржинальний","Сезонний","Стратегічний"},0),Settings!$B$78,Settings!$B$80,Settings!$B$82,Settings!$B$84,Settings!$B$86)</f>
        <v/>
      </c>
      <c r="AO417" s="157">
        <f>CHOOSE(MATCH(IF($U417="","Основний",$U417),{"Трафіковий","Основний","Маржинальний","Сезонний","Стратегічний"},0),Settings!$C$78,Settings!$C$80,Settings!$C$82,Settings!$C$84,Settings!$C$86)</f>
        <v/>
      </c>
      <c r="AP417" s="157">
        <f>CHOOSE(MATCH(IF($U417="","Основний",$U417),{"Трафіковий","Основний","Маржинальний","Сезонний","Стратегічний"},0),Settings!$D$78,Settings!$D$80,Settings!$D$82,Settings!$D$84,Settings!$D$86)</f>
        <v/>
      </c>
      <c r="AQ417" s="157">
        <f>CHOOSE(MATCH(IF($U417="","Основний",$U417),{"Трафіковий","Основний","Маржинальний","Сезонний","Стратегічний"},0),Settings!$F$78,Settings!$F$80,Settings!$F$82,Settings!$F$84,Settings!$F$86)</f>
        <v/>
      </c>
      <c r="AR417" s="157">
        <f>CHOOSE(MATCH(IF($U417="","Основний",$U417),{"Трафіковий","Основний","Маржинальний","Сезонний","Стратегічний"},0),Settings!$G$78,Settings!$G$80,Settings!$G$82,Settings!$G$84,Settings!$G$86)</f>
        <v/>
      </c>
      <c r="AS417" s="157">
        <f>CHOOSE(MATCH(IF($U417="","Основний",$U417),{"Трафіковий","Основний","Маржинальний","Сезонний","Стратегічний"},0),Settings!$H$78,Settings!$H$80,Settings!$H$82,Settings!$H$84,Settings!$H$86)</f>
        <v/>
      </c>
      <c r="AT417" s="157">
        <f>CHOOSE(MATCH(IF($U417="","Основний",$U417),{"Трафіковий","Основний","Маржинальний","Сезонний","Стратегічний"},0),Settings!$I$78,Settings!$I$80,Settings!$I$82,Settings!$I$84,Settings!$I$86)</f>
        <v/>
      </c>
      <c r="AU417" s="171" t="n"/>
      <c r="AV417" t="n">
        <v>1.35</v>
      </c>
    </row>
    <row r="418">
      <c r="A418" s="28" t="inlineStr">
        <is>
          <t>NEW</t>
        </is>
      </c>
      <c r="B418" s="29" t="inlineStr">
        <is>
          <t>D730422</t>
        </is>
      </c>
      <c r="C418" s="29" t="inlineStr">
        <is>
          <t>EMOS CYKLONE WALL SWITCH C.1,6 IP55</t>
        </is>
      </c>
      <c r="D418" s="29" t="inlineStr">
        <is>
          <t>Вуличні вимикачи та розетки</t>
        </is>
      </c>
      <c r="E418" s="28" t="inlineStr">
        <is>
          <t>PC</t>
        </is>
      </c>
      <c r="F418" s="93" t="n">
        <v>4.026</v>
      </c>
      <c r="G418" s="30" t="n">
        <v>8536699099</v>
      </c>
      <c r="H418" s="31" t="n">
        <v>1.35</v>
      </c>
      <c r="I418" s="84">
        <f>IFERROR(F418*Settings!$B$2*H418*IF(AND(ISNUMBER(E418),E418&gt;1),E418,1),"")</f>
        <v/>
      </c>
      <c r="J418" s="32">
        <f>Settings!$B$66</f>
        <v/>
      </c>
      <c r="K418" s="95">
        <f>IFERROR(IF(T418="","",(T418*(1-AN418)*(1-Settings!$B$17)-I418)/(T418*(1-AN418)*(1-Settings!$B$17))),"")</f>
        <v/>
      </c>
      <c r="L418" s="101">
        <f>IFERROR(IF(T418="","",(T418*(1-AO418)*(1-Settings!$C$17)-I418)/(T418*(1-AO418)*(1-Settings!$C$17))),"")</f>
        <v/>
      </c>
      <c r="M418" s="101">
        <f>IFERROR(IF(T418="","",(T418*(1-AP418)*(1-Settings!$D$17)-I418)/(T418*(1-AP418)*(1-Settings!$D$17))),"")</f>
        <v/>
      </c>
      <c r="N418" s="101">
        <f>IFERROR(IF(T418="","",(T418*(1-AQ418)*(1-Settings!$F$17)-I418)/(T418*(1-AQ418)*(1-Settings!$F$17))),"")</f>
        <v/>
      </c>
      <c r="O418" s="101">
        <f>IFERROR(IF(T418="","",(T418*(1-AR418)*(1-Settings!$G$17)-I418)/(T418*(1-AR418)*(1-Settings!$G$17))),"")</f>
        <v/>
      </c>
      <c r="P418" s="101">
        <f>IFERROR(IF(T418="","",(T418*(1-AS418)*(1-Settings!$H$17)-I418)/(T418*(1-AS418)*(1-Settings!$H$17))),"")</f>
        <v/>
      </c>
      <c r="Q418" s="101">
        <f>IFERROR(IF(T418="","",(T418*(1-AT418)*(1-Settings!$I$68)*(1-Settings!$I$17)-I418)/(T418*(1-AT418)*(1-Settings!$I$68)*(1-Settings!$I$17))),"")</f>
        <v/>
      </c>
      <c r="R418" s="91">
        <f>IFERROR(IF(OR(I418="",Z418&gt;=1,Settings!$B$17&gt;=1,AN418&gt;=1),"",IF(MOD(ROUND(I418/(1-Z418)/(1-Settings!$B$17)/(1-AN418),0),10)=0,ROUND(I418/(1-Z418)/(1-Settings!$B$17)/(1-AN418),0)-1,IF(MOD(ROUND(I418/(1-Z418)/(1-Settings!$B$17)/(1-AN418),0),10)&lt;=5,FLOOR(ROUND(I418/(1-Z418)/(1-Settings!$B$17)/(1-AN418),0),10)+6,FLOOR(ROUND(I418/(1-Z418)/(1-Settings!$B$17)/(1-AN418),0),10)+9))),"")</f>
        <v/>
      </c>
      <c r="S418" s="174">
        <f>R418*0.95</f>
        <v/>
      </c>
      <c r="T418" s="91">
        <f>IF(S418&lt;&gt;"", IF(MOD(S418,10)=0,S418-1,IF(MOD(S418,10)&lt;=5,FLOOR(S418,10)+6,FLOOR(S418,10)+9)), R418)</f>
        <v/>
      </c>
      <c r="U418" s="87" t="inlineStr">
        <is>
          <t>Основний</t>
        </is>
      </c>
      <c r="V418" s="88" t="n"/>
      <c r="W418" s="88" t="n"/>
      <c r="X418" s="89">
        <f>IFERROR(IF(OR(V418="",W418="",T418=""),"", IF(T418&gt;W418,"Дорогий",IF(T418&lt;V418,"Дешевий","У ринку"))),"")</f>
        <v/>
      </c>
      <c r="Y418" s="90" t="n"/>
      <c r="Z418" s="104">
        <f>CHOOSE(MATCH(IF($U418="","Основний",$U418),{"Трафіковий","Основний","Маржинальний","Сезонний","Стратегічний"},0),0.16,0.19,0.24,0.23,0.28)</f>
        <v/>
      </c>
      <c r="AA418" s="104">
        <f>CHOOSE(MATCH(IF($U418="","Основний",$U418),{"Трафіковий","Основний","Маржинальний","Сезонний","Стратегічний"},0),0.18,0.21,0.26,0.25,0.3)</f>
        <v/>
      </c>
      <c r="AB418" s="104">
        <f>CHOOSE(MATCH(IF($U418="","Основний",$U418),{"Трафіковий","Основний","Маржинальний","Сезонний","Стратегічний"},0),0.19,0.22,0.28,0.26,0.32)</f>
        <v/>
      </c>
      <c r="AC418" s="104">
        <f>CHOOSE(MATCH(IF($U418="","Основний",$U418),{"Трафіковий","Основний","Маржинальний","Сезонний","Стратегічний"},0),0.17,0.2,0.25,0.24,0.28)</f>
        <v/>
      </c>
      <c r="AD418" s="104">
        <f>CHOOSE(MATCH(IF($U418="","Основний",$U418),{"Трафіковий","Основний","Маржинальний","Сезонний","Стратегічний"},0),0.18,0.21,0.26,0.25,0.3)</f>
        <v/>
      </c>
      <c r="AE418" s="104">
        <f>CHOOSE(MATCH(IF($U418="","Основний",$U418),{"Трафіковий","Основний","Маржинальний","Сезонний","Стратегічний"},0),0.18,0.2,0.28,0.27,0.32)</f>
        <v/>
      </c>
      <c r="AF418" s="104">
        <f>CHOOSE(MATCH(IF($U418="","Основний",$U418),{"Трафіковий","Основний","Маржинальний","Сезонний","Стратегічний"},0),0.15,0.175,0.22,0.21,0.25)</f>
        <v/>
      </c>
      <c r="AG418" s="104">
        <f>CHOOSE(MATCH(IF($U418="","Основний",$U418),{"Трафіковий","Основний","Маржинальний","Сезонний","Стратегічний"},0),0.13,0.16,0.21,0.2,0.25)</f>
        <v/>
      </c>
      <c r="AH418" s="104">
        <f>CHOOSE(MATCH(IF($U418="","Основний",$U418),{"Трафіковий","Основний","Маржинальний","Сезонний","Стратегічний"},0),0.15,0.18,0.23,0.22,0.27)</f>
        <v/>
      </c>
      <c r="AI418" s="104">
        <f>CHOOSE(MATCH(IF($U418="","Основний",$U418),{"Трафіковий","Основний","Маржинальний","Сезонний","Стратегічний"},0),0.16,0.19,0.25,0.23,0.29)</f>
        <v/>
      </c>
      <c r="AJ418" s="104">
        <f>CHOOSE(MATCH(IF($U418="","Основний",$U418),{"Трафіковий","Основний","Маржинальний","Сезонний","Стратегічний"},0),0.14,0.17,0.22,0.21,0.25)</f>
        <v/>
      </c>
      <c r="AK418" s="104">
        <f>CHOOSE(MATCH(IF($U418="","Основний",$U418),{"Трафіковий","Основний","Маржинальний","Сезонний","Стратегічний"},0),0.15,0.18,0.23,0.22,0.27)</f>
        <v/>
      </c>
      <c r="AL418" s="104">
        <f>CHOOSE(MATCH(IF($U418="","Основний",$U418),{"Трафіковий","Основний","Маржинальний","Сезонний","Стратегічний"},0),0.15,0.17,0.25,0.24,0.29)</f>
        <v/>
      </c>
      <c r="AM418" s="104">
        <f>CHOOSE(MATCH(IF($U418="","Основний",$U418),{"Трафіковий","Основний","Маржинальний","Сезонний","Стратегічний"},0),0.12,0.145,0.19,0.18,0.22)</f>
        <v/>
      </c>
      <c r="AN418" s="157">
        <f>CHOOSE(MATCH(IF($U418="","Основний",$U418),{"Трафіковий","Основний","Маржинальний","Сезонний","Стратегічний"},0),Settings!$B$78,Settings!$B$80,Settings!$B$82,Settings!$B$84,Settings!$B$86)</f>
        <v/>
      </c>
      <c r="AO418" s="157">
        <f>CHOOSE(MATCH(IF($U418="","Основний",$U418),{"Трафіковий","Основний","Маржинальний","Сезонний","Стратегічний"},0),Settings!$C$78,Settings!$C$80,Settings!$C$82,Settings!$C$84,Settings!$C$86)</f>
        <v/>
      </c>
      <c r="AP418" s="157">
        <f>CHOOSE(MATCH(IF($U418="","Основний",$U418),{"Трафіковий","Основний","Маржинальний","Сезонний","Стратегічний"},0),Settings!$D$78,Settings!$D$80,Settings!$D$82,Settings!$D$84,Settings!$D$86)</f>
        <v/>
      </c>
      <c r="AQ418" s="157">
        <f>CHOOSE(MATCH(IF($U418="","Основний",$U418),{"Трафіковий","Основний","Маржинальний","Сезонний","Стратегічний"},0),Settings!$F$78,Settings!$F$80,Settings!$F$82,Settings!$F$84,Settings!$F$86)</f>
        <v/>
      </c>
      <c r="AR418" s="157">
        <f>CHOOSE(MATCH(IF($U418="","Основний",$U418),{"Трафіковий","Основний","Маржинальний","Сезонний","Стратегічний"},0),Settings!$G$78,Settings!$G$80,Settings!$G$82,Settings!$G$84,Settings!$G$86)</f>
        <v/>
      </c>
      <c r="AS418" s="157">
        <f>CHOOSE(MATCH(IF($U418="","Основний",$U418),{"Трафіковий","Основний","Маржинальний","Сезонний","Стратегічний"},0),Settings!$H$78,Settings!$H$80,Settings!$H$82,Settings!$H$84,Settings!$H$86)</f>
        <v/>
      </c>
      <c r="AT418" s="157">
        <f>CHOOSE(MATCH(IF($U418="","Основний",$U418),{"Трафіковий","Основний","Маржинальний","Сезонний","Стратегічний"},0),Settings!$I$78,Settings!$I$80,Settings!$I$82,Settings!$I$84,Settings!$I$86)</f>
        <v/>
      </c>
      <c r="AU418" s="171" t="n"/>
      <c r="AV418" t="n">
        <v>1.35</v>
      </c>
    </row>
    <row r="419">
      <c r="A419" s="33" t="inlineStr">
        <is>
          <t>NEW</t>
        </is>
      </c>
      <c r="B419" s="34" t="inlineStr">
        <is>
          <t>D730427</t>
        </is>
      </c>
      <c r="C419" s="34" t="inlineStr">
        <is>
          <t>EMOS CYKLONE BELL SWITCH 1/0 IP55</t>
        </is>
      </c>
      <c r="D419" s="34" t="inlineStr">
        <is>
          <t>Вуличні вимикачи та розетки</t>
        </is>
      </c>
      <c r="E419" s="33" t="inlineStr">
        <is>
          <t>PC</t>
        </is>
      </c>
      <c r="F419" s="94" t="n">
        <v>4.117</v>
      </c>
      <c r="G419" s="35" t="n">
        <v>8536699099</v>
      </c>
      <c r="H419" s="31" t="n">
        <v>1.35</v>
      </c>
      <c r="I419" s="84">
        <f>IFERROR(F419*Settings!$B$2*H419*IF(AND(ISNUMBER(E419),E419&gt;1),E419,1),"")</f>
        <v/>
      </c>
      <c r="J419" s="32">
        <f>Settings!$B$66</f>
        <v/>
      </c>
      <c r="K419" s="95">
        <f>IFERROR(IF(T419="","",(T419*(1-AN419)*(1-Settings!$B$17)-I419)/(T419*(1-AN419)*(1-Settings!$B$17))),"")</f>
        <v/>
      </c>
      <c r="L419" s="101">
        <f>IFERROR(IF(T419="","",(T419*(1-AO419)*(1-Settings!$C$17)-I419)/(T419*(1-AO419)*(1-Settings!$C$17))),"")</f>
        <v/>
      </c>
      <c r="M419" s="101">
        <f>IFERROR(IF(T419="","",(T419*(1-AP419)*(1-Settings!$D$17)-I419)/(T419*(1-AP419)*(1-Settings!$D$17))),"")</f>
        <v/>
      </c>
      <c r="N419" s="101">
        <f>IFERROR(IF(T419="","",(T419*(1-AQ419)*(1-Settings!$F$17)-I419)/(T419*(1-AQ419)*(1-Settings!$F$17))),"")</f>
        <v/>
      </c>
      <c r="O419" s="101">
        <f>IFERROR(IF(T419="","",(T419*(1-AR419)*(1-Settings!$G$17)-I419)/(T419*(1-AR419)*(1-Settings!$G$17))),"")</f>
        <v/>
      </c>
      <c r="P419" s="101">
        <f>IFERROR(IF(T419="","",(T419*(1-AS419)*(1-Settings!$H$17)-I419)/(T419*(1-AS419)*(1-Settings!$H$17))),"")</f>
        <v/>
      </c>
      <c r="Q419" s="101">
        <f>IFERROR(IF(T419="","",(T419*(1-AT419)*(1-Settings!$I$68)*(1-Settings!$I$17)-I419)/(T419*(1-AT419)*(1-Settings!$I$68)*(1-Settings!$I$17))),"")</f>
        <v/>
      </c>
      <c r="R419" s="91">
        <f>IFERROR(IF(OR(I419="",Z419&gt;=1,Settings!$B$17&gt;=1,AN419&gt;=1),"",IF(MOD(ROUND(I419/(1-Z419)/(1-Settings!$B$17)/(1-AN419),0),10)=0,ROUND(I419/(1-Z419)/(1-Settings!$B$17)/(1-AN419),0)-1,IF(MOD(ROUND(I419/(1-Z419)/(1-Settings!$B$17)/(1-AN419),0),10)&lt;=5,FLOOR(ROUND(I419/(1-Z419)/(1-Settings!$B$17)/(1-AN419),0),10)+6,FLOOR(ROUND(I419/(1-Z419)/(1-Settings!$B$17)/(1-AN419),0),10)+9))),"")</f>
        <v/>
      </c>
      <c r="S419" s="174">
        <f>R419*0.95</f>
        <v/>
      </c>
      <c r="T419" s="91">
        <f>IF(S419&lt;&gt;"", IF(MOD(S419,10)=0,S419-1,IF(MOD(S419,10)&lt;=5,FLOOR(S419,10)+6,FLOOR(S419,10)+9)), R419)</f>
        <v/>
      </c>
      <c r="U419" s="87" t="inlineStr">
        <is>
          <t>Основний</t>
        </is>
      </c>
      <c r="V419" s="88" t="n"/>
      <c r="W419" s="88" t="n"/>
      <c r="X419" s="89">
        <f>IFERROR(IF(OR(V419="",W419="",T419=""),"", IF(T419&gt;W419,"Дорогий",IF(T419&lt;V419,"Дешевий","У ринку"))),"")</f>
        <v/>
      </c>
      <c r="Y419" s="90" t="n"/>
      <c r="Z419" s="104">
        <f>CHOOSE(MATCH(IF($U419="","Основний",$U419),{"Трафіковий","Основний","Маржинальний","Сезонний","Стратегічний"},0),0.16,0.19,0.24,0.23,0.28)</f>
        <v/>
      </c>
      <c r="AA419" s="104">
        <f>CHOOSE(MATCH(IF($U419="","Основний",$U419),{"Трафіковий","Основний","Маржинальний","Сезонний","Стратегічний"},0),0.18,0.21,0.26,0.25,0.3)</f>
        <v/>
      </c>
      <c r="AB419" s="104">
        <f>CHOOSE(MATCH(IF($U419="","Основний",$U419),{"Трафіковий","Основний","Маржинальний","Сезонний","Стратегічний"},0),0.19,0.22,0.28,0.26,0.32)</f>
        <v/>
      </c>
      <c r="AC419" s="104">
        <f>CHOOSE(MATCH(IF($U419="","Основний",$U419),{"Трафіковий","Основний","Маржинальний","Сезонний","Стратегічний"},0),0.17,0.2,0.25,0.24,0.28)</f>
        <v/>
      </c>
      <c r="AD419" s="104">
        <f>CHOOSE(MATCH(IF($U419="","Основний",$U419),{"Трафіковий","Основний","Маржинальний","Сезонний","Стратегічний"},0),0.18,0.21,0.26,0.25,0.3)</f>
        <v/>
      </c>
      <c r="AE419" s="104">
        <f>CHOOSE(MATCH(IF($U419="","Основний",$U419),{"Трафіковий","Основний","Маржинальний","Сезонний","Стратегічний"},0),0.18,0.2,0.28,0.27,0.32)</f>
        <v/>
      </c>
      <c r="AF419" s="104">
        <f>CHOOSE(MATCH(IF($U419="","Основний",$U419),{"Трафіковий","Основний","Маржинальний","Сезонний","Стратегічний"},0),0.15,0.175,0.22,0.21,0.25)</f>
        <v/>
      </c>
      <c r="AG419" s="104">
        <f>CHOOSE(MATCH(IF($U419="","Основний",$U419),{"Трафіковий","Основний","Маржинальний","Сезонний","Стратегічний"},0),0.13,0.16,0.21,0.2,0.25)</f>
        <v/>
      </c>
      <c r="AH419" s="104">
        <f>CHOOSE(MATCH(IF($U419="","Основний",$U419),{"Трафіковий","Основний","Маржинальний","Сезонний","Стратегічний"},0),0.15,0.18,0.23,0.22,0.27)</f>
        <v/>
      </c>
      <c r="AI419" s="104">
        <f>CHOOSE(MATCH(IF($U419="","Основний",$U419),{"Трафіковий","Основний","Маржинальний","Сезонний","Стратегічний"},0),0.16,0.19,0.25,0.23,0.29)</f>
        <v/>
      </c>
      <c r="AJ419" s="104">
        <f>CHOOSE(MATCH(IF($U419="","Основний",$U419),{"Трафіковий","Основний","Маржинальний","Сезонний","Стратегічний"},0),0.14,0.17,0.22,0.21,0.25)</f>
        <v/>
      </c>
      <c r="AK419" s="104">
        <f>CHOOSE(MATCH(IF($U419="","Основний",$U419),{"Трафіковий","Основний","Маржинальний","Сезонний","Стратегічний"},0),0.15,0.18,0.23,0.22,0.27)</f>
        <v/>
      </c>
      <c r="AL419" s="104">
        <f>CHOOSE(MATCH(IF($U419="","Основний",$U419),{"Трафіковий","Основний","Маржинальний","Сезонний","Стратегічний"},0),0.15,0.17,0.25,0.24,0.29)</f>
        <v/>
      </c>
      <c r="AM419" s="104">
        <f>CHOOSE(MATCH(IF($U419="","Основний",$U419),{"Трафіковий","Основний","Маржинальний","Сезонний","Стратегічний"},0),0.12,0.145,0.19,0.18,0.22)</f>
        <v/>
      </c>
      <c r="AN419" s="157">
        <f>CHOOSE(MATCH(IF($U419="","Основний",$U419),{"Трафіковий","Основний","Маржинальний","Сезонний","Стратегічний"},0),Settings!$B$78,Settings!$B$80,Settings!$B$82,Settings!$B$84,Settings!$B$86)</f>
        <v/>
      </c>
      <c r="AO419" s="157">
        <f>CHOOSE(MATCH(IF($U419="","Основний",$U419),{"Трафіковий","Основний","Маржинальний","Сезонний","Стратегічний"},0),Settings!$C$78,Settings!$C$80,Settings!$C$82,Settings!$C$84,Settings!$C$86)</f>
        <v/>
      </c>
      <c r="AP419" s="157">
        <f>CHOOSE(MATCH(IF($U419="","Основний",$U419),{"Трафіковий","Основний","Маржинальний","Сезонний","Стратегічний"},0),Settings!$D$78,Settings!$D$80,Settings!$D$82,Settings!$D$84,Settings!$D$86)</f>
        <v/>
      </c>
      <c r="AQ419" s="157">
        <f>CHOOSE(MATCH(IF($U419="","Основний",$U419),{"Трафіковий","Основний","Маржинальний","Сезонний","Стратегічний"},0),Settings!$F$78,Settings!$F$80,Settings!$F$82,Settings!$F$84,Settings!$F$86)</f>
        <v/>
      </c>
      <c r="AR419" s="157">
        <f>CHOOSE(MATCH(IF($U419="","Основний",$U419),{"Трафіковий","Основний","Маржинальний","Сезонний","Стратегічний"},0),Settings!$G$78,Settings!$G$80,Settings!$G$82,Settings!$G$84,Settings!$G$86)</f>
        <v/>
      </c>
      <c r="AS419" s="157">
        <f>CHOOSE(MATCH(IF($U419="","Основний",$U419),{"Трафіковий","Основний","Маржинальний","Сезонний","Стратегічний"},0),Settings!$H$78,Settings!$H$80,Settings!$H$82,Settings!$H$84,Settings!$H$86)</f>
        <v/>
      </c>
      <c r="AT419" s="157">
        <f>CHOOSE(MATCH(IF($U419="","Основний",$U419),{"Трафіковий","Основний","Маржинальний","Сезонний","Стратегічний"},0),Settings!$I$78,Settings!$I$80,Settings!$I$82,Settings!$I$84,Settings!$I$86)</f>
        <v/>
      </c>
      <c r="AU419" s="171" t="n"/>
      <c r="AV419" t="n">
        <v>1.35</v>
      </c>
    </row>
    <row r="420">
      <c r="A420" s="28" t="inlineStr">
        <is>
          <t>NEW</t>
        </is>
      </c>
      <c r="B420" s="29" t="inlineStr">
        <is>
          <t>D730423</t>
        </is>
      </c>
      <c r="C420" s="29" t="inlineStr">
        <is>
          <t>EMOS CYKLONE 2×TWO WAY SWITCH IP55</t>
        </is>
      </c>
      <c r="D420" s="29" t="inlineStr">
        <is>
          <t>Вуличні вимикачи та розетки</t>
        </is>
      </c>
      <c r="E420" s="28" t="inlineStr">
        <is>
          <t>PC</t>
        </is>
      </c>
      <c r="F420" s="93" t="n">
        <v>5.082</v>
      </c>
      <c r="G420" s="30" t="n">
        <v>8536699099</v>
      </c>
      <c r="H420" s="31" t="n">
        <v>1.35</v>
      </c>
      <c r="I420" s="84">
        <f>IFERROR(F420*Settings!$B$2*H420*IF(AND(ISNUMBER(E420),E420&gt;1),E420,1),"")</f>
        <v/>
      </c>
      <c r="J420" s="32">
        <f>Settings!$B$66</f>
        <v/>
      </c>
      <c r="K420" s="95">
        <f>IFERROR(IF(T420="","",(T420*(1-AN420)*(1-Settings!$B$17)-I420)/(T420*(1-AN420)*(1-Settings!$B$17))),"")</f>
        <v/>
      </c>
      <c r="L420" s="101">
        <f>IFERROR(IF(T420="","",(T420*(1-AO420)*(1-Settings!$C$17)-I420)/(T420*(1-AO420)*(1-Settings!$C$17))),"")</f>
        <v/>
      </c>
      <c r="M420" s="101">
        <f>IFERROR(IF(T420="","",(T420*(1-AP420)*(1-Settings!$D$17)-I420)/(T420*(1-AP420)*(1-Settings!$D$17))),"")</f>
        <v/>
      </c>
      <c r="N420" s="101">
        <f>IFERROR(IF(T420="","",(T420*(1-AQ420)*(1-Settings!$F$17)-I420)/(T420*(1-AQ420)*(1-Settings!$F$17))),"")</f>
        <v/>
      </c>
      <c r="O420" s="101">
        <f>IFERROR(IF(T420="","",(T420*(1-AR420)*(1-Settings!$G$17)-I420)/(T420*(1-AR420)*(1-Settings!$G$17))),"")</f>
        <v/>
      </c>
      <c r="P420" s="101">
        <f>IFERROR(IF(T420="","",(T420*(1-AS420)*(1-Settings!$H$17)-I420)/(T420*(1-AS420)*(1-Settings!$H$17))),"")</f>
        <v/>
      </c>
      <c r="Q420" s="101">
        <f>IFERROR(IF(T420="","",(T420*(1-AT420)*(1-Settings!$I$68)*(1-Settings!$I$17)-I420)/(T420*(1-AT420)*(1-Settings!$I$68)*(1-Settings!$I$17))),"")</f>
        <v/>
      </c>
      <c r="R420" s="91">
        <f>IFERROR(IF(OR(I420="",Z420&gt;=1,Settings!$B$17&gt;=1,AN420&gt;=1),"",IF(MOD(ROUND(I420/(1-Z420)/(1-Settings!$B$17)/(1-AN420),0),10)=0,ROUND(I420/(1-Z420)/(1-Settings!$B$17)/(1-AN420),0)-1,IF(MOD(ROUND(I420/(1-Z420)/(1-Settings!$B$17)/(1-AN420),0),10)&lt;=5,FLOOR(ROUND(I420/(1-Z420)/(1-Settings!$B$17)/(1-AN420),0),10)+6,FLOOR(ROUND(I420/(1-Z420)/(1-Settings!$B$17)/(1-AN420),0),10)+9))),"")</f>
        <v/>
      </c>
      <c r="S420" s="174">
        <f>R420*0.95</f>
        <v/>
      </c>
      <c r="T420" s="91">
        <f>IF(S420&lt;&gt;"", IF(MOD(S420,10)=0,S420-1,IF(MOD(S420,10)&lt;=5,FLOOR(S420,10)+6,FLOOR(S420,10)+9)), R420)</f>
        <v/>
      </c>
      <c r="U420" s="87" t="inlineStr">
        <is>
          <t>Основний</t>
        </is>
      </c>
      <c r="V420" s="88" t="n"/>
      <c r="W420" s="88" t="n"/>
      <c r="X420" s="89">
        <f>IFERROR(IF(OR(V420="",W420="",T420=""),"", IF(T420&gt;W420,"Дорогий",IF(T420&lt;V420,"Дешевий","У ринку"))),"")</f>
        <v/>
      </c>
      <c r="Y420" s="90" t="n"/>
      <c r="Z420" s="104">
        <f>CHOOSE(MATCH(IF($U420="","Основний",$U420),{"Трафіковий","Основний","Маржинальний","Сезонний","Стратегічний"},0),0.16,0.19,0.24,0.23,0.28)</f>
        <v/>
      </c>
      <c r="AA420" s="104">
        <f>CHOOSE(MATCH(IF($U420="","Основний",$U420),{"Трафіковий","Основний","Маржинальний","Сезонний","Стратегічний"},0),0.18,0.21,0.26,0.25,0.3)</f>
        <v/>
      </c>
      <c r="AB420" s="104">
        <f>CHOOSE(MATCH(IF($U420="","Основний",$U420),{"Трафіковий","Основний","Маржинальний","Сезонний","Стратегічний"},0),0.19,0.22,0.28,0.26,0.32)</f>
        <v/>
      </c>
      <c r="AC420" s="104">
        <f>CHOOSE(MATCH(IF($U420="","Основний",$U420),{"Трафіковий","Основний","Маржинальний","Сезонний","Стратегічний"},0),0.17,0.2,0.25,0.24,0.28)</f>
        <v/>
      </c>
      <c r="AD420" s="104">
        <f>CHOOSE(MATCH(IF($U420="","Основний",$U420),{"Трафіковий","Основний","Маржинальний","Сезонний","Стратегічний"},0),0.18,0.21,0.26,0.25,0.3)</f>
        <v/>
      </c>
      <c r="AE420" s="104">
        <f>CHOOSE(MATCH(IF($U420="","Основний",$U420),{"Трафіковий","Основний","Маржинальний","Сезонний","Стратегічний"},0),0.18,0.2,0.28,0.27,0.32)</f>
        <v/>
      </c>
      <c r="AF420" s="104">
        <f>CHOOSE(MATCH(IF($U420="","Основний",$U420),{"Трафіковий","Основний","Маржинальний","Сезонний","Стратегічний"},0),0.15,0.175,0.22,0.21,0.25)</f>
        <v/>
      </c>
      <c r="AG420" s="104">
        <f>CHOOSE(MATCH(IF($U420="","Основний",$U420),{"Трафіковий","Основний","Маржинальний","Сезонний","Стратегічний"},0),0.13,0.16,0.21,0.2,0.25)</f>
        <v/>
      </c>
      <c r="AH420" s="104">
        <f>CHOOSE(MATCH(IF($U420="","Основний",$U420),{"Трафіковий","Основний","Маржинальний","Сезонний","Стратегічний"},0),0.15,0.18,0.23,0.22,0.27)</f>
        <v/>
      </c>
      <c r="AI420" s="104">
        <f>CHOOSE(MATCH(IF($U420="","Основний",$U420),{"Трафіковий","Основний","Маржинальний","Сезонний","Стратегічний"},0),0.16,0.19,0.25,0.23,0.29)</f>
        <v/>
      </c>
      <c r="AJ420" s="104">
        <f>CHOOSE(MATCH(IF($U420="","Основний",$U420),{"Трафіковий","Основний","Маржинальний","Сезонний","Стратегічний"},0),0.14,0.17,0.22,0.21,0.25)</f>
        <v/>
      </c>
      <c r="AK420" s="104">
        <f>CHOOSE(MATCH(IF($U420="","Основний",$U420),{"Трафіковий","Основний","Маржинальний","Сезонний","Стратегічний"},0),0.15,0.18,0.23,0.22,0.27)</f>
        <v/>
      </c>
      <c r="AL420" s="104">
        <f>CHOOSE(MATCH(IF($U420="","Основний",$U420),{"Трафіковий","Основний","Маржинальний","Сезонний","Стратегічний"},0),0.15,0.17,0.25,0.24,0.29)</f>
        <v/>
      </c>
      <c r="AM420" s="104">
        <f>CHOOSE(MATCH(IF($U420="","Основний",$U420),{"Трафіковий","Основний","Маржинальний","Сезонний","Стратегічний"},0),0.12,0.145,0.19,0.18,0.22)</f>
        <v/>
      </c>
      <c r="AN420" s="157">
        <f>CHOOSE(MATCH(IF($U420="","Основний",$U420),{"Трафіковий","Основний","Маржинальний","Сезонний","Стратегічний"},0),Settings!$B$78,Settings!$B$80,Settings!$B$82,Settings!$B$84,Settings!$B$86)</f>
        <v/>
      </c>
      <c r="AO420" s="157">
        <f>CHOOSE(MATCH(IF($U420="","Основний",$U420),{"Трафіковий","Основний","Маржинальний","Сезонний","Стратегічний"},0),Settings!$C$78,Settings!$C$80,Settings!$C$82,Settings!$C$84,Settings!$C$86)</f>
        <v/>
      </c>
      <c r="AP420" s="157">
        <f>CHOOSE(MATCH(IF($U420="","Основний",$U420),{"Трафіковий","Основний","Маржинальний","Сезонний","Стратегічний"},0),Settings!$D$78,Settings!$D$80,Settings!$D$82,Settings!$D$84,Settings!$D$86)</f>
        <v/>
      </c>
      <c r="AQ420" s="157">
        <f>CHOOSE(MATCH(IF($U420="","Основний",$U420),{"Трафіковий","Основний","Маржинальний","Сезонний","Стратегічний"},0),Settings!$F$78,Settings!$F$80,Settings!$F$82,Settings!$F$84,Settings!$F$86)</f>
        <v/>
      </c>
      <c r="AR420" s="157">
        <f>CHOOSE(MATCH(IF($U420="","Основний",$U420),{"Трафіковий","Основний","Маржинальний","Сезонний","Стратегічний"},0),Settings!$G$78,Settings!$G$80,Settings!$G$82,Settings!$G$84,Settings!$G$86)</f>
        <v/>
      </c>
      <c r="AS420" s="157">
        <f>CHOOSE(MATCH(IF($U420="","Основний",$U420),{"Трафіковий","Основний","Маржинальний","Сезонний","Стратегічний"},0),Settings!$H$78,Settings!$H$80,Settings!$H$82,Settings!$H$84,Settings!$H$86)</f>
        <v/>
      </c>
      <c r="AT420" s="157">
        <f>CHOOSE(MATCH(IF($U420="","Основний",$U420),{"Трафіковий","Основний","Маржинальний","Сезонний","Стратегічний"},0),Settings!$I$78,Settings!$I$80,Settings!$I$82,Settings!$I$84,Settings!$I$86)</f>
        <v/>
      </c>
      <c r="AU420" s="171" t="n"/>
      <c r="AV420" t="n">
        <v>1.35</v>
      </c>
    </row>
    <row r="421">
      <c r="A421" s="33" t="n"/>
      <c r="B421" s="34" t="inlineStr">
        <is>
          <t>P56402</t>
        </is>
      </c>
      <c r="C421" s="34" t="inlineStr">
        <is>
          <t>CO ALARM GS827</t>
        </is>
      </c>
      <c r="D421" s="34" t="inlineStr">
        <is>
          <t>Сигналізація</t>
        </is>
      </c>
      <c r="E421" s="33" t="inlineStr">
        <is>
          <t>PC</t>
        </is>
      </c>
      <c r="F421" s="94" t="n">
        <v>11.751</v>
      </c>
      <c r="G421" s="35" t="n">
        <v>9027101000</v>
      </c>
      <c r="H421" s="31" t="n">
        <v>1.4</v>
      </c>
      <c r="I421" s="84">
        <f>IFERROR(F421*Settings!$B$2*H421*IF(AND(ISNUMBER(E421),E421&gt;1),E421,1),"")</f>
        <v/>
      </c>
      <c r="J421" s="32">
        <f>Settings!$B$66</f>
        <v/>
      </c>
      <c r="K421" s="95">
        <f>IFERROR(IF(T421="","",(T421*(1-AN421)*(1-Settings!$B$17)-I421)/(T421*(1-AN421)*(1-Settings!$B$17))),"")</f>
        <v/>
      </c>
      <c r="L421" s="101">
        <f>IFERROR(IF(T421="","",(T421*(1-AO421)*(1-Settings!$C$17)-I421)/(T421*(1-AO421)*(1-Settings!$C$17))),"")</f>
        <v/>
      </c>
      <c r="M421" s="101">
        <f>IFERROR(IF(T421="","",(T421*(1-AP421)*(1-Settings!$D$17)-I421)/(T421*(1-AP421)*(1-Settings!$D$17))),"")</f>
        <v/>
      </c>
      <c r="N421" s="101">
        <f>IFERROR(IF(T421="","",(T421*(1-AQ421)*(1-Settings!$F$17)-I421)/(T421*(1-AQ421)*(1-Settings!$F$17))),"")</f>
        <v/>
      </c>
      <c r="O421" s="101">
        <f>IFERROR(IF(T421="","",(T421*(1-AR421)*(1-Settings!$G$17)-I421)/(T421*(1-AR421)*(1-Settings!$G$17))),"")</f>
        <v/>
      </c>
      <c r="P421" s="101">
        <f>IFERROR(IF(T421="","",(T421*(1-AS421)*(1-Settings!$H$17)-I421)/(T421*(1-AS421)*(1-Settings!$H$17))),"")</f>
        <v/>
      </c>
      <c r="Q421" s="101">
        <f>IFERROR(IF(T421="","",(T421*(1-AT421)*(1-Settings!$I$68)*(1-Settings!$I$17)-I421)/(T421*(1-AT421)*(1-Settings!$I$68)*(1-Settings!$I$17))),"")</f>
        <v/>
      </c>
      <c r="R421" s="91">
        <f>IFERROR(IF(OR(I421="",Z421&gt;=1,Settings!$B$17&gt;=1,AN421&gt;=1),"",IF(MOD(ROUND(I421/(1-Z421)/(1-Settings!$B$17)/(1-AN421),0),10)=0,ROUND(I421/(1-Z421)/(1-Settings!$B$17)/(1-AN421),0)-1,IF(MOD(ROUND(I421/(1-Z421)/(1-Settings!$B$17)/(1-AN421),0),10)&lt;=5,FLOOR(ROUND(I421/(1-Z421)/(1-Settings!$B$17)/(1-AN421),0),10)+6,FLOOR(ROUND(I421/(1-Z421)/(1-Settings!$B$17)/(1-AN421),0),10)+9))),"")</f>
        <v/>
      </c>
      <c r="S421" s="174">
        <f>R421*0.95</f>
        <v/>
      </c>
      <c r="T421" s="91">
        <f>IF(S421&lt;&gt;"", IF(MOD(S421,10)=0,S421-1,IF(MOD(S421,10)&lt;=5,FLOOR(S421,10)+6,FLOOR(S421,10)+9)), R421)</f>
        <v/>
      </c>
      <c r="U421" s="87" t="inlineStr">
        <is>
          <t>Основний</t>
        </is>
      </c>
      <c r="V421" s="88" t="n"/>
      <c r="W421" s="88" t="n"/>
      <c r="X421" s="89">
        <f>IFERROR(IF(OR(V421="",W421="",T421=""),"", IF(T421&gt;W421,"Дорогий",IF(T421&lt;V421,"Дешевий","У ринку"))),"")</f>
        <v/>
      </c>
      <c r="Y421" s="90" t="n"/>
      <c r="Z421" s="104">
        <f>CHOOSE(MATCH(IF($U421="","Основний",$U421),{"Трафіковий","Основний","Маржинальний","Сезонний","Стратегічний"},0),0.16,0.19,0.24,0.23,0.28)</f>
        <v/>
      </c>
      <c r="AA421" s="104">
        <f>CHOOSE(MATCH(IF($U421="","Основний",$U421),{"Трафіковий","Основний","Маржинальний","Сезонний","Стратегічний"},0),0.18,0.21,0.26,0.25,0.3)</f>
        <v/>
      </c>
      <c r="AB421" s="104">
        <f>CHOOSE(MATCH(IF($U421="","Основний",$U421),{"Трафіковий","Основний","Маржинальний","Сезонний","Стратегічний"},0),0.19,0.22,0.28,0.26,0.32)</f>
        <v/>
      </c>
      <c r="AC421" s="104">
        <f>CHOOSE(MATCH(IF($U421="","Основний",$U421),{"Трафіковий","Основний","Маржинальний","Сезонний","Стратегічний"},0),0.17,0.2,0.25,0.24,0.28)</f>
        <v/>
      </c>
      <c r="AD421" s="104">
        <f>CHOOSE(MATCH(IF($U421="","Основний",$U421),{"Трафіковий","Основний","Маржинальний","Сезонний","Стратегічний"},0),0.18,0.21,0.26,0.25,0.3)</f>
        <v/>
      </c>
      <c r="AE421" s="104">
        <f>CHOOSE(MATCH(IF($U421="","Основний",$U421),{"Трафіковий","Основний","Маржинальний","Сезонний","Стратегічний"},0),0.18,0.2,0.28,0.27,0.32)</f>
        <v/>
      </c>
      <c r="AF421" s="104">
        <f>CHOOSE(MATCH(IF($U421="","Основний",$U421),{"Трафіковий","Основний","Маржинальний","Сезонний","Стратегічний"},0),0.15,0.175,0.22,0.21,0.25)</f>
        <v/>
      </c>
      <c r="AG421" s="104">
        <f>CHOOSE(MATCH(IF($U421="","Основний",$U421),{"Трафіковий","Основний","Маржинальний","Сезонний","Стратегічний"},0),0.13,0.16,0.21,0.2,0.25)</f>
        <v/>
      </c>
      <c r="AH421" s="104">
        <f>CHOOSE(MATCH(IF($U421="","Основний",$U421),{"Трафіковий","Основний","Маржинальний","Сезонний","Стратегічний"},0),0.15,0.18,0.23,0.22,0.27)</f>
        <v/>
      </c>
      <c r="AI421" s="104">
        <f>CHOOSE(MATCH(IF($U421="","Основний",$U421),{"Трафіковий","Основний","Маржинальний","Сезонний","Стратегічний"},0),0.16,0.19,0.25,0.23,0.29)</f>
        <v/>
      </c>
      <c r="AJ421" s="104">
        <f>CHOOSE(MATCH(IF($U421="","Основний",$U421),{"Трафіковий","Основний","Маржинальний","Сезонний","Стратегічний"},0),0.14,0.17,0.22,0.21,0.25)</f>
        <v/>
      </c>
      <c r="AK421" s="104">
        <f>CHOOSE(MATCH(IF($U421="","Основний",$U421),{"Трафіковий","Основний","Маржинальний","Сезонний","Стратегічний"},0),0.15,0.18,0.23,0.22,0.27)</f>
        <v/>
      </c>
      <c r="AL421" s="104">
        <f>CHOOSE(MATCH(IF($U421="","Основний",$U421),{"Трафіковий","Основний","Маржинальний","Сезонний","Стратегічний"},0),0.15,0.17,0.25,0.24,0.29)</f>
        <v/>
      </c>
      <c r="AM421" s="104">
        <f>CHOOSE(MATCH(IF($U421="","Основний",$U421),{"Трафіковий","Основний","Маржинальний","Сезонний","Стратегічний"},0),0.12,0.145,0.19,0.18,0.22)</f>
        <v/>
      </c>
      <c r="AN421" s="157">
        <f>CHOOSE(MATCH(IF($U421="","Основний",$U421),{"Трафіковий","Основний","Маржинальний","Сезонний","Стратегічний"},0),Settings!$B$78,Settings!$B$80,Settings!$B$82,Settings!$B$84,Settings!$B$86)</f>
        <v/>
      </c>
      <c r="AO421" s="157">
        <f>CHOOSE(MATCH(IF($U421="","Основний",$U421),{"Трафіковий","Основний","Маржинальний","Сезонний","Стратегічний"},0),Settings!$C$78,Settings!$C$80,Settings!$C$82,Settings!$C$84,Settings!$C$86)</f>
        <v/>
      </c>
      <c r="AP421" s="157">
        <f>CHOOSE(MATCH(IF($U421="","Основний",$U421),{"Трафіковий","Основний","Маржинальний","Сезонний","Стратегічний"},0),Settings!$D$78,Settings!$D$80,Settings!$D$82,Settings!$D$84,Settings!$D$86)</f>
        <v/>
      </c>
      <c r="AQ421" s="157">
        <f>CHOOSE(MATCH(IF($U421="","Основний",$U421),{"Трафіковий","Основний","Маржинальний","Сезонний","Стратегічний"},0),Settings!$F$78,Settings!$F$80,Settings!$F$82,Settings!$F$84,Settings!$F$86)</f>
        <v/>
      </c>
      <c r="AR421" s="157">
        <f>CHOOSE(MATCH(IF($U421="","Основний",$U421),{"Трафіковий","Основний","Маржинальний","Сезонний","Стратегічний"},0),Settings!$G$78,Settings!$G$80,Settings!$G$82,Settings!$G$84,Settings!$G$86)</f>
        <v/>
      </c>
      <c r="AS421" s="157">
        <f>CHOOSE(MATCH(IF($U421="","Основний",$U421),{"Трафіковий","Основний","Маржинальний","Сезонний","Стратегічний"},0),Settings!$H$78,Settings!$H$80,Settings!$H$82,Settings!$H$84,Settings!$H$86)</f>
        <v/>
      </c>
      <c r="AT421" s="157">
        <f>CHOOSE(MATCH(IF($U421="","Основний",$U421),{"Трафіковий","Основний","Маржинальний","Сезонний","Стратегічний"},0),Settings!$I$78,Settings!$I$80,Settings!$I$82,Settings!$I$84,Settings!$I$86)</f>
        <v/>
      </c>
      <c r="AU421" s="171" t="n"/>
      <c r="AV421" t="n">
        <v>1.3</v>
      </c>
    </row>
    <row r="422">
      <c r="A422" s="28" t="n"/>
      <c r="B422" s="29" t="inlineStr">
        <is>
          <t>P56503X</t>
        </is>
      </c>
      <c r="C422" s="29" t="inlineStr">
        <is>
          <t>SMOKE DETECTOR TSS910B</t>
        </is>
      </c>
      <c r="D422" s="29" t="inlineStr">
        <is>
          <t>Сигналізація</t>
        </is>
      </c>
      <c r="E422" s="28" t="inlineStr">
        <is>
          <t>PC</t>
        </is>
      </c>
      <c r="F422" s="93" t="n">
        <v>2.513</v>
      </c>
      <c r="G422" s="30" t="n">
        <v>9032102090</v>
      </c>
      <c r="H422" s="31" t="n">
        <v>1.4</v>
      </c>
      <c r="I422" s="84">
        <f>IFERROR(F422*Settings!$B$2*H422*IF(AND(ISNUMBER(E422),E422&gt;1),E422,1),"")</f>
        <v/>
      </c>
      <c r="J422" s="32">
        <f>Settings!$B$66</f>
        <v/>
      </c>
      <c r="K422" s="95">
        <f>IFERROR(IF(T422="","",(T422*(1-AN422)*(1-Settings!$B$17)-I422)/(T422*(1-AN422)*(1-Settings!$B$17))),"")</f>
        <v/>
      </c>
      <c r="L422" s="101">
        <f>IFERROR(IF(T422="","",(T422*(1-AO422)*(1-Settings!$C$17)-I422)/(T422*(1-AO422)*(1-Settings!$C$17))),"")</f>
        <v/>
      </c>
      <c r="M422" s="101">
        <f>IFERROR(IF(T422="","",(T422*(1-AP422)*(1-Settings!$D$17)-I422)/(T422*(1-AP422)*(1-Settings!$D$17))),"")</f>
        <v/>
      </c>
      <c r="N422" s="101">
        <f>IFERROR(IF(T422="","",(T422*(1-AQ422)*(1-Settings!$F$17)-I422)/(T422*(1-AQ422)*(1-Settings!$F$17))),"")</f>
        <v/>
      </c>
      <c r="O422" s="101">
        <f>IFERROR(IF(T422="","",(T422*(1-AR422)*(1-Settings!$G$17)-I422)/(T422*(1-AR422)*(1-Settings!$G$17))),"")</f>
        <v/>
      </c>
      <c r="P422" s="101">
        <f>IFERROR(IF(T422="","",(T422*(1-AS422)*(1-Settings!$H$17)-I422)/(T422*(1-AS422)*(1-Settings!$H$17))),"")</f>
        <v/>
      </c>
      <c r="Q422" s="101">
        <f>IFERROR(IF(T422="","",(T422*(1-AT422)*(1-Settings!$I$68)*(1-Settings!$I$17)-I422)/(T422*(1-AT422)*(1-Settings!$I$68)*(1-Settings!$I$17))),"")</f>
        <v/>
      </c>
      <c r="R422" s="91">
        <f>IFERROR(IF(OR(I422="",Z422&gt;=1,Settings!$B$17&gt;=1,AN422&gt;=1),"",IF(MOD(ROUND(I422/(1-Z422)/(1-Settings!$B$17)/(1-AN422),0),10)=0,ROUND(I422/(1-Z422)/(1-Settings!$B$17)/(1-AN422),0)-1,IF(MOD(ROUND(I422/(1-Z422)/(1-Settings!$B$17)/(1-AN422),0),10)&lt;=5,FLOOR(ROUND(I422/(1-Z422)/(1-Settings!$B$17)/(1-AN422),0),10)+6,FLOOR(ROUND(I422/(1-Z422)/(1-Settings!$B$17)/(1-AN422),0),10)+9))),"")</f>
        <v/>
      </c>
      <c r="S422" s="92" t="n">
        <v>350</v>
      </c>
      <c r="T422" s="91">
        <f>IF(S422&lt;&gt;"", IF(MOD(S422,10)=0,S422-1,IF(MOD(S422,10)&lt;=5,FLOOR(S422,10)+6,FLOOR(S422,10)+9)), R422)</f>
        <v/>
      </c>
      <c r="U422" s="87" t="inlineStr">
        <is>
          <t>Основний</t>
        </is>
      </c>
      <c r="V422" s="88" t="n"/>
      <c r="W422" s="88" t="n"/>
      <c r="X422" s="89">
        <f>IFERROR(IF(OR(V422="",W422="",T422=""),"", IF(T422&gt;W422,"Дорогий",IF(T422&lt;V422,"Дешевий","У ринку"))),"")</f>
        <v/>
      </c>
      <c r="Y422" s="90" t="n"/>
      <c r="Z422" s="104">
        <f>CHOOSE(MATCH(IF($U422="","Основний",$U422),{"Трафіковий","Основний","Маржинальний","Сезонний","Стратегічний"},0),0.16,0.19,0.24,0.23,0.28)</f>
        <v/>
      </c>
      <c r="AA422" s="104">
        <f>CHOOSE(MATCH(IF($U422="","Основний",$U422),{"Трафіковий","Основний","Маржинальний","Сезонний","Стратегічний"},0),0.18,0.21,0.26,0.25,0.3)</f>
        <v/>
      </c>
      <c r="AB422" s="104">
        <f>CHOOSE(MATCH(IF($U422="","Основний",$U422),{"Трафіковий","Основний","Маржинальний","Сезонний","Стратегічний"},0),0.19,0.22,0.28,0.26,0.32)</f>
        <v/>
      </c>
      <c r="AC422" s="104">
        <f>CHOOSE(MATCH(IF($U422="","Основний",$U422),{"Трафіковий","Основний","Маржинальний","Сезонний","Стратегічний"},0),0.17,0.2,0.25,0.24,0.28)</f>
        <v/>
      </c>
      <c r="AD422" s="104">
        <f>CHOOSE(MATCH(IF($U422="","Основний",$U422),{"Трафіковий","Основний","Маржинальний","Сезонний","Стратегічний"},0),0.18,0.21,0.26,0.25,0.3)</f>
        <v/>
      </c>
      <c r="AE422" s="104">
        <f>CHOOSE(MATCH(IF($U422="","Основний",$U422),{"Трафіковий","Основний","Маржинальний","Сезонний","Стратегічний"},0),0.18,0.2,0.28,0.27,0.32)</f>
        <v/>
      </c>
      <c r="AF422" s="104">
        <f>CHOOSE(MATCH(IF($U422="","Основний",$U422),{"Трафіковий","Основний","Маржинальний","Сезонний","Стратегічний"},0),0.15,0.175,0.22,0.21,0.25)</f>
        <v/>
      </c>
      <c r="AG422" s="104">
        <f>CHOOSE(MATCH(IF($U422="","Основний",$U422),{"Трафіковий","Основний","Маржинальний","Сезонний","Стратегічний"},0),0.13,0.16,0.21,0.2,0.25)</f>
        <v/>
      </c>
      <c r="AH422" s="104">
        <f>CHOOSE(MATCH(IF($U422="","Основний",$U422),{"Трафіковий","Основний","Маржинальний","Сезонний","Стратегічний"},0),0.15,0.18,0.23,0.22,0.27)</f>
        <v/>
      </c>
      <c r="AI422" s="104">
        <f>CHOOSE(MATCH(IF($U422="","Основний",$U422),{"Трафіковий","Основний","Маржинальний","Сезонний","Стратегічний"},0),0.16,0.19,0.25,0.23,0.29)</f>
        <v/>
      </c>
      <c r="AJ422" s="104">
        <f>CHOOSE(MATCH(IF($U422="","Основний",$U422),{"Трафіковий","Основний","Маржинальний","Сезонний","Стратегічний"},0),0.14,0.17,0.22,0.21,0.25)</f>
        <v/>
      </c>
      <c r="AK422" s="104">
        <f>CHOOSE(MATCH(IF($U422="","Основний",$U422),{"Трафіковий","Основний","Маржинальний","Сезонний","Стратегічний"},0),0.15,0.18,0.23,0.22,0.27)</f>
        <v/>
      </c>
      <c r="AL422" s="104">
        <f>CHOOSE(MATCH(IF($U422="","Основний",$U422),{"Трафіковий","Основний","Маржинальний","Сезонний","Стратегічний"},0),0.15,0.17,0.25,0.24,0.29)</f>
        <v/>
      </c>
      <c r="AM422" s="104">
        <f>CHOOSE(MATCH(IF($U422="","Основний",$U422),{"Трафіковий","Основний","Маржинальний","Сезонний","Стратегічний"},0),0.12,0.145,0.19,0.18,0.22)</f>
        <v/>
      </c>
      <c r="AN422" s="157">
        <f>CHOOSE(MATCH(IF($U422="","Основний",$U422),{"Трафіковий","Основний","Маржинальний","Сезонний","Стратегічний"},0),Settings!$B$78,Settings!$B$80,Settings!$B$82,Settings!$B$84,Settings!$B$86)</f>
        <v/>
      </c>
      <c r="AO422" s="157">
        <f>CHOOSE(MATCH(IF($U422="","Основний",$U422),{"Трафіковий","Основний","Маржинальний","Сезонний","Стратегічний"},0),Settings!$C$78,Settings!$C$80,Settings!$C$82,Settings!$C$84,Settings!$C$86)</f>
        <v/>
      </c>
      <c r="AP422" s="157">
        <f>CHOOSE(MATCH(IF($U422="","Основний",$U422),{"Трафіковий","Основний","Маржинальний","Сезонний","Стратегічний"},0),Settings!$D$78,Settings!$D$80,Settings!$D$82,Settings!$D$84,Settings!$D$86)</f>
        <v/>
      </c>
      <c r="AQ422" s="157">
        <f>CHOOSE(MATCH(IF($U422="","Основний",$U422),{"Трафіковий","Основний","Маржинальний","Сезонний","Стратегічний"},0),Settings!$F$78,Settings!$F$80,Settings!$F$82,Settings!$F$84,Settings!$F$86)</f>
        <v/>
      </c>
      <c r="AR422" s="157">
        <f>CHOOSE(MATCH(IF($U422="","Основний",$U422),{"Трафіковий","Основний","Маржинальний","Сезонний","Стратегічний"},0),Settings!$G$78,Settings!$G$80,Settings!$G$82,Settings!$G$84,Settings!$G$86)</f>
        <v/>
      </c>
      <c r="AS422" s="157">
        <f>CHOOSE(MATCH(IF($U422="","Основний",$U422),{"Трафіковий","Основний","Маржинальний","Сезонний","Стратегічний"},0),Settings!$H$78,Settings!$H$80,Settings!$H$82,Settings!$H$84,Settings!$H$86)</f>
        <v/>
      </c>
      <c r="AT422" s="157">
        <f>CHOOSE(MATCH(IF($U422="","Основний",$U422),{"Трафіковий","Основний","Маржинальний","Сезонний","Стратегічний"},0),Settings!$I$78,Settings!$I$80,Settings!$I$82,Settings!$I$84,Settings!$I$86)</f>
        <v/>
      </c>
      <c r="AU422" s="171" t="n"/>
      <c r="AV422" t="n">
        <v>1.35</v>
      </c>
    </row>
    <row r="423">
      <c r="A423" s="33" t="n"/>
      <c r="B423" s="34" t="inlineStr">
        <is>
          <t>P56300</t>
        </is>
      </c>
      <c r="C423" s="34" t="inlineStr">
        <is>
          <t>HEAT DETECTOR THS916A</t>
        </is>
      </c>
      <c r="D423" s="34" t="inlineStr">
        <is>
          <t>Сигналізація</t>
        </is>
      </c>
      <c r="E423" s="33" t="inlineStr">
        <is>
          <t>PC</t>
        </is>
      </c>
      <c r="F423" s="94" t="n">
        <v>3.336</v>
      </c>
      <c r="G423" s="35" t="n">
        <v>9027101000</v>
      </c>
      <c r="H423" s="31" t="n">
        <v>1.4</v>
      </c>
      <c r="I423" s="84">
        <f>IFERROR(F423*Settings!$B$2*H423*IF(AND(ISNUMBER(E423),E423&gt;1),E423,1),"")</f>
        <v/>
      </c>
      <c r="J423" s="32">
        <f>Settings!$B$66</f>
        <v/>
      </c>
      <c r="K423" s="95">
        <f>IFERROR(IF(T423="","",(T423*(1-AN423)*(1-Settings!$B$17)-I423)/(T423*(1-AN423)*(1-Settings!$B$17))),"")</f>
        <v/>
      </c>
      <c r="L423" s="101">
        <f>IFERROR(IF(T423="","",(T423*(1-AO423)*(1-Settings!$C$17)-I423)/(T423*(1-AO423)*(1-Settings!$C$17))),"")</f>
        <v/>
      </c>
      <c r="M423" s="101">
        <f>IFERROR(IF(T423="","",(T423*(1-AP423)*(1-Settings!$D$17)-I423)/(T423*(1-AP423)*(1-Settings!$D$17))),"")</f>
        <v/>
      </c>
      <c r="N423" s="101">
        <f>IFERROR(IF(T423="","",(T423*(1-AQ423)*(1-Settings!$F$17)-I423)/(T423*(1-AQ423)*(1-Settings!$F$17))),"")</f>
        <v/>
      </c>
      <c r="O423" s="101">
        <f>IFERROR(IF(T423="","",(T423*(1-AR423)*(1-Settings!$G$17)-I423)/(T423*(1-AR423)*(1-Settings!$G$17))),"")</f>
        <v/>
      </c>
      <c r="P423" s="101">
        <f>IFERROR(IF(T423="","",(T423*(1-AS423)*(1-Settings!$H$17)-I423)/(T423*(1-AS423)*(1-Settings!$H$17))),"")</f>
        <v/>
      </c>
      <c r="Q423" s="101">
        <f>IFERROR(IF(T423="","",(T423*(1-AT423)*(1-Settings!$I$68)*(1-Settings!$I$17)-I423)/(T423*(1-AT423)*(1-Settings!$I$68)*(1-Settings!$I$17))),"")</f>
        <v/>
      </c>
      <c r="R423" s="91">
        <f>IFERROR(IF(OR(I423="",Z423&gt;=1,Settings!$B$17&gt;=1,AN423&gt;=1),"",IF(MOD(ROUND(I423/(1-Z423)/(1-Settings!$B$17)/(1-AN423),0),10)=0,ROUND(I423/(1-Z423)/(1-Settings!$B$17)/(1-AN423),0)-1,IF(MOD(ROUND(I423/(1-Z423)/(1-Settings!$B$17)/(1-AN423),0),10)&lt;=5,FLOOR(ROUND(I423/(1-Z423)/(1-Settings!$B$17)/(1-AN423),0),10)+6,FLOOR(ROUND(I423/(1-Z423)/(1-Settings!$B$17)/(1-AN423),0),10)+9))),"")</f>
        <v/>
      </c>
      <c r="S423" s="92" t="n">
        <v>460</v>
      </c>
      <c r="T423" s="91">
        <f>IF(S423&lt;&gt;"", IF(MOD(S423,10)=0,S423-1,IF(MOD(S423,10)&lt;=5,FLOOR(S423,10)+6,FLOOR(S423,10)+9)), R423)</f>
        <v/>
      </c>
      <c r="U423" s="87" t="inlineStr">
        <is>
          <t>Основний</t>
        </is>
      </c>
      <c r="V423" s="88" t="n"/>
      <c r="W423" s="88" t="n"/>
      <c r="X423" s="89">
        <f>IFERROR(IF(OR(V423="",W423="",T423=""),"", IF(T423&gt;W423,"Дорогий",IF(T423&lt;V423,"Дешевий","У ринку"))),"")</f>
        <v/>
      </c>
      <c r="Y423" s="90" t="n"/>
      <c r="Z423" s="104">
        <f>CHOOSE(MATCH(IF($U423="","Основний",$U423),{"Трафіковий","Основний","Маржинальний","Сезонний","Стратегічний"},0),0.16,0.19,0.24,0.23,0.28)</f>
        <v/>
      </c>
      <c r="AA423" s="104">
        <f>CHOOSE(MATCH(IF($U423="","Основний",$U423),{"Трафіковий","Основний","Маржинальний","Сезонний","Стратегічний"},0),0.18,0.21,0.26,0.25,0.3)</f>
        <v/>
      </c>
      <c r="AB423" s="104">
        <f>CHOOSE(MATCH(IF($U423="","Основний",$U423),{"Трафіковий","Основний","Маржинальний","Сезонний","Стратегічний"},0),0.19,0.22,0.28,0.26,0.32)</f>
        <v/>
      </c>
      <c r="AC423" s="104">
        <f>CHOOSE(MATCH(IF($U423="","Основний",$U423),{"Трафіковий","Основний","Маржинальний","Сезонний","Стратегічний"},0),0.17,0.2,0.25,0.24,0.28)</f>
        <v/>
      </c>
      <c r="AD423" s="104">
        <f>CHOOSE(MATCH(IF($U423="","Основний",$U423),{"Трафіковий","Основний","Маржинальний","Сезонний","Стратегічний"},0),0.18,0.21,0.26,0.25,0.3)</f>
        <v/>
      </c>
      <c r="AE423" s="104">
        <f>CHOOSE(MATCH(IF($U423="","Основний",$U423),{"Трафіковий","Основний","Маржинальний","Сезонний","Стратегічний"},0),0.18,0.2,0.28,0.27,0.32)</f>
        <v/>
      </c>
      <c r="AF423" s="104">
        <f>CHOOSE(MATCH(IF($U423="","Основний",$U423),{"Трафіковий","Основний","Маржинальний","Сезонний","Стратегічний"},0),0.15,0.175,0.22,0.21,0.25)</f>
        <v/>
      </c>
      <c r="AG423" s="104">
        <f>CHOOSE(MATCH(IF($U423="","Основний",$U423),{"Трафіковий","Основний","Маржинальний","Сезонний","Стратегічний"},0),0.13,0.16,0.21,0.2,0.25)</f>
        <v/>
      </c>
      <c r="AH423" s="104">
        <f>CHOOSE(MATCH(IF($U423="","Основний",$U423),{"Трафіковий","Основний","Маржинальний","Сезонний","Стратегічний"},0),0.15,0.18,0.23,0.22,0.27)</f>
        <v/>
      </c>
      <c r="AI423" s="104">
        <f>CHOOSE(MATCH(IF($U423="","Основний",$U423),{"Трафіковий","Основний","Маржинальний","Сезонний","Стратегічний"},0),0.16,0.19,0.25,0.23,0.29)</f>
        <v/>
      </c>
      <c r="AJ423" s="104">
        <f>CHOOSE(MATCH(IF($U423="","Основний",$U423),{"Трафіковий","Основний","Маржинальний","Сезонний","Стратегічний"},0),0.14,0.17,0.22,0.21,0.25)</f>
        <v/>
      </c>
      <c r="AK423" s="104">
        <f>CHOOSE(MATCH(IF($U423="","Основний",$U423),{"Трафіковий","Основний","Маржинальний","Сезонний","Стратегічний"},0),0.15,0.18,0.23,0.22,0.27)</f>
        <v/>
      </c>
      <c r="AL423" s="104">
        <f>CHOOSE(MATCH(IF($U423="","Основний",$U423),{"Трафіковий","Основний","Маржинальний","Сезонний","Стратегічний"},0),0.15,0.17,0.25,0.24,0.29)</f>
        <v/>
      </c>
      <c r="AM423" s="104">
        <f>CHOOSE(MATCH(IF($U423="","Основний",$U423),{"Трафіковий","Основний","Маржинальний","Сезонний","Стратегічний"},0),0.12,0.145,0.19,0.18,0.22)</f>
        <v/>
      </c>
      <c r="AN423" s="157">
        <f>CHOOSE(MATCH(IF($U423="","Основний",$U423),{"Трафіковий","Основний","Маржинальний","Сезонний","Стратегічний"},0),Settings!$B$78,Settings!$B$80,Settings!$B$82,Settings!$B$84,Settings!$B$86)</f>
        <v/>
      </c>
      <c r="AO423" s="157">
        <f>CHOOSE(MATCH(IF($U423="","Основний",$U423),{"Трафіковий","Основний","Маржинальний","Сезонний","Стратегічний"},0),Settings!$C$78,Settings!$C$80,Settings!$C$82,Settings!$C$84,Settings!$C$86)</f>
        <v/>
      </c>
      <c r="AP423" s="157">
        <f>CHOOSE(MATCH(IF($U423="","Основний",$U423),{"Трафіковий","Основний","Маржинальний","Сезонний","Стратегічний"},0),Settings!$D$78,Settings!$D$80,Settings!$D$82,Settings!$D$84,Settings!$D$86)</f>
        <v/>
      </c>
      <c r="AQ423" s="157">
        <f>CHOOSE(MATCH(IF($U423="","Основний",$U423),{"Трафіковий","Основний","Маржинальний","Сезонний","Стратегічний"},0),Settings!$F$78,Settings!$F$80,Settings!$F$82,Settings!$F$84,Settings!$F$86)</f>
        <v/>
      </c>
      <c r="AR423" s="157">
        <f>CHOOSE(MATCH(IF($U423="","Основний",$U423),{"Трафіковий","Основний","Маржинальний","Сезонний","Стратегічний"},0),Settings!$G$78,Settings!$G$80,Settings!$G$82,Settings!$G$84,Settings!$G$86)</f>
        <v/>
      </c>
      <c r="AS423" s="157">
        <f>CHOOSE(MATCH(IF($U423="","Основний",$U423),{"Трафіковий","Основний","Маржинальний","Сезонний","Стратегічний"},0),Settings!$H$78,Settings!$H$80,Settings!$H$82,Settings!$H$84,Settings!$H$86)</f>
        <v/>
      </c>
      <c r="AT423" s="157">
        <f>CHOOSE(MATCH(IF($U423="","Основний",$U423),{"Трафіковий","Основний","Маржинальний","Сезонний","Стратегічний"},0),Settings!$I$78,Settings!$I$80,Settings!$I$82,Settings!$I$84,Settings!$I$86)</f>
        <v/>
      </c>
      <c r="AU423" s="171" t="n"/>
      <c r="AV423" t="n">
        <v>1.35</v>
      </c>
    </row>
    <row r="424">
      <c r="A424" s="28" t="n"/>
      <c r="B424" s="29" t="inlineStr">
        <is>
          <t>P56501</t>
        </is>
      </c>
      <c r="C424" s="29" t="inlineStr">
        <is>
          <t>SMOKE ALARM GS536-H01</t>
        </is>
      </c>
      <c r="D424" s="29" t="inlineStr">
        <is>
          <t>Сигналізація</t>
        </is>
      </c>
      <c r="E424" s="28" t="inlineStr">
        <is>
          <t>PC</t>
        </is>
      </c>
      <c r="F424" s="93" t="n">
        <v>3.185</v>
      </c>
      <c r="G424" s="30" t="n">
        <v>9027101000</v>
      </c>
      <c r="H424" s="31" t="n">
        <v>1.4</v>
      </c>
      <c r="I424" s="84">
        <f>IFERROR(F424*Settings!$B$2*H424*IF(AND(ISNUMBER(E424),E424&gt;1),E424,1),"")</f>
        <v/>
      </c>
      <c r="J424" s="32">
        <f>Settings!$B$66</f>
        <v/>
      </c>
      <c r="K424" s="95">
        <f>IFERROR(IF(T424="","",(T424*(1-AN424)*(1-Settings!$B$17)-I424)/(T424*(1-AN424)*(1-Settings!$B$17))),"")</f>
        <v/>
      </c>
      <c r="L424" s="101">
        <f>IFERROR(IF(T424="","",(T424*(1-AO424)*(1-Settings!$C$17)-I424)/(T424*(1-AO424)*(1-Settings!$C$17))),"")</f>
        <v/>
      </c>
      <c r="M424" s="101">
        <f>IFERROR(IF(T424="","",(T424*(1-AP424)*(1-Settings!$D$17)-I424)/(T424*(1-AP424)*(1-Settings!$D$17))),"")</f>
        <v/>
      </c>
      <c r="N424" s="101">
        <f>IFERROR(IF(T424="","",(T424*(1-AQ424)*(1-Settings!$F$17)-I424)/(T424*(1-AQ424)*(1-Settings!$F$17))),"")</f>
        <v/>
      </c>
      <c r="O424" s="101">
        <f>IFERROR(IF(T424="","",(T424*(1-AR424)*(1-Settings!$G$17)-I424)/(T424*(1-AR424)*(1-Settings!$G$17))),"")</f>
        <v/>
      </c>
      <c r="P424" s="101">
        <f>IFERROR(IF(T424="","",(T424*(1-AS424)*(1-Settings!$H$17)-I424)/(T424*(1-AS424)*(1-Settings!$H$17))),"")</f>
        <v/>
      </c>
      <c r="Q424" s="101">
        <f>IFERROR(IF(T424="","",(T424*(1-AT424)*(1-Settings!$I$68)*(1-Settings!$I$17)-I424)/(T424*(1-AT424)*(1-Settings!$I$68)*(1-Settings!$I$17))),"")</f>
        <v/>
      </c>
      <c r="R424" s="91">
        <f>IFERROR(IF(OR(I424="",Z424&gt;=1,Settings!$B$17&gt;=1,AN424&gt;=1),"",IF(MOD(ROUND(I424/(1-Z424)/(1-Settings!$B$17)/(1-AN424),0),10)=0,ROUND(I424/(1-Z424)/(1-Settings!$B$17)/(1-AN424),0)-1,IF(MOD(ROUND(I424/(1-Z424)/(1-Settings!$B$17)/(1-AN424),0),10)&lt;=5,FLOOR(ROUND(I424/(1-Z424)/(1-Settings!$B$17)/(1-AN424),0),10)+6,FLOOR(ROUND(I424/(1-Z424)/(1-Settings!$B$17)/(1-AN424),0),10)+9))),"")</f>
        <v/>
      </c>
      <c r="S424" s="174" t="n"/>
      <c r="T424" s="91">
        <f>IF(S424&lt;&gt;"", IF(MOD(S424,10)=0,S424-1,IF(MOD(S424,10)&lt;=5,FLOOR(S424,10)+6,FLOOR(S424,10)+9)), R424)</f>
        <v/>
      </c>
      <c r="U424" s="87" t="inlineStr">
        <is>
          <t>Основний</t>
        </is>
      </c>
      <c r="V424" s="88" t="n"/>
      <c r="W424" s="88" t="n"/>
      <c r="X424" s="89">
        <f>IFERROR(IF(OR(V424="",W424="",T424=""),"", IF(T424&gt;W424,"Дорогий",IF(T424&lt;V424,"Дешевий","У ринку"))),"")</f>
        <v/>
      </c>
      <c r="Y424" s="90" t="n"/>
      <c r="Z424" s="104">
        <f>CHOOSE(MATCH(IF($U424="","Основний",$U424),{"Трафіковий","Основний","Маржинальний","Сезонний","Стратегічний"},0),0.16,0.19,0.24,0.23,0.28)</f>
        <v/>
      </c>
      <c r="AA424" s="104">
        <f>CHOOSE(MATCH(IF($U424="","Основний",$U424),{"Трафіковий","Основний","Маржинальний","Сезонний","Стратегічний"},0),0.18,0.21,0.26,0.25,0.3)</f>
        <v/>
      </c>
      <c r="AB424" s="104">
        <f>CHOOSE(MATCH(IF($U424="","Основний",$U424),{"Трафіковий","Основний","Маржинальний","Сезонний","Стратегічний"},0),0.19,0.22,0.28,0.26,0.32)</f>
        <v/>
      </c>
      <c r="AC424" s="104">
        <f>CHOOSE(MATCH(IF($U424="","Основний",$U424),{"Трафіковий","Основний","Маржинальний","Сезонний","Стратегічний"},0),0.17,0.2,0.25,0.24,0.28)</f>
        <v/>
      </c>
      <c r="AD424" s="104">
        <f>CHOOSE(MATCH(IF($U424="","Основний",$U424),{"Трафіковий","Основний","Маржинальний","Сезонний","Стратегічний"},0),0.18,0.21,0.26,0.25,0.3)</f>
        <v/>
      </c>
      <c r="AE424" s="104">
        <f>CHOOSE(MATCH(IF($U424="","Основний",$U424),{"Трафіковий","Основний","Маржинальний","Сезонний","Стратегічний"},0),0.18,0.2,0.28,0.27,0.32)</f>
        <v/>
      </c>
      <c r="AF424" s="104">
        <f>CHOOSE(MATCH(IF($U424="","Основний",$U424),{"Трафіковий","Основний","Маржинальний","Сезонний","Стратегічний"},0),0.15,0.175,0.22,0.21,0.25)</f>
        <v/>
      </c>
      <c r="AG424" s="104">
        <f>CHOOSE(MATCH(IF($U424="","Основний",$U424),{"Трафіковий","Основний","Маржинальний","Сезонний","Стратегічний"},0),0.13,0.16,0.21,0.2,0.25)</f>
        <v/>
      </c>
      <c r="AH424" s="104">
        <f>CHOOSE(MATCH(IF($U424="","Основний",$U424),{"Трафіковий","Основний","Маржинальний","Сезонний","Стратегічний"},0),0.15,0.18,0.23,0.22,0.27)</f>
        <v/>
      </c>
      <c r="AI424" s="104">
        <f>CHOOSE(MATCH(IF($U424="","Основний",$U424),{"Трафіковий","Основний","Маржинальний","Сезонний","Стратегічний"},0),0.16,0.19,0.25,0.23,0.29)</f>
        <v/>
      </c>
      <c r="AJ424" s="104">
        <f>CHOOSE(MATCH(IF($U424="","Основний",$U424),{"Трафіковий","Основний","Маржинальний","Сезонний","Стратегічний"},0),0.14,0.17,0.22,0.21,0.25)</f>
        <v/>
      </c>
      <c r="AK424" s="104">
        <f>CHOOSE(MATCH(IF($U424="","Основний",$U424),{"Трафіковий","Основний","Маржинальний","Сезонний","Стратегічний"},0),0.15,0.18,0.23,0.22,0.27)</f>
        <v/>
      </c>
      <c r="AL424" s="104">
        <f>CHOOSE(MATCH(IF($U424="","Основний",$U424),{"Трафіковий","Основний","Маржинальний","Сезонний","Стратегічний"},0),0.15,0.17,0.25,0.24,0.29)</f>
        <v/>
      </c>
      <c r="AM424" s="104">
        <f>CHOOSE(MATCH(IF($U424="","Основний",$U424),{"Трафіковий","Основний","Маржинальний","Сезонний","Стратегічний"},0),0.12,0.145,0.19,0.18,0.22)</f>
        <v/>
      </c>
      <c r="AN424" s="157">
        <f>CHOOSE(MATCH(IF($U424="","Основний",$U424),{"Трафіковий","Основний","Маржинальний","Сезонний","Стратегічний"},0),Settings!$B$78,Settings!$B$80,Settings!$B$82,Settings!$B$84,Settings!$B$86)</f>
        <v/>
      </c>
      <c r="AO424" s="157">
        <f>CHOOSE(MATCH(IF($U424="","Основний",$U424),{"Трафіковий","Основний","Маржинальний","Сезонний","Стратегічний"},0),Settings!$C$78,Settings!$C$80,Settings!$C$82,Settings!$C$84,Settings!$C$86)</f>
        <v/>
      </c>
      <c r="AP424" s="157">
        <f>CHOOSE(MATCH(IF($U424="","Основний",$U424),{"Трафіковий","Основний","Маржинальний","Сезонний","Стратегічний"},0),Settings!$D$78,Settings!$D$80,Settings!$D$82,Settings!$D$84,Settings!$D$86)</f>
        <v/>
      </c>
      <c r="AQ424" s="157">
        <f>CHOOSE(MATCH(IF($U424="","Основний",$U424),{"Трафіковий","Основний","Маржинальний","Сезонний","Стратегічний"},0),Settings!$F$78,Settings!$F$80,Settings!$F$82,Settings!$F$84,Settings!$F$86)</f>
        <v/>
      </c>
      <c r="AR424" s="157">
        <f>CHOOSE(MATCH(IF($U424="","Основний",$U424),{"Трафіковий","Основний","Маржинальний","Сезонний","Стратегічний"},0),Settings!$G$78,Settings!$G$80,Settings!$G$82,Settings!$G$84,Settings!$G$86)</f>
        <v/>
      </c>
      <c r="AS424" s="157">
        <f>CHOOSE(MATCH(IF($U424="","Основний",$U424),{"Трафіковий","Основний","Маржинальний","Сезонний","Стратегічний"},0),Settings!$H$78,Settings!$H$80,Settings!$H$82,Settings!$H$84,Settings!$H$86)</f>
        <v/>
      </c>
      <c r="AT424" s="157">
        <f>CHOOSE(MATCH(IF($U424="","Основний",$U424),{"Трафіковий","Основний","Маржинальний","Сезонний","Стратегічний"},0),Settings!$I$78,Settings!$I$80,Settings!$I$82,Settings!$I$84,Settings!$I$86)</f>
        <v/>
      </c>
      <c r="AU424" s="171" t="n"/>
      <c r="AV424" t="n">
        <v>1.35</v>
      </c>
    </row>
    <row r="425">
      <c r="A425" s="33" t="n"/>
      <c r="B425" s="34" t="inlineStr">
        <is>
          <t>P56500</t>
        </is>
      </c>
      <c r="C425" s="34" t="inlineStr">
        <is>
          <t>SMOKE ALARM GS558</t>
        </is>
      </c>
      <c r="D425" s="34" t="inlineStr">
        <is>
          <t>Сигналізація</t>
        </is>
      </c>
      <c r="E425" s="33" t="inlineStr">
        <is>
          <t>PC</t>
        </is>
      </c>
      <c r="F425" s="94" t="n">
        <v>9.824</v>
      </c>
      <c r="G425" s="35" t="n">
        <v>9027101000</v>
      </c>
      <c r="H425" s="31" t="n">
        <v>1.4</v>
      </c>
      <c r="I425" s="84">
        <f>IFERROR(F425*Settings!$B$2*H425*IF(AND(ISNUMBER(E425),E425&gt;1),E425,1),"")</f>
        <v/>
      </c>
      <c r="J425" s="32">
        <f>Settings!$B$66</f>
        <v/>
      </c>
      <c r="K425" s="95">
        <f>IFERROR(IF(T425="","",(T425*(1-AN425)*(1-Settings!$B$17)-I425)/(T425*(1-AN425)*(1-Settings!$B$17))),"")</f>
        <v/>
      </c>
      <c r="L425" s="101">
        <f>IFERROR(IF(T425="","",(T425*(1-AO425)*(1-Settings!$C$17)-I425)/(T425*(1-AO425)*(1-Settings!$C$17))),"")</f>
        <v/>
      </c>
      <c r="M425" s="101">
        <f>IFERROR(IF(T425="","",(T425*(1-AP425)*(1-Settings!$D$17)-I425)/(T425*(1-AP425)*(1-Settings!$D$17))),"")</f>
        <v/>
      </c>
      <c r="N425" s="101">
        <f>IFERROR(IF(T425="","",(T425*(1-AQ425)*(1-Settings!$F$17)-I425)/(T425*(1-AQ425)*(1-Settings!$F$17))),"")</f>
        <v/>
      </c>
      <c r="O425" s="101">
        <f>IFERROR(IF(T425="","",(T425*(1-AR425)*(1-Settings!$G$17)-I425)/(T425*(1-AR425)*(1-Settings!$G$17))),"")</f>
        <v/>
      </c>
      <c r="P425" s="101">
        <f>IFERROR(IF(T425="","",(T425*(1-AS425)*(1-Settings!$H$17)-I425)/(T425*(1-AS425)*(1-Settings!$H$17))),"")</f>
        <v/>
      </c>
      <c r="Q425" s="101">
        <f>IFERROR(IF(T425="","",(T425*(1-AT425)*(1-Settings!$I$68)*(1-Settings!$I$17)-I425)/(T425*(1-AT425)*(1-Settings!$I$68)*(1-Settings!$I$17))),"")</f>
        <v/>
      </c>
      <c r="R425" s="91">
        <f>IFERROR(IF(OR(I425="",Z425&gt;=1,Settings!$B$17&gt;=1,AN425&gt;=1),"",IF(MOD(ROUND(I425/(1-Z425)/(1-Settings!$B$17)/(1-AN425),0),10)=0,ROUND(I425/(1-Z425)/(1-Settings!$B$17)/(1-AN425),0)-1,IF(MOD(ROUND(I425/(1-Z425)/(1-Settings!$B$17)/(1-AN425),0),10)&lt;=5,FLOOR(ROUND(I425/(1-Z425)/(1-Settings!$B$17)/(1-AN425),0),10)+6,FLOOR(ROUND(I425/(1-Z425)/(1-Settings!$B$17)/(1-AN425),0),10)+9))),"")</f>
        <v/>
      </c>
      <c r="S425" s="174">
        <f>R425*0.95</f>
        <v/>
      </c>
      <c r="T425" s="91">
        <f>IF(S425&lt;&gt;"", IF(MOD(S425,10)=0,S425-1,IF(MOD(S425,10)&lt;=5,FLOOR(S425,10)+6,FLOOR(S425,10)+9)), R425)</f>
        <v/>
      </c>
      <c r="U425" s="87" t="inlineStr">
        <is>
          <t>Основний</t>
        </is>
      </c>
      <c r="V425" s="88" t="n"/>
      <c r="W425" s="88" t="n"/>
      <c r="X425" s="89">
        <f>IFERROR(IF(OR(V425="",W425="",T425=""),"", IF(T425&gt;W425,"Дорогий",IF(T425&lt;V425,"Дешевий","У ринку"))),"")</f>
        <v/>
      </c>
      <c r="Y425" s="90" t="n"/>
      <c r="Z425" s="104">
        <f>CHOOSE(MATCH(IF($U425="","Основний",$U425),{"Трафіковий","Основний","Маржинальний","Сезонний","Стратегічний"},0),0.16,0.19,0.24,0.23,0.28)</f>
        <v/>
      </c>
      <c r="AA425" s="104">
        <f>CHOOSE(MATCH(IF($U425="","Основний",$U425),{"Трафіковий","Основний","Маржинальний","Сезонний","Стратегічний"},0),0.18,0.21,0.26,0.25,0.3)</f>
        <v/>
      </c>
      <c r="AB425" s="104">
        <f>CHOOSE(MATCH(IF($U425="","Основний",$U425),{"Трафіковий","Основний","Маржинальний","Сезонний","Стратегічний"},0),0.19,0.22,0.28,0.26,0.32)</f>
        <v/>
      </c>
      <c r="AC425" s="104">
        <f>CHOOSE(MATCH(IF($U425="","Основний",$U425),{"Трафіковий","Основний","Маржинальний","Сезонний","Стратегічний"},0),0.17,0.2,0.25,0.24,0.28)</f>
        <v/>
      </c>
      <c r="AD425" s="104">
        <f>CHOOSE(MATCH(IF($U425="","Основний",$U425),{"Трафіковий","Основний","Маржинальний","Сезонний","Стратегічний"},0),0.18,0.21,0.26,0.25,0.3)</f>
        <v/>
      </c>
      <c r="AE425" s="104">
        <f>CHOOSE(MATCH(IF($U425="","Основний",$U425),{"Трафіковий","Основний","Маржинальний","Сезонний","Стратегічний"},0),0.18,0.2,0.28,0.27,0.32)</f>
        <v/>
      </c>
      <c r="AF425" s="104">
        <f>CHOOSE(MATCH(IF($U425="","Основний",$U425),{"Трафіковий","Основний","Маржинальний","Сезонний","Стратегічний"},0),0.15,0.175,0.22,0.21,0.25)</f>
        <v/>
      </c>
      <c r="AG425" s="104">
        <f>CHOOSE(MATCH(IF($U425="","Основний",$U425),{"Трафіковий","Основний","Маржинальний","Сезонний","Стратегічний"},0),0.13,0.16,0.21,0.2,0.25)</f>
        <v/>
      </c>
      <c r="AH425" s="104">
        <f>CHOOSE(MATCH(IF($U425="","Основний",$U425),{"Трафіковий","Основний","Маржинальний","Сезонний","Стратегічний"},0),0.15,0.18,0.23,0.22,0.27)</f>
        <v/>
      </c>
      <c r="AI425" s="104">
        <f>CHOOSE(MATCH(IF($U425="","Основний",$U425),{"Трафіковий","Основний","Маржинальний","Сезонний","Стратегічний"},0),0.16,0.19,0.25,0.23,0.29)</f>
        <v/>
      </c>
      <c r="AJ425" s="104">
        <f>CHOOSE(MATCH(IF($U425="","Основний",$U425),{"Трафіковий","Основний","Маржинальний","Сезонний","Стратегічний"},0),0.14,0.17,0.22,0.21,0.25)</f>
        <v/>
      </c>
      <c r="AK425" s="104">
        <f>CHOOSE(MATCH(IF($U425="","Основний",$U425),{"Трафіковий","Основний","Маржинальний","Сезонний","Стратегічний"},0),0.15,0.18,0.23,0.22,0.27)</f>
        <v/>
      </c>
      <c r="AL425" s="104">
        <f>CHOOSE(MATCH(IF($U425="","Основний",$U425),{"Трафіковий","Основний","Маржинальний","Сезонний","Стратегічний"},0),0.15,0.17,0.25,0.24,0.29)</f>
        <v/>
      </c>
      <c r="AM425" s="104">
        <f>CHOOSE(MATCH(IF($U425="","Основний",$U425),{"Трафіковий","Основний","Маржинальний","Сезонний","Стратегічний"},0),0.12,0.145,0.19,0.18,0.22)</f>
        <v/>
      </c>
      <c r="AN425" s="157">
        <f>CHOOSE(MATCH(IF($U425="","Основний",$U425),{"Трафіковий","Основний","Маржинальний","Сезонний","Стратегічний"},0),Settings!$B$78,Settings!$B$80,Settings!$B$82,Settings!$B$84,Settings!$B$86)</f>
        <v/>
      </c>
      <c r="AO425" s="157">
        <f>CHOOSE(MATCH(IF($U425="","Основний",$U425),{"Трафіковий","Основний","Маржинальний","Сезонний","Стратегічний"},0),Settings!$C$78,Settings!$C$80,Settings!$C$82,Settings!$C$84,Settings!$C$86)</f>
        <v/>
      </c>
      <c r="AP425" s="157">
        <f>CHOOSE(MATCH(IF($U425="","Основний",$U425),{"Трафіковий","Основний","Маржинальний","Сезонний","Стратегічний"},0),Settings!$D$78,Settings!$D$80,Settings!$D$82,Settings!$D$84,Settings!$D$86)</f>
        <v/>
      </c>
      <c r="AQ425" s="157">
        <f>CHOOSE(MATCH(IF($U425="","Основний",$U425),{"Трафіковий","Основний","Маржинальний","Сезонний","Стратегічний"},0),Settings!$F$78,Settings!$F$80,Settings!$F$82,Settings!$F$84,Settings!$F$86)</f>
        <v/>
      </c>
      <c r="AR425" s="157">
        <f>CHOOSE(MATCH(IF($U425="","Основний",$U425),{"Трафіковий","Основний","Маржинальний","Сезонний","Стратегічний"},0),Settings!$G$78,Settings!$G$80,Settings!$G$82,Settings!$G$84,Settings!$G$86)</f>
        <v/>
      </c>
      <c r="AS425" s="157">
        <f>CHOOSE(MATCH(IF($U425="","Основний",$U425),{"Трафіковий","Основний","Маржинальний","Сезонний","Стратегічний"},0),Settings!$H$78,Settings!$H$80,Settings!$H$82,Settings!$H$84,Settings!$H$86)</f>
        <v/>
      </c>
      <c r="AT425" s="157">
        <f>CHOOSE(MATCH(IF($U425="","Основний",$U425),{"Трафіковий","Основний","Маржинальний","Сезонний","Стратегічний"},0),Settings!$I$78,Settings!$I$80,Settings!$I$82,Settings!$I$84,Settings!$I$86)</f>
        <v/>
      </c>
      <c r="AU425" s="171" t="n"/>
      <c r="AV425" t="n">
        <v>1.3</v>
      </c>
    </row>
    <row r="426">
      <c r="A426" s="28" t="n"/>
      <c r="B426" s="29" t="inlineStr">
        <is>
          <t>P56450</t>
        </is>
      </c>
      <c r="C426" s="29" t="inlineStr">
        <is>
          <t>GAS DETECTOR GS869</t>
        </is>
      </c>
      <c r="D426" s="29" t="inlineStr">
        <is>
          <t>Сигналізація</t>
        </is>
      </c>
      <c r="E426" s="28" t="inlineStr">
        <is>
          <t>PC</t>
        </is>
      </c>
      <c r="F426" s="93" t="n">
        <v>19.466</v>
      </c>
      <c r="G426" s="30" t="n">
        <v>9027101000</v>
      </c>
      <c r="H426" s="31" t="n">
        <v>1.4</v>
      </c>
      <c r="I426" s="84">
        <f>IFERROR(F426*Settings!$B$2*H426*IF(AND(ISNUMBER(E426),E426&gt;1),E426,1),"")</f>
        <v/>
      </c>
      <c r="J426" s="32">
        <f>Settings!$B$66</f>
        <v/>
      </c>
      <c r="K426" s="95">
        <f>IFERROR(IF(T426="","",(T426*(1-AN426)*(1-Settings!$B$17)-I426)/(T426*(1-AN426)*(1-Settings!$B$17))),"")</f>
        <v/>
      </c>
      <c r="L426" s="101">
        <f>IFERROR(IF(T426="","",(T426*(1-AO426)*(1-Settings!$C$17)-I426)/(T426*(1-AO426)*(1-Settings!$C$17))),"")</f>
        <v/>
      </c>
      <c r="M426" s="101">
        <f>IFERROR(IF(T426="","",(T426*(1-AP426)*(1-Settings!$D$17)-I426)/(T426*(1-AP426)*(1-Settings!$D$17))),"")</f>
        <v/>
      </c>
      <c r="N426" s="101">
        <f>IFERROR(IF(T426="","",(T426*(1-AQ426)*(1-Settings!$F$17)-I426)/(T426*(1-AQ426)*(1-Settings!$F$17))),"")</f>
        <v/>
      </c>
      <c r="O426" s="101">
        <f>IFERROR(IF(T426="","",(T426*(1-AR426)*(1-Settings!$G$17)-I426)/(T426*(1-AR426)*(1-Settings!$G$17))),"")</f>
        <v/>
      </c>
      <c r="P426" s="101">
        <f>IFERROR(IF(T426="","",(T426*(1-AS426)*(1-Settings!$H$17)-I426)/(T426*(1-AS426)*(1-Settings!$H$17))),"")</f>
        <v/>
      </c>
      <c r="Q426" s="101">
        <f>IFERROR(IF(T426="","",(T426*(1-AT426)*(1-Settings!$I$68)*(1-Settings!$I$17)-I426)/(T426*(1-AT426)*(1-Settings!$I$68)*(1-Settings!$I$17))),"")</f>
        <v/>
      </c>
      <c r="R426" s="91">
        <f>IFERROR(IF(OR(I426="",Z426&gt;=1,Settings!$B$17&gt;=1,AN426&gt;=1),"",IF(MOD(ROUND(I426/(1-Z426)/(1-Settings!$B$17)/(1-AN426),0),10)=0,ROUND(I426/(1-Z426)/(1-Settings!$B$17)/(1-AN426),0)-1,IF(MOD(ROUND(I426/(1-Z426)/(1-Settings!$B$17)/(1-AN426),0),10)&lt;=5,FLOOR(ROUND(I426/(1-Z426)/(1-Settings!$B$17)/(1-AN426),0),10)+6,FLOOR(ROUND(I426/(1-Z426)/(1-Settings!$B$17)/(1-AN426),0),10)+9))),"")</f>
        <v/>
      </c>
      <c r="S426" s="174">
        <f>R426*0.95</f>
        <v/>
      </c>
      <c r="T426" s="91">
        <f>IF(S426&lt;&gt;"", IF(MOD(S426,10)=0,S426-1,IF(MOD(S426,10)&lt;=5,FLOOR(S426,10)+6,FLOOR(S426,10)+9)), R426)</f>
        <v/>
      </c>
      <c r="U426" s="87" t="inlineStr">
        <is>
          <t>Основний</t>
        </is>
      </c>
      <c r="V426" s="88" t="n"/>
      <c r="W426" s="88" t="n"/>
      <c r="X426" s="89">
        <f>IFERROR(IF(OR(V426="",W426="",T426=""),"", IF(T426&gt;W426,"Дорогий",IF(T426&lt;V426,"Дешевий","У ринку"))),"")</f>
        <v/>
      </c>
      <c r="Y426" s="90" t="n"/>
      <c r="Z426" s="104">
        <f>CHOOSE(MATCH(IF($U426="","Основний",$U426),{"Трафіковий","Основний","Маржинальний","Сезонний","Стратегічний"},0),0.16,0.19,0.24,0.23,0.28)</f>
        <v/>
      </c>
      <c r="AA426" s="104">
        <f>CHOOSE(MATCH(IF($U426="","Основний",$U426),{"Трафіковий","Основний","Маржинальний","Сезонний","Стратегічний"},0),0.18,0.21,0.26,0.25,0.3)</f>
        <v/>
      </c>
      <c r="AB426" s="104">
        <f>CHOOSE(MATCH(IF($U426="","Основний",$U426),{"Трафіковий","Основний","Маржинальний","Сезонний","Стратегічний"},0),0.19,0.22,0.28,0.26,0.32)</f>
        <v/>
      </c>
      <c r="AC426" s="104">
        <f>CHOOSE(MATCH(IF($U426="","Основний",$U426),{"Трафіковий","Основний","Маржинальний","Сезонний","Стратегічний"},0),0.17,0.2,0.25,0.24,0.28)</f>
        <v/>
      </c>
      <c r="AD426" s="104">
        <f>CHOOSE(MATCH(IF($U426="","Основний",$U426),{"Трафіковий","Основний","Маржинальний","Сезонний","Стратегічний"},0),0.18,0.21,0.26,0.25,0.3)</f>
        <v/>
      </c>
      <c r="AE426" s="104">
        <f>CHOOSE(MATCH(IF($U426="","Основний",$U426),{"Трафіковий","Основний","Маржинальний","Сезонний","Стратегічний"},0),0.18,0.2,0.28,0.27,0.32)</f>
        <v/>
      </c>
      <c r="AF426" s="104">
        <f>CHOOSE(MATCH(IF($U426="","Основний",$U426),{"Трафіковий","Основний","Маржинальний","Сезонний","Стратегічний"},0),0.15,0.175,0.22,0.21,0.25)</f>
        <v/>
      </c>
      <c r="AG426" s="104">
        <f>CHOOSE(MATCH(IF($U426="","Основний",$U426),{"Трафіковий","Основний","Маржинальний","Сезонний","Стратегічний"},0),0.13,0.16,0.21,0.2,0.25)</f>
        <v/>
      </c>
      <c r="AH426" s="104">
        <f>CHOOSE(MATCH(IF($U426="","Основний",$U426),{"Трафіковий","Основний","Маржинальний","Сезонний","Стратегічний"},0),0.15,0.18,0.23,0.22,0.27)</f>
        <v/>
      </c>
      <c r="AI426" s="104">
        <f>CHOOSE(MATCH(IF($U426="","Основний",$U426),{"Трафіковий","Основний","Маржинальний","Сезонний","Стратегічний"},0),0.16,0.19,0.25,0.23,0.29)</f>
        <v/>
      </c>
      <c r="AJ426" s="104">
        <f>CHOOSE(MATCH(IF($U426="","Основний",$U426),{"Трафіковий","Основний","Маржинальний","Сезонний","Стратегічний"},0),0.14,0.17,0.22,0.21,0.25)</f>
        <v/>
      </c>
      <c r="AK426" s="104">
        <f>CHOOSE(MATCH(IF($U426="","Основний",$U426),{"Трафіковий","Основний","Маржинальний","Сезонний","Стратегічний"},0),0.15,0.18,0.23,0.22,0.27)</f>
        <v/>
      </c>
      <c r="AL426" s="104">
        <f>CHOOSE(MATCH(IF($U426="","Основний",$U426),{"Трафіковий","Основний","Маржинальний","Сезонний","Стратегічний"},0),0.15,0.17,0.25,0.24,0.29)</f>
        <v/>
      </c>
      <c r="AM426" s="104">
        <f>CHOOSE(MATCH(IF($U426="","Основний",$U426),{"Трафіковий","Основний","Маржинальний","Сезонний","Стратегічний"},0),0.12,0.145,0.19,0.18,0.22)</f>
        <v/>
      </c>
      <c r="AN426" s="157">
        <f>CHOOSE(MATCH(IF($U426="","Основний",$U426),{"Трафіковий","Основний","Маржинальний","Сезонний","Стратегічний"},0),Settings!$B$78,Settings!$B$80,Settings!$B$82,Settings!$B$84,Settings!$B$86)</f>
        <v/>
      </c>
      <c r="AO426" s="157">
        <f>CHOOSE(MATCH(IF($U426="","Основний",$U426),{"Трафіковий","Основний","Маржинальний","Сезонний","Стратегічний"},0),Settings!$C$78,Settings!$C$80,Settings!$C$82,Settings!$C$84,Settings!$C$86)</f>
        <v/>
      </c>
      <c r="AP426" s="157">
        <f>CHOOSE(MATCH(IF($U426="","Основний",$U426),{"Трафіковий","Основний","Маржинальний","Сезонний","Стратегічний"},0),Settings!$D$78,Settings!$D$80,Settings!$D$82,Settings!$D$84,Settings!$D$86)</f>
        <v/>
      </c>
      <c r="AQ426" s="157">
        <f>CHOOSE(MATCH(IF($U426="","Основний",$U426),{"Трафіковий","Основний","Маржинальний","Сезонний","Стратегічний"},0),Settings!$F$78,Settings!$F$80,Settings!$F$82,Settings!$F$84,Settings!$F$86)</f>
        <v/>
      </c>
      <c r="AR426" s="157">
        <f>CHOOSE(MATCH(IF($U426="","Основний",$U426),{"Трафіковий","Основний","Маржинальний","Сезонний","Стратегічний"},0),Settings!$G$78,Settings!$G$80,Settings!$G$82,Settings!$G$84,Settings!$G$86)</f>
        <v/>
      </c>
      <c r="AS426" s="157">
        <f>CHOOSE(MATCH(IF($U426="","Основний",$U426),{"Трафіковий","Основний","Маржинальний","Сезонний","Стратегічний"},0),Settings!$H$78,Settings!$H$80,Settings!$H$82,Settings!$H$84,Settings!$H$86)</f>
        <v/>
      </c>
      <c r="AT426" s="157">
        <f>CHOOSE(MATCH(IF($U426="","Основний",$U426),{"Трафіковий","Основний","Маржинальний","Сезонний","Стратегічний"},0),Settings!$I$78,Settings!$I$80,Settings!$I$82,Settings!$I$84,Settings!$I$86)</f>
        <v/>
      </c>
      <c r="AU426" s="171" t="n"/>
      <c r="AV426" t="n">
        <v>1.35</v>
      </c>
    </row>
    <row r="427">
      <c r="A427" s="33" t="n"/>
      <c r="B427" s="34" t="inlineStr">
        <is>
          <t>P56502</t>
        </is>
      </c>
      <c r="C427" s="34" t="inlineStr">
        <is>
          <t>SMOKE ALARM TSS890B-HI</t>
        </is>
      </c>
      <c r="D427" s="34" t="inlineStr">
        <is>
          <t>Сигналізація</t>
        </is>
      </c>
      <c r="E427" s="33" t="inlineStr">
        <is>
          <t>PC</t>
        </is>
      </c>
      <c r="F427" s="94" t="n">
        <v>9.587999999999999</v>
      </c>
      <c r="G427" s="35" t="n">
        <v>9027101000</v>
      </c>
      <c r="H427" s="31" t="n">
        <v>1.4</v>
      </c>
      <c r="I427" s="84">
        <f>IFERROR(F427*Settings!$B$2*H427*IF(AND(ISNUMBER(E427),E427&gt;1),E427,1),"")</f>
        <v/>
      </c>
      <c r="J427" s="32">
        <f>Settings!$B$66</f>
        <v/>
      </c>
      <c r="K427" s="95">
        <f>IFERROR(IF(T427="","",(T427*(1-AN427)*(1-Settings!$B$17)-I427)/(T427*(1-AN427)*(1-Settings!$B$17))),"")</f>
        <v/>
      </c>
      <c r="L427" s="101">
        <f>IFERROR(IF(T427="","",(T427*(1-AO427)*(1-Settings!$C$17)-I427)/(T427*(1-AO427)*(1-Settings!$C$17))),"")</f>
        <v/>
      </c>
      <c r="M427" s="101">
        <f>IFERROR(IF(T427="","",(T427*(1-AP427)*(1-Settings!$D$17)-I427)/(T427*(1-AP427)*(1-Settings!$D$17))),"")</f>
        <v/>
      </c>
      <c r="N427" s="101">
        <f>IFERROR(IF(T427="","",(T427*(1-AQ427)*(1-Settings!$F$17)-I427)/(T427*(1-AQ427)*(1-Settings!$F$17))),"")</f>
        <v/>
      </c>
      <c r="O427" s="101">
        <f>IFERROR(IF(T427="","",(T427*(1-AR427)*(1-Settings!$G$17)-I427)/(T427*(1-AR427)*(1-Settings!$G$17))),"")</f>
        <v/>
      </c>
      <c r="P427" s="101">
        <f>IFERROR(IF(T427="","",(T427*(1-AS427)*(1-Settings!$H$17)-I427)/(T427*(1-AS427)*(1-Settings!$H$17))),"")</f>
        <v/>
      </c>
      <c r="Q427" s="101">
        <f>IFERROR(IF(T427="","",(T427*(1-AT427)*(1-Settings!$I$68)*(1-Settings!$I$17)-I427)/(T427*(1-AT427)*(1-Settings!$I$68)*(1-Settings!$I$17))),"")</f>
        <v/>
      </c>
      <c r="R427" s="91">
        <f>IFERROR(IF(OR(I427="",Z427&gt;=1,Settings!$B$17&gt;=1,AN427&gt;=1),"",IF(MOD(ROUND(I427/(1-Z427)/(1-Settings!$B$17)/(1-AN427),0),10)=0,ROUND(I427/(1-Z427)/(1-Settings!$B$17)/(1-AN427),0)-1,IF(MOD(ROUND(I427/(1-Z427)/(1-Settings!$B$17)/(1-AN427),0),10)&lt;=5,FLOOR(ROUND(I427/(1-Z427)/(1-Settings!$B$17)/(1-AN427),0),10)+6,FLOOR(ROUND(I427/(1-Z427)/(1-Settings!$B$17)/(1-AN427),0),10)+9))),"")</f>
        <v/>
      </c>
      <c r="S427" s="174">
        <f>R427*0.95</f>
        <v/>
      </c>
      <c r="T427" s="91">
        <f>IF(S427&lt;&gt;"", IF(MOD(S427,10)=0,S427-1,IF(MOD(S427,10)&lt;=5,FLOOR(S427,10)+6,FLOOR(S427,10)+9)), R427)</f>
        <v/>
      </c>
      <c r="U427" s="87" t="inlineStr">
        <is>
          <t>Основний</t>
        </is>
      </c>
      <c r="V427" s="88" t="n"/>
      <c r="W427" s="88" t="n"/>
      <c r="X427" s="89">
        <f>IFERROR(IF(OR(V427="",W427="",T427=""),"", IF(T427&gt;W427,"Дорогий",IF(T427&lt;V427,"Дешевий","У ринку"))),"")</f>
        <v/>
      </c>
      <c r="Y427" s="90" t="n"/>
      <c r="Z427" s="104">
        <f>CHOOSE(MATCH(IF($U427="","Основний",$U427),{"Трафіковий","Основний","Маржинальний","Сезонний","Стратегічний"},0),0.16,0.19,0.24,0.23,0.28)</f>
        <v/>
      </c>
      <c r="AA427" s="104">
        <f>CHOOSE(MATCH(IF($U427="","Основний",$U427),{"Трафіковий","Основний","Маржинальний","Сезонний","Стратегічний"},0),0.18,0.21,0.26,0.25,0.3)</f>
        <v/>
      </c>
      <c r="AB427" s="104">
        <f>CHOOSE(MATCH(IF($U427="","Основний",$U427),{"Трафіковий","Основний","Маржинальний","Сезонний","Стратегічний"},0),0.19,0.22,0.28,0.26,0.32)</f>
        <v/>
      </c>
      <c r="AC427" s="104">
        <f>CHOOSE(MATCH(IF($U427="","Основний",$U427),{"Трафіковий","Основний","Маржинальний","Сезонний","Стратегічний"},0),0.17,0.2,0.25,0.24,0.28)</f>
        <v/>
      </c>
      <c r="AD427" s="104">
        <f>CHOOSE(MATCH(IF($U427="","Основний",$U427),{"Трафіковий","Основний","Маржинальний","Сезонний","Стратегічний"},0),0.18,0.21,0.26,0.25,0.3)</f>
        <v/>
      </c>
      <c r="AE427" s="104">
        <f>CHOOSE(MATCH(IF($U427="","Основний",$U427),{"Трафіковий","Основний","Маржинальний","Сезонний","Стратегічний"},0),0.18,0.2,0.28,0.27,0.32)</f>
        <v/>
      </c>
      <c r="AF427" s="104">
        <f>CHOOSE(MATCH(IF($U427="","Основний",$U427),{"Трафіковий","Основний","Маржинальний","Сезонний","Стратегічний"},0),0.15,0.175,0.22,0.21,0.25)</f>
        <v/>
      </c>
      <c r="AG427" s="104">
        <f>CHOOSE(MATCH(IF($U427="","Основний",$U427),{"Трафіковий","Основний","Маржинальний","Сезонний","Стратегічний"},0),0.13,0.16,0.21,0.2,0.25)</f>
        <v/>
      </c>
      <c r="AH427" s="104">
        <f>CHOOSE(MATCH(IF($U427="","Основний",$U427),{"Трафіковий","Основний","Маржинальний","Сезонний","Стратегічний"},0),0.15,0.18,0.23,0.22,0.27)</f>
        <v/>
      </c>
      <c r="AI427" s="104">
        <f>CHOOSE(MATCH(IF($U427="","Основний",$U427),{"Трафіковий","Основний","Маржинальний","Сезонний","Стратегічний"},0),0.16,0.19,0.25,0.23,0.29)</f>
        <v/>
      </c>
      <c r="AJ427" s="104">
        <f>CHOOSE(MATCH(IF($U427="","Основний",$U427),{"Трафіковий","Основний","Маржинальний","Сезонний","Стратегічний"},0),0.14,0.17,0.22,0.21,0.25)</f>
        <v/>
      </c>
      <c r="AK427" s="104">
        <f>CHOOSE(MATCH(IF($U427="","Основний",$U427),{"Трафіковий","Основний","Маржинальний","Сезонний","Стратегічний"},0),0.15,0.18,0.23,0.22,0.27)</f>
        <v/>
      </c>
      <c r="AL427" s="104">
        <f>CHOOSE(MATCH(IF($U427="","Основний",$U427),{"Трафіковий","Основний","Маржинальний","Сезонний","Стратегічний"},0),0.15,0.17,0.25,0.24,0.29)</f>
        <v/>
      </c>
      <c r="AM427" s="104">
        <f>CHOOSE(MATCH(IF($U427="","Основний",$U427),{"Трафіковий","Основний","Маржинальний","Сезонний","Стратегічний"},0),0.12,0.145,0.19,0.18,0.22)</f>
        <v/>
      </c>
      <c r="AN427" s="157">
        <f>CHOOSE(MATCH(IF($U427="","Основний",$U427),{"Трафіковий","Основний","Маржинальний","Сезонний","Стратегічний"},0),Settings!$B$78,Settings!$B$80,Settings!$B$82,Settings!$B$84,Settings!$B$86)</f>
        <v/>
      </c>
      <c r="AO427" s="157">
        <f>CHOOSE(MATCH(IF($U427="","Основний",$U427),{"Трафіковий","Основний","Маржинальний","Сезонний","Стратегічний"},0),Settings!$C$78,Settings!$C$80,Settings!$C$82,Settings!$C$84,Settings!$C$86)</f>
        <v/>
      </c>
      <c r="AP427" s="157">
        <f>CHOOSE(MATCH(IF($U427="","Основний",$U427),{"Трафіковий","Основний","Маржинальний","Сезонний","Стратегічний"},0),Settings!$D$78,Settings!$D$80,Settings!$D$82,Settings!$D$84,Settings!$D$86)</f>
        <v/>
      </c>
      <c r="AQ427" s="157">
        <f>CHOOSE(MATCH(IF($U427="","Основний",$U427),{"Трафіковий","Основний","Маржинальний","Сезонний","Стратегічний"},0),Settings!$F$78,Settings!$F$80,Settings!$F$82,Settings!$F$84,Settings!$F$86)</f>
        <v/>
      </c>
      <c r="AR427" s="157">
        <f>CHOOSE(MATCH(IF($U427="","Основний",$U427),{"Трафіковий","Основний","Маржинальний","Сезонний","Стратегічний"},0),Settings!$G$78,Settings!$G$80,Settings!$G$82,Settings!$G$84,Settings!$G$86)</f>
        <v/>
      </c>
      <c r="AS427" s="157">
        <f>CHOOSE(MATCH(IF($U427="","Основний",$U427),{"Трафіковий","Основний","Маржинальний","Сезонний","Стратегічний"},0),Settings!$H$78,Settings!$H$80,Settings!$H$82,Settings!$H$84,Settings!$H$86)</f>
        <v/>
      </c>
      <c r="AT427" s="157">
        <f>CHOOSE(MATCH(IF($U427="","Основний",$U427),{"Трафіковий","Основний","Маржинальний","Сезонний","Стратегічний"},0),Settings!$I$78,Settings!$I$80,Settings!$I$82,Settings!$I$84,Settings!$I$86)</f>
        <v/>
      </c>
      <c r="AU427" s="171" t="n"/>
      <c r="AV427" t="n">
        <v>1.35</v>
      </c>
    </row>
    <row r="428">
      <c r="A428" s="28" t="inlineStr">
        <is>
          <t>NEW</t>
        </is>
      </c>
      <c r="B428" s="29" t="inlineStr">
        <is>
          <t>P56500S</t>
        </is>
      </c>
      <c r="C428" s="29" t="inlineStr">
        <is>
          <t>GOSMART SMOKE ALARM TS380C-HW</t>
        </is>
      </c>
      <c r="D428" s="29" t="inlineStr">
        <is>
          <t>Сигналізація</t>
        </is>
      </c>
      <c r="E428" s="28" t="inlineStr">
        <is>
          <t>PC</t>
        </is>
      </c>
      <c r="F428" s="93" t="n">
        <v>12.313</v>
      </c>
      <c r="G428" s="30" t="n">
        <v>9027101000</v>
      </c>
      <c r="H428" s="31" t="n">
        <v>1.4</v>
      </c>
      <c r="I428" s="84">
        <f>IFERROR(F428*Settings!$B$2*H428*IF(AND(ISNUMBER(E428),E428&gt;1),E428,1),"")</f>
        <v/>
      </c>
      <c r="J428" s="32">
        <f>Settings!$B$66</f>
        <v/>
      </c>
      <c r="K428" s="95">
        <f>IFERROR(IF(T428="","",(T428*(1-AN428)*(1-Settings!$B$17)-I428)/(T428*(1-AN428)*(1-Settings!$B$17))),"")</f>
        <v/>
      </c>
      <c r="L428" s="101">
        <f>IFERROR(IF(T428="","",(T428*(1-AO428)*(1-Settings!$C$17)-I428)/(T428*(1-AO428)*(1-Settings!$C$17))),"")</f>
        <v/>
      </c>
      <c r="M428" s="101">
        <f>IFERROR(IF(T428="","",(T428*(1-AP428)*(1-Settings!$D$17)-I428)/(T428*(1-AP428)*(1-Settings!$D$17))),"")</f>
        <v/>
      </c>
      <c r="N428" s="101">
        <f>IFERROR(IF(T428="","",(T428*(1-AQ428)*(1-Settings!$F$17)-I428)/(T428*(1-AQ428)*(1-Settings!$F$17))),"")</f>
        <v/>
      </c>
      <c r="O428" s="101">
        <f>IFERROR(IF(T428="","",(T428*(1-AR428)*(1-Settings!$G$17)-I428)/(T428*(1-AR428)*(1-Settings!$G$17))),"")</f>
        <v/>
      </c>
      <c r="P428" s="101">
        <f>IFERROR(IF(T428="","",(T428*(1-AS428)*(1-Settings!$H$17)-I428)/(T428*(1-AS428)*(1-Settings!$H$17))),"")</f>
        <v/>
      </c>
      <c r="Q428" s="101">
        <f>IFERROR(IF(T428="","",(T428*(1-AT428)*(1-Settings!$I$68)*(1-Settings!$I$17)-I428)/(T428*(1-AT428)*(1-Settings!$I$68)*(1-Settings!$I$17))),"")</f>
        <v/>
      </c>
      <c r="R428" s="91">
        <f>IFERROR(IF(OR(I428="",Z428&gt;=1,Settings!$B$17&gt;=1,AN428&gt;=1),"",IF(MOD(ROUND(I428/(1-Z428)/(1-Settings!$B$17)/(1-AN428),0),10)=0,ROUND(I428/(1-Z428)/(1-Settings!$B$17)/(1-AN428),0)-1,IF(MOD(ROUND(I428/(1-Z428)/(1-Settings!$B$17)/(1-AN428),0),10)&lt;=5,FLOOR(ROUND(I428/(1-Z428)/(1-Settings!$B$17)/(1-AN428),0),10)+6,FLOOR(ROUND(I428/(1-Z428)/(1-Settings!$B$17)/(1-AN428),0),10)+9))),"")</f>
        <v/>
      </c>
      <c r="S428" s="174">
        <f>R428*0.95</f>
        <v/>
      </c>
      <c r="T428" s="91">
        <f>IF(S428&lt;&gt;"", IF(MOD(S428,10)=0,S428-1,IF(MOD(S428,10)&lt;=5,FLOOR(S428,10)+6,FLOOR(S428,10)+9)), R428)</f>
        <v/>
      </c>
      <c r="U428" s="87" t="inlineStr">
        <is>
          <t>Основний</t>
        </is>
      </c>
      <c r="V428" s="88" t="n"/>
      <c r="W428" s="88" t="n"/>
      <c r="X428" s="89">
        <f>IFERROR(IF(OR(V428="",W428="",T428=""),"", IF(T428&gt;W428,"Дорогий",IF(T428&lt;V428,"Дешевий","У ринку"))),"")</f>
        <v/>
      </c>
      <c r="Y428" s="90" t="n"/>
      <c r="Z428" s="104">
        <f>CHOOSE(MATCH(IF($U428="","Основний",$U428),{"Трафіковий","Основний","Маржинальний","Сезонний","Стратегічний"},0),0.16,0.19,0.24,0.23,0.28)</f>
        <v/>
      </c>
      <c r="AA428" s="104">
        <f>CHOOSE(MATCH(IF($U428="","Основний",$U428),{"Трафіковий","Основний","Маржинальний","Сезонний","Стратегічний"},0),0.18,0.21,0.26,0.25,0.3)</f>
        <v/>
      </c>
      <c r="AB428" s="104">
        <f>CHOOSE(MATCH(IF($U428="","Основний",$U428),{"Трафіковий","Основний","Маржинальний","Сезонний","Стратегічний"},0),0.19,0.22,0.28,0.26,0.32)</f>
        <v/>
      </c>
      <c r="AC428" s="104">
        <f>CHOOSE(MATCH(IF($U428="","Основний",$U428),{"Трафіковий","Основний","Маржинальний","Сезонний","Стратегічний"},0),0.17,0.2,0.25,0.24,0.28)</f>
        <v/>
      </c>
      <c r="AD428" s="104">
        <f>CHOOSE(MATCH(IF($U428="","Основний",$U428),{"Трафіковий","Основний","Маржинальний","Сезонний","Стратегічний"},0),0.18,0.21,0.26,0.25,0.3)</f>
        <v/>
      </c>
      <c r="AE428" s="104">
        <f>CHOOSE(MATCH(IF($U428="","Основний",$U428),{"Трафіковий","Основний","Маржинальний","Сезонний","Стратегічний"},0),0.18,0.2,0.28,0.27,0.32)</f>
        <v/>
      </c>
      <c r="AF428" s="104">
        <f>CHOOSE(MATCH(IF($U428="","Основний",$U428),{"Трафіковий","Основний","Маржинальний","Сезонний","Стратегічний"},0),0.15,0.175,0.22,0.21,0.25)</f>
        <v/>
      </c>
      <c r="AG428" s="104">
        <f>CHOOSE(MATCH(IF($U428="","Основний",$U428),{"Трафіковий","Основний","Маржинальний","Сезонний","Стратегічний"},0),0.13,0.16,0.21,0.2,0.25)</f>
        <v/>
      </c>
      <c r="AH428" s="104">
        <f>CHOOSE(MATCH(IF($U428="","Основний",$U428),{"Трафіковий","Основний","Маржинальний","Сезонний","Стратегічний"},0),0.15,0.18,0.23,0.22,0.27)</f>
        <v/>
      </c>
      <c r="AI428" s="104">
        <f>CHOOSE(MATCH(IF($U428="","Основний",$U428),{"Трафіковий","Основний","Маржинальний","Сезонний","Стратегічний"},0),0.16,0.19,0.25,0.23,0.29)</f>
        <v/>
      </c>
      <c r="AJ428" s="104">
        <f>CHOOSE(MATCH(IF($U428="","Основний",$U428),{"Трафіковий","Основний","Маржинальний","Сезонний","Стратегічний"},0),0.14,0.17,0.22,0.21,0.25)</f>
        <v/>
      </c>
      <c r="AK428" s="104">
        <f>CHOOSE(MATCH(IF($U428="","Основний",$U428),{"Трафіковий","Основний","Маржинальний","Сезонний","Стратегічний"},0),0.15,0.18,0.23,0.22,0.27)</f>
        <v/>
      </c>
      <c r="AL428" s="104">
        <f>CHOOSE(MATCH(IF($U428="","Основний",$U428),{"Трафіковий","Основний","Маржинальний","Сезонний","Стратегічний"},0),0.15,0.17,0.25,0.24,0.29)</f>
        <v/>
      </c>
      <c r="AM428" s="104">
        <f>CHOOSE(MATCH(IF($U428="","Основний",$U428),{"Трафіковий","Основний","Маржинальний","Сезонний","Стратегічний"},0),0.12,0.145,0.19,0.18,0.22)</f>
        <v/>
      </c>
      <c r="AN428" s="157">
        <f>CHOOSE(MATCH(IF($U428="","Основний",$U428),{"Трафіковий","Основний","Маржинальний","Сезонний","Стратегічний"},0),Settings!$B$78,Settings!$B$80,Settings!$B$82,Settings!$B$84,Settings!$B$86)</f>
        <v/>
      </c>
      <c r="AO428" s="157">
        <f>CHOOSE(MATCH(IF($U428="","Основний",$U428),{"Трафіковий","Основний","Маржинальний","Сезонний","Стратегічний"},0),Settings!$C$78,Settings!$C$80,Settings!$C$82,Settings!$C$84,Settings!$C$86)</f>
        <v/>
      </c>
      <c r="AP428" s="157">
        <f>CHOOSE(MATCH(IF($U428="","Основний",$U428),{"Трафіковий","Основний","Маржинальний","Сезонний","Стратегічний"},0),Settings!$D$78,Settings!$D$80,Settings!$D$82,Settings!$D$84,Settings!$D$86)</f>
        <v/>
      </c>
      <c r="AQ428" s="157">
        <f>CHOOSE(MATCH(IF($U428="","Основний",$U428),{"Трафіковий","Основний","Маржинальний","Сезонний","Стратегічний"},0),Settings!$F$78,Settings!$F$80,Settings!$F$82,Settings!$F$84,Settings!$F$86)</f>
        <v/>
      </c>
      <c r="AR428" s="157">
        <f>CHOOSE(MATCH(IF($U428="","Основний",$U428),{"Трафіковий","Основний","Маржинальний","Сезонний","Стратегічний"},0),Settings!$G$78,Settings!$G$80,Settings!$G$82,Settings!$G$84,Settings!$G$86)</f>
        <v/>
      </c>
      <c r="AS428" s="157">
        <f>CHOOSE(MATCH(IF($U428="","Основний",$U428),{"Трафіковий","Основний","Маржинальний","Сезонний","Стратегічний"},0),Settings!$H$78,Settings!$H$80,Settings!$H$82,Settings!$H$84,Settings!$H$86)</f>
        <v/>
      </c>
      <c r="AT428" s="157">
        <f>CHOOSE(MATCH(IF($U428="","Основний",$U428),{"Трафіковий","Основний","Маржинальний","Сезонний","Стратегічний"},0),Settings!$I$78,Settings!$I$80,Settings!$I$82,Settings!$I$84,Settings!$I$86)</f>
        <v/>
      </c>
      <c r="AU428" s="171" t="n"/>
      <c r="AV428" t="n">
        <v>1.35</v>
      </c>
    </row>
    <row r="429">
      <c r="A429" s="33" t="inlineStr">
        <is>
          <t>NEW</t>
        </is>
      </c>
      <c r="B429" s="34" t="inlineStr">
        <is>
          <t>P56400S</t>
        </is>
      </c>
      <c r="C429" s="34" t="inlineStr">
        <is>
          <t>GOSMART CO ALARM TCS0101W</t>
        </is>
      </c>
      <c r="D429" s="34" t="inlineStr">
        <is>
          <t>Сигналізація</t>
        </is>
      </c>
      <c r="E429" s="33" t="inlineStr">
        <is>
          <t>PC</t>
        </is>
      </c>
      <c r="F429" s="94" t="n">
        <v>14.321</v>
      </c>
      <c r="G429" s="35" t="n">
        <v>9027101000</v>
      </c>
      <c r="H429" s="31" t="n">
        <v>1.4</v>
      </c>
      <c r="I429" s="84">
        <f>IFERROR(F429*Settings!$B$2*H429*IF(AND(ISNUMBER(E429),E429&gt;1),E429,1),"")</f>
        <v/>
      </c>
      <c r="J429" s="32">
        <f>Settings!$B$66</f>
        <v/>
      </c>
      <c r="K429" s="95">
        <f>IFERROR(IF(T429="","",(T429*(1-AN429)*(1-Settings!$B$17)-I429)/(T429*(1-AN429)*(1-Settings!$B$17))),"")</f>
        <v/>
      </c>
      <c r="L429" s="101">
        <f>IFERROR(IF(T429="","",(T429*(1-AO429)*(1-Settings!$C$17)-I429)/(T429*(1-AO429)*(1-Settings!$C$17))),"")</f>
        <v/>
      </c>
      <c r="M429" s="101">
        <f>IFERROR(IF(T429="","",(T429*(1-AP429)*(1-Settings!$D$17)-I429)/(T429*(1-AP429)*(1-Settings!$D$17))),"")</f>
        <v/>
      </c>
      <c r="N429" s="101">
        <f>IFERROR(IF(T429="","",(T429*(1-AQ429)*(1-Settings!$F$17)-I429)/(T429*(1-AQ429)*(1-Settings!$F$17))),"")</f>
        <v/>
      </c>
      <c r="O429" s="101">
        <f>IFERROR(IF(T429="","",(T429*(1-AR429)*(1-Settings!$G$17)-I429)/(T429*(1-AR429)*(1-Settings!$G$17))),"")</f>
        <v/>
      </c>
      <c r="P429" s="101">
        <f>IFERROR(IF(T429="","",(T429*(1-AS429)*(1-Settings!$H$17)-I429)/(T429*(1-AS429)*(1-Settings!$H$17))),"")</f>
        <v/>
      </c>
      <c r="Q429" s="101">
        <f>IFERROR(IF(T429="","",(T429*(1-AT429)*(1-Settings!$I$68)*(1-Settings!$I$17)-I429)/(T429*(1-AT429)*(1-Settings!$I$68)*(1-Settings!$I$17))),"")</f>
        <v/>
      </c>
      <c r="R429" s="91">
        <f>IFERROR(IF(OR(I429="",Z429&gt;=1,Settings!$B$17&gt;=1,AN429&gt;=1),"",IF(MOD(ROUND(I429/(1-Z429)/(1-Settings!$B$17)/(1-AN429),0),10)=0,ROUND(I429/(1-Z429)/(1-Settings!$B$17)/(1-AN429),0)-1,IF(MOD(ROUND(I429/(1-Z429)/(1-Settings!$B$17)/(1-AN429),0),10)&lt;=5,FLOOR(ROUND(I429/(1-Z429)/(1-Settings!$B$17)/(1-AN429),0),10)+6,FLOOR(ROUND(I429/(1-Z429)/(1-Settings!$B$17)/(1-AN429),0),10)+9))),"")</f>
        <v/>
      </c>
      <c r="S429" s="174">
        <f>R429*0.95</f>
        <v/>
      </c>
      <c r="T429" s="91">
        <f>IF(S429&lt;&gt;"", IF(MOD(S429,10)=0,S429-1,IF(MOD(S429,10)&lt;=5,FLOOR(S429,10)+6,FLOOR(S429,10)+9)), R429)</f>
        <v/>
      </c>
      <c r="U429" s="87" t="inlineStr">
        <is>
          <t>Основний</t>
        </is>
      </c>
      <c r="V429" s="88" t="n"/>
      <c r="W429" s="88" t="n"/>
      <c r="X429" s="89">
        <f>IFERROR(IF(OR(V429="",W429="",T429=""),"", IF(T429&gt;W429,"Дорогий",IF(T429&lt;V429,"Дешевий","У ринку"))),"")</f>
        <v/>
      </c>
      <c r="Y429" s="90" t="n"/>
      <c r="Z429" s="104">
        <f>CHOOSE(MATCH(IF($U429="","Основний",$U429),{"Трафіковий","Основний","Маржинальний","Сезонний","Стратегічний"},0),0.16,0.19,0.24,0.23,0.28)</f>
        <v/>
      </c>
      <c r="AA429" s="104">
        <f>CHOOSE(MATCH(IF($U429="","Основний",$U429),{"Трафіковий","Основний","Маржинальний","Сезонний","Стратегічний"},0),0.18,0.21,0.26,0.25,0.3)</f>
        <v/>
      </c>
      <c r="AB429" s="104">
        <f>CHOOSE(MATCH(IF($U429="","Основний",$U429),{"Трафіковий","Основний","Маржинальний","Сезонний","Стратегічний"},0),0.19,0.22,0.28,0.26,0.32)</f>
        <v/>
      </c>
      <c r="AC429" s="104">
        <f>CHOOSE(MATCH(IF($U429="","Основний",$U429),{"Трафіковий","Основний","Маржинальний","Сезонний","Стратегічний"},0),0.17,0.2,0.25,0.24,0.28)</f>
        <v/>
      </c>
      <c r="AD429" s="104">
        <f>CHOOSE(MATCH(IF($U429="","Основний",$U429),{"Трафіковий","Основний","Маржинальний","Сезонний","Стратегічний"},0),0.18,0.21,0.26,0.25,0.3)</f>
        <v/>
      </c>
      <c r="AE429" s="104">
        <f>CHOOSE(MATCH(IF($U429="","Основний",$U429),{"Трафіковий","Основний","Маржинальний","Сезонний","Стратегічний"},0),0.18,0.2,0.28,0.27,0.32)</f>
        <v/>
      </c>
      <c r="AF429" s="104">
        <f>CHOOSE(MATCH(IF($U429="","Основний",$U429),{"Трафіковий","Основний","Маржинальний","Сезонний","Стратегічний"},0),0.15,0.175,0.22,0.21,0.25)</f>
        <v/>
      </c>
      <c r="AG429" s="104">
        <f>CHOOSE(MATCH(IF($U429="","Основний",$U429),{"Трафіковий","Основний","Маржинальний","Сезонний","Стратегічний"},0),0.13,0.16,0.21,0.2,0.25)</f>
        <v/>
      </c>
      <c r="AH429" s="104">
        <f>CHOOSE(MATCH(IF($U429="","Основний",$U429),{"Трафіковий","Основний","Маржинальний","Сезонний","Стратегічний"},0),0.15,0.18,0.23,0.22,0.27)</f>
        <v/>
      </c>
      <c r="AI429" s="104">
        <f>CHOOSE(MATCH(IF($U429="","Основний",$U429),{"Трафіковий","Основний","Маржинальний","Сезонний","Стратегічний"},0),0.16,0.19,0.25,0.23,0.29)</f>
        <v/>
      </c>
      <c r="AJ429" s="104">
        <f>CHOOSE(MATCH(IF($U429="","Основний",$U429),{"Трафіковий","Основний","Маржинальний","Сезонний","Стратегічний"},0),0.14,0.17,0.22,0.21,0.25)</f>
        <v/>
      </c>
      <c r="AK429" s="104">
        <f>CHOOSE(MATCH(IF($U429="","Основний",$U429),{"Трафіковий","Основний","Маржинальний","Сезонний","Стратегічний"},0),0.15,0.18,0.23,0.22,0.27)</f>
        <v/>
      </c>
      <c r="AL429" s="104">
        <f>CHOOSE(MATCH(IF($U429="","Основний",$U429),{"Трафіковий","Основний","Маржинальний","Сезонний","Стратегічний"},0),0.15,0.17,0.25,0.24,0.29)</f>
        <v/>
      </c>
      <c r="AM429" s="104">
        <f>CHOOSE(MATCH(IF($U429="","Основний",$U429),{"Трафіковий","Основний","Маржинальний","Сезонний","Стратегічний"},0),0.12,0.145,0.19,0.18,0.22)</f>
        <v/>
      </c>
      <c r="AN429" s="157">
        <f>CHOOSE(MATCH(IF($U429="","Основний",$U429),{"Трафіковий","Основний","Маржинальний","Сезонний","Стратегічний"},0),Settings!$B$78,Settings!$B$80,Settings!$B$82,Settings!$B$84,Settings!$B$86)</f>
        <v/>
      </c>
      <c r="AO429" s="157">
        <f>CHOOSE(MATCH(IF($U429="","Основний",$U429),{"Трафіковий","Основний","Маржинальний","Сезонний","Стратегічний"},0),Settings!$C$78,Settings!$C$80,Settings!$C$82,Settings!$C$84,Settings!$C$86)</f>
        <v/>
      </c>
      <c r="AP429" s="157">
        <f>CHOOSE(MATCH(IF($U429="","Основний",$U429),{"Трафіковий","Основний","Маржинальний","Сезонний","Стратегічний"},0),Settings!$D$78,Settings!$D$80,Settings!$D$82,Settings!$D$84,Settings!$D$86)</f>
        <v/>
      </c>
      <c r="AQ429" s="157">
        <f>CHOOSE(MATCH(IF($U429="","Основний",$U429),{"Трафіковий","Основний","Маржинальний","Сезонний","Стратегічний"},0),Settings!$F$78,Settings!$F$80,Settings!$F$82,Settings!$F$84,Settings!$F$86)</f>
        <v/>
      </c>
      <c r="AR429" s="157">
        <f>CHOOSE(MATCH(IF($U429="","Основний",$U429),{"Трафіковий","Основний","Маржинальний","Сезонний","Стратегічний"},0),Settings!$G$78,Settings!$G$80,Settings!$G$82,Settings!$G$84,Settings!$G$86)</f>
        <v/>
      </c>
      <c r="AS429" s="157">
        <f>CHOOSE(MATCH(IF($U429="","Основний",$U429),{"Трафіковий","Основний","Маржинальний","Сезонний","Стратегічний"},0),Settings!$H$78,Settings!$H$80,Settings!$H$82,Settings!$H$84,Settings!$H$86)</f>
        <v/>
      </c>
      <c r="AT429" s="157">
        <f>CHOOSE(MATCH(IF($U429="","Основний",$U429),{"Трафіковий","Основний","Маржинальний","Сезонний","Стратегічний"},0),Settings!$I$78,Settings!$I$80,Settings!$I$82,Settings!$I$84,Settings!$I$86)</f>
        <v/>
      </c>
      <c r="AU429" s="171" t="n"/>
      <c r="AV429" t="n">
        <v>1.35</v>
      </c>
    </row>
    <row r="430">
      <c r="A430" s="28" t="inlineStr">
        <is>
          <t>NEW</t>
        </is>
      </c>
      <c r="B430" s="29" t="inlineStr">
        <is>
          <t>P56000S</t>
        </is>
      </c>
      <c r="C430" s="29" t="inlineStr">
        <is>
          <t>GOSMART FLOOD SENSOR P56000S</t>
        </is>
      </c>
      <c r="D430" s="29" t="inlineStr">
        <is>
          <t>Сигналізація</t>
        </is>
      </c>
      <c r="E430" s="28" t="inlineStr">
        <is>
          <t>PC</t>
        </is>
      </c>
      <c r="F430" s="93" t="n">
        <v>12.107</v>
      </c>
      <c r="G430" s="30" t="n">
        <v>8531109590</v>
      </c>
      <c r="H430" s="31" t="n">
        <v>1.4</v>
      </c>
      <c r="I430" s="84">
        <f>IFERROR(F430*Settings!$B$2*H430*IF(AND(ISNUMBER(E430),E430&gt;1),E430,1),"")</f>
        <v/>
      </c>
      <c r="J430" s="32">
        <f>Settings!$B$66</f>
        <v/>
      </c>
      <c r="K430" s="95">
        <f>IFERROR(IF(T430="","",(T430*(1-AN430)*(1-Settings!$B$17)-I430)/(T430*(1-AN430)*(1-Settings!$B$17))),"")</f>
        <v/>
      </c>
      <c r="L430" s="101">
        <f>IFERROR(IF(T430="","",(T430*(1-AO430)*(1-Settings!$C$17)-I430)/(T430*(1-AO430)*(1-Settings!$C$17))),"")</f>
        <v/>
      </c>
      <c r="M430" s="101">
        <f>IFERROR(IF(T430="","",(T430*(1-AP430)*(1-Settings!$D$17)-I430)/(T430*(1-AP430)*(1-Settings!$D$17))),"")</f>
        <v/>
      </c>
      <c r="N430" s="101">
        <f>IFERROR(IF(T430="","",(T430*(1-AQ430)*(1-Settings!$F$17)-I430)/(T430*(1-AQ430)*(1-Settings!$F$17))),"")</f>
        <v/>
      </c>
      <c r="O430" s="101">
        <f>IFERROR(IF(T430="","",(T430*(1-AR430)*(1-Settings!$G$17)-I430)/(T430*(1-AR430)*(1-Settings!$G$17))),"")</f>
        <v/>
      </c>
      <c r="P430" s="101">
        <f>IFERROR(IF(T430="","",(T430*(1-AS430)*(1-Settings!$H$17)-I430)/(T430*(1-AS430)*(1-Settings!$H$17))),"")</f>
        <v/>
      </c>
      <c r="Q430" s="101">
        <f>IFERROR(IF(T430="","",(T430*(1-AT430)*(1-Settings!$I$68)*(1-Settings!$I$17)-I430)/(T430*(1-AT430)*(1-Settings!$I$68)*(1-Settings!$I$17))),"")</f>
        <v/>
      </c>
      <c r="R430" s="91">
        <f>IFERROR(IF(OR(I430="",Z430&gt;=1,Settings!$B$17&gt;=1,AN430&gt;=1),"",IF(MOD(ROUND(I430/(1-Z430)/(1-Settings!$B$17)/(1-AN430),0),10)=0,ROUND(I430/(1-Z430)/(1-Settings!$B$17)/(1-AN430),0)-1,IF(MOD(ROUND(I430/(1-Z430)/(1-Settings!$B$17)/(1-AN430),0),10)&lt;=5,FLOOR(ROUND(I430/(1-Z430)/(1-Settings!$B$17)/(1-AN430),0),10)+6,FLOOR(ROUND(I430/(1-Z430)/(1-Settings!$B$17)/(1-AN430),0),10)+9))),"")</f>
        <v/>
      </c>
      <c r="S430" s="174">
        <f>R430*0.95</f>
        <v/>
      </c>
      <c r="T430" s="91">
        <f>IF(S430&lt;&gt;"", IF(MOD(S430,10)=0,S430-1,IF(MOD(S430,10)&lt;=5,FLOOR(S430,10)+6,FLOOR(S430,10)+9)), R430)</f>
        <v/>
      </c>
      <c r="U430" s="87" t="inlineStr">
        <is>
          <t>Основний</t>
        </is>
      </c>
      <c r="V430" s="88" t="n"/>
      <c r="W430" s="88" t="n"/>
      <c r="X430" s="89">
        <f>IFERROR(IF(OR(V430="",W430="",T430=""),"", IF(T430&gt;W430,"Дорогий",IF(T430&lt;V430,"Дешевий","У ринку"))),"")</f>
        <v/>
      </c>
      <c r="Y430" s="90" t="n"/>
      <c r="Z430" s="104">
        <f>CHOOSE(MATCH(IF($U430="","Основний",$U430),{"Трафіковий","Основний","Маржинальний","Сезонний","Стратегічний"},0),0.16,0.19,0.24,0.23,0.28)</f>
        <v/>
      </c>
      <c r="AA430" s="104">
        <f>CHOOSE(MATCH(IF($U430="","Основний",$U430),{"Трафіковий","Основний","Маржинальний","Сезонний","Стратегічний"},0),0.18,0.21,0.26,0.25,0.3)</f>
        <v/>
      </c>
      <c r="AB430" s="104">
        <f>CHOOSE(MATCH(IF($U430="","Основний",$U430),{"Трафіковий","Основний","Маржинальний","Сезонний","Стратегічний"},0),0.19,0.22,0.28,0.26,0.32)</f>
        <v/>
      </c>
      <c r="AC430" s="104">
        <f>CHOOSE(MATCH(IF($U430="","Основний",$U430),{"Трафіковий","Основний","Маржинальний","Сезонний","Стратегічний"},0),0.17,0.2,0.25,0.24,0.28)</f>
        <v/>
      </c>
      <c r="AD430" s="104">
        <f>CHOOSE(MATCH(IF($U430="","Основний",$U430),{"Трафіковий","Основний","Маржинальний","Сезонний","Стратегічний"},0),0.18,0.21,0.26,0.25,0.3)</f>
        <v/>
      </c>
      <c r="AE430" s="104">
        <f>CHOOSE(MATCH(IF($U430="","Основний",$U430),{"Трафіковий","Основний","Маржинальний","Сезонний","Стратегічний"},0),0.18,0.2,0.28,0.27,0.32)</f>
        <v/>
      </c>
      <c r="AF430" s="104">
        <f>CHOOSE(MATCH(IF($U430="","Основний",$U430),{"Трафіковий","Основний","Маржинальний","Сезонний","Стратегічний"},0),0.15,0.175,0.22,0.21,0.25)</f>
        <v/>
      </c>
      <c r="AG430" s="104">
        <f>CHOOSE(MATCH(IF($U430="","Основний",$U430),{"Трафіковий","Основний","Маржинальний","Сезонний","Стратегічний"},0),0.13,0.16,0.21,0.2,0.25)</f>
        <v/>
      </c>
      <c r="AH430" s="104">
        <f>CHOOSE(MATCH(IF($U430="","Основний",$U430),{"Трафіковий","Основний","Маржинальний","Сезонний","Стратегічний"},0),0.15,0.18,0.23,0.22,0.27)</f>
        <v/>
      </c>
      <c r="AI430" s="104">
        <f>CHOOSE(MATCH(IF($U430="","Основний",$U430),{"Трафіковий","Основний","Маржинальний","Сезонний","Стратегічний"},0),0.16,0.19,0.25,0.23,0.29)</f>
        <v/>
      </c>
      <c r="AJ430" s="104">
        <f>CHOOSE(MATCH(IF($U430="","Основний",$U430),{"Трафіковий","Основний","Маржинальний","Сезонний","Стратегічний"},0),0.14,0.17,0.22,0.21,0.25)</f>
        <v/>
      </c>
      <c r="AK430" s="104">
        <f>CHOOSE(MATCH(IF($U430="","Основний",$U430),{"Трафіковий","Основний","Маржинальний","Сезонний","Стратегічний"},0),0.15,0.18,0.23,0.22,0.27)</f>
        <v/>
      </c>
      <c r="AL430" s="104">
        <f>CHOOSE(MATCH(IF($U430="","Основний",$U430),{"Трафіковий","Основний","Маржинальний","Сезонний","Стратегічний"},0),0.15,0.17,0.25,0.24,0.29)</f>
        <v/>
      </c>
      <c r="AM430" s="104">
        <f>CHOOSE(MATCH(IF($U430="","Основний",$U430),{"Трафіковий","Основний","Маржинальний","Сезонний","Стратегічний"},0),0.12,0.145,0.19,0.18,0.22)</f>
        <v/>
      </c>
      <c r="AN430" s="157">
        <f>CHOOSE(MATCH(IF($U430="","Основний",$U430),{"Трафіковий","Основний","Маржинальний","Сезонний","Стратегічний"},0),Settings!$B$78,Settings!$B$80,Settings!$B$82,Settings!$B$84,Settings!$B$86)</f>
        <v/>
      </c>
      <c r="AO430" s="157">
        <f>CHOOSE(MATCH(IF($U430="","Основний",$U430),{"Трафіковий","Основний","Маржинальний","Сезонний","Стратегічний"},0),Settings!$C$78,Settings!$C$80,Settings!$C$82,Settings!$C$84,Settings!$C$86)</f>
        <v/>
      </c>
      <c r="AP430" s="157">
        <f>CHOOSE(MATCH(IF($U430="","Основний",$U430),{"Трафіковий","Основний","Маржинальний","Сезонний","Стратегічний"},0),Settings!$D$78,Settings!$D$80,Settings!$D$82,Settings!$D$84,Settings!$D$86)</f>
        <v/>
      </c>
      <c r="AQ430" s="157">
        <f>CHOOSE(MATCH(IF($U430="","Основний",$U430),{"Трафіковий","Основний","Маржинальний","Сезонний","Стратегічний"},0),Settings!$F$78,Settings!$F$80,Settings!$F$82,Settings!$F$84,Settings!$F$86)</f>
        <v/>
      </c>
      <c r="AR430" s="157">
        <f>CHOOSE(MATCH(IF($U430="","Основний",$U430),{"Трафіковий","Основний","Маржинальний","Сезонний","Стратегічний"},0),Settings!$G$78,Settings!$G$80,Settings!$G$82,Settings!$G$84,Settings!$G$86)</f>
        <v/>
      </c>
      <c r="AS430" s="157">
        <f>CHOOSE(MATCH(IF($U430="","Основний",$U430),{"Трафіковий","Основний","Маржинальний","Сезонний","Стратегічний"},0),Settings!$H$78,Settings!$H$80,Settings!$H$82,Settings!$H$84,Settings!$H$86)</f>
        <v/>
      </c>
      <c r="AT430" s="157">
        <f>CHOOSE(MATCH(IF($U430="","Основний",$U430),{"Трафіковий","Основний","Маржинальний","Сезонний","Стратегічний"},0),Settings!$I$78,Settings!$I$80,Settings!$I$82,Settings!$I$84,Settings!$I$86)</f>
        <v/>
      </c>
      <c r="AU430" s="171" t="n"/>
      <c r="AV430" t="n">
        <v>1.35</v>
      </c>
    </row>
    <row r="431">
      <c r="A431" s="33" t="inlineStr">
        <is>
          <t>SELL OUT</t>
        </is>
      </c>
      <c r="B431" s="34" t="inlineStr">
        <is>
          <t>P5640S</t>
        </is>
      </c>
      <c r="C431" s="34" t="inlineStr">
        <is>
          <t>GOSMART VALVE CONTROLER P5640S</t>
        </is>
      </c>
      <c r="D431" s="34" t="inlineStr">
        <is>
          <t>Сигналізація</t>
        </is>
      </c>
      <c r="E431" s="33" t="inlineStr">
        <is>
          <t>PC</t>
        </is>
      </c>
      <c r="F431" s="94" t="n">
        <v>16.019</v>
      </c>
      <c r="G431" s="35" t="n">
        <v>8412808090</v>
      </c>
      <c r="H431" s="31" t="n">
        <v>1.3</v>
      </c>
      <c r="I431" s="84">
        <f>IFERROR(F431*Settings!$B$2*H431*IF(AND(ISNUMBER(E431),E431&gt;1),E431,1),"")</f>
        <v/>
      </c>
      <c r="J431" s="32">
        <f>Settings!$B$66</f>
        <v/>
      </c>
      <c r="K431" s="95">
        <f>IFERROR(IF(T431="","",(T431*(1-AN431)*(1-Settings!$B$17)-I431)/(T431*(1-AN431)*(1-Settings!$B$17))),"")</f>
        <v/>
      </c>
      <c r="L431" s="101">
        <f>IFERROR(IF(T431="","",(T431*(1-AO431)*(1-Settings!$C$17)-I431)/(T431*(1-AO431)*(1-Settings!$C$17))),"")</f>
        <v/>
      </c>
      <c r="M431" s="101">
        <f>IFERROR(IF(T431="","",(T431*(1-AP431)*(1-Settings!$D$17)-I431)/(T431*(1-AP431)*(1-Settings!$D$17))),"")</f>
        <v/>
      </c>
      <c r="N431" s="101">
        <f>IFERROR(IF(T431="","",(T431*(1-AQ431)*(1-Settings!$F$17)-I431)/(T431*(1-AQ431)*(1-Settings!$F$17))),"")</f>
        <v/>
      </c>
      <c r="O431" s="101">
        <f>IFERROR(IF(T431="","",(T431*(1-AR431)*(1-Settings!$G$17)-I431)/(T431*(1-AR431)*(1-Settings!$G$17))),"")</f>
        <v/>
      </c>
      <c r="P431" s="101">
        <f>IFERROR(IF(T431="","",(T431*(1-AS431)*(1-Settings!$H$17)-I431)/(T431*(1-AS431)*(1-Settings!$H$17))),"")</f>
        <v/>
      </c>
      <c r="Q431" s="101">
        <f>IFERROR(IF(T431="","",(T431*(1-AT431)*(1-Settings!$I$68)*(1-Settings!$I$17)-I431)/(T431*(1-AT431)*(1-Settings!$I$68)*(1-Settings!$I$17))),"")</f>
        <v/>
      </c>
      <c r="R431" s="91">
        <f>IFERROR(IF(OR(I431="",Z431&gt;=1,Settings!$B$17&gt;=1,AN431&gt;=1),"",IF(MOD(ROUND(I431/(1-Z431)/(1-Settings!$B$17)/(1-AN431),0),10)=0,ROUND(I431/(1-Z431)/(1-Settings!$B$17)/(1-AN431),0)-1,IF(MOD(ROUND(I431/(1-Z431)/(1-Settings!$B$17)/(1-AN431),0),10)&lt;=5,FLOOR(ROUND(I431/(1-Z431)/(1-Settings!$B$17)/(1-AN431),0),10)+6,FLOOR(ROUND(I431/(1-Z431)/(1-Settings!$B$17)/(1-AN431),0),10)+9))),"")</f>
        <v/>
      </c>
      <c r="S431" s="174">
        <f>R431*0.95</f>
        <v/>
      </c>
      <c r="T431" s="91">
        <f>IF(S431&lt;&gt;"", IF(MOD(S431,10)=0,S431-1,IF(MOD(S431,10)&lt;=5,FLOOR(S431,10)+6,FLOOR(S431,10)+9)), R431)</f>
        <v/>
      </c>
      <c r="U431" s="87" t="inlineStr">
        <is>
          <t>Основний</t>
        </is>
      </c>
      <c r="V431" s="88" t="n"/>
      <c r="W431" s="88" t="n"/>
      <c r="X431" s="89">
        <f>IFERROR(IF(OR(V431="",W431="",T431=""),"", IF(T431&gt;W431,"Дорогий",IF(T431&lt;V431,"Дешевий","У ринку"))),"")</f>
        <v/>
      </c>
      <c r="Y431" s="90" t="n"/>
      <c r="Z431" s="104">
        <f>CHOOSE(MATCH(IF($U431="","Основний",$U431),{"Трафіковий","Основний","Маржинальний","Сезонний","Стратегічний"},0),0.16,0.19,0.24,0.23,0.28)</f>
        <v/>
      </c>
      <c r="AA431" s="104">
        <f>CHOOSE(MATCH(IF($U431="","Основний",$U431),{"Трафіковий","Основний","Маржинальний","Сезонний","Стратегічний"},0),0.18,0.21,0.26,0.25,0.3)</f>
        <v/>
      </c>
      <c r="AB431" s="104">
        <f>CHOOSE(MATCH(IF($U431="","Основний",$U431),{"Трафіковий","Основний","Маржинальний","Сезонний","Стратегічний"},0),0.19,0.22,0.28,0.26,0.32)</f>
        <v/>
      </c>
      <c r="AC431" s="104">
        <f>CHOOSE(MATCH(IF($U431="","Основний",$U431),{"Трафіковий","Основний","Маржинальний","Сезонний","Стратегічний"},0),0.17,0.2,0.25,0.24,0.28)</f>
        <v/>
      </c>
      <c r="AD431" s="104">
        <f>CHOOSE(MATCH(IF($U431="","Основний",$U431),{"Трафіковий","Основний","Маржинальний","Сезонний","Стратегічний"},0),0.18,0.21,0.26,0.25,0.3)</f>
        <v/>
      </c>
      <c r="AE431" s="104">
        <f>CHOOSE(MATCH(IF($U431="","Основний",$U431),{"Трафіковий","Основний","Маржинальний","Сезонний","Стратегічний"},0),0.18,0.2,0.28,0.27,0.32)</f>
        <v/>
      </c>
      <c r="AF431" s="104">
        <f>CHOOSE(MATCH(IF($U431="","Основний",$U431),{"Трафіковий","Основний","Маржинальний","Сезонний","Стратегічний"},0),0.15,0.175,0.22,0.21,0.25)</f>
        <v/>
      </c>
      <c r="AG431" s="104">
        <f>CHOOSE(MATCH(IF($U431="","Основний",$U431),{"Трафіковий","Основний","Маржинальний","Сезонний","Стратегічний"},0),0.13,0.16,0.21,0.2,0.25)</f>
        <v/>
      </c>
      <c r="AH431" s="104">
        <f>CHOOSE(MATCH(IF($U431="","Основний",$U431),{"Трафіковий","Основний","Маржинальний","Сезонний","Стратегічний"},0),0.15,0.18,0.23,0.22,0.27)</f>
        <v/>
      </c>
      <c r="AI431" s="104">
        <f>CHOOSE(MATCH(IF($U431="","Основний",$U431),{"Трафіковий","Основний","Маржинальний","Сезонний","Стратегічний"},0),0.16,0.19,0.25,0.23,0.29)</f>
        <v/>
      </c>
      <c r="AJ431" s="104">
        <f>CHOOSE(MATCH(IF($U431="","Основний",$U431),{"Трафіковий","Основний","Маржинальний","Сезонний","Стратегічний"},0),0.14,0.17,0.22,0.21,0.25)</f>
        <v/>
      </c>
      <c r="AK431" s="104">
        <f>CHOOSE(MATCH(IF($U431="","Основний",$U431),{"Трафіковий","Основний","Маржинальний","Сезонний","Стратегічний"},0),0.15,0.18,0.23,0.22,0.27)</f>
        <v/>
      </c>
      <c r="AL431" s="104">
        <f>CHOOSE(MATCH(IF($U431="","Основний",$U431),{"Трафіковий","Основний","Маржинальний","Сезонний","Стратегічний"},0),0.15,0.17,0.25,0.24,0.29)</f>
        <v/>
      </c>
      <c r="AM431" s="104">
        <f>CHOOSE(MATCH(IF($U431="","Основний",$U431),{"Трафіковий","Основний","Маржинальний","Сезонний","Стратегічний"},0),0.12,0.145,0.19,0.18,0.22)</f>
        <v/>
      </c>
      <c r="AN431" s="157">
        <f>CHOOSE(MATCH(IF($U431="","Основний",$U431),{"Трафіковий","Основний","Маржинальний","Сезонний","Стратегічний"},0),Settings!$B$78,Settings!$B$80,Settings!$B$82,Settings!$B$84,Settings!$B$86)</f>
        <v/>
      </c>
      <c r="AO431" s="157">
        <f>CHOOSE(MATCH(IF($U431="","Основний",$U431),{"Трафіковий","Основний","Маржинальний","Сезонний","Стратегічний"},0),Settings!$C$78,Settings!$C$80,Settings!$C$82,Settings!$C$84,Settings!$C$86)</f>
        <v/>
      </c>
      <c r="AP431" s="157">
        <f>CHOOSE(MATCH(IF($U431="","Основний",$U431),{"Трафіковий","Основний","Маржинальний","Сезонний","Стратегічний"},0),Settings!$D$78,Settings!$D$80,Settings!$D$82,Settings!$D$84,Settings!$D$86)</f>
        <v/>
      </c>
      <c r="AQ431" s="157">
        <f>CHOOSE(MATCH(IF($U431="","Основний",$U431),{"Трафіковий","Основний","Маржинальний","Сезонний","Стратегічний"},0),Settings!$F$78,Settings!$F$80,Settings!$F$82,Settings!$F$84,Settings!$F$86)</f>
        <v/>
      </c>
      <c r="AR431" s="157">
        <f>CHOOSE(MATCH(IF($U431="","Основний",$U431),{"Трафіковий","Основний","Маржинальний","Сезонний","Стратегічний"},0),Settings!$G$78,Settings!$G$80,Settings!$G$82,Settings!$G$84,Settings!$G$86)</f>
        <v/>
      </c>
      <c r="AS431" s="157">
        <f>CHOOSE(MATCH(IF($U431="","Основний",$U431),{"Трафіковий","Основний","Маржинальний","Сезонний","Стратегічний"},0),Settings!$H$78,Settings!$H$80,Settings!$H$82,Settings!$H$84,Settings!$H$86)</f>
        <v/>
      </c>
      <c r="AT431" s="157">
        <f>CHOOSE(MATCH(IF($U431="","Основний",$U431),{"Трафіковий","Основний","Маржинальний","Сезонний","Стратегічний"},0),Settings!$I$78,Settings!$I$80,Settings!$I$82,Settings!$I$84,Settings!$I$86)</f>
        <v/>
      </c>
      <c r="AU431" s="171" t="n"/>
      <c r="AV431" t="n">
        <v>1.3</v>
      </c>
    </row>
    <row r="432">
      <c r="A432" s="28" t="inlineStr">
        <is>
          <t>NEW</t>
        </is>
      </c>
      <c r="B432" s="29" t="inlineStr">
        <is>
          <t>P56601SH</t>
        </is>
      </c>
      <c r="C432" s="29" t="inlineStr">
        <is>
          <t>GOSMART THERMO &amp; SWITCH SOCKET P56601SH</t>
        </is>
      </c>
      <c r="D432" s="29" t="inlineStr">
        <is>
          <t>Вентилятори для батарей опалення</t>
        </is>
      </c>
      <c r="E432" s="28" t="inlineStr">
        <is>
          <t>PC</t>
        </is>
      </c>
      <c r="F432" s="93" t="n">
        <v>20.582</v>
      </c>
      <c r="G432" s="30" t="n">
        <v>9032102090</v>
      </c>
      <c r="H432" s="31" t="n">
        <v>1.3</v>
      </c>
      <c r="I432" s="84">
        <f>IFERROR(F432*Settings!$B$2*H432*IF(AND(ISNUMBER(E432),E432&gt;1),E432,1),"")</f>
        <v/>
      </c>
      <c r="J432" s="32">
        <f>Settings!$B$66</f>
        <v/>
      </c>
      <c r="K432" s="95">
        <f>IFERROR(IF(T432="","",(T432*(1-AN432)*(1-Settings!$B$17)-I432)/(T432*(1-AN432)*(1-Settings!$B$17))),"")</f>
        <v/>
      </c>
      <c r="L432" s="101">
        <f>IFERROR(IF(T432="","",(T432*(1-AO432)*(1-Settings!$C$17)-I432)/(T432*(1-AO432)*(1-Settings!$C$17))),"")</f>
        <v/>
      </c>
      <c r="M432" s="101">
        <f>IFERROR(IF(T432="","",(T432*(1-AP432)*(1-Settings!$D$17)-I432)/(T432*(1-AP432)*(1-Settings!$D$17))),"")</f>
        <v/>
      </c>
      <c r="N432" s="101">
        <f>IFERROR(IF(T432="","",(T432*(1-AQ432)*(1-Settings!$F$17)-I432)/(T432*(1-AQ432)*(1-Settings!$F$17))),"")</f>
        <v/>
      </c>
      <c r="O432" s="101">
        <f>IFERROR(IF(T432="","",(T432*(1-AR432)*(1-Settings!$G$17)-I432)/(T432*(1-AR432)*(1-Settings!$G$17))),"")</f>
        <v/>
      </c>
      <c r="P432" s="101">
        <f>IFERROR(IF(T432="","",(T432*(1-AS432)*(1-Settings!$H$17)-I432)/(T432*(1-AS432)*(1-Settings!$H$17))),"")</f>
        <v/>
      </c>
      <c r="Q432" s="101">
        <f>IFERROR(IF(T432="","",(T432*(1-AT432)*(1-Settings!$I$68)*(1-Settings!$I$17)-I432)/(T432*(1-AT432)*(1-Settings!$I$68)*(1-Settings!$I$17))),"")</f>
        <v/>
      </c>
      <c r="R432" s="91">
        <f>IFERROR(IF(OR(I432="",Z432&gt;=1,Settings!$B$17&gt;=1,AN432&gt;=1),"",IF(MOD(ROUND(I432/(1-Z432)/(1-Settings!$B$17)/(1-AN432),0),10)=0,ROUND(I432/(1-Z432)/(1-Settings!$B$17)/(1-AN432),0)-1,IF(MOD(ROUND(I432/(1-Z432)/(1-Settings!$B$17)/(1-AN432),0),10)&lt;=5,FLOOR(ROUND(I432/(1-Z432)/(1-Settings!$B$17)/(1-AN432),0),10)+6,FLOOR(ROUND(I432/(1-Z432)/(1-Settings!$B$17)/(1-AN432),0),10)+9))),"")</f>
        <v/>
      </c>
      <c r="S432" s="174">
        <f>R432*0.95</f>
        <v/>
      </c>
      <c r="T432" s="91">
        <f>IF(S432&lt;&gt;"", IF(MOD(S432,10)=0,S432-1,IF(MOD(S432,10)&lt;=5,FLOOR(S432,10)+6,FLOOR(S432,10)+9)), R432)</f>
        <v/>
      </c>
      <c r="U432" s="87" t="inlineStr">
        <is>
          <t>Основний</t>
        </is>
      </c>
      <c r="V432" s="88" t="n"/>
      <c r="W432" s="88" t="n"/>
      <c r="X432" s="89">
        <f>IFERROR(IF(OR(V432="",W432="",T432=""),"", IF(T432&gt;W432,"Дорогий",IF(T432&lt;V432,"Дешевий","У ринку"))),"")</f>
        <v/>
      </c>
      <c r="Y432" s="90" t="n"/>
      <c r="Z432" s="104">
        <f>CHOOSE(MATCH(IF($U432="","Основний",$U432),{"Трафіковий","Основний","Маржинальний","Сезонний","Стратегічний"},0),0.16,0.19,0.24,0.23,0.28)</f>
        <v/>
      </c>
      <c r="AA432" s="104">
        <f>CHOOSE(MATCH(IF($U432="","Основний",$U432),{"Трафіковий","Основний","Маржинальний","Сезонний","Стратегічний"},0),0.18,0.21,0.26,0.25,0.3)</f>
        <v/>
      </c>
      <c r="AB432" s="104">
        <f>CHOOSE(MATCH(IF($U432="","Основний",$U432),{"Трафіковий","Основний","Маржинальний","Сезонний","Стратегічний"},0),0.19,0.22,0.28,0.26,0.32)</f>
        <v/>
      </c>
      <c r="AC432" s="104">
        <f>CHOOSE(MATCH(IF($U432="","Основний",$U432),{"Трафіковий","Основний","Маржинальний","Сезонний","Стратегічний"},0),0.17,0.2,0.25,0.24,0.28)</f>
        <v/>
      </c>
      <c r="AD432" s="104">
        <f>CHOOSE(MATCH(IF($U432="","Основний",$U432),{"Трафіковий","Основний","Маржинальний","Сезонний","Стратегічний"},0),0.18,0.21,0.26,0.25,0.3)</f>
        <v/>
      </c>
      <c r="AE432" s="104">
        <f>CHOOSE(MATCH(IF($U432="","Основний",$U432),{"Трафіковий","Основний","Маржинальний","Сезонний","Стратегічний"},0),0.18,0.2,0.28,0.27,0.32)</f>
        <v/>
      </c>
      <c r="AF432" s="104">
        <f>CHOOSE(MATCH(IF($U432="","Основний",$U432),{"Трафіковий","Основний","Маржинальний","Сезонний","Стратегічний"},0),0.15,0.175,0.22,0.21,0.25)</f>
        <v/>
      </c>
      <c r="AG432" s="104">
        <f>CHOOSE(MATCH(IF($U432="","Основний",$U432),{"Трафіковий","Основний","Маржинальний","Сезонний","Стратегічний"},0),0.13,0.16,0.21,0.2,0.25)</f>
        <v/>
      </c>
      <c r="AH432" s="104">
        <f>CHOOSE(MATCH(IF($U432="","Основний",$U432),{"Трафіковий","Основний","Маржинальний","Сезонний","Стратегічний"},0),0.15,0.18,0.23,0.22,0.27)</f>
        <v/>
      </c>
      <c r="AI432" s="104">
        <f>CHOOSE(MATCH(IF($U432="","Основний",$U432),{"Трафіковий","Основний","Маржинальний","Сезонний","Стратегічний"},0),0.16,0.19,0.25,0.23,0.29)</f>
        <v/>
      </c>
      <c r="AJ432" s="104">
        <f>CHOOSE(MATCH(IF($U432="","Основний",$U432),{"Трафіковий","Основний","Маржинальний","Сезонний","Стратегічний"},0),0.14,0.17,0.22,0.21,0.25)</f>
        <v/>
      </c>
      <c r="AK432" s="104">
        <f>CHOOSE(MATCH(IF($U432="","Основний",$U432),{"Трафіковий","Основний","Маржинальний","Сезонний","Стратегічний"},0),0.15,0.18,0.23,0.22,0.27)</f>
        <v/>
      </c>
      <c r="AL432" s="104">
        <f>CHOOSE(MATCH(IF($U432="","Основний",$U432),{"Трафіковий","Основний","Маржинальний","Сезонний","Стратегічний"},0),0.15,0.17,0.25,0.24,0.29)</f>
        <v/>
      </c>
      <c r="AM432" s="104">
        <f>CHOOSE(MATCH(IF($U432="","Основний",$U432),{"Трафіковий","Основний","Маржинальний","Сезонний","Стратегічний"},0),0.12,0.145,0.19,0.18,0.22)</f>
        <v/>
      </c>
      <c r="AN432" s="157">
        <f>CHOOSE(MATCH(IF($U432="","Основний",$U432),{"Трафіковий","Основний","Маржинальний","Сезонний","Стратегічний"},0),Settings!$B$78,Settings!$B$80,Settings!$B$82,Settings!$B$84,Settings!$B$86)</f>
        <v/>
      </c>
      <c r="AO432" s="157">
        <f>CHOOSE(MATCH(IF($U432="","Основний",$U432),{"Трафіковий","Основний","Маржинальний","Сезонний","Стратегічний"},0),Settings!$C$78,Settings!$C$80,Settings!$C$82,Settings!$C$84,Settings!$C$86)</f>
        <v/>
      </c>
      <c r="AP432" s="157">
        <f>CHOOSE(MATCH(IF($U432="","Основний",$U432),{"Трафіковий","Основний","Маржинальний","Сезонний","Стратегічний"},0),Settings!$D$78,Settings!$D$80,Settings!$D$82,Settings!$D$84,Settings!$D$86)</f>
        <v/>
      </c>
      <c r="AQ432" s="157">
        <f>CHOOSE(MATCH(IF($U432="","Основний",$U432),{"Трафіковий","Основний","Маржинальний","Сезонний","Стратегічний"},0),Settings!$F$78,Settings!$F$80,Settings!$F$82,Settings!$F$84,Settings!$F$86)</f>
        <v/>
      </c>
      <c r="AR432" s="157">
        <f>CHOOSE(MATCH(IF($U432="","Основний",$U432),{"Трафіковий","Основний","Маржинальний","Сезонний","Стратегічний"},0),Settings!$G$78,Settings!$G$80,Settings!$G$82,Settings!$G$84,Settings!$G$86)</f>
        <v/>
      </c>
      <c r="AS432" s="157">
        <f>CHOOSE(MATCH(IF($U432="","Основний",$U432),{"Трафіковий","Основний","Маржинальний","Сезонний","Стратегічний"},0),Settings!$H$78,Settings!$H$80,Settings!$H$82,Settings!$H$84,Settings!$H$86)</f>
        <v/>
      </c>
      <c r="AT432" s="157">
        <f>CHOOSE(MATCH(IF($U432="","Основний",$U432),{"Трафіковий","Основний","Маржинальний","Сезонний","Стратегічний"},0),Settings!$I$78,Settings!$I$80,Settings!$I$82,Settings!$I$84,Settings!$I$86)</f>
        <v/>
      </c>
      <c r="AU432" s="171" t="n"/>
      <c r="AV432" t="n">
        <v>1.35</v>
      </c>
    </row>
    <row r="433">
      <c r="A433" s="33" t="inlineStr">
        <is>
          <t>NEW</t>
        </is>
      </c>
      <c r="B433" s="34" t="inlineStr">
        <is>
          <t>PW56001</t>
        </is>
      </c>
      <c r="C433" s="34" t="inlineStr">
        <is>
          <t>WATERING TIMER PW56001</t>
        </is>
      </c>
      <c r="D433" s="34" t="inlineStr">
        <is>
          <t>Таймери поливу</t>
        </is>
      </c>
      <c r="E433" s="33" t="inlineStr">
        <is>
          <t>PC</t>
        </is>
      </c>
      <c r="F433" s="94" t="n">
        <v>11.831</v>
      </c>
      <c r="G433" s="35" t="n">
        <v>8536909500</v>
      </c>
      <c r="H433" s="31" t="n">
        <v>1.3</v>
      </c>
      <c r="I433" s="84">
        <f>IFERROR(F433*Settings!$B$2*H433*IF(AND(ISNUMBER(E433),E433&gt;1),E433,1),"")</f>
        <v/>
      </c>
      <c r="J433" s="32">
        <f>Settings!$B$66</f>
        <v/>
      </c>
      <c r="K433" s="95">
        <f>IFERROR(IF(T433="","",(T433*(1-AN433)*(1-Settings!$B$17)-I433)/(T433*(1-AN433)*(1-Settings!$B$17))),"")</f>
        <v/>
      </c>
      <c r="L433" s="101">
        <f>IFERROR(IF(T433="","",(T433*(1-AO433)*(1-Settings!$C$17)-I433)/(T433*(1-AO433)*(1-Settings!$C$17))),"")</f>
        <v/>
      </c>
      <c r="M433" s="101">
        <f>IFERROR(IF(T433="","",(T433*(1-AP433)*(1-Settings!$D$17)-I433)/(T433*(1-AP433)*(1-Settings!$D$17))),"")</f>
        <v/>
      </c>
      <c r="N433" s="101">
        <f>IFERROR(IF(T433="","",(T433*(1-AQ433)*(1-Settings!$F$17)-I433)/(T433*(1-AQ433)*(1-Settings!$F$17))),"")</f>
        <v/>
      </c>
      <c r="O433" s="101">
        <f>IFERROR(IF(T433="","",(T433*(1-AR433)*(1-Settings!$G$17)-I433)/(T433*(1-AR433)*(1-Settings!$G$17))),"")</f>
        <v/>
      </c>
      <c r="P433" s="101">
        <f>IFERROR(IF(T433="","",(T433*(1-AS433)*(1-Settings!$H$17)-I433)/(T433*(1-AS433)*(1-Settings!$H$17))),"")</f>
        <v/>
      </c>
      <c r="Q433" s="101">
        <f>IFERROR(IF(T433="","",(T433*(1-AT433)*(1-Settings!$I$68)*(1-Settings!$I$17)-I433)/(T433*(1-AT433)*(1-Settings!$I$68)*(1-Settings!$I$17))),"")</f>
        <v/>
      </c>
      <c r="R433" s="91">
        <f>IFERROR(IF(OR(I433="",Z433&gt;=1,Settings!$B$17&gt;=1,AN433&gt;=1),"",IF(MOD(ROUND(I433/(1-Z433)/(1-Settings!$B$17)/(1-AN433),0),10)=0,ROUND(I433/(1-Z433)/(1-Settings!$B$17)/(1-AN433),0)-1,IF(MOD(ROUND(I433/(1-Z433)/(1-Settings!$B$17)/(1-AN433),0),10)&lt;=5,FLOOR(ROUND(I433/(1-Z433)/(1-Settings!$B$17)/(1-AN433),0),10)+6,FLOOR(ROUND(I433/(1-Z433)/(1-Settings!$B$17)/(1-AN433),0),10)+9))),"")</f>
        <v/>
      </c>
      <c r="S433" s="174">
        <f>R433*0.95</f>
        <v/>
      </c>
      <c r="T433" s="91">
        <f>IF(S433&lt;&gt;"", IF(MOD(S433,10)=0,S433-1,IF(MOD(S433,10)&lt;=5,FLOOR(S433,10)+6,FLOOR(S433,10)+9)), R433)</f>
        <v/>
      </c>
      <c r="U433" s="87" t="inlineStr">
        <is>
          <t>Основний</t>
        </is>
      </c>
      <c r="V433" s="88" t="n"/>
      <c r="W433" s="88" t="n"/>
      <c r="X433" s="89">
        <f>IFERROR(IF(OR(V433="",W433="",T433=""),"", IF(T433&gt;W433,"Дорогий",IF(T433&lt;V433,"Дешевий","У ринку"))),"")</f>
        <v/>
      </c>
      <c r="Y433" s="90" t="n"/>
      <c r="Z433" s="104">
        <f>CHOOSE(MATCH(IF($U433="","Основний",$U433),{"Трафіковий","Основний","Маржинальний","Сезонний","Стратегічний"},0),0.16,0.19,0.24,0.23,0.28)</f>
        <v/>
      </c>
      <c r="AA433" s="104">
        <f>CHOOSE(MATCH(IF($U433="","Основний",$U433),{"Трафіковий","Основний","Маржинальний","Сезонний","Стратегічний"},0),0.18,0.21,0.26,0.25,0.3)</f>
        <v/>
      </c>
      <c r="AB433" s="104">
        <f>CHOOSE(MATCH(IF($U433="","Основний",$U433),{"Трафіковий","Основний","Маржинальний","Сезонний","Стратегічний"},0),0.19,0.22,0.28,0.26,0.32)</f>
        <v/>
      </c>
      <c r="AC433" s="104">
        <f>CHOOSE(MATCH(IF($U433="","Основний",$U433),{"Трафіковий","Основний","Маржинальний","Сезонний","Стратегічний"},0),0.17,0.2,0.25,0.24,0.28)</f>
        <v/>
      </c>
      <c r="AD433" s="104">
        <f>CHOOSE(MATCH(IF($U433="","Основний",$U433),{"Трафіковий","Основний","Маржинальний","Сезонний","Стратегічний"},0),0.18,0.21,0.26,0.25,0.3)</f>
        <v/>
      </c>
      <c r="AE433" s="104">
        <f>CHOOSE(MATCH(IF($U433="","Основний",$U433),{"Трафіковий","Основний","Маржинальний","Сезонний","Стратегічний"},0),0.18,0.2,0.28,0.27,0.32)</f>
        <v/>
      </c>
      <c r="AF433" s="104">
        <f>CHOOSE(MATCH(IF($U433="","Основний",$U433),{"Трафіковий","Основний","Маржинальний","Сезонний","Стратегічний"},0),0.15,0.175,0.22,0.21,0.25)</f>
        <v/>
      </c>
      <c r="AG433" s="104">
        <f>CHOOSE(MATCH(IF($U433="","Основний",$U433),{"Трафіковий","Основний","Маржинальний","Сезонний","Стратегічний"},0),0.13,0.16,0.21,0.2,0.25)</f>
        <v/>
      </c>
      <c r="AH433" s="104">
        <f>CHOOSE(MATCH(IF($U433="","Основний",$U433),{"Трафіковий","Основний","Маржинальний","Сезонний","Стратегічний"},0),0.15,0.18,0.23,0.22,0.27)</f>
        <v/>
      </c>
      <c r="AI433" s="104">
        <f>CHOOSE(MATCH(IF($U433="","Основний",$U433),{"Трафіковий","Основний","Маржинальний","Сезонний","Стратегічний"},0),0.16,0.19,0.25,0.23,0.29)</f>
        <v/>
      </c>
      <c r="AJ433" s="104">
        <f>CHOOSE(MATCH(IF($U433="","Основний",$U433),{"Трафіковий","Основний","Маржинальний","Сезонний","Стратегічний"},0),0.14,0.17,0.22,0.21,0.25)</f>
        <v/>
      </c>
      <c r="AK433" s="104">
        <f>CHOOSE(MATCH(IF($U433="","Основний",$U433),{"Трафіковий","Основний","Маржинальний","Сезонний","Стратегічний"},0),0.15,0.18,0.23,0.22,0.27)</f>
        <v/>
      </c>
      <c r="AL433" s="104">
        <f>CHOOSE(MATCH(IF($U433="","Основний",$U433),{"Трафіковий","Основний","Маржинальний","Сезонний","Стратегічний"},0),0.15,0.17,0.25,0.24,0.29)</f>
        <v/>
      </c>
      <c r="AM433" s="104">
        <f>CHOOSE(MATCH(IF($U433="","Основний",$U433),{"Трафіковий","Основний","Маржинальний","Сезонний","Стратегічний"},0),0.12,0.145,0.19,0.18,0.22)</f>
        <v/>
      </c>
      <c r="AN433" s="157">
        <f>CHOOSE(MATCH(IF($U433="","Основний",$U433),{"Трафіковий","Основний","Маржинальний","Сезонний","Стратегічний"},0),Settings!$B$78,Settings!$B$80,Settings!$B$82,Settings!$B$84,Settings!$B$86)</f>
        <v/>
      </c>
      <c r="AO433" s="157">
        <f>CHOOSE(MATCH(IF($U433="","Основний",$U433),{"Трафіковий","Основний","Маржинальний","Сезонний","Стратегічний"},0),Settings!$C$78,Settings!$C$80,Settings!$C$82,Settings!$C$84,Settings!$C$86)</f>
        <v/>
      </c>
      <c r="AP433" s="157">
        <f>CHOOSE(MATCH(IF($U433="","Основний",$U433),{"Трафіковий","Основний","Маржинальний","Сезонний","Стратегічний"},0),Settings!$D$78,Settings!$D$80,Settings!$D$82,Settings!$D$84,Settings!$D$86)</f>
        <v/>
      </c>
      <c r="AQ433" s="157">
        <f>CHOOSE(MATCH(IF($U433="","Основний",$U433),{"Трафіковий","Основний","Маржинальний","Сезонний","Стратегічний"},0),Settings!$F$78,Settings!$F$80,Settings!$F$82,Settings!$F$84,Settings!$F$86)</f>
        <v/>
      </c>
      <c r="AR433" s="157">
        <f>CHOOSE(MATCH(IF($U433="","Основний",$U433),{"Трафіковий","Основний","Маржинальний","Сезонний","Стратегічний"},0),Settings!$G$78,Settings!$G$80,Settings!$G$82,Settings!$G$84,Settings!$G$86)</f>
        <v/>
      </c>
      <c r="AS433" s="157">
        <f>CHOOSE(MATCH(IF($U433="","Основний",$U433),{"Трафіковий","Основний","Маржинальний","Сезонний","Стратегічний"},0),Settings!$H$78,Settings!$H$80,Settings!$H$82,Settings!$H$84,Settings!$H$86)</f>
        <v/>
      </c>
      <c r="AT433" s="157">
        <f>CHOOSE(MATCH(IF($U433="","Основний",$U433),{"Трафіковий","Основний","Маржинальний","Сезонний","Стратегічний"},0),Settings!$I$78,Settings!$I$80,Settings!$I$82,Settings!$I$84,Settings!$I$86)</f>
        <v/>
      </c>
      <c r="AU433" s="171" t="n"/>
      <c r="AV433" t="n">
        <v>1.35</v>
      </c>
    </row>
    <row r="434">
      <c r="A434" s="28" t="inlineStr">
        <is>
          <t>NEW</t>
        </is>
      </c>
      <c r="B434" s="29" t="inlineStr">
        <is>
          <t>PW56201</t>
        </is>
      </c>
      <c r="C434" s="29" t="inlineStr">
        <is>
          <t>GOSMART WATERING TIMER PW56201</t>
        </is>
      </c>
      <c r="D434" s="29" t="inlineStr">
        <is>
          <t>Таймери поливу</t>
        </is>
      </c>
      <c r="E434" s="28" t="inlineStr">
        <is>
          <t>PC</t>
        </is>
      </c>
      <c r="F434" s="93" t="n">
        <v>15.943</v>
      </c>
      <c r="G434" s="30" t="n">
        <v>8536909500</v>
      </c>
      <c r="H434" s="31" t="n">
        <v>1.3</v>
      </c>
      <c r="I434" s="84">
        <f>IFERROR(F434*Settings!$B$2*H434*IF(AND(ISNUMBER(E434),E434&gt;1),E434,1),"")</f>
        <v/>
      </c>
      <c r="J434" s="32">
        <f>Settings!$B$66</f>
        <v/>
      </c>
      <c r="K434" s="95">
        <f>IFERROR(IF(T434="","",(T434*(1-AN434)*(1-Settings!$B$17)-I434)/(T434*(1-AN434)*(1-Settings!$B$17))),"")</f>
        <v/>
      </c>
      <c r="L434" s="101">
        <f>IFERROR(IF(T434="","",(T434*(1-AO434)*(1-Settings!$C$17)-I434)/(T434*(1-AO434)*(1-Settings!$C$17))),"")</f>
        <v/>
      </c>
      <c r="M434" s="101">
        <f>IFERROR(IF(T434="","",(T434*(1-AP434)*(1-Settings!$D$17)-I434)/(T434*(1-AP434)*(1-Settings!$D$17))),"")</f>
        <v/>
      </c>
      <c r="N434" s="101">
        <f>IFERROR(IF(T434="","",(T434*(1-AQ434)*(1-Settings!$F$17)-I434)/(T434*(1-AQ434)*(1-Settings!$F$17))),"")</f>
        <v/>
      </c>
      <c r="O434" s="101">
        <f>IFERROR(IF(T434="","",(T434*(1-AR434)*(1-Settings!$G$17)-I434)/(T434*(1-AR434)*(1-Settings!$G$17))),"")</f>
        <v/>
      </c>
      <c r="P434" s="101">
        <f>IFERROR(IF(T434="","",(T434*(1-AS434)*(1-Settings!$H$17)-I434)/(T434*(1-AS434)*(1-Settings!$H$17))),"")</f>
        <v/>
      </c>
      <c r="Q434" s="101">
        <f>IFERROR(IF(T434="","",(T434*(1-AT434)*(1-Settings!$I$68)*(1-Settings!$I$17)-I434)/(T434*(1-AT434)*(1-Settings!$I$68)*(1-Settings!$I$17))),"")</f>
        <v/>
      </c>
      <c r="R434" s="91">
        <f>IFERROR(IF(OR(I434="",Z434&gt;=1,Settings!$B$17&gt;=1,AN434&gt;=1),"",IF(MOD(ROUND(I434/(1-Z434)/(1-Settings!$B$17)/(1-AN434),0),10)=0,ROUND(I434/(1-Z434)/(1-Settings!$B$17)/(1-AN434),0)-1,IF(MOD(ROUND(I434/(1-Z434)/(1-Settings!$B$17)/(1-AN434),0),10)&lt;=5,FLOOR(ROUND(I434/(1-Z434)/(1-Settings!$B$17)/(1-AN434),0),10)+6,FLOOR(ROUND(I434/(1-Z434)/(1-Settings!$B$17)/(1-AN434),0),10)+9))),"")</f>
        <v/>
      </c>
      <c r="S434" s="174">
        <f>R434*0.95</f>
        <v/>
      </c>
      <c r="T434" s="91">
        <f>IF(S434&lt;&gt;"", IF(MOD(S434,10)=0,S434-1,IF(MOD(S434,10)&lt;=5,FLOOR(S434,10)+6,FLOOR(S434,10)+9)), R434)</f>
        <v/>
      </c>
      <c r="U434" s="87" t="inlineStr">
        <is>
          <t>Основний</t>
        </is>
      </c>
      <c r="V434" s="88" t="n"/>
      <c r="W434" s="88" t="n"/>
      <c r="X434" s="89">
        <f>IFERROR(IF(OR(V434="",W434="",T434=""),"", IF(T434&gt;W434,"Дорогий",IF(T434&lt;V434,"Дешевий","У ринку"))),"")</f>
        <v/>
      </c>
      <c r="Y434" s="90" t="n"/>
      <c r="Z434" s="104">
        <f>CHOOSE(MATCH(IF($U434="","Основний",$U434),{"Трафіковий","Основний","Маржинальний","Сезонний","Стратегічний"},0),0.16,0.19,0.24,0.23,0.28)</f>
        <v/>
      </c>
      <c r="AA434" s="104">
        <f>CHOOSE(MATCH(IF($U434="","Основний",$U434),{"Трафіковий","Основний","Маржинальний","Сезонний","Стратегічний"},0),0.18,0.21,0.26,0.25,0.3)</f>
        <v/>
      </c>
      <c r="AB434" s="104">
        <f>CHOOSE(MATCH(IF($U434="","Основний",$U434),{"Трафіковий","Основний","Маржинальний","Сезонний","Стратегічний"},0),0.19,0.22,0.28,0.26,0.32)</f>
        <v/>
      </c>
      <c r="AC434" s="104">
        <f>CHOOSE(MATCH(IF($U434="","Основний",$U434),{"Трафіковий","Основний","Маржинальний","Сезонний","Стратегічний"},0),0.17,0.2,0.25,0.24,0.28)</f>
        <v/>
      </c>
      <c r="AD434" s="104">
        <f>CHOOSE(MATCH(IF($U434="","Основний",$U434),{"Трафіковий","Основний","Маржинальний","Сезонний","Стратегічний"},0),0.18,0.21,0.26,0.25,0.3)</f>
        <v/>
      </c>
      <c r="AE434" s="104">
        <f>CHOOSE(MATCH(IF($U434="","Основний",$U434),{"Трафіковий","Основний","Маржинальний","Сезонний","Стратегічний"},0),0.18,0.2,0.28,0.27,0.32)</f>
        <v/>
      </c>
      <c r="AF434" s="104">
        <f>CHOOSE(MATCH(IF($U434="","Основний",$U434),{"Трафіковий","Основний","Маржинальний","Сезонний","Стратегічний"},0),0.15,0.175,0.22,0.21,0.25)</f>
        <v/>
      </c>
      <c r="AG434" s="104">
        <f>CHOOSE(MATCH(IF($U434="","Основний",$U434),{"Трафіковий","Основний","Маржинальний","Сезонний","Стратегічний"},0),0.13,0.16,0.21,0.2,0.25)</f>
        <v/>
      </c>
      <c r="AH434" s="104">
        <f>CHOOSE(MATCH(IF($U434="","Основний",$U434),{"Трафіковий","Основний","Маржинальний","Сезонний","Стратегічний"},0),0.15,0.18,0.23,0.22,0.27)</f>
        <v/>
      </c>
      <c r="AI434" s="104">
        <f>CHOOSE(MATCH(IF($U434="","Основний",$U434),{"Трафіковий","Основний","Маржинальний","Сезонний","Стратегічний"},0),0.16,0.19,0.25,0.23,0.29)</f>
        <v/>
      </c>
      <c r="AJ434" s="104">
        <f>CHOOSE(MATCH(IF($U434="","Основний",$U434),{"Трафіковий","Основний","Маржинальний","Сезонний","Стратегічний"},0),0.14,0.17,0.22,0.21,0.25)</f>
        <v/>
      </c>
      <c r="AK434" s="104">
        <f>CHOOSE(MATCH(IF($U434="","Основний",$U434),{"Трафіковий","Основний","Маржинальний","Сезонний","Стратегічний"},0),0.15,0.18,0.23,0.22,0.27)</f>
        <v/>
      </c>
      <c r="AL434" s="104">
        <f>CHOOSE(MATCH(IF($U434="","Основний",$U434),{"Трафіковий","Основний","Маржинальний","Сезонний","Стратегічний"},0),0.15,0.17,0.25,0.24,0.29)</f>
        <v/>
      </c>
      <c r="AM434" s="104">
        <f>CHOOSE(MATCH(IF($U434="","Основний",$U434),{"Трафіковий","Основний","Маржинальний","Сезонний","Стратегічний"},0),0.12,0.145,0.19,0.18,0.22)</f>
        <v/>
      </c>
      <c r="AN434" s="157">
        <f>CHOOSE(MATCH(IF($U434="","Основний",$U434),{"Трафіковий","Основний","Маржинальний","Сезонний","Стратегічний"},0),Settings!$B$78,Settings!$B$80,Settings!$B$82,Settings!$B$84,Settings!$B$86)</f>
        <v/>
      </c>
      <c r="AO434" s="157">
        <f>CHOOSE(MATCH(IF($U434="","Основний",$U434),{"Трафіковий","Основний","Маржинальний","Сезонний","Стратегічний"},0),Settings!$C$78,Settings!$C$80,Settings!$C$82,Settings!$C$84,Settings!$C$86)</f>
        <v/>
      </c>
      <c r="AP434" s="157">
        <f>CHOOSE(MATCH(IF($U434="","Основний",$U434),{"Трафіковий","Основний","Маржинальний","Сезонний","Стратегічний"},0),Settings!$D$78,Settings!$D$80,Settings!$D$82,Settings!$D$84,Settings!$D$86)</f>
        <v/>
      </c>
      <c r="AQ434" s="157">
        <f>CHOOSE(MATCH(IF($U434="","Основний",$U434),{"Трафіковий","Основний","Маржинальний","Сезонний","Стратегічний"},0),Settings!$F$78,Settings!$F$80,Settings!$F$82,Settings!$F$84,Settings!$F$86)</f>
        <v/>
      </c>
      <c r="AR434" s="157">
        <f>CHOOSE(MATCH(IF($U434="","Основний",$U434),{"Трафіковий","Основний","Маржинальний","Сезонний","Стратегічний"},0),Settings!$G$78,Settings!$G$80,Settings!$G$82,Settings!$G$84,Settings!$G$86)</f>
        <v/>
      </c>
      <c r="AS434" s="157">
        <f>CHOOSE(MATCH(IF($U434="","Основний",$U434),{"Трафіковий","Основний","Маржинальний","Сезонний","Стратегічний"},0),Settings!$H$78,Settings!$H$80,Settings!$H$82,Settings!$H$84,Settings!$H$86)</f>
        <v/>
      </c>
      <c r="AT434" s="157">
        <f>CHOOSE(MATCH(IF($U434="","Основний",$U434),{"Трафіковий","Основний","Маржинальний","Сезонний","Стратегічний"},0),Settings!$I$78,Settings!$I$80,Settings!$I$82,Settings!$I$84,Settings!$I$86)</f>
        <v/>
      </c>
      <c r="AU434" s="171" t="n"/>
      <c r="AV434" t="n">
        <v>1.35</v>
      </c>
    </row>
    <row r="435">
      <c r="A435" s="33" t="inlineStr">
        <is>
          <t>NEW</t>
        </is>
      </c>
      <c r="B435" s="34" t="inlineStr">
        <is>
          <t>PW56202</t>
        </is>
      </c>
      <c r="C435" s="34" t="inlineStr">
        <is>
          <t>GOSMART WATERING TIMER PW56202</t>
        </is>
      </c>
      <c r="D435" s="34" t="inlineStr">
        <is>
          <t>Таймери поливу</t>
        </is>
      </c>
      <c r="E435" s="33" t="inlineStr">
        <is>
          <t>PC</t>
        </is>
      </c>
      <c r="F435" s="94" t="n">
        <v>19.415</v>
      </c>
      <c r="G435" s="35" t="n">
        <v>8536909500</v>
      </c>
      <c r="H435" s="31" t="n">
        <v>1.3</v>
      </c>
      <c r="I435" s="84">
        <f>IFERROR(F435*Settings!$B$2*H435*IF(AND(ISNUMBER(E435),E435&gt;1),E435,1),"")</f>
        <v/>
      </c>
      <c r="J435" s="32">
        <f>Settings!$B$66</f>
        <v/>
      </c>
      <c r="K435" s="95">
        <f>IFERROR(IF(T435="","",(T435*(1-AN435)*(1-Settings!$B$17)-I435)/(T435*(1-AN435)*(1-Settings!$B$17))),"")</f>
        <v/>
      </c>
      <c r="L435" s="101">
        <f>IFERROR(IF(T435="","",(T435*(1-AO435)*(1-Settings!$C$17)-I435)/(T435*(1-AO435)*(1-Settings!$C$17))),"")</f>
        <v/>
      </c>
      <c r="M435" s="101">
        <f>IFERROR(IF(T435="","",(T435*(1-AP435)*(1-Settings!$D$17)-I435)/(T435*(1-AP435)*(1-Settings!$D$17))),"")</f>
        <v/>
      </c>
      <c r="N435" s="101">
        <f>IFERROR(IF(T435="","",(T435*(1-AQ435)*(1-Settings!$F$17)-I435)/(T435*(1-AQ435)*(1-Settings!$F$17))),"")</f>
        <v/>
      </c>
      <c r="O435" s="101">
        <f>IFERROR(IF(T435="","",(T435*(1-AR435)*(1-Settings!$G$17)-I435)/(T435*(1-AR435)*(1-Settings!$G$17))),"")</f>
        <v/>
      </c>
      <c r="P435" s="101">
        <f>IFERROR(IF(T435="","",(T435*(1-AS435)*(1-Settings!$H$17)-I435)/(T435*(1-AS435)*(1-Settings!$H$17))),"")</f>
        <v/>
      </c>
      <c r="Q435" s="101">
        <f>IFERROR(IF(T435="","",(T435*(1-AT435)*(1-Settings!$I$68)*(1-Settings!$I$17)-I435)/(T435*(1-AT435)*(1-Settings!$I$68)*(1-Settings!$I$17))),"")</f>
        <v/>
      </c>
      <c r="R435" s="91">
        <f>IFERROR(IF(OR(I435="",Z435&gt;=1,Settings!$B$17&gt;=1,AN435&gt;=1),"",IF(MOD(ROUND(I435/(1-Z435)/(1-Settings!$B$17)/(1-AN435),0),10)=0,ROUND(I435/(1-Z435)/(1-Settings!$B$17)/(1-AN435),0)-1,IF(MOD(ROUND(I435/(1-Z435)/(1-Settings!$B$17)/(1-AN435),0),10)&lt;=5,FLOOR(ROUND(I435/(1-Z435)/(1-Settings!$B$17)/(1-AN435),0),10)+6,FLOOR(ROUND(I435/(1-Z435)/(1-Settings!$B$17)/(1-AN435),0),10)+9))),"")</f>
        <v/>
      </c>
      <c r="S435" s="174">
        <f>R435*0.95</f>
        <v/>
      </c>
      <c r="T435" s="91">
        <f>IF(S435&lt;&gt;"", IF(MOD(S435,10)=0,S435-1,IF(MOD(S435,10)&lt;=5,FLOOR(S435,10)+6,FLOOR(S435,10)+9)), R435)</f>
        <v/>
      </c>
      <c r="U435" s="87" t="inlineStr">
        <is>
          <t>Основний</t>
        </is>
      </c>
      <c r="V435" s="88" t="n"/>
      <c r="W435" s="88" t="n"/>
      <c r="X435" s="89">
        <f>IFERROR(IF(OR(V435="",W435="",T435=""),"", IF(T435&gt;W435,"Дорогий",IF(T435&lt;V435,"Дешевий","У ринку"))),"")</f>
        <v/>
      </c>
      <c r="Y435" s="90" t="n"/>
      <c r="Z435" s="104">
        <f>CHOOSE(MATCH(IF($U435="","Основний",$U435),{"Трафіковий","Основний","Маржинальний","Сезонний","Стратегічний"},0),0.16,0.19,0.24,0.23,0.28)</f>
        <v/>
      </c>
      <c r="AA435" s="104">
        <f>CHOOSE(MATCH(IF($U435="","Основний",$U435),{"Трафіковий","Основний","Маржинальний","Сезонний","Стратегічний"},0),0.18,0.21,0.26,0.25,0.3)</f>
        <v/>
      </c>
      <c r="AB435" s="104">
        <f>CHOOSE(MATCH(IF($U435="","Основний",$U435),{"Трафіковий","Основний","Маржинальний","Сезонний","Стратегічний"},0),0.19,0.22,0.28,0.26,0.32)</f>
        <v/>
      </c>
      <c r="AC435" s="104">
        <f>CHOOSE(MATCH(IF($U435="","Основний",$U435),{"Трафіковий","Основний","Маржинальний","Сезонний","Стратегічний"},0),0.17,0.2,0.25,0.24,0.28)</f>
        <v/>
      </c>
      <c r="AD435" s="104">
        <f>CHOOSE(MATCH(IF($U435="","Основний",$U435),{"Трафіковий","Основний","Маржинальний","Сезонний","Стратегічний"},0),0.18,0.21,0.26,0.25,0.3)</f>
        <v/>
      </c>
      <c r="AE435" s="104">
        <f>CHOOSE(MATCH(IF($U435="","Основний",$U435),{"Трафіковий","Основний","Маржинальний","Сезонний","Стратегічний"},0),0.18,0.2,0.28,0.27,0.32)</f>
        <v/>
      </c>
      <c r="AF435" s="104">
        <f>CHOOSE(MATCH(IF($U435="","Основний",$U435),{"Трафіковий","Основний","Маржинальний","Сезонний","Стратегічний"},0),0.15,0.175,0.22,0.21,0.25)</f>
        <v/>
      </c>
      <c r="AG435" s="104">
        <f>CHOOSE(MATCH(IF($U435="","Основний",$U435),{"Трафіковий","Основний","Маржинальний","Сезонний","Стратегічний"},0),0.13,0.16,0.21,0.2,0.25)</f>
        <v/>
      </c>
      <c r="AH435" s="104">
        <f>CHOOSE(MATCH(IF($U435="","Основний",$U435),{"Трафіковий","Основний","Маржинальний","Сезонний","Стратегічний"},0),0.15,0.18,0.23,0.22,0.27)</f>
        <v/>
      </c>
      <c r="AI435" s="104">
        <f>CHOOSE(MATCH(IF($U435="","Основний",$U435),{"Трафіковий","Основний","Маржинальний","Сезонний","Стратегічний"},0),0.16,0.19,0.25,0.23,0.29)</f>
        <v/>
      </c>
      <c r="AJ435" s="104">
        <f>CHOOSE(MATCH(IF($U435="","Основний",$U435),{"Трафіковий","Основний","Маржинальний","Сезонний","Стратегічний"},0),0.14,0.17,0.22,0.21,0.25)</f>
        <v/>
      </c>
      <c r="AK435" s="104">
        <f>CHOOSE(MATCH(IF($U435="","Основний",$U435),{"Трафіковий","Основний","Маржинальний","Сезонний","Стратегічний"},0),0.15,0.18,0.23,0.22,0.27)</f>
        <v/>
      </c>
      <c r="AL435" s="104">
        <f>CHOOSE(MATCH(IF($U435="","Основний",$U435),{"Трафіковий","Основний","Маржинальний","Сезонний","Стратегічний"},0),0.15,0.17,0.25,0.24,0.29)</f>
        <v/>
      </c>
      <c r="AM435" s="104">
        <f>CHOOSE(MATCH(IF($U435="","Основний",$U435),{"Трафіковий","Основний","Маржинальний","Сезонний","Стратегічний"},0),0.12,0.145,0.19,0.18,0.22)</f>
        <v/>
      </c>
      <c r="AN435" s="157">
        <f>CHOOSE(MATCH(IF($U435="","Основний",$U435),{"Трафіковий","Основний","Маржинальний","Сезонний","Стратегічний"},0),Settings!$B$78,Settings!$B$80,Settings!$B$82,Settings!$B$84,Settings!$B$86)</f>
        <v/>
      </c>
      <c r="AO435" s="157">
        <f>CHOOSE(MATCH(IF($U435="","Основний",$U435),{"Трафіковий","Основний","Маржинальний","Сезонний","Стратегічний"},0),Settings!$C$78,Settings!$C$80,Settings!$C$82,Settings!$C$84,Settings!$C$86)</f>
        <v/>
      </c>
      <c r="AP435" s="157">
        <f>CHOOSE(MATCH(IF($U435="","Основний",$U435),{"Трафіковий","Основний","Маржинальний","Сезонний","Стратегічний"},0),Settings!$D$78,Settings!$D$80,Settings!$D$82,Settings!$D$84,Settings!$D$86)</f>
        <v/>
      </c>
      <c r="AQ435" s="157">
        <f>CHOOSE(MATCH(IF($U435="","Основний",$U435),{"Трафіковий","Основний","Маржинальний","Сезонний","Стратегічний"},0),Settings!$F$78,Settings!$F$80,Settings!$F$82,Settings!$F$84,Settings!$F$86)</f>
        <v/>
      </c>
      <c r="AR435" s="157">
        <f>CHOOSE(MATCH(IF($U435="","Основний",$U435),{"Трафіковий","Основний","Маржинальний","Сезонний","Стратегічний"},0),Settings!$G$78,Settings!$G$80,Settings!$G$82,Settings!$G$84,Settings!$G$86)</f>
        <v/>
      </c>
      <c r="AS435" s="157">
        <f>CHOOSE(MATCH(IF($U435="","Основний",$U435),{"Трафіковий","Основний","Маржинальний","Сезонний","Стратегічний"},0),Settings!$H$78,Settings!$H$80,Settings!$H$82,Settings!$H$84,Settings!$H$86)</f>
        <v/>
      </c>
      <c r="AT435" s="157">
        <f>CHOOSE(MATCH(IF($U435="","Основний",$U435),{"Трафіковий","Основний","Маржинальний","Сезонний","Стратегічний"},0),Settings!$I$78,Settings!$I$80,Settings!$I$82,Settings!$I$84,Settings!$I$86)</f>
        <v/>
      </c>
      <c r="AU435" s="171" t="n"/>
      <c r="AV435" t="n">
        <v>1.35</v>
      </c>
    </row>
    <row r="436">
      <c r="A436" s="28" t="inlineStr">
        <is>
          <t>NEW</t>
        </is>
      </c>
      <c r="B436" s="29" t="inlineStr">
        <is>
          <t>P56PR1</t>
        </is>
      </c>
      <c r="C436" s="29" t="inlineStr">
        <is>
          <t>RADIATOR FAN MONO P56PR1</t>
        </is>
      </c>
      <c r="D436" s="29" t="inlineStr">
        <is>
          <t>Вентилятори для батарей опалення</t>
        </is>
      </c>
      <c r="E436" s="28" t="inlineStr">
        <is>
          <t>PC</t>
        </is>
      </c>
      <c r="F436" s="93" t="n">
        <v>26.068</v>
      </c>
      <c r="G436" s="30" t="n">
        <v>8414510090</v>
      </c>
      <c r="H436" s="31" t="n">
        <v>1.35</v>
      </c>
      <c r="I436" s="84">
        <f>IFERROR(F436*Settings!$B$2*H436*IF(AND(ISNUMBER(E436),E436&gt;1),E436,1),"")</f>
        <v/>
      </c>
      <c r="J436" s="32">
        <f>Settings!$B$66</f>
        <v/>
      </c>
      <c r="K436" s="95">
        <f>IFERROR(IF(T436="","",(T436*(1-AN436)*(1-Settings!$B$17)-I436)/(T436*(1-AN436)*(1-Settings!$B$17))),"")</f>
        <v/>
      </c>
      <c r="L436" s="101">
        <f>IFERROR(IF(T436="","",(T436*(1-AO436)*(1-Settings!$C$17)-I436)/(T436*(1-AO436)*(1-Settings!$C$17))),"")</f>
        <v/>
      </c>
      <c r="M436" s="101">
        <f>IFERROR(IF(T436="","",(T436*(1-AP436)*(1-Settings!$D$17)-I436)/(T436*(1-AP436)*(1-Settings!$D$17))),"")</f>
        <v/>
      </c>
      <c r="N436" s="101">
        <f>IFERROR(IF(T436="","",(T436*(1-AQ436)*(1-Settings!$F$17)-I436)/(T436*(1-AQ436)*(1-Settings!$F$17))),"")</f>
        <v/>
      </c>
      <c r="O436" s="101">
        <f>IFERROR(IF(T436="","",(T436*(1-AR436)*(1-Settings!$G$17)-I436)/(T436*(1-AR436)*(1-Settings!$G$17))),"")</f>
        <v/>
      </c>
      <c r="P436" s="101">
        <f>IFERROR(IF(T436="","",(T436*(1-AS436)*(1-Settings!$H$17)-I436)/(T436*(1-AS436)*(1-Settings!$H$17))),"")</f>
        <v/>
      </c>
      <c r="Q436" s="101">
        <f>IFERROR(IF(T436="","",(T436*(1-AT436)*(1-Settings!$I$68)*(1-Settings!$I$17)-I436)/(T436*(1-AT436)*(1-Settings!$I$68)*(1-Settings!$I$17))),"")</f>
        <v/>
      </c>
      <c r="R436" s="91">
        <f>IFERROR(IF(OR(I436="",Z436&gt;=1,Settings!$B$17&gt;=1,AN436&gt;=1),"",IF(MOD(ROUND(I436/(1-Z436)/(1-Settings!$B$17)/(1-AN436),0),10)=0,ROUND(I436/(1-Z436)/(1-Settings!$B$17)/(1-AN436),0)-1,IF(MOD(ROUND(I436/(1-Z436)/(1-Settings!$B$17)/(1-AN436),0),10)&lt;=5,FLOOR(ROUND(I436/(1-Z436)/(1-Settings!$B$17)/(1-AN436),0),10)+6,FLOOR(ROUND(I436/(1-Z436)/(1-Settings!$B$17)/(1-AN436),0),10)+9))),"")</f>
        <v/>
      </c>
      <c r="S436" s="174">
        <f>R436*0.95</f>
        <v/>
      </c>
      <c r="T436" s="91">
        <f>IF(S436&lt;&gt;"", IF(MOD(S436,10)=0,S436-1,IF(MOD(S436,10)&lt;=5,FLOOR(S436,10)+6,FLOOR(S436,10)+9)), R436)</f>
        <v/>
      </c>
      <c r="U436" s="87" t="inlineStr">
        <is>
          <t>Основний</t>
        </is>
      </c>
      <c r="V436" s="88" t="n"/>
      <c r="W436" s="88" t="n"/>
      <c r="X436" s="89">
        <f>IFERROR(IF(OR(V436="",W436="",T436=""),"", IF(T436&gt;W436,"Дорогий",IF(T436&lt;V436,"Дешевий","У ринку"))),"")</f>
        <v/>
      </c>
      <c r="Y436" s="90" t="n"/>
      <c r="Z436" s="104">
        <f>CHOOSE(MATCH(IF($U436="","Основний",$U436),{"Трафіковий","Основний","Маржинальний","Сезонний","Стратегічний"},0),0.16,0.19,0.24,0.23,0.28)</f>
        <v/>
      </c>
      <c r="AA436" s="104">
        <f>CHOOSE(MATCH(IF($U436="","Основний",$U436),{"Трафіковий","Основний","Маржинальний","Сезонний","Стратегічний"},0),0.18,0.21,0.26,0.25,0.3)</f>
        <v/>
      </c>
      <c r="AB436" s="104">
        <f>CHOOSE(MATCH(IF($U436="","Основний",$U436),{"Трафіковий","Основний","Маржинальний","Сезонний","Стратегічний"},0),0.19,0.22,0.28,0.26,0.32)</f>
        <v/>
      </c>
      <c r="AC436" s="104">
        <f>CHOOSE(MATCH(IF($U436="","Основний",$U436),{"Трафіковий","Основний","Маржинальний","Сезонний","Стратегічний"},0),0.17,0.2,0.25,0.24,0.28)</f>
        <v/>
      </c>
      <c r="AD436" s="104">
        <f>CHOOSE(MATCH(IF($U436="","Основний",$U436),{"Трафіковий","Основний","Маржинальний","Сезонний","Стратегічний"},0),0.18,0.21,0.26,0.25,0.3)</f>
        <v/>
      </c>
      <c r="AE436" s="104">
        <f>CHOOSE(MATCH(IF($U436="","Основний",$U436),{"Трафіковий","Основний","Маржинальний","Сезонний","Стратегічний"},0),0.18,0.2,0.28,0.27,0.32)</f>
        <v/>
      </c>
      <c r="AF436" s="104">
        <f>CHOOSE(MATCH(IF($U436="","Основний",$U436),{"Трафіковий","Основний","Маржинальний","Сезонний","Стратегічний"},0),0.15,0.175,0.22,0.21,0.25)</f>
        <v/>
      </c>
      <c r="AG436" s="104">
        <f>CHOOSE(MATCH(IF($U436="","Основний",$U436),{"Трафіковий","Основний","Маржинальний","Сезонний","Стратегічний"},0),0.13,0.16,0.21,0.2,0.25)</f>
        <v/>
      </c>
      <c r="AH436" s="104">
        <f>CHOOSE(MATCH(IF($U436="","Основний",$U436),{"Трафіковий","Основний","Маржинальний","Сезонний","Стратегічний"},0),0.15,0.18,0.23,0.22,0.27)</f>
        <v/>
      </c>
      <c r="AI436" s="104">
        <f>CHOOSE(MATCH(IF($U436="","Основний",$U436),{"Трафіковий","Основний","Маржинальний","Сезонний","Стратегічний"},0),0.16,0.19,0.25,0.23,0.29)</f>
        <v/>
      </c>
      <c r="AJ436" s="104">
        <f>CHOOSE(MATCH(IF($U436="","Основний",$U436),{"Трафіковий","Основний","Маржинальний","Сезонний","Стратегічний"},0),0.14,0.17,0.22,0.21,0.25)</f>
        <v/>
      </c>
      <c r="AK436" s="104">
        <f>CHOOSE(MATCH(IF($U436="","Основний",$U436),{"Трафіковий","Основний","Маржинальний","Сезонний","Стратегічний"},0),0.15,0.18,0.23,0.22,0.27)</f>
        <v/>
      </c>
      <c r="AL436" s="104">
        <f>CHOOSE(MATCH(IF($U436="","Основний",$U436),{"Трафіковий","Основний","Маржинальний","Сезонний","Стратегічний"},0),0.15,0.17,0.25,0.24,0.29)</f>
        <v/>
      </c>
      <c r="AM436" s="104">
        <f>CHOOSE(MATCH(IF($U436="","Основний",$U436),{"Трафіковий","Основний","Маржинальний","Сезонний","Стратегічний"},0),0.12,0.145,0.19,0.18,0.22)</f>
        <v/>
      </c>
      <c r="AN436" s="157">
        <f>CHOOSE(MATCH(IF($U436="","Основний",$U436),{"Трафіковий","Основний","Маржинальний","Сезонний","Стратегічний"},0),Settings!$B$78,Settings!$B$80,Settings!$B$82,Settings!$B$84,Settings!$B$86)</f>
        <v/>
      </c>
      <c r="AO436" s="157">
        <f>CHOOSE(MATCH(IF($U436="","Основний",$U436),{"Трафіковий","Основний","Маржинальний","Сезонний","Стратегічний"},0),Settings!$C$78,Settings!$C$80,Settings!$C$82,Settings!$C$84,Settings!$C$86)</f>
        <v/>
      </c>
      <c r="AP436" s="157">
        <f>CHOOSE(MATCH(IF($U436="","Основний",$U436),{"Трафіковий","Основний","Маржинальний","Сезонний","Стратегічний"},0),Settings!$D$78,Settings!$D$80,Settings!$D$82,Settings!$D$84,Settings!$D$86)</f>
        <v/>
      </c>
      <c r="AQ436" s="157">
        <f>CHOOSE(MATCH(IF($U436="","Основний",$U436),{"Трафіковий","Основний","Маржинальний","Сезонний","Стратегічний"},0),Settings!$F$78,Settings!$F$80,Settings!$F$82,Settings!$F$84,Settings!$F$86)</f>
        <v/>
      </c>
      <c r="AR436" s="157">
        <f>CHOOSE(MATCH(IF($U436="","Основний",$U436),{"Трафіковий","Основний","Маржинальний","Сезонний","Стратегічний"},0),Settings!$G$78,Settings!$G$80,Settings!$G$82,Settings!$G$84,Settings!$G$86)</f>
        <v/>
      </c>
      <c r="AS436" s="157">
        <f>CHOOSE(MATCH(IF($U436="","Основний",$U436),{"Трафіковий","Основний","Маржинальний","Сезонний","Стратегічний"},0),Settings!$H$78,Settings!$H$80,Settings!$H$82,Settings!$H$84,Settings!$H$86)</f>
        <v/>
      </c>
      <c r="AT436" s="157">
        <f>CHOOSE(MATCH(IF($U436="","Основний",$U436),{"Трафіковий","Основний","Маржинальний","Сезонний","Стратегічний"},0),Settings!$I$78,Settings!$I$80,Settings!$I$82,Settings!$I$84,Settings!$I$86)</f>
        <v/>
      </c>
      <c r="AU436" s="171" t="n"/>
      <c r="AV436" t="n">
        <v>1.3</v>
      </c>
    </row>
    <row r="437">
      <c r="A437" s="33" t="inlineStr">
        <is>
          <t>NEW</t>
        </is>
      </c>
      <c r="B437" s="34" t="inlineStr">
        <is>
          <t>P56PR2</t>
        </is>
      </c>
      <c r="C437" s="34" t="inlineStr">
        <is>
          <t>RADIATOR FAN DUO P56PR2</t>
        </is>
      </c>
      <c r="D437" s="34" t="inlineStr">
        <is>
          <t>Вентилятори для батарей опалення</t>
        </is>
      </c>
      <c r="E437" s="33" t="inlineStr">
        <is>
          <t>PC</t>
        </is>
      </c>
      <c r="F437" s="94" t="n">
        <v>41.723</v>
      </c>
      <c r="G437" s="35" t="n">
        <v>8414510090</v>
      </c>
      <c r="H437" s="31" t="n">
        <v>1.35</v>
      </c>
      <c r="I437" s="84">
        <f>IFERROR(F437*Settings!$B$2*H437*IF(AND(ISNUMBER(E437),E437&gt;1),E437,1),"")</f>
        <v/>
      </c>
      <c r="J437" s="32">
        <f>Settings!$B$66</f>
        <v/>
      </c>
      <c r="K437" s="95">
        <f>IFERROR(IF(T437="","",(T437*(1-AN437)*(1-Settings!$B$17)-I437)/(T437*(1-AN437)*(1-Settings!$B$17))),"")</f>
        <v/>
      </c>
      <c r="L437" s="101">
        <f>IFERROR(IF(T437="","",(T437*(1-AO437)*(1-Settings!$C$17)-I437)/(T437*(1-AO437)*(1-Settings!$C$17))),"")</f>
        <v/>
      </c>
      <c r="M437" s="101">
        <f>IFERROR(IF(T437="","",(T437*(1-AP437)*(1-Settings!$D$17)-I437)/(T437*(1-AP437)*(1-Settings!$D$17))),"")</f>
        <v/>
      </c>
      <c r="N437" s="101">
        <f>IFERROR(IF(T437="","",(T437*(1-AQ437)*(1-Settings!$F$17)-I437)/(T437*(1-AQ437)*(1-Settings!$F$17))),"")</f>
        <v/>
      </c>
      <c r="O437" s="101">
        <f>IFERROR(IF(T437="","",(T437*(1-AR437)*(1-Settings!$G$17)-I437)/(T437*(1-AR437)*(1-Settings!$G$17))),"")</f>
        <v/>
      </c>
      <c r="P437" s="101">
        <f>IFERROR(IF(T437="","",(T437*(1-AS437)*(1-Settings!$H$17)-I437)/(T437*(1-AS437)*(1-Settings!$H$17))),"")</f>
        <v/>
      </c>
      <c r="Q437" s="101">
        <f>IFERROR(IF(T437="","",(T437*(1-AT437)*(1-Settings!$I$68)*(1-Settings!$I$17)-I437)/(T437*(1-AT437)*(1-Settings!$I$68)*(1-Settings!$I$17))),"")</f>
        <v/>
      </c>
      <c r="R437" s="91">
        <f>IFERROR(IF(OR(I437="",Z437&gt;=1,Settings!$B$17&gt;=1,AN437&gt;=1),"",IF(MOD(ROUND(I437/(1-Z437)/(1-Settings!$B$17)/(1-AN437),0),10)=0,ROUND(I437/(1-Z437)/(1-Settings!$B$17)/(1-AN437),0)-1,IF(MOD(ROUND(I437/(1-Z437)/(1-Settings!$B$17)/(1-AN437),0),10)&lt;=5,FLOOR(ROUND(I437/(1-Z437)/(1-Settings!$B$17)/(1-AN437),0),10)+6,FLOOR(ROUND(I437/(1-Z437)/(1-Settings!$B$17)/(1-AN437),0),10)+9))),"")</f>
        <v/>
      </c>
      <c r="S437" s="174">
        <f>R437*0.95</f>
        <v/>
      </c>
      <c r="T437" s="91">
        <f>IF(S437&lt;&gt;"", IF(MOD(S437,10)=0,S437-1,IF(MOD(S437,10)&lt;=5,FLOOR(S437,10)+6,FLOOR(S437,10)+9)), R437)</f>
        <v/>
      </c>
      <c r="U437" s="87" t="inlineStr">
        <is>
          <t>Основний</t>
        </is>
      </c>
      <c r="V437" s="88" t="n"/>
      <c r="W437" s="88" t="n"/>
      <c r="X437" s="89">
        <f>IFERROR(IF(OR(V437="",W437="",T437=""),"", IF(T437&gt;W437,"Дорогий",IF(T437&lt;V437,"Дешевий","У ринку"))),"")</f>
        <v/>
      </c>
      <c r="Y437" s="90" t="n"/>
      <c r="Z437" s="104">
        <f>CHOOSE(MATCH(IF($U437="","Основний",$U437),{"Трафіковий","Основний","Маржинальний","Сезонний","Стратегічний"},0),0.16,0.19,0.24,0.23,0.28)</f>
        <v/>
      </c>
      <c r="AA437" s="104">
        <f>CHOOSE(MATCH(IF($U437="","Основний",$U437),{"Трафіковий","Основний","Маржинальний","Сезонний","Стратегічний"},0),0.18,0.21,0.26,0.25,0.3)</f>
        <v/>
      </c>
      <c r="AB437" s="104">
        <f>CHOOSE(MATCH(IF($U437="","Основний",$U437),{"Трафіковий","Основний","Маржинальний","Сезонний","Стратегічний"},0),0.19,0.22,0.28,0.26,0.32)</f>
        <v/>
      </c>
      <c r="AC437" s="104">
        <f>CHOOSE(MATCH(IF($U437="","Основний",$U437),{"Трафіковий","Основний","Маржинальний","Сезонний","Стратегічний"},0),0.17,0.2,0.25,0.24,0.28)</f>
        <v/>
      </c>
      <c r="AD437" s="104">
        <f>CHOOSE(MATCH(IF($U437="","Основний",$U437),{"Трафіковий","Основний","Маржинальний","Сезонний","Стратегічний"},0),0.18,0.21,0.26,0.25,0.3)</f>
        <v/>
      </c>
      <c r="AE437" s="104">
        <f>CHOOSE(MATCH(IF($U437="","Основний",$U437),{"Трафіковий","Основний","Маржинальний","Сезонний","Стратегічний"},0),0.18,0.2,0.28,0.27,0.32)</f>
        <v/>
      </c>
      <c r="AF437" s="104">
        <f>CHOOSE(MATCH(IF($U437="","Основний",$U437),{"Трафіковий","Основний","Маржинальний","Сезонний","Стратегічний"},0),0.15,0.175,0.22,0.21,0.25)</f>
        <v/>
      </c>
      <c r="AG437" s="104">
        <f>CHOOSE(MATCH(IF($U437="","Основний",$U437),{"Трафіковий","Основний","Маржинальний","Сезонний","Стратегічний"},0),0.13,0.16,0.21,0.2,0.25)</f>
        <v/>
      </c>
      <c r="AH437" s="104">
        <f>CHOOSE(MATCH(IF($U437="","Основний",$U437),{"Трафіковий","Основний","Маржинальний","Сезонний","Стратегічний"},0),0.15,0.18,0.23,0.22,0.27)</f>
        <v/>
      </c>
      <c r="AI437" s="104">
        <f>CHOOSE(MATCH(IF($U437="","Основний",$U437),{"Трафіковий","Основний","Маржинальний","Сезонний","Стратегічний"},0),0.16,0.19,0.25,0.23,0.29)</f>
        <v/>
      </c>
      <c r="AJ437" s="104">
        <f>CHOOSE(MATCH(IF($U437="","Основний",$U437),{"Трафіковий","Основний","Маржинальний","Сезонний","Стратегічний"},0),0.14,0.17,0.22,0.21,0.25)</f>
        <v/>
      </c>
      <c r="AK437" s="104">
        <f>CHOOSE(MATCH(IF($U437="","Основний",$U437),{"Трафіковий","Основний","Маржинальний","Сезонний","Стратегічний"},0),0.15,0.18,0.23,0.22,0.27)</f>
        <v/>
      </c>
      <c r="AL437" s="104">
        <f>CHOOSE(MATCH(IF($U437="","Основний",$U437),{"Трафіковий","Основний","Маржинальний","Сезонний","Стратегічний"},0),0.15,0.17,0.25,0.24,0.29)</f>
        <v/>
      </c>
      <c r="AM437" s="104">
        <f>CHOOSE(MATCH(IF($U437="","Основний",$U437),{"Трафіковий","Основний","Маржинальний","Сезонний","Стратегічний"},0),0.12,0.145,0.19,0.18,0.22)</f>
        <v/>
      </c>
      <c r="AN437" s="157">
        <f>CHOOSE(MATCH(IF($U437="","Основний",$U437),{"Трафіковий","Основний","Маржинальний","Сезонний","Стратегічний"},0),Settings!$B$78,Settings!$B$80,Settings!$B$82,Settings!$B$84,Settings!$B$86)</f>
        <v/>
      </c>
      <c r="AO437" s="157">
        <f>CHOOSE(MATCH(IF($U437="","Основний",$U437),{"Трафіковий","Основний","Маржинальний","Сезонний","Стратегічний"},0),Settings!$C$78,Settings!$C$80,Settings!$C$82,Settings!$C$84,Settings!$C$86)</f>
        <v/>
      </c>
      <c r="AP437" s="157">
        <f>CHOOSE(MATCH(IF($U437="","Основний",$U437),{"Трафіковий","Основний","Маржинальний","Сезонний","Стратегічний"},0),Settings!$D$78,Settings!$D$80,Settings!$D$82,Settings!$D$84,Settings!$D$86)</f>
        <v/>
      </c>
      <c r="AQ437" s="157">
        <f>CHOOSE(MATCH(IF($U437="","Основний",$U437),{"Трафіковий","Основний","Маржинальний","Сезонний","Стратегічний"},0),Settings!$F$78,Settings!$F$80,Settings!$F$82,Settings!$F$84,Settings!$F$86)</f>
        <v/>
      </c>
      <c r="AR437" s="157">
        <f>CHOOSE(MATCH(IF($U437="","Основний",$U437),{"Трафіковий","Основний","Маржинальний","Сезонний","Стратегічний"},0),Settings!$G$78,Settings!$G$80,Settings!$G$82,Settings!$G$84,Settings!$G$86)</f>
        <v/>
      </c>
      <c r="AS437" s="157">
        <f>CHOOSE(MATCH(IF($U437="","Основний",$U437),{"Трафіковий","Основний","Маржинальний","Сезонний","Стратегічний"},0),Settings!$H$78,Settings!$H$80,Settings!$H$82,Settings!$H$84,Settings!$H$86)</f>
        <v/>
      </c>
      <c r="AT437" s="157">
        <f>CHOOSE(MATCH(IF($U437="","Основний",$U437),{"Трафіковий","Основний","Маржинальний","Сезонний","Стратегічний"},0),Settings!$I$78,Settings!$I$80,Settings!$I$82,Settings!$I$84,Settings!$I$86)</f>
        <v/>
      </c>
      <c r="AU437" s="171" t="n"/>
      <c r="AV437" t="n">
        <v>1.3</v>
      </c>
    </row>
    <row r="438">
      <c r="A438" s="28" t="inlineStr">
        <is>
          <t>NEW</t>
        </is>
      </c>
      <c r="B438" s="29" t="inlineStr">
        <is>
          <t>P56PR3</t>
        </is>
      </c>
      <c r="C438" s="29" t="inlineStr">
        <is>
          <t>RADIATOR FAN TRIO P56PR3</t>
        </is>
      </c>
      <c r="D438" s="29" t="inlineStr">
        <is>
          <t>Вентилятори для батарей опалення</t>
        </is>
      </c>
      <c r="E438" s="28" t="inlineStr">
        <is>
          <t>PC</t>
        </is>
      </c>
      <c r="F438" s="93" t="n">
        <v>57.449</v>
      </c>
      <c r="G438" s="30" t="n">
        <v>8414510090</v>
      </c>
      <c r="H438" s="31" t="n">
        <v>1.35</v>
      </c>
      <c r="I438" s="84">
        <f>IFERROR(F438*Settings!$B$2*H438*IF(AND(ISNUMBER(E438),E438&gt;1),E438,1),"")</f>
        <v/>
      </c>
      <c r="J438" s="32">
        <f>Settings!$B$66</f>
        <v/>
      </c>
      <c r="K438" s="95">
        <f>IFERROR(IF(T438="","",(T438*(1-AN438)*(1-Settings!$B$17)-I438)/(T438*(1-AN438)*(1-Settings!$B$17))),"")</f>
        <v/>
      </c>
      <c r="L438" s="101">
        <f>IFERROR(IF(T438="","",(T438*(1-AO438)*(1-Settings!$C$17)-I438)/(T438*(1-AO438)*(1-Settings!$C$17))),"")</f>
        <v/>
      </c>
      <c r="M438" s="101">
        <f>IFERROR(IF(T438="","",(T438*(1-AP438)*(1-Settings!$D$17)-I438)/(T438*(1-AP438)*(1-Settings!$D$17))),"")</f>
        <v/>
      </c>
      <c r="N438" s="101">
        <f>IFERROR(IF(T438="","",(T438*(1-AQ438)*(1-Settings!$F$17)-I438)/(T438*(1-AQ438)*(1-Settings!$F$17))),"")</f>
        <v/>
      </c>
      <c r="O438" s="101">
        <f>IFERROR(IF(T438="","",(T438*(1-AR438)*(1-Settings!$G$17)-I438)/(T438*(1-AR438)*(1-Settings!$G$17))),"")</f>
        <v/>
      </c>
      <c r="P438" s="101">
        <f>IFERROR(IF(T438="","",(T438*(1-AS438)*(1-Settings!$H$17)-I438)/(T438*(1-AS438)*(1-Settings!$H$17))),"")</f>
        <v/>
      </c>
      <c r="Q438" s="101">
        <f>IFERROR(IF(T438="","",(T438*(1-AT438)*(1-Settings!$I$68)*(1-Settings!$I$17)-I438)/(T438*(1-AT438)*(1-Settings!$I$68)*(1-Settings!$I$17))),"")</f>
        <v/>
      </c>
      <c r="R438" s="91">
        <f>IFERROR(IF(OR(I438="",Z438&gt;=1,Settings!$B$17&gt;=1,AN438&gt;=1),"",IF(MOD(ROUND(I438/(1-Z438)/(1-Settings!$B$17)/(1-AN438),0),10)=0,ROUND(I438/(1-Z438)/(1-Settings!$B$17)/(1-AN438),0)-1,IF(MOD(ROUND(I438/(1-Z438)/(1-Settings!$B$17)/(1-AN438),0),10)&lt;=5,FLOOR(ROUND(I438/(1-Z438)/(1-Settings!$B$17)/(1-AN438),0),10)+6,FLOOR(ROUND(I438/(1-Z438)/(1-Settings!$B$17)/(1-AN438),0),10)+9))),"")</f>
        <v/>
      </c>
      <c r="S438" s="174">
        <f>R438*0.95</f>
        <v/>
      </c>
      <c r="T438" s="91">
        <f>IF(S438&lt;&gt;"", IF(MOD(S438,10)=0,S438-1,IF(MOD(S438,10)&lt;=5,FLOOR(S438,10)+6,FLOOR(S438,10)+9)), R438)</f>
        <v/>
      </c>
      <c r="U438" s="87" t="inlineStr">
        <is>
          <t>Основний</t>
        </is>
      </c>
      <c r="V438" s="88" t="n"/>
      <c r="W438" s="88" t="n"/>
      <c r="X438" s="89">
        <f>IFERROR(IF(OR(V438="",W438="",T438=""),"", IF(T438&gt;W438,"Дорогий",IF(T438&lt;V438,"Дешевий","У ринку"))),"")</f>
        <v/>
      </c>
      <c r="Y438" s="90" t="n"/>
      <c r="Z438" s="104">
        <f>CHOOSE(MATCH(IF($U438="","Основний",$U438),{"Трафіковий","Основний","Маржинальний","Сезонний","Стратегічний"},0),0.16,0.19,0.24,0.23,0.28)</f>
        <v/>
      </c>
      <c r="AA438" s="104">
        <f>CHOOSE(MATCH(IF($U438="","Основний",$U438),{"Трафіковий","Основний","Маржинальний","Сезонний","Стратегічний"},0),0.18,0.21,0.26,0.25,0.3)</f>
        <v/>
      </c>
      <c r="AB438" s="104">
        <f>CHOOSE(MATCH(IF($U438="","Основний",$U438),{"Трафіковий","Основний","Маржинальний","Сезонний","Стратегічний"},0),0.19,0.22,0.28,0.26,0.32)</f>
        <v/>
      </c>
      <c r="AC438" s="104">
        <f>CHOOSE(MATCH(IF($U438="","Основний",$U438),{"Трафіковий","Основний","Маржинальний","Сезонний","Стратегічний"},0),0.17,0.2,0.25,0.24,0.28)</f>
        <v/>
      </c>
      <c r="AD438" s="104">
        <f>CHOOSE(MATCH(IF($U438="","Основний",$U438),{"Трафіковий","Основний","Маржинальний","Сезонний","Стратегічний"},0),0.18,0.21,0.26,0.25,0.3)</f>
        <v/>
      </c>
      <c r="AE438" s="104">
        <f>CHOOSE(MATCH(IF($U438="","Основний",$U438),{"Трафіковий","Основний","Маржинальний","Сезонний","Стратегічний"},0),0.18,0.2,0.28,0.27,0.32)</f>
        <v/>
      </c>
      <c r="AF438" s="104">
        <f>CHOOSE(MATCH(IF($U438="","Основний",$U438),{"Трафіковий","Основний","Маржинальний","Сезонний","Стратегічний"},0),0.15,0.175,0.22,0.21,0.25)</f>
        <v/>
      </c>
      <c r="AG438" s="104">
        <f>CHOOSE(MATCH(IF($U438="","Основний",$U438),{"Трафіковий","Основний","Маржинальний","Сезонний","Стратегічний"},0),0.13,0.16,0.21,0.2,0.25)</f>
        <v/>
      </c>
      <c r="AH438" s="104">
        <f>CHOOSE(MATCH(IF($U438="","Основний",$U438),{"Трафіковий","Основний","Маржинальний","Сезонний","Стратегічний"},0),0.15,0.18,0.23,0.22,0.27)</f>
        <v/>
      </c>
      <c r="AI438" s="104">
        <f>CHOOSE(MATCH(IF($U438="","Основний",$U438),{"Трафіковий","Основний","Маржинальний","Сезонний","Стратегічний"},0),0.16,0.19,0.25,0.23,0.29)</f>
        <v/>
      </c>
      <c r="AJ438" s="104">
        <f>CHOOSE(MATCH(IF($U438="","Основний",$U438),{"Трафіковий","Основний","Маржинальний","Сезонний","Стратегічний"},0),0.14,0.17,0.22,0.21,0.25)</f>
        <v/>
      </c>
      <c r="AK438" s="104">
        <f>CHOOSE(MATCH(IF($U438="","Основний",$U438),{"Трафіковий","Основний","Маржинальний","Сезонний","Стратегічний"},0),0.15,0.18,0.23,0.22,0.27)</f>
        <v/>
      </c>
      <c r="AL438" s="104">
        <f>CHOOSE(MATCH(IF($U438="","Основний",$U438),{"Трафіковий","Основний","Маржинальний","Сезонний","Стратегічний"},0),0.15,0.17,0.25,0.24,0.29)</f>
        <v/>
      </c>
      <c r="AM438" s="104">
        <f>CHOOSE(MATCH(IF($U438="","Основний",$U438),{"Трафіковий","Основний","Маржинальний","Сезонний","Стратегічний"},0),0.12,0.145,0.19,0.18,0.22)</f>
        <v/>
      </c>
      <c r="AN438" s="157">
        <f>CHOOSE(MATCH(IF($U438="","Основний",$U438),{"Трафіковий","Основний","Маржинальний","Сезонний","Стратегічний"},0),Settings!$B$78,Settings!$B$80,Settings!$B$82,Settings!$B$84,Settings!$B$86)</f>
        <v/>
      </c>
      <c r="AO438" s="157">
        <f>CHOOSE(MATCH(IF($U438="","Основний",$U438),{"Трафіковий","Основний","Маржинальний","Сезонний","Стратегічний"},0),Settings!$C$78,Settings!$C$80,Settings!$C$82,Settings!$C$84,Settings!$C$86)</f>
        <v/>
      </c>
      <c r="AP438" s="157">
        <f>CHOOSE(MATCH(IF($U438="","Основний",$U438),{"Трафіковий","Основний","Маржинальний","Сезонний","Стратегічний"},0),Settings!$D$78,Settings!$D$80,Settings!$D$82,Settings!$D$84,Settings!$D$86)</f>
        <v/>
      </c>
      <c r="AQ438" s="157">
        <f>CHOOSE(MATCH(IF($U438="","Основний",$U438),{"Трафіковий","Основний","Маржинальний","Сезонний","Стратегічний"},0),Settings!$F$78,Settings!$F$80,Settings!$F$82,Settings!$F$84,Settings!$F$86)</f>
        <v/>
      </c>
      <c r="AR438" s="157">
        <f>CHOOSE(MATCH(IF($U438="","Основний",$U438),{"Трафіковий","Основний","Маржинальний","Сезонний","Стратегічний"},0),Settings!$G$78,Settings!$G$80,Settings!$G$82,Settings!$G$84,Settings!$G$86)</f>
        <v/>
      </c>
      <c r="AS438" s="157">
        <f>CHOOSE(MATCH(IF($U438="","Основний",$U438),{"Трафіковий","Основний","Маржинальний","Сезонний","Стратегічний"},0),Settings!$H$78,Settings!$H$80,Settings!$H$82,Settings!$H$84,Settings!$H$86)</f>
        <v/>
      </c>
      <c r="AT438" s="157">
        <f>CHOOSE(MATCH(IF($U438="","Основний",$U438),{"Трафіковий","Основний","Маржинальний","Сезонний","Стратегічний"},0),Settings!$I$78,Settings!$I$80,Settings!$I$82,Settings!$I$84,Settings!$I$86)</f>
        <v/>
      </c>
      <c r="AU438" s="171" t="n"/>
      <c r="AV438" t="n">
        <v>1.3</v>
      </c>
    </row>
    <row r="439">
      <c r="A439" s="33" t="inlineStr">
        <is>
          <t>NEW</t>
        </is>
      </c>
      <c r="B439" s="34" t="inlineStr">
        <is>
          <t>P56EXT1</t>
        </is>
      </c>
      <c r="C439" s="34" t="inlineStr">
        <is>
          <t>RADIATOR FAN EXTENSION UNIT P56EXT1</t>
        </is>
      </c>
      <c r="D439" s="34" t="inlineStr">
        <is>
          <t>Вентилятори для батарей опалення</t>
        </is>
      </c>
      <c r="E439" s="33" t="inlineStr">
        <is>
          <t>PC</t>
        </is>
      </c>
      <c r="F439" s="94" t="n">
        <v>17.839</v>
      </c>
      <c r="G439" s="35" t="n">
        <v>8414510090</v>
      </c>
      <c r="H439" s="31" t="n">
        <v>1.35</v>
      </c>
      <c r="I439" s="84">
        <f>IFERROR(F439*Settings!$B$2*H439*IF(AND(ISNUMBER(E439),E439&gt;1),E439,1),"")</f>
        <v/>
      </c>
      <c r="J439" s="32">
        <f>Settings!$B$66</f>
        <v/>
      </c>
      <c r="K439" s="95">
        <f>IFERROR(IF(T439="","",(T439*(1-AN439)*(1-Settings!$B$17)-I439)/(T439*(1-AN439)*(1-Settings!$B$17))),"")</f>
        <v/>
      </c>
      <c r="L439" s="101">
        <f>IFERROR(IF(T439="","",(T439*(1-AO439)*(1-Settings!$C$17)-I439)/(T439*(1-AO439)*(1-Settings!$C$17))),"")</f>
        <v/>
      </c>
      <c r="M439" s="101">
        <f>IFERROR(IF(T439="","",(T439*(1-AP439)*(1-Settings!$D$17)-I439)/(T439*(1-AP439)*(1-Settings!$D$17))),"")</f>
        <v/>
      </c>
      <c r="N439" s="101">
        <f>IFERROR(IF(T439="","",(T439*(1-AQ439)*(1-Settings!$F$17)-I439)/(T439*(1-AQ439)*(1-Settings!$F$17))),"")</f>
        <v/>
      </c>
      <c r="O439" s="101">
        <f>IFERROR(IF(T439="","",(T439*(1-AR439)*(1-Settings!$G$17)-I439)/(T439*(1-AR439)*(1-Settings!$G$17))),"")</f>
        <v/>
      </c>
      <c r="P439" s="101">
        <f>IFERROR(IF(T439="","",(T439*(1-AS439)*(1-Settings!$H$17)-I439)/(T439*(1-AS439)*(1-Settings!$H$17))),"")</f>
        <v/>
      </c>
      <c r="Q439" s="101">
        <f>IFERROR(IF(T439="","",(T439*(1-AT439)*(1-Settings!$I$68)*(1-Settings!$I$17)-I439)/(T439*(1-AT439)*(1-Settings!$I$68)*(1-Settings!$I$17))),"")</f>
        <v/>
      </c>
      <c r="R439" s="91">
        <f>IFERROR(IF(OR(I439="",Z439&gt;=1,Settings!$B$17&gt;=1,AN439&gt;=1),"",IF(MOD(ROUND(I439/(1-Z439)/(1-Settings!$B$17)/(1-AN439),0),10)=0,ROUND(I439/(1-Z439)/(1-Settings!$B$17)/(1-AN439),0)-1,IF(MOD(ROUND(I439/(1-Z439)/(1-Settings!$B$17)/(1-AN439),0),10)&lt;=5,FLOOR(ROUND(I439/(1-Z439)/(1-Settings!$B$17)/(1-AN439),0),10)+6,FLOOR(ROUND(I439/(1-Z439)/(1-Settings!$B$17)/(1-AN439),0),10)+9))),"")</f>
        <v/>
      </c>
      <c r="S439" s="174">
        <f>R439*0.95</f>
        <v/>
      </c>
      <c r="T439" s="91">
        <f>IF(S439&lt;&gt;"", IF(MOD(S439,10)=0,S439-1,IF(MOD(S439,10)&lt;=5,FLOOR(S439,10)+6,FLOOR(S439,10)+9)), R439)</f>
        <v/>
      </c>
      <c r="U439" s="87" t="inlineStr">
        <is>
          <t>Основний</t>
        </is>
      </c>
      <c r="V439" s="88" t="n"/>
      <c r="W439" s="88" t="n"/>
      <c r="X439" s="89">
        <f>IFERROR(IF(OR(V439="",W439="",T439=""),"", IF(T439&gt;W439,"Дорогий",IF(T439&lt;V439,"Дешевий","У ринку"))),"")</f>
        <v/>
      </c>
      <c r="Y439" s="90" t="n"/>
      <c r="Z439" s="104">
        <f>CHOOSE(MATCH(IF($U439="","Основний",$U439),{"Трафіковий","Основний","Маржинальний","Сезонний","Стратегічний"},0),0.16,0.19,0.24,0.23,0.28)</f>
        <v/>
      </c>
      <c r="AA439" s="104">
        <f>CHOOSE(MATCH(IF($U439="","Основний",$U439),{"Трафіковий","Основний","Маржинальний","Сезонний","Стратегічний"},0),0.18,0.21,0.26,0.25,0.3)</f>
        <v/>
      </c>
      <c r="AB439" s="104">
        <f>CHOOSE(MATCH(IF($U439="","Основний",$U439),{"Трафіковий","Основний","Маржинальний","Сезонний","Стратегічний"},0),0.19,0.22,0.28,0.26,0.32)</f>
        <v/>
      </c>
      <c r="AC439" s="104">
        <f>CHOOSE(MATCH(IF($U439="","Основний",$U439),{"Трафіковий","Основний","Маржинальний","Сезонний","Стратегічний"},0),0.17,0.2,0.25,0.24,0.28)</f>
        <v/>
      </c>
      <c r="AD439" s="104">
        <f>CHOOSE(MATCH(IF($U439="","Основний",$U439),{"Трафіковий","Основний","Маржинальний","Сезонний","Стратегічний"},0),0.18,0.21,0.26,0.25,0.3)</f>
        <v/>
      </c>
      <c r="AE439" s="104">
        <f>CHOOSE(MATCH(IF($U439="","Основний",$U439),{"Трафіковий","Основний","Маржинальний","Сезонний","Стратегічний"},0),0.18,0.2,0.28,0.27,0.32)</f>
        <v/>
      </c>
      <c r="AF439" s="104">
        <f>CHOOSE(MATCH(IF($U439="","Основний",$U439),{"Трафіковий","Основний","Маржинальний","Сезонний","Стратегічний"},0),0.15,0.175,0.22,0.21,0.25)</f>
        <v/>
      </c>
      <c r="AG439" s="104">
        <f>CHOOSE(MATCH(IF($U439="","Основний",$U439),{"Трафіковий","Основний","Маржинальний","Сезонний","Стратегічний"},0),0.13,0.16,0.21,0.2,0.25)</f>
        <v/>
      </c>
      <c r="AH439" s="104">
        <f>CHOOSE(MATCH(IF($U439="","Основний",$U439),{"Трафіковий","Основний","Маржинальний","Сезонний","Стратегічний"},0),0.15,0.18,0.23,0.22,0.27)</f>
        <v/>
      </c>
      <c r="AI439" s="104">
        <f>CHOOSE(MATCH(IF($U439="","Основний",$U439),{"Трафіковий","Основний","Маржинальний","Сезонний","Стратегічний"},0),0.16,0.19,0.25,0.23,0.29)</f>
        <v/>
      </c>
      <c r="AJ439" s="104">
        <f>CHOOSE(MATCH(IF($U439="","Основний",$U439),{"Трафіковий","Основний","Маржинальний","Сезонний","Стратегічний"},0),0.14,0.17,0.22,0.21,0.25)</f>
        <v/>
      </c>
      <c r="AK439" s="104">
        <f>CHOOSE(MATCH(IF($U439="","Основний",$U439),{"Трафіковий","Основний","Маржинальний","Сезонний","Стратегічний"},0),0.15,0.18,0.23,0.22,0.27)</f>
        <v/>
      </c>
      <c r="AL439" s="104">
        <f>CHOOSE(MATCH(IF($U439="","Основний",$U439),{"Трафіковий","Основний","Маржинальний","Сезонний","Стратегічний"},0),0.15,0.17,0.25,0.24,0.29)</f>
        <v/>
      </c>
      <c r="AM439" s="104">
        <f>CHOOSE(MATCH(IF($U439="","Основний",$U439),{"Трафіковий","Основний","Маржинальний","Сезонний","Стратегічний"},0),0.12,0.145,0.19,0.18,0.22)</f>
        <v/>
      </c>
      <c r="AN439" s="157">
        <f>CHOOSE(MATCH(IF($U439="","Основний",$U439),{"Трафіковий","Основний","Маржинальний","Сезонний","Стратегічний"},0),Settings!$B$78,Settings!$B$80,Settings!$B$82,Settings!$B$84,Settings!$B$86)</f>
        <v/>
      </c>
      <c r="AO439" s="157">
        <f>CHOOSE(MATCH(IF($U439="","Основний",$U439),{"Трафіковий","Основний","Маржинальний","Сезонний","Стратегічний"},0),Settings!$C$78,Settings!$C$80,Settings!$C$82,Settings!$C$84,Settings!$C$86)</f>
        <v/>
      </c>
      <c r="AP439" s="157">
        <f>CHOOSE(MATCH(IF($U439="","Основний",$U439),{"Трафіковий","Основний","Маржинальний","Сезонний","Стратегічний"},0),Settings!$D$78,Settings!$D$80,Settings!$D$82,Settings!$D$84,Settings!$D$86)</f>
        <v/>
      </c>
      <c r="AQ439" s="157">
        <f>CHOOSE(MATCH(IF($U439="","Основний",$U439),{"Трафіковий","Основний","Маржинальний","Сезонний","Стратегічний"},0),Settings!$F$78,Settings!$F$80,Settings!$F$82,Settings!$F$84,Settings!$F$86)</f>
        <v/>
      </c>
      <c r="AR439" s="157">
        <f>CHOOSE(MATCH(IF($U439="","Основний",$U439),{"Трафіковий","Основний","Маржинальний","Сезонний","Стратегічний"},0),Settings!$G$78,Settings!$G$80,Settings!$G$82,Settings!$G$84,Settings!$G$86)</f>
        <v/>
      </c>
      <c r="AS439" s="157">
        <f>CHOOSE(MATCH(IF($U439="","Основний",$U439),{"Трафіковий","Основний","Маржинальний","Сезонний","Стратегічний"},0),Settings!$H$78,Settings!$H$80,Settings!$H$82,Settings!$H$84,Settings!$H$86)</f>
        <v/>
      </c>
      <c r="AT439" s="157">
        <f>CHOOSE(MATCH(IF($U439="","Основний",$U439),{"Трафіковий","Основний","Маржинальний","Сезонний","Стратегічний"},0),Settings!$I$78,Settings!$I$80,Settings!$I$82,Settings!$I$84,Settings!$I$86)</f>
        <v/>
      </c>
      <c r="AU439" s="171" t="n"/>
      <c r="AV439" t="n">
        <v>1.3</v>
      </c>
    </row>
    <row r="440">
      <c r="A440" s="28" t="n"/>
      <c r="B440" s="29" t="inlineStr">
        <is>
          <t>P5660SH</t>
        </is>
      </c>
      <c r="C440" s="29" t="inlineStr">
        <is>
          <t>THERMO &amp; SWITCH SOCKET P5660SH</t>
        </is>
      </c>
      <c r="D440" s="29" t="inlineStr">
        <is>
          <t>Вентилятори для батарей опалення</t>
        </is>
      </c>
      <c r="E440" s="28" t="inlineStr">
        <is>
          <t>PC</t>
        </is>
      </c>
      <c r="F440" s="93" t="n">
        <v>11.149</v>
      </c>
      <c r="G440" s="30" t="n">
        <v>9032102090</v>
      </c>
      <c r="H440" s="31" t="n">
        <v>1.3</v>
      </c>
      <c r="I440" s="84">
        <f>IFERROR(F440*Settings!$B$2*H440*IF(AND(ISNUMBER(E440),E440&gt;1),E440,1),"")</f>
        <v/>
      </c>
      <c r="J440" s="32">
        <f>Settings!$B$66</f>
        <v/>
      </c>
      <c r="K440" s="95">
        <f>IFERROR(IF(T440="","",(T440*(1-AN440)*(1-Settings!$B$17)-I440)/(T440*(1-AN440)*(1-Settings!$B$17))),"")</f>
        <v/>
      </c>
      <c r="L440" s="101">
        <f>IFERROR(IF(T440="","",(T440*(1-AO440)*(1-Settings!$C$17)-I440)/(T440*(1-AO440)*(1-Settings!$C$17))),"")</f>
        <v/>
      </c>
      <c r="M440" s="101">
        <f>IFERROR(IF(T440="","",(T440*(1-AP440)*(1-Settings!$D$17)-I440)/(T440*(1-AP440)*(1-Settings!$D$17))),"")</f>
        <v/>
      </c>
      <c r="N440" s="101">
        <f>IFERROR(IF(T440="","",(T440*(1-AQ440)*(1-Settings!$F$17)-I440)/(T440*(1-AQ440)*(1-Settings!$F$17))),"")</f>
        <v/>
      </c>
      <c r="O440" s="101">
        <f>IFERROR(IF(T440="","",(T440*(1-AR440)*(1-Settings!$G$17)-I440)/(T440*(1-AR440)*(1-Settings!$G$17))),"")</f>
        <v/>
      </c>
      <c r="P440" s="101">
        <f>IFERROR(IF(T440="","",(T440*(1-AS440)*(1-Settings!$H$17)-I440)/(T440*(1-AS440)*(1-Settings!$H$17))),"")</f>
        <v/>
      </c>
      <c r="Q440" s="101">
        <f>IFERROR(IF(T440="","",(T440*(1-AT440)*(1-Settings!$I$68)*(1-Settings!$I$17)-I440)/(T440*(1-AT440)*(1-Settings!$I$68)*(1-Settings!$I$17))),"")</f>
        <v/>
      </c>
      <c r="R440" s="91">
        <f>IFERROR(IF(OR(I440="",Z440&gt;=1,Settings!$B$17&gt;=1,AN440&gt;=1),"",IF(MOD(ROUND(I440/(1-Z440)/(1-Settings!$B$17)/(1-AN440),0),10)=0,ROUND(I440/(1-Z440)/(1-Settings!$B$17)/(1-AN440),0)-1,IF(MOD(ROUND(I440/(1-Z440)/(1-Settings!$B$17)/(1-AN440),0),10)&lt;=5,FLOOR(ROUND(I440/(1-Z440)/(1-Settings!$B$17)/(1-AN440),0),10)+6,FLOOR(ROUND(I440/(1-Z440)/(1-Settings!$B$17)/(1-AN440),0),10)+9))),"")</f>
        <v/>
      </c>
      <c r="S440" s="174">
        <f>R440*0.95</f>
        <v/>
      </c>
      <c r="T440" s="91">
        <f>IF(S440&lt;&gt;"", IF(MOD(S440,10)=0,S440-1,IF(MOD(S440,10)&lt;=5,FLOOR(S440,10)+6,FLOOR(S440,10)+9)), R440)</f>
        <v/>
      </c>
      <c r="U440" s="87" t="inlineStr">
        <is>
          <t>Основний</t>
        </is>
      </c>
      <c r="V440" s="88" t="n"/>
      <c r="W440" s="88" t="n"/>
      <c r="X440" s="89">
        <f>IFERROR(IF(OR(V440="",W440="",T440=""),"", IF(T440&gt;W440,"Дорогий",IF(T440&lt;V440,"Дешевий","У ринку"))),"")</f>
        <v/>
      </c>
      <c r="Y440" s="90" t="n"/>
      <c r="Z440" s="104">
        <f>CHOOSE(MATCH(IF($U440="","Основний",$U440),{"Трафіковий","Основний","Маржинальний","Сезонний","Стратегічний"},0),0.16,0.19,0.24,0.23,0.28)</f>
        <v/>
      </c>
      <c r="AA440" s="104">
        <f>CHOOSE(MATCH(IF($U440="","Основний",$U440),{"Трафіковий","Основний","Маржинальний","Сезонний","Стратегічний"},0),0.18,0.21,0.26,0.25,0.3)</f>
        <v/>
      </c>
      <c r="AB440" s="104">
        <f>CHOOSE(MATCH(IF($U440="","Основний",$U440),{"Трафіковий","Основний","Маржинальний","Сезонний","Стратегічний"},0),0.19,0.22,0.28,0.26,0.32)</f>
        <v/>
      </c>
      <c r="AC440" s="104">
        <f>CHOOSE(MATCH(IF($U440="","Основний",$U440),{"Трафіковий","Основний","Маржинальний","Сезонний","Стратегічний"},0),0.17,0.2,0.25,0.24,0.28)</f>
        <v/>
      </c>
      <c r="AD440" s="104">
        <f>CHOOSE(MATCH(IF($U440="","Основний",$U440),{"Трафіковий","Основний","Маржинальний","Сезонний","Стратегічний"},0),0.18,0.21,0.26,0.25,0.3)</f>
        <v/>
      </c>
      <c r="AE440" s="104">
        <f>CHOOSE(MATCH(IF($U440="","Основний",$U440),{"Трафіковий","Основний","Маржинальний","Сезонний","Стратегічний"},0),0.18,0.2,0.28,0.27,0.32)</f>
        <v/>
      </c>
      <c r="AF440" s="104">
        <f>CHOOSE(MATCH(IF($U440="","Основний",$U440),{"Трафіковий","Основний","Маржинальний","Сезонний","Стратегічний"},0),0.15,0.175,0.22,0.21,0.25)</f>
        <v/>
      </c>
      <c r="AG440" s="104">
        <f>CHOOSE(MATCH(IF($U440="","Основний",$U440),{"Трафіковий","Основний","Маржинальний","Сезонний","Стратегічний"},0),0.13,0.16,0.21,0.2,0.25)</f>
        <v/>
      </c>
      <c r="AH440" s="104">
        <f>CHOOSE(MATCH(IF($U440="","Основний",$U440),{"Трафіковий","Основний","Маржинальний","Сезонний","Стратегічний"},0),0.15,0.18,0.23,0.22,0.27)</f>
        <v/>
      </c>
      <c r="AI440" s="104">
        <f>CHOOSE(MATCH(IF($U440="","Основний",$U440),{"Трафіковий","Основний","Маржинальний","Сезонний","Стратегічний"},0),0.16,0.19,0.25,0.23,0.29)</f>
        <v/>
      </c>
      <c r="AJ440" s="104">
        <f>CHOOSE(MATCH(IF($U440="","Основний",$U440),{"Трафіковий","Основний","Маржинальний","Сезонний","Стратегічний"},0),0.14,0.17,0.22,0.21,0.25)</f>
        <v/>
      </c>
      <c r="AK440" s="104">
        <f>CHOOSE(MATCH(IF($U440="","Основний",$U440),{"Трафіковий","Основний","Маржинальний","Сезонний","Стратегічний"},0),0.15,0.18,0.23,0.22,0.27)</f>
        <v/>
      </c>
      <c r="AL440" s="104">
        <f>CHOOSE(MATCH(IF($U440="","Основний",$U440),{"Трафіковий","Основний","Маржинальний","Сезонний","Стратегічний"},0),0.15,0.17,0.25,0.24,0.29)</f>
        <v/>
      </c>
      <c r="AM440" s="104">
        <f>CHOOSE(MATCH(IF($U440="","Основний",$U440),{"Трафіковий","Основний","Маржинальний","Сезонний","Стратегічний"},0),0.12,0.145,0.19,0.18,0.22)</f>
        <v/>
      </c>
      <c r="AN440" s="157">
        <f>CHOOSE(MATCH(IF($U440="","Основний",$U440),{"Трафіковий","Основний","Маржинальний","Сезонний","Стратегічний"},0),Settings!$B$78,Settings!$B$80,Settings!$B$82,Settings!$B$84,Settings!$B$86)</f>
        <v/>
      </c>
      <c r="AO440" s="157">
        <f>CHOOSE(MATCH(IF($U440="","Основний",$U440),{"Трафіковий","Основний","Маржинальний","Сезонний","Стратегічний"},0),Settings!$C$78,Settings!$C$80,Settings!$C$82,Settings!$C$84,Settings!$C$86)</f>
        <v/>
      </c>
      <c r="AP440" s="157">
        <f>CHOOSE(MATCH(IF($U440="","Основний",$U440),{"Трафіковий","Основний","Маржинальний","Сезонний","Стратегічний"},0),Settings!$D$78,Settings!$D$80,Settings!$D$82,Settings!$D$84,Settings!$D$86)</f>
        <v/>
      </c>
      <c r="AQ440" s="157">
        <f>CHOOSE(MATCH(IF($U440="","Основний",$U440),{"Трафіковий","Основний","Маржинальний","Сезонний","Стратегічний"},0),Settings!$F$78,Settings!$F$80,Settings!$F$82,Settings!$F$84,Settings!$F$86)</f>
        <v/>
      </c>
      <c r="AR440" s="157">
        <f>CHOOSE(MATCH(IF($U440="","Основний",$U440),{"Трафіковий","Основний","Маржинальний","Сезонний","Стратегічний"},0),Settings!$G$78,Settings!$G$80,Settings!$G$82,Settings!$G$84,Settings!$G$86)</f>
        <v/>
      </c>
      <c r="AS440" s="157">
        <f>CHOOSE(MATCH(IF($U440="","Основний",$U440),{"Трафіковий","Основний","Маржинальний","Сезонний","Стратегічний"},0),Settings!$H$78,Settings!$H$80,Settings!$H$82,Settings!$H$84,Settings!$H$86)</f>
        <v/>
      </c>
      <c r="AT440" s="157">
        <f>CHOOSE(MATCH(IF($U440="","Основний",$U440),{"Трафіковий","Основний","Маржинальний","Сезонний","Стратегічний"},0),Settings!$I$78,Settings!$I$80,Settings!$I$82,Settings!$I$84,Settings!$I$86)</f>
        <v/>
      </c>
      <c r="AU440" s="171" t="n"/>
      <c r="AV440" t="n">
        <v>1.35</v>
      </c>
    </row>
    <row r="441">
      <c r="A441" s="33" t="inlineStr">
        <is>
          <t>NEW</t>
        </is>
      </c>
      <c r="B441" s="34" t="inlineStr">
        <is>
          <t>P56601SH</t>
        </is>
      </c>
      <c r="C441" s="34" t="inlineStr">
        <is>
          <t>GOSMART THERMO &amp; SWITCH SOCKET P56601SH</t>
        </is>
      </c>
      <c r="D441" s="34" t="inlineStr">
        <is>
          <t>Вентилятори для батарей опалення</t>
        </is>
      </c>
      <c r="E441" s="33" t="inlineStr">
        <is>
          <t>PC</t>
        </is>
      </c>
      <c r="F441" s="94" t="n">
        <v>20.582</v>
      </c>
      <c r="G441" s="35" t="n">
        <v>9032102090</v>
      </c>
      <c r="H441" s="31" t="n">
        <v>1.3</v>
      </c>
      <c r="I441" s="84">
        <f>IFERROR(F441*Settings!$B$2*H441*IF(AND(ISNUMBER(E441),E441&gt;1),E441,1),"")</f>
        <v/>
      </c>
      <c r="J441" s="32">
        <f>Settings!$B$66</f>
        <v/>
      </c>
      <c r="K441" s="95">
        <f>IFERROR(IF(T441="","",(T441*(1-AN441)*(1-Settings!$B$17)-I441)/(T441*(1-AN441)*(1-Settings!$B$17))),"")</f>
        <v/>
      </c>
      <c r="L441" s="101">
        <f>IFERROR(IF(T441="","",(T441*(1-AO441)*(1-Settings!$C$17)-I441)/(T441*(1-AO441)*(1-Settings!$C$17))),"")</f>
        <v/>
      </c>
      <c r="M441" s="101">
        <f>IFERROR(IF(T441="","",(T441*(1-AP441)*(1-Settings!$D$17)-I441)/(T441*(1-AP441)*(1-Settings!$D$17))),"")</f>
        <v/>
      </c>
      <c r="N441" s="101">
        <f>IFERROR(IF(T441="","",(T441*(1-AQ441)*(1-Settings!$F$17)-I441)/(T441*(1-AQ441)*(1-Settings!$F$17))),"")</f>
        <v/>
      </c>
      <c r="O441" s="101">
        <f>IFERROR(IF(T441="","",(T441*(1-AR441)*(1-Settings!$G$17)-I441)/(T441*(1-AR441)*(1-Settings!$G$17))),"")</f>
        <v/>
      </c>
      <c r="P441" s="101">
        <f>IFERROR(IF(T441="","",(T441*(1-AS441)*(1-Settings!$H$17)-I441)/(T441*(1-AS441)*(1-Settings!$H$17))),"")</f>
        <v/>
      </c>
      <c r="Q441" s="101">
        <f>IFERROR(IF(T441="","",(T441*(1-AT441)*(1-Settings!$I$68)*(1-Settings!$I$17)-I441)/(T441*(1-AT441)*(1-Settings!$I$68)*(1-Settings!$I$17))),"")</f>
        <v/>
      </c>
      <c r="R441" s="91">
        <f>IFERROR(IF(OR(I441="",Z441&gt;=1,Settings!$B$17&gt;=1,AN441&gt;=1),"",IF(MOD(ROUND(I441/(1-Z441)/(1-Settings!$B$17)/(1-AN441),0),10)=0,ROUND(I441/(1-Z441)/(1-Settings!$B$17)/(1-AN441),0)-1,IF(MOD(ROUND(I441/(1-Z441)/(1-Settings!$B$17)/(1-AN441),0),10)&lt;=5,FLOOR(ROUND(I441/(1-Z441)/(1-Settings!$B$17)/(1-AN441),0),10)+6,FLOOR(ROUND(I441/(1-Z441)/(1-Settings!$B$17)/(1-AN441),0),10)+9))),"")</f>
        <v/>
      </c>
      <c r="S441" s="174">
        <f>R441*0.95</f>
        <v/>
      </c>
      <c r="T441" s="91">
        <f>IF(S441&lt;&gt;"", IF(MOD(S441,10)=0,S441-1,IF(MOD(S441,10)&lt;=5,FLOOR(S441,10)+6,FLOOR(S441,10)+9)), R441)</f>
        <v/>
      </c>
      <c r="U441" s="87" t="inlineStr">
        <is>
          <t>Основний</t>
        </is>
      </c>
      <c r="V441" s="88" t="n"/>
      <c r="W441" s="88" t="n"/>
      <c r="X441" s="89">
        <f>IFERROR(IF(OR(V441="",W441="",T441=""),"", IF(T441&gt;W441,"Дорогий",IF(T441&lt;V441,"Дешевий","У ринку"))),"")</f>
        <v/>
      </c>
      <c r="Y441" s="90" t="n"/>
      <c r="Z441" s="104">
        <f>CHOOSE(MATCH(IF($U441="","Основний",$U441),{"Трафіковий","Основний","Маржинальний","Сезонний","Стратегічний"},0),0.16,0.19,0.24,0.23,0.28)</f>
        <v/>
      </c>
      <c r="AA441" s="104">
        <f>CHOOSE(MATCH(IF($U441="","Основний",$U441),{"Трафіковий","Основний","Маржинальний","Сезонний","Стратегічний"},0),0.18,0.21,0.26,0.25,0.3)</f>
        <v/>
      </c>
      <c r="AB441" s="104">
        <f>CHOOSE(MATCH(IF($U441="","Основний",$U441),{"Трафіковий","Основний","Маржинальний","Сезонний","Стратегічний"},0),0.19,0.22,0.28,0.26,0.32)</f>
        <v/>
      </c>
      <c r="AC441" s="104">
        <f>CHOOSE(MATCH(IF($U441="","Основний",$U441),{"Трафіковий","Основний","Маржинальний","Сезонний","Стратегічний"},0),0.17,0.2,0.25,0.24,0.28)</f>
        <v/>
      </c>
      <c r="AD441" s="104">
        <f>CHOOSE(MATCH(IF($U441="","Основний",$U441),{"Трафіковий","Основний","Маржинальний","Сезонний","Стратегічний"},0),0.18,0.21,0.26,0.25,0.3)</f>
        <v/>
      </c>
      <c r="AE441" s="104">
        <f>CHOOSE(MATCH(IF($U441="","Основний",$U441),{"Трафіковий","Основний","Маржинальний","Сезонний","Стратегічний"},0),0.18,0.2,0.28,0.27,0.32)</f>
        <v/>
      </c>
      <c r="AF441" s="104">
        <f>CHOOSE(MATCH(IF($U441="","Основний",$U441),{"Трафіковий","Основний","Маржинальний","Сезонний","Стратегічний"},0),0.15,0.175,0.22,0.21,0.25)</f>
        <v/>
      </c>
      <c r="AG441" s="104">
        <f>CHOOSE(MATCH(IF($U441="","Основний",$U441),{"Трафіковий","Основний","Маржинальний","Сезонний","Стратегічний"},0),0.13,0.16,0.21,0.2,0.25)</f>
        <v/>
      </c>
      <c r="AH441" s="104">
        <f>CHOOSE(MATCH(IF($U441="","Основний",$U441),{"Трафіковий","Основний","Маржинальний","Сезонний","Стратегічний"},0),0.15,0.18,0.23,0.22,0.27)</f>
        <v/>
      </c>
      <c r="AI441" s="104">
        <f>CHOOSE(MATCH(IF($U441="","Основний",$U441),{"Трафіковий","Основний","Маржинальний","Сезонний","Стратегічний"},0),0.16,0.19,0.25,0.23,0.29)</f>
        <v/>
      </c>
      <c r="AJ441" s="104">
        <f>CHOOSE(MATCH(IF($U441="","Основний",$U441),{"Трафіковий","Основний","Маржинальний","Сезонний","Стратегічний"},0),0.14,0.17,0.22,0.21,0.25)</f>
        <v/>
      </c>
      <c r="AK441" s="104">
        <f>CHOOSE(MATCH(IF($U441="","Основний",$U441),{"Трафіковий","Основний","Маржинальний","Сезонний","Стратегічний"},0),0.15,0.18,0.23,0.22,0.27)</f>
        <v/>
      </c>
      <c r="AL441" s="104">
        <f>CHOOSE(MATCH(IF($U441="","Основний",$U441),{"Трафіковий","Основний","Маржинальний","Сезонний","Стратегічний"},0),0.15,0.17,0.25,0.24,0.29)</f>
        <v/>
      </c>
      <c r="AM441" s="104">
        <f>CHOOSE(MATCH(IF($U441="","Основний",$U441),{"Трафіковий","Основний","Маржинальний","Сезонний","Стратегічний"},0),0.12,0.145,0.19,0.18,0.22)</f>
        <v/>
      </c>
      <c r="AN441" s="157">
        <f>CHOOSE(MATCH(IF($U441="","Основний",$U441),{"Трафіковий","Основний","Маржинальний","Сезонний","Стратегічний"},0),Settings!$B$78,Settings!$B$80,Settings!$B$82,Settings!$B$84,Settings!$B$86)</f>
        <v/>
      </c>
      <c r="AO441" s="157">
        <f>CHOOSE(MATCH(IF($U441="","Основний",$U441),{"Трафіковий","Основний","Маржинальний","Сезонний","Стратегічний"},0),Settings!$C$78,Settings!$C$80,Settings!$C$82,Settings!$C$84,Settings!$C$86)</f>
        <v/>
      </c>
      <c r="AP441" s="157">
        <f>CHOOSE(MATCH(IF($U441="","Основний",$U441),{"Трафіковий","Основний","Маржинальний","Сезонний","Стратегічний"},0),Settings!$D$78,Settings!$D$80,Settings!$D$82,Settings!$D$84,Settings!$D$86)</f>
        <v/>
      </c>
      <c r="AQ441" s="157">
        <f>CHOOSE(MATCH(IF($U441="","Основний",$U441),{"Трафіковий","Основний","Маржинальний","Сезонний","Стратегічний"},0),Settings!$F$78,Settings!$F$80,Settings!$F$82,Settings!$F$84,Settings!$F$86)</f>
        <v/>
      </c>
      <c r="AR441" s="157">
        <f>CHOOSE(MATCH(IF($U441="","Основний",$U441),{"Трафіковий","Основний","Маржинальний","Сезонний","Стратегічний"},0),Settings!$G$78,Settings!$G$80,Settings!$G$82,Settings!$G$84,Settings!$G$86)</f>
        <v/>
      </c>
      <c r="AS441" s="157">
        <f>CHOOSE(MATCH(IF($U441="","Основний",$U441),{"Трафіковий","Основний","Маржинальний","Сезонний","Стратегічний"},0),Settings!$H$78,Settings!$H$80,Settings!$H$82,Settings!$H$84,Settings!$H$86)</f>
        <v/>
      </c>
      <c r="AT441" s="157">
        <f>CHOOSE(MATCH(IF($U441="","Основний",$U441),{"Трафіковий","Основний","Маржинальний","Сезонний","Стратегічний"},0),Settings!$I$78,Settings!$I$80,Settings!$I$82,Settings!$I$84,Settings!$I$86)</f>
        <v/>
      </c>
      <c r="AU441" s="171" t="n"/>
      <c r="AV441" t="n">
        <v>1.35</v>
      </c>
    </row>
    <row r="442">
      <c r="A442" s="28" t="inlineStr">
        <is>
          <t>SELL OUT</t>
        </is>
      </c>
      <c r="B442" s="29" t="inlineStr">
        <is>
          <t>S4003</t>
        </is>
      </c>
      <c r="C442" s="29" t="inlineStr">
        <is>
          <t>TEST LEADS BB58</t>
        </is>
      </c>
      <c r="D442" s="29" t="inlineStr">
        <is>
          <t>Тестери, мультиметри</t>
        </is>
      </c>
      <c r="E442" s="28" t="inlineStr">
        <is>
          <t>PC</t>
        </is>
      </c>
      <c r="F442" s="93" t="n">
        <v>3.38</v>
      </c>
      <c r="G442" s="30" t="n">
        <v>9030900000</v>
      </c>
      <c r="H442" s="31" t="n">
        <v>1.4</v>
      </c>
      <c r="I442" s="84">
        <f>IFERROR(F442*Settings!$B$2*H442*IF(AND(ISNUMBER(E442),E442&gt;1),E442,1),"")</f>
        <v/>
      </c>
      <c r="J442" s="32">
        <f>Settings!$B$66</f>
        <v/>
      </c>
      <c r="K442" s="95">
        <f>IFERROR(IF(T442="","",(T442*(1-AN442)*(1-Settings!$B$17)-I442)/(T442*(1-AN442)*(1-Settings!$B$17))),"")</f>
        <v/>
      </c>
      <c r="L442" s="101">
        <f>IFERROR(IF(T442="","",(T442*(1-AO442)*(1-Settings!$C$17)-I442)/(T442*(1-AO442)*(1-Settings!$C$17))),"")</f>
        <v/>
      </c>
      <c r="M442" s="101">
        <f>IFERROR(IF(T442="","",(T442*(1-AP442)*(1-Settings!$D$17)-I442)/(T442*(1-AP442)*(1-Settings!$D$17))),"")</f>
        <v/>
      </c>
      <c r="N442" s="101">
        <f>IFERROR(IF(T442="","",(T442*(1-AQ442)*(1-Settings!$F$17)-I442)/(T442*(1-AQ442)*(1-Settings!$F$17))),"")</f>
        <v/>
      </c>
      <c r="O442" s="101">
        <f>IFERROR(IF(T442="","",(T442*(1-AR442)*(1-Settings!$G$17)-I442)/(T442*(1-AR442)*(1-Settings!$G$17))),"")</f>
        <v/>
      </c>
      <c r="P442" s="101">
        <f>IFERROR(IF(T442="","",(T442*(1-AS442)*(1-Settings!$H$17)-I442)/(T442*(1-AS442)*(1-Settings!$H$17))),"")</f>
        <v/>
      </c>
      <c r="Q442" s="101">
        <f>IFERROR(IF(T442="","",(T442*(1-AT442)*(1-Settings!$I$68)*(1-Settings!$I$17)-I442)/(T442*(1-AT442)*(1-Settings!$I$68)*(1-Settings!$I$17))),"")</f>
        <v/>
      </c>
      <c r="R442" s="91">
        <f>IFERROR(IF(OR(I442="",Z442&gt;=1,Settings!$B$17&gt;=1,AN442&gt;=1),"",IF(MOD(ROUND(I442/(1-Z442)/(1-Settings!$B$17)/(1-AN442),0),10)=0,ROUND(I442/(1-Z442)/(1-Settings!$B$17)/(1-AN442),0)-1,IF(MOD(ROUND(I442/(1-Z442)/(1-Settings!$B$17)/(1-AN442),0),10)&lt;=5,FLOOR(ROUND(I442/(1-Z442)/(1-Settings!$B$17)/(1-AN442),0),10)+6,FLOOR(ROUND(I442/(1-Z442)/(1-Settings!$B$17)/(1-AN442),0),10)+9))),"")</f>
        <v/>
      </c>
      <c r="S442" s="174">
        <f>R442*0.95</f>
        <v/>
      </c>
      <c r="T442" s="91">
        <f>IF(S442&lt;&gt;"", IF(MOD(S442,10)=0,S442-1,IF(MOD(S442,10)&lt;=5,FLOOR(S442,10)+6,FLOOR(S442,10)+9)), R442)</f>
        <v/>
      </c>
      <c r="U442" s="87" t="inlineStr">
        <is>
          <t>Основний</t>
        </is>
      </c>
      <c r="V442" s="88" t="n"/>
      <c r="W442" s="88" t="n"/>
      <c r="X442" s="89">
        <f>IFERROR(IF(OR(V442="",W442="",T442=""),"", IF(T442&gt;W442,"Дорогий",IF(T442&lt;V442,"Дешевий","У ринку"))),"")</f>
        <v/>
      </c>
      <c r="Y442" s="90" t="n"/>
      <c r="Z442" s="104">
        <f>CHOOSE(MATCH(IF($U442="","Основний",$U442),{"Трафіковий","Основний","Маржинальний","Сезонний","Стратегічний"},0),0.16,0.19,0.24,0.23,0.28)</f>
        <v/>
      </c>
      <c r="AA442" s="104">
        <f>CHOOSE(MATCH(IF($U442="","Основний",$U442),{"Трафіковий","Основний","Маржинальний","Сезонний","Стратегічний"},0),0.18,0.21,0.26,0.25,0.3)</f>
        <v/>
      </c>
      <c r="AB442" s="104">
        <f>CHOOSE(MATCH(IF($U442="","Основний",$U442),{"Трафіковий","Основний","Маржинальний","Сезонний","Стратегічний"},0),0.19,0.22,0.28,0.26,0.32)</f>
        <v/>
      </c>
      <c r="AC442" s="104">
        <f>CHOOSE(MATCH(IF($U442="","Основний",$U442),{"Трафіковий","Основний","Маржинальний","Сезонний","Стратегічний"},0),0.17,0.2,0.25,0.24,0.28)</f>
        <v/>
      </c>
      <c r="AD442" s="104">
        <f>CHOOSE(MATCH(IF($U442="","Основний",$U442),{"Трафіковий","Основний","Маржинальний","Сезонний","Стратегічний"},0),0.18,0.21,0.26,0.25,0.3)</f>
        <v/>
      </c>
      <c r="AE442" s="104">
        <f>CHOOSE(MATCH(IF($U442="","Основний",$U442),{"Трафіковий","Основний","Маржинальний","Сезонний","Стратегічний"},0),0.18,0.2,0.28,0.27,0.32)</f>
        <v/>
      </c>
      <c r="AF442" s="104">
        <f>CHOOSE(MATCH(IF($U442="","Основний",$U442),{"Трафіковий","Основний","Маржинальний","Сезонний","Стратегічний"},0),0.15,0.175,0.22,0.21,0.25)</f>
        <v/>
      </c>
      <c r="AG442" s="104">
        <f>CHOOSE(MATCH(IF($U442="","Основний",$U442),{"Трафіковий","Основний","Маржинальний","Сезонний","Стратегічний"},0),0.13,0.16,0.21,0.2,0.25)</f>
        <v/>
      </c>
      <c r="AH442" s="104">
        <f>CHOOSE(MATCH(IF($U442="","Основний",$U442),{"Трафіковий","Основний","Маржинальний","Сезонний","Стратегічний"},0),0.15,0.18,0.23,0.22,0.27)</f>
        <v/>
      </c>
      <c r="AI442" s="104">
        <f>CHOOSE(MATCH(IF($U442="","Основний",$U442),{"Трафіковий","Основний","Маржинальний","Сезонний","Стратегічний"},0),0.16,0.19,0.25,0.23,0.29)</f>
        <v/>
      </c>
      <c r="AJ442" s="104">
        <f>CHOOSE(MATCH(IF($U442="","Основний",$U442),{"Трафіковий","Основний","Маржинальний","Сезонний","Стратегічний"},0),0.14,0.17,0.22,0.21,0.25)</f>
        <v/>
      </c>
      <c r="AK442" s="104">
        <f>CHOOSE(MATCH(IF($U442="","Основний",$U442),{"Трафіковий","Основний","Маржинальний","Сезонний","Стратегічний"},0),0.15,0.18,0.23,0.22,0.27)</f>
        <v/>
      </c>
      <c r="AL442" s="104">
        <f>CHOOSE(MATCH(IF($U442="","Основний",$U442),{"Трафіковий","Основний","Маржинальний","Сезонний","Стратегічний"},0),0.15,0.17,0.25,0.24,0.29)</f>
        <v/>
      </c>
      <c r="AM442" s="104">
        <f>CHOOSE(MATCH(IF($U442="","Основний",$U442),{"Трафіковий","Основний","Маржинальний","Сезонний","Стратегічний"},0),0.12,0.145,0.19,0.18,0.22)</f>
        <v/>
      </c>
      <c r="AN442" s="157">
        <f>CHOOSE(MATCH(IF($U442="","Основний",$U442),{"Трафіковий","Основний","Маржинальний","Сезонний","Стратегічний"},0),Settings!$B$78,Settings!$B$80,Settings!$B$82,Settings!$B$84,Settings!$B$86)</f>
        <v/>
      </c>
      <c r="AO442" s="157">
        <f>CHOOSE(MATCH(IF($U442="","Основний",$U442),{"Трафіковий","Основний","Маржинальний","Сезонний","Стратегічний"},0),Settings!$C$78,Settings!$C$80,Settings!$C$82,Settings!$C$84,Settings!$C$86)</f>
        <v/>
      </c>
      <c r="AP442" s="157">
        <f>CHOOSE(MATCH(IF($U442="","Основний",$U442),{"Трафіковий","Основний","Маржинальний","Сезонний","Стратегічний"},0),Settings!$D$78,Settings!$D$80,Settings!$D$82,Settings!$D$84,Settings!$D$86)</f>
        <v/>
      </c>
      <c r="AQ442" s="157">
        <f>CHOOSE(MATCH(IF($U442="","Основний",$U442),{"Трафіковий","Основний","Маржинальний","Сезонний","Стратегічний"},0),Settings!$F$78,Settings!$F$80,Settings!$F$82,Settings!$F$84,Settings!$F$86)</f>
        <v/>
      </c>
      <c r="AR442" s="157">
        <f>CHOOSE(MATCH(IF($U442="","Основний",$U442),{"Трафіковий","Основний","Маржинальний","Сезонний","Стратегічний"},0),Settings!$G$78,Settings!$G$80,Settings!$G$82,Settings!$G$84,Settings!$G$86)</f>
        <v/>
      </c>
      <c r="AS442" s="157">
        <f>CHOOSE(MATCH(IF($U442="","Основний",$U442),{"Трафіковий","Основний","Маржинальний","Сезонний","Стратегічний"},0),Settings!$H$78,Settings!$H$80,Settings!$H$82,Settings!$H$84,Settings!$H$86)</f>
        <v/>
      </c>
      <c r="AT442" s="157">
        <f>CHOOSE(MATCH(IF($U442="","Основний",$U442),{"Трафіковий","Основний","Маржинальний","Сезонний","Стратегічний"},0),Settings!$I$78,Settings!$I$80,Settings!$I$82,Settings!$I$84,Settings!$I$86)</f>
        <v/>
      </c>
      <c r="AU442" s="171" t="n"/>
      <c r="AV442" t="n">
        <v>1.35</v>
      </c>
    </row>
    <row r="443">
      <c r="A443" s="33" t="inlineStr">
        <is>
          <t>SELL OUT</t>
        </is>
      </c>
      <c r="B443" s="34" t="inlineStr">
        <is>
          <t>S4001N</t>
        </is>
      </c>
      <c r="C443" s="34" t="inlineStr">
        <is>
          <t>TEST LEAD KIT S4001N</t>
        </is>
      </c>
      <c r="D443" s="34" t="inlineStr">
        <is>
          <t>Тестери, мультиметри</t>
        </is>
      </c>
      <c r="E443" s="33" t="inlineStr">
        <is>
          <t>PC</t>
        </is>
      </c>
      <c r="F443" s="94" t="n">
        <v>1.622</v>
      </c>
      <c r="G443" s="35" t="n">
        <v>9030900000</v>
      </c>
      <c r="H443" s="31" t="n">
        <v>1.4</v>
      </c>
      <c r="I443" s="84">
        <f>IFERROR(F443*Settings!$B$2*H443*IF(AND(ISNUMBER(E443),E443&gt;1),E443,1),"")</f>
        <v/>
      </c>
      <c r="J443" s="32">
        <f>Settings!$B$66</f>
        <v/>
      </c>
      <c r="K443" s="95">
        <f>IFERROR(IF(T443="","",(T443*(1-AN443)*(1-Settings!$B$17)-I443)/(T443*(1-AN443)*(1-Settings!$B$17))),"")</f>
        <v/>
      </c>
      <c r="L443" s="101">
        <f>IFERROR(IF(T443="","",(T443*(1-AO443)*(1-Settings!$C$17)-I443)/(T443*(1-AO443)*(1-Settings!$C$17))),"")</f>
        <v/>
      </c>
      <c r="M443" s="101">
        <f>IFERROR(IF(T443="","",(T443*(1-AP443)*(1-Settings!$D$17)-I443)/(T443*(1-AP443)*(1-Settings!$D$17))),"")</f>
        <v/>
      </c>
      <c r="N443" s="101">
        <f>IFERROR(IF(T443="","",(T443*(1-AQ443)*(1-Settings!$F$17)-I443)/(T443*(1-AQ443)*(1-Settings!$F$17))),"")</f>
        <v/>
      </c>
      <c r="O443" s="101">
        <f>IFERROR(IF(T443="","",(T443*(1-AR443)*(1-Settings!$G$17)-I443)/(T443*(1-AR443)*(1-Settings!$G$17))),"")</f>
        <v/>
      </c>
      <c r="P443" s="101">
        <f>IFERROR(IF(T443="","",(T443*(1-AS443)*(1-Settings!$H$17)-I443)/(T443*(1-AS443)*(1-Settings!$H$17))),"")</f>
        <v/>
      </c>
      <c r="Q443" s="101">
        <f>IFERROR(IF(T443="","",(T443*(1-AT443)*(1-Settings!$I$68)*(1-Settings!$I$17)-I443)/(T443*(1-AT443)*(1-Settings!$I$68)*(1-Settings!$I$17))),"")</f>
        <v/>
      </c>
      <c r="R443" s="91">
        <f>IFERROR(IF(OR(I443="",Z443&gt;=1,Settings!$B$17&gt;=1,AN443&gt;=1),"",IF(MOD(ROUND(I443/(1-Z443)/(1-Settings!$B$17)/(1-AN443),0),10)=0,ROUND(I443/(1-Z443)/(1-Settings!$B$17)/(1-AN443),0)-1,IF(MOD(ROUND(I443/(1-Z443)/(1-Settings!$B$17)/(1-AN443),0),10)&lt;=5,FLOOR(ROUND(I443/(1-Z443)/(1-Settings!$B$17)/(1-AN443),0),10)+6,FLOOR(ROUND(I443/(1-Z443)/(1-Settings!$B$17)/(1-AN443),0),10)+9))),"")</f>
        <v/>
      </c>
      <c r="S443" s="92" t="n">
        <v>240</v>
      </c>
      <c r="T443" s="91">
        <f>IF(S443&lt;&gt;"", IF(MOD(S443,10)=0,S443-1,IF(MOD(S443,10)&lt;=5,FLOOR(S443,10)+6,FLOOR(S443,10)+9)), R443)</f>
        <v/>
      </c>
      <c r="U443" s="87" t="inlineStr">
        <is>
          <t>Маржинальний</t>
        </is>
      </c>
      <c r="V443" s="88" t="n"/>
      <c r="W443" s="88" t="n"/>
      <c r="X443" s="89">
        <f>IFERROR(IF(OR(V443="",W443="",T443=""),"", IF(T443&gt;W443,"Дорогий",IF(T443&lt;V443,"Дешевий","У ринку"))),"")</f>
        <v/>
      </c>
      <c r="Y443" s="90" t="n"/>
      <c r="Z443" s="104">
        <f>CHOOSE(MATCH(IF($U443="","Основний",$U443),{"Трафіковий","Основний","Маржинальний","Сезонний","Стратегічний"},0),0.16,0.19,0.24,0.23,0.28)</f>
        <v/>
      </c>
      <c r="AA443" s="104">
        <f>CHOOSE(MATCH(IF($U443="","Основний",$U443),{"Трафіковий","Основний","Маржинальний","Сезонний","Стратегічний"},0),0.18,0.21,0.26,0.25,0.3)</f>
        <v/>
      </c>
      <c r="AB443" s="104">
        <f>CHOOSE(MATCH(IF($U443="","Основний",$U443),{"Трафіковий","Основний","Маржинальний","Сезонний","Стратегічний"},0),0.19,0.22,0.28,0.26,0.32)</f>
        <v/>
      </c>
      <c r="AC443" s="104">
        <f>CHOOSE(MATCH(IF($U443="","Основний",$U443),{"Трафіковий","Основний","Маржинальний","Сезонний","Стратегічний"},0),0.17,0.2,0.25,0.24,0.28)</f>
        <v/>
      </c>
      <c r="AD443" s="104">
        <f>CHOOSE(MATCH(IF($U443="","Основний",$U443),{"Трафіковий","Основний","Маржинальний","Сезонний","Стратегічний"},0),0.18,0.21,0.26,0.25,0.3)</f>
        <v/>
      </c>
      <c r="AE443" s="104">
        <f>CHOOSE(MATCH(IF($U443="","Основний",$U443),{"Трафіковий","Основний","Маржинальний","Сезонний","Стратегічний"},0),0.18,0.2,0.28,0.27,0.32)</f>
        <v/>
      </c>
      <c r="AF443" s="104">
        <f>CHOOSE(MATCH(IF($U443="","Основний",$U443),{"Трафіковий","Основний","Маржинальний","Сезонний","Стратегічний"},0),0.15,0.175,0.22,0.21,0.25)</f>
        <v/>
      </c>
      <c r="AG443" s="104">
        <f>CHOOSE(MATCH(IF($U443="","Основний",$U443),{"Трафіковий","Основний","Маржинальний","Сезонний","Стратегічний"},0),0.13,0.16,0.21,0.2,0.25)</f>
        <v/>
      </c>
      <c r="AH443" s="104">
        <f>CHOOSE(MATCH(IF($U443="","Основний",$U443),{"Трафіковий","Основний","Маржинальний","Сезонний","Стратегічний"},0),0.15,0.18,0.23,0.22,0.27)</f>
        <v/>
      </c>
      <c r="AI443" s="104">
        <f>CHOOSE(MATCH(IF($U443="","Основний",$U443),{"Трафіковий","Основний","Маржинальний","Сезонний","Стратегічний"},0),0.16,0.19,0.25,0.23,0.29)</f>
        <v/>
      </c>
      <c r="AJ443" s="104">
        <f>CHOOSE(MATCH(IF($U443="","Основний",$U443),{"Трафіковий","Основний","Маржинальний","Сезонний","Стратегічний"},0),0.14,0.17,0.22,0.21,0.25)</f>
        <v/>
      </c>
      <c r="AK443" s="104">
        <f>CHOOSE(MATCH(IF($U443="","Основний",$U443),{"Трафіковий","Основний","Маржинальний","Сезонний","Стратегічний"},0),0.15,0.18,0.23,0.22,0.27)</f>
        <v/>
      </c>
      <c r="AL443" s="104">
        <f>CHOOSE(MATCH(IF($U443="","Основний",$U443),{"Трафіковий","Основний","Маржинальний","Сезонний","Стратегічний"},0),0.15,0.17,0.25,0.24,0.29)</f>
        <v/>
      </c>
      <c r="AM443" s="104">
        <f>CHOOSE(MATCH(IF($U443="","Основний",$U443),{"Трафіковий","Основний","Маржинальний","Сезонний","Стратегічний"},0),0.12,0.145,0.19,0.18,0.22)</f>
        <v/>
      </c>
      <c r="AN443" s="157">
        <f>CHOOSE(MATCH(IF($U443="","Основний",$U443),{"Трафіковий","Основний","Маржинальний","Сезонний","Стратегічний"},0),Settings!$B$78,Settings!$B$80,Settings!$B$82,Settings!$B$84,Settings!$B$86)</f>
        <v/>
      </c>
      <c r="AO443" s="157">
        <f>CHOOSE(MATCH(IF($U443="","Основний",$U443),{"Трафіковий","Основний","Маржинальний","Сезонний","Стратегічний"},0),Settings!$C$78,Settings!$C$80,Settings!$C$82,Settings!$C$84,Settings!$C$86)</f>
        <v/>
      </c>
      <c r="AP443" s="157">
        <f>CHOOSE(MATCH(IF($U443="","Основний",$U443),{"Трафіковий","Основний","Маржинальний","Сезонний","Стратегічний"},0),Settings!$D$78,Settings!$D$80,Settings!$D$82,Settings!$D$84,Settings!$D$86)</f>
        <v/>
      </c>
      <c r="AQ443" s="157">
        <f>CHOOSE(MATCH(IF($U443="","Основний",$U443),{"Трафіковий","Основний","Маржинальний","Сезонний","Стратегічний"},0),Settings!$F$78,Settings!$F$80,Settings!$F$82,Settings!$F$84,Settings!$F$86)</f>
        <v/>
      </c>
      <c r="AR443" s="157">
        <f>CHOOSE(MATCH(IF($U443="","Основний",$U443),{"Трафіковий","Основний","Маржинальний","Сезонний","Стратегічний"},0),Settings!$G$78,Settings!$G$80,Settings!$G$82,Settings!$G$84,Settings!$G$86)</f>
        <v/>
      </c>
      <c r="AS443" s="157">
        <f>CHOOSE(MATCH(IF($U443="","Основний",$U443),{"Трафіковий","Основний","Маржинальний","Сезонний","Стратегічний"},0),Settings!$H$78,Settings!$H$80,Settings!$H$82,Settings!$H$84,Settings!$H$86)</f>
        <v/>
      </c>
      <c r="AT443" s="157">
        <f>CHOOSE(MATCH(IF($U443="","Основний",$U443),{"Трафіковий","Основний","Маржинальний","Сезонний","Стратегічний"},0),Settings!$I$78,Settings!$I$80,Settings!$I$82,Settings!$I$84,Settings!$I$86)</f>
        <v/>
      </c>
      <c r="AU443" s="171" t="n"/>
      <c r="AV443" t="n">
        <v>1.35</v>
      </c>
    </row>
    <row r="444">
      <c r="A444" s="28" t="inlineStr">
        <is>
          <t>NEW</t>
        </is>
      </c>
      <c r="B444" s="29" t="inlineStr">
        <is>
          <t>S4003N</t>
        </is>
      </c>
      <c r="C444" s="29" t="inlineStr">
        <is>
          <t>TEST LEADS BB58</t>
        </is>
      </c>
      <c r="D444" s="29" t="inlineStr">
        <is>
          <t>Тестери, мультиметри</t>
        </is>
      </c>
      <c r="E444" s="28" t="inlineStr">
        <is>
          <t>PC</t>
        </is>
      </c>
      <c r="F444" s="93" t="n">
        <v>3.38</v>
      </c>
      <c r="G444" s="30" t="n">
        <v>9030900000</v>
      </c>
      <c r="H444" s="31" t="n">
        <v>1.4</v>
      </c>
      <c r="I444" s="84">
        <f>IFERROR(F444*Settings!$B$2*H444*IF(AND(ISNUMBER(E444),E444&gt;1),E444,1),"")</f>
        <v/>
      </c>
      <c r="J444" s="32">
        <f>Settings!$B$66</f>
        <v/>
      </c>
      <c r="K444" s="95">
        <f>IFERROR(IF(T444="","",(T444*(1-AN444)*(1-Settings!$B$17)-I444)/(T444*(1-AN444)*(1-Settings!$B$17))),"")</f>
        <v/>
      </c>
      <c r="L444" s="101">
        <f>IFERROR(IF(T444="","",(T444*(1-AO444)*(1-Settings!$C$17)-I444)/(T444*(1-AO444)*(1-Settings!$C$17))),"")</f>
        <v/>
      </c>
      <c r="M444" s="101">
        <f>IFERROR(IF(T444="","",(T444*(1-AP444)*(1-Settings!$D$17)-I444)/(T444*(1-AP444)*(1-Settings!$D$17))),"")</f>
        <v/>
      </c>
      <c r="N444" s="101">
        <f>IFERROR(IF(T444="","",(T444*(1-AQ444)*(1-Settings!$F$17)-I444)/(T444*(1-AQ444)*(1-Settings!$F$17))),"")</f>
        <v/>
      </c>
      <c r="O444" s="101">
        <f>IFERROR(IF(T444="","",(T444*(1-AR444)*(1-Settings!$G$17)-I444)/(T444*(1-AR444)*(1-Settings!$G$17))),"")</f>
        <v/>
      </c>
      <c r="P444" s="101">
        <f>IFERROR(IF(T444="","",(T444*(1-AS444)*(1-Settings!$H$17)-I444)/(T444*(1-AS444)*(1-Settings!$H$17))),"")</f>
        <v/>
      </c>
      <c r="Q444" s="101">
        <f>IFERROR(IF(T444="","",(T444*(1-AT444)*(1-Settings!$I$68)*(1-Settings!$I$17)-I444)/(T444*(1-AT444)*(1-Settings!$I$68)*(1-Settings!$I$17))),"")</f>
        <v/>
      </c>
      <c r="R444" s="91">
        <f>IFERROR(IF(OR(I444="",Z444&gt;=1,Settings!$B$17&gt;=1,AN444&gt;=1),"",IF(MOD(ROUND(I444/(1-Z444)/(1-Settings!$B$17)/(1-AN444),0),10)=0,ROUND(I444/(1-Z444)/(1-Settings!$B$17)/(1-AN444),0)-1,IF(MOD(ROUND(I444/(1-Z444)/(1-Settings!$B$17)/(1-AN444),0),10)&lt;=5,FLOOR(ROUND(I444/(1-Z444)/(1-Settings!$B$17)/(1-AN444),0),10)+6,FLOOR(ROUND(I444/(1-Z444)/(1-Settings!$B$17)/(1-AN444),0),10)+9))),"")</f>
        <v/>
      </c>
      <c r="S444" s="174">
        <f>R444*0.95</f>
        <v/>
      </c>
      <c r="T444" s="91">
        <f>IF(S444&lt;&gt;"", IF(MOD(S444,10)=0,S444-1,IF(MOD(S444,10)&lt;=5,FLOOR(S444,10)+6,FLOOR(S444,10)+9)), R444)</f>
        <v/>
      </c>
      <c r="U444" s="87" t="inlineStr">
        <is>
          <t>Основний</t>
        </is>
      </c>
      <c r="V444" s="88" t="n"/>
      <c r="W444" s="88" t="n"/>
      <c r="X444" s="89">
        <f>IFERROR(IF(OR(V444="",W444="",T444=""),"", IF(T444&gt;W444,"Дорогий",IF(T444&lt;V444,"Дешевий","У ринку"))),"")</f>
        <v/>
      </c>
      <c r="Y444" s="90" t="n"/>
      <c r="Z444" s="104">
        <f>CHOOSE(MATCH(IF($U444="","Основний",$U444),{"Трафіковий","Основний","Маржинальний","Сезонний","Стратегічний"},0),0.16,0.19,0.24,0.23,0.28)</f>
        <v/>
      </c>
      <c r="AA444" s="104">
        <f>CHOOSE(MATCH(IF($U444="","Основний",$U444),{"Трафіковий","Основний","Маржинальний","Сезонний","Стратегічний"},0),0.18,0.21,0.26,0.25,0.3)</f>
        <v/>
      </c>
      <c r="AB444" s="104">
        <f>CHOOSE(MATCH(IF($U444="","Основний",$U444),{"Трафіковий","Основний","Маржинальний","Сезонний","Стратегічний"},0),0.19,0.22,0.28,0.26,0.32)</f>
        <v/>
      </c>
      <c r="AC444" s="104">
        <f>CHOOSE(MATCH(IF($U444="","Основний",$U444),{"Трафіковий","Основний","Маржинальний","Сезонний","Стратегічний"},0),0.17,0.2,0.25,0.24,0.28)</f>
        <v/>
      </c>
      <c r="AD444" s="104">
        <f>CHOOSE(MATCH(IF($U444="","Основний",$U444),{"Трафіковий","Основний","Маржинальний","Сезонний","Стратегічний"},0),0.18,0.21,0.26,0.25,0.3)</f>
        <v/>
      </c>
      <c r="AE444" s="104">
        <f>CHOOSE(MATCH(IF($U444="","Основний",$U444),{"Трафіковий","Основний","Маржинальний","Сезонний","Стратегічний"},0),0.18,0.2,0.28,0.27,0.32)</f>
        <v/>
      </c>
      <c r="AF444" s="104">
        <f>CHOOSE(MATCH(IF($U444="","Основний",$U444),{"Трафіковий","Основний","Маржинальний","Сезонний","Стратегічний"},0),0.15,0.175,0.22,0.21,0.25)</f>
        <v/>
      </c>
      <c r="AG444" s="104">
        <f>CHOOSE(MATCH(IF($U444="","Основний",$U444),{"Трафіковий","Основний","Маржинальний","Сезонний","Стратегічний"},0),0.13,0.16,0.21,0.2,0.25)</f>
        <v/>
      </c>
      <c r="AH444" s="104">
        <f>CHOOSE(MATCH(IF($U444="","Основний",$U444),{"Трафіковий","Основний","Маржинальний","Сезонний","Стратегічний"},0),0.15,0.18,0.23,0.22,0.27)</f>
        <v/>
      </c>
      <c r="AI444" s="104">
        <f>CHOOSE(MATCH(IF($U444="","Основний",$U444),{"Трафіковий","Основний","Маржинальний","Сезонний","Стратегічний"},0),0.16,0.19,0.25,0.23,0.29)</f>
        <v/>
      </c>
      <c r="AJ444" s="104">
        <f>CHOOSE(MATCH(IF($U444="","Основний",$U444),{"Трафіковий","Основний","Маржинальний","Сезонний","Стратегічний"},0),0.14,0.17,0.22,0.21,0.25)</f>
        <v/>
      </c>
      <c r="AK444" s="104">
        <f>CHOOSE(MATCH(IF($U444="","Основний",$U444),{"Трафіковий","Основний","Маржинальний","Сезонний","Стратегічний"},0),0.15,0.18,0.23,0.22,0.27)</f>
        <v/>
      </c>
      <c r="AL444" s="104">
        <f>CHOOSE(MATCH(IF($U444="","Основний",$U444),{"Трафіковий","Основний","Маржинальний","Сезонний","Стратегічний"},0),0.15,0.17,0.25,0.24,0.29)</f>
        <v/>
      </c>
      <c r="AM444" s="104">
        <f>CHOOSE(MATCH(IF($U444="","Основний",$U444),{"Трафіковий","Основний","Маржинальний","Сезонний","Стратегічний"},0),0.12,0.145,0.19,0.18,0.22)</f>
        <v/>
      </c>
      <c r="AN444" s="157">
        <f>CHOOSE(MATCH(IF($U444="","Основний",$U444),{"Трафіковий","Основний","Маржинальний","Сезонний","Стратегічний"},0),Settings!$B$78,Settings!$B$80,Settings!$B$82,Settings!$B$84,Settings!$B$86)</f>
        <v/>
      </c>
      <c r="AO444" s="157">
        <f>CHOOSE(MATCH(IF($U444="","Основний",$U444),{"Трафіковий","Основний","Маржинальний","Сезонний","Стратегічний"},0),Settings!$C$78,Settings!$C$80,Settings!$C$82,Settings!$C$84,Settings!$C$86)</f>
        <v/>
      </c>
      <c r="AP444" s="157">
        <f>CHOOSE(MATCH(IF($U444="","Основний",$U444),{"Трафіковий","Основний","Маржинальний","Сезонний","Стратегічний"},0),Settings!$D$78,Settings!$D$80,Settings!$D$82,Settings!$D$84,Settings!$D$86)</f>
        <v/>
      </c>
      <c r="AQ444" s="157">
        <f>CHOOSE(MATCH(IF($U444="","Основний",$U444),{"Трафіковий","Основний","Маржинальний","Сезонний","Стратегічний"},0),Settings!$F$78,Settings!$F$80,Settings!$F$82,Settings!$F$84,Settings!$F$86)</f>
        <v/>
      </c>
      <c r="AR444" s="157">
        <f>CHOOSE(MATCH(IF($U444="","Основний",$U444),{"Трафіковий","Основний","Маржинальний","Сезонний","Стратегічний"},0),Settings!$G$78,Settings!$G$80,Settings!$G$82,Settings!$G$84,Settings!$G$86)</f>
        <v/>
      </c>
      <c r="AS444" s="157">
        <f>CHOOSE(MATCH(IF($U444="","Основний",$U444),{"Трафіковий","Основний","Маржинальний","Сезонний","Стратегічний"},0),Settings!$H$78,Settings!$H$80,Settings!$H$82,Settings!$H$84,Settings!$H$86)</f>
        <v/>
      </c>
      <c r="AT444" s="157">
        <f>CHOOSE(MATCH(IF($U444="","Основний",$U444),{"Трафіковий","Основний","Маржинальний","Сезонний","Стратегічний"},0),Settings!$I$78,Settings!$I$80,Settings!$I$82,Settings!$I$84,Settings!$I$86)</f>
        <v/>
      </c>
      <c r="AU444" s="171" t="n"/>
      <c r="AV444" t="n">
        <v>1.35</v>
      </c>
    </row>
    <row r="445">
      <c r="A445" s="33" t="inlineStr">
        <is>
          <t>SELL OUT</t>
        </is>
      </c>
      <c r="B445" s="34" t="inlineStr">
        <is>
          <t>M0320</t>
        </is>
      </c>
      <c r="C445" s="34" t="inlineStr">
        <is>
          <t>MULTIMETER MD-110</t>
        </is>
      </c>
      <c r="D445" s="34" t="inlineStr">
        <is>
          <t>Тестери, мультиметри</t>
        </is>
      </c>
      <c r="E445" s="33" t="inlineStr">
        <is>
          <t>PC</t>
        </is>
      </c>
      <c r="F445" s="94" t="n">
        <v>5.205</v>
      </c>
      <c r="G445" s="35" t="n">
        <v>9030310090</v>
      </c>
      <c r="H445" s="31" t="n">
        <v>1.3</v>
      </c>
      <c r="I445" s="84">
        <f>IFERROR(F445*Settings!$B$2*H445*IF(AND(ISNUMBER(E445),E445&gt;1),E445,1),"")</f>
        <v/>
      </c>
      <c r="J445" s="32">
        <f>Settings!$B$66</f>
        <v/>
      </c>
      <c r="K445" s="95">
        <f>IFERROR(IF(T445="","",(T445*(1-AN445)*(1-Settings!$B$17)-I445)/(T445*(1-AN445)*(1-Settings!$B$17))),"")</f>
        <v/>
      </c>
      <c r="L445" s="101">
        <f>IFERROR(IF(T445="","",(T445*(1-AO445)*(1-Settings!$C$17)-I445)/(T445*(1-AO445)*(1-Settings!$C$17))),"")</f>
        <v/>
      </c>
      <c r="M445" s="101">
        <f>IFERROR(IF(T445="","",(T445*(1-AP445)*(1-Settings!$D$17)-I445)/(T445*(1-AP445)*(1-Settings!$D$17))),"")</f>
        <v/>
      </c>
      <c r="N445" s="101">
        <f>IFERROR(IF(T445="","",(T445*(1-AQ445)*(1-Settings!$F$17)-I445)/(T445*(1-AQ445)*(1-Settings!$F$17))),"")</f>
        <v/>
      </c>
      <c r="O445" s="101">
        <f>IFERROR(IF(T445="","",(T445*(1-AR445)*(1-Settings!$G$17)-I445)/(T445*(1-AR445)*(1-Settings!$G$17))),"")</f>
        <v/>
      </c>
      <c r="P445" s="101">
        <f>IFERROR(IF(T445="","",(T445*(1-AS445)*(1-Settings!$H$17)-I445)/(T445*(1-AS445)*(1-Settings!$H$17))),"")</f>
        <v/>
      </c>
      <c r="Q445" s="101">
        <f>IFERROR(IF(T445="","",(T445*(1-AT445)*(1-Settings!$I$68)*(1-Settings!$I$17)-I445)/(T445*(1-AT445)*(1-Settings!$I$68)*(1-Settings!$I$17))),"")</f>
        <v/>
      </c>
      <c r="R445" s="91">
        <f>IFERROR(IF(OR(I445="",Z445&gt;=1,Settings!$B$17&gt;=1,AN445&gt;=1),"",IF(MOD(ROUND(I445/(1-Z445)/(1-Settings!$B$17)/(1-AN445),0),10)=0,ROUND(I445/(1-Z445)/(1-Settings!$B$17)/(1-AN445),0)-1,IF(MOD(ROUND(I445/(1-Z445)/(1-Settings!$B$17)/(1-AN445),0),10)&lt;=5,FLOOR(ROUND(I445/(1-Z445)/(1-Settings!$B$17)/(1-AN445),0),10)+6,FLOOR(ROUND(I445/(1-Z445)/(1-Settings!$B$17)/(1-AN445),0),10)+9))),"")</f>
        <v/>
      </c>
      <c r="S445" s="174">
        <f>R445*0.95</f>
        <v/>
      </c>
      <c r="T445" s="91">
        <f>IF(S445&lt;&gt;"", IF(MOD(S445,10)=0,S445-1,IF(MOD(S445,10)&lt;=5,FLOOR(S445,10)+6,FLOOR(S445,10)+9)), R445)</f>
        <v/>
      </c>
      <c r="U445" s="87" t="inlineStr">
        <is>
          <t>Основний</t>
        </is>
      </c>
      <c r="V445" s="88" t="n"/>
      <c r="W445" s="88" t="n"/>
      <c r="X445" s="89">
        <f>IFERROR(IF(OR(V445="",W445="",T445=""),"", IF(T445&gt;W445,"Дорогий",IF(T445&lt;V445,"Дешевий","У ринку"))),"")</f>
        <v/>
      </c>
      <c r="Y445" s="90" t="n"/>
      <c r="Z445" s="104">
        <f>CHOOSE(MATCH(IF($U445="","Основний",$U445),{"Трафіковий","Основний","Маржинальний","Сезонний","Стратегічний"},0),0.16,0.19,0.24,0.23,0.28)</f>
        <v/>
      </c>
      <c r="AA445" s="104">
        <f>CHOOSE(MATCH(IF($U445="","Основний",$U445),{"Трафіковий","Основний","Маржинальний","Сезонний","Стратегічний"},0),0.18,0.21,0.26,0.25,0.3)</f>
        <v/>
      </c>
      <c r="AB445" s="104">
        <f>CHOOSE(MATCH(IF($U445="","Основний",$U445),{"Трафіковий","Основний","Маржинальний","Сезонний","Стратегічний"},0),0.19,0.22,0.28,0.26,0.32)</f>
        <v/>
      </c>
      <c r="AC445" s="104">
        <f>CHOOSE(MATCH(IF($U445="","Основний",$U445),{"Трафіковий","Основний","Маржинальний","Сезонний","Стратегічний"},0),0.17,0.2,0.25,0.24,0.28)</f>
        <v/>
      </c>
      <c r="AD445" s="104">
        <f>CHOOSE(MATCH(IF($U445="","Основний",$U445),{"Трафіковий","Основний","Маржинальний","Сезонний","Стратегічний"},0),0.18,0.21,0.26,0.25,0.3)</f>
        <v/>
      </c>
      <c r="AE445" s="104">
        <f>CHOOSE(MATCH(IF($U445="","Основний",$U445),{"Трафіковий","Основний","Маржинальний","Сезонний","Стратегічний"},0),0.18,0.2,0.28,0.27,0.32)</f>
        <v/>
      </c>
      <c r="AF445" s="104">
        <f>CHOOSE(MATCH(IF($U445="","Основний",$U445),{"Трафіковий","Основний","Маржинальний","Сезонний","Стратегічний"},0),0.15,0.175,0.22,0.21,0.25)</f>
        <v/>
      </c>
      <c r="AG445" s="104">
        <f>CHOOSE(MATCH(IF($U445="","Основний",$U445),{"Трафіковий","Основний","Маржинальний","Сезонний","Стратегічний"},0),0.13,0.16,0.21,0.2,0.25)</f>
        <v/>
      </c>
      <c r="AH445" s="104">
        <f>CHOOSE(MATCH(IF($U445="","Основний",$U445),{"Трафіковий","Основний","Маржинальний","Сезонний","Стратегічний"},0),0.15,0.18,0.23,0.22,0.27)</f>
        <v/>
      </c>
      <c r="AI445" s="104">
        <f>CHOOSE(MATCH(IF($U445="","Основний",$U445),{"Трафіковий","Основний","Маржинальний","Сезонний","Стратегічний"},0),0.16,0.19,0.25,0.23,0.29)</f>
        <v/>
      </c>
      <c r="AJ445" s="104">
        <f>CHOOSE(MATCH(IF($U445="","Основний",$U445),{"Трафіковий","Основний","Маржинальний","Сезонний","Стратегічний"},0),0.14,0.17,0.22,0.21,0.25)</f>
        <v/>
      </c>
      <c r="AK445" s="104">
        <f>CHOOSE(MATCH(IF($U445="","Основний",$U445),{"Трафіковий","Основний","Маржинальний","Сезонний","Стратегічний"},0),0.15,0.18,0.23,0.22,0.27)</f>
        <v/>
      </c>
      <c r="AL445" s="104">
        <f>CHOOSE(MATCH(IF($U445="","Основний",$U445),{"Трафіковий","Основний","Маржинальний","Сезонний","Стратегічний"},0),0.15,0.17,0.25,0.24,0.29)</f>
        <v/>
      </c>
      <c r="AM445" s="104">
        <f>CHOOSE(MATCH(IF($U445="","Основний",$U445),{"Трафіковий","Основний","Маржинальний","Сезонний","Стратегічний"},0),0.12,0.145,0.19,0.18,0.22)</f>
        <v/>
      </c>
      <c r="AN445" s="157">
        <f>CHOOSE(MATCH(IF($U445="","Основний",$U445),{"Трафіковий","Основний","Маржинальний","Сезонний","Стратегічний"},0),Settings!$B$78,Settings!$B$80,Settings!$B$82,Settings!$B$84,Settings!$B$86)</f>
        <v/>
      </c>
      <c r="AO445" s="157">
        <f>CHOOSE(MATCH(IF($U445="","Основний",$U445),{"Трафіковий","Основний","Маржинальний","Сезонний","Стратегічний"},0),Settings!$C$78,Settings!$C$80,Settings!$C$82,Settings!$C$84,Settings!$C$86)</f>
        <v/>
      </c>
      <c r="AP445" s="157">
        <f>CHOOSE(MATCH(IF($U445="","Основний",$U445),{"Трафіковий","Основний","Маржинальний","Сезонний","Стратегічний"},0),Settings!$D$78,Settings!$D$80,Settings!$D$82,Settings!$D$84,Settings!$D$86)</f>
        <v/>
      </c>
      <c r="AQ445" s="157">
        <f>CHOOSE(MATCH(IF($U445="","Основний",$U445),{"Трафіковий","Основний","Маржинальний","Сезонний","Стратегічний"},0),Settings!$F$78,Settings!$F$80,Settings!$F$82,Settings!$F$84,Settings!$F$86)</f>
        <v/>
      </c>
      <c r="AR445" s="157">
        <f>CHOOSE(MATCH(IF($U445="","Основний",$U445),{"Трафіковий","Основний","Маржинальний","Сезонний","Стратегічний"},0),Settings!$G$78,Settings!$G$80,Settings!$G$82,Settings!$G$84,Settings!$G$86)</f>
        <v/>
      </c>
      <c r="AS445" s="157">
        <f>CHOOSE(MATCH(IF($U445="","Основний",$U445),{"Трафіковий","Основний","Маржинальний","Сезонний","Стратегічний"},0),Settings!$H$78,Settings!$H$80,Settings!$H$82,Settings!$H$84,Settings!$H$86)</f>
        <v/>
      </c>
      <c r="AT445" s="157">
        <f>CHOOSE(MATCH(IF($U445="","Основний",$U445),{"Трафіковий","Основний","Маржинальний","Сезонний","Стратегічний"},0),Settings!$I$78,Settings!$I$80,Settings!$I$82,Settings!$I$84,Settings!$I$86)</f>
        <v/>
      </c>
      <c r="AU445" s="171" t="n"/>
      <c r="AV445" t="n">
        <v>1.35</v>
      </c>
    </row>
    <row r="446">
      <c r="A446" s="28" t="inlineStr">
        <is>
          <t>SELL OUT</t>
        </is>
      </c>
      <c r="B446" s="29" t="inlineStr">
        <is>
          <t>M0391</t>
        </is>
      </c>
      <c r="C446" s="29" t="inlineStr">
        <is>
          <t>MULTIMETER MD-210</t>
        </is>
      </c>
      <c r="D446" s="29" t="inlineStr">
        <is>
          <t>Тестери, мультиметри</t>
        </is>
      </c>
      <c r="E446" s="28" t="inlineStr">
        <is>
          <t>PC</t>
        </is>
      </c>
      <c r="F446" s="93" t="n">
        <v>6.152</v>
      </c>
      <c r="G446" s="30" t="n">
        <v>9030310090</v>
      </c>
      <c r="H446" s="31" t="n">
        <v>1.3</v>
      </c>
      <c r="I446" s="84">
        <f>IFERROR(F446*Settings!$B$2*H446*IF(AND(ISNUMBER(E446),E446&gt;1),E446,1),"")</f>
        <v/>
      </c>
      <c r="J446" s="32">
        <f>Settings!$B$66</f>
        <v/>
      </c>
      <c r="K446" s="95">
        <f>IFERROR(IF(T446="","",(T446*(1-AN446)*(1-Settings!$B$17)-I446)/(T446*(1-AN446)*(1-Settings!$B$17))),"")</f>
        <v/>
      </c>
      <c r="L446" s="101">
        <f>IFERROR(IF(T446="","",(T446*(1-AO446)*(1-Settings!$C$17)-I446)/(T446*(1-AO446)*(1-Settings!$C$17))),"")</f>
        <v/>
      </c>
      <c r="M446" s="101">
        <f>IFERROR(IF(T446="","",(T446*(1-AP446)*(1-Settings!$D$17)-I446)/(T446*(1-AP446)*(1-Settings!$D$17))),"")</f>
        <v/>
      </c>
      <c r="N446" s="101">
        <f>IFERROR(IF(T446="","",(T446*(1-AQ446)*(1-Settings!$F$17)-I446)/(T446*(1-AQ446)*(1-Settings!$F$17))),"")</f>
        <v/>
      </c>
      <c r="O446" s="101">
        <f>IFERROR(IF(T446="","",(T446*(1-AR446)*(1-Settings!$G$17)-I446)/(T446*(1-AR446)*(1-Settings!$G$17))),"")</f>
        <v/>
      </c>
      <c r="P446" s="101">
        <f>IFERROR(IF(T446="","",(T446*(1-AS446)*(1-Settings!$H$17)-I446)/(T446*(1-AS446)*(1-Settings!$H$17))),"")</f>
        <v/>
      </c>
      <c r="Q446" s="101">
        <f>IFERROR(IF(T446="","",(T446*(1-AT446)*(1-Settings!$I$68)*(1-Settings!$I$17)-I446)/(T446*(1-AT446)*(1-Settings!$I$68)*(1-Settings!$I$17))),"")</f>
        <v/>
      </c>
      <c r="R446" s="91">
        <f>IFERROR(IF(OR(I446="",Z446&gt;=1,Settings!$B$17&gt;=1,AN446&gt;=1),"",IF(MOD(ROUND(I446/(1-Z446)/(1-Settings!$B$17)/(1-AN446),0),10)=0,ROUND(I446/(1-Z446)/(1-Settings!$B$17)/(1-AN446),0)-1,IF(MOD(ROUND(I446/(1-Z446)/(1-Settings!$B$17)/(1-AN446),0),10)&lt;=5,FLOOR(ROUND(I446/(1-Z446)/(1-Settings!$B$17)/(1-AN446),0),10)+6,FLOOR(ROUND(I446/(1-Z446)/(1-Settings!$B$17)/(1-AN446),0),10)+9))),"")</f>
        <v/>
      </c>
      <c r="S446" s="92" t="n">
        <v>770</v>
      </c>
      <c r="T446" s="91">
        <f>IF(S446&lt;&gt;"", IF(MOD(S446,10)=0,S446-1,IF(MOD(S446,10)&lt;=5,FLOOR(S446,10)+6,FLOOR(S446,10)+9)), R446)</f>
        <v/>
      </c>
      <c r="U446" s="87" t="inlineStr">
        <is>
          <t>Основний</t>
        </is>
      </c>
      <c r="V446" s="88" t="n"/>
      <c r="W446" s="88" t="n"/>
      <c r="X446" s="89">
        <f>IFERROR(IF(OR(V446="",W446="",T446=""),"", IF(T446&gt;W446,"Дорогий",IF(T446&lt;V446,"Дешевий","У ринку"))),"")</f>
        <v/>
      </c>
      <c r="Y446" s="90" t="n"/>
      <c r="Z446" s="104">
        <f>CHOOSE(MATCH(IF($U446="","Основний",$U446),{"Трафіковий","Основний","Маржинальний","Сезонний","Стратегічний"},0),0.16,0.19,0.24,0.23,0.28)</f>
        <v/>
      </c>
      <c r="AA446" s="104">
        <f>CHOOSE(MATCH(IF($U446="","Основний",$U446),{"Трафіковий","Основний","Маржинальний","Сезонний","Стратегічний"},0),0.18,0.21,0.26,0.25,0.3)</f>
        <v/>
      </c>
      <c r="AB446" s="104">
        <f>CHOOSE(MATCH(IF($U446="","Основний",$U446),{"Трафіковий","Основний","Маржинальний","Сезонний","Стратегічний"},0),0.19,0.22,0.28,0.26,0.32)</f>
        <v/>
      </c>
      <c r="AC446" s="104">
        <f>CHOOSE(MATCH(IF($U446="","Основний",$U446),{"Трафіковий","Основний","Маржинальний","Сезонний","Стратегічний"},0),0.17,0.2,0.25,0.24,0.28)</f>
        <v/>
      </c>
      <c r="AD446" s="104">
        <f>CHOOSE(MATCH(IF($U446="","Основний",$U446),{"Трафіковий","Основний","Маржинальний","Сезонний","Стратегічний"},0),0.18,0.21,0.26,0.25,0.3)</f>
        <v/>
      </c>
      <c r="AE446" s="104">
        <f>CHOOSE(MATCH(IF($U446="","Основний",$U446),{"Трафіковий","Основний","Маржинальний","Сезонний","Стратегічний"},0),0.18,0.2,0.28,0.27,0.32)</f>
        <v/>
      </c>
      <c r="AF446" s="104">
        <f>CHOOSE(MATCH(IF($U446="","Основний",$U446),{"Трафіковий","Основний","Маржинальний","Сезонний","Стратегічний"},0),0.15,0.175,0.22,0.21,0.25)</f>
        <v/>
      </c>
      <c r="AG446" s="104">
        <f>CHOOSE(MATCH(IF($U446="","Основний",$U446),{"Трафіковий","Основний","Маржинальний","Сезонний","Стратегічний"},0),0.13,0.16,0.21,0.2,0.25)</f>
        <v/>
      </c>
      <c r="AH446" s="104">
        <f>CHOOSE(MATCH(IF($U446="","Основний",$U446),{"Трафіковий","Основний","Маржинальний","Сезонний","Стратегічний"},0),0.15,0.18,0.23,0.22,0.27)</f>
        <v/>
      </c>
      <c r="AI446" s="104">
        <f>CHOOSE(MATCH(IF($U446="","Основний",$U446),{"Трафіковий","Основний","Маржинальний","Сезонний","Стратегічний"},0),0.16,0.19,0.25,0.23,0.29)</f>
        <v/>
      </c>
      <c r="AJ446" s="104">
        <f>CHOOSE(MATCH(IF($U446="","Основний",$U446),{"Трафіковий","Основний","Маржинальний","Сезонний","Стратегічний"},0),0.14,0.17,0.22,0.21,0.25)</f>
        <v/>
      </c>
      <c r="AK446" s="104">
        <f>CHOOSE(MATCH(IF($U446="","Основний",$U446),{"Трафіковий","Основний","Маржинальний","Сезонний","Стратегічний"},0),0.15,0.18,0.23,0.22,0.27)</f>
        <v/>
      </c>
      <c r="AL446" s="104">
        <f>CHOOSE(MATCH(IF($U446="","Основний",$U446),{"Трафіковий","Основний","Маржинальний","Сезонний","Стратегічний"},0),0.15,0.17,0.25,0.24,0.29)</f>
        <v/>
      </c>
      <c r="AM446" s="104">
        <f>CHOOSE(MATCH(IF($U446="","Основний",$U446),{"Трафіковий","Основний","Маржинальний","Сезонний","Стратегічний"},0),0.12,0.145,0.19,0.18,0.22)</f>
        <v/>
      </c>
      <c r="AN446" s="157">
        <f>CHOOSE(MATCH(IF($U446="","Основний",$U446),{"Трафіковий","Основний","Маржинальний","Сезонний","Стратегічний"},0),Settings!$B$78,Settings!$B$80,Settings!$B$82,Settings!$B$84,Settings!$B$86)</f>
        <v/>
      </c>
      <c r="AO446" s="157">
        <f>CHOOSE(MATCH(IF($U446="","Основний",$U446),{"Трафіковий","Основний","Маржинальний","Сезонний","Стратегічний"},0),Settings!$C$78,Settings!$C$80,Settings!$C$82,Settings!$C$84,Settings!$C$86)</f>
        <v/>
      </c>
      <c r="AP446" s="157">
        <f>CHOOSE(MATCH(IF($U446="","Основний",$U446),{"Трафіковий","Основний","Маржинальний","Сезонний","Стратегічний"},0),Settings!$D$78,Settings!$D$80,Settings!$D$82,Settings!$D$84,Settings!$D$86)</f>
        <v/>
      </c>
      <c r="AQ446" s="157">
        <f>CHOOSE(MATCH(IF($U446="","Основний",$U446),{"Трафіковий","Основний","Маржинальний","Сезонний","Стратегічний"},0),Settings!$F$78,Settings!$F$80,Settings!$F$82,Settings!$F$84,Settings!$F$86)</f>
        <v/>
      </c>
      <c r="AR446" s="157">
        <f>CHOOSE(MATCH(IF($U446="","Основний",$U446),{"Трафіковий","Основний","Маржинальний","Сезонний","Стратегічний"},0),Settings!$G$78,Settings!$G$80,Settings!$G$82,Settings!$G$84,Settings!$G$86)</f>
        <v/>
      </c>
      <c r="AS446" s="157">
        <f>CHOOSE(MATCH(IF($U446="","Основний",$U446),{"Трафіковий","Основний","Маржинальний","Сезонний","Стратегічний"},0),Settings!$H$78,Settings!$H$80,Settings!$H$82,Settings!$H$84,Settings!$H$86)</f>
        <v/>
      </c>
      <c r="AT446" s="157">
        <f>CHOOSE(MATCH(IF($U446="","Основний",$U446),{"Трафіковий","Основний","Маржинальний","Сезонний","Стратегічний"},0),Settings!$I$78,Settings!$I$80,Settings!$I$82,Settings!$I$84,Settings!$I$86)</f>
        <v/>
      </c>
      <c r="AU446" s="171" t="n"/>
      <c r="AV446" t="n">
        <v>1.35</v>
      </c>
    </row>
    <row r="447">
      <c r="A447" s="33" t="inlineStr">
        <is>
          <t>SELL OUT</t>
        </is>
      </c>
      <c r="B447" s="34" t="inlineStr">
        <is>
          <t>M2092</t>
        </is>
      </c>
      <c r="C447" s="34" t="inlineStr">
        <is>
          <t>MULTIMETER MD-220</t>
        </is>
      </c>
      <c r="D447" s="34" t="inlineStr">
        <is>
          <t>Тестери, мультиметри</t>
        </is>
      </c>
      <c r="E447" s="33" t="inlineStr">
        <is>
          <t>PC</t>
        </is>
      </c>
      <c r="F447" s="94" t="n">
        <v>7.814</v>
      </c>
      <c r="G447" s="35" t="n">
        <v>9030310090</v>
      </c>
      <c r="H447" s="31" t="n">
        <v>1.3</v>
      </c>
      <c r="I447" s="84">
        <f>IFERROR(F447*Settings!$B$2*H447*IF(AND(ISNUMBER(E447),E447&gt;1),E447,1),"")</f>
        <v/>
      </c>
      <c r="J447" s="32">
        <f>Settings!$B$66</f>
        <v/>
      </c>
      <c r="K447" s="95">
        <f>IFERROR(IF(T447="","",(T447*(1-AN447)*(1-Settings!$B$17)-I447)/(T447*(1-AN447)*(1-Settings!$B$17))),"")</f>
        <v/>
      </c>
      <c r="L447" s="101">
        <f>IFERROR(IF(T447="","",(T447*(1-AO447)*(1-Settings!$C$17)-I447)/(T447*(1-AO447)*(1-Settings!$C$17))),"")</f>
        <v/>
      </c>
      <c r="M447" s="101">
        <f>IFERROR(IF(T447="","",(T447*(1-AP447)*(1-Settings!$D$17)-I447)/(T447*(1-AP447)*(1-Settings!$D$17))),"")</f>
        <v/>
      </c>
      <c r="N447" s="101">
        <f>IFERROR(IF(T447="","",(T447*(1-AQ447)*(1-Settings!$F$17)-I447)/(T447*(1-AQ447)*(1-Settings!$F$17))),"")</f>
        <v/>
      </c>
      <c r="O447" s="101">
        <f>IFERROR(IF(T447="","",(T447*(1-AR447)*(1-Settings!$G$17)-I447)/(T447*(1-AR447)*(1-Settings!$G$17))),"")</f>
        <v/>
      </c>
      <c r="P447" s="101">
        <f>IFERROR(IF(T447="","",(T447*(1-AS447)*(1-Settings!$H$17)-I447)/(T447*(1-AS447)*(1-Settings!$H$17))),"")</f>
        <v/>
      </c>
      <c r="Q447" s="101">
        <f>IFERROR(IF(T447="","",(T447*(1-AT447)*(1-Settings!$I$68)*(1-Settings!$I$17)-I447)/(T447*(1-AT447)*(1-Settings!$I$68)*(1-Settings!$I$17))),"")</f>
        <v/>
      </c>
      <c r="R447" s="91">
        <f>IFERROR(IF(OR(I447="",Z447&gt;=1,Settings!$B$17&gt;=1,AN447&gt;=1),"",IF(MOD(ROUND(I447/(1-Z447)/(1-Settings!$B$17)/(1-AN447),0),10)=0,ROUND(I447/(1-Z447)/(1-Settings!$B$17)/(1-AN447),0)-1,IF(MOD(ROUND(I447/(1-Z447)/(1-Settings!$B$17)/(1-AN447),0),10)&lt;=5,FLOOR(ROUND(I447/(1-Z447)/(1-Settings!$B$17)/(1-AN447),0),10)+6,FLOOR(ROUND(I447/(1-Z447)/(1-Settings!$B$17)/(1-AN447),0),10)+9))),"")</f>
        <v/>
      </c>
      <c r="S447" s="92" t="n">
        <v>990</v>
      </c>
      <c r="T447" s="91">
        <f>IF(S447&lt;&gt;"", IF(MOD(S447,10)=0,S447-1,IF(MOD(S447,10)&lt;=5,FLOOR(S447,10)+6,FLOOR(S447,10)+9)), R447)</f>
        <v/>
      </c>
      <c r="U447" s="87" t="inlineStr">
        <is>
          <t>Основний</t>
        </is>
      </c>
      <c r="V447" s="88" t="n"/>
      <c r="W447" s="88" t="n"/>
      <c r="X447" s="89">
        <f>IFERROR(IF(OR(V447="",W447="",T447=""),"", IF(T447&gt;W447,"Дорогий",IF(T447&lt;V447,"Дешевий","У ринку"))),"")</f>
        <v/>
      </c>
      <c r="Y447" s="90" t="n"/>
      <c r="Z447" s="104">
        <f>CHOOSE(MATCH(IF($U447="","Основний",$U447),{"Трафіковий","Основний","Маржинальний","Сезонний","Стратегічний"},0),0.16,0.19,0.24,0.23,0.28)</f>
        <v/>
      </c>
      <c r="AA447" s="104">
        <f>CHOOSE(MATCH(IF($U447="","Основний",$U447),{"Трафіковий","Основний","Маржинальний","Сезонний","Стратегічний"},0),0.18,0.21,0.26,0.25,0.3)</f>
        <v/>
      </c>
      <c r="AB447" s="104">
        <f>CHOOSE(MATCH(IF($U447="","Основний",$U447),{"Трафіковий","Основний","Маржинальний","Сезонний","Стратегічний"},0),0.19,0.22,0.28,0.26,0.32)</f>
        <v/>
      </c>
      <c r="AC447" s="104">
        <f>CHOOSE(MATCH(IF($U447="","Основний",$U447),{"Трафіковий","Основний","Маржинальний","Сезонний","Стратегічний"},0),0.17,0.2,0.25,0.24,0.28)</f>
        <v/>
      </c>
      <c r="AD447" s="104">
        <f>CHOOSE(MATCH(IF($U447="","Основний",$U447),{"Трафіковий","Основний","Маржинальний","Сезонний","Стратегічний"},0),0.18,0.21,0.26,0.25,0.3)</f>
        <v/>
      </c>
      <c r="AE447" s="104">
        <f>CHOOSE(MATCH(IF($U447="","Основний",$U447),{"Трафіковий","Основний","Маржинальний","Сезонний","Стратегічний"},0),0.18,0.2,0.28,0.27,0.32)</f>
        <v/>
      </c>
      <c r="AF447" s="104">
        <f>CHOOSE(MATCH(IF($U447="","Основний",$U447),{"Трафіковий","Основний","Маржинальний","Сезонний","Стратегічний"},0),0.15,0.175,0.22,0.21,0.25)</f>
        <v/>
      </c>
      <c r="AG447" s="104">
        <f>CHOOSE(MATCH(IF($U447="","Основний",$U447),{"Трафіковий","Основний","Маржинальний","Сезонний","Стратегічний"},0),0.13,0.16,0.21,0.2,0.25)</f>
        <v/>
      </c>
      <c r="AH447" s="104">
        <f>CHOOSE(MATCH(IF($U447="","Основний",$U447),{"Трафіковий","Основний","Маржинальний","Сезонний","Стратегічний"},0),0.15,0.18,0.23,0.22,0.27)</f>
        <v/>
      </c>
      <c r="AI447" s="104">
        <f>CHOOSE(MATCH(IF($U447="","Основний",$U447),{"Трафіковий","Основний","Маржинальний","Сезонний","Стратегічний"},0),0.16,0.19,0.25,0.23,0.29)</f>
        <v/>
      </c>
      <c r="AJ447" s="104">
        <f>CHOOSE(MATCH(IF($U447="","Основний",$U447),{"Трафіковий","Основний","Маржинальний","Сезонний","Стратегічний"},0),0.14,0.17,0.22,0.21,0.25)</f>
        <v/>
      </c>
      <c r="AK447" s="104">
        <f>CHOOSE(MATCH(IF($U447="","Основний",$U447),{"Трафіковий","Основний","Маржинальний","Сезонний","Стратегічний"},0),0.15,0.18,0.23,0.22,0.27)</f>
        <v/>
      </c>
      <c r="AL447" s="104">
        <f>CHOOSE(MATCH(IF($U447="","Основний",$U447),{"Трафіковий","Основний","Маржинальний","Сезонний","Стратегічний"},0),0.15,0.17,0.25,0.24,0.29)</f>
        <v/>
      </c>
      <c r="AM447" s="104">
        <f>CHOOSE(MATCH(IF($U447="","Основний",$U447),{"Трафіковий","Основний","Маржинальний","Сезонний","Стратегічний"},0),0.12,0.145,0.19,0.18,0.22)</f>
        <v/>
      </c>
      <c r="AN447" s="157">
        <f>CHOOSE(MATCH(IF($U447="","Основний",$U447),{"Трафіковий","Основний","Маржинальний","Сезонний","Стратегічний"},0),Settings!$B$78,Settings!$B$80,Settings!$B$82,Settings!$B$84,Settings!$B$86)</f>
        <v/>
      </c>
      <c r="AO447" s="157">
        <f>CHOOSE(MATCH(IF($U447="","Основний",$U447),{"Трафіковий","Основний","Маржинальний","Сезонний","Стратегічний"},0),Settings!$C$78,Settings!$C$80,Settings!$C$82,Settings!$C$84,Settings!$C$86)</f>
        <v/>
      </c>
      <c r="AP447" s="157">
        <f>CHOOSE(MATCH(IF($U447="","Основний",$U447),{"Трафіковий","Основний","Маржинальний","Сезонний","Стратегічний"},0),Settings!$D$78,Settings!$D$80,Settings!$D$82,Settings!$D$84,Settings!$D$86)</f>
        <v/>
      </c>
      <c r="AQ447" s="157">
        <f>CHOOSE(MATCH(IF($U447="","Основний",$U447),{"Трафіковий","Основний","Маржинальний","Сезонний","Стратегічний"},0),Settings!$F$78,Settings!$F$80,Settings!$F$82,Settings!$F$84,Settings!$F$86)</f>
        <v/>
      </c>
      <c r="AR447" s="157">
        <f>CHOOSE(MATCH(IF($U447="","Основний",$U447),{"Трафіковий","Основний","Маржинальний","Сезонний","Стратегічний"},0),Settings!$G$78,Settings!$G$80,Settings!$G$82,Settings!$G$84,Settings!$G$86)</f>
        <v/>
      </c>
      <c r="AS447" s="157">
        <f>CHOOSE(MATCH(IF($U447="","Основний",$U447),{"Трафіковий","Основний","Маржинальний","Сезонний","Стратегічний"},0),Settings!$H$78,Settings!$H$80,Settings!$H$82,Settings!$H$84,Settings!$H$86)</f>
        <v/>
      </c>
      <c r="AT447" s="157">
        <f>CHOOSE(MATCH(IF($U447="","Основний",$U447),{"Трафіковий","Основний","Маржинальний","Сезонний","Стратегічний"},0),Settings!$I$78,Settings!$I$80,Settings!$I$82,Settings!$I$84,Settings!$I$86)</f>
        <v/>
      </c>
      <c r="AU447" s="171" t="n"/>
      <c r="AV447" t="n">
        <v>1.35</v>
      </c>
    </row>
    <row r="448">
      <c r="A448" s="28" t="inlineStr">
        <is>
          <t>SELL OUT</t>
        </is>
      </c>
      <c r="B448" s="29" t="inlineStr">
        <is>
          <t>M3620</t>
        </is>
      </c>
      <c r="C448" s="29" t="inlineStr">
        <is>
          <t>DIGITAL MULTIMETER MD-310</t>
        </is>
      </c>
      <c r="D448" s="29" t="inlineStr">
        <is>
          <t>Тестери, мультиметри</t>
        </is>
      </c>
      <c r="E448" s="28" t="inlineStr">
        <is>
          <t>PC</t>
        </is>
      </c>
      <c r="F448" s="93" t="n">
        <v>10.897</v>
      </c>
      <c r="G448" s="30" t="n">
        <v>9030310090</v>
      </c>
      <c r="H448" s="31" t="n">
        <v>1.3</v>
      </c>
      <c r="I448" s="84">
        <f>IFERROR(F448*Settings!$B$2*H448*IF(AND(ISNUMBER(E448),E448&gt;1),E448,1),"")</f>
        <v/>
      </c>
      <c r="J448" s="32">
        <f>Settings!$B$66</f>
        <v/>
      </c>
      <c r="K448" s="95">
        <f>IFERROR(IF(T448="","",(T448*(1-AN448)*(1-Settings!$B$17)-I448)/(T448*(1-AN448)*(1-Settings!$B$17))),"")</f>
        <v/>
      </c>
      <c r="L448" s="101">
        <f>IFERROR(IF(T448="","",(T448*(1-AO448)*(1-Settings!$C$17)-I448)/(T448*(1-AO448)*(1-Settings!$C$17))),"")</f>
        <v/>
      </c>
      <c r="M448" s="101">
        <f>IFERROR(IF(T448="","",(T448*(1-AP448)*(1-Settings!$D$17)-I448)/(T448*(1-AP448)*(1-Settings!$D$17))),"")</f>
        <v/>
      </c>
      <c r="N448" s="101">
        <f>IFERROR(IF(T448="","",(T448*(1-AQ448)*(1-Settings!$F$17)-I448)/(T448*(1-AQ448)*(1-Settings!$F$17))),"")</f>
        <v/>
      </c>
      <c r="O448" s="101">
        <f>IFERROR(IF(T448="","",(T448*(1-AR448)*(1-Settings!$G$17)-I448)/(T448*(1-AR448)*(1-Settings!$G$17))),"")</f>
        <v/>
      </c>
      <c r="P448" s="101">
        <f>IFERROR(IF(T448="","",(T448*(1-AS448)*(1-Settings!$H$17)-I448)/(T448*(1-AS448)*(1-Settings!$H$17))),"")</f>
        <v/>
      </c>
      <c r="Q448" s="101">
        <f>IFERROR(IF(T448="","",(T448*(1-AT448)*(1-Settings!$I$68)*(1-Settings!$I$17)-I448)/(T448*(1-AT448)*(1-Settings!$I$68)*(1-Settings!$I$17))),"")</f>
        <v/>
      </c>
      <c r="R448" s="91">
        <f>IFERROR(IF(OR(I448="",Z448&gt;=1,Settings!$B$17&gt;=1,AN448&gt;=1),"",IF(MOD(ROUND(I448/(1-Z448)/(1-Settings!$B$17)/(1-AN448),0),10)=0,ROUND(I448/(1-Z448)/(1-Settings!$B$17)/(1-AN448),0)-1,IF(MOD(ROUND(I448/(1-Z448)/(1-Settings!$B$17)/(1-AN448),0),10)&lt;=5,FLOOR(ROUND(I448/(1-Z448)/(1-Settings!$B$17)/(1-AN448),0),10)+6,FLOOR(ROUND(I448/(1-Z448)/(1-Settings!$B$17)/(1-AN448),0),10)+9))),"")</f>
        <v/>
      </c>
      <c r="S448" s="174">
        <f>R448*0.95</f>
        <v/>
      </c>
      <c r="T448" s="91">
        <f>IF(S448&lt;&gt;"", IF(MOD(S448,10)=0,S448-1,IF(MOD(S448,10)&lt;=5,FLOOR(S448,10)+6,FLOOR(S448,10)+9)), R448)</f>
        <v/>
      </c>
      <c r="U448" s="87" t="inlineStr">
        <is>
          <t>Основний</t>
        </is>
      </c>
      <c r="V448" s="88" t="n"/>
      <c r="W448" s="88" t="n"/>
      <c r="X448" s="89">
        <f>IFERROR(IF(OR(V448="",W448="",T448=""),"", IF(T448&gt;W448,"Дорогий",IF(T448&lt;V448,"Дешевий","У ринку"))),"")</f>
        <v/>
      </c>
      <c r="Y448" s="90" t="n"/>
      <c r="Z448" s="104">
        <f>CHOOSE(MATCH(IF($U448="","Основний",$U448),{"Трафіковий","Основний","Маржинальний","Сезонний","Стратегічний"},0),0.16,0.19,0.24,0.23,0.28)</f>
        <v/>
      </c>
      <c r="AA448" s="104">
        <f>CHOOSE(MATCH(IF($U448="","Основний",$U448),{"Трафіковий","Основний","Маржинальний","Сезонний","Стратегічний"},0),0.18,0.21,0.26,0.25,0.3)</f>
        <v/>
      </c>
      <c r="AB448" s="104">
        <f>CHOOSE(MATCH(IF($U448="","Основний",$U448),{"Трафіковий","Основний","Маржинальний","Сезонний","Стратегічний"},0),0.19,0.22,0.28,0.26,0.32)</f>
        <v/>
      </c>
      <c r="AC448" s="104">
        <f>CHOOSE(MATCH(IF($U448="","Основний",$U448),{"Трафіковий","Основний","Маржинальний","Сезонний","Стратегічний"},0),0.17,0.2,0.25,0.24,0.28)</f>
        <v/>
      </c>
      <c r="AD448" s="104">
        <f>CHOOSE(MATCH(IF($U448="","Основний",$U448),{"Трафіковий","Основний","Маржинальний","Сезонний","Стратегічний"},0),0.18,0.21,0.26,0.25,0.3)</f>
        <v/>
      </c>
      <c r="AE448" s="104">
        <f>CHOOSE(MATCH(IF($U448="","Основний",$U448),{"Трафіковий","Основний","Маржинальний","Сезонний","Стратегічний"},0),0.18,0.2,0.28,0.27,0.32)</f>
        <v/>
      </c>
      <c r="AF448" s="104">
        <f>CHOOSE(MATCH(IF($U448="","Основний",$U448),{"Трафіковий","Основний","Маржинальний","Сезонний","Стратегічний"},0),0.15,0.175,0.22,0.21,0.25)</f>
        <v/>
      </c>
      <c r="AG448" s="104">
        <f>CHOOSE(MATCH(IF($U448="","Основний",$U448),{"Трафіковий","Основний","Маржинальний","Сезонний","Стратегічний"},0),0.13,0.16,0.21,0.2,0.25)</f>
        <v/>
      </c>
      <c r="AH448" s="104">
        <f>CHOOSE(MATCH(IF($U448="","Основний",$U448),{"Трафіковий","Основний","Маржинальний","Сезонний","Стратегічний"},0),0.15,0.18,0.23,0.22,0.27)</f>
        <v/>
      </c>
      <c r="AI448" s="104">
        <f>CHOOSE(MATCH(IF($U448="","Основний",$U448),{"Трафіковий","Основний","Маржинальний","Сезонний","Стратегічний"},0),0.16,0.19,0.25,0.23,0.29)</f>
        <v/>
      </c>
      <c r="AJ448" s="104">
        <f>CHOOSE(MATCH(IF($U448="","Основний",$U448),{"Трафіковий","Основний","Маржинальний","Сезонний","Стратегічний"},0),0.14,0.17,0.22,0.21,0.25)</f>
        <v/>
      </c>
      <c r="AK448" s="104">
        <f>CHOOSE(MATCH(IF($U448="","Основний",$U448),{"Трафіковий","Основний","Маржинальний","Сезонний","Стратегічний"},0),0.15,0.18,0.23,0.22,0.27)</f>
        <v/>
      </c>
      <c r="AL448" s="104">
        <f>CHOOSE(MATCH(IF($U448="","Основний",$U448),{"Трафіковий","Основний","Маржинальний","Сезонний","Стратегічний"},0),0.15,0.17,0.25,0.24,0.29)</f>
        <v/>
      </c>
      <c r="AM448" s="104">
        <f>CHOOSE(MATCH(IF($U448="","Основний",$U448),{"Трафіковий","Основний","Маржинальний","Сезонний","Стратегічний"},0),0.12,0.145,0.19,0.18,0.22)</f>
        <v/>
      </c>
      <c r="AN448" s="157">
        <f>CHOOSE(MATCH(IF($U448="","Основний",$U448),{"Трафіковий","Основний","Маржинальний","Сезонний","Стратегічний"},0),Settings!$B$78,Settings!$B$80,Settings!$B$82,Settings!$B$84,Settings!$B$86)</f>
        <v/>
      </c>
      <c r="AO448" s="157">
        <f>CHOOSE(MATCH(IF($U448="","Основний",$U448),{"Трафіковий","Основний","Маржинальний","Сезонний","Стратегічний"},0),Settings!$C$78,Settings!$C$80,Settings!$C$82,Settings!$C$84,Settings!$C$86)</f>
        <v/>
      </c>
      <c r="AP448" s="157">
        <f>CHOOSE(MATCH(IF($U448="","Основний",$U448),{"Трафіковий","Основний","Маржинальний","Сезонний","Стратегічний"},0),Settings!$D$78,Settings!$D$80,Settings!$D$82,Settings!$D$84,Settings!$D$86)</f>
        <v/>
      </c>
      <c r="AQ448" s="157">
        <f>CHOOSE(MATCH(IF($U448="","Основний",$U448),{"Трафіковий","Основний","Маржинальний","Сезонний","Стратегічний"},0),Settings!$F$78,Settings!$F$80,Settings!$F$82,Settings!$F$84,Settings!$F$86)</f>
        <v/>
      </c>
      <c r="AR448" s="157">
        <f>CHOOSE(MATCH(IF($U448="","Основний",$U448),{"Трафіковий","Основний","Маржинальний","Сезонний","Стратегічний"},0),Settings!$G$78,Settings!$G$80,Settings!$G$82,Settings!$G$84,Settings!$G$86)</f>
        <v/>
      </c>
      <c r="AS448" s="157">
        <f>CHOOSE(MATCH(IF($U448="","Основний",$U448),{"Трафіковий","Основний","Маржинальний","Сезонний","Стратегічний"},0),Settings!$H$78,Settings!$H$80,Settings!$H$82,Settings!$H$84,Settings!$H$86)</f>
        <v/>
      </c>
      <c r="AT448" s="157">
        <f>CHOOSE(MATCH(IF($U448="","Основний",$U448),{"Трафіковий","Основний","Маржинальний","Сезонний","Стратегічний"},0),Settings!$I$78,Settings!$I$80,Settings!$I$82,Settings!$I$84,Settings!$I$86)</f>
        <v/>
      </c>
      <c r="AU448" s="171" t="n"/>
      <c r="AV448" t="n">
        <v>1.35</v>
      </c>
    </row>
    <row r="449">
      <c r="A449" s="33" t="inlineStr">
        <is>
          <t>SELL OUT</t>
        </is>
      </c>
      <c r="B449" s="34" t="inlineStr">
        <is>
          <t>M3691</t>
        </is>
      </c>
      <c r="C449" s="34" t="inlineStr">
        <is>
          <t>DIGITAL MULTIMETER MD-410</t>
        </is>
      </c>
      <c r="D449" s="34" t="inlineStr">
        <is>
          <t>Тестери, мультиметри</t>
        </is>
      </c>
      <c r="E449" s="33" t="inlineStr">
        <is>
          <t>PC</t>
        </is>
      </c>
      <c r="F449" s="94" t="n">
        <v>14.683</v>
      </c>
      <c r="G449" s="35" t="n">
        <v>9030310090</v>
      </c>
      <c r="H449" s="31" t="n">
        <v>1.3</v>
      </c>
      <c r="I449" s="84">
        <f>IFERROR(F449*Settings!$B$2*H449*IF(AND(ISNUMBER(E449),E449&gt;1),E449,1),"")</f>
        <v/>
      </c>
      <c r="J449" s="32">
        <f>Settings!$B$66</f>
        <v/>
      </c>
      <c r="K449" s="95">
        <f>IFERROR(IF(T449="","",(T449*(1-AN449)*(1-Settings!$B$17)-I449)/(T449*(1-AN449)*(1-Settings!$B$17))),"")</f>
        <v/>
      </c>
      <c r="L449" s="101">
        <f>IFERROR(IF(T449="","",(T449*(1-AO449)*(1-Settings!$C$17)-I449)/(T449*(1-AO449)*(1-Settings!$C$17))),"")</f>
        <v/>
      </c>
      <c r="M449" s="101">
        <f>IFERROR(IF(T449="","",(T449*(1-AP449)*(1-Settings!$D$17)-I449)/(T449*(1-AP449)*(1-Settings!$D$17))),"")</f>
        <v/>
      </c>
      <c r="N449" s="101">
        <f>IFERROR(IF(T449="","",(T449*(1-AQ449)*(1-Settings!$F$17)-I449)/(T449*(1-AQ449)*(1-Settings!$F$17))),"")</f>
        <v/>
      </c>
      <c r="O449" s="101">
        <f>IFERROR(IF(T449="","",(T449*(1-AR449)*(1-Settings!$G$17)-I449)/(T449*(1-AR449)*(1-Settings!$G$17))),"")</f>
        <v/>
      </c>
      <c r="P449" s="101">
        <f>IFERROR(IF(T449="","",(T449*(1-AS449)*(1-Settings!$H$17)-I449)/(T449*(1-AS449)*(1-Settings!$H$17))),"")</f>
        <v/>
      </c>
      <c r="Q449" s="101">
        <f>IFERROR(IF(T449="","",(T449*(1-AT449)*(1-Settings!$I$68)*(1-Settings!$I$17)-I449)/(T449*(1-AT449)*(1-Settings!$I$68)*(1-Settings!$I$17))),"")</f>
        <v/>
      </c>
      <c r="R449" s="91">
        <f>IFERROR(IF(OR(I449="",Z449&gt;=1,Settings!$B$17&gt;=1,AN449&gt;=1),"",IF(MOD(ROUND(I449/(1-Z449)/(1-Settings!$B$17)/(1-AN449),0),10)=0,ROUND(I449/(1-Z449)/(1-Settings!$B$17)/(1-AN449),0)-1,IF(MOD(ROUND(I449/(1-Z449)/(1-Settings!$B$17)/(1-AN449),0),10)&lt;=5,FLOOR(ROUND(I449/(1-Z449)/(1-Settings!$B$17)/(1-AN449),0),10)+6,FLOOR(ROUND(I449/(1-Z449)/(1-Settings!$B$17)/(1-AN449),0),10)+9))),"")</f>
        <v/>
      </c>
      <c r="S449" s="174">
        <f>R449*0.95</f>
        <v/>
      </c>
      <c r="T449" s="91">
        <f>IF(S449&lt;&gt;"", IF(MOD(S449,10)=0,S449-1,IF(MOD(S449,10)&lt;=5,FLOOR(S449,10)+6,FLOOR(S449,10)+9)), R449)</f>
        <v/>
      </c>
      <c r="U449" s="87" t="inlineStr">
        <is>
          <t>Основний</t>
        </is>
      </c>
      <c r="V449" s="88" t="n"/>
      <c r="W449" s="88" t="n"/>
      <c r="X449" s="89">
        <f>IFERROR(IF(OR(V449="",W449="",T449=""),"", IF(T449&gt;W449,"Дорогий",IF(T449&lt;V449,"Дешевий","У ринку"))),"")</f>
        <v/>
      </c>
      <c r="Y449" s="90" t="n"/>
      <c r="Z449" s="104">
        <f>CHOOSE(MATCH(IF($U449="","Основний",$U449),{"Трафіковий","Основний","Маржинальний","Сезонний","Стратегічний"},0),0.16,0.19,0.24,0.23,0.28)</f>
        <v/>
      </c>
      <c r="AA449" s="104">
        <f>CHOOSE(MATCH(IF($U449="","Основний",$U449),{"Трафіковий","Основний","Маржинальний","Сезонний","Стратегічний"},0),0.18,0.21,0.26,0.25,0.3)</f>
        <v/>
      </c>
      <c r="AB449" s="104">
        <f>CHOOSE(MATCH(IF($U449="","Основний",$U449),{"Трафіковий","Основний","Маржинальний","Сезонний","Стратегічний"},0),0.19,0.22,0.28,0.26,0.32)</f>
        <v/>
      </c>
      <c r="AC449" s="104">
        <f>CHOOSE(MATCH(IF($U449="","Основний",$U449),{"Трафіковий","Основний","Маржинальний","Сезонний","Стратегічний"},0),0.17,0.2,0.25,0.24,0.28)</f>
        <v/>
      </c>
      <c r="AD449" s="104">
        <f>CHOOSE(MATCH(IF($U449="","Основний",$U449),{"Трафіковий","Основний","Маржинальний","Сезонний","Стратегічний"},0),0.18,0.21,0.26,0.25,0.3)</f>
        <v/>
      </c>
      <c r="AE449" s="104">
        <f>CHOOSE(MATCH(IF($U449="","Основний",$U449),{"Трафіковий","Основний","Маржинальний","Сезонний","Стратегічний"},0),0.18,0.2,0.28,0.27,0.32)</f>
        <v/>
      </c>
      <c r="AF449" s="104">
        <f>CHOOSE(MATCH(IF($U449="","Основний",$U449),{"Трафіковий","Основний","Маржинальний","Сезонний","Стратегічний"},0),0.15,0.175,0.22,0.21,0.25)</f>
        <v/>
      </c>
      <c r="AG449" s="104">
        <f>CHOOSE(MATCH(IF($U449="","Основний",$U449),{"Трафіковий","Основний","Маржинальний","Сезонний","Стратегічний"},0),0.13,0.16,0.21,0.2,0.25)</f>
        <v/>
      </c>
      <c r="AH449" s="104">
        <f>CHOOSE(MATCH(IF($U449="","Основний",$U449),{"Трафіковий","Основний","Маржинальний","Сезонний","Стратегічний"},0),0.15,0.18,0.23,0.22,0.27)</f>
        <v/>
      </c>
      <c r="AI449" s="104">
        <f>CHOOSE(MATCH(IF($U449="","Основний",$U449),{"Трафіковий","Основний","Маржинальний","Сезонний","Стратегічний"},0),0.16,0.19,0.25,0.23,0.29)</f>
        <v/>
      </c>
      <c r="AJ449" s="104">
        <f>CHOOSE(MATCH(IF($U449="","Основний",$U449),{"Трафіковий","Основний","Маржинальний","Сезонний","Стратегічний"},0),0.14,0.17,0.22,0.21,0.25)</f>
        <v/>
      </c>
      <c r="AK449" s="104">
        <f>CHOOSE(MATCH(IF($U449="","Основний",$U449),{"Трафіковий","Основний","Маржинальний","Сезонний","Стратегічний"},0),0.15,0.18,0.23,0.22,0.27)</f>
        <v/>
      </c>
      <c r="AL449" s="104">
        <f>CHOOSE(MATCH(IF($U449="","Основний",$U449),{"Трафіковий","Основний","Маржинальний","Сезонний","Стратегічний"},0),0.15,0.17,0.25,0.24,0.29)</f>
        <v/>
      </c>
      <c r="AM449" s="104">
        <f>CHOOSE(MATCH(IF($U449="","Основний",$U449),{"Трафіковий","Основний","Маржинальний","Сезонний","Стратегічний"},0),0.12,0.145,0.19,0.18,0.22)</f>
        <v/>
      </c>
      <c r="AN449" s="157">
        <f>CHOOSE(MATCH(IF($U449="","Основний",$U449),{"Трафіковий","Основний","Маржинальний","Сезонний","Стратегічний"},0),Settings!$B$78,Settings!$B$80,Settings!$B$82,Settings!$B$84,Settings!$B$86)</f>
        <v/>
      </c>
      <c r="AO449" s="157">
        <f>CHOOSE(MATCH(IF($U449="","Основний",$U449),{"Трафіковий","Основний","Маржинальний","Сезонний","Стратегічний"},0),Settings!$C$78,Settings!$C$80,Settings!$C$82,Settings!$C$84,Settings!$C$86)</f>
        <v/>
      </c>
      <c r="AP449" s="157">
        <f>CHOOSE(MATCH(IF($U449="","Основний",$U449),{"Трафіковий","Основний","Маржинальний","Сезонний","Стратегічний"},0),Settings!$D$78,Settings!$D$80,Settings!$D$82,Settings!$D$84,Settings!$D$86)</f>
        <v/>
      </c>
      <c r="AQ449" s="157">
        <f>CHOOSE(MATCH(IF($U449="","Основний",$U449),{"Трафіковий","Основний","Маржинальний","Сезонний","Стратегічний"},0),Settings!$F$78,Settings!$F$80,Settings!$F$82,Settings!$F$84,Settings!$F$86)</f>
        <v/>
      </c>
      <c r="AR449" s="157">
        <f>CHOOSE(MATCH(IF($U449="","Основний",$U449),{"Трафіковий","Основний","Маржинальний","Сезонний","Стратегічний"},0),Settings!$G$78,Settings!$G$80,Settings!$G$82,Settings!$G$84,Settings!$G$86)</f>
        <v/>
      </c>
      <c r="AS449" s="157">
        <f>CHOOSE(MATCH(IF($U449="","Основний",$U449),{"Трафіковий","Основний","Маржинальний","Сезонний","Стратегічний"},0),Settings!$H$78,Settings!$H$80,Settings!$H$82,Settings!$H$84,Settings!$H$86)</f>
        <v/>
      </c>
      <c r="AT449" s="157">
        <f>CHOOSE(MATCH(IF($U449="","Основний",$U449),{"Трафіковий","Основний","Маржинальний","Сезонний","Стратегічний"},0),Settings!$I$78,Settings!$I$80,Settings!$I$82,Settings!$I$84,Settings!$I$86)</f>
        <v/>
      </c>
      <c r="AU449" s="171" t="n"/>
      <c r="AV449" t="n">
        <v>1.35</v>
      </c>
    </row>
    <row r="450">
      <c r="A450" s="28" t="inlineStr">
        <is>
          <t>SELL OUT</t>
        </is>
      </c>
      <c r="B450" s="29" t="inlineStr">
        <is>
          <t>M0420</t>
        </is>
      </c>
      <c r="C450" s="29" t="inlineStr">
        <is>
          <t>MULTIMETER MD-420</t>
        </is>
      </c>
      <c r="D450" s="29" t="inlineStr">
        <is>
          <t>Тестери, мультиметри</t>
        </is>
      </c>
      <c r="E450" s="28" t="inlineStr">
        <is>
          <t>PC</t>
        </is>
      </c>
      <c r="F450" s="93" t="n">
        <v>16.765</v>
      </c>
      <c r="G450" s="30" t="n">
        <v>9030310090</v>
      </c>
      <c r="H450" s="31" t="n">
        <v>1.3</v>
      </c>
      <c r="I450" s="84">
        <f>IFERROR(F450*Settings!$B$2*H450*IF(AND(ISNUMBER(E450),E450&gt;1),E450,1),"")</f>
        <v/>
      </c>
      <c r="J450" s="32">
        <f>Settings!$B$66</f>
        <v/>
      </c>
      <c r="K450" s="95">
        <f>IFERROR(IF(T450="","",(T450*(1-AN450)*(1-Settings!$B$17)-I450)/(T450*(1-AN450)*(1-Settings!$B$17))),"")</f>
        <v/>
      </c>
      <c r="L450" s="101">
        <f>IFERROR(IF(T450="","",(T450*(1-AO450)*(1-Settings!$C$17)-I450)/(T450*(1-AO450)*(1-Settings!$C$17))),"")</f>
        <v/>
      </c>
      <c r="M450" s="101">
        <f>IFERROR(IF(T450="","",(T450*(1-AP450)*(1-Settings!$D$17)-I450)/(T450*(1-AP450)*(1-Settings!$D$17))),"")</f>
        <v/>
      </c>
      <c r="N450" s="101">
        <f>IFERROR(IF(T450="","",(T450*(1-AQ450)*(1-Settings!$F$17)-I450)/(T450*(1-AQ450)*(1-Settings!$F$17))),"")</f>
        <v/>
      </c>
      <c r="O450" s="101">
        <f>IFERROR(IF(T450="","",(T450*(1-AR450)*(1-Settings!$G$17)-I450)/(T450*(1-AR450)*(1-Settings!$G$17))),"")</f>
        <v/>
      </c>
      <c r="P450" s="101">
        <f>IFERROR(IF(T450="","",(T450*(1-AS450)*(1-Settings!$H$17)-I450)/(T450*(1-AS450)*(1-Settings!$H$17))),"")</f>
        <v/>
      </c>
      <c r="Q450" s="101">
        <f>IFERROR(IF(T450="","",(T450*(1-AT450)*(1-Settings!$I$68)*(1-Settings!$I$17)-I450)/(T450*(1-AT450)*(1-Settings!$I$68)*(1-Settings!$I$17))),"")</f>
        <v/>
      </c>
      <c r="R450" s="91">
        <f>IFERROR(IF(OR(I450="",Z450&gt;=1,Settings!$B$17&gt;=1,AN450&gt;=1),"",IF(MOD(ROUND(I450/(1-Z450)/(1-Settings!$B$17)/(1-AN450),0),10)=0,ROUND(I450/(1-Z450)/(1-Settings!$B$17)/(1-AN450),0)-1,IF(MOD(ROUND(I450/(1-Z450)/(1-Settings!$B$17)/(1-AN450),0),10)&lt;=5,FLOOR(ROUND(I450/(1-Z450)/(1-Settings!$B$17)/(1-AN450),0),10)+6,FLOOR(ROUND(I450/(1-Z450)/(1-Settings!$B$17)/(1-AN450),0),10)+9))),"")</f>
        <v/>
      </c>
      <c r="S450" s="174">
        <f>R450*0.95</f>
        <v/>
      </c>
      <c r="T450" s="91">
        <f>IF(S450&lt;&gt;"", IF(MOD(S450,10)=0,S450-1,IF(MOD(S450,10)&lt;=5,FLOOR(S450,10)+6,FLOOR(S450,10)+9)), R450)</f>
        <v/>
      </c>
      <c r="U450" s="87" t="inlineStr">
        <is>
          <t>Основний</t>
        </is>
      </c>
      <c r="V450" s="88" t="n"/>
      <c r="W450" s="88" t="n"/>
      <c r="X450" s="89">
        <f>IFERROR(IF(OR(V450="",W450="",T450=""),"", IF(T450&gt;W450,"Дорогий",IF(T450&lt;V450,"Дешевий","У ринку"))),"")</f>
        <v/>
      </c>
      <c r="Y450" s="90" t="n"/>
      <c r="Z450" s="104">
        <f>CHOOSE(MATCH(IF($U450="","Основний",$U450),{"Трафіковий","Основний","Маржинальний","Сезонний","Стратегічний"},0),0.16,0.19,0.24,0.23,0.28)</f>
        <v/>
      </c>
      <c r="AA450" s="104">
        <f>CHOOSE(MATCH(IF($U450="","Основний",$U450),{"Трафіковий","Основний","Маржинальний","Сезонний","Стратегічний"},0),0.18,0.21,0.26,0.25,0.3)</f>
        <v/>
      </c>
      <c r="AB450" s="104">
        <f>CHOOSE(MATCH(IF($U450="","Основний",$U450),{"Трафіковий","Основний","Маржинальний","Сезонний","Стратегічний"},0),0.19,0.22,0.28,0.26,0.32)</f>
        <v/>
      </c>
      <c r="AC450" s="104">
        <f>CHOOSE(MATCH(IF($U450="","Основний",$U450),{"Трафіковий","Основний","Маржинальний","Сезонний","Стратегічний"},0),0.17,0.2,0.25,0.24,0.28)</f>
        <v/>
      </c>
      <c r="AD450" s="104">
        <f>CHOOSE(MATCH(IF($U450="","Основний",$U450),{"Трафіковий","Основний","Маржинальний","Сезонний","Стратегічний"},0),0.18,0.21,0.26,0.25,0.3)</f>
        <v/>
      </c>
      <c r="AE450" s="104">
        <f>CHOOSE(MATCH(IF($U450="","Основний",$U450),{"Трафіковий","Основний","Маржинальний","Сезонний","Стратегічний"},0),0.18,0.2,0.28,0.27,0.32)</f>
        <v/>
      </c>
      <c r="AF450" s="104">
        <f>CHOOSE(MATCH(IF($U450="","Основний",$U450),{"Трафіковий","Основний","Маржинальний","Сезонний","Стратегічний"},0),0.15,0.175,0.22,0.21,0.25)</f>
        <v/>
      </c>
      <c r="AG450" s="104">
        <f>CHOOSE(MATCH(IF($U450="","Основний",$U450),{"Трафіковий","Основний","Маржинальний","Сезонний","Стратегічний"},0),0.13,0.16,0.21,0.2,0.25)</f>
        <v/>
      </c>
      <c r="AH450" s="104">
        <f>CHOOSE(MATCH(IF($U450="","Основний",$U450),{"Трафіковий","Основний","Маржинальний","Сезонний","Стратегічний"},0),0.15,0.18,0.23,0.22,0.27)</f>
        <v/>
      </c>
      <c r="AI450" s="104">
        <f>CHOOSE(MATCH(IF($U450="","Основний",$U450),{"Трафіковий","Основний","Маржинальний","Сезонний","Стратегічний"},0),0.16,0.19,0.25,0.23,0.29)</f>
        <v/>
      </c>
      <c r="AJ450" s="104">
        <f>CHOOSE(MATCH(IF($U450="","Основний",$U450),{"Трафіковий","Основний","Маржинальний","Сезонний","Стратегічний"},0),0.14,0.17,0.22,0.21,0.25)</f>
        <v/>
      </c>
      <c r="AK450" s="104">
        <f>CHOOSE(MATCH(IF($U450="","Основний",$U450),{"Трафіковий","Основний","Маржинальний","Сезонний","Стратегічний"},0),0.15,0.18,0.23,0.22,0.27)</f>
        <v/>
      </c>
      <c r="AL450" s="104">
        <f>CHOOSE(MATCH(IF($U450="","Основний",$U450),{"Трафіковий","Основний","Маржинальний","Сезонний","Стратегічний"},0),0.15,0.17,0.25,0.24,0.29)</f>
        <v/>
      </c>
      <c r="AM450" s="104">
        <f>CHOOSE(MATCH(IF($U450="","Основний",$U450),{"Трафіковий","Основний","Маржинальний","Сезонний","Стратегічний"},0),0.12,0.145,0.19,0.18,0.22)</f>
        <v/>
      </c>
      <c r="AN450" s="157">
        <f>CHOOSE(MATCH(IF($U450="","Основний",$U450),{"Трафіковий","Основний","Маржинальний","Сезонний","Стратегічний"},0),Settings!$B$78,Settings!$B$80,Settings!$B$82,Settings!$B$84,Settings!$B$86)</f>
        <v/>
      </c>
      <c r="AO450" s="157">
        <f>CHOOSE(MATCH(IF($U450="","Основний",$U450),{"Трафіковий","Основний","Маржинальний","Сезонний","Стратегічний"},0),Settings!$C$78,Settings!$C$80,Settings!$C$82,Settings!$C$84,Settings!$C$86)</f>
        <v/>
      </c>
      <c r="AP450" s="157">
        <f>CHOOSE(MATCH(IF($U450="","Основний",$U450),{"Трафіковий","Основний","Маржинальний","Сезонний","Стратегічний"},0),Settings!$D$78,Settings!$D$80,Settings!$D$82,Settings!$D$84,Settings!$D$86)</f>
        <v/>
      </c>
      <c r="AQ450" s="157">
        <f>CHOOSE(MATCH(IF($U450="","Основний",$U450),{"Трафіковий","Основний","Маржинальний","Сезонний","Стратегічний"},0),Settings!$F$78,Settings!$F$80,Settings!$F$82,Settings!$F$84,Settings!$F$86)</f>
        <v/>
      </c>
      <c r="AR450" s="157">
        <f>CHOOSE(MATCH(IF($U450="","Основний",$U450),{"Трафіковий","Основний","Маржинальний","Сезонний","Стратегічний"},0),Settings!$G$78,Settings!$G$80,Settings!$G$82,Settings!$G$84,Settings!$G$86)</f>
        <v/>
      </c>
      <c r="AS450" s="157">
        <f>CHOOSE(MATCH(IF($U450="","Основний",$U450),{"Трафіковий","Основний","Маржинальний","Сезонний","Стратегічний"},0),Settings!$H$78,Settings!$H$80,Settings!$H$82,Settings!$H$84,Settings!$H$86)</f>
        <v/>
      </c>
      <c r="AT450" s="157">
        <f>CHOOSE(MATCH(IF($U450="","Основний",$U450),{"Трафіковий","Основний","Маржинальний","Сезонний","Стратегічний"},0),Settings!$I$78,Settings!$I$80,Settings!$I$82,Settings!$I$84,Settings!$I$86)</f>
        <v/>
      </c>
      <c r="AU450" s="171" t="n"/>
      <c r="AV450" t="n">
        <v>1.35</v>
      </c>
    </row>
    <row r="451">
      <c r="A451" s="33" t="inlineStr">
        <is>
          <t>SELL OUT</t>
        </is>
      </c>
      <c r="B451" s="34" t="inlineStr">
        <is>
          <t>M0400</t>
        </is>
      </c>
      <c r="C451" s="34" t="inlineStr">
        <is>
          <t>CLAMP MULTIMETER MD-410C</t>
        </is>
      </c>
      <c r="D451" s="34" t="inlineStr">
        <is>
          <t>Тестери, мультиметри</t>
        </is>
      </c>
      <c r="E451" s="33" t="inlineStr">
        <is>
          <t>PC</t>
        </is>
      </c>
      <c r="F451" s="94" t="n">
        <v>30.488</v>
      </c>
      <c r="G451" s="35" t="n">
        <v>9030310090</v>
      </c>
      <c r="H451" s="31" t="n">
        <v>1.3</v>
      </c>
      <c r="I451" s="84">
        <f>IFERROR(F451*Settings!$B$2*H451*IF(AND(ISNUMBER(E451),E451&gt;1),E451,1),"")</f>
        <v/>
      </c>
      <c r="J451" s="32">
        <f>Settings!$B$66</f>
        <v/>
      </c>
      <c r="K451" s="95">
        <f>IFERROR(IF(T451="","",(T451*(1-AN451)*(1-Settings!$B$17)-I451)/(T451*(1-AN451)*(1-Settings!$B$17))),"")</f>
        <v/>
      </c>
      <c r="L451" s="101">
        <f>IFERROR(IF(T451="","",(T451*(1-AO451)*(1-Settings!$C$17)-I451)/(T451*(1-AO451)*(1-Settings!$C$17))),"")</f>
        <v/>
      </c>
      <c r="M451" s="101">
        <f>IFERROR(IF(T451="","",(T451*(1-AP451)*(1-Settings!$D$17)-I451)/(T451*(1-AP451)*(1-Settings!$D$17))),"")</f>
        <v/>
      </c>
      <c r="N451" s="101">
        <f>IFERROR(IF(T451="","",(T451*(1-AQ451)*(1-Settings!$F$17)-I451)/(T451*(1-AQ451)*(1-Settings!$F$17))),"")</f>
        <v/>
      </c>
      <c r="O451" s="101">
        <f>IFERROR(IF(T451="","",(T451*(1-AR451)*(1-Settings!$G$17)-I451)/(T451*(1-AR451)*(1-Settings!$G$17))),"")</f>
        <v/>
      </c>
      <c r="P451" s="101">
        <f>IFERROR(IF(T451="","",(T451*(1-AS451)*(1-Settings!$H$17)-I451)/(T451*(1-AS451)*(1-Settings!$H$17))),"")</f>
        <v/>
      </c>
      <c r="Q451" s="101">
        <f>IFERROR(IF(T451="","",(T451*(1-AT451)*(1-Settings!$I$68)*(1-Settings!$I$17)-I451)/(T451*(1-AT451)*(1-Settings!$I$68)*(1-Settings!$I$17))),"")</f>
        <v/>
      </c>
      <c r="R451" s="91">
        <f>IFERROR(IF(OR(I451="",Z451&gt;=1,Settings!$B$17&gt;=1,AN451&gt;=1),"",IF(MOD(ROUND(I451/(1-Z451)/(1-Settings!$B$17)/(1-AN451),0),10)=0,ROUND(I451/(1-Z451)/(1-Settings!$B$17)/(1-AN451),0)-1,IF(MOD(ROUND(I451/(1-Z451)/(1-Settings!$B$17)/(1-AN451),0),10)&lt;=5,FLOOR(ROUND(I451/(1-Z451)/(1-Settings!$B$17)/(1-AN451),0),10)+6,FLOOR(ROUND(I451/(1-Z451)/(1-Settings!$B$17)/(1-AN451),0),10)+9))),"")</f>
        <v/>
      </c>
      <c r="S451" s="174">
        <f>R451*0.95</f>
        <v/>
      </c>
      <c r="T451" s="91">
        <f>IF(S451&lt;&gt;"", IF(MOD(S451,10)=0,S451-1,IF(MOD(S451,10)&lt;=5,FLOOR(S451,10)+6,FLOOR(S451,10)+9)), R451)</f>
        <v/>
      </c>
      <c r="U451" s="87" t="inlineStr">
        <is>
          <t>Основний</t>
        </is>
      </c>
      <c r="V451" s="88" t="n"/>
      <c r="W451" s="88" t="n"/>
      <c r="X451" s="89">
        <f>IFERROR(IF(OR(V451="",W451="",T451=""),"", IF(T451&gt;W451,"Дорогий",IF(T451&lt;V451,"Дешевий","У ринку"))),"")</f>
        <v/>
      </c>
      <c r="Y451" s="90" t="n"/>
      <c r="Z451" s="104">
        <f>CHOOSE(MATCH(IF($U451="","Основний",$U451),{"Трафіковий","Основний","Маржинальний","Сезонний","Стратегічний"},0),0.16,0.19,0.24,0.23,0.28)</f>
        <v/>
      </c>
      <c r="AA451" s="104">
        <f>CHOOSE(MATCH(IF($U451="","Основний",$U451),{"Трафіковий","Основний","Маржинальний","Сезонний","Стратегічний"},0),0.18,0.21,0.26,0.25,0.3)</f>
        <v/>
      </c>
      <c r="AB451" s="104">
        <f>CHOOSE(MATCH(IF($U451="","Основний",$U451),{"Трафіковий","Основний","Маржинальний","Сезонний","Стратегічний"},0),0.19,0.22,0.28,0.26,0.32)</f>
        <v/>
      </c>
      <c r="AC451" s="104">
        <f>CHOOSE(MATCH(IF($U451="","Основний",$U451),{"Трафіковий","Основний","Маржинальний","Сезонний","Стратегічний"},0),0.17,0.2,0.25,0.24,0.28)</f>
        <v/>
      </c>
      <c r="AD451" s="104">
        <f>CHOOSE(MATCH(IF($U451="","Основний",$U451),{"Трафіковий","Основний","Маржинальний","Сезонний","Стратегічний"},0),0.18,0.21,0.26,0.25,0.3)</f>
        <v/>
      </c>
      <c r="AE451" s="104">
        <f>CHOOSE(MATCH(IF($U451="","Основний",$U451),{"Трафіковий","Основний","Маржинальний","Сезонний","Стратегічний"},0),0.18,0.2,0.28,0.27,0.32)</f>
        <v/>
      </c>
      <c r="AF451" s="104">
        <f>CHOOSE(MATCH(IF($U451="","Основний",$U451),{"Трафіковий","Основний","Маржинальний","Сезонний","Стратегічний"},0),0.15,0.175,0.22,0.21,0.25)</f>
        <v/>
      </c>
      <c r="AG451" s="104">
        <f>CHOOSE(MATCH(IF($U451="","Основний",$U451),{"Трафіковий","Основний","Маржинальний","Сезонний","Стратегічний"},0),0.13,0.16,0.21,0.2,0.25)</f>
        <v/>
      </c>
      <c r="AH451" s="104">
        <f>CHOOSE(MATCH(IF($U451="","Основний",$U451),{"Трафіковий","Основний","Маржинальний","Сезонний","Стратегічний"},0),0.15,0.18,0.23,0.22,0.27)</f>
        <v/>
      </c>
      <c r="AI451" s="104">
        <f>CHOOSE(MATCH(IF($U451="","Основний",$U451),{"Трафіковий","Основний","Маржинальний","Сезонний","Стратегічний"},0),0.16,0.19,0.25,0.23,0.29)</f>
        <v/>
      </c>
      <c r="AJ451" s="104">
        <f>CHOOSE(MATCH(IF($U451="","Основний",$U451),{"Трафіковий","Основний","Маржинальний","Сезонний","Стратегічний"},0),0.14,0.17,0.22,0.21,0.25)</f>
        <v/>
      </c>
      <c r="AK451" s="104">
        <f>CHOOSE(MATCH(IF($U451="","Основний",$U451),{"Трафіковий","Основний","Маржинальний","Сезонний","Стратегічний"},0),0.15,0.18,0.23,0.22,0.27)</f>
        <v/>
      </c>
      <c r="AL451" s="104">
        <f>CHOOSE(MATCH(IF($U451="","Основний",$U451),{"Трафіковий","Основний","Маржинальний","Сезонний","Стратегічний"},0),0.15,0.17,0.25,0.24,0.29)</f>
        <v/>
      </c>
      <c r="AM451" s="104">
        <f>CHOOSE(MATCH(IF($U451="","Основний",$U451),{"Трафіковий","Основний","Маржинальний","Сезонний","Стратегічний"},0),0.12,0.145,0.19,0.18,0.22)</f>
        <v/>
      </c>
      <c r="AN451" s="157">
        <f>CHOOSE(MATCH(IF($U451="","Основний",$U451),{"Трафіковий","Основний","Маржинальний","Сезонний","Стратегічний"},0),Settings!$B$78,Settings!$B$80,Settings!$B$82,Settings!$B$84,Settings!$B$86)</f>
        <v/>
      </c>
      <c r="AO451" s="157">
        <f>CHOOSE(MATCH(IF($U451="","Основний",$U451),{"Трафіковий","Основний","Маржинальний","Сезонний","Стратегічний"},0),Settings!$C$78,Settings!$C$80,Settings!$C$82,Settings!$C$84,Settings!$C$86)</f>
        <v/>
      </c>
      <c r="AP451" s="157">
        <f>CHOOSE(MATCH(IF($U451="","Основний",$U451),{"Трафіковий","Основний","Маржинальний","Сезонний","Стратегічний"},0),Settings!$D$78,Settings!$D$80,Settings!$D$82,Settings!$D$84,Settings!$D$86)</f>
        <v/>
      </c>
      <c r="AQ451" s="157">
        <f>CHOOSE(MATCH(IF($U451="","Основний",$U451),{"Трафіковий","Основний","Маржинальний","Сезонний","Стратегічний"},0),Settings!$F$78,Settings!$F$80,Settings!$F$82,Settings!$F$84,Settings!$F$86)</f>
        <v/>
      </c>
      <c r="AR451" s="157">
        <f>CHOOSE(MATCH(IF($U451="","Основний",$U451),{"Трафіковий","Основний","Маржинальний","Сезонний","Стратегічний"},0),Settings!$G$78,Settings!$G$80,Settings!$G$82,Settings!$G$84,Settings!$G$86)</f>
        <v/>
      </c>
      <c r="AS451" s="157">
        <f>CHOOSE(MATCH(IF($U451="","Основний",$U451),{"Трафіковий","Основний","Маржинальний","Сезонний","Стратегічний"},0),Settings!$H$78,Settings!$H$80,Settings!$H$82,Settings!$H$84,Settings!$H$86)</f>
        <v/>
      </c>
      <c r="AT451" s="157">
        <f>CHOOSE(MATCH(IF($U451="","Основний",$U451),{"Трафіковий","Основний","Маржинальний","Сезонний","Стратегічний"},0),Settings!$I$78,Settings!$I$80,Settings!$I$82,Settings!$I$84,Settings!$I$86)</f>
        <v/>
      </c>
      <c r="AU451" s="171" t="n"/>
      <c r="AV451" t="n">
        <v>1.35</v>
      </c>
    </row>
    <row r="452">
      <c r="A452" s="28" t="inlineStr">
        <is>
          <t>SELL OUT</t>
        </is>
      </c>
      <c r="B452" s="29" t="inlineStr">
        <is>
          <t>M0305</t>
        </is>
      </c>
      <c r="C452" s="29" t="inlineStr">
        <is>
          <t>CLAMP MULTIMETER MD-310C</t>
        </is>
      </c>
      <c r="D452" s="29" t="inlineStr">
        <is>
          <t>Тестери, мультиметри</t>
        </is>
      </c>
      <c r="E452" s="28" t="inlineStr">
        <is>
          <t>PC</t>
        </is>
      </c>
      <c r="F452" s="93" t="n">
        <v>16.035</v>
      </c>
      <c r="G452" s="30" t="n">
        <v>9030310090</v>
      </c>
      <c r="H452" s="31" t="n">
        <v>1.3</v>
      </c>
      <c r="I452" s="84">
        <f>IFERROR(F452*Settings!$B$2*H452*IF(AND(ISNUMBER(E452),E452&gt;1),E452,1),"")</f>
        <v/>
      </c>
      <c r="J452" s="32">
        <f>Settings!$B$66</f>
        <v/>
      </c>
      <c r="K452" s="95">
        <f>IFERROR(IF(T452="","",(T452*(1-AN452)*(1-Settings!$B$17)-I452)/(T452*(1-AN452)*(1-Settings!$B$17))),"")</f>
        <v/>
      </c>
      <c r="L452" s="101">
        <f>IFERROR(IF(T452="","",(T452*(1-AO452)*(1-Settings!$C$17)-I452)/(T452*(1-AO452)*(1-Settings!$C$17))),"")</f>
        <v/>
      </c>
      <c r="M452" s="101">
        <f>IFERROR(IF(T452="","",(T452*(1-AP452)*(1-Settings!$D$17)-I452)/(T452*(1-AP452)*(1-Settings!$D$17))),"")</f>
        <v/>
      </c>
      <c r="N452" s="101">
        <f>IFERROR(IF(T452="","",(T452*(1-AQ452)*(1-Settings!$F$17)-I452)/(T452*(1-AQ452)*(1-Settings!$F$17))),"")</f>
        <v/>
      </c>
      <c r="O452" s="101">
        <f>IFERROR(IF(T452="","",(T452*(1-AR452)*(1-Settings!$G$17)-I452)/(T452*(1-AR452)*(1-Settings!$G$17))),"")</f>
        <v/>
      </c>
      <c r="P452" s="101">
        <f>IFERROR(IF(T452="","",(T452*(1-AS452)*(1-Settings!$H$17)-I452)/(T452*(1-AS452)*(1-Settings!$H$17))),"")</f>
        <v/>
      </c>
      <c r="Q452" s="101">
        <f>IFERROR(IF(T452="","",(T452*(1-AT452)*(1-Settings!$I$68)*(1-Settings!$I$17)-I452)/(T452*(1-AT452)*(1-Settings!$I$68)*(1-Settings!$I$17))),"")</f>
        <v/>
      </c>
      <c r="R452" s="91">
        <f>IFERROR(IF(OR(I452="",Z452&gt;=1,Settings!$B$17&gt;=1,AN452&gt;=1),"",IF(MOD(ROUND(I452/(1-Z452)/(1-Settings!$B$17)/(1-AN452),0),10)=0,ROUND(I452/(1-Z452)/(1-Settings!$B$17)/(1-AN452),0)-1,IF(MOD(ROUND(I452/(1-Z452)/(1-Settings!$B$17)/(1-AN452),0),10)&lt;=5,FLOOR(ROUND(I452/(1-Z452)/(1-Settings!$B$17)/(1-AN452),0),10)+6,FLOOR(ROUND(I452/(1-Z452)/(1-Settings!$B$17)/(1-AN452),0),10)+9))),"")</f>
        <v/>
      </c>
      <c r="S452" s="174">
        <f>R452*0.95</f>
        <v/>
      </c>
      <c r="T452" s="91">
        <f>IF(S452&lt;&gt;"", IF(MOD(S452,10)=0,S452-1,IF(MOD(S452,10)&lt;=5,FLOOR(S452,10)+6,FLOOR(S452,10)+9)), R452)</f>
        <v/>
      </c>
      <c r="U452" s="87" t="inlineStr">
        <is>
          <t>Основний</t>
        </is>
      </c>
      <c r="V452" s="88" t="n"/>
      <c r="W452" s="88" t="n"/>
      <c r="X452" s="89">
        <f>IFERROR(IF(OR(V452="",W452="",T452=""),"", IF(T452&gt;W452,"Дорогий",IF(T452&lt;V452,"Дешевий","У ринку"))),"")</f>
        <v/>
      </c>
      <c r="Y452" s="90" t="n"/>
      <c r="Z452" s="104">
        <f>CHOOSE(MATCH(IF($U452="","Основний",$U452),{"Трафіковий","Основний","Маржинальний","Сезонний","Стратегічний"},0),0.16,0.19,0.24,0.23,0.28)</f>
        <v/>
      </c>
      <c r="AA452" s="104">
        <f>CHOOSE(MATCH(IF($U452="","Основний",$U452),{"Трафіковий","Основний","Маржинальний","Сезонний","Стратегічний"},0),0.18,0.21,0.26,0.25,0.3)</f>
        <v/>
      </c>
      <c r="AB452" s="104">
        <f>CHOOSE(MATCH(IF($U452="","Основний",$U452),{"Трафіковий","Основний","Маржинальний","Сезонний","Стратегічний"},0),0.19,0.22,0.28,0.26,0.32)</f>
        <v/>
      </c>
      <c r="AC452" s="104">
        <f>CHOOSE(MATCH(IF($U452="","Основний",$U452),{"Трафіковий","Основний","Маржинальний","Сезонний","Стратегічний"},0),0.17,0.2,0.25,0.24,0.28)</f>
        <v/>
      </c>
      <c r="AD452" s="104">
        <f>CHOOSE(MATCH(IF($U452="","Основний",$U452),{"Трафіковий","Основний","Маржинальний","Сезонний","Стратегічний"},0),0.18,0.21,0.26,0.25,0.3)</f>
        <v/>
      </c>
      <c r="AE452" s="104">
        <f>CHOOSE(MATCH(IF($U452="","Основний",$U452),{"Трафіковий","Основний","Маржинальний","Сезонний","Стратегічний"},0),0.18,0.2,0.28,0.27,0.32)</f>
        <v/>
      </c>
      <c r="AF452" s="104">
        <f>CHOOSE(MATCH(IF($U452="","Основний",$U452),{"Трафіковий","Основний","Маржинальний","Сезонний","Стратегічний"},0),0.15,0.175,0.22,0.21,0.25)</f>
        <v/>
      </c>
      <c r="AG452" s="104">
        <f>CHOOSE(MATCH(IF($U452="","Основний",$U452),{"Трафіковий","Основний","Маржинальний","Сезонний","Стратегічний"},0),0.13,0.16,0.21,0.2,0.25)</f>
        <v/>
      </c>
      <c r="AH452" s="104">
        <f>CHOOSE(MATCH(IF($U452="","Основний",$U452),{"Трафіковий","Основний","Маржинальний","Сезонний","Стратегічний"},0),0.15,0.18,0.23,0.22,0.27)</f>
        <v/>
      </c>
      <c r="AI452" s="104">
        <f>CHOOSE(MATCH(IF($U452="","Основний",$U452),{"Трафіковий","Основний","Маржинальний","Сезонний","Стратегічний"},0),0.16,0.19,0.25,0.23,0.29)</f>
        <v/>
      </c>
      <c r="AJ452" s="104">
        <f>CHOOSE(MATCH(IF($U452="","Основний",$U452),{"Трафіковий","Основний","Маржинальний","Сезонний","Стратегічний"},0),0.14,0.17,0.22,0.21,0.25)</f>
        <v/>
      </c>
      <c r="AK452" s="104">
        <f>CHOOSE(MATCH(IF($U452="","Основний",$U452),{"Трафіковий","Основний","Маржинальний","Сезонний","Стратегічний"},0),0.15,0.18,0.23,0.22,0.27)</f>
        <v/>
      </c>
      <c r="AL452" s="104">
        <f>CHOOSE(MATCH(IF($U452="","Основний",$U452),{"Трафіковий","Основний","Маржинальний","Сезонний","Стратегічний"},0),0.15,0.17,0.25,0.24,0.29)</f>
        <v/>
      </c>
      <c r="AM452" s="104">
        <f>CHOOSE(MATCH(IF($U452="","Основний",$U452),{"Трафіковий","Основний","Маржинальний","Сезонний","Стратегічний"},0),0.12,0.145,0.19,0.18,0.22)</f>
        <v/>
      </c>
      <c r="AN452" s="157">
        <f>CHOOSE(MATCH(IF($U452="","Основний",$U452),{"Трафіковий","Основний","Маржинальний","Сезонний","Стратегічний"},0),Settings!$B$78,Settings!$B$80,Settings!$B$82,Settings!$B$84,Settings!$B$86)</f>
        <v/>
      </c>
      <c r="AO452" s="157">
        <f>CHOOSE(MATCH(IF($U452="","Основний",$U452),{"Трафіковий","Основний","Маржинальний","Сезонний","Стратегічний"},0),Settings!$C$78,Settings!$C$80,Settings!$C$82,Settings!$C$84,Settings!$C$86)</f>
        <v/>
      </c>
      <c r="AP452" s="157">
        <f>CHOOSE(MATCH(IF($U452="","Основний",$U452),{"Трафіковий","Основний","Маржинальний","Сезонний","Стратегічний"},0),Settings!$D$78,Settings!$D$80,Settings!$D$82,Settings!$D$84,Settings!$D$86)</f>
        <v/>
      </c>
      <c r="AQ452" s="157">
        <f>CHOOSE(MATCH(IF($U452="","Основний",$U452),{"Трафіковий","Основний","Маржинальний","Сезонний","Стратегічний"},0),Settings!$F$78,Settings!$F$80,Settings!$F$82,Settings!$F$84,Settings!$F$86)</f>
        <v/>
      </c>
      <c r="AR452" s="157">
        <f>CHOOSE(MATCH(IF($U452="","Основний",$U452),{"Трафіковий","Основний","Маржинальний","Сезонний","Стратегічний"},0),Settings!$G$78,Settings!$G$80,Settings!$G$82,Settings!$G$84,Settings!$G$86)</f>
        <v/>
      </c>
      <c r="AS452" s="157">
        <f>CHOOSE(MATCH(IF($U452="","Основний",$U452),{"Трафіковий","Основний","Маржинальний","Сезонний","Стратегічний"},0),Settings!$H$78,Settings!$H$80,Settings!$H$82,Settings!$H$84,Settings!$H$86)</f>
        <v/>
      </c>
      <c r="AT452" s="157">
        <f>CHOOSE(MATCH(IF($U452="","Основний",$U452),{"Трафіковий","Основний","Маржинальний","Сезонний","Стратегічний"},0),Settings!$I$78,Settings!$I$80,Settings!$I$82,Settings!$I$84,Settings!$I$86)</f>
        <v/>
      </c>
      <c r="AU452" s="171" t="n"/>
      <c r="AV452" t="n">
        <v>1.35</v>
      </c>
    </row>
    <row r="453">
      <c r="A453" s="33" t="inlineStr">
        <is>
          <t>SELL OUT</t>
        </is>
      </c>
      <c r="B453" s="34" t="inlineStr">
        <is>
          <t>M0430</t>
        </is>
      </c>
      <c r="C453" s="34" t="inlineStr">
        <is>
          <t>MULTIMETER MD-430</t>
        </is>
      </c>
      <c r="D453" s="34" t="inlineStr">
        <is>
          <t>Тестери, мультиметри</t>
        </is>
      </c>
      <c r="E453" s="33" t="inlineStr">
        <is>
          <t>PC</t>
        </is>
      </c>
      <c r="F453" s="94" t="n">
        <v>17.576</v>
      </c>
      <c r="G453" s="35" t="n">
        <v>9030310090</v>
      </c>
      <c r="H453" s="31" t="n">
        <v>1.3</v>
      </c>
      <c r="I453" s="84">
        <f>IFERROR(F453*Settings!$B$2*H453*IF(AND(ISNUMBER(E453),E453&gt;1),E453,1),"")</f>
        <v/>
      </c>
      <c r="J453" s="32">
        <f>Settings!$B$66</f>
        <v/>
      </c>
      <c r="K453" s="95">
        <f>IFERROR(IF(T453="","",(T453*(1-AN453)*(1-Settings!$B$17)-I453)/(T453*(1-AN453)*(1-Settings!$B$17))),"")</f>
        <v/>
      </c>
      <c r="L453" s="101">
        <f>IFERROR(IF(T453="","",(T453*(1-AO453)*(1-Settings!$C$17)-I453)/(T453*(1-AO453)*(1-Settings!$C$17))),"")</f>
        <v/>
      </c>
      <c r="M453" s="101">
        <f>IFERROR(IF(T453="","",(T453*(1-AP453)*(1-Settings!$D$17)-I453)/(T453*(1-AP453)*(1-Settings!$D$17))),"")</f>
        <v/>
      </c>
      <c r="N453" s="101">
        <f>IFERROR(IF(T453="","",(T453*(1-AQ453)*(1-Settings!$F$17)-I453)/(T453*(1-AQ453)*(1-Settings!$F$17))),"")</f>
        <v/>
      </c>
      <c r="O453" s="101">
        <f>IFERROR(IF(T453="","",(T453*(1-AR453)*(1-Settings!$G$17)-I453)/(T453*(1-AR453)*(1-Settings!$G$17))),"")</f>
        <v/>
      </c>
      <c r="P453" s="101">
        <f>IFERROR(IF(T453="","",(T453*(1-AS453)*(1-Settings!$H$17)-I453)/(T453*(1-AS453)*(1-Settings!$H$17))),"")</f>
        <v/>
      </c>
      <c r="Q453" s="101">
        <f>IFERROR(IF(T453="","",(T453*(1-AT453)*(1-Settings!$I$68)*(1-Settings!$I$17)-I453)/(T453*(1-AT453)*(1-Settings!$I$68)*(1-Settings!$I$17))),"")</f>
        <v/>
      </c>
      <c r="R453" s="91">
        <f>IFERROR(IF(OR(I453="",Z453&gt;=1,Settings!$B$17&gt;=1,AN453&gt;=1),"",IF(MOD(ROUND(I453/(1-Z453)/(1-Settings!$B$17)/(1-AN453),0),10)=0,ROUND(I453/(1-Z453)/(1-Settings!$B$17)/(1-AN453),0)-1,IF(MOD(ROUND(I453/(1-Z453)/(1-Settings!$B$17)/(1-AN453),0),10)&lt;=5,FLOOR(ROUND(I453/(1-Z453)/(1-Settings!$B$17)/(1-AN453),0),10)+6,FLOOR(ROUND(I453/(1-Z453)/(1-Settings!$B$17)/(1-AN453),0),10)+9))),"")</f>
        <v/>
      </c>
      <c r="S453" s="174">
        <f>R453*0.95</f>
        <v/>
      </c>
      <c r="T453" s="91">
        <f>IF(S453&lt;&gt;"", IF(MOD(S453,10)=0,S453-1,IF(MOD(S453,10)&lt;=5,FLOOR(S453,10)+6,FLOOR(S453,10)+9)), R453)</f>
        <v/>
      </c>
      <c r="U453" s="87" t="inlineStr">
        <is>
          <t>Основний</t>
        </is>
      </c>
      <c r="V453" s="88" t="n"/>
      <c r="W453" s="88" t="n"/>
      <c r="X453" s="89">
        <f>IFERROR(IF(OR(V453="",W453="",T453=""),"", IF(T453&gt;W453,"Дорогий",IF(T453&lt;V453,"Дешевий","У ринку"))),"")</f>
        <v/>
      </c>
      <c r="Y453" s="90" t="n"/>
      <c r="Z453" s="104">
        <f>CHOOSE(MATCH(IF($U453="","Основний",$U453),{"Трафіковий","Основний","Маржинальний","Сезонний","Стратегічний"},0),0.16,0.19,0.24,0.23,0.28)</f>
        <v/>
      </c>
      <c r="AA453" s="104">
        <f>CHOOSE(MATCH(IF($U453="","Основний",$U453),{"Трафіковий","Основний","Маржинальний","Сезонний","Стратегічний"},0),0.18,0.21,0.26,0.25,0.3)</f>
        <v/>
      </c>
      <c r="AB453" s="104">
        <f>CHOOSE(MATCH(IF($U453="","Основний",$U453),{"Трафіковий","Основний","Маржинальний","Сезонний","Стратегічний"},0),0.19,0.22,0.28,0.26,0.32)</f>
        <v/>
      </c>
      <c r="AC453" s="104">
        <f>CHOOSE(MATCH(IF($U453="","Основний",$U453),{"Трафіковий","Основний","Маржинальний","Сезонний","Стратегічний"},0),0.17,0.2,0.25,0.24,0.28)</f>
        <v/>
      </c>
      <c r="AD453" s="104">
        <f>CHOOSE(MATCH(IF($U453="","Основний",$U453),{"Трафіковий","Основний","Маржинальний","Сезонний","Стратегічний"},0),0.18,0.21,0.26,0.25,0.3)</f>
        <v/>
      </c>
      <c r="AE453" s="104">
        <f>CHOOSE(MATCH(IF($U453="","Основний",$U453),{"Трафіковий","Основний","Маржинальний","Сезонний","Стратегічний"},0),0.18,0.2,0.28,0.27,0.32)</f>
        <v/>
      </c>
      <c r="AF453" s="104">
        <f>CHOOSE(MATCH(IF($U453="","Основний",$U453),{"Трафіковий","Основний","Маржинальний","Сезонний","Стратегічний"},0),0.15,0.175,0.22,0.21,0.25)</f>
        <v/>
      </c>
      <c r="AG453" s="104">
        <f>CHOOSE(MATCH(IF($U453="","Основний",$U453),{"Трафіковий","Основний","Маржинальний","Сезонний","Стратегічний"},0),0.13,0.16,0.21,0.2,0.25)</f>
        <v/>
      </c>
      <c r="AH453" s="104">
        <f>CHOOSE(MATCH(IF($U453="","Основний",$U453),{"Трафіковий","Основний","Маржинальний","Сезонний","Стратегічний"},0),0.15,0.18,0.23,0.22,0.27)</f>
        <v/>
      </c>
      <c r="AI453" s="104">
        <f>CHOOSE(MATCH(IF($U453="","Основний",$U453),{"Трафіковий","Основний","Маржинальний","Сезонний","Стратегічний"},0),0.16,0.19,0.25,0.23,0.29)</f>
        <v/>
      </c>
      <c r="AJ453" s="104">
        <f>CHOOSE(MATCH(IF($U453="","Основний",$U453),{"Трафіковий","Основний","Маржинальний","Сезонний","Стратегічний"},0),0.14,0.17,0.22,0.21,0.25)</f>
        <v/>
      </c>
      <c r="AK453" s="104">
        <f>CHOOSE(MATCH(IF($U453="","Основний",$U453),{"Трафіковий","Основний","Маржинальний","Сезонний","Стратегічний"},0),0.15,0.18,0.23,0.22,0.27)</f>
        <v/>
      </c>
      <c r="AL453" s="104">
        <f>CHOOSE(MATCH(IF($U453="","Основний",$U453),{"Трафіковий","Основний","Маржинальний","Сезонний","Стратегічний"},0),0.15,0.17,0.25,0.24,0.29)</f>
        <v/>
      </c>
      <c r="AM453" s="104">
        <f>CHOOSE(MATCH(IF($U453="","Основний",$U453),{"Трафіковий","Основний","Маржинальний","Сезонний","Стратегічний"},0),0.12,0.145,0.19,0.18,0.22)</f>
        <v/>
      </c>
      <c r="AN453" s="157">
        <f>CHOOSE(MATCH(IF($U453="","Основний",$U453),{"Трафіковий","Основний","Маржинальний","Сезонний","Стратегічний"},0),Settings!$B$78,Settings!$B$80,Settings!$B$82,Settings!$B$84,Settings!$B$86)</f>
        <v/>
      </c>
      <c r="AO453" s="157">
        <f>CHOOSE(MATCH(IF($U453="","Основний",$U453),{"Трафіковий","Основний","Маржинальний","Сезонний","Стратегічний"},0),Settings!$C$78,Settings!$C$80,Settings!$C$82,Settings!$C$84,Settings!$C$86)</f>
        <v/>
      </c>
      <c r="AP453" s="157">
        <f>CHOOSE(MATCH(IF($U453="","Основний",$U453),{"Трафіковий","Основний","Маржинальний","Сезонний","Стратегічний"},0),Settings!$D$78,Settings!$D$80,Settings!$D$82,Settings!$D$84,Settings!$D$86)</f>
        <v/>
      </c>
      <c r="AQ453" s="157">
        <f>CHOOSE(MATCH(IF($U453="","Основний",$U453),{"Трафіковий","Основний","Маржинальний","Сезонний","Стратегічний"},0),Settings!$F$78,Settings!$F$80,Settings!$F$82,Settings!$F$84,Settings!$F$86)</f>
        <v/>
      </c>
      <c r="AR453" s="157">
        <f>CHOOSE(MATCH(IF($U453="","Основний",$U453),{"Трафіковий","Основний","Маржинальний","Сезонний","Стратегічний"},0),Settings!$G$78,Settings!$G$80,Settings!$G$82,Settings!$G$84,Settings!$G$86)</f>
        <v/>
      </c>
      <c r="AS453" s="157">
        <f>CHOOSE(MATCH(IF($U453="","Основний",$U453),{"Трафіковий","Основний","Маржинальний","Сезонний","Стратегічний"},0),Settings!$H$78,Settings!$H$80,Settings!$H$82,Settings!$H$84,Settings!$H$86)</f>
        <v/>
      </c>
      <c r="AT453" s="157">
        <f>CHOOSE(MATCH(IF($U453="","Основний",$U453),{"Трафіковий","Основний","Маржинальний","Сезонний","Стратегічний"},0),Settings!$I$78,Settings!$I$80,Settings!$I$82,Settings!$I$84,Settings!$I$86)</f>
        <v/>
      </c>
      <c r="AU453" s="171" t="n"/>
      <c r="AV453" t="n">
        <v>1.35</v>
      </c>
    </row>
    <row r="454">
      <c r="A454" s="28" t="inlineStr">
        <is>
          <t>SELL OUT</t>
        </is>
      </c>
      <c r="B454" s="29" t="inlineStr">
        <is>
          <t>M0230</t>
        </is>
      </c>
      <c r="C454" s="29" t="inlineStr">
        <is>
          <t>MULTIMETER MD-230</t>
        </is>
      </c>
      <c r="D454" s="29" t="inlineStr">
        <is>
          <t>Тестери, мультиметри</t>
        </is>
      </c>
      <c r="E454" s="28" t="inlineStr">
        <is>
          <t>PC</t>
        </is>
      </c>
      <c r="F454" s="93" t="n">
        <v>8.653</v>
      </c>
      <c r="G454" s="30" t="n">
        <v>9030310090</v>
      </c>
      <c r="H454" s="31" t="n">
        <v>1.3</v>
      </c>
      <c r="I454" s="84">
        <f>IFERROR(F454*Settings!$B$2*H454*IF(AND(ISNUMBER(E454),E454&gt;1),E454,1),"")</f>
        <v/>
      </c>
      <c r="J454" s="32">
        <f>Settings!$B$66</f>
        <v/>
      </c>
      <c r="K454" s="95">
        <f>IFERROR(IF(T454="","",(T454*(1-AN454)*(1-Settings!$B$17)-I454)/(T454*(1-AN454)*(1-Settings!$B$17))),"")</f>
        <v/>
      </c>
      <c r="L454" s="101">
        <f>IFERROR(IF(T454="","",(T454*(1-AO454)*(1-Settings!$C$17)-I454)/(T454*(1-AO454)*(1-Settings!$C$17))),"")</f>
        <v/>
      </c>
      <c r="M454" s="101">
        <f>IFERROR(IF(T454="","",(T454*(1-AP454)*(1-Settings!$D$17)-I454)/(T454*(1-AP454)*(1-Settings!$D$17))),"")</f>
        <v/>
      </c>
      <c r="N454" s="101">
        <f>IFERROR(IF(T454="","",(T454*(1-AQ454)*(1-Settings!$F$17)-I454)/(T454*(1-AQ454)*(1-Settings!$F$17))),"")</f>
        <v/>
      </c>
      <c r="O454" s="101">
        <f>IFERROR(IF(T454="","",(T454*(1-AR454)*(1-Settings!$G$17)-I454)/(T454*(1-AR454)*(1-Settings!$G$17))),"")</f>
        <v/>
      </c>
      <c r="P454" s="101">
        <f>IFERROR(IF(T454="","",(T454*(1-AS454)*(1-Settings!$H$17)-I454)/(T454*(1-AS454)*(1-Settings!$H$17))),"")</f>
        <v/>
      </c>
      <c r="Q454" s="101">
        <f>IFERROR(IF(T454="","",(T454*(1-AT454)*(1-Settings!$I$68)*(1-Settings!$I$17)-I454)/(T454*(1-AT454)*(1-Settings!$I$68)*(1-Settings!$I$17))),"")</f>
        <v/>
      </c>
      <c r="R454" s="91">
        <f>IFERROR(IF(OR(I454="",Z454&gt;=1,Settings!$B$17&gt;=1,AN454&gt;=1),"",IF(MOD(ROUND(I454/(1-Z454)/(1-Settings!$B$17)/(1-AN454),0),10)=0,ROUND(I454/(1-Z454)/(1-Settings!$B$17)/(1-AN454),0)-1,IF(MOD(ROUND(I454/(1-Z454)/(1-Settings!$B$17)/(1-AN454),0),10)&lt;=5,FLOOR(ROUND(I454/(1-Z454)/(1-Settings!$B$17)/(1-AN454),0),10)+6,FLOOR(ROUND(I454/(1-Z454)/(1-Settings!$B$17)/(1-AN454),0),10)+9))),"")</f>
        <v/>
      </c>
      <c r="S454" s="174">
        <f>R454*0.95</f>
        <v/>
      </c>
      <c r="T454" s="91">
        <f>IF(S454&lt;&gt;"", IF(MOD(S454,10)=0,S454-1,IF(MOD(S454,10)&lt;=5,FLOOR(S454,10)+6,FLOOR(S454,10)+9)), R454)</f>
        <v/>
      </c>
      <c r="U454" s="87" t="inlineStr">
        <is>
          <t>Основний</t>
        </is>
      </c>
      <c r="V454" s="88" t="n"/>
      <c r="W454" s="88" t="n"/>
      <c r="X454" s="89">
        <f>IFERROR(IF(OR(V454="",W454="",T454=""),"", IF(T454&gt;W454,"Дорогий",IF(T454&lt;V454,"Дешевий","У ринку"))),"")</f>
        <v/>
      </c>
      <c r="Y454" s="90" t="n"/>
      <c r="Z454" s="104">
        <f>CHOOSE(MATCH(IF($U454="","Основний",$U454),{"Трафіковий","Основний","Маржинальний","Сезонний","Стратегічний"},0),0.16,0.19,0.24,0.23,0.28)</f>
        <v/>
      </c>
      <c r="AA454" s="104">
        <f>CHOOSE(MATCH(IF($U454="","Основний",$U454),{"Трафіковий","Основний","Маржинальний","Сезонний","Стратегічний"},0),0.18,0.21,0.26,0.25,0.3)</f>
        <v/>
      </c>
      <c r="AB454" s="104">
        <f>CHOOSE(MATCH(IF($U454="","Основний",$U454),{"Трафіковий","Основний","Маржинальний","Сезонний","Стратегічний"},0),0.19,0.22,0.28,0.26,0.32)</f>
        <v/>
      </c>
      <c r="AC454" s="104">
        <f>CHOOSE(MATCH(IF($U454="","Основний",$U454),{"Трафіковий","Основний","Маржинальний","Сезонний","Стратегічний"},0),0.17,0.2,0.25,0.24,0.28)</f>
        <v/>
      </c>
      <c r="AD454" s="104">
        <f>CHOOSE(MATCH(IF($U454="","Основний",$U454),{"Трафіковий","Основний","Маржинальний","Сезонний","Стратегічний"},0),0.18,0.21,0.26,0.25,0.3)</f>
        <v/>
      </c>
      <c r="AE454" s="104">
        <f>CHOOSE(MATCH(IF($U454="","Основний",$U454),{"Трафіковий","Основний","Маржинальний","Сезонний","Стратегічний"},0),0.18,0.2,0.28,0.27,0.32)</f>
        <v/>
      </c>
      <c r="AF454" s="104">
        <f>CHOOSE(MATCH(IF($U454="","Основний",$U454),{"Трафіковий","Основний","Маржинальний","Сезонний","Стратегічний"},0),0.15,0.175,0.22,0.21,0.25)</f>
        <v/>
      </c>
      <c r="AG454" s="104">
        <f>CHOOSE(MATCH(IF($U454="","Основний",$U454),{"Трафіковий","Основний","Маржинальний","Сезонний","Стратегічний"},0),0.13,0.16,0.21,0.2,0.25)</f>
        <v/>
      </c>
      <c r="AH454" s="104">
        <f>CHOOSE(MATCH(IF($U454="","Основний",$U454),{"Трафіковий","Основний","Маржинальний","Сезонний","Стратегічний"},0),0.15,0.18,0.23,0.22,0.27)</f>
        <v/>
      </c>
      <c r="AI454" s="104">
        <f>CHOOSE(MATCH(IF($U454="","Основний",$U454),{"Трафіковий","Основний","Маржинальний","Сезонний","Стратегічний"},0),0.16,0.19,0.25,0.23,0.29)</f>
        <v/>
      </c>
      <c r="AJ454" s="104">
        <f>CHOOSE(MATCH(IF($U454="","Основний",$U454),{"Трафіковий","Основний","Маржинальний","Сезонний","Стратегічний"},0),0.14,0.17,0.22,0.21,0.25)</f>
        <v/>
      </c>
      <c r="AK454" s="104">
        <f>CHOOSE(MATCH(IF($U454="","Основний",$U454),{"Трафіковий","Основний","Маржинальний","Сезонний","Стратегічний"},0),0.15,0.18,0.23,0.22,0.27)</f>
        <v/>
      </c>
      <c r="AL454" s="104">
        <f>CHOOSE(MATCH(IF($U454="","Основний",$U454),{"Трафіковий","Основний","Маржинальний","Сезонний","Стратегічний"},0),0.15,0.17,0.25,0.24,0.29)</f>
        <v/>
      </c>
      <c r="AM454" s="104">
        <f>CHOOSE(MATCH(IF($U454="","Основний",$U454),{"Трафіковий","Основний","Маржинальний","Сезонний","Стратегічний"},0),0.12,0.145,0.19,0.18,0.22)</f>
        <v/>
      </c>
      <c r="AN454" s="157">
        <f>CHOOSE(MATCH(IF($U454="","Основний",$U454),{"Трафіковий","Основний","Маржинальний","Сезонний","Стратегічний"},0),Settings!$B$78,Settings!$B$80,Settings!$B$82,Settings!$B$84,Settings!$B$86)</f>
        <v/>
      </c>
      <c r="AO454" s="157">
        <f>CHOOSE(MATCH(IF($U454="","Основний",$U454),{"Трафіковий","Основний","Маржинальний","Сезонний","Стратегічний"},0),Settings!$C$78,Settings!$C$80,Settings!$C$82,Settings!$C$84,Settings!$C$86)</f>
        <v/>
      </c>
      <c r="AP454" s="157">
        <f>CHOOSE(MATCH(IF($U454="","Основний",$U454),{"Трафіковий","Основний","Маржинальний","Сезонний","Стратегічний"},0),Settings!$D$78,Settings!$D$80,Settings!$D$82,Settings!$D$84,Settings!$D$86)</f>
        <v/>
      </c>
      <c r="AQ454" s="157">
        <f>CHOOSE(MATCH(IF($U454="","Основний",$U454),{"Трафіковий","Основний","Маржинальний","Сезонний","Стратегічний"},0),Settings!$F$78,Settings!$F$80,Settings!$F$82,Settings!$F$84,Settings!$F$86)</f>
        <v/>
      </c>
      <c r="AR454" s="157">
        <f>CHOOSE(MATCH(IF($U454="","Основний",$U454),{"Трафіковий","Основний","Маржинальний","Сезонний","Стратегічний"},0),Settings!$G$78,Settings!$G$80,Settings!$G$82,Settings!$G$84,Settings!$G$86)</f>
        <v/>
      </c>
      <c r="AS454" s="157">
        <f>CHOOSE(MATCH(IF($U454="","Основний",$U454),{"Трафіковий","Основний","Маржинальний","Сезонний","Стратегічний"},0),Settings!$H$78,Settings!$H$80,Settings!$H$82,Settings!$H$84,Settings!$H$86)</f>
        <v/>
      </c>
      <c r="AT454" s="157">
        <f>CHOOSE(MATCH(IF($U454="","Основний",$U454),{"Трафіковий","Основний","Маржинальний","Сезонний","Стратегічний"},0),Settings!$I$78,Settings!$I$80,Settings!$I$82,Settings!$I$84,Settings!$I$86)</f>
        <v/>
      </c>
      <c r="AU454" s="171" t="n"/>
      <c r="AV454" t="n">
        <v>1.35</v>
      </c>
    </row>
    <row r="455">
      <c r="A455" s="33" t="inlineStr">
        <is>
          <t>SELL OUT</t>
        </is>
      </c>
      <c r="B455" s="34" t="inlineStr">
        <is>
          <t>M3216</t>
        </is>
      </c>
      <c r="C455" s="34" t="inlineStr">
        <is>
          <t>DIGITAL MULTIMETER MD-300</t>
        </is>
      </c>
      <c r="D455" s="34" t="inlineStr">
        <is>
          <t>Тестери, мультиметри</t>
        </is>
      </c>
      <c r="E455" s="33" t="inlineStr">
        <is>
          <t>PC</t>
        </is>
      </c>
      <c r="F455" s="94" t="n">
        <v>9.869</v>
      </c>
      <c r="G455" s="35" t="n">
        <v>9030310090</v>
      </c>
      <c r="H455" s="31" t="n">
        <v>1.3</v>
      </c>
      <c r="I455" s="84">
        <f>IFERROR(F455*Settings!$B$2*H455*IF(AND(ISNUMBER(E455),E455&gt;1),E455,1),"")</f>
        <v/>
      </c>
      <c r="J455" s="32">
        <f>Settings!$B$66</f>
        <v/>
      </c>
      <c r="K455" s="95">
        <f>IFERROR(IF(T455="","",(T455*(1-AN455)*(1-Settings!$B$17)-I455)/(T455*(1-AN455)*(1-Settings!$B$17))),"")</f>
        <v/>
      </c>
      <c r="L455" s="101">
        <f>IFERROR(IF(T455="","",(T455*(1-AO455)*(1-Settings!$C$17)-I455)/(T455*(1-AO455)*(1-Settings!$C$17))),"")</f>
        <v/>
      </c>
      <c r="M455" s="101">
        <f>IFERROR(IF(T455="","",(T455*(1-AP455)*(1-Settings!$D$17)-I455)/(T455*(1-AP455)*(1-Settings!$D$17))),"")</f>
        <v/>
      </c>
      <c r="N455" s="101">
        <f>IFERROR(IF(T455="","",(T455*(1-AQ455)*(1-Settings!$F$17)-I455)/(T455*(1-AQ455)*(1-Settings!$F$17))),"")</f>
        <v/>
      </c>
      <c r="O455" s="101">
        <f>IFERROR(IF(T455="","",(T455*(1-AR455)*(1-Settings!$G$17)-I455)/(T455*(1-AR455)*(1-Settings!$G$17))),"")</f>
        <v/>
      </c>
      <c r="P455" s="101">
        <f>IFERROR(IF(T455="","",(T455*(1-AS455)*(1-Settings!$H$17)-I455)/(T455*(1-AS455)*(1-Settings!$H$17))),"")</f>
        <v/>
      </c>
      <c r="Q455" s="101">
        <f>IFERROR(IF(T455="","",(T455*(1-AT455)*(1-Settings!$I$68)*(1-Settings!$I$17)-I455)/(T455*(1-AT455)*(1-Settings!$I$68)*(1-Settings!$I$17))),"")</f>
        <v/>
      </c>
      <c r="R455" s="91">
        <f>IFERROR(IF(OR(I455="",Z455&gt;=1,Settings!$B$17&gt;=1,AN455&gt;=1),"",IF(MOD(ROUND(I455/(1-Z455)/(1-Settings!$B$17)/(1-AN455),0),10)=0,ROUND(I455/(1-Z455)/(1-Settings!$B$17)/(1-AN455),0)-1,IF(MOD(ROUND(I455/(1-Z455)/(1-Settings!$B$17)/(1-AN455),0),10)&lt;=5,FLOOR(ROUND(I455/(1-Z455)/(1-Settings!$B$17)/(1-AN455),0),10)+6,FLOOR(ROUND(I455/(1-Z455)/(1-Settings!$B$17)/(1-AN455),0),10)+9))),"")</f>
        <v/>
      </c>
      <c r="S455" s="174">
        <f>R455*0.95</f>
        <v/>
      </c>
      <c r="T455" s="91">
        <f>IF(S455&lt;&gt;"", IF(MOD(S455,10)=0,S455-1,IF(MOD(S455,10)&lt;=5,FLOOR(S455,10)+6,FLOOR(S455,10)+9)), R455)</f>
        <v/>
      </c>
      <c r="U455" s="87" t="inlineStr">
        <is>
          <t>Основний</t>
        </is>
      </c>
      <c r="V455" s="88" t="n"/>
      <c r="W455" s="88" t="n"/>
      <c r="X455" s="89">
        <f>IFERROR(IF(OR(V455="",W455="",T455=""),"", IF(T455&gt;W455,"Дорогий",IF(T455&lt;V455,"Дешевий","У ринку"))),"")</f>
        <v/>
      </c>
      <c r="Y455" s="90" t="n"/>
      <c r="Z455" s="104">
        <f>CHOOSE(MATCH(IF($U455="","Основний",$U455),{"Трафіковий","Основний","Маржинальний","Сезонний","Стратегічний"},0),0.16,0.19,0.24,0.23,0.28)</f>
        <v/>
      </c>
      <c r="AA455" s="104">
        <f>CHOOSE(MATCH(IF($U455="","Основний",$U455),{"Трафіковий","Основний","Маржинальний","Сезонний","Стратегічний"},0),0.18,0.21,0.26,0.25,0.3)</f>
        <v/>
      </c>
      <c r="AB455" s="104">
        <f>CHOOSE(MATCH(IF($U455="","Основний",$U455),{"Трафіковий","Основний","Маржинальний","Сезонний","Стратегічний"},0),0.19,0.22,0.28,0.26,0.32)</f>
        <v/>
      </c>
      <c r="AC455" s="104">
        <f>CHOOSE(MATCH(IF($U455="","Основний",$U455),{"Трафіковий","Основний","Маржинальний","Сезонний","Стратегічний"},0),0.17,0.2,0.25,0.24,0.28)</f>
        <v/>
      </c>
      <c r="AD455" s="104">
        <f>CHOOSE(MATCH(IF($U455="","Основний",$U455),{"Трафіковий","Основний","Маржинальний","Сезонний","Стратегічний"},0),0.18,0.21,0.26,0.25,0.3)</f>
        <v/>
      </c>
      <c r="AE455" s="104">
        <f>CHOOSE(MATCH(IF($U455="","Основний",$U455),{"Трафіковий","Основний","Маржинальний","Сезонний","Стратегічний"},0),0.18,0.2,0.28,0.27,0.32)</f>
        <v/>
      </c>
      <c r="AF455" s="104">
        <f>CHOOSE(MATCH(IF($U455="","Основний",$U455),{"Трафіковий","Основний","Маржинальний","Сезонний","Стратегічний"},0),0.15,0.175,0.22,0.21,0.25)</f>
        <v/>
      </c>
      <c r="AG455" s="104">
        <f>CHOOSE(MATCH(IF($U455="","Основний",$U455),{"Трафіковий","Основний","Маржинальний","Сезонний","Стратегічний"},0),0.13,0.16,0.21,0.2,0.25)</f>
        <v/>
      </c>
      <c r="AH455" s="104">
        <f>CHOOSE(MATCH(IF($U455="","Основний",$U455),{"Трафіковий","Основний","Маржинальний","Сезонний","Стратегічний"},0),0.15,0.18,0.23,0.22,0.27)</f>
        <v/>
      </c>
      <c r="AI455" s="104">
        <f>CHOOSE(MATCH(IF($U455="","Основний",$U455),{"Трафіковий","Основний","Маржинальний","Сезонний","Стратегічний"},0),0.16,0.19,0.25,0.23,0.29)</f>
        <v/>
      </c>
      <c r="AJ455" s="104">
        <f>CHOOSE(MATCH(IF($U455="","Основний",$U455),{"Трафіковий","Основний","Маржинальний","Сезонний","Стратегічний"},0),0.14,0.17,0.22,0.21,0.25)</f>
        <v/>
      </c>
      <c r="AK455" s="104">
        <f>CHOOSE(MATCH(IF($U455="","Основний",$U455),{"Трафіковий","Основний","Маржинальний","Сезонний","Стратегічний"},0),0.15,0.18,0.23,0.22,0.27)</f>
        <v/>
      </c>
      <c r="AL455" s="104">
        <f>CHOOSE(MATCH(IF($U455="","Основний",$U455),{"Трафіковий","Основний","Маржинальний","Сезонний","Стратегічний"},0),0.15,0.17,0.25,0.24,0.29)</f>
        <v/>
      </c>
      <c r="AM455" s="104">
        <f>CHOOSE(MATCH(IF($U455="","Основний",$U455),{"Трафіковий","Основний","Маржинальний","Сезонний","Стратегічний"},0),0.12,0.145,0.19,0.18,0.22)</f>
        <v/>
      </c>
      <c r="AN455" s="157">
        <f>CHOOSE(MATCH(IF($U455="","Основний",$U455),{"Трафіковий","Основний","Маржинальний","Сезонний","Стратегічний"},0),Settings!$B$78,Settings!$B$80,Settings!$B$82,Settings!$B$84,Settings!$B$86)</f>
        <v/>
      </c>
      <c r="AO455" s="157">
        <f>CHOOSE(MATCH(IF($U455="","Основний",$U455),{"Трафіковий","Основний","Маржинальний","Сезонний","Стратегічний"},0),Settings!$C$78,Settings!$C$80,Settings!$C$82,Settings!$C$84,Settings!$C$86)</f>
        <v/>
      </c>
      <c r="AP455" s="157">
        <f>CHOOSE(MATCH(IF($U455="","Основний",$U455),{"Трафіковий","Основний","Маржинальний","Сезонний","Стратегічний"},0),Settings!$D$78,Settings!$D$80,Settings!$D$82,Settings!$D$84,Settings!$D$86)</f>
        <v/>
      </c>
      <c r="AQ455" s="157">
        <f>CHOOSE(MATCH(IF($U455="","Основний",$U455),{"Трафіковий","Основний","Маржинальний","Сезонний","Стратегічний"},0),Settings!$F$78,Settings!$F$80,Settings!$F$82,Settings!$F$84,Settings!$F$86)</f>
        <v/>
      </c>
      <c r="AR455" s="157">
        <f>CHOOSE(MATCH(IF($U455="","Основний",$U455),{"Трафіковий","Основний","Маржинальний","Сезонний","Стратегічний"},0),Settings!$G$78,Settings!$G$80,Settings!$G$82,Settings!$G$84,Settings!$G$86)</f>
        <v/>
      </c>
      <c r="AS455" s="157">
        <f>CHOOSE(MATCH(IF($U455="","Основний",$U455),{"Трафіковий","Основний","Маржинальний","Сезонний","Стратегічний"},0),Settings!$H$78,Settings!$H$80,Settings!$H$82,Settings!$H$84,Settings!$H$86)</f>
        <v/>
      </c>
      <c r="AT455" s="157">
        <f>CHOOSE(MATCH(IF($U455="","Основний",$U455),{"Трафіковий","Основний","Маржинальний","Сезонний","Стратегічний"},0),Settings!$I$78,Settings!$I$80,Settings!$I$82,Settings!$I$84,Settings!$I$86)</f>
        <v/>
      </c>
      <c r="AU455" s="171" t="n"/>
      <c r="AV455" t="n">
        <v>1.35</v>
      </c>
    </row>
    <row r="456">
      <c r="A456" s="28" t="inlineStr">
        <is>
          <t>SELL OUT</t>
        </is>
      </c>
      <c r="B456" s="29" t="inlineStr">
        <is>
          <t>M0014A</t>
        </is>
      </c>
      <c r="C456" s="29" t="inlineStr">
        <is>
          <t>PHASE TESTER VT-310</t>
        </is>
      </c>
      <c r="D456" s="29" t="inlineStr">
        <is>
          <t>Тестери, мультиметри</t>
        </is>
      </c>
      <c r="E456" s="28" t="inlineStr">
        <is>
          <t>PC</t>
        </is>
      </c>
      <c r="F456" s="93" t="n">
        <v>8.250999999999999</v>
      </c>
      <c r="G456" s="30" t="n">
        <v>9030337000</v>
      </c>
      <c r="H456" s="31" t="n">
        <v>1.3</v>
      </c>
      <c r="I456" s="84">
        <f>IFERROR(F456*Settings!$B$2*H456*IF(AND(ISNUMBER(E456),E456&gt;1),E456,1),"")</f>
        <v/>
      </c>
      <c r="J456" s="32">
        <f>Settings!$B$66</f>
        <v/>
      </c>
      <c r="K456" s="95">
        <f>IFERROR(IF(T456="","",(T456*(1-AN456)*(1-Settings!$B$17)-I456)/(T456*(1-AN456)*(1-Settings!$B$17))),"")</f>
        <v/>
      </c>
      <c r="L456" s="101">
        <f>IFERROR(IF(T456="","",(T456*(1-AO456)*(1-Settings!$C$17)-I456)/(T456*(1-AO456)*(1-Settings!$C$17))),"")</f>
        <v/>
      </c>
      <c r="M456" s="101">
        <f>IFERROR(IF(T456="","",(T456*(1-AP456)*(1-Settings!$D$17)-I456)/(T456*(1-AP456)*(1-Settings!$D$17))),"")</f>
        <v/>
      </c>
      <c r="N456" s="101">
        <f>IFERROR(IF(T456="","",(T456*(1-AQ456)*(1-Settings!$F$17)-I456)/(T456*(1-AQ456)*(1-Settings!$F$17))),"")</f>
        <v/>
      </c>
      <c r="O456" s="101">
        <f>IFERROR(IF(T456="","",(T456*(1-AR456)*(1-Settings!$G$17)-I456)/(T456*(1-AR456)*(1-Settings!$G$17))),"")</f>
        <v/>
      </c>
      <c r="P456" s="101">
        <f>IFERROR(IF(T456="","",(T456*(1-AS456)*(1-Settings!$H$17)-I456)/(T456*(1-AS456)*(1-Settings!$H$17))),"")</f>
        <v/>
      </c>
      <c r="Q456" s="101">
        <f>IFERROR(IF(T456="","",(T456*(1-AT456)*(1-Settings!$I$68)*(1-Settings!$I$17)-I456)/(T456*(1-AT456)*(1-Settings!$I$68)*(1-Settings!$I$17))),"")</f>
        <v/>
      </c>
      <c r="R456" s="91">
        <f>IFERROR(IF(OR(I456="",Z456&gt;=1,Settings!$B$17&gt;=1,AN456&gt;=1),"",IF(MOD(ROUND(I456/(1-Z456)/(1-Settings!$B$17)/(1-AN456),0),10)=0,ROUND(I456/(1-Z456)/(1-Settings!$B$17)/(1-AN456),0)-1,IF(MOD(ROUND(I456/(1-Z456)/(1-Settings!$B$17)/(1-AN456),0),10)&lt;=5,FLOOR(ROUND(I456/(1-Z456)/(1-Settings!$B$17)/(1-AN456),0),10)+6,FLOOR(ROUND(I456/(1-Z456)/(1-Settings!$B$17)/(1-AN456),0),10)+9))),"")</f>
        <v/>
      </c>
      <c r="S456" s="174">
        <f>R456*0.95</f>
        <v/>
      </c>
      <c r="T456" s="91">
        <f>IF(S456&lt;&gt;"", IF(MOD(S456,10)=0,S456-1,IF(MOD(S456,10)&lt;=5,FLOOR(S456,10)+6,FLOOR(S456,10)+9)), R456)</f>
        <v/>
      </c>
      <c r="U456" s="87" t="inlineStr">
        <is>
          <t>Основний</t>
        </is>
      </c>
      <c r="V456" s="88" t="n"/>
      <c r="W456" s="88" t="n"/>
      <c r="X456" s="89">
        <f>IFERROR(IF(OR(V456="",W456="",T456=""),"", IF(T456&gt;W456,"Дорогий",IF(T456&lt;V456,"Дешевий","У ринку"))),"")</f>
        <v/>
      </c>
      <c r="Y456" s="90" t="n"/>
      <c r="Z456" s="104">
        <f>CHOOSE(MATCH(IF($U456="","Основний",$U456),{"Трафіковий","Основний","Маржинальний","Сезонний","Стратегічний"},0),0.16,0.19,0.24,0.23,0.28)</f>
        <v/>
      </c>
      <c r="AA456" s="104">
        <f>CHOOSE(MATCH(IF($U456="","Основний",$U456),{"Трафіковий","Основний","Маржинальний","Сезонний","Стратегічний"},0),0.18,0.21,0.26,0.25,0.3)</f>
        <v/>
      </c>
      <c r="AB456" s="104">
        <f>CHOOSE(MATCH(IF($U456="","Основний",$U456),{"Трафіковий","Основний","Маржинальний","Сезонний","Стратегічний"},0),0.19,0.22,0.28,0.26,0.32)</f>
        <v/>
      </c>
      <c r="AC456" s="104">
        <f>CHOOSE(MATCH(IF($U456="","Основний",$U456),{"Трафіковий","Основний","Маржинальний","Сезонний","Стратегічний"},0),0.17,0.2,0.25,0.24,0.28)</f>
        <v/>
      </c>
      <c r="AD456" s="104">
        <f>CHOOSE(MATCH(IF($U456="","Основний",$U456),{"Трафіковий","Основний","Маржинальний","Сезонний","Стратегічний"},0),0.18,0.21,0.26,0.25,0.3)</f>
        <v/>
      </c>
      <c r="AE456" s="104">
        <f>CHOOSE(MATCH(IF($U456="","Основний",$U456),{"Трафіковий","Основний","Маржинальний","Сезонний","Стратегічний"},0),0.18,0.2,0.28,0.27,0.32)</f>
        <v/>
      </c>
      <c r="AF456" s="104">
        <f>CHOOSE(MATCH(IF($U456="","Основний",$U456),{"Трафіковий","Основний","Маржинальний","Сезонний","Стратегічний"},0),0.15,0.175,0.22,0.21,0.25)</f>
        <v/>
      </c>
      <c r="AG456" s="104">
        <f>CHOOSE(MATCH(IF($U456="","Основний",$U456),{"Трафіковий","Основний","Маржинальний","Сезонний","Стратегічний"},0),0.13,0.16,0.21,0.2,0.25)</f>
        <v/>
      </c>
      <c r="AH456" s="104">
        <f>CHOOSE(MATCH(IF($U456="","Основний",$U456),{"Трафіковий","Основний","Маржинальний","Сезонний","Стратегічний"},0),0.15,0.18,0.23,0.22,0.27)</f>
        <v/>
      </c>
      <c r="AI456" s="104">
        <f>CHOOSE(MATCH(IF($U456="","Основний",$U456),{"Трафіковий","Основний","Маржинальний","Сезонний","Стратегічний"},0),0.16,0.19,0.25,0.23,0.29)</f>
        <v/>
      </c>
      <c r="AJ456" s="104">
        <f>CHOOSE(MATCH(IF($U456="","Основний",$U456),{"Трафіковий","Основний","Маржинальний","Сезонний","Стратегічний"},0),0.14,0.17,0.22,0.21,0.25)</f>
        <v/>
      </c>
      <c r="AK456" s="104">
        <f>CHOOSE(MATCH(IF($U456="","Основний",$U456),{"Трафіковий","Основний","Маржинальний","Сезонний","Стратегічний"},0),0.15,0.18,0.23,0.22,0.27)</f>
        <v/>
      </c>
      <c r="AL456" s="104">
        <f>CHOOSE(MATCH(IF($U456="","Основний",$U456),{"Трафіковий","Основний","Маржинальний","Сезонний","Стратегічний"},0),0.15,0.17,0.25,0.24,0.29)</f>
        <v/>
      </c>
      <c r="AM456" s="104">
        <f>CHOOSE(MATCH(IF($U456="","Основний",$U456),{"Трафіковий","Основний","Маржинальний","Сезонний","Стратегічний"},0),0.12,0.145,0.19,0.18,0.22)</f>
        <v/>
      </c>
      <c r="AN456" s="157">
        <f>CHOOSE(MATCH(IF($U456="","Основний",$U456),{"Трафіковий","Основний","Маржинальний","Сезонний","Стратегічний"},0),Settings!$B$78,Settings!$B$80,Settings!$B$82,Settings!$B$84,Settings!$B$86)</f>
        <v/>
      </c>
      <c r="AO456" s="157">
        <f>CHOOSE(MATCH(IF($U456="","Основний",$U456),{"Трафіковий","Основний","Маржинальний","Сезонний","Стратегічний"},0),Settings!$C$78,Settings!$C$80,Settings!$C$82,Settings!$C$84,Settings!$C$86)</f>
        <v/>
      </c>
      <c r="AP456" s="157">
        <f>CHOOSE(MATCH(IF($U456="","Основний",$U456),{"Трафіковий","Основний","Маржинальний","Сезонний","Стратегічний"},0),Settings!$D$78,Settings!$D$80,Settings!$D$82,Settings!$D$84,Settings!$D$86)</f>
        <v/>
      </c>
      <c r="AQ456" s="157">
        <f>CHOOSE(MATCH(IF($U456="","Основний",$U456),{"Трафіковий","Основний","Маржинальний","Сезонний","Стратегічний"},0),Settings!$F$78,Settings!$F$80,Settings!$F$82,Settings!$F$84,Settings!$F$86)</f>
        <v/>
      </c>
      <c r="AR456" s="157">
        <f>CHOOSE(MATCH(IF($U456="","Основний",$U456),{"Трафіковий","Основний","Маржинальний","Сезонний","Стратегічний"},0),Settings!$G$78,Settings!$G$80,Settings!$G$82,Settings!$G$84,Settings!$G$86)</f>
        <v/>
      </c>
      <c r="AS456" s="157">
        <f>CHOOSE(MATCH(IF($U456="","Основний",$U456),{"Трафіковий","Основний","Маржинальний","Сезонний","Стратегічний"},0),Settings!$H$78,Settings!$H$80,Settings!$H$82,Settings!$H$84,Settings!$H$86)</f>
        <v/>
      </c>
      <c r="AT456" s="157">
        <f>CHOOSE(MATCH(IF($U456="","Основний",$U456),{"Трафіковий","Основний","Маржинальний","Сезонний","Стратегічний"},0),Settings!$I$78,Settings!$I$80,Settings!$I$82,Settings!$I$84,Settings!$I$86)</f>
        <v/>
      </c>
      <c r="AU456" s="171" t="n"/>
      <c r="AV456" t="n">
        <v>1.35</v>
      </c>
    </row>
    <row r="457">
      <c r="A457" s="33" t="inlineStr">
        <is>
          <t>SELL OUT</t>
        </is>
      </c>
      <c r="B457" s="34" t="inlineStr">
        <is>
          <t>M0012A</t>
        </is>
      </c>
      <c r="C457" s="34" t="inlineStr">
        <is>
          <t>VOLTAGE TESTER VT-320</t>
        </is>
      </c>
      <c r="D457" s="34" t="inlineStr">
        <is>
          <t>Тестери, мультиметри</t>
        </is>
      </c>
      <c r="E457" s="33" t="inlineStr">
        <is>
          <t>PC</t>
        </is>
      </c>
      <c r="F457" s="94" t="n">
        <v>6.491</v>
      </c>
      <c r="G457" s="35" t="n">
        <v>9030337000</v>
      </c>
      <c r="H457" s="31" t="n">
        <v>1.3</v>
      </c>
      <c r="I457" s="84">
        <f>IFERROR(F457*Settings!$B$2*H457*IF(AND(ISNUMBER(E457),E457&gt;1),E457,1),"")</f>
        <v/>
      </c>
      <c r="J457" s="32">
        <f>Settings!$B$66</f>
        <v/>
      </c>
      <c r="K457" s="95">
        <f>IFERROR(IF(T457="","",(T457*(1-AN457)*(1-Settings!$B$17)-I457)/(T457*(1-AN457)*(1-Settings!$B$17))),"")</f>
        <v/>
      </c>
      <c r="L457" s="101">
        <f>IFERROR(IF(T457="","",(T457*(1-AO457)*(1-Settings!$C$17)-I457)/(T457*(1-AO457)*(1-Settings!$C$17))),"")</f>
        <v/>
      </c>
      <c r="M457" s="101">
        <f>IFERROR(IF(T457="","",(T457*(1-AP457)*(1-Settings!$D$17)-I457)/(T457*(1-AP457)*(1-Settings!$D$17))),"")</f>
        <v/>
      </c>
      <c r="N457" s="101">
        <f>IFERROR(IF(T457="","",(T457*(1-AQ457)*(1-Settings!$F$17)-I457)/(T457*(1-AQ457)*(1-Settings!$F$17))),"")</f>
        <v/>
      </c>
      <c r="O457" s="101">
        <f>IFERROR(IF(T457="","",(T457*(1-AR457)*(1-Settings!$G$17)-I457)/(T457*(1-AR457)*(1-Settings!$G$17))),"")</f>
        <v/>
      </c>
      <c r="P457" s="101">
        <f>IFERROR(IF(T457="","",(T457*(1-AS457)*(1-Settings!$H$17)-I457)/(T457*(1-AS457)*(1-Settings!$H$17))),"")</f>
        <v/>
      </c>
      <c r="Q457" s="101">
        <f>IFERROR(IF(T457="","",(T457*(1-AT457)*(1-Settings!$I$68)*(1-Settings!$I$17)-I457)/(T457*(1-AT457)*(1-Settings!$I$68)*(1-Settings!$I$17))),"")</f>
        <v/>
      </c>
      <c r="R457" s="91">
        <f>IFERROR(IF(OR(I457="",Z457&gt;=1,Settings!$B$17&gt;=1,AN457&gt;=1),"",IF(MOD(ROUND(I457/(1-Z457)/(1-Settings!$B$17)/(1-AN457),0),10)=0,ROUND(I457/(1-Z457)/(1-Settings!$B$17)/(1-AN457),0)-1,IF(MOD(ROUND(I457/(1-Z457)/(1-Settings!$B$17)/(1-AN457),0),10)&lt;=5,FLOOR(ROUND(I457/(1-Z457)/(1-Settings!$B$17)/(1-AN457),0),10)+6,FLOOR(ROUND(I457/(1-Z457)/(1-Settings!$B$17)/(1-AN457),0),10)+9))),"")</f>
        <v/>
      </c>
      <c r="S457" s="174">
        <f>R457*0.95</f>
        <v/>
      </c>
      <c r="T457" s="91">
        <f>IF(S457&lt;&gt;"", IF(MOD(S457,10)=0,S457-1,IF(MOD(S457,10)&lt;=5,FLOOR(S457,10)+6,FLOOR(S457,10)+9)), R457)</f>
        <v/>
      </c>
      <c r="U457" s="87" t="inlineStr">
        <is>
          <t>Основний</t>
        </is>
      </c>
      <c r="V457" s="88" t="n"/>
      <c r="W457" s="88" t="n"/>
      <c r="X457" s="89">
        <f>IFERROR(IF(OR(V457="",W457="",T457=""),"", IF(T457&gt;W457,"Дорогий",IF(T457&lt;V457,"Дешевий","У ринку"))),"")</f>
        <v/>
      </c>
      <c r="Y457" s="90" t="n"/>
      <c r="Z457" s="104">
        <f>CHOOSE(MATCH(IF($U457="","Основний",$U457),{"Трафіковий","Основний","Маржинальний","Сезонний","Стратегічний"},0),0.16,0.19,0.24,0.23,0.28)</f>
        <v/>
      </c>
      <c r="AA457" s="104">
        <f>CHOOSE(MATCH(IF($U457="","Основний",$U457),{"Трафіковий","Основний","Маржинальний","Сезонний","Стратегічний"},0),0.18,0.21,0.26,0.25,0.3)</f>
        <v/>
      </c>
      <c r="AB457" s="104">
        <f>CHOOSE(MATCH(IF($U457="","Основний",$U457),{"Трафіковий","Основний","Маржинальний","Сезонний","Стратегічний"},0),0.19,0.22,0.28,0.26,0.32)</f>
        <v/>
      </c>
      <c r="AC457" s="104">
        <f>CHOOSE(MATCH(IF($U457="","Основний",$U457),{"Трафіковий","Основний","Маржинальний","Сезонний","Стратегічний"},0),0.17,0.2,0.25,0.24,0.28)</f>
        <v/>
      </c>
      <c r="AD457" s="104">
        <f>CHOOSE(MATCH(IF($U457="","Основний",$U457),{"Трафіковий","Основний","Маржинальний","Сезонний","Стратегічний"},0),0.18,0.21,0.26,0.25,0.3)</f>
        <v/>
      </c>
      <c r="AE457" s="104">
        <f>CHOOSE(MATCH(IF($U457="","Основний",$U457),{"Трафіковий","Основний","Маржинальний","Сезонний","Стратегічний"},0),0.18,0.2,0.28,0.27,0.32)</f>
        <v/>
      </c>
      <c r="AF457" s="104">
        <f>CHOOSE(MATCH(IF($U457="","Основний",$U457),{"Трафіковий","Основний","Маржинальний","Сезонний","Стратегічний"},0),0.15,0.175,0.22,0.21,0.25)</f>
        <v/>
      </c>
      <c r="AG457" s="104">
        <f>CHOOSE(MATCH(IF($U457="","Основний",$U457),{"Трафіковий","Основний","Маржинальний","Сезонний","Стратегічний"},0),0.13,0.16,0.21,0.2,0.25)</f>
        <v/>
      </c>
      <c r="AH457" s="104">
        <f>CHOOSE(MATCH(IF($U457="","Основний",$U457),{"Трафіковий","Основний","Маржинальний","Сезонний","Стратегічний"},0),0.15,0.18,0.23,0.22,0.27)</f>
        <v/>
      </c>
      <c r="AI457" s="104">
        <f>CHOOSE(MATCH(IF($U457="","Основний",$U457),{"Трафіковий","Основний","Маржинальний","Сезонний","Стратегічний"},0),0.16,0.19,0.25,0.23,0.29)</f>
        <v/>
      </c>
      <c r="AJ457" s="104">
        <f>CHOOSE(MATCH(IF($U457="","Основний",$U457),{"Трафіковий","Основний","Маржинальний","Сезонний","Стратегічний"},0),0.14,0.17,0.22,0.21,0.25)</f>
        <v/>
      </c>
      <c r="AK457" s="104">
        <f>CHOOSE(MATCH(IF($U457="","Основний",$U457),{"Трафіковий","Основний","Маржинальний","Сезонний","Стратегічний"},0),0.15,0.18,0.23,0.22,0.27)</f>
        <v/>
      </c>
      <c r="AL457" s="104">
        <f>CHOOSE(MATCH(IF($U457="","Основний",$U457),{"Трафіковий","Основний","Маржинальний","Сезонний","Стратегічний"},0),0.15,0.17,0.25,0.24,0.29)</f>
        <v/>
      </c>
      <c r="AM457" s="104">
        <f>CHOOSE(MATCH(IF($U457="","Основний",$U457),{"Трафіковий","Основний","Маржинальний","Сезонний","Стратегічний"},0),0.12,0.145,0.19,0.18,0.22)</f>
        <v/>
      </c>
      <c r="AN457" s="157">
        <f>CHOOSE(MATCH(IF($U457="","Основний",$U457),{"Трафіковий","Основний","Маржинальний","Сезонний","Стратегічний"},0),Settings!$B$78,Settings!$B$80,Settings!$B$82,Settings!$B$84,Settings!$B$86)</f>
        <v/>
      </c>
      <c r="AO457" s="157">
        <f>CHOOSE(MATCH(IF($U457="","Основний",$U457),{"Трафіковий","Основний","Маржинальний","Сезонний","Стратегічний"},0),Settings!$C$78,Settings!$C$80,Settings!$C$82,Settings!$C$84,Settings!$C$86)</f>
        <v/>
      </c>
      <c r="AP457" s="157">
        <f>CHOOSE(MATCH(IF($U457="","Основний",$U457),{"Трафіковий","Основний","Маржинальний","Сезонний","Стратегічний"},0),Settings!$D$78,Settings!$D$80,Settings!$D$82,Settings!$D$84,Settings!$D$86)</f>
        <v/>
      </c>
      <c r="AQ457" s="157">
        <f>CHOOSE(MATCH(IF($U457="","Основний",$U457),{"Трафіковий","Основний","Маржинальний","Сезонний","Стратегічний"},0),Settings!$F$78,Settings!$F$80,Settings!$F$82,Settings!$F$84,Settings!$F$86)</f>
        <v/>
      </c>
      <c r="AR457" s="157">
        <f>CHOOSE(MATCH(IF($U457="","Основний",$U457),{"Трафіковий","Основний","Маржинальний","Сезонний","Стратегічний"},0),Settings!$G$78,Settings!$G$80,Settings!$G$82,Settings!$G$84,Settings!$G$86)</f>
        <v/>
      </c>
      <c r="AS457" s="157">
        <f>CHOOSE(MATCH(IF($U457="","Основний",$U457),{"Трафіковий","Основний","Маржинальний","Сезонний","Стратегічний"},0),Settings!$H$78,Settings!$H$80,Settings!$H$82,Settings!$H$84,Settings!$H$86)</f>
        <v/>
      </c>
      <c r="AT457" s="157">
        <f>CHOOSE(MATCH(IF($U457="","Основний",$U457),{"Трафіковий","Основний","Маржинальний","Сезонний","Стратегічний"},0),Settings!$I$78,Settings!$I$80,Settings!$I$82,Settings!$I$84,Settings!$I$86)</f>
        <v/>
      </c>
      <c r="AU457" s="171" t="n"/>
      <c r="AV457" t="n">
        <v>1.35</v>
      </c>
    </row>
    <row r="458">
      <c r="A458" s="28" t="inlineStr">
        <is>
          <t>SELL OUT</t>
        </is>
      </c>
      <c r="B458" s="29" t="inlineStr">
        <is>
          <t>M0003B</t>
        </is>
      </c>
      <c r="C458" s="29" t="inlineStr">
        <is>
          <t>VOLTAGE TESTER VT-211</t>
        </is>
      </c>
      <c r="D458" s="29" t="inlineStr">
        <is>
          <t>Тестери, мультиметри</t>
        </is>
      </c>
      <c r="E458" s="28" t="inlineStr">
        <is>
          <t>PC</t>
        </is>
      </c>
      <c r="F458" s="93" t="n">
        <v>2.274</v>
      </c>
      <c r="G458" s="30" t="n">
        <v>9030337000</v>
      </c>
      <c r="H458" s="31" t="n">
        <v>1.3</v>
      </c>
      <c r="I458" s="84">
        <f>IFERROR(F458*Settings!$B$2*H458*IF(AND(ISNUMBER(E458),E458&gt;1),E458,1),"")</f>
        <v/>
      </c>
      <c r="J458" s="32">
        <f>Settings!$B$66</f>
        <v/>
      </c>
      <c r="K458" s="95">
        <f>IFERROR(IF(T458="","",(T458*(1-AN458)*(1-Settings!$B$17)-I458)/(T458*(1-AN458)*(1-Settings!$B$17))),"")</f>
        <v/>
      </c>
      <c r="L458" s="101">
        <f>IFERROR(IF(T458="","",(T458*(1-AO458)*(1-Settings!$C$17)-I458)/(T458*(1-AO458)*(1-Settings!$C$17))),"")</f>
        <v/>
      </c>
      <c r="M458" s="101">
        <f>IFERROR(IF(T458="","",(T458*(1-AP458)*(1-Settings!$D$17)-I458)/(T458*(1-AP458)*(1-Settings!$D$17))),"")</f>
        <v/>
      </c>
      <c r="N458" s="101">
        <f>IFERROR(IF(T458="","",(T458*(1-AQ458)*(1-Settings!$F$17)-I458)/(T458*(1-AQ458)*(1-Settings!$F$17))),"")</f>
        <v/>
      </c>
      <c r="O458" s="101">
        <f>IFERROR(IF(T458="","",(T458*(1-AR458)*(1-Settings!$G$17)-I458)/(T458*(1-AR458)*(1-Settings!$G$17))),"")</f>
        <v/>
      </c>
      <c r="P458" s="101">
        <f>IFERROR(IF(T458="","",(T458*(1-AS458)*(1-Settings!$H$17)-I458)/(T458*(1-AS458)*(1-Settings!$H$17))),"")</f>
        <v/>
      </c>
      <c r="Q458" s="101">
        <f>IFERROR(IF(T458="","",(T458*(1-AT458)*(1-Settings!$I$68)*(1-Settings!$I$17)-I458)/(T458*(1-AT458)*(1-Settings!$I$68)*(1-Settings!$I$17))),"")</f>
        <v/>
      </c>
      <c r="R458" s="91">
        <f>IFERROR(IF(OR(I458="",Z458&gt;=1,Settings!$B$17&gt;=1,AN458&gt;=1),"",IF(MOD(ROUND(I458/(1-Z458)/(1-Settings!$B$17)/(1-AN458),0),10)=0,ROUND(I458/(1-Z458)/(1-Settings!$B$17)/(1-AN458),0)-1,IF(MOD(ROUND(I458/(1-Z458)/(1-Settings!$B$17)/(1-AN458),0),10)&lt;=5,FLOOR(ROUND(I458/(1-Z458)/(1-Settings!$B$17)/(1-AN458),0),10)+6,FLOOR(ROUND(I458/(1-Z458)/(1-Settings!$B$17)/(1-AN458),0),10)+9))),"")</f>
        <v/>
      </c>
      <c r="S458" s="92" t="n">
        <v>300</v>
      </c>
      <c r="T458" s="91">
        <f>IF(S458&lt;&gt;"", IF(MOD(S458,10)=0,S458-1,IF(MOD(S458,10)&lt;=5,FLOOR(S458,10)+6,FLOOR(S458,10)+9)), R458)</f>
        <v/>
      </c>
      <c r="U458" s="87" t="inlineStr">
        <is>
          <t>Основний</t>
        </is>
      </c>
      <c r="V458" s="88" t="n"/>
      <c r="W458" s="88" t="n"/>
      <c r="X458" s="89">
        <f>IFERROR(IF(OR(V458="",W458="",T458=""),"", IF(T458&gt;W458,"Дорогий",IF(T458&lt;V458,"Дешевий","У ринку"))),"")</f>
        <v/>
      </c>
      <c r="Y458" s="90" t="n"/>
      <c r="Z458" s="104">
        <f>CHOOSE(MATCH(IF($U458="","Основний",$U458),{"Трафіковий","Основний","Маржинальний","Сезонний","Стратегічний"},0),0.16,0.19,0.24,0.23,0.28)</f>
        <v/>
      </c>
      <c r="AA458" s="104">
        <f>CHOOSE(MATCH(IF($U458="","Основний",$U458),{"Трафіковий","Основний","Маржинальний","Сезонний","Стратегічний"},0),0.18,0.21,0.26,0.25,0.3)</f>
        <v/>
      </c>
      <c r="AB458" s="104">
        <f>CHOOSE(MATCH(IF($U458="","Основний",$U458),{"Трафіковий","Основний","Маржинальний","Сезонний","Стратегічний"},0),0.19,0.22,0.28,0.26,0.32)</f>
        <v/>
      </c>
      <c r="AC458" s="104">
        <f>CHOOSE(MATCH(IF($U458="","Основний",$U458),{"Трафіковий","Основний","Маржинальний","Сезонний","Стратегічний"},0),0.17,0.2,0.25,0.24,0.28)</f>
        <v/>
      </c>
      <c r="AD458" s="104">
        <f>CHOOSE(MATCH(IF($U458="","Основний",$U458),{"Трафіковий","Основний","Маржинальний","Сезонний","Стратегічний"},0),0.18,0.21,0.26,0.25,0.3)</f>
        <v/>
      </c>
      <c r="AE458" s="104">
        <f>CHOOSE(MATCH(IF($U458="","Основний",$U458),{"Трафіковий","Основний","Маржинальний","Сезонний","Стратегічний"},0),0.18,0.2,0.28,0.27,0.32)</f>
        <v/>
      </c>
      <c r="AF458" s="104">
        <f>CHOOSE(MATCH(IF($U458="","Основний",$U458),{"Трафіковий","Основний","Маржинальний","Сезонний","Стратегічний"},0),0.15,0.175,0.22,0.21,0.25)</f>
        <v/>
      </c>
      <c r="AG458" s="104">
        <f>CHOOSE(MATCH(IF($U458="","Основний",$U458),{"Трафіковий","Основний","Маржинальний","Сезонний","Стратегічний"},0),0.13,0.16,0.21,0.2,0.25)</f>
        <v/>
      </c>
      <c r="AH458" s="104">
        <f>CHOOSE(MATCH(IF($U458="","Основний",$U458),{"Трафіковий","Основний","Маржинальний","Сезонний","Стратегічний"},0),0.15,0.18,0.23,0.22,0.27)</f>
        <v/>
      </c>
      <c r="AI458" s="104">
        <f>CHOOSE(MATCH(IF($U458="","Основний",$U458),{"Трафіковий","Основний","Маржинальний","Сезонний","Стратегічний"},0),0.16,0.19,0.25,0.23,0.29)</f>
        <v/>
      </c>
      <c r="AJ458" s="104">
        <f>CHOOSE(MATCH(IF($U458="","Основний",$U458),{"Трафіковий","Основний","Маржинальний","Сезонний","Стратегічний"},0),0.14,0.17,0.22,0.21,0.25)</f>
        <v/>
      </c>
      <c r="AK458" s="104">
        <f>CHOOSE(MATCH(IF($U458="","Основний",$U458),{"Трафіковий","Основний","Маржинальний","Сезонний","Стратегічний"},0),0.15,0.18,0.23,0.22,0.27)</f>
        <v/>
      </c>
      <c r="AL458" s="104">
        <f>CHOOSE(MATCH(IF($U458="","Основний",$U458),{"Трафіковий","Основний","Маржинальний","Сезонний","Стратегічний"},0),0.15,0.17,0.25,0.24,0.29)</f>
        <v/>
      </c>
      <c r="AM458" s="104">
        <f>CHOOSE(MATCH(IF($U458="","Основний",$U458),{"Трафіковий","Основний","Маржинальний","Сезонний","Стратегічний"},0),0.12,0.145,0.19,0.18,0.22)</f>
        <v/>
      </c>
      <c r="AN458" s="157">
        <f>CHOOSE(MATCH(IF($U458="","Основний",$U458),{"Трафіковий","Основний","Маржинальний","Сезонний","Стратегічний"},0),Settings!$B$78,Settings!$B$80,Settings!$B$82,Settings!$B$84,Settings!$B$86)</f>
        <v/>
      </c>
      <c r="AO458" s="157">
        <f>CHOOSE(MATCH(IF($U458="","Основний",$U458),{"Трафіковий","Основний","Маржинальний","Сезонний","Стратегічний"},0),Settings!$C$78,Settings!$C$80,Settings!$C$82,Settings!$C$84,Settings!$C$86)</f>
        <v/>
      </c>
      <c r="AP458" s="157">
        <f>CHOOSE(MATCH(IF($U458="","Основний",$U458),{"Трафіковий","Основний","Маржинальний","Сезонний","Стратегічний"},0),Settings!$D$78,Settings!$D$80,Settings!$D$82,Settings!$D$84,Settings!$D$86)</f>
        <v/>
      </c>
      <c r="AQ458" s="157">
        <f>CHOOSE(MATCH(IF($U458="","Основний",$U458),{"Трафіковий","Основний","Маржинальний","Сезонний","Стратегічний"},0),Settings!$F$78,Settings!$F$80,Settings!$F$82,Settings!$F$84,Settings!$F$86)</f>
        <v/>
      </c>
      <c r="AR458" s="157">
        <f>CHOOSE(MATCH(IF($U458="","Основний",$U458),{"Трафіковий","Основний","Маржинальний","Сезонний","Стратегічний"},0),Settings!$G$78,Settings!$G$80,Settings!$G$82,Settings!$G$84,Settings!$G$86)</f>
        <v/>
      </c>
      <c r="AS458" s="157">
        <f>CHOOSE(MATCH(IF($U458="","Основний",$U458),{"Трафіковий","Основний","Маржинальний","Сезонний","Стратегічний"},0),Settings!$H$78,Settings!$H$80,Settings!$H$82,Settings!$H$84,Settings!$H$86)</f>
        <v/>
      </c>
      <c r="AT458" s="157">
        <f>CHOOSE(MATCH(IF($U458="","Основний",$U458),{"Трафіковий","Основний","Маржинальний","Сезонний","Стратегічний"},0),Settings!$I$78,Settings!$I$80,Settings!$I$82,Settings!$I$84,Settings!$I$86)</f>
        <v/>
      </c>
      <c r="AU458" s="171" t="n"/>
      <c r="AV458" t="n">
        <v>1.35</v>
      </c>
    </row>
    <row r="459">
      <c r="A459" s="33" t="inlineStr">
        <is>
          <t>SELL OUT</t>
        </is>
      </c>
      <c r="B459" s="34" t="inlineStr">
        <is>
          <t>M0071</t>
        </is>
      </c>
      <c r="C459" s="34" t="inlineStr">
        <is>
          <t>VOLTAGE TESTER VT-710</t>
        </is>
      </c>
      <c r="D459" s="34" t="inlineStr">
        <is>
          <t>Тестери, мультиметри</t>
        </is>
      </c>
      <c r="E459" s="33" t="inlineStr">
        <is>
          <t>PC</t>
        </is>
      </c>
      <c r="F459" s="94" t="n">
        <v>34.175</v>
      </c>
      <c r="G459" s="35" t="n">
        <v>9030337000</v>
      </c>
      <c r="H459" s="31" t="n">
        <v>1.3</v>
      </c>
      <c r="I459" s="84">
        <f>IFERROR(F459*Settings!$B$2*H459*IF(AND(ISNUMBER(E459),E459&gt;1),E459,1),"")</f>
        <v/>
      </c>
      <c r="J459" s="32">
        <f>Settings!$B$66</f>
        <v/>
      </c>
      <c r="K459" s="95">
        <f>IFERROR(IF(T459="","",(T459*(1-AN459)*(1-Settings!$B$17)-I459)/(T459*(1-AN459)*(1-Settings!$B$17))),"")</f>
        <v/>
      </c>
      <c r="L459" s="101">
        <f>IFERROR(IF(T459="","",(T459*(1-AO459)*(1-Settings!$C$17)-I459)/(T459*(1-AO459)*(1-Settings!$C$17))),"")</f>
        <v/>
      </c>
      <c r="M459" s="101">
        <f>IFERROR(IF(T459="","",(T459*(1-AP459)*(1-Settings!$D$17)-I459)/(T459*(1-AP459)*(1-Settings!$D$17))),"")</f>
        <v/>
      </c>
      <c r="N459" s="101">
        <f>IFERROR(IF(T459="","",(T459*(1-AQ459)*(1-Settings!$F$17)-I459)/(T459*(1-AQ459)*(1-Settings!$F$17))),"")</f>
        <v/>
      </c>
      <c r="O459" s="101">
        <f>IFERROR(IF(T459="","",(T459*(1-AR459)*(1-Settings!$G$17)-I459)/(T459*(1-AR459)*(1-Settings!$G$17))),"")</f>
        <v/>
      </c>
      <c r="P459" s="101">
        <f>IFERROR(IF(T459="","",(T459*(1-AS459)*(1-Settings!$H$17)-I459)/(T459*(1-AS459)*(1-Settings!$H$17))),"")</f>
        <v/>
      </c>
      <c r="Q459" s="101">
        <f>IFERROR(IF(T459="","",(T459*(1-AT459)*(1-Settings!$I$68)*(1-Settings!$I$17)-I459)/(T459*(1-AT459)*(1-Settings!$I$68)*(1-Settings!$I$17))),"")</f>
        <v/>
      </c>
      <c r="R459" s="91">
        <f>IFERROR(IF(OR(I459="",Z459&gt;=1,Settings!$B$17&gt;=1,AN459&gt;=1),"",IF(MOD(ROUND(I459/(1-Z459)/(1-Settings!$B$17)/(1-AN459),0),10)=0,ROUND(I459/(1-Z459)/(1-Settings!$B$17)/(1-AN459),0)-1,IF(MOD(ROUND(I459/(1-Z459)/(1-Settings!$B$17)/(1-AN459),0),10)&lt;=5,FLOOR(ROUND(I459/(1-Z459)/(1-Settings!$B$17)/(1-AN459),0),10)+6,FLOOR(ROUND(I459/(1-Z459)/(1-Settings!$B$17)/(1-AN459),0),10)+9))),"")</f>
        <v/>
      </c>
      <c r="S459" s="174">
        <f>R459*0.95</f>
        <v/>
      </c>
      <c r="T459" s="91">
        <f>IF(S459&lt;&gt;"", IF(MOD(S459,10)=0,S459-1,IF(MOD(S459,10)&lt;=5,FLOOR(S459,10)+6,FLOOR(S459,10)+9)), R459)</f>
        <v/>
      </c>
      <c r="U459" s="87" t="inlineStr">
        <is>
          <t>Основний</t>
        </is>
      </c>
      <c r="V459" s="88" t="n"/>
      <c r="W459" s="88" t="n"/>
      <c r="X459" s="89">
        <f>IFERROR(IF(OR(V459="",W459="",T459=""),"", IF(T459&gt;W459,"Дорогий",IF(T459&lt;V459,"Дешевий","У ринку"))),"")</f>
        <v/>
      </c>
      <c r="Y459" s="90" t="n"/>
      <c r="Z459" s="104">
        <f>CHOOSE(MATCH(IF($U459="","Основний",$U459),{"Трафіковий","Основний","Маржинальний","Сезонний","Стратегічний"},0),0.16,0.19,0.24,0.23,0.28)</f>
        <v/>
      </c>
      <c r="AA459" s="104">
        <f>CHOOSE(MATCH(IF($U459="","Основний",$U459),{"Трафіковий","Основний","Маржинальний","Сезонний","Стратегічний"},0),0.18,0.21,0.26,0.25,0.3)</f>
        <v/>
      </c>
      <c r="AB459" s="104">
        <f>CHOOSE(MATCH(IF($U459="","Основний",$U459),{"Трафіковий","Основний","Маржинальний","Сезонний","Стратегічний"},0),0.19,0.22,0.28,0.26,0.32)</f>
        <v/>
      </c>
      <c r="AC459" s="104">
        <f>CHOOSE(MATCH(IF($U459="","Основний",$U459),{"Трафіковий","Основний","Маржинальний","Сезонний","Стратегічний"},0),0.17,0.2,0.25,0.24,0.28)</f>
        <v/>
      </c>
      <c r="AD459" s="104">
        <f>CHOOSE(MATCH(IF($U459="","Основний",$U459),{"Трафіковий","Основний","Маржинальний","Сезонний","Стратегічний"},0),0.18,0.21,0.26,0.25,0.3)</f>
        <v/>
      </c>
      <c r="AE459" s="104">
        <f>CHOOSE(MATCH(IF($U459="","Основний",$U459),{"Трафіковий","Основний","Маржинальний","Сезонний","Стратегічний"},0),0.18,0.2,0.28,0.27,0.32)</f>
        <v/>
      </c>
      <c r="AF459" s="104">
        <f>CHOOSE(MATCH(IF($U459="","Основний",$U459),{"Трафіковий","Основний","Маржинальний","Сезонний","Стратегічний"},0),0.15,0.175,0.22,0.21,0.25)</f>
        <v/>
      </c>
      <c r="AG459" s="104">
        <f>CHOOSE(MATCH(IF($U459="","Основний",$U459),{"Трафіковий","Основний","Маржинальний","Сезонний","Стратегічний"},0),0.13,0.16,0.21,0.2,0.25)</f>
        <v/>
      </c>
      <c r="AH459" s="104">
        <f>CHOOSE(MATCH(IF($U459="","Основний",$U459),{"Трафіковий","Основний","Маржинальний","Сезонний","Стратегічний"},0),0.15,0.18,0.23,0.22,0.27)</f>
        <v/>
      </c>
      <c r="AI459" s="104">
        <f>CHOOSE(MATCH(IF($U459="","Основний",$U459),{"Трафіковий","Основний","Маржинальний","Сезонний","Стратегічний"},0),0.16,0.19,0.25,0.23,0.29)</f>
        <v/>
      </c>
      <c r="AJ459" s="104">
        <f>CHOOSE(MATCH(IF($U459="","Основний",$U459),{"Трафіковий","Основний","Маржинальний","Сезонний","Стратегічний"},0),0.14,0.17,0.22,0.21,0.25)</f>
        <v/>
      </c>
      <c r="AK459" s="104">
        <f>CHOOSE(MATCH(IF($U459="","Основний",$U459),{"Трафіковий","Основний","Маржинальний","Сезонний","Стратегічний"},0),0.15,0.18,0.23,0.22,0.27)</f>
        <v/>
      </c>
      <c r="AL459" s="104">
        <f>CHOOSE(MATCH(IF($U459="","Основний",$U459),{"Трафіковий","Основний","Маржинальний","Сезонний","Стратегічний"},0),0.15,0.17,0.25,0.24,0.29)</f>
        <v/>
      </c>
      <c r="AM459" s="104">
        <f>CHOOSE(MATCH(IF($U459="","Основний",$U459),{"Трафіковий","Основний","Маржинальний","Сезонний","Стратегічний"},0),0.12,0.145,0.19,0.18,0.22)</f>
        <v/>
      </c>
      <c r="AN459" s="157">
        <f>CHOOSE(MATCH(IF($U459="","Основний",$U459),{"Трафіковий","Основний","Маржинальний","Сезонний","Стратегічний"},0),Settings!$B$78,Settings!$B$80,Settings!$B$82,Settings!$B$84,Settings!$B$86)</f>
        <v/>
      </c>
      <c r="AO459" s="157">
        <f>CHOOSE(MATCH(IF($U459="","Основний",$U459),{"Трафіковий","Основний","Маржинальний","Сезонний","Стратегічний"},0),Settings!$C$78,Settings!$C$80,Settings!$C$82,Settings!$C$84,Settings!$C$86)</f>
        <v/>
      </c>
      <c r="AP459" s="157">
        <f>CHOOSE(MATCH(IF($U459="","Основний",$U459),{"Трафіковий","Основний","Маржинальний","Сезонний","Стратегічний"},0),Settings!$D$78,Settings!$D$80,Settings!$D$82,Settings!$D$84,Settings!$D$86)</f>
        <v/>
      </c>
      <c r="AQ459" s="157">
        <f>CHOOSE(MATCH(IF($U459="","Основний",$U459),{"Трафіковий","Основний","Маржинальний","Сезонний","Стратегічний"},0),Settings!$F$78,Settings!$F$80,Settings!$F$82,Settings!$F$84,Settings!$F$86)</f>
        <v/>
      </c>
      <c r="AR459" s="157">
        <f>CHOOSE(MATCH(IF($U459="","Основний",$U459),{"Трафіковий","Основний","Маржинальний","Сезонний","Стратегічний"},0),Settings!$G$78,Settings!$G$80,Settings!$G$82,Settings!$G$84,Settings!$G$86)</f>
        <v/>
      </c>
      <c r="AS459" s="157">
        <f>CHOOSE(MATCH(IF($U459="","Основний",$U459),{"Трафіковий","Основний","Маржинальний","Сезонний","Стратегічний"},0),Settings!$H$78,Settings!$H$80,Settings!$H$82,Settings!$H$84,Settings!$H$86)</f>
        <v/>
      </c>
      <c r="AT459" s="157">
        <f>CHOOSE(MATCH(IF($U459="","Основний",$U459),{"Трафіковий","Основний","Маржинальний","Сезонний","Стратегічний"},0),Settings!$I$78,Settings!$I$80,Settings!$I$82,Settings!$I$84,Settings!$I$86)</f>
        <v/>
      </c>
      <c r="AU459" s="171" t="n"/>
      <c r="AV459" t="n">
        <v>1.35</v>
      </c>
    </row>
    <row r="460">
      <c r="A460" s="28" t="inlineStr">
        <is>
          <t>SELL OUT</t>
        </is>
      </c>
      <c r="B460" s="29" t="inlineStr">
        <is>
          <t>M0007A</t>
        </is>
      </c>
      <c r="C460" s="29" t="inlineStr">
        <is>
          <t>VOLTAGE DETECTOR VT-150</t>
        </is>
      </c>
      <c r="D460" s="29" t="inlineStr">
        <is>
          <t>Тестери, мультиметри</t>
        </is>
      </c>
      <c r="E460" s="28" t="inlineStr">
        <is>
          <t>PC</t>
        </is>
      </c>
      <c r="F460" s="93" t="n">
        <v>3.65</v>
      </c>
      <c r="G460" s="30" t="n">
        <v>9030337000</v>
      </c>
      <c r="H460" s="31" t="n">
        <v>1.3</v>
      </c>
      <c r="I460" s="84">
        <f>IFERROR(F460*Settings!$B$2*H460*IF(AND(ISNUMBER(E460),E460&gt;1),E460,1),"")</f>
        <v/>
      </c>
      <c r="J460" s="32">
        <f>Settings!$B$66</f>
        <v/>
      </c>
      <c r="K460" s="95">
        <f>IFERROR(IF(T460="","",(T460*(1-AN460)*(1-Settings!$B$17)-I460)/(T460*(1-AN460)*(1-Settings!$B$17))),"")</f>
        <v/>
      </c>
      <c r="L460" s="101">
        <f>IFERROR(IF(T460="","",(T460*(1-AO460)*(1-Settings!$C$17)-I460)/(T460*(1-AO460)*(1-Settings!$C$17))),"")</f>
        <v/>
      </c>
      <c r="M460" s="101">
        <f>IFERROR(IF(T460="","",(T460*(1-AP460)*(1-Settings!$D$17)-I460)/(T460*(1-AP460)*(1-Settings!$D$17))),"")</f>
        <v/>
      </c>
      <c r="N460" s="101">
        <f>IFERROR(IF(T460="","",(T460*(1-AQ460)*(1-Settings!$F$17)-I460)/(T460*(1-AQ460)*(1-Settings!$F$17))),"")</f>
        <v/>
      </c>
      <c r="O460" s="101">
        <f>IFERROR(IF(T460="","",(T460*(1-AR460)*(1-Settings!$G$17)-I460)/(T460*(1-AR460)*(1-Settings!$G$17))),"")</f>
        <v/>
      </c>
      <c r="P460" s="101">
        <f>IFERROR(IF(T460="","",(T460*(1-AS460)*(1-Settings!$H$17)-I460)/(T460*(1-AS460)*(1-Settings!$H$17))),"")</f>
        <v/>
      </c>
      <c r="Q460" s="101">
        <f>IFERROR(IF(T460="","",(T460*(1-AT460)*(1-Settings!$I$68)*(1-Settings!$I$17)-I460)/(T460*(1-AT460)*(1-Settings!$I$68)*(1-Settings!$I$17))),"")</f>
        <v/>
      </c>
      <c r="R460" s="91">
        <f>IFERROR(IF(OR(I460="",Z460&gt;=1,Settings!$B$17&gt;=1,AN460&gt;=1),"",IF(MOD(ROUND(I460/(1-Z460)/(1-Settings!$B$17)/(1-AN460),0),10)=0,ROUND(I460/(1-Z460)/(1-Settings!$B$17)/(1-AN460),0)-1,IF(MOD(ROUND(I460/(1-Z460)/(1-Settings!$B$17)/(1-AN460),0),10)&lt;=5,FLOOR(ROUND(I460/(1-Z460)/(1-Settings!$B$17)/(1-AN460),0),10)+6,FLOOR(ROUND(I460/(1-Z460)/(1-Settings!$B$17)/(1-AN460),0),10)+9))),"")</f>
        <v/>
      </c>
      <c r="S460" s="174">
        <f>R460*0.95</f>
        <v/>
      </c>
      <c r="T460" s="91">
        <f>IF(S460&lt;&gt;"", IF(MOD(S460,10)=0,S460-1,IF(MOD(S460,10)&lt;=5,FLOOR(S460,10)+6,FLOOR(S460,10)+9)), R460)</f>
        <v/>
      </c>
      <c r="U460" s="87" t="inlineStr">
        <is>
          <t>Основний</t>
        </is>
      </c>
      <c r="V460" s="88" t="n"/>
      <c r="W460" s="88" t="n"/>
      <c r="X460" s="89">
        <f>IFERROR(IF(OR(V460="",W460="",T460=""),"", IF(T460&gt;W460,"Дорогий",IF(T460&lt;V460,"Дешевий","У ринку"))),"")</f>
        <v/>
      </c>
      <c r="Y460" s="90" t="n"/>
      <c r="Z460" s="104">
        <f>CHOOSE(MATCH(IF($U460="","Основний",$U460),{"Трафіковий","Основний","Маржинальний","Сезонний","Стратегічний"},0),0.16,0.19,0.24,0.23,0.28)</f>
        <v/>
      </c>
      <c r="AA460" s="104">
        <f>CHOOSE(MATCH(IF($U460="","Основний",$U460),{"Трафіковий","Основний","Маржинальний","Сезонний","Стратегічний"},0),0.18,0.21,0.26,0.25,0.3)</f>
        <v/>
      </c>
      <c r="AB460" s="104">
        <f>CHOOSE(MATCH(IF($U460="","Основний",$U460),{"Трафіковий","Основний","Маржинальний","Сезонний","Стратегічний"},0),0.19,0.22,0.28,0.26,0.32)</f>
        <v/>
      </c>
      <c r="AC460" s="104">
        <f>CHOOSE(MATCH(IF($U460="","Основний",$U460),{"Трафіковий","Основний","Маржинальний","Сезонний","Стратегічний"},0),0.17,0.2,0.25,0.24,0.28)</f>
        <v/>
      </c>
      <c r="AD460" s="104">
        <f>CHOOSE(MATCH(IF($U460="","Основний",$U460),{"Трафіковий","Основний","Маржинальний","Сезонний","Стратегічний"},0),0.18,0.21,0.26,0.25,0.3)</f>
        <v/>
      </c>
      <c r="AE460" s="104">
        <f>CHOOSE(MATCH(IF($U460="","Основний",$U460),{"Трафіковий","Основний","Маржинальний","Сезонний","Стратегічний"},0),0.18,0.2,0.28,0.27,0.32)</f>
        <v/>
      </c>
      <c r="AF460" s="104">
        <f>CHOOSE(MATCH(IF($U460="","Основний",$U460),{"Трафіковий","Основний","Маржинальний","Сезонний","Стратегічний"},0),0.15,0.175,0.22,0.21,0.25)</f>
        <v/>
      </c>
      <c r="AG460" s="104">
        <f>CHOOSE(MATCH(IF($U460="","Основний",$U460),{"Трафіковий","Основний","Маржинальний","Сезонний","Стратегічний"},0),0.13,0.16,0.21,0.2,0.25)</f>
        <v/>
      </c>
      <c r="AH460" s="104">
        <f>CHOOSE(MATCH(IF($U460="","Основний",$U460),{"Трафіковий","Основний","Маржинальний","Сезонний","Стратегічний"},0),0.15,0.18,0.23,0.22,0.27)</f>
        <v/>
      </c>
      <c r="AI460" s="104">
        <f>CHOOSE(MATCH(IF($U460="","Основний",$U460),{"Трафіковий","Основний","Маржинальний","Сезонний","Стратегічний"},0),0.16,0.19,0.25,0.23,0.29)</f>
        <v/>
      </c>
      <c r="AJ460" s="104">
        <f>CHOOSE(MATCH(IF($U460="","Основний",$U460),{"Трафіковий","Основний","Маржинальний","Сезонний","Стратегічний"},0),0.14,0.17,0.22,0.21,0.25)</f>
        <v/>
      </c>
      <c r="AK460" s="104">
        <f>CHOOSE(MATCH(IF($U460="","Основний",$U460),{"Трафіковий","Основний","Маржинальний","Сезонний","Стратегічний"},0),0.15,0.18,0.23,0.22,0.27)</f>
        <v/>
      </c>
      <c r="AL460" s="104">
        <f>CHOOSE(MATCH(IF($U460="","Основний",$U460),{"Трафіковий","Основний","Маржинальний","Сезонний","Стратегічний"},0),0.15,0.17,0.25,0.24,0.29)</f>
        <v/>
      </c>
      <c r="AM460" s="104">
        <f>CHOOSE(MATCH(IF($U460="","Основний",$U460),{"Трафіковий","Основний","Маржинальний","Сезонний","Стратегічний"},0),0.12,0.145,0.19,0.18,0.22)</f>
        <v/>
      </c>
      <c r="AN460" s="157">
        <f>CHOOSE(MATCH(IF($U460="","Основний",$U460),{"Трафіковий","Основний","Маржинальний","Сезонний","Стратегічний"},0),Settings!$B$78,Settings!$B$80,Settings!$B$82,Settings!$B$84,Settings!$B$86)</f>
        <v/>
      </c>
      <c r="AO460" s="157">
        <f>CHOOSE(MATCH(IF($U460="","Основний",$U460),{"Трафіковий","Основний","Маржинальний","Сезонний","Стратегічний"},0),Settings!$C$78,Settings!$C$80,Settings!$C$82,Settings!$C$84,Settings!$C$86)</f>
        <v/>
      </c>
      <c r="AP460" s="157">
        <f>CHOOSE(MATCH(IF($U460="","Основний",$U460),{"Трафіковий","Основний","Маржинальний","Сезонний","Стратегічний"},0),Settings!$D$78,Settings!$D$80,Settings!$D$82,Settings!$D$84,Settings!$D$86)</f>
        <v/>
      </c>
      <c r="AQ460" s="157">
        <f>CHOOSE(MATCH(IF($U460="","Основний",$U460),{"Трафіковий","Основний","Маржинальний","Сезонний","Стратегічний"},0),Settings!$F$78,Settings!$F$80,Settings!$F$82,Settings!$F$84,Settings!$F$86)</f>
        <v/>
      </c>
      <c r="AR460" s="157">
        <f>CHOOSE(MATCH(IF($U460="","Основний",$U460),{"Трафіковий","Основний","Маржинальний","Сезонний","Стратегічний"},0),Settings!$G$78,Settings!$G$80,Settings!$G$82,Settings!$G$84,Settings!$G$86)</f>
        <v/>
      </c>
      <c r="AS460" s="157">
        <f>CHOOSE(MATCH(IF($U460="","Основний",$U460),{"Трафіковий","Основний","Маржинальний","Сезонний","Стратегічний"},0),Settings!$H$78,Settings!$H$80,Settings!$H$82,Settings!$H$84,Settings!$H$86)</f>
        <v/>
      </c>
      <c r="AT460" s="157">
        <f>CHOOSE(MATCH(IF($U460="","Основний",$U460),{"Трафіковий","Основний","Маржинальний","Сезонний","Стратегічний"},0),Settings!$I$78,Settings!$I$80,Settings!$I$82,Settings!$I$84,Settings!$I$86)</f>
        <v/>
      </c>
      <c r="AU460" s="171" t="n"/>
      <c r="AV460" t="n">
        <v>1.35</v>
      </c>
    </row>
    <row r="461">
      <c r="A461" s="33" t="inlineStr">
        <is>
          <t>SELL OUT</t>
        </is>
      </c>
      <c r="B461" s="34" t="inlineStr">
        <is>
          <t>M0018</t>
        </is>
      </c>
      <c r="C461" s="34" t="inlineStr">
        <is>
          <t>MULTITESTER VT-110</t>
        </is>
      </c>
      <c r="D461" s="34" t="inlineStr">
        <is>
          <t>Тестери, мультиметри</t>
        </is>
      </c>
      <c r="E461" s="33" t="inlineStr">
        <is>
          <t>PC</t>
        </is>
      </c>
      <c r="F461" s="94" t="n">
        <v>0.987</v>
      </c>
      <c r="G461" s="35" t="n">
        <v>9030337000</v>
      </c>
      <c r="H461" s="31" t="n">
        <v>1.3</v>
      </c>
      <c r="I461" s="84">
        <f>IFERROR(F461*Settings!$B$2*H461*IF(AND(ISNUMBER(E461),E461&gt;1),E461,1),"")</f>
        <v/>
      </c>
      <c r="J461" s="32">
        <f>Settings!$B$66</f>
        <v/>
      </c>
      <c r="K461" s="95">
        <f>IFERROR(IF(T461="","",(T461*(1-AN461)*(1-Settings!$B$17)-I461)/(T461*(1-AN461)*(1-Settings!$B$17))),"")</f>
        <v/>
      </c>
      <c r="L461" s="101">
        <f>IFERROR(IF(T461="","",(T461*(1-AO461)*(1-Settings!$C$17)-I461)/(T461*(1-AO461)*(1-Settings!$C$17))),"")</f>
        <v/>
      </c>
      <c r="M461" s="101">
        <f>IFERROR(IF(T461="","",(T461*(1-AP461)*(1-Settings!$D$17)-I461)/(T461*(1-AP461)*(1-Settings!$D$17))),"")</f>
        <v/>
      </c>
      <c r="N461" s="101">
        <f>IFERROR(IF(T461="","",(T461*(1-AQ461)*(1-Settings!$F$17)-I461)/(T461*(1-AQ461)*(1-Settings!$F$17))),"")</f>
        <v/>
      </c>
      <c r="O461" s="101">
        <f>IFERROR(IF(T461="","",(T461*(1-AR461)*(1-Settings!$G$17)-I461)/(T461*(1-AR461)*(1-Settings!$G$17))),"")</f>
        <v/>
      </c>
      <c r="P461" s="101">
        <f>IFERROR(IF(T461="","",(T461*(1-AS461)*(1-Settings!$H$17)-I461)/(T461*(1-AS461)*(1-Settings!$H$17))),"")</f>
        <v/>
      </c>
      <c r="Q461" s="101">
        <f>IFERROR(IF(T461="","",(T461*(1-AT461)*(1-Settings!$I$68)*(1-Settings!$I$17)-I461)/(T461*(1-AT461)*(1-Settings!$I$68)*(1-Settings!$I$17))),"")</f>
        <v/>
      </c>
      <c r="R461" s="91">
        <f>IFERROR(IF(OR(I461="",Z461&gt;=1,Settings!$B$17&gt;=1,AN461&gt;=1),"",IF(MOD(ROUND(I461/(1-Z461)/(1-Settings!$B$17)/(1-AN461),0),10)=0,ROUND(I461/(1-Z461)/(1-Settings!$B$17)/(1-AN461),0)-1,IF(MOD(ROUND(I461/(1-Z461)/(1-Settings!$B$17)/(1-AN461),0),10)&lt;=5,FLOOR(ROUND(I461/(1-Z461)/(1-Settings!$B$17)/(1-AN461),0),10)+6,FLOOR(ROUND(I461/(1-Z461)/(1-Settings!$B$17)/(1-AN461),0),10)+9))),"")</f>
        <v/>
      </c>
      <c r="S461" s="92" t="n">
        <v>140</v>
      </c>
      <c r="T461" s="91">
        <f>IF(S461&lt;&gt;"", IF(MOD(S461,10)=0,S461-1,IF(MOD(S461,10)&lt;=5,FLOOR(S461,10)+6,FLOOR(S461,10)+9)), R461)</f>
        <v/>
      </c>
      <c r="U461" s="87" t="inlineStr">
        <is>
          <t>Маржинальний</t>
        </is>
      </c>
      <c r="V461" s="88" t="n"/>
      <c r="W461" s="88" t="n"/>
      <c r="X461" s="89">
        <f>IFERROR(IF(OR(V461="",W461="",T461=""),"", IF(T461&gt;W461,"Дорогий",IF(T461&lt;V461,"Дешевий","У ринку"))),"")</f>
        <v/>
      </c>
      <c r="Y461" s="90" t="n"/>
      <c r="Z461" s="104">
        <f>CHOOSE(MATCH(IF($U461="","Основний",$U461),{"Трафіковий","Основний","Маржинальний","Сезонний","Стратегічний"},0),0.16,0.19,0.24,0.23,0.28)</f>
        <v/>
      </c>
      <c r="AA461" s="104">
        <f>CHOOSE(MATCH(IF($U461="","Основний",$U461),{"Трафіковий","Основний","Маржинальний","Сезонний","Стратегічний"},0),0.18,0.21,0.26,0.25,0.3)</f>
        <v/>
      </c>
      <c r="AB461" s="104">
        <f>CHOOSE(MATCH(IF($U461="","Основний",$U461),{"Трафіковий","Основний","Маржинальний","Сезонний","Стратегічний"},0),0.19,0.22,0.28,0.26,0.32)</f>
        <v/>
      </c>
      <c r="AC461" s="104">
        <f>CHOOSE(MATCH(IF($U461="","Основний",$U461),{"Трафіковий","Основний","Маржинальний","Сезонний","Стратегічний"},0),0.17,0.2,0.25,0.24,0.28)</f>
        <v/>
      </c>
      <c r="AD461" s="104">
        <f>CHOOSE(MATCH(IF($U461="","Основний",$U461),{"Трафіковий","Основний","Маржинальний","Сезонний","Стратегічний"},0),0.18,0.21,0.26,0.25,0.3)</f>
        <v/>
      </c>
      <c r="AE461" s="104">
        <f>CHOOSE(MATCH(IF($U461="","Основний",$U461),{"Трафіковий","Основний","Маржинальний","Сезонний","Стратегічний"},0),0.18,0.2,0.28,0.27,0.32)</f>
        <v/>
      </c>
      <c r="AF461" s="104">
        <f>CHOOSE(MATCH(IF($U461="","Основний",$U461),{"Трафіковий","Основний","Маржинальний","Сезонний","Стратегічний"},0),0.15,0.175,0.22,0.21,0.25)</f>
        <v/>
      </c>
      <c r="AG461" s="104">
        <f>CHOOSE(MATCH(IF($U461="","Основний",$U461),{"Трафіковий","Основний","Маржинальний","Сезонний","Стратегічний"},0),0.13,0.16,0.21,0.2,0.25)</f>
        <v/>
      </c>
      <c r="AH461" s="104">
        <f>CHOOSE(MATCH(IF($U461="","Основний",$U461),{"Трафіковий","Основний","Маржинальний","Сезонний","Стратегічний"},0),0.15,0.18,0.23,0.22,0.27)</f>
        <v/>
      </c>
      <c r="AI461" s="104">
        <f>CHOOSE(MATCH(IF($U461="","Основний",$U461),{"Трафіковий","Основний","Маржинальний","Сезонний","Стратегічний"},0),0.16,0.19,0.25,0.23,0.29)</f>
        <v/>
      </c>
      <c r="AJ461" s="104">
        <f>CHOOSE(MATCH(IF($U461="","Основний",$U461),{"Трафіковий","Основний","Маржинальний","Сезонний","Стратегічний"},0),0.14,0.17,0.22,0.21,0.25)</f>
        <v/>
      </c>
      <c r="AK461" s="104">
        <f>CHOOSE(MATCH(IF($U461="","Основний",$U461),{"Трафіковий","Основний","Маржинальний","Сезонний","Стратегічний"},0),0.15,0.18,0.23,0.22,0.27)</f>
        <v/>
      </c>
      <c r="AL461" s="104">
        <f>CHOOSE(MATCH(IF($U461="","Основний",$U461),{"Трафіковий","Основний","Маржинальний","Сезонний","Стратегічний"},0),0.15,0.17,0.25,0.24,0.29)</f>
        <v/>
      </c>
      <c r="AM461" s="104">
        <f>CHOOSE(MATCH(IF($U461="","Основний",$U461),{"Трафіковий","Основний","Маржинальний","Сезонний","Стратегічний"},0),0.12,0.145,0.19,0.18,0.22)</f>
        <v/>
      </c>
      <c r="AN461" s="157">
        <f>CHOOSE(MATCH(IF($U461="","Основний",$U461),{"Трафіковий","Основний","Маржинальний","Сезонний","Стратегічний"},0),Settings!$B$78,Settings!$B$80,Settings!$B$82,Settings!$B$84,Settings!$B$86)</f>
        <v/>
      </c>
      <c r="AO461" s="157">
        <f>CHOOSE(MATCH(IF($U461="","Основний",$U461),{"Трафіковий","Основний","Маржинальний","Сезонний","Стратегічний"},0),Settings!$C$78,Settings!$C$80,Settings!$C$82,Settings!$C$84,Settings!$C$86)</f>
        <v/>
      </c>
      <c r="AP461" s="157">
        <f>CHOOSE(MATCH(IF($U461="","Основний",$U461),{"Трафіковий","Основний","Маржинальний","Сезонний","Стратегічний"},0),Settings!$D$78,Settings!$D$80,Settings!$D$82,Settings!$D$84,Settings!$D$86)</f>
        <v/>
      </c>
      <c r="AQ461" s="157">
        <f>CHOOSE(MATCH(IF($U461="","Основний",$U461),{"Трафіковий","Основний","Маржинальний","Сезонний","Стратегічний"},0),Settings!$F$78,Settings!$F$80,Settings!$F$82,Settings!$F$84,Settings!$F$86)</f>
        <v/>
      </c>
      <c r="AR461" s="157">
        <f>CHOOSE(MATCH(IF($U461="","Основний",$U461),{"Трафіковий","Основний","Маржинальний","Сезонний","Стратегічний"},0),Settings!$G$78,Settings!$G$80,Settings!$G$82,Settings!$G$84,Settings!$G$86)</f>
        <v/>
      </c>
      <c r="AS461" s="157">
        <f>CHOOSE(MATCH(IF($U461="","Основний",$U461),{"Трафіковий","Основний","Маржинальний","Сезонний","Стратегічний"},0),Settings!$H$78,Settings!$H$80,Settings!$H$82,Settings!$H$84,Settings!$H$86)</f>
        <v/>
      </c>
      <c r="AT461" s="157">
        <f>CHOOSE(MATCH(IF($U461="","Основний",$U461),{"Трафіковий","Основний","Маржинальний","Сезонний","Стратегічний"},0),Settings!$I$78,Settings!$I$80,Settings!$I$82,Settings!$I$84,Settings!$I$86)</f>
        <v/>
      </c>
      <c r="AU461" s="171" t="n"/>
      <c r="AV461" t="n">
        <v>1.35</v>
      </c>
    </row>
    <row r="462">
      <c r="A462" s="28" t="inlineStr">
        <is>
          <t>SELL OUT</t>
        </is>
      </c>
      <c r="B462" s="29" t="inlineStr">
        <is>
          <t>M0048</t>
        </is>
      </c>
      <c r="C462" s="29" t="inlineStr">
        <is>
          <t>MULTITESTER VT-120</t>
        </is>
      </c>
      <c r="D462" s="29" t="inlineStr">
        <is>
          <t>Тестери, мультиметри</t>
        </is>
      </c>
      <c r="E462" s="28" t="inlineStr">
        <is>
          <t>PC</t>
        </is>
      </c>
      <c r="F462" s="93" t="n">
        <v>1.559</v>
      </c>
      <c r="G462" s="30" t="n">
        <v>9030337000</v>
      </c>
      <c r="H462" s="31" t="n">
        <v>1.3</v>
      </c>
      <c r="I462" s="84">
        <f>IFERROR(F462*Settings!$B$2*H462*IF(AND(ISNUMBER(E462),E462&gt;1),E462,1),"")</f>
        <v/>
      </c>
      <c r="J462" s="32">
        <f>Settings!$B$66</f>
        <v/>
      </c>
      <c r="K462" s="95">
        <f>IFERROR(IF(T462="","",(T462*(1-AN462)*(1-Settings!$B$17)-I462)/(T462*(1-AN462)*(1-Settings!$B$17))),"")</f>
        <v/>
      </c>
      <c r="L462" s="101">
        <f>IFERROR(IF(T462="","",(T462*(1-AO462)*(1-Settings!$C$17)-I462)/(T462*(1-AO462)*(1-Settings!$C$17))),"")</f>
        <v/>
      </c>
      <c r="M462" s="101">
        <f>IFERROR(IF(T462="","",(T462*(1-AP462)*(1-Settings!$D$17)-I462)/(T462*(1-AP462)*(1-Settings!$D$17))),"")</f>
        <v/>
      </c>
      <c r="N462" s="101">
        <f>IFERROR(IF(T462="","",(T462*(1-AQ462)*(1-Settings!$F$17)-I462)/(T462*(1-AQ462)*(1-Settings!$F$17))),"")</f>
        <v/>
      </c>
      <c r="O462" s="101">
        <f>IFERROR(IF(T462="","",(T462*(1-AR462)*(1-Settings!$G$17)-I462)/(T462*(1-AR462)*(1-Settings!$G$17))),"")</f>
        <v/>
      </c>
      <c r="P462" s="101">
        <f>IFERROR(IF(T462="","",(T462*(1-AS462)*(1-Settings!$H$17)-I462)/(T462*(1-AS462)*(1-Settings!$H$17))),"")</f>
        <v/>
      </c>
      <c r="Q462" s="101">
        <f>IFERROR(IF(T462="","",(T462*(1-AT462)*(1-Settings!$I$68)*(1-Settings!$I$17)-I462)/(T462*(1-AT462)*(1-Settings!$I$68)*(1-Settings!$I$17))),"")</f>
        <v/>
      </c>
      <c r="R462" s="91">
        <f>IFERROR(IF(OR(I462="",Z462&gt;=1,Settings!$B$17&gt;=1,AN462&gt;=1),"",IF(MOD(ROUND(I462/(1-Z462)/(1-Settings!$B$17)/(1-AN462),0),10)=0,ROUND(I462/(1-Z462)/(1-Settings!$B$17)/(1-AN462),0)-1,IF(MOD(ROUND(I462/(1-Z462)/(1-Settings!$B$17)/(1-AN462),0),10)&lt;=5,FLOOR(ROUND(I462/(1-Z462)/(1-Settings!$B$17)/(1-AN462),0),10)+6,FLOOR(ROUND(I462/(1-Z462)/(1-Settings!$B$17)/(1-AN462),0),10)+9))),"")</f>
        <v/>
      </c>
      <c r="S462" s="92" t="n">
        <v>200</v>
      </c>
      <c r="T462" s="91">
        <f>IF(S462&lt;&gt;"", IF(MOD(S462,10)=0,S462-1,IF(MOD(S462,10)&lt;=5,FLOOR(S462,10)+6,FLOOR(S462,10)+9)), R462)</f>
        <v/>
      </c>
      <c r="U462" s="87" t="inlineStr">
        <is>
          <t>Основний</t>
        </is>
      </c>
      <c r="V462" s="88" t="n"/>
      <c r="W462" s="88" t="n"/>
      <c r="X462" s="89">
        <f>IFERROR(IF(OR(V462="",W462="",T462=""),"", IF(T462&gt;W462,"Дорогий",IF(T462&lt;V462,"Дешевий","У ринку"))),"")</f>
        <v/>
      </c>
      <c r="Y462" s="90" t="n"/>
      <c r="Z462" s="104">
        <f>CHOOSE(MATCH(IF($U462="","Основний",$U462),{"Трафіковий","Основний","Маржинальний","Сезонний","Стратегічний"},0),0.16,0.19,0.24,0.23,0.28)</f>
        <v/>
      </c>
      <c r="AA462" s="104">
        <f>CHOOSE(MATCH(IF($U462="","Основний",$U462),{"Трафіковий","Основний","Маржинальний","Сезонний","Стратегічний"},0),0.18,0.21,0.26,0.25,0.3)</f>
        <v/>
      </c>
      <c r="AB462" s="104">
        <f>CHOOSE(MATCH(IF($U462="","Основний",$U462),{"Трафіковий","Основний","Маржинальний","Сезонний","Стратегічний"},0),0.19,0.22,0.28,0.26,0.32)</f>
        <v/>
      </c>
      <c r="AC462" s="104">
        <f>CHOOSE(MATCH(IF($U462="","Основний",$U462),{"Трафіковий","Основний","Маржинальний","Сезонний","Стратегічний"},0),0.17,0.2,0.25,0.24,0.28)</f>
        <v/>
      </c>
      <c r="AD462" s="104">
        <f>CHOOSE(MATCH(IF($U462="","Основний",$U462),{"Трафіковий","Основний","Маржинальний","Сезонний","Стратегічний"},0),0.18,0.21,0.26,0.25,0.3)</f>
        <v/>
      </c>
      <c r="AE462" s="104">
        <f>CHOOSE(MATCH(IF($U462="","Основний",$U462),{"Трафіковий","Основний","Маржинальний","Сезонний","Стратегічний"},0),0.18,0.2,0.28,0.27,0.32)</f>
        <v/>
      </c>
      <c r="AF462" s="104">
        <f>CHOOSE(MATCH(IF($U462="","Основний",$U462),{"Трафіковий","Основний","Маржинальний","Сезонний","Стратегічний"},0),0.15,0.175,0.22,0.21,0.25)</f>
        <v/>
      </c>
      <c r="AG462" s="104">
        <f>CHOOSE(MATCH(IF($U462="","Основний",$U462),{"Трафіковий","Основний","Маржинальний","Сезонний","Стратегічний"},0),0.13,0.16,0.21,0.2,0.25)</f>
        <v/>
      </c>
      <c r="AH462" s="104">
        <f>CHOOSE(MATCH(IF($U462="","Основний",$U462),{"Трафіковий","Основний","Маржинальний","Сезонний","Стратегічний"},0),0.15,0.18,0.23,0.22,0.27)</f>
        <v/>
      </c>
      <c r="AI462" s="104">
        <f>CHOOSE(MATCH(IF($U462="","Основний",$U462),{"Трафіковий","Основний","Маржинальний","Сезонний","Стратегічний"},0),0.16,0.19,0.25,0.23,0.29)</f>
        <v/>
      </c>
      <c r="AJ462" s="104">
        <f>CHOOSE(MATCH(IF($U462="","Основний",$U462),{"Трафіковий","Основний","Маржинальний","Сезонний","Стратегічний"},0),0.14,0.17,0.22,0.21,0.25)</f>
        <v/>
      </c>
      <c r="AK462" s="104">
        <f>CHOOSE(MATCH(IF($U462="","Основний",$U462),{"Трафіковий","Основний","Маржинальний","Сезонний","Стратегічний"},0),0.15,0.18,0.23,0.22,0.27)</f>
        <v/>
      </c>
      <c r="AL462" s="104">
        <f>CHOOSE(MATCH(IF($U462="","Основний",$U462),{"Трафіковий","Основний","Маржинальний","Сезонний","Стратегічний"},0),0.15,0.17,0.25,0.24,0.29)</f>
        <v/>
      </c>
      <c r="AM462" s="104">
        <f>CHOOSE(MATCH(IF($U462="","Основний",$U462),{"Трафіковий","Основний","Маржинальний","Сезонний","Стратегічний"},0),0.12,0.145,0.19,0.18,0.22)</f>
        <v/>
      </c>
      <c r="AN462" s="157">
        <f>CHOOSE(MATCH(IF($U462="","Основний",$U462),{"Трафіковий","Основний","Маржинальний","Сезонний","Стратегічний"},0),Settings!$B$78,Settings!$B$80,Settings!$B$82,Settings!$B$84,Settings!$B$86)</f>
        <v/>
      </c>
      <c r="AO462" s="157">
        <f>CHOOSE(MATCH(IF($U462="","Основний",$U462),{"Трафіковий","Основний","Маржинальний","Сезонний","Стратегічний"},0),Settings!$C$78,Settings!$C$80,Settings!$C$82,Settings!$C$84,Settings!$C$86)</f>
        <v/>
      </c>
      <c r="AP462" s="157">
        <f>CHOOSE(MATCH(IF($U462="","Основний",$U462),{"Трафіковий","Основний","Маржинальний","Сезонний","Стратегічний"},0),Settings!$D$78,Settings!$D$80,Settings!$D$82,Settings!$D$84,Settings!$D$86)</f>
        <v/>
      </c>
      <c r="AQ462" s="157">
        <f>CHOOSE(MATCH(IF($U462="","Основний",$U462),{"Трафіковий","Основний","Маржинальний","Сезонний","Стратегічний"},0),Settings!$F$78,Settings!$F$80,Settings!$F$82,Settings!$F$84,Settings!$F$86)</f>
        <v/>
      </c>
      <c r="AR462" s="157">
        <f>CHOOSE(MATCH(IF($U462="","Основний",$U462),{"Трафіковий","Основний","Маржинальний","Сезонний","Стратегічний"},0),Settings!$G$78,Settings!$G$80,Settings!$G$82,Settings!$G$84,Settings!$G$86)</f>
        <v/>
      </c>
      <c r="AS462" s="157">
        <f>CHOOSE(MATCH(IF($U462="","Основний",$U462),{"Трафіковий","Основний","Маржинальний","Сезонний","Стратегічний"},0),Settings!$H$78,Settings!$H$80,Settings!$H$82,Settings!$H$84,Settings!$H$86)</f>
        <v/>
      </c>
      <c r="AT462" s="157">
        <f>CHOOSE(MATCH(IF($U462="","Основний",$U462),{"Трафіковий","Основний","Маржинальний","Сезонний","Стратегічний"},0),Settings!$I$78,Settings!$I$80,Settings!$I$82,Settings!$I$84,Settings!$I$86)</f>
        <v/>
      </c>
      <c r="AU462" s="171" t="n"/>
      <c r="AV462" t="n">
        <v>1.35</v>
      </c>
    </row>
    <row r="463">
      <c r="A463" s="33" t="inlineStr">
        <is>
          <t>NEW</t>
        </is>
      </c>
      <c r="B463" s="34" t="inlineStr">
        <is>
          <t>M0016</t>
        </is>
      </c>
      <c r="C463" s="34" t="inlineStr">
        <is>
          <t>VOLTAGE TESTER VT-101</t>
        </is>
      </c>
      <c r="D463" s="34" t="inlineStr">
        <is>
          <t>Тестери, мультиметри</t>
        </is>
      </c>
      <c r="E463" s="33" t="inlineStr">
        <is>
          <t>PC</t>
        </is>
      </c>
      <c r="F463" s="94" t="n">
        <v>0.425</v>
      </c>
      <c r="G463" s="35" t="n">
        <v>9030337000</v>
      </c>
      <c r="H463" s="31" t="n">
        <v>1.3</v>
      </c>
      <c r="I463" s="84">
        <f>IFERROR(F463*Settings!$B$2*H463*IF(AND(ISNUMBER(E463),E463&gt;1),E463,1),"")</f>
        <v/>
      </c>
      <c r="J463" s="32">
        <f>Settings!$B$66</f>
        <v/>
      </c>
      <c r="K463" s="95">
        <f>IFERROR(IF(T463="","",(T463*(1-AN463)*(1-Settings!$B$17)-I463)/(T463*(1-AN463)*(1-Settings!$B$17))),"")</f>
        <v/>
      </c>
      <c r="L463" s="101">
        <f>IFERROR(IF(T463="","",(T463*(1-AO463)*(1-Settings!$C$17)-I463)/(T463*(1-AO463)*(1-Settings!$C$17))),"")</f>
        <v/>
      </c>
      <c r="M463" s="101">
        <f>IFERROR(IF(T463="","",(T463*(1-AP463)*(1-Settings!$D$17)-I463)/(T463*(1-AP463)*(1-Settings!$D$17))),"")</f>
        <v/>
      </c>
      <c r="N463" s="101">
        <f>IFERROR(IF(T463="","",(T463*(1-AQ463)*(1-Settings!$F$17)-I463)/(T463*(1-AQ463)*(1-Settings!$F$17))),"")</f>
        <v/>
      </c>
      <c r="O463" s="101">
        <f>IFERROR(IF(T463="","",(T463*(1-AR463)*(1-Settings!$G$17)-I463)/(T463*(1-AR463)*(1-Settings!$G$17))),"")</f>
        <v/>
      </c>
      <c r="P463" s="101">
        <f>IFERROR(IF(T463="","",(T463*(1-AS463)*(1-Settings!$H$17)-I463)/(T463*(1-AS463)*(1-Settings!$H$17))),"")</f>
        <v/>
      </c>
      <c r="Q463" s="101">
        <f>IFERROR(IF(T463="","",(T463*(1-AT463)*(1-Settings!$I$68)*(1-Settings!$I$17)-I463)/(T463*(1-AT463)*(1-Settings!$I$68)*(1-Settings!$I$17))),"")</f>
        <v/>
      </c>
      <c r="R463" s="91">
        <f>IFERROR(IF(OR(I463="",Z463&gt;=1,Settings!$B$17&gt;=1,AN463&gt;=1),"",IF(MOD(ROUND(I463/(1-Z463)/(1-Settings!$B$17)/(1-AN463),0),10)=0,ROUND(I463/(1-Z463)/(1-Settings!$B$17)/(1-AN463),0)-1,IF(MOD(ROUND(I463/(1-Z463)/(1-Settings!$B$17)/(1-AN463),0),10)&lt;=5,FLOOR(ROUND(I463/(1-Z463)/(1-Settings!$B$17)/(1-AN463),0),10)+6,FLOOR(ROUND(I463/(1-Z463)/(1-Settings!$B$17)/(1-AN463),0),10)+9))),"")</f>
        <v/>
      </c>
      <c r="S463" s="92" t="n">
        <v>70</v>
      </c>
      <c r="T463" s="91">
        <f>IF(S463&lt;&gt;"", IF(MOD(S463,10)=0,S463-1,IF(MOD(S463,10)&lt;=5,FLOOR(S463,10)+6,FLOOR(S463,10)+9)), R463)</f>
        <v/>
      </c>
      <c r="U463" s="87" t="inlineStr">
        <is>
          <t>Маржинальний</t>
        </is>
      </c>
      <c r="V463" s="88" t="n"/>
      <c r="W463" s="88" t="n"/>
      <c r="X463" s="89">
        <f>IFERROR(IF(OR(V463="",W463="",T463=""),"", IF(T463&gt;W463,"Дорогий",IF(T463&lt;V463,"Дешевий","У ринку"))),"")</f>
        <v/>
      </c>
      <c r="Y463" s="90" t="n"/>
      <c r="Z463" s="104">
        <f>CHOOSE(MATCH(IF($U463="","Основний",$U463),{"Трафіковий","Основний","Маржинальний","Сезонний","Стратегічний"},0),0.16,0.19,0.24,0.23,0.28)</f>
        <v/>
      </c>
      <c r="AA463" s="104">
        <f>CHOOSE(MATCH(IF($U463="","Основний",$U463),{"Трафіковий","Основний","Маржинальний","Сезонний","Стратегічний"},0),0.18,0.21,0.26,0.25,0.3)</f>
        <v/>
      </c>
      <c r="AB463" s="104">
        <f>CHOOSE(MATCH(IF($U463="","Основний",$U463),{"Трафіковий","Основний","Маржинальний","Сезонний","Стратегічний"},0),0.19,0.22,0.28,0.26,0.32)</f>
        <v/>
      </c>
      <c r="AC463" s="104">
        <f>CHOOSE(MATCH(IF($U463="","Основний",$U463),{"Трафіковий","Основний","Маржинальний","Сезонний","Стратегічний"},0),0.17,0.2,0.25,0.24,0.28)</f>
        <v/>
      </c>
      <c r="AD463" s="104">
        <f>CHOOSE(MATCH(IF($U463="","Основний",$U463),{"Трафіковий","Основний","Маржинальний","Сезонний","Стратегічний"},0),0.18,0.21,0.26,0.25,0.3)</f>
        <v/>
      </c>
      <c r="AE463" s="104">
        <f>CHOOSE(MATCH(IF($U463="","Основний",$U463),{"Трафіковий","Основний","Маржинальний","Сезонний","Стратегічний"},0),0.18,0.2,0.28,0.27,0.32)</f>
        <v/>
      </c>
      <c r="AF463" s="104">
        <f>CHOOSE(MATCH(IF($U463="","Основний",$U463),{"Трафіковий","Основний","Маржинальний","Сезонний","Стратегічний"},0),0.15,0.175,0.22,0.21,0.25)</f>
        <v/>
      </c>
      <c r="AG463" s="104">
        <f>CHOOSE(MATCH(IF($U463="","Основний",$U463),{"Трафіковий","Основний","Маржинальний","Сезонний","Стратегічний"},0),0.13,0.16,0.21,0.2,0.25)</f>
        <v/>
      </c>
      <c r="AH463" s="104">
        <f>CHOOSE(MATCH(IF($U463="","Основний",$U463),{"Трафіковий","Основний","Маржинальний","Сезонний","Стратегічний"},0),0.15,0.18,0.23,0.22,0.27)</f>
        <v/>
      </c>
      <c r="AI463" s="104">
        <f>CHOOSE(MATCH(IF($U463="","Основний",$U463),{"Трафіковий","Основний","Маржинальний","Сезонний","Стратегічний"},0),0.16,0.19,0.25,0.23,0.29)</f>
        <v/>
      </c>
      <c r="AJ463" s="104">
        <f>CHOOSE(MATCH(IF($U463="","Основний",$U463),{"Трафіковий","Основний","Маржинальний","Сезонний","Стратегічний"},0),0.14,0.17,0.22,0.21,0.25)</f>
        <v/>
      </c>
      <c r="AK463" s="104">
        <f>CHOOSE(MATCH(IF($U463="","Основний",$U463),{"Трафіковий","Основний","Маржинальний","Сезонний","Стратегічний"},0),0.15,0.18,0.23,0.22,0.27)</f>
        <v/>
      </c>
      <c r="AL463" s="104">
        <f>CHOOSE(MATCH(IF($U463="","Основний",$U463),{"Трафіковий","Основний","Маржинальний","Сезонний","Стратегічний"},0),0.15,0.17,0.25,0.24,0.29)</f>
        <v/>
      </c>
      <c r="AM463" s="104">
        <f>CHOOSE(MATCH(IF($U463="","Основний",$U463),{"Трафіковий","Основний","Маржинальний","Сезонний","Стратегічний"},0),0.12,0.145,0.19,0.18,0.22)</f>
        <v/>
      </c>
      <c r="AN463" s="157">
        <f>CHOOSE(MATCH(IF($U463="","Основний",$U463),{"Трафіковий","Основний","Маржинальний","Сезонний","Стратегічний"},0),Settings!$B$78,Settings!$B$80,Settings!$B$82,Settings!$B$84,Settings!$B$86)</f>
        <v/>
      </c>
      <c r="AO463" s="157">
        <f>CHOOSE(MATCH(IF($U463="","Основний",$U463),{"Трафіковий","Основний","Маржинальний","Сезонний","Стратегічний"},0),Settings!$C$78,Settings!$C$80,Settings!$C$82,Settings!$C$84,Settings!$C$86)</f>
        <v/>
      </c>
      <c r="AP463" s="157">
        <f>CHOOSE(MATCH(IF($U463="","Основний",$U463),{"Трафіковий","Основний","Маржинальний","Сезонний","Стратегічний"},0),Settings!$D$78,Settings!$D$80,Settings!$D$82,Settings!$D$84,Settings!$D$86)</f>
        <v/>
      </c>
      <c r="AQ463" s="157">
        <f>CHOOSE(MATCH(IF($U463="","Основний",$U463),{"Трафіковий","Основний","Маржинальний","Сезонний","Стратегічний"},0),Settings!$F$78,Settings!$F$80,Settings!$F$82,Settings!$F$84,Settings!$F$86)</f>
        <v/>
      </c>
      <c r="AR463" s="157">
        <f>CHOOSE(MATCH(IF($U463="","Основний",$U463),{"Трафіковий","Основний","Маржинальний","Сезонний","Стратегічний"},0),Settings!$G$78,Settings!$G$80,Settings!$G$82,Settings!$G$84,Settings!$G$86)</f>
        <v/>
      </c>
      <c r="AS463" s="157">
        <f>CHOOSE(MATCH(IF($U463="","Основний",$U463),{"Трафіковий","Основний","Маржинальний","Сезонний","Стратегічний"},0),Settings!$H$78,Settings!$H$80,Settings!$H$82,Settings!$H$84,Settings!$H$86)</f>
        <v/>
      </c>
      <c r="AT463" s="157">
        <f>CHOOSE(MATCH(IF($U463="","Основний",$U463),{"Трафіковий","Основний","Маржинальний","Сезонний","Стратегічний"},0),Settings!$I$78,Settings!$I$80,Settings!$I$82,Settings!$I$84,Settings!$I$86)</f>
        <v/>
      </c>
      <c r="AU463" s="171" t="n"/>
      <c r="AV463" t="n">
        <v>1.35</v>
      </c>
    </row>
    <row r="464">
      <c r="A464" s="28" t="inlineStr">
        <is>
          <t>NEW</t>
        </is>
      </c>
      <c r="B464" s="29" t="inlineStr">
        <is>
          <t>M0017</t>
        </is>
      </c>
      <c r="C464" s="29" t="inlineStr">
        <is>
          <t>VOLTAGE TESTER VT-102</t>
        </is>
      </c>
      <c r="D464" s="29" t="inlineStr">
        <is>
          <t>Тестери, мультиметри</t>
        </is>
      </c>
      <c r="E464" s="28" t="inlineStr">
        <is>
          <t>PC</t>
        </is>
      </c>
      <c r="F464" s="93" t="n">
        <v>0.577</v>
      </c>
      <c r="G464" s="30" t="n">
        <v>9030337000</v>
      </c>
      <c r="H464" s="31" t="n">
        <v>1.3</v>
      </c>
      <c r="I464" s="84">
        <f>IFERROR(F464*Settings!$B$2*H464*IF(AND(ISNUMBER(E464),E464&gt;1),E464,1),"")</f>
        <v/>
      </c>
      <c r="J464" s="32">
        <f>Settings!$B$66</f>
        <v/>
      </c>
      <c r="K464" s="95">
        <f>IFERROR(IF(T464="","",(T464*(1-AN464)*(1-Settings!$B$17)-I464)/(T464*(1-AN464)*(1-Settings!$B$17))),"")</f>
        <v/>
      </c>
      <c r="L464" s="101">
        <f>IFERROR(IF(T464="","",(T464*(1-AO464)*(1-Settings!$C$17)-I464)/(T464*(1-AO464)*(1-Settings!$C$17))),"")</f>
        <v/>
      </c>
      <c r="M464" s="101">
        <f>IFERROR(IF(T464="","",(T464*(1-AP464)*(1-Settings!$D$17)-I464)/(T464*(1-AP464)*(1-Settings!$D$17))),"")</f>
        <v/>
      </c>
      <c r="N464" s="101">
        <f>IFERROR(IF(T464="","",(T464*(1-AQ464)*(1-Settings!$F$17)-I464)/(T464*(1-AQ464)*(1-Settings!$F$17))),"")</f>
        <v/>
      </c>
      <c r="O464" s="101">
        <f>IFERROR(IF(T464="","",(T464*(1-AR464)*(1-Settings!$G$17)-I464)/(T464*(1-AR464)*(1-Settings!$G$17))),"")</f>
        <v/>
      </c>
      <c r="P464" s="101">
        <f>IFERROR(IF(T464="","",(T464*(1-AS464)*(1-Settings!$H$17)-I464)/(T464*(1-AS464)*(1-Settings!$H$17))),"")</f>
        <v/>
      </c>
      <c r="Q464" s="101">
        <f>IFERROR(IF(T464="","",(T464*(1-AT464)*(1-Settings!$I$68)*(1-Settings!$I$17)-I464)/(T464*(1-AT464)*(1-Settings!$I$68)*(1-Settings!$I$17))),"")</f>
        <v/>
      </c>
      <c r="R464" s="91">
        <f>IFERROR(IF(OR(I464="",Z464&gt;=1,Settings!$B$17&gt;=1,AN464&gt;=1),"",IF(MOD(ROUND(I464/(1-Z464)/(1-Settings!$B$17)/(1-AN464),0),10)=0,ROUND(I464/(1-Z464)/(1-Settings!$B$17)/(1-AN464),0)-1,IF(MOD(ROUND(I464/(1-Z464)/(1-Settings!$B$17)/(1-AN464),0),10)&lt;=5,FLOOR(ROUND(I464/(1-Z464)/(1-Settings!$B$17)/(1-AN464),0),10)+6,FLOOR(ROUND(I464/(1-Z464)/(1-Settings!$B$17)/(1-AN464),0),10)+9))),"")</f>
        <v/>
      </c>
      <c r="S464" s="92" t="n">
        <v>90</v>
      </c>
      <c r="T464" s="91">
        <f>IF(S464&lt;&gt;"", IF(MOD(S464,10)=0,S464-1,IF(MOD(S464,10)&lt;=5,FLOOR(S464,10)+6,FLOOR(S464,10)+9)), R464)</f>
        <v/>
      </c>
      <c r="U464" s="87" t="inlineStr">
        <is>
          <t>Маржинальний</t>
        </is>
      </c>
      <c r="V464" s="88" t="n"/>
      <c r="W464" s="88" t="n"/>
      <c r="X464" s="89">
        <f>IFERROR(IF(OR(V464="",W464="",T464=""),"", IF(T464&gt;W464,"Дорогий",IF(T464&lt;V464,"Дешевий","У ринку"))),"")</f>
        <v/>
      </c>
      <c r="Y464" s="90" t="n"/>
      <c r="Z464" s="104">
        <f>CHOOSE(MATCH(IF($U464="","Основний",$U464),{"Трафіковий","Основний","Маржинальний","Сезонний","Стратегічний"},0),0.16,0.19,0.24,0.23,0.28)</f>
        <v/>
      </c>
      <c r="AA464" s="104">
        <f>CHOOSE(MATCH(IF($U464="","Основний",$U464),{"Трафіковий","Основний","Маржинальний","Сезонний","Стратегічний"},0),0.18,0.21,0.26,0.25,0.3)</f>
        <v/>
      </c>
      <c r="AB464" s="104">
        <f>CHOOSE(MATCH(IF($U464="","Основний",$U464),{"Трафіковий","Основний","Маржинальний","Сезонний","Стратегічний"},0),0.19,0.22,0.28,0.26,0.32)</f>
        <v/>
      </c>
      <c r="AC464" s="104">
        <f>CHOOSE(MATCH(IF($U464="","Основний",$U464),{"Трафіковий","Основний","Маржинальний","Сезонний","Стратегічний"},0),0.17,0.2,0.25,0.24,0.28)</f>
        <v/>
      </c>
      <c r="AD464" s="104">
        <f>CHOOSE(MATCH(IF($U464="","Основний",$U464),{"Трафіковий","Основний","Маржинальний","Сезонний","Стратегічний"},0),0.18,0.21,0.26,0.25,0.3)</f>
        <v/>
      </c>
      <c r="AE464" s="104">
        <f>CHOOSE(MATCH(IF($U464="","Основний",$U464),{"Трафіковий","Основний","Маржинальний","Сезонний","Стратегічний"},0),0.18,0.2,0.28,0.27,0.32)</f>
        <v/>
      </c>
      <c r="AF464" s="104">
        <f>CHOOSE(MATCH(IF($U464="","Основний",$U464),{"Трафіковий","Основний","Маржинальний","Сезонний","Стратегічний"},0),0.15,0.175,0.22,0.21,0.25)</f>
        <v/>
      </c>
      <c r="AG464" s="104">
        <f>CHOOSE(MATCH(IF($U464="","Основний",$U464),{"Трафіковий","Основний","Маржинальний","Сезонний","Стратегічний"},0),0.13,0.16,0.21,0.2,0.25)</f>
        <v/>
      </c>
      <c r="AH464" s="104">
        <f>CHOOSE(MATCH(IF($U464="","Основний",$U464),{"Трафіковий","Основний","Маржинальний","Сезонний","Стратегічний"},0),0.15,0.18,0.23,0.22,0.27)</f>
        <v/>
      </c>
      <c r="AI464" s="104">
        <f>CHOOSE(MATCH(IF($U464="","Основний",$U464),{"Трафіковий","Основний","Маржинальний","Сезонний","Стратегічний"},0),0.16,0.19,0.25,0.23,0.29)</f>
        <v/>
      </c>
      <c r="AJ464" s="104">
        <f>CHOOSE(MATCH(IF($U464="","Основний",$U464),{"Трафіковий","Основний","Маржинальний","Сезонний","Стратегічний"},0),0.14,0.17,0.22,0.21,0.25)</f>
        <v/>
      </c>
      <c r="AK464" s="104">
        <f>CHOOSE(MATCH(IF($U464="","Основний",$U464),{"Трафіковий","Основний","Маржинальний","Сезонний","Стратегічний"},0),0.15,0.18,0.23,0.22,0.27)</f>
        <v/>
      </c>
      <c r="AL464" s="104">
        <f>CHOOSE(MATCH(IF($U464="","Основний",$U464),{"Трафіковий","Основний","Маржинальний","Сезонний","Стратегічний"},0),0.15,0.17,0.25,0.24,0.29)</f>
        <v/>
      </c>
      <c r="AM464" s="104">
        <f>CHOOSE(MATCH(IF($U464="","Основний",$U464),{"Трафіковий","Основний","Маржинальний","Сезонний","Стратегічний"},0),0.12,0.145,0.19,0.18,0.22)</f>
        <v/>
      </c>
      <c r="AN464" s="157">
        <f>CHOOSE(MATCH(IF($U464="","Основний",$U464),{"Трафіковий","Основний","Маржинальний","Сезонний","Стратегічний"},0),Settings!$B$78,Settings!$B$80,Settings!$B$82,Settings!$B$84,Settings!$B$86)</f>
        <v/>
      </c>
      <c r="AO464" s="157">
        <f>CHOOSE(MATCH(IF($U464="","Основний",$U464),{"Трафіковий","Основний","Маржинальний","Сезонний","Стратегічний"},0),Settings!$C$78,Settings!$C$80,Settings!$C$82,Settings!$C$84,Settings!$C$86)</f>
        <v/>
      </c>
      <c r="AP464" s="157">
        <f>CHOOSE(MATCH(IF($U464="","Основний",$U464),{"Трафіковий","Основний","Маржинальний","Сезонний","Стратегічний"},0),Settings!$D$78,Settings!$D$80,Settings!$D$82,Settings!$D$84,Settings!$D$86)</f>
        <v/>
      </c>
      <c r="AQ464" s="157">
        <f>CHOOSE(MATCH(IF($U464="","Основний",$U464),{"Трафіковий","Основний","Маржинальний","Сезонний","Стратегічний"},0),Settings!$F$78,Settings!$F$80,Settings!$F$82,Settings!$F$84,Settings!$F$86)</f>
        <v/>
      </c>
      <c r="AR464" s="157">
        <f>CHOOSE(MATCH(IF($U464="","Основний",$U464),{"Трафіковий","Основний","Маржинальний","Сезонний","Стратегічний"},0),Settings!$G$78,Settings!$G$80,Settings!$G$82,Settings!$G$84,Settings!$G$86)</f>
        <v/>
      </c>
      <c r="AS464" s="157">
        <f>CHOOSE(MATCH(IF($U464="","Основний",$U464),{"Трафіковий","Основний","Маржинальний","Сезонний","Стратегічний"},0),Settings!$H$78,Settings!$H$80,Settings!$H$82,Settings!$H$84,Settings!$H$86)</f>
        <v/>
      </c>
      <c r="AT464" s="157">
        <f>CHOOSE(MATCH(IF($U464="","Основний",$U464),{"Трафіковий","Основний","Маржинальний","Сезонний","Стратегічний"},0),Settings!$I$78,Settings!$I$80,Settings!$I$82,Settings!$I$84,Settings!$I$86)</f>
        <v/>
      </c>
      <c r="AU464" s="171" t="n"/>
      <c r="AV464" t="n">
        <v>1.35</v>
      </c>
    </row>
    <row r="465">
      <c r="A465" s="33" t="inlineStr">
        <is>
          <t>NEW</t>
        </is>
      </c>
      <c r="B465" s="34" t="inlineStr">
        <is>
          <t>M0049</t>
        </is>
      </c>
      <c r="C465" s="34" t="inlineStr">
        <is>
          <t>VOLTAGE TESTER VT-121</t>
        </is>
      </c>
      <c r="D465" s="34" t="inlineStr">
        <is>
          <t>Тестери, мультиметри</t>
        </is>
      </c>
      <c r="E465" s="33" t="inlineStr">
        <is>
          <t>PC</t>
        </is>
      </c>
      <c r="F465" s="94" t="n">
        <v>0.673</v>
      </c>
      <c r="G465" s="35" t="n">
        <v>9030337000</v>
      </c>
      <c r="H465" s="31" t="n">
        <v>1.3</v>
      </c>
      <c r="I465" s="84">
        <f>IFERROR(F465*Settings!$B$2*H465*IF(AND(ISNUMBER(E465),E465&gt;1),E465,1),"")</f>
        <v/>
      </c>
      <c r="J465" s="32">
        <f>Settings!$B$66</f>
        <v/>
      </c>
      <c r="K465" s="95">
        <f>IFERROR(IF(T465="","",(T465*(1-AN465)*(1-Settings!$B$17)-I465)/(T465*(1-AN465)*(1-Settings!$B$17))),"")</f>
        <v/>
      </c>
      <c r="L465" s="101">
        <f>IFERROR(IF(T465="","",(T465*(1-AO465)*(1-Settings!$C$17)-I465)/(T465*(1-AO465)*(1-Settings!$C$17))),"")</f>
        <v/>
      </c>
      <c r="M465" s="101">
        <f>IFERROR(IF(T465="","",(T465*(1-AP465)*(1-Settings!$D$17)-I465)/(T465*(1-AP465)*(1-Settings!$D$17))),"")</f>
        <v/>
      </c>
      <c r="N465" s="101">
        <f>IFERROR(IF(T465="","",(T465*(1-AQ465)*(1-Settings!$F$17)-I465)/(T465*(1-AQ465)*(1-Settings!$F$17))),"")</f>
        <v/>
      </c>
      <c r="O465" s="101">
        <f>IFERROR(IF(T465="","",(T465*(1-AR465)*(1-Settings!$G$17)-I465)/(T465*(1-AR465)*(1-Settings!$G$17))),"")</f>
        <v/>
      </c>
      <c r="P465" s="101">
        <f>IFERROR(IF(T465="","",(T465*(1-AS465)*(1-Settings!$H$17)-I465)/(T465*(1-AS465)*(1-Settings!$H$17))),"")</f>
        <v/>
      </c>
      <c r="Q465" s="101">
        <f>IFERROR(IF(T465="","",(T465*(1-AT465)*(1-Settings!$I$68)*(1-Settings!$I$17)-I465)/(T465*(1-AT465)*(1-Settings!$I$68)*(1-Settings!$I$17))),"")</f>
        <v/>
      </c>
      <c r="R465" s="91">
        <f>IFERROR(IF(OR(I465="",Z465&gt;=1,Settings!$B$17&gt;=1,AN465&gt;=1),"",IF(MOD(ROUND(I465/(1-Z465)/(1-Settings!$B$17)/(1-AN465),0),10)=0,ROUND(I465/(1-Z465)/(1-Settings!$B$17)/(1-AN465),0)-1,IF(MOD(ROUND(I465/(1-Z465)/(1-Settings!$B$17)/(1-AN465),0),10)&lt;=5,FLOOR(ROUND(I465/(1-Z465)/(1-Settings!$B$17)/(1-AN465),0),10)+6,FLOOR(ROUND(I465/(1-Z465)/(1-Settings!$B$17)/(1-AN465),0),10)+9))),"")</f>
        <v/>
      </c>
      <c r="S465" s="92" t="n">
        <v>100</v>
      </c>
      <c r="T465" s="91">
        <f>IF(S465&lt;&gt;"", IF(MOD(S465,10)=0,S465-1,IF(MOD(S465,10)&lt;=5,FLOOR(S465,10)+6,FLOOR(S465,10)+9)), R465)</f>
        <v/>
      </c>
      <c r="U465" s="87" t="inlineStr">
        <is>
          <t>Маржинальний</t>
        </is>
      </c>
      <c r="V465" s="88" t="n"/>
      <c r="W465" s="88" t="n"/>
      <c r="X465" s="89">
        <f>IFERROR(IF(OR(V465="",W465="",T465=""),"", IF(T465&gt;W465,"Дорогий",IF(T465&lt;V465,"Дешевий","У ринку"))),"")</f>
        <v/>
      </c>
      <c r="Y465" s="90" t="n"/>
      <c r="Z465" s="104">
        <f>CHOOSE(MATCH(IF($U465="","Основний",$U465),{"Трафіковий","Основний","Маржинальний","Сезонний","Стратегічний"},0),0.16,0.19,0.24,0.23,0.28)</f>
        <v/>
      </c>
      <c r="AA465" s="104">
        <f>CHOOSE(MATCH(IF($U465="","Основний",$U465),{"Трафіковий","Основний","Маржинальний","Сезонний","Стратегічний"},0),0.18,0.21,0.26,0.25,0.3)</f>
        <v/>
      </c>
      <c r="AB465" s="104">
        <f>CHOOSE(MATCH(IF($U465="","Основний",$U465),{"Трафіковий","Основний","Маржинальний","Сезонний","Стратегічний"},0),0.19,0.22,0.28,0.26,0.32)</f>
        <v/>
      </c>
      <c r="AC465" s="104">
        <f>CHOOSE(MATCH(IF($U465="","Основний",$U465),{"Трафіковий","Основний","Маржинальний","Сезонний","Стратегічний"},0),0.17,0.2,0.25,0.24,0.28)</f>
        <v/>
      </c>
      <c r="AD465" s="104">
        <f>CHOOSE(MATCH(IF($U465="","Основний",$U465),{"Трафіковий","Основний","Маржинальний","Сезонний","Стратегічний"},0),0.18,0.21,0.26,0.25,0.3)</f>
        <v/>
      </c>
      <c r="AE465" s="104">
        <f>CHOOSE(MATCH(IF($U465="","Основний",$U465),{"Трафіковий","Основний","Маржинальний","Сезонний","Стратегічний"},0),0.18,0.2,0.28,0.27,0.32)</f>
        <v/>
      </c>
      <c r="AF465" s="104">
        <f>CHOOSE(MATCH(IF($U465="","Основний",$U465),{"Трафіковий","Основний","Маржинальний","Сезонний","Стратегічний"},0),0.15,0.175,0.22,0.21,0.25)</f>
        <v/>
      </c>
      <c r="AG465" s="104">
        <f>CHOOSE(MATCH(IF($U465="","Основний",$U465),{"Трафіковий","Основний","Маржинальний","Сезонний","Стратегічний"},0),0.13,0.16,0.21,0.2,0.25)</f>
        <v/>
      </c>
      <c r="AH465" s="104">
        <f>CHOOSE(MATCH(IF($U465="","Основний",$U465),{"Трафіковий","Основний","Маржинальний","Сезонний","Стратегічний"},0),0.15,0.18,0.23,0.22,0.27)</f>
        <v/>
      </c>
      <c r="AI465" s="104">
        <f>CHOOSE(MATCH(IF($U465="","Основний",$U465),{"Трафіковий","Основний","Маржинальний","Сезонний","Стратегічний"},0),0.16,0.19,0.25,0.23,0.29)</f>
        <v/>
      </c>
      <c r="AJ465" s="104">
        <f>CHOOSE(MATCH(IF($U465="","Основний",$U465),{"Трафіковий","Основний","Маржинальний","Сезонний","Стратегічний"},0),0.14,0.17,0.22,0.21,0.25)</f>
        <v/>
      </c>
      <c r="AK465" s="104">
        <f>CHOOSE(MATCH(IF($U465="","Основний",$U465),{"Трафіковий","Основний","Маржинальний","Сезонний","Стратегічний"},0),0.15,0.18,0.23,0.22,0.27)</f>
        <v/>
      </c>
      <c r="AL465" s="104">
        <f>CHOOSE(MATCH(IF($U465="","Основний",$U465),{"Трафіковий","Основний","Маржинальний","Сезонний","Стратегічний"},0),0.15,0.17,0.25,0.24,0.29)</f>
        <v/>
      </c>
      <c r="AM465" s="104">
        <f>CHOOSE(MATCH(IF($U465="","Основний",$U465),{"Трафіковий","Основний","Маржинальний","Сезонний","Стратегічний"},0),0.12,0.145,0.19,0.18,0.22)</f>
        <v/>
      </c>
      <c r="AN465" s="157">
        <f>CHOOSE(MATCH(IF($U465="","Основний",$U465),{"Трафіковий","Основний","Маржинальний","Сезонний","Стратегічний"},0),Settings!$B$78,Settings!$B$80,Settings!$B$82,Settings!$B$84,Settings!$B$86)</f>
        <v/>
      </c>
      <c r="AO465" s="157">
        <f>CHOOSE(MATCH(IF($U465="","Основний",$U465),{"Трафіковий","Основний","Маржинальний","Сезонний","Стратегічний"},0),Settings!$C$78,Settings!$C$80,Settings!$C$82,Settings!$C$84,Settings!$C$86)</f>
        <v/>
      </c>
      <c r="AP465" s="157">
        <f>CHOOSE(MATCH(IF($U465="","Основний",$U465),{"Трафіковий","Основний","Маржинальний","Сезонний","Стратегічний"},0),Settings!$D$78,Settings!$D$80,Settings!$D$82,Settings!$D$84,Settings!$D$86)</f>
        <v/>
      </c>
      <c r="AQ465" s="157">
        <f>CHOOSE(MATCH(IF($U465="","Основний",$U465),{"Трафіковий","Основний","Маржинальний","Сезонний","Стратегічний"},0),Settings!$F$78,Settings!$F$80,Settings!$F$82,Settings!$F$84,Settings!$F$86)</f>
        <v/>
      </c>
      <c r="AR465" s="157">
        <f>CHOOSE(MATCH(IF($U465="","Основний",$U465),{"Трафіковий","Основний","Маржинальний","Сезонний","Стратегічний"},0),Settings!$G$78,Settings!$G$80,Settings!$G$82,Settings!$G$84,Settings!$G$86)</f>
        <v/>
      </c>
      <c r="AS465" s="157">
        <f>CHOOSE(MATCH(IF($U465="","Основний",$U465),{"Трафіковий","Основний","Маржинальний","Сезонний","Стратегічний"},0),Settings!$H$78,Settings!$H$80,Settings!$H$82,Settings!$H$84,Settings!$H$86)</f>
        <v/>
      </c>
      <c r="AT465" s="157">
        <f>CHOOSE(MATCH(IF($U465="","Основний",$U465),{"Трафіковий","Основний","Маржинальний","Сезонний","Стратегічний"},0),Settings!$I$78,Settings!$I$80,Settings!$I$82,Settings!$I$84,Settings!$I$86)</f>
        <v/>
      </c>
      <c r="AU465" s="171" t="n"/>
      <c r="AV465" t="n">
        <v>1.35</v>
      </c>
    </row>
    <row r="466">
      <c r="A466" s="28" t="n"/>
      <c r="B466" s="29" t="inlineStr">
        <is>
          <t>M0502</t>
        </is>
      </c>
      <c r="C466" s="29" t="inlineStr">
        <is>
          <t>DISTANCE METER LASER</t>
        </is>
      </c>
      <c r="D466" s="29" t="inlineStr">
        <is>
          <t>Тестери, мультиметри</t>
        </is>
      </c>
      <c r="E466" s="28" t="inlineStr">
        <is>
          <t>PC</t>
        </is>
      </c>
      <c r="F466" s="93" t="n">
        <v>17.306</v>
      </c>
      <c r="G466" s="30" t="n">
        <v>9015100000</v>
      </c>
      <c r="H466" s="31" t="n">
        <v>1.4</v>
      </c>
      <c r="I466" s="84">
        <f>IFERROR(F466*Settings!$B$2*H466*IF(AND(ISNUMBER(E466),E466&gt;1),E466,1),"")</f>
        <v/>
      </c>
      <c r="J466" s="32">
        <f>Settings!$B$66</f>
        <v/>
      </c>
      <c r="K466" s="95">
        <f>IFERROR(IF(T466="","",(T466*(1-AN466)*(1-Settings!$B$17)-I466)/(T466*(1-AN466)*(1-Settings!$B$17))),"")</f>
        <v/>
      </c>
      <c r="L466" s="101">
        <f>IFERROR(IF(T466="","",(T466*(1-AO466)*(1-Settings!$C$17)-I466)/(T466*(1-AO466)*(1-Settings!$C$17))),"")</f>
        <v/>
      </c>
      <c r="M466" s="101">
        <f>IFERROR(IF(T466="","",(T466*(1-AP466)*(1-Settings!$D$17)-I466)/(T466*(1-AP466)*(1-Settings!$D$17))),"")</f>
        <v/>
      </c>
      <c r="N466" s="101">
        <f>IFERROR(IF(T466="","",(T466*(1-AQ466)*(1-Settings!$F$17)-I466)/(T466*(1-AQ466)*(1-Settings!$F$17))),"")</f>
        <v/>
      </c>
      <c r="O466" s="101">
        <f>IFERROR(IF(T466="","",(T466*(1-AR466)*(1-Settings!$G$17)-I466)/(T466*(1-AR466)*(1-Settings!$G$17))),"")</f>
        <v/>
      </c>
      <c r="P466" s="101">
        <f>IFERROR(IF(T466="","",(T466*(1-AS466)*(1-Settings!$H$17)-I466)/(T466*(1-AS466)*(1-Settings!$H$17))),"")</f>
        <v/>
      </c>
      <c r="Q466" s="101">
        <f>IFERROR(IF(T466="","",(T466*(1-AT466)*(1-Settings!$I$68)*(1-Settings!$I$17)-I466)/(T466*(1-AT466)*(1-Settings!$I$68)*(1-Settings!$I$17))),"")</f>
        <v/>
      </c>
      <c r="R466" s="91">
        <f>IFERROR(IF(OR(I466="",Z466&gt;=1,Settings!$B$17&gt;=1,AN466&gt;=1),"",IF(MOD(ROUND(I466/(1-Z466)/(1-Settings!$B$17)/(1-AN466),0),10)=0,ROUND(I466/(1-Z466)/(1-Settings!$B$17)/(1-AN466),0)-1,IF(MOD(ROUND(I466/(1-Z466)/(1-Settings!$B$17)/(1-AN466),0),10)&lt;=5,FLOOR(ROUND(I466/(1-Z466)/(1-Settings!$B$17)/(1-AN466),0),10)+6,FLOOR(ROUND(I466/(1-Z466)/(1-Settings!$B$17)/(1-AN466),0),10)+9))),"")</f>
        <v/>
      </c>
      <c r="S466" s="174">
        <f>R466*0.95</f>
        <v/>
      </c>
      <c r="T466" s="91">
        <f>IF(S466&lt;&gt;"", IF(MOD(S466,10)=0,S466-1,IF(MOD(S466,10)&lt;=5,FLOOR(S466,10)+6,FLOOR(S466,10)+9)), R466)</f>
        <v/>
      </c>
      <c r="U466" s="87" t="inlineStr">
        <is>
          <t>Основний</t>
        </is>
      </c>
      <c r="V466" s="88" t="n"/>
      <c r="W466" s="88" t="n"/>
      <c r="X466" s="89">
        <f>IFERROR(IF(OR(V466="",W466="",T466=""),"", IF(T466&gt;W466,"Дорогий",IF(T466&lt;V466,"Дешевий","У ринку"))),"")</f>
        <v/>
      </c>
      <c r="Y466" s="90" t="n"/>
      <c r="Z466" s="104">
        <f>CHOOSE(MATCH(IF($U466="","Основний",$U466),{"Трафіковий","Основний","Маржинальний","Сезонний","Стратегічний"},0),0.16,0.19,0.24,0.23,0.28)</f>
        <v/>
      </c>
      <c r="AA466" s="104">
        <f>CHOOSE(MATCH(IF($U466="","Основний",$U466),{"Трафіковий","Основний","Маржинальний","Сезонний","Стратегічний"},0),0.18,0.21,0.26,0.25,0.3)</f>
        <v/>
      </c>
      <c r="AB466" s="104">
        <f>CHOOSE(MATCH(IF($U466="","Основний",$U466),{"Трафіковий","Основний","Маржинальний","Сезонний","Стратегічний"},0),0.19,0.22,0.28,0.26,0.32)</f>
        <v/>
      </c>
      <c r="AC466" s="104">
        <f>CHOOSE(MATCH(IF($U466="","Основний",$U466),{"Трафіковий","Основний","Маржинальний","Сезонний","Стратегічний"},0),0.17,0.2,0.25,0.24,0.28)</f>
        <v/>
      </c>
      <c r="AD466" s="104">
        <f>CHOOSE(MATCH(IF($U466="","Основний",$U466),{"Трафіковий","Основний","Маржинальний","Сезонний","Стратегічний"},0),0.18,0.21,0.26,0.25,0.3)</f>
        <v/>
      </c>
      <c r="AE466" s="104">
        <f>CHOOSE(MATCH(IF($U466="","Основний",$U466),{"Трафіковий","Основний","Маржинальний","Сезонний","Стратегічний"},0),0.18,0.2,0.28,0.27,0.32)</f>
        <v/>
      </c>
      <c r="AF466" s="104">
        <f>CHOOSE(MATCH(IF($U466="","Основний",$U466),{"Трафіковий","Основний","Маржинальний","Сезонний","Стратегічний"},0),0.15,0.175,0.22,0.21,0.25)</f>
        <v/>
      </c>
      <c r="AG466" s="104">
        <f>CHOOSE(MATCH(IF($U466="","Основний",$U466),{"Трафіковий","Основний","Маржинальний","Сезонний","Стратегічний"},0),0.13,0.16,0.21,0.2,0.25)</f>
        <v/>
      </c>
      <c r="AH466" s="104">
        <f>CHOOSE(MATCH(IF($U466="","Основний",$U466),{"Трафіковий","Основний","Маржинальний","Сезонний","Стратегічний"},0),0.15,0.18,0.23,0.22,0.27)</f>
        <v/>
      </c>
      <c r="AI466" s="104">
        <f>CHOOSE(MATCH(IF($U466="","Основний",$U466),{"Трафіковий","Основний","Маржинальний","Сезонний","Стратегічний"},0),0.16,0.19,0.25,0.23,0.29)</f>
        <v/>
      </c>
      <c r="AJ466" s="104">
        <f>CHOOSE(MATCH(IF($U466="","Основний",$U466),{"Трафіковий","Основний","Маржинальний","Сезонний","Стратегічний"},0),0.14,0.17,0.22,0.21,0.25)</f>
        <v/>
      </c>
      <c r="AK466" s="104">
        <f>CHOOSE(MATCH(IF($U466="","Основний",$U466),{"Трафіковий","Основний","Маржинальний","Сезонний","Стратегічний"},0),0.15,0.18,0.23,0.22,0.27)</f>
        <v/>
      </c>
      <c r="AL466" s="104">
        <f>CHOOSE(MATCH(IF($U466="","Основний",$U466),{"Трафіковий","Основний","Маржинальний","Сезонний","Стратегічний"},0),0.15,0.17,0.25,0.24,0.29)</f>
        <v/>
      </c>
      <c r="AM466" s="104">
        <f>CHOOSE(MATCH(IF($U466="","Основний",$U466),{"Трафіковий","Основний","Маржинальний","Сезонний","Стратегічний"},0),0.12,0.145,0.19,0.18,0.22)</f>
        <v/>
      </c>
      <c r="AN466" s="157">
        <f>CHOOSE(MATCH(IF($U466="","Основний",$U466),{"Трафіковий","Основний","Маржинальний","Сезонний","Стратегічний"},0),Settings!$B$78,Settings!$B$80,Settings!$B$82,Settings!$B$84,Settings!$B$86)</f>
        <v/>
      </c>
      <c r="AO466" s="157">
        <f>CHOOSE(MATCH(IF($U466="","Основний",$U466),{"Трафіковий","Основний","Маржинальний","Сезонний","Стратегічний"},0),Settings!$C$78,Settings!$C$80,Settings!$C$82,Settings!$C$84,Settings!$C$86)</f>
        <v/>
      </c>
      <c r="AP466" s="157">
        <f>CHOOSE(MATCH(IF($U466="","Основний",$U466),{"Трафіковий","Основний","Маржинальний","Сезонний","Стратегічний"},0),Settings!$D$78,Settings!$D$80,Settings!$D$82,Settings!$D$84,Settings!$D$86)</f>
        <v/>
      </c>
      <c r="AQ466" s="157">
        <f>CHOOSE(MATCH(IF($U466="","Основний",$U466),{"Трафіковий","Основний","Маржинальний","Сезонний","Стратегічний"},0),Settings!$F$78,Settings!$F$80,Settings!$F$82,Settings!$F$84,Settings!$F$86)</f>
        <v/>
      </c>
      <c r="AR466" s="157">
        <f>CHOOSE(MATCH(IF($U466="","Основний",$U466),{"Трафіковий","Основний","Маржинальний","Сезонний","Стратегічний"},0),Settings!$G$78,Settings!$G$80,Settings!$G$82,Settings!$G$84,Settings!$G$86)</f>
        <v/>
      </c>
      <c r="AS466" s="157">
        <f>CHOOSE(MATCH(IF($U466="","Основний",$U466),{"Трафіковий","Основний","Маржинальний","Сезонний","Стратегічний"},0),Settings!$H$78,Settings!$H$80,Settings!$H$82,Settings!$H$84,Settings!$H$86)</f>
        <v/>
      </c>
      <c r="AT466" s="157">
        <f>CHOOSE(MATCH(IF($U466="","Основний",$U466),{"Трафіковий","Основний","Маржинальний","Сезонний","Стратегічний"},0),Settings!$I$78,Settings!$I$80,Settings!$I$82,Settings!$I$84,Settings!$I$86)</f>
        <v/>
      </c>
      <c r="AU466" s="171" t="n"/>
      <c r="AV466" t="n">
        <v>1.35</v>
      </c>
    </row>
    <row r="467">
      <c r="A467" s="33" t="n"/>
      <c r="B467" s="34" t="inlineStr">
        <is>
          <t>M0503N</t>
        </is>
      </c>
      <c r="C467" s="34" t="inlineStr">
        <is>
          <t>IR THERMOMETER M0503N</t>
        </is>
      </c>
      <c r="D467" s="34" t="inlineStr">
        <is>
          <t>Тестери, мультиметри</t>
        </is>
      </c>
      <c r="E467" s="33" t="inlineStr">
        <is>
          <t>PC</t>
        </is>
      </c>
      <c r="F467" s="94" t="n">
        <v>5.03</v>
      </c>
      <c r="G467" s="35" t="n">
        <v>9025190090</v>
      </c>
      <c r="H467" s="31" t="n">
        <v>1.4</v>
      </c>
      <c r="I467" s="84">
        <f>IFERROR(F467*Settings!$B$2*H467*IF(AND(ISNUMBER(E467),E467&gt;1),E467,1),"")</f>
        <v/>
      </c>
      <c r="J467" s="32">
        <f>Settings!$B$66</f>
        <v/>
      </c>
      <c r="K467" s="95">
        <f>IFERROR(IF(T467="","",(T467*(1-AN467)*(1-Settings!$B$17)-I467)/(T467*(1-AN467)*(1-Settings!$B$17))),"")</f>
        <v/>
      </c>
      <c r="L467" s="101">
        <f>IFERROR(IF(T467="","",(T467*(1-AO467)*(1-Settings!$C$17)-I467)/(T467*(1-AO467)*(1-Settings!$C$17))),"")</f>
        <v/>
      </c>
      <c r="M467" s="101">
        <f>IFERROR(IF(T467="","",(T467*(1-AP467)*(1-Settings!$D$17)-I467)/(T467*(1-AP467)*(1-Settings!$D$17))),"")</f>
        <v/>
      </c>
      <c r="N467" s="101">
        <f>IFERROR(IF(T467="","",(T467*(1-AQ467)*(1-Settings!$F$17)-I467)/(T467*(1-AQ467)*(1-Settings!$F$17))),"")</f>
        <v/>
      </c>
      <c r="O467" s="101">
        <f>IFERROR(IF(T467="","",(T467*(1-AR467)*(1-Settings!$G$17)-I467)/(T467*(1-AR467)*(1-Settings!$G$17))),"")</f>
        <v/>
      </c>
      <c r="P467" s="101">
        <f>IFERROR(IF(T467="","",(T467*(1-AS467)*(1-Settings!$H$17)-I467)/(T467*(1-AS467)*(1-Settings!$H$17))),"")</f>
        <v/>
      </c>
      <c r="Q467" s="101">
        <f>IFERROR(IF(T467="","",(T467*(1-AT467)*(1-Settings!$I$68)*(1-Settings!$I$17)-I467)/(T467*(1-AT467)*(1-Settings!$I$68)*(1-Settings!$I$17))),"")</f>
        <v/>
      </c>
      <c r="R467" s="91">
        <f>IFERROR(IF(OR(I467="",Z467&gt;=1,Settings!$B$17&gt;=1,AN467&gt;=1),"",IF(MOD(ROUND(I467/(1-Z467)/(1-Settings!$B$17)/(1-AN467),0),10)=0,ROUND(I467/(1-Z467)/(1-Settings!$B$17)/(1-AN467),0)-1,IF(MOD(ROUND(I467/(1-Z467)/(1-Settings!$B$17)/(1-AN467),0),10)&lt;=5,FLOOR(ROUND(I467/(1-Z467)/(1-Settings!$B$17)/(1-AN467),0),10)+6,FLOOR(ROUND(I467/(1-Z467)/(1-Settings!$B$17)/(1-AN467),0),10)+9))),"")</f>
        <v/>
      </c>
      <c r="S467" s="174">
        <f>R467*0.95</f>
        <v/>
      </c>
      <c r="T467" s="91">
        <f>IF(S467&lt;&gt;"", IF(MOD(S467,10)=0,S467-1,IF(MOD(S467,10)&lt;=5,FLOOR(S467,10)+6,FLOOR(S467,10)+9)), R467)</f>
        <v/>
      </c>
      <c r="U467" s="87" t="inlineStr">
        <is>
          <t>Основний</t>
        </is>
      </c>
      <c r="V467" s="88" t="n"/>
      <c r="W467" s="88" t="n"/>
      <c r="X467" s="89">
        <f>IFERROR(IF(OR(V467="",W467="",T467=""),"", IF(T467&gt;W467,"Дорогий",IF(T467&lt;V467,"Дешевий","У ринку"))),"")</f>
        <v/>
      </c>
      <c r="Y467" s="90" t="n"/>
      <c r="Z467" s="104">
        <f>CHOOSE(MATCH(IF($U467="","Основний",$U467),{"Трафіковий","Основний","Маржинальний","Сезонний","Стратегічний"},0),0.16,0.19,0.24,0.23,0.28)</f>
        <v/>
      </c>
      <c r="AA467" s="104">
        <f>CHOOSE(MATCH(IF($U467="","Основний",$U467),{"Трафіковий","Основний","Маржинальний","Сезонний","Стратегічний"},0),0.18,0.21,0.26,0.25,0.3)</f>
        <v/>
      </c>
      <c r="AB467" s="104">
        <f>CHOOSE(MATCH(IF($U467="","Основний",$U467),{"Трафіковий","Основний","Маржинальний","Сезонний","Стратегічний"},0),0.19,0.22,0.28,0.26,0.32)</f>
        <v/>
      </c>
      <c r="AC467" s="104">
        <f>CHOOSE(MATCH(IF($U467="","Основний",$U467),{"Трафіковий","Основний","Маржинальний","Сезонний","Стратегічний"},0),0.17,0.2,0.25,0.24,0.28)</f>
        <v/>
      </c>
      <c r="AD467" s="104">
        <f>CHOOSE(MATCH(IF($U467="","Основний",$U467),{"Трафіковий","Основний","Маржинальний","Сезонний","Стратегічний"},0),0.18,0.21,0.26,0.25,0.3)</f>
        <v/>
      </c>
      <c r="AE467" s="104">
        <f>CHOOSE(MATCH(IF($U467="","Основний",$U467),{"Трафіковий","Основний","Маржинальний","Сезонний","Стратегічний"},0),0.18,0.2,0.28,0.27,0.32)</f>
        <v/>
      </c>
      <c r="AF467" s="104">
        <f>CHOOSE(MATCH(IF($U467="","Основний",$U467),{"Трафіковий","Основний","Маржинальний","Сезонний","Стратегічний"},0),0.15,0.175,0.22,0.21,0.25)</f>
        <v/>
      </c>
      <c r="AG467" s="104">
        <f>CHOOSE(MATCH(IF($U467="","Основний",$U467),{"Трафіковий","Основний","Маржинальний","Сезонний","Стратегічний"},0),0.13,0.16,0.21,0.2,0.25)</f>
        <v/>
      </c>
      <c r="AH467" s="104">
        <f>CHOOSE(MATCH(IF($U467="","Основний",$U467),{"Трафіковий","Основний","Маржинальний","Сезонний","Стратегічний"},0),0.15,0.18,0.23,0.22,0.27)</f>
        <v/>
      </c>
      <c r="AI467" s="104">
        <f>CHOOSE(MATCH(IF($U467="","Основний",$U467),{"Трафіковий","Основний","Маржинальний","Сезонний","Стратегічний"},0),0.16,0.19,0.25,0.23,0.29)</f>
        <v/>
      </c>
      <c r="AJ467" s="104">
        <f>CHOOSE(MATCH(IF($U467="","Основний",$U467),{"Трафіковий","Основний","Маржинальний","Сезонний","Стратегічний"},0),0.14,0.17,0.22,0.21,0.25)</f>
        <v/>
      </c>
      <c r="AK467" s="104">
        <f>CHOOSE(MATCH(IF($U467="","Основний",$U467),{"Трафіковий","Основний","Маржинальний","Сезонний","Стратегічний"},0),0.15,0.18,0.23,0.22,0.27)</f>
        <v/>
      </c>
      <c r="AL467" s="104">
        <f>CHOOSE(MATCH(IF($U467="","Основний",$U467),{"Трафіковий","Основний","Маржинальний","Сезонний","Стратегічний"},0),0.15,0.17,0.25,0.24,0.29)</f>
        <v/>
      </c>
      <c r="AM467" s="104">
        <f>CHOOSE(MATCH(IF($U467="","Основний",$U467),{"Трафіковий","Основний","Маржинальний","Сезонний","Стратегічний"},0),0.12,0.145,0.19,0.18,0.22)</f>
        <v/>
      </c>
      <c r="AN467" s="157">
        <f>CHOOSE(MATCH(IF($U467="","Основний",$U467),{"Трафіковий","Основний","Маржинальний","Сезонний","Стратегічний"},0),Settings!$B$78,Settings!$B$80,Settings!$B$82,Settings!$B$84,Settings!$B$86)</f>
        <v/>
      </c>
      <c r="AO467" s="157">
        <f>CHOOSE(MATCH(IF($U467="","Основний",$U467),{"Трафіковий","Основний","Маржинальний","Сезонний","Стратегічний"},0),Settings!$C$78,Settings!$C$80,Settings!$C$82,Settings!$C$84,Settings!$C$86)</f>
        <v/>
      </c>
      <c r="AP467" s="157">
        <f>CHOOSE(MATCH(IF($U467="","Основний",$U467),{"Трафіковий","Основний","Маржинальний","Сезонний","Стратегічний"},0),Settings!$D$78,Settings!$D$80,Settings!$D$82,Settings!$D$84,Settings!$D$86)</f>
        <v/>
      </c>
      <c r="AQ467" s="157">
        <f>CHOOSE(MATCH(IF($U467="","Основний",$U467),{"Трафіковий","Основний","Маржинальний","Сезонний","Стратегічний"},0),Settings!$F$78,Settings!$F$80,Settings!$F$82,Settings!$F$84,Settings!$F$86)</f>
        <v/>
      </c>
      <c r="AR467" s="157">
        <f>CHOOSE(MATCH(IF($U467="","Основний",$U467),{"Трафіковий","Основний","Маржинальний","Сезонний","Стратегічний"},0),Settings!$G$78,Settings!$G$80,Settings!$G$82,Settings!$G$84,Settings!$G$86)</f>
        <v/>
      </c>
      <c r="AS467" s="157">
        <f>CHOOSE(MATCH(IF($U467="","Основний",$U467),{"Трафіковий","Основний","Маржинальний","Сезонний","Стратегічний"},0),Settings!$H$78,Settings!$H$80,Settings!$H$82,Settings!$H$84,Settings!$H$86)</f>
        <v/>
      </c>
      <c r="AT467" s="157">
        <f>CHOOSE(MATCH(IF($U467="","Основний",$U467),{"Трафіковий","Основний","Маржинальний","Сезонний","Стратегічний"},0),Settings!$I$78,Settings!$I$80,Settings!$I$82,Settings!$I$84,Settings!$I$86)</f>
        <v/>
      </c>
      <c r="AU467" s="171" t="n"/>
      <c r="AV467" t="n">
        <v>1.35</v>
      </c>
    </row>
    <row r="468">
      <c r="A468" s="28" t="inlineStr">
        <is>
          <t>NEW</t>
        </is>
      </c>
      <c r="B468" s="29" t="inlineStr">
        <is>
          <t>M3216N</t>
        </is>
      </c>
      <c r="C468" s="29" t="inlineStr">
        <is>
          <t>DIGITAL MULTIMETER MD-300</t>
        </is>
      </c>
      <c r="D468" s="29" t="inlineStr">
        <is>
          <t>Тестери, мультиметри</t>
        </is>
      </c>
      <c r="E468" s="28" t="inlineStr">
        <is>
          <t>PC</t>
        </is>
      </c>
      <c r="F468" s="93" t="n">
        <v>9.869</v>
      </c>
      <c r="G468" s="30" t="n">
        <v>9030310090</v>
      </c>
      <c r="H468" s="31" t="n">
        <v>1.3</v>
      </c>
      <c r="I468" s="84">
        <f>IFERROR(F468*Settings!$B$2*H468*IF(AND(ISNUMBER(E468),E468&gt;1),E468,1),"")</f>
        <v/>
      </c>
      <c r="J468" s="32">
        <f>Settings!$B$66</f>
        <v/>
      </c>
      <c r="K468" s="95">
        <f>IFERROR(IF(T468="","",(T468*(1-AN468)*(1-Settings!$B$17)-I468)/(T468*(1-AN468)*(1-Settings!$B$17))),"")</f>
        <v/>
      </c>
      <c r="L468" s="101">
        <f>IFERROR(IF(T468="","",(T468*(1-AO468)*(1-Settings!$C$17)-I468)/(T468*(1-AO468)*(1-Settings!$C$17))),"")</f>
        <v/>
      </c>
      <c r="M468" s="101">
        <f>IFERROR(IF(T468="","",(T468*(1-AP468)*(1-Settings!$D$17)-I468)/(T468*(1-AP468)*(1-Settings!$D$17))),"")</f>
        <v/>
      </c>
      <c r="N468" s="101">
        <f>IFERROR(IF(T468="","",(T468*(1-AQ468)*(1-Settings!$F$17)-I468)/(T468*(1-AQ468)*(1-Settings!$F$17))),"")</f>
        <v/>
      </c>
      <c r="O468" s="101">
        <f>IFERROR(IF(T468="","",(T468*(1-AR468)*(1-Settings!$G$17)-I468)/(T468*(1-AR468)*(1-Settings!$G$17))),"")</f>
        <v/>
      </c>
      <c r="P468" s="101">
        <f>IFERROR(IF(T468="","",(T468*(1-AS468)*(1-Settings!$H$17)-I468)/(T468*(1-AS468)*(1-Settings!$H$17))),"")</f>
        <v/>
      </c>
      <c r="Q468" s="101">
        <f>IFERROR(IF(T468="","",(T468*(1-AT468)*(1-Settings!$I$68)*(1-Settings!$I$17)-I468)/(T468*(1-AT468)*(1-Settings!$I$68)*(1-Settings!$I$17))),"")</f>
        <v/>
      </c>
      <c r="R468" s="91">
        <f>IFERROR(IF(OR(I468="",Z468&gt;=1,Settings!$B$17&gt;=1,AN468&gt;=1),"",IF(MOD(ROUND(I468/(1-Z468)/(1-Settings!$B$17)/(1-AN468),0),10)=0,ROUND(I468/(1-Z468)/(1-Settings!$B$17)/(1-AN468),0)-1,IF(MOD(ROUND(I468/(1-Z468)/(1-Settings!$B$17)/(1-AN468),0),10)&lt;=5,FLOOR(ROUND(I468/(1-Z468)/(1-Settings!$B$17)/(1-AN468),0),10)+6,FLOOR(ROUND(I468/(1-Z468)/(1-Settings!$B$17)/(1-AN468),0),10)+9))),"")</f>
        <v/>
      </c>
      <c r="S468" s="174">
        <f>R468*0.95</f>
        <v/>
      </c>
      <c r="T468" s="91">
        <f>IF(S468&lt;&gt;"", IF(MOD(S468,10)=0,S468-1,IF(MOD(S468,10)&lt;=5,FLOOR(S468,10)+6,FLOOR(S468,10)+9)), R468)</f>
        <v/>
      </c>
      <c r="U468" s="87" t="inlineStr">
        <is>
          <t>Основний</t>
        </is>
      </c>
      <c r="V468" s="88" t="n"/>
      <c r="W468" s="88" t="n"/>
      <c r="X468" s="89">
        <f>IFERROR(IF(OR(V468="",W468="",T468=""),"", IF(T468&gt;W468,"Дорогий",IF(T468&lt;V468,"Дешевий","У ринку"))),"")</f>
        <v/>
      </c>
      <c r="Y468" s="90" t="n"/>
      <c r="Z468" s="104">
        <f>CHOOSE(MATCH(IF($U468="","Основний",$U468),{"Трафіковий","Основний","Маржинальний","Сезонний","Стратегічний"},0),0.16,0.19,0.24,0.23,0.28)</f>
        <v/>
      </c>
      <c r="AA468" s="104">
        <f>CHOOSE(MATCH(IF($U468="","Основний",$U468),{"Трафіковий","Основний","Маржинальний","Сезонний","Стратегічний"},0),0.18,0.21,0.26,0.25,0.3)</f>
        <v/>
      </c>
      <c r="AB468" s="104">
        <f>CHOOSE(MATCH(IF($U468="","Основний",$U468),{"Трафіковий","Основний","Маржинальний","Сезонний","Стратегічний"},0),0.19,0.22,0.28,0.26,0.32)</f>
        <v/>
      </c>
      <c r="AC468" s="104">
        <f>CHOOSE(MATCH(IF($U468="","Основний",$U468),{"Трафіковий","Основний","Маржинальний","Сезонний","Стратегічний"},0),0.17,0.2,0.25,0.24,0.28)</f>
        <v/>
      </c>
      <c r="AD468" s="104">
        <f>CHOOSE(MATCH(IF($U468="","Основний",$U468),{"Трафіковий","Основний","Маржинальний","Сезонний","Стратегічний"},0),0.18,0.21,0.26,0.25,0.3)</f>
        <v/>
      </c>
      <c r="AE468" s="104">
        <f>CHOOSE(MATCH(IF($U468="","Основний",$U468),{"Трафіковий","Основний","Маржинальний","Сезонний","Стратегічний"},0),0.18,0.2,0.28,0.27,0.32)</f>
        <v/>
      </c>
      <c r="AF468" s="104">
        <f>CHOOSE(MATCH(IF($U468="","Основний",$U468),{"Трафіковий","Основний","Маржинальний","Сезонний","Стратегічний"},0),0.15,0.175,0.22,0.21,0.25)</f>
        <v/>
      </c>
      <c r="AG468" s="104">
        <f>CHOOSE(MATCH(IF($U468="","Основний",$U468),{"Трафіковий","Основний","Маржинальний","Сезонний","Стратегічний"},0),0.13,0.16,0.21,0.2,0.25)</f>
        <v/>
      </c>
      <c r="AH468" s="104">
        <f>CHOOSE(MATCH(IF($U468="","Основний",$U468),{"Трафіковий","Основний","Маржинальний","Сезонний","Стратегічний"},0),0.15,0.18,0.23,0.22,0.27)</f>
        <v/>
      </c>
      <c r="AI468" s="104">
        <f>CHOOSE(MATCH(IF($U468="","Основний",$U468),{"Трафіковий","Основний","Маржинальний","Сезонний","Стратегічний"},0),0.16,0.19,0.25,0.23,0.29)</f>
        <v/>
      </c>
      <c r="AJ468" s="104">
        <f>CHOOSE(MATCH(IF($U468="","Основний",$U468),{"Трафіковий","Основний","Маржинальний","Сезонний","Стратегічний"},0),0.14,0.17,0.22,0.21,0.25)</f>
        <v/>
      </c>
      <c r="AK468" s="104">
        <f>CHOOSE(MATCH(IF($U468="","Основний",$U468),{"Трафіковий","Основний","Маржинальний","Сезонний","Стратегічний"},0),0.15,0.18,0.23,0.22,0.27)</f>
        <v/>
      </c>
      <c r="AL468" s="104">
        <f>CHOOSE(MATCH(IF($U468="","Основний",$U468),{"Трафіковий","Основний","Маржинальний","Сезонний","Стратегічний"},0),0.15,0.17,0.25,0.24,0.29)</f>
        <v/>
      </c>
      <c r="AM468" s="104">
        <f>CHOOSE(MATCH(IF($U468="","Основний",$U468),{"Трафіковий","Основний","Маржинальний","Сезонний","Стратегічний"},0),0.12,0.145,0.19,0.18,0.22)</f>
        <v/>
      </c>
      <c r="AN468" s="157">
        <f>CHOOSE(MATCH(IF($U468="","Основний",$U468),{"Трафіковий","Основний","Маржинальний","Сезонний","Стратегічний"},0),Settings!$B$78,Settings!$B$80,Settings!$B$82,Settings!$B$84,Settings!$B$86)</f>
        <v/>
      </c>
      <c r="AO468" s="157">
        <f>CHOOSE(MATCH(IF($U468="","Основний",$U468),{"Трафіковий","Основний","Маржинальний","Сезонний","Стратегічний"},0),Settings!$C$78,Settings!$C$80,Settings!$C$82,Settings!$C$84,Settings!$C$86)</f>
        <v/>
      </c>
      <c r="AP468" s="157">
        <f>CHOOSE(MATCH(IF($U468="","Основний",$U468),{"Трафіковий","Основний","Маржинальний","Сезонний","Стратегічний"},0),Settings!$D$78,Settings!$D$80,Settings!$D$82,Settings!$D$84,Settings!$D$86)</f>
        <v/>
      </c>
      <c r="AQ468" s="157">
        <f>CHOOSE(MATCH(IF($U468="","Основний",$U468),{"Трафіковий","Основний","Маржинальний","Сезонний","Стратегічний"},0),Settings!$F$78,Settings!$F$80,Settings!$F$82,Settings!$F$84,Settings!$F$86)</f>
        <v/>
      </c>
      <c r="AR468" s="157">
        <f>CHOOSE(MATCH(IF($U468="","Основний",$U468),{"Трафіковий","Основний","Маржинальний","Сезонний","Стратегічний"},0),Settings!$G$78,Settings!$G$80,Settings!$G$82,Settings!$G$84,Settings!$G$86)</f>
        <v/>
      </c>
      <c r="AS468" s="157">
        <f>CHOOSE(MATCH(IF($U468="","Основний",$U468),{"Трафіковий","Основний","Маржинальний","Сезонний","Стратегічний"},0),Settings!$H$78,Settings!$H$80,Settings!$H$82,Settings!$H$84,Settings!$H$86)</f>
        <v/>
      </c>
      <c r="AT468" s="157">
        <f>CHOOSE(MATCH(IF($U468="","Основний",$U468),{"Трафіковий","Основний","Маржинальний","Сезонний","Стратегічний"},0),Settings!$I$78,Settings!$I$80,Settings!$I$82,Settings!$I$84,Settings!$I$86)</f>
        <v/>
      </c>
      <c r="AU468" s="171" t="n"/>
      <c r="AV468" t="n">
        <v>1.35</v>
      </c>
    </row>
    <row r="469">
      <c r="A469" s="33" t="inlineStr">
        <is>
          <t>NEW</t>
        </is>
      </c>
      <c r="B469" s="34" t="inlineStr">
        <is>
          <t>M3620N</t>
        </is>
      </c>
      <c r="C469" s="34" t="inlineStr">
        <is>
          <t>DIGITAL MULTIMETER MD-310</t>
        </is>
      </c>
      <c r="D469" s="34" t="inlineStr">
        <is>
          <t>Тестери, мультиметри</t>
        </is>
      </c>
      <c r="E469" s="33" t="inlineStr">
        <is>
          <t>PC</t>
        </is>
      </c>
      <c r="F469" s="94" t="n">
        <v>10.897</v>
      </c>
      <c r="G469" s="35" t="n">
        <v>9030310090</v>
      </c>
      <c r="H469" s="31" t="n">
        <v>1.3</v>
      </c>
      <c r="I469" s="84">
        <f>IFERROR(F469*Settings!$B$2*H469*IF(AND(ISNUMBER(E469),E469&gt;1),E469,1),"")</f>
        <v/>
      </c>
      <c r="J469" s="32">
        <f>Settings!$B$66</f>
        <v/>
      </c>
      <c r="K469" s="95">
        <f>IFERROR(IF(T469="","",(T469*(1-AN469)*(1-Settings!$B$17)-I469)/(T469*(1-AN469)*(1-Settings!$B$17))),"")</f>
        <v/>
      </c>
      <c r="L469" s="101">
        <f>IFERROR(IF(T469="","",(T469*(1-AO469)*(1-Settings!$C$17)-I469)/(T469*(1-AO469)*(1-Settings!$C$17))),"")</f>
        <v/>
      </c>
      <c r="M469" s="101">
        <f>IFERROR(IF(T469="","",(T469*(1-AP469)*(1-Settings!$D$17)-I469)/(T469*(1-AP469)*(1-Settings!$D$17))),"")</f>
        <v/>
      </c>
      <c r="N469" s="101">
        <f>IFERROR(IF(T469="","",(T469*(1-AQ469)*(1-Settings!$F$17)-I469)/(T469*(1-AQ469)*(1-Settings!$F$17))),"")</f>
        <v/>
      </c>
      <c r="O469" s="101">
        <f>IFERROR(IF(T469="","",(T469*(1-AR469)*(1-Settings!$G$17)-I469)/(T469*(1-AR469)*(1-Settings!$G$17))),"")</f>
        <v/>
      </c>
      <c r="P469" s="101">
        <f>IFERROR(IF(T469="","",(T469*(1-AS469)*(1-Settings!$H$17)-I469)/(T469*(1-AS469)*(1-Settings!$H$17))),"")</f>
        <v/>
      </c>
      <c r="Q469" s="101">
        <f>IFERROR(IF(T469="","",(T469*(1-AT469)*(1-Settings!$I$68)*(1-Settings!$I$17)-I469)/(T469*(1-AT469)*(1-Settings!$I$68)*(1-Settings!$I$17))),"")</f>
        <v/>
      </c>
      <c r="R469" s="91">
        <f>IFERROR(IF(OR(I469="",Z469&gt;=1,Settings!$B$17&gt;=1,AN469&gt;=1),"",IF(MOD(ROUND(I469/(1-Z469)/(1-Settings!$B$17)/(1-AN469),0),10)=0,ROUND(I469/(1-Z469)/(1-Settings!$B$17)/(1-AN469),0)-1,IF(MOD(ROUND(I469/(1-Z469)/(1-Settings!$B$17)/(1-AN469),0),10)&lt;=5,FLOOR(ROUND(I469/(1-Z469)/(1-Settings!$B$17)/(1-AN469),0),10)+6,FLOOR(ROUND(I469/(1-Z469)/(1-Settings!$B$17)/(1-AN469),0),10)+9))),"")</f>
        <v/>
      </c>
      <c r="S469" s="174">
        <f>R469*0.95</f>
        <v/>
      </c>
      <c r="T469" s="91">
        <f>IF(S469&lt;&gt;"", IF(MOD(S469,10)=0,S469-1,IF(MOD(S469,10)&lt;=5,FLOOR(S469,10)+6,FLOOR(S469,10)+9)), R469)</f>
        <v/>
      </c>
      <c r="U469" s="87" t="inlineStr">
        <is>
          <t>Основний</t>
        </is>
      </c>
      <c r="V469" s="88" t="n"/>
      <c r="W469" s="88" t="n"/>
      <c r="X469" s="89">
        <f>IFERROR(IF(OR(V469="",W469="",T469=""),"", IF(T469&gt;W469,"Дорогий",IF(T469&lt;V469,"Дешевий","У ринку"))),"")</f>
        <v/>
      </c>
      <c r="Y469" s="90" t="n"/>
      <c r="Z469" s="104">
        <f>CHOOSE(MATCH(IF($U469="","Основний",$U469),{"Трафіковий","Основний","Маржинальний","Сезонний","Стратегічний"},0),0.16,0.19,0.24,0.23,0.28)</f>
        <v/>
      </c>
      <c r="AA469" s="104">
        <f>CHOOSE(MATCH(IF($U469="","Основний",$U469),{"Трафіковий","Основний","Маржинальний","Сезонний","Стратегічний"},0),0.18,0.21,0.26,0.25,0.3)</f>
        <v/>
      </c>
      <c r="AB469" s="104">
        <f>CHOOSE(MATCH(IF($U469="","Основний",$U469),{"Трафіковий","Основний","Маржинальний","Сезонний","Стратегічний"},0),0.19,0.22,0.28,0.26,0.32)</f>
        <v/>
      </c>
      <c r="AC469" s="104">
        <f>CHOOSE(MATCH(IF($U469="","Основний",$U469),{"Трафіковий","Основний","Маржинальний","Сезонний","Стратегічний"},0),0.17,0.2,0.25,0.24,0.28)</f>
        <v/>
      </c>
      <c r="AD469" s="104">
        <f>CHOOSE(MATCH(IF($U469="","Основний",$U469),{"Трафіковий","Основний","Маржинальний","Сезонний","Стратегічний"},0),0.18,0.21,0.26,0.25,0.3)</f>
        <v/>
      </c>
      <c r="AE469" s="104">
        <f>CHOOSE(MATCH(IF($U469="","Основний",$U469),{"Трафіковий","Основний","Маржинальний","Сезонний","Стратегічний"},0),0.18,0.2,0.28,0.27,0.32)</f>
        <v/>
      </c>
      <c r="AF469" s="104">
        <f>CHOOSE(MATCH(IF($U469="","Основний",$U469),{"Трафіковий","Основний","Маржинальний","Сезонний","Стратегічний"},0),0.15,0.175,0.22,0.21,0.25)</f>
        <v/>
      </c>
      <c r="AG469" s="104">
        <f>CHOOSE(MATCH(IF($U469="","Основний",$U469),{"Трафіковий","Основний","Маржинальний","Сезонний","Стратегічний"},0),0.13,0.16,0.21,0.2,0.25)</f>
        <v/>
      </c>
      <c r="AH469" s="104">
        <f>CHOOSE(MATCH(IF($U469="","Основний",$U469),{"Трафіковий","Основний","Маржинальний","Сезонний","Стратегічний"},0),0.15,0.18,0.23,0.22,0.27)</f>
        <v/>
      </c>
      <c r="AI469" s="104">
        <f>CHOOSE(MATCH(IF($U469="","Основний",$U469),{"Трафіковий","Основний","Маржинальний","Сезонний","Стратегічний"},0),0.16,0.19,0.25,0.23,0.29)</f>
        <v/>
      </c>
      <c r="AJ469" s="104">
        <f>CHOOSE(MATCH(IF($U469="","Основний",$U469),{"Трафіковий","Основний","Маржинальний","Сезонний","Стратегічний"},0),0.14,0.17,0.22,0.21,0.25)</f>
        <v/>
      </c>
      <c r="AK469" s="104">
        <f>CHOOSE(MATCH(IF($U469="","Основний",$U469),{"Трафіковий","Основний","Маржинальний","Сезонний","Стратегічний"},0),0.15,0.18,0.23,0.22,0.27)</f>
        <v/>
      </c>
      <c r="AL469" s="104">
        <f>CHOOSE(MATCH(IF($U469="","Основний",$U469),{"Трафіковий","Основний","Маржинальний","Сезонний","Стратегічний"},0),0.15,0.17,0.25,0.24,0.29)</f>
        <v/>
      </c>
      <c r="AM469" s="104">
        <f>CHOOSE(MATCH(IF($U469="","Основний",$U469),{"Трафіковий","Основний","Маржинальний","Сезонний","Стратегічний"},0),0.12,0.145,0.19,0.18,0.22)</f>
        <v/>
      </c>
      <c r="AN469" s="157">
        <f>CHOOSE(MATCH(IF($U469="","Основний",$U469),{"Трафіковий","Основний","Маржинальний","Сезонний","Стратегічний"},0),Settings!$B$78,Settings!$B$80,Settings!$B$82,Settings!$B$84,Settings!$B$86)</f>
        <v/>
      </c>
      <c r="AO469" s="157">
        <f>CHOOSE(MATCH(IF($U469="","Основний",$U469),{"Трафіковий","Основний","Маржинальний","Сезонний","Стратегічний"},0),Settings!$C$78,Settings!$C$80,Settings!$C$82,Settings!$C$84,Settings!$C$86)</f>
        <v/>
      </c>
      <c r="AP469" s="157">
        <f>CHOOSE(MATCH(IF($U469="","Основний",$U469),{"Трафіковий","Основний","Маржинальний","Сезонний","Стратегічний"},0),Settings!$D$78,Settings!$D$80,Settings!$D$82,Settings!$D$84,Settings!$D$86)</f>
        <v/>
      </c>
      <c r="AQ469" s="157">
        <f>CHOOSE(MATCH(IF($U469="","Основний",$U469),{"Трафіковий","Основний","Маржинальний","Сезонний","Стратегічний"},0),Settings!$F$78,Settings!$F$80,Settings!$F$82,Settings!$F$84,Settings!$F$86)</f>
        <v/>
      </c>
      <c r="AR469" s="157">
        <f>CHOOSE(MATCH(IF($U469="","Основний",$U469),{"Трафіковий","Основний","Маржинальний","Сезонний","Стратегічний"},0),Settings!$G$78,Settings!$G$80,Settings!$G$82,Settings!$G$84,Settings!$G$86)</f>
        <v/>
      </c>
      <c r="AS469" s="157">
        <f>CHOOSE(MATCH(IF($U469="","Основний",$U469),{"Трафіковий","Основний","Маржинальний","Сезонний","Стратегічний"},0),Settings!$H$78,Settings!$H$80,Settings!$H$82,Settings!$H$84,Settings!$H$86)</f>
        <v/>
      </c>
      <c r="AT469" s="157">
        <f>CHOOSE(MATCH(IF($U469="","Основний",$U469),{"Трафіковий","Основний","Маржинальний","Сезонний","Стратегічний"},0),Settings!$I$78,Settings!$I$80,Settings!$I$82,Settings!$I$84,Settings!$I$86)</f>
        <v/>
      </c>
      <c r="AU469" s="171" t="n"/>
      <c r="AV469" t="n">
        <v>1.35</v>
      </c>
    </row>
    <row r="470">
      <c r="A470" s="28" t="inlineStr">
        <is>
          <t>NEW</t>
        </is>
      </c>
      <c r="B470" s="29" t="inlineStr">
        <is>
          <t>M3691N</t>
        </is>
      </c>
      <c r="C470" s="29" t="inlineStr">
        <is>
          <t>DIGITAL MULTIMETER MD-410</t>
        </is>
      </c>
      <c r="D470" s="29" t="inlineStr">
        <is>
          <t>Тестери, мультиметри</t>
        </is>
      </c>
      <c r="E470" s="28" t="inlineStr">
        <is>
          <t>PC</t>
        </is>
      </c>
      <c r="F470" s="93" t="n">
        <v>14.683</v>
      </c>
      <c r="G470" s="30" t="n">
        <v>9030310090</v>
      </c>
      <c r="H470" s="31" t="n">
        <v>1.3</v>
      </c>
      <c r="I470" s="84">
        <f>IFERROR(F470*Settings!$B$2*H470*IF(AND(ISNUMBER(E470),E470&gt;1),E470,1),"")</f>
        <v/>
      </c>
      <c r="J470" s="32">
        <f>Settings!$B$66</f>
        <v/>
      </c>
      <c r="K470" s="95">
        <f>IFERROR(IF(T470="","",(T470*(1-AN470)*(1-Settings!$B$17)-I470)/(T470*(1-AN470)*(1-Settings!$B$17))),"")</f>
        <v/>
      </c>
      <c r="L470" s="101">
        <f>IFERROR(IF(T470="","",(T470*(1-AO470)*(1-Settings!$C$17)-I470)/(T470*(1-AO470)*(1-Settings!$C$17))),"")</f>
        <v/>
      </c>
      <c r="M470" s="101">
        <f>IFERROR(IF(T470="","",(T470*(1-AP470)*(1-Settings!$D$17)-I470)/(T470*(1-AP470)*(1-Settings!$D$17))),"")</f>
        <v/>
      </c>
      <c r="N470" s="101">
        <f>IFERROR(IF(T470="","",(T470*(1-AQ470)*(1-Settings!$F$17)-I470)/(T470*(1-AQ470)*(1-Settings!$F$17))),"")</f>
        <v/>
      </c>
      <c r="O470" s="101">
        <f>IFERROR(IF(T470="","",(T470*(1-AR470)*(1-Settings!$G$17)-I470)/(T470*(1-AR470)*(1-Settings!$G$17))),"")</f>
        <v/>
      </c>
      <c r="P470" s="101">
        <f>IFERROR(IF(T470="","",(T470*(1-AS470)*(1-Settings!$H$17)-I470)/(T470*(1-AS470)*(1-Settings!$H$17))),"")</f>
        <v/>
      </c>
      <c r="Q470" s="101">
        <f>IFERROR(IF(T470="","",(T470*(1-AT470)*(1-Settings!$I$68)*(1-Settings!$I$17)-I470)/(T470*(1-AT470)*(1-Settings!$I$68)*(1-Settings!$I$17))),"")</f>
        <v/>
      </c>
      <c r="R470" s="91">
        <f>IFERROR(IF(OR(I470="",Z470&gt;=1,Settings!$B$17&gt;=1,AN470&gt;=1),"",IF(MOD(ROUND(I470/(1-Z470)/(1-Settings!$B$17)/(1-AN470),0),10)=0,ROUND(I470/(1-Z470)/(1-Settings!$B$17)/(1-AN470),0)-1,IF(MOD(ROUND(I470/(1-Z470)/(1-Settings!$B$17)/(1-AN470),0),10)&lt;=5,FLOOR(ROUND(I470/(1-Z470)/(1-Settings!$B$17)/(1-AN470),0),10)+6,FLOOR(ROUND(I470/(1-Z470)/(1-Settings!$B$17)/(1-AN470),0),10)+9))),"")</f>
        <v/>
      </c>
      <c r="S470" s="174">
        <f>R470*0.95</f>
        <v/>
      </c>
      <c r="T470" s="91">
        <f>IF(S470&lt;&gt;"", IF(MOD(S470,10)=0,S470-1,IF(MOD(S470,10)&lt;=5,FLOOR(S470,10)+6,FLOOR(S470,10)+9)), R470)</f>
        <v/>
      </c>
      <c r="U470" s="87" t="inlineStr">
        <is>
          <t>Основний</t>
        </is>
      </c>
      <c r="V470" s="88" t="n"/>
      <c r="W470" s="88" t="n"/>
      <c r="X470" s="89">
        <f>IFERROR(IF(OR(V470="",W470="",T470=""),"", IF(T470&gt;W470,"Дорогий",IF(T470&lt;V470,"Дешевий","У ринку"))),"")</f>
        <v/>
      </c>
      <c r="Y470" s="90" t="n"/>
      <c r="Z470" s="104">
        <f>CHOOSE(MATCH(IF($U470="","Основний",$U470),{"Трафіковий","Основний","Маржинальний","Сезонний","Стратегічний"},0),0.16,0.19,0.24,0.23,0.28)</f>
        <v/>
      </c>
      <c r="AA470" s="104">
        <f>CHOOSE(MATCH(IF($U470="","Основний",$U470),{"Трафіковий","Основний","Маржинальний","Сезонний","Стратегічний"},0),0.18,0.21,0.26,0.25,0.3)</f>
        <v/>
      </c>
      <c r="AB470" s="104">
        <f>CHOOSE(MATCH(IF($U470="","Основний",$U470),{"Трафіковий","Основний","Маржинальний","Сезонний","Стратегічний"},0),0.19,0.22,0.28,0.26,0.32)</f>
        <v/>
      </c>
      <c r="AC470" s="104">
        <f>CHOOSE(MATCH(IF($U470="","Основний",$U470),{"Трафіковий","Основний","Маржинальний","Сезонний","Стратегічний"},0),0.17,0.2,0.25,0.24,0.28)</f>
        <v/>
      </c>
      <c r="AD470" s="104">
        <f>CHOOSE(MATCH(IF($U470="","Основний",$U470),{"Трафіковий","Основний","Маржинальний","Сезонний","Стратегічний"},0),0.18,0.21,0.26,0.25,0.3)</f>
        <v/>
      </c>
      <c r="AE470" s="104">
        <f>CHOOSE(MATCH(IF($U470="","Основний",$U470),{"Трафіковий","Основний","Маржинальний","Сезонний","Стратегічний"},0),0.18,0.2,0.28,0.27,0.32)</f>
        <v/>
      </c>
      <c r="AF470" s="104">
        <f>CHOOSE(MATCH(IF($U470="","Основний",$U470),{"Трафіковий","Основний","Маржинальний","Сезонний","Стратегічний"},0),0.15,0.175,0.22,0.21,0.25)</f>
        <v/>
      </c>
      <c r="AG470" s="104">
        <f>CHOOSE(MATCH(IF($U470="","Основний",$U470),{"Трафіковий","Основний","Маржинальний","Сезонний","Стратегічний"},0),0.13,0.16,0.21,0.2,0.25)</f>
        <v/>
      </c>
      <c r="AH470" s="104">
        <f>CHOOSE(MATCH(IF($U470="","Основний",$U470),{"Трафіковий","Основний","Маржинальний","Сезонний","Стратегічний"},0),0.15,0.18,0.23,0.22,0.27)</f>
        <v/>
      </c>
      <c r="AI470" s="104">
        <f>CHOOSE(MATCH(IF($U470="","Основний",$U470),{"Трафіковий","Основний","Маржинальний","Сезонний","Стратегічний"},0),0.16,0.19,0.25,0.23,0.29)</f>
        <v/>
      </c>
      <c r="AJ470" s="104">
        <f>CHOOSE(MATCH(IF($U470="","Основний",$U470),{"Трафіковий","Основний","Маржинальний","Сезонний","Стратегічний"},0),0.14,0.17,0.22,0.21,0.25)</f>
        <v/>
      </c>
      <c r="AK470" s="104">
        <f>CHOOSE(MATCH(IF($U470="","Основний",$U470),{"Трафіковий","Основний","Маржинальний","Сезонний","Стратегічний"},0),0.15,0.18,0.23,0.22,0.27)</f>
        <v/>
      </c>
      <c r="AL470" s="104">
        <f>CHOOSE(MATCH(IF($U470="","Основний",$U470),{"Трафіковий","Основний","Маржинальний","Сезонний","Стратегічний"},0),0.15,0.17,0.25,0.24,0.29)</f>
        <v/>
      </c>
      <c r="AM470" s="104">
        <f>CHOOSE(MATCH(IF($U470="","Основний",$U470),{"Трафіковий","Основний","Маржинальний","Сезонний","Стратегічний"},0),0.12,0.145,0.19,0.18,0.22)</f>
        <v/>
      </c>
      <c r="AN470" s="157">
        <f>CHOOSE(MATCH(IF($U470="","Основний",$U470),{"Трафіковий","Основний","Маржинальний","Сезонний","Стратегічний"},0),Settings!$B$78,Settings!$B$80,Settings!$B$82,Settings!$B$84,Settings!$B$86)</f>
        <v/>
      </c>
      <c r="AO470" s="157">
        <f>CHOOSE(MATCH(IF($U470="","Основний",$U470),{"Трафіковий","Основний","Маржинальний","Сезонний","Стратегічний"},0),Settings!$C$78,Settings!$C$80,Settings!$C$82,Settings!$C$84,Settings!$C$86)</f>
        <v/>
      </c>
      <c r="AP470" s="157">
        <f>CHOOSE(MATCH(IF($U470="","Основний",$U470),{"Трафіковий","Основний","Маржинальний","Сезонний","Стратегічний"},0),Settings!$D$78,Settings!$D$80,Settings!$D$82,Settings!$D$84,Settings!$D$86)</f>
        <v/>
      </c>
      <c r="AQ470" s="157">
        <f>CHOOSE(MATCH(IF($U470="","Основний",$U470),{"Трафіковий","Основний","Маржинальний","Сезонний","Стратегічний"},0),Settings!$F$78,Settings!$F$80,Settings!$F$82,Settings!$F$84,Settings!$F$86)</f>
        <v/>
      </c>
      <c r="AR470" s="157">
        <f>CHOOSE(MATCH(IF($U470="","Основний",$U470),{"Трафіковий","Основний","Маржинальний","Сезонний","Стратегічний"},0),Settings!$G$78,Settings!$G$80,Settings!$G$82,Settings!$G$84,Settings!$G$86)</f>
        <v/>
      </c>
      <c r="AS470" s="157">
        <f>CHOOSE(MATCH(IF($U470="","Основний",$U470),{"Трафіковий","Основний","Маржинальний","Сезонний","Стратегічний"},0),Settings!$H$78,Settings!$H$80,Settings!$H$82,Settings!$H$84,Settings!$H$86)</f>
        <v/>
      </c>
      <c r="AT470" s="157">
        <f>CHOOSE(MATCH(IF($U470="","Основний",$U470),{"Трафіковий","Основний","Маржинальний","Сезонний","Стратегічний"},0),Settings!$I$78,Settings!$I$80,Settings!$I$82,Settings!$I$84,Settings!$I$86)</f>
        <v/>
      </c>
      <c r="AU470" s="171" t="n"/>
      <c r="AV470" t="n">
        <v>1.35</v>
      </c>
    </row>
    <row r="471">
      <c r="A471" s="33" t="inlineStr">
        <is>
          <t>NEW</t>
        </is>
      </c>
      <c r="B471" s="34" t="inlineStr">
        <is>
          <t>M0305N</t>
        </is>
      </c>
      <c r="C471" s="34" t="inlineStr">
        <is>
          <t>CLAMP MULTIMETER MD-310C</t>
        </is>
      </c>
      <c r="D471" s="34" t="inlineStr">
        <is>
          <t>Тестери, мультиметри</t>
        </is>
      </c>
      <c r="E471" s="33" t="inlineStr">
        <is>
          <t>PC</t>
        </is>
      </c>
      <c r="F471" s="94" t="n">
        <v>16.035</v>
      </c>
      <c r="G471" s="35" t="n">
        <v>9030310090</v>
      </c>
      <c r="H471" s="31" t="n">
        <v>1.3</v>
      </c>
      <c r="I471" s="84">
        <f>IFERROR(F471*Settings!$B$2*H471*IF(AND(ISNUMBER(E471),E471&gt;1),E471,1),"")</f>
        <v/>
      </c>
      <c r="J471" s="32">
        <f>Settings!$B$66</f>
        <v/>
      </c>
      <c r="K471" s="95">
        <f>IFERROR(IF(T471="","",(T471*(1-AN471)*(1-Settings!$B$17)-I471)/(T471*(1-AN471)*(1-Settings!$B$17))),"")</f>
        <v/>
      </c>
      <c r="L471" s="101">
        <f>IFERROR(IF(T471="","",(T471*(1-AO471)*(1-Settings!$C$17)-I471)/(T471*(1-AO471)*(1-Settings!$C$17))),"")</f>
        <v/>
      </c>
      <c r="M471" s="101">
        <f>IFERROR(IF(T471="","",(T471*(1-AP471)*(1-Settings!$D$17)-I471)/(T471*(1-AP471)*(1-Settings!$D$17))),"")</f>
        <v/>
      </c>
      <c r="N471" s="101">
        <f>IFERROR(IF(T471="","",(T471*(1-AQ471)*(1-Settings!$F$17)-I471)/(T471*(1-AQ471)*(1-Settings!$F$17))),"")</f>
        <v/>
      </c>
      <c r="O471" s="101">
        <f>IFERROR(IF(T471="","",(T471*(1-AR471)*(1-Settings!$G$17)-I471)/(T471*(1-AR471)*(1-Settings!$G$17))),"")</f>
        <v/>
      </c>
      <c r="P471" s="101">
        <f>IFERROR(IF(T471="","",(T471*(1-AS471)*(1-Settings!$H$17)-I471)/(T471*(1-AS471)*(1-Settings!$H$17))),"")</f>
        <v/>
      </c>
      <c r="Q471" s="101">
        <f>IFERROR(IF(T471="","",(T471*(1-AT471)*(1-Settings!$I$68)*(1-Settings!$I$17)-I471)/(T471*(1-AT471)*(1-Settings!$I$68)*(1-Settings!$I$17))),"")</f>
        <v/>
      </c>
      <c r="R471" s="91">
        <f>IFERROR(IF(OR(I471="",Z471&gt;=1,Settings!$B$17&gt;=1,AN471&gt;=1),"",IF(MOD(ROUND(I471/(1-Z471)/(1-Settings!$B$17)/(1-AN471),0),10)=0,ROUND(I471/(1-Z471)/(1-Settings!$B$17)/(1-AN471),0)-1,IF(MOD(ROUND(I471/(1-Z471)/(1-Settings!$B$17)/(1-AN471),0),10)&lt;=5,FLOOR(ROUND(I471/(1-Z471)/(1-Settings!$B$17)/(1-AN471),0),10)+6,FLOOR(ROUND(I471/(1-Z471)/(1-Settings!$B$17)/(1-AN471),0),10)+9))),"")</f>
        <v/>
      </c>
      <c r="S471" s="174">
        <f>R471*0.95</f>
        <v/>
      </c>
      <c r="T471" s="91">
        <f>IF(S471&lt;&gt;"", IF(MOD(S471,10)=0,S471-1,IF(MOD(S471,10)&lt;=5,FLOOR(S471,10)+6,FLOOR(S471,10)+9)), R471)</f>
        <v/>
      </c>
      <c r="U471" s="87" t="inlineStr">
        <is>
          <t>Основний</t>
        </is>
      </c>
      <c r="V471" s="88" t="n"/>
      <c r="W471" s="88" t="n"/>
      <c r="X471" s="89">
        <f>IFERROR(IF(OR(V471="",W471="",T471=""),"", IF(T471&gt;W471,"Дорогий",IF(T471&lt;V471,"Дешевий","У ринку"))),"")</f>
        <v/>
      </c>
      <c r="Y471" s="90" t="n"/>
      <c r="Z471" s="104">
        <f>CHOOSE(MATCH(IF($U471="","Основний",$U471),{"Трафіковий","Основний","Маржинальний","Сезонний","Стратегічний"},0),0.16,0.19,0.24,0.23,0.28)</f>
        <v/>
      </c>
      <c r="AA471" s="104">
        <f>CHOOSE(MATCH(IF($U471="","Основний",$U471),{"Трафіковий","Основний","Маржинальний","Сезонний","Стратегічний"},0),0.18,0.21,0.26,0.25,0.3)</f>
        <v/>
      </c>
      <c r="AB471" s="104">
        <f>CHOOSE(MATCH(IF($U471="","Основний",$U471),{"Трафіковий","Основний","Маржинальний","Сезонний","Стратегічний"},0),0.19,0.22,0.28,0.26,0.32)</f>
        <v/>
      </c>
      <c r="AC471" s="104">
        <f>CHOOSE(MATCH(IF($U471="","Основний",$U471),{"Трафіковий","Основний","Маржинальний","Сезонний","Стратегічний"},0),0.17,0.2,0.25,0.24,0.28)</f>
        <v/>
      </c>
      <c r="AD471" s="104">
        <f>CHOOSE(MATCH(IF($U471="","Основний",$U471),{"Трафіковий","Основний","Маржинальний","Сезонний","Стратегічний"},0),0.18,0.21,0.26,0.25,0.3)</f>
        <v/>
      </c>
      <c r="AE471" s="104">
        <f>CHOOSE(MATCH(IF($U471="","Основний",$U471),{"Трафіковий","Основний","Маржинальний","Сезонний","Стратегічний"},0),0.18,0.2,0.28,0.27,0.32)</f>
        <v/>
      </c>
      <c r="AF471" s="104">
        <f>CHOOSE(MATCH(IF($U471="","Основний",$U471),{"Трафіковий","Основний","Маржинальний","Сезонний","Стратегічний"},0),0.15,0.175,0.22,0.21,0.25)</f>
        <v/>
      </c>
      <c r="AG471" s="104">
        <f>CHOOSE(MATCH(IF($U471="","Основний",$U471),{"Трафіковий","Основний","Маржинальний","Сезонний","Стратегічний"},0),0.13,0.16,0.21,0.2,0.25)</f>
        <v/>
      </c>
      <c r="AH471" s="104">
        <f>CHOOSE(MATCH(IF($U471="","Основний",$U471),{"Трафіковий","Основний","Маржинальний","Сезонний","Стратегічний"},0),0.15,0.18,0.23,0.22,0.27)</f>
        <v/>
      </c>
      <c r="AI471" s="104">
        <f>CHOOSE(MATCH(IF($U471="","Основний",$U471),{"Трафіковий","Основний","Маржинальний","Сезонний","Стратегічний"},0),0.16,0.19,0.25,0.23,0.29)</f>
        <v/>
      </c>
      <c r="AJ471" s="104">
        <f>CHOOSE(MATCH(IF($U471="","Основний",$U471),{"Трафіковий","Основний","Маржинальний","Сезонний","Стратегічний"},0),0.14,0.17,0.22,0.21,0.25)</f>
        <v/>
      </c>
      <c r="AK471" s="104">
        <f>CHOOSE(MATCH(IF($U471="","Основний",$U471),{"Трафіковий","Основний","Маржинальний","Сезонний","Стратегічний"},0),0.15,0.18,0.23,0.22,0.27)</f>
        <v/>
      </c>
      <c r="AL471" s="104">
        <f>CHOOSE(MATCH(IF($U471="","Основний",$U471),{"Трафіковий","Основний","Маржинальний","Сезонний","Стратегічний"},0),0.15,0.17,0.25,0.24,0.29)</f>
        <v/>
      </c>
      <c r="AM471" s="104">
        <f>CHOOSE(MATCH(IF($U471="","Основний",$U471),{"Трафіковий","Основний","Маржинальний","Сезонний","Стратегічний"},0),0.12,0.145,0.19,0.18,0.22)</f>
        <v/>
      </c>
      <c r="AN471" s="157">
        <f>CHOOSE(MATCH(IF($U471="","Основний",$U471),{"Трафіковий","Основний","Маржинальний","Сезонний","Стратегічний"},0),Settings!$B$78,Settings!$B$80,Settings!$B$82,Settings!$B$84,Settings!$B$86)</f>
        <v/>
      </c>
      <c r="AO471" s="157">
        <f>CHOOSE(MATCH(IF($U471="","Основний",$U471),{"Трафіковий","Основний","Маржинальний","Сезонний","Стратегічний"},0),Settings!$C$78,Settings!$C$80,Settings!$C$82,Settings!$C$84,Settings!$C$86)</f>
        <v/>
      </c>
      <c r="AP471" s="157">
        <f>CHOOSE(MATCH(IF($U471="","Основний",$U471),{"Трафіковий","Основний","Маржинальний","Сезонний","Стратегічний"},0),Settings!$D$78,Settings!$D$80,Settings!$D$82,Settings!$D$84,Settings!$D$86)</f>
        <v/>
      </c>
      <c r="AQ471" s="157">
        <f>CHOOSE(MATCH(IF($U471="","Основний",$U471),{"Трафіковий","Основний","Маржинальний","Сезонний","Стратегічний"},0),Settings!$F$78,Settings!$F$80,Settings!$F$82,Settings!$F$84,Settings!$F$86)</f>
        <v/>
      </c>
      <c r="AR471" s="157">
        <f>CHOOSE(MATCH(IF($U471="","Основний",$U471),{"Трафіковий","Основний","Маржинальний","Сезонний","Стратегічний"},0),Settings!$G$78,Settings!$G$80,Settings!$G$82,Settings!$G$84,Settings!$G$86)</f>
        <v/>
      </c>
      <c r="AS471" s="157">
        <f>CHOOSE(MATCH(IF($U471="","Основний",$U471),{"Трафіковий","Основний","Маржинальний","Сезонний","Стратегічний"},0),Settings!$H$78,Settings!$H$80,Settings!$H$82,Settings!$H$84,Settings!$H$86)</f>
        <v/>
      </c>
      <c r="AT471" s="157">
        <f>CHOOSE(MATCH(IF($U471="","Основний",$U471),{"Трафіковий","Основний","Маржинальний","Сезонний","Стратегічний"},0),Settings!$I$78,Settings!$I$80,Settings!$I$82,Settings!$I$84,Settings!$I$86)</f>
        <v/>
      </c>
      <c r="AU471" s="171" t="n"/>
      <c r="AV471" t="n">
        <v>1.35</v>
      </c>
    </row>
    <row r="472">
      <c r="A472" s="28" t="inlineStr">
        <is>
          <t>NEW</t>
        </is>
      </c>
      <c r="B472" s="29" t="inlineStr">
        <is>
          <t>M0400N</t>
        </is>
      </c>
      <c r="C472" s="29" t="inlineStr">
        <is>
          <t>CLAMP MULTIMETER MD-410C</t>
        </is>
      </c>
      <c r="D472" s="29" t="inlineStr">
        <is>
          <t>Тестери, мультиметри</t>
        </is>
      </c>
      <c r="E472" s="28" t="inlineStr">
        <is>
          <t>PC</t>
        </is>
      </c>
      <c r="F472" s="93" t="n">
        <v>30.488</v>
      </c>
      <c r="G472" s="30" t="n">
        <v>9030310090</v>
      </c>
      <c r="H472" s="31" t="n">
        <v>1.3</v>
      </c>
      <c r="I472" s="84">
        <f>IFERROR(F472*Settings!$B$2*H472*IF(AND(ISNUMBER(E472),E472&gt;1),E472,1),"")</f>
        <v/>
      </c>
      <c r="J472" s="32">
        <f>Settings!$B$66</f>
        <v/>
      </c>
      <c r="K472" s="95">
        <f>IFERROR(IF(T472="","",(T472*(1-AN472)*(1-Settings!$B$17)-I472)/(T472*(1-AN472)*(1-Settings!$B$17))),"")</f>
        <v/>
      </c>
      <c r="L472" s="101">
        <f>IFERROR(IF(T472="","",(T472*(1-AO472)*(1-Settings!$C$17)-I472)/(T472*(1-AO472)*(1-Settings!$C$17))),"")</f>
        <v/>
      </c>
      <c r="M472" s="101">
        <f>IFERROR(IF(T472="","",(T472*(1-AP472)*(1-Settings!$D$17)-I472)/(T472*(1-AP472)*(1-Settings!$D$17))),"")</f>
        <v/>
      </c>
      <c r="N472" s="101">
        <f>IFERROR(IF(T472="","",(T472*(1-AQ472)*(1-Settings!$F$17)-I472)/(T472*(1-AQ472)*(1-Settings!$F$17))),"")</f>
        <v/>
      </c>
      <c r="O472" s="101">
        <f>IFERROR(IF(T472="","",(T472*(1-AR472)*(1-Settings!$G$17)-I472)/(T472*(1-AR472)*(1-Settings!$G$17))),"")</f>
        <v/>
      </c>
      <c r="P472" s="101">
        <f>IFERROR(IF(T472="","",(T472*(1-AS472)*(1-Settings!$H$17)-I472)/(T472*(1-AS472)*(1-Settings!$H$17))),"")</f>
        <v/>
      </c>
      <c r="Q472" s="101">
        <f>IFERROR(IF(T472="","",(T472*(1-AT472)*(1-Settings!$I$68)*(1-Settings!$I$17)-I472)/(T472*(1-AT472)*(1-Settings!$I$68)*(1-Settings!$I$17))),"")</f>
        <v/>
      </c>
      <c r="R472" s="91">
        <f>IFERROR(IF(OR(I472="",Z472&gt;=1,Settings!$B$17&gt;=1,AN472&gt;=1),"",IF(MOD(ROUND(I472/(1-Z472)/(1-Settings!$B$17)/(1-AN472),0),10)=0,ROUND(I472/(1-Z472)/(1-Settings!$B$17)/(1-AN472),0)-1,IF(MOD(ROUND(I472/(1-Z472)/(1-Settings!$B$17)/(1-AN472),0),10)&lt;=5,FLOOR(ROUND(I472/(1-Z472)/(1-Settings!$B$17)/(1-AN472),0),10)+6,FLOOR(ROUND(I472/(1-Z472)/(1-Settings!$B$17)/(1-AN472),0),10)+9))),"")</f>
        <v/>
      </c>
      <c r="S472" s="174">
        <f>R472*0.95</f>
        <v/>
      </c>
      <c r="T472" s="91">
        <f>IF(S472&lt;&gt;"", IF(MOD(S472,10)=0,S472-1,IF(MOD(S472,10)&lt;=5,FLOOR(S472,10)+6,FLOOR(S472,10)+9)), R472)</f>
        <v/>
      </c>
      <c r="U472" s="87" t="inlineStr">
        <is>
          <t>Основний</t>
        </is>
      </c>
      <c r="V472" s="88" t="n"/>
      <c r="W472" s="88" t="n"/>
      <c r="X472" s="89">
        <f>IFERROR(IF(OR(V472="",W472="",T472=""),"", IF(T472&gt;W472,"Дорогий",IF(T472&lt;V472,"Дешевий","У ринку"))),"")</f>
        <v/>
      </c>
      <c r="Y472" s="90" t="n"/>
      <c r="Z472" s="104">
        <f>CHOOSE(MATCH(IF($U472="","Основний",$U472),{"Трафіковий","Основний","Маржинальний","Сезонний","Стратегічний"},0),0.16,0.19,0.24,0.23,0.28)</f>
        <v/>
      </c>
      <c r="AA472" s="104">
        <f>CHOOSE(MATCH(IF($U472="","Основний",$U472),{"Трафіковий","Основний","Маржинальний","Сезонний","Стратегічний"},0),0.18,0.21,0.26,0.25,0.3)</f>
        <v/>
      </c>
      <c r="AB472" s="104">
        <f>CHOOSE(MATCH(IF($U472="","Основний",$U472),{"Трафіковий","Основний","Маржинальний","Сезонний","Стратегічний"},0),0.19,0.22,0.28,0.26,0.32)</f>
        <v/>
      </c>
      <c r="AC472" s="104">
        <f>CHOOSE(MATCH(IF($U472="","Основний",$U472),{"Трафіковий","Основний","Маржинальний","Сезонний","Стратегічний"},0),0.17,0.2,0.25,0.24,0.28)</f>
        <v/>
      </c>
      <c r="AD472" s="104">
        <f>CHOOSE(MATCH(IF($U472="","Основний",$U472),{"Трафіковий","Основний","Маржинальний","Сезонний","Стратегічний"},0),0.18,0.21,0.26,0.25,0.3)</f>
        <v/>
      </c>
      <c r="AE472" s="104">
        <f>CHOOSE(MATCH(IF($U472="","Основний",$U472),{"Трафіковий","Основний","Маржинальний","Сезонний","Стратегічний"},0),0.18,0.2,0.28,0.27,0.32)</f>
        <v/>
      </c>
      <c r="AF472" s="104">
        <f>CHOOSE(MATCH(IF($U472="","Основний",$U472),{"Трафіковий","Основний","Маржинальний","Сезонний","Стратегічний"},0),0.15,0.175,0.22,0.21,0.25)</f>
        <v/>
      </c>
      <c r="AG472" s="104">
        <f>CHOOSE(MATCH(IF($U472="","Основний",$U472),{"Трафіковий","Основний","Маржинальний","Сезонний","Стратегічний"},0),0.13,0.16,0.21,0.2,0.25)</f>
        <v/>
      </c>
      <c r="AH472" s="104">
        <f>CHOOSE(MATCH(IF($U472="","Основний",$U472),{"Трафіковий","Основний","Маржинальний","Сезонний","Стратегічний"},0),0.15,0.18,0.23,0.22,0.27)</f>
        <v/>
      </c>
      <c r="AI472" s="104">
        <f>CHOOSE(MATCH(IF($U472="","Основний",$U472),{"Трафіковий","Основний","Маржинальний","Сезонний","Стратегічний"},0),0.16,0.19,0.25,0.23,0.29)</f>
        <v/>
      </c>
      <c r="AJ472" s="104">
        <f>CHOOSE(MATCH(IF($U472="","Основний",$U472),{"Трафіковий","Основний","Маржинальний","Сезонний","Стратегічний"},0),0.14,0.17,0.22,0.21,0.25)</f>
        <v/>
      </c>
      <c r="AK472" s="104">
        <f>CHOOSE(MATCH(IF($U472="","Основний",$U472),{"Трафіковий","Основний","Маржинальний","Сезонний","Стратегічний"},0),0.15,0.18,0.23,0.22,0.27)</f>
        <v/>
      </c>
      <c r="AL472" s="104">
        <f>CHOOSE(MATCH(IF($U472="","Основний",$U472),{"Трафіковий","Основний","Маржинальний","Сезонний","Стратегічний"},0),0.15,0.17,0.25,0.24,0.29)</f>
        <v/>
      </c>
      <c r="AM472" s="104">
        <f>CHOOSE(MATCH(IF($U472="","Основний",$U472),{"Трафіковий","Основний","Маржинальний","Сезонний","Стратегічний"},0),0.12,0.145,0.19,0.18,0.22)</f>
        <v/>
      </c>
      <c r="AN472" s="157">
        <f>CHOOSE(MATCH(IF($U472="","Основний",$U472),{"Трафіковий","Основний","Маржинальний","Сезонний","Стратегічний"},0),Settings!$B$78,Settings!$B$80,Settings!$B$82,Settings!$B$84,Settings!$B$86)</f>
        <v/>
      </c>
      <c r="AO472" s="157">
        <f>CHOOSE(MATCH(IF($U472="","Основний",$U472),{"Трафіковий","Основний","Маржинальний","Сезонний","Стратегічний"},0),Settings!$C$78,Settings!$C$80,Settings!$C$82,Settings!$C$84,Settings!$C$86)</f>
        <v/>
      </c>
      <c r="AP472" s="157">
        <f>CHOOSE(MATCH(IF($U472="","Основний",$U472),{"Трафіковий","Основний","Маржинальний","Сезонний","Стратегічний"},0),Settings!$D$78,Settings!$D$80,Settings!$D$82,Settings!$D$84,Settings!$D$86)</f>
        <v/>
      </c>
      <c r="AQ472" s="157">
        <f>CHOOSE(MATCH(IF($U472="","Основний",$U472),{"Трафіковий","Основний","Маржинальний","Сезонний","Стратегічний"},0),Settings!$F$78,Settings!$F$80,Settings!$F$82,Settings!$F$84,Settings!$F$86)</f>
        <v/>
      </c>
      <c r="AR472" s="157">
        <f>CHOOSE(MATCH(IF($U472="","Основний",$U472),{"Трафіковий","Основний","Маржинальний","Сезонний","Стратегічний"},0),Settings!$G$78,Settings!$G$80,Settings!$G$82,Settings!$G$84,Settings!$G$86)</f>
        <v/>
      </c>
      <c r="AS472" s="157">
        <f>CHOOSE(MATCH(IF($U472="","Основний",$U472),{"Трафіковий","Основний","Маржинальний","Сезонний","Стратегічний"},0),Settings!$H$78,Settings!$H$80,Settings!$H$82,Settings!$H$84,Settings!$H$86)</f>
        <v/>
      </c>
      <c r="AT472" s="157">
        <f>CHOOSE(MATCH(IF($U472="","Основний",$U472),{"Трафіковий","Основний","Маржинальний","Сезонний","Стратегічний"},0),Settings!$I$78,Settings!$I$80,Settings!$I$82,Settings!$I$84,Settings!$I$86)</f>
        <v/>
      </c>
      <c r="AU472" s="171" t="n"/>
      <c r="AV472" t="n">
        <v>1.35</v>
      </c>
    </row>
    <row r="473">
      <c r="A473" s="33" t="inlineStr">
        <is>
          <t>NEW</t>
        </is>
      </c>
      <c r="B473" s="34" t="inlineStr">
        <is>
          <t>M0320N</t>
        </is>
      </c>
      <c r="C473" s="34" t="inlineStr">
        <is>
          <t>MULTIMETER MD-110</t>
        </is>
      </c>
      <c r="D473" s="34" t="inlineStr">
        <is>
          <t>Тестери, мультиметри</t>
        </is>
      </c>
      <c r="E473" s="33" t="inlineStr">
        <is>
          <t>PC</t>
        </is>
      </c>
      <c r="F473" s="94" t="n">
        <v>5.205</v>
      </c>
      <c r="G473" s="35" t="n">
        <v>9030310090</v>
      </c>
      <c r="H473" s="31" t="n">
        <v>1.3</v>
      </c>
      <c r="I473" s="84">
        <f>IFERROR(F473*Settings!$B$2*H473*IF(AND(ISNUMBER(E473),E473&gt;1),E473,1),"")</f>
        <v/>
      </c>
      <c r="J473" s="32">
        <f>Settings!$B$66</f>
        <v/>
      </c>
      <c r="K473" s="95">
        <f>IFERROR(IF(T473="","",(T473*(1-AN473)*(1-Settings!$B$17)-I473)/(T473*(1-AN473)*(1-Settings!$B$17))),"")</f>
        <v/>
      </c>
      <c r="L473" s="101">
        <f>IFERROR(IF(T473="","",(T473*(1-AO473)*(1-Settings!$C$17)-I473)/(T473*(1-AO473)*(1-Settings!$C$17))),"")</f>
        <v/>
      </c>
      <c r="M473" s="101">
        <f>IFERROR(IF(T473="","",(T473*(1-AP473)*(1-Settings!$D$17)-I473)/(T473*(1-AP473)*(1-Settings!$D$17))),"")</f>
        <v/>
      </c>
      <c r="N473" s="101">
        <f>IFERROR(IF(T473="","",(T473*(1-AQ473)*(1-Settings!$F$17)-I473)/(T473*(1-AQ473)*(1-Settings!$F$17))),"")</f>
        <v/>
      </c>
      <c r="O473" s="101">
        <f>IFERROR(IF(T473="","",(T473*(1-AR473)*(1-Settings!$G$17)-I473)/(T473*(1-AR473)*(1-Settings!$G$17))),"")</f>
        <v/>
      </c>
      <c r="P473" s="101">
        <f>IFERROR(IF(T473="","",(T473*(1-AS473)*(1-Settings!$H$17)-I473)/(T473*(1-AS473)*(1-Settings!$H$17))),"")</f>
        <v/>
      </c>
      <c r="Q473" s="101">
        <f>IFERROR(IF(T473="","",(T473*(1-AT473)*(1-Settings!$I$68)*(1-Settings!$I$17)-I473)/(T473*(1-AT473)*(1-Settings!$I$68)*(1-Settings!$I$17))),"")</f>
        <v/>
      </c>
      <c r="R473" s="91">
        <f>IFERROR(IF(OR(I473="",Z473&gt;=1,Settings!$B$17&gt;=1,AN473&gt;=1),"",IF(MOD(ROUND(I473/(1-Z473)/(1-Settings!$B$17)/(1-AN473),0),10)=0,ROUND(I473/(1-Z473)/(1-Settings!$B$17)/(1-AN473),0)-1,IF(MOD(ROUND(I473/(1-Z473)/(1-Settings!$B$17)/(1-AN473),0),10)&lt;=5,FLOOR(ROUND(I473/(1-Z473)/(1-Settings!$B$17)/(1-AN473),0),10)+6,FLOOR(ROUND(I473/(1-Z473)/(1-Settings!$B$17)/(1-AN473),0),10)+9))),"")</f>
        <v/>
      </c>
      <c r="S473" s="174">
        <f>R473*0.95</f>
        <v/>
      </c>
      <c r="T473" s="91">
        <f>IF(S473&lt;&gt;"", IF(MOD(S473,10)=0,S473-1,IF(MOD(S473,10)&lt;=5,FLOOR(S473,10)+6,FLOOR(S473,10)+9)), R473)</f>
        <v/>
      </c>
      <c r="U473" s="87" t="inlineStr">
        <is>
          <t>Основний</t>
        </is>
      </c>
      <c r="V473" s="88" t="n"/>
      <c r="W473" s="88" t="n"/>
      <c r="X473" s="89">
        <f>IFERROR(IF(OR(V473="",W473="",T473=""),"", IF(T473&gt;W473,"Дорогий",IF(T473&lt;V473,"Дешевий","У ринку"))),"")</f>
        <v/>
      </c>
      <c r="Y473" s="90" t="n"/>
      <c r="Z473" s="104">
        <f>CHOOSE(MATCH(IF($U473="","Основний",$U473),{"Трафіковий","Основний","Маржинальний","Сезонний","Стратегічний"},0),0.16,0.19,0.24,0.23,0.28)</f>
        <v/>
      </c>
      <c r="AA473" s="104">
        <f>CHOOSE(MATCH(IF($U473="","Основний",$U473),{"Трафіковий","Основний","Маржинальний","Сезонний","Стратегічний"},0),0.18,0.21,0.26,0.25,0.3)</f>
        <v/>
      </c>
      <c r="AB473" s="104">
        <f>CHOOSE(MATCH(IF($U473="","Основний",$U473),{"Трафіковий","Основний","Маржинальний","Сезонний","Стратегічний"},0),0.19,0.22,0.28,0.26,0.32)</f>
        <v/>
      </c>
      <c r="AC473" s="104">
        <f>CHOOSE(MATCH(IF($U473="","Основний",$U473),{"Трафіковий","Основний","Маржинальний","Сезонний","Стратегічний"},0),0.17,0.2,0.25,0.24,0.28)</f>
        <v/>
      </c>
      <c r="AD473" s="104">
        <f>CHOOSE(MATCH(IF($U473="","Основний",$U473),{"Трафіковий","Основний","Маржинальний","Сезонний","Стратегічний"},0),0.18,0.21,0.26,0.25,0.3)</f>
        <v/>
      </c>
      <c r="AE473" s="104">
        <f>CHOOSE(MATCH(IF($U473="","Основний",$U473),{"Трафіковий","Основний","Маржинальний","Сезонний","Стратегічний"},0),0.18,0.2,0.28,0.27,0.32)</f>
        <v/>
      </c>
      <c r="AF473" s="104">
        <f>CHOOSE(MATCH(IF($U473="","Основний",$U473),{"Трафіковий","Основний","Маржинальний","Сезонний","Стратегічний"},0),0.15,0.175,0.22,0.21,0.25)</f>
        <v/>
      </c>
      <c r="AG473" s="104">
        <f>CHOOSE(MATCH(IF($U473="","Основний",$U473),{"Трафіковий","Основний","Маржинальний","Сезонний","Стратегічний"},0),0.13,0.16,0.21,0.2,0.25)</f>
        <v/>
      </c>
      <c r="AH473" s="104">
        <f>CHOOSE(MATCH(IF($U473="","Основний",$U473),{"Трафіковий","Основний","Маржинальний","Сезонний","Стратегічний"},0),0.15,0.18,0.23,0.22,0.27)</f>
        <v/>
      </c>
      <c r="AI473" s="104">
        <f>CHOOSE(MATCH(IF($U473="","Основний",$U473),{"Трафіковий","Основний","Маржинальний","Сезонний","Стратегічний"},0),0.16,0.19,0.25,0.23,0.29)</f>
        <v/>
      </c>
      <c r="AJ473" s="104">
        <f>CHOOSE(MATCH(IF($U473="","Основний",$U473),{"Трафіковий","Основний","Маржинальний","Сезонний","Стратегічний"},0),0.14,0.17,0.22,0.21,0.25)</f>
        <v/>
      </c>
      <c r="AK473" s="104">
        <f>CHOOSE(MATCH(IF($U473="","Основний",$U473),{"Трафіковий","Основний","Маржинальний","Сезонний","Стратегічний"},0),0.15,0.18,0.23,0.22,0.27)</f>
        <v/>
      </c>
      <c r="AL473" s="104">
        <f>CHOOSE(MATCH(IF($U473="","Основний",$U473),{"Трафіковий","Основний","Маржинальний","Сезонний","Стратегічний"},0),0.15,0.17,0.25,0.24,0.29)</f>
        <v/>
      </c>
      <c r="AM473" s="104">
        <f>CHOOSE(MATCH(IF($U473="","Основний",$U473),{"Трафіковий","Основний","Маржинальний","Сезонний","Стратегічний"},0),0.12,0.145,0.19,0.18,0.22)</f>
        <v/>
      </c>
      <c r="AN473" s="157">
        <f>CHOOSE(MATCH(IF($U473="","Основний",$U473),{"Трафіковий","Основний","Маржинальний","Сезонний","Стратегічний"},0),Settings!$B$78,Settings!$B$80,Settings!$B$82,Settings!$B$84,Settings!$B$86)</f>
        <v/>
      </c>
      <c r="AO473" s="157">
        <f>CHOOSE(MATCH(IF($U473="","Основний",$U473),{"Трафіковий","Основний","Маржинальний","Сезонний","Стратегічний"},0),Settings!$C$78,Settings!$C$80,Settings!$C$82,Settings!$C$84,Settings!$C$86)</f>
        <v/>
      </c>
      <c r="AP473" s="157">
        <f>CHOOSE(MATCH(IF($U473="","Основний",$U473),{"Трафіковий","Основний","Маржинальний","Сезонний","Стратегічний"},0),Settings!$D$78,Settings!$D$80,Settings!$D$82,Settings!$D$84,Settings!$D$86)</f>
        <v/>
      </c>
      <c r="AQ473" s="157">
        <f>CHOOSE(MATCH(IF($U473="","Основний",$U473),{"Трафіковий","Основний","Маржинальний","Сезонний","Стратегічний"},0),Settings!$F$78,Settings!$F$80,Settings!$F$82,Settings!$F$84,Settings!$F$86)</f>
        <v/>
      </c>
      <c r="AR473" s="157">
        <f>CHOOSE(MATCH(IF($U473="","Основний",$U473),{"Трафіковий","Основний","Маржинальний","Сезонний","Стратегічний"},0),Settings!$G$78,Settings!$G$80,Settings!$G$82,Settings!$G$84,Settings!$G$86)</f>
        <v/>
      </c>
      <c r="AS473" s="157">
        <f>CHOOSE(MATCH(IF($U473="","Основний",$U473),{"Трафіковий","Основний","Маржинальний","Сезонний","Стратегічний"},0),Settings!$H$78,Settings!$H$80,Settings!$H$82,Settings!$H$84,Settings!$H$86)</f>
        <v/>
      </c>
      <c r="AT473" s="157">
        <f>CHOOSE(MATCH(IF($U473="","Основний",$U473),{"Трафіковий","Основний","Маржинальний","Сезонний","Стратегічний"},0),Settings!$I$78,Settings!$I$80,Settings!$I$82,Settings!$I$84,Settings!$I$86)</f>
        <v/>
      </c>
      <c r="AU473" s="171" t="n"/>
      <c r="AV473" t="n">
        <v>1.35</v>
      </c>
    </row>
    <row r="474">
      <c r="A474" s="28" t="inlineStr">
        <is>
          <t>NEW</t>
        </is>
      </c>
      <c r="B474" s="29" t="inlineStr">
        <is>
          <t>M0391N</t>
        </is>
      </c>
      <c r="C474" s="29" t="inlineStr">
        <is>
          <t>MULTIMETER MD-210</t>
        </is>
      </c>
      <c r="D474" s="29" t="inlineStr">
        <is>
          <t>Тестери, мультиметри</t>
        </is>
      </c>
      <c r="E474" s="28" t="inlineStr">
        <is>
          <t>PC</t>
        </is>
      </c>
      <c r="F474" s="93" t="n">
        <v>6.152</v>
      </c>
      <c r="G474" s="30" t="n">
        <v>9030310090</v>
      </c>
      <c r="H474" s="31" t="n">
        <v>1.3</v>
      </c>
      <c r="I474" s="84">
        <f>IFERROR(F474*Settings!$B$2*H474*IF(AND(ISNUMBER(E474),E474&gt;1),E474,1),"")</f>
        <v/>
      </c>
      <c r="J474" s="32">
        <f>Settings!$B$66</f>
        <v/>
      </c>
      <c r="K474" s="95">
        <f>IFERROR(IF(T474="","",(T474*(1-AN474)*(1-Settings!$B$17)-I474)/(T474*(1-AN474)*(1-Settings!$B$17))),"")</f>
        <v/>
      </c>
      <c r="L474" s="101">
        <f>IFERROR(IF(T474="","",(T474*(1-AO474)*(1-Settings!$C$17)-I474)/(T474*(1-AO474)*(1-Settings!$C$17))),"")</f>
        <v/>
      </c>
      <c r="M474" s="101">
        <f>IFERROR(IF(T474="","",(T474*(1-AP474)*(1-Settings!$D$17)-I474)/(T474*(1-AP474)*(1-Settings!$D$17))),"")</f>
        <v/>
      </c>
      <c r="N474" s="101">
        <f>IFERROR(IF(T474="","",(T474*(1-AQ474)*(1-Settings!$F$17)-I474)/(T474*(1-AQ474)*(1-Settings!$F$17))),"")</f>
        <v/>
      </c>
      <c r="O474" s="101">
        <f>IFERROR(IF(T474="","",(T474*(1-AR474)*(1-Settings!$G$17)-I474)/(T474*(1-AR474)*(1-Settings!$G$17))),"")</f>
        <v/>
      </c>
      <c r="P474" s="101">
        <f>IFERROR(IF(T474="","",(T474*(1-AS474)*(1-Settings!$H$17)-I474)/(T474*(1-AS474)*(1-Settings!$H$17))),"")</f>
        <v/>
      </c>
      <c r="Q474" s="101">
        <f>IFERROR(IF(T474="","",(T474*(1-AT474)*(1-Settings!$I$68)*(1-Settings!$I$17)-I474)/(T474*(1-AT474)*(1-Settings!$I$68)*(1-Settings!$I$17))),"")</f>
        <v/>
      </c>
      <c r="R474" s="91">
        <f>IFERROR(IF(OR(I474="",Z474&gt;=1,Settings!$B$17&gt;=1,AN474&gt;=1),"",IF(MOD(ROUND(I474/(1-Z474)/(1-Settings!$B$17)/(1-AN474),0),10)=0,ROUND(I474/(1-Z474)/(1-Settings!$B$17)/(1-AN474),0)-1,IF(MOD(ROUND(I474/(1-Z474)/(1-Settings!$B$17)/(1-AN474),0),10)&lt;=5,FLOOR(ROUND(I474/(1-Z474)/(1-Settings!$B$17)/(1-AN474),0),10)+6,FLOOR(ROUND(I474/(1-Z474)/(1-Settings!$B$17)/(1-AN474),0),10)+9))),"")</f>
        <v/>
      </c>
      <c r="S474" s="174">
        <f>R474*0.95</f>
        <v/>
      </c>
      <c r="T474" s="91">
        <f>IF(S474&lt;&gt;"", IF(MOD(S474,10)=0,S474-1,IF(MOD(S474,10)&lt;=5,FLOOR(S474,10)+6,FLOOR(S474,10)+9)), R474)</f>
        <v/>
      </c>
      <c r="U474" s="87" t="inlineStr">
        <is>
          <t>Основний</t>
        </is>
      </c>
      <c r="V474" s="88" t="n"/>
      <c r="W474" s="88" t="n"/>
      <c r="X474" s="89">
        <f>IFERROR(IF(OR(V474="",W474="",T474=""),"", IF(T474&gt;W474,"Дорогий",IF(T474&lt;V474,"Дешевий","У ринку"))),"")</f>
        <v/>
      </c>
      <c r="Y474" s="90" t="n"/>
      <c r="Z474" s="104">
        <f>CHOOSE(MATCH(IF($U474="","Основний",$U474),{"Трафіковий","Основний","Маржинальний","Сезонний","Стратегічний"},0),0.16,0.19,0.24,0.23,0.28)</f>
        <v/>
      </c>
      <c r="AA474" s="104">
        <f>CHOOSE(MATCH(IF($U474="","Основний",$U474),{"Трафіковий","Основний","Маржинальний","Сезонний","Стратегічний"},0),0.18,0.21,0.26,0.25,0.3)</f>
        <v/>
      </c>
      <c r="AB474" s="104">
        <f>CHOOSE(MATCH(IF($U474="","Основний",$U474),{"Трафіковий","Основний","Маржинальний","Сезонний","Стратегічний"},0),0.19,0.22,0.28,0.26,0.32)</f>
        <v/>
      </c>
      <c r="AC474" s="104">
        <f>CHOOSE(MATCH(IF($U474="","Основний",$U474),{"Трафіковий","Основний","Маржинальний","Сезонний","Стратегічний"},0),0.17,0.2,0.25,0.24,0.28)</f>
        <v/>
      </c>
      <c r="AD474" s="104">
        <f>CHOOSE(MATCH(IF($U474="","Основний",$U474),{"Трафіковий","Основний","Маржинальний","Сезонний","Стратегічний"},0),0.18,0.21,0.26,0.25,0.3)</f>
        <v/>
      </c>
      <c r="AE474" s="104">
        <f>CHOOSE(MATCH(IF($U474="","Основний",$U474),{"Трафіковий","Основний","Маржинальний","Сезонний","Стратегічний"},0),0.18,0.2,0.28,0.27,0.32)</f>
        <v/>
      </c>
      <c r="AF474" s="104">
        <f>CHOOSE(MATCH(IF($U474="","Основний",$U474),{"Трафіковий","Основний","Маржинальний","Сезонний","Стратегічний"},0),0.15,0.175,0.22,0.21,0.25)</f>
        <v/>
      </c>
      <c r="AG474" s="104">
        <f>CHOOSE(MATCH(IF($U474="","Основний",$U474),{"Трафіковий","Основний","Маржинальний","Сезонний","Стратегічний"},0),0.13,0.16,0.21,0.2,0.25)</f>
        <v/>
      </c>
      <c r="AH474" s="104">
        <f>CHOOSE(MATCH(IF($U474="","Основний",$U474),{"Трафіковий","Основний","Маржинальний","Сезонний","Стратегічний"},0),0.15,0.18,0.23,0.22,0.27)</f>
        <v/>
      </c>
      <c r="AI474" s="104">
        <f>CHOOSE(MATCH(IF($U474="","Основний",$U474),{"Трафіковий","Основний","Маржинальний","Сезонний","Стратегічний"},0),0.16,0.19,0.25,0.23,0.29)</f>
        <v/>
      </c>
      <c r="AJ474" s="104">
        <f>CHOOSE(MATCH(IF($U474="","Основний",$U474),{"Трафіковий","Основний","Маржинальний","Сезонний","Стратегічний"},0),0.14,0.17,0.22,0.21,0.25)</f>
        <v/>
      </c>
      <c r="AK474" s="104">
        <f>CHOOSE(MATCH(IF($U474="","Основний",$U474),{"Трафіковий","Основний","Маржинальний","Сезонний","Стратегічний"},0),0.15,0.18,0.23,0.22,0.27)</f>
        <v/>
      </c>
      <c r="AL474" s="104">
        <f>CHOOSE(MATCH(IF($U474="","Основний",$U474),{"Трафіковий","Основний","Маржинальний","Сезонний","Стратегічний"},0),0.15,0.17,0.25,0.24,0.29)</f>
        <v/>
      </c>
      <c r="AM474" s="104">
        <f>CHOOSE(MATCH(IF($U474="","Основний",$U474),{"Трафіковий","Основний","Маржинальний","Сезонний","Стратегічний"},0),0.12,0.145,0.19,0.18,0.22)</f>
        <v/>
      </c>
      <c r="AN474" s="157">
        <f>CHOOSE(MATCH(IF($U474="","Основний",$U474),{"Трафіковий","Основний","Маржинальний","Сезонний","Стратегічний"},0),Settings!$B$78,Settings!$B$80,Settings!$B$82,Settings!$B$84,Settings!$B$86)</f>
        <v/>
      </c>
      <c r="AO474" s="157">
        <f>CHOOSE(MATCH(IF($U474="","Основний",$U474),{"Трафіковий","Основний","Маржинальний","Сезонний","Стратегічний"},0),Settings!$C$78,Settings!$C$80,Settings!$C$82,Settings!$C$84,Settings!$C$86)</f>
        <v/>
      </c>
      <c r="AP474" s="157">
        <f>CHOOSE(MATCH(IF($U474="","Основний",$U474),{"Трафіковий","Основний","Маржинальний","Сезонний","Стратегічний"},0),Settings!$D$78,Settings!$D$80,Settings!$D$82,Settings!$D$84,Settings!$D$86)</f>
        <v/>
      </c>
      <c r="AQ474" s="157">
        <f>CHOOSE(MATCH(IF($U474="","Основний",$U474),{"Трафіковий","Основний","Маржинальний","Сезонний","Стратегічний"},0),Settings!$F$78,Settings!$F$80,Settings!$F$82,Settings!$F$84,Settings!$F$86)</f>
        <v/>
      </c>
      <c r="AR474" s="157">
        <f>CHOOSE(MATCH(IF($U474="","Основний",$U474),{"Трафіковий","Основний","Маржинальний","Сезонний","Стратегічний"},0),Settings!$G$78,Settings!$G$80,Settings!$G$82,Settings!$G$84,Settings!$G$86)</f>
        <v/>
      </c>
      <c r="AS474" s="157">
        <f>CHOOSE(MATCH(IF($U474="","Основний",$U474),{"Трафіковий","Основний","Маржинальний","Сезонний","Стратегічний"},0),Settings!$H$78,Settings!$H$80,Settings!$H$82,Settings!$H$84,Settings!$H$86)</f>
        <v/>
      </c>
      <c r="AT474" s="157">
        <f>CHOOSE(MATCH(IF($U474="","Основний",$U474),{"Трафіковий","Основний","Маржинальний","Сезонний","Стратегічний"},0),Settings!$I$78,Settings!$I$80,Settings!$I$82,Settings!$I$84,Settings!$I$86)</f>
        <v/>
      </c>
      <c r="AU474" s="171" t="n"/>
      <c r="AV474" t="n">
        <v>1.35</v>
      </c>
    </row>
    <row r="475">
      <c r="A475" s="33" t="inlineStr">
        <is>
          <t>NEW</t>
        </is>
      </c>
      <c r="B475" s="34" t="inlineStr">
        <is>
          <t>M0420N</t>
        </is>
      </c>
      <c r="C475" s="34" t="inlineStr">
        <is>
          <t>MULTIMETER MD-420</t>
        </is>
      </c>
      <c r="D475" s="34" t="inlineStr">
        <is>
          <t>Тестери, мультиметри</t>
        </is>
      </c>
      <c r="E475" s="33" t="inlineStr">
        <is>
          <t>PC</t>
        </is>
      </c>
      <c r="F475" s="94" t="n">
        <v>16.765</v>
      </c>
      <c r="G475" s="35" t="n">
        <v>9030310090</v>
      </c>
      <c r="H475" s="31" t="n">
        <v>1.3</v>
      </c>
      <c r="I475" s="84">
        <f>IFERROR(F475*Settings!$B$2*H475*IF(AND(ISNUMBER(E475),E475&gt;1),E475,1),"")</f>
        <v/>
      </c>
      <c r="J475" s="32">
        <f>Settings!$B$66</f>
        <v/>
      </c>
      <c r="K475" s="95">
        <f>IFERROR(IF(T475="","",(T475*(1-AN475)*(1-Settings!$B$17)-I475)/(T475*(1-AN475)*(1-Settings!$B$17))),"")</f>
        <v/>
      </c>
      <c r="L475" s="101">
        <f>IFERROR(IF(T475="","",(T475*(1-AO475)*(1-Settings!$C$17)-I475)/(T475*(1-AO475)*(1-Settings!$C$17))),"")</f>
        <v/>
      </c>
      <c r="M475" s="101">
        <f>IFERROR(IF(T475="","",(T475*(1-AP475)*(1-Settings!$D$17)-I475)/(T475*(1-AP475)*(1-Settings!$D$17))),"")</f>
        <v/>
      </c>
      <c r="N475" s="101">
        <f>IFERROR(IF(T475="","",(T475*(1-AQ475)*(1-Settings!$F$17)-I475)/(T475*(1-AQ475)*(1-Settings!$F$17))),"")</f>
        <v/>
      </c>
      <c r="O475" s="101">
        <f>IFERROR(IF(T475="","",(T475*(1-AR475)*(1-Settings!$G$17)-I475)/(T475*(1-AR475)*(1-Settings!$G$17))),"")</f>
        <v/>
      </c>
      <c r="P475" s="101">
        <f>IFERROR(IF(T475="","",(T475*(1-AS475)*(1-Settings!$H$17)-I475)/(T475*(1-AS475)*(1-Settings!$H$17))),"")</f>
        <v/>
      </c>
      <c r="Q475" s="101">
        <f>IFERROR(IF(T475="","",(T475*(1-AT475)*(1-Settings!$I$68)*(1-Settings!$I$17)-I475)/(T475*(1-AT475)*(1-Settings!$I$68)*(1-Settings!$I$17))),"")</f>
        <v/>
      </c>
      <c r="R475" s="91">
        <f>IFERROR(IF(OR(I475="",Z475&gt;=1,Settings!$B$17&gt;=1,AN475&gt;=1),"",IF(MOD(ROUND(I475/(1-Z475)/(1-Settings!$B$17)/(1-AN475),0),10)=0,ROUND(I475/(1-Z475)/(1-Settings!$B$17)/(1-AN475),0)-1,IF(MOD(ROUND(I475/(1-Z475)/(1-Settings!$B$17)/(1-AN475),0),10)&lt;=5,FLOOR(ROUND(I475/(1-Z475)/(1-Settings!$B$17)/(1-AN475),0),10)+6,FLOOR(ROUND(I475/(1-Z475)/(1-Settings!$B$17)/(1-AN475),0),10)+9))),"")</f>
        <v/>
      </c>
      <c r="S475" s="174">
        <f>R475*0.95</f>
        <v/>
      </c>
      <c r="T475" s="91">
        <f>IF(S475&lt;&gt;"", IF(MOD(S475,10)=0,S475-1,IF(MOD(S475,10)&lt;=5,FLOOR(S475,10)+6,FLOOR(S475,10)+9)), R475)</f>
        <v/>
      </c>
      <c r="U475" s="87" t="inlineStr">
        <is>
          <t>Основний</t>
        </is>
      </c>
      <c r="V475" s="88" t="n"/>
      <c r="W475" s="88" t="n"/>
      <c r="X475" s="89">
        <f>IFERROR(IF(OR(V475="",W475="",T475=""),"", IF(T475&gt;W475,"Дорогий",IF(T475&lt;V475,"Дешевий","У ринку"))),"")</f>
        <v/>
      </c>
      <c r="Y475" s="90" t="n"/>
      <c r="Z475" s="104">
        <f>CHOOSE(MATCH(IF($U475="","Основний",$U475),{"Трафіковий","Основний","Маржинальний","Сезонний","Стратегічний"},0),0.16,0.19,0.24,0.23,0.28)</f>
        <v/>
      </c>
      <c r="AA475" s="104">
        <f>CHOOSE(MATCH(IF($U475="","Основний",$U475),{"Трафіковий","Основний","Маржинальний","Сезонний","Стратегічний"},0),0.18,0.21,0.26,0.25,0.3)</f>
        <v/>
      </c>
      <c r="AB475" s="104">
        <f>CHOOSE(MATCH(IF($U475="","Основний",$U475),{"Трафіковий","Основний","Маржинальний","Сезонний","Стратегічний"},0),0.19,0.22,0.28,0.26,0.32)</f>
        <v/>
      </c>
      <c r="AC475" s="104">
        <f>CHOOSE(MATCH(IF($U475="","Основний",$U475),{"Трафіковий","Основний","Маржинальний","Сезонний","Стратегічний"},0),0.17,0.2,0.25,0.24,0.28)</f>
        <v/>
      </c>
      <c r="AD475" s="104">
        <f>CHOOSE(MATCH(IF($U475="","Основний",$U475),{"Трафіковий","Основний","Маржинальний","Сезонний","Стратегічний"},0),0.18,0.21,0.26,0.25,0.3)</f>
        <v/>
      </c>
      <c r="AE475" s="104">
        <f>CHOOSE(MATCH(IF($U475="","Основний",$U475),{"Трафіковий","Основний","Маржинальний","Сезонний","Стратегічний"},0),0.18,0.2,0.28,0.27,0.32)</f>
        <v/>
      </c>
      <c r="AF475" s="104">
        <f>CHOOSE(MATCH(IF($U475="","Основний",$U475),{"Трафіковий","Основний","Маржинальний","Сезонний","Стратегічний"},0),0.15,0.175,0.22,0.21,0.25)</f>
        <v/>
      </c>
      <c r="AG475" s="104">
        <f>CHOOSE(MATCH(IF($U475="","Основний",$U475),{"Трафіковий","Основний","Маржинальний","Сезонний","Стратегічний"},0),0.13,0.16,0.21,0.2,0.25)</f>
        <v/>
      </c>
      <c r="AH475" s="104">
        <f>CHOOSE(MATCH(IF($U475="","Основний",$U475),{"Трафіковий","Основний","Маржинальний","Сезонний","Стратегічний"},0),0.15,0.18,0.23,0.22,0.27)</f>
        <v/>
      </c>
      <c r="AI475" s="104">
        <f>CHOOSE(MATCH(IF($U475="","Основний",$U475),{"Трафіковий","Основний","Маржинальний","Сезонний","Стратегічний"},0),0.16,0.19,0.25,0.23,0.29)</f>
        <v/>
      </c>
      <c r="AJ475" s="104">
        <f>CHOOSE(MATCH(IF($U475="","Основний",$U475),{"Трафіковий","Основний","Маржинальний","Сезонний","Стратегічний"},0),0.14,0.17,0.22,0.21,0.25)</f>
        <v/>
      </c>
      <c r="AK475" s="104">
        <f>CHOOSE(MATCH(IF($U475="","Основний",$U475),{"Трафіковий","Основний","Маржинальний","Сезонний","Стратегічний"},0),0.15,0.18,0.23,0.22,0.27)</f>
        <v/>
      </c>
      <c r="AL475" s="104">
        <f>CHOOSE(MATCH(IF($U475="","Основний",$U475),{"Трафіковий","Основний","Маржинальний","Сезонний","Стратегічний"},0),0.15,0.17,0.25,0.24,0.29)</f>
        <v/>
      </c>
      <c r="AM475" s="104">
        <f>CHOOSE(MATCH(IF($U475="","Основний",$U475),{"Трафіковий","Основний","Маржинальний","Сезонний","Стратегічний"},0),0.12,0.145,0.19,0.18,0.22)</f>
        <v/>
      </c>
      <c r="AN475" s="157">
        <f>CHOOSE(MATCH(IF($U475="","Основний",$U475),{"Трафіковий","Основний","Маржинальний","Сезонний","Стратегічний"},0),Settings!$B$78,Settings!$B$80,Settings!$B$82,Settings!$B$84,Settings!$B$86)</f>
        <v/>
      </c>
      <c r="AO475" s="157">
        <f>CHOOSE(MATCH(IF($U475="","Основний",$U475),{"Трафіковий","Основний","Маржинальний","Сезонний","Стратегічний"},0),Settings!$C$78,Settings!$C$80,Settings!$C$82,Settings!$C$84,Settings!$C$86)</f>
        <v/>
      </c>
      <c r="AP475" s="157">
        <f>CHOOSE(MATCH(IF($U475="","Основний",$U475),{"Трафіковий","Основний","Маржинальний","Сезонний","Стратегічний"},0),Settings!$D$78,Settings!$D$80,Settings!$D$82,Settings!$D$84,Settings!$D$86)</f>
        <v/>
      </c>
      <c r="AQ475" s="157">
        <f>CHOOSE(MATCH(IF($U475="","Основний",$U475),{"Трафіковий","Основний","Маржинальний","Сезонний","Стратегічний"},0),Settings!$F$78,Settings!$F$80,Settings!$F$82,Settings!$F$84,Settings!$F$86)</f>
        <v/>
      </c>
      <c r="AR475" s="157">
        <f>CHOOSE(MATCH(IF($U475="","Основний",$U475),{"Трафіковий","Основний","Маржинальний","Сезонний","Стратегічний"},0),Settings!$G$78,Settings!$G$80,Settings!$G$82,Settings!$G$84,Settings!$G$86)</f>
        <v/>
      </c>
      <c r="AS475" s="157">
        <f>CHOOSE(MATCH(IF($U475="","Основний",$U475),{"Трафіковий","Основний","Маржинальний","Сезонний","Стратегічний"},0),Settings!$H$78,Settings!$H$80,Settings!$H$82,Settings!$H$84,Settings!$H$86)</f>
        <v/>
      </c>
      <c r="AT475" s="157">
        <f>CHOOSE(MATCH(IF($U475="","Основний",$U475),{"Трафіковий","Основний","Маржинальний","Сезонний","Стратегічний"},0),Settings!$I$78,Settings!$I$80,Settings!$I$82,Settings!$I$84,Settings!$I$86)</f>
        <v/>
      </c>
      <c r="AU475" s="171" t="n"/>
      <c r="AV475" t="n">
        <v>1.35</v>
      </c>
    </row>
    <row r="476">
      <c r="A476" s="28" t="inlineStr">
        <is>
          <t>NEW</t>
        </is>
      </c>
      <c r="B476" s="29" t="inlineStr">
        <is>
          <t>M2092N</t>
        </is>
      </c>
      <c r="C476" s="29" t="inlineStr">
        <is>
          <t>MULTIMETER MD-220</t>
        </is>
      </c>
      <c r="D476" s="29" t="inlineStr">
        <is>
          <t>Тестери, мультиметри</t>
        </is>
      </c>
      <c r="E476" s="28" t="inlineStr">
        <is>
          <t>PC</t>
        </is>
      </c>
      <c r="F476" s="93" t="n">
        <v>8.085000000000001</v>
      </c>
      <c r="G476" s="30" t="n">
        <v>9030310090</v>
      </c>
      <c r="H476" s="31" t="n">
        <v>1.3</v>
      </c>
      <c r="I476" s="84">
        <f>IFERROR(F476*Settings!$B$2*H476*IF(AND(ISNUMBER(E476),E476&gt;1),E476,1),"")</f>
        <v/>
      </c>
      <c r="J476" s="32">
        <f>Settings!$B$66</f>
        <v/>
      </c>
      <c r="K476" s="95">
        <f>IFERROR(IF(T476="","",(T476*(1-AN476)*(1-Settings!$B$17)-I476)/(T476*(1-AN476)*(1-Settings!$B$17))),"")</f>
        <v/>
      </c>
      <c r="L476" s="101">
        <f>IFERROR(IF(T476="","",(T476*(1-AO476)*(1-Settings!$C$17)-I476)/(T476*(1-AO476)*(1-Settings!$C$17))),"")</f>
        <v/>
      </c>
      <c r="M476" s="101">
        <f>IFERROR(IF(T476="","",(T476*(1-AP476)*(1-Settings!$D$17)-I476)/(T476*(1-AP476)*(1-Settings!$D$17))),"")</f>
        <v/>
      </c>
      <c r="N476" s="101">
        <f>IFERROR(IF(T476="","",(T476*(1-AQ476)*(1-Settings!$F$17)-I476)/(T476*(1-AQ476)*(1-Settings!$F$17))),"")</f>
        <v/>
      </c>
      <c r="O476" s="101">
        <f>IFERROR(IF(T476="","",(T476*(1-AR476)*(1-Settings!$G$17)-I476)/(T476*(1-AR476)*(1-Settings!$G$17))),"")</f>
        <v/>
      </c>
      <c r="P476" s="101">
        <f>IFERROR(IF(T476="","",(T476*(1-AS476)*(1-Settings!$H$17)-I476)/(T476*(1-AS476)*(1-Settings!$H$17))),"")</f>
        <v/>
      </c>
      <c r="Q476" s="101">
        <f>IFERROR(IF(T476="","",(T476*(1-AT476)*(1-Settings!$I$68)*(1-Settings!$I$17)-I476)/(T476*(1-AT476)*(1-Settings!$I$68)*(1-Settings!$I$17))),"")</f>
        <v/>
      </c>
      <c r="R476" s="91">
        <f>IFERROR(IF(OR(I476="",Z476&gt;=1,Settings!$B$17&gt;=1,AN476&gt;=1),"",IF(MOD(ROUND(I476/(1-Z476)/(1-Settings!$B$17)/(1-AN476),0),10)=0,ROUND(I476/(1-Z476)/(1-Settings!$B$17)/(1-AN476),0)-1,IF(MOD(ROUND(I476/(1-Z476)/(1-Settings!$B$17)/(1-AN476),0),10)&lt;=5,FLOOR(ROUND(I476/(1-Z476)/(1-Settings!$B$17)/(1-AN476),0),10)+6,FLOOR(ROUND(I476/(1-Z476)/(1-Settings!$B$17)/(1-AN476),0),10)+9))),"")</f>
        <v/>
      </c>
      <c r="S476" s="174">
        <f>R476*0.95</f>
        <v/>
      </c>
      <c r="T476" s="91">
        <f>IF(S476&lt;&gt;"", IF(MOD(S476,10)=0,S476-1,IF(MOD(S476,10)&lt;=5,FLOOR(S476,10)+6,FLOOR(S476,10)+9)), R476)</f>
        <v/>
      </c>
      <c r="U476" s="87" t="inlineStr">
        <is>
          <t>Основний</t>
        </is>
      </c>
      <c r="V476" s="88" t="n"/>
      <c r="W476" s="88" t="n"/>
      <c r="X476" s="89">
        <f>IFERROR(IF(OR(V476="",W476="",T476=""),"", IF(T476&gt;W476,"Дорогий",IF(T476&lt;V476,"Дешевий","У ринку"))),"")</f>
        <v/>
      </c>
      <c r="Y476" s="90" t="n"/>
      <c r="Z476" s="104">
        <f>CHOOSE(MATCH(IF($U476="","Основний",$U476),{"Трафіковий","Основний","Маржинальний","Сезонний","Стратегічний"},0),0.16,0.19,0.24,0.23,0.28)</f>
        <v/>
      </c>
      <c r="AA476" s="104">
        <f>CHOOSE(MATCH(IF($U476="","Основний",$U476),{"Трафіковий","Основний","Маржинальний","Сезонний","Стратегічний"},0),0.18,0.21,0.26,0.25,0.3)</f>
        <v/>
      </c>
      <c r="AB476" s="104">
        <f>CHOOSE(MATCH(IF($U476="","Основний",$U476),{"Трафіковий","Основний","Маржинальний","Сезонний","Стратегічний"},0),0.19,0.22,0.28,0.26,0.32)</f>
        <v/>
      </c>
      <c r="AC476" s="104">
        <f>CHOOSE(MATCH(IF($U476="","Основний",$U476),{"Трафіковий","Основний","Маржинальний","Сезонний","Стратегічний"},0),0.17,0.2,0.25,0.24,0.28)</f>
        <v/>
      </c>
      <c r="AD476" s="104">
        <f>CHOOSE(MATCH(IF($U476="","Основний",$U476),{"Трафіковий","Основний","Маржинальний","Сезонний","Стратегічний"},0),0.18,0.21,0.26,0.25,0.3)</f>
        <v/>
      </c>
      <c r="AE476" s="104">
        <f>CHOOSE(MATCH(IF($U476="","Основний",$U476),{"Трафіковий","Основний","Маржинальний","Сезонний","Стратегічний"},0),0.18,0.2,0.28,0.27,0.32)</f>
        <v/>
      </c>
      <c r="AF476" s="104">
        <f>CHOOSE(MATCH(IF($U476="","Основний",$U476),{"Трафіковий","Основний","Маржинальний","Сезонний","Стратегічний"},0),0.15,0.175,0.22,0.21,0.25)</f>
        <v/>
      </c>
      <c r="AG476" s="104">
        <f>CHOOSE(MATCH(IF($U476="","Основний",$U476),{"Трафіковий","Основний","Маржинальний","Сезонний","Стратегічний"},0),0.13,0.16,0.21,0.2,0.25)</f>
        <v/>
      </c>
      <c r="AH476" s="104">
        <f>CHOOSE(MATCH(IF($U476="","Основний",$U476),{"Трафіковий","Основний","Маржинальний","Сезонний","Стратегічний"},0),0.15,0.18,0.23,0.22,0.27)</f>
        <v/>
      </c>
      <c r="AI476" s="104">
        <f>CHOOSE(MATCH(IF($U476="","Основний",$U476),{"Трафіковий","Основний","Маржинальний","Сезонний","Стратегічний"},0),0.16,0.19,0.25,0.23,0.29)</f>
        <v/>
      </c>
      <c r="AJ476" s="104">
        <f>CHOOSE(MATCH(IF($U476="","Основний",$U476),{"Трафіковий","Основний","Маржинальний","Сезонний","Стратегічний"},0),0.14,0.17,0.22,0.21,0.25)</f>
        <v/>
      </c>
      <c r="AK476" s="104">
        <f>CHOOSE(MATCH(IF($U476="","Основний",$U476),{"Трафіковий","Основний","Маржинальний","Сезонний","Стратегічний"},0),0.15,0.18,0.23,0.22,0.27)</f>
        <v/>
      </c>
      <c r="AL476" s="104">
        <f>CHOOSE(MATCH(IF($U476="","Основний",$U476),{"Трафіковий","Основний","Маржинальний","Сезонний","Стратегічний"},0),0.15,0.17,0.25,0.24,0.29)</f>
        <v/>
      </c>
      <c r="AM476" s="104">
        <f>CHOOSE(MATCH(IF($U476="","Основний",$U476),{"Трафіковий","Основний","Маржинальний","Сезонний","Стратегічний"},0),0.12,0.145,0.19,0.18,0.22)</f>
        <v/>
      </c>
      <c r="AN476" s="157">
        <f>CHOOSE(MATCH(IF($U476="","Основний",$U476),{"Трафіковий","Основний","Маржинальний","Сезонний","Стратегічний"},0),Settings!$B$78,Settings!$B$80,Settings!$B$82,Settings!$B$84,Settings!$B$86)</f>
        <v/>
      </c>
      <c r="AO476" s="157">
        <f>CHOOSE(MATCH(IF($U476="","Основний",$U476),{"Трафіковий","Основний","Маржинальний","Сезонний","Стратегічний"},0),Settings!$C$78,Settings!$C$80,Settings!$C$82,Settings!$C$84,Settings!$C$86)</f>
        <v/>
      </c>
      <c r="AP476" s="157">
        <f>CHOOSE(MATCH(IF($U476="","Основний",$U476),{"Трафіковий","Основний","Маржинальний","Сезонний","Стратегічний"},0),Settings!$D$78,Settings!$D$80,Settings!$D$82,Settings!$D$84,Settings!$D$86)</f>
        <v/>
      </c>
      <c r="AQ476" s="157">
        <f>CHOOSE(MATCH(IF($U476="","Основний",$U476),{"Трафіковий","Основний","Маржинальний","Сезонний","Стратегічний"},0),Settings!$F$78,Settings!$F$80,Settings!$F$82,Settings!$F$84,Settings!$F$86)</f>
        <v/>
      </c>
      <c r="AR476" s="157">
        <f>CHOOSE(MATCH(IF($U476="","Основний",$U476),{"Трафіковий","Основний","Маржинальний","Сезонний","Стратегічний"},0),Settings!$G$78,Settings!$G$80,Settings!$G$82,Settings!$G$84,Settings!$G$86)</f>
        <v/>
      </c>
      <c r="AS476" s="157">
        <f>CHOOSE(MATCH(IF($U476="","Основний",$U476),{"Трафіковий","Основний","Маржинальний","Сезонний","Стратегічний"},0),Settings!$H$78,Settings!$H$80,Settings!$H$82,Settings!$H$84,Settings!$H$86)</f>
        <v/>
      </c>
      <c r="AT476" s="157">
        <f>CHOOSE(MATCH(IF($U476="","Основний",$U476),{"Трафіковий","Основний","Маржинальний","Сезонний","Стратегічний"},0),Settings!$I$78,Settings!$I$80,Settings!$I$82,Settings!$I$84,Settings!$I$86)</f>
        <v/>
      </c>
      <c r="AU476" s="171" t="n"/>
      <c r="AV476" t="n">
        <v>1.35</v>
      </c>
    </row>
    <row r="477">
      <c r="A477" s="33" t="inlineStr">
        <is>
          <t>NEW</t>
        </is>
      </c>
      <c r="B477" s="34" t="inlineStr">
        <is>
          <t>M0018N</t>
        </is>
      </c>
      <c r="C477" s="34" t="inlineStr">
        <is>
          <t>MULTITESTER VT-110</t>
        </is>
      </c>
      <c r="D477" s="34" t="inlineStr">
        <is>
          <t>Тестери, мультиметри</t>
        </is>
      </c>
      <c r="E477" s="33" t="inlineStr">
        <is>
          <t>PC</t>
        </is>
      </c>
      <c r="F477" s="94" t="n">
        <v>0.951</v>
      </c>
      <c r="G477" s="35" t="n">
        <v>9030337000</v>
      </c>
      <c r="H477" s="31" t="n">
        <v>1.3</v>
      </c>
      <c r="I477" s="84">
        <f>IFERROR(F477*Settings!$B$2*H477*IF(AND(ISNUMBER(E477),E477&gt;1),E477,1),"")</f>
        <v/>
      </c>
      <c r="J477" s="32">
        <f>Settings!$B$66</f>
        <v/>
      </c>
      <c r="K477" s="95">
        <f>IFERROR(IF(T477="","",(T477*(1-AN477)*(1-Settings!$B$17)-I477)/(T477*(1-AN477)*(1-Settings!$B$17))),"")</f>
        <v/>
      </c>
      <c r="L477" s="101">
        <f>IFERROR(IF(T477="","",(T477*(1-AO477)*(1-Settings!$C$17)-I477)/(T477*(1-AO477)*(1-Settings!$C$17))),"")</f>
        <v/>
      </c>
      <c r="M477" s="101">
        <f>IFERROR(IF(T477="","",(T477*(1-AP477)*(1-Settings!$D$17)-I477)/(T477*(1-AP477)*(1-Settings!$D$17))),"")</f>
        <v/>
      </c>
      <c r="N477" s="101">
        <f>IFERROR(IF(T477="","",(T477*(1-AQ477)*(1-Settings!$F$17)-I477)/(T477*(1-AQ477)*(1-Settings!$F$17))),"")</f>
        <v/>
      </c>
      <c r="O477" s="101">
        <f>IFERROR(IF(T477="","",(T477*(1-AR477)*(1-Settings!$G$17)-I477)/(T477*(1-AR477)*(1-Settings!$G$17))),"")</f>
        <v/>
      </c>
      <c r="P477" s="101">
        <f>IFERROR(IF(T477="","",(T477*(1-AS477)*(1-Settings!$H$17)-I477)/(T477*(1-AS477)*(1-Settings!$H$17))),"")</f>
        <v/>
      </c>
      <c r="Q477" s="101">
        <f>IFERROR(IF(T477="","",(T477*(1-AT477)*(1-Settings!$I$68)*(1-Settings!$I$17)-I477)/(T477*(1-AT477)*(1-Settings!$I$68)*(1-Settings!$I$17))),"")</f>
        <v/>
      </c>
      <c r="R477" s="91">
        <f>IFERROR(IF(OR(I477="",Z477&gt;=1,Settings!$B$17&gt;=1,AN477&gt;=1),"",IF(MOD(ROUND(I477/(1-Z477)/(1-Settings!$B$17)/(1-AN477),0),10)=0,ROUND(I477/(1-Z477)/(1-Settings!$B$17)/(1-AN477),0)-1,IF(MOD(ROUND(I477/(1-Z477)/(1-Settings!$B$17)/(1-AN477),0),10)&lt;=5,FLOOR(ROUND(I477/(1-Z477)/(1-Settings!$B$17)/(1-AN477),0),10)+6,FLOOR(ROUND(I477/(1-Z477)/(1-Settings!$B$17)/(1-AN477),0),10)+9))),"")</f>
        <v/>
      </c>
      <c r="S477" s="174">
        <f>R477*0.95</f>
        <v/>
      </c>
      <c r="T477" s="91">
        <f>IF(S477&lt;&gt;"", IF(MOD(S477,10)=0,S477-1,IF(MOD(S477,10)&lt;=5,FLOOR(S477,10)+6,FLOOR(S477,10)+9)), R477)</f>
        <v/>
      </c>
      <c r="U477" s="87" t="inlineStr">
        <is>
          <t>Основний</t>
        </is>
      </c>
      <c r="V477" s="88" t="n"/>
      <c r="W477" s="88" t="n"/>
      <c r="X477" s="89">
        <f>IFERROR(IF(OR(V477="",W477="",T477=""),"", IF(T477&gt;W477,"Дорогий",IF(T477&lt;V477,"Дешевий","У ринку"))),"")</f>
        <v/>
      </c>
      <c r="Y477" s="90" t="n"/>
      <c r="Z477" s="104">
        <f>CHOOSE(MATCH(IF($U477="","Основний",$U477),{"Трафіковий","Основний","Маржинальний","Сезонний","Стратегічний"},0),0.16,0.19,0.24,0.23,0.28)</f>
        <v/>
      </c>
      <c r="AA477" s="104">
        <f>CHOOSE(MATCH(IF($U477="","Основний",$U477),{"Трафіковий","Основний","Маржинальний","Сезонний","Стратегічний"},0),0.18,0.21,0.26,0.25,0.3)</f>
        <v/>
      </c>
      <c r="AB477" s="104">
        <f>CHOOSE(MATCH(IF($U477="","Основний",$U477),{"Трафіковий","Основний","Маржинальний","Сезонний","Стратегічний"},0),0.19,0.22,0.28,0.26,0.32)</f>
        <v/>
      </c>
      <c r="AC477" s="104">
        <f>CHOOSE(MATCH(IF($U477="","Основний",$U477),{"Трафіковий","Основний","Маржинальний","Сезонний","Стратегічний"},0),0.17,0.2,0.25,0.24,0.28)</f>
        <v/>
      </c>
      <c r="AD477" s="104">
        <f>CHOOSE(MATCH(IF($U477="","Основний",$U477),{"Трафіковий","Основний","Маржинальний","Сезонний","Стратегічний"},0),0.18,0.21,0.26,0.25,0.3)</f>
        <v/>
      </c>
      <c r="AE477" s="104">
        <f>CHOOSE(MATCH(IF($U477="","Основний",$U477),{"Трафіковий","Основний","Маржинальний","Сезонний","Стратегічний"},0),0.18,0.2,0.28,0.27,0.32)</f>
        <v/>
      </c>
      <c r="AF477" s="104">
        <f>CHOOSE(MATCH(IF($U477="","Основний",$U477),{"Трафіковий","Основний","Маржинальний","Сезонний","Стратегічний"},0),0.15,0.175,0.22,0.21,0.25)</f>
        <v/>
      </c>
      <c r="AG477" s="104">
        <f>CHOOSE(MATCH(IF($U477="","Основний",$U477),{"Трафіковий","Основний","Маржинальний","Сезонний","Стратегічний"},0),0.13,0.16,0.21,0.2,0.25)</f>
        <v/>
      </c>
      <c r="AH477" s="104">
        <f>CHOOSE(MATCH(IF($U477="","Основний",$U477),{"Трафіковий","Основний","Маржинальний","Сезонний","Стратегічний"},0),0.15,0.18,0.23,0.22,0.27)</f>
        <v/>
      </c>
      <c r="AI477" s="104">
        <f>CHOOSE(MATCH(IF($U477="","Основний",$U477),{"Трафіковий","Основний","Маржинальний","Сезонний","Стратегічний"},0),0.16,0.19,0.25,0.23,0.29)</f>
        <v/>
      </c>
      <c r="AJ477" s="104">
        <f>CHOOSE(MATCH(IF($U477="","Основний",$U477),{"Трафіковий","Основний","Маржинальний","Сезонний","Стратегічний"},0),0.14,0.17,0.22,0.21,0.25)</f>
        <v/>
      </c>
      <c r="AK477" s="104">
        <f>CHOOSE(MATCH(IF($U477="","Основний",$U477),{"Трафіковий","Основний","Маржинальний","Сезонний","Стратегічний"},0),0.15,0.18,0.23,0.22,0.27)</f>
        <v/>
      </c>
      <c r="AL477" s="104">
        <f>CHOOSE(MATCH(IF($U477="","Основний",$U477),{"Трафіковий","Основний","Маржинальний","Сезонний","Стратегічний"},0),0.15,0.17,0.25,0.24,0.29)</f>
        <v/>
      </c>
      <c r="AM477" s="104">
        <f>CHOOSE(MATCH(IF($U477="","Основний",$U477),{"Трафіковий","Основний","Маржинальний","Сезонний","Стратегічний"},0),0.12,0.145,0.19,0.18,0.22)</f>
        <v/>
      </c>
      <c r="AN477" s="157">
        <f>CHOOSE(MATCH(IF($U477="","Основний",$U477),{"Трафіковий","Основний","Маржинальний","Сезонний","Стратегічний"},0),Settings!$B$78,Settings!$B$80,Settings!$B$82,Settings!$B$84,Settings!$B$86)</f>
        <v/>
      </c>
      <c r="AO477" s="157">
        <f>CHOOSE(MATCH(IF($U477="","Основний",$U477),{"Трафіковий","Основний","Маржинальний","Сезонний","Стратегічний"},0),Settings!$C$78,Settings!$C$80,Settings!$C$82,Settings!$C$84,Settings!$C$86)</f>
        <v/>
      </c>
      <c r="AP477" s="157">
        <f>CHOOSE(MATCH(IF($U477="","Основний",$U477),{"Трафіковий","Основний","Маржинальний","Сезонний","Стратегічний"},0),Settings!$D$78,Settings!$D$80,Settings!$D$82,Settings!$D$84,Settings!$D$86)</f>
        <v/>
      </c>
      <c r="AQ477" s="157">
        <f>CHOOSE(MATCH(IF($U477="","Основний",$U477),{"Трафіковий","Основний","Маржинальний","Сезонний","Стратегічний"},0),Settings!$F$78,Settings!$F$80,Settings!$F$82,Settings!$F$84,Settings!$F$86)</f>
        <v/>
      </c>
      <c r="AR477" s="157">
        <f>CHOOSE(MATCH(IF($U477="","Основний",$U477),{"Трафіковий","Основний","Маржинальний","Сезонний","Стратегічний"},0),Settings!$G$78,Settings!$G$80,Settings!$G$82,Settings!$G$84,Settings!$G$86)</f>
        <v/>
      </c>
      <c r="AS477" s="157">
        <f>CHOOSE(MATCH(IF($U477="","Основний",$U477),{"Трафіковий","Основний","Маржинальний","Сезонний","Стратегічний"},0),Settings!$H$78,Settings!$H$80,Settings!$H$82,Settings!$H$84,Settings!$H$86)</f>
        <v/>
      </c>
      <c r="AT477" s="157">
        <f>CHOOSE(MATCH(IF($U477="","Основний",$U477),{"Трафіковий","Основний","Маржинальний","Сезонний","Стратегічний"},0),Settings!$I$78,Settings!$I$80,Settings!$I$82,Settings!$I$84,Settings!$I$86)</f>
        <v/>
      </c>
      <c r="AU477" s="171" t="n"/>
      <c r="AV477" t="n">
        <v>1.35</v>
      </c>
    </row>
    <row r="478">
      <c r="A478" s="28" t="inlineStr">
        <is>
          <t>NEW</t>
        </is>
      </c>
      <c r="B478" s="29" t="inlineStr">
        <is>
          <t>M0048N</t>
        </is>
      </c>
      <c r="C478" s="29" t="inlineStr">
        <is>
          <t>MULTITESTER VT-120</t>
        </is>
      </c>
      <c r="D478" s="29" t="inlineStr">
        <is>
          <t>Тестери, мультиметри</t>
        </is>
      </c>
      <c r="E478" s="28" t="inlineStr">
        <is>
          <t>PC</t>
        </is>
      </c>
      <c r="F478" s="93" t="n">
        <v>1.502</v>
      </c>
      <c r="G478" s="30" t="n">
        <v>9030337000</v>
      </c>
      <c r="H478" s="31" t="n">
        <v>1.3</v>
      </c>
      <c r="I478" s="84">
        <f>IFERROR(F478*Settings!$B$2*H478*IF(AND(ISNUMBER(E478),E478&gt;1),E478,1),"")</f>
        <v/>
      </c>
      <c r="J478" s="32">
        <f>Settings!$B$66</f>
        <v/>
      </c>
      <c r="K478" s="95">
        <f>IFERROR(IF(T478="","",(T478*(1-AN478)*(1-Settings!$B$17)-I478)/(T478*(1-AN478)*(1-Settings!$B$17))),"")</f>
        <v/>
      </c>
      <c r="L478" s="101">
        <f>IFERROR(IF(T478="","",(T478*(1-AO478)*(1-Settings!$C$17)-I478)/(T478*(1-AO478)*(1-Settings!$C$17))),"")</f>
        <v/>
      </c>
      <c r="M478" s="101">
        <f>IFERROR(IF(T478="","",(T478*(1-AP478)*(1-Settings!$D$17)-I478)/(T478*(1-AP478)*(1-Settings!$D$17))),"")</f>
        <v/>
      </c>
      <c r="N478" s="101">
        <f>IFERROR(IF(T478="","",(T478*(1-AQ478)*(1-Settings!$F$17)-I478)/(T478*(1-AQ478)*(1-Settings!$F$17))),"")</f>
        <v/>
      </c>
      <c r="O478" s="101">
        <f>IFERROR(IF(T478="","",(T478*(1-AR478)*(1-Settings!$G$17)-I478)/(T478*(1-AR478)*(1-Settings!$G$17))),"")</f>
        <v/>
      </c>
      <c r="P478" s="101">
        <f>IFERROR(IF(T478="","",(T478*(1-AS478)*(1-Settings!$H$17)-I478)/(T478*(1-AS478)*(1-Settings!$H$17))),"")</f>
        <v/>
      </c>
      <c r="Q478" s="101">
        <f>IFERROR(IF(T478="","",(T478*(1-AT478)*(1-Settings!$I$68)*(1-Settings!$I$17)-I478)/(T478*(1-AT478)*(1-Settings!$I$68)*(1-Settings!$I$17))),"")</f>
        <v/>
      </c>
      <c r="R478" s="91">
        <f>IFERROR(IF(OR(I478="",Z478&gt;=1,Settings!$B$17&gt;=1,AN478&gt;=1),"",IF(MOD(ROUND(I478/(1-Z478)/(1-Settings!$B$17)/(1-AN478),0),10)=0,ROUND(I478/(1-Z478)/(1-Settings!$B$17)/(1-AN478),0)-1,IF(MOD(ROUND(I478/(1-Z478)/(1-Settings!$B$17)/(1-AN478),0),10)&lt;=5,FLOOR(ROUND(I478/(1-Z478)/(1-Settings!$B$17)/(1-AN478),0),10)+6,FLOOR(ROUND(I478/(1-Z478)/(1-Settings!$B$17)/(1-AN478),0),10)+9))),"")</f>
        <v/>
      </c>
      <c r="S478" s="174">
        <f>R478*0.95</f>
        <v/>
      </c>
      <c r="T478" s="91">
        <f>IF(S478&lt;&gt;"", IF(MOD(S478,10)=0,S478-1,IF(MOD(S478,10)&lt;=5,FLOOR(S478,10)+6,FLOOR(S478,10)+9)), R478)</f>
        <v/>
      </c>
      <c r="U478" s="87" t="inlineStr">
        <is>
          <t>Основний</t>
        </is>
      </c>
      <c r="V478" s="88" t="n"/>
      <c r="W478" s="88" t="n"/>
      <c r="X478" s="89">
        <f>IFERROR(IF(OR(V478="",W478="",T478=""),"", IF(T478&gt;W478,"Дорогий",IF(T478&lt;V478,"Дешевий","У ринку"))),"")</f>
        <v/>
      </c>
      <c r="Y478" s="90" t="n"/>
      <c r="Z478" s="104">
        <f>CHOOSE(MATCH(IF($U478="","Основний",$U478),{"Трафіковий","Основний","Маржинальний","Сезонний","Стратегічний"},0),0.16,0.19,0.24,0.23,0.28)</f>
        <v/>
      </c>
      <c r="AA478" s="104">
        <f>CHOOSE(MATCH(IF($U478="","Основний",$U478),{"Трафіковий","Основний","Маржинальний","Сезонний","Стратегічний"},0),0.18,0.21,0.26,0.25,0.3)</f>
        <v/>
      </c>
      <c r="AB478" s="104">
        <f>CHOOSE(MATCH(IF($U478="","Основний",$U478),{"Трафіковий","Основний","Маржинальний","Сезонний","Стратегічний"},0),0.19,0.22,0.28,0.26,0.32)</f>
        <v/>
      </c>
      <c r="AC478" s="104">
        <f>CHOOSE(MATCH(IF($U478="","Основний",$U478),{"Трафіковий","Основний","Маржинальний","Сезонний","Стратегічний"},0),0.17,0.2,0.25,0.24,0.28)</f>
        <v/>
      </c>
      <c r="AD478" s="104">
        <f>CHOOSE(MATCH(IF($U478="","Основний",$U478),{"Трафіковий","Основний","Маржинальний","Сезонний","Стратегічний"},0),0.18,0.21,0.26,0.25,0.3)</f>
        <v/>
      </c>
      <c r="AE478" s="104">
        <f>CHOOSE(MATCH(IF($U478="","Основний",$U478),{"Трафіковий","Основний","Маржинальний","Сезонний","Стратегічний"},0),0.18,0.2,0.28,0.27,0.32)</f>
        <v/>
      </c>
      <c r="AF478" s="104">
        <f>CHOOSE(MATCH(IF($U478="","Основний",$U478),{"Трафіковий","Основний","Маржинальний","Сезонний","Стратегічний"},0),0.15,0.175,0.22,0.21,0.25)</f>
        <v/>
      </c>
      <c r="AG478" s="104">
        <f>CHOOSE(MATCH(IF($U478="","Основний",$U478),{"Трафіковий","Основний","Маржинальний","Сезонний","Стратегічний"},0),0.13,0.16,0.21,0.2,0.25)</f>
        <v/>
      </c>
      <c r="AH478" s="104">
        <f>CHOOSE(MATCH(IF($U478="","Основний",$U478),{"Трафіковий","Основний","Маржинальний","Сезонний","Стратегічний"},0),0.15,0.18,0.23,0.22,0.27)</f>
        <v/>
      </c>
      <c r="AI478" s="104">
        <f>CHOOSE(MATCH(IF($U478="","Основний",$U478),{"Трафіковий","Основний","Маржинальний","Сезонний","Стратегічний"},0),0.16,0.19,0.25,0.23,0.29)</f>
        <v/>
      </c>
      <c r="AJ478" s="104">
        <f>CHOOSE(MATCH(IF($U478="","Основний",$U478),{"Трафіковий","Основний","Маржинальний","Сезонний","Стратегічний"},0),0.14,0.17,0.22,0.21,0.25)</f>
        <v/>
      </c>
      <c r="AK478" s="104">
        <f>CHOOSE(MATCH(IF($U478="","Основний",$U478),{"Трафіковий","Основний","Маржинальний","Сезонний","Стратегічний"},0),0.15,0.18,0.23,0.22,0.27)</f>
        <v/>
      </c>
      <c r="AL478" s="104">
        <f>CHOOSE(MATCH(IF($U478="","Основний",$U478),{"Трафіковий","Основний","Маржинальний","Сезонний","Стратегічний"},0),0.15,0.17,0.25,0.24,0.29)</f>
        <v/>
      </c>
      <c r="AM478" s="104">
        <f>CHOOSE(MATCH(IF($U478="","Основний",$U478),{"Трафіковий","Основний","Маржинальний","Сезонний","Стратегічний"},0),0.12,0.145,0.19,0.18,0.22)</f>
        <v/>
      </c>
      <c r="AN478" s="157">
        <f>CHOOSE(MATCH(IF($U478="","Основний",$U478),{"Трафіковий","Основний","Маржинальний","Сезонний","Стратегічний"},0),Settings!$B$78,Settings!$B$80,Settings!$B$82,Settings!$B$84,Settings!$B$86)</f>
        <v/>
      </c>
      <c r="AO478" s="157">
        <f>CHOOSE(MATCH(IF($U478="","Основний",$U478),{"Трафіковий","Основний","Маржинальний","Сезонний","Стратегічний"},0),Settings!$C$78,Settings!$C$80,Settings!$C$82,Settings!$C$84,Settings!$C$86)</f>
        <v/>
      </c>
      <c r="AP478" s="157">
        <f>CHOOSE(MATCH(IF($U478="","Основний",$U478),{"Трафіковий","Основний","Маржинальний","Сезонний","Стратегічний"},0),Settings!$D$78,Settings!$D$80,Settings!$D$82,Settings!$D$84,Settings!$D$86)</f>
        <v/>
      </c>
      <c r="AQ478" s="157">
        <f>CHOOSE(MATCH(IF($U478="","Основний",$U478),{"Трафіковий","Основний","Маржинальний","Сезонний","Стратегічний"},0),Settings!$F$78,Settings!$F$80,Settings!$F$82,Settings!$F$84,Settings!$F$86)</f>
        <v/>
      </c>
      <c r="AR478" s="157">
        <f>CHOOSE(MATCH(IF($U478="","Основний",$U478),{"Трафіковий","Основний","Маржинальний","Сезонний","Стратегічний"},0),Settings!$G$78,Settings!$G$80,Settings!$G$82,Settings!$G$84,Settings!$G$86)</f>
        <v/>
      </c>
      <c r="AS478" s="157">
        <f>CHOOSE(MATCH(IF($U478="","Основний",$U478),{"Трафіковий","Основний","Маржинальний","Сезонний","Стратегічний"},0),Settings!$H$78,Settings!$H$80,Settings!$H$82,Settings!$H$84,Settings!$H$86)</f>
        <v/>
      </c>
      <c r="AT478" s="157">
        <f>CHOOSE(MATCH(IF($U478="","Основний",$U478),{"Трафіковий","Основний","Маржинальний","Сезонний","Стратегічний"},0),Settings!$I$78,Settings!$I$80,Settings!$I$82,Settings!$I$84,Settings!$I$86)</f>
        <v/>
      </c>
      <c r="AU478" s="171" t="n"/>
      <c r="AV478" t="n">
        <v>1.35</v>
      </c>
    </row>
    <row r="479">
      <c r="A479" s="33" t="inlineStr">
        <is>
          <t>NEW</t>
        </is>
      </c>
      <c r="B479" s="34" t="inlineStr">
        <is>
          <t>M0012AN</t>
        </is>
      </c>
      <c r="C479" s="34" t="inlineStr">
        <is>
          <t>VOLTAGE TESTER VT-320</t>
        </is>
      </c>
      <c r="D479" s="34" t="inlineStr">
        <is>
          <t>Тестери, мультиметри</t>
        </is>
      </c>
      <c r="E479" s="33" t="inlineStr">
        <is>
          <t>PC</t>
        </is>
      </c>
      <c r="F479" s="94" t="n">
        <v>6.491</v>
      </c>
      <c r="G479" s="35" t="n">
        <v>9030337000</v>
      </c>
      <c r="H479" s="31" t="n">
        <v>1.3</v>
      </c>
      <c r="I479" s="84">
        <f>IFERROR(F479*Settings!$B$2*H479*IF(AND(ISNUMBER(E479),E479&gt;1),E479,1),"")</f>
        <v/>
      </c>
      <c r="J479" s="32">
        <f>Settings!$B$66</f>
        <v/>
      </c>
      <c r="K479" s="95">
        <f>IFERROR(IF(T479="","",(T479*(1-AN479)*(1-Settings!$B$17)-I479)/(T479*(1-AN479)*(1-Settings!$B$17))),"")</f>
        <v/>
      </c>
      <c r="L479" s="101">
        <f>IFERROR(IF(T479="","",(T479*(1-AO479)*(1-Settings!$C$17)-I479)/(T479*(1-AO479)*(1-Settings!$C$17))),"")</f>
        <v/>
      </c>
      <c r="M479" s="101">
        <f>IFERROR(IF(T479="","",(T479*(1-AP479)*(1-Settings!$D$17)-I479)/(T479*(1-AP479)*(1-Settings!$D$17))),"")</f>
        <v/>
      </c>
      <c r="N479" s="101">
        <f>IFERROR(IF(T479="","",(T479*(1-AQ479)*(1-Settings!$F$17)-I479)/(T479*(1-AQ479)*(1-Settings!$F$17))),"")</f>
        <v/>
      </c>
      <c r="O479" s="101">
        <f>IFERROR(IF(T479="","",(T479*(1-AR479)*(1-Settings!$G$17)-I479)/(T479*(1-AR479)*(1-Settings!$G$17))),"")</f>
        <v/>
      </c>
      <c r="P479" s="101">
        <f>IFERROR(IF(T479="","",(T479*(1-AS479)*(1-Settings!$H$17)-I479)/(T479*(1-AS479)*(1-Settings!$H$17))),"")</f>
        <v/>
      </c>
      <c r="Q479" s="101">
        <f>IFERROR(IF(T479="","",(T479*(1-AT479)*(1-Settings!$I$68)*(1-Settings!$I$17)-I479)/(T479*(1-AT479)*(1-Settings!$I$68)*(1-Settings!$I$17))),"")</f>
        <v/>
      </c>
      <c r="R479" s="91">
        <f>IFERROR(IF(OR(I479="",Z479&gt;=1,Settings!$B$17&gt;=1,AN479&gt;=1),"",IF(MOD(ROUND(I479/(1-Z479)/(1-Settings!$B$17)/(1-AN479),0),10)=0,ROUND(I479/(1-Z479)/(1-Settings!$B$17)/(1-AN479),0)-1,IF(MOD(ROUND(I479/(1-Z479)/(1-Settings!$B$17)/(1-AN479),0),10)&lt;=5,FLOOR(ROUND(I479/(1-Z479)/(1-Settings!$B$17)/(1-AN479),0),10)+6,FLOOR(ROUND(I479/(1-Z479)/(1-Settings!$B$17)/(1-AN479),0),10)+9))),"")</f>
        <v/>
      </c>
      <c r="S479" s="174">
        <f>R479*0.95</f>
        <v/>
      </c>
      <c r="T479" s="91">
        <f>IF(S479&lt;&gt;"", IF(MOD(S479,10)=0,S479-1,IF(MOD(S479,10)&lt;=5,FLOOR(S479,10)+6,FLOOR(S479,10)+9)), R479)</f>
        <v/>
      </c>
      <c r="U479" s="87" t="inlineStr">
        <is>
          <t>Основний</t>
        </is>
      </c>
      <c r="V479" s="88" t="n"/>
      <c r="W479" s="88" t="n"/>
      <c r="X479" s="89">
        <f>IFERROR(IF(OR(V479="",W479="",T479=""),"", IF(T479&gt;W479,"Дорогий",IF(T479&lt;V479,"Дешевий","У ринку"))),"")</f>
        <v/>
      </c>
      <c r="Y479" s="90" t="n"/>
      <c r="Z479" s="104">
        <f>CHOOSE(MATCH(IF($U479="","Основний",$U479),{"Трафіковий","Основний","Маржинальний","Сезонний","Стратегічний"},0),0.16,0.19,0.24,0.23,0.28)</f>
        <v/>
      </c>
      <c r="AA479" s="104">
        <f>CHOOSE(MATCH(IF($U479="","Основний",$U479),{"Трафіковий","Основний","Маржинальний","Сезонний","Стратегічний"},0),0.18,0.21,0.26,0.25,0.3)</f>
        <v/>
      </c>
      <c r="AB479" s="104">
        <f>CHOOSE(MATCH(IF($U479="","Основний",$U479),{"Трафіковий","Основний","Маржинальний","Сезонний","Стратегічний"},0),0.19,0.22,0.28,0.26,0.32)</f>
        <v/>
      </c>
      <c r="AC479" s="104">
        <f>CHOOSE(MATCH(IF($U479="","Основний",$U479),{"Трафіковий","Основний","Маржинальний","Сезонний","Стратегічний"},0),0.17,0.2,0.25,0.24,0.28)</f>
        <v/>
      </c>
      <c r="AD479" s="104">
        <f>CHOOSE(MATCH(IF($U479="","Основний",$U479),{"Трафіковий","Основний","Маржинальний","Сезонний","Стратегічний"},0),0.18,0.21,0.26,0.25,0.3)</f>
        <v/>
      </c>
      <c r="AE479" s="104">
        <f>CHOOSE(MATCH(IF($U479="","Основний",$U479),{"Трафіковий","Основний","Маржинальний","Сезонний","Стратегічний"},0),0.18,0.2,0.28,0.27,0.32)</f>
        <v/>
      </c>
      <c r="AF479" s="104">
        <f>CHOOSE(MATCH(IF($U479="","Основний",$U479),{"Трафіковий","Основний","Маржинальний","Сезонний","Стратегічний"},0),0.15,0.175,0.22,0.21,0.25)</f>
        <v/>
      </c>
      <c r="AG479" s="104">
        <f>CHOOSE(MATCH(IF($U479="","Основний",$U479),{"Трафіковий","Основний","Маржинальний","Сезонний","Стратегічний"},0),0.13,0.16,0.21,0.2,0.25)</f>
        <v/>
      </c>
      <c r="AH479" s="104">
        <f>CHOOSE(MATCH(IF($U479="","Основний",$U479),{"Трафіковий","Основний","Маржинальний","Сезонний","Стратегічний"},0),0.15,0.18,0.23,0.22,0.27)</f>
        <v/>
      </c>
      <c r="AI479" s="104">
        <f>CHOOSE(MATCH(IF($U479="","Основний",$U479),{"Трафіковий","Основний","Маржинальний","Сезонний","Стратегічний"},0),0.16,0.19,0.25,0.23,0.29)</f>
        <v/>
      </c>
      <c r="AJ479" s="104">
        <f>CHOOSE(MATCH(IF($U479="","Основний",$U479),{"Трафіковий","Основний","Маржинальний","Сезонний","Стратегічний"},0),0.14,0.17,0.22,0.21,0.25)</f>
        <v/>
      </c>
      <c r="AK479" s="104">
        <f>CHOOSE(MATCH(IF($U479="","Основний",$U479),{"Трафіковий","Основний","Маржинальний","Сезонний","Стратегічний"},0),0.15,0.18,0.23,0.22,0.27)</f>
        <v/>
      </c>
      <c r="AL479" s="104">
        <f>CHOOSE(MATCH(IF($U479="","Основний",$U479),{"Трафіковий","Основний","Маржинальний","Сезонний","Стратегічний"},0),0.15,0.17,0.25,0.24,0.29)</f>
        <v/>
      </c>
      <c r="AM479" s="104">
        <f>CHOOSE(MATCH(IF($U479="","Основний",$U479),{"Трафіковий","Основний","Маржинальний","Сезонний","Стратегічний"},0),0.12,0.145,0.19,0.18,0.22)</f>
        <v/>
      </c>
      <c r="AN479" s="157">
        <f>CHOOSE(MATCH(IF($U479="","Основний",$U479),{"Трафіковий","Основний","Маржинальний","Сезонний","Стратегічний"},0),Settings!$B$78,Settings!$B$80,Settings!$B$82,Settings!$B$84,Settings!$B$86)</f>
        <v/>
      </c>
      <c r="AO479" s="157">
        <f>CHOOSE(MATCH(IF($U479="","Основний",$U479),{"Трафіковий","Основний","Маржинальний","Сезонний","Стратегічний"},0),Settings!$C$78,Settings!$C$80,Settings!$C$82,Settings!$C$84,Settings!$C$86)</f>
        <v/>
      </c>
      <c r="AP479" s="157">
        <f>CHOOSE(MATCH(IF($U479="","Основний",$U479),{"Трафіковий","Основний","Маржинальний","Сезонний","Стратегічний"},0),Settings!$D$78,Settings!$D$80,Settings!$D$82,Settings!$D$84,Settings!$D$86)</f>
        <v/>
      </c>
      <c r="AQ479" s="157">
        <f>CHOOSE(MATCH(IF($U479="","Основний",$U479),{"Трафіковий","Основний","Маржинальний","Сезонний","Стратегічний"},0),Settings!$F$78,Settings!$F$80,Settings!$F$82,Settings!$F$84,Settings!$F$86)</f>
        <v/>
      </c>
      <c r="AR479" s="157">
        <f>CHOOSE(MATCH(IF($U479="","Основний",$U479),{"Трафіковий","Основний","Маржинальний","Сезонний","Стратегічний"},0),Settings!$G$78,Settings!$G$80,Settings!$G$82,Settings!$G$84,Settings!$G$86)</f>
        <v/>
      </c>
      <c r="AS479" s="157">
        <f>CHOOSE(MATCH(IF($U479="","Основний",$U479),{"Трафіковий","Основний","Маржинальний","Сезонний","Стратегічний"},0),Settings!$H$78,Settings!$H$80,Settings!$H$82,Settings!$H$84,Settings!$H$86)</f>
        <v/>
      </c>
      <c r="AT479" s="157">
        <f>CHOOSE(MATCH(IF($U479="","Основний",$U479),{"Трафіковий","Основний","Маржинальний","Сезонний","Стратегічний"},0),Settings!$I$78,Settings!$I$80,Settings!$I$82,Settings!$I$84,Settings!$I$86)</f>
        <v/>
      </c>
      <c r="AU479" s="171" t="n"/>
      <c r="AV479" t="n">
        <v>1.35</v>
      </c>
    </row>
    <row r="480">
      <c r="A480" s="28" t="inlineStr">
        <is>
          <t>NEW</t>
        </is>
      </c>
      <c r="B480" s="29" t="inlineStr">
        <is>
          <t>M0003BN</t>
        </is>
      </c>
      <c r="C480" s="29" t="inlineStr">
        <is>
          <t>VOLTAGE TESTER VT-211</t>
        </is>
      </c>
      <c r="D480" s="29" t="inlineStr">
        <is>
          <t>Тестери, мультиметри</t>
        </is>
      </c>
      <c r="E480" s="28" t="inlineStr">
        <is>
          <t>PC</t>
        </is>
      </c>
      <c r="F480" s="93" t="n">
        <v>2.274</v>
      </c>
      <c r="G480" s="30" t="n">
        <v>9030337000</v>
      </c>
      <c r="H480" s="31" t="n">
        <v>1.3</v>
      </c>
      <c r="I480" s="84">
        <f>IFERROR(F480*Settings!$B$2*H480*IF(AND(ISNUMBER(E480),E480&gt;1),E480,1),"")</f>
        <v/>
      </c>
      <c r="J480" s="32">
        <f>Settings!$B$66</f>
        <v/>
      </c>
      <c r="K480" s="95">
        <f>IFERROR(IF(T480="","",(T480*(1-AN480)*(1-Settings!$B$17)-I480)/(T480*(1-AN480)*(1-Settings!$B$17))),"")</f>
        <v/>
      </c>
      <c r="L480" s="101">
        <f>IFERROR(IF(T480="","",(T480*(1-AO480)*(1-Settings!$C$17)-I480)/(T480*(1-AO480)*(1-Settings!$C$17))),"")</f>
        <v/>
      </c>
      <c r="M480" s="101">
        <f>IFERROR(IF(T480="","",(T480*(1-AP480)*(1-Settings!$D$17)-I480)/(T480*(1-AP480)*(1-Settings!$D$17))),"")</f>
        <v/>
      </c>
      <c r="N480" s="101">
        <f>IFERROR(IF(T480="","",(T480*(1-AQ480)*(1-Settings!$F$17)-I480)/(T480*(1-AQ480)*(1-Settings!$F$17))),"")</f>
        <v/>
      </c>
      <c r="O480" s="101">
        <f>IFERROR(IF(T480="","",(T480*(1-AR480)*(1-Settings!$G$17)-I480)/(T480*(1-AR480)*(1-Settings!$G$17))),"")</f>
        <v/>
      </c>
      <c r="P480" s="101">
        <f>IFERROR(IF(T480="","",(T480*(1-AS480)*(1-Settings!$H$17)-I480)/(T480*(1-AS480)*(1-Settings!$H$17))),"")</f>
        <v/>
      </c>
      <c r="Q480" s="101">
        <f>IFERROR(IF(T480="","",(T480*(1-AT480)*(1-Settings!$I$68)*(1-Settings!$I$17)-I480)/(T480*(1-AT480)*(1-Settings!$I$68)*(1-Settings!$I$17))),"")</f>
        <v/>
      </c>
      <c r="R480" s="91">
        <f>IFERROR(IF(OR(I480="",Z480&gt;=1,Settings!$B$17&gt;=1,AN480&gt;=1),"",IF(MOD(ROUND(I480/(1-Z480)/(1-Settings!$B$17)/(1-AN480),0),10)=0,ROUND(I480/(1-Z480)/(1-Settings!$B$17)/(1-AN480),0)-1,IF(MOD(ROUND(I480/(1-Z480)/(1-Settings!$B$17)/(1-AN480),0),10)&lt;=5,FLOOR(ROUND(I480/(1-Z480)/(1-Settings!$B$17)/(1-AN480),0),10)+6,FLOOR(ROUND(I480/(1-Z480)/(1-Settings!$B$17)/(1-AN480),0),10)+9))),"")</f>
        <v/>
      </c>
      <c r="S480" s="174">
        <f>R480*0.95</f>
        <v/>
      </c>
      <c r="T480" s="91">
        <f>IF(S480&lt;&gt;"", IF(MOD(S480,10)=0,S480-1,IF(MOD(S480,10)&lt;=5,FLOOR(S480,10)+6,FLOOR(S480,10)+9)), R480)</f>
        <v/>
      </c>
      <c r="U480" s="87" t="inlineStr">
        <is>
          <t>Основний</t>
        </is>
      </c>
      <c r="V480" s="88" t="n"/>
      <c r="W480" s="88" t="n"/>
      <c r="X480" s="89">
        <f>IFERROR(IF(OR(V480="",W480="",T480=""),"", IF(T480&gt;W480,"Дорогий",IF(T480&lt;V480,"Дешевий","У ринку"))),"")</f>
        <v/>
      </c>
      <c r="Y480" s="90" t="n"/>
      <c r="Z480" s="104">
        <f>CHOOSE(MATCH(IF($U480="","Основний",$U480),{"Трафіковий","Основний","Маржинальний","Сезонний","Стратегічний"},0),0.16,0.19,0.24,0.23,0.28)</f>
        <v/>
      </c>
      <c r="AA480" s="104">
        <f>CHOOSE(MATCH(IF($U480="","Основний",$U480),{"Трафіковий","Основний","Маржинальний","Сезонний","Стратегічний"},0),0.18,0.21,0.26,0.25,0.3)</f>
        <v/>
      </c>
      <c r="AB480" s="104">
        <f>CHOOSE(MATCH(IF($U480="","Основний",$U480),{"Трафіковий","Основний","Маржинальний","Сезонний","Стратегічний"},0),0.19,0.22,0.28,0.26,0.32)</f>
        <v/>
      </c>
      <c r="AC480" s="104">
        <f>CHOOSE(MATCH(IF($U480="","Основний",$U480),{"Трафіковий","Основний","Маржинальний","Сезонний","Стратегічний"},0),0.17,0.2,0.25,0.24,0.28)</f>
        <v/>
      </c>
      <c r="AD480" s="104">
        <f>CHOOSE(MATCH(IF($U480="","Основний",$U480),{"Трафіковий","Основний","Маржинальний","Сезонний","Стратегічний"},0),0.18,0.21,0.26,0.25,0.3)</f>
        <v/>
      </c>
      <c r="AE480" s="104">
        <f>CHOOSE(MATCH(IF($U480="","Основний",$U480),{"Трафіковий","Основний","Маржинальний","Сезонний","Стратегічний"},0),0.18,0.2,0.28,0.27,0.32)</f>
        <v/>
      </c>
      <c r="AF480" s="104">
        <f>CHOOSE(MATCH(IF($U480="","Основний",$U480),{"Трафіковий","Основний","Маржинальний","Сезонний","Стратегічний"},0),0.15,0.175,0.22,0.21,0.25)</f>
        <v/>
      </c>
      <c r="AG480" s="104">
        <f>CHOOSE(MATCH(IF($U480="","Основний",$U480),{"Трафіковий","Основний","Маржинальний","Сезонний","Стратегічний"},0),0.13,0.16,0.21,0.2,0.25)</f>
        <v/>
      </c>
      <c r="AH480" s="104">
        <f>CHOOSE(MATCH(IF($U480="","Основний",$U480),{"Трафіковий","Основний","Маржинальний","Сезонний","Стратегічний"},0),0.15,0.18,0.23,0.22,0.27)</f>
        <v/>
      </c>
      <c r="AI480" s="104">
        <f>CHOOSE(MATCH(IF($U480="","Основний",$U480),{"Трафіковий","Основний","Маржинальний","Сезонний","Стратегічний"},0),0.16,0.19,0.25,0.23,0.29)</f>
        <v/>
      </c>
      <c r="AJ480" s="104">
        <f>CHOOSE(MATCH(IF($U480="","Основний",$U480),{"Трафіковий","Основний","Маржинальний","Сезонний","Стратегічний"},0),0.14,0.17,0.22,0.21,0.25)</f>
        <v/>
      </c>
      <c r="AK480" s="104">
        <f>CHOOSE(MATCH(IF($U480="","Основний",$U480),{"Трафіковий","Основний","Маржинальний","Сезонний","Стратегічний"},0),0.15,0.18,0.23,0.22,0.27)</f>
        <v/>
      </c>
      <c r="AL480" s="104">
        <f>CHOOSE(MATCH(IF($U480="","Основний",$U480),{"Трафіковий","Основний","Маржинальний","Сезонний","Стратегічний"},0),0.15,0.17,0.25,0.24,0.29)</f>
        <v/>
      </c>
      <c r="AM480" s="104">
        <f>CHOOSE(MATCH(IF($U480="","Основний",$U480),{"Трафіковий","Основний","Маржинальний","Сезонний","Стратегічний"},0),0.12,0.145,0.19,0.18,0.22)</f>
        <v/>
      </c>
      <c r="AN480" s="157">
        <f>CHOOSE(MATCH(IF($U480="","Основний",$U480),{"Трафіковий","Основний","Маржинальний","Сезонний","Стратегічний"},0),Settings!$B$78,Settings!$B$80,Settings!$B$82,Settings!$B$84,Settings!$B$86)</f>
        <v/>
      </c>
      <c r="AO480" s="157">
        <f>CHOOSE(MATCH(IF($U480="","Основний",$U480),{"Трафіковий","Основний","Маржинальний","Сезонний","Стратегічний"},0),Settings!$C$78,Settings!$C$80,Settings!$C$82,Settings!$C$84,Settings!$C$86)</f>
        <v/>
      </c>
      <c r="AP480" s="157">
        <f>CHOOSE(MATCH(IF($U480="","Основний",$U480),{"Трафіковий","Основний","Маржинальний","Сезонний","Стратегічний"},0),Settings!$D$78,Settings!$D$80,Settings!$D$82,Settings!$D$84,Settings!$D$86)</f>
        <v/>
      </c>
      <c r="AQ480" s="157">
        <f>CHOOSE(MATCH(IF($U480="","Основний",$U480),{"Трафіковий","Основний","Маржинальний","Сезонний","Стратегічний"},0),Settings!$F$78,Settings!$F$80,Settings!$F$82,Settings!$F$84,Settings!$F$86)</f>
        <v/>
      </c>
      <c r="AR480" s="157">
        <f>CHOOSE(MATCH(IF($U480="","Основний",$U480),{"Трафіковий","Основний","Маржинальний","Сезонний","Стратегічний"},0),Settings!$G$78,Settings!$G$80,Settings!$G$82,Settings!$G$84,Settings!$G$86)</f>
        <v/>
      </c>
      <c r="AS480" s="157">
        <f>CHOOSE(MATCH(IF($U480="","Основний",$U480),{"Трафіковий","Основний","Маржинальний","Сезонний","Стратегічний"},0),Settings!$H$78,Settings!$H$80,Settings!$H$82,Settings!$H$84,Settings!$H$86)</f>
        <v/>
      </c>
      <c r="AT480" s="157">
        <f>CHOOSE(MATCH(IF($U480="","Основний",$U480),{"Трафіковий","Основний","Маржинальний","Сезонний","Стратегічний"},0),Settings!$I$78,Settings!$I$80,Settings!$I$82,Settings!$I$84,Settings!$I$86)</f>
        <v/>
      </c>
      <c r="AU480" s="171" t="n"/>
      <c r="AV480" t="n">
        <v>1.35</v>
      </c>
    </row>
    <row r="481">
      <c r="A481" s="33" t="inlineStr">
        <is>
          <t>NEW</t>
        </is>
      </c>
      <c r="B481" s="34" t="inlineStr">
        <is>
          <t>M0007AN</t>
        </is>
      </c>
      <c r="C481" s="34" t="inlineStr">
        <is>
          <t>VOLTAGE DETECTOR VT-150</t>
        </is>
      </c>
      <c r="D481" s="34" t="inlineStr">
        <is>
          <t>Тестери, мультиметри</t>
        </is>
      </c>
      <c r="E481" s="33" t="inlineStr">
        <is>
          <t>PC</t>
        </is>
      </c>
      <c r="F481" s="94" t="n">
        <v>3.65</v>
      </c>
      <c r="G481" s="35" t="n">
        <v>9030337000</v>
      </c>
      <c r="H481" s="31" t="n">
        <v>1.3</v>
      </c>
      <c r="I481" s="84">
        <f>IFERROR(F481*Settings!$B$2*H481*IF(AND(ISNUMBER(E481),E481&gt;1),E481,1),"")</f>
        <v/>
      </c>
      <c r="J481" s="32">
        <f>Settings!$B$66</f>
        <v/>
      </c>
      <c r="K481" s="95">
        <f>IFERROR(IF(T481="","",(T481*(1-AN481)*(1-Settings!$B$17)-I481)/(T481*(1-AN481)*(1-Settings!$B$17))),"")</f>
        <v/>
      </c>
      <c r="L481" s="101">
        <f>IFERROR(IF(T481="","",(T481*(1-AO481)*(1-Settings!$C$17)-I481)/(T481*(1-AO481)*(1-Settings!$C$17))),"")</f>
        <v/>
      </c>
      <c r="M481" s="101">
        <f>IFERROR(IF(T481="","",(T481*(1-AP481)*(1-Settings!$D$17)-I481)/(T481*(1-AP481)*(1-Settings!$D$17))),"")</f>
        <v/>
      </c>
      <c r="N481" s="101">
        <f>IFERROR(IF(T481="","",(T481*(1-AQ481)*(1-Settings!$F$17)-I481)/(T481*(1-AQ481)*(1-Settings!$F$17))),"")</f>
        <v/>
      </c>
      <c r="O481" s="101">
        <f>IFERROR(IF(T481="","",(T481*(1-AR481)*(1-Settings!$G$17)-I481)/(T481*(1-AR481)*(1-Settings!$G$17))),"")</f>
        <v/>
      </c>
      <c r="P481" s="101">
        <f>IFERROR(IF(T481="","",(T481*(1-AS481)*(1-Settings!$H$17)-I481)/(T481*(1-AS481)*(1-Settings!$H$17))),"")</f>
        <v/>
      </c>
      <c r="Q481" s="101">
        <f>IFERROR(IF(T481="","",(T481*(1-AT481)*(1-Settings!$I$68)*(1-Settings!$I$17)-I481)/(T481*(1-AT481)*(1-Settings!$I$68)*(1-Settings!$I$17))),"")</f>
        <v/>
      </c>
      <c r="R481" s="91">
        <f>IFERROR(IF(OR(I481="",Z481&gt;=1,Settings!$B$17&gt;=1,AN481&gt;=1),"",IF(MOD(ROUND(I481/(1-Z481)/(1-Settings!$B$17)/(1-AN481),0),10)=0,ROUND(I481/(1-Z481)/(1-Settings!$B$17)/(1-AN481),0)-1,IF(MOD(ROUND(I481/(1-Z481)/(1-Settings!$B$17)/(1-AN481),0),10)&lt;=5,FLOOR(ROUND(I481/(1-Z481)/(1-Settings!$B$17)/(1-AN481),0),10)+6,FLOOR(ROUND(I481/(1-Z481)/(1-Settings!$B$17)/(1-AN481),0),10)+9))),"")</f>
        <v/>
      </c>
      <c r="S481" s="174">
        <f>R481*0.95</f>
        <v/>
      </c>
      <c r="T481" s="91">
        <f>IF(S481&lt;&gt;"", IF(MOD(S481,10)=0,S481-1,IF(MOD(S481,10)&lt;=5,FLOOR(S481,10)+6,FLOOR(S481,10)+9)), R481)</f>
        <v/>
      </c>
      <c r="U481" s="87" t="inlineStr">
        <is>
          <t>Основний</t>
        </is>
      </c>
      <c r="V481" s="88" t="n"/>
      <c r="W481" s="88" t="n"/>
      <c r="X481" s="89">
        <f>IFERROR(IF(OR(V481="",W481="",T481=""),"", IF(T481&gt;W481,"Дорогий",IF(T481&lt;V481,"Дешевий","У ринку"))),"")</f>
        <v/>
      </c>
      <c r="Y481" s="90" t="n"/>
      <c r="Z481" s="104">
        <f>CHOOSE(MATCH(IF($U481="","Основний",$U481),{"Трафіковий","Основний","Маржинальний","Сезонний","Стратегічний"},0),0.16,0.19,0.24,0.23,0.28)</f>
        <v/>
      </c>
      <c r="AA481" s="104">
        <f>CHOOSE(MATCH(IF($U481="","Основний",$U481),{"Трафіковий","Основний","Маржинальний","Сезонний","Стратегічний"},0),0.18,0.21,0.26,0.25,0.3)</f>
        <v/>
      </c>
      <c r="AB481" s="104">
        <f>CHOOSE(MATCH(IF($U481="","Основний",$U481),{"Трафіковий","Основний","Маржинальний","Сезонний","Стратегічний"},0),0.19,0.22,0.28,0.26,0.32)</f>
        <v/>
      </c>
      <c r="AC481" s="104">
        <f>CHOOSE(MATCH(IF($U481="","Основний",$U481),{"Трафіковий","Основний","Маржинальний","Сезонний","Стратегічний"},0),0.17,0.2,0.25,0.24,0.28)</f>
        <v/>
      </c>
      <c r="AD481" s="104">
        <f>CHOOSE(MATCH(IF($U481="","Основний",$U481),{"Трафіковий","Основний","Маржинальний","Сезонний","Стратегічний"},0),0.18,0.21,0.26,0.25,0.3)</f>
        <v/>
      </c>
      <c r="AE481" s="104">
        <f>CHOOSE(MATCH(IF($U481="","Основний",$U481),{"Трафіковий","Основний","Маржинальний","Сезонний","Стратегічний"},0),0.18,0.2,0.28,0.27,0.32)</f>
        <v/>
      </c>
      <c r="AF481" s="104">
        <f>CHOOSE(MATCH(IF($U481="","Основний",$U481),{"Трафіковий","Основний","Маржинальний","Сезонний","Стратегічний"},0),0.15,0.175,0.22,0.21,0.25)</f>
        <v/>
      </c>
      <c r="AG481" s="104">
        <f>CHOOSE(MATCH(IF($U481="","Основний",$U481),{"Трафіковий","Основний","Маржинальний","Сезонний","Стратегічний"},0),0.13,0.16,0.21,0.2,0.25)</f>
        <v/>
      </c>
      <c r="AH481" s="104">
        <f>CHOOSE(MATCH(IF($U481="","Основний",$U481),{"Трафіковий","Основний","Маржинальний","Сезонний","Стратегічний"},0),0.15,0.18,0.23,0.22,0.27)</f>
        <v/>
      </c>
      <c r="AI481" s="104">
        <f>CHOOSE(MATCH(IF($U481="","Основний",$U481),{"Трафіковий","Основний","Маржинальний","Сезонний","Стратегічний"},0),0.16,0.19,0.25,0.23,0.29)</f>
        <v/>
      </c>
      <c r="AJ481" s="104">
        <f>CHOOSE(MATCH(IF($U481="","Основний",$U481),{"Трафіковий","Основний","Маржинальний","Сезонний","Стратегічний"},0),0.14,0.17,0.22,0.21,0.25)</f>
        <v/>
      </c>
      <c r="AK481" s="104">
        <f>CHOOSE(MATCH(IF($U481="","Основний",$U481),{"Трафіковий","Основний","Маржинальний","Сезонний","Стратегічний"},0),0.15,0.18,0.23,0.22,0.27)</f>
        <v/>
      </c>
      <c r="AL481" s="104">
        <f>CHOOSE(MATCH(IF($U481="","Основний",$U481),{"Трафіковий","Основний","Маржинальний","Сезонний","Стратегічний"},0),0.15,0.17,0.25,0.24,0.29)</f>
        <v/>
      </c>
      <c r="AM481" s="104">
        <f>CHOOSE(MATCH(IF($U481="","Основний",$U481),{"Трафіковий","Основний","Маржинальний","Сезонний","Стратегічний"},0),0.12,0.145,0.19,0.18,0.22)</f>
        <v/>
      </c>
      <c r="AN481" s="157">
        <f>CHOOSE(MATCH(IF($U481="","Основний",$U481),{"Трафіковий","Основний","Маржинальний","Сезонний","Стратегічний"},0),Settings!$B$78,Settings!$B$80,Settings!$B$82,Settings!$B$84,Settings!$B$86)</f>
        <v/>
      </c>
      <c r="AO481" s="157">
        <f>CHOOSE(MATCH(IF($U481="","Основний",$U481),{"Трафіковий","Основний","Маржинальний","Сезонний","Стратегічний"},0),Settings!$C$78,Settings!$C$80,Settings!$C$82,Settings!$C$84,Settings!$C$86)</f>
        <v/>
      </c>
      <c r="AP481" s="157">
        <f>CHOOSE(MATCH(IF($U481="","Основний",$U481),{"Трафіковий","Основний","Маржинальний","Сезонний","Стратегічний"},0),Settings!$D$78,Settings!$D$80,Settings!$D$82,Settings!$D$84,Settings!$D$86)</f>
        <v/>
      </c>
      <c r="AQ481" s="157">
        <f>CHOOSE(MATCH(IF($U481="","Основний",$U481),{"Трафіковий","Основний","Маржинальний","Сезонний","Стратегічний"},0),Settings!$F$78,Settings!$F$80,Settings!$F$82,Settings!$F$84,Settings!$F$86)</f>
        <v/>
      </c>
      <c r="AR481" s="157">
        <f>CHOOSE(MATCH(IF($U481="","Основний",$U481),{"Трафіковий","Основний","Маржинальний","Сезонний","Стратегічний"},0),Settings!$G$78,Settings!$G$80,Settings!$G$82,Settings!$G$84,Settings!$G$86)</f>
        <v/>
      </c>
      <c r="AS481" s="157">
        <f>CHOOSE(MATCH(IF($U481="","Основний",$U481),{"Трафіковий","Основний","Маржинальний","Сезонний","Стратегічний"},0),Settings!$H$78,Settings!$H$80,Settings!$H$82,Settings!$H$84,Settings!$H$86)</f>
        <v/>
      </c>
      <c r="AT481" s="157">
        <f>CHOOSE(MATCH(IF($U481="","Основний",$U481),{"Трафіковий","Основний","Маржинальний","Сезонний","Стратегічний"},0),Settings!$I$78,Settings!$I$80,Settings!$I$82,Settings!$I$84,Settings!$I$86)</f>
        <v/>
      </c>
      <c r="AU481" s="171" t="n"/>
      <c r="AV481" t="n">
        <v>1.35</v>
      </c>
    </row>
    <row r="482">
      <c r="A482" s="28" t="inlineStr">
        <is>
          <t>NEW</t>
        </is>
      </c>
      <c r="B482" s="29" t="inlineStr">
        <is>
          <t>M0501N</t>
        </is>
      </c>
      <c r="C482" s="29" t="inlineStr">
        <is>
          <t>MULTIDETECTOR M0501N</t>
        </is>
      </c>
      <c r="D482" s="29" t="inlineStr">
        <is>
          <t>Тестери, мультиметри</t>
        </is>
      </c>
      <c r="E482" s="28" t="inlineStr">
        <is>
          <t>PC</t>
        </is>
      </c>
      <c r="F482" s="93" t="n">
        <v>9.113</v>
      </c>
      <c r="G482" s="30" t="n">
        <v>8543709099</v>
      </c>
      <c r="H482" s="31" t="n">
        <v>1.4</v>
      </c>
      <c r="I482" s="84">
        <f>IFERROR(F482*Settings!$B$2*H482*IF(AND(ISNUMBER(E482),E482&gt;1),E482,1),"")</f>
        <v/>
      </c>
      <c r="J482" s="32">
        <f>Settings!$B$66</f>
        <v/>
      </c>
      <c r="K482" s="95">
        <f>IFERROR(IF(T482="","",(T482*(1-AN482)*(1-Settings!$B$17)-I482)/(T482*(1-AN482)*(1-Settings!$B$17))),"")</f>
        <v/>
      </c>
      <c r="L482" s="101">
        <f>IFERROR(IF(T482="","",(T482*(1-AO482)*(1-Settings!$C$17)-I482)/(T482*(1-AO482)*(1-Settings!$C$17))),"")</f>
        <v/>
      </c>
      <c r="M482" s="101">
        <f>IFERROR(IF(T482="","",(T482*(1-AP482)*(1-Settings!$D$17)-I482)/(T482*(1-AP482)*(1-Settings!$D$17))),"")</f>
        <v/>
      </c>
      <c r="N482" s="101">
        <f>IFERROR(IF(T482="","",(T482*(1-AQ482)*(1-Settings!$F$17)-I482)/(T482*(1-AQ482)*(1-Settings!$F$17))),"")</f>
        <v/>
      </c>
      <c r="O482" s="101">
        <f>IFERROR(IF(T482="","",(T482*(1-AR482)*(1-Settings!$G$17)-I482)/(T482*(1-AR482)*(1-Settings!$G$17))),"")</f>
        <v/>
      </c>
      <c r="P482" s="101">
        <f>IFERROR(IF(T482="","",(T482*(1-AS482)*(1-Settings!$H$17)-I482)/(T482*(1-AS482)*(1-Settings!$H$17))),"")</f>
        <v/>
      </c>
      <c r="Q482" s="101">
        <f>IFERROR(IF(T482="","",(T482*(1-AT482)*(1-Settings!$I$68)*(1-Settings!$I$17)-I482)/(T482*(1-AT482)*(1-Settings!$I$68)*(1-Settings!$I$17))),"")</f>
        <v/>
      </c>
      <c r="R482" s="91">
        <f>IFERROR(IF(OR(I482="",Z482&gt;=1,Settings!$B$17&gt;=1,AN482&gt;=1),"",IF(MOD(ROUND(I482/(1-Z482)/(1-Settings!$B$17)/(1-AN482),0),10)=0,ROUND(I482/(1-Z482)/(1-Settings!$B$17)/(1-AN482),0)-1,IF(MOD(ROUND(I482/(1-Z482)/(1-Settings!$B$17)/(1-AN482),0),10)&lt;=5,FLOOR(ROUND(I482/(1-Z482)/(1-Settings!$B$17)/(1-AN482),0),10)+6,FLOOR(ROUND(I482/(1-Z482)/(1-Settings!$B$17)/(1-AN482),0),10)+9))),"")</f>
        <v/>
      </c>
      <c r="S482" s="174">
        <f>R482*0.95</f>
        <v/>
      </c>
      <c r="T482" s="91">
        <f>IF(S482&lt;&gt;"", IF(MOD(S482,10)=0,S482-1,IF(MOD(S482,10)&lt;=5,FLOOR(S482,10)+6,FLOOR(S482,10)+9)), R482)</f>
        <v/>
      </c>
      <c r="U482" s="87" t="inlineStr">
        <is>
          <t>Основний</t>
        </is>
      </c>
      <c r="V482" s="88" t="n"/>
      <c r="W482" s="88" t="n"/>
      <c r="X482" s="89">
        <f>IFERROR(IF(OR(V482="",W482="",T482=""),"", IF(T482&gt;W482,"Дорогий",IF(T482&lt;V482,"Дешевий","У ринку"))),"")</f>
        <v/>
      </c>
      <c r="Y482" s="90" t="n"/>
      <c r="Z482" s="104">
        <f>CHOOSE(MATCH(IF($U482="","Основний",$U482),{"Трафіковий","Основний","Маржинальний","Сезонний","Стратегічний"},0),0.16,0.19,0.24,0.23,0.28)</f>
        <v/>
      </c>
      <c r="AA482" s="104">
        <f>CHOOSE(MATCH(IF($U482="","Основний",$U482),{"Трафіковий","Основний","Маржинальний","Сезонний","Стратегічний"},0),0.18,0.21,0.26,0.25,0.3)</f>
        <v/>
      </c>
      <c r="AB482" s="104">
        <f>CHOOSE(MATCH(IF($U482="","Основний",$U482),{"Трафіковий","Основний","Маржинальний","Сезонний","Стратегічний"},0),0.19,0.22,0.28,0.26,0.32)</f>
        <v/>
      </c>
      <c r="AC482" s="104">
        <f>CHOOSE(MATCH(IF($U482="","Основний",$U482),{"Трафіковий","Основний","Маржинальний","Сезонний","Стратегічний"},0),0.17,0.2,0.25,0.24,0.28)</f>
        <v/>
      </c>
      <c r="AD482" s="104">
        <f>CHOOSE(MATCH(IF($U482="","Основний",$U482),{"Трафіковий","Основний","Маржинальний","Сезонний","Стратегічний"},0),0.18,0.21,0.26,0.25,0.3)</f>
        <v/>
      </c>
      <c r="AE482" s="104">
        <f>CHOOSE(MATCH(IF($U482="","Основний",$U482),{"Трафіковий","Основний","Маржинальний","Сезонний","Стратегічний"},0),0.18,0.2,0.28,0.27,0.32)</f>
        <v/>
      </c>
      <c r="AF482" s="104">
        <f>CHOOSE(MATCH(IF($U482="","Основний",$U482),{"Трафіковий","Основний","Маржинальний","Сезонний","Стратегічний"},0),0.15,0.175,0.22,0.21,0.25)</f>
        <v/>
      </c>
      <c r="AG482" s="104">
        <f>CHOOSE(MATCH(IF($U482="","Основний",$U482),{"Трафіковий","Основний","Маржинальний","Сезонний","Стратегічний"},0),0.13,0.16,0.21,0.2,0.25)</f>
        <v/>
      </c>
      <c r="AH482" s="104">
        <f>CHOOSE(MATCH(IF($U482="","Основний",$U482),{"Трафіковий","Основний","Маржинальний","Сезонний","Стратегічний"},0),0.15,0.18,0.23,0.22,0.27)</f>
        <v/>
      </c>
      <c r="AI482" s="104">
        <f>CHOOSE(MATCH(IF($U482="","Основний",$U482),{"Трафіковий","Основний","Маржинальний","Сезонний","Стратегічний"},0),0.16,0.19,0.25,0.23,0.29)</f>
        <v/>
      </c>
      <c r="AJ482" s="104">
        <f>CHOOSE(MATCH(IF($U482="","Основний",$U482),{"Трафіковий","Основний","Маржинальний","Сезонний","Стратегічний"},0),0.14,0.17,0.22,0.21,0.25)</f>
        <v/>
      </c>
      <c r="AK482" s="104">
        <f>CHOOSE(MATCH(IF($U482="","Основний",$U482),{"Трафіковий","Основний","Маржинальний","Сезонний","Стратегічний"},0),0.15,0.18,0.23,0.22,0.27)</f>
        <v/>
      </c>
      <c r="AL482" s="104">
        <f>CHOOSE(MATCH(IF($U482="","Основний",$U482),{"Трафіковий","Основний","Маржинальний","Сезонний","Стратегічний"},0),0.15,0.17,0.25,0.24,0.29)</f>
        <v/>
      </c>
      <c r="AM482" s="104">
        <f>CHOOSE(MATCH(IF($U482="","Основний",$U482),{"Трафіковий","Основний","Маржинальний","Сезонний","Стратегічний"},0),0.12,0.145,0.19,0.18,0.22)</f>
        <v/>
      </c>
      <c r="AN482" s="157">
        <f>CHOOSE(MATCH(IF($U482="","Основний",$U482),{"Трафіковий","Основний","Маржинальний","Сезонний","Стратегічний"},0),Settings!$B$78,Settings!$B$80,Settings!$B$82,Settings!$B$84,Settings!$B$86)</f>
        <v/>
      </c>
      <c r="AO482" s="157">
        <f>CHOOSE(MATCH(IF($U482="","Основний",$U482),{"Трафіковий","Основний","Маржинальний","Сезонний","Стратегічний"},0),Settings!$C$78,Settings!$C$80,Settings!$C$82,Settings!$C$84,Settings!$C$86)</f>
        <v/>
      </c>
      <c r="AP482" s="157">
        <f>CHOOSE(MATCH(IF($U482="","Основний",$U482),{"Трафіковий","Основний","Маржинальний","Сезонний","Стратегічний"},0),Settings!$D$78,Settings!$D$80,Settings!$D$82,Settings!$D$84,Settings!$D$86)</f>
        <v/>
      </c>
      <c r="AQ482" s="157">
        <f>CHOOSE(MATCH(IF($U482="","Основний",$U482),{"Трафіковий","Основний","Маржинальний","Сезонний","Стратегічний"},0),Settings!$F$78,Settings!$F$80,Settings!$F$82,Settings!$F$84,Settings!$F$86)</f>
        <v/>
      </c>
      <c r="AR482" s="157">
        <f>CHOOSE(MATCH(IF($U482="","Основний",$U482),{"Трафіковий","Основний","Маржинальний","Сезонний","Стратегічний"},0),Settings!$G$78,Settings!$G$80,Settings!$G$82,Settings!$G$84,Settings!$G$86)</f>
        <v/>
      </c>
      <c r="AS482" s="157">
        <f>CHOOSE(MATCH(IF($U482="","Основний",$U482),{"Трафіковий","Основний","Маржинальний","Сезонний","Стратегічний"},0),Settings!$H$78,Settings!$H$80,Settings!$H$82,Settings!$H$84,Settings!$H$86)</f>
        <v/>
      </c>
      <c r="AT482" s="157">
        <f>CHOOSE(MATCH(IF($U482="","Основний",$U482),{"Трафіковий","Основний","Маржинальний","Сезонний","Стратегічний"},0),Settings!$I$78,Settings!$I$80,Settings!$I$82,Settings!$I$84,Settings!$I$86)</f>
        <v/>
      </c>
      <c r="AU482" s="171" t="n"/>
      <c r="AV482" t="n">
        <v>1.35</v>
      </c>
    </row>
    <row r="483">
      <c r="A483" s="33" t="inlineStr">
        <is>
          <t>NEW</t>
        </is>
      </c>
      <c r="B483" s="34" t="inlineStr">
        <is>
          <t>M0230N</t>
        </is>
      </c>
      <c r="C483" s="34" t="inlineStr">
        <is>
          <t>MULTIMETER MD-230</t>
        </is>
      </c>
      <c r="D483" s="34" t="inlineStr">
        <is>
          <t>Тестери, мультиметри</t>
        </is>
      </c>
      <c r="E483" s="33" t="inlineStr">
        <is>
          <t>PC</t>
        </is>
      </c>
      <c r="F483" s="94" t="n">
        <v>8.653</v>
      </c>
      <c r="G483" s="35" t="n">
        <v>9030310090</v>
      </c>
      <c r="H483" s="31" t="n">
        <v>1.3</v>
      </c>
      <c r="I483" s="84">
        <f>IFERROR(F483*Settings!$B$2*H483*IF(AND(ISNUMBER(E483),E483&gt;1),E483,1),"")</f>
        <v/>
      </c>
      <c r="J483" s="32">
        <f>Settings!$B$66</f>
        <v/>
      </c>
      <c r="K483" s="95">
        <f>IFERROR(IF(T483="","",(T483*(1-AN483)*(1-Settings!$B$17)-I483)/(T483*(1-AN483)*(1-Settings!$B$17))),"")</f>
        <v/>
      </c>
      <c r="L483" s="101">
        <f>IFERROR(IF(T483="","",(T483*(1-AO483)*(1-Settings!$C$17)-I483)/(T483*(1-AO483)*(1-Settings!$C$17))),"")</f>
        <v/>
      </c>
      <c r="M483" s="101">
        <f>IFERROR(IF(T483="","",(T483*(1-AP483)*(1-Settings!$D$17)-I483)/(T483*(1-AP483)*(1-Settings!$D$17))),"")</f>
        <v/>
      </c>
      <c r="N483" s="101">
        <f>IFERROR(IF(T483="","",(T483*(1-AQ483)*(1-Settings!$F$17)-I483)/(T483*(1-AQ483)*(1-Settings!$F$17))),"")</f>
        <v/>
      </c>
      <c r="O483" s="101">
        <f>IFERROR(IF(T483="","",(T483*(1-AR483)*(1-Settings!$G$17)-I483)/(T483*(1-AR483)*(1-Settings!$G$17))),"")</f>
        <v/>
      </c>
      <c r="P483" s="101">
        <f>IFERROR(IF(T483="","",(T483*(1-AS483)*(1-Settings!$H$17)-I483)/(T483*(1-AS483)*(1-Settings!$H$17))),"")</f>
        <v/>
      </c>
      <c r="Q483" s="101">
        <f>IFERROR(IF(T483="","",(T483*(1-AT483)*(1-Settings!$I$68)*(1-Settings!$I$17)-I483)/(T483*(1-AT483)*(1-Settings!$I$68)*(1-Settings!$I$17))),"")</f>
        <v/>
      </c>
      <c r="R483" s="91">
        <f>IFERROR(IF(OR(I483="",Z483&gt;=1,Settings!$B$17&gt;=1,AN483&gt;=1),"",IF(MOD(ROUND(I483/(1-Z483)/(1-Settings!$B$17)/(1-AN483),0),10)=0,ROUND(I483/(1-Z483)/(1-Settings!$B$17)/(1-AN483),0)-1,IF(MOD(ROUND(I483/(1-Z483)/(1-Settings!$B$17)/(1-AN483),0),10)&lt;=5,FLOOR(ROUND(I483/(1-Z483)/(1-Settings!$B$17)/(1-AN483),0),10)+6,FLOOR(ROUND(I483/(1-Z483)/(1-Settings!$B$17)/(1-AN483),0),10)+9))),"")</f>
        <v/>
      </c>
      <c r="S483" s="174">
        <f>R483*0.95</f>
        <v/>
      </c>
      <c r="T483" s="91">
        <f>IF(S483&lt;&gt;"", IF(MOD(S483,10)=0,S483-1,IF(MOD(S483,10)&lt;=5,FLOOR(S483,10)+6,FLOOR(S483,10)+9)), R483)</f>
        <v/>
      </c>
      <c r="U483" s="87" t="inlineStr">
        <is>
          <t>Основний</t>
        </is>
      </c>
      <c r="V483" s="88" t="n"/>
      <c r="W483" s="88" t="n"/>
      <c r="X483" s="89">
        <f>IFERROR(IF(OR(V483="",W483="",T483=""),"", IF(T483&gt;W483,"Дорогий",IF(T483&lt;V483,"Дешевий","У ринку"))),"")</f>
        <v/>
      </c>
      <c r="Y483" s="90" t="n"/>
      <c r="Z483" s="104">
        <f>CHOOSE(MATCH(IF($U483="","Основний",$U483),{"Трафіковий","Основний","Маржинальний","Сезонний","Стратегічний"},0),0.16,0.19,0.24,0.23,0.28)</f>
        <v/>
      </c>
      <c r="AA483" s="104">
        <f>CHOOSE(MATCH(IF($U483="","Основний",$U483),{"Трафіковий","Основний","Маржинальний","Сезонний","Стратегічний"},0),0.18,0.21,0.26,0.25,0.3)</f>
        <v/>
      </c>
      <c r="AB483" s="104">
        <f>CHOOSE(MATCH(IF($U483="","Основний",$U483),{"Трафіковий","Основний","Маржинальний","Сезонний","Стратегічний"},0),0.19,0.22,0.28,0.26,0.32)</f>
        <v/>
      </c>
      <c r="AC483" s="104">
        <f>CHOOSE(MATCH(IF($U483="","Основний",$U483),{"Трафіковий","Основний","Маржинальний","Сезонний","Стратегічний"},0),0.17,0.2,0.25,0.24,0.28)</f>
        <v/>
      </c>
      <c r="AD483" s="104">
        <f>CHOOSE(MATCH(IF($U483="","Основний",$U483),{"Трафіковий","Основний","Маржинальний","Сезонний","Стратегічний"},0),0.18,0.21,0.26,0.25,0.3)</f>
        <v/>
      </c>
      <c r="AE483" s="104">
        <f>CHOOSE(MATCH(IF($U483="","Основний",$U483),{"Трафіковий","Основний","Маржинальний","Сезонний","Стратегічний"},0),0.18,0.2,0.28,0.27,0.32)</f>
        <v/>
      </c>
      <c r="AF483" s="104">
        <f>CHOOSE(MATCH(IF($U483="","Основний",$U483),{"Трафіковий","Основний","Маржинальний","Сезонний","Стратегічний"},0),0.15,0.175,0.22,0.21,0.25)</f>
        <v/>
      </c>
      <c r="AG483" s="104">
        <f>CHOOSE(MATCH(IF($U483="","Основний",$U483),{"Трафіковий","Основний","Маржинальний","Сезонний","Стратегічний"},0),0.13,0.16,0.21,0.2,0.25)</f>
        <v/>
      </c>
      <c r="AH483" s="104">
        <f>CHOOSE(MATCH(IF($U483="","Основний",$U483),{"Трафіковий","Основний","Маржинальний","Сезонний","Стратегічний"},0),0.15,0.18,0.23,0.22,0.27)</f>
        <v/>
      </c>
      <c r="AI483" s="104">
        <f>CHOOSE(MATCH(IF($U483="","Основний",$U483),{"Трафіковий","Основний","Маржинальний","Сезонний","Стратегічний"},0),0.16,0.19,0.25,0.23,0.29)</f>
        <v/>
      </c>
      <c r="AJ483" s="104">
        <f>CHOOSE(MATCH(IF($U483="","Основний",$U483),{"Трафіковий","Основний","Маржинальний","Сезонний","Стратегічний"},0),0.14,0.17,0.22,0.21,0.25)</f>
        <v/>
      </c>
      <c r="AK483" s="104">
        <f>CHOOSE(MATCH(IF($U483="","Основний",$U483),{"Трафіковий","Основний","Маржинальний","Сезонний","Стратегічний"},0),0.15,0.18,0.23,0.22,0.27)</f>
        <v/>
      </c>
      <c r="AL483" s="104">
        <f>CHOOSE(MATCH(IF($U483="","Основний",$U483),{"Трафіковий","Основний","Маржинальний","Сезонний","Стратегічний"},0),0.15,0.17,0.25,0.24,0.29)</f>
        <v/>
      </c>
      <c r="AM483" s="104">
        <f>CHOOSE(MATCH(IF($U483="","Основний",$U483),{"Трафіковий","Основний","Маржинальний","Сезонний","Стратегічний"},0),0.12,0.145,0.19,0.18,0.22)</f>
        <v/>
      </c>
      <c r="AN483" s="157">
        <f>CHOOSE(MATCH(IF($U483="","Основний",$U483),{"Трафіковий","Основний","Маржинальний","Сезонний","Стратегічний"},0),Settings!$B$78,Settings!$B$80,Settings!$B$82,Settings!$B$84,Settings!$B$86)</f>
        <v/>
      </c>
      <c r="AO483" s="157">
        <f>CHOOSE(MATCH(IF($U483="","Основний",$U483),{"Трафіковий","Основний","Маржинальний","Сезонний","Стратегічний"},0),Settings!$C$78,Settings!$C$80,Settings!$C$82,Settings!$C$84,Settings!$C$86)</f>
        <v/>
      </c>
      <c r="AP483" s="157">
        <f>CHOOSE(MATCH(IF($U483="","Основний",$U483),{"Трафіковий","Основний","Маржинальний","Сезонний","Стратегічний"},0),Settings!$D$78,Settings!$D$80,Settings!$D$82,Settings!$D$84,Settings!$D$86)</f>
        <v/>
      </c>
      <c r="AQ483" s="157">
        <f>CHOOSE(MATCH(IF($U483="","Основний",$U483),{"Трафіковий","Основний","Маржинальний","Сезонний","Стратегічний"},0),Settings!$F$78,Settings!$F$80,Settings!$F$82,Settings!$F$84,Settings!$F$86)</f>
        <v/>
      </c>
      <c r="AR483" s="157">
        <f>CHOOSE(MATCH(IF($U483="","Основний",$U483),{"Трафіковий","Основний","Маржинальний","Сезонний","Стратегічний"},0),Settings!$G$78,Settings!$G$80,Settings!$G$82,Settings!$G$84,Settings!$G$86)</f>
        <v/>
      </c>
      <c r="AS483" s="157">
        <f>CHOOSE(MATCH(IF($U483="","Основний",$U483),{"Трафіковий","Основний","Маржинальний","Сезонний","Стратегічний"},0),Settings!$H$78,Settings!$H$80,Settings!$H$82,Settings!$H$84,Settings!$H$86)</f>
        <v/>
      </c>
      <c r="AT483" s="157">
        <f>CHOOSE(MATCH(IF($U483="","Основний",$U483),{"Трафіковий","Основний","Маржинальний","Сезонний","Стратегічний"},0),Settings!$I$78,Settings!$I$80,Settings!$I$82,Settings!$I$84,Settings!$I$86)</f>
        <v/>
      </c>
      <c r="AU483" s="171" t="n"/>
      <c r="AV483" t="n">
        <v>1.35</v>
      </c>
    </row>
    <row r="484">
      <c r="A484" s="28" t="inlineStr">
        <is>
          <t>NEW</t>
        </is>
      </c>
      <c r="B484" s="29" t="inlineStr">
        <is>
          <t>M0014AN</t>
        </is>
      </c>
      <c r="C484" s="29" t="inlineStr">
        <is>
          <t>PHASE TESTER VT-310</t>
        </is>
      </c>
      <c r="D484" s="29" t="inlineStr">
        <is>
          <t>Тестери, мультиметри</t>
        </is>
      </c>
      <c r="E484" s="28" t="inlineStr">
        <is>
          <t>PC</t>
        </is>
      </c>
      <c r="F484" s="93" t="n">
        <v>7.951</v>
      </c>
      <c r="G484" s="30" t="n">
        <v>9030337000</v>
      </c>
      <c r="H484" s="31" t="n">
        <v>1.3</v>
      </c>
      <c r="I484" s="84">
        <f>IFERROR(F484*Settings!$B$2*H484*IF(AND(ISNUMBER(E484),E484&gt;1),E484,1),"")</f>
        <v/>
      </c>
      <c r="J484" s="32">
        <f>Settings!$B$66</f>
        <v/>
      </c>
      <c r="K484" s="95">
        <f>IFERROR(IF(T484="","",(T484*(1-AN484)*(1-Settings!$B$17)-I484)/(T484*(1-AN484)*(1-Settings!$B$17))),"")</f>
        <v/>
      </c>
      <c r="L484" s="101">
        <f>IFERROR(IF(T484="","",(T484*(1-AO484)*(1-Settings!$C$17)-I484)/(T484*(1-AO484)*(1-Settings!$C$17))),"")</f>
        <v/>
      </c>
      <c r="M484" s="101">
        <f>IFERROR(IF(T484="","",(T484*(1-AP484)*(1-Settings!$D$17)-I484)/(T484*(1-AP484)*(1-Settings!$D$17))),"")</f>
        <v/>
      </c>
      <c r="N484" s="101">
        <f>IFERROR(IF(T484="","",(T484*(1-AQ484)*(1-Settings!$F$17)-I484)/(T484*(1-AQ484)*(1-Settings!$F$17))),"")</f>
        <v/>
      </c>
      <c r="O484" s="101">
        <f>IFERROR(IF(T484="","",(T484*(1-AR484)*(1-Settings!$G$17)-I484)/(T484*(1-AR484)*(1-Settings!$G$17))),"")</f>
        <v/>
      </c>
      <c r="P484" s="101">
        <f>IFERROR(IF(T484="","",(T484*(1-AS484)*(1-Settings!$H$17)-I484)/(T484*(1-AS484)*(1-Settings!$H$17))),"")</f>
        <v/>
      </c>
      <c r="Q484" s="101">
        <f>IFERROR(IF(T484="","",(T484*(1-AT484)*(1-Settings!$I$68)*(1-Settings!$I$17)-I484)/(T484*(1-AT484)*(1-Settings!$I$68)*(1-Settings!$I$17))),"")</f>
        <v/>
      </c>
      <c r="R484" s="91">
        <f>IFERROR(IF(OR(I484="",Z484&gt;=1,Settings!$B$17&gt;=1,AN484&gt;=1),"",IF(MOD(ROUND(I484/(1-Z484)/(1-Settings!$B$17)/(1-AN484),0),10)=0,ROUND(I484/(1-Z484)/(1-Settings!$B$17)/(1-AN484),0)-1,IF(MOD(ROUND(I484/(1-Z484)/(1-Settings!$B$17)/(1-AN484),0),10)&lt;=5,FLOOR(ROUND(I484/(1-Z484)/(1-Settings!$B$17)/(1-AN484),0),10)+6,FLOOR(ROUND(I484/(1-Z484)/(1-Settings!$B$17)/(1-AN484),0),10)+9))),"")</f>
        <v/>
      </c>
      <c r="S484" s="174">
        <f>R484*0.95</f>
        <v/>
      </c>
      <c r="T484" s="91">
        <f>IF(S484&lt;&gt;"", IF(MOD(S484,10)=0,S484-1,IF(MOD(S484,10)&lt;=5,FLOOR(S484,10)+6,FLOOR(S484,10)+9)), R484)</f>
        <v/>
      </c>
      <c r="U484" s="87" t="inlineStr">
        <is>
          <t>Основний</t>
        </is>
      </c>
      <c r="V484" s="88" t="n"/>
      <c r="W484" s="88" t="n"/>
      <c r="X484" s="89">
        <f>IFERROR(IF(OR(V484="",W484="",T484=""),"", IF(T484&gt;W484,"Дорогий",IF(T484&lt;V484,"Дешевий","У ринку"))),"")</f>
        <v/>
      </c>
      <c r="Y484" s="90" t="n"/>
      <c r="Z484" s="104">
        <f>CHOOSE(MATCH(IF($U484="","Основний",$U484),{"Трафіковий","Основний","Маржинальний","Сезонний","Стратегічний"},0),0.16,0.19,0.24,0.23,0.28)</f>
        <v/>
      </c>
      <c r="AA484" s="104">
        <f>CHOOSE(MATCH(IF($U484="","Основний",$U484),{"Трафіковий","Основний","Маржинальний","Сезонний","Стратегічний"},0),0.18,0.21,0.26,0.25,0.3)</f>
        <v/>
      </c>
      <c r="AB484" s="104">
        <f>CHOOSE(MATCH(IF($U484="","Основний",$U484),{"Трафіковий","Основний","Маржинальний","Сезонний","Стратегічний"},0),0.19,0.22,0.28,0.26,0.32)</f>
        <v/>
      </c>
      <c r="AC484" s="104">
        <f>CHOOSE(MATCH(IF($U484="","Основний",$U484),{"Трафіковий","Основний","Маржинальний","Сезонний","Стратегічний"},0),0.17,0.2,0.25,0.24,0.28)</f>
        <v/>
      </c>
      <c r="AD484" s="104">
        <f>CHOOSE(MATCH(IF($U484="","Основний",$U484),{"Трафіковий","Основний","Маржинальний","Сезонний","Стратегічний"},0),0.18,0.21,0.26,0.25,0.3)</f>
        <v/>
      </c>
      <c r="AE484" s="104">
        <f>CHOOSE(MATCH(IF($U484="","Основний",$U484),{"Трафіковий","Основний","Маржинальний","Сезонний","Стратегічний"},0),0.18,0.2,0.28,0.27,0.32)</f>
        <v/>
      </c>
      <c r="AF484" s="104">
        <f>CHOOSE(MATCH(IF($U484="","Основний",$U484),{"Трафіковий","Основний","Маржинальний","Сезонний","Стратегічний"},0),0.15,0.175,0.22,0.21,0.25)</f>
        <v/>
      </c>
      <c r="AG484" s="104">
        <f>CHOOSE(MATCH(IF($U484="","Основний",$U484),{"Трафіковий","Основний","Маржинальний","Сезонний","Стратегічний"},0),0.13,0.16,0.21,0.2,0.25)</f>
        <v/>
      </c>
      <c r="AH484" s="104">
        <f>CHOOSE(MATCH(IF($U484="","Основний",$U484),{"Трафіковий","Основний","Маржинальний","Сезонний","Стратегічний"},0),0.15,0.18,0.23,0.22,0.27)</f>
        <v/>
      </c>
      <c r="AI484" s="104">
        <f>CHOOSE(MATCH(IF($U484="","Основний",$U484),{"Трафіковий","Основний","Маржинальний","Сезонний","Стратегічний"},0),0.16,0.19,0.25,0.23,0.29)</f>
        <v/>
      </c>
      <c r="AJ484" s="104">
        <f>CHOOSE(MATCH(IF($U484="","Основний",$U484),{"Трафіковий","Основний","Маржинальний","Сезонний","Стратегічний"},0),0.14,0.17,0.22,0.21,0.25)</f>
        <v/>
      </c>
      <c r="AK484" s="104">
        <f>CHOOSE(MATCH(IF($U484="","Основний",$U484),{"Трафіковий","Основний","Маржинальний","Сезонний","Стратегічний"},0),0.15,0.18,0.23,0.22,0.27)</f>
        <v/>
      </c>
      <c r="AL484" s="104">
        <f>CHOOSE(MATCH(IF($U484="","Основний",$U484),{"Трафіковий","Основний","Маржинальний","Сезонний","Стратегічний"},0),0.15,0.17,0.25,0.24,0.29)</f>
        <v/>
      </c>
      <c r="AM484" s="104">
        <f>CHOOSE(MATCH(IF($U484="","Основний",$U484),{"Трафіковий","Основний","Маржинальний","Сезонний","Стратегічний"},0),0.12,0.145,0.19,0.18,0.22)</f>
        <v/>
      </c>
      <c r="AN484" s="157">
        <f>CHOOSE(MATCH(IF($U484="","Основний",$U484),{"Трафіковий","Основний","Маржинальний","Сезонний","Стратегічний"},0),Settings!$B$78,Settings!$B$80,Settings!$B$82,Settings!$B$84,Settings!$B$86)</f>
        <v/>
      </c>
      <c r="AO484" s="157">
        <f>CHOOSE(MATCH(IF($U484="","Основний",$U484),{"Трафіковий","Основний","Маржинальний","Сезонний","Стратегічний"},0),Settings!$C$78,Settings!$C$80,Settings!$C$82,Settings!$C$84,Settings!$C$86)</f>
        <v/>
      </c>
      <c r="AP484" s="157">
        <f>CHOOSE(MATCH(IF($U484="","Основний",$U484),{"Трафіковий","Основний","Маржинальний","Сезонний","Стратегічний"},0),Settings!$D$78,Settings!$D$80,Settings!$D$82,Settings!$D$84,Settings!$D$86)</f>
        <v/>
      </c>
      <c r="AQ484" s="157">
        <f>CHOOSE(MATCH(IF($U484="","Основний",$U484),{"Трафіковий","Основний","Маржинальний","Сезонний","Стратегічний"},0),Settings!$F$78,Settings!$F$80,Settings!$F$82,Settings!$F$84,Settings!$F$86)</f>
        <v/>
      </c>
      <c r="AR484" s="157">
        <f>CHOOSE(MATCH(IF($U484="","Основний",$U484),{"Трафіковий","Основний","Маржинальний","Сезонний","Стратегічний"},0),Settings!$G$78,Settings!$G$80,Settings!$G$82,Settings!$G$84,Settings!$G$86)</f>
        <v/>
      </c>
      <c r="AS484" s="157">
        <f>CHOOSE(MATCH(IF($U484="","Основний",$U484),{"Трафіковий","Основний","Маржинальний","Сезонний","Стратегічний"},0),Settings!$H$78,Settings!$H$80,Settings!$H$82,Settings!$H$84,Settings!$H$86)</f>
        <v/>
      </c>
      <c r="AT484" s="157">
        <f>CHOOSE(MATCH(IF($U484="","Основний",$U484),{"Трафіковий","Основний","Маржинальний","Сезонний","Стратегічний"},0),Settings!$I$78,Settings!$I$80,Settings!$I$82,Settings!$I$84,Settings!$I$86)</f>
        <v/>
      </c>
      <c r="AU484" s="171" t="n"/>
      <c r="AV484" t="n">
        <v>1.35</v>
      </c>
    </row>
    <row r="485">
      <c r="A485" s="33" t="inlineStr">
        <is>
          <t>NEW</t>
        </is>
      </c>
      <c r="B485" s="34" t="inlineStr">
        <is>
          <t>M0049N</t>
        </is>
      </c>
      <c r="C485" s="34" t="inlineStr">
        <is>
          <t>VOLTAGE TESTER VT-121</t>
        </is>
      </c>
      <c r="D485" s="34" t="inlineStr">
        <is>
          <t>Тестери, мультиметри</t>
        </is>
      </c>
      <c r="E485" s="33" t="inlineStr">
        <is>
          <t>PC</t>
        </is>
      </c>
      <c r="F485" s="94" t="n">
        <v>0.632</v>
      </c>
      <c r="G485" s="35" t="n">
        <v>9030337000</v>
      </c>
      <c r="H485" s="31" t="n">
        <v>1.3</v>
      </c>
      <c r="I485" s="84">
        <f>IFERROR(F485*Settings!$B$2*H485*IF(AND(ISNUMBER(E485),E485&gt;1),E485,1),"")</f>
        <v/>
      </c>
      <c r="J485" s="32">
        <f>Settings!$B$66</f>
        <v/>
      </c>
      <c r="K485" s="95">
        <f>IFERROR(IF(T485="","",(T485*(1-AN485)*(1-Settings!$B$17)-I485)/(T485*(1-AN485)*(1-Settings!$B$17))),"")</f>
        <v/>
      </c>
      <c r="L485" s="101">
        <f>IFERROR(IF(T485="","",(T485*(1-AO485)*(1-Settings!$C$17)-I485)/(T485*(1-AO485)*(1-Settings!$C$17))),"")</f>
        <v/>
      </c>
      <c r="M485" s="101">
        <f>IFERROR(IF(T485="","",(T485*(1-AP485)*(1-Settings!$D$17)-I485)/(T485*(1-AP485)*(1-Settings!$D$17))),"")</f>
        <v/>
      </c>
      <c r="N485" s="101">
        <f>IFERROR(IF(T485="","",(T485*(1-AQ485)*(1-Settings!$F$17)-I485)/(T485*(1-AQ485)*(1-Settings!$F$17))),"")</f>
        <v/>
      </c>
      <c r="O485" s="101">
        <f>IFERROR(IF(T485="","",(T485*(1-AR485)*(1-Settings!$G$17)-I485)/(T485*(1-AR485)*(1-Settings!$G$17))),"")</f>
        <v/>
      </c>
      <c r="P485" s="101">
        <f>IFERROR(IF(T485="","",(T485*(1-AS485)*(1-Settings!$H$17)-I485)/(T485*(1-AS485)*(1-Settings!$H$17))),"")</f>
        <v/>
      </c>
      <c r="Q485" s="101">
        <f>IFERROR(IF(T485="","",(T485*(1-AT485)*(1-Settings!$I$68)*(1-Settings!$I$17)-I485)/(T485*(1-AT485)*(1-Settings!$I$68)*(1-Settings!$I$17))),"")</f>
        <v/>
      </c>
      <c r="R485" s="91">
        <f>IFERROR(IF(OR(I485="",Z485&gt;=1,Settings!$B$17&gt;=1,AN485&gt;=1),"",IF(MOD(ROUND(I485/(1-Z485)/(1-Settings!$B$17)/(1-AN485),0),10)=0,ROUND(I485/(1-Z485)/(1-Settings!$B$17)/(1-AN485),0)-1,IF(MOD(ROUND(I485/(1-Z485)/(1-Settings!$B$17)/(1-AN485),0),10)&lt;=5,FLOOR(ROUND(I485/(1-Z485)/(1-Settings!$B$17)/(1-AN485),0),10)+6,FLOOR(ROUND(I485/(1-Z485)/(1-Settings!$B$17)/(1-AN485),0),10)+9))),"")</f>
        <v/>
      </c>
      <c r="S485" s="174">
        <f>R485*0.95</f>
        <v/>
      </c>
      <c r="T485" s="91">
        <f>IF(S485&lt;&gt;"", IF(MOD(S485,10)=0,S485-1,IF(MOD(S485,10)&lt;=5,FLOOR(S485,10)+6,FLOOR(S485,10)+9)), R485)</f>
        <v/>
      </c>
      <c r="U485" s="87" t="inlineStr">
        <is>
          <t>Основний</t>
        </is>
      </c>
      <c r="V485" s="88" t="n"/>
      <c r="W485" s="88" t="n"/>
      <c r="X485" s="89">
        <f>IFERROR(IF(OR(V485="",W485="",T485=""),"", IF(T485&gt;W485,"Дорогий",IF(T485&lt;V485,"Дешевий","У ринку"))),"")</f>
        <v/>
      </c>
      <c r="Y485" s="90" t="n"/>
      <c r="Z485" s="104">
        <f>CHOOSE(MATCH(IF($U485="","Основний",$U485),{"Трафіковий","Основний","Маржинальний","Сезонний","Стратегічний"},0),0.16,0.19,0.24,0.23,0.28)</f>
        <v/>
      </c>
      <c r="AA485" s="104">
        <f>CHOOSE(MATCH(IF($U485="","Основний",$U485),{"Трафіковий","Основний","Маржинальний","Сезонний","Стратегічний"},0),0.18,0.21,0.26,0.25,0.3)</f>
        <v/>
      </c>
      <c r="AB485" s="104">
        <f>CHOOSE(MATCH(IF($U485="","Основний",$U485),{"Трафіковий","Основний","Маржинальний","Сезонний","Стратегічний"},0),0.19,0.22,0.28,0.26,0.32)</f>
        <v/>
      </c>
      <c r="AC485" s="104">
        <f>CHOOSE(MATCH(IF($U485="","Основний",$U485),{"Трафіковий","Основний","Маржинальний","Сезонний","Стратегічний"},0),0.17,0.2,0.25,0.24,0.28)</f>
        <v/>
      </c>
      <c r="AD485" s="104">
        <f>CHOOSE(MATCH(IF($U485="","Основний",$U485),{"Трафіковий","Основний","Маржинальний","Сезонний","Стратегічний"},0),0.18,0.21,0.26,0.25,0.3)</f>
        <v/>
      </c>
      <c r="AE485" s="104">
        <f>CHOOSE(MATCH(IF($U485="","Основний",$U485),{"Трафіковий","Основний","Маржинальний","Сезонний","Стратегічний"},0),0.18,0.2,0.28,0.27,0.32)</f>
        <v/>
      </c>
      <c r="AF485" s="104">
        <f>CHOOSE(MATCH(IF($U485="","Основний",$U485),{"Трафіковий","Основний","Маржинальний","Сезонний","Стратегічний"},0),0.15,0.175,0.22,0.21,0.25)</f>
        <v/>
      </c>
      <c r="AG485" s="104">
        <f>CHOOSE(MATCH(IF($U485="","Основний",$U485),{"Трафіковий","Основний","Маржинальний","Сезонний","Стратегічний"},0),0.13,0.16,0.21,0.2,0.25)</f>
        <v/>
      </c>
      <c r="AH485" s="104">
        <f>CHOOSE(MATCH(IF($U485="","Основний",$U485),{"Трафіковий","Основний","Маржинальний","Сезонний","Стратегічний"},0),0.15,0.18,0.23,0.22,0.27)</f>
        <v/>
      </c>
      <c r="AI485" s="104">
        <f>CHOOSE(MATCH(IF($U485="","Основний",$U485),{"Трафіковий","Основний","Маржинальний","Сезонний","Стратегічний"},0),0.16,0.19,0.25,0.23,0.29)</f>
        <v/>
      </c>
      <c r="AJ485" s="104">
        <f>CHOOSE(MATCH(IF($U485="","Основний",$U485),{"Трафіковий","Основний","Маржинальний","Сезонний","Стратегічний"},0),0.14,0.17,0.22,0.21,0.25)</f>
        <v/>
      </c>
      <c r="AK485" s="104">
        <f>CHOOSE(MATCH(IF($U485="","Основний",$U485),{"Трафіковий","Основний","Маржинальний","Сезонний","Стратегічний"},0),0.15,0.18,0.23,0.22,0.27)</f>
        <v/>
      </c>
      <c r="AL485" s="104">
        <f>CHOOSE(MATCH(IF($U485="","Основний",$U485),{"Трафіковий","Основний","Маржинальний","Сезонний","Стратегічний"},0),0.15,0.17,0.25,0.24,0.29)</f>
        <v/>
      </c>
      <c r="AM485" s="104">
        <f>CHOOSE(MATCH(IF($U485="","Основний",$U485),{"Трафіковий","Основний","Маржинальний","Сезонний","Стратегічний"},0),0.12,0.145,0.19,0.18,0.22)</f>
        <v/>
      </c>
      <c r="AN485" s="157">
        <f>CHOOSE(MATCH(IF($U485="","Основний",$U485),{"Трафіковий","Основний","Маржинальний","Сезонний","Стратегічний"},0),Settings!$B$78,Settings!$B$80,Settings!$B$82,Settings!$B$84,Settings!$B$86)</f>
        <v/>
      </c>
      <c r="AO485" s="157">
        <f>CHOOSE(MATCH(IF($U485="","Основний",$U485),{"Трафіковий","Основний","Маржинальний","Сезонний","Стратегічний"},0),Settings!$C$78,Settings!$C$80,Settings!$C$82,Settings!$C$84,Settings!$C$86)</f>
        <v/>
      </c>
      <c r="AP485" s="157">
        <f>CHOOSE(MATCH(IF($U485="","Основний",$U485),{"Трафіковий","Основний","Маржинальний","Сезонний","Стратегічний"},0),Settings!$D$78,Settings!$D$80,Settings!$D$82,Settings!$D$84,Settings!$D$86)</f>
        <v/>
      </c>
      <c r="AQ485" s="157">
        <f>CHOOSE(MATCH(IF($U485="","Основний",$U485),{"Трафіковий","Основний","Маржинальний","Сезонний","Стратегічний"},0),Settings!$F$78,Settings!$F$80,Settings!$F$82,Settings!$F$84,Settings!$F$86)</f>
        <v/>
      </c>
      <c r="AR485" s="157">
        <f>CHOOSE(MATCH(IF($U485="","Основний",$U485),{"Трафіковий","Основний","Маржинальний","Сезонний","Стратегічний"},0),Settings!$G$78,Settings!$G$80,Settings!$G$82,Settings!$G$84,Settings!$G$86)</f>
        <v/>
      </c>
      <c r="AS485" s="157">
        <f>CHOOSE(MATCH(IF($U485="","Основний",$U485),{"Трафіковий","Основний","Маржинальний","Сезонний","Стратегічний"},0),Settings!$H$78,Settings!$H$80,Settings!$H$82,Settings!$H$84,Settings!$H$86)</f>
        <v/>
      </c>
      <c r="AT485" s="157">
        <f>CHOOSE(MATCH(IF($U485="","Основний",$U485),{"Трафіковий","Основний","Маржинальний","Сезонний","Стратегічний"},0),Settings!$I$78,Settings!$I$80,Settings!$I$82,Settings!$I$84,Settings!$I$86)</f>
        <v/>
      </c>
      <c r="AU485" s="171" t="n"/>
      <c r="AV485" t="n">
        <v>1.35</v>
      </c>
    </row>
    <row r="486">
      <c r="A486" s="28" t="n"/>
      <c r="B486" s="29" t="inlineStr">
        <is>
          <t>F61912</t>
        </is>
      </c>
      <c r="C486" s="29" t="inlineStr">
        <is>
          <t>TAPE PVC 19/10 BLACK</t>
        </is>
      </c>
      <c r="D486" s="29" t="inlineStr">
        <is>
          <t>Ізоляціна т а ініші стрічки</t>
        </is>
      </c>
      <c r="E486" s="28" t="inlineStr">
        <is>
          <t>PC</t>
        </is>
      </c>
      <c r="F486" s="93" t="n">
        <v>0.174</v>
      </c>
      <c r="G486" s="30" t="n">
        <v>3919101200</v>
      </c>
      <c r="H486" s="31" t="n">
        <v>1.35</v>
      </c>
      <c r="I486" s="84">
        <f>IFERROR(F486*Settings!$B$2*H486*IF(AND(ISNUMBER(E486),E486&gt;1),E486,1),"")</f>
        <v/>
      </c>
      <c r="J486" s="32">
        <f>Settings!$B$66</f>
        <v/>
      </c>
      <c r="K486" s="95">
        <f>IFERROR(IF(T486="","",(T486*(1-AN486)*(1-Settings!$B$17)-I486)/(T486*(1-AN486)*(1-Settings!$B$17))),"")</f>
        <v/>
      </c>
      <c r="L486" s="101">
        <f>IFERROR(IF(T486="","",(T486*(1-AO486)*(1-Settings!$C$17)-I486)/(T486*(1-AO486)*(1-Settings!$C$17))),"")</f>
        <v/>
      </c>
      <c r="M486" s="101">
        <f>IFERROR(IF(T486="","",(T486*(1-AP486)*(1-Settings!$D$17)-I486)/(T486*(1-AP486)*(1-Settings!$D$17))),"")</f>
        <v/>
      </c>
      <c r="N486" s="101">
        <f>IFERROR(IF(T486="","",(T486*(1-AQ486)*(1-Settings!$F$17)-I486)/(T486*(1-AQ486)*(1-Settings!$F$17))),"")</f>
        <v/>
      </c>
      <c r="O486" s="101">
        <f>IFERROR(IF(T486="","",(T486*(1-AR486)*(1-Settings!$G$17)-I486)/(T486*(1-AR486)*(1-Settings!$G$17))),"")</f>
        <v/>
      </c>
      <c r="P486" s="101">
        <f>IFERROR(IF(T486="","",(T486*(1-AS486)*(1-Settings!$H$17)-I486)/(T486*(1-AS486)*(1-Settings!$H$17))),"")</f>
        <v/>
      </c>
      <c r="Q486" s="101">
        <f>IFERROR(IF(T486="","",(T486*(1-AT486)*(1-Settings!$I$68)*(1-Settings!$I$17)-I486)/(T486*(1-AT486)*(1-Settings!$I$68)*(1-Settings!$I$17))),"")</f>
        <v/>
      </c>
      <c r="R486" s="91">
        <f>IFERROR(IF(OR(I486="",Z486&gt;=1,Settings!$B$17&gt;=1,AN486&gt;=1),"",IF(MOD(ROUND(I486/(1-Z486)/(1-Settings!$B$17)/(1-AN486),0),10)=0,ROUND(I486/(1-Z486)/(1-Settings!$B$17)/(1-AN486),0)-1,IF(MOD(ROUND(I486/(1-Z486)/(1-Settings!$B$17)/(1-AN486),0),10)&lt;=5,FLOOR(ROUND(I486/(1-Z486)/(1-Settings!$B$17)/(1-AN486),0),10)+6,FLOOR(ROUND(I486/(1-Z486)/(1-Settings!$B$17)/(1-AN486),0),10)+9))),"")</f>
        <v/>
      </c>
      <c r="S486" s="174" t="n"/>
      <c r="T486" s="91">
        <f>IF(S486&lt;&gt;"", IF(MOD(S486,10)=0,S486-1,IF(MOD(S486,10)&lt;=5,FLOOR(S486,10)+6,FLOOR(S486,10)+9)), R486)</f>
        <v/>
      </c>
      <c r="U486" s="87" t="inlineStr">
        <is>
          <t>Основний</t>
        </is>
      </c>
      <c r="V486" s="88" t="n"/>
      <c r="W486" s="88" t="n"/>
      <c r="X486" s="89">
        <f>IFERROR(IF(OR(V486="",W486="",T486=""),"", IF(T486&gt;W486,"Дорогий",IF(T486&lt;V486,"Дешевий","У ринку"))),"")</f>
        <v/>
      </c>
      <c r="Y486" s="90" t="n"/>
      <c r="Z486" s="104">
        <f>CHOOSE(MATCH(IF($U486="","Основний",$U486),{"Трафіковий","Основний","Маржинальний","Сезонний","Стратегічний"},0),0.16,0.19,0.24,0.23,0.28)</f>
        <v/>
      </c>
      <c r="AA486" s="104">
        <f>CHOOSE(MATCH(IF($U486="","Основний",$U486),{"Трафіковий","Основний","Маржинальний","Сезонний","Стратегічний"},0),0.18,0.21,0.26,0.25,0.3)</f>
        <v/>
      </c>
      <c r="AB486" s="104">
        <f>CHOOSE(MATCH(IF($U486="","Основний",$U486),{"Трафіковий","Основний","Маржинальний","Сезонний","Стратегічний"},0),0.19,0.22,0.28,0.26,0.32)</f>
        <v/>
      </c>
      <c r="AC486" s="104">
        <f>CHOOSE(MATCH(IF($U486="","Основний",$U486),{"Трафіковий","Основний","Маржинальний","Сезонний","Стратегічний"},0),0.17,0.2,0.25,0.24,0.28)</f>
        <v/>
      </c>
      <c r="AD486" s="104">
        <f>CHOOSE(MATCH(IF($U486="","Основний",$U486),{"Трафіковий","Основний","Маржинальний","Сезонний","Стратегічний"},0),0.18,0.21,0.26,0.25,0.3)</f>
        <v/>
      </c>
      <c r="AE486" s="104">
        <f>CHOOSE(MATCH(IF($U486="","Основний",$U486),{"Трафіковий","Основний","Маржинальний","Сезонний","Стратегічний"},0),0.18,0.2,0.28,0.27,0.32)</f>
        <v/>
      </c>
      <c r="AF486" s="104">
        <f>CHOOSE(MATCH(IF($U486="","Основний",$U486),{"Трафіковий","Основний","Маржинальний","Сезонний","Стратегічний"},0),0.15,0.175,0.22,0.21,0.25)</f>
        <v/>
      </c>
      <c r="AG486" s="104">
        <f>CHOOSE(MATCH(IF($U486="","Основний",$U486),{"Трафіковий","Основний","Маржинальний","Сезонний","Стратегічний"},0),0.13,0.16,0.21,0.2,0.25)</f>
        <v/>
      </c>
      <c r="AH486" s="104">
        <f>CHOOSE(MATCH(IF($U486="","Основний",$U486),{"Трафіковий","Основний","Маржинальний","Сезонний","Стратегічний"},0),0.15,0.18,0.23,0.22,0.27)</f>
        <v/>
      </c>
      <c r="AI486" s="104">
        <f>CHOOSE(MATCH(IF($U486="","Основний",$U486),{"Трафіковий","Основний","Маржинальний","Сезонний","Стратегічний"},0),0.16,0.19,0.25,0.23,0.29)</f>
        <v/>
      </c>
      <c r="AJ486" s="104">
        <f>CHOOSE(MATCH(IF($U486="","Основний",$U486),{"Трафіковий","Основний","Маржинальний","Сезонний","Стратегічний"},0),0.14,0.17,0.22,0.21,0.25)</f>
        <v/>
      </c>
      <c r="AK486" s="104">
        <f>CHOOSE(MATCH(IF($U486="","Основний",$U486),{"Трафіковий","Основний","Маржинальний","Сезонний","Стратегічний"},0),0.15,0.18,0.23,0.22,0.27)</f>
        <v/>
      </c>
      <c r="AL486" s="104">
        <f>CHOOSE(MATCH(IF($U486="","Основний",$U486),{"Трафіковий","Основний","Маржинальний","Сезонний","Стратегічний"},0),0.15,0.17,0.25,0.24,0.29)</f>
        <v/>
      </c>
      <c r="AM486" s="104">
        <f>CHOOSE(MATCH(IF($U486="","Основний",$U486),{"Трафіковий","Основний","Маржинальний","Сезонний","Стратегічний"},0),0.12,0.145,0.19,0.18,0.22)</f>
        <v/>
      </c>
      <c r="AN486" s="157">
        <f>CHOOSE(MATCH(IF($U486="","Основний",$U486),{"Трафіковий","Основний","Маржинальний","Сезонний","Стратегічний"},0),Settings!$B$78,Settings!$B$80,Settings!$B$82,Settings!$B$84,Settings!$B$86)</f>
        <v/>
      </c>
      <c r="AO486" s="157">
        <f>CHOOSE(MATCH(IF($U486="","Основний",$U486),{"Трафіковий","Основний","Маржинальний","Сезонний","Стратегічний"},0),Settings!$C$78,Settings!$C$80,Settings!$C$82,Settings!$C$84,Settings!$C$86)</f>
        <v/>
      </c>
      <c r="AP486" s="157">
        <f>CHOOSE(MATCH(IF($U486="","Основний",$U486),{"Трафіковий","Основний","Маржинальний","Сезонний","Стратегічний"},0),Settings!$D$78,Settings!$D$80,Settings!$D$82,Settings!$D$84,Settings!$D$86)</f>
        <v/>
      </c>
      <c r="AQ486" s="157">
        <f>CHOOSE(MATCH(IF($U486="","Основний",$U486),{"Трафіковий","Основний","Маржинальний","Сезонний","Стратегічний"},0),Settings!$F$78,Settings!$F$80,Settings!$F$82,Settings!$F$84,Settings!$F$86)</f>
        <v/>
      </c>
      <c r="AR486" s="157">
        <f>CHOOSE(MATCH(IF($U486="","Основний",$U486),{"Трафіковий","Основний","Маржинальний","Сезонний","Стратегічний"},0),Settings!$G$78,Settings!$G$80,Settings!$G$82,Settings!$G$84,Settings!$G$86)</f>
        <v/>
      </c>
      <c r="AS486" s="157">
        <f>CHOOSE(MATCH(IF($U486="","Основний",$U486),{"Трафіковий","Основний","Маржинальний","Сезонний","Стратегічний"},0),Settings!$H$78,Settings!$H$80,Settings!$H$82,Settings!$H$84,Settings!$H$86)</f>
        <v/>
      </c>
      <c r="AT486" s="157">
        <f>CHOOSE(MATCH(IF($U486="","Основний",$U486),{"Трафіковий","Основний","Маржинальний","Сезонний","Стратегічний"},0),Settings!$I$78,Settings!$I$80,Settings!$I$82,Settings!$I$84,Settings!$I$86)</f>
        <v/>
      </c>
      <c r="AU486" s="171" t="n"/>
      <c r="AV486" t="n">
        <v>1.35</v>
      </c>
    </row>
    <row r="487">
      <c r="A487" s="33" t="n"/>
      <c r="B487" s="34" t="inlineStr">
        <is>
          <t>F62512</t>
        </is>
      </c>
      <c r="C487" s="34" t="inlineStr">
        <is>
          <t>TAPE PVC 25/10 BLACK</t>
        </is>
      </c>
      <c r="D487" s="34" t="inlineStr">
        <is>
          <t>Ізоляціна т а ініші стрічки</t>
        </is>
      </c>
      <c r="E487" s="33" t="inlineStr">
        <is>
          <t>PC</t>
        </is>
      </c>
      <c r="F487" s="94" t="n">
        <v>0.224</v>
      </c>
      <c r="G487" s="35" t="n">
        <v>3919101200</v>
      </c>
      <c r="H487" s="31" t="n">
        <v>1.35</v>
      </c>
      <c r="I487" s="84">
        <f>IFERROR(F487*Settings!$B$2*H487*IF(AND(ISNUMBER(E487),E487&gt;1),E487,1),"")</f>
        <v/>
      </c>
      <c r="J487" s="32">
        <f>Settings!$B$66</f>
        <v/>
      </c>
      <c r="K487" s="95">
        <f>IFERROR(IF(T487="","",(T487*(1-AN487)*(1-Settings!$B$17)-I487)/(T487*(1-AN487)*(1-Settings!$B$17))),"")</f>
        <v/>
      </c>
      <c r="L487" s="101">
        <f>IFERROR(IF(T487="","",(T487*(1-AO487)*(1-Settings!$C$17)-I487)/(T487*(1-AO487)*(1-Settings!$C$17))),"")</f>
        <v/>
      </c>
      <c r="M487" s="101">
        <f>IFERROR(IF(T487="","",(T487*(1-AP487)*(1-Settings!$D$17)-I487)/(T487*(1-AP487)*(1-Settings!$D$17))),"")</f>
        <v/>
      </c>
      <c r="N487" s="101">
        <f>IFERROR(IF(T487="","",(T487*(1-AQ487)*(1-Settings!$F$17)-I487)/(T487*(1-AQ487)*(1-Settings!$F$17))),"")</f>
        <v/>
      </c>
      <c r="O487" s="101">
        <f>IFERROR(IF(T487="","",(T487*(1-AR487)*(1-Settings!$G$17)-I487)/(T487*(1-AR487)*(1-Settings!$G$17))),"")</f>
        <v/>
      </c>
      <c r="P487" s="101">
        <f>IFERROR(IF(T487="","",(T487*(1-AS487)*(1-Settings!$H$17)-I487)/(T487*(1-AS487)*(1-Settings!$H$17))),"")</f>
        <v/>
      </c>
      <c r="Q487" s="101">
        <f>IFERROR(IF(T487="","",(T487*(1-AT487)*(1-Settings!$I$68)*(1-Settings!$I$17)-I487)/(T487*(1-AT487)*(1-Settings!$I$68)*(1-Settings!$I$17))),"")</f>
        <v/>
      </c>
      <c r="R487" s="91">
        <f>IFERROR(IF(OR(I487="",Z487&gt;=1,Settings!$B$17&gt;=1,AN487&gt;=1),"",IF(MOD(ROUND(I487/(1-Z487)/(1-Settings!$B$17)/(1-AN487),0),10)=0,ROUND(I487/(1-Z487)/(1-Settings!$B$17)/(1-AN487),0)-1,IF(MOD(ROUND(I487/(1-Z487)/(1-Settings!$B$17)/(1-AN487),0),10)&lt;=5,FLOOR(ROUND(I487/(1-Z487)/(1-Settings!$B$17)/(1-AN487),0),10)+6,FLOOR(ROUND(I487/(1-Z487)/(1-Settings!$B$17)/(1-AN487),0),10)+9))),"")</f>
        <v/>
      </c>
      <c r="S487" s="174" t="n"/>
      <c r="T487" s="91">
        <f>IF(S487&lt;&gt;"", IF(MOD(S487,10)=0,S487-1,IF(MOD(S487,10)&lt;=5,FLOOR(S487,10)+6,FLOOR(S487,10)+9)), R487)</f>
        <v/>
      </c>
      <c r="U487" s="87" t="inlineStr">
        <is>
          <t>Основний</t>
        </is>
      </c>
      <c r="V487" s="88" t="n"/>
      <c r="W487" s="88" t="n"/>
      <c r="X487" s="89">
        <f>IFERROR(IF(OR(V487="",W487="",T487=""),"", IF(T487&gt;W487,"Дорогий",IF(T487&lt;V487,"Дешевий","У ринку"))),"")</f>
        <v/>
      </c>
      <c r="Y487" s="90" t="n"/>
      <c r="Z487" s="104">
        <f>CHOOSE(MATCH(IF($U487="","Основний",$U487),{"Трафіковий","Основний","Маржинальний","Сезонний","Стратегічний"},0),0.16,0.19,0.24,0.23,0.28)</f>
        <v/>
      </c>
      <c r="AA487" s="104">
        <f>CHOOSE(MATCH(IF($U487="","Основний",$U487),{"Трафіковий","Основний","Маржинальний","Сезонний","Стратегічний"},0),0.18,0.21,0.26,0.25,0.3)</f>
        <v/>
      </c>
      <c r="AB487" s="104">
        <f>CHOOSE(MATCH(IF($U487="","Основний",$U487),{"Трафіковий","Основний","Маржинальний","Сезонний","Стратегічний"},0),0.19,0.22,0.28,0.26,0.32)</f>
        <v/>
      </c>
      <c r="AC487" s="104">
        <f>CHOOSE(MATCH(IF($U487="","Основний",$U487),{"Трафіковий","Основний","Маржинальний","Сезонний","Стратегічний"},0),0.17,0.2,0.25,0.24,0.28)</f>
        <v/>
      </c>
      <c r="AD487" s="104">
        <f>CHOOSE(MATCH(IF($U487="","Основний",$U487),{"Трафіковий","Основний","Маржинальний","Сезонний","Стратегічний"},0),0.18,0.21,0.26,0.25,0.3)</f>
        <v/>
      </c>
      <c r="AE487" s="104">
        <f>CHOOSE(MATCH(IF($U487="","Основний",$U487),{"Трафіковий","Основний","Маржинальний","Сезонний","Стратегічний"},0),0.18,0.2,0.28,0.27,0.32)</f>
        <v/>
      </c>
      <c r="AF487" s="104">
        <f>CHOOSE(MATCH(IF($U487="","Основний",$U487),{"Трафіковий","Основний","Маржинальний","Сезонний","Стратегічний"},0),0.15,0.175,0.22,0.21,0.25)</f>
        <v/>
      </c>
      <c r="AG487" s="104">
        <f>CHOOSE(MATCH(IF($U487="","Основний",$U487),{"Трафіковий","Основний","Маржинальний","Сезонний","Стратегічний"},0),0.13,0.16,0.21,0.2,0.25)</f>
        <v/>
      </c>
      <c r="AH487" s="104">
        <f>CHOOSE(MATCH(IF($U487="","Основний",$U487),{"Трафіковий","Основний","Маржинальний","Сезонний","Стратегічний"},0),0.15,0.18,0.23,0.22,0.27)</f>
        <v/>
      </c>
      <c r="AI487" s="104">
        <f>CHOOSE(MATCH(IF($U487="","Основний",$U487),{"Трафіковий","Основний","Маржинальний","Сезонний","Стратегічний"},0),0.16,0.19,0.25,0.23,0.29)</f>
        <v/>
      </c>
      <c r="AJ487" s="104">
        <f>CHOOSE(MATCH(IF($U487="","Основний",$U487),{"Трафіковий","Основний","Маржинальний","Сезонний","Стратегічний"},0),0.14,0.17,0.22,0.21,0.25)</f>
        <v/>
      </c>
      <c r="AK487" s="104">
        <f>CHOOSE(MATCH(IF($U487="","Основний",$U487),{"Трафіковий","Основний","Маржинальний","Сезонний","Стратегічний"},0),0.15,0.18,0.23,0.22,0.27)</f>
        <v/>
      </c>
      <c r="AL487" s="104">
        <f>CHOOSE(MATCH(IF($U487="","Основний",$U487),{"Трафіковий","Основний","Маржинальний","Сезонний","Стратегічний"},0),0.15,0.17,0.25,0.24,0.29)</f>
        <v/>
      </c>
      <c r="AM487" s="104">
        <f>CHOOSE(MATCH(IF($U487="","Основний",$U487),{"Трафіковий","Основний","Маржинальний","Сезонний","Стратегічний"},0),0.12,0.145,0.19,0.18,0.22)</f>
        <v/>
      </c>
      <c r="AN487" s="157">
        <f>CHOOSE(MATCH(IF($U487="","Основний",$U487),{"Трафіковий","Основний","Маржинальний","Сезонний","Стратегічний"},0),Settings!$B$78,Settings!$B$80,Settings!$B$82,Settings!$B$84,Settings!$B$86)</f>
        <v/>
      </c>
      <c r="AO487" s="157">
        <f>CHOOSE(MATCH(IF($U487="","Основний",$U487),{"Трафіковий","Основний","Маржинальний","Сезонний","Стратегічний"},0),Settings!$C$78,Settings!$C$80,Settings!$C$82,Settings!$C$84,Settings!$C$86)</f>
        <v/>
      </c>
      <c r="AP487" s="157">
        <f>CHOOSE(MATCH(IF($U487="","Основний",$U487),{"Трафіковий","Основний","Маржинальний","Сезонний","Стратегічний"},0),Settings!$D$78,Settings!$D$80,Settings!$D$82,Settings!$D$84,Settings!$D$86)</f>
        <v/>
      </c>
      <c r="AQ487" s="157">
        <f>CHOOSE(MATCH(IF($U487="","Основний",$U487),{"Трафіковий","Основний","Маржинальний","Сезонний","Стратегічний"},0),Settings!$F$78,Settings!$F$80,Settings!$F$82,Settings!$F$84,Settings!$F$86)</f>
        <v/>
      </c>
      <c r="AR487" s="157">
        <f>CHOOSE(MATCH(IF($U487="","Основний",$U487),{"Трафіковий","Основний","Маржинальний","Сезонний","Стратегічний"},0),Settings!$G$78,Settings!$G$80,Settings!$G$82,Settings!$G$84,Settings!$G$86)</f>
        <v/>
      </c>
      <c r="AS487" s="157">
        <f>CHOOSE(MATCH(IF($U487="","Основний",$U487),{"Трафіковий","Основний","Маржинальний","Сезонний","Стратегічний"},0),Settings!$H$78,Settings!$H$80,Settings!$H$82,Settings!$H$84,Settings!$H$86)</f>
        <v/>
      </c>
      <c r="AT487" s="157">
        <f>CHOOSE(MATCH(IF($U487="","Основний",$U487),{"Трафіковий","Основний","Маржинальний","Сезонний","Стратегічний"},0),Settings!$I$78,Settings!$I$80,Settings!$I$82,Settings!$I$84,Settings!$I$86)</f>
        <v/>
      </c>
      <c r="AU487" s="171" t="n"/>
      <c r="AV487" t="n">
        <v>1.35</v>
      </c>
    </row>
    <row r="488">
      <c r="A488" s="28" t="n"/>
      <c r="B488" s="29" t="inlineStr">
        <is>
          <t>F61511</t>
        </is>
      </c>
      <c r="C488" s="29" t="inlineStr">
        <is>
          <t>TAPE PVC 15/10 WHITE</t>
        </is>
      </c>
      <c r="D488" s="29" t="inlineStr">
        <is>
          <t>Ізоляціна т а ініші стрічки</t>
        </is>
      </c>
      <c r="E488" s="28" t="inlineStr">
        <is>
          <t>PC</t>
        </is>
      </c>
      <c r="F488" s="93" t="n">
        <v>0.144</v>
      </c>
      <c r="G488" s="30" t="n">
        <v>3919101200</v>
      </c>
      <c r="H488" s="31" t="n">
        <v>1.35</v>
      </c>
      <c r="I488" s="84">
        <f>IFERROR(F488*Settings!$B$2*H488*IF(AND(ISNUMBER(E488),E488&gt;1),E488,1),"")</f>
        <v/>
      </c>
      <c r="J488" s="32">
        <f>Settings!$B$66</f>
        <v/>
      </c>
      <c r="K488" s="95">
        <f>IFERROR(IF(T488="","",(T488*(1-AN488)*(1-Settings!$B$17)-I488)/(T488*(1-AN488)*(1-Settings!$B$17))),"")</f>
        <v/>
      </c>
      <c r="L488" s="101">
        <f>IFERROR(IF(T488="","",(T488*(1-AO488)*(1-Settings!$C$17)-I488)/(T488*(1-AO488)*(1-Settings!$C$17))),"")</f>
        <v/>
      </c>
      <c r="M488" s="101">
        <f>IFERROR(IF(T488="","",(T488*(1-AP488)*(1-Settings!$D$17)-I488)/(T488*(1-AP488)*(1-Settings!$D$17))),"")</f>
        <v/>
      </c>
      <c r="N488" s="101">
        <f>IFERROR(IF(T488="","",(T488*(1-AQ488)*(1-Settings!$F$17)-I488)/(T488*(1-AQ488)*(1-Settings!$F$17))),"")</f>
        <v/>
      </c>
      <c r="O488" s="101">
        <f>IFERROR(IF(T488="","",(T488*(1-AR488)*(1-Settings!$G$17)-I488)/(T488*(1-AR488)*(1-Settings!$G$17))),"")</f>
        <v/>
      </c>
      <c r="P488" s="101">
        <f>IFERROR(IF(T488="","",(T488*(1-AS488)*(1-Settings!$H$17)-I488)/(T488*(1-AS488)*(1-Settings!$H$17))),"")</f>
        <v/>
      </c>
      <c r="Q488" s="101">
        <f>IFERROR(IF(T488="","",(T488*(1-AT488)*(1-Settings!$I$68)*(1-Settings!$I$17)-I488)/(T488*(1-AT488)*(1-Settings!$I$68)*(1-Settings!$I$17))),"")</f>
        <v/>
      </c>
      <c r="R488" s="91">
        <f>IFERROR(IF(OR(I488="",Z488&gt;=1,Settings!$B$17&gt;=1,AN488&gt;=1),"",IF(MOD(ROUND(I488/(1-Z488)/(1-Settings!$B$17)/(1-AN488),0),10)=0,ROUND(I488/(1-Z488)/(1-Settings!$B$17)/(1-AN488),0)-1,IF(MOD(ROUND(I488/(1-Z488)/(1-Settings!$B$17)/(1-AN488),0),10)&lt;=5,FLOOR(ROUND(I488/(1-Z488)/(1-Settings!$B$17)/(1-AN488),0),10)+6,FLOOR(ROUND(I488/(1-Z488)/(1-Settings!$B$17)/(1-AN488),0),10)+9))),"")</f>
        <v/>
      </c>
      <c r="S488" s="174" t="n"/>
      <c r="T488" s="91">
        <f>IF(S488&lt;&gt;"", IF(MOD(S488,10)=0,S488-1,IF(MOD(S488,10)&lt;=5,FLOOR(S488,10)+6,FLOOR(S488,10)+9)), R488)</f>
        <v/>
      </c>
      <c r="U488" s="87" t="inlineStr">
        <is>
          <t>Основний</t>
        </is>
      </c>
      <c r="V488" s="88" t="n"/>
      <c r="W488" s="88" t="n"/>
      <c r="X488" s="89">
        <f>IFERROR(IF(OR(V488="",W488="",T488=""),"", IF(T488&gt;W488,"Дорогий",IF(T488&lt;V488,"Дешевий","У ринку"))),"")</f>
        <v/>
      </c>
      <c r="Y488" s="90" t="n"/>
      <c r="Z488" s="104">
        <f>CHOOSE(MATCH(IF($U488="","Основний",$U488),{"Трафіковий","Основний","Маржинальний","Сезонний","Стратегічний"},0),0.16,0.19,0.24,0.23,0.28)</f>
        <v/>
      </c>
      <c r="AA488" s="104">
        <f>CHOOSE(MATCH(IF($U488="","Основний",$U488),{"Трафіковий","Основний","Маржинальний","Сезонний","Стратегічний"},0),0.18,0.21,0.26,0.25,0.3)</f>
        <v/>
      </c>
      <c r="AB488" s="104">
        <f>CHOOSE(MATCH(IF($U488="","Основний",$U488),{"Трафіковий","Основний","Маржинальний","Сезонний","Стратегічний"},0),0.19,0.22,0.28,0.26,0.32)</f>
        <v/>
      </c>
      <c r="AC488" s="104">
        <f>CHOOSE(MATCH(IF($U488="","Основний",$U488),{"Трафіковий","Основний","Маржинальний","Сезонний","Стратегічний"},0),0.17,0.2,0.25,0.24,0.28)</f>
        <v/>
      </c>
      <c r="AD488" s="104">
        <f>CHOOSE(MATCH(IF($U488="","Основний",$U488),{"Трафіковий","Основний","Маржинальний","Сезонний","Стратегічний"},0),0.18,0.21,0.26,0.25,0.3)</f>
        <v/>
      </c>
      <c r="AE488" s="104">
        <f>CHOOSE(MATCH(IF($U488="","Основний",$U488),{"Трафіковий","Основний","Маржинальний","Сезонний","Стратегічний"},0),0.18,0.2,0.28,0.27,0.32)</f>
        <v/>
      </c>
      <c r="AF488" s="104">
        <f>CHOOSE(MATCH(IF($U488="","Основний",$U488),{"Трафіковий","Основний","Маржинальний","Сезонний","Стратегічний"},0),0.15,0.175,0.22,0.21,0.25)</f>
        <v/>
      </c>
      <c r="AG488" s="104">
        <f>CHOOSE(MATCH(IF($U488="","Основний",$U488),{"Трафіковий","Основний","Маржинальний","Сезонний","Стратегічний"},0),0.13,0.16,0.21,0.2,0.25)</f>
        <v/>
      </c>
      <c r="AH488" s="104">
        <f>CHOOSE(MATCH(IF($U488="","Основний",$U488),{"Трафіковий","Основний","Маржинальний","Сезонний","Стратегічний"},0),0.15,0.18,0.23,0.22,0.27)</f>
        <v/>
      </c>
      <c r="AI488" s="104">
        <f>CHOOSE(MATCH(IF($U488="","Основний",$U488),{"Трафіковий","Основний","Маржинальний","Сезонний","Стратегічний"},0),0.16,0.19,0.25,0.23,0.29)</f>
        <v/>
      </c>
      <c r="AJ488" s="104">
        <f>CHOOSE(MATCH(IF($U488="","Основний",$U488),{"Трафіковий","Основний","Маржинальний","Сезонний","Стратегічний"},0),0.14,0.17,0.22,0.21,0.25)</f>
        <v/>
      </c>
      <c r="AK488" s="104">
        <f>CHOOSE(MATCH(IF($U488="","Основний",$U488),{"Трафіковий","Основний","Маржинальний","Сезонний","Стратегічний"},0),0.15,0.18,0.23,0.22,0.27)</f>
        <v/>
      </c>
      <c r="AL488" s="104">
        <f>CHOOSE(MATCH(IF($U488="","Основний",$U488),{"Трафіковий","Основний","Маржинальний","Сезонний","Стратегічний"},0),0.15,0.17,0.25,0.24,0.29)</f>
        <v/>
      </c>
      <c r="AM488" s="104">
        <f>CHOOSE(MATCH(IF($U488="","Основний",$U488),{"Трафіковий","Основний","Маржинальний","Сезонний","Стратегічний"},0),0.12,0.145,0.19,0.18,0.22)</f>
        <v/>
      </c>
      <c r="AN488" s="157">
        <f>CHOOSE(MATCH(IF($U488="","Основний",$U488),{"Трафіковий","Основний","Маржинальний","Сезонний","Стратегічний"},0),Settings!$B$78,Settings!$B$80,Settings!$B$82,Settings!$B$84,Settings!$B$86)</f>
        <v/>
      </c>
      <c r="AO488" s="157">
        <f>CHOOSE(MATCH(IF($U488="","Основний",$U488),{"Трафіковий","Основний","Маржинальний","Сезонний","Стратегічний"},0),Settings!$C$78,Settings!$C$80,Settings!$C$82,Settings!$C$84,Settings!$C$86)</f>
        <v/>
      </c>
      <c r="AP488" s="157">
        <f>CHOOSE(MATCH(IF($U488="","Основний",$U488),{"Трафіковий","Основний","Маржинальний","Сезонний","Стратегічний"},0),Settings!$D$78,Settings!$D$80,Settings!$D$82,Settings!$D$84,Settings!$D$86)</f>
        <v/>
      </c>
      <c r="AQ488" s="157">
        <f>CHOOSE(MATCH(IF($U488="","Основний",$U488),{"Трафіковий","Основний","Маржинальний","Сезонний","Стратегічний"},0),Settings!$F$78,Settings!$F$80,Settings!$F$82,Settings!$F$84,Settings!$F$86)</f>
        <v/>
      </c>
      <c r="AR488" s="157">
        <f>CHOOSE(MATCH(IF($U488="","Основний",$U488),{"Трафіковий","Основний","Маржинальний","Сезонний","Стратегічний"},0),Settings!$G$78,Settings!$G$80,Settings!$G$82,Settings!$G$84,Settings!$G$86)</f>
        <v/>
      </c>
      <c r="AS488" s="157">
        <f>CHOOSE(MATCH(IF($U488="","Основний",$U488),{"Трафіковий","Основний","Маржинальний","Сезонний","Стратегічний"},0),Settings!$H$78,Settings!$H$80,Settings!$H$82,Settings!$H$84,Settings!$H$86)</f>
        <v/>
      </c>
      <c r="AT488" s="157">
        <f>CHOOSE(MATCH(IF($U488="","Основний",$U488),{"Трафіковий","Основний","Маржинальний","Сезонний","Стратегічний"},0),Settings!$I$78,Settings!$I$80,Settings!$I$82,Settings!$I$84,Settings!$I$86)</f>
        <v/>
      </c>
      <c r="AU488" s="171" t="n"/>
      <c r="AV488" t="n">
        <v>1.35</v>
      </c>
    </row>
    <row r="489">
      <c r="A489" s="33" t="n"/>
      <c r="B489" s="34" t="inlineStr">
        <is>
          <t>F61512</t>
        </is>
      </c>
      <c r="C489" s="34" t="inlineStr">
        <is>
          <t>TAPE PVC 15/10 BLACK</t>
        </is>
      </c>
      <c r="D489" s="34" t="inlineStr">
        <is>
          <t>Ізоляціна т а ініші стрічки</t>
        </is>
      </c>
      <c r="E489" s="33" t="inlineStr">
        <is>
          <t>PC</t>
        </is>
      </c>
      <c r="F489" s="94" t="n">
        <v>0.144</v>
      </c>
      <c r="G489" s="35" t="n">
        <v>3919101200</v>
      </c>
      <c r="H489" s="31" t="n">
        <v>1.35</v>
      </c>
      <c r="I489" s="84">
        <f>IFERROR(F489*Settings!$B$2*H489*IF(AND(ISNUMBER(E489),E489&gt;1),E489,1),"")</f>
        <v/>
      </c>
      <c r="J489" s="32">
        <f>Settings!$B$66</f>
        <v/>
      </c>
      <c r="K489" s="95">
        <f>IFERROR(IF(T489="","",(T489*(1-AN489)*(1-Settings!$B$17)-I489)/(T489*(1-AN489)*(1-Settings!$B$17))),"")</f>
        <v/>
      </c>
      <c r="L489" s="101">
        <f>IFERROR(IF(T489="","",(T489*(1-AO489)*(1-Settings!$C$17)-I489)/(T489*(1-AO489)*(1-Settings!$C$17))),"")</f>
        <v/>
      </c>
      <c r="M489" s="101">
        <f>IFERROR(IF(T489="","",(T489*(1-AP489)*(1-Settings!$D$17)-I489)/(T489*(1-AP489)*(1-Settings!$D$17))),"")</f>
        <v/>
      </c>
      <c r="N489" s="101">
        <f>IFERROR(IF(T489="","",(T489*(1-AQ489)*(1-Settings!$F$17)-I489)/(T489*(1-AQ489)*(1-Settings!$F$17))),"")</f>
        <v/>
      </c>
      <c r="O489" s="101">
        <f>IFERROR(IF(T489="","",(T489*(1-AR489)*(1-Settings!$G$17)-I489)/(T489*(1-AR489)*(1-Settings!$G$17))),"")</f>
        <v/>
      </c>
      <c r="P489" s="101">
        <f>IFERROR(IF(T489="","",(T489*(1-AS489)*(1-Settings!$H$17)-I489)/(T489*(1-AS489)*(1-Settings!$H$17))),"")</f>
        <v/>
      </c>
      <c r="Q489" s="101">
        <f>IFERROR(IF(T489="","",(T489*(1-AT489)*(1-Settings!$I$68)*(1-Settings!$I$17)-I489)/(T489*(1-AT489)*(1-Settings!$I$68)*(1-Settings!$I$17))),"")</f>
        <v/>
      </c>
      <c r="R489" s="91">
        <f>IFERROR(IF(OR(I489="",Z489&gt;=1,Settings!$B$17&gt;=1,AN489&gt;=1),"",IF(MOD(ROUND(I489/(1-Z489)/(1-Settings!$B$17)/(1-AN489),0),10)=0,ROUND(I489/(1-Z489)/(1-Settings!$B$17)/(1-AN489),0)-1,IF(MOD(ROUND(I489/(1-Z489)/(1-Settings!$B$17)/(1-AN489),0),10)&lt;=5,FLOOR(ROUND(I489/(1-Z489)/(1-Settings!$B$17)/(1-AN489),0),10)+6,FLOOR(ROUND(I489/(1-Z489)/(1-Settings!$B$17)/(1-AN489),0),10)+9))),"")</f>
        <v/>
      </c>
      <c r="S489" s="174" t="n"/>
      <c r="T489" s="91">
        <f>IF(S489&lt;&gt;"", IF(MOD(S489,10)=0,S489-1,IF(MOD(S489,10)&lt;=5,FLOOR(S489,10)+6,FLOOR(S489,10)+9)), R489)</f>
        <v/>
      </c>
      <c r="U489" s="87" t="inlineStr">
        <is>
          <t>Основний</t>
        </is>
      </c>
      <c r="V489" s="88" t="n"/>
      <c r="W489" s="88" t="n"/>
      <c r="X489" s="89">
        <f>IFERROR(IF(OR(V489="",W489="",T489=""),"", IF(T489&gt;W489,"Дорогий",IF(T489&lt;V489,"Дешевий","У ринку"))),"")</f>
        <v/>
      </c>
      <c r="Y489" s="90" t="n"/>
      <c r="Z489" s="104">
        <f>CHOOSE(MATCH(IF($U489="","Основний",$U489),{"Трафіковий","Основний","Маржинальний","Сезонний","Стратегічний"},0),0.16,0.19,0.24,0.23,0.28)</f>
        <v/>
      </c>
      <c r="AA489" s="104">
        <f>CHOOSE(MATCH(IF($U489="","Основний",$U489),{"Трафіковий","Основний","Маржинальний","Сезонний","Стратегічний"},0),0.18,0.21,0.26,0.25,0.3)</f>
        <v/>
      </c>
      <c r="AB489" s="104">
        <f>CHOOSE(MATCH(IF($U489="","Основний",$U489),{"Трафіковий","Основний","Маржинальний","Сезонний","Стратегічний"},0),0.19,0.22,0.28,0.26,0.32)</f>
        <v/>
      </c>
      <c r="AC489" s="104">
        <f>CHOOSE(MATCH(IF($U489="","Основний",$U489),{"Трафіковий","Основний","Маржинальний","Сезонний","Стратегічний"},0),0.17,0.2,0.25,0.24,0.28)</f>
        <v/>
      </c>
      <c r="AD489" s="104">
        <f>CHOOSE(MATCH(IF($U489="","Основний",$U489),{"Трафіковий","Основний","Маржинальний","Сезонний","Стратегічний"},0),0.18,0.21,0.26,0.25,0.3)</f>
        <v/>
      </c>
      <c r="AE489" s="104">
        <f>CHOOSE(MATCH(IF($U489="","Основний",$U489),{"Трафіковий","Основний","Маржинальний","Сезонний","Стратегічний"},0),0.18,0.2,0.28,0.27,0.32)</f>
        <v/>
      </c>
      <c r="AF489" s="104">
        <f>CHOOSE(MATCH(IF($U489="","Основний",$U489),{"Трафіковий","Основний","Маржинальний","Сезонний","Стратегічний"},0),0.15,0.175,0.22,0.21,0.25)</f>
        <v/>
      </c>
      <c r="AG489" s="104">
        <f>CHOOSE(MATCH(IF($U489="","Основний",$U489),{"Трафіковий","Основний","Маржинальний","Сезонний","Стратегічний"},0),0.13,0.16,0.21,0.2,0.25)</f>
        <v/>
      </c>
      <c r="AH489" s="104">
        <f>CHOOSE(MATCH(IF($U489="","Основний",$U489),{"Трафіковий","Основний","Маржинальний","Сезонний","Стратегічний"},0),0.15,0.18,0.23,0.22,0.27)</f>
        <v/>
      </c>
      <c r="AI489" s="104">
        <f>CHOOSE(MATCH(IF($U489="","Основний",$U489),{"Трафіковий","Основний","Маржинальний","Сезонний","Стратегічний"},0),0.16,0.19,0.25,0.23,0.29)</f>
        <v/>
      </c>
      <c r="AJ489" s="104">
        <f>CHOOSE(MATCH(IF($U489="","Основний",$U489),{"Трафіковий","Основний","Маржинальний","Сезонний","Стратегічний"},0),0.14,0.17,0.22,0.21,0.25)</f>
        <v/>
      </c>
      <c r="AK489" s="104">
        <f>CHOOSE(MATCH(IF($U489="","Основний",$U489),{"Трафіковий","Основний","Маржинальний","Сезонний","Стратегічний"},0),0.15,0.18,0.23,0.22,0.27)</f>
        <v/>
      </c>
      <c r="AL489" s="104">
        <f>CHOOSE(MATCH(IF($U489="","Основний",$U489),{"Трафіковий","Основний","Маржинальний","Сезонний","Стратегічний"},0),0.15,0.17,0.25,0.24,0.29)</f>
        <v/>
      </c>
      <c r="AM489" s="104">
        <f>CHOOSE(MATCH(IF($U489="","Основний",$U489),{"Трафіковий","Основний","Маржинальний","Сезонний","Стратегічний"},0),0.12,0.145,0.19,0.18,0.22)</f>
        <v/>
      </c>
      <c r="AN489" s="157">
        <f>CHOOSE(MATCH(IF($U489="","Основний",$U489),{"Трафіковий","Основний","Маржинальний","Сезонний","Стратегічний"},0),Settings!$B$78,Settings!$B$80,Settings!$B$82,Settings!$B$84,Settings!$B$86)</f>
        <v/>
      </c>
      <c r="AO489" s="157">
        <f>CHOOSE(MATCH(IF($U489="","Основний",$U489),{"Трафіковий","Основний","Маржинальний","Сезонний","Стратегічний"},0),Settings!$C$78,Settings!$C$80,Settings!$C$82,Settings!$C$84,Settings!$C$86)</f>
        <v/>
      </c>
      <c r="AP489" s="157">
        <f>CHOOSE(MATCH(IF($U489="","Основний",$U489),{"Трафіковий","Основний","Маржинальний","Сезонний","Стратегічний"},0),Settings!$D$78,Settings!$D$80,Settings!$D$82,Settings!$D$84,Settings!$D$86)</f>
        <v/>
      </c>
      <c r="AQ489" s="157">
        <f>CHOOSE(MATCH(IF($U489="","Основний",$U489),{"Трафіковий","Основний","Маржинальний","Сезонний","Стратегічний"},0),Settings!$F$78,Settings!$F$80,Settings!$F$82,Settings!$F$84,Settings!$F$86)</f>
        <v/>
      </c>
      <c r="AR489" s="157">
        <f>CHOOSE(MATCH(IF($U489="","Основний",$U489),{"Трафіковий","Основний","Маржинальний","Сезонний","Стратегічний"},0),Settings!$G$78,Settings!$G$80,Settings!$G$82,Settings!$G$84,Settings!$G$86)</f>
        <v/>
      </c>
      <c r="AS489" s="157">
        <f>CHOOSE(MATCH(IF($U489="","Основний",$U489),{"Трафіковий","Основний","Маржинальний","Сезонний","Стратегічний"},0),Settings!$H$78,Settings!$H$80,Settings!$H$82,Settings!$H$84,Settings!$H$86)</f>
        <v/>
      </c>
      <c r="AT489" s="157">
        <f>CHOOSE(MATCH(IF($U489="","Основний",$U489),{"Трафіковий","Основний","Маржинальний","Сезонний","Стратегічний"},0),Settings!$I$78,Settings!$I$80,Settings!$I$82,Settings!$I$84,Settings!$I$86)</f>
        <v/>
      </c>
      <c r="AU489" s="171" t="n"/>
      <c r="AV489" t="n">
        <v>1.35</v>
      </c>
    </row>
    <row r="490">
      <c r="A490" s="28" t="n"/>
      <c r="B490" s="29" t="inlineStr">
        <is>
          <t>F61513</t>
        </is>
      </c>
      <c r="C490" s="29" t="inlineStr">
        <is>
          <t>TAPE PVC 15/10 RED</t>
        </is>
      </c>
      <c r="D490" s="29" t="inlineStr">
        <is>
          <t>Ізоляціна т а ініші стрічки</t>
        </is>
      </c>
      <c r="E490" s="28" t="inlineStr">
        <is>
          <t>PC</t>
        </is>
      </c>
      <c r="F490" s="93" t="n">
        <v>0.144</v>
      </c>
      <c r="G490" s="30" t="n">
        <v>3919101200</v>
      </c>
      <c r="H490" s="31" t="n">
        <v>1.35</v>
      </c>
      <c r="I490" s="84">
        <f>IFERROR(F490*Settings!$B$2*H490*IF(AND(ISNUMBER(E490),E490&gt;1),E490,1),"")</f>
        <v/>
      </c>
      <c r="J490" s="32">
        <f>Settings!$B$66</f>
        <v/>
      </c>
      <c r="K490" s="95">
        <f>IFERROR(IF(T490="","",(T490*(1-AN490)*(1-Settings!$B$17)-I490)/(T490*(1-AN490)*(1-Settings!$B$17))),"")</f>
        <v/>
      </c>
      <c r="L490" s="101">
        <f>IFERROR(IF(T490="","",(T490*(1-AO490)*(1-Settings!$C$17)-I490)/(T490*(1-AO490)*(1-Settings!$C$17))),"")</f>
        <v/>
      </c>
      <c r="M490" s="101">
        <f>IFERROR(IF(T490="","",(T490*(1-AP490)*(1-Settings!$D$17)-I490)/(T490*(1-AP490)*(1-Settings!$D$17))),"")</f>
        <v/>
      </c>
      <c r="N490" s="101">
        <f>IFERROR(IF(T490="","",(T490*(1-AQ490)*(1-Settings!$F$17)-I490)/(T490*(1-AQ490)*(1-Settings!$F$17))),"")</f>
        <v/>
      </c>
      <c r="O490" s="101">
        <f>IFERROR(IF(T490="","",(T490*(1-AR490)*(1-Settings!$G$17)-I490)/(T490*(1-AR490)*(1-Settings!$G$17))),"")</f>
        <v/>
      </c>
      <c r="P490" s="101">
        <f>IFERROR(IF(T490="","",(T490*(1-AS490)*(1-Settings!$H$17)-I490)/(T490*(1-AS490)*(1-Settings!$H$17))),"")</f>
        <v/>
      </c>
      <c r="Q490" s="101">
        <f>IFERROR(IF(T490="","",(T490*(1-AT490)*(1-Settings!$I$68)*(1-Settings!$I$17)-I490)/(T490*(1-AT490)*(1-Settings!$I$68)*(1-Settings!$I$17))),"")</f>
        <v/>
      </c>
      <c r="R490" s="91">
        <f>IFERROR(IF(OR(I490="",Z490&gt;=1,Settings!$B$17&gt;=1,AN490&gt;=1),"",IF(MOD(ROUND(I490/(1-Z490)/(1-Settings!$B$17)/(1-AN490),0),10)=0,ROUND(I490/(1-Z490)/(1-Settings!$B$17)/(1-AN490),0)-1,IF(MOD(ROUND(I490/(1-Z490)/(1-Settings!$B$17)/(1-AN490),0),10)&lt;=5,FLOOR(ROUND(I490/(1-Z490)/(1-Settings!$B$17)/(1-AN490),0),10)+6,FLOOR(ROUND(I490/(1-Z490)/(1-Settings!$B$17)/(1-AN490),0),10)+9))),"")</f>
        <v/>
      </c>
      <c r="S490" s="174" t="n"/>
      <c r="T490" s="91">
        <f>IF(S490&lt;&gt;"", IF(MOD(S490,10)=0,S490-1,IF(MOD(S490,10)&lt;=5,FLOOR(S490,10)+6,FLOOR(S490,10)+9)), R490)</f>
        <v/>
      </c>
      <c r="U490" s="87" t="inlineStr">
        <is>
          <t>Основний</t>
        </is>
      </c>
      <c r="V490" s="88" t="n"/>
      <c r="W490" s="88" t="n"/>
      <c r="X490" s="89">
        <f>IFERROR(IF(OR(V490="",W490="",T490=""),"", IF(T490&gt;W490,"Дорогий",IF(T490&lt;V490,"Дешевий","У ринку"))),"")</f>
        <v/>
      </c>
      <c r="Y490" s="90" t="n"/>
      <c r="Z490" s="104">
        <f>CHOOSE(MATCH(IF($U490="","Основний",$U490),{"Трафіковий","Основний","Маржинальний","Сезонний","Стратегічний"},0),0.16,0.19,0.24,0.23,0.28)</f>
        <v/>
      </c>
      <c r="AA490" s="104">
        <f>CHOOSE(MATCH(IF($U490="","Основний",$U490),{"Трафіковий","Основний","Маржинальний","Сезонний","Стратегічний"},0),0.18,0.21,0.26,0.25,0.3)</f>
        <v/>
      </c>
      <c r="AB490" s="104">
        <f>CHOOSE(MATCH(IF($U490="","Основний",$U490),{"Трафіковий","Основний","Маржинальний","Сезонний","Стратегічний"},0),0.19,0.22,0.28,0.26,0.32)</f>
        <v/>
      </c>
      <c r="AC490" s="104">
        <f>CHOOSE(MATCH(IF($U490="","Основний",$U490),{"Трафіковий","Основний","Маржинальний","Сезонний","Стратегічний"},0),0.17,0.2,0.25,0.24,0.28)</f>
        <v/>
      </c>
      <c r="AD490" s="104">
        <f>CHOOSE(MATCH(IF($U490="","Основний",$U490),{"Трафіковий","Основний","Маржинальний","Сезонний","Стратегічний"},0),0.18,0.21,0.26,0.25,0.3)</f>
        <v/>
      </c>
      <c r="AE490" s="104">
        <f>CHOOSE(MATCH(IF($U490="","Основний",$U490),{"Трафіковий","Основний","Маржинальний","Сезонний","Стратегічний"},0),0.18,0.2,0.28,0.27,0.32)</f>
        <v/>
      </c>
      <c r="AF490" s="104">
        <f>CHOOSE(MATCH(IF($U490="","Основний",$U490),{"Трафіковий","Основний","Маржинальний","Сезонний","Стратегічний"},0),0.15,0.175,0.22,0.21,0.25)</f>
        <v/>
      </c>
      <c r="AG490" s="104">
        <f>CHOOSE(MATCH(IF($U490="","Основний",$U490),{"Трафіковий","Основний","Маржинальний","Сезонний","Стратегічний"},0),0.13,0.16,0.21,0.2,0.25)</f>
        <v/>
      </c>
      <c r="AH490" s="104">
        <f>CHOOSE(MATCH(IF($U490="","Основний",$U490),{"Трафіковий","Основний","Маржинальний","Сезонний","Стратегічний"},0),0.15,0.18,0.23,0.22,0.27)</f>
        <v/>
      </c>
      <c r="AI490" s="104">
        <f>CHOOSE(MATCH(IF($U490="","Основний",$U490),{"Трафіковий","Основний","Маржинальний","Сезонний","Стратегічний"},0),0.16,0.19,0.25,0.23,0.29)</f>
        <v/>
      </c>
      <c r="AJ490" s="104">
        <f>CHOOSE(MATCH(IF($U490="","Основний",$U490),{"Трафіковий","Основний","Маржинальний","Сезонний","Стратегічний"},0),0.14,0.17,0.22,0.21,0.25)</f>
        <v/>
      </c>
      <c r="AK490" s="104">
        <f>CHOOSE(MATCH(IF($U490="","Основний",$U490),{"Трафіковий","Основний","Маржинальний","Сезонний","Стратегічний"},0),0.15,0.18,0.23,0.22,0.27)</f>
        <v/>
      </c>
      <c r="AL490" s="104">
        <f>CHOOSE(MATCH(IF($U490="","Основний",$U490),{"Трафіковий","Основний","Маржинальний","Сезонний","Стратегічний"},0),0.15,0.17,0.25,0.24,0.29)</f>
        <v/>
      </c>
      <c r="AM490" s="104">
        <f>CHOOSE(MATCH(IF($U490="","Основний",$U490),{"Трафіковий","Основний","Маржинальний","Сезонний","Стратегічний"},0),0.12,0.145,0.19,0.18,0.22)</f>
        <v/>
      </c>
      <c r="AN490" s="157">
        <f>CHOOSE(MATCH(IF($U490="","Основний",$U490),{"Трафіковий","Основний","Маржинальний","Сезонний","Стратегічний"},0),Settings!$B$78,Settings!$B$80,Settings!$B$82,Settings!$B$84,Settings!$B$86)</f>
        <v/>
      </c>
      <c r="AO490" s="157">
        <f>CHOOSE(MATCH(IF($U490="","Основний",$U490),{"Трафіковий","Основний","Маржинальний","Сезонний","Стратегічний"},0),Settings!$C$78,Settings!$C$80,Settings!$C$82,Settings!$C$84,Settings!$C$86)</f>
        <v/>
      </c>
      <c r="AP490" s="157">
        <f>CHOOSE(MATCH(IF($U490="","Основний",$U490),{"Трафіковий","Основний","Маржинальний","Сезонний","Стратегічний"},0),Settings!$D$78,Settings!$D$80,Settings!$D$82,Settings!$D$84,Settings!$D$86)</f>
        <v/>
      </c>
      <c r="AQ490" s="157">
        <f>CHOOSE(MATCH(IF($U490="","Основний",$U490),{"Трафіковий","Основний","Маржинальний","Сезонний","Стратегічний"},0),Settings!$F$78,Settings!$F$80,Settings!$F$82,Settings!$F$84,Settings!$F$86)</f>
        <v/>
      </c>
      <c r="AR490" s="157">
        <f>CHOOSE(MATCH(IF($U490="","Основний",$U490),{"Трафіковий","Основний","Маржинальний","Сезонний","Стратегічний"},0),Settings!$G$78,Settings!$G$80,Settings!$G$82,Settings!$G$84,Settings!$G$86)</f>
        <v/>
      </c>
      <c r="AS490" s="157">
        <f>CHOOSE(MATCH(IF($U490="","Основний",$U490),{"Трафіковий","Основний","Маржинальний","Сезонний","Стратегічний"},0),Settings!$H$78,Settings!$H$80,Settings!$H$82,Settings!$H$84,Settings!$H$86)</f>
        <v/>
      </c>
      <c r="AT490" s="157">
        <f>CHOOSE(MATCH(IF($U490="","Основний",$U490),{"Трафіковий","Основний","Маржинальний","Сезонний","Стратегічний"},0),Settings!$I$78,Settings!$I$80,Settings!$I$82,Settings!$I$84,Settings!$I$86)</f>
        <v/>
      </c>
      <c r="AU490" s="171" t="n"/>
      <c r="AV490" t="n">
        <v>1.35</v>
      </c>
    </row>
    <row r="491">
      <c r="A491" s="33" t="n"/>
      <c r="B491" s="34" t="inlineStr">
        <is>
          <t>F61514</t>
        </is>
      </c>
      <c r="C491" s="34" t="inlineStr">
        <is>
          <t>TAPE PVC 15/10 BLUE</t>
        </is>
      </c>
      <c r="D491" s="34" t="inlineStr">
        <is>
          <t>Ізоляціна т а ініші стрічки</t>
        </is>
      </c>
      <c r="E491" s="33" t="inlineStr">
        <is>
          <t>PC</t>
        </is>
      </c>
      <c r="F491" s="94" t="n">
        <v>0.144</v>
      </c>
      <c r="G491" s="35" t="n">
        <v>3919101200</v>
      </c>
      <c r="H491" s="31" t="n">
        <v>1.35</v>
      </c>
      <c r="I491" s="84">
        <f>IFERROR(F491*Settings!$B$2*H491*IF(AND(ISNUMBER(E491),E491&gt;1),E491,1),"")</f>
        <v/>
      </c>
      <c r="J491" s="32">
        <f>Settings!$B$66</f>
        <v/>
      </c>
      <c r="K491" s="95">
        <f>IFERROR(IF(T491="","",(T491*(1-AN491)*(1-Settings!$B$17)-I491)/(T491*(1-AN491)*(1-Settings!$B$17))),"")</f>
        <v/>
      </c>
      <c r="L491" s="101">
        <f>IFERROR(IF(T491="","",(T491*(1-AO491)*(1-Settings!$C$17)-I491)/(T491*(1-AO491)*(1-Settings!$C$17))),"")</f>
        <v/>
      </c>
      <c r="M491" s="101">
        <f>IFERROR(IF(T491="","",(T491*(1-AP491)*(1-Settings!$D$17)-I491)/(T491*(1-AP491)*(1-Settings!$D$17))),"")</f>
        <v/>
      </c>
      <c r="N491" s="101">
        <f>IFERROR(IF(T491="","",(T491*(1-AQ491)*(1-Settings!$F$17)-I491)/(T491*(1-AQ491)*(1-Settings!$F$17))),"")</f>
        <v/>
      </c>
      <c r="O491" s="101">
        <f>IFERROR(IF(T491="","",(T491*(1-AR491)*(1-Settings!$G$17)-I491)/(T491*(1-AR491)*(1-Settings!$G$17))),"")</f>
        <v/>
      </c>
      <c r="P491" s="101">
        <f>IFERROR(IF(T491="","",(T491*(1-AS491)*(1-Settings!$H$17)-I491)/(T491*(1-AS491)*(1-Settings!$H$17))),"")</f>
        <v/>
      </c>
      <c r="Q491" s="101">
        <f>IFERROR(IF(T491="","",(T491*(1-AT491)*(1-Settings!$I$68)*(1-Settings!$I$17)-I491)/(T491*(1-AT491)*(1-Settings!$I$68)*(1-Settings!$I$17))),"")</f>
        <v/>
      </c>
      <c r="R491" s="91">
        <f>IFERROR(IF(OR(I491="",Z491&gt;=1,Settings!$B$17&gt;=1,AN491&gt;=1),"",IF(MOD(ROUND(I491/(1-Z491)/(1-Settings!$B$17)/(1-AN491),0),10)=0,ROUND(I491/(1-Z491)/(1-Settings!$B$17)/(1-AN491),0)-1,IF(MOD(ROUND(I491/(1-Z491)/(1-Settings!$B$17)/(1-AN491),0),10)&lt;=5,FLOOR(ROUND(I491/(1-Z491)/(1-Settings!$B$17)/(1-AN491),0),10)+6,FLOOR(ROUND(I491/(1-Z491)/(1-Settings!$B$17)/(1-AN491),0),10)+9))),"")</f>
        <v/>
      </c>
      <c r="S491" s="174" t="n"/>
      <c r="T491" s="91">
        <f>IF(S491&lt;&gt;"", IF(MOD(S491,10)=0,S491-1,IF(MOD(S491,10)&lt;=5,FLOOR(S491,10)+6,FLOOR(S491,10)+9)), R491)</f>
        <v/>
      </c>
      <c r="U491" s="87" t="inlineStr">
        <is>
          <t>Основний</t>
        </is>
      </c>
      <c r="V491" s="88" t="n"/>
      <c r="W491" s="88" t="n"/>
      <c r="X491" s="89">
        <f>IFERROR(IF(OR(V491="",W491="",T491=""),"", IF(T491&gt;W491,"Дорогий",IF(T491&lt;V491,"Дешевий","У ринку"))),"")</f>
        <v/>
      </c>
      <c r="Y491" s="90" t="n"/>
      <c r="Z491" s="104">
        <f>CHOOSE(MATCH(IF($U491="","Основний",$U491),{"Трафіковий","Основний","Маржинальний","Сезонний","Стратегічний"},0),0.16,0.19,0.24,0.23,0.28)</f>
        <v/>
      </c>
      <c r="AA491" s="104">
        <f>CHOOSE(MATCH(IF($U491="","Основний",$U491),{"Трафіковий","Основний","Маржинальний","Сезонний","Стратегічний"},0),0.18,0.21,0.26,0.25,0.3)</f>
        <v/>
      </c>
      <c r="AB491" s="104">
        <f>CHOOSE(MATCH(IF($U491="","Основний",$U491),{"Трафіковий","Основний","Маржинальний","Сезонний","Стратегічний"},0),0.19,0.22,0.28,0.26,0.32)</f>
        <v/>
      </c>
      <c r="AC491" s="104">
        <f>CHOOSE(MATCH(IF($U491="","Основний",$U491),{"Трафіковий","Основний","Маржинальний","Сезонний","Стратегічний"},0),0.17,0.2,0.25,0.24,0.28)</f>
        <v/>
      </c>
      <c r="AD491" s="104">
        <f>CHOOSE(MATCH(IF($U491="","Основний",$U491),{"Трафіковий","Основний","Маржинальний","Сезонний","Стратегічний"},0),0.18,0.21,0.26,0.25,0.3)</f>
        <v/>
      </c>
      <c r="AE491" s="104">
        <f>CHOOSE(MATCH(IF($U491="","Основний",$U491),{"Трафіковий","Основний","Маржинальний","Сезонний","Стратегічний"},0),0.18,0.2,0.28,0.27,0.32)</f>
        <v/>
      </c>
      <c r="AF491" s="104">
        <f>CHOOSE(MATCH(IF($U491="","Основний",$U491),{"Трафіковий","Основний","Маржинальний","Сезонний","Стратегічний"},0),0.15,0.175,0.22,0.21,0.25)</f>
        <v/>
      </c>
      <c r="AG491" s="104">
        <f>CHOOSE(MATCH(IF($U491="","Основний",$U491),{"Трафіковий","Основний","Маржинальний","Сезонний","Стратегічний"},0),0.13,0.16,0.21,0.2,0.25)</f>
        <v/>
      </c>
      <c r="AH491" s="104">
        <f>CHOOSE(MATCH(IF($U491="","Основний",$U491),{"Трафіковий","Основний","Маржинальний","Сезонний","Стратегічний"},0),0.15,0.18,0.23,0.22,0.27)</f>
        <v/>
      </c>
      <c r="AI491" s="104">
        <f>CHOOSE(MATCH(IF($U491="","Основний",$U491),{"Трафіковий","Основний","Маржинальний","Сезонний","Стратегічний"},0),0.16,0.19,0.25,0.23,0.29)</f>
        <v/>
      </c>
      <c r="AJ491" s="104">
        <f>CHOOSE(MATCH(IF($U491="","Основний",$U491),{"Трафіковий","Основний","Маржинальний","Сезонний","Стратегічний"},0),0.14,0.17,0.22,0.21,0.25)</f>
        <v/>
      </c>
      <c r="AK491" s="104">
        <f>CHOOSE(MATCH(IF($U491="","Основний",$U491),{"Трафіковий","Основний","Маржинальний","Сезонний","Стратегічний"},0),0.15,0.18,0.23,0.22,0.27)</f>
        <v/>
      </c>
      <c r="AL491" s="104">
        <f>CHOOSE(MATCH(IF($U491="","Основний",$U491),{"Трафіковий","Основний","Маржинальний","Сезонний","Стратегічний"},0),0.15,0.17,0.25,0.24,0.29)</f>
        <v/>
      </c>
      <c r="AM491" s="104">
        <f>CHOOSE(MATCH(IF($U491="","Основний",$U491),{"Трафіковий","Основний","Маржинальний","Сезонний","Стратегічний"},0),0.12,0.145,0.19,0.18,0.22)</f>
        <v/>
      </c>
      <c r="AN491" s="157">
        <f>CHOOSE(MATCH(IF($U491="","Основний",$U491),{"Трафіковий","Основний","Маржинальний","Сезонний","Стратегічний"},0),Settings!$B$78,Settings!$B$80,Settings!$B$82,Settings!$B$84,Settings!$B$86)</f>
        <v/>
      </c>
      <c r="AO491" s="157">
        <f>CHOOSE(MATCH(IF($U491="","Основний",$U491),{"Трафіковий","Основний","Маржинальний","Сезонний","Стратегічний"},0),Settings!$C$78,Settings!$C$80,Settings!$C$82,Settings!$C$84,Settings!$C$86)</f>
        <v/>
      </c>
      <c r="AP491" s="157">
        <f>CHOOSE(MATCH(IF($U491="","Основний",$U491),{"Трафіковий","Основний","Маржинальний","Сезонний","Стратегічний"},0),Settings!$D$78,Settings!$D$80,Settings!$D$82,Settings!$D$84,Settings!$D$86)</f>
        <v/>
      </c>
      <c r="AQ491" s="157">
        <f>CHOOSE(MATCH(IF($U491="","Основний",$U491),{"Трафіковий","Основний","Маржинальний","Сезонний","Стратегічний"},0),Settings!$F$78,Settings!$F$80,Settings!$F$82,Settings!$F$84,Settings!$F$86)</f>
        <v/>
      </c>
      <c r="AR491" s="157">
        <f>CHOOSE(MATCH(IF($U491="","Основний",$U491),{"Трафіковий","Основний","Маржинальний","Сезонний","Стратегічний"},0),Settings!$G$78,Settings!$G$80,Settings!$G$82,Settings!$G$84,Settings!$G$86)</f>
        <v/>
      </c>
      <c r="AS491" s="157">
        <f>CHOOSE(MATCH(IF($U491="","Основний",$U491),{"Трафіковий","Основний","Маржинальний","Сезонний","Стратегічний"},0),Settings!$H$78,Settings!$H$80,Settings!$H$82,Settings!$H$84,Settings!$H$86)</f>
        <v/>
      </c>
      <c r="AT491" s="157">
        <f>CHOOSE(MATCH(IF($U491="","Основний",$U491),{"Трафіковий","Основний","Маржинальний","Сезонний","Стратегічний"},0),Settings!$I$78,Settings!$I$80,Settings!$I$82,Settings!$I$84,Settings!$I$86)</f>
        <v/>
      </c>
      <c r="AU491" s="171" t="n"/>
      <c r="AV491" t="n">
        <v>1.35</v>
      </c>
    </row>
    <row r="492">
      <c r="A492" s="28" t="n"/>
      <c r="B492" s="29" t="inlineStr">
        <is>
          <t>F61515</t>
        </is>
      </c>
      <c r="C492" s="29" t="inlineStr">
        <is>
          <t>TAPE PVC 15/10 GREEN/YELLOW</t>
        </is>
      </c>
      <c r="D492" s="29" t="inlineStr">
        <is>
          <t>Ізоляціна т а ініші стрічки</t>
        </is>
      </c>
      <c r="E492" s="28" t="inlineStr">
        <is>
          <t>PC</t>
        </is>
      </c>
      <c r="F492" s="93" t="n">
        <v>0.158</v>
      </c>
      <c r="G492" s="30" t="n">
        <v>3919101200</v>
      </c>
      <c r="H492" s="31" t="n">
        <v>1.35</v>
      </c>
      <c r="I492" s="84">
        <f>IFERROR(F492*Settings!$B$2*H492*IF(AND(ISNUMBER(E492),E492&gt;1),E492,1),"")</f>
        <v/>
      </c>
      <c r="J492" s="32">
        <f>Settings!$B$66</f>
        <v/>
      </c>
      <c r="K492" s="95">
        <f>IFERROR(IF(T492="","",(T492*(1-AN492)*(1-Settings!$B$17)-I492)/(T492*(1-AN492)*(1-Settings!$B$17))),"")</f>
        <v/>
      </c>
      <c r="L492" s="101">
        <f>IFERROR(IF(T492="","",(T492*(1-AO492)*(1-Settings!$C$17)-I492)/(T492*(1-AO492)*(1-Settings!$C$17))),"")</f>
        <v/>
      </c>
      <c r="M492" s="101">
        <f>IFERROR(IF(T492="","",(T492*(1-AP492)*(1-Settings!$D$17)-I492)/(T492*(1-AP492)*(1-Settings!$D$17))),"")</f>
        <v/>
      </c>
      <c r="N492" s="101">
        <f>IFERROR(IF(T492="","",(T492*(1-AQ492)*(1-Settings!$F$17)-I492)/(T492*(1-AQ492)*(1-Settings!$F$17))),"")</f>
        <v/>
      </c>
      <c r="O492" s="101">
        <f>IFERROR(IF(T492="","",(T492*(1-AR492)*(1-Settings!$G$17)-I492)/(T492*(1-AR492)*(1-Settings!$G$17))),"")</f>
        <v/>
      </c>
      <c r="P492" s="101">
        <f>IFERROR(IF(T492="","",(T492*(1-AS492)*(1-Settings!$H$17)-I492)/(T492*(1-AS492)*(1-Settings!$H$17))),"")</f>
        <v/>
      </c>
      <c r="Q492" s="101">
        <f>IFERROR(IF(T492="","",(T492*(1-AT492)*(1-Settings!$I$68)*(1-Settings!$I$17)-I492)/(T492*(1-AT492)*(1-Settings!$I$68)*(1-Settings!$I$17))),"")</f>
        <v/>
      </c>
      <c r="R492" s="91">
        <f>IFERROR(IF(OR(I492="",Z492&gt;=1,Settings!$B$17&gt;=1,AN492&gt;=1),"",IF(MOD(ROUND(I492/(1-Z492)/(1-Settings!$B$17)/(1-AN492),0),10)=0,ROUND(I492/(1-Z492)/(1-Settings!$B$17)/(1-AN492),0)-1,IF(MOD(ROUND(I492/(1-Z492)/(1-Settings!$B$17)/(1-AN492),0),10)&lt;=5,FLOOR(ROUND(I492/(1-Z492)/(1-Settings!$B$17)/(1-AN492),0),10)+6,FLOOR(ROUND(I492/(1-Z492)/(1-Settings!$B$17)/(1-AN492),0),10)+9))),"")</f>
        <v/>
      </c>
      <c r="S492" s="174" t="n"/>
      <c r="T492" s="91">
        <f>IF(S492&lt;&gt;"", IF(MOD(S492,10)=0,S492-1,IF(MOD(S492,10)&lt;=5,FLOOR(S492,10)+6,FLOOR(S492,10)+9)), R492)</f>
        <v/>
      </c>
      <c r="U492" s="87" t="inlineStr">
        <is>
          <t>Основний</t>
        </is>
      </c>
      <c r="V492" s="88" t="n"/>
      <c r="W492" s="88" t="n"/>
      <c r="X492" s="89">
        <f>IFERROR(IF(OR(V492="",W492="",T492=""),"", IF(T492&gt;W492,"Дорогий",IF(T492&lt;V492,"Дешевий","У ринку"))),"")</f>
        <v/>
      </c>
      <c r="Y492" s="90" t="n"/>
      <c r="Z492" s="104">
        <f>CHOOSE(MATCH(IF($U492="","Основний",$U492),{"Трафіковий","Основний","Маржинальний","Сезонний","Стратегічний"},0),0.16,0.19,0.24,0.23,0.28)</f>
        <v/>
      </c>
      <c r="AA492" s="104">
        <f>CHOOSE(MATCH(IF($U492="","Основний",$U492),{"Трафіковий","Основний","Маржинальний","Сезонний","Стратегічний"},0),0.18,0.21,0.26,0.25,0.3)</f>
        <v/>
      </c>
      <c r="AB492" s="104">
        <f>CHOOSE(MATCH(IF($U492="","Основний",$U492),{"Трафіковий","Основний","Маржинальний","Сезонний","Стратегічний"},0),0.19,0.22,0.28,0.26,0.32)</f>
        <v/>
      </c>
      <c r="AC492" s="104">
        <f>CHOOSE(MATCH(IF($U492="","Основний",$U492),{"Трафіковий","Основний","Маржинальний","Сезонний","Стратегічний"},0),0.17,0.2,0.25,0.24,0.28)</f>
        <v/>
      </c>
      <c r="AD492" s="104">
        <f>CHOOSE(MATCH(IF($U492="","Основний",$U492),{"Трафіковий","Основний","Маржинальний","Сезонний","Стратегічний"},0),0.18,0.21,0.26,0.25,0.3)</f>
        <v/>
      </c>
      <c r="AE492" s="104">
        <f>CHOOSE(MATCH(IF($U492="","Основний",$U492),{"Трафіковий","Основний","Маржинальний","Сезонний","Стратегічний"},0),0.18,0.2,0.28,0.27,0.32)</f>
        <v/>
      </c>
      <c r="AF492" s="104">
        <f>CHOOSE(MATCH(IF($U492="","Основний",$U492),{"Трафіковий","Основний","Маржинальний","Сезонний","Стратегічний"},0),0.15,0.175,0.22,0.21,0.25)</f>
        <v/>
      </c>
      <c r="AG492" s="104">
        <f>CHOOSE(MATCH(IF($U492="","Основний",$U492),{"Трафіковий","Основний","Маржинальний","Сезонний","Стратегічний"},0),0.13,0.16,0.21,0.2,0.25)</f>
        <v/>
      </c>
      <c r="AH492" s="104">
        <f>CHOOSE(MATCH(IF($U492="","Основний",$U492),{"Трафіковий","Основний","Маржинальний","Сезонний","Стратегічний"},0),0.15,0.18,0.23,0.22,0.27)</f>
        <v/>
      </c>
      <c r="AI492" s="104">
        <f>CHOOSE(MATCH(IF($U492="","Основний",$U492),{"Трафіковий","Основний","Маржинальний","Сезонний","Стратегічний"},0),0.16,0.19,0.25,0.23,0.29)</f>
        <v/>
      </c>
      <c r="AJ492" s="104">
        <f>CHOOSE(MATCH(IF($U492="","Основний",$U492),{"Трафіковий","Основний","Маржинальний","Сезонний","Стратегічний"},0),0.14,0.17,0.22,0.21,0.25)</f>
        <v/>
      </c>
      <c r="AK492" s="104">
        <f>CHOOSE(MATCH(IF($U492="","Основний",$U492),{"Трафіковий","Основний","Маржинальний","Сезонний","Стратегічний"},0),0.15,0.18,0.23,0.22,0.27)</f>
        <v/>
      </c>
      <c r="AL492" s="104">
        <f>CHOOSE(MATCH(IF($U492="","Основний",$U492),{"Трафіковий","Основний","Маржинальний","Сезонний","Стратегічний"},0),0.15,0.17,0.25,0.24,0.29)</f>
        <v/>
      </c>
      <c r="AM492" s="104">
        <f>CHOOSE(MATCH(IF($U492="","Основний",$U492),{"Трафіковий","Основний","Маржинальний","Сезонний","Стратегічний"},0),0.12,0.145,0.19,0.18,0.22)</f>
        <v/>
      </c>
      <c r="AN492" s="157">
        <f>CHOOSE(MATCH(IF($U492="","Основний",$U492),{"Трафіковий","Основний","Маржинальний","Сезонний","Стратегічний"},0),Settings!$B$78,Settings!$B$80,Settings!$B$82,Settings!$B$84,Settings!$B$86)</f>
        <v/>
      </c>
      <c r="AO492" s="157">
        <f>CHOOSE(MATCH(IF($U492="","Основний",$U492),{"Трафіковий","Основний","Маржинальний","Сезонний","Стратегічний"},0),Settings!$C$78,Settings!$C$80,Settings!$C$82,Settings!$C$84,Settings!$C$86)</f>
        <v/>
      </c>
      <c r="AP492" s="157">
        <f>CHOOSE(MATCH(IF($U492="","Основний",$U492),{"Трафіковий","Основний","Маржинальний","Сезонний","Стратегічний"},0),Settings!$D$78,Settings!$D$80,Settings!$D$82,Settings!$D$84,Settings!$D$86)</f>
        <v/>
      </c>
      <c r="AQ492" s="157">
        <f>CHOOSE(MATCH(IF($U492="","Основний",$U492),{"Трафіковий","Основний","Маржинальний","Сезонний","Стратегічний"},0),Settings!$F$78,Settings!$F$80,Settings!$F$82,Settings!$F$84,Settings!$F$86)</f>
        <v/>
      </c>
      <c r="AR492" s="157">
        <f>CHOOSE(MATCH(IF($U492="","Основний",$U492),{"Трафіковий","Основний","Маржинальний","Сезонний","Стратегічний"},0),Settings!$G$78,Settings!$G$80,Settings!$G$82,Settings!$G$84,Settings!$G$86)</f>
        <v/>
      </c>
      <c r="AS492" s="157">
        <f>CHOOSE(MATCH(IF($U492="","Основний",$U492),{"Трафіковий","Основний","Маржинальний","Сезонний","Стратегічний"},0),Settings!$H$78,Settings!$H$80,Settings!$H$82,Settings!$H$84,Settings!$H$86)</f>
        <v/>
      </c>
      <c r="AT492" s="157">
        <f>CHOOSE(MATCH(IF($U492="","Основний",$U492),{"Трафіковий","Основний","Маржинальний","Сезонний","Стратегічний"},0),Settings!$I$78,Settings!$I$80,Settings!$I$82,Settings!$I$84,Settings!$I$86)</f>
        <v/>
      </c>
      <c r="AU492" s="171" t="n"/>
      <c r="AV492" t="n">
        <v>1.35</v>
      </c>
    </row>
    <row r="493">
      <c r="A493" s="33" t="n"/>
      <c r="B493" s="34" t="inlineStr">
        <is>
          <t>F61516</t>
        </is>
      </c>
      <c r="C493" s="34" t="inlineStr">
        <is>
          <t>TAPE PVC 15/10 YELLOW</t>
        </is>
      </c>
      <c r="D493" s="34" t="inlineStr">
        <is>
          <t>Ізоляціна т а ініші стрічки</t>
        </is>
      </c>
      <c r="E493" s="33" t="inlineStr">
        <is>
          <t>PC</t>
        </is>
      </c>
      <c r="F493" s="94" t="n">
        <v>0.144</v>
      </c>
      <c r="G493" s="35" t="n">
        <v>3919101200</v>
      </c>
      <c r="H493" s="31" t="n">
        <v>1.35</v>
      </c>
      <c r="I493" s="84">
        <f>IFERROR(F493*Settings!$B$2*H493*IF(AND(ISNUMBER(E493),E493&gt;1),E493,1),"")</f>
        <v/>
      </c>
      <c r="J493" s="32">
        <f>Settings!$B$66</f>
        <v/>
      </c>
      <c r="K493" s="95">
        <f>IFERROR(IF(T493="","",(T493*(1-AN493)*(1-Settings!$B$17)-I493)/(T493*(1-AN493)*(1-Settings!$B$17))),"")</f>
        <v/>
      </c>
      <c r="L493" s="101">
        <f>IFERROR(IF(T493="","",(T493*(1-AO493)*(1-Settings!$C$17)-I493)/(T493*(1-AO493)*(1-Settings!$C$17))),"")</f>
        <v/>
      </c>
      <c r="M493" s="101">
        <f>IFERROR(IF(T493="","",(T493*(1-AP493)*(1-Settings!$D$17)-I493)/(T493*(1-AP493)*(1-Settings!$D$17))),"")</f>
        <v/>
      </c>
      <c r="N493" s="101">
        <f>IFERROR(IF(T493="","",(T493*(1-AQ493)*(1-Settings!$F$17)-I493)/(T493*(1-AQ493)*(1-Settings!$F$17))),"")</f>
        <v/>
      </c>
      <c r="O493" s="101">
        <f>IFERROR(IF(T493="","",(T493*(1-AR493)*(1-Settings!$G$17)-I493)/(T493*(1-AR493)*(1-Settings!$G$17))),"")</f>
        <v/>
      </c>
      <c r="P493" s="101">
        <f>IFERROR(IF(T493="","",(T493*(1-AS493)*(1-Settings!$H$17)-I493)/(T493*(1-AS493)*(1-Settings!$H$17))),"")</f>
        <v/>
      </c>
      <c r="Q493" s="101">
        <f>IFERROR(IF(T493="","",(T493*(1-AT493)*(1-Settings!$I$68)*(1-Settings!$I$17)-I493)/(T493*(1-AT493)*(1-Settings!$I$68)*(1-Settings!$I$17))),"")</f>
        <v/>
      </c>
      <c r="R493" s="91">
        <f>IFERROR(IF(OR(I493="",Z493&gt;=1,Settings!$B$17&gt;=1,AN493&gt;=1),"",IF(MOD(ROUND(I493/(1-Z493)/(1-Settings!$B$17)/(1-AN493),0),10)=0,ROUND(I493/(1-Z493)/(1-Settings!$B$17)/(1-AN493),0)-1,IF(MOD(ROUND(I493/(1-Z493)/(1-Settings!$B$17)/(1-AN493),0),10)&lt;=5,FLOOR(ROUND(I493/(1-Z493)/(1-Settings!$B$17)/(1-AN493),0),10)+6,FLOOR(ROUND(I493/(1-Z493)/(1-Settings!$B$17)/(1-AN493),0),10)+9))),"")</f>
        <v/>
      </c>
      <c r="S493" s="174" t="n"/>
      <c r="T493" s="91">
        <f>IF(S493&lt;&gt;"", IF(MOD(S493,10)=0,S493-1,IF(MOD(S493,10)&lt;=5,FLOOR(S493,10)+6,FLOOR(S493,10)+9)), R493)</f>
        <v/>
      </c>
      <c r="U493" s="87" t="inlineStr">
        <is>
          <t>Основний</t>
        </is>
      </c>
      <c r="V493" s="88" t="n"/>
      <c r="W493" s="88" t="n"/>
      <c r="X493" s="89">
        <f>IFERROR(IF(OR(V493="",W493="",T493=""),"", IF(T493&gt;W493,"Дорогий",IF(T493&lt;V493,"Дешевий","У ринку"))),"")</f>
        <v/>
      </c>
      <c r="Y493" s="90" t="n"/>
      <c r="Z493" s="104">
        <f>CHOOSE(MATCH(IF($U493="","Основний",$U493),{"Трафіковий","Основний","Маржинальний","Сезонний","Стратегічний"},0),0.16,0.19,0.24,0.23,0.28)</f>
        <v/>
      </c>
      <c r="AA493" s="104">
        <f>CHOOSE(MATCH(IF($U493="","Основний",$U493),{"Трафіковий","Основний","Маржинальний","Сезонний","Стратегічний"},0),0.18,0.21,0.26,0.25,0.3)</f>
        <v/>
      </c>
      <c r="AB493" s="104">
        <f>CHOOSE(MATCH(IF($U493="","Основний",$U493),{"Трафіковий","Основний","Маржинальний","Сезонний","Стратегічний"},0),0.19,0.22,0.28,0.26,0.32)</f>
        <v/>
      </c>
      <c r="AC493" s="104">
        <f>CHOOSE(MATCH(IF($U493="","Основний",$U493),{"Трафіковий","Основний","Маржинальний","Сезонний","Стратегічний"},0),0.17,0.2,0.25,0.24,0.28)</f>
        <v/>
      </c>
      <c r="AD493" s="104">
        <f>CHOOSE(MATCH(IF($U493="","Основний",$U493),{"Трафіковий","Основний","Маржинальний","Сезонний","Стратегічний"},0),0.18,0.21,0.26,0.25,0.3)</f>
        <v/>
      </c>
      <c r="AE493" s="104">
        <f>CHOOSE(MATCH(IF($U493="","Основний",$U493),{"Трафіковий","Основний","Маржинальний","Сезонний","Стратегічний"},0),0.18,0.2,0.28,0.27,0.32)</f>
        <v/>
      </c>
      <c r="AF493" s="104">
        <f>CHOOSE(MATCH(IF($U493="","Основний",$U493),{"Трафіковий","Основний","Маржинальний","Сезонний","Стратегічний"},0),0.15,0.175,0.22,0.21,0.25)</f>
        <v/>
      </c>
      <c r="AG493" s="104">
        <f>CHOOSE(MATCH(IF($U493="","Основний",$U493),{"Трафіковий","Основний","Маржинальний","Сезонний","Стратегічний"},0),0.13,0.16,0.21,0.2,0.25)</f>
        <v/>
      </c>
      <c r="AH493" s="104">
        <f>CHOOSE(MATCH(IF($U493="","Основний",$U493),{"Трафіковий","Основний","Маржинальний","Сезонний","Стратегічний"},0),0.15,0.18,0.23,0.22,0.27)</f>
        <v/>
      </c>
      <c r="AI493" s="104">
        <f>CHOOSE(MATCH(IF($U493="","Основний",$U493),{"Трафіковий","Основний","Маржинальний","Сезонний","Стратегічний"},0),0.16,0.19,0.25,0.23,0.29)</f>
        <v/>
      </c>
      <c r="AJ493" s="104">
        <f>CHOOSE(MATCH(IF($U493="","Основний",$U493),{"Трафіковий","Основний","Маржинальний","Сезонний","Стратегічний"},0),0.14,0.17,0.22,0.21,0.25)</f>
        <v/>
      </c>
      <c r="AK493" s="104">
        <f>CHOOSE(MATCH(IF($U493="","Основний",$U493),{"Трафіковий","Основний","Маржинальний","Сезонний","Стратегічний"},0),0.15,0.18,0.23,0.22,0.27)</f>
        <v/>
      </c>
      <c r="AL493" s="104">
        <f>CHOOSE(MATCH(IF($U493="","Основний",$U493),{"Трафіковий","Основний","Маржинальний","Сезонний","Стратегічний"},0),0.15,0.17,0.25,0.24,0.29)</f>
        <v/>
      </c>
      <c r="AM493" s="104">
        <f>CHOOSE(MATCH(IF($U493="","Основний",$U493),{"Трафіковий","Основний","Маржинальний","Сезонний","Стратегічний"},0),0.12,0.145,0.19,0.18,0.22)</f>
        <v/>
      </c>
      <c r="AN493" s="157">
        <f>CHOOSE(MATCH(IF($U493="","Основний",$U493),{"Трафіковий","Основний","Маржинальний","Сезонний","Стратегічний"},0),Settings!$B$78,Settings!$B$80,Settings!$B$82,Settings!$B$84,Settings!$B$86)</f>
        <v/>
      </c>
      <c r="AO493" s="157">
        <f>CHOOSE(MATCH(IF($U493="","Основний",$U493),{"Трафіковий","Основний","Маржинальний","Сезонний","Стратегічний"},0),Settings!$C$78,Settings!$C$80,Settings!$C$82,Settings!$C$84,Settings!$C$86)</f>
        <v/>
      </c>
      <c r="AP493" s="157">
        <f>CHOOSE(MATCH(IF($U493="","Основний",$U493),{"Трафіковий","Основний","Маржинальний","Сезонний","Стратегічний"},0),Settings!$D$78,Settings!$D$80,Settings!$D$82,Settings!$D$84,Settings!$D$86)</f>
        <v/>
      </c>
      <c r="AQ493" s="157">
        <f>CHOOSE(MATCH(IF($U493="","Основний",$U493),{"Трафіковий","Основний","Маржинальний","Сезонний","Стратегічний"},0),Settings!$F$78,Settings!$F$80,Settings!$F$82,Settings!$F$84,Settings!$F$86)</f>
        <v/>
      </c>
      <c r="AR493" s="157">
        <f>CHOOSE(MATCH(IF($U493="","Основний",$U493),{"Трафіковий","Основний","Маржинальний","Сезонний","Стратегічний"},0),Settings!$G$78,Settings!$G$80,Settings!$G$82,Settings!$G$84,Settings!$G$86)</f>
        <v/>
      </c>
      <c r="AS493" s="157">
        <f>CHOOSE(MATCH(IF($U493="","Основний",$U493),{"Трафіковий","Основний","Маржинальний","Сезонний","Стратегічний"},0),Settings!$H$78,Settings!$H$80,Settings!$H$82,Settings!$H$84,Settings!$H$86)</f>
        <v/>
      </c>
      <c r="AT493" s="157">
        <f>CHOOSE(MATCH(IF($U493="","Основний",$U493),{"Трафіковий","Основний","Маржинальний","Сезонний","Стратегічний"},0),Settings!$I$78,Settings!$I$80,Settings!$I$82,Settings!$I$84,Settings!$I$86)</f>
        <v/>
      </c>
      <c r="AU493" s="171" t="n"/>
      <c r="AV493" t="n">
        <v>1.35</v>
      </c>
    </row>
    <row r="494">
      <c r="A494" s="28" t="n"/>
      <c r="B494" s="29" t="inlineStr">
        <is>
          <t>F61517</t>
        </is>
      </c>
      <c r="C494" s="29" t="inlineStr">
        <is>
          <t>TAPE PVC 15/10 BROWN</t>
        </is>
      </c>
      <c r="D494" s="29" t="inlineStr">
        <is>
          <t>Ізоляціна т а ініші стрічки</t>
        </is>
      </c>
      <c r="E494" s="28" t="inlineStr">
        <is>
          <t>PC</t>
        </is>
      </c>
      <c r="F494" s="93" t="n">
        <v>0.144</v>
      </c>
      <c r="G494" s="30" t="n">
        <v>3919101200</v>
      </c>
      <c r="H494" s="31" t="n">
        <v>1.35</v>
      </c>
      <c r="I494" s="84">
        <f>IFERROR(F494*Settings!$B$2*H494*IF(AND(ISNUMBER(E494),E494&gt;1),E494,1),"")</f>
        <v/>
      </c>
      <c r="J494" s="32">
        <f>Settings!$B$66</f>
        <v/>
      </c>
      <c r="K494" s="95">
        <f>IFERROR(IF(T494="","",(T494*(1-AN494)*(1-Settings!$B$17)-I494)/(T494*(1-AN494)*(1-Settings!$B$17))),"")</f>
        <v/>
      </c>
      <c r="L494" s="101">
        <f>IFERROR(IF(T494="","",(T494*(1-AO494)*(1-Settings!$C$17)-I494)/(T494*(1-AO494)*(1-Settings!$C$17))),"")</f>
        <v/>
      </c>
      <c r="M494" s="101">
        <f>IFERROR(IF(T494="","",(T494*(1-AP494)*(1-Settings!$D$17)-I494)/(T494*(1-AP494)*(1-Settings!$D$17))),"")</f>
        <v/>
      </c>
      <c r="N494" s="101">
        <f>IFERROR(IF(T494="","",(T494*(1-AQ494)*(1-Settings!$F$17)-I494)/(T494*(1-AQ494)*(1-Settings!$F$17))),"")</f>
        <v/>
      </c>
      <c r="O494" s="101">
        <f>IFERROR(IF(T494="","",(T494*(1-AR494)*(1-Settings!$G$17)-I494)/(T494*(1-AR494)*(1-Settings!$G$17))),"")</f>
        <v/>
      </c>
      <c r="P494" s="101">
        <f>IFERROR(IF(T494="","",(T494*(1-AS494)*(1-Settings!$H$17)-I494)/(T494*(1-AS494)*(1-Settings!$H$17))),"")</f>
        <v/>
      </c>
      <c r="Q494" s="101">
        <f>IFERROR(IF(T494="","",(T494*(1-AT494)*(1-Settings!$I$68)*(1-Settings!$I$17)-I494)/(T494*(1-AT494)*(1-Settings!$I$68)*(1-Settings!$I$17))),"")</f>
        <v/>
      </c>
      <c r="R494" s="91">
        <f>IFERROR(IF(OR(I494="",Z494&gt;=1,Settings!$B$17&gt;=1,AN494&gt;=1),"",IF(MOD(ROUND(I494/(1-Z494)/(1-Settings!$B$17)/(1-AN494),0),10)=0,ROUND(I494/(1-Z494)/(1-Settings!$B$17)/(1-AN494),0)-1,IF(MOD(ROUND(I494/(1-Z494)/(1-Settings!$B$17)/(1-AN494),0),10)&lt;=5,FLOOR(ROUND(I494/(1-Z494)/(1-Settings!$B$17)/(1-AN494),0),10)+6,FLOOR(ROUND(I494/(1-Z494)/(1-Settings!$B$17)/(1-AN494),0),10)+9))),"")</f>
        <v/>
      </c>
      <c r="S494" s="174" t="n"/>
      <c r="T494" s="91">
        <f>IF(S494&lt;&gt;"", IF(MOD(S494,10)=0,S494-1,IF(MOD(S494,10)&lt;=5,FLOOR(S494,10)+6,FLOOR(S494,10)+9)), R494)</f>
        <v/>
      </c>
      <c r="U494" s="87" t="inlineStr">
        <is>
          <t>Основний</t>
        </is>
      </c>
      <c r="V494" s="88" t="n"/>
      <c r="W494" s="88" t="n"/>
      <c r="X494" s="89">
        <f>IFERROR(IF(OR(V494="",W494="",T494=""),"", IF(T494&gt;W494,"Дорогий",IF(T494&lt;V494,"Дешевий","У ринку"))),"")</f>
        <v/>
      </c>
      <c r="Y494" s="90" t="n"/>
      <c r="Z494" s="104">
        <f>CHOOSE(MATCH(IF($U494="","Основний",$U494),{"Трафіковий","Основний","Маржинальний","Сезонний","Стратегічний"},0),0.16,0.19,0.24,0.23,0.28)</f>
        <v/>
      </c>
      <c r="AA494" s="104">
        <f>CHOOSE(MATCH(IF($U494="","Основний",$U494),{"Трафіковий","Основний","Маржинальний","Сезонний","Стратегічний"},0),0.18,0.21,0.26,0.25,0.3)</f>
        <v/>
      </c>
      <c r="AB494" s="104">
        <f>CHOOSE(MATCH(IF($U494="","Основний",$U494),{"Трафіковий","Основний","Маржинальний","Сезонний","Стратегічний"},0),0.19,0.22,0.28,0.26,0.32)</f>
        <v/>
      </c>
      <c r="AC494" s="104">
        <f>CHOOSE(MATCH(IF($U494="","Основний",$U494),{"Трафіковий","Основний","Маржинальний","Сезонний","Стратегічний"},0),0.17,0.2,0.25,0.24,0.28)</f>
        <v/>
      </c>
      <c r="AD494" s="104">
        <f>CHOOSE(MATCH(IF($U494="","Основний",$U494),{"Трафіковий","Основний","Маржинальний","Сезонний","Стратегічний"},0),0.18,0.21,0.26,0.25,0.3)</f>
        <v/>
      </c>
      <c r="AE494" s="104">
        <f>CHOOSE(MATCH(IF($U494="","Основний",$U494),{"Трафіковий","Основний","Маржинальний","Сезонний","Стратегічний"},0),0.18,0.2,0.28,0.27,0.32)</f>
        <v/>
      </c>
      <c r="AF494" s="104">
        <f>CHOOSE(MATCH(IF($U494="","Основний",$U494),{"Трафіковий","Основний","Маржинальний","Сезонний","Стратегічний"},0),0.15,0.175,0.22,0.21,0.25)</f>
        <v/>
      </c>
      <c r="AG494" s="104">
        <f>CHOOSE(MATCH(IF($U494="","Основний",$U494),{"Трафіковий","Основний","Маржинальний","Сезонний","Стратегічний"},0),0.13,0.16,0.21,0.2,0.25)</f>
        <v/>
      </c>
      <c r="AH494" s="104">
        <f>CHOOSE(MATCH(IF($U494="","Основний",$U494),{"Трафіковий","Основний","Маржинальний","Сезонний","Стратегічний"},0),0.15,0.18,0.23,0.22,0.27)</f>
        <v/>
      </c>
      <c r="AI494" s="104">
        <f>CHOOSE(MATCH(IF($U494="","Основний",$U494),{"Трафіковий","Основний","Маржинальний","Сезонний","Стратегічний"},0),0.16,0.19,0.25,0.23,0.29)</f>
        <v/>
      </c>
      <c r="AJ494" s="104">
        <f>CHOOSE(MATCH(IF($U494="","Основний",$U494),{"Трафіковий","Основний","Маржинальний","Сезонний","Стратегічний"},0),0.14,0.17,0.22,0.21,0.25)</f>
        <v/>
      </c>
      <c r="AK494" s="104">
        <f>CHOOSE(MATCH(IF($U494="","Основний",$U494),{"Трафіковий","Основний","Маржинальний","Сезонний","Стратегічний"},0),0.15,0.18,0.23,0.22,0.27)</f>
        <v/>
      </c>
      <c r="AL494" s="104">
        <f>CHOOSE(MATCH(IF($U494="","Основний",$U494),{"Трафіковий","Основний","Маржинальний","Сезонний","Стратегічний"},0),0.15,0.17,0.25,0.24,0.29)</f>
        <v/>
      </c>
      <c r="AM494" s="104">
        <f>CHOOSE(MATCH(IF($U494="","Основний",$U494),{"Трафіковий","Основний","Маржинальний","Сезонний","Стратегічний"},0),0.12,0.145,0.19,0.18,0.22)</f>
        <v/>
      </c>
      <c r="AN494" s="157">
        <f>CHOOSE(MATCH(IF($U494="","Основний",$U494),{"Трафіковий","Основний","Маржинальний","Сезонний","Стратегічний"},0),Settings!$B$78,Settings!$B$80,Settings!$B$82,Settings!$B$84,Settings!$B$86)</f>
        <v/>
      </c>
      <c r="AO494" s="157">
        <f>CHOOSE(MATCH(IF($U494="","Основний",$U494),{"Трафіковий","Основний","Маржинальний","Сезонний","Стратегічний"},0),Settings!$C$78,Settings!$C$80,Settings!$C$82,Settings!$C$84,Settings!$C$86)</f>
        <v/>
      </c>
      <c r="AP494" s="157">
        <f>CHOOSE(MATCH(IF($U494="","Основний",$U494),{"Трафіковий","Основний","Маржинальний","Сезонний","Стратегічний"},0),Settings!$D$78,Settings!$D$80,Settings!$D$82,Settings!$D$84,Settings!$D$86)</f>
        <v/>
      </c>
      <c r="AQ494" s="157">
        <f>CHOOSE(MATCH(IF($U494="","Основний",$U494),{"Трафіковий","Основний","Маржинальний","Сезонний","Стратегічний"},0),Settings!$F$78,Settings!$F$80,Settings!$F$82,Settings!$F$84,Settings!$F$86)</f>
        <v/>
      </c>
      <c r="AR494" s="157">
        <f>CHOOSE(MATCH(IF($U494="","Основний",$U494),{"Трафіковий","Основний","Маржинальний","Сезонний","Стратегічний"},0),Settings!$G$78,Settings!$G$80,Settings!$G$82,Settings!$G$84,Settings!$G$86)</f>
        <v/>
      </c>
      <c r="AS494" s="157">
        <f>CHOOSE(MATCH(IF($U494="","Основний",$U494),{"Трафіковий","Основний","Маржинальний","Сезонний","Стратегічний"},0),Settings!$H$78,Settings!$H$80,Settings!$H$82,Settings!$H$84,Settings!$H$86)</f>
        <v/>
      </c>
      <c r="AT494" s="157">
        <f>CHOOSE(MATCH(IF($U494="","Основний",$U494),{"Трафіковий","Основний","Маржинальний","Сезонний","Стратегічний"},0),Settings!$I$78,Settings!$I$80,Settings!$I$82,Settings!$I$84,Settings!$I$86)</f>
        <v/>
      </c>
      <c r="AU494" s="171" t="n"/>
      <c r="AV494" t="n">
        <v>1.35</v>
      </c>
    </row>
    <row r="495">
      <c r="A495" s="33" t="n"/>
      <c r="B495" s="34" t="inlineStr">
        <is>
          <t>F61519</t>
        </is>
      </c>
      <c r="C495" s="34" t="inlineStr">
        <is>
          <t>TAPE PVC 15/10 GREEN</t>
        </is>
      </c>
      <c r="D495" s="34" t="inlineStr">
        <is>
          <t>Ізоляціна т а ініші стрічки</t>
        </is>
      </c>
      <c r="E495" s="33" t="inlineStr">
        <is>
          <t>PC</t>
        </is>
      </c>
      <c r="F495" s="94" t="n">
        <v>0.144</v>
      </c>
      <c r="G495" s="35" t="n">
        <v>3919101200</v>
      </c>
      <c r="H495" s="31" t="n">
        <v>1.35</v>
      </c>
      <c r="I495" s="84">
        <f>IFERROR(F495*Settings!$B$2*H495*IF(AND(ISNUMBER(E495),E495&gt;1),E495,1),"")</f>
        <v/>
      </c>
      <c r="J495" s="32">
        <f>Settings!$B$66</f>
        <v/>
      </c>
      <c r="K495" s="95">
        <f>IFERROR(IF(T495="","",(T495*(1-AN495)*(1-Settings!$B$17)-I495)/(T495*(1-AN495)*(1-Settings!$B$17))),"")</f>
        <v/>
      </c>
      <c r="L495" s="101">
        <f>IFERROR(IF(T495="","",(T495*(1-AO495)*(1-Settings!$C$17)-I495)/(T495*(1-AO495)*(1-Settings!$C$17))),"")</f>
        <v/>
      </c>
      <c r="M495" s="101">
        <f>IFERROR(IF(T495="","",(T495*(1-AP495)*(1-Settings!$D$17)-I495)/(T495*(1-AP495)*(1-Settings!$D$17))),"")</f>
        <v/>
      </c>
      <c r="N495" s="101">
        <f>IFERROR(IF(T495="","",(T495*(1-AQ495)*(1-Settings!$F$17)-I495)/(T495*(1-AQ495)*(1-Settings!$F$17))),"")</f>
        <v/>
      </c>
      <c r="O495" s="101">
        <f>IFERROR(IF(T495="","",(T495*(1-AR495)*(1-Settings!$G$17)-I495)/(T495*(1-AR495)*(1-Settings!$G$17))),"")</f>
        <v/>
      </c>
      <c r="P495" s="101">
        <f>IFERROR(IF(T495="","",(T495*(1-AS495)*(1-Settings!$H$17)-I495)/(T495*(1-AS495)*(1-Settings!$H$17))),"")</f>
        <v/>
      </c>
      <c r="Q495" s="101">
        <f>IFERROR(IF(T495="","",(T495*(1-AT495)*(1-Settings!$I$68)*(1-Settings!$I$17)-I495)/(T495*(1-AT495)*(1-Settings!$I$68)*(1-Settings!$I$17))),"")</f>
        <v/>
      </c>
      <c r="R495" s="91">
        <f>IFERROR(IF(OR(I495="",Z495&gt;=1,Settings!$B$17&gt;=1,AN495&gt;=1),"",IF(MOD(ROUND(I495/(1-Z495)/(1-Settings!$B$17)/(1-AN495),0),10)=0,ROUND(I495/(1-Z495)/(1-Settings!$B$17)/(1-AN495),0)-1,IF(MOD(ROUND(I495/(1-Z495)/(1-Settings!$B$17)/(1-AN495),0),10)&lt;=5,FLOOR(ROUND(I495/(1-Z495)/(1-Settings!$B$17)/(1-AN495),0),10)+6,FLOOR(ROUND(I495/(1-Z495)/(1-Settings!$B$17)/(1-AN495),0),10)+9))),"")</f>
        <v/>
      </c>
      <c r="S495" s="174" t="n"/>
      <c r="T495" s="91">
        <f>IF(S495&lt;&gt;"", IF(MOD(S495,10)=0,S495-1,IF(MOD(S495,10)&lt;=5,FLOOR(S495,10)+6,FLOOR(S495,10)+9)), R495)</f>
        <v/>
      </c>
      <c r="U495" s="87" t="inlineStr">
        <is>
          <t>Основний</t>
        </is>
      </c>
      <c r="V495" s="88" t="n"/>
      <c r="W495" s="88" t="n"/>
      <c r="X495" s="89">
        <f>IFERROR(IF(OR(V495="",W495="",T495=""),"", IF(T495&gt;W495,"Дорогий",IF(T495&lt;V495,"Дешевий","У ринку"))),"")</f>
        <v/>
      </c>
      <c r="Y495" s="90" t="n"/>
      <c r="Z495" s="104">
        <f>CHOOSE(MATCH(IF($U495="","Основний",$U495),{"Трафіковий","Основний","Маржинальний","Сезонний","Стратегічний"},0),0.16,0.19,0.24,0.23,0.28)</f>
        <v/>
      </c>
      <c r="AA495" s="104">
        <f>CHOOSE(MATCH(IF($U495="","Основний",$U495),{"Трафіковий","Основний","Маржинальний","Сезонний","Стратегічний"},0),0.18,0.21,0.26,0.25,0.3)</f>
        <v/>
      </c>
      <c r="AB495" s="104">
        <f>CHOOSE(MATCH(IF($U495="","Основний",$U495),{"Трафіковий","Основний","Маржинальний","Сезонний","Стратегічний"},0),0.19,0.22,0.28,0.26,0.32)</f>
        <v/>
      </c>
      <c r="AC495" s="104">
        <f>CHOOSE(MATCH(IF($U495="","Основний",$U495),{"Трафіковий","Основний","Маржинальний","Сезонний","Стратегічний"},0),0.17,0.2,0.25,0.24,0.28)</f>
        <v/>
      </c>
      <c r="AD495" s="104">
        <f>CHOOSE(MATCH(IF($U495="","Основний",$U495),{"Трафіковий","Основний","Маржинальний","Сезонний","Стратегічний"},0),0.18,0.21,0.26,0.25,0.3)</f>
        <v/>
      </c>
      <c r="AE495" s="104">
        <f>CHOOSE(MATCH(IF($U495="","Основний",$U495),{"Трафіковий","Основний","Маржинальний","Сезонний","Стратегічний"},0),0.18,0.2,0.28,0.27,0.32)</f>
        <v/>
      </c>
      <c r="AF495" s="104">
        <f>CHOOSE(MATCH(IF($U495="","Основний",$U495),{"Трафіковий","Основний","Маржинальний","Сезонний","Стратегічний"},0),0.15,0.175,0.22,0.21,0.25)</f>
        <v/>
      </c>
      <c r="AG495" s="104">
        <f>CHOOSE(MATCH(IF($U495="","Основний",$U495),{"Трафіковий","Основний","Маржинальний","Сезонний","Стратегічний"},0),0.13,0.16,0.21,0.2,0.25)</f>
        <v/>
      </c>
      <c r="AH495" s="104">
        <f>CHOOSE(MATCH(IF($U495="","Основний",$U495),{"Трафіковий","Основний","Маржинальний","Сезонний","Стратегічний"},0),0.15,0.18,0.23,0.22,0.27)</f>
        <v/>
      </c>
      <c r="AI495" s="104">
        <f>CHOOSE(MATCH(IF($U495="","Основний",$U495),{"Трафіковий","Основний","Маржинальний","Сезонний","Стратегічний"},0),0.16,0.19,0.25,0.23,0.29)</f>
        <v/>
      </c>
      <c r="AJ495" s="104">
        <f>CHOOSE(MATCH(IF($U495="","Основний",$U495),{"Трафіковий","Основний","Маржинальний","Сезонний","Стратегічний"},0),0.14,0.17,0.22,0.21,0.25)</f>
        <v/>
      </c>
      <c r="AK495" s="104">
        <f>CHOOSE(MATCH(IF($U495="","Основний",$U495),{"Трафіковий","Основний","Маржинальний","Сезонний","Стратегічний"},0),0.15,0.18,0.23,0.22,0.27)</f>
        <v/>
      </c>
      <c r="AL495" s="104">
        <f>CHOOSE(MATCH(IF($U495="","Основний",$U495),{"Трафіковий","Основний","Маржинальний","Сезонний","Стратегічний"},0),0.15,0.17,0.25,0.24,0.29)</f>
        <v/>
      </c>
      <c r="AM495" s="104">
        <f>CHOOSE(MATCH(IF($U495="","Основний",$U495),{"Трафіковий","Основний","Маржинальний","Сезонний","Стратегічний"},0),0.12,0.145,0.19,0.18,0.22)</f>
        <v/>
      </c>
      <c r="AN495" s="157">
        <f>CHOOSE(MATCH(IF($U495="","Основний",$U495),{"Трафіковий","Основний","Маржинальний","Сезонний","Стратегічний"},0),Settings!$B$78,Settings!$B$80,Settings!$B$82,Settings!$B$84,Settings!$B$86)</f>
        <v/>
      </c>
      <c r="AO495" s="157">
        <f>CHOOSE(MATCH(IF($U495="","Основний",$U495),{"Трафіковий","Основний","Маржинальний","Сезонний","Стратегічний"},0),Settings!$C$78,Settings!$C$80,Settings!$C$82,Settings!$C$84,Settings!$C$86)</f>
        <v/>
      </c>
      <c r="AP495" s="157">
        <f>CHOOSE(MATCH(IF($U495="","Основний",$U495),{"Трафіковий","Основний","Маржинальний","Сезонний","Стратегічний"},0),Settings!$D$78,Settings!$D$80,Settings!$D$82,Settings!$D$84,Settings!$D$86)</f>
        <v/>
      </c>
      <c r="AQ495" s="157">
        <f>CHOOSE(MATCH(IF($U495="","Основний",$U495),{"Трафіковий","Основний","Маржинальний","Сезонний","Стратегічний"},0),Settings!$F$78,Settings!$F$80,Settings!$F$82,Settings!$F$84,Settings!$F$86)</f>
        <v/>
      </c>
      <c r="AR495" s="157">
        <f>CHOOSE(MATCH(IF($U495="","Основний",$U495),{"Трафіковий","Основний","Маржинальний","Сезонний","Стратегічний"},0),Settings!$G$78,Settings!$G$80,Settings!$G$82,Settings!$G$84,Settings!$G$86)</f>
        <v/>
      </c>
      <c r="AS495" s="157">
        <f>CHOOSE(MATCH(IF($U495="","Основний",$U495),{"Трафіковий","Основний","Маржинальний","Сезонний","Стратегічний"},0),Settings!$H$78,Settings!$H$80,Settings!$H$82,Settings!$H$84,Settings!$H$86)</f>
        <v/>
      </c>
      <c r="AT495" s="157">
        <f>CHOOSE(MATCH(IF($U495="","Основний",$U495),{"Трафіковий","Основний","Маржинальний","Сезонний","Стратегічний"},0),Settings!$I$78,Settings!$I$80,Settings!$I$82,Settings!$I$84,Settings!$I$86)</f>
        <v/>
      </c>
      <c r="AU495" s="171" t="n"/>
      <c r="AV495" t="n">
        <v>1.35</v>
      </c>
    </row>
    <row r="496">
      <c r="A496" s="28" t="n"/>
      <c r="B496" s="29" t="inlineStr">
        <is>
          <t>F615992</t>
        </is>
      </c>
      <c r="C496" s="29" t="inlineStr">
        <is>
          <t>TAPE PVC 15/10 SET 10PCS MIX</t>
        </is>
      </c>
      <c r="D496" s="29" t="inlineStr">
        <is>
          <t>Ізоляціна т а ініші стрічки</t>
        </is>
      </c>
      <c r="E496" s="28" t="inlineStr">
        <is>
          <t>PC</t>
        </is>
      </c>
      <c r="F496" s="93" t="n">
        <v>0.149</v>
      </c>
      <c r="G496" s="30" t="n">
        <v>3919101200</v>
      </c>
      <c r="H496" s="31" t="n">
        <v>1.35</v>
      </c>
      <c r="I496" s="84">
        <f>IFERROR(F496*Settings!$B$2*H496*IF(AND(ISNUMBER(E496),E496&gt;1),E496,1),"")</f>
        <v/>
      </c>
      <c r="J496" s="32">
        <f>Settings!$B$66</f>
        <v/>
      </c>
      <c r="K496" s="95">
        <f>IFERROR(IF(T496="","",(T496*(1-AN496)*(1-Settings!$B$17)-I496)/(T496*(1-AN496)*(1-Settings!$B$17))),"")</f>
        <v/>
      </c>
      <c r="L496" s="101">
        <f>IFERROR(IF(T496="","",(T496*(1-AO496)*(1-Settings!$C$17)-I496)/(T496*(1-AO496)*(1-Settings!$C$17))),"")</f>
        <v/>
      </c>
      <c r="M496" s="101">
        <f>IFERROR(IF(T496="","",(T496*(1-AP496)*(1-Settings!$D$17)-I496)/(T496*(1-AP496)*(1-Settings!$D$17))),"")</f>
        <v/>
      </c>
      <c r="N496" s="101">
        <f>IFERROR(IF(T496="","",(T496*(1-AQ496)*(1-Settings!$F$17)-I496)/(T496*(1-AQ496)*(1-Settings!$F$17))),"")</f>
        <v/>
      </c>
      <c r="O496" s="101">
        <f>IFERROR(IF(T496="","",(T496*(1-AR496)*(1-Settings!$G$17)-I496)/(T496*(1-AR496)*(1-Settings!$G$17))),"")</f>
        <v/>
      </c>
      <c r="P496" s="101">
        <f>IFERROR(IF(T496="","",(T496*(1-AS496)*(1-Settings!$H$17)-I496)/(T496*(1-AS496)*(1-Settings!$H$17))),"")</f>
        <v/>
      </c>
      <c r="Q496" s="101">
        <f>IFERROR(IF(T496="","",(T496*(1-AT496)*(1-Settings!$I$68)*(1-Settings!$I$17)-I496)/(T496*(1-AT496)*(1-Settings!$I$68)*(1-Settings!$I$17))),"")</f>
        <v/>
      </c>
      <c r="R496" s="91">
        <f>IFERROR(IF(OR(I496="",Z496&gt;=1,Settings!$B$17&gt;=1,AN496&gt;=1),"",IF(MOD(ROUND(I496/(1-Z496)/(1-Settings!$B$17)/(1-AN496),0),10)=0,ROUND(I496/(1-Z496)/(1-Settings!$B$17)/(1-AN496),0)-1,IF(MOD(ROUND(I496/(1-Z496)/(1-Settings!$B$17)/(1-AN496),0),10)&lt;=5,FLOOR(ROUND(I496/(1-Z496)/(1-Settings!$B$17)/(1-AN496),0),10)+6,FLOOR(ROUND(I496/(1-Z496)/(1-Settings!$B$17)/(1-AN496),0),10)+9))),"")</f>
        <v/>
      </c>
      <c r="S496" s="174" t="n"/>
      <c r="T496" s="91">
        <f>IF(S496&lt;&gt;"", IF(MOD(S496,10)=0,S496-1,IF(MOD(S496,10)&lt;=5,FLOOR(S496,10)+6,FLOOR(S496,10)+9)), R496)</f>
        <v/>
      </c>
      <c r="U496" s="87" t="inlineStr">
        <is>
          <t>Основний</t>
        </is>
      </c>
      <c r="V496" s="88" t="n"/>
      <c r="W496" s="88" t="n"/>
      <c r="X496" s="89">
        <f>IFERROR(IF(OR(V496="",W496="",T496=""),"", IF(T496&gt;W496,"Дорогий",IF(T496&lt;V496,"Дешевий","У ринку"))),"")</f>
        <v/>
      </c>
      <c r="Y496" s="90" t="n"/>
      <c r="Z496" s="104">
        <f>CHOOSE(MATCH(IF($U496="","Основний",$U496),{"Трафіковий","Основний","Маржинальний","Сезонний","Стратегічний"},0),0.16,0.19,0.24,0.23,0.28)</f>
        <v/>
      </c>
      <c r="AA496" s="104">
        <f>CHOOSE(MATCH(IF($U496="","Основний",$U496),{"Трафіковий","Основний","Маржинальний","Сезонний","Стратегічний"},0),0.18,0.21,0.26,0.25,0.3)</f>
        <v/>
      </c>
      <c r="AB496" s="104">
        <f>CHOOSE(MATCH(IF($U496="","Основний",$U496),{"Трафіковий","Основний","Маржинальний","Сезонний","Стратегічний"},0),0.19,0.22,0.28,0.26,0.32)</f>
        <v/>
      </c>
      <c r="AC496" s="104">
        <f>CHOOSE(MATCH(IF($U496="","Основний",$U496),{"Трафіковий","Основний","Маржинальний","Сезонний","Стратегічний"},0),0.17,0.2,0.25,0.24,0.28)</f>
        <v/>
      </c>
      <c r="AD496" s="104">
        <f>CHOOSE(MATCH(IF($U496="","Основний",$U496),{"Трафіковий","Основний","Маржинальний","Сезонний","Стратегічний"},0),0.18,0.21,0.26,0.25,0.3)</f>
        <v/>
      </c>
      <c r="AE496" s="104">
        <f>CHOOSE(MATCH(IF($U496="","Основний",$U496),{"Трафіковий","Основний","Маржинальний","Сезонний","Стратегічний"},0),0.18,0.2,0.28,0.27,0.32)</f>
        <v/>
      </c>
      <c r="AF496" s="104">
        <f>CHOOSE(MATCH(IF($U496="","Основний",$U496),{"Трафіковий","Основний","Маржинальний","Сезонний","Стратегічний"},0),0.15,0.175,0.22,0.21,0.25)</f>
        <v/>
      </c>
      <c r="AG496" s="104">
        <f>CHOOSE(MATCH(IF($U496="","Основний",$U496),{"Трафіковий","Основний","Маржинальний","Сезонний","Стратегічний"},0),0.13,0.16,0.21,0.2,0.25)</f>
        <v/>
      </c>
      <c r="AH496" s="104">
        <f>CHOOSE(MATCH(IF($U496="","Основний",$U496),{"Трафіковий","Основний","Маржинальний","Сезонний","Стратегічний"},0),0.15,0.18,0.23,0.22,0.27)</f>
        <v/>
      </c>
      <c r="AI496" s="104">
        <f>CHOOSE(MATCH(IF($U496="","Основний",$U496),{"Трафіковий","Основний","Маржинальний","Сезонний","Стратегічний"},0),0.16,0.19,0.25,0.23,0.29)</f>
        <v/>
      </c>
      <c r="AJ496" s="104">
        <f>CHOOSE(MATCH(IF($U496="","Основний",$U496),{"Трафіковий","Основний","Маржинальний","Сезонний","Стратегічний"},0),0.14,0.17,0.22,0.21,0.25)</f>
        <v/>
      </c>
      <c r="AK496" s="104">
        <f>CHOOSE(MATCH(IF($U496="","Основний",$U496),{"Трафіковий","Основний","Маржинальний","Сезонний","Стратегічний"},0),0.15,0.18,0.23,0.22,0.27)</f>
        <v/>
      </c>
      <c r="AL496" s="104">
        <f>CHOOSE(MATCH(IF($U496="","Основний",$U496),{"Трафіковий","Основний","Маржинальний","Сезонний","Стратегічний"},0),0.15,0.17,0.25,0.24,0.29)</f>
        <v/>
      </c>
      <c r="AM496" s="104">
        <f>CHOOSE(MATCH(IF($U496="","Основний",$U496),{"Трафіковий","Основний","Маржинальний","Сезонний","Стратегічний"},0),0.12,0.145,0.19,0.18,0.22)</f>
        <v/>
      </c>
      <c r="AN496" s="157">
        <f>CHOOSE(MATCH(IF($U496="","Основний",$U496),{"Трафіковий","Основний","Маржинальний","Сезонний","Стратегічний"},0),Settings!$B$78,Settings!$B$80,Settings!$B$82,Settings!$B$84,Settings!$B$86)</f>
        <v/>
      </c>
      <c r="AO496" s="157">
        <f>CHOOSE(MATCH(IF($U496="","Основний",$U496),{"Трафіковий","Основний","Маржинальний","Сезонний","Стратегічний"},0),Settings!$C$78,Settings!$C$80,Settings!$C$82,Settings!$C$84,Settings!$C$86)</f>
        <v/>
      </c>
      <c r="AP496" s="157">
        <f>CHOOSE(MATCH(IF($U496="","Основний",$U496),{"Трафіковий","Основний","Маржинальний","Сезонний","Стратегічний"},0),Settings!$D$78,Settings!$D$80,Settings!$D$82,Settings!$D$84,Settings!$D$86)</f>
        <v/>
      </c>
      <c r="AQ496" s="157">
        <f>CHOOSE(MATCH(IF($U496="","Основний",$U496),{"Трафіковий","Основний","Маржинальний","Сезонний","Стратегічний"},0),Settings!$F$78,Settings!$F$80,Settings!$F$82,Settings!$F$84,Settings!$F$86)</f>
        <v/>
      </c>
      <c r="AR496" s="157">
        <f>CHOOSE(MATCH(IF($U496="","Основний",$U496),{"Трафіковий","Основний","Маржинальний","Сезонний","Стратегічний"},0),Settings!$G$78,Settings!$G$80,Settings!$G$82,Settings!$G$84,Settings!$G$86)</f>
        <v/>
      </c>
      <c r="AS496" s="157">
        <f>CHOOSE(MATCH(IF($U496="","Основний",$U496),{"Трафіковий","Основний","Маржинальний","Сезонний","Стратегічний"},0),Settings!$H$78,Settings!$H$80,Settings!$H$82,Settings!$H$84,Settings!$H$86)</f>
        <v/>
      </c>
      <c r="AT496" s="157">
        <f>CHOOSE(MATCH(IF($U496="","Основний",$U496),{"Трафіковий","Основний","Маржинальний","Сезонний","Стратегічний"},0),Settings!$I$78,Settings!$I$80,Settings!$I$82,Settings!$I$84,Settings!$I$86)</f>
        <v/>
      </c>
      <c r="AU496" s="171" t="n"/>
      <c r="AV496" t="n">
        <v>1.35</v>
      </c>
    </row>
    <row r="497">
      <c r="A497" s="33" t="inlineStr">
        <is>
          <t>NEW</t>
        </is>
      </c>
      <c r="B497" s="34" t="inlineStr">
        <is>
          <t>F61590</t>
        </is>
      </c>
      <c r="C497" s="34" t="inlineStr">
        <is>
          <t>PVC TAPE 15/8 6PCS COLORMIX</t>
        </is>
      </c>
      <c r="D497" s="34" t="inlineStr">
        <is>
          <t>Ізоляціна т а ініші стрічки</t>
        </is>
      </c>
      <c r="E497" s="33" t="inlineStr">
        <is>
          <t>PC</t>
        </is>
      </c>
      <c r="F497" s="94" t="n">
        <v>0.104</v>
      </c>
      <c r="G497" s="35" t="n">
        <v>3919101200</v>
      </c>
      <c r="H497" s="31" t="n">
        <v>1.35</v>
      </c>
      <c r="I497" s="84">
        <f>IFERROR(F497*Settings!$B$2*H497*IF(AND(ISNUMBER(E497),E497&gt;1),E497,1),"")</f>
        <v/>
      </c>
      <c r="J497" s="32">
        <f>Settings!$B$66</f>
        <v/>
      </c>
      <c r="K497" s="95">
        <f>IFERROR(IF(T497="","",(T497*(1-AN497)*(1-Settings!$B$17)-I497)/(T497*(1-AN497)*(1-Settings!$B$17))),"")</f>
        <v/>
      </c>
      <c r="L497" s="101">
        <f>IFERROR(IF(T497="","",(T497*(1-AO497)*(1-Settings!$C$17)-I497)/(T497*(1-AO497)*(1-Settings!$C$17))),"")</f>
        <v/>
      </c>
      <c r="M497" s="101">
        <f>IFERROR(IF(T497="","",(T497*(1-AP497)*(1-Settings!$D$17)-I497)/(T497*(1-AP497)*(1-Settings!$D$17))),"")</f>
        <v/>
      </c>
      <c r="N497" s="101">
        <f>IFERROR(IF(T497="","",(T497*(1-AQ497)*(1-Settings!$F$17)-I497)/(T497*(1-AQ497)*(1-Settings!$F$17))),"")</f>
        <v/>
      </c>
      <c r="O497" s="101">
        <f>IFERROR(IF(T497="","",(T497*(1-AR497)*(1-Settings!$G$17)-I497)/(T497*(1-AR497)*(1-Settings!$G$17))),"")</f>
        <v/>
      </c>
      <c r="P497" s="101">
        <f>IFERROR(IF(T497="","",(T497*(1-AS497)*(1-Settings!$H$17)-I497)/(T497*(1-AS497)*(1-Settings!$H$17))),"")</f>
        <v/>
      </c>
      <c r="Q497" s="101">
        <f>IFERROR(IF(T497="","",(T497*(1-AT497)*(1-Settings!$I$68)*(1-Settings!$I$17)-I497)/(T497*(1-AT497)*(1-Settings!$I$68)*(1-Settings!$I$17))),"")</f>
        <v/>
      </c>
      <c r="R497" s="91">
        <f>IFERROR(IF(OR(I497="",Z497&gt;=1,Settings!$B$17&gt;=1,AN497&gt;=1),"",IF(MOD(ROUND(I497/(1-Z497)/(1-Settings!$B$17)/(1-AN497),0),10)=0,ROUND(I497/(1-Z497)/(1-Settings!$B$17)/(1-AN497),0)-1,IF(MOD(ROUND(I497/(1-Z497)/(1-Settings!$B$17)/(1-AN497),0),10)&lt;=5,FLOOR(ROUND(I497/(1-Z497)/(1-Settings!$B$17)/(1-AN497),0),10)+6,FLOOR(ROUND(I497/(1-Z497)/(1-Settings!$B$17)/(1-AN497),0),10)+9))),"")</f>
        <v/>
      </c>
      <c r="S497" s="174" t="n"/>
      <c r="T497" s="91">
        <f>IF(S497&lt;&gt;"", IF(MOD(S497,10)=0,S497-1,IF(MOD(S497,10)&lt;=5,FLOOR(S497,10)+6,FLOOR(S497,10)+9)), R497)</f>
        <v/>
      </c>
      <c r="U497" s="87" t="inlineStr">
        <is>
          <t>Основний</t>
        </is>
      </c>
      <c r="V497" s="88" t="n"/>
      <c r="W497" s="88" t="n"/>
      <c r="X497" s="89">
        <f>IFERROR(IF(OR(V497="",W497="",T497=""),"", IF(T497&gt;W497,"Дорогий",IF(T497&lt;V497,"Дешевий","У ринку"))),"")</f>
        <v/>
      </c>
      <c r="Y497" s="90" t="n"/>
      <c r="Z497" s="104">
        <f>CHOOSE(MATCH(IF($U497="","Основний",$U497),{"Трафіковий","Основний","Маржинальний","Сезонний","Стратегічний"},0),0.16,0.19,0.24,0.23,0.28)</f>
        <v/>
      </c>
      <c r="AA497" s="104">
        <f>CHOOSE(MATCH(IF($U497="","Основний",$U497),{"Трафіковий","Основний","Маржинальний","Сезонний","Стратегічний"},0),0.18,0.21,0.26,0.25,0.3)</f>
        <v/>
      </c>
      <c r="AB497" s="104">
        <f>CHOOSE(MATCH(IF($U497="","Основний",$U497),{"Трафіковий","Основний","Маржинальний","Сезонний","Стратегічний"},0),0.19,0.22,0.28,0.26,0.32)</f>
        <v/>
      </c>
      <c r="AC497" s="104">
        <f>CHOOSE(MATCH(IF($U497="","Основний",$U497),{"Трафіковий","Основний","Маржинальний","Сезонний","Стратегічний"},0),0.17,0.2,0.25,0.24,0.28)</f>
        <v/>
      </c>
      <c r="AD497" s="104">
        <f>CHOOSE(MATCH(IF($U497="","Основний",$U497),{"Трафіковий","Основний","Маржинальний","Сезонний","Стратегічний"},0),0.18,0.21,0.26,0.25,0.3)</f>
        <v/>
      </c>
      <c r="AE497" s="104">
        <f>CHOOSE(MATCH(IF($U497="","Основний",$U497),{"Трафіковий","Основний","Маржинальний","Сезонний","Стратегічний"},0),0.18,0.2,0.28,0.27,0.32)</f>
        <v/>
      </c>
      <c r="AF497" s="104">
        <f>CHOOSE(MATCH(IF($U497="","Основний",$U497),{"Трафіковий","Основний","Маржинальний","Сезонний","Стратегічний"},0),0.15,0.175,0.22,0.21,0.25)</f>
        <v/>
      </c>
      <c r="AG497" s="104">
        <f>CHOOSE(MATCH(IF($U497="","Основний",$U497),{"Трафіковий","Основний","Маржинальний","Сезонний","Стратегічний"},0),0.13,0.16,0.21,0.2,0.25)</f>
        <v/>
      </c>
      <c r="AH497" s="104">
        <f>CHOOSE(MATCH(IF($U497="","Основний",$U497),{"Трафіковий","Основний","Маржинальний","Сезонний","Стратегічний"},0),0.15,0.18,0.23,0.22,0.27)</f>
        <v/>
      </c>
      <c r="AI497" s="104">
        <f>CHOOSE(MATCH(IF($U497="","Основний",$U497),{"Трафіковий","Основний","Маржинальний","Сезонний","Стратегічний"},0),0.16,0.19,0.25,0.23,0.29)</f>
        <v/>
      </c>
      <c r="AJ497" s="104">
        <f>CHOOSE(MATCH(IF($U497="","Основний",$U497),{"Трафіковий","Основний","Маржинальний","Сезонний","Стратегічний"},0),0.14,0.17,0.22,0.21,0.25)</f>
        <v/>
      </c>
      <c r="AK497" s="104">
        <f>CHOOSE(MATCH(IF($U497="","Основний",$U497),{"Трафіковий","Основний","Маржинальний","Сезонний","Стратегічний"},0),0.15,0.18,0.23,0.22,0.27)</f>
        <v/>
      </c>
      <c r="AL497" s="104">
        <f>CHOOSE(MATCH(IF($U497="","Основний",$U497),{"Трафіковий","Основний","Маржинальний","Сезонний","Стратегічний"},0),0.15,0.17,0.25,0.24,0.29)</f>
        <v/>
      </c>
      <c r="AM497" s="104">
        <f>CHOOSE(MATCH(IF($U497="","Основний",$U497),{"Трафіковий","Основний","Маржинальний","Сезонний","Стратегічний"},0),0.12,0.145,0.19,0.18,0.22)</f>
        <v/>
      </c>
      <c r="AN497" s="157">
        <f>CHOOSE(MATCH(IF($U497="","Основний",$U497),{"Трафіковий","Основний","Маржинальний","Сезонний","Стратегічний"},0),Settings!$B$78,Settings!$B$80,Settings!$B$82,Settings!$B$84,Settings!$B$86)</f>
        <v/>
      </c>
      <c r="AO497" s="157">
        <f>CHOOSE(MATCH(IF($U497="","Основний",$U497),{"Трафіковий","Основний","Маржинальний","Сезонний","Стратегічний"},0),Settings!$C$78,Settings!$C$80,Settings!$C$82,Settings!$C$84,Settings!$C$86)</f>
        <v/>
      </c>
      <c r="AP497" s="157">
        <f>CHOOSE(MATCH(IF($U497="","Основний",$U497),{"Трафіковий","Основний","Маржинальний","Сезонний","Стратегічний"},0),Settings!$D$78,Settings!$D$80,Settings!$D$82,Settings!$D$84,Settings!$D$86)</f>
        <v/>
      </c>
      <c r="AQ497" s="157">
        <f>CHOOSE(MATCH(IF($U497="","Основний",$U497),{"Трафіковий","Основний","Маржинальний","Сезонний","Стратегічний"},0),Settings!$F$78,Settings!$F$80,Settings!$F$82,Settings!$F$84,Settings!$F$86)</f>
        <v/>
      </c>
      <c r="AR497" s="157">
        <f>CHOOSE(MATCH(IF($U497="","Основний",$U497),{"Трафіковий","Основний","Маржинальний","Сезонний","Стратегічний"},0),Settings!$G$78,Settings!$G$80,Settings!$G$82,Settings!$G$84,Settings!$G$86)</f>
        <v/>
      </c>
      <c r="AS497" s="157">
        <f>CHOOSE(MATCH(IF($U497="","Основний",$U497),{"Трафіковий","Основний","Маржинальний","Сезонний","Стратегічний"},0),Settings!$H$78,Settings!$H$80,Settings!$H$82,Settings!$H$84,Settings!$H$86)</f>
        <v/>
      </c>
      <c r="AT497" s="157">
        <f>CHOOSE(MATCH(IF($U497="","Основний",$U497),{"Трафіковий","Основний","Маржинальний","Сезонний","Стратегічний"},0),Settings!$I$78,Settings!$I$80,Settings!$I$82,Settings!$I$84,Settings!$I$86)</f>
        <v/>
      </c>
      <c r="AU497" s="171" t="n"/>
      <c r="AV497" t="n">
        <v>1.35</v>
      </c>
    </row>
    <row r="498">
      <c r="A498" s="28" t="n"/>
      <c r="B498" s="29" t="inlineStr">
        <is>
          <t>F61921</t>
        </is>
      </c>
      <c r="C498" s="29" t="inlineStr">
        <is>
          <t>TAPE PVC 19/20 WHITE</t>
        </is>
      </c>
      <c r="D498" s="29" t="inlineStr">
        <is>
          <t>Ізоляціна т а ініші стрічки</t>
        </is>
      </c>
      <c r="E498" s="28" t="inlineStr">
        <is>
          <t>PC</t>
        </is>
      </c>
      <c r="F498" s="93" t="n">
        <v>0.32</v>
      </c>
      <c r="G498" s="30" t="n">
        <v>3919101200</v>
      </c>
      <c r="H498" s="31" t="n">
        <v>1.35</v>
      </c>
      <c r="I498" s="84">
        <f>IFERROR(F498*Settings!$B$2*H498*IF(AND(ISNUMBER(E498),E498&gt;1),E498,1),"")</f>
        <v/>
      </c>
      <c r="J498" s="32">
        <f>Settings!$B$66</f>
        <v/>
      </c>
      <c r="K498" s="95">
        <f>IFERROR(IF(T498="","",(T498*(1-AN498)*(1-Settings!$B$17)-I498)/(T498*(1-AN498)*(1-Settings!$B$17))),"")</f>
        <v/>
      </c>
      <c r="L498" s="101">
        <f>IFERROR(IF(T498="","",(T498*(1-AO498)*(1-Settings!$C$17)-I498)/(T498*(1-AO498)*(1-Settings!$C$17))),"")</f>
        <v/>
      </c>
      <c r="M498" s="101">
        <f>IFERROR(IF(T498="","",(T498*(1-AP498)*(1-Settings!$D$17)-I498)/(T498*(1-AP498)*(1-Settings!$D$17))),"")</f>
        <v/>
      </c>
      <c r="N498" s="101">
        <f>IFERROR(IF(T498="","",(T498*(1-AQ498)*(1-Settings!$F$17)-I498)/(T498*(1-AQ498)*(1-Settings!$F$17))),"")</f>
        <v/>
      </c>
      <c r="O498" s="101">
        <f>IFERROR(IF(T498="","",(T498*(1-AR498)*(1-Settings!$G$17)-I498)/(T498*(1-AR498)*(1-Settings!$G$17))),"")</f>
        <v/>
      </c>
      <c r="P498" s="101">
        <f>IFERROR(IF(T498="","",(T498*(1-AS498)*(1-Settings!$H$17)-I498)/(T498*(1-AS498)*(1-Settings!$H$17))),"")</f>
        <v/>
      </c>
      <c r="Q498" s="101">
        <f>IFERROR(IF(T498="","",(T498*(1-AT498)*(1-Settings!$I$68)*(1-Settings!$I$17)-I498)/(T498*(1-AT498)*(1-Settings!$I$68)*(1-Settings!$I$17))),"")</f>
        <v/>
      </c>
      <c r="R498" s="91">
        <f>IFERROR(IF(OR(I498="",Z498&gt;=1,Settings!$B$17&gt;=1,AN498&gt;=1),"",IF(MOD(ROUND(I498/(1-Z498)/(1-Settings!$B$17)/(1-AN498),0),10)=0,ROUND(I498/(1-Z498)/(1-Settings!$B$17)/(1-AN498),0)-1,IF(MOD(ROUND(I498/(1-Z498)/(1-Settings!$B$17)/(1-AN498),0),10)&lt;=5,FLOOR(ROUND(I498/(1-Z498)/(1-Settings!$B$17)/(1-AN498),0),10)+6,FLOOR(ROUND(I498/(1-Z498)/(1-Settings!$B$17)/(1-AN498),0),10)+9))),"")</f>
        <v/>
      </c>
      <c r="S498" s="174" t="n"/>
      <c r="T498" s="91">
        <f>IF(S498&lt;&gt;"", IF(MOD(S498,10)=0,S498-1,IF(MOD(S498,10)&lt;=5,FLOOR(S498,10)+6,FLOOR(S498,10)+9)), R498)</f>
        <v/>
      </c>
      <c r="U498" s="87" t="inlineStr">
        <is>
          <t>Основний</t>
        </is>
      </c>
      <c r="V498" s="88" t="n"/>
      <c r="W498" s="88" t="n"/>
      <c r="X498" s="89">
        <f>IFERROR(IF(OR(V498="",W498="",T498=""),"", IF(T498&gt;W498,"Дорогий",IF(T498&lt;V498,"Дешевий","У ринку"))),"")</f>
        <v/>
      </c>
      <c r="Y498" s="90" t="n"/>
      <c r="Z498" s="104">
        <f>CHOOSE(MATCH(IF($U498="","Основний",$U498),{"Трафіковий","Основний","Маржинальний","Сезонний","Стратегічний"},0),0.16,0.19,0.24,0.23,0.28)</f>
        <v/>
      </c>
      <c r="AA498" s="104">
        <f>CHOOSE(MATCH(IF($U498="","Основний",$U498),{"Трафіковий","Основний","Маржинальний","Сезонний","Стратегічний"},0),0.18,0.21,0.26,0.25,0.3)</f>
        <v/>
      </c>
      <c r="AB498" s="104">
        <f>CHOOSE(MATCH(IF($U498="","Основний",$U498),{"Трафіковий","Основний","Маржинальний","Сезонний","Стратегічний"},0),0.19,0.22,0.28,0.26,0.32)</f>
        <v/>
      </c>
      <c r="AC498" s="104">
        <f>CHOOSE(MATCH(IF($U498="","Основний",$U498),{"Трафіковий","Основний","Маржинальний","Сезонний","Стратегічний"},0),0.17,0.2,0.25,0.24,0.28)</f>
        <v/>
      </c>
      <c r="AD498" s="104">
        <f>CHOOSE(MATCH(IF($U498="","Основний",$U498),{"Трафіковий","Основний","Маржинальний","Сезонний","Стратегічний"},0),0.18,0.21,0.26,0.25,0.3)</f>
        <v/>
      </c>
      <c r="AE498" s="104">
        <f>CHOOSE(MATCH(IF($U498="","Основний",$U498),{"Трафіковий","Основний","Маржинальний","Сезонний","Стратегічний"},0),0.18,0.2,0.28,0.27,0.32)</f>
        <v/>
      </c>
      <c r="AF498" s="104">
        <f>CHOOSE(MATCH(IF($U498="","Основний",$U498),{"Трафіковий","Основний","Маржинальний","Сезонний","Стратегічний"},0),0.15,0.175,0.22,0.21,0.25)</f>
        <v/>
      </c>
      <c r="AG498" s="104">
        <f>CHOOSE(MATCH(IF($U498="","Основний",$U498),{"Трафіковий","Основний","Маржинальний","Сезонний","Стратегічний"},0),0.13,0.16,0.21,0.2,0.25)</f>
        <v/>
      </c>
      <c r="AH498" s="104">
        <f>CHOOSE(MATCH(IF($U498="","Основний",$U498),{"Трафіковий","Основний","Маржинальний","Сезонний","Стратегічний"},0),0.15,0.18,0.23,0.22,0.27)</f>
        <v/>
      </c>
      <c r="AI498" s="104">
        <f>CHOOSE(MATCH(IF($U498="","Основний",$U498),{"Трафіковий","Основний","Маржинальний","Сезонний","Стратегічний"},0),0.16,0.19,0.25,0.23,0.29)</f>
        <v/>
      </c>
      <c r="AJ498" s="104">
        <f>CHOOSE(MATCH(IF($U498="","Основний",$U498),{"Трафіковий","Основний","Маржинальний","Сезонний","Стратегічний"},0),0.14,0.17,0.22,0.21,0.25)</f>
        <v/>
      </c>
      <c r="AK498" s="104">
        <f>CHOOSE(MATCH(IF($U498="","Основний",$U498),{"Трафіковий","Основний","Маржинальний","Сезонний","Стратегічний"},0),0.15,0.18,0.23,0.22,0.27)</f>
        <v/>
      </c>
      <c r="AL498" s="104">
        <f>CHOOSE(MATCH(IF($U498="","Основний",$U498),{"Трафіковий","Основний","Маржинальний","Сезонний","Стратегічний"},0),0.15,0.17,0.25,0.24,0.29)</f>
        <v/>
      </c>
      <c r="AM498" s="104">
        <f>CHOOSE(MATCH(IF($U498="","Основний",$U498),{"Трафіковий","Основний","Маржинальний","Сезонний","Стратегічний"},0),0.12,0.145,0.19,0.18,0.22)</f>
        <v/>
      </c>
      <c r="AN498" s="157">
        <f>CHOOSE(MATCH(IF($U498="","Основний",$U498),{"Трафіковий","Основний","Маржинальний","Сезонний","Стратегічний"},0),Settings!$B$78,Settings!$B$80,Settings!$B$82,Settings!$B$84,Settings!$B$86)</f>
        <v/>
      </c>
      <c r="AO498" s="157">
        <f>CHOOSE(MATCH(IF($U498="","Основний",$U498),{"Трафіковий","Основний","Маржинальний","Сезонний","Стратегічний"},0),Settings!$C$78,Settings!$C$80,Settings!$C$82,Settings!$C$84,Settings!$C$86)</f>
        <v/>
      </c>
      <c r="AP498" s="157">
        <f>CHOOSE(MATCH(IF($U498="","Основний",$U498),{"Трафіковий","Основний","Маржинальний","Сезонний","Стратегічний"},0),Settings!$D$78,Settings!$D$80,Settings!$D$82,Settings!$D$84,Settings!$D$86)</f>
        <v/>
      </c>
      <c r="AQ498" s="157">
        <f>CHOOSE(MATCH(IF($U498="","Основний",$U498),{"Трафіковий","Основний","Маржинальний","Сезонний","Стратегічний"},0),Settings!$F$78,Settings!$F$80,Settings!$F$82,Settings!$F$84,Settings!$F$86)</f>
        <v/>
      </c>
      <c r="AR498" s="157">
        <f>CHOOSE(MATCH(IF($U498="","Основний",$U498),{"Трафіковий","Основний","Маржинальний","Сезонний","Стратегічний"},0),Settings!$G$78,Settings!$G$80,Settings!$G$82,Settings!$G$84,Settings!$G$86)</f>
        <v/>
      </c>
      <c r="AS498" s="157">
        <f>CHOOSE(MATCH(IF($U498="","Основний",$U498),{"Трафіковий","Основний","Маржинальний","Сезонний","Стратегічний"},0),Settings!$H$78,Settings!$H$80,Settings!$H$82,Settings!$H$84,Settings!$H$86)</f>
        <v/>
      </c>
      <c r="AT498" s="157">
        <f>CHOOSE(MATCH(IF($U498="","Основний",$U498),{"Трафіковий","Основний","Маржинальний","Сезонний","Стратегічний"},0),Settings!$I$78,Settings!$I$80,Settings!$I$82,Settings!$I$84,Settings!$I$86)</f>
        <v/>
      </c>
      <c r="AU498" s="171" t="n"/>
      <c r="AV498" t="n">
        <v>1.35</v>
      </c>
    </row>
    <row r="499">
      <c r="A499" s="33" t="n"/>
      <c r="B499" s="34" t="inlineStr">
        <is>
          <t>F61922</t>
        </is>
      </c>
      <c r="C499" s="34" t="inlineStr">
        <is>
          <t>TAPE PVC 19/20 BLACK</t>
        </is>
      </c>
      <c r="D499" s="34" t="inlineStr">
        <is>
          <t>Ізоляціна т а ініші стрічки</t>
        </is>
      </c>
      <c r="E499" s="33" t="inlineStr">
        <is>
          <t>PC</t>
        </is>
      </c>
      <c r="F499" s="94" t="n">
        <v>0.32</v>
      </c>
      <c r="G499" s="35" t="n">
        <v>3919101200</v>
      </c>
      <c r="H499" s="31" t="n">
        <v>1.35</v>
      </c>
      <c r="I499" s="84">
        <f>IFERROR(F499*Settings!$B$2*H499*IF(AND(ISNUMBER(E499),E499&gt;1),E499,1),"")</f>
        <v/>
      </c>
      <c r="J499" s="32">
        <f>Settings!$B$66</f>
        <v/>
      </c>
      <c r="K499" s="95">
        <f>IFERROR(IF(T499="","",(T499*(1-AN499)*(1-Settings!$B$17)-I499)/(T499*(1-AN499)*(1-Settings!$B$17))),"")</f>
        <v/>
      </c>
      <c r="L499" s="101">
        <f>IFERROR(IF(T499="","",(T499*(1-AO499)*(1-Settings!$C$17)-I499)/(T499*(1-AO499)*(1-Settings!$C$17))),"")</f>
        <v/>
      </c>
      <c r="M499" s="101">
        <f>IFERROR(IF(T499="","",(T499*(1-AP499)*(1-Settings!$D$17)-I499)/(T499*(1-AP499)*(1-Settings!$D$17))),"")</f>
        <v/>
      </c>
      <c r="N499" s="101">
        <f>IFERROR(IF(T499="","",(T499*(1-AQ499)*(1-Settings!$F$17)-I499)/(T499*(1-AQ499)*(1-Settings!$F$17))),"")</f>
        <v/>
      </c>
      <c r="O499" s="101">
        <f>IFERROR(IF(T499="","",(T499*(1-AR499)*(1-Settings!$G$17)-I499)/(T499*(1-AR499)*(1-Settings!$G$17))),"")</f>
        <v/>
      </c>
      <c r="P499" s="101">
        <f>IFERROR(IF(T499="","",(T499*(1-AS499)*(1-Settings!$H$17)-I499)/(T499*(1-AS499)*(1-Settings!$H$17))),"")</f>
        <v/>
      </c>
      <c r="Q499" s="101">
        <f>IFERROR(IF(T499="","",(T499*(1-AT499)*(1-Settings!$I$68)*(1-Settings!$I$17)-I499)/(T499*(1-AT499)*(1-Settings!$I$68)*(1-Settings!$I$17))),"")</f>
        <v/>
      </c>
      <c r="R499" s="91">
        <f>IFERROR(IF(OR(I499="",Z499&gt;=1,Settings!$B$17&gt;=1,AN499&gt;=1),"",IF(MOD(ROUND(I499/(1-Z499)/(1-Settings!$B$17)/(1-AN499),0),10)=0,ROUND(I499/(1-Z499)/(1-Settings!$B$17)/(1-AN499),0)-1,IF(MOD(ROUND(I499/(1-Z499)/(1-Settings!$B$17)/(1-AN499),0),10)&lt;=5,FLOOR(ROUND(I499/(1-Z499)/(1-Settings!$B$17)/(1-AN499),0),10)+6,FLOOR(ROUND(I499/(1-Z499)/(1-Settings!$B$17)/(1-AN499),0),10)+9))),"")</f>
        <v/>
      </c>
      <c r="S499" s="174" t="n"/>
      <c r="T499" s="91">
        <f>IF(S499&lt;&gt;"", IF(MOD(S499,10)=0,S499-1,IF(MOD(S499,10)&lt;=5,FLOOR(S499,10)+6,FLOOR(S499,10)+9)), R499)</f>
        <v/>
      </c>
      <c r="U499" s="87" t="inlineStr">
        <is>
          <t>Основний</t>
        </is>
      </c>
      <c r="V499" s="88" t="n"/>
      <c r="W499" s="88" t="n"/>
      <c r="X499" s="89">
        <f>IFERROR(IF(OR(V499="",W499="",T499=""),"", IF(T499&gt;W499,"Дорогий",IF(T499&lt;V499,"Дешевий","У ринку"))),"")</f>
        <v/>
      </c>
      <c r="Y499" s="90" t="n"/>
      <c r="Z499" s="104">
        <f>CHOOSE(MATCH(IF($U499="","Основний",$U499),{"Трафіковий","Основний","Маржинальний","Сезонний","Стратегічний"},0),0.16,0.19,0.24,0.23,0.28)</f>
        <v/>
      </c>
      <c r="AA499" s="104">
        <f>CHOOSE(MATCH(IF($U499="","Основний",$U499),{"Трафіковий","Основний","Маржинальний","Сезонний","Стратегічний"},0),0.18,0.21,0.26,0.25,0.3)</f>
        <v/>
      </c>
      <c r="AB499" s="104">
        <f>CHOOSE(MATCH(IF($U499="","Основний",$U499),{"Трафіковий","Основний","Маржинальний","Сезонний","Стратегічний"},0),0.19,0.22,0.28,0.26,0.32)</f>
        <v/>
      </c>
      <c r="AC499" s="104">
        <f>CHOOSE(MATCH(IF($U499="","Основний",$U499),{"Трафіковий","Основний","Маржинальний","Сезонний","Стратегічний"},0),0.17,0.2,0.25,0.24,0.28)</f>
        <v/>
      </c>
      <c r="AD499" s="104">
        <f>CHOOSE(MATCH(IF($U499="","Основний",$U499),{"Трафіковий","Основний","Маржинальний","Сезонний","Стратегічний"},0),0.18,0.21,0.26,0.25,0.3)</f>
        <v/>
      </c>
      <c r="AE499" s="104">
        <f>CHOOSE(MATCH(IF($U499="","Основний",$U499),{"Трафіковий","Основний","Маржинальний","Сезонний","Стратегічний"},0),0.18,0.2,0.28,0.27,0.32)</f>
        <v/>
      </c>
      <c r="AF499" s="104">
        <f>CHOOSE(MATCH(IF($U499="","Основний",$U499),{"Трафіковий","Основний","Маржинальний","Сезонний","Стратегічний"},0),0.15,0.175,0.22,0.21,0.25)</f>
        <v/>
      </c>
      <c r="AG499" s="104">
        <f>CHOOSE(MATCH(IF($U499="","Основний",$U499),{"Трафіковий","Основний","Маржинальний","Сезонний","Стратегічний"},0),0.13,0.16,0.21,0.2,0.25)</f>
        <v/>
      </c>
      <c r="AH499" s="104">
        <f>CHOOSE(MATCH(IF($U499="","Основний",$U499),{"Трафіковий","Основний","Маржинальний","Сезонний","Стратегічний"},0),0.15,0.18,0.23,0.22,0.27)</f>
        <v/>
      </c>
      <c r="AI499" s="104">
        <f>CHOOSE(MATCH(IF($U499="","Основний",$U499),{"Трафіковий","Основний","Маржинальний","Сезонний","Стратегічний"},0),0.16,0.19,0.25,0.23,0.29)</f>
        <v/>
      </c>
      <c r="AJ499" s="104">
        <f>CHOOSE(MATCH(IF($U499="","Основний",$U499),{"Трафіковий","Основний","Маржинальний","Сезонний","Стратегічний"},0),0.14,0.17,0.22,0.21,0.25)</f>
        <v/>
      </c>
      <c r="AK499" s="104">
        <f>CHOOSE(MATCH(IF($U499="","Основний",$U499),{"Трафіковий","Основний","Маржинальний","Сезонний","Стратегічний"},0),0.15,0.18,0.23,0.22,0.27)</f>
        <v/>
      </c>
      <c r="AL499" s="104">
        <f>CHOOSE(MATCH(IF($U499="","Основний",$U499),{"Трафіковий","Основний","Маржинальний","Сезонний","Стратегічний"},0),0.15,0.17,0.25,0.24,0.29)</f>
        <v/>
      </c>
      <c r="AM499" s="104">
        <f>CHOOSE(MATCH(IF($U499="","Основний",$U499),{"Трафіковий","Основний","Маржинальний","Сезонний","Стратегічний"},0),0.12,0.145,0.19,0.18,0.22)</f>
        <v/>
      </c>
      <c r="AN499" s="157">
        <f>CHOOSE(MATCH(IF($U499="","Основний",$U499),{"Трафіковий","Основний","Маржинальний","Сезонний","Стратегічний"},0),Settings!$B$78,Settings!$B$80,Settings!$B$82,Settings!$B$84,Settings!$B$86)</f>
        <v/>
      </c>
      <c r="AO499" s="157">
        <f>CHOOSE(MATCH(IF($U499="","Основний",$U499),{"Трафіковий","Основний","Маржинальний","Сезонний","Стратегічний"},0),Settings!$C$78,Settings!$C$80,Settings!$C$82,Settings!$C$84,Settings!$C$86)</f>
        <v/>
      </c>
      <c r="AP499" s="157">
        <f>CHOOSE(MATCH(IF($U499="","Основний",$U499),{"Трафіковий","Основний","Маржинальний","Сезонний","Стратегічний"},0),Settings!$D$78,Settings!$D$80,Settings!$D$82,Settings!$D$84,Settings!$D$86)</f>
        <v/>
      </c>
      <c r="AQ499" s="157">
        <f>CHOOSE(MATCH(IF($U499="","Основний",$U499),{"Трафіковий","Основний","Маржинальний","Сезонний","Стратегічний"},0),Settings!$F$78,Settings!$F$80,Settings!$F$82,Settings!$F$84,Settings!$F$86)</f>
        <v/>
      </c>
      <c r="AR499" s="157">
        <f>CHOOSE(MATCH(IF($U499="","Основний",$U499),{"Трафіковий","Основний","Маржинальний","Сезонний","Стратегічний"},0),Settings!$G$78,Settings!$G$80,Settings!$G$82,Settings!$G$84,Settings!$G$86)</f>
        <v/>
      </c>
      <c r="AS499" s="157">
        <f>CHOOSE(MATCH(IF($U499="","Основний",$U499),{"Трафіковий","Основний","Маржинальний","Сезонний","Стратегічний"},0),Settings!$H$78,Settings!$H$80,Settings!$H$82,Settings!$H$84,Settings!$H$86)</f>
        <v/>
      </c>
      <c r="AT499" s="157">
        <f>CHOOSE(MATCH(IF($U499="","Основний",$U499),{"Трафіковий","Основний","Маржинальний","Сезонний","Стратегічний"},0),Settings!$I$78,Settings!$I$80,Settings!$I$82,Settings!$I$84,Settings!$I$86)</f>
        <v/>
      </c>
      <c r="AU499" s="171" t="n"/>
      <c r="AV499" t="n">
        <v>1.35</v>
      </c>
    </row>
    <row r="500">
      <c r="A500" s="28" t="n"/>
      <c r="B500" s="29" t="inlineStr">
        <is>
          <t>F61923</t>
        </is>
      </c>
      <c r="C500" s="29" t="inlineStr">
        <is>
          <t>TAPE PVC 19/20 RED</t>
        </is>
      </c>
      <c r="D500" s="29" t="inlineStr">
        <is>
          <t>Ізоляціна т а ініші стрічки</t>
        </is>
      </c>
      <c r="E500" s="28" t="inlineStr">
        <is>
          <t>PC</t>
        </is>
      </c>
      <c r="F500" s="93" t="n">
        <v>0.32</v>
      </c>
      <c r="G500" s="30" t="n">
        <v>3919101200</v>
      </c>
      <c r="H500" s="31" t="n">
        <v>1.35</v>
      </c>
      <c r="I500" s="84">
        <f>IFERROR(F500*Settings!$B$2*H500*IF(AND(ISNUMBER(E500),E500&gt;1),E500,1),"")</f>
        <v/>
      </c>
      <c r="J500" s="32">
        <f>Settings!$B$66</f>
        <v/>
      </c>
      <c r="K500" s="95">
        <f>IFERROR(IF(T500="","",(T500*(1-AN500)*(1-Settings!$B$17)-I500)/(T500*(1-AN500)*(1-Settings!$B$17))),"")</f>
        <v/>
      </c>
      <c r="L500" s="101">
        <f>IFERROR(IF(T500="","",(T500*(1-AO500)*(1-Settings!$C$17)-I500)/(T500*(1-AO500)*(1-Settings!$C$17))),"")</f>
        <v/>
      </c>
      <c r="M500" s="101">
        <f>IFERROR(IF(T500="","",(T500*(1-AP500)*(1-Settings!$D$17)-I500)/(T500*(1-AP500)*(1-Settings!$D$17))),"")</f>
        <v/>
      </c>
      <c r="N500" s="101">
        <f>IFERROR(IF(T500="","",(T500*(1-AQ500)*(1-Settings!$F$17)-I500)/(T500*(1-AQ500)*(1-Settings!$F$17))),"")</f>
        <v/>
      </c>
      <c r="O500" s="101">
        <f>IFERROR(IF(T500="","",(T500*(1-AR500)*(1-Settings!$G$17)-I500)/(T500*(1-AR500)*(1-Settings!$G$17))),"")</f>
        <v/>
      </c>
      <c r="P500" s="101">
        <f>IFERROR(IF(T500="","",(T500*(1-AS500)*(1-Settings!$H$17)-I500)/(T500*(1-AS500)*(1-Settings!$H$17))),"")</f>
        <v/>
      </c>
      <c r="Q500" s="101">
        <f>IFERROR(IF(T500="","",(T500*(1-AT500)*(1-Settings!$I$68)*(1-Settings!$I$17)-I500)/(T500*(1-AT500)*(1-Settings!$I$68)*(1-Settings!$I$17))),"")</f>
        <v/>
      </c>
      <c r="R500" s="91">
        <f>IFERROR(IF(OR(I500="",Z500&gt;=1,Settings!$B$17&gt;=1,AN500&gt;=1),"",IF(MOD(ROUND(I500/(1-Z500)/(1-Settings!$B$17)/(1-AN500),0),10)=0,ROUND(I500/(1-Z500)/(1-Settings!$B$17)/(1-AN500),0)-1,IF(MOD(ROUND(I500/(1-Z500)/(1-Settings!$B$17)/(1-AN500),0),10)&lt;=5,FLOOR(ROUND(I500/(1-Z500)/(1-Settings!$B$17)/(1-AN500),0),10)+6,FLOOR(ROUND(I500/(1-Z500)/(1-Settings!$B$17)/(1-AN500),0),10)+9))),"")</f>
        <v/>
      </c>
      <c r="S500" s="174" t="n"/>
      <c r="T500" s="91">
        <f>IF(S500&lt;&gt;"", IF(MOD(S500,10)=0,S500-1,IF(MOD(S500,10)&lt;=5,FLOOR(S500,10)+6,FLOOR(S500,10)+9)), R500)</f>
        <v/>
      </c>
      <c r="U500" s="87" t="inlineStr">
        <is>
          <t>Основний</t>
        </is>
      </c>
      <c r="V500" s="88" t="n"/>
      <c r="W500" s="88" t="n"/>
      <c r="X500" s="89">
        <f>IFERROR(IF(OR(V500="",W500="",T500=""),"", IF(T500&gt;W500,"Дорогий",IF(T500&lt;V500,"Дешевий","У ринку"))),"")</f>
        <v/>
      </c>
      <c r="Y500" s="90" t="n"/>
      <c r="Z500" s="104">
        <f>CHOOSE(MATCH(IF($U500="","Основний",$U500),{"Трафіковий","Основний","Маржинальний","Сезонний","Стратегічний"},0),0.16,0.19,0.24,0.23,0.28)</f>
        <v/>
      </c>
      <c r="AA500" s="104">
        <f>CHOOSE(MATCH(IF($U500="","Основний",$U500),{"Трафіковий","Основний","Маржинальний","Сезонний","Стратегічний"},0),0.18,0.21,0.26,0.25,0.3)</f>
        <v/>
      </c>
      <c r="AB500" s="104">
        <f>CHOOSE(MATCH(IF($U500="","Основний",$U500),{"Трафіковий","Основний","Маржинальний","Сезонний","Стратегічний"},0),0.19,0.22,0.28,0.26,0.32)</f>
        <v/>
      </c>
      <c r="AC500" s="104">
        <f>CHOOSE(MATCH(IF($U500="","Основний",$U500),{"Трафіковий","Основний","Маржинальний","Сезонний","Стратегічний"},0),0.17,0.2,0.25,0.24,0.28)</f>
        <v/>
      </c>
      <c r="AD500" s="104">
        <f>CHOOSE(MATCH(IF($U500="","Основний",$U500),{"Трафіковий","Основний","Маржинальний","Сезонний","Стратегічний"},0),0.18,0.21,0.26,0.25,0.3)</f>
        <v/>
      </c>
      <c r="AE500" s="104">
        <f>CHOOSE(MATCH(IF($U500="","Основний",$U500),{"Трафіковий","Основний","Маржинальний","Сезонний","Стратегічний"},0),0.18,0.2,0.28,0.27,0.32)</f>
        <v/>
      </c>
      <c r="AF500" s="104">
        <f>CHOOSE(MATCH(IF($U500="","Основний",$U500),{"Трафіковий","Основний","Маржинальний","Сезонний","Стратегічний"},0),0.15,0.175,0.22,0.21,0.25)</f>
        <v/>
      </c>
      <c r="AG500" s="104">
        <f>CHOOSE(MATCH(IF($U500="","Основний",$U500),{"Трафіковий","Основний","Маржинальний","Сезонний","Стратегічний"},0),0.13,0.16,0.21,0.2,0.25)</f>
        <v/>
      </c>
      <c r="AH500" s="104">
        <f>CHOOSE(MATCH(IF($U500="","Основний",$U500),{"Трафіковий","Основний","Маржинальний","Сезонний","Стратегічний"},0),0.15,0.18,0.23,0.22,0.27)</f>
        <v/>
      </c>
      <c r="AI500" s="104">
        <f>CHOOSE(MATCH(IF($U500="","Основний",$U500),{"Трафіковий","Основний","Маржинальний","Сезонний","Стратегічний"},0),0.16,0.19,0.25,0.23,0.29)</f>
        <v/>
      </c>
      <c r="AJ500" s="104">
        <f>CHOOSE(MATCH(IF($U500="","Основний",$U500),{"Трафіковий","Основний","Маржинальний","Сезонний","Стратегічний"},0),0.14,0.17,0.22,0.21,0.25)</f>
        <v/>
      </c>
      <c r="AK500" s="104">
        <f>CHOOSE(MATCH(IF($U500="","Основний",$U500),{"Трафіковий","Основний","Маржинальний","Сезонний","Стратегічний"},0),0.15,0.18,0.23,0.22,0.27)</f>
        <v/>
      </c>
      <c r="AL500" s="104">
        <f>CHOOSE(MATCH(IF($U500="","Основний",$U500),{"Трафіковий","Основний","Маржинальний","Сезонний","Стратегічний"},0),0.15,0.17,0.25,0.24,0.29)</f>
        <v/>
      </c>
      <c r="AM500" s="104">
        <f>CHOOSE(MATCH(IF($U500="","Основний",$U500),{"Трафіковий","Основний","Маржинальний","Сезонний","Стратегічний"},0),0.12,0.145,0.19,0.18,0.22)</f>
        <v/>
      </c>
      <c r="AN500" s="157">
        <f>CHOOSE(MATCH(IF($U500="","Основний",$U500),{"Трафіковий","Основний","Маржинальний","Сезонний","Стратегічний"},0),Settings!$B$78,Settings!$B$80,Settings!$B$82,Settings!$B$84,Settings!$B$86)</f>
        <v/>
      </c>
      <c r="AO500" s="157">
        <f>CHOOSE(MATCH(IF($U500="","Основний",$U500),{"Трафіковий","Основний","Маржинальний","Сезонний","Стратегічний"},0),Settings!$C$78,Settings!$C$80,Settings!$C$82,Settings!$C$84,Settings!$C$86)</f>
        <v/>
      </c>
      <c r="AP500" s="157">
        <f>CHOOSE(MATCH(IF($U500="","Основний",$U500),{"Трафіковий","Основний","Маржинальний","Сезонний","Стратегічний"},0),Settings!$D$78,Settings!$D$80,Settings!$D$82,Settings!$D$84,Settings!$D$86)</f>
        <v/>
      </c>
      <c r="AQ500" s="157">
        <f>CHOOSE(MATCH(IF($U500="","Основний",$U500),{"Трафіковий","Основний","Маржинальний","Сезонний","Стратегічний"},0),Settings!$F$78,Settings!$F$80,Settings!$F$82,Settings!$F$84,Settings!$F$86)</f>
        <v/>
      </c>
      <c r="AR500" s="157">
        <f>CHOOSE(MATCH(IF($U500="","Основний",$U500),{"Трафіковий","Основний","Маржинальний","Сезонний","Стратегічний"},0),Settings!$G$78,Settings!$G$80,Settings!$G$82,Settings!$G$84,Settings!$G$86)</f>
        <v/>
      </c>
      <c r="AS500" s="157">
        <f>CHOOSE(MATCH(IF($U500="","Основний",$U500),{"Трафіковий","Основний","Маржинальний","Сезонний","Стратегічний"},0),Settings!$H$78,Settings!$H$80,Settings!$H$82,Settings!$H$84,Settings!$H$86)</f>
        <v/>
      </c>
      <c r="AT500" s="157">
        <f>CHOOSE(MATCH(IF($U500="","Основний",$U500),{"Трафіковий","Основний","Маржинальний","Сезонний","Стратегічний"},0),Settings!$I$78,Settings!$I$80,Settings!$I$82,Settings!$I$84,Settings!$I$86)</f>
        <v/>
      </c>
      <c r="AU500" s="171" t="n"/>
      <c r="AV500" t="n">
        <v>1.35</v>
      </c>
    </row>
    <row r="501">
      <c r="A501" s="33" t="n"/>
      <c r="B501" s="34" t="inlineStr">
        <is>
          <t>F61924</t>
        </is>
      </c>
      <c r="C501" s="34" t="inlineStr">
        <is>
          <t>TAPE PVC 19/20 BLUE</t>
        </is>
      </c>
      <c r="D501" s="34" t="inlineStr">
        <is>
          <t>Ізоляціна т а ініші стрічки</t>
        </is>
      </c>
      <c r="E501" s="33" t="inlineStr">
        <is>
          <t>PC</t>
        </is>
      </c>
      <c r="F501" s="94" t="n">
        <v>0.32</v>
      </c>
      <c r="G501" s="35" t="n">
        <v>3919101200</v>
      </c>
      <c r="H501" s="31" t="n">
        <v>1.35</v>
      </c>
      <c r="I501" s="84">
        <f>IFERROR(F501*Settings!$B$2*H501*IF(AND(ISNUMBER(E501),E501&gt;1),E501,1),"")</f>
        <v/>
      </c>
      <c r="J501" s="32">
        <f>Settings!$B$66</f>
        <v/>
      </c>
      <c r="K501" s="95">
        <f>IFERROR(IF(T501="","",(T501*(1-AN501)*(1-Settings!$B$17)-I501)/(T501*(1-AN501)*(1-Settings!$B$17))),"")</f>
        <v/>
      </c>
      <c r="L501" s="101">
        <f>IFERROR(IF(T501="","",(T501*(1-AO501)*(1-Settings!$C$17)-I501)/(T501*(1-AO501)*(1-Settings!$C$17))),"")</f>
        <v/>
      </c>
      <c r="M501" s="101">
        <f>IFERROR(IF(T501="","",(T501*(1-AP501)*(1-Settings!$D$17)-I501)/(T501*(1-AP501)*(1-Settings!$D$17))),"")</f>
        <v/>
      </c>
      <c r="N501" s="101">
        <f>IFERROR(IF(T501="","",(T501*(1-AQ501)*(1-Settings!$F$17)-I501)/(T501*(1-AQ501)*(1-Settings!$F$17))),"")</f>
        <v/>
      </c>
      <c r="O501" s="101">
        <f>IFERROR(IF(T501="","",(T501*(1-AR501)*(1-Settings!$G$17)-I501)/(T501*(1-AR501)*(1-Settings!$G$17))),"")</f>
        <v/>
      </c>
      <c r="P501" s="101">
        <f>IFERROR(IF(T501="","",(T501*(1-AS501)*(1-Settings!$H$17)-I501)/(T501*(1-AS501)*(1-Settings!$H$17))),"")</f>
        <v/>
      </c>
      <c r="Q501" s="101">
        <f>IFERROR(IF(T501="","",(T501*(1-AT501)*(1-Settings!$I$68)*(1-Settings!$I$17)-I501)/(T501*(1-AT501)*(1-Settings!$I$68)*(1-Settings!$I$17))),"")</f>
        <v/>
      </c>
      <c r="R501" s="91">
        <f>IFERROR(IF(OR(I501="",Z501&gt;=1,Settings!$B$17&gt;=1,AN501&gt;=1),"",IF(MOD(ROUND(I501/(1-Z501)/(1-Settings!$B$17)/(1-AN501),0),10)=0,ROUND(I501/(1-Z501)/(1-Settings!$B$17)/(1-AN501),0)-1,IF(MOD(ROUND(I501/(1-Z501)/(1-Settings!$B$17)/(1-AN501),0),10)&lt;=5,FLOOR(ROUND(I501/(1-Z501)/(1-Settings!$B$17)/(1-AN501),0),10)+6,FLOOR(ROUND(I501/(1-Z501)/(1-Settings!$B$17)/(1-AN501),0),10)+9))),"")</f>
        <v/>
      </c>
      <c r="S501" s="174" t="n"/>
      <c r="T501" s="91">
        <f>IF(S501&lt;&gt;"", IF(MOD(S501,10)=0,S501-1,IF(MOD(S501,10)&lt;=5,FLOOR(S501,10)+6,FLOOR(S501,10)+9)), R501)</f>
        <v/>
      </c>
      <c r="U501" s="87" t="inlineStr">
        <is>
          <t>Основний</t>
        </is>
      </c>
      <c r="V501" s="88" t="n"/>
      <c r="W501" s="88" t="n"/>
      <c r="X501" s="89">
        <f>IFERROR(IF(OR(V501="",W501="",T501=""),"", IF(T501&gt;W501,"Дорогий",IF(T501&lt;V501,"Дешевий","У ринку"))),"")</f>
        <v/>
      </c>
      <c r="Y501" s="90" t="n"/>
      <c r="Z501" s="104">
        <f>CHOOSE(MATCH(IF($U501="","Основний",$U501),{"Трафіковий","Основний","Маржинальний","Сезонний","Стратегічний"},0),0.16,0.19,0.24,0.23,0.28)</f>
        <v/>
      </c>
      <c r="AA501" s="104">
        <f>CHOOSE(MATCH(IF($U501="","Основний",$U501),{"Трафіковий","Основний","Маржинальний","Сезонний","Стратегічний"},0),0.18,0.21,0.26,0.25,0.3)</f>
        <v/>
      </c>
      <c r="AB501" s="104">
        <f>CHOOSE(MATCH(IF($U501="","Основний",$U501),{"Трафіковий","Основний","Маржинальний","Сезонний","Стратегічний"},0),0.19,0.22,0.28,0.26,0.32)</f>
        <v/>
      </c>
      <c r="AC501" s="104">
        <f>CHOOSE(MATCH(IF($U501="","Основний",$U501),{"Трафіковий","Основний","Маржинальний","Сезонний","Стратегічний"},0),0.17,0.2,0.25,0.24,0.28)</f>
        <v/>
      </c>
      <c r="AD501" s="104">
        <f>CHOOSE(MATCH(IF($U501="","Основний",$U501),{"Трафіковий","Основний","Маржинальний","Сезонний","Стратегічний"},0),0.18,0.21,0.26,0.25,0.3)</f>
        <v/>
      </c>
      <c r="AE501" s="104">
        <f>CHOOSE(MATCH(IF($U501="","Основний",$U501),{"Трафіковий","Основний","Маржинальний","Сезонний","Стратегічний"},0),0.18,0.2,0.28,0.27,0.32)</f>
        <v/>
      </c>
      <c r="AF501" s="104">
        <f>CHOOSE(MATCH(IF($U501="","Основний",$U501),{"Трафіковий","Основний","Маржинальний","Сезонний","Стратегічний"},0),0.15,0.175,0.22,0.21,0.25)</f>
        <v/>
      </c>
      <c r="AG501" s="104">
        <f>CHOOSE(MATCH(IF($U501="","Основний",$U501),{"Трафіковий","Основний","Маржинальний","Сезонний","Стратегічний"},0),0.13,0.16,0.21,0.2,0.25)</f>
        <v/>
      </c>
      <c r="AH501" s="104">
        <f>CHOOSE(MATCH(IF($U501="","Основний",$U501),{"Трафіковий","Основний","Маржинальний","Сезонний","Стратегічний"},0),0.15,0.18,0.23,0.22,0.27)</f>
        <v/>
      </c>
      <c r="AI501" s="104">
        <f>CHOOSE(MATCH(IF($U501="","Основний",$U501),{"Трафіковий","Основний","Маржинальний","Сезонний","Стратегічний"},0),0.16,0.19,0.25,0.23,0.29)</f>
        <v/>
      </c>
      <c r="AJ501" s="104">
        <f>CHOOSE(MATCH(IF($U501="","Основний",$U501),{"Трафіковий","Основний","Маржинальний","Сезонний","Стратегічний"},0),0.14,0.17,0.22,0.21,0.25)</f>
        <v/>
      </c>
      <c r="AK501" s="104">
        <f>CHOOSE(MATCH(IF($U501="","Основний",$U501),{"Трафіковий","Основний","Маржинальний","Сезонний","Стратегічний"},0),0.15,0.18,0.23,0.22,0.27)</f>
        <v/>
      </c>
      <c r="AL501" s="104">
        <f>CHOOSE(MATCH(IF($U501="","Основний",$U501),{"Трафіковий","Основний","Маржинальний","Сезонний","Стратегічний"},0),0.15,0.17,0.25,0.24,0.29)</f>
        <v/>
      </c>
      <c r="AM501" s="104">
        <f>CHOOSE(MATCH(IF($U501="","Основний",$U501),{"Трафіковий","Основний","Маржинальний","Сезонний","Стратегічний"},0),0.12,0.145,0.19,0.18,0.22)</f>
        <v/>
      </c>
      <c r="AN501" s="157">
        <f>CHOOSE(MATCH(IF($U501="","Основний",$U501),{"Трафіковий","Основний","Маржинальний","Сезонний","Стратегічний"},0),Settings!$B$78,Settings!$B$80,Settings!$B$82,Settings!$B$84,Settings!$B$86)</f>
        <v/>
      </c>
      <c r="AO501" s="157">
        <f>CHOOSE(MATCH(IF($U501="","Основний",$U501),{"Трафіковий","Основний","Маржинальний","Сезонний","Стратегічний"},0),Settings!$C$78,Settings!$C$80,Settings!$C$82,Settings!$C$84,Settings!$C$86)</f>
        <v/>
      </c>
      <c r="AP501" s="157">
        <f>CHOOSE(MATCH(IF($U501="","Основний",$U501),{"Трафіковий","Основний","Маржинальний","Сезонний","Стратегічний"},0),Settings!$D$78,Settings!$D$80,Settings!$D$82,Settings!$D$84,Settings!$D$86)</f>
        <v/>
      </c>
      <c r="AQ501" s="157">
        <f>CHOOSE(MATCH(IF($U501="","Основний",$U501),{"Трафіковий","Основний","Маржинальний","Сезонний","Стратегічний"},0),Settings!$F$78,Settings!$F$80,Settings!$F$82,Settings!$F$84,Settings!$F$86)</f>
        <v/>
      </c>
      <c r="AR501" s="157">
        <f>CHOOSE(MATCH(IF($U501="","Основний",$U501),{"Трафіковий","Основний","Маржинальний","Сезонний","Стратегічний"},0),Settings!$G$78,Settings!$G$80,Settings!$G$82,Settings!$G$84,Settings!$G$86)</f>
        <v/>
      </c>
      <c r="AS501" s="157">
        <f>CHOOSE(MATCH(IF($U501="","Основний",$U501),{"Трафіковий","Основний","Маржинальний","Сезонний","Стратегічний"},0),Settings!$H$78,Settings!$H$80,Settings!$H$82,Settings!$H$84,Settings!$H$86)</f>
        <v/>
      </c>
      <c r="AT501" s="157">
        <f>CHOOSE(MATCH(IF($U501="","Основний",$U501),{"Трафіковий","Основний","Маржинальний","Сезонний","Стратегічний"},0),Settings!$I$78,Settings!$I$80,Settings!$I$82,Settings!$I$84,Settings!$I$86)</f>
        <v/>
      </c>
      <c r="AU501" s="171" t="n"/>
      <c r="AV501" t="n">
        <v>1.35</v>
      </c>
    </row>
    <row r="502">
      <c r="A502" s="28" t="n"/>
      <c r="B502" s="29" t="inlineStr">
        <is>
          <t>F61925</t>
        </is>
      </c>
      <c r="C502" s="29" t="inlineStr">
        <is>
          <t>TAPE PVC 19/20 GREEN/YELLOW</t>
        </is>
      </c>
      <c r="D502" s="29" t="inlineStr">
        <is>
          <t>Ізоляціна т а ініші стрічки</t>
        </is>
      </c>
      <c r="E502" s="28" t="inlineStr">
        <is>
          <t>PC</t>
        </is>
      </c>
      <c r="F502" s="93" t="n">
        <v>0.428</v>
      </c>
      <c r="G502" s="30" t="n">
        <v>3919101200</v>
      </c>
      <c r="H502" s="31" t="n">
        <v>1.35</v>
      </c>
      <c r="I502" s="84">
        <f>IFERROR(F502*Settings!$B$2*H502*IF(AND(ISNUMBER(E502),E502&gt;1),E502,1),"")</f>
        <v/>
      </c>
      <c r="J502" s="32">
        <f>Settings!$B$66</f>
        <v/>
      </c>
      <c r="K502" s="95">
        <f>IFERROR(IF(T502="","",(T502*(1-AN502)*(1-Settings!$B$17)-I502)/(T502*(1-AN502)*(1-Settings!$B$17))),"")</f>
        <v/>
      </c>
      <c r="L502" s="101">
        <f>IFERROR(IF(T502="","",(T502*(1-AO502)*(1-Settings!$C$17)-I502)/(T502*(1-AO502)*(1-Settings!$C$17))),"")</f>
        <v/>
      </c>
      <c r="M502" s="101">
        <f>IFERROR(IF(T502="","",(T502*(1-AP502)*(1-Settings!$D$17)-I502)/(T502*(1-AP502)*(1-Settings!$D$17))),"")</f>
        <v/>
      </c>
      <c r="N502" s="101">
        <f>IFERROR(IF(T502="","",(T502*(1-AQ502)*(1-Settings!$F$17)-I502)/(T502*(1-AQ502)*(1-Settings!$F$17))),"")</f>
        <v/>
      </c>
      <c r="O502" s="101">
        <f>IFERROR(IF(T502="","",(T502*(1-AR502)*(1-Settings!$G$17)-I502)/(T502*(1-AR502)*(1-Settings!$G$17))),"")</f>
        <v/>
      </c>
      <c r="P502" s="101">
        <f>IFERROR(IF(T502="","",(T502*(1-AS502)*(1-Settings!$H$17)-I502)/(T502*(1-AS502)*(1-Settings!$H$17))),"")</f>
        <v/>
      </c>
      <c r="Q502" s="101">
        <f>IFERROR(IF(T502="","",(T502*(1-AT502)*(1-Settings!$I$68)*(1-Settings!$I$17)-I502)/(T502*(1-AT502)*(1-Settings!$I$68)*(1-Settings!$I$17))),"")</f>
        <v/>
      </c>
      <c r="R502" s="91">
        <f>IFERROR(IF(OR(I502="",Z502&gt;=1,Settings!$B$17&gt;=1,AN502&gt;=1),"",IF(MOD(ROUND(I502/(1-Z502)/(1-Settings!$B$17)/(1-AN502),0),10)=0,ROUND(I502/(1-Z502)/(1-Settings!$B$17)/(1-AN502),0)-1,IF(MOD(ROUND(I502/(1-Z502)/(1-Settings!$B$17)/(1-AN502),0),10)&lt;=5,FLOOR(ROUND(I502/(1-Z502)/(1-Settings!$B$17)/(1-AN502),0),10)+6,FLOOR(ROUND(I502/(1-Z502)/(1-Settings!$B$17)/(1-AN502),0),10)+9))),"")</f>
        <v/>
      </c>
      <c r="S502" s="174" t="n"/>
      <c r="T502" s="91">
        <f>IF(S502&lt;&gt;"", IF(MOD(S502,10)=0,S502-1,IF(MOD(S502,10)&lt;=5,FLOOR(S502,10)+6,FLOOR(S502,10)+9)), R502)</f>
        <v/>
      </c>
      <c r="U502" s="87" t="inlineStr">
        <is>
          <t>Основний</t>
        </is>
      </c>
      <c r="V502" s="88" t="n"/>
      <c r="W502" s="88" t="n"/>
      <c r="X502" s="89">
        <f>IFERROR(IF(OR(V502="",W502="",T502=""),"", IF(T502&gt;W502,"Дорогий",IF(T502&lt;V502,"Дешевий","У ринку"))),"")</f>
        <v/>
      </c>
      <c r="Y502" s="90" t="n"/>
      <c r="Z502" s="104">
        <f>CHOOSE(MATCH(IF($U502="","Основний",$U502),{"Трафіковий","Основний","Маржинальний","Сезонний","Стратегічний"},0),0.16,0.19,0.24,0.23,0.28)</f>
        <v/>
      </c>
      <c r="AA502" s="104">
        <f>CHOOSE(MATCH(IF($U502="","Основний",$U502),{"Трафіковий","Основний","Маржинальний","Сезонний","Стратегічний"},0),0.18,0.21,0.26,0.25,0.3)</f>
        <v/>
      </c>
      <c r="AB502" s="104">
        <f>CHOOSE(MATCH(IF($U502="","Основний",$U502),{"Трафіковий","Основний","Маржинальний","Сезонний","Стратегічний"},0),0.19,0.22,0.28,0.26,0.32)</f>
        <v/>
      </c>
      <c r="AC502" s="104">
        <f>CHOOSE(MATCH(IF($U502="","Основний",$U502),{"Трафіковий","Основний","Маржинальний","Сезонний","Стратегічний"},0),0.17,0.2,0.25,0.24,0.28)</f>
        <v/>
      </c>
      <c r="AD502" s="104">
        <f>CHOOSE(MATCH(IF($U502="","Основний",$U502),{"Трафіковий","Основний","Маржинальний","Сезонний","Стратегічний"},0),0.18,0.21,0.26,0.25,0.3)</f>
        <v/>
      </c>
      <c r="AE502" s="104">
        <f>CHOOSE(MATCH(IF($U502="","Основний",$U502),{"Трафіковий","Основний","Маржинальний","Сезонний","Стратегічний"},0),0.18,0.2,0.28,0.27,0.32)</f>
        <v/>
      </c>
      <c r="AF502" s="104">
        <f>CHOOSE(MATCH(IF($U502="","Основний",$U502),{"Трафіковий","Основний","Маржинальний","Сезонний","Стратегічний"},0),0.15,0.175,0.22,0.21,0.25)</f>
        <v/>
      </c>
      <c r="AG502" s="104">
        <f>CHOOSE(MATCH(IF($U502="","Основний",$U502),{"Трафіковий","Основний","Маржинальний","Сезонний","Стратегічний"},0),0.13,0.16,0.21,0.2,0.25)</f>
        <v/>
      </c>
      <c r="AH502" s="104">
        <f>CHOOSE(MATCH(IF($U502="","Основний",$U502),{"Трафіковий","Основний","Маржинальний","Сезонний","Стратегічний"},0),0.15,0.18,0.23,0.22,0.27)</f>
        <v/>
      </c>
      <c r="AI502" s="104">
        <f>CHOOSE(MATCH(IF($U502="","Основний",$U502),{"Трафіковий","Основний","Маржинальний","Сезонний","Стратегічний"},0),0.16,0.19,0.25,0.23,0.29)</f>
        <v/>
      </c>
      <c r="AJ502" s="104">
        <f>CHOOSE(MATCH(IF($U502="","Основний",$U502),{"Трафіковий","Основний","Маржинальний","Сезонний","Стратегічний"},0),0.14,0.17,0.22,0.21,0.25)</f>
        <v/>
      </c>
      <c r="AK502" s="104">
        <f>CHOOSE(MATCH(IF($U502="","Основний",$U502),{"Трафіковий","Основний","Маржинальний","Сезонний","Стратегічний"},0),0.15,0.18,0.23,0.22,0.27)</f>
        <v/>
      </c>
      <c r="AL502" s="104">
        <f>CHOOSE(MATCH(IF($U502="","Основний",$U502),{"Трафіковий","Основний","Маржинальний","Сезонний","Стратегічний"},0),0.15,0.17,0.25,0.24,0.29)</f>
        <v/>
      </c>
      <c r="AM502" s="104">
        <f>CHOOSE(MATCH(IF($U502="","Основний",$U502),{"Трафіковий","Основний","Маржинальний","Сезонний","Стратегічний"},0),0.12,0.145,0.19,0.18,0.22)</f>
        <v/>
      </c>
      <c r="AN502" s="157">
        <f>CHOOSE(MATCH(IF($U502="","Основний",$U502),{"Трафіковий","Основний","Маржинальний","Сезонний","Стратегічний"},0),Settings!$B$78,Settings!$B$80,Settings!$B$82,Settings!$B$84,Settings!$B$86)</f>
        <v/>
      </c>
      <c r="AO502" s="157">
        <f>CHOOSE(MATCH(IF($U502="","Основний",$U502),{"Трафіковий","Основний","Маржинальний","Сезонний","Стратегічний"},0),Settings!$C$78,Settings!$C$80,Settings!$C$82,Settings!$C$84,Settings!$C$86)</f>
        <v/>
      </c>
      <c r="AP502" s="157">
        <f>CHOOSE(MATCH(IF($U502="","Основний",$U502),{"Трафіковий","Основний","Маржинальний","Сезонний","Стратегічний"},0),Settings!$D$78,Settings!$D$80,Settings!$D$82,Settings!$D$84,Settings!$D$86)</f>
        <v/>
      </c>
      <c r="AQ502" s="157">
        <f>CHOOSE(MATCH(IF($U502="","Основний",$U502),{"Трафіковий","Основний","Маржинальний","Сезонний","Стратегічний"},0),Settings!$F$78,Settings!$F$80,Settings!$F$82,Settings!$F$84,Settings!$F$86)</f>
        <v/>
      </c>
      <c r="AR502" s="157">
        <f>CHOOSE(MATCH(IF($U502="","Основний",$U502),{"Трафіковий","Основний","Маржинальний","Сезонний","Стратегічний"},0),Settings!$G$78,Settings!$G$80,Settings!$G$82,Settings!$G$84,Settings!$G$86)</f>
        <v/>
      </c>
      <c r="AS502" s="157">
        <f>CHOOSE(MATCH(IF($U502="","Основний",$U502),{"Трафіковий","Основний","Маржинальний","Сезонний","Стратегічний"},0),Settings!$H$78,Settings!$H$80,Settings!$H$82,Settings!$H$84,Settings!$H$86)</f>
        <v/>
      </c>
      <c r="AT502" s="157">
        <f>CHOOSE(MATCH(IF($U502="","Основний",$U502),{"Трафіковий","Основний","Маржинальний","Сезонний","Стратегічний"},0),Settings!$I$78,Settings!$I$80,Settings!$I$82,Settings!$I$84,Settings!$I$86)</f>
        <v/>
      </c>
      <c r="AU502" s="171" t="n"/>
      <c r="AV502" t="n">
        <v>1.35</v>
      </c>
    </row>
    <row r="503">
      <c r="A503" s="33" t="n"/>
      <c r="B503" s="34" t="inlineStr">
        <is>
          <t>F61926</t>
        </is>
      </c>
      <c r="C503" s="34" t="inlineStr">
        <is>
          <t>TAPE PVC 19/20 YELLOW</t>
        </is>
      </c>
      <c r="D503" s="34" t="inlineStr">
        <is>
          <t>Ізоляціна т а ініші стрічки</t>
        </is>
      </c>
      <c r="E503" s="33" t="inlineStr">
        <is>
          <t>PC</t>
        </is>
      </c>
      <c r="F503" s="94" t="n">
        <v>0.32</v>
      </c>
      <c r="G503" s="35" t="n">
        <v>3919101200</v>
      </c>
      <c r="H503" s="31" t="n">
        <v>1.35</v>
      </c>
      <c r="I503" s="84">
        <f>IFERROR(F503*Settings!$B$2*H503*IF(AND(ISNUMBER(E503),E503&gt;1),E503,1),"")</f>
        <v/>
      </c>
      <c r="J503" s="32">
        <f>Settings!$B$66</f>
        <v/>
      </c>
      <c r="K503" s="95">
        <f>IFERROR(IF(T503="","",(T503*(1-AN503)*(1-Settings!$B$17)-I503)/(T503*(1-AN503)*(1-Settings!$B$17))),"")</f>
        <v/>
      </c>
      <c r="L503" s="101">
        <f>IFERROR(IF(T503="","",(T503*(1-AO503)*(1-Settings!$C$17)-I503)/(T503*(1-AO503)*(1-Settings!$C$17))),"")</f>
        <v/>
      </c>
      <c r="M503" s="101">
        <f>IFERROR(IF(T503="","",(T503*(1-AP503)*(1-Settings!$D$17)-I503)/(T503*(1-AP503)*(1-Settings!$D$17))),"")</f>
        <v/>
      </c>
      <c r="N503" s="101">
        <f>IFERROR(IF(T503="","",(T503*(1-AQ503)*(1-Settings!$F$17)-I503)/(T503*(1-AQ503)*(1-Settings!$F$17))),"")</f>
        <v/>
      </c>
      <c r="O503" s="101">
        <f>IFERROR(IF(T503="","",(T503*(1-AR503)*(1-Settings!$G$17)-I503)/(T503*(1-AR503)*(1-Settings!$G$17))),"")</f>
        <v/>
      </c>
      <c r="P503" s="101">
        <f>IFERROR(IF(T503="","",(T503*(1-AS503)*(1-Settings!$H$17)-I503)/(T503*(1-AS503)*(1-Settings!$H$17))),"")</f>
        <v/>
      </c>
      <c r="Q503" s="101">
        <f>IFERROR(IF(T503="","",(T503*(1-AT503)*(1-Settings!$I$68)*(1-Settings!$I$17)-I503)/(T503*(1-AT503)*(1-Settings!$I$68)*(1-Settings!$I$17))),"")</f>
        <v/>
      </c>
      <c r="R503" s="91">
        <f>IFERROR(IF(OR(I503="",Z503&gt;=1,Settings!$B$17&gt;=1,AN503&gt;=1),"",IF(MOD(ROUND(I503/(1-Z503)/(1-Settings!$B$17)/(1-AN503),0),10)=0,ROUND(I503/(1-Z503)/(1-Settings!$B$17)/(1-AN503),0)-1,IF(MOD(ROUND(I503/(1-Z503)/(1-Settings!$B$17)/(1-AN503),0),10)&lt;=5,FLOOR(ROUND(I503/(1-Z503)/(1-Settings!$B$17)/(1-AN503),0),10)+6,FLOOR(ROUND(I503/(1-Z503)/(1-Settings!$B$17)/(1-AN503),0),10)+9))),"")</f>
        <v/>
      </c>
      <c r="S503" s="174" t="n"/>
      <c r="T503" s="91">
        <f>IF(S503&lt;&gt;"", IF(MOD(S503,10)=0,S503-1,IF(MOD(S503,10)&lt;=5,FLOOR(S503,10)+6,FLOOR(S503,10)+9)), R503)</f>
        <v/>
      </c>
      <c r="U503" s="87" t="inlineStr">
        <is>
          <t>Основний</t>
        </is>
      </c>
      <c r="V503" s="88" t="n"/>
      <c r="W503" s="88" t="n"/>
      <c r="X503" s="89">
        <f>IFERROR(IF(OR(V503="",W503="",T503=""),"", IF(T503&gt;W503,"Дорогий",IF(T503&lt;V503,"Дешевий","У ринку"))),"")</f>
        <v/>
      </c>
      <c r="Y503" s="90" t="n"/>
      <c r="Z503" s="104">
        <f>CHOOSE(MATCH(IF($U503="","Основний",$U503),{"Трафіковий","Основний","Маржинальний","Сезонний","Стратегічний"},0),0.16,0.19,0.24,0.23,0.28)</f>
        <v/>
      </c>
      <c r="AA503" s="104">
        <f>CHOOSE(MATCH(IF($U503="","Основний",$U503),{"Трафіковий","Основний","Маржинальний","Сезонний","Стратегічний"},0),0.18,0.21,0.26,0.25,0.3)</f>
        <v/>
      </c>
      <c r="AB503" s="104">
        <f>CHOOSE(MATCH(IF($U503="","Основний",$U503),{"Трафіковий","Основний","Маржинальний","Сезонний","Стратегічний"},0),0.19,0.22,0.28,0.26,0.32)</f>
        <v/>
      </c>
      <c r="AC503" s="104">
        <f>CHOOSE(MATCH(IF($U503="","Основний",$U503),{"Трафіковий","Основний","Маржинальний","Сезонний","Стратегічний"},0),0.17,0.2,0.25,0.24,0.28)</f>
        <v/>
      </c>
      <c r="AD503" s="104">
        <f>CHOOSE(MATCH(IF($U503="","Основний",$U503),{"Трафіковий","Основний","Маржинальний","Сезонний","Стратегічний"},0),0.18,0.21,0.26,0.25,0.3)</f>
        <v/>
      </c>
      <c r="AE503" s="104">
        <f>CHOOSE(MATCH(IF($U503="","Основний",$U503),{"Трафіковий","Основний","Маржинальний","Сезонний","Стратегічний"},0),0.18,0.2,0.28,0.27,0.32)</f>
        <v/>
      </c>
      <c r="AF503" s="104">
        <f>CHOOSE(MATCH(IF($U503="","Основний",$U503),{"Трафіковий","Основний","Маржинальний","Сезонний","Стратегічний"},0),0.15,0.175,0.22,0.21,0.25)</f>
        <v/>
      </c>
      <c r="AG503" s="104">
        <f>CHOOSE(MATCH(IF($U503="","Основний",$U503),{"Трафіковий","Основний","Маржинальний","Сезонний","Стратегічний"},0),0.13,0.16,0.21,0.2,0.25)</f>
        <v/>
      </c>
      <c r="AH503" s="104">
        <f>CHOOSE(MATCH(IF($U503="","Основний",$U503),{"Трафіковий","Основний","Маржинальний","Сезонний","Стратегічний"},0),0.15,0.18,0.23,0.22,0.27)</f>
        <v/>
      </c>
      <c r="AI503" s="104">
        <f>CHOOSE(MATCH(IF($U503="","Основний",$U503),{"Трафіковий","Основний","Маржинальний","Сезонний","Стратегічний"},0),0.16,0.19,0.25,0.23,0.29)</f>
        <v/>
      </c>
      <c r="AJ503" s="104">
        <f>CHOOSE(MATCH(IF($U503="","Основний",$U503),{"Трафіковий","Основний","Маржинальний","Сезонний","Стратегічний"},0),0.14,0.17,0.22,0.21,0.25)</f>
        <v/>
      </c>
      <c r="AK503" s="104">
        <f>CHOOSE(MATCH(IF($U503="","Основний",$U503),{"Трафіковий","Основний","Маржинальний","Сезонний","Стратегічний"},0),0.15,0.18,0.23,0.22,0.27)</f>
        <v/>
      </c>
      <c r="AL503" s="104">
        <f>CHOOSE(MATCH(IF($U503="","Основний",$U503),{"Трафіковий","Основний","Маржинальний","Сезонний","Стратегічний"},0),0.15,0.17,0.25,0.24,0.29)</f>
        <v/>
      </c>
      <c r="AM503" s="104">
        <f>CHOOSE(MATCH(IF($U503="","Основний",$U503),{"Трафіковий","Основний","Маржинальний","Сезонний","Стратегічний"},0),0.12,0.145,0.19,0.18,0.22)</f>
        <v/>
      </c>
      <c r="AN503" s="157">
        <f>CHOOSE(MATCH(IF($U503="","Основний",$U503),{"Трафіковий","Основний","Маржинальний","Сезонний","Стратегічний"},0),Settings!$B$78,Settings!$B$80,Settings!$B$82,Settings!$B$84,Settings!$B$86)</f>
        <v/>
      </c>
      <c r="AO503" s="157">
        <f>CHOOSE(MATCH(IF($U503="","Основний",$U503),{"Трафіковий","Основний","Маржинальний","Сезонний","Стратегічний"},0),Settings!$C$78,Settings!$C$80,Settings!$C$82,Settings!$C$84,Settings!$C$86)</f>
        <v/>
      </c>
      <c r="AP503" s="157">
        <f>CHOOSE(MATCH(IF($U503="","Основний",$U503),{"Трафіковий","Основний","Маржинальний","Сезонний","Стратегічний"},0),Settings!$D$78,Settings!$D$80,Settings!$D$82,Settings!$D$84,Settings!$D$86)</f>
        <v/>
      </c>
      <c r="AQ503" s="157">
        <f>CHOOSE(MATCH(IF($U503="","Основний",$U503),{"Трафіковий","Основний","Маржинальний","Сезонний","Стратегічний"},0),Settings!$F$78,Settings!$F$80,Settings!$F$82,Settings!$F$84,Settings!$F$86)</f>
        <v/>
      </c>
      <c r="AR503" s="157">
        <f>CHOOSE(MATCH(IF($U503="","Основний",$U503),{"Трафіковий","Основний","Маржинальний","Сезонний","Стратегічний"},0),Settings!$G$78,Settings!$G$80,Settings!$G$82,Settings!$G$84,Settings!$G$86)</f>
        <v/>
      </c>
      <c r="AS503" s="157">
        <f>CHOOSE(MATCH(IF($U503="","Основний",$U503),{"Трафіковий","Основний","Маржинальний","Сезонний","Стратегічний"},0),Settings!$H$78,Settings!$H$80,Settings!$H$82,Settings!$H$84,Settings!$H$86)</f>
        <v/>
      </c>
      <c r="AT503" s="157">
        <f>CHOOSE(MATCH(IF($U503="","Основний",$U503),{"Трафіковий","Основний","Маржинальний","Сезонний","Стратегічний"},0),Settings!$I$78,Settings!$I$80,Settings!$I$82,Settings!$I$84,Settings!$I$86)</f>
        <v/>
      </c>
      <c r="AU503" s="171" t="n"/>
      <c r="AV503" t="n">
        <v>1.35</v>
      </c>
    </row>
    <row r="504">
      <c r="A504" s="28" t="n"/>
      <c r="B504" s="29" t="inlineStr">
        <is>
          <t>F61927</t>
        </is>
      </c>
      <c r="C504" s="29" t="inlineStr">
        <is>
          <t>PVC TAPE 19/20 BROWN</t>
        </is>
      </c>
      <c r="D504" s="29" t="inlineStr">
        <is>
          <t>Ізоляціна т а ініші стрічки</t>
        </is>
      </c>
      <c r="E504" s="28" t="inlineStr">
        <is>
          <t>PC</t>
        </is>
      </c>
      <c r="F504" s="93" t="n">
        <v>0.32</v>
      </c>
      <c r="G504" s="30" t="n">
        <v>3919101200</v>
      </c>
      <c r="H504" s="31" t="n">
        <v>1.35</v>
      </c>
      <c r="I504" s="84">
        <f>IFERROR(F504*Settings!$B$2*H504*IF(AND(ISNUMBER(E504),E504&gt;1),E504,1),"")</f>
        <v/>
      </c>
      <c r="J504" s="32">
        <f>Settings!$B$66</f>
        <v/>
      </c>
      <c r="K504" s="95">
        <f>IFERROR(IF(T504="","",(T504*(1-AN504)*(1-Settings!$B$17)-I504)/(T504*(1-AN504)*(1-Settings!$B$17))),"")</f>
        <v/>
      </c>
      <c r="L504" s="101">
        <f>IFERROR(IF(T504="","",(T504*(1-AO504)*(1-Settings!$C$17)-I504)/(T504*(1-AO504)*(1-Settings!$C$17))),"")</f>
        <v/>
      </c>
      <c r="M504" s="101">
        <f>IFERROR(IF(T504="","",(T504*(1-AP504)*(1-Settings!$D$17)-I504)/(T504*(1-AP504)*(1-Settings!$D$17))),"")</f>
        <v/>
      </c>
      <c r="N504" s="101">
        <f>IFERROR(IF(T504="","",(T504*(1-AQ504)*(1-Settings!$F$17)-I504)/(T504*(1-AQ504)*(1-Settings!$F$17))),"")</f>
        <v/>
      </c>
      <c r="O504" s="101">
        <f>IFERROR(IF(T504="","",(T504*(1-AR504)*(1-Settings!$G$17)-I504)/(T504*(1-AR504)*(1-Settings!$G$17))),"")</f>
        <v/>
      </c>
      <c r="P504" s="101">
        <f>IFERROR(IF(T504="","",(T504*(1-AS504)*(1-Settings!$H$17)-I504)/(T504*(1-AS504)*(1-Settings!$H$17))),"")</f>
        <v/>
      </c>
      <c r="Q504" s="101">
        <f>IFERROR(IF(T504="","",(T504*(1-AT504)*(1-Settings!$I$68)*(1-Settings!$I$17)-I504)/(T504*(1-AT504)*(1-Settings!$I$68)*(1-Settings!$I$17))),"")</f>
        <v/>
      </c>
      <c r="R504" s="91">
        <f>IFERROR(IF(OR(I504="",Z504&gt;=1,Settings!$B$17&gt;=1,AN504&gt;=1),"",IF(MOD(ROUND(I504/(1-Z504)/(1-Settings!$B$17)/(1-AN504),0),10)=0,ROUND(I504/(1-Z504)/(1-Settings!$B$17)/(1-AN504),0)-1,IF(MOD(ROUND(I504/(1-Z504)/(1-Settings!$B$17)/(1-AN504),0),10)&lt;=5,FLOOR(ROUND(I504/(1-Z504)/(1-Settings!$B$17)/(1-AN504),0),10)+6,FLOOR(ROUND(I504/(1-Z504)/(1-Settings!$B$17)/(1-AN504),0),10)+9))),"")</f>
        <v/>
      </c>
      <c r="S504" s="174" t="n"/>
      <c r="T504" s="91">
        <f>IF(S504&lt;&gt;"", IF(MOD(S504,10)=0,S504-1,IF(MOD(S504,10)&lt;=5,FLOOR(S504,10)+6,FLOOR(S504,10)+9)), R504)</f>
        <v/>
      </c>
      <c r="U504" s="87" t="inlineStr">
        <is>
          <t>Основний</t>
        </is>
      </c>
      <c r="V504" s="88" t="n"/>
      <c r="W504" s="88" t="n"/>
      <c r="X504" s="89">
        <f>IFERROR(IF(OR(V504="",W504="",T504=""),"", IF(T504&gt;W504,"Дорогий",IF(T504&lt;V504,"Дешевий","У ринку"))),"")</f>
        <v/>
      </c>
      <c r="Y504" s="90" t="n"/>
      <c r="Z504" s="104">
        <f>CHOOSE(MATCH(IF($U504="","Основний",$U504),{"Трафіковий","Основний","Маржинальний","Сезонний","Стратегічний"},0),0.16,0.19,0.24,0.23,0.28)</f>
        <v/>
      </c>
      <c r="AA504" s="104">
        <f>CHOOSE(MATCH(IF($U504="","Основний",$U504),{"Трафіковий","Основний","Маржинальний","Сезонний","Стратегічний"},0),0.18,0.21,0.26,0.25,0.3)</f>
        <v/>
      </c>
      <c r="AB504" s="104">
        <f>CHOOSE(MATCH(IF($U504="","Основний",$U504),{"Трафіковий","Основний","Маржинальний","Сезонний","Стратегічний"},0),0.19,0.22,0.28,0.26,0.32)</f>
        <v/>
      </c>
      <c r="AC504" s="104">
        <f>CHOOSE(MATCH(IF($U504="","Основний",$U504),{"Трафіковий","Основний","Маржинальний","Сезонний","Стратегічний"},0),0.17,0.2,0.25,0.24,0.28)</f>
        <v/>
      </c>
      <c r="AD504" s="104">
        <f>CHOOSE(MATCH(IF($U504="","Основний",$U504),{"Трафіковий","Основний","Маржинальний","Сезонний","Стратегічний"},0),0.18,0.21,0.26,0.25,0.3)</f>
        <v/>
      </c>
      <c r="AE504" s="104">
        <f>CHOOSE(MATCH(IF($U504="","Основний",$U504),{"Трафіковий","Основний","Маржинальний","Сезонний","Стратегічний"},0),0.18,0.2,0.28,0.27,0.32)</f>
        <v/>
      </c>
      <c r="AF504" s="104">
        <f>CHOOSE(MATCH(IF($U504="","Основний",$U504),{"Трафіковий","Основний","Маржинальний","Сезонний","Стратегічний"},0),0.15,0.175,0.22,0.21,0.25)</f>
        <v/>
      </c>
      <c r="AG504" s="104">
        <f>CHOOSE(MATCH(IF($U504="","Основний",$U504),{"Трафіковий","Основний","Маржинальний","Сезонний","Стратегічний"},0),0.13,0.16,0.21,0.2,0.25)</f>
        <v/>
      </c>
      <c r="AH504" s="104">
        <f>CHOOSE(MATCH(IF($U504="","Основний",$U504),{"Трафіковий","Основний","Маржинальний","Сезонний","Стратегічний"},0),0.15,0.18,0.23,0.22,0.27)</f>
        <v/>
      </c>
      <c r="AI504" s="104">
        <f>CHOOSE(MATCH(IF($U504="","Основний",$U504),{"Трафіковий","Основний","Маржинальний","Сезонний","Стратегічний"},0),0.16,0.19,0.25,0.23,0.29)</f>
        <v/>
      </c>
      <c r="AJ504" s="104">
        <f>CHOOSE(MATCH(IF($U504="","Основний",$U504),{"Трафіковий","Основний","Маржинальний","Сезонний","Стратегічний"},0),0.14,0.17,0.22,0.21,0.25)</f>
        <v/>
      </c>
      <c r="AK504" s="104">
        <f>CHOOSE(MATCH(IF($U504="","Основний",$U504),{"Трафіковий","Основний","Маржинальний","Сезонний","Стратегічний"},0),0.15,0.18,0.23,0.22,0.27)</f>
        <v/>
      </c>
      <c r="AL504" s="104">
        <f>CHOOSE(MATCH(IF($U504="","Основний",$U504),{"Трафіковий","Основний","Маржинальний","Сезонний","Стратегічний"},0),0.15,0.17,0.25,0.24,0.29)</f>
        <v/>
      </c>
      <c r="AM504" s="104">
        <f>CHOOSE(MATCH(IF($U504="","Основний",$U504),{"Трафіковий","Основний","Маржинальний","Сезонний","Стратегічний"},0),0.12,0.145,0.19,0.18,0.22)</f>
        <v/>
      </c>
      <c r="AN504" s="157">
        <f>CHOOSE(MATCH(IF($U504="","Основний",$U504),{"Трафіковий","Основний","Маржинальний","Сезонний","Стратегічний"},0),Settings!$B$78,Settings!$B$80,Settings!$B$82,Settings!$B$84,Settings!$B$86)</f>
        <v/>
      </c>
      <c r="AO504" s="157">
        <f>CHOOSE(MATCH(IF($U504="","Основний",$U504),{"Трафіковий","Основний","Маржинальний","Сезонний","Стратегічний"},0),Settings!$C$78,Settings!$C$80,Settings!$C$82,Settings!$C$84,Settings!$C$86)</f>
        <v/>
      </c>
      <c r="AP504" s="157">
        <f>CHOOSE(MATCH(IF($U504="","Основний",$U504),{"Трафіковий","Основний","Маржинальний","Сезонний","Стратегічний"},0),Settings!$D$78,Settings!$D$80,Settings!$D$82,Settings!$D$84,Settings!$D$86)</f>
        <v/>
      </c>
      <c r="AQ504" s="157">
        <f>CHOOSE(MATCH(IF($U504="","Основний",$U504),{"Трафіковий","Основний","Маржинальний","Сезонний","Стратегічний"},0),Settings!$F$78,Settings!$F$80,Settings!$F$82,Settings!$F$84,Settings!$F$86)</f>
        <v/>
      </c>
      <c r="AR504" s="157">
        <f>CHOOSE(MATCH(IF($U504="","Основний",$U504),{"Трафіковий","Основний","Маржинальний","Сезонний","Стратегічний"},0),Settings!$G$78,Settings!$G$80,Settings!$G$82,Settings!$G$84,Settings!$G$86)</f>
        <v/>
      </c>
      <c r="AS504" s="157">
        <f>CHOOSE(MATCH(IF($U504="","Основний",$U504),{"Трафіковий","Основний","Маржинальний","Сезонний","Стратегічний"},0),Settings!$H$78,Settings!$H$80,Settings!$H$82,Settings!$H$84,Settings!$H$86)</f>
        <v/>
      </c>
      <c r="AT504" s="157">
        <f>CHOOSE(MATCH(IF($U504="","Основний",$U504),{"Трафіковий","Основний","Маржинальний","Сезонний","Стратегічний"},0),Settings!$I$78,Settings!$I$80,Settings!$I$82,Settings!$I$84,Settings!$I$86)</f>
        <v/>
      </c>
      <c r="AU504" s="171" t="n"/>
      <c r="AV504" t="n">
        <v>1.35</v>
      </c>
    </row>
    <row r="505">
      <c r="A505" s="33" t="n"/>
      <c r="B505" s="34" t="inlineStr">
        <is>
          <t>F61929</t>
        </is>
      </c>
      <c r="C505" s="34" t="inlineStr">
        <is>
          <t>TAPE PVC 19/20 GREEN</t>
        </is>
      </c>
      <c r="D505" s="34" t="inlineStr">
        <is>
          <t>Ізоляціна т а ініші стрічки</t>
        </is>
      </c>
      <c r="E505" s="33" t="inlineStr">
        <is>
          <t>PC</t>
        </is>
      </c>
      <c r="F505" s="94" t="n">
        <v>0.32</v>
      </c>
      <c r="G505" s="35" t="n">
        <v>3919101200</v>
      </c>
      <c r="H505" s="31" t="n">
        <v>1.35</v>
      </c>
      <c r="I505" s="84">
        <f>IFERROR(F505*Settings!$B$2*H505*IF(AND(ISNUMBER(E505),E505&gt;1),E505,1),"")</f>
        <v/>
      </c>
      <c r="J505" s="32">
        <f>Settings!$B$66</f>
        <v/>
      </c>
      <c r="K505" s="95">
        <f>IFERROR(IF(T505="","",(T505*(1-AN505)*(1-Settings!$B$17)-I505)/(T505*(1-AN505)*(1-Settings!$B$17))),"")</f>
        <v/>
      </c>
      <c r="L505" s="101">
        <f>IFERROR(IF(T505="","",(T505*(1-AO505)*(1-Settings!$C$17)-I505)/(T505*(1-AO505)*(1-Settings!$C$17))),"")</f>
        <v/>
      </c>
      <c r="M505" s="101">
        <f>IFERROR(IF(T505="","",(T505*(1-AP505)*(1-Settings!$D$17)-I505)/(T505*(1-AP505)*(1-Settings!$D$17))),"")</f>
        <v/>
      </c>
      <c r="N505" s="101">
        <f>IFERROR(IF(T505="","",(T505*(1-AQ505)*(1-Settings!$F$17)-I505)/(T505*(1-AQ505)*(1-Settings!$F$17))),"")</f>
        <v/>
      </c>
      <c r="O505" s="101">
        <f>IFERROR(IF(T505="","",(T505*(1-AR505)*(1-Settings!$G$17)-I505)/(T505*(1-AR505)*(1-Settings!$G$17))),"")</f>
        <v/>
      </c>
      <c r="P505" s="101">
        <f>IFERROR(IF(T505="","",(T505*(1-AS505)*(1-Settings!$H$17)-I505)/(T505*(1-AS505)*(1-Settings!$H$17))),"")</f>
        <v/>
      </c>
      <c r="Q505" s="101">
        <f>IFERROR(IF(T505="","",(T505*(1-AT505)*(1-Settings!$I$68)*(1-Settings!$I$17)-I505)/(T505*(1-AT505)*(1-Settings!$I$68)*(1-Settings!$I$17))),"")</f>
        <v/>
      </c>
      <c r="R505" s="91">
        <f>IFERROR(IF(OR(I505="",Z505&gt;=1,Settings!$B$17&gt;=1,AN505&gt;=1),"",IF(MOD(ROUND(I505/(1-Z505)/(1-Settings!$B$17)/(1-AN505),0),10)=0,ROUND(I505/(1-Z505)/(1-Settings!$B$17)/(1-AN505),0)-1,IF(MOD(ROUND(I505/(1-Z505)/(1-Settings!$B$17)/(1-AN505),0),10)&lt;=5,FLOOR(ROUND(I505/(1-Z505)/(1-Settings!$B$17)/(1-AN505),0),10)+6,FLOOR(ROUND(I505/(1-Z505)/(1-Settings!$B$17)/(1-AN505),0),10)+9))),"")</f>
        <v/>
      </c>
      <c r="S505" s="174" t="n"/>
      <c r="T505" s="91">
        <f>IF(S505&lt;&gt;"", IF(MOD(S505,10)=0,S505-1,IF(MOD(S505,10)&lt;=5,FLOOR(S505,10)+6,FLOOR(S505,10)+9)), R505)</f>
        <v/>
      </c>
      <c r="U505" s="87" t="inlineStr">
        <is>
          <t>Основний</t>
        </is>
      </c>
      <c r="V505" s="88" t="n"/>
      <c r="W505" s="88" t="n"/>
      <c r="X505" s="89">
        <f>IFERROR(IF(OR(V505="",W505="",T505=""),"", IF(T505&gt;W505,"Дорогий",IF(T505&lt;V505,"Дешевий","У ринку"))),"")</f>
        <v/>
      </c>
      <c r="Y505" s="90" t="n"/>
      <c r="Z505" s="104">
        <f>CHOOSE(MATCH(IF($U505="","Основний",$U505),{"Трафіковий","Основний","Маржинальний","Сезонний","Стратегічний"},0),0.16,0.19,0.24,0.23,0.28)</f>
        <v/>
      </c>
      <c r="AA505" s="104">
        <f>CHOOSE(MATCH(IF($U505="","Основний",$U505),{"Трафіковий","Основний","Маржинальний","Сезонний","Стратегічний"},0),0.18,0.21,0.26,0.25,0.3)</f>
        <v/>
      </c>
      <c r="AB505" s="104">
        <f>CHOOSE(MATCH(IF($U505="","Основний",$U505),{"Трафіковий","Основний","Маржинальний","Сезонний","Стратегічний"},0),0.19,0.22,0.28,0.26,0.32)</f>
        <v/>
      </c>
      <c r="AC505" s="104">
        <f>CHOOSE(MATCH(IF($U505="","Основний",$U505),{"Трафіковий","Основний","Маржинальний","Сезонний","Стратегічний"},0),0.17,0.2,0.25,0.24,0.28)</f>
        <v/>
      </c>
      <c r="AD505" s="104">
        <f>CHOOSE(MATCH(IF($U505="","Основний",$U505),{"Трафіковий","Основний","Маржинальний","Сезонний","Стратегічний"},0),0.18,0.21,0.26,0.25,0.3)</f>
        <v/>
      </c>
      <c r="AE505" s="104">
        <f>CHOOSE(MATCH(IF($U505="","Основний",$U505),{"Трафіковий","Основний","Маржинальний","Сезонний","Стратегічний"},0),0.18,0.2,0.28,0.27,0.32)</f>
        <v/>
      </c>
      <c r="AF505" s="104">
        <f>CHOOSE(MATCH(IF($U505="","Основний",$U505),{"Трафіковий","Основний","Маржинальний","Сезонний","Стратегічний"},0),0.15,0.175,0.22,0.21,0.25)</f>
        <v/>
      </c>
      <c r="AG505" s="104">
        <f>CHOOSE(MATCH(IF($U505="","Основний",$U505),{"Трафіковий","Основний","Маржинальний","Сезонний","Стратегічний"},0),0.13,0.16,0.21,0.2,0.25)</f>
        <v/>
      </c>
      <c r="AH505" s="104">
        <f>CHOOSE(MATCH(IF($U505="","Основний",$U505),{"Трафіковий","Основний","Маржинальний","Сезонний","Стратегічний"},0),0.15,0.18,0.23,0.22,0.27)</f>
        <v/>
      </c>
      <c r="AI505" s="104">
        <f>CHOOSE(MATCH(IF($U505="","Основний",$U505),{"Трафіковий","Основний","Маржинальний","Сезонний","Стратегічний"},0),0.16,0.19,0.25,0.23,0.29)</f>
        <v/>
      </c>
      <c r="AJ505" s="104">
        <f>CHOOSE(MATCH(IF($U505="","Основний",$U505),{"Трафіковий","Основний","Маржинальний","Сезонний","Стратегічний"},0),0.14,0.17,0.22,0.21,0.25)</f>
        <v/>
      </c>
      <c r="AK505" s="104">
        <f>CHOOSE(MATCH(IF($U505="","Основний",$U505),{"Трафіковий","Основний","Маржинальний","Сезонний","Стратегічний"},0),0.15,0.18,0.23,0.22,0.27)</f>
        <v/>
      </c>
      <c r="AL505" s="104">
        <f>CHOOSE(MATCH(IF($U505="","Основний",$U505),{"Трафіковий","Основний","Маржинальний","Сезонний","Стратегічний"},0),0.15,0.17,0.25,0.24,0.29)</f>
        <v/>
      </c>
      <c r="AM505" s="104">
        <f>CHOOSE(MATCH(IF($U505="","Основний",$U505),{"Трафіковий","Основний","Маржинальний","Сезонний","Стратегічний"},0),0.12,0.145,0.19,0.18,0.22)</f>
        <v/>
      </c>
      <c r="AN505" s="157">
        <f>CHOOSE(MATCH(IF($U505="","Основний",$U505),{"Трафіковий","Основний","Маржинальний","Сезонний","Стратегічний"},0),Settings!$B$78,Settings!$B$80,Settings!$B$82,Settings!$B$84,Settings!$B$86)</f>
        <v/>
      </c>
      <c r="AO505" s="157">
        <f>CHOOSE(MATCH(IF($U505="","Основний",$U505),{"Трафіковий","Основний","Маржинальний","Сезонний","Стратегічний"},0),Settings!$C$78,Settings!$C$80,Settings!$C$82,Settings!$C$84,Settings!$C$86)</f>
        <v/>
      </c>
      <c r="AP505" s="157">
        <f>CHOOSE(MATCH(IF($U505="","Основний",$U505),{"Трафіковий","Основний","Маржинальний","Сезонний","Стратегічний"},0),Settings!$D$78,Settings!$D$80,Settings!$D$82,Settings!$D$84,Settings!$D$86)</f>
        <v/>
      </c>
      <c r="AQ505" s="157">
        <f>CHOOSE(MATCH(IF($U505="","Основний",$U505),{"Трафіковий","Основний","Маржинальний","Сезонний","Стратегічний"},0),Settings!$F$78,Settings!$F$80,Settings!$F$82,Settings!$F$84,Settings!$F$86)</f>
        <v/>
      </c>
      <c r="AR505" s="157">
        <f>CHOOSE(MATCH(IF($U505="","Основний",$U505),{"Трафіковий","Основний","Маржинальний","Сезонний","Стратегічний"},0),Settings!$G$78,Settings!$G$80,Settings!$G$82,Settings!$G$84,Settings!$G$86)</f>
        <v/>
      </c>
      <c r="AS505" s="157">
        <f>CHOOSE(MATCH(IF($U505="","Основний",$U505),{"Трафіковий","Основний","Маржинальний","Сезонний","Стратегічний"},0),Settings!$H$78,Settings!$H$80,Settings!$H$82,Settings!$H$84,Settings!$H$86)</f>
        <v/>
      </c>
      <c r="AT505" s="157">
        <f>CHOOSE(MATCH(IF($U505="","Основний",$U505),{"Трафіковий","Основний","Маржинальний","Сезонний","Стратегічний"},0),Settings!$I$78,Settings!$I$80,Settings!$I$82,Settings!$I$84,Settings!$I$86)</f>
        <v/>
      </c>
      <c r="AU505" s="171" t="n"/>
      <c r="AV505" t="n">
        <v>1.35</v>
      </c>
    </row>
    <row r="506">
      <c r="A506" s="28" t="n"/>
      <c r="B506" s="29" t="inlineStr">
        <is>
          <t>F61999</t>
        </is>
      </c>
      <c r="C506" s="29" t="inlineStr">
        <is>
          <t>TAPE PVC 19/20 SET 10PCS MIX</t>
        </is>
      </c>
      <c r="D506" s="29" t="inlineStr">
        <is>
          <t>Ізоляціна т а ініші стрічки</t>
        </is>
      </c>
      <c r="E506" s="28" t="inlineStr">
        <is>
          <t>PC</t>
        </is>
      </c>
      <c r="F506" s="93" t="n">
        <v>0.33</v>
      </c>
      <c r="G506" s="30" t="n">
        <v>3919101200</v>
      </c>
      <c r="H506" s="31" t="n">
        <v>1.35</v>
      </c>
      <c r="I506" s="84">
        <f>IFERROR(F506*Settings!$B$2*H506*IF(AND(ISNUMBER(E506),E506&gt;1),E506,1),"")</f>
        <v/>
      </c>
      <c r="J506" s="32">
        <f>Settings!$B$66</f>
        <v/>
      </c>
      <c r="K506" s="95">
        <f>IFERROR(IF(T506="","",(T506*(1-AN506)*(1-Settings!$B$17)-I506)/(T506*(1-AN506)*(1-Settings!$B$17))),"")</f>
        <v/>
      </c>
      <c r="L506" s="101">
        <f>IFERROR(IF(T506="","",(T506*(1-AO506)*(1-Settings!$C$17)-I506)/(T506*(1-AO506)*(1-Settings!$C$17))),"")</f>
        <v/>
      </c>
      <c r="M506" s="101">
        <f>IFERROR(IF(T506="","",(T506*(1-AP506)*(1-Settings!$D$17)-I506)/(T506*(1-AP506)*(1-Settings!$D$17))),"")</f>
        <v/>
      </c>
      <c r="N506" s="101">
        <f>IFERROR(IF(T506="","",(T506*(1-AQ506)*(1-Settings!$F$17)-I506)/(T506*(1-AQ506)*(1-Settings!$F$17))),"")</f>
        <v/>
      </c>
      <c r="O506" s="101">
        <f>IFERROR(IF(T506="","",(T506*(1-AR506)*(1-Settings!$G$17)-I506)/(T506*(1-AR506)*(1-Settings!$G$17))),"")</f>
        <v/>
      </c>
      <c r="P506" s="101">
        <f>IFERROR(IF(T506="","",(T506*(1-AS506)*(1-Settings!$H$17)-I506)/(T506*(1-AS506)*(1-Settings!$H$17))),"")</f>
        <v/>
      </c>
      <c r="Q506" s="101">
        <f>IFERROR(IF(T506="","",(T506*(1-AT506)*(1-Settings!$I$68)*(1-Settings!$I$17)-I506)/(T506*(1-AT506)*(1-Settings!$I$68)*(1-Settings!$I$17))),"")</f>
        <v/>
      </c>
      <c r="R506" s="91">
        <f>IFERROR(IF(OR(I506="",Z506&gt;=1,Settings!$B$17&gt;=1,AN506&gt;=1),"",IF(MOD(ROUND(I506/(1-Z506)/(1-Settings!$B$17)/(1-AN506),0),10)=0,ROUND(I506/(1-Z506)/(1-Settings!$B$17)/(1-AN506),0)-1,IF(MOD(ROUND(I506/(1-Z506)/(1-Settings!$B$17)/(1-AN506),0),10)&lt;=5,FLOOR(ROUND(I506/(1-Z506)/(1-Settings!$B$17)/(1-AN506),0),10)+6,FLOOR(ROUND(I506/(1-Z506)/(1-Settings!$B$17)/(1-AN506),0),10)+9))),"")</f>
        <v/>
      </c>
      <c r="S506" s="174" t="n"/>
      <c r="T506" s="91">
        <f>IF(S506&lt;&gt;"", IF(MOD(S506,10)=0,S506-1,IF(MOD(S506,10)&lt;=5,FLOOR(S506,10)+6,FLOOR(S506,10)+9)), R506)</f>
        <v/>
      </c>
      <c r="U506" s="87" t="inlineStr">
        <is>
          <t>Основний</t>
        </is>
      </c>
      <c r="V506" s="88" t="n"/>
      <c r="W506" s="88" t="n"/>
      <c r="X506" s="89">
        <f>IFERROR(IF(OR(V506="",W506="",T506=""),"", IF(T506&gt;W506,"Дорогий",IF(T506&lt;V506,"Дешевий","У ринку"))),"")</f>
        <v/>
      </c>
      <c r="Y506" s="90" t="n"/>
      <c r="Z506" s="104">
        <f>CHOOSE(MATCH(IF($U506="","Основний",$U506),{"Трафіковий","Основний","Маржинальний","Сезонний","Стратегічний"},0),0.16,0.19,0.24,0.23,0.28)</f>
        <v/>
      </c>
      <c r="AA506" s="104">
        <f>CHOOSE(MATCH(IF($U506="","Основний",$U506),{"Трафіковий","Основний","Маржинальний","Сезонний","Стратегічний"},0),0.18,0.21,0.26,0.25,0.3)</f>
        <v/>
      </c>
      <c r="AB506" s="104">
        <f>CHOOSE(MATCH(IF($U506="","Основний",$U506),{"Трафіковий","Основний","Маржинальний","Сезонний","Стратегічний"},0),0.19,0.22,0.28,0.26,0.32)</f>
        <v/>
      </c>
      <c r="AC506" s="104">
        <f>CHOOSE(MATCH(IF($U506="","Основний",$U506),{"Трафіковий","Основний","Маржинальний","Сезонний","Стратегічний"},0),0.17,0.2,0.25,0.24,0.28)</f>
        <v/>
      </c>
      <c r="AD506" s="104">
        <f>CHOOSE(MATCH(IF($U506="","Основний",$U506),{"Трафіковий","Основний","Маржинальний","Сезонний","Стратегічний"},0),0.18,0.21,0.26,0.25,0.3)</f>
        <v/>
      </c>
      <c r="AE506" s="104">
        <f>CHOOSE(MATCH(IF($U506="","Основний",$U506),{"Трафіковий","Основний","Маржинальний","Сезонний","Стратегічний"},0),0.18,0.2,0.28,0.27,0.32)</f>
        <v/>
      </c>
      <c r="AF506" s="104">
        <f>CHOOSE(MATCH(IF($U506="","Основний",$U506),{"Трафіковий","Основний","Маржинальний","Сезонний","Стратегічний"},0),0.15,0.175,0.22,0.21,0.25)</f>
        <v/>
      </c>
      <c r="AG506" s="104">
        <f>CHOOSE(MATCH(IF($U506="","Основний",$U506),{"Трафіковий","Основний","Маржинальний","Сезонний","Стратегічний"},0),0.13,0.16,0.21,0.2,0.25)</f>
        <v/>
      </c>
      <c r="AH506" s="104">
        <f>CHOOSE(MATCH(IF($U506="","Основний",$U506),{"Трафіковий","Основний","Маржинальний","Сезонний","Стратегічний"},0),0.15,0.18,0.23,0.22,0.27)</f>
        <v/>
      </c>
      <c r="AI506" s="104">
        <f>CHOOSE(MATCH(IF($U506="","Основний",$U506),{"Трафіковий","Основний","Маржинальний","Сезонний","Стратегічний"},0),0.16,0.19,0.25,0.23,0.29)</f>
        <v/>
      </c>
      <c r="AJ506" s="104">
        <f>CHOOSE(MATCH(IF($U506="","Основний",$U506),{"Трафіковий","Основний","Маржинальний","Сезонний","Стратегічний"},0),0.14,0.17,0.22,0.21,0.25)</f>
        <v/>
      </c>
      <c r="AK506" s="104">
        <f>CHOOSE(MATCH(IF($U506="","Основний",$U506),{"Трафіковий","Основний","Маржинальний","Сезонний","Стратегічний"},0),0.15,0.18,0.23,0.22,0.27)</f>
        <v/>
      </c>
      <c r="AL506" s="104">
        <f>CHOOSE(MATCH(IF($U506="","Основний",$U506),{"Трафіковий","Основний","Маржинальний","Сезонний","Стратегічний"},0),0.15,0.17,0.25,0.24,0.29)</f>
        <v/>
      </c>
      <c r="AM506" s="104">
        <f>CHOOSE(MATCH(IF($U506="","Основний",$U506),{"Трафіковий","Основний","Маржинальний","Сезонний","Стратегічний"},0),0.12,0.145,0.19,0.18,0.22)</f>
        <v/>
      </c>
      <c r="AN506" s="157">
        <f>CHOOSE(MATCH(IF($U506="","Основний",$U506),{"Трафіковий","Основний","Маржинальний","Сезонний","Стратегічний"},0),Settings!$B$78,Settings!$B$80,Settings!$B$82,Settings!$B$84,Settings!$B$86)</f>
        <v/>
      </c>
      <c r="AO506" s="157">
        <f>CHOOSE(MATCH(IF($U506="","Основний",$U506),{"Трафіковий","Основний","Маржинальний","Сезонний","Стратегічний"},0),Settings!$C$78,Settings!$C$80,Settings!$C$82,Settings!$C$84,Settings!$C$86)</f>
        <v/>
      </c>
      <c r="AP506" s="157">
        <f>CHOOSE(MATCH(IF($U506="","Основний",$U506),{"Трафіковий","Основний","Маржинальний","Сезонний","Стратегічний"},0),Settings!$D$78,Settings!$D$80,Settings!$D$82,Settings!$D$84,Settings!$D$86)</f>
        <v/>
      </c>
      <c r="AQ506" s="157">
        <f>CHOOSE(MATCH(IF($U506="","Основний",$U506),{"Трафіковий","Основний","Маржинальний","Сезонний","Стратегічний"},0),Settings!$F$78,Settings!$F$80,Settings!$F$82,Settings!$F$84,Settings!$F$86)</f>
        <v/>
      </c>
      <c r="AR506" s="157">
        <f>CHOOSE(MATCH(IF($U506="","Основний",$U506),{"Трафіковий","Основний","Маржинальний","Сезонний","Стратегічний"},0),Settings!$G$78,Settings!$G$80,Settings!$G$82,Settings!$G$84,Settings!$G$86)</f>
        <v/>
      </c>
      <c r="AS506" s="157">
        <f>CHOOSE(MATCH(IF($U506="","Основний",$U506),{"Трафіковий","Основний","Маржинальний","Сезонний","Стратегічний"},0),Settings!$H$78,Settings!$H$80,Settings!$H$82,Settings!$H$84,Settings!$H$86)</f>
        <v/>
      </c>
      <c r="AT506" s="157">
        <f>CHOOSE(MATCH(IF($U506="","Основний",$U506),{"Трафіковий","Основний","Маржинальний","Сезонний","Стратегічний"},0),Settings!$I$78,Settings!$I$80,Settings!$I$82,Settings!$I$84,Settings!$I$86)</f>
        <v/>
      </c>
      <c r="AU506" s="171" t="n"/>
      <c r="AV506" t="n">
        <v>1.35</v>
      </c>
    </row>
    <row r="507">
      <c r="A507" s="33" t="n"/>
      <c r="B507" s="34" t="inlineStr">
        <is>
          <t>F6515</t>
        </is>
      </c>
      <c r="C507" s="34" t="inlineStr">
        <is>
          <t>TAPE TEXTILE 15/15 BLACK</t>
        </is>
      </c>
      <c r="D507" s="34" t="inlineStr">
        <is>
          <t>Ізоляціна т а ініші стрічки</t>
        </is>
      </c>
      <c r="E507" s="33" t="inlineStr">
        <is>
          <t>PC</t>
        </is>
      </c>
      <c r="F507" s="94" t="n">
        <v>0.536</v>
      </c>
      <c r="G507" s="35" t="n">
        <v>5906100000</v>
      </c>
      <c r="H507" s="31" t="n">
        <v>1.4</v>
      </c>
      <c r="I507" s="84">
        <f>IFERROR(F507*Settings!$B$2*H507*IF(AND(ISNUMBER(E507),E507&gt;1),E507,1),"")</f>
        <v/>
      </c>
      <c r="J507" s="32">
        <f>Settings!$B$66</f>
        <v/>
      </c>
      <c r="K507" s="95">
        <f>IFERROR(IF(T507="","",(T507*(1-AN507)*(1-Settings!$B$17)-I507)/(T507*(1-AN507)*(1-Settings!$B$17))),"")</f>
        <v/>
      </c>
      <c r="L507" s="101">
        <f>IFERROR(IF(T507="","",(T507*(1-AO507)*(1-Settings!$C$17)-I507)/(T507*(1-AO507)*(1-Settings!$C$17))),"")</f>
        <v/>
      </c>
      <c r="M507" s="101">
        <f>IFERROR(IF(T507="","",(T507*(1-AP507)*(1-Settings!$D$17)-I507)/(T507*(1-AP507)*(1-Settings!$D$17))),"")</f>
        <v/>
      </c>
      <c r="N507" s="101">
        <f>IFERROR(IF(T507="","",(T507*(1-AQ507)*(1-Settings!$F$17)-I507)/(T507*(1-AQ507)*(1-Settings!$F$17))),"")</f>
        <v/>
      </c>
      <c r="O507" s="101">
        <f>IFERROR(IF(T507="","",(T507*(1-AR507)*(1-Settings!$G$17)-I507)/(T507*(1-AR507)*(1-Settings!$G$17))),"")</f>
        <v/>
      </c>
      <c r="P507" s="101">
        <f>IFERROR(IF(T507="","",(T507*(1-AS507)*(1-Settings!$H$17)-I507)/(T507*(1-AS507)*(1-Settings!$H$17))),"")</f>
        <v/>
      </c>
      <c r="Q507" s="101">
        <f>IFERROR(IF(T507="","",(T507*(1-AT507)*(1-Settings!$I$68)*(1-Settings!$I$17)-I507)/(T507*(1-AT507)*(1-Settings!$I$68)*(1-Settings!$I$17))),"")</f>
        <v/>
      </c>
      <c r="R507" s="91">
        <f>IFERROR(IF(OR(I507="",Z507&gt;=1,Settings!$B$17&gt;=1,AN507&gt;=1),"",IF(MOD(ROUND(I507/(1-Z507)/(1-Settings!$B$17)/(1-AN507),0),10)=0,ROUND(I507/(1-Z507)/(1-Settings!$B$17)/(1-AN507),0)-1,IF(MOD(ROUND(I507/(1-Z507)/(1-Settings!$B$17)/(1-AN507),0),10)&lt;=5,FLOOR(ROUND(I507/(1-Z507)/(1-Settings!$B$17)/(1-AN507),0),10)+6,FLOOR(ROUND(I507/(1-Z507)/(1-Settings!$B$17)/(1-AN507),0),10)+9))),"")</f>
        <v/>
      </c>
      <c r="S507" s="92" t="n">
        <v>90</v>
      </c>
      <c r="T507" s="91">
        <f>IF(S507&lt;&gt;"", IF(MOD(S507,10)=0,S507-1,IF(MOD(S507,10)&lt;=5,FLOOR(S507,10)+6,FLOOR(S507,10)+9)), R507)</f>
        <v/>
      </c>
      <c r="U507" s="87" t="inlineStr">
        <is>
          <t>Стратегічний</t>
        </is>
      </c>
      <c r="V507" s="88" t="n"/>
      <c r="W507" s="88" t="n"/>
      <c r="X507" s="89">
        <f>IFERROR(IF(OR(V507="",W507="",T507=""),"", IF(T507&gt;W507,"Дорогий",IF(T507&lt;V507,"Дешевий","У ринку"))),"")</f>
        <v/>
      </c>
      <c r="Y507" s="90" t="n"/>
      <c r="Z507" s="104">
        <f>CHOOSE(MATCH(IF($U507="","Основний",$U507),{"Трафіковий","Основний","Маржинальний","Сезонний","Стратегічний"},0),0.16,0.19,0.24,0.23,0.28)</f>
        <v/>
      </c>
      <c r="AA507" s="104">
        <f>CHOOSE(MATCH(IF($U507="","Основний",$U507),{"Трафіковий","Основний","Маржинальний","Сезонний","Стратегічний"},0),0.18,0.21,0.26,0.25,0.3)</f>
        <v/>
      </c>
      <c r="AB507" s="104">
        <f>CHOOSE(MATCH(IF($U507="","Основний",$U507),{"Трафіковий","Основний","Маржинальний","Сезонний","Стратегічний"},0),0.19,0.22,0.28,0.26,0.32)</f>
        <v/>
      </c>
      <c r="AC507" s="104">
        <f>CHOOSE(MATCH(IF($U507="","Основний",$U507),{"Трафіковий","Основний","Маржинальний","Сезонний","Стратегічний"},0),0.17,0.2,0.25,0.24,0.28)</f>
        <v/>
      </c>
      <c r="AD507" s="104">
        <f>CHOOSE(MATCH(IF($U507="","Основний",$U507),{"Трафіковий","Основний","Маржинальний","Сезонний","Стратегічний"},0),0.18,0.21,0.26,0.25,0.3)</f>
        <v/>
      </c>
      <c r="AE507" s="104">
        <f>CHOOSE(MATCH(IF($U507="","Основний",$U507),{"Трафіковий","Основний","Маржинальний","Сезонний","Стратегічний"},0),0.18,0.2,0.28,0.27,0.32)</f>
        <v/>
      </c>
      <c r="AF507" s="104">
        <f>CHOOSE(MATCH(IF($U507="","Основний",$U507),{"Трафіковий","Основний","Маржинальний","Сезонний","Стратегічний"},0),0.15,0.175,0.22,0.21,0.25)</f>
        <v/>
      </c>
      <c r="AG507" s="104">
        <f>CHOOSE(MATCH(IF($U507="","Основний",$U507),{"Трафіковий","Основний","Маржинальний","Сезонний","Стратегічний"},0),0.13,0.16,0.21,0.2,0.25)</f>
        <v/>
      </c>
      <c r="AH507" s="104">
        <f>CHOOSE(MATCH(IF($U507="","Основний",$U507),{"Трафіковий","Основний","Маржинальний","Сезонний","Стратегічний"},0),0.15,0.18,0.23,0.22,0.27)</f>
        <v/>
      </c>
      <c r="AI507" s="104">
        <f>CHOOSE(MATCH(IF($U507="","Основний",$U507),{"Трафіковий","Основний","Маржинальний","Сезонний","Стратегічний"},0),0.16,0.19,0.25,0.23,0.29)</f>
        <v/>
      </c>
      <c r="AJ507" s="104">
        <f>CHOOSE(MATCH(IF($U507="","Основний",$U507),{"Трафіковий","Основний","Маржинальний","Сезонний","Стратегічний"},0),0.14,0.17,0.22,0.21,0.25)</f>
        <v/>
      </c>
      <c r="AK507" s="104">
        <f>CHOOSE(MATCH(IF($U507="","Основний",$U507),{"Трафіковий","Основний","Маржинальний","Сезонний","Стратегічний"},0),0.15,0.18,0.23,0.22,0.27)</f>
        <v/>
      </c>
      <c r="AL507" s="104">
        <f>CHOOSE(MATCH(IF($U507="","Основний",$U507),{"Трафіковий","Основний","Маржинальний","Сезонний","Стратегічний"},0),0.15,0.17,0.25,0.24,0.29)</f>
        <v/>
      </c>
      <c r="AM507" s="104">
        <f>CHOOSE(MATCH(IF($U507="","Основний",$U507),{"Трафіковий","Основний","Маржинальний","Сезонний","Стратегічний"},0),0.12,0.145,0.19,0.18,0.22)</f>
        <v/>
      </c>
      <c r="AN507" s="157">
        <f>CHOOSE(MATCH(IF($U507="","Основний",$U507),{"Трафіковий","Основний","Маржинальний","Сезонний","Стратегічний"},0),Settings!$B$78,Settings!$B$80,Settings!$B$82,Settings!$B$84,Settings!$B$86)</f>
        <v/>
      </c>
      <c r="AO507" s="157">
        <f>CHOOSE(MATCH(IF($U507="","Основний",$U507),{"Трафіковий","Основний","Маржинальний","Сезонний","Стратегічний"},0),Settings!$C$78,Settings!$C$80,Settings!$C$82,Settings!$C$84,Settings!$C$86)</f>
        <v/>
      </c>
      <c r="AP507" s="157">
        <f>CHOOSE(MATCH(IF($U507="","Основний",$U507),{"Трафіковий","Основний","Маржинальний","Сезонний","Стратегічний"},0),Settings!$D$78,Settings!$D$80,Settings!$D$82,Settings!$D$84,Settings!$D$86)</f>
        <v/>
      </c>
      <c r="AQ507" s="157">
        <f>CHOOSE(MATCH(IF($U507="","Основний",$U507),{"Трафіковий","Основний","Маржинальний","Сезонний","Стратегічний"},0),Settings!$F$78,Settings!$F$80,Settings!$F$82,Settings!$F$84,Settings!$F$86)</f>
        <v/>
      </c>
      <c r="AR507" s="157">
        <f>CHOOSE(MATCH(IF($U507="","Основний",$U507),{"Трафіковий","Основний","Маржинальний","Сезонний","Стратегічний"},0),Settings!$G$78,Settings!$G$80,Settings!$G$82,Settings!$G$84,Settings!$G$86)</f>
        <v/>
      </c>
      <c r="AS507" s="157">
        <f>CHOOSE(MATCH(IF($U507="","Основний",$U507),{"Трафіковий","Основний","Маржинальний","Сезонний","Стратегічний"},0),Settings!$H$78,Settings!$H$80,Settings!$H$82,Settings!$H$84,Settings!$H$86)</f>
        <v/>
      </c>
      <c r="AT507" s="157">
        <f>CHOOSE(MATCH(IF($U507="","Основний",$U507),{"Трафіковий","Основний","Маржинальний","Сезонний","Стратегічний"},0),Settings!$I$78,Settings!$I$80,Settings!$I$82,Settings!$I$84,Settings!$I$86)</f>
        <v/>
      </c>
      <c r="AU507" s="171" t="n"/>
      <c r="AV507" t="n">
        <v>1.35</v>
      </c>
    </row>
    <row r="508">
      <c r="A508" s="28" t="n"/>
      <c r="B508" s="29" t="inlineStr">
        <is>
          <t>F6910</t>
        </is>
      </c>
      <c r="C508" s="29" t="inlineStr">
        <is>
          <t>TAPE TEXTILE 19/10 BLACK</t>
        </is>
      </c>
      <c r="D508" s="29" t="inlineStr">
        <is>
          <t>Ізоляціна т а ініші стрічки</t>
        </is>
      </c>
      <c r="E508" s="28" t="inlineStr">
        <is>
          <t>PC</t>
        </is>
      </c>
      <c r="F508" s="93" t="n">
        <v>0.444</v>
      </c>
      <c r="G508" s="30" t="n">
        <v>5906100000</v>
      </c>
      <c r="H508" s="31" t="n">
        <v>1.4</v>
      </c>
      <c r="I508" s="84">
        <f>IFERROR(F508*Settings!$B$2*H508*IF(AND(ISNUMBER(E508),E508&gt;1),E508,1),"")</f>
        <v/>
      </c>
      <c r="J508" s="32">
        <f>Settings!$B$66</f>
        <v/>
      </c>
      <c r="K508" s="95">
        <f>IFERROR(IF(T508="","",(T508*(1-AN508)*(1-Settings!$B$17)-I508)/(T508*(1-AN508)*(1-Settings!$B$17))),"")</f>
        <v/>
      </c>
      <c r="L508" s="101">
        <f>IFERROR(IF(T508="","",(T508*(1-AO508)*(1-Settings!$C$17)-I508)/(T508*(1-AO508)*(1-Settings!$C$17))),"")</f>
        <v/>
      </c>
      <c r="M508" s="101">
        <f>IFERROR(IF(T508="","",(T508*(1-AP508)*(1-Settings!$D$17)-I508)/(T508*(1-AP508)*(1-Settings!$D$17))),"")</f>
        <v/>
      </c>
      <c r="N508" s="101">
        <f>IFERROR(IF(T508="","",(T508*(1-AQ508)*(1-Settings!$F$17)-I508)/(T508*(1-AQ508)*(1-Settings!$F$17))),"")</f>
        <v/>
      </c>
      <c r="O508" s="101">
        <f>IFERROR(IF(T508="","",(T508*(1-AR508)*(1-Settings!$G$17)-I508)/(T508*(1-AR508)*(1-Settings!$G$17))),"")</f>
        <v/>
      </c>
      <c r="P508" s="101">
        <f>IFERROR(IF(T508="","",(T508*(1-AS508)*(1-Settings!$H$17)-I508)/(T508*(1-AS508)*(1-Settings!$H$17))),"")</f>
        <v/>
      </c>
      <c r="Q508" s="101">
        <f>IFERROR(IF(T508="","",(T508*(1-AT508)*(1-Settings!$I$68)*(1-Settings!$I$17)-I508)/(T508*(1-AT508)*(1-Settings!$I$68)*(1-Settings!$I$17))),"")</f>
        <v/>
      </c>
      <c r="R508" s="91">
        <f>IFERROR(IF(OR(I508="",Z508&gt;=1,Settings!$B$17&gt;=1,AN508&gt;=1),"",IF(MOD(ROUND(I508/(1-Z508)/(1-Settings!$B$17)/(1-AN508),0),10)=0,ROUND(I508/(1-Z508)/(1-Settings!$B$17)/(1-AN508),0)-1,IF(MOD(ROUND(I508/(1-Z508)/(1-Settings!$B$17)/(1-AN508),0),10)&lt;=5,FLOOR(ROUND(I508/(1-Z508)/(1-Settings!$B$17)/(1-AN508),0),10)+6,FLOOR(ROUND(I508/(1-Z508)/(1-Settings!$B$17)/(1-AN508),0),10)+9))),"")</f>
        <v/>
      </c>
      <c r="S508" s="92" t="n">
        <v>75</v>
      </c>
      <c r="T508" s="91">
        <f>IF(S508&lt;&gt;"", IF(MOD(S508,10)=0,S508-1,IF(MOD(S508,10)&lt;=5,FLOOR(S508,10)+6,FLOOR(S508,10)+9)), R508)</f>
        <v/>
      </c>
      <c r="U508" s="87" t="inlineStr">
        <is>
          <t>Стратегічний</t>
        </is>
      </c>
      <c r="V508" s="88" t="n"/>
      <c r="W508" s="88" t="n"/>
      <c r="X508" s="89">
        <f>IFERROR(IF(OR(V508="",W508="",T508=""),"", IF(T508&gt;W508,"Дорогий",IF(T508&lt;V508,"Дешевий","У ринку"))),"")</f>
        <v/>
      </c>
      <c r="Y508" s="90" t="n"/>
      <c r="Z508" s="104">
        <f>CHOOSE(MATCH(IF($U508="","Основний",$U508),{"Трафіковий","Основний","Маржинальний","Сезонний","Стратегічний"},0),0.16,0.19,0.24,0.23,0.28)</f>
        <v/>
      </c>
      <c r="AA508" s="104">
        <f>CHOOSE(MATCH(IF($U508="","Основний",$U508),{"Трафіковий","Основний","Маржинальний","Сезонний","Стратегічний"},0),0.18,0.21,0.26,0.25,0.3)</f>
        <v/>
      </c>
      <c r="AB508" s="104">
        <f>CHOOSE(MATCH(IF($U508="","Основний",$U508),{"Трафіковий","Основний","Маржинальний","Сезонний","Стратегічний"},0),0.19,0.22,0.28,0.26,0.32)</f>
        <v/>
      </c>
      <c r="AC508" s="104">
        <f>CHOOSE(MATCH(IF($U508="","Основний",$U508),{"Трафіковий","Основний","Маржинальний","Сезонний","Стратегічний"},0),0.17,0.2,0.25,0.24,0.28)</f>
        <v/>
      </c>
      <c r="AD508" s="104">
        <f>CHOOSE(MATCH(IF($U508="","Основний",$U508),{"Трафіковий","Основний","Маржинальний","Сезонний","Стратегічний"},0),0.18,0.21,0.26,0.25,0.3)</f>
        <v/>
      </c>
      <c r="AE508" s="104">
        <f>CHOOSE(MATCH(IF($U508="","Основний",$U508),{"Трафіковий","Основний","Маржинальний","Сезонний","Стратегічний"},0),0.18,0.2,0.28,0.27,0.32)</f>
        <v/>
      </c>
      <c r="AF508" s="104">
        <f>CHOOSE(MATCH(IF($U508="","Основний",$U508),{"Трафіковий","Основний","Маржинальний","Сезонний","Стратегічний"},0),0.15,0.175,0.22,0.21,0.25)</f>
        <v/>
      </c>
      <c r="AG508" s="104">
        <f>CHOOSE(MATCH(IF($U508="","Основний",$U508),{"Трафіковий","Основний","Маржинальний","Сезонний","Стратегічний"},0),0.13,0.16,0.21,0.2,0.25)</f>
        <v/>
      </c>
      <c r="AH508" s="104">
        <f>CHOOSE(MATCH(IF($U508="","Основний",$U508),{"Трафіковий","Основний","Маржинальний","Сезонний","Стратегічний"},0),0.15,0.18,0.23,0.22,0.27)</f>
        <v/>
      </c>
      <c r="AI508" s="104">
        <f>CHOOSE(MATCH(IF($U508="","Основний",$U508),{"Трафіковий","Основний","Маржинальний","Сезонний","Стратегічний"},0),0.16,0.19,0.25,0.23,0.29)</f>
        <v/>
      </c>
      <c r="AJ508" s="104">
        <f>CHOOSE(MATCH(IF($U508="","Основний",$U508),{"Трафіковий","Основний","Маржинальний","Сезонний","Стратегічний"},0),0.14,0.17,0.22,0.21,0.25)</f>
        <v/>
      </c>
      <c r="AK508" s="104">
        <f>CHOOSE(MATCH(IF($U508="","Основний",$U508),{"Трафіковий","Основний","Маржинальний","Сезонний","Стратегічний"},0),0.15,0.18,0.23,0.22,0.27)</f>
        <v/>
      </c>
      <c r="AL508" s="104">
        <f>CHOOSE(MATCH(IF($U508="","Основний",$U508),{"Трафіковий","Основний","Маржинальний","Сезонний","Стратегічний"},0),0.15,0.17,0.25,0.24,0.29)</f>
        <v/>
      </c>
      <c r="AM508" s="104">
        <f>CHOOSE(MATCH(IF($U508="","Основний",$U508),{"Трафіковий","Основний","Маржинальний","Сезонний","Стратегічний"},0),0.12,0.145,0.19,0.18,0.22)</f>
        <v/>
      </c>
      <c r="AN508" s="157">
        <f>CHOOSE(MATCH(IF($U508="","Основний",$U508),{"Трафіковий","Основний","Маржинальний","Сезонний","Стратегічний"},0),Settings!$B$78,Settings!$B$80,Settings!$B$82,Settings!$B$84,Settings!$B$86)</f>
        <v/>
      </c>
      <c r="AO508" s="157">
        <f>CHOOSE(MATCH(IF($U508="","Основний",$U508),{"Трафіковий","Основний","Маржинальний","Сезонний","Стратегічний"},0),Settings!$C$78,Settings!$C$80,Settings!$C$82,Settings!$C$84,Settings!$C$86)</f>
        <v/>
      </c>
      <c r="AP508" s="157">
        <f>CHOOSE(MATCH(IF($U508="","Основний",$U508),{"Трафіковий","Основний","Маржинальний","Сезонний","Стратегічний"},0),Settings!$D$78,Settings!$D$80,Settings!$D$82,Settings!$D$84,Settings!$D$86)</f>
        <v/>
      </c>
      <c r="AQ508" s="157">
        <f>CHOOSE(MATCH(IF($U508="","Основний",$U508),{"Трафіковий","Основний","Маржинальний","Сезонний","Стратегічний"},0),Settings!$F$78,Settings!$F$80,Settings!$F$82,Settings!$F$84,Settings!$F$86)</f>
        <v/>
      </c>
      <c r="AR508" s="157">
        <f>CHOOSE(MATCH(IF($U508="","Основний",$U508),{"Трафіковий","Основний","Маржинальний","Сезонний","Стратегічний"},0),Settings!$G$78,Settings!$G$80,Settings!$G$82,Settings!$G$84,Settings!$G$86)</f>
        <v/>
      </c>
      <c r="AS508" s="157">
        <f>CHOOSE(MATCH(IF($U508="","Основний",$U508),{"Трафіковий","Основний","Маржинальний","Сезонний","Стратегічний"},0),Settings!$H$78,Settings!$H$80,Settings!$H$82,Settings!$H$84,Settings!$H$86)</f>
        <v/>
      </c>
      <c r="AT508" s="157">
        <f>CHOOSE(MATCH(IF($U508="","Основний",$U508),{"Трафіковий","Основний","Маржинальний","Сезонний","Стратегічний"},0),Settings!$I$78,Settings!$I$80,Settings!$I$82,Settings!$I$84,Settings!$I$86)</f>
        <v/>
      </c>
      <c r="AU508" s="171" t="n"/>
      <c r="AV508" t="n">
        <v>1.35</v>
      </c>
    </row>
    <row r="509">
      <c r="A509" s="33" t="n"/>
      <c r="B509" s="34" t="inlineStr">
        <is>
          <t>F51912</t>
        </is>
      </c>
      <c r="C509" s="34" t="inlineStr">
        <is>
          <t>SELF AMALGAMATING TAPE 19/10</t>
        </is>
      </c>
      <c r="D509" s="34" t="inlineStr">
        <is>
          <t>Ізоляціна т а ініші стрічки</t>
        </is>
      </c>
      <c r="E509" s="33" t="inlineStr">
        <is>
          <t>PC</t>
        </is>
      </c>
      <c r="F509" s="94" t="n">
        <v>1.781</v>
      </c>
      <c r="G509" s="35" t="n">
        <v>4008219000</v>
      </c>
      <c r="H509" s="31" t="n">
        <v>1.3</v>
      </c>
      <c r="I509" s="84">
        <f>IFERROR(F509*Settings!$B$2*H509*IF(AND(ISNUMBER(E509),E509&gt;1),E509,1),"")</f>
        <v/>
      </c>
      <c r="J509" s="32">
        <f>Settings!$B$66</f>
        <v/>
      </c>
      <c r="K509" s="95">
        <f>IFERROR(IF(T509="","",(T509*(1-AN509)*(1-Settings!$B$17)-I509)/(T509*(1-AN509)*(1-Settings!$B$17))),"")</f>
        <v/>
      </c>
      <c r="L509" s="101">
        <f>IFERROR(IF(T509="","",(T509*(1-AO509)*(1-Settings!$C$17)-I509)/(T509*(1-AO509)*(1-Settings!$C$17))),"")</f>
        <v/>
      </c>
      <c r="M509" s="101">
        <f>IFERROR(IF(T509="","",(T509*(1-AP509)*(1-Settings!$D$17)-I509)/(T509*(1-AP509)*(1-Settings!$D$17))),"")</f>
        <v/>
      </c>
      <c r="N509" s="101">
        <f>IFERROR(IF(T509="","",(T509*(1-AQ509)*(1-Settings!$F$17)-I509)/(T509*(1-AQ509)*(1-Settings!$F$17))),"")</f>
        <v/>
      </c>
      <c r="O509" s="101">
        <f>IFERROR(IF(T509="","",(T509*(1-AR509)*(1-Settings!$G$17)-I509)/(T509*(1-AR509)*(1-Settings!$G$17))),"")</f>
        <v/>
      </c>
      <c r="P509" s="101">
        <f>IFERROR(IF(T509="","",(T509*(1-AS509)*(1-Settings!$H$17)-I509)/(T509*(1-AS509)*(1-Settings!$H$17))),"")</f>
        <v/>
      </c>
      <c r="Q509" s="101">
        <f>IFERROR(IF(T509="","",(T509*(1-AT509)*(1-Settings!$I$68)*(1-Settings!$I$17)-I509)/(T509*(1-AT509)*(1-Settings!$I$68)*(1-Settings!$I$17))),"")</f>
        <v/>
      </c>
      <c r="R509" s="91">
        <f>IFERROR(IF(OR(I509="",Z509&gt;=1,Settings!$B$17&gt;=1,AN509&gt;=1),"",IF(MOD(ROUND(I509/(1-Z509)/(1-Settings!$B$17)/(1-AN509),0),10)=0,ROUND(I509/(1-Z509)/(1-Settings!$B$17)/(1-AN509),0)-1,IF(MOD(ROUND(I509/(1-Z509)/(1-Settings!$B$17)/(1-AN509),0),10)&lt;=5,FLOOR(ROUND(I509/(1-Z509)/(1-Settings!$B$17)/(1-AN509),0),10)+6,FLOOR(ROUND(I509/(1-Z509)/(1-Settings!$B$17)/(1-AN509),0),10)+9))),"")</f>
        <v/>
      </c>
      <c r="S509" s="174">
        <f>R509*0.95</f>
        <v/>
      </c>
      <c r="T509" s="91">
        <f>IF(S509&lt;&gt;"", IF(MOD(S509,10)=0,S509-1,IF(MOD(S509,10)&lt;=5,FLOOR(S509,10)+6,FLOOR(S509,10)+9)), R509)</f>
        <v/>
      </c>
      <c r="U509" s="87" t="inlineStr">
        <is>
          <t>Основний</t>
        </is>
      </c>
      <c r="V509" s="88" t="n"/>
      <c r="W509" s="88" t="n"/>
      <c r="X509" s="89">
        <f>IFERROR(IF(OR(V509="",W509="",T509=""),"", IF(T509&gt;W509,"Дорогий",IF(T509&lt;V509,"Дешевий","У ринку"))),"")</f>
        <v/>
      </c>
      <c r="Y509" s="90" t="n"/>
      <c r="Z509" s="104">
        <f>CHOOSE(MATCH(IF($U509="","Основний",$U509),{"Трафіковий","Основний","Маржинальний","Сезонний","Стратегічний"},0),0.16,0.19,0.24,0.23,0.28)</f>
        <v/>
      </c>
      <c r="AA509" s="104">
        <f>CHOOSE(MATCH(IF($U509="","Основний",$U509),{"Трафіковий","Основний","Маржинальний","Сезонний","Стратегічний"},0),0.18,0.21,0.26,0.25,0.3)</f>
        <v/>
      </c>
      <c r="AB509" s="104">
        <f>CHOOSE(MATCH(IF($U509="","Основний",$U509),{"Трафіковий","Основний","Маржинальний","Сезонний","Стратегічний"},0),0.19,0.22,0.28,0.26,0.32)</f>
        <v/>
      </c>
      <c r="AC509" s="104">
        <f>CHOOSE(MATCH(IF($U509="","Основний",$U509),{"Трафіковий","Основний","Маржинальний","Сезонний","Стратегічний"},0),0.17,0.2,0.25,0.24,0.28)</f>
        <v/>
      </c>
      <c r="AD509" s="104">
        <f>CHOOSE(MATCH(IF($U509="","Основний",$U509),{"Трафіковий","Основний","Маржинальний","Сезонний","Стратегічний"},0),0.18,0.21,0.26,0.25,0.3)</f>
        <v/>
      </c>
      <c r="AE509" s="104">
        <f>CHOOSE(MATCH(IF($U509="","Основний",$U509),{"Трафіковий","Основний","Маржинальний","Сезонний","Стратегічний"},0),0.18,0.2,0.28,0.27,0.32)</f>
        <v/>
      </c>
      <c r="AF509" s="104">
        <f>CHOOSE(MATCH(IF($U509="","Основний",$U509),{"Трафіковий","Основний","Маржинальний","Сезонний","Стратегічний"},0),0.15,0.175,0.22,0.21,0.25)</f>
        <v/>
      </c>
      <c r="AG509" s="104">
        <f>CHOOSE(MATCH(IF($U509="","Основний",$U509),{"Трафіковий","Основний","Маржинальний","Сезонний","Стратегічний"},0),0.13,0.16,0.21,0.2,0.25)</f>
        <v/>
      </c>
      <c r="AH509" s="104">
        <f>CHOOSE(MATCH(IF($U509="","Основний",$U509),{"Трафіковий","Основний","Маржинальний","Сезонний","Стратегічний"},0),0.15,0.18,0.23,0.22,0.27)</f>
        <v/>
      </c>
      <c r="AI509" s="104">
        <f>CHOOSE(MATCH(IF($U509="","Основний",$U509),{"Трафіковий","Основний","Маржинальний","Сезонний","Стратегічний"},0),0.16,0.19,0.25,0.23,0.29)</f>
        <v/>
      </c>
      <c r="AJ509" s="104">
        <f>CHOOSE(MATCH(IF($U509="","Основний",$U509),{"Трафіковий","Основний","Маржинальний","Сезонний","Стратегічний"},0),0.14,0.17,0.22,0.21,0.25)</f>
        <v/>
      </c>
      <c r="AK509" s="104">
        <f>CHOOSE(MATCH(IF($U509="","Основний",$U509),{"Трафіковий","Основний","Маржинальний","Сезонний","Стратегічний"},0),0.15,0.18,0.23,0.22,0.27)</f>
        <v/>
      </c>
      <c r="AL509" s="104">
        <f>CHOOSE(MATCH(IF($U509="","Основний",$U509),{"Трафіковий","Основний","Маржинальний","Сезонний","Стратегічний"},0),0.15,0.17,0.25,0.24,0.29)</f>
        <v/>
      </c>
      <c r="AM509" s="104">
        <f>CHOOSE(MATCH(IF($U509="","Основний",$U509),{"Трафіковий","Основний","Маржинальний","Сезонний","Стратегічний"},0),0.12,0.145,0.19,0.18,0.22)</f>
        <v/>
      </c>
      <c r="AN509" s="157">
        <f>CHOOSE(MATCH(IF($U509="","Основний",$U509),{"Трафіковий","Основний","Маржинальний","Сезонний","Стратегічний"},0),Settings!$B$78,Settings!$B$80,Settings!$B$82,Settings!$B$84,Settings!$B$86)</f>
        <v/>
      </c>
      <c r="AO509" s="157">
        <f>CHOOSE(MATCH(IF($U509="","Основний",$U509),{"Трафіковий","Основний","Маржинальний","Сезонний","Стратегічний"},0),Settings!$C$78,Settings!$C$80,Settings!$C$82,Settings!$C$84,Settings!$C$86)</f>
        <v/>
      </c>
      <c r="AP509" s="157">
        <f>CHOOSE(MATCH(IF($U509="","Основний",$U509),{"Трафіковий","Основний","Маржинальний","Сезонний","Стратегічний"},0),Settings!$D$78,Settings!$D$80,Settings!$D$82,Settings!$D$84,Settings!$D$86)</f>
        <v/>
      </c>
      <c r="AQ509" s="157">
        <f>CHOOSE(MATCH(IF($U509="","Основний",$U509),{"Трафіковий","Основний","Маржинальний","Сезонний","Стратегічний"},0),Settings!$F$78,Settings!$F$80,Settings!$F$82,Settings!$F$84,Settings!$F$86)</f>
        <v/>
      </c>
      <c r="AR509" s="157">
        <f>CHOOSE(MATCH(IF($U509="","Основний",$U509),{"Трафіковий","Основний","Маржинальний","Сезонний","Стратегічний"},0),Settings!$G$78,Settings!$G$80,Settings!$G$82,Settings!$G$84,Settings!$G$86)</f>
        <v/>
      </c>
      <c r="AS509" s="157">
        <f>CHOOSE(MATCH(IF($U509="","Основний",$U509),{"Трафіковий","Основний","Маржинальний","Сезонний","Стратегічний"},0),Settings!$H$78,Settings!$H$80,Settings!$H$82,Settings!$H$84,Settings!$H$86)</f>
        <v/>
      </c>
      <c r="AT509" s="157">
        <f>CHOOSE(MATCH(IF($U509="","Основний",$U509),{"Трафіковий","Основний","Маржинальний","Сезонний","Стратегічний"},0),Settings!$I$78,Settings!$I$80,Settings!$I$82,Settings!$I$84,Settings!$I$86)</f>
        <v/>
      </c>
      <c r="AU509" s="171" t="n"/>
      <c r="AV509" t="n">
        <v>1.35</v>
      </c>
    </row>
    <row r="510">
      <c r="A510" s="28" t="n"/>
      <c r="B510" s="29" t="inlineStr">
        <is>
          <t>F52502</t>
        </is>
      </c>
      <c r="C510" s="29" t="inlineStr">
        <is>
          <t>SELF AMALGAMATING TAPE 25/5</t>
        </is>
      </c>
      <c r="D510" s="29" t="inlineStr">
        <is>
          <t>Ізоляціна т а ініші стрічки</t>
        </is>
      </c>
      <c r="E510" s="28" t="inlineStr">
        <is>
          <t>PC</t>
        </is>
      </c>
      <c r="F510" s="93" t="n">
        <v>1.205</v>
      </c>
      <c r="G510" s="30" t="n">
        <v>4008219000</v>
      </c>
      <c r="H510" s="31" t="n">
        <v>1.3</v>
      </c>
      <c r="I510" s="84">
        <f>IFERROR(F510*Settings!$B$2*H510*IF(AND(ISNUMBER(E510),E510&gt;1),E510,1),"")</f>
        <v/>
      </c>
      <c r="J510" s="32">
        <f>Settings!$B$66</f>
        <v/>
      </c>
      <c r="K510" s="95">
        <f>IFERROR(IF(T510="","",(T510*(1-AN510)*(1-Settings!$B$17)-I510)/(T510*(1-AN510)*(1-Settings!$B$17))),"")</f>
        <v/>
      </c>
      <c r="L510" s="101">
        <f>IFERROR(IF(T510="","",(T510*(1-AO510)*(1-Settings!$C$17)-I510)/(T510*(1-AO510)*(1-Settings!$C$17))),"")</f>
        <v/>
      </c>
      <c r="M510" s="101">
        <f>IFERROR(IF(T510="","",(T510*(1-AP510)*(1-Settings!$D$17)-I510)/(T510*(1-AP510)*(1-Settings!$D$17))),"")</f>
        <v/>
      </c>
      <c r="N510" s="101">
        <f>IFERROR(IF(T510="","",(T510*(1-AQ510)*(1-Settings!$F$17)-I510)/(T510*(1-AQ510)*(1-Settings!$F$17))),"")</f>
        <v/>
      </c>
      <c r="O510" s="101">
        <f>IFERROR(IF(T510="","",(T510*(1-AR510)*(1-Settings!$G$17)-I510)/(T510*(1-AR510)*(1-Settings!$G$17))),"")</f>
        <v/>
      </c>
      <c r="P510" s="101">
        <f>IFERROR(IF(T510="","",(T510*(1-AS510)*(1-Settings!$H$17)-I510)/(T510*(1-AS510)*(1-Settings!$H$17))),"")</f>
        <v/>
      </c>
      <c r="Q510" s="101">
        <f>IFERROR(IF(T510="","",(T510*(1-AT510)*(1-Settings!$I$68)*(1-Settings!$I$17)-I510)/(T510*(1-AT510)*(1-Settings!$I$68)*(1-Settings!$I$17))),"")</f>
        <v/>
      </c>
      <c r="R510" s="91">
        <f>IFERROR(IF(OR(I510="",Z510&gt;=1,Settings!$B$17&gt;=1,AN510&gt;=1),"",IF(MOD(ROUND(I510/(1-Z510)/(1-Settings!$B$17)/(1-AN510),0),10)=0,ROUND(I510/(1-Z510)/(1-Settings!$B$17)/(1-AN510),0)-1,IF(MOD(ROUND(I510/(1-Z510)/(1-Settings!$B$17)/(1-AN510),0),10)&lt;=5,FLOOR(ROUND(I510/(1-Z510)/(1-Settings!$B$17)/(1-AN510),0),10)+6,FLOOR(ROUND(I510/(1-Z510)/(1-Settings!$B$17)/(1-AN510),0),10)+9))),"")</f>
        <v/>
      </c>
      <c r="S510" s="92" t="n">
        <v>155</v>
      </c>
      <c r="T510" s="91">
        <f>IF(S510&lt;&gt;"", IF(MOD(S510,10)=0,S510-1,IF(MOD(S510,10)&lt;=5,FLOOR(S510,10)+6,FLOOR(S510,10)+9)), R510)</f>
        <v/>
      </c>
      <c r="U510" s="87" t="inlineStr">
        <is>
          <t>Основний</t>
        </is>
      </c>
      <c r="V510" s="88" t="n"/>
      <c r="W510" s="88" t="n"/>
      <c r="X510" s="89">
        <f>IFERROR(IF(OR(V510="",W510="",T510=""),"", IF(T510&gt;W510,"Дорогий",IF(T510&lt;V510,"Дешевий","У ринку"))),"")</f>
        <v/>
      </c>
      <c r="Y510" s="90" t="n"/>
      <c r="Z510" s="104">
        <f>CHOOSE(MATCH(IF($U510="","Основний",$U510),{"Трафіковий","Основний","Маржинальний","Сезонний","Стратегічний"},0),0.16,0.19,0.24,0.23,0.28)</f>
        <v/>
      </c>
      <c r="AA510" s="104">
        <f>CHOOSE(MATCH(IF($U510="","Основний",$U510),{"Трафіковий","Основний","Маржинальний","Сезонний","Стратегічний"},0),0.18,0.21,0.26,0.25,0.3)</f>
        <v/>
      </c>
      <c r="AB510" s="104">
        <f>CHOOSE(MATCH(IF($U510="","Основний",$U510),{"Трафіковий","Основний","Маржинальний","Сезонний","Стратегічний"},0),0.19,0.22,0.28,0.26,0.32)</f>
        <v/>
      </c>
      <c r="AC510" s="104">
        <f>CHOOSE(MATCH(IF($U510="","Основний",$U510),{"Трафіковий","Основний","Маржинальний","Сезонний","Стратегічний"},0),0.17,0.2,0.25,0.24,0.28)</f>
        <v/>
      </c>
      <c r="AD510" s="104">
        <f>CHOOSE(MATCH(IF($U510="","Основний",$U510),{"Трафіковий","Основний","Маржинальний","Сезонний","Стратегічний"},0),0.18,0.21,0.26,0.25,0.3)</f>
        <v/>
      </c>
      <c r="AE510" s="104">
        <f>CHOOSE(MATCH(IF($U510="","Основний",$U510),{"Трафіковий","Основний","Маржинальний","Сезонний","Стратегічний"},0),0.18,0.2,0.28,0.27,0.32)</f>
        <v/>
      </c>
      <c r="AF510" s="104">
        <f>CHOOSE(MATCH(IF($U510="","Основний",$U510),{"Трафіковий","Основний","Маржинальний","Сезонний","Стратегічний"},0),0.15,0.175,0.22,0.21,0.25)</f>
        <v/>
      </c>
      <c r="AG510" s="104">
        <f>CHOOSE(MATCH(IF($U510="","Основний",$U510),{"Трафіковий","Основний","Маржинальний","Сезонний","Стратегічний"},0),0.13,0.16,0.21,0.2,0.25)</f>
        <v/>
      </c>
      <c r="AH510" s="104">
        <f>CHOOSE(MATCH(IF($U510="","Основний",$U510),{"Трафіковий","Основний","Маржинальний","Сезонний","Стратегічний"},0),0.15,0.18,0.23,0.22,0.27)</f>
        <v/>
      </c>
      <c r="AI510" s="104">
        <f>CHOOSE(MATCH(IF($U510="","Основний",$U510),{"Трафіковий","Основний","Маржинальний","Сезонний","Стратегічний"},0),0.16,0.19,0.25,0.23,0.29)</f>
        <v/>
      </c>
      <c r="AJ510" s="104">
        <f>CHOOSE(MATCH(IF($U510="","Основний",$U510),{"Трафіковий","Основний","Маржинальний","Сезонний","Стратегічний"},0),0.14,0.17,0.22,0.21,0.25)</f>
        <v/>
      </c>
      <c r="AK510" s="104">
        <f>CHOOSE(MATCH(IF($U510="","Основний",$U510),{"Трафіковий","Основний","Маржинальний","Сезонний","Стратегічний"},0),0.15,0.18,0.23,0.22,0.27)</f>
        <v/>
      </c>
      <c r="AL510" s="104">
        <f>CHOOSE(MATCH(IF($U510="","Основний",$U510),{"Трафіковий","Основний","Маржинальний","Сезонний","Стратегічний"},0),0.15,0.17,0.25,0.24,0.29)</f>
        <v/>
      </c>
      <c r="AM510" s="104">
        <f>CHOOSE(MATCH(IF($U510="","Основний",$U510),{"Трафіковий","Основний","Маржинальний","Сезонний","Стратегічний"},0),0.12,0.145,0.19,0.18,0.22)</f>
        <v/>
      </c>
      <c r="AN510" s="157">
        <f>CHOOSE(MATCH(IF($U510="","Основний",$U510),{"Трафіковий","Основний","Маржинальний","Сезонний","Стратегічний"},0),Settings!$B$78,Settings!$B$80,Settings!$B$82,Settings!$B$84,Settings!$B$86)</f>
        <v/>
      </c>
      <c r="AO510" s="157">
        <f>CHOOSE(MATCH(IF($U510="","Основний",$U510),{"Трафіковий","Основний","Маржинальний","Сезонний","Стратегічний"},0),Settings!$C$78,Settings!$C$80,Settings!$C$82,Settings!$C$84,Settings!$C$86)</f>
        <v/>
      </c>
      <c r="AP510" s="157">
        <f>CHOOSE(MATCH(IF($U510="","Основний",$U510),{"Трафіковий","Основний","Маржинальний","Сезонний","Стратегічний"},0),Settings!$D$78,Settings!$D$80,Settings!$D$82,Settings!$D$84,Settings!$D$86)</f>
        <v/>
      </c>
      <c r="AQ510" s="157">
        <f>CHOOSE(MATCH(IF($U510="","Основний",$U510),{"Трафіковий","Основний","Маржинальний","Сезонний","Стратегічний"},0),Settings!$F$78,Settings!$F$80,Settings!$F$82,Settings!$F$84,Settings!$F$86)</f>
        <v/>
      </c>
      <c r="AR510" s="157">
        <f>CHOOSE(MATCH(IF($U510="","Основний",$U510),{"Трафіковий","Основний","Маржинальний","Сезонний","Стратегічний"},0),Settings!$G$78,Settings!$G$80,Settings!$G$82,Settings!$G$84,Settings!$G$86)</f>
        <v/>
      </c>
      <c r="AS510" s="157">
        <f>CHOOSE(MATCH(IF($U510="","Основний",$U510),{"Трафіковий","Основний","Маржинальний","Сезонний","Стратегічний"},0),Settings!$H$78,Settings!$H$80,Settings!$H$82,Settings!$H$84,Settings!$H$86)</f>
        <v/>
      </c>
      <c r="AT510" s="157">
        <f>CHOOSE(MATCH(IF($U510="","Основний",$U510),{"Трафіковий","Основний","Маржинальний","Сезонний","Стратегічний"},0),Settings!$I$78,Settings!$I$80,Settings!$I$82,Settings!$I$84,Settings!$I$86)</f>
        <v/>
      </c>
      <c r="AU510" s="171" t="n"/>
      <c r="AV510" t="n">
        <v>1.35</v>
      </c>
    </row>
    <row r="511">
      <c r="A511" s="33" t="n"/>
      <c r="B511" s="34" t="inlineStr">
        <is>
          <t>F52503</t>
        </is>
      </c>
      <c r="C511" s="34" t="inlineStr">
        <is>
          <t>TAPE SILICONE SELF FUSING 25/3</t>
        </is>
      </c>
      <c r="D511" s="34" t="inlineStr">
        <is>
          <t>Ізоляціна т а ініші стрічки</t>
        </is>
      </c>
      <c r="E511" s="33" t="inlineStr">
        <is>
          <t>PC</t>
        </is>
      </c>
      <c r="F511" s="94" t="n">
        <v>3.044</v>
      </c>
      <c r="G511" s="35" t="n">
        <v>4008219000</v>
      </c>
      <c r="H511" s="31" t="n">
        <v>1.3</v>
      </c>
      <c r="I511" s="84">
        <f>IFERROR(F511*Settings!$B$2*H511*IF(AND(ISNUMBER(E511),E511&gt;1),E511,1),"")</f>
        <v/>
      </c>
      <c r="J511" s="32">
        <f>Settings!$B$66</f>
        <v/>
      </c>
      <c r="K511" s="95">
        <f>IFERROR(IF(T511="","",(T511*(1-AN511)*(1-Settings!$B$17)-I511)/(T511*(1-AN511)*(1-Settings!$B$17))),"")</f>
        <v/>
      </c>
      <c r="L511" s="101">
        <f>IFERROR(IF(T511="","",(T511*(1-AO511)*(1-Settings!$C$17)-I511)/(T511*(1-AO511)*(1-Settings!$C$17))),"")</f>
        <v/>
      </c>
      <c r="M511" s="101">
        <f>IFERROR(IF(T511="","",(T511*(1-AP511)*(1-Settings!$D$17)-I511)/(T511*(1-AP511)*(1-Settings!$D$17))),"")</f>
        <v/>
      </c>
      <c r="N511" s="101">
        <f>IFERROR(IF(T511="","",(T511*(1-AQ511)*(1-Settings!$F$17)-I511)/(T511*(1-AQ511)*(1-Settings!$F$17))),"")</f>
        <v/>
      </c>
      <c r="O511" s="101">
        <f>IFERROR(IF(T511="","",(T511*(1-AR511)*(1-Settings!$G$17)-I511)/(T511*(1-AR511)*(1-Settings!$G$17))),"")</f>
        <v/>
      </c>
      <c r="P511" s="101">
        <f>IFERROR(IF(T511="","",(T511*(1-AS511)*(1-Settings!$H$17)-I511)/(T511*(1-AS511)*(1-Settings!$H$17))),"")</f>
        <v/>
      </c>
      <c r="Q511" s="101">
        <f>IFERROR(IF(T511="","",(T511*(1-AT511)*(1-Settings!$I$68)*(1-Settings!$I$17)-I511)/(T511*(1-AT511)*(1-Settings!$I$68)*(1-Settings!$I$17))),"")</f>
        <v/>
      </c>
      <c r="R511" s="91">
        <f>IFERROR(IF(OR(I511="",Z511&gt;=1,Settings!$B$17&gt;=1,AN511&gt;=1),"",IF(MOD(ROUND(I511/(1-Z511)/(1-Settings!$B$17)/(1-AN511),0),10)=0,ROUND(I511/(1-Z511)/(1-Settings!$B$17)/(1-AN511),0)-1,IF(MOD(ROUND(I511/(1-Z511)/(1-Settings!$B$17)/(1-AN511),0),10)&lt;=5,FLOOR(ROUND(I511/(1-Z511)/(1-Settings!$B$17)/(1-AN511),0),10)+6,FLOOR(ROUND(I511/(1-Z511)/(1-Settings!$B$17)/(1-AN511),0),10)+9))),"")</f>
        <v/>
      </c>
      <c r="S511" s="174">
        <f>R511*0.95</f>
        <v/>
      </c>
      <c r="T511" s="91">
        <f>IF(S511&lt;&gt;"", IF(MOD(S511,10)=0,S511-1,IF(MOD(S511,10)&lt;=5,FLOOR(S511,10)+6,FLOOR(S511,10)+9)), R511)</f>
        <v/>
      </c>
      <c r="U511" s="87" t="inlineStr">
        <is>
          <t>Основний</t>
        </is>
      </c>
      <c r="V511" s="88" t="n"/>
      <c r="W511" s="88" t="n"/>
      <c r="X511" s="89">
        <f>IFERROR(IF(OR(V511="",W511="",T511=""),"", IF(T511&gt;W511,"Дорогий",IF(T511&lt;V511,"Дешевий","У ринку"))),"")</f>
        <v/>
      </c>
      <c r="Y511" s="90" t="n"/>
      <c r="Z511" s="104">
        <f>CHOOSE(MATCH(IF($U511="","Основний",$U511),{"Трафіковий","Основний","Маржинальний","Сезонний","Стратегічний"},0),0.16,0.19,0.24,0.23,0.28)</f>
        <v/>
      </c>
      <c r="AA511" s="104">
        <f>CHOOSE(MATCH(IF($U511="","Основний",$U511),{"Трафіковий","Основний","Маржинальний","Сезонний","Стратегічний"},0),0.18,0.21,0.26,0.25,0.3)</f>
        <v/>
      </c>
      <c r="AB511" s="104">
        <f>CHOOSE(MATCH(IF($U511="","Основний",$U511),{"Трафіковий","Основний","Маржинальний","Сезонний","Стратегічний"},0),0.19,0.22,0.28,0.26,0.32)</f>
        <v/>
      </c>
      <c r="AC511" s="104">
        <f>CHOOSE(MATCH(IF($U511="","Основний",$U511),{"Трафіковий","Основний","Маржинальний","Сезонний","Стратегічний"},0),0.17,0.2,0.25,0.24,0.28)</f>
        <v/>
      </c>
      <c r="AD511" s="104">
        <f>CHOOSE(MATCH(IF($U511="","Основний",$U511),{"Трафіковий","Основний","Маржинальний","Сезонний","Стратегічний"},0),0.18,0.21,0.26,0.25,0.3)</f>
        <v/>
      </c>
      <c r="AE511" s="104">
        <f>CHOOSE(MATCH(IF($U511="","Основний",$U511),{"Трафіковий","Основний","Маржинальний","Сезонний","Стратегічний"},0),0.18,0.2,0.28,0.27,0.32)</f>
        <v/>
      </c>
      <c r="AF511" s="104">
        <f>CHOOSE(MATCH(IF($U511="","Основний",$U511),{"Трафіковий","Основний","Маржинальний","Сезонний","Стратегічний"},0),0.15,0.175,0.22,0.21,0.25)</f>
        <v/>
      </c>
      <c r="AG511" s="104">
        <f>CHOOSE(MATCH(IF($U511="","Основний",$U511),{"Трафіковий","Основний","Маржинальний","Сезонний","Стратегічний"},0),0.13,0.16,0.21,0.2,0.25)</f>
        <v/>
      </c>
      <c r="AH511" s="104">
        <f>CHOOSE(MATCH(IF($U511="","Основний",$U511),{"Трафіковий","Основний","Маржинальний","Сезонний","Стратегічний"},0),0.15,0.18,0.23,0.22,0.27)</f>
        <v/>
      </c>
      <c r="AI511" s="104">
        <f>CHOOSE(MATCH(IF($U511="","Основний",$U511),{"Трафіковий","Основний","Маржинальний","Сезонний","Стратегічний"},0),0.16,0.19,0.25,0.23,0.29)</f>
        <v/>
      </c>
      <c r="AJ511" s="104">
        <f>CHOOSE(MATCH(IF($U511="","Основний",$U511),{"Трафіковий","Основний","Маржинальний","Сезонний","Стратегічний"},0),0.14,0.17,0.22,0.21,0.25)</f>
        <v/>
      </c>
      <c r="AK511" s="104">
        <f>CHOOSE(MATCH(IF($U511="","Основний",$U511),{"Трафіковий","Основний","Маржинальний","Сезонний","Стратегічний"},0),0.15,0.18,0.23,0.22,0.27)</f>
        <v/>
      </c>
      <c r="AL511" s="104">
        <f>CHOOSE(MATCH(IF($U511="","Основний",$U511),{"Трафіковий","Основний","Маржинальний","Сезонний","Стратегічний"},0),0.15,0.17,0.25,0.24,0.29)</f>
        <v/>
      </c>
      <c r="AM511" s="104">
        <f>CHOOSE(MATCH(IF($U511="","Основний",$U511),{"Трафіковий","Основний","Маржинальний","Сезонний","Стратегічний"},0),0.12,0.145,0.19,0.18,0.22)</f>
        <v/>
      </c>
      <c r="AN511" s="157">
        <f>CHOOSE(MATCH(IF($U511="","Основний",$U511),{"Трафіковий","Основний","Маржинальний","Сезонний","Стратегічний"},0),Settings!$B$78,Settings!$B$80,Settings!$B$82,Settings!$B$84,Settings!$B$86)</f>
        <v/>
      </c>
      <c r="AO511" s="157">
        <f>CHOOSE(MATCH(IF($U511="","Основний",$U511),{"Трафіковий","Основний","Маржинальний","Сезонний","Стратегічний"},0),Settings!$C$78,Settings!$C$80,Settings!$C$82,Settings!$C$84,Settings!$C$86)</f>
        <v/>
      </c>
      <c r="AP511" s="157">
        <f>CHOOSE(MATCH(IF($U511="","Основний",$U511),{"Трафіковий","Основний","Маржинальний","Сезонний","Стратегічний"},0),Settings!$D$78,Settings!$D$80,Settings!$D$82,Settings!$D$84,Settings!$D$86)</f>
        <v/>
      </c>
      <c r="AQ511" s="157">
        <f>CHOOSE(MATCH(IF($U511="","Основний",$U511),{"Трафіковий","Основний","Маржинальний","Сезонний","Стратегічний"},0),Settings!$F$78,Settings!$F$80,Settings!$F$82,Settings!$F$84,Settings!$F$86)</f>
        <v/>
      </c>
      <c r="AR511" s="157">
        <f>CHOOSE(MATCH(IF($U511="","Основний",$U511),{"Трафіковий","Основний","Маржинальний","Сезонний","Стратегічний"},0),Settings!$G$78,Settings!$G$80,Settings!$G$82,Settings!$G$84,Settings!$G$86)</f>
        <v/>
      </c>
      <c r="AS511" s="157">
        <f>CHOOSE(MATCH(IF($U511="","Основний",$U511),{"Трафіковий","Основний","Маржинальний","Сезонний","Стратегічний"},0),Settings!$H$78,Settings!$H$80,Settings!$H$82,Settings!$H$84,Settings!$H$86)</f>
        <v/>
      </c>
      <c r="AT511" s="157">
        <f>CHOOSE(MATCH(IF($U511="","Основний",$U511),{"Трафіковий","Основний","Маржинальний","Сезонний","Стратегічний"},0),Settings!$I$78,Settings!$I$80,Settings!$I$82,Settings!$I$84,Settings!$I$86)</f>
        <v/>
      </c>
      <c r="AU511" s="171" t="n"/>
      <c r="AV511" t="n">
        <v>1.35</v>
      </c>
    </row>
    <row r="512">
      <c r="A512" s="28" t="n"/>
      <c r="B512" s="29" t="inlineStr">
        <is>
          <t>F6030</t>
        </is>
      </c>
      <c r="C512" s="29" t="inlineStr">
        <is>
          <t>TAPE UNIVERS. DUCT TAPE 48/10</t>
        </is>
      </c>
      <c r="D512" s="29" t="inlineStr">
        <is>
          <t>Ізоляціна т а ініші стрічки</t>
        </is>
      </c>
      <c r="E512" s="28" t="inlineStr">
        <is>
          <t>PC</t>
        </is>
      </c>
      <c r="F512" s="93" t="n">
        <v>0.778</v>
      </c>
      <c r="G512" s="30" t="n">
        <v>3919101200</v>
      </c>
      <c r="H512" s="31" t="n">
        <v>1.35</v>
      </c>
      <c r="I512" s="84">
        <f>IFERROR(F512*Settings!$B$2*H512*IF(AND(ISNUMBER(E512),E512&gt;1),E512,1),"")</f>
        <v/>
      </c>
      <c r="J512" s="32">
        <f>Settings!$B$66</f>
        <v/>
      </c>
      <c r="K512" s="95">
        <f>IFERROR(IF(T512="","",(T512*(1-AN512)*(1-Settings!$B$17)-I512)/(T512*(1-AN512)*(1-Settings!$B$17))),"")</f>
        <v/>
      </c>
      <c r="L512" s="101">
        <f>IFERROR(IF(T512="","",(T512*(1-AO512)*(1-Settings!$C$17)-I512)/(T512*(1-AO512)*(1-Settings!$C$17))),"")</f>
        <v/>
      </c>
      <c r="M512" s="101">
        <f>IFERROR(IF(T512="","",(T512*(1-AP512)*(1-Settings!$D$17)-I512)/(T512*(1-AP512)*(1-Settings!$D$17))),"")</f>
        <v/>
      </c>
      <c r="N512" s="101">
        <f>IFERROR(IF(T512="","",(T512*(1-AQ512)*(1-Settings!$F$17)-I512)/(T512*(1-AQ512)*(1-Settings!$F$17))),"")</f>
        <v/>
      </c>
      <c r="O512" s="101">
        <f>IFERROR(IF(T512="","",(T512*(1-AR512)*(1-Settings!$G$17)-I512)/(T512*(1-AR512)*(1-Settings!$G$17))),"")</f>
        <v/>
      </c>
      <c r="P512" s="101">
        <f>IFERROR(IF(T512="","",(T512*(1-AS512)*(1-Settings!$H$17)-I512)/(T512*(1-AS512)*(1-Settings!$H$17))),"")</f>
        <v/>
      </c>
      <c r="Q512" s="101">
        <f>IFERROR(IF(T512="","",(T512*(1-AT512)*(1-Settings!$I$68)*(1-Settings!$I$17)-I512)/(T512*(1-AT512)*(1-Settings!$I$68)*(1-Settings!$I$17))),"")</f>
        <v/>
      </c>
      <c r="R512" s="91">
        <f>IFERROR(IF(OR(I512="",Z512&gt;=1,Settings!$B$17&gt;=1,AN512&gt;=1),"",IF(MOD(ROUND(I512/(1-Z512)/(1-Settings!$B$17)/(1-AN512),0),10)=0,ROUND(I512/(1-Z512)/(1-Settings!$B$17)/(1-AN512),0)-1,IF(MOD(ROUND(I512/(1-Z512)/(1-Settings!$B$17)/(1-AN512),0),10)&lt;=5,FLOOR(ROUND(I512/(1-Z512)/(1-Settings!$B$17)/(1-AN512),0),10)+6,FLOOR(ROUND(I512/(1-Z512)/(1-Settings!$B$17)/(1-AN512),0),10)+9))),"")</f>
        <v/>
      </c>
      <c r="S512" s="174">
        <f>R512*0.95</f>
        <v/>
      </c>
      <c r="T512" s="91">
        <f>IF(S512&lt;&gt;"", IF(MOD(S512,10)=0,S512-1,IF(MOD(S512,10)&lt;=5,FLOOR(S512,10)+6,FLOOR(S512,10)+9)), R512)</f>
        <v/>
      </c>
      <c r="U512" s="87" t="inlineStr">
        <is>
          <t>Основний</t>
        </is>
      </c>
      <c r="V512" s="88" t="n"/>
      <c r="W512" s="88" t="n"/>
      <c r="X512" s="89">
        <f>IFERROR(IF(OR(V512="",W512="",T512=""),"", IF(T512&gt;W512,"Дорогий",IF(T512&lt;V512,"Дешевий","У ринку"))),"")</f>
        <v/>
      </c>
      <c r="Y512" s="90" t="n"/>
      <c r="Z512" s="104">
        <f>CHOOSE(MATCH(IF($U512="","Основний",$U512),{"Трафіковий","Основний","Маржинальний","Сезонний","Стратегічний"},0),0.16,0.19,0.24,0.23,0.28)</f>
        <v/>
      </c>
      <c r="AA512" s="104">
        <f>CHOOSE(MATCH(IF($U512="","Основний",$U512),{"Трафіковий","Основний","Маржинальний","Сезонний","Стратегічний"},0),0.18,0.21,0.26,0.25,0.3)</f>
        <v/>
      </c>
      <c r="AB512" s="104">
        <f>CHOOSE(MATCH(IF($U512="","Основний",$U512),{"Трафіковий","Основний","Маржинальний","Сезонний","Стратегічний"},0),0.19,0.22,0.28,0.26,0.32)</f>
        <v/>
      </c>
      <c r="AC512" s="104">
        <f>CHOOSE(MATCH(IF($U512="","Основний",$U512),{"Трафіковий","Основний","Маржинальний","Сезонний","Стратегічний"},0),0.17,0.2,0.25,0.24,0.28)</f>
        <v/>
      </c>
      <c r="AD512" s="104">
        <f>CHOOSE(MATCH(IF($U512="","Основний",$U512),{"Трафіковий","Основний","Маржинальний","Сезонний","Стратегічний"},0),0.18,0.21,0.26,0.25,0.3)</f>
        <v/>
      </c>
      <c r="AE512" s="104">
        <f>CHOOSE(MATCH(IF($U512="","Основний",$U512),{"Трафіковий","Основний","Маржинальний","Сезонний","Стратегічний"},0),0.18,0.2,0.28,0.27,0.32)</f>
        <v/>
      </c>
      <c r="AF512" s="104">
        <f>CHOOSE(MATCH(IF($U512="","Основний",$U512),{"Трафіковий","Основний","Маржинальний","Сезонний","Стратегічний"},0),0.15,0.175,0.22,0.21,0.25)</f>
        <v/>
      </c>
      <c r="AG512" s="104">
        <f>CHOOSE(MATCH(IF($U512="","Основний",$U512),{"Трафіковий","Основний","Маржинальний","Сезонний","Стратегічний"},0),0.13,0.16,0.21,0.2,0.25)</f>
        <v/>
      </c>
      <c r="AH512" s="104">
        <f>CHOOSE(MATCH(IF($U512="","Основний",$U512),{"Трафіковий","Основний","Маржинальний","Сезонний","Стратегічний"},0),0.15,0.18,0.23,0.22,0.27)</f>
        <v/>
      </c>
      <c r="AI512" s="104">
        <f>CHOOSE(MATCH(IF($U512="","Основний",$U512),{"Трафіковий","Основний","Маржинальний","Сезонний","Стратегічний"},0),0.16,0.19,0.25,0.23,0.29)</f>
        <v/>
      </c>
      <c r="AJ512" s="104">
        <f>CHOOSE(MATCH(IF($U512="","Основний",$U512),{"Трафіковий","Основний","Маржинальний","Сезонний","Стратегічний"},0),0.14,0.17,0.22,0.21,0.25)</f>
        <v/>
      </c>
      <c r="AK512" s="104">
        <f>CHOOSE(MATCH(IF($U512="","Основний",$U512),{"Трафіковий","Основний","Маржинальний","Сезонний","Стратегічний"},0),0.15,0.18,0.23,0.22,0.27)</f>
        <v/>
      </c>
      <c r="AL512" s="104">
        <f>CHOOSE(MATCH(IF($U512="","Основний",$U512),{"Трафіковий","Основний","Маржинальний","Сезонний","Стратегічний"},0),0.15,0.17,0.25,0.24,0.29)</f>
        <v/>
      </c>
      <c r="AM512" s="104">
        <f>CHOOSE(MATCH(IF($U512="","Основний",$U512),{"Трафіковий","Основний","Маржинальний","Сезонний","Стратегічний"},0),0.12,0.145,0.19,0.18,0.22)</f>
        <v/>
      </c>
      <c r="AN512" s="157">
        <f>CHOOSE(MATCH(IF($U512="","Основний",$U512),{"Трафіковий","Основний","Маржинальний","Сезонний","Стратегічний"},0),Settings!$B$78,Settings!$B$80,Settings!$B$82,Settings!$B$84,Settings!$B$86)</f>
        <v/>
      </c>
      <c r="AO512" s="157">
        <f>CHOOSE(MATCH(IF($U512="","Основний",$U512),{"Трафіковий","Основний","Маржинальний","Сезонний","Стратегічний"},0),Settings!$C$78,Settings!$C$80,Settings!$C$82,Settings!$C$84,Settings!$C$86)</f>
        <v/>
      </c>
      <c r="AP512" s="157">
        <f>CHOOSE(MATCH(IF($U512="","Основний",$U512),{"Трафіковий","Основний","Маржинальний","Сезонний","Стратегічний"},0),Settings!$D$78,Settings!$D$80,Settings!$D$82,Settings!$D$84,Settings!$D$86)</f>
        <v/>
      </c>
      <c r="AQ512" s="157">
        <f>CHOOSE(MATCH(IF($U512="","Основний",$U512),{"Трафіковий","Основний","Маржинальний","Сезонний","Стратегічний"},0),Settings!$F$78,Settings!$F$80,Settings!$F$82,Settings!$F$84,Settings!$F$86)</f>
        <v/>
      </c>
      <c r="AR512" s="157">
        <f>CHOOSE(MATCH(IF($U512="","Основний",$U512),{"Трафіковий","Основний","Маржинальний","Сезонний","Стратегічний"},0),Settings!$G$78,Settings!$G$80,Settings!$G$82,Settings!$G$84,Settings!$G$86)</f>
        <v/>
      </c>
      <c r="AS512" s="157">
        <f>CHOOSE(MATCH(IF($U512="","Основний",$U512),{"Трафіковий","Основний","Маржинальний","Сезонний","Стратегічний"},0),Settings!$H$78,Settings!$H$80,Settings!$H$82,Settings!$H$84,Settings!$H$86)</f>
        <v/>
      </c>
      <c r="AT512" s="157">
        <f>CHOOSE(MATCH(IF($U512="","Основний",$U512),{"Трафіковий","Основний","Маржинальний","Сезонний","Стратегічний"},0),Settings!$I$78,Settings!$I$80,Settings!$I$82,Settings!$I$84,Settings!$I$86)</f>
        <v/>
      </c>
      <c r="AU512" s="171" t="n"/>
      <c r="AV512" t="n">
        <v>1.35</v>
      </c>
    </row>
    <row r="513">
      <c r="A513" s="33" t="n"/>
      <c r="B513" s="34" t="inlineStr">
        <is>
          <t>F87525</t>
        </is>
      </c>
      <c r="C513" s="34" t="inlineStr">
        <is>
          <t>TAPE BARRIER 75/250</t>
        </is>
      </c>
      <c r="D513" s="34" t="inlineStr">
        <is>
          <t>Ізоляціна т а ініші стрічки</t>
        </is>
      </c>
      <c r="E513" s="33" t="inlineStr">
        <is>
          <t>PC</t>
        </is>
      </c>
      <c r="F513" s="94" t="n">
        <v>2.418</v>
      </c>
      <c r="G513" s="35" t="n">
        <v>3920102590</v>
      </c>
      <c r="H513" s="31" t="n">
        <v>1.35</v>
      </c>
      <c r="I513" s="84">
        <f>IFERROR(F513*Settings!$B$2*H513*IF(AND(ISNUMBER(E513),E513&gt;1),E513,1),"")</f>
        <v/>
      </c>
      <c r="J513" s="32">
        <f>Settings!$B$66</f>
        <v/>
      </c>
      <c r="K513" s="95">
        <f>IFERROR(IF(T513="","",(T513*(1-AN513)*(1-Settings!$B$17)-I513)/(T513*(1-AN513)*(1-Settings!$B$17))),"")</f>
        <v/>
      </c>
      <c r="L513" s="101">
        <f>IFERROR(IF(T513="","",(T513*(1-AO513)*(1-Settings!$C$17)-I513)/(T513*(1-AO513)*(1-Settings!$C$17))),"")</f>
        <v/>
      </c>
      <c r="M513" s="101">
        <f>IFERROR(IF(T513="","",(T513*(1-AP513)*(1-Settings!$D$17)-I513)/(T513*(1-AP513)*(1-Settings!$D$17))),"")</f>
        <v/>
      </c>
      <c r="N513" s="101">
        <f>IFERROR(IF(T513="","",(T513*(1-AQ513)*(1-Settings!$F$17)-I513)/(T513*(1-AQ513)*(1-Settings!$F$17))),"")</f>
        <v/>
      </c>
      <c r="O513" s="101">
        <f>IFERROR(IF(T513="","",(T513*(1-AR513)*(1-Settings!$G$17)-I513)/(T513*(1-AR513)*(1-Settings!$G$17))),"")</f>
        <v/>
      </c>
      <c r="P513" s="101">
        <f>IFERROR(IF(T513="","",(T513*(1-AS513)*(1-Settings!$H$17)-I513)/(T513*(1-AS513)*(1-Settings!$H$17))),"")</f>
        <v/>
      </c>
      <c r="Q513" s="101">
        <f>IFERROR(IF(T513="","",(T513*(1-AT513)*(1-Settings!$I$68)*(1-Settings!$I$17)-I513)/(T513*(1-AT513)*(1-Settings!$I$68)*(1-Settings!$I$17))),"")</f>
        <v/>
      </c>
      <c r="R513" s="91">
        <f>IFERROR(IF(OR(I513="",Z513&gt;=1,Settings!$B$17&gt;=1,AN513&gt;=1),"",IF(MOD(ROUND(I513/(1-Z513)/(1-Settings!$B$17)/(1-AN513),0),10)=0,ROUND(I513/(1-Z513)/(1-Settings!$B$17)/(1-AN513),0)-1,IF(MOD(ROUND(I513/(1-Z513)/(1-Settings!$B$17)/(1-AN513),0),10)&lt;=5,FLOOR(ROUND(I513/(1-Z513)/(1-Settings!$B$17)/(1-AN513),0),10)+6,FLOOR(ROUND(I513/(1-Z513)/(1-Settings!$B$17)/(1-AN513),0),10)+9))),"")</f>
        <v/>
      </c>
      <c r="S513" s="174">
        <f>R513*0.95</f>
        <v/>
      </c>
      <c r="T513" s="91">
        <f>IF(S513&lt;&gt;"", IF(MOD(S513,10)=0,S513-1,IF(MOD(S513,10)&lt;=5,FLOOR(S513,10)+6,FLOOR(S513,10)+9)), R513)</f>
        <v/>
      </c>
      <c r="U513" s="87" t="inlineStr">
        <is>
          <t>Основний</t>
        </is>
      </c>
      <c r="V513" s="88" t="n"/>
      <c r="W513" s="88" t="n"/>
      <c r="X513" s="89">
        <f>IFERROR(IF(OR(V513="",W513="",T513=""),"", IF(T513&gt;W513,"Дорогий",IF(T513&lt;V513,"Дешевий","У ринку"))),"")</f>
        <v/>
      </c>
      <c r="Y513" s="90" t="n"/>
      <c r="Z513" s="104">
        <f>CHOOSE(MATCH(IF($U513="","Основний",$U513),{"Трафіковий","Основний","Маржинальний","Сезонний","Стратегічний"},0),0.16,0.19,0.24,0.23,0.28)</f>
        <v/>
      </c>
      <c r="AA513" s="104">
        <f>CHOOSE(MATCH(IF($U513="","Основний",$U513),{"Трафіковий","Основний","Маржинальний","Сезонний","Стратегічний"},0),0.18,0.21,0.26,0.25,0.3)</f>
        <v/>
      </c>
      <c r="AB513" s="104">
        <f>CHOOSE(MATCH(IF($U513="","Основний",$U513),{"Трафіковий","Основний","Маржинальний","Сезонний","Стратегічний"},0),0.19,0.22,0.28,0.26,0.32)</f>
        <v/>
      </c>
      <c r="AC513" s="104">
        <f>CHOOSE(MATCH(IF($U513="","Основний",$U513),{"Трафіковий","Основний","Маржинальний","Сезонний","Стратегічний"},0),0.17,0.2,0.25,0.24,0.28)</f>
        <v/>
      </c>
      <c r="AD513" s="104">
        <f>CHOOSE(MATCH(IF($U513="","Основний",$U513),{"Трафіковий","Основний","Маржинальний","Сезонний","Стратегічний"},0),0.18,0.21,0.26,0.25,0.3)</f>
        <v/>
      </c>
      <c r="AE513" s="104">
        <f>CHOOSE(MATCH(IF($U513="","Основний",$U513),{"Трафіковий","Основний","Маржинальний","Сезонний","Стратегічний"},0),0.18,0.2,0.28,0.27,0.32)</f>
        <v/>
      </c>
      <c r="AF513" s="104">
        <f>CHOOSE(MATCH(IF($U513="","Основний",$U513),{"Трафіковий","Основний","Маржинальний","Сезонний","Стратегічний"},0),0.15,0.175,0.22,0.21,0.25)</f>
        <v/>
      </c>
      <c r="AG513" s="104">
        <f>CHOOSE(MATCH(IF($U513="","Основний",$U513),{"Трафіковий","Основний","Маржинальний","Сезонний","Стратегічний"},0),0.13,0.16,0.21,0.2,0.25)</f>
        <v/>
      </c>
      <c r="AH513" s="104">
        <f>CHOOSE(MATCH(IF($U513="","Основний",$U513),{"Трафіковий","Основний","Маржинальний","Сезонний","Стратегічний"},0),0.15,0.18,0.23,0.22,0.27)</f>
        <v/>
      </c>
      <c r="AI513" s="104">
        <f>CHOOSE(MATCH(IF($U513="","Основний",$U513),{"Трафіковий","Основний","Маржинальний","Сезонний","Стратегічний"},0),0.16,0.19,0.25,0.23,0.29)</f>
        <v/>
      </c>
      <c r="AJ513" s="104">
        <f>CHOOSE(MATCH(IF($U513="","Основний",$U513),{"Трафіковий","Основний","Маржинальний","Сезонний","Стратегічний"},0),0.14,0.17,0.22,0.21,0.25)</f>
        <v/>
      </c>
      <c r="AK513" s="104">
        <f>CHOOSE(MATCH(IF($U513="","Основний",$U513),{"Трафіковий","Основний","Маржинальний","Сезонний","Стратегічний"},0),0.15,0.18,0.23,0.22,0.27)</f>
        <v/>
      </c>
      <c r="AL513" s="104">
        <f>CHOOSE(MATCH(IF($U513="","Основний",$U513),{"Трафіковий","Основний","Маржинальний","Сезонний","Стратегічний"},0),0.15,0.17,0.25,0.24,0.29)</f>
        <v/>
      </c>
      <c r="AM513" s="104">
        <f>CHOOSE(MATCH(IF($U513="","Основний",$U513),{"Трафіковий","Основний","Маржинальний","Сезонний","Стратегічний"},0),0.12,0.145,0.19,0.18,0.22)</f>
        <v/>
      </c>
      <c r="AN513" s="157">
        <f>CHOOSE(MATCH(IF($U513="","Основний",$U513),{"Трафіковий","Основний","Маржинальний","Сезонний","Стратегічний"},0),Settings!$B$78,Settings!$B$80,Settings!$B$82,Settings!$B$84,Settings!$B$86)</f>
        <v/>
      </c>
      <c r="AO513" s="157">
        <f>CHOOSE(MATCH(IF($U513="","Основний",$U513),{"Трафіковий","Основний","Маржинальний","Сезонний","Стратегічний"},0),Settings!$C$78,Settings!$C$80,Settings!$C$82,Settings!$C$84,Settings!$C$86)</f>
        <v/>
      </c>
      <c r="AP513" s="157">
        <f>CHOOSE(MATCH(IF($U513="","Основний",$U513),{"Трафіковий","Основний","Маржинальний","Сезонний","Стратегічний"},0),Settings!$D$78,Settings!$D$80,Settings!$D$82,Settings!$D$84,Settings!$D$86)</f>
        <v/>
      </c>
      <c r="AQ513" s="157">
        <f>CHOOSE(MATCH(IF($U513="","Основний",$U513),{"Трафіковий","Основний","Маржинальний","Сезонний","Стратегічний"},0),Settings!$F$78,Settings!$F$80,Settings!$F$82,Settings!$F$84,Settings!$F$86)</f>
        <v/>
      </c>
      <c r="AR513" s="157">
        <f>CHOOSE(MATCH(IF($U513="","Основний",$U513),{"Трафіковий","Основний","Маржинальний","Сезонний","Стратегічний"},0),Settings!$G$78,Settings!$G$80,Settings!$G$82,Settings!$G$84,Settings!$G$86)</f>
        <v/>
      </c>
      <c r="AS513" s="157">
        <f>CHOOSE(MATCH(IF($U513="","Основний",$U513),{"Трафіковий","Основний","Маржинальний","Сезонний","Стратегічний"},0),Settings!$H$78,Settings!$H$80,Settings!$H$82,Settings!$H$84,Settings!$H$86)</f>
        <v/>
      </c>
      <c r="AT513" s="157">
        <f>CHOOSE(MATCH(IF($U513="","Основний",$U513),{"Трафіковий","Основний","Маржинальний","Сезонний","Стратегічний"},0),Settings!$I$78,Settings!$I$80,Settings!$I$82,Settings!$I$84,Settings!$I$86)</f>
        <v/>
      </c>
      <c r="AU513" s="171" t="n"/>
      <c r="AV513" t="n">
        <v>1.35</v>
      </c>
    </row>
    <row r="514">
      <c r="A514" s="28" t="n"/>
      <c r="B514" s="29" t="inlineStr">
        <is>
          <t>F6060</t>
        </is>
      </c>
      <c r="C514" s="29" t="inlineStr">
        <is>
          <t>ACRYLIC TAPE 12/3</t>
        </is>
      </c>
      <c r="D514" s="29" t="inlineStr">
        <is>
          <t>Ізоляціна т а ініші стрічки</t>
        </is>
      </c>
      <c r="E514" s="28" t="inlineStr">
        <is>
          <t>PC</t>
        </is>
      </c>
      <c r="F514" s="93" t="n">
        <v>0.652</v>
      </c>
      <c r="G514" s="30" t="n">
        <v>3506100000</v>
      </c>
      <c r="H514" s="31" t="n">
        <v>1.35</v>
      </c>
      <c r="I514" s="84">
        <f>IFERROR(F514*Settings!$B$2*H514*IF(AND(ISNUMBER(E514),E514&gt;1),E514,1),"")</f>
        <v/>
      </c>
      <c r="J514" s="32">
        <f>Settings!$B$66</f>
        <v/>
      </c>
      <c r="K514" s="95">
        <f>IFERROR(IF(T514="","",(T514*(1-AN514)*(1-Settings!$B$17)-I514)/(T514*(1-AN514)*(1-Settings!$B$17))),"")</f>
        <v/>
      </c>
      <c r="L514" s="101">
        <f>IFERROR(IF(T514="","",(T514*(1-AO514)*(1-Settings!$C$17)-I514)/(T514*(1-AO514)*(1-Settings!$C$17))),"")</f>
        <v/>
      </c>
      <c r="M514" s="101">
        <f>IFERROR(IF(T514="","",(T514*(1-AP514)*(1-Settings!$D$17)-I514)/(T514*(1-AP514)*(1-Settings!$D$17))),"")</f>
        <v/>
      </c>
      <c r="N514" s="101">
        <f>IFERROR(IF(T514="","",(T514*(1-AQ514)*(1-Settings!$F$17)-I514)/(T514*(1-AQ514)*(1-Settings!$F$17))),"")</f>
        <v/>
      </c>
      <c r="O514" s="101">
        <f>IFERROR(IF(T514="","",(T514*(1-AR514)*(1-Settings!$G$17)-I514)/(T514*(1-AR514)*(1-Settings!$G$17))),"")</f>
        <v/>
      </c>
      <c r="P514" s="101">
        <f>IFERROR(IF(T514="","",(T514*(1-AS514)*(1-Settings!$H$17)-I514)/(T514*(1-AS514)*(1-Settings!$H$17))),"")</f>
        <v/>
      </c>
      <c r="Q514" s="101">
        <f>IFERROR(IF(T514="","",(T514*(1-AT514)*(1-Settings!$I$68)*(1-Settings!$I$17)-I514)/(T514*(1-AT514)*(1-Settings!$I$68)*(1-Settings!$I$17))),"")</f>
        <v/>
      </c>
      <c r="R514" s="91">
        <f>IFERROR(IF(OR(I514="",Z514&gt;=1,Settings!$B$17&gt;=1,AN514&gt;=1),"",IF(MOD(ROUND(I514/(1-Z514)/(1-Settings!$B$17)/(1-AN514),0),10)=0,ROUND(I514/(1-Z514)/(1-Settings!$B$17)/(1-AN514),0)-1,IF(MOD(ROUND(I514/(1-Z514)/(1-Settings!$B$17)/(1-AN514),0),10)&lt;=5,FLOOR(ROUND(I514/(1-Z514)/(1-Settings!$B$17)/(1-AN514),0),10)+6,FLOOR(ROUND(I514/(1-Z514)/(1-Settings!$B$17)/(1-AN514),0),10)+9))),"")</f>
        <v/>
      </c>
      <c r="S514" s="174">
        <f>R514*0.95</f>
        <v/>
      </c>
      <c r="T514" s="91">
        <f>IF(S514&lt;&gt;"", IF(MOD(S514,10)=0,S514-1,IF(MOD(S514,10)&lt;=5,FLOOR(S514,10)+6,FLOOR(S514,10)+9)), R514)</f>
        <v/>
      </c>
      <c r="U514" s="87" t="inlineStr">
        <is>
          <t>Основний</t>
        </is>
      </c>
      <c r="V514" s="88" t="n"/>
      <c r="W514" s="88" t="n"/>
      <c r="X514" s="89">
        <f>IFERROR(IF(OR(V514="",W514="",T514=""),"", IF(T514&gt;W514,"Дорогий",IF(T514&lt;V514,"Дешевий","У ринку"))),"")</f>
        <v/>
      </c>
      <c r="Y514" s="90" t="n"/>
      <c r="Z514" s="104">
        <f>CHOOSE(MATCH(IF($U514="","Основний",$U514),{"Трафіковий","Основний","Маржинальний","Сезонний","Стратегічний"},0),0.16,0.19,0.24,0.23,0.28)</f>
        <v/>
      </c>
      <c r="AA514" s="104">
        <f>CHOOSE(MATCH(IF($U514="","Основний",$U514),{"Трафіковий","Основний","Маржинальний","Сезонний","Стратегічний"},0),0.18,0.21,0.26,0.25,0.3)</f>
        <v/>
      </c>
      <c r="AB514" s="104">
        <f>CHOOSE(MATCH(IF($U514="","Основний",$U514),{"Трафіковий","Основний","Маржинальний","Сезонний","Стратегічний"},0),0.19,0.22,0.28,0.26,0.32)</f>
        <v/>
      </c>
      <c r="AC514" s="104">
        <f>CHOOSE(MATCH(IF($U514="","Основний",$U514),{"Трафіковий","Основний","Маржинальний","Сезонний","Стратегічний"},0),0.17,0.2,0.25,0.24,0.28)</f>
        <v/>
      </c>
      <c r="AD514" s="104">
        <f>CHOOSE(MATCH(IF($U514="","Основний",$U514),{"Трафіковий","Основний","Маржинальний","Сезонний","Стратегічний"},0),0.18,0.21,0.26,0.25,0.3)</f>
        <v/>
      </c>
      <c r="AE514" s="104">
        <f>CHOOSE(MATCH(IF($U514="","Основний",$U514),{"Трафіковий","Основний","Маржинальний","Сезонний","Стратегічний"},0),0.18,0.2,0.28,0.27,0.32)</f>
        <v/>
      </c>
      <c r="AF514" s="104">
        <f>CHOOSE(MATCH(IF($U514="","Основний",$U514),{"Трафіковий","Основний","Маржинальний","Сезонний","Стратегічний"},0),0.15,0.175,0.22,0.21,0.25)</f>
        <v/>
      </c>
      <c r="AG514" s="104">
        <f>CHOOSE(MATCH(IF($U514="","Основний",$U514),{"Трафіковий","Основний","Маржинальний","Сезонний","Стратегічний"},0),0.13,0.16,0.21,0.2,0.25)</f>
        <v/>
      </c>
      <c r="AH514" s="104">
        <f>CHOOSE(MATCH(IF($U514="","Основний",$U514),{"Трафіковий","Основний","Маржинальний","Сезонний","Стратегічний"},0),0.15,0.18,0.23,0.22,0.27)</f>
        <v/>
      </c>
      <c r="AI514" s="104">
        <f>CHOOSE(MATCH(IF($U514="","Основний",$U514),{"Трафіковий","Основний","Маржинальний","Сезонний","Стратегічний"},0),0.16,0.19,0.25,0.23,0.29)</f>
        <v/>
      </c>
      <c r="AJ514" s="104">
        <f>CHOOSE(MATCH(IF($U514="","Основний",$U514),{"Трафіковий","Основний","Маржинальний","Сезонний","Стратегічний"},0),0.14,0.17,0.22,0.21,0.25)</f>
        <v/>
      </c>
      <c r="AK514" s="104">
        <f>CHOOSE(MATCH(IF($U514="","Основний",$U514),{"Трафіковий","Основний","Маржинальний","Сезонний","Стратегічний"},0),0.15,0.18,0.23,0.22,0.27)</f>
        <v/>
      </c>
      <c r="AL514" s="104">
        <f>CHOOSE(MATCH(IF($U514="","Основний",$U514),{"Трафіковий","Основний","Маржинальний","Сезонний","Стратегічний"},0),0.15,0.17,0.25,0.24,0.29)</f>
        <v/>
      </c>
      <c r="AM514" s="104">
        <f>CHOOSE(MATCH(IF($U514="","Основний",$U514),{"Трафіковий","Основний","Маржинальний","Сезонний","Стратегічний"},0),0.12,0.145,0.19,0.18,0.22)</f>
        <v/>
      </c>
      <c r="AN514" s="157">
        <f>CHOOSE(MATCH(IF($U514="","Основний",$U514),{"Трафіковий","Основний","Маржинальний","Сезонний","Стратегічний"},0),Settings!$B$78,Settings!$B$80,Settings!$B$82,Settings!$B$84,Settings!$B$86)</f>
        <v/>
      </c>
      <c r="AO514" s="157">
        <f>CHOOSE(MATCH(IF($U514="","Основний",$U514),{"Трафіковий","Основний","Маржинальний","Сезонний","Стратегічний"},0),Settings!$C$78,Settings!$C$80,Settings!$C$82,Settings!$C$84,Settings!$C$86)</f>
        <v/>
      </c>
      <c r="AP514" s="157">
        <f>CHOOSE(MATCH(IF($U514="","Основний",$U514),{"Трафіковий","Основний","Маржинальний","Сезонний","Стратегічний"},0),Settings!$D$78,Settings!$D$80,Settings!$D$82,Settings!$D$84,Settings!$D$86)</f>
        <v/>
      </c>
      <c r="AQ514" s="157">
        <f>CHOOSE(MATCH(IF($U514="","Основний",$U514),{"Трафіковий","Основний","Маржинальний","Сезонний","Стратегічний"},0),Settings!$F$78,Settings!$F$80,Settings!$F$82,Settings!$F$84,Settings!$F$86)</f>
        <v/>
      </c>
      <c r="AR514" s="157">
        <f>CHOOSE(MATCH(IF($U514="","Основний",$U514),{"Трафіковий","Основний","Маржинальний","Сезонний","Стратегічний"},0),Settings!$G$78,Settings!$G$80,Settings!$G$82,Settings!$G$84,Settings!$G$86)</f>
        <v/>
      </c>
      <c r="AS514" s="157">
        <f>CHOOSE(MATCH(IF($U514="","Основний",$U514),{"Трафіковий","Основний","Маржинальний","Сезонний","Стратегічний"},0),Settings!$H$78,Settings!$H$80,Settings!$H$82,Settings!$H$84,Settings!$H$86)</f>
        <v/>
      </c>
      <c r="AT514" s="157">
        <f>CHOOSE(MATCH(IF($U514="","Основний",$U514),{"Трафіковий","Основний","Маржинальний","Сезонний","Стратегічний"},0),Settings!$I$78,Settings!$I$80,Settings!$I$82,Settings!$I$84,Settings!$I$86)</f>
        <v/>
      </c>
      <c r="AU514" s="171" t="n"/>
      <c r="AV514" t="n">
        <v>1.35</v>
      </c>
    </row>
    <row r="515">
      <c r="A515" s="33" t="n"/>
      <c r="B515" s="34" t="inlineStr">
        <is>
          <t>F6080</t>
        </is>
      </c>
      <c r="C515" s="34" t="inlineStr">
        <is>
          <t>ACRYLIC TAPE 18/3</t>
        </is>
      </c>
      <c r="D515" s="34" t="inlineStr">
        <is>
          <t>Ізоляціна т а ініші стрічки</t>
        </is>
      </c>
      <c r="E515" s="33" t="inlineStr">
        <is>
          <t>PC</t>
        </is>
      </c>
      <c r="F515" s="94" t="n">
        <v>0.929</v>
      </c>
      <c r="G515" s="35" t="n">
        <v>3506100000</v>
      </c>
      <c r="H515" s="31" t="n">
        <v>1.35</v>
      </c>
      <c r="I515" s="84">
        <f>IFERROR(F515*Settings!$B$2*H515*IF(AND(ISNUMBER(E515),E515&gt;1),E515,1),"")</f>
        <v/>
      </c>
      <c r="J515" s="32">
        <f>Settings!$B$66</f>
        <v/>
      </c>
      <c r="K515" s="95">
        <f>IFERROR(IF(T515="","",(T515*(1-AN515)*(1-Settings!$B$17)-I515)/(T515*(1-AN515)*(1-Settings!$B$17))),"")</f>
        <v/>
      </c>
      <c r="L515" s="101">
        <f>IFERROR(IF(T515="","",(T515*(1-AO515)*(1-Settings!$C$17)-I515)/(T515*(1-AO515)*(1-Settings!$C$17))),"")</f>
        <v/>
      </c>
      <c r="M515" s="101">
        <f>IFERROR(IF(T515="","",(T515*(1-AP515)*(1-Settings!$D$17)-I515)/(T515*(1-AP515)*(1-Settings!$D$17))),"")</f>
        <v/>
      </c>
      <c r="N515" s="101">
        <f>IFERROR(IF(T515="","",(T515*(1-AQ515)*(1-Settings!$F$17)-I515)/(T515*(1-AQ515)*(1-Settings!$F$17))),"")</f>
        <v/>
      </c>
      <c r="O515" s="101">
        <f>IFERROR(IF(T515="","",(T515*(1-AR515)*(1-Settings!$G$17)-I515)/(T515*(1-AR515)*(1-Settings!$G$17))),"")</f>
        <v/>
      </c>
      <c r="P515" s="101">
        <f>IFERROR(IF(T515="","",(T515*(1-AS515)*(1-Settings!$H$17)-I515)/(T515*(1-AS515)*(1-Settings!$H$17))),"")</f>
        <v/>
      </c>
      <c r="Q515" s="101">
        <f>IFERROR(IF(T515="","",(T515*(1-AT515)*(1-Settings!$I$68)*(1-Settings!$I$17)-I515)/(T515*(1-AT515)*(1-Settings!$I$68)*(1-Settings!$I$17))),"")</f>
        <v/>
      </c>
      <c r="R515" s="91">
        <f>IFERROR(IF(OR(I515="",Z515&gt;=1,Settings!$B$17&gt;=1,AN515&gt;=1),"",IF(MOD(ROUND(I515/(1-Z515)/(1-Settings!$B$17)/(1-AN515),0),10)=0,ROUND(I515/(1-Z515)/(1-Settings!$B$17)/(1-AN515),0)-1,IF(MOD(ROUND(I515/(1-Z515)/(1-Settings!$B$17)/(1-AN515),0),10)&lt;=5,FLOOR(ROUND(I515/(1-Z515)/(1-Settings!$B$17)/(1-AN515),0),10)+6,FLOOR(ROUND(I515/(1-Z515)/(1-Settings!$B$17)/(1-AN515),0),10)+9))),"")</f>
        <v/>
      </c>
      <c r="S515" s="174">
        <f>R515*0.95</f>
        <v/>
      </c>
      <c r="T515" s="91">
        <f>IF(S515&lt;&gt;"", IF(MOD(S515,10)=0,S515-1,IF(MOD(S515,10)&lt;=5,FLOOR(S515,10)+6,FLOOR(S515,10)+9)), R515)</f>
        <v/>
      </c>
      <c r="U515" s="87" t="inlineStr">
        <is>
          <t>Основний</t>
        </is>
      </c>
      <c r="V515" s="88" t="n"/>
      <c r="W515" s="88" t="n"/>
      <c r="X515" s="89">
        <f>IFERROR(IF(OR(V515="",W515="",T515=""),"", IF(T515&gt;W515,"Дорогий",IF(T515&lt;V515,"Дешевий","У ринку"))),"")</f>
        <v/>
      </c>
      <c r="Y515" s="90" t="n"/>
      <c r="Z515" s="104">
        <f>CHOOSE(MATCH(IF($U515="","Основний",$U515),{"Трафіковий","Основний","Маржинальний","Сезонний","Стратегічний"},0),0.16,0.19,0.24,0.23,0.28)</f>
        <v/>
      </c>
      <c r="AA515" s="104">
        <f>CHOOSE(MATCH(IF($U515="","Основний",$U515),{"Трафіковий","Основний","Маржинальний","Сезонний","Стратегічний"},0),0.18,0.21,0.26,0.25,0.3)</f>
        <v/>
      </c>
      <c r="AB515" s="104">
        <f>CHOOSE(MATCH(IF($U515="","Основний",$U515),{"Трафіковий","Основний","Маржинальний","Сезонний","Стратегічний"},0),0.19,0.22,0.28,0.26,0.32)</f>
        <v/>
      </c>
      <c r="AC515" s="104">
        <f>CHOOSE(MATCH(IF($U515="","Основний",$U515),{"Трафіковий","Основний","Маржинальний","Сезонний","Стратегічний"},0),0.17,0.2,0.25,0.24,0.28)</f>
        <v/>
      </c>
      <c r="AD515" s="104">
        <f>CHOOSE(MATCH(IF($U515="","Основний",$U515),{"Трафіковий","Основний","Маржинальний","Сезонний","Стратегічний"},0),0.18,0.21,0.26,0.25,0.3)</f>
        <v/>
      </c>
      <c r="AE515" s="104">
        <f>CHOOSE(MATCH(IF($U515="","Основний",$U515),{"Трафіковий","Основний","Маржинальний","Сезонний","Стратегічний"},0),0.18,0.2,0.28,0.27,0.32)</f>
        <v/>
      </c>
      <c r="AF515" s="104">
        <f>CHOOSE(MATCH(IF($U515="","Основний",$U515),{"Трафіковий","Основний","Маржинальний","Сезонний","Стратегічний"},0),0.15,0.175,0.22,0.21,0.25)</f>
        <v/>
      </c>
      <c r="AG515" s="104">
        <f>CHOOSE(MATCH(IF($U515="","Основний",$U515),{"Трафіковий","Основний","Маржинальний","Сезонний","Стратегічний"},0),0.13,0.16,0.21,0.2,0.25)</f>
        <v/>
      </c>
      <c r="AH515" s="104">
        <f>CHOOSE(MATCH(IF($U515="","Основний",$U515),{"Трафіковий","Основний","Маржинальний","Сезонний","Стратегічний"},0),0.15,0.18,0.23,0.22,0.27)</f>
        <v/>
      </c>
      <c r="AI515" s="104">
        <f>CHOOSE(MATCH(IF($U515="","Основний",$U515),{"Трафіковий","Основний","Маржинальний","Сезонний","Стратегічний"},0),0.16,0.19,0.25,0.23,0.29)</f>
        <v/>
      </c>
      <c r="AJ515" s="104">
        <f>CHOOSE(MATCH(IF($U515="","Основний",$U515),{"Трафіковий","Основний","Маржинальний","Сезонний","Стратегічний"},0),0.14,0.17,0.22,0.21,0.25)</f>
        <v/>
      </c>
      <c r="AK515" s="104">
        <f>CHOOSE(MATCH(IF($U515="","Основний",$U515),{"Трафіковий","Основний","Маржинальний","Сезонний","Стратегічний"},0),0.15,0.18,0.23,0.22,0.27)</f>
        <v/>
      </c>
      <c r="AL515" s="104">
        <f>CHOOSE(MATCH(IF($U515="","Основний",$U515),{"Трафіковий","Основний","Маржинальний","Сезонний","Стратегічний"},0),0.15,0.17,0.25,0.24,0.29)</f>
        <v/>
      </c>
      <c r="AM515" s="104">
        <f>CHOOSE(MATCH(IF($U515="","Основний",$U515),{"Трафіковий","Основний","Маржинальний","Сезонний","Стратегічний"},0),0.12,0.145,0.19,0.18,0.22)</f>
        <v/>
      </c>
      <c r="AN515" s="157">
        <f>CHOOSE(MATCH(IF($U515="","Основний",$U515),{"Трафіковий","Основний","Маржинальний","Сезонний","Стратегічний"},0),Settings!$B$78,Settings!$B$80,Settings!$B$82,Settings!$B$84,Settings!$B$86)</f>
        <v/>
      </c>
      <c r="AO515" s="157">
        <f>CHOOSE(MATCH(IF($U515="","Основний",$U515),{"Трафіковий","Основний","Маржинальний","Сезонний","Стратегічний"},0),Settings!$C$78,Settings!$C$80,Settings!$C$82,Settings!$C$84,Settings!$C$86)</f>
        <v/>
      </c>
      <c r="AP515" s="157">
        <f>CHOOSE(MATCH(IF($U515="","Основний",$U515),{"Трафіковий","Основний","Маржинальний","Сезонний","Стратегічний"},0),Settings!$D$78,Settings!$D$80,Settings!$D$82,Settings!$D$84,Settings!$D$86)</f>
        <v/>
      </c>
      <c r="AQ515" s="157">
        <f>CHOOSE(MATCH(IF($U515="","Основний",$U515),{"Трафіковий","Основний","Маржинальний","Сезонний","Стратегічний"},0),Settings!$F$78,Settings!$F$80,Settings!$F$82,Settings!$F$84,Settings!$F$86)</f>
        <v/>
      </c>
      <c r="AR515" s="157">
        <f>CHOOSE(MATCH(IF($U515="","Основний",$U515),{"Трафіковий","Основний","Маржинальний","Сезонний","Стратегічний"},0),Settings!$G$78,Settings!$G$80,Settings!$G$82,Settings!$G$84,Settings!$G$86)</f>
        <v/>
      </c>
      <c r="AS515" s="157">
        <f>CHOOSE(MATCH(IF($U515="","Основний",$U515),{"Трафіковий","Основний","Маржинальний","Сезонний","Стратегічний"},0),Settings!$H$78,Settings!$H$80,Settings!$H$82,Settings!$H$84,Settings!$H$86)</f>
        <v/>
      </c>
      <c r="AT515" s="157">
        <f>CHOOSE(MATCH(IF($U515="","Основний",$U515),{"Трафіковий","Основний","Маржинальний","Сезонний","Стратегічний"},0),Settings!$I$78,Settings!$I$80,Settings!$I$82,Settings!$I$84,Settings!$I$86)</f>
        <v/>
      </c>
      <c r="AU515" s="171" t="n"/>
      <c r="AV515" t="n">
        <v>1.35</v>
      </c>
    </row>
    <row r="516">
      <c r="A516" s="28" t="inlineStr">
        <is>
          <t>NEW</t>
        </is>
      </c>
      <c r="B516" s="29" t="inlineStr">
        <is>
          <t>F6090</t>
        </is>
      </c>
      <c r="C516" s="29" t="inlineStr">
        <is>
          <t>FOAM TAPE 20/3</t>
        </is>
      </c>
      <c r="D516" s="29" t="inlineStr">
        <is>
          <t>Ізоляціна т а ініші стрічки</t>
        </is>
      </c>
      <c r="E516" s="28" t="inlineStr">
        <is>
          <t>PC</t>
        </is>
      </c>
      <c r="F516" s="93" t="n">
        <v>0.478</v>
      </c>
      <c r="G516" s="30" t="n">
        <v>3919101200</v>
      </c>
      <c r="H516" s="31" t="n">
        <v>1.35</v>
      </c>
      <c r="I516" s="84">
        <f>IFERROR(F516*Settings!$B$2*H516*IF(AND(ISNUMBER(E516),E516&gt;1),E516,1),"")</f>
        <v/>
      </c>
      <c r="J516" s="32">
        <f>Settings!$B$66</f>
        <v/>
      </c>
      <c r="K516" s="95">
        <f>IFERROR(IF(T516="","",(T516*(1-AN516)*(1-Settings!$B$17)-I516)/(T516*(1-AN516)*(1-Settings!$B$17))),"")</f>
        <v/>
      </c>
      <c r="L516" s="101">
        <f>IFERROR(IF(T516="","",(T516*(1-AO516)*(1-Settings!$C$17)-I516)/(T516*(1-AO516)*(1-Settings!$C$17))),"")</f>
        <v/>
      </c>
      <c r="M516" s="101">
        <f>IFERROR(IF(T516="","",(T516*(1-AP516)*(1-Settings!$D$17)-I516)/(T516*(1-AP516)*(1-Settings!$D$17))),"")</f>
        <v/>
      </c>
      <c r="N516" s="101">
        <f>IFERROR(IF(T516="","",(T516*(1-AQ516)*(1-Settings!$F$17)-I516)/(T516*(1-AQ516)*(1-Settings!$F$17))),"")</f>
        <v/>
      </c>
      <c r="O516" s="101">
        <f>IFERROR(IF(T516="","",(T516*(1-AR516)*(1-Settings!$G$17)-I516)/(T516*(1-AR516)*(1-Settings!$G$17))),"")</f>
        <v/>
      </c>
      <c r="P516" s="101">
        <f>IFERROR(IF(T516="","",(T516*(1-AS516)*(1-Settings!$H$17)-I516)/(T516*(1-AS516)*(1-Settings!$H$17))),"")</f>
        <v/>
      </c>
      <c r="Q516" s="101">
        <f>IFERROR(IF(T516="","",(T516*(1-AT516)*(1-Settings!$I$68)*(1-Settings!$I$17)-I516)/(T516*(1-AT516)*(1-Settings!$I$68)*(1-Settings!$I$17))),"")</f>
        <v/>
      </c>
      <c r="R516" s="91">
        <f>IFERROR(IF(OR(I516="",Z516&gt;=1,Settings!$B$17&gt;=1,AN516&gt;=1),"",IF(MOD(ROUND(I516/(1-Z516)/(1-Settings!$B$17)/(1-AN516),0),10)=0,ROUND(I516/(1-Z516)/(1-Settings!$B$17)/(1-AN516),0)-1,IF(MOD(ROUND(I516/(1-Z516)/(1-Settings!$B$17)/(1-AN516),0),10)&lt;=5,FLOOR(ROUND(I516/(1-Z516)/(1-Settings!$B$17)/(1-AN516),0),10)+6,FLOOR(ROUND(I516/(1-Z516)/(1-Settings!$B$17)/(1-AN516),0),10)+9))),"")</f>
        <v/>
      </c>
      <c r="S516" s="174">
        <f>R516*0.95</f>
        <v/>
      </c>
      <c r="T516" s="91">
        <f>IF(S516&lt;&gt;"", IF(MOD(S516,10)=0,S516-1,IF(MOD(S516,10)&lt;=5,FLOOR(S516,10)+6,FLOOR(S516,10)+9)), R516)</f>
        <v/>
      </c>
      <c r="U516" s="87" t="inlineStr">
        <is>
          <t>Основний</t>
        </is>
      </c>
      <c r="V516" s="88" t="n"/>
      <c r="W516" s="88" t="n"/>
      <c r="X516" s="89">
        <f>IFERROR(IF(OR(V516="",W516="",T516=""),"", IF(T516&gt;W516,"Дорогий",IF(T516&lt;V516,"Дешевий","У ринку"))),"")</f>
        <v/>
      </c>
      <c r="Y516" s="90" t="n"/>
      <c r="Z516" s="104">
        <f>CHOOSE(MATCH(IF($U516="","Основний",$U516),{"Трафіковий","Основний","Маржинальний","Сезонний","Стратегічний"},0),0.16,0.19,0.24,0.23,0.28)</f>
        <v/>
      </c>
      <c r="AA516" s="104">
        <f>CHOOSE(MATCH(IF($U516="","Основний",$U516),{"Трафіковий","Основний","Маржинальний","Сезонний","Стратегічний"},0),0.18,0.21,0.26,0.25,0.3)</f>
        <v/>
      </c>
      <c r="AB516" s="104">
        <f>CHOOSE(MATCH(IF($U516="","Основний",$U516),{"Трафіковий","Основний","Маржинальний","Сезонний","Стратегічний"},0),0.19,0.22,0.28,0.26,0.32)</f>
        <v/>
      </c>
      <c r="AC516" s="104">
        <f>CHOOSE(MATCH(IF($U516="","Основний",$U516),{"Трафіковий","Основний","Маржинальний","Сезонний","Стратегічний"},0),0.17,0.2,0.25,0.24,0.28)</f>
        <v/>
      </c>
      <c r="AD516" s="104">
        <f>CHOOSE(MATCH(IF($U516="","Основний",$U516),{"Трафіковий","Основний","Маржинальний","Сезонний","Стратегічний"},0),0.18,0.21,0.26,0.25,0.3)</f>
        <v/>
      </c>
      <c r="AE516" s="104">
        <f>CHOOSE(MATCH(IF($U516="","Основний",$U516),{"Трафіковий","Основний","Маржинальний","Сезонний","Стратегічний"},0),0.18,0.2,0.28,0.27,0.32)</f>
        <v/>
      </c>
      <c r="AF516" s="104">
        <f>CHOOSE(MATCH(IF($U516="","Основний",$U516),{"Трафіковий","Основний","Маржинальний","Сезонний","Стратегічний"},0),0.15,0.175,0.22,0.21,0.25)</f>
        <v/>
      </c>
      <c r="AG516" s="104">
        <f>CHOOSE(MATCH(IF($U516="","Основний",$U516),{"Трафіковий","Основний","Маржинальний","Сезонний","Стратегічний"},0),0.13,0.16,0.21,0.2,0.25)</f>
        <v/>
      </c>
      <c r="AH516" s="104">
        <f>CHOOSE(MATCH(IF($U516="","Основний",$U516),{"Трафіковий","Основний","Маржинальний","Сезонний","Стратегічний"},0),0.15,0.18,0.23,0.22,0.27)</f>
        <v/>
      </c>
      <c r="AI516" s="104">
        <f>CHOOSE(MATCH(IF($U516="","Основний",$U516),{"Трафіковий","Основний","Маржинальний","Сезонний","Стратегічний"},0),0.16,0.19,0.25,0.23,0.29)</f>
        <v/>
      </c>
      <c r="AJ516" s="104">
        <f>CHOOSE(MATCH(IF($U516="","Основний",$U516),{"Трафіковий","Основний","Маржинальний","Сезонний","Стратегічний"},0),0.14,0.17,0.22,0.21,0.25)</f>
        <v/>
      </c>
      <c r="AK516" s="104">
        <f>CHOOSE(MATCH(IF($U516="","Основний",$U516),{"Трафіковий","Основний","Маржинальний","Сезонний","Стратегічний"},0),0.15,0.18,0.23,0.22,0.27)</f>
        <v/>
      </c>
      <c r="AL516" s="104">
        <f>CHOOSE(MATCH(IF($U516="","Основний",$U516),{"Трафіковий","Основний","Маржинальний","Сезонний","Стратегічний"},0),0.15,0.17,0.25,0.24,0.29)</f>
        <v/>
      </c>
      <c r="AM516" s="104">
        <f>CHOOSE(MATCH(IF($U516="","Основний",$U516),{"Трафіковий","Основний","Маржинальний","Сезонний","Стратегічний"},0),0.12,0.145,0.19,0.18,0.22)</f>
        <v/>
      </c>
      <c r="AN516" s="157">
        <f>CHOOSE(MATCH(IF($U516="","Основний",$U516),{"Трафіковий","Основний","Маржинальний","Сезонний","Стратегічний"},0),Settings!$B$78,Settings!$B$80,Settings!$B$82,Settings!$B$84,Settings!$B$86)</f>
        <v/>
      </c>
      <c r="AO516" s="157">
        <f>CHOOSE(MATCH(IF($U516="","Основний",$U516),{"Трафіковий","Основний","Маржинальний","Сезонний","Стратегічний"},0),Settings!$C$78,Settings!$C$80,Settings!$C$82,Settings!$C$84,Settings!$C$86)</f>
        <v/>
      </c>
      <c r="AP516" s="157">
        <f>CHOOSE(MATCH(IF($U516="","Основний",$U516),{"Трафіковий","Основний","Маржинальний","Сезонний","Стратегічний"},0),Settings!$D$78,Settings!$D$80,Settings!$D$82,Settings!$D$84,Settings!$D$86)</f>
        <v/>
      </c>
      <c r="AQ516" s="157">
        <f>CHOOSE(MATCH(IF($U516="","Основний",$U516),{"Трафіковий","Основний","Маржинальний","Сезонний","Стратегічний"},0),Settings!$F$78,Settings!$F$80,Settings!$F$82,Settings!$F$84,Settings!$F$86)</f>
        <v/>
      </c>
      <c r="AR516" s="157">
        <f>CHOOSE(MATCH(IF($U516="","Основний",$U516),{"Трафіковий","Основний","Маржинальний","Сезонний","Стратегічний"},0),Settings!$G$78,Settings!$G$80,Settings!$G$82,Settings!$G$84,Settings!$G$86)</f>
        <v/>
      </c>
      <c r="AS516" s="157">
        <f>CHOOSE(MATCH(IF($U516="","Основний",$U516),{"Трафіковий","Основний","Маржинальний","Сезонний","Стратегічний"},0),Settings!$H$78,Settings!$H$80,Settings!$H$82,Settings!$H$84,Settings!$H$86)</f>
        <v/>
      </c>
      <c r="AT516" s="157">
        <f>CHOOSE(MATCH(IF($U516="","Основний",$U516),{"Трафіковий","Основний","Маржинальний","Сезонний","Стратегічний"},0),Settings!$I$78,Settings!$I$80,Settings!$I$82,Settings!$I$84,Settings!$I$86)</f>
        <v/>
      </c>
      <c r="AU516" s="171" t="n"/>
      <c r="AV516" t="n">
        <v>1.35</v>
      </c>
    </row>
    <row r="517">
      <c r="A517" s="33" t="inlineStr">
        <is>
          <t>NEW</t>
        </is>
      </c>
      <c r="B517" s="34" t="inlineStr">
        <is>
          <t>F6100</t>
        </is>
      </c>
      <c r="C517" s="34" t="inlineStr">
        <is>
          <t>POOL REPAIR TAPE TRANSPARENT 100/10</t>
        </is>
      </c>
      <c r="D517" s="34" t="inlineStr">
        <is>
          <t>Ізоляціна т а ініші стрічки</t>
        </is>
      </c>
      <c r="E517" s="33" t="inlineStr">
        <is>
          <t>PC</t>
        </is>
      </c>
      <c r="F517" s="94" t="n">
        <v>1.181</v>
      </c>
      <c r="G517" s="35" t="n">
        <v>3919101990</v>
      </c>
      <c r="H517" s="31" t="n">
        <v>1.35</v>
      </c>
      <c r="I517" s="84">
        <f>IFERROR(F517*Settings!$B$2*H517*IF(AND(ISNUMBER(E517),E517&gt;1),E517,1),"")</f>
        <v/>
      </c>
      <c r="J517" s="32">
        <f>Settings!$B$66</f>
        <v/>
      </c>
      <c r="K517" s="95">
        <f>IFERROR(IF(T517="","",(T517*(1-AN517)*(1-Settings!$B$17)-I517)/(T517*(1-AN517)*(1-Settings!$B$17))),"")</f>
        <v/>
      </c>
      <c r="L517" s="101">
        <f>IFERROR(IF(T517="","",(T517*(1-AO517)*(1-Settings!$C$17)-I517)/(T517*(1-AO517)*(1-Settings!$C$17))),"")</f>
        <v/>
      </c>
      <c r="M517" s="101">
        <f>IFERROR(IF(T517="","",(T517*(1-AP517)*(1-Settings!$D$17)-I517)/(T517*(1-AP517)*(1-Settings!$D$17))),"")</f>
        <v/>
      </c>
      <c r="N517" s="101">
        <f>IFERROR(IF(T517="","",(T517*(1-AQ517)*(1-Settings!$F$17)-I517)/(T517*(1-AQ517)*(1-Settings!$F$17))),"")</f>
        <v/>
      </c>
      <c r="O517" s="101">
        <f>IFERROR(IF(T517="","",(T517*(1-AR517)*(1-Settings!$G$17)-I517)/(T517*(1-AR517)*(1-Settings!$G$17))),"")</f>
        <v/>
      </c>
      <c r="P517" s="101">
        <f>IFERROR(IF(T517="","",(T517*(1-AS517)*(1-Settings!$H$17)-I517)/(T517*(1-AS517)*(1-Settings!$H$17))),"")</f>
        <v/>
      </c>
      <c r="Q517" s="101">
        <f>IFERROR(IF(T517="","",(T517*(1-AT517)*(1-Settings!$I$68)*(1-Settings!$I$17)-I517)/(T517*(1-AT517)*(1-Settings!$I$68)*(1-Settings!$I$17))),"")</f>
        <v/>
      </c>
      <c r="R517" s="91">
        <f>IFERROR(IF(OR(I517="",Z517&gt;=1,Settings!$B$17&gt;=1,AN517&gt;=1),"",IF(MOD(ROUND(I517/(1-Z517)/(1-Settings!$B$17)/(1-AN517),0),10)=0,ROUND(I517/(1-Z517)/(1-Settings!$B$17)/(1-AN517),0)-1,IF(MOD(ROUND(I517/(1-Z517)/(1-Settings!$B$17)/(1-AN517),0),10)&lt;=5,FLOOR(ROUND(I517/(1-Z517)/(1-Settings!$B$17)/(1-AN517),0),10)+6,FLOOR(ROUND(I517/(1-Z517)/(1-Settings!$B$17)/(1-AN517),0),10)+9))),"")</f>
        <v/>
      </c>
      <c r="S517" s="174">
        <f>R517*0.95</f>
        <v/>
      </c>
      <c r="T517" s="91">
        <f>IF(S517&lt;&gt;"", IF(MOD(S517,10)=0,S517-1,IF(MOD(S517,10)&lt;=5,FLOOR(S517,10)+6,FLOOR(S517,10)+9)), R517)</f>
        <v/>
      </c>
      <c r="U517" s="87" t="inlineStr">
        <is>
          <t>Основний</t>
        </is>
      </c>
      <c r="V517" s="88" t="n"/>
      <c r="W517" s="88" t="n"/>
      <c r="X517" s="89">
        <f>IFERROR(IF(OR(V517="",W517="",T517=""),"", IF(T517&gt;W517,"Дорогий",IF(T517&lt;V517,"Дешевий","У ринку"))),"")</f>
        <v/>
      </c>
      <c r="Y517" s="90" t="n"/>
      <c r="Z517" s="104">
        <f>CHOOSE(MATCH(IF($U517="","Основний",$U517),{"Трафіковий","Основний","Маржинальний","Сезонний","Стратегічний"},0),0.16,0.19,0.24,0.23,0.28)</f>
        <v/>
      </c>
      <c r="AA517" s="104">
        <f>CHOOSE(MATCH(IF($U517="","Основний",$U517),{"Трафіковий","Основний","Маржинальний","Сезонний","Стратегічний"},0),0.18,0.21,0.26,0.25,0.3)</f>
        <v/>
      </c>
      <c r="AB517" s="104">
        <f>CHOOSE(MATCH(IF($U517="","Основний",$U517),{"Трафіковий","Основний","Маржинальний","Сезонний","Стратегічний"},0),0.19,0.22,0.28,0.26,0.32)</f>
        <v/>
      </c>
      <c r="AC517" s="104">
        <f>CHOOSE(MATCH(IF($U517="","Основний",$U517),{"Трафіковий","Основний","Маржинальний","Сезонний","Стратегічний"},0),0.17,0.2,0.25,0.24,0.28)</f>
        <v/>
      </c>
      <c r="AD517" s="104">
        <f>CHOOSE(MATCH(IF($U517="","Основний",$U517),{"Трафіковий","Основний","Маржинальний","Сезонний","Стратегічний"},0),0.18,0.21,0.26,0.25,0.3)</f>
        <v/>
      </c>
      <c r="AE517" s="104">
        <f>CHOOSE(MATCH(IF($U517="","Основний",$U517),{"Трафіковий","Основний","Маржинальний","Сезонний","Стратегічний"},0),0.18,0.2,0.28,0.27,0.32)</f>
        <v/>
      </c>
      <c r="AF517" s="104">
        <f>CHOOSE(MATCH(IF($U517="","Основний",$U517),{"Трафіковий","Основний","Маржинальний","Сезонний","Стратегічний"},0),0.15,0.175,0.22,0.21,0.25)</f>
        <v/>
      </c>
      <c r="AG517" s="104">
        <f>CHOOSE(MATCH(IF($U517="","Основний",$U517),{"Трафіковий","Основний","Маржинальний","Сезонний","Стратегічний"},0),0.13,0.16,0.21,0.2,0.25)</f>
        <v/>
      </c>
      <c r="AH517" s="104">
        <f>CHOOSE(MATCH(IF($U517="","Основний",$U517),{"Трафіковий","Основний","Маржинальний","Сезонний","Стратегічний"},0),0.15,0.18,0.23,0.22,0.27)</f>
        <v/>
      </c>
      <c r="AI517" s="104">
        <f>CHOOSE(MATCH(IF($U517="","Основний",$U517),{"Трафіковий","Основний","Маржинальний","Сезонний","Стратегічний"},0),0.16,0.19,0.25,0.23,0.29)</f>
        <v/>
      </c>
      <c r="AJ517" s="104">
        <f>CHOOSE(MATCH(IF($U517="","Основний",$U517),{"Трафіковий","Основний","Маржинальний","Сезонний","Стратегічний"},0),0.14,0.17,0.22,0.21,0.25)</f>
        <v/>
      </c>
      <c r="AK517" s="104">
        <f>CHOOSE(MATCH(IF($U517="","Основний",$U517),{"Трафіковий","Основний","Маржинальний","Сезонний","Стратегічний"},0),0.15,0.18,0.23,0.22,0.27)</f>
        <v/>
      </c>
      <c r="AL517" s="104">
        <f>CHOOSE(MATCH(IF($U517="","Основний",$U517),{"Трафіковий","Основний","Маржинальний","Сезонний","Стратегічний"},0),0.15,0.17,0.25,0.24,0.29)</f>
        <v/>
      </c>
      <c r="AM517" s="104">
        <f>CHOOSE(MATCH(IF($U517="","Основний",$U517),{"Трафіковий","Основний","Маржинальний","Сезонний","Стратегічний"},0),0.12,0.145,0.19,0.18,0.22)</f>
        <v/>
      </c>
      <c r="AN517" s="157">
        <f>CHOOSE(MATCH(IF($U517="","Основний",$U517),{"Трафіковий","Основний","Маржинальний","Сезонний","Стратегічний"},0),Settings!$B$78,Settings!$B$80,Settings!$B$82,Settings!$B$84,Settings!$B$86)</f>
        <v/>
      </c>
      <c r="AO517" s="157">
        <f>CHOOSE(MATCH(IF($U517="","Основний",$U517),{"Трафіковий","Основний","Маржинальний","Сезонний","Стратегічний"},0),Settings!$C$78,Settings!$C$80,Settings!$C$82,Settings!$C$84,Settings!$C$86)</f>
        <v/>
      </c>
      <c r="AP517" s="157">
        <f>CHOOSE(MATCH(IF($U517="","Основний",$U517),{"Трафіковий","Основний","Маржинальний","Сезонний","Стратегічний"},0),Settings!$D$78,Settings!$D$80,Settings!$D$82,Settings!$D$84,Settings!$D$86)</f>
        <v/>
      </c>
      <c r="AQ517" s="157">
        <f>CHOOSE(MATCH(IF($U517="","Основний",$U517),{"Трафіковий","Основний","Маржинальний","Сезонний","Стратегічний"},0),Settings!$F$78,Settings!$F$80,Settings!$F$82,Settings!$F$84,Settings!$F$86)</f>
        <v/>
      </c>
      <c r="AR517" s="157">
        <f>CHOOSE(MATCH(IF($U517="","Основний",$U517),{"Трафіковий","Основний","Маржинальний","Сезонний","Стратегічний"},0),Settings!$G$78,Settings!$G$80,Settings!$G$82,Settings!$G$84,Settings!$G$86)</f>
        <v/>
      </c>
      <c r="AS517" s="157">
        <f>CHOOSE(MATCH(IF($U517="","Основний",$U517),{"Трафіковий","Основний","Маржинальний","Сезонний","Стратегічний"},0),Settings!$H$78,Settings!$H$80,Settings!$H$82,Settings!$H$84,Settings!$H$86)</f>
        <v/>
      </c>
      <c r="AT517" s="157">
        <f>CHOOSE(MATCH(IF($U517="","Основний",$U517),{"Трафіковий","Основний","Маржинальний","Сезонний","Стратегічний"},0),Settings!$I$78,Settings!$I$80,Settings!$I$82,Settings!$I$84,Settings!$I$86)</f>
        <v/>
      </c>
      <c r="AU517" s="171" t="n"/>
      <c r="AV517" t="n">
        <v>1.35</v>
      </c>
    </row>
    <row r="518">
      <c r="A518" s="28" t="inlineStr">
        <is>
          <t>NEW</t>
        </is>
      </c>
      <c r="B518" s="29" t="inlineStr">
        <is>
          <t>F6110</t>
        </is>
      </c>
      <c r="C518" s="29" t="inlineStr">
        <is>
          <t>POOL REPAIR TAPE BLACK 100/10</t>
        </is>
      </c>
      <c r="D518" s="29" t="inlineStr">
        <is>
          <t>Ізоляціна т а ініші стрічки</t>
        </is>
      </c>
      <c r="E518" s="28" t="inlineStr">
        <is>
          <t>PC</t>
        </is>
      </c>
      <c r="F518" s="93" t="n">
        <v>1.359</v>
      </c>
      <c r="G518" s="30" t="n">
        <v>3919101990</v>
      </c>
      <c r="H518" s="31" t="n">
        <v>1.35</v>
      </c>
      <c r="I518" s="84">
        <f>IFERROR(F518*Settings!$B$2*H518*IF(AND(ISNUMBER(E518),E518&gt;1),E518,1),"")</f>
        <v/>
      </c>
      <c r="J518" s="32">
        <f>Settings!$B$66</f>
        <v/>
      </c>
      <c r="K518" s="95">
        <f>IFERROR(IF(T518="","",(T518*(1-AN518)*(1-Settings!$B$17)-I518)/(T518*(1-AN518)*(1-Settings!$B$17))),"")</f>
        <v/>
      </c>
      <c r="L518" s="101">
        <f>IFERROR(IF(T518="","",(T518*(1-AO518)*(1-Settings!$C$17)-I518)/(T518*(1-AO518)*(1-Settings!$C$17))),"")</f>
        <v/>
      </c>
      <c r="M518" s="101">
        <f>IFERROR(IF(T518="","",(T518*(1-AP518)*(1-Settings!$D$17)-I518)/(T518*(1-AP518)*(1-Settings!$D$17))),"")</f>
        <v/>
      </c>
      <c r="N518" s="101">
        <f>IFERROR(IF(T518="","",(T518*(1-AQ518)*(1-Settings!$F$17)-I518)/(T518*(1-AQ518)*(1-Settings!$F$17))),"")</f>
        <v/>
      </c>
      <c r="O518" s="101">
        <f>IFERROR(IF(T518="","",(T518*(1-AR518)*(1-Settings!$G$17)-I518)/(T518*(1-AR518)*(1-Settings!$G$17))),"")</f>
        <v/>
      </c>
      <c r="P518" s="101">
        <f>IFERROR(IF(T518="","",(T518*(1-AS518)*(1-Settings!$H$17)-I518)/(T518*(1-AS518)*(1-Settings!$H$17))),"")</f>
        <v/>
      </c>
      <c r="Q518" s="101">
        <f>IFERROR(IF(T518="","",(T518*(1-AT518)*(1-Settings!$I$68)*(1-Settings!$I$17)-I518)/(T518*(1-AT518)*(1-Settings!$I$68)*(1-Settings!$I$17))),"")</f>
        <v/>
      </c>
      <c r="R518" s="91">
        <f>IFERROR(IF(OR(I518="",Z518&gt;=1,Settings!$B$17&gt;=1,AN518&gt;=1),"",IF(MOD(ROUND(I518/(1-Z518)/(1-Settings!$B$17)/(1-AN518),0),10)=0,ROUND(I518/(1-Z518)/(1-Settings!$B$17)/(1-AN518),0)-1,IF(MOD(ROUND(I518/(1-Z518)/(1-Settings!$B$17)/(1-AN518),0),10)&lt;=5,FLOOR(ROUND(I518/(1-Z518)/(1-Settings!$B$17)/(1-AN518),0),10)+6,FLOOR(ROUND(I518/(1-Z518)/(1-Settings!$B$17)/(1-AN518),0),10)+9))),"")</f>
        <v/>
      </c>
      <c r="S518" s="174">
        <f>R518*0.95</f>
        <v/>
      </c>
      <c r="T518" s="91">
        <f>IF(S518&lt;&gt;"", IF(MOD(S518,10)=0,S518-1,IF(MOD(S518,10)&lt;=5,FLOOR(S518,10)+6,FLOOR(S518,10)+9)), R518)</f>
        <v/>
      </c>
      <c r="U518" s="87" t="inlineStr">
        <is>
          <t>Основний</t>
        </is>
      </c>
      <c r="V518" s="88" t="n"/>
      <c r="W518" s="88" t="n"/>
      <c r="X518" s="89">
        <f>IFERROR(IF(OR(V518="",W518="",T518=""),"", IF(T518&gt;W518,"Дорогий",IF(T518&lt;V518,"Дешевий","У ринку"))),"")</f>
        <v/>
      </c>
      <c r="Y518" s="90" t="n"/>
      <c r="Z518" s="104">
        <f>CHOOSE(MATCH(IF($U518="","Основний",$U518),{"Трафіковий","Основний","Маржинальний","Сезонний","Стратегічний"},0),0.16,0.19,0.24,0.23,0.28)</f>
        <v/>
      </c>
      <c r="AA518" s="104">
        <f>CHOOSE(MATCH(IF($U518="","Основний",$U518),{"Трафіковий","Основний","Маржинальний","Сезонний","Стратегічний"},0),0.18,0.21,0.26,0.25,0.3)</f>
        <v/>
      </c>
      <c r="AB518" s="104">
        <f>CHOOSE(MATCH(IF($U518="","Основний",$U518),{"Трафіковий","Основний","Маржинальний","Сезонний","Стратегічний"},0),0.19,0.22,0.28,0.26,0.32)</f>
        <v/>
      </c>
      <c r="AC518" s="104">
        <f>CHOOSE(MATCH(IF($U518="","Основний",$U518),{"Трафіковий","Основний","Маржинальний","Сезонний","Стратегічний"},0),0.17,0.2,0.25,0.24,0.28)</f>
        <v/>
      </c>
      <c r="AD518" s="104">
        <f>CHOOSE(MATCH(IF($U518="","Основний",$U518),{"Трафіковий","Основний","Маржинальний","Сезонний","Стратегічний"},0),0.18,0.21,0.26,0.25,0.3)</f>
        <v/>
      </c>
      <c r="AE518" s="104">
        <f>CHOOSE(MATCH(IF($U518="","Основний",$U518),{"Трафіковий","Основний","Маржинальний","Сезонний","Стратегічний"},0),0.18,0.2,0.28,0.27,0.32)</f>
        <v/>
      </c>
      <c r="AF518" s="104">
        <f>CHOOSE(MATCH(IF($U518="","Основний",$U518),{"Трафіковий","Основний","Маржинальний","Сезонний","Стратегічний"},0),0.15,0.175,0.22,0.21,0.25)</f>
        <v/>
      </c>
      <c r="AG518" s="104">
        <f>CHOOSE(MATCH(IF($U518="","Основний",$U518),{"Трафіковий","Основний","Маржинальний","Сезонний","Стратегічний"},0),0.13,0.16,0.21,0.2,0.25)</f>
        <v/>
      </c>
      <c r="AH518" s="104">
        <f>CHOOSE(MATCH(IF($U518="","Основний",$U518),{"Трафіковий","Основний","Маржинальний","Сезонний","Стратегічний"},0),0.15,0.18,0.23,0.22,0.27)</f>
        <v/>
      </c>
      <c r="AI518" s="104">
        <f>CHOOSE(MATCH(IF($U518="","Основний",$U518),{"Трафіковий","Основний","Маржинальний","Сезонний","Стратегічний"},0),0.16,0.19,0.25,0.23,0.29)</f>
        <v/>
      </c>
      <c r="AJ518" s="104">
        <f>CHOOSE(MATCH(IF($U518="","Основний",$U518),{"Трафіковий","Основний","Маржинальний","Сезонний","Стратегічний"},0),0.14,0.17,0.22,0.21,0.25)</f>
        <v/>
      </c>
      <c r="AK518" s="104">
        <f>CHOOSE(MATCH(IF($U518="","Основний",$U518),{"Трафіковий","Основний","Маржинальний","Сезонний","Стратегічний"},0),0.15,0.18,0.23,0.22,0.27)</f>
        <v/>
      </c>
      <c r="AL518" s="104">
        <f>CHOOSE(MATCH(IF($U518="","Основний",$U518),{"Трафіковий","Основний","Маржинальний","Сезонний","Стратегічний"},0),0.15,0.17,0.25,0.24,0.29)</f>
        <v/>
      </c>
      <c r="AM518" s="104">
        <f>CHOOSE(MATCH(IF($U518="","Основний",$U518),{"Трафіковий","Основний","Маржинальний","Сезонний","Стратегічний"},0),0.12,0.145,0.19,0.18,0.22)</f>
        <v/>
      </c>
      <c r="AN518" s="157">
        <f>CHOOSE(MATCH(IF($U518="","Основний",$U518),{"Трафіковий","Основний","Маржинальний","Сезонний","Стратегічний"},0),Settings!$B$78,Settings!$B$80,Settings!$B$82,Settings!$B$84,Settings!$B$86)</f>
        <v/>
      </c>
      <c r="AO518" s="157">
        <f>CHOOSE(MATCH(IF($U518="","Основний",$U518),{"Трафіковий","Основний","Маржинальний","Сезонний","Стратегічний"},0),Settings!$C$78,Settings!$C$80,Settings!$C$82,Settings!$C$84,Settings!$C$86)</f>
        <v/>
      </c>
      <c r="AP518" s="157">
        <f>CHOOSE(MATCH(IF($U518="","Основний",$U518),{"Трафіковий","Основний","Маржинальний","Сезонний","Стратегічний"},0),Settings!$D$78,Settings!$D$80,Settings!$D$82,Settings!$D$84,Settings!$D$86)</f>
        <v/>
      </c>
      <c r="AQ518" s="157">
        <f>CHOOSE(MATCH(IF($U518="","Основний",$U518),{"Трафіковий","Основний","Маржинальний","Сезонний","Стратегічний"},0),Settings!$F$78,Settings!$F$80,Settings!$F$82,Settings!$F$84,Settings!$F$86)</f>
        <v/>
      </c>
      <c r="AR518" s="157">
        <f>CHOOSE(MATCH(IF($U518="","Основний",$U518),{"Трафіковий","Основний","Маржинальний","Сезонний","Стратегічний"},0),Settings!$G$78,Settings!$G$80,Settings!$G$82,Settings!$G$84,Settings!$G$86)</f>
        <v/>
      </c>
      <c r="AS518" s="157">
        <f>CHOOSE(MATCH(IF($U518="","Основний",$U518),{"Трафіковий","Основний","Маржинальний","Сезонний","Стратегічний"},0),Settings!$H$78,Settings!$H$80,Settings!$H$82,Settings!$H$84,Settings!$H$86)</f>
        <v/>
      </c>
      <c r="AT518" s="157">
        <f>CHOOSE(MATCH(IF($U518="","Основний",$U518),{"Трафіковий","Основний","Маржинальний","Сезонний","Стратегічний"},0),Settings!$I$78,Settings!$I$80,Settings!$I$82,Settings!$I$84,Settings!$I$86)</f>
        <v/>
      </c>
      <c r="AU518" s="171" t="n"/>
      <c r="AV518" t="n">
        <v>1.35</v>
      </c>
    </row>
    <row r="519">
      <c r="A519" s="33" t="inlineStr">
        <is>
          <t>NEW</t>
        </is>
      </c>
      <c r="B519" s="34" t="inlineStr">
        <is>
          <t>F6200</t>
        </is>
      </c>
      <c r="C519" s="34" t="inlineStr">
        <is>
          <t>GREENHOUSE REPAIR TAPE TRANSPARENT 50/25</t>
        </is>
      </c>
      <c r="D519" s="34" t="inlineStr">
        <is>
          <t>Ізоляціна т а ініші стрічки</t>
        </is>
      </c>
      <c r="E519" s="33" t="inlineStr">
        <is>
          <t>PC</t>
        </is>
      </c>
      <c r="F519" s="94" t="n">
        <v>2.162</v>
      </c>
      <c r="G519" s="35" t="n">
        <v>3919101200</v>
      </c>
      <c r="H519" s="31" t="n">
        <v>1.35</v>
      </c>
      <c r="I519" s="84">
        <f>IFERROR(F519*Settings!$B$2*H519*IF(AND(ISNUMBER(E519),E519&gt;1),E519,1),"")</f>
        <v/>
      </c>
      <c r="J519" s="32">
        <f>Settings!$B$66</f>
        <v/>
      </c>
      <c r="K519" s="95">
        <f>IFERROR(IF(T519="","",(T519*(1-AN519)*(1-Settings!$B$17)-I519)/(T519*(1-AN519)*(1-Settings!$B$17))),"")</f>
        <v/>
      </c>
      <c r="L519" s="101">
        <f>IFERROR(IF(T519="","",(T519*(1-AO519)*(1-Settings!$C$17)-I519)/(T519*(1-AO519)*(1-Settings!$C$17))),"")</f>
        <v/>
      </c>
      <c r="M519" s="101">
        <f>IFERROR(IF(T519="","",(T519*(1-AP519)*(1-Settings!$D$17)-I519)/(T519*(1-AP519)*(1-Settings!$D$17))),"")</f>
        <v/>
      </c>
      <c r="N519" s="101">
        <f>IFERROR(IF(T519="","",(T519*(1-AQ519)*(1-Settings!$F$17)-I519)/(T519*(1-AQ519)*(1-Settings!$F$17))),"")</f>
        <v/>
      </c>
      <c r="O519" s="101">
        <f>IFERROR(IF(T519="","",(T519*(1-AR519)*(1-Settings!$G$17)-I519)/(T519*(1-AR519)*(1-Settings!$G$17))),"")</f>
        <v/>
      </c>
      <c r="P519" s="101">
        <f>IFERROR(IF(T519="","",(T519*(1-AS519)*(1-Settings!$H$17)-I519)/(T519*(1-AS519)*(1-Settings!$H$17))),"")</f>
        <v/>
      </c>
      <c r="Q519" s="101">
        <f>IFERROR(IF(T519="","",(T519*(1-AT519)*(1-Settings!$I$68)*(1-Settings!$I$17)-I519)/(T519*(1-AT519)*(1-Settings!$I$68)*(1-Settings!$I$17))),"")</f>
        <v/>
      </c>
      <c r="R519" s="91">
        <f>IFERROR(IF(OR(I519="",Z519&gt;=1,Settings!$B$17&gt;=1,AN519&gt;=1),"",IF(MOD(ROUND(I519/(1-Z519)/(1-Settings!$B$17)/(1-AN519),0),10)=0,ROUND(I519/(1-Z519)/(1-Settings!$B$17)/(1-AN519),0)-1,IF(MOD(ROUND(I519/(1-Z519)/(1-Settings!$B$17)/(1-AN519),0),10)&lt;=5,FLOOR(ROUND(I519/(1-Z519)/(1-Settings!$B$17)/(1-AN519),0),10)+6,FLOOR(ROUND(I519/(1-Z519)/(1-Settings!$B$17)/(1-AN519),0),10)+9))),"")</f>
        <v/>
      </c>
      <c r="S519" s="174">
        <f>R519*0.95</f>
        <v/>
      </c>
      <c r="T519" s="91">
        <f>IF(S519&lt;&gt;"", IF(MOD(S519,10)=0,S519-1,IF(MOD(S519,10)&lt;=5,FLOOR(S519,10)+6,FLOOR(S519,10)+9)), R519)</f>
        <v/>
      </c>
      <c r="U519" s="87" t="inlineStr">
        <is>
          <t>Основний</t>
        </is>
      </c>
      <c r="V519" s="88" t="n"/>
      <c r="W519" s="88" t="n"/>
      <c r="X519" s="89">
        <f>IFERROR(IF(OR(V519="",W519="",T519=""),"", IF(T519&gt;W519,"Дорогий",IF(T519&lt;V519,"Дешевий","У ринку"))),"")</f>
        <v/>
      </c>
      <c r="Y519" s="90" t="n"/>
      <c r="Z519" s="104">
        <f>CHOOSE(MATCH(IF($U519="","Основний",$U519),{"Трафіковий","Основний","Маржинальний","Сезонний","Стратегічний"},0),0.16,0.19,0.24,0.23,0.28)</f>
        <v/>
      </c>
      <c r="AA519" s="104">
        <f>CHOOSE(MATCH(IF($U519="","Основний",$U519),{"Трафіковий","Основний","Маржинальний","Сезонний","Стратегічний"},0),0.18,0.21,0.26,0.25,0.3)</f>
        <v/>
      </c>
      <c r="AB519" s="104">
        <f>CHOOSE(MATCH(IF($U519="","Основний",$U519),{"Трафіковий","Основний","Маржинальний","Сезонний","Стратегічний"},0),0.19,0.22,0.28,0.26,0.32)</f>
        <v/>
      </c>
      <c r="AC519" s="104">
        <f>CHOOSE(MATCH(IF($U519="","Основний",$U519),{"Трафіковий","Основний","Маржинальний","Сезонний","Стратегічний"},0),0.17,0.2,0.25,0.24,0.28)</f>
        <v/>
      </c>
      <c r="AD519" s="104">
        <f>CHOOSE(MATCH(IF($U519="","Основний",$U519),{"Трафіковий","Основний","Маржинальний","Сезонний","Стратегічний"},0),0.18,0.21,0.26,0.25,0.3)</f>
        <v/>
      </c>
      <c r="AE519" s="104">
        <f>CHOOSE(MATCH(IF($U519="","Основний",$U519),{"Трафіковий","Основний","Маржинальний","Сезонний","Стратегічний"},0),0.18,0.2,0.28,0.27,0.32)</f>
        <v/>
      </c>
      <c r="AF519" s="104">
        <f>CHOOSE(MATCH(IF($U519="","Основний",$U519),{"Трафіковий","Основний","Маржинальний","Сезонний","Стратегічний"},0),0.15,0.175,0.22,0.21,0.25)</f>
        <v/>
      </c>
      <c r="AG519" s="104">
        <f>CHOOSE(MATCH(IF($U519="","Основний",$U519),{"Трафіковий","Основний","Маржинальний","Сезонний","Стратегічний"},0),0.13,0.16,0.21,0.2,0.25)</f>
        <v/>
      </c>
      <c r="AH519" s="104">
        <f>CHOOSE(MATCH(IF($U519="","Основний",$U519),{"Трафіковий","Основний","Маржинальний","Сезонний","Стратегічний"},0),0.15,0.18,0.23,0.22,0.27)</f>
        <v/>
      </c>
      <c r="AI519" s="104">
        <f>CHOOSE(MATCH(IF($U519="","Основний",$U519),{"Трафіковий","Основний","Маржинальний","Сезонний","Стратегічний"},0),0.16,0.19,0.25,0.23,0.29)</f>
        <v/>
      </c>
      <c r="AJ519" s="104">
        <f>CHOOSE(MATCH(IF($U519="","Основний",$U519),{"Трафіковий","Основний","Маржинальний","Сезонний","Стратегічний"},0),0.14,0.17,0.22,0.21,0.25)</f>
        <v/>
      </c>
      <c r="AK519" s="104">
        <f>CHOOSE(MATCH(IF($U519="","Основний",$U519),{"Трафіковий","Основний","Маржинальний","Сезонний","Стратегічний"},0),0.15,0.18,0.23,0.22,0.27)</f>
        <v/>
      </c>
      <c r="AL519" s="104">
        <f>CHOOSE(MATCH(IF($U519="","Основний",$U519),{"Трафіковий","Основний","Маржинальний","Сезонний","Стратегічний"},0),0.15,0.17,0.25,0.24,0.29)</f>
        <v/>
      </c>
      <c r="AM519" s="104">
        <f>CHOOSE(MATCH(IF($U519="","Основний",$U519),{"Трафіковий","Основний","Маржинальний","Сезонний","Стратегічний"},0),0.12,0.145,0.19,0.18,0.22)</f>
        <v/>
      </c>
      <c r="AN519" s="157">
        <f>CHOOSE(MATCH(IF($U519="","Основний",$U519),{"Трафіковий","Основний","Маржинальний","Сезонний","Стратегічний"},0),Settings!$B$78,Settings!$B$80,Settings!$B$82,Settings!$B$84,Settings!$B$86)</f>
        <v/>
      </c>
      <c r="AO519" s="157">
        <f>CHOOSE(MATCH(IF($U519="","Основний",$U519),{"Трафіковий","Основний","Маржинальний","Сезонний","Стратегічний"},0),Settings!$C$78,Settings!$C$80,Settings!$C$82,Settings!$C$84,Settings!$C$86)</f>
        <v/>
      </c>
      <c r="AP519" s="157">
        <f>CHOOSE(MATCH(IF($U519="","Основний",$U519),{"Трафіковий","Основний","Маржинальний","Сезонний","Стратегічний"},0),Settings!$D$78,Settings!$D$80,Settings!$D$82,Settings!$D$84,Settings!$D$86)</f>
        <v/>
      </c>
      <c r="AQ519" s="157">
        <f>CHOOSE(MATCH(IF($U519="","Основний",$U519),{"Трафіковий","Основний","Маржинальний","Сезонний","Стратегічний"},0),Settings!$F$78,Settings!$F$80,Settings!$F$82,Settings!$F$84,Settings!$F$86)</f>
        <v/>
      </c>
      <c r="AR519" s="157">
        <f>CHOOSE(MATCH(IF($U519="","Основний",$U519),{"Трафіковий","Основний","Маржинальний","Сезонний","Стратегічний"},0),Settings!$G$78,Settings!$G$80,Settings!$G$82,Settings!$G$84,Settings!$G$86)</f>
        <v/>
      </c>
      <c r="AS519" s="157">
        <f>CHOOSE(MATCH(IF($U519="","Основний",$U519),{"Трафіковий","Основний","Маржинальний","Сезонний","Стратегічний"},0),Settings!$H$78,Settings!$H$80,Settings!$H$82,Settings!$H$84,Settings!$H$86)</f>
        <v/>
      </c>
      <c r="AT519" s="157">
        <f>CHOOSE(MATCH(IF($U519="","Основний",$U519),{"Трафіковий","Основний","Маржинальний","Сезонний","Стратегічний"},0),Settings!$I$78,Settings!$I$80,Settings!$I$82,Settings!$I$84,Settings!$I$86)</f>
        <v/>
      </c>
      <c r="AU519" s="171" t="n"/>
      <c r="AV519" t="n">
        <v>1.35</v>
      </c>
    </row>
    <row r="520">
      <c r="A520" s="28" t="inlineStr">
        <is>
          <t>NEW</t>
        </is>
      </c>
      <c r="B520" s="29" t="inlineStr">
        <is>
          <t>F6300</t>
        </is>
      </c>
      <c r="C520" s="29" t="inlineStr">
        <is>
          <t>DOUBLE SIDE NANO TAPE 2x30 MM, 3 M</t>
        </is>
      </c>
      <c r="D520" s="29" t="inlineStr">
        <is>
          <t>Ізоляціна т а ініші стрічки</t>
        </is>
      </c>
      <c r="E520" s="28" t="inlineStr">
        <is>
          <t>PC</t>
        </is>
      </c>
      <c r="F520" s="93" t="n">
        <v>1.622</v>
      </c>
      <c r="G520" s="30" t="n">
        <v>3919101200</v>
      </c>
      <c r="H520" s="31" t="n">
        <v>1.35</v>
      </c>
      <c r="I520" s="84">
        <f>IFERROR(F520*Settings!$B$2*H520*IF(AND(ISNUMBER(E520),E520&gt;1),E520,1),"")</f>
        <v/>
      </c>
      <c r="J520" s="32">
        <f>Settings!$B$66</f>
        <v/>
      </c>
      <c r="K520" s="95">
        <f>IFERROR(IF(T520="","",(T520*(1-AN520)*(1-Settings!$B$17)-I520)/(T520*(1-AN520)*(1-Settings!$B$17))),"")</f>
        <v/>
      </c>
      <c r="L520" s="101">
        <f>IFERROR(IF(T520="","",(T520*(1-AO520)*(1-Settings!$C$17)-I520)/(T520*(1-AO520)*(1-Settings!$C$17))),"")</f>
        <v/>
      </c>
      <c r="M520" s="101">
        <f>IFERROR(IF(T520="","",(T520*(1-AP520)*(1-Settings!$D$17)-I520)/(T520*(1-AP520)*(1-Settings!$D$17))),"")</f>
        <v/>
      </c>
      <c r="N520" s="101">
        <f>IFERROR(IF(T520="","",(T520*(1-AQ520)*(1-Settings!$F$17)-I520)/(T520*(1-AQ520)*(1-Settings!$F$17))),"")</f>
        <v/>
      </c>
      <c r="O520" s="101">
        <f>IFERROR(IF(T520="","",(T520*(1-AR520)*(1-Settings!$G$17)-I520)/(T520*(1-AR520)*(1-Settings!$G$17))),"")</f>
        <v/>
      </c>
      <c r="P520" s="101">
        <f>IFERROR(IF(T520="","",(T520*(1-AS520)*(1-Settings!$H$17)-I520)/(T520*(1-AS520)*(1-Settings!$H$17))),"")</f>
        <v/>
      </c>
      <c r="Q520" s="101">
        <f>IFERROR(IF(T520="","",(T520*(1-AT520)*(1-Settings!$I$68)*(1-Settings!$I$17)-I520)/(T520*(1-AT520)*(1-Settings!$I$68)*(1-Settings!$I$17))),"")</f>
        <v/>
      </c>
      <c r="R520" s="91">
        <f>IFERROR(IF(OR(I520="",Z520&gt;=1,Settings!$B$17&gt;=1,AN520&gt;=1),"",IF(MOD(ROUND(I520/(1-Z520)/(1-Settings!$B$17)/(1-AN520),0),10)=0,ROUND(I520/(1-Z520)/(1-Settings!$B$17)/(1-AN520),0)-1,IF(MOD(ROUND(I520/(1-Z520)/(1-Settings!$B$17)/(1-AN520),0),10)&lt;=5,FLOOR(ROUND(I520/(1-Z520)/(1-Settings!$B$17)/(1-AN520),0),10)+6,FLOOR(ROUND(I520/(1-Z520)/(1-Settings!$B$17)/(1-AN520),0),10)+9))),"")</f>
        <v/>
      </c>
      <c r="S520" s="174">
        <f>R520*0.95</f>
        <v/>
      </c>
      <c r="T520" s="91">
        <f>IF(S520&lt;&gt;"", IF(MOD(S520,10)=0,S520-1,IF(MOD(S520,10)&lt;=5,FLOOR(S520,10)+6,FLOOR(S520,10)+9)), R520)</f>
        <v/>
      </c>
      <c r="U520" s="87" t="inlineStr">
        <is>
          <t>Основний</t>
        </is>
      </c>
      <c r="V520" s="88" t="n"/>
      <c r="W520" s="88" t="n"/>
      <c r="X520" s="89">
        <f>IFERROR(IF(OR(V520="",W520="",T520=""),"", IF(T520&gt;W520,"Дорогий",IF(T520&lt;V520,"Дешевий","У ринку"))),"")</f>
        <v/>
      </c>
      <c r="Y520" s="90" t="n"/>
      <c r="Z520" s="104">
        <f>CHOOSE(MATCH(IF($U520="","Основний",$U520),{"Трафіковий","Основний","Маржинальний","Сезонний","Стратегічний"},0),0.16,0.19,0.24,0.23,0.28)</f>
        <v/>
      </c>
      <c r="AA520" s="104">
        <f>CHOOSE(MATCH(IF($U520="","Основний",$U520),{"Трафіковий","Основний","Маржинальний","Сезонний","Стратегічний"},0),0.18,0.21,0.26,0.25,0.3)</f>
        <v/>
      </c>
      <c r="AB520" s="104">
        <f>CHOOSE(MATCH(IF($U520="","Основний",$U520),{"Трафіковий","Основний","Маржинальний","Сезонний","Стратегічний"},0),0.19,0.22,0.28,0.26,0.32)</f>
        <v/>
      </c>
      <c r="AC520" s="104">
        <f>CHOOSE(MATCH(IF($U520="","Основний",$U520),{"Трафіковий","Основний","Маржинальний","Сезонний","Стратегічний"},0),0.17,0.2,0.25,0.24,0.28)</f>
        <v/>
      </c>
      <c r="AD520" s="104">
        <f>CHOOSE(MATCH(IF($U520="","Основний",$U520),{"Трафіковий","Основний","Маржинальний","Сезонний","Стратегічний"},0),0.18,0.21,0.26,0.25,0.3)</f>
        <v/>
      </c>
      <c r="AE520" s="104">
        <f>CHOOSE(MATCH(IF($U520="","Основний",$U520),{"Трафіковий","Основний","Маржинальний","Сезонний","Стратегічний"},0),0.18,0.2,0.28,0.27,0.32)</f>
        <v/>
      </c>
      <c r="AF520" s="104">
        <f>CHOOSE(MATCH(IF($U520="","Основний",$U520),{"Трафіковий","Основний","Маржинальний","Сезонний","Стратегічний"},0),0.15,0.175,0.22,0.21,0.25)</f>
        <v/>
      </c>
      <c r="AG520" s="104">
        <f>CHOOSE(MATCH(IF($U520="","Основний",$U520),{"Трафіковий","Основний","Маржинальний","Сезонний","Стратегічний"},0),0.13,0.16,0.21,0.2,0.25)</f>
        <v/>
      </c>
      <c r="AH520" s="104">
        <f>CHOOSE(MATCH(IF($U520="","Основний",$U520),{"Трафіковий","Основний","Маржинальний","Сезонний","Стратегічний"},0),0.15,0.18,0.23,0.22,0.27)</f>
        <v/>
      </c>
      <c r="AI520" s="104">
        <f>CHOOSE(MATCH(IF($U520="","Основний",$U520),{"Трафіковий","Основний","Маржинальний","Сезонний","Стратегічний"},0),0.16,0.19,0.25,0.23,0.29)</f>
        <v/>
      </c>
      <c r="AJ520" s="104">
        <f>CHOOSE(MATCH(IF($U520="","Основний",$U520),{"Трафіковий","Основний","Маржинальний","Сезонний","Стратегічний"},0),0.14,0.17,0.22,0.21,0.25)</f>
        <v/>
      </c>
      <c r="AK520" s="104">
        <f>CHOOSE(MATCH(IF($U520="","Основний",$U520),{"Трафіковий","Основний","Маржинальний","Сезонний","Стратегічний"},0),0.15,0.18,0.23,0.22,0.27)</f>
        <v/>
      </c>
      <c r="AL520" s="104">
        <f>CHOOSE(MATCH(IF($U520="","Основний",$U520),{"Трафіковий","Основний","Маржинальний","Сезонний","Стратегічний"},0),0.15,0.17,0.25,0.24,0.29)</f>
        <v/>
      </c>
      <c r="AM520" s="104">
        <f>CHOOSE(MATCH(IF($U520="","Основний",$U520),{"Трафіковий","Основний","Маржинальний","Сезонний","Стратегічний"},0),0.12,0.145,0.19,0.18,0.22)</f>
        <v/>
      </c>
      <c r="AN520" s="157">
        <f>CHOOSE(MATCH(IF($U520="","Основний",$U520),{"Трафіковий","Основний","Маржинальний","Сезонний","Стратегічний"},0),Settings!$B$78,Settings!$B$80,Settings!$B$82,Settings!$B$84,Settings!$B$86)</f>
        <v/>
      </c>
      <c r="AO520" s="157">
        <f>CHOOSE(MATCH(IF($U520="","Основний",$U520),{"Трафіковий","Основний","Маржинальний","Сезонний","Стратегічний"},0),Settings!$C$78,Settings!$C$80,Settings!$C$82,Settings!$C$84,Settings!$C$86)</f>
        <v/>
      </c>
      <c r="AP520" s="157">
        <f>CHOOSE(MATCH(IF($U520="","Основний",$U520),{"Трафіковий","Основний","Маржинальний","Сезонний","Стратегічний"},0),Settings!$D$78,Settings!$D$80,Settings!$D$82,Settings!$D$84,Settings!$D$86)</f>
        <v/>
      </c>
      <c r="AQ520" s="157">
        <f>CHOOSE(MATCH(IF($U520="","Основний",$U520),{"Трафіковий","Основний","Маржинальний","Сезонний","Стратегічний"},0),Settings!$F$78,Settings!$F$80,Settings!$F$82,Settings!$F$84,Settings!$F$86)</f>
        <v/>
      </c>
      <c r="AR520" s="157">
        <f>CHOOSE(MATCH(IF($U520="","Основний",$U520),{"Трафіковий","Основний","Маржинальний","Сезонний","Стратегічний"},0),Settings!$G$78,Settings!$G$80,Settings!$G$82,Settings!$G$84,Settings!$G$86)</f>
        <v/>
      </c>
      <c r="AS520" s="157">
        <f>CHOOSE(MATCH(IF($U520="","Основний",$U520),{"Трафіковий","Основний","Маржинальний","Сезонний","Стратегічний"},0),Settings!$H$78,Settings!$H$80,Settings!$H$82,Settings!$H$84,Settings!$H$86)</f>
        <v/>
      </c>
      <c r="AT520" s="157">
        <f>CHOOSE(MATCH(IF($U520="","Основний",$U520),{"Трафіковий","Основний","Маржинальний","Сезонний","Стратегічний"},0),Settings!$I$78,Settings!$I$80,Settings!$I$82,Settings!$I$84,Settings!$I$86)</f>
        <v/>
      </c>
      <c r="AU520" s="171" t="n"/>
      <c r="AV520" t="n">
        <v>1.35</v>
      </c>
    </row>
    <row r="521">
      <c r="A521" s="33" t="n"/>
      <c r="B521" s="34" t="inlineStr">
        <is>
          <t>F6070</t>
        </is>
      </c>
      <c r="C521" s="34" t="inlineStr">
        <is>
          <t>REFLECTIVE TAPE 25/2 BOX 12PCS</t>
        </is>
      </c>
      <c r="D521" s="34" t="inlineStr">
        <is>
          <t>Ізоляціна т а ініші стрічки</t>
        </is>
      </c>
      <c r="E521" s="33" t="inlineStr">
        <is>
          <t>PC</t>
        </is>
      </c>
      <c r="F521" s="94" t="n">
        <v>1.334</v>
      </c>
      <c r="G521" s="35" t="n">
        <v>3919101990</v>
      </c>
      <c r="H521" s="31" t="n">
        <v>1.35</v>
      </c>
      <c r="I521" s="84">
        <f>IFERROR(F521*Settings!$B$2*H521*IF(AND(ISNUMBER(E521),E521&gt;1),E521,1),"")</f>
        <v/>
      </c>
      <c r="J521" s="32">
        <f>Settings!$B$66</f>
        <v/>
      </c>
      <c r="K521" s="95">
        <f>IFERROR(IF(T521="","",(T521*(1-AN521)*(1-Settings!$B$17)-I521)/(T521*(1-AN521)*(1-Settings!$B$17))),"")</f>
        <v/>
      </c>
      <c r="L521" s="101">
        <f>IFERROR(IF(T521="","",(T521*(1-AO521)*(1-Settings!$C$17)-I521)/(T521*(1-AO521)*(1-Settings!$C$17))),"")</f>
        <v/>
      </c>
      <c r="M521" s="101">
        <f>IFERROR(IF(T521="","",(T521*(1-AP521)*(1-Settings!$D$17)-I521)/(T521*(1-AP521)*(1-Settings!$D$17))),"")</f>
        <v/>
      </c>
      <c r="N521" s="101">
        <f>IFERROR(IF(T521="","",(T521*(1-AQ521)*(1-Settings!$F$17)-I521)/(T521*(1-AQ521)*(1-Settings!$F$17))),"")</f>
        <v/>
      </c>
      <c r="O521" s="101">
        <f>IFERROR(IF(T521="","",(T521*(1-AR521)*(1-Settings!$G$17)-I521)/(T521*(1-AR521)*(1-Settings!$G$17))),"")</f>
        <v/>
      </c>
      <c r="P521" s="101">
        <f>IFERROR(IF(T521="","",(T521*(1-AS521)*(1-Settings!$H$17)-I521)/(T521*(1-AS521)*(1-Settings!$H$17))),"")</f>
        <v/>
      </c>
      <c r="Q521" s="101">
        <f>IFERROR(IF(T521="","",(T521*(1-AT521)*(1-Settings!$I$68)*(1-Settings!$I$17)-I521)/(T521*(1-AT521)*(1-Settings!$I$68)*(1-Settings!$I$17))),"")</f>
        <v/>
      </c>
      <c r="R521" s="91">
        <f>IFERROR(IF(OR(I521="",Z521&gt;=1,Settings!$B$17&gt;=1,AN521&gt;=1),"",IF(MOD(ROUND(I521/(1-Z521)/(1-Settings!$B$17)/(1-AN521),0),10)=0,ROUND(I521/(1-Z521)/(1-Settings!$B$17)/(1-AN521),0)-1,IF(MOD(ROUND(I521/(1-Z521)/(1-Settings!$B$17)/(1-AN521),0),10)&lt;=5,FLOOR(ROUND(I521/(1-Z521)/(1-Settings!$B$17)/(1-AN521),0),10)+6,FLOOR(ROUND(I521/(1-Z521)/(1-Settings!$B$17)/(1-AN521),0),10)+9))),"")</f>
        <v/>
      </c>
      <c r="S521" s="174">
        <f>R521*0.95</f>
        <v/>
      </c>
      <c r="T521" s="91">
        <f>IF(S521&lt;&gt;"", IF(MOD(S521,10)=0,S521-1,IF(MOD(S521,10)&lt;=5,FLOOR(S521,10)+6,FLOOR(S521,10)+9)), R521)</f>
        <v/>
      </c>
      <c r="U521" s="87" t="inlineStr">
        <is>
          <t>Основний</t>
        </is>
      </c>
      <c r="V521" s="88" t="n"/>
      <c r="W521" s="88" t="n"/>
      <c r="X521" s="89">
        <f>IFERROR(IF(OR(V521="",W521="",T521=""),"", IF(T521&gt;W521,"Дорогий",IF(T521&lt;V521,"Дешевий","У ринку"))),"")</f>
        <v/>
      </c>
      <c r="Y521" s="90" t="n"/>
      <c r="Z521" s="104">
        <f>CHOOSE(MATCH(IF($U521="","Основний",$U521),{"Трафіковий","Основний","Маржинальний","Сезонний","Стратегічний"},0),0.16,0.19,0.24,0.23,0.28)</f>
        <v/>
      </c>
      <c r="AA521" s="104">
        <f>CHOOSE(MATCH(IF($U521="","Основний",$U521),{"Трафіковий","Основний","Маржинальний","Сезонний","Стратегічний"},0),0.18,0.21,0.26,0.25,0.3)</f>
        <v/>
      </c>
      <c r="AB521" s="104">
        <f>CHOOSE(MATCH(IF($U521="","Основний",$U521),{"Трафіковий","Основний","Маржинальний","Сезонний","Стратегічний"},0),0.19,0.22,0.28,0.26,0.32)</f>
        <v/>
      </c>
      <c r="AC521" s="104">
        <f>CHOOSE(MATCH(IF($U521="","Основний",$U521),{"Трафіковий","Основний","Маржинальний","Сезонний","Стратегічний"},0),0.17,0.2,0.25,0.24,0.28)</f>
        <v/>
      </c>
      <c r="AD521" s="104">
        <f>CHOOSE(MATCH(IF($U521="","Основний",$U521),{"Трафіковий","Основний","Маржинальний","Сезонний","Стратегічний"},0),0.18,0.21,0.26,0.25,0.3)</f>
        <v/>
      </c>
      <c r="AE521" s="104">
        <f>CHOOSE(MATCH(IF($U521="","Основний",$U521),{"Трафіковий","Основний","Маржинальний","Сезонний","Стратегічний"},0),0.18,0.2,0.28,0.27,0.32)</f>
        <v/>
      </c>
      <c r="AF521" s="104">
        <f>CHOOSE(MATCH(IF($U521="","Основний",$U521),{"Трафіковий","Основний","Маржинальний","Сезонний","Стратегічний"},0),0.15,0.175,0.22,0.21,0.25)</f>
        <v/>
      </c>
      <c r="AG521" s="104">
        <f>CHOOSE(MATCH(IF($U521="","Основний",$U521),{"Трафіковий","Основний","Маржинальний","Сезонний","Стратегічний"},0),0.13,0.16,0.21,0.2,0.25)</f>
        <v/>
      </c>
      <c r="AH521" s="104">
        <f>CHOOSE(MATCH(IF($U521="","Основний",$U521),{"Трафіковий","Основний","Маржинальний","Сезонний","Стратегічний"},0),0.15,0.18,0.23,0.22,0.27)</f>
        <v/>
      </c>
      <c r="AI521" s="104">
        <f>CHOOSE(MATCH(IF($U521="","Основний",$U521),{"Трафіковий","Основний","Маржинальний","Сезонний","Стратегічний"},0),0.16,0.19,0.25,0.23,0.29)</f>
        <v/>
      </c>
      <c r="AJ521" s="104">
        <f>CHOOSE(MATCH(IF($U521="","Основний",$U521),{"Трафіковий","Основний","Маржинальний","Сезонний","Стратегічний"},0),0.14,0.17,0.22,0.21,0.25)</f>
        <v/>
      </c>
      <c r="AK521" s="104">
        <f>CHOOSE(MATCH(IF($U521="","Основний",$U521),{"Трафіковий","Основний","Маржинальний","Сезонний","Стратегічний"},0),0.15,0.18,0.23,0.22,0.27)</f>
        <v/>
      </c>
      <c r="AL521" s="104">
        <f>CHOOSE(MATCH(IF($U521="","Основний",$U521),{"Трафіковий","Основний","Маржинальний","Сезонний","Стратегічний"},0),0.15,0.17,0.25,0.24,0.29)</f>
        <v/>
      </c>
      <c r="AM521" s="104">
        <f>CHOOSE(MATCH(IF($U521="","Основний",$U521),{"Трафіковий","Основний","Маржинальний","Сезонний","Стратегічний"},0),0.12,0.145,0.19,0.18,0.22)</f>
        <v/>
      </c>
      <c r="AN521" s="157">
        <f>CHOOSE(MATCH(IF($U521="","Основний",$U521),{"Трафіковий","Основний","Маржинальний","Сезонний","Стратегічний"},0),Settings!$B$78,Settings!$B$80,Settings!$B$82,Settings!$B$84,Settings!$B$86)</f>
        <v/>
      </c>
      <c r="AO521" s="157">
        <f>CHOOSE(MATCH(IF($U521="","Основний",$U521),{"Трафіковий","Основний","Маржинальний","Сезонний","Стратегічний"},0),Settings!$C$78,Settings!$C$80,Settings!$C$82,Settings!$C$84,Settings!$C$86)</f>
        <v/>
      </c>
      <c r="AP521" s="157">
        <f>CHOOSE(MATCH(IF($U521="","Основний",$U521),{"Трафіковий","Основний","Маржинальний","Сезонний","Стратегічний"},0),Settings!$D$78,Settings!$D$80,Settings!$D$82,Settings!$D$84,Settings!$D$86)</f>
        <v/>
      </c>
      <c r="AQ521" s="157">
        <f>CHOOSE(MATCH(IF($U521="","Основний",$U521),{"Трафіковий","Основний","Маржинальний","Сезонний","Стратегічний"},0),Settings!$F$78,Settings!$F$80,Settings!$F$82,Settings!$F$84,Settings!$F$86)</f>
        <v/>
      </c>
      <c r="AR521" s="157">
        <f>CHOOSE(MATCH(IF($U521="","Основний",$U521),{"Трафіковий","Основний","Маржинальний","Сезонний","Стратегічний"},0),Settings!$G$78,Settings!$G$80,Settings!$G$82,Settings!$G$84,Settings!$G$86)</f>
        <v/>
      </c>
      <c r="AS521" s="157">
        <f>CHOOSE(MATCH(IF($U521="","Основний",$U521),{"Трафіковий","Основний","Маржинальний","Сезонний","Стратегічний"},0),Settings!$H$78,Settings!$H$80,Settings!$H$82,Settings!$H$84,Settings!$H$86)</f>
        <v/>
      </c>
      <c r="AT521" s="157">
        <f>CHOOSE(MATCH(IF($U521="","Основний",$U521),{"Трафіковий","Основний","Маржинальний","Сезонний","Стратегічний"},0),Settings!$I$78,Settings!$I$80,Settings!$I$82,Settings!$I$84,Settings!$I$86)</f>
        <v/>
      </c>
      <c r="AU521" s="171" t="n"/>
      <c r="AV521" t="n">
        <v>1.35</v>
      </c>
    </row>
    <row r="522">
      <c r="A522" s="28" t="n"/>
      <c r="B522" s="29" t="inlineStr">
        <is>
          <t>F6210</t>
        </is>
      </c>
      <c r="C522" s="29" t="inlineStr">
        <is>
          <t>INSECT STOP REPAIR TAPE 50×2</t>
        </is>
      </c>
      <c r="D522" s="29" t="inlineStr">
        <is>
          <t>Ізоляціна т а ініші стрічки</t>
        </is>
      </c>
      <c r="E522" s="28" t="inlineStr">
        <is>
          <t>PC</t>
        </is>
      </c>
      <c r="F522" s="93" t="n">
        <v>0.865</v>
      </c>
      <c r="G522" s="30" t="n">
        <v>3919101200</v>
      </c>
      <c r="H522" s="31" t="n">
        <v>1.35</v>
      </c>
      <c r="I522" s="84">
        <f>IFERROR(F522*Settings!$B$2*H522*IF(AND(ISNUMBER(E522),E522&gt;1),E522,1),"")</f>
        <v/>
      </c>
      <c r="J522" s="32">
        <f>Settings!$B$66</f>
        <v/>
      </c>
      <c r="K522" s="95">
        <f>IFERROR(IF(T522="","",(T522*(1-AN522)*(1-Settings!$B$17)-I522)/(T522*(1-AN522)*(1-Settings!$B$17))),"")</f>
        <v/>
      </c>
      <c r="L522" s="101">
        <f>IFERROR(IF(T522="","",(T522*(1-AO522)*(1-Settings!$C$17)-I522)/(T522*(1-AO522)*(1-Settings!$C$17))),"")</f>
        <v/>
      </c>
      <c r="M522" s="101">
        <f>IFERROR(IF(T522="","",(T522*(1-AP522)*(1-Settings!$D$17)-I522)/(T522*(1-AP522)*(1-Settings!$D$17))),"")</f>
        <v/>
      </c>
      <c r="N522" s="101">
        <f>IFERROR(IF(T522="","",(T522*(1-AQ522)*(1-Settings!$F$17)-I522)/(T522*(1-AQ522)*(1-Settings!$F$17))),"")</f>
        <v/>
      </c>
      <c r="O522" s="101">
        <f>IFERROR(IF(T522="","",(T522*(1-AR522)*(1-Settings!$G$17)-I522)/(T522*(1-AR522)*(1-Settings!$G$17))),"")</f>
        <v/>
      </c>
      <c r="P522" s="101">
        <f>IFERROR(IF(T522="","",(T522*(1-AS522)*(1-Settings!$H$17)-I522)/(T522*(1-AS522)*(1-Settings!$H$17))),"")</f>
        <v/>
      </c>
      <c r="Q522" s="101">
        <f>IFERROR(IF(T522="","",(T522*(1-AT522)*(1-Settings!$I$68)*(1-Settings!$I$17)-I522)/(T522*(1-AT522)*(1-Settings!$I$68)*(1-Settings!$I$17))),"")</f>
        <v/>
      </c>
      <c r="R522" s="91">
        <f>IFERROR(IF(OR(I522="",Z522&gt;=1,Settings!$B$17&gt;=1,AN522&gt;=1),"",IF(MOD(ROUND(I522/(1-Z522)/(1-Settings!$B$17)/(1-AN522),0),10)=0,ROUND(I522/(1-Z522)/(1-Settings!$B$17)/(1-AN522),0)-1,IF(MOD(ROUND(I522/(1-Z522)/(1-Settings!$B$17)/(1-AN522),0),10)&lt;=5,FLOOR(ROUND(I522/(1-Z522)/(1-Settings!$B$17)/(1-AN522),0),10)+6,FLOOR(ROUND(I522/(1-Z522)/(1-Settings!$B$17)/(1-AN522),0),10)+9))),"")</f>
        <v/>
      </c>
      <c r="S522" s="174">
        <f>R522*0.95</f>
        <v/>
      </c>
      <c r="T522" s="91">
        <f>IF(S522&lt;&gt;"", IF(MOD(S522,10)=0,S522-1,IF(MOD(S522,10)&lt;=5,FLOOR(S522,10)+6,FLOOR(S522,10)+9)), R522)</f>
        <v/>
      </c>
      <c r="U522" s="87" t="inlineStr">
        <is>
          <t>Основний</t>
        </is>
      </c>
      <c r="V522" s="88" t="n"/>
      <c r="W522" s="88" t="n"/>
      <c r="X522" s="89">
        <f>IFERROR(IF(OR(V522="",W522="",T522=""),"", IF(T522&gt;W522,"Дорогий",IF(T522&lt;V522,"Дешевий","У ринку"))),"")</f>
        <v/>
      </c>
      <c r="Y522" s="90" t="n"/>
      <c r="Z522" s="104">
        <f>CHOOSE(MATCH(IF($U522="","Основний",$U522),{"Трафіковий","Основний","Маржинальний","Сезонний","Стратегічний"},0),0.16,0.19,0.24,0.23,0.28)</f>
        <v/>
      </c>
      <c r="AA522" s="104">
        <f>CHOOSE(MATCH(IF($U522="","Основний",$U522),{"Трафіковий","Основний","Маржинальний","Сезонний","Стратегічний"},0),0.18,0.21,0.26,0.25,0.3)</f>
        <v/>
      </c>
      <c r="AB522" s="104">
        <f>CHOOSE(MATCH(IF($U522="","Основний",$U522),{"Трафіковий","Основний","Маржинальний","Сезонний","Стратегічний"},0),0.19,0.22,0.28,0.26,0.32)</f>
        <v/>
      </c>
      <c r="AC522" s="104">
        <f>CHOOSE(MATCH(IF($U522="","Основний",$U522),{"Трафіковий","Основний","Маржинальний","Сезонний","Стратегічний"},0),0.17,0.2,0.25,0.24,0.28)</f>
        <v/>
      </c>
      <c r="AD522" s="104">
        <f>CHOOSE(MATCH(IF($U522="","Основний",$U522),{"Трафіковий","Основний","Маржинальний","Сезонний","Стратегічний"},0),0.18,0.21,0.26,0.25,0.3)</f>
        <v/>
      </c>
      <c r="AE522" s="104">
        <f>CHOOSE(MATCH(IF($U522="","Основний",$U522),{"Трафіковий","Основний","Маржинальний","Сезонний","Стратегічний"},0),0.18,0.2,0.28,0.27,0.32)</f>
        <v/>
      </c>
      <c r="AF522" s="104">
        <f>CHOOSE(MATCH(IF($U522="","Основний",$U522),{"Трафіковий","Основний","Маржинальний","Сезонний","Стратегічний"},0),0.15,0.175,0.22,0.21,0.25)</f>
        <v/>
      </c>
      <c r="AG522" s="104">
        <f>CHOOSE(MATCH(IF($U522="","Основний",$U522),{"Трафіковий","Основний","Маржинальний","Сезонний","Стратегічний"},0),0.13,0.16,0.21,0.2,0.25)</f>
        <v/>
      </c>
      <c r="AH522" s="104">
        <f>CHOOSE(MATCH(IF($U522="","Основний",$U522),{"Трафіковий","Основний","Маржинальний","Сезонний","Стратегічний"},0),0.15,0.18,0.23,0.22,0.27)</f>
        <v/>
      </c>
      <c r="AI522" s="104">
        <f>CHOOSE(MATCH(IF($U522="","Основний",$U522),{"Трафіковий","Основний","Маржинальний","Сезонний","Стратегічний"},0),0.16,0.19,0.25,0.23,0.29)</f>
        <v/>
      </c>
      <c r="AJ522" s="104">
        <f>CHOOSE(MATCH(IF($U522="","Основний",$U522),{"Трафіковий","Основний","Маржинальний","Сезонний","Стратегічний"},0),0.14,0.17,0.22,0.21,0.25)</f>
        <v/>
      </c>
      <c r="AK522" s="104">
        <f>CHOOSE(MATCH(IF($U522="","Основний",$U522),{"Трафіковий","Основний","Маржинальний","Сезонний","Стратегічний"},0),0.15,0.18,0.23,0.22,0.27)</f>
        <v/>
      </c>
      <c r="AL522" s="104">
        <f>CHOOSE(MATCH(IF($U522="","Основний",$U522),{"Трафіковий","Основний","Маржинальний","Сезонний","Стратегічний"},0),0.15,0.17,0.25,0.24,0.29)</f>
        <v/>
      </c>
      <c r="AM522" s="104">
        <f>CHOOSE(MATCH(IF($U522="","Основний",$U522),{"Трафіковий","Основний","Маржинальний","Сезонний","Стратегічний"},0),0.12,0.145,0.19,0.18,0.22)</f>
        <v/>
      </c>
      <c r="AN522" s="157">
        <f>CHOOSE(MATCH(IF($U522="","Основний",$U522),{"Трафіковий","Основний","Маржинальний","Сезонний","Стратегічний"},0),Settings!$B$78,Settings!$B$80,Settings!$B$82,Settings!$B$84,Settings!$B$86)</f>
        <v/>
      </c>
      <c r="AO522" s="157">
        <f>CHOOSE(MATCH(IF($U522="","Основний",$U522),{"Трафіковий","Основний","Маржинальний","Сезонний","Стратегічний"},0),Settings!$C$78,Settings!$C$80,Settings!$C$82,Settings!$C$84,Settings!$C$86)</f>
        <v/>
      </c>
      <c r="AP522" s="157">
        <f>CHOOSE(MATCH(IF($U522="","Основний",$U522),{"Трафіковий","Основний","Маржинальний","Сезонний","Стратегічний"},0),Settings!$D$78,Settings!$D$80,Settings!$D$82,Settings!$D$84,Settings!$D$86)</f>
        <v/>
      </c>
      <c r="AQ522" s="157">
        <f>CHOOSE(MATCH(IF($U522="","Основний",$U522),{"Трафіковий","Основний","Маржинальний","Сезонний","Стратегічний"},0),Settings!$F$78,Settings!$F$80,Settings!$F$82,Settings!$F$84,Settings!$F$86)</f>
        <v/>
      </c>
      <c r="AR522" s="157">
        <f>CHOOSE(MATCH(IF($U522="","Основний",$U522),{"Трафіковий","Основний","Маржинальний","Сезонний","Стратегічний"},0),Settings!$G$78,Settings!$G$80,Settings!$G$82,Settings!$G$84,Settings!$G$86)</f>
        <v/>
      </c>
      <c r="AS522" s="157">
        <f>CHOOSE(MATCH(IF($U522="","Основний",$U522),{"Трафіковий","Основний","Маржинальний","Сезонний","Стратегічний"},0),Settings!$H$78,Settings!$H$80,Settings!$H$82,Settings!$H$84,Settings!$H$86)</f>
        <v/>
      </c>
      <c r="AT522" s="157">
        <f>CHOOSE(MATCH(IF($U522="","Основний",$U522),{"Трафіковий","Основний","Маржинальний","Сезонний","Стратегічний"},0),Settings!$I$78,Settings!$I$80,Settings!$I$82,Settings!$I$84,Settings!$I$86)</f>
        <v/>
      </c>
      <c r="AU522" s="171" t="n"/>
      <c r="AV522" t="n">
        <v>1.35</v>
      </c>
    </row>
    <row r="523">
      <c r="A523" s="33" t="n"/>
      <c r="B523" s="34" t="inlineStr">
        <is>
          <t>F6301</t>
        </is>
      </c>
      <c r="C523" s="34" t="inlineStr">
        <is>
          <t>DOUBLE SIDE NANOGRID TAPE 19×3</t>
        </is>
      </c>
      <c r="D523" s="34" t="inlineStr">
        <is>
          <t>Ізоляціна т а ініші стрічки</t>
        </is>
      </c>
      <c r="E523" s="33" t="inlineStr">
        <is>
          <t>PC</t>
        </is>
      </c>
      <c r="F523" s="94" t="n">
        <v>0.62</v>
      </c>
      <c r="G523" s="35" t="n">
        <v>3919101200</v>
      </c>
      <c r="H523" s="31" t="n">
        <v>1.35</v>
      </c>
      <c r="I523" s="84">
        <f>IFERROR(F523*Settings!$B$2*H523*IF(AND(ISNUMBER(E523),E523&gt;1),E523,1),"")</f>
        <v/>
      </c>
      <c r="J523" s="32">
        <f>Settings!$B$66</f>
        <v/>
      </c>
      <c r="K523" s="95">
        <f>IFERROR(IF(T523="","",(T523*(1-AN523)*(1-Settings!$B$17)-I523)/(T523*(1-AN523)*(1-Settings!$B$17))),"")</f>
        <v/>
      </c>
      <c r="L523" s="101">
        <f>IFERROR(IF(T523="","",(T523*(1-AO523)*(1-Settings!$C$17)-I523)/(T523*(1-AO523)*(1-Settings!$C$17))),"")</f>
        <v/>
      </c>
      <c r="M523" s="101">
        <f>IFERROR(IF(T523="","",(T523*(1-AP523)*(1-Settings!$D$17)-I523)/(T523*(1-AP523)*(1-Settings!$D$17))),"")</f>
        <v/>
      </c>
      <c r="N523" s="101">
        <f>IFERROR(IF(T523="","",(T523*(1-AQ523)*(1-Settings!$F$17)-I523)/(T523*(1-AQ523)*(1-Settings!$F$17))),"")</f>
        <v/>
      </c>
      <c r="O523" s="101">
        <f>IFERROR(IF(T523="","",(T523*(1-AR523)*(1-Settings!$G$17)-I523)/(T523*(1-AR523)*(1-Settings!$G$17))),"")</f>
        <v/>
      </c>
      <c r="P523" s="101">
        <f>IFERROR(IF(T523="","",(T523*(1-AS523)*(1-Settings!$H$17)-I523)/(T523*(1-AS523)*(1-Settings!$H$17))),"")</f>
        <v/>
      </c>
      <c r="Q523" s="101">
        <f>IFERROR(IF(T523="","",(T523*(1-AT523)*(1-Settings!$I$68)*(1-Settings!$I$17)-I523)/(T523*(1-AT523)*(1-Settings!$I$68)*(1-Settings!$I$17))),"")</f>
        <v/>
      </c>
      <c r="R523" s="91">
        <f>IFERROR(IF(OR(I523="",Z523&gt;=1,Settings!$B$17&gt;=1,AN523&gt;=1),"",IF(MOD(ROUND(I523/(1-Z523)/(1-Settings!$B$17)/(1-AN523),0),10)=0,ROUND(I523/(1-Z523)/(1-Settings!$B$17)/(1-AN523),0)-1,IF(MOD(ROUND(I523/(1-Z523)/(1-Settings!$B$17)/(1-AN523),0),10)&lt;=5,FLOOR(ROUND(I523/(1-Z523)/(1-Settings!$B$17)/(1-AN523),0),10)+6,FLOOR(ROUND(I523/(1-Z523)/(1-Settings!$B$17)/(1-AN523),0),10)+9))),"")</f>
        <v/>
      </c>
      <c r="S523" s="174">
        <f>R523*0.95</f>
        <v/>
      </c>
      <c r="T523" s="91">
        <f>IF(S523&lt;&gt;"", IF(MOD(S523,10)=0,S523-1,IF(MOD(S523,10)&lt;=5,FLOOR(S523,10)+6,FLOOR(S523,10)+9)), R523)</f>
        <v/>
      </c>
      <c r="U523" s="87" t="inlineStr">
        <is>
          <t>Основний</t>
        </is>
      </c>
      <c r="V523" s="88" t="n"/>
      <c r="W523" s="88" t="n"/>
      <c r="X523" s="89">
        <f>IFERROR(IF(OR(V523="",W523="",T523=""),"", IF(T523&gt;W523,"Дорогий",IF(T523&lt;V523,"Дешевий","У ринку"))),"")</f>
        <v/>
      </c>
      <c r="Y523" s="90" t="n"/>
      <c r="Z523" s="104">
        <f>CHOOSE(MATCH(IF($U523="","Основний",$U523),{"Трафіковий","Основний","Маржинальний","Сезонний","Стратегічний"},0),0.16,0.19,0.24,0.23,0.28)</f>
        <v/>
      </c>
      <c r="AA523" s="104">
        <f>CHOOSE(MATCH(IF($U523="","Основний",$U523),{"Трафіковий","Основний","Маржинальний","Сезонний","Стратегічний"},0),0.18,0.21,0.26,0.25,0.3)</f>
        <v/>
      </c>
      <c r="AB523" s="104">
        <f>CHOOSE(MATCH(IF($U523="","Основний",$U523),{"Трафіковий","Основний","Маржинальний","Сезонний","Стратегічний"},0),0.19,0.22,0.28,0.26,0.32)</f>
        <v/>
      </c>
      <c r="AC523" s="104">
        <f>CHOOSE(MATCH(IF($U523="","Основний",$U523),{"Трафіковий","Основний","Маржинальний","Сезонний","Стратегічний"},0),0.17,0.2,0.25,0.24,0.28)</f>
        <v/>
      </c>
      <c r="AD523" s="104">
        <f>CHOOSE(MATCH(IF($U523="","Основний",$U523),{"Трафіковий","Основний","Маржинальний","Сезонний","Стратегічний"},0),0.18,0.21,0.26,0.25,0.3)</f>
        <v/>
      </c>
      <c r="AE523" s="104">
        <f>CHOOSE(MATCH(IF($U523="","Основний",$U523),{"Трафіковий","Основний","Маржинальний","Сезонний","Стратегічний"},0),0.18,0.2,0.28,0.27,0.32)</f>
        <v/>
      </c>
      <c r="AF523" s="104">
        <f>CHOOSE(MATCH(IF($U523="","Основний",$U523),{"Трафіковий","Основний","Маржинальний","Сезонний","Стратегічний"},0),0.15,0.175,0.22,0.21,0.25)</f>
        <v/>
      </c>
      <c r="AG523" s="104">
        <f>CHOOSE(MATCH(IF($U523="","Основний",$U523),{"Трафіковий","Основний","Маржинальний","Сезонний","Стратегічний"},0),0.13,0.16,0.21,0.2,0.25)</f>
        <v/>
      </c>
      <c r="AH523" s="104">
        <f>CHOOSE(MATCH(IF($U523="","Основний",$U523),{"Трафіковий","Основний","Маржинальний","Сезонний","Стратегічний"},0),0.15,0.18,0.23,0.22,0.27)</f>
        <v/>
      </c>
      <c r="AI523" s="104">
        <f>CHOOSE(MATCH(IF($U523="","Основний",$U523),{"Трафіковий","Основний","Маржинальний","Сезонний","Стратегічний"},0),0.16,0.19,0.25,0.23,0.29)</f>
        <v/>
      </c>
      <c r="AJ523" s="104">
        <f>CHOOSE(MATCH(IF($U523="","Основний",$U523),{"Трафіковий","Основний","Маржинальний","Сезонний","Стратегічний"},0),0.14,0.17,0.22,0.21,0.25)</f>
        <v/>
      </c>
      <c r="AK523" s="104">
        <f>CHOOSE(MATCH(IF($U523="","Основний",$U523),{"Трафіковий","Основний","Маржинальний","Сезонний","Стратегічний"},0),0.15,0.18,0.23,0.22,0.27)</f>
        <v/>
      </c>
      <c r="AL523" s="104">
        <f>CHOOSE(MATCH(IF($U523="","Основний",$U523),{"Трафіковий","Основний","Маржинальний","Сезонний","Стратегічний"},0),0.15,0.17,0.25,0.24,0.29)</f>
        <v/>
      </c>
      <c r="AM523" s="104">
        <f>CHOOSE(MATCH(IF($U523="","Основний",$U523),{"Трафіковий","Основний","Маржинальний","Сезонний","Стратегічний"},0),0.12,0.145,0.19,0.18,0.22)</f>
        <v/>
      </c>
      <c r="AN523" s="157">
        <f>CHOOSE(MATCH(IF($U523="","Основний",$U523),{"Трафіковий","Основний","Маржинальний","Сезонний","Стратегічний"},0),Settings!$B$78,Settings!$B$80,Settings!$B$82,Settings!$B$84,Settings!$B$86)</f>
        <v/>
      </c>
      <c r="AO523" s="157">
        <f>CHOOSE(MATCH(IF($U523="","Основний",$U523),{"Трафіковий","Основний","Маржинальний","Сезонний","Стратегічний"},0),Settings!$C$78,Settings!$C$80,Settings!$C$82,Settings!$C$84,Settings!$C$86)</f>
        <v/>
      </c>
      <c r="AP523" s="157">
        <f>CHOOSE(MATCH(IF($U523="","Основний",$U523),{"Трафіковий","Основний","Маржинальний","Сезонний","Стратегічний"},0),Settings!$D$78,Settings!$D$80,Settings!$D$82,Settings!$D$84,Settings!$D$86)</f>
        <v/>
      </c>
      <c r="AQ523" s="157">
        <f>CHOOSE(MATCH(IF($U523="","Основний",$U523),{"Трафіковий","Основний","Маржинальний","Сезонний","Стратегічний"},0),Settings!$F$78,Settings!$F$80,Settings!$F$82,Settings!$F$84,Settings!$F$86)</f>
        <v/>
      </c>
      <c r="AR523" s="157">
        <f>CHOOSE(MATCH(IF($U523="","Основний",$U523),{"Трафіковий","Основний","Маржинальний","Сезонний","Стратегічний"},0),Settings!$G$78,Settings!$G$80,Settings!$G$82,Settings!$G$84,Settings!$G$86)</f>
        <v/>
      </c>
      <c r="AS523" s="157">
        <f>CHOOSE(MATCH(IF($U523="","Основний",$U523),{"Трафіковий","Основний","Маржинальний","Сезонний","Стратегічний"},0),Settings!$H$78,Settings!$H$80,Settings!$H$82,Settings!$H$84,Settings!$H$86)</f>
        <v/>
      </c>
      <c r="AT523" s="157">
        <f>CHOOSE(MATCH(IF($U523="","Основний",$U523),{"Трафіковий","Основний","Маржинальний","Сезонний","Стратегічний"},0),Settings!$I$78,Settings!$I$80,Settings!$I$82,Settings!$I$84,Settings!$I$86)</f>
        <v/>
      </c>
      <c r="AU523" s="171" t="n"/>
      <c r="AV523" t="n">
        <v>1.35</v>
      </c>
    </row>
    <row r="524">
      <c r="A524" s="28" t="n"/>
      <c r="B524" s="29" t="inlineStr">
        <is>
          <t>F6302</t>
        </is>
      </c>
      <c r="C524" s="29" t="inlineStr">
        <is>
          <t>DOUBLE SIDE DUCT TAPE 50×10</t>
        </is>
      </c>
      <c r="D524" s="29" t="inlineStr">
        <is>
          <t>Ізоляціна т а ініші стрічки</t>
        </is>
      </c>
      <c r="E524" s="28" t="inlineStr">
        <is>
          <t>PC</t>
        </is>
      </c>
      <c r="F524" s="93" t="n">
        <v>1.501</v>
      </c>
      <c r="G524" s="30" t="n">
        <v>3919101200</v>
      </c>
      <c r="H524" s="31" t="n">
        <v>1.35</v>
      </c>
      <c r="I524" s="84">
        <f>IFERROR(F524*Settings!$B$2*H524*IF(AND(ISNUMBER(E524),E524&gt;1),E524,1),"")</f>
        <v/>
      </c>
      <c r="J524" s="32">
        <f>Settings!$B$66</f>
        <v/>
      </c>
      <c r="K524" s="95">
        <f>IFERROR(IF(T524="","",(T524*(1-AN524)*(1-Settings!$B$17)-I524)/(T524*(1-AN524)*(1-Settings!$B$17))),"")</f>
        <v/>
      </c>
      <c r="L524" s="101">
        <f>IFERROR(IF(T524="","",(T524*(1-AO524)*(1-Settings!$C$17)-I524)/(T524*(1-AO524)*(1-Settings!$C$17))),"")</f>
        <v/>
      </c>
      <c r="M524" s="101">
        <f>IFERROR(IF(T524="","",(T524*(1-AP524)*(1-Settings!$D$17)-I524)/(T524*(1-AP524)*(1-Settings!$D$17))),"")</f>
        <v/>
      </c>
      <c r="N524" s="101">
        <f>IFERROR(IF(T524="","",(T524*(1-AQ524)*(1-Settings!$F$17)-I524)/(T524*(1-AQ524)*(1-Settings!$F$17))),"")</f>
        <v/>
      </c>
      <c r="O524" s="101">
        <f>IFERROR(IF(T524="","",(T524*(1-AR524)*(1-Settings!$G$17)-I524)/(T524*(1-AR524)*(1-Settings!$G$17))),"")</f>
        <v/>
      </c>
      <c r="P524" s="101">
        <f>IFERROR(IF(T524="","",(T524*(1-AS524)*(1-Settings!$H$17)-I524)/(T524*(1-AS524)*(1-Settings!$H$17))),"")</f>
        <v/>
      </c>
      <c r="Q524" s="101">
        <f>IFERROR(IF(T524="","",(T524*(1-AT524)*(1-Settings!$I$68)*(1-Settings!$I$17)-I524)/(T524*(1-AT524)*(1-Settings!$I$68)*(1-Settings!$I$17))),"")</f>
        <v/>
      </c>
      <c r="R524" s="91">
        <f>IFERROR(IF(OR(I524="",Z524&gt;=1,Settings!$B$17&gt;=1,AN524&gt;=1),"",IF(MOD(ROUND(I524/(1-Z524)/(1-Settings!$B$17)/(1-AN524),0),10)=0,ROUND(I524/(1-Z524)/(1-Settings!$B$17)/(1-AN524),0)-1,IF(MOD(ROUND(I524/(1-Z524)/(1-Settings!$B$17)/(1-AN524),0),10)&lt;=5,FLOOR(ROUND(I524/(1-Z524)/(1-Settings!$B$17)/(1-AN524),0),10)+6,FLOOR(ROUND(I524/(1-Z524)/(1-Settings!$B$17)/(1-AN524),0),10)+9))),"")</f>
        <v/>
      </c>
      <c r="S524" s="174">
        <f>R524*0.95</f>
        <v/>
      </c>
      <c r="T524" s="91">
        <f>IF(S524&lt;&gt;"", IF(MOD(S524,10)=0,S524-1,IF(MOD(S524,10)&lt;=5,FLOOR(S524,10)+6,FLOOR(S524,10)+9)), R524)</f>
        <v/>
      </c>
      <c r="U524" s="87" t="inlineStr">
        <is>
          <t>Основний</t>
        </is>
      </c>
      <c r="V524" s="88" t="n"/>
      <c r="W524" s="88" t="n"/>
      <c r="X524" s="89">
        <f>IFERROR(IF(OR(V524="",W524="",T524=""),"", IF(T524&gt;W524,"Дорогий",IF(T524&lt;V524,"Дешевий","У ринку"))),"")</f>
        <v/>
      </c>
      <c r="Y524" s="90" t="n"/>
      <c r="Z524" s="104">
        <f>CHOOSE(MATCH(IF($U524="","Основний",$U524),{"Трафіковий","Основний","Маржинальний","Сезонний","Стратегічний"},0),0.16,0.19,0.24,0.23,0.28)</f>
        <v/>
      </c>
      <c r="AA524" s="104">
        <f>CHOOSE(MATCH(IF($U524="","Основний",$U524),{"Трафіковий","Основний","Маржинальний","Сезонний","Стратегічний"},0),0.18,0.21,0.26,0.25,0.3)</f>
        <v/>
      </c>
      <c r="AB524" s="104">
        <f>CHOOSE(MATCH(IF($U524="","Основний",$U524),{"Трафіковий","Основний","Маржинальний","Сезонний","Стратегічний"},0),0.19,0.22,0.28,0.26,0.32)</f>
        <v/>
      </c>
      <c r="AC524" s="104">
        <f>CHOOSE(MATCH(IF($U524="","Основний",$U524),{"Трафіковий","Основний","Маржинальний","Сезонний","Стратегічний"},0),0.17,0.2,0.25,0.24,0.28)</f>
        <v/>
      </c>
      <c r="AD524" s="104">
        <f>CHOOSE(MATCH(IF($U524="","Основний",$U524),{"Трафіковий","Основний","Маржинальний","Сезонний","Стратегічний"},0),0.18,0.21,0.26,0.25,0.3)</f>
        <v/>
      </c>
      <c r="AE524" s="104">
        <f>CHOOSE(MATCH(IF($U524="","Основний",$U524),{"Трафіковий","Основний","Маржинальний","Сезонний","Стратегічний"},0),0.18,0.2,0.28,0.27,0.32)</f>
        <v/>
      </c>
      <c r="AF524" s="104">
        <f>CHOOSE(MATCH(IF($U524="","Основний",$U524),{"Трафіковий","Основний","Маржинальний","Сезонний","Стратегічний"},0),0.15,0.175,0.22,0.21,0.25)</f>
        <v/>
      </c>
      <c r="AG524" s="104">
        <f>CHOOSE(MATCH(IF($U524="","Основний",$U524),{"Трафіковий","Основний","Маржинальний","Сезонний","Стратегічний"},0),0.13,0.16,0.21,0.2,0.25)</f>
        <v/>
      </c>
      <c r="AH524" s="104">
        <f>CHOOSE(MATCH(IF($U524="","Основний",$U524),{"Трафіковий","Основний","Маржинальний","Сезонний","Стратегічний"},0),0.15,0.18,0.23,0.22,0.27)</f>
        <v/>
      </c>
      <c r="AI524" s="104">
        <f>CHOOSE(MATCH(IF($U524="","Основний",$U524),{"Трафіковий","Основний","Маржинальний","Сезонний","Стратегічний"},0),0.16,0.19,0.25,0.23,0.29)</f>
        <v/>
      </c>
      <c r="AJ524" s="104">
        <f>CHOOSE(MATCH(IF($U524="","Основний",$U524),{"Трафіковий","Основний","Маржинальний","Сезонний","Стратегічний"},0),0.14,0.17,0.22,0.21,0.25)</f>
        <v/>
      </c>
      <c r="AK524" s="104">
        <f>CHOOSE(MATCH(IF($U524="","Основний",$U524),{"Трафіковий","Основний","Маржинальний","Сезонний","Стратегічний"},0),0.15,0.18,0.23,0.22,0.27)</f>
        <v/>
      </c>
      <c r="AL524" s="104">
        <f>CHOOSE(MATCH(IF($U524="","Основний",$U524),{"Трафіковий","Основний","Маржинальний","Сезонний","Стратегічний"},0),0.15,0.17,0.25,0.24,0.29)</f>
        <v/>
      </c>
      <c r="AM524" s="104">
        <f>CHOOSE(MATCH(IF($U524="","Основний",$U524),{"Трафіковий","Основний","Маржинальний","Сезонний","Стратегічний"},0),0.12,0.145,0.19,0.18,0.22)</f>
        <v/>
      </c>
      <c r="AN524" s="157">
        <f>CHOOSE(MATCH(IF($U524="","Основний",$U524),{"Трафіковий","Основний","Маржинальний","Сезонний","Стратегічний"},0),Settings!$B$78,Settings!$B$80,Settings!$B$82,Settings!$B$84,Settings!$B$86)</f>
        <v/>
      </c>
      <c r="AO524" s="157">
        <f>CHOOSE(MATCH(IF($U524="","Основний",$U524),{"Трафіковий","Основний","Маржинальний","Сезонний","Стратегічний"},0),Settings!$C$78,Settings!$C$80,Settings!$C$82,Settings!$C$84,Settings!$C$86)</f>
        <v/>
      </c>
      <c r="AP524" s="157">
        <f>CHOOSE(MATCH(IF($U524="","Основний",$U524),{"Трафіковий","Основний","Маржинальний","Сезонний","Стратегічний"},0),Settings!$D$78,Settings!$D$80,Settings!$D$82,Settings!$D$84,Settings!$D$86)</f>
        <v/>
      </c>
      <c r="AQ524" s="157">
        <f>CHOOSE(MATCH(IF($U524="","Основний",$U524),{"Трафіковий","Основний","Маржинальний","Сезонний","Стратегічний"},0),Settings!$F$78,Settings!$F$80,Settings!$F$82,Settings!$F$84,Settings!$F$86)</f>
        <v/>
      </c>
      <c r="AR524" s="157">
        <f>CHOOSE(MATCH(IF($U524="","Основний",$U524),{"Трафіковий","Основний","Маржинальний","Сезонний","Стратегічний"},0),Settings!$G$78,Settings!$G$80,Settings!$G$82,Settings!$G$84,Settings!$G$86)</f>
        <v/>
      </c>
      <c r="AS524" s="157">
        <f>CHOOSE(MATCH(IF($U524="","Основний",$U524),{"Трафіковий","Основний","Маржинальний","Сезонний","Стратегічний"},0),Settings!$H$78,Settings!$H$80,Settings!$H$82,Settings!$H$84,Settings!$H$86)</f>
        <v/>
      </c>
      <c r="AT524" s="157">
        <f>CHOOSE(MATCH(IF($U524="","Основний",$U524),{"Трафіковий","Основний","Маржинальний","Сезонний","Стратегічний"},0),Settings!$I$78,Settings!$I$80,Settings!$I$82,Settings!$I$84,Settings!$I$86)</f>
        <v/>
      </c>
      <c r="AU524" s="171" t="n"/>
      <c r="AV524" t="n">
        <v>1.35</v>
      </c>
    </row>
    <row r="525">
      <c r="A525" s="33" t="n"/>
      <c r="B525" s="34" t="inlineStr">
        <is>
          <t>J0685</t>
        </is>
      </c>
      <c r="C525" s="34" t="inlineStr">
        <is>
          <t>ANTENNA UNIVERSAL EM-DIO3</t>
        </is>
      </c>
      <c r="D525" s="34" t="inlineStr">
        <is>
          <t>Антени ТВ</t>
        </is>
      </c>
      <c r="E525" s="33" t="inlineStr">
        <is>
          <t>PC</t>
        </is>
      </c>
      <c r="F525" s="94" t="n">
        <v>9.509</v>
      </c>
      <c r="G525" s="35" t="n">
        <v>8529106590</v>
      </c>
      <c r="H525" s="31" t="n">
        <v>1.4</v>
      </c>
      <c r="I525" s="84">
        <f>IFERROR(F525*Settings!$B$2*H525*IF(AND(ISNUMBER(E525),E525&gt;1),E525,1),"")</f>
        <v/>
      </c>
      <c r="J525" s="32">
        <f>Settings!$B$66</f>
        <v/>
      </c>
      <c r="K525" s="95">
        <f>IFERROR(IF(T525="","",(T525*(1-AN525)*(1-Settings!$B$17)-I525)/(T525*(1-AN525)*(1-Settings!$B$17))),"")</f>
        <v/>
      </c>
      <c r="L525" s="101">
        <f>IFERROR(IF(T525="","",(T525*(1-AO525)*(1-Settings!$C$17)-I525)/(T525*(1-AO525)*(1-Settings!$C$17))),"")</f>
        <v/>
      </c>
      <c r="M525" s="101">
        <f>IFERROR(IF(T525="","",(T525*(1-AP525)*(1-Settings!$D$17)-I525)/(T525*(1-AP525)*(1-Settings!$D$17))),"")</f>
        <v/>
      </c>
      <c r="N525" s="101">
        <f>IFERROR(IF(T525="","",(T525*(1-AQ525)*(1-Settings!$F$17)-I525)/(T525*(1-AQ525)*(1-Settings!$F$17))),"")</f>
        <v/>
      </c>
      <c r="O525" s="101">
        <f>IFERROR(IF(T525="","",(T525*(1-AR525)*(1-Settings!$G$17)-I525)/(T525*(1-AR525)*(1-Settings!$G$17))),"")</f>
        <v/>
      </c>
      <c r="P525" s="101">
        <f>IFERROR(IF(T525="","",(T525*(1-AS525)*(1-Settings!$H$17)-I525)/(T525*(1-AS525)*(1-Settings!$H$17))),"")</f>
        <v/>
      </c>
      <c r="Q525" s="101">
        <f>IFERROR(IF(T525="","",(T525*(1-AT525)*(1-Settings!$I$68)*(1-Settings!$I$17)-I525)/(T525*(1-AT525)*(1-Settings!$I$68)*(1-Settings!$I$17))),"")</f>
        <v/>
      </c>
      <c r="R525" s="91">
        <f>IFERROR(IF(OR(I525="",Z525&gt;=1,Settings!$B$17&gt;=1,AN525&gt;=1),"",IF(MOD(ROUND(I525/(1-Z525)/(1-Settings!$B$17)/(1-AN525),0),10)=0,ROUND(I525/(1-Z525)/(1-Settings!$B$17)/(1-AN525),0)-1,IF(MOD(ROUND(I525/(1-Z525)/(1-Settings!$B$17)/(1-AN525),0),10)&lt;=5,FLOOR(ROUND(I525/(1-Z525)/(1-Settings!$B$17)/(1-AN525),0),10)+6,FLOOR(ROUND(I525/(1-Z525)/(1-Settings!$B$17)/(1-AN525),0),10)+9))),"")</f>
        <v/>
      </c>
      <c r="S525" s="174">
        <f>R525*0.95</f>
        <v/>
      </c>
      <c r="T525" s="91">
        <f>IF(S525&lt;&gt;"", IF(MOD(S525,10)=0,S525-1,IF(MOD(S525,10)&lt;=5,FLOOR(S525,10)+6,FLOOR(S525,10)+9)), R525)</f>
        <v/>
      </c>
      <c r="U525" s="87" t="inlineStr">
        <is>
          <t>Основний</t>
        </is>
      </c>
      <c r="V525" s="88" t="n"/>
      <c r="W525" s="88" t="n"/>
      <c r="X525" s="89">
        <f>IFERROR(IF(OR(V525="",W525="",T525=""),"", IF(T525&gt;W525,"Дорогий",IF(T525&lt;V525,"Дешевий","У ринку"))),"")</f>
        <v/>
      </c>
      <c r="Y525" s="90" t="n"/>
      <c r="Z525" s="104">
        <f>CHOOSE(MATCH(IF($U525="","Основний",$U525),{"Трафіковий","Основний","Маржинальний","Сезонний","Стратегічний"},0),0.16,0.19,0.24,0.23,0.28)</f>
        <v/>
      </c>
      <c r="AA525" s="104">
        <f>CHOOSE(MATCH(IF($U525="","Основний",$U525),{"Трафіковий","Основний","Маржинальний","Сезонний","Стратегічний"},0),0.18,0.21,0.26,0.25,0.3)</f>
        <v/>
      </c>
      <c r="AB525" s="104">
        <f>CHOOSE(MATCH(IF($U525="","Основний",$U525),{"Трафіковий","Основний","Маржинальний","Сезонний","Стратегічний"},0),0.19,0.22,0.28,0.26,0.32)</f>
        <v/>
      </c>
      <c r="AC525" s="104">
        <f>CHOOSE(MATCH(IF($U525="","Основний",$U525),{"Трафіковий","Основний","Маржинальний","Сезонний","Стратегічний"},0),0.17,0.2,0.25,0.24,0.28)</f>
        <v/>
      </c>
      <c r="AD525" s="104">
        <f>CHOOSE(MATCH(IF($U525="","Основний",$U525),{"Трафіковий","Основний","Маржинальний","Сезонний","Стратегічний"},0),0.18,0.21,0.26,0.25,0.3)</f>
        <v/>
      </c>
      <c r="AE525" s="104">
        <f>CHOOSE(MATCH(IF($U525="","Основний",$U525),{"Трафіковий","Основний","Маржинальний","Сезонний","Стратегічний"},0),0.18,0.2,0.28,0.27,0.32)</f>
        <v/>
      </c>
      <c r="AF525" s="104">
        <f>CHOOSE(MATCH(IF($U525="","Основний",$U525),{"Трафіковий","Основний","Маржинальний","Сезонний","Стратегічний"},0),0.15,0.175,0.22,0.21,0.25)</f>
        <v/>
      </c>
      <c r="AG525" s="104">
        <f>CHOOSE(MATCH(IF($U525="","Основний",$U525),{"Трафіковий","Основний","Маржинальний","Сезонний","Стратегічний"},0),0.13,0.16,0.21,0.2,0.25)</f>
        <v/>
      </c>
      <c r="AH525" s="104">
        <f>CHOOSE(MATCH(IF($U525="","Основний",$U525),{"Трафіковий","Основний","Маржинальний","Сезонний","Стратегічний"},0),0.15,0.18,0.23,0.22,0.27)</f>
        <v/>
      </c>
      <c r="AI525" s="104">
        <f>CHOOSE(MATCH(IF($U525="","Основний",$U525),{"Трафіковий","Основний","Маржинальний","Сезонний","Стратегічний"},0),0.16,0.19,0.25,0.23,0.29)</f>
        <v/>
      </c>
      <c r="AJ525" s="104">
        <f>CHOOSE(MATCH(IF($U525="","Основний",$U525),{"Трафіковий","Основний","Маржинальний","Сезонний","Стратегічний"},0),0.14,0.17,0.22,0.21,0.25)</f>
        <v/>
      </c>
      <c r="AK525" s="104">
        <f>CHOOSE(MATCH(IF($U525="","Основний",$U525),{"Трафіковий","Основний","Маржинальний","Сезонний","Стратегічний"},0),0.15,0.18,0.23,0.22,0.27)</f>
        <v/>
      </c>
      <c r="AL525" s="104">
        <f>CHOOSE(MATCH(IF($U525="","Основний",$U525),{"Трафіковий","Основний","Маржинальний","Сезонний","Стратегічний"},0),0.15,0.17,0.25,0.24,0.29)</f>
        <v/>
      </c>
      <c r="AM525" s="104">
        <f>CHOOSE(MATCH(IF($U525="","Основний",$U525),{"Трафіковий","Основний","Маржинальний","Сезонний","Стратегічний"},0),0.12,0.145,0.19,0.18,0.22)</f>
        <v/>
      </c>
      <c r="AN525" s="157">
        <f>CHOOSE(MATCH(IF($U525="","Основний",$U525),{"Трафіковий","Основний","Маржинальний","Сезонний","Стратегічний"},0),Settings!$B$78,Settings!$B$80,Settings!$B$82,Settings!$B$84,Settings!$B$86)</f>
        <v/>
      </c>
      <c r="AO525" s="157">
        <f>CHOOSE(MATCH(IF($U525="","Основний",$U525),{"Трафіковий","Основний","Маржинальний","Сезонний","Стратегічний"},0),Settings!$C$78,Settings!$C$80,Settings!$C$82,Settings!$C$84,Settings!$C$86)</f>
        <v/>
      </c>
      <c r="AP525" s="157">
        <f>CHOOSE(MATCH(IF($U525="","Основний",$U525),{"Трафіковий","Основний","Маржинальний","Сезонний","Стратегічний"},0),Settings!$D$78,Settings!$D$80,Settings!$D$82,Settings!$D$84,Settings!$D$86)</f>
        <v/>
      </c>
      <c r="AQ525" s="157">
        <f>CHOOSE(MATCH(IF($U525="","Основний",$U525),{"Трафіковий","Основний","Маржинальний","Сезонний","Стратегічний"},0),Settings!$F$78,Settings!$F$80,Settings!$F$82,Settings!$F$84,Settings!$F$86)</f>
        <v/>
      </c>
      <c r="AR525" s="157">
        <f>CHOOSE(MATCH(IF($U525="","Основний",$U525),{"Трафіковий","Основний","Маржинальний","Сезонний","Стратегічний"},0),Settings!$G$78,Settings!$G$80,Settings!$G$82,Settings!$G$84,Settings!$G$86)</f>
        <v/>
      </c>
      <c r="AS525" s="157">
        <f>CHOOSE(MATCH(IF($U525="","Основний",$U525),{"Трафіковий","Основний","Маржинальний","Сезонний","Стратегічний"},0),Settings!$H$78,Settings!$H$80,Settings!$H$82,Settings!$H$84,Settings!$H$86)</f>
        <v/>
      </c>
      <c r="AT525" s="157">
        <f>CHOOSE(MATCH(IF($U525="","Основний",$U525),{"Трафіковий","Основний","Маржинальний","Сезонний","Стратегічний"},0),Settings!$I$78,Settings!$I$80,Settings!$I$82,Settings!$I$84,Settings!$I$86)</f>
        <v/>
      </c>
      <c r="AU525" s="171" t="n"/>
      <c r="AV525" t="n">
        <v>1.35</v>
      </c>
    </row>
    <row r="526">
      <c r="A526" s="28" t="n"/>
      <c r="B526" s="29" t="inlineStr">
        <is>
          <t>J0701</t>
        </is>
      </c>
      <c r="C526" s="29" t="inlineStr">
        <is>
          <t>INDOOR ANTENNA CITY RING–C550</t>
        </is>
      </c>
      <c r="D526" s="29" t="inlineStr">
        <is>
          <t>Антени ТВ</t>
        </is>
      </c>
      <c r="E526" s="28" t="inlineStr">
        <is>
          <t>PC</t>
        </is>
      </c>
      <c r="F526" s="93" t="n">
        <v>14.612</v>
      </c>
      <c r="G526" s="30" t="n">
        <v>8529106590</v>
      </c>
      <c r="H526" s="31" t="n">
        <v>1.4</v>
      </c>
      <c r="I526" s="84">
        <f>IFERROR(F526*Settings!$B$2*H526*IF(AND(ISNUMBER(E526),E526&gt;1),E526,1),"")</f>
        <v/>
      </c>
      <c r="J526" s="32">
        <f>Settings!$B$66</f>
        <v/>
      </c>
      <c r="K526" s="95">
        <f>IFERROR(IF(T526="","",(T526*(1-AN526)*(1-Settings!$B$17)-I526)/(T526*(1-AN526)*(1-Settings!$B$17))),"")</f>
        <v/>
      </c>
      <c r="L526" s="101">
        <f>IFERROR(IF(T526="","",(T526*(1-AO526)*(1-Settings!$C$17)-I526)/(T526*(1-AO526)*(1-Settings!$C$17))),"")</f>
        <v/>
      </c>
      <c r="M526" s="101">
        <f>IFERROR(IF(T526="","",(T526*(1-AP526)*(1-Settings!$D$17)-I526)/(T526*(1-AP526)*(1-Settings!$D$17))),"")</f>
        <v/>
      </c>
      <c r="N526" s="101">
        <f>IFERROR(IF(T526="","",(T526*(1-AQ526)*(1-Settings!$F$17)-I526)/(T526*(1-AQ526)*(1-Settings!$F$17))),"")</f>
        <v/>
      </c>
      <c r="O526" s="101">
        <f>IFERROR(IF(T526="","",(T526*(1-AR526)*(1-Settings!$G$17)-I526)/(T526*(1-AR526)*(1-Settings!$G$17))),"")</f>
        <v/>
      </c>
      <c r="P526" s="101">
        <f>IFERROR(IF(T526="","",(T526*(1-AS526)*(1-Settings!$H$17)-I526)/(T526*(1-AS526)*(1-Settings!$H$17))),"")</f>
        <v/>
      </c>
      <c r="Q526" s="101">
        <f>IFERROR(IF(T526="","",(T526*(1-AT526)*(1-Settings!$I$68)*(1-Settings!$I$17)-I526)/(T526*(1-AT526)*(1-Settings!$I$68)*(1-Settings!$I$17))),"")</f>
        <v/>
      </c>
      <c r="R526" s="91">
        <f>IFERROR(IF(OR(I526="",Z526&gt;=1,Settings!$B$17&gt;=1,AN526&gt;=1),"",IF(MOD(ROUND(I526/(1-Z526)/(1-Settings!$B$17)/(1-AN526),0),10)=0,ROUND(I526/(1-Z526)/(1-Settings!$B$17)/(1-AN526),0)-1,IF(MOD(ROUND(I526/(1-Z526)/(1-Settings!$B$17)/(1-AN526),0),10)&lt;=5,FLOOR(ROUND(I526/(1-Z526)/(1-Settings!$B$17)/(1-AN526),0),10)+6,FLOOR(ROUND(I526/(1-Z526)/(1-Settings!$B$17)/(1-AN526),0),10)+9))),"")</f>
        <v/>
      </c>
      <c r="S526" s="174">
        <f>R526*0.95</f>
        <v/>
      </c>
      <c r="T526" s="91">
        <f>IF(S526&lt;&gt;"", IF(MOD(S526,10)=0,S526-1,IF(MOD(S526,10)&lt;=5,FLOOR(S526,10)+6,FLOOR(S526,10)+9)), R526)</f>
        <v/>
      </c>
      <c r="U526" s="87" t="inlineStr">
        <is>
          <t>Основний</t>
        </is>
      </c>
      <c r="V526" s="88" t="n"/>
      <c r="W526" s="88" t="n"/>
      <c r="X526" s="89">
        <f>IFERROR(IF(OR(V526="",W526="",T526=""),"", IF(T526&gt;W526,"Дорогий",IF(T526&lt;V526,"Дешевий","У ринку"))),"")</f>
        <v/>
      </c>
      <c r="Y526" s="90" t="n"/>
      <c r="Z526" s="104">
        <f>CHOOSE(MATCH(IF($U526="","Основний",$U526),{"Трафіковий","Основний","Маржинальний","Сезонний","Стратегічний"},0),0.16,0.19,0.24,0.23,0.28)</f>
        <v/>
      </c>
      <c r="AA526" s="104">
        <f>CHOOSE(MATCH(IF($U526="","Основний",$U526),{"Трафіковий","Основний","Маржинальний","Сезонний","Стратегічний"},0),0.18,0.21,0.26,0.25,0.3)</f>
        <v/>
      </c>
      <c r="AB526" s="104">
        <f>CHOOSE(MATCH(IF($U526="","Основний",$U526),{"Трафіковий","Основний","Маржинальний","Сезонний","Стратегічний"},0),0.19,0.22,0.28,0.26,0.32)</f>
        <v/>
      </c>
      <c r="AC526" s="104">
        <f>CHOOSE(MATCH(IF($U526="","Основний",$U526),{"Трафіковий","Основний","Маржинальний","Сезонний","Стратегічний"},0),0.17,0.2,0.25,0.24,0.28)</f>
        <v/>
      </c>
      <c r="AD526" s="104">
        <f>CHOOSE(MATCH(IF($U526="","Основний",$U526),{"Трафіковий","Основний","Маржинальний","Сезонний","Стратегічний"},0),0.18,0.21,0.26,0.25,0.3)</f>
        <v/>
      </c>
      <c r="AE526" s="104">
        <f>CHOOSE(MATCH(IF($U526="","Основний",$U526),{"Трафіковий","Основний","Маржинальний","Сезонний","Стратегічний"},0),0.18,0.2,0.28,0.27,0.32)</f>
        <v/>
      </c>
      <c r="AF526" s="104">
        <f>CHOOSE(MATCH(IF($U526="","Основний",$U526),{"Трафіковий","Основний","Маржинальний","Сезонний","Стратегічний"},0),0.15,0.175,0.22,0.21,0.25)</f>
        <v/>
      </c>
      <c r="AG526" s="104">
        <f>CHOOSE(MATCH(IF($U526="","Основний",$U526),{"Трафіковий","Основний","Маржинальний","Сезонний","Стратегічний"},0),0.13,0.16,0.21,0.2,0.25)</f>
        <v/>
      </c>
      <c r="AH526" s="104">
        <f>CHOOSE(MATCH(IF($U526="","Основний",$U526),{"Трафіковий","Основний","Маржинальний","Сезонний","Стратегічний"},0),0.15,0.18,0.23,0.22,0.27)</f>
        <v/>
      </c>
      <c r="AI526" s="104">
        <f>CHOOSE(MATCH(IF($U526="","Основний",$U526),{"Трафіковий","Основний","Маржинальний","Сезонний","Стратегічний"},0),0.16,0.19,0.25,0.23,0.29)</f>
        <v/>
      </c>
      <c r="AJ526" s="104">
        <f>CHOOSE(MATCH(IF($U526="","Основний",$U526),{"Трафіковий","Основний","Маржинальний","Сезонний","Стратегічний"},0),0.14,0.17,0.22,0.21,0.25)</f>
        <v/>
      </c>
      <c r="AK526" s="104">
        <f>CHOOSE(MATCH(IF($U526="","Основний",$U526),{"Трафіковий","Основний","Маржинальний","Сезонний","Стратегічний"},0),0.15,0.18,0.23,0.22,0.27)</f>
        <v/>
      </c>
      <c r="AL526" s="104">
        <f>CHOOSE(MATCH(IF($U526="","Основний",$U526),{"Трафіковий","Основний","Маржинальний","Сезонний","Стратегічний"},0),0.15,0.17,0.25,0.24,0.29)</f>
        <v/>
      </c>
      <c r="AM526" s="104">
        <f>CHOOSE(MATCH(IF($U526="","Основний",$U526),{"Трафіковий","Основний","Маржинальний","Сезонний","Стратегічний"},0),0.12,0.145,0.19,0.18,0.22)</f>
        <v/>
      </c>
      <c r="AN526" s="157">
        <f>CHOOSE(MATCH(IF($U526="","Основний",$U526),{"Трафіковий","Основний","Маржинальний","Сезонний","Стратегічний"},0),Settings!$B$78,Settings!$B$80,Settings!$B$82,Settings!$B$84,Settings!$B$86)</f>
        <v/>
      </c>
      <c r="AO526" s="157">
        <f>CHOOSE(MATCH(IF($U526="","Основний",$U526),{"Трафіковий","Основний","Маржинальний","Сезонний","Стратегічний"},0),Settings!$C$78,Settings!$C$80,Settings!$C$82,Settings!$C$84,Settings!$C$86)</f>
        <v/>
      </c>
      <c r="AP526" s="157">
        <f>CHOOSE(MATCH(IF($U526="","Основний",$U526),{"Трафіковий","Основний","Маржинальний","Сезонний","Стратегічний"},0),Settings!$D$78,Settings!$D$80,Settings!$D$82,Settings!$D$84,Settings!$D$86)</f>
        <v/>
      </c>
      <c r="AQ526" s="157">
        <f>CHOOSE(MATCH(IF($U526="","Основний",$U526),{"Трафіковий","Основний","Маржинальний","Сезонний","Стратегічний"},0),Settings!$F$78,Settings!$F$80,Settings!$F$82,Settings!$F$84,Settings!$F$86)</f>
        <v/>
      </c>
      <c r="AR526" s="157">
        <f>CHOOSE(MATCH(IF($U526="","Основний",$U526),{"Трафіковий","Основний","Маржинальний","Сезонний","Стратегічний"},0),Settings!$G$78,Settings!$G$80,Settings!$G$82,Settings!$G$84,Settings!$G$86)</f>
        <v/>
      </c>
      <c r="AS526" s="157">
        <f>CHOOSE(MATCH(IF($U526="","Основний",$U526),{"Трафіковий","Основний","Маржинальний","Сезонний","Стратегічний"},0),Settings!$H$78,Settings!$H$80,Settings!$H$82,Settings!$H$84,Settings!$H$86)</f>
        <v/>
      </c>
      <c r="AT526" s="157">
        <f>CHOOSE(MATCH(IF($U526="","Основний",$U526),{"Трафіковий","Основний","Маржинальний","Сезонний","Стратегічний"},0),Settings!$I$78,Settings!$I$80,Settings!$I$82,Settings!$I$84,Settings!$I$86)</f>
        <v/>
      </c>
      <c r="AU526" s="171" t="n"/>
      <c r="AV526" t="n">
        <v>1.35</v>
      </c>
    </row>
    <row r="527">
      <c r="A527" s="33" t="n"/>
      <c r="B527" s="34" t="inlineStr">
        <is>
          <t>J0703</t>
        </is>
      </c>
      <c r="C527" s="34" t="inlineStr">
        <is>
          <t>INDOOR ANTENNA CITY ARCH–C200</t>
        </is>
      </c>
      <c r="D527" s="34" t="inlineStr">
        <is>
          <t>Антени ТВ</t>
        </is>
      </c>
      <c r="E527" s="33" t="inlineStr">
        <is>
          <t>PC</t>
        </is>
      </c>
      <c r="F527" s="94" t="n">
        <v>10.796</v>
      </c>
      <c r="G527" s="35" t="n">
        <v>8529106590</v>
      </c>
      <c r="H527" s="31" t="n">
        <v>1.4</v>
      </c>
      <c r="I527" s="84">
        <f>IFERROR(F527*Settings!$B$2*H527*IF(AND(ISNUMBER(E527),E527&gt;1),E527,1),"")</f>
        <v/>
      </c>
      <c r="J527" s="32">
        <f>Settings!$B$66</f>
        <v/>
      </c>
      <c r="K527" s="95">
        <f>IFERROR(IF(T527="","",(T527*(1-AN527)*(1-Settings!$B$17)-I527)/(T527*(1-AN527)*(1-Settings!$B$17))),"")</f>
        <v/>
      </c>
      <c r="L527" s="101">
        <f>IFERROR(IF(T527="","",(T527*(1-AO527)*(1-Settings!$C$17)-I527)/(T527*(1-AO527)*(1-Settings!$C$17))),"")</f>
        <v/>
      </c>
      <c r="M527" s="101">
        <f>IFERROR(IF(T527="","",(T527*(1-AP527)*(1-Settings!$D$17)-I527)/(T527*(1-AP527)*(1-Settings!$D$17))),"")</f>
        <v/>
      </c>
      <c r="N527" s="101">
        <f>IFERROR(IF(T527="","",(T527*(1-AQ527)*(1-Settings!$F$17)-I527)/(T527*(1-AQ527)*(1-Settings!$F$17))),"")</f>
        <v/>
      </c>
      <c r="O527" s="101">
        <f>IFERROR(IF(T527="","",(T527*(1-AR527)*(1-Settings!$G$17)-I527)/(T527*(1-AR527)*(1-Settings!$G$17))),"")</f>
        <v/>
      </c>
      <c r="P527" s="101">
        <f>IFERROR(IF(T527="","",(T527*(1-AS527)*(1-Settings!$H$17)-I527)/(T527*(1-AS527)*(1-Settings!$H$17))),"")</f>
        <v/>
      </c>
      <c r="Q527" s="101">
        <f>IFERROR(IF(T527="","",(T527*(1-AT527)*(1-Settings!$I$68)*(1-Settings!$I$17)-I527)/(T527*(1-AT527)*(1-Settings!$I$68)*(1-Settings!$I$17))),"")</f>
        <v/>
      </c>
      <c r="R527" s="91">
        <f>IFERROR(IF(OR(I527="",Z527&gt;=1,Settings!$B$17&gt;=1,AN527&gt;=1),"",IF(MOD(ROUND(I527/(1-Z527)/(1-Settings!$B$17)/(1-AN527),0),10)=0,ROUND(I527/(1-Z527)/(1-Settings!$B$17)/(1-AN527),0)-1,IF(MOD(ROUND(I527/(1-Z527)/(1-Settings!$B$17)/(1-AN527),0),10)&lt;=5,FLOOR(ROUND(I527/(1-Z527)/(1-Settings!$B$17)/(1-AN527),0),10)+6,FLOOR(ROUND(I527/(1-Z527)/(1-Settings!$B$17)/(1-AN527),0),10)+9))),"")</f>
        <v/>
      </c>
      <c r="S527" s="174">
        <f>R527*0.95</f>
        <v/>
      </c>
      <c r="T527" s="91">
        <f>IF(S527&lt;&gt;"", IF(MOD(S527,10)=0,S527-1,IF(MOD(S527,10)&lt;=5,FLOOR(S527,10)+6,FLOOR(S527,10)+9)), R527)</f>
        <v/>
      </c>
      <c r="U527" s="87" t="inlineStr">
        <is>
          <t>Основний</t>
        </is>
      </c>
      <c r="V527" s="88" t="n"/>
      <c r="W527" s="88" t="n"/>
      <c r="X527" s="89">
        <f>IFERROR(IF(OR(V527="",W527="",T527=""),"", IF(T527&gt;W527,"Дорогий",IF(T527&lt;V527,"Дешевий","У ринку"))),"")</f>
        <v/>
      </c>
      <c r="Y527" s="90" t="n"/>
      <c r="Z527" s="104">
        <f>CHOOSE(MATCH(IF($U527="","Основний",$U527),{"Трафіковий","Основний","Маржинальний","Сезонний","Стратегічний"},0),0.16,0.19,0.24,0.23,0.28)</f>
        <v/>
      </c>
      <c r="AA527" s="104">
        <f>CHOOSE(MATCH(IF($U527="","Основний",$U527),{"Трафіковий","Основний","Маржинальний","Сезонний","Стратегічний"},0),0.18,0.21,0.26,0.25,0.3)</f>
        <v/>
      </c>
      <c r="AB527" s="104">
        <f>CHOOSE(MATCH(IF($U527="","Основний",$U527),{"Трафіковий","Основний","Маржинальний","Сезонний","Стратегічний"},0),0.19,0.22,0.28,0.26,0.32)</f>
        <v/>
      </c>
      <c r="AC527" s="104">
        <f>CHOOSE(MATCH(IF($U527="","Основний",$U527),{"Трафіковий","Основний","Маржинальний","Сезонний","Стратегічний"},0),0.17,0.2,0.25,0.24,0.28)</f>
        <v/>
      </c>
      <c r="AD527" s="104">
        <f>CHOOSE(MATCH(IF($U527="","Основний",$U527),{"Трафіковий","Основний","Маржинальний","Сезонний","Стратегічний"},0),0.18,0.21,0.26,0.25,0.3)</f>
        <v/>
      </c>
      <c r="AE527" s="104">
        <f>CHOOSE(MATCH(IF($U527="","Основний",$U527),{"Трафіковий","Основний","Маржинальний","Сезонний","Стратегічний"},0),0.18,0.2,0.28,0.27,0.32)</f>
        <v/>
      </c>
      <c r="AF527" s="104">
        <f>CHOOSE(MATCH(IF($U527="","Основний",$U527),{"Трафіковий","Основний","Маржинальний","Сезонний","Стратегічний"},0),0.15,0.175,0.22,0.21,0.25)</f>
        <v/>
      </c>
      <c r="AG527" s="104">
        <f>CHOOSE(MATCH(IF($U527="","Основний",$U527),{"Трафіковий","Основний","Маржинальний","Сезонний","Стратегічний"},0),0.13,0.16,0.21,0.2,0.25)</f>
        <v/>
      </c>
      <c r="AH527" s="104">
        <f>CHOOSE(MATCH(IF($U527="","Основний",$U527),{"Трафіковий","Основний","Маржинальний","Сезонний","Стратегічний"},0),0.15,0.18,0.23,0.22,0.27)</f>
        <v/>
      </c>
      <c r="AI527" s="104">
        <f>CHOOSE(MATCH(IF($U527="","Основний",$U527),{"Трафіковий","Основний","Маржинальний","Сезонний","Стратегічний"},0),0.16,0.19,0.25,0.23,0.29)</f>
        <v/>
      </c>
      <c r="AJ527" s="104">
        <f>CHOOSE(MATCH(IF($U527="","Основний",$U527),{"Трафіковий","Основний","Маржинальний","Сезонний","Стратегічний"},0),0.14,0.17,0.22,0.21,0.25)</f>
        <v/>
      </c>
      <c r="AK527" s="104">
        <f>CHOOSE(MATCH(IF($U527="","Основний",$U527),{"Трафіковий","Основний","Маржинальний","Сезонний","Стратегічний"},0),0.15,0.18,0.23,0.22,0.27)</f>
        <v/>
      </c>
      <c r="AL527" s="104">
        <f>CHOOSE(MATCH(IF($U527="","Основний",$U527),{"Трафіковий","Основний","Маржинальний","Сезонний","Стратегічний"},0),0.15,0.17,0.25,0.24,0.29)</f>
        <v/>
      </c>
      <c r="AM527" s="104">
        <f>CHOOSE(MATCH(IF($U527="","Основний",$U527),{"Трафіковий","Основний","Маржинальний","Сезонний","Стратегічний"},0),0.12,0.145,0.19,0.18,0.22)</f>
        <v/>
      </c>
      <c r="AN527" s="157">
        <f>CHOOSE(MATCH(IF($U527="","Основний",$U527),{"Трафіковий","Основний","Маржинальний","Сезонний","Стратегічний"},0),Settings!$B$78,Settings!$B$80,Settings!$B$82,Settings!$B$84,Settings!$B$86)</f>
        <v/>
      </c>
      <c r="AO527" s="157">
        <f>CHOOSE(MATCH(IF($U527="","Основний",$U527),{"Трафіковий","Основний","Маржинальний","Сезонний","Стратегічний"},0),Settings!$C$78,Settings!$C$80,Settings!$C$82,Settings!$C$84,Settings!$C$86)</f>
        <v/>
      </c>
      <c r="AP527" s="157">
        <f>CHOOSE(MATCH(IF($U527="","Основний",$U527),{"Трафіковий","Основний","Маржинальний","Сезонний","Стратегічний"},0),Settings!$D$78,Settings!$D$80,Settings!$D$82,Settings!$D$84,Settings!$D$86)</f>
        <v/>
      </c>
      <c r="AQ527" s="157">
        <f>CHOOSE(MATCH(IF($U527="","Основний",$U527),{"Трафіковий","Основний","Маржинальний","Сезонний","Стратегічний"},0),Settings!$F$78,Settings!$F$80,Settings!$F$82,Settings!$F$84,Settings!$F$86)</f>
        <v/>
      </c>
      <c r="AR527" s="157">
        <f>CHOOSE(MATCH(IF($U527="","Основний",$U527),{"Трафіковий","Основний","Маржинальний","Сезонний","Стратегічний"},0),Settings!$G$78,Settings!$G$80,Settings!$G$82,Settings!$G$84,Settings!$G$86)</f>
        <v/>
      </c>
      <c r="AS527" s="157">
        <f>CHOOSE(MATCH(IF($U527="","Основний",$U527),{"Трафіковий","Основний","Маржинальний","Сезонний","Стратегічний"},0),Settings!$H$78,Settings!$H$80,Settings!$H$82,Settings!$H$84,Settings!$H$86)</f>
        <v/>
      </c>
      <c r="AT527" s="157">
        <f>CHOOSE(MATCH(IF($U527="","Основний",$U527),{"Трафіковий","Основний","Маржинальний","Сезонний","Стратегічний"},0),Settings!$I$78,Settings!$I$80,Settings!$I$82,Settings!$I$84,Settings!$I$86)</f>
        <v/>
      </c>
      <c r="AU527" s="171" t="n"/>
      <c r="AV527" t="n">
        <v>1.35</v>
      </c>
    </row>
    <row r="528">
      <c r="A528" s="28" t="inlineStr">
        <is>
          <t>NEW</t>
        </is>
      </c>
      <c r="B528" s="29" t="inlineStr">
        <is>
          <t>J0704</t>
        </is>
      </c>
      <c r="C528" s="29" t="inlineStr">
        <is>
          <t>INDOOR ANTENNA CITY RING–C500</t>
        </is>
      </c>
      <c r="D528" s="29" t="inlineStr">
        <is>
          <t>Антени ТВ</t>
        </is>
      </c>
      <c r="E528" s="28" t="inlineStr">
        <is>
          <t>PC</t>
        </is>
      </c>
      <c r="F528" s="93" t="n">
        <v>11.217</v>
      </c>
      <c r="G528" s="30" t="n">
        <v>8529106590</v>
      </c>
      <c r="H528" s="31" t="n">
        <v>1.4</v>
      </c>
      <c r="I528" s="84">
        <f>IFERROR(F528*Settings!$B$2*H528*IF(AND(ISNUMBER(E528),E528&gt;1),E528,1),"")</f>
        <v/>
      </c>
      <c r="J528" s="32">
        <f>Settings!$B$66</f>
        <v/>
      </c>
      <c r="K528" s="95">
        <f>IFERROR(IF(T528="","",(T528*(1-AN528)*(1-Settings!$B$17)-I528)/(T528*(1-AN528)*(1-Settings!$B$17))),"")</f>
        <v/>
      </c>
      <c r="L528" s="101">
        <f>IFERROR(IF(T528="","",(T528*(1-AO528)*(1-Settings!$C$17)-I528)/(T528*(1-AO528)*(1-Settings!$C$17))),"")</f>
        <v/>
      </c>
      <c r="M528" s="101">
        <f>IFERROR(IF(T528="","",(T528*(1-AP528)*(1-Settings!$D$17)-I528)/(T528*(1-AP528)*(1-Settings!$D$17))),"")</f>
        <v/>
      </c>
      <c r="N528" s="101">
        <f>IFERROR(IF(T528="","",(T528*(1-AQ528)*(1-Settings!$F$17)-I528)/(T528*(1-AQ528)*(1-Settings!$F$17))),"")</f>
        <v/>
      </c>
      <c r="O528" s="101">
        <f>IFERROR(IF(T528="","",(T528*(1-AR528)*(1-Settings!$G$17)-I528)/(T528*(1-AR528)*(1-Settings!$G$17))),"")</f>
        <v/>
      </c>
      <c r="P528" s="101">
        <f>IFERROR(IF(T528="","",(T528*(1-AS528)*(1-Settings!$H$17)-I528)/(T528*(1-AS528)*(1-Settings!$H$17))),"")</f>
        <v/>
      </c>
      <c r="Q528" s="101">
        <f>IFERROR(IF(T528="","",(T528*(1-AT528)*(1-Settings!$I$68)*(1-Settings!$I$17)-I528)/(T528*(1-AT528)*(1-Settings!$I$68)*(1-Settings!$I$17))),"")</f>
        <v/>
      </c>
      <c r="R528" s="91">
        <f>IFERROR(IF(OR(I528="",Z528&gt;=1,Settings!$B$17&gt;=1,AN528&gt;=1),"",IF(MOD(ROUND(I528/(1-Z528)/(1-Settings!$B$17)/(1-AN528),0),10)=0,ROUND(I528/(1-Z528)/(1-Settings!$B$17)/(1-AN528),0)-1,IF(MOD(ROUND(I528/(1-Z528)/(1-Settings!$B$17)/(1-AN528),0),10)&lt;=5,FLOOR(ROUND(I528/(1-Z528)/(1-Settings!$B$17)/(1-AN528),0),10)+6,FLOOR(ROUND(I528/(1-Z528)/(1-Settings!$B$17)/(1-AN528),0),10)+9))),"")</f>
        <v/>
      </c>
      <c r="S528" s="174">
        <f>R528*0.95</f>
        <v/>
      </c>
      <c r="T528" s="91">
        <f>IF(S528&lt;&gt;"", IF(MOD(S528,10)=0,S528-1,IF(MOD(S528,10)&lt;=5,FLOOR(S528,10)+6,FLOOR(S528,10)+9)), R528)</f>
        <v/>
      </c>
      <c r="U528" s="87" t="inlineStr">
        <is>
          <t>Основний</t>
        </is>
      </c>
      <c r="V528" s="88" t="n"/>
      <c r="W528" s="88" t="n"/>
      <c r="X528" s="89">
        <f>IFERROR(IF(OR(V528="",W528="",T528=""),"", IF(T528&gt;W528,"Дорогий",IF(T528&lt;V528,"Дешевий","У ринку"))),"")</f>
        <v/>
      </c>
      <c r="Y528" s="90" t="n"/>
      <c r="Z528" s="104">
        <f>CHOOSE(MATCH(IF($U528="","Основний",$U528),{"Трафіковий","Основний","Маржинальний","Сезонний","Стратегічний"},0),0.16,0.19,0.24,0.23,0.28)</f>
        <v/>
      </c>
      <c r="AA528" s="104">
        <f>CHOOSE(MATCH(IF($U528="","Основний",$U528),{"Трафіковий","Основний","Маржинальний","Сезонний","Стратегічний"},0),0.18,0.21,0.26,0.25,0.3)</f>
        <v/>
      </c>
      <c r="AB528" s="104">
        <f>CHOOSE(MATCH(IF($U528="","Основний",$U528),{"Трафіковий","Основний","Маржинальний","Сезонний","Стратегічний"},0),0.19,0.22,0.28,0.26,0.32)</f>
        <v/>
      </c>
      <c r="AC528" s="104">
        <f>CHOOSE(MATCH(IF($U528="","Основний",$U528),{"Трафіковий","Основний","Маржинальний","Сезонний","Стратегічний"},0),0.17,0.2,0.25,0.24,0.28)</f>
        <v/>
      </c>
      <c r="AD528" s="104">
        <f>CHOOSE(MATCH(IF($U528="","Основний",$U528),{"Трафіковий","Основний","Маржинальний","Сезонний","Стратегічний"},0),0.18,0.21,0.26,0.25,0.3)</f>
        <v/>
      </c>
      <c r="AE528" s="104">
        <f>CHOOSE(MATCH(IF($U528="","Основний",$U528),{"Трафіковий","Основний","Маржинальний","Сезонний","Стратегічний"},0),0.18,0.2,0.28,0.27,0.32)</f>
        <v/>
      </c>
      <c r="AF528" s="104">
        <f>CHOOSE(MATCH(IF($U528="","Основний",$U528),{"Трафіковий","Основний","Маржинальний","Сезонний","Стратегічний"},0),0.15,0.175,0.22,0.21,0.25)</f>
        <v/>
      </c>
      <c r="AG528" s="104">
        <f>CHOOSE(MATCH(IF($U528="","Основний",$U528),{"Трафіковий","Основний","Маржинальний","Сезонний","Стратегічний"},0),0.13,0.16,0.21,0.2,0.25)</f>
        <v/>
      </c>
      <c r="AH528" s="104">
        <f>CHOOSE(MATCH(IF($U528="","Основний",$U528),{"Трафіковий","Основний","Маржинальний","Сезонний","Стратегічний"},0),0.15,0.18,0.23,0.22,0.27)</f>
        <v/>
      </c>
      <c r="AI528" s="104">
        <f>CHOOSE(MATCH(IF($U528="","Основний",$U528),{"Трафіковий","Основний","Маржинальний","Сезонний","Стратегічний"},0),0.16,0.19,0.25,0.23,0.29)</f>
        <v/>
      </c>
      <c r="AJ528" s="104">
        <f>CHOOSE(MATCH(IF($U528="","Основний",$U528),{"Трафіковий","Основний","Маржинальний","Сезонний","Стратегічний"},0),0.14,0.17,0.22,0.21,0.25)</f>
        <v/>
      </c>
      <c r="AK528" s="104">
        <f>CHOOSE(MATCH(IF($U528="","Основний",$U528),{"Трафіковий","Основний","Маржинальний","Сезонний","Стратегічний"},0),0.15,0.18,0.23,0.22,0.27)</f>
        <v/>
      </c>
      <c r="AL528" s="104">
        <f>CHOOSE(MATCH(IF($U528="","Основний",$U528),{"Трафіковий","Основний","Маржинальний","Сезонний","Стратегічний"},0),0.15,0.17,0.25,0.24,0.29)</f>
        <v/>
      </c>
      <c r="AM528" s="104">
        <f>CHOOSE(MATCH(IF($U528="","Основний",$U528),{"Трафіковий","Основний","Маржинальний","Сезонний","Стратегічний"},0),0.12,0.145,0.19,0.18,0.22)</f>
        <v/>
      </c>
      <c r="AN528" s="157">
        <f>CHOOSE(MATCH(IF($U528="","Основний",$U528),{"Трафіковий","Основний","Маржинальний","Сезонний","Стратегічний"},0),Settings!$B$78,Settings!$B$80,Settings!$B$82,Settings!$B$84,Settings!$B$86)</f>
        <v/>
      </c>
      <c r="AO528" s="157">
        <f>CHOOSE(MATCH(IF($U528="","Основний",$U528),{"Трафіковий","Основний","Маржинальний","Сезонний","Стратегічний"},0),Settings!$C$78,Settings!$C$80,Settings!$C$82,Settings!$C$84,Settings!$C$86)</f>
        <v/>
      </c>
      <c r="AP528" s="157">
        <f>CHOOSE(MATCH(IF($U528="","Основний",$U528),{"Трафіковий","Основний","Маржинальний","Сезонний","Стратегічний"},0),Settings!$D$78,Settings!$D$80,Settings!$D$82,Settings!$D$84,Settings!$D$86)</f>
        <v/>
      </c>
      <c r="AQ528" s="157">
        <f>CHOOSE(MATCH(IF($U528="","Основний",$U528),{"Трафіковий","Основний","Маржинальний","Сезонний","Стратегічний"},0),Settings!$F$78,Settings!$F$80,Settings!$F$82,Settings!$F$84,Settings!$F$86)</f>
        <v/>
      </c>
      <c r="AR528" s="157">
        <f>CHOOSE(MATCH(IF($U528="","Основний",$U528),{"Трафіковий","Основний","Маржинальний","Сезонний","Стратегічний"},0),Settings!$G$78,Settings!$G$80,Settings!$G$82,Settings!$G$84,Settings!$G$86)</f>
        <v/>
      </c>
      <c r="AS528" s="157">
        <f>CHOOSE(MATCH(IF($U528="","Основний",$U528),{"Трафіковий","Основний","Маржинальний","Сезонний","Стратегічний"},0),Settings!$H$78,Settings!$H$80,Settings!$H$82,Settings!$H$84,Settings!$H$86)</f>
        <v/>
      </c>
      <c r="AT528" s="157">
        <f>CHOOSE(MATCH(IF($U528="","Основний",$U528),{"Трафіковий","Основний","Маржинальний","Сезонний","Стратегічний"},0),Settings!$I$78,Settings!$I$80,Settings!$I$82,Settings!$I$84,Settings!$I$86)</f>
        <v/>
      </c>
      <c r="AU528" s="171" t="n"/>
      <c r="AV528" t="n">
        <v>1.35</v>
      </c>
    </row>
    <row r="529">
      <c r="A529" s="33" t="n"/>
      <c r="B529" s="34" t="inlineStr">
        <is>
          <t>J0705</t>
        </is>
      </c>
      <c r="C529" s="34" t="inlineStr">
        <is>
          <t>INDOOR ANTENNA CITY ORBI–C200</t>
        </is>
      </c>
      <c r="D529" s="34" t="inlineStr">
        <is>
          <t>Антени ТВ</t>
        </is>
      </c>
      <c r="E529" s="33" t="inlineStr">
        <is>
          <t>PC</t>
        </is>
      </c>
      <c r="F529" s="94" t="n">
        <v>10.582</v>
      </c>
      <c r="G529" s="35" t="n">
        <v>8529106590</v>
      </c>
      <c r="H529" s="31" t="n">
        <v>1.4</v>
      </c>
      <c r="I529" s="84">
        <f>IFERROR(F529*Settings!$B$2*H529*IF(AND(ISNUMBER(E529),E529&gt;1),E529,1),"")</f>
        <v/>
      </c>
      <c r="J529" s="32">
        <f>Settings!$B$66</f>
        <v/>
      </c>
      <c r="K529" s="95">
        <f>IFERROR(IF(T529="","",(T529*(1-AN529)*(1-Settings!$B$17)-I529)/(T529*(1-AN529)*(1-Settings!$B$17))),"")</f>
        <v/>
      </c>
      <c r="L529" s="101">
        <f>IFERROR(IF(T529="","",(T529*(1-AO529)*(1-Settings!$C$17)-I529)/(T529*(1-AO529)*(1-Settings!$C$17))),"")</f>
        <v/>
      </c>
      <c r="M529" s="101">
        <f>IFERROR(IF(T529="","",(T529*(1-AP529)*(1-Settings!$D$17)-I529)/(T529*(1-AP529)*(1-Settings!$D$17))),"")</f>
        <v/>
      </c>
      <c r="N529" s="101">
        <f>IFERROR(IF(T529="","",(T529*(1-AQ529)*(1-Settings!$F$17)-I529)/(T529*(1-AQ529)*(1-Settings!$F$17))),"")</f>
        <v/>
      </c>
      <c r="O529" s="101">
        <f>IFERROR(IF(T529="","",(T529*(1-AR529)*(1-Settings!$G$17)-I529)/(T529*(1-AR529)*(1-Settings!$G$17))),"")</f>
        <v/>
      </c>
      <c r="P529" s="101">
        <f>IFERROR(IF(T529="","",(T529*(1-AS529)*(1-Settings!$H$17)-I529)/(T529*(1-AS529)*(1-Settings!$H$17))),"")</f>
        <v/>
      </c>
      <c r="Q529" s="101">
        <f>IFERROR(IF(T529="","",(T529*(1-AT529)*(1-Settings!$I$68)*(1-Settings!$I$17)-I529)/(T529*(1-AT529)*(1-Settings!$I$68)*(1-Settings!$I$17))),"")</f>
        <v/>
      </c>
      <c r="R529" s="91">
        <f>IFERROR(IF(OR(I529="",Z529&gt;=1,Settings!$B$17&gt;=1,AN529&gt;=1),"",IF(MOD(ROUND(I529/(1-Z529)/(1-Settings!$B$17)/(1-AN529),0),10)=0,ROUND(I529/(1-Z529)/(1-Settings!$B$17)/(1-AN529),0)-1,IF(MOD(ROUND(I529/(1-Z529)/(1-Settings!$B$17)/(1-AN529),0),10)&lt;=5,FLOOR(ROUND(I529/(1-Z529)/(1-Settings!$B$17)/(1-AN529),0),10)+6,FLOOR(ROUND(I529/(1-Z529)/(1-Settings!$B$17)/(1-AN529),0),10)+9))),"")</f>
        <v/>
      </c>
      <c r="S529" s="174">
        <f>R529*0.95</f>
        <v/>
      </c>
      <c r="T529" s="91">
        <f>IF(S529&lt;&gt;"", IF(MOD(S529,10)=0,S529-1,IF(MOD(S529,10)&lt;=5,FLOOR(S529,10)+6,FLOOR(S529,10)+9)), R529)</f>
        <v/>
      </c>
      <c r="U529" s="87" t="inlineStr">
        <is>
          <t>Основний</t>
        </is>
      </c>
      <c r="V529" s="88" t="n"/>
      <c r="W529" s="88" t="n"/>
      <c r="X529" s="89">
        <f>IFERROR(IF(OR(V529="",W529="",T529=""),"", IF(T529&gt;W529,"Дорогий",IF(T529&lt;V529,"Дешевий","У ринку"))),"")</f>
        <v/>
      </c>
      <c r="Y529" s="90" t="n"/>
      <c r="Z529" s="104">
        <f>CHOOSE(MATCH(IF($U529="","Основний",$U529),{"Трафіковий","Основний","Маржинальний","Сезонний","Стратегічний"},0),0.16,0.19,0.24,0.23,0.28)</f>
        <v/>
      </c>
      <c r="AA529" s="104">
        <f>CHOOSE(MATCH(IF($U529="","Основний",$U529),{"Трафіковий","Основний","Маржинальний","Сезонний","Стратегічний"},0),0.18,0.21,0.26,0.25,0.3)</f>
        <v/>
      </c>
      <c r="AB529" s="104">
        <f>CHOOSE(MATCH(IF($U529="","Основний",$U529),{"Трафіковий","Основний","Маржинальний","Сезонний","Стратегічний"},0),0.19,0.22,0.28,0.26,0.32)</f>
        <v/>
      </c>
      <c r="AC529" s="104">
        <f>CHOOSE(MATCH(IF($U529="","Основний",$U529),{"Трафіковий","Основний","Маржинальний","Сезонний","Стратегічний"},0),0.17,0.2,0.25,0.24,0.28)</f>
        <v/>
      </c>
      <c r="AD529" s="104">
        <f>CHOOSE(MATCH(IF($U529="","Основний",$U529),{"Трафіковий","Основний","Маржинальний","Сезонний","Стратегічний"},0),0.18,0.21,0.26,0.25,0.3)</f>
        <v/>
      </c>
      <c r="AE529" s="104">
        <f>CHOOSE(MATCH(IF($U529="","Основний",$U529),{"Трафіковий","Основний","Маржинальний","Сезонний","Стратегічний"},0),0.18,0.2,0.28,0.27,0.32)</f>
        <v/>
      </c>
      <c r="AF529" s="104">
        <f>CHOOSE(MATCH(IF($U529="","Основний",$U529),{"Трафіковий","Основний","Маржинальний","Сезонний","Стратегічний"},0),0.15,0.175,0.22,0.21,0.25)</f>
        <v/>
      </c>
      <c r="AG529" s="104">
        <f>CHOOSE(MATCH(IF($U529="","Основний",$U529),{"Трафіковий","Основний","Маржинальний","Сезонний","Стратегічний"},0),0.13,0.16,0.21,0.2,0.25)</f>
        <v/>
      </c>
      <c r="AH529" s="104">
        <f>CHOOSE(MATCH(IF($U529="","Основний",$U529),{"Трафіковий","Основний","Маржинальний","Сезонний","Стратегічний"},0),0.15,0.18,0.23,0.22,0.27)</f>
        <v/>
      </c>
      <c r="AI529" s="104">
        <f>CHOOSE(MATCH(IF($U529="","Основний",$U529),{"Трафіковий","Основний","Маржинальний","Сезонний","Стратегічний"},0),0.16,0.19,0.25,0.23,0.29)</f>
        <v/>
      </c>
      <c r="AJ529" s="104">
        <f>CHOOSE(MATCH(IF($U529="","Основний",$U529),{"Трафіковий","Основний","Маржинальний","Сезонний","Стратегічний"},0),0.14,0.17,0.22,0.21,0.25)</f>
        <v/>
      </c>
      <c r="AK529" s="104">
        <f>CHOOSE(MATCH(IF($U529="","Основний",$U529),{"Трафіковий","Основний","Маржинальний","Сезонний","Стратегічний"},0),0.15,0.18,0.23,0.22,0.27)</f>
        <v/>
      </c>
      <c r="AL529" s="104">
        <f>CHOOSE(MATCH(IF($U529="","Основний",$U529),{"Трафіковий","Основний","Маржинальний","Сезонний","Стратегічний"},0),0.15,0.17,0.25,0.24,0.29)</f>
        <v/>
      </c>
      <c r="AM529" s="104">
        <f>CHOOSE(MATCH(IF($U529="","Основний",$U529),{"Трафіковий","Основний","Маржинальний","Сезонний","Стратегічний"},0),0.12,0.145,0.19,0.18,0.22)</f>
        <v/>
      </c>
      <c r="AN529" s="157">
        <f>CHOOSE(MATCH(IF($U529="","Основний",$U529),{"Трафіковий","Основний","Маржинальний","Сезонний","Стратегічний"},0),Settings!$B$78,Settings!$B$80,Settings!$B$82,Settings!$B$84,Settings!$B$86)</f>
        <v/>
      </c>
      <c r="AO529" s="157">
        <f>CHOOSE(MATCH(IF($U529="","Основний",$U529),{"Трафіковий","Основний","Маржинальний","Сезонний","Стратегічний"},0),Settings!$C$78,Settings!$C$80,Settings!$C$82,Settings!$C$84,Settings!$C$86)</f>
        <v/>
      </c>
      <c r="AP529" s="157">
        <f>CHOOSE(MATCH(IF($U529="","Основний",$U529),{"Трафіковий","Основний","Маржинальний","Сезонний","Стратегічний"},0),Settings!$D$78,Settings!$D$80,Settings!$D$82,Settings!$D$84,Settings!$D$86)</f>
        <v/>
      </c>
      <c r="AQ529" s="157">
        <f>CHOOSE(MATCH(IF($U529="","Основний",$U529),{"Трафіковий","Основний","Маржинальний","Сезонний","Стратегічний"},0),Settings!$F$78,Settings!$F$80,Settings!$F$82,Settings!$F$84,Settings!$F$86)</f>
        <v/>
      </c>
      <c r="AR529" s="157">
        <f>CHOOSE(MATCH(IF($U529="","Основний",$U529),{"Трафіковий","Основний","Маржинальний","Сезонний","Стратегічний"},0),Settings!$G$78,Settings!$G$80,Settings!$G$82,Settings!$G$84,Settings!$G$86)</f>
        <v/>
      </c>
      <c r="AS529" s="157">
        <f>CHOOSE(MATCH(IF($U529="","Основний",$U529),{"Трафіковий","Основний","Маржинальний","Сезонний","Стратегічний"},0),Settings!$H$78,Settings!$H$80,Settings!$H$82,Settings!$H$84,Settings!$H$86)</f>
        <v/>
      </c>
      <c r="AT529" s="157">
        <f>CHOOSE(MATCH(IF($U529="","Основний",$U529),{"Трафіковий","Основний","Маржинальний","Сезонний","Стратегічний"},0),Settings!$I$78,Settings!$I$80,Settings!$I$82,Settings!$I$84,Settings!$I$86)</f>
        <v/>
      </c>
      <c r="AU529" s="171" t="n"/>
      <c r="AV529" t="n">
        <v>1.35</v>
      </c>
    </row>
    <row r="530">
      <c r="A530" s="28" t="n"/>
      <c r="B530" s="29" t="inlineStr">
        <is>
          <t>J0708</t>
        </is>
      </c>
      <c r="C530" s="29" t="inlineStr">
        <is>
          <t>ANTENNA INDOOR CITY WOOD–C500</t>
        </is>
      </c>
      <c r="D530" s="29" t="inlineStr">
        <is>
          <t>Антени ТВ</t>
        </is>
      </c>
      <c r="E530" s="28" t="inlineStr">
        <is>
          <t>PC</t>
        </is>
      </c>
      <c r="F530" s="93" t="n">
        <v>10.725</v>
      </c>
      <c r="G530" s="30" t="n">
        <v>8529106590</v>
      </c>
      <c r="H530" s="31" t="n">
        <v>1.4</v>
      </c>
      <c r="I530" s="84">
        <f>IFERROR(F530*Settings!$B$2*H530*IF(AND(ISNUMBER(E530),E530&gt;1),E530,1),"")</f>
        <v/>
      </c>
      <c r="J530" s="32">
        <f>Settings!$B$66</f>
        <v/>
      </c>
      <c r="K530" s="95">
        <f>IFERROR(IF(T530="","",(T530*(1-AN530)*(1-Settings!$B$17)-I530)/(T530*(1-AN530)*(1-Settings!$B$17))),"")</f>
        <v/>
      </c>
      <c r="L530" s="101">
        <f>IFERROR(IF(T530="","",(T530*(1-AO530)*(1-Settings!$C$17)-I530)/(T530*(1-AO530)*(1-Settings!$C$17))),"")</f>
        <v/>
      </c>
      <c r="M530" s="101">
        <f>IFERROR(IF(T530="","",(T530*(1-AP530)*(1-Settings!$D$17)-I530)/(T530*(1-AP530)*(1-Settings!$D$17))),"")</f>
        <v/>
      </c>
      <c r="N530" s="101">
        <f>IFERROR(IF(T530="","",(T530*(1-AQ530)*(1-Settings!$F$17)-I530)/(T530*(1-AQ530)*(1-Settings!$F$17))),"")</f>
        <v/>
      </c>
      <c r="O530" s="101">
        <f>IFERROR(IF(T530="","",(T530*(1-AR530)*(1-Settings!$G$17)-I530)/(T530*(1-AR530)*(1-Settings!$G$17))),"")</f>
        <v/>
      </c>
      <c r="P530" s="101">
        <f>IFERROR(IF(T530="","",(T530*(1-AS530)*(1-Settings!$H$17)-I530)/(T530*(1-AS530)*(1-Settings!$H$17))),"")</f>
        <v/>
      </c>
      <c r="Q530" s="101">
        <f>IFERROR(IF(T530="","",(T530*(1-AT530)*(1-Settings!$I$68)*(1-Settings!$I$17)-I530)/(T530*(1-AT530)*(1-Settings!$I$68)*(1-Settings!$I$17))),"")</f>
        <v/>
      </c>
      <c r="R530" s="91">
        <f>IFERROR(IF(OR(I530="",Z530&gt;=1,Settings!$B$17&gt;=1,AN530&gt;=1),"",IF(MOD(ROUND(I530/(1-Z530)/(1-Settings!$B$17)/(1-AN530),0),10)=0,ROUND(I530/(1-Z530)/(1-Settings!$B$17)/(1-AN530),0)-1,IF(MOD(ROUND(I530/(1-Z530)/(1-Settings!$B$17)/(1-AN530),0),10)&lt;=5,FLOOR(ROUND(I530/(1-Z530)/(1-Settings!$B$17)/(1-AN530),0),10)+6,FLOOR(ROUND(I530/(1-Z530)/(1-Settings!$B$17)/(1-AN530),0),10)+9))),"")</f>
        <v/>
      </c>
      <c r="S530" s="174">
        <f>R530*0.95</f>
        <v/>
      </c>
      <c r="T530" s="91">
        <f>IF(S530&lt;&gt;"", IF(MOD(S530,10)=0,S530-1,IF(MOD(S530,10)&lt;=5,FLOOR(S530,10)+6,FLOOR(S530,10)+9)), R530)</f>
        <v/>
      </c>
      <c r="U530" s="87" t="inlineStr">
        <is>
          <t>Основний</t>
        </is>
      </c>
      <c r="V530" s="88" t="n"/>
      <c r="W530" s="88" t="n"/>
      <c r="X530" s="89">
        <f>IFERROR(IF(OR(V530="",W530="",T530=""),"", IF(T530&gt;W530,"Дорогий",IF(T530&lt;V530,"Дешевий","У ринку"))),"")</f>
        <v/>
      </c>
      <c r="Y530" s="90" t="n"/>
      <c r="Z530" s="104">
        <f>CHOOSE(MATCH(IF($U530="","Основний",$U530),{"Трафіковий","Основний","Маржинальний","Сезонний","Стратегічний"},0),0.16,0.19,0.24,0.23,0.28)</f>
        <v/>
      </c>
      <c r="AA530" s="104">
        <f>CHOOSE(MATCH(IF($U530="","Основний",$U530),{"Трафіковий","Основний","Маржинальний","Сезонний","Стратегічний"},0),0.18,0.21,0.26,0.25,0.3)</f>
        <v/>
      </c>
      <c r="AB530" s="104">
        <f>CHOOSE(MATCH(IF($U530="","Основний",$U530),{"Трафіковий","Основний","Маржинальний","Сезонний","Стратегічний"},0),0.19,0.22,0.28,0.26,0.32)</f>
        <v/>
      </c>
      <c r="AC530" s="104">
        <f>CHOOSE(MATCH(IF($U530="","Основний",$U530),{"Трафіковий","Основний","Маржинальний","Сезонний","Стратегічний"},0),0.17,0.2,0.25,0.24,0.28)</f>
        <v/>
      </c>
      <c r="AD530" s="104">
        <f>CHOOSE(MATCH(IF($U530="","Основний",$U530),{"Трафіковий","Основний","Маржинальний","Сезонний","Стратегічний"},0),0.18,0.21,0.26,0.25,0.3)</f>
        <v/>
      </c>
      <c r="AE530" s="104">
        <f>CHOOSE(MATCH(IF($U530="","Основний",$U530),{"Трафіковий","Основний","Маржинальний","Сезонний","Стратегічний"},0),0.18,0.2,0.28,0.27,0.32)</f>
        <v/>
      </c>
      <c r="AF530" s="104">
        <f>CHOOSE(MATCH(IF($U530="","Основний",$U530),{"Трафіковий","Основний","Маржинальний","Сезонний","Стратегічний"},0),0.15,0.175,0.22,0.21,0.25)</f>
        <v/>
      </c>
      <c r="AG530" s="104">
        <f>CHOOSE(MATCH(IF($U530="","Основний",$U530),{"Трафіковий","Основний","Маржинальний","Сезонний","Стратегічний"},0),0.13,0.16,0.21,0.2,0.25)</f>
        <v/>
      </c>
      <c r="AH530" s="104">
        <f>CHOOSE(MATCH(IF($U530="","Основний",$U530),{"Трафіковий","Основний","Маржинальний","Сезонний","Стратегічний"},0),0.15,0.18,0.23,0.22,0.27)</f>
        <v/>
      </c>
      <c r="AI530" s="104">
        <f>CHOOSE(MATCH(IF($U530="","Основний",$U530),{"Трафіковий","Основний","Маржинальний","Сезонний","Стратегічний"},0),0.16,0.19,0.25,0.23,0.29)</f>
        <v/>
      </c>
      <c r="AJ530" s="104">
        <f>CHOOSE(MATCH(IF($U530="","Основний",$U530),{"Трафіковий","Основний","Маржинальний","Сезонний","Стратегічний"},0),0.14,0.17,0.22,0.21,0.25)</f>
        <v/>
      </c>
      <c r="AK530" s="104">
        <f>CHOOSE(MATCH(IF($U530="","Основний",$U530),{"Трафіковий","Основний","Маржинальний","Сезонний","Стратегічний"},0),0.15,0.18,0.23,0.22,0.27)</f>
        <v/>
      </c>
      <c r="AL530" s="104">
        <f>CHOOSE(MATCH(IF($U530="","Основний",$U530),{"Трафіковий","Основний","Маржинальний","Сезонний","Стратегічний"},0),0.15,0.17,0.25,0.24,0.29)</f>
        <v/>
      </c>
      <c r="AM530" s="104">
        <f>CHOOSE(MATCH(IF($U530="","Основний",$U530),{"Трафіковий","Основний","Маржинальний","Сезонний","Стратегічний"},0),0.12,0.145,0.19,0.18,0.22)</f>
        <v/>
      </c>
      <c r="AN530" s="157">
        <f>CHOOSE(MATCH(IF($U530="","Основний",$U530),{"Трафіковий","Основний","Маржинальний","Сезонний","Стратегічний"},0),Settings!$B$78,Settings!$B$80,Settings!$B$82,Settings!$B$84,Settings!$B$86)</f>
        <v/>
      </c>
      <c r="AO530" s="157">
        <f>CHOOSE(MATCH(IF($U530="","Основний",$U530),{"Трафіковий","Основний","Маржинальний","Сезонний","Стратегічний"},0),Settings!$C$78,Settings!$C$80,Settings!$C$82,Settings!$C$84,Settings!$C$86)</f>
        <v/>
      </c>
      <c r="AP530" s="157">
        <f>CHOOSE(MATCH(IF($U530="","Основний",$U530),{"Трафіковий","Основний","Маржинальний","Сезонний","Стратегічний"},0),Settings!$D$78,Settings!$D$80,Settings!$D$82,Settings!$D$84,Settings!$D$86)</f>
        <v/>
      </c>
      <c r="AQ530" s="157">
        <f>CHOOSE(MATCH(IF($U530="","Основний",$U530),{"Трафіковий","Основний","Маржинальний","Сезонний","Стратегічний"},0),Settings!$F$78,Settings!$F$80,Settings!$F$82,Settings!$F$84,Settings!$F$86)</f>
        <v/>
      </c>
      <c r="AR530" s="157">
        <f>CHOOSE(MATCH(IF($U530="","Основний",$U530),{"Трафіковий","Основний","Маржинальний","Сезонний","Стратегічний"},0),Settings!$G$78,Settings!$G$80,Settings!$G$82,Settings!$G$84,Settings!$G$86)</f>
        <v/>
      </c>
      <c r="AS530" s="157">
        <f>CHOOSE(MATCH(IF($U530="","Основний",$U530),{"Трафіковий","Основний","Маржинальний","Сезонний","Стратегічний"},0),Settings!$H$78,Settings!$H$80,Settings!$H$82,Settings!$H$84,Settings!$H$86)</f>
        <v/>
      </c>
      <c r="AT530" s="157">
        <f>CHOOSE(MATCH(IF($U530="","Основний",$U530),{"Трафіковий","Основний","Маржинальний","Сезонний","Стратегічний"},0),Settings!$I$78,Settings!$I$80,Settings!$I$82,Settings!$I$84,Settings!$I$86)</f>
        <v/>
      </c>
      <c r="AU530" s="171" t="n"/>
      <c r="AV530" t="n">
        <v>1.35</v>
      </c>
    </row>
    <row r="531">
      <c r="A531" s="33" t="n"/>
      <c r="B531" s="34" t="inlineStr">
        <is>
          <t>J0709</t>
        </is>
      </c>
      <c r="C531" s="34" t="inlineStr">
        <is>
          <t>ANTENNA INDOOR CITY LEAF–C600</t>
        </is>
      </c>
      <c r="D531" s="34" t="inlineStr">
        <is>
          <t>Антени ТВ</t>
        </is>
      </c>
      <c r="E531" s="33" t="inlineStr">
        <is>
          <t>PC</t>
        </is>
      </c>
      <c r="F531" s="94" t="n">
        <v>8.723000000000001</v>
      </c>
      <c r="G531" s="35" t="n">
        <v>8529106590</v>
      </c>
      <c r="H531" s="31" t="n">
        <v>1.4</v>
      </c>
      <c r="I531" s="84">
        <f>IFERROR(F531*Settings!$B$2*H531*IF(AND(ISNUMBER(E531),E531&gt;1),E531,1),"")</f>
        <v/>
      </c>
      <c r="J531" s="32">
        <f>Settings!$B$66</f>
        <v/>
      </c>
      <c r="K531" s="95">
        <f>IFERROR(IF(T531="","",(T531*(1-AN531)*(1-Settings!$B$17)-I531)/(T531*(1-AN531)*(1-Settings!$B$17))),"")</f>
        <v/>
      </c>
      <c r="L531" s="101">
        <f>IFERROR(IF(T531="","",(T531*(1-AO531)*(1-Settings!$C$17)-I531)/(T531*(1-AO531)*(1-Settings!$C$17))),"")</f>
        <v/>
      </c>
      <c r="M531" s="101">
        <f>IFERROR(IF(T531="","",(T531*(1-AP531)*(1-Settings!$D$17)-I531)/(T531*(1-AP531)*(1-Settings!$D$17))),"")</f>
        <v/>
      </c>
      <c r="N531" s="101">
        <f>IFERROR(IF(T531="","",(T531*(1-AQ531)*(1-Settings!$F$17)-I531)/(T531*(1-AQ531)*(1-Settings!$F$17))),"")</f>
        <v/>
      </c>
      <c r="O531" s="101">
        <f>IFERROR(IF(T531="","",(T531*(1-AR531)*(1-Settings!$G$17)-I531)/(T531*(1-AR531)*(1-Settings!$G$17))),"")</f>
        <v/>
      </c>
      <c r="P531" s="101">
        <f>IFERROR(IF(T531="","",(T531*(1-AS531)*(1-Settings!$H$17)-I531)/(T531*(1-AS531)*(1-Settings!$H$17))),"")</f>
        <v/>
      </c>
      <c r="Q531" s="101">
        <f>IFERROR(IF(T531="","",(T531*(1-AT531)*(1-Settings!$I$68)*(1-Settings!$I$17)-I531)/(T531*(1-AT531)*(1-Settings!$I$68)*(1-Settings!$I$17))),"")</f>
        <v/>
      </c>
      <c r="R531" s="91">
        <f>IFERROR(IF(OR(I531="",Z531&gt;=1,Settings!$B$17&gt;=1,AN531&gt;=1),"",IF(MOD(ROUND(I531/(1-Z531)/(1-Settings!$B$17)/(1-AN531),0),10)=0,ROUND(I531/(1-Z531)/(1-Settings!$B$17)/(1-AN531),0)-1,IF(MOD(ROUND(I531/(1-Z531)/(1-Settings!$B$17)/(1-AN531),0),10)&lt;=5,FLOOR(ROUND(I531/(1-Z531)/(1-Settings!$B$17)/(1-AN531),0),10)+6,FLOOR(ROUND(I531/(1-Z531)/(1-Settings!$B$17)/(1-AN531),0),10)+9))),"")</f>
        <v/>
      </c>
      <c r="S531" s="174">
        <f>R531*0.95</f>
        <v/>
      </c>
      <c r="T531" s="91">
        <f>IF(S531&lt;&gt;"", IF(MOD(S531,10)=0,S531-1,IF(MOD(S531,10)&lt;=5,FLOOR(S531,10)+6,FLOOR(S531,10)+9)), R531)</f>
        <v/>
      </c>
      <c r="U531" s="87" t="inlineStr">
        <is>
          <t>Основний</t>
        </is>
      </c>
      <c r="V531" s="88" t="n"/>
      <c r="W531" s="88" t="n"/>
      <c r="X531" s="89">
        <f>IFERROR(IF(OR(V531="",W531="",T531=""),"", IF(T531&gt;W531,"Дорогий",IF(T531&lt;V531,"Дешевий","У ринку"))),"")</f>
        <v/>
      </c>
      <c r="Y531" s="90" t="n"/>
      <c r="Z531" s="104">
        <f>CHOOSE(MATCH(IF($U531="","Основний",$U531),{"Трафіковий","Основний","Маржинальний","Сезонний","Стратегічний"},0),0.16,0.19,0.24,0.23,0.28)</f>
        <v/>
      </c>
      <c r="AA531" s="104">
        <f>CHOOSE(MATCH(IF($U531="","Основний",$U531),{"Трафіковий","Основний","Маржинальний","Сезонний","Стратегічний"},0),0.18,0.21,0.26,0.25,0.3)</f>
        <v/>
      </c>
      <c r="AB531" s="104">
        <f>CHOOSE(MATCH(IF($U531="","Основний",$U531),{"Трафіковий","Основний","Маржинальний","Сезонний","Стратегічний"},0),0.19,0.22,0.28,0.26,0.32)</f>
        <v/>
      </c>
      <c r="AC531" s="104">
        <f>CHOOSE(MATCH(IF($U531="","Основний",$U531),{"Трафіковий","Основний","Маржинальний","Сезонний","Стратегічний"},0),0.17,0.2,0.25,0.24,0.28)</f>
        <v/>
      </c>
      <c r="AD531" s="104">
        <f>CHOOSE(MATCH(IF($U531="","Основний",$U531),{"Трафіковий","Основний","Маржинальний","Сезонний","Стратегічний"},0),0.18,0.21,0.26,0.25,0.3)</f>
        <v/>
      </c>
      <c r="AE531" s="104">
        <f>CHOOSE(MATCH(IF($U531="","Основний",$U531),{"Трафіковий","Основний","Маржинальний","Сезонний","Стратегічний"},0),0.18,0.2,0.28,0.27,0.32)</f>
        <v/>
      </c>
      <c r="AF531" s="104">
        <f>CHOOSE(MATCH(IF($U531="","Основний",$U531),{"Трафіковий","Основний","Маржинальний","Сезонний","Стратегічний"},0),0.15,0.175,0.22,0.21,0.25)</f>
        <v/>
      </c>
      <c r="AG531" s="104">
        <f>CHOOSE(MATCH(IF($U531="","Основний",$U531),{"Трафіковий","Основний","Маржинальний","Сезонний","Стратегічний"},0),0.13,0.16,0.21,0.2,0.25)</f>
        <v/>
      </c>
      <c r="AH531" s="104">
        <f>CHOOSE(MATCH(IF($U531="","Основний",$U531),{"Трафіковий","Основний","Маржинальний","Сезонний","Стратегічний"},0),0.15,0.18,0.23,0.22,0.27)</f>
        <v/>
      </c>
      <c r="AI531" s="104">
        <f>CHOOSE(MATCH(IF($U531="","Основний",$U531),{"Трафіковий","Основний","Маржинальний","Сезонний","Стратегічний"},0),0.16,0.19,0.25,0.23,0.29)</f>
        <v/>
      </c>
      <c r="AJ531" s="104">
        <f>CHOOSE(MATCH(IF($U531="","Основний",$U531),{"Трафіковий","Основний","Маржинальний","Сезонний","Стратегічний"},0),0.14,0.17,0.22,0.21,0.25)</f>
        <v/>
      </c>
      <c r="AK531" s="104">
        <f>CHOOSE(MATCH(IF($U531="","Основний",$U531),{"Трафіковий","Основний","Маржинальний","Сезонний","Стратегічний"},0),0.15,0.18,0.23,0.22,0.27)</f>
        <v/>
      </c>
      <c r="AL531" s="104">
        <f>CHOOSE(MATCH(IF($U531="","Основний",$U531),{"Трафіковий","Основний","Маржинальний","Сезонний","Стратегічний"},0),0.15,0.17,0.25,0.24,0.29)</f>
        <v/>
      </c>
      <c r="AM531" s="104">
        <f>CHOOSE(MATCH(IF($U531="","Основний",$U531),{"Трафіковий","Основний","Маржинальний","Сезонний","Стратегічний"},0),0.12,0.145,0.19,0.18,0.22)</f>
        <v/>
      </c>
      <c r="AN531" s="157">
        <f>CHOOSE(MATCH(IF($U531="","Основний",$U531),{"Трафіковий","Основний","Маржинальний","Сезонний","Стратегічний"},0),Settings!$B$78,Settings!$B$80,Settings!$B$82,Settings!$B$84,Settings!$B$86)</f>
        <v/>
      </c>
      <c r="AO531" s="157">
        <f>CHOOSE(MATCH(IF($U531="","Основний",$U531),{"Трафіковий","Основний","Маржинальний","Сезонний","Стратегічний"},0),Settings!$C$78,Settings!$C$80,Settings!$C$82,Settings!$C$84,Settings!$C$86)</f>
        <v/>
      </c>
      <c r="AP531" s="157">
        <f>CHOOSE(MATCH(IF($U531="","Основний",$U531),{"Трафіковий","Основний","Маржинальний","Сезонний","Стратегічний"},0),Settings!$D$78,Settings!$D$80,Settings!$D$82,Settings!$D$84,Settings!$D$86)</f>
        <v/>
      </c>
      <c r="AQ531" s="157">
        <f>CHOOSE(MATCH(IF($U531="","Основний",$U531),{"Трафіковий","Основний","Маржинальний","Сезонний","Стратегічний"},0),Settings!$F$78,Settings!$F$80,Settings!$F$82,Settings!$F$84,Settings!$F$86)</f>
        <v/>
      </c>
      <c r="AR531" s="157">
        <f>CHOOSE(MATCH(IF($U531="","Основний",$U531),{"Трафіковий","Основний","Маржинальний","Сезонний","Стратегічний"},0),Settings!$G$78,Settings!$G$80,Settings!$G$82,Settings!$G$84,Settings!$G$86)</f>
        <v/>
      </c>
      <c r="AS531" s="157">
        <f>CHOOSE(MATCH(IF($U531="","Основний",$U531),{"Трафіковий","Основний","Маржинальний","Сезонний","Стратегічний"},0),Settings!$H$78,Settings!$H$80,Settings!$H$82,Settings!$H$84,Settings!$H$86)</f>
        <v/>
      </c>
      <c r="AT531" s="157">
        <f>CHOOSE(MATCH(IF($U531="","Основний",$U531),{"Трафіковий","Основний","Маржинальний","Сезонний","Стратегічний"},0),Settings!$I$78,Settings!$I$80,Settings!$I$82,Settings!$I$84,Settings!$I$86)</f>
        <v/>
      </c>
      <c r="AU531" s="171" t="n"/>
      <c r="AV531" t="n">
        <v>1.35</v>
      </c>
    </row>
    <row r="532">
      <c r="A532" s="28" t="n"/>
      <c r="B532" s="29" t="inlineStr">
        <is>
          <t>J0669</t>
        </is>
      </c>
      <c r="C532" s="29" t="inlineStr">
        <is>
          <t>ANTENNA OUTDOOR EM-2845</t>
        </is>
      </c>
      <c r="D532" s="29" t="inlineStr">
        <is>
          <t>Антени ТВ</t>
        </is>
      </c>
      <c r="E532" s="28" t="inlineStr">
        <is>
          <t>PC</t>
        </is>
      </c>
      <c r="F532" s="93" t="n">
        <v>17.306</v>
      </c>
      <c r="G532" s="30" t="n">
        <v>8529103000</v>
      </c>
      <c r="H532" s="31" t="n">
        <v>1.4</v>
      </c>
      <c r="I532" s="84">
        <f>IFERROR(F532*Settings!$B$2*H532*IF(AND(ISNUMBER(E532),E532&gt;1),E532,1),"")</f>
        <v/>
      </c>
      <c r="J532" s="32">
        <f>Settings!$B$66</f>
        <v/>
      </c>
      <c r="K532" s="95">
        <f>IFERROR(IF(T532="","",(T532*(1-AN532)*(1-Settings!$B$17)-I532)/(T532*(1-AN532)*(1-Settings!$B$17))),"")</f>
        <v/>
      </c>
      <c r="L532" s="101">
        <f>IFERROR(IF(T532="","",(T532*(1-AO532)*(1-Settings!$C$17)-I532)/(T532*(1-AO532)*(1-Settings!$C$17))),"")</f>
        <v/>
      </c>
      <c r="M532" s="101">
        <f>IFERROR(IF(T532="","",(T532*(1-AP532)*(1-Settings!$D$17)-I532)/(T532*(1-AP532)*(1-Settings!$D$17))),"")</f>
        <v/>
      </c>
      <c r="N532" s="101">
        <f>IFERROR(IF(T532="","",(T532*(1-AQ532)*(1-Settings!$F$17)-I532)/(T532*(1-AQ532)*(1-Settings!$F$17))),"")</f>
        <v/>
      </c>
      <c r="O532" s="101">
        <f>IFERROR(IF(T532="","",(T532*(1-AR532)*(1-Settings!$G$17)-I532)/(T532*(1-AR532)*(1-Settings!$G$17))),"")</f>
        <v/>
      </c>
      <c r="P532" s="101">
        <f>IFERROR(IF(T532="","",(T532*(1-AS532)*(1-Settings!$H$17)-I532)/(T532*(1-AS532)*(1-Settings!$H$17))),"")</f>
        <v/>
      </c>
      <c r="Q532" s="101">
        <f>IFERROR(IF(T532="","",(T532*(1-AT532)*(1-Settings!$I$68)*(1-Settings!$I$17)-I532)/(T532*(1-AT532)*(1-Settings!$I$68)*(1-Settings!$I$17))),"")</f>
        <v/>
      </c>
      <c r="R532" s="91">
        <f>IFERROR(IF(OR(I532="",Z532&gt;=1,Settings!$B$17&gt;=1,AN532&gt;=1),"",IF(MOD(ROUND(I532/(1-Z532)/(1-Settings!$B$17)/(1-AN532),0),10)=0,ROUND(I532/(1-Z532)/(1-Settings!$B$17)/(1-AN532),0)-1,IF(MOD(ROUND(I532/(1-Z532)/(1-Settings!$B$17)/(1-AN532),0),10)&lt;=5,FLOOR(ROUND(I532/(1-Z532)/(1-Settings!$B$17)/(1-AN532),0),10)+6,FLOOR(ROUND(I532/(1-Z532)/(1-Settings!$B$17)/(1-AN532),0),10)+9))),"")</f>
        <v/>
      </c>
      <c r="S532" s="174">
        <f>R532*0.95</f>
        <v/>
      </c>
      <c r="T532" s="91">
        <f>IF(S532&lt;&gt;"", IF(MOD(S532,10)=0,S532-1,IF(MOD(S532,10)&lt;=5,FLOOR(S532,10)+6,FLOOR(S532,10)+9)), R532)</f>
        <v/>
      </c>
      <c r="U532" s="87" t="inlineStr">
        <is>
          <t>Основний</t>
        </is>
      </c>
      <c r="V532" s="88" t="n"/>
      <c r="W532" s="88" t="n"/>
      <c r="X532" s="89">
        <f>IFERROR(IF(OR(V532="",W532="",T532=""),"", IF(T532&gt;W532,"Дорогий",IF(T532&lt;V532,"Дешевий","У ринку"))),"")</f>
        <v/>
      </c>
      <c r="Y532" s="90" t="n"/>
      <c r="Z532" s="104">
        <f>CHOOSE(MATCH(IF($U532="","Основний",$U532),{"Трафіковий","Основний","Маржинальний","Сезонний","Стратегічний"},0),0.16,0.19,0.24,0.23,0.28)</f>
        <v/>
      </c>
      <c r="AA532" s="104">
        <f>CHOOSE(MATCH(IF($U532="","Основний",$U532),{"Трафіковий","Основний","Маржинальний","Сезонний","Стратегічний"},0),0.18,0.21,0.26,0.25,0.3)</f>
        <v/>
      </c>
      <c r="AB532" s="104">
        <f>CHOOSE(MATCH(IF($U532="","Основний",$U532),{"Трафіковий","Основний","Маржинальний","Сезонний","Стратегічний"},0),0.19,0.22,0.28,0.26,0.32)</f>
        <v/>
      </c>
      <c r="AC532" s="104">
        <f>CHOOSE(MATCH(IF($U532="","Основний",$U532),{"Трафіковий","Основний","Маржинальний","Сезонний","Стратегічний"},0),0.17,0.2,0.25,0.24,0.28)</f>
        <v/>
      </c>
      <c r="AD532" s="104">
        <f>CHOOSE(MATCH(IF($U532="","Основний",$U532),{"Трафіковий","Основний","Маржинальний","Сезонний","Стратегічний"},0),0.18,0.21,0.26,0.25,0.3)</f>
        <v/>
      </c>
      <c r="AE532" s="104">
        <f>CHOOSE(MATCH(IF($U532="","Основний",$U532),{"Трафіковий","Основний","Маржинальний","Сезонний","Стратегічний"},0),0.18,0.2,0.28,0.27,0.32)</f>
        <v/>
      </c>
      <c r="AF532" s="104">
        <f>CHOOSE(MATCH(IF($U532="","Основний",$U532),{"Трафіковий","Основний","Маржинальний","Сезонний","Стратегічний"},0),0.15,0.175,0.22,0.21,0.25)</f>
        <v/>
      </c>
      <c r="AG532" s="104">
        <f>CHOOSE(MATCH(IF($U532="","Основний",$U532),{"Трафіковий","Основний","Маржинальний","Сезонний","Стратегічний"},0),0.13,0.16,0.21,0.2,0.25)</f>
        <v/>
      </c>
      <c r="AH532" s="104">
        <f>CHOOSE(MATCH(IF($U532="","Основний",$U532),{"Трафіковий","Основний","Маржинальний","Сезонний","Стратегічний"},0),0.15,0.18,0.23,0.22,0.27)</f>
        <v/>
      </c>
      <c r="AI532" s="104">
        <f>CHOOSE(MATCH(IF($U532="","Основний",$U532),{"Трафіковий","Основний","Маржинальний","Сезонний","Стратегічний"},0),0.16,0.19,0.25,0.23,0.29)</f>
        <v/>
      </c>
      <c r="AJ532" s="104">
        <f>CHOOSE(MATCH(IF($U532="","Основний",$U532),{"Трафіковий","Основний","Маржинальний","Сезонний","Стратегічний"},0),0.14,0.17,0.22,0.21,0.25)</f>
        <v/>
      </c>
      <c r="AK532" s="104">
        <f>CHOOSE(MATCH(IF($U532="","Основний",$U532),{"Трафіковий","Основний","Маржинальний","Сезонний","Стратегічний"},0),0.15,0.18,0.23,0.22,0.27)</f>
        <v/>
      </c>
      <c r="AL532" s="104">
        <f>CHOOSE(MATCH(IF($U532="","Основний",$U532),{"Трафіковий","Основний","Маржинальний","Сезонний","Стратегічний"},0),0.15,0.17,0.25,0.24,0.29)</f>
        <v/>
      </c>
      <c r="AM532" s="104">
        <f>CHOOSE(MATCH(IF($U532="","Основний",$U532),{"Трафіковий","Основний","Маржинальний","Сезонний","Стратегічний"},0),0.12,0.145,0.19,0.18,0.22)</f>
        <v/>
      </c>
      <c r="AN532" s="157">
        <f>CHOOSE(MATCH(IF($U532="","Основний",$U532),{"Трафіковий","Основний","Маржинальний","Сезонний","Стратегічний"},0),Settings!$B$78,Settings!$B$80,Settings!$B$82,Settings!$B$84,Settings!$B$86)</f>
        <v/>
      </c>
      <c r="AO532" s="157">
        <f>CHOOSE(MATCH(IF($U532="","Основний",$U532),{"Трафіковий","Основний","Маржинальний","Сезонний","Стратегічний"},0),Settings!$C$78,Settings!$C$80,Settings!$C$82,Settings!$C$84,Settings!$C$86)</f>
        <v/>
      </c>
      <c r="AP532" s="157">
        <f>CHOOSE(MATCH(IF($U532="","Основний",$U532),{"Трафіковий","Основний","Маржинальний","Сезонний","Стратегічний"},0),Settings!$D$78,Settings!$D$80,Settings!$D$82,Settings!$D$84,Settings!$D$86)</f>
        <v/>
      </c>
      <c r="AQ532" s="157">
        <f>CHOOSE(MATCH(IF($U532="","Основний",$U532),{"Трафіковий","Основний","Маржинальний","Сезонний","Стратегічний"},0),Settings!$F$78,Settings!$F$80,Settings!$F$82,Settings!$F$84,Settings!$F$86)</f>
        <v/>
      </c>
      <c r="AR532" s="157">
        <f>CHOOSE(MATCH(IF($U532="","Основний",$U532),{"Трафіковий","Основний","Маржинальний","Сезонний","Стратегічний"},0),Settings!$G$78,Settings!$G$80,Settings!$G$82,Settings!$G$84,Settings!$G$86)</f>
        <v/>
      </c>
      <c r="AS532" s="157">
        <f>CHOOSE(MATCH(IF($U532="","Основний",$U532),{"Трафіковий","Основний","Маржинальний","Сезонний","Стратегічний"},0),Settings!$H$78,Settings!$H$80,Settings!$H$82,Settings!$H$84,Settings!$H$86)</f>
        <v/>
      </c>
      <c r="AT532" s="157">
        <f>CHOOSE(MATCH(IF($U532="","Основний",$U532),{"Трафіковий","Основний","Маржинальний","Сезонний","Стратегічний"},0),Settings!$I$78,Settings!$I$80,Settings!$I$82,Settings!$I$84,Settings!$I$86)</f>
        <v/>
      </c>
      <c r="AU532" s="171" t="n"/>
      <c r="AV532" t="n">
        <v>1.35</v>
      </c>
    </row>
    <row r="533">
      <c r="A533" s="33" t="n"/>
      <c r="B533" s="34" t="inlineStr">
        <is>
          <t>J0680</t>
        </is>
      </c>
      <c r="C533" s="34" t="inlineStr">
        <is>
          <t>OUTDOOR ANTENNA EM-116</t>
        </is>
      </c>
      <c r="D533" s="34" t="inlineStr">
        <is>
          <t>Антени ТВ</t>
        </is>
      </c>
      <c r="E533" s="33" t="inlineStr">
        <is>
          <t>PC</t>
        </is>
      </c>
      <c r="F533" s="94" t="n">
        <v>16.265</v>
      </c>
      <c r="G533" s="35" t="n">
        <v>8529103000</v>
      </c>
      <c r="H533" s="31" t="n">
        <v>1.4</v>
      </c>
      <c r="I533" s="84">
        <f>IFERROR(F533*Settings!$B$2*H533*IF(AND(ISNUMBER(E533),E533&gt;1),E533,1),"")</f>
        <v/>
      </c>
      <c r="J533" s="32">
        <f>Settings!$B$66</f>
        <v/>
      </c>
      <c r="K533" s="95">
        <f>IFERROR(IF(T533="","",(T533*(1-AN533)*(1-Settings!$B$17)-I533)/(T533*(1-AN533)*(1-Settings!$B$17))),"")</f>
        <v/>
      </c>
      <c r="L533" s="101">
        <f>IFERROR(IF(T533="","",(T533*(1-AO533)*(1-Settings!$C$17)-I533)/(T533*(1-AO533)*(1-Settings!$C$17))),"")</f>
        <v/>
      </c>
      <c r="M533" s="101">
        <f>IFERROR(IF(T533="","",(T533*(1-AP533)*(1-Settings!$D$17)-I533)/(T533*(1-AP533)*(1-Settings!$D$17))),"")</f>
        <v/>
      </c>
      <c r="N533" s="101">
        <f>IFERROR(IF(T533="","",(T533*(1-AQ533)*(1-Settings!$F$17)-I533)/(T533*(1-AQ533)*(1-Settings!$F$17))),"")</f>
        <v/>
      </c>
      <c r="O533" s="101">
        <f>IFERROR(IF(T533="","",(T533*(1-AR533)*(1-Settings!$G$17)-I533)/(T533*(1-AR533)*(1-Settings!$G$17))),"")</f>
        <v/>
      </c>
      <c r="P533" s="101">
        <f>IFERROR(IF(T533="","",(T533*(1-AS533)*(1-Settings!$H$17)-I533)/(T533*(1-AS533)*(1-Settings!$H$17))),"")</f>
        <v/>
      </c>
      <c r="Q533" s="101">
        <f>IFERROR(IF(T533="","",(T533*(1-AT533)*(1-Settings!$I$68)*(1-Settings!$I$17)-I533)/(T533*(1-AT533)*(1-Settings!$I$68)*(1-Settings!$I$17))),"")</f>
        <v/>
      </c>
      <c r="R533" s="91">
        <f>IFERROR(IF(OR(I533="",Z533&gt;=1,Settings!$B$17&gt;=1,AN533&gt;=1),"",IF(MOD(ROUND(I533/(1-Z533)/(1-Settings!$B$17)/(1-AN533),0),10)=0,ROUND(I533/(1-Z533)/(1-Settings!$B$17)/(1-AN533),0)-1,IF(MOD(ROUND(I533/(1-Z533)/(1-Settings!$B$17)/(1-AN533),0),10)&lt;=5,FLOOR(ROUND(I533/(1-Z533)/(1-Settings!$B$17)/(1-AN533),0),10)+6,FLOOR(ROUND(I533/(1-Z533)/(1-Settings!$B$17)/(1-AN533),0),10)+9))),"")</f>
        <v/>
      </c>
      <c r="S533" s="174">
        <f>R533*0.95</f>
        <v/>
      </c>
      <c r="T533" s="91">
        <f>IF(S533&lt;&gt;"", IF(MOD(S533,10)=0,S533-1,IF(MOD(S533,10)&lt;=5,FLOOR(S533,10)+6,FLOOR(S533,10)+9)), R533)</f>
        <v/>
      </c>
      <c r="U533" s="87" t="inlineStr">
        <is>
          <t>Основний</t>
        </is>
      </c>
      <c r="V533" s="88" t="n"/>
      <c r="W533" s="88" t="n"/>
      <c r="X533" s="89">
        <f>IFERROR(IF(OR(V533="",W533="",T533=""),"", IF(T533&gt;W533,"Дорогий",IF(T533&lt;V533,"Дешевий","У ринку"))),"")</f>
        <v/>
      </c>
      <c r="Y533" s="90" t="n"/>
      <c r="Z533" s="104">
        <f>CHOOSE(MATCH(IF($U533="","Основний",$U533),{"Трафіковий","Основний","Маржинальний","Сезонний","Стратегічний"},0),0.16,0.19,0.24,0.23,0.28)</f>
        <v/>
      </c>
      <c r="AA533" s="104">
        <f>CHOOSE(MATCH(IF($U533="","Основний",$U533),{"Трафіковий","Основний","Маржинальний","Сезонний","Стратегічний"},0),0.18,0.21,0.26,0.25,0.3)</f>
        <v/>
      </c>
      <c r="AB533" s="104">
        <f>CHOOSE(MATCH(IF($U533="","Основний",$U533),{"Трафіковий","Основний","Маржинальний","Сезонний","Стратегічний"},0),0.19,0.22,0.28,0.26,0.32)</f>
        <v/>
      </c>
      <c r="AC533" s="104">
        <f>CHOOSE(MATCH(IF($U533="","Основний",$U533),{"Трафіковий","Основний","Маржинальний","Сезонний","Стратегічний"},0),0.17,0.2,0.25,0.24,0.28)</f>
        <v/>
      </c>
      <c r="AD533" s="104">
        <f>CHOOSE(MATCH(IF($U533="","Основний",$U533),{"Трафіковий","Основний","Маржинальний","Сезонний","Стратегічний"},0),0.18,0.21,0.26,0.25,0.3)</f>
        <v/>
      </c>
      <c r="AE533" s="104">
        <f>CHOOSE(MATCH(IF($U533="","Основний",$U533),{"Трафіковий","Основний","Маржинальний","Сезонний","Стратегічний"},0),0.18,0.2,0.28,0.27,0.32)</f>
        <v/>
      </c>
      <c r="AF533" s="104">
        <f>CHOOSE(MATCH(IF($U533="","Основний",$U533),{"Трафіковий","Основний","Маржинальний","Сезонний","Стратегічний"},0),0.15,0.175,0.22,0.21,0.25)</f>
        <v/>
      </c>
      <c r="AG533" s="104">
        <f>CHOOSE(MATCH(IF($U533="","Основний",$U533),{"Трафіковий","Основний","Маржинальний","Сезонний","Стратегічний"},0),0.13,0.16,0.21,0.2,0.25)</f>
        <v/>
      </c>
      <c r="AH533" s="104">
        <f>CHOOSE(MATCH(IF($U533="","Основний",$U533),{"Трафіковий","Основний","Маржинальний","Сезонний","Стратегічний"},0),0.15,0.18,0.23,0.22,0.27)</f>
        <v/>
      </c>
      <c r="AI533" s="104">
        <f>CHOOSE(MATCH(IF($U533="","Основний",$U533),{"Трафіковий","Основний","Маржинальний","Сезонний","Стратегічний"},0),0.16,0.19,0.25,0.23,0.29)</f>
        <v/>
      </c>
      <c r="AJ533" s="104">
        <f>CHOOSE(MATCH(IF($U533="","Основний",$U533),{"Трафіковий","Основний","Маржинальний","Сезонний","Стратегічний"},0),0.14,0.17,0.22,0.21,0.25)</f>
        <v/>
      </c>
      <c r="AK533" s="104">
        <f>CHOOSE(MATCH(IF($U533="","Основний",$U533),{"Трафіковий","Основний","Маржинальний","Сезонний","Стратегічний"},0),0.15,0.18,0.23,0.22,0.27)</f>
        <v/>
      </c>
      <c r="AL533" s="104">
        <f>CHOOSE(MATCH(IF($U533="","Основний",$U533),{"Трафіковий","Основний","Маржинальний","Сезонний","Стратегічний"},0),0.15,0.17,0.25,0.24,0.29)</f>
        <v/>
      </c>
      <c r="AM533" s="104">
        <f>CHOOSE(MATCH(IF($U533="","Основний",$U533),{"Трафіковий","Основний","Маржинальний","Сезонний","Стратегічний"},0),0.12,0.145,0.19,0.18,0.22)</f>
        <v/>
      </c>
      <c r="AN533" s="157">
        <f>CHOOSE(MATCH(IF($U533="","Основний",$U533),{"Трафіковий","Основний","Маржинальний","Сезонний","Стратегічний"},0),Settings!$B$78,Settings!$B$80,Settings!$B$82,Settings!$B$84,Settings!$B$86)</f>
        <v/>
      </c>
      <c r="AO533" s="157">
        <f>CHOOSE(MATCH(IF($U533="","Основний",$U533),{"Трафіковий","Основний","Маржинальний","Сезонний","Стратегічний"},0),Settings!$C$78,Settings!$C$80,Settings!$C$82,Settings!$C$84,Settings!$C$86)</f>
        <v/>
      </c>
      <c r="AP533" s="157">
        <f>CHOOSE(MATCH(IF($U533="","Основний",$U533),{"Трафіковий","Основний","Маржинальний","Сезонний","Стратегічний"},0),Settings!$D$78,Settings!$D$80,Settings!$D$82,Settings!$D$84,Settings!$D$86)</f>
        <v/>
      </c>
      <c r="AQ533" s="157">
        <f>CHOOSE(MATCH(IF($U533="","Основний",$U533),{"Трафіковий","Основний","Маржинальний","Сезонний","Стратегічний"},0),Settings!$F$78,Settings!$F$80,Settings!$F$82,Settings!$F$84,Settings!$F$86)</f>
        <v/>
      </c>
      <c r="AR533" s="157">
        <f>CHOOSE(MATCH(IF($U533="","Основний",$U533),{"Трафіковий","Основний","Маржинальний","Сезонний","Стратегічний"},0),Settings!$G$78,Settings!$G$80,Settings!$G$82,Settings!$G$84,Settings!$G$86)</f>
        <v/>
      </c>
      <c r="AS533" s="157">
        <f>CHOOSE(MATCH(IF($U533="","Основний",$U533),{"Трафіковий","Основний","Маржинальний","Сезонний","Стратегічний"},0),Settings!$H$78,Settings!$H$80,Settings!$H$82,Settings!$H$84,Settings!$H$86)</f>
        <v/>
      </c>
      <c r="AT533" s="157">
        <f>CHOOSE(MATCH(IF($U533="","Основний",$U533),{"Трафіковий","Основний","Маржинальний","Сезонний","Стратегічний"},0),Settings!$I$78,Settings!$I$80,Settings!$I$82,Settings!$I$84,Settings!$I$86)</f>
        <v/>
      </c>
      <c r="AU533" s="171" t="n"/>
      <c r="AV533" t="n">
        <v>1.35</v>
      </c>
    </row>
    <row r="534">
      <c r="A534" s="28" t="n"/>
      <c r="B534" s="29" t="inlineStr">
        <is>
          <t>J0690</t>
        </is>
      </c>
      <c r="C534" s="29" t="inlineStr">
        <is>
          <t>OUTDOOR ANTENNA EM-29U5G</t>
        </is>
      </c>
      <c r="D534" s="29" t="inlineStr">
        <is>
          <t>Антени ТВ</t>
        </is>
      </c>
      <c r="E534" s="28" t="inlineStr">
        <is>
          <t>PC</t>
        </is>
      </c>
      <c r="F534" s="93" t="n">
        <v>18.33</v>
      </c>
      <c r="G534" s="30" t="n">
        <v>8529103000</v>
      </c>
      <c r="H534" s="31" t="n">
        <v>1.4</v>
      </c>
      <c r="I534" s="84">
        <f>IFERROR(F534*Settings!$B$2*H534*IF(AND(ISNUMBER(E534),E534&gt;1),E534,1),"")</f>
        <v/>
      </c>
      <c r="J534" s="32">
        <f>Settings!$B$66</f>
        <v/>
      </c>
      <c r="K534" s="95">
        <f>IFERROR(IF(T534="","",(T534*(1-AN534)*(1-Settings!$B$17)-I534)/(T534*(1-AN534)*(1-Settings!$B$17))),"")</f>
        <v/>
      </c>
      <c r="L534" s="101">
        <f>IFERROR(IF(T534="","",(T534*(1-AO534)*(1-Settings!$C$17)-I534)/(T534*(1-AO534)*(1-Settings!$C$17))),"")</f>
        <v/>
      </c>
      <c r="M534" s="101">
        <f>IFERROR(IF(T534="","",(T534*(1-AP534)*(1-Settings!$D$17)-I534)/(T534*(1-AP534)*(1-Settings!$D$17))),"")</f>
        <v/>
      </c>
      <c r="N534" s="101">
        <f>IFERROR(IF(T534="","",(T534*(1-AQ534)*(1-Settings!$F$17)-I534)/(T534*(1-AQ534)*(1-Settings!$F$17))),"")</f>
        <v/>
      </c>
      <c r="O534" s="101">
        <f>IFERROR(IF(T534="","",(T534*(1-AR534)*(1-Settings!$G$17)-I534)/(T534*(1-AR534)*(1-Settings!$G$17))),"")</f>
        <v/>
      </c>
      <c r="P534" s="101">
        <f>IFERROR(IF(T534="","",(T534*(1-AS534)*(1-Settings!$H$17)-I534)/(T534*(1-AS534)*(1-Settings!$H$17))),"")</f>
        <v/>
      </c>
      <c r="Q534" s="101">
        <f>IFERROR(IF(T534="","",(T534*(1-AT534)*(1-Settings!$I$68)*(1-Settings!$I$17)-I534)/(T534*(1-AT534)*(1-Settings!$I$68)*(1-Settings!$I$17))),"")</f>
        <v/>
      </c>
      <c r="R534" s="91">
        <f>IFERROR(IF(OR(I534="",Z534&gt;=1,Settings!$B$17&gt;=1,AN534&gt;=1),"",IF(MOD(ROUND(I534/(1-Z534)/(1-Settings!$B$17)/(1-AN534),0),10)=0,ROUND(I534/(1-Z534)/(1-Settings!$B$17)/(1-AN534),0)-1,IF(MOD(ROUND(I534/(1-Z534)/(1-Settings!$B$17)/(1-AN534),0),10)&lt;=5,FLOOR(ROUND(I534/(1-Z534)/(1-Settings!$B$17)/(1-AN534),0),10)+6,FLOOR(ROUND(I534/(1-Z534)/(1-Settings!$B$17)/(1-AN534),0),10)+9))),"")</f>
        <v/>
      </c>
      <c r="S534" s="174">
        <f>R534*0.95</f>
        <v/>
      </c>
      <c r="T534" s="91">
        <f>IF(S534&lt;&gt;"", IF(MOD(S534,10)=0,S534-1,IF(MOD(S534,10)&lt;=5,FLOOR(S534,10)+6,FLOOR(S534,10)+9)), R534)</f>
        <v/>
      </c>
      <c r="U534" s="87" t="inlineStr">
        <is>
          <t>Основний</t>
        </is>
      </c>
      <c r="V534" s="88" t="n"/>
      <c r="W534" s="88" t="n"/>
      <c r="X534" s="89">
        <f>IFERROR(IF(OR(V534="",W534="",T534=""),"", IF(T534&gt;W534,"Дорогий",IF(T534&lt;V534,"Дешевий","У ринку"))),"")</f>
        <v/>
      </c>
      <c r="Y534" s="90" t="n"/>
      <c r="Z534" s="104">
        <f>CHOOSE(MATCH(IF($U534="","Основний",$U534),{"Трафіковий","Основний","Маржинальний","Сезонний","Стратегічний"},0),0.16,0.19,0.24,0.23,0.28)</f>
        <v/>
      </c>
      <c r="AA534" s="104">
        <f>CHOOSE(MATCH(IF($U534="","Основний",$U534),{"Трафіковий","Основний","Маржинальний","Сезонний","Стратегічний"},0),0.18,0.21,0.26,0.25,0.3)</f>
        <v/>
      </c>
      <c r="AB534" s="104">
        <f>CHOOSE(MATCH(IF($U534="","Основний",$U534),{"Трафіковий","Основний","Маржинальний","Сезонний","Стратегічний"},0),0.19,0.22,0.28,0.26,0.32)</f>
        <v/>
      </c>
      <c r="AC534" s="104">
        <f>CHOOSE(MATCH(IF($U534="","Основний",$U534),{"Трафіковий","Основний","Маржинальний","Сезонний","Стратегічний"},0),0.17,0.2,0.25,0.24,0.28)</f>
        <v/>
      </c>
      <c r="AD534" s="104">
        <f>CHOOSE(MATCH(IF($U534="","Основний",$U534),{"Трафіковий","Основний","Маржинальний","Сезонний","Стратегічний"},0),0.18,0.21,0.26,0.25,0.3)</f>
        <v/>
      </c>
      <c r="AE534" s="104">
        <f>CHOOSE(MATCH(IF($U534="","Основний",$U534),{"Трафіковий","Основний","Маржинальний","Сезонний","Стратегічний"},0),0.18,0.2,0.28,0.27,0.32)</f>
        <v/>
      </c>
      <c r="AF534" s="104">
        <f>CHOOSE(MATCH(IF($U534="","Основний",$U534),{"Трафіковий","Основний","Маржинальний","Сезонний","Стратегічний"},0),0.15,0.175,0.22,0.21,0.25)</f>
        <v/>
      </c>
      <c r="AG534" s="104">
        <f>CHOOSE(MATCH(IF($U534="","Основний",$U534),{"Трафіковий","Основний","Маржинальний","Сезонний","Стратегічний"},0),0.13,0.16,0.21,0.2,0.25)</f>
        <v/>
      </c>
      <c r="AH534" s="104">
        <f>CHOOSE(MATCH(IF($U534="","Основний",$U534),{"Трафіковий","Основний","Маржинальний","Сезонний","Стратегічний"},0),0.15,0.18,0.23,0.22,0.27)</f>
        <v/>
      </c>
      <c r="AI534" s="104">
        <f>CHOOSE(MATCH(IF($U534="","Основний",$U534),{"Трафіковий","Основний","Маржинальний","Сезонний","Стратегічний"},0),0.16,0.19,0.25,0.23,0.29)</f>
        <v/>
      </c>
      <c r="AJ534" s="104">
        <f>CHOOSE(MATCH(IF($U534="","Основний",$U534),{"Трафіковий","Основний","Маржинальний","Сезонний","Стратегічний"},0),0.14,0.17,0.22,0.21,0.25)</f>
        <v/>
      </c>
      <c r="AK534" s="104">
        <f>CHOOSE(MATCH(IF($U534="","Основний",$U534),{"Трафіковий","Основний","Маржинальний","Сезонний","Стратегічний"},0),0.15,0.18,0.23,0.22,0.27)</f>
        <v/>
      </c>
      <c r="AL534" s="104">
        <f>CHOOSE(MATCH(IF($U534="","Основний",$U534),{"Трафіковий","Основний","Маржинальний","Сезонний","Стратегічний"},0),0.15,0.17,0.25,0.24,0.29)</f>
        <v/>
      </c>
      <c r="AM534" s="104">
        <f>CHOOSE(MATCH(IF($U534="","Основний",$U534),{"Трафіковий","Основний","Маржинальний","Сезонний","Стратегічний"},0),0.12,0.145,0.19,0.18,0.22)</f>
        <v/>
      </c>
      <c r="AN534" s="157">
        <f>CHOOSE(MATCH(IF($U534="","Основний",$U534),{"Трафіковий","Основний","Маржинальний","Сезонний","Стратегічний"},0),Settings!$B$78,Settings!$B$80,Settings!$B$82,Settings!$B$84,Settings!$B$86)</f>
        <v/>
      </c>
      <c r="AO534" s="157">
        <f>CHOOSE(MATCH(IF($U534="","Основний",$U534),{"Трафіковий","Основний","Маржинальний","Сезонний","Стратегічний"},0),Settings!$C$78,Settings!$C$80,Settings!$C$82,Settings!$C$84,Settings!$C$86)</f>
        <v/>
      </c>
      <c r="AP534" s="157">
        <f>CHOOSE(MATCH(IF($U534="","Основний",$U534),{"Трафіковий","Основний","Маржинальний","Сезонний","Стратегічний"},0),Settings!$D$78,Settings!$D$80,Settings!$D$82,Settings!$D$84,Settings!$D$86)</f>
        <v/>
      </c>
      <c r="AQ534" s="157">
        <f>CHOOSE(MATCH(IF($U534="","Основний",$U534),{"Трафіковий","Основний","Маржинальний","Сезонний","Стратегічний"},0),Settings!$F$78,Settings!$F$80,Settings!$F$82,Settings!$F$84,Settings!$F$86)</f>
        <v/>
      </c>
      <c r="AR534" s="157">
        <f>CHOOSE(MATCH(IF($U534="","Основний",$U534),{"Трафіковий","Основний","Маржинальний","Сезонний","Стратегічний"},0),Settings!$G$78,Settings!$G$80,Settings!$G$82,Settings!$G$84,Settings!$G$86)</f>
        <v/>
      </c>
      <c r="AS534" s="157">
        <f>CHOOSE(MATCH(IF($U534="","Основний",$U534),{"Трафіковий","Основний","Маржинальний","Сезонний","Стратегічний"},0),Settings!$H$78,Settings!$H$80,Settings!$H$82,Settings!$H$84,Settings!$H$86)</f>
        <v/>
      </c>
      <c r="AT534" s="157">
        <f>CHOOSE(MATCH(IF($U534="","Основний",$U534),{"Трафіковий","Основний","Маржинальний","Сезонний","Стратегічний"},0),Settings!$I$78,Settings!$I$80,Settings!$I$82,Settings!$I$84,Settings!$I$86)</f>
        <v/>
      </c>
      <c r="AU534" s="171" t="n"/>
      <c r="AV534" t="n">
        <v>1.35</v>
      </c>
    </row>
    <row r="535">
      <c r="A535" s="33" t="n"/>
      <c r="B535" s="34" t="inlineStr">
        <is>
          <t>J0665</t>
        </is>
      </c>
      <c r="C535" s="34" t="inlineStr">
        <is>
          <t>ANTENNA OUTDOOR EM-025</t>
        </is>
      </c>
      <c r="D535" s="34" t="inlineStr">
        <is>
          <t>Антени ТВ</t>
        </is>
      </c>
      <c r="E535" s="33" t="inlineStr">
        <is>
          <t>PC</t>
        </is>
      </c>
      <c r="F535" s="94" t="n">
        <v>21.905</v>
      </c>
      <c r="G535" s="35" t="n">
        <v>8529103000</v>
      </c>
      <c r="H535" s="31" t="n">
        <v>1.4</v>
      </c>
      <c r="I535" s="84">
        <f>IFERROR(F535*Settings!$B$2*H535*IF(AND(ISNUMBER(E535),E535&gt;1),E535,1),"")</f>
        <v/>
      </c>
      <c r="J535" s="32">
        <f>Settings!$B$66</f>
        <v/>
      </c>
      <c r="K535" s="95">
        <f>IFERROR(IF(T535="","",(T535*(1-AN535)*(1-Settings!$B$17)-I535)/(T535*(1-AN535)*(1-Settings!$B$17))),"")</f>
        <v/>
      </c>
      <c r="L535" s="101">
        <f>IFERROR(IF(T535="","",(T535*(1-AO535)*(1-Settings!$C$17)-I535)/(T535*(1-AO535)*(1-Settings!$C$17))),"")</f>
        <v/>
      </c>
      <c r="M535" s="101">
        <f>IFERROR(IF(T535="","",(T535*(1-AP535)*(1-Settings!$D$17)-I535)/(T535*(1-AP535)*(1-Settings!$D$17))),"")</f>
        <v/>
      </c>
      <c r="N535" s="101">
        <f>IFERROR(IF(T535="","",(T535*(1-AQ535)*(1-Settings!$F$17)-I535)/(T535*(1-AQ535)*(1-Settings!$F$17))),"")</f>
        <v/>
      </c>
      <c r="O535" s="101">
        <f>IFERROR(IF(T535="","",(T535*(1-AR535)*(1-Settings!$G$17)-I535)/(T535*(1-AR535)*(1-Settings!$G$17))),"")</f>
        <v/>
      </c>
      <c r="P535" s="101">
        <f>IFERROR(IF(T535="","",(T535*(1-AS535)*(1-Settings!$H$17)-I535)/(T535*(1-AS535)*(1-Settings!$H$17))),"")</f>
        <v/>
      </c>
      <c r="Q535" s="101">
        <f>IFERROR(IF(T535="","",(T535*(1-AT535)*(1-Settings!$I$68)*(1-Settings!$I$17)-I535)/(T535*(1-AT535)*(1-Settings!$I$68)*(1-Settings!$I$17))),"")</f>
        <v/>
      </c>
      <c r="R535" s="91">
        <f>IFERROR(IF(OR(I535="",Z535&gt;=1,Settings!$B$17&gt;=1,AN535&gt;=1),"",IF(MOD(ROUND(I535/(1-Z535)/(1-Settings!$B$17)/(1-AN535),0),10)=0,ROUND(I535/(1-Z535)/(1-Settings!$B$17)/(1-AN535),0)-1,IF(MOD(ROUND(I535/(1-Z535)/(1-Settings!$B$17)/(1-AN535),0),10)&lt;=5,FLOOR(ROUND(I535/(1-Z535)/(1-Settings!$B$17)/(1-AN535),0),10)+6,FLOOR(ROUND(I535/(1-Z535)/(1-Settings!$B$17)/(1-AN535),0),10)+9))),"")</f>
        <v/>
      </c>
      <c r="S535" s="174">
        <f>R535*0.95</f>
        <v/>
      </c>
      <c r="T535" s="91">
        <f>IF(S535&lt;&gt;"", IF(MOD(S535,10)=0,S535-1,IF(MOD(S535,10)&lt;=5,FLOOR(S535,10)+6,FLOOR(S535,10)+9)), R535)</f>
        <v/>
      </c>
      <c r="U535" s="87" t="inlineStr">
        <is>
          <t>Основний</t>
        </is>
      </c>
      <c r="V535" s="88" t="n"/>
      <c r="W535" s="88" t="n"/>
      <c r="X535" s="89">
        <f>IFERROR(IF(OR(V535="",W535="",T535=""),"", IF(T535&gt;W535,"Дорогий",IF(T535&lt;V535,"Дешевий","У ринку"))),"")</f>
        <v/>
      </c>
      <c r="Y535" s="90" t="n"/>
      <c r="Z535" s="104">
        <f>CHOOSE(MATCH(IF($U535="","Основний",$U535),{"Трафіковий","Основний","Маржинальний","Сезонний","Стратегічний"},0),0.16,0.19,0.24,0.23,0.28)</f>
        <v/>
      </c>
      <c r="AA535" s="104">
        <f>CHOOSE(MATCH(IF($U535="","Основний",$U535),{"Трафіковий","Основний","Маржинальний","Сезонний","Стратегічний"},0),0.18,0.21,0.26,0.25,0.3)</f>
        <v/>
      </c>
      <c r="AB535" s="104">
        <f>CHOOSE(MATCH(IF($U535="","Основний",$U535),{"Трафіковий","Основний","Маржинальний","Сезонний","Стратегічний"},0),0.19,0.22,0.28,0.26,0.32)</f>
        <v/>
      </c>
      <c r="AC535" s="104">
        <f>CHOOSE(MATCH(IF($U535="","Основний",$U535),{"Трафіковий","Основний","Маржинальний","Сезонний","Стратегічний"},0),0.17,0.2,0.25,0.24,0.28)</f>
        <v/>
      </c>
      <c r="AD535" s="104">
        <f>CHOOSE(MATCH(IF($U535="","Основний",$U535),{"Трафіковий","Основний","Маржинальний","Сезонний","Стратегічний"},0),0.18,0.21,0.26,0.25,0.3)</f>
        <v/>
      </c>
      <c r="AE535" s="104">
        <f>CHOOSE(MATCH(IF($U535="","Основний",$U535),{"Трафіковий","Основний","Маржинальний","Сезонний","Стратегічний"},0),0.18,0.2,0.28,0.27,0.32)</f>
        <v/>
      </c>
      <c r="AF535" s="104">
        <f>CHOOSE(MATCH(IF($U535="","Основний",$U535),{"Трафіковий","Основний","Маржинальний","Сезонний","Стратегічний"},0),0.15,0.175,0.22,0.21,0.25)</f>
        <v/>
      </c>
      <c r="AG535" s="104">
        <f>CHOOSE(MATCH(IF($U535="","Основний",$U535),{"Трафіковий","Основний","Маржинальний","Сезонний","Стратегічний"},0),0.13,0.16,0.21,0.2,0.25)</f>
        <v/>
      </c>
      <c r="AH535" s="104">
        <f>CHOOSE(MATCH(IF($U535="","Основний",$U535),{"Трафіковий","Основний","Маржинальний","Сезонний","Стратегічний"},0),0.15,0.18,0.23,0.22,0.27)</f>
        <v/>
      </c>
      <c r="AI535" s="104">
        <f>CHOOSE(MATCH(IF($U535="","Основний",$U535),{"Трафіковий","Основний","Маржинальний","Сезонний","Стратегічний"},0),0.16,0.19,0.25,0.23,0.29)</f>
        <v/>
      </c>
      <c r="AJ535" s="104">
        <f>CHOOSE(MATCH(IF($U535="","Основний",$U535),{"Трафіковий","Основний","Маржинальний","Сезонний","Стратегічний"},0),0.14,0.17,0.22,0.21,0.25)</f>
        <v/>
      </c>
      <c r="AK535" s="104">
        <f>CHOOSE(MATCH(IF($U535="","Основний",$U535),{"Трафіковий","Основний","Маржинальний","Сезонний","Стратегічний"},0),0.15,0.18,0.23,0.22,0.27)</f>
        <v/>
      </c>
      <c r="AL535" s="104">
        <f>CHOOSE(MATCH(IF($U535="","Основний",$U535),{"Трафіковий","Основний","Маржинальний","Сезонний","Стратегічний"},0),0.15,0.17,0.25,0.24,0.29)</f>
        <v/>
      </c>
      <c r="AM535" s="104">
        <f>CHOOSE(MATCH(IF($U535="","Основний",$U535),{"Трафіковий","Основний","Маржинальний","Сезонний","Стратегічний"},0),0.12,0.145,0.19,0.18,0.22)</f>
        <v/>
      </c>
      <c r="AN535" s="157">
        <f>CHOOSE(MATCH(IF($U535="","Основний",$U535),{"Трафіковий","Основний","Маржинальний","Сезонний","Стратегічний"},0),Settings!$B$78,Settings!$B$80,Settings!$B$82,Settings!$B$84,Settings!$B$86)</f>
        <v/>
      </c>
      <c r="AO535" s="157">
        <f>CHOOSE(MATCH(IF($U535="","Основний",$U535),{"Трафіковий","Основний","Маржинальний","Сезонний","Стратегічний"},0),Settings!$C$78,Settings!$C$80,Settings!$C$82,Settings!$C$84,Settings!$C$86)</f>
        <v/>
      </c>
      <c r="AP535" s="157">
        <f>CHOOSE(MATCH(IF($U535="","Основний",$U535),{"Трафіковий","Основний","Маржинальний","Сезонний","Стратегічний"},0),Settings!$D$78,Settings!$D$80,Settings!$D$82,Settings!$D$84,Settings!$D$86)</f>
        <v/>
      </c>
      <c r="AQ535" s="157">
        <f>CHOOSE(MATCH(IF($U535="","Основний",$U535),{"Трафіковий","Основний","Маржинальний","Сезонний","Стратегічний"},0),Settings!$F$78,Settings!$F$80,Settings!$F$82,Settings!$F$84,Settings!$F$86)</f>
        <v/>
      </c>
      <c r="AR535" s="157">
        <f>CHOOSE(MATCH(IF($U535="","Основний",$U535),{"Трафіковий","Основний","Маржинальний","Сезонний","Стратегічний"},0),Settings!$G$78,Settings!$G$80,Settings!$G$82,Settings!$G$84,Settings!$G$86)</f>
        <v/>
      </c>
      <c r="AS535" s="157">
        <f>CHOOSE(MATCH(IF($U535="","Основний",$U535),{"Трафіковий","Основний","Маржинальний","Сезонний","Стратегічний"},0),Settings!$H$78,Settings!$H$80,Settings!$H$82,Settings!$H$84,Settings!$H$86)</f>
        <v/>
      </c>
      <c r="AT535" s="157">
        <f>CHOOSE(MATCH(IF($U535="","Основний",$U535),{"Трафіковий","Основний","Маржинальний","Сезонний","Стратегічний"},0),Settings!$I$78,Settings!$I$80,Settings!$I$82,Settings!$I$84,Settings!$I$86)</f>
        <v/>
      </c>
      <c r="AU535" s="171" t="n"/>
      <c r="AV535" t="n">
        <v>1.35</v>
      </c>
    </row>
    <row r="536">
      <c r="A536" s="28" t="n"/>
      <c r="B536" s="29" t="inlineStr">
        <is>
          <t>J0666</t>
        </is>
      </c>
      <c r="C536" s="29" t="inlineStr">
        <is>
          <t>ANTENNA OUTDOOR EM-030</t>
        </is>
      </c>
      <c r="D536" s="29" t="inlineStr">
        <is>
          <t>Антени ТВ</t>
        </is>
      </c>
      <c r="E536" s="28" t="inlineStr">
        <is>
          <t>PC</t>
        </is>
      </c>
      <c r="F536" s="93" t="n">
        <v>21.438</v>
      </c>
      <c r="G536" s="30" t="n">
        <v>8529103000</v>
      </c>
      <c r="H536" s="31" t="n">
        <v>1.4</v>
      </c>
      <c r="I536" s="84">
        <f>IFERROR(F536*Settings!$B$2*H536*IF(AND(ISNUMBER(E536),E536&gt;1),E536,1),"")</f>
        <v/>
      </c>
      <c r="J536" s="32">
        <f>Settings!$B$66</f>
        <v/>
      </c>
      <c r="K536" s="95">
        <f>IFERROR(IF(T536="","",(T536*(1-AN536)*(1-Settings!$B$17)-I536)/(T536*(1-AN536)*(1-Settings!$B$17))),"")</f>
        <v/>
      </c>
      <c r="L536" s="101">
        <f>IFERROR(IF(T536="","",(T536*(1-AO536)*(1-Settings!$C$17)-I536)/(T536*(1-AO536)*(1-Settings!$C$17))),"")</f>
        <v/>
      </c>
      <c r="M536" s="101">
        <f>IFERROR(IF(T536="","",(T536*(1-AP536)*(1-Settings!$D$17)-I536)/(T536*(1-AP536)*(1-Settings!$D$17))),"")</f>
        <v/>
      </c>
      <c r="N536" s="101">
        <f>IFERROR(IF(T536="","",(T536*(1-AQ536)*(1-Settings!$F$17)-I536)/(T536*(1-AQ536)*(1-Settings!$F$17))),"")</f>
        <v/>
      </c>
      <c r="O536" s="101">
        <f>IFERROR(IF(T536="","",(T536*(1-AR536)*(1-Settings!$G$17)-I536)/(T536*(1-AR536)*(1-Settings!$G$17))),"")</f>
        <v/>
      </c>
      <c r="P536" s="101">
        <f>IFERROR(IF(T536="","",(T536*(1-AS536)*(1-Settings!$H$17)-I536)/(T536*(1-AS536)*(1-Settings!$H$17))),"")</f>
        <v/>
      </c>
      <c r="Q536" s="101">
        <f>IFERROR(IF(T536="","",(T536*(1-AT536)*(1-Settings!$I$68)*(1-Settings!$I$17)-I536)/(T536*(1-AT536)*(1-Settings!$I$68)*(1-Settings!$I$17))),"")</f>
        <v/>
      </c>
      <c r="R536" s="91">
        <f>IFERROR(IF(OR(I536="",Z536&gt;=1,Settings!$B$17&gt;=1,AN536&gt;=1),"",IF(MOD(ROUND(I536/(1-Z536)/(1-Settings!$B$17)/(1-AN536),0),10)=0,ROUND(I536/(1-Z536)/(1-Settings!$B$17)/(1-AN536),0)-1,IF(MOD(ROUND(I536/(1-Z536)/(1-Settings!$B$17)/(1-AN536),0),10)&lt;=5,FLOOR(ROUND(I536/(1-Z536)/(1-Settings!$B$17)/(1-AN536),0),10)+6,FLOOR(ROUND(I536/(1-Z536)/(1-Settings!$B$17)/(1-AN536),0),10)+9))),"")</f>
        <v/>
      </c>
      <c r="S536" s="174">
        <f>R536*0.95</f>
        <v/>
      </c>
      <c r="T536" s="91">
        <f>IF(S536&lt;&gt;"", IF(MOD(S536,10)=0,S536-1,IF(MOD(S536,10)&lt;=5,FLOOR(S536,10)+6,FLOOR(S536,10)+9)), R536)</f>
        <v/>
      </c>
      <c r="U536" s="87" t="inlineStr">
        <is>
          <t>Основний</t>
        </is>
      </c>
      <c r="V536" s="88" t="n"/>
      <c r="W536" s="88" t="n"/>
      <c r="X536" s="89">
        <f>IFERROR(IF(OR(V536="",W536="",T536=""),"", IF(T536&gt;W536,"Дорогий",IF(T536&lt;V536,"Дешевий","У ринку"))),"")</f>
        <v/>
      </c>
      <c r="Y536" s="90" t="n"/>
      <c r="Z536" s="104">
        <f>CHOOSE(MATCH(IF($U536="","Основний",$U536),{"Трафіковий","Основний","Маржинальний","Сезонний","Стратегічний"},0),0.16,0.19,0.24,0.23,0.28)</f>
        <v/>
      </c>
      <c r="AA536" s="104">
        <f>CHOOSE(MATCH(IF($U536="","Основний",$U536),{"Трафіковий","Основний","Маржинальний","Сезонний","Стратегічний"},0),0.18,0.21,0.26,0.25,0.3)</f>
        <v/>
      </c>
      <c r="AB536" s="104">
        <f>CHOOSE(MATCH(IF($U536="","Основний",$U536),{"Трафіковий","Основний","Маржинальний","Сезонний","Стратегічний"},0),0.19,0.22,0.28,0.26,0.32)</f>
        <v/>
      </c>
      <c r="AC536" s="104">
        <f>CHOOSE(MATCH(IF($U536="","Основний",$U536),{"Трафіковий","Основний","Маржинальний","Сезонний","Стратегічний"},0),0.17,0.2,0.25,0.24,0.28)</f>
        <v/>
      </c>
      <c r="AD536" s="104">
        <f>CHOOSE(MATCH(IF($U536="","Основний",$U536),{"Трафіковий","Основний","Маржинальний","Сезонний","Стратегічний"},0),0.18,0.21,0.26,0.25,0.3)</f>
        <v/>
      </c>
      <c r="AE536" s="104">
        <f>CHOOSE(MATCH(IF($U536="","Основний",$U536),{"Трафіковий","Основний","Маржинальний","Сезонний","Стратегічний"},0),0.18,0.2,0.28,0.27,0.32)</f>
        <v/>
      </c>
      <c r="AF536" s="104">
        <f>CHOOSE(MATCH(IF($U536="","Основний",$U536),{"Трафіковий","Основний","Маржинальний","Сезонний","Стратегічний"},0),0.15,0.175,0.22,0.21,0.25)</f>
        <v/>
      </c>
      <c r="AG536" s="104">
        <f>CHOOSE(MATCH(IF($U536="","Основний",$U536),{"Трафіковий","Основний","Маржинальний","Сезонний","Стратегічний"},0),0.13,0.16,0.21,0.2,0.25)</f>
        <v/>
      </c>
      <c r="AH536" s="104">
        <f>CHOOSE(MATCH(IF($U536="","Основний",$U536),{"Трафіковий","Основний","Маржинальний","Сезонний","Стратегічний"},0),0.15,0.18,0.23,0.22,0.27)</f>
        <v/>
      </c>
      <c r="AI536" s="104">
        <f>CHOOSE(MATCH(IF($U536="","Основний",$U536),{"Трафіковий","Основний","Маржинальний","Сезонний","Стратегічний"},0),0.16,0.19,0.25,0.23,0.29)</f>
        <v/>
      </c>
      <c r="AJ536" s="104">
        <f>CHOOSE(MATCH(IF($U536="","Основний",$U536),{"Трафіковий","Основний","Маржинальний","Сезонний","Стратегічний"},0),0.14,0.17,0.22,0.21,0.25)</f>
        <v/>
      </c>
      <c r="AK536" s="104">
        <f>CHOOSE(MATCH(IF($U536="","Основний",$U536),{"Трафіковий","Основний","Маржинальний","Сезонний","Стратегічний"},0),0.15,0.18,0.23,0.22,0.27)</f>
        <v/>
      </c>
      <c r="AL536" s="104">
        <f>CHOOSE(MATCH(IF($U536="","Основний",$U536),{"Трафіковий","Основний","Маржинальний","Сезонний","Стратегічний"},0),0.15,0.17,0.25,0.24,0.29)</f>
        <v/>
      </c>
      <c r="AM536" s="104">
        <f>CHOOSE(MATCH(IF($U536="","Основний",$U536),{"Трафіковий","Основний","Маржинальний","Сезонний","Стратегічний"},0),0.12,0.145,0.19,0.18,0.22)</f>
        <v/>
      </c>
      <c r="AN536" s="157">
        <f>CHOOSE(MATCH(IF($U536="","Основний",$U536),{"Трафіковий","Основний","Маржинальний","Сезонний","Стратегічний"},0),Settings!$B$78,Settings!$B$80,Settings!$B$82,Settings!$B$84,Settings!$B$86)</f>
        <v/>
      </c>
      <c r="AO536" s="157">
        <f>CHOOSE(MATCH(IF($U536="","Основний",$U536),{"Трафіковий","Основний","Маржинальний","Сезонний","Стратегічний"},0),Settings!$C$78,Settings!$C$80,Settings!$C$82,Settings!$C$84,Settings!$C$86)</f>
        <v/>
      </c>
      <c r="AP536" s="157">
        <f>CHOOSE(MATCH(IF($U536="","Основний",$U536),{"Трафіковий","Основний","Маржинальний","Сезонний","Стратегічний"},0),Settings!$D$78,Settings!$D$80,Settings!$D$82,Settings!$D$84,Settings!$D$86)</f>
        <v/>
      </c>
      <c r="AQ536" s="157">
        <f>CHOOSE(MATCH(IF($U536="","Основний",$U536),{"Трафіковий","Основний","Маржинальний","Сезонний","Стратегічний"},0),Settings!$F$78,Settings!$F$80,Settings!$F$82,Settings!$F$84,Settings!$F$86)</f>
        <v/>
      </c>
      <c r="AR536" s="157">
        <f>CHOOSE(MATCH(IF($U536="","Основний",$U536),{"Трафіковий","Основний","Маржинальний","Сезонний","Стратегічний"},0),Settings!$G$78,Settings!$G$80,Settings!$G$82,Settings!$G$84,Settings!$G$86)</f>
        <v/>
      </c>
      <c r="AS536" s="157">
        <f>CHOOSE(MATCH(IF($U536="","Основний",$U536),{"Трафіковий","Основний","Маржинальний","Сезонний","Стратегічний"},0),Settings!$H$78,Settings!$H$80,Settings!$H$82,Settings!$H$84,Settings!$H$86)</f>
        <v/>
      </c>
      <c r="AT536" s="157">
        <f>CHOOSE(MATCH(IF($U536="","Основний",$U536),{"Трафіковий","Основний","Маржинальний","Сезонний","Стратегічний"},0),Settings!$I$78,Settings!$I$80,Settings!$I$82,Settings!$I$84,Settings!$I$86)</f>
        <v/>
      </c>
      <c r="AU536" s="171" t="n"/>
      <c r="AV536" t="n">
        <v>1.35</v>
      </c>
    </row>
    <row r="537">
      <c r="A537" s="33" t="n"/>
      <c r="B537" s="34" t="inlineStr">
        <is>
          <t>J0801</t>
        </is>
      </c>
      <c r="C537" s="34" t="inlineStr">
        <is>
          <t>INDOOR/OUTDOOR ANTENNA VILLAGE DIO–V750</t>
        </is>
      </c>
      <c r="D537" s="34" t="inlineStr">
        <is>
          <t>Антени ТВ</t>
        </is>
      </c>
      <c r="E537" s="33" t="inlineStr">
        <is>
          <t>PC</t>
        </is>
      </c>
      <c r="F537" s="94" t="n">
        <v>14.372</v>
      </c>
      <c r="G537" s="35" t="n">
        <v>8529103000</v>
      </c>
      <c r="H537" s="31" t="n">
        <v>1.4</v>
      </c>
      <c r="I537" s="84">
        <f>IFERROR(F537*Settings!$B$2*H537*IF(AND(ISNUMBER(E537),E537&gt;1),E537,1),"")</f>
        <v/>
      </c>
      <c r="J537" s="32">
        <f>Settings!$B$66</f>
        <v/>
      </c>
      <c r="K537" s="95">
        <f>IFERROR(IF(T537="","",(T537*(1-AN537)*(1-Settings!$B$17)-I537)/(T537*(1-AN537)*(1-Settings!$B$17))),"")</f>
        <v/>
      </c>
      <c r="L537" s="101">
        <f>IFERROR(IF(T537="","",(T537*(1-AO537)*(1-Settings!$C$17)-I537)/(T537*(1-AO537)*(1-Settings!$C$17))),"")</f>
        <v/>
      </c>
      <c r="M537" s="101">
        <f>IFERROR(IF(T537="","",(T537*(1-AP537)*(1-Settings!$D$17)-I537)/(T537*(1-AP537)*(1-Settings!$D$17))),"")</f>
        <v/>
      </c>
      <c r="N537" s="101">
        <f>IFERROR(IF(T537="","",(T537*(1-AQ537)*(1-Settings!$F$17)-I537)/(T537*(1-AQ537)*(1-Settings!$F$17))),"")</f>
        <v/>
      </c>
      <c r="O537" s="101">
        <f>IFERROR(IF(T537="","",(T537*(1-AR537)*(1-Settings!$G$17)-I537)/(T537*(1-AR537)*(1-Settings!$G$17))),"")</f>
        <v/>
      </c>
      <c r="P537" s="101">
        <f>IFERROR(IF(T537="","",(T537*(1-AS537)*(1-Settings!$H$17)-I537)/(T537*(1-AS537)*(1-Settings!$H$17))),"")</f>
        <v/>
      </c>
      <c r="Q537" s="101">
        <f>IFERROR(IF(T537="","",(T537*(1-AT537)*(1-Settings!$I$68)*(1-Settings!$I$17)-I537)/(T537*(1-AT537)*(1-Settings!$I$68)*(1-Settings!$I$17))),"")</f>
        <v/>
      </c>
      <c r="R537" s="91">
        <f>IFERROR(IF(OR(I537="",Z537&gt;=1,Settings!$B$17&gt;=1,AN537&gt;=1),"",IF(MOD(ROUND(I537/(1-Z537)/(1-Settings!$B$17)/(1-AN537),0),10)=0,ROUND(I537/(1-Z537)/(1-Settings!$B$17)/(1-AN537),0)-1,IF(MOD(ROUND(I537/(1-Z537)/(1-Settings!$B$17)/(1-AN537),0),10)&lt;=5,FLOOR(ROUND(I537/(1-Z537)/(1-Settings!$B$17)/(1-AN537),0),10)+6,FLOOR(ROUND(I537/(1-Z537)/(1-Settings!$B$17)/(1-AN537),0),10)+9))),"")</f>
        <v/>
      </c>
      <c r="S537" s="174">
        <f>R537*0.95</f>
        <v/>
      </c>
      <c r="T537" s="91">
        <f>IF(S537&lt;&gt;"", IF(MOD(S537,10)=0,S537-1,IF(MOD(S537,10)&lt;=5,FLOOR(S537,10)+6,FLOOR(S537,10)+9)), R537)</f>
        <v/>
      </c>
      <c r="U537" s="87" t="inlineStr">
        <is>
          <t>Основний</t>
        </is>
      </c>
      <c r="V537" s="88" t="n"/>
      <c r="W537" s="88" t="n"/>
      <c r="X537" s="89">
        <f>IFERROR(IF(OR(V537="",W537="",T537=""),"", IF(T537&gt;W537,"Дорогий",IF(T537&lt;V537,"Дешевий","У ринку"))),"")</f>
        <v/>
      </c>
      <c r="Y537" s="90" t="n"/>
      <c r="Z537" s="104">
        <f>CHOOSE(MATCH(IF($U537="","Основний",$U537),{"Трафіковий","Основний","Маржинальний","Сезонний","Стратегічний"},0),0.16,0.19,0.24,0.23,0.28)</f>
        <v/>
      </c>
      <c r="AA537" s="104">
        <f>CHOOSE(MATCH(IF($U537="","Основний",$U537),{"Трафіковий","Основний","Маржинальний","Сезонний","Стратегічний"},0),0.18,0.21,0.26,0.25,0.3)</f>
        <v/>
      </c>
      <c r="AB537" s="104">
        <f>CHOOSE(MATCH(IF($U537="","Основний",$U537),{"Трафіковий","Основний","Маржинальний","Сезонний","Стратегічний"},0),0.19,0.22,0.28,0.26,0.32)</f>
        <v/>
      </c>
      <c r="AC537" s="104">
        <f>CHOOSE(MATCH(IF($U537="","Основний",$U537),{"Трафіковий","Основний","Маржинальний","Сезонний","Стратегічний"},0),0.17,0.2,0.25,0.24,0.28)</f>
        <v/>
      </c>
      <c r="AD537" s="104">
        <f>CHOOSE(MATCH(IF($U537="","Основний",$U537),{"Трафіковий","Основний","Маржинальний","Сезонний","Стратегічний"},0),0.18,0.21,0.26,0.25,0.3)</f>
        <v/>
      </c>
      <c r="AE537" s="104">
        <f>CHOOSE(MATCH(IF($U537="","Основний",$U537),{"Трафіковий","Основний","Маржинальний","Сезонний","Стратегічний"},0),0.18,0.2,0.28,0.27,0.32)</f>
        <v/>
      </c>
      <c r="AF537" s="104">
        <f>CHOOSE(MATCH(IF($U537="","Основний",$U537),{"Трафіковий","Основний","Маржинальний","Сезонний","Стратегічний"},0),0.15,0.175,0.22,0.21,0.25)</f>
        <v/>
      </c>
      <c r="AG537" s="104">
        <f>CHOOSE(MATCH(IF($U537="","Основний",$U537),{"Трафіковий","Основний","Маржинальний","Сезонний","Стратегічний"},0),0.13,0.16,0.21,0.2,0.25)</f>
        <v/>
      </c>
      <c r="AH537" s="104">
        <f>CHOOSE(MATCH(IF($U537="","Основний",$U537),{"Трафіковий","Основний","Маржинальний","Сезонний","Стратегічний"},0),0.15,0.18,0.23,0.22,0.27)</f>
        <v/>
      </c>
      <c r="AI537" s="104">
        <f>CHOOSE(MATCH(IF($U537="","Основний",$U537),{"Трафіковий","Основний","Маржинальний","Сезонний","Стратегічний"},0),0.16,0.19,0.25,0.23,0.29)</f>
        <v/>
      </c>
      <c r="AJ537" s="104">
        <f>CHOOSE(MATCH(IF($U537="","Основний",$U537),{"Трафіковий","Основний","Маржинальний","Сезонний","Стратегічний"},0),0.14,0.17,0.22,0.21,0.25)</f>
        <v/>
      </c>
      <c r="AK537" s="104">
        <f>CHOOSE(MATCH(IF($U537="","Основний",$U537),{"Трафіковий","Основний","Маржинальний","Сезонний","Стратегічний"},0),0.15,0.18,0.23,0.22,0.27)</f>
        <v/>
      </c>
      <c r="AL537" s="104">
        <f>CHOOSE(MATCH(IF($U537="","Основний",$U537),{"Трафіковий","Основний","Маржинальний","Сезонний","Стратегічний"},0),0.15,0.17,0.25,0.24,0.29)</f>
        <v/>
      </c>
      <c r="AM537" s="104">
        <f>CHOOSE(MATCH(IF($U537="","Основний",$U537),{"Трафіковий","Основний","Маржинальний","Сезонний","Стратегічний"},0),0.12,0.145,0.19,0.18,0.22)</f>
        <v/>
      </c>
      <c r="AN537" s="157">
        <f>CHOOSE(MATCH(IF($U537="","Основний",$U537),{"Трафіковий","Основний","Маржинальний","Сезонний","Стратегічний"},0),Settings!$B$78,Settings!$B$80,Settings!$B$82,Settings!$B$84,Settings!$B$86)</f>
        <v/>
      </c>
      <c r="AO537" s="157">
        <f>CHOOSE(MATCH(IF($U537="","Основний",$U537),{"Трафіковий","Основний","Маржинальний","Сезонний","Стратегічний"},0),Settings!$C$78,Settings!$C$80,Settings!$C$82,Settings!$C$84,Settings!$C$86)</f>
        <v/>
      </c>
      <c r="AP537" s="157">
        <f>CHOOSE(MATCH(IF($U537="","Основний",$U537),{"Трафіковий","Основний","Маржинальний","Сезонний","Стратегічний"},0),Settings!$D$78,Settings!$D$80,Settings!$D$82,Settings!$D$84,Settings!$D$86)</f>
        <v/>
      </c>
      <c r="AQ537" s="157">
        <f>CHOOSE(MATCH(IF($U537="","Основний",$U537),{"Трафіковий","Основний","Маржинальний","Сезонний","Стратегічний"},0),Settings!$F$78,Settings!$F$80,Settings!$F$82,Settings!$F$84,Settings!$F$86)</f>
        <v/>
      </c>
      <c r="AR537" s="157">
        <f>CHOOSE(MATCH(IF($U537="","Основний",$U537),{"Трафіковий","Основний","Маржинальний","Сезонний","Стратегічний"},0),Settings!$G$78,Settings!$G$80,Settings!$G$82,Settings!$G$84,Settings!$G$86)</f>
        <v/>
      </c>
      <c r="AS537" s="157">
        <f>CHOOSE(MATCH(IF($U537="","Основний",$U537),{"Трафіковий","Основний","Маржинальний","Сезонний","Стратегічний"},0),Settings!$H$78,Settings!$H$80,Settings!$H$82,Settings!$H$84,Settings!$H$86)</f>
        <v/>
      </c>
      <c r="AT537" s="157">
        <f>CHOOSE(MATCH(IF($U537="","Основний",$U537),{"Трафіковий","Основний","Маржинальний","Сезонний","Стратегічний"},0),Settings!$I$78,Settings!$I$80,Settings!$I$82,Settings!$I$84,Settings!$I$86)</f>
        <v/>
      </c>
      <c r="AU537" s="171" t="n"/>
      <c r="AV537" t="n">
        <v>1.35</v>
      </c>
    </row>
    <row r="538">
      <c r="A538" s="28" t="n"/>
      <c r="B538" s="29" t="inlineStr">
        <is>
          <t>J0802</t>
        </is>
      </c>
      <c r="C538" s="29" t="inlineStr">
        <is>
          <t>ANTENNA UNIVERSAL VILLAGE CAMP–V400</t>
        </is>
      </c>
      <c r="D538" s="29" t="inlineStr">
        <is>
          <t>Антени ТВ</t>
        </is>
      </c>
      <c r="E538" s="28" t="inlineStr">
        <is>
          <t>PC</t>
        </is>
      </c>
      <c r="F538" s="93" t="n">
        <v>12.584</v>
      </c>
      <c r="G538" s="30" t="n">
        <v>8529103000</v>
      </c>
      <c r="H538" s="31" t="n">
        <v>1.4</v>
      </c>
      <c r="I538" s="84">
        <f>IFERROR(F538*Settings!$B$2*H538*IF(AND(ISNUMBER(E538),E538&gt;1),E538,1),"")</f>
        <v/>
      </c>
      <c r="J538" s="32">
        <f>Settings!$B$66</f>
        <v/>
      </c>
      <c r="K538" s="95">
        <f>IFERROR(IF(T538="","",(T538*(1-AN538)*(1-Settings!$B$17)-I538)/(T538*(1-AN538)*(1-Settings!$B$17))),"")</f>
        <v/>
      </c>
      <c r="L538" s="101">
        <f>IFERROR(IF(T538="","",(T538*(1-AO538)*(1-Settings!$C$17)-I538)/(T538*(1-AO538)*(1-Settings!$C$17))),"")</f>
        <v/>
      </c>
      <c r="M538" s="101">
        <f>IFERROR(IF(T538="","",(T538*(1-AP538)*(1-Settings!$D$17)-I538)/(T538*(1-AP538)*(1-Settings!$D$17))),"")</f>
        <v/>
      </c>
      <c r="N538" s="101">
        <f>IFERROR(IF(T538="","",(T538*(1-AQ538)*(1-Settings!$F$17)-I538)/(T538*(1-AQ538)*(1-Settings!$F$17))),"")</f>
        <v/>
      </c>
      <c r="O538" s="101">
        <f>IFERROR(IF(T538="","",(T538*(1-AR538)*(1-Settings!$G$17)-I538)/(T538*(1-AR538)*(1-Settings!$G$17))),"")</f>
        <v/>
      </c>
      <c r="P538" s="101">
        <f>IFERROR(IF(T538="","",(T538*(1-AS538)*(1-Settings!$H$17)-I538)/(T538*(1-AS538)*(1-Settings!$H$17))),"")</f>
        <v/>
      </c>
      <c r="Q538" s="101">
        <f>IFERROR(IF(T538="","",(T538*(1-AT538)*(1-Settings!$I$68)*(1-Settings!$I$17)-I538)/(T538*(1-AT538)*(1-Settings!$I$68)*(1-Settings!$I$17))),"")</f>
        <v/>
      </c>
      <c r="R538" s="91">
        <f>IFERROR(IF(OR(I538="",Z538&gt;=1,Settings!$B$17&gt;=1,AN538&gt;=1),"",IF(MOD(ROUND(I538/(1-Z538)/(1-Settings!$B$17)/(1-AN538),0),10)=0,ROUND(I538/(1-Z538)/(1-Settings!$B$17)/(1-AN538),0)-1,IF(MOD(ROUND(I538/(1-Z538)/(1-Settings!$B$17)/(1-AN538),0),10)&lt;=5,FLOOR(ROUND(I538/(1-Z538)/(1-Settings!$B$17)/(1-AN538),0),10)+6,FLOOR(ROUND(I538/(1-Z538)/(1-Settings!$B$17)/(1-AN538),0),10)+9))),"")</f>
        <v/>
      </c>
      <c r="S538" s="174">
        <f>R538*0.95</f>
        <v/>
      </c>
      <c r="T538" s="91">
        <f>IF(S538&lt;&gt;"", IF(MOD(S538,10)=0,S538-1,IF(MOD(S538,10)&lt;=5,FLOOR(S538,10)+6,FLOOR(S538,10)+9)), R538)</f>
        <v/>
      </c>
      <c r="U538" s="87" t="inlineStr">
        <is>
          <t>Основний</t>
        </is>
      </c>
      <c r="V538" s="88" t="n"/>
      <c r="W538" s="88" t="n"/>
      <c r="X538" s="89">
        <f>IFERROR(IF(OR(V538="",W538="",T538=""),"", IF(T538&gt;W538,"Дорогий",IF(T538&lt;V538,"Дешевий","У ринку"))),"")</f>
        <v/>
      </c>
      <c r="Y538" s="90" t="n"/>
      <c r="Z538" s="104">
        <f>CHOOSE(MATCH(IF($U538="","Основний",$U538),{"Трафіковий","Основний","Маржинальний","Сезонний","Стратегічний"},0),0.16,0.19,0.24,0.23,0.28)</f>
        <v/>
      </c>
      <c r="AA538" s="104">
        <f>CHOOSE(MATCH(IF($U538="","Основний",$U538),{"Трафіковий","Основний","Маржинальний","Сезонний","Стратегічний"},0),0.18,0.21,0.26,0.25,0.3)</f>
        <v/>
      </c>
      <c r="AB538" s="104">
        <f>CHOOSE(MATCH(IF($U538="","Основний",$U538),{"Трафіковий","Основний","Маржинальний","Сезонний","Стратегічний"},0),0.19,0.22,0.28,0.26,0.32)</f>
        <v/>
      </c>
      <c r="AC538" s="104">
        <f>CHOOSE(MATCH(IF($U538="","Основний",$U538),{"Трафіковий","Основний","Маржинальний","Сезонний","Стратегічний"},0),0.17,0.2,0.25,0.24,0.28)</f>
        <v/>
      </c>
      <c r="AD538" s="104">
        <f>CHOOSE(MATCH(IF($U538="","Основний",$U538),{"Трафіковий","Основний","Маржинальний","Сезонний","Стратегічний"},0),0.18,0.21,0.26,0.25,0.3)</f>
        <v/>
      </c>
      <c r="AE538" s="104">
        <f>CHOOSE(MATCH(IF($U538="","Основний",$U538),{"Трафіковий","Основний","Маржинальний","Сезонний","Стратегічний"},0),0.18,0.2,0.28,0.27,0.32)</f>
        <v/>
      </c>
      <c r="AF538" s="104">
        <f>CHOOSE(MATCH(IF($U538="","Основний",$U538),{"Трафіковий","Основний","Маржинальний","Сезонний","Стратегічний"},0),0.15,0.175,0.22,0.21,0.25)</f>
        <v/>
      </c>
      <c r="AG538" s="104">
        <f>CHOOSE(MATCH(IF($U538="","Основний",$U538),{"Трафіковий","Основний","Маржинальний","Сезонний","Стратегічний"},0),0.13,0.16,0.21,0.2,0.25)</f>
        <v/>
      </c>
      <c r="AH538" s="104">
        <f>CHOOSE(MATCH(IF($U538="","Основний",$U538),{"Трафіковий","Основний","Маржинальний","Сезонний","Стратегічний"},0),0.15,0.18,0.23,0.22,0.27)</f>
        <v/>
      </c>
      <c r="AI538" s="104">
        <f>CHOOSE(MATCH(IF($U538="","Основний",$U538),{"Трафіковий","Основний","Маржинальний","Сезонний","Стратегічний"},0),0.16,0.19,0.25,0.23,0.29)</f>
        <v/>
      </c>
      <c r="AJ538" s="104">
        <f>CHOOSE(MATCH(IF($U538="","Основний",$U538),{"Трафіковий","Основний","Маржинальний","Сезонний","Стратегічний"},0),0.14,0.17,0.22,0.21,0.25)</f>
        <v/>
      </c>
      <c r="AK538" s="104">
        <f>CHOOSE(MATCH(IF($U538="","Основний",$U538),{"Трафіковий","Основний","Маржинальний","Сезонний","Стратегічний"},0),0.15,0.18,0.23,0.22,0.27)</f>
        <v/>
      </c>
      <c r="AL538" s="104">
        <f>CHOOSE(MATCH(IF($U538="","Основний",$U538),{"Трафіковий","Основний","Маржинальний","Сезонний","Стратегічний"},0),0.15,0.17,0.25,0.24,0.29)</f>
        <v/>
      </c>
      <c r="AM538" s="104">
        <f>CHOOSE(MATCH(IF($U538="","Основний",$U538),{"Трафіковий","Основний","Маржинальний","Сезонний","Стратегічний"},0),0.12,0.145,0.19,0.18,0.22)</f>
        <v/>
      </c>
      <c r="AN538" s="157">
        <f>CHOOSE(MATCH(IF($U538="","Основний",$U538),{"Трафіковий","Основний","Маржинальний","Сезонний","Стратегічний"},0),Settings!$B$78,Settings!$B$80,Settings!$B$82,Settings!$B$84,Settings!$B$86)</f>
        <v/>
      </c>
      <c r="AO538" s="157">
        <f>CHOOSE(MATCH(IF($U538="","Основний",$U538),{"Трафіковий","Основний","Маржинальний","Сезонний","Стратегічний"},0),Settings!$C$78,Settings!$C$80,Settings!$C$82,Settings!$C$84,Settings!$C$86)</f>
        <v/>
      </c>
      <c r="AP538" s="157">
        <f>CHOOSE(MATCH(IF($U538="","Основний",$U538),{"Трафіковий","Основний","Маржинальний","Сезонний","Стратегічний"},0),Settings!$D$78,Settings!$D$80,Settings!$D$82,Settings!$D$84,Settings!$D$86)</f>
        <v/>
      </c>
      <c r="AQ538" s="157">
        <f>CHOOSE(MATCH(IF($U538="","Основний",$U538),{"Трафіковий","Основний","Маржинальний","Сезонний","Стратегічний"},0),Settings!$F$78,Settings!$F$80,Settings!$F$82,Settings!$F$84,Settings!$F$86)</f>
        <v/>
      </c>
      <c r="AR538" s="157">
        <f>CHOOSE(MATCH(IF($U538="","Основний",$U538),{"Трафіковий","Основний","Маржинальний","Сезонний","Стратегічний"},0),Settings!$G$78,Settings!$G$80,Settings!$G$82,Settings!$G$84,Settings!$G$86)</f>
        <v/>
      </c>
      <c r="AS538" s="157">
        <f>CHOOSE(MATCH(IF($U538="","Основний",$U538),{"Трафіковий","Основний","Маржинальний","Сезонний","Стратегічний"},0),Settings!$H$78,Settings!$H$80,Settings!$H$82,Settings!$H$84,Settings!$H$86)</f>
        <v/>
      </c>
      <c r="AT538" s="157">
        <f>CHOOSE(MATCH(IF($U538="","Основний",$U538),{"Трафіковий","Основний","Маржинальний","Сезонний","Стратегічний"},0),Settings!$I$78,Settings!$I$80,Settings!$I$82,Settings!$I$84,Settings!$I$86)</f>
        <v/>
      </c>
      <c r="AU538" s="171" t="n"/>
      <c r="AV538" t="n">
        <v>1.35</v>
      </c>
    </row>
    <row r="539">
      <c r="A539" s="33" t="n"/>
      <c r="B539" s="34" t="inlineStr">
        <is>
          <t>J0803</t>
        </is>
      </c>
      <c r="C539" s="34" t="inlineStr">
        <is>
          <t>ANTENNA UNIVERSAL VILLAGE MOON–V900</t>
        </is>
      </c>
      <c r="D539" s="34" t="inlineStr">
        <is>
          <t>Антени ТВ</t>
        </is>
      </c>
      <c r="E539" s="33" t="inlineStr">
        <is>
          <t>PC</t>
        </is>
      </c>
      <c r="F539" s="94" t="n">
        <v>22.165</v>
      </c>
      <c r="G539" s="35" t="n">
        <v>8529103000</v>
      </c>
      <c r="H539" s="31" t="n">
        <v>1.4</v>
      </c>
      <c r="I539" s="84">
        <f>IFERROR(F539*Settings!$B$2*H539*IF(AND(ISNUMBER(E539),E539&gt;1),E539,1),"")</f>
        <v/>
      </c>
      <c r="J539" s="32">
        <f>Settings!$B$66</f>
        <v/>
      </c>
      <c r="K539" s="95">
        <f>IFERROR(IF(T539="","",(T539*(1-AN539)*(1-Settings!$B$17)-I539)/(T539*(1-AN539)*(1-Settings!$B$17))),"")</f>
        <v/>
      </c>
      <c r="L539" s="101">
        <f>IFERROR(IF(T539="","",(T539*(1-AO539)*(1-Settings!$C$17)-I539)/(T539*(1-AO539)*(1-Settings!$C$17))),"")</f>
        <v/>
      </c>
      <c r="M539" s="101">
        <f>IFERROR(IF(T539="","",(T539*(1-AP539)*(1-Settings!$D$17)-I539)/(T539*(1-AP539)*(1-Settings!$D$17))),"")</f>
        <v/>
      </c>
      <c r="N539" s="101">
        <f>IFERROR(IF(T539="","",(T539*(1-AQ539)*(1-Settings!$F$17)-I539)/(T539*(1-AQ539)*(1-Settings!$F$17))),"")</f>
        <v/>
      </c>
      <c r="O539" s="101">
        <f>IFERROR(IF(T539="","",(T539*(1-AR539)*(1-Settings!$G$17)-I539)/(T539*(1-AR539)*(1-Settings!$G$17))),"")</f>
        <v/>
      </c>
      <c r="P539" s="101">
        <f>IFERROR(IF(T539="","",(T539*(1-AS539)*(1-Settings!$H$17)-I539)/(T539*(1-AS539)*(1-Settings!$H$17))),"")</f>
        <v/>
      </c>
      <c r="Q539" s="101">
        <f>IFERROR(IF(T539="","",(T539*(1-AT539)*(1-Settings!$I$68)*(1-Settings!$I$17)-I539)/(T539*(1-AT539)*(1-Settings!$I$68)*(1-Settings!$I$17))),"")</f>
        <v/>
      </c>
      <c r="R539" s="91">
        <f>IFERROR(IF(OR(I539="",Z539&gt;=1,Settings!$B$17&gt;=1,AN539&gt;=1),"",IF(MOD(ROUND(I539/(1-Z539)/(1-Settings!$B$17)/(1-AN539),0),10)=0,ROUND(I539/(1-Z539)/(1-Settings!$B$17)/(1-AN539),0)-1,IF(MOD(ROUND(I539/(1-Z539)/(1-Settings!$B$17)/(1-AN539),0),10)&lt;=5,FLOOR(ROUND(I539/(1-Z539)/(1-Settings!$B$17)/(1-AN539),0),10)+6,FLOOR(ROUND(I539/(1-Z539)/(1-Settings!$B$17)/(1-AN539),0),10)+9))),"")</f>
        <v/>
      </c>
      <c r="S539" s="174">
        <f>R539*0.95</f>
        <v/>
      </c>
      <c r="T539" s="91">
        <f>IF(S539&lt;&gt;"", IF(MOD(S539,10)=0,S539-1,IF(MOD(S539,10)&lt;=5,FLOOR(S539,10)+6,FLOOR(S539,10)+9)), R539)</f>
        <v/>
      </c>
      <c r="U539" s="87" t="inlineStr">
        <is>
          <t>Основний</t>
        </is>
      </c>
      <c r="V539" s="88" t="n"/>
      <c r="W539" s="88" t="n"/>
      <c r="X539" s="89">
        <f>IFERROR(IF(OR(V539="",W539="",T539=""),"", IF(T539&gt;W539,"Дорогий",IF(T539&lt;V539,"Дешевий","У ринку"))),"")</f>
        <v/>
      </c>
      <c r="Y539" s="90" t="n"/>
      <c r="Z539" s="104">
        <f>CHOOSE(MATCH(IF($U539="","Основний",$U539),{"Трафіковий","Основний","Маржинальний","Сезонний","Стратегічний"},0),0.16,0.19,0.24,0.23,0.28)</f>
        <v/>
      </c>
      <c r="AA539" s="104">
        <f>CHOOSE(MATCH(IF($U539="","Основний",$U539),{"Трафіковий","Основний","Маржинальний","Сезонний","Стратегічний"},0),0.18,0.21,0.26,0.25,0.3)</f>
        <v/>
      </c>
      <c r="AB539" s="104">
        <f>CHOOSE(MATCH(IF($U539="","Основний",$U539),{"Трафіковий","Основний","Маржинальний","Сезонний","Стратегічний"},0),0.19,0.22,0.28,0.26,0.32)</f>
        <v/>
      </c>
      <c r="AC539" s="104">
        <f>CHOOSE(MATCH(IF($U539="","Основний",$U539),{"Трафіковий","Основний","Маржинальний","Сезонний","Стратегічний"},0),0.17,0.2,0.25,0.24,0.28)</f>
        <v/>
      </c>
      <c r="AD539" s="104">
        <f>CHOOSE(MATCH(IF($U539="","Основний",$U539),{"Трафіковий","Основний","Маржинальний","Сезонний","Стратегічний"},0),0.18,0.21,0.26,0.25,0.3)</f>
        <v/>
      </c>
      <c r="AE539" s="104">
        <f>CHOOSE(MATCH(IF($U539="","Основний",$U539),{"Трафіковий","Основний","Маржинальний","Сезонний","Стратегічний"},0),0.18,0.2,0.28,0.27,0.32)</f>
        <v/>
      </c>
      <c r="AF539" s="104">
        <f>CHOOSE(MATCH(IF($U539="","Основний",$U539),{"Трафіковий","Основний","Маржинальний","Сезонний","Стратегічний"},0),0.15,0.175,0.22,0.21,0.25)</f>
        <v/>
      </c>
      <c r="AG539" s="104">
        <f>CHOOSE(MATCH(IF($U539="","Основний",$U539),{"Трафіковий","Основний","Маржинальний","Сезонний","Стратегічний"},0),0.13,0.16,0.21,0.2,0.25)</f>
        <v/>
      </c>
      <c r="AH539" s="104">
        <f>CHOOSE(MATCH(IF($U539="","Основний",$U539),{"Трафіковий","Основний","Маржинальний","Сезонний","Стратегічний"},0),0.15,0.18,0.23,0.22,0.27)</f>
        <v/>
      </c>
      <c r="AI539" s="104">
        <f>CHOOSE(MATCH(IF($U539="","Основний",$U539),{"Трафіковий","Основний","Маржинальний","Сезонний","Стратегічний"},0),0.16,0.19,0.25,0.23,0.29)</f>
        <v/>
      </c>
      <c r="AJ539" s="104">
        <f>CHOOSE(MATCH(IF($U539="","Основний",$U539),{"Трафіковий","Основний","Маржинальний","Сезонний","Стратегічний"},0),0.14,0.17,0.22,0.21,0.25)</f>
        <v/>
      </c>
      <c r="AK539" s="104">
        <f>CHOOSE(MATCH(IF($U539="","Основний",$U539),{"Трафіковий","Основний","Маржинальний","Сезонний","Стратегічний"},0),0.15,0.18,0.23,0.22,0.27)</f>
        <v/>
      </c>
      <c r="AL539" s="104">
        <f>CHOOSE(MATCH(IF($U539="","Основний",$U539),{"Трафіковий","Основний","Маржинальний","Сезонний","Стратегічний"},0),0.15,0.17,0.25,0.24,0.29)</f>
        <v/>
      </c>
      <c r="AM539" s="104">
        <f>CHOOSE(MATCH(IF($U539="","Основний",$U539),{"Трафіковий","Основний","Маржинальний","Сезонний","Стратегічний"},0),0.12,0.145,0.19,0.18,0.22)</f>
        <v/>
      </c>
      <c r="AN539" s="157">
        <f>CHOOSE(MATCH(IF($U539="","Основний",$U539),{"Трафіковий","Основний","Маржинальний","Сезонний","Стратегічний"},0),Settings!$B$78,Settings!$B$80,Settings!$B$82,Settings!$B$84,Settings!$B$86)</f>
        <v/>
      </c>
      <c r="AO539" s="157">
        <f>CHOOSE(MATCH(IF($U539="","Основний",$U539),{"Трафіковий","Основний","Маржинальний","Сезонний","Стратегічний"},0),Settings!$C$78,Settings!$C$80,Settings!$C$82,Settings!$C$84,Settings!$C$86)</f>
        <v/>
      </c>
      <c r="AP539" s="157">
        <f>CHOOSE(MATCH(IF($U539="","Основний",$U539),{"Трафіковий","Основний","Маржинальний","Сезонний","Стратегічний"},0),Settings!$D$78,Settings!$D$80,Settings!$D$82,Settings!$D$84,Settings!$D$86)</f>
        <v/>
      </c>
      <c r="AQ539" s="157">
        <f>CHOOSE(MATCH(IF($U539="","Основний",$U539),{"Трафіковий","Основний","Маржинальний","Сезонний","Стратегічний"},0),Settings!$F$78,Settings!$F$80,Settings!$F$82,Settings!$F$84,Settings!$F$86)</f>
        <v/>
      </c>
      <c r="AR539" s="157">
        <f>CHOOSE(MATCH(IF($U539="","Основний",$U539),{"Трафіковий","Основний","Маржинальний","Сезонний","Стратегічний"},0),Settings!$G$78,Settings!$G$80,Settings!$G$82,Settings!$G$84,Settings!$G$86)</f>
        <v/>
      </c>
      <c r="AS539" s="157">
        <f>CHOOSE(MATCH(IF($U539="","Основний",$U539),{"Трафіковий","Основний","Маржинальний","Сезонний","Стратегічний"},0),Settings!$H$78,Settings!$H$80,Settings!$H$82,Settings!$H$84,Settings!$H$86)</f>
        <v/>
      </c>
      <c r="AT539" s="157">
        <f>CHOOSE(MATCH(IF($U539="","Основний",$U539),{"Трафіковий","Основний","Маржинальний","Сезонний","Стратегічний"},0),Settings!$I$78,Settings!$I$80,Settings!$I$82,Settings!$I$84,Settings!$I$86)</f>
        <v/>
      </c>
      <c r="AU539" s="171" t="n"/>
      <c r="AV539" t="n">
        <v>1.35</v>
      </c>
    </row>
    <row r="540">
      <c r="A540" s="28" t="n"/>
      <c r="B540" s="29" t="inlineStr">
        <is>
          <t>J0804</t>
        </is>
      </c>
      <c r="C540" s="29" t="inlineStr">
        <is>
          <t>INDOOR/OUTDOOR ANTENNA VILLAGE FLIPP–V200</t>
        </is>
      </c>
      <c r="D540" s="29" t="inlineStr">
        <is>
          <t>Антени ТВ</t>
        </is>
      </c>
      <c r="E540" s="28" t="inlineStr">
        <is>
          <t>PC</t>
        </is>
      </c>
      <c r="F540" s="93" t="n">
        <v>13.786</v>
      </c>
      <c r="G540" s="30" t="n">
        <v>8529103000</v>
      </c>
      <c r="H540" s="31" t="n">
        <v>1.4</v>
      </c>
      <c r="I540" s="84">
        <f>IFERROR(F540*Settings!$B$2*H540*IF(AND(ISNUMBER(E540),E540&gt;1),E540,1),"")</f>
        <v/>
      </c>
      <c r="J540" s="32">
        <f>Settings!$B$66</f>
        <v/>
      </c>
      <c r="K540" s="95">
        <f>IFERROR(IF(T540="","",(T540*(1-AN540)*(1-Settings!$B$17)-I540)/(T540*(1-AN540)*(1-Settings!$B$17))),"")</f>
        <v/>
      </c>
      <c r="L540" s="101">
        <f>IFERROR(IF(T540="","",(T540*(1-AO540)*(1-Settings!$C$17)-I540)/(T540*(1-AO540)*(1-Settings!$C$17))),"")</f>
        <v/>
      </c>
      <c r="M540" s="101">
        <f>IFERROR(IF(T540="","",(T540*(1-AP540)*(1-Settings!$D$17)-I540)/(T540*(1-AP540)*(1-Settings!$D$17))),"")</f>
        <v/>
      </c>
      <c r="N540" s="101">
        <f>IFERROR(IF(T540="","",(T540*(1-AQ540)*(1-Settings!$F$17)-I540)/(T540*(1-AQ540)*(1-Settings!$F$17))),"")</f>
        <v/>
      </c>
      <c r="O540" s="101">
        <f>IFERROR(IF(T540="","",(T540*(1-AR540)*(1-Settings!$G$17)-I540)/(T540*(1-AR540)*(1-Settings!$G$17))),"")</f>
        <v/>
      </c>
      <c r="P540" s="101">
        <f>IFERROR(IF(T540="","",(T540*(1-AS540)*(1-Settings!$H$17)-I540)/(T540*(1-AS540)*(1-Settings!$H$17))),"")</f>
        <v/>
      </c>
      <c r="Q540" s="101">
        <f>IFERROR(IF(T540="","",(T540*(1-AT540)*(1-Settings!$I$68)*(1-Settings!$I$17)-I540)/(T540*(1-AT540)*(1-Settings!$I$68)*(1-Settings!$I$17))),"")</f>
        <v/>
      </c>
      <c r="R540" s="91">
        <f>IFERROR(IF(OR(I540="",Z540&gt;=1,Settings!$B$17&gt;=1,AN540&gt;=1),"",IF(MOD(ROUND(I540/(1-Z540)/(1-Settings!$B$17)/(1-AN540),0),10)=0,ROUND(I540/(1-Z540)/(1-Settings!$B$17)/(1-AN540),0)-1,IF(MOD(ROUND(I540/(1-Z540)/(1-Settings!$B$17)/(1-AN540),0),10)&lt;=5,FLOOR(ROUND(I540/(1-Z540)/(1-Settings!$B$17)/(1-AN540),0),10)+6,FLOOR(ROUND(I540/(1-Z540)/(1-Settings!$B$17)/(1-AN540),0),10)+9))),"")</f>
        <v/>
      </c>
      <c r="S540" s="174">
        <f>R540*0.95</f>
        <v/>
      </c>
      <c r="T540" s="91">
        <f>IF(S540&lt;&gt;"", IF(MOD(S540,10)=0,S540-1,IF(MOD(S540,10)&lt;=5,FLOOR(S540,10)+6,FLOOR(S540,10)+9)), R540)</f>
        <v/>
      </c>
      <c r="U540" s="87" t="inlineStr">
        <is>
          <t>Основний</t>
        </is>
      </c>
      <c r="V540" s="88" t="n"/>
      <c r="W540" s="88" t="n"/>
      <c r="X540" s="89">
        <f>IFERROR(IF(OR(V540="",W540="",T540=""),"", IF(T540&gt;W540,"Дорогий",IF(T540&lt;V540,"Дешевий","У ринку"))),"")</f>
        <v/>
      </c>
      <c r="Y540" s="90" t="n"/>
      <c r="Z540" s="104">
        <f>CHOOSE(MATCH(IF($U540="","Основний",$U540),{"Трафіковий","Основний","Маржинальний","Сезонний","Стратегічний"},0),0.16,0.19,0.24,0.23,0.28)</f>
        <v/>
      </c>
      <c r="AA540" s="104">
        <f>CHOOSE(MATCH(IF($U540="","Основний",$U540),{"Трафіковий","Основний","Маржинальний","Сезонний","Стратегічний"},0),0.18,0.21,0.26,0.25,0.3)</f>
        <v/>
      </c>
      <c r="AB540" s="104">
        <f>CHOOSE(MATCH(IF($U540="","Основний",$U540),{"Трафіковий","Основний","Маржинальний","Сезонний","Стратегічний"},0),0.19,0.22,0.28,0.26,0.32)</f>
        <v/>
      </c>
      <c r="AC540" s="104">
        <f>CHOOSE(MATCH(IF($U540="","Основний",$U540),{"Трафіковий","Основний","Маржинальний","Сезонний","Стратегічний"},0),0.17,0.2,0.25,0.24,0.28)</f>
        <v/>
      </c>
      <c r="AD540" s="104">
        <f>CHOOSE(MATCH(IF($U540="","Основний",$U540),{"Трафіковий","Основний","Маржинальний","Сезонний","Стратегічний"},0),0.18,0.21,0.26,0.25,0.3)</f>
        <v/>
      </c>
      <c r="AE540" s="104">
        <f>CHOOSE(MATCH(IF($U540="","Основний",$U540),{"Трафіковий","Основний","Маржинальний","Сезонний","Стратегічний"},0),0.18,0.2,0.28,0.27,0.32)</f>
        <v/>
      </c>
      <c r="AF540" s="104">
        <f>CHOOSE(MATCH(IF($U540="","Основний",$U540),{"Трафіковий","Основний","Маржинальний","Сезонний","Стратегічний"},0),0.15,0.175,0.22,0.21,0.25)</f>
        <v/>
      </c>
      <c r="AG540" s="104">
        <f>CHOOSE(MATCH(IF($U540="","Основний",$U540),{"Трафіковий","Основний","Маржинальний","Сезонний","Стратегічний"},0),0.13,0.16,0.21,0.2,0.25)</f>
        <v/>
      </c>
      <c r="AH540" s="104">
        <f>CHOOSE(MATCH(IF($U540="","Основний",$U540),{"Трафіковий","Основний","Маржинальний","Сезонний","Стратегічний"},0),0.15,0.18,0.23,0.22,0.27)</f>
        <v/>
      </c>
      <c r="AI540" s="104">
        <f>CHOOSE(MATCH(IF($U540="","Основний",$U540),{"Трафіковий","Основний","Маржинальний","Сезонний","Стратегічний"},0),0.16,0.19,0.25,0.23,0.29)</f>
        <v/>
      </c>
      <c r="AJ540" s="104">
        <f>CHOOSE(MATCH(IF($U540="","Основний",$U540),{"Трафіковий","Основний","Маржинальний","Сезонний","Стратегічний"},0),0.14,0.17,0.22,0.21,0.25)</f>
        <v/>
      </c>
      <c r="AK540" s="104">
        <f>CHOOSE(MATCH(IF($U540="","Основний",$U540),{"Трафіковий","Основний","Маржинальний","Сезонний","Стратегічний"},0),0.15,0.18,0.23,0.22,0.27)</f>
        <v/>
      </c>
      <c r="AL540" s="104">
        <f>CHOOSE(MATCH(IF($U540="","Основний",$U540),{"Трафіковий","Основний","Маржинальний","Сезонний","Стратегічний"},0),0.15,0.17,0.25,0.24,0.29)</f>
        <v/>
      </c>
      <c r="AM540" s="104">
        <f>CHOOSE(MATCH(IF($U540="","Основний",$U540),{"Трафіковий","Основний","Маржинальний","Сезонний","Стратегічний"},0),0.12,0.145,0.19,0.18,0.22)</f>
        <v/>
      </c>
      <c r="AN540" s="157">
        <f>CHOOSE(MATCH(IF($U540="","Основний",$U540),{"Трафіковий","Основний","Маржинальний","Сезонний","Стратегічний"},0),Settings!$B$78,Settings!$B$80,Settings!$B$82,Settings!$B$84,Settings!$B$86)</f>
        <v/>
      </c>
      <c r="AO540" s="157">
        <f>CHOOSE(MATCH(IF($U540="","Основний",$U540),{"Трафіковий","Основний","Маржинальний","Сезонний","Стратегічний"},0),Settings!$C$78,Settings!$C$80,Settings!$C$82,Settings!$C$84,Settings!$C$86)</f>
        <v/>
      </c>
      <c r="AP540" s="157">
        <f>CHOOSE(MATCH(IF($U540="","Основний",$U540),{"Трафіковий","Основний","Маржинальний","Сезонний","Стратегічний"},0),Settings!$D$78,Settings!$D$80,Settings!$D$82,Settings!$D$84,Settings!$D$86)</f>
        <v/>
      </c>
      <c r="AQ540" s="157">
        <f>CHOOSE(MATCH(IF($U540="","Основний",$U540),{"Трафіковий","Основний","Маржинальний","Сезонний","Стратегічний"},0),Settings!$F$78,Settings!$F$80,Settings!$F$82,Settings!$F$84,Settings!$F$86)</f>
        <v/>
      </c>
      <c r="AR540" s="157">
        <f>CHOOSE(MATCH(IF($U540="","Основний",$U540),{"Трафіковий","Основний","Маржинальний","Сезонний","Стратегічний"},0),Settings!$G$78,Settings!$G$80,Settings!$G$82,Settings!$G$84,Settings!$G$86)</f>
        <v/>
      </c>
      <c r="AS540" s="157">
        <f>CHOOSE(MATCH(IF($U540="","Основний",$U540),{"Трафіковий","Основний","Маржинальний","Сезонний","Стратегічний"},0),Settings!$H$78,Settings!$H$80,Settings!$H$82,Settings!$H$84,Settings!$H$86)</f>
        <v/>
      </c>
      <c r="AT540" s="157">
        <f>CHOOSE(MATCH(IF($U540="","Основний",$U540),{"Трафіковий","Основний","Маржинальний","Сезонний","Стратегічний"},0),Settings!$I$78,Settings!$I$80,Settings!$I$82,Settings!$I$84,Settings!$I$86)</f>
        <v/>
      </c>
      <c r="AU540" s="171" t="n"/>
      <c r="AV540" t="n">
        <v>1.35</v>
      </c>
    </row>
    <row r="541">
      <c r="A541" s="33" t="n"/>
      <c r="B541" s="34" t="inlineStr">
        <is>
          <t>J0906</t>
        </is>
      </c>
      <c r="C541" s="34" t="inlineStr">
        <is>
          <t>OUTDOOR ANTENNA EM-P117 5G PROFI</t>
        </is>
      </c>
      <c r="D541" s="34" t="inlineStr">
        <is>
          <t>Антени ТВ</t>
        </is>
      </c>
      <c r="E541" s="33" t="inlineStr">
        <is>
          <t>PC</t>
        </is>
      </c>
      <c r="F541" s="94" t="n">
        <v>12.441</v>
      </c>
      <c r="G541" s="35" t="n">
        <v>8529103000</v>
      </c>
      <c r="H541" s="31" t="n">
        <v>1.4</v>
      </c>
      <c r="I541" s="84">
        <f>IFERROR(F541*Settings!$B$2*H541*IF(AND(ISNUMBER(E541),E541&gt;1),E541,1),"")</f>
        <v/>
      </c>
      <c r="J541" s="32">
        <f>Settings!$B$66</f>
        <v/>
      </c>
      <c r="K541" s="95">
        <f>IFERROR(IF(T541="","",(T541*(1-AN541)*(1-Settings!$B$17)-I541)/(T541*(1-AN541)*(1-Settings!$B$17))),"")</f>
        <v/>
      </c>
      <c r="L541" s="101">
        <f>IFERROR(IF(T541="","",(T541*(1-AO541)*(1-Settings!$C$17)-I541)/(T541*(1-AO541)*(1-Settings!$C$17))),"")</f>
        <v/>
      </c>
      <c r="M541" s="101">
        <f>IFERROR(IF(T541="","",(T541*(1-AP541)*(1-Settings!$D$17)-I541)/(T541*(1-AP541)*(1-Settings!$D$17))),"")</f>
        <v/>
      </c>
      <c r="N541" s="101">
        <f>IFERROR(IF(T541="","",(T541*(1-AQ541)*(1-Settings!$F$17)-I541)/(T541*(1-AQ541)*(1-Settings!$F$17))),"")</f>
        <v/>
      </c>
      <c r="O541" s="101">
        <f>IFERROR(IF(T541="","",(T541*(1-AR541)*(1-Settings!$G$17)-I541)/(T541*(1-AR541)*(1-Settings!$G$17))),"")</f>
        <v/>
      </c>
      <c r="P541" s="101">
        <f>IFERROR(IF(T541="","",(T541*(1-AS541)*(1-Settings!$H$17)-I541)/(T541*(1-AS541)*(1-Settings!$H$17))),"")</f>
        <v/>
      </c>
      <c r="Q541" s="101">
        <f>IFERROR(IF(T541="","",(T541*(1-AT541)*(1-Settings!$I$68)*(1-Settings!$I$17)-I541)/(T541*(1-AT541)*(1-Settings!$I$68)*(1-Settings!$I$17))),"")</f>
        <v/>
      </c>
      <c r="R541" s="91">
        <f>IFERROR(IF(OR(I541="",Z541&gt;=1,Settings!$B$17&gt;=1,AN541&gt;=1),"",IF(MOD(ROUND(I541/(1-Z541)/(1-Settings!$B$17)/(1-AN541),0),10)=0,ROUND(I541/(1-Z541)/(1-Settings!$B$17)/(1-AN541),0)-1,IF(MOD(ROUND(I541/(1-Z541)/(1-Settings!$B$17)/(1-AN541),0),10)&lt;=5,FLOOR(ROUND(I541/(1-Z541)/(1-Settings!$B$17)/(1-AN541),0),10)+6,FLOOR(ROUND(I541/(1-Z541)/(1-Settings!$B$17)/(1-AN541),0),10)+9))),"")</f>
        <v/>
      </c>
      <c r="S541" s="174">
        <f>R541*0.95</f>
        <v/>
      </c>
      <c r="T541" s="91">
        <f>IF(S541&lt;&gt;"", IF(MOD(S541,10)=0,S541-1,IF(MOD(S541,10)&lt;=5,FLOOR(S541,10)+6,FLOOR(S541,10)+9)), R541)</f>
        <v/>
      </c>
      <c r="U541" s="87" t="inlineStr">
        <is>
          <t>Основний</t>
        </is>
      </c>
      <c r="V541" s="88" t="n"/>
      <c r="W541" s="88" t="n"/>
      <c r="X541" s="89">
        <f>IFERROR(IF(OR(V541="",W541="",T541=""),"", IF(T541&gt;W541,"Дорогий",IF(T541&lt;V541,"Дешевий","У ринку"))),"")</f>
        <v/>
      </c>
      <c r="Y541" s="90" t="n"/>
      <c r="Z541" s="104">
        <f>CHOOSE(MATCH(IF($U541="","Основний",$U541),{"Трафіковий","Основний","Маржинальний","Сезонний","Стратегічний"},0),0.16,0.19,0.24,0.23,0.28)</f>
        <v/>
      </c>
      <c r="AA541" s="104">
        <f>CHOOSE(MATCH(IF($U541="","Основний",$U541),{"Трафіковий","Основний","Маржинальний","Сезонний","Стратегічний"},0),0.18,0.21,0.26,0.25,0.3)</f>
        <v/>
      </c>
      <c r="AB541" s="104">
        <f>CHOOSE(MATCH(IF($U541="","Основний",$U541),{"Трафіковий","Основний","Маржинальний","Сезонний","Стратегічний"},0),0.19,0.22,0.28,0.26,0.32)</f>
        <v/>
      </c>
      <c r="AC541" s="104">
        <f>CHOOSE(MATCH(IF($U541="","Основний",$U541),{"Трафіковий","Основний","Маржинальний","Сезонний","Стратегічний"},0),0.17,0.2,0.25,0.24,0.28)</f>
        <v/>
      </c>
      <c r="AD541" s="104">
        <f>CHOOSE(MATCH(IF($U541="","Основний",$U541),{"Трафіковий","Основний","Маржинальний","Сезонний","Стратегічний"},0),0.18,0.21,0.26,0.25,0.3)</f>
        <v/>
      </c>
      <c r="AE541" s="104">
        <f>CHOOSE(MATCH(IF($U541="","Основний",$U541),{"Трафіковий","Основний","Маржинальний","Сезонний","Стратегічний"},0),0.18,0.2,0.28,0.27,0.32)</f>
        <v/>
      </c>
      <c r="AF541" s="104">
        <f>CHOOSE(MATCH(IF($U541="","Основний",$U541),{"Трафіковий","Основний","Маржинальний","Сезонний","Стратегічний"},0),0.15,0.175,0.22,0.21,0.25)</f>
        <v/>
      </c>
      <c r="AG541" s="104">
        <f>CHOOSE(MATCH(IF($U541="","Основний",$U541),{"Трафіковий","Основний","Маржинальний","Сезонний","Стратегічний"},0),0.13,0.16,0.21,0.2,0.25)</f>
        <v/>
      </c>
      <c r="AH541" s="104">
        <f>CHOOSE(MATCH(IF($U541="","Основний",$U541),{"Трафіковий","Основний","Маржинальний","Сезонний","Стратегічний"},0),0.15,0.18,0.23,0.22,0.27)</f>
        <v/>
      </c>
      <c r="AI541" s="104">
        <f>CHOOSE(MATCH(IF($U541="","Основний",$U541),{"Трафіковий","Основний","Маржинальний","Сезонний","Стратегічний"},0),0.16,0.19,0.25,0.23,0.29)</f>
        <v/>
      </c>
      <c r="AJ541" s="104">
        <f>CHOOSE(MATCH(IF($U541="","Основний",$U541),{"Трафіковий","Основний","Маржинальний","Сезонний","Стратегічний"},0),0.14,0.17,0.22,0.21,0.25)</f>
        <v/>
      </c>
      <c r="AK541" s="104">
        <f>CHOOSE(MATCH(IF($U541="","Основний",$U541),{"Трафіковий","Основний","Маржинальний","Сезонний","Стратегічний"},0),0.15,0.18,0.23,0.22,0.27)</f>
        <v/>
      </c>
      <c r="AL541" s="104">
        <f>CHOOSE(MATCH(IF($U541="","Основний",$U541),{"Трафіковий","Основний","Маржинальний","Сезонний","Стратегічний"},0),0.15,0.17,0.25,0.24,0.29)</f>
        <v/>
      </c>
      <c r="AM541" s="104">
        <f>CHOOSE(MATCH(IF($U541="","Основний",$U541),{"Трафіковий","Основний","Маржинальний","Сезонний","Стратегічний"},0),0.12,0.145,0.19,0.18,0.22)</f>
        <v/>
      </c>
      <c r="AN541" s="157">
        <f>CHOOSE(MATCH(IF($U541="","Основний",$U541),{"Трафіковий","Основний","Маржинальний","Сезонний","Стратегічний"},0),Settings!$B$78,Settings!$B$80,Settings!$B$82,Settings!$B$84,Settings!$B$86)</f>
        <v/>
      </c>
      <c r="AO541" s="157">
        <f>CHOOSE(MATCH(IF($U541="","Основний",$U541),{"Трафіковий","Основний","Маржинальний","Сезонний","Стратегічний"},0),Settings!$C$78,Settings!$C$80,Settings!$C$82,Settings!$C$84,Settings!$C$86)</f>
        <v/>
      </c>
      <c r="AP541" s="157">
        <f>CHOOSE(MATCH(IF($U541="","Основний",$U541),{"Трафіковий","Основний","Маржинальний","Сезонний","Стратегічний"},0),Settings!$D$78,Settings!$D$80,Settings!$D$82,Settings!$D$84,Settings!$D$86)</f>
        <v/>
      </c>
      <c r="AQ541" s="157">
        <f>CHOOSE(MATCH(IF($U541="","Основний",$U541),{"Трафіковий","Основний","Маржинальний","Сезонний","Стратегічний"},0),Settings!$F$78,Settings!$F$80,Settings!$F$82,Settings!$F$84,Settings!$F$86)</f>
        <v/>
      </c>
      <c r="AR541" s="157">
        <f>CHOOSE(MATCH(IF($U541="","Основний",$U541),{"Трафіковий","Основний","Маржинальний","Сезонний","Стратегічний"},0),Settings!$G$78,Settings!$G$80,Settings!$G$82,Settings!$G$84,Settings!$G$86)</f>
        <v/>
      </c>
      <c r="AS541" s="157">
        <f>CHOOSE(MATCH(IF($U541="","Основний",$U541),{"Трафіковий","Основний","Маржинальний","Сезонний","Стратегічний"},0),Settings!$H$78,Settings!$H$80,Settings!$H$82,Settings!$H$84,Settings!$H$86)</f>
        <v/>
      </c>
      <c r="AT541" s="157">
        <f>CHOOSE(MATCH(IF($U541="","Основний",$U541),{"Трафіковий","Основний","Маржинальний","Сезонний","Стратегічний"},0),Settings!$I$78,Settings!$I$80,Settings!$I$82,Settings!$I$84,Settings!$I$86)</f>
        <v/>
      </c>
      <c r="AU541" s="171" t="n"/>
      <c r="AV541" t="n">
        <v>1.35</v>
      </c>
    </row>
    <row r="542">
      <c r="A542" s="28" t="n"/>
      <c r="B542" s="29" t="inlineStr">
        <is>
          <t>J0907</t>
        </is>
      </c>
      <c r="C542" s="29" t="inlineStr">
        <is>
          <t>OUTDOOR ANTENNA EM-P127 5G PROFI</t>
        </is>
      </c>
      <c r="D542" s="29" t="inlineStr">
        <is>
          <t>Антени ТВ</t>
        </is>
      </c>
      <c r="E542" s="28" t="inlineStr">
        <is>
          <t>PC</t>
        </is>
      </c>
      <c r="F542" s="93" t="n">
        <v>15.698</v>
      </c>
      <c r="G542" s="30" t="n">
        <v>8529103000</v>
      </c>
      <c r="H542" s="31" t="n">
        <v>1.4</v>
      </c>
      <c r="I542" s="84">
        <f>IFERROR(F542*Settings!$B$2*H542*IF(AND(ISNUMBER(E542),E542&gt;1),E542,1),"")</f>
        <v/>
      </c>
      <c r="J542" s="32">
        <f>Settings!$B$66</f>
        <v/>
      </c>
      <c r="K542" s="95">
        <f>IFERROR(IF(T542="","",(T542*(1-AN542)*(1-Settings!$B$17)-I542)/(T542*(1-AN542)*(1-Settings!$B$17))),"")</f>
        <v/>
      </c>
      <c r="L542" s="101">
        <f>IFERROR(IF(T542="","",(T542*(1-AO542)*(1-Settings!$C$17)-I542)/(T542*(1-AO542)*(1-Settings!$C$17))),"")</f>
        <v/>
      </c>
      <c r="M542" s="101">
        <f>IFERROR(IF(T542="","",(T542*(1-AP542)*(1-Settings!$D$17)-I542)/(T542*(1-AP542)*(1-Settings!$D$17))),"")</f>
        <v/>
      </c>
      <c r="N542" s="101">
        <f>IFERROR(IF(T542="","",(T542*(1-AQ542)*(1-Settings!$F$17)-I542)/(T542*(1-AQ542)*(1-Settings!$F$17))),"")</f>
        <v/>
      </c>
      <c r="O542" s="101">
        <f>IFERROR(IF(T542="","",(T542*(1-AR542)*(1-Settings!$G$17)-I542)/(T542*(1-AR542)*(1-Settings!$G$17))),"")</f>
        <v/>
      </c>
      <c r="P542" s="101">
        <f>IFERROR(IF(T542="","",(T542*(1-AS542)*(1-Settings!$H$17)-I542)/(T542*(1-AS542)*(1-Settings!$H$17))),"")</f>
        <v/>
      </c>
      <c r="Q542" s="101">
        <f>IFERROR(IF(T542="","",(T542*(1-AT542)*(1-Settings!$I$68)*(1-Settings!$I$17)-I542)/(T542*(1-AT542)*(1-Settings!$I$68)*(1-Settings!$I$17))),"")</f>
        <v/>
      </c>
      <c r="R542" s="91">
        <f>IFERROR(IF(OR(I542="",Z542&gt;=1,Settings!$B$17&gt;=1,AN542&gt;=1),"",IF(MOD(ROUND(I542/(1-Z542)/(1-Settings!$B$17)/(1-AN542),0),10)=0,ROUND(I542/(1-Z542)/(1-Settings!$B$17)/(1-AN542),0)-1,IF(MOD(ROUND(I542/(1-Z542)/(1-Settings!$B$17)/(1-AN542),0),10)&lt;=5,FLOOR(ROUND(I542/(1-Z542)/(1-Settings!$B$17)/(1-AN542),0),10)+6,FLOOR(ROUND(I542/(1-Z542)/(1-Settings!$B$17)/(1-AN542),0),10)+9))),"")</f>
        <v/>
      </c>
      <c r="S542" s="174">
        <f>R542*0.95</f>
        <v/>
      </c>
      <c r="T542" s="91">
        <f>IF(S542&lt;&gt;"", IF(MOD(S542,10)=0,S542-1,IF(MOD(S542,10)&lt;=5,FLOOR(S542,10)+6,FLOOR(S542,10)+9)), R542)</f>
        <v/>
      </c>
      <c r="U542" s="87" t="inlineStr">
        <is>
          <t>Основний</t>
        </is>
      </c>
      <c r="V542" s="88" t="n"/>
      <c r="W542" s="88" t="n"/>
      <c r="X542" s="89">
        <f>IFERROR(IF(OR(V542="",W542="",T542=""),"", IF(T542&gt;W542,"Дорогий",IF(T542&lt;V542,"Дешевий","У ринку"))),"")</f>
        <v/>
      </c>
      <c r="Y542" s="90" t="n"/>
      <c r="Z542" s="104">
        <f>CHOOSE(MATCH(IF($U542="","Основний",$U542),{"Трафіковий","Основний","Маржинальний","Сезонний","Стратегічний"},0),0.16,0.19,0.24,0.23,0.28)</f>
        <v/>
      </c>
      <c r="AA542" s="104">
        <f>CHOOSE(MATCH(IF($U542="","Основний",$U542),{"Трафіковий","Основний","Маржинальний","Сезонний","Стратегічний"},0),0.18,0.21,0.26,0.25,0.3)</f>
        <v/>
      </c>
      <c r="AB542" s="104">
        <f>CHOOSE(MATCH(IF($U542="","Основний",$U542),{"Трафіковий","Основний","Маржинальний","Сезонний","Стратегічний"},0),0.19,0.22,0.28,0.26,0.32)</f>
        <v/>
      </c>
      <c r="AC542" s="104">
        <f>CHOOSE(MATCH(IF($U542="","Основний",$U542),{"Трафіковий","Основний","Маржинальний","Сезонний","Стратегічний"},0),0.17,0.2,0.25,0.24,0.28)</f>
        <v/>
      </c>
      <c r="AD542" s="104">
        <f>CHOOSE(MATCH(IF($U542="","Основний",$U542),{"Трафіковий","Основний","Маржинальний","Сезонний","Стратегічний"},0),0.18,0.21,0.26,0.25,0.3)</f>
        <v/>
      </c>
      <c r="AE542" s="104">
        <f>CHOOSE(MATCH(IF($U542="","Основний",$U542),{"Трафіковий","Основний","Маржинальний","Сезонний","Стратегічний"},0),0.18,0.2,0.28,0.27,0.32)</f>
        <v/>
      </c>
      <c r="AF542" s="104">
        <f>CHOOSE(MATCH(IF($U542="","Основний",$U542),{"Трафіковий","Основний","Маржинальний","Сезонний","Стратегічний"},0),0.15,0.175,0.22,0.21,0.25)</f>
        <v/>
      </c>
      <c r="AG542" s="104">
        <f>CHOOSE(MATCH(IF($U542="","Основний",$U542),{"Трафіковий","Основний","Маржинальний","Сезонний","Стратегічний"},0),0.13,0.16,0.21,0.2,0.25)</f>
        <v/>
      </c>
      <c r="AH542" s="104">
        <f>CHOOSE(MATCH(IF($U542="","Основний",$U542),{"Трафіковий","Основний","Маржинальний","Сезонний","Стратегічний"},0),0.15,0.18,0.23,0.22,0.27)</f>
        <v/>
      </c>
      <c r="AI542" s="104">
        <f>CHOOSE(MATCH(IF($U542="","Основний",$U542),{"Трафіковий","Основний","Маржинальний","Сезонний","Стратегічний"},0),0.16,0.19,0.25,0.23,0.29)</f>
        <v/>
      </c>
      <c r="AJ542" s="104">
        <f>CHOOSE(MATCH(IF($U542="","Основний",$U542),{"Трафіковий","Основний","Маржинальний","Сезонний","Стратегічний"},0),0.14,0.17,0.22,0.21,0.25)</f>
        <v/>
      </c>
      <c r="AK542" s="104">
        <f>CHOOSE(MATCH(IF($U542="","Основний",$U542),{"Трафіковий","Основний","Маржинальний","Сезонний","Стратегічний"},0),0.15,0.18,0.23,0.22,0.27)</f>
        <v/>
      </c>
      <c r="AL542" s="104">
        <f>CHOOSE(MATCH(IF($U542="","Основний",$U542),{"Трафіковий","Основний","Маржинальний","Сезонний","Стратегічний"},0),0.15,0.17,0.25,0.24,0.29)</f>
        <v/>
      </c>
      <c r="AM542" s="104">
        <f>CHOOSE(MATCH(IF($U542="","Основний",$U542),{"Трафіковий","Основний","Маржинальний","Сезонний","Стратегічний"},0),0.12,0.145,0.19,0.18,0.22)</f>
        <v/>
      </c>
      <c r="AN542" s="157">
        <f>CHOOSE(MATCH(IF($U542="","Основний",$U542),{"Трафіковий","Основний","Маржинальний","Сезонний","Стратегічний"},0),Settings!$B$78,Settings!$B$80,Settings!$B$82,Settings!$B$84,Settings!$B$86)</f>
        <v/>
      </c>
      <c r="AO542" s="157">
        <f>CHOOSE(MATCH(IF($U542="","Основний",$U542),{"Трафіковий","Основний","Маржинальний","Сезонний","Стратегічний"},0),Settings!$C$78,Settings!$C$80,Settings!$C$82,Settings!$C$84,Settings!$C$86)</f>
        <v/>
      </c>
      <c r="AP542" s="157">
        <f>CHOOSE(MATCH(IF($U542="","Основний",$U542),{"Трафіковий","Основний","Маржинальний","Сезонний","Стратегічний"},0),Settings!$D$78,Settings!$D$80,Settings!$D$82,Settings!$D$84,Settings!$D$86)</f>
        <v/>
      </c>
      <c r="AQ542" s="157">
        <f>CHOOSE(MATCH(IF($U542="","Основний",$U542),{"Трафіковий","Основний","Маржинальний","Сезонний","Стратегічний"},0),Settings!$F$78,Settings!$F$80,Settings!$F$82,Settings!$F$84,Settings!$F$86)</f>
        <v/>
      </c>
      <c r="AR542" s="157">
        <f>CHOOSE(MATCH(IF($U542="","Основний",$U542),{"Трафіковий","Основний","Маржинальний","Сезонний","Стратегічний"},0),Settings!$G$78,Settings!$G$80,Settings!$G$82,Settings!$G$84,Settings!$G$86)</f>
        <v/>
      </c>
      <c r="AS542" s="157">
        <f>CHOOSE(MATCH(IF($U542="","Основний",$U542),{"Трафіковий","Основний","Маржинальний","Сезонний","Стратегічний"},0),Settings!$H$78,Settings!$H$80,Settings!$H$82,Settings!$H$84,Settings!$H$86)</f>
        <v/>
      </c>
      <c r="AT542" s="157">
        <f>CHOOSE(MATCH(IF($U542="","Основний",$U542),{"Трафіковий","Основний","Маржинальний","Сезонний","Стратегічний"},0),Settings!$I$78,Settings!$I$80,Settings!$I$82,Settings!$I$84,Settings!$I$86)</f>
        <v/>
      </c>
      <c r="AU542" s="171" t="n"/>
      <c r="AV542" t="n">
        <v>1.35</v>
      </c>
    </row>
    <row r="543">
      <c r="A543" s="33" t="inlineStr">
        <is>
          <t>NEW</t>
        </is>
      </c>
      <c r="B543" s="34" t="inlineStr">
        <is>
          <t>J0806</t>
        </is>
      </c>
      <c r="C543" s="34" t="inlineStr">
        <is>
          <t>UNIVERSAL ANTENNA VILLAGE FISH–V700</t>
        </is>
      </c>
      <c r="D543" s="34" t="inlineStr">
        <is>
          <t>Антени ТВ</t>
        </is>
      </c>
      <c r="E543" s="33" t="inlineStr">
        <is>
          <t>PC</t>
        </is>
      </c>
      <c r="F543" s="94" t="n">
        <v>22.496</v>
      </c>
      <c r="G543" s="35" t="n">
        <v>8529103000</v>
      </c>
      <c r="H543" s="31" t="n">
        <v>1.4</v>
      </c>
      <c r="I543" s="84">
        <f>IFERROR(F543*Settings!$B$2*H543*IF(AND(ISNUMBER(E543),E543&gt;1),E543,1),"")</f>
        <v/>
      </c>
      <c r="J543" s="32">
        <f>Settings!$B$66</f>
        <v/>
      </c>
      <c r="K543" s="95">
        <f>IFERROR(IF(T543="","",(T543*(1-AN543)*(1-Settings!$B$17)-I543)/(T543*(1-AN543)*(1-Settings!$B$17))),"")</f>
        <v/>
      </c>
      <c r="L543" s="101">
        <f>IFERROR(IF(T543="","",(T543*(1-AO543)*(1-Settings!$C$17)-I543)/(T543*(1-AO543)*(1-Settings!$C$17))),"")</f>
        <v/>
      </c>
      <c r="M543" s="101">
        <f>IFERROR(IF(T543="","",(T543*(1-AP543)*(1-Settings!$D$17)-I543)/(T543*(1-AP543)*(1-Settings!$D$17))),"")</f>
        <v/>
      </c>
      <c r="N543" s="101">
        <f>IFERROR(IF(T543="","",(T543*(1-AQ543)*(1-Settings!$F$17)-I543)/(T543*(1-AQ543)*(1-Settings!$F$17))),"")</f>
        <v/>
      </c>
      <c r="O543" s="101">
        <f>IFERROR(IF(T543="","",(T543*(1-AR543)*(1-Settings!$G$17)-I543)/(T543*(1-AR543)*(1-Settings!$G$17))),"")</f>
        <v/>
      </c>
      <c r="P543" s="101">
        <f>IFERROR(IF(T543="","",(T543*(1-AS543)*(1-Settings!$H$17)-I543)/(T543*(1-AS543)*(1-Settings!$H$17))),"")</f>
        <v/>
      </c>
      <c r="Q543" s="101">
        <f>IFERROR(IF(T543="","",(T543*(1-AT543)*(1-Settings!$I$68)*(1-Settings!$I$17)-I543)/(T543*(1-AT543)*(1-Settings!$I$68)*(1-Settings!$I$17))),"")</f>
        <v/>
      </c>
      <c r="R543" s="91">
        <f>IFERROR(IF(OR(I543="",Z543&gt;=1,Settings!$B$17&gt;=1,AN543&gt;=1),"",IF(MOD(ROUND(I543/(1-Z543)/(1-Settings!$B$17)/(1-AN543),0),10)=0,ROUND(I543/(1-Z543)/(1-Settings!$B$17)/(1-AN543),0)-1,IF(MOD(ROUND(I543/(1-Z543)/(1-Settings!$B$17)/(1-AN543),0),10)&lt;=5,FLOOR(ROUND(I543/(1-Z543)/(1-Settings!$B$17)/(1-AN543),0),10)+6,FLOOR(ROUND(I543/(1-Z543)/(1-Settings!$B$17)/(1-AN543),0),10)+9))),"")</f>
        <v/>
      </c>
      <c r="S543" s="174">
        <f>R543*0.95</f>
        <v/>
      </c>
      <c r="T543" s="91">
        <f>IF(S543&lt;&gt;"", IF(MOD(S543,10)=0,S543-1,IF(MOD(S543,10)&lt;=5,FLOOR(S543,10)+6,FLOOR(S543,10)+9)), R543)</f>
        <v/>
      </c>
      <c r="U543" s="87" t="inlineStr">
        <is>
          <t>Основний</t>
        </is>
      </c>
      <c r="V543" s="88" t="n"/>
      <c r="W543" s="88" t="n"/>
      <c r="X543" s="89">
        <f>IFERROR(IF(OR(V543="",W543="",T543=""),"", IF(T543&gt;W543,"Дорогий",IF(T543&lt;V543,"Дешевий","У ринку"))),"")</f>
        <v/>
      </c>
      <c r="Y543" s="90" t="n"/>
      <c r="Z543" s="104">
        <f>CHOOSE(MATCH(IF($U543="","Основний",$U543),{"Трафіковий","Основний","Маржинальний","Сезонний","Стратегічний"},0),0.16,0.19,0.24,0.23,0.28)</f>
        <v/>
      </c>
      <c r="AA543" s="104">
        <f>CHOOSE(MATCH(IF($U543="","Основний",$U543),{"Трафіковий","Основний","Маржинальний","Сезонний","Стратегічний"},0),0.18,0.21,0.26,0.25,0.3)</f>
        <v/>
      </c>
      <c r="AB543" s="104">
        <f>CHOOSE(MATCH(IF($U543="","Основний",$U543),{"Трафіковий","Основний","Маржинальний","Сезонний","Стратегічний"},0),0.19,0.22,0.28,0.26,0.32)</f>
        <v/>
      </c>
      <c r="AC543" s="104">
        <f>CHOOSE(MATCH(IF($U543="","Основний",$U543),{"Трафіковий","Основний","Маржинальний","Сезонний","Стратегічний"},0),0.17,0.2,0.25,0.24,0.28)</f>
        <v/>
      </c>
      <c r="AD543" s="104">
        <f>CHOOSE(MATCH(IF($U543="","Основний",$U543),{"Трафіковий","Основний","Маржинальний","Сезонний","Стратегічний"},0),0.18,0.21,0.26,0.25,0.3)</f>
        <v/>
      </c>
      <c r="AE543" s="104">
        <f>CHOOSE(MATCH(IF($U543="","Основний",$U543),{"Трафіковий","Основний","Маржинальний","Сезонний","Стратегічний"},0),0.18,0.2,0.28,0.27,0.32)</f>
        <v/>
      </c>
      <c r="AF543" s="104">
        <f>CHOOSE(MATCH(IF($U543="","Основний",$U543),{"Трафіковий","Основний","Маржинальний","Сезонний","Стратегічний"},0),0.15,0.175,0.22,0.21,0.25)</f>
        <v/>
      </c>
      <c r="AG543" s="104">
        <f>CHOOSE(MATCH(IF($U543="","Основний",$U543),{"Трафіковий","Основний","Маржинальний","Сезонний","Стратегічний"},0),0.13,0.16,0.21,0.2,0.25)</f>
        <v/>
      </c>
      <c r="AH543" s="104">
        <f>CHOOSE(MATCH(IF($U543="","Основний",$U543),{"Трафіковий","Основний","Маржинальний","Сезонний","Стратегічний"},0),0.15,0.18,0.23,0.22,0.27)</f>
        <v/>
      </c>
      <c r="AI543" s="104">
        <f>CHOOSE(MATCH(IF($U543="","Основний",$U543),{"Трафіковий","Основний","Маржинальний","Сезонний","Стратегічний"},0),0.16,0.19,0.25,0.23,0.29)</f>
        <v/>
      </c>
      <c r="AJ543" s="104">
        <f>CHOOSE(MATCH(IF($U543="","Основний",$U543),{"Трафіковий","Основний","Маржинальний","Сезонний","Стратегічний"},0),0.14,0.17,0.22,0.21,0.25)</f>
        <v/>
      </c>
      <c r="AK543" s="104">
        <f>CHOOSE(MATCH(IF($U543="","Основний",$U543),{"Трафіковий","Основний","Маржинальний","Сезонний","Стратегічний"},0),0.15,0.18,0.23,0.22,0.27)</f>
        <v/>
      </c>
      <c r="AL543" s="104">
        <f>CHOOSE(MATCH(IF($U543="","Основний",$U543),{"Трафіковий","Основний","Маржинальний","Сезонний","Стратегічний"},0),0.15,0.17,0.25,0.24,0.29)</f>
        <v/>
      </c>
      <c r="AM543" s="104">
        <f>CHOOSE(MATCH(IF($U543="","Основний",$U543),{"Трафіковий","Основний","Маржинальний","Сезонний","Стратегічний"},0),0.12,0.145,0.19,0.18,0.22)</f>
        <v/>
      </c>
      <c r="AN543" s="157">
        <f>CHOOSE(MATCH(IF($U543="","Основний",$U543),{"Трафіковий","Основний","Маржинальний","Сезонний","Стратегічний"},0),Settings!$B$78,Settings!$B$80,Settings!$B$82,Settings!$B$84,Settings!$B$86)</f>
        <v/>
      </c>
      <c r="AO543" s="157">
        <f>CHOOSE(MATCH(IF($U543="","Основний",$U543),{"Трафіковий","Основний","Маржинальний","Сезонний","Стратегічний"},0),Settings!$C$78,Settings!$C$80,Settings!$C$82,Settings!$C$84,Settings!$C$86)</f>
        <v/>
      </c>
      <c r="AP543" s="157">
        <f>CHOOSE(MATCH(IF($U543="","Основний",$U543),{"Трафіковий","Основний","Маржинальний","Сезонний","Стратегічний"},0),Settings!$D$78,Settings!$D$80,Settings!$D$82,Settings!$D$84,Settings!$D$86)</f>
        <v/>
      </c>
      <c r="AQ543" s="157">
        <f>CHOOSE(MATCH(IF($U543="","Основний",$U543),{"Трафіковий","Основний","Маржинальний","Сезонний","Стратегічний"},0),Settings!$F$78,Settings!$F$80,Settings!$F$82,Settings!$F$84,Settings!$F$86)</f>
        <v/>
      </c>
      <c r="AR543" s="157">
        <f>CHOOSE(MATCH(IF($U543="","Основний",$U543),{"Трафіковий","Основний","Маржинальний","Сезонний","Стратегічний"},0),Settings!$G$78,Settings!$G$80,Settings!$G$82,Settings!$G$84,Settings!$G$86)</f>
        <v/>
      </c>
      <c r="AS543" s="157">
        <f>CHOOSE(MATCH(IF($U543="","Основний",$U543),{"Трафіковий","Основний","Маржинальний","Сезонний","Стратегічний"},0),Settings!$H$78,Settings!$H$80,Settings!$H$82,Settings!$H$84,Settings!$H$86)</f>
        <v/>
      </c>
      <c r="AT543" s="157">
        <f>CHOOSE(MATCH(IF($U543="","Основний",$U543),{"Трафіковий","Основний","Маржинальний","Сезонний","Стратегічний"},0),Settings!$I$78,Settings!$I$80,Settings!$I$82,Settings!$I$84,Settings!$I$86)</f>
        <v/>
      </c>
      <c r="AU543" s="171" t="n"/>
      <c r="AV543" t="n">
        <v>1.35</v>
      </c>
    </row>
    <row r="544">
      <c r="A544" s="28" t="n"/>
      <c r="B544" s="29" t="inlineStr">
        <is>
          <t>E3070</t>
        </is>
      </c>
      <c r="C544" s="29" t="inlineStr">
        <is>
          <t>WEATHER STATION E3070</t>
        </is>
      </c>
      <c r="D544" s="29" t="inlineStr">
        <is>
          <t>Метеостанції та термометри</t>
        </is>
      </c>
      <c r="E544" s="28" t="inlineStr">
        <is>
          <t>PC</t>
        </is>
      </c>
      <c r="F544" s="93" t="n">
        <v>11.064</v>
      </c>
      <c r="G544" s="30" t="n">
        <v>9025804089</v>
      </c>
      <c r="H544" s="31" t="n">
        <v>1.35</v>
      </c>
      <c r="I544" s="84">
        <f>IFERROR(F544*Settings!$B$2*H544*IF(AND(ISNUMBER(E544),E544&gt;1),E544,1),"")</f>
        <v/>
      </c>
      <c r="J544" s="32">
        <f>Settings!$B$66</f>
        <v/>
      </c>
      <c r="K544" s="95">
        <f>IFERROR(IF(T544="","",(T544*(1-AN544)*(1-Settings!$B$17)-I544)/(T544*(1-AN544)*(1-Settings!$B$17))),"")</f>
        <v/>
      </c>
      <c r="L544" s="101">
        <f>IFERROR(IF(T544="","",(T544*(1-AO544)*(1-Settings!$C$17)-I544)/(T544*(1-AO544)*(1-Settings!$C$17))),"")</f>
        <v/>
      </c>
      <c r="M544" s="101">
        <f>IFERROR(IF(T544="","",(T544*(1-AP544)*(1-Settings!$D$17)-I544)/(T544*(1-AP544)*(1-Settings!$D$17))),"")</f>
        <v/>
      </c>
      <c r="N544" s="101">
        <f>IFERROR(IF(T544="","",(T544*(1-AQ544)*(1-Settings!$F$17)-I544)/(T544*(1-AQ544)*(1-Settings!$F$17))),"")</f>
        <v/>
      </c>
      <c r="O544" s="101">
        <f>IFERROR(IF(T544="","",(T544*(1-AR544)*(1-Settings!$G$17)-I544)/(T544*(1-AR544)*(1-Settings!$G$17))),"")</f>
        <v/>
      </c>
      <c r="P544" s="101">
        <f>IFERROR(IF(T544="","",(T544*(1-AS544)*(1-Settings!$H$17)-I544)/(T544*(1-AS544)*(1-Settings!$H$17))),"")</f>
        <v/>
      </c>
      <c r="Q544" s="101">
        <f>IFERROR(IF(T544="","",(T544*(1-AT544)*(1-Settings!$I$68)*(1-Settings!$I$17)-I544)/(T544*(1-AT544)*(1-Settings!$I$68)*(1-Settings!$I$17))),"")</f>
        <v/>
      </c>
      <c r="R544" s="91">
        <f>IFERROR(IF(OR(I544="",Z544&gt;=1,Settings!$B$17&gt;=1,AN544&gt;=1),"",IF(MOD(ROUND(I544/(1-Z544)/(1-Settings!$B$17)/(1-AN544),0),10)=0,ROUND(I544/(1-Z544)/(1-Settings!$B$17)/(1-AN544),0)-1,IF(MOD(ROUND(I544/(1-Z544)/(1-Settings!$B$17)/(1-AN544),0),10)&lt;=5,FLOOR(ROUND(I544/(1-Z544)/(1-Settings!$B$17)/(1-AN544),0),10)+6,FLOOR(ROUND(I544/(1-Z544)/(1-Settings!$B$17)/(1-AN544),0),10)+9))),"")</f>
        <v/>
      </c>
      <c r="S544" s="174">
        <f>R544*0.95</f>
        <v/>
      </c>
      <c r="T544" s="91">
        <f>IF(S544&lt;&gt;"", IF(MOD(S544,10)=0,S544-1,IF(MOD(S544,10)&lt;=5,FLOOR(S544,10)+6,FLOOR(S544,10)+9)), R544)</f>
        <v/>
      </c>
      <c r="U544" s="87" t="inlineStr">
        <is>
          <t>Основний</t>
        </is>
      </c>
      <c r="V544" s="88" t="n"/>
      <c r="W544" s="88" t="n"/>
      <c r="X544" s="89">
        <f>IFERROR(IF(OR(V544="",W544="",T544=""),"", IF(T544&gt;W544,"Дорогий",IF(T544&lt;V544,"Дешевий","У ринку"))),"")</f>
        <v/>
      </c>
      <c r="Y544" s="90" t="n"/>
      <c r="Z544" s="104">
        <f>CHOOSE(MATCH(IF($U544="","Основний",$U544),{"Трафіковий","Основний","Маржинальний","Сезонний","Стратегічний"},0),0.16,0.19,0.24,0.23,0.28)</f>
        <v/>
      </c>
      <c r="AA544" s="104">
        <f>CHOOSE(MATCH(IF($U544="","Основний",$U544),{"Трафіковий","Основний","Маржинальний","Сезонний","Стратегічний"},0),0.18,0.21,0.26,0.25,0.3)</f>
        <v/>
      </c>
      <c r="AB544" s="104">
        <f>CHOOSE(MATCH(IF($U544="","Основний",$U544),{"Трафіковий","Основний","Маржинальний","Сезонний","Стратегічний"},0),0.19,0.22,0.28,0.26,0.32)</f>
        <v/>
      </c>
      <c r="AC544" s="104">
        <f>CHOOSE(MATCH(IF($U544="","Основний",$U544),{"Трафіковий","Основний","Маржинальний","Сезонний","Стратегічний"},0),0.17,0.2,0.25,0.24,0.28)</f>
        <v/>
      </c>
      <c r="AD544" s="104">
        <f>CHOOSE(MATCH(IF($U544="","Основний",$U544),{"Трафіковий","Основний","Маржинальний","Сезонний","Стратегічний"},0),0.18,0.21,0.26,0.25,0.3)</f>
        <v/>
      </c>
      <c r="AE544" s="104">
        <f>CHOOSE(MATCH(IF($U544="","Основний",$U544),{"Трафіковий","Основний","Маржинальний","Сезонний","Стратегічний"},0),0.18,0.2,0.28,0.27,0.32)</f>
        <v/>
      </c>
      <c r="AF544" s="104">
        <f>CHOOSE(MATCH(IF($U544="","Основний",$U544),{"Трафіковий","Основний","Маржинальний","Сезонний","Стратегічний"},0),0.15,0.175,0.22,0.21,0.25)</f>
        <v/>
      </c>
      <c r="AG544" s="104">
        <f>CHOOSE(MATCH(IF($U544="","Основний",$U544),{"Трафіковий","Основний","Маржинальний","Сезонний","Стратегічний"},0),0.13,0.16,0.21,0.2,0.25)</f>
        <v/>
      </c>
      <c r="AH544" s="104">
        <f>CHOOSE(MATCH(IF($U544="","Основний",$U544),{"Трафіковий","Основний","Маржинальний","Сезонний","Стратегічний"},0),0.15,0.18,0.23,0.22,0.27)</f>
        <v/>
      </c>
      <c r="AI544" s="104">
        <f>CHOOSE(MATCH(IF($U544="","Основний",$U544),{"Трафіковий","Основний","Маржинальний","Сезонний","Стратегічний"},0),0.16,0.19,0.25,0.23,0.29)</f>
        <v/>
      </c>
      <c r="AJ544" s="104">
        <f>CHOOSE(MATCH(IF($U544="","Основний",$U544),{"Трафіковий","Основний","Маржинальний","Сезонний","Стратегічний"},0),0.14,0.17,0.22,0.21,0.25)</f>
        <v/>
      </c>
      <c r="AK544" s="104">
        <f>CHOOSE(MATCH(IF($U544="","Основний",$U544),{"Трафіковий","Основний","Маржинальний","Сезонний","Стратегічний"},0),0.15,0.18,0.23,0.22,0.27)</f>
        <v/>
      </c>
      <c r="AL544" s="104">
        <f>CHOOSE(MATCH(IF($U544="","Основний",$U544),{"Трафіковий","Основний","Маржинальний","Сезонний","Стратегічний"},0),0.15,0.17,0.25,0.24,0.29)</f>
        <v/>
      </c>
      <c r="AM544" s="104">
        <f>CHOOSE(MATCH(IF($U544="","Основний",$U544),{"Трафіковий","Основний","Маржинальний","Сезонний","Стратегічний"},0),0.12,0.145,0.19,0.18,0.22)</f>
        <v/>
      </c>
      <c r="AN544" s="157">
        <f>CHOOSE(MATCH(IF($U544="","Основний",$U544),{"Трафіковий","Основний","Маржинальний","Сезонний","Стратегічний"},0),Settings!$B$78,Settings!$B$80,Settings!$B$82,Settings!$B$84,Settings!$B$86)</f>
        <v/>
      </c>
      <c r="AO544" s="157">
        <f>CHOOSE(MATCH(IF($U544="","Основний",$U544),{"Трафіковий","Основний","Маржинальний","Сезонний","Стратегічний"},0),Settings!$C$78,Settings!$C$80,Settings!$C$82,Settings!$C$84,Settings!$C$86)</f>
        <v/>
      </c>
      <c r="AP544" s="157">
        <f>CHOOSE(MATCH(IF($U544="","Основний",$U544),{"Трафіковий","Основний","Маржинальний","Сезонний","Стратегічний"},0),Settings!$D$78,Settings!$D$80,Settings!$D$82,Settings!$D$84,Settings!$D$86)</f>
        <v/>
      </c>
      <c r="AQ544" s="157">
        <f>CHOOSE(MATCH(IF($U544="","Основний",$U544),{"Трафіковий","Основний","Маржинальний","Сезонний","Стратегічний"},0),Settings!$F$78,Settings!$F$80,Settings!$F$82,Settings!$F$84,Settings!$F$86)</f>
        <v/>
      </c>
      <c r="AR544" s="157">
        <f>CHOOSE(MATCH(IF($U544="","Основний",$U544),{"Трафіковий","Основний","Маржинальний","Сезонний","Стратегічний"},0),Settings!$G$78,Settings!$G$80,Settings!$G$82,Settings!$G$84,Settings!$G$86)</f>
        <v/>
      </c>
      <c r="AS544" s="157">
        <f>CHOOSE(MATCH(IF($U544="","Основний",$U544),{"Трафіковий","Основний","Маржинальний","Сезонний","Стратегічний"},0),Settings!$H$78,Settings!$H$80,Settings!$H$82,Settings!$H$84,Settings!$H$86)</f>
        <v/>
      </c>
      <c r="AT544" s="157">
        <f>CHOOSE(MATCH(IF($U544="","Основний",$U544),{"Трафіковий","Основний","Маржинальний","Сезонний","Стратегічний"},0),Settings!$I$78,Settings!$I$80,Settings!$I$82,Settings!$I$84,Settings!$I$86)</f>
        <v/>
      </c>
      <c r="AU544" s="171" t="n"/>
      <c r="AV544" t="n">
        <v>1.35</v>
      </c>
    </row>
    <row r="545">
      <c r="A545" s="33" t="n"/>
      <c r="B545" s="34" t="inlineStr">
        <is>
          <t>E6018</t>
        </is>
      </c>
      <c r="C545" s="34" t="inlineStr">
        <is>
          <t>WEATHER STATION E6018</t>
        </is>
      </c>
      <c r="D545" s="34" t="inlineStr">
        <is>
          <t>Метеостанції та термометри</t>
        </is>
      </c>
      <c r="E545" s="33" t="inlineStr">
        <is>
          <t>PC</t>
        </is>
      </c>
      <c r="F545" s="94" t="n">
        <v>23.145</v>
      </c>
      <c r="G545" s="35" t="n">
        <v>9025804089</v>
      </c>
      <c r="H545" s="31" t="n">
        <v>1.35</v>
      </c>
      <c r="I545" s="84">
        <f>IFERROR(F545*Settings!$B$2*H545*IF(AND(ISNUMBER(E545),E545&gt;1),E545,1),"")</f>
        <v/>
      </c>
      <c r="J545" s="32">
        <f>Settings!$B$66</f>
        <v/>
      </c>
      <c r="K545" s="95">
        <f>IFERROR(IF(T545="","",(T545*(1-AN545)*(1-Settings!$B$17)-I545)/(T545*(1-AN545)*(1-Settings!$B$17))),"")</f>
        <v/>
      </c>
      <c r="L545" s="101">
        <f>IFERROR(IF(T545="","",(T545*(1-AO545)*(1-Settings!$C$17)-I545)/(T545*(1-AO545)*(1-Settings!$C$17))),"")</f>
        <v/>
      </c>
      <c r="M545" s="101">
        <f>IFERROR(IF(T545="","",(T545*(1-AP545)*(1-Settings!$D$17)-I545)/(T545*(1-AP545)*(1-Settings!$D$17))),"")</f>
        <v/>
      </c>
      <c r="N545" s="101">
        <f>IFERROR(IF(T545="","",(T545*(1-AQ545)*(1-Settings!$F$17)-I545)/(T545*(1-AQ545)*(1-Settings!$F$17))),"")</f>
        <v/>
      </c>
      <c r="O545" s="101">
        <f>IFERROR(IF(T545="","",(T545*(1-AR545)*(1-Settings!$G$17)-I545)/(T545*(1-AR545)*(1-Settings!$G$17))),"")</f>
        <v/>
      </c>
      <c r="P545" s="101">
        <f>IFERROR(IF(T545="","",(T545*(1-AS545)*(1-Settings!$H$17)-I545)/(T545*(1-AS545)*(1-Settings!$H$17))),"")</f>
        <v/>
      </c>
      <c r="Q545" s="101">
        <f>IFERROR(IF(T545="","",(T545*(1-AT545)*(1-Settings!$I$68)*(1-Settings!$I$17)-I545)/(T545*(1-AT545)*(1-Settings!$I$68)*(1-Settings!$I$17))),"")</f>
        <v/>
      </c>
      <c r="R545" s="91">
        <f>IFERROR(IF(OR(I545="",Z545&gt;=1,Settings!$B$17&gt;=1,AN545&gt;=1),"",IF(MOD(ROUND(I545/(1-Z545)/(1-Settings!$B$17)/(1-AN545),0),10)=0,ROUND(I545/(1-Z545)/(1-Settings!$B$17)/(1-AN545),0)-1,IF(MOD(ROUND(I545/(1-Z545)/(1-Settings!$B$17)/(1-AN545),0),10)&lt;=5,FLOOR(ROUND(I545/(1-Z545)/(1-Settings!$B$17)/(1-AN545),0),10)+6,FLOOR(ROUND(I545/(1-Z545)/(1-Settings!$B$17)/(1-AN545),0),10)+9))),"")</f>
        <v/>
      </c>
      <c r="S545" s="174">
        <f>R545*0.95</f>
        <v/>
      </c>
      <c r="T545" s="91">
        <f>IF(S545&lt;&gt;"", IF(MOD(S545,10)=0,S545-1,IF(MOD(S545,10)&lt;=5,FLOOR(S545,10)+6,FLOOR(S545,10)+9)), R545)</f>
        <v/>
      </c>
      <c r="U545" s="87" t="inlineStr">
        <is>
          <t>Основний</t>
        </is>
      </c>
      <c r="V545" s="88" t="n"/>
      <c r="W545" s="88" t="n"/>
      <c r="X545" s="89">
        <f>IFERROR(IF(OR(V545="",W545="",T545=""),"", IF(T545&gt;W545,"Дорогий",IF(T545&lt;V545,"Дешевий","У ринку"))),"")</f>
        <v/>
      </c>
      <c r="Y545" s="90" t="n"/>
      <c r="Z545" s="104">
        <f>CHOOSE(MATCH(IF($U545="","Основний",$U545),{"Трафіковий","Основний","Маржинальний","Сезонний","Стратегічний"},0),0.16,0.19,0.24,0.23,0.28)</f>
        <v/>
      </c>
      <c r="AA545" s="104">
        <f>CHOOSE(MATCH(IF($U545="","Основний",$U545),{"Трафіковий","Основний","Маржинальний","Сезонний","Стратегічний"},0),0.18,0.21,0.26,0.25,0.3)</f>
        <v/>
      </c>
      <c r="AB545" s="104">
        <f>CHOOSE(MATCH(IF($U545="","Основний",$U545),{"Трафіковий","Основний","Маржинальний","Сезонний","Стратегічний"},0),0.19,0.22,0.28,0.26,0.32)</f>
        <v/>
      </c>
      <c r="AC545" s="104">
        <f>CHOOSE(MATCH(IF($U545="","Основний",$U545),{"Трафіковий","Основний","Маржинальний","Сезонний","Стратегічний"},0),0.17,0.2,0.25,0.24,0.28)</f>
        <v/>
      </c>
      <c r="AD545" s="104">
        <f>CHOOSE(MATCH(IF($U545="","Основний",$U545),{"Трафіковий","Основний","Маржинальний","Сезонний","Стратегічний"},0),0.18,0.21,0.26,0.25,0.3)</f>
        <v/>
      </c>
      <c r="AE545" s="104">
        <f>CHOOSE(MATCH(IF($U545="","Основний",$U545),{"Трафіковий","Основний","Маржинальний","Сезонний","Стратегічний"},0),0.18,0.2,0.28,0.27,0.32)</f>
        <v/>
      </c>
      <c r="AF545" s="104">
        <f>CHOOSE(MATCH(IF($U545="","Основний",$U545),{"Трафіковий","Основний","Маржинальний","Сезонний","Стратегічний"},0),0.15,0.175,0.22,0.21,0.25)</f>
        <v/>
      </c>
      <c r="AG545" s="104">
        <f>CHOOSE(MATCH(IF($U545="","Основний",$U545),{"Трафіковий","Основний","Маржинальний","Сезонний","Стратегічний"},0),0.13,0.16,0.21,0.2,0.25)</f>
        <v/>
      </c>
      <c r="AH545" s="104">
        <f>CHOOSE(MATCH(IF($U545="","Основний",$U545),{"Трафіковий","Основний","Маржинальний","Сезонний","Стратегічний"},0),0.15,0.18,0.23,0.22,0.27)</f>
        <v/>
      </c>
      <c r="AI545" s="104">
        <f>CHOOSE(MATCH(IF($U545="","Основний",$U545),{"Трафіковий","Основний","Маржинальний","Сезонний","Стратегічний"},0),0.16,0.19,0.25,0.23,0.29)</f>
        <v/>
      </c>
      <c r="AJ545" s="104">
        <f>CHOOSE(MATCH(IF($U545="","Основний",$U545),{"Трафіковий","Основний","Маржинальний","Сезонний","Стратегічний"},0),0.14,0.17,0.22,0.21,0.25)</f>
        <v/>
      </c>
      <c r="AK545" s="104">
        <f>CHOOSE(MATCH(IF($U545="","Основний",$U545),{"Трафіковий","Основний","Маржинальний","Сезонний","Стратегічний"},0),0.15,0.18,0.23,0.22,0.27)</f>
        <v/>
      </c>
      <c r="AL545" s="104">
        <f>CHOOSE(MATCH(IF($U545="","Основний",$U545),{"Трафіковий","Основний","Маржинальний","Сезонний","Стратегічний"},0),0.15,0.17,0.25,0.24,0.29)</f>
        <v/>
      </c>
      <c r="AM545" s="104">
        <f>CHOOSE(MATCH(IF($U545="","Основний",$U545),{"Трафіковий","Основний","Маржинальний","Сезонний","Стратегічний"},0),0.12,0.145,0.19,0.18,0.22)</f>
        <v/>
      </c>
      <c r="AN545" s="157">
        <f>CHOOSE(MATCH(IF($U545="","Основний",$U545),{"Трафіковий","Основний","Маржинальний","Сезонний","Стратегічний"},0),Settings!$B$78,Settings!$B$80,Settings!$B$82,Settings!$B$84,Settings!$B$86)</f>
        <v/>
      </c>
      <c r="AO545" s="157">
        <f>CHOOSE(MATCH(IF($U545="","Основний",$U545),{"Трафіковий","Основний","Маржинальний","Сезонний","Стратегічний"},0),Settings!$C$78,Settings!$C$80,Settings!$C$82,Settings!$C$84,Settings!$C$86)</f>
        <v/>
      </c>
      <c r="AP545" s="157">
        <f>CHOOSE(MATCH(IF($U545="","Основний",$U545),{"Трафіковий","Основний","Маржинальний","Сезонний","Стратегічний"},0),Settings!$D$78,Settings!$D$80,Settings!$D$82,Settings!$D$84,Settings!$D$86)</f>
        <v/>
      </c>
      <c r="AQ545" s="157">
        <f>CHOOSE(MATCH(IF($U545="","Основний",$U545),{"Трафіковий","Основний","Маржинальний","Сезонний","Стратегічний"},0),Settings!$F$78,Settings!$F$80,Settings!$F$82,Settings!$F$84,Settings!$F$86)</f>
        <v/>
      </c>
      <c r="AR545" s="157">
        <f>CHOOSE(MATCH(IF($U545="","Основний",$U545),{"Трафіковий","Основний","Маржинальний","Сезонний","Стратегічний"},0),Settings!$G$78,Settings!$G$80,Settings!$G$82,Settings!$G$84,Settings!$G$86)</f>
        <v/>
      </c>
      <c r="AS545" s="157">
        <f>CHOOSE(MATCH(IF($U545="","Основний",$U545),{"Трафіковий","Основний","Маржинальний","Сезонний","Стратегічний"},0),Settings!$H$78,Settings!$H$80,Settings!$H$82,Settings!$H$84,Settings!$H$86)</f>
        <v/>
      </c>
      <c r="AT545" s="157">
        <f>CHOOSE(MATCH(IF($U545="","Основний",$U545),{"Трафіковий","Основний","Маржинальний","Сезонний","Стратегічний"},0),Settings!$I$78,Settings!$I$80,Settings!$I$82,Settings!$I$84,Settings!$I$86)</f>
        <v/>
      </c>
      <c r="AU545" s="171" t="n"/>
      <c r="AV545" t="n">
        <v>1.35</v>
      </c>
    </row>
    <row r="546">
      <c r="A546" s="28" t="n"/>
      <c r="B546" s="29" t="inlineStr">
        <is>
          <t>E6016</t>
        </is>
      </c>
      <c r="C546" s="29" t="inlineStr">
        <is>
          <t>PROFI WIRELESS WEATHER STATION E6016</t>
        </is>
      </c>
      <c r="D546" s="29" t="inlineStr">
        <is>
          <t>Метеостанції та термометри</t>
        </is>
      </c>
      <c r="E546" s="28" t="inlineStr">
        <is>
          <t>PC</t>
        </is>
      </c>
      <c r="F546" s="93" t="n">
        <v>48.371</v>
      </c>
      <c r="G546" s="30" t="n">
        <v>9025804089</v>
      </c>
      <c r="H546" s="31" t="n">
        <v>1.35</v>
      </c>
      <c r="I546" s="84">
        <f>IFERROR(F546*Settings!$B$2*H546*IF(AND(ISNUMBER(E546),E546&gt;1),E546,1),"")</f>
        <v/>
      </c>
      <c r="J546" s="32">
        <f>Settings!$B$66</f>
        <v/>
      </c>
      <c r="K546" s="95">
        <f>IFERROR(IF(T546="","",(T546*(1-AN546)*(1-Settings!$B$17)-I546)/(T546*(1-AN546)*(1-Settings!$B$17))),"")</f>
        <v/>
      </c>
      <c r="L546" s="101">
        <f>IFERROR(IF(T546="","",(T546*(1-AO546)*(1-Settings!$C$17)-I546)/(T546*(1-AO546)*(1-Settings!$C$17))),"")</f>
        <v/>
      </c>
      <c r="M546" s="101">
        <f>IFERROR(IF(T546="","",(T546*(1-AP546)*(1-Settings!$D$17)-I546)/(T546*(1-AP546)*(1-Settings!$D$17))),"")</f>
        <v/>
      </c>
      <c r="N546" s="101">
        <f>IFERROR(IF(T546="","",(T546*(1-AQ546)*(1-Settings!$F$17)-I546)/(T546*(1-AQ546)*(1-Settings!$F$17))),"")</f>
        <v/>
      </c>
      <c r="O546" s="101">
        <f>IFERROR(IF(T546="","",(T546*(1-AR546)*(1-Settings!$G$17)-I546)/(T546*(1-AR546)*(1-Settings!$G$17))),"")</f>
        <v/>
      </c>
      <c r="P546" s="101">
        <f>IFERROR(IF(T546="","",(T546*(1-AS546)*(1-Settings!$H$17)-I546)/(T546*(1-AS546)*(1-Settings!$H$17))),"")</f>
        <v/>
      </c>
      <c r="Q546" s="101">
        <f>IFERROR(IF(T546="","",(T546*(1-AT546)*(1-Settings!$I$68)*(1-Settings!$I$17)-I546)/(T546*(1-AT546)*(1-Settings!$I$68)*(1-Settings!$I$17))),"")</f>
        <v/>
      </c>
      <c r="R546" s="91">
        <f>IFERROR(IF(OR(I546="",Z546&gt;=1,Settings!$B$17&gt;=1,AN546&gt;=1),"",IF(MOD(ROUND(I546/(1-Z546)/(1-Settings!$B$17)/(1-AN546),0),10)=0,ROUND(I546/(1-Z546)/(1-Settings!$B$17)/(1-AN546),0)-1,IF(MOD(ROUND(I546/(1-Z546)/(1-Settings!$B$17)/(1-AN546),0),10)&lt;=5,FLOOR(ROUND(I546/(1-Z546)/(1-Settings!$B$17)/(1-AN546),0),10)+6,FLOOR(ROUND(I546/(1-Z546)/(1-Settings!$B$17)/(1-AN546),0),10)+9))),"")</f>
        <v/>
      </c>
      <c r="S546" s="174">
        <f>R546*0.95</f>
        <v/>
      </c>
      <c r="T546" s="91">
        <f>IF(S546&lt;&gt;"", IF(MOD(S546,10)=0,S546-1,IF(MOD(S546,10)&lt;=5,FLOOR(S546,10)+6,FLOOR(S546,10)+9)), R546)</f>
        <v/>
      </c>
      <c r="U546" s="87" t="inlineStr">
        <is>
          <t>Основний</t>
        </is>
      </c>
      <c r="V546" s="88" t="n"/>
      <c r="W546" s="88" t="n"/>
      <c r="X546" s="89">
        <f>IFERROR(IF(OR(V546="",W546="",T546=""),"", IF(T546&gt;W546,"Дорогий",IF(T546&lt;V546,"Дешевий","У ринку"))),"")</f>
        <v/>
      </c>
      <c r="Y546" s="90" t="n"/>
      <c r="Z546" s="104">
        <f>CHOOSE(MATCH(IF($U546="","Основний",$U546),{"Трафіковий","Основний","Маржинальний","Сезонний","Стратегічний"},0),0.16,0.19,0.24,0.23,0.28)</f>
        <v/>
      </c>
      <c r="AA546" s="104">
        <f>CHOOSE(MATCH(IF($U546="","Основний",$U546),{"Трафіковий","Основний","Маржинальний","Сезонний","Стратегічний"},0),0.18,0.21,0.26,0.25,0.3)</f>
        <v/>
      </c>
      <c r="AB546" s="104">
        <f>CHOOSE(MATCH(IF($U546="","Основний",$U546),{"Трафіковий","Основний","Маржинальний","Сезонний","Стратегічний"},0),0.19,0.22,0.28,0.26,0.32)</f>
        <v/>
      </c>
      <c r="AC546" s="104">
        <f>CHOOSE(MATCH(IF($U546="","Основний",$U546),{"Трафіковий","Основний","Маржинальний","Сезонний","Стратегічний"},0),0.17,0.2,0.25,0.24,0.28)</f>
        <v/>
      </c>
      <c r="AD546" s="104">
        <f>CHOOSE(MATCH(IF($U546="","Основний",$U546),{"Трафіковий","Основний","Маржинальний","Сезонний","Стратегічний"},0),0.18,0.21,0.26,0.25,0.3)</f>
        <v/>
      </c>
      <c r="AE546" s="104">
        <f>CHOOSE(MATCH(IF($U546="","Основний",$U546),{"Трафіковий","Основний","Маржинальний","Сезонний","Стратегічний"},0),0.18,0.2,0.28,0.27,0.32)</f>
        <v/>
      </c>
      <c r="AF546" s="104">
        <f>CHOOSE(MATCH(IF($U546="","Основний",$U546),{"Трафіковий","Основний","Маржинальний","Сезонний","Стратегічний"},0),0.15,0.175,0.22,0.21,0.25)</f>
        <v/>
      </c>
      <c r="AG546" s="104">
        <f>CHOOSE(MATCH(IF($U546="","Основний",$U546),{"Трафіковий","Основний","Маржинальний","Сезонний","Стратегічний"},0),0.13,0.16,0.21,0.2,0.25)</f>
        <v/>
      </c>
      <c r="AH546" s="104">
        <f>CHOOSE(MATCH(IF($U546="","Основний",$U546),{"Трафіковий","Основний","Маржинальний","Сезонний","Стратегічний"},0),0.15,0.18,0.23,0.22,0.27)</f>
        <v/>
      </c>
      <c r="AI546" s="104">
        <f>CHOOSE(MATCH(IF($U546="","Основний",$U546),{"Трафіковий","Основний","Маржинальний","Сезонний","Стратегічний"},0),0.16,0.19,0.25,0.23,0.29)</f>
        <v/>
      </c>
      <c r="AJ546" s="104">
        <f>CHOOSE(MATCH(IF($U546="","Основний",$U546),{"Трафіковий","Основний","Маржинальний","Сезонний","Стратегічний"},0),0.14,0.17,0.22,0.21,0.25)</f>
        <v/>
      </c>
      <c r="AK546" s="104">
        <f>CHOOSE(MATCH(IF($U546="","Основний",$U546),{"Трафіковий","Основний","Маржинальний","Сезонний","Стратегічний"},0),0.15,0.18,0.23,0.22,0.27)</f>
        <v/>
      </c>
      <c r="AL546" s="104">
        <f>CHOOSE(MATCH(IF($U546="","Основний",$U546),{"Трафіковий","Основний","Маржинальний","Сезонний","Стратегічний"},0),0.15,0.17,0.25,0.24,0.29)</f>
        <v/>
      </c>
      <c r="AM546" s="104">
        <f>CHOOSE(MATCH(IF($U546="","Основний",$U546),{"Трафіковий","Основний","Маржинальний","Сезонний","Стратегічний"},0),0.12,0.145,0.19,0.18,0.22)</f>
        <v/>
      </c>
      <c r="AN546" s="157">
        <f>CHOOSE(MATCH(IF($U546="","Основний",$U546),{"Трафіковий","Основний","Маржинальний","Сезонний","Стратегічний"},0),Settings!$B$78,Settings!$B$80,Settings!$B$82,Settings!$B$84,Settings!$B$86)</f>
        <v/>
      </c>
      <c r="AO546" s="157">
        <f>CHOOSE(MATCH(IF($U546="","Основний",$U546),{"Трафіковий","Основний","Маржинальний","Сезонний","Стратегічний"},0),Settings!$C$78,Settings!$C$80,Settings!$C$82,Settings!$C$84,Settings!$C$86)</f>
        <v/>
      </c>
      <c r="AP546" s="157">
        <f>CHOOSE(MATCH(IF($U546="","Основний",$U546),{"Трафіковий","Основний","Маржинальний","Сезонний","Стратегічний"},0),Settings!$D$78,Settings!$D$80,Settings!$D$82,Settings!$D$84,Settings!$D$86)</f>
        <v/>
      </c>
      <c r="AQ546" s="157">
        <f>CHOOSE(MATCH(IF($U546="","Основний",$U546),{"Трафіковий","Основний","Маржинальний","Сезонний","Стратегічний"},0),Settings!$F$78,Settings!$F$80,Settings!$F$82,Settings!$F$84,Settings!$F$86)</f>
        <v/>
      </c>
      <c r="AR546" s="157">
        <f>CHOOSE(MATCH(IF($U546="","Основний",$U546),{"Трафіковий","Основний","Маржинальний","Сезонний","Стратегічний"},0),Settings!$G$78,Settings!$G$80,Settings!$G$82,Settings!$G$84,Settings!$G$86)</f>
        <v/>
      </c>
      <c r="AS546" s="157">
        <f>CHOOSE(MATCH(IF($U546="","Основний",$U546),{"Трафіковий","Основний","Маржинальний","Сезонний","Стратегічний"},0),Settings!$H$78,Settings!$H$80,Settings!$H$82,Settings!$H$84,Settings!$H$86)</f>
        <v/>
      </c>
      <c r="AT546" s="157">
        <f>CHOOSE(MATCH(IF($U546="","Основний",$U546),{"Трафіковий","Основний","Маржинальний","Сезонний","Стратегічний"},0),Settings!$I$78,Settings!$I$80,Settings!$I$82,Settings!$I$84,Settings!$I$86)</f>
        <v/>
      </c>
      <c r="AU546" s="171" t="n"/>
      <c r="AV546" t="n">
        <v>1.35</v>
      </c>
    </row>
    <row r="547">
      <c r="A547" s="33" t="n"/>
      <c r="B547" s="34" t="inlineStr">
        <is>
          <t>E0352</t>
        </is>
      </c>
      <c r="C547" s="34" t="inlineStr">
        <is>
          <t>WEATHER STATION E0352</t>
        </is>
      </c>
      <c r="D547" s="34" t="inlineStr">
        <is>
          <t>Метеостанції та термометри</t>
        </is>
      </c>
      <c r="E547" s="33" t="inlineStr">
        <is>
          <t>PC</t>
        </is>
      </c>
      <c r="F547" s="94" t="n">
        <v>11.078</v>
      </c>
      <c r="G547" s="35" t="n">
        <v>9025804089</v>
      </c>
      <c r="H547" s="31" t="n">
        <v>1.35</v>
      </c>
      <c r="I547" s="84">
        <f>IFERROR(F547*Settings!$B$2*H547*IF(AND(ISNUMBER(E547),E547&gt;1),E547,1),"")</f>
        <v/>
      </c>
      <c r="J547" s="32">
        <f>Settings!$B$66</f>
        <v/>
      </c>
      <c r="K547" s="95">
        <f>IFERROR(IF(T547="","",(T547*(1-AN547)*(1-Settings!$B$17)-I547)/(T547*(1-AN547)*(1-Settings!$B$17))),"")</f>
        <v/>
      </c>
      <c r="L547" s="101">
        <f>IFERROR(IF(T547="","",(T547*(1-AO547)*(1-Settings!$C$17)-I547)/(T547*(1-AO547)*(1-Settings!$C$17))),"")</f>
        <v/>
      </c>
      <c r="M547" s="101">
        <f>IFERROR(IF(T547="","",(T547*(1-AP547)*(1-Settings!$D$17)-I547)/(T547*(1-AP547)*(1-Settings!$D$17))),"")</f>
        <v/>
      </c>
      <c r="N547" s="101">
        <f>IFERROR(IF(T547="","",(T547*(1-AQ547)*(1-Settings!$F$17)-I547)/(T547*(1-AQ547)*(1-Settings!$F$17))),"")</f>
        <v/>
      </c>
      <c r="O547" s="101">
        <f>IFERROR(IF(T547="","",(T547*(1-AR547)*(1-Settings!$G$17)-I547)/(T547*(1-AR547)*(1-Settings!$G$17))),"")</f>
        <v/>
      </c>
      <c r="P547" s="101">
        <f>IFERROR(IF(T547="","",(T547*(1-AS547)*(1-Settings!$H$17)-I547)/(T547*(1-AS547)*(1-Settings!$H$17))),"")</f>
        <v/>
      </c>
      <c r="Q547" s="101">
        <f>IFERROR(IF(T547="","",(T547*(1-AT547)*(1-Settings!$I$68)*(1-Settings!$I$17)-I547)/(T547*(1-AT547)*(1-Settings!$I$68)*(1-Settings!$I$17))),"")</f>
        <v/>
      </c>
      <c r="R547" s="91">
        <f>IFERROR(IF(OR(I547="",Z547&gt;=1,Settings!$B$17&gt;=1,AN547&gt;=1),"",IF(MOD(ROUND(I547/(1-Z547)/(1-Settings!$B$17)/(1-AN547),0),10)=0,ROUND(I547/(1-Z547)/(1-Settings!$B$17)/(1-AN547),0)-1,IF(MOD(ROUND(I547/(1-Z547)/(1-Settings!$B$17)/(1-AN547),0),10)&lt;=5,FLOOR(ROUND(I547/(1-Z547)/(1-Settings!$B$17)/(1-AN547),0),10)+6,FLOOR(ROUND(I547/(1-Z547)/(1-Settings!$B$17)/(1-AN547),0),10)+9))),"")</f>
        <v/>
      </c>
      <c r="S547" s="174">
        <f>R547*0.95</f>
        <v/>
      </c>
      <c r="T547" s="91">
        <f>IF(S547&lt;&gt;"", IF(MOD(S547,10)=0,S547-1,IF(MOD(S547,10)&lt;=5,FLOOR(S547,10)+6,FLOOR(S547,10)+9)), R547)</f>
        <v/>
      </c>
      <c r="U547" s="87" t="inlineStr">
        <is>
          <t>Основний</t>
        </is>
      </c>
      <c r="V547" s="88" t="n"/>
      <c r="W547" s="88" t="n"/>
      <c r="X547" s="89">
        <f>IFERROR(IF(OR(V547="",W547="",T547=""),"", IF(T547&gt;W547,"Дорогий",IF(T547&lt;V547,"Дешевий","У ринку"))),"")</f>
        <v/>
      </c>
      <c r="Y547" s="90" t="n"/>
      <c r="Z547" s="104">
        <f>CHOOSE(MATCH(IF($U547="","Основний",$U547),{"Трафіковий","Основний","Маржинальний","Сезонний","Стратегічний"},0),0.16,0.19,0.24,0.23,0.28)</f>
        <v/>
      </c>
      <c r="AA547" s="104">
        <f>CHOOSE(MATCH(IF($U547="","Основний",$U547),{"Трафіковий","Основний","Маржинальний","Сезонний","Стратегічний"},0),0.18,0.21,0.26,0.25,0.3)</f>
        <v/>
      </c>
      <c r="AB547" s="104">
        <f>CHOOSE(MATCH(IF($U547="","Основний",$U547),{"Трафіковий","Основний","Маржинальний","Сезонний","Стратегічний"},0),0.19,0.22,0.28,0.26,0.32)</f>
        <v/>
      </c>
      <c r="AC547" s="104">
        <f>CHOOSE(MATCH(IF($U547="","Основний",$U547),{"Трафіковий","Основний","Маржинальний","Сезонний","Стратегічний"},0),0.17,0.2,0.25,0.24,0.28)</f>
        <v/>
      </c>
      <c r="AD547" s="104">
        <f>CHOOSE(MATCH(IF($U547="","Основний",$U547),{"Трафіковий","Основний","Маржинальний","Сезонний","Стратегічний"},0),0.18,0.21,0.26,0.25,0.3)</f>
        <v/>
      </c>
      <c r="AE547" s="104">
        <f>CHOOSE(MATCH(IF($U547="","Основний",$U547),{"Трафіковий","Основний","Маржинальний","Сезонний","Стратегічний"},0),0.18,0.2,0.28,0.27,0.32)</f>
        <v/>
      </c>
      <c r="AF547" s="104">
        <f>CHOOSE(MATCH(IF($U547="","Основний",$U547),{"Трафіковий","Основний","Маржинальний","Сезонний","Стратегічний"},0),0.15,0.175,0.22,0.21,0.25)</f>
        <v/>
      </c>
      <c r="AG547" s="104">
        <f>CHOOSE(MATCH(IF($U547="","Основний",$U547),{"Трафіковий","Основний","Маржинальний","Сезонний","Стратегічний"},0),0.13,0.16,0.21,0.2,0.25)</f>
        <v/>
      </c>
      <c r="AH547" s="104">
        <f>CHOOSE(MATCH(IF($U547="","Основний",$U547),{"Трафіковий","Основний","Маржинальний","Сезонний","Стратегічний"},0),0.15,0.18,0.23,0.22,0.27)</f>
        <v/>
      </c>
      <c r="AI547" s="104">
        <f>CHOOSE(MATCH(IF($U547="","Основний",$U547),{"Трафіковий","Основний","Маржинальний","Сезонний","Стратегічний"},0),0.16,0.19,0.25,0.23,0.29)</f>
        <v/>
      </c>
      <c r="AJ547" s="104">
        <f>CHOOSE(MATCH(IF($U547="","Основний",$U547),{"Трафіковий","Основний","Маржинальний","Сезонний","Стратегічний"},0),0.14,0.17,0.22,0.21,0.25)</f>
        <v/>
      </c>
      <c r="AK547" s="104">
        <f>CHOOSE(MATCH(IF($U547="","Основний",$U547),{"Трафіковий","Основний","Маржинальний","Сезонний","Стратегічний"},0),0.15,0.18,0.23,0.22,0.27)</f>
        <v/>
      </c>
      <c r="AL547" s="104">
        <f>CHOOSE(MATCH(IF($U547="","Основний",$U547),{"Трафіковий","Основний","Маржинальний","Сезонний","Стратегічний"},0),0.15,0.17,0.25,0.24,0.29)</f>
        <v/>
      </c>
      <c r="AM547" s="104">
        <f>CHOOSE(MATCH(IF($U547="","Основний",$U547),{"Трафіковий","Основний","Маржинальний","Сезонний","Стратегічний"},0),0.12,0.145,0.19,0.18,0.22)</f>
        <v/>
      </c>
      <c r="AN547" s="157">
        <f>CHOOSE(MATCH(IF($U547="","Основний",$U547),{"Трафіковий","Основний","Маржинальний","Сезонний","Стратегічний"},0),Settings!$B$78,Settings!$B$80,Settings!$B$82,Settings!$B$84,Settings!$B$86)</f>
        <v/>
      </c>
      <c r="AO547" s="157">
        <f>CHOOSE(MATCH(IF($U547="","Основний",$U547),{"Трафіковий","Основний","Маржинальний","Сезонний","Стратегічний"},0),Settings!$C$78,Settings!$C$80,Settings!$C$82,Settings!$C$84,Settings!$C$86)</f>
        <v/>
      </c>
      <c r="AP547" s="157">
        <f>CHOOSE(MATCH(IF($U547="","Основний",$U547),{"Трафіковий","Основний","Маржинальний","Сезонний","Стратегічний"},0),Settings!$D$78,Settings!$D$80,Settings!$D$82,Settings!$D$84,Settings!$D$86)</f>
        <v/>
      </c>
      <c r="AQ547" s="157">
        <f>CHOOSE(MATCH(IF($U547="","Основний",$U547),{"Трафіковий","Основний","Маржинальний","Сезонний","Стратегічний"},0),Settings!$F$78,Settings!$F$80,Settings!$F$82,Settings!$F$84,Settings!$F$86)</f>
        <v/>
      </c>
      <c r="AR547" s="157">
        <f>CHOOSE(MATCH(IF($U547="","Основний",$U547),{"Трафіковий","Основний","Маржинальний","Сезонний","Стратегічний"},0),Settings!$G$78,Settings!$G$80,Settings!$G$82,Settings!$G$84,Settings!$G$86)</f>
        <v/>
      </c>
      <c r="AS547" s="157">
        <f>CHOOSE(MATCH(IF($U547="","Основний",$U547),{"Трафіковий","Основний","Маржинальний","Сезонний","Стратегічний"},0),Settings!$H$78,Settings!$H$80,Settings!$H$82,Settings!$H$84,Settings!$H$86)</f>
        <v/>
      </c>
      <c r="AT547" s="157">
        <f>CHOOSE(MATCH(IF($U547="","Основний",$U547),{"Трафіковий","Основний","Маржинальний","Сезонний","Стратегічний"},0),Settings!$I$78,Settings!$I$80,Settings!$I$82,Settings!$I$84,Settings!$I$86)</f>
        <v/>
      </c>
      <c r="AU547" s="171" t="n"/>
      <c r="AV547" t="n">
        <v>1.35</v>
      </c>
    </row>
    <row r="548">
      <c r="A548" s="28" t="n"/>
      <c r="B548" s="29" t="inlineStr">
        <is>
          <t>E5111</t>
        </is>
      </c>
      <c r="C548" s="29" t="inlineStr">
        <is>
          <t>WEATHER STATION E5111</t>
        </is>
      </c>
      <c r="D548" s="29" t="inlineStr">
        <is>
          <t>Метеостанції та термометри</t>
        </is>
      </c>
      <c r="E548" s="28" t="inlineStr">
        <is>
          <t>PC</t>
        </is>
      </c>
      <c r="F548" s="93" t="n">
        <v>31.495</v>
      </c>
      <c r="G548" s="30" t="n">
        <v>9025804089</v>
      </c>
      <c r="H548" s="31" t="n">
        <v>1.35</v>
      </c>
      <c r="I548" s="84">
        <f>IFERROR(F548*Settings!$B$2*H548*IF(AND(ISNUMBER(E548),E548&gt;1),E548,1),"")</f>
        <v/>
      </c>
      <c r="J548" s="32">
        <f>Settings!$B$66</f>
        <v/>
      </c>
      <c r="K548" s="95">
        <f>IFERROR(IF(T548="","",(T548*(1-AN548)*(1-Settings!$B$17)-I548)/(T548*(1-AN548)*(1-Settings!$B$17))),"")</f>
        <v/>
      </c>
      <c r="L548" s="101">
        <f>IFERROR(IF(T548="","",(T548*(1-AO548)*(1-Settings!$C$17)-I548)/(T548*(1-AO548)*(1-Settings!$C$17))),"")</f>
        <v/>
      </c>
      <c r="M548" s="101">
        <f>IFERROR(IF(T548="","",(T548*(1-AP548)*(1-Settings!$D$17)-I548)/(T548*(1-AP548)*(1-Settings!$D$17))),"")</f>
        <v/>
      </c>
      <c r="N548" s="101">
        <f>IFERROR(IF(T548="","",(T548*(1-AQ548)*(1-Settings!$F$17)-I548)/(T548*(1-AQ548)*(1-Settings!$F$17))),"")</f>
        <v/>
      </c>
      <c r="O548" s="101">
        <f>IFERROR(IF(T548="","",(T548*(1-AR548)*(1-Settings!$G$17)-I548)/(T548*(1-AR548)*(1-Settings!$G$17))),"")</f>
        <v/>
      </c>
      <c r="P548" s="101">
        <f>IFERROR(IF(T548="","",(T548*(1-AS548)*(1-Settings!$H$17)-I548)/(T548*(1-AS548)*(1-Settings!$H$17))),"")</f>
        <v/>
      </c>
      <c r="Q548" s="101">
        <f>IFERROR(IF(T548="","",(T548*(1-AT548)*(1-Settings!$I$68)*(1-Settings!$I$17)-I548)/(T548*(1-AT548)*(1-Settings!$I$68)*(1-Settings!$I$17))),"")</f>
        <v/>
      </c>
      <c r="R548" s="91">
        <f>IFERROR(IF(OR(I548="",Z548&gt;=1,Settings!$B$17&gt;=1,AN548&gt;=1),"",IF(MOD(ROUND(I548/(1-Z548)/(1-Settings!$B$17)/(1-AN548),0),10)=0,ROUND(I548/(1-Z548)/(1-Settings!$B$17)/(1-AN548),0)-1,IF(MOD(ROUND(I548/(1-Z548)/(1-Settings!$B$17)/(1-AN548),0),10)&lt;=5,FLOOR(ROUND(I548/(1-Z548)/(1-Settings!$B$17)/(1-AN548),0),10)+6,FLOOR(ROUND(I548/(1-Z548)/(1-Settings!$B$17)/(1-AN548),0),10)+9))),"")</f>
        <v/>
      </c>
      <c r="S548" s="174">
        <f>R548*0.95</f>
        <v/>
      </c>
      <c r="T548" s="91">
        <f>IF(S548&lt;&gt;"", IF(MOD(S548,10)=0,S548-1,IF(MOD(S548,10)&lt;=5,FLOOR(S548,10)+6,FLOOR(S548,10)+9)), R548)</f>
        <v/>
      </c>
      <c r="U548" s="87" t="inlineStr">
        <is>
          <t>Основний</t>
        </is>
      </c>
      <c r="V548" s="88" t="n"/>
      <c r="W548" s="88" t="n"/>
      <c r="X548" s="89">
        <f>IFERROR(IF(OR(V548="",W548="",T548=""),"", IF(T548&gt;W548,"Дорогий",IF(T548&lt;V548,"Дешевий","У ринку"))),"")</f>
        <v/>
      </c>
      <c r="Y548" s="90" t="n"/>
      <c r="Z548" s="104">
        <f>CHOOSE(MATCH(IF($U548="","Основний",$U548),{"Трафіковий","Основний","Маржинальний","Сезонний","Стратегічний"},0),0.16,0.19,0.24,0.23,0.28)</f>
        <v/>
      </c>
      <c r="AA548" s="104">
        <f>CHOOSE(MATCH(IF($U548="","Основний",$U548),{"Трафіковий","Основний","Маржинальний","Сезонний","Стратегічний"},0),0.18,0.21,0.26,0.25,0.3)</f>
        <v/>
      </c>
      <c r="AB548" s="104">
        <f>CHOOSE(MATCH(IF($U548="","Основний",$U548),{"Трафіковий","Основний","Маржинальний","Сезонний","Стратегічний"},0),0.19,0.22,0.28,0.26,0.32)</f>
        <v/>
      </c>
      <c r="AC548" s="104">
        <f>CHOOSE(MATCH(IF($U548="","Основний",$U548),{"Трафіковий","Основний","Маржинальний","Сезонний","Стратегічний"},0),0.17,0.2,0.25,0.24,0.28)</f>
        <v/>
      </c>
      <c r="AD548" s="104">
        <f>CHOOSE(MATCH(IF($U548="","Основний",$U548),{"Трафіковий","Основний","Маржинальний","Сезонний","Стратегічний"},0),0.18,0.21,0.26,0.25,0.3)</f>
        <v/>
      </c>
      <c r="AE548" s="104">
        <f>CHOOSE(MATCH(IF($U548="","Основний",$U548),{"Трафіковий","Основний","Маржинальний","Сезонний","Стратегічний"},0),0.18,0.2,0.28,0.27,0.32)</f>
        <v/>
      </c>
      <c r="AF548" s="104">
        <f>CHOOSE(MATCH(IF($U548="","Основний",$U548),{"Трафіковий","Основний","Маржинальний","Сезонний","Стратегічний"},0),0.15,0.175,0.22,0.21,0.25)</f>
        <v/>
      </c>
      <c r="AG548" s="104">
        <f>CHOOSE(MATCH(IF($U548="","Основний",$U548),{"Трафіковий","Основний","Маржинальний","Сезонний","Стратегічний"},0),0.13,0.16,0.21,0.2,0.25)</f>
        <v/>
      </c>
      <c r="AH548" s="104">
        <f>CHOOSE(MATCH(IF($U548="","Основний",$U548),{"Трафіковий","Основний","Маржинальний","Сезонний","Стратегічний"},0),0.15,0.18,0.23,0.22,0.27)</f>
        <v/>
      </c>
      <c r="AI548" s="104">
        <f>CHOOSE(MATCH(IF($U548="","Основний",$U548),{"Трафіковий","Основний","Маржинальний","Сезонний","Стратегічний"},0),0.16,0.19,0.25,0.23,0.29)</f>
        <v/>
      </c>
      <c r="AJ548" s="104">
        <f>CHOOSE(MATCH(IF($U548="","Основний",$U548),{"Трафіковий","Основний","Маржинальний","Сезонний","Стратегічний"},0),0.14,0.17,0.22,0.21,0.25)</f>
        <v/>
      </c>
      <c r="AK548" s="104">
        <f>CHOOSE(MATCH(IF($U548="","Основний",$U548),{"Трафіковий","Основний","Маржинальний","Сезонний","Стратегічний"},0),0.15,0.18,0.23,0.22,0.27)</f>
        <v/>
      </c>
      <c r="AL548" s="104">
        <f>CHOOSE(MATCH(IF($U548="","Основний",$U548),{"Трафіковий","Основний","Маржинальний","Сезонний","Стратегічний"},0),0.15,0.17,0.25,0.24,0.29)</f>
        <v/>
      </c>
      <c r="AM548" s="104">
        <f>CHOOSE(MATCH(IF($U548="","Основний",$U548),{"Трафіковий","Основний","Маржинальний","Сезонний","Стратегічний"},0),0.12,0.145,0.19,0.18,0.22)</f>
        <v/>
      </c>
      <c r="AN548" s="157">
        <f>CHOOSE(MATCH(IF($U548="","Основний",$U548),{"Трафіковий","Основний","Маржинальний","Сезонний","Стратегічний"},0),Settings!$B$78,Settings!$B$80,Settings!$B$82,Settings!$B$84,Settings!$B$86)</f>
        <v/>
      </c>
      <c r="AO548" s="157">
        <f>CHOOSE(MATCH(IF($U548="","Основний",$U548),{"Трафіковий","Основний","Маржинальний","Сезонний","Стратегічний"},0),Settings!$C$78,Settings!$C$80,Settings!$C$82,Settings!$C$84,Settings!$C$86)</f>
        <v/>
      </c>
      <c r="AP548" s="157">
        <f>CHOOSE(MATCH(IF($U548="","Основний",$U548),{"Трафіковий","Основний","Маржинальний","Сезонний","Стратегічний"},0),Settings!$D$78,Settings!$D$80,Settings!$D$82,Settings!$D$84,Settings!$D$86)</f>
        <v/>
      </c>
      <c r="AQ548" s="157">
        <f>CHOOSE(MATCH(IF($U548="","Основний",$U548),{"Трафіковий","Основний","Маржинальний","Сезонний","Стратегічний"},0),Settings!$F$78,Settings!$F$80,Settings!$F$82,Settings!$F$84,Settings!$F$86)</f>
        <v/>
      </c>
      <c r="AR548" s="157">
        <f>CHOOSE(MATCH(IF($U548="","Основний",$U548),{"Трафіковий","Основний","Маржинальний","Сезонний","Стратегічний"},0),Settings!$G$78,Settings!$G$80,Settings!$G$82,Settings!$G$84,Settings!$G$86)</f>
        <v/>
      </c>
      <c r="AS548" s="157">
        <f>CHOOSE(MATCH(IF($U548="","Основний",$U548),{"Трафіковий","Основний","Маржинальний","Сезонний","Стратегічний"},0),Settings!$H$78,Settings!$H$80,Settings!$H$82,Settings!$H$84,Settings!$H$86)</f>
        <v/>
      </c>
      <c r="AT548" s="157">
        <f>CHOOSE(MATCH(IF($U548="","Основний",$U548),{"Трафіковий","Основний","Маржинальний","Сезонний","Стратегічний"},0),Settings!$I$78,Settings!$I$80,Settings!$I$82,Settings!$I$84,Settings!$I$86)</f>
        <v/>
      </c>
      <c r="AU548" s="171" t="n"/>
      <c r="AV548" t="n">
        <v>1.35</v>
      </c>
    </row>
    <row r="549">
      <c r="A549" s="33" t="n"/>
      <c r="B549" s="34" t="inlineStr">
        <is>
          <t>E8647W</t>
        </is>
      </c>
      <c r="C549" s="34" t="inlineStr">
        <is>
          <t>WEATHER STATION E8647W</t>
        </is>
      </c>
      <c r="D549" s="34" t="inlineStr">
        <is>
          <t>Метеостанції та термометри</t>
        </is>
      </c>
      <c r="E549" s="33" t="inlineStr">
        <is>
          <t>PC</t>
        </is>
      </c>
      <c r="F549" s="94" t="n">
        <v>12.714</v>
      </c>
      <c r="G549" s="35" t="n">
        <v>9025804089</v>
      </c>
      <c r="H549" s="31" t="n">
        <v>1.35</v>
      </c>
      <c r="I549" s="84">
        <f>IFERROR(F549*Settings!$B$2*H549*IF(AND(ISNUMBER(E549),E549&gt;1),E549,1),"")</f>
        <v/>
      </c>
      <c r="J549" s="32">
        <f>Settings!$B$66</f>
        <v/>
      </c>
      <c r="K549" s="95">
        <f>IFERROR(IF(T549="","",(T549*(1-AN549)*(1-Settings!$B$17)-I549)/(T549*(1-AN549)*(1-Settings!$B$17))),"")</f>
        <v/>
      </c>
      <c r="L549" s="101">
        <f>IFERROR(IF(T549="","",(T549*(1-AO549)*(1-Settings!$C$17)-I549)/(T549*(1-AO549)*(1-Settings!$C$17))),"")</f>
        <v/>
      </c>
      <c r="M549" s="101">
        <f>IFERROR(IF(T549="","",(T549*(1-AP549)*(1-Settings!$D$17)-I549)/(T549*(1-AP549)*(1-Settings!$D$17))),"")</f>
        <v/>
      </c>
      <c r="N549" s="101">
        <f>IFERROR(IF(T549="","",(T549*(1-AQ549)*(1-Settings!$F$17)-I549)/(T549*(1-AQ549)*(1-Settings!$F$17))),"")</f>
        <v/>
      </c>
      <c r="O549" s="101">
        <f>IFERROR(IF(T549="","",(T549*(1-AR549)*(1-Settings!$G$17)-I549)/(T549*(1-AR549)*(1-Settings!$G$17))),"")</f>
        <v/>
      </c>
      <c r="P549" s="101">
        <f>IFERROR(IF(T549="","",(T549*(1-AS549)*(1-Settings!$H$17)-I549)/(T549*(1-AS549)*(1-Settings!$H$17))),"")</f>
        <v/>
      </c>
      <c r="Q549" s="101">
        <f>IFERROR(IF(T549="","",(T549*(1-AT549)*(1-Settings!$I$68)*(1-Settings!$I$17)-I549)/(T549*(1-AT549)*(1-Settings!$I$68)*(1-Settings!$I$17))),"")</f>
        <v/>
      </c>
      <c r="R549" s="91">
        <f>IFERROR(IF(OR(I549="",Z549&gt;=1,Settings!$B$17&gt;=1,AN549&gt;=1),"",IF(MOD(ROUND(I549/(1-Z549)/(1-Settings!$B$17)/(1-AN549),0),10)=0,ROUND(I549/(1-Z549)/(1-Settings!$B$17)/(1-AN549),0)-1,IF(MOD(ROUND(I549/(1-Z549)/(1-Settings!$B$17)/(1-AN549),0),10)&lt;=5,FLOOR(ROUND(I549/(1-Z549)/(1-Settings!$B$17)/(1-AN549),0),10)+6,FLOOR(ROUND(I549/(1-Z549)/(1-Settings!$B$17)/(1-AN549),0),10)+9))),"")</f>
        <v/>
      </c>
      <c r="S549" s="174">
        <f>R549*0.95</f>
        <v/>
      </c>
      <c r="T549" s="91">
        <f>IF(S549&lt;&gt;"", IF(MOD(S549,10)=0,S549-1,IF(MOD(S549,10)&lt;=5,FLOOR(S549,10)+6,FLOOR(S549,10)+9)), R549)</f>
        <v/>
      </c>
      <c r="U549" s="87" t="inlineStr">
        <is>
          <t>Основний</t>
        </is>
      </c>
      <c r="V549" s="88" t="n"/>
      <c r="W549" s="88" t="n"/>
      <c r="X549" s="89">
        <f>IFERROR(IF(OR(V549="",W549="",T549=""),"", IF(T549&gt;W549,"Дорогий",IF(T549&lt;V549,"Дешевий","У ринку"))),"")</f>
        <v/>
      </c>
      <c r="Y549" s="90" t="n"/>
      <c r="Z549" s="104">
        <f>CHOOSE(MATCH(IF($U549="","Основний",$U549),{"Трафіковий","Основний","Маржинальний","Сезонний","Стратегічний"},0),0.16,0.19,0.24,0.23,0.28)</f>
        <v/>
      </c>
      <c r="AA549" s="104">
        <f>CHOOSE(MATCH(IF($U549="","Основний",$U549),{"Трафіковий","Основний","Маржинальний","Сезонний","Стратегічний"},0),0.18,0.21,0.26,0.25,0.3)</f>
        <v/>
      </c>
      <c r="AB549" s="104">
        <f>CHOOSE(MATCH(IF($U549="","Основний",$U549),{"Трафіковий","Основний","Маржинальний","Сезонний","Стратегічний"},0),0.19,0.22,0.28,0.26,0.32)</f>
        <v/>
      </c>
      <c r="AC549" s="104">
        <f>CHOOSE(MATCH(IF($U549="","Основний",$U549),{"Трафіковий","Основний","Маржинальний","Сезонний","Стратегічний"},0),0.17,0.2,0.25,0.24,0.28)</f>
        <v/>
      </c>
      <c r="AD549" s="104">
        <f>CHOOSE(MATCH(IF($U549="","Основний",$U549),{"Трафіковий","Основний","Маржинальний","Сезонний","Стратегічний"},0),0.18,0.21,0.26,0.25,0.3)</f>
        <v/>
      </c>
      <c r="AE549" s="104">
        <f>CHOOSE(MATCH(IF($U549="","Основний",$U549),{"Трафіковий","Основний","Маржинальний","Сезонний","Стратегічний"},0),0.18,0.2,0.28,0.27,0.32)</f>
        <v/>
      </c>
      <c r="AF549" s="104">
        <f>CHOOSE(MATCH(IF($U549="","Основний",$U549),{"Трафіковий","Основний","Маржинальний","Сезонний","Стратегічний"},0),0.15,0.175,0.22,0.21,0.25)</f>
        <v/>
      </c>
      <c r="AG549" s="104">
        <f>CHOOSE(MATCH(IF($U549="","Основний",$U549),{"Трафіковий","Основний","Маржинальний","Сезонний","Стратегічний"},0),0.13,0.16,0.21,0.2,0.25)</f>
        <v/>
      </c>
      <c r="AH549" s="104">
        <f>CHOOSE(MATCH(IF($U549="","Основний",$U549),{"Трафіковий","Основний","Маржинальний","Сезонний","Стратегічний"},0),0.15,0.18,0.23,0.22,0.27)</f>
        <v/>
      </c>
      <c r="AI549" s="104">
        <f>CHOOSE(MATCH(IF($U549="","Основний",$U549),{"Трафіковий","Основний","Маржинальний","Сезонний","Стратегічний"},0),0.16,0.19,0.25,0.23,0.29)</f>
        <v/>
      </c>
      <c r="AJ549" s="104">
        <f>CHOOSE(MATCH(IF($U549="","Основний",$U549),{"Трафіковий","Основний","Маржинальний","Сезонний","Стратегічний"},0),0.14,0.17,0.22,0.21,0.25)</f>
        <v/>
      </c>
      <c r="AK549" s="104">
        <f>CHOOSE(MATCH(IF($U549="","Основний",$U549),{"Трафіковий","Основний","Маржинальний","Сезонний","Стратегічний"},0),0.15,0.18,0.23,0.22,0.27)</f>
        <v/>
      </c>
      <c r="AL549" s="104">
        <f>CHOOSE(MATCH(IF($U549="","Основний",$U549),{"Трафіковий","Основний","Маржинальний","Сезонний","Стратегічний"},0),0.15,0.17,0.25,0.24,0.29)</f>
        <v/>
      </c>
      <c r="AM549" s="104">
        <f>CHOOSE(MATCH(IF($U549="","Основний",$U549),{"Трафіковий","Основний","Маржинальний","Сезонний","Стратегічний"},0),0.12,0.145,0.19,0.18,0.22)</f>
        <v/>
      </c>
      <c r="AN549" s="157">
        <f>CHOOSE(MATCH(IF($U549="","Основний",$U549),{"Трафіковий","Основний","Маржинальний","Сезонний","Стратегічний"},0),Settings!$B$78,Settings!$B$80,Settings!$B$82,Settings!$B$84,Settings!$B$86)</f>
        <v/>
      </c>
      <c r="AO549" s="157">
        <f>CHOOSE(MATCH(IF($U549="","Основний",$U549),{"Трафіковий","Основний","Маржинальний","Сезонний","Стратегічний"},0),Settings!$C$78,Settings!$C$80,Settings!$C$82,Settings!$C$84,Settings!$C$86)</f>
        <v/>
      </c>
      <c r="AP549" s="157">
        <f>CHOOSE(MATCH(IF($U549="","Основний",$U549),{"Трафіковий","Основний","Маржинальний","Сезонний","Стратегічний"},0),Settings!$D$78,Settings!$D$80,Settings!$D$82,Settings!$D$84,Settings!$D$86)</f>
        <v/>
      </c>
      <c r="AQ549" s="157">
        <f>CHOOSE(MATCH(IF($U549="","Основний",$U549),{"Трафіковий","Основний","Маржинальний","Сезонний","Стратегічний"},0),Settings!$F$78,Settings!$F$80,Settings!$F$82,Settings!$F$84,Settings!$F$86)</f>
        <v/>
      </c>
      <c r="AR549" s="157">
        <f>CHOOSE(MATCH(IF($U549="","Основний",$U549),{"Трафіковий","Основний","Маржинальний","Сезонний","Стратегічний"},0),Settings!$G$78,Settings!$G$80,Settings!$G$82,Settings!$G$84,Settings!$G$86)</f>
        <v/>
      </c>
      <c r="AS549" s="157">
        <f>CHOOSE(MATCH(IF($U549="","Основний",$U549),{"Трафіковий","Основний","Маржинальний","Сезонний","Стратегічний"},0),Settings!$H$78,Settings!$H$80,Settings!$H$82,Settings!$H$84,Settings!$H$86)</f>
        <v/>
      </c>
      <c r="AT549" s="157">
        <f>CHOOSE(MATCH(IF($U549="","Основний",$U549),{"Трафіковий","Основний","Маржинальний","Сезонний","Стратегічний"},0),Settings!$I$78,Settings!$I$80,Settings!$I$82,Settings!$I$84,Settings!$I$86)</f>
        <v/>
      </c>
      <c r="AU549" s="171" t="n"/>
      <c r="AV549" t="n">
        <v>1.35</v>
      </c>
    </row>
    <row r="550">
      <c r="A550" s="28" t="n"/>
      <c r="B550" s="29" t="inlineStr">
        <is>
          <t>E8625</t>
        </is>
      </c>
      <c r="C550" s="29" t="inlineStr">
        <is>
          <t>WEATHER STATION E8625</t>
        </is>
      </c>
      <c r="D550" s="29" t="inlineStr">
        <is>
          <t>Метеостанції та термометри</t>
        </is>
      </c>
      <c r="E550" s="28" t="inlineStr">
        <is>
          <t>PC</t>
        </is>
      </c>
      <c r="F550" s="93" t="n">
        <v>22.96</v>
      </c>
      <c r="G550" s="30" t="n">
        <v>9025804089</v>
      </c>
      <c r="H550" s="31" t="n">
        <v>1.35</v>
      </c>
      <c r="I550" s="84">
        <f>IFERROR(F550*Settings!$B$2*H550*IF(AND(ISNUMBER(E550),E550&gt;1),E550,1),"")</f>
        <v/>
      </c>
      <c r="J550" s="32">
        <f>Settings!$B$66</f>
        <v/>
      </c>
      <c r="K550" s="95">
        <f>IFERROR(IF(T550="","",(T550*(1-AN550)*(1-Settings!$B$17)-I550)/(T550*(1-AN550)*(1-Settings!$B$17))),"")</f>
        <v/>
      </c>
      <c r="L550" s="101">
        <f>IFERROR(IF(T550="","",(T550*(1-AO550)*(1-Settings!$C$17)-I550)/(T550*(1-AO550)*(1-Settings!$C$17))),"")</f>
        <v/>
      </c>
      <c r="M550" s="101">
        <f>IFERROR(IF(T550="","",(T550*(1-AP550)*(1-Settings!$D$17)-I550)/(T550*(1-AP550)*(1-Settings!$D$17))),"")</f>
        <v/>
      </c>
      <c r="N550" s="101">
        <f>IFERROR(IF(T550="","",(T550*(1-AQ550)*(1-Settings!$F$17)-I550)/(T550*(1-AQ550)*(1-Settings!$F$17))),"")</f>
        <v/>
      </c>
      <c r="O550" s="101">
        <f>IFERROR(IF(T550="","",(T550*(1-AR550)*(1-Settings!$G$17)-I550)/(T550*(1-AR550)*(1-Settings!$G$17))),"")</f>
        <v/>
      </c>
      <c r="P550" s="101">
        <f>IFERROR(IF(T550="","",(T550*(1-AS550)*(1-Settings!$H$17)-I550)/(T550*(1-AS550)*(1-Settings!$H$17))),"")</f>
        <v/>
      </c>
      <c r="Q550" s="101">
        <f>IFERROR(IF(T550="","",(T550*(1-AT550)*(1-Settings!$I$68)*(1-Settings!$I$17)-I550)/(T550*(1-AT550)*(1-Settings!$I$68)*(1-Settings!$I$17))),"")</f>
        <v/>
      </c>
      <c r="R550" s="91">
        <f>IFERROR(IF(OR(I550="",Z550&gt;=1,Settings!$B$17&gt;=1,AN550&gt;=1),"",IF(MOD(ROUND(I550/(1-Z550)/(1-Settings!$B$17)/(1-AN550),0),10)=0,ROUND(I550/(1-Z550)/(1-Settings!$B$17)/(1-AN550),0)-1,IF(MOD(ROUND(I550/(1-Z550)/(1-Settings!$B$17)/(1-AN550),0),10)&lt;=5,FLOOR(ROUND(I550/(1-Z550)/(1-Settings!$B$17)/(1-AN550),0),10)+6,FLOOR(ROUND(I550/(1-Z550)/(1-Settings!$B$17)/(1-AN550),0),10)+9))),"")</f>
        <v/>
      </c>
      <c r="S550" s="174">
        <f>R550*0.95</f>
        <v/>
      </c>
      <c r="T550" s="91">
        <f>IF(S550&lt;&gt;"", IF(MOD(S550,10)=0,S550-1,IF(MOD(S550,10)&lt;=5,FLOOR(S550,10)+6,FLOOR(S550,10)+9)), R550)</f>
        <v/>
      </c>
      <c r="U550" s="87" t="inlineStr">
        <is>
          <t>Основний</t>
        </is>
      </c>
      <c r="V550" s="88" t="n"/>
      <c r="W550" s="88" t="n"/>
      <c r="X550" s="89">
        <f>IFERROR(IF(OR(V550="",W550="",T550=""),"", IF(T550&gt;W550,"Дорогий",IF(T550&lt;V550,"Дешевий","У ринку"))),"")</f>
        <v/>
      </c>
      <c r="Y550" s="90" t="n"/>
      <c r="Z550" s="104">
        <f>CHOOSE(MATCH(IF($U550="","Основний",$U550),{"Трафіковий","Основний","Маржинальний","Сезонний","Стратегічний"},0),0.16,0.19,0.24,0.23,0.28)</f>
        <v/>
      </c>
      <c r="AA550" s="104">
        <f>CHOOSE(MATCH(IF($U550="","Основний",$U550),{"Трафіковий","Основний","Маржинальний","Сезонний","Стратегічний"},0),0.18,0.21,0.26,0.25,0.3)</f>
        <v/>
      </c>
      <c r="AB550" s="104">
        <f>CHOOSE(MATCH(IF($U550="","Основний",$U550),{"Трафіковий","Основний","Маржинальний","Сезонний","Стратегічний"},0),0.19,0.22,0.28,0.26,0.32)</f>
        <v/>
      </c>
      <c r="AC550" s="104">
        <f>CHOOSE(MATCH(IF($U550="","Основний",$U550),{"Трафіковий","Основний","Маржинальний","Сезонний","Стратегічний"},0),0.17,0.2,0.25,0.24,0.28)</f>
        <v/>
      </c>
      <c r="AD550" s="104">
        <f>CHOOSE(MATCH(IF($U550="","Основний",$U550),{"Трафіковий","Основний","Маржинальний","Сезонний","Стратегічний"},0),0.18,0.21,0.26,0.25,0.3)</f>
        <v/>
      </c>
      <c r="AE550" s="104">
        <f>CHOOSE(MATCH(IF($U550="","Основний",$U550),{"Трафіковий","Основний","Маржинальний","Сезонний","Стратегічний"},0),0.18,0.2,0.28,0.27,0.32)</f>
        <v/>
      </c>
      <c r="AF550" s="104">
        <f>CHOOSE(MATCH(IF($U550="","Основний",$U550),{"Трафіковий","Основний","Маржинальний","Сезонний","Стратегічний"},0),0.15,0.175,0.22,0.21,0.25)</f>
        <v/>
      </c>
      <c r="AG550" s="104">
        <f>CHOOSE(MATCH(IF($U550="","Основний",$U550),{"Трафіковий","Основний","Маржинальний","Сезонний","Стратегічний"},0),0.13,0.16,0.21,0.2,0.25)</f>
        <v/>
      </c>
      <c r="AH550" s="104">
        <f>CHOOSE(MATCH(IF($U550="","Основний",$U550),{"Трафіковий","Основний","Маржинальний","Сезонний","Стратегічний"},0),0.15,0.18,0.23,0.22,0.27)</f>
        <v/>
      </c>
      <c r="AI550" s="104">
        <f>CHOOSE(MATCH(IF($U550="","Основний",$U550),{"Трафіковий","Основний","Маржинальний","Сезонний","Стратегічний"},0),0.16,0.19,0.25,0.23,0.29)</f>
        <v/>
      </c>
      <c r="AJ550" s="104">
        <f>CHOOSE(MATCH(IF($U550="","Основний",$U550),{"Трафіковий","Основний","Маржинальний","Сезонний","Стратегічний"},0),0.14,0.17,0.22,0.21,0.25)</f>
        <v/>
      </c>
      <c r="AK550" s="104">
        <f>CHOOSE(MATCH(IF($U550="","Основний",$U550),{"Трафіковий","Основний","Маржинальний","Сезонний","Стратегічний"},0),0.15,0.18,0.23,0.22,0.27)</f>
        <v/>
      </c>
      <c r="AL550" s="104">
        <f>CHOOSE(MATCH(IF($U550="","Основний",$U550),{"Трафіковий","Основний","Маржинальний","Сезонний","Стратегічний"},0),0.15,0.17,0.25,0.24,0.29)</f>
        <v/>
      </c>
      <c r="AM550" s="104">
        <f>CHOOSE(MATCH(IF($U550="","Основний",$U550),{"Трафіковий","Основний","Маржинальний","Сезонний","Стратегічний"},0),0.12,0.145,0.19,0.18,0.22)</f>
        <v/>
      </c>
      <c r="AN550" s="157">
        <f>CHOOSE(MATCH(IF($U550="","Основний",$U550),{"Трафіковий","Основний","Маржинальний","Сезонний","Стратегічний"},0),Settings!$B$78,Settings!$B$80,Settings!$B$82,Settings!$B$84,Settings!$B$86)</f>
        <v/>
      </c>
      <c r="AO550" s="157">
        <f>CHOOSE(MATCH(IF($U550="","Основний",$U550),{"Трафіковий","Основний","Маржинальний","Сезонний","Стратегічний"},0),Settings!$C$78,Settings!$C$80,Settings!$C$82,Settings!$C$84,Settings!$C$86)</f>
        <v/>
      </c>
      <c r="AP550" s="157">
        <f>CHOOSE(MATCH(IF($U550="","Основний",$U550),{"Трафіковий","Основний","Маржинальний","Сезонний","Стратегічний"},0),Settings!$D$78,Settings!$D$80,Settings!$D$82,Settings!$D$84,Settings!$D$86)</f>
        <v/>
      </c>
      <c r="AQ550" s="157">
        <f>CHOOSE(MATCH(IF($U550="","Основний",$U550),{"Трафіковий","Основний","Маржинальний","Сезонний","Стратегічний"},0),Settings!$F$78,Settings!$F$80,Settings!$F$82,Settings!$F$84,Settings!$F$86)</f>
        <v/>
      </c>
      <c r="AR550" s="157">
        <f>CHOOSE(MATCH(IF($U550="","Основний",$U550),{"Трафіковий","Основний","Маржинальний","Сезонний","Стратегічний"},0),Settings!$G$78,Settings!$G$80,Settings!$G$82,Settings!$G$84,Settings!$G$86)</f>
        <v/>
      </c>
      <c r="AS550" s="157">
        <f>CHOOSE(MATCH(IF($U550="","Основний",$U550),{"Трафіковий","Основний","Маржинальний","Сезонний","Стратегічний"},0),Settings!$H$78,Settings!$H$80,Settings!$H$82,Settings!$H$84,Settings!$H$86)</f>
        <v/>
      </c>
      <c r="AT550" s="157">
        <f>CHOOSE(MATCH(IF($U550="","Основний",$U550),{"Трафіковий","Основний","Маржинальний","Сезонний","Стратегічний"},0),Settings!$I$78,Settings!$I$80,Settings!$I$82,Settings!$I$84,Settings!$I$86)</f>
        <v/>
      </c>
      <c r="AU550" s="171" t="n"/>
      <c r="AV550" t="n">
        <v>1.35</v>
      </c>
    </row>
    <row r="551">
      <c r="A551" s="33" t="inlineStr">
        <is>
          <t>SELL OUT</t>
        </is>
      </c>
      <c r="B551" s="34" t="inlineStr">
        <is>
          <t>E8670</t>
        </is>
      </c>
      <c r="C551" s="34" t="inlineStr">
        <is>
          <t>WEATHER STATION E8670</t>
        </is>
      </c>
      <c r="D551" s="34" t="inlineStr">
        <is>
          <t>Метеостанції та термометри</t>
        </is>
      </c>
      <c r="E551" s="33" t="inlineStr">
        <is>
          <t>PC</t>
        </is>
      </c>
      <c r="F551" s="94" t="n">
        <v>30.608</v>
      </c>
      <c r="G551" s="35" t="n">
        <v>9025804089</v>
      </c>
      <c r="H551" s="31" t="n">
        <v>1.35</v>
      </c>
      <c r="I551" s="84">
        <f>IFERROR(F551*Settings!$B$2*H551*IF(AND(ISNUMBER(E551),E551&gt;1),E551,1),"")</f>
        <v/>
      </c>
      <c r="J551" s="32">
        <f>Settings!$B$66</f>
        <v/>
      </c>
      <c r="K551" s="95">
        <f>IFERROR(IF(T551="","",(T551*(1-AN551)*(1-Settings!$B$17)-I551)/(T551*(1-AN551)*(1-Settings!$B$17))),"")</f>
        <v/>
      </c>
      <c r="L551" s="101">
        <f>IFERROR(IF(T551="","",(T551*(1-AO551)*(1-Settings!$C$17)-I551)/(T551*(1-AO551)*(1-Settings!$C$17))),"")</f>
        <v/>
      </c>
      <c r="M551" s="101">
        <f>IFERROR(IF(T551="","",(T551*(1-AP551)*(1-Settings!$D$17)-I551)/(T551*(1-AP551)*(1-Settings!$D$17))),"")</f>
        <v/>
      </c>
      <c r="N551" s="101">
        <f>IFERROR(IF(T551="","",(T551*(1-AQ551)*(1-Settings!$F$17)-I551)/(T551*(1-AQ551)*(1-Settings!$F$17))),"")</f>
        <v/>
      </c>
      <c r="O551" s="101">
        <f>IFERROR(IF(T551="","",(T551*(1-AR551)*(1-Settings!$G$17)-I551)/(T551*(1-AR551)*(1-Settings!$G$17))),"")</f>
        <v/>
      </c>
      <c r="P551" s="101">
        <f>IFERROR(IF(T551="","",(T551*(1-AS551)*(1-Settings!$H$17)-I551)/(T551*(1-AS551)*(1-Settings!$H$17))),"")</f>
        <v/>
      </c>
      <c r="Q551" s="101">
        <f>IFERROR(IF(T551="","",(T551*(1-AT551)*(1-Settings!$I$68)*(1-Settings!$I$17)-I551)/(T551*(1-AT551)*(1-Settings!$I$68)*(1-Settings!$I$17))),"")</f>
        <v/>
      </c>
      <c r="R551" s="91">
        <f>IFERROR(IF(OR(I551="",Z551&gt;=1,Settings!$B$17&gt;=1,AN551&gt;=1),"",IF(MOD(ROUND(I551/(1-Z551)/(1-Settings!$B$17)/(1-AN551),0),10)=0,ROUND(I551/(1-Z551)/(1-Settings!$B$17)/(1-AN551),0)-1,IF(MOD(ROUND(I551/(1-Z551)/(1-Settings!$B$17)/(1-AN551),0),10)&lt;=5,FLOOR(ROUND(I551/(1-Z551)/(1-Settings!$B$17)/(1-AN551),0),10)+6,FLOOR(ROUND(I551/(1-Z551)/(1-Settings!$B$17)/(1-AN551),0),10)+9))),"")</f>
        <v/>
      </c>
      <c r="S551" s="174">
        <f>R551*0.95</f>
        <v/>
      </c>
      <c r="T551" s="91">
        <f>IF(S551&lt;&gt;"", IF(MOD(S551,10)=0,S551-1,IF(MOD(S551,10)&lt;=5,FLOOR(S551,10)+6,FLOOR(S551,10)+9)), R551)</f>
        <v/>
      </c>
      <c r="U551" s="87" t="inlineStr">
        <is>
          <t>Основний</t>
        </is>
      </c>
      <c r="V551" s="88" t="n"/>
      <c r="W551" s="88" t="n"/>
      <c r="X551" s="89">
        <f>IFERROR(IF(OR(V551="",W551="",T551=""),"", IF(T551&gt;W551,"Дорогий",IF(T551&lt;V551,"Дешевий","У ринку"))),"")</f>
        <v/>
      </c>
      <c r="Y551" s="90" t="n"/>
      <c r="Z551" s="104">
        <f>CHOOSE(MATCH(IF($U551="","Основний",$U551),{"Трафіковий","Основний","Маржинальний","Сезонний","Стратегічний"},0),0.16,0.19,0.24,0.23,0.28)</f>
        <v/>
      </c>
      <c r="AA551" s="104">
        <f>CHOOSE(MATCH(IF($U551="","Основний",$U551),{"Трафіковий","Основний","Маржинальний","Сезонний","Стратегічний"},0),0.18,0.21,0.26,0.25,0.3)</f>
        <v/>
      </c>
      <c r="AB551" s="104">
        <f>CHOOSE(MATCH(IF($U551="","Основний",$U551),{"Трафіковий","Основний","Маржинальний","Сезонний","Стратегічний"},0),0.19,0.22,0.28,0.26,0.32)</f>
        <v/>
      </c>
      <c r="AC551" s="104">
        <f>CHOOSE(MATCH(IF($U551="","Основний",$U551),{"Трафіковий","Основний","Маржинальний","Сезонний","Стратегічний"},0),0.17,0.2,0.25,0.24,0.28)</f>
        <v/>
      </c>
      <c r="AD551" s="104">
        <f>CHOOSE(MATCH(IF($U551="","Основний",$U551),{"Трафіковий","Основний","Маржинальний","Сезонний","Стратегічний"},0),0.18,0.21,0.26,0.25,0.3)</f>
        <v/>
      </c>
      <c r="AE551" s="104">
        <f>CHOOSE(MATCH(IF($U551="","Основний",$U551),{"Трафіковий","Основний","Маржинальний","Сезонний","Стратегічний"},0),0.18,0.2,0.28,0.27,0.32)</f>
        <v/>
      </c>
      <c r="AF551" s="104">
        <f>CHOOSE(MATCH(IF($U551="","Основний",$U551),{"Трафіковий","Основний","Маржинальний","Сезонний","Стратегічний"},0),0.15,0.175,0.22,0.21,0.25)</f>
        <v/>
      </c>
      <c r="AG551" s="104">
        <f>CHOOSE(MATCH(IF($U551="","Основний",$U551),{"Трафіковий","Основний","Маржинальний","Сезонний","Стратегічний"},0),0.13,0.16,0.21,0.2,0.25)</f>
        <v/>
      </c>
      <c r="AH551" s="104">
        <f>CHOOSE(MATCH(IF($U551="","Основний",$U551),{"Трафіковий","Основний","Маржинальний","Сезонний","Стратегічний"},0),0.15,0.18,0.23,0.22,0.27)</f>
        <v/>
      </c>
      <c r="AI551" s="104">
        <f>CHOOSE(MATCH(IF($U551="","Основний",$U551),{"Трафіковий","Основний","Маржинальний","Сезонний","Стратегічний"},0),0.16,0.19,0.25,0.23,0.29)</f>
        <v/>
      </c>
      <c r="AJ551" s="104">
        <f>CHOOSE(MATCH(IF($U551="","Основний",$U551),{"Трафіковий","Основний","Маржинальний","Сезонний","Стратегічний"},0),0.14,0.17,0.22,0.21,0.25)</f>
        <v/>
      </c>
      <c r="AK551" s="104">
        <f>CHOOSE(MATCH(IF($U551="","Основний",$U551),{"Трафіковий","Основний","Маржинальний","Сезонний","Стратегічний"},0),0.15,0.18,0.23,0.22,0.27)</f>
        <v/>
      </c>
      <c r="AL551" s="104">
        <f>CHOOSE(MATCH(IF($U551="","Основний",$U551),{"Трафіковий","Основний","Маржинальний","Сезонний","Стратегічний"},0),0.15,0.17,0.25,0.24,0.29)</f>
        <v/>
      </c>
      <c r="AM551" s="104">
        <f>CHOOSE(MATCH(IF($U551="","Основний",$U551),{"Трафіковий","Основний","Маржинальний","Сезонний","Стратегічний"},0),0.12,0.145,0.19,0.18,0.22)</f>
        <v/>
      </c>
      <c r="AN551" s="157">
        <f>CHOOSE(MATCH(IF($U551="","Основний",$U551),{"Трафіковий","Основний","Маржинальний","Сезонний","Стратегічний"},0),Settings!$B$78,Settings!$B$80,Settings!$B$82,Settings!$B$84,Settings!$B$86)</f>
        <v/>
      </c>
      <c r="AO551" s="157">
        <f>CHOOSE(MATCH(IF($U551="","Основний",$U551),{"Трафіковий","Основний","Маржинальний","Сезонний","Стратегічний"},0),Settings!$C$78,Settings!$C$80,Settings!$C$82,Settings!$C$84,Settings!$C$86)</f>
        <v/>
      </c>
      <c r="AP551" s="157">
        <f>CHOOSE(MATCH(IF($U551="","Основний",$U551),{"Трафіковий","Основний","Маржинальний","Сезонний","Стратегічний"},0),Settings!$D$78,Settings!$D$80,Settings!$D$82,Settings!$D$84,Settings!$D$86)</f>
        <v/>
      </c>
      <c r="AQ551" s="157">
        <f>CHOOSE(MATCH(IF($U551="","Основний",$U551),{"Трафіковий","Основний","Маржинальний","Сезонний","Стратегічний"},0),Settings!$F$78,Settings!$F$80,Settings!$F$82,Settings!$F$84,Settings!$F$86)</f>
        <v/>
      </c>
      <c r="AR551" s="157">
        <f>CHOOSE(MATCH(IF($U551="","Основний",$U551),{"Трафіковий","Основний","Маржинальний","Сезонний","Стратегічний"},0),Settings!$G$78,Settings!$G$80,Settings!$G$82,Settings!$G$84,Settings!$G$86)</f>
        <v/>
      </c>
      <c r="AS551" s="157">
        <f>CHOOSE(MATCH(IF($U551="","Основний",$U551),{"Трафіковий","Основний","Маржинальний","Сезонний","Стратегічний"},0),Settings!$H$78,Settings!$H$80,Settings!$H$82,Settings!$H$84,Settings!$H$86)</f>
        <v/>
      </c>
      <c r="AT551" s="157">
        <f>CHOOSE(MATCH(IF($U551="","Основний",$U551),{"Трафіковий","Основний","Маржинальний","Сезонний","Стратегічний"},0),Settings!$I$78,Settings!$I$80,Settings!$I$82,Settings!$I$84,Settings!$I$86)</f>
        <v/>
      </c>
      <c r="AU551" s="171" t="n"/>
      <c r="AV551" t="n">
        <v>1.35</v>
      </c>
    </row>
    <row r="552">
      <c r="A552" s="28" t="inlineStr">
        <is>
          <t>SELL OUT</t>
        </is>
      </c>
      <c r="B552" s="29" t="inlineStr">
        <is>
          <t>E0387</t>
        </is>
      </c>
      <c r="C552" s="29" t="inlineStr">
        <is>
          <t>WEATHER STATION E0387</t>
        </is>
      </c>
      <c r="D552" s="29" t="inlineStr">
        <is>
          <t>Метеостанції та термометри</t>
        </is>
      </c>
      <c r="E552" s="28" t="inlineStr">
        <is>
          <t>PC</t>
        </is>
      </c>
      <c r="F552" s="93" t="n">
        <v>28.7</v>
      </c>
      <c r="G552" s="30" t="n">
        <v>9025804089</v>
      </c>
      <c r="H552" s="31" t="n">
        <v>1.35</v>
      </c>
      <c r="I552" s="84">
        <f>IFERROR(F552*Settings!$B$2*H552*IF(AND(ISNUMBER(E552),E552&gt;1),E552,1),"")</f>
        <v/>
      </c>
      <c r="J552" s="32">
        <f>Settings!$B$66</f>
        <v/>
      </c>
      <c r="K552" s="95">
        <f>IFERROR(IF(T552="","",(T552*(1-AN552)*(1-Settings!$B$17)-I552)/(T552*(1-AN552)*(1-Settings!$B$17))),"")</f>
        <v/>
      </c>
      <c r="L552" s="101">
        <f>IFERROR(IF(T552="","",(T552*(1-AO552)*(1-Settings!$C$17)-I552)/(T552*(1-AO552)*(1-Settings!$C$17))),"")</f>
        <v/>
      </c>
      <c r="M552" s="101">
        <f>IFERROR(IF(T552="","",(T552*(1-AP552)*(1-Settings!$D$17)-I552)/(T552*(1-AP552)*(1-Settings!$D$17))),"")</f>
        <v/>
      </c>
      <c r="N552" s="101">
        <f>IFERROR(IF(T552="","",(T552*(1-AQ552)*(1-Settings!$F$17)-I552)/(T552*(1-AQ552)*(1-Settings!$F$17))),"")</f>
        <v/>
      </c>
      <c r="O552" s="101">
        <f>IFERROR(IF(T552="","",(T552*(1-AR552)*(1-Settings!$G$17)-I552)/(T552*(1-AR552)*(1-Settings!$G$17))),"")</f>
        <v/>
      </c>
      <c r="P552" s="101">
        <f>IFERROR(IF(T552="","",(T552*(1-AS552)*(1-Settings!$H$17)-I552)/(T552*(1-AS552)*(1-Settings!$H$17))),"")</f>
        <v/>
      </c>
      <c r="Q552" s="101">
        <f>IFERROR(IF(T552="","",(T552*(1-AT552)*(1-Settings!$I$68)*(1-Settings!$I$17)-I552)/(T552*(1-AT552)*(1-Settings!$I$68)*(1-Settings!$I$17))),"")</f>
        <v/>
      </c>
      <c r="R552" s="91">
        <f>IFERROR(IF(OR(I552="",Z552&gt;=1,Settings!$B$17&gt;=1,AN552&gt;=1),"",IF(MOD(ROUND(I552/(1-Z552)/(1-Settings!$B$17)/(1-AN552),0),10)=0,ROUND(I552/(1-Z552)/(1-Settings!$B$17)/(1-AN552),0)-1,IF(MOD(ROUND(I552/(1-Z552)/(1-Settings!$B$17)/(1-AN552),0),10)&lt;=5,FLOOR(ROUND(I552/(1-Z552)/(1-Settings!$B$17)/(1-AN552),0),10)+6,FLOOR(ROUND(I552/(1-Z552)/(1-Settings!$B$17)/(1-AN552),0),10)+9))),"")</f>
        <v/>
      </c>
      <c r="S552" s="174">
        <f>R552*0.95</f>
        <v/>
      </c>
      <c r="T552" s="91">
        <f>IF(S552&lt;&gt;"", IF(MOD(S552,10)=0,S552-1,IF(MOD(S552,10)&lt;=5,FLOOR(S552,10)+6,FLOOR(S552,10)+9)), R552)</f>
        <v/>
      </c>
      <c r="U552" s="87" t="inlineStr">
        <is>
          <t>Основний</t>
        </is>
      </c>
      <c r="V552" s="88" t="n"/>
      <c r="W552" s="88" t="n"/>
      <c r="X552" s="89">
        <f>IFERROR(IF(OR(V552="",W552="",T552=""),"", IF(T552&gt;W552,"Дорогий",IF(T552&lt;V552,"Дешевий","У ринку"))),"")</f>
        <v/>
      </c>
      <c r="Y552" s="90" t="n"/>
      <c r="Z552" s="104">
        <f>CHOOSE(MATCH(IF($U552="","Основний",$U552),{"Трафіковий","Основний","Маржинальний","Сезонний","Стратегічний"},0),0.16,0.19,0.24,0.23,0.28)</f>
        <v/>
      </c>
      <c r="AA552" s="104">
        <f>CHOOSE(MATCH(IF($U552="","Основний",$U552),{"Трафіковий","Основний","Маржинальний","Сезонний","Стратегічний"},0),0.18,0.21,0.26,0.25,0.3)</f>
        <v/>
      </c>
      <c r="AB552" s="104">
        <f>CHOOSE(MATCH(IF($U552="","Основний",$U552),{"Трафіковий","Основний","Маржинальний","Сезонний","Стратегічний"},0),0.19,0.22,0.28,0.26,0.32)</f>
        <v/>
      </c>
      <c r="AC552" s="104">
        <f>CHOOSE(MATCH(IF($U552="","Основний",$U552),{"Трафіковий","Основний","Маржинальний","Сезонний","Стратегічний"},0),0.17,0.2,0.25,0.24,0.28)</f>
        <v/>
      </c>
      <c r="AD552" s="104">
        <f>CHOOSE(MATCH(IF($U552="","Основний",$U552),{"Трафіковий","Основний","Маржинальний","Сезонний","Стратегічний"},0),0.18,0.21,0.26,0.25,0.3)</f>
        <v/>
      </c>
      <c r="AE552" s="104">
        <f>CHOOSE(MATCH(IF($U552="","Основний",$U552),{"Трафіковий","Основний","Маржинальний","Сезонний","Стратегічний"},0),0.18,0.2,0.28,0.27,0.32)</f>
        <v/>
      </c>
      <c r="AF552" s="104">
        <f>CHOOSE(MATCH(IF($U552="","Основний",$U552),{"Трафіковий","Основний","Маржинальний","Сезонний","Стратегічний"},0),0.15,0.175,0.22,0.21,0.25)</f>
        <v/>
      </c>
      <c r="AG552" s="104">
        <f>CHOOSE(MATCH(IF($U552="","Основний",$U552),{"Трафіковий","Основний","Маржинальний","Сезонний","Стратегічний"},0),0.13,0.16,0.21,0.2,0.25)</f>
        <v/>
      </c>
      <c r="AH552" s="104">
        <f>CHOOSE(MATCH(IF($U552="","Основний",$U552),{"Трафіковий","Основний","Маржинальний","Сезонний","Стратегічний"},0),0.15,0.18,0.23,0.22,0.27)</f>
        <v/>
      </c>
      <c r="AI552" s="104">
        <f>CHOOSE(MATCH(IF($U552="","Основний",$U552),{"Трафіковий","Основний","Маржинальний","Сезонний","Стратегічний"},0),0.16,0.19,0.25,0.23,0.29)</f>
        <v/>
      </c>
      <c r="AJ552" s="104">
        <f>CHOOSE(MATCH(IF($U552="","Основний",$U552),{"Трафіковий","Основний","Маржинальний","Сезонний","Стратегічний"},0),0.14,0.17,0.22,0.21,0.25)</f>
        <v/>
      </c>
      <c r="AK552" s="104">
        <f>CHOOSE(MATCH(IF($U552="","Основний",$U552),{"Трафіковий","Основний","Маржинальний","Сезонний","Стратегічний"},0),0.15,0.18,0.23,0.22,0.27)</f>
        <v/>
      </c>
      <c r="AL552" s="104">
        <f>CHOOSE(MATCH(IF($U552="","Основний",$U552),{"Трафіковий","Основний","Маржинальний","Сезонний","Стратегічний"},0),0.15,0.17,0.25,0.24,0.29)</f>
        <v/>
      </c>
      <c r="AM552" s="104">
        <f>CHOOSE(MATCH(IF($U552="","Основний",$U552),{"Трафіковий","Основний","Маржинальний","Сезонний","Стратегічний"},0),0.12,0.145,0.19,0.18,0.22)</f>
        <v/>
      </c>
      <c r="AN552" s="157">
        <f>CHOOSE(MATCH(IF($U552="","Основний",$U552),{"Трафіковий","Основний","Маржинальний","Сезонний","Стратегічний"},0),Settings!$B$78,Settings!$B$80,Settings!$B$82,Settings!$B$84,Settings!$B$86)</f>
        <v/>
      </c>
      <c r="AO552" s="157">
        <f>CHOOSE(MATCH(IF($U552="","Основний",$U552),{"Трафіковий","Основний","Маржинальний","Сезонний","Стратегічний"},0),Settings!$C$78,Settings!$C$80,Settings!$C$82,Settings!$C$84,Settings!$C$86)</f>
        <v/>
      </c>
      <c r="AP552" s="157">
        <f>CHOOSE(MATCH(IF($U552="","Основний",$U552),{"Трафіковий","Основний","Маржинальний","Сезонний","Стратегічний"},0),Settings!$D$78,Settings!$D$80,Settings!$D$82,Settings!$D$84,Settings!$D$86)</f>
        <v/>
      </c>
      <c r="AQ552" s="157">
        <f>CHOOSE(MATCH(IF($U552="","Основний",$U552),{"Трафіковий","Основний","Маржинальний","Сезонний","Стратегічний"},0),Settings!$F$78,Settings!$F$80,Settings!$F$82,Settings!$F$84,Settings!$F$86)</f>
        <v/>
      </c>
      <c r="AR552" s="157">
        <f>CHOOSE(MATCH(IF($U552="","Основний",$U552),{"Трафіковий","Основний","Маржинальний","Сезонний","Стратегічний"},0),Settings!$G$78,Settings!$G$80,Settings!$G$82,Settings!$G$84,Settings!$G$86)</f>
        <v/>
      </c>
      <c r="AS552" s="157">
        <f>CHOOSE(MATCH(IF($U552="","Основний",$U552),{"Трафіковий","Основний","Маржинальний","Сезонний","Стратегічний"},0),Settings!$H$78,Settings!$H$80,Settings!$H$82,Settings!$H$84,Settings!$H$86)</f>
        <v/>
      </c>
      <c r="AT552" s="157">
        <f>CHOOSE(MATCH(IF($U552="","Основний",$U552),{"Трафіковий","Основний","Маржинальний","Сезонний","Стратегічний"},0),Settings!$I$78,Settings!$I$80,Settings!$I$82,Settings!$I$84,Settings!$I$86)</f>
        <v/>
      </c>
      <c r="AU552" s="171" t="n"/>
      <c r="AV552" t="n">
        <v>1.35</v>
      </c>
    </row>
    <row r="553">
      <c r="A553" s="33" t="n"/>
      <c r="B553" s="34" t="inlineStr">
        <is>
          <t>E8010</t>
        </is>
      </c>
      <c r="C553" s="34" t="inlineStr">
        <is>
          <t>WEATHER STATION WITH QI CHARGING E8010</t>
        </is>
      </c>
      <c r="D553" s="34" t="inlineStr">
        <is>
          <t>Метеостанції та термометри</t>
        </is>
      </c>
      <c r="E553" s="33" t="inlineStr">
        <is>
          <t>PC</t>
        </is>
      </c>
      <c r="F553" s="94" t="n">
        <v>21.735</v>
      </c>
      <c r="G553" s="35" t="n">
        <v>9025804089</v>
      </c>
      <c r="H553" s="31" t="n">
        <v>1.35</v>
      </c>
      <c r="I553" s="84">
        <f>IFERROR(F553*Settings!$B$2*H553*IF(AND(ISNUMBER(E553),E553&gt;1),E553,1),"")</f>
        <v/>
      </c>
      <c r="J553" s="32">
        <f>Settings!$B$66</f>
        <v/>
      </c>
      <c r="K553" s="95">
        <f>IFERROR(IF(T553="","",(T553*(1-AN553)*(1-Settings!$B$17)-I553)/(T553*(1-AN553)*(1-Settings!$B$17))),"")</f>
        <v/>
      </c>
      <c r="L553" s="101">
        <f>IFERROR(IF(T553="","",(T553*(1-AO553)*(1-Settings!$C$17)-I553)/(T553*(1-AO553)*(1-Settings!$C$17))),"")</f>
        <v/>
      </c>
      <c r="M553" s="101">
        <f>IFERROR(IF(T553="","",(T553*(1-AP553)*(1-Settings!$D$17)-I553)/(T553*(1-AP553)*(1-Settings!$D$17))),"")</f>
        <v/>
      </c>
      <c r="N553" s="101">
        <f>IFERROR(IF(T553="","",(T553*(1-AQ553)*(1-Settings!$F$17)-I553)/(T553*(1-AQ553)*(1-Settings!$F$17))),"")</f>
        <v/>
      </c>
      <c r="O553" s="101">
        <f>IFERROR(IF(T553="","",(T553*(1-AR553)*(1-Settings!$G$17)-I553)/(T553*(1-AR553)*(1-Settings!$G$17))),"")</f>
        <v/>
      </c>
      <c r="P553" s="101">
        <f>IFERROR(IF(T553="","",(T553*(1-AS553)*(1-Settings!$H$17)-I553)/(T553*(1-AS553)*(1-Settings!$H$17))),"")</f>
        <v/>
      </c>
      <c r="Q553" s="101">
        <f>IFERROR(IF(T553="","",(T553*(1-AT553)*(1-Settings!$I$68)*(1-Settings!$I$17)-I553)/(T553*(1-AT553)*(1-Settings!$I$68)*(1-Settings!$I$17))),"")</f>
        <v/>
      </c>
      <c r="R553" s="91">
        <f>IFERROR(IF(OR(I553="",Z553&gt;=1,Settings!$B$17&gt;=1,AN553&gt;=1),"",IF(MOD(ROUND(I553/(1-Z553)/(1-Settings!$B$17)/(1-AN553),0),10)=0,ROUND(I553/(1-Z553)/(1-Settings!$B$17)/(1-AN553),0)-1,IF(MOD(ROUND(I553/(1-Z553)/(1-Settings!$B$17)/(1-AN553),0),10)&lt;=5,FLOOR(ROUND(I553/(1-Z553)/(1-Settings!$B$17)/(1-AN553),0),10)+6,FLOOR(ROUND(I553/(1-Z553)/(1-Settings!$B$17)/(1-AN553),0),10)+9))),"")</f>
        <v/>
      </c>
      <c r="S553" s="174">
        <f>R553*0.95</f>
        <v/>
      </c>
      <c r="T553" s="91">
        <f>IF(S553&lt;&gt;"", IF(MOD(S553,10)=0,S553-1,IF(MOD(S553,10)&lt;=5,FLOOR(S553,10)+6,FLOOR(S553,10)+9)), R553)</f>
        <v/>
      </c>
      <c r="U553" s="87" t="inlineStr">
        <is>
          <t>Основний</t>
        </is>
      </c>
      <c r="V553" s="88" t="n"/>
      <c r="W553" s="88" t="n"/>
      <c r="X553" s="89">
        <f>IFERROR(IF(OR(V553="",W553="",T553=""),"", IF(T553&gt;W553,"Дорогий",IF(T553&lt;V553,"Дешевий","У ринку"))),"")</f>
        <v/>
      </c>
      <c r="Y553" s="90" t="n"/>
      <c r="Z553" s="104">
        <f>CHOOSE(MATCH(IF($U553="","Основний",$U553),{"Трафіковий","Основний","Маржинальний","Сезонний","Стратегічний"},0),0.16,0.19,0.24,0.23,0.28)</f>
        <v/>
      </c>
      <c r="AA553" s="104">
        <f>CHOOSE(MATCH(IF($U553="","Основний",$U553),{"Трафіковий","Основний","Маржинальний","Сезонний","Стратегічний"},0),0.18,0.21,0.26,0.25,0.3)</f>
        <v/>
      </c>
      <c r="AB553" s="104">
        <f>CHOOSE(MATCH(IF($U553="","Основний",$U553),{"Трафіковий","Основний","Маржинальний","Сезонний","Стратегічний"},0),0.19,0.22,0.28,0.26,0.32)</f>
        <v/>
      </c>
      <c r="AC553" s="104">
        <f>CHOOSE(MATCH(IF($U553="","Основний",$U553),{"Трафіковий","Основний","Маржинальний","Сезонний","Стратегічний"},0),0.17,0.2,0.25,0.24,0.28)</f>
        <v/>
      </c>
      <c r="AD553" s="104">
        <f>CHOOSE(MATCH(IF($U553="","Основний",$U553),{"Трафіковий","Основний","Маржинальний","Сезонний","Стратегічний"},0),0.18,0.21,0.26,0.25,0.3)</f>
        <v/>
      </c>
      <c r="AE553" s="104">
        <f>CHOOSE(MATCH(IF($U553="","Основний",$U553),{"Трафіковий","Основний","Маржинальний","Сезонний","Стратегічний"},0),0.18,0.2,0.28,0.27,0.32)</f>
        <v/>
      </c>
      <c r="AF553" s="104">
        <f>CHOOSE(MATCH(IF($U553="","Основний",$U553),{"Трафіковий","Основний","Маржинальний","Сезонний","Стратегічний"},0),0.15,0.175,0.22,0.21,0.25)</f>
        <v/>
      </c>
      <c r="AG553" s="104">
        <f>CHOOSE(MATCH(IF($U553="","Основний",$U553),{"Трафіковий","Основний","Маржинальний","Сезонний","Стратегічний"},0),0.13,0.16,0.21,0.2,0.25)</f>
        <v/>
      </c>
      <c r="AH553" s="104">
        <f>CHOOSE(MATCH(IF($U553="","Основний",$U553),{"Трафіковий","Основний","Маржинальний","Сезонний","Стратегічний"},0),0.15,0.18,0.23,0.22,0.27)</f>
        <v/>
      </c>
      <c r="AI553" s="104">
        <f>CHOOSE(MATCH(IF($U553="","Основний",$U553),{"Трафіковий","Основний","Маржинальний","Сезонний","Стратегічний"},0),0.16,0.19,0.25,0.23,0.29)</f>
        <v/>
      </c>
      <c r="AJ553" s="104">
        <f>CHOOSE(MATCH(IF($U553="","Основний",$U553),{"Трафіковий","Основний","Маржинальний","Сезонний","Стратегічний"},0),0.14,0.17,0.22,0.21,0.25)</f>
        <v/>
      </c>
      <c r="AK553" s="104">
        <f>CHOOSE(MATCH(IF($U553="","Основний",$U553),{"Трафіковий","Основний","Маржинальний","Сезонний","Стратегічний"},0),0.15,0.18,0.23,0.22,0.27)</f>
        <v/>
      </c>
      <c r="AL553" s="104">
        <f>CHOOSE(MATCH(IF($U553="","Основний",$U553),{"Трафіковий","Основний","Маржинальний","Сезонний","Стратегічний"},0),0.15,0.17,0.25,0.24,0.29)</f>
        <v/>
      </c>
      <c r="AM553" s="104">
        <f>CHOOSE(MATCH(IF($U553="","Основний",$U553),{"Трафіковий","Основний","Маржинальний","Сезонний","Стратегічний"},0),0.12,0.145,0.19,0.18,0.22)</f>
        <v/>
      </c>
      <c r="AN553" s="157">
        <f>CHOOSE(MATCH(IF($U553="","Основний",$U553),{"Трафіковий","Основний","Маржинальний","Сезонний","Стратегічний"},0),Settings!$B$78,Settings!$B$80,Settings!$B$82,Settings!$B$84,Settings!$B$86)</f>
        <v/>
      </c>
      <c r="AO553" s="157">
        <f>CHOOSE(MATCH(IF($U553="","Основний",$U553),{"Трафіковий","Основний","Маржинальний","Сезонний","Стратегічний"},0),Settings!$C$78,Settings!$C$80,Settings!$C$82,Settings!$C$84,Settings!$C$86)</f>
        <v/>
      </c>
      <c r="AP553" s="157">
        <f>CHOOSE(MATCH(IF($U553="","Основний",$U553),{"Трафіковий","Основний","Маржинальний","Сезонний","Стратегічний"},0),Settings!$D$78,Settings!$D$80,Settings!$D$82,Settings!$D$84,Settings!$D$86)</f>
        <v/>
      </c>
      <c r="AQ553" s="157">
        <f>CHOOSE(MATCH(IF($U553="","Основний",$U553),{"Трафіковий","Основний","Маржинальний","Сезонний","Стратегічний"},0),Settings!$F$78,Settings!$F$80,Settings!$F$82,Settings!$F$84,Settings!$F$86)</f>
        <v/>
      </c>
      <c r="AR553" s="157">
        <f>CHOOSE(MATCH(IF($U553="","Основний",$U553),{"Трафіковий","Основний","Маржинальний","Сезонний","Стратегічний"},0),Settings!$G$78,Settings!$G$80,Settings!$G$82,Settings!$G$84,Settings!$G$86)</f>
        <v/>
      </c>
      <c r="AS553" s="157">
        <f>CHOOSE(MATCH(IF($U553="","Основний",$U553),{"Трафіковий","Основний","Маржинальний","Сезонний","Стратегічний"},0),Settings!$H$78,Settings!$H$80,Settings!$H$82,Settings!$H$84,Settings!$H$86)</f>
        <v/>
      </c>
      <c r="AT553" s="157">
        <f>CHOOSE(MATCH(IF($U553="","Основний",$U553),{"Трафіковий","Основний","Маржинальний","Сезонний","Стратегічний"},0),Settings!$I$78,Settings!$I$80,Settings!$I$82,Settings!$I$84,Settings!$I$86)</f>
        <v/>
      </c>
      <c r="AU553" s="171" t="n"/>
      <c r="AV553" t="n">
        <v>1.35</v>
      </c>
    </row>
    <row r="554">
      <c r="A554" s="28" t="inlineStr">
        <is>
          <t>NEW</t>
        </is>
      </c>
      <c r="B554" s="29" t="inlineStr">
        <is>
          <t>E0531</t>
        </is>
      </c>
      <c r="C554" s="29" t="inlineStr">
        <is>
          <t>WEATHER STATION E0531</t>
        </is>
      </c>
      <c r="D554" s="29" t="inlineStr">
        <is>
          <t>Метеостанції та термометри</t>
        </is>
      </c>
      <c r="E554" s="28" t="inlineStr">
        <is>
          <t>PC</t>
        </is>
      </c>
      <c r="F554" s="93" t="n">
        <v>13.718</v>
      </c>
      <c r="G554" s="30" t="n">
        <v>9025804089</v>
      </c>
      <c r="H554" s="31" t="n">
        <v>1.35</v>
      </c>
      <c r="I554" s="84">
        <f>IFERROR(F554*Settings!$B$2*H554*IF(AND(ISNUMBER(E554),E554&gt;1),E554,1),"")</f>
        <v/>
      </c>
      <c r="J554" s="32">
        <f>Settings!$B$66</f>
        <v/>
      </c>
      <c r="K554" s="95">
        <f>IFERROR(IF(T554="","",(T554*(1-AN554)*(1-Settings!$B$17)-I554)/(T554*(1-AN554)*(1-Settings!$B$17))),"")</f>
        <v/>
      </c>
      <c r="L554" s="101">
        <f>IFERROR(IF(T554="","",(T554*(1-AO554)*(1-Settings!$C$17)-I554)/(T554*(1-AO554)*(1-Settings!$C$17))),"")</f>
        <v/>
      </c>
      <c r="M554" s="101">
        <f>IFERROR(IF(T554="","",(T554*(1-AP554)*(1-Settings!$D$17)-I554)/(T554*(1-AP554)*(1-Settings!$D$17))),"")</f>
        <v/>
      </c>
      <c r="N554" s="101">
        <f>IFERROR(IF(T554="","",(T554*(1-AQ554)*(1-Settings!$F$17)-I554)/(T554*(1-AQ554)*(1-Settings!$F$17))),"")</f>
        <v/>
      </c>
      <c r="O554" s="101">
        <f>IFERROR(IF(T554="","",(T554*(1-AR554)*(1-Settings!$G$17)-I554)/(T554*(1-AR554)*(1-Settings!$G$17))),"")</f>
        <v/>
      </c>
      <c r="P554" s="101">
        <f>IFERROR(IF(T554="","",(T554*(1-AS554)*(1-Settings!$H$17)-I554)/(T554*(1-AS554)*(1-Settings!$H$17))),"")</f>
        <v/>
      </c>
      <c r="Q554" s="101">
        <f>IFERROR(IF(T554="","",(T554*(1-AT554)*(1-Settings!$I$68)*(1-Settings!$I$17)-I554)/(T554*(1-AT554)*(1-Settings!$I$68)*(1-Settings!$I$17))),"")</f>
        <v/>
      </c>
      <c r="R554" s="91">
        <f>IFERROR(IF(OR(I554="",Z554&gt;=1,Settings!$B$17&gt;=1,AN554&gt;=1),"",IF(MOD(ROUND(I554/(1-Z554)/(1-Settings!$B$17)/(1-AN554),0),10)=0,ROUND(I554/(1-Z554)/(1-Settings!$B$17)/(1-AN554),0)-1,IF(MOD(ROUND(I554/(1-Z554)/(1-Settings!$B$17)/(1-AN554),0),10)&lt;=5,FLOOR(ROUND(I554/(1-Z554)/(1-Settings!$B$17)/(1-AN554),0),10)+6,FLOOR(ROUND(I554/(1-Z554)/(1-Settings!$B$17)/(1-AN554),0),10)+9))),"")</f>
        <v/>
      </c>
      <c r="S554" s="174">
        <f>R554*0.95</f>
        <v/>
      </c>
      <c r="T554" s="91">
        <f>IF(S554&lt;&gt;"", IF(MOD(S554,10)=0,S554-1,IF(MOD(S554,10)&lt;=5,FLOOR(S554,10)+6,FLOOR(S554,10)+9)), R554)</f>
        <v/>
      </c>
      <c r="U554" s="87" t="inlineStr">
        <is>
          <t>Основний</t>
        </is>
      </c>
      <c r="V554" s="88" t="n"/>
      <c r="W554" s="88" t="n"/>
      <c r="X554" s="89">
        <f>IFERROR(IF(OR(V554="",W554="",T554=""),"", IF(T554&gt;W554,"Дорогий",IF(T554&lt;V554,"Дешевий","У ринку"))),"")</f>
        <v/>
      </c>
      <c r="Y554" s="90" t="n"/>
      <c r="Z554" s="104">
        <f>CHOOSE(MATCH(IF($U554="","Основний",$U554),{"Трафіковий","Основний","Маржинальний","Сезонний","Стратегічний"},0),0.16,0.19,0.24,0.23,0.28)</f>
        <v/>
      </c>
      <c r="AA554" s="104">
        <f>CHOOSE(MATCH(IF($U554="","Основний",$U554),{"Трафіковий","Основний","Маржинальний","Сезонний","Стратегічний"},0),0.18,0.21,0.26,0.25,0.3)</f>
        <v/>
      </c>
      <c r="AB554" s="104">
        <f>CHOOSE(MATCH(IF($U554="","Основний",$U554),{"Трафіковий","Основний","Маржинальний","Сезонний","Стратегічний"},0),0.19,0.22,0.28,0.26,0.32)</f>
        <v/>
      </c>
      <c r="AC554" s="104">
        <f>CHOOSE(MATCH(IF($U554="","Основний",$U554),{"Трафіковий","Основний","Маржинальний","Сезонний","Стратегічний"},0),0.17,0.2,0.25,0.24,0.28)</f>
        <v/>
      </c>
      <c r="AD554" s="104">
        <f>CHOOSE(MATCH(IF($U554="","Основний",$U554),{"Трафіковий","Основний","Маржинальний","Сезонний","Стратегічний"},0),0.18,0.21,0.26,0.25,0.3)</f>
        <v/>
      </c>
      <c r="AE554" s="104">
        <f>CHOOSE(MATCH(IF($U554="","Основний",$U554),{"Трафіковий","Основний","Маржинальний","Сезонний","Стратегічний"},0),0.18,0.2,0.28,0.27,0.32)</f>
        <v/>
      </c>
      <c r="AF554" s="104">
        <f>CHOOSE(MATCH(IF($U554="","Основний",$U554),{"Трафіковий","Основний","Маржинальний","Сезонний","Стратегічний"},0),0.15,0.175,0.22,0.21,0.25)</f>
        <v/>
      </c>
      <c r="AG554" s="104">
        <f>CHOOSE(MATCH(IF($U554="","Основний",$U554),{"Трафіковий","Основний","Маржинальний","Сезонний","Стратегічний"},0),0.13,0.16,0.21,0.2,0.25)</f>
        <v/>
      </c>
      <c r="AH554" s="104">
        <f>CHOOSE(MATCH(IF($U554="","Основний",$U554),{"Трафіковий","Основний","Маржинальний","Сезонний","Стратегічний"},0),0.15,0.18,0.23,0.22,0.27)</f>
        <v/>
      </c>
      <c r="AI554" s="104">
        <f>CHOOSE(MATCH(IF($U554="","Основний",$U554),{"Трафіковий","Основний","Маржинальний","Сезонний","Стратегічний"},0),0.16,0.19,0.25,0.23,0.29)</f>
        <v/>
      </c>
      <c r="AJ554" s="104">
        <f>CHOOSE(MATCH(IF($U554="","Основний",$U554),{"Трафіковий","Основний","Маржинальний","Сезонний","Стратегічний"},0),0.14,0.17,0.22,0.21,0.25)</f>
        <v/>
      </c>
      <c r="AK554" s="104">
        <f>CHOOSE(MATCH(IF($U554="","Основний",$U554),{"Трафіковий","Основний","Маржинальний","Сезонний","Стратегічний"},0),0.15,0.18,0.23,0.22,0.27)</f>
        <v/>
      </c>
      <c r="AL554" s="104">
        <f>CHOOSE(MATCH(IF($U554="","Основний",$U554),{"Трафіковий","Основний","Маржинальний","Сезонний","Стратегічний"},0),0.15,0.17,0.25,0.24,0.29)</f>
        <v/>
      </c>
      <c r="AM554" s="104">
        <f>CHOOSE(MATCH(IF($U554="","Основний",$U554),{"Трафіковий","Основний","Маржинальний","Сезонний","Стратегічний"},0),0.12,0.145,0.19,0.18,0.22)</f>
        <v/>
      </c>
      <c r="AN554" s="157">
        <f>CHOOSE(MATCH(IF($U554="","Основний",$U554),{"Трафіковий","Основний","Маржинальний","Сезонний","Стратегічний"},0),Settings!$B$78,Settings!$B$80,Settings!$B$82,Settings!$B$84,Settings!$B$86)</f>
        <v/>
      </c>
      <c r="AO554" s="157">
        <f>CHOOSE(MATCH(IF($U554="","Основний",$U554),{"Трафіковий","Основний","Маржинальний","Сезонний","Стратегічний"},0),Settings!$C$78,Settings!$C$80,Settings!$C$82,Settings!$C$84,Settings!$C$86)</f>
        <v/>
      </c>
      <c r="AP554" s="157">
        <f>CHOOSE(MATCH(IF($U554="","Основний",$U554),{"Трафіковий","Основний","Маржинальний","Сезонний","Стратегічний"},0),Settings!$D$78,Settings!$D$80,Settings!$D$82,Settings!$D$84,Settings!$D$86)</f>
        <v/>
      </c>
      <c r="AQ554" s="157">
        <f>CHOOSE(MATCH(IF($U554="","Основний",$U554),{"Трафіковий","Основний","Маржинальний","Сезонний","Стратегічний"},0),Settings!$F$78,Settings!$F$80,Settings!$F$82,Settings!$F$84,Settings!$F$86)</f>
        <v/>
      </c>
      <c r="AR554" s="157">
        <f>CHOOSE(MATCH(IF($U554="","Основний",$U554),{"Трафіковий","Основний","Маржинальний","Сезонний","Стратегічний"},0),Settings!$G$78,Settings!$G$80,Settings!$G$82,Settings!$G$84,Settings!$G$86)</f>
        <v/>
      </c>
      <c r="AS554" s="157">
        <f>CHOOSE(MATCH(IF($U554="","Основний",$U554),{"Трафіковий","Основний","Маржинальний","Сезонний","Стратегічний"},0),Settings!$H$78,Settings!$H$80,Settings!$H$82,Settings!$H$84,Settings!$H$86)</f>
        <v/>
      </c>
      <c r="AT554" s="157">
        <f>CHOOSE(MATCH(IF($U554="","Основний",$U554),{"Трафіковий","Основний","Маржинальний","Сезонний","Стратегічний"},0),Settings!$I$78,Settings!$I$80,Settings!$I$82,Settings!$I$84,Settings!$I$86)</f>
        <v/>
      </c>
      <c r="AU554" s="171" t="n"/>
      <c r="AV554" t="n">
        <v>1.35</v>
      </c>
    </row>
    <row r="555">
      <c r="A555" s="33" t="inlineStr">
        <is>
          <t>NEW</t>
        </is>
      </c>
      <c r="B555" s="34" t="inlineStr">
        <is>
          <t>E8620</t>
        </is>
      </c>
      <c r="C555" s="34" t="inlineStr">
        <is>
          <t>WEATHER STATION E8620</t>
        </is>
      </c>
      <c r="D555" s="34" t="inlineStr">
        <is>
          <t>Метеостанції та термометри</t>
        </is>
      </c>
      <c r="E555" s="33" t="inlineStr">
        <is>
          <t>PC</t>
        </is>
      </c>
      <c r="F555" s="94" t="n">
        <v>19.731</v>
      </c>
      <c r="G555" s="35" t="n">
        <v>9025804089</v>
      </c>
      <c r="H555" s="31" t="n">
        <v>1.35</v>
      </c>
      <c r="I555" s="84">
        <f>IFERROR(F555*Settings!$B$2*H555*IF(AND(ISNUMBER(E555),E555&gt;1),E555,1),"")</f>
        <v/>
      </c>
      <c r="J555" s="32">
        <f>Settings!$B$66</f>
        <v/>
      </c>
      <c r="K555" s="95">
        <f>IFERROR(IF(T555="","",(T555*(1-AN555)*(1-Settings!$B$17)-I555)/(T555*(1-AN555)*(1-Settings!$B$17))),"")</f>
        <v/>
      </c>
      <c r="L555" s="101">
        <f>IFERROR(IF(T555="","",(T555*(1-AO555)*(1-Settings!$C$17)-I555)/(T555*(1-AO555)*(1-Settings!$C$17))),"")</f>
        <v/>
      </c>
      <c r="M555" s="101">
        <f>IFERROR(IF(T555="","",(T555*(1-AP555)*(1-Settings!$D$17)-I555)/(T555*(1-AP555)*(1-Settings!$D$17))),"")</f>
        <v/>
      </c>
      <c r="N555" s="101">
        <f>IFERROR(IF(T555="","",(T555*(1-AQ555)*(1-Settings!$F$17)-I555)/(T555*(1-AQ555)*(1-Settings!$F$17))),"")</f>
        <v/>
      </c>
      <c r="O555" s="101">
        <f>IFERROR(IF(T555="","",(T555*(1-AR555)*(1-Settings!$G$17)-I555)/(T555*(1-AR555)*(1-Settings!$G$17))),"")</f>
        <v/>
      </c>
      <c r="P555" s="101">
        <f>IFERROR(IF(T555="","",(T555*(1-AS555)*(1-Settings!$H$17)-I555)/(T555*(1-AS555)*(1-Settings!$H$17))),"")</f>
        <v/>
      </c>
      <c r="Q555" s="101">
        <f>IFERROR(IF(T555="","",(T555*(1-AT555)*(1-Settings!$I$68)*(1-Settings!$I$17)-I555)/(T555*(1-AT555)*(1-Settings!$I$68)*(1-Settings!$I$17))),"")</f>
        <v/>
      </c>
      <c r="R555" s="91">
        <f>IFERROR(IF(OR(I555="",Z555&gt;=1,Settings!$B$17&gt;=1,AN555&gt;=1),"",IF(MOD(ROUND(I555/(1-Z555)/(1-Settings!$B$17)/(1-AN555),0),10)=0,ROUND(I555/(1-Z555)/(1-Settings!$B$17)/(1-AN555),0)-1,IF(MOD(ROUND(I555/(1-Z555)/(1-Settings!$B$17)/(1-AN555),0),10)&lt;=5,FLOOR(ROUND(I555/(1-Z555)/(1-Settings!$B$17)/(1-AN555),0),10)+6,FLOOR(ROUND(I555/(1-Z555)/(1-Settings!$B$17)/(1-AN555),0),10)+9))),"")</f>
        <v/>
      </c>
      <c r="S555" s="174">
        <f>R555*0.95</f>
        <v/>
      </c>
      <c r="T555" s="91">
        <f>IF(S555&lt;&gt;"", IF(MOD(S555,10)=0,S555-1,IF(MOD(S555,10)&lt;=5,FLOOR(S555,10)+6,FLOOR(S555,10)+9)), R555)</f>
        <v/>
      </c>
      <c r="U555" s="87" t="inlineStr">
        <is>
          <t>Основний</t>
        </is>
      </c>
      <c r="V555" s="88" t="n"/>
      <c r="W555" s="88" t="n"/>
      <c r="X555" s="89">
        <f>IFERROR(IF(OR(V555="",W555="",T555=""),"", IF(T555&gt;W555,"Дорогий",IF(T555&lt;V555,"Дешевий","У ринку"))),"")</f>
        <v/>
      </c>
      <c r="Y555" s="90" t="n"/>
      <c r="Z555" s="104">
        <f>CHOOSE(MATCH(IF($U555="","Основний",$U555),{"Трафіковий","Основний","Маржинальний","Сезонний","Стратегічний"},0),0.16,0.19,0.24,0.23,0.28)</f>
        <v/>
      </c>
      <c r="AA555" s="104">
        <f>CHOOSE(MATCH(IF($U555="","Основний",$U555),{"Трафіковий","Основний","Маржинальний","Сезонний","Стратегічний"},0),0.18,0.21,0.26,0.25,0.3)</f>
        <v/>
      </c>
      <c r="AB555" s="104">
        <f>CHOOSE(MATCH(IF($U555="","Основний",$U555),{"Трафіковий","Основний","Маржинальний","Сезонний","Стратегічний"},0),0.19,0.22,0.28,0.26,0.32)</f>
        <v/>
      </c>
      <c r="AC555" s="104">
        <f>CHOOSE(MATCH(IF($U555="","Основний",$U555),{"Трафіковий","Основний","Маржинальний","Сезонний","Стратегічний"},0),0.17,0.2,0.25,0.24,0.28)</f>
        <v/>
      </c>
      <c r="AD555" s="104">
        <f>CHOOSE(MATCH(IF($U555="","Основний",$U555),{"Трафіковий","Основний","Маржинальний","Сезонний","Стратегічний"},0),0.18,0.21,0.26,0.25,0.3)</f>
        <v/>
      </c>
      <c r="AE555" s="104">
        <f>CHOOSE(MATCH(IF($U555="","Основний",$U555),{"Трафіковий","Основний","Маржинальний","Сезонний","Стратегічний"},0),0.18,0.2,0.28,0.27,0.32)</f>
        <v/>
      </c>
      <c r="AF555" s="104">
        <f>CHOOSE(MATCH(IF($U555="","Основний",$U555),{"Трафіковий","Основний","Маржинальний","Сезонний","Стратегічний"},0),0.15,0.175,0.22,0.21,0.25)</f>
        <v/>
      </c>
      <c r="AG555" s="104">
        <f>CHOOSE(MATCH(IF($U555="","Основний",$U555),{"Трафіковий","Основний","Маржинальний","Сезонний","Стратегічний"},0),0.13,0.16,0.21,0.2,0.25)</f>
        <v/>
      </c>
      <c r="AH555" s="104">
        <f>CHOOSE(MATCH(IF($U555="","Основний",$U555),{"Трафіковий","Основний","Маржинальний","Сезонний","Стратегічний"},0),0.15,0.18,0.23,0.22,0.27)</f>
        <v/>
      </c>
      <c r="AI555" s="104">
        <f>CHOOSE(MATCH(IF($U555="","Основний",$U555),{"Трафіковий","Основний","Маржинальний","Сезонний","Стратегічний"},0),0.16,0.19,0.25,0.23,0.29)</f>
        <v/>
      </c>
      <c r="AJ555" s="104">
        <f>CHOOSE(MATCH(IF($U555="","Основний",$U555),{"Трафіковий","Основний","Маржинальний","Сезонний","Стратегічний"},0),0.14,0.17,0.22,0.21,0.25)</f>
        <v/>
      </c>
      <c r="AK555" s="104">
        <f>CHOOSE(MATCH(IF($U555="","Основний",$U555),{"Трафіковий","Основний","Маржинальний","Сезонний","Стратегічний"},0),0.15,0.18,0.23,0.22,0.27)</f>
        <v/>
      </c>
      <c r="AL555" s="104">
        <f>CHOOSE(MATCH(IF($U555="","Основний",$U555),{"Трафіковий","Основний","Маржинальний","Сезонний","Стратегічний"},0),0.15,0.17,0.25,0.24,0.29)</f>
        <v/>
      </c>
      <c r="AM555" s="104">
        <f>CHOOSE(MATCH(IF($U555="","Основний",$U555),{"Трафіковий","Основний","Маржинальний","Сезонний","Стратегічний"},0),0.12,0.145,0.19,0.18,0.22)</f>
        <v/>
      </c>
      <c r="AN555" s="157">
        <f>CHOOSE(MATCH(IF($U555="","Основний",$U555),{"Трафіковий","Основний","Маржинальний","Сезонний","Стратегічний"},0),Settings!$B$78,Settings!$B$80,Settings!$B$82,Settings!$B$84,Settings!$B$86)</f>
        <v/>
      </c>
      <c r="AO555" s="157">
        <f>CHOOSE(MATCH(IF($U555="","Основний",$U555),{"Трафіковий","Основний","Маржинальний","Сезонний","Стратегічний"},0),Settings!$C$78,Settings!$C$80,Settings!$C$82,Settings!$C$84,Settings!$C$86)</f>
        <v/>
      </c>
      <c r="AP555" s="157">
        <f>CHOOSE(MATCH(IF($U555="","Основний",$U555),{"Трафіковий","Основний","Маржинальний","Сезонний","Стратегічний"},0),Settings!$D$78,Settings!$D$80,Settings!$D$82,Settings!$D$84,Settings!$D$86)</f>
        <v/>
      </c>
      <c r="AQ555" s="157">
        <f>CHOOSE(MATCH(IF($U555="","Основний",$U555),{"Трафіковий","Основний","Маржинальний","Сезонний","Стратегічний"},0),Settings!$F$78,Settings!$F$80,Settings!$F$82,Settings!$F$84,Settings!$F$86)</f>
        <v/>
      </c>
      <c r="AR555" s="157">
        <f>CHOOSE(MATCH(IF($U555="","Основний",$U555),{"Трафіковий","Основний","Маржинальний","Сезонний","Стратегічний"},0),Settings!$G$78,Settings!$G$80,Settings!$G$82,Settings!$G$84,Settings!$G$86)</f>
        <v/>
      </c>
      <c r="AS555" s="157">
        <f>CHOOSE(MATCH(IF($U555="","Основний",$U555),{"Трафіковий","Основний","Маржинальний","Сезонний","Стратегічний"},0),Settings!$H$78,Settings!$H$80,Settings!$H$82,Settings!$H$84,Settings!$H$86)</f>
        <v/>
      </c>
      <c r="AT555" s="157">
        <f>CHOOSE(MATCH(IF($U555="","Основний",$U555),{"Трафіковий","Основний","Маржинальний","Сезонний","Стратегічний"},0),Settings!$I$78,Settings!$I$80,Settings!$I$82,Settings!$I$84,Settings!$I$86)</f>
        <v/>
      </c>
      <c r="AU555" s="171" t="n"/>
      <c r="AV555" t="n">
        <v>1.35</v>
      </c>
    </row>
    <row r="556">
      <c r="A556" s="28" t="inlineStr">
        <is>
          <t>NEW</t>
        </is>
      </c>
      <c r="B556" s="29" t="inlineStr">
        <is>
          <t>E8614</t>
        </is>
      </c>
      <c r="C556" s="29" t="inlineStr">
        <is>
          <t>WEATHER STATION E8614</t>
        </is>
      </c>
      <c r="D556" s="29" t="inlineStr">
        <is>
          <t>Метеостанції та термометри</t>
        </is>
      </c>
      <c r="E556" s="28" t="inlineStr">
        <is>
          <t>PC</t>
        </is>
      </c>
      <c r="F556" s="93" t="n">
        <v>27.767</v>
      </c>
      <c r="G556" s="30" t="n">
        <v>9025804089</v>
      </c>
      <c r="H556" s="31" t="n">
        <v>1.35</v>
      </c>
      <c r="I556" s="84">
        <f>IFERROR(F556*Settings!$B$2*H556*IF(AND(ISNUMBER(E556),E556&gt;1),E556,1),"")</f>
        <v/>
      </c>
      <c r="J556" s="32">
        <f>Settings!$B$66</f>
        <v/>
      </c>
      <c r="K556" s="95">
        <f>IFERROR(IF(T556="","",(T556*(1-AN556)*(1-Settings!$B$17)-I556)/(T556*(1-AN556)*(1-Settings!$B$17))),"")</f>
        <v/>
      </c>
      <c r="L556" s="101">
        <f>IFERROR(IF(T556="","",(T556*(1-AO556)*(1-Settings!$C$17)-I556)/(T556*(1-AO556)*(1-Settings!$C$17))),"")</f>
        <v/>
      </c>
      <c r="M556" s="101">
        <f>IFERROR(IF(T556="","",(T556*(1-AP556)*(1-Settings!$D$17)-I556)/(T556*(1-AP556)*(1-Settings!$D$17))),"")</f>
        <v/>
      </c>
      <c r="N556" s="101">
        <f>IFERROR(IF(T556="","",(T556*(1-AQ556)*(1-Settings!$F$17)-I556)/(T556*(1-AQ556)*(1-Settings!$F$17))),"")</f>
        <v/>
      </c>
      <c r="O556" s="101">
        <f>IFERROR(IF(T556="","",(T556*(1-AR556)*(1-Settings!$G$17)-I556)/(T556*(1-AR556)*(1-Settings!$G$17))),"")</f>
        <v/>
      </c>
      <c r="P556" s="101">
        <f>IFERROR(IF(T556="","",(T556*(1-AS556)*(1-Settings!$H$17)-I556)/(T556*(1-AS556)*(1-Settings!$H$17))),"")</f>
        <v/>
      </c>
      <c r="Q556" s="101">
        <f>IFERROR(IF(T556="","",(T556*(1-AT556)*(1-Settings!$I$68)*(1-Settings!$I$17)-I556)/(T556*(1-AT556)*(1-Settings!$I$68)*(1-Settings!$I$17))),"")</f>
        <v/>
      </c>
      <c r="R556" s="91">
        <f>IFERROR(IF(OR(I556="",Z556&gt;=1,Settings!$B$17&gt;=1,AN556&gt;=1),"",IF(MOD(ROUND(I556/(1-Z556)/(1-Settings!$B$17)/(1-AN556),0),10)=0,ROUND(I556/(1-Z556)/(1-Settings!$B$17)/(1-AN556),0)-1,IF(MOD(ROUND(I556/(1-Z556)/(1-Settings!$B$17)/(1-AN556),0),10)&lt;=5,FLOOR(ROUND(I556/(1-Z556)/(1-Settings!$B$17)/(1-AN556),0),10)+6,FLOOR(ROUND(I556/(1-Z556)/(1-Settings!$B$17)/(1-AN556),0),10)+9))),"")</f>
        <v/>
      </c>
      <c r="S556" s="174">
        <f>R556*0.95</f>
        <v/>
      </c>
      <c r="T556" s="91">
        <f>IF(S556&lt;&gt;"", IF(MOD(S556,10)=0,S556-1,IF(MOD(S556,10)&lt;=5,FLOOR(S556,10)+6,FLOOR(S556,10)+9)), R556)</f>
        <v/>
      </c>
      <c r="U556" s="87" t="inlineStr">
        <is>
          <t>Основний</t>
        </is>
      </c>
      <c r="V556" s="88" t="n"/>
      <c r="W556" s="88" t="n"/>
      <c r="X556" s="89">
        <f>IFERROR(IF(OR(V556="",W556="",T556=""),"", IF(T556&gt;W556,"Дорогий",IF(T556&lt;V556,"Дешевий","У ринку"))),"")</f>
        <v/>
      </c>
      <c r="Y556" s="90" t="n"/>
      <c r="Z556" s="104">
        <f>CHOOSE(MATCH(IF($U556="","Основний",$U556),{"Трафіковий","Основний","Маржинальний","Сезонний","Стратегічний"},0),0.16,0.19,0.24,0.23,0.28)</f>
        <v/>
      </c>
      <c r="AA556" s="104">
        <f>CHOOSE(MATCH(IF($U556="","Основний",$U556),{"Трафіковий","Основний","Маржинальний","Сезонний","Стратегічний"},0),0.18,0.21,0.26,0.25,0.3)</f>
        <v/>
      </c>
      <c r="AB556" s="104">
        <f>CHOOSE(MATCH(IF($U556="","Основний",$U556),{"Трафіковий","Основний","Маржинальний","Сезонний","Стратегічний"},0),0.19,0.22,0.28,0.26,0.32)</f>
        <v/>
      </c>
      <c r="AC556" s="104">
        <f>CHOOSE(MATCH(IF($U556="","Основний",$U556),{"Трафіковий","Основний","Маржинальний","Сезонний","Стратегічний"},0),0.17,0.2,0.25,0.24,0.28)</f>
        <v/>
      </c>
      <c r="AD556" s="104">
        <f>CHOOSE(MATCH(IF($U556="","Основний",$U556),{"Трафіковий","Основний","Маржинальний","Сезонний","Стратегічний"},0),0.18,0.21,0.26,0.25,0.3)</f>
        <v/>
      </c>
      <c r="AE556" s="104">
        <f>CHOOSE(MATCH(IF($U556="","Основний",$U556),{"Трафіковий","Основний","Маржинальний","Сезонний","Стратегічний"},0),0.18,0.2,0.28,0.27,0.32)</f>
        <v/>
      </c>
      <c r="AF556" s="104">
        <f>CHOOSE(MATCH(IF($U556="","Основний",$U556),{"Трафіковий","Основний","Маржинальний","Сезонний","Стратегічний"},0),0.15,0.175,0.22,0.21,0.25)</f>
        <v/>
      </c>
      <c r="AG556" s="104">
        <f>CHOOSE(MATCH(IF($U556="","Основний",$U556),{"Трафіковий","Основний","Маржинальний","Сезонний","Стратегічний"},0),0.13,0.16,0.21,0.2,0.25)</f>
        <v/>
      </c>
      <c r="AH556" s="104">
        <f>CHOOSE(MATCH(IF($U556="","Основний",$U556),{"Трафіковий","Основний","Маржинальний","Сезонний","Стратегічний"},0),0.15,0.18,0.23,0.22,0.27)</f>
        <v/>
      </c>
      <c r="AI556" s="104">
        <f>CHOOSE(MATCH(IF($U556="","Основний",$U556),{"Трафіковий","Основний","Маржинальний","Сезонний","Стратегічний"},0),0.16,0.19,0.25,0.23,0.29)</f>
        <v/>
      </c>
      <c r="AJ556" s="104">
        <f>CHOOSE(MATCH(IF($U556="","Основний",$U556),{"Трафіковий","Основний","Маржинальний","Сезонний","Стратегічний"},0),0.14,0.17,0.22,0.21,0.25)</f>
        <v/>
      </c>
      <c r="AK556" s="104">
        <f>CHOOSE(MATCH(IF($U556="","Основний",$U556),{"Трафіковий","Основний","Маржинальний","Сезонний","Стратегічний"},0),0.15,0.18,0.23,0.22,0.27)</f>
        <v/>
      </c>
      <c r="AL556" s="104">
        <f>CHOOSE(MATCH(IF($U556="","Основний",$U556),{"Трафіковий","Основний","Маржинальний","Сезонний","Стратегічний"},0),0.15,0.17,0.25,0.24,0.29)</f>
        <v/>
      </c>
      <c r="AM556" s="104">
        <f>CHOOSE(MATCH(IF($U556="","Основний",$U556),{"Трафіковий","Основний","Маржинальний","Сезонний","Стратегічний"},0),0.12,0.145,0.19,0.18,0.22)</f>
        <v/>
      </c>
      <c r="AN556" s="157">
        <f>CHOOSE(MATCH(IF($U556="","Основний",$U556),{"Трафіковий","Основний","Маржинальний","Сезонний","Стратегічний"},0),Settings!$B$78,Settings!$B$80,Settings!$B$82,Settings!$B$84,Settings!$B$86)</f>
        <v/>
      </c>
      <c r="AO556" s="157">
        <f>CHOOSE(MATCH(IF($U556="","Основний",$U556),{"Трафіковий","Основний","Маржинальний","Сезонний","Стратегічний"},0),Settings!$C$78,Settings!$C$80,Settings!$C$82,Settings!$C$84,Settings!$C$86)</f>
        <v/>
      </c>
      <c r="AP556" s="157">
        <f>CHOOSE(MATCH(IF($U556="","Основний",$U556),{"Трафіковий","Основний","Маржинальний","Сезонний","Стратегічний"},0),Settings!$D$78,Settings!$D$80,Settings!$D$82,Settings!$D$84,Settings!$D$86)</f>
        <v/>
      </c>
      <c r="AQ556" s="157">
        <f>CHOOSE(MATCH(IF($U556="","Основний",$U556),{"Трафіковий","Основний","Маржинальний","Сезонний","Стратегічний"},0),Settings!$F$78,Settings!$F$80,Settings!$F$82,Settings!$F$84,Settings!$F$86)</f>
        <v/>
      </c>
      <c r="AR556" s="157">
        <f>CHOOSE(MATCH(IF($U556="","Основний",$U556),{"Трафіковий","Основний","Маржинальний","Сезонний","Стратегічний"},0),Settings!$G$78,Settings!$G$80,Settings!$G$82,Settings!$G$84,Settings!$G$86)</f>
        <v/>
      </c>
      <c r="AS556" s="157">
        <f>CHOOSE(MATCH(IF($U556="","Основний",$U556),{"Трафіковий","Основний","Маржинальний","Сезонний","Стратегічний"},0),Settings!$H$78,Settings!$H$80,Settings!$H$82,Settings!$H$84,Settings!$H$86)</f>
        <v/>
      </c>
      <c r="AT556" s="157">
        <f>CHOOSE(MATCH(IF($U556="","Основний",$U556),{"Трафіковий","Основний","Маржинальний","Сезонний","Стратегічний"},0),Settings!$I$78,Settings!$I$80,Settings!$I$82,Settings!$I$84,Settings!$I$86)</f>
        <v/>
      </c>
      <c r="AU556" s="171" t="n"/>
      <c r="AV556" t="n">
        <v>1.35</v>
      </c>
    </row>
    <row r="557">
      <c r="A557" s="33" t="inlineStr">
        <is>
          <t>NEW</t>
        </is>
      </c>
      <c r="B557" s="34" t="inlineStr">
        <is>
          <t>E8610</t>
        </is>
      </c>
      <c r="C557" s="34" t="inlineStr">
        <is>
          <t>GOSMART WIRELESS WEATHER STATION E8610</t>
        </is>
      </c>
      <c r="D557" s="34" t="inlineStr">
        <is>
          <t>Метеостанції та термометри</t>
        </is>
      </c>
      <c r="E557" s="33" t="inlineStr">
        <is>
          <t>PC</t>
        </is>
      </c>
      <c r="F557" s="94" t="n">
        <v>31.355</v>
      </c>
      <c r="G557" s="35" t="n">
        <v>9025804089</v>
      </c>
      <c r="H557" s="31" t="n">
        <v>1.35</v>
      </c>
      <c r="I557" s="84">
        <f>IFERROR(F557*Settings!$B$2*H557*IF(AND(ISNUMBER(E557),E557&gt;1),E557,1),"")</f>
        <v/>
      </c>
      <c r="J557" s="32">
        <f>Settings!$B$66</f>
        <v/>
      </c>
      <c r="K557" s="95">
        <f>IFERROR(IF(T557="","",(T557*(1-AN557)*(1-Settings!$B$17)-I557)/(T557*(1-AN557)*(1-Settings!$B$17))),"")</f>
        <v/>
      </c>
      <c r="L557" s="101">
        <f>IFERROR(IF(T557="","",(T557*(1-AO557)*(1-Settings!$C$17)-I557)/(T557*(1-AO557)*(1-Settings!$C$17))),"")</f>
        <v/>
      </c>
      <c r="M557" s="101">
        <f>IFERROR(IF(T557="","",(T557*(1-AP557)*(1-Settings!$D$17)-I557)/(T557*(1-AP557)*(1-Settings!$D$17))),"")</f>
        <v/>
      </c>
      <c r="N557" s="101">
        <f>IFERROR(IF(T557="","",(T557*(1-AQ557)*(1-Settings!$F$17)-I557)/(T557*(1-AQ557)*(1-Settings!$F$17))),"")</f>
        <v/>
      </c>
      <c r="O557" s="101">
        <f>IFERROR(IF(T557="","",(T557*(1-AR557)*(1-Settings!$G$17)-I557)/(T557*(1-AR557)*(1-Settings!$G$17))),"")</f>
        <v/>
      </c>
      <c r="P557" s="101">
        <f>IFERROR(IF(T557="","",(T557*(1-AS557)*(1-Settings!$H$17)-I557)/(T557*(1-AS557)*(1-Settings!$H$17))),"")</f>
        <v/>
      </c>
      <c r="Q557" s="101">
        <f>IFERROR(IF(T557="","",(T557*(1-AT557)*(1-Settings!$I$68)*(1-Settings!$I$17)-I557)/(T557*(1-AT557)*(1-Settings!$I$68)*(1-Settings!$I$17))),"")</f>
        <v/>
      </c>
      <c r="R557" s="91">
        <f>IFERROR(IF(OR(I557="",Z557&gt;=1,Settings!$B$17&gt;=1,AN557&gt;=1),"",IF(MOD(ROUND(I557/(1-Z557)/(1-Settings!$B$17)/(1-AN557),0),10)=0,ROUND(I557/(1-Z557)/(1-Settings!$B$17)/(1-AN557),0)-1,IF(MOD(ROUND(I557/(1-Z557)/(1-Settings!$B$17)/(1-AN557),0),10)&lt;=5,FLOOR(ROUND(I557/(1-Z557)/(1-Settings!$B$17)/(1-AN557),0),10)+6,FLOOR(ROUND(I557/(1-Z557)/(1-Settings!$B$17)/(1-AN557),0),10)+9))),"")</f>
        <v/>
      </c>
      <c r="S557" s="174">
        <f>R557*0.95</f>
        <v/>
      </c>
      <c r="T557" s="91">
        <f>IF(S557&lt;&gt;"", IF(MOD(S557,10)=0,S557-1,IF(MOD(S557,10)&lt;=5,FLOOR(S557,10)+6,FLOOR(S557,10)+9)), R557)</f>
        <v/>
      </c>
      <c r="U557" s="87" t="inlineStr">
        <is>
          <t>Основний</t>
        </is>
      </c>
      <c r="V557" s="88" t="n"/>
      <c r="W557" s="88" t="n"/>
      <c r="X557" s="89">
        <f>IFERROR(IF(OR(V557="",W557="",T557=""),"", IF(T557&gt;W557,"Дорогий",IF(T557&lt;V557,"Дешевий","У ринку"))),"")</f>
        <v/>
      </c>
      <c r="Y557" s="90" t="n"/>
      <c r="Z557" s="104">
        <f>CHOOSE(MATCH(IF($U557="","Основний",$U557),{"Трафіковий","Основний","Маржинальний","Сезонний","Стратегічний"},0),0.16,0.19,0.24,0.23,0.28)</f>
        <v/>
      </c>
      <c r="AA557" s="104">
        <f>CHOOSE(MATCH(IF($U557="","Основний",$U557),{"Трафіковий","Основний","Маржинальний","Сезонний","Стратегічний"},0),0.18,0.21,0.26,0.25,0.3)</f>
        <v/>
      </c>
      <c r="AB557" s="104">
        <f>CHOOSE(MATCH(IF($U557="","Основний",$U557),{"Трафіковий","Основний","Маржинальний","Сезонний","Стратегічний"},0),0.19,0.22,0.28,0.26,0.32)</f>
        <v/>
      </c>
      <c r="AC557" s="104">
        <f>CHOOSE(MATCH(IF($U557="","Основний",$U557),{"Трафіковий","Основний","Маржинальний","Сезонний","Стратегічний"},0),0.17,0.2,0.25,0.24,0.28)</f>
        <v/>
      </c>
      <c r="AD557" s="104">
        <f>CHOOSE(MATCH(IF($U557="","Основний",$U557),{"Трафіковий","Основний","Маржинальний","Сезонний","Стратегічний"},0),0.18,0.21,0.26,0.25,0.3)</f>
        <v/>
      </c>
      <c r="AE557" s="104">
        <f>CHOOSE(MATCH(IF($U557="","Основний",$U557),{"Трафіковий","Основний","Маржинальний","Сезонний","Стратегічний"},0),0.18,0.2,0.28,0.27,0.32)</f>
        <v/>
      </c>
      <c r="AF557" s="104">
        <f>CHOOSE(MATCH(IF($U557="","Основний",$U557),{"Трафіковий","Основний","Маржинальний","Сезонний","Стратегічний"},0),0.15,0.175,0.22,0.21,0.25)</f>
        <v/>
      </c>
      <c r="AG557" s="104">
        <f>CHOOSE(MATCH(IF($U557="","Основний",$U557),{"Трафіковий","Основний","Маржинальний","Сезонний","Стратегічний"},0),0.13,0.16,0.21,0.2,0.25)</f>
        <v/>
      </c>
      <c r="AH557" s="104">
        <f>CHOOSE(MATCH(IF($U557="","Основний",$U557),{"Трафіковий","Основний","Маржинальний","Сезонний","Стратегічний"},0),0.15,0.18,0.23,0.22,0.27)</f>
        <v/>
      </c>
      <c r="AI557" s="104">
        <f>CHOOSE(MATCH(IF($U557="","Основний",$U557),{"Трафіковий","Основний","Маржинальний","Сезонний","Стратегічний"},0),0.16,0.19,0.25,0.23,0.29)</f>
        <v/>
      </c>
      <c r="AJ557" s="104">
        <f>CHOOSE(MATCH(IF($U557="","Основний",$U557),{"Трафіковий","Основний","Маржинальний","Сезонний","Стратегічний"},0),0.14,0.17,0.22,0.21,0.25)</f>
        <v/>
      </c>
      <c r="AK557" s="104">
        <f>CHOOSE(MATCH(IF($U557="","Основний",$U557),{"Трафіковий","Основний","Маржинальний","Сезонний","Стратегічний"},0),0.15,0.18,0.23,0.22,0.27)</f>
        <v/>
      </c>
      <c r="AL557" s="104">
        <f>CHOOSE(MATCH(IF($U557="","Основний",$U557),{"Трафіковий","Основний","Маржинальний","Сезонний","Стратегічний"},0),0.15,0.17,0.25,0.24,0.29)</f>
        <v/>
      </c>
      <c r="AM557" s="104">
        <f>CHOOSE(MATCH(IF($U557="","Основний",$U557),{"Трафіковий","Основний","Маржинальний","Сезонний","Стратегічний"},0),0.12,0.145,0.19,0.18,0.22)</f>
        <v/>
      </c>
      <c r="AN557" s="157">
        <f>CHOOSE(MATCH(IF($U557="","Основний",$U557),{"Трафіковий","Основний","Маржинальний","Сезонний","Стратегічний"},0),Settings!$B$78,Settings!$B$80,Settings!$B$82,Settings!$B$84,Settings!$B$86)</f>
        <v/>
      </c>
      <c r="AO557" s="157">
        <f>CHOOSE(MATCH(IF($U557="","Основний",$U557),{"Трафіковий","Основний","Маржинальний","Сезонний","Стратегічний"},0),Settings!$C$78,Settings!$C$80,Settings!$C$82,Settings!$C$84,Settings!$C$86)</f>
        <v/>
      </c>
      <c r="AP557" s="157">
        <f>CHOOSE(MATCH(IF($U557="","Основний",$U557),{"Трафіковий","Основний","Маржинальний","Сезонний","Стратегічний"},0),Settings!$D$78,Settings!$D$80,Settings!$D$82,Settings!$D$84,Settings!$D$86)</f>
        <v/>
      </c>
      <c r="AQ557" s="157">
        <f>CHOOSE(MATCH(IF($U557="","Основний",$U557),{"Трафіковий","Основний","Маржинальний","Сезонний","Стратегічний"},0),Settings!$F$78,Settings!$F$80,Settings!$F$82,Settings!$F$84,Settings!$F$86)</f>
        <v/>
      </c>
      <c r="AR557" s="157">
        <f>CHOOSE(MATCH(IF($U557="","Основний",$U557),{"Трафіковий","Основний","Маржинальний","Сезонний","Стратегічний"},0),Settings!$G$78,Settings!$G$80,Settings!$G$82,Settings!$G$84,Settings!$G$86)</f>
        <v/>
      </c>
      <c r="AS557" s="157">
        <f>CHOOSE(MATCH(IF($U557="","Основний",$U557),{"Трафіковий","Основний","Маржинальний","Сезонний","Стратегічний"},0),Settings!$H$78,Settings!$H$80,Settings!$H$82,Settings!$H$84,Settings!$H$86)</f>
        <v/>
      </c>
      <c r="AT557" s="157">
        <f>CHOOSE(MATCH(IF($U557="","Основний",$U557),{"Трафіковий","Основний","Маржинальний","Сезонний","Стратегічний"},0),Settings!$I$78,Settings!$I$80,Settings!$I$82,Settings!$I$84,Settings!$I$86)</f>
        <v/>
      </c>
      <c r="AU557" s="171" t="n"/>
      <c r="AV557" t="n">
        <v>1.35</v>
      </c>
    </row>
    <row r="558">
      <c r="A558" s="28" t="n"/>
      <c r="B558" s="29" t="inlineStr">
        <is>
          <t>E0042</t>
        </is>
      </c>
      <c r="C558" s="29" t="inlineStr">
        <is>
          <t>THERMOMETER DIGITAL E0042</t>
        </is>
      </c>
      <c r="D558" s="29" t="inlineStr">
        <is>
          <t>Метеостанції та термометри</t>
        </is>
      </c>
      <c r="E558" s="28" t="inlineStr">
        <is>
          <t>PC</t>
        </is>
      </c>
      <c r="F558" s="93" t="n">
        <v>5.87</v>
      </c>
      <c r="G558" s="30" t="n">
        <v>9025190090</v>
      </c>
      <c r="H558" s="31" t="n">
        <v>1.4</v>
      </c>
      <c r="I558" s="84">
        <f>IFERROR(F558*Settings!$B$2*H558*IF(AND(ISNUMBER(E558),E558&gt;1),E558,1),"")</f>
        <v/>
      </c>
      <c r="J558" s="32">
        <f>Settings!$B$66</f>
        <v/>
      </c>
      <c r="K558" s="95">
        <f>IFERROR(IF(T558="","",(T558*(1-AN558)*(1-Settings!$B$17)-I558)/(T558*(1-AN558)*(1-Settings!$B$17))),"")</f>
        <v/>
      </c>
      <c r="L558" s="101">
        <f>IFERROR(IF(T558="","",(T558*(1-AO558)*(1-Settings!$C$17)-I558)/(T558*(1-AO558)*(1-Settings!$C$17))),"")</f>
        <v/>
      </c>
      <c r="M558" s="101">
        <f>IFERROR(IF(T558="","",(T558*(1-AP558)*(1-Settings!$D$17)-I558)/(T558*(1-AP558)*(1-Settings!$D$17))),"")</f>
        <v/>
      </c>
      <c r="N558" s="101">
        <f>IFERROR(IF(T558="","",(T558*(1-AQ558)*(1-Settings!$F$17)-I558)/(T558*(1-AQ558)*(1-Settings!$F$17))),"")</f>
        <v/>
      </c>
      <c r="O558" s="101">
        <f>IFERROR(IF(T558="","",(T558*(1-AR558)*(1-Settings!$G$17)-I558)/(T558*(1-AR558)*(1-Settings!$G$17))),"")</f>
        <v/>
      </c>
      <c r="P558" s="101">
        <f>IFERROR(IF(T558="","",(T558*(1-AS558)*(1-Settings!$H$17)-I558)/(T558*(1-AS558)*(1-Settings!$H$17))),"")</f>
        <v/>
      </c>
      <c r="Q558" s="101">
        <f>IFERROR(IF(T558="","",(T558*(1-AT558)*(1-Settings!$I$68)*(1-Settings!$I$17)-I558)/(T558*(1-AT558)*(1-Settings!$I$68)*(1-Settings!$I$17))),"")</f>
        <v/>
      </c>
      <c r="R558" s="91">
        <f>IFERROR(IF(OR(I558="",Z558&gt;=1,Settings!$B$17&gt;=1,AN558&gt;=1),"",IF(MOD(ROUND(I558/(1-Z558)/(1-Settings!$B$17)/(1-AN558),0),10)=0,ROUND(I558/(1-Z558)/(1-Settings!$B$17)/(1-AN558),0)-1,IF(MOD(ROUND(I558/(1-Z558)/(1-Settings!$B$17)/(1-AN558),0),10)&lt;=5,FLOOR(ROUND(I558/(1-Z558)/(1-Settings!$B$17)/(1-AN558),0),10)+6,FLOOR(ROUND(I558/(1-Z558)/(1-Settings!$B$17)/(1-AN558),0),10)+9))),"")</f>
        <v/>
      </c>
      <c r="S558" s="174">
        <f>R558*0.95</f>
        <v/>
      </c>
      <c r="T558" s="91">
        <f>IF(S558&lt;&gt;"", IF(MOD(S558,10)=0,S558-1,IF(MOD(S558,10)&lt;=5,FLOOR(S558,10)+6,FLOOR(S558,10)+9)), R558)</f>
        <v/>
      </c>
      <c r="U558" s="87" t="inlineStr">
        <is>
          <t>Основний</t>
        </is>
      </c>
      <c r="V558" s="88" t="n"/>
      <c r="W558" s="88" t="n"/>
      <c r="X558" s="89">
        <f>IFERROR(IF(OR(V558="",W558="",T558=""),"", IF(T558&gt;W558,"Дорогий",IF(T558&lt;V558,"Дешевий","У ринку"))),"")</f>
        <v/>
      </c>
      <c r="Y558" s="90" t="n"/>
      <c r="Z558" s="104">
        <f>CHOOSE(MATCH(IF($U558="","Основний",$U558),{"Трафіковий","Основний","Маржинальний","Сезонний","Стратегічний"},0),0.16,0.19,0.24,0.23,0.28)</f>
        <v/>
      </c>
      <c r="AA558" s="104">
        <f>CHOOSE(MATCH(IF($U558="","Основний",$U558),{"Трафіковий","Основний","Маржинальний","Сезонний","Стратегічний"},0),0.18,0.21,0.26,0.25,0.3)</f>
        <v/>
      </c>
      <c r="AB558" s="104">
        <f>CHOOSE(MATCH(IF($U558="","Основний",$U558),{"Трафіковий","Основний","Маржинальний","Сезонний","Стратегічний"},0),0.19,0.22,0.28,0.26,0.32)</f>
        <v/>
      </c>
      <c r="AC558" s="104">
        <f>CHOOSE(MATCH(IF($U558="","Основний",$U558),{"Трафіковий","Основний","Маржинальний","Сезонний","Стратегічний"},0),0.17,0.2,0.25,0.24,0.28)</f>
        <v/>
      </c>
      <c r="AD558" s="104">
        <f>CHOOSE(MATCH(IF($U558="","Основний",$U558),{"Трафіковий","Основний","Маржинальний","Сезонний","Стратегічний"},0),0.18,0.21,0.26,0.25,0.3)</f>
        <v/>
      </c>
      <c r="AE558" s="104">
        <f>CHOOSE(MATCH(IF($U558="","Основний",$U558),{"Трафіковий","Основний","Маржинальний","Сезонний","Стратегічний"},0),0.18,0.2,0.28,0.27,0.32)</f>
        <v/>
      </c>
      <c r="AF558" s="104">
        <f>CHOOSE(MATCH(IF($U558="","Основний",$U558),{"Трафіковий","Основний","Маржинальний","Сезонний","Стратегічний"},0),0.15,0.175,0.22,0.21,0.25)</f>
        <v/>
      </c>
      <c r="AG558" s="104">
        <f>CHOOSE(MATCH(IF($U558="","Основний",$U558),{"Трафіковий","Основний","Маржинальний","Сезонний","Стратегічний"},0),0.13,0.16,0.21,0.2,0.25)</f>
        <v/>
      </c>
      <c r="AH558" s="104">
        <f>CHOOSE(MATCH(IF($U558="","Основний",$U558),{"Трафіковий","Основний","Маржинальний","Сезонний","Стратегічний"},0),0.15,0.18,0.23,0.22,0.27)</f>
        <v/>
      </c>
      <c r="AI558" s="104">
        <f>CHOOSE(MATCH(IF($U558="","Основний",$U558),{"Трафіковий","Основний","Маржинальний","Сезонний","Стратегічний"},0),0.16,0.19,0.25,0.23,0.29)</f>
        <v/>
      </c>
      <c r="AJ558" s="104">
        <f>CHOOSE(MATCH(IF($U558="","Основний",$U558),{"Трафіковий","Основний","Маржинальний","Сезонний","Стратегічний"},0),0.14,0.17,0.22,0.21,0.25)</f>
        <v/>
      </c>
      <c r="AK558" s="104">
        <f>CHOOSE(MATCH(IF($U558="","Основний",$U558),{"Трафіковий","Основний","Маржинальний","Сезонний","Стратегічний"},0),0.15,0.18,0.23,0.22,0.27)</f>
        <v/>
      </c>
      <c r="AL558" s="104">
        <f>CHOOSE(MATCH(IF($U558="","Основний",$U558),{"Трафіковий","Основний","Маржинальний","Сезонний","Стратегічний"},0),0.15,0.17,0.25,0.24,0.29)</f>
        <v/>
      </c>
      <c r="AM558" s="104">
        <f>CHOOSE(MATCH(IF($U558="","Основний",$U558),{"Трафіковий","Основний","Маржинальний","Сезонний","Стратегічний"},0),0.12,0.145,0.19,0.18,0.22)</f>
        <v/>
      </c>
      <c r="AN558" s="157">
        <f>CHOOSE(MATCH(IF($U558="","Основний",$U558),{"Трафіковий","Основний","Маржинальний","Сезонний","Стратегічний"},0),Settings!$B$78,Settings!$B$80,Settings!$B$82,Settings!$B$84,Settings!$B$86)</f>
        <v/>
      </c>
      <c r="AO558" s="157">
        <f>CHOOSE(MATCH(IF($U558="","Основний",$U558),{"Трафіковий","Основний","Маржинальний","Сезонний","Стратегічний"},0),Settings!$C$78,Settings!$C$80,Settings!$C$82,Settings!$C$84,Settings!$C$86)</f>
        <v/>
      </c>
      <c r="AP558" s="157">
        <f>CHOOSE(MATCH(IF($U558="","Основний",$U558),{"Трафіковий","Основний","Маржинальний","Сезонний","Стратегічний"},0),Settings!$D$78,Settings!$D$80,Settings!$D$82,Settings!$D$84,Settings!$D$86)</f>
        <v/>
      </c>
      <c r="AQ558" s="157">
        <f>CHOOSE(MATCH(IF($U558="","Основний",$U558),{"Трафіковий","Основний","Маржинальний","Сезонний","Стратегічний"},0),Settings!$F$78,Settings!$F$80,Settings!$F$82,Settings!$F$84,Settings!$F$86)</f>
        <v/>
      </c>
      <c r="AR558" s="157">
        <f>CHOOSE(MATCH(IF($U558="","Основний",$U558),{"Трафіковий","Основний","Маржинальний","Сезонний","Стратегічний"},0),Settings!$G$78,Settings!$G$80,Settings!$G$82,Settings!$G$84,Settings!$G$86)</f>
        <v/>
      </c>
      <c r="AS558" s="157">
        <f>CHOOSE(MATCH(IF($U558="","Основний",$U558),{"Трафіковий","Основний","Маржинальний","Сезонний","Стратегічний"},0),Settings!$H$78,Settings!$H$80,Settings!$H$82,Settings!$H$84,Settings!$H$86)</f>
        <v/>
      </c>
      <c r="AT558" s="157">
        <f>CHOOSE(MATCH(IF($U558="","Основний",$U558),{"Трафіковий","Основний","Маржинальний","Сезонний","Стратегічний"},0),Settings!$I$78,Settings!$I$80,Settings!$I$82,Settings!$I$84,Settings!$I$86)</f>
        <v/>
      </c>
      <c r="AU558" s="171" t="n"/>
      <c r="AV558" t="n">
        <v>1.35</v>
      </c>
    </row>
    <row r="559">
      <c r="A559" s="33" t="n"/>
      <c r="B559" s="34" t="inlineStr">
        <is>
          <t>E0041</t>
        </is>
      </c>
      <c r="C559" s="34" t="inlineStr">
        <is>
          <t>THERMOMETER WIRED E0041</t>
        </is>
      </c>
      <c r="D559" s="34" t="inlineStr">
        <is>
          <t>Метеостанції та термометри</t>
        </is>
      </c>
      <c r="E559" s="33" t="inlineStr">
        <is>
          <t>PC</t>
        </is>
      </c>
      <c r="F559" s="94" t="n">
        <v>3.481</v>
      </c>
      <c r="G559" s="35" t="n">
        <v>9025190090</v>
      </c>
      <c r="H559" s="31" t="n">
        <v>1.4</v>
      </c>
      <c r="I559" s="84">
        <f>IFERROR(F559*Settings!$B$2*H559*IF(AND(ISNUMBER(E559),E559&gt;1),E559,1),"")</f>
        <v/>
      </c>
      <c r="J559" s="32">
        <f>Settings!$B$66</f>
        <v/>
      </c>
      <c r="K559" s="95">
        <f>IFERROR(IF(T559="","",(T559*(1-AN559)*(1-Settings!$B$17)-I559)/(T559*(1-AN559)*(1-Settings!$B$17))),"")</f>
        <v/>
      </c>
      <c r="L559" s="101">
        <f>IFERROR(IF(T559="","",(T559*(1-AO559)*(1-Settings!$C$17)-I559)/(T559*(1-AO559)*(1-Settings!$C$17))),"")</f>
        <v/>
      </c>
      <c r="M559" s="101">
        <f>IFERROR(IF(T559="","",(T559*(1-AP559)*(1-Settings!$D$17)-I559)/(T559*(1-AP559)*(1-Settings!$D$17))),"")</f>
        <v/>
      </c>
      <c r="N559" s="101">
        <f>IFERROR(IF(T559="","",(T559*(1-AQ559)*(1-Settings!$F$17)-I559)/(T559*(1-AQ559)*(1-Settings!$F$17))),"")</f>
        <v/>
      </c>
      <c r="O559" s="101">
        <f>IFERROR(IF(T559="","",(T559*(1-AR559)*(1-Settings!$G$17)-I559)/(T559*(1-AR559)*(1-Settings!$G$17))),"")</f>
        <v/>
      </c>
      <c r="P559" s="101">
        <f>IFERROR(IF(T559="","",(T559*(1-AS559)*(1-Settings!$H$17)-I559)/(T559*(1-AS559)*(1-Settings!$H$17))),"")</f>
        <v/>
      </c>
      <c r="Q559" s="101">
        <f>IFERROR(IF(T559="","",(T559*(1-AT559)*(1-Settings!$I$68)*(1-Settings!$I$17)-I559)/(T559*(1-AT559)*(1-Settings!$I$68)*(1-Settings!$I$17))),"")</f>
        <v/>
      </c>
      <c r="R559" s="91">
        <f>IFERROR(IF(OR(I559="",Z559&gt;=1,Settings!$B$17&gt;=1,AN559&gt;=1),"",IF(MOD(ROUND(I559/(1-Z559)/(1-Settings!$B$17)/(1-AN559),0),10)=0,ROUND(I559/(1-Z559)/(1-Settings!$B$17)/(1-AN559),0)-1,IF(MOD(ROUND(I559/(1-Z559)/(1-Settings!$B$17)/(1-AN559),0),10)&lt;=5,FLOOR(ROUND(I559/(1-Z559)/(1-Settings!$B$17)/(1-AN559),0),10)+6,FLOOR(ROUND(I559/(1-Z559)/(1-Settings!$B$17)/(1-AN559),0),10)+9))),"")</f>
        <v/>
      </c>
      <c r="S559" s="92" t="n"/>
      <c r="T559" s="91">
        <f>IF(S559&lt;&gt;"", IF(MOD(S559,10)=0,S559-1,IF(MOD(S559,10)&lt;=5,FLOOR(S559,10)+6,FLOOR(S559,10)+9)), R559)</f>
        <v/>
      </c>
      <c r="U559" s="87" t="inlineStr">
        <is>
          <t>Основний</t>
        </is>
      </c>
      <c r="V559" s="88" t="n"/>
      <c r="W559" s="88" t="n"/>
      <c r="X559" s="89">
        <f>IFERROR(IF(OR(V559="",W559="",T559=""),"", IF(T559&gt;W559,"Дорогий",IF(T559&lt;V559,"Дешевий","У ринку"))),"")</f>
        <v/>
      </c>
      <c r="Y559" s="90" t="n"/>
      <c r="Z559" s="104">
        <f>CHOOSE(MATCH(IF($U559="","Основний",$U559),{"Трафіковий","Основний","Маржинальний","Сезонний","Стратегічний"},0),0.16,0.19,0.24,0.23,0.28)</f>
        <v/>
      </c>
      <c r="AA559" s="104">
        <f>CHOOSE(MATCH(IF($U559="","Основний",$U559),{"Трафіковий","Основний","Маржинальний","Сезонний","Стратегічний"},0),0.18,0.21,0.26,0.25,0.3)</f>
        <v/>
      </c>
      <c r="AB559" s="104">
        <f>CHOOSE(MATCH(IF($U559="","Основний",$U559),{"Трафіковий","Основний","Маржинальний","Сезонний","Стратегічний"},0),0.19,0.22,0.28,0.26,0.32)</f>
        <v/>
      </c>
      <c r="AC559" s="104">
        <f>CHOOSE(MATCH(IF($U559="","Основний",$U559),{"Трафіковий","Основний","Маржинальний","Сезонний","Стратегічний"},0),0.17,0.2,0.25,0.24,0.28)</f>
        <v/>
      </c>
      <c r="AD559" s="104">
        <f>CHOOSE(MATCH(IF($U559="","Основний",$U559),{"Трафіковий","Основний","Маржинальний","Сезонний","Стратегічний"},0),0.18,0.21,0.26,0.25,0.3)</f>
        <v/>
      </c>
      <c r="AE559" s="104">
        <f>CHOOSE(MATCH(IF($U559="","Основний",$U559),{"Трафіковий","Основний","Маржинальний","Сезонний","Стратегічний"},0),0.18,0.2,0.28,0.27,0.32)</f>
        <v/>
      </c>
      <c r="AF559" s="104">
        <f>CHOOSE(MATCH(IF($U559="","Основний",$U559),{"Трафіковий","Основний","Маржинальний","Сезонний","Стратегічний"},0),0.15,0.175,0.22,0.21,0.25)</f>
        <v/>
      </c>
      <c r="AG559" s="104">
        <f>CHOOSE(MATCH(IF($U559="","Основний",$U559),{"Трафіковий","Основний","Маржинальний","Сезонний","Стратегічний"},0),0.13,0.16,0.21,0.2,0.25)</f>
        <v/>
      </c>
      <c r="AH559" s="104">
        <f>CHOOSE(MATCH(IF($U559="","Основний",$U559),{"Трафіковий","Основний","Маржинальний","Сезонний","Стратегічний"},0),0.15,0.18,0.23,0.22,0.27)</f>
        <v/>
      </c>
      <c r="AI559" s="104">
        <f>CHOOSE(MATCH(IF($U559="","Основний",$U559),{"Трафіковий","Основний","Маржинальний","Сезонний","Стратегічний"},0),0.16,0.19,0.25,0.23,0.29)</f>
        <v/>
      </c>
      <c r="AJ559" s="104">
        <f>CHOOSE(MATCH(IF($U559="","Основний",$U559),{"Трафіковий","Основний","Маржинальний","Сезонний","Стратегічний"},0),0.14,0.17,0.22,0.21,0.25)</f>
        <v/>
      </c>
      <c r="AK559" s="104">
        <f>CHOOSE(MATCH(IF($U559="","Основний",$U559),{"Трафіковий","Основний","Маржинальний","Сезонний","Стратегічний"},0),0.15,0.18,0.23,0.22,0.27)</f>
        <v/>
      </c>
      <c r="AL559" s="104">
        <f>CHOOSE(MATCH(IF($U559="","Основний",$U559),{"Трафіковий","Основний","Маржинальний","Сезонний","Стратегічний"},0),0.15,0.17,0.25,0.24,0.29)</f>
        <v/>
      </c>
      <c r="AM559" s="104">
        <f>CHOOSE(MATCH(IF($U559="","Основний",$U559),{"Трафіковий","Основний","Маржинальний","Сезонний","Стратегічний"},0),0.12,0.145,0.19,0.18,0.22)</f>
        <v/>
      </c>
      <c r="AN559" s="157">
        <f>CHOOSE(MATCH(IF($U559="","Основний",$U559),{"Трафіковий","Основний","Маржинальний","Сезонний","Стратегічний"},0),Settings!$B$78,Settings!$B$80,Settings!$B$82,Settings!$B$84,Settings!$B$86)</f>
        <v/>
      </c>
      <c r="AO559" s="157">
        <f>CHOOSE(MATCH(IF($U559="","Основний",$U559),{"Трафіковий","Основний","Маржинальний","Сезонний","Стратегічний"},0),Settings!$C$78,Settings!$C$80,Settings!$C$82,Settings!$C$84,Settings!$C$86)</f>
        <v/>
      </c>
      <c r="AP559" s="157">
        <f>CHOOSE(MATCH(IF($U559="","Основний",$U559),{"Трафіковий","Основний","Маржинальний","Сезонний","Стратегічний"},0),Settings!$D$78,Settings!$D$80,Settings!$D$82,Settings!$D$84,Settings!$D$86)</f>
        <v/>
      </c>
      <c r="AQ559" s="157">
        <f>CHOOSE(MATCH(IF($U559="","Основний",$U559),{"Трафіковий","Основний","Маржинальний","Сезонний","Стратегічний"},0),Settings!$F$78,Settings!$F$80,Settings!$F$82,Settings!$F$84,Settings!$F$86)</f>
        <v/>
      </c>
      <c r="AR559" s="157">
        <f>CHOOSE(MATCH(IF($U559="","Основний",$U559),{"Трафіковий","Основний","Маржинальний","Сезонний","Стратегічний"},0),Settings!$G$78,Settings!$G$80,Settings!$G$82,Settings!$G$84,Settings!$G$86)</f>
        <v/>
      </c>
      <c r="AS559" s="157">
        <f>CHOOSE(MATCH(IF($U559="","Основний",$U559),{"Трафіковий","Основний","Маржинальний","Сезонний","Стратегічний"},0),Settings!$H$78,Settings!$H$80,Settings!$H$82,Settings!$H$84,Settings!$H$86)</f>
        <v/>
      </c>
      <c r="AT559" s="157">
        <f>CHOOSE(MATCH(IF($U559="","Основний",$U559),{"Трафіковий","Основний","Маржинальний","Сезонний","Стратегічний"},0),Settings!$I$78,Settings!$I$80,Settings!$I$82,Settings!$I$84,Settings!$I$86)</f>
        <v/>
      </c>
      <c r="AU559" s="171" t="n"/>
      <c r="AV559" t="n">
        <v>1.35</v>
      </c>
    </row>
    <row r="560">
      <c r="A560" s="28" t="n"/>
      <c r="B560" s="29" t="inlineStr">
        <is>
          <t>E0121</t>
        </is>
      </c>
      <c r="C560" s="29" t="inlineStr">
        <is>
          <t>THERMOMETER WIRED E0121</t>
        </is>
      </c>
      <c r="D560" s="29" t="inlineStr">
        <is>
          <t>Метеостанції та термометри</t>
        </is>
      </c>
      <c r="E560" s="28" t="inlineStr">
        <is>
          <t>PC</t>
        </is>
      </c>
      <c r="F560" s="93" t="n">
        <v>5.029</v>
      </c>
      <c r="G560" s="30" t="n">
        <v>9025804089</v>
      </c>
      <c r="H560" s="31" t="n">
        <v>1.35</v>
      </c>
      <c r="I560" s="84">
        <f>IFERROR(F560*Settings!$B$2*H560*IF(AND(ISNUMBER(E560),E560&gt;1),E560,1),"")</f>
        <v/>
      </c>
      <c r="J560" s="32">
        <f>Settings!$B$66</f>
        <v/>
      </c>
      <c r="K560" s="95">
        <f>IFERROR(IF(T560="","",(T560*(1-AN560)*(1-Settings!$B$17)-I560)/(T560*(1-AN560)*(1-Settings!$B$17))),"")</f>
        <v/>
      </c>
      <c r="L560" s="101">
        <f>IFERROR(IF(T560="","",(T560*(1-AO560)*(1-Settings!$C$17)-I560)/(T560*(1-AO560)*(1-Settings!$C$17))),"")</f>
        <v/>
      </c>
      <c r="M560" s="101">
        <f>IFERROR(IF(T560="","",(T560*(1-AP560)*(1-Settings!$D$17)-I560)/(T560*(1-AP560)*(1-Settings!$D$17))),"")</f>
        <v/>
      </c>
      <c r="N560" s="101">
        <f>IFERROR(IF(T560="","",(T560*(1-AQ560)*(1-Settings!$F$17)-I560)/(T560*(1-AQ560)*(1-Settings!$F$17))),"")</f>
        <v/>
      </c>
      <c r="O560" s="101">
        <f>IFERROR(IF(T560="","",(T560*(1-AR560)*(1-Settings!$G$17)-I560)/(T560*(1-AR560)*(1-Settings!$G$17))),"")</f>
        <v/>
      </c>
      <c r="P560" s="101">
        <f>IFERROR(IF(T560="","",(T560*(1-AS560)*(1-Settings!$H$17)-I560)/(T560*(1-AS560)*(1-Settings!$H$17))),"")</f>
        <v/>
      </c>
      <c r="Q560" s="101">
        <f>IFERROR(IF(T560="","",(T560*(1-AT560)*(1-Settings!$I$68)*(1-Settings!$I$17)-I560)/(T560*(1-AT560)*(1-Settings!$I$68)*(1-Settings!$I$17))),"")</f>
        <v/>
      </c>
      <c r="R560" s="91">
        <f>IFERROR(IF(OR(I560="",Z560&gt;=1,Settings!$B$17&gt;=1,AN560&gt;=1),"",IF(MOD(ROUND(I560/(1-Z560)/(1-Settings!$B$17)/(1-AN560),0),10)=0,ROUND(I560/(1-Z560)/(1-Settings!$B$17)/(1-AN560),0)-1,IF(MOD(ROUND(I560/(1-Z560)/(1-Settings!$B$17)/(1-AN560),0),10)&lt;=5,FLOOR(ROUND(I560/(1-Z560)/(1-Settings!$B$17)/(1-AN560),0),10)+6,FLOOR(ROUND(I560/(1-Z560)/(1-Settings!$B$17)/(1-AN560),0),10)+9))),"")</f>
        <v/>
      </c>
      <c r="S560" s="92" t="n">
        <v>650</v>
      </c>
      <c r="T560" s="91">
        <f>IF(S560&lt;&gt;"", IF(MOD(S560,10)=0,S560-1,IF(MOD(S560,10)&lt;=5,FLOOR(S560,10)+6,FLOOR(S560,10)+9)), R560)</f>
        <v/>
      </c>
      <c r="U560" s="87" t="inlineStr">
        <is>
          <t>Основний</t>
        </is>
      </c>
      <c r="V560" s="88" t="n"/>
      <c r="W560" s="88" t="n"/>
      <c r="X560" s="89">
        <f>IFERROR(IF(OR(V560="",W560="",T560=""),"", IF(T560&gt;W560,"Дорогий",IF(T560&lt;V560,"Дешевий","У ринку"))),"")</f>
        <v/>
      </c>
      <c r="Y560" s="90" t="n"/>
      <c r="Z560" s="104">
        <f>CHOOSE(MATCH(IF($U560="","Основний",$U560),{"Трафіковий","Основний","Маржинальний","Сезонний","Стратегічний"},0),0.16,0.19,0.24,0.23,0.28)</f>
        <v/>
      </c>
      <c r="AA560" s="104">
        <f>CHOOSE(MATCH(IF($U560="","Основний",$U560),{"Трафіковий","Основний","Маржинальний","Сезонний","Стратегічний"},0),0.18,0.21,0.26,0.25,0.3)</f>
        <v/>
      </c>
      <c r="AB560" s="104">
        <f>CHOOSE(MATCH(IF($U560="","Основний",$U560),{"Трафіковий","Основний","Маржинальний","Сезонний","Стратегічний"},0),0.19,0.22,0.28,0.26,0.32)</f>
        <v/>
      </c>
      <c r="AC560" s="104">
        <f>CHOOSE(MATCH(IF($U560="","Основний",$U560),{"Трафіковий","Основний","Маржинальний","Сезонний","Стратегічний"},0),0.17,0.2,0.25,0.24,0.28)</f>
        <v/>
      </c>
      <c r="AD560" s="104">
        <f>CHOOSE(MATCH(IF($U560="","Основний",$U560),{"Трафіковий","Основний","Маржинальний","Сезонний","Стратегічний"},0),0.18,0.21,0.26,0.25,0.3)</f>
        <v/>
      </c>
      <c r="AE560" s="104">
        <f>CHOOSE(MATCH(IF($U560="","Основний",$U560),{"Трафіковий","Основний","Маржинальний","Сезонний","Стратегічний"},0),0.18,0.2,0.28,0.27,0.32)</f>
        <v/>
      </c>
      <c r="AF560" s="104">
        <f>CHOOSE(MATCH(IF($U560="","Основний",$U560),{"Трафіковий","Основний","Маржинальний","Сезонний","Стратегічний"},0),0.15,0.175,0.22,0.21,0.25)</f>
        <v/>
      </c>
      <c r="AG560" s="104">
        <f>CHOOSE(MATCH(IF($U560="","Основний",$U560),{"Трафіковий","Основний","Маржинальний","Сезонний","Стратегічний"},0),0.13,0.16,0.21,0.2,0.25)</f>
        <v/>
      </c>
      <c r="AH560" s="104">
        <f>CHOOSE(MATCH(IF($U560="","Основний",$U560),{"Трафіковий","Основний","Маржинальний","Сезонний","Стратегічний"},0),0.15,0.18,0.23,0.22,0.27)</f>
        <v/>
      </c>
      <c r="AI560" s="104">
        <f>CHOOSE(MATCH(IF($U560="","Основний",$U560),{"Трафіковий","Основний","Маржинальний","Сезонний","Стратегічний"},0),0.16,0.19,0.25,0.23,0.29)</f>
        <v/>
      </c>
      <c r="AJ560" s="104">
        <f>CHOOSE(MATCH(IF($U560="","Основний",$U560),{"Трафіковий","Основний","Маржинальний","Сезонний","Стратегічний"},0),0.14,0.17,0.22,0.21,0.25)</f>
        <v/>
      </c>
      <c r="AK560" s="104">
        <f>CHOOSE(MATCH(IF($U560="","Основний",$U560),{"Трафіковий","Основний","Маржинальний","Сезонний","Стратегічний"},0),0.15,0.18,0.23,0.22,0.27)</f>
        <v/>
      </c>
      <c r="AL560" s="104">
        <f>CHOOSE(MATCH(IF($U560="","Основний",$U560),{"Трафіковий","Основний","Маржинальний","Сезонний","Стратегічний"},0),0.15,0.17,0.25,0.24,0.29)</f>
        <v/>
      </c>
      <c r="AM560" s="104">
        <f>CHOOSE(MATCH(IF($U560="","Основний",$U560),{"Трафіковий","Основний","Маржинальний","Сезонний","Стратегічний"},0),0.12,0.145,0.19,0.18,0.22)</f>
        <v/>
      </c>
      <c r="AN560" s="157">
        <f>CHOOSE(MATCH(IF($U560="","Основний",$U560),{"Трафіковий","Основний","Маржинальний","Сезонний","Стратегічний"},0),Settings!$B$78,Settings!$B$80,Settings!$B$82,Settings!$B$84,Settings!$B$86)</f>
        <v/>
      </c>
      <c r="AO560" s="157">
        <f>CHOOSE(MATCH(IF($U560="","Основний",$U560),{"Трафіковий","Основний","Маржинальний","Сезонний","Стратегічний"},0),Settings!$C$78,Settings!$C$80,Settings!$C$82,Settings!$C$84,Settings!$C$86)</f>
        <v/>
      </c>
      <c r="AP560" s="157">
        <f>CHOOSE(MATCH(IF($U560="","Основний",$U560),{"Трафіковий","Основний","Маржинальний","Сезонний","Стратегічний"},0),Settings!$D$78,Settings!$D$80,Settings!$D$82,Settings!$D$84,Settings!$D$86)</f>
        <v/>
      </c>
      <c r="AQ560" s="157">
        <f>CHOOSE(MATCH(IF($U560="","Основний",$U560),{"Трафіковий","Основний","Маржинальний","Сезонний","Стратегічний"},0),Settings!$F$78,Settings!$F$80,Settings!$F$82,Settings!$F$84,Settings!$F$86)</f>
        <v/>
      </c>
      <c r="AR560" s="157">
        <f>CHOOSE(MATCH(IF($U560="","Основний",$U560),{"Трафіковий","Основний","Маржинальний","Сезонний","Стратегічний"},0),Settings!$G$78,Settings!$G$80,Settings!$G$82,Settings!$G$84,Settings!$G$86)</f>
        <v/>
      </c>
      <c r="AS560" s="157">
        <f>CHOOSE(MATCH(IF($U560="","Основний",$U560),{"Трафіковий","Основний","Маржинальний","Сезонний","Стратегічний"},0),Settings!$H$78,Settings!$H$80,Settings!$H$82,Settings!$H$84,Settings!$H$86)</f>
        <v/>
      </c>
      <c r="AT560" s="157">
        <f>CHOOSE(MATCH(IF($U560="","Основний",$U560),{"Трафіковий","Основний","Маржинальний","Сезонний","Стратегічний"},0),Settings!$I$78,Settings!$I$80,Settings!$I$82,Settings!$I$84,Settings!$I$86)</f>
        <v/>
      </c>
      <c r="AU560" s="171" t="n"/>
      <c r="AV560" t="n">
        <v>1.35</v>
      </c>
    </row>
    <row r="561">
      <c r="A561" s="33" t="n"/>
      <c r="B561" s="34" t="inlineStr">
        <is>
          <t>E0422</t>
        </is>
      </c>
      <c r="C561" s="34" t="inlineStr">
        <is>
          <t>THERMOMETER WIRED E0422</t>
        </is>
      </c>
      <c r="D561" s="34" t="inlineStr">
        <is>
          <t>Метеостанції та термометри</t>
        </is>
      </c>
      <c r="E561" s="33" t="inlineStr">
        <is>
          <t>PC</t>
        </is>
      </c>
      <c r="F561" s="94" t="n">
        <v>4.163</v>
      </c>
      <c r="G561" s="35" t="n">
        <v>9025190090</v>
      </c>
      <c r="H561" s="31" t="n">
        <v>1.4</v>
      </c>
      <c r="I561" s="84">
        <f>IFERROR(F561*Settings!$B$2*H561*IF(AND(ISNUMBER(E561),E561&gt;1),E561,1),"")</f>
        <v/>
      </c>
      <c r="J561" s="32">
        <f>Settings!$B$66</f>
        <v/>
      </c>
      <c r="K561" s="95">
        <f>IFERROR(IF(T561="","",(T561*(1-AN561)*(1-Settings!$B$17)-I561)/(T561*(1-AN561)*(1-Settings!$B$17))),"")</f>
        <v/>
      </c>
      <c r="L561" s="101">
        <f>IFERROR(IF(T561="","",(T561*(1-AO561)*(1-Settings!$C$17)-I561)/(T561*(1-AO561)*(1-Settings!$C$17))),"")</f>
        <v/>
      </c>
      <c r="M561" s="101">
        <f>IFERROR(IF(T561="","",(T561*(1-AP561)*(1-Settings!$D$17)-I561)/(T561*(1-AP561)*(1-Settings!$D$17))),"")</f>
        <v/>
      </c>
      <c r="N561" s="101">
        <f>IFERROR(IF(T561="","",(T561*(1-AQ561)*(1-Settings!$F$17)-I561)/(T561*(1-AQ561)*(1-Settings!$F$17))),"")</f>
        <v/>
      </c>
      <c r="O561" s="101">
        <f>IFERROR(IF(T561="","",(T561*(1-AR561)*(1-Settings!$G$17)-I561)/(T561*(1-AR561)*(1-Settings!$G$17))),"")</f>
        <v/>
      </c>
      <c r="P561" s="101">
        <f>IFERROR(IF(T561="","",(T561*(1-AS561)*(1-Settings!$H$17)-I561)/(T561*(1-AS561)*(1-Settings!$H$17))),"")</f>
        <v/>
      </c>
      <c r="Q561" s="101">
        <f>IFERROR(IF(T561="","",(T561*(1-AT561)*(1-Settings!$I$68)*(1-Settings!$I$17)-I561)/(T561*(1-AT561)*(1-Settings!$I$68)*(1-Settings!$I$17))),"")</f>
        <v/>
      </c>
      <c r="R561" s="91">
        <f>IFERROR(IF(OR(I561="",Z561&gt;=1,Settings!$B$17&gt;=1,AN561&gt;=1),"",IF(MOD(ROUND(I561/(1-Z561)/(1-Settings!$B$17)/(1-AN561),0),10)=0,ROUND(I561/(1-Z561)/(1-Settings!$B$17)/(1-AN561),0)-1,IF(MOD(ROUND(I561/(1-Z561)/(1-Settings!$B$17)/(1-AN561),0),10)&lt;=5,FLOOR(ROUND(I561/(1-Z561)/(1-Settings!$B$17)/(1-AN561),0),10)+6,FLOOR(ROUND(I561/(1-Z561)/(1-Settings!$B$17)/(1-AN561),0),10)+9))),"")</f>
        <v/>
      </c>
      <c r="S561" s="174" t="n"/>
      <c r="T561" s="91">
        <f>IF(S561&lt;&gt;"", IF(MOD(S561,10)=0,S561-1,IF(MOD(S561,10)&lt;=5,FLOOR(S561,10)+6,FLOOR(S561,10)+9)), R561)</f>
        <v/>
      </c>
      <c r="U561" s="87" t="inlineStr">
        <is>
          <t>Основний</t>
        </is>
      </c>
      <c r="V561" s="88" t="n"/>
      <c r="W561" s="88" t="n"/>
      <c r="X561" s="89">
        <f>IFERROR(IF(OR(V561="",W561="",T561=""),"", IF(T561&gt;W561,"Дорогий",IF(T561&lt;V561,"Дешевий","У ринку"))),"")</f>
        <v/>
      </c>
      <c r="Y561" s="90" t="n"/>
      <c r="Z561" s="104">
        <f>CHOOSE(MATCH(IF($U561="","Основний",$U561),{"Трафіковий","Основний","Маржинальний","Сезонний","Стратегічний"},0),0.16,0.19,0.24,0.23,0.28)</f>
        <v/>
      </c>
      <c r="AA561" s="104">
        <f>CHOOSE(MATCH(IF($U561="","Основний",$U561),{"Трафіковий","Основний","Маржинальний","Сезонний","Стратегічний"},0),0.18,0.21,0.26,0.25,0.3)</f>
        <v/>
      </c>
      <c r="AB561" s="104">
        <f>CHOOSE(MATCH(IF($U561="","Основний",$U561),{"Трафіковий","Основний","Маржинальний","Сезонний","Стратегічний"},0),0.19,0.22,0.28,0.26,0.32)</f>
        <v/>
      </c>
      <c r="AC561" s="104">
        <f>CHOOSE(MATCH(IF($U561="","Основний",$U561),{"Трафіковий","Основний","Маржинальний","Сезонний","Стратегічний"},0),0.17,0.2,0.25,0.24,0.28)</f>
        <v/>
      </c>
      <c r="AD561" s="104">
        <f>CHOOSE(MATCH(IF($U561="","Основний",$U561),{"Трафіковий","Основний","Маржинальний","Сезонний","Стратегічний"},0),0.18,0.21,0.26,0.25,0.3)</f>
        <v/>
      </c>
      <c r="AE561" s="104">
        <f>CHOOSE(MATCH(IF($U561="","Основний",$U561),{"Трафіковий","Основний","Маржинальний","Сезонний","Стратегічний"},0),0.18,0.2,0.28,0.27,0.32)</f>
        <v/>
      </c>
      <c r="AF561" s="104">
        <f>CHOOSE(MATCH(IF($U561="","Основний",$U561),{"Трафіковий","Основний","Маржинальний","Сезонний","Стратегічний"},0),0.15,0.175,0.22,0.21,0.25)</f>
        <v/>
      </c>
      <c r="AG561" s="104">
        <f>CHOOSE(MATCH(IF($U561="","Основний",$U561),{"Трафіковий","Основний","Маржинальний","Сезонний","Стратегічний"},0),0.13,0.16,0.21,0.2,0.25)</f>
        <v/>
      </c>
      <c r="AH561" s="104">
        <f>CHOOSE(MATCH(IF($U561="","Основний",$U561),{"Трафіковий","Основний","Маржинальний","Сезонний","Стратегічний"},0),0.15,0.18,0.23,0.22,0.27)</f>
        <v/>
      </c>
      <c r="AI561" s="104">
        <f>CHOOSE(MATCH(IF($U561="","Основний",$U561),{"Трафіковий","Основний","Маржинальний","Сезонний","Стратегічний"},0),0.16,0.19,0.25,0.23,0.29)</f>
        <v/>
      </c>
      <c r="AJ561" s="104">
        <f>CHOOSE(MATCH(IF($U561="","Основний",$U561),{"Трафіковий","Основний","Маржинальний","Сезонний","Стратегічний"},0),0.14,0.17,0.22,0.21,0.25)</f>
        <v/>
      </c>
      <c r="AK561" s="104">
        <f>CHOOSE(MATCH(IF($U561="","Основний",$U561),{"Трафіковий","Основний","Маржинальний","Сезонний","Стратегічний"},0),0.15,0.18,0.23,0.22,0.27)</f>
        <v/>
      </c>
      <c r="AL561" s="104">
        <f>CHOOSE(MATCH(IF($U561="","Основний",$U561),{"Трафіковий","Основний","Маржинальний","Сезонний","Стратегічний"},0),0.15,0.17,0.25,0.24,0.29)</f>
        <v/>
      </c>
      <c r="AM561" s="104">
        <f>CHOOSE(MATCH(IF($U561="","Основний",$U561),{"Трафіковий","Основний","Маржинальний","Сезонний","Стратегічний"},0),0.12,0.145,0.19,0.18,0.22)</f>
        <v/>
      </c>
      <c r="AN561" s="157">
        <f>CHOOSE(MATCH(IF($U561="","Основний",$U561),{"Трафіковий","Основний","Маржинальний","Сезонний","Стратегічний"},0),Settings!$B$78,Settings!$B$80,Settings!$B$82,Settings!$B$84,Settings!$B$86)</f>
        <v/>
      </c>
      <c r="AO561" s="157">
        <f>CHOOSE(MATCH(IF($U561="","Основний",$U561),{"Трафіковий","Основний","Маржинальний","Сезонний","Стратегічний"},0),Settings!$C$78,Settings!$C$80,Settings!$C$82,Settings!$C$84,Settings!$C$86)</f>
        <v/>
      </c>
      <c r="AP561" s="157">
        <f>CHOOSE(MATCH(IF($U561="","Основний",$U561),{"Трафіковий","Основний","Маржинальний","Сезонний","Стратегічний"},0),Settings!$D$78,Settings!$D$80,Settings!$D$82,Settings!$D$84,Settings!$D$86)</f>
        <v/>
      </c>
      <c r="AQ561" s="157">
        <f>CHOOSE(MATCH(IF($U561="","Основний",$U561),{"Трафіковий","Основний","Маржинальний","Сезонний","Стратегічний"},0),Settings!$F$78,Settings!$F$80,Settings!$F$82,Settings!$F$84,Settings!$F$86)</f>
        <v/>
      </c>
      <c r="AR561" s="157">
        <f>CHOOSE(MATCH(IF($U561="","Основний",$U561),{"Трафіковий","Основний","Маржинальний","Сезонний","Стратегічний"},0),Settings!$G$78,Settings!$G$80,Settings!$G$82,Settings!$G$84,Settings!$G$86)</f>
        <v/>
      </c>
      <c r="AS561" s="157">
        <f>CHOOSE(MATCH(IF($U561="","Основний",$U561),{"Трафіковий","Основний","Маржинальний","Сезонний","Стратегічний"},0),Settings!$H$78,Settings!$H$80,Settings!$H$82,Settings!$H$84,Settings!$H$86)</f>
        <v/>
      </c>
      <c r="AT561" s="157">
        <f>CHOOSE(MATCH(IF($U561="","Основний",$U561),{"Трафіковий","Основний","Маржинальний","Сезонний","Стратегічний"},0),Settings!$I$78,Settings!$I$80,Settings!$I$82,Settings!$I$84,Settings!$I$86)</f>
        <v/>
      </c>
      <c r="AU561" s="171" t="n"/>
      <c r="AV561" t="n">
        <v>1.35</v>
      </c>
    </row>
    <row r="562">
      <c r="A562" s="28" t="n"/>
      <c r="B562" s="29" t="inlineStr">
        <is>
          <t>E0114N</t>
        </is>
      </c>
      <c r="C562" s="29" t="inlineStr">
        <is>
          <t>THERMO-HYGROMETER E0114N</t>
        </is>
      </c>
      <c r="D562" s="29" t="inlineStr">
        <is>
          <t>Метеостанції та термометри</t>
        </is>
      </c>
      <c r="E562" s="28" t="inlineStr">
        <is>
          <t>PC</t>
        </is>
      </c>
      <c r="F562" s="93" t="n">
        <v>4.437</v>
      </c>
      <c r="G562" s="30" t="n">
        <v>9025804089</v>
      </c>
      <c r="H562" s="31" t="n">
        <v>1.35</v>
      </c>
      <c r="I562" s="84">
        <f>IFERROR(F562*Settings!$B$2*H562*IF(AND(ISNUMBER(E562),E562&gt;1),E562,1),"")</f>
        <v/>
      </c>
      <c r="J562" s="32">
        <f>Settings!$B$66</f>
        <v/>
      </c>
      <c r="K562" s="95">
        <f>IFERROR(IF(T562="","",(T562*(1-AN562)*(1-Settings!$B$17)-I562)/(T562*(1-AN562)*(1-Settings!$B$17))),"")</f>
        <v/>
      </c>
      <c r="L562" s="101">
        <f>IFERROR(IF(T562="","",(T562*(1-AO562)*(1-Settings!$C$17)-I562)/(T562*(1-AO562)*(1-Settings!$C$17))),"")</f>
        <v/>
      </c>
      <c r="M562" s="101">
        <f>IFERROR(IF(T562="","",(T562*(1-AP562)*(1-Settings!$D$17)-I562)/(T562*(1-AP562)*(1-Settings!$D$17))),"")</f>
        <v/>
      </c>
      <c r="N562" s="101">
        <f>IFERROR(IF(T562="","",(T562*(1-AQ562)*(1-Settings!$F$17)-I562)/(T562*(1-AQ562)*(1-Settings!$F$17))),"")</f>
        <v/>
      </c>
      <c r="O562" s="101">
        <f>IFERROR(IF(T562="","",(T562*(1-AR562)*(1-Settings!$G$17)-I562)/(T562*(1-AR562)*(1-Settings!$G$17))),"")</f>
        <v/>
      </c>
      <c r="P562" s="101">
        <f>IFERROR(IF(T562="","",(T562*(1-AS562)*(1-Settings!$H$17)-I562)/(T562*(1-AS562)*(1-Settings!$H$17))),"")</f>
        <v/>
      </c>
      <c r="Q562" s="101">
        <f>IFERROR(IF(T562="","",(T562*(1-AT562)*(1-Settings!$I$68)*(1-Settings!$I$17)-I562)/(T562*(1-AT562)*(1-Settings!$I$68)*(1-Settings!$I$17))),"")</f>
        <v/>
      </c>
      <c r="R562" s="91">
        <f>IFERROR(IF(OR(I562="",Z562&gt;=1,Settings!$B$17&gt;=1,AN562&gt;=1),"",IF(MOD(ROUND(I562/(1-Z562)/(1-Settings!$B$17)/(1-AN562),0),10)=0,ROUND(I562/(1-Z562)/(1-Settings!$B$17)/(1-AN562),0)-1,IF(MOD(ROUND(I562/(1-Z562)/(1-Settings!$B$17)/(1-AN562),0),10)&lt;=5,FLOOR(ROUND(I562/(1-Z562)/(1-Settings!$B$17)/(1-AN562),0),10)+6,FLOOR(ROUND(I562/(1-Z562)/(1-Settings!$B$17)/(1-AN562),0),10)+9))),"")</f>
        <v/>
      </c>
      <c r="S562" s="174" t="n"/>
      <c r="T562" s="91">
        <f>IF(S562&lt;&gt;"", IF(MOD(S562,10)=0,S562-1,IF(MOD(S562,10)&lt;=5,FLOOR(S562,10)+6,FLOOR(S562,10)+9)), R562)</f>
        <v/>
      </c>
      <c r="U562" s="87" t="inlineStr">
        <is>
          <t>Основний</t>
        </is>
      </c>
      <c r="V562" s="88" t="n"/>
      <c r="W562" s="88" t="n"/>
      <c r="X562" s="89">
        <f>IFERROR(IF(OR(V562="",W562="",T562=""),"", IF(T562&gt;W562,"Дорогий",IF(T562&lt;V562,"Дешевий","У ринку"))),"")</f>
        <v/>
      </c>
      <c r="Y562" s="90" t="n"/>
      <c r="Z562" s="104">
        <f>CHOOSE(MATCH(IF($U562="","Основний",$U562),{"Трафіковий","Основний","Маржинальний","Сезонний","Стратегічний"},0),0.16,0.19,0.24,0.23,0.28)</f>
        <v/>
      </c>
      <c r="AA562" s="104">
        <f>CHOOSE(MATCH(IF($U562="","Основний",$U562),{"Трафіковий","Основний","Маржинальний","Сезонний","Стратегічний"},0),0.18,0.21,0.26,0.25,0.3)</f>
        <v/>
      </c>
      <c r="AB562" s="104">
        <f>CHOOSE(MATCH(IF($U562="","Основний",$U562),{"Трафіковий","Основний","Маржинальний","Сезонний","Стратегічний"},0),0.19,0.22,0.28,0.26,0.32)</f>
        <v/>
      </c>
      <c r="AC562" s="104">
        <f>CHOOSE(MATCH(IF($U562="","Основний",$U562),{"Трафіковий","Основний","Маржинальний","Сезонний","Стратегічний"},0),0.17,0.2,0.25,0.24,0.28)</f>
        <v/>
      </c>
      <c r="AD562" s="104">
        <f>CHOOSE(MATCH(IF($U562="","Основний",$U562),{"Трафіковий","Основний","Маржинальний","Сезонний","Стратегічний"},0),0.18,0.21,0.26,0.25,0.3)</f>
        <v/>
      </c>
      <c r="AE562" s="104">
        <f>CHOOSE(MATCH(IF($U562="","Основний",$U562),{"Трафіковий","Основний","Маржинальний","Сезонний","Стратегічний"},0),0.18,0.2,0.28,0.27,0.32)</f>
        <v/>
      </c>
      <c r="AF562" s="104">
        <f>CHOOSE(MATCH(IF($U562="","Основний",$U562),{"Трафіковий","Основний","Маржинальний","Сезонний","Стратегічний"},0),0.15,0.175,0.22,0.21,0.25)</f>
        <v/>
      </c>
      <c r="AG562" s="104">
        <f>CHOOSE(MATCH(IF($U562="","Основний",$U562),{"Трафіковий","Основний","Маржинальний","Сезонний","Стратегічний"},0),0.13,0.16,0.21,0.2,0.25)</f>
        <v/>
      </c>
      <c r="AH562" s="104">
        <f>CHOOSE(MATCH(IF($U562="","Основний",$U562),{"Трафіковий","Основний","Маржинальний","Сезонний","Стратегічний"},0),0.15,0.18,0.23,0.22,0.27)</f>
        <v/>
      </c>
      <c r="AI562" s="104">
        <f>CHOOSE(MATCH(IF($U562="","Основний",$U562),{"Трафіковий","Основний","Маржинальний","Сезонний","Стратегічний"},0),0.16,0.19,0.25,0.23,0.29)</f>
        <v/>
      </c>
      <c r="AJ562" s="104">
        <f>CHOOSE(MATCH(IF($U562="","Основний",$U562),{"Трафіковий","Основний","Маржинальний","Сезонний","Стратегічний"},0),0.14,0.17,0.22,0.21,0.25)</f>
        <v/>
      </c>
      <c r="AK562" s="104">
        <f>CHOOSE(MATCH(IF($U562="","Основний",$U562),{"Трафіковий","Основний","Маржинальний","Сезонний","Стратегічний"},0),0.15,0.18,0.23,0.22,0.27)</f>
        <v/>
      </c>
      <c r="AL562" s="104">
        <f>CHOOSE(MATCH(IF($U562="","Основний",$U562),{"Трафіковий","Основний","Маржинальний","Сезонний","Стратегічний"},0),0.15,0.17,0.25,0.24,0.29)</f>
        <v/>
      </c>
      <c r="AM562" s="104">
        <f>CHOOSE(MATCH(IF($U562="","Основний",$U562),{"Трафіковий","Основний","Маржинальний","Сезонний","Стратегічний"},0),0.12,0.145,0.19,0.18,0.22)</f>
        <v/>
      </c>
      <c r="AN562" s="157">
        <f>CHOOSE(MATCH(IF($U562="","Основний",$U562),{"Трафіковий","Основний","Маржинальний","Сезонний","Стратегічний"},0),Settings!$B$78,Settings!$B$80,Settings!$B$82,Settings!$B$84,Settings!$B$86)</f>
        <v/>
      </c>
      <c r="AO562" s="157">
        <f>CHOOSE(MATCH(IF($U562="","Основний",$U562),{"Трафіковий","Основний","Маржинальний","Сезонний","Стратегічний"},0),Settings!$C$78,Settings!$C$80,Settings!$C$82,Settings!$C$84,Settings!$C$86)</f>
        <v/>
      </c>
      <c r="AP562" s="157">
        <f>CHOOSE(MATCH(IF($U562="","Основний",$U562),{"Трафіковий","Основний","Маржинальний","Сезонний","Стратегічний"},0),Settings!$D$78,Settings!$D$80,Settings!$D$82,Settings!$D$84,Settings!$D$86)</f>
        <v/>
      </c>
      <c r="AQ562" s="157">
        <f>CHOOSE(MATCH(IF($U562="","Основний",$U562),{"Трафіковий","Основний","Маржинальний","Сезонний","Стратегічний"},0),Settings!$F$78,Settings!$F$80,Settings!$F$82,Settings!$F$84,Settings!$F$86)</f>
        <v/>
      </c>
      <c r="AR562" s="157">
        <f>CHOOSE(MATCH(IF($U562="","Основний",$U562),{"Трафіковий","Основний","Маржинальний","Сезонний","Стратегічний"},0),Settings!$G$78,Settings!$G$80,Settings!$G$82,Settings!$G$84,Settings!$G$86)</f>
        <v/>
      </c>
      <c r="AS562" s="157">
        <f>CHOOSE(MATCH(IF($U562="","Основний",$U562),{"Трафіковий","Основний","Маржинальний","Сезонний","Стратегічний"},0),Settings!$H$78,Settings!$H$80,Settings!$H$82,Settings!$H$84,Settings!$H$86)</f>
        <v/>
      </c>
      <c r="AT562" s="157">
        <f>CHOOSE(MATCH(IF($U562="","Основний",$U562),{"Трафіковий","Основний","Маржинальний","Сезонний","Стратегічний"},0),Settings!$I$78,Settings!$I$80,Settings!$I$82,Settings!$I$84,Settings!$I$86)</f>
        <v/>
      </c>
      <c r="AU562" s="171" t="n"/>
      <c r="AV562" t="n">
        <v>1.35</v>
      </c>
    </row>
    <row r="563">
      <c r="A563" s="33" t="n"/>
      <c r="B563" s="34" t="inlineStr">
        <is>
          <t>E0129</t>
        </is>
      </c>
      <c r="C563" s="34" t="inlineStr">
        <is>
          <t>WIRELESS THERMOMETER E0129</t>
        </is>
      </c>
      <c r="D563" s="34" t="inlineStr">
        <is>
          <t>Метеостанції та термометри</t>
        </is>
      </c>
      <c r="E563" s="33" t="inlineStr">
        <is>
          <t>PC</t>
        </is>
      </c>
      <c r="F563" s="94" t="n">
        <v>7.487</v>
      </c>
      <c r="G563" s="35" t="n">
        <v>9025190090</v>
      </c>
      <c r="H563" s="31" t="n">
        <v>1.4</v>
      </c>
      <c r="I563" s="84">
        <f>IFERROR(F563*Settings!$B$2*H563*IF(AND(ISNUMBER(E563),E563&gt;1),E563,1),"")</f>
        <v/>
      </c>
      <c r="J563" s="32">
        <f>Settings!$B$66</f>
        <v/>
      </c>
      <c r="K563" s="95">
        <f>IFERROR(IF(T563="","",(T563*(1-AN563)*(1-Settings!$B$17)-I563)/(T563*(1-AN563)*(1-Settings!$B$17))),"")</f>
        <v/>
      </c>
      <c r="L563" s="101">
        <f>IFERROR(IF(T563="","",(T563*(1-AO563)*(1-Settings!$C$17)-I563)/(T563*(1-AO563)*(1-Settings!$C$17))),"")</f>
        <v/>
      </c>
      <c r="M563" s="101">
        <f>IFERROR(IF(T563="","",(T563*(1-AP563)*(1-Settings!$D$17)-I563)/(T563*(1-AP563)*(1-Settings!$D$17))),"")</f>
        <v/>
      </c>
      <c r="N563" s="101">
        <f>IFERROR(IF(T563="","",(T563*(1-AQ563)*(1-Settings!$F$17)-I563)/(T563*(1-AQ563)*(1-Settings!$F$17))),"")</f>
        <v/>
      </c>
      <c r="O563" s="101">
        <f>IFERROR(IF(T563="","",(T563*(1-AR563)*(1-Settings!$G$17)-I563)/(T563*(1-AR563)*(1-Settings!$G$17))),"")</f>
        <v/>
      </c>
      <c r="P563" s="101">
        <f>IFERROR(IF(T563="","",(T563*(1-AS563)*(1-Settings!$H$17)-I563)/(T563*(1-AS563)*(1-Settings!$H$17))),"")</f>
        <v/>
      </c>
      <c r="Q563" s="101">
        <f>IFERROR(IF(T563="","",(T563*(1-AT563)*(1-Settings!$I$68)*(1-Settings!$I$17)-I563)/(T563*(1-AT563)*(1-Settings!$I$68)*(1-Settings!$I$17))),"")</f>
        <v/>
      </c>
      <c r="R563" s="91">
        <f>IFERROR(IF(OR(I563="",Z563&gt;=1,Settings!$B$17&gt;=1,AN563&gt;=1),"",IF(MOD(ROUND(I563/(1-Z563)/(1-Settings!$B$17)/(1-AN563),0),10)=0,ROUND(I563/(1-Z563)/(1-Settings!$B$17)/(1-AN563),0)-1,IF(MOD(ROUND(I563/(1-Z563)/(1-Settings!$B$17)/(1-AN563),0),10)&lt;=5,FLOOR(ROUND(I563/(1-Z563)/(1-Settings!$B$17)/(1-AN563),0),10)+6,FLOOR(ROUND(I563/(1-Z563)/(1-Settings!$B$17)/(1-AN563),0),10)+9))),"")</f>
        <v/>
      </c>
      <c r="S563" s="174">
        <f>R563*0.95</f>
        <v/>
      </c>
      <c r="T563" s="91">
        <f>IF(S563&lt;&gt;"", IF(MOD(S563,10)=0,S563-1,IF(MOD(S563,10)&lt;=5,FLOOR(S563,10)+6,FLOOR(S563,10)+9)), R563)</f>
        <v/>
      </c>
      <c r="U563" s="87" t="inlineStr">
        <is>
          <t>Основний</t>
        </is>
      </c>
      <c r="V563" s="88" t="n"/>
      <c r="W563" s="88" t="n"/>
      <c r="X563" s="89">
        <f>IFERROR(IF(OR(V563="",W563="",T563=""),"", IF(T563&gt;W563,"Дорогий",IF(T563&lt;V563,"Дешевий","У ринку"))),"")</f>
        <v/>
      </c>
      <c r="Y563" s="90" t="n"/>
      <c r="Z563" s="104">
        <f>CHOOSE(MATCH(IF($U563="","Основний",$U563),{"Трафіковий","Основний","Маржинальний","Сезонний","Стратегічний"},0),0.16,0.19,0.24,0.23,0.28)</f>
        <v/>
      </c>
      <c r="AA563" s="104">
        <f>CHOOSE(MATCH(IF($U563="","Основний",$U563),{"Трафіковий","Основний","Маржинальний","Сезонний","Стратегічний"},0),0.18,0.21,0.26,0.25,0.3)</f>
        <v/>
      </c>
      <c r="AB563" s="104">
        <f>CHOOSE(MATCH(IF($U563="","Основний",$U563),{"Трафіковий","Основний","Маржинальний","Сезонний","Стратегічний"},0),0.19,0.22,0.28,0.26,0.32)</f>
        <v/>
      </c>
      <c r="AC563" s="104">
        <f>CHOOSE(MATCH(IF($U563="","Основний",$U563),{"Трафіковий","Основний","Маржинальний","Сезонний","Стратегічний"},0),0.17,0.2,0.25,0.24,0.28)</f>
        <v/>
      </c>
      <c r="AD563" s="104">
        <f>CHOOSE(MATCH(IF($U563="","Основний",$U563),{"Трафіковий","Основний","Маржинальний","Сезонний","Стратегічний"},0),0.18,0.21,0.26,0.25,0.3)</f>
        <v/>
      </c>
      <c r="AE563" s="104">
        <f>CHOOSE(MATCH(IF($U563="","Основний",$U563),{"Трафіковий","Основний","Маржинальний","Сезонний","Стратегічний"},0),0.18,0.2,0.28,0.27,0.32)</f>
        <v/>
      </c>
      <c r="AF563" s="104">
        <f>CHOOSE(MATCH(IF($U563="","Основний",$U563),{"Трафіковий","Основний","Маржинальний","Сезонний","Стратегічний"},0),0.15,0.175,0.22,0.21,0.25)</f>
        <v/>
      </c>
      <c r="AG563" s="104">
        <f>CHOOSE(MATCH(IF($U563="","Основний",$U563),{"Трафіковий","Основний","Маржинальний","Сезонний","Стратегічний"},0),0.13,0.16,0.21,0.2,0.25)</f>
        <v/>
      </c>
      <c r="AH563" s="104">
        <f>CHOOSE(MATCH(IF($U563="","Основний",$U563),{"Трафіковий","Основний","Маржинальний","Сезонний","Стратегічний"},0),0.15,0.18,0.23,0.22,0.27)</f>
        <v/>
      </c>
      <c r="AI563" s="104">
        <f>CHOOSE(MATCH(IF($U563="","Основний",$U563),{"Трафіковий","Основний","Маржинальний","Сезонний","Стратегічний"},0),0.16,0.19,0.25,0.23,0.29)</f>
        <v/>
      </c>
      <c r="AJ563" s="104">
        <f>CHOOSE(MATCH(IF($U563="","Основний",$U563),{"Трафіковий","Основний","Маржинальний","Сезонний","Стратегічний"},0),0.14,0.17,0.22,0.21,0.25)</f>
        <v/>
      </c>
      <c r="AK563" s="104">
        <f>CHOOSE(MATCH(IF($U563="","Основний",$U563),{"Трафіковий","Основний","Маржинальний","Сезонний","Стратегічний"},0),0.15,0.18,0.23,0.22,0.27)</f>
        <v/>
      </c>
      <c r="AL563" s="104">
        <f>CHOOSE(MATCH(IF($U563="","Основний",$U563),{"Трафіковий","Основний","Маржинальний","Сезонний","Стратегічний"},0),0.15,0.17,0.25,0.24,0.29)</f>
        <v/>
      </c>
      <c r="AM563" s="104">
        <f>CHOOSE(MATCH(IF($U563="","Основний",$U563),{"Трафіковий","Основний","Маржинальний","Сезонний","Стратегічний"},0),0.12,0.145,0.19,0.18,0.22)</f>
        <v/>
      </c>
      <c r="AN563" s="157">
        <f>CHOOSE(MATCH(IF($U563="","Основний",$U563),{"Трафіковий","Основний","Маржинальний","Сезонний","Стратегічний"},0),Settings!$B$78,Settings!$B$80,Settings!$B$82,Settings!$B$84,Settings!$B$86)</f>
        <v/>
      </c>
      <c r="AO563" s="157">
        <f>CHOOSE(MATCH(IF($U563="","Основний",$U563),{"Трафіковий","Основний","Маржинальний","Сезонний","Стратегічний"},0),Settings!$C$78,Settings!$C$80,Settings!$C$82,Settings!$C$84,Settings!$C$86)</f>
        <v/>
      </c>
      <c r="AP563" s="157">
        <f>CHOOSE(MATCH(IF($U563="","Основний",$U563),{"Трафіковий","Основний","Маржинальний","Сезонний","Стратегічний"},0),Settings!$D$78,Settings!$D$80,Settings!$D$82,Settings!$D$84,Settings!$D$86)</f>
        <v/>
      </c>
      <c r="AQ563" s="157">
        <f>CHOOSE(MATCH(IF($U563="","Основний",$U563),{"Трафіковий","Основний","Маржинальний","Сезонний","Стратегічний"},0),Settings!$F$78,Settings!$F$80,Settings!$F$82,Settings!$F$84,Settings!$F$86)</f>
        <v/>
      </c>
      <c r="AR563" s="157">
        <f>CHOOSE(MATCH(IF($U563="","Основний",$U563),{"Трафіковий","Основний","Маржинальний","Сезонний","Стратегічний"},0),Settings!$G$78,Settings!$G$80,Settings!$G$82,Settings!$G$84,Settings!$G$86)</f>
        <v/>
      </c>
      <c r="AS563" s="157">
        <f>CHOOSE(MATCH(IF($U563="","Основний",$U563),{"Трафіковий","Основний","Маржинальний","Сезонний","Стратегічний"},0),Settings!$H$78,Settings!$H$80,Settings!$H$82,Settings!$H$84,Settings!$H$86)</f>
        <v/>
      </c>
      <c r="AT563" s="157">
        <f>CHOOSE(MATCH(IF($U563="","Основний",$U563),{"Трафіковий","Основний","Маржинальний","Сезонний","Стратегічний"},0),Settings!$I$78,Settings!$I$80,Settings!$I$82,Settings!$I$84,Settings!$I$86)</f>
        <v/>
      </c>
      <c r="AU563" s="171" t="n"/>
      <c r="AV563" t="n">
        <v>1.35</v>
      </c>
    </row>
    <row r="564">
      <c r="A564" s="28" t="n"/>
      <c r="B564" s="29" t="inlineStr">
        <is>
          <t>E8636</t>
        </is>
      </c>
      <c r="C564" s="29" t="inlineStr">
        <is>
          <t>WIRELESS THERMOMETER E8636</t>
        </is>
      </c>
      <c r="D564" s="29" t="inlineStr">
        <is>
          <t>Метеостанції та термометри</t>
        </is>
      </c>
      <c r="E564" s="28" t="inlineStr">
        <is>
          <t>PC</t>
        </is>
      </c>
      <c r="F564" s="93" t="n">
        <v>9.023</v>
      </c>
      <c r="G564" s="30" t="n">
        <v>9025190090</v>
      </c>
      <c r="H564" s="31" t="n">
        <v>1.4</v>
      </c>
      <c r="I564" s="84">
        <f>IFERROR(F564*Settings!$B$2*H564*IF(AND(ISNUMBER(E564),E564&gt;1),E564,1),"")</f>
        <v/>
      </c>
      <c r="J564" s="32">
        <f>Settings!$B$66</f>
        <v/>
      </c>
      <c r="K564" s="95">
        <f>IFERROR(IF(T564="","",(T564*(1-AN564)*(1-Settings!$B$17)-I564)/(T564*(1-AN564)*(1-Settings!$B$17))),"")</f>
        <v/>
      </c>
      <c r="L564" s="101">
        <f>IFERROR(IF(T564="","",(T564*(1-AO564)*(1-Settings!$C$17)-I564)/(T564*(1-AO564)*(1-Settings!$C$17))),"")</f>
        <v/>
      </c>
      <c r="M564" s="101">
        <f>IFERROR(IF(T564="","",(T564*(1-AP564)*(1-Settings!$D$17)-I564)/(T564*(1-AP564)*(1-Settings!$D$17))),"")</f>
        <v/>
      </c>
      <c r="N564" s="101">
        <f>IFERROR(IF(T564="","",(T564*(1-AQ564)*(1-Settings!$F$17)-I564)/(T564*(1-AQ564)*(1-Settings!$F$17))),"")</f>
        <v/>
      </c>
      <c r="O564" s="101">
        <f>IFERROR(IF(T564="","",(T564*(1-AR564)*(1-Settings!$G$17)-I564)/(T564*(1-AR564)*(1-Settings!$G$17))),"")</f>
        <v/>
      </c>
      <c r="P564" s="101">
        <f>IFERROR(IF(T564="","",(T564*(1-AS564)*(1-Settings!$H$17)-I564)/(T564*(1-AS564)*(1-Settings!$H$17))),"")</f>
        <v/>
      </c>
      <c r="Q564" s="101">
        <f>IFERROR(IF(T564="","",(T564*(1-AT564)*(1-Settings!$I$68)*(1-Settings!$I$17)-I564)/(T564*(1-AT564)*(1-Settings!$I$68)*(1-Settings!$I$17))),"")</f>
        <v/>
      </c>
      <c r="R564" s="91">
        <f>IFERROR(IF(OR(I564="",Z564&gt;=1,Settings!$B$17&gt;=1,AN564&gt;=1),"",IF(MOD(ROUND(I564/(1-Z564)/(1-Settings!$B$17)/(1-AN564),0),10)=0,ROUND(I564/(1-Z564)/(1-Settings!$B$17)/(1-AN564),0)-1,IF(MOD(ROUND(I564/(1-Z564)/(1-Settings!$B$17)/(1-AN564),0),10)&lt;=5,FLOOR(ROUND(I564/(1-Z564)/(1-Settings!$B$17)/(1-AN564),0),10)+6,FLOOR(ROUND(I564/(1-Z564)/(1-Settings!$B$17)/(1-AN564),0),10)+9))),"")</f>
        <v/>
      </c>
      <c r="S564" s="174">
        <f>R564*0.95</f>
        <v/>
      </c>
      <c r="T564" s="91">
        <f>IF(S564&lt;&gt;"", IF(MOD(S564,10)=0,S564-1,IF(MOD(S564,10)&lt;=5,FLOOR(S564,10)+6,FLOOR(S564,10)+9)), R564)</f>
        <v/>
      </c>
      <c r="U564" s="87" t="inlineStr">
        <is>
          <t>Основний</t>
        </is>
      </c>
      <c r="V564" s="88" t="n"/>
      <c r="W564" s="88" t="n"/>
      <c r="X564" s="89">
        <f>IFERROR(IF(OR(V564="",W564="",T564=""),"", IF(T564&gt;W564,"Дорогий",IF(T564&lt;V564,"Дешевий","У ринку"))),"")</f>
        <v/>
      </c>
      <c r="Y564" s="90" t="n"/>
      <c r="Z564" s="104">
        <f>CHOOSE(MATCH(IF($U564="","Основний",$U564),{"Трафіковий","Основний","Маржинальний","Сезонний","Стратегічний"},0),0.16,0.19,0.24,0.23,0.28)</f>
        <v/>
      </c>
      <c r="AA564" s="104">
        <f>CHOOSE(MATCH(IF($U564="","Основний",$U564),{"Трафіковий","Основний","Маржинальний","Сезонний","Стратегічний"},0),0.18,0.21,0.26,0.25,0.3)</f>
        <v/>
      </c>
      <c r="AB564" s="104">
        <f>CHOOSE(MATCH(IF($U564="","Основний",$U564),{"Трафіковий","Основний","Маржинальний","Сезонний","Стратегічний"},0),0.19,0.22,0.28,0.26,0.32)</f>
        <v/>
      </c>
      <c r="AC564" s="104">
        <f>CHOOSE(MATCH(IF($U564="","Основний",$U564),{"Трафіковий","Основний","Маржинальний","Сезонний","Стратегічний"},0),0.17,0.2,0.25,0.24,0.28)</f>
        <v/>
      </c>
      <c r="AD564" s="104">
        <f>CHOOSE(MATCH(IF($U564="","Основний",$U564),{"Трафіковий","Основний","Маржинальний","Сезонний","Стратегічний"},0),0.18,0.21,0.26,0.25,0.3)</f>
        <v/>
      </c>
      <c r="AE564" s="104">
        <f>CHOOSE(MATCH(IF($U564="","Основний",$U564),{"Трафіковий","Основний","Маржинальний","Сезонний","Стратегічний"},0),0.18,0.2,0.28,0.27,0.32)</f>
        <v/>
      </c>
      <c r="AF564" s="104">
        <f>CHOOSE(MATCH(IF($U564="","Основний",$U564),{"Трафіковий","Основний","Маржинальний","Сезонний","Стратегічний"},0),0.15,0.175,0.22,0.21,0.25)</f>
        <v/>
      </c>
      <c r="AG564" s="104">
        <f>CHOOSE(MATCH(IF($U564="","Основний",$U564),{"Трафіковий","Основний","Маржинальний","Сезонний","Стратегічний"},0),0.13,0.16,0.21,0.2,0.25)</f>
        <v/>
      </c>
      <c r="AH564" s="104">
        <f>CHOOSE(MATCH(IF($U564="","Основний",$U564),{"Трафіковий","Основний","Маржинальний","Сезонний","Стратегічний"},0),0.15,0.18,0.23,0.22,0.27)</f>
        <v/>
      </c>
      <c r="AI564" s="104">
        <f>CHOOSE(MATCH(IF($U564="","Основний",$U564),{"Трафіковий","Основний","Маржинальний","Сезонний","Стратегічний"},0),0.16,0.19,0.25,0.23,0.29)</f>
        <v/>
      </c>
      <c r="AJ564" s="104">
        <f>CHOOSE(MATCH(IF($U564="","Основний",$U564),{"Трафіковий","Основний","Маржинальний","Сезонний","Стратегічний"},0),0.14,0.17,0.22,0.21,0.25)</f>
        <v/>
      </c>
      <c r="AK564" s="104">
        <f>CHOOSE(MATCH(IF($U564="","Основний",$U564),{"Трафіковий","Основний","Маржинальний","Сезонний","Стратегічний"},0),0.15,0.18,0.23,0.22,0.27)</f>
        <v/>
      </c>
      <c r="AL564" s="104">
        <f>CHOOSE(MATCH(IF($U564="","Основний",$U564),{"Трафіковий","Основний","Маржинальний","Сезонний","Стратегічний"},0),0.15,0.17,0.25,0.24,0.29)</f>
        <v/>
      </c>
      <c r="AM564" s="104">
        <f>CHOOSE(MATCH(IF($U564="","Основний",$U564),{"Трафіковий","Основний","Маржинальний","Сезонний","Стратегічний"},0),0.12,0.145,0.19,0.18,0.22)</f>
        <v/>
      </c>
      <c r="AN564" s="157">
        <f>CHOOSE(MATCH(IF($U564="","Основний",$U564),{"Трафіковий","Основний","Маржинальний","Сезонний","Стратегічний"},0),Settings!$B$78,Settings!$B$80,Settings!$B$82,Settings!$B$84,Settings!$B$86)</f>
        <v/>
      </c>
      <c r="AO564" s="157">
        <f>CHOOSE(MATCH(IF($U564="","Основний",$U564),{"Трафіковий","Основний","Маржинальний","Сезонний","Стратегічний"},0),Settings!$C$78,Settings!$C$80,Settings!$C$82,Settings!$C$84,Settings!$C$86)</f>
        <v/>
      </c>
      <c r="AP564" s="157">
        <f>CHOOSE(MATCH(IF($U564="","Основний",$U564),{"Трафіковий","Основний","Маржинальний","Сезонний","Стратегічний"},0),Settings!$D$78,Settings!$D$80,Settings!$D$82,Settings!$D$84,Settings!$D$86)</f>
        <v/>
      </c>
      <c r="AQ564" s="157">
        <f>CHOOSE(MATCH(IF($U564="","Основний",$U564),{"Трафіковий","Основний","Маржинальний","Сезонний","Стратегічний"},0),Settings!$F$78,Settings!$F$80,Settings!$F$82,Settings!$F$84,Settings!$F$86)</f>
        <v/>
      </c>
      <c r="AR564" s="157">
        <f>CHOOSE(MATCH(IF($U564="","Основний",$U564),{"Трафіковий","Основний","Маржинальний","Сезонний","Стратегічний"},0),Settings!$G$78,Settings!$G$80,Settings!$G$82,Settings!$G$84,Settings!$G$86)</f>
        <v/>
      </c>
      <c r="AS564" s="157">
        <f>CHOOSE(MATCH(IF($U564="","Основний",$U564),{"Трафіковий","Основний","Маржинальний","Сезонний","Стратегічний"},0),Settings!$H$78,Settings!$H$80,Settings!$H$82,Settings!$H$84,Settings!$H$86)</f>
        <v/>
      </c>
      <c r="AT564" s="157">
        <f>CHOOSE(MATCH(IF($U564="","Основний",$U564),{"Трафіковий","Основний","Маржинальний","Сезонний","Стратегічний"},0),Settings!$I$78,Settings!$I$80,Settings!$I$82,Settings!$I$84,Settings!$I$86)</f>
        <v/>
      </c>
      <c r="AU564" s="171" t="n"/>
      <c r="AV564" t="n">
        <v>1.35</v>
      </c>
    </row>
    <row r="565">
      <c r="A565" s="33" t="n"/>
      <c r="B565" s="34" t="inlineStr">
        <is>
          <t>E0345</t>
        </is>
      </c>
      <c r="C565" s="34" t="inlineStr">
        <is>
          <t>THERMO-HYGROMETER E0345</t>
        </is>
      </c>
      <c r="D565" s="34" t="inlineStr">
        <is>
          <t>Метеостанції та термометри</t>
        </is>
      </c>
      <c r="E565" s="33" t="inlineStr">
        <is>
          <t>PC</t>
        </is>
      </c>
      <c r="F565" s="94" t="n">
        <v>4.085</v>
      </c>
      <c r="G565" s="35" t="n">
        <v>9025804089</v>
      </c>
      <c r="H565" s="31" t="n">
        <v>1.35</v>
      </c>
      <c r="I565" s="84">
        <f>IFERROR(F565*Settings!$B$2*H565*IF(AND(ISNUMBER(E565),E565&gt;1),E565,1),"")</f>
        <v/>
      </c>
      <c r="J565" s="32">
        <f>Settings!$B$66</f>
        <v/>
      </c>
      <c r="K565" s="95">
        <f>IFERROR(IF(T565="","",(T565*(1-AN565)*(1-Settings!$B$17)-I565)/(T565*(1-AN565)*(1-Settings!$B$17))),"")</f>
        <v/>
      </c>
      <c r="L565" s="101">
        <f>IFERROR(IF(T565="","",(T565*(1-AO565)*(1-Settings!$C$17)-I565)/(T565*(1-AO565)*(1-Settings!$C$17))),"")</f>
        <v/>
      </c>
      <c r="M565" s="101">
        <f>IFERROR(IF(T565="","",(T565*(1-AP565)*(1-Settings!$D$17)-I565)/(T565*(1-AP565)*(1-Settings!$D$17))),"")</f>
        <v/>
      </c>
      <c r="N565" s="101">
        <f>IFERROR(IF(T565="","",(T565*(1-AQ565)*(1-Settings!$F$17)-I565)/(T565*(1-AQ565)*(1-Settings!$F$17))),"")</f>
        <v/>
      </c>
      <c r="O565" s="101">
        <f>IFERROR(IF(T565="","",(T565*(1-AR565)*(1-Settings!$G$17)-I565)/(T565*(1-AR565)*(1-Settings!$G$17))),"")</f>
        <v/>
      </c>
      <c r="P565" s="101">
        <f>IFERROR(IF(T565="","",(T565*(1-AS565)*(1-Settings!$H$17)-I565)/(T565*(1-AS565)*(1-Settings!$H$17))),"")</f>
        <v/>
      </c>
      <c r="Q565" s="101">
        <f>IFERROR(IF(T565="","",(T565*(1-AT565)*(1-Settings!$I$68)*(1-Settings!$I$17)-I565)/(T565*(1-AT565)*(1-Settings!$I$68)*(1-Settings!$I$17))),"")</f>
        <v/>
      </c>
      <c r="R565" s="91">
        <f>IFERROR(IF(OR(I565="",Z565&gt;=1,Settings!$B$17&gt;=1,AN565&gt;=1),"",IF(MOD(ROUND(I565/(1-Z565)/(1-Settings!$B$17)/(1-AN565),0),10)=0,ROUND(I565/(1-Z565)/(1-Settings!$B$17)/(1-AN565),0)-1,IF(MOD(ROUND(I565/(1-Z565)/(1-Settings!$B$17)/(1-AN565),0),10)&lt;=5,FLOOR(ROUND(I565/(1-Z565)/(1-Settings!$B$17)/(1-AN565),0),10)+6,FLOOR(ROUND(I565/(1-Z565)/(1-Settings!$B$17)/(1-AN565),0),10)+9))),"")</f>
        <v/>
      </c>
      <c r="S565" s="92" t="n"/>
      <c r="T565" s="91">
        <f>IF(S565&lt;&gt;"", IF(MOD(S565,10)=0,S565-1,IF(MOD(S565,10)&lt;=5,FLOOR(S565,10)+6,FLOOR(S565,10)+9)), R565)</f>
        <v/>
      </c>
      <c r="U565" s="87" t="inlineStr">
        <is>
          <t>Основний</t>
        </is>
      </c>
      <c r="V565" s="88" t="n"/>
      <c r="W565" s="88" t="n"/>
      <c r="X565" s="89">
        <f>IFERROR(IF(OR(V565="",W565="",T565=""),"", IF(T565&gt;W565,"Дорогий",IF(T565&lt;V565,"Дешевий","У ринку"))),"")</f>
        <v/>
      </c>
      <c r="Y565" s="90" t="n"/>
      <c r="Z565" s="104">
        <f>CHOOSE(MATCH(IF($U565="","Основний",$U565),{"Трафіковий","Основний","Маржинальний","Сезонний","Стратегічний"},0),0.16,0.19,0.24,0.23,0.28)</f>
        <v/>
      </c>
      <c r="AA565" s="104">
        <f>CHOOSE(MATCH(IF($U565="","Основний",$U565),{"Трафіковий","Основний","Маржинальний","Сезонний","Стратегічний"},0),0.18,0.21,0.26,0.25,0.3)</f>
        <v/>
      </c>
      <c r="AB565" s="104">
        <f>CHOOSE(MATCH(IF($U565="","Основний",$U565),{"Трафіковий","Основний","Маржинальний","Сезонний","Стратегічний"},0),0.19,0.22,0.28,0.26,0.32)</f>
        <v/>
      </c>
      <c r="AC565" s="104">
        <f>CHOOSE(MATCH(IF($U565="","Основний",$U565),{"Трафіковий","Основний","Маржинальний","Сезонний","Стратегічний"},0),0.17,0.2,0.25,0.24,0.28)</f>
        <v/>
      </c>
      <c r="AD565" s="104">
        <f>CHOOSE(MATCH(IF($U565="","Основний",$U565),{"Трафіковий","Основний","Маржинальний","Сезонний","Стратегічний"},0),0.18,0.21,0.26,0.25,0.3)</f>
        <v/>
      </c>
      <c r="AE565" s="104">
        <f>CHOOSE(MATCH(IF($U565="","Основний",$U565),{"Трафіковий","Основний","Маржинальний","Сезонний","Стратегічний"},0),0.18,0.2,0.28,0.27,0.32)</f>
        <v/>
      </c>
      <c r="AF565" s="104">
        <f>CHOOSE(MATCH(IF($U565="","Основний",$U565),{"Трафіковий","Основний","Маржинальний","Сезонний","Стратегічний"},0),0.15,0.175,0.22,0.21,0.25)</f>
        <v/>
      </c>
      <c r="AG565" s="104">
        <f>CHOOSE(MATCH(IF($U565="","Основний",$U565),{"Трафіковий","Основний","Маржинальний","Сезонний","Стратегічний"},0),0.13,0.16,0.21,0.2,0.25)</f>
        <v/>
      </c>
      <c r="AH565" s="104">
        <f>CHOOSE(MATCH(IF($U565="","Основний",$U565),{"Трафіковий","Основний","Маржинальний","Сезонний","Стратегічний"},0),0.15,0.18,0.23,0.22,0.27)</f>
        <v/>
      </c>
      <c r="AI565" s="104">
        <f>CHOOSE(MATCH(IF($U565="","Основний",$U565),{"Трафіковий","Основний","Маржинальний","Сезонний","Стратегічний"},0),0.16,0.19,0.25,0.23,0.29)</f>
        <v/>
      </c>
      <c r="AJ565" s="104">
        <f>CHOOSE(MATCH(IF($U565="","Основний",$U565),{"Трафіковий","Основний","Маржинальний","Сезонний","Стратегічний"},0),0.14,0.17,0.22,0.21,0.25)</f>
        <v/>
      </c>
      <c r="AK565" s="104">
        <f>CHOOSE(MATCH(IF($U565="","Основний",$U565),{"Трафіковий","Основний","Маржинальний","Сезонний","Стратегічний"},0),0.15,0.18,0.23,0.22,0.27)</f>
        <v/>
      </c>
      <c r="AL565" s="104">
        <f>CHOOSE(MATCH(IF($U565="","Основний",$U565),{"Трафіковий","Основний","Маржинальний","Сезонний","Стратегічний"},0),0.15,0.17,0.25,0.24,0.29)</f>
        <v/>
      </c>
      <c r="AM565" s="104">
        <f>CHOOSE(MATCH(IF($U565="","Основний",$U565),{"Трафіковий","Основний","Маржинальний","Сезонний","Стратегічний"},0),0.12,0.145,0.19,0.18,0.22)</f>
        <v/>
      </c>
      <c r="AN565" s="157">
        <f>CHOOSE(MATCH(IF($U565="","Основний",$U565),{"Трафіковий","Основний","Маржинальний","Сезонний","Стратегічний"},0),Settings!$B$78,Settings!$B$80,Settings!$B$82,Settings!$B$84,Settings!$B$86)</f>
        <v/>
      </c>
      <c r="AO565" s="157">
        <f>CHOOSE(MATCH(IF($U565="","Основний",$U565),{"Трафіковий","Основний","Маржинальний","Сезонний","Стратегічний"},0),Settings!$C$78,Settings!$C$80,Settings!$C$82,Settings!$C$84,Settings!$C$86)</f>
        <v/>
      </c>
      <c r="AP565" s="157">
        <f>CHOOSE(MATCH(IF($U565="","Основний",$U565),{"Трафіковий","Основний","Маржинальний","Сезонний","Стратегічний"},0),Settings!$D$78,Settings!$D$80,Settings!$D$82,Settings!$D$84,Settings!$D$86)</f>
        <v/>
      </c>
      <c r="AQ565" s="157">
        <f>CHOOSE(MATCH(IF($U565="","Основний",$U565),{"Трафіковий","Основний","Маржинальний","Сезонний","Стратегічний"},0),Settings!$F$78,Settings!$F$80,Settings!$F$82,Settings!$F$84,Settings!$F$86)</f>
        <v/>
      </c>
      <c r="AR565" s="157">
        <f>CHOOSE(MATCH(IF($U565="","Основний",$U565),{"Трафіковий","Основний","Маржинальний","Сезонний","Стратегічний"},0),Settings!$G$78,Settings!$G$80,Settings!$G$82,Settings!$G$84,Settings!$G$86)</f>
        <v/>
      </c>
      <c r="AS565" s="157">
        <f>CHOOSE(MATCH(IF($U565="","Основний",$U565),{"Трафіковий","Основний","Маржинальний","Сезонний","Стратегічний"},0),Settings!$H$78,Settings!$H$80,Settings!$H$82,Settings!$H$84,Settings!$H$86)</f>
        <v/>
      </c>
      <c r="AT565" s="157">
        <f>CHOOSE(MATCH(IF($U565="","Основний",$U565),{"Трафіковий","Основний","Маржинальний","Сезонний","Стратегічний"},0),Settings!$I$78,Settings!$I$80,Settings!$I$82,Settings!$I$84,Settings!$I$86)</f>
        <v/>
      </c>
      <c r="AU565" s="171" t="n"/>
      <c r="AV565" t="n">
        <v>1.35</v>
      </c>
    </row>
    <row r="566">
      <c r="A566" s="28" t="inlineStr">
        <is>
          <t>NEW</t>
        </is>
      </c>
      <c r="B566" s="29" t="inlineStr">
        <is>
          <t>E0522</t>
        </is>
      </c>
      <c r="C566" s="29" t="inlineStr">
        <is>
          <t>THERMO-HYGROMETER E0522</t>
        </is>
      </c>
      <c r="D566" s="29" t="inlineStr">
        <is>
          <t>Метеостанції та термометри</t>
        </is>
      </c>
      <c r="E566" s="28" t="inlineStr">
        <is>
          <t>PC</t>
        </is>
      </c>
      <c r="F566" s="93" t="n">
        <v>4.424</v>
      </c>
      <c r="G566" s="30" t="n">
        <v>9025804089</v>
      </c>
      <c r="H566" s="31" t="n">
        <v>1.35</v>
      </c>
      <c r="I566" s="84">
        <f>IFERROR(F566*Settings!$B$2*H566*IF(AND(ISNUMBER(E566),E566&gt;1),E566,1),"")</f>
        <v/>
      </c>
      <c r="J566" s="32">
        <f>Settings!$B$66</f>
        <v/>
      </c>
      <c r="K566" s="95">
        <f>IFERROR(IF(T566="","",(T566*(1-AN566)*(1-Settings!$B$17)-I566)/(T566*(1-AN566)*(1-Settings!$B$17))),"")</f>
        <v/>
      </c>
      <c r="L566" s="101">
        <f>IFERROR(IF(T566="","",(T566*(1-AO566)*(1-Settings!$C$17)-I566)/(T566*(1-AO566)*(1-Settings!$C$17))),"")</f>
        <v/>
      </c>
      <c r="M566" s="101">
        <f>IFERROR(IF(T566="","",(T566*(1-AP566)*(1-Settings!$D$17)-I566)/(T566*(1-AP566)*(1-Settings!$D$17))),"")</f>
        <v/>
      </c>
      <c r="N566" s="101">
        <f>IFERROR(IF(T566="","",(T566*(1-AQ566)*(1-Settings!$F$17)-I566)/(T566*(1-AQ566)*(1-Settings!$F$17))),"")</f>
        <v/>
      </c>
      <c r="O566" s="101">
        <f>IFERROR(IF(T566="","",(T566*(1-AR566)*(1-Settings!$G$17)-I566)/(T566*(1-AR566)*(1-Settings!$G$17))),"")</f>
        <v/>
      </c>
      <c r="P566" s="101">
        <f>IFERROR(IF(T566="","",(T566*(1-AS566)*(1-Settings!$H$17)-I566)/(T566*(1-AS566)*(1-Settings!$H$17))),"")</f>
        <v/>
      </c>
      <c r="Q566" s="101">
        <f>IFERROR(IF(T566="","",(T566*(1-AT566)*(1-Settings!$I$68)*(1-Settings!$I$17)-I566)/(T566*(1-AT566)*(1-Settings!$I$68)*(1-Settings!$I$17))),"")</f>
        <v/>
      </c>
      <c r="R566" s="91">
        <f>IFERROR(IF(OR(I566="",Z566&gt;=1,Settings!$B$17&gt;=1,AN566&gt;=1),"",IF(MOD(ROUND(I566/(1-Z566)/(1-Settings!$B$17)/(1-AN566),0),10)=0,ROUND(I566/(1-Z566)/(1-Settings!$B$17)/(1-AN566),0)-1,IF(MOD(ROUND(I566/(1-Z566)/(1-Settings!$B$17)/(1-AN566),0),10)&lt;=5,FLOOR(ROUND(I566/(1-Z566)/(1-Settings!$B$17)/(1-AN566),0),10)+6,FLOOR(ROUND(I566/(1-Z566)/(1-Settings!$B$17)/(1-AN566),0),10)+9))),"")</f>
        <v/>
      </c>
      <c r="S566" s="92" t="n"/>
      <c r="T566" s="91">
        <f>IF(S566&lt;&gt;"", IF(MOD(S566,10)=0,S566-1,IF(MOD(S566,10)&lt;=5,FLOOR(S566,10)+6,FLOOR(S566,10)+9)), R566)</f>
        <v/>
      </c>
      <c r="U566" s="87" t="inlineStr">
        <is>
          <t>Основний</t>
        </is>
      </c>
      <c r="V566" s="88" t="n"/>
      <c r="W566" s="88" t="n"/>
      <c r="X566" s="89">
        <f>IFERROR(IF(OR(V566="",W566="",T566=""),"", IF(T566&gt;W566,"Дорогий",IF(T566&lt;V566,"Дешевий","У ринку"))),"")</f>
        <v/>
      </c>
      <c r="Y566" s="90" t="n"/>
      <c r="Z566" s="104">
        <f>CHOOSE(MATCH(IF($U566="","Основний",$U566),{"Трафіковий","Основний","Маржинальний","Сезонний","Стратегічний"},0),0.16,0.19,0.24,0.23,0.28)</f>
        <v/>
      </c>
      <c r="AA566" s="104">
        <f>CHOOSE(MATCH(IF($U566="","Основний",$U566),{"Трафіковий","Основний","Маржинальний","Сезонний","Стратегічний"},0),0.18,0.21,0.26,0.25,0.3)</f>
        <v/>
      </c>
      <c r="AB566" s="104">
        <f>CHOOSE(MATCH(IF($U566="","Основний",$U566),{"Трафіковий","Основний","Маржинальний","Сезонний","Стратегічний"},0),0.19,0.22,0.28,0.26,0.32)</f>
        <v/>
      </c>
      <c r="AC566" s="104">
        <f>CHOOSE(MATCH(IF($U566="","Основний",$U566),{"Трафіковий","Основний","Маржинальний","Сезонний","Стратегічний"},0),0.17,0.2,0.25,0.24,0.28)</f>
        <v/>
      </c>
      <c r="AD566" s="104">
        <f>CHOOSE(MATCH(IF($U566="","Основний",$U566),{"Трафіковий","Основний","Маржинальний","Сезонний","Стратегічний"},0),0.18,0.21,0.26,0.25,0.3)</f>
        <v/>
      </c>
      <c r="AE566" s="104">
        <f>CHOOSE(MATCH(IF($U566="","Основний",$U566),{"Трафіковий","Основний","Маржинальний","Сезонний","Стратегічний"},0),0.18,0.2,0.28,0.27,0.32)</f>
        <v/>
      </c>
      <c r="AF566" s="104">
        <f>CHOOSE(MATCH(IF($U566="","Основний",$U566),{"Трафіковий","Основний","Маржинальний","Сезонний","Стратегічний"},0),0.15,0.175,0.22,0.21,0.25)</f>
        <v/>
      </c>
      <c r="AG566" s="104">
        <f>CHOOSE(MATCH(IF($U566="","Основний",$U566),{"Трафіковий","Основний","Маржинальний","Сезонний","Стратегічний"},0),0.13,0.16,0.21,0.2,0.25)</f>
        <v/>
      </c>
      <c r="AH566" s="104">
        <f>CHOOSE(MATCH(IF($U566="","Основний",$U566),{"Трафіковий","Основний","Маржинальний","Сезонний","Стратегічний"},0),0.15,0.18,0.23,0.22,0.27)</f>
        <v/>
      </c>
      <c r="AI566" s="104">
        <f>CHOOSE(MATCH(IF($U566="","Основний",$U566),{"Трафіковий","Основний","Маржинальний","Сезонний","Стратегічний"},0),0.16,0.19,0.25,0.23,0.29)</f>
        <v/>
      </c>
      <c r="AJ566" s="104">
        <f>CHOOSE(MATCH(IF($U566="","Основний",$U566),{"Трафіковий","Основний","Маржинальний","Сезонний","Стратегічний"},0),0.14,0.17,0.22,0.21,0.25)</f>
        <v/>
      </c>
      <c r="AK566" s="104">
        <f>CHOOSE(MATCH(IF($U566="","Основний",$U566),{"Трафіковий","Основний","Маржинальний","Сезонний","Стратегічний"},0),0.15,0.18,0.23,0.22,0.27)</f>
        <v/>
      </c>
      <c r="AL566" s="104">
        <f>CHOOSE(MATCH(IF($U566="","Основний",$U566),{"Трафіковий","Основний","Маржинальний","Сезонний","Стратегічний"},0),0.15,0.17,0.25,0.24,0.29)</f>
        <v/>
      </c>
      <c r="AM566" s="104">
        <f>CHOOSE(MATCH(IF($U566="","Основний",$U566),{"Трафіковий","Основний","Маржинальний","Сезонний","Стратегічний"},0),0.12,0.145,0.19,0.18,0.22)</f>
        <v/>
      </c>
      <c r="AN566" s="157">
        <f>CHOOSE(MATCH(IF($U566="","Основний",$U566),{"Трафіковий","Основний","Маржинальний","Сезонний","Стратегічний"},0),Settings!$B$78,Settings!$B$80,Settings!$B$82,Settings!$B$84,Settings!$B$86)</f>
        <v/>
      </c>
      <c r="AO566" s="157">
        <f>CHOOSE(MATCH(IF($U566="","Основний",$U566),{"Трафіковий","Основний","Маржинальний","Сезонний","Стратегічний"},0),Settings!$C$78,Settings!$C$80,Settings!$C$82,Settings!$C$84,Settings!$C$86)</f>
        <v/>
      </c>
      <c r="AP566" s="157">
        <f>CHOOSE(MATCH(IF($U566="","Основний",$U566),{"Трафіковий","Основний","Маржинальний","Сезонний","Стратегічний"},0),Settings!$D$78,Settings!$D$80,Settings!$D$82,Settings!$D$84,Settings!$D$86)</f>
        <v/>
      </c>
      <c r="AQ566" s="157">
        <f>CHOOSE(MATCH(IF($U566="","Основний",$U566),{"Трафіковий","Основний","Маржинальний","Сезонний","Стратегічний"},0),Settings!$F$78,Settings!$F$80,Settings!$F$82,Settings!$F$84,Settings!$F$86)</f>
        <v/>
      </c>
      <c r="AR566" s="157">
        <f>CHOOSE(MATCH(IF($U566="","Основний",$U566),{"Трафіковий","Основний","Маржинальний","Сезонний","Стратегічний"},0),Settings!$G$78,Settings!$G$80,Settings!$G$82,Settings!$G$84,Settings!$G$86)</f>
        <v/>
      </c>
      <c r="AS566" s="157">
        <f>CHOOSE(MATCH(IF($U566="","Основний",$U566),{"Трафіковий","Основний","Маржинальний","Сезонний","Стратегічний"},0),Settings!$H$78,Settings!$H$80,Settings!$H$82,Settings!$H$84,Settings!$H$86)</f>
        <v/>
      </c>
      <c r="AT566" s="157">
        <f>CHOOSE(MATCH(IF($U566="","Основний",$U566),{"Трафіковий","Основний","Маржинальний","Сезонний","Стратегічний"},0),Settings!$I$78,Settings!$I$80,Settings!$I$82,Settings!$I$84,Settings!$I$86)</f>
        <v/>
      </c>
      <c r="AU566" s="171" t="n"/>
      <c r="AV566" t="n">
        <v>1.35</v>
      </c>
    </row>
    <row r="567">
      <c r="A567" s="33" t="inlineStr">
        <is>
          <t>NEW</t>
        </is>
      </c>
      <c r="B567" s="34" t="inlineStr">
        <is>
          <t>E6210</t>
        </is>
      </c>
      <c r="C567" s="34" t="inlineStr">
        <is>
          <t>THERMO-HYGROMETER E6210</t>
        </is>
      </c>
      <c r="D567" s="34" t="inlineStr">
        <is>
          <t>Метеостанції та термометри</t>
        </is>
      </c>
      <c r="E567" s="33" t="inlineStr">
        <is>
          <t>PC</t>
        </is>
      </c>
      <c r="F567" s="94" t="n">
        <v>5.353</v>
      </c>
      <c r="G567" s="35" t="n">
        <v>9025804089</v>
      </c>
      <c r="H567" s="31" t="n">
        <v>1.35</v>
      </c>
      <c r="I567" s="84">
        <f>IFERROR(F567*Settings!$B$2*H567*IF(AND(ISNUMBER(E567),E567&gt;1),E567,1),"")</f>
        <v/>
      </c>
      <c r="J567" s="32">
        <f>Settings!$B$66</f>
        <v/>
      </c>
      <c r="K567" s="95">
        <f>IFERROR(IF(T567="","",(T567*(1-AN567)*(1-Settings!$B$17)-I567)/(T567*(1-AN567)*(1-Settings!$B$17))),"")</f>
        <v/>
      </c>
      <c r="L567" s="101">
        <f>IFERROR(IF(T567="","",(T567*(1-AO567)*(1-Settings!$C$17)-I567)/(T567*(1-AO567)*(1-Settings!$C$17))),"")</f>
        <v/>
      </c>
      <c r="M567" s="101">
        <f>IFERROR(IF(T567="","",(T567*(1-AP567)*(1-Settings!$D$17)-I567)/(T567*(1-AP567)*(1-Settings!$D$17))),"")</f>
        <v/>
      </c>
      <c r="N567" s="101">
        <f>IFERROR(IF(T567="","",(T567*(1-AQ567)*(1-Settings!$F$17)-I567)/(T567*(1-AQ567)*(1-Settings!$F$17))),"")</f>
        <v/>
      </c>
      <c r="O567" s="101">
        <f>IFERROR(IF(T567="","",(T567*(1-AR567)*(1-Settings!$G$17)-I567)/(T567*(1-AR567)*(1-Settings!$G$17))),"")</f>
        <v/>
      </c>
      <c r="P567" s="101">
        <f>IFERROR(IF(T567="","",(T567*(1-AS567)*(1-Settings!$H$17)-I567)/(T567*(1-AS567)*(1-Settings!$H$17))),"")</f>
        <v/>
      </c>
      <c r="Q567" s="101">
        <f>IFERROR(IF(T567="","",(T567*(1-AT567)*(1-Settings!$I$68)*(1-Settings!$I$17)-I567)/(T567*(1-AT567)*(1-Settings!$I$68)*(1-Settings!$I$17))),"")</f>
        <v/>
      </c>
      <c r="R567" s="91">
        <f>IFERROR(IF(OR(I567="",Z567&gt;=1,Settings!$B$17&gt;=1,AN567&gt;=1),"",IF(MOD(ROUND(I567/(1-Z567)/(1-Settings!$B$17)/(1-AN567),0),10)=0,ROUND(I567/(1-Z567)/(1-Settings!$B$17)/(1-AN567),0)-1,IF(MOD(ROUND(I567/(1-Z567)/(1-Settings!$B$17)/(1-AN567),0),10)&lt;=5,FLOOR(ROUND(I567/(1-Z567)/(1-Settings!$B$17)/(1-AN567),0),10)+6,FLOOR(ROUND(I567/(1-Z567)/(1-Settings!$B$17)/(1-AN567),0),10)+9))),"")</f>
        <v/>
      </c>
      <c r="S567" s="174">
        <f>R567*0.95</f>
        <v/>
      </c>
      <c r="T567" s="91">
        <f>IF(S567&lt;&gt;"", IF(MOD(S567,10)=0,S567-1,IF(MOD(S567,10)&lt;=5,FLOOR(S567,10)+6,FLOOR(S567,10)+9)), R567)</f>
        <v/>
      </c>
      <c r="U567" s="87" t="inlineStr">
        <is>
          <t>Основний</t>
        </is>
      </c>
      <c r="V567" s="88" t="n"/>
      <c r="W567" s="88" t="n"/>
      <c r="X567" s="89">
        <f>IFERROR(IF(OR(V567="",W567="",T567=""),"", IF(T567&gt;W567,"Дорогий",IF(T567&lt;V567,"Дешевий","У ринку"))),"")</f>
        <v/>
      </c>
      <c r="Y567" s="90" t="n"/>
      <c r="Z567" s="104">
        <f>CHOOSE(MATCH(IF($U567="","Основний",$U567),{"Трафіковий","Основний","Маржинальний","Сезонний","Стратегічний"},0),0.16,0.19,0.24,0.23,0.28)</f>
        <v/>
      </c>
      <c r="AA567" s="104">
        <f>CHOOSE(MATCH(IF($U567="","Основний",$U567),{"Трафіковий","Основний","Маржинальний","Сезонний","Стратегічний"},0),0.18,0.21,0.26,0.25,0.3)</f>
        <v/>
      </c>
      <c r="AB567" s="104">
        <f>CHOOSE(MATCH(IF($U567="","Основний",$U567),{"Трафіковий","Основний","Маржинальний","Сезонний","Стратегічний"},0),0.19,0.22,0.28,0.26,0.32)</f>
        <v/>
      </c>
      <c r="AC567" s="104">
        <f>CHOOSE(MATCH(IF($U567="","Основний",$U567),{"Трафіковий","Основний","Маржинальний","Сезонний","Стратегічний"},0),0.17,0.2,0.25,0.24,0.28)</f>
        <v/>
      </c>
      <c r="AD567" s="104">
        <f>CHOOSE(MATCH(IF($U567="","Основний",$U567),{"Трафіковий","Основний","Маржинальний","Сезонний","Стратегічний"},0),0.18,0.21,0.26,0.25,0.3)</f>
        <v/>
      </c>
      <c r="AE567" s="104">
        <f>CHOOSE(MATCH(IF($U567="","Основний",$U567),{"Трафіковий","Основний","Маржинальний","Сезонний","Стратегічний"},0),0.18,0.2,0.28,0.27,0.32)</f>
        <v/>
      </c>
      <c r="AF567" s="104">
        <f>CHOOSE(MATCH(IF($U567="","Основний",$U567),{"Трафіковий","Основний","Маржинальний","Сезонний","Стратегічний"},0),0.15,0.175,0.22,0.21,0.25)</f>
        <v/>
      </c>
      <c r="AG567" s="104">
        <f>CHOOSE(MATCH(IF($U567="","Основний",$U567),{"Трафіковий","Основний","Маржинальний","Сезонний","Стратегічний"},0),0.13,0.16,0.21,0.2,0.25)</f>
        <v/>
      </c>
      <c r="AH567" s="104">
        <f>CHOOSE(MATCH(IF($U567="","Основний",$U567),{"Трафіковий","Основний","Маржинальний","Сезонний","Стратегічний"},0),0.15,0.18,0.23,0.22,0.27)</f>
        <v/>
      </c>
      <c r="AI567" s="104">
        <f>CHOOSE(MATCH(IF($U567="","Основний",$U567),{"Трафіковий","Основний","Маржинальний","Сезонний","Стратегічний"},0),0.16,0.19,0.25,0.23,0.29)</f>
        <v/>
      </c>
      <c r="AJ567" s="104">
        <f>CHOOSE(MATCH(IF($U567="","Основний",$U567),{"Трафіковий","Основний","Маржинальний","Сезонний","Стратегічний"},0),0.14,0.17,0.22,0.21,0.25)</f>
        <v/>
      </c>
      <c r="AK567" s="104">
        <f>CHOOSE(MATCH(IF($U567="","Основний",$U567),{"Трафіковий","Основний","Маржинальний","Сезонний","Стратегічний"},0),0.15,0.18,0.23,0.22,0.27)</f>
        <v/>
      </c>
      <c r="AL567" s="104">
        <f>CHOOSE(MATCH(IF($U567="","Основний",$U567),{"Трафіковий","Основний","Маржинальний","Сезонний","Стратегічний"},0),0.15,0.17,0.25,0.24,0.29)</f>
        <v/>
      </c>
      <c r="AM567" s="104">
        <f>CHOOSE(MATCH(IF($U567="","Основний",$U567),{"Трафіковий","Основний","Маржинальний","Сезонний","Стратегічний"},0),0.12,0.145,0.19,0.18,0.22)</f>
        <v/>
      </c>
      <c r="AN567" s="157">
        <f>CHOOSE(MATCH(IF($U567="","Основний",$U567),{"Трафіковий","Основний","Маржинальний","Сезонний","Стратегічний"},0),Settings!$B$78,Settings!$B$80,Settings!$B$82,Settings!$B$84,Settings!$B$86)</f>
        <v/>
      </c>
      <c r="AO567" s="157">
        <f>CHOOSE(MATCH(IF($U567="","Основний",$U567),{"Трафіковий","Основний","Маржинальний","Сезонний","Стратегічний"},0),Settings!$C$78,Settings!$C$80,Settings!$C$82,Settings!$C$84,Settings!$C$86)</f>
        <v/>
      </c>
      <c r="AP567" s="157">
        <f>CHOOSE(MATCH(IF($U567="","Основний",$U567),{"Трафіковий","Основний","Маржинальний","Сезонний","Стратегічний"},0),Settings!$D$78,Settings!$D$80,Settings!$D$82,Settings!$D$84,Settings!$D$86)</f>
        <v/>
      </c>
      <c r="AQ567" s="157">
        <f>CHOOSE(MATCH(IF($U567="","Основний",$U567),{"Трафіковий","Основний","Маржинальний","Сезонний","Стратегічний"},0),Settings!$F$78,Settings!$F$80,Settings!$F$82,Settings!$F$84,Settings!$F$86)</f>
        <v/>
      </c>
      <c r="AR567" s="157">
        <f>CHOOSE(MATCH(IF($U567="","Основний",$U567),{"Трафіковий","Основний","Маржинальний","Сезонний","Стратегічний"},0),Settings!$G$78,Settings!$G$80,Settings!$G$82,Settings!$G$84,Settings!$G$86)</f>
        <v/>
      </c>
      <c r="AS567" s="157">
        <f>CHOOSE(MATCH(IF($U567="","Основний",$U567),{"Трафіковий","Основний","Маржинальний","Сезонний","Стратегічний"},0),Settings!$H$78,Settings!$H$80,Settings!$H$82,Settings!$H$84,Settings!$H$86)</f>
        <v/>
      </c>
      <c r="AT567" s="157">
        <f>CHOOSE(MATCH(IF($U567="","Основний",$U567),{"Трафіковий","Основний","Маржинальний","Сезонний","Стратегічний"},0),Settings!$I$78,Settings!$I$80,Settings!$I$82,Settings!$I$84,Settings!$I$86)</f>
        <v/>
      </c>
      <c r="AU567" s="171" t="n"/>
      <c r="AV567" t="n">
        <v>1.35</v>
      </c>
    </row>
    <row r="568">
      <c r="A568" s="28" t="n"/>
      <c r="B568" s="29" t="inlineStr">
        <is>
          <t>E0558</t>
        </is>
      </c>
      <c r="C568" s="29" t="inlineStr">
        <is>
          <t>THERMO-HYGROMETER E0558</t>
        </is>
      </c>
      <c r="D568" s="29" t="inlineStr">
        <is>
          <t>Метеостанції та термометри</t>
        </is>
      </c>
      <c r="E568" s="28" t="inlineStr">
        <is>
          <t>PC</t>
        </is>
      </c>
      <c r="F568" s="93" t="n">
        <v>4.367</v>
      </c>
      <c r="G568" s="30" t="n">
        <v>9025804089</v>
      </c>
      <c r="H568" s="31" t="n">
        <v>1.35</v>
      </c>
      <c r="I568" s="84">
        <f>IFERROR(F568*Settings!$B$2*H568*IF(AND(ISNUMBER(E568),E568&gt;1),E568,1),"")</f>
        <v/>
      </c>
      <c r="J568" s="32">
        <f>Settings!$B$66</f>
        <v/>
      </c>
      <c r="K568" s="95">
        <f>IFERROR(IF(T568="","",(T568*(1-AN568)*(1-Settings!$B$17)-I568)/(T568*(1-AN568)*(1-Settings!$B$17))),"")</f>
        <v/>
      </c>
      <c r="L568" s="101">
        <f>IFERROR(IF(T568="","",(T568*(1-AO568)*(1-Settings!$C$17)-I568)/(T568*(1-AO568)*(1-Settings!$C$17))),"")</f>
        <v/>
      </c>
      <c r="M568" s="101">
        <f>IFERROR(IF(T568="","",(T568*(1-AP568)*(1-Settings!$D$17)-I568)/(T568*(1-AP568)*(1-Settings!$D$17))),"")</f>
        <v/>
      </c>
      <c r="N568" s="101">
        <f>IFERROR(IF(T568="","",(T568*(1-AQ568)*(1-Settings!$F$17)-I568)/(T568*(1-AQ568)*(1-Settings!$F$17))),"")</f>
        <v/>
      </c>
      <c r="O568" s="101">
        <f>IFERROR(IF(T568="","",(T568*(1-AR568)*(1-Settings!$G$17)-I568)/(T568*(1-AR568)*(1-Settings!$G$17))),"")</f>
        <v/>
      </c>
      <c r="P568" s="101">
        <f>IFERROR(IF(T568="","",(T568*(1-AS568)*(1-Settings!$H$17)-I568)/(T568*(1-AS568)*(1-Settings!$H$17))),"")</f>
        <v/>
      </c>
      <c r="Q568" s="101">
        <f>IFERROR(IF(T568="","",(T568*(1-AT568)*(1-Settings!$I$68)*(1-Settings!$I$17)-I568)/(T568*(1-AT568)*(1-Settings!$I$68)*(1-Settings!$I$17))),"")</f>
        <v/>
      </c>
      <c r="R568" s="91">
        <f>IFERROR(IF(OR(I568="",Z568&gt;=1,Settings!$B$17&gt;=1,AN568&gt;=1),"",IF(MOD(ROUND(I568/(1-Z568)/(1-Settings!$B$17)/(1-AN568),0),10)=0,ROUND(I568/(1-Z568)/(1-Settings!$B$17)/(1-AN568),0)-1,IF(MOD(ROUND(I568/(1-Z568)/(1-Settings!$B$17)/(1-AN568),0),10)&lt;=5,FLOOR(ROUND(I568/(1-Z568)/(1-Settings!$B$17)/(1-AN568),0),10)+6,FLOOR(ROUND(I568/(1-Z568)/(1-Settings!$B$17)/(1-AN568),0),10)+9))),"")</f>
        <v/>
      </c>
      <c r="S568" s="174">
        <f>R568*0.95</f>
        <v/>
      </c>
      <c r="T568" s="91">
        <f>IF(S568&lt;&gt;"", IF(MOD(S568,10)=0,S568-1,IF(MOD(S568,10)&lt;=5,FLOOR(S568,10)+6,FLOOR(S568,10)+9)), R568)</f>
        <v/>
      </c>
      <c r="U568" s="87" t="inlineStr">
        <is>
          <t>Основний</t>
        </is>
      </c>
      <c r="V568" s="88" t="n"/>
      <c r="W568" s="88" t="n"/>
      <c r="X568" s="89">
        <f>IFERROR(IF(OR(V568="",W568="",T568=""),"", IF(T568&gt;W568,"Дорогий",IF(T568&lt;V568,"Дешевий","У ринку"))),"")</f>
        <v/>
      </c>
      <c r="Y568" s="90" t="n"/>
      <c r="Z568" s="104">
        <f>CHOOSE(MATCH(IF($U568="","Основний",$U568),{"Трафіковий","Основний","Маржинальний","Сезонний","Стратегічний"},0),0.16,0.19,0.24,0.23,0.28)</f>
        <v/>
      </c>
      <c r="AA568" s="104">
        <f>CHOOSE(MATCH(IF($U568="","Основний",$U568),{"Трафіковий","Основний","Маржинальний","Сезонний","Стратегічний"},0),0.18,0.21,0.26,0.25,0.3)</f>
        <v/>
      </c>
      <c r="AB568" s="104">
        <f>CHOOSE(MATCH(IF($U568="","Основний",$U568),{"Трафіковий","Основний","Маржинальний","Сезонний","Стратегічний"},0),0.19,0.22,0.28,0.26,0.32)</f>
        <v/>
      </c>
      <c r="AC568" s="104">
        <f>CHOOSE(MATCH(IF($U568="","Основний",$U568),{"Трафіковий","Основний","Маржинальний","Сезонний","Стратегічний"},0),0.17,0.2,0.25,0.24,0.28)</f>
        <v/>
      </c>
      <c r="AD568" s="104">
        <f>CHOOSE(MATCH(IF($U568="","Основний",$U568),{"Трафіковий","Основний","Маржинальний","Сезонний","Стратегічний"},0),0.18,0.21,0.26,0.25,0.3)</f>
        <v/>
      </c>
      <c r="AE568" s="104">
        <f>CHOOSE(MATCH(IF($U568="","Основний",$U568),{"Трафіковий","Основний","Маржинальний","Сезонний","Стратегічний"},0),0.18,0.2,0.28,0.27,0.32)</f>
        <v/>
      </c>
      <c r="AF568" s="104">
        <f>CHOOSE(MATCH(IF($U568="","Основний",$U568),{"Трафіковий","Основний","Маржинальний","Сезонний","Стратегічний"},0),0.15,0.175,0.22,0.21,0.25)</f>
        <v/>
      </c>
      <c r="AG568" s="104">
        <f>CHOOSE(MATCH(IF($U568="","Основний",$U568),{"Трафіковий","Основний","Маржинальний","Сезонний","Стратегічний"},0),0.13,0.16,0.21,0.2,0.25)</f>
        <v/>
      </c>
      <c r="AH568" s="104">
        <f>CHOOSE(MATCH(IF($U568="","Основний",$U568),{"Трафіковий","Основний","Маржинальний","Сезонний","Стратегічний"},0),0.15,0.18,0.23,0.22,0.27)</f>
        <v/>
      </c>
      <c r="AI568" s="104">
        <f>CHOOSE(MATCH(IF($U568="","Основний",$U568),{"Трафіковий","Основний","Маржинальний","Сезонний","Стратегічний"},0),0.16,0.19,0.25,0.23,0.29)</f>
        <v/>
      </c>
      <c r="AJ568" s="104">
        <f>CHOOSE(MATCH(IF($U568="","Основний",$U568),{"Трафіковий","Основний","Маржинальний","Сезонний","Стратегічний"},0),0.14,0.17,0.22,0.21,0.25)</f>
        <v/>
      </c>
      <c r="AK568" s="104">
        <f>CHOOSE(MATCH(IF($U568="","Основний",$U568),{"Трафіковий","Основний","Маржинальний","Сезонний","Стратегічний"},0),0.15,0.18,0.23,0.22,0.27)</f>
        <v/>
      </c>
      <c r="AL568" s="104">
        <f>CHOOSE(MATCH(IF($U568="","Основний",$U568),{"Трафіковий","Основний","Маржинальний","Сезонний","Стратегічний"},0),0.15,0.17,0.25,0.24,0.29)</f>
        <v/>
      </c>
      <c r="AM568" s="104">
        <f>CHOOSE(MATCH(IF($U568="","Основний",$U568),{"Трафіковий","Основний","Маржинальний","Сезонний","Стратегічний"},0),0.12,0.145,0.19,0.18,0.22)</f>
        <v/>
      </c>
      <c r="AN568" s="157">
        <f>CHOOSE(MATCH(IF($U568="","Основний",$U568),{"Трафіковий","Основний","Маржинальний","Сезонний","Стратегічний"},0),Settings!$B$78,Settings!$B$80,Settings!$B$82,Settings!$B$84,Settings!$B$86)</f>
        <v/>
      </c>
      <c r="AO568" s="157">
        <f>CHOOSE(MATCH(IF($U568="","Основний",$U568),{"Трафіковий","Основний","Маржинальний","Сезонний","Стратегічний"},0),Settings!$C$78,Settings!$C$80,Settings!$C$82,Settings!$C$84,Settings!$C$86)</f>
        <v/>
      </c>
      <c r="AP568" s="157">
        <f>CHOOSE(MATCH(IF($U568="","Основний",$U568),{"Трафіковий","Основний","Маржинальний","Сезонний","Стратегічний"},0),Settings!$D$78,Settings!$D$80,Settings!$D$82,Settings!$D$84,Settings!$D$86)</f>
        <v/>
      </c>
      <c r="AQ568" s="157">
        <f>CHOOSE(MATCH(IF($U568="","Основний",$U568),{"Трафіковий","Основний","Маржинальний","Сезонний","Стратегічний"},0),Settings!$F$78,Settings!$F$80,Settings!$F$82,Settings!$F$84,Settings!$F$86)</f>
        <v/>
      </c>
      <c r="AR568" s="157">
        <f>CHOOSE(MATCH(IF($U568="","Основний",$U568),{"Трафіковий","Основний","Маржинальний","Сезонний","Стратегічний"},0),Settings!$G$78,Settings!$G$80,Settings!$G$82,Settings!$G$84,Settings!$G$86)</f>
        <v/>
      </c>
      <c r="AS568" s="157">
        <f>CHOOSE(MATCH(IF($U568="","Основний",$U568),{"Трафіковий","Основний","Маржинальний","Сезонний","Стратегічний"},0),Settings!$H$78,Settings!$H$80,Settings!$H$82,Settings!$H$84,Settings!$H$86)</f>
        <v/>
      </c>
      <c r="AT568" s="157">
        <f>CHOOSE(MATCH(IF($U568="","Основний",$U568),{"Трафіковий","Основний","Маржинальний","Сезонний","Стратегічний"},0),Settings!$I$78,Settings!$I$80,Settings!$I$82,Settings!$I$84,Settings!$I$86)</f>
        <v/>
      </c>
      <c r="AU568" s="171" t="n"/>
      <c r="AV568" t="n">
        <v>1.35</v>
      </c>
    </row>
    <row r="569">
      <c r="A569" s="33" t="n"/>
      <c r="B569" s="34" t="inlineStr">
        <is>
          <t>E0558P</t>
        </is>
      </c>
      <c r="C569" s="34" t="inlineStr">
        <is>
          <t>THERMOMETER WIRED E0558P</t>
        </is>
      </c>
      <c r="D569" s="34" t="inlineStr">
        <is>
          <t>Метеостанції та термометри</t>
        </is>
      </c>
      <c r="E569" s="33" t="inlineStr">
        <is>
          <t>PC</t>
        </is>
      </c>
      <c r="F569" s="94" t="n">
        <v>5.072</v>
      </c>
      <c r="G569" s="35" t="n">
        <v>9025804089</v>
      </c>
      <c r="H569" s="31" t="n">
        <v>1.35</v>
      </c>
      <c r="I569" s="84">
        <f>IFERROR(F569*Settings!$B$2*H569*IF(AND(ISNUMBER(E569),E569&gt;1),E569,1),"")</f>
        <v/>
      </c>
      <c r="J569" s="32">
        <f>Settings!$B$66</f>
        <v/>
      </c>
      <c r="K569" s="95">
        <f>IFERROR(IF(T569="","",(T569*(1-AN569)*(1-Settings!$B$17)-I569)/(T569*(1-AN569)*(1-Settings!$B$17))),"")</f>
        <v/>
      </c>
      <c r="L569" s="101">
        <f>IFERROR(IF(T569="","",(T569*(1-AO569)*(1-Settings!$C$17)-I569)/(T569*(1-AO569)*(1-Settings!$C$17))),"")</f>
        <v/>
      </c>
      <c r="M569" s="101">
        <f>IFERROR(IF(T569="","",(T569*(1-AP569)*(1-Settings!$D$17)-I569)/(T569*(1-AP569)*(1-Settings!$D$17))),"")</f>
        <v/>
      </c>
      <c r="N569" s="101">
        <f>IFERROR(IF(T569="","",(T569*(1-AQ569)*(1-Settings!$F$17)-I569)/(T569*(1-AQ569)*(1-Settings!$F$17))),"")</f>
        <v/>
      </c>
      <c r="O569" s="101">
        <f>IFERROR(IF(T569="","",(T569*(1-AR569)*(1-Settings!$G$17)-I569)/(T569*(1-AR569)*(1-Settings!$G$17))),"")</f>
        <v/>
      </c>
      <c r="P569" s="101">
        <f>IFERROR(IF(T569="","",(T569*(1-AS569)*(1-Settings!$H$17)-I569)/(T569*(1-AS569)*(1-Settings!$H$17))),"")</f>
        <v/>
      </c>
      <c r="Q569" s="101">
        <f>IFERROR(IF(T569="","",(T569*(1-AT569)*(1-Settings!$I$68)*(1-Settings!$I$17)-I569)/(T569*(1-AT569)*(1-Settings!$I$68)*(1-Settings!$I$17))),"")</f>
        <v/>
      </c>
      <c r="R569" s="91">
        <f>IFERROR(IF(OR(I569="",Z569&gt;=1,Settings!$B$17&gt;=1,AN569&gt;=1),"",IF(MOD(ROUND(I569/(1-Z569)/(1-Settings!$B$17)/(1-AN569),0),10)=0,ROUND(I569/(1-Z569)/(1-Settings!$B$17)/(1-AN569),0)-1,IF(MOD(ROUND(I569/(1-Z569)/(1-Settings!$B$17)/(1-AN569),0),10)&lt;=5,FLOOR(ROUND(I569/(1-Z569)/(1-Settings!$B$17)/(1-AN569),0),10)+6,FLOOR(ROUND(I569/(1-Z569)/(1-Settings!$B$17)/(1-AN569),0),10)+9))),"")</f>
        <v/>
      </c>
      <c r="S569" s="174" t="n"/>
      <c r="T569" s="91">
        <f>IF(S569&lt;&gt;"", IF(MOD(S569,10)=0,S569-1,IF(MOD(S569,10)&lt;=5,FLOOR(S569,10)+6,FLOOR(S569,10)+9)), R569)</f>
        <v/>
      </c>
      <c r="U569" s="87" t="inlineStr">
        <is>
          <t>Основний</t>
        </is>
      </c>
      <c r="V569" s="88" t="n"/>
      <c r="W569" s="88" t="n"/>
      <c r="X569" s="89">
        <f>IFERROR(IF(OR(V569="",W569="",T569=""),"", IF(T569&gt;W569,"Дорогий",IF(T569&lt;V569,"Дешевий","У ринку"))),"")</f>
        <v/>
      </c>
      <c r="Y569" s="90" t="n"/>
      <c r="Z569" s="104">
        <f>CHOOSE(MATCH(IF($U569="","Основний",$U569),{"Трафіковий","Основний","Маржинальний","Сезонний","Стратегічний"},0),0.16,0.19,0.24,0.23,0.28)</f>
        <v/>
      </c>
      <c r="AA569" s="104">
        <f>CHOOSE(MATCH(IF($U569="","Основний",$U569),{"Трафіковий","Основний","Маржинальний","Сезонний","Стратегічний"},0),0.18,0.21,0.26,0.25,0.3)</f>
        <v/>
      </c>
      <c r="AB569" s="104">
        <f>CHOOSE(MATCH(IF($U569="","Основний",$U569),{"Трафіковий","Основний","Маржинальний","Сезонний","Стратегічний"},0),0.19,0.22,0.28,0.26,0.32)</f>
        <v/>
      </c>
      <c r="AC569" s="104">
        <f>CHOOSE(MATCH(IF($U569="","Основний",$U569),{"Трафіковий","Основний","Маржинальний","Сезонний","Стратегічний"},0),0.17,0.2,0.25,0.24,0.28)</f>
        <v/>
      </c>
      <c r="AD569" s="104">
        <f>CHOOSE(MATCH(IF($U569="","Основний",$U569),{"Трафіковий","Основний","Маржинальний","Сезонний","Стратегічний"},0),0.18,0.21,0.26,0.25,0.3)</f>
        <v/>
      </c>
      <c r="AE569" s="104">
        <f>CHOOSE(MATCH(IF($U569="","Основний",$U569),{"Трафіковий","Основний","Маржинальний","Сезонний","Стратегічний"},0),0.18,0.2,0.28,0.27,0.32)</f>
        <v/>
      </c>
      <c r="AF569" s="104">
        <f>CHOOSE(MATCH(IF($U569="","Основний",$U569),{"Трафіковий","Основний","Маржинальний","Сезонний","Стратегічний"},0),0.15,0.175,0.22,0.21,0.25)</f>
        <v/>
      </c>
      <c r="AG569" s="104">
        <f>CHOOSE(MATCH(IF($U569="","Основний",$U569),{"Трафіковий","Основний","Маржинальний","Сезонний","Стратегічний"},0),0.13,0.16,0.21,0.2,0.25)</f>
        <v/>
      </c>
      <c r="AH569" s="104">
        <f>CHOOSE(MATCH(IF($U569="","Основний",$U569),{"Трафіковий","Основний","Маржинальний","Сезонний","Стратегічний"},0),0.15,0.18,0.23,0.22,0.27)</f>
        <v/>
      </c>
      <c r="AI569" s="104">
        <f>CHOOSE(MATCH(IF($U569="","Основний",$U569),{"Трафіковий","Основний","Маржинальний","Сезонний","Стратегічний"},0),0.16,0.19,0.25,0.23,0.29)</f>
        <v/>
      </c>
      <c r="AJ569" s="104">
        <f>CHOOSE(MATCH(IF($U569="","Основний",$U569),{"Трафіковий","Основний","Маржинальний","Сезонний","Стратегічний"},0),0.14,0.17,0.22,0.21,0.25)</f>
        <v/>
      </c>
      <c r="AK569" s="104">
        <f>CHOOSE(MATCH(IF($U569="","Основний",$U569),{"Трафіковий","Основний","Маржинальний","Сезонний","Стратегічний"},0),0.15,0.18,0.23,0.22,0.27)</f>
        <v/>
      </c>
      <c r="AL569" s="104">
        <f>CHOOSE(MATCH(IF($U569="","Основний",$U569),{"Трафіковий","Основний","Маржинальний","Сезонний","Стратегічний"},0),0.15,0.17,0.25,0.24,0.29)</f>
        <v/>
      </c>
      <c r="AM569" s="104">
        <f>CHOOSE(MATCH(IF($U569="","Основний",$U569),{"Трафіковий","Основний","Маржинальний","Сезонний","Стратегічний"},0),0.12,0.145,0.19,0.18,0.22)</f>
        <v/>
      </c>
      <c r="AN569" s="157">
        <f>CHOOSE(MATCH(IF($U569="","Основний",$U569),{"Трафіковий","Основний","Маржинальний","Сезонний","Стратегічний"},0),Settings!$B$78,Settings!$B$80,Settings!$B$82,Settings!$B$84,Settings!$B$86)</f>
        <v/>
      </c>
      <c r="AO569" s="157">
        <f>CHOOSE(MATCH(IF($U569="","Основний",$U569),{"Трафіковий","Основний","Маржинальний","Сезонний","Стратегічний"},0),Settings!$C$78,Settings!$C$80,Settings!$C$82,Settings!$C$84,Settings!$C$86)</f>
        <v/>
      </c>
      <c r="AP569" s="157">
        <f>CHOOSE(MATCH(IF($U569="","Основний",$U569),{"Трафіковий","Основний","Маржинальний","Сезонний","Стратегічний"},0),Settings!$D$78,Settings!$D$80,Settings!$D$82,Settings!$D$84,Settings!$D$86)</f>
        <v/>
      </c>
      <c r="AQ569" s="157">
        <f>CHOOSE(MATCH(IF($U569="","Основний",$U569),{"Трафіковий","Основний","Маржинальний","Сезонний","Стратегічний"},0),Settings!$F$78,Settings!$F$80,Settings!$F$82,Settings!$F$84,Settings!$F$86)</f>
        <v/>
      </c>
      <c r="AR569" s="157">
        <f>CHOOSE(MATCH(IF($U569="","Основний",$U569),{"Трафіковий","Основний","Маржинальний","Сезонний","Стратегічний"},0),Settings!$G$78,Settings!$G$80,Settings!$G$82,Settings!$G$84,Settings!$G$86)</f>
        <v/>
      </c>
      <c r="AS569" s="157">
        <f>CHOOSE(MATCH(IF($U569="","Основний",$U569),{"Трафіковий","Основний","Маржинальний","Сезонний","Стратегічний"},0),Settings!$H$78,Settings!$H$80,Settings!$H$82,Settings!$H$84,Settings!$H$86)</f>
        <v/>
      </c>
      <c r="AT569" s="157">
        <f>CHOOSE(MATCH(IF($U569="","Основний",$U569),{"Трафіковий","Основний","Маржинальний","Сезонний","Стратегічний"},0),Settings!$I$78,Settings!$I$80,Settings!$I$82,Settings!$I$84,Settings!$I$86)</f>
        <v/>
      </c>
      <c r="AU569" s="171" t="n"/>
      <c r="AV569" t="n">
        <v>1.35</v>
      </c>
    </row>
    <row r="570">
      <c r="A570" s="28" t="n"/>
      <c r="B570" s="29" t="inlineStr">
        <is>
          <t>E0558W</t>
        </is>
      </c>
      <c r="C570" s="29" t="inlineStr">
        <is>
          <t>WIRELESS THERMOMETER E0558W</t>
        </is>
      </c>
      <c r="D570" s="29" t="inlineStr">
        <is>
          <t>Метеостанції та термометри</t>
        </is>
      </c>
      <c r="E570" s="28" t="inlineStr">
        <is>
          <t>PC</t>
        </is>
      </c>
      <c r="F570" s="93" t="n">
        <v>7.438</v>
      </c>
      <c r="G570" s="30" t="n">
        <v>9025804089</v>
      </c>
      <c r="H570" s="31" t="n">
        <v>1.35</v>
      </c>
      <c r="I570" s="84">
        <f>IFERROR(F570*Settings!$B$2*H570*IF(AND(ISNUMBER(E570),E570&gt;1),E570,1),"")</f>
        <v/>
      </c>
      <c r="J570" s="32">
        <f>Settings!$B$66</f>
        <v/>
      </c>
      <c r="K570" s="95">
        <f>IFERROR(IF(T570="","",(T570*(1-AN570)*(1-Settings!$B$17)-I570)/(T570*(1-AN570)*(1-Settings!$B$17))),"")</f>
        <v/>
      </c>
      <c r="L570" s="101">
        <f>IFERROR(IF(T570="","",(T570*(1-AO570)*(1-Settings!$C$17)-I570)/(T570*(1-AO570)*(1-Settings!$C$17))),"")</f>
        <v/>
      </c>
      <c r="M570" s="101">
        <f>IFERROR(IF(T570="","",(T570*(1-AP570)*(1-Settings!$D$17)-I570)/(T570*(1-AP570)*(1-Settings!$D$17))),"")</f>
        <v/>
      </c>
      <c r="N570" s="101">
        <f>IFERROR(IF(T570="","",(T570*(1-AQ570)*(1-Settings!$F$17)-I570)/(T570*(1-AQ570)*(1-Settings!$F$17))),"")</f>
        <v/>
      </c>
      <c r="O570" s="101">
        <f>IFERROR(IF(T570="","",(T570*(1-AR570)*(1-Settings!$G$17)-I570)/(T570*(1-AR570)*(1-Settings!$G$17))),"")</f>
        <v/>
      </c>
      <c r="P570" s="101">
        <f>IFERROR(IF(T570="","",(T570*(1-AS570)*(1-Settings!$H$17)-I570)/(T570*(1-AS570)*(1-Settings!$H$17))),"")</f>
        <v/>
      </c>
      <c r="Q570" s="101">
        <f>IFERROR(IF(T570="","",(T570*(1-AT570)*(1-Settings!$I$68)*(1-Settings!$I$17)-I570)/(T570*(1-AT570)*(1-Settings!$I$68)*(1-Settings!$I$17))),"")</f>
        <v/>
      </c>
      <c r="R570" s="91">
        <f>IFERROR(IF(OR(I570="",Z570&gt;=1,Settings!$B$17&gt;=1,AN570&gt;=1),"",IF(MOD(ROUND(I570/(1-Z570)/(1-Settings!$B$17)/(1-AN570),0),10)=0,ROUND(I570/(1-Z570)/(1-Settings!$B$17)/(1-AN570),0)-1,IF(MOD(ROUND(I570/(1-Z570)/(1-Settings!$B$17)/(1-AN570),0),10)&lt;=5,FLOOR(ROUND(I570/(1-Z570)/(1-Settings!$B$17)/(1-AN570),0),10)+6,FLOOR(ROUND(I570/(1-Z570)/(1-Settings!$B$17)/(1-AN570),0),10)+9))),"")</f>
        <v/>
      </c>
      <c r="S570" s="174">
        <f>R570*0.95</f>
        <v/>
      </c>
      <c r="T570" s="91">
        <f>IF(S570&lt;&gt;"", IF(MOD(S570,10)=0,S570-1,IF(MOD(S570,10)&lt;=5,FLOOR(S570,10)+6,FLOOR(S570,10)+9)), R570)</f>
        <v/>
      </c>
      <c r="U570" s="87" t="inlineStr">
        <is>
          <t>Основний</t>
        </is>
      </c>
      <c r="V570" s="88" t="n"/>
      <c r="W570" s="88" t="n"/>
      <c r="X570" s="89">
        <f>IFERROR(IF(OR(V570="",W570="",T570=""),"", IF(T570&gt;W570,"Дорогий",IF(T570&lt;V570,"Дешевий","У ринку"))),"")</f>
        <v/>
      </c>
      <c r="Y570" s="90" t="n"/>
      <c r="Z570" s="104">
        <f>CHOOSE(MATCH(IF($U570="","Основний",$U570),{"Трафіковий","Основний","Маржинальний","Сезонний","Стратегічний"},0),0.16,0.19,0.24,0.23,0.28)</f>
        <v/>
      </c>
      <c r="AA570" s="104">
        <f>CHOOSE(MATCH(IF($U570="","Основний",$U570),{"Трафіковий","Основний","Маржинальний","Сезонний","Стратегічний"},0),0.18,0.21,0.26,0.25,0.3)</f>
        <v/>
      </c>
      <c r="AB570" s="104">
        <f>CHOOSE(MATCH(IF($U570="","Основний",$U570),{"Трафіковий","Основний","Маржинальний","Сезонний","Стратегічний"},0),0.19,0.22,0.28,0.26,0.32)</f>
        <v/>
      </c>
      <c r="AC570" s="104">
        <f>CHOOSE(MATCH(IF($U570="","Основний",$U570),{"Трафіковий","Основний","Маржинальний","Сезонний","Стратегічний"},0),0.17,0.2,0.25,0.24,0.28)</f>
        <v/>
      </c>
      <c r="AD570" s="104">
        <f>CHOOSE(MATCH(IF($U570="","Основний",$U570),{"Трафіковий","Основний","Маржинальний","Сезонний","Стратегічний"},0),0.18,0.21,0.26,0.25,0.3)</f>
        <v/>
      </c>
      <c r="AE570" s="104">
        <f>CHOOSE(MATCH(IF($U570="","Основний",$U570),{"Трафіковий","Основний","Маржинальний","Сезонний","Стратегічний"},0),0.18,0.2,0.28,0.27,0.32)</f>
        <v/>
      </c>
      <c r="AF570" s="104">
        <f>CHOOSE(MATCH(IF($U570="","Основний",$U570),{"Трафіковий","Основний","Маржинальний","Сезонний","Стратегічний"},0),0.15,0.175,0.22,0.21,0.25)</f>
        <v/>
      </c>
      <c r="AG570" s="104">
        <f>CHOOSE(MATCH(IF($U570="","Основний",$U570),{"Трафіковий","Основний","Маржинальний","Сезонний","Стратегічний"},0),0.13,0.16,0.21,0.2,0.25)</f>
        <v/>
      </c>
      <c r="AH570" s="104">
        <f>CHOOSE(MATCH(IF($U570="","Основний",$U570),{"Трафіковий","Основний","Маржинальний","Сезонний","Стратегічний"},0),0.15,0.18,0.23,0.22,0.27)</f>
        <v/>
      </c>
      <c r="AI570" s="104">
        <f>CHOOSE(MATCH(IF($U570="","Основний",$U570),{"Трафіковий","Основний","Маржинальний","Сезонний","Стратегічний"},0),0.16,0.19,0.25,0.23,0.29)</f>
        <v/>
      </c>
      <c r="AJ570" s="104">
        <f>CHOOSE(MATCH(IF($U570="","Основний",$U570),{"Трафіковий","Основний","Маржинальний","Сезонний","Стратегічний"},0),0.14,0.17,0.22,0.21,0.25)</f>
        <v/>
      </c>
      <c r="AK570" s="104">
        <f>CHOOSE(MATCH(IF($U570="","Основний",$U570),{"Трафіковий","Основний","Маржинальний","Сезонний","Стратегічний"},0),0.15,0.18,0.23,0.22,0.27)</f>
        <v/>
      </c>
      <c r="AL570" s="104">
        <f>CHOOSE(MATCH(IF($U570="","Основний",$U570),{"Трафіковий","Основний","Маржинальний","Сезонний","Стратегічний"},0),0.15,0.17,0.25,0.24,0.29)</f>
        <v/>
      </c>
      <c r="AM570" s="104">
        <f>CHOOSE(MATCH(IF($U570="","Основний",$U570),{"Трафіковий","Основний","Маржинальний","Сезонний","Стратегічний"},0),0.12,0.145,0.19,0.18,0.22)</f>
        <v/>
      </c>
      <c r="AN570" s="157">
        <f>CHOOSE(MATCH(IF($U570="","Основний",$U570),{"Трафіковий","Основний","Маржинальний","Сезонний","Стратегічний"},0),Settings!$B$78,Settings!$B$80,Settings!$B$82,Settings!$B$84,Settings!$B$86)</f>
        <v/>
      </c>
      <c r="AO570" s="157">
        <f>CHOOSE(MATCH(IF($U570="","Основний",$U570),{"Трафіковий","Основний","Маржинальний","Сезонний","Стратегічний"},0),Settings!$C$78,Settings!$C$80,Settings!$C$82,Settings!$C$84,Settings!$C$86)</f>
        <v/>
      </c>
      <c r="AP570" s="157">
        <f>CHOOSE(MATCH(IF($U570="","Основний",$U570),{"Трафіковий","Основний","Маржинальний","Сезонний","Стратегічний"},0),Settings!$D$78,Settings!$D$80,Settings!$D$82,Settings!$D$84,Settings!$D$86)</f>
        <v/>
      </c>
      <c r="AQ570" s="157">
        <f>CHOOSE(MATCH(IF($U570="","Основний",$U570),{"Трафіковий","Основний","Маржинальний","Сезонний","Стратегічний"},0),Settings!$F$78,Settings!$F$80,Settings!$F$82,Settings!$F$84,Settings!$F$86)</f>
        <v/>
      </c>
      <c r="AR570" s="157">
        <f>CHOOSE(MATCH(IF($U570="","Основний",$U570),{"Трафіковий","Основний","Маржинальний","Сезонний","Стратегічний"},0),Settings!$G$78,Settings!$G$80,Settings!$G$82,Settings!$G$84,Settings!$G$86)</f>
        <v/>
      </c>
      <c r="AS570" s="157">
        <f>CHOOSE(MATCH(IF($U570="","Основний",$U570),{"Трафіковий","Основний","Маржинальний","Сезонний","Стратегічний"},0),Settings!$H$78,Settings!$H$80,Settings!$H$82,Settings!$H$84,Settings!$H$86)</f>
        <v/>
      </c>
      <c r="AT570" s="157">
        <f>CHOOSE(MATCH(IF($U570="","Основний",$U570),{"Трафіковий","Основний","Маржинальний","Сезонний","Стратегічний"},0),Settings!$I$78,Settings!$I$80,Settings!$I$82,Settings!$I$84,Settings!$I$86)</f>
        <v/>
      </c>
      <c r="AU570" s="171" t="n"/>
      <c r="AV570" t="n">
        <v>1.35</v>
      </c>
    </row>
    <row r="571">
      <c r="A571" s="33" t="inlineStr">
        <is>
          <t>SELL OUT</t>
        </is>
      </c>
      <c r="B571" s="34" t="inlineStr">
        <is>
          <t>EGS0102</t>
        </is>
      </c>
      <c r="C571" s="34" t="inlineStr">
        <is>
          <t>GOSMART THERMOMETER EGS0102</t>
        </is>
      </c>
      <c r="D571" s="34" t="inlineStr">
        <is>
          <t>Метеостанції та термометри</t>
        </is>
      </c>
      <c r="E571" s="33" t="inlineStr">
        <is>
          <t>PC</t>
        </is>
      </c>
      <c r="F571" s="94" t="n">
        <v>7.892</v>
      </c>
      <c r="G571" s="35" t="n">
        <v>9025804089</v>
      </c>
      <c r="H571" s="31" t="n">
        <v>1.35</v>
      </c>
      <c r="I571" s="84">
        <f>IFERROR(F571*Settings!$B$2*H571*IF(AND(ISNUMBER(E571),E571&gt;1),E571,1),"")</f>
        <v/>
      </c>
      <c r="J571" s="32">
        <f>Settings!$B$66</f>
        <v/>
      </c>
      <c r="K571" s="95">
        <f>IFERROR(IF(T571="","",(T571*(1-AN571)*(1-Settings!$B$17)-I571)/(T571*(1-AN571)*(1-Settings!$B$17))),"")</f>
        <v/>
      </c>
      <c r="L571" s="101">
        <f>IFERROR(IF(T571="","",(T571*(1-AO571)*(1-Settings!$C$17)-I571)/(T571*(1-AO571)*(1-Settings!$C$17))),"")</f>
        <v/>
      </c>
      <c r="M571" s="101">
        <f>IFERROR(IF(T571="","",(T571*(1-AP571)*(1-Settings!$D$17)-I571)/(T571*(1-AP571)*(1-Settings!$D$17))),"")</f>
        <v/>
      </c>
      <c r="N571" s="101">
        <f>IFERROR(IF(T571="","",(T571*(1-AQ571)*(1-Settings!$F$17)-I571)/(T571*(1-AQ571)*(1-Settings!$F$17))),"")</f>
        <v/>
      </c>
      <c r="O571" s="101">
        <f>IFERROR(IF(T571="","",(T571*(1-AR571)*(1-Settings!$G$17)-I571)/(T571*(1-AR571)*(1-Settings!$G$17))),"")</f>
        <v/>
      </c>
      <c r="P571" s="101">
        <f>IFERROR(IF(T571="","",(T571*(1-AS571)*(1-Settings!$H$17)-I571)/(T571*(1-AS571)*(1-Settings!$H$17))),"")</f>
        <v/>
      </c>
      <c r="Q571" s="101">
        <f>IFERROR(IF(T571="","",(T571*(1-AT571)*(1-Settings!$I$68)*(1-Settings!$I$17)-I571)/(T571*(1-AT571)*(1-Settings!$I$68)*(1-Settings!$I$17))),"")</f>
        <v/>
      </c>
      <c r="R571" s="91">
        <f>IFERROR(IF(OR(I571="",Z571&gt;=1,Settings!$B$17&gt;=1,AN571&gt;=1),"",IF(MOD(ROUND(I571/(1-Z571)/(1-Settings!$B$17)/(1-AN571),0),10)=0,ROUND(I571/(1-Z571)/(1-Settings!$B$17)/(1-AN571),0)-1,IF(MOD(ROUND(I571/(1-Z571)/(1-Settings!$B$17)/(1-AN571),0),10)&lt;=5,FLOOR(ROUND(I571/(1-Z571)/(1-Settings!$B$17)/(1-AN571),0),10)+6,FLOOR(ROUND(I571/(1-Z571)/(1-Settings!$B$17)/(1-AN571),0),10)+9))),"")</f>
        <v/>
      </c>
      <c r="S571" s="174">
        <f>R571*0.95</f>
        <v/>
      </c>
      <c r="T571" s="91">
        <f>IF(S571&lt;&gt;"", IF(MOD(S571,10)=0,S571-1,IF(MOD(S571,10)&lt;=5,FLOOR(S571,10)+6,FLOOR(S571,10)+9)), R571)</f>
        <v/>
      </c>
      <c r="U571" s="87" t="inlineStr">
        <is>
          <t>Основний</t>
        </is>
      </c>
      <c r="V571" s="88" t="n"/>
      <c r="W571" s="88" t="n"/>
      <c r="X571" s="89">
        <f>IFERROR(IF(OR(V571="",W571="",T571=""),"", IF(T571&gt;W571,"Дорогий",IF(T571&lt;V571,"Дешевий","У ринку"))),"")</f>
        <v/>
      </c>
      <c r="Y571" s="90" t="n"/>
      <c r="Z571" s="104">
        <f>CHOOSE(MATCH(IF($U571="","Основний",$U571),{"Трафіковий","Основний","Маржинальний","Сезонний","Стратегічний"},0),0.16,0.19,0.24,0.23,0.28)</f>
        <v/>
      </c>
      <c r="AA571" s="104">
        <f>CHOOSE(MATCH(IF($U571="","Основний",$U571),{"Трафіковий","Основний","Маржинальний","Сезонний","Стратегічний"},0),0.18,0.21,0.26,0.25,0.3)</f>
        <v/>
      </c>
      <c r="AB571" s="104">
        <f>CHOOSE(MATCH(IF($U571="","Основний",$U571),{"Трафіковий","Основний","Маржинальний","Сезонний","Стратегічний"},0),0.19,0.22,0.28,0.26,0.32)</f>
        <v/>
      </c>
      <c r="AC571" s="104">
        <f>CHOOSE(MATCH(IF($U571="","Основний",$U571),{"Трафіковий","Основний","Маржинальний","Сезонний","Стратегічний"},0),0.17,0.2,0.25,0.24,0.28)</f>
        <v/>
      </c>
      <c r="AD571" s="104">
        <f>CHOOSE(MATCH(IF($U571="","Основний",$U571),{"Трафіковий","Основний","Маржинальний","Сезонний","Стратегічний"},0),0.18,0.21,0.26,0.25,0.3)</f>
        <v/>
      </c>
      <c r="AE571" s="104">
        <f>CHOOSE(MATCH(IF($U571="","Основний",$U571),{"Трафіковий","Основний","Маржинальний","Сезонний","Стратегічний"},0),0.18,0.2,0.28,0.27,0.32)</f>
        <v/>
      </c>
      <c r="AF571" s="104">
        <f>CHOOSE(MATCH(IF($U571="","Основний",$U571),{"Трафіковий","Основний","Маржинальний","Сезонний","Стратегічний"},0),0.15,0.175,0.22,0.21,0.25)</f>
        <v/>
      </c>
      <c r="AG571" s="104">
        <f>CHOOSE(MATCH(IF($U571="","Основний",$U571),{"Трафіковий","Основний","Маржинальний","Сезонний","Стратегічний"},0),0.13,0.16,0.21,0.2,0.25)</f>
        <v/>
      </c>
      <c r="AH571" s="104">
        <f>CHOOSE(MATCH(IF($U571="","Основний",$U571),{"Трафіковий","Основний","Маржинальний","Сезонний","Стратегічний"},0),0.15,0.18,0.23,0.22,0.27)</f>
        <v/>
      </c>
      <c r="AI571" s="104">
        <f>CHOOSE(MATCH(IF($U571="","Основний",$U571),{"Трафіковий","Основний","Маржинальний","Сезонний","Стратегічний"},0),0.16,0.19,0.25,0.23,0.29)</f>
        <v/>
      </c>
      <c r="AJ571" s="104">
        <f>CHOOSE(MATCH(IF($U571="","Основний",$U571),{"Трафіковий","Основний","Маржинальний","Сезонний","Стратегічний"},0),0.14,0.17,0.22,0.21,0.25)</f>
        <v/>
      </c>
      <c r="AK571" s="104">
        <f>CHOOSE(MATCH(IF($U571="","Основний",$U571),{"Трафіковий","Основний","Маржинальний","Сезонний","Стратегічний"},0),0.15,0.18,0.23,0.22,0.27)</f>
        <v/>
      </c>
      <c r="AL571" s="104">
        <f>CHOOSE(MATCH(IF($U571="","Основний",$U571),{"Трафіковий","Основний","Маржинальний","Сезонний","Стратегічний"},0),0.15,0.17,0.25,0.24,0.29)</f>
        <v/>
      </c>
      <c r="AM571" s="104">
        <f>CHOOSE(MATCH(IF($U571="","Основний",$U571),{"Трафіковий","Основний","Маржинальний","Сезонний","Стратегічний"},0),0.12,0.145,0.19,0.18,0.22)</f>
        <v/>
      </c>
      <c r="AN571" s="157">
        <f>CHOOSE(MATCH(IF($U571="","Основний",$U571),{"Трафіковий","Основний","Маржинальний","Сезонний","Стратегічний"},0),Settings!$B$78,Settings!$B$80,Settings!$B$82,Settings!$B$84,Settings!$B$86)</f>
        <v/>
      </c>
      <c r="AO571" s="157">
        <f>CHOOSE(MATCH(IF($U571="","Основний",$U571),{"Трафіковий","Основний","Маржинальний","Сезонний","Стратегічний"},0),Settings!$C$78,Settings!$C$80,Settings!$C$82,Settings!$C$84,Settings!$C$86)</f>
        <v/>
      </c>
      <c r="AP571" s="157">
        <f>CHOOSE(MATCH(IF($U571="","Основний",$U571),{"Трафіковий","Основний","Маржинальний","Сезонний","Стратегічний"},0),Settings!$D$78,Settings!$D$80,Settings!$D$82,Settings!$D$84,Settings!$D$86)</f>
        <v/>
      </c>
      <c r="AQ571" s="157">
        <f>CHOOSE(MATCH(IF($U571="","Основний",$U571),{"Трафіковий","Основний","Маржинальний","Сезонний","Стратегічний"},0),Settings!$F$78,Settings!$F$80,Settings!$F$82,Settings!$F$84,Settings!$F$86)</f>
        <v/>
      </c>
      <c r="AR571" s="157">
        <f>CHOOSE(MATCH(IF($U571="","Основний",$U571),{"Трафіковий","Основний","Маржинальний","Сезонний","Стратегічний"},0),Settings!$G$78,Settings!$G$80,Settings!$G$82,Settings!$G$84,Settings!$G$86)</f>
        <v/>
      </c>
      <c r="AS571" s="157">
        <f>CHOOSE(MATCH(IF($U571="","Основний",$U571),{"Трафіковий","Основний","Маржинальний","Сезонний","Стратегічний"},0),Settings!$H$78,Settings!$H$80,Settings!$H$82,Settings!$H$84,Settings!$H$86)</f>
        <v/>
      </c>
      <c r="AT571" s="157">
        <f>CHOOSE(MATCH(IF($U571="","Основний",$U571),{"Трафіковий","Основний","Маржинальний","Сезонний","Стратегічний"},0),Settings!$I$78,Settings!$I$80,Settings!$I$82,Settings!$I$84,Settings!$I$86)</f>
        <v/>
      </c>
      <c r="AU571" s="171" t="n"/>
      <c r="AV571" t="n">
        <v>1.35</v>
      </c>
    </row>
    <row r="572">
      <c r="A572" s="28" t="inlineStr">
        <is>
          <t>NEW</t>
        </is>
      </c>
      <c r="B572" s="29" t="inlineStr">
        <is>
          <t>E30300</t>
        </is>
      </c>
      <c r="C572" s="29" t="inlineStr">
        <is>
          <t>GOSMART AIR QUALITY MONITOR E30300</t>
        </is>
      </c>
      <c r="D572" s="29" t="inlineStr">
        <is>
          <t>Метеостанції та термометри</t>
        </is>
      </c>
      <c r="E572" s="28" t="inlineStr">
        <is>
          <t>PC</t>
        </is>
      </c>
      <c r="F572" s="93" t="n">
        <v>46.629</v>
      </c>
      <c r="G572" s="30" t="n">
        <v>9025804089</v>
      </c>
      <c r="H572" s="31" t="n">
        <v>1.35</v>
      </c>
      <c r="I572" s="84">
        <f>IFERROR(F572*Settings!$B$2*H572*IF(AND(ISNUMBER(E572),E572&gt;1),E572,1),"")</f>
        <v/>
      </c>
      <c r="J572" s="32">
        <f>Settings!$B$66</f>
        <v/>
      </c>
      <c r="K572" s="95">
        <f>IFERROR(IF(T572="","",(T572*(1-AN572)*(1-Settings!$B$17)-I572)/(T572*(1-AN572)*(1-Settings!$B$17))),"")</f>
        <v/>
      </c>
      <c r="L572" s="101">
        <f>IFERROR(IF(T572="","",(T572*(1-AO572)*(1-Settings!$C$17)-I572)/(T572*(1-AO572)*(1-Settings!$C$17))),"")</f>
        <v/>
      </c>
      <c r="M572" s="101">
        <f>IFERROR(IF(T572="","",(T572*(1-AP572)*(1-Settings!$D$17)-I572)/(T572*(1-AP572)*(1-Settings!$D$17))),"")</f>
        <v/>
      </c>
      <c r="N572" s="101">
        <f>IFERROR(IF(T572="","",(T572*(1-AQ572)*(1-Settings!$F$17)-I572)/(T572*(1-AQ572)*(1-Settings!$F$17))),"")</f>
        <v/>
      </c>
      <c r="O572" s="101">
        <f>IFERROR(IF(T572="","",(T572*(1-AR572)*(1-Settings!$G$17)-I572)/(T572*(1-AR572)*(1-Settings!$G$17))),"")</f>
        <v/>
      </c>
      <c r="P572" s="101">
        <f>IFERROR(IF(T572="","",(T572*(1-AS572)*(1-Settings!$H$17)-I572)/(T572*(1-AS572)*(1-Settings!$H$17))),"")</f>
        <v/>
      </c>
      <c r="Q572" s="101">
        <f>IFERROR(IF(T572="","",(T572*(1-AT572)*(1-Settings!$I$68)*(1-Settings!$I$17)-I572)/(T572*(1-AT572)*(1-Settings!$I$68)*(1-Settings!$I$17))),"")</f>
        <v/>
      </c>
      <c r="R572" s="91">
        <f>IFERROR(IF(OR(I572="",Z572&gt;=1,Settings!$B$17&gt;=1,AN572&gt;=1),"",IF(MOD(ROUND(I572/(1-Z572)/(1-Settings!$B$17)/(1-AN572),0),10)=0,ROUND(I572/(1-Z572)/(1-Settings!$B$17)/(1-AN572),0)-1,IF(MOD(ROUND(I572/(1-Z572)/(1-Settings!$B$17)/(1-AN572),0),10)&lt;=5,FLOOR(ROUND(I572/(1-Z572)/(1-Settings!$B$17)/(1-AN572),0),10)+6,FLOOR(ROUND(I572/(1-Z572)/(1-Settings!$B$17)/(1-AN572),0),10)+9))),"")</f>
        <v/>
      </c>
      <c r="S572" s="174" t="n"/>
      <c r="T572" s="91">
        <f>IF(S572&lt;&gt;"", IF(MOD(S572,10)=0,S572-1,IF(MOD(S572,10)&lt;=5,FLOOR(S572,10)+6,FLOOR(S572,10)+9)), R572)</f>
        <v/>
      </c>
      <c r="U572" s="87" t="inlineStr">
        <is>
          <t>Трафіковий</t>
        </is>
      </c>
      <c r="V572" s="88" t="n"/>
      <c r="W572" s="88" t="n"/>
      <c r="X572" s="89">
        <f>IFERROR(IF(OR(V572="",W572="",T572=""),"", IF(T572&gt;W572,"Дорогий",IF(T572&lt;V572,"Дешевий","У ринку"))),"")</f>
        <v/>
      </c>
      <c r="Y572" s="90" t="n"/>
      <c r="Z572" s="104">
        <f>CHOOSE(MATCH(IF($U572="","Основний",$U572),{"Трафіковий","Основний","Маржинальний","Сезонний","Стратегічний"},0),0.16,0.19,0.24,0.23,0.28)</f>
        <v/>
      </c>
      <c r="AA572" s="104">
        <f>CHOOSE(MATCH(IF($U572="","Основний",$U572),{"Трафіковий","Основний","Маржинальний","Сезонний","Стратегічний"},0),0.18,0.21,0.26,0.25,0.3)</f>
        <v/>
      </c>
      <c r="AB572" s="104">
        <f>CHOOSE(MATCH(IF($U572="","Основний",$U572),{"Трафіковий","Основний","Маржинальний","Сезонний","Стратегічний"},0),0.19,0.22,0.28,0.26,0.32)</f>
        <v/>
      </c>
      <c r="AC572" s="104">
        <f>CHOOSE(MATCH(IF($U572="","Основний",$U572),{"Трафіковий","Основний","Маржинальний","Сезонний","Стратегічний"},0),0.17,0.2,0.25,0.24,0.28)</f>
        <v/>
      </c>
      <c r="AD572" s="104">
        <f>CHOOSE(MATCH(IF($U572="","Основний",$U572),{"Трафіковий","Основний","Маржинальний","Сезонний","Стратегічний"},0),0.18,0.21,0.26,0.25,0.3)</f>
        <v/>
      </c>
      <c r="AE572" s="104">
        <f>CHOOSE(MATCH(IF($U572="","Основний",$U572),{"Трафіковий","Основний","Маржинальний","Сезонний","Стратегічний"},0),0.18,0.2,0.28,0.27,0.32)</f>
        <v/>
      </c>
      <c r="AF572" s="104">
        <f>CHOOSE(MATCH(IF($U572="","Основний",$U572),{"Трафіковий","Основний","Маржинальний","Сезонний","Стратегічний"},0),0.15,0.175,0.22,0.21,0.25)</f>
        <v/>
      </c>
      <c r="AG572" s="104">
        <f>CHOOSE(MATCH(IF($U572="","Основний",$U572),{"Трафіковий","Основний","Маржинальний","Сезонний","Стратегічний"},0),0.13,0.16,0.21,0.2,0.25)</f>
        <v/>
      </c>
      <c r="AH572" s="104">
        <f>CHOOSE(MATCH(IF($U572="","Основний",$U572),{"Трафіковий","Основний","Маржинальний","Сезонний","Стратегічний"},0),0.15,0.18,0.23,0.22,0.27)</f>
        <v/>
      </c>
      <c r="AI572" s="104">
        <f>CHOOSE(MATCH(IF($U572="","Основний",$U572),{"Трафіковий","Основний","Маржинальний","Сезонний","Стратегічний"},0),0.16,0.19,0.25,0.23,0.29)</f>
        <v/>
      </c>
      <c r="AJ572" s="104">
        <f>CHOOSE(MATCH(IF($U572="","Основний",$U572),{"Трафіковий","Основний","Маржинальний","Сезонний","Стратегічний"},0),0.14,0.17,0.22,0.21,0.25)</f>
        <v/>
      </c>
      <c r="AK572" s="104">
        <f>CHOOSE(MATCH(IF($U572="","Основний",$U572),{"Трафіковий","Основний","Маржинальний","Сезонний","Стратегічний"},0),0.15,0.18,0.23,0.22,0.27)</f>
        <v/>
      </c>
      <c r="AL572" s="104">
        <f>CHOOSE(MATCH(IF($U572="","Основний",$U572),{"Трафіковий","Основний","Маржинальний","Сезонний","Стратегічний"},0),0.15,0.17,0.25,0.24,0.29)</f>
        <v/>
      </c>
      <c r="AM572" s="104">
        <f>CHOOSE(MATCH(IF($U572="","Основний",$U572),{"Трафіковий","Основний","Маржинальний","Сезонний","Стратегічний"},0),0.12,0.145,0.19,0.18,0.22)</f>
        <v/>
      </c>
      <c r="AN572" s="157">
        <f>CHOOSE(MATCH(IF($U572="","Основний",$U572),{"Трафіковий","Основний","Маржинальний","Сезонний","Стратегічний"},0),Settings!$B$78,Settings!$B$80,Settings!$B$82,Settings!$B$84,Settings!$B$86)</f>
        <v/>
      </c>
      <c r="AO572" s="157">
        <f>CHOOSE(MATCH(IF($U572="","Основний",$U572),{"Трафіковий","Основний","Маржинальний","Сезонний","Стратегічний"},0),Settings!$C$78,Settings!$C$80,Settings!$C$82,Settings!$C$84,Settings!$C$86)</f>
        <v/>
      </c>
      <c r="AP572" s="157">
        <f>CHOOSE(MATCH(IF($U572="","Основний",$U572),{"Трафіковий","Основний","Маржинальний","Сезонний","Стратегічний"},0),Settings!$D$78,Settings!$D$80,Settings!$D$82,Settings!$D$84,Settings!$D$86)</f>
        <v/>
      </c>
      <c r="AQ572" s="157">
        <f>CHOOSE(MATCH(IF($U572="","Основний",$U572),{"Трафіковий","Основний","Маржинальний","Сезонний","Стратегічний"},0),Settings!$F$78,Settings!$F$80,Settings!$F$82,Settings!$F$84,Settings!$F$86)</f>
        <v/>
      </c>
      <c r="AR572" s="157">
        <f>CHOOSE(MATCH(IF($U572="","Основний",$U572),{"Трафіковий","Основний","Маржинальний","Сезонний","Стратегічний"},0),Settings!$G$78,Settings!$G$80,Settings!$G$82,Settings!$G$84,Settings!$G$86)</f>
        <v/>
      </c>
      <c r="AS572" s="157">
        <f>CHOOSE(MATCH(IF($U572="","Основний",$U572),{"Трафіковий","Основний","Маржинальний","Сезонний","Стратегічний"},0),Settings!$H$78,Settings!$H$80,Settings!$H$82,Settings!$H$84,Settings!$H$86)</f>
        <v/>
      </c>
      <c r="AT572" s="157">
        <f>CHOOSE(MATCH(IF($U572="","Основний",$U572),{"Трафіковий","Основний","Маржинальний","Сезонний","Стратегічний"},0),Settings!$I$78,Settings!$I$80,Settings!$I$82,Settings!$I$84,Settings!$I$86)</f>
        <v/>
      </c>
      <c r="AU572" s="171" t="n"/>
      <c r="AV572" t="n">
        <v>1.35</v>
      </c>
    </row>
    <row r="573">
      <c r="A573" s="33" t="n"/>
      <c r="B573" s="34" t="inlineStr">
        <is>
          <t>E05018</t>
        </is>
      </c>
      <c r="C573" s="34" t="inlineStr">
        <is>
          <t>WIRELESS SENSOR AOK-5018B</t>
        </is>
      </c>
      <c r="D573" s="34" t="inlineStr">
        <is>
          <t>Метеостанції та термометри</t>
        </is>
      </c>
      <c r="E573" s="33" t="inlineStr">
        <is>
          <t>PC</t>
        </is>
      </c>
      <c r="F573" s="94" t="n">
        <v>5.891</v>
      </c>
      <c r="G573" s="35" t="n">
        <v>9025900090</v>
      </c>
      <c r="H573" s="31" t="n">
        <v>1.35</v>
      </c>
      <c r="I573" s="84">
        <f>IFERROR(F573*Settings!$B$2*H573*IF(AND(ISNUMBER(E573),E573&gt;1),E573,1),"")</f>
        <v/>
      </c>
      <c r="J573" s="32">
        <f>Settings!$B$66</f>
        <v/>
      </c>
      <c r="K573" s="95">
        <f>IFERROR(IF(T573="","",(T573*(1-AN573)*(1-Settings!$B$17)-I573)/(T573*(1-AN573)*(1-Settings!$B$17))),"")</f>
        <v/>
      </c>
      <c r="L573" s="101">
        <f>IFERROR(IF(T573="","",(T573*(1-AO573)*(1-Settings!$C$17)-I573)/(T573*(1-AO573)*(1-Settings!$C$17))),"")</f>
        <v/>
      </c>
      <c r="M573" s="101">
        <f>IFERROR(IF(T573="","",(T573*(1-AP573)*(1-Settings!$D$17)-I573)/(T573*(1-AP573)*(1-Settings!$D$17))),"")</f>
        <v/>
      </c>
      <c r="N573" s="101">
        <f>IFERROR(IF(T573="","",(T573*(1-AQ573)*(1-Settings!$F$17)-I573)/(T573*(1-AQ573)*(1-Settings!$F$17))),"")</f>
        <v/>
      </c>
      <c r="O573" s="101">
        <f>IFERROR(IF(T573="","",(T573*(1-AR573)*(1-Settings!$G$17)-I573)/(T573*(1-AR573)*(1-Settings!$G$17))),"")</f>
        <v/>
      </c>
      <c r="P573" s="101">
        <f>IFERROR(IF(T573="","",(T573*(1-AS573)*(1-Settings!$H$17)-I573)/(T573*(1-AS573)*(1-Settings!$H$17))),"")</f>
        <v/>
      </c>
      <c r="Q573" s="101">
        <f>IFERROR(IF(T573="","",(T573*(1-AT573)*(1-Settings!$I$68)*(1-Settings!$I$17)-I573)/(T573*(1-AT573)*(1-Settings!$I$68)*(1-Settings!$I$17))),"")</f>
        <v/>
      </c>
      <c r="R573" s="91">
        <f>IFERROR(IF(OR(I573="",Z573&gt;=1,Settings!$B$17&gt;=1,AN573&gt;=1),"",IF(MOD(ROUND(I573/(1-Z573)/(1-Settings!$B$17)/(1-AN573),0),10)=0,ROUND(I573/(1-Z573)/(1-Settings!$B$17)/(1-AN573),0)-1,IF(MOD(ROUND(I573/(1-Z573)/(1-Settings!$B$17)/(1-AN573),0),10)&lt;=5,FLOOR(ROUND(I573/(1-Z573)/(1-Settings!$B$17)/(1-AN573),0),10)+6,FLOOR(ROUND(I573/(1-Z573)/(1-Settings!$B$17)/(1-AN573),0),10)+9))),"")</f>
        <v/>
      </c>
      <c r="S573" s="174">
        <f>R573*0.95</f>
        <v/>
      </c>
      <c r="T573" s="91">
        <f>IF(S573&lt;&gt;"", IF(MOD(S573,10)=0,S573-1,IF(MOD(S573,10)&lt;=5,FLOOR(S573,10)+6,FLOOR(S573,10)+9)), R573)</f>
        <v/>
      </c>
      <c r="U573" s="87" t="inlineStr">
        <is>
          <t>Основний</t>
        </is>
      </c>
      <c r="V573" s="88" t="n"/>
      <c r="W573" s="88" t="n"/>
      <c r="X573" s="89">
        <f>IFERROR(IF(OR(V573="",W573="",T573=""),"", IF(T573&gt;W573,"Дорогий",IF(T573&lt;V573,"Дешевий","У ринку"))),"")</f>
        <v/>
      </c>
      <c r="Y573" s="90" t="n"/>
      <c r="Z573" s="104">
        <f>CHOOSE(MATCH(IF($U573="","Основний",$U573),{"Трафіковий","Основний","Маржинальний","Сезонний","Стратегічний"},0),0.16,0.19,0.24,0.23,0.28)</f>
        <v/>
      </c>
      <c r="AA573" s="104">
        <f>CHOOSE(MATCH(IF($U573="","Основний",$U573),{"Трафіковий","Основний","Маржинальний","Сезонний","Стратегічний"},0),0.18,0.21,0.26,0.25,0.3)</f>
        <v/>
      </c>
      <c r="AB573" s="104">
        <f>CHOOSE(MATCH(IF($U573="","Основний",$U573),{"Трафіковий","Основний","Маржинальний","Сезонний","Стратегічний"},0),0.19,0.22,0.28,0.26,0.32)</f>
        <v/>
      </c>
      <c r="AC573" s="104">
        <f>CHOOSE(MATCH(IF($U573="","Основний",$U573),{"Трафіковий","Основний","Маржинальний","Сезонний","Стратегічний"},0),0.17,0.2,0.25,0.24,0.28)</f>
        <v/>
      </c>
      <c r="AD573" s="104">
        <f>CHOOSE(MATCH(IF($U573="","Основний",$U573),{"Трафіковий","Основний","Маржинальний","Сезонний","Стратегічний"},0),0.18,0.21,0.26,0.25,0.3)</f>
        <v/>
      </c>
      <c r="AE573" s="104">
        <f>CHOOSE(MATCH(IF($U573="","Основний",$U573),{"Трафіковий","Основний","Маржинальний","Сезонний","Стратегічний"},0),0.18,0.2,0.28,0.27,0.32)</f>
        <v/>
      </c>
      <c r="AF573" s="104">
        <f>CHOOSE(MATCH(IF($U573="","Основний",$U573),{"Трафіковий","Основний","Маржинальний","Сезонний","Стратегічний"},0),0.15,0.175,0.22,0.21,0.25)</f>
        <v/>
      </c>
      <c r="AG573" s="104">
        <f>CHOOSE(MATCH(IF($U573="","Основний",$U573),{"Трафіковий","Основний","Маржинальний","Сезонний","Стратегічний"},0),0.13,0.16,0.21,0.2,0.25)</f>
        <v/>
      </c>
      <c r="AH573" s="104">
        <f>CHOOSE(MATCH(IF($U573="","Основний",$U573),{"Трафіковий","Основний","Маржинальний","Сезонний","Стратегічний"},0),0.15,0.18,0.23,0.22,0.27)</f>
        <v/>
      </c>
      <c r="AI573" s="104">
        <f>CHOOSE(MATCH(IF($U573="","Основний",$U573),{"Трафіковий","Основний","Маржинальний","Сезонний","Стратегічний"},0),0.16,0.19,0.25,0.23,0.29)</f>
        <v/>
      </c>
      <c r="AJ573" s="104">
        <f>CHOOSE(MATCH(IF($U573="","Основний",$U573),{"Трафіковий","Основний","Маржинальний","Сезонний","Стратегічний"},0),0.14,0.17,0.22,0.21,0.25)</f>
        <v/>
      </c>
      <c r="AK573" s="104">
        <f>CHOOSE(MATCH(IF($U573="","Основний",$U573),{"Трафіковий","Основний","Маржинальний","Сезонний","Стратегічний"},0),0.15,0.18,0.23,0.22,0.27)</f>
        <v/>
      </c>
      <c r="AL573" s="104">
        <f>CHOOSE(MATCH(IF($U573="","Основний",$U573),{"Трафіковий","Основний","Маржинальний","Сезонний","Стратегічний"},0),0.15,0.17,0.25,0.24,0.29)</f>
        <v/>
      </c>
      <c r="AM573" s="104">
        <f>CHOOSE(MATCH(IF($U573="","Основний",$U573),{"Трафіковий","Основний","Маржинальний","Сезонний","Стратегічний"},0),0.12,0.145,0.19,0.18,0.22)</f>
        <v/>
      </c>
      <c r="AN573" s="157">
        <f>CHOOSE(MATCH(IF($U573="","Основний",$U573),{"Трафіковий","Основний","Маржинальний","Сезонний","Стратегічний"},0),Settings!$B$78,Settings!$B$80,Settings!$B$82,Settings!$B$84,Settings!$B$86)</f>
        <v/>
      </c>
      <c r="AO573" s="157">
        <f>CHOOSE(MATCH(IF($U573="","Основний",$U573),{"Трафіковий","Основний","Маржинальний","Сезонний","Стратегічний"},0),Settings!$C$78,Settings!$C$80,Settings!$C$82,Settings!$C$84,Settings!$C$86)</f>
        <v/>
      </c>
      <c r="AP573" s="157">
        <f>CHOOSE(MATCH(IF($U573="","Основний",$U573),{"Трафіковий","Основний","Маржинальний","Сезонний","Стратегічний"},0),Settings!$D$78,Settings!$D$80,Settings!$D$82,Settings!$D$84,Settings!$D$86)</f>
        <v/>
      </c>
      <c r="AQ573" s="157">
        <f>CHOOSE(MATCH(IF($U573="","Основний",$U573),{"Трафіковий","Основний","Маржинальний","Сезонний","Стратегічний"},0),Settings!$F$78,Settings!$F$80,Settings!$F$82,Settings!$F$84,Settings!$F$86)</f>
        <v/>
      </c>
      <c r="AR573" s="157">
        <f>CHOOSE(MATCH(IF($U573="","Основний",$U573),{"Трафіковий","Основний","Маржинальний","Сезонний","Стратегічний"},0),Settings!$G$78,Settings!$G$80,Settings!$G$82,Settings!$G$84,Settings!$G$86)</f>
        <v/>
      </c>
      <c r="AS573" s="157">
        <f>CHOOSE(MATCH(IF($U573="","Основний",$U573),{"Трафіковий","Основний","Маржинальний","Сезонний","Стратегічний"},0),Settings!$H$78,Settings!$H$80,Settings!$H$82,Settings!$H$84,Settings!$H$86)</f>
        <v/>
      </c>
      <c r="AT573" s="157">
        <f>CHOOSE(MATCH(IF($U573="","Основний",$U573),{"Трафіковий","Основний","Маржинальний","Сезонний","Стратегічний"},0),Settings!$I$78,Settings!$I$80,Settings!$I$82,Settings!$I$84,Settings!$I$86)</f>
        <v/>
      </c>
      <c r="AU573" s="171" t="n"/>
      <c r="AV573" t="n">
        <v>1.35</v>
      </c>
    </row>
    <row r="574">
      <c r="A574" s="28" t="n"/>
      <c r="B574" s="29" t="inlineStr">
        <is>
          <t>E03070</t>
        </is>
      </c>
      <c r="C574" s="29" t="inlineStr">
        <is>
          <t>WIRELESS SENSOR E03070</t>
        </is>
      </c>
      <c r="D574" s="29" t="inlineStr">
        <is>
          <t>Метеостанції та термометри</t>
        </is>
      </c>
      <c r="E574" s="28" t="inlineStr">
        <is>
          <t>PC</t>
        </is>
      </c>
      <c r="F574" s="93" t="n">
        <v>2.976</v>
      </c>
      <c r="G574" s="30" t="n">
        <v>9025900090</v>
      </c>
      <c r="H574" s="31" t="n">
        <v>1.35</v>
      </c>
      <c r="I574" s="84">
        <f>IFERROR(F574*Settings!$B$2*H574*IF(AND(ISNUMBER(E574),E574&gt;1),E574,1),"")</f>
        <v/>
      </c>
      <c r="J574" s="32">
        <f>Settings!$B$66</f>
        <v/>
      </c>
      <c r="K574" s="95">
        <f>IFERROR(IF(T574="","",(T574*(1-AN574)*(1-Settings!$B$17)-I574)/(T574*(1-AN574)*(1-Settings!$B$17))),"")</f>
        <v/>
      </c>
      <c r="L574" s="101">
        <f>IFERROR(IF(T574="","",(T574*(1-AO574)*(1-Settings!$C$17)-I574)/(T574*(1-AO574)*(1-Settings!$C$17))),"")</f>
        <v/>
      </c>
      <c r="M574" s="101">
        <f>IFERROR(IF(T574="","",(T574*(1-AP574)*(1-Settings!$D$17)-I574)/(T574*(1-AP574)*(1-Settings!$D$17))),"")</f>
        <v/>
      </c>
      <c r="N574" s="101">
        <f>IFERROR(IF(T574="","",(T574*(1-AQ574)*(1-Settings!$F$17)-I574)/(T574*(1-AQ574)*(1-Settings!$F$17))),"")</f>
        <v/>
      </c>
      <c r="O574" s="101">
        <f>IFERROR(IF(T574="","",(T574*(1-AR574)*(1-Settings!$G$17)-I574)/(T574*(1-AR574)*(1-Settings!$G$17))),"")</f>
        <v/>
      </c>
      <c r="P574" s="101">
        <f>IFERROR(IF(T574="","",(T574*(1-AS574)*(1-Settings!$H$17)-I574)/(T574*(1-AS574)*(1-Settings!$H$17))),"")</f>
        <v/>
      </c>
      <c r="Q574" s="101">
        <f>IFERROR(IF(T574="","",(T574*(1-AT574)*(1-Settings!$I$68)*(1-Settings!$I$17)-I574)/(T574*(1-AT574)*(1-Settings!$I$68)*(1-Settings!$I$17))),"")</f>
        <v/>
      </c>
      <c r="R574" s="91">
        <f>IFERROR(IF(OR(I574="",Z574&gt;=1,Settings!$B$17&gt;=1,AN574&gt;=1),"",IF(MOD(ROUND(I574/(1-Z574)/(1-Settings!$B$17)/(1-AN574),0),10)=0,ROUND(I574/(1-Z574)/(1-Settings!$B$17)/(1-AN574),0)-1,IF(MOD(ROUND(I574/(1-Z574)/(1-Settings!$B$17)/(1-AN574),0),10)&lt;=5,FLOOR(ROUND(I574/(1-Z574)/(1-Settings!$B$17)/(1-AN574),0),10)+6,FLOOR(ROUND(I574/(1-Z574)/(1-Settings!$B$17)/(1-AN574),0),10)+9))),"")</f>
        <v/>
      </c>
      <c r="S574" s="174">
        <f>R574*0.95</f>
        <v/>
      </c>
      <c r="T574" s="91">
        <f>IF(S574&lt;&gt;"", IF(MOD(S574,10)=0,S574-1,IF(MOD(S574,10)&lt;=5,FLOOR(S574,10)+6,FLOOR(S574,10)+9)), R574)</f>
        <v/>
      </c>
      <c r="U574" s="87" t="inlineStr">
        <is>
          <t>Основний</t>
        </is>
      </c>
      <c r="V574" s="88" t="n"/>
      <c r="W574" s="88" t="n"/>
      <c r="X574" s="89">
        <f>IFERROR(IF(OR(V574="",W574="",T574=""),"", IF(T574&gt;W574,"Дорогий",IF(T574&lt;V574,"Дешевий","У ринку"))),"")</f>
        <v/>
      </c>
      <c r="Y574" s="90" t="n"/>
      <c r="Z574" s="104">
        <f>CHOOSE(MATCH(IF($U574="","Основний",$U574),{"Трафіковий","Основний","Маржинальний","Сезонний","Стратегічний"},0),0.16,0.19,0.24,0.23,0.28)</f>
        <v/>
      </c>
      <c r="AA574" s="104">
        <f>CHOOSE(MATCH(IF($U574="","Основний",$U574),{"Трафіковий","Основний","Маржинальний","Сезонний","Стратегічний"},0),0.18,0.21,0.26,0.25,0.3)</f>
        <v/>
      </c>
      <c r="AB574" s="104">
        <f>CHOOSE(MATCH(IF($U574="","Основний",$U574),{"Трафіковий","Основний","Маржинальний","Сезонний","Стратегічний"},0),0.19,0.22,0.28,0.26,0.32)</f>
        <v/>
      </c>
      <c r="AC574" s="104">
        <f>CHOOSE(MATCH(IF($U574="","Основний",$U574),{"Трафіковий","Основний","Маржинальний","Сезонний","Стратегічний"},0),0.17,0.2,0.25,0.24,0.28)</f>
        <v/>
      </c>
      <c r="AD574" s="104">
        <f>CHOOSE(MATCH(IF($U574="","Основний",$U574),{"Трафіковий","Основний","Маржинальний","Сезонний","Стратегічний"},0),0.18,0.21,0.26,0.25,0.3)</f>
        <v/>
      </c>
      <c r="AE574" s="104">
        <f>CHOOSE(MATCH(IF($U574="","Основний",$U574),{"Трафіковий","Основний","Маржинальний","Сезонний","Стратегічний"},0),0.18,0.2,0.28,0.27,0.32)</f>
        <v/>
      </c>
      <c r="AF574" s="104">
        <f>CHOOSE(MATCH(IF($U574="","Основний",$U574),{"Трафіковий","Основний","Маржинальний","Сезонний","Стратегічний"},0),0.15,0.175,0.22,0.21,0.25)</f>
        <v/>
      </c>
      <c r="AG574" s="104">
        <f>CHOOSE(MATCH(IF($U574="","Основний",$U574),{"Трафіковий","Основний","Маржинальний","Сезонний","Стратегічний"},0),0.13,0.16,0.21,0.2,0.25)</f>
        <v/>
      </c>
      <c r="AH574" s="104">
        <f>CHOOSE(MATCH(IF($U574="","Основний",$U574),{"Трафіковий","Основний","Маржинальний","Сезонний","Стратегічний"},0),0.15,0.18,0.23,0.22,0.27)</f>
        <v/>
      </c>
      <c r="AI574" s="104">
        <f>CHOOSE(MATCH(IF($U574="","Основний",$U574),{"Трафіковий","Основний","Маржинальний","Сезонний","Стратегічний"},0),0.16,0.19,0.25,0.23,0.29)</f>
        <v/>
      </c>
      <c r="AJ574" s="104">
        <f>CHOOSE(MATCH(IF($U574="","Основний",$U574),{"Трафіковий","Основний","Маржинальний","Сезонний","Стратегічний"},0),0.14,0.17,0.22,0.21,0.25)</f>
        <v/>
      </c>
      <c r="AK574" s="104">
        <f>CHOOSE(MATCH(IF($U574="","Основний",$U574),{"Трафіковий","Основний","Маржинальний","Сезонний","Стратегічний"},0),0.15,0.18,0.23,0.22,0.27)</f>
        <v/>
      </c>
      <c r="AL574" s="104">
        <f>CHOOSE(MATCH(IF($U574="","Основний",$U574),{"Трафіковий","Основний","Маржинальний","Сезонний","Стратегічний"},0),0.15,0.17,0.25,0.24,0.29)</f>
        <v/>
      </c>
      <c r="AM574" s="104">
        <f>CHOOSE(MATCH(IF($U574="","Основний",$U574),{"Трафіковий","Основний","Маржинальний","Сезонний","Стратегічний"},0),0.12,0.145,0.19,0.18,0.22)</f>
        <v/>
      </c>
      <c r="AN574" s="157">
        <f>CHOOSE(MATCH(IF($U574="","Основний",$U574),{"Трафіковий","Основний","Маржинальний","Сезонний","Стратегічний"},0),Settings!$B$78,Settings!$B$80,Settings!$B$82,Settings!$B$84,Settings!$B$86)</f>
        <v/>
      </c>
      <c r="AO574" s="157">
        <f>CHOOSE(MATCH(IF($U574="","Основний",$U574),{"Трафіковий","Основний","Маржинальний","Сезонний","Стратегічний"},0),Settings!$C$78,Settings!$C$80,Settings!$C$82,Settings!$C$84,Settings!$C$86)</f>
        <v/>
      </c>
      <c r="AP574" s="157">
        <f>CHOOSE(MATCH(IF($U574="","Основний",$U574),{"Трафіковий","Основний","Маржинальний","Сезонний","Стратегічний"},0),Settings!$D$78,Settings!$D$80,Settings!$D$82,Settings!$D$84,Settings!$D$86)</f>
        <v/>
      </c>
      <c r="AQ574" s="157">
        <f>CHOOSE(MATCH(IF($U574="","Основний",$U574),{"Трафіковий","Основний","Маржинальний","Сезонний","Стратегічний"},0),Settings!$F$78,Settings!$F$80,Settings!$F$82,Settings!$F$84,Settings!$F$86)</f>
        <v/>
      </c>
      <c r="AR574" s="157">
        <f>CHOOSE(MATCH(IF($U574="","Основний",$U574),{"Трафіковий","Основний","Маржинальний","Сезонний","Стратегічний"},0),Settings!$G$78,Settings!$G$80,Settings!$G$82,Settings!$G$84,Settings!$G$86)</f>
        <v/>
      </c>
      <c r="AS574" s="157">
        <f>CHOOSE(MATCH(IF($U574="","Основний",$U574),{"Трафіковий","Основний","Маржинальний","Сезонний","Стратегічний"},0),Settings!$H$78,Settings!$H$80,Settings!$H$82,Settings!$H$84,Settings!$H$86)</f>
        <v/>
      </c>
      <c r="AT574" s="157">
        <f>CHOOSE(MATCH(IF($U574="","Основний",$U574),{"Трафіковий","Основний","Маржинальний","Сезонний","Стратегічний"},0),Settings!$I$78,Settings!$I$80,Settings!$I$82,Settings!$I$84,Settings!$I$86)</f>
        <v/>
      </c>
      <c r="AU574" s="171" t="n"/>
      <c r="AV574" t="n">
        <v>1.35</v>
      </c>
    </row>
    <row r="575">
      <c r="A575" s="33" t="n"/>
      <c r="B575" s="34" t="inlineStr">
        <is>
          <t>E06018</t>
        </is>
      </c>
      <c r="C575" s="34" t="inlineStr">
        <is>
          <t>WIRELESS SENSOR E06018</t>
        </is>
      </c>
      <c r="D575" s="34" t="inlineStr">
        <is>
          <t>Метеостанції та термометри</t>
        </is>
      </c>
      <c r="E575" s="33" t="inlineStr">
        <is>
          <t>PC</t>
        </is>
      </c>
      <c r="F575" s="94" t="n">
        <v>4.283</v>
      </c>
      <c r="G575" s="35" t="n">
        <v>9025900090</v>
      </c>
      <c r="H575" s="31" t="n">
        <v>1.35</v>
      </c>
      <c r="I575" s="84">
        <f>IFERROR(F575*Settings!$B$2*H575*IF(AND(ISNUMBER(E575),E575&gt;1),E575,1),"")</f>
        <v/>
      </c>
      <c r="J575" s="32">
        <f>Settings!$B$66</f>
        <v/>
      </c>
      <c r="K575" s="95">
        <f>IFERROR(IF(T575="","",(T575*(1-AN575)*(1-Settings!$B$17)-I575)/(T575*(1-AN575)*(1-Settings!$B$17))),"")</f>
        <v/>
      </c>
      <c r="L575" s="101">
        <f>IFERROR(IF(T575="","",(T575*(1-AO575)*(1-Settings!$C$17)-I575)/(T575*(1-AO575)*(1-Settings!$C$17))),"")</f>
        <v/>
      </c>
      <c r="M575" s="101">
        <f>IFERROR(IF(T575="","",(T575*(1-AP575)*(1-Settings!$D$17)-I575)/(T575*(1-AP575)*(1-Settings!$D$17))),"")</f>
        <v/>
      </c>
      <c r="N575" s="101">
        <f>IFERROR(IF(T575="","",(T575*(1-AQ575)*(1-Settings!$F$17)-I575)/(T575*(1-AQ575)*(1-Settings!$F$17))),"")</f>
        <v/>
      </c>
      <c r="O575" s="101">
        <f>IFERROR(IF(T575="","",(T575*(1-AR575)*(1-Settings!$G$17)-I575)/(T575*(1-AR575)*(1-Settings!$G$17))),"")</f>
        <v/>
      </c>
      <c r="P575" s="101">
        <f>IFERROR(IF(T575="","",(T575*(1-AS575)*(1-Settings!$H$17)-I575)/(T575*(1-AS575)*(1-Settings!$H$17))),"")</f>
        <v/>
      </c>
      <c r="Q575" s="101">
        <f>IFERROR(IF(T575="","",(T575*(1-AT575)*(1-Settings!$I$68)*(1-Settings!$I$17)-I575)/(T575*(1-AT575)*(1-Settings!$I$68)*(1-Settings!$I$17))),"")</f>
        <v/>
      </c>
      <c r="R575" s="91">
        <f>IFERROR(IF(OR(I575="",Z575&gt;=1,Settings!$B$17&gt;=1,AN575&gt;=1),"",IF(MOD(ROUND(I575/(1-Z575)/(1-Settings!$B$17)/(1-AN575),0),10)=0,ROUND(I575/(1-Z575)/(1-Settings!$B$17)/(1-AN575),0)-1,IF(MOD(ROUND(I575/(1-Z575)/(1-Settings!$B$17)/(1-AN575),0),10)&lt;=5,FLOOR(ROUND(I575/(1-Z575)/(1-Settings!$B$17)/(1-AN575),0),10)+6,FLOOR(ROUND(I575/(1-Z575)/(1-Settings!$B$17)/(1-AN575),0),10)+9))),"")</f>
        <v/>
      </c>
      <c r="S575" s="174">
        <f>R575*0.95</f>
        <v/>
      </c>
      <c r="T575" s="91">
        <f>IF(S575&lt;&gt;"", IF(MOD(S575,10)=0,S575-1,IF(MOD(S575,10)&lt;=5,FLOOR(S575,10)+6,FLOOR(S575,10)+9)), R575)</f>
        <v/>
      </c>
      <c r="U575" s="87" t="inlineStr">
        <is>
          <t>Основний</t>
        </is>
      </c>
      <c r="V575" s="88" t="n"/>
      <c r="W575" s="88" t="n"/>
      <c r="X575" s="89">
        <f>IFERROR(IF(OR(V575="",W575="",T575=""),"", IF(T575&gt;W575,"Дорогий",IF(T575&lt;V575,"Дешевий","У ринку"))),"")</f>
        <v/>
      </c>
      <c r="Y575" s="90" t="n"/>
      <c r="Z575" s="104">
        <f>CHOOSE(MATCH(IF($U575="","Основний",$U575),{"Трафіковий","Основний","Маржинальний","Сезонний","Стратегічний"},0),0.16,0.19,0.24,0.23,0.28)</f>
        <v/>
      </c>
      <c r="AA575" s="104">
        <f>CHOOSE(MATCH(IF($U575="","Основний",$U575),{"Трафіковий","Основний","Маржинальний","Сезонний","Стратегічний"},0),0.18,0.21,0.26,0.25,0.3)</f>
        <v/>
      </c>
      <c r="AB575" s="104">
        <f>CHOOSE(MATCH(IF($U575="","Основний",$U575),{"Трафіковий","Основний","Маржинальний","Сезонний","Стратегічний"},0),0.19,0.22,0.28,0.26,0.32)</f>
        <v/>
      </c>
      <c r="AC575" s="104">
        <f>CHOOSE(MATCH(IF($U575="","Основний",$U575),{"Трафіковий","Основний","Маржинальний","Сезонний","Стратегічний"},0),0.17,0.2,0.25,0.24,0.28)</f>
        <v/>
      </c>
      <c r="AD575" s="104">
        <f>CHOOSE(MATCH(IF($U575="","Основний",$U575),{"Трафіковий","Основний","Маржинальний","Сезонний","Стратегічний"},0),0.18,0.21,0.26,0.25,0.3)</f>
        <v/>
      </c>
      <c r="AE575" s="104">
        <f>CHOOSE(MATCH(IF($U575="","Основний",$U575),{"Трафіковий","Основний","Маржинальний","Сезонний","Стратегічний"},0),0.18,0.2,0.28,0.27,0.32)</f>
        <v/>
      </c>
      <c r="AF575" s="104">
        <f>CHOOSE(MATCH(IF($U575="","Основний",$U575),{"Трафіковий","Основний","Маржинальний","Сезонний","Стратегічний"},0),0.15,0.175,0.22,0.21,0.25)</f>
        <v/>
      </c>
      <c r="AG575" s="104">
        <f>CHOOSE(MATCH(IF($U575="","Основний",$U575),{"Трафіковий","Основний","Маржинальний","Сезонний","Стратегічний"},0),0.13,0.16,0.21,0.2,0.25)</f>
        <v/>
      </c>
      <c r="AH575" s="104">
        <f>CHOOSE(MATCH(IF($U575="","Основний",$U575),{"Трафіковий","Основний","Маржинальний","Сезонний","Стратегічний"},0),0.15,0.18,0.23,0.22,0.27)</f>
        <v/>
      </c>
      <c r="AI575" s="104">
        <f>CHOOSE(MATCH(IF($U575="","Основний",$U575),{"Трафіковий","Основний","Маржинальний","Сезонний","Стратегічний"},0),0.16,0.19,0.25,0.23,0.29)</f>
        <v/>
      </c>
      <c r="AJ575" s="104">
        <f>CHOOSE(MATCH(IF($U575="","Основний",$U575),{"Трафіковий","Основний","Маржинальний","Сезонний","Стратегічний"},0),0.14,0.17,0.22,0.21,0.25)</f>
        <v/>
      </c>
      <c r="AK575" s="104">
        <f>CHOOSE(MATCH(IF($U575="","Основний",$U575),{"Трафіковий","Основний","Маржинальний","Сезонний","Стратегічний"},0),0.15,0.18,0.23,0.22,0.27)</f>
        <v/>
      </c>
      <c r="AL575" s="104">
        <f>CHOOSE(MATCH(IF($U575="","Основний",$U575),{"Трафіковий","Основний","Маржинальний","Сезонний","Стратегічний"},0),0.15,0.17,0.25,0.24,0.29)</f>
        <v/>
      </c>
      <c r="AM575" s="104">
        <f>CHOOSE(MATCH(IF($U575="","Основний",$U575),{"Трафіковий","Основний","Маржинальний","Сезонний","Стратегічний"},0),0.12,0.145,0.19,0.18,0.22)</f>
        <v/>
      </c>
      <c r="AN575" s="157">
        <f>CHOOSE(MATCH(IF($U575="","Основний",$U575),{"Трафіковий","Основний","Маржинальний","Сезонний","Стратегічний"},0),Settings!$B$78,Settings!$B$80,Settings!$B$82,Settings!$B$84,Settings!$B$86)</f>
        <v/>
      </c>
      <c r="AO575" s="157">
        <f>CHOOSE(MATCH(IF($U575="","Основний",$U575),{"Трафіковий","Основний","Маржинальний","Сезонний","Стратегічний"},0),Settings!$C$78,Settings!$C$80,Settings!$C$82,Settings!$C$84,Settings!$C$86)</f>
        <v/>
      </c>
      <c r="AP575" s="157">
        <f>CHOOSE(MATCH(IF($U575="","Основний",$U575),{"Трафіковий","Основний","Маржинальний","Сезонний","Стратегічний"},0),Settings!$D$78,Settings!$D$80,Settings!$D$82,Settings!$D$84,Settings!$D$86)</f>
        <v/>
      </c>
      <c r="AQ575" s="157">
        <f>CHOOSE(MATCH(IF($U575="","Основний",$U575),{"Трафіковий","Основний","Маржинальний","Сезонний","Стратегічний"},0),Settings!$F$78,Settings!$F$80,Settings!$F$82,Settings!$F$84,Settings!$F$86)</f>
        <v/>
      </c>
      <c r="AR575" s="157">
        <f>CHOOSE(MATCH(IF($U575="","Основний",$U575),{"Трафіковий","Основний","Маржинальний","Сезонний","Стратегічний"},0),Settings!$G$78,Settings!$G$80,Settings!$G$82,Settings!$G$84,Settings!$G$86)</f>
        <v/>
      </c>
      <c r="AS575" s="157">
        <f>CHOOSE(MATCH(IF($U575="","Основний",$U575),{"Трафіковий","Основний","Маржинальний","Сезонний","Стратегічний"},0),Settings!$H$78,Settings!$H$80,Settings!$H$82,Settings!$H$84,Settings!$H$86)</f>
        <v/>
      </c>
      <c r="AT575" s="157">
        <f>CHOOSE(MATCH(IF($U575="","Основний",$U575),{"Трафіковий","Основний","Маржинальний","Сезонний","Стратегічний"},0),Settings!$I$78,Settings!$I$80,Settings!$I$82,Settings!$I$84,Settings!$I$86)</f>
        <v/>
      </c>
      <c r="AU575" s="171" t="n"/>
      <c r="AV575" t="n">
        <v>1.35</v>
      </c>
    </row>
    <row r="576">
      <c r="A576" s="28" t="n"/>
      <c r="B576" s="29" t="inlineStr">
        <is>
          <t>E06016</t>
        </is>
      </c>
      <c r="C576" s="29" t="inlineStr">
        <is>
          <t>WIRELESS SENSOR E06016</t>
        </is>
      </c>
      <c r="D576" s="29" t="inlineStr">
        <is>
          <t>Метеостанції та термометри</t>
        </is>
      </c>
      <c r="E576" s="28" t="inlineStr">
        <is>
          <t>PC</t>
        </is>
      </c>
      <c r="F576" s="93" t="n">
        <v>14.293</v>
      </c>
      <c r="G576" s="30" t="n">
        <v>9025900090</v>
      </c>
      <c r="H576" s="31" t="n">
        <v>1.35</v>
      </c>
      <c r="I576" s="84">
        <f>IFERROR(F576*Settings!$B$2*H576*IF(AND(ISNUMBER(E576),E576&gt;1),E576,1),"")</f>
        <v/>
      </c>
      <c r="J576" s="32">
        <f>Settings!$B$66</f>
        <v/>
      </c>
      <c r="K576" s="95">
        <f>IFERROR(IF(T576="","",(T576*(1-AN576)*(1-Settings!$B$17)-I576)/(T576*(1-AN576)*(1-Settings!$B$17))),"")</f>
        <v/>
      </c>
      <c r="L576" s="101">
        <f>IFERROR(IF(T576="","",(T576*(1-AO576)*(1-Settings!$C$17)-I576)/(T576*(1-AO576)*(1-Settings!$C$17))),"")</f>
        <v/>
      </c>
      <c r="M576" s="101">
        <f>IFERROR(IF(T576="","",(T576*(1-AP576)*(1-Settings!$D$17)-I576)/(T576*(1-AP576)*(1-Settings!$D$17))),"")</f>
        <v/>
      </c>
      <c r="N576" s="101">
        <f>IFERROR(IF(T576="","",(T576*(1-AQ576)*(1-Settings!$F$17)-I576)/(T576*(1-AQ576)*(1-Settings!$F$17))),"")</f>
        <v/>
      </c>
      <c r="O576" s="101">
        <f>IFERROR(IF(T576="","",(T576*(1-AR576)*(1-Settings!$G$17)-I576)/(T576*(1-AR576)*(1-Settings!$G$17))),"")</f>
        <v/>
      </c>
      <c r="P576" s="101">
        <f>IFERROR(IF(T576="","",(T576*(1-AS576)*(1-Settings!$H$17)-I576)/(T576*(1-AS576)*(1-Settings!$H$17))),"")</f>
        <v/>
      </c>
      <c r="Q576" s="101">
        <f>IFERROR(IF(T576="","",(T576*(1-AT576)*(1-Settings!$I$68)*(1-Settings!$I$17)-I576)/(T576*(1-AT576)*(1-Settings!$I$68)*(1-Settings!$I$17))),"")</f>
        <v/>
      </c>
      <c r="R576" s="91">
        <f>IFERROR(IF(OR(I576="",Z576&gt;=1,Settings!$B$17&gt;=1,AN576&gt;=1),"",IF(MOD(ROUND(I576/(1-Z576)/(1-Settings!$B$17)/(1-AN576),0),10)=0,ROUND(I576/(1-Z576)/(1-Settings!$B$17)/(1-AN576),0)-1,IF(MOD(ROUND(I576/(1-Z576)/(1-Settings!$B$17)/(1-AN576),0),10)&lt;=5,FLOOR(ROUND(I576/(1-Z576)/(1-Settings!$B$17)/(1-AN576),0),10)+6,FLOOR(ROUND(I576/(1-Z576)/(1-Settings!$B$17)/(1-AN576),0),10)+9))),"")</f>
        <v/>
      </c>
      <c r="S576" s="174">
        <f>R576*0.95</f>
        <v/>
      </c>
      <c r="T576" s="91">
        <f>IF(S576&lt;&gt;"", IF(MOD(S576,10)=0,S576-1,IF(MOD(S576,10)&lt;=5,FLOOR(S576,10)+6,FLOOR(S576,10)+9)), R576)</f>
        <v/>
      </c>
      <c r="U576" s="87" t="inlineStr">
        <is>
          <t>Основний</t>
        </is>
      </c>
      <c r="V576" s="88" t="n"/>
      <c r="W576" s="88" t="n"/>
      <c r="X576" s="89">
        <f>IFERROR(IF(OR(V576="",W576="",T576=""),"", IF(T576&gt;W576,"Дорогий",IF(T576&lt;V576,"Дешевий","У ринку"))),"")</f>
        <v/>
      </c>
      <c r="Y576" s="90" t="n"/>
      <c r="Z576" s="104">
        <f>CHOOSE(MATCH(IF($U576="","Основний",$U576),{"Трафіковий","Основний","Маржинальний","Сезонний","Стратегічний"},0),0.16,0.19,0.24,0.23,0.28)</f>
        <v/>
      </c>
      <c r="AA576" s="104">
        <f>CHOOSE(MATCH(IF($U576="","Основний",$U576),{"Трафіковий","Основний","Маржинальний","Сезонний","Стратегічний"},0),0.18,0.21,0.26,0.25,0.3)</f>
        <v/>
      </c>
      <c r="AB576" s="104">
        <f>CHOOSE(MATCH(IF($U576="","Основний",$U576),{"Трафіковий","Основний","Маржинальний","Сезонний","Стратегічний"},0),0.19,0.22,0.28,0.26,0.32)</f>
        <v/>
      </c>
      <c r="AC576" s="104">
        <f>CHOOSE(MATCH(IF($U576="","Основний",$U576),{"Трафіковий","Основний","Маржинальний","Сезонний","Стратегічний"},0),0.17,0.2,0.25,0.24,0.28)</f>
        <v/>
      </c>
      <c r="AD576" s="104">
        <f>CHOOSE(MATCH(IF($U576="","Основний",$U576),{"Трафіковий","Основний","Маржинальний","Сезонний","Стратегічний"},0),0.18,0.21,0.26,0.25,0.3)</f>
        <v/>
      </c>
      <c r="AE576" s="104">
        <f>CHOOSE(MATCH(IF($U576="","Основний",$U576),{"Трафіковий","Основний","Маржинальний","Сезонний","Стратегічний"},0),0.18,0.2,0.28,0.27,0.32)</f>
        <v/>
      </c>
      <c r="AF576" s="104">
        <f>CHOOSE(MATCH(IF($U576="","Основний",$U576),{"Трафіковий","Основний","Маржинальний","Сезонний","Стратегічний"},0),0.15,0.175,0.22,0.21,0.25)</f>
        <v/>
      </c>
      <c r="AG576" s="104">
        <f>CHOOSE(MATCH(IF($U576="","Основний",$U576),{"Трафіковий","Основний","Маржинальний","Сезонний","Стратегічний"},0),0.13,0.16,0.21,0.2,0.25)</f>
        <v/>
      </c>
      <c r="AH576" s="104">
        <f>CHOOSE(MATCH(IF($U576="","Основний",$U576),{"Трафіковий","Основний","Маржинальний","Сезонний","Стратегічний"},0),0.15,0.18,0.23,0.22,0.27)</f>
        <v/>
      </c>
      <c r="AI576" s="104">
        <f>CHOOSE(MATCH(IF($U576="","Основний",$U576),{"Трафіковий","Основний","Маржинальний","Сезонний","Стратегічний"},0),0.16,0.19,0.25,0.23,0.29)</f>
        <v/>
      </c>
      <c r="AJ576" s="104">
        <f>CHOOSE(MATCH(IF($U576="","Основний",$U576),{"Трафіковий","Основний","Маржинальний","Сезонний","Стратегічний"},0),0.14,0.17,0.22,0.21,0.25)</f>
        <v/>
      </c>
      <c r="AK576" s="104">
        <f>CHOOSE(MATCH(IF($U576="","Основний",$U576),{"Трафіковий","Основний","Маржинальний","Сезонний","Стратегічний"},0),0.15,0.18,0.23,0.22,0.27)</f>
        <v/>
      </c>
      <c r="AL576" s="104">
        <f>CHOOSE(MATCH(IF($U576="","Основний",$U576),{"Трафіковий","Основний","Маржинальний","Сезонний","Стратегічний"},0),0.15,0.17,0.25,0.24,0.29)</f>
        <v/>
      </c>
      <c r="AM576" s="104">
        <f>CHOOSE(MATCH(IF($U576="","Основний",$U576),{"Трафіковий","Основний","Маржинальний","Сезонний","Стратегічний"},0),0.12,0.145,0.19,0.18,0.22)</f>
        <v/>
      </c>
      <c r="AN576" s="157">
        <f>CHOOSE(MATCH(IF($U576="","Основний",$U576),{"Трафіковий","Основний","Маржинальний","Сезонний","Стратегічний"},0),Settings!$B$78,Settings!$B$80,Settings!$B$82,Settings!$B$84,Settings!$B$86)</f>
        <v/>
      </c>
      <c r="AO576" s="157">
        <f>CHOOSE(MATCH(IF($U576="","Основний",$U576),{"Трафіковий","Основний","Маржинальний","Сезонний","Стратегічний"},0),Settings!$C$78,Settings!$C$80,Settings!$C$82,Settings!$C$84,Settings!$C$86)</f>
        <v/>
      </c>
      <c r="AP576" s="157">
        <f>CHOOSE(MATCH(IF($U576="","Основний",$U576),{"Трафіковий","Основний","Маржинальний","Сезонний","Стратегічний"},0),Settings!$D$78,Settings!$D$80,Settings!$D$82,Settings!$D$84,Settings!$D$86)</f>
        <v/>
      </c>
      <c r="AQ576" s="157">
        <f>CHOOSE(MATCH(IF($U576="","Основний",$U576),{"Трафіковий","Основний","Маржинальний","Сезонний","Стратегічний"},0),Settings!$F$78,Settings!$F$80,Settings!$F$82,Settings!$F$84,Settings!$F$86)</f>
        <v/>
      </c>
      <c r="AR576" s="157">
        <f>CHOOSE(MATCH(IF($U576="","Основний",$U576),{"Трафіковий","Основний","Маржинальний","Сезонний","Стратегічний"},0),Settings!$G$78,Settings!$G$80,Settings!$G$82,Settings!$G$84,Settings!$G$86)</f>
        <v/>
      </c>
      <c r="AS576" s="157">
        <f>CHOOSE(MATCH(IF($U576="","Основний",$U576),{"Трафіковий","Основний","Маржинальний","Сезонний","Стратегічний"},0),Settings!$H$78,Settings!$H$80,Settings!$H$82,Settings!$H$84,Settings!$H$86)</f>
        <v/>
      </c>
      <c r="AT576" s="157">
        <f>CHOOSE(MATCH(IF($U576="","Основний",$U576),{"Трафіковий","Основний","Маржинальний","Сезонний","Стратегічний"},0),Settings!$I$78,Settings!$I$80,Settings!$I$82,Settings!$I$84,Settings!$I$86)</f>
        <v/>
      </c>
      <c r="AU576" s="171" t="n"/>
      <c r="AV576" t="n">
        <v>1.35</v>
      </c>
    </row>
    <row r="577">
      <c r="A577" s="33" t="n"/>
      <c r="B577" s="34" t="inlineStr">
        <is>
          <t>E00387</t>
        </is>
      </c>
      <c r="C577" s="34" t="inlineStr">
        <is>
          <t>WIRELESS SENSOR E00387</t>
        </is>
      </c>
      <c r="D577" s="34" t="inlineStr">
        <is>
          <t>Метеостанції та термометри</t>
        </is>
      </c>
      <c r="E577" s="33" t="inlineStr">
        <is>
          <t>PC</t>
        </is>
      </c>
      <c r="F577" s="94" t="n">
        <v>4.887</v>
      </c>
      <c r="G577" s="35" t="n">
        <v>9025900090</v>
      </c>
      <c r="H577" s="31" t="n">
        <v>1.35</v>
      </c>
      <c r="I577" s="84">
        <f>IFERROR(F577*Settings!$B$2*H577*IF(AND(ISNUMBER(E577),E577&gt;1),E577,1),"")</f>
        <v/>
      </c>
      <c r="J577" s="32">
        <f>Settings!$B$66</f>
        <v/>
      </c>
      <c r="K577" s="95">
        <f>IFERROR(IF(T577="","",(T577*(1-AN577)*(1-Settings!$B$17)-I577)/(T577*(1-AN577)*(1-Settings!$B$17))),"")</f>
        <v/>
      </c>
      <c r="L577" s="101">
        <f>IFERROR(IF(T577="","",(T577*(1-AO577)*(1-Settings!$C$17)-I577)/(T577*(1-AO577)*(1-Settings!$C$17))),"")</f>
        <v/>
      </c>
      <c r="M577" s="101">
        <f>IFERROR(IF(T577="","",(T577*(1-AP577)*(1-Settings!$D$17)-I577)/(T577*(1-AP577)*(1-Settings!$D$17))),"")</f>
        <v/>
      </c>
      <c r="N577" s="101">
        <f>IFERROR(IF(T577="","",(T577*(1-AQ577)*(1-Settings!$F$17)-I577)/(T577*(1-AQ577)*(1-Settings!$F$17))),"")</f>
        <v/>
      </c>
      <c r="O577" s="101">
        <f>IFERROR(IF(T577="","",(T577*(1-AR577)*(1-Settings!$G$17)-I577)/(T577*(1-AR577)*(1-Settings!$G$17))),"")</f>
        <v/>
      </c>
      <c r="P577" s="101">
        <f>IFERROR(IF(T577="","",(T577*(1-AS577)*(1-Settings!$H$17)-I577)/(T577*(1-AS577)*(1-Settings!$H$17))),"")</f>
        <v/>
      </c>
      <c r="Q577" s="101">
        <f>IFERROR(IF(T577="","",(T577*(1-AT577)*(1-Settings!$I$68)*(1-Settings!$I$17)-I577)/(T577*(1-AT577)*(1-Settings!$I$68)*(1-Settings!$I$17))),"")</f>
        <v/>
      </c>
      <c r="R577" s="91">
        <f>IFERROR(IF(OR(I577="",Z577&gt;=1,Settings!$B$17&gt;=1,AN577&gt;=1),"",IF(MOD(ROUND(I577/(1-Z577)/(1-Settings!$B$17)/(1-AN577),0),10)=0,ROUND(I577/(1-Z577)/(1-Settings!$B$17)/(1-AN577),0)-1,IF(MOD(ROUND(I577/(1-Z577)/(1-Settings!$B$17)/(1-AN577),0),10)&lt;=5,FLOOR(ROUND(I577/(1-Z577)/(1-Settings!$B$17)/(1-AN577),0),10)+6,FLOOR(ROUND(I577/(1-Z577)/(1-Settings!$B$17)/(1-AN577),0),10)+9))),"")</f>
        <v/>
      </c>
      <c r="S577" s="174">
        <f>R577*0.95</f>
        <v/>
      </c>
      <c r="T577" s="91">
        <f>IF(S577&lt;&gt;"", IF(MOD(S577,10)=0,S577-1,IF(MOD(S577,10)&lt;=5,FLOOR(S577,10)+6,FLOOR(S577,10)+9)), R577)</f>
        <v/>
      </c>
      <c r="U577" s="87" t="inlineStr">
        <is>
          <t>Основний</t>
        </is>
      </c>
      <c r="V577" s="88" t="n"/>
      <c r="W577" s="88" t="n"/>
      <c r="X577" s="89">
        <f>IFERROR(IF(OR(V577="",W577="",T577=""),"", IF(T577&gt;W577,"Дорогий",IF(T577&lt;V577,"Дешевий","У ринку"))),"")</f>
        <v/>
      </c>
      <c r="Y577" s="90" t="n"/>
      <c r="Z577" s="104">
        <f>CHOOSE(MATCH(IF($U577="","Основний",$U577),{"Трафіковий","Основний","Маржинальний","Сезонний","Стратегічний"},0),0.16,0.19,0.24,0.23,0.28)</f>
        <v/>
      </c>
      <c r="AA577" s="104">
        <f>CHOOSE(MATCH(IF($U577="","Основний",$U577),{"Трафіковий","Основний","Маржинальний","Сезонний","Стратегічний"},0),0.18,0.21,0.26,0.25,0.3)</f>
        <v/>
      </c>
      <c r="AB577" s="104">
        <f>CHOOSE(MATCH(IF($U577="","Основний",$U577),{"Трафіковий","Основний","Маржинальний","Сезонний","Стратегічний"},0),0.19,0.22,0.28,0.26,0.32)</f>
        <v/>
      </c>
      <c r="AC577" s="104">
        <f>CHOOSE(MATCH(IF($U577="","Основний",$U577),{"Трафіковий","Основний","Маржинальний","Сезонний","Стратегічний"},0),0.17,0.2,0.25,0.24,0.28)</f>
        <v/>
      </c>
      <c r="AD577" s="104">
        <f>CHOOSE(MATCH(IF($U577="","Основний",$U577),{"Трафіковий","Основний","Маржинальний","Сезонний","Стратегічний"},0),0.18,0.21,0.26,0.25,0.3)</f>
        <v/>
      </c>
      <c r="AE577" s="104">
        <f>CHOOSE(MATCH(IF($U577="","Основний",$U577),{"Трафіковий","Основний","Маржинальний","Сезонний","Стратегічний"},0),0.18,0.2,0.28,0.27,0.32)</f>
        <v/>
      </c>
      <c r="AF577" s="104">
        <f>CHOOSE(MATCH(IF($U577="","Основний",$U577),{"Трафіковий","Основний","Маржинальний","Сезонний","Стратегічний"},0),0.15,0.175,0.22,0.21,0.25)</f>
        <v/>
      </c>
      <c r="AG577" s="104">
        <f>CHOOSE(MATCH(IF($U577="","Основний",$U577),{"Трафіковий","Основний","Маржинальний","Сезонний","Стратегічний"},0),0.13,0.16,0.21,0.2,0.25)</f>
        <v/>
      </c>
      <c r="AH577" s="104">
        <f>CHOOSE(MATCH(IF($U577="","Основний",$U577),{"Трафіковий","Основний","Маржинальний","Сезонний","Стратегічний"},0),0.15,0.18,0.23,0.22,0.27)</f>
        <v/>
      </c>
      <c r="AI577" s="104">
        <f>CHOOSE(MATCH(IF($U577="","Основний",$U577),{"Трафіковий","Основний","Маржинальний","Сезонний","Стратегічний"},0),0.16,0.19,0.25,0.23,0.29)</f>
        <v/>
      </c>
      <c r="AJ577" s="104">
        <f>CHOOSE(MATCH(IF($U577="","Основний",$U577),{"Трафіковий","Основний","Маржинальний","Сезонний","Стратегічний"},0),0.14,0.17,0.22,0.21,0.25)</f>
        <v/>
      </c>
      <c r="AK577" s="104">
        <f>CHOOSE(MATCH(IF($U577="","Основний",$U577),{"Трафіковий","Основний","Маржинальний","Сезонний","Стратегічний"},0),0.15,0.18,0.23,0.22,0.27)</f>
        <v/>
      </c>
      <c r="AL577" s="104">
        <f>CHOOSE(MATCH(IF($U577="","Основний",$U577),{"Трафіковий","Основний","Маржинальний","Сезонний","Стратегічний"},0),0.15,0.17,0.25,0.24,0.29)</f>
        <v/>
      </c>
      <c r="AM577" s="104">
        <f>CHOOSE(MATCH(IF($U577="","Основний",$U577),{"Трафіковий","Основний","Маржинальний","Сезонний","Стратегічний"},0),0.12,0.145,0.19,0.18,0.22)</f>
        <v/>
      </c>
      <c r="AN577" s="157">
        <f>CHOOSE(MATCH(IF($U577="","Основний",$U577),{"Трафіковий","Основний","Маржинальний","Сезонний","Стратегічний"},0),Settings!$B$78,Settings!$B$80,Settings!$B$82,Settings!$B$84,Settings!$B$86)</f>
        <v/>
      </c>
      <c r="AO577" s="157">
        <f>CHOOSE(MATCH(IF($U577="","Основний",$U577),{"Трафіковий","Основний","Маржинальний","Сезонний","Стратегічний"},0),Settings!$C$78,Settings!$C$80,Settings!$C$82,Settings!$C$84,Settings!$C$86)</f>
        <v/>
      </c>
      <c r="AP577" s="157">
        <f>CHOOSE(MATCH(IF($U577="","Основний",$U577),{"Трафіковий","Основний","Маржинальний","Сезонний","Стратегічний"},0),Settings!$D$78,Settings!$D$80,Settings!$D$82,Settings!$D$84,Settings!$D$86)</f>
        <v/>
      </c>
      <c r="AQ577" s="157">
        <f>CHOOSE(MATCH(IF($U577="","Основний",$U577),{"Трафіковий","Основний","Маржинальний","Сезонний","Стратегічний"},0),Settings!$F$78,Settings!$F$80,Settings!$F$82,Settings!$F$84,Settings!$F$86)</f>
        <v/>
      </c>
      <c r="AR577" s="157">
        <f>CHOOSE(MATCH(IF($U577="","Основний",$U577),{"Трафіковий","Основний","Маржинальний","Сезонний","Стратегічний"},0),Settings!$G$78,Settings!$G$80,Settings!$G$82,Settings!$G$84,Settings!$G$86)</f>
        <v/>
      </c>
      <c r="AS577" s="157">
        <f>CHOOSE(MATCH(IF($U577="","Основний",$U577),{"Трафіковий","Основний","Маржинальний","Сезонний","Стратегічний"},0),Settings!$H$78,Settings!$H$80,Settings!$H$82,Settings!$H$84,Settings!$H$86)</f>
        <v/>
      </c>
      <c r="AT577" s="157">
        <f>CHOOSE(MATCH(IF($U577="","Основний",$U577),{"Трафіковий","Основний","Маржинальний","Сезонний","Стратегічний"},0),Settings!$I$78,Settings!$I$80,Settings!$I$82,Settings!$I$84,Settings!$I$86)</f>
        <v/>
      </c>
      <c r="AU577" s="171" t="n"/>
      <c r="AV577" t="n">
        <v>1.35</v>
      </c>
    </row>
    <row r="578">
      <c r="A578" s="28" t="inlineStr">
        <is>
          <t>NEW</t>
        </is>
      </c>
      <c r="B578" s="29" t="inlineStr">
        <is>
          <t>E06000</t>
        </is>
      </c>
      <c r="C578" s="29" t="inlineStr">
        <is>
          <t>WIRELESS SENSOR E06000</t>
        </is>
      </c>
      <c r="D578" s="29" t="inlineStr">
        <is>
          <t>Метеостанції та термометри</t>
        </is>
      </c>
      <c r="E578" s="28" t="inlineStr">
        <is>
          <t>PC</t>
        </is>
      </c>
      <c r="F578" s="93" t="n">
        <v>7.967</v>
      </c>
      <c r="G578" s="30" t="n">
        <v>9025900090</v>
      </c>
      <c r="H578" s="31" t="n">
        <v>1.35</v>
      </c>
      <c r="I578" s="84">
        <f>IFERROR(F578*Settings!$B$2*H578*IF(AND(ISNUMBER(E578),E578&gt;1),E578,1),"")</f>
        <v/>
      </c>
      <c r="J578" s="32">
        <f>Settings!$B$66</f>
        <v/>
      </c>
      <c r="K578" s="95">
        <f>IFERROR(IF(T578="","",(T578*(1-AN578)*(1-Settings!$B$17)-I578)/(T578*(1-AN578)*(1-Settings!$B$17))),"")</f>
        <v/>
      </c>
      <c r="L578" s="101">
        <f>IFERROR(IF(T578="","",(T578*(1-AO578)*(1-Settings!$C$17)-I578)/(T578*(1-AO578)*(1-Settings!$C$17))),"")</f>
        <v/>
      </c>
      <c r="M578" s="101">
        <f>IFERROR(IF(T578="","",(T578*(1-AP578)*(1-Settings!$D$17)-I578)/(T578*(1-AP578)*(1-Settings!$D$17))),"")</f>
        <v/>
      </c>
      <c r="N578" s="101">
        <f>IFERROR(IF(T578="","",(T578*(1-AQ578)*(1-Settings!$F$17)-I578)/(T578*(1-AQ578)*(1-Settings!$F$17))),"")</f>
        <v/>
      </c>
      <c r="O578" s="101">
        <f>IFERROR(IF(T578="","",(T578*(1-AR578)*(1-Settings!$G$17)-I578)/(T578*(1-AR578)*(1-Settings!$G$17))),"")</f>
        <v/>
      </c>
      <c r="P578" s="101">
        <f>IFERROR(IF(T578="","",(T578*(1-AS578)*(1-Settings!$H$17)-I578)/(T578*(1-AS578)*(1-Settings!$H$17))),"")</f>
        <v/>
      </c>
      <c r="Q578" s="101">
        <f>IFERROR(IF(T578="","",(T578*(1-AT578)*(1-Settings!$I$68)*(1-Settings!$I$17)-I578)/(T578*(1-AT578)*(1-Settings!$I$68)*(1-Settings!$I$17))),"")</f>
        <v/>
      </c>
      <c r="R578" s="91">
        <f>IFERROR(IF(OR(I578="",Z578&gt;=1,Settings!$B$17&gt;=1,AN578&gt;=1),"",IF(MOD(ROUND(I578/(1-Z578)/(1-Settings!$B$17)/(1-AN578),0),10)=0,ROUND(I578/(1-Z578)/(1-Settings!$B$17)/(1-AN578),0)-1,IF(MOD(ROUND(I578/(1-Z578)/(1-Settings!$B$17)/(1-AN578),0),10)&lt;=5,FLOOR(ROUND(I578/(1-Z578)/(1-Settings!$B$17)/(1-AN578),0),10)+6,FLOOR(ROUND(I578/(1-Z578)/(1-Settings!$B$17)/(1-AN578),0),10)+9))),"")</f>
        <v/>
      </c>
      <c r="S578" s="174">
        <f>R578*0.95</f>
        <v/>
      </c>
      <c r="T578" s="91">
        <f>IF(S578&lt;&gt;"", IF(MOD(S578,10)=0,S578-1,IF(MOD(S578,10)&lt;=5,FLOOR(S578,10)+6,FLOOR(S578,10)+9)), R578)</f>
        <v/>
      </c>
      <c r="U578" s="87" t="inlineStr">
        <is>
          <t>Основний</t>
        </is>
      </c>
      <c r="V578" s="88" t="n"/>
      <c r="W578" s="88" t="n"/>
      <c r="X578" s="89">
        <f>IFERROR(IF(OR(V578="",W578="",T578=""),"", IF(T578&gt;W578,"Дорогий",IF(T578&lt;V578,"Дешевий","У ринку"))),"")</f>
        <v/>
      </c>
      <c r="Y578" s="90" t="n"/>
      <c r="Z578" s="104">
        <f>CHOOSE(MATCH(IF($U578="","Основний",$U578),{"Трафіковий","Основний","Маржинальний","Сезонний","Стратегічний"},0),0.16,0.19,0.24,0.23,0.28)</f>
        <v/>
      </c>
      <c r="AA578" s="104">
        <f>CHOOSE(MATCH(IF($U578="","Основний",$U578),{"Трафіковий","Основний","Маржинальний","Сезонний","Стратегічний"},0),0.18,0.21,0.26,0.25,0.3)</f>
        <v/>
      </c>
      <c r="AB578" s="104">
        <f>CHOOSE(MATCH(IF($U578="","Основний",$U578),{"Трафіковий","Основний","Маржинальний","Сезонний","Стратегічний"},0),0.19,0.22,0.28,0.26,0.32)</f>
        <v/>
      </c>
      <c r="AC578" s="104">
        <f>CHOOSE(MATCH(IF($U578="","Основний",$U578),{"Трафіковий","Основний","Маржинальний","Сезонний","Стратегічний"},0),0.17,0.2,0.25,0.24,0.28)</f>
        <v/>
      </c>
      <c r="AD578" s="104">
        <f>CHOOSE(MATCH(IF($U578="","Основний",$U578),{"Трафіковий","Основний","Маржинальний","Сезонний","Стратегічний"},0),0.18,0.21,0.26,0.25,0.3)</f>
        <v/>
      </c>
      <c r="AE578" s="104">
        <f>CHOOSE(MATCH(IF($U578="","Основний",$U578),{"Трафіковий","Основний","Маржинальний","Сезонний","Стратегічний"},0),0.18,0.2,0.28,0.27,0.32)</f>
        <v/>
      </c>
      <c r="AF578" s="104">
        <f>CHOOSE(MATCH(IF($U578="","Основний",$U578),{"Трафіковий","Основний","Маржинальний","Сезонний","Стратегічний"},0),0.15,0.175,0.22,0.21,0.25)</f>
        <v/>
      </c>
      <c r="AG578" s="104">
        <f>CHOOSE(MATCH(IF($U578="","Основний",$U578),{"Трафіковий","Основний","Маржинальний","Сезонний","Стратегічний"},0),0.13,0.16,0.21,0.2,0.25)</f>
        <v/>
      </c>
      <c r="AH578" s="104">
        <f>CHOOSE(MATCH(IF($U578="","Основний",$U578),{"Трафіковий","Основний","Маржинальний","Сезонний","Стратегічний"},0),0.15,0.18,0.23,0.22,0.27)</f>
        <v/>
      </c>
      <c r="AI578" s="104">
        <f>CHOOSE(MATCH(IF($U578="","Основний",$U578),{"Трафіковий","Основний","Маржинальний","Сезонний","Стратегічний"},0),0.16,0.19,0.25,0.23,0.29)</f>
        <v/>
      </c>
      <c r="AJ578" s="104">
        <f>CHOOSE(MATCH(IF($U578="","Основний",$U578),{"Трафіковий","Основний","Маржинальний","Сезонний","Стратегічний"},0),0.14,0.17,0.22,0.21,0.25)</f>
        <v/>
      </c>
      <c r="AK578" s="104">
        <f>CHOOSE(MATCH(IF($U578="","Основний",$U578),{"Трафіковий","Основний","Маржинальний","Сезонний","Стратегічний"},0),0.15,0.18,0.23,0.22,0.27)</f>
        <v/>
      </c>
      <c r="AL578" s="104">
        <f>CHOOSE(MATCH(IF($U578="","Основний",$U578),{"Трафіковий","Основний","Маржинальний","Сезонний","Стратегічний"},0),0.15,0.17,0.25,0.24,0.29)</f>
        <v/>
      </c>
      <c r="AM578" s="104">
        <f>CHOOSE(MATCH(IF($U578="","Основний",$U578),{"Трафіковий","Основний","Маржинальний","Сезонний","Стратегічний"},0),0.12,0.145,0.19,0.18,0.22)</f>
        <v/>
      </c>
      <c r="AN578" s="157">
        <f>CHOOSE(MATCH(IF($U578="","Основний",$U578),{"Трафіковий","Основний","Маржинальний","Сезонний","Стратегічний"},0),Settings!$B$78,Settings!$B$80,Settings!$B$82,Settings!$B$84,Settings!$B$86)</f>
        <v/>
      </c>
      <c r="AO578" s="157">
        <f>CHOOSE(MATCH(IF($U578="","Основний",$U578),{"Трафіковий","Основний","Маржинальний","Сезонний","Стратегічний"},0),Settings!$C$78,Settings!$C$80,Settings!$C$82,Settings!$C$84,Settings!$C$86)</f>
        <v/>
      </c>
      <c r="AP578" s="157">
        <f>CHOOSE(MATCH(IF($U578="","Основний",$U578),{"Трафіковий","Основний","Маржинальний","Сезонний","Стратегічний"},0),Settings!$D$78,Settings!$D$80,Settings!$D$82,Settings!$D$84,Settings!$D$86)</f>
        <v/>
      </c>
      <c r="AQ578" s="157">
        <f>CHOOSE(MATCH(IF($U578="","Основний",$U578),{"Трафіковий","Основний","Маржинальний","Сезонний","Стратегічний"},0),Settings!$F$78,Settings!$F$80,Settings!$F$82,Settings!$F$84,Settings!$F$86)</f>
        <v/>
      </c>
      <c r="AR578" s="157">
        <f>CHOOSE(MATCH(IF($U578="","Основний",$U578),{"Трафіковий","Основний","Маржинальний","Сезонний","Стратегічний"},0),Settings!$G$78,Settings!$G$80,Settings!$G$82,Settings!$G$84,Settings!$G$86)</f>
        <v/>
      </c>
      <c r="AS578" s="157">
        <f>CHOOSE(MATCH(IF($U578="","Основний",$U578),{"Трафіковий","Основний","Маржинальний","Сезонний","Стратегічний"},0),Settings!$H$78,Settings!$H$80,Settings!$H$82,Settings!$H$84,Settings!$H$86)</f>
        <v/>
      </c>
      <c r="AT578" s="157">
        <f>CHOOSE(MATCH(IF($U578="","Основний",$U578),{"Трафіковий","Основний","Маржинальний","Сезонний","Стратегічний"},0),Settings!$I$78,Settings!$I$80,Settings!$I$82,Settings!$I$84,Settings!$I$86)</f>
        <v/>
      </c>
      <c r="AU578" s="171" t="n"/>
      <c r="AV578" t="n">
        <v>1.35</v>
      </c>
    </row>
    <row r="579">
      <c r="A579" s="33" t="n"/>
      <c r="B579" s="34" t="inlineStr">
        <is>
          <t>EV012</t>
        </is>
      </c>
      <c r="C579" s="34" t="inlineStr">
        <is>
          <t>KITCHEN SCALE EV012 SILVER</t>
        </is>
      </c>
      <c r="D579" s="34" t="inlineStr">
        <is>
          <t>Ваги електронні</t>
        </is>
      </c>
      <c r="E579" s="33" t="inlineStr">
        <is>
          <t>PC</t>
        </is>
      </c>
      <c r="F579" s="94" t="n">
        <v>6.05</v>
      </c>
      <c r="G579" s="35" t="n">
        <v>8423101000</v>
      </c>
      <c r="H579" s="31" t="n">
        <v>1.35</v>
      </c>
      <c r="I579" s="84">
        <f>IFERROR(F579*Settings!$B$2*H579*IF(AND(ISNUMBER(E579),E579&gt;1),E579,1),"")</f>
        <v/>
      </c>
      <c r="J579" s="32">
        <f>Settings!$B$66</f>
        <v/>
      </c>
      <c r="K579" s="95">
        <f>IFERROR(IF(T579="","",(T579*(1-AN579)*(1-Settings!$B$17)-I579)/(T579*(1-AN579)*(1-Settings!$B$17))),"")</f>
        <v/>
      </c>
      <c r="L579" s="101">
        <f>IFERROR(IF(T579="","",(T579*(1-AO579)*(1-Settings!$C$17)-I579)/(T579*(1-AO579)*(1-Settings!$C$17))),"")</f>
        <v/>
      </c>
      <c r="M579" s="101">
        <f>IFERROR(IF(T579="","",(T579*(1-AP579)*(1-Settings!$D$17)-I579)/(T579*(1-AP579)*(1-Settings!$D$17))),"")</f>
        <v/>
      </c>
      <c r="N579" s="101">
        <f>IFERROR(IF(T579="","",(T579*(1-AQ579)*(1-Settings!$F$17)-I579)/(T579*(1-AQ579)*(1-Settings!$F$17))),"")</f>
        <v/>
      </c>
      <c r="O579" s="101">
        <f>IFERROR(IF(T579="","",(T579*(1-AR579)*(1-Settings!$G$17)-I579)/(T579*(1-AR579)*(1-Settings!$G$17))),"")</f>
        <v/>
      </c>
      <c r="P579" s="101">
        <f>IFERROR(IF(T579="","",(T579*(1-AS579)*(1-Settings!$H$17)-I579)/(T579*(1-AS579)*(1-Settings!$H$17))),"")</f>
        <v/>
      </c>
      <c r="Q579" s="101">
        <f>IFERROR(IF(T579="","",(T579*(1-AT579)*(1-Settings!$I$68)*(1-Settings!$I$17)-I579)/(T579*(1-AT579)*(1-Settings!$I$68)*(1-Settings!$I$17))),"")</f>
        <v/>
      </c>
      <c r="R579" s="91">
        <f>IFERROR(IF(OR(I579="",Z579&gt;=1,Settings!$B$17&gt;=1,AN579&gt;=1),"",IF(MOD(ROUND(I579/(1-Z579)/(1-Settings!$B$17)/(1-AN579),0),10)=0,ROUND(I579/(1-Z579)/(1-Settings!$B$17)/(1-AN579),0)-1,IF(MOD(ROUND(I579/(1-Z579)/(1-Settings!$B$17)/(1-AN579),0),10)&lt;=5,FLOOR(ROUND(I579/(1-Z579)/(1-Settings!$B$17)/(1-AN579),0),10)+6,FLOOR(ROUND(I579/(1-Z579)/(1-Settings!$B$17)/(1-AN579),0),10)+9))),"")</f>
        <v/>
      </c>
      <c r="S579" s="174">
        <f>R579*0.95</f>
        <v/>
      </c>
      <c r="T579" s="91">
        <f>IF(S579&lt;&gt;"", IF(MOD(S579,10)=0,S579-1,IF(MOD(S579,10)&lt;=5,FLOOR(S579,10)+6,FLOOR(S579,10)+9)), R579)</f>
        <v/>
      </c>
      <c r="U579" s="87" t="inlineStr">
        <is>
          <t>Основний</t>
        </is>
      </c>
      <c r="V579" s="88" t="n"/>
      <c r="W579" s="88" t="n"/>
      <c r="X579" s="89">
        <f>IFERROR(IF(OR(V579="",W579="",T579=""),"", IF(T579&gt;W579,"Дорогий",IF(T579&lt;V579,"Дешевий","У ринку"))),"")</f>
        <v/>
      </c>
      <c r="Y579" s="90" t="n"/>
      <c r="Z579" s="104">
        <f>CHOOSE(MATCH(IF($U579="","Основний",$U579),{"Трафіковий","Основний","Маржинальний","Сезонний","Стратегічний"},0),0.16,0.19,0.24,0.23,0.28)</f>
        <v/>
      </c>
      <c r="AA579" s="104">
        <f>CHOOSE(MATCH(IF($U579="","Основний",$U579),{"Трафіковий","Основний","Маржинальний","Сезонний","Стратегічний"},0),0.18,0.21,0.26,0.25,0.3)</f>
        <v/>
      </c>
      <c r="AB579" s="104">
        <f>CHOOSE(MATCH(IF($U579="","Основний",$U579),{"Трафіковий","Основний","Маржинальний","Сезонний","Стратегічний"},0),0.19,0.22,0.28,0.26,0.32)</f>
        <v/>
      </c>
      <c r="AC579" s="104">
        <f>CHOOSE(MATCH(IF($U579="","Основний",$U579),{"Трафіковий","Основний","Маржинальний","Сезонний","Стратегічний"},0),0.17,0.2,0.25,0.24,0.28)</f>
        <v/>
      </c>
      <c r="AD579" s="104">
        <f>CHOOSE(MATCH(IF($U579="","Основний",$U579),{"Трафіковий","Основний","Маржинальний","Сезонний","Стратегічний"},0),0.18,0.21,0.26,0.25,0.3)</f>
        <v/>
      </c>
      <c r="AE579" s="104">
        <f>CHOOSE(MATCH(IF($U579="","Основний",$U579),{"Трафіковий","Основний","Маржинальний","Сезонний","Стратегічний"},0),0.18,0.2,0.28,0.27,0.32)</f>
        <v/>
      </c>
      <c r="AF579" s="104">
        <f>CHOOSE(MATCH(IF($U579="","Основний",$U579),{"Трафіковий","Основний","Маржинальний","Сезонний","Стратегічний"},0),0.15,0.175,0.22,0.21,0.25)</f>
        <v/>
      </c>
      <c r="AG579" s="104">
        <f>CHOOSE(MATCH(IF($U579="","Основний",$U579),{"Трафіковий","Основний","Маржинальний","Сезонний","Стратегічний"},0),0.13,0.16,0.21,0.2,0.25)</f>
        <v/>
      </c>
      <c r="AH579" s="104">
        <f>CHOOSE(MATCH(IF($U579="","Основний",$U579),{"Трафіковий","Основний","Маржинальний","Сезонний","Стратегічний"},0),0.15,0.18,0.23,0.22,0.27)</f>
        <v/>
      </c>
      <c r="AI579" s="104">
        <f>CHOOSE(MATCH(IF($U579="","Основний",$U579),{"Трафіковий","Основний","Маржинальний","Сезонний","Стратегічний"},0),0.16,0.19,0.25,0.23,0.29)</f>
        <v/>
      </c>
      <c r="AJ579" s="104">
        <f>CHOOSE(MATCH(IF($U579="","Основний",$U579),{"Трафіковий","Основний","Маржинальний","Сезонний","Стратегічний"},0),0.14,0.17,0.22,0.21,0.25)</f>
        <v/>
      </c>
      <c r="AK579" s="104">
        <f>CHOOSE(MATCH(IF($U579="","Основний",$U579),{"Трафіковий","Основний","Маржинальний","Сезонний","Стратегічний"},0),0.15,0.18,0.23,0.22,0.27)</f>
        <v/>
      </c>
      <c r="AL579" s="104">
        <f>CHOOSE(MATCH(IF($U579="","Основний",$U579),{"Трафіковий","Основний","Маржинальний","Сезонний","Стратегічний"},0),0.15,0.17,0.25,0.24,0.29)</f>
        <v/>
      </c>
      <c r="AM579" s="104">
        <f>CHOOSE(MATCH(IF($U579="","Основний",$U579),{"Трафіковий","Основний","Маржинальний","Сезонний","Стратегічний"},0),0.12,0.145,0.19,0.18,0.22)</f>
        <v/>
      </c>
      <c r="AN579" s="157">
        <f>CHOOSE(MATCH(IF($U579="","Основний",$U579),{"Трафіковий","Основний","Маржинальний","Сезонний","Стратегічний"},0),Settings!$B$78,Settings!$B$80,Settings!$B$82,Settings!$B$84,Settings!$B$86)</f>
        <v/>
      </c>
      <c r="AO579" s="157">
        <f>CHOOSE(MATCH(IF($U579="","Основний",$U579),{"Трафіковий","Основний","Маржинальний","Сезонний","Стратегічний"},0),Settings!$C$78,Settings!$C$80,Settings!$C$82,Settings!$C$84,Settings!$C$86)</f>
        <v/>
      </c>
      <c r="AP579" s="157">
        <f>CHOOSE(MATCH(IF($U579="","Основний",$U579),{"Трафіковий","Основний","Маржинальний","Сезонний","Стратегічний"},0),Settings!$D$78,Settings!$D$80,Settings!$D$82,Settings!$D$84,Settings!$D$86)</f>
        <v/>
      </c>
      <c r="AQ579" s="157">
        <f>CHOOSE(MATCH(IF($U579="","Основний",$U579),{"Трафіковий","Основний","Маржинальний","Сезонний","Стратегічний"},0),Settings!$F$78,Settings!$F$80,Settings!$F$82,Settings!$F$84,Settings!$F$86)</f>
        <v/>
      </c>
      <c r="AR579" s="157">
        <f>CHOOSE(MATCH(IF($U579="","Основний",$U579),{"Трафіковий","Основний","Маржинальний","Сезонний","Стратегічний"},0),Settings!$G$78,Settings!$G$80,Settings!$G$82,Settings!$G$84,Settings!$G$86)</f>
        <v/>
      </c>
      <c r="AS579" s="157">
        <f>CHOOSE(MATCH(IF($U579="","Основний",$U579),{"Трафіковий","Основний","Маржинальний","Сезонний","Стратегічний"},0),Settings!$H$78,Settings!$H$80,Settings!$H$82,Settings!$H$84,Settings!$H$86)</f>
        <v/>
      </c>
      <c r="AT579" s="157">
        <f>CHOOSE(MATCH(IF($U579="","Основний",$U579),{"Трафіковий","Основний","Маржинальний","Сезонний","Стратегічний"},0),Settings!$I$78,Settings!$I$80,Settings!$I$82,Settings!$I$84,Settings!$I$86)</f>
        <v/>
      </c>
      <c r="AU579" s="171" t="n"/>
      <c r="AV579" t="n">
        <v>1.35</v>
      </c>
    </row>
    <row r="580">
      <c r="A580" s="28" t="n"/>
      <c r="B580" s="29" t="inlineStr">
        <is>
          <t>EV014</t>
        </is>
      </c>
      <c r="C580" s="29" t="inlineStr">
        <is>
          <t>KITCHEN SCALE EV014 W</t>
        </is>
      </c>
      <c r="D580" s="29" t="inlineStr">
        <is>
          <t>Ваги електронні</t>
        </is>
      </c>
      <c r="E580" s="28" t="inlineStr">
        <is>
          <t>PC</t>
        </is>
      </c>
      <c r="F580" s="93" t="n">
        <v>4.67</v>
      </c>
      <c r="G580" s="30" t="n">
        <v>8423101000</v>
      </c>
      <c r="H580" s="31" t="n">
        <v>1.35</v>
      </c>
      <c r="I580" s="84">
        <f>IFERROR(F580*Settings!$B$2*H580*IF(AND(ISNUMBER(E580),E580&gt;1),E580,1),"")</f>
        <v/>
      </c>
      <c r="J580" s="32">
        <f>Settings!$B$66</f>
        <v/>
      </c>
      <c r="K580" s="95">
        <f>IFERROR(IF(T580="","",(T580*(1-AN580)*(1-Settings!$B$17)-I580)/(T580*(1-AN580)*(1-Settings!$B$17))),"")</f>
        <v/>
      </c>
      <c r="L580" s="101">
        <f>IFERROR(IF(T580="","",(T580*(1-AO580)*(1-Settings!$C$17)-I580)/(T580*(1-AO580)*(1-Settings!$C$17))),"")</f>
        <v/>
      </c>
      <c r="M580" s="101">
        <f>IFERROR(IF(T580="","",(T580*(1-AP580)*(1-Settings!$D$17)-I580)/(T580*(1-AP580)*(1-Settings!$D$17))),"")</f>
        <v/>
      </c>
      <c r="N580" s="101">
        <f>IFERROR(IF(T580="","",(T580*(1-AQ580)*(1-Settings!$F$17)-I580)/(T580*(1-AQ580)*(1-Settings!$F$17))),"")</f>
        <v/>
      </c>
      <c r="O580" s="101">
        <f>IFERROR(IF(T580="","",(T580*(1-AR580)*(1-Settings!$G$17)-I580)/(T580*(1-AR580)*(1-Settings!$G$17))),"")</f>
        <v/>
      </c>
      <c r="P580" s="101">
        <f>IFERROR(IF(T580="","",(T580*(1-AS580)*(1-Settings!$H$17)-I580)/(T580*(1-AS580)*(1-Settings!$H$17))),"")</f>
        <v/>
      </c>
      <c r="Q580" s="101">
        <f>IFERROR(IF(T580="","",(T580*(1-AT580)*(1-Settings!$I$68)*(1-Settings!$I$17)-I580)/(T580*(1-AT580)*(1-Settings!$I$68)*(1-Settings!$I$17))),"")</f>
        <v/>
      </c>
      <c r="R580" s="91">
        <f>IFERROR(IF(OR(I580="",Z580&gt;=1,Settings!$B$17&gt;=1,AN580&gt;=1),"",IF(MOD(ROUND(I580/(1-Z580)/(1-Settings!$B$17)/(1-AN580),0),10)=0,ROUND(I580/(1-Z580)/(1-Settings!$B$17)/(1-AN580),0)-1,IF(MOD(ROUND(I580/(1-Z580)/(1-Settings!$B$17)/(1-AN580),0),10)&lt;=5,FLOOR(ROUND(I580/(1-Z580)/(1-Settings!$B$17)/(1-AN580),0),10)+6,FLOOR(ROUND(I580/(1-Z580)/(1-Settings!$B$17)/(1-AN580),0),10)+9))),"")</f>
        <v/>
      </c>
      <c r="S580" s="174">
        <f>R580*0.95</f>
        <v/>
      </c>
      <c r="T580" s="91">
        <f>IF(S580&lt;&gt;"", IF(MOD(S580,10)=0,S580-1,IF(MOD(S580,10)&lt;=5,FLOOR(S580,10)+6,FLOOR(S580,10)+9)), R580)</f>
        <v/>
      </c>
      <c r="U580" s="87" t="inlineStr">
        <is>
          <t>Основний</t>
        </is>
      </c>
      <c r="V580" s="88" t="n"/>
      <c r="W580" s="88" t="n"/>
      <c r="X580" s="89">
        <f>IFERROR(IF(OR(V580="",W580="",T580=""),"", IF(T580&gt;W580,"Дорогий",IF(T580&lt;V580,"Дешевий","У ринку"))),"")</f>
        <v/>
      </c>
      <c r="Y580" s="90" t="n"/>
      <c r="Z580" s="104">
        <f>CHOOSE(MATCH(IF($U580="","Основний",$U580),{"Трафіковий","Основний","Маржинальний","Сезонний","Стратегічний"},0),0.16,0.19,0.24,0.23,0.28)</f>
        <v/>
      </c>
      <c r="AA580" s="104">
        <f>CHOOSE(MATCH(IF($U580="","Основний",$U580),{"Трафіковий","Основний","Маржинальний","Сезонний","Стратегічний"},0),0.18,0.21,0.26,0.25,0.3)</f>
        <v/>
      </c>
      <c r="AB580" s="104">
        <f>CHOOSE(MATCH(IF($U580="","Основний",$U580),{"Трафіковий","Основний","Маржинальний","Сезонний","Стратегічний"},0),0.19,0.22,0.28,0.26,0.32)</f>
        <v/>
      </c>
      <c r="AC580" s="104">
        <f>CHOOSE(MATCH(IF($U580="","Основний",$U580),{"Трафіковий","Основний","Маржинальний","Сезонний","Стратегічний"},0),0.17,0.2,0.25,0.24,0.28)</f>
        <v/>
      </c>
      <c r="AD580" s="104">
        <f>CHOOSE(MATCH(IF($U580="","Основний",$U580),{"Трафіковий","Основний","Маржинальний","Сезонний","Стратегічний"},0),0.18,0.21,0.26,0.25,0.3)</f>
        <v/>
      </c>
      <c r="AE580" s="104">
        <f>CHOOSE(MATCH(IF($U580="","Основний",$U580),{"Трафіковий","Основний","Маржинальний","Сезонний","Стратегічний"},0),0.18,0.2,0.28,0.27,0.32)</f>
        <v/>
      </c>
      <c r="AF580" s="104">
        <f>CHOOSE(MATCH(IF($U580="","Основний",$U580),{"Трафіковий","Основний","Маржинальний","Сезонний","Стратегічний"},0),0.15,0.175,0.22,0.21,0.25)</f>
        <v/>
      </c>
      <c r="AG580" s="104">
        <f>CHOOSE(MATCH(IF($U580="","Основний",$U580),{"Трафіковий","Основний","Маржинальний","Сезонний","Стратегічний"},0),0.13,0.16,0.21,0.2,0.25)</f>
        <v/>
      </c>
      <c r="AH580" s="104">
        <f>CHOOSE(MATCH(IF($U580="","Основний",$U580),{"Трафіковий","Основний","Маржинальний","Сезонний","Стратегічний"},0),0.15,0.18,0.23,0.22,0.27)</f>
        <v/>
      </c>
      <c r="AI580" s="104">
        <f>CHOOSE(MATCH(IF($U580="","Основний",$U580),{"Трафіковий","Основний","Маржинальний","Сезонний","Стратегічний"},0),0.16,0.19,0.25,0.23,0.29)</f>
        <v/>
      </c>
      <c r="AJ580" s="104">
        <f>CHOOSE(MATCH(IF($U580="","Основний",$U580),{"Трафіковий","Основний","Маржинальний","Сезонний","Стратегічний"},0),0.14,0.17,0.22,0.21,0.25)</f>
        <v/>
      </c>
      <c r="AK580" s="104">
        <f>CHOOSE(MATCH(IF($U580="","Основний",$U580),{"Трафіковий","Основний","Маржинальний","Сезонний","Стратегічний"},0),0.15,0.18,0.23,0.22,0.27)</f>
        <v/>
      </c>
      <c r="AL580" s="104">
        <f>CHOOSE(MATCH(IF($U580="","Основний",$U580),{"Трафіковий","Основний","Маржинальний","Сезонний","Стратегічний"},0),0.15,0.17,0.25,0.24,0.29)</f>
        <v/>
      </c>
      <c r="AM580" s="104">
        <f>CHOOSE(MATCH(IF($U580="","Основний",$U580),{"Трафіковий","Основний","Маржинальний","Сезонний","Стратегічний"},0),0.12,0.145,0.19,0.18,0.22)</f>
        <v/>
      </c>
      <c r="AN580" s="157">
        <f>CHOOSE(MATCH(IF($U580="","Основний",$U580),{"Трафіковий","Основний","Маржинальний","Сезонний","Стратегічний"},0),Settings!$B$78,Settings!$B$80,Settings!$B$82,Settings!$B$84,Settings!$B$86)</f>
        <v/>
      </c>
      <c r="AO580" s="157">
        <f>CHOOSE(MATCH(IF($U580="","Основний",$U580),{"Трафіковий","Основний","Маржинальний","Сезонний","Стратегічний"},0),Settings!$C$78,Settings!$C$80,Settings!$C$82,Settings!$C$84,Settings!$C$86)</f>
        <v/>
      </c>
      <c r="AP580" s="157">
        <f>CHOOSE(MATCH(IF($U580="","Основний",$U580),{"Трафіковий","Основний","Маржинальний","Сезонний","Стратегічний"},0),Settings!$D$78,Settings!$D$80,Settings!$D$82,Settings!$D$84,Settings!$D$86)</f>
        <v/>
      </c>
      <c r="AQ580" s="157">
        <f>CHOOSE(MATCH(IF($U580="","Основний",$U580),{"Трафіковий","Основний","Маржинальний","Сезонний","Стратегічний"},0),Settings!$F$78,Settings!$F$80,Settings!$F$82,Settings!$F$84,Settings!$F$86)</f>
        <v/>
      </c>
      <c r="AR580" s="157">
        <f>CHOOSE(MATCH(IF($U580="","Основний",$U580),{"Трафіковий","Основний","Маржинальний","Сезонний","Стратегічний"},0),Settings!$G$78,Settings!$G$80,Settings!$G$82,Settings!$G$84,Settings!$G$86)</f>
        <v/>
      </c>
      <c r="AS580" s="157">
        <f>CHOOSE(MATCH(IF($U580="","Основний",$U580),{"Трафіковий","Основний","Маржинальний","Сезонний","Стратегічний"},0),Settings!$H$78,Settings!$H$80,Settings!$H$82,Settings!$H$84,Settings!$H$86)</f>
        <v/>
      </c>
      <c r="AT580" s="157">
        <f>CHOOSE(MATCH(IF($U580="","Основний",$U580),{"Трафіковий","Основний","Маржинальний","Сезонний","Стратегічний"},0),Settings!$I$78,Settings!$I$80,Settings!$I$82,Settings!$I$84,Settings!$I$86)</f>
        <v/>
      </c>
      <c r="AU580" s="171" t="n"/>
      <c r="AV580" t="n">
        <v>1.35</v>
      </c>
    </row>
    <row r="581">
      <c r="A581" s="33" t="n"/>
      <c r="B581" s="34" t="inlineStr">
        <is>
          <t>EV014B</t>
        </is>
      </c>
      <c r="C581" s="34" t="inlineStr">
        <is>
          <t>KITCHEN SCALE EV014B BLACK</t>
        </is>
      </c>
      <c r="D581" s="34" t="inlineStr">
        <is>
          <t>Ваги електронні</t>
        </is>
      </c>
      <c r="E581" s="33" t="inlineStr">
        <is>
          <t>PC</t>
        </is>
      </c>
      <c r="F581" s="94" t="n">
        <v>4.67</v>
      </c>
      <c r="G581" s="35" t="n">
        <v>8423101000</v>
      </c>
      <c r="H581" s="31" t="n">
        <v>1.35</v>
      </c>
      <c r="I581" s="84">
        <f>IFERROR(F581*Settings!$B$2*H581*IF(AND(ISNUMBER(E581),E581&gt;1),E581,1),"")</f>
        <v/>
      </c>
      <c r="J581" s="32">
        <f>Settings!$B$66</f>
        <v/>
      </c>
      <c r="K581" s="95">
        <f>IFERROR(IF(T581="","",(T581*(1-AN581)*(1-Settings!$B$17)-I581)/(T581*(1-AN581)*(1-Settings!$B$17))),"")</f>
        <v/>
      </c>
      <c r="L581" s="101">
        <f>IFERROR(IF(T581="","",(T581*(1-AO581)*(1-Settings!$C$17)-I581)/(T581*(1-AO581)*(1-Settings!$C$17))),"")</f>
        <v/>
      </c>
      <c r="M581" s="101">
        <f>IFERROR(IF(T581="","",(T581*(1-AP581)*(1-Settings!$D$17)-I581)/(T581*(1-AP581)*(1-Settings!$D$17))),"")</f>
        <v/>
      </c>
      <c r="N581" s="101">
        <f>IFERROR(IF(T581="","",(T581*(1-AQ581)*(1-Settings!$F$17)-I581)/(T581*(1-AQ581)*(1-Settings!$F$17))),"")</f>
        <v/>
      </c>
      <c r="O581" s="101">
        <f>IFERROR(IF(T581="","",(T581*(1-AR581)*(1-Settings!$G$17)-I581)/(T581*(1-AR581)*(1-Settings!$G$17))),"")</f>
        <v/>
      </c>
      <c r="P581" s="101">
        <f>IFERROR(IF(T581="","",(T581*(1-AS581)*(1-Settings!$H$17)-I581)/(T581*(1-AS581)*(1-Settings!$H$17))),"")</f>
        <v/>
      </c>
      <c r="Q581" s="101">
        <f>IFERROR(IF(T581="","",(T581*(1-AT581)*(1-Settings!$I$68)*(1-Settings!$I$17)-I581)/(T581*(1-AT581)*(1-Settings!$I$68)*(1-Settings!$I$17))),"")</f>
        <v/>
      </c>
      <c r="R581" s="91">
        <f>IFERROR(IF(OR(I581="",Z581&gt;=1,Settings!$B$17&gt;=1,AN581&gt;=1),"",IF(MOD(ROUND(I581/(1-Z581)/(1-Settings!$B$17)/(1-AN581),0),10)=0,ROUND(I581/(1-Z581)/(1-Settings!$B$17)/(1-AN581),0)-1,IF(MOD(ROUND(I581/(1-Z581)/(1-Settings!$B$17)/(1-AN581),0),10)&lt;=5,FLOOR(ROUND(I581/(1-Z581)/(1-Settings!$B$17)/(1-AN581),0),10)+6,FLOOR(ROUND(I581/(1-Z581)/(1-Settings!$B$17)/(1-AN581),0),10)+9))),"")</f>
        <v/>
      </c>
      <c r="S581" s="174">
        <f>R581*0.95</f>
        <v/>
      </c>
      <c r="T581" s="91">
        <f>IF(S581&lt;&gt;"", IF(MOD(S581,10)=0,S581-1,IF(MOD(S581,10)&lt;=5,FLOOR(S581,10)+6,FLOOR(S581,10)+9)), R581)</f>
        <v/>
      </c>
      <c r="U581" s="87" t="inlineStr">
        <is>
          <t>Основний</t>
        </is>
      </c>
      <c r="V581" s="88" t="n"/>
      <c r="W581" s="88" t="n"/>
      <c r="X581" s="89">
        <f>IFERROR(IF(OR(V581="",W581="",T581=""),"", IF(T581&gt;W581,"Дорогий",IF(T581&lt;V581,"Дешевий","У ринку"))),"")</f>
        <v/>
      </c>
      <c r="Y581" s="90" t="n"/>
      <c r="Z581" s="104">
        <f>CHOOSE(MATCH(IF($U581="","Основний",$U581),{"Трафіковий","Основний","Маржинальний","Сезонний","Стратегічний"},0),0.16,0.19,0.24,0.23,0.28)</f>
        <v/>
      </c>
      <c r="AA581" s="104">
        <f>CHOOSE(MATCH(IF($U581="","Основний",$U581),{"Трафіковий","Основний","Маржинальний","Сезонний","Стратегічний"},0),0.18,0.21,0.26,0.25,0.3)</f>
        <v/>
      </c>
      <c r="AB581" s="104">
        <f>CHOOSE(MATCH(IF($U581="","Основний",$U581),{"Трафіковий","Основний","Маржинальний","Сезонний","Стратегічний"},0),0.19,0.22,0.28,0.26,0.32)</f>
        <v/>
      </c>
      <c r="AC581" s="104">
        <f>CHOOSE(MATCH(IF($U581="","Основний",$U581),{"Трафіковий","Основний","Маржинальний","Сезонний","Стратегічний"},0),0.17,0.2,0.25,0.24,0.28)</f>
        <v/>
      </c>
      <c r="AD581" s="104">
        <f>CHOOSE(MATCH(IF($U581="","Основний",$U581),{"Трафіковий","Основний","Маржинальний","Сезонний","Стратегічний"},0),0.18,0.21,0.26,0.25,0.3)</f>
        <v/>
      </c>
      <c r="AE581" s="104">
        <f>CHOOSE(MATCH(IF($U581="","Основний",$U581),{"Трафіковий","Основний","Маржинальний","Сезонний","Стратегічний"},0),0.18,0.2,0.28,0.27,0.32)</f>
        <v/>
      </c>
      <c r="AF581" s="104">
        <f>CHOOSE(MATCH(IF($U581="","Основний",$U581),{"Трафіковий","Основний","Маржинальний","Сезонний","Стратегічний"},0),0.15,0.175,0.22,0.21,0.25)</f>
        <v/>
      </c>
      <c r="AG581" s="104">
        <f>CHOOSE(MATCH(IF($U581="","Основний",$U581),{"Трафіковий","Основний","Маржинальний","Сезонний","Стратегічний"},0),0.13,0.16,0.21,0.2,0.25)</f>
        <v/>
      </c>
      <c r="AH581" s="104">
        <f>CHOOSE(MATCH(IF($U581="","Основний",$U581),{"Трафіковий","Основний","Маржинальний","Сезонний","Стратегічний"},0),0.15,0.18,0.23,0.22,0.27)</f>
        <v/>
      </c>
      <c r="AI581" s="104">
        <f>CHOOSE(MATCH(IF($U581="","Основний",$U581),{"Трафіковий","Основний","Маржинальний","Сезонний","Стратегічний"},0),0.16,0.19,0.25,0.23,0.29)</f>
        <v/>
      </c>
      <c r="AJ581" s="104">
        <f>CHOOSE(MATCH(IF($U581="","Основний",$U581),{"Трафіковий","Основний","Маржинальний","Сезонний","Стратегічний"},0),0.14,0.17,0.22,0.21,0.25)</f>
        <v/>
      </c>
      <c r="AK581" s="104">
        <f>CHOOSE(MATCH(IF($U581="","Основний",$U581),{"Трафіковий","Основний","Маржинальний","Сезонний","Стратегічний"},0),0.15,0.18,0.23,0.22,0.27)</f>
        <v/>
      </c>
      <c r="AL581" s="104">
        <f>CHOOSE(MATCH(IF($U581="","Основний",$U581),{"Трафіковий","Основний","Маржинальний","Сезонний","Стратегічний"},0),0.15,0.17,0.25,0.24,0.29)</f>
        <v/>
      </c>
      <c r="AM581" s="104">
        <f>CHOOSE(MATCH(IF($U581="","Основний",$U581),{"Трафіковий","Основний","Маржинальний","Сезонний","Стратегічний"},0),0.12,0.145,0.19,0.18,0.22)</f>
        <v/>
      </c>
      <c r="AN581" s="157">
        <f>CHOOSE(MATCH(IF($U581="","Основний",$U581),{"Трафіковий","Основний","Маржинальний","Сезонний","Стратегічний"},0),Settings!$B$78,Settings!$B$80,Settings!$B$82,Settings!$B$84,Settings!$B$86)</f>
        <v/>
      </c>
      <c r="AO581" s="157">
        <f>CHOOSE(MATCH(IF($U581="","Основний",$U581),{"Трафіковий","Основний","Маржинальний","Сезонний","Стратегічний"},0),Settings!$C$78,Settings!$C$80,Settings!$C$82,Settings!$C$84,Settings!$C$86)</f>
        <v/>
      </c>
      <c r="AP581" s="157">
        <f>CHOOSE(MATCH(IF($U581="","Основний",$U581),{"Трафіковий","Основний","Маржинальний","Сезонний","Стратегічний"},0),Settings!$D$78,Settings!$D$80,Settings!$D$82,Settings!$D$84,Settings!$D$86)</f>
        <v/>
      </c>
      <c r="AQ581" s="157">
        <f>CHOOSE(MATCH(IF($U581="","Основний",$U581),{"Трафіковий","Основний","Маржинальний","Сезонний","Стратегічний"},0),Settings!$F$78,Settings!$F$80,Settings!$F$82,Settings!$F$84,Settings!$F$86)</f>
        <v/>
      </c>
      <c r="AR581" s="157">
        <f>CHOOSE(MATCH(IF($U581="","Основний",$U581),{"Трафіковий","Основний","Маржинальний","Сезонний","Стратегічний"},0),Settings!$G$78,Settings!$G$80,Settings!$G$82,Settings!$G$84,Settings!$G$86)</f>
        <v/>
      </c>
      <c r="AS581" s="157">
        <f>CHOOSE(MATCH(IF($U581="","Основний",$U581),{"Трафіковий","Основний","Маржинальний","Сезонний","Стратегічний"},0),Settings!$H$78,Settings!$H$80,Settings!$H$82,Settings!$H$84,Settings!$H$86)</f>
        <v/>
      </c>
      <c r="AT581" s="157">
        <f>CHOOSE(MATCH(IF($U581="","Основний",$U581),{"Трафіковий","Основний","Маржинальний","Сезонний","Стратегічний"},0),Settings!$I$78,Settings!$I$80,Settings!$I$82,Settings!$I$84,Settings!$I$86)</f>
        <v/>
      </c>
      <c r="AU581" s="171" t="n"/>
      <c r="AV581" t="n">
        <v>1.35</v>
      </c>
    </row>
    <row r="582">
      <c r="A582" s="28" t="n"/>
      <c r="B582" s="29" t="inlineStr">
        <is>
          <t>EV025</t>
        </is>
      </c>
      <c r="C582" s="29" t="inlineStr">
        <is>
          <t>KITCHEN SCALE EV025 BLACK</t>
        </is>
      </c>
      <c r="D582" s="29" t="inlineStr">
        <is>
          <t>Ваги електронні</t>
        </is>
      </c>
      <c r="E582" s="28" t="inlineStr">
        <is>
          <t>PC</t>
        </is>
      </c>
      <c r="F582" s="93" t="n">
        <v>6.224</v>
      </c>
      <c r="G582" s="30" t="n">
        <v>8423101000</v>
      </c>
      <c r="H582" s="31" t="n">
        <v>1.35</v>
      </c>
      <c r="I582" s="84">
        <f>IFERROR(F582*Settings!$B$2*H582*IF(AND(ISNUMBER(E582),E582&gt;1),E582,1),"")</f>
        <v/>
      </c>
      <c r="J582" s="32">
        <f>Settings!$B$66</f>
        <v/>
      </c>
      <c r="K582" s="95">
        <f>IFERROR(IF(T582="","",(T582*(1-AN582)*(1-Settings!$B$17)-I582)/(T582*(1-AN582)*(1-Settings!$B$17))),"")</f>
        <v/>
      </c>
      <c r="L582" s="101">
        <f>IFERROR(IF(T582="","",(T582*(1-AO582)*(1-Settings!$C$17)-I582)/(T582*(1-AO582)*(1-Settings!$C$17))),"")</f>
        <v/>
      </c>
      <c r="M582" s="101">
        <f>IFERROR(IF(T582="","",(T582*(1-AP582)*(1-Settings!$D$17)-I582)/(T582*(1-AP582)*(1-Settings!$D$17))),"")</f>
        <v/>
      </c>
      <c r="N582" s="101">
        <f>IFERROR(IF(T582="","",(T582*(1-AQ582)*(1-Settings!$F$17)-I582)/(T582*(1-AQ582)*(1-Settings!$F$17))),"")</f>
        <v/>
      </c>
      <c r="O582" s="101">
        <f>IFERROR(IF(T582="","",(T582*(1-AR582)*(1-Settings!$G$17)-I582)/(T582*(1-AR582)*(1-Settings!$G$17))),"")</f>
        <v/>
      </c>
      <c r="P582" s="101">
        <f>IFERROR(IF(T582="","",(T582*(1-AS582)*(1-Settings!$H$17)-I582)/(T582*(1-AS582)*(1-Settings!$H$17))),"")</f>
        <v/>
      </c>
      <c r="Q582" s="101">
        <f>IFERROR(IF(T582="","",(T582*(1-AT582)*(1-Settings!$I$68)*(1-Settings!$I$17)-I582)/(T582*(1-AT582)*(1-Settings!$I$68)*(1-Settings!$I$17))),"")</f>
        <v/>
      </c>
      <c r="R582" s="91">
        <f>IFERROR(IF(OR(I582="",Z582&gt;=1,Settings!$B$17&gt;=1,AN582&gt;=1),"",IF(MOD(ROUND(I582/(1-Z582)/(1-Settings!$B$17)/(1-AN582),0),10)=0,ROUND(I582/(1-Z582)/(1-Settings!$B$17)/(1-AN582),0)-1,IF(MOD(ROUND(I582/(1-Z582)/(1-Settings!$B$17)/(1-AN582),0),10)&lt;=5,FLOOR(ROUND(I582/(1-Z582)/(1-Settings!$B$17)/(1-AN582),0),10)+6,FLOOR(ROUND(I582/(1-Z582)/(1-Settings!$B$17)/(1-AN582),0),10)+9))),"")</f>
        <v/>
      </c>
      <c r="S582" s="174">
        <f>R582*0.95</f>
        <v/>
      </c>
      <c r="T582" s="91">
        <f>IF(S582&lt;&gt;"", IF(MOD(S582,10)=0,S582-1,IF(MOD(S582,10)&lt;=5,FLOOR(S582,10)+6,FLOOR(S582,10)+9)), R582)</f>
        <v/>
      </c>
      <c r="U582" s="87" t="inlineStr">
        <is>
          <t>Основний</t>
        </is>
      </c>
      <c r="V582" s="88" t="n"/>
      <c r="W582" s="88" t="n"/>
      <c r="X582" s="89">
        <f>IFERROR(IF(OR(V582="",W582="",T582=""),"", IF(T582&gt;W582,"Дорогий",IF(T582&lt;V582,"Дешевий","У ринку"))),"")</f>
        <v/>
      </c>
      <c r="Y582" s="90" t="n"/>
      <c r="Z582" s="104">
        <f>CHOOSE(MATCH(IF($U582="","Основний",$U582),{"Трафіковий","Основний","Маржинальний","Сезонний","Стратегічний"},0),0.16,0.19,0.24,0.23,0.28)</f>
        <v/>
      </c>
      <c r="AA582" s="104">
        <f>CHOOSE(MATCH(IF($U582="","Основний",$U582),{"Трафіковий","Основний","Маржинальний","Сезонний","Стратегічний"},0),0.18,0.21,0.26,0.25,0.3)</f>
        <v/>
      </c>
      <c r="AB582" s="104">
        <f>CHOOSE(MATCH(IF($U582="","Основний",$U582),{"Трафіковий","Основний","Маржинальний","Сезонний","Стратегічний"},0),0.19,0.22,0.28,0.26,0.32)</f>
        <v/>
      </c>
      <c r="AC582" s="104">
        <f>CHOOSE(MATCH(IF($U582="","Основний",$U582),{"Трафіковий","Основний","Маржинальний","Сезонний","Стратегічний"},0),0.17,0.2,0.25,0.24,0.28)</f>
        <v/>
      </c>
      <c r="AD582" s="104">
        <f>CHOOSE(MATCH(IF($U582="","Основний",$U582),{"Трафіковий","Основний","Маржинальний","Сезонний","Стратегічний"},0),0.18,0.21,0.26,0.25,0.3)</f>
        <v/>
      </c>
      <c r="AE582" s="104">
        <f>CHOOSE(MATCH(IF($U582="","Основний",$U582),{"Трафіковий","Основний","Маржинальний","Сезонний","Стратегічний"},0),0.18,0.2,0.28,0.27,0.32)</f>
        <v/>
      </c>
      <c r="AF582" s="104">
        <f>CHOOSE(MATCH(IF($U582="","Основний",$U582),{"Трафіковий","Основний","Маржинальний","Сезонний","Стратегічний"},0),0.15,0.175,0.22,0.21,0.25)</f>
        <v/>
      </c>
      <c r="AG582" s="104">
        <f>CHOOSE(MATCH(IF($U582="","Основний",$U582),{"Трафіковий","Основний","Маржинальний","Сезонний","Стратегічний"},0),0.13,0.16,0.21,0.2,0.25)</f>
        <v/>
      </c>
      <c r="AH582" s="104">
        <f>CHOOSE(MATCH(IF($U582="","Основний",$U582),{"Трафіковий","Основний","Маржинальний","Сезонний","Стратегічний"},0),0.15,0.18,0.23,0.22,0.27)</f>
        <v/>
      </c>
      <c r="AI582" s="104">
        <f>CHOOSE(MATCH(IF($U582="","Основний",$U582),{"Трафіковий","Основний","Маржинальний","Сезонний","Стратегічний"},0),0.16,0.19,0.25,0.23,0.29)</f>
        <v/>
      </c>
      <c r="AJ582" s="104">
        <f>CHOOSE(MATCH(IF($U582="","Основний",$U582),{"Трафіковий","Основний","Маржинальний","Сезонний","Стратегічний"},0),0.14,0.17,0.22,0.21,0.25)</f>
        <v/>
      </c>
      <c r="AK582" s="104">
        <f>CHOOSE(MATCH(IF($U582="","Основний",$U582),{"Трафіковий","Основний","Маржинальний","Сезонний","Стратегічний"},0),0.15,0.18,0.23,0.22,0.27)</f>
        <v/>
      </c>
      <c r="AL582" s="104">
        <f>CHOOSE(MATCH(IF($U582="","Основний",$U582),{"Трафіковий","Основний","Маржинальний","Сезонний","Стратегічний"},0),0.15,0.17,0.25,0.24,0.29)</f>
        <v/>
      </c>
      <c r="AM582" s="104">
        <f>CHOOSE(MATCH(IF($U582="","Основний",$U582),{"Трафіковий","Основний","Маржинальний","Сезонний","Стратегічний"},0),0.12,0.145,0.19,0.18,0.22)</f>
        <v/>
      </c>
      <c r="AN582" s="157">
        <f>CHOOSE(MATCH(IF($U582="","Основний",$U582),{"Трафіковий","Основний","Маржинальний","Сезонний","Стратегічний"},0),Settings!$B$78,Settings!$B$80,Settings!$B$82,Settings!$B$84,Settings!$B$86)</f>
        <v/>
      </c>
      <c r="AO582" s="157">
        <f>CHOOSE(MATCH(IF($U582="","Основний",$U582),{"Трафіковий","Основний","Маржинальний","Сезонний","Стратегічний"},0),Settings!$C$78,Settings!$C$80,Settings!$C$82,Settings!$C$84,Settings!$C$86)</f>
        <v/>
      </c>
      <c r="AP582" s="157">
        <f>CHOOSE(MATCH(IF($U582="","Основний",$U582),{"Трафіковий","Основний","Маржинальний","Сезонний","Стратегічний"},0),Settings!$D$78,Settings!$D$80,Settings!$D$82,Settings!$D$84,Settings!$D$86)</f>
        <v/>
      </c>
      <c r="AQ582" s="157">
        <f>CHOOSE(MATCH(IF($U582="","Основний",$U582),{"Трафіковий","Основний","Маржинальний","Сезонний","Стратегічний"},0),Settings!$F$78,Settings!$F$80,Settings!$F$82,Settings!$F$84,Settings!$F$86)</f>
        <v/>
      </c>
      <c r="AR582" s="157">
        <f>CHOOSE(MATCH(IF($U582="","Основний",$U582),{"Трафіковий","Основний","Маржинальний","Сезонний","Стратегічний"},0),Settings!$G$78,Settings!$G$80,Settings!$G$82,Settings!$G$84,Settings!$G$86)</f>
        <v/>
      </c>
      <c r="AS582" s="157">
        <f>CHOOSE(MATCH(IF($U582="","Основний",$U582),{"Трафіковий","Основний","Маржинальний","Сезонний","Стратегічний"},0),Settings!$H$78,Settings!$H$80,Settings!$H$82,Settings!$H$84,Settings!$H$86)</f>
        <v/>
      </c>
      <c r="AT582" s="157">
        <f>CHOOSE(MATCH(IF($U582="","Основний",$U582),{"Трафіковий","Основний","Маржинальний","Сезонний","Стратегічний"},0),Settings!$I$78,Settings!$I$80,Settings!$I$82,Settings!$I$84,Settings!$I$86)</f>
        <v/>
      </c>
      <c r="AU582" s="171" t="n"/>
      <c r="AV582" t="n">
        <v>1.35</v>
      </c>
    </row>
    <row r="583">
      <c r="A583" s="33" t="n"/>
      <c r="B583" s="34" t="inlineStr">
        <is>
          <t>EV016</t>
        </is>
      </c>
      <c r="C583" s="34" t="inlineStr">
        <is>
          <t>KITCHEN SCALE EV016</t>
        </is>
      </c>
      <c r="D583" s="34" t="inlineStr">
        <is>
          <t>Ваги електронні</t>
        </is>
      </c>
      <c r="E583" s="33" t="inlineStr">
        <is>
          <t>PC</t>
        </is>
      </c>
      <c r="F583" s="94" t="n">
        <v>7.097</v>
      </c>
      <c r="G583" s="35" t="n">
        <v>8423101000</v>
      </c>
      <c r="H583" s="31" t="n">
        <v>1.35</v>
      </c>
      <c r="I583" s="84">
        <f>IFERROR(F583*Settings!$B$2*H583*IF(AND(ISNUMBER(E583),E583&gt;1),E583,1),"")</f>
        <v/>
      </c>
      <c r="J583" s="32">
        <f>Settings!$B$66</f>
        <v/>
      </c>
      <c r="K583" s="95">
        <f>IFERROR(IF(T583="","",(T583*(1-AN583)*(1-Settings!$B$17)-I583)/(T583*(1-AN583)*(1-Settings!$B$17))),"")</f>
        <v/>
      </c>
      <c r="L583" s="101">
        <f>IFERROR(IF(T583="","",(T583*(1-AO583)*(1-Settings!$C$17)-I583)/(T583*(1-AO583)*(1-Settings!$C$17))),"")</f>
        <v/>
      </c>
      <c r="M583" s="101">
        <f>IFERROR(IF(T583="","",(T583*(1-AP583)*(1-Settings!$D$17)-I583)/(T583*(1-AP583)*(1-Settings!$D$17))),"")</f>
        <v/>
      </c>
      <c r="N583" s="101">
        <f>IFERROR(IF(T583="","",(T583*(1-AQ583)*(1-Settings!$F$17)-I583)/(T583*(1-AQ583)*(1-Settings!$F$17))),"")</f>
        <v/>
      </c>
      <c r="O583" s="101">
        <f>IFERROR(IF(T583="","",(T583*(1-AR583)*(1-Settings!$G$17)-I583)/(T583*(1-AR583)*(1-Settings!$G$17))),"")</f>
        <v/>
      </c>
      <c r="P583" s="101">
        <f>IFERROR(IF(T583="","",(T583*(1-AS583)*(1-Settings!$H$17)-I583)/(T583*(1-AS583)*(1-Settings!$H$17))),"")</f>
        <v/>
      </c>
      <c r="Q583" s="101">
        <f>IFERROR(IF(T583="","",(T583*(1-AT583)*(1-Settings!$I$68)*(1-Settings!$I$17)-I583)/(T583*(1-AT583)*(1-Settings!$I$68)*(1-Settings!$I$17))),"")</f>
        <v/>
      </c>
      <c r="R583" s="91">
        <f>IFERROR(IF(OR(I583="",Z583&gt;=1,Settings!$B$17&gt;=1,AN583&gt;=1),"",IF(MOD(ROUND(I583/(1-Z583)/(1-Settings!$B$17)/(1-AN583),0),10)=0,ROUND(I583/(1-Z583)/(1-Settings!$B$17)/(1-AN583),0)-1,IF(MOD(ROUND(I583/(1-Z583)/(1-Settings!$B$17)/(1-AN583),0),10)&lt;=5,FLOOR(ROUND(I583/(1-Z583)/(1-Settings!$B$17)/(1-AN583),0),10)+6,FLOOR(ROUND(I583/(1-Z583)/(1-Settings!$B$17)/(1-AN583),0),10)+9))),"")</f>
        <v/>
      </c>
      <c r="S583" s="174">
        <f>R583*0.95</f>
        <v/>
      </c>
      <c r="T583" s="91">
        <f>IF(S583&lt;&gt;"", IF(MOD(S583,10)=0,S583-1,IF(MOD(S583,10)&lt;=5,FLOOR(S583,10)+6,FLOOR(S583,10)+9)), R583)</f>
        <v/>
      </c>
      <c r="U583" s="87" t="inlineStr">
        <is>
          <t>Основний</t>
        </is>
      </c>
      <c r="V583" s="88" t="n"/>
      <c r="W583" s="88" t="n"/>
      <c r="X583" s="89">
        <f>IFERROR(IF(OR(V583="",W583="",T583=""),"", IF(T583&gt;W583,"Дорогий",IF(T583&lt;V583,"Дешевий","У ринку"))),"")</f>
        <v/>
      </c>
      <c r="Y583" s="90" t="n"/>
      <c r="Z583" s="104">
        <f>CHOOSE(MATCH(IF($U583="","Основний",$U583),{"Трафіковий","Основний","Маржинальний","Сезонний","Стратегічний"},0),0.16,0.19,0.24,0.23,0.28)</f>
        <v/>
      </c>
      <c r="AA583" s="104">
        <f>CHOOSE(MATCH(IF($U583="","Основний",$U583),{"Трафіковий","Основний","Маржинальний","Сезонний","Стратегічний"},0),0.18,0.21,0.26,0.25,0.3)</f>
        <v/>
      </c>
      <c r="AB583" s="104">
        <f>CHOOSE(MATCH(IF($U583="","Основний",$U583),{"Трафіковий","Основний","Маржинальний","Сезонний","Стратегічний"},0),0.19,0.22,0.28,0.26,0.32)</f>
        <v/>
      </c>
      <c r="AC583" s="104">
        <f>CHOOSE(MATCH(IF($U583="","Основний",$U583),{"Трафіковий","Основний","Маржинальний","Сезонний","Стратегічний"},0),0.17,0.2,0.25,0.24,0.28)</f>
        <v/>
      </c>
      <c r="AD583" s="104">
        <f>CHOOSE(MATCH(IF($U583="","Основний",$U583),{"Трафіковий","Основний","Маржинальний","Сезонний","Стратегічний"},0),0.18,0.21,0.26,0.25,0.3)</f>
        <v/>
      </c>
      <c r="AE583" s="104">
        <f>CHOOSE(MATCH(IF($U583="","Основний",$U583),{"Трафіковий","Основний","Маржинальний","Сезонний","Стратегічний"},0),0.18,0.2,0.28,0.27,0.32)</f>
        <v/>
      </c>
      <c r="AF583" s="104">
        <f>CHOOSE(MATCH(IF($U583="","Основний",$U583),{"Трафіковий","Основний","Маржинальний","Сезонний","Стратегічний"},0),0.15,0.175,0.22,0.21,0.25)</f>
        <v/>
      </c>
      <c r="AG583" s="104">
        <f>CHOOSE(MATCH(IF($U583="","Основний",$U583),{"Трафіковий","Основний","Маржинальний","Сезонний","Стратегічний"},0),0.13,0.16,0.21,0.2,0.25)</f>
        <v/>
      </c>
      <c r="AH583" s="104">
        <f>CHOOSE(MATCH(IF($U583="","Основний",$U583),{"Трафіковий","Основний","Маржинальний","Сезонний","Стратегічний"},0),0.15,0.18,0.23,0.22,0.27)</f>
        <v/>
      </c>
      <c r="AI583" s="104">
        <f>CHOOSE(MATCH(IF($U583="","Основний",$U583),{"Трафіковий","Основний","Маржинальний","Сезонний","Стратегічний"},0),0.16,0.19,0.25,0.23,0.29)</f>
        <v/>
      </c>
      <c r="AJ583" s="104">
        <f>CHOOSE(MATCH(IF($U583="","Основний",$U583),{"Трафіковий","Основний","Маржинальний","Сезонний","Стратегічний"},0),0.14,0.17,0.22,0.21,0.25)</f>
        <v/>
      </c>
      <c r="AK583" s="104">
        <f>CHOOSE(MATCH(IF($U583="","Основний",$U583),{"Трафіковий","Основний","Маржинальний","Сезонний","Стратегічний"},0),0.15,0.18,0.23,0.22,0.27)</f>
        <v/>
      </c>
      <c r="AL583" s="104">
        <f>CHOOSE(MATCH(IF($U583="","Основний",$U583),{"Трафіковий","Основний","Маржинальний","Сезонний","Стратегічний"},0),0.15,0.17,0.25,0.24,0.29)</f>
        <v/>
      </c>
      <c r="AM583" s="104">
        <f>CHOOSE(MATCH(IF($U583="","Основний",$U583),{"Трафіковий","Основний","Маржинальний","Сезонний","Стратегічний"},0),0.12,0.145,0.19,0.18,0.22)</f>
        <v/>
      </c>
      <c r="AN583" s="157">
        <f>CHOOSE(MATCH(IF($U583="","Основний",$U583),{"Трафіковий","Основний","Маржинальний","Сезонний","Стратегічний"},0),Settings!$B$78,Settings!$B$80,Settings!$B$82,Settings!$B$84,Settings!$B$86)</f>
        <v/>
      </c>
      <c r="AO583" s="157">
        <f>CHOOSE(MATCH(IF($U583="","Основний",$U583),{"Трафіковий","Основний","Маржинальний","Сезонний","Стратегічний"},0),Settings!$C$78,Settings!$C$80,Settings!$C$82,Settings!$C$84,Settings!$C$86)</f>
        <v/>
      </c>
      <c r="AP583" s="157">
        <f>CHOOSE(MATCH(IF($U583="","Основний",$U583),{"Трафіковий","Основний","Маржинальний","Сезонний","Стратегічний"},0),Settings!$D$78,Settings!$D$80,Settings!$D$82,Settings!$D$84,Settings!$D$86)</f>
        <v/>
      </c>
      <c r="AQ583" s="157">
        <f>CHOOSE(MATCH(IF($U583="","Основний",$U583),{"Трафіковий","Основний","Маржинальний","Сезонний","Стратегічний"},0),Settings!$F$78,Settings!$F$80,Settings!$F$82,Settings!$F$84,Settings!$F$86)</f>
        <v/>
      </c>
      <c r="AR583" s="157">
        <f>CHOOSE(MATCH(IF($U583="","Основний",$U583),{"Трафіковий","Основний","Маржинальний","Сезонний","Стратегічний"},0),Settings!$G$78,Settings!$G$80,Settings!$G$82,Settings!$G$84,Settings!$G$86)</f>
        <v/>
      </c>
      <c r="AS583" s="157">
        <f>CHOOSE(MATCH(IF($U583="","Основний",$U583),{"Трафіковий","Основний","Маржинальний","Сезонний","Стратегічний"},0),Settings!$H$78,Settings!$H$80,Settings!$H$82,Settings!$H$84,Settings!$H$86)</f>
        <v/>
      </c>
      <c r="AT583" s="157">
        <f>CHOOSE(MATCH(IF($U583="","Основний",$U583),{"Трафіковий","Основний","Маржинальний","Сезонний","Стратегічний"},0),Settings!$I$78,Settings!$I$80,Settings!$I$82,Settings!$I$84,Settings!$I$86)</f>
        <v/>
      </c>
      <c r="AU583" s="171" t="n"/>
      <c r="AV583" t="n">
        <v>1.35</v>
      </c>
    </row>
    <row r="584">
      <c r="A584" s="28" t="n"/>
      <c r="B584" s="29" t="inlineStr">
        <is>
          <t>EV020</t>
        </is>
      </c>
      <c r="C584" s="29" t="inlineStr">
        <is>
          <t>LUGGAGE SCALE EV020</t>
        </is>
      </c>
      <c r="D584" s="29" t="inlineStr">
        <is>
          <t>Ваги електронні</t>
        </is>
      </c>
      <c r="E584" s="28" t="inlineStr">
        <is>
          <t>PC</t>
        </is>
      </c>
      <c r="F584" s="93" t="n">
        <v>3.734</v>
      </c>
      <c r="G584" s="30" t="n">
        <v>8423101000</v>
      </c>
      <c r="H584" s="31" t="n">
        <v>1.35</v>
      </c>
      <c r="I584" s="84">
        <f>IFERROR(F584*Settings!$B$2*H584*IF(AND(ISNUMBER(E584),E584&gt;1),E584,1),"")</f>
        <v/>
      </c>
      <c r="J584" s="32">
        <f>Settings!$B$66</f>
        <v/>
      </c>
      <c r="K584" s="95">
        <f>IFERROR(IF(T584="","",(T584*(1-AN584)*(1-Settings!$B$17)-I584)/(T584*(1-AN584)*(1-Settings!$B$17))),"")</f>
        <v/>
      </c>
      <c r="L584" s="101">
        <f>IFERROR(IF(T584="","",(T584*(1-AO584)*(1-Settings!$C$17)-I584)/(T584*(1-AO584)*(1-Settings!$C$17))),"")</f>
        <v/>
      </c>
      <c r="M584" s="101">
        <f>IFERROR(IF(T584="","",(T584*(1-AP584)*(1-Settings!$D$17)-I584)/(T584*(1-AP584)*(1-Settings!$D$17))),"")</f>
        <v/>
      </c>
      <c r="N584" s="101">
        <f>IFERROR(IF(T584="","",(T584*(1-AQ584)*(1-Settings!$F$17)-I584)/(T584*(1-AQ584)*(1-Settings!$F$17))),"")</f>
        <v/>
      </c>
      <c r="O584" s="101">
        <f>IFERROR(IF(T584="","",(T584*(1-AR584)*(1-Settings!$G$17)-I584)/(T584*(1-AR584)*(1-Settings!$G$17))),"")</f>
        <v/>
      </c>
      <c r="P584" s="101">
        <f>IFERROR(IF(T584="","",(T584*(1-AS584)*(1-Settings!$H$17)-I584)/(T584*(1-AS584)*(1-Settings!$H$17))),"")</f>
        <v/>
      </c>
      <c r="Q584" s="101">
        <f>IFERROR(IF(T584="","",(T584*(1-AT584)*(1-Settings!$I$68)*(1-Settings!$I$17)-I584)/(T584*(1-AT584)*(1-Settings!$I$68)*(1-Settings!$I$17))),"")</f>
        <v/>
      </c>
      <c r="R584" s="91">
        <f>IFERROR(IF(OR(I584="",Z584&gt;=1,Settings!$B$17&gt;=1,AN584&gt;=1),"",IF(MOD(ROUND(I584/(1-Z584)/(1-Settings!$B$17)/(1-AN584),0),10)=0,ROUND(I584/(1-Z584)/(1-Settings!$B$17)/(1-AN584),0)-1,IF(MOD(ROUND(I584/(1-Z584)/(1-Settings!$B$17)/(1-AN584),0),10)&lt;=5,FLOOR(ROUND(I584/(1-Z584)/(1-Settings!$B$17)/(1-AN584),0),10)+6,FLOOR(ROUND(I584/(1-Z584)/(1-Settings!$B$17)/(1-AN584),0),10)+9))),"")</f>
        <v/>
      </c>
      <c r="S584" s="174">
        <f>R584*0.95</f>
        <v/>
      </c>
      <c r="T584" s="91">
        <f>IF(S584&lt;&gt;"", IF(MOD(S584,10)=0,S584-1,IF(MOD(S584,10)&lt;=5,FLOOR(S584,10)+6,FLOOR(S584,10)+9)), R584)</f>
        <v/>
      </c>
      <c r="U584" s="87" t="inlineStr">
        <is>
          <t>Основний</t>
        </is>
      </c>
      <c r="V584" s="88" t="n"/>
      <c r="W584" s="88" t="n"/>
      <c r="X584" s="89">
        <f>IFERROR(IF(OR(V584="",W584="",T584=""),"", IF(T584&gt;W584,"Дорогий",IF(T584&lt;V584,"Дешевий","У ринку"))),"")</f>
        <v/>
      </c>
      <c r="Y584" s="90" t="n"/>
      <c r="Z584" s="104">
        <f>CHOOSE(MATCH(IF($U584="","Основний",$U584),{"Трафіковий","Основний","Маржинальний","Сезонний","Стратегічний"},0),0.16,0.19,0.24,0.23,0.28)</f>
        <v/>
      </c>
      <c r="AA584" s="104">
        <f>CHOOSE(MATCH(IF($U584="","Основний",$U584),{"Трафіковий","Основний","Маржинальний","Сезонний","Стратегічний"},0),0.18,0.21,0.26,0.25,0.3)</f>
        <v/>
      </c>
      <c r="AB584" s="104">
        <f>CHOOSE(MATCH(IF($U584="","Основний",$U584),{"Трафіковий","Основний","Маржинальний","Сезонний","Стратегічний"},0),0.19,0.22,0.28,0.26,0.32)</f>
        <v/>
      </c>
      <c r="AC584" s="104">
        <f>CHOOSE(MATCH(IF($U584="","Основний",$U584),{"Трафіковий","Основний","Маржинальний","Сезонний","Стратегічний"},0),0.17,0.2,0.25,0.24,0.28)</f>
        <v/>
      </c>
      <c r="AD584" s="104">
        <f>CHOOSE(MATCH(IF($U584="","Основний",$U584),{"Трафіковий","Основний","Маржинальний","Сезонний","Стратегічний"},0),0.18,0.21,0.26,0.25,0.3)</f>
        <v/>
      </c>
      <c r="AE584" s="104">
        <f>CHOOSE(MATCH(IF($U584="","Основний",$U584),{"Трафіковий","Основний","Маржинальний","Сезонний","Стратегічний"},0),0.18,0.2,0.28,0.27,0.32)</f>
        <v/>
      </c>
      <c r="AF584" s="104">
        <f>CHOOSE(MATCH(IF($U584="","Основний",$U584),{"Трафіковий","Основний","Маржинальний","Сезонний","Стратегічний"},0),0.15,0.175,0.22,0.21,0.25)</f>
        <v/>
      </c>
      <c r="AG584" s="104">
        <f>CHOOSE(MATCH(IF($U584="","Основний",$U584),{"Трафіковий","Основний","Маржинальний","Сезонний","Стратегічний"},0),0.13,0.16,0.21,0.2,0.25)</f>
        <v/>
      </c>
      <c r="AH584" s="104">
        <f>CHOOSE(MATCH(IF($U584="","Основний",$U584),{"Трафіковий","Основний","Маржинальний","Сезонний","Стратегічний"},0),0.15,0.18,0.23,0.22,0.27)</f>
        <v/>
      </c>
      <c r="AI584" s="104">
        <f>CHOOSE(MATCH(IF($U584="","Основний",$U584),{"Трафіковий","Основний","Маржинальний","Сезонний","Стратегічний"},0),0.16,0.19,0.25,0.23,0.29)</f>
        <v/>
      </c>
      <c r="AJ584" s="104">
        <f>CHOOSE(MATCH(IF($U584="","Основний",$U584),{"Трафіковий","Основний","Маржинальний","Сезонний","Стратегічний"},0),0.14,0.17,0.22,0.21,0.25)</f>
        <v/>
      </c>
      <c r="AK584" s="104">
        <f>CHOOSE(MATCH(IF($U584="","Основний",$U584),{"Трафіковий","Основний","Маржинальний","Сезонний","Стратегічний"},0),0.15,0.18,0.23,0.22,0.27)</f>
        <v/>
      </c>
      <c r="AL584" s="104">
        <f>CHOOSE(MATCH(IF($U584="","Основний",$U584),{"Трафіковий","Основний","Маржинальний","Сезонний","Стратегічний"},0),0.15,0.17,0.25,0.24,0.29)</f>
        <v/>
      </c>
      <c r="AM584" s="104">
        <f>CHOOSE(MATCH(IF($U584="","Основний",$U584),{"Трафіковий","Основний","Маржинальний","Сезонний","Стратегічний"},0),0.12,0.145,0.19,0.18,0.22)</f>
        <v/>
      </c>
      <c r="AN584" s="157">
        <f>CHOOSE(MATCH(IF($U584="","Основний",$U584),{"Трафіковий","Основний","Маржинальний","Сезонний","Стратегічний"},0),Settings!$B$78,Settings!$B$80,Settings!$B$82,Settings!$B$84,Settings!$B$86)</f>
        <v/>
      </c>
      <c r="AO584" s="157">
        <f>CHOOSE(MATCH(IF($U584="","Основний",$U584),{"Трафіковий","Основний","Маржинальний","Сезонний","Стратегічний"},0),Settings!$C$78,Settings!$C$80,Settings!$C$82,Settings!$C$84,Settings!$C$86)</f>
        <v/>
      </c>
      <c r="AP584" s="157">
        <f>CHOOSE(MATCH(IF($U584="","Основний",$U584),{"Трафіковий","Основний","Маржинальний","Сезонний","Стратегічний"},0),Settings!$D$78,Settings!$D$80,Settings!$D$82,Settings!$D$84,Settings!$D$86)</f>
        <v/>
      </c>
      <c r="AQ584" s="157">
        <f>CHOOSE(MATCH(IF($U584="","Основний",$U584),{"Трафіковий","Основний","Маржинальний","Сезонний","Стратегічний"},0),Settings!$F$78,Settings!$F$80,Settings!$F$82,Settings!$F$84,Settings!$F$86)</f>
        <v/>
      </c>
      <c r="AR584" s="157">
        <f>CHOOSE(MATCH(IF($U584="","Основний",$U584),{"Трафіковий","Основний","Маржинальний","Сезонний","Стратегічний"},0),Settings!$G$78,Settings!$G$80,Settings!$G$82,Settings!$G$84,Settings!$G$86)</f>
        <v/>
      </c>
      <c r="AS584" s="157">
        <f>CHOOSE(MATCH(IF($U584="","Основний",$U584),{"Трафіковий","Основний","Маржинальний","Сезонний","Стратегічний"},0),Settings!$H$78,Settings!$H$80,Settings!$H$82,Settings!$H$84,Settings!$H$86)</f>
        <v/>
      </c>
      <c r="AT584" s="157">
        <f>CHOOSE(MATCH(IF($U584="","Основний",$U584),{"Трафіковий","Основний","Маржинальний","Сезонний","Стратегічний"},0),Settings!$I$78,Settings!$I$80,Settings!$I$82,Settings!$I$84,Settings!$I$86)</f>
        <v/>
      </c>
      <c r="AU584" s="171" t="n"/>
      <c r="AV584" t="n">
        <v>1.35</v>
      </c>
    </row>
    <row r="585">
      <c r="A585" s="33" t="n"/>
      <c r="B585" s="34" t="inlineStr">
        <is>
          <t>EV023</t>
        </is>
      </c>
      <c r="C585" s="34" t="inlineStr">
        <is>
          <t>KICHEN SCALE EV023 SILVER</t>
        </is>
      </c>
      <c r="D585" s="34" t="inlineStr">
        <is>
          <t>Ваги електронні</t>
        </is>
      </c>
      <c r="E585" s="33" t="inlineStr">
        <is>
          <t>PC</t>
        </is>
      </c>
      <c r="F585" s="94" t="n">
        <v>5.997</v>
      </c>
      <c r="G585" s="35" t="n">
        <v>8423101000</v>
      </c>
      <c r="H585" s="31" t="n">
        <v>1.35</v>
      </c>
      <c r="I585" s="84">
        <f>IFERROR(F585*Settings!$B$2*H585*IF(AND(ISNUMBER(E585),E585&gt;1),E585,1),"")</f>
        <v/>
      </c>
      <c r="J585" s="32">
        <f>Settings!$B$66</f>
        <v/>
      </c>
      <c r="K585" s="95">
        <f>IFERROR(IF(T585="","",(T585*(1-AN585)*(1-Settings!$B$17)-I585)/(T585*(1-AN585)*(1-Settings!$B$17))),"")</f>
        <v/>
      </c>
      <c r="L585" s="101">
        <f>IFERROR(IF(T585="","",(T585*(1-AO585)*(1-Settings!$C$17)-I585)/(T585*(1-AO585)*(1-Settings!$C$17))),"")</f>
        <v/>
      </c>
      <c r="M585" s="101">
        <f>IFERROR(IF(T585="","",(T585*(1-AP585)*(1-Settings!$D$17)-I585)/(T585*(1-AP585)*(1-Settings!$D$17))),"")</f>
        <v/>
      </c>
      <c r="N585" s="101">
        <f>IFERROR(IF(T585="","",(T585*(1-AQ585)*(1-Settings!$F$17)-I585)/(T585*(1-AQ585)*(1-Settings!$F$17))),"")</f>
        <v/>
      </c>
      <c r="O585" s="101">
        <f>IFERROR(IF(T585="","",(T585*(1-AR585)*(1-Settings!$G$17)-I585)/(T585*(1-AR585)*(1-Settings!$G$17))),"")</f>
        <v/>
      </c>
      <c r="P585" s="101">
        <f>IFERROR(IF(T585="","",(T585*(1-AS585)*(1-Settings!$H$17)-I585)/(T585*(1-AS585)*(1-Settings!$H$17))),"")</f>
        <v/>
      </c>
      <c r="Q585" s="101">
        <f>IFERROR(IF(T585="","",(T585*(1-AT585)*(1-Settings!$I$68)*(1-Settings!$I$17)-I585)/(T585*(1-AT585)*(1-Settings!$I$68)*(1-Settings!$I$17))),"")</f>
        <v/>
      </c>
      <c r="R585" s="91">
        <f>IFERROR(IF(OR(I585="",Z585&gt;=1,Settings!$B$17&gt;=1,AN585&gt;=1),"",IF(MOD(ROUND(I585/(1-Z585)/(1-Settings!$B$17)/(1-AN585),0),10)=0,ROUND(I585/(1-Z585)/(1-Settings!$B$17)/(1-AN585),0)-1,IF(MOD(ROUND(I585/(1-Z585)/(1-Settings!$B$17)/(1-AN585),0),10)&lt;=5,FLOOR(ROUND(I585/(1-Z585)/(1-Settings!$B$17)/(1-AN585),0),10)+6,FLOOR(ROUND(I585/(1-Z585)/(1-Settings!$B$17)/(1-AN585),0),10)+9))),"")</f>
        <v/>
      </c>
      <c r="S585" s="174">
        <f>R585*0.95</f>
        <v/>
      </c>
      <c r="T585" s="91">
        <f>IF(S585&lt;&gt;"", IF(MOD(S585,10)=0,S585-1,IF(MOD(S585,10)&lt;=5,FLOOR(S585,10)+6,FLOOR(S585,10)+9)), R585)</f>
        <v/>
      </c>
      <c r="U585" s="87" t="inlineStr">
        <is>
          <t>Основний</t>
        </is>
      </c>
      <c r="V585" s="88" t="n"/>
      <c r="W585" s="88" t="n"/>
      <c r="X585" s="89">
        <f>IFERROR(IF(OR(V585="",W585="",T585=""),"", IF(T585&gt;W585,"Дорогий",IF(T585&lt;V585,"Дешевий","У ринку"))),"")</f>
        <v/>
      </c>
      <c r="Y585" s="90" t="n"/>
      <c r="Z585" s="104">
        <f>CHOOSE(MATCH(IF($U585="","Основний",$U585),{"Трафіковий","Основний","Маржинальний","Сезонний","Стратегічний"},0),0.16,0.19,0.24,0.23,0.28)</f>
        <v/>
      </c>
      <c r="AA585" s="104">
        <f>CHOOSE(MATCH(IF($U585="","Основний",$U585),{"Трафіковий","Основний","Маржинальний","Сезонний","Стратегічний"},0),0.18,0.21,0.26,0.25,0.3)</f>
        <v/>
      </c>
      <c r="AB585" s="104">
        <f>CHOOSE(MATCH(IF($U585="","Основний",$U585),{"Трафіковий","Основний","Маржинальний","Сезонний","Стратегічний"},0),0.19,0.22,0.28,0.26,0.32)</f>
        <v/>
      </c>
      <c r="AC585" s="104">
        <f>CHOOSE(MATCH(IF($U585="","Основний",$U585),{"Трафіковий","Основний","Маржинальний","Сезонний","Стратегічний"},0),0.17,0.2,0.25,0.24,0.28)</f>
        <v/>
      </c>
      <c r="AD585" s="104">
        <f>CHOOSE(MATCH(IF($U585="","Основний",$U585),{"Трафіковий","Основний","Маржинальний","Сезонний","Стратегічний"},0),0.18,0.21,0.26,0.25,0.3)</f>
        <v/>
      </c>
      <c r="AE585" s="104">
        <f>CHOOSE(MATCH(IF($U585="","Основний",$U585),{"Трафіковий","Основний","Маржинальний","Сезонний","Стратегічний"},0),0.18,0.2,0.28,0.27,0.32)</f>
        <v/>
      </c>
      <c r="AF585" s="104">
        <f>CHOOSE(MATCH(IF($U585="","Основний",$U585),{"Трафіковий","Основний","Маржинальний","Сезонний","Стратегічний"},0),0.15,0.175,0.22,0.21,0.25)</f>
        <v/>
      </c>
      <c r="AG585" s="104">
        <f>CHOOSE(MATCH(IF($U585="","Основний",$U585),{"Трафіковий","Основний","Маржинальний","Сезонний","Стратегічний"},0),0.13,0.16,0.21,0.2,0.25)</f>
        <v/>
      </c>
      <c r="AH585" s="104">
        <f>CHOOSE(MATCH(IF($U585="","Основний",$U585),{"Трафіковий","Основний","Маржинальний","Сезонний","Стратегічний"},0),0.15,0.18,0.23,0.22,0.27)</f>
        <v/>
      </c>
      <c r="AI585" s="104">
        <f>CHOOSE(MATCH(IF($U585="","Основний",$U585),{"Трафіковий","Основний","Маржинальний","Сезонний","Стратегічний"},0),0.16,0.19,0.25,0.23,0.29)</f>
        <v/>
      </c>
      <c r="AJ585" s="104">
        <f>CHOOSE(MATCH(IF($U585="","Основний",$U585),{"Трафіковий","Основний","Маржинальний","Сезонний","Стратегічний"},0),0.14,0.17,0.22,0.21,0.25)</f>
        <v/>
      </c>
      <c r="AK585" s="104">
        <f>CHOOSE(MATCH(IF($U585="","Основний",$U585),{"Трафіковий","Основний","Маржинальний","Сезонний","Стратегічний"},0),0.15,0.18,0.23,0.22,0.27)</f>
        <v/>
      </c>
      <c r="AL585" s="104">
        <f>CHOOSE(MATCH(IF($U585="","Основний",$U585),{"Трафіковий","Основний","Маржинальний","Сезонний","Стратегічний"},0),0.15,0.17,0.25,0.24,0.29)</f>
        <v/>
      </c>
      <c r="AM585" s="104">
        <f>CHOOSE(MATCH(IF($U585="","Основний",$U585),{"Трафіковий","Основний","Маржинальний","Сезонний","Стратегічний"},0),0.12,0.145,0.19,0.18,0.22)</f>
        <v/>
      </c>
      <c r="AN585" s="157">
        <f>CHOOSE(MATCH(IF($U585="","Основний",$U585),{"Трафіковий","Основний","Маржинальний","Сезонний","Стратегічний"},0),Settings!$B$78,Settings!$B$80,Settings!$B$82,Settings!$B$84,Settings!$B$86)</f>
        <v/>
      </c>
      <c r="AO585" s="157">
        <f>CHOOSE(MATCH(IF($U585="","Основний",$U585),{"Трафіковий","Основний","Маржинальний","Сезонний","Стратегічний"},0),Settings!$C$78,Settings!$C$80,Settings!$C$82,Settings!$C$84,Settings!$C$86)</f>
        <v/>
      </c>
      <c r="AP585" s="157">
        <f>CHOOSE(MATCH(IF($U585="","Основний",$U585),{"Трафіковий","Основний","Маржинальний","Сезонний","Стратегічний"},0),Settings!$D$78,Settings!$D$80,Settings!$D$82,Settings!$D$84,Settings!$D$86)</f>
        <v/>
      </c>
      <c r="AQ585" s="157">
        <f>CHOOSE(MATCH(IF($U585="","Основний",$U585),{"Трафіковий","Основний","Маржинальний","Сезонний","Стратегічний"},0),Settings!$F$78,Settings!$F$80,Settings!$F$82,Settings!$F$84,Settings!$F$86)</f>
        <v/>
      </c>
      <c r="AR585" s="157">
        <f>CHOOSE(MATCH(IF($U585="","Основний",$U585),{"Трафіковий","Основний","Маржинальний","Сезонний","Стратегічний"},0),Settings!$G$78,Settings!$G$80,Settings!$G$82,Settings!$G$84,Settings!$G$86)</f>
        <v/>
      </c>
      <c r="AS585" s="157">
        <f>CHOOSE(MATCH(IF($U585="","Основний",$U585),{"Трафіковий","Основний","Маржинальний","Сезонний","Стратегічний"},0),Settings!$H$78,Settings!$H$80,Settings!$H$82,Settings!$H$84,Settings!$H$86)</f>
        <v/>
      </c>
      <c r="AT585" s="157">
        <f>CHOOSE(MATCH(IF($U585="","Основний",$U585),{"Трафіковий","Основний","Маржинальний","Сезонний","Стратегічний"},0),Settings!$I$78,Settings!$I$80,Settings!$I$82,Settings!$I$84,Settings!$I$86)</f>
        <v/>
      </c>
      <c r="AU585" s="171" t="n"/>
      <c r="AV585" t="n">
        <v>1.35</v>
      </c>
    </row>
    <row r="586">
      <c r="A586" s="28" t="n"/>
      <c r="B586" s="29" t="inlineStr">
        <is>
          <t>EV026</t>
        </is>
      </c>
      <c r="C586" s="29" t="inlineStr">
        <is>
          <t>KITCHEN SCALE EV026 SILVER</t>
        </is>
      </c>
      <c r="D586" s="29" t="inlineStr">
        <is>
          <t>Ваги електронні</t>
        </is>
      </c>
      <c r="E586" s="28" t="inlineStr">
        <is>
          <t>PC</t>
        </is>
      </c>
      <c r="F586" s="93" t="n">
        <v>5.678</v>
      </c>
      <c r="G586" s="30" t="n">
        <v>8423101000</v>
      </c>
      <c r="H586" s="31" t="n">
        <v>1.35</v>
      </c>
      <c r="I586" s="84">
        <f>IFERROR(F586*Settings!$B$2*H586*IF(AND(ISNUMBER(E586),E586&gt;1),E586,1),"")</f>
        <v/>
      </c>
      <c r="J586" s="32">
        <f>Settings!$B$66</f>
        <v/>
      </c>
      <c r="K586" s="95">
        <f>IFERROR(IF(T586="","",(T586*(1-AN586)*(1-Settings!$B$17)-I586)/(T586*(1-AN586)*(1-Settings!$B$17))),"")</f>
        <v/>
      </c>
      <c r="L586" s="101">
        <f>IFERROR(IF(T586="","",(T586*(1-AO586)*(1-Settings!$C$17)-I586)/(T586*(1-AO586)*(1-Settings!$C$17))),"")</f>
        <v/>
      </c>
      <c r="M586" s="101">
        <f>IFERROR(IF(T586="","",(T586*(1-AP586)*(1-Settings!$D$17)-I586)/(T586*(1-AP586)*(1-Settings!$D$17))),"")</f>
        <v/>
      </c>
      <c r="N586" s="101">
        <f>IFERROR(IF(T586="","",(T586*(1-AQ586)*(1-Settings!$F$17)-I586)/(T586*(1-AQ586)*(1-Settings!$F$17))),"")</f>
        <v/>
      </c>
      <c r="O586" s="101">
        <f>IFERROR(IF(T586="","",(T586*(1-AR586)*(1-Settings!$G$17)-I586)/(T586*(1-AR586)*(1-Settings!$G$17))),"")</f>
        <v/>
      </c>
      <c r="P586" s="101">
        <f>IFERROR(IF(T586="","",(T586*(1-AS586)*(1-Settings!$H$17)-I586)/(T586*(1-AS586)*(1-Settings!$H$17))),"")</f>
        <v/>
      </c>
      <c r="Q586" s="101">
        <f>IFERROR(IF(T586="","",(T586*(1-AT586)*(1-Settings!$I$68)*(1-Settings!$I$17)-I586)/(T586*(1-AT586)*(1-Settings!$I$68)*(1-Settings!$I$17))),"")</f>
        <v/>
      </c>
      <c r="R586" s="91">
        <f>IFERROR(IF(OR(I586="",Z586&gt;=1,Settings!$B$17&gt;=1,AN586&gt;=1),"",IF(MOD(ROUND(I586/(1-Z586)/(1-Settings!$B$17)/(1-AN586),0),10)=0,ROUND(I586/(1-Z586)/(1-Settings!$B$17)/(1-AN586),0)-1,IF(MOD(ROUND(I586/(1-Z586)/(1-Settings!$B$17)/(1-AN586),0),10)&lt;=5,FLOOR(ROUND(I586/(1-Z586)/(1-Settings!$B$17)/(1-AN586),0),10)+6,FLOOR(ROUND(I586/(1-Z586)/(1-Settings!$B$17)/(1-AN586),0),10)+9))),"")</f>
        <v/>
      </c>
      <c r="S586" s="174" t="n"/>
      <c r="T586" s="91">
        <f>IF(S586&lt;&gt;"", IF(MOD(S586,10)=0,S586-1,IF(MOD(S586,10)&lt;=5,FLOOR(S586,10)+6,FLOOR(S586,10)+9)), R586)</f>
        <v/>
      </c>
      <c r="U586" s="87" t="inlineStr">
        <is>
          <t>Основний</t>
        </is>
      </c>
      <c r="V586" s="88" t="n"/>
      <c r="W586" s="88" t="n"/>
      <c r="X586" s="89">
        <f>IFERROR(IF(OR(V586="",W586="",T586=""),"", IF(T586&gt;W586,"Дорогий",IF(T586&lt;V586,"Дешевий","У ринку"))),"")</f>
        <v/>
      </c>
      <c r="Y586" s="90" t="n"/>
      <c r="Z586" s="104">
        <f>CHOOSE(MATCH(IF($U586="","Основний",$U586),{"Трафіковий","Основний","Маржинальний","Сезонний","Стратегічний"},0),0.16,0.19,0.24,0.23,0.28)</f>
        <v/>
      </c>
      <c r="AA586" s="104">
        <f>CHOOSE(MATCH(IF($U586="","Основний",$U586),{"Трафіковий","Основний","Маржинальний","Сезонний","Стратегічний"},0),0.18,0.21,0.26,0.25,0.3)</f>
        <v/>
      </c>
      <c r="AB586" s="104">
        <f>CHOOSE(MATCH(IF($U586="","Основний",$U586),{"Трафіковий","Основний","Маржинальний","Сезонний","Стратегічний"},0),0.19,0.22,0.28,0.26,0.32)</f>
        <v/>
      </c>
      <c r="AC586" s="104">
        <f>CHOOSE(MATCH(IF($U586="","Основний",$U586),{"Трафіковий","Основний","Маржинальний","Сезонний","Стратегічний"},0),0.17,0.2,0.25,0.24,0.28)</f>
        <v/>
      </c>
      <c r="AD586" s="104">
        <f>CHOOSE(MATCH(IF($U586="","Основний",$U586),{"Трафіковий","Основний","Маржинальний","Сезонний","Стратегічний"},0),0.18,0.21,0.26,0.25,0.3)</f>
        <v/>
      </c>
      <c r="AE586" s="104">
        <f>CHOOSE(MATCH(IF($U586="","Основний",$U586),{"Трафіковий","Основний","Маржинальний","Сезонний","Стратегічний"},0),0.18,0.2,0.28,0.27,0.32)</f>
        <v/>
      </c>
      <c r="AF586" s="104">
        <f>CHOOSE(MATCH(IF($U586="","Основний",$U586),{"Трафіковий","Основний","Маржинальний","Сезонний","Стратегічний"},0),0.15,0.175,0.22,0.21,0.25)</f>
        <v/>
      </c>
      <c r="AG586" s="104">
        <f>CHOOSE(MATCH(IF($U586="","Основний",$U586),{"Трафіковий","Основний","Маржинальний","Сезонний","Стратегічний"},0),0.13,0.16,0.21,0.2,0.25)</f>
        <v/>
      </c>
      <c r="AH586" s="104">
        <f>CHOOSE(MATCH(IF($U586="","Основний",$U586),{"Трафіковий","Основний","Маржинальний","Сезонний","Стратегічний"},0),0.15,0.18,0.23,0.22,0.27)</f>
        <v/>
      </c>
      <c r="AI586" s="104">
        <f>CHOOSE(MATCH(IF($U586="","Основний",$U586),{"Трафіковий","Основний","Маржинальний","Сезонний","Стратегічний"},0),0.16,0.19,0.25,0.23,0.29)</f>
        <v/>
      </c>
      <c r="AJ586" s="104">
        <f>CHOOSE(MATCH(IF($U586="","Основний",$U586),{"Трафіковий","Основний","Маржинальний","Сезонний","Стратегічний"},0),0.14,0.17,0.22,0.21,0.25)</f>
        <v/>
      </c>
      <c r="AK586" s="104">
        <f>CHOOSE(MATCH(IF($U586="","Основний",$U586),{"Трафіковий","Основний","Маржинальний","Сезонний","Стратегічний"},0),0.15,0.18,0.23,0.22,0.27)</f>
        <v/>
      </c>
      <c r="AL586" s="104">
        <f>CHOOSE(MATCH(IF($U586="","Основний",$U586),{"Трафіковий","Основний","Маржинальний","Сезонний","Стратегічний"},0),0.15,0.17,0.25,0.24,0.29)</f>
        <v/>
      </c>
      <c r="AM586" s="104">
        <f>CHOOSE(MATCH(IF($U586="","Основний",$U586),{"Трафіковий","Основний","Маржинальний","Сезонний","Стратегічний"},0),0.12,0.145,0.19,0.18,0.22)</f>
        <v/>
      </c>
      <c r="AN586" s="157">
        <f>CHOOSE(MATCH(IF($U586="","Основний",$U586),{"Трафіковий","Основний","Маржинальний","Сезонний","Стратегічний"},0),Settings!$B$78,Settings!$B$80,Settings!$B$82,Settings!$B$84,Settings!$B$86)</f>
        <v/>
      </c>
      <c r="AO586" s="157">
        <f>CHOOSE(MATCH(IF($U586="","Основний",$U586),{"Трафіковий","Основний","Маржинальний","Сезонний","Стратегічний"},0),Settings!$C$78,Settings!$C$80,Settings!$C$82,Settings!$C$84,Settings!$C$86)</f>
        <v/>
      </c>
      <c r="AP586" s="157">
        <f>CHOOSE(MATCH(IF($U586="","Основний",$U586),{"Трафіковий","Основний","Маржинальний","Сезонний","Стратегічний"},0),Settings!$D$78,Settings!$D$80,Settings!$D$82,Settings!$D$84,Settings!$D$86)</f>
        <v/>
      </c>
      <c r="AQ586" s="157">
        <f>CHOOSE(MATCH(IF($U586="","Основний",$U586),{"Трафіковий","Основний","Маржинальний","Сезонний","Стратегічний"},0),Settings!$F$78,Settings!$F$80,Settings!$F$82,Settings!$F$84,Settings!$F$86)</f>
        <v/>
      </c>
      <c r="AR586" s="157">
        <f>CHOOSE(MATCH(IF($U586="","Основний",$U586),{"Трафіковий","Основний","Маржинальний","Сезонний","Стратегічний"},0),Settings!$G$78,Settings!$G$80,Settings!$G$82,Settings!$G$84,Settings!$G$86)</f>
        <v/>
      </c>
      <c r="AS586" s="157">
        <f>CHOOSE(MATCH(IF($U586="","Основний",$U586),{"Трафіковий","Основний","Маржинальний","Сезонний","Стратегічний"},0),Settings!$H$78,Settings!$H$80,Settings!$H$82,Settings!$H$84,Settings!$H$86)</f>
        <v/>
      </c>
      <c r="AT586" s="157">
        <f>CHOOSE(MATCH(IF($U586="","Основний",$U586),{"Трафіковий","Основний","Маржинальний","Сезонний","Стратегічний"},0),Settings!$I$78,Settings!$I$80,Settings!$I$82,Settings!$I$84,Settings!$I$86)</f>
        <v/>
      </c>
      <c r="AU586" s="171" t="n"/>
      <c r="AV586" t="n">
        <v>1.35</v>
      </c>
    </row>
    <row r="587">
      <c r="A587" s="33" t="inlineStr">
        <is>
          <t>SELL OUT</t>
        </is>
      </c>
      <c r="B587" s="34" t="inlineStr">
        <is>
          <t>EV028</t>
        </is>
      </c>
      <c r="C587" s="34" t="inlineStr">
        <is>
          <t>FOLDING KITCHEN SCALE EV028</t>
        </is>
      </c>
      <c r="D587" s="34" t="inlineStr">
        <is>
          <t>Ваги електронні</t>
        </is>
      </c>
      <c r="E587" s="33" t="inlineStr">
        <is>
          <t>PC</t>
        </is>
      </c>
      <c r="F587" s="94" t="n">
        <v>5.345</v>
      </c>
      <c r="G587" s="35" t="n">
        <v>8423101000</v>
      </c>
      <c r="H587" s="31" t="n">
        <v>1.35</v>
      </c>
      <c r="I587" s="84">
        <f>IFERROR(F587*Settings!$B$2*H587*IF(AND(ISNUMBER(E587),E587&gt;1),E587,1),"")</f>
        <v/>
      </c>
      <c r="J587" s="32">
        <f>Settings!$B$66</f>
        <v/>
      </c>
      <c r="K587" s="95">
        <f>IFERROR(IF(T587="","",(T587*(1-AN587)*(1-Settings!$B$17)-I587)/(T587*(1-AN587)*(1-Settings!$B$17))),"")</f>
        <v/>
      </c>
      <c r="L587" s="101">
        <f>IFERROR(IF(T587="","",(T587*(1-AO587)*(1-Settings!$C$17)-I587)/(T587*(1-AO587)*(1-Settings!$C$17))),"")</f>
        <v/>
      </c>
      <c r="M587" s="101">
        <f>IFERROR(IF(T587="","",(T587*(1-AP587)*(1-Settings!$D$17)-I587)/(T587*(1-AP587)*(1-Settings!$D$17))),"")</f>
        <v/>
      </c>
      <c r="N587" s="101">
        <f>IFERROR(IF(T587="","",(T587*(1-AQ587)*(1-Settings!$F$17)-I587)/(T587*(1-AQ587)*(1-Settings!$F$17))),"")</f>
        <v/>
      </c>
      <c r="O587" s="101">
        <f>IFERROR(IF(T587="","",(T587*(1-AR587)*(1-Settings!$G$17)-I587)/(T587*(1-AR587)*(1-Settings!$G$17))),"")</f>
        <v/>
      </c>
      <c r="P587" s="101">
        <f>IFERROR(IF(T587="","",(T587*(1-AS587)*(1-Settings!$H$17)-I587)/(T587*(1-AS587)*(1-Settings!$H$17))),"")</f>
        <v/>
      </c>
      <c r="Q587" s="101">
        <f>IFERROR(IF(T587="","",(T587*(1-AT587)*(1-Settings!$I$68)*(1-Settings!$I$17)-I587)/(T587*(1-AT587)*(1-Settings!$I$68)*(1-Settings!$I$17))),"")</f>
        <v/>
      </c>
      <c r="R587" s="91">
        <f>IFERROR(IF(OR(I587="",Z587&gt;=1,Settings!$B$17&gt;=1,AN587&gt;=1),"",IF(MOD(ROUND(I587/(1-Z587)/(1-Settings!$B$17)/(1-AN587),0),10)=0,ROUND(I587/(1-Z587)/(1-Settings!$B$17)/(1-AN587),0)-1,IF(MOD(ROUND(I587/(1-Z587)/(1-Settings!$B$17)/(1-AN587),0),10)&lt;=5,FLOOR(ROUND(I587/(1-Z587)/(1-Settings!$B$17)/(1-AN587),0),10)+6,FLOOR(ROUND(I587/(1-Z587)/(1-Settings!$B$17)/(1-AN587),0),10)+9))),"")</f>
        <v/>
      </c>
      <c r="S587" s="174">
        <f>R587*0.95</f>
        <v/>
      </c>
      <c r="T587" s="91">
        <f>IF(S587&lt;&gt;"", IF(MOD(S587,10)=0,S587-1,IF(MOD(S587,10)&lt;=5,FLOOR(S587,10)+6,FLOOR(S587,10)+9)), R587)</f>
        <v/>
      </c>
      <c r="U587" s="87" t="inlineStr">
        <is>
          <t>Основний</t>
        </is>
      </c>
      <c r="V587" s="88" t="n"/>
      <c r="W587" s="88" t="n"/>
      <c r="X587" s="89">
        <f>IFERROR(IF(OR(V587="",W587="",T587=""),"", IF(T587&gt;W587,"Дорогий",IF(T587&lt;V587,"Дешевий","У ринку"))),"")</f>
        <v/>
      </c>
      <c r="Y587" s="90" t="n"/>
      <c r="Z587" s="104">
        <f>CHOOSE(MATCH(IF($U587="","Основний",$U587),{"Трафіковий","Основний","Маржинальний","Сезонний","Стратегічний"},0),0.16,0.19,0.24,0.23,0.28)</f>
        <v/>
      </c>
      <c r="AA587" s="104">
        <f>CHOOSE(MATCH(IF($U587="","Основний",$U587),{"Трафіковий","Основний","Маржинальний","Сезонний","Стратегічний"},0),0.18,0.21,0.26,0.25,0.3)</f>
        <v/>
      </c>
      <c r="AB587" s="104">
        <f>CHOOSE(MATCH(IF($U587="","Основний",$U587),{"Трафіковий","Основний","Маржинальний","Сезонний","Стратегічний"},0),0.19,0.22,0.28,0.26,0.32)</f>
        <v/>
      </c>
      <c r="AC587" s="104">
        <f>CHOOSE(MATCH(IF($U587="","Основний",$U587),{"Трафіковий","Основний","Маржинальний","Сезонний","Стратегічний"},0),0.17,0.2,0.25,0.24,0.28)</f>
        <v/>
      </c>
      <c r="AD587" s="104">
        <f>CHOOSE(MATCH(IF($U587="","Основний",$U587),{"Трафіковий","Основний","Маржинальний","Сезонний","Стратегічний"},0),0.18,0.21,0.26,0.25,0.3)</f>
        <v/>
      </c>
      <c r="AE587" s="104">
        <f>CHOOSE(MATCH(IF($U587="","Основний",$U587),{"Трафіковий","Основний","Маржинальний","Сезонний","Стратегічний"},0),0.18,0.2,0.28,0.27,0.32)</f>
        <v/>
      </c>
      <c r="AF587" s="104">
        <f>CHOOSE(MATCH(IF($U587="","Основний",$U587),{"Трафіковий","Основний","Маржинальний","Сезонний","Стратегічний"},0),0.15,0.175,0.22,0.21,0.25)</f>
        <v/>
      </c>
      <c r="AG587" s="104">
        <f>CHOOSE(MATCH(IF($U587="","Основний",$U587),{"Трафіковий","Основний","Маржинальний","Сезонний","Стратегічний"},0),0.13,0.16,0.21,0.2,0.25)</f>
        <v/>
      </c>
      <c r="AH587" s="104">
        <f>CHOOSE(MATCH(IF($U587="","Основний",$U587),{"Трафіковий","Основний","Маржинальний","Сезонний","Стратегічний"},0),0.15,0.18,0.23,0.22,0.27)</f>
        <v/>
      </c>
      <c r="AI587" s="104">
        <f>CHOOSE(MATCH(IF($U587="","Основний",$U587),{"Трафіковий","Основний","Маржинальний","Сезонний","Стратегічний"},0),0.16,0.19,0.25,0.23,0.29)</f>
        <v/>
      </c>
      <c r="AJ587" s="104">
        <f>CHOOSE(MATCH(IF($U587="","Основний",$U587),{"Трафіковий","Основний","Маржинальний","Сезонний","Стратегічний"},0),0.14,0.17,0.22,0.21,0.25)</f>
        <v/>
      </c>
      <c r="AK587" s="104">
        <f>CHOOSE(MATCH(IF($U587="","Основний",$U587),{"Трафіковий","Основний","Маржинальний","Сезонний","Стратегічний"},0),0.15,0.18,0.23,0.22,0.27)</f>
        <v/>
      </c>
      <c r="AL587" s="104">
        <f>CHOOSE(MATCH(IF($U587="","Основний",$U587),{"Трафіковий","Основний","Маржинальний","Сезонний","Стратегічний"},0),0.15,0.17,0.25,0.24,0.29)</f>
        <v/>
      </c>
      <c r="AM587" s="104">
        <f>CHOOSE(MATCH(IF($U587="","Основний",$U587),{"Трафіковий","Основний","Маржинальний","Сезонний","Стратегічний"},0),0.12,0.145,0.19,0.18,0.22)</f>
        <v/>
      </c>
      <c r="AN587" s="157">
        <f>CHOOSE(MATCH(IF($U587="","Основний",$U587),{"Трафіковий","Основний","Маржинальний","Сезонний","Стратегічний"},0),Settings!$B$78,Settings!$B$80,Settings!$B$82,Settings!$B$84,Settings!$B$86)</f>
        <v/>
      </c>
      <c r="AO587" s="157">
        <f>CHOOSE(MATCH(IF($U587="","Основний",$U587),{"Трафіковий","Основний","Маржинальний","Сезонний","Стратегічний"},0),Settings!$C$78,Settings!$C$80,Settings!$C$82,Settings!$C$84,Settings!$C$86)</f>
        <v/>
      </c>
      <c r="AP587" s="157">
        <f>CHOOSE(MATCH(IF($U587="","Основний",$U587),{"Трафіковий","Основний","Маржинальний","Сезонний","Стратегічний"},0),Settings!$D$78,Settings!$D$80,Settings!$D$82,Settings!$D$84,Settings!$D$86)</f>
        <v/>
      </c>
      <c r="AQ587" s="157">
        <f>CHOOSE(MATCH(IF($U587="","Основний",$U587),{"Трафіковий","Основний","Маржинальний","Сезонний","Стратегічний"},0),Settings!$F$78,Settings!$F$80,Settings!$F$82,Settings!$F$84,Settings!$F$86)</f>
        <v/>
      </c>
      <c r="AR587" s="157">
        <f>CHOOSE(MATCH(IF($U587="","Основний",$U587),{"Трафіковий","Основний","Маржинальний","Сезонний","Стратегічний"},0),Settings!$G$78,Settings!$G$80,Settings!$G$82,Settings!$G$84,Settings!$G$86)</f>
        <v/>
      </c>
      <c r="AS587" s="157">
        <f>CHOOSE(MATCH(IF($U587="","Основний",$U587),{"Трафіковий","Основний","Маржинальний","Сезонний","Стратегічний"},0),Settings!$H$78,Settings!$H$80,Settings!$H$82,Settings!$H$84,Settings!$H$86)</f>
        <v/>
      </c>
      <c r="AT587" s="157">
        <f>CHOOSE(MATCH(IF($U587="","Основний",$U587),{"Трафіковий","Основний","Маржинальний","Сезонний","Стратегічний"},0),Settings!$I$78,Settings!$I$80,Settings!$I$82,Settings!$I$84,Settings!$I$86)</f>
        <v/>
      </c>
      <c r="AU587" s="171" t="n"/>
      <c r="AV587" t="n">
        <v>1.35</v>
      </c>
    </row>
    <row r="588">
      <c r="A588" s="28" t="n"/>
      <c r="B588" s="29" t="inlineStr">
        <is>
          <t>EV029</t>
        </is>
      </c>
      <c r="C588" s="29" t="inlineStr">
        <is>
          <t>KITCHEN SCALE EV029 BLACK</t>
        </is>
      </c>
      <c r="D588" s="29" t="inlineStr">
        <is>
          <t>Ваги електронні</t>
        </is>
      </c>
      <c r="E588" s="28" t="inlineStr">
        <is>
          <t>PC</t>
        </is>
      </c>
      <c r="F588" s="93" t="n">
        <v>8.467000000000001</v>
      </c>
      <c r="G588" s="30" t="n">
        <v>8423101000</v>
      </c>
      <c r="H588" s="31" t="n">
        <v>1.35</v>
      </c>
      <c r="I588" s="84">
        <f>IFERROR(F588*Settings!$B$2*H588*IF(AND(ISNUMBER(E588),E588&gt;1),E588,1),"")</f>
        <v/>
      </c>
      <c r="J588" s="32">
        <f>Settings!$B$66</f>
        <v/>
      </c>
      <c r="K588" s="95">
        <f>IFERROR(IF(T588="","",(T588*(1-AN588)*(1-Settings!$B$17)-I588)/(T588*(1-AN588)*(1-Settings!$B$17))),"")</f>
        <v/>
      </c>
      <c r="L588" s="101">
        <f>IFERROR(IF(T588="","",(T588*(1-AO588)*(1-Settings!$C$17)-I588)/(T588*(1-AO588)*(1-Settings!$C$17))),"")</f>
        <v/>
      </c>
      <c r="M588" s="101">
        <f>IFERROR(IF(T588="","",(T588*(1-AP588)*(1-Settings!$D$17)-I588)/(T588*(1-AP588)*(1-Settings!$D$17))),"")</f>
        <v/>
      </c>
      <c r="N588" s="101">
        <f>IFERROR(IF(T588="","",(T588*(1-AQ588)*(1-Settings!$F$17)-I588)/(T588*(1-AQ588)*(1-Settings!$F$17))),"")</f>
        <v/>
      </c>
      <c r="O588" s="101">
        <f>IFERROR(IF(T588="","",(T588*(1-AR588)*(1-Settings!$G$17)-I588)/(T588*(1-AR588)*(1-Settings!$G$17))),"")</f>
        <v/>
      </c>
      <c r="P588" s="101">
        <f>IFERROR(IF(T588="","",(T588*(1-AS588)*(1-Settings!$H$17)-I588)/(T588*(1-AS588)*(1-Settings!$H$17))),"")</f>
        <v/>
      </c>
      <c r="Q588" s="101">
        <f>IFERROR(IF(T588="","",(T588*(1-AT588)*(1-Settings!$I$68)*(1-Settings!$I$17)-I588)/(T588*(1-AT588)*(1-Settings!$I$68)*(1-Settings!$I$17))),"")</f>
        <v/>
      </c>
      <c r="R588" s="91">
        <f>IFERROR(IF(OR(I588="",Z588&gt;=1,Settings!$B$17&gt;=1,AN588&gt;=1),"",IF(MOD(ROUND(I588/(1-Z588)/(1-Settings!$B$17)/(1-AN588),0),10)=0,ROUND(I588/(1-Z588)/(1-Settings!$B$17)/(1-AN588),0)-1,IF(MOD(ROUND(I588/(1-Z588)/(1-Settings!$B$17)/(1-AN588),0),10)&lt;=5,FLOOR(ROUND(I588/(1-Z588)/(1-Settings!$B$17)/(1-AN588),0),10)+6,FLOOR(ROUND(I588/(1-Z588)/(1-Settings!$B$17)/(1-AN588),0),10)+9))),"")</f>
        <v/>
      </c>
      <c r="S588" s="174">
        <f>R588*0.95</f>
        <v/>
      </c>
      <c r="T588" s="91">
        <f>IF(S588&lt;&gt;"", IF(MOD(S588,10)=0,S588-1,IF(MOD(S588,10)&lt;=5,FLOOR(S588,10)+6,FLOOR(S588,10)+9)), R588)</f>
        <v/>
      </c>
      <c r="U588" s="87" t="inlineStr">
        <is>
          <t>Основний</t>
        </is>
      </c>
      <c r="V588" s="88" t="n"/>
      <c r="W588" s="88" t="n"/>
      <c r="X588" s="89">
        <f>IFERROR(IF(OR(V588="",W588="",T588=""),"", IF(T588&gt;W588,"Дорогий",IF(T588&lt;V588,"Дешевий","У ринку"))),"")</f>
        <v/>
      </c>
      <c r="Y588" s="90" t="n"/>
      <c r="Z588" s="104">
        <f>CHOOSE(MATCH(IF($U588="","Основний",$U588),{"Трафіковий","Основний","Маржинальний","Сезонний","Стратегічний"},0),0.16,0.19,0.24,0.23,0.28)</f>
        <v/>
      </c>
      <c r="AA588" s="104">
        <f>CHOOSE(MATCH(IF($U588="","Основний",$U588),{"Трафіковий","Основний","Маржинальний","Сезонний","Стратегічний"},0),0.18,0.21,0.26,0.25,0.3)</f>
        <v/>
      </c>
      <c r="AB588" s="104">
        <f>CHOOSE(MATCH(IF($U588="","Основний",$U588),{"Трафіковий","Основний","Маржинальний","Сезонний","Стратегічний"},0),0.19,0.22,0.28,0.26,0.32)</f>
        <v/>
      </c>
      <c r="AC588" s="104">
        <f>CHOOSE(MATCH(IF($U588="","Основний",$U588),{"Трафіковий","Основний","Маржинальний","Сезонний","Стратегічний"},0),0.17,0.2,0.25,0.24,0.28)</f>
        <v/>
      </c>
      <c r="AD588" s="104">
        <f>CHOOSE(MATCH(IF($U588="","Основний",$U588),{"Трафіковий","Основний","Маржинальний","Сезонний","Стратегічний"},0),0.18,0.21,0.26,0.25,0.3)</f>
        <v/>
      </c>
      <c r="AE588" s="104">
        <f>CHOOSE(MATCH(IF($U588="","Основний",$U588),{"Трафіковий","Основний","Маржинальний","Сезонний","Стратегічний"},0),0.18,0.2,0.28,0.27,0.32)</f>
        <v/>
      </c>
      <c r="AF588" s="104">
        <f>CHOOSE(MATCH(IF($U588="","Основний",$U588),{"Трафіковий","Основний","Маржинальний","Сезонний","Стратегічний"},0),0.15,0.175,0.22,0.21,0.25)</f>
        <v/>
      </c>
      <c r="AG588" s="104">
        <f>CHOOSE(MATCH(IF($U588="","Основний",$U588),{"Трафіковий","Основний","Маржинальний","Сезонний","Стратегічний"},0),0.13,0.16,0.21,0.2,0.25)</f>
        <v/>
      </c>
      <c r="AH588" s="104">
        <f>CHOOSE(MATCH(IF($U588="","Основний",$U588),{"Трафіковий","Основний","Маржинальний","Сезонний","Стратегічний"},0),0.15,0.18,0.23,0.22,0.27)</f>
        <v/>
      </c>
      <c r="AI588" s="104">
        <f>CHOOSE(MATCH(IF($U588="","Основний",$U588),{"Трафіковий","Основний","Маржинальний","Сезонний","Стратегічний"},0),0.16,0.19,0.25,0.23,0.29)</f>
        <v/>
      </c>
      <c r="AJ588" s="104">
        <f>CHOOSE(MATCH(IF($U588="","Основний",$U588),{"Трафіковий","Основний","Маржинальний","Сезонний","Стратегічний"},0),0.14,0.17,0.22,0.21,0.25)</f>
        <v/>
      </c>
      <c r="AK588" s="104">
        <f>CHOOSE(MATCH(IF($U588="","Основний",$U588),{"Трафіковий","Основний","Маржинальний","Сезонний","Стратегічний"},0),0.15,0.18,0.23,0.22,0.27)</f>
        <v/>
      </c>
      <c r="AL588" s="104">
        <f>CHOOSE(MATCH(IF($U588="","Основний",$U588),{"Трафіковий","Основний","Маржинальний","Сезонний","Стратегічний"},0),0.15,0.17,0.25,0.24,0.29)</f>
        <v/>
      </c>
      <c r="AM588" s="104">
        <f>CHOOSE(MATCH(IF($U588="","Основний",$U588),{"Трафіковий","Основний","Маржинальний","Сезонний","Стратегічний"},0),0.12,0.145,0.19,0.18,0.22)</f>
        <v/>
      </c>
      <c r="AN588" s="157">
        <f>CHOOSE(MATCH(IF($U588="","Основний",$U588),{"Трафіковий","Основний","Маржинальний","Сезонний","Стратегічний"},0),Settings!$B$78,Settings!$B$80,Settings!$B$82,Settings!$B$84,Settings!$B$86)</f>
        <v/>
      </c>
      <c r="AO588" s="157">
        <f>CHOOSE(MATCH(IF($U588="","Основний",$U588),{"Трафіковий","Основний","Маржинальний","Сезонний","Стратегічний"},0),Settings!$C$78,Settings!$C$80,Settings!$C$82,Settings!$C$84,Settings!$C$86)</f>
        <v/>
      </c>
      <c r="AP588" s="157">
        <f>CHOOSE(MATCH(IF($U588="","Основний",$U588),{"Трафіковий","Основний","Маржинальний","Сезонний","Стратегічний"},0),Settings!$D$78,Settings!$D$80,Settings!$D$82,Settings!$D$84,Settings!$D$86)</f>
        <v/>
      </c>
      <c r="AQ588" s="157">
        <f>CHOOSE(MATCH(IF($U588="","Основний",$U588),{"Трафіковий","Основний","Маржинальний","Сезонний","Стратегічний"},0),Settings!$F$78,Settings!$F$80,Settings!$F$82,Settings!$F$84,Settings!$F$86)</f>
        <v/>
      </c>
      <c r="AR588" s="157">
        <f>CHOOSE(MATCH(IF($U588="","Основний",$U588),{"Трафіковий","Основний","Маржинальний","Сезонний","Стратегічний"},0),Settings!$G$78,Settings!$G$80,Settings!$G$82,Settings!$G$84,Settings!$G$86)</f>
        <v/>
      </c>
      <c r="AS588" s="157">
        <f>CHOOSE(MATCH(IF($U588="","Основний",$U588),{"Трафіковий","Основний","Маржинальний","Сезонний","Стратегічний"},0),Settings!$H$78,Settings!$H$80,Settings!$H$82,Settings!$H$84,Settings!$H$86)</f>
        <v/>
      </c>
      <c r="AT588" s="157">
        <f>CHOOSE(MATCH(IF($U588="","Основний",$U588),{"Трафіковий","Основний","Маржинальний","Сезонний","Стратегічний"},0),Settings!$I$78,Settings!$I$80,Settings!$I$82,Settings!$I$84,Settings!$I$86)</f>
        <v/>
      </c>
      <c r="AU588" s="171" t="n"/>
      <c r="AV588" t="n">
        <v>1.35</v>
      </c>
    </row>
    <row r="589">
      <c r="A589" s="33" t="n"/>
      <c r="B589" s="34" t="inlineStr">
        <is>
          <t>E0202</t>
        </is>
      </c>
      <c r="C589" s="34" t="inlineStr">
        <is>
          <t>KITCHEN TIMER E0202</t>
        </is>
      </c>
      <c r="D589" s="34" t="inlineStr">
        <is>
          <t>Ваги електронні</t>
        </is>
      </c>
      <c r="E589" s="33" t="inlineStr">
        <is>
          <t>PC</t>
        </is>
      </c>
      <c r="F589" s="94" t="n">
        <v>1.572</v>
      </c>
      <c r="G589" s="35" t="n">
        <v>9106900000</v>
      </c>
      <c r="H589" s="31" t="n">
        <v>1.35</v>
      </c>
      <c r="I589" s="84">
        <f>IFERROR(F589*Settings!$B$2*H589*IF(AND(ISNUMBER(E589),E589&gt;1),E589,1),"")</f>
        <v/>
      </c>
      <c r="J589" s="32">
        <f>Settings!$B$66</f>
        <v/>
      </c>
      <c r="K589" s="95">
        <f>IFERROR(IF(T589="","",(T589*(1-AN589)*(1-Settings!$B$17)-I589)/(T589*(1-AN589)*(1-Settings!$B$17))),"")</f>
        <v/>
      </c>
      <c r="L589" s="101">
        <f>IFERROR(IF(T589="","",(T589*(1-AO589)*(1-Settings!$C$17)-I589)/(T589*(1-AO589)*(1-Settings!$C$17))),"")</f>
        <v/>
      </c>
      <c r="M589" s="101">
        <f>IFERROR(IF(T589="","",(T589*(1-AP589)*(1-Settings!$D$17)-I589)/(T589*(1-AP589)*(1-Settings!$D$17))),"")</f>
        <v/>
      </c>
      <c r="N589" s="101">
        <f>IFERROR(IF(T589="","",(T589*(1-AQ589)*(1-Settings!$F$17)-I589)/(T589*(1-AQ589)*(1-Settings!$F$17))),"")</f>
        <v/>
      </c>
      <c r="O589" s="101">
        <f>IFERROR(IF(T589="","",(T589*(1-AR589)*(1-Settings!$G$17)-I589)/(T589*(1-AR589)*(1-Settings!$G$17))),"")</f>
        <v/>
      </c>
      <c r="P589" s="101">
        <f>IFERROR(IF(T589="","",(T589*(1-AS589)*(1-Settings!$H$17)-I589)/(T589*(1-AS589)*(1-Settings!$H$17))),"")</f>
        <v/>
      </c>
      <c r="Q589" s="101">
        <f>IFERROR(IF(T589="","",(T589*(1-AT589)*(1-Settings!$I$68)*(1-Settings!$I$17)-I589)/(T589*(1-AT589)*(1-Settings!$I$68)*(1-Settings!$I$17))),"")</f>
        <v/>
      </c>
      <c r="R589" s="91">
        <f>IFERROR(IF(OR(I589="",Z589&gt;=1,Settings!$B$17&gt;=1,AN589&gt;=1),"",IF(MOD(ROUND(I589/(1-Z589)/(1-Settings!$B$17)/(1-AN589),0),10)=0,ROUND(I589/(1-Z589)/(1-Settings!$B$17)/(1-AN589),0)-1,IF(MOD(ROUND(I589/(1-Z589)/(1-Settings!$B$17)/(1-AN589),0),10)&lt;=5,FLOOR(ROUND(I589/(1-Z589)/(1-Settings!$B$17)/(1-AN589),0),10)+6,FLOOR(ROUND(I589/(1-Z589)/(1-Settings!$B$17)/(1-AN589),0),10)+9))),"")</f>
        <v/>
      </c>
      <c r="S589" s="175" t="n">
        <v>200</v>
      </c>
      <c r="T589" s="91">
        <f>IF(S589&lt;&gt;"", IF(MOD(S589,10)=0,S589-1,IF(MOD(S589,10)&lt;=5,FLOOR(S589,10)+6,FLOOR(S589,10)+9)), R589)</f>
        <v/>
      </c>
      <c r="U589" s="87" t="inlineStr">
        <is>
          <t>Основний</t>
        </is>
      </c>
      <c r="V589" s="88" t="n"/>
      <c r="W589" s="88" t="n"/>
      <c r="X589" s="89">
        <f>IFERROR(IF(OR(V589="",W589="",T589=""),"", IF(T589&gt;W589,"Дорогий",IF(T589&lt;V589,"Дешевий","У ринку"))),"")</f>
        <v/>
      </c>
      <c r="Y589" s="90" t="n"/>
      <c r="Z589" s="104">
        <f>CHOOSE(MATCH(IF($U589="","Основний",$U589),{"Трафіковий","Основний","Маржинальний","Сезонний","Стратегічний"},0),0.16,0.19,0.24,0.23,0.28)</f>
        <v/>
      </c>
      <c r="AA589" s="104">
        <f>CHOOSE(MATCH(IF($U589="","Основний",$U589),{"Трафіковий","Основний","Маржинальний","Сезонний","Стратегічний"},0),0.18,0.21,0.26,0.25,0.3)</f>
        <v/>
      </c>
      <c r="AB589" s="104">
        <f>CHOOSE(MATCH(IF($U589="","Основний",$U589),{"Трафіковий","Основний","Маржинальний","Сезонний","Стратегічний"},0),0.19,0.22,0.28,0.26,0.32)</f>
        <v/>
      </c>
      <c r="AC589" s="104">
        <f>CHOOSE(MATCH(IF($U589="","Основний",$U589),{"Трафіковий","Основний","Маржинальний","Сезонний","Стратегічний"},0),0.17,0.2,0.25,0.24,0.28)</f>
        <v/>
      </c>
      <c r="AD589" s="104">
        <f>CHOOSE(MATCH(IF($U589="","Основний",$U589),{"Трафіковий","Основний","Маржинальний","Сезонний","Стратегічний"},0),0.18,0.21,0.26,0.25,0.3)</f>
        <v/>
      </c>
      <c r="AE589" s="104">
        <f>CHOOSE(MATCH(IF($U589="","Основний",$U589),{"Трафіковий","Основний","Маржинальний","Сезонний","Стратегічний"},0),0.18,0.2,0.28,0.27,0.32)</f>
        <v/>
      </c>
      <c r="AF589" s="104">
        <f>CHOOSE(MATCH(IF($U589="","Основний",$U589),{"Трафіковий","Основний","Маржинальний","Сезонний","Стратегічний"},0),0.15,0.175,0.22,0.21,0.25)</f>
        <v/>
      </c>
      <c r="AG589" s="104">
        <f>CHOOSE(MATCH(IF($U589="","Основний",$U589),{"Трафіковий","Основний","Маржинальний","Сезонний","Стратегічний"},0),0.13,0.16,0.21,0.2,0.25)</f>
        <v/>
      </c>
      <c r="AH589" s="104">
        <f>CHOOSE(MATCH(IF($U589="","Основний",$U589),{"Трафіковий","Основний","Маржинальний","Сезонний","Стратегічний"},0),0.15,0.18,0.23,0.22,0.27)</f>
        <v/>
      </c>
      <c r="AI589" s="104">
        <f>CHOOSE(MATCH(IF($U589="","Основний",$U589),{"Трафіковий","Основний","Маржинальний","Сезонний","Стратегічний"},0),0.16,0.19,0.25,0.23,0.29)</f>
        <v/>
      </c>
      <c r="AJ589" s="104">
        <f>CHOOSE(MATCH(IF($U589="","Основний",$U589),{"Трафіковий","Основний","Маржинальний","Сезонний","Стратегічний"},0),0.14,0.17,0.22,0.21,0.25)</f>
        <v/>
      </c>
      <c r="AK589" s="104">
        <f>CHOOSE(MATCH(IF($U589="","Основний",$U589),{"Трафіковий","Основний","Маржинальний","Сезонний","Стратегічний"},0),0.15,0.18,0.23,0.22,0.27)</f>
        <v/>
      </c>
      <c r="AL589" s="104">
        <f>CHOOSE(MATCH(IF($U589="","Основний",$U589),{"Трафіковий","Основний","Маржинальний","Сезонний","Стратегічний"},0),0.15,0.17,0.25,0.24,0.29)</f>
        <v/>
      </c>
      <c r="AM589" s="104">
        <f>CHOOSE(MATCH(IF($U589="","Основний",$U589),{"Трафіковий","Основний","Маржинальний","Сезонний","Стратегічний"},0),0.12,0.145,0.19,0.18,0.22)</f>
        <v/>
      </c>
      <c r="AN589" s="157">
        <f>CHOOSE(MATCH(IF($U589="","Основний",$U589),{"Трафіковий","Основний","Маржинальний","Сезонний","Стратегічний"},0),Settings!$B$78,Settings!$B$80,Settings!$B$82,Settings!$B$84,Settings!$B$86)</f>
        <v/>
      </c>
      <c r="AO589" s="157">
        <f>CHOOSE(MATCH(IF($U589="","Основний",$U589),{"Трафіковий","Основний","Маржинальний","Сезонний","Стратегічний"},0),Settings!$C$78,Settings!$C$80,Settings!$C$82,Settings!$C$84,Settings!$C$86)</f>
        <v/>
      </c>
      <c r="AP589" s="157">
        <f>CHOOSE(MATCH(IF($U589="","Основний",$U589),{"Трафіковий","Основний","Маржинальний","Сезонний","Стратегічний"},0),Settings!$D$78,Settings!$D$80,Settings!$D$82,Settings!$D$84,Settings!$D$86)</f>
        <v/>
      </c>
      <c r="AQ589" s="157">
        <f>CHOOSE(MATCH(IF($U589="","Основний",$U589),{"Трафіковий","Основний","Маржинальний","Сезонний","Стратегічний"},0),Settings!$F$78,Settings!$F$80,Settings!$F$82,Settings!$F$84,Settings!$F$86)</f>
        <v/>
      </c>
      <c r="AR589" s="157">
        <f>CHOOSE(MATCH(IF($U589="","Основний",$U589),{"Трафіковий","Основний","Маржинальний","Сезонний","Стратегічний"},0),Settings!$G$78,Settings!$G$80,Settings!$G$82,Settings!$G$84,Settings!$G$86)</f>
        <v/>
      </c>
      <c r="AS589" s="157">
        <f>CHOOSE(MATCH(IF($U589="","Основний",$U589),{"Трафіковий","Основний","Маржинальний","Сезонний","Стратегічний"},0),Settings!$H$78,Settings!$H$80,Settings!$H$82,Settings!$H$84,Settings!$H$86)</f>
        <v/>
      </c>
      <c r="AT589" s="157">
        <f>CHOOSE(MATCH(IF($U589="","Основний",$U589),{"Трафіковий","Основний","Маржинальний","Сезонний","Стратегічний"},0),Settings!$I$78,Settings!$I$80,Settings!$I$82,Settings!$I$84,Settings!$I$86)</f>
        <v/>
      </c>
      <c r="AU589" s="171" t="n"/>
      <c r="AV589" t="n">
        <v>1.35</v>
      </c>
    </row>
    <row r="590">
      <c r="A590" s="28" t="n"/>
      <c r="B590" s="29" t="inlineStr">
        <is>
          <t>E2157</t>
        </is>
      </c>
      <c r="C590" s="29" t="inlineStr">
        <is>
          <t>THERMOMETER WITH PROBE E2157</t>
        </is>
      </c>
      <c r="D590" s="29" t="inlineStr">
        <is>
          <t>Ваги електронні</t>
        </is>
      </c>
      <c r="E590" s="28" t="inlineStr">
        <is>
          <t>PC</t>
        </is>
      </c>
      <c r="F590" s="93" t="n">
        <v>4.116</v>
      </c>
      <c r="G590" s="30" t="n">
        <v>9106900000</v>
      </c>
      <c r="H590" s="31" t="n">
        <v>1.35</v>
      </c>
      <c r="I590" s="84">
        <f>IFERROR(F590*Settings!$B$2*H590*IF(AND(ISNUMBER(E590),E590&gt;1),E590,1),"")</f>
        <v/>
      </c>
      <c r="J590" s="32">
        <f>Settings!$B$66</f>
        <v/>
      </c>
      <c r="K590" s="95">
        <f>IFERROR(IF(T590="","",(T590*(1-AN590)*(1-Settings!$B$17)-I590)/(T590*(1-AN590)*(1-Settings!$B$17))),"")</f>
        <v/>
      </c>
      <c r="L590" s="101">
        <f>IFERROR(IF(T590="","",(T590*(1-AO590)*(1-Settings!$C$17)-I590)/(T590*(1-AO590)*(1-Settings!$C$17))),"")</f>
        <v/>
      </c>
      <c r="M590" s="101">
        <f>IFERROR(IF(T590="","",(T590*(1-AP590)*(1-Settings!$D$17)-I590)/(T590*(1-AP590)*(1-Settings!$D$17))),"")</f>
        <v/>
      </c>
      <c r="N590" s="101">
        <f>IFERROR(IF(T590="","",(T590*(1-AQ590)*(1-Settings!$F$17)-I590)/(T590*(1-AQ590)*(1-Settings!$F$17))),"")</f>
        <v/>
      </c>
      <c r="O590" s="101">
        <f>IFERROR(IF(T590="","",(T590*(1-AR590)*(1-Settings!$G$17)-I590)/(T590*(1-AR590)*(1-Settings!$G$17))),"")</f>
        <v/>
      </c>
      <c r="P590" s="101">
        <f>IFERROR(IF(T590="","",(T590*(1-AS590)*(1-Settings!$H$17)-I590)/(T590*(1-AS590)*(1-Settings!$H$17))),"")</f>
        <v/>
      </c>
      <c r="Q590" s="101">
        <f>IFERROR(IF(T590="","",(T590*(1-AT590)*(1-Settings!$I$68)*(1-Settings!$I$17)-I590)/(T590*(1-AT590)*(1-Settings!$I$68)*(1-Settings!$I$17))),"")</f>
        <v/>
      </c>
      <c r="R590" s="91">
        <f>IFERROR(IF(OR(I590="",Z590&gt;=1,Settings!$B$17&gt;=1,AN590&gt;=1),"",IF(MOD(ROUND(I590/(1-Z590)/(1-Settings!$B$17)/(1-AN590),0),10)=0,ROUND(I590/(1-Z590)/(1-Settings!$B$17)/(1-AN590),0)-1,IF(MOD(ROUND(I590/(1-Z590)/(1-Settings!$B$17)/(1-AN590),0),10)&lt;=5,FLOOR(ROUND(I590/(1-Z590)/(1-Settings!$B$17)/(1-AN590),0),10)+6,FLOOR(ROUND(I590/(1-Z590)/(1-Settings!$B$17)/(1-AN590),0),10)+9))),"")</f>
        <v/>
      </c>
      <c r="S590" s="174">
        <f>R590*0.95</f>
        <v/>
      </c>
      <c r="T590" s="91">
        <f>IF(S590&lt;&gt;"", IF(MOD(S590,10)=0,S590-1,IF(MOD(S590,10)&lt;=5,FLOOR(S590,10)+6,FLOOR(S590,10)+9)), R590)</f>
        <v/>
      </c>
      <c r="U590" s="87" t="inlineStr">
        <is>
          <t>Основний</t>
        </is>
      </c>
      <c r="V590" s="88" t="n"/>
      <c r="W590" s="88" t="n"/>
      <c r="X590" s="89">
        <f>IFERROR(IF(OR(V590="",W590="",T590=""),"", IF(T590&gt;W590,"Дорогий",IF(T590&lt;V590,"Дешевий","У ринку"))),"")</f>
        <v/>
      </c>
      <c r="Y590" s="90" t="n"/>
      <c r="Z590" s="104">
        <f>CHOOSE(MATCH(IF($U590="","Основний",$U590),{"Трафіковий","Основний","Маржинальний","Сезонний","Стратегічний"},0),0.16,0.19,0.24,0.23,0.28)</f>
        <v/>
      </c>
      <c r="AA590" s="104">
        <f>CHOOSE(MATCH(IF($U590="","Основний",$U590),{"Трафіковий","Основний","Маржинальний","Сезонний","Стратегічний"},0),0.18,0.21,0.26,0.25,0.3)</f>
        <v/>
      </c>
      <c r="AB590" s="104">
        <f>CHOOSE(MATCH(IF($U590="","Основний",$U590),{"Трафіковий","Основний","Маржинальний","Сезонний","Стратегічний"},0),0.19,0.22,0.28,0.26,0.32)</f>
        <v/>
      </c>
      <c r="AC590" s="104">
        <f>CHOOSE(MATCH(IF($U590="","Основний",$U590),{"Трафіковий","Основний","Маржинальний","Сезонний","Стратегічний"},0),0.17,0.2,0.25,0.24,0.28)</f>
        <v/>
      </c>
      <c r="AD590" s="104">
        <f>CHOOSE(MATCH(IF($U590="","Основний",$U590),{"Трафіковий","Основний","Маржинальний","Сезонний","Стратегічний"},0),0.18,0.21,0.26,0.25,0.3)</f>
        <v/>
      </c>
      <c r="AE590" s="104">
        <f>CHOOSE(MATCH(IF($U590="","Основний",$U590),{"Трафіковий","Основний","Маржинальний","Сезонний","Стратегічний"},0),0.18,0.2,0.28,0.27,0.32)</f>
        <v/>
      </c>
      <c r="AF590" s="104">
        <f>CHOOSE(MATCH(IF($U590="","Основний",$U590),{"Трафіковий","Основний","Маржинальний","Сезонний","Стратегічний"},0),0.15,0.175,0.22,0.21,0.25)</f>
        <v/>
      </c>
      <c r="AG590" s="104">
        <f>CHOOSE(MATCH(IF($U590="","Основний",$U590),{"Трафіковий","Основний","Маржинальний","Сезонний","Стратегічний"},0),0.13,0.16,0.21,0.2,0.25)</f>
        <v/>
      </c>
      <c r="AH590" s="104">
        <f>CHOOSE(MATCH(IF($U590="","Основний",$U590),{"Трафіковий","Основний","Маржинальний","Сезонний","Стратегічний"},0),0.15,0.18,0.23,0.22,0.27)</f>
        <v/>
      </c>
      <c r="AI590" s="104">
        <f>CHOOSE(MATCH(IF($U590="","Основний",$U590),{"Трафіковий","Основний","Маржинальний","Сезонний","Стратегічний"},0),0.16,0.19,0.25,0.23,0.29)</f>
        <v/>
      </c>
      <c r="AJ590" s="104">
        <f>CHOOSE(MATCH(IF($U590="","Основний",$U590),{"Трафіковий","Основний","Маржинальний","Сезонний","Стратегічний"},0),0.14,0.17,0.22,0.21,0.25)</f>
        <v/>
      </c>
      <c r="AK590" s="104">
        <f>CHOOSE(MATCH(IF($U590="","Основний",$U590),{"Трафіковий","Основний","Маржинальний","Сезонний","Стратегічний"},0),0.15,0.18,0.23,0.22,0.27)</f>
        <v/>
      </c>
      <c r="AL590" s="104">
        <f>CHOOSE(MATCH(IF($U590="","Основний",$U590),{"Трафіковий","Основний","Маржинальний","Сезонний","Стратегічний"},0),0.15,0.17,0.25,0.24,0.29)</f>
        <v/>
      </c>
      <c r="AM590" s="104">
        <f>CHOOSE(MATCH(IF($U590="","Основний",$U590),{"Трафіковий","Основний","Маржинальний","Сезонний","Стратегічний"},0),0.12,0.145,0.19,0.18,0.22)</f>
        <v/>
      </c>
      <c r="AN590" s="157">
        <f>CHOOSE(MATCH(IF($U590="","Основний",$U590),{"Трафіковий","Основний","Маржинальний","Сезонний","Стратегічний"},0),Settings!$B$78,Settings!$B$80,Settings!$B$82,Settings!$B$84,Settings!$B$86)</f>
        <v/>
      </c>
      <c r="AO590" s="157">
        <f>CHOOSE(MATCH(IF($U590="","Основний",$U590),{"Трафіковий","Основний","Маржинальний","Сезонний","Стратегічний"},0),Settings!$C$78,Settings!$C$80,Settings!$C$82,Settings!$C$84,Settings!$C$86)</f>
        <v/>
      </c>
      <c r="AP590" s="157">
        <f>CHOOSE(MATCH(IF($U590="","Основний",$U590),{"Трафіковий","Основний","Маржинальний","Сезонний","Стратегічний"},0),Settings!$D$78,Settings!$D$80,Settings!$D$82,Settings!$D$84,Settings!$D$86)</f>
        <v/>
      </c>
      <c r="AQ590" s="157">
        <f>CHOOSE(MATCH(IF($U590="","Основний",$U590),{"Трафіковий","Основний","Маржинальний","Сезонний","Стратегічний"},0),Settings!$F$78,Settings!$F$80,Settings!$F$82,Settings!$F$84,Settings!$F$86)</f>
        <v/>
      </c>
      <c r="AR590" s="157">
        <f>CHOOSE(MATCH(IF($U590="","Основний",$U590),{"Трафіковий","Основний","Маржинальний","Сезонний","Стратегічний"},0),Settings!$G$78,Settings!$G$80,Settings!$G$82,Settings!$G$84,Settings!$G$86)</f>
        <v/>
      </c>
      <c r="AS590" s="157">
        <f>CHOOSE(MATCH(IF($U590="","Основний",$U590),{"Трафіковий","Основний","Маржинальний","Сезонний","Стратегічний"},0),Settings!$H$78,Settings!$H$80,Settings!$H$82,Settings!$H$84,Settings!$H$86)</f>
        <v/>
      </c>
      <c r="AT590" s="157">
        <f>CHOOSE(MATCH(IF($U590="","Основний",$U590),{"Трафіковий","Основний","Маржинальний","Сезонний","Стратегічний"},0),Settings!$I$78,Settings!$I$80,Settings!$I$82,Settings!$I$84,Settings!$I$86)</f>
        <v/>
      </c>
      <c r="AU590" s="171" t="n"/>
      <c r="AV590" t="n">
        <v>1.35</v>
      </c>
    </row>
    <row r="591">
      <c r="A591" s="33" t="n"/>
      <c r="B591" s="34" t="inlineStr">
        <is>
          <t>EV104</t>
        </is>
      </c>
      <c r="C591" s="34" t="inlineStr">
        <is>
          <t>SCALE PERSONAL DIGITAL EV104</t>
        </is>
      </c>
      <c r="D591" s="34" t="inlineStr">
        <is>
          <t>Ваги електронні</t>
        </is>
      </c>
      <c r="E591" s="33" t="inlineStr">
        <is>
          <t>PC</t>
        </is>
      </c>
      <c r="F591" s="94" t="n">
        <v>9.890000000000001</v>
      </c>
      <c r="G591" s="35" t="n">
        <v>8423109000</v>
      </c>
      <c r="H591" s="31" t="n">
        <v>1.35</v>
      </c>
      <c r="I591" s="84">
        <f>IFERROR(F591*Settings!$B$2*H591*IF(AND(ISNUMBER(E591),E591&gt;1),E591,1),"")</f>
        <v/>
      </c>
      <c r="J591" s="32">
        <f>Settings!$B$66</f>
        <v/>
      </c>
      <c r="K591" s="95">
        <f>IFERROR(IF(T591="","",(T591*(1-AN591)*(1-Settings!$B$17)-I591)/(T591*(1-AN591)*(1-Settings!$B$17))),"")</f>
        <v/>
      </c>
      <c r="L591" s="101">
        <f>IFERROR(IF(T591="","",(T591*(1-AO591)*(1-Settings!$C$17)-I591)/(T591*(1-AO591)*(1-Settings!$C$17))),"")</f>
        <v/>
      </c>
      <c r="M591" s="101">
        <f>IFERROR(IF(T591="","",(T591*(1-AP591)*(1-Settings!$D$17)-I591)/(T591*(1-AP591)*(1-Settings!$D$17))),"")</f>
        <v/>
      </c>
      <c r="N591" s="101">
        <f>IFERROR(IF(T591="","",(T591*(1-AQ591)*(1-Settings!$F$17)-I591)/(T591*(1-AQ591)*(1-Settings!$F$17))),"")</f>
        <v/>
      </c>
      <c r="O591" s="101">
        <f>IFERROR(IF(T591="","",(T591*(1-AR591)*(1-Settings!$G$17)-I591)/(T591*(1-AR591)*(1-Settings!$G$17))),"")</f>
        <v/>
      </c>
      <c r="P591" s="101">
        <f>IFERROR(IF(T591="","",(T591*(1-AS591)*(1-Settings!$H$17)-I591)/(T591*(1-AS591)*(1-Settings!$H$17))),"")</f>
        <v/>
      </c>
      <c r="Q591" s="101">
        <f>IFERROR(IF(T591="","",(T591*(1-AT591)*(1-Settings!$I$68)*(1-Settings!$I$17)-I591)/(T591*(1-AT591)*(1-Settings!$I$68)*(1-Settings!$I$17))),"")</f>
        <v/>
      </c>
      <c r="R591" s="91">
        <f>IFERROR(IF(OR(I591="",Z591&gt;=1,Settings!$B$17&gt;=1,AN591&gt;=1),"",IF(MOD(ROUND(I591/(1-Z591)/(1-Settings!$B$17)/(1-AN591),0),10)=0,ROUND(I591/(1-Z591)/(1-Settings!$B$17)/(1-AN591),0)-1,IF(MOD(ROUND(I591/(1-Z591)/(1-Settings!$B$17)/(1-AN591),0),10)&lt;=5,FLOOR(ROUND(I591/(1-Z591)/(1-Settings!$B$17)/(1-AN591),0),10)+6,FLOOR(ROUND(I591/(1-Z591)/(1-Settings!$B$17)/(1-AN591),0),10)+9))),"")</f>
        <v/>
      </c>
      <c r="S591" s="174">
        <f>R591*0.95</f>
        <v/>
      </c>
      <c r="T591" s="91">
        <f>IF(S591&lt;&gt;"", IF(MOD(S591,10)=0,S591-1,IF(MOD(S591,10)&lt;=5,FLOOR(S591,10)+6,FLOOR(S591,10)+9)), R591)</f>
        <v/>
      </c>
      <c r="U591" s="87" t="inlineStr">
        <is>
          <t>Основний</t>
        </is>
      </c>
      <c r="V591" s="88" t="n"/>
      <c r="W591" s="88" t="n"/>
      <c r="X591" s="89">
        <f>IFERROR(IF(OR(V591="",W591="",T591=""),"", IF(T591&gt;W591,"Дорогий",IF(T591&lt;V591,"Дешевий","У ринку"))),"")</f>
        <v/>
      </c>
      <c r="Y591" s="90" t="n"/>
      <c r="Z591" s="104">
        <f>CHOOSE(MATCH(IF($U591="","Основний",$U591),{"Трафіковий","Основний","Маржинальний","Сезонний","Стратегічний"},0),0.16,0.19,0.24,0.23,0.28)</f>
        <v/>
      </c>
      <c r="AA591" s="104">
        <f>CHOOSE(MATCH(IF($U591="","Основний",$U591),{"Трафіковий","Основний","Маржинальний","Сезонний","Стратегічний"},0),0.18,0.21,0.26,0.25,0.3)</f>
        <v/>
      </c>
      <c r="AB591" s="104">
        <f>CHOOSE(MATCH(IF($U591="","Основний",$U591),{"Трафіковий","Основний","Маржинальний","Сезонний","Стратегічний"},0),0.19,0.22,0.28,0.26,0.32)</f>
        <v/>
      </c>
      <c r="AC591" s="104">
        <f>CHOOSE(MATCH(IF($U591="","Основний",$U591),{"Трафіковий","Основний","Маржинальний","Сезонний","Стратегічний"},0),0.17,0.2,0.25,0.24,0.28)</f>
        <v/>
      </c>
      <c r="AD591" s="104">
        <f>CHOOSE(MATCH(IF($U591="","Основний",$U591),{"Трафіковий","Основний","Маржинальний","Сезонний","Стратегічний"},0),0.18,0.21,0.26,0.25,0.3)</f>
        <v/>
      </c>
      <c r="AE591" s="104">
        <f>CHOOSE(MATCH(IF($U591="","Основний",$U591),{"Трафіковий","Основний","Маржинальний","Сезонний","Стратегічний"},0),0.18,0.2,0.28,0.27,0.32)</f>
        <v/>
      </c>
      <c r="AF591" s="104">
        <f>CHOOSE(MATCH(IF($U591="","Основний",$U591),{"Трафіковий","Основний","Маржинальний","Сезонний","Стратегічний"},0),0.15,0.175,0.22,0.21,0.25)</f>
        <v/>
      </c>
      <c r="AG591" s="104">
        <f>CHOOSE(MATCH(IF($U591="","Основний",$U591),{"Трафіковий","Основний","Маржинальний","Сезонний","Стратегічний"},0),0.13,0.16,0.21,0.2,0.25)</f>
        <v/>
      </c>
      <c r="AH591" s="104">
        <f>CHOOSE(MATCH(IF($U591="","Основний",$U591),{"Трафіковий","Основний","Маржинальний","Сезонний","Стратегічний"},0),0.15,0.18,0.23,0.22,0.27)</f>
        <v/>
      </c>
      <c r="AI591" s="104">
        <f>CHOOSE(MATCH(IF($U591="","Основний",$U591),{"Трафіковий","Основний","Маржинальний","Сезонний","Стратегічний"},0),0.16,0.19,0.25,0.23,0.29)</f>
        <v/>
      </c>
      <c r="AJ591" s="104">
        <f>CHOOSE(MATCH(IF($U591="","Основний",$U591),{"Трафіковий","Основний","Маржинальний","Сезонний","Стратегічний"},0),0.14,0.17,0.22,0.21,0.25)</f>
        <v/>
      </c>
      <c r="AK591" s="104">
        <f>CHOOSE(MATCH(IF($U591="","Основний",$U591),{"Трафіковий","Основний","Маржинальний","Сезонний","Стратегічний"},0),0.15,0.18,0.23,0.22,0.27)</f>
        <v/>
      </c>
      <c r="AL591" s="104">
        <f>CHOOSE(MATCH(IF($U591="","Основний",$U591),{"Трафіковий","Основний","Маржинальний","Сезонний","Стратегічний"},0),0.15,0.17,0.25,0.24,0.29)</f>
        <v/>
      </c>
      <c r="AM591" s="104">
        <f>CHOOSE(MATCH(IF($U591="","Основний",$U591),{"Трафіковий","Основний","Маржинальний","Сезонний","Стратегічний"},0),0.12,0.145,0.19,0.18,0.22)</f>
        <v/>
      </c>
      <c r="AN591" s="157">
        <f>CHOOSE(MATCH(IF($U591="","Основний",$U591),{"Трафіковий","Основний","Маржинальний","Сезонний","Стратегічний"},0),Settings!$B$78,Settings!$B$80,Settings!$B$82,Settings!$B$84,Settings!$B$86)</f>
        <v/>
      </c>
      <c r="AO591" s="157">
        <f>CHOOSE(MATCH(IF($U591="","Основний",$U591),{"Трафіковий","Основний","Маржинальний","Сезонний","Стратегічний"},0),Settings!$C$78,Settings!$C$80,Settings!$C$82,Settings!$C$84,Settings!$C$86)</f>
        <v/>
      </c>
      <c r="AP591" s="157">
        <f>CHOOSE(MATCH(IF($U591="","Основний",$U591),{"Трафіковий","Основний","Маржинальний","Сезонний","Стратегічний"},0),Settings!$D$78,Settings!$D$80,Settings!$D$82,Settings!$D$84,Settings!$D$86)</f>
        <v/>
      </c>
      <c r="AQ591" s="157">
        <f>CHOOSE(MATCH(IF($U591="","Основний",$U591),{"Трафіковий","Основний","Маржинальний","Сезонний","Стратегічний"},0),Settings!$F$78,Settings!$F$80,Settings!$F$82,Settings!$F$84,Settings!$F$86)</f>
        <v/>
      </c>
      <c r="AR591" s="157">
        <f>CHOOSE(MATCH(IF($U591="","Основний",$U591),{"Трафіковий","Основний","Маржинальний","Сезонний","Стратегічний"},0),Settings!$G$78,Settings!$G$80,Settings!$G$82,Settings!$G$84,Settings!$G$86)</f>
        <v/>
      </c>
      <c r="AS591" s="157">
        <f>CHOOSE(MATCH(IF($U591="","Основний",$U591),{"Трафіковий","Основний","Маржинальний","Сезонний","Стратегічний"},0),Settings!$H$78,Settings!$H$80,Settings!$H$82,Settings!$H$84,Settings!$H$86)</f>
        <v/>
      </c>
      <c r="AT591" s="157">
        <f>CHOOSE(MATCH(IF($U591="","Основний",$U591),{"Трафіковий","Основний","Маржинальний","Сезонний","Стратегічний"},0),Settings!$I$78,Settings!$I$80,Settings!$I$82,Settings!$I$84,Settings!$I$86)</f>
        <v/>
      </c>
      <c r="AU591" s="171" t="n"/>
      <c r="AV591" t="n">
        <v>1.35</v>
      </c>
    </row>
    <row r="592">
      <c r="A592" s="28" t="n"/>
      <c r="B592" s="29" t="inlineStr">
        <is>
          <t>EV105</t>
        </is>
      </c>
      <c r="C592" s="29" t="inlineStr">
        <is>
          <t>SCALE PERSONAL DIGITAL EV105</t>
        </is>
      </c>
      <c r="D592" s="29" t="inlineStr">
        <is>
          <t>Ваги електронні</t>
        </is>
      </c>
      <c r="E592" s="28" t="inlineStr">
        <is>
          <t>PC</t>
        </is>
      </c>
      <c r="F592" s="93" t="n">
        <v>5.89</v>
      </c>
      <c r="G592" s="30" t="n">
        <v>8423109000</v>
      </c>
      <c r="H592" s="31" t="n">
        <v>1.35</v>
      </c>
      <c r="I592" s="84">
        <f>IFERROR(F592*Settings!$B$2*H592*IF(AND(ISNUMBER(E592),E592&gt;1),E592,1),"")</f>
        <v/>
      </c>
      <c r="J592" s="32">
        <f>Settings!$B$66</f>
        <v/>
      </c>
      <c r="K592" s="95">
        <f>IFERROR(IF(T592="","",(T592*(1-AN592)*(1-Settings!$B$17)-I592)/(T592*(1-AN592)*(1-Settings!$B$17))),"")</f>
        <v/>
      </c>
      <c r="L592" s="101">
        <f>IFERROR(IF(T592="","",(T592*(1-AO592)*(1-Settings!$C$17)-I592)/(T592*(1-AO592)*(1-Settings!$C$17))),"")</f>
        <v/>
      </c>
      <c r="M592" s="101">
        <f>IFERROR(IF(T592="","",(T592*(1-AP592)*(1-Settings!$D$17)-I592)/(T592*(1-AP592)*(1-Settings!$D$17))),"")</f>
        <v/>
      </c>
      <c r="N592" s="101">
        <f>IFERROR(IF(T592="","",(T592*(1-AQ592)*(1-Settings!$F$17)-I592)/(T592*(1-AQ592)*(1-Settings!$F$17))),"")</f>
        <v/>
      </c>
      <c r="O592" s="101">
        <f>IFERROR(IF(T592="","",(T592*(1-AR592)*(1-Settings!$G$17)-I592)/(T592*(1-AR592)*(1-Settings!$G$17))),"")</f>
        <v/>
      </c>
      <c r="P592" s="101">
        <f>IFERROR(IF(T592="","",(T592*(1-AS592)*(1-Settings!$H$17)-I592)/(T592*(1-AS592)*(1-Settings!$H$17))),"")</f>
        <v/>
      </c>
      <c r="Q592" s="101">
        <f>IFERROR(IF(T592="","",(T592*(1-AT592)*(1-Settings!$I$68)*(1-Settings!$I$17)-I592)/(T592*(1-AT592)*(1-Settings!$I$68)*(1-Settings!$I$17))),"")</f>
        <v/>
      </c>
      <c r="R592" s="91">
        <f>IFERROR(IF(OR(I592="",Z592&gt;=1,Settings!$B$17&gt;=1,AN592&gt;=1),"",IF(MOD(ROUND(I592/(1-Z592)/(1-Settings!$B$17)/(1-AN592),0),10)=0,ROUND(I592/(1-Z592)/(1-Settings!$B$17)/(1-AN592),0)-1,IF(MOD(ROUND(I592/(1-Z592)/(1-Settings!$B$17)/(1-AN592),0),10)&lt;=5,FLOOR(ROUND(I592/(1-Z592)/(1-Settings!$B$17)/(1-AN592),0),10)+6,FLOOR(ROUND(I592/(1-Z592)/(1-Settings!$B$17)/(1-AN592),0),10)+9))),"")</f>
        <v/>
      </c>
      <c r="S592" s="174">
        <f>R592*0.95</f>
        <v/>
      </c>
      <c r="T592" s="91">
        <f>IF(S592&lt;&gt;"", IF(MOD(S592,10)=0,S592-1,IF(MOD(S592,10)&lt;=5,FLOOR(S592,10)+6,FLOOR(S592,10)+9)), R592)</f>
        <v/>
      </c>
      <c r="U592" s="87" t="inlineStr">
        <is>
          <t>Основний</t>
        </is>
      </c>
      <c r="V592" s="88" t="n"/>
      <c r="W592" s="88" t="n"/>
      <c r="X592" s="89">
        <f>IFERROR(IF(OR(V592="",W592="",T592=""),"", IF(T592&gt;W592,"Дорогий",IF(T592&lt;V592,"Дешевий","У ринку"))),"")</f>
        <v/>
      </c>
      <c r="Y592" s="90" t="n"/>
      <c r="Z592" s="104">
        <f>CHOOSE(MATCH(IF($U592="","Основний",$U592),{"Трафіковий","Основний","Маржинальний","Сезонний","Стратегічний"},0),0.16,0.19,0.24,0.23,0.28)</f>
        <v/>
      </c>
      <c r="AA592" s="104">
        <f>CHOOSE(MATCH(IF($U592="","Основний",$U592),{"Трафіковий","Основний","Маржинальний","Сезонний","Стратегічний"},0),0.18,0.21,0.26,0.25,0.3)</f>
        <v/>
      </c>
      <c r="AB592" s="104">
        <f>CHOOSE(MATCH(IF($U592="","Основний",$U592),{"Трафіковий","Основний","Маржинальний","Сезонний","Стратегічний"},0),0.19,0.22,0.28,0.26,0.32)</f>
        <v/>
      </c>
      <c r="AC592" s="104">
        <f>CHOOSE(MATCH(IF($U592="","Основний",$U592),{"Трафіковий","Основний","Маржинальний","Сезонний","Стратегічний"},0),0.17,0.2,0.25,0.24,0.28)</f>
        <v/>
      </c>
      <c r="AD592" s="104">
        <f>CHOOSE(MATCH(IF($U592="","Основний",$U592),{"Трафіковий","Основний","Маржинальний","Сезонний","Стратегічний"},0),0.18,0.21,0.26,0.25,0.3)</f>
        <v/>
      </c>
      <c r="AE592" s="104">
        <f>CHOOSE(MATCH(IF($U592="","Основний",$U592),{"Трафіковий","Основний","Маржинальний","Сезонний","Стратегічний"},0),0.18,0.2,0.28,0.27,0.32)</f>
        <v/>
      </c>
      <c r="AF592" s="104">
        <f>CHOOSE(MATCH(IF($U592="","Основний",$U592),{"Трафіковий","Основний","Маржинальний","Сезонний","Стратегічний"},0),0.15,0.175,0.22,0.21,0.25)</f>
        <v/>
      </c>
      <c r="AG592" s="104">
        <f>CHOOSE(MATCH(IF($U592="","Основний",$U592),{"Трафіковий","Основний","Маржинальний","Сезонний","Стратегічний"},0),0.13,0.16,0.21,0.2,0.25)</f>
        <v/>
      </c>
      <c r="AH592" s="104">
        <f>CHOOSE(MATCH(IF($U592="","Основний",$U592),{"Трафіковий","Основний","Маржинальний","Сезонний","Стратегічний"},0),0.15,0.18,0.23,0.22,0.27)</f>
        <v/>
      </c>
      <c r="AI592" s="104">
        <f>CHOOSE(MATCH(IF($U592="","Основний",$U592),{"Трафіковий","Основний","Маржинальний","Сезонний","Стратегічний"},0),0.16,0.19,0.25,0.23,0.29)</f>
        <v/>
      </c>
      <c r="AJ592" s="104">
        <f>CHOOSE(MATCH(IF($U592="","Основний",$U592),{"Трафіковий","Основний","Маржинальний","Сезонний","Стратегічний"},0),0.14,0.17,0.22,0.21,0.25)</f>
        <v/>
      </c>
      <c r="AK592" s="104">
        <f>CHOOSE(MATCH(IF($U592="","Основний",$U592),{"Трафіковий","Основний","Маржинальний","Сезонний","Стратегічний"},0),0.15,0.18,0.23,0.22,0.27)</f>
        <v/>
      </c>
      <c r="AL592" s="104">
        <f>CHOOSE(MATCH(IF($U592="","Основний",$U592),{"Трафіковий","Основний","Маржинальний","Сезонний","Стратегічний"},0),0.15,0.17,0.25,0.24,0.29)</f>
        <v/>
      </c>
      <c r="AM592" s="104">
        <f>CHOOSE(MATCH(IF($U592="","Основний",$U592),{"Трафіковий","Основний","Маржинальний","Сезонний","Стратегічний"},0),0.12,0.145,0.19,0.18,0.22)</f>
        <v/>
      </c>
      <c r="AN592" s="157">
        <f>CHOOSE(MATCH(IF($U592="","Основний",$U592),{"Трафіковий","Основний","Маржинальний","Сезонний","Стратегічний"},0),Settings!$B$78,Settings!$B$80,Settings!$B$82,Settings!$B$84,Settings!$B$86)</f>
        <v/>
      </c>
      <c r="AO592" s="157">
        <f>CHOOSE(MATCH(IF($U592="","Основний",$U592),{"Трафіковий","Основний","Маржинальний","Сезонний","Стратегічний"},0),Settings!$C$78,Settings!$C$80,Settings!$C$82,Settings!$C$84,Settings!$C$86)</f>
        <v/>
      </c>
      <c r="AP592" s="157">
        <f>CHOOSE(MATCH(IF($U592="","Основний",$U592),{"Трафіковий","Основний","Маржинальний","Сезонний","Стратегічний"},0),Settings!$D$78,Settings!$D$80,Settings!$D$82,Settings!$D$84,Settings!$D$86)</f>
        <v/>
      </c>
      <c r="AQ592" s="157">
        <f>CHOOSE(MATCH(IF($U592="","Основний",$U592),{"Трафіковий","Основний","Маржинальний","Сезонний","Стратегічний"},0),Settings!$F$78,Settings!$F$80,Settings!$F$82,Settings!$F$84,Settings!$F$86)</f>
        <v/>
      </c>
      <c r="AR592" s="157">
        <f>CHOOSE(MATCH(IF($U592="","Основний",$U592),{"Трафіковий","Основний","Маржинальний","Сезонний","Стратегічний"},0),Settings!$G$78,Settings!$G$80,Settings!$G$82,Settings!$G$84,Settings!$G$86)</f>
        <v/>
      </c>
      <c r="AS592" s="157">
        <f>CHOOSE(MATCH(IF($U592="","Основний",$U592),{"Трафіковий","Основний","Маржинальний","Сезонний","Стратегічний"},0),Settings!$H$78,Settings!$H$80,Settings!$H$82,Settings!$H$84,Settings!$H$86)</f>
        <v/>
      </c>
      <c r="AT592" s="157">
        <f>CHOOSE(MATCH(IF($U592="","Основний",$U592),{"Трафіковий","Основний","Маржинальний","Сезонний","Стратегічний"},0),Settings!$I$78,Settings!$I$80,Settings!$I$82,Settings!$I$84,Settings!$I$86)</f>
        <v/>
      </c>
      <c r="AU592" s="171" t="n"/>
      <c r="AV592" t="n">
        <v>1.35</v>
      </c>
    </row>
    <row r="593">
      <c r="A593" s="33" t="n"/>
      <c r="B593" s="34" t="inlineStr">
        <is>
          <t>EV106</t>
        </is>
      </c>
      <c r="C593" s="34" t="inlineStr">
        <is>
          <t>SCALE PERSONAL DIGITAL EV106</t>
        </is>
      </c>
      <c r="D593" s="34" t="inlineStr">
        <is>
          <t>Ваги електронні</t>
        </is>
      </c>
      <c r="E593" s="33" t="inlineStr">
        <is>
          <t>PC</t>
        </is>
      </c>
      <c r="F593" s="94" t="n">
        <v>5.04</v>
      </c>
      <c r="G593" s="35" t="n">
        <v>8423109000</v>
      </c>
      <c r="H593" s="31" t="n">
        <v>1.35</v>
      </c>
      <c r="I593" s="84">
        <f>IFERROR(F593*Settings!$B$2*H593*IF(AND(ISNUMBER(E593),E593&gt;1),E593,1),"")</f>
        <v/>
      </c>
      <c r="J593" s="32">
        <f>Settings!$B$66</f>
        <v/>
      </c>
      <c r="K593" s="95">
        <f>IFERROR(IF(T593="","",(T593*(1-AN593)*(1-Settings!$B$17)-I593)/(T593*(1-AN593)*(1-Settings!$B$17))),"")</f>
        <v/>
      </c>
      <c r="L593" s="101">
        <f>IFERROR(IF(T593="","",(T593*(1-AO593)*(1-Settings!$C$17)-I593)/(T593*(1-AO593)*(1-Settings!$C$17))),"")</f>
        <v/>
      </c>
      <c r="M593" s="101">
        <f>IFERROR(IF(T593="","",(T593*(1-AP593)*(1-Settings!$D$17)-I593)/(T593*(1-AP593)*(1-Settings!$D$17))),"")</f>
        <v/>
      </c>
      <c r="N593" s="101">
        <f>IFERROR(IF(T593="","",(T593*(1-AQ593)*(1-Settings!$F$17)-I593)/(T593*(1-AQ593)*(1-Settings!$F$17))),"")</f>
        <v/>
      </c>
      <c r="O593" s="101">
        <f>IFERROR(IF(T593="","",(T593*(1-AR593)*(1-Settings!$G$17)-I593)/(T593*(1-AR593)*(1-Settings!$G$17))),"")</f>
        <v/>
      </c>
      <c r="P593" s="101">
        <f>IFERROR(IF(T593="","",(T593*(1-AS593)*(1-Settings!$H$17)-I593)/(T593*(1-AS593)*(1-Settings!$H$17))),"")</f>
        <v/>
      </c>
      <c r="Q593" s="101">
        <f>IFERROR(IF(T593="","",(T593*(1-AT593)*(1-Settings!$I$68)*(1-Settings!$I$17)-I593)/(T593*(1-AT593)*(1-Settings!$I$68)*(1-Settings!$I$17))),"")</f>
        <v/>
      </c>
      <c r="R593" s="91">
        <f>IFERROR(IF(OR(I593="",Z593&gt;=1,Settings!$B$17&gt;=1,AN593&gt;=1),"",IF(MOD(ROUND(I593/(1-Z593)/(1-Settings!$B$17)/(1-AN593),0),10)=0,ROUND(I593/(1-Z593)/(1-Settings!$B$17)/(1-AN593),0)-1,IF(MOD(ROUND(I593/(1-Z593)/(1-Settings!$B$17)/(1-AN593),0),10)&lt;=5,FLOOR(ROUND(I593/(1-Z593)/(1-Settings!$B$17)/(1-AN593),0),10)+6,FLOOR(ROUND(I593/(1-Z593)/(1-Settings!$B$17)/(1-AN593),0),10)+9))),"")</f>
        <v/>
      </c>
      <c r="S593" s="174">
        <f>R593*0.95</f>
        <v/>
      </c>
      <c r="T593" s="91">
        <f>IF(S593&lt;&gt;"", IF(MOD(S593,10)=0,S593-1,IF(MOD(S593,10)&lt;=5,FLOOR(S593,10)+6,FLOOR(S593,10)+9)), R593)</f>
        <v/>
      </c>
      <c r="U593" s="87" t="inlineStr">
        <is>
          <t>Основний</t>
        </is>
      </c>
      <c r="V593" s="88" t="n"/>
      <c r="W593" s="88" t="n"/>
      <c r="X593" s="89">
        <f>IFERROR(IF(OR(V593="",W593="",T593=""),"", IF(T593&gt;W593,"Дорогий",IF(T593&lt;V593,"Дешевий","У ринку"))),"")</f>
        <v/>
      </c>
      <c r="Y593" s="90" t="n"/>
      <c r="Z593" s="104">
        <f>CHOOSE(MATCH(IF($U593="","Основний",$U593),{"Трафіковий","Основний","Маржинальний","Сезонний","Стратегічний"},0),0.16,0.19,0.24,0.23,0.28)</f>
        <v/>
      </c>
      <c r="AA593" s="104">
        <f>CHOOSE(MATCH(IF($U593="","Основний",$U593),{"Трафіковий","Основний","Маржинальний","Сезонний","Стратегічний"},0),0.18,0.21,0.26,0.25,0.3)</f>
        <v/>
      </c>
      <c r="AB593" s="104">
        <f>CHOOSE(MATCH(IF($U593="","Основний",$U593),{"Трафіковий","Основний","Маржинальний","Сезонний","Стратегічний"},0),0.19,0.22,0.28,0.26,0.32)</f>
        <v/>
      </c>
      <c r="AC593" s="104">
        <f>CHOOSE(MATCH(IF($U593="","Основний",$U593),{"Трафіковий","Основний","Маржинальний","Сезонний","Стратегічний"},0),0.17,0.2,0.25,0.24,0.28)</f>
        <v/>
      </c>
      <c r="AD593" s="104">
        <f>CHOOSE(MATCH(IF($U593="","Основний",$U593),{"Трафіковий","Основний","Маржинальний","Сезонний","Стратегічний"},0),0.18,0.21,0.26,0.25,0.3)</f>
        <v/>
      </c>
      <c r="AE593" s="104">
        <f>CHOOSE(MATCH(IF($U593="","Основний",$U593),{"Трафіковий","Основний","Маржинальний","Сезонний","Стратегічний"},0),0.18,0.2,0.28,0.27,0.32)</f>
        <v/>
      </c>
      <c r="AF593" s="104">
        <f>CHOOSE(MATCH(IF($U593="","Основний",$U593),{"Трафіковий","Основний","Маржинальний","Сезонний","Стратегічний"},0),0.15,0.175,0.22,0.21,0.25)</f>
        <v/>
      </c>
      <c r="AG593" s="104">
        <f>CHOOSE(MATCH(IF($U593="","Основний",$U593),{"Трафіковий","Основний","Маржинальний","Сезонний","Стратегічний"},0),0.13,0.16,0.21,0.2,0.25)</f>
        <v/>
      </c>
      <c r="AH593" s="104">
        <f>CHOOSE(MATCH(IF($U593="","Основний",$U593),{"Трафіковий","Основний","Маржинальний","Сезонний","Стратегічний"},0),0.15,0.18,0.23,0.22,0.27)</f>
        <v/>
      </c>
      <c r="AI593" s="104">
        <f>CHOOSE(MATCH(IF($U593="","Основний",$U593),{"Трафіковий","Основний","Маржинальний","Сезонний","Стратегічний"},0),0.16,0.19,0.25,0.23,0.29)</f>
        <v/>
      </c>
      <c r="AJ593" s="104">
        <f>CHOOSE(MATCH(IF($U593="","Основний",$U593),{"Трафіковий","Основний","Маржинальний","Сезонний","Стратегічний"},0),0.14,0.17,0.22,0.21,0.25)</f>
        <v/>
      </c>
      <c r="AK593" s="104">
        <f>CHOOSE(MATCH(IF($U593="","Основний",$U593),{"Трафіковий","Основний","Маржинальний","Сезонний","Стратегічний"},0),0.15,0.18,0.23,0.22,0.27)</f>
        <v/>
      </c>
      <c r="AL593" s="104">
        <f>CHOOSE(MATCH(IF($U593="","Основний",$U593),{"Трафіковий","Основний","Маржинальний","Сезонний","Стратегічний"},0),0.15,0.17,0.25,0.24,0.29)</f>
        <v/>
      </c>
      <c r="AM593" s="104">
        <f>CHOOSE(MATCH(IF($U593="","Основний",$U593),{"Трафіковий","Основний","Маржинальний","Сезонний","Стратегічний"},0),0.12,0.145,0.19,0.18,0.22)</f>
        <v/>
      </c>
      <c r="AN593" s="157">
        <f>CHOOSE(MATCH(IF($U593="","Основний",$U593),{"Трафіковий","Основний","Маржинальний","Сезонний","Стратегічний"},0),Settings!$B$78,Settings!$B$80,Settings!$B$82,Settings!$B$84,Settings!$B$86)</f>
        <v/>
      </c>
      <c r="AO593" s="157">
        <f>CHOOSE(MATCH(IF($U593="","Основний",$U593),{"Трафіковий","Основний","Маржинальний","Сезонний","Стратегічний"},0),Settings!$C$78,Settings!$C$80,Settings!$C$82,Settings!$C$84,Settings!$C$86)</f>
        <v/>
      </c>
      <c r="AP593" s="157">
        <f>CHOOSE(MATCH(IF($U593="","Основний",$U593),{"Трафіковий","Основний","Маржинальний","Сезонний","Стратегічний"},0),Settings!$D$78,Settings!$D$80,Settings!$D$82,Settings!$D$84,Settings!$D$86)</f>
        <v/>
      </c>
      <c r="AQ593" s="157">
        <f>CHOOSE(MATCH(IF($U593="","Основний",$U593),{"Трафіковий","Основний","Маржинальний","Сезонний","Стратегічний"},0),Settings!$F$78,Settings!$F$80,Settings!$F$82,Settings!$F$84,Settings!$F$86)</f>
        <v/>
      </c>
      <c r="AR593" s="157">
        <f>CHOOSE(MATCH(IF($U593="","Основний",$U593),{"Трафіковий","Основний","Маржинальний","Сезонний","Стратегічний"},0),Settings!$G$78,Settings!$G$80,Settings!$G$82,Settings!$G$84,Settings!$G$86)</f>
        <v/>
      </c>
      <c r="AS593" s="157">
        <f>CHOOSE(MATCH(IF($U593="","Основний",$U593),{"Трафіковий","Основний","Маржинальний","Сезонний","Стратегічний"},0),Settings!$H$78,Settings!$H$80,Settings!$H$82,Settings!$H$84,Settings!$H$86)</f>
        <v/>
      </c>
      <c r="AT593" s="157">
        <f>CHOOSE(MATCH(IF($U593="","Основний",$U593),{"Трафіковий","Основний","Маржинальний","Сезонний","Стратегічний"},0),Settings!$I$78,Settings!$I$80,Settings!$I$82,Settings!$I$84,Settings!$I$86)</f>
        <v/>
      </c>
      <c r="AU593" s="171" t="n"/>
      <c r="AV593" t="n">
        <v>1.35</v>
      </c>
    </row>
    <row r="594">
      <c r="A594" s="28" t="n"/>
      <c r="B594" s="29" t="inlineStr">
        <is>
          <t>EV112</t>
        </is>
      </c>
      <c r="C594" s="29" t="inlineStr">
        <is>
          <t>GOSMART DIGITAL PERSONAL SCALE EV112</t>
        </is>
      </c>
      <c r="D594" s="29" t="inlineStr">
        <is>
          <t>Ваги електронні</t>
        </is>
      </c>
      <c r="E594" s="28" t="inlineStr">
        <is>
          <t>PC</t>
        </is>
      </c>
      <c r="F594" s="93" t="n">
        <v>17.342</v>
      </c>
      <c r="G594" s="30" t="n">
        <v>8423109000</v>
      </c>
      <c r="H594" s="31" t="n">
        <v>1.35</v>
      </c>
      <c r="I594" s="84">
        <f>IFERROR(F594*Settings!$B$2*H594*IF(AND(ISNUMBER(E594),E594&gt;1),E594,1),"")</f>
        <v/>
      </c>
      <c r="J594" s="32">
        <f>Settings!$B$66</f>
        <v/>
      </c>
      <c r="K594" s="95">
        <f>IFERROR(IF(T594="","",(T594*(1-AN594)*(1-Settings!$B$17)-I594)/(T594*(1-AN594)*(1-Settings!$B$17))),"")</f>
        <v/>
      </c>
      <c r="L594" s="101">
        <f>IFERROR(IF(T594="","",(T594*(1-AO594)*(1-Settings!$C$17)-I594)/(T594*(1-AO594)*(1-Settings!$C$17))),"")</f>
        <v/>
      </c>
      <c r="M594" s="101">
        <f>IFERROR(IF(T594="","",(T594*(1-AP594)*(1-Settings!$D$17)-I594)/(T594*(1-AP594)*(1-Settings!$D$17))),"")</f>
        <v/>
      </c>
      <c r="N594" s="101">
        <f>IFERROR(IF(T594="","",(T594*(1-AQ594)*(1-Settings!$F$17)-I594)/(T594*(1-AQ594)*(1-Settings!$F$17))),"")</f>
        <v/>
      </c>
      <c r="O594" s="101">
        <f>IFERROR(IF(T594="","",(T594*(1-AR594)*(1-Settings!$G$17)-I594)/(T594*(1-AR594)*(1-Settings!$G$17))),"")</f>
        <v/>
      </c>
      <c r="P594" s="101">
        <f>IFERROR(IF(T594="","",(T594*(1-AS594)*(1-Settings!$H$17)-I594)/(T594*(1-AS594)*(1-Settings!$H$17))),"")</f>
        <v/>
      </c>
      <c r="Q594" s="101">
        <f>IFERROR(IF(T594="","",(T594*(1-AT594)*(1-Settings!$I$68)*(1-Settings!$I$17)-I594)/(T594*(1-AT594)*(1-Settings!$I$68)*(1-Settings!$I$17))),"")</f>
        <v/>
      </c>
      <c r="R594" s="91">
        <f>IFERROR(IF(OR(I594="",Z594&gt;=1,Settings!$B$17&gt;=1,AN594&gt;=1),"",IF(MOD(ROUND(I594/(1-Z594)/(1-Settings!$B$17)/(1-AN594),0),10)=0,ROUND(I594/(1-Z594)/(1-Settings!$B$17)/(1-AN594),0)-1,IF(MOD(ROUND(I594/(1-Z594)/(1-Settings!$B$17)/(1-AN594),0),10)&lt;=5,FLOOR(ROUND(I594/(1-Z594)/(1-Settings!$B$17)/(1-AN594),0),10)+6,FLOOR(ROUND(I594/(1-Z594)/(1-Settings!$B$17)/(1-AN594),0),10)+9))),"")</f>
        <v/>
      </c>
      <c r="S594" s="174" t="n"/>
      <c r="T594" s="91">
        <f>IF(S594&lt;&gt;"", IF(MOD(S594,10)=0,S594-1,IF(MOD(S594,10)&lt;=5,FLOOR(S594,10)+6,FLOOR(S594,10)+9)), R594)</f>
        <v/>
      </c>
      <c r="U594" s="87" t="inlineStr">
        <is>
          <t>Трафіковий</t>
        </is>
      </c>
      <c r="V594" s="88" t="n"/>
      <c r="W594" s="88" t="n"/>
      <c r="X594" s="89">
        <f>IFERROR(IF(OR(V594="",W594="",T594=""),"", IF(T594&gt;W594,"Дорогий",IF(T594&lt;V594,"Дешевий","У ринку"))),"")</f>
        <v/>
      </c>
      <c r="Y594" s="90" t="n"/>
      <c r="Z594" s="104">
        <f>CHOOSE(MATCH(IF($U594="","Основний",$U594),{"Трафіковий","Основний","Маржинальний","Сезонний","Стратегічний"},0),0.16,0.19,0.24,0.23,0.28)</f>
        <v/>
      </c>
      <c r="AA594" s="104">
        <f>CHOOSE(MATCH(IF($U594="","Основний",$U594),{"Трафіковий","Основний","Маржинальний","Сезонний","Стратегічний"},0),0.18,0.21,0.26,0.25,0.3)</f>
        <v/>
      </c>
      <c r="AB594" s="104">
        <f>CHOOSE(MATCH(IF($U594="","Основний",$U594),{"Трафіковий","Основний","Маржинальний","Сезонний","Стратегічний"},0),0.19,0.22,0.28,0.26,0.32)</f>
        <v/>
      </c>
      <c r="AC594" s="104">
        <f>CHOOSE(MATCH(IF($U594="","Основний",$U594),{"Трафіковий","Основний","Маржинальний","Сезонний","Стратегічний"},0),0.17,0.2,0.25,0.24,0.28)</f>
        <v/>
      </c>
      <c r="AD594" s="104">
        <f>CHOOSE(MATCH(IF($U594="","Основний",$U594),{"Трафіковий","Основний","Маржинальний","Сезонний","Стратегічний"},0),0.18,0.21,0.26,0.25,0.3)</f>
        <v/>
      </c>
      <c r="AE594" s="104">
        <f>CHOOSE(MATCH(IF($U594="","Основний",$U594),{"Трафіковий","Основний","Маржинальний","Сезонний","Стратегічний"},0),0.18,0.2,0.28,0.27,0.32)</f>
        <v/>
      </c>
      <c r="AF594" s="104">
        <f>CHOOSE(MATCH(IF($U594="","Основний",$U594),{"Трафіковий","Основний","Маржинальний","Сезонний","Стратегічний"},0),0.15,0.175,0.22,0.21,0.25)</f>
        <v/>
      </c>
      <c r="AG594" s="104">
        <f>CHOOSE(MATCH(IF($U594="","Основний",$U594),{"Трафіковий","Основний","Маржинальний","Сезонний","Стратегічний"},0),0.13,0.16,0.21,0.2,0.25)</f>
        <v/>
      </c>
      <c r="AH594" s="104">
        <f>CHOOSE(MATCH(IF($U594="","Основний",$U594),{"Трафіковий","Основний","Маржинальний","Сезонний","Стратегічний"},0),0.15,0.18,0.23,0.22,0.27)</f>
        <v/>
      </c>
      <c r="AI594" s="104">
        <f>CHOOSE(MATCH(IF($U594="","Основний",$U594),{"Трафіковий","Основний","Маржинальний","Сезонний","Стратегічний"},0),0.16,0.19,0.25,0.23,0.29)</f>
        <v/>
      </c>
      <c r="AJ594" s="104">
        <f>CHOOSE(MATCH(IF($U594="","Основний",$U594),{"Трафіковий","Основний","Маржинальний","Сезонний","Стратегічний"},0),0.14,0.17,0.22,0.21,0.25)</f>
        <v/>
      </c>
      <c r="AK594" s="104">
        <f>CHOOSE(MATCH(IF($U594="","Основний",$U594),{"Трафіковий","Основний","Маржинальний","Сезонний","Стратегічний"},0),0.15,0.18,0.23,0.22,0.27)</f>
        <v/>
      </c>
      <c r="AL594" s="104">
        <f>CHOOSE(MATCH(IF($U594="","Основний",$U594),{"Трафіковий","Основний","Маржинальний","Сезонний","Стратегічний"},0),0.15,0.17,0.25,0.24,0.29)</f>
        <v/>
      </c>
      <c r="AM594" s="104">
        <f>CHOOSE(MATCH(IF($U594="","Основний",$U594),{"Трафіковий","Основний","Маржинальний","Сезонний","Стратегічний"},0),0.12,0.145,0.19,0.18,0.22)</f>
        <v/>
      </c>
      <c r="AN594" s="157">
        <f>CHOOSE(MATCH(IF($U594="","Основний",$U594),{"Трафіковий","Основний","Маржинальний","Сезонний","Стратегічний"},0),Settings!$B$78,Settings!$B$80,Settings!$B$82,Settings!$B$84,Settings!$B$86)</f>
        <v/>
      </c>
      <c r="AO594" s="157">
        <f>CHOOSE(MATCH(IF($U594="","Основний",$U594),{"Трафіковий","Основний","Маржинальний","Сезонний","Стратегічний"},0),Settings!$C$78,Settings!$C$80,Settings!$C$82,Settings!$C$84,Settings!$C$86)</f>
        <v/>
      </c>
      <c r="AP594" s="157">
        <f>CHOOSE(MATCH(IF($U594="","Основний",$U594),{"Трафіковий","Основний","Маржинальний","Сезонний","Стратегічний"},0),Settings!$D$78,Settings!$D$80,Settings!$D$82,Settings!$D$84,Settings!$D$86)</f>
        <v/>
      </c>
      <c r="AQ594" s="157">
        <f>CHOOSE(MATCH(IF($U594="","Основний",$U594),{"Трафіковий","Основний","Маржинальний","Сезонний","Стратегічний"},0),Settings!$F$78,Settings!$F$80,Settings!$F$82,Settings!$F$84,Settings!$F$86)</f>
        <v/>
      </c>
      <c r="AR594" s="157">
        <f>CHOOSE(MATCH(IF($U594="","Основний",$U594),{"Трафіковий","Основний","Маржинальний","Сезонний","Стратегічний"},0),Settings!$G$78,Settings!$G$80,Settings!$G$82,Settings!$G$84,Settings!$G$86)</f>
        <v/>
      </c>
      <c r="AS594" s="157">
        <f>CHOOSE(MATCH(IF($U594="","Основний",$U594),{"Трафіковий","Основний","Маржинальний","Сезонний","Стратегічний"},0),Settings!$H$78,Settings!$H$80,Settings!$H$82,Settings!$H$84,Settings!$H$86)</f>
        <v/>
      </c>
      <c r="AT594" s="157">
        <f>CHOOSE(MATCH(IF($U594="","Основний",$U594),{"Трафіковий","Основний","Маржинальний","Сезонний","Стратегічний"},0),Settings!$I$78,Settings!$I$80,Settings!$I$82,Settings!$I$84,Settings!$I$86)</f>
        <v/>
      </c>
      <c r="AU594" s="171" t="n"/>
      <c r="AV594" t="n">
        <v>1.35</v>
      </c>
    </row>
    <row r="595">
      <c r="A595" s="33" t="n"/>
      <c r="B595" s="34" t="inlineStr">
        <is>
          <t>E8647N</t>
        </is>
      </c>
      <c r="C595" s="34" t="inlineStr">
        <is>
          <t>WEATHER STATION E8647N</t>
        </is>
      </c>
      <c r="D595" s="34" t="inlineStr">
        <is>
          <t>Ваги електронні</t>
        </is>
      </c>
      <c r="E595" s="33" t="inlineStr">
        <is>
          <t>PC</t>
        </is>
      </c>
      <c r="F595" s="94" t="n">
        <v>12.571</v>
      </c>
      <c r="G595" s="35" t="n">
        <v>9025804089</v>
      </c>
      <c r="H595" s="31" t="n">
        <v>1.35</v>
      </c>
      <c r="I595" s="84">
        <f>IFERROR(F595*Settings!$B$2*H595*IF(AND(ISNUMBER(E595),E595&gt;1),E595,1),"")</f>
        <v/>
      </c>
      <c r="J595" s="32">
        <f>Settings!$B$66</f>
        <v/>
      </c>
      <c r="K595" s="95">
        <f>IFERROR(IF(T595="","",(T595*(1-AN595)*(1-Settings!$B$17)-I595)/(T595*(1-AN595)*(1-Settings!$B$17))),"")</f>
        <v/>
      </c>
      <c r="L595" s="101">
        <f>IFERROR(IF(T595="","",(T595*(1-AO595)*(1-Settings!$C$17)-I595)/(T595*(1-AO595)*(1-Settings!$C$17))),"")</f>
        <v/>
      </c>
      <c r="M595" s="101">
        <f>IFERROR(IF(T595="","",(T595*(1-AP595)*(1-Settings!$D$17)-I595)/(T595*(1-AP595)*(1-Settings!$D$17))),"")</f>
        <v/>
      </c>
      <c r="N595" s="101">
        <f>IFERROR(IF(T595="","",(T595*(1-AQ595)*(1-Settings!$F$17)-I595)/(T595*(1-AQ595)*(1-Settings!$F$17))),"")</f>
        <v/>
      </c>
      <c r="O595" s="101">
        <f>IFERROR(IF(T595="","",(T595*(1-AR595)*(1-Settings!$G$17)-I595)/(T595*(1-AR595)*(1-Settings!$G$17))),"")</f>
        <v/>
      </c>
      <c r="P595" s="101">
        <f>IFERROR(IF(T595="","",(T595*(1-AS595)*(1-Settings!$H$17)-I595)/(T595*(1-AS595)*(1-Settings!$H$17))),"")</f>
        <v/>
      </c>
      <c r="Q595" s="101">
        <f>IFERROR(IF(T595="","",(T595*(1-AT595)*(1-Settings!$I$68)*(1-Settings!$I$17)-I595)/(T595*(1-AT595)*(1-Settings!$I$68)*(1-Settings!$I$17))),"")</f>
        <v/>
      </c>
      <c r="R595" s="91">
        <f>IFERROR(IF(OR(I595="",Z595&gt;=1,Settings!$B$17&gt;=1,AN595&gt;=1),"",IF(MOD(ROUND(I595/(1-Z595)/(1-Settings!$B$17)/(1-AN595),0),10)=0,ROUND(I595/(1-Z595)/(1-Settings!$B$17)/(1-AN595),0)-1,IF(MOD(ROUND(I595/(1-Z595)/(1-Settings!$B$17)/(1-AN595),0),10)&lt;=5,FLOOR(ROUND(I595/(1-Z595)/(1-Settings!$B$17)/(1-AN595),0),10)+6,FLOOR(ROUND(I595/(1-Z595)/(1-Settings!$B$17)/(1-AN595),0),10)+9))),"")</f>
        <v/>
      </c>
      <c r="S595" s="174">
        <f>R595*0.95</f>
        <v/>
      </c>
      <c r="T595" s="91">
        <f>IF(S595&lt;&gt;"", IF(MOD(S595,10)=0,S595-1,IF(MOD(S595,10)&lt;=5,FLOOR(S595,10)+6,FLOOR(S595,10)+9)), R595)</f>
        <v/>
      </c>
      <c r="U595" s="87" t="inlineStr">
        <is>
          <t>Основний</t>
        </is>
      </c>
      <c r="V595" s="88" t="n"/>
      <c r="W595" s="88" t="n"/>
      <c r="X595" s="89">
        <f>IFERROR(IF(OR(V595="",W595="",T595=""),"", IF(T595&gt;W595,"Дорогий",IF(T595&lt;V595,"Дешевий","У ринку"))),"")</f>
        <v/>
      </c>
      <c r="Y595" s="90" t="n"/>
      <c r="Z595" s="104">
        <f>CHOOSE(MATCH(IF($U595="","Основний",$U595),{"Трафіковий","Основний","Маржинальний","Сезонний","Стратегічний"},0),0.16,0.19,0.24,0.23,0.28)</f>
        <v/>
      </c>
      <c r="AA595" s="104">
        <f>CHOOSE(MATCH(IF($U595="","Основний",$U595),{"Трафіковий","Основний","Маржинальний","Сезонний","Стратегічний"},0),0.18,0.21,0.26,0.25,0.3)</f>
        <v/>
      </c>
      <c r="AB595" s="104">
        <f>CHOOSE(MATCH(IF($U595="","Основний",$U595),{"Трафіковий","Основний","Маржинальний","Сезонний","Стратегічний"},0),0.19,0.22,0.28,0.26,0.32)</f>
        <v/>
      </c>
      <c r="AC595" s="104">
        <f>CHOOSE(MATCH(IF($U595="","Основний",$U595),{"Трафіковий","Основний","Маржинальний","Сезонний","Стратегічний"},0),0.17,0.2,0.25,0.24,0.28)</f>
        <v/>
      </c>
      <c r="AD595" s="104">
        <f>CHOOSE(MATCH(IF($U595="","Основний",$U595),{"Трафіковий","Основний","Маржинальний","Сезонний","Стратегічний"},0),0.18,0.21,0.26,0.25,0.3)</f>
        <v/>
      </c>
      <c r="AE595" s="104">
        <f>CHOOSE(MATCH(IF($U595="","Основний",$U595),{"Трафіковий","Основний","Маржинальний","Сезонний","Стратегічний"},0),0.18,0.2,0.28,0.27,0.32)</f>
        <v/>
      </c>
      <c r="AF595" s="104">
        <f>CHOOSE(MATCH(IF($U595="","Основний",$U595),{"Трафіковий","Основний","Маржинальний","Сезонний","Стратегічний"},0),0.15,0.175,0.22,0.21,0.25)</f>
        <v/>
      </c>
      <c r="AG595" s="104">
        <f>CHOOSE(MATCH(IF($U595="","Основний",$U595),{"Трафіковий","Основний","Маржинальний","Сезонний","Стратегічний"},0),0.13,0.16,0.21,0.2,0.25)</f>
        <v/>
      </c>
      <c r="AH595" s="104">
        <f>CHOOSE(MATCH(IF($U595="","Основний",$U595),{"Трафіковий","Основний","Маржинальний","Сезонний","Стратегічний"},0),0.15,0.18,0.23,0.22,0.27)</f>
        <v/>
      </c>
      <c r="AI595" s="104">
        <f>CHOOSE(MATCH(IF($U595="","Основний",$U595),{"Трафіковий","Основний","Маржинальний","Сезонний","Стратегічний"},0),0.16,0.19,0.25,0.23,0.29)</f>
        <v/>
      </c>
      <c r="AJ595" s="104">
        <f>CHOOSE(MATCH(IF($U595="","Основний",$U595),{"Трафіковий","Основний","Маржинальний","Сезонний","Стратегічний"},0),0.14,0.17,0.22,0.21,0.25)</f>
        <v/>
      </c>
      <c r="AK595" s="104">
        <f>CHOOSE(MATCH(IF($U595="","Основний",$U595),{"Трафіковий","Основний","Маржинальний","Сезонний","Стратегічний"},0),0.15,0.18,0.23,0.22,0.27)</f>
        <v/>
      </c>
      <c r="AL595" s="104">
        <f>CHOOSE(MATCH(IF($U595="","Основний",$U595),{"Трафіковий","Основний","Маржинальний","Сезонний","Стратегічний"},0),0.15,0.17,0.25,0.24,0.29)</f>
        <v/>
      </c>
      <c r="AM595" s="104">
        <f>CHOOSE(MATCH(IF($U595="","Основний",$U595),{"Трафіковий","Основний","Маржинальний","Сезонний","Стратегічний"},0),0.12,0.145,0.19,0.18,0.22)</f>
        <v/>
      </c>
      <c r="AN595" s="157">
        <f>CHOOSE(MATCH(IF($U595="","Основний",$U595),{"Трафіковий","Основний","Маржинальний","Сезонний","Стратегічний"},0),Settings!$B$78,Settings!$B$80,Settings!$B$82,Settings!$B$84,Settings!$B$86)</f>
        <v/>
      </c>
      <c r="AO595" s="157">
        <f>CHOOSE(MATCH(IF($U595="","Основний",$U595),{"Трафіковий","Основний","Маржинальний","Сезонний","Стратегічний"},0),Settings!$C$78,Settings!$C$80,Settings!$C$82,Settings!$C$84,Settings!$C$86)</f>
        <v/>
      </c>
      <c r="AP595" s="157">
        <f>CHOOSE(MATCH(IF($U595="","Основний",$U595),{"Трафіковий","Основний","Маржинальний","Сезонний","Стратегічний"},0),Settings!$D$78,Settings!$D$80,Settings!$D$82,Settings!$D$84,Settings!$D$86)</f>
        <v/>
      </c>
      <c r="AQ595" s="157">
        <f>CHOOSE(MATCH(IF($U595="","Основний",$U595),{"Трафіковий","Основний","Маржинальний","Сезонний","Стратегічний"},0),Settings!$F$78,Settings!$F$80,Settings!$F$82,Settings!$F$84,Settings!$F$86)</f>
        <v/>
      </c>
      <c r="AR595" s="157">
        <f>CHOOSE(MATCH(IF($U595="","Основний",$U595),{"Трафіковий","Основний","Маржинальний","Сезонний","Стратегічний"},0),Settings!$G$78,Settings!$G$80,Settings!$G$82,Settings!$G$84,Settings!$G$86)</f>
        <v/>
      </c>
      <c r="AS595" s="157">
        <f>CHOOSE(MATCH(IF($U595="","Основний",$U595),{"Трафіковий","Основний","Маржинальний","Сезонний","Стратегічний"},0),Settings!$H$78,Settings!$H$80,Settings!$H$82,Settings!$H$84,Settings!$H$86)</f>
        <v/>
      </c>
      <c r="AT595" s="157">
        <f>CHOOSE(MATCH(IF($U595="","Основний",$U595),{"Трафіковий","Основний","Маржинальний","Сезонний","Стратегічний"},0),Settings!$I$78,Settings!$I$80,Settings!$I$82,Settings!$I$84,Settings!$I$86)</f>
        <v/>
      </c>
      <c r="AU595" s="171" t="n"/>
      <c r="AV595" t="n">
        <v>1.3</v>
      </c>
    </row>
    <row r="596">
      <c r="A596" s="28" t="inlineStr">
        <is>
          <t>NEW</t>
        </is>
      </c>
      <c r="B596" s="29" t="inlineStr">
        <is>
          <t>E6001</t>
        </is>
      </c>
      <c r="C596" s="29" t="inlineStr">
        <is>
          <t>SMART PROFI WEATHER STATION E6001</t>
        </is>
      </c>
      <c r="D596" s="29" t="inlineStr">
        <is>
          <t>Ваги електронні</t>
        </is>
      </c>
      <c r="E596" s="28" t="inlineStr">
        <is>
          <t>PC</t>
        </is>
      </c>
      <c r="F596" s="93" t="n">
        <v>126.28</v>
      </c>
      <c r="G596" s="30" t="n">
        <v>9025804089</v>
      </c>
      <c r="H596" s="31" t="n">
        <v>1.35</v>
      </c>
      <c r="I596" s="84">
        <f>IFERROR(F596*Settings!$B$2*H596*IF(AND(ISNUMBER(E596),E596&gt;1),E596,1),"")</f>
        <v/>
      </c>
      <c r="J596" s="32">
        <f>Settings!$B$66</f>
        <v/>
      </c>
      <c r="K596" s="95">
        <f>IFERROR(IF(T596="","",(T596*(1-AN596)*(1-Settings!$B$17)-I596)/(T596*(1-AN596)*(1-Settings!$B$17))),"")</f>
        <v/>
      </c>
      <c r="L596" s="101">
        <f>IFERROR(IF(T596="","",(T596*(1-AO596)*(1-Settings!$C$17)-I596)/(T596*(1-AO596)*(1-Settings!$C$17))),"")</f>
        <v/>
      </c>
      <c r="M596" s="101">
        <f>IFERROR(IF(T596="","",(T596*(1-AP596)*(1-Settings!$D$17)-I596)/(T596*(1-AP596)*(1-Settings!$D$17))),"")</f>
        <v/>
      </c>
      <c r="N596" s="101">
        <f>IFERROR(IF(T596="","",(T596*(1-AQ596)*(1-Settings!$F$17)-I596)/(T596*(1-AQ596)*(1-Settings!$F$17))),"")</f>
        <v/>
      </c>
      <c r="O596" s="101">
        <f>IFERROR(IF(T596="","",(T596*(1-AR596)*(1-Settings!$G$17)-I596)/(T596*(1-AR596)*(1-Settings!$G$17))),"")</f>
        <v/>
      </c>
      <c r="P596" s="101">
        <f>IFERROR(IF(T596="","",(T596*(1-AS596)*(1-Settings!$H$17)-I596)/(T596*(1-AS596)*(1-Settings!$H$17))),"")</f>
        <v/>
      </c>
      <c r="Q596" s="101">
        <f>IFERROR(IF(T596="","",(T596*(1-AT596)*(1-Settings!$I$68)*(1-Settings!$I$17)-I596)/(T596*(1-AT596)*(1-Settings!$I$68)*(1-Settings!$I$17))),"")</f>
        <v/>
      </c>
      <c r="R596" s="91">
        <f>IFERROR(IF(OR(I596="",Z596&gt;=1,Settings!$B$17&gt;=1,AN596&gt;=1),"",IF(MOD(ROUND(I596/(1-Z596)/(1-Settings!$B$17)/(1-AN596),0),10)=0,ROUND(I596/(1-Z596)/(1-Settings!$B$17)/(1-AN596),0)-1,IF(MOD(ROUND(I596/(1-Z596)/(1-Settings!$B$17)/(1-AN596),0),10)&lt;=5,FLOOR(ROUND(I596/(1-Z596)/(1-Settings!$B$17)/(1-AN596),0),10)+6,FLOOR(ROUND(I596/(1-Z596)/(1-Settings!$B$17)/(1-AN596),0),10)+9))),"")</f>
        <v/>
      </c>
      <c r="S596" s="174">
        <f>R596*0.95</f>
        <v/>
      </c>
      <c r="T596" s="91">
        <f>IF(S596&lt;&gt;"", IF(MOD(S596,10)=0,S596-1,IF(MOD(S596,10)&lt;=5,FLOOR(S596,10)+6,FLOOR(S596,10)+9)), R596)</f>
        <v/>
      </c>
      <c r="U596" s="87" t="inlineStr">
        <is>
          <t>Основний</t>
        </is>
      </c>
      <c r="V596" s="88" t="n"/>
      <c r="W596" s="88" t="n"/>
      <c r="X596" s="89">
        <f>IFERROR(IF(OR(V596="",W596="",T596=""),"", IF(T596&gt;W596,"Дорогий",IF(T596&lt;V596,"Дешевий","У ринку"))),"")</f>
        <v/>
      </c>
      <c r="Y596" s="90" t="n"/>
      <c r="Z596" s="104">
        <f>CHOOSE(MATCH(IF($U596="","Основний",$U596),{"Трафіковий","Основний","Маржинальний","Сезонний","Стратегічний"},0),0.16,0.19,0.24,0.23,0.28)</f>
        <v/>
      </c>
      <c r="AA596" s="104">
        <f>CHOOSE(MATCH(IF($U596="","Основний",$U596),{"Трафіковий","Основний","Маржинальний","Сезонний","Стратегічний"},0),0.18,0.21,0.26,0.25,0.3)</f>
        <v/>
      </c>
      <c r="AB596" s="104">
        <f>CHOOSE(MATCH(IF($U596="","Основний",$U596),{"Трафіковий","Основний","Маржинальний","Сезонний","Стратегічний"},0),0.19,0.22,0.28,0.26,0.32)</f>
        <v/>
      </c>
      <c r="AC596" s="104">
        <f>CHOOSE(MATCH(IF($U596="","Основний",$U596),{"Трафіковий","Основний","Маржинальний","Сезонний","Стратегічний"},0),0.17,0.2,0.25,0.24,0.28)</f>
        <v/>
      </c>
      <c r="AD596" s="104">
        <f>CHOOSE(MATCH(IF($U596="","Основний",$U596),{"Трафіковий","Основний","Маржинальний","Сезонний","Стратегічний"},0),0.18,0.21,0.26,0.25,0.3)</f>
        <v/>
      </c>
      <c r="AE596" s="104">
        <f>CHOOSE(MATCH(IF($U596="","Основний",$U596),{"Трафіковий","Основний","Маржинальний","Сезонний","Стратегічний"},0),0.18,0.2,0.28,0.27,0.32)</f>
        <v/>
      </c>
      <c r="AF596" s="104">
        <f>CHOOSE(MATCH(IF($U596="","Основний",$U596),{"Трафіковий","Основний","Маржинальний","Сезонний","Стратегічний"},0),0.15,0.175,0.22,0.21,0.25)</f>
        <v/>
      </c>
      <c r="AG596" s="104">
        <f>CHOOSE(MATCH(IF($U596="","Основний",$U596),{"Трафіковий","Основний","Маржинальний","Сезонний","Стратегічний"},0),0.13,0.16,0.21,0.2,0.25)</f>
        <v/>
      </c>
      <c r="AH596" s="104">
        <f>CHOOSE(MATCH(IF($U596="","Основний",$U596),{"Трафіковий","Основний","Маржинальний","Сезонний","Стратегічний"},0),0.15,0.18,0.23,0.22,0.27)</f>
        <v/>
      </c>
      <c r="AI596" s="104">
        <f>CHOOSE(MATCH(IF($U596="","Основний",$U596),{"Трафіковий","Основний","Маржинальний","Сезонний","Стратегічний"},0),0.16,0.19,0.25,0.23,0.29)</f>
        <v/>
      </c>
      <c r="AJ596" s="104">
        <f>CHOOSE(MATCH(IF($U596="","Основний",$U596),{"Трафіковий","Основний","Маржинальний","Сезонний","Стратегічний"},0),0.14,0.17,0.22,0.21,0.25)</f>
        <v/>
      </c>
      <c r="AK596" s="104">
        <f>CHOOSE(MATCH(IF($U596="","Основний",$U596),{"Трафіковий","Основний","Маржинальний","Сезонний","Стратегічний"},0),0.15,0.18,0.23,0.22,0.27)</f>
        <v/>
      </c>
      <c r="AL596" s="104">
        <f>CHOOSE(MATCH(IF($U596="","Основний",$U596),{"Трафіковий","Основний","Маржинальний","Сезонний","Стратегічний"},0),0.15,0.17,0.25,0.24,0.29)</f>
        <v/>
      </c>
      <c r="AM596" s="104">
        <f>CHOOSE(MATCH(IF($U596="","Основний",$U596),{"Трафіковий","Основний","Маржинальний","Сезонний","Стратегічний"},0),0.12,0.145,0.19,0.18,0.22)</f>
        <v/>
      </c>
      <c r="AN596" s="157">
        <f>CHOOSE(MATCH(IF($U596="","Основний",$U596),{"Трафіковий","Основний","Маржинальний","Сезонний","Стратегічний"},0),Settings!$B$78,Settings!$B$80,Settings!$B$82,Settings!$B$84,Settings!$B$86)</f>
        <v/>
      </c>
      <c r="AO596" s="157">
        <f>CHOOSE(MATCH(IF($U596="","Основний",$U596),{"Трафіковий","Основний","Маржинальний","Сезонний","Стратегічний"},0),Settings!$C$78,Settings!$C$80,Settings!$C$82,Settings!$C$84,Settings!$C$86)</f>
        <v/>
      </c>
      <c r="AP596" s="157">
        <f>CHOOSE(MATCH(IF($U596="","Основний",$U596),{"Трафіковий","Основний","Маржинальний","Сезонний","Стратегічний"},0),Settings!$D$78,Settings!$D$80,Settings!$D$82,Settings!$D$84,Settings!$D$86)</f>
        <v/>
      </c>
      <c r="AQ596" s="157">
        <f>CHOOSE(MATCH(IF($U596="","Основний",$U596),{"Трафіковий","Основний","Маржинальний","Сезонний","Стратегічний"},0),Settings!$F$78,Settings!$F$80,Settings!$F$82,Settings!$F$84,Settings!$F$86)</f>
        <v/>
      </c>
      <c r="AR596" s="157">
        <f>CHOOSE(MATCH(IF($U596="","Основний",$U596),{"Трафіковий","Основний","Маржинальний","Сезонний","Стратегічний"},0),Settings!$G$78,Settings!$G$80,Settings!$G$82,Settings!$G$84,Settings!$G$86)</f>
        <v/>
      </c>
      <c r="AS596" s="157">
        <f>CHOOSE(MATCH(IF($U596="","Основний",$U596),{"Трафіковий","Основний","Маржинальний","Сезонний","Стратегічний"},0),Settings!$H$78,Settings!$H$80,Settings!$H$82,Settings!$H$84,Settings!$H$86)</f>
        <v/>
      </c>
      <c r="AT596" s="157">
        <f>CHOOSE(MATCH(IF($U596="","Основний",$U596),{"Трафіковий","Основний","Маржинальний","Сезонний","Стратегічний"},0),Settings!$I$78,Settings!$I$80,Settings!$I$82,Settings!$I$84,Settings!$I$86)</f>
        <v/>
      </c>
      <c r="AU596" s="171" t="n"/>
      <c r="AV596" t="n">
        <v>1.3</v>
      </c>
    </row>
    <row r="597">
      <c r="A597" s="33" t="inlineStr">
        <is>
          <t>NEW</t>
        </is>
      </c>
      <c r="B597" s="34" t="inlineStr">
        <is>
          <t>E6000</t>
        </is>
      </c>
      <c r="C597" s="34" t="inlineStr">
        <is>
          <t>SMART PROFI WEATHER STATION E6000</t>
        </is>
      </c>
      <c r="D597" s="34" t="inlineStr">
        <is>
          <t>Ваги електронні</t>
        </is>
      </c>
      <c r="E597" s="33" t="inlineStr">
        <is>
          <t>PC</t>
        </is>
      </c>
      <c r="F597" s="94" t="n">
        <v>66.01000000000001</v>
      </c>
      <c r="G597" s="35" t="n">
        <v>9025804089</v>
      </c>
      <c r="H597" s="31" t="n">
        <v>1.35</v>
      </c>
      <c r="I597" s="84">
        <f>IFERROR(F597*Settings!$B$2*H597*IF(AND(ISNUMBER(E597),E597&gt;1),E597,1),"")</f>
        <v/>
      </c>
      <c r="J597" s="32">
        <f>Settings!$B$66</f>
        <v/>
      </c>
      <c r="K597" s="95">
        <f>IFERROR(IF(T597="","",(T597*(1-AN597)*(1-Settings!$B$17)-I597)/(T597*(1-AN597)*(1-Settings!$B$17))),"")</f>
        <v/>
      </c>
      <c r="L597" s="101">
        <f>IFERROR(IF(T597="","",(T597*(1-AO597)*(1-Settings!$C$17)-I597)/(T597*(1-AO597)*(1-Settings!$C$17))),"")</f>
        <v/>
      </c>
      <c r="M597" s="101">
        <f>IFERROR(IF(T597="","",(T597*(1-AP597)*(1-Settings!$D$17)-I597)/(T597*(1-AP597)*(1-Settings!$D$17))),"")</f>
        <v/>
      </c>
      <c r="N597" s="101">
        <f>IFERROR(IF(T597="","",(T597*(1-AQ597)*(1-Settings!$F$17)-I597)/(T597*(1-AQ597)*(1-Settings!$F$17))),"")</f>
        <v/>
      </c>
      <c r="O597" s="101">
        <f>IFERROR(IF(T597="","",(T597*(1-AR597)*(1-Settings!$G$17)-I597)/(T597*(1-AR597)*(1-Settings!$G$17))),"")</f>
        <v/>
      </c>
      <c r="P597" s="101">
        <f>IFERROR(IF(T597="","",(T597*(1-AS597)*(1-Settings!$H$17)-I597)/(T597*(1-AS597)*(1-Settings!$H$17))),"")</f>
        <v/>
      </c>
      <c r="Q597" s="101">
        <f>IFERROR(IF(T597="","",(T597*(1-AT597)*(1-Settings!$I$68)*(1-Settings!$I$17)-I597)/(T597*(1-AT597)*(1-Settings!$I$68)*(1-Settings!$I$17))),"")</f>
        <v/>
      </c>
      <c r="R597" s="91">
        <f>IFERROR(IF(OR(I597="",Z597&gt;=1,Settings!$B$17&gt;=1,AN597&gt;=1),"",IF(MOD(ROUND(I597/(1-Z597)/(1-Settings!$B$17)/(1-AN597),0),10)=0,ROUND(I597/(1-Z597)/(1-Settings!$B$17)/(1-AN597),0)-1,IF(MOD(ROUND(I597/(1-Z597)/(1-Settings!$B$17)/(1-AN597),0),10)&lt;=5,FLOOR(ROUND(I597/(1-Z597)/(1-Settings!$B$17)/(1-AN597),0),10)+6,FLOOR(ROUND(I597/(1-Z597)/(1-Settings!$B$17)/(1-AN597),0),10)+9))),"")</f>
        <v/>
      </c>
      <c r="S597" s="174">
        <f>R597*0.95</f>
        <v/>
      </c>
      <c r="T597" s="91">
        <f>IF(S597&lt;&gt;"", IF(MOD(S597,10)=0,S597-1,IF(MOD(S597,10)&lt;=5,FLOOR(S597,10)+6,FLOOR(S597,10)+9)), R597)</f>
        <v/>
      </c>
      <c r="U597" s="87" t="inlineStr">
        <is>
          <t>Основний</t>
        </is>
      </c>
      <c r="V597" s="88" t="n"/>
      <c r="W597" s="88" t="n"/>
      <c r="X597" s="89">
        <f>IFERROR(IF(OR(V597="",W597="",T597=""),"", IF(T597&gt;W597,"Дорогий",IF(T597&lt;V597,"Дешевий","У ринку"))),"")</f>
        <v/>
      </c>
      <c r="Y597" s="90" t="n"/>
      <c r="Z597" s="104">
        <f>CHOOSE(MATCH(IF($U597="","Основний",$U597),{"Трафіковий","Основний","Маржинальний","Сезонний","Стратегічний"},0),0.16,0.19,0.24,0.23,0.28)</f>
        <v/>
      </c>
      <c r="AA597" s="104">
        <f>CHOOSE(MATCH(IF($U597="","Основний",$U597),{"Трафіковий","Основний","Маржинальний","Сезонний","Стратегічний"},0),0.18,0.21,0.26,0.25,0.3)</f>
        <v/>
      </c>
      <c r="AB597" s="104">
        <f>CHOOSE(MATCH(IF($U597="","Основний",$U597),{"Трафіковий","Основний","Маржинальний","Сезонний","Стратегічний"},0),0.19,0.22,0.28,0.26,0.32)</f>
        <v/>
      </c>
      <c r="AC597" s="104">
        <f>CHOOSE(MATCH(IF($U597="","Основний",$U597),{"Трафіковий","Основний","Маржинальний","Сезонний","Стратегічний"},0),0.17,0.2,0.25,0.24,0.28)</f>
        <v/>
      </c>
      <c r="AD597" s="104">
        <f>CHOOSE(MATCH(IF($U597="","Основний",$U597),{"Трафіковий","Основний","Маржинальний","Сезонний","Стратегічний"},0),0.18,0.21,0.26,0.25,0.3)</f>
        <v/>
      </c>
      <c r="AE597" s="104">
        <f>CHOOSE(MATCH(IF($U597="","Основний",$U597),{"Трафіковий","Основний","Маржинальний","Сезонний","Стратегічний"},0),0.18,0.2,0.28,0.27,0.32)</f>
        <v/>
      </c>
      <c r="AF597" s="104">
        <f>CHOOSE(MATCH(IF($U597="","Основний",$U597),{"Трафіковий","Основний","Маржинальний","Сезонний","Стратегічний"},0),0.15,0.175,0.22,0.21,0.25)</f>
        <v/>
      </c>
      <c r="AG597" s="104">
        <f>CHOOSE(MATCH(IF($U597="","Основний",$U597),{"Трафіковий","Основний","Маржинальний","Сезонний","Стратегічний"},0),0.13,0.16,0.21,0.2,0.25)</f>
        <v/>
      </c>
      <c r="AH597" s="104">
        <f>CHOOSE(MATCH(IF($U597="","Основний",$U597),{"Трафіковий","Основний","Маржинальний","Сезонний","Стратегічний"},0),0.15,0.18,0.23,0.22,0.27)</f>
        <v/>
      </c>
      <c r="AI597" s="104">
        <f>CHOOSE(MATCH(IF($U597="","Основний",$U597),{"Трафіковий","Основний","Маржинальний","Сезонний","Стратегічний"},0),0.16,0.19,0.25,0.23,0.29)</f>
        <v/>
      </c>
      <c r="AJ597" s="104">
        <f>CHOOSE(MATCH(IF($U597="","Основний",$U597),{"Трафіковий","Основний","Маржинальний","Сезонний","Стратегічний"},0),0.14,0.17,0.22,0.21,0.25)</f>
        <v/>
      </c>
      <c r="AK597" s="104">
        <f>CHOOSE(MATCH(IF($U597="","Основний",$U597),{"Трафіковий","Основний","Маржинальний","Сезонний","Стратегічний"},0),0.15,0.18,0.23,0.22,0.27)</f>
        <v/>
      </c>
      <c r="AL597" s="104">
        <f>CHOOSE(MATCH(IF($U597="","Основний",$U597),{"Трафіковий","Основний","Маржинальний","Сезонний","Стратегічний"},0),0.15,0.17,0.25,0.24,0.29)</f>
        <v/>
      </c>
      <c r="AM597" s="104">
        <f>CHOOSE(MATCH(IF($U597="","Основний",$U597),{"Трафіковий","Основний","Маржинальний","Сезонний","Стратегічний"},0),0.12,0.145,0.19,0.18,0.22)</f>
        <v/>
      </c>
      <c r="AN597" s="157">
        <f>CHOOSE(MATCH(IF($U597="","Основний",$U597),{"Трафіковий","Основний","Маржинальний","Сезонний","Стратегічний"},0),Settings!$B$78,Settings!$B$80,Settings!$B$82,Settings!$B$84,Settings!$B$86)</f>
        <v/>
      </c>
      <c r="AO597" s="157">
        <f>CHOOSE(MATCH(IF($U597="","Основний",$U597),{"Трафіковий","Основний","Маржинальний","Сезонний","Стратегічний"},0),Settings!$C$78,Settings!$C$80,Settings!$C$82,Settings!$C$84,Settings!$C$86)</f>
        <v/>
      </c>
      <c r="AP597" s="157">
        <f>CHOOSE(MATCH(IF($U597="","Основний",$U597),{"Трафіковий","Основний","Маржинальний","Сезонний","Стратегічний"},0),Settings!$D$78,Settings!$D$80,Settings!$D$82,Settings!$D$84,Settings!$D$86)</f>
        <v/>
      </c>
      <c r="AQ597" s="157">
        <f>CHOOSE(MATCH(IF($U597="","Основний",$U597),{"Трафіковий","Основний","Маржинальний","Сезонний","Стратегічний"},0),Settings!$F$78,Settings!$F$80,Settings!$F$82,Settings!$F$84,Settings!$F$86)</f>
        <v/>
      </c>
      <c r="AR597" s="157">
        <f>CHOOSE(MATCH(IF($U597="","Основний",$U597),{"Трафіковий","Основний","Маржинальний","Сезонний","Стратегічний"},0),Settings!$G$78,Settings!$G$80,Settings!$G$82,Settings!$G$84,Settings!$G$86)</f>
        <v/>
      </c>
      <c r="AS597" s="157">
        <f>CHOOSE(MATCH(IF($U597="","Основний",$U597),{"Трафіковий","Основний","Маржинальний","Сезонний","Стратегічний"},0),Settings!$H$78,Settings!$H$80,Settings!$H$82,Settings!$H$84,Settings!$H$86)</f>
        <v/>
      </c>
      <c r="AT597" s="157">
        <f>CHOOSE(MATCH(IF($U597="","Основний",$U597),{"Трафіковий","Основний","Маржинальний","Сезонний","Стратегічний"},0),Settings!$I$78,Settings!$I$80,Settings!$I$82,Settings!$I$84,Settings!$I$86)</f>
        <v/>
      </c>
      <c r="AU597" s="171" t="n"/>
      <c r="AV597" t="n">
        <v>1.3</v>
      </c>
    </row>
    <row r="598">
      <c r="A598" s="28" t="n"/>
      <c r="B598" s="29" t="inlineStr">
        <is>
          <t>P57001</t>
        </is>
      </c>
      <c r="C598" s="29" t="inlineStr">
        <is>
          <t>WIRED DOORCHIME AC P57001</t>
        </is>
      </c>
      <c r="D598" s="29" t="inlineStr">
        <is>
          <t>Дверні дзвінки</t>
        </is>
      </c>
      <c r="E598" s="28" t="inlineStr">
        <is>
          <t>PC</t>
        </is>
      </c>
      <c r="F598" s="93" t="n">
        <v>3.711</v>
      </c>
      <c r="G598" s="30" t="n">
        <v>8531804090</v>
      </c>
      <c r="H598" s="31" t="n">
        <v>1.4</v>
      </c>
      <c r="I598" s="84">
        <f>IFERROR(F598*Settings!$B$2*H598*IF(AND(ISNUMBER(E598),E598&gt;1),E598,1),"")</f>
        <v/>
      </c>
      <c r="J598" s="32">
        <f>Settings!$B$66</f>
        <v/>
      </c>
      <c r="K598" s="95">
        <f>IFERROR(IF(T598="","",(T598*(1-AN598)*(1-Settings!$B$17)-I598)/(T598*(1-AN598)*(1-Settings!$B$17))),"")</f>
        <v/>
      </c>
      <c r="L598" s="101">
        <f>IFERROR(IF(T598="","",(T598*(1-AO598)*(1-Settings!$C$17)-I598)/(T598*(1-AO598)*(1-Settings!$C$17))),"")</f>
        <v/>
      </c>
      <c r="M598" s="101">
        <f>IFERROR(IF(T598="","",(T598*(1-AP598)*(1-Settings!$D$17)-I598)/(T598*(1-AP598)*(1-Settings!$D$17))),"")</f>
        <v/>
      </c>
      <c r="N598" s="101">
        <f>IFERROR(IF(T598="","",(T598*(1-AQ598)*(1-Settings!$F$17)-I598)/(T598*(1-AQ598)*(1-Settings!$F$17))),"")</f>
        <v/>
      </c>
      <c r="O598" s="101">
        <f>IFERROR(IF(T598="","",(T598*(1-AR598)*(1-Settings!$G$17)-I598)/(T598*(1-AR598)*(1-Settings!$G$17))),"")</f>
        <v/>
      </c>
      <c r="P598" s="101">
        <f>IFERROR(IF(T598="","",(T598*(1-AS598)*(1-Settings!$H$17)-I598)/(T598*(1-AS598)*(1-Settings!$H$17))),"")</f>
        <v/>
      </c>
      <c r="Q598" s="101">
        <f>IFERROR(IF(T598="","",(T598*(1-AT598)*(1-Settings!$I$68)*(1-Settings!$I$17)-I598)/(T598*(1-AT598)*(1-Settings!$I$68)*(1-Settings!$I$17))),"")</f>
        <v/>
      </c>
      <c r="R598" s="91">
        <f>IFERROR(IF(OR(I598="",Z598&gt;=1,Settings!$B$17&gt;=1,AN598&gt;=1),"",IF(MOD(ROUND(I598/(1-Z598)/(1-Settings!$B$17)/(1-AN598),0),10)=0,ROUND(I598/(1-Z598)/(1-Settings!$B$17)/(1-AN598),0)-1,IF(MOD(ROUND(I598/(1-Z598)/(1-Settings!$B$17)/(1-AN598),0),10)&lt;=5,FLOOR(ROUND(I598/(1-Z598)/(1-Settings!$B$17)/(1-AN598),0),10)+6,FLOOR(ROUND(I598/(1-Z598)/(1-Settings!$B$17)/(1-AN598),0),10)+9))),"")</f>
        <v/>
      </c>
      <c r="S598" s="92" t="n">
        <v>509</v>
      </c>
      <c r="T598" s="91">
        <f>IF(S598&lt;&gt;"", IF(MOD(S598,10)=0,S598-1,IF(MOD(S598,10)&lt;=5,FLOOR(S598,10)+6,FLOOR(S598,10)+9)), R598)</f>
        <v/>
      </c>
      <c r="U598" s="87" t="inlineStr">
        <is>
          <t>Основний</t>
        </is>
      </c>
      <c r="V598" s="88" t="n"/>
      <c r="W598" s="88" t="n"/>
      <c r="X598" s="89">
        <f>IFERROR(IF(OR(V598="",W598="",T598=""),"", IF(T598&gt;W598,"Дорогий",IF(T598&lt;V598,"Дешевий","У ринку"))),"")</f>
        <v/>
      </c>
      <c r="Y598" s="90" t="n"/>
      <c r="Z598" s="104">
        <f>CHOOSE(MATCH(IF($U598="","Основний",$U598),{"Трафіковий","Основний","Маржинальний","Сезонний","Стратегічний"},0),0.16,0.19,0.24,0.23,0.28)</f>
        <v/>
      </c>
      <c r="AA598" s="104">
        <f>CHOOSE(MATCH(IF($U598="","Основний",$U598),{"Трафіковий","Основний","Маржинальний","Сезонний","Стратегічний"},0),0.18,0.21,0.26,0.25,0.3)</f>
        <v/>
      </c>
      <c r="AB598" s="104">
        <f>CHOOSE(MATCH(IF($U598="","Основний",$U598),{"Трафіковий","Основний","Маржинальний","Сезонний","Стратегічний"},0),0.19,0.22,0.28,0.26,0.32)</f>
        <v/>
      </c>
      <c r="AC598" s="104">
        <f>CHOOSE(MATCH(IF($U598="","Основний",$U598),{"Трафіковий","Основний","Маржинальний","Сезонний","Стратегічний"},0),0.17,0.2,0.25,0.24,0.28)</f>
        <v/>
      </c>
      <c r="AD598" s="104">
        <f>CHOOSE(MATCH(IF($U598="","Основний",$U598),{"Трафіковий","Основний","Маржинальний","Сезонний","Стратегічний"},0),0.18,0.21,0.26,0.25,0.3)</f>
        <v/>
      </c>
      <c r="AE598" s="104">
        <f>CHOOSE(MATCH(IF($U598="","Основний",$U598),{"Трафіковий","Основний","Маржинальний","Сезонний","Стратегічний"},0),0.18,0.2,0.28,0.27,0.32)</f>
        <v/>
      </c>
      <c r="AF598" s="104">
        <f>CHOOSE(MATCH(IF($U598="","Основний",$U598),{"Трафіковий","Основний","Маржинальний","Сезонний","Стратегічний"},0),0.15,0.175,0.22,0.21,0.25)</f>
        <v/>
      </c>
      <c r="AG598" s="104">
        <f>CHOOSE(MATCH(IF($U598="","Основний",$U598),{"Трафіковий","Основний","Маржинальний","Сезонний","Стратегічний"},0),0.13,0.16,0.21,0.2,0.25)</f>
        <v/>
      </c>
      <c r="AH598" s="104">
        <f>CHOOSE(MATCH(IF($U598="","Основний",$U598),{"Трафіковий","Основний","Маржинальний","Сезонний","Стратегічний"},0),0.15,0.18,0.23,0.22,0.27)</f>
        <v/>
      </c>
      <c r="AI598" s="104">
        <f>CHOOSE(MATCH(IF($U598="","Основний",$U598),{"Трафіковий","Основний","Маржинальний","Сезонний","Стратегічний"},0),0.16,0.19,0.25,0.23,0.29)</f>
        <v/>
      </c>
      <c r="AJ598" s="104">
        <f>CHOOSE(MATCH(IF($U598="","Основний",$U598),{"Трафіковий","Основний","Маржинальний","Сезонний","Стратегічний"},0),0.14,0.17,0.22,0.21,0.25)</f>
        <v/>
      </c>
      <c r="AK598" s="104">
        <f>CHOOSE(MATCH(IF($U598="","Основний",$U598),{"Трафіковий","Основний","Маржинальний","Сезонний","Стратегічний"},0),0.15,0.18,0.23,0.22,0.27)</f>
        <v/>
      </c>
      <c r="AL598" s="104">
        <f>CHOOSE(MATCH(IF($U598="","Основний",$U598),{"Трафіковий","Основний","Маржинальний","Сезонний","Стратегічний"},0),0.15,0.17,0.25,0.24,0.29)</f>
        <v/>
      </c>
      <c r="AM598" s="104">
        <f>CHOOSE(MATCH(IF($U598="","Основний",$U598),{"Трафіковий","Основний","Маржинальний","Сезонний","Стратегічний"},0),0.12,0.145,0.19,0.18,0.22)</f>
        <v/>
      </c>
      <c r="AN598" s="157">
        <f>CHOOSE(MATCH(IF($U598="","Основний",$U598),{"Трафіковий","Основний","Маржинальний","Сезонний","Стратегічний"},0),Settings!$B$78,Settings!$B$80,Settings!$B$82,Settings!$B$84,Settings!$B$86)</f>
        <v/>
      </c>
      <c r="AO598" s="157">
        <f>CHOOSE(MATCH(IF($U598="","Основний",$U598),{"Трафіковий","Основний","Маржинальний","Сезонний","Стратегічний"},0),Settings!$C$78,Settings!$C$80,Settings!$C$82,Settings!$C$84,Settings!$C$86)</f>
        <v/>
      </c>
      <c r="AP598" s="157">
        <f>CHOOSE(MATCH(IF($U598="","Основний",$U598),{"Трафіковий","Основний","Маржинальний","Сезонний","Стратегічний"},0),Settings!$D$78,Settings!$D$80,Settings!$D$82,Settings!$D$84,Settings!$D$86)</f>
        <v/>
      </c>
      <c r="AQ598" s="157">
        <f>CHOOSE(MATCH(IF($U598="","Основний",$U598),{"Трафіковий","Основний","Маржинальний","Сезонний","Стратегічний"},0),Settings!$F$78,Settings!$F$80,Settings!$F$82,Settings!$F$84,Settings!$F$86)</f>
        <v/>
      </c>
      <c r="AR598" s="157">
        <f>CHOOSE(MATCH(IF($U598="","Основний",$U598),{"Трафіковий","Основний","Маржинальний","Сезонний","Стратегічний"},0),Settings!$G$78,Settings!$G$80,Settings!$G$82,Settings!$G$84,Settings!$G$86)</f>
        <v/>
      </c>
      <c r="AS598" s="157">
        <f>CHOOSE(MATCH(IF($U598="","Основний",$U598),{"Трафіковий","Основний","Маржинальний","Сезонний","Стратегічний"},0),Settings!$H$78,Settings!$H$80,Settings!$H$82,Settings!$H$84,Settings!$H$86)</f>
        <v/>
      </c>
      <c r="AT598" s="157">
        <f>CHOOSE(MATCH(IF($U598="","Основний",$U598),{"Трафіковий","Основний","Маржинальний","Сезонний","Стратегічний"},0),Settings!$I$78,Settings!$I$80,Settings!$I$82,Settings!$I$84,Settings!$I$86)</f>
        <v/>
      </c>
      <c r="AU598" s="171" t="n"/>
      <c r="AV598" t="n">
        <v>1.3</v>
      </c>
    </row>
    <row r="599">
      <c r="A599" s="33" t="n"/>
      <c r="B599" s="34" t="inlineStr">
        <is>
          <t>P57002</t>
        </is>
      </c>
      <c r="C599" s="34" t="inlineStr">
        <is>
          <t>WIRED DOORCHIME AC P57002</t>
        </is>
      </c>
      <c r="D599" s="34" t="inlineStr">
        <is>
          <t>Дверні дзвінки</t>
        </is>
      </c>
      <c r="E599" s="33" t="inlineStr">
        <is>
          <t>PC</t>
        </is>
      </c>
      <c r="F599" s="94" t="n">
        <v>4.567</v>
      </c>
      <c r="G599" s="35" t="n">
        <v>8531804090</v>
      </c>
      <c r="H599" s="31" t="n">
        <v>1.4</v>
      </c>
      <c r="I599" s="84">
        <f>IFERROR(F599*Settings!$B$2*H599*IF(AND(ISNUMBER(E599),E599&gt;1),E599,1),"")</f>
        <v/>
      </c>
      <c r="J599" s="32">
        <f>Settings!$B$66</f>
        <v/>
      </c>
      <c r="K599" s="95">
        <f>IFERROR(IF(T599="","",(T599*(1-AN599)*(1-Settings!$B$17)-I599)/(T599*(1-AN599)*(1-Settings!$B$17))),"")</f>
        <v/>
      </c>
      <c r="L599" s="101">
        <f>IFERROR(IF(T599="","",(T599*(1-AO599)*(1-Settings!$C$17)-I599)/(T599*(1-AO599)*(1-Settings!$C$17))),"")</f>
        <v/>
      </c>
      <c r="M599" s="101">
        <f>IFERROR(IF(T599="","",(T599*(1-AP599)*(1-Settings!$D$17)-I599)/(T599*(1-AP599)*(1-Settings!$D$17))),"")</f>
        <v/>
      </c>
      <c r="N599" s="101">
        <f>IFERROR(IF(T599="","",(T599*(1-AQ599)*(1-Settings!$F$17)-I599)/(T599*(1-AQ599)*(1-Settings!$F$17))),"")</f>
        <v/>
      </c>
      <c r="O599" s="101">
        <f>IFERROR(IF(T599="","",(T599*(1-AR599)*(1-Settings!$G$17)-I599)/(T599*(1-AR599)*(1-Settings!$G$17))),"")</f>
        <v/>
      </c>
      <c r="P599" s="101">
        <f>IFERROR(IF(T599="","",(T599*(1-AS599)*(1-Settings!$H$17)-I599)/(T599*(1-AS599)*(1-Settings!$H$17))),"")</f>
        <v/>
      </c>
      <c r="Q599" s="101">
        <f>IFERROR(IF(T599="","",(T599*(1-AT599)*(1-Settings!$I$68)*(1-Settings!$I$17)-I599)/(T599*(1-AT599)*(1-Settings!$I$68)*(1-Settings!$I$17))),"")</f>
        <v/>
      </c>
      <c r="R599" s="91">
        <f>IFERROR(IF(OR(I599="",Z599&gt;=1,Settings!$B$17&gt;=1,AN599&gt;=1),"",IF(MOD(ROUND(I599/(1-Z599)/(1-Settings!$B$17)/(1-AN599),0),10)=0,ROUND(I599/(1-Z599)/(1-Settings!$B$17)/(1-AN599),0)-1,IF(MOD(ROUND(I599/(1-Z599)/(1-Settings!$B$17)/(1-AN599),0),10)&lt;=5,FLOOR(ROUND(I599/(1-Z599)/(1-Settings!$B$17)/(1-AN599),0),10)+6,FLOOR(ROUND(I599/(1-Z599)/(1-Settings!$B$17)/(1-AN599),0),10)+9))),"")</f>
        <v/>
      </c>
      <c r="S599" s="92" t="n">
        <v>639</v>
      </c>
      <c r="T599" s="91">
        <f>IF(S599&lt;&gt;"", IF(MOD(S599,10)=0,S599-1,IF(MOD(S599,10)&lt;=5,FLOOR(S599,10)+6,FLOOR(S599,10)+9)), R599)</f>
        <v/>
      </c>
      <c r="U599" s="87" t="inlineStr">
        <is>
          <t>Основний</t>
        </is>
      </c>
      <c r="V599" s="88" t="n"/>
      <c r="W599" s="88" t="n"/>
      <c r="X599" s="89">
        <f>IFERROR(IF(OR(V599="",W599="",T599=""),"", IF(T599&gt;W599,"Дорогий",IF(T599&lt;V599,"Дешевий","У ринку"))),"")</f>
        <v/>
      </c>
      <c r="Y599" s="90" t="n"/>
      <c r="Z599" s="104">
        <f>CHOOSE(MATCH(IF($U599="","Основний",$U599),{"Трафіковий","Основний","Маржинальний","Сезонний","Стратегічний"},0),0.16,0.19,0.24,0.23,0.28)</f>
        <v/>
      </c>
      <c r="AA599" s="104">
        <f>CHOOSE(MATCH(IF($U599="","Основний",$U599),{"Трафіковий","Основний","Маржинальний","Сезонний","Стратегічний"},0),0.18,0.21,0.26,0.25,0.3)</f>
        <v/>
      </c>
      <c r="AB599" s="104">
        <f>CHOOSE(MATCH(IF($U599="","Основний",$U599),{"Трафіковий","Основний","Маржинальний","Сезонний","Стратегічний"},0),0.19,0.22,0.28,0.26,0.32)</f>
        <v/>
      </c>
      <c r="AC599" s="104">
        <f>CHOOSE(MATCH(IF($U599="","Основний",$U599),{"Трафіковий","Основний","Маржинальний","Сезонний","Стратегічний"},0),0.17,0.2,0.25,0.24,0.28)</f>
        <v/>
      </c>
      <c r="AD599" s="104">
        <f>CHOOSE(MATCH(IF($U599="","Основний",$U599),{"Трафіковий","Основний","Маржинальний","Сезонний","Стратегічний"},0),0.18,0.21,0.26,0.25,0.3)</f>
        <v/>
      </c>
      <c r="AE599" s="104">
        <f>CHOOSE(MATCH(IF($U599="","Основний",$U599),{"Трафіковий","Основний","Маржинальний","Сезонний","Стратегічний"},0),0.18,0.2,0.28,0.27,0.32)</f>
        <v/>
      </c>
      <c r="AF599" s="104">
        <f>CHOOSE(MATCH(IF($U599="","Основний",$U599),{"Трафіковий","Основний","Маржинальний","Сезонний","Стратегічний"},0),0.15,0.175,0.22,0.21,0.25)</f>
        <v/>
      </c>
      <c r="AG599" s="104">
        <f>CHOOSE(MATCH(IF($U599="","Основний",$U599),{"Трафіковий","Основний","Маржинальний","Сезонний","Стратегічний"},0),0.13,0.16,0.21,0.2,0.25)</f>
        <v/>
      </c>
      <c r="AH599" s="104">
        <f>CHOOSE(MATCH(IF($U599="","Основний",$U599),{"Трафіковий","Основний","Маржинальний","Сезонний","Стратегічний"},0),0.15,0.18,0.23,0.22,0.27)</f>
        <v/>
      </c>
      <c r="AI599" s="104">
        <f>CHOOSE(MATCH(IF($U599="","Основний",$U599),{"Трафіковий","Основний","Маржинальний","Сезонний","Стратегічний"},0),0.16,0.19,0.25,0.23,0.29)</f>
        <v/>
      </c>
      <c r="AJ599" s="104">
        <f>CHOOSE(MATCH(IF($U599="","Основний",$U599),{"Трафіковий","Основний","Маржинальний","Сезонний","Стратегічний"},0),0.14,0.17,0.22,0.21,0.25)</f>
        <v/>
      </c>
      <c r="AK599" s="104">
        <f>CHOOSE(MATCH(IF($U599="","Основний",$U599),{"Трафіковий","Основний","Маржинальний","Сезонний","Стратегічний"},0),0.15,0.18,0.23,0.22,0.27)</f>
        <v/>
      </c>
      <c r="AL599" s="104">
        <f>CHOOSE(MATCH(IF($U599="","Основний",$U599),{"Трафіковий","Основний","Маржинальний","Сезонний","Стратегічний"},0),0.15,0.17,0.25,0.24,0.29)</f>
        <v/>
      </c>
      <c r="AM599" s="104">
        <f>CHOOSE(MATCH(IF($U599="","Основний",$U599),{"Трафіковий","Основний","Маржинальний","Сезонний","Стратегічний"},0),0.12,0.145,0.19,0.18,0.22)</f>
        <v/>
      </c>
      <c r="AN599" s="157">
        <f>CHOOSE(MATCH(IF($U599="","Основний",$U599),{"Трафіковий","Основний","Маржинальний","Сезонний","Стратегічний"},0),Settings!$B$78,Settings!$B$80,Settings!$B$82,Settings!$B$84,Settings!$B$86)</f>
        <v/>
      </c>
      <c r="AO599" s="157">
        <f>CHOOSE(MATCH(IF($U599="","Основний",$U599),{"Трафіковий","Основний","Маржинальний","Сезонний","Стратегічний"},0),Settings!$C$78,Settings!$C$80,Settings!$C$82,Settings!$C$84,Settings!$C$86)</f>
        <v/>
      </c>
      <c r="AP599" s="157">
        <f>CHOOSE(MATCH(IF($U599="","Основний",$U599),{"Трафіковий","Основний","Маржинальний","Сезонний","Стратегічний"},0),Settings!$D$78,Settings!$D$80,Settings!$D$82,Settings!$D$84,Settings!$D$86)</f>
        <v/>
      </c>
      <c r="AQ599" s="157">
        <f>CHOOSE(MATCH(IF($U599="","Основний",$U599),{"Трафіковий","Основний","Маржинальний","Сезонний","Стратегічний"},0),Settings!$F$78,Settings!$F$80,Settings!$F$82,Settings!$F$84,Settings!$F$86)</f>
        <v/>
      </c>
      <c r="AR599" s="157">
        <f>CHOOSE(MATCH(IF($U599="","Основний",$U599),{"Трафіковий","Основний","Маржинальний","Сезонний","Стратегічний"},0),Settings!$G$78,Settings!$G$80,Settings!$G$82,Settings!$G$84,Settings!$G$86)</f>
        <v/>
      </c>
      <c r="AS599" s="157">
        <f>CHOOSE(MATCH(IF($U599="","Основний",$U599),{"Трафіковий","Основний","Маржинальний","Сезонний","Стратегічний"},0),Settings!$H$78,Settings!$H$80,Settings!$H$82,Settings!$H$84,Settings!$H$86)</f>
        <v/>
      </c>
      <c r="AT599" s="157">
        <f>CHOOSE(MATCH(IF($U599="","Основний",$U599),{"Трафіковий","Основний","Маржинальний","Сезонний","Стратегічний"},0),Settings!$I$78,Settings!$I$80,Settings!$I$82,Settings!$I$84,Settings!$I$86)</f>
        <v/>
      </c>
      <c r="AU599" s="171" t="n"/>
      <c r="AV599" t="n">
        <v>1.35</v>
      </c>
    </row>
    <row r="600">
      <c r="A600" s="28" t="inlineStr">
        <is>
          <t>NEW</t>
        </is>
      </c>
      <c r="B600" s="29" t="inlineStr">
        <is>
          <t>P57000TR</t>
        </is>
      </c>
      <c r="C600" s="29" t="inlineStr">
        <is>
          <t>BELL TRANSFORMER 8/12/24V</t>
        </is>
      </c>
      <c r="D600" s="29" t="inlineStr">
        <is>
          <t>Дверні дзвінки</t>
        </is>
      </c>
      <c r="E600" s="28" t="inlineStr">
        <is>
          <t>PC</t>
        </is>
      </c>
      <c r="F600" s="93" t="n">
        <v>6.209</v>
      </c>
      <c r="G600" s="30" t="n">
        <v>8504408390</v>
      </c>
      <c r="H600" s="31" t="n">
        <v>1.4</v>
      </c>
      <c r="I600" s="84">
        <f>IFERROR(F600*Settings!$B$2*H600*IF(AND(ISNUMBER(E600),E600&gt;1),E600,1),"")</f>
        <v/>
      </c>
      <c r="J600" s="32">
        <f>Settings!$B$66</f>
        <v/>
      </c>
      <c r="K600" s="95">
        <f>IFERROR(IF(T600="","",(T600*(1-AN600)*(1-Settings!$B$17)-I600)/(T600*(1-AN600)*(1-Settings!$B$17))),"")</f>
        <v/>
      </c>
      <c r="L600" s="101">
        <f>IFERROR(IF(T600="","",(T600*(1-AO600)*(1-Settings!$C$17)-I600)/(T600*(1-AO600)*(1-Settings!$C$17))),"")</f>
        <v/>
      </c>
      <c r="M600" s="101">
        <f>IFERROR(IF(T600="","",(T600*(1-AP600)*(1-Settings!$D$17)-I600)/(T600*(1-AP600)*(1-Settings!$D$17))),"")</f>
        <v/>
      </c>
      <c r="N600" s="101">
        <f>IFERROR(IF(T600="","",(T600*(1-AQ600)*(1-Settings!$F$17)-I600)/(T600*(1-AQ600)*(1-Settings!$F$17))),"")</f>
        <v/>
      </c>
      <c r="O600" s="101">
        <f>IFERROR(IF(T600="","",(T600*(1-AR600)*(1-Settings!$G$17)-I600)/(T600*(1-AR600)*(1-Settings!$G$17))),"")</f>
        <v/>
      </c>
      <c r="P600" s="101">
        <f>IFERROR(IF(T600="","",(T600*(1-AS600)*(1-Settings!$H$17)-I600)/(T600*(1-AS600)*(1-Settings!$H$17))),"")</f>
        <v/>
      </c>
      <c r="Q600" s="101">
        <f>IFERROR(IF(T600="","",(T600*(1-AT600)*(1-Settings!$I$68)*(1-Settings!$I$17)-I600)/(T600*(1-AT600)*(1-Settings!$I$68)*(1-Settings!$I$17))),"")</f>
        <v/>
      </c>
      <c r="R600" s="91">
        <f>IFERROR(IF(OR(I600="",Z600&gt;=1,Settings!$B$17&gt;=1,AN600&gt;=1),"",IF(MOD(ROUND(I600/(1-Z600)/(1-Settings!$B$17)/(1-AN600),0),10)=0,ROUND(I600/(1-Z600)/(1-Settings!$B$17)/(1-AN600),0)-1,IF(MOD(ROUND(I600/(1-Z600)/(1-Settings!$B$17)/(1-AN600),0),10)&lt;=5,FLOOR(ROUND(I600/(1-Z600)/(1-Settings!$B$17)/(1-AN600),0),10)+6,FLOOR(ROUND(I600/(1-Z600)/(1-Settings!$B$17)/(1-AN600),0),10)+9))),"")</f>
        <v/>
      </c>
      <c r="S600" s="174">
        <f>R600*0.95</f>
        <v/>
      </c>
      <c r="T600" s="91">
        <f>IF(S600&lt;&gt;"", IF(MOD(S600,10)=0,S600-1,IF(MOD(S600,10)&lt;=5,FLOOR(S600,10)+6,FLOOR(S600,10)+9)), R600)</f>
        <v/>
      </c>
      <c r="U600" s="87" t="inlineStr">
        <is>
          <t>Основний</t>
        </is>
      </c>
      <c r="V600" s="88" t="n"/>
      <c r="W600" s="88" t="n"/>
      <c r="X600" s="89">
        <f>IFERROR(IF(OR(V600="",W600="",T600=""),"", IF(T600&gt;W600,"Дорогий",IF(T600&lt;V600,"Дешевий","У ринку"))),"")</f>
        <v/>
      </c>
      <c r="Y600" s="90" t="n"/>
      <c r="Z600" s="104">
        <f>CHOOSE(MATCH(IF($U600="","Основний",$U600),{"Трафіковий","Основний","Маржинальний","Сезонний","Стратегічний"},0),0.16,0.19,0.24,0.23,0.28)</f>
        <v/>
      </c>
      <c r="AA600" s="104">
        <f>CHOOSE(MATCH(IF($U600="","Основний",$U600),{"Трафіковий","Основний","Маржинальний","Сезонний","Стратегічний"},0),0.18,0.21,0.26,0.25,0.3)</f>
        <v/>
      </c>
      <c r="AB600" s="104">
        <f>CHOOSE(MATCH(IF($U600="","Основний",$U600),{"Трафіковий","Основний","Маржинальний","Сезонний","Стратегічний"},0),0.19,0.22,0.28,0.26,0.32)</f>
        <v/>
      </c>
      <c r="AC600" s="104">
        <f>CHOOSE(MATCH(IF($U600="","Основний",$U600),{"Трафіковий","Основний","Маржинальний","Сезонний","Стратегічний"},0),0.17,0.2,0.25,0.24,0.28)</f>
        <v/>
      </c>
      <c r="AD600" s="104">
        <f>CHOOSE(MATCH(IF($U600="","Основний",$U600),{"Трафіковий","Основний","Маржинальний","Сезонний","Стратегічний"},0),0.18,0.21,0.26,0.25,0.3)</f>
        <v/>
      </c>
      <c r="AE600" s="104">
        <f>CHOOSE(MATCH(IF($U600="","Основний",$U600),{"Трафіковий","Основний","Маржинальний","Сезонний","Стратегічний"},0),0.18,0.2,0.28,0.27,0.32)</f>
        <v/>
      </c>
      <c r="AF600" s="104">
        <f>CHOOSE(MATCH(IF($U600="","Основний",$U600),{"Трафіковий","Основний","Маржинальний","Сезонний","Стратегічний"},0),0.15,0.175,0.22,0.21,0.25)</f>
        <v/>
      </c>
      <c r="AG600" s="104">
        <f>CHOOSE(MATCH(IF($U600="","Основний",$U600),{"Трафіковий","Основний","Маржинальний","Сезонний","Стратегічний"},0),0.13,0.16,0.21,0.2,0.25)</f>
        <v/>
      </c>
      <c r="AH600" s="104">
        <f>CHOOSE(MATCH(IF($U600="","Основний",$U600),{"Трафіковий","Основний","Маржинальний","Сезонний","Стратегічний"},0),0.15,0.18,0.23,0.22,0.27)</f>
        <v/>
      </c>
      <c r="AI600" s="104">
        <f>CHOOSE(MATCH(IF($U600="","Основний",$U600),{"Трафіковий","Основний","Маржинальний","Сезонний","Стратегічний"},0),0.16,0.19,0.25,0.23,0.29)</f>
        <v/>
      </c>
      <c r="AJ600" s="104">
        <f>CHOOSE(MATCH(IF($U600="","Основний",$U600),{"Трафіковий","Основний","Маржинальний","Сезонний","Стратегічний"},0),0.14,0.17,0.22,0.21,0.25)</f>
        <v/>
      </c>
      <c r="AK600" s="104">
        <f>CHOOSE(MATCH(IF($U600="","Основний",$U600),{"Трафіковий","Основний","Маржинальний","Сезонний","Стратегічний"},0),0.15,0.18,0.23,0.22,0.27)</f>
        <v/>
      </c>
      <c r="AL600" s="104">
        <f>CHOOSE(MATCH(IF($U600="","Основний",$U600),{"Трафіковий","Основний","Маржинальний","Сезонний","Стратегічний"},0),0.15,0.17,0.25,0.24,0.29)</f>
        <v/>
      </c>
      <c r="AM600" s="104">
        <f>CHOOSE(MATCH(IF($U600="","Основний",$U600),{"Трафіковий","Основний","Маржинальний","Сезонний","Стратегічний"},0),0.12,0.145,0.19,0.18,0.22)</f>
        <v/>
      </c>
      <c r="AN600" s="157">
        <f>CHOOSE(MATCH(IF($U600="","Основний",$U600),{"Трафіковий","Основний","Маржинальний","Сезонний","Стратегічний"},0),Settings!$B$78,Settings!$B$80,Settings!$B$82,Settings!$B$84,Settings!$B$86)</f>
        <v/>
      </c>
      <c r="AO600" s="157">
        <f>CHOOSE(MATCH(IF($U600="","Основний",$U600),{"Трафіковий","Основний","Маржинальний","Сезонний","Стратегічний"},0),Settings!$C$78,Settings!$C$80,Settings!$C$82,Settings!$C$84,Settings!$C$86)</f>
        <v/>
      </c>
      <c r="AP600" s="157">
        <f>CHOOSE(MATCH(IF($U600="","Основний",$U600),{"Трафіковий","Основний","Маржинальний","Сезонний","Стратегічний"},0),Settings!$D$78,Settings!$D$80,Settings!$D$82,Settings!$D$84,Settings!$D$86)</f>
        <v/>
      </c>
      <c r="AQ600" s="157">
        <f>CHOOSE(MATCH(IF($U600="","Основний",$U600),{"Трафіковий","Основний","Маржинальний","Сезонний","Стратегічний"},0),Settings!$F$78,Settings!$F$80,Settings!$F$82,Settings!$F$84,Settings!$F$86)</f>
        <v/>
      </c>
      <c r="AR600" s="157">
        <f>CHOOSE(MATCH(IF($U600="","Основний",$U600),{"Трафіковий","Основний","Маржинальний","Сезонний","Стратегічний"},0),Settings!$G$78,Settings!$G$80,Settings!$G$82,Settings!$G$84,Settings!$G$86)</f>
        <v/>
      </c>
      <c r="AS600" s="157">
        <f>CHOOSE(MATCH(IF($U600="","Основний",$U600),{"Трафіковий","Основний","Маржинальний","Сезонний","Стратегічний"},0),Settings!$H$78,Settings!$H$80,Settings!$H$82,Settings!$H$84,Settings!$H$86)</f>
        <v/>
      </c>
      <c r="AT600" s="157">
        <f>CHOOSE(MATCH(IF($U600="","Основний",$U600),{"Трафіковий","Основний","Маржинальний","Сезонний","Стратегічний"},0),Settings!$I$78,Settings!$I$80,Settings!$I$82,Settings!$I$84,Settings!$I$86)</f>
        <v/>
      </c>
      <c r="AU600" s="171" t="n"/>
      <c r="AV600" t="n">
        <v>1.35</v>
      </c>
    </row>
    <row r="601">
      <c r="A601" s="33" t="inlineStr">
        <is>
          <t>NEW</t>
        </is>
      </c>
      <c r="B601" s="34" t="inlineStr">
        <is>
          <t>P57000T</t>
        </is>
      </c>
      <c r="C601" s="34" t="inlineStr">
        <is>
          <t>REPLACEMENT BUTTON FOR DOORBELLS P57101, P57102</t>
        </is>
      </c>
      <c r="D601" s="34" t="inlineStr">
        <is>
          <t>Дверні дзвінки</t>
        </is>
      </c>
      <c r="E601" s="33" t="inlineStr">
        <is>
          <t>PC</t>
        </is>
      </c>
      <c r="F601" s="94" t="n">
        <v>1.048</v>
      </c>
      <c r="G601" s="35" t="n">
        <v>8531900000</v>
      </c>
      <c r="H601" s="31" t="n">
        <v>1.4</v>
      </c>
      <c r="I601" s="84">
        <f>IFERROR(F601*Settings!$B$2*H601*IF(AND(ISNUMBER(E601),E601&gt;1),E601,1),"")</f>
        <v/>
      </c>
      <c r="J601" s="32">
        <f>Settings!$B$66</f>
        <v/>
      </c>
      <c r="K601" s="95">
        <f>IFERROR(IF(T601="","",(T601*(1-AN601)*(1-Settings!$B$17)-I601)/(T601*(1-AN601)*(1-Settings!$B$17))),"")</f>
        <v/>
      </c>
      <c r="L601" s="101">
        <f>IFERROR(IF(T601="","",(T601*(1-AO601)*(1-Settings!$C$17)-I601)/(T601*(1-AO601)*(1-Settings!$C$17))),"")</f>
        <v/>
      </c>
      <c r="M601" s="101">
        <f>IFERROR(IF(T601="","",(T601*(1-AP601)*(1-Settings!$D$17)-I601)/(T601*(1-AP601)*(1-Settings!$D$17))),"")</f>
        <v/>
      </c>
      <c r="N601" s="101">
        <f>IFERROR(IF(T601="","",(T601*(1-AQ601)*(1-Settings!$F$17)-I601)/(T601*(1-AQ601)*(1-Settings!$F$17))),"")</f>
        <v/>
      </c>
      <c r="O601" s="101">
        <f>IFERROR(IF(T601="","",(T601*(1-AR601)*(1-Settings!$G$17)-I601)/(T601*(1-AR601)*(1-Settings!$G$17))),"")</f>
        <v/>
      </c>
      <c r="P601" s="101">
        <f>IFERROR(IF(T601="","",(T601*(1-AS601)*(1-Settings!$H$17)-I601)/(T601*(1-AS601)*(1-Settings!$H$17))),"")</f>
        <v/>
      </c>
      <c r="Q601" s="101">
        <f>IFERROR(IF(T601="","",(T601*(1-AT601)*(1-Settings!$I$68)*(1-Settings!$I$17)-I601)/(T601*(1-AT601)*(1-Settings!$I$68)*(1-Settings!$I$17))),"")</f>
        <v/>
      </c>
      <c r="R601" s="91">
        <f>IFERROR(IF(OR(I601="",Z601&gt;=1,Settings!$B$17&gt;=1,AN601&gt;=1),"",IF(MOD(ROUND(I601/(1-Z601)/(1-Settings!$B$17)/(1-AN601),0),10)=0,ROUND(I601/(1-Z601)/(1-Settings!$B$17)/(1-AN601),0)-1,IF(MOD(ROUND(I601/(1-Z601)/(1-Settings!$B$17)/(1-AN601),0),10)&lt;=5,FLOOR(ROUND(I601/(1-Z601)/(1-Settings!$B$17)/(1-AN601),0),10)+6,FLOOR(ROUND(I601/(1-Z601)/(1-Settings!$B$17)/(1-AN601),0),10)+9))),"")</f>
        <v/>
      </c>
      <c r="S601" s="174">
        <f>R601*0.95</f>
        <v/>
      </c>
      <c r="T601" s="91">
        <f>IF(S601&lt;&gt;"", IF(MOD(S601,10)=0,S601-1,IF(MOD(S601,10)&lt;=5,FLOOR(S601,10)+6,FLOOR(S601,10)+9)), R601)</f>
        <v/>
      </c>
      <c r="U601" s="87" t="inlineStr">
        <is>
          <t>Основний</t>
        </is>
      </c>
      <c r="V601" s="88" t="n"/>
      <c r="W601" s="88" t="n"/>
      <c r="X601" s="89">
        <f>IFERROR(IF(OR(V601="",W601="",T601=""),"", IF(T601&gt;W601,"Дорогий",IF(T601&lt;V601,"Дешевий","У ринку"))),"")</f>
        <v/>
      </c>
      <c r="Y601" s="90" t="n"/>
      <c r="Z601" s="104">
        <f>CHOOSE(MATCH(IF($U601="","Основний",$U601),{"Трафіковий","Основний","Маржинальний","Сезонний","Стратегічний"},0),0.16,0.19,0.24,0.23,0.28)</f>
        <v/>
      </c>
      <c r="AA601" s="104">
        <f>CHOOSE(MATCH(IF($U601="","Основний",$U601),{"Трафіковий","Основний","Маржинальний","Сезонний","Стратегічний"},0),0.18,0.21,0.26,0.25,0.3)</f>
        <v/>
      </c>
      <c r="AB601" s="104">
        <f>CHOOSE(MATCH(IF($U601="","Основний",$U601),{"Трафіковий","Основний","Маржинальний","Сезонний","Стратегічний"},0),0.19,0.22,0.28,0.26,0.32)</f>
        <v/>
      </c>
      <c r="AC601" s="104">
        <f>CHOOSE(MATCH(IF($U601="","Основний",$U601),{"Трафіковий","Основний","Маржинальний","Сезонний","Стратегічний"},0),0.17,0.2,0.25,0.24,0.28)</f>
        <v/>
      </c>
      <c r="AD601" s="104">
        <f>CHOOSE(MATCH(IF($U601="","Основний",$U601),{"Трафіковий","Основний","Маржинальний","Сезонний","Стратегічний"},0),0.18,0.21,0.26,0.25,0.3)</f>
        <v/>
      </c>
      <c r="AE601" s="104">
        <f>CHOOSE(MATCH(IF($U601="","Основний",$U601),{"Трафіковий","Основний","Маржинальний","Сезонний","Стратегічний"},0),0.18,0.2,0.28,0.27,0.32)</f>
        <v/>
      </c>
      <c r="AF601" s="104">
        <f>CHOOSE(MATCH(IF($U601="","Основний",$U601),{"Трафіковий","Основний","Маржинальний","Сезонний","Стратегічний"},0),0.15,0.175,0.22,0.21,0.25)</f>
        <v/>
      </c>
      <c r="AG601" s="104">
        <f>CHOOSE(MATCH(IF($U601="","Основний",$U601),{"Трафіковий","Основний","Маржинальний","Сезонний","Стратегічний"},0),0.13,0.16,0.21,0.2,0.25)</f>
        <v/>
      </c>
      <c r="AH601" s="104">
        <f>CHOOSE(MATCH(IF($U601="","Основний",$U601),{"Трафіковий","Основний","Маржинальний","Сезонний","Стратегічний"},0),0.15,0.18,0.23,0.22,0.27)</f>
        <v/>
      </c>
      <c r="AI601" s="104">
        <f>CHOOSE(MATCH(IF($U601="","Основний",$U601),{"Трафіковий","Основний","Маржинальний","Сезонний","Стратегічний"},0),0.16,0.19,0.25,0.23,0.29)</f>
        <v/>
      </c>
      <c r="AJ601" s="104">
        <f>CHOOSE(MATCH(IF($U601="","Основний",$U601),{"Трафіковий","Основний","Маржинальний","Сезонний","Стратегічний"},0),0.14,0.17,0.22,0.21,0.25)</f>
        <v/>
      </c>
      <c r="AK601" s="104">
        <f>CHOOSE(MATCH(IF($U601="","Основний",$U601),{"Трафіковий","Основний","Маржинальний","Сезонний","Стратегічний"},0),0.15,0.18,0.23,0.22,0.27)</f>
        <v/>
      </c>
      <c r="AL601" s="104">
        <f>CHOOSE(MATCH(IF($U601="","Основний",$U601),{"Трафіковий","Основний","Маржинальний","Сезонний","Стратегічний"},0),0.15,0.17,0.25,0.24,0.29)</f>
        <v/>
      </c>
      <c r="AM601" s="104">
        <f>CHOOSE(MATCH(IF($U601="","Основний",$U601),{"Трафіковий","Основний","Маржинальний","Сезонний","Стратегічний"},0),0.12,0.145,0.19,0.18,0.22)</f>
        <v/>
      </c>
      <c r="AN601" s="157">
        <f>CHOOSE(MATCH(IF($U601="","Основний",$U601),{"Трафіковий","Основний","Маржинальний","Сезонний","Стратегічний"},0),Settings!$B$78,Settings!$B$80,Settings!$B$82,Settings!$B$84,Settings!$B$86)</f>
        <v/>
      </c>
      <c r="AO601" s="157">
        <f>CHOOSE(MATCH(IF($U601="","Основний",$U601),{"Трафіковий","Основний","Маржинальний","Сезонний","Стратегічний"},0),Settings!$C$78,Settings!$C$80,Settings!$C$82,Settings!$C$84,Settings!$C$86)</f>
        <v/>
      </c>
      <c r="AP601" s="157">
        <f>CHOOSE(MATCH(IF($U601="","Основний",$U601),{"Трафіковий","Основний","Маржинальний","Сезонний","Стратегічний"},0),Settings!$D$78,Settings!$D$80,Settings!$D$82,Settings!$D$84,Settings!$D$86)</f>
        <v/>
      </c>
      <c r="AQ601" s="157">
        <f>CHOOSE(MATCH(IF($U601="","Основний",$U601),{"Трафіковий","Основний","Маржинальний","Сезонний","Стратегічний"},0),Settings!$F$78,Settings!$F$80,Settings!$F$82,Settings!$F$84,Settings!$F$86)</f>
        <v/>
      </c>
      <c r="AR601" s="157">
        <f>CHOOSE(MATCH(IF($U601="","Основний",$U601),{"Трафіковий","Основний","Маржинальний","Сезонний","Стратегічний"},0),Settings!$G$78,Settings!$G$80,Settings!$G$82,Settings!$G$84,Settings!$G$86)</f>
        <v/>
      </c>
      <c r="AS601" s="157">
        <f>CHOOSE(MATCH(IF($U601="","Основний",$U601),{"Трафіковий","Основний","Маржинальний","Сезонний","Стратегічний"},0),Settings!$H$78,Settings!$H$80,Settings!$H$82,Settings!$H$84,Settings!$H$86)</f>
        <v/>
      </c>
      <c r="AT601" s="157">
        <f>CHOOSE(MATCH(IF($U601="","Основний",$U601),{"Трафіковий","Основний","Маржинальний","Сезонний","Стратегічний"},0),Settings!$I$78,Settings!$I$80,Settings!$I$82,Settings!$I$84,Settings!$I$86)</f>
        <v/>
      </c>
      <c r="AU601" s="171" t="n"/>
      <c r="AV601" t="n">
        <v>1.35</v>
      </c>
    </row>
    <row r="602">
      <c r="A602" s="28" t="inlineStr">
        <is>
          <t>NEW</t>
        </is>
      </c>
      <c r="B602" s="29" t="inlineStr">
        <is>
          <t>P57101</t>
        </is>
      </c>
      <c r="C602" s="29" t="inlineStr">
        <is>
          <t>WIRED DOORCHIME AC/DC P57101</t>
        </is>
      </c>
      <c r="D602" s="29" t="inlineStr">
        <is>
          <t>Дверні дзвінки</t>
        </is>
      </c>
      <c r="E602" s="28" t="inlineStr">
        <is>
          <t>PC</t>
        </is>
      </c>
      <c r="F602" s="93" t="n">
        <v>3.982</v>
      </c>
      <c r="G602" s="30" t="n">
        <v>8531804090</v>
      </c>
      <c r="H602" s="31" t="n">
        <v>1.4</v>
      </c>
      <c r="I602" s="84">
        <f>IFERROR(F602*Settings!$B$2*H602*IF(AND(ISNUMBER(E602),E602&gt;1),E602,1),"")</f>
        <v/>
      </c>
      <c r="J602" s="32">
        <f>Settings!$B$66</f>
        <v/>
      </c>
      <c r="K602" s="95">
        <f>IFERROR(IF(T602="","",(T602*(1-AN602)*(1-Settings!$B$17)-I602)/(T602*(1-AN602)*(1-Settings!$B$17))),"")</f>
        <v/>
      </c>
      <c r="L602" s="101">
        <f>IFERROR(IF(T602="","",(T602*(1-AO602)*(1-Settings!$C$17)-I602)/(T602*(1-AO602)*(1-Settings!$C$17))),"")</f>
        <v/>
      </c>
      <c r="M602" s="101">
        <f>IFERROR(IF(T602="","",(T602*(1-AP602)*(1-Settings!$D$17)-I602)/(T602*(1-AP602)*(1-Settings!$D$17))),"")</f>
        <v/>
      </c>
      <c r="N602" s="101">
        <f>IFERROR(IF(T602="","",(T602*(1-AQ602)*(1-Settings!$F$17)-I602)/(T602*(1-AQ602)*(1-Settings!$F$17))),"")</f>
        <v/>
      </c>
      <c r="O602" s="101">
        <f>IFERROR(IF(T602="","",(T602*(1-AR602)*(1-Settings!$G$17)-I602)/(T602*(1-AR602)*(1-Settings!$G$17))),"")</f>
        <v/>
      </c>
      <c r="P602" s="101">
        <f>IFERROR(IF(T602="","",(T602*(1-AS602)*(1-Settings!$H$17)-I602)/(T602*(1-AS602)*(1-Settings!$H$17))),"")</f>
        <v/>
      </c>
      <c r="Q602" s="101">
        <f>IFERROR(IF(T602="","",(T602*(1-AT602)*(1-Settings!$I$68)*(1-Settings!$I$17)-I602)/(T602*(1-AT602)*(1-Settings!$I$68)*(1-Settings!$I$17))),"")</f>
        <v/>
      </c>
      <c r="R602" s="91">
        <f>IFERROR(IF(OR(I602="",Z602&gt;=1,Settings!$B$17&gt;=1,AN602&gt;=1),"",IF(MOD(ROUND(I602/(1-Z602)/(1-Settings!$B$17)/(1-AN602),0),10)=0,ROUND(I602/(1-Z602)/(1-Settings!$B$17)/(1-AN602),0)-1,IF(MOD(ROUND(I602/(1-Z602)/(1-Settings!$B$17)/(1-AN602),0),10)&lt;=5,FLOOR(ROUND(I602/(1-Z602)/(1-Settings!$B$17)/(1-AN602),0),10)+6,FLOOR(ROUND(I602/(1-Z602)/(1-Settings!$B$17)/(1-AN602),0),10)+9))),"")</f>
        <v/>
      </c>
      <c r="S602" s="174">
        <f>R602*0.95</f>
        <v/>
      </c>
      <c r="T602" s="91">
        <f>IF(S602&lt;&gt;"", IF(MOD(S602,10)=0,S602-1,IF(MOD(S602,10)&lt;=5,FLOOR(S602,10)+6,FLOOR(S602,10)+9)), R602)</f>
        <v/>
      </c>
      <c r="U602" s="87" t="inlineStr">
        <is>
          <t>Основний</t>
        </is>
      </c>
      <c r="V602" s="88" t="n"/>
      <c r="W602" s="88" t="n"/>
      <c r="X602" s="89">
        <f>IFERROR(IF(OR(V602="",W602="",T602=""),"", IF(T602&gt;W602,"Дорогий",IF(T602&lt;V602,"Дешевий","У ринку"))),"")</f>
        <v/>
      </c>
      <c r="Y602" s="90" t="n"/>
      <c r="Z602" s="104">
        <f>CHOOSE(MATCH(IF($U602="","Основний",$U602),{"Трафіковий","Основний","Маржинальний","Сезонний","Стратегічний"},0),0.16,0.19,0.24,0.23,0.28)</f>
        <v/>
      </c>
      <c r="AA602" s="104">
        <f>CHOOSE(MATCH(IF($U602="","Основний",$U602),{"Трафіковий","Основний","Маржинальний","Сезонний","Стратегічний"},0),0.18,0.21,0.26,0.25,0.3)</f>
        <v/>
      </c>
      <c r="AB602" s="104">
        <f>CHOOSE(MATCH(IF($U602="","Основний",$U602),{"Трафіковий","Основний","Маржинальний","Сезонний","Стратегічний"},0),0.19,0.22,0.28,0.26,0.32)</f>
        <v/>
      </c>
      <c r="AC602" s="104">
        <f>CHOOSE(MATCH(IF($U602="","Основний",$U602),{"Трафіковий","Основний","Маржинальний","Сезонний","Стратегічний"},0),0.17,0.2,0.25,0.24,0.28)</f>
        <v/>
      </c>
      <c r="AD602" s="104">
        <f>CHOOSE(MATCH(IF($U602="","Основний",$U602),{"Трафіковий","Основний","Маржинальний","Сезонний","Стратегічний"},0),0.18,0.21,0.26,0.25,0.3)</f>
        <v/>
      </c>
      <c r="AE602" s="104">
        <f>CHOOSE(MATCH(IF($U602="","Основний",$U602),{"Трафіковий","Основний","Маржинальний","Сезонний","Стратегічний"},0),0.18,0.2,0.28,0.27,0.32)</f>
        <v/>
      </c>
      <c r="AF602" s="104">
        <f>CHOOSE(MATCH(IF($U602="","Основний",$U602),{"Трафіковий","Основний","Маржинальний","Сезонний","Стратегічний"},0),0.15,0.175,0.22,0.21,0.25)</f>
        <v/>
      </c>
      <c r="AG602" s="104">
        <f>CHOOSE(MATCH(IF($U602="","Основний",$U602),{"Трафіковий","Основний","Маржинальний","Сезонний","Стратегічний"},0),0.13,0.16,0.21,0.2,0.25)</f>
        <v/>
      </c>
      <c r="AH602" s="104">
        <f>CHOOSE(MATCH(IF($U602="","Основний",$U602),{"Трафіковий","Основний","Маржинальний","Сезонний","Стратегічний"},0),0.15,0.18,0.23,0.22,0.27)</f>
        <v/>
      </c>
      <c r="AI602" s="104">
        <f>CHOOSE(MATCH(IF($U602="","Основний",$U602),{"Трафіковий","Основний","Маржинальний","Сезонний","Стратегічний"},0),0.16,0.19,0.25,0.23,0.29)</f>
        <v/>
      </c>
      <c r="AJ602" s="104">
        <f>CHOOSE(MATCH(IF($U602="","Основний",$U602),{"Трафіковий","Основний","Маржинальний","Сезонний","Стратегічний"},0),0.14,0.17,0.22,0.21,0.25)</f>
        <v/>
      </c>
      <c r="AK602" s="104">
        <f>CHOOSE(MATCH(IF($U602="","Основний",$U602),{"Трафіковий","Основний","Маржинальний","Сезонний","Стратегічний"},0),0.15,0.18,0.23,0.22,0.27)</f>
        <v/>
      </c>
      <c r="AL602" s="104">
        <f>CHOOSE(MATCH(IF($U602="","Основний",$U602),{"Трафіковий","Основний","Маржинальний","Сезонний","Стратегічний"},0),0.15,0.17,0.25,0.24,0.29)</f>
        <v/>
      </c>
      <c r="AM602" s="104">
        <f>CHOOSE(MATCH(IF($U602="","Основний",$U602),{"Трафіковий","Основний","Маржинальний","Сезонний","Стратегічний"},0),0.12,0.145,0.19,0.18,0.22)</f>
        <v/>
      </c>
      <c r="AN602" s="157">
        <f>CHOOSE(MATCH(IF($U602="","Основний",$U602),{"Трафіковий","Основний","Маржинальний","Сезонний","Стратегічний"},0),Settings!$B$78,Settings!$B$80,Settings!$B$82,Settings!$B$84,Settings!$B$86)</f>
        <v/>
      </c>
      <c r="AO602" s="157">
        <f>CHOOSE(MATCH(IF($U602="","Основний",$U602),{"Трафіковий","Основний","Маржинальний","Сезонний","Стратегічний"},0),Settings!$C$78,Settings!$C$80,Settings!$C$82,Settings!$C$84,Settings!$C$86)</f>
        <v/>
      </c>
      <c r="AP602" s="157">
        <f>CHOOSE(MATCH(IF($U602="","Основний",$U602),{"Трафіковий","Основний","Маржинальний","Сезонний","Стратегічний"},0),Settings!$D$78,Settings!$D$80,Settings!$D$82,Settings!$D$84,Settings!$D$86)</f>
        <v/>
      </c>
      <c r="AQ602" s="157">
        <f>CHOOSE(MATCH(IF($U602="","Основний",$U602),{"Трафіковий","Основний","Маржинальний","Сезонний","Стратегічний"},0),Settings!$F$78,Settings!$F$80,Settings!$F$82,Settings!$F$84,Settings!$F$86)</f>
        <v/>
      </c>
      <c r="AR602" s="157">
        <f>CHOOSE(MATCH(IF($U602="","Основний",$U602),{"Трафіковий","Основний","Маржинальний","Сезонний","Стратегічний"},0),Settings!$G$78,Settings!$G$80,Settings!$G$82,Settings!$G$84,Settings!$G$86)</f>
        <v/>
      </c>
      <c r="AS602" s="157">
        <f>CHOOSE(MATCH(IF($U602="","Основний",$U602),{"Трафіковий","Основний","Маржинальний","Сезонний","Стратегічний"},0),Settings!$H$78,Settings!$H$80,Settings!$H$82,Settings!$H$84,Settings!$H$86)</f>
        <v/>
      </c>
      <c r="AT602" s="157">
        <f>CHOOSE(MATCH(IF($U602="","Основний",$U602),{"Трафіковий","Основний","Маржинальний","Сезонний","Стратегічний"},0),Settings!$I$78,Settings!$I$80,Settings!$I$82,Settings!$I$84,Settings!$I$86)</f>
        <v/>
      </c>
      <c r="AU602" s="171" t="n"/>
      <c r="AV602" t="n">
        <v>1.35</v>
      </c>
    </row>
    <row r="603">
      <c r="A603" s="33" t="inlineStr">
        <is>
          <t>NEW</t>
        </is>
      </c>
      <c r="B603" s="34" t="inlineStr">
        <is>
          <t>P57102</t>
        </is>
      </c>
      <c r="C603" s="34" t="inlineStr">
        <is>
          <t>WIRED DOORCHIME AC/DC P57102</t>
        </is>
      </c>
      <c r="D603" s="34" t="inlineStr">
        <is>
          <t>Дверні дзвінки</t>
        </is>
      </c>
      <c r="E603" s="33" t="inlineStr">
        <is>
          <t>PC</t>
        </is>
      </c>
      <c r="F603" s="94" t="n">
        <v>4.562</v>
      </c>
      <c r="G603" s="35" t="n">
        <v>8531804090</v>
      </c>
      <c r="H603" s="31" t="n">
        <v>1.4</v>
      </c>
      <c r="I603" s="84">
        <f>IFERROR(F603*Settings!$B$2*H603*IF(AND(ISNUMBER(E603),E603&gt;1),E603,1),"")</f>
        <v/>
      </c>
      <c r="J603" s="32">
        <f>Settings!$B$66</f>
        <v/>
      </c>
      <c r="K603" s="95">
        <f>IFERROR(IF(T603="","",(T603*(1-AN603)*(1-Settings!$B$17)-I603)/(T603*(1-AN603)*(1-Settings!$B$17))),"")</f>
        <v/>
      </c>
      <c r="L603" s="101">
        <f>IFERROR(IF(T603="","",(T603*(1-AO603)*(1-Settings!$C$17)-I603)/(T603*(1-AO603)*(1-Settings!$C$17))),"")</f>
        <v/>
      </c>
      <c r="M603" s="101">
        <f>IFERROR(IF(T603="","",(T603*(1-AP603)*(1-Settings!$D$17)-I603)/(T603*(1-AP603)*(1-Settings!$D$17))),"")</f>
        <v/>
      </c>
      <c r="N603" s="101">
        <f>IFERROR(IF(T603="","",(T603*(1-AQ603)*(1-Settings!$F$17)-I603)/(T603*(1-AQ603)*(1-Settings!$F$17))),"")</f>
        <v/>
      </c>
      <c r="O603" s="101">
        <f>IFERROR(IF(T603="","",(T603*(1-AR603)*(1-Settings!$G$17)-I603)/(T603*(1-AR603)*(1-Settings!$G$17))),"")</f>
        <v/>
      </c>
      <c r="P603" s="101">
        <f>IFERROR(IF(T603="","",(T603*(1-AS603)*(1-Settings!$H$17)-I603)/(T603*(1-AS603)*(1-Settings!$H$17))),"")</f>
        <v/>
      </c>
      <c r="Q603" s="101">
        <f>IFERROR(IF(T603="","",(T603*(1-AT603)*(1-Settings!$I$68)*(1-Settings!$I$17)-I603)/(T603*(1-AT603)*(1-Settings!$I$68)*(1-Settings!$I$17))),"")</f>
        <v/>
      </c>
      <c r="R603" s="91">
        <f>IFERROR(IF(OR(I603="",Z603&gt;=1,Settings!$B$17&gt;=1,AN603&gt;=1),"",IF(MOD(ROUND(I603/(1-Z603)/(1-Settings!$B$17)/(1-AN603),0),10)=0,ROUND(I603/(1-Z603)/(1-Settings!$B$17)/(1-AN603),0)-1,IF(MOD(ROUND(I603/(1-Z603)/(1-Settings!$B$17)/(1-AN603),0),10)&lt;=5,FLOOR(ROUND(I603/(1-Z603)/(1-Settings!$B$17)/(1-AN603),0),10)+6,FLOOR(ROUND(I603/(1-Z603)/(1-Settings!$B$17)/(1-AN603),0),10)+9))),"")</f>
        <v/>
      </c>
      <c r="S603" s="174">
        <f>R603*0.95</f>
        <v/>
      </c>
      <c r="T603" s="91">
        <f>IF(S603&lt;&gt;"", IF(MOD(S603,10)=0,S603-1,IF(MOD(S603,10)&lt;=5,FLOOR(S603,10)+6,FLOOR(S603,10)+9)), R603)</f>
        <v/>
      </c>
      <c r="U603" s="87" t="inlineStr">
        <is>
          <t>Основний</t>
        </is>
      </c>
      <c r="V603" s="88" t="n"/>
      <c r="W603" s="88" t="n"/>
      <c r="X603" s="89">
        <f>IFERROR(IF(OR(V603="",W603="",T603=""),"", IF(T603&gt;W603,"Дорогий",IF(T603&lt;V603,"Дешевий","У ринку"))),"")</f>
        <v/>
      </c>
      <c r="Y603" s="90" t="n"/>
      <c r="Z603" s="104">
        <f>CHOOSE(MATCH(IF($U603="","Основний",$U603),{"Трафіковий","Основний","Маржинальний","Сезонний","Стратегічний"},0),0.16,0.19,0.24,0.23,0.28)</f>
        <v/>
      </c>
      <c r="AA603" s="104">
        <f>CHOOSE(MATCH(IF($U603="","Основний",$U603),{"Трафіковий","Основний","Маржинальний","Сезонний","Стратегічний"},0),0.18,0.21,0.26,0.25,0.3)</f>
        <v/>
      </c>
      <c r="AB603" s="104">
        <f>CHOOSE(MATCH(IF($U603="","Основний",$U603),{"Трафіковий","Основний","Маржинальний","Сезонний","Стратегічний"},0),0.19,0.22,0.28,0.26,0.32)</f>
        <v/>
      </c>
      <c r="AC603" s="104">
        <f>CHOOSE(MATCH(IF($U603="","Основний",$U603),{"Трафіковий","Основний","Маржинальний","Сезонний","Стратегічний"},0),0.17,0.2,0.25,0.24,0.28)</f>
        <v/>
      </c>
      <c r="AD603" s="104">
        <f>CHOOSE(MATCH(IF($U603="","Основний",$U603),{"Трафіковий","Основний","Маржинальний","Сезонний","Стратегічний"},0),0.18,0.21,0.26,0.25,0.3)</f>
        <v/>
      </c>
      <c r="AE603" s="104">
        <f>CHOOSE(MATCH(IF($U603="","Основний",$U603),{"Трафіковий","Основний","Маржинальний","Сезонний","Стратегічний"},0),0.18,0.2,0.28,0.27,0.32)</f>
        <v/>
      </c>
      <c r="AF603" s="104">
        <f>CHOOSE(MATCH(IF($U603="","Основний",$U603),{"Трафіковий","Основний","Маржинальний","Сезонний","Стратегічний"},0),0.15,0.175,0.22,0.21,0.25)</f>
        <v/>
      </c>
      <c r="AG603" s="104">
        <f>CHOOSE(MATCH(IF($U603="","Основний",$U603),{"Трафіковий","Основний","Маржинальний","Сезонний","Стратегічний"},0),0.13,0.16,0.21,0.2,0.25)</f>
        <v/>
      </c>
      <c r="AH603" s="104">
        <f>CHOOSE(MATCH(IF($U603="","Основний",$U603),{"Трафіковий","Основний","Маржинальний","Сезонний","Стратегічний"},0),0.15,0.18,0.23,0.22,0.27)</f>
        <v/>
      </c>
      <c r="AI603" s="104">
        <f>CHOOSE(MATCH(IF($U603="","Основний",$U603),{"Трафіковий","Основний","Маржинальний","Сезонний","Стратегічний"},0),0.16,0.19,0.25,0.23,0.29)</f>
        <v/>
      </c>
      <c r="AJ603" s="104">
        <f>CHOOSE(MATCH(IF($U603="","Основний",$U603),{"Трафіковий","Основний","Маржинальний","Сезонний","Стратегічний"},0),0.14,0.17,0.22,0.21,0.25)</f>
        <v/>
      </c>
      <c r="AK603" s="104">
        <f>CHOOSE(MATCH(IF($U603="","Основний",$U603),{"Трафіковий","Основний","Маржинальний","Сезонний","Стратегічний"},0),0.15,0.18,0.23,0.22,0.27)</f>
        <v/>
      </c>
      <c r="AL603" s="104">
        <f>CHOOSE(MATCH(IF($U603="","Основний",$U603),{"Трафіковий","Основний","Маржинальний","Сезонний","Стратегічний"},0),0.15,0.17,0.25,0.24,0.29)</f>
        <v/>
      </c>
      <c r="AM603" s="104">
        <f>CHOOSE(MATCH(IF($U603="","Основний",$U603),{"Трафіковий","Основний","Маржинальний","Сезонний","Стратегічний"},0),0.12,0.145,0.19,0.18,0.22)</f>
        <v/>
      </c>
      <c r="AN603" s="157">
        <f>CHOOSE(MATCH(IF($U603="","Основний",$U603),{"Трафіковий","Основний","Маржинальний","Сезонний","Стратегічний"},0),Settings!$B$78,Settings!$B$80,Settings!$B$82,Settings!$B$84,Settings!$B$86)</f>
        <v/>
      </c>
      <c r="AO603" s="157">
        <f>CHOOSE(MATCH(IF($U603="","Основний",$U603),{"Трафіковий","Основний","Маржинальний","Сезонний","Стратегічний"},0),Settings!$C$78,Settings!$C$80,Settings!$C$82,Settings!$C$84,Settings!$C$86)</f>
        <v/>
      </c>
      <c r="AP603" s="157">
        <f>CHOOSE(MATCH(IF($U603="","Основний",$U603),{"Трафіковий","Основний","Маржинальний","Сезонний","Стратегічний"},0),Settings!$D$78,Settings!$D$80,Settings!$D$82,Settings!$D$84,Settings!$D$86)</f>
        <v/>
      </c>
      <c r="AQ603" s="157">
        <f>CHOOSE(MATCH(IF($U603="","Основний",$U603),{"Трафіковий","Основний","Маржинальний","Сезонний","Стратегічний"},0),Settings!$F$78,Settings!$F$80,Settings!$F$82,Settings!$F$84,Settings!$F$86)</f>
        <v/>
      </c>
      <c r="AR603" s="157">
        <f>CHOOSE(MATCH(IF($U603="","Основний",$U603),{"Трафіковий","Основний","Маржинальний","Сезонний","Стратегічний"},0),Settings!$G$78,Settings!$G$80,Settings!$G$82,Settings!$G$84,Settings!$G$86)</f>
        <v/>
      </c>
      <c r="AS603" s="157">
        <f>CHOOSE(MATCH(IF($U603="","Основний",$U603),{"Трафіковий","Основний","Маржинальний","Сезонний","Стратегічний"},0),Settings!$H$78,Settings!$H$80,Settings!$H$82,Settings!$H$84,Settings!$H$86)</f>
        <v/>
      </c>
      <c r="AT603" s="157">
        <f>CHOOSE(MATCH(IF($U603="","Основний",$U603),{"Трафіковий","Основний","Маржинальний","Сезонний","Стратегічний"},0),Settings!$I$78,Settings!$I$80,Settings!$I$82,Settings!$I$84,Settings!$I$86)</f>
        <v/>
      </c>
      <c r="AU603" s="171" t="n"/>
      <c r="AV603" t="n">
        <v>1.35</v>
      </c>
    </row>
    <row r="604">
      <c r="A604" s="28" t="inlineStr">
        <is>
          <t>NEW</t>
        </is>
      </c>
      <c r="B604" s="29" t="inlineStr">
        <is>
          <t>P57103</t>
        </is>
      </c>
      <c r="C604" s="29" t="inlineStr">
        <is>
          <t>WIRELESS/WIRED DOORCHIME AC P57103</t>
        </is>
      </c>
      <c r="D604" s="29" t="inlineStr">
        <is>
          <t>Дверні дзвінки</t>
        </is>
      </c>
      <c r="E604" s="28" t="inlineStr">
        <is>
          <t>PC</t>
        </is>
      </c>
      <c r="F604" s="93" t="n">
        <v>7.993</v>
      </c>
      <c r="G604" s="30" t="n">
        <v>8531804090</v>
      </c>
      <c r="H604" s="31" t="n">
        <v>1.4</v>
      </c>
      <c r="I604" s="84">
        <f>IFERROR(F604*Settings!$B$2*H604*IF(AND(ISNUMBER(E604),E604&gt;1),E604,1),"")</f>
        <v/>
      </c>
      <c r="J604" s="32">
        <f>Settings!$B$66</f>
        <v/>
      </c>
      <c r="K604" s="95">
        <f>IFERROR(IF(T604="","",(T604*(1-AN604)*(1-Settings!$B$17)-I604)/(T604*(1-AN604)*(1-Settings!$B$17))),"")</f>
        <v/>
      </c>
      <c r="L604" s="101">
        <f>IFERROR(IF(T604="","",(T604*(1-AO604)*(1-Settings!$C$17)-I604)/(T604*(1-AO604)*(1-Settings!$C$17))),"")</f>
        <v/>
      </c>
      <c r="M604" s="101">
        <f>IFERROR(IF(T604="","",(T604*(1-AP604)*(1-Settings!$D$17)-I604)/(T604*(1-AP604)*(1-Settings!$D$17))),"")</f>
        <v/>
      </c>
      <c r="N604" s="101">
        <f>IFERROR(IF(T604="","",(T604*(1-AQ604)*(1-Settings!$F$17)-I604)/(T604*(1-AQ604)*(1-Settings!$F$17))),"")</f>
        <v/>
      </c>
      <c r="O604" s="101">
        <f>IFERROR(IF(T604="","",(T604*(1-AR604)*(1-Settings!$G$17)-I604)/(T604*(1-AR604)*(1-Settings!$G$17))),"")</f>
        <v/>
      </c>
      <c r="P604" s="101">
        <f>IFERROR(IF(T604="","",(T604*(1-AS604)*(1-Settings!$H$17)-I604)/(T604*(1-AS604)*(1-Settings!$H$17))),"")</f>
        <v/>
      </c>
      <c r="Q604" s="101">
        <f>IFERROR(IF(T604="","",(T604*(1-AT604)*(1-Settings!$I$68)*(1-Settings!$I$17)-I604)/(T604*(1-AT604)*(1-Settings!$I$68)*(1-Settings!$I$17))),"")</f>
        <v/>
      </c>
      <c r="R604" s="91">
        <f>IFERROR(IF(OR(I604="",Z604&gt;=1,Settings!$B$17&gt;=1,AN604&gt;=1),"",IF(MOD(ROUND(I604/(1-Z604)/(1-Settings!$B$17)/(1-AN604),0),10)=0,ROUND(I604/(1-Z604)/(1-Settings!$B$17)/(1-AN604),0)-1,IF(MOD(ROUND(I604/(1-Z604)/(1-Settings!$B$17)/(1-AN604),0),10)&lt;=5,FLOOR(ROUND(I604/(1-Z604)/(1-Settings!$B$17)/(1-AN604),0),10)+6,FLOOR(ROUND(I604/(1-Z604)/(1-Settings!$B$17)/(1-AN604),0),10)+9))),"")</f>
        <v/>
      </c>
      <c r="S604" s="174">
        <f>R604*0.95</f>
        <v/>
      </c>
      <c r="T604" s="91">
        <f>IF(S604&lt;&gt;"", IF(MOD(S604,10)=0,S604-1,IF(MOD(S604,10)&lt;=5,FLOOR(S604,10)+6,FLOOR(S604,10)+9)), R604)</f>
        <v/>
      </c>
      <c r="U604" s="87" t="inlineStr">
        <is>
          <t>Основний</t>
        </is>
      </c>
      <c r="V604" s="88" t="n"/>
      <c r="W604" s="88" t="n"/>
      <c r="X604" s="89">
        <f>IFERROR(IF(OR(V604="",W604="",T604=""),"", IF(T604&gt;W604,"Дорогий",IF(T604&lt;V604,"Дешевий","У ринку"))),"")</f>
        <v/>
      </c>
      <c r="Y604" s="90" t="n"/>
      <c r="Z604" s="104">
        <f>CHOOSE(MATCH(IF($U604="","Основний",$U604),{"Трафіковий","Основний","Маржинальний","Сезонний","Стратегічний"},0),0.16,0.19,0.24,0.23,0.28)</f>
        <v/>
      </c>
      <c r="AA604" s="104">
        <f>CHOOSE(MATCH(IF($U604="","Основний",$U604),{"Трафіковий","Основний","Маржинальний","Сезонний","Стратегічний"},0),0.18,0.21,0.26,0.25,0.3)</f>
        <v/>
      </c>
      <c r="AB604" s="104">
        <f>CHOOSE(MATCH(IF($U604="","Основний",$U604),{"Трафіковий","Основний","Маржинальний","Сезонний","Стратегічний"},0),0.19,0.22,0.28,0.26,0.32)</f>
        <v/>
      </c>
      <c r="AC604" s="104">
        <f>CHOOSE(MATCH(IF($U604="","Основний",$U604),{"Трафіковий","Основний","Маржинальний","Сезонний","Стратегічний"},0),0.17,0.2,0.25,0.24,0.28)</f>
        <v/>
      </c>
      <c r="AD604" s="104">
        <f>CHOOSE(MATCH(IF($U604="","Основний",$U604),{"Трафіковий","Основний","Маржинальний","Сезонний","Стратегічний"},0),0.18,0.21,0.26,0.25,0.3)</f>
        <v/>
      </c>
      <c r="AE604" s="104">
        <f>CHOOSE(MATCH(IF($U604="","Основний",$U604),{"Трафіковий","Основний","Маржинальний","Сезонний","Стратегічний"},0),0.18,0.2,0.28,0.27,0.32)</f>
        <v/>
      </c>
      <c r="AF604" s="104">
        <f>CHOOSE(MATCH(IF($U604="","Основний",$U604),{"Трафіковий","Основний","Маржинальний","Сезонний","Стратегічний"},0),0.15,0.175,0.22,0.21,0.25)</f>
        <v/>
      </c>
      <c r="AG604" s="104">
        <f>CHOOSE(MATCH(IF($U604="","Основний",$U604),{"Трафіковий","Основний","Маржинальний","Сезонний","Стратегічний"},0),0.13,0.16,0.21,0.2,0.25)</f>
        <v/>
      </c>
      <c r="AH604" s="104">
        <f>CHOOSE(MATCH(IF($U604="","Основний",$U604),{"Трафіковий","Основний","Маржинальний","Сезонний","Стратегічний"},0),0.15,0.18,0.23,0.22,0.27)</f>
        <v/>
      </c>
      <c r="AI604" s="104">
        <f>CHOOSE(MATCH(IF($U604="","Основний",$U604),{"Трафіковий","Основний","Маржинальний","Сезонний","Стратегічний"},0),0.16,0.19,0.25,0.23,0.29)</f>
        <v/>
      </c>
      <c r="AJ604" s="104">
        <f>CHOOSE(MATCH(IF($U604="","Основний",$U604),{"Трафіковий","Основний","Маржинальний","Сезонний","Стратегічний"},0),0.14,0.17,0.22,0.21,0.25)</f>
        <v/>
      </c>
      <c r="AK604" s="104">
        <f>CHOOSE(MATCH(IF($U604="","Основний",$U604),{"Трафіковий","Основний","Маржинальний","Сезонний","Стратегічний"},0),0.15,0.18,0.23,0.22,0.27)</f>
        <v/>
      </c>
      <c r="AL604" s="104">
        <f>CHOOSE(MATCH(IF($U604="","Основний",$U604),{"Трафіковий","Основний","Маржинальний","Сезонний","Стратегічний"},0),0.15,0.17,0.25,0.24,0.29)</f>
        <v/>
      </c>
      <c r="AM604" s="104">
        <f>CHOOSE(MATCH(IF($U604="","Основний",$U604),{"Трафіковий","Основний","Маржинальний","Сезонний","Стратегічний"},0),0.12,0.145,0.19,0.18,0.22)</f>
        <v/>
      </c>
      <c r="AN604" s="157">
        <f>CHOOSE(MATCH(IF($U604="","Основний",$U604),{"Трафіковий","Основний","Маржинальний","Сезонний","Стратегічний"},0),Settings!$B$78,Settings!$B$80,Settings!$B$82,Settings!$B$84,Settings!$B$86)</f>
        <v/>
      </c>
      <c r="AO604" s="157">
        <f>CHOOSE(MATCH(IF($U604="","Основний",$U604),{"Трафіковий","Основний","Маржинальний","Сезонний","Стратегічний"},0),Settings!$C$78,Settings!$C$80,Settings!$C$82,Settings!$C$84,Settings!$C$86)</f>
        <v/>
      </c>
      <c r="AP604" s="157">
        <f>CHOOSE(MATCH(IF($U604="","Основний",$U604),{"Трафіковий","Основний","Маржинальний","Сезонний","Стратегічний"},0),Settings!$D$78,Settings!$D$80,Settings!$D$82,Settings!$D$84,Settings!$D$86)</f>
        <v/>
      </c>
      <c r="AQ604" s="157">
        <f>CHOOSE(MATCH(IF($U604="","Основний",$U604),{"Трафіковий","Основний","Маржинальний","Сезонний","Стратегічний"},0),Settings!$F$78,Settings!$F$80,Settings!$F$82,Settings!$F$84,Settings!$F$86)</f>
        <v/>
      </c>
      <c r="AR604" s="157">
        <f>CHOOSE(MATCH(IF($U604="","Основний",$U604),{"Трафіковий","Основний","Маржинальний","Сезонний","Стратегічний"},0),Settings!$G$78,Settings!$G$80,Settings!$G$82,Settings!$G$84,Settings!$G$86)</f>
        <v/>
      </c>
      <c r="AS604" s="157">
        <f>CHOOSE(MATCH(IF($U604="","Основний",$U604),{"Трафіковий","Основний","Маржинальний","Сезонний","Стратегічний"},0),Settings!$H$78,Settings!$H$80,Settings!$H$82,Settings!$H$84,Settings!$H$86)</f>
        <v/>
      </c>
      <c r="AT604" s="157">
        <f>CHOOSE(MATCH(IF($U604="","Основний",$U604),{"Трафіковий","Основний","Маржинальний","Сезонний","Стратегічний"},0),Settings!$I$78,Settings!$I$80,Settings!$I$82,Settings!$I$84,Settings!$I$86)</f>
        <v/>
      </c>
      <c r="AU604" s="171" t="n"/>
      <c r="AV604" t="n">
        <v>1.35</v>
      </c>
    </row>
    <row r="605">
      <c r="A605" s="33" t="inlineStr">
        <is>
          <t>NEW</t>
        </is>
      </c>
      <c r="B605" s="34" t="inlineStr">
        <is>
          <t>P57104</t>
        </is>
      </c>
      <c r="C605" s="34" t="inlineStr">
        <is>
          <t>WIRED DOORCHIME AC/DC P57104</t>
        </is>
      </c>
      <c r="D605" s="34" t="inlineStr">
        <is>
          <t>Дверні дзвінки</t>
        </is>
      </c>
      <c r="E605" s="33" t="inlineStr">
        <is>
          <t>PC</t>
        </is>
      </c>
      <c r="F605" s="94" t="n">
        <v>4.538</v>
      </c>
      <c r="G605" s="35" t="n">
        <v>8531804090</v>
      </c>
      <c r="H605" s="31" t="n">
        <v>1.4</v>
      </c>
      <c r="I605" s="84">
        <f>IFERROR(F605*Settings!$B$2*H605*IF(AND(ISNUMBER(E605),E605&gt;1),E605,1),"")</f>
        <v/>
      </c>
      <c r="J605" s="32">
        <f>Settings!$B$66</f>
        <v/>
      </c>
      <c r="K605" s="95">
        <f>IFERROR(IF(T605="","",(T605*(1-AN605)*(1-Settings!$B$17)-I605)/(T605*(1-AN605)*(1-Settings!$B$17))),"")</f>
        <v/>
      </c>
      <c r="L605" s="101">
        <f>IFERROR(IF(T605="","",(T605*(1-AO605)*(1-Settings!$C$17)-I605)/(T605*(1-AO605)*(1-Settings!$C$17))),"")</f>
        <v/>
      </c>
      <c r="M605" s="101">
        <f>IFERROR(IF(T605="","",(T605*(1-AP605)*(1-Settings!$D$17)-I605)/(T605*(1-AP605)*(1-Settings!$D$17))),"")</f>
        <v/>
      </c>
      <c r="N605" s="101">
        <f>IFERROR(IF(T605="","",(T605*(1-AQ605)*(1-Settings!$F$17)-I605)/(T605*(1-AQ605)*(1-Settings!$F$17))),"")</f>
        <v/>
      </c>
      <c r="O605" s="101">
        <f>IFERROR(IF(T605="","",(T605*(1-AR605)*(1-Settings!$G$17)-I605)/(T605*(1-AR605)*(1-Settings!$G$17))),"")</f>
        <v/>
      </c>
      <c r="P605" s="101">
        <f>IFERROR(IF(T605="","",(T605*(1-AS605)*(1-Settings!$H$17)-I605)/(T605*(1-AS605)*(1-Settings!$H$17))),"")</f>
        <v/>
      </c>
      <c r="Q605" s="101">
        <f>IFERROR(IF(T605="","",(T605*(1-AT605)*(1-Settings!$I$68)*(1-Settings!$I$17)-I605)/(T605*(1-AT605)*(1-Settings!$I$68)*(1-Settings!$I$17))),"")</f>
        <v/>
      </c>
      <c r="R605" s="91">
        <f>IFERROR(IF(OR(I605="",Z605&gt;=1,Settings!$B$17&gt;=1,AN605&gt;=1),"",IF(MOD(ROUND(I605/(1-Z605)/(1-Settings!$B$17)/(1-AN605),0),10)=0,ROUND(I605/(1-Z605)/(1-Settings!$B$17)/(1-AN605),0)-1,IF(MOD(ROUND(I605/(1-Z605)/(1-Settings!$B$17)/(1-AN605),0),10)&lt;=5,FLOOR(ROUND(I605/(1-Z605)/(1-Settings!$B$17)/(1-AN605),0),10)+6,FLOOR(ROUND(I605/(1-Z605)/(1-Settings!$B$17)/(1-AN605),0),10)+9))),"")</f>
        <v/>
      </c>
      <c r="S605" s="174">
        <f>R605*0.95</f>
        <v/>
      </c>
      <c r="T605" s="91">
        <f>IF(S605&lt;&gt;"", IF(MOD(S605,10)=0,S605-1,IF(MOD(S605,10)&lt;=5,FLOOR(S605,10)+6,FLOOR(S605,10)+9)), R605)</f>
        <v/>
      </c>
      <c r="U605" s="87" t="inlineStr">
        <is>
          <t>Основний</t>
        </is>
      </c>
      <c r="V605" s="88" t="n"/>
      <c r="W605" s="88" t="n"/>
      <c r="X605" s="89">
        <f>IFERROR(IF(OR(V605="",W605="",T605=""),"", IF(T605&gt;W605,"Дорогий",IF(T605&lt;V605,"Дешевий","У ринку"))),"")</f>
        <v/>
      </c>
      <c r="Y605" s="90" t="n"/>
      <c r="Z605" s="104">
        <f>CHOOSE(MATCH(IF($U605="","Основний",$U605),{"Трафіковий","Основний","Маржинальний","Сезонний","Стратегічний"},0),0.16,0.19,0.24,0.23,0.28)</f>
        <v/>
      </c>
      <c r="AA605" s="104">
        <f>CHOOSE(MATCH(IF($U605="","Основний",$U605),{"Трафіковий","Основний","Маржинальний","Сезонний","Стратегічний"},0),0.18,0.21,0.26,0.25,0.3)</f>
        <v/>
      </c>
      <c r="AB605" s="104">
        <f>CHOOSE(MATCH(IF($U605="","Основний",$U605),{"Трафіковий","Основний","Маржинальний","Сезонний","Стратегічний"},0),0.19,0.22,0.28,0.26,0.32)</f>
        <v/>
      </c>
      <c r="AC605" s="104">
        <f>CHOOSE(MATCH(IF($U605="","Основний",$U605),{"Трафіковий","Основний","Маржинальний","Сезонний","Стратегічний"},0),0.17,0.2,0.25,0.24,0.28)</f>
        <v/>
      </c>
      <c r="AD605" s="104">
        <f>CHOOSE(MATCH(IF($U605="","Основний",$U605),{"Трафіковий","Основний","Маржинальний","Сезонний","Стратегічний"},0),0.18,0.21,0.26,0.25,0.3)</f>
        <v/>
      </c>
      <c r="AE605" s="104">
        <f>CHOOSE(MATCH(IF($U605="","Основний",$U605),{"Трафіковий","Основний","Маржинальний","Сезонний","Стратегічний"},0),0.18,0.2,0.28,0.27,0.32)</f>
        <v/>
      </c>
      <c r="AF605" s="104">
        <f>CHOOSE(MATCH(IF($U605="","Основний",$U605),{"Трафіковий","Основний","Маржинальний","Сезонний","Стратегічний"},0),0.15,0.175,0.22,0.21,0.25)</f>
        <v/>
      </c>
      <c r="AG605" s="104">
        <f>CHOOSE(MATCH(IF($U605="","Основний",$U605),{"Трафіковий","Основний","Маржинальний","Сезонний","Стратегічний"},0),0.13,0.16,0.21,0.2,0.25)</f>
        <v/>
      </c>
      <c r="AH605" s="104">
        <f>CHOOSE(MATCH(IF($U605="","Основний",$U605),{"Трафіковий","Основний","Маржинальний","Сезонний","Стратегічний"},0),0.15,0.18,0.23,0.22,0.27)</f>
        <v/>
      </c>
      <c r="AI605" s="104">
        <f>CHOOSE(MATCH(IF($U605="","Основний",$U605),{"Трафіковий","Основний","Маржинальний","Сезонний","Стратегічний"},0),0.16,0.19,0.25,0.23,0.29)</f>
        <v/>
      </c>
      <c r="AJ605" s="104">
        <f>CHOOSE(MATCH(IF($U605="","Основний",$U605),{"Трафіковий","Основний","Маржинальний","Сезонний","Стратегічний"},0),0.14,0.17,0.22,0.21,0.25)</f>
        <v/>
      </c>
      <c r="AK605" s="104">
        <f>CHOOSE(MATCH(IF($U605="","Основний",$U605),{"Трафіковий","Основний","Маржинальний","Сезонний","Стратегічний"},0),0.15,0.18,0.23,0.22,0.27)</f>
        <v/>
      </c>
      <c r="AL605" s="104">
        <f>CHOOSE(MATCH(IF($U605="","Основний",$U605),{"Трафіковий","Основний","Маржинальний","Сезонний","Стратегічний"},0),0.15,0.17,0.25,0.24,0.29)</f>
        <v/>
      </c>
      <c r="AM605" s="104">
        <f>CHOOSE(MATCH(IF($U605="","Основний",$U605),{"Трафіковий","Основний","Маржинальний","Сезонний","Стратегічний"},0),0.12,0.145,0.19,0.18,0.22)</f>
        <v/>
      </c>
      <c r="AN605" s="157">
        <f>CHOOSE(MATCH(IF($U605="","Основний",$U605),{"Трафіковий","Основний","Маржинальний","Сезонний","Стратегічний"},0),Settings!$B$78,Settings!$B$80,Settings!$B$82,Settings!$B$84,Settings!$B$86)</f>
        <v/>
      </c>
      <c r="AO605" s="157">
        <f>CHOOSE(MATCH(IF($U605="","Основний",$U605),{"Трафіковий","Основний","Маржинальний","Сезонний","Стратегічний"},0),Settings!$C$78,Settings!$C$80,Settings!$C$82,Settings!$C$84,Settings!$C$86)</f>
        <v/>
      </c>
      <c r="AP605" s="157">
        <f>CHOOSE(MATCH(IF($U605="","Основний",$U605),{"Трафіковий","Основний","Маржинальний","Сезонний","Стратегічний"},0),Settings!$D$78,Settings!$D$80,Settings!$D$82,Settings!$D$84,Settings!$D$86)</f>
        <v/>
      </c>
      <c r="AQ605" s="157">
        <f>CHOOSE(MATCH(IF($U605="","Основний",$U605),{"Трафіковий","Основний","Маржинальний","Сезонний","Стратегічний"},0),Settings!$F$78,Settings!$F$80,Settings!$F$82,Settings!$F$84,Settings!$F$86)</f>
        <v/>
      </c>
      <c r="AR605" s="157">
        <f>CHOOSE(MATCH(IF($U605="","Основний",$U605),{"Трафіковий","Основний","Маржинальний","Сезонний","Стратегічний"},0),Settings!$G$78,Settings!$G$80,Settings!$G$82,Settings!$G$84,Settings!$G$86)</f>
        <v/>
      </c>
      <c r="AS605" s="157">
        <f>CHOOSE(MATCH(IF($U605="","Основний",$U605),{"Трафіковий","Основний","Маржинальний","Сезонний","Стратегічний"},0),Settings!$H$78,Settings!$H$80,Settings!$H$82,Settings!$H$84,Settings!$H$86)</f>
        <v/>
      </c>
      <c r="AT605" s="157">
        <f>CHOOSE(MATCH(IF($U605="","Основний",$U605),{"Трафіковий","Основний","Маржинальний","Сезонний","Стратегічний"},0),Settings!$I$78,Settings!$I$80,Settings!$I$82,Settings!$I$84,Settings!$I$86)</f>
        <v/>
      </c>
      <c r="AU605" s="171" t="n"/>
      <c r="AV605" t="n">
        <v>1.35</v>
      </c>
    </row>
    <row r="606">
      <c r="A606" s="28" t="inlineStr">
        <is>
          <t>NEW</t>
        </is>
      </c>
      <c r="B606" s="29" t="inlineStr">
        <is>
          <t>P5760N</t>
        </is>
      </c>
      <c r="C606" s="29" t="inlineStr">
        <is>
          <t>WIRELESS DOORCHIME&amp;REPEATER AC</t>
        </is>
      </c>
      <c r="D606" s="29" t="inlineStr">
        <is>
          <t>Дверні дзвінки</t>
        </is>
      </c>
      <c r="E606" s="28" t="inlineStr">
        <is>
          <t>PC</t>
        </is>
      </c>
      <c r="F606" s="93" t="n">
        <v>12.192</v>
      </c>
      <c r="G606" s="30" t="n">
        <v>8531804090</v>
      </c>
      <c r="H606" s="31" t="n">
        <v>1.4</v>
      </c>
      <c r="I606" s="84">
        <f>IFERROR(F606*Settings!$B$2*H606*IF(AND(ISNUMBER(E606),E606&gt;1),E606,1),"")</f>
        <v/>
      </c>
      <c r="J606" s="32">
        <f>Settings!$B$66</f>
        <v/>
      </c>
      <c r="K606" s="95">
        <f>IFERROR(IF(T606="","",(T606*(1-AN606)*(1-Settings!$B$17)-I606)/(T606*(1-AN606)*(1-Settings!$B$17))),"")</f>
        <v/>
      </c>
      <c r="L606" s="101">
        <f>IFERROR(IF(T606="","",(T606*(1-AO606)*(1-Settings!$C$17)-I606)/(T606*(1-AO606)*(1-Settings!$C$17))),"")</f>
        <v/>
      </c>
      <c r="M606" s="101">
        <f>IFERROR(IF(T606="","",(T606*(1-AP606)*(1-Settings!$D$17)-I606)/(T606*(1-AP606)*(1-Settings!$D$17))),"")</f>
        <v/>
      </c>
      <c r="N606" s="101">
        <f>IFERROR(IF(T606="","",(T606*(1-AQ606)*(1-Settings!$F$17)-I606)/(T606*(1-AQ606)*(1-Settings!$F$17))),"")</f>
        <v/>
      </c>
      <c r="O606" s="101">
        <f>IFERROR(IF(T606="","",(T606*(1-AR606)*(1-Settings!$G$17)-I606)/(T606*(1-AR606)*(1-Settings!$G$17))),"")</f>
        <v/>
      </c>
      <c r="P606" s="101">
        <f>IFERROR(IF(T606="","",(T606*(1-AS606)*(1-Settings!$H$17)-I606)/(T606*(1-AS606)*(1-Settings!$H$17))),"")</f>
        <v/>
      </c>
      <c r="Q606" s="101">
        <f>IFERROR(IF(T606="","",(T606*(1-AT606)*(1-Settings!$I$68)*(1-Settings!$I$17)-I606)/(T606*(1-AT606)*(1-Settings!$I$68)*(1-Settings!$I$17))),"")</f>
        <v/>
      </c>
      <c r="R606" s="91">
        <f>IFERROR(IF(OR(I606="",Z606&gt;=1,Settings!$B$17&gt;=1,AN606&gt;=1),"",IF(MOD(ROUND(I606/(1-Z606)/(1-Settings!$B$17)/(1-AN606),0),10)=0,ROUND(I606/(1-Z606)/(1-Settings!$B$17)/(1-AN606),0)-1,IF(MOD(ROUND(I606/(1-Z606)/(1-Settings!$B$17)/(1-AN606),0),10)&lt;=5,FLOOR(ROUND(I606/(1-Z606)/(1-Settings!$B$17)/(1-AN606),0),10)+6,FLOOR(ROUND(I606/(1-Z606)/(1-Settings!$B$17)/(1-AN606),0),10)+9))),"")</f>
        <v/>
      </c>
      <c r="S606" s="174">
        <f>R606*0.95</f>
        <v/>
      </c>
      <c r="T606" s="91">
        <f>IF(S606&lt;&gt;"", IF(MOD(S606,10)=0,S606-1,IF(MOD(S606,10)&lt;=5,FLOOR(S606,10)+6,FLOOR(S606,10)+9)), R606)</f>
        <v/>
      </c>
      <c r="U606" s="87" t="inlineStr">
        <is>
          <t>Основний</t>
        </is>
      </c>
      <c r="V606" s="88" t="n"/>
      <c r="W606" s="88" t="n"/>
      <c r="X606" s="89">
        <f>IFERROR(IF(OR(V606="",W606="",T606=""),"", IF(T606&gt;W606,"Дорогий",IF(T606&lt;V606,"Дешевий","У ринку"))),"")</f>
        <v/>
      </c>
      <c r="Y606" s="90" t="n"/>
      <c r="Z606" s="104">
        <f>CHOOSE(MATCH(IF($U606="","Основний",$U606),{"Трафіковий","Основний","Маржинальний","Сезонний","Стратегічний"},0),0.16,0.19,0.24,0.23,0.28)</f>
        <v/>
      </c>
      <c r="AA606" s="104">
        <f>CHOOSE(MATCH(IF($U606="","Основний",$U606),{"Трафіковий","Основний","Маржинальний","Сезонний","Стратегічний"},0),0.18,0.21,0.26,0.25,0.3)</f>
        <v/>
      </c>
      <c r="AB606" s="104">
        <f>CHOOSE(MATCH(IF($U606="","Основний",$U606),{"Трафіковий","Основний","Маржинальний","Сезонний","Стратегічний"},0),0.19,0.22,0.28,0.26,0.32)</f>
        <v/>
      </c>
      <c r="AC606" s="104">
        <f>CHOOSE(MATCH(IF($U606="","Основний",$U606),{"Трафіковий","Основний","Маржинальний","Сезонний","Стратегічний"},0),0.17,0.2,0.25,0.24,0.28)</f>
        <v/>
      </c>
      <c r="AD606" s="104">
        <f>CHOOSE(MATCH(IF($U606="","Основний",$U606),{"Трафіковий","Основний","Маржинальний","Сезонний","Стратегічний"},0),0.18,0.21,0.26,0.25,0.3)</f>
        <v/>
      </c>
      <c r="AE606" s="104">
        <f>CHOOSE(MATCH(IF($U606="","Основний",$U606),{"Трафіковий","Основний","Маржинальний","Сезонний","Стратегічний"},0),0.18,0.2,0.28,0.27,0.32)</f>
        <v/>
      </c>
      <c r="AF606" s="104">
        <f>CHOOSE(MATCH(IF($U606="","Основний",$U606),{"Трафіковий","Основний","Маржинальний","Сезонний","Стратегічний"},0),0.15,0.175,0.22,0.21,0.25)</f>
        <v/>
      </c>
      <c r="AG606" s="104">
        <f>CHOOSE(MATCH(IF($U606="","Основний",$U606),{"Трафіковий","Основний","Маржинальний","Сезонний","Стратегічний"},0),0.13,0.16,0.21,0.2,0.25)</f>
        <v/>
      </c>
      <c r="AH606" s="104">
        <f>CHOOSE(MATCH(IF($U606="","Основний",$U606),{"Трафіковий","Основний","Маржинальний","Сезонний","Стратегічний"},0),0.15,0.18,0.23,0.22,0.27)</f>
        <v/>
      </c>
      <c r="AI606" s="104">
        <f>CHOOSE(MATCH(IF($U606="","Основний",$U606),{"Трафіковий","Основний","Маржинальний","Сезонний","Стратегічний"},0),0.16,0.19,0.25,0.23,0.29)</f>
        <v/>
      </c>
      <c r="AJ606" s="104">
        <f>CHOOSE(MATCH(IF($U606="","Основний",$U606),{"Трафіковий","Основний","Маржинальний","Сезонний","Стратегічний"},0),0.14,0.17,0.22,0.21,0.25)</f>
        <v/>
      </c>
      <c r="AK606" s="104">
        <f>CHOOSE(MATCH(IF($U606="","Основний",$U606),{"Трафіковий","Основний","Маржинальний","Сезонний","Стратегічний"},0),0.15,0.18,0.23,0.22,0.27)</f>
        <v/>
      </c>
      <c r="AL606" s="104">
        <f>CHOOSE(MATCH(IF($U606="","Основний",$U606),{"Трафіковий","Основний","Маржинальний","Сезонний","Стратегічний"},0),0.15,0.17,0.25,0.24,0.29)</f>
        <v/>
      </c>
      <c r="AM606" s="104">
        <f>CHOOSE(MATCH(IF($U606="","Основний",$U606),{"Трафіковий","Основний","Маржинальний","Сезонний","Стратегічний"},0),0.12,0.145,0.19,0.18,0.22)</f>
        <v/>
      </c>
      <c r="AN606" s="157">
        <f>CHOOSE(MATCH(IF($U606="","Основний",$U606),{"Трафіковий","Основний","Маржинальний","Сезонний","Стратегічний"},0),Settings!$B$78,Settings!$B$80,Settings!$B$82,Settings!$B$84,Settings!$B$86)</f>
        <v/>
      </c>
      <c r="AO606" s="157">
        <f>CHOOSE(MATCH(IF($U606="","Основний",$U606),{"Трафіковий","Основний","Маржинальний","Сезонний","Стратегічний"},0),Settings!$C$78,Settings!$C$80,Settings!$C$82,Settings!$C$84,Settings!$C$86)</f>
        <v/>
      </c>
      <c r="AP606" s="157">
        <f>CHOOSE(MATCH(IF($U606="","Основний",$U606),{"Трафіковий","Основний","Маржинальний","Сезонний","Стратегічний"},0),Settings!$D$78,Settings!$D$80,Settings!$D$82,Settings!$D$84,Settings!$D$86)</f>
        <v/>
      </c>
      <c r="AQ606" s="157">
        <f>CHOOSE(MATCH(IF($U606="","Основний",$U606),{"Трафіковий","Основний","Маржинальний","Сезонний","Стратегічний"},0),Settings!$F$78,Settings!$F$80,Settings!$F$82,Settings!$F$84,Settings!$F$86)</f>
        <v/>
      </c>
      <c r="AR606" s="157">
        <f>CHOOSE(MATCH(IF($U606="","Основний",$U606),{"Трафіковий","Основний","Маржинальний","Сезонний","Стратегічний"},0),Settings!$G$78,Settings!$G$80,Settings!$G$82,Settings!$G$84,Settings!$G$86)</f>
        <v/>
      </c>
      <c r="AS606" s="157">
        <f>CHOOSE(MATCH(IF($U606="","Основний",$U606),{"Трафіковий","Основний","Маржинальний","Сезонний","Стратегічний"},0),Settings!$H$78,Settings!$H$80,Settings!$H$82,Settings!$H$84,Settings!$H$86)</f>
        <v/>
      </c>
      <c r="AT606" s="157">
        <f>CHOOSE(MATCH(IF($U606="","Основний",$U606),{"Трафіковий","Основний","Маржинальний","Сезонний","Стратегічний"},0),Settings!$I$78,Settings!$I$80,Settings!$I$82,Settings!$I$84,Settings!$I$86)</f>
        <v/>
      </c>
      <c r="AU606" s="171" t="n"/>
      <c r="AV606" t="n">
        <v>1.35</v>
      </c>
    </row>
    <row r="607">
      <c r="A607" s="33" t="inlineStr">
        <is>
          <t>SELL OUT</t>
        </is>
      </c>
      <c r="B607" s="34" t="inlineStr">
        <is>
          <t>P5763</t>
        </is>
      </c>
      <c r="C607" s="34" t="inlineStr">
        <is>
          <t>WIRELESS DOORCHIME &amp; REPEATER</t>
        </is>
      </c>
      <c r="D607" s="34" t="inlineStr">
        <is>
          <t>Дверні дзвінки</t>
        </is>
      </c>
      <c r="E607" s="33" t="inlineStr">
        <is>
          <t>PC</t>
        </is>
      </c>
      <c r="F607" s="94" t="n">
        <v>7.892</v>
      </c>
      <c r="G607" s="35" t="n">
        <v>8531804090</v>
      </c>
      <c r="H607" s="31" t="n">
        <v>1.4</v>
      </c>
      <c r="I607" s="84">
        <f>IFERROR(F607*Settings!$B$2*H607*IF(AND(ISNUMBER(E607),E607&gt;1),E607,1),"")</f>
        <v/>
      </c>
      <c r="J607" s="32">
        <f>Settings!$B$66</f>
        <v/>
      </c>
      <c r="K607" s="95">
        <f>IFERROR(IF(T607="","",(T607*(1-AN607)*(1-Settings!$B$17)-I607)/(T607*(1-AN607)*(1-Settings!$B$17))),"")</f>
        <v/>
      </c>
      <c r="L607" s="101">
        <f>IFERROR(IF(T607="","",(T607*(1-AO607)*(1-Settings!$C$17)-I607)/(T607*(1-AO607)*(1-Settings!$C$17))),"")</f>
        <v/>
      </c>
      <c r="M607" s="101">
        <f>IFERROR(IF(T607="","",(T607*(1-AP607)*(1-Settings!$D$17)-I607)/(T607*(1-AP607)*(1-Settings!$D$17))),"")</f>
        <v/>
      </c>
      <c r="N607" s="101">
        <f>IFERROR(IF(T607="","",(T607*(1-AQ607)*(1-Settings!$F$17)-I607)/(T607*(1-AQ607)*(1-Settings!$F$17))),"")</f>
        <v/>
      </c>
      <c r="O607" s="101">
        <f>IFERROR(IF(T607="","",(T607*(1-AR607)*(1-Settings!$G$17)-I607)/(T607*(1-AR607)*(1-Settings!$G$17))),"")</f>
        <v/>
      </c>
      <c r="P607" s="101">
        <f>IFERROR(IF(T607="","",(T607*(1-AS607)*(1-Settings!$H$17)-I607)/(T607*(1-AS607)*(1-Settings!$H$17))),"")</f>
        <v/>
      </c>
      <c r="Q607" s="101">
        <f>IFERROR(IF(T607="","",(T607*(1-AT607)*(1-Settings!$I$68)*(1-Settings!$I$17)-I607)/(T607*(1-AT607)*(1-Settings!$I$68)*(1-Settings!$I$17))),"")</f>
        <v/>
      </c>
      <c r="R607" s="91">
        <f>IFERROR(IF(OR(I607="",Z607&gt;=1,Settings!$B$17&gt;=1,AN607&gt;=1),"",IF(MOD(ROUND(I607/(1-Z607)/(1-Settings!$B$17)/(1-AN607),0),10)=0,ROUND(I607/(1-Z607)/(1-Settings!$B$17)/(1-AN607),0)-1,IF(MOD(ROUND(I607/(1-Z607)/(1-Settings!$B$17)/(1-AN607),0),10)&lt;=5,FLOOR(ROUND(I607/(1-Z607)/(1-Settings!$B$17)/(1-AN607),0),10)+6,FLOOR(ROUND(I607/(1-Z607)/(1-Settings!$B$17)/(1-AN607),0),10)+9))),"")</f>
        <v/>
      </c>
      <c r="S607" s="174">
        <f>R607*0.95</f>
        <v/>
      </c>
      <c r="T607" s="91">
        <f>IF(S607&lt;&gt;"", IF(MOD(S607,10)=0,S607-1,IF(MOD(S607,10)&lt;=5,FLOOR(S607,10)+6,FLOOR(S607,10)+9)), R607)</f>
        <v/>
      </c>
      <c r="U607" s="87" t="inlineStr">
        <is>
          <t>Основний</t>
        </is>
      </c>
      <c r="V607" s="88" t="n"/>
      <c r="W607" s="88" t="n"/>
      <c r="X607" s="89">
        <f>IFERROR(IF(OR(V607="",W607="",T607=""),"", IF(T607&gt;W607,"Дорогий",IF(T607&lt;V607,"Дешевий","У ринку"))),"")</f>
        <v/>
      </c>
      <c r="Y607" s="90" t="n"/>
      <c r="Z607" s="104">
        <f>CHOOSE(MATCH(IF($U607="","Основний",$U607),{"Трафіковий","Основний","Маржинальний","Сезонний","Стратегічний"},0),0.16,0.19,0.24,0.23,0.28)</f>
        <v/>
      </c>
      <c r="AA607" s="104">
        <f>CHOOSE(MATCH(IF($U607="","Основний",$U607),{"Трафіковий","Основний","Маржинальний","Сезонний","Стратегічний"},0),0.18,0.21,0.26,0.25,0.3)</f>
        <v/>
      </c>
      <c r="AB607" s="104">
        <f>CHOOSE(MATCH(IF($U607="","Основний",$U607),{"Трафіковий","Основний","Маржинальний","Сезонний","Стратегічний"},0),0.19,0.22,0.28,0.26,0.32)</f>
        <v/>
      </c>
      <c r="AC607" s="104">
        <f>CHOOSE(MATCH(IF($U607="","Основний",$U607),{"Трафіковий","Основний","Маржинальний","Сезонний","Стратегічний"},0),0.17,0.2,0.25,0.24,0.28)</f>
        <v/>
      </c>
      <c r="AD607" s="104">
        <f>CHOOSE(MATCH(IF($U607="","Основний",$U607),{"Трафіковий","Основний","Маржинальний","Сезонний","Стратегічний"},0),0.18,0.21,0.26,0.25,0.3)</f>
        <v/>
      </c>
      <c r="AE607" s="104">
        <f>CHOOSE(MATCH(IF($U607="","Основний",$U607),{"Трафіковий","Основний","Маржинальний","Сезонний","Стратегічний"},0),0.18,0.2,0.28,0.27,0.32)</f>
        <v/>
      </c>
      <c r="AF607" s="104">
        <f>CHOOSE(MATCH(IF($U607="","Основний",$U607),{"Трафіковий","Основний","Маржинальний","Сезонний","Стратегічний"},0),0.15,0.175,0.22,0.21,0.25)</f>
        <v/>
      </c>
      <c r="AG607" s="104">
        <f>CHOOSE(MATCH(IF($U607="","Основний",$U607),{"Трафіковий","Основний","Маржинальний","Сезонний","Стратегічний"},0),0.13,0.16,0.21,0.2,0.25)</f>
        <v/>
      </c>
      <c r="AH607" s="104">
        <f>CHOOSE(MATCH(IF($U607="","Основний",$U607),{"Трафіковий","Основний","Маржинальний","Сезонний","Стратегічний"},0),0.15,0.18,0.23,0.22,0.27)</f>
        <v/>
      </c>
      <c r="AI607" s="104">
        <f>CHOOSE(MATCH(IF($U607="","Основний",$U607),{"Трафіковий","Основний","Маржинальний","Сезонний","Стратегічний"},0),0.16,0.19,0.25,0.23,0.29)</f>
        <v/>
      </c>
      <c r="AJ607" s="104">
        <f>CHOOSE(MATCH(IF($U607="","Основний",$U607),{"Трафіковий","Основний","Маржинальний","Сезонний","Стратегічний"},0),0.14,0.17,0.22,0.21,0.25)</f>
        <v/>
      </c>
      <c r="AK607" s="104">
        <f>CHOOSE(MATCH(IF($U607="","Основний",$U607),{"Трафіковий","Основний","Маржинальний","Сезонний","Стратегічний"},0),0.15,0.18,0.23,0.22,0.27)</f>
        <v/>
      </c>
      <c r="AL607" s="104">
        <f>CHOOSE(MATCH(IF($U607="","Основний",$U607),{"Трафіковий","Основний","Маржинальний","Сезонний","Стратегічний"},0),0.15,0.17,0.25,0.24,0.29)</f>
        <v/>
      </c>
      <c r="AM607" s="104">
        <f>CHOOSE(MATCH(IF($U607="","Основний",$U607),{"Трафіковий","Основний","Маржинальний","Сезонний","Стратегічний"},0),0.12,0.145,0.19,0.18,0.22)</f>
        <v/>
      </c>
      <c r="AN607" s="157">
        <f>CHOOSE(MATCH(IF($U607="","Основний",$U607),{"Трафіковий","Основний","Маржинальний","Сезонний","Стратегічний"},0),Settings!$B$78,Settings!$B$80,Settings!$B$82,Settings!$B$84,Settings!$B$86)</f>
        <v/>
      </c>
      <c r="AO607" s="157">
        <f>CHOOSE(MATCH(IF($U607="","Основний",$U607),{"Трафіковий","Основний","Маржинальний","Сезонний","Стратегічний"},0),Settings!$C$78,Settings!$C$80,Settings!$C$82,Settings!$C$84,Settings!$C$86)</f>
        <v/>
      </c>
      <c r="AP607" s="157">
        <f>CHOOSE(MATCH(IF($U607="","Основний",$U607),{"Трафіковий","Основний","Маржинальний","Сезонний","Стратегічний"},0),Settings!$D$78,Settings!$D$80,Settings!$D$82,Settings!$D$84,Settings!$D$86)</f>
        <v/>
      </c>
      <c r="AQ607" s="157">
        <f>CHOOSE(MATCH(IF($U607="","Основний",$U607),{"Трафіковий","Основний","Маржинальний","Сезонний","Стратегічний"},0),Settings!$F$78,Settings!$F$80,Settings!$F$82,Settings!$F$84,Settings!$F$86)</f>
        <v/>
      </c>
      <c r="AR607" s="157">
        <f>CHOOSE(MATCH(IF($U607="","Основний",$U607),{"Трафіковий","Основний","Маржинальний","Сезонний","Стратегічний"},0),Settings!$G$78,Settings!$G$80,Settings!$G$82,Settings!$G$84,Settings!$G$86)</f>
        <v/>
      </c>
      <c r="AS607" s="157">
        <f>CHOOSE(MATCH(IF($U607="","Основний",$U607),{"Трафіковий","Основний","Маржинальний","Сезонний","Стратегічний"},0),Settings!$H$78,Settings!$H$80,Settings!$H$82,Settings!$H$84,Settings!$H$86)</f>
        <v/>
      </c>
      <c r="AT607" s="157">
        <f>CHOOSE(MATCH(IF($U607="","Основний",$U607),{"Трафіковий","Основний","Маржинальний","Сезонний","Стратегічний"},0),Settings!$I$78,Settings!$I$80,Settings!$I$82,Settings!$I$84,Settings!$I$86)</f>
        <v/>
      </c>
      <c r="AU607" s="171" t="n"/>
      <c r="AV607" t="n">
        <v>1.35</v>
      </c>
    </row>
    <row r="608">
      <c r="A608" s="28" t="inlineStr">
        <is>
          <t>NEW</t>
        </is>
      </c>
      <c r="B608" s="29" t="inlineStr">
        <is>
          <t>P5763N</t>
        </is>
      </c>
      <c r="C608" s="29" t="inlineStr">
        <is>
          <t>WIRELESS DOORCHIME &amp; REPEATER</t>
        </is>
      </c>
      <c r="D608" s="29" t="inlineStr">
        <is>
          <t>Дверні дзвінки</t>
        </is>
      </c>
      <c r="E608" s="28" t="inlineStr">
        <is>
          <t>PC</t>
        </is>
      </c>
      <c r="F608" s="93" t="n">
        <v>8.390000000000001</v>
      </c>
      <c r="G608" s="30" t="n">
        <v>8531804090</v>
      </c>
      <c r="H608" s="31" t="n">
        <v>1.4</v>
      </c>
      <c r="I608" s="84">
        <f>IFERROR(F608*Settings!$B$2*H608*IF(AND(ISNUMBER(E608),E608&gt;1),E608,1),"")</f>
        <v/>
      </c>
      <c r="J608" s="32">
        <f>Settings!$B$66</f>
        <v/>
      </c>
      <c r="K608" s="95">
        <f>IFERROR(IF(T608="","",(T608*(1-AN608)*(1-Settings!$B$17)-I608)/(T608*(1-AN608)*(1-Settings!$B$17))),"")</f>
        <v/>
      </c>
      <c r="L608" s="101">
        <f>IFERROR(IF(T608="","",(T608*(1-AO608)*(1-Settings!$C$17)-I608)/(T608*(1-AO608)*(1-Settings!$C$17))),"")</f>
        <v/>
      </c>
      <c r="M608" s="101">
        <f>IFERROR(IF(T608="","",(T608*(1-AP608)*(1-Settings!$D$17)-I608)/(T608*(1-AP608)*(1-Settings!$D$17))),"")</f>
        <v/>
      </c>
      <c r="N608" s="101">
        <f>IFERROR(IF(T608="","",(T608*(1-AQ608)*(1-Settings!$F$17)-I608)/(T608*(1-AQ608)*(1-Settings!$F$17))),"")</f>
        <v/>
      </c>
      <c r="O608" s="101">
        <f>IFERROR(IF(T608="","",(T608*(1-AR608)*(1-Settings!$G$17)-I608)/(T608*(1-AR608)*(1-Settings!$G$17))),"")</f>
        <v/>
      </c>
      <c r="P608" s="101">
        <f>IFERROR(IF(T608="","",(T608*(1-AS608)*(1-Settings!$H$17)-I608)/(T608*(1-AS608)*(1-Settings!$H$17))),"")</f>
        <v/>
      </c>
      <c r="Q608" s="101">
        <f>IFERROR(IF(T608="","",(T608*(1-AT608)*(1-Settings!$I$68)*(1-Settings!$I$17)-I608)/(T608*(1-AT608)*(1-Settings!$I$68)*(1-Settings!$I$17))),"")</f>
        <v/>
      </c>
      <c r="R608" s="91">
        <f>IFERROR(IF(OR(I608="",Z608&gt;=1,Settings!$B$17&gt;=1,AN608&gt;=1),"",IF(MOD(ROUND(I608/(1-Z608)/(1-Settings!$B$17)/(1-AN608),0),10)=0,ROUND(I608/(1-Z608)/(1-Settings!$B$17)/(1-AN608),0)-1,IF(MOD(ROUND(I608/(1-Z608)/(1-Settings!$B$17)/(1-AN608),0),10)&lt;=5,FLOOR(ROUND(I608/(1-Z608)/(1-Settings!$B$17)/(1-AN608),0),10)+6,FLOOR(ROUND(I608/(1-Z608)/(1-Settings!$B$17)/(1-AN608),0),10)+9))),"")</f>
        <v/>
      </c>
      <c r="S608" s="174">
        <f>R608*0.95</f>
        <v/>
      </c>
      <c r="T608" s="91">
        <f>IF(S608&lt;&gt;"", IF(MOD(S608,10)=0,S608-1,IF(MOD(S608,10)&lt;=5,FLOOR(S608,10)+6,FLOOR(S608,10)+9)), R608)</f>
        <v/>
      </c>
      <c r="U608" s="87" t="inlineStr">
        <is>
          <t>Основний</t>
        </is>
      </c>
      <c r="V608" s="88" t="n"/>
      <c r="W608" s="88" t="n"/>
      <c r="X608" s="89">
        <f>IFERROR(IF(OR(V608="",W608="",T608=""),"", IF(T608&gt;W608,"Дорогий",IF(T608&lt;V608,"Дешевий","У ринку"))),"")</f>
        <v/>
      </c>
      <c r="Y608" s="90" t="n"/>
      <c r="Z608" s="104">
        <f>CHOOSE(MATCH(IF($U608="","Основний",$U608),{"Трафіковий","Основний","Маржинальний","Сезонний","Стратегічний"},0),0.16,0.19,0.24,0.23,0.28)</f>
        <v/>
      </c>
      <c r="AA608" s="104">
        <f>CHOOSE(MATCH(IF($U608="","Основний",$U608),{"Трафіковий","Основний","Маржинальний","Сезонний","Стратегічний"},0),0.18,0.21,0.26,0.25,0.3)</f>
        <v/>
      </c>
      <c r="AB608" s="104">
        <f>CHOOSE(MATCH(IF($U608="","Основний",$U608),{"Трафіковий","Основний","Маржинальний","Сезонний","Стратегічний"},0),0.19,0.22,0.28,0.26,0.32)</f>
        <v/>
      </c>
      <c r="AC608" s="104">
        <f>CHOOSE(MATCH(IF($U608="","Основний",$U608),{"Трафіковий","Основний","Маржинальний","Сезонний","Стратегічний"},0),0.17,0.2,0.25,0.24,0.28)</f>
        <v/>
      </c>
      <c r="AD608" s="104">
        <f>CHOOSE(MATCH(IF($U608="","Основний",$U608),{"Трафіковий","Основний","Маржинальний","Сезонний","Стратегічний"},0),0.18,0.21,0.26,0.25,0.3)</f>
        <v/>
      </c>
      <c r="AE608" s="104">
        <f>CHOOSE(MATCH(IF($U608="","Основний",$U608),{"Трафіковий","Основний","Маржинальний","Сезонний","Стратегічний"},0),0.18,0.2,0.28,0.27,0.32)</f>
        <v/>
      </c>
      <c r="AF608" s="104">
        <f>CHOOSE(MATCH(IF($U608="","Основний",$U608),{"Трафіковий","Основний","Маржинальний","Сезонний","Стратегічний"},0),0.15,0.175,0.22,0.21,0.25)</f>
        <v/>
      </c>
      <c r="AG608" s="104">
        <f>CHOOSE(MATCH(IF($U608="","Основний",$U608),{"Трафіковий","Основний","Маржинальний","Сезонний","Стратегічний"},0),0.13,0.16,0.21,0.2,0.25)</f>
        <v/>
      </c>
      <c r="AH608" s="104">
        <f>CHOOSE(MATCH(IF($U608="","Основний",$U608),{"Трафіковий","Основний","Маржинальний","Сезонний","Стратегічний"},0),0.15,0.18,0.23,0.22,0.27)</f>
        <v/>
      </c>
      <c r="AI608" s="104">
        <f>CHOOSE(MATCH(IF($U608="","Основний",$U608),{"Трафіковий","Основний","Маржинальний","Сезонний","Стратегічний"},0),0.16,0.19,0.25,0.23,0.29)</f>
        <v/>
      </c>
      <c r="AJ608" s="104">
        <f>CHOOSE(MATCH(IF($U608="","Основний",$U608),{"Трафіковий","Основний","Маржинальний","Сезонний","Стратегічний"},0),0.14,0.17,0.22,0.21,0.25)</f>
        <v/>
      </c>
      <c r="AK608" s="104">
        <f>CHOOSE(MATCH(IF($U608="","Основний",$U608),{"Трафіковий","Основний","Маржинальний","Сезонний","Стратегічний"},0),0.15,0.18,0.23,0.22,0.27)</f>
        <v/>
      </c>
      <c r="AL608" s="104">
        <f>CHOOSE(MATCH(IF($U608="","Основний",$U608),{"Трафіковий","Основний","Маржинальний","Сезонний","Стратегічний"},0),0.15,0.17,0.25,0.24,0.29)</f>
        <v/>
      </c>
      <c r="AM608" s="104">
        <f>CHOOSE(MATCH(IF($U608="","Основний",$U608),{"Трафіковий","Основний","Маржинальний","Сезонний","Стратегічний"},0),0.12,0.145,0.19,0.18,0.22)</f>
        <v/>
      </c>
      <c r="AN608" s="157">
        <f>CHOOSE(MATCH(IF($U608="","Основний",$U608),{"Трафіковий","Основний","Маржинальний","Сезонний","Стратегічний"},0),Settings!$B$78,Settings!$B$80,Settings!$B$82,Settings!$B$84,Settings!$B$86)</f>
        <v/>
      </c>
      <c r="AO608" s="157">
        <f>CHOOSE(MATCH(IF($U608="","Основний",$U608),{"Трафіковий","Основний","Маржинальний","Сезонний","Стратегічний"},0),Settings!$C$78,Settings!$C$80,Settings!$C$82,Settings!$C$84,Settings!$C$86)</f>
        <v/>
      </c>
      <c r="AP608" s="157">
        <f>CHOOSE(MATCH(IF($U608="","Основний",$U608),{"Трафіковий","Основний","Маржинальний","Сезонний","Стратегічний"},0),Settings!$D$78,Settings!$D$80,Settings!$D$82,Settings!$D$84,Settings!$D$86)</f>
        <v/>
      </c>
      <c r="AQ608" s="157">
        <f>CHOOSE(MATCH(IF($U608="","Основний",$U608),{"Трафіковий","Основний","Маржинальний","Сезонний","Стратегічний"},0),Settings!$F$78,Settings!$F$80,Settings!$F$82,Settings!$F$84,Settings!$F$86)</f>
        <v/>
      </c>
      <c r="AR608" s="157">
        <f>CHOOSE(MATCH(IF($U608="","Основний",$U608),{"Трафіковий","Основний","Маржинальний","Сезонний","Стратегічний"},0),Settings!$G$78,Settings!$G$80,Settings!$G$82,Settings!$G$84,Settings!$G$86)</f>
        <v/>
      </c>
      <c r="AS608" s="157">
        <f>CHOOSE(MATCH(IF($U608="","Основний",$U608),{"Трафіковий","Основний","Маржинальний","Сезонний","Стратегічний"},0),Settings!$H$78,Settings!$H$80,Settings!$H$82,Settings!$H$84,Settings!$H$86)</f>
        <v/>
      </c>
      <c r="AT608" s="157">
        <f>CHOOSE(MATCH(IF($U608="","Основний",$U608),{"Трафіковий","Основний","Маржинальний","Сезонний","Стратегічний"},0),Settings!$I$78,Settings!$I$80,Settings!$I$82,Settings!$I$84,Settings!$I$86)</f>
        <v/>
      </c>
      <c r="AU608" s="171" t="n"/>
      <c r="AV608" t="n">
        <v>1.35</v>
      </c>
    </row>
    <row r="609">
      <c r="A609" s="33" t="inlineStr">
        <is>
          <t>SELL OUT</t>
        </is>
      </c>
      <c r="B609" s="34" t="inlineStr">
        <is>
          <t>P5763R</t>
        </is>
      </c>
      <c r="C609" s="34" t="inlineStr">
        <is>
          <t>SPARE DOORCHIME &amp; REPEATER DC</t>
        </is>
      </c>
      <c r="D609" s="34" t="inlineStr">
        <is>
          <t>Дверні дзвінки</t>
        </is>
      </c>
      <c r="E609" s="33" t="inlineStr">
        <is>
          <t>PC</t>
        </is>
      </c>
      <c r="F609" s="94" t="n">
        <v>5.933</v>
      </c>
      <c r="G609" s="35" t="n">
        <v>8531804090</v>
      </c>
      <c r="H609" s="31" t="n">
        <v>1.4</v>
      </c>
      <c r="I609" s="84">
        <f>IFERROR(F609*Settings!$B$2*H609*IF(AND(ISNUMBER(E609),E609&gt;1),E609,1),"")</f>
        <v/>
      </c>
      <c r="J609" s="32">
        <f>Settings!$B$66</f>
        <v/>
      </c>
      <c r="K609" s="95">
        <f>IFERROR(IF(T609="","",(T609*(1-AN609)*(1-Settings!$B$17)-I609)/(T609*(1-AN609)*(1-Settings!$B$17))),"")</f>
        <v/>
      </c>
      <c r="L609" s="101">
        <f>IFERROR(IF(T609="","",(T609*(1-AO609)*(1-Settings!$C$17)-I609)/(T609*(1-AO609)*(1-Settings!$C$17))),"")</f>
        <v/>
      </c>
      <c r="M609" s="101">
        <f>IFERROR(IF(T609="","",(T609*(1-AP609)*(1-Settings!$D$17)-I609)/(T609*(1-AP609)*(1-Settings!$D$17))),"")</f>
        <v/>
      </c>
      <c r="N609" s="101">
        <f>IFERROR(IF(T609="","",(T609*(1-AQ609)*(1-Settings!$F$17)-I609)/(T609*(1-AQ609)*(1-Settings!$F$17))),"")</f>
        <v/>
      </c>
      <c r="O609" s="101">
        <f>IFERROR(IF(T609="","",(T609*(1-AR609)*(1-Settings!$G$17)-I609)/(T609*(1-AR609)*(1-Settings!$G$17))),"")</f>
        <v/>
      </c>
      <c r="P609" s="101">
        <f>IFERROR(IF(T609="","",(T609*(1-AS609)*(1-Settings!$H$17)-I609)/(T609*(1-AS609)*(1-Settings!$H$17))),"")</f>
        <v/>
      </c>
      <c r="Q609" s="101">
        <f>IFERROR(IF(T609="","",(T609*(1-AT609)*(1-Settings!$I$68)*(1-Settings!$I$17)-I609)/(T609*(1-AT609)*(1-Settings!$I$68)*(1-Settings!$I$17))),"")</f>
        <v/>
      </c>
      <c r="R609" s="91">
        <f>IFERROR(IF(OR(I609="",Z609&gt;=1,Settings!$B$17&gt;=1,AN609&gt;=1),"",IF(MOD(ROUND(I609/(1-Z609)/(1-Settings!$B$17)/(1-AN609),0),10)=0,ROUND(I609/(1-Z609)/(1-Settings!$B$17)/(1-AN609),0)-1,IF(MOD(ROUND(I609/(1-Z609)/(1-Settings!$B$17)/(1-AN609),0),10)&lt;=5,FLOOR(ROUND(I609/(1-Z609)/(1-Settings!$B$17)/(1-AN609),0),10)+6,FLOOR(ROUND(I609/(1-Z609)/(1-Settings!$B$17)/(1-AN609),0),10)+9))),"")</f>
        <v/>
      </c>
      <c r="S609" s="174">
        <f>R609*0.95</f>
        <v/>
      </c>
      <c r="T609" s="91">
        <f>IF(S609&lt;&gt;"", IF(MOD(S609,10)=0,S609-1,IF(MOD(S609,10)&lt;=5,FLOOR(S609,10)+6,FLOOR(S609,10)+9)), R609)</f>
        <v/>
      </c>
      <c r="U609" s="87" t="inlineStr">
        <is>
          <t>Основний</t>
        </is>
      </c>
      <c r="V609" s="88" t="n"/>
      <c r="W609" s="88" t="n"/>
      <c r="X609" s="89">
        <f>IFERROR(IF(OR(V609="",W609="",T609=""),"", IF(T609&gt;W609,"Дорогий",IF(T609&lt;V609,"Дешевий","У ринку"))),"")</f>
        <v/>
      </c>
      <c r="Y609" s="90" t="n"/>
      <c r="Z609" s="104">
        <f>CHOOSE(MATCH(IF($U609="","Основний",$U609),{"Трафіковий","Основний","Маржинальний","Сезонний","Стратегічний"},0),0.16,0.19,0.24,0.23,0.28)</f>
        <v/>
      </c>
      <c r="AA609" s="104">
        <f>CHOOSE(MATCH(IF($U609="","Основний",$U609),{"Трафіковий","Основний","Маржинальний","Сезонний","Стратегічний"},0),0.18,0.21,0.26,0.25,0.3)</f>
        <v/>
      </c>
      <c r="AB609" s="104">
        <f>CHOOSE(MATCH(IF($U609="","Основний",$U609),{"Трафіковий","Основний","Маржинальний","Сезонний","Стратегічний"},0),0.19,0.22,0.28,0.26,0.32)</f>
        <v/>
      </c>
      <c r="AC609" s="104">
        <f>CHOOSE(MATCH(IF($U609="","Основний",$U609),{"Трафіковий","Основний","Маржинальний","Сезонний","Стратегічний"},0),0.17,0.2,0.25,0.24,0.28)</f>
        <v/>
      </c>
      <c r="AD609" s="104">
        <f>CHOOSE(MATCH(IF($U609="","Основний",$U609),{"Трафіковий","Основний","Маржинальний","Сезонний","Стратегічний"},0),0.18,0.21,0.26,0.25,0.3)</f>
        <v/>
      </c>
      <c r="AE609" s="104">
        <f>CHOOSE(MATCH(IF($U609="","Основний",$U609),{"Трафіковий","Основний","Маржинальний","Сезонний","Стратегічний"},0),0.18,0.2,0.28,0.27,0.32)</f>
        <v/>
      </c>
      <c r="AF609" s="104">
        <f>CHOOSE(MATCH(IF($U609="","Основний",$U609),{"Трафіковий","Основний","Маржинальний","Сезонний","Стратегічний"},0),0.15,0.175,0.22,0.21,0.25)</f>
        <v/>
      </c>
      <c r="AG609" s="104">
        <f>CHOOSE(MATCH(IF($U609="","Основний",$U609),{"Трафіковий","Основний","Маржинальний","Сезонний","Стратегічний"},0),0.13,0.16,0.21,0.2,0.25)</f>
        <v/>
      </c>
      <c r="AH609" s="104">
        <f>CHOOSE(MATCH(IF($U609="","Основний",$U609),{"Трафіковий","Основний","Маржинальний","Сезонний","Стратегічний"},0),0.15,0.18,0.23,0.22,0.27)</f>
        <v/>
      </c>
      <c r="AI609" s="104">
        <f>CHOOSE(MATCH(IF($U609="","Основний",$U609),{"Трафіковий","Основний","Маржинальний","Сезонний","Стратегічний"},0),0.16,0.19,0.25,0.23,0.29)</f>
        <v/>
      </c>
      <c r="AJ609" s="104">
        <f>CHOOSE(MATCH(IF($U609="","Основний",$U609),{"Трафіковий","Основний","Маржинальний","Сезонний","Стратегічний"},0),0.14,0.17,0.22,0.21,0.25)</f>
        <v/>
      </c>
      <c r="AK609" s="104">
        <f>CHOOSE(MATCH(IF($U609="","Основний",$U609),{"Трафіковий","Основний","Маржинальний","Сезонний","Стратегічний"},0),0.15,0.18,0.23,0.22,0.27)</f>
        <v/>
      </c>
      <c r="AL609" s="104">
        <f>CHOOSE(MATCH(IF($U609="","Основний",$U609),{"Трафіковий","Основний","Маржинальний","Сезонний","Стратегічний"},0),0.15,0.17,0.25,0.24,0.29)</f>
        <v/>
      </c>
      <c r="AM609" s="104">
        <f>CHOOSE(MATCH(IF($U609="","Основний",$U609),{"Трафіковий","Основний","Маржинальний","Сезонний","Стратегічний"},0),0.12,0.145,0.19,0.18,0.22)</f>
        <v/>
      </c>
      <c r="AN609" s="157">
        <f>CHOOSE(MATCH(IF($U609="","Основний",$U609),{"Трафіковий","Основний","Маржинальний","Сезонний","Стратегічний"},0),Settings!$B$78,Settings!$B$80,Settings!$B$82,Settings!$B$84,Settings!$B$86)</f>
        <v/>
      </c>
      <c r="AO609" s="157">
        <f>CHOOSE(MATCH(IF($U609="","Основний",$U609),{"Трафіковий","Основний","Маржинальний","Сезонний","Стратегічний"},0),Settings!$C$78,Settings!$C$80,Settings!$C$82,Settings!$C$84,Settings!$C$86)</f>
        <v/>
      </c>
      <c r="AP609" s="157">
        <f>CHOOSE(MATCH(IF($U609="","Основний",$U609),{"Трафіковий","Основний","Маржинальний","Сезонний","Стратегічний"},0),Settings!$D$78,Settings!$D$80,Settings!$D$82,Settings!$D$84,Settings!$D$86)</f>
        <v/>
      </c>
      <c r="AQ609" s="157">
        <f>CHOOSE(MATCH(IF($U609="","Основний",$U609),{"Трафіковий","Основний","Маржинальний","Сезонний","Стратегічний"},0),Settings!$F$78,Settings!$F$80,Settings!$F$82,Settings!$F$84,Settings!$F$86)</f>
        <v/>
      </c>
      <c r="AR609" s="157">
        <f>CHOOSE(MATCH(IF($U609="","Основний",$U609),{"Трафіковий","Основний","Маржинальний","Сезонний","Стратегічний"},0),Settings!$G$78,Settings!$G$80,Settings!$G$82,Settings!$G$84,Settings!$G$86)</f>
        <v/>
      </c>
      <c r="AS609" s="157">
        <f>CHOOSE(MATCH(IF($U609="","Основний",$U609),{"Трафіковий","Основний","Маржинальний","Сезонний","Стратегічний"},0),Settings!$H$78,Settings!$H$80,Settings!$H$82,Settings!$H$84,Settings!$H$86)</f>
        <v/>
      </c>
      <c r="AT609" s="157">
        <f>CHOOSE(MATCH(IF($U609="","Основний",$U609),{"Трафіковий","Основний","Маржинальний","Сезонний","Стратегічний"},0),Settings!$I$78,Settings!$I$80,Settings!$I$82,Settings!$I$84,Settings!$I$86)</f>
        <v/>
      </c>
      <c r="AU609" s="171" t="n"/>
      <c r="AV609" t="n">
        <v>1.35</v>
      </c>
    </row>
    <row r="610">
      <c r="A610" s="28" t="inlineStr">
        <is>
          <t>NEW</t>
        </is>
      </c>
      <c r="B610" s="29" t="inlineStr">
        <is>
          <t>P5763RN</t>
        </is>
      </c>
      <c r="C610" s="29" t="inlineStr">
        <is>
          <t>SPARE DOORCHIME &amp; REPEATER DC</t>
        </is>
      </c>
      <c r="D610" s="29" t="inlineStr">
        <is>
          <t>Дверні дзвінки</t>
        </is>
      </c>
      <c r="E610" s="28" t="inlineStr">
        <is>
          <t>PC</t>
        </is>
      </c>
      <c r="F610" s="93" t="n">
        <v>6.029</v>
      </c>
      <c r="G610" s="30" t="n">
        <v>8531804090</v>
      </c>
      <c r="H610" s="31" t="n">
        <v>1.4</v>
      </c>
      <c r="I610" s="84">
        <f>IFERROR(F610*Settings!$B$2*H610*IF(AND(ISNUMBER(E610),E610&gt;1),E610,1),"")</f>
        <v/>
      </c>
      <c r="J610" s="32">
        <f>Settings!$B$66</f>
        <v/>
      </c>
      <c r="K610" s="95">
        <f>IFERROR(IF(T610="","",(T610*(1-AN610)*(1-Settings!$B$17)-I610)/(T610*(1-AN610)*(1-Settings!$B$17))),"")</f>
        <v/>
      </c>
      <c r="L610" s="101">
        <f>IFERROR(IF(T610="","",(T610*(1-AO610)*(1-Settings!$C$17)-I610)/(T610*(1-AO610)*(1-Settings!$C$17))),"")</f>
        <v/>
      </c>
      <c r="M610" s="101">
        <f>IFERROR(IF(T610="","",(T610*(1-AP610)*(1-Settings!$D$17)-I610)/(T610*(1-AP610)*(1-Settings!$D$17))),"")</f>
        <v/>
      </c>
      <c r="N610" s="101">
        <f>IFERROR(IF(T610="","",(T610*(1-AQ610)*(1-Settings!$F$17)-I610)/(T610*(1-AQ610)*(1-Settings!$F$17))),"")</f>
        <v/>
      </c>
      <c r="O610" s="101">
        <f>IFERROR(IF(T610="","",(T610*(1-AR610)*(1-Settings!$G$17)-I610)/(T610*(1-AR610)*(1-Settings!$G$17))),"")</f>
        <v/>
      </c>
      <c r="P610" s="101">
        <f>IFERROR(IF(T610="","",(T610*(1-AS610)*(1-Settings!$H$17)-I610)/(T610*(1-AS610)*(1-Settings!$H$17))),"")</f>
        <v/>
      </c>
      <c r="Q610" s="101">
        <f>IFERROR(IF(T610="","",(T610*(1-AT610)*(1-Settings!$I$68)*(1-Settings!$I$17)-I610)/(T610*(1-AT610)*(1-Settings!$I$68)*(1-Settings!$I$17))),"")</f>
        <v/>
      </c>
      <c r="R610" s="91">
        <f>IFERROR(IF(OR(I610="",Z610&gt;=1,Settings!$B$17&gt;=1,AN610&gt;=1),"",IF(MOD(ROUND(I610/(1-Z610)/(1-Settings!$B$17)/(1-AN610),0),10)=0,ROUND(I610/(1-Z610)/(1-Settings!$B$17)/(1-AN610),0)-1,IF(MOD(ROUND(I610/(1-Z610)/(1-Settings!$B$17)/(1-AN610),0),10)&lt;=5,FLOOR(ROUND(I610/(1-Z610)/(1-Settings!$B$17)/(1-AN610),0),10)+6,FLOOR(ROUND(I610/(1-Z610)/(1-Settings!$B$17)/(1-AN610),0),10)+9))),"")</f>
        <v/>
      </c>
      <c r="S610" s="174">
        <f>R610*0.95</f>
        <v/>
      </c>
      <c r="T610" s="91">
        <f>IF(S610&lt;&gt;"", IF(MOD(S610,10)=0,S610-1,IF(MOD(S610,10)&lt;=5,FLOOR(S610,10)+6,FLOOR(S610,10)+9)), R610)</f>
        <v/>
      </c>
      <c r="U610" s="87" t="inlineStr">
        <is>
          <t>Основний</t>
        </is>
      </c>
      <c r="V610" s="88" t="n"/>
      <c r="W610" s="88" t="n"/>
      <c r="X610" s="89">
        <f>IFERROR(IF(OR(V610="",W610="",T610=""),"", IF(T610&gt;W610,"Дорогий",IF(T610&lt;V610,"Дешевий","У ринку"))),"")</f>
        <v/>
      </c>
      <c r="Y610" s="90" t="n"/>
      <c r="Z610" s="104">
        <f>CHOOSE(MATCH(IF($U610="","Основний",$U610),{"Трафіковий","Основний","Маржинальний","Сезонний","Стратегічний"},0),0.16,0.19,0.24,0.23,0.28)</f>
        <v/>
      </c>
      <c r="AA610" s="104">
        <f>CHOOSE(MATCH(IF($U610="","Основний",$U610),{"Трафіковий","Основний","Маржинальний","Сезонний","Стратегічний"},0),0.18,0.21,0.26,0.25,0.3)</f>
        <v/>
      </c>
      <c r="AB610" s="104">
        <f>CHOOSE(MATCH(IF($U610="","Основний",$U610),{"Трафіковий","Основний","Маржинальний","Сезонний","Стратегічний"},0),0.19,0.22,0.28,0.26,0.32)</f>
        <v/>
      </c>
      <c r="AC610" s="104">
        <f>CHOOSE(MATCH(IF($U610="","Основний",$U610),{"Трафіковий","Основний","Маржинальний","Сезонний","Стратегічний"},0),0.17,0.2,0.25,0.24,0.28)</f>
        <v/>
      </c>
      <c r="AD610" s="104">
        <f>CHOOSE(MATCH(IF($U610="","Основний",$U610),{"Трафіковий","Основний","Маржинальний","Сезонний","Стратегічний"},0),0.18,0.21,0.26,0.25,0.3)</f>
        <v/>
      </c>
      <c r="AE610" s="104">
        <f>CHOOSE(MATCH(IF($U610="","Основний",$U610),{"Трафіковий","Основний","Маржинальний","Сезонний","Стратегічний"},0),0.18,0.2,0.28,0.27,0.32)</f>
        <v/>
      </c>
      <c r="AF610" s="104">
        <f>CHOOSE(MATCH(IF($U610="","Основний",$U610),{"Трафіковий","Основний","Маржинальний","Сезонний","Стратегічний"},0),0.15,0.175,0.22,0.21,0.25)</f>
        <v/>
      </c>
      <c r="AG610" s="104">
        <f>CHOOSE(MATCH(IF($U610="","Основний",$U610),{"Трафіковий","Основний","Маржинальний","Сезонний","Стратегічний"},0),0.13,0.16,0.21,0.2,0.25)</f>
        <v/>
      </c>
      <c r="AH610" s="104">
        <f>CHOOSE(MATCH(IF($U610="","Основний",$U610),{"Трафіковий","Основний","Маржинальний","Сезонний","Стратегічний"},0),0.15,0.18,0.23,0.22,0.27)</f>
        <v/>
      </c>
      <c r="AI610" s="104">
        <f>CHOOSE(MATCH(IF($U610="","Основний",$U610),{"Трафіковий","Основний","Маржинальний","Сезонний","Стратегічний"},0),0.16,0.19,0.25,0.23,0.29)</f>
        <v/>
      </c>
      <c r="AJ610" s="104">
        <f>CHOOSE(MATCH(IF($U610="","Основний",$U610),{"Трафіковий","Основний","Маржинальний","Сезонний","Стратегічний"},0),0.14,0.17,0.22,0.21,0.25)</f>
        <v/>
      </c>
      <c r="AK610" s="104">
        <f>CHOOSE(MATCH(IF($U610="","Основний",$U610),{"Трафіковий","Основний","Маржинальний","Сезонний","Стратегічний"},0),0.15,0.18,0.23,0.22,0.27)</f>
        <v/>
      </c>
      <c r="AL610" s="104">
        <f>CHOOSE(MATCH(IF($U610="","Основний",$U610),{"Трафіковий","Основний","Маржинальний","Сезонний","Стратегічний"},0),0.15,0.17,0.25,0.24,0.29)</f>
        <v/>
      </c>
      <c r="AM610" s="104">
        <f>CHOOSE(MATCH(IF($U610="","Основний",$U610),{"Трафіковий","Основний","Маржинальний","Сезонний","Стратегічний"},0),0.12,0.145,0.19,0.18,0.22)</f>
        <v/>
      </c>
      <c r="AN610" s="157">
        <f>CHOOSE(MATCH(IF($U610="","Основний",$U610),{"Трафіковий","Основний","Маржинальний","Сезонний","Стратегічний"},0),Settings!$B$78,Settings!$B$80,Settings!$B$82,Settings!$B$84,Settings!$B$86)</f>
        <v/>
      </c>
      <c r="AO610" s="157">
        <f>CHOOSE(MATCH(IF($U610="","Основний",$U610),{"Трафіковий","Основний","Маржинальний","Сезонний","Стратегічний"},0),Settings!$C$78,Settings!$C$80,Settings!$C$82,Settings!$C$84,Settings!$C$86)</f>
        <v/>
      </c>
      <c r="AP610" s="157">
        <f>CHOOSE(MATCH(IF($U610="","Основний",$U610),{"Трафіковий","Основний","Маржинальний","Сезонний","Стратегічний"},0),Settings!$D$78,Settings!$D$80,Settings!$D$82,Settings!$D$84,Settings!$D$86)</f>
        <v/>
      </c>
      <c r="AQ610" s="157">
        <f>CHOOSE(MATCH(IF($U610="","Основний",$U610),{"Трафіковий","Основний","Маржинальний","Сезонний","Стратегічний"},0),Settings!$F$78,Settings!$F$80,Settings!$F$82,Settings!$F$84,Settings!$F$86)</f>
        <v/>
      </c>
      <c r="AR610" s="157">
        <f>CHOOSE(MATCH(IF($U610="","Основний",$U610),{"Трафіковий","Основний","Маржинальний","Сезонний","Стратегічний"},0),Settings!$G$78,Settings!$G$80,Settings!$G$82,Settings!$G$84,Settings!$G$86)</f>
        <v/>
      </c>
      <c r="AS610" s="157">
        <f>CHOOSE(MATCH(IF($U610="","Основний",$U610),{"Трафіковий","Основний","Маржинальний","Сезонний","Стратегічний"},0),Settings!$H$78,Settings!$H$80,Settings!$H$82,Settings!$H$84,Settings!$H$86)</f>
        <v/>
      </c>
      <c r="AT610" s="157">
        <f>CHOOSE(MATCH(IF($U610="","Основний",$U610),{"Трафіковий","Основний","Маржинальний","Сезонний","Стратегічний"},0),Settings!$I$78,Settings!$I$80,Settings!$I$82,Settings!$I$84,Settings!$I$86)</f>
        <v/>
      </c>
      <c r="AU610" s="171" t="n"/>
      <c r="AV610" t="n">
        <v>1.35</v>
      </c>
    </row>
    <row r="611">
      <c r="A611" s="33" t="n"/>
      <c r="B611" s="34" t="inlineStr">
        <is>
          <t>P5750</t>
        </is>
      </c>
      <c r="C611" s="34" t="inlineStr">
        <is>
          <t>WIRELESS DOORCHIME AC P5750</t>
        </is>
      </c>
      <c r="D611" s="34" t="inlineStr">
        <is>
          <t>Дверні дзвінки</t>
        </is>
      </c>
      <c r="E611" s="33" t="inlineStr">
        <is>
          <t>PC</t>
        </is>
      </c>
      <c r="F611" s="94" t="n">
        <v>9.063000000000001</v>
      </c>
      <c r="G611" s="35" t="n">
        <v>8531804090</v>
      </c>
      <c r="H611" s="31" t="n">
        <v>1.4</v>
      </c>
      <c r="I611" s="84">
        <f>IFERROR(F611*Settings!$B$2*H611*IF(AND(ISNUMBER(E611),E611&gt;1),E611,1),"")</f>
        <v/>
      </c>
      <c r="J611" s="32">
        <f>Settings!$B$66</f>
        <v/>
      </c>
      <c r="K611" s="95">
        <f>IFERROR(IF(T611="","",(T611*(1-AN611)*(1-Settings!$B$17)-I611)/(T611*(1-AN611)*(1-Settings!$B$17))),"")</f>
        <v/>
      </c>
      <c r="L611" s="101">
        <f>IFERROR(IF(T611="","",(T611*(1-AO611)*(1-Settings!$C$17)-I611)/(T611*(1-AO611)*(1-Settings!$C$17))),"")</f>
        <v/>
      </c>
      <c r="M611" s="101">
        <f>IFERROR(IF(T611="","",(T611*(1-AP611)*(1-Settings!$D$17)-I611)/(T611*(1-AP611)*(1-Settings!$D$17))),"")</f>
        <v/>
      </c>
      <c r="N611" s="101">
        <f>IFERROR(IF(T611="","",(T611*(1-AQ611)*(1-Settings!$F$17)-I611)/(T611*(1-AQ611)*(1-Settings!$F$17))),"")</f>
        <v/>
      </c>
      <c r="O611" s="101">
        <f>IFERROR(IF(T611="","",(T611*(1-AR611)*(1-Settings!$G$17)-I611)/(T611*(1-AR611)*(1-Settings!$G$17))),"")</f>
        <v/>
      </c>
      <c r="P611" s="101">
        <f>IFERROR(IF(T611="","",(T611*(1-AS611)*(1-Settings!$H$17)-I611)/(T611*(1-AS611)*(1-Settings!$H$17))),"")</f>
        <v/>
      </c>
      <c r="Q611" s="101">
        <f>IFERROR(IF(T611="","",(T611*(1-AT611)*(1-Settings!$I$68)*(1-Settings!$I$17)-I611)/(T611*(1-AT611)*(1-Settings!$I$68)*(1-Settings!$I$17))),"")</f>
        <v/>
      </c>
      <c r="R611" s="91">
        <f>IFERROR(IF(OR(I611="",Z611&gt;=1,Settings!$B$17&gt;=1,AN611&gt;=1),"",IF(MOD(ROUND(I611/(1-Z611)/(1-Settings!$B$17)/(1-AN611),0),10)=0,ROUND(I611/(1-Z611)/(1-Settings!$B$17)/(1-AN611),0)-1,IF(MOD(ROUND(I611/(1-Z611)/(1-Settings!$B$17)/(1-AN611),0),10)&lt;=5,FLOOR(ROUND(I611/(1-Z611)/(1-Settings!$B$17)/(1-AN611),0),10)+6,FLOOR(ROUND(I611/(1-Z611)/(1-Settings!$B$17)/(1-AN611),0),10)+9))),"")</f>
        <v/>
      </c>
      <c r="S611" s="174">
        <f>R611*0.95</f>
        <v/>
      </c>
      <c r="T611" s="91">
        <f>IF(S611&lt;&gt;"", IF(MOD(S611,10)=0,S611-1,IF(MOD(S611,10)&lt;=5,FLOOR(S611,10)+6,FLOOR(S611,10)+9)), R611)</f>
        <v/>
      </c>
      <c r="U611" s="87" t="inlineStr">
        <is>
          <t>Основний</t>
        </is>
      </c>
      <c r="V611" s="88" t="n"/>
      <c r="W611" s="88" t="n"/>
      <c r="X611" s="89">
        <f>IFERROR(IF(OR(V611="",W611="",T611=""),"", IF(T611&gt;W611,"Дорогий",IF(T611&lt;V611,"Дешевий","У ринку"))),"")</f>
        <v/>
      </c>
      <c r="Y611" s="90" t="n"/>
      <c r="Z611" s="104">
        <f>CHOOSE(MATCH(IF($U611="","Основний",$U611),{"Трафіковий","Основний","Маржинальний","Сезонний","Стратегічний"},0),0.16,0.19,0.24,0.23,0.28)</f>
        <v/>
      </c>
      <c r="AA611" s="104">
        <f>CHOOSE(MATCH(IF($U611="","Основний",$U611),{"Трафіковий","Основний","Маржинальний","Сезонний","Стратегічний"},0),0.18,0.21,0.26,0.25,0.3)</f>
        <v/>
      </c>
      <c r="AB611" s="104">
        <f>CHOOSE(MATCH(IF($U611="","Основний",$U611),{"Трафіковий","Основний","Маржинальний","Сезонний","Стратегічний"},0),0.19,0.22,0.28,0.26,0.32)</f>
        <v/>
      </c>
      <c r="AC611" s="104">
        <f>CHOOSE(MATCH(IF($U611="","Основний",$U611),{"Трафіковий","Основний","Маржинальний","Сезонний","Стратегічний"},0),0.17,0.2,0.25,0.24,0.28)</f>
        <v/>
      </c>
      <c r="AD611" s="104">
        <f>CHOOSE(MATCH(IF($U611="","Основний",$U611),{"Трафіковий","Основний","Маржинальний","Сезонний","Стратегічний"},0),0.18,0.21,0.26,0.25,0.3)</f>
        <v/>
      </c>
      <c r="AE611" s="104">
        <f>CHOOSE(MATCH(IF($U611="","Основний",$U611),{"Трафіковий","Основний","Маржинальний","Сезонний","Стратегічний"},0),0.18,0.2,0.28,0.27,0.32)</f>
        <v/>
      </c>
      <c r="AF611" s="104">
        <f>CHOOSE(MATCH(IF($U611="","Основний",$U611),{"Трафіковий","Основний","Маржинальний","Сезонний","Стратегічний"},0),0.15,0.175,0.22,0.21,0.25)</f>
        <v/>
      </c>
      <c r="AG611" s="104">
        <f>CHOOSE(MATCH(IF($U611="","Основний",$U611),{"Трафіковий","Основний","Маржинальний","Сезонний","Стратегічний"},0),0.13,0.16,0.21,0.2,0.25)</f>
        <v/>
      </c>
      <c r="AH611" s="104">
        <f>CHOOSE(MATCH(IF($U611="","Основний",$U611),{"Трафіковий","Основний","Маржинальний","Сезонний","Стратегічний"},0),0.15,0.18,0.23,0.22,0.27)</f>
        <v/>
      </c>
      <c r="AI611" s="104">
        <f>CHOOSE(MATCH(IF($U611="","Основний",$U611),{"Трафіковий","Основний","Маржинальний","Сезонний","Стратегічний"},0),0.16,0.19,0.25,0.23,0.29)</f>
        <v/>
      </c>
      <c r="AJ611" s="104">
        <f>CHOOSE(MATCH(IF($U611="","Основний",$U611),{"Трафіковий","Основний","Маржинальний","Сезонний","Стратегічний"},0),0.14,0.17,0.22,0.21,0.25)</f>
        <v/>
      </c>
      <c r="AK611" s="104">
        <f>CHOOSE(MATCH(IF($U611="","Основний",$U611),{"Трафіковий","Основний","Маржинальний","Сезонний","Стратегічний"},0),0.15,0.18,0.23,0.22,0.27)</f>
        <v/>
      </c>
      <c r="AL611" s="104">
        <f>CHOOSE(MATCH(IF($U611="","Основний",$U611),{"Трафіковий","Основний","Маржинальний","Сезонний","Стратегічний"},0),0.15,0.17,0.25,0.24,0.29)</f>
        <v/>
      </c>
      <c r="AM611" s="104">
        <f>CHOOSE(MATCH(IF($U611="","Основний",$U611),{"Трафіковий","Основний","Маржинальний","Сезонний","Стратегічний"},0),0.12,0.145,0.19,0.18,0.22)</f>
        <v/>
      </c>
      <c r="AN611" s="157">
        <f>CHOOSE(MATCH(IF($U611="","Основний",$U611),{"Трафіковий","Основний","Маржинальний","Сезонний","Стратегічний"},0),Settings!$B$78,Settings!$B$80,Settings!$B$82,Settings!$B$84,Settings!$B$86)</f>
        <v/>
      </c>
      <c r="AO611" s="157">
        <f>CHOOSE(MATCH(IF($U611="","Основний",$U611),{"Трафіковий","Основний","Маржинальний","Сезонний","Стратегічний"},0),Settings!$C$78,Settings!$C$80,Settings!$C$82,Settings!$C$84,Settings!$C$86)</f>
        <v/>
      </c>
      <c r="AP611" s="157">
        <f>CHOOSE(MATCH(IF($U611="","Основний",$U611),{"Трафіковий","Основний","Маржинальний","Сезонний","Стратегічний"},0),Settings!$D$78,Settings!$D$80,Settings!$D$82,Settings!$D$84,Settings!$D$86)</f>
        <v/>
      </c>
      <c r="AQ611" s="157">
        <f>CHOOSE(MATCH(IF($U611="","Основний",$U611),{"Трафіковий","Основний","Маржинальний","Сезонний","Стратегічний"},0),Settings!$F$78,Settings!$F$80,Settings!$F$82,Settings!$F$84,Settings!$F$86)</f>
        <v/>
      </c>
      <c r="AR611" s="157">
        <f>CHOOSE(MATCH(IF($U611="","Основний",$U611),{"Трафіковий","Основний","Маржинальний","Сезонний","Стратегічний"},0),Settings!$G$78,Settings!$G$80,Settings!$G$82,Settings!$G$84,Settings!$G$86)</f>
        <v/>
      </c>
      <c r="AS611" s="157">
        <f>CHOOSE(MATCH(IF($U611="","Основний",$U611),{"Трафіковий","Основний","Маржинальний","Сезонний","Стратегічний"},0),Settings!$H$78,Settings!$H$80,Settings!$H$82,Settings!$H$84,Settings!$H$86)</f>
        <v/>
      </c>
      <c r="AT611" s="157">
        <f>CHOOSE(MATCH(IF($U611="","Основний",$U611),{"Трафіковий","Основний","Маржинальний","Сезонний","Стратегічний"},0),Settings!$I$78,Settings!$I$80,Settings!$I$82,Settings!$I$84,Settings!$I$86)</f>
        <v/>
      </c>
      <c r="AU611" s="171" t="n"/>
      <c r="AV611" t="n">
        <v>1.35</v>
      </c>
    </row>
    <row r="612">
      <c r="A612" s="28" t="n"/>
      <c r="B612" s="29" t="inlineStr">
        <is>
          <t>P5750.2T</t>
        </is>
      </c>
      <c r="C612" s="29" t="inlineStr">
        <is>
          <t>WIRELESS DOORCHIME AC P5750.2T</t>
        </is>
      </c>
      <c r="D612" s="29" t="inlineStr">
        <is>
          <t>Дверні дзвінки</t>
        </is>
      </c>
      <c r="E612" s="28" t="inlineStr">
        <is>
          <t>PC</t>
        </is>
      </c>
      <c r="F612" s="93" t="n">
        <v>13.202</v>
      </c>
      <c r="G612" s="30" t="n">
        <v>8531804090</v>
      </c>
      <c r="H612" s="31" t="n">
        <v>1.4</v>
      </c>
      <c r="I612" s="84">
        <f>IFERROR(F612*Settings!$B$2*H612*IF(AND(ISNUMBER(E612),E612&gt;1),E612,1),"")</f>
        <v/>
      </c>
      <c r="J612" s="32">
        <f>Settings!$B$66</f>
        <v/>
      </c>
      <c r="K612" s="95">
        <f>IFERROR(IF(T612="","",(T612*(1-AN612)*(1-Settings!$B$17)-I612)/(T612*(1-AN612)*(1-Settings!$B$17))),"")</f>
        <v/>
      </c>
      <c r="L612" s="101">
        <f>IFERROR(IF(T612="","",(T612*(1-AO612)*(1-Settings!$C$17)-I612)/(T612*(1-AO612)*(1-Settings!$C$17))),"")</f>
        <v/>
      </c>
      <c r="M612" s="101">
        <f>IFERROR(IF(T612="","",(T612*(1-AP612)*(1-Settings!$D$17)-I612)/(T612*(1-AP612)*(1-Settings!$D$17))),"")</f>
        <v/>
      </c>
      <c r="N612" s="101">
        <f>IFERROR(IF(T612="","",(T612*(1-AQ612)*(1-Settings!$F$17)-I612)/(T612*(1-AQ612)*(1-Settings!$F$17))),"")</f>
        <v/>
      </c>
      <c r="O612" s="101">
        <f>IFERROR(IF(T612="","",(T612*(1-AR612)*(1-Settings!$G$17)-I612)/(T612*(1-AR612)*(1-Settings!$G$17))),"")</f>
        <v/>
      </c>
      <c r="P612" s="101">
        <f>IFERROR(IF(T612="","",(T612*(1-AS612)*(1-Settings!$H$17)-I612)/(T612*(1-AS612)*(1-Settings!$H$17))),"")</f>
        <v/>
      </c>
      <c r="Q612" s="101">
        <f>IFERROR(IF(T612="","",(T612*(1-AT612)*(1-Settings!$I$68)*(1-Settings!$I$17)-I612)/(T612*(1-AT612)*(1-Settings!$I$68)*(1-Settings!$I$17))),"")</f>
        <v/>
      </c>
      <c r="R612" s="91">
        <f>IFERROR(IF(OR(I612="",Z612&gt;=1,Settings!$B$17&gt;=1,AN612&gt;=1),"",IF(MOD(ROUND(I612/(1-Z612)/(1-Settings!$B$17)/(1-AN612),0),10)=0,ROUND(I612/(1-Z612)/(1-Settings!$B$17)/(1-AN612),0)-1,IF(MOD(ROUND(I612/(1-Z612)/(1-Settings!$B$17)/(1-AN612),0),10)&lt;=5,FLOOR(ROUND(I612/(1-Z612)/(1-Settings!$B$17)/(1-AN612),0),10)+6,FLOOR(ROUND(I612/(1-Z612)/(1-Settings!$B$17)/(1-AN612),0),10)+9))),"")</f>
        <v/>
      </c>
      <c r="S612" s="174">
        <f>R612*0.95</f>
        <v/>
      </c>
      <c r="T612" s="91">
        <f>IF(S612&lt;&gt;"", IF(MOD(S612,10)=0,S612-1,IF(MOD(S612,10)&lt;=5,FLOOR(S612,10)+6,FLOOR(S612,10)+9)), R612)</f>
        <v/>
      </c>
      <c r="U612" s="87" t="inlineStr">
        <is>
          <t>Основний</t>
        </is>
      </c>
      <c r="V612" s="88" t="n"/>
      <c r="W612" s="88" t="n"/>
      <c r="X612" s="89">
        <f>IFERROR(IF(OR(V612="",W612="",T612=""),"", IF(T612&gt;W612,"Дорогий",IF(T612&lt;V612,"Дешевий","У ринку"))),"")</f>
        <v/>
      </c>
      <c r="Y612" s="90" t="n"/>
      <c r="Z612" s="104">
        <f>CHOOSE(MATCH(IF($U612="","Основний",$U612),{"Трафіковий","Основний","Маржинальний","Сезонний","Стратегічний"},0),0.16,0.19,0.24,0.23,0.28)</f>
        <v/>
      </c>
      <c r="AA612" s="104">
        <f>CHOOSE(MATCH(IF($U612="","Основний",$U612),{"Трафіковий","Основний","Маржинальний","Сезонний","Стратегічний"},0),0.18,0.21,0.26,0.25,0.3)</f>
        <v/>
      </c>
      <c r="AB612" s="104">
        <f>CHOOSE(MATCH(IF($U612="","Основний",$U612),{"Трафіковий","Основний","Маржинальний","Сезонний","Стратегічний"},0),0.19,0.22,0.28,0.26,0.32)</f>
        <v/>
      </c>
      <c r="AC612" s="104">
        <f>CHOOSE(MATCH(IF($U612="","Основний",$U612),{"Трафіковий","Основний","Маржинальний","Сезонний","Стратегічний"},0),0.17,0.2,0.25,0.24,0.28)</f>
        <v/>
      </c>
      <c r="AD612" s="104">
        <f>CHOOSE(MATCH(IF($U612="","Основний",$U612),{"Трафіковий","Основний","Маржинальний","Сезонний","Стратегічний"},0),0.18,0.21,0.26,0.25,0.3)</f>
        <v/>
      </c>
      <c r="AE612" s="104">
        <f>CHOOSE(MATCH(IF($U612="","Основний",$U612),{"Трафіковий","Основний","Маржинальний","Сезонний","Стратегічний"},0),0.18,0.2,0.28,0.27,0.32)</f>
        <v/>
      </c>
      <c r="AF612" s="104">
        <f>CHOOSE(MATCH(IF($U612="","Основний",$U612),{"Трафіковий","Основний","Маржинальний","Сезонний","Стратегічний"},0),0.15,0.175,0.22,0.21,0.25)</f>
        <v/>
      </c>
      <c r="AG612" s="104">
        <f>CHOOSE(MATCH(IF($U612="","Основний",$U612),{"Трафіковий","Основний","Маржинальний","Сезонний","Стратегічний"},0),0.13,0.16,0.21,0.2,0.25)</f>
        <v/>
      </c>
      <c r="AH612" s="104">
        <f>CHOOSE(MATCH(IF($U612="","Основний",$U612),{"Трафіковий","Основний","Маржинальний","Сезонний","Стратегічний"},0),0.15,0.18,0.23,0.22,0.27)</f>
        <v/>
      </c>
      <c r="AI612" s="104">
        <f>CHOOSE(MATCH(IF($U612="","Основний",$U612),{"Трафіковий","Основний","Маржинальний","Сезонний","Стратегічний"},0),0.16,0.19,0.25,0.23,0.29)</f>
        <v/>
      </c>
      <c r="AJ612" s="104">
        <f>CHOOSE(MATCH(IF($U612="","Основний",$U612),{"Трафіковий","Основний","Маржинальний","Сезонний","Стратегічний"},0),0.14,0.17,0.22,0.21,0.25)</f>
        <v/>
      </c>
      <c r="AK612" s="104">
        <f>CHOOSE(MATCH(IF($U612="","Основний",$U612),{"Трафіковий","Основний","Маржинальний","Сезонний","Стратегічний"},0),0.15,0.18,0.23,0.22,0.27)</f>
        <v/>
      </c>
      <c r="AL612" s="104">
        <f>CHOOSE(MATCH(IF($U612="","Основний",$U612),{"Трафіковий","Основний","Маржинальний","Сезонний","Стратегічний"},0),0.15,0.17,0.25,0.24,0.29)</f>
        <v/>
      </c>
      <c r="AM612" s="104">
        <f>CHOOSE(MATCH(IF($U612="","Основний",$U612),{"Трафіковий","Основний","Маржинальний","Сезонний","Стратегічний"},0),0.12,0.145,0.19,0.18,0.22)</f>
        <v/>
      </c>
      <c r="AN612" s="157">
        <f>CHOOSE(MATCH(IF($U612="","Основний",$U612),{"Трафіковий","Основний","Маржинальний","Сезонний","Стратегічний"},0),Settings!$B$78,Settings!$B$80,Settings!$B$82,Settings!$B$84,Settings!$B$86)</f>
        <v/>
      </c>
      <c r="AO612" s="157">
        <f>CHOOSE(MATCH(IF($U612="","Основний",$U612),{"Трафіковий","Основний","Маржинальний","Сезонний","Стратегічний"},0),Settings!$C$78,Settings!$C$80,Settings!$C$82,Settings!$C$84,Settings!$C$86)</f>
        <v/>
      </c>
      <c r="AP612" s="157">
        <f>CHOOSE(MATCH(IF($U612="","Основний",$U612),{"Трафіковий","Основний","Маржинальний","Сезонний","Стратегічний"},0),Settings!$D$78,Settings!$D$80,Settings!$D$82,Settings!$D$84,Settings!$D$86)</f>
        <v/>
      </c>
      <c r="AQ612" s="157">
        <f>CHOOSE(MATCH(IF($U612="","Основний",$U612),{"Трафіковий","Основний","Маржинальний","Сезонний","Стратегічний"},0),Settings!$F$78,Settings!$F$80,Settings!$F$82,Settings!$F$84,Settings!$F$86)</f>
        <v/>
      </c>
      <c r="AR612" s="157">
        <f>CHOOSE(MATCH(IF($U612="","Основний",$U612),{"Трафіковий","Основний","Маржинальний","Сезонний","Стратегічний"},0),Settings!$G$78,Settings!$G$80,Settings!$G$82,Settings!$G$84,Settings!$G$86)</f>
        <v/>
      </c>
      <c r="AS612" s="157">
        <f>CHOOSE(MATCH(IF($U612="","Основний",$U612),{"Трафіковий","Основний","Маржинальний","Сезонний","Стратегічний"},0),Settings!$H$78,Settings!$H$80,Settings!$H$82,Settings!$H$84,Settings!$H$86)</f>
        <v/>
      </c>
      <c r="AT612" s="157">
        <f>CHOOSE(MATCH(IF($U612="","Основний",$U612),{"Трафіковий","Основний","Маржинальний","Сезонний","Стратегічний"},0),Settings!$I$78,Settings!$I$80,Settings!$I$82,Settings!$I$84,Settings!$I$86)</f>
        <v/>
      </c>
      <c r="AU612" s="171" t="n"/>
      <c r="AV612" t="n">
        <v>1.35</v>
      </c>
    </row>
    <row r="613">
      <c r="A613" s="33" t="n"/>
      <c r="B613" s="34" t="inlineStr">
        <is>
          <t>P5750.2R</t>
        </is>
      </c>
      <c r="C613" s="34" t="inlineStr">
        <is>
          <t>WIRELESS DOORCHIME AC P5750.2R</t>
        </is>
      </c>
      <c r="D613" s="34" t="inlineStr">
        <is>
          <t>Дверні дзвінки</t>
        </is>
      </c>
      <c r="E613" s="33" t="inlineStr">
        <is>
          <t>PC</t>
        </is>
      </c>
      <c r="F613" s="94" t="n">
        <v>15.057</v>
      </c>
      <c r="G613" s="35" t="n">
        <v>8531804090</v>
      </c>
      <c r="H613" s="31" t="n">
        <v>1.4</v>
      </c>
      <c r="I613" s="84">
        <f>IFERROR(F613*Settings!$B$2*H613*IF(AND(ISNUMBER(E613),E613&gt;1),E613,1),"")</f>
        <v/>
      </c>
      <c r="J613" s="32">
        <f>Settings!$B$66</f>
        <v/>
      </c>
      <c r="K613" s="95">
        <f>IFERROR(IF(T613="","",(T613*(1-AN613)*(1-Settings!$B$17)-I613)/(T613*(1-AN613)*(1-Settings!$B$17))),"")</f>
        <v/>
      </c>
      <c r="L613" s="101">
        <f>IFERROR(IF(T613="","",(T613*(1-AO613)*(1-Settings!$C$17)-I613)/(T613*(1-AO613)*(1-Settings!$C$17))),"")</f>
        <v/>
      </c>
      <c r="M613" s="101">
        <f>IFERROR(IF(T613="","",(T613*(1-AP613)*(1-Settings!$D$17)-I613)/(T613*(1-AP613)*(1-Settings!$D$17))),"")</f>
        <v/>
      </c>
      <c r="N613" s="101">
        <f>IFERROR(IF(T613="","",(T613*(1-AQ613)*(1-Settings!$F$17)-I613)/(T613*(1-AQ613)*(1-Settings!$F$17))),"")</f>
        <v/>
      </c>
      <c r="O613" s="101">
        <f>IFERROR(IF(T613="","",(T613*(1-AR613)*(1-Settings!$G$17)-I613)/(T613*(1-AR613)*(1-Settings!$G$17))),"")</f>
        <v/>
      </c>
      <c r="P613" s="101">
        <f>IFERROR(IF(T613="","",(T613*(1-AS613)*(1-Settings!$H$17)-I613)/(T613*(1-AS613)*(1-Settings!$H$17))),"")</f>
        <v/>
      </c>
      <c r="Q613" s="101">
        <f>IFERROR(IF(T613="","",(T613*(1-AT613)*(1-Settings!$I$68)*(1-Settings!$I$17)-I613)/(T613*(1-AT613)*(1-Settings!$I$68)*(1-Settings!$I$17))),"")</f>
        <v/>
      </c>
      <c r="R613" s="91">
        <f>IFERROR(IF(OR(I613="",Z613&gt;=1,Settings!$B$17&gt;=1,AN613&gt;=1),"",IF(MOD(ROUND(I613/(1-Z613)/(1-Settings!$B$17)/(1-AN613),0),10)=0,ROUND(I613/(1-Z613)/(1-Settings!$B$17)/(1-AN613),0)-1,IF(MOD(ROUND(I613/(1-Z613)/(1-Settings!$B$17)/(1-AN613),0),10)&lt;=5,FLOOR(ROUND(I613/(1-Z613)/(1-Settings!$B$17)/(1-AN613),0),10)+6,FLOOR(ROUND(I613/(1-Z613)/(1-Settings!$B$17)/(1-AN613),0),10)+9))),"")</f>
        <v/>
      </c>
      <c r="S613" s="174">
        <f>R613*0.95</f>
        <v/>
      </c>
      <c r="T613" s="91">
        <f>IF(S613&lt;&gt;"", IF(MOD(S613,10)=0,S613-1,IF(MOD(S613,10)&lt;=5,FLOOR(S613,10)+6,FLOOR(S613,10)+9)), R613)</f>
        <v/>
      </c>
      <c r="U613" s="87" t="inlineStr">
        <is>
          <t>Основний</t>
        </is>
      </c>
      <c r="V613" s="88" t="n"/>
      <c r="W613" s="88" t="n"/>
      <c r="X613" s="89">
        <f>IFERROR(IF(OR(V613="",W613="",T613=""),"", IF(T613&gt;W613,"Дорогий",IF(T613&lt;V613,"Дешевий","У ринку"))),"")</f>
        <v/>
      </c>
      <c r="Y613" s="90" t="n"/>
      <c r="Z613" s="104">
        <f>CHOOSE(MATCH(IF($U613="","Основний",$U613),{"Трафіковий","Основний","Маржинальний","Сезонний","Стратегічний"},0),0.16,0.19,0.24,0.23,0.28)</f>
        <v/>
      </c>
      <c r="AA613" s="104">
        <f>CHOOSE(MATCH(IF($U613="","Основний",$U613),{"Трафіковий","Основний","Маржинальний","Сезонний","Стратегічний"},0),0.18,0.21,0.26,0.25,0.3)</f>
        <v/>
      </c>
      <c r="AB613" s="104">
        <f>CHOOSE(MATCH(IF($U613="","Основний",$U613),{"Трафіковий","Основний","Маржинальний","Сезонний","Стратегічний"},0),0.19,0.22,0.28,0.26,0.32)</f>
        <v/>
      </c>
      <c r="AC613" s="104">
        <f>CHOOSE(MATCH(IF($U613="","Основний",$U613),{"Трафіковий","Основний","Маржинальний","Сезонний","Стратегічний"},0),0.17,0.2,0.25,0.24,0.28)</f>
        <v/>
      </c>
      <c r="AD613" s="104">
        <f>CHOOSE(MATCH(IF($U613="","Основний",$U613),{"Трафіковий","Основний","Маржинальний","Сезонний","Стратегічний"},0),0.18,0.21,0.26,0.25,0.3)</f>
        <v/>
      </c>
      <c r="AE613" s="104">
        <f>CHOOSE(MATCH(IF($U613="","Основний",$U613),{"Трафіковий","Основний","Маржинальний","Сезонний","Стратегічний"},0),0.18,0.2,0.28,0.27,0.32)</f>
        <v/>
      </c>
      <c r="AF613" s="104">
        <f>CHOOSE(MATCH(IF($U613="","Основний",$U613),{"Трафіковий","Основний","Маржинальний","Сезонний","Стратегічний"},0),0.15,0.175,0.22,0.21,0.25)</f>
        <v/>
      </c>
      <c r="AG613" s="104">
        <f>CHOOSE(MATCH(IF($U613="","Основний",$U613),{"Трафіковий","Основний","Маржинальний","Сезонний","Стратегічний"},0),0.13,0.16,0.21,0.2,0.25)</f>
        <v/>
      </c>
      <c r="AH613" s="104">
        <f>CHOOSE(MATCH(IF($U613="","Основний",$U613),{"Трафіковий","Основний","Маржинальний","Сезонний","Стратегічний"},0),0.15,0.18,0.23,0.22,0.27)</f>
        <v/>
      </c>
      <c r="AI613" s="104">
        <f>CHOOSE(MATCH(IF($U613="","Основний",$U613),{"Трафіковий","Основний","Маржинальний","Сезонний","Стратегічний"},0),0.16,0.19,0.25,0.23,0.29)</f>
        <v/>
      </c>
      <c r="AJ613" s="104">
        <f>CHOOSE(MATCH(IF($U613="","Основний",$U613),{"Трафіковий","Основний","Маржинальний","Сезонний","Стратегічний"},0),0.14,0.17,0.22,0.21,0.25)</f>
        <v/>
      </c>
      <c r="AK613" s="104">
        <f>CHOOSE(MATCH(IF($U613="","Основний",$U613),{"Трафіковий","Основний","Маржинальний","Сезонний","Стратегічний"},0),0.15,0.18,0.23,0.22,0.27)</f>
        <v/>
      </c>
      <c r="AL613" s="104">
        <f>CHOOSE(MATCH(IF($U613="","Основний",$U613),{"Трафіковий","Основний","Маржинальний","Сезонний","Стратегічний"},0),0.15,0.17,0.25,0.24,0.29)</f>
        <v/>
      </c>
      <c r="AM613" s="104">
        <f>CHOOSE(MATCH(IF($U613="","Основний",$U613),{"Трафіковий","Основний","Маржинальний","Сезонний","Стратегічний"},0),0.12,0.145,0.19,0.18,0.22)</f>
        <v/>
      </c>
      <c r="AN613" s="157">
        <f>CHOOSE(MATCH(IF($U613="","Основний",$U613),{"Трафіковий","Основний","Маржинальний","Сезонний","Стратегічний"},0),Settings!$B$78,Settings!$B$80,Settings!$B$82,Settings!$B$84,Settings!$B$86)</f>
        <v/>
      </c>
      <c r="AO613" s="157">
        <f>CHOOSE(MATCH(IF($U613="","Основний",$U613),{"Трафіковий","Основний","Маржинальний","Сезонний","Стратегічний"},0),Settings!$C$78,Settings!$C$80,Settings!$C$82,Settings!$C$84,Settings!$C$86)</f>
        <v/>
      </c>
      <c r="AP613" s="157">
        <f>CHOOSE(MATCH(IF($U613="","Основний",$U613),{"Трафіковий","Основний","Маржинальний","Сезонний","Стратегічний"},0),Settings!$D$78,Settings!$D$80,Settings!$D$82,Settings!$D$84,Settings!$D$86)</f>
        <v/>
      </c>
      <c r="AQ613" s="157">
        <f>CHOOSE(MATCH(IF($U613="","Основний",$U613),{"Трафіковий","Основний","Маржинальний","Сезонний","Стратегічний"},0),Settings!$F$78,Settings!$F$80,Settings!$F$82,Settings!$F$84,Settings!$F$86)</f>
        <v/>
      </c>
      <c r="AR613" s="157">
        <f>CHOOSE(MATCH(IF($U613="","Основний",$U613),{"Трафіковий","Основний","Маржинальний","Сезонний","Стратегічний"},0),Settings!$G$78,Settings!$G$80,Settings!$G$82,Settings!$G$84,Settings!$G$86)</f>
        <v/>
      </c>
      <c r="AS613" s="157">
        <f>CHOOSE(MATCH(IF($U613="","Основний",$U613),{"Трафіковий","Основний","Маржинальний","Сезонний","Стратегічний"},0),Settings!$H$78,Settings!$H$80,Settings!$H$82,Settings!$H$84,Settings!$H$86)</f>
        <v/>
      </c>
      <c r="AT613" s="157">
        <f>CHOOSE(MATCH(IF($U613="","Основний",$U613),{"Трафіковий","Основний","Маржинальний","Сезонний","Стратегічний"},0),Settings!$I$78,Settings!$I$80,Settings!$I$82,Settings!$I$84,Settings!$I$86)</f>
        <v/>
      </c>
      <c r="AU613" s="171" t="n"/>
      <c r="AV613" t="n">
        <v>1.35</v>
      </c>
    </row>
    <row r="614">
      <c r="A614" s="28" t="inlineStr">
        <is>
          <t>SELL OUT</t>
        </is>
      </c>
      <c r="B614" s="29" t="inlineStr">
        <is>
          <t>P5727</t>
        </is>
      </c>
      <c r="C614" s="29" t="inlineStr">
        <is>
          <t>WIRELESS DOORCHIME AC P5727</t>
        </is>
      </c>
      <c r="D614" s="29" t="inlineStr">
        <is>
          <t>Дверні дзвінки</t>
        </is>
      </c>
      <c r="E614" s="28" t="inlineStr">
        <is>
          <t>PC</t>
        </is>
      </c>
      <c r="F614" s="93" t="n">
        <v>6.851</v>
      </c>
      <c r="G614" s="30" t="n">
        <v>8531804090</v>
      </c>
      <c r="H614" s="31" t="n">
        <v>1.4</v>
      </c>
      <c r="I614" s="84">
        <f>IFERROR(F614*Settings!$B$2*H614*IF(AND(ISNUMBER(E614),E614&gt;1),E614,1),"")</f>
        <v/>
      </c>
      <c r="J614" s="32">
        <f>Settings!$B$66</f>
        <v/>
      </c>
      <c r="K614" s="95">
        <f>IFERROR(IF(T614="","",(T614*(1-AN614)*(1-Settings!$B$17)-I614)/(T614*(1-AN614)*(1-Settings!$B$17))),"")</f>
        <v/>
      </c>
      <c r="L614" s="101">
        <f>IFERROR(IF(T614="","",(T614*(1-AO614)*(1-Settings!$C$17)-I614)/(T614*(1-AO614)*(1-Settings!$C$17))),"")</f>
        <v/>
      </c>
      <c r="M614" s="101">
        <f>IFERROR(IF(T614="","",(T614*(1-AP614)*(1-Settings!$D$17)-I614)/(T614*(1-AP614)*(1-Settings!$D$17))),"")</f>
        <v/>
      </c>
      <c r="N614" s="101">
        <f>IFERROR(IF(T614="","",(T614*(1-AQ614)*(1-Settings!$F$17)-I614)/(T614*(1-AQ614)*(1-Settings!$F$17))),"")</f>
        <v/>
      </c>
      <c r="O614" s="101">
        <f>IFERROR(IF(T614="","",(T614*(1-AR614)*(1-Settings!$G$17)-I614)/(T614*(1-AR614)*(1-Settings!$G$17))),"")</f>
        <v/>
      </c>
      <c r="P614" s="101">
        <f>IFERROR(IF(T614="","",(T614*(1-AS614)*(1-Settings!$H$17)-I614)/(T614*(1-AS614)*(1-Settings!$H$17))),"")</f>
        <v/>
      </c>
      <c r="Q614" s="101">
        <f>IFERROR(IF(T614="","",(T614*(1-AT614)*(1-Settings!$I$68)*(1-Settings!$I$17)-I614)/(T614*(1-AT614)*(1-Settings!$I$68)*(1-Settings!$I$17))),"")</f>
        <v/>
      </c>
      <c r="R614" s="91">
        <f>IFERROR(IF(OR(I614="",Z614&gt;=1,Settings!$B$17&gt;=1,AN614&gt;=1),"",IF(MOD(ROUND(I614/(1-Z614)/(1-Settings!$B$17)/(1-AN614),0),10)=0,ROUND(I614/(1-Z614)/(1-Settings!$B$17)/(1-AN614),0)-1,IF(MOD(ROUND(I614/(1-Z614)/(1-Settings!$B$17)/(1-AN614),0),10)&lt;=5,FLOOR(ROUND(I614/(1-Z614)/(1-Settings!$B$17)/(1-AN614),0),10)+6,FLOOR(ROUND(I614/(1-Z614)/(1-Settings!$B$17)/(1-AN614),0),10)+9))),"")</f>
        <v/>
      </c>
      <c r="S614" s="92" t="n">
        <v>926</v>
      </c>
      <c r="T614" s="91">
        <f>IF(S614&lt;&gt;"", IF(MOD(S614,10)=0,S614-1,IF(MOD(S614,10)&lt;=5,FLOOR(S614,10)+6,FLOOR(S614,10)+9)), R614)</f>
        <v/>
      </c>
      <c r="U614" s="87" t="inlineStr">
        <is>
          <t>Основний</t>
        </is>
      </c>
      <c r="V614" s="88" t="n"/>
      <c r="W614" s="88" t="n"/>
      <c r="X614" s="89">
        <f>IFERROR(IF(OR(V614="",W614="",T614=""),"", IF(T614&gt;W614,"Дорогий",IF(T614&lt;V614,"Дешевий","У ринку"))),"")</f>
        <v/>
      </c>
      <c r="Y614" s="90" t="n"/>
      <c r="Z614" s="104">
        <f>CHOOSE(MATCH(IF($U614="","Основний",$U614),{"Трафіковий","Основний","Маржинальний","Сезонний","Стратегічний"},0),0.16,0.19,0.24,0.23,0.28)</f>
        <v/>
      </c>
      <c r="AA614" s="104">
        <f>CHOOSE(MATCH(IF($U614="","Основний",$U614),{"Трафіковий","Основний","Маржинальний","Сезонний","Стратегічний"},0),0.18,0.21,0.26,0.25,0.3)</f>
        <v/>
      </c>
      <c r="AB614" s="104">
        <f>CHOOSE(MATCH(IF($U614="","Основний",$U614),{"Трафіковий","Основний","Маржинальний","Сезонний","Стратегічний"},0),0.19,0.22,0.28,0.26,0.32)</f>
        <v/>
      </c>
      <c r="AC614" s="104">
        <f>CHOOSE(MATCH(IF($U614="","Основний",$U614),{"Трафіковий","Основний","Маржинальний","Сезонний","Стратегічний"},0),0.17,0.2,0.25,0.24,0.28)</f>
        <v/>
      </c>
      <c r="AD614" s="104">
        <f>CHOOSE(MATCH(IF($U614="","Основний",$U614),{"Трафіковий","Основний","Маржинальний","Сезонний","Стратегічний"},0),0.18,0.21,0.26,0.25,0.3)</f>
        <v/>
      </c>
      <c r="AE614" s="104">
        <f>CHOOSE(MATCH(IF($U614="","Основний",$U614),{"Трафіковий","Основний","Маржинальний","Сезонний","Стратегічний"},0),0.18,0.2,0.28,0.27,0.32)</f>
        <v/>
      </c>
      <c r="AF614" s="104">
        <f>CHOOSE(MATCH(IF($U614="","Основний",$U614),{"Трафіковий","Основний","Маржинальний","Сезонний","Стратегічний"},0),0.15,0.175,0.22,0.21,0.25)</f>
        <v/>
      </c>
      <c r="AG614" s="104">
        <f>CHOOSE(MATCH(IF($U614="","Основний",$U614),{"Трафіковий","Основний","Маржинальний","Сезонний","Стратегічний"},0),0.13,0.16,0.21,0.2,0.25)</f>
        <v/>
      </c>
      <c r="AH614" s="104">
        <f>CHOOSE(MATCH(IF($U614="","Основний",$U614),{"Трафіковий","Основний","Маржинальний","Сезонний","Стратегічний"},0),0.15,0.18,0.23,0.22,0.27)</f>
        <v/>
      </c>
      <c r="AI614" s="104">
        <f>CHOOSE(MATCH(IF($U614="","Основний",$U614),{"Трафіковий","Основний","Маржинальний","Сезонний","Стратегічний"},0),0.16,0.19,0.25,0.23,0.29)</f>
        <v/>
      </c>
      <c r="AJ614" s="104">
        <f>CHOOSE(MATCH(IF($U614="","Основний",$U614),{"Трафіковий","Основний","Маржинальний","Сезонний","Стратегічний"},0),0.14,0.17,0.22,0.21,0.25)</f>
        <v/>
      </c>
      <c r="AK614" s="104">
        <f>CHOOSE(MATCH(IF($U614="","Основний",$U614),{"Трафіковий","Основний","Маржинальний","Сезонний","Стратегічний"},0),0.15,0.18,0.23,0.22,0.27)</f>
        <v/>
      </c>
      <c r="AL614" s="104">
        <f>CHOOSE(MATCH(IF($U614="","Основний",$U614),{"Трафіковий","Основний","Маржинальний","Сезонний","Стратегічний"},0),0.15,0.17,0.25,0.24,0.29)</f>
        <v/>
      </c>
      <c r="AM614" s="104">
        <f>CHOOSE(MATCH(IF($U614="","Основний",$U614),{"Трафіковий","Основний","Маржинальний","Сезонний","Стратегічний"},0),0.12,0.145,0.19,0.18,0.22)</f>
        <v/>
      </c>
      <c r="AN614" s="157">
        <f>CHOOSE(MATCH(IF($U614="","Основний",$U614),{"Трафіковий","Основний","Маржинальний","Сезонний","Стратегічний"},0),Settings!$B$78,Settings!$B$80,Settings!$B$82,Settings!$B$84,Settings!$B$86)</f>
        <v/>
      </c>
      <c r="AO614" s="157">
        <f>CHOOSE(MATCH(IF($U614="","Основний",$U614),{"Трафіковий","Основний","Маржинальний","Сезонний","Стратегічний"},0),Settings!$C$78,Settings!$C$80,Settings!$C$82,Settings!$C$84,Settings!$C$86)</f>
        <v/>
      </c>
      <c r="AP614" s="157">
        <f>CHOOSE(MATCH(IF($U614="","Основний",$U614),{"Трафіковий","Основний","Маржинальний","Сезонний","Стратегічний"},0),Settings!$D$78,Settings!$D$80,Settings!$D$82,Settings!$D$84,Settings!$D$86)</f>
        <v/>
      </c>
      <c r="AQ614" s="157">
        <f>CHOOSE(MATCH(IF($U614="","Основний",$U614),{"Трафіковий","Основний","Маржинальний","Сезонний","Стратегічний"},0),Settings!$F$78,Settings!$F$80,Settings!$F$82,Settings!$F$84,Settings!$F$86)</f>
        <v/>
      </c>
      <c r="AR614" s="157">
        <f>CHOOSE(MATCH(IF($U614="","Основний",$U614),{"Трафіковий","Основний","Маржинальний","Сезонний","Стратегічний"},0),Settings!$G$78,Settings!$G$80,Settings!$G$82,Settings!$G$84,Settings!$G$86)</f>
        <v/>
      </c>
      <c r="AS614" s="157">
        <f>CHOOSE(MATCH(IF($U614="","Основний",$U614),{"Трафіковий","Основний","Маржинальний","Сезонний","Стратегічний"},0),Settings!$H$78,Settings!$H$80,Settings!$H$82,Settings!$H$84,Settings!$H$86)</f>
        <v/>
      </c>
      <c r="AT614" s="157">
        <f>CHOOSE(MATCH(IF($U614="","Основний",$U614),{"Трафіковий","Основний","Маржинальний","Сезонний","Стратегічний"},0),Settings!$I$78,Settings!$I$80,Settings!$I$82,Settings!$I$84,Settings!$I$86)</f>
        <v/>
      </c>
      <c r="AU614" s="171" t="n"/>
      <c r="AV614" t="n">
        <v>1.35</v>
      </c>
    </row>
    <row r="615">
      <c r="A615" s="33" t="n"/>
      <c r="B615" s="34" t="inlineStr">
        <is>
          <t>P5727N</t>
        </is>
      </c>
      <c r="C615" s="34" t="inlineStr">
        <is>
          <t>WIRELESS DOORCHIME AC P5727N</t>
        </is>
      </c>
      <c r="D615" s="34" t="inlineStr">
        <is>
          <t>Дверні дзвінки</t>
        </is>
      </c>
      <c r="E615" s="33" t="inlineStr">
        <is>
          <t>PC</t>
        </is>
      </c>
      <c r="F615" s="94" t="n">
        <v>6.566</v>
      </c>
      <c r="G615" s="35" t="n">
        <v>8531804090</v>
      </c>
      <c r="H615" s="31" t="n">
        <v>1.4</v>
      </c>
      <c r="I615" s="84">
        <f>IFERROR(F615*Settings!$B$2*H615*IF(AND(ISNUMBER(E615),E615&gt;1),E615,1),"")</f>
        <v/>
      </c>
      <c r="J615" s="32">
        <f>Settings!$B$66</f>
        <v/>
      </c>
      <c r="K615" s="95">
        <f>IFERROR(IF(T615="","",(T615*(1-AN615)*(1-Settings!$B$17)-I615)/(T615*(1-AN615)*(1-Settings!$B$17))),"")</f>
        <v/>
      </c>
      <c r="L615" s="101">
        <f>IFERROR(IF(T615="","",(T615*(1-AO615)*(1-Settings!$C$17)-I615)/(T615*(1-AO615)*(1-Settings!$C$17))),"")</f>
        <v/>
      </c>
      <c r="M615" s="101">
        <f>IFERROR(IF(T615="","",(T615*(1-AP615)*(1-Settings!$D$17)-I615)/(T615*(1-AP615)*(1-Settings!$D$17))),"")</f>
        <v/>
      </c>
      <c r="N615" s="101">
        <f>IFERROR(IF(T615="","",(T615*(1-AQ615)*(1-Settings!$F$17)-I615)/(T615*(1-AQ615)*(1-Settings!$F$17))),"")</f>
        <v/>
      </c>
      <c r="O615" s="101">
        <f>IFERROR(IF(T615="","",(T615*(1-AR615)*(1-Settings!$G$17)-I615)/(T615*(1-AR615)*(1-Settings!$G$17))),"")</f>
        <v/>
      </c>
      <c r="P615" s="101">
        <f>IFERROR(IF(T615="","",(T615*(1-AS615)*(1-Settings!$H$17)-I615)/(T615*(1-AS615)*(1-Settings!$H$17))),"")</f>
        <v/>
      </c>
      <c r="Q615" s="101">
        <f>IFERROR(IF(T615="","",(T615*(1-AT615)*(1-Settings!$I$68)*(1-Settings!$I$17)-I615)/(T615*(1-AT615)*(1-Settings!$I$68)*(1-Settings!$I$17))),"")</f>
        <v/>
      </c>
      <c r="R615" s="91">
        <f>IFERROR(IF(OR(I615="",Z615&gt;=1,Settings!$B$17&gt;=1,AN615&gt;=1),"",IF(MOD(ROUND(I615/(1-Z615)/(1-Settings!$B$17)/(1-AN615),0),10)=0,ROUND(I615/(1-Z615)/(1-Settings!$B$17)/(1-AN615),0)-1,IF(MOD(ROUND(I615/(1-Z615)/(1-Settings!$B$17)/(1-AN615),0),10)&lt;=5,FLOOR(ROUND(I615/(1-Z615)/(1-Settings!$B$17)/(1-AN615),0),10)+6,FLOOR(ROUND(I615/(1-Z615)/(1-Settings!$B$17)/(1-AN615),0),10)+9))),"")</f>
        <v/>
      </c>
      <c r="S615" s="92" t="n">
        <v>900</v>
      </c>
      <c r="T615" s="91">
        <f>IF(S615&lt;&gt;"", IF(MOD(S615,10)=0,S615-1,IF(MOD(S615,10)&lt;=5,FLOOR(S615,10)+6,FLOOR(S615,10)+9)), R615)</f>
        <v/>
      </c>
      <c r="U615" s="87" t="inlineStr">
        <is>
          <t>Основний</t>
        </is>
      </c>
      <c r="V615" s="88" t="n"/>
      <c r="W615" s="88" t="n"/>
      <c r="X615" s="89">
        <f>IFERROR(IF(OR(V615="",W615="",T615=""),"", IF(T615&gt;W615,"Дорогий",IF(T615&lt;V615,"Дешевий","У ринку"))),"")</f>
        <v/>
      </c>
      <c r="Y615" s="90" t="n"/>
      <c r="Z615" s="104">
        <f>CHOOSE(MATCH(IF($U615="","Основний",$U615),{"Трафіковий","Основний","Маржинальний","Сезонний","Стратегічний"},0),0.16,0.19,0.24,0.23,0.28)</f>
        <v/>
      </c>
      <c r="AA615" s="104">
        <f>CHOOSE(MATCH(IF($U615="","Основний",$U615),{"Трафіковий","Основний","Маржинальний","Сезонний","Стратегічний"},0),0.18,0.21,0.26,0.25,0.3)</f>
        <v/>
      </c>
      <c r="AB615" s="104">
        <f>CHOOSE(MATCH(IF($U615="","Основний",$U615),{"Трафіковий","Основний","Маржинальний","Сезонний","Стратегічний"},0),0.19,0.22,0.28,0.26,0.32)</f>
        <v/>
      </c>
      <c r="AC615" s="104">
        <f>CHOOSE(MATCH(IF($U615="","Основний",$U615),{"Трафіковий","Основний","Маржинальний","Сезонний","Стратегічний"},0),0.17,0.2,0.25,0.24,0.28)</f>
        <v/>
      </c>
      <c r="AD615" s="104">
        <f>CHOOSE(MATCH(IF($U615="","Основний",$U615),{"Трафіковий","Основний","Маржинальний","Сезонний","Стратегічний"},0),0.18,0.21,0.26,0.25,0.3)</f>
        <v/>
      </c>
      <c r="AE615" s="104">
        <f>CHOOSE(MATCH(IF($U615="","Основний",$U615),{"Трафіковий","Основний","Маржинальний","Сезонний","Стратегічний"},0),0.18,0.2,0.28,0.27,0.32)</f>
        <v/>
      </c>
      <c r="AF615" s="104">
        <f>CHOOSE(MATCH(IF($U615="","Основний",$U615),{"Трафіковий","Основний","Маржинальний","Сезонний","Стратегічний"},0),0.15,0.175,0.22,0.21,0.25)</f>
        <v/>
      </c>
      <c r="AG615" s="104">
        <f>CHOOSE(MATCH(IF($U615="","Основний",$U615),{"Трафіковий","Основний","Маржинальний","Сезонний","Стратегічний"},0),0.13,0.16,0.21,0.2,0.25)</f>
        <v/>
      </c>
      <c r="AH615" s="104">
        <f>CHOOSE(MATCH(IF($U615="","Основний",$U615),{"Трафіковий","Основний","Маржинальний","Сезонний","Стратегічний"},0),0.15,0.18,0.23,0.22,0.27)</f>
        <v/>
      </c>
      <c r="AI615" s="104">
        <f>CHOOSE(MATCH(IF($U615="","Основний",$U615),{"Трафіковий","Основний","Маржинальний","Сезонний","Стратегічний"},0),0.16,0.19,0.25,0.23,0.29)</f>
        <v/>
      </c>
      <c r="AJ615" s="104">
        <f>CHOOSE(MATCH(IF($U615="","Основний",$U615),{"Трафіковий","Основний","Маржинальний","Сезонний","Стратегічний"},0),0.14,0.17,0.22,0.21,0.25)</f>
        <v/>
      </c>
      <c r="AK615" s="104">
        <f>CHOOSE(MATCH(IF($U615="","Основний",$U615),{"Трафіковий","Основний","Маржинальний","Сезонний","Стратегічний"},0),0.15,0.18,0.23,0.22,0.27)</f>
        <v/>
      </c>
      <c r="AL615" s="104">
        <f>CHOOSE(MATCH(IF($U615="","Основний",$U615),{"Трафіковий","Основний","Маржинальний","Сезонний","Стратегічний"},0),0.15,0.17,0.25,0.24,0.29)</f>
        <v/>
      </c>
      <c r="AM615" s="104">
        <f>CHOOSE(MATCH(IF($U615="","Основний",$U615),{"Трафіковий","Основний","Маржинальний","Сезонний","Стратегічний"},0),0.12,0.145,0.19,0.18,0.22)</f>
        <v/>
      </c>
      <c r="AN615" s="157">
        <f>CHOOSE(MATCH(IF($U615="","Основний",$U615),{"Трафіковий","Основний","Маржинальний","Сезонний","Стратегічний"},0),Settings!$B$78,Settings!$B$80,Settings!$B$82,Settings!$B$84,Settings!$B$86)</f>
        <v/>
      </c>
      <c r="AO615" s="157">
        <f>CHOOSE(MATCH(IF($U615="","Основний",$U615),{"Трафіковий","Основний","Маржинальний","Сезонний","Стратегічний"},0),Settings!$C$78,Settings!$C$80,Settings!$C$82,Settings!$C$84,Settings!$C$86)</f>
        <v/>
      </c>
      <c r="AP615" s="157">
        <f>CHOOSE(MATCH(IF($U615="","Основний",$U615),{"Трафіковий","Основний","Маржинальний","Сезонний","Стратегічний"},0),Settings!$D$78,Settings!$D$80,Settings!$D$82,Settings!$D$84,Settings!$D$86)</f>
        <v/>
      </c>
      <c r="AQ615" s="157">
        <f>CHOOSE(MATCH(IF($U615="","Основний",$U615),{"Трафіковий","Основний","Маржинальний","Сезонний","Стратегічний"},0),Settings!$F$78,Settings!$F$80,Settings!$F$82,Settings!$F$84,Settings!$F$86)</f>
        <v/>
      </c>
      <c r="AR615" s="157">
        <f>CHOOSE(MATCH(IF($U615="","Основний",$U615),{"Трафіковий","Основний","Маржинальний","Сезонний","Стратегічний"},0),Settings!$G$78,Settings!$G$80,Settings!$G$82,Settings!$G$84,Settings!$G$86)</f>
        <v/>
      </c>
      <c r="AS615" s="157">
        <f>CHOOSE(MATCH(IF($U615="","Основний",$U615),{"Трафіковий","Основний","Маржинальний","Сезонний","Стратегічний"},0),Settings!$H$78,Settings!$H$80,Settings!$H$82,Settings!$H$84,Settings!$H$86)</f>
        <v/>
      </c>
      <c r="AT615" s="157">
        <f>CHOOSE(MATCH(IF($U615="","Основний",$U615),{"Трафіковий","Основний","Маржинальний","Сезонний","Стратегічний"},0),Settings!$I$78,Settings!$I$80,Settings!$I$82,Settings!$I$84,Settings!$I$86)</f>
        <v/>
      </c>
      <c r="AU615" s="171" t="n"/>
      <c r="AV615" t="n">
        <v>1.35</v>
      </c>
    </row>
    <row r="616">
      <c r="A616" s="28" t="inlineStr">
        <is>
          <t>NEW</t>
        </is>
      </c>
      <c r="B616" s="29" t="inlineStr">
        <is>
          <t>P57U01</t>
        </is>
      </c>
      <c r="C616" s="29" t="inlineStr">
        <is>
          <t>WIRELESS DOORCHIME AC P57U01</t>
        </is>
      </c>
      <c r="D616" s="29" t="inlineStr">
        <is>
          <t>Дверні дзвінки</t>
        </is>
      </c>
      <c r="E616" s="28" t="inlineStr">
        <is>
          <t>PC</t>
        </is>
      </c>
      <c r="F616" s="93" t="n">
        <v>8.849</v>
      </c>
      <c r="G616" s="30" t="n">
        <v>8531804090</v>
      </c>
      <c r="H616" s="31" t="n">
        <v>1.4</v>
      </c>
      <c r="I616" s="84">
        <f>IFERROR(F616*Settings!$B$2*H616*IF(AND(ISNUMBER(E616),E616&gt;1),E616,1),"")</f>
        <v/>
      </c>
      <c r="J616" s="32">
        <f>Settings!$B$66</f>
        <v/>
      </c>
      <c r="K616" s="95">
        <f>IFERROR(IF(T616="","",(T616*(1-AN616)*(1-Settings!$B$17)-I616)/(T616*(1-AN616)*(1-Settings!$B$17))),"")</f>
        <v/>
      </c>
      <c r="L616" s="101">
        <f>IFERROR(IF(T616="","",(T616*(1-AO616)*(1-Settings!$C$17)-I616)/(T616*(1-AO616)*(1-Settings!$C$17))),"")</f>
        <v/>
      </c>
      <c r="M616" s="101">
        <f>IFERROR(IF(T616="","",(T616*(1-AP616)*(1-Settings!$D$17)-I616)/(T616*(1-AP616)*(1-Settings!$D$17))),"")</f>
        <v/>
      </c>
      <c r="N616" s="101">
        <f>IFERROR(IF(T616="","",(T616*(1-AQ616)*(1-Settings!$F$17)-I616)/(T616*(1-AQ616)*(1-Settings!$F$17))),"")</f>
        <v/>
      </c>
      <c r="O616" s="101">
        <f>IFERROR(IF(T616="","",(T616*(1-AR616)*(1-Settings!$G$17)-I616)/(T616*(1-AR616)*(1-Settings!$G$17))),"")</f>
        <v/>
      </c>
      <c r="P616" s="101">
        <f>IFERROR(IF(T616="","",(T616*(1-AS616)*(1-Settings!$H$17)-I616)/(T616*(1-AS616)*(1-Settings!$H$17))),"")</f>
        <v/>
      </c>
      <c r="Q616" s="101">
        <f>IFERROR(IF(T616="","",(T616*(1-AT616)*(1-Settings!$I$68)*(1-Settings!$I$17)-I616)/(T616*(1-AT616)*(1-Settings!$I$68)*(1-Settings!$I$17))),"")</f>
        <v/>
      </c>
      <c r="R616" s="91">
        <f>IFERROR(IF(OR(I616="",Z616&gt;=1,Settings!$B$17&gt;=1,AN616&gt;=1),"",IF(MOD(ROUND(I616/(1-Z616)/(1-Settings!$B$17)/(1-AN616),0),10)=0,ROUND(I616/(1-Z616)/(1-Settings!$B$17)/(1-AN616),0)-1,IF(MOD(ROUND(I616/(1-Z616)/(1-Settings!$B$17)/(1-AN616),0),10)&lt;=5,FLOOR(ROUND(I616/(1-Z616)/(1-Settings!$B$17)/(1-AN616),0),10)+6,FLOOR(ROUND(I616/(1-Z616)/(1-Settings!$B$17)/(1-AN616),0),10)+9))),"")</f>
        <v/>
      </c>
      <c r="S616" s="174">
        <f>R616*0.95</f>
        <v/>
      </c>
      <c r="T616" s="91">
        <f>IF(S616&lt;&gt;"", IF(MOD(S616,10)=0,S616-1,IF(MOD(S616,10)&lt;=5,FLOOR(S616,10)+6,FLOOR(S616,10)+9)), R616)</f>
        <v/>
      </c>
      <c r="U616" s="87" t="inlineStr">
        <is>
          <t>Основний</t>
        </is>
      </c>
      <c r="V616" s="88" t="n"/>
      <c r="W616" s="88" t="n"/>
      <c r="X616" s="89">
        <f>IFERROR(IF(OR(V616="",W616="",T616=""),"", IF(T616&gt;W616,"Дорогий",IF(T616&lt;V616,"Дешевий","У ринку"))),"")</f>
        <v/>
      </c>
      <c r="Y616" s="90" t="n"/>
      <c r="Z616" s="104">
        <f>CHOOSE(MATCH(IF($U616="","Основний",$U616),{"Трафіковий","Основний","Маржинальний","Сезонний","Стратегічний"},0),0.16,0.19,0.24,0.23,0.28)</f>
        <v/>
      </c>
      <c r="AA616" s="104">
        <f>CHOOSE(MATCH(IF($U616="","Основний",$U616),{"Трафіковий","Основний","Маржинальний","Сезонний","Стратегічний"},0),0.18,0.21,0.26,0.25,0.3)</f>
        <v/>
      </c>
      <c r="AB616" s="104">
        <f>CHOOSE(MATCH(IF($U616="","Основний",$U616),{"Трафіковий","Основний","Маржинальний","Сезонний","Стратегічний"},0),0.19,0.22,0.28,0.26,0.32)</f>
        <v/>
      </c>
      <c r="AC616" s="104">
        <f>CHOOSE(MATCH(IF($U616="","Основний",$U616),{"Трафіковий","Основний","Маржинальний","Сезонний","Стратегічний"},0),0.17,0.2,0.25,0.24,0.28)</f>
        <v/>
      </c>
      <c r="AD616" s="104">
        <f>CHOOSE(MATCH(IF($U616="","Основний",$U616),{"Трафіковий","Основний","Маржинальний","Сезонний","Стратегічний"},0),0.18,0.21,0.26,0.25,0.3)</f>
        <v/>
      </c>
      <c r="AE616" s="104">
        <f>CHOOSE(MATCH(IF($U616="","Основний",$U616),{"Трафіковий","Основний","Маржинальний","Сезонний","Стратегічний"},0),0.18,0.2,0.28,0.27,0.32)</f>
        <v/>
      </c>
      <c r="AF616" s="104">
        <f>CHOOSE(MATCH(IF($U616="","Основний",$U616),{"Трафіковий","Основний","Маржинальний","Сезонний","Стратегічний"},0),0.15,0.175,0.22,0.21,0.25)</f>
        <v/>
      </c>
      <c r="AG616" s="104">
        <f>CHOOSE(MATCH(IF($U616="","Основний",$U616),{"Трафіковий","Основний","Маржинальний","Сезонний","Стратегічний"},0),0.13,0.16,0.21,0.2,0.25)</f>
        <v/>
      </c>
      <c r="AH616" s="104">
        <f>CHOOSE(MATCH(IF($U616="","Основний",$U616),{"Трафіковий","Основний","Маржинальний","Сезонний","Стратегічний"},0),0.15,0.18,0.23,0.22,0.27)</f>
        <v/>
      </c>
      <c r="AI616" s="104">
        <f>CHOOSE(MATCH(IF($U616="","Основний",$U616),{"Трафіковий","Основний","Маржинальний","Сезонний","Стратегічний"},0),0.16,0.19,0.25,0.23,0.29)</f>
        <v/>
      </c>
      <c r="AJ616" s="104">
        <f>CHOOSE(MATCH(IF($U616="","Основний",$U616),{"Трафіковий","Основний","Маржинальний","Сезонний","Стратегічний"},0),0.14,0.17,0.22,0.21,0.25)</f>
        <v/>
      </c>
      <c r="AK616" s="104">
        <f>CHOOSE(MATCH(IF($U616="","Основний",$U616),{"Трафіковий","Основний","Маржинальний","Сезонний","Стратегічний"},0),0.15,0.18,0.23,0.22,0.27)</f>
        <v/>
      </c>
      <c r="AL616" s="104">
        <f>CHOOSE(MATCH(IF($U616="","Основний",$U616),{"Трафіковий","Основний","Маржинальний","Сезонний","Стратегічний"},0),0.15,0.17,0.25,0.24,0.29)</f>
        <v/>
      </c>
      <c r="AM616" s="104">
        <f>CHOOSE(MATCH(IF($U616="","Основний",$U616),{"Трафіковий","Основний","Маржинальний","Сезонний","Стратегічний"},0),0.12,0.145,0.19,0.18,0.22)</f>
        <v/>
      </c>
      <c r="AN616" s="157">
        <f>CHOOSE(MATCH(IF($U616="","Основний",$U616),{"Трафіковий","Основний","Маржинальний","Сезонний","Стратегічний"},0),Settings!$B$78,Settings!$B$80,Settings!$B$82,Settings!$B$84,Settings!$B$86)</f>
        <v/>
      </c>
      <c r="AO616" s="157">
        <f>CHOOSE(MATCH(IF($U616="","Основний",$U616),{"Трафіковий","Основний","Маржинальний","Сезонний","Стратегічний"},0),Settings!$C$78,Settings!$C$80,Settings!$C$82,Settings!$C$84,Settings!$C$86)</f>
        <v/>
      </c>
      <c r="AP616" s="157">
        <f>CHOOSE(MATCH(IF($U616="","Основний",$U616),{"Трафіковий","Основний","Маржинальний","Сезонний","Стратегічний"},0),Settings!$D$78,Settings!$D$80,Settings!$D$82,Settings!$D$84,Settings!$D$86)</f>
        <v/>
      </c>
      <c r="AQ616" s="157">
        <f>CHOOSE(MATCH(IF($U616="","Основний",$U616),{"Трафіковий","Основний","Маржинальний","Сезонний","Стратегічний"},0),Settings!$F$78,Settings!$F$80,Settings!$F$82,Settings!$F$84,Settings!$F$86)</f>
        <v/>
      </c>
      <c r="AR616" s="157">
        <f>CHOOSE(MATCH(IF($U616="","Основний",$U616),{"Трафіковий","Основний","Маржинальний","Сезонний","Стратегічний"},0),Settings!$G$78,Settings!$G$80,Settings!$G$82,Settings!$G$84,Settings!$G$86)</f>
        <v/>
      </c>
      <c r="AS616" s="157">
        <f>CHOOSE(MATCH(IF($U616="","Основний",$U616),{"Трафіковий","Основний","Маржинальний","Сезонний","Стратегічний"},0),Settings!$H$78,Settings!$H$80,Settings!$H$82,Settings!$H$84,Settings!$H$86)</f>
        <v/>
      </c>
      <c r="AT616" s="157">
        <f>CHOOSE(MATCH(IF($U616="","Основний",$U616),{"Трафіковий","Основний","Маржинальний","Сезонний","Стратегічний"},0),Settings!$I$78,Settings!$I$80,Settings!$I$82,Settings!$I$84,Settings!$I$86)</f>
        <v/>
      </c>
      <c r="AU616" s="171" t="n"/>
      <c r="AV616" t="n">
        <v>1.35</v>
      </c>
    </row>
    <row r="617">
      <c r="A617" s="33" t="inlineStr">
        <is>
          <t>NEW</t>
        </is>
      </c>
      <c r="B617" s="34" t="inlineStr">
        <is>
          <t>P5739W</t>
        </is>
      </c>
      <c r="C617" s="34" t="inlineStr">
        <is>
          <t>WIRELESS DOORCHIME AC P5739W</t>
        </is>
      </c>
      <c r="D617" s="34" t="inlineStr">
        <is>
          <t>Дверні дзвінки</t>
        </is>
      </c>
      <c r="E617" s="33" t="inlineStr">
        <is>
          <t>PC</t>
        </is>
      </c>
      <c r="F617" s="94" t="n">
        <v>7.85</v>
      </c>
      <c r="G617" s="35" t="n">
        <v>8531804090</v>
      </c>
      <c r="H617" s="31" t="n">
        <v>1.4</v>
      </c>
      <c r="I617" s="84">
        <f>IFERROR(F617*Settings!$B$2*H617*IF(AND(ISNUMBER(E617),E617&gt;1),E617,1),"")</f>
        <v/>
      </c>
      <c r="J617" s="32">
        <f>Settings!$B$66</f>
        <v/>
      </c>
      <c r="K617" s="95">
        <f>IFERROR(IF(T617="","",(T617*(1-AN617)*(1-Settings!$B$17)-I617)/(T617*(1-AN617)*(1-Settings!$B$17))),"")</f>
        <v/>
      </c>
      <c r="L617" s="101">
        <f>IFERROR(IF(T617="","",(T617*(1-AO617)*(1-Settings!$C$17)-I617)/(T617*(1-AO617)*(1-Settings!$C$17))),"")</f>
        <v/>
      </c>
      <c r="M617" s="101">
        <f>IFERROR(IF(T617="","",(T617*(1-AP617)*(1-Settings!$D$17)-I617)/(T617*(1-AP617)*(1-Settings!$D$17))),"")</f>
        <v/>
      </c>
      <c r="N617" s="101">
        <f>IFERROR(IF(T617="","",(T617*(1-AQ617)*(1-Settings!$F$17)-I617)/(T617*(1-AQ617)*(1-Settings!$F$17))),"")</f>
        <v/>
      </c>
      <c r="O617" s="101">
        <f>IFERROR(IF(T617="","",(T617*(1-AR617)*(1-Settings!$G$17)-I617)/(T617*(1-AR617)*(1-Settings!$G$17))),"")</f>
        <v/>
      </c>
      <c r="P617" s="101">
        <f>IFERROR(IF(T617="","",(T617*(1-AS617)*(1-Settings!$H$17)-I617)/(T617*(1-AS617)*(1-Settings!$H$17))),"")</f>
        <v/>
      </c>
      <c r="Q617" s="101">
        <f>IFERROR(IF(T617="","",(T617*(1-AT617)*(1-Settings!$I$68)*(1-Settings!$I$17)-I617)/(T617*(1-AT617)*(1-Settings!$I$68)*(1-Settings!$I$17))),"")</f>
        <v/>
      </c>
      <c r="R617" s="91">
        <f>IFERROR(IF(OR(I617="",Z617&gt;=1,Settings!$B$17&gt;=1,AN617&gt;=1),"",IF(MOD(ROUND(I617/(1-Z617)/(1-Settings!$B$17)/(1-AN617),0),10)=0,ROUND(I617/(1-Z617)/(1-Settings!$B$17)/(1-AN617),0)-1,IF(MOD(ROUND(I617/(1-Z617)/(1-Settings!$B$17)/(1-AN617),0),10)&lt;=5,FLOOR(ROUND(I617/(1-Z617)/(1-Settings!$B$17)/(1-AN617),0),10)+6,FLOOR(ROUND(I617/(1-Z617)/(1-Settings!$B$17)/(1-AN617),0),10)+9))),"")</f>
        <v/>
      </c>
      <c r="S617" s="174">
        <f>R617*0.95</f>
        <v/>
      </c>
      <c r="T617" s="91">
        <f>IF(S617&lt;&gt;"", IF(MOD(S617,10)=0,S617-1,IF(MOD(S617,10)&lt;=5,FLOOR(S617,10)+6,FLOOR(S617,10)+9)), R617)</f>
        <v/>
      </c>
      <c r="U617" s="87" t="inlineStr">
        <is>
          <t>Основний</t>
        </is>
      </c>
      <c r="V617" s="88" t="n"/>
      <c r="W617" s="88" t="n"/>
      <c r="X617" s="89">
        <f>IFERROR(IF(OR(V617="",W617="",T617=""),"", IF(T617&gt;W617,"Дорогий",IF(T617&lt;V617,"Дешевий","У ринку"))),"")</f>
        <v/>
      </c>
      <c r="Y617" s="90" t="n"/>
      <c r="Z617" s="104">
        <f>CHOOSE(MATCH(IF($U617="","Основний",$U617),{"Трафіковий","Основний","Маржинальний","Сезонний","Стратегічний"},0),0.16,0.19,0.24,0.23,0.28)</f>
        <v/>
      </c>
      <c r="AA617" s="104">
        <f>CHOOSE(MATCH(IF($U617="","Основний",$U617),{"Трафіковий","Основний","Маржинальний","Сезонний","Стратегічний"},0),0.18,0.21,0.26,0.25,0.3)</f>
        <v/>
      </c>
      <c r="AB617" s="104">
        <f>CHOOSE(MATCH(IF($U617="","Основний",$U617),{"Трафіковий","Основний","Маржинальний","Сезонний","Стратегічний"},0),0.19,0.22,0.28,0.26,0.32)</f>
        <v/>
      </c>
      <c r="AC617" s="104">
        <f>CHOOSE(MATCH(IF($U617="","Основний",$U617),{"Трафіковий","Основний","Маржинальний","Сезонний","Стратегічний"},0),0.17,0.2,0.25,0.24,0.28)</f>
        <v/>
      </c>
      <c r="AD617" s="104">
        <f>CHOOSE(MATCH(IF($U617="","Основний",$U617),{"Трафіковий","Основний","Маржинальний","Сезонний","Стратегічний"},0),0.18,0.21,0.26,0.25,0.3)</f>
        <v/>
      </c>
      <c r="AE617" s="104">
        <f>CHOOSE(MATCH(IF($U617="","Основний",$U617),{"Трафіковий","Основний","Маржинальний","Сезонний","Стратегічний"},0),0.18,0.2,0.28,0.27,0.32)</f>
        <v/>
      </c>
      <c r="AF617" s="104">
        <f>CHOOSE(MATCH(IF($U617="","Основний",$U617),{"Трафіковий","Основний","Маржинальний","Сезонний","Стратегічний"},0),0.15,0.175,0.22,0.21,0.25)</f>
        <v/>
      </c>
      <c r="AG617" s="104">
        <f>CHOOSE(MATCH(IF($U617="","Основний",$U617),{"Трафіковий","Основний","Маржинальний","Сезонний","Стратегічний"},0),0.13,0.16,0.21,0.2,0.25)</f>
        <v/>
      </c>
      <c r="AH617" s="104">
        <f>CHOOSE(MATCH(IF($U617="","Основний",$U617),{"Трафіковий","Основний","Маржинальний","Сезонний","Стратегічний"},0),0.15,0.18,0.23,0.22,0.27)</f>
        <v/>
      </c>
      <c r="AI617" s="104">
        <f>CHOOSE(MATCH(IF($U617="","Основний",$U617),{"Трафіковий","Основний","Маржинальний","Сезонний","Стратегічний"},0),0.16,0.19,0.25,0.23,0.29)</f>
        <v/>
      </c>
      <c r="AJ617" s="104">
        <f>CHOOSE(MATCH(IF($U617="","Основний",$U617),{"Трафіковий","Основний","Маржинальний","Сезонний","Стратегічний"},0),0.14,0.17,0.22,0.21,0.25)</f>
        <v/>
      </c>
      <c r="AK617" s="104">
        <f>CHOOSE(MATCH(IF($U617="","Основний",$U617),{"Трафіковий","Основний","Маржинальний","Сезонний","Стратегічний"},0),0.15,0.18,0.23,0.22,0.27)</f>
        <v/>
      </c>
      <c r="AL617" s="104">
        <f>CHOOSE(MATCH(IF($U617="","Основний",$U617),{"Трафіковий","Основний","Маржинальний","Сезонний","Стратегічний"},0),0.15,0.17,0.25,0.24,0.29)</f>
        <v/>
      </c>
      <c r="AM617" s="104">
        <f>CHOOSE(MATCH(IF($U617="","Основний",$U617),{"Трафіковий","Основний","Маржинальний","Сезонний","Стратегічний"},0),0.12,0.145,0.19,0.18,0.22)</f>
        <v/>
      </c>
      <c r="AN617" s="157">
        <f>CHOOSE(MATCH(IF($U617="","Основний",$U617),{"Трафіковий","Основний","Маржинальний","Сезонний","Стратегічний"},0),Settings!$B$78,Settings!$B$80,Settings!$B$82,Settings!$B$84,Settings!$B$86)</f>
        <v/>
      </c>
      <c r="AO617" s="157">
        <f>CHOOSE(MATCH(IF($U617="","Основний",$U617),{"Трафіковий","Основний","Маржинальний","Сезонний","Стратегічний"},0),Settings!$C$78,Settings!$C$80,Settings!$C$82,Settings!$C$84,Settings!$C$86)</f>
        <v/>
      </c>
      <c r="AP617" s="157">
        <f>CHOOSE(MATCH(IF($U617="","Основний",$U617),{"Трафіковий","Основний","Маржинальний","Сезонний","Стратегічний"},0),Settings!$D$78,Settings!$D$80,Settings!$D$82,Settings!$D$84,Settings!$D$86)</f>
        <v/>
      </c>
      <c r="AQ617" s="157">
        <f>CHOOSE(MATCH(IF($U617="","Основний",$U617),{"Трафіковий","Основний","Маржинальний","Сезонний","Стратегічний"},0),Settings!$F$78,Settings!$F$80,Settings!$F$82,Settings!$F$84,Settings!$F$86)</f>
        <v/>
      </c>
      <c r="AR617" s="157">
        <f>CHOOSE(MATCH(IF($U617="","Основний",$U617),{"Трафіковий","Основний","Маржинальний","Сезонний","Стратегічний"},0),Settings!$G$78,Settings!$G$80,Settings!$G$82,Settings!$G$84,Settings!$G$86)</f>
        <v/>
      </c>
      <c r="AS617" s="157">
        <f>CHOOSE(MATCH(IF($U617="","Основний",$U617),{"Трафіковий","Основний","Маржинальний","Сезонний","Стратегічний"},0),Settings!$H$78,Settings!$H$80,Settings!$H$82,Settings!$H$84,Settings!$H$86)</f>
        <v/>
      </c>
      <c r="AT617" s="157">
        <f>CHOOSE(MATCH(IF($U617="","Основний",$U617),{"Трафіковий","Основний","Маржинальний","Сезонний","Стратегічний"},0),Settings!$I$78,Settings!$I$80,Settings!$I$82,Settings!$I$84,Settings!$I$86)</f>
        <v/>
      </c>
      <c r="AU617" s="171" t="n"/>
      <c r="AV617" t="n">
        <v>1.35</v>
      </c>
    </row>
    <row r="618">
      <c r="A618" s="28" t="inlineStr">
        <is>
          <t>NEW</t>
        </is>
      </c>
      <c r="B618" s="29" t="inlineStr">
        <is>
          <t>P5739B</t>
        </is>
      </c>
      <c r="C618" s="29" t="inlineStr">
        <is>
          <t>WIRELESS DOORCHIME AC P5739B</t>
        </is>
      </c>
      <c r="D618" s="29" t="inlineStr">
        <is>
          <t>Дверні дзвінки</t>
        </is>
      </c>
      <c r="E618" s="28" t="inlineStr">
        <is>
          <t>PC</t>
        </is>
      </c>
      <c r="F618" s="93" t="n">
        <v>7.85</v>
      </c>
      <c r="G618" s="30" t="n">
        <v>8531804090</v>
      </c>
      <c r="H618" s="31" t="n">
        <v>1.4</v>
      </c>
      <c r="I618" s="84">
        <f>IFERROR(F618*Settings!$B$2*H618*IF(AND(ISNUMBER(E618),E618&gt;1),E618,1),"")</f>
        <v/>
      </c>
      <c r="J618" s="32">
        <f>Settings!$B$66</f>
        <v/>
      </c>
      <c r="K618" s="95">
        <f>IFERROR(IF(T618="","",(T618*(1-AN618)*(1-Settings!$B$17)-I618)/(T618*(1-AN618)*(1-Settings!$B$17))),"")</f>
        <v/>
      </c>
      <c r="L618" s="101">
        <f>IFERROR(IF(T618="","",(T618*(1-AO618)*(1-Settings!$C$17)-I618)/(T618*(1-AO618)*(1-Settings!$C$17))),"")</f>
        <v/>
      </c>
      <c r="M618" s="101">
        <f>IFERROR(IF(T618="","",(T618*(1-AP618)*(1-Settings!$D$17)-I618)/(T618*(1-AP618)*(1-Settings!$D$17))),"")</f>
        <v/>
      </c>
      <c r="N618" s="101">
        <f>IFERROR(IF(T618="","",(T618*(1-AQ618)*(1-Settings!$F$17)-I618)/(T618*(1-AQ618)*(1-Settings!$F$17))),"")</f>
        <v/>
      </c>
      <c r="O618" s="101">
        <f>IFERROR(IF(T618="","",(T618*(1-AR618)*(1-Settings!$G$17)-I618)/(T618*(1-AR618)*(1-Settings!$G$17))),"")</f>
        <v/>
      </c>
      <c r="P618" s="101">
        <f>IFERROR(IF(T618="","",(T618*(1-AS618)*(1-Settings!$H$17)-I618)/(T618*(1-AS618)*(1-Settings!$H$17))),"")</f>
        <v/>
      </c>
      <c r="Q618" s="101">
        <f>IFERROR(IF(T618="","",(T618*(1-AT618)*(1-Settings!$I$68)*(1-Settings!$I$17)-I618)/(T618*(1-AT618)*(1-Settings!$I$68)*(1-Settings!$I$17))),"")</f>
        <v/>
      </c>
      <c r="R618" s="91">
        <f>IFERROR(IF(OR(I618="",Z618&gt;=1,Settings!$B$17&gt;=1,AN618&gt;=1),"",IF(MOD(ROUND(I618/(1-Z618)/(1-Settings!$B$17)/(1-AN618),0),10)=0,ROUND(I618/(1-Z618)/(1-Settings!$B$17)/(1-AN618),0)-1,IF(MOD(ROUND(I618/(1-Z618)/(1-Settings!$B$17)/(1-AN618),0),10)&lt;=5,FLOOR(ROUND(I618/(1-Z618)/(1-Settings!$B$17)/(1-AN618),0),10)+6,FLOOR(ROUND(I618/(1-Z618)/(1-Settings!$B$17)/(1-AN618),0),10)+9))),"")</f>
        <v/>
      </c>
      <c r="S618" s="174">
        <f>R618*0.95</f>
        <v/>
      </c>
      <c r="T618" s="91">
        <f>IF(S618&lt;&gt;"", IF(MOD(S618,10)=0,S618-1,IF(MOD(S618,10)&lt;=5,FLOOR(S618,10)+6,FLOOR(S618,10)+9)), R618)</f>
        <v/>
      </c>
      <c r="U618" s="87" t="inlineStr">
        <is>
          <t>Основний</t>
        </is>
      </c>
      <c r="V618" s="88" t="n"/>
      <c r="W618" s="88" t="n"/>
      <c r="X618" s="89">
        <f>IFERROR(IF(OR(V618="",W618="",T618=""),"", IF(T618&gt;W618,"Дорогий",IF(T618&lt;V618,"Дешевий","У ринку"))),"")</f>
        <v/>
      </c>
      <c r="Y618" s="90" t="n"/>
      <c r="Z618" s="104">
        <f>CHOOSE(MATCH(IF($U618="","Основний",$U618),{"Трафіковий","Основний","Маржинальний","Сезонний","Стратегічний"},0),0.16,0.19,0.24,0.23,0.28)</f>
        <v/>
      </c>
      <c r="AA618" s="104">
        <f>CHOOSE(MATCH(IF($U618="","Основний",$U618),{"Трафіковий","Основний","Маржинальний","Сезонний","Стратегічний"},0),0.18,0.21,0.26,0.25,0.3)</f>
        <v/>
      </c>
      <c r="AB618" s="104">
        <f>CHOOSE(MATCH(IF($U618="","Основний",$U618),{"Трафіковий","Основний","Маржинальний","Сезонний","Стратегічний"},0),0.19,0.22,0.28,0.26,0.32)</f>
        <v/>
      </c>
      <c r="AC618" s="104">
        <f>CHOOSE(MATCH(IF($U618="","Основний",$U618),{"Трафіковий","Основний","Маржинальний","Сезонний","Стратегічний"},0),0.17,0.2,0.25,0.24,0.28)</f>
        <v/>
      </c>
      <c r="AD618" s="104">
        <f>CHOOSE(MATCH(IF($U618="","Основний",$U618),{"Трафіковий","Основний","Маржинальний","Сезонний","Стратегічний"},0),0.18,0.21,0.26,0.25,0.3)</f>
        <v/>
      </c>
      <c r="AE618" s="104">
        <f>CHOOSE(MATCH(IF($U618="","Основний",$U618),{"Трафіковий","Основний","Маржинальний","Сезонний","Стратегічний"},0),0.18,0.2,0.28,0.27,0.32)</f>
        <v/>
      </c>
      <c r="AF618" s="104">
        <f>CHOOSE(MATCH(IF($U618="","Основний",$U618),{"Трафіковий","Основний","Маржинальний","Сезонний","Стратегічний"},0),0.15,0.175,0.22,0.21,0.25)</f>
        <v/>
      </c>
      <c r="AG618" s="104">
        <f>CHOOSE(MATCH(IF($U618="","Основний",$U618),{"Трафіковий","Основний","Маржинальний","Сезонний","Стратегічний"},0),0.13,0.16,0.21,0.2,0.25)</f>
        <v/>
      </c>
      <c r="AH618" s="104">
        <f>CHOOSE(MATCH(IF($U618="","Основний",$U618),{"Трафіковий","Основний","Маржинальний","Сезонний","Стратегічний"},0),0.15,0.18,0.23,0.22,0.27)</f>
        <v/>
      </c>
      <c r="AI618" s="104">
        <f>CHOOSE(MATCH(IF($U618="","Основний",$U618),{"Трафіковий","Основний","Маржинальний","Сезонний","Стратегічний"},0),0.16,0.19,0.25,0.23,0.29)</f>
        <v/>
      </c>
      <c r="AJ618" s="104">
        <f>CHOOSE(MATCH(IF($U618="","Основний",$U618),{"Трафіковий","Основний","Маржинальний","Сезонний","Стратегічний"},0),0.14,0.17,0.22,0.21,0.25)</f>
        <v/>
      </c>
      <c r="AK618" s="104">
        <f>CHOOSE(MATCH(IF($U618="","Основний",$U618),{"Трафіковий","Основний","Маржинальний","Сезонний","Стратегічний"},0),0.15,0.18,0.23,0.22,0.27)</f>
        <v/>
      </c>
      <c r="AL618" s="104">
        <f>CHOOSE(MATCH(IF($U618="","Основний",$U618),{"Трафіковий","Основний","Маржинальний","Сезонний","Стратегічний"},0),0.15,0.17,0.25,0.24,0.29)</f>
        <v/>
      </c>
      <c r="AM618" s="104">
        <f>CHOOSE(MATCH(IF($U618="","Основний",$U618),{"Трафіковий","Основний","Маржинальний","Сезонний","Стратегічний"},0),0.12,0.145,0.19,0.18,0.22)</f>
        <v/>
      </c>
      <c r="AN618" s="157">
        <f>CHOOSE(MATCH(IF($U618="","Основний",$U618),{"Трафіковий","Основний","Маржинальний","Сезонний","Стратегічний"},0),Settings!$B$78,Settings!$B$80,Settings!$B$82,Settings!$B$84,Settings!$B$86)</f>
        <v/>
      </c>
      <c r="AO618" s="157">
        <f>CHOOSE(MATCH(IF($U618="","Основний",$U618),{"Трафіковий","Основний","Маржинальний","Сезонний","Стратегічний"},0),Settings!$C$78,Settings!$C$80,Settings!$C$82,Settings!$C$84,Settings!$C$86)</f>
        <v/>
      </c>
      <c r="AP618" s="157">
        <f>CHOOSE(MATCH(IF($U618="","Основний",$U618),{"Трафіковий","Основний","Маржинальний","Сезонний","Стратегічний"},0),Settings!$D$78,Settings!$D$80,Settings!$D$82,Settings!$D$84,Settings!$D$86)</f>
        <v/>
      </c>
      <c r="AQ618" s="157">
        <f>CHOOSE(MATCH(IF($U618="","Основний",$U618),{"Трафіковий","Основний","Маржинальний","Сезонний","Стратегічний"},0),Settings!$F$78,Settings!$F$80,Settings!$F$82,Settings!$F$84,Settings!$F$86)</f>
        <v/>
      </c>
      <c r="AR618" s="157">
        <f>CHOOSE(MATCH(IF($U618="","Основний",$U618),{"Трафіковий","Основний","Маржинальний","Сезонний","Стратегічний"},0),Settings!$G$78,Settings!$G$80,Settings!$G$82,Settings!$G$84,Settings!$G$86)</f>
        <v/>
      </c>
      <c r="AS618" s="157">
        <f>CHOOSE(MATCH(IF($U618="","Основний",$U618),{"Трафіковий","Основний","Маржинальний","Сезонний","Стратегічний"},0),Settings!$H$78,Settings!$H$80,Settings!$H$82,Settings!$H$84,Settings!$H$86)</f>
        <v/>
      </c>
      <c r="AT618" s="157">
        <f>CHOOSE(MATCH(IF($U618="","Основний",$U618),{"Трафіковий","Основний","Маржинальний","Сезонний","Стратегічний"},0),Settings!$I$78,Settings!$I$80,Settings!$I$82,Settings!$I$84,Settings!$I$86)</f>
        <v/>
      </c>
      <c r="AU618" s="171" t="n"/>
      <c r="AV618" t="n">
        <v>1.35</v>
      </c>
    </row>
    <row r="619">
      <c r="A619" s="33" t="inlineStr">
        <is>
          <t>NEW</t>
        </is>
      </c>
      <c r="B619" s="34" t="inlineStr">
        <is>
          <t>P57P01</t>
        </is>
      </c>
      <c r="C619" s="34" t="inlineStr">
        <is>
          <t>WIRELESS DOORCHIME AC P57P01</t>
        </is>
      </c>
      <c r="D619" s="34" t="inlineStr">
        <is>
          <t>Дверні дзвінки</t>
        </is>
      </c>
      <c r="E619" s="33" t="inlineStr">
        <is>
          <t>PC</t>
        </is>
      </c>
      <c r="F619" s="94" t="n">
        <v>7.85</v>
      </c>
      <c r="G619" s="35" t="n">
        <v>8531804090</v>
      </c>
      <c r="H619" s="31" t="n">
        <v>1.4</v>
      </c>
      <c r="I619" s="84">
        <f>IFERROR(F619*Settings!$B$2*H619*IF(AND(ISNUMBER(E619),E619&gt;1),E619,1),"")</f>
        <v/>
      </c>
      <c r="J619" s="32">
        <f>Settings!$B$66</f>
        <v/>
      </c>
      <c r="K619" s="95">
        <f>IFERROR(IF(T619="","",(T619*(1-AN619)*(1-Settings!$B$17)-I619)/(T619*(1-AN619)*(1-Settings!$B$17))),"")</f>
        <v/>
      </c>
      <c r="L619" s="101">
        <f>IFERROR(IF(T619="","",(T619*(1-AO619)*(1-Settings!$C$17)-I619)/(T619*(1-AO619)*(1-Settings!$C$17))),"")</f>
        <v/>
      </c>
      <c r="M619" s="101">
        <f>IFERROR(IF(T619="","",(T619*(1-AP619)*(1-Settings!$D$17)-I619)/(T619*(1-AP619)*(1-Settings!$D$17))),"")</f>
        <v/>
      </c>
      <c r="N619" s="101">
        <f>IFERROR(IF(T619="","",(T619*(1-AQ619)*(1-Settings!$F$17)-I619)/(T619*(1-AQ619)*(1-Settings!$F$17))),"")</f>
        <v/>
      </c>
      <c r="O619" s="101">
        <f>IFERROR(IF(T619="","",(T619*(1-AR619)*(1-Settings!$G$17)-I619)/(T619*(1-AR619)*(1-Settings!$G$17))),"")</f>
        <v/>
      </c>
      <c r="P619" s="101">
        <f>IFERROR(IF(T619="","",(T619*(1-AS619)*(1-Settings!$H$17)-I619)/(T619*(1-AS619)*(1-Settings!$H$17))),"")</f>
        <v/>
      </c>
      <c r="Q619" s="101">
        <f>IFERROR(IF(T619="","",(T619*(1-AT619)*(1-Settings!$I$68)*(1-Settings!$I$17)-I619)/(T619*(1-AT619)*(1-Settings!$I$68)*(1-Settings!$I$17))),"")</f>
        <v/>
      </c>
      <c r="R619" s="91">
        <f>IFERROR(IF(OR(I619="",Z619&gt;=1,Settings!$B$17&gt;=1,AN619&gt;=1),"",IF(MOD(ROUND(I619/(1-Z619)/(1-Settings!$B$17)/(1-AN619),0),10)=0,ROUND(I619/(1-Z619)/(1-Settings!$B$17)/(1-AN619),0)-1,IF(MOD(ROUND(I619/(1-Z619)/(1-Settings!$B$17)/(1-AN619),0),10)&lt;=5,FLOOR(ROUND(I619/(1-Z619)/(1-Settings!$B$17)/(1-AN619),0),10)+6,FLOOR(ROUND(I619/(1-Z619)/(1-Settings!$B$17)/(1-AN619),0),10)+9))),"")</f>
        <v/>
      </c>
      <c r="S619" s="174">
        <f>R619*0.95</f>
        <v/>
      </c>
      <c r="T619" s="91">
        <f>IF(S619&lt;&gt;"", IF(MOD(S619,10)=0,S619-1,IF(MOD(S619,10)&lt;=5,FLOOR(S619,10)+6,FLOOR(S619,10)+9)), R619)</f>
        <v/>
      </c>
      <c r="U619" s="87" t="inlineStr">
        <is>
          <t>Основний</t>
        </is>
      </c>
      <c r="V619" s="88" t="n"/>
      <c r="W619" s="88" t="n"/>
      <c r="X619" s="89">
        <f>IFERROR(IF(OR(V619="",W619="",T619=""),"", IF(T619&gt;W619,"Дорогий",IF(T619&lt;V619,"Дешевий","У ринку"))),"")</f>
        <v/>
      </c>
      <c r="Y619" s="90" t="n"/>
      <c r="Z619" s="104">
        <f>CHOOSE(MATCH(IF($U619="","Основний",$U619),{"Трафіковий","Основний","Маржинальний","Сезонний","Стратегічний"},0),0.16,0.19,0.24,0.23,0.28)</f>
        <v/>
      </c>
      <c r="AA619" s="104">
        <f>CHOOSE(MATCH(IF($U619="","Основний",$U619),{"Трафіковий","Основний","Маржинальний","Сезонний","Стратегічний"},0),0.18,0.21,0.26,0.25,0.3)</f>
        <v/>
      </c>
      <c r="AB619" s="104">
        <f>CHOOSE(MATCH(IF($U619="","Основний",$U619),{"Трафіковий","Основний","Маржинальний","Сезонний","Стратегічний"},0),0.19,0.22,0.28,0.26,0.32)</f>
        <v/>
      </c>
      <c r="AC619" s="104">
        <f>CHOOSE(MATCH(IF($U619="","Основний",$U619),{"Трафіковий","Основний","Маржинальний","Сезонний","Стратегічний"},0),0.17,0.2,0.25,0.24,0.28)</f>
        <v/>
      </c>
      <c r="AD619" s="104">
        <f>CHOOSE(MATCH(IF($U619="","Основний",$U619),{"Трафіковий","Основний","Маржинальний","Сезонний","Стратегічний"},0),0.18,0.21,0.26,0.25,0.3)</f>
        <v/>
      </c>
      <c r="AE619" s="104">
        <f>CHOOSE(MATCH(IF($U619="","Основний",$U619),{"Трафіковий","Основний","Маржинальний","Сезонний","Стратегічний"},0),0.18,0.2,0.28,0.27,0.32)</f>
        <v/>
      </c>
      <c r="AF619" s="104">
        <f>CHOOSE(MATCH(IF($U619="","Основний",$U619),{"Трафіковий","Основний","Маржинальний","Сезонний","Стратегічний"},0),0.15,0.175,0.22,0.21,0.25)</f>
        <v/>
      </c>
      <c r="AG619" s="104">
        <f>CHOOSE(MATCH(IF($U619="","Основний",$U619),{"Трафіковий","Основний","Маржинальний","Сезонний","Стратегічний"},0),0.13,0.16,0.21,0.2,0.25)</f>
        <v/>
      </c>
      <c r="AH619" s="104">
        <f>CHOOSE(MATCH(IF($U619="","Основний",$U619),{"Трафіковий","Основний","Маржинальний","Сезонний","Стратегічний"},0),0.15,0.18,0.23,0.22,0.27)</f>
        <v/>
      </c>
      <c r="AI619" s="104">
        <f>CHOOSE(MATCH(IF($U619="","Основний",$U619),{"Трафіковий","Основний","Маржинальний","Сезонний","Стратегічний"},0),0.16,0.19,0.25,0.23,0.29)</f>
        <v/>
      </c>
      <c r="AJ619" s="104">
        <f>CHOOSE(MATCH(IF($U619="","Основний",$U619),{"Трафіковий","Основний","Маржинальний","Сезонний","Стратегічний"},0),0.14,0.17,0.22,0.21,0.25)</f>
        <v/>
      </c>
      <c r="AK619" s="104">
        <f>CHOOSE(MATCH(IF($U619="","Основний",$U619),{"Трафіковий","Основний","Маржинальний","Сезонний","Стратегічний"},0),0.15,0.18,0.23,0.22,0.27)</f>
        <v/>
      </c>
      <c r="AL619" s="104">
        <f>CHOOSE(MATCH(IF($U619="","Основний",$U619),{"Трафіковий","Основний","Маржинальний","Сезонний","Стратегічний"},0),0.15,0.17,0.25,0.24,0.29)</f>
        <v/>
      </c>
      <c r="AM619" s="104">
        <f>CHOOSE(MATCH(IF($U619="","Основний",$U619),{"Трафіковий","Основний","Маржинальний","Сезонний","Стратегічний"},0),0.12,0.145,0.19,0.18,0.22)</f>
        <v/>
      </c>
      <c r="AN619" s="157">
        <f>CHOOSE(MATCH(IF($U619="","Основний",$U619),{"Трафіковий","Основний","Маржинальний","Сезонний","Стратегічний"},0),Settings!$B$78,Settings!$B$80,Settings!$B$82,Settings!$B$84,Settings!$B$86)</f>
        <v/>
      </c>
      <c r="AO619" s="157">
        <f>CHOOSE(MATCH(IF($U619="","Основний",$U619),{"Трафіковий","Основний","Маржинальний","Сезонний","Стратегічний"},0),Settings!$C$78,Settings!$C$80,Settings!$C$82,Settings!$C$84,Settings!$C$86)</f>
        <v/>
      </c>
      <c r="AP619" s="157">
        <f>CHOOSE(MATCH(IF($U619="","Основний",$U619),{"Трафіковий","Основний","Маржинальний","Сезонний","Стратегічний"},0),Settings!$D$78,Settings!$D$80,Settings!$D$82,Settings!$D$84,Settings!$D$86)</f>
        <v/>
      </c>
      <c r="AQ619" s="157">
        <f>CHOOSE(MATCH(IF($U619="","Основний",$U619),{"Трафіковий","Основний","Маржинальний","Сезонний","Стратегічний"},0),Settings!$F$78,Settings!$F$80,Settings!$F$82,Settings!$F$84,Settings!$F$86)</f>
        <v/>
      </c>
      <c r="AR619" s="157">
        <f>CHOOSE(MATCH(IF($U619="","Основний",$U619),{"Трафіковий","Основний","Маржинальний","Сезонний","Стратегічний"},0),Settings!$G$78,Settings!$G$80,Settings!$G$82,Settings!$G$84,Settings!$G$86)</f>
        <v/>
      </c>
      <c r="AS619" s="157">
        <f>CHOOSE(MATCH(IF($U619="","Основний",$U619),{"Трафіковий","Основний","Маржинальний","Сезонний","Стратегічний"},0),Settings!$H$78,Settings!$H$80,Settings!$H$82,Settings!$H$84,Settings!$H$86)</f>
        <v/>
      </c>
      <c r="AT619" s="157">
        <f>CHOOSE(MATCH(IF($U619="","Основний",$U619),{"Трафіковий","Основний","Маржинальний","Сезонний","Стратегічний"},0),Settings!$I$78,Settings!$I$80,Settings!$I$82,Settings!$I$84,Settings!$I$86)</f>
        <v/>
      </c>
      <c r="AU619" s="171" t="n"/>
      <c r="AV619" t="n">
        <v>1.35</v>
      </c>
    </row>
    <row r="620">
      <c r="A620" s="28" t="inlineStr">
        <is>
          <t>NEW</t>
        </is>
      </c>
      <c r="B620" s="29" t="inlineStr">
        <is>
          <t>P57P02</t>
        </is>
      </c>
      <c r="C620" s="29" t="inlineStr">
        <is>
          <t>WIRELESS DOORCHIME DC P57P02</t>
        </is>
      </c>
      <c r="D620" s="29" t="inlineStr">
        <is>
          <t>Дверні дзвінки</t>
        </is>
      </c>
      <c r="E620" s="28" t="inlineStr">
        <is>
          <t>PC</t>
        </is>
      </c>
      <c r="F620" s="93" t="n">
        <v>7.565</v>
      </c>
      <c r="G620" s="30" t="n">
        <v>8531804090</v>
      </c>
      <c r="H620" s="31" t="n">
        <v>1.4</v>
      </c>
      <c r="I620" s="84">
        <f>IFERROR(F620*Settings!$B$2*H620*IF(AND(ISNUMBER(E620),E620&gt;1),E620,1),"")</f>
        <v/>
      </c>
      <c r="J620" s="32">
        <f>Settings!$B$66</f>
        <v/>
      </c>
      <c r="K620" s="95">
        <f>IFERROR(IF(T620="","",(T620*(1-AN620)*(1-Settings!$B$17)-I620)/(T620*(1-AN620)*(1-Settings!$B$17))),"")</f>
        <v/>
      </c>
      <c r="L620" s="101">
        <f>IFERROR(IF(T620="","",(T620*(1-AO620)*(1-Settings!$C$17)-I620)/(T620*(1-AO620)*(1-Settings!$C$17))),"")</f>
        <v/>
      </c>
      <c r="M620" s="101">
        <f>IFERROR(IF(T620="","",(T620*(1-AP620)*(1-Settings!$D$17)-I620)/(T620*(1-AP620)*(1-Settings!$D$17))),"")</f>
        <v/>
      </c>
      <c r="N620" s="101">
        <f>IFERROR(IF(T620="","",(T620*(1-AQ620)*(1-Settings!$F$17)-I620)/(T620*(1-AQ620)*(1-Settings!$F$17))),"")</f>
        <v/>
      </c>
      <c r="O620" s="101">
        <f>IFERROR(IF(T620="","",(T620*(1-AR620)*(1-Settings!$G$17)-I620)/(T620*(1-AR620)*(1-Settings!$G$17))),"")</f>
        <v/>
      </c>
      <c r="P620" s="101">
        <f>IFERROR(IF(T620="","",(T620*(1-AS620)*(1-Settings!$H$17)-I620)/(T620*(1-AS620)*(1-Settings!$H$17))),"")</f>
        <v/>
      </c>
      <c r="Q620" s="101">
        <f>IFERROR(IF(T620="","",(T620*(1-AT620)*(1-Settings!$I$68)*(1-Settings!$I$17)-I620)/(T620*(1-AT620)*(1-Settings!$I$68)*(1-Settings!$I$17))),"")</f>
        <v/>
      </c>
      <c r="R620" s="91">
        <f>IFERROR(IF(OR(I620="",Z620&gt;=1,Settings!$B$17&gt;=1,AN620&gt;=1),"",IF(MOD(ROUND(I620/(1-Z620)/(1-Settings!$B$17)/(1-AN620),0),10)=0,ROUND(I620/(1-Z620)/(1-Settings!$B$17)/(1-AN620),0)-1,IF(MOD(ROUND(I620/(1-Z620)/(1-Settings!$B$17)/(1-AN620),0),10)&lt;=5,FLOOR(ROUND(I620/(1-Z620)/(1-Settings!$B$17)/(1-AN620),0),10)+6,FLOOR(ROUND(I620/(1-Z620)/(1-Settings!$B$17)/(1-AN620),0),10)+9))),"")</f>
        <v/>
      </c>
      <c r="S620" s="174">
        <f>R620*0.95</f>
        <v/>
      </c>
      <c r="T620" s="91">
        <f>IF(S620&lt;&gt;"", IF(MOD(S620,10)=0,S620-1,IF(MOD(S620,10)&lt;=5,FLOOR(S620,10)+6,FLOOR(S620,10)+9)), R620)</f>
        <v/>
      </c>
      <c r="U620" s="87" t="inlineStr">
        <is>
          <t>Основний</t>
        </is>
      </c>
      <c r="V620" s="88" t="n"/>
      <c r="W620" s="88" t="n"/>
      <c r="X620" s="89">
        <f>IFERROR(IF(OR(V620="",W620="",T620=""),"", IF(T620&gt;W620,"Дорогий",IF(T620&lt;V620,"Дешевий","У ринку"))),"")</f>
        <v/>
      </c>
      <c r="Y620" s="90" t="n"/>
      <c r="Z620" s="104">
        <f>CHOOSE(MATCH(IF($U620="","Основний",$U620),{"Трафіковий","Основний","Маржинальний","Сезонний","Стратегічний"},0),0.16,0.19,0.24,0.23,0.28)</f>
        <v/>
      </c>
      <c r="AA620" s="104">
        <f>CHOOSE(MATCH(IF($U620="","Основний",$U620),{"Трафіковий","Основний","Маржинальний","Сезонний","Стратегічний"},0),0.18,0.21,0.26,0.25,0.3)</f>
        <v/>
      </c>
      <c r="AB620" s="104">
        <f>CHOOSE(MATCH(IF($U620="","Основний",$U620),{"Трафіковий","Основний","Маржинальний","Сезонний","Стратегічний"},0),0.19,0.22,0.28,0.26,0.32)</f>
        <v/>
      </c>
      <c r="AC620" s="104">
        <f>CHOOSE(MATCH(IF($U620="","Основний",$U620),{"Трафіковий","Основний","Маржинальний","Сезонний","Стратегічний"},0),0.17,0.2,0.25,0.24,0.28)</f>
        <v/>
      </c>
      <c r="AD620" s="104">
        <f>CHOOSE(MATCH(IF($U620="","Основний",$U620),{"Трафіковий","Основний","Маржинальний","Сезонний","Стратегічний"},0),0.18,0.21,0.26,0.25,0.3)</f>
        <v/>
      </c>
      <c r="AE620" s="104">
        <f>CHOOSE(MATCH(IF($U620="","Основний",$U620),{"Трафіковий","Основний","Маржинальний","Сезонний","Стратегічний"},0),0.18,0.2,0.28,0.27,0.32)</f>
        <v/>
      </c>
      <c r="AF620" s="104">
        <f>CHOOSE(MATCH(IF($U620="","Основний",$U620),{"Трафіковий","Основний","Маржинальний","Сезонний","Стратегічний"},0),0.15,0.175,0.22,0.21,0.25)</f>
        <v/>
      </c>
      <c r="AG620" s="104">
        <f>CHOOSE(MATCH(IF($U620="","Основний",$U620),{"Трафіковий","Основний","Маржинальний","Сезонний","Стратегічний"},0),0.13,0.16,0.21,0.2,0.25)</f>
        <v/>
      </c>
      <c r="AH620" s="104">
        <f>CHOOSE(MATCH(IF($U620="","Основний",$U620),{"Трафіковий","Основний","Маржинальний","Сезонний","Стратегічний"},0),0.15,0.18,0.23,0.22,0.27)</f>
        <v/>
      </c>
      <c r="AI620" s="104">
        <f>CHOOSE(MATCH(IF($U620="","Основний",$U620),{"Трафіковий","Основний","Маржинальний","Сезонний","Стратегічний"},0),0.16,0.19,0.25,0.23,0.29)</f>
        <v/>
      </c>
      <c r="AJ620" s="104">
        <f>CHOOSE(MATCH(IF($U620="","Основний",$U620),{"Трафіковий","Основний","Маржинальний","Сезонний","Стратегічний"},0),0.14,0.17,0.22,0.21,0.25)</f>
        <v/>
      </c>
      <c r="AK620" s="104">
        <f>CHOOSE(MATCH(IF($U620="","Основний",$U620),{"Трафіковий","Основний","Маржинальний","Сезонний","Стратегічний"},0),0.15,0.18,0.23,0.22,0.27)</f>
        <v/>
      </c>
      <c r="AL620" s="104">
        <f>CHOOSE(MATCH(IF($U620="","Основний",$U620),{"Трафіковий","Основний","Маржинальний","Сезонний","Стратегічний"},0),0.15,0.17,0.25,0.24,0.29)</f>
        <v/>
      </c>
      <c r="AM620" s="104">
        <f>CHOOSE(MATCH(IF($U620="","Основний",$U620),{"Трафіковий","Основний","Маржинальний","Сезонний","Стратегічний"},0),0.12,0.145,0.19,0.18,0.22)</f>
        <v/>
      </c>
      <c r="AN620" s="157">
        <f>CHOOSE(MATCH(IF($U620="","Основний",$U620),{"Трафіковий","Основний","Маржинальний","Сезонний","Стратегічний"},0),Settings!$B$78,Settings!$B$80,Settings!$B$82,Settings!$B$84,Settings!$B$86)</f>
        <v/>
      </c>
      <c r="AO620" s="157">
        <f>CHOOSE(MATCH(IF($U620="","Основний",$U620),{"Трафіковий","Основний","Маржинальний","Сезонний","Стратегічний"},0),Settings!$C$78,Settings!$C$80,Settings!$C$82,Settings!$C$84,Settings!$C$86)</f>
        <v/>
      </c>
      <c r="AP620" s="157">
        <f>CHOOSE(MATCH(IF($U620="","Основний",$U620),{"Трафіковий","Основний","Маржинальний","Сезонний","Стратегічний"},0),Settings!$D$78,Settings!$D$80,Settings!$D$82,Settings!$D$84,Settings!$D$86)</f>
        <v/>
      </c>
      <c r="AQ620" s="157">
        <f>CHOOSE(MATCH(IF($U620="","Основний",$U620),{"Трафіковий","Основний","Маржинальний","Сезонний","Стратегічний"},0),Settings!$F$78,Settings!$F$80,Settings!$F$82,Settings!$F$84,Settings!$F$86)</f>
        <v/>
      </c>
      <c r="AR620" s="157">
        <f>CHOOSE(MATCH(IF($U620="","Основний",$U620),{"Трафіковий","Основний","Маржинальний","Сезонний","Стратегічний"},0),Settings!$G$78,Settings!$G$80,Settings!$G$82,Settings!$G$84,Settings!$G$86)</f>
        <v/>
      </c>
      <c r="AS620" s="157">
        <f>CHOOSE(MATCH(IF($U620="","Основний",$U620),{"Трафіковий","Основний","Маржинальний","Сезонний","Стратегічний"},0),Settings!$H$78,Settings!$H$80,Settings!$H$82,Settings!$H$84,Settings!$H$86)</f>
        <v/>
      </c>
      <c r="AT620" s="157">
        <f>CHOOSE(MATCH(IF($U620="","Основний",$U620),{"Трафіковий","Основний","Маржинальний","Сезонний","Стратегічний"},0),Settings!$I$78,Settings!$I$80,Settings!$I$82,Settings!$I$84,Settings!$I$86)</f>
        <v/>
      </c>
      <c r="AU620" s="171" t="n"/>
      <c r="AV620" t="n">
        <v>1.35</v>
      </c>
    </row>
    <row r="621">
      <c r="A621" s="33" t="n"/>
      <c r="B621" s="34" t="inlineStr">
        <is>
          <t>P5728</t>
        </is>
      </c>
      <c r="C621" s="34" t="inlineStr">
        <is>
          <t>WIRELESS DOORCHIME DC P5728</t>
        </is>
      </c>
      <c r="D621" s="34" t="inlineStr">
        <is>
          <t>Дверні дзвінки</t>
        </is>
      </c>
      <c r="E621" s="33" t="inlineStr">
        <is>
          <t>PC</t>
        </is>
      </c>
      <c r="F621" s="94" t="n">
        <v>6.209</v>
      </c>
      <c r="G621" s="35" t="n">
        <v>8531804090</v>
      </c>
      <c r="H621" s="31" t="n">
        <v>1.4</v>
      </c>
      <c r="I621" s="84">
        <f>IFERROR(F621*Settings!$B$2*H621*IF(AND(ISNUMBER(E621),E621&gt;1),E621,1),"")</f>
        <v/>
      </c>
      <c r="J621" s="32">
        <f>Settings!$B$66</f>
        <v/>
      </c>
      <c r="K621" s="95">
        <f>IFERROR(IF(T621="","",(T621*(1-AN621)*(1-Settings!$B$17)-I621)/(T621*(1-AN621)*(1-Settings!$B$17))),"")</f>
        <v/>
      </c>
      <c r="L621" s="101">
        <f>IFERROR(IF(T621="","",(T621*(1-AO621)*(1-Settings!$C$17)-I621)/(T621*(1-AO621)*(1-Settings!$C$17))),"")</f>
        <v/>
      </c>
      <c r="M621" s="101">
        <f>IFERROR(IF(T621="","",(T621*(1-AP621)*(1-Settings!$D$17)-I621)/(T621*(1-AP621)*(1-Settings!$D$17))),"")</f>
        <v/>
      </c>
      <c r="N621" s="101">
        <f>IFERROR(IF(T621="","",(T621*(1-AQ621)*(1-Settings!$F$17)-I621)/(T621*(1-AQ621)*(1-Settings!$F$17))),"")</f>
        <v/>
      </c>
      <c r="O621" s="101">
        <f>IFERROR(IF(T621="","",(T621*(1-AR621)*(1-Settings!$G$17)-I621)/(T621*(1-AR621)*(1-Settings!$G$17))),"")</f>
        <v/>
      </c>
      <c r="P621" s="101">
        <f>IFERROR(IF(T621="","",(T621*(1-AS621)*(1-Settings!$H$17)-I621)/(T621*(1-AS621)*(1-Settings!$H$17))),"")</f>
        <v/>
      </c>
      <c r="Q621" s="101">
        <f>IFERROR(IF(T621="","",(T621*(1-AT621)*(1-Settings!$I$68)*(1-Settings!$I$17)-I621)/(T621*(1-AT621)*(1-Settings!$I$68)*(1-Settings!$I$17))),"")</f>
        <v/>
      </c>
      <c r="R621" s="91">
        <f>IFERROR(IF(OR(I621="",Z621&gt;=1,Settings!$B$17&gt;=1,AN621&gt;=1),"",IF(MOD(ROUND(I621/(1-Z621)/(1-Settings!$B$17)/(1-AN621),0),10)=0,ROUND(I621/(1-Z621)/(1-Settings!$B$17)/(1-AN621),0)-1,IF(MOD(ROUND(I621/(1-Z621)/(1-Settings!$B$17)/(1-AN621),0),10)&lt;=5,FLOOR(ROUND(I621/(1-Z621)/(1-Settings!$B$17)/(1-AN621),0),10)+6,FLOOR(ROUND(I621/(1-Z621)/(1-Settings!$B$17)/(1-AN621),0),10)+9))),"")</f>
        <v/>
      </c>
      <c r="S621" s="92" t="n">
        <v>839</v>
      </c>
      <c r="T621" s="91">
        <f>IF(S621&lt;&gt;"", IF(MOD(S621,10)=0,S621-1,IF(MOD(S621,10)&lt;=5,FLOOR(S621,10)+6,FLOOR(S621,10)+9)), R621)</f>
        <v/>
      </c>
      <c r="U621" s="87" t="inlineStr">
        <is>
          <t>Основний</t>
        </is>
      </c>
      <c r="V621" s="88" t="n"/>
      <c r="W621" s="88" t="n"/>
      <c r="X621" s="89">
        <f>IFERROR(IF(OR(V621="",W621="",T621=""),"", IF(T621&gt;W621,"Дорогий",IF(T621&lt;V621,"Дешевий","У ринку"))),"")</f>
        <v/>
      </c>
      <c r="Y621" s="90" t="n"/>
      <c r="Z621" s="104">
        <f>CHOOSE(MATCH(IF($U621="","Основний",$U621),{"Трафіковий","Основний","Маржинальний","Сезонний","Стратегічний"},0),0.16,0.19,0.24,0.23,0.28)</f>
        <v/>
      </c>
      <c r="AA621" s="104">
        <f>CHOOSE(MATCH(IF($U621="","Основний",$U621),{"Трафіковий","Основний","Маржинальний","Сезонний","Стратегічний"},0),0.18,0.21,0.26,0.25,0.3)</f>
        <v/>
      </c>
      <c r="AB621" s="104">
        <f>CHOOSE(MATCH(IF($U621="","Основний",$U621),{"Трафіковий","Основний","Маржинальний","Сезонний","Стратегічний"},0),0.19,0.22,0.28,0.26,0.32)</f>
        <v/>
      </c>
      <c r="AC621" s="104">
        <f>CHOOSE(MATCH(IF($U621="","Основний",$U621),{"Трафіковий","Основний","Маржинальний","Сезонний","Стратегічний"},0),0.17,0.2,0.25,0.24,0.28)</f>
        <v/>
      </c>
      <c r="AD621" s="104">
        <f>CHOOSE(MATCH(IF($U621="","Основний",$U621),{"Трафіковий","Основний","Маржинальний","Сезонний","Стратегічний"},0),0.18,0.21,0.26,0.25,0.3)</f>
        <v/>
      </c>
      <c r="AE621" s="104">
        <f>CHOOSE(MATCH(IF($U621="","Основний",$U621),{"Трафіковий","Основний","Маржинальний","Сезонний","Стратегічний"},0),0.18,0.2,0.28,0.27,0.32)</f>
        <v/>
      </c>
      <c r="AF621" s="104">
        <f>CHOOSE(MATCH(IF($U621="","Основний",$U621),{"Трафіковий","Основний","Маржинальний","Сезонний","Стратегічний"},0),0.15,0.175,0.22,0.21,0.25)</f>
        <v/>
      </c>
      <c r="AG621" s="104">
        <f>CHOOSE(MATCH(IF($U621="","Основний",$U621),{"Трафіковий","Основний","Маржинальний","Сезонний","Стратегічний"},0),0.13,0.16,0.21,0.2,0.25)</f>
        <v/>
      </c>
      <c r="AH621" s="104">
        <f>CHOOSE(MATCH(IF($U621="","Основний",$U621),{"Трафіковий","Основний","Маржинальний","Сезонний","Стратегічний"},0),0.15,0.18,0.23,0.22,0.27)</f>
        <v/>
      </c>
      <c r="AI621" s="104">
        <f>CHOOSE(MATCH(IF($U621="","Основний",$U621),{"Трафіковий","Основний","Маржинальний","Сезонний","Стратегічний"},0),0.16,0.19,0.25,0.23,0.29)</f>
        <v/>
      </c>
      <c r="AJ621" s="104">
        <f>CHOOSE(MATCH(IF($U621="","Основний",$U621),{"Трафіковий","Основний","Маржинальний","Сезонний","Стратегічний"},0),0.14,0.17,0.22,0.21,0.25)</f>
        <v/>
      </c>
      <c r="AK621" s="104">
        <f>CHOOSE(MATCH(IF($U621="","Основний",$U621),{"Трафіковий","Основний","Маржинальний","Сезонний","Стратегічний"},0),0.15,0.18,0.23,0.22,0.27)</f>
        <v/>
      </c>
      <c r="AL621" s="104">
        <f>CHOOSE(MATCH(IF($U621="","Основний",$U621),{"Трафіковий","Основний","Маржинальний","Сезонний","Стратегічний"},0),0.15,0.17,0.25,0.24,0.29)</f>
        <v/>
      </c>
      <c r="AM621" s="104">
        <f>CHOOSE(MATCH(IF($U621="","Основний",$U621),{"Трафіковий","Основний","Маржинальний","Сезонний","Стратегічний"},0),0.12,0.145,0.19,0.18,0.22)</f>
        <v/>
      </c>
      <c r="AN621" s="157">
        <f>CHOOSE(MATCH(IF($U621="","Основний",$U621),{"Трафіковий","Основний","Маржинальний","Сезонний","Стратегічний"},0),Settings!$B$78,Settings!$B$80,Settings!$B$82,Settings!$B$84,Settings!$B$86)</f>
        <v/>
      </c>
      <c r="AO621" s="157">
        <f>CHOOSE(MATCH(IF($U621="","Основний",$U621),{"Трафіковий","Основний","Маржинальний","Сезонний","Стратегічний"},0),Settings!$C$78,Settings!$C$80,Settings!$C$82,Settings!$C$84,Settings!$C$86)</f>
        <v/>
      </c>
      <c r="AP621" s="157">
        <f>CHOOSE(MATCH(IF($U621="","Основний",$U621),{"Трафіковий","Основний","Маржинальний","Сезонний","Стратегічний"},0),Settings!$D$78,Settings!$D$80,Settings!$D$82,Settings!$D$84,Settings!$D$86)</f>
        <v/>
      </c>
      <c r="AQ621" s="157">
        <f>CHOOSE(MATCH(IF($U621="","Основний",$U621),{"Трафіковий","Основний","Маржинальний","Сезонний","Стратегічний"},0),Settings!$F$78,Settings!$F$80,Settings!$F$82,Settings!$F$84,Settings!$F$86)</f>
        <v/>
      </c>
      <c r="AR621" s="157">
        <f>CHOOSE(MATCH(IF($U621="","Основний",$U621),{"Трафіковий","Основний","Маржинальний","Сезонний","Стратегічний"},0),Settings!$G$78,Settings!$G$80,Settings!$G$82,Settings!$G$84,Settings!$G$86)</f>
        <v/>
      </c>
      <c r="AS621" s="157">
        <f>CHOOSE(MATCH(IF($U621="","Основний",$U621),{"Трафіковий","Основний","Маржинальний","Сезонний","Стратегічний"},0),Settings!$H$78,Settings!$H$80,Settings!$H$82,Settings!$H$84,Settings!$H$86)</f>
        <v/>
      </c>
      <c r="AT621" s="157">
        <f>CHOOSE(MATCH(IF($U621="","Основний",$U621),{"Трафіковий","Основний","Маржинальний","Сезонний","Стратегічний"},0),Settings!$I$78,Settings!$I$80,Settings!$I$82,Settings!$I$84,Settings!$I$86)</f>
        <v/>
      </c>
      <c r="AU621" s="171" t="n"/>
      <c r="AV621" t="n">
        <v>1.35</v>
      </c>
    </row>
    <row r="622">
      <c r="A622" s="28" t="n"/>
      <c r="B622" s="29" t="inlineStr">
        <is>
          <t>P5729</t>
        </is>
      </c>
      <c r="C622" s="29" t="inlineStr">
        <is>
          <t>WIRELESS DOORCHIME AC P5729</t>
        </is>
      </c>
      <c r="D622" s="29" t="inlineStr">
        <is>
          <t>Дверні дзвінки</t>
        </is>
      </c>
      <c r="E622" s="28" t="inlineStr">
        <is>
          <t>PC</t>
        </is>
      </c>
      <c r="F622" s="93" t="n">
        <v>8.992000000000001</v>
      </c>
      <c r="G622" s="30" t="n">
        <v>8531804090</v>
      </c>
      <c r="H622" s="31" t="n">
        <v>1.4</v>
      </c>
      <c r="I622" s="84">
        <f>IFERROR(F622*Settings!$B$2*H622*IF(AND(ISNUMBER(E622),E622&gt;1),E622,1),"")</f>
        <v/>
      </c>
      <c r="J622" s="32">
        <f>Settings!$B$66</f>
        <v/>
      </c>
      <c r="K622" s="95">
        <f>IFERROR(IF(T622="","",(T622*(1-AN622)*(1-Settings!$B$17)-I622)/(T622*(1-AN622)*(1-Settings!$B$17))),"")</f>
        <v/>
      </c>
      <c r="L622" s="101">
        <f>IFERROR(IF(T622="","",(T622*(1-AO622)*(1-Settings!$C$17)-I622)/(T622*(1-AO622)*(1-Settings!$C$17))),"")</f>
        <v/>
      </c>
      <c r="M622" s="101">
        <f>IFERROR(IF(T622="","",(T622*(1-AP622)*(1-Settings!$D$17)-I622)/(T622*(1-AP622)*(1-Settings!$D$17))),"")</f>
        <v/>
      </c>
      <c r="N622" s="101">
        <f>IFERROR(IF(T622="","",(T622*(1-AQ622)*(1-Settings!$F$17)-I622)/(T622*(1-AQ622)*(1-Settings!$F$17))),"")</f>
        <v/>
      </c>
      <c r="O622" s="101">
        <f>IFERROR(IF(T622="","",(T622*(1-AR622)*(1-Settings!$G$17)-I622)/(T622*(1-AR622)*(1-Settings!$G$17))),"")</f>
        <v/>
      </c>
      <c r="P622" s="101">
        <f>IFERROR(IF(T622="","",(T622*(1-AS622)*(1-Settings!$H$17)-I622)/(T622*(1-AS622)*(1-Settings!$H$17))),"")</f>
        <v/>
      </c>
      <c r="Q622" s="101">
        <f>IFERROR(IF(T622="","",(T622*(1-AT622)*(1-Settings!$I$68)*(1-Settings!$I$17)-I622)/(T622*(1-AT622)*(1-Settings!$I$68)*(1-Settings!$I$17))),"")</f>
        <v/>
      </c>
      <c r="R622" s="91">
        <f>IFERROR(IF(OR(I622="",Z622&gt;=1,Settings!$B$17&gt;=1,AN622&gt;=1),"",IF(MOD(ROUND(I622/(1-Z622)/(1-Settings!$B$17)/(1-AN622),0),10)=0,ROUND(I622/(1-Z622)/(1-Settings!$B$17)/(1-AN622),0)-1,IF(MOD(ROUND(I622/(1-Z622)/(1-Settings!$B$17)/(1-AN622),0),10)&lt;=5,FLOOR(ROUND(I622/(1-Z622)/(1-Settings!$B$17)/(1-AN622),0),10)+6,FLOOR(ROUND(I622/(1-Z622)/(1-Settings!$B$17)/(1-AN622),0),10)+9))),"")</f>
        <v/>
      </c>
      <c r="S622" s="92" t="n">
        <v>1220</v>
      </c>
      <c r="T622" s="91">
        <f>IF(S622&lt;&gt;"", IF(MOD(S622,10)=0,S622-1,IF(MOD(S622,10)&lt;=5,FLOOR(S622,10)+6,FLOOR(S622,10)+9)), R622)</f>
        <v/>
      </c>
      <c r="U622" s="87" t="inlineStr">
        <is>
          <t>Основний</t>
        </is>
      </c>
      <c r="V622" s="88" t="n"/>
      <c r="W622" s="88" t="n"/>
      <c r="X622" s="89">
        <f>IFERROR(IF(OR(V622="",W622="",T622=""),"", IF(T622&gt;W622,"Дорогий",IF(T622&lt;V622,"Дешевий","У ринку"))),"")</f>
        <v/>
      </c>
      <c r="Y622" s="90" t="n"/>
      <c r="Z622" s="104">
        <f>CHOOSE(MATCH(IF($U622="","Основний",$U622),{"Трафіковий","Основний","Маржинальний","Сезонний","Стратегічний"},0),0.16,0.19,0.24,0.23,0.28)</f>
        <v/>
      </c>
      <c r="AA622" s="104">
        <f>CHOOSE(MATCH(IF($U622="","Основний",$U622),{"Трафіковий","Основний","Маржинальний","Сезонний","Стратегічний"},0),0.18,0.21,0.26,0.25,0.3)</f>
        <v/>
      </c>
      <c r="AB622" s="104">
        <f>CHOOSE(MATCH(IF($U622="","Основний",$U622),{"Трафіковий","Основний","Маржинальний","Сезонний","Стратегічний"},0),0.19,0.22,0.28,0.26,0.32)</f>
        <v/>
      </c>
      <c r="AC622" s="104">
        <f>CHOOSE(MATCH(IF($U622="","Основний",$U622),{"Трафіковий","Основний","Маржинальний","Сезонний","Стратегічний"},0),0.17,0.2,0.25,0.24,0.28)</f>
        <v/>
      </c>
      <c r="AD622" s="104">
        <f>CHOOSE(MATCH(IF($U622="","Основний",$U622),{"Трафіковий","Основний","Маржинальний","Сезонний","Стратегічний"},0),0.18,0.21,0.26,0.25,0.3)</f>
        <v/>
      </c>
      <c r="AE622" s="104">
        <f>CHOOSE(MATCH(IF($U622="","Основний",$U622),{"Трафіковий","Основний","Маржинальний","Сезонний","Стратегічний"},0),0.18,0.2,0.28,0.27,0.32)</f>
        <v/>
      </c>
      <c r="AF622" s="104">
        <f>CHOOSE(MATCH(IF($U622="","Основний",$U622),{"Трафіковий","Основний","Маржинальний","Сезонний","Стратегічний"},0),0.15,0.175,0.22,0.21,0.25)</f>
        <v/>
      </c>
      <c r="AG622" s="104">
        <f>CHOOSE(MATCH(IF($U622="","Основний",$U622),{"Трафіковий","Основний","Маржинальний","Сезонний","Стратегічний"},0),0.13,0.16,0.21,0.2,0.25)</f>
        <v/>
      </c>
      <c r="AH622" s="104">
        <f>CHOOSE(MATCH(IF($U622="","Основний",$U622),{"Трафіковий","Основний","Маржинальний","Сезонний","Стратегічний"},0),0.15,0.18,0.23,0.22,0.27)</f>
        <v/>
      </c>
      <c r="AI622" s="104">
        <f>CHOOSE(MATCH(IF($U622="","Основний",$U622),{"Трафіковий","Основний","Маржинальний","Сезонний","Стратегічний"},0),0.16,0.19,0.25,0.23,0.29)</f>
        <v/>
      </c>
      <c r="AJ622" s="104">
        <f>CHOOSE(MATCH(IF($U622="","Основний",$U622),{"Трафіковий","Основний","Маржинальний","Сезонний","Стратегічний"},0),0.14,0.17,0.22,0.21,0.25)</f>
        <v/>
      </c>
      <c r="AK622" s="104">
        <f>CHOOSE(MATCH(IF($U622="","Основний",$U622),{"Трафіковий","Основний","Маржинальний","Сезонний","Стратегічний"},0),0.15,0.18,0.23,0.22,0.27)</f>
        <v/>
      </c>
      <c r="AL622" s="104">
        <f>CHOOSE(MATCH(IF($U622="","Основний",$U622),{"Трафіковий","Основний","Маржинальний","Сезонний","Стратегічний"},0),0.15,0.17,0.25,0.24,0.29)</f>
        <v/>
      </c>
      <c r="AM622" s="104">
        <f>CHOOSE(MATCH(IF($U622="","Основний",$U622),{"Трафіковий","Основний","Маржинальний","Сезонний","Стратегічний"},0),0.12,0.145,0.19,0.18,0.22)</f>
        <v/>
      </c>
      <c r="AN622" s="157">
        <f>CHOOSE(MATCH(IF($U622="","Основний",$U622),{"Трафіковий","Основний","Маржинальний","Сезонний","Стратегічний"},0),Settings!$B$78,Settings!$B$80,Settings!$B$82,Settings!$B$84,Settings!$B$86)</f>
        <v/>
      </c>
      <c r="AO622" s="157">
        <f>CHOOSE(MATCH(IF($U622="","Основний",$U622),{"Трафіковий","Основний","Маржинальний","Сезонний","Стратегічний"},0),Settings!$C$78,Settings!$C$80,Settings!$C$82,Settings!$C$84,Settings!$C$86)</f>
        <v/>
      </c>
      <c r="AP622" s="157">
        <f>CHOOSE(MATCH(IF($U622="","Основний",$U622),{"Трафіковий","Основний","Маржинальний","Сезонний","Стратегічний"},0),Settings!$D$78,Settings!$D$80,Settings!$D$82,Settings!$D$84,Settings!$D$86)</f>
        <v/>
      </c>
      <c r="AQ622" s="157">
        <f>CHOOSE(MATCH(IF($U622="","Основний",$U622),{"Трафіковий","Основний","Маржинальний","Сезонний","Стратегічний"},0),Settings!$F$78,Settings!$F$80,Settings!$F$82,Settings!$F$84,Settings!$F$86)</f>
        <v/>
      </c>
      <c r="AR622" s="157">
        <f>CHOOSE(MATCH(IF($U622="","Основний",$U622),{"Трафіковий","Основний","Маржинальний","Сезонний","Стратегічний"},0),Settings!$G$78,Settings!$G$80,Settings!$G$82,Settings!$G$84,Settings!$G$86)</f>
        <v/>
      </c>
      <c r="AS622" s="157">
        <f>CHOOSE(MATCH(IF($U622="","Основний",$U622),{"Трафіковий","Основний","Маржинальний","Сезонний","Стратегічний"},0),Settings!$H$78,Settings!$H$80,Settings!$H$82,Settings!$H$84,Settings!$H$86)</f>
        <v/>
      </c>
      <c r="AT622" s="157">
        <f>CHOOSE(MATCH(IF($U622="","Основний",$U622),{"Трафіковий","Основний","Маржинальний","Сезонний","Стратегічний"},0),Settings!$I$78,Settings!$I$80,Settings!$I$82,Settings!$I$84,Settings!$I$86)</f>
        <v/>
      </c>
      <c r="AU622" s="171" t="n"/>
      <c r="AV622" t="n">
        <v>1.35</v>
      </c>
    </row>
    <row r="623">
      <c r="A623" s="33" t="n"/>
      <c r="B623" s="34" t="inlineStr">
        <is>
          <t>P5730</t>
        </is>
      </c>
      <c r="C623" s="34" t="inlineStr">
        <is>
          <t>WIRELESS DOORCHIME DC P5730</t>
        </is>
      </c>
      <c r="D623" s="34" t="inlineStr">
        <is>
          <t>Дверні дзвінки</t>
        </is>
      </c>
      <c r="E623" s="33" t="inlineStr">
        <is>
          <t>PC</t>
        </is>
      </c>
      <c r="F623" s="94" t="n">
        <v>9.206</v>
      </c>
      <c r="G623" s="35" t="n">
        <v>8531804090</v>
      </c>
      <c r="H623" s="31" t="n">
        <v>1.4</v>
      </c>
      <c r="I623" s="84">
        <f>IFERROR(F623*Settings!$B$2*H623*IF(AND(ISNUMBER(E623),E623&gt;1),E623,1),"")</f>
        <v/>
      </c>
      <c r="J623" s="32">
        <f>Settings!$B$66</f>
        <v/>
      </c>
      <c r="K623" s="95">
        <f>IFERROR(IF(T623="","",(T623*(1-AN623)*(1-Settings!$B$17)-I623)/(T623*(1-AN623)*(1-Settings!$B$17))),"")</f>
        <v/>
      </c>
      <c r="L623" s="101">
        <f>IFERROR(IF(T623="","",(T623*(1-AO623)*(1-Settings!$C$17)-I623)/(T623*(1-AO623)*(1-Settings!$C$17))),"")</f>
        <v/>
      </c>
      <c r="M623" s="101">
        <f>IFERROR(IF(T623="","",(T623*(1-AP623)*(1-Settings!$D$17)-I623)/(T623*(1-AP623)*(1-Settings!$D$17))),"")</f>
        <v/>
      </c>
      <c r="N623" s="101">
        <f>IFERROR(IF(T623="","",(T623*(1-AQ623)*(1-Settings!$F$17)-I623)/(T623*(1-AQ623)*(1-Settings!$F$17))),"")</f>
        <v/>
      </c>
      <c r="O623" s="101">
        <f>IFERROR(IF(T623="","",(T623*(1-AR623)*(1-Settings!$G$17)-I623)/(T623*(1-AR623)*(1-Settings!$G$17))),"")</f>
        <v/>
      </c>
      <c r="P623" s="101">
        <f>IFERROR(IF(T623="","",(T623*(1-AS623)*(1-Settings!$H$17)-I623)/(T623*(1-AS623)*(1-Settings!$H$17))),"")</f>
        <v/>
      </c>
      <c r="Q623" s="101">
        <f>IFERROR(IF(T623="","",(T623*(1-AT623)*(1-Settings!$I$68)*(1-Settings!$I$17)-I623)/(T623*(1-AT623)*(1-Settings!$I$68)*(1-Settings!$I$17))),"")</f>
        <v/>
      </c>
      <c r="R623" s="91">
        <f>IFERROR(IF(OR(I623="",Z623&gt;=1,Settings!$B$17&gt;=1,AN623&gt;=1),"",IF(MOD(ROUND(I623/(1-Z623)/(1-Settings!$B$17)/(1-AN623),0),10)=0,ROUND(I623/(1-Z623)/(1-Settings!$B$17)/(1-AN623),0)-1,IF(MOD(ROUND(I623/(1-Z623)/(1-Settings!$B$17)/(1-AN623),0),10)&lt;=5,FLOOR(ROUND(I623/(1-Z623)/(1-Settings!$B$17)/(1-AN623),0),10)+6,FLOOR(ROUND(I623/(1-Z623)/(1-Settings!$B$17)/(1-AN623),0),10)+9))),"")</f>
        <v/>
      </c>
      <c r="S623" s="174">
        <f>R623*0.95</f>
        <v/>
      </c>
      <c r="T623" s="91">
        <f>IF(S623&lt;&gt;"", IF(MOD(S623,10)=0,S623-1,IF(MOD(S623,10)&lt;=5,FLOOR(S623,10)+6,FLOOR(S623,10)+9)), R623)</f>
        <v/>
      </c>
      <c r="U623" s="87" t="inlineStr">
        <is>
          <t>Основний</t>
        </is>
      </c>
      <c r="V623" s="88" t="n"/>
      <c r="W623" s="88" t="n"/>
      <c r="X623" s="89">
        <f>IFERROR(IF(OR(V623="",W623="",T623=""),"", IF(T623&gt;W623,"Дорогий",IF(T623&lt;V623,"Дешевий","У ринку"))),"")</f>
        <v/>
      </c>
      <c r="Y623" s="90" t="n"/>
      <c r="Z623" s="104">
        <f>CHOOSE(MATCH(IF($U623="","Основний",$U623),{"Трафіковий","Основний","Маржинальний","Сезонний","Стратегічний"},0),0.16,0.19,0.24,0.23,0.28)</f>
        <v/>
      </c>
      <c r="AA623" s="104">
        <f>CHOOSE(MATCH(IF($U623="","Основний",$U623),{"Трафіковий","Основний","Маржинальний","Сезонний","Стратегічний"},0),0.18,0.21,0.26,0.25,0.3)</f>
        <v/>
      </c>
      <c r="AB623" s="104">
        <f>CHOOSE(MATCH(IF($U623="","Основний",$U623),{"Трафіковий","Основний","Маржинальний","Сезонний","Стратегічний"},0),0.19,0.22,0.28,0.26,0.32)</f>
        <v/>
      </c>
      <c r="AC623" s="104">
        <f>CHOOSE(MATCH(IF($U623="","Основний",$U623),{"Трафіковий","Основний","Маржинальний","Сезонний","Стратегічний"},0),0.17,0.2,0.25,0.24,0.28)</f>
        <v/>
      </c>
      <c r="AD623" s="104">
        <f>CHOOSE(MATCH(IF($U623="","Основний",$U623),{"Трафіковий","Основний","Маржинальний","Сезонний","Стратегічний"},0),0.18,0.21,0.26,0.25,0.3)</f>
        <v/>
      </c>
      <c r="AE623" s="104">
        <f>CHOOSE(MATCH(IF($U623="","Основний",$U623),{"Трафіковий","Основний","Маржинальний","Сезонний","Стратегічний"},0),0.18,0.2,0.28,0.27,0.32)</f>
        <v/>
      </c>
      <c r="AF623" s="104">
        <f>CHOOSE(MATCH(IF($U623="","Основний",$U623),{"Трафіковий","Основний","Маржинальний","Сезонний","Стратегічний"},0),0.15,0.175,0.22,0.21,0.25)</f>
        <v/>
      </c>
      <c r="AG623" s="104">
        <f>CHOOSE(MATCH(IF($U623="","Основний",$U623),{"Трафіковий","Основний","Маржинальний","Сезонний","Стратегічний"},0),0.13,0.16,0.21,0.2,0.25)</f>
        <v/>
      </c>
      <c r="AH623" s="104">
        <f>CHOOSE(MATCH(IF($U623="","Основний",$U623),{"Трафіковий","Основний","Маржинальний","Сезонний","Стратегічний"},0),0.15,0.18,0.23,0.22,0.27)</f>
        <v/>
      </c>
      <c r="AI623" s="104">
        <f>CHOOSE(MATCH(IF($U623="","Основний",$U623),{"Трафіковий","Основний","Маржинальний","Сезонний","Стратегічний"},0),0.16,0.19,0.25,0.23,0.29)</f>
        <v/>
      </c>
      <c r="AJ623" s="104">
        <f>CHOOSE(MATCH(IF($U623="","Основний",$U623),{"Трафіковий","Основний","Маржинальний","Сезонний","Стратегічний"},0),0.14,0.17,0.22,0.21,0.25)</f>
        <v/>
      </c>
      <c r="AK623" s="104">
        <f>CHOOSE(MATCH(IF($U623="","Основний",$U623),{"Трафіковий","Основний","Маржинальний","Сезонний","Стратегічний"},0),0.15,0.18,0.23,0.22,0.27)</f>
        <v/>
      </c>
      <c r="AL623" s="104">
        <f>CHOOSE(MATCH(IF($U623="","Основний",$U623),{"Трафіковий","Основний","Маржинальний","Сезонний","Стратегічний"},0),0.15,0.17,0.25,0.24,0.29)</f>
        <v/>
      </c>
      <c r="AM623" s="104">
        <f>CHOOSE(MATCH(IF($U623="","Основний",$U623),{"Трафіковий","Основний","Маржинальний","Сезонний","Стратегічний"},0),0.12,0.145,0.19,0.18,0.22)</f>
        <v/>
      </c>
      <c r="AN623" s="157">
        <f>CHOOSE(MATCH(IF($U623="","Основний",$U623),{"Трафіковий","Основний","Маржинальний","Сезонний","Стратегічний"},0),Settings!$B$78,Settings!$B$80,Settings!$B$82,Settings!$B$84,Settings!$B$86)</f>
        <v/>
      </c>
      <c r="AO623" s="157">
        <f>CHOOSE(MATCH(IF($U623="","Основний",$U623),{"Трафіковий","Основний","Маржинальний","Сезонний","Стратегічний"},0),Settings!$C$78,Settings!$C$80,Settings!$C$82,Settings!$C$84,Settings!$C$86)</f>
        <v/>
      </c>
      <c r="AP623" s="157">
        <f>CHOOSE(MATCH(IF($U623="","Основний",$U623),{"Трафіковий","Основний","Маржинальний","Сезонний","Стратегічний"},0),Settings!$D$78,Settings!$D$80,Settings!$D$82,Settings!$D$84,Settings!$D$86)</f>
        <v/>
      </c>
      <c r="AQ623" s="157">
        <f>CHOOSE(MATCH(IF($U623="","Основний",$U623),{"Трафіковий","Основний","Маржинальний","Сезонний","Стратегічний"},0),Settings!$F$78,Settings!$F$80,Settings!$F$82,Settings!$F$84,Settings!$F$86)</f>
        <v/>
      </c>
      <c r="AR623" s="157">
        <f>CHOOSE(MATCH(IF($U623="","Основний",$U623),{"Трафіковий","Основний","Маржинальний","Сезонний","Стратегічний"},0),Settings!$G$78,Settings!$G$80,Settings!$G$82,Settings!$G$84,Settings!$G$86)</f>
        <v/>
      </c>
      <c r="AS623" s="157">
        <f>CHOOSE(MATCH(IF($U623="","Основний",$U623),{"Трафіковий","Основний","Маржинальний","Сезонний","Стратегічний"},0),Settings!$H$78,Settings!$H$80,Settings!$H$82,Settings!$H$84,Settings!$H$86)</f>
        <v/>
      </c>
      <c r="AT623" s="157">
        <f>CHOOSE(MATCH(IF($U623="","Основний",$U623),{"Трафіковий","Основний","Маржинальний","Сезонний","Стратегічний"},0),Settings!$I$78,Settings!$I$80,Settings!$I$82,Settings!$I$84,Settings!$I$86)</f>
        <v/>
      </c>
      <c r="AU623" s="171" t="n"/>
      <c r="AV623" t="n">
        <v>1.35</v>
      </c>
    </row>
    <row r="624">
      <c r="A624" s="28" t="n"/>
      <c r="B624" s="29" t="inlineStr">
        <is>
          <t>P5731</t>
        </is>
      </c>
      <c r="C624" s="29" t="inlineStr">
        <is>
          <t>WIRELESS DOORCHIME AC P5731</t>
        </is>
      </c>
      <c r="D624" s="29" t="inlineStr">
        <is>
          <t>Дверні дзвінки</t>
        </is>
      </c>
      <c r="E624" s="28" t="inlineStr">
        <is>
          <t>PC</t>
        </is>
      </c>
      <c r="F624" s="93" t="n">
        <v>13.274</v>
      </c>
      <c r="G624" s="30" t="n">
        <v>8531804090</v>
      </c>
      <c r="H624" s="31" t="n">
        <v>1.4</v>
      </c>
      <c r="I624" s="84">
        <f>IFERROR(F624*Settings!$B$2*H624*IF(AND(ISNUMBER(E624),E624&gt;1),E624,1),"")</f>
        <v/>
      </c>
      <c r="J624" s="32">
        <f>Settings!$B$66</f>
        <v/>
      </c>
      <c r="K624" s="95">
        <f>IFERROR(IF(T624="","",(T624*(1-AN624)*(1-Settings!$B$17)-I624)/(T624*(1-AN624)*(1-Settings!$B$17))),"")</f>
        <v/>
      </c>
      <c r="L624" s="101">
        <f>IFERROR(IF(T624="","",(T624*(1-AO624)*(1-Settings!$C$17)-I624)/(T624*(1-AO624)*(1-Settings!$C$17))),"")</f>
        <v/>
      </c>
      <c r="M624" s="101">
        <f>IFERROR(IF(T624="","",(T624*(1-AP624)*(1-Settings!$D$17)-I624)/(T624*(1-AP624)*(1-Settings!$D$17))),"")</f>
        <v/>
      </c>
      <c r="N624" s="101">
        <f>IFERROR(IF(T624="","",(T624*(1-AQ624)*(1-Settings!$F$17)-I624)/(T624*(1-AQ624)*(1-Settings!$F$17))),"")</f>
        <v/>
      </c>
      <c r="O624" s="101">
        <f>IFERROR(IF(T624="","",(T624*(1-AR624)*(1-Settings!$G$17)-I624)/(T624*(1-AR624)*(1-Settings!$G$17))),"")</f>
        <v/>
      </c>
      <c r="P624" s="101">
        <f>IFERROR(IF(T624="","",(T624*(1-AS624)*(1-Settings!$H$17)-I624)/(T624*(1-AS624)*(1-Settings!$H$17))),"")</f>
        <v/>
      </c>
      <c r="Q624" s="101">
        <f>IFERROR(IF(T624="","",(T624*(1-AT624)*(1-Settings!$I$68)*(1-Settings!$I$17)-I624)/(T624*(1-AT624)*(1-Settings!$I$68)*(1-Settings!$I$17))),"")</f>
        <v/>
      </c>
      <c r="R624" s="91">
        <f>IFERROR(IF(OR(I624="",Z624&gt;=1,Settings!$B$17&gt;=1,AN624&gt;=1),"",IF(MOD(ROUND(I624/(1-Z624)/(1-Settings!$B$17)/(1-AN624),0),10)=0,ROUND(I624/(1-Z624)/(1-Settings!$B$17)/(1-AN624),0)-1,IF(MOD(ROUND(I624/(1-Z624)/(1-Settings!$B$17)/(1-AN624),0),10)&lt;=5,FLOOR(ROUND(I624/(1-Z624)/(1-Settings!$B$17)/(1-AN624),0),10)+6,FLOOR(ROUND(I624/(1-Z624)/(1-Settings!$B$17)/(1-AN624),0),10)+9))),"")</f>
        <v/>
      </c>
      <c r="S624" s="174">
        <f>R624*0.95</f>
        <v/>
      </c>
      <c r="T624" s="91">
        <f>IF(S624&lt;&gt;"", IF(MOD(S624,10)=0,S624-1,IF(MOD(S624,10)&lt;=5,FLOOR(S624,10)+6,FLOOR(S624,10)+9)), R624)</f>
        <v/>
      </c>
      <c r="U624" s="87" t="inlineStr">
        <is>
          <t>Основний</t>
        </is>
      </c>
      <c r="V624" s="88" t="n"/>
      <c r="W624" s="88" t="n"/>
      <c r="X624" s="89">
        <f>IFERROR(IF(OR(V624="",W624="",T624=""),"", IF(T624&gt;W624,"Дорогий",IF(T624&lt;V624,"Дешевий","У ринку"))),"")</f>
        <v/>
      </c>
      <c r="Y624" s="90" t="n"/>
      <c r="Z624" s="104">
        <f>CHOOSE(MATCH(IF($U624="","Основний",$U624),{"Трафіковий","Основний","Маржинальний","Сезонний","Стратегічний"},0),0.16,0.19,0.24,0.23,0.28)</f>
        <v/>
      </c>
      <c r="AA624" s="104">
        <f>CHOOSE(MATCH(IF($U624="","Основний",$U624),{"Трафіковий","Основний","Маржинальний","Сезонний","Стратегічний"},0),0.18,0.21,0.26,0.25,0.3)</f>
        <v/>
      </c>
      <c r="AB624" s="104">
        <f>CHOOSE(MATCH(IF($U624="","Основний",$U624),{"Трафіковий","Основний","Маржинальний","Сезонний","Стратегічний"},0),0.19,0.22,0.28,0.26,0.32)</f>
        <v/>
      </c>
      <c r="AC624" s="104">
        <f>CHOOSE(MATCH(IF($U624="","Основний",$U624),{"Трафіковий","Основний","Маржинальний","Сезонний","Стратегічний"},0),0.17,0.2,0.25,0.24,0.28)</f>
        <v/>
      </c>
      <c r="AD624" s="104">
        <f>CHOOSE(MATCH(IF($U624="","Основний",$U624),{"Трафіковий","Основний","Маржинальний","Сезонний","Стратегічний"},0),0.18,0.21,0.26,0.25,0.3)</f>
        <v/>
      </c>
      <c r="AE624" s="104">
        <f>CHOOSE(MATCH(IF($U624="","Основний",$U624),{"Трафіковий","Основний","Маржинальний","Сезонний","Стратегічний"},0),0.18,0.2,0.28,0.27,0.32)</f>
        <v/>
      </c>
      <c r="AF624" s="104">
        <f>CHOOSE(MATCH(IF($U624="","Основний",$U624),{"Трафіковий","Основний","Маржинальний","Сезонний","Стратегічний"},0),0.15,0.175,0.22,0.21,0.25)</f>
        <v/>
      </c>
      <c r="AG624" s="104">
        <f>CHOOSE(MATCH(IF($U624="","Основний",$U624),{"Трафіковий","Основний","Маржинальний","Сезонний","Стратегічний"},0),0.13,0.16,0.21,0.2,0.25)</f>
        <v/>
      </c>
      <c r="AH624" s="104">
        <f>CHOOSE(MATCH(IF($U624="","Основний",$U624),{"Трафіковий","Основний","Маржинальний","Сезонний","Стратегічний"},0),0.15,0.18,0.23,0.22,0.27)</f>
        <v/>
      </c>
      <c r="AI624" s="104">
        <f>CHOOSE(MATCH(IF($U624="","Основний",$U624),{"Трафіковий","Основний","Маржинальний","Сезонний","Стратегічний"},0),0.16,0.19,0.25,0.23,0.29)</f>
        <v/>
      </c>
      <c r="AJ624" s="104">
        <f>CHOOSE(MATCH(IF($U624="","Основний",$U624),{"Трафіковий","Основний","Маржинальний","Сезонний","Стратегічний"},0),0.14,0.17,0.22,0.21,0.25)</f>
        <v/>
      </c>
      <c r="AK624" s="104">
        <f>CHOOSE(MATCH(IF($U624="","Основний",$U624),{"Трафіковий","Основний","Маржинальний","Сезонний","Стратегічний"},0),0.15,0.18,0.23,0.22,0.27)</f>
        <v/>
      </c>
      <c r="AL624" s="104">
        <f>CHOOSE(MATCH(IF($U624="","Основний",$U624),{"Трафіковий","Основний","Маржинальний","Сезонний","Стратегічний"},0),0.15,0.17,0.25,0.24,0.29)</f>
        <v/>
      </c>
      <c r="AM624" s="104">
        <f>CHOOSE(MATCH(IF($U624="","Основний",$U624),{"Трафіковий","Основний","Маржинальний","Сезонний","Стратегічний"},0),0.12,0.145,0.19,0.18,0.22)</f>
        <v/>
      </c>
      <c r="AN624" s="157">
        <f>CHOOSE(MATCH(IF($U624="","Основний",$U624),{"Трафіковий","Основний","Маржинальний","Сезонний","Стратегічний"},0),Settings!$B$78,Settings!$B$80,Settings!$B$82,Settings!$B$84,Settings!$B$86)</f>
        <v/>
      </c>
      <c r="AO624" s="157">
        <f>CHOOSE(MATCH(IF($U624="","Основний",$U624),{"Трафіковий","Основний","Маржинальний","Сезонний","Стратегічний"},0),Settings!$C$78,Settings!$C$80,Settings!$C$82,Settings!$C$84,Settings!$C$86)</f>
        <v/>
      </c>
      <c r="AP624" s="157">
        <f>CHOOSE(MATCH(IF($U624="","Основний",$U624),{"Трафіковий","Основний","Маржинальний","Сезонний","Стратегічний"},0),Settings!$D$78,Settings!$D$80,Settings!$D$82,Settings!$D$84,Settings!$D$86)</f>
        <v/>
      </c>
      <c r="AQ624" s="157">
        <f>CHOOSE(MATCH(IF($U624="","Основний",$U624),{"Трафіковий","Основний","Маржинальний","Сезонний","Стратегічний"},0),Settings!$F$78,Settings!$F$80,Settings!$F$82,Settings!$F$84,Settings!$F$86)</f>
        <v/>
      </c>
      <c r="AR624" s="157">
        <f>CHOOSE(MATCH(IF($U624="","Основний",$U624),{"Трафіковий","Основний","Маржинальний","Сезонний","Стратегічний"},0),Settings!$G$78,Settings!$G$80,Settings!$G$82,Settings!$G$84,Settings!$G$86)</f>
        <v/>
      </c>
      <c r="AS624" s="157">
        <f>CHOOSE(MATCH(IF($U624="","Основний",$U624),{"Трафіковий","Основний","Маржинальний","Сезонний","Стратегічний"},0),Settings!$H$78,Settings!$H$80,Settings!$H$82,Settings!$H$84,Settings!$H$86)</f>
        <v/>
      </c>
      <c r="AT624" s="157">
        <f>CHOOSE(MATCH(IF($U624="","Основний",$U624),{"Трафіковий","Основний","Маржинальний","Сезонний","Стратегічний"},0),Settings!$I$78,Settings!$I$80,Settings!$I$82,Settings!$I$84,Settings!$I$86)</f>
        <v/>
      </c>
      <c r="AU624" s="171" t="n"/>
      <c r="AV624" t="n">
        <v>1.35</v>
      </c>
    </row>
    <row r="625">
      <c r="A625" s="33" t="n"/>
      <c r="B625" s="34" t="inlineStr">
        <is>
          <t>P5729B</t>
        </is>
      </c>
      <c r="C625" s="34" t="inlineStr">
        <is>
          <t>WIRELESS DOORCHIME AC P5729B</t>
        </is>
      </c>
      <c r="D625" s="34" t="inlineStr">
        <is>
          <t>Дверні дзвінки</t>
        </is>
      </c>
      <c r="E625" s="33" t="inlineStr">
        <is>
          <t>PC</t>
        </is>
      </c>
      <c r="F625" s="94" t="n">
        <v>8.992000000000001</v>
      </c>
      <c r="G625" s="35" t="n">
        <v>8531804090</v>
      </c>
      <c r="H625" s="31" t="n">
        <v>1.4</v>
      </c>
      <c r="I625" s="84">
        <f>IFERROR(F625*Settings!$B$2*H625*IF(AND(ISNUMBER(E625),E625&gt;1),E625,1),"")</f>
        <v/>
      </c>
      <c r="J625" s="32">
        <f>Settings!$B$66</f>
        <v/>
      </c>
      <c r="K625" s="95">
        <f>IFERROR(IF(T625="","",(T625*(1-AN625)*(1-Settings!$B$17)-I625)/(T625*(1-AN625)*(1-Settings!$B$17))),"")</f>
        <v/>
      </c>
      <c r="L625" s="101">
        <f>IFERROR(IF(T625="","",(T625*(1-AO625)*(1-Settings!$C$17)-I625)/(T625*(1-AO625)*(1-Settings!$C$17))),"")</f>
        <v/>
      </c>
      <c r="M625" s="101">
        <f>IFERROR(IF(T625="","",(T625*(1-AP625)*(1-Settings!$D$17)-I625)/(T625*(1-AP625)*(1-Settings!$D$17))),"")</f>
        <v/>
      </c>
      <c r="N625" s="101">
        <f>IFERROR(IF(T625="","",(T625*(1-AQ625)*(1-Settings!$F$17)-I625)/(T625*(1-AQ625)*(1-Settings!$F$17))),"")</f>
        <v/>
      </c>
      <c r="O625" s="101">
        <f>IFERROR(IF(T625="","",(T625*(1-AR625)*(1-Settings!$G$17)-I625)/(T625*(1-AR625)*(1-Settings!$G$17))),"")</f>
        <v/>
      </c>
      <c r="P625" s="101">
        <f>IFERROR(IF(T625="","",(T625*(1-AS625)*(1-Settings!$H$17)-I625)/(T625*(1-AS625)*(1-Settings!$H$17))),"")</f>
        <v/>
      </c>
      <c r="Q625" s="101">
        <f>IFERROR(IF(T625="","",(T625*(1-AT625)*(1-Settings!$I$68)*(1-Settings!$I$17)-I625)/(T625*(1-AT625)*(1-Settings!$I$68)*(1-Settings!$I$17))),"")</f>
        <v/>
      </c>
      <c r="R625" s="91">
        <f>IFERROR(IF(OR(I625="",Z625&gt;=1,Settings!$B$17&gt;=1,AN625&gt;=1),"",IF(MOD(ROUND(I625/(1-Z625)/(1-Settings!$B$17)/(1-AN625),0),10)=0,ROUND(I625/(1-Z625)/(1-Settings!$B$17)/(1-AN625),0)-1,IF(MOD(ROUND(I625/(1-Z625)/(1-Settings!$B$17)/(1-AN625),0),10)&lt;=5,FLOOR(ROUND(I625/(1-Z625)/(1-Settings!$B$17)/(1-AN625),0),10)+6,FLOOR(ROUND(I625/(1-Z625)/(1-Settings!$B$17)/(1-AN625),0),10)+9))),"")</f>
        <v/>
      </c>
      <c r="S625" s="174">
        <f>R625*0.95</f>
        <v/>
      </c>
      <c r="T625" s="91">
        <f>IF(S625&lt;&gt;"", IF(MOD(S625,10)=0,S625-1,IF(MOD(S625,10)&lt;=5,FLOOR(S625,10)+6,FLOOR(S625,10)+9)), R625)</f>
        <v/>
      </c>
      <c r="U625" s="87" t="inlineStr">
        <is>
          <t>Основний</t>
        </is>
      </c>
      <c r="V625" s="88" t="n"/>
      <c r="W625" s="88" t="n"/>
      <c r="X625" s="89">
        <f>IFERROR(IF(OR(V625="",W625="",T625=""),"", IF(T625&gt;W625,"Дорогий",IF(T625&lt;V625,"Дешевий","У ринку"))),"")</f>
        <v/>
      </c>
      <c r="Y625" s="90" t="n"/>
      <c r="Z625" s="104">
        <f>CHOOSE(MATCH(IF($U625="","Основний",$U625),{"Трафіковий","Основний","Маржинальний","Сезонний","Стратегічний"},0),0.16,0.19,0.24,0.23,0.28)</f>
        <v/>
      </c>
      <c r="AA625" s="104">
        <f>CHOOSE(MATCH(IF($U625="","Основний",$U625),{"Трафіковий","Основний","Маржинальний","Сезонний","Стратегічний"},0),0.18,0.21,0.26,0.25,0.3)</f>
        <v/>
      </c>
      <c r="AB625" s="104">
        <f>CHOOSE(MATCH(IF($U625="","Основний",$U625),{"Трафіковий","Основний","Маржинальний","Сезонний","Стратегічний"},0),0.19,0.22,0.28,0.26,0.32)</f>
        <v/>
      </c>
      <c r="AC625" s="104">
        <f>CHOOSE(MATCH(IF($U625="","Основний",$U625),{"Трафіковий","Основний","Маржинальний","Сезонний","Стратегічний"},0),0.17,0.2,0.25,0.24,0.28)</f>
        <v/>
      </c>
      <c r="AD625" s="104">
        <f>CHOOSE(MATCH(IF($U625="","Основний",$U625),{"Трафіковий","Основний","Маржинальний","Сезонний","Стратегічний"},0),0.18,0.21,0.26,0.25,0.3)</f>
        <v/>
      </c>
      <c r="AE625" s="104">
        <f>CHOOSE(MATCH(IF($U625="","Основний",$U625),{"Трафіковий","Основний","Маржинальний","Сезонний","Стратегічний"},0),0.18,0.2,0.28,0.27,0.32)</f>
        <v/>
      </c>
      <c r="AF625" s="104">
        <f>CHOOSE(MATCH(IF($U625="","Основний",$U625),{"Трафіковий","Основний","Маржинальний","Сезонний","Стратегічний"},0),0.15,0.175,0.22,0.21,0.25)</f>
        <v/>
      </c>
      <c r="AG625" s="104">
        <f>CHOOSE(MATCH(IF($U625="","Основний",$U625),{"Трафіковий","Основний","Маржинальний","Сезонний","Стратегічний"},0),0.13,0.16,0.21,0.2,0.25)</f>
        <v/>
      </c>
      <c r="AH625" s="104">
        <f>CHOOSE(MATCH(IF($U625="","Основний",$U625),{"Трафіковий","Основний","Маржинальний","Сезонний","Стратегічний"},0),0.15,0.18,0.23,0.22,0.27)</f>
        <v/>
      </c>
      <c r="AI625" s="104">
        <f>CHOOSE(MATCH(IF($U625="","Основний",$U625),{"Трафіковий","Основний","Маржинальний","Сезонний","Стратегічний"},0),0.16,0.19,0.25,0.23,0.29)</f>
        <v/>
      </c>
      <c r="AJ625" s="104">
        <f>CHOOSE(MATCH(IF($U625="","Основний",$U625),{"Трафіковий","Основний","Маржинальний","Сезонний","Стратегічний"},0),0.14,0.17,0.22,0.21,0.25)</f>
        <v/>
      </c>
      <c r="AK625" s="104">
        <f>CHOOSE(MATCH(IF($U625="","Основний",$U625),{"Трафіковий","Основний","Маржинальний","Сезонний","Стратегічний"},0),0.15,0.18,0.23,0.22,0.27)</f>
        <v/>
      </c>
      <c r="AL625" s="104">
        <f>CHOOSE(MATCH(IF($U625="","Основний",$U625),{"Трафіковий","Основний","Маржинальний","Сезонний","Стратегічний"},0),0.15,0.17,0.25,0.24,0.29)</f>
        <v/>
      </c>
      <c r="AM625" s="104">
        <f>CHOOSE(MATCH(IF($U625="","Основний",$U625),{"Трафіковий","Основний","Маржинальний","Сезонний","Стратегічний"},0),0.12,0.145,0.19,0.18,0.22)</f>
        <v/>
      </c>
      <c r="AN625" s="157">
        <f>CHOOSE(MATCH(IF($U625="","Основний",$U625),{"Трафіковий","Основний","Маржинальний","Сезонний","Стратегічний"},0),Settings!$B$78,Settings!$B$80,Settings!$B$82,Settings!$B$84,Settings!$B$86)</f>
        <v/>
      </c>
      <c r="AO625" s="157">
        <f>CHOOSE(MATCH(IF($U625="","Основний",$U625),{"Трафіковий","Основний","Маржинальний","Сезонний","Стратегічний"},0),Settings!$C$78,Settings!$C$80,Settings!$C$82,Settings!$C$84,Settings!$C$86)</f>
        <v/>
      </c>
      <c r="AP625" s="157">
        <f>CHOOSE(MATCH(IF($U625="","Основний",$U625),{"Трафіковий","Основний","Маржинальний","Сезонний","Стратегічний"},0),Settings!$D$78,Settings!$D$80,Settings!$D$82,Settings!$D$84,Settings!$D$86)</f>
        <v/>
      </c>
      <c r="AQ625" s="157">
        <f>CHOOSE(MATCH(IF($U625="","Основний",$U625),{"Трафіковий","Основний","Маржинальний","Сезонний","Стратегічний"},0),Settings!$F$78,Settings!$F$80,Settings!$F$82,Settings!$F$84,Settings!$F$86)</f>
        <v/>
      </c>
      <c r="AR625" s="157">
        <f>CHOOSE(MATCH(IF($U625="","Основний",$U625),{"Трафіковий","Основний","Маржинальний","Сезонний","Стратегічний"},0),Settings!$G$78,Settings!$G$80,Settings!$G$82,Settings!$G$84,Settings!$G$86)</f>
        <v/>
      </c>
      <c r="AS625" s="157">
        <f>CHOOSE(MATCH(IF($U625="","Основний",$U625),{"Трафіковий","Основний","Маржинальний","Сезонний","Стратегічний"},0),Settings!$H$78,Settings!$H$80,Settings!$H$82,Settings!$H$84,Settings!$H$86)</f>
        <v/>
      </c>
      <c r="AT625" s="157">
        <f>CHOOSE(MATCH(IF($U625="","Основний",$U625),{"Трафіковий","Основний","Маржинальний","Сезонний","Стратегічний"},0),Settings!$I$78,Settings!$I$80,Settings!$I$82,Settings!$I$84,Settings!$I$86)</f>
        <v/>
      </c>
      <c r="AU625" s="171" t="n"/>
      <c r="AV625" t="n">
        <v>1.35</v>
      </c>
    </row>
    <row r="626">
      <c r="A626" s="28" t="n"/>
      <c r="B626" s="29" t="inlineStr">
        <is>
          <t>P5733W</t>
        </is>
      </c>
      <c r="C626" s="29" t="inlineStr">
        <is>
          <t>WIRELESS DOORCHIME AC P5733W</t>
        </is>
      </c>
      <c r="D626" s="29" t="inlineStr">
        <is>
          <t>Дверні дзвінки</t>
        </is>
      </c>
      <c r="E626" s="28" t="inlineStr">
        <is>
          <t>PC</t>
        </is>
      </c>
      <c r="F626" s="93" t="n">
        <v>6.922</v>
      </c>
      <c r="G626" s="30" t="n">
        <v>8531804090</v>
      </c>
      <c r="H626" s="31" t="n">
        <v>1.4</v>
      </c>
      <c r="I626" s="84">
        <f>IFERROR(F626*Settings!$B$2*H626*IF(AND(ISNUMBER(E626),E626&gt;1),E626,1),"")</f>
        <v/>
      </c>
      <c r="J626" s="32">
        <f>Settings!$B$66</f>
        <v/>
      </c>
      <c r="K626" s="95">
        <f>IFERROR(IF(T626="","",(T626*(1-AN626)*(1-Settings!$B$17)-I626)/(T626*(1-AN626)*(1-Settings!$B$17))),"")</f>
        <v/>
      </c>
      <c r="L626" s="101">
        <f>IFERROR(IF(T626="","",(T626*(1-AO626)*(1-Settings!$C$17)-I626)/(T626*(1-AO626)*(1-Settings!$C$17))),"")</f>
        <v/>
      </c>
      <c r="M626" s="101">
        <f>IFERROR(IF(T626="","",(T626*(1-AP626)*(1-Settings!$D$17)-I626)/(T626*(1-AP626)*(1-Settings!$D$17))),"")</f>
        <v/>
      </c>
      <c r="N626" s="101">
        <f>IFERROR(IF(T626="","",(T626*(1-AQ626)*(1-Settings!$F$17)-I626)/(T626*(1-AQ626)*(1-Settings!$F$17))),"")</f>
        <v/>
      </c>
      <c r="O626" s="101">
        <f>IFERROR(IF(T626="","",(T626*(1-AR626)*(1-Settings!$G$17)-I626)/(T626*(1-AR626)*(1-Settings!$G$17))),"")</f>
        <v/>
      </c>
      <c r="P626" s="101">
        <f>IFERROR(IF(T626="","",(T626*(1-AS626)*(1-Settings!$H$17)-I626)/(T626*(1-AS626)*(1-Settings!$H$17))),"")</f>
        <v/>
      </c>
      <c r="Q626" s="101">
        <f>IFERROR(IF(T626="","",(T626*(1-AT626)*(1-Settings!$I$68)*(1-Settings!$I$17)-I626)/(T626*(1-AT626)*(1-Settings!$I$68)*(1-Settings!$I$17))),"")</f>
        <v/>
      </c>
      <c r="R626" s="91">
        <f>IFERROR(IF(OR(I626="",Z626&gt;=1,Settings!$B$17&gt;=1,AN626&gt;=1),"",IF(MOD(ROUND(I626/(1-Z626)/(1-Settings!$B$17)/(1-AN626),0),10)=0,ROUND(I626/(1-Z626)/(1-Settings!$B$17)/(1-AN626),0)-1,IF(MOD(ROUND(I626/(1-Z626)/(1-Settings!$B$17)/(1-AN626),0),10)&lt;=5,FLOOR(ROUND(I626/(1-Z626)/(1-Settings!$B$17)/(1-AN626),0),10)+6,FLOOR(ROUND(I626/(1-Z626)/(1-Settings!$B$17)/(1-AN626),0),10)+9))),"")</f>
        <v/>
      </c>
      <c r="S626" s="92" t="n">
        <v>950</v>
      </c>
      <c r="T626" s="91">
        <f>IF(S626&lt;&gt;"", IF(MOD(S626,10)=0,S626-1,IF(MOD(S626,10)&lt;=5,FLOOR(S626,10)+6,FLOOR(S626,10)+9)), R626)</f>
        <v/>
      </c>
      <c r="U626" s="87" t="inlineStr">
        <is>
          <t>Основний</t>
        </is>
      </c>
      <c r="V626" s="88" t="n"/>
      <c r="W626" s="88" t="n"/>
      <c r="X626" s="89">
        <f>IFERROR(IF(OR(V626="",W626="",T626=""),"", IF(T626&gt;W626,"Дорогий",IF(T626&lt;V626,"Дешевий","У ринку"))),"")</f>
        <v/>
      </c>
      <c r="Y626" s="90" t="n"/>
      <c r="Z626" s="104">
        <f>CHOOSE(MATCH(IF($U626="","Основний",$U626),{"Трафіковий","Основний","Маржинальний","Сезонний","Стратегічний"},0),0.16,0.19,0.24,0.23,0.28)</f>
        <v/>
      </c>
      <c r="AA626" s="104">
        <f>CHOOSE(MATCH(IF($U626="","Основний",$U626),{"Трафіковий","Основний","Маржинальний","Сезонний","Стратегічний"},0),0.18,0.21,0.26,0.25,0.3)</f>
        <v/>
      </c>
      <c r="AB626" s="104">
        <f>CHOOSE(MATCH(IF($U626="","Основний",$U626),{"Трафіковий","Основний","Маржинальний","Сезонний","Стратегічний"},0),0.19,0.22,0.28,0.26,0.32)</f>
        <v/>
      </c>
      <c r="AC626" s="104">
        <f>CHOOSE(MATCH(IF($U626="","Основний",$U626),{"Трафіковий","Основний","Маржинальний","Сезонний","Стратегічний"},0),0.17,0.2,0.25,0.24,0.28)</f>
        <v/>
      </c>
      <c r="AD626" s="104">
        <f>CHOOSE(MATCH(IF($U626="","Основний",$U626),{"Трафіковий","Основний","Маржинальний","Сезонний","Стратегічний"},0),0.18,0.21,0.26,0.25,0.3)</f>
        <v/>
      </c>
      <c r="AE626" s="104">
        <f>CHOOSE(MATCH(IF($U626="","Основний",$U626),{"Трафіковий","Основний","Маржинальний","Сезонний","Стратегічний"},0),0.18,0.2,0.28,0.27,0.32)</f>
        <v/>
      </c>
      <c r="AF626" s="104">
        <f>CHOOSE(MATCH(IF($U626="","Основний",$U626),{"Трафіковий","Основний","Маржинальний","Сезонний","Стратегічний"},0),0.15,0.175,0.22,0.21,0.25)</f>
        <v/>
      </c>
      <c r="AG626" s="104">
        <f>CHOOSE(MATCH(IF($U626="","Основний",$U626),{"Трафіковий","Основний","Маржинальний","Сезонний","Стратегічний"},0),0.13,0.16,0.21,0.2,0.25)</f>
        <v/>
      </c>
      <c r="AH626" s="104">
        <f>CHOOSE(MATCH(IF($U626="","Основний",$U626),{"Трафіковий","Основний","Маржинальний","Сезонний","Стратегічний"},0),0.15,0.18,0.23,0.22,0.27)</f>
        <v/>
      </c>
      <c r="AI626" s="104">
        <f>CHOOSE(MATCH(IF($U626="","Основний",$U626),{"Трафіковий","Основний","Маржинальний","Сезонний","Стратегічний"},0),0.16,0.19,0.25,0.23,0.29)</f>
        <v/>
      </c>
      <c r="AJ626" s="104">
        <f>CHOOSE(MATCH(IF($U626="","Основний",$U626),{"Трафіковий","Основний","Маржинальний","Сезонний","Стратегічний"},0),0.14,0.17,0.22,0.21,0.25)</f>
        <v/>
      </c>
      <c r="AK626" s="104">
        <f>CHOOSE(MATCH(IF($U626="","Основний",$U626),{"Трафіковий","Основний","Маржинальний","Сезонний","Стратегічний"},0),0.15,0.18,0.23,0.22,0.27)</f>
        <v/>
      </c>
      <c r="AL626" s="104">
        <f>CHOOSE(MATCH(IF($U626="","Основний",$U626),{"Трафіковий","Основний","Маржинальний","Сезонний","Стратегічний"},0),0.15,0.17,0.25,0.24,0.29)</f>
        <v/>
      </c>
      <c r="AM626" s="104">
        <f>CHOOSE(MATCH(IF($U626="","Основний",$U626),{"Трафіковий","Основний","Маржинальний","Сезонний","Стратегічний"},0),0.12,0.145,0.19,0.18,0.22)</f>
        <v/>
      </c>
      <c r="AN626" s="157">
        <f>CHOOSE(MATCH(IF($U626="","Основний",$U626),{"Трафіковий","Основний","Маржинальний","Сезонний","Стратегічний"},0),Settings!$B$78,Settings!$B$80,Settings!$B$82,Settings!$B$84,Settings!$B$86)</f>
        <v/>
      </c>
      <c r="AO626" s="157">
        <f>CHOOSE(MATCH(IF($U626="","Основний",$U626),{"Трафіковий","Основний","Маржинальний","Сезонний","Стратегічний"},0),Settings!$C$78,Settings!$C$80,Settings!$C$82,Settings!$C$84,Settings!$C$86)</f>
        <v/>
      </c>
      <c r="AP626" s="157">
        <f>CHOOSE(MATCH(IF($U626="","Основний",$U626),{"Трафіковий","Основний","Маржинальний","Сезонний","Стратегічний"},0),Settings!$D$78,Settings!$D$80,Settings!$D$82,Settings!$D$84,Settings!$D$86)</f>
        <v/>
      </c>
      <c r="AQ626" s="157">
        <f>CHOOSE(MATCH(IF($U626="","Основний",$U626),{"Трафіковий","Основний","Маржинальний","Сезонний","Стратегічний"},0),Settings!$F$78,Settings!$F$80,Settings!$F$82,Settings!$F$84,Settings!$F$86)</f>
        <v/>
      </c>
      <c r="AR626" s="157">
        <f>CHOOSE(MATCH(IF($U626="","Основний",$U626),{"Трафіковий","Основний","Маржинальний","Сезонний","Стратегічний"},0),Settings!$G$78,Settings!$G$80,Settings!$G$82,Settings!$G$84,Settings!$G$86)</f>
        <v/>
      </c>
      <c r="AS626" s="157">
        <f>CHOOSE(MATCH(IF($U626="","Основний",$U626),{"Трафіковий","Основний","Маржинальний","Сезонний","Стратегічний"},0),Settings!$H$78,Settings!$H$80,Settings!$H$82,Settings!$H$84,Settings!$H$86)</f>
        <v/>
      </c>
      <c r="AT626" s="157">
        <f>CHOOSE(MATCH(IF($U626="","Основний",$U626),{"Трафіковий","Основний","Маржинальний","Сезонний","Стратегічний"},0),Settings!$I$78,Settings!$I$80,Settings!$I$82,Settings!$I$84,Settings!$I$86)</f>
        <v/>
      </c>
      <c r="AU626" s="171" t="n"/>
      <c r="AV626" t="n">
        <v>1.35</v>
      </c>
    </row>
    <row r="627">
      <c r="A627" s="33" t="n"/>
      <c r="B627" s="34" t="inlineStr">
        <is>
          <t>P5733S</t>
        </is>
      </c>
      <c r="C627" s="34" t="inlineStr">
        <is>
          <t>WIRELESS DOORCHIME AC P5733S</t>
        </is>
      </c>
      <c r="D627" s="34" t="inlineStr">
        <is>
          <t>Дверні дзвінки</t>
        </is>
      </c>
      <c r="E627" s="33" t="inlineStr">
        <is>
          <t>PC</t>
        </is>
      </c>
      <c r="F627" s="94" t="n">
        <v>6.922</v>
      </c>
      <c r="G627" s="35" t="n">
        <v>8531804090</v>
      </c>
      <c r="H627" s="31" t="n">
        <v>1.4</v>
      </c>
      <c r="I627" s="84">
        <f>IFERROR(F627*Settings!$B$2*H627*IF(AND(ISNUMBER(E627),E627&gt;1),E627,1),"")</f>
        <v/>
      </c>
      <c r="J627" s="32">
        <f>Settings!$B$66</f>
        <v/>
      </c>
      <c r="K627" s="95">
        <f>IFERROR(IF(T627="","",(T627*(1-AN627)*(1-Settings!$B$17)-I627)/(T627*(1-AN627)*(1-Settings!$B$17))),"")</f>
        <v/>
      </c>
      <c r="L627" s="101">
        <f>IFERROR(IF(T627="","",(T627*(1-AO627)*(1-Settings!$C$17)-I627)/(T627*(1-AO627)*(1-Settings!$C$17))),"")</f>
        <v/>
      </c>
      <c r="M627" s="101">
        <f>IFERROR(IF(T627="","",(T627*(1-AP627)*(1-Settings!$D$17)-I627)/(T627*(1-AP627)*(1-Settings!$D$17))),"")</f>
        <v/>
      </c>
      <c r="N627" s="101">
        <f>IFERROR(IF(T627="","",(T627*(1-AQ627)*(1-Settings!$F$17)-I627)/(T627*(1-AQ627)*(1-Settings!$F$17))),"")</f>
        <v/>
      </c>
      <c r="O627" s="101">
        <f>IFERROR(IF(T627="","",(T627*(1-AR627)*(1-Settings!$G$17)-I627)/(T627*(1-AR627)*(1-Settings!$G$17))),"")</f>
        <v/>
      </c>
      <c r="P627" s="101">
        <f>IFERROR(IF(T627="","",(T627*(1-AS627)*(1-Settings!$H$17)-I627)/(T627*(1-AS627)*(1-Settings!$H$17))),"")</f>
        <v/>
      </c>
      <c r="Q627" s="101">
        <f>IFERROR(IF(T627="","",(T627*(1-AT627)*(1-Settings!$I$68)*(1-Settings!$I$17)-I627)/(T627*(1-AT627)*(1-Settings!$I$68)*(1-Settings!$I$17))),"")</f>
        <v/>
      </c>
      <c r="R627" s="91">
        <f>IFERROR(IF(OR(I627="",Z627&gt;=1,Settings!$B$17&gt;=1,AN627&gt;=1),"",IF(MOD(ROUND(I627/(1-Z627)/(1-Settings!$B$17)/(1-AN627),0),10)=0,ROUND(I627/(1-Z627)/(1-Settings!$B$17)/(1-AN627),0)-1,IF(MOD(ROUND(I627/(1-Z627)/(1-Settings!$B$17)/(1-AN627),0),10)&lt;=5,FLOOR(ROUND(I627/(1-Z627)/(1-Settings!$B$17)/(1-AN627),0),10)+6,FLOOR(ROUND(I627/(1-Z627)/(1-Settings!$B$17)/(1-AN627),0),10)+9))),"")</f>
        <v/>
      </c>
      <c r="S627" s="174">
        <f>R627*0.95</f>
        <v/>
      </c>
      <c r="T627" s="91">
        <f>IF(S627&lt;&gt;"", IF(MOD(S627,10)=0,S627-1,IF(MOD(S627,10)&lt;=5,FLOOR(S627,10)+6,FLOOR(S627,10)+9)), R627)</f>
        <v/>
      </c>
      <c r="U627" s="87" t="inlineStr">
        <is>
          <t>Основний</t>
        </is>
      </c>
      <c r="V627" s="88" t="n"/>
      <c r="W627" s="88" t="n"/>
      <c r="X627" s="89">
        <f>IFERROR(IF(OR(V627="",W627="",T627=""),"", IF(T627&gt;W627,"Дорогий",IF(T627&lt;V627,"Дешевий","У ринку"))),"")</f>
        <v/>
      </c>
      <c r="Y627" s="90" t="n"/>
      <c r="Z627" s="104">
        <f>CHOOSE(MATCH(IF($U627="","Основний",$U627),{"Трафіковий","Основний","Маржинальний","Сезонний","Стратегічний"},0),0.16,0.19,0.24,0.23,0.28)</f>
        <v/>
      </c>
      <c r="AA627" s="104">
        <f>CHOOSE(MATCH(IF($U627="","Основний",$U627),{"Трафіковий","Основний","Маржинальний","Сезонний","Стратегічний"},0),0.18,0.21,0.26,0.25,0.3)</f>
        <v/>
      </c>
      <c r="AB627" s="104">
        <f>CHOOSE(MATCH(IF($U627="","Основний",$U627),{"Трафіковий","Основний","Маржинальний","Сезонний","Стратегічний"},0),0.19,0.22,0.28,0.26,0.32)</f>
        <v/>
      </c>
      <c r="AC627" s="104">
        <f>CHOOSE(MATCH(IF($U627="","Основний",$U627),{"Трафіковий","Основний","Маржинальний","Сезонний","Стратегічний"},0),0.17,0.2,0.25,0.24,0.28)</f>
        <v/>
      </c>
      <c r="AD627" s="104">
        <f>CHOOSE(MATCH(IF($U627="","Основний",$U627),{"Трафіковий","Основний","Маржинальний","Сезонний","Стратегічний"},0),0.18,0.21,0.26,0.25,0.3)</f>
        <v/>
      </c>
      <c r="AE627" s="104">
        <f>CHOOSE(MATCH(IF($U627="","Основний",$U627),{"Трафіковий","Основний","Маржинальний","Сезонний","Стратегічний"},0),0.18,0.2,0.28,0.27,0.32)</f>
        <v/>
      </c>
      <c r="AF627" s="104">
        <f>CHOOSE(MATCH(IF($U627="","Основний",$U627),{"Трафіковий","Основний","Маржинальний","Сезонний","Стратегічний"},0),0.15,0.175,0.22,0.21,0.25)</f>
        <v/>
      </c>
      <c r="AG627" s="104">
        <f>CHOOSE(MATCH(IF($U627="","Основний",$U627),{"Трафіковий","Основний","Маржинальний","Сезонний","Стратегічний"},0),0.13,0.16,0.21,0.2,0.25)</f>
        <v/>
      </c>
      <c r="AH627" s="104">
        <f>CHOOSE(MATCH(IF($U627="","Основний",$U627),{"Трафіковий","Основний","Маржинальний","Сезонний","Стратегічний"},0),0.15,0.18,0.23,0.22,0.27)</f>
        <v/>
      </c>
      <c r="AI627" s="104">
        <f>CHOOSE(MATCH(IF($U627="","Основний",$U627),{"Трафіковий","Основний","Маржинальний","Сезонний","Стратегічний"},0),0.16,0.19,0.25,0.23,0.29)</f>
        <v/>
      </c>
      <c r="AJ627" s="104">
        <f>CHOOSE(MATCH(IF($U627="","Основний",$U627),{"Трафіковий","Основний","Маржинальний","Сезонний","Стратегічний"},0),0.14,0.17,0.22,0.21,0.25)</f>
        <v/>
      </c>
      <c r="AK627" s="104">
        <f>CHOOSE(MATCH(IF($U627="","Основний",$U627),{"Трафіковий","Основний","Маржинальний","Сезонний","Стратегічний"},0),0.15,0.18,0.23,0.22,0.27)</f>
        <v/>
      </c>
      <c r="AL627" s="104">
        <f>CHOOSE(MATCH(IF($U627="","Основний",$U627),{"Трафіковий","Основний","Маржинальний","Сезонний","Стратегічний"},0),0.15,0.17,0.25,0.24,0.29)</f>
        <v/>
      </c>
      <c r="AM627" s="104">
        <f>CHOOSE(MATCH(IF($U627="","Основний",$U627),{"Трафіковий","Основний","Маржинальний","Сезонний","Стратегічний"},0),0.12,0.145,0.19,0.18,0.22)</f>
        <v/>
      </c>
      <c r="AN627" s="157">
        <f>CHOOSE(MATCH(IF($U627="","Основний",$U627),{"Трафіковий","Основний","Маржинальний","Сезонний","Стратегічний"},0),Settings!$B$78,Settings!$B$80,Settings!$B$82,Settings!$B$84,Settings!$B$86)</f>
        <v/>
      </c>
      <c r="AO627" s="157">
        <f>CHOOSE(MATCH(IF($U627="","Основний",$U627),{"Трафіковий","Основний","Маржинальний","Сезонний","Стратегічний"},0),Settings!$C$78,Settings!$C$80,Settings!$C$82,Settings!$C$84,Settings!$C$86)</f>
        <v/>
      </c>
      <c r="AP627" s="157">
        <f>CHOOSE(MATCH(IF($U627="","Основний",$U627),{"Трафіковий","Основний","Маржинальний","Сезонний","Стратегічний"},0),Settings!$D$78,Settings!$D$80,Settings!$D$82,Settings!$D$84,Settings!$D$86)</f>
        <v/>
      </c>
      <c r="AQ627" s="157">
        <f>CHOOSE(MATCH(IF($U627="","Основний",$U627),{"Трафіковий","Основний","Маржинальний","Сезонний","Стратегічний"},0),Settings!$F$78,Settings!$F$80,Settings!$F$82,Settings!$F$84,Settings!$F$86)</f>
        <v/>
      </c>
      <c r="AR627" s="157">
        <f>CHOOSE(MATCH(IF($U627="","Основний",$U627),{"Трафіковий","Основний","Маржинальний","Сезонний","Стратегічний"},0),Settings!$G$78,Settings!$G$80,Settings!$G$82,Settings!$G$84,Settings!$G$86)</f>
        <v/>
      </c>
      <c r="AS627" s="157">
        <f>CHOOSE(MATCH(IF($U627="","Основний",$U627),{"Трафіковий","Основний","Маржинальний","Сезонний","Стратегічний"},0),Settings!$H$78,Settings!$H$80,Settings!$H$82,Settings!$H$84,Settings!$H$86)</f>
        <v/>
      </c>
      <c r="AT627" s="157">
        <f>CHOOSE(MATCH(IF($U627="","Основний",$U627),{"Трафіковий","Основний","Маржинальний","Сезонний","Стратегічний"},0),Settings!$I$78,Settings!$I$80,Settings!$I$82,Settings!$I$84,Settings!$I$86)</f>
        <v/>
      </c>
      <c r="AU627" s="171" t="n"/>
      <c r="AV627" t="n">
        <v>1.35</v>
      </c>
    </row>
    <row r="628">
      <c r="A628" s="28" t="n"/>
      <c r="B628" s="29" t="inlineStr">
        <is>
          <t>P5733G</t>
        </is>
      </c>
      <c r="C628" s="29" t="inlineStr">
        <is>
          <t>WIRELESS DOORCHIME AC P5733G</t>
        </is>
      </c>
      <c r="D628" s="29" t="inlineStr">
        <is>
          <t>Дверні дзвінки</t>
        </is>
      </c>
      <c r="E628" s="28" t="inlineStr">
        <is>
          <t>PC</t>
        </is>
      </c>
      <c r="F628" s="93" t="n">
        <v>6.922</v>
      </c>
      <c r="G628" s="30" t="n">
        <v>8531804090</v>
      </c>
      <c r="H628" s="31" t="n">
        <v>1.4</v>
      </c>
      <c r="I628" s="84">
        <f>IFERROR(F628*Settings!$B$2*H628*IF(AND(ISNUMBER(E628),E628&gt;1),E628,1),"")</f>
        <v/>
      </c>
      <c r="J628" s="32">
        <f>Settings!$B$66</f>
        <v/>
      </c>
      <c r="K628" s="95">
        <f>IFERROR(IF(T628="","",(T628*(1-AN628)*(1-Settings!$B$17)-I628)/(T628*(1-AN628)*(1-Settings!$B$17))),"")</f>
        <v/>
      </c>
      <c r="L628" s="101">
        <f>IFERROR(IF(T628="","",(T628*(1-AO628)*(1-Settings!$C$17)-I628)/(T628*(1-AO628)*(1-Settings!$C$17))),"")</f>
        <v/>
      </c>
      <c r="M628" s="101">
        <f>IFERROR(IF(T628="","",(T628*(1-AP628)*(1-Settings!$D$17)-I628)/(T628*(1-AP628)*(1-Settings!$D$17))),"")</f>
        <v/>
      </c>
      <c r="N628" s="101">
        <f>IFERROR(IF(T628="","",(T628*(1-AQ628)*(1-Settings!$F$17)-I628)/(T628*(1-AQ628)*(1-Settings!$F$17))),"")</f>
        <v/>
      </c>
      <c r="O628" s="101">
        <f>IFERROR(IF(T628="","",(T628*(1-AR628)*(1-Settings!$G$17)-I628)/(T628*(1-AR628)*(1-Settings!$G$17))),"")</f>
        <v/>
      </c>
      <c r="P628" s="101">
        <f>IFERROR(IF(T628="","",(T628*(1-AS628)*(1-Settings!$H$17)-I628)/(T628*(1-AS628)*(1-Settings!$H$17))),"")</f>
        <v/>
      </c>
      <c r="Q628" s="101">
        <f>IFERROR(IF(T628="","",(T628*(1-AT628)*(1-Settings!$I$68)*(1-Settings!$I$17)-I628)/(T628*(1-AT628)*(1-Settings!$I$68)*(1-Settings!$I$17))),"")</f>
        <v/>
      </c>
      <c r="R628" s="91">
        <f>IFERROR(IF(OR(I628="",Z628&gt;=1,Settings!$B$17&gt;=1,AN628&gt;=1),"",IF(MOD(ROUND(I628/(1-Z628)/(1-Settings!$B$17)/(1-AN628),0),10)=0,ROUND(I628/(1-Z628)/(1-Settings!$B$17)/(1-AN628),0)-1,IF(MOD(ROUND(I628/(1-Z628)/(1-Settings!$B$17)/(1-AN628),0),10)&lt;=5,FLOOR(ROUND(I628/(1-Z628)/(1-Settings!$B$17)/(1-AN628),0),10)+6,FLOOR(ROUND(I628/(1-Z628)/(1-Settings!$B$17)/(1-AN628),0),10)+9))),"")</f>
        <v/>
      </c>
      <c r="S628" s="174">
        <f>R628*0.95</f>
        <v/>
      </c>
      <c r="T628" s="91">
        <f>IF(S628&lt;&gt;"", IF(MOD(S628,10)=0,S628-1,IF(MOD(S628,10)&lt;=5,FLOOR(S628,10)+6,FLOOR(S628,10)+9)), R628)</f>
        <v/>
      </c>
      <c r="U628" s="87" t="inlineStr">
        <is>
          <t>Основний</t>
        </is>
      </c>
      <c r="V628" s="88" t="n"/>
      <c r="W628" s="88" t="n"/>
      <c r="X628" s="89">
        <f>IFERROR(IF(OR(V628="",W628="",T628=""),"", IF(T628&gt;W628,"Дорогий",IF(T628&lt;V628,"Дешевий","У ринку"))),"")</f>
        <v/>
      </c>
      <c r="Y628" s="90" t="n"/>
      <c r="Z628" s="104">
        <f>CHOOSE(MATCH(IF($U628="","Основний",$U628),{"Трафіковий","Основний","Маржинальний","Сезонний","Стратегічний"},0),0.16,0.19,0.24,0.23,0.28)</f>
        <v/>
      </c>
      <c r="AA628" s="104">
        <f>CHOOSE(MATCH(IF($U628="","Основний",$U628),{"Трафіковий","Основний","Маржинальний","Сезонний","Стратегічний"},0),0.18,0.21,0.26,0.25,0.3)</f>
        <v/>
      </c>
      <c r="AB628" s="104">
        <f>CHOOSE(MATCH(IF($U628="","Основний",$U628),{"Трафіковий","Основний","Маржинальний","Сезонний","Стратегічний"},0),0.19,0.22,0.28,0.26,0.32)</f>
        <v/>
      </c>
      <c r="AC628" s="104">
        <f>CHOOSE(MATCH(IF($U628="","Основний",$U628),{"Трафіковий","Основний","Маржинальний","Сезонний","Стратегічний"},0),0.17,0.2,0.25,0.24,0.28)</f>
        <v/>
      </c>
      <c r="AD628" s="104">
        <f>CHOOSE(MATCH(IF($U628="","Основний",$U628),{"Трафіковий","Основний","Маржинальний","Сезонний","Стратегічний"},0),0.18,0.21,0.26,0.25,0.3)</f>
        <v/>
      </c>
      <c r="AE628" s="104">
        <f>CHOOSE(MATCH(IF($U628="","Основний",$U628),{"Трафіковий","Основний","Маржинальний","Сезонний","Стратегічний"},0),0.18,0.2,0.28,0.27,0.32)</f>
        <v/>
      </c>
      <c r="AF628" s="104">
        <f>CHOOSE(MATCH(IF($U628="","Основний",$U628),{"Трафіковий","Основний","Маржинальний","Сезонний","Стратегічний"},0),0.15,0.175,0.22,0.21,0.25)</f>
        <v/>
      </c>
      <c r="AG628" s="104">
        <f>CHOOSE(MATCH(IF($U628="","Основний",$U628),{"Трафіковий","Основний","Маржинальний","Сезонний","Стратегічний"},0),0.13,0.16,0.21,0.2,0.25)</f>
        <v/>
      </c>
      <c r="AH628" s="104">
        <f>CHOOSE(MATCH(IF($U628="","Основний",$U628),{"Трафіковий","Основний","Маржинальний","Сезонний","Стратегічний"},0),0.15,0.18,0.23,0.22,0.27)</f>
        <v/>
      </c>
      <c r="AI628" s="104">
        <f>CHOOSE(MATCH(IF($U628="","Основний",$U628),{"Трафіковий","Основний","Маржинальний","Сезонний","Стратегічний"},0),0.16,0.19,0.25,0.23,0.29)</f>
        <v/>
      </c>
      <c r="AJ628" s="104">
        <f>CHOOSE(MATCH(IF($U628="","Основний",$U628),{"Трафіковий","Основний","Маржинальний","Сезонний","Стратегічний"},0),0.14,0.17,0.22,0.21,0.25)</f>
        <v/>
      </c>
      <c r="AK628" s="104">
        <f>CHOOSE(MATCH(IF($U628="","Основний",$U628),{"Трафіковий","Основний","Маржинальний","Сезонний","Стратегічний"},0),0.15,0.18,0.23,0.22,0.27)</f>
        <v/>
      </c>
      <c r="AL628" s="104">
        <f>CHOOSE(MATCH(IF($U628="","Основний",$U628),{"Трафіковий","Основний","Маржинальний","Сезонний","Стратегічний"},0),0.15,0.17,0.25,0.24,0.29)</f>
        <v/>
      </c>
      <c r="AM628" s="104">
        <f>CHOOSE(MATCH(IF($U628="","Основний",$U628),{"Трафіковий","Основний","Маржинальний","Сезонний","Стратегічний"},0),0.12,0.145,0.19,0.18,0.22)</f>
        <v/>
      </c>
      <c r="AN628" s="157">
        <f>CHOOSE(MATCH(IF($U628="","Основний",$U628),{"Трафіковий","Основний","Маржинальний","Сезонний","Стратегічний"},0),Settings!$B$78,Settings!$B$80,Settings!$B$82,Settings!$B$84,Settings!$B$86)</f>
        <v/>
      </c>
      <c r="AO628" s="157">
        <f>CHOOSE(MATCH(IF($U628="","Основний",$U628),{"Трафіковий","Основний","Маржинальний","Сезонний","Стратегічний"},0),Settings!$C$78,Settings!$C$80,Settings!$C$82,Settings!$C$84,Settings!$C$86)</f>
        <v/>
      </c>
      <c r="AP628" s="157">
        <f>CHOOSE(MATCH(IF($U628="","Основний",$U628),{"Трафіковий","Основний","Маржинальний","Сезонний","Стратегічний"},0),Settings!$D$78,Settings!$D$80,Settings!$D$82,Settings!$D$84,Settings!$D$86)</f>
        <v/>
      </c>
      <c r="AQ628" s="157">
        <f>CHOOSE(MATCH(IF($U628="","Основний",$U628),{"Трафіковий","Основний","Маржинальний","Сезонний","Стратегічний"},0),Settings!$F$78,Settings!$F$80,Settings!$F$82,Settings!$F$84,Settings!$F$86)</f>
        <v/>
      </c>
      <c r="AR628" s="157">
        <f>CHOOSE(MATCH(IF($U628="","Основний",$U628),{"Трафіковий","Основний","Маржинальний","Сезонний","Стратегічний"},0),Settings!$G$78,Settings!$G$80,Settings!$G$82,Settings!$G$84,Settings!$G$86)</f>
        <v/>
      </c>
      <c r="AS628" s="157">
        <f>CHOOSE(MATCH(IF($U628="","Основний",$U628),{"Трафіковий","Основний","Маржинальний","Сезонний","Стратегічний"},0),Settings!$H$78,Settings!$H$80,Settings!$H$82,Settings!$H$84,Settings!$H$86)</f>
        <v/>
      </c>
      <c r="AT628" s="157">
        <f>CHOOSE(MATCH(IF($U628="","Основний",$U628),{"Трафіковий","Основний","Маржинальний","Сезонний","Стратегічний"},0),Settings!$I$78,Settings!$I$80,Settings!$I$82,Settings!$I$84,Settings!$I$86)</f>
        <v/>
      </c>
      <c r="AU628" s="171" t="n"/>
      <c r="AV628" t="n">
        <v>1.35</v>
      </c>
    </row>
    <row r="629">
      <c r="A629" s="33" t="n"/>
      <c r="B629" s="34" t="inlineStr">
        <is>
          <t>P5734</t>
        </is>
      </c>
      <c r="C629" s="34" t="inlineStr">
        <is>
          <t>WIRELESS DOORCHIME AC P5734</t>
        </is>
      </c>
      <c r="D629" s="34" t="inlineStr">
        <is>
          <t>Дверні дзвінки</t>
        </is>
      </c>
      <c r="E629" s="33" t="inlineStr">
        <is>
          <t>PC</t>
        </is>
      </c>
      <c r="F629" s="94" t="n">
        <v>7.421</v>
      </c>
      <c r="G629" s="35" t="n">
        <v>8531804090</v>
      </c>
      <c r="H629" s="31" t="n">
        <v>1.4</v>
      </c>
      <c r="I629" s="84">
        <f>IFERROR(F629*Settings!$B$2*H629*IF(AND(ISNUMBER(E629),E629&gt;1),E629,1),"")</f>
        <v/>
      </c>
      <c r="J629" s="32">
        <f>Settings!$B$66</f>
        <v/>
      </c>
      <c r="K629" s="95">
        <f>IFERROR(IF(T629="","",(T629*(1-AN629)*(1-Settings!$B$17)-I629)/(T629*(1-AN629)*(1-Settings!$B$17))),"")</f>
        <v/>
      </c>
      <c r="L629" s="101">
        <f>IFERROR(IF(T629="","",(T629*(1-AO629)*(1-Settings!$C$17)-I629)/(T629*(1-AO629)*(1-Settings!$C$17))),"")</f>
        <v/>
      </c>
      <c r="M629" s="101">
        <f>IFERROR(IF(T629="","",(T629*(1-AP629)*(1-Settings!$D$17)-I629)/(T629*(1-AP629)*(1-Settings!$D$17))),"")</f>
        <v/>
      </c>
      <c r="N629" s="101">
        <f>IFERROR(IF(T629="","",(T629*(1-AQ629)*(1-Settings!$F$17)-I629)/(T629*(1-AQ629)*(1-Settings!$F$17))),"")</f>
        <v/>
      </c>
      <c r="O629" s="101">
        <f>IFERROR(IF(T629="","",(T629*(1-AR629)*(1-Settings!$G$17)-I629)/(T629*(1-AR629)*(1-Settings!$G$17))),"")</f>
        <v/>
      </c>
      <c r="P629" s="101">
        <f>IFERROR(IF(T629="","",(T629*(1-AS629)*(1-Settings!$H$17)-I629)/(T629*(1-AS629)*(1-Settings!$H$17))),"")</f>
        <v/>
      </c>
      <c r="Q629" s="101">
        <f>IFERROR(IF(T629="","",(T629*(1-AT629)*(1-Settings!$I$68)*(1-Settings!$I$17)-I629)/(T629*(1-AT629)*(1-Settings!$I$68)*(1-Settings!$I$17))),"")</f>
        <v/>
      </c>
      <c r="R629" s="91">
        <f>IFERROR(IF(OR(I629="",Z629&gt;=1,Settings!$B$17&gt;=1,AN629&gt;=1),"",IF(MOD(ROUND(I629/(1-Z629)/(1-Settings!$B$17)/(1-AN629),0),10)=0,ROUND(I629/(1-Z629)/(1-Settings!$B$17)/(1-AN629),0)-1,IF(MOD(ROUND(I629/(1-Z629)/(1-Settings!$B$17)/(1-AN629),0),10)&lt;=5,FLOOR(ROUND(I629/(1-Z629)/(1-Settings!$B$17)/(1-AN629),0),10)+6,FLOOR(ROUND(I629/(1-Z629)/(1-Settings!$B$17)/(1-AN629),0),10)+9))),"")</f>
        <v/>
      </c>
      <c r="S629" s="174">
        <f>R629*0.95</f>
        <v/>
      </c>
      <c r="T629" s="91">
        <f>IF(S629&lt;&gt;"", IF(MOD(S629,10)=0,S629-1,IF(MOD(S629,10)&lt;=5,FLOOR(S629,10)+6,FLOOR(S629,10)+9)), R629)</f>
        <v/>
      </c>
      <c r="U629" s="87" t="inlineStr">
        <is>
          <t>Основний</t>
        </is>
      </c>
      <c r="V629" s="88" t="n"/>
      <c r="W629" s="88" t="n"/>
      <c r="X629" s="89">
        <f>IFERROR(IF(OR(V629="",W629="",T629=""),"", IF(T629&gt;W629,"Дорогий",IF(T629&lt;V629,"Дешевий","У ринку"))),"")</f>
        <v/>
      </c>
      <c r="Y629" s="90" t="n"/>
      <c r="Z629" s="104">
        <f>CHOOSE(MATCH(IF($U629="","Основний",$U629),{"Трафіковий","Основний","Маржинальний","Сезонний","Стратегічний"},0),0.16,0.19,0.24,0.23,0.28)</f>
        <v/>
      </c>
      <c r="AA629" s="104">
        <f>CHOOSE(MATCH(IF($U629="","Основний",$U629),{"Трафіковий","Основний","Маржинальний","Сезонний","Стратегічний"},0),0.18,0.21,0.26,0.25,0.3)</f>
        <v/>
      </c>
      <c r="AB629" s="104">
        <f>CHOOSE(MATCH(IF($U629="","Основний",$U629),{"Трафіковий","Основний","Маржинальний","Сезонний","Стратегічний"},0),0.19,0.22,0.28,0.26,0.32)</f>
        <v/>
      </c>
      <c r="AC629" s="104">
        <f>CHOOSE(MATCH(IF($U629="","Основний",$U629),{"Трафіковий","Основний","Маржинальний","Сезонний","Стратегічний"},0),0.17,0.2,0.25,0.24,0.28)</f>
        <v/>
      </c>
      <c r="AD629" s="104">
        <f>CHOOSE(MATCH(IF($U629="","Основний",$U629),{"Трафіковий","Основний","Маржинальний","Сезонний","Стратегічний"},0),0.18,0.21,0.26,0.25,0.3)</f>
        <v/>
      </c>
      <c r="AE629" s="104">
        <f>CHOOSE(MATCH(IF($U629="","Основний",$U629),{"Трафіковий","Основний","Маржинальний","Сезонний","Стратегічний"},0),0.18,0.2,0.28,0.27,0.32)</f>
        <v/>
      </c>
      <c r="AF629" s="104">
        <f>CHOOSE(MATCH(IF($U629="","Основний",$U629),{"Трафіковий","Основний","Маржинальний","Сезонний","Стратегічний"},0),0.15,0.175,0.22,0.21,0.25)</f>
        <v/>
      </c>
      <c r="AG629" s="104">
        <f>CHOOSE(MATCH(IF($U629="","Основний",$U629),{"Трафіковий","Основний","Маржинальний","Сезонний","Стратегічний"},0),0.13,0.16,0.21,0.2,0.25)</f>
        <v/>
      </c>
      <c r="AH629" s="104">
        <f>CHOOSE(MATCH(IF($U629="","Основний",$U629),{"Трафіковий","Основний","Маржинальний","Сезонний","Стратегічний"},0),0.15,0.18,0.23,0.22,0.27)</f>
        <v/>
      </c>
      <c r="AI629" s="104">
        <f>CHOOSE(MATCH(IF($U629="","Основний",$U629),{"Трафіковий","Основний","Маржинальний","Сезонний","Стратегічний"},0),0.16,0.19,0.25,0.23,0.29)</f>
        <v/>
      </c>
      <c r="AJ629" s="104">
        <f>CHOOSE(MATCH(IF($U629="","Основний",$U629),{"Трафіковий","Основний","Маржинальний","Сезонний","Стратегічний"},0),0.14,0.17,0.22,0.21,0.25)</f>
        <v/>
      </c>
      <c r="AK629" s="104">
        <f>CHOOSE(MATCH(IF($U629="","Основний",$U629),{"Трафіковий","Основний","Маржинальний","Сезонний","Стратегічний"},0),0.15,0.18,0.23,0.22,0.27)</f>
        <v/>
      </c>
      <c r="AL629" s="104">
        <f>CHOOSE(MATCH(IF($U629="","Основний",$U629),{"Трафіковий","Основний","Маржинальний","Сезонний","Стратегічний"},0),0.15,0.17,0.25,0.24,0.29)</f>
        <v/>
      </c>
      <c r="AM629" s="104">
        <f>CHOOSE(MATCH(IF($U629="","Основний",$U629),{"Трафіковий","Основний","Маржинальний","Сезонний","Стратегічний"},0),0.12,0.145,0.19,0.18,0.22)</f>
        <v/>
      </c>
      <c r="AN629" s="157">
        <f>CHOOSE(MATCH(IF($U629="","Основний",$U629),{"Трафіковий","Основний","Маржинальний","Сезонний","Стратегічний"},0),Settings!$B$78,Settings!$B$80,Settings!$B$82,Settings!$B$84,Settings!$B$86)</f>
        <v/>
      </c>
      <c r="AO629" s="157">
        <f>CHOOSE(MATCH(IF($U629="","Основний",$U629),{"Трафіковий","Основний","Маржинальний","Сезонний","Стратегічний"},0),Settings!$C$78,Settings!$C$80,Settings!$C$82,Settings!$C$84,Settings!$C$86)</f>
        <v/>
      </c>
      <c r="AP629" s="157">
        <f>CHOOSE(MATCH(IF($U629="","Основний",$U629),{"Трафіковий","Основний","Маржинальний","Сезонний","Стратегічний"},0),Settings!$D$78,Settings!$D$80,Settings!$D$82,Settings!$D$84,Settings!$D$86)</f>
        <v/>
      </c>
      <c r="AQ629" s="157">
        <f>CHOOSE(MATCH(IF($U629="","Основний",$U629),{"Трафіковий","Основний","Маржинальний","Сезонний","Стратегічний"},0),Settings!$F$78,Settings!$F$80,Settings!$F$82,Settings!$F$84,Settings!$F$86)</f>
        <v/>
      </c>
      <c r="AR629" s="157">
        <f>CHOOSE(MATCH(IF($U629="","Основний",$U629),{"Трафіковий","Основний","Маржинальний","Сезонний","Стратегічний"},0),Settings!$G$78,Settings!$G$80,Settings!$G$82,Settings!$G$84,Settings!$G$86)</f>
        <v/>
      </c>
      <c r="AS629" s="157">
        <f>CHOOSE(MATCH(IF($U629="","Основний",$U629),{"Трафіковий","Основний","Маржинальний","Сезонний","Стратегічний"},0),Settings!$H$78,Settings!$H$80,Settings!$H$82,Settings!$H$84,Settings!$H$86)</f>
        <v/>
      </c>
      <c r="AT629" s="157">
        <f>CHOOSE(MATCH(IF($U629="","Основний",$U629),{"Трафіковий","Основний","Маржинальний","Сезонний","Стратегічний"},0),Settings!$I$78,Settings!$I$80,Settings!$I$82,Settings!$I$84,Settings!$I$86)</f>
        <v/>
      </c>
      <c r="AU629" s="171" t="n"/>
      <c r="AV629" t="n">
        <v>1.35</v>
      </c>
    </row>
    <row r="630">
      <c r="A630" s="28" t="n"/>
      <c r="B630" s="29" t="inlineStr">
        <is>
          <t>P5734B</t>
        </is>
      </c>
      <c r="C630" s="29" t="inlineStr">
        <is>
          <t>WIRELESS DOORCHIME AC P5734B</t>
        </is>
      </c>
      <c r="D630" s="29" t="inlineStr">
        <is>
          <t>Дверні дзвінки</t>
        </is>
      </c>
      <c r="E630" s="28" t="inlineStr">
        <is>
          <t>PC</t>
        </is>
      </c>
      <c r="F630" s="93" t="n">
        <v>7.421</v>
      </c>
      <c r="G630" s="30" t="n">
        <v>8531804090</v>
      </c>
      <c r="H630" s="31" t="n">
        <v>1.4</v>
      </c>
      <c r="I630" s="84">
        <f>IFERROR(F630*Settings!$B$2*H630*IF(AND(ISNUMBER(E630),E630&gt;1),E630,1),"")</f>
        <v/>
      </c>
      <c r="J630" s="32">
        <f>Settings!$B$66</f>
        <v/>
      </c>
      <c r="K630" s="95">
        <f>IFERROR(IF(T630="","",(T630*(1-AN630)*(1-Settings!$B$17)-I630)/(T630*(1-AN630)*(1-Settings!$B$17))),"")</f>
        <v/>
      </c>
      <c r="L630" s="101">
        <f>IFERROR(IF(T630="","",(T630*(1-AO630)*(1-Settings!$C$17)-I630)/(T630*(1-AO630)*(1-Settings!$C$17))),"")</f>
        <v/>
      </c>
      <c r="M630" s="101">
        <f>IFERROR(IF(T630="","",(T630*(1-AP630)*(1-Settings!$D$17)-I630)/(T630*(1-AP630)*(1-Settings!$D$17))),"")</f>
        <v/>
      </c>
      <c r="N630" s="101">
        <f>IFERROR(IF(T630="","",(T630*(1-AQ630)*(1-Settings!$F$17)-I630)/(T630*(1-AQ630)*(1-Settings!$F$17))),"")</f>
        <v/>
      </c>
      <c r="O630" s="101">
        <f>IFERROR(IF(T630="","",(T630*(1-AR630)*(1-Settings!$G$17)-I630)/(T630*(1-AR630)*(1-Settings!$G$17))),"")</f>
        <v/>
      </c>
      <c r="P630" s="101">
        <f>IFERROR(IF(T630="","",(T630*(1-AS630)*(1-Settings!$H$17)-I630)/(T630*(1-AS630)*(1-Settings!$H$17))),"")</f>
        <v/>
      </c>
      <c r="Q630" s="101">
        <f>IFERROR(IF(T630="","",(T630*(1-AT630)*(1-Settings!$I$68)*(1-Settings!$I$17)-I630)/(T630*(1-AT630)*(1-Settings!$I$68)*(1-Settings!$I$17))),"")</f>
        <v/>
      </c>
      <c r="R630" s="91">
        <f>IFERROR(IF(OR(I630="",Z630&gt;=1,Settings!$B$17&gt;=1,AN630&gt;=1),"",IF(MOD(ROUND(I630/(1-Z630)/(1-Settings!$B$17)/(1-AN630),0),10)=0,ROUND(I630/(1-Z630)/(1-Settings!$B$17)/(1-AN630),0)-1,IF(MOD(ROUND(I630/(1-Z630)/(1-Settings!$B$17)/(1-AN630),0),10)&lt;=5,FLOOR(ROUND(I630/(1-Z630)/(1-Settings!$B$17)/(1-AN630),0),10)+6,FLOOR(ROUND(I630/(1-Z630)/(1-Settings!$B$17)/(1-AN630),0),10)+9))),"")</f>
        <v/>
      </c>
      <c r="S630" s="92" t="n">
        <v>1000</v>
      </c>
      <c r="T630" s="91">
        <f>IF(S630&lt;&gt;"", IF(MOD(S630,10)=0,S630-1,IF(MOD(S630,10)&lt;=5,FLOOR(S630,10)+6,FLOOR(S630,10)+9)), R630)</f>
        <v/>
      </c>
      <c r="U630" s="87" t="inlineStr">
        <is>
          <t>Основний</t>
        </is>
      </c>
      <c r="V630" s="88" t="n"/>
      <c r="W630" s="88" t="n"/>
      <c r="X630" s="89">
        <f>IFERROR(IF(OR(V630="",W630="",T630=""),"", IF(T630&gt;W630,"Дорогий",IF(T630&lt;V630,"Дешевий","У ринку"))),"")</f>
        <v/>
      </c>
      <c r="Y630" s="90" t="n"/>
      <c r="Z630" s="104">
        <f>CHOOSE(MATCH(IF($U630="","Основний",$U630),{"Трафіковий","Основний","Маржинальний","Сезонний","Стратегічний"},0),0.16,0.19,0.24,0.23,0.28)</f>
        <v/>
      </c>
      <c r="AA630" s="104">
        <f>CHOOSE(MATCH(IF($U630="","Основний",$U630),{"Трафіковий","Основний","Маржинальний","Сезонний","Стратегічний"},0),0.18,0.21,0.26,0.25,0.3)</f>
        <v/>
      </c>
      <c r="AB630" s="104">
        <f>CHOOSE(MATCH(IF($U630="","Основний",$U630),{"Трафіковий","Основний","Маржинальний","Сезонний","Стратегічний"},0),0.19,0.22,0.28,0.26,0.32)</f>
        <v/>
      </c>
      <c r="AC630" s="104">
        <f>CHOOSE(MATCH(IF($U630="","Основний",$U630),{"Трафіковий","Основний","Маржинальний","Сезонний","Стратегічний"},0),0.17,0.2,0.25,0.24,0.28)</f>
        <v/>
      </c>
      <c r="AD630" s="104">
        <f>CHOOSE(MATCH(IF($U630="","Основний",$U630),{"Трафіковий","Основний","Маржинальний","Сезонний","Стратегічний"},0),0.18,0.21,0.26,0.25,0.3)</f>
        <v/>
      </c>
      <c r="AE630" s="104">
        <f>CHOOSE(MATCH(IF($U630="","Основний",$U630),{"Трафіковий","Основний","Маржинальний","Сезонний","Стратегічний"},0),0.18,0.2,0.28,0.27,0.32)</f>
        <v/>
      </c>
      <c r="AF630" s="104">
        <f>CHOOSE(MATCH(IF($U630="","Основний",$U630),{"Трафіковий","Основний","Маржинальний","Сезонний","Стратегічний"},0),0.15,0.175,0.22,0.21,0.25)</f>
        <v/>
      </c>
      <c r="AG630" s="104">
        <f>CHOOSE(MATCH(IF($U630="","Основний",$U630),{"Трафіковий","Основний","Маржинальний","Сезонний","Стратегічний"},0),0.13,0.16,0.21,0.2,0.25)</f>
        <v/>
      </c>
      <c r="AH630" s="104">
        <f>CHOOSE(MATCH(IF($U630="","Основний",$U630),{"Трафіковий","Основний","Маржинальний","Сезонний","Стратегічний"},0),0.15,0.18,0.23,0.22,0.27)</f>
        <v/>
      </c>
      <c r="AI630" s="104">
        <f>CHOOSE(MATCH(IF($U630="","Основний",$U630),{"Трафіковий","Основний","Маржинальний","Сезонний","Стратегічний"},0),0.16,0.19,0.25,0.23,0.29)</f>
        <v/>
      </c>
      <c r="AJ630" s="104">
        <f>CHOOSE(MATCH(IF($U630="","Основний",$U630),{"Трафіковий","Основний","Маржинальний","Сезонний","Стратегічний"},0),0.14,0.17,0.22,0.21,0.25)</f>
        <v/>
      </c>
      <c r="AK630" s="104">
        <f>CHOOSE(MATCH(IF($U630="","Основний",$U630),{"Трафіковий","Основний","Маржинальний","Сезонний","Стратегічний"},0),0.15,0.18,0.23,0.22,0.27)</f>
        <v/>
      </c>
      <c r="AL630" s="104">
        <f>CHOOSE(MATCH(IF($U630="","Основний",$U630),{"Трафіковий","Основний","Маржинальний","Сезонний","Стратегічний"},0),0.15,0.17,0.25,0.24,0.29)</f>
        <v/>
      </c>
      <c r="AM630" s="104">
        <f>CHOOSE(MATCH(IF($U630="","Основний",$U630),{"Трафіковий","Основний","Маржинальний","Сезонний","Стратегічний"},0),0.12,0.145,0.19,0.18,0.22)</f>
        <v/>
      </c>
      <c r="AN630" s="157">
        <f>CHOOSE(MATCH(IF($U630="","Основний",$U630),{"Трафіковий","Основний","Маржинальний","Сезонний","Стратегічний"},0),Settings!$B$78,Settings!$B$80,Settings!$B$82,Settings!$B$84,Settings!$B$86)</f>
        <v/>
      </c>
      <c r="AO630" s="157">
        <f>CHOOSE(MATCH(IF($U630="","Основний",$U630),{"Трафіковий","Основний","Маржинальний","Сезонний","Стратегічний"},0),Settings!$C$78,Settings!$C$80,Settings!$C$82,Settings!$C$84,Settings!$C$86)</f>
        <v/>
      </c>
      <c r="AP630" s="157">
        <f>CHOOSE(MATCH(IF($U630="","Основний",$U630),{"Трафіковий","Основний","Маржинальний","Сезонний","Стратегічний"},0),Settings!$D$78,Settings!$D$80,Settings!$D$82,Settings!$D$84,Settings!$D$86)</f>
        <v/>
      </c>
      <c r="AQ630" s="157">
        <f>CHOOSE(MATCH(IF($U630="","Основний",$U630),{"Трафіковий","Основний","Маржинальний","Сезонний","Стратегічний"},0),Settings!$F$78,Settings!$F$80,Settings!$F$82,Settings!$F$84,Settings!$F$86)</f>
        <v/>
      </c>
      <c r="AR630" s="157">
        <f>CHOOSE(MATCH(IF($U630="","Основний",$U630),{"Трафіковий","Основний","Маржинальний","Сезонний","Стратегічний"},0),Settings!$G$78,Settings!$G$80,Settings!$G$82,Settings!$G$84,Settings!$G$86)</f>
        <v/>
      </c>
      <c r="AS630" s="157">
        <f>CHOOSE(MATCH(IF($U630="","Основний",$U630),{"Трафіковий","Основний","Маржинальний","Сезонний","Стратегічний"},0),Settings!$H$78,Settings!$H$80,Settings!$H$82,Settings!$H$84,Settings!$H$86)</f>
        <v/>
      </c>
      <c r="AT630" s="157">
        <f>CHOOSE(MATCH(IF($U630="","Основний",$U630),{"Трафіковий","Основний","Маржинальний","Сезонний","Стратегічний"},0),Settings!$I$78,Settings!$I$80,Settings!$I$82,Settings!$I$84,Settings!$I$86)</f>
        <v/>
      </c>
      <c r="AU630" s="171" t="n"/>
      <c r="AV630" t="n">
        <v>1.35</v>
      </c>
    </row>
    <row r="631">
      <c r="A631" s="33" t="inlineStr">
        <is>
          <t>NEW</t>
        </is>
      </c>
      <c r="B631" s="34" t="inlineStr">
        <is>
          <t>P5735WS</t>
        </is>
      </c>
      <c r="C631" s="34" t="inlineStr">
        <is>
          <t>GOSMART WIRELESS DOORBELL AC P5735WS</t>
        </is>
      </c>
      <c r="D631" s="34" t="inlineStr">
        <is>
          <t>Дверні дзвінки</t>
        </is>
      </c>
      <c r="E631" s="33" t="inlineStr">
        <is>
          <t>PC</t>
        </is>
      </c>
      <c r="F631" s="94" t="n">
        <v>9.426</v>
      </c>
      <c r="G631" s="35" t="n">
        <v>8531804090</v>
      </c>
      <c r="H631" s="31" t="n">
        <v>1.4</v>
      </c>
      <c r="I631" s="84">
        <f>IFERROR(F631*Settings!$B$2*H631*IF(AND(ISNUMBER(E631),E631&gt;1),E631,1),"")</f>
        <v/>
      </c>
      <c r="J631" s="32">
        <f>Settings!$B$66</f>
        <v/>
      </c>
      <c r="K631" s="95">
        <f>IFERROR(IF(T631="","",(T631*(1-AN631)*(1-Settings!$B$17)-I631)/(T631*(1-AN631)*(1-Settings!$B$17))),"")</f>
        <v/>
      </c>
      <c r="L631" s="101">
        <f>IFERROR(IF(T631="","",(T631*(1-AO631)*(1-Settings!$C$17)-I631)/(T631*(1-AO631)*(1-Settings!$C$17))),"")</f>
        <v/>
      </c>
      <c r="M631" s="101">
        <f>IFERROR(IF(T631="","",(T631*(1-AP631)*(1-Settings!$D$17)-I631)/(T631*(1-AP631)*(1-Settings!$D$17))),"")</f>
        <v/>
      </c>
      <c r="N631" s="101">
        <f>IFERROR(IF(T631="","",(T631*(1-AQ631)*(1-Settings!$F$17)-I631)/(T631*(1-AQ631)*(1-Settings!$F$17))),"")</f>
        <v/>
      </c>
      <c r="O631" s="101">
        <f>IFERROR(IF(T631="","",(T631*(1-AR631)*(1-Settings!$G$17)-I631)/(T631*(1-AR631)*(1-Settings!$G$17))),"")</f>
        <v/>
      </c>
      <c r="P631" s="101">
        <f>IFERROR(IF(T631="","",(T631*(1-AS631)*(1-Settings!$H$17)-I631)/(T631*(1-AS631)*(1-Settings!$H$17))),"")</f>
        <v/>
      </c>
      <c r="Q631" s="101">
        <f>IFERROR(IF(T631="","",(T631*(1-AT631)*(1-Settings!$I$68)*(1-Settings!$I$17)-I631)/(T631*(1-AT631)*(1-Settings!$I$68)*(1-Settings!$I$17))),"")</f>
        <v/>
      </c>
      <c r="R631" s="91">
        <f>IFERROR(IF(OR(I631="",Z631&gt;=1,Settings!$B$17&gt;=1,AN631&gt;=1),"",IF(MOD(ROUND(I631/(1-Z631)/(1-Settings!$B$17)/(1-AN631),0),10)=0,ROUND(I631/(1-Z631)/(1-Settings!$B$17)/(1-AN631),0)-1,IF(MOD(ROUND(I631/(1-Z631)/(1-Settings!$B$17)/(1-AN631),0),10)&lt;=5,FLOOR(ROUND(I631/(1-Z631)/(1-Settings!$B$17)/(1-AN631),0),10)+6,FLOOR(ROUND(I631/(1-Z631)/(1-Settings!$B$17)/(1-AN631),0),10)+9))),"")</f>
        <v/>
      </c>
      <c r="S631" s="174">
        <f>R631*0.95</f>
        <v/>
      </c>
      <c r="T631" s="91">
        <f>IF(S631&lt;&gt;"", IF(MOD(S631,10)=0,S631-1,IF(MOD(S631,10)&lt;=5,FLOOR(S631,10)+6,FLOOR(S631,10)+9)), R631)</f>
        <v/>
      </c>
      <c r="U631" s="87" t="inlineStr">
        <is>
          <t>Основний</t>
        </is>
      </c>
      <c r="V631" s="88" t="n"/>
      <c r="W631" s="88" t="n"/>
      <c r="X631" s="89">
        <f>IFERROR(IF(OR(V631="",W631="",T631=""),"", IF(T631&gt;W631,"Дорогий",IF(T631&lt;V631,"Дешевий","У ринку"))),"")</f>
        <v/>
      </c>
      <c r="Y631" s="90" t="n"/>
      <c r="Z631" s="104">
        <f>CHOOSE(MATCH(IF($U631="","Основний",$U631),{"Трафіковий","Основний","Маржинальний","Сезонний","Стратегічний"},0),0.16,0.19,0.24,0.23,0.28)</f>
        <v/>
      </c>
      <c r="AA631" s="104">
        <f>CHOOSE(MATCH(IF($U631="","Основний",$U631),{"Трафіковий","Основний","Маржинальний","Сезонний","Стратегічний"},0),0.18,0.21,0.26,0.25,0.3)</f>
        <v/>
      </c>
      <c r="AB631" s="104">
        <f>CHOOSE(MATCH(IF($U631="","Основний",$U631),{"Трафіковий","Основний","Маржинальний","Сезонний","Стратегічний"},0),0.19,0.22,0.28,0.26,0.32)</f>
        <v/>
      </c>
      <c r="AC631" s="104">
        <f>CHOOSE(MATCH(IF($U631="","Основний",$U631),{"Трафіковий","Основний","Маржинальний","Сезонний","Стратегічний"},0),0.17,0.2,0.25,0.24,0.28)</f>
        <v/>
      </c>
      <c r="AD631" s="104">
        <f>CHOOSE(MATCH(IF($U631="","Основний",$U631),{"Трафіковий","Основний","Маржинальний","Сезонний","Стратегічний"},0),0.18,0.21,0.26,0.25,0.3)</f>
        <v/>
      </c>
      <c r="AE631" s="104">
        <f>CHOOSE(MATCH(IF($U631="","Основний",$U631),{"Трафіковий","Основний","Маржинальний","Сезонний","Стратегічний"},0),0.18,0.2,0.28,0.27,0.32)</f>
        <v/>
      </c>
      <c r="AF631" s="104">
        <f>CHOOSE(MATCH(IF($U631="","Основний",$U631),{"Трафіковий","Основний","Маржинальний","Сезонний","Стратегічний"},0),0.15,0.175,0.22,0.21,0.25)</f>
        <v/>
      </c>
      <c r="AG631" s="104">
        <f>CHOOSE(MATCH(IF($U631="","Основний",$U631),{"Трафіковий","Основний","Маржинальний","Сезонний","Стратегічний"},0),0.13,0.16,0.21,0.2,0.25)</f>
        <v/>
      </c>
      <c r="AH631" s="104">
        <f>CHOOSE(MATCH(IF($U631="","Основний",$U631),{"Трафіковий","Основний","Маржинальний","Сезонний","Стратегічний"},0),0.15,0.18,0.23,0.22,0.27)</f>
        <v/>
      </c>
      <c r="AI631" s="104">
        <f>CHOOSE(MATCH(IF($U631="","Основний",$U631),{"Трафіковий","Основний","Маржинальний","Сезонний","Стратегічний"},0),0.16,0.19,0.25,0.23,0.29)</f>
        <v/>
      </c>
      <c r="AJ631" s="104">
        <f>CHOOSE(MATCH(IF($U631="","Основний",$U631),{"Трафіковий","Основний","Маржинальний","Сезонний","Стратегічний"},0),0.14,0.17,0.22,0.21,0.25)</f>
        <v/>
      </c>
      <c r="AK631" s="104">
        <f>CHOOSE(MATCH(IF($U631="","Основний",$U631),{"Трафіковий","Основний","Маржинальний","Сезонний","Стратегічний"},0),0.15,0.18,0.23,0.22,0.27)</f>
        <v/>
      </c>
      <c r="AL631" s="104">
        <f>CHOOSE(MATCH(IF($U631="","Основний",$U631),{"Трафіковий","Основний","Маржинальний","Сезонний","Стратегічний"},0),0.15,0.17,0.25,0.24,0.29)</f>
        <v/>
      </c>
      <c r="AM631" s="104">
        <f>CHOOSE(MATCH(IF($U631="","Основний",$U631),{"Трафіковий","Основний","Маржинальний","Сезонний","Стратегічний"},0),0.12,0.145,0.19,0.18,0.22)</f>
        <v/>
      </c>
      <c r="AN631" s="157">
        <f>CHOOSE(MATCH(IF($U631="","Основний",$U631),{"Трафіковий","Основний","Маржинальний","Сезонний","Стратегічний"},0),Settings!$B$78,Settings!$B$80,Settings!$B$82,Settings!$B$84,Settings!$B$86)</f>
        <v/>
      </c>
      <c r="AO631" s="157">
        <f>CHOOSE(MATCH(IF($U631="","Основний",$U631),{"Трафіковий","Основний","Маржинальний","Сезонний","Стратегічний"},0),Settings!$C$78,Settings!$C$80,Settings!$C$82,Settings!$C$84,Settings!$C$86)</f>
        <v/>
      </c>
      <c r="AP631" s="157">
        <f>CHOOSE(MATCH(IF($U631="","Основний",$U631),{"Трафіковий","Основний","Маржинальний","Сезонний","Стратегічний"},0),Settings!$D$78,Settings!$D$80,Settings!$D$82,Settings!$D$84,Settings!$D$86)</f>
        <v/>
      </c>
      <c r="AQ631" s="157">
        <f>CHOOSE(MATCH(IF($U631="","Основний",$U631),{"Трафіковий","Основний","Маржинальний","Сезонний","Стратегічний"},0),Settings!$F$78,Settings!$F$80,Settings!$F$82,Settings!$F$84,Settings!$F$86)</f>
        <v/>
      </c>
      <c r="AR631" s="157">
        <f>CHOOSE(MATCH(IF($U631="","Основний",$U631),{"Трафіковий","Основний","Маржинальний","Сезонний","Стратегічний"},0),Settings!$G$78,Settings!$G$80,Settings!$G$82,Settings!$G$84,Settings!$G$86)</f>
        <v/>
      </c>
      <c r="AS631" s="157">
        <f>CHOOSE(MATCH(IF($U631="","Основний",$U631),{"Трафіковий","Основний","Маржинальний","Сезонний","Стратегічний"},0),Settings!$H$78,Settings!$H$80,Settings!$H$82,Settings!$H$84,Settings!$H$86)</f>
        <v/>
      </c>
      <c r="AT631" s="157">
        <f>CHOOSE(MATCH(IF($U631="","Основний",$U631),{"Трафіковий","Основний","Маржинальний","Сезонний","Стратегічний"},0),Settings!$I$78,Settings!$I$80,Settings!$I$82,Settings!$I$84,Settings!$I$86)</f>
        <v/>
      </c>
      <c r="AU631" s="171" t="n"/>
      <c r="AV631" t="n">
        <v>1.35</v>
      </c>
    </row>
    <row r="632">
      <c r="A632" s="28" t="inlineStr">
        <is>
          <t>NEW</t>
        </is>
      </c>
      <c r="B632" s="29" t="inlineStr">
        <is>
          <t>P5735SS</t>
        </is>
      </c>
      <c r="C632" s="29" t="inlineStr">
        <is>
          <t>GOSMART WIRELESS DOORBELL AC P5735SS</t>
        </is>
      </c>
      <c r="D632" s="29" t="inlineStr">
        <is>
          <t>Дверні дзвінки</t>
        </is>
      </c>
      <c r="E632" s="28" t="inlineStr">
        <is>
          <t>PC</t>
        </is>
      </c>
      <c r="F632" s="93" t="n">
        <v>9.561</v>
      </c>
      <c r="G632" s="30" t="n">
        <v>8531804090</v>
      </c>
      <c r="H632" s="31" t="n">
        <v>1.4</v>
      </c>
      <c r="I632" s="84">
        <f>IFERROR(F632*Settings!$B$2*H632*IF(AND(ISNUMBER(E632),E632&gt;1),E632,1),"")</f>
        <v/>
      </c>
      <c r="J632" s="32">
        <f>Settings!$B$66</f>
        <v/>
      </c>
      <c r="K632" s="95">
        <f>IFERROR(IF(T632="","",(T632*(1-AN632)*(1-Settings!$B$17)-I632)/(T632*(1-AN632)*(1-Settings!$B$17))),"")</f>
        <v/>
      </c>
      <c r="L632" s="101">
        <f>IFERROR(IF(T632="","",(T632*(1-AO632)*(1-Settings!$C$17)-I632)/(T632*(1-AO632)*(1-Settings!$C$17))),"")</f>
        <v/>
      </c>
      <c r="M632" s="101">
        <f>IFERROR(IF(T632="","",(T632*(1-AP632)*(1-Settings!$D$17)-I632)/(T632*(1-AP632)*(1-Settings!$D$17))),"")</f>
        <v/>
      </c>
      <c r="N632" s="101">
        <f>IFERROR(IF(T632="","",(T632*(1-AQ632)*(1-Settings!$F$17)-I632)/(T632*(1-AQ632)*(1-Settings!$F$17))),"")</f>
        <v/>
      </c>
      <c r="O632" s="101">
        <f>IFERROR(IF(T632="","",(T632*(1-AR632)*(1-Settings!$G$17)-I632)/(T632*(1-AR632)*(1-Settings!$G$17))),"")</f>
        <v/>
      </c>
      <c r="P632" s="101">
        <f>IFERROR(IF(T632="","",(T632*(1-AS632)*(1-Settings!$H$17)-I632)/(T632*(1-AS632)*(1-Settings!$H$17))),"")</f>
        <v/>
      </c>
      <c r="Q632" s="101">
        <f>IFERROR(IF(T632="","",(T632*(1-AT632)*(1-Settings!$I$68)*(1-Settings!$I$17)-I632)/(T632*(1-AT632)*(1-Settings!$I$68)*(1-Settings!$I$17))),"")</f>
        <v/>
      </c>
      <c r="R632" s="91">
        <f>IFERROR(IF(OR(I632="",Z632&gt;=1,Settings!$B$17&gt;=1,AN632&gt;=1),"",IF(MOD(ROUND(I632/(1-Z632)/(1-Settings!$B$17)/(1-AN632),0),10)=0,ROUND(I632/(1-Z632)/(1-Settings!$B$17)/(1-AN632),0)-1,IF(MOD(ROUND(I632/(1-Z632)/(1-Settings!$B$17)/(1-AN632),0),10)&lt;=5,FLOOR(ROUND(I632/(1-Z632)/(1-Settings!$B$17)/(1-AN632),0),10)+6,FLOOR(ROUND(I632/(1-Z632)/(1-Settings!$B$17)/(1-AN632),0),10)+9))),"")</f>
        <v/>
      </c>
      <c r="S632" s="174">
        <f>R632*0.95</f>
        <v/>
      </c>
      <c r="T632" s="91">
        <f>IF(S632&lt;&gt;"", IF(MOD(S632,10)=0,S632-1,IF(MOD(S632,10)&lt;=5,FLOOR(S632,10)+6,FLOOR(S632,10)+9)), R632)</f>
        <v/>
      </c>
      <c r="U632" s="87" t="inlineStr">
        <is>
          <t>Основний</t>
        </is>
      </c>
      <c r="V632" s="88" t="n"/>
      <c r="W632" s="88" t="n"/>
      <c r="X632" s="89">
        <f>IFERROR(IF(OR(V632="",W632="",T632=""),"", IF(T632&gt;W632,"Дорогий",IF(T632&lt;V632,"Дешевий","У ринку"))),"")</f>
        <v/>
      </c>
      <c r="Y632" s="90" t="n"/>
      <c r="Z632" s="104">
        <f>CHOOSE(MATCH(IF($U632="","Основний",$U632),{"Трафіковий","Основний","Маржинальний","Сезонний","Стратегічний"},0),0.16,0.19,0.24,0.23,0.28)</f>
        <v/>
      </c>
      <c r="AA632" s="104">
        <f>CHOOSE(MATCH(IF($U632="","Основний",$U632),{"Трафіковий","Основний","Маржинальний","Сезонний","Стратегічний"},0),0.18,0.21,0.26,0.25,0.3)</f>
        <v/>
      </c>
      <c r="AB632" s="104">
        <f>CHOOSE(MATCH(IF($U632="","Основний",$U632),{"Трафіковий","Основний","Маржинальний","Сезонний","Стратегічний"},0),0.19,0.22,0.28,0.26,0.32)</f>
        <v/>
      </c>
      <c r="AC632" s="104">
        <f>CHOOSE(MATCH(IF($U632="","Основний",$U632),{"Трафіковий","Основний","Маржинальний","Сезонний","Стратегічний"},0),0.17,0.2,0.25,0.24,0.28)</f>
        <v/>
      </c>
      <c r="AD632" s="104">
        <f>CHOOSE(MATCH(IF($U632="","Основний",$U632),{"Трафіковий","Основний","Маржинальний","Сезонний","Стратегічний"},0),0.18,0.21,0.26,0.25,0.3)</f>
        <v/>
      </c>
      <c r="AE632" s="104">
        <f>CHOOSE(MATCH(IF($U632="","Основний",$U632),{"Трафіковий","Основний","Маржинальний","Сезонний","Стратегічний"},0),0.18,0.2,0.28,0.27,0.32)</f>
        <v/>
      </c>
      <c r="AF632" s="104">
        <f>CHOOSE(MATCH(IF($U632="","Основний",$U632),{"Трафіковий","Основний","Маржинальний","Сезонний","Стратегічний"},0),0.15,0.175,0.22,0.21,0.25)</f>
        <v/>
      </c>
      <c r="AG632" s="104">
        <f>CHOOSE(MATCH(IF($U632="","Основний",$U632),{"Трафіковий","Основний","Маржинальний","Сезонний","Стратегічний"},0),0.13,0.16,0.21,0.2,0.25)</f>
        <v/>
      </c>
      <c r="AH632" s="104">
        <f>CHOOSE(MATCH(IF($U632="","Основний",$U632),{"Трафіковий","Основний","Маржинальний","Сезонний","Стратегічний"},0),0.15,0.18,0.23,0.22,0.27)</f>
        <v/>
      </c>
      <c r="AI632" s="104">
        <f>CHOOSE(MATCH(IF($U632="","Основний",$U632),{"Трафіковий","Основний","Маржинальний","Сезонний","Стратегічний"},0),0.16,0.19,0.25,0.23,0.29)</f>
        <v/>
      </c>
      <c r="AJ632" s="104">
        <f>CHOOSE(MATCH(IF($U632="","Основний",$U632),{"Трафіковий","Основний","Маржинальний","Сезонний","Стратегічний"},0),0.14,0.17,0.22,0.21,0.25)</f>
        <v/>
      </c>
      <c r="AK632" s="104">
        <f>CHOOSE(MATCH(IF($U632="","Основний",$U632),{"Трафіковий","Основний","Маржинальний","Сезонний","Стратегічний"},0),0.15,0.18,0.23,0.22,0.27)</f>
        <v/>
      </c>
      <c r="AL632" s="104">
        <f>CHOOSE(MATCH(IF($U632="","Основний",$U632),{"Трафіковий","Основний","Маржинальний","Сезонний","Стратегічний"},0),0.15,0.17,0.25,0.24,0.29)</f>
        <v/>
      </c>
      <c r="AM632" s="104">
        <f>CHOOSE(MATCH(IF($U632="","Основний",$U632),{"Трафіковий","Основний","Маржинальний","Сезонний","Стратегічний"},0),0.12,0.145,0.19,0.18,0.22)</f>
        <v/>
      </c>
      <c r="AN632" s="157">
        <f>CHOOSE(MATCH(IF($U632="","Основний",$U632),{"Трафіковий","Основний","Маржинальний","Сезонний","Стратегічний"},0),Settings!$B$78,Settings!$B$80,Settings!$B$82,Settings!$B$84,Settings!$B$86)</f>
        <v/>
      </c>
      <c r="AO632" s="157">
        <f>CHOOSE(MATCH(IF($U632="","Основний",$U632),{"Трафіковий","Основний","Маржинальний","Сезонний","Стратегічний"},0),Settings!$C$78,Settings!$C$80,Settings!$C$82,Settings!$C$84,Settings!$C$86)</f>
        <v/>
      </c>
      <c r="AP632" s="157">
        <f>CHOOSE(MATCH(IF($U632="","Основний",$U632),{"Трафіковий","Основний","Маржинальний","Сезонний","Стратегічний"},0),Settings!$D$78,Settings!$D$80,Settings!$D$82,Settings!$D$84,Settings!$D$86)</f>
        <v/>
      </c>
      <c r="AQ632" s="157">
        <f>CHOOSE(MATCH(IF($U632="","Основний",$U632),{"Трафіковий","Основний","Маржинальний","Сезонний","Стратегічний"},0),Settings!$F$78,Settings!$F$80,Settings!$F$82,Settings!$F$84,Settings!$F$86)</f>
        <v/>
      </c>
      <c r="AR632" s="157">
        <f>CHOOSE(MATCH(IF($U632="","Основний",$U632),{"Трафіковий","Основний","Маржинальний","Сезонний","Стратегічний"},0),Settings!$G$78,Settings!$G$80,Settings!$G$82,Settings!$G$84,Settings!$G$86)</f>
        <v/>
      </c>
      <c r="AS632" s="157">
        <f>CHOOSE(MATCH(IF($U632="","Основний",$U632),{"Трафіковий","Основний","Маржинальний","Сезонний","Стратегічний"},0),Settings!$H$78,Settings!$H$80,Settings!$H$82,Settings!$H$84,Settings!$H$86)</f>
        <v/>
      </c>
      <c r="AT632" s="157">
        <f>CHOOSE(MATCH(IF($U632="","Основний",$U632),{"Трафіковий","Основний","Маржинальний","Сезонний","Стратегічний"},0),Settings!$I$78,Settings!$I$80,Settings!$I$82,Settings!$I$84,Settings!$I$86)</f>
        <v/>
      </c>
      <c r="AU632" s="171" t="n"/>
      <c r="AV632" t="n">
        <v>1.35</v>
      </c>
    </row>
    <row r="633">
      <c r="A633" s="33" t="inlineStr">
        <is>
          <t>NEW</t>
        </is>
      </c>
      <c r="B633" s="34" t="inlineStr">
        <is>
          <t>P5736</t>
        </is>
      </c>
      <c r="C633" s="34" t="inlineStr">
        <is>
          <t>WIRELESS DOORCHIME DC P5736</t>
        </is>
      </c>
      <c r="D633" s="34" t="inlineStr">
        <is>
          <t>Дверні дзвінки</t>
        </is>
      </c>
      <c r="E633" s="33" t="inlineStr">
        <is>
          <t>PC</t>
        </is>
      </c>
      <c r="F633" s="94" t="n">
        <v>4.039</v>
      </c>
      <c r="G633" s="35" t="n">
        <v>8531804090</v>
      </c>
      <c r="H633" s="31" t="n">
        <v>1.4</v>
      </c>
      <c r="I633" s="84">
        <f>IFERROR(F633*Settings!$B$2*H633*IF(AND(ISNUMBER(E633),E633&gt;1),E633,1),"")</f>
        <v/>
      </c>
      <c r="J633" s="32">
        <f>Settings!$B$66</f>
        <v/>
      </c>
      <c r="K633" s="95">
        <f>IFERROR(IF(T633="","",(T633*(1-AN633)*(1-Settings!$B$17)-I633)/(T633*(1-AN633)*(1-Settings!$B$17))),"")</f>
        <v/>
      </c>
      <c r="L633" s="101">
        <f>IFERROR(IF(T633="","",(T633*(1-AO633)*(1-Settings!$C$17)-I633)/(T633*(1-AO633)*(1-Settings!$C$17))),"")</f>
        <v/>
      </c>
      <c r="M633" s="101">
        <f>IFERROR(IF(T633="","",(T633*(1-AP633)*(1-Settings!$D$17)-I633)/(T633*(1-AP633)*(1-Settings!$D$17))),"")</f>
        <v/>
      </c>
      <c r="N633" s="101">
        <f>IFERROR(IF(T633="","",(T633*(1-AQ633)*(1-Settings!$F$17)-I633)/(T633*(1-AQ633)*(1-Settings!$F$17))),"")</f>
        <v/>
      </c>
      <c r="O633" s="101">
        <f>IFERROR(IF(T633="","",(T633*(1-AR633)*(1-Settings!$G$17)-I633)/(T633*(1-AR633)*(1-Settings!$G$17))),"")</f>
        <v/>
      </c>
      <c r="P633" s="101">
        <f>IFERROR(IF(T633="","",(T633*(1-AS633)*(1-Settings!$H$17)-I633)/(T633*(1-AS633)*(1-Settings!$H$17))),"")</f>
        <v/>
      </c>
      <c r="Q633" s="101">
        <f>IFERROR(IF(T633="","",(T633*(1-AT633)*(1-Settings!$I$68)*(1-Settings!$I$17)-I633)/(T633*(1-AT633)*(1-Settings!$I$68)*(1-Settings!$I$17))),"")</f>
        <v/>
      </c>
      <c r="R633" s="91">
        <f>IFERROR(IF(OR(I633="",Z633&gt;=1,Settings!$B$17&gt;=1,AN633&gt;=1),"",IF(MOD(ROUND(I633/(1-Z633)/(1-Settings!$B$17)/(1-AN633),0),10)=0,ROUND(I633/(1-Z633)/(1-Settings!$B$17)/(1-AN633),0)-1,IF(MOD(ROUND(I633/(1-Z633)/(1-Settings!$B$17)/(1-AN633),0),10)&lt;=5,FLOOR(ROUND(I633/(1-Z633)/(1-Settings!$B$17)/(1-AN633),0),10)+6,FLOOR(ROUND(I633/(1-Z633)/(1-Settings!$B$17)/(1-AN633),0),10)+9))),"")</f>
        <v/>
      </c>
      <c r="S633" s="92" t="n">
        <v>560</v>
      </c>
      <c r="T633" s="91">
        <f>IF(S633&lt;&gt;"", IF(MOD(S633,10)=0,S633-1,IF(MOD(S633,10)&lt;=5,FLOOR(S633,10)+6,FLOOR(S633,10)+9)), R633)</f>
        <v/>
      </c>
      <c r="U633" s="87" t="inlineStr">
        <is>
          <t>Основний</t>
        </is>
      </c>
      <c r="V633" s="88" t="n"/>
      <c r="W633" s="88" t="n"/>
      <c r="X633" s="89">
        <f>IFERROR(IF(OR(V633="",W633="",T633=""),"", IF(T633&gt;W633,"Дорогий",IF(T633&lt;V633,"Дешевий","У ринку"))),"")</f>
        <v/>
      </c>
      <c r="Y633" s="90" t="n"/>
      <c r="Z633" s="104">
        <f>CHOOSE(MATCH(IF($U633="","Основний",$U633),{"Трафіковий","Основний","Маржинальний","Сезонний","Стратегічний"},0),0.16,0.19,0.24,0.23,0.28)</f>
        <v/>
      </c>
      <c r="AA633" s="104">
        <f>CHOOSE(MATCH(IF($U633="","Основний",$U633),{"Трафіковий","Основний","Маржинальний","Сезонний","Стратегічний"},0),0.18,0.21,0.26,0.25,0.3)</f>
        <v/>
      </c>
      <c r="AB633" s="104">
        <f>CHOOSE(MATCH(IF($U633="","Основний",$U633),{"Трафіковий","Основний","Маржинальний","Сезонний","Стратегічний"},0),0.19,0.22,0.28,0.26,0.32)</f>
        <v/>
      </c>
      <c r="AC633" s="104">
        <f>CHOOSE(MATCH(IF($U633="","Основний",$U633),{"Трафіковий","Основний","Маржинальний","Сезонний","Стратегічний"},0),0.17,0.2,0.25,0.24,0.28)</f>
        <v/>
      </c>
      <c r="AD633" s="104">
        <f>CHOOSE(MATCH(IF($U633="","Основний",$U633),{"Трафіковий","Основний","Маржинальний","Сезонний","Стратегічний"},0),0.18,0.21,0.26,0.25,0.3)</f>
        <v/>
      </c>
      <c r="AE633" s="104">
        <f>CHOOSE(MATCH(IF($U633="","Основний",$U633),{"Трафіковий","Основний","Маржинальний","Сезонний","Стратегічний"},0),0.18,0.2,0.28,0.27,0.32)</f>
        <v/>
      </c>
      <c r="AF633" s="104">
        <f>CHOOSE(MATCH(IF($U633="","Основний",$U633),{"Трафіковий","Основний","Маржинальний","Сезонний","Стратегічний"},0),0.15,0.175,0.22,0.21,0.25)</f>
        <v/>
      </c>
      <c r="AG633" s="104">
        <f>CHOOSE(MATCH(IF($U633="","Основний",$U633),{"Трафіковий","Основний","Маржинальний","Сезонний","Стратегічний"},0),0.13,0.16,0.21,0.2,0.25)</f>
        <v/>
      </c>
      <c r="AH633" s="104">
        <f>CHOOSE(MATCH(IF($U633="","Основний",$U633),{"Трафіковий","Основний","Маржинальний","Сезонний","Стратегічний"},0),0.15,0.18,0.23,0.22,0.27)</f>
        <v/>
      </c>
      <c r="AI633" s="104">
        <f>CHOOSE(MATCH(IF($U633="","Основний",$U633),{"Трафіковий","Основний","Маржинальний","Сезонний","Стратегічний"},0),0.16,0.19,0.25,0.23,0.29)</f>
        <v/>
      </c>
      <c r="AJ633" s="104">
        <f>CHOOSE(MATCH(IF($U633="","Основний",$U633),{"Трафіковий","Основний","Маржинальний","Сезонний","Стратегічний"},0),0.14,0.17,0.22,0.21,0.25)</f>
        <v/>
      </c>
      <c r="AK633" s="104">
        <f>CHOOSE(MATCH(IF($U633="","Основний",$U633),{"Трафіковий","Основний","Маржинальний","Сезонний","Стратегічний"},0),0.15,0.18,0.23,0.22,0.27)</f>
        <v/>
      </c>
      <c r="AL633" s="104">
        <f>CHOOSE(MATCH(IF($U633="","Основний",$U633),{"Трафіковий","Основний","Маржинальний","Сезонний","Стратегічний"},0),0.15,0.17,0.25,0.24,0.29)</f>
        <v/>
      </c>
      <c r="AM633" s="104">
        <f>CHOOSE(MATCH(IF($U633="","Основний",$U633),{"Трафіковий","Основний","Маржинальний","Сезонний","Стратегічний"},0),0.12,0.145,0.19,0.18,0.22)</f>
        <v/>
      </c>
      <c r="AN633" s="157">
        <f>CHOOSE(MATCH(IF($U633="","Основний",$U633),{"Трафіковий","Основний","Маржинальний","Сезонний","Стратегічний"},0),Settings!$B$78,Settings!$B$80,Settings!$B$82,Settings!$B$84,Settings!$B$86)</f>
        <v/>
      </c>
      <c r="AO633" s="157">
        <f>CHOOSE(MATCH(IF($U633="","Основний",$U633),{"Трафіковий","Основний","Маржинальний","Сезонний","Стратегічний"},0),Settings!$C$78,Settings!$C$80,Settings!$C$82,Settings!$C$84,Settings!$C$86)</f>
        <v/>
      </c>
      <c r="AP633" s="157">
        <f>CHOOSE(MATCH(IF($U633="","Основний",$U633),{"Трафіковий","Основний","Маржинальний","Сезонний","Стратегічний"},0),Settings!$D$78,Settings!$D$80,Settings!$D$82,Settings!$D$84,Settings!$D$86)</f>
        <v/>
      </c>
      <c r="AQ633" s="157">
        <f>CHOOSE(MATCH(IF($U633="","Основний",$U633),{"Трафіковий","Основний","Маржинальний","Сезонний","Стратегічний"},0),Settings!$F$78,Settings!$F$80,Settings!$F$82,Settings!$F$84,Settings!$F$86)</f>
        <v/>
      </c>
      <c r="AR633" s="157">
        <f>CHOOSE(MATCH(IF($U633="","Основний",$U633),{"Трафіковий","Основний","Маржинальний","Сезонний","Стратегічний"},0),Settings!$G$78,Settings!$G$80,Settings!$G$82,Settings!$G$84,Settings!$G$86)</f>
        <v/>
      </c>
      <c r="AS633" s="157">
        <f>CHOOSE(MATCH(IF($U633="","Основний",$U633),{"Трафіковий","Основний","Маржинальний","Сезонний","Стратегічний"},0),Settings!$H$78,Settings!$H$80,Settings!$H$82,Settings!$H$84,Settings!$H$86)</f>
        <v/>
      </c>
      <c r="AT633" s="157">
        <f>CHOOSE(MATCH(IF($U633="","Основний",$U633),{"Трафіковий","Основний","Маржинальний","Сезонний","Стратегічний"},0),Settings!$I$78,Settings!$I$80,Settings!$I$82,Settings!$I$84,Settings!$I$86)</f>
        <v/>
      </c>
      <c r="AU633" s="171" t="n"/>
      <c r="AV633" t="n">
        <v>1.35</v>
      </c>
    </row>
    <row r="634">
      <c r="A634" s="28" t="inlineStr">
        <is>
          <t>NEW</t>
        </is>
      </c>
      <c r="B634" s="29" t="inlineStr">
        <is>
          <t>P5737</t>
        </is>
      </c>
      <c r="C634" s="29" t="inlineStr">
        <is>
          <t>WIRELESS DOORCHIME AC P5737</t>
        </is>
      </c>
      <c r="D634" s="29" t="inlineStr">
        <is>
          <t>Дверні дзвінки</t>
        </is>
      </c>
      <c r="E634" s="28" t="inlineStr">
        <is>
          <t>PC</t>
        </is>
      </c>
      <c r="F634" s="93" t="n">
        <v>4.895</v>
      </c>
      <c r="G634" s="30" t="n">
        <v>8531804090</v>
      </c>
      <c r="H634" s="31" t="n">
        <v>1.4</v>
      </c>
      <c r="I634" s="84">
        <f>IFERROR(F634*Settings!$B$2*H634*IF(AND(ISNUMBER(E634),E634&gt;1),E634,1),"")</f>
        <v/>
      </c>
      <c r="J634" s="32">
        <f>Settings!$B$66</f>
        <v/>
      </c>
      <c r="K634" s="95">
        <f>IFERROR(IF(T634="","",(T634*(1-AN634)*(1-Settings!$B$17)-I634)/(T634*(1-AN634)*(1-Settings!$B$17))),"")</f>
        <v/>
      </c>
      <c r="L634" s="101">
        <f>IFERROR(IF(T634="","",(T634*(1-AO634)*(1-Settings!$C$17)-I634)/(T634*(1-AO634)*(1-Settings!$C$17))),"")</f>
        <v/>
      </c>
      <c r="M634" s="101">
        <f>IFERROR(IF(T634="","",(T634*(1-AP634)*(1-Settings!$D$17)-I634)/(T634*(1-AP634)*(1-Settings!$D$17))),"")</f>
        <v/>
      </c>
      <c r="N634" s="101">
        <f>IFERROR(IF(T634="","",(T634*(1-AQ634)*(1-Settings!$F$17)-I634)/(T634*(1-AQ634)*(1-Settings!$F$17))),"")</f>
        <v/>
      </c>
      <c r="O634" s="101">
        <f>IFERROR(IF(T634="","",(T634*(1-AR634)*(1-Settings!$G$17)-I634)/(T634*(1-AR634)*(1-Settings!$G$17))),"")</f>
        <v/>
      </c>
      <c r="P634" s="101">
        <f>IFERROR(IF(T634="","",(T634*(1-AS634)*(1-Settings!$H$17)-I634)/(T634*(1-AS634)*(1-Settings!$H$17))),"")</f>
        <v/>
      </c>
      <c r="Q634" s="101">
        <f>IFERROR(IF(T634="","",(T634*(1-AT634)*(1-Settings!$I$68)*(1-Settings!$I$17)-I634)/(T634*(1-AT634)*(1-Settings!$I$68)*(1-Settings!$I$17))),"")</f>
        <v/>
      </c>
      <c r="R634" s="91">
        <f>IFERROR(IF(OR(I634="",Z634&gt;=1,Settings!$B$17&gt;=1,AN634&gt;=1),"",IF(MOD(ROUND(I634/(1-Z634)/(1-Settings!$B$17)/(1-AN634),0),10)=0,ROUND(I634/(1-Z634)/(1-Settings!$B$17)/(1-AN634),0)-1,IF(MOD(ROUND(I634/(1-Z634)/(1-Settings!$B$17)/(1-AN634),0),10)&lt;=5,FLOOR(ROUND(I634/(1-Z634)/(1-Settings!$B$17)/(1-AN634),0),10)+6,FLOOR(ROUND(I634/(1-Z634)/(1-Settings!$B$17)/(1-AN634),0),10)+9))),"")</f>
        <v/>
      </c>
      <c r="S634" s="92" t="n">
        <v>680</v>
      </c>
      <c r="T634" s="91">
        <f>IF(S634&lt;&gt;"", IF(MOD(S634,10)=0,S634-1,IF(MOD(S634,10)&lt;=5,FLOOR(S634,10)+6,FLOOR(S634,10)+9)), R634)</f>
        <v/>
      </c>
      <c r="U634" s="87" t="inlineStr">
        <is>
          <t>Основний</t>
        </is>
      </c>
      <c r="V634" s="88" t="n"/>
      <c r="W634" s="88" t="n"/>
      <c r="X634" s="89">
        <f>IFERROR(IF(OR(V634="",W634="",T634=""),"", IF(T634&gt;W634,"Дорогий",IF(T634&lt;V634,"Дешевий","У ринку"))),"")</f>
        <v/>
      </c>
      <c r="Y634" s="90" t="n"/>
      <c r="Z634" s="104">
        <f>CHOOSE(MATCH(IF($U634="","Основний",$U634),{"Трафіковий","Основний","Маржинальний","Сезонний","Стратегічний"},0),0.16,0.19,0.24,0.23,0.28)</f>
        <v/>
      </c>
      <c r="AA634" s="104">
        <f>CHOOSE(MATCH(IF($U634="","Основний",$U634),{"Трафіковий","Основний","Маржинальний","Сезонний","Стратегічний"},0),0.18,0.21,0.26,0.25,0.3)</f>
        <v/>
      </c>
      <c r="AB634" s="104">
        <f>CHOOSE(MATCH(IF($U634="","Основний",$U634),{"Трафіковий","Основний","Маржинальний","Сезонний","Стратегічний"},0),0.19,0.22,0.28,0.26,0.32)</f>
        <v/>
      </c>
      <c r="AC634" s="104">
        <f>CHOOSE(MATCH(IF($U634="","Основний",$U634),{"Трафіковий","Основний","Маржинальний","Сезонний","Стратегічний"},0),0.17,0.2,0.25,0.24,0.28)</f>
        <v/>
      </c>
      <c r="AD634" s="104">
        <f>CHOOSE(MATCH(IF($U634="","Основний",$U634),{"Трафіковий","Основний","Маржинальний","Сезонний","Стратегічний"},0),0.18,0.21,0.26,0.25,0.3)</f>
        <v/>
      </c>
      <c r="AE634" s="104">
        <f>CHOOSE(MATCH(IF($U634="","Основний",$U634),{"Трафіковий","Основний","Маржинальний","Сезонний","Стратегічний"},0),0.18,0.2,0.28,0.27,0.32)</f>
        <v/>
      </c>
      <c r="AF634" s="104">
        <f>CHOOSE(MATCH(IF($U634="","Основний",$U634),{"Трафіковий","Основний","Маржинальний","Сезонний","Стратегічний"},0),0.15,0.175,0.22,0.21,0.25)</f>
        <v/>
      </c>
      <c r="AG634" s="104">
        <f>CHOOSE(MATCH(IF($U634="","Основний",$U634),{"Трафіковий","Основний","Маржинальний","Сезонний","Стратегічний"},0),0.13,0.16,0.21,0.2,0.25)</f>
        <v/>
      </c>
      <c r="AH634" s="104">
        <f>CHOOSE(MATCH(IF($U634="","Основний",$U634),{"Трафіковий","Основний","Маржинальний","Сезонний","Стратегічний"},0),0.15,0.18,0.23,0.22,0.27)</f>
        <v/>
      </c>
      <c r="AI634" s="104">
        <f>CHOOSE(MATCH(IF($U634="","Основний",$U634),{"Трафіковий","Основний","Маржинальний","Сезонний","Стратегічний"},0),0.16,0.19,0.25,0.23,0.29)</f>
        <v/>
      </c>
      <c r="AJ634" s="104">
        <f>CHOOSE(MATCH(IF($U634="","Основний",$U634),{"Трафіковий","Основний","Маржинальний","Сезонний","Стратегічний"},0),0.14,0.17,0.22,0.21,0.25)</f>
        <v/>
      </c>
      <c r="AK634" s="104">
        <f>CHOOSE(MATCH(IF($U634="","Основний",$U634),{"Трафіковий","Основний","Маржинальний","Сезонний","Стратегічний"},0),0.15,0.18,0.23,0.22,0.27)</f>
        <v/>
      </c>
      <c r="AL634" s="104">
        <f>CHOOSE(MATCH(IF($U634="","Основний",$U634),{"Трафіковий","Основний","Маржинальний","Сезонний","Стратегічний"},0),0.15,0.17,0.25,0.24,0.29)</f>
        <v/>
      </c>
      <c r="AM634" s="104">
        <f>CHOOSE(MATCH(IF($U634="","Основний",$U634),{"Трафіковий","Основний","Маржинальний","Сезонний","Стратегічний"},0),0.12,0.145,0.19,0.18,0.22)</f>
        <v/>
      </c>
      <c r="AN634" s="157">
        <f>CHOOSE(MATCH(IF($U634="","Основний",$U634),{"Трафіковий","Основний","Маржинальний","Сезонний","Стратегічний"},0),Settings!$B$78,Settings!$B$80,Settings!$B$82,Settings!$B$84,Settings!$B$86)</f>
        <v/>
      </c>
      <c r="AO634" s="157">
        <f>CHOOSE(MATCH(IF($U634="","Основний",$U634),{"Трафіковий","Основний","Маржинальний","Сезонний","Стратегічний"},0),Settings!$C$78,Settings!$C$80,Settings!$C$82,Settings!$C$84,Settings!$C$86)</f>
        <v/>
      </c>
      <c r="AP634" s="157">
        <f>CHOOSE(MATCH(IF($U634="","Основний",$U634),{"Трафіковий","Основний","Маржинальний","Сезонний","Стратегічний"},0),Settings!$D$78,Settings!$D$80,Settings!$D$82,Settings!$D$84,Settings!$D$86)</f>
        <v/>
      </c>
      <c r="AQ634" s="157">
        <f>CHOOSE(MATCH(IF($U634="","Основний",$U634),{"Трафіковий","Основний","Маржинальний","Сезонний","Стратегічний"},0),Settings!$F$78,Settings!$F$80,Settings!$F$82,Settings!$F$84,Settings!$F$86)</f>
        <v/>
      </c>
      <c r="AR634" s="157">
        <f>CHOOSE(MATCH(IF($U634="","Основний",$U634),{"Трафіковий","Основний","Маржинальний","Сезонний","Стратегічний"},0),Settings!$G$78,Settings!$G$80,Settings!$G$82,Settings!$G$84,Settings!$G$86)</f>
        <v/>
      </c>
      <c r="AS634" s="157">
        <f>CHOOSE(MATCH(IF($U634="","Основний",$U634),{"Трафіковий","Основний","Маржинальний","Сезонний","Стратегічний"},0),Settings!$H$78,Settings!$H$80,Settings!$H$82,Settings!$H$84,Settings!$H$86)</f>
        <v/>
      </c>
      <c r="AT634" s="157">
        <f>CHOOSE(MATCH(IF($U634="","Основний",$U634),{"Трафіковий","Основний","Маржинальний","Сезонний","Стратегічний"},0),Settings!$I$78,Settings!$I$80,Settings!$I$82,Settings!$I$84,Settings!$I$86)</f>
        <v/>
      </c>
      <c r="AU634" s="171" t="n"/>
      <c r="AV634" t="n">
        <v>1.35</v>
      </c>
    </row>
    <row r="635">
      <c r="A635" s="33" t="n"/>
      <c r="B635" s="34" t="inlineStr">
        <is>
          <t>P5760T</t>
        </is>
      </c>
      <c r="C635" s="34" t="inlineStr">
        <is>
          <t>SPARE BUTT. P5760, P5763, P5763R</t>
        </is>
      </c>
      <c r="D635" s="34" t="inlineStr">
        <is>
          <t>Дверні дзвінки</t>
        </is>
      </c>
      <c r="E635" s="33" t="inlineStr">
        <is>
          <t>PC</t>
        </is>
      </c>
      <c r="F635" s="94" t="n">
        <v>3.572</v>
      </c>
      <c r="G635" s="35" t="n">
        <v>8531900000</v>
      </c>
      <c r="H635" s="31" t="n">
        <v>1.4</v>
      </c>
      <c r="I635" s="84">
        <f>IFERROR(F635*Settings!$B$2*H635*IF(AND(ISNUMBER(E635),E635&gt;1),E635,1),"")</f>
        <v/>
      </c>
      <c r="J635" s="32">
        <f>Settings!$B$66</f>
        <v/>
      </c>
      <c r="K635" s="95">
        <f>IFERROR(IF(T635="","",(T635*(1-AN635)*(1-Settings!$B$17)-I635)/(T635*(1-AN635)*(1-Settings!$B$17))),"")</f>
        <v/>
      </c>
      <c r="L635" s="101">
        <f>IFERROR(IF(T635="","",(T635*(1-AO635)*(1-Settings!$C$17)-I635)/(T635*(1-AO635)*(1-Settings!$C$17))),"")</f>
        <v/>
      </c>
      <c r="M635" s="101">
        <f>IFERROR(IF(T635="","",(T635*(1-AP635)*(1-Settings!$D$17)-I635)/(T635*(1-AP635)*(1-Settings!$D$17))),"")</f>
        <v/>
      </c>
      <c r="N635" s="101">
        <f>IFERROR(IF(T635="","",(T635*(1-AQ635)*(1-Settings!$F$17)-I635)/(T635*(1-AQ635)*(1-Settings!$F$17))),"")</f>
        <v/>
      </c>
      <c r="O635" s="101">
        <f>IFERROR(IF(T635="","",(T635*(1-AR635)*(1-Settings!$G$17)-I635)/(T635*(1-AR635)*(1-Settings!$G$17))),"")</f>
        <v/>
      </c>
      <c r="P635" s="101">
        <f>IFERROR(IF(T635="","",(T635*(1-AS635)*(1-Settings!$H$17)-I635)/(T635*(1-AS635)*(1-Settings!$H$17))),"")</f>
        <v/>
      </c>
      <c r="Q635" s="101">
        <f>IFERROR(IF(T635="","",(T635*(1-AT635)*(1-Settings!$I$68)*(1-Settings!$I$17)-I635)/(T635*(1-AT635)*(1-Settings!$I$68)*(1-Settings!$I$17))),"")</f>
        <v/>
      </c>
      <c r="R635" s="91">
        <f>IFERROR(IF(OR(I635="",Z635&gt;=1,Settings!$B$17&gt;=1,AN635&gt;=1),"",IF(MOD(ROUND(I635/(1-Z635)/(1-Settings!$B$17)/(1-AN635),0),10)=0,ROUND(I635/(1-Z635)/(1-Settings!$B$17)/(1-AN635),0)-1,IF(MOD(ROUND(I635/(1-Z635)/(1-Settings!$B$17)/(1-AN635),0),10)&lt;=5,FLOOR(ROUND(I635/(1-Z635)/(1-Settings!$B$17)/(1-AN635),0),10)+6,FLOOR(ROUND(I635/(1-Z635)/(1-Settings!$B$17)/(1-AN635),0),10)+9))),"")</f>
        <v/>
      </c>
      <c r="S635" s="174">
        <f>R635*0.95</f>
        <v/>
      </c>
      <c r="T635" s="91">
        <f>IF(S635&lt;&gt;"", IF(MOD(S635,10)=0,S635-1,IF(MOD(S635,10)&lt;=5,FLOOR(S635,10)+6,FLOOR(S635,10)+9)), R635)</f>
        <v/>
      </c>
      <c r="U635" s="87" t="inlineStr">
        <is>
          <t>Основний</t>
        </is>
      </c>
      <c r="V635" s="88" t="n"/>
      <c r="W635" s="88" t="n"/>
      <c r="X635" s="89">
        <f>IFERROR(IF(OR(V635="",W635="",T635=""),"", IF(T635&gt;W635,"Дорогий",IF(T635&lt;V635,"Дешевий","У ринку"))),"")</f>
        <v/>
      </c>
      <c r="Y635" s="90" t="n"/>
      <c r="Z635" s="104">
        <f>CHOOSE(MATCH(IF($U635="","Основний",$U635),{"Трафіковий","Основний","Маржинальний","Сезонний","Стратегічний"},0),0.16,0.19,0.24,0.23,0.28)</f>
        <v/>
      </c>
      <c r="AA635" s="104">
        <f>CHOOSE(MATCH(IF($U635="","Основний",$U635),{"Трафіковий","Основний","Маржинальний","Сезонний","Стратегічний"},0),0.18,0.21,0.26,0.25,0.3)</f>
        <v/>
      </c>
      <c r="AB635" s="104">
        <f>CHOOSE(MATCH(IF($U635="","Основний",$U635),{"Трафіковий","Основний","Маржинальний","Сезонний","Стратегічний"},0),0.19,0.22,0.28,0.26,0.32)</f>
        <v/>
      </c>
      <c r="AC635" s="104">
        <f>CHOOSE(MATCH(IF($U635="","Основний",$U635),{"Трафіковий","Основний","Маржинальний","Сезонний","Стратегічний"},0),0.17,0.2,0.25,0.24,0.28)</f>
        <v/>
      </c>
      <c r="AD635" s="104">
        <f>CHOOSE(MATCH(IF($U635="","Основний",$U635),{"Трафіковий","Основний","Маржинальний","Сезонний","Стратегічний"},0),0.18,0.21,0.26,0.25,0.3)</f>
        <v/>
      </c>
      <c r="AE635" s="104">
        <f>CHOOSE(MATCH(IF($U635="","Основний",$U635),{"Трафіковий","Основний","Маржинальний","Сезонний","Стратегічний"},0),0.18,0.2,0.28,0.27,0.32)</f>
        <v/>
      </c>
      <c r="AF635" s="104">
        <f>CHOOSE(MATCH(IF($U635="","Основний",$U635),{"Трафіковий","Основний","Маржинальний","Сезонний","Стратегічний"},0),0.15,0.175,0.22,0.21,0.25)</f>
        <v/>
      </c>
      <c r="AG635" s="104">
        <f>CHOOSE(MATCH(IF($U635="","Основний",$U635),{"Трафіковий","Основний","Маржинальний","Сезонний","Стратегічний"},0),0.13,0.16,0.21,0.2,0.25)</f>
        <v/>
      </c>
      <c r="AH635" s="104">
        <f>CHOOSE(MATCH(IF($U635="","Основний",$U635),{"Трафіковий","Основний","Маржинальний","Сезонний","Стратегічний"},0),0.15,0.18,0.23,0.22,0.27)</f>
        <v/>
      </c>
      <c r="AI635" s="104">
        <f>CHOOSE(MATCH(IF($U635="","Основний",$U635),{"Трафіковий","Основний","Маржинальний","Сезонний","Стратегічний"},0),0.16,0.19,0.25,0.23,0.29)</f>
        <v/>
      </c>
      <c r="AJ635" s="104">
        <f>CHOOSE(MATCH(IF($U635="","Основний",$U635),{"Трафіковий","Основний","Маржинальний","Сезонний","Стратегічний"},0),0.14,0.17,0.22,0.21,0.25)</f>
        <v/>
      </c>
      <c r="AK635" s="104">
        <f>CHOOSE(MATCH(IF($U635="","Основний",$U635),{"Трафіковий","Основний","Маржинальний","Сезонний","Стратегічний"},0),0.15,0.18,0.23,0.22,0.27)</f>
        <v/>
      </c>
      <c r="AL635" s="104">
        <f>CHOOSE(MATCH(IF($U635="","Основний",$U635),{"Трафіковий","Основний","Маржинальний","Сезонний","Стратегічний"},0),0.15,0.17,0.25,0.24,0.29)</f>
        <v/>
      </c>
      <c r="AM635" s="104">
        <f>CHOOSE(MATCH(IF($U635="","Основний",$U635),{"Трафіковий","Основний","Маржинальний","Сезонний","Стратегічний"},0),0.12,0.145,0.19,0.18,0.22)</f>
        <v/>
      </c>
      <c r="AN635" s="157">
        <f>CHOOSE(MATCH(IF($U635="","Основний",$U635),{"Трафіковий","Основний","Маржинальний","Сезонний","Стратегічний"},0),Settings!$B$78,Settings!$B$80,Settings!$B$82,Settings!$B$84,Settings!$B$86)</f>
        <v/>
      </c>
      <c r="AO635" s="157">
        <f>CHOOSE(MATCH(IF($U635="","Основний",$U635),{"Трафіковий","Основний","Маржинальний","Сезонний","Стратегічний"},0),Settings!$C$78,Settings!$C$80,Settings!$C$82,Settings!$C$84,Settings!$C$86)</f>
        <v/>
      </c>
      <c r="AP635" s="157">
        <f>CHOOSE(MATCH(IF($U635="","Основний",$U635),{"Трафіковий","Основний","Маржинальний","Сезонний","Стратегічний"},0),Settings!$D$78,Settings!$D$80,Settings!$D$82,Settings!$D$84,Settings!$D$86)</f>
        <v/>
      </c>
      <c r="AQ635" s="157">
        <f>CHOOSE(MATCH(IF($U635="","Основний",$U635),{"Трафіковий","Основний","Маржинальний","Сезонний","Стратегічний"},0),Settings!$F$78,Settings!$F$80,Settings!$F$82,Settings!$F$84,Settings!$F$86)</f>
        <v/>
      </c>
      <c r="AR635" s="157">
        <f>CHOOSE(MATCH(IF($U635="","Основний",$U635),{"Трафіковий","Основний","Маржинальний","Сезонний","Стратегічний"},0),Settings!$G$78,Settings!$G$80,Settings!$G$82,Settings!$G$84,Settings!$G$86)</f>
        <v/>
      </c>
      <c r="AS635" s="157">
        <f>CHOOSE(MATCH(IF($U635="","Основний",$U635),{"Трафіковий","Основний","Маржинальний","Сезонний","Стратегічний"},0),Settings!$H$78,Settings!$H$80,Settings!$H$82,Settings!$H$84,Settings!$H$86)</f>
        <v/>
      </c>
      <c r="AT635" s="157">
        <f>CHOOSE(MATCH(IF($U635="","Основний",$U635),{"Трафіковий","Основний","Маржинальний","Сезонний","Стратегічний"},0),Settings!$I$78,Settings!$I$80,Settings!$I$82,Settings!$I$84,Settings!$I$86)</f>
        <v/>
      </c>
      <c r="AU635" s="171" t="n"/>
      <c r="AV635" t="n">
        <v>1.35</v>
      </c>
    </row>
    <row r="636">
      <c r="A636" s="28" t="n"/>
      <c r="B636" s="29" t="inlineStr">
        <is>
          <t>P5750T</t>
        </is>
      </c>
      <c r="C636" s="29" t="inlineStr">
        <is>
          <t>REPLACEMENT BUTTON FOR WIRELESS DOORBELL P5750</t>
        </is>
      </c>
      <c r="D636" s="29" t="inlineStr">
        <is>
          <t>Дверні дзвінки</t>
        </is>
      </c>
      <c r="E636" s="28" t="inlineStr">
        <is>
          <t>PC</t>
        </is>
      </c>
      <c r="F636" s="93" t="n">
        <v>3.98</v>
      </c>
      <c r="G636" s="30" t="n">
        <v>8531900000</v>
      </c>
      <c r="H636" s="31" t="n">
        <v>1.4</v>
      </c>
      <c r="I636" s="84">
        <f>IFERROR(F636*Settings!$B$2*H636*IF(AND(ISNUMBER(E636),E636&gt;1),E636,1),"")</f>
        <v/>
      </c>
      <c r="J636" s="32">
        <f>Settings!$B$66</f>
        <v/>
      </c>
      <c r="K636" s="95">
        <f>IFERROR(IF(T636="","",(T636*(1-AN636)*(1-Settings!$B$17)-I636)/(T636*(1-AN636)*(1-Settings!$B$17))),"")</f>
        <v/>
      </c>
      <c r="L636" s="101">
        <f>IFERROR(IF(T636="","",(T636*(1-AO636)*(1-Settings!$C$17)-I636)/(T636*(1-AO636)*(1-Settings!$C$17))),"")</f>
        <v/>
      </c>
      <c r="M636" s="101">
        <f>IFERROR(IF(T636="","",(T636*(1-AP636)*(1-Settings!$D$17)-I636)/(T636*(1-AP636)*(1-Settings!$D$17))),"")</f>
        <v/>
      </c>
      <c r="N636" s="101">
        <f>IFERROR(IF(T636="","",(T636*(1-AQ636)*(1-Settings!$F$17)-I636)/(T636*(1-AQ636)*(1-Settings!$F$17))),"")</f>
        <v/>
      </c>
      <c r="O636" s="101">
        <f>IFERROR(IF(T636="","",(T636*(1-AR636)*(1-Settings!$G$17)-I636)/(T636*(1-AR636)*(1-Settings!$G$17))),"")</f>
        <v/>
      </c>
      <c r="P636" s="101">
        <f>IFERROR(IF(T636="","",(T636*(1-AS636)*(1-Settings!$H$17)-I636)/(T636*(1-AS636)*(1-Settings!$H$17))),"")</f>
        <v/>
      </c>
      <c r="Q636" s="101">
        <f>IFERROR(IF(T636="","",(T636*(1-AT636)*(1-Settings!$I$68)*(1-Settings!$I$17)-I636)/(T636*(1-AT636)*(1-Settings!$I$68)*(1-Settings!$I$17))),"")</f>
        <v/>
      </c>
      <c r="R636" s="91">
        <f>IFERROR(IF(OR(I636="",Z636&gt;=1,Settings!$B$17&gt;=1,AN636&gt;=1),"",IF(MOD(ROUND(I636/(1-Z636)/(1-Settings!$B$17)/(1-AN636),0),10)=0,ROUND(I636/(1-Z636)/(1-Settings!$B$17)/(1-AN636),0)-1,IF(MOD(ROUND(I636/(1-Z636)/(1-Settings!$B$17)/(1-AN636),0),10)&lt;=5,FLOOR(ROUND(I636/(1-Z636)/(1-Settings!$B$17)/(1-AN636),0),10)+6,FLOOR(ROUND(I636/(1-Z636)/(1-Settings!$B$17)/(1-AN636),0),10)+9))),"")</f>
        <v/>
      </c>
      <c r="S636" s="174">
        <f>R636*0.95</f>
        <v/>
      </c>
      <c r="T636" s="91">
        <f>IF(S636&lt;&gt;"", IF(MOD(S636,10)=0,S636-1,IF(MOD(S636,10)&lt;=5,FLOOR(S636,10)+6,FLOOR(S636,10)+9)), R636)</f>
        <v/>
      </c>
      <c r="U636" s="87" t="inlineStr">
        <is>
          <t>Основний</t>
        </is>
      </c>
      <c r="V636" s="88" t="n"/>
      <c r="W636" s="88" t="n"/>
      <c r="X636" s="89">
        <f>IFERROR(IF(OR(V636="",W636="",T636=""),"", IF(T636&gt;W636,"Дорогий",IF(T636&lt;V636,"Дешевий","У ринку"))),"")</f>
        <v/>
      </c>
      <c r="Y636" s="90" t="n"/>
      <c r="Z636" s="104">
        <f>CHOOSE(MATCH(IF($U636="","Основний",$U636),{"Трафіковий","Основний","Маржинальний","Сезонний","Стратегічний"},0),0.16,0.19,0.24,0.23,0.28)</f>
        <v/>
      </c>
      <c r="AA636" s="104">
        <f>CHOOSE(MATCH(IF($U636="","Основний",$U636),{"Трафіковий","Основний","Маржинальний","Сезонний","Стратегічний"},0),0.18,0.21,0.26,0.25,0.3)</f>
        <v/>
      </c>
      <c r="AB636" s="104">
        <f>CHOOSE(MATCH(IF($U636="","Основний",$U636),{"Трафіковий","Основний","Маржинальний","Сезонний","Стратегічний"},0),0.19,0.22,0.28,0.26,0.32)</f>
        <v/>
      </c>
      <c r="AC636" s="104">
        <f>CHOOSE(MATCH(IF($U636="","Основний",$U636),{"Трафіковий","Основний","Маржинальний","Сезонний","Стратегічний"},0),0.17,0.2,0.25,0.24,0.28)</f>
        <v/>
      </c>
      <c r="AD636" s="104">
        <f>CHOOSE(MATCH(IF($U636="","Основний",$U636),{"Трафіковий","Основний","Маржинальний","Сезонний","Стратегічний"},0),0.18,0.21,0.26,0.25,0.3)</f>
        <v/>
      </c>
      <c r="AE636" s="104">
        <f>CHOOSE(MATCH(IF($U636="","Основний",$U636),{"Трафіковий","Основний","Маржинальний","Сезонний","Стратегічний"},0),0.18,0.2,0.28,0.27,0.32)</f>
        <v/>
      </c>
      <c r="AF636" s="104">
        <f>CHOOSE(MATCH(IF($U636="","Основний",$U636),{"Трафіковий","Основний","Маржинальний","Сезонний","Стратегічний"},0),0.15,0.175,0.22,0.21,0.25)</f>
        <v/>
      </c>
      <c r="AG636" s="104">
        <f>CHOOSE(MATCH(IF($U636="","Основний",$U636),{"Трафіковий","Основний","Маржинальний","Сезонний","Стратегічний"},0),0.13,0.16,0.21,0.2,0.25)</f>
        <v/>
      </c>
      <c r="AH636" s="104">
        <f>CHOOSE(MATCH(IF($U636="","Основний",$U636),{"Трафіковий","Основний","Маржинальний","Сезонний","Стратегічний"},0),0.15,0.18,0.23,0.22,0.27)</f>
        <v/>
      </c>
      <c r="AI636" s="104">
        <f>CHOOSE(MATCH(IF($U636="","Основний",$U636),{"Трафіковий","Основний","Маржинальний","Сезонний","Стратегічний"},0),0.16,0.19,0.25,0.23,0.29)</f>
        <v/>
      </c>
      <c r="AJ636" s="104">
        <f>CHOOSE(MATCH(IF($U636="","Основний",$U636),{"Трафіковий","Основний","Маржинальний","Сезонний","Стратегічний"},0),0.14,0.17,0.22,0.21,0.25)</f>
        <v/>
      </c>
      <c r="AK636" s="104">
        <f>CHOOSE(MATCH(IF($U636="","Основний",$U636),{"Трафіковий","Основний","Маржинальний","Сезонний","Стратегічний"},0),0.15,0.18,0.23,0.22,0.27)</f>
        <v/>
      </c>
      <c r="AL636" s="104">
        <f>CHOOSE(MATCH(IF($U636="","Основний",$U636),{"Трафіковий","Основний","Маржинальний","Сезонний","Стратегічний"},0),0.15,0.17,0.25,0.24,0.29)</f>
        <v/>
      </c>
      <c r="AM636" s="104">
        <f>CHOOSE(MATCH(IF($U636="","Основний",$U636),{"Трафіковий","Основний","Маржинальний","Сезонний","Стратегічний"},0),0.12,0.145,0.19,0.18,0.22)</f>
        <v/>
      </c>
      <c r="AN636" s="157">
        <f>CHOOSE(MATCH(IF($U636="","Основний",$U636),{"Трафіковий","Основний","Маржинальний","Сезонний","Стратегічний"},0),Settings!$B$78,Settings!$B$80,Settings!$B$82,Settings!$B$84,Settings!$B$86)</f>
        <v/>
      </c>
      <c r="AO636" s="157">
        <f>CHOOSE(MATCH(IF($U636="","Основний",$U636),{"Трафіковий","Основний","Маржинальний","Сезонний","Стратегічний"},0),Settings!$C$78,Settings!$C$80,Settings!$C$82,Settings!$C$84,Settings!$C$86)</f>
        <v/>
      </c>
      <c r="AP636" s="157">
        <f>CHOOSE(MATCH(IF($U636="","Основний",$U636),{"Трафіковий","Основний","Маржинальний","Сезонний","Стратегічний"},0),Settings!$D$78,Settings!$D$80,Settings!$D$82,Settings!$D$84,Settings!$D$86)</f>
        <v/>
      </c>
      <c r="AQ636" s="157">
        <f>CHOOSE(MATCH(IF($U636="","Основний",$U636),{"Трафіковий","Основний","Маржинальний","Сезонний","Стратегічний"},0),Settings!$F$78,Settings!$F$80,Settings!$F$82,Settings!$F$84,Settings!$F$86)</f>
        <v/>
      </c>
      <c r="AR636" s="157">
        <f>CHOOSE(MATCH(IF($U636="","Основний",$U636),{"Трафіковий","Основний","Маржинальний","Сезонний","Стратегічний"},0),Settings!$G$78,Settings!$G$80,Settings!$G$82,Settings!$G$84,Settings!$G$86)</f>
        <v/>
      </c>
      <c r="AS636" s="157">
        <f>CHOOSE(MATCH(IF($U636="","Основний",$U636),{"Трафіковий","Основний","Маржинальний","Сезонний","Стратегічний"},0),Settings!$H$78,Settings!$H$80,Settings!$H$82,Settings!$H$84,Settings!$H$86)</f>
        <v/>
      </c>
      <c r="AT636" s="157">
        <f>CHOOSE(MATCH(IF($U636="","Основний",$U636),{"Трафіковий","Основний","Маржинальний","Сезонний","Стратегічний"},0),Settings!$I$78,Settings!$I$80,Settings!$I$82,Settings!$I$84,Settings!$I$86)</f>
        <v/>
      </c>
      <c r="AU636" s="171" t="n"/>
      <c r="AV636" t="n">
        <v>1.35</v>
      </c>
    </row>
    <row r="637">
      <c r="A637" s="33" t="inlineStr">
        <is>
          <t>SELL OUT</t>
        </is>
      </c>
      <c r="B637" s="34" t="inlineStr">
        <is>
          <t>P5727T</t>
        </is>
      </c>
      <c r="C637" s="34" t="inlineStr">
        <is>
          <t>SPARE BUTTON P5727</t>
        </is>
      </c>
      <c r="D637" s="34" t="inlineStr">
        <is>
          <t>Дверні дзвінки</t>
        </is>
      </c>
      <c r="E637" s="33" t="inlineStr">
        <is>
          <t>PC</t>
        </is>
      </c>
      <c r="F637" s="94" t="n">
        <v>3.352</v>
      </c>
      <c r="G637" s="35" t="n">
        <v>8531900000</v>
      </c>
      <c r="H637" s="31" t="n">
        <v>1.4</v>
      </c>
      <c r="I637" s="84">
        <f>IFERROR(F637*Settings!$B$2*H637*IF(AND(ISNUMBER(E637),E637&gt;1),E637,1),"")</f>
        <v/>
      </c>
      <c r="J637" s="32">
        <f>Settings!$B$66</f>
        <v/>
      </c>
      <c r="K637" s="95">
        <f>IFERROR(IF(T637="","",(T637*(1-AN637)*(1-Settings!$B$17)-I637)/(T637*(1-AN637)*(1-Settings!$B$17))),"")</f>
        <v/>
      </c>
      <c r="L637" s="101">
        <f>IFERROR(IF(T637="","",(T637*(1-AO637)*(1-Settings!$C$17)-I637)/(T637*(1-AO637)*(1-Settings!$C$17))),"")</f>
        <v/>
      </c>
      <c r="M637" s="101">
        <f>IFERROR(IF(T637="","",(T637*(1-AP637)*(1-Settings!$D$17)-I637)/(T637*(1-AP637)*(1-Settings!$D$17))),"")</f>
        <v/>
      </c>
      <c r="N637" s="101">
        <f>IFERROR(IF(T637="","",(T637*(1-AQ637)*(1-Settings!$F$17)-I637)/(T637*(1-AQ637)*(1-Settings!$F$17))),"")</f>
        <v/>
      </c>
      <c r="O637" s="101">
        <f>IFERROR(IF(T637="","",(T637*(1-AR637)*(1-Settings!$G$17)-I637)/(T637*(1-AR637)*(1-Settings!$G$17))),"")</f>
        <v/>
      </c>
      <c r="P637" s="101">
        <f>IFERROR(IF(T637="","",(T637*(1-AS637)*(1-Settings!$H$17)-I637)/(T637*(1-AS637)*(1-Settings!$H$17))),"")</f>
        <v/>
      </c>
      <c r="Q637" s="101">
        <f>IFERROR(IF(T637="","",(T637*(1-AT637)*(1-Settings!$I$68)*(1-Settings!$I$17)-I637)/(T637*(1-AT637)*(1-Settings!$I$68)*(1-Settings!$I$17))),"")</f>
        <v/>
      </c>
      <c r="R637" s="91">
        <f>IFERROR(IF(OR(I637="",Z637&gt;=1,Settings!$B$17&gt;=1,AN637&gt;=1),"",IF(MOD(ROUND(I637/(1-Z637)/(1-Settings!$B$17)/(1-AN637),0),10)=0,ROUND(I637/(1-Z637)/(1-Settings!$B$17)/(1-AN637),0)-1,IF(MOD(ROUND(I637/(1-Z637)/(1-Settings!$B$17)/(1-AN637),0),10)&lt;=5,FLOOR(ROUND(I637/(1-Z637)/(1-Settings!$B$17)/(1-AN637),0),10)+6,FLOOR(ROUND(I637/(1-Z637)/(1-Settings!$B$17)/(1-AN637),0),10)+9))),"")</f>
        <v/>
      </c>
      <c r="S637" s="174">
        <f>R637*0.95</f>
        <v/>
      </c>
      <c r="T637" s="91">
        <f>IF(S637&lt;&gt;"", IF(MOD(S637,10)=0,S637-1,IF(MOD(S637,10)&lt;=5,FLOOR(S637,10)+6,FLOOR(S637,10)+9)), R637)</f>
        <v/>
      </c>
      <c r="U637" s="87" t="inlineStr">
        <is>
          <t>Основний</t>
        </is>
      </c>
      <c r="V637" s="88" t="n"/>
      <c r="W637" s="88" t="n"/>
      <c r="X637" s="89">
        <f>IFERROR(IF(OR(V637="",W637="",T637=""),"", IF(T637&gt;W637,"Дорогий",IF(T637&lt;V637,"Дешевий","У ринку"))),"")</f>
        <v/>
      </c>
      <c r="Y637" s="90" t="n"/>
      <c r="Z637" s="104">
        <f>CHOOSE(MATCH(IF($U637="","Основний",$U637),{"Трафіковий","Основний","Маржинальний","Сезонний","Стратегічний"},0),0.16,0.19,0.24,0.23,0.28)</f>
        <v/>
      </c>
      <c r="AA637" s="104">
        <f>CHOOSE(MATCH(IF($U637="","Основний",$U637),{"Трафіковий","Основний","Маржинальний","Сезонний","Стратегічний"},0),0.18,0.21,0.26,0.25,0.3)</f>
        <v/>
      </c>
      <c r="AB637" s="104">
        <f>CHOOSE(MATCH(IF($U637="","Основний",$U637),{"Трафіковий","Основний","Маржинальний","Сезонний","Стратегічний"},0),0.19,0.22,0.28,0.26,0.32)</f>
        <v/>
      </c>
      <c r="AC637" s="104">
        <f>CHOOSE(MATCH(IF($U637="","Основний",$U637),{"Трафіковий","Основний","Маржинальний","Сезонний","Стратегічний"},0),0.17,0.2,0.25,0.24,0.28)</f>
        <v/>
      </c>
      <c r="AD637" s="104">
        <f>CHOOSE(MATCH(IF($U637="","Основний",$U637),{"Трафіковий","Основний","Маржинальний","Сезонний","Стратегічний"},0),0.18,0.21,0.26,0.25,0.3)</f>
        <v/>
      </c>
      <c r="AE637" s="104">
        <f>CHOOSE(MATCH(IF($U637="","Основний",$U637),{"Трафіковий","Основний","Маржинальний","Сезонний","Стратегічний"},0),0.18,0.2,0.28,0.27,0.32)</f>
        <v/>
      </c>
      <c r="AF637" s="104">
        <f>CHOOSE(MATCH(IF($U637="","Основний",$U637),{"Трафіковий","Основний","Маржинальний","Сезонний","Стратегічний"},0),0.15,0.175,0.22,0.21,0.25)</f>
        <v/>
      </c>
      <c r="AG637" s="104">
        <f>CHOOSE(MATCH(IF($U637="","Основний",$U637),{"Трафіковий","Основний","Маржинальний","Сезонний","Стратегічний"},0),0.13,0.16,0.21,0.2,0.25)</f>
        <v/>
      </c>
      <c r="AH637" s="104">
        <f>CHOOSE(MATCH(IF($U637="","Основний",$U637),{"Трафіковий","Основний","Маржинальний","Сезонний","Стратегічний"},0),0.15,0.18,0.23,0.22,0.27)</f>
        <v/>
      </c>
      <c r="AI637" s="104">
        <f>CHOOSE(MATCH(IF($U637="","Основний",$U637),{"Трафіковий","Основний","Маржинальний","Сезонний","Стратегічний"},0),0.16,0.19,0.25,0.23,0.29)</f>
        <v/>
      </c>
      <c r="AJ637" s="104">
        <f>CHOOSE(MATCH(IF($U637="","Основний",$U637),{"Трафіковий","Основний","Маржинальний","Сезонний","Стратегічний"},0),0.14,0.17,0.22,0.21,0.25)</f>
        <v/>
      </c>
      <c r="AK637" s="104">
        <f>CHOOSE(MATCH(IF($U637="","Основний",$U637),{"Трафіковий","Основний","Маржинальний","Сезонний","Стратегічний"},0),0.15,0.18,0.23,0.22,0.27)</f>
        <v/>
      </c>
      <c r="AL637" s="104">
        <f>CHOOSE(MATCH(IF($U637="","Основний",$U637),{"Трафіковий","Основний","Маржинальний","Сезонний","Стратегічний"},0),0.15,0.17,0.25,0.24,0.29)</f>
        <v/>
      </c>
      <c r="AM637" s="104">
        <f>CHOOSE(MATCH(IF($U637="","Основний",$U637),{"Трафіковий","Основний","Маржинальний","Сезонний","Стратегічний"},0),0.12,0.145,0.19,0.18,0.22)</f>
        <v/>
      </c>
      <c r="AN637" s="157">
        <f>CHOOSE(MATCH(IF($U637="","Основний",$U637),{"Трафіковий","Основний","Маржинальний","Сезонний","Стратегічний"},0),Settings!$B$78,Settings!$B$80,Settings!$B$82,Settings!$B$84,Settings!$B$86)</f>
        <v/>
      </c>
      <c r="AO637" s="157">
        <f>CHOOSE(MATCH(IF($U637="","Основний",$U637),{"Трафіковий","Основний","Маржинальний","Сезонний","Стратегічний"},0),Settings!$C$78,Settings!$C$80,Settings!$C$82,Settings!$C$84,Settings!$C$86)</f>
        <v/>
      </c>
      <c r="AP637" s="157">
        <f>CHOOSE(MATCH(IF($U637="","Основний",$U637),{"Трафіковий","Основний","Маржинальний","Сезонний","Стратегічний"},0),Settings!$D$78,Settings!$D$80,Settings!$D$82,Settings!$D$84,Settings!$D$86)</f>
        <v/>
      </c>
      <c r="AQ637" s="157">
        <f>CHOOSE(MATCH(IF($U637="","Основний",$U637),{"Трафіковий","Основний","Маржинальний","Сезонний","Стратегічний"},0),Settings!$F$78,Settings!$F$80,Settings!$F$82,Settings!$F$84,Settings!$F$86)</f>
        <v/>
      </c>
      <c r="AR637" s="157">
        <f>CHOOSE(MATCH(IF($U637="","Основний",$U637),{"Трафіковий","Основний","Маржинальний","Сезонний","Стратегічний"},0),Settings!$G$78,Settings!$G$80,Settings!$G$82,Settings!$G$84,Settings!$G$86)</f>
        <v/>
      </c>
      <c r="AS637" s="157">
        <f>CHOOSE(MATCH(IF($U637="","Основний",$U637),{"Трафіковий","Основний","Маржинальний","Сезонний","Стратегічний"},0),Settings!$H$78,Settings!$H$80,Settings!$H$82,Settings!$H$84,Settings!$H$86)</f>
        <v/>
      </c>
      <c r="AT637" s="157">
        <f>CHOOSE(MATCH(IF($U637="","Основний",$U637),{"Трафіковий","Основний","Маржинальний","Сезонний","Стратегічний"},0),Settings!$I$78,Settings!$I$80,Settings!$I$82,Settings!$I$84,Settings!$I$86)</f>
        <v/>
      </c>
      <c r="AU637" s="171" t="n"/>
      <c r="AV637" t="n">
        <v>1.35</v>
      </c>
    </row>
    <row r="638">
      <c r="A638" s="28" t="n"/>
      <c r="B638" s="29" t="inlineStr">
        <is>
          <t>P5728T</t>
        </is>
      </c>
      <c r="C638" s="29" t="inlineStr">
        <is>
          <t>SPARE BUTTON FOR WIRELESS DOORBELL P5728</t>
        </is>
      </c>
      <c r="D638" s="29" t="inlineStr">
        <is>
          <t>Дверні дзвінки</t>
        </is>
      </c>
      <c r="E638" s="28" t="inlineStr">
        <is>
          <t>PC</t>
        </is>
      </c>
      <c r="F638" s="93" t="n">
        <v>2.793</v>
      </c>
      <c r="G638" s="30" t="n">
        <v>8531900000</v>
      </c>
      <c r="H638" s="31" t="n">
        <v>1.4</v>
      </c>
      <c r="I638" s="84">
        <f>IFERROR(F638*Settings!$B$2*H638*IF(AND(ISNUMBER(E638),E638&gt;1),E638,1),"")</f>
        <v/>
      </c>
      <c r="J638" s="32">
        <f>Settings!$B$66</f>
        <v/>
      </c>
      <c r="K638" s="95">
        <f>IFERROR(IF(T638="","",(T638*(1-AN638)*(1-Settings!$B$17)-I638)/(T638*(1-AN638)*(1-Settings!$B$17))),"")</f>
        <v/>
      </c>
      <c r="L638" s="101">
        <f>IFERROR(IF(T638="","",(T638*(1-AO638)*(1-Settings!$C$17)-I638)/(T638*(1-AO638)*(1-Settings!$C$17))),"")</f>
        <v/>
      </c>
      <c r="M638" s="101">
        <f>IFERROR(IF(T638="","",(T638*(1-AP638)*(1-Settings!$D$17)-I638)/(T638*(1-AP638)*(1-Settings!$D$17))),"")</f>
        <v/>
      </c>
      <c r="N638" s="101">
        <f>IFERROR(IF(T638="","",(T638*(1-AQ638)*(1-Settings!$F$17)-I638)/(T638*(1-AQ638)*(1-Settings!$F$17))),"")</f>
        <v/>
      </c>
      <c r="O638" s="101">
        <f>IFERROR(IF(T638="","",(T638*(1-AR638)*(1-Settings!$G$17)-I638)/(T638*(1-AR638)*(1-Settings!$G$17))),"")</f>
        <v/>
      </c>
      <c r="P638" s="101">
        <f>IFERROR(IF(T638="","",(T638*(1-AS638)*(1-Settings!$H$17)-I638)/(T638*(1-AS638)*(1-Settings!$H$17))),"")</f>
        <v/>
      </c>
      <c r="Q638" s="101">
        <f>IFERROR(IF(T638="","",(T638*(1-AT638)*(1-Settings!$I$68)*(1-Settings!$I$17)-I638)/(T638*(1-AT638)*(1-Settings!$I$68)*(1-Settings!$I$17))),"")</f>
        <v/>
      </c>
      <c r="R638" s="91">
        <f>IFERROR(IF(OR(I638="",Z638&gt;=1,Settings!$B$17&gt;=1,AN638&gt;=1),"",IF(MOD(ROUND(I638/(1-Z638)/(1-Settings!$B$17)/(1-AN638),0),10)=0,ROUND(I638/(1-Z638)/(1-Settings!$B$17)/(1-AN638),0)-1,IF(MOD(ROUND(I638/(1-Z638)/(1-Settings!$B$17)/(1-AN638),0),10)&lt;=5,FLOOR(ROUND(I638/(1-Z638)/(1-Settings!$B$17)/(1-AN638),0),10)+6,FLOOR(ROUND(I638/(1-Z638)/(1-Settings!$B$17)/(1-AN638),0),10)+9))),"")</f>
        <v/>
      </c>
      <c r="S638" s="174">
        <f>R638*0.95</f>
        <v/>
      </c>
      <c r="T638" s="91">
        <f>IF(S638&lt;&gt;"", IF(MOD(S638,10)=0,S638-1,IF(MOD(S638,10)&lt;=5,FLOOR(S638,10)+6,FLOOR(S638,10)+9)), R638)</f>
        <v/>
      </c>
      <c r="U638" s="87" t="inlineStr">
        <is>
          <t>Основний</t>
        </is>
      </c>
      <c r="V638" s="88" t="n"/>
      <c r="W638" s="88" t="n"/>
      <c r="X638" s="89">
        <f>IFERROR(IF(OR(V638="",W638="",T638=""),"", IF(T638&gt;W638,"Дорогий",IF(T638&lt;V638,"Дешевий","У ринку"))),"")</f>
        <v/>
      </c>
      <c r="Y638" s="90" t="n"/>
      <c r="Z638" s="104">
        <f>CHOOSE(MATCH(IF($U638="","Основний",$U638),{"Трафіковий","Основний","Маржинальний","Сезонний","Стратегічний"},0),0.16,0.19,0.24,0.23,0.28)</f>
        <v/>
      </c>
      <c r="AA638" s="104">
        <f>CHOOSE(MATCH(IF($U638="","Основний",$U638),{"Трафіковий","Основний","Маржинальний","Сезонний","Стратегічний"},0),0.18,0.21,0.26,0.25,0.3)</f>
        <v/>
      </c>
      <c r="AB638" s="104">
        <f>CHOOSE(MATCH(IF($U638="","Основний",$U638),{"Трафіковий","Основний","Маржинальний","Сезонний","Стратегічний"},0),0.19,0.22,0.28,0.26,0.32)</f>
        <v/>
      </c>
      <c r="AC638" s="104">
        <f>CHOOSE(MATCH(IF($U638="","Основний",$U638),{"Трафіковий","Основний","Маржинальний","Сезонний","Стратегічний"},0),0.17,0.2,0.25,0.24,0.28)</f>
        <v/>
      </c>
      <c r="AD638" s="104">
        <f>CHOOSE(MATCH(IF($U638="","Основний",$U638),{"Трафіковий","Основний","Маржинальний","Сезонний","Стратегічний"},0),0.18,0.21,0.26,0.25,0.3)</f>
        <v/>
      </c>
      <c r="AE638" s="104">
        <f>CHOOSE(MATCH(IF($U638="","Основний",$U638),{"Трафіковий","Основний","Маржинальний","Сезонний","Стратегічний"},0),0.18,0.2,0.28,0.27,0.32)</f>
        <v/>
      </c>
      <c r="AF638" s="104">
        <f>CHOOSE(MATCH(IF($U638="","Основний",$U638),{"Трафіковий","Основний","Маржинальний","Сезонний","Стратегічний"},0),0.15,0.175,0.22,0.21,0.25)</f>
        <v/>
      </c>
      <c r="AG638" s="104">
        <f>CHOOSE(MATCH(IF($U638="","Основний",$U638),{"Трафіковий","Основний","Маржинальний","Сезонний","Стратегічний"},0),0.13,0.16,0.21,0.2,0.25)</f>
        <v/>
      </c>
      <c r="AH638" s="104">
        <f>CHOOSE(MATCH(IF($U638="","Основний",$U638),{"Трафіковий","Основний","Маржинальний","Сезонний","Стратегічний"},0),0.15,0.18,0.23,0.22,0.27)</f>
        <v/>
      </c>
      <c r="AI638" s="104">
        <f>CHOOSE(MATCH(IF($U638="","Основний",$U638),{"Трафіковий","Основний","Маржинальний","Сезонний","Стратегічний"},0),0.16,0.19,0.25,0.23,0.29)</f>
        <v/>
      </c>
      <c r="AJ638" s="104">
        <f>CHOOSE(MATCH(IF($U638="","Основний",$U638),{"Трафіковий","Основний","Маржинальний","Сезонний","Стратегічний"},0),0.14,0.17,0.22,0.21,0.25)</f>
        <v/>
      </c>
      <c r="AK638" s="104">
        <f>CHOOSE(MATCH(IF($U638="","Основний",$U638),{"Трафіковий","Основний","Маржинальний","Сезонний","Стратегічний"},0),0.15,0.18,0.23,0.22,0.27)</f>
        <v/>
      </c>
      <c r="AL638" s="104">
        <f>CHOOSE(MATCH(IF($U638="","Основний",$U638),{"Трафіковий","Основний","Маржинальний","Сезонний","Стратегічний"},0),0.15,0.17,0.25,0.24,0.29)</f>
        <v/>
      </c>
      <c r="AM638" s="104">
        <f>CHOOSE(MATCH(IF($U638="","Основний",$U638),{"Трафіковий","Основний","Маржинальний","Сезонний","Стратегічний"},0),0.12,0.145,0.19,0.18,0.22)</f>
        <v/>
      </c>
      <c r="AN638" s="157">
        <f>CHOOSE(MATCH(IF($U638="","Основний",$U638),{"Трафіковий","Основний","Маржинальний","Сезонний","Стратегічний"},0),Settings!$B$78,Settings!$B$80,Settings!$B$82,Settings!$B$84,Settings!$B$86)</f>
        <v/>
      </c>
      <c r="AO638" s="157">
        <f>CHOOSE(MATCH(IF($U638="","Основний",$U638),{"Трафіковий","Основний","Маржинальний","Сезонний","Стратегічний"},0),Settings!$C$78,Settings!$C$80,Settings!$C$82,Settings!$C$84,Settings!$C$86)</f>
        <v/>
      </c>
      <c r="AP638" s="157">
        <f>CHOOSE(MATCH(IF($U638="","Основний",$U638),{"Трафіковий","Основний","Маржинальний","Сезонний","Стратегічний"},0),Settings!$D$78,Settings!$D$80,Settings!$D$82,Settings!$D$84,Settings!$D$86)</f>
        <v/>
      </c>
      <c r="AQ638" s="157">
        <f>CHOOSE(MATCH(IF($U638="","Основний",$U638),{"Трафіковий","Основний","Маржинальний","Сезонний","Стратегічний"},0),Settings!$F$78,Settings!$F$80,Settings!$F$82,Settings!$F$84,Settings!$F$86)</f>
        <v/>
      </c>
      <c r="AR638" s="157">
        <f>CHOOSE(MATCH(IF($U638="","Основний",$U638),{"Трафіковий","Основний","Маржинальний","Сезонний","Стратегічний"},0),Settings!$G$78,Settings!$G$80,Settings!$G$82,Settings!$G$84,Settings!$G$86)</f>
        <v/>
      </c>
      <c r="AS638" s="157">
        <f>CHOOSE(MATCH(IF($U638="","Основний",$U638),{"Трафіковий","Основний","Маржинальний","Сезонний","Стратегічний"},0),Settings!$H$78,Settings!$H$80,Settings!$H$82,Settings!$H$84,Settings!$H$86)</f>
        <v/>
      </c>
      <c r="AT638" s="157">
        <f>CHOOSE(MATCH(IF($U638="","Основний",$U638),{"Трафіковий","Основний","Маржинальний","Сезонний","Стратегічний"},0),Settings!$I$78,Settings!$I$80,Settings!$I$82,Settings!$I$84,Settings!$I$86)</f>
        <v/>
      </c>
      <c r="AU638" s="171" t="n"/>
      <c r="AV638" t="n">
        <v>1.35</v>
      </c>
    </row>
    <row r="639">
      <c r="A639" s="33" t="n"/>
      <c r="B639" s="34" t="inlineStr">
        <is>
          <t>P5729T</t>
        </is>
      </c>
      <c r="C639" s="34" t="inlineStr">
        <is>
          <t>REPLACEMENT BUTTON FOR WIRELESS DOORBELL P5729</t>
        </is>
      </c>
      <c r="D639" s="34" t="inlineStr">
        <is>
          <t>Дверні дзвінки</t>
        </is>
      </c>
      <c r="E639" s="33" t="inlineStr">
        <is>
          <t>PC</t>
        </is>
      </c>
      <c r="F639" s="94" t="n">
        <v>4.05</v>
      </c>
      <c r="G639" s="35" t="n">
        <v>8531900000</v>
      </c>
      <c r="H639" s="31" t="n">
        <v>1.4</v>
      </c>
      <c r="I639" s="84">
        <f>IFERROR(F639*Settings!$B$2*H639*IF(AND(ISNUMBER(E639),E639&gt;1),E639,1),"")</f>
        <v/>
      </c>
      <c r="J639" s="32">
        <f>Settings!$B$66</f>
        <v/>
      </c>
      <c r="K639" s="95">
        <f>IFERROR(IF(T639="","",(T639*(1-AN639)*(1-Settings!$B$17)-I639)/(T639*(1-AN639)*(1-Settings!$B$17))),"")</f>
        <v/>
      </c>
      <c r="L639" s="101">
        <f>IFERROR(IF(T639="","",(T639*(1-AO639)*(1-Settings!$C$17)-I639)/(T639*(1-AO639)*(1-Settings!$C$17))),"")</f>
        <v/>
      </c>
      <c r="M639" s="101">
        <f>IFERROR(IF(T639="","",(T639*(1-AP639)*(1-Settings!$D$17)-I639)/(T639*(1-AP639)*(1-Settings!$D$17))),"")</f>
        <v/>
      </c>
      <c r="N639" s="101">
        <f>IFERROR(IF(T639="","",(T639*(1-AQ639)*(1-Settings!$F$17)-I639)/(T639*(1-AQ639)*(1-Settings!$F$17))),"")</f>
        <v/>
      </c>
      <c r="O639" s="101">
        <f>IFERROR(IF(T639="","",(T639*(1-AR639)*(1-Settings!$G$17)-I639)/(T639*(1-AR639)*(1-Settings!$G$17))),"")</f>
        <v/>
      </c>
      <c r="P639" s="101">
        <f>IFERROR(IF(T639="","",(T639*(1-AS639)*(1-Settings!$H$17)-I639)/(T639*(1-AS639)*(1-Settings!$H$17))),"")</f>
        <v/>
      </c>
      <c r="Q639" s="101">
        <f>IFERROR(IF(T639="","",(T639*(1-AT639)*(1-Settings!$I$68)*(1-Settings!$I$17)-I639)/(T639*(1-AT639)*(1-Settings!$I$68)*(1-Settings!$I$17))),"")</f>
        <v/>
      </c>
      <c r="R639" s="91">
        <f>IFERROR(IF(OR(I639="",Z639&gt;=1,Settings!$B$17&gt;=1,AN639&gt;=1),"",IF(MOD(ROUND(I639/(1-Z639)/(1-Settings!$B$17)/(1-AN639),0),10)=0,ROUND(I639/(1-Z639)/(1-Settings!$B$17)/(1-AN639),0)-1,IF(MOD(ROUND(I639/(1-Z639)/(1-Settings!$B$17)/(1-AN639),0),10)&lt;=5,FLOOR(ROUND(I639/(1-Z639)/(1-Settings!$B$17)/(1-AN639),0),10)+6,FLOOR(ROUND(I639/(1-Z639)/(1-Settings!$B$17)/(1-AN639),0),10)+9))),"")</f>
        <v/>
      </c>
      <c r="S639" s="174">
        <f>R639*0.95</f>
        <v/>
      </c>
      <c r="T639" s="91">
        <f>IF(S639&lt;&gt;"", IF(MOD(S639,10)=0,S639-1,IF(MOD(S639,10)&lt;=5,FLOOR(S639,10)+6,FLOOR(S639,10)+9)), R639)</f>
        <v/>
      </c>
      <c r="U639" s="87" t="inlineStr">
        <is>
          <t>Основний</t>
        </is>
      </c>
      <c r="V639" s="88" t="n"/>
      <c r="W639" s="88" t="n"/>
      <c r="X639" s="89">
        <f>IFERROR(IF(OR(V639="",W639="",T639=""),"", IF(T639&gt;W639,"Дорогий",IF(T639&lt;V639,"Дешевий","У ринку"))),"")</f>
        <v/>
      </c>
      <c r="Y639" s="90" t="n"/>
      <c r="Z639" s="104">
        <f>CHOOSE(MATCH(IF($U639="","Основний",$U639),{"Трафіковий","Основний","Маржинальний","Сезонний","Стратегічний"},0),0.16,0.19,0.24,0.23,0.28)</f>
        <v/>
      </c>
      <c r="AA639" s="104">
        <f>CHOOSE(MATCH(IF($U639="","Основний",$U639),{"Трафіковий","Основний","Маржинальний","Сезонний","Стратегічний"},0),0.18,0.21,0.26,0.25,0.3)</f>
        <v/>
      </c>
      <c r="AB639" s="104">
        <f>CHOOSE(MATCH(IF($U639="","Основний",$U639),{"Трафіковий","Основний","Маржинальний","Сезонний","Стратегічний"},0),0.19,0.22,0.28,0.26,0.32)</f>
        <v/>
      </c>
      <c r="AC639" s="104">
        <f>CHOOSE(MATCH(IF($U639="","Основний",$U639),{"Трафіковий","Основний","Маржинальний","Сезонний","Стратегічний"},0),0.17,0.2,0.25,0.24,0.28)</f>
        <v/>
      </c>
      <c r="AD639" s="104">
        <f>CHOOSE(MATCH(IF($U639="","Основний",$U639),{"Трафіковий","Основний","Маржинальний","Сезонний","Стратегічний"},0),0.18,0.21,0.26,0.25,0.3)</f>
        <v/>
      </c>
      <c r="AE639" s="104">
        <f>CHOOSE(MATCH(IF($U639="","Основний",$U639),{"Трафіковий","Основний","Маржинальний","Сезонний","Стратегічний"},0),0.18,0.2,0.28,0.27,0.32)</f>
        <v/>
      </c>
      <c r="AF639" s="104">
        <f>CHOOSE(MATCH(IF($U639="","Основний",$U639),{"Трафіковий","Основний","Маржинальний","Сезонний","Стратегічний"},0),0.15,0.175,0.22,0.21,0.25)</f>
        <v/>
      </c>
      <c r="AG639" s="104">
        <f>CHOOSE(MATCH(IF($U639="","Основний",$U639),{"Трафіковий","Основний","Маржинальний","Сезонний","Стратегічний"},0),0.13,0.16,0.21,0.2,0.25)</f>
        <v/>
      </c>
      <c r="AH639" s="104">
        <f>CHOOSE(MATCH(IF($U639="","Основний",$U639),{"Трафіковий","Основний","Маржинальний","Сезонний","Стратегічний"},0),0.15,0.18,0.23,0.22,0.27)</f>
        <v/>
      </c>
      <c r="AI639" s="104">
        <f>CHOOSE(MATCH(IF($U639="","Основний",$U639),{"Трафіковий","Основний","Маржинальний","Сезонний","Стратегічний"},0),0.16,0.19,0.25,0.23,0.29)</f>
        <v/>
      </c>
      <c r="AJ639" s="104">
        <f>CHOOSE(MATCH(IF($U639="","Основний",$U639),{"Трафіковий","Основний","Маржинальний","Сезонний","Стратегічний"},0),0.14,0.17,0.22,0.21,0.25)</f>
        <v/>
      </c>
      <c r="AK639" s="104">
        <f>CHOOSE(MATCH(IF($U639="","Основний",$U639),{"Трафіковий","Основний","Маржинальний","Сезонний","Стратегічний"},0),0.15,0.18,0.23,0.22,0.27)</f>
        <v/>
      </c>
      <c r="AL639" s="104">
        <f>CHOOSE(MATCH(IF($U639="","Основний",$U639),{"Трафіковий","Основний","Маржинальний","Сезонний","Стратегічний"},0),0.15,0.17,0.25,0.24,0.29)</f>
        <v/>
      </c>
      <c r="AM639" s="104">
        <f>CHOOSE(MATCH(IF($U639="","Основний",$U639),{"Трафіковий","Основний","Маржинальний","Сезонний","Стратегічний"},0),0.12,0.145,0.19,0.18,0.22)</f>
        <v/>
      </c>
      <c r="AN639" s="157">
        <f>CHOOSE(MATCH(IF($U639="","Основний",$U639),{"Трафіковий","Основний","Маржинальний","Сезонний","Стратегічний"},0),Settings!$B$78,Settings!$B$80,Settings!$B$82,Settings!$B$84,Settings!$B$86)</f>
        <v/>
      </c>
      <c r="AO639" s="157">
        <f>CHOOSE(MATCH(IF($U639="","Основний",$U639),{"Трафіковий","Основний","Маржинальний","Сезонний","Стратегічний"},0),Settings!$C$78,Settings!$C$80,Settings!$C$82,Settings!$C$84,Settings!$C$86)</f>
        <v/>
      </c>
      <c r="AP639" s="157">
        <f>CHOOSE(MATCH(IF($U639="","Основний",$U639),{"Трафіковий","Основний","Маржинальний","Сезонний","Стратегічний"},0),Settings!$D$78,Settings!$D$80,Settings!$D$82,Settings!$D$84,Settings!$D$86)</f>
        <v/>
      </c>
      <c r="AQ639" s="157">
        <f>CHOOSE(MATCH(IF($U639="","Основний",$U639),{"Трафіковий","Основний","Маржинальний","Сезонний","Стратегічний"},0),Settings!$F$78,Settings!$F$80,Settings!$F$82,Settings!$F$84,Settings!$F$86)</f>
        <v/>
      </c>
      <c r="AR639" s="157">
        <f>CHOOSE(MATCH(IF($U639="","Основний",$U639),{"Трафіковий","Основний","Маржинальний","Сезонний","Стратегічний"},0),Settings!$G$78,Settings!$G$80,Settings!$G$82,Settings!$G$84,Settings!$G$86)</f>
        <v/>
      </c>
      <c r="AS639" s="157">
        <f>CHOOSE(MATCH(IF($U639="","Основний",$U639),{"Трафіковий","Основний","Маржинальний","Сезонний","Стратегічний"},0),Settings!$H$78,Settings!$H$80,Settings!$H$82,Settings!$H$84,Settings!$H$86)</f>
        <v/>
      </c>
      <c r="AT639" s="157">
        <f>CHOOSE(MATCH(IF($U639="","Основний",$U639),{"Трафіковий","Основний","Маржинальний","Сезонний","Стратегічний"},0),Settings!$I$78,Settings!$I$80,Settings!$I$82,Settings!$I$84,Settings!$I$86)</f>
        <v/>
      </c>
      <c r="AU639" s="171" t="n"/>
      <c r="AV639" t="n">
        <v>1.35</v>
      </c>
    </row>
    <row r="640">
      <c r="A640" s="28" t="n"/>
      <c r="B640" s="29" t="inlineStr">
        <is>
          <t>P5734T</t>
        </is>
      </c>
      <c r="C640" s="29" t="inlineStr">
        <is>
          <t>SPARE BUTTON P5734, P5734B</t>
        </is>
      </c>
      <c r="D640" s="29" t="inlineStr">
        <is>
          <t>Дверні дзвінки</t>
        </is>
      </c>
      <c r="E640" s="28" t="inlineStr">
        <is>
          <t>PC</t>
        </is>
      </c>
      <c r="F640" s="93" t="n">
        <v>3.631</v>
      </c>
      <c r="G640" s="30" t="n">
        <v>8531900000</v>
      </c>
      <c r="H640" s="31" t="n">
        <v>1.4</v>
      </c>
      <c r="I640" s="84">
        <f>IFERROR(F640*Settings!$B$2*H640*IF(AND(ISNUMBER(E640),E640&gt;1),E640,1),"")</f>
        <v/>
      </c>
      <c r="J640" s="32">
        <f>Settings!$B$66</f>
        <v/>
      </c>
      <c r="K640" s="95">
        <f>IFERROR(IF(T640="","",(T640*(1-AN640)*(1-Settings!$B$17)-I640)/(T640*(1-AN640)*(1-Settings!$B$17))),"")</f>
        <v/>
      </c>
      <c r="L640" s="101">
        <f>IFERROR(IF(T640="","",(T640*(1-AO640)*(1-Settings!$C$17)-I640)/(T640*(1-AO640)*(1-Settings!$C$17))),"")</f>
        <v/>
      </c>
      <c r="M640" s="101">
        <f>IFERROR(IF(T640="","",(T640*(1-AP640)*(1-Settings!$D$17)-I640)/(T640*(1-AP640)*(1-Settings!$D$17))),"")</f>
        <v/>
      </c>
      <c r="N640" s="101">
        <f>IFERROR(IF(T640="","",(T640*(1-AQ640)*(1-Settings!$F$17)-I640)/(T640*(1-AQ640)*(1-Settings!$F$17))),"")</f>
        <v/>
      </c>
      <c r="O640" s="101">
        <f>IFERROR(IF(T640="","",(T640*(1-AR640)*(1-Settings!$G$17)-I640)/(T640*(1-AR640)*(1-Settings!$G$17))),"")</f>
        <v/>
      </c>
      <c r="P640" s="101">
        <f>IFERROR(IF(T640="","",(T640*(1-AS640)*(1-Settings!$H$17)-I640)/(T640*(1-AS640)*(1-Settings!$H$17))),"")</f>
        <v/>
      </c>
      <c r="Q640" s="101">
        <f>IFERROR(IF(T640="","",(T640*(1-AT640)*(1-Settings!$I$68)*(1-Settings!$I$17)-I640)/(T640*(1-AT640)*(1-Settings!$I$68)*(1-Settings!$I$17))),"")</f>
        <v/>
      </c>
      <c r="R640" s="91">
        <f>IFERROR(IF(OR(I640="",Z640&gt;=1,Settings!$B$17&gt;=1,AN640&gt;=1),"",IF(MOD(ROUND(I640/(1-Z640)/(1-Settings!$B$17)/(1-AN640),0),10)=0,ROUND(I640/(1-Z640)/(1-Settings!$B$17)/(1-AN640),0)-1,IF(MOD(ROUND(I640/(1-Z640)/(1-Settings!$B$17)/(1-AN640),0),10)&lt;=5,FLOOR(ROUND(I640/(1-Z640)/(1-Settings!$B$17)/(1-AN640),0),10)+6,FLOOR(ROUND(I640/(1-Z640)/(1-Settings!$B$17)/(1-AN640),0),10)+9))),"")</f>
        <v/>
      </c>
      <c r="S640" s="174">
        <f>R640*0.95</f>
        <v/>
      </c>
      <c r="T640" s="91">
        <f>IF(S640&lt;&gt;"", IF(MOD(S640,10)=0,S640-1,IF(MOD(S640,10)&lt;=5,FLOOR(S640,10)+6,FLOOR(S640,10)+9)), R640)</f>
        <v/>
      </c>
      <c r="U640" s="87" t="inlineStr">
        <is>
          <t>Основний</t>
        </is>
      </c>
      <c r="V640" s="88" t="n"/>
      <c r="W640" s="88" t="n"/>
      <c r="X640" s="89">
        <f>IFERROR(IF(OR(V640="",W640="",T640=""),"", IF(T640&gt;W640,"Дорогий",IF(T640&lt;V640,"Дешевий","У ринку"))),"")</f>
        <v/>
      </c>
      <c r="Y640" s="90" t="n"/>
      <c r="Z640" s="104">
        <f>CHOOSE(MATCH(IF($U640="","Основний",$U640),{"Трафіковий","Основний","Маржинальний","Сезонний","Стратегічний"},0),0.16,0.19,0.24,0.23,0.28)</f>
        <v/>
      </c>
      <c r="AA640" s="104">
        <f>CHOOSE(MATCH(IF($U640="","Основний",$U640),{"Трафіковий","Основний","Маржинальний","Сезонний","Стратегічний"},0),0.18,0.21,0.26,0.25,0.3)</f>
        <v/>
      </c>
      <c r="AB640" s="104">
        <f>CHOOSE(MATCH(IF($U640="","Основний",$U640),{"Трафіковий","Основний","Маржинальний","Сезонний","Стратегічний"},0),0.19,0.22,0.28,0.26,0.32)</f>
        <v/>
      </c>
      <c r="AC640" s="104">
        <f>CHOOSE(MATCH(IF($U640="","Основний",$U640),{"Трафіковий","Основний","Маржинальний","Сезонний","Стратегічний"},0),0.17,0.2,0.25,0.24,0.28)</f>
        <v/>
      </c>
      <c r="AD640" s="104">
        <f>CHOOSE(MATCH(IF($U640="","Основний",$U640),{"Трафіковий","Основний","Маржинальний","Сезонний","Стратегічний"},0),0.18,0.21,0.26,0.25,0.3)</f>
        <v/>
      </c>
      <c r="AE640" s="104">
        <f>CHOOSE(MATCH(IF($U640="","Основний",$U640),{"Трафіковий","Основний","Маржинальний","Сезонний","Стратегічний"},0),0.18,0.2,0.28,0.27,0.32)</f>
        <v/>
      </c>
      <c r="AF640" s="104">
        <f>CHOOSE(MATCH(IF($U640="","Основний",$U640),{"Трафіковий","Основний","Маржинальний","Сезонний","Стратегічний"},0),0.15,0.175,0.22,0.21,0.25)</f>
        <v/>
      </c>
      <c r="AG640" s="104">
        <f>CHOOSE(MATCH(IF($U640="","Основний",$U640),{"Трафіковий","Основний","Маржинальний","Сезонний","Стратегічний"},0),0.13,0.16,0.21,0.2,0.25)</f>
        <v/>
      </c>
      <c r="AH640" s="104">
        <f>CHOOSE(MATCH(IF($U640="","Основний",$U640),{"Трафіковий","Основний","Маржинальний","Сезонний","Стратегічний"},0),0.15,0.18,0.23,0.22,0.27)</f>
        <v/>
      </c>
      <c r="AI640" s="104">
        <f>CHOOSE(MATCH(IF($U640="","Основний",$U640),{"Трафіковий","Основний","Маржинальний","Сезонний","Стратегічний"},0),0.16,0.19,0.25,0.23,0.29)</f>
        <v/>
      </c>
      <c r="AJ640" s="104">
        <f>CHOOSE(MATCH(IF($U640="","Основний",$U640),{"Трафіковий","Основний","Маржинальний","Сезонний","Стратегічний"},0),0.14,0.17,0.22,0.21,0.25)</f>
        <v/>
      </c>
      <c r="AK640" s="104">
        <f>CHOOSE(MATCH(IF($U640="","Основний",$U640),{"Трафіковий","Основний","Маржинальний","Сезонний","Стратегічний"},0),0.15,0.18,0.23,0.22,0.27)</f>
        <v/>
      </c>
      <c r="AL640" s="104">
        <f>CHOOSE(MATCH(IF($U640="","Основний",$U640),{"Трафіковий","Основний","Маржинальний","Сезонний","Стратегічний"},0),0.15,0.17,0.25,0.24,0.29)</f>
        <v/>
      </c>
      <c r="AM640" s="104">
        <f>CHOOSE(MATCH(IF($U640="","Основний",$U640),{"Трафіковий","Основний","Маржинальний","Сезонний","Стратегічний"},0),0.12,0.145,0.19,0.18,0.22)</f>
        <v/>
      </c>
      <c r="AN640" s="157">
        <f>CHOOSE(MATCH(IF($U640="","Основний",$U640),{"Трафіковий","Основний","Маржинальний","Сезонний","Стратегічний"},0),Settings!$B$78,Settings!$B$80,Settings!$B$82,Settings!$B$84,Settings!$B$86)</f>
        <v/>
      </c>
      <c r="AO640" s="157">
        <f>CHOOSE(MATCH(IF($U640="","Основний",$U640),{"Трафіковий","Основний","Маржинальний","Сезонний","Стратегічний"},0),Settings!$C$78,Settings!$C$80,Settings!$C$82,Settings!$C$84,Settings!$C$86)</f>
        <v/>
      </c>
      <c r="AP640" s="157">
        <f>CHOOSE(MATCH(IF($U640="","Основний",$U640),{"Трафіковий","Основний","Маржинальний","Сезонний","Стратегічний"},0),Settings!$D$78,Settings!$D$80,Settings!$D$82,Settings!$D$84,Settings!$D$86)</f>
        <v/>
      </c>
      <c r="AQ640" s="157">
        <f>CHOOSE(MATCH(IF($U640="","Основний",$U640),{"Трафіковий","Основний","Маржинальний","Сезонний","Стратегічний"},0),Settings!$F$78,Settings!$F$80,Settings!$F$82,Settings!$F$84,Settings!$F$86)</f>
        <v/>
      </c>
      <c r="AR640" s="157">
        <f>CHOOSE(MATCH(IF($U640="","Основний",$U640),{"Трафіковий","Основний","Маржинальний","Сезонний","Стратегічний"},0),Settings!$G$78,Settings!$G$80,Settings!$G$82,Settings!$G$84,Settings!$G$86)</f>
        <v/>
      </c>
      <c r="AS640" s="157">
        <f>CHOOSE(MATCH(IF($U640="","Основний",$U640),{"Трафіковий","Основний","Маржинальний","Сезонний","Стратегічний"},0),Settings!$H$78,Settings!$H$80,Settings!$H$82,Settings!$H$84,Settings!$H$86)</f>
        <v/>
      </c>
      <c r="AT640" s="157">
        <f>CHOOSE(MATCH(IF($U640="","Основний",$U640),{"Трафіковий","Основний","Маржинальний","Сезонний","Стратегічний"},0),Settings!$I$78,Settings!$I$80,Settings!$I$82,Settings!$I$84,Settings!$I$86)</f>
        <v/>
      </c>
      <c r="AU640" s="171" t="n"/>
      <c r="AV640" t="n">
        <v>1.35</v>
      </c>
    </row>
    <row r="641">
      <c r="A641" s="33" t="n"/>
      <c r="B641" s="34" t="inlineStr">
        <is>
          <t>P5732T</t>
        </is>
      </c>
      <c r="C641" s="34" t="inlineStr">
        <is>
          <t>SPARE BUTTON FOR WIRELESS DOORBELL P5732</t>
        </is>
      </c>
      <c r="D641" s="34" t="inlineStr">
        <is>
          <t>Дверні дзвінки</t>
        </is>
      </c>
      <c r="E641" s="33" t="inlineStr">
        <is>
          <t>PC</t>
        </is>
      </c>
      <c r="F641" s="94" t="n">
        <v>2.793</v>
      </c>
      <c r="G641" s="35" t="n">
        <v>8531900000</v>
      </c>
      <c r="H641" s="31" t="n">
        <v>1.4</v>
      </c>
      <c r="I641" s="84">
        <f>IFERROR(F641*Settings!$B$2*H641*IF(AND(ISNUMBER(E641),E641&gt;1),E641,1),"")</f>
        <v/>
      </c>
      <c r="J641" s="32">
        <f>Settings!$B$66</f>
        <v/>
      </c>
      <c r="K641" s="95">
        <f>IFERROR(IF(T641="","",(T641*(1-AN641)*(1-Settings!$B$17)-I641)/(T641*(1-AN641)*(1-Settings!$B$17))),"")</f>
        <v/>
      </c>
      <c r="L641" s="101">
        <f>IFERROR(IF(T641="","",(T641*(1-AO641)*(1-Settings!$C$17)-I641)/(T641*(1-AO641)*(1-Settings!$C$17))),"")</f>
        <v/>
      </c>
      <c r="M641" s="101">
        <f>IFERROR(IF(T641="","",(T641*(1-AP641)*(1-Settings!$D$17)-I641)/(T641*(1-AP641)*(1-Settings!$D$17))),"")</f>
        <v/>
      </c>
      <c r="N641" s="101">
        <f>IFERROR(IF(T641="","",(T641*(1-AQ641)*(1-Settings!$F$17)-I641)/(T641*(1-AQ641)*(1-Settings!$F$17))),"")</f>
        <v/>
      </c>
      <c r="O641" s="101">
        <f>IFERROR(IF(T641="","",(T641*(1-AR641)*(1-Settings!$G$17)-I641)/(T641*(1-AR641)*(1-Settings!$G$17))),"")</f>
        <v/>
      </c>
      <c r="P641" s="101">
        <f>IFERROR(IF(T641="","",(T641*(1-AS641)*(1-Settings!$H$17)-I641)/(T641*(1-AS641)*(1-Settings!$H$17))),"")</f>
        <v/>
      </c>
      <c r="Q641" s="101">
        <f>IFERROR(IF(T641="","",(T641*(1-AT641)*(1-Settings!$I$68)*(1-Settings!$I$17)-I641)/(T641*(1-AT641)*(1-Settings!$I$68)*(1-Settings!$I$17))),"")</f>
        <v/>
      </c>
      <c r="R641" s="91">
        <f>IFERROR(IF(OR(I641="",Z641&gt;=1,Settings!$B$17&gt;=1,AN641&gt;=1),"",IF(MOD(ROUND(I641/(1-Z641)/(1-Settings!$B$17)/(1-AN641),0),10)=0,ROUND(I641/(1-Z641)/(1-Settings!$B$17)/(1-AN641),0)-1,IF(MOD(ROUND(I641/(1-Z641)/(1-Settings!$B$17)/(1-AN641),0),10)&lt;=5,FLOOR(ROUND(I641/(1-Z641)/(1-Settings!$B$17)/(1-AN641),0),10)+6,FLOOR(ROUND(I641/(1-Z641)/(1-Settings!$B$17)/(1-AN641),0),10)+9))),"")</f>
        <v/>
      </c>
      <c r="S641" s="174">
        <f>R641*0.95</f>
        <v/>
      </c>
      <c r="T641" s="91">
        <f>IF(S641&lt;&gt;"", IF(MOD(S641,10)=0,S641-1,IF(MOD(S641,10)&lt;=5,FLOOR(S641,10)+6,FLOOR(S641,10)+9)), R641)</f>
        <v/>
      </c>
      <c r="U641" s="87" t="inlineStr">
        <is>
          <t>Основний</t>
        </is>
      </c>
      <c r="V641" s="88" t="n"/>
      <c r="W641" s="88" t="n"/>
      <c r="X641" s="89">
        <f>IFERROR(IF(OR(V641="",W641="",T641=""),"", IF(T641&gt;W641,"Дорогий",IF(T641&lt;V641,"Дешевий","У ринку"))),"")</f>
        <v/>
      </c>
      <c r="Y641" s="90" t="n"/>
      <c r="Z641" s="104">
        <f>CHOOSE(MATCH(IF($U641="","Основний",$U641),{"Трафіковий","Основний","Маржинальний","Сезонний","Стратегічний"},0),0.16,0.19,0.24,0.23,0.28)</f>
        <v/>
      </c>
      <c r="AA641" s="104">
        <f>CHOOSE(MATCH(IF($U641="","Основний",$U641),{"Трафіковий","Основний","Маржинальний","Сезонний","Стратегічний"},0),0.18,0.21,0.26,0.25,0.3)</f>
        <v/>
      </c>
      <c r="AB641" s="104">
        <f>CHOOSE(MATCH(IF($U641="","Основний",$U641),{"Трафіковий","Основний","Маржинальний","Сезонний","Стратегічний"},0),0.19,0.22,0.28,0.26,0.32)</f>
        <v/>
      </c>
      <c r="AC641" s="104">
        <f>CHOOSE(MATCH(IF($U641="","Основний",$U641),{"Трафіковий","Основний","Маржинальний","Сезонний","Стратегічний"},0),0.17,0.2,0.25,0.24,0.28)</f>
        <v/>
      </c>
      <c r="AD641" s="104">
        <f>CHOOSE(MATCH(IF($U641="","Основний",$U641),{"Трафіковий","Основний","Маржинальний","Сезонний","Стратегічний"},0),0.18,0.21,0.26,0.25,0.3)</f>
        <v/>
      </c>
      <c r="AE641" s="104">
        <f>CHOOSE(MATCH(IF($U641="","Основний",$U641),{"Трафіковий","Основний","Маржинальний","Сезонний","Стратегічний"},0),0.18,0.2,0.28,0.27,0.32)</f>
        <v/>
      </c>
      <c r="AF641" s="104">
        <f>CHOOSE(MATCH(IF($U641="","Основний",$U641),{"Трафіковий","Основний","Маржинальний","Сезонний","Стратегічний"},0),0.15,0.175,0.22,0.21,0.25)</f>
        <v/>
      </c>
      <c r="AG641" s="104">
        <f>CHOOSE(MATCH(IF($U641="","Основний",$U641),{"Трафіковий","Основний","Маржинальний","Сезонний","Стратегічний"},0),0.13,0.16,0.21,0.2,0.25)</f>
        <v/>
      </c>
      <c r="AH641" s="104">
        <f>CHOOSE(MATCH(IF($U641="","Основний",$U641),{"Трафіковий","Основний","Маржинальний","Сезонний","Стратегічний"},0),0.15,0.18,0.23,0.22,0.27)</f>
        <v/>
      </c>
      <c r="AI641" s="104">
        <f>CHOOSE(MATCH(IF($U641="","Основний",$U641),{"Трафіковий","Основний","Маржинальний","Сезонний","Стратегічний"},0),0.16,0.19,0.25,0.23,0.29)</f>
        <v/>
      </c>
      <c r="AJ641" s="104">
        <f>CHOOSE(MATCH(IF($U641="","Основний",$U641),{"Трафіковий","Основний","Маржинальний","Сезонний","Стратегічний"},0),0.14,0.17,0.22,0.21,0.25)</f>
        <v/>
      </c>
      <c r="AK641" s="104">
        <f>CHOOSE(MATCH(IF($U641="","Основний",$U641),{"Трафіковий","Основний","Маржинальний","Сезонний","Стратегічний"},0),0.15,0.18,0.23,0.22,0.27)</f>
        <v/>
      </c>
      <c r="AL641" s="104">
        <f>CHOOSE(MATCH(IF($U641="","Основний",$U641),{"Трафіковий","Основний","Маржинальний","Сезонний","Стратегічний"},0),0.15,0.17,0.25,0.24,0.29)</f>
        <v/>
      </c>
      <c r="AM641" s="104">
        <f>CHOOSE(MATCH(IF($U641="","Основний",$U641),{"Трафіковий","Основний","Маржинальний","Сезонний","Стратегічний"},0),0.12,0.145,0.19,0.18,0.22)</f>
        <v/>
      </c>
      <c r="AN641" s="157">
        <f>CHOOSE(MATCH(IF($U641="","Основний",$U641),{"Трафіковий","Основний","Маржинальний","Сезонний","Стратегічний"},0),Settings!$B$78,Settings!$B$80,Settings!$B$82,Settings!$B$84,Settings!$B$86)</f>
        <v/>
      </c>
      <c r="AO641" s="157">
        <f>CHOOSE(MATCH(IF($U641="","Основний",$U641),{"Трафіковий","Основний","Маржинальний","Сезонний","Стратегічний"},0),Settings!$C$78,Settings!$C$80,Settings!$C$82,Settings!$C$84,Settings!$C$86)</f>
        <v/>
      </c>
      <c r="AP641" s="157">
        <f>CHOOSE(MATCH(IF($U641="","Основний",$U641),{"Трафіковий","Основний","Маржинальний","Сезонний","Стратегічний"},0),Settings!$D$78,Settings!$D$80,Settings!$D$82,Settings!$D$84,Settings!$D$86)</f>
        <v/>
      </c>
      <c r="AQ641" s="157">
        <f>CHOOSE(MATCH(IF($U641="","Основний",$U641),{"Трафіковий","Основний","Маржинальний","Сезонний","Стратегічний"},0),Settings!$F$78,Settings!$F$80,Settings!$F$82,Settings!$F$84,Settings!$F$86)</f>
        <v/>
      </c>
      <c r="AR641" s="157">
        <f>CHOOSE(MATCH(IF($U641="","Основний",$U641),{"Трафіковий","Основний","Маржинальний","Сезонний","Стратегічний"},0),Settings!$G$78,Settings!$G$80,Settings!$G$82,Settings!$G$84,Settings!$G$86)</f>
        <v/>
      </c>
      <c r="AS641" s="157">
        <f>CHOOSE(MATCH(IF($U641="","Основний",$U641),{"Трафіковий","Основний","Маржинальний","Сезонний","Стратегічний"},0),Settings!$H$78,Settings!$H$80,Settings!$H$82,Settings!$H$84,Settings!$H$86)</f>
        <v/>
      </c>
      <c r="AT641" s="157">
        <f>CHOOSE(MATCH(IF($U641="","Основний",$U641),{"Трафіковий","Основний","Маржинальний","Сезонний","Стратегічний"},0),Settings!$I$78,Settings!$I$80,Settings!$I$82,Settings!$I$84,Settings!$I$86)</f>
        <v/>
      </c>
      <c r="AU641" s="171" t="n"/>
      <c r="AV641" t="n">
        <v>1.35</v>
      </c>
    </row>
    <row r="642">
      <c r="A642" s="28" t="inlineStr">
        <is>
          <t>NEW</t>
        </is>
      </c>
      <c r="B642" s="29" t="inlineStr">
        <is>
          <t>P5739T</t>
        </is>
      </c>
      <c r="C642" s="29" t="inlineStr">
        <is>
          <t>SPARE BUTTON P5739W, P5739B</t>
        </is>
      </c>
      <c r="D642" s="29" t="inlineStr">
        <is>
          <t>Дверні дзвінки</t>
        </is>
      </c>
      <c r="E642" s="28" t="inlineStr">
        <is>
          <t>PC</t>
        </is>
      </c>
      <c r="F642" s="93" t="n">
        <v>3.072</v>
      </c>
      <c r="G642" s="30" t="n">
        <v>8531900000</v>
      </c>
      <c r="H642" s="31" t="n">
        <v>1.4</v>
      </c>
      <c r="I642" s="84">
        <f>IFERROR(F642*Settings!$B$2*H642*IF(AND(ISNUMBER(E642),E642&gt;1),E642,1),"")</f>
        <v/>
      </c>
      <c r="J642" s="32">
        <f>Settings!$B$66</f>
        <v/>
      </c>
      <c r="K642" s="95">
        <f>IFERROR(IF(T642="","",(T642*(1-AN642)*(1-Settings!$B$17)-I642)/(T642*(1-AN642)*(1-Settings!$B$17))),"")</f>
        <v/>
      </c>
      <c r="L642" s="101">
        <f>IFERROR(IF(T642="","",(T642*(1-AO642)*(1-Settings!$C$17)-I642)/(T642*(1-AO642)*(1-Settings!$C$17))),"")</f>
        <v/>
      </c>
      <c r="M642" s="101">
        <f>IFERROR(IF(T642="","",(T642*(1-AP642)*(1-Settings!$D$17)-I642)/(T642*(1-AP642)*(1-Settings!$D$17))),"")</f>
        <v/>
      </c>
      <c r="N642" s="101">
        <f>IFERROR(IF(T642="","",(T642*(1-AQ642)*(1-Settings!$F$17)-I642)/(T642*(1-AQ642)*(1-Settings!$F$17))),"")</f>
        <v/>
      </c>
      <c r="O642" s="101">
        <f>IFERROR(IF(T642="","",(T642*(1-AR642)*(1-Settings!$G$17)-I642)/(T642*(1-AR642)*(1-Settings!$G$17))),"")</f>
        <v/>
      </c>
      <c r="P642" s="101">
        <f>IFERROR(IF(T642="","",(T642*(1-AS642)*(1-Settings!$H$17)-I642)/(T642*(1-AS642)*(1-Settings!$H$17))),"")</f>
        <v/>
      </c>
      <c r="Q642" s="101">
        <f>IFERROR(IF(T642="","",(T642*(1-AT642)*(1-Settings!$I$68)*(1-Settings!$I$17)-I642)/(T642*(1-AT642)*(1-Settings!$I$68)*(1-Settings!$I$17))),"")</f>
        <v/>
      </c>
      <c r="R642" s="91">
        <f>IFERROR(IF(OR(I642="",Z642&gt;=1,Settings!$B$17&gt;=1,AN642&gt;=1),"",IF(MOD(ROUND(I642/(1-Z642)/(1-Settings!$B$17)/(1-AN642),0),10)=0,ROUND(I642/(1-Z642)/(1-Settings!$B$17)/(1-AN642),0)-1,IF(MOD(ROUND(I642/(1-Z642)/(1-Settings!$B$17)/(1-AN642),0),10)&lt;=5,FLOOR(ROUND(I642/(1-Z642)/(1-Settings!$B$17)/(1-AN642),0),10)+6,FLOOR(ROUND(I642/(1-Z642)/(1-Settings!$B$17)/(1-AN642),0),10)+9))),"")</f>
        <v/>
      </c>
      <c r="S642" s="174">
        <f>R642*0.95</f>
        <v/>
      </c>
      <c r="T642" s="91">
        <f>IF(S642&lt;&gt;"", IF(MOD(S642,10)=0,S642-1,IF(MOD(S642,10)&lt;=5,FLOOR(S642,10)+6,FLOOR(S642,10)+9)), R642)</f>
        <v/>
      </c>
      <c r="U642" s="87" t="inlineStr">
        <is>
          <t>Основний</t>
        </is>
      </c>
      <c r="V642" s="88" t="n"/>
      <c r="W642" s="88" t="n"/>
      <c r="X642" s="89">
        <f>IFERROR(IF(OR(V642="",W642="",T642=""),"", IF(T642&gt;W642,"Дорогий",IF(T642&lt;V642,"Дешевий","У ринку"))),"")</f>
        <v/>
      </c>
      <c r="Y642" s="90" t="n"/>
      <c r="Z642" s="104">
        <f>CHOOSE(MATCH(IF($U642="","Основний",$U642),{"Трафіковий","Основний","Маржинальний","Сезонний","Стратегічний"},0),0.16,0.19,0.24,0.23,0.28)</f>
        <v/>
      </c>
      <c r="AA642" s="104">
        <f>CHOOSE(MATCH(IF($U642="","Основний",$U642),{"Трафіковий","Основний","Маржинальний","Сезонний","Стратегічний"},0),0.18,0.21,0.26,0.25,0.3)</f>
        <v/>
      </c>
      <c r="AB642" s="104">
        <f>CHOOSE(MATCH(IF($U642="","Основний",$U642),{"Трафіковий","Основний","Маржинальний","Сезонний","Стратегічний"},0),0.19,0.22,0.28,0.26,0.32)</f>
        <v/>
      </c>
      <c r="AC642" s="104">
        <f>CHOOSE(MATCH(IF($U642="","Основний",$U642),{"Трафіковий","Основний","Маржинальний","Сезонний","Стратегічний"},0),0.17,0.2,0.25,0.24,0.28)</f>
        <v/>
      </c>
      <c r="AD642" s="104">
        <f>CHOOSE(MATCH(IF($U642="","Основний",$U642),{"Трафіковий","Основний","Маржинальний","Сезонний","Стратегічний"},0),0.18,0.21,0.26,0.25,0.3)</f>
        <v/>
      </c>
      <c r="AE642" s="104">
        <f>CHOOSE(MATCH(IF($U642="","Основний",$U642),{"Трафіковий","Основний","Маржинальний","Сезонний","Стратегічний"},0),0.18,0.2,0.28,0.27,0.32)</f>
        <v/>
      </c>
      <c r="AF642" s="104">
        <f>CHOOSE(MATCH(IF($U642="","Основний",$U642),{"Трафіковий","Основний","Маржинальний","Сезонний","Стратегічний"},0),0.15,0.175,0.22,0.21,0.25)</f>
        <v/>
      </c>
      <c r="AG642" s="104">
        <f>CHOOSE(MATCH(IF($U642="","Основний",$U642),{"Трафіковий","Основний","Маржинальний","Сезонний","Стратегічний"},0),0.13,0.16,0.21,0.2,0.25)</f>
        <v/>
      </c>
      <c r="AH642" s="104">
        <f>CHOOSE(MATCH(IF($U642="","Основний",$U642),{"Трафіковий","Основний","Маржинальний","Сезонний","Стратегічний"},0),0.15,0.18,0.23,0.22,0.27)</f>
        <v/>
      </c>
      <c r="AI642" s="104">
        <f>CHOOSE(MATCH(IF($U642="","Основний",$U642),{"Трафіковий","Основний","Маржинальний","Сезонний","Стратегічний"},0),0.16,0.19,0.25,0.23,0.29)</f>
        <v/>
      </c>
      <c r="AJ642" s="104">
        <f>CHOOSE(MATCH(IF($U642="","Основний",$U642),{"Трафіковий","Основний","Маржинальний","Сезонний","Стратегічний"},0),0.14,0.17,0.22,0.21,0.25)</f>
        <v/>
      </c>
      <c r="AK642" s="104">
        <f>CHOOSE(MATCH(IF($U642="","Основний",$U642),{"Трафіковий","Основний","Маржинальний","Сезонний","Стратегічний"},0),0.15,0.18,0.23,0.22,0.27)</f>
        <v/>
      </c>
      <c r="AL642" s="104">
        <f>CHOOSE(MATCH(IF($U642="","Основний",$U642),{"Трафіковий","Основний","Маржинальний","Сезонний","Стратегічний"},0),0.15,0.17,0.25,0.24,0.29)</f>
        <v/>
      </c>
      <c r="AM642" s="104">
        <f>CHOOSE(MATCH(IF($U642="","Основний",$U642),{"Трафіковий","Основний","Маржинальний","Сезонний","Стратегічний"},0),0.12,0.145,0.19,0.18,0.22)</f>
        <v/>
      </c>
      <c r="AN642" s="157">
        <f>CHOOSE(MATCH(IF($U642="","Основний",$U642),{"Трафіковий","Основний","Маржинальний","Сезонний","Стратегічний"},0),Settings!$B$78,Settings!$B$80,Settings!$B$82,Settings!$B$84,Settings!$B$86)</f>
        <v/>
      </c>
      <c r="AO642" s="157">
        <f>CHOOSE(MATCH(IF($U642="","Основний",$U642),{"Трафіковий","Основний","Маржинальний","Сезонний","Стратегічний"},0),Settings!$C$78,Settings!$C$80,Settings!$C$82,Settings!$C$84,Settings!$C$86)</f>
        <v/>
      </c>
      <c r="AP642" s="157">
        <f>CHOOSE(MATCH(IF($U642="","Основний",$U642),{"Трафіковий","Основний","Маржинальний","Сезонний","Стратегічний"},0),Settings!$D$78,Settings!$D$80,Settings!$D$82,Settings!$D$84,Settings!$D$86)</f>
        <v/>
      </c>
      <c r="AQ642" s="157">
        <f>CHOOSE(MATCH(IF($U642="","Основний",$U642),{"Трафіковий","Основний","Маржинальний","Сезонний","Стратегічний"},0),Settings!$F$78,Settings!$F$80,Settings!$F$82,Settings!$F$84,Settings!$F$86)</f>
        <v/>
      </c>
      <c r="AR642" s="157">
        <f>CHOOSE(MATCH(IF($U642="","Основний",$U642),{"Трафіковий","Основний","Маржинальний","Сезонний","Стратегічний"},0),Settings!$G$78,Settings!$G$80,Settings!$G$82,Settings!$G$84,Settings!$G$86)</f>
        <v/>
      </c>
      <c r="AS642" s="157">
        <f>CHOOSE(MATCH(IF($U642="","Основний",$U642),{"Трафіковий","Основний","Маржинальний","Сезонний","Стратегічний"},0),Settings!$H$78,Settings!$H$80,Settings!$H$82,Settings!$H$84,Settings!$H$86)</f>
        <v/>
      </c>
      <c r="AT642" s="157">
        <f>CHOOSE(MATCH(IF($U642="","Основний",$U642),{"Трафіковий","Основний","Маржинальний","Сезонний","Стратегічний"},0),Settings!$I$78,Settings!$I$80,Settings!$I$82,Settings!$I$84,Settings!$I$86)</f>
        <v/>
      </c>
      <c r="AU642" s="171" t="n"/>
      <c r="AV642" t="n">
        <v>1.35</v>
      </c>
    </row>
    <row r="643">
      <c r="A643" s="33" t="inlineStr">
        <is>
          <t>NEW</t>
        </is>
      </c>
      <c r="B643" s="34" t="inlineStr">
        <is>
          <t>H2060</t>
        </is>
      </c>
      <c r="C643" s="34" t="inlineStr">
        <is>
          <t>VIDEO DOORPHONE 7" SET EM-04Z AHD 2 WIRE</t>
        </is>
      </c>
      <c r="D643" s="34" t="inlineStr">
        <is>
          <t>Відеосистеми, та IP камери</t>
        </is>
      </c>
      <c r="E643" s="33" t="inlineStr">
        <is>
          <t>PC</t>
        </is>
      </c>
      <c r="F643" s="94" t="n">
        <v>60.255</v>
      </c>
      <c r="G643" s="35" t="n">
        <v>8517691000</v>
      </c>
      <c r="H643" s="31" t="n">
        <v>1.3</v>
      </c>
      <c r="I643" s="84">
        <f>IFERROR(F643*Settings!$B$2*H643*IF(AND(ISNUMBER(E643),E643&gt;1),E643,1),"")</f>
        <v/>
      </c>
      <c r="J643" s="32">
        <f>Settings!$B$66</f>
        <v/>
      </c>
      <c r="K643" s="95">
        <f>IFERROR(IF(T643="","",(T643*(1-AN643)*(1-Settings!$B$17)-I643)/(T643*(1-AN643)*(1-Settings!$B$17))),"")</f>
        <v/>
      </c>
      <c r="L643" s="101">
        <f>IFERROR(IF(T643="","",(T643*(1-AO643)*(1-Settings!$C$17)-I643)/(T643*(1-AO643)*(1-Settings!$C$17))),"")</f>
        <v/>
      </c>
      <c r="M643" s="101">
        <f>IFERROR(IF(T643="","",(T643*(1-AP643)*(1-Settings!$D$17)-I643)/(T643*(1-AP643)*(1-Settings!$D$17))),"")</f>
        <v/>
      </c>
      <c r="N643" s="101">
        <f>IFERROR(IF(T643="","",(T643*(1-AQ643)*(1-Settings!$F$17)-I643)/(T643*(1-AQ643)*(1-Settings!$F$17))),"")</f>
        <v/>
      </c>
      <c r="O643" s="101">
        <f>IFERROR(IF(T643="","",(T643*(1-AR643)*(1-Settings!$G$17)-I643)/(T643*(1-AR643)*(1-Settings!$G$17))),"")</f>
        <v/>
      </c>
      <c r="P643" s="101">
        <f>IFERROR(IF(T643="","",(T643*(1-AS643)*(1-Settings!$H$17)-I643)/(T643*(1-AS643)*(1-Settings!$H$17))),"")</f>
        <v/>
      </c>
      <c r="Q643" s="101">
        <f>IFERROR(IF(T643="","",(T643*(1-AT643)*(1-Settings!$I$68)*(1-Settings!$I$17)-I643)/(T643*(1-AT643)*(1-Settings!$I$68)*(1-Settings!$I$17))),"")</f>
        <v/>
      </c>
      <c r="R643" s="91">
        <f>IFERROR(IF(OR(I643="",Z643&gt;=1,Settings!$B$17&gt;=1,AN643&gt;=1),"",IF(MOD(ROUND(I643/(1-Z643)/(1-Settings!$B$17)/(1-AN643),0),10)=0,ROUND(I643/(1-Z643)/(1-Settings!$B$17)/(1-AN643),0)-1,IF(MOD(ROUND(I643/(1-Z643)/(1-Settings!$B$17)/(1-AN643),0),10)&lt;=5,FLOOR(ROUND(I643/(1-Z643)/(1-Settings!$B$17)/(1-AN643),0),10)+6,FLOOR(ROUND(I643/(1-Z643)/(1-Settings!$B$17)/(1-AN643),0),10)+9))),"")</f>
        <v/>
      </c>
      <c r="S643" s="174" t="n"/>
      <c r="T643" s="91">
        <f>IF(S643&lt;&gt;"", IF(MOD(S643,10)=0,S643-1,IF(MOD(S643,10)&lt;=5,FLOOR(S643,10)+6,FLOOR(S643,10)+9)), R643)</f>
        <v/>
      </c>
      <c r="U643" s="87" t="inlineStr">
        <is>
          <t>Трафіковий</t>
        </is>
      </c>
      <c r="V643" s="88" t="n"/>
      <c r="W643" s="88" t="n"/>
      <c r="X643" s="89">
        <f>IFERROR(IF(OR(V643="",W643="",T643=""),"", IF(T643&gt;W643,"Дорогий",IF(T643&lt;V643,"Дешевий","У ринку"))),"")</f>
        <v/>
      </c>
      <c r="Y643" s="90" t="n"/>
      <c r="Z643" s="104">
        <f>CHOOSE(MATCH(IF($U643="","Основний",$U643),{"Трафіковий","Основний","Маржинальний","Сезонний","Стратегічний"},0),0.16,0.19,0.24,0.23,0.28)</f>
        <v/>
      </c>
      <c r="AA643" s="104">
        <f>CHOOSE(MATCH(IF($U643="","Основний",$U643),{"Трафіковий","Основний","Маржинальний","Сезонний","Стратегічний"},0),0.18,0.21,0.26,0.25,0.3)</f>
        <v/>
      </c>
      <c r="AB643" s="104">
        <f>CHOOSE(MATCH(IF($U643="","Основний",$U643),{"Трафіковий","Основний","Маржинальний","Сезонний","Стратегічний"},0),0.19,0.22,0.28,0.26,0.32)</f>
        <v/>
      </c>
      <c r="AC643" s="104">
        <f>CHOOSE(MATCH(IF($U643="","Основний",$U643),{"Трафіковий","Основний","Маржинальний","Сезонний","Стратегічний"},0),0.17,0.2,0.25,0.24,0.28)</f>
        <v/>
      </c>
      <c r="AD643" s="104">
        <f>CHOOSE(MATCH(IF($U643="","Основний",$U643),{"Трафіковий","Основний","Маржинальний","Сезонний","Стратегічний"},0),0.18,0.21,0.26,0.25,0.3)</f>
        <v/>
      </c>
      <c r="AE643" s="104">
        <f>CHOOSE(MATCH(IF($U643="","Основний",$U643),{"Трафіковий","Основний","Маржинальний","Сезонний","Стратегічний"},0),0.18,0.2,0.28,0.27,0.32)</f>
        <v/>
      </c>
      <c r="AF643" s="104">
        <f>CHOOSE(MATCH(IF($U643="","Основний",$U643),{"Трафіковий","Основний","Маржинальний","Сезонний","Стратегічний"},0),0.15,0.175,0.22,0.21,0.25)</f>
        <v/>
      </c>
      <c r="AG643" s="104">
        <f>CHOOSE(MATCH(IF($U643="","Основний",$U643),{"Трафіковий","Основний","Маржинальний","Сезонний","Стратегічний"},0),0.13,0.16,0.21,0.2,0.25)</f>
        <v/>
      </c>
      <c r="AH643" s="104">
        <f>CHOOSE(MATCH(IF($U643="","Основний",$U643),{"Трафіковий","Основний","Маржинальний","Сезонний","Стратегічний"},0),0.15,0.18,0.23,0.22,0.27)</f>
        <v/>
      </c>
      <c r="AI643" s="104">
        <f>CHOOSE(MATCH(IF($U643="","Основний",$U643),{"Трафіковий","Основний","Маржинальний","Сезонний","Стратегічний"},0),0.16,0.19,0.25,0.23,0.29)</f>
        <v/>
      </c>
      <c r="AJ643" s="104">
        <f>CHOOSE(MATCH(IF($U643="","Основний",$U643),{"Трафіковий","Основний","Маржинальний","Сезонний","Стратегічний"},0),0.14,0.17,0.22,0.21,0.25)</f>
        <v/>
      </c>
      <c r="AK643" s="104">
        <f>CHOOSE(MATCH(IF($U643="","Основний",$U643),{"Трафіковий","Основний","Маржинальний","Сезонний","Стратегічний"},0),0.15,0.18,0.23,0.22,0.27)</f>
        <v/>
      </c>
      <c r="AL643" s="104">
        <f>CHOOSE(MATCH(IF($U643="","Основний",$U643),{"Трафіковий","Основний","Маржинальний","Сезонний","Стратегічний"},0),0.15,0.17,0.25,0.24,0.29)</f>
        <v/>
      </c>
      <c r="AM643" s="104">
        <f>CHOOSE(MATCH(IF($U643="","Основний",$U643),{"Трафіковий","Основний","Маржинальний","Сезонний","Стратегічний"},0),0.12,0.145,0.19,0.18,0.22)</f>
        <v/>
      </c>
      <c r="AN643" s="157">
        <f>CHOOSE(MATCH(IF($U643="","Основний",$U643),{"Трафіковий","Основний","Маржинальний","Сезонний","Стратегічний"},0),Settings!$B$78,Settings!$B$80,Settings!$B$82,Settings!$B$84,Settings!$B$86)</f>
        <v/>
      </c>
      <c r="AO643" s="157">
        <f>CHOOSE(MATCH(IF($U643="","Основний",$U643),{"Трафіковий","Основний","Маржинальний","Сезонний","Стратегічний"},0),Settings!$C$78,Settings!$C$80,Settings!$C$82,Settings!$C$84,Settings!$C$86)</f>
        <v/>
      </c>
      <c r="AP643" s="157">
        <f>CHOOSE(MATCH(IF($U643="","Основний",$U643),{"Трафіковий","Основний","Маржинальний","Сезонний","Стратегічний"},0),Settings!$D$78,Settings!$D$80,Settings!$D$82,Settings!$D$84,Settings!$D$86)</f>
        <v/>
      </c>
      <c r="AQ643" s="157">
        <f>CHOOSE(MATCH(IF($U643="","Основний",$U643),{"Трафіковий","Основний","Маржинальний","Сезонний","Стратегічний"},0),Settings!$F$78,Settings!$F$80,Settings!$F$82,Settings!$F$84,Settings!$F$86)</f>
        <v/>
      </c>
      <c r="AR643" s="157">
        <f>CHOOSE(MATCH(IF($U643="","Основний",$U643),{"Трафіковий","Основний","Маржинальний","Сезонний","Стратегічний"},0),Settings!$G$78,Settings!$G$80,Settings!$G$82,Settings!$G$84,Settings!$G$86)</f>
        <v/>
      </c>
      <c r="AS643" s="157">
        <f>CHOOSE(MATCH(IF($U643="","Основний",$U643),{"Трафіковий","Основний","Маржинальний","Сезонний","Стратегічний"},0),Settings!$H$78,Settings!$H$80,Settings!$H$82,Settings!$H$84,Settings!$H$86)</f>
        <v/>
      </c>
      <c r="AT643" s="157">
        <f>CHOOSE(MATCH(IF($U643="","Основний",$U643),{"Трафіковий","Основний","Маржинальний","Сезонний","Стратегічний"},0),Settings!$I$78,Settings!$I$80,Settings!$I$82,Settings!$I$84,Settings!$I$86)</f>
        <v/>
      </c>
      <c r="AU643" s="171" t="n"/>
      <c r="AV643" t="n">
        <v>1.2</v>
      </c>
    </row>
    <row r="644">
      <c r="A644" s="28" t="n"/>
      <c r="B644" s="29" t="inlineStr">
        <is>
          <t>H1085</t>
        </is>
      </c>
      <c r="C644" s="29" t="inlineStr">
        <is>
          <t>AUDIO DOOR PHONE  H1085 WHITE</t>
        </is>
      </c>
      <c r="D644" s="29" t="inlineStr">
        <is>
          <t>Відеосистеми, та IP камери</t>
        </is>
      </c>
      <c r="E644" s="28" t="inlineStr">
        <is>
          <t>PC</t>
        </is>
      </c>
      <c r="F644" s="93" t="n">
        <v>14.162</v>
      </c>
      <c r="G644" s="30" t="n">
        <v>8517692000</v>
      </c>
      <c r="H644" s="31" t="n">
        <v>1.3</v>
      </c>
      <c r="I644" s="84">
        <f>IFERROR(F644*Settings!$B$2*H644*IF(AND(ISNUMBER(E644),E644&gt;1),E644,1),"")</f>
        <v/>
      </c>
      <c r="J644" s="32">
        <f>Settings!$B$66</f>
        <v/>
      </c>
      <c r="K644" s="95">
        <f>IFERROR(IF(T644="","",(T644*(1-AN644)*(1-Settings!$B$17)-I644)/(T644*(1-AN644)*(1-Settings!$B$17))),"")</f>
        <v/>
      </c>
      <c r="L644" s="101">
        <f>IFERROR(IF(T644="","",(T644*(1-AO644)*(1-Settings!$C$17)-I644)/(T644*(1-AO644)*(1-Settings!$C$17))),"")</f>
        <v/>
      </c>
      <c r="M644" s="101">
        <f>IFERROR(IF(T644="","",(T644*(1-AP644)*(1-Settings!$D$17)-I644)/(T644*(1-AP644)*(1-Settings!$D$17))),"")</f>
        <v/>
      </c>
      <c r="N644" s="101">
        <f>IFERROR(IF(T644="","",(T644*(1-AQ644)*(1-Settings!$F$17)-I644)/(T644*(1-AQ644)*(1-Settings!$F$17))),"")</f>
        <v/>
      </c>
      <c r="O644" s="101">
        <f>IFERROR(IF(T644="","",(T644*(1-AR644)*(1-Settings!$G$17)-I644)/(T644*(1-AR644)*(1-Settings!$G$17))),"")</f>
        <v/>
      </c>
      <c r="P644" s="101">
        <f>IFERROR(IF(T644="","",(T644*(1-AS644)*(1-Settings!$H$17)-I644)/(T644*(1-AS644)*(1-Settings!$H$17))),"")</f>
        <v/>
      </c>
      <c r="Q644" s="101">
        <f>IFERROR(IF(T644="","",(T644*(1-AT644)*(1-Settings!$I$68)*(1-Settings!$I$17)-I644)/(T644*(1-AT644)*(1-Settings!$I$68)*(1-Settings!$I$17))),"")</f>
        <v/>
      </c>
      <c r="R644" s="91">
        <f>IFERROR(IF(OR(I644="",Z644&gt;=1,Settings!$B$17&gt;=1,AN644&gt;=1),"",IF(MOD(ROUND(I644/(1-Z644)/(1-Settings!$B$17)/(1-AN644),0),10)=0,ROUND(I644/(1-Z644)/(1-Settings!$B$17)/(1-AN644),0)-1,IF(MOD(ROUND(I644/(1-Z644)/(1-Settings!$B$17)/(1-AN644),0),10)&lt;=5,FLOOR(ROUND(I644/(1-Z644)/(1-Settings!$B$17)/(1-AN644),0),10)+6,FLOOR(ROUND(I644/(1-Z644)/(1-Settings!$B$17)/(1-AN644),0),10)+9))),"")</f>
        <v/>
      </c>
      <c r="S644" s="174" t="n"/>
      <c r="T644" s="91">
        <f>IF(S644&lt;&gt;"", IF(MOD(S644,10)=0,S644-1,IF(MOD(S644,10)&lt;=5,FLOOR(S644,10)+6,FLOOR(S644,10)+9)), R644)</f>
        <v/>
      </c>
      <c r="U644" s="87" t="inlineStr">
        <is>
          <t>Трафіковий</t>
        </is>
      </c>
      <c r="V644" s="88" t="n"/>
      <c r="W644" s="88" t="n"/>
      <c r="X644" s="89">
        <f>IFERROR(IF(OR(V644="",W644="",T644=""),"", IF(T644&gt;W644,"Дорогий",IF(T644&lt;V644,"Дешевий","У ринку"))),"")</f>
        <v/>
      </c>
      <c r="Y644" s="90" t="n"/>
      <c r="Z644" s="104">
        <f>CHOOSE(MATCH(IF($U644="","Основний",$U644),{"Трафіковий","Основний","Маржинальний","Сезонний","Стратегічний"},0),0.16,0.19,0.24,0.23,0.28)</f>
        <v/>
      </c>
      <c r="AA644" s="104">
        <f>CHOOSE(MATCH(IF($U644="","Основний",$U644),{"Трафіковий","Основний","Маржинальний","Сезонний","Стратегічний"},0),0.18,0.21,0.26,0.25,0.3)</f>
        <v/>
      </c>
      <c r="AB644" s="104">
        <f>CHOOSE(MATCH(IF($U644="","Основний",$U644),{"Трафіковий","Основний","Маржинальний","Сезонний","Стратегічний"},0),0.19,0.22,0.28,0.26,0.32)</f>
        <v/>
      </c>
      <c r="AC644" s="104">
        <f>CHOOSE(MATCH(IF($U644="","Основний",$U644),{"Трафіковий","Основний","Маржинальний","Сезонний","Стратегічний"},0),0.17,0.2,0.25,0.24,0.28)</f>
        <v/>
      </c>
      <c r="AD644" s="104">
        <f>CHOOSE(MATCH(IF($U644="","Основний",$U644),{"Трафіковий","Основний","Маржинальний","Сезонний","Стратегічний"},0),0.18,0.21,0.26,0.25,0.3)</f>
        <v/>
      </c>
      <c r="AE644" s="104">
        <f>CHOOSE(MATCH(IF($U644="","Основний",$U644),{"Трафіковий","Основний","Маржинальний","Сезонний","Стратегічний"},0),0.18,0.2,0.28,0.27,0.32)</f>
        <v/>
      </c>
      <c r="AF644" s="104">
        <f>CHOOSE(MATCH(IF($U644="","Основний",$U644),{"Трафіковий","Основний","Маржинальний","Сезонний","Стратегічний"},0),0.15,0.175,0.22,0.21,0.25)</f>
        <v/>
      </c>
      <c r="AG644" s="104">
        <f>CHOOSE(MATCH(IF($U644="","Основний",$U644),{"Трафіковий","Основний","Маржинальний","Сезонний","Стратегічний"},0),0.13,0.16,0.21,0.2,0.25)</f>
        <v/>
      </c>
      <c r="AH644" s="104">
        <f>CHOOSE(MATCH(IF($U644="","Основний",$U644),{"Трафіковий","Основний","Маржинальний","Сезонний","Стратегічний"},0),0.15,0.18,0.23,0.22,0.27)</f>
        <v/>
      </c>
      <c r="AI644" s="104">
        <f>CHOOSE(MATCH(IF($U644="","Основний",$U644),{"Трафіковий","Основний","Маржинальний","Сезонний","Стратегічний"},0),0.16,0.19,0.25,0.23,0.29)</f>
        <v/>
      </c>
      <c r="AJ644" s="104">
        <f>CHOOSE(MATCH(IF($U644="","Основний",$U644),{"Трафіковий","Основний","Маржинальний","Сезонний","Стратегічний"},0),0.14,0.17,0.22,0.21,0.25)</f>
        <v/>
      </c>
      <c r="AK644" s="104">
        <f>CHOOSE(MATCH(IF($U644="","Основний",$U644),{"Трафіковий","Основний","Маржинальний","Сезонний","Стратегічний"},0),0.15,0.18,0.23,0.22,0.27)</f>
        <v/>
      </c>
      <c r="AL644" s="104">
        <f>CHOOSE(MATCH(IF($U644="","Основний",$U644),{"Трафіковий","Основний","Маржинальний","Сезонний","Стратегічний"},0),0.15,0.17,0.25,0.24,0.29)</f>
        <v/>
      </c>
      <c r="AM644" s="104">
        <f>CHOOSE(MATCH(IF($U644="","Основний",$U644),{"Трафіковий","Основний","Маржинальний","Сезонний","Стратегічний"},0),0.12,0.145,0.19,0.18,0.22)</f>
        <v/>
      </c>
      <c r="AN644" s="157">
        <f>CHOOSE(MATCH(IF($U644="","Основний",$U644),{"Трафіковий","Основний","Маржинальний","Сезонний","Стратегічний"},0),Settings!$B$78,Settings!$B$80,Settings!$B$82,Settings!$B$84,Settings!$B$86)</f>
        <v/>
      </c>
      <c r="AO644" s="157">
        <f>CHOOSE(MATCH(IF($U644="","Основний",$U644),{"Трафіковий","Основний","Маржинальний","Сезонний","Стратегічний"},0),Settings!$C$78,Settings!$C$80,Settings!$C$82,Settings!$C$84,Settings!$C$86)</f>
        <v/>
      </c>
      <c r="AP644" s="157">
        <f>CHOOSE(MATCH(IF($U644="","Основний",$U644),{"Трафіковий","Основний","Маржинальний","Сезонний","Стратегічний"},0),Settings!$D$78,Settings!$D$80,Settings!$D$82,Settings!$D$84,Settings!$D$86)</f>
        <v/>
      </c>
      <c r="AQ644" s="157">
        <f>CHOOSE(MATCH(IF($U644="","Основний",$U644),{"Трафіковий","Основний","Маржинальний","Сезонний","Стратегічний"},0),Settings!$F$78,Settings!$F$80,Settings!$F$82,Settings!$F$84,Settings!$F$86)</f>
        <v/>
      </c>
      <c r="AR644" s="157">
        <f>CHOOSE(MATCH(IF($U644="","Основний",$U644),{"Трафіковий","Основний","Маржинальний","Сезонний","Стратегічний"},0),Settings!$G$78,Settings!$G$80,Settings!$G$82,Settings!$G$84,Settings!$G$86)</f>
        <v/>
      </c>
      <c r="AS644" s="157">
        <f>CHOOSE(MATCH(IF($U644="","Основний",$U644),{"Трафіковий","Основний","Маржинальний","Сезонний","Стратегічний"},0),Settings!$H$78,Settings!$H$80,Settings!$H$82,Settings!$H$84,Settings!$H$86)</f>
        <v/>
      </c>
      <c r="AT644" s="157">
        <f>CHOOSE(MATCH(IF($U644="","Основний",$U644),{"Трафіковий","Основний","Маржинальний","Сезонний","Стратегічний"},0),Settings!$I$78,Settings!$I$80,Settings!$I$82,Settings!$I$84,Settings!$I$86)</f>
        <v/>
      </c>
      <c r="AU644" s="171" t="n"/>
      <c r="AV644" t="n">
        <v>1.35</v>
      </c>
    </row>
    <row r="645">
      <c r="A645" s="33" t="n"/>
      <c r="B645" s="34" t="inlineStr">
        <is>
          <t>H1086</t>
        </is>
      </c>
      <c r="C645" s="34" t="inlineStr">
        <is>
          <t>AUDIO DOOR PHONE 2US. H1086 W.</t>
        </is>
      </c>
      <c r="D645" s="34" t="inlineStr">
        <is>
          <t>Відеосистеми, та IP камери</t>
        </is>
      </c>
      <c r="E645" s="33" t="inlineStr">
        <is>
          <t>PC</t>
        </is>
      </c>
      <c r="F645" s="94" t="n">
        <v>24.205</v>
      </c>
      <c r="G645" s="35" t="n">
        <v>8517692000</v>
      </c>
      <c r="H645" s="31" t="n">
        <v>1.3</v>
      </c>
      <c r="I645" s="84">
        <f>IFERROR(F645*Settings!$B$2*H645*IF(AND(ISNUMBER(E645),E645&gt;1),E645,1),"")</f>
        <v/>
      </c>
      <c r="J645" s="32">
        <f>Settings!$B$66</f>
        <v/>
      </c>
      <c r="K645" s="95">
        <f>IFERROR(IF(T645="","",(T645*(1-AN645)*(1-Settings!$B$17)-I645)/(T645*(1-AN645)*(1-Settings!$B$17))),"")</f>
        <v/>
      </c>
      <c r="L645" s="101">
        <f>IFERROR(IF(T645="","",(T645*(1-AO645)*(1-Settings!$C$17)-I645)/(T645*(1-AO645)*(1-Settings!$C$17))),"")</f>
        <v/>
      </c>
      <c r="M645" s="101">
        <f>IFERROR(IF(T645="","",(T645*(1-AP645)*(1-Settings!$D$17)-I645)/(T645*(1-AP645)*(1-Settings!$D$17))),"")</f>
        <v/>
      </c>
      <c r="N645" s="101">
        <f>IFERROR(IF(T645="","",(T645*(1-AQ645)*(1-Settings!$F$17)-I645)/(T645*(1-AQ645)*(1-Settings!$F$17))),"")</f>
        <v/>
      </c>
      <c r="O645" s="101">
        <f>IFERROR(IF(T645="","",(T645*(1-AR645)*(1-Settings!$G$17)-I645)/(T645*(1-AR645)*(1-Settings!$G$17))),"")</f>
        <v/>
      </c>
      <c r="P645" s="101">
        <f>IFERROR(IF(T645="","",(T645*(1-AS645)*(1-Settings!$H$17)-I645)/(T645*(1-AS645)*(1-Settings!$H$17))),"")</f>
        <v/>
      </c>
      <c r="Q645" s="101">
        <f>IFERROR(IF(T645="","",(T645*(1-AT645)*(1-Settings!$I$68)*(1-Settings!$I$17)-I645)/(T645*(1-AT645)*(1-Settings!$I$68)*(1-Settings!$I$17))),"")</f>
        <v/>
      </c>
      <c r="R645" s="91">
        <f>IFERROR(IF(OR(I645="",Z645&gt;=1,Settings!$B$17&gt;=1,AN645&gt;=1),"",IF(MOD(ROUND(I645/(1-Z645)/(1-Settings!$B$17)/(1-AN645),0),10)=0,ROUND(I645/(1-Z645)/(1-Settings!$B$17)/(1-AN645),0)-1,IF(MOD(ROUND(I645/(1-Z645)/(1-Settings!$B$17)/(1-AN645),0),10)&lt;=5,FLOOR(ROUND(I645/(1-Z645)/(1-Settings!$B$17)/(1-AN645),0),10)+6,FLOOR(ROUND(I645/(1-Z645)/(1-Settings!$B$17)/(1-AN645),0),10)+9))),"")</f>
        <v/>
      </c>
      <c r="S645" s="174" t="n"/>
      <c r="T645" s="91">
        <f>IF(S645&lt;&gt;"", IF(MOD(S645,10)=0,S645-1,IF(MOD(S645,10)&lt;=5,FLOOR(S645,10)+6,FLOOR(S645,10)+9)), R645)</f>
        <v/>
      </c>
      <c r="U645" s="87" t="inlineStr">
        <is>
          <t>Трафіковий</t>
        </is>
      </c>
      <c r="V645" s="88" t="n"/>
      <c r="W645" s="88" t="n"/>
      <c r="X645" s="89">
        <f>IFERROR(IF(OR(V645="",W645="",T645=""),"", IF(T645&gt;W645,"Дорогий",IF(T645&lt;V645,"Дешевий","У ринку"))),"")</f>
        <v/>
      </c>
      <c r="Y645" s="90" t="n"/>
      <c r="Z645" s="104">
        <f>CHOOSE(MATCH(IF($U645="","Основний",$U645),{"Трафіковий","Основний","Маржинальний","Сезонний","Стратегічний"},0),0.16,0.19,0.24,0.23,0.28)</f>
        <v/>
      </c>
      <c r="AA645" s="104">
        <f>CHOOSE(MATCH(IF($U645="","Основний",$U645),{"Трафіковий","Основний","Маржинальний","Сезонний","Стратегічний"},0),0.18,0.21,0.26,0.25,0.3)</f>
        <v/>
      </c>
      <c r="AB645" s="104">
        <f>CHOOSE(MATCH(IF($U645="","Основний",$U645),{"Трафіковий","Основний","Маржинальний","Сезонний","Стратегічний"},0),0.19,0.22,0.28,0.26,0.32)</f>
        <v/>
      </c>
      <c r="AC645" s="104">
        <f>CHOOSE(MATCH(IF($U645="","Основний",$U645),{"Трафіковий","Основний","Маржинальний","Сезонний","Стратегічний"},0),0.17,0.2,0.25,0.24,0.28)</f>
        <v/>
      </c>
      <c r="AD645" s="104">
        <f>CHOOSE(MATCH(IF($U645="","Основний",$U645),{"Трафіковий","Основний","Маржинальний","Сезонний","Стратегічний"},0),0.18,0.21,0.26,0.25,0.3)</f>
        <v/>
      </c>
      <c r="AE645" s="104">
        <f>CHOOSE(MATCH(IF($U645="","Основний",$U645),{"Трафіковий","Основний","Маржинальний","Сезонний","Стратегічний"},0),0.18,0.2,0.28,0.27,0.32)</f>
        <v/>
      </c>
      <c r="AF645" s="104">
        <f>CHOOSE(MATCH(IF($U645="","Основний",$U645),{"Трафіковий","Основний","Маржинальний","Сезонний","Стратегічний"},0),0.15,0.175,0.22,0.21,0.25)</f>
        <v/>
      </c>
      <c r="AG645" s="104">
        <f>CHOOSE(MATCH(IF($U645="","Основний",$U645),{"Трафіковий","Основний","Маржинальний","Сезонний","Стратегічний"},0),0.13,0.16,0.21,0.2,0.25)</f>
        <v/>
      </c>
      <c r="AH645" s="104">
        <f>CHOOSE(MATCH(IF($U645="","Основний",$U645),{"Трафіковий","Основний","Маржинальний","Сезонний","Стратегічний"},0),0.15,0.18,0.23,0.22,0.27)</f>
        <v/>
      </c>
      <c r="AI645" s="104">
        <f>CHOOSE(MATCH(IF($U645="","Основний",$U645),{"Трафіковий","Основний","Маржинальний","Сезонний","Стратегічний"},0),0.16,0.19,0.25,0.23,0.29)</f>
        <v/>
      </c>
      <c r="AJ645" s="104">
        <f>CHOOSE(MATCH(IF($U645="","Основний",$U645),{"Трафіковий","Основний","Маржинальний","Сезонний","Стратегічний"},0),0.14,0.17,0.22,0.21,0.25)</f>
        <v/>
      </c>
      <c r="AK645" s="104">
        <f>CHOOSE(MATCH(IF($U645="","Основний",$U645),{"Трафіковий","Основний","Маржинальний","Сезонний","Стратегічний"},0),0.15,0.18,0.23,0.22,0.27)</f>
        <v/>
      </c>
      <c r="AL645" s="104">
        <f>CHOOSE(MATCH(IF($U645="","Основний",$U645),{"Трафіковий","Основний","Маржинальний","Сезонний","Стратегічний"},0),0.15,0.17,0.25,0.24,0.29)</f>
        <v/>
      </c>
      <c r="AM645" s="104">
        <f>CHOOSE(MATCH(IF($U645="","Основний",$U645),{"Трафіковий","Основний","Маржинальний","Сезонний","Стратегічний"},0),0.12,0.145,0.19,0.18,0.22)</f>
        <v/>
      </c>
      <c r="AN645" s="157">
        <f>CHOOSE(MATCH(IF($U645="","Основний",$U645),{"Трафіковий","Основний","Маржинальний","Сезонний","Стратегічний"},0),Settings!$B$78,Settings!$B$80,Settings!$B$82,Settings!$B$84,Settings!$B$86)</f>
        <v/>
      </c>
      <c r="AO645" s="157">
        <f>CHOOSE(MATCH(IF($U645="","Основний",$U645),{"Трафіковий","Основний","Маржинальний","Сезонний","Стратегічний"},0),Settings!$C$78,Settings!$C$80,Settings!$C$82,Settings!$C$84,Settings!$C$86)</f>
        <v/>
      </c>
      <c r="AP645" s="157">
        <f>CHOOSE(MATCH(IF($U645="","Основний",$U645),{"Трафіковий","Основний","Маржинальний","Сезонний","Стратегічний"},0),Settings!$D$78,Settings!$D$80,Settings!$D$82,Settings!$D$84,Settings!$D$86)</f>
        <v/>
      </c>
      <c r="AQ645" s="157">
        <f>CHOOSE(MATCH(IF($U645="","Основний",$U645),{"Трафіковий","Основний","Маржинальний","Сезонний","Стратегічний"},0),Settings!$F$78,Settings!$F$80,Settings!$F$82,Settings!$F$84,Settings!$F$86)</f>
        <v/>
      </c>
      <c r="AR645" s="157">
        <f>CHOOSE(MATCH(IF($U645="","Основний",$U645),{"Трафіковий","Основний","Маржинальний","Сезонний","Стратегічний"},0),Settings!$G$78,Settings!$G$80,Settings!$G$82,Settings!$G$84,Settings!$G$86)</f>
        <v/>
      </c>
      <c r="AS645" s="157">
        <f>CHOOSE(MATCH(IF($U645="","Основний",$U645),{"Трафіковий","Основний","Маржинальний","Сезонний","Стратегічний"},0),Settings!$H$78,Settings!$H$80,Settings!$H$82,Settings!$H$84,Settings!$H$86)</f>
        <v/>
      </c>
      <c r="AT645" s="157">
        <f>CHOOSE(MATCH(IF($U645="","Основний",$U645),{"Трафіковий","Основний","Маржинальний","Сезонний","Стратегічний"},0),Settings!$I$78,Settings!$I$80,Settings!$I$82,Settings!$I$84,Settings!$I$86)</f>
        <v/>
      </c>
      <c r="AU645" s="171" t="n"/>
      <c r="AV645" t="n">
        <v>1.35</v>
      </c>
    </row>
    <row r="646">
      <c r="A646" s="28" t="n"/>
      <c r="B646" s="29" t="inlineStr">
        <is>
          <t>H3010</t>
        </is>
      </c>
      <c r="C646" s="29" t="inlineStr">
        <is>
          <t>VIDEO DOOR PHONE KIT 7" EM-10AHD</t>
        </is>
      </c>
      <c r="D646" s="29" t="inlineStr">
        <is>
          <t>Відеосистеми, та IP камери</t>
        </is>
      </c>
      <c r="E646" s="28" t="inlineStr">
        <is>
          <t>PC</t>
        </is>
      </c>
      <c r="F646" s="93" t="n">
        <v>96.563</v>
      </c>
      <c r="G646" s="30" t="n">
        <v>8517691000</v>
      </c>
      <c r="H646" s="31" t="n">
        <v>1.3</v>
      </c>
      <c r="I646" s="84">
        <f>IFERROR(F646*Settings!$B$2*H646*IF(AND(ISNUMBER(E646),E646&gt;1),E646,1),"")</f>
        <v/>
      </c>
      <c r="J646" s="32">
        <f>Settings!$B$66</f>
        <v/>
      </c>
      <c r="K646" s="95">
        <f>IFERROR(IF(T646="","",(T646*(1-AN646)*(1-Settings!$B$17)-I646)/(T646*(1-AN646)*(1-Settings!$B$17))),"")</f>
        <v/>
      </c>
      <c r="L646" s="101">
        <f>IFERROR(IF(T646="","",(T646*(1-AO646)*(1-Settings!$C$17)-I646)/(T646*(1-AO646)*(1-Settings!$C$17))),"")</f>
        <v/>
      </c>
      <c r="M646" s="101">
        <f>IFERROR(IF(T646="","",(T646*(1-AP646)*(1-Settings!$D$17)-I646)/(T646*(1-AP646)*(1-Settings!$D$17))),"")</f>
        <v/>
      </c>
      <c r="N646" s="101">
        <f>IFERROR(IF(T646="","",(T646*(1-AQ646)*(1-Settings!$F$17)-I646)/(T646*(1-AQ646)*(1-Settings!$F$17))),"")</f>
        <v/>
      </c>
      <c r="O646" s="101">
        <f>IFERROR(IF(T646="","",(T646*(1-AR646)*(1-Settings!$G$17)-I646)/(T646*(1-AR646)*(1-Settings!$G$17))),"")</f>
        <v/>
      </c>
      <c r="P646" s="101">
        <f>IFERROR(IF(T646="","",(T646*(1-AS646)*(1-Settings!$H$17)-I646)/(T646*(1-AS646)*(1-Settings!$H$17))),"")</f>
        <v/>
      </c>
      <c r="Q646" s="101">
        <f>IFERROR(IF(T646="","",(T646*(1-AT646)*(1-Settings!$I$68)*(1-Settings!$I$17)-I646)/(T646*(1-AT646)*(1-Settings!$I$68)*(1-Settings!$I$17))),"")</f>
        <v/>
      </c>
      <c r="R646" s="91">
        <f>IFERROR(IF(OR(I646="",Z646&gt;=1,Settings!$B$17&gt;=1,AN646&gt;=1),"",IF(MOD(ROUND(I646/(1-Z646)/(1-Settings!$B$17)/(1-AN646),0),10)=0,ROUND(I646/(1-Z646)/(1-Settings!$B$17)/(1-AN646),0)-1,IF(MOD(ROUND(I646/(1-Z646)/(1-Settings!$B$17)/(1-AN646),0),10)&lt;=5,FLOOR(ROUND(I646/(1-Z646)/(1-Settings!$B$17)/(1-AN646),0),10)+6,FLOOR(ROUND(I646/(1-Z646)/(1-Settings!$B$17)/(1-AN646),0),10)+9))),"")</f>
        <v/>
      </c>
      <c r="S646" s="174" t="n"/>
      <c r="T646" s="91">
        <f>IF(S646&lt;&gt;"", IF(MOD(S646,10)=0,S646-1,IF(MOD(S646,10)&lt;=5,FLOOR(S646,10)+6,FLOOR(S646,10)+9)), R646)</f>
        <v/>
      </c>
      <c r="U646" s="87" t="inlineStr">
        <is>
          <t>Трафіковий</t>
        </is>
      </c>
      <c r="V646" s="88" t="n"/>
      <c r="W646" s="88" t="n"/>
      <c r="X646" s="89">
        <f>IFERROR(IF(OR(V646="",W646="",T646=""),"", IF(T646&gt;W646,"Дорогий",IF(T646&lt;V646,"Дешевий","У ринку"))),"")</f>
        <v/>
      </c>
      <c r="Y646" s="90" t="n"/>
      <c r="Z646" s="104">
        <f>CHOOSE(MATCH(IF($U646="","Основний",$U646),{"Трафіковий","Основний","Маржинальний","Сезонний","Стратегічний"},0),0.16,0.19,0.24,0.23,0.28)</f>
        <v/>
      </c>
      <c r="AA646" s="104">
        <f>CHOOSE(MATCH(IF($U646="","Основний",$U646),{"Трафіковий","Основний","Маржинальний","Сезонний","Стратегічний"},0),0.18,0.21,0.26,0.25,0.3)</f>
        <v/>
      </c>
      <c r="AB646" s="104">
        <f>CHOOSE(MATCH(IF($U646="","Основний",$U646),{"Трафіковий","Основний","Маржинальний","Сезонний","Стратегічний"},0),0.19,0.22,0.28,0.26,0.32)</f>
        <v/>
      </c>
      <c r="AC646" s="104">
        <f>CHOOSE(MATCH(IF($U646="","Основний",$U646),{"Трафіковий","Основний","Маржинальний","Сезонний","Стратегічний"},0),0.17,0.2,0.25,0.24,0.28)</f>
        <v/>
      </c>
      <c r="AD646" s="104">
        <f>CHOOSE(MATCH(IF($U646="","Основний",$U646),{"Трафіковий","Основний","Маржинальний","Сезонний","Стратегічний"},0),0.18,0.21,0.26,0.25,0.3)</f>
        <v/>
      </c>
      <c r="AE646" s="104">
        <f>CHOOSE(MATCH(IF($U646="","Основний",$U646),{"Трафіковий","Основний","Маржинальний","Сезонний","Стратегічний"},0),0.18,0.2,0.28,0.27,0.32)</f>
        <v/>
      </c>
      <c r="AF646" s="104">
        <f>CHOOSE(MATCH(IF($U646="","Основний",$U646),{"Трафіковий","Основний","Маржинальний","Сезонний","Стратегічний"},0),0.15,0.175,0.22,0.21,0.25)</f>
        <v/>
      </c>
      <c r="AG646" s="104">
        <f>CHOOSE(MATCH(IF($U646="","Основний",$U646),{"Трафіковий","Основний","Маржинальний","Сезонний","Стратегічний"},0),0.13,0.16,0.21,0.2,0.25)</f>
        <v/>
      </c>
      <c r="AH646" s="104">
        <f>CHOOSE(MATCH(IF($U646="","Основний",$U646),{"Трафіковий","Основний","Маржинальний","Сезонний","Стратегічний"},0),0.15,0.18,0.23,0.22,0.27)</f>
        <v/>
      </c>
      <c r="AI646" s="104">
        <f>CHOOSE(MATCH(IF($U646="","Основний",$U646),{"Трафіковий","Основний","Маржинальний","Сезонний","Стратегічний"},0),0.16,0.19,0.25,0.23,0.29)</f>
        <v/>
      </c>
      <c r="AJ646" s="104">
        <f>CHOOSE(MATCH(IF($U646="","Основний",$U646),{"Трафіковий","Основний","Маржинальний","Сезонний","Стратегічний"},0),0.14,0.17,0.22,0.21,0.25)</f>
        <v/>
      </c>
      <c r="AK646" s="104">
        <f>CHOOSE(MATCH(IF($U646="","Основний",$U646),{"Трафіковий","Основний","Маржинальний","Сезонний","Стратегічний"},0),0.15,0.18,0.23,0.22,0.27)</f>
        <v/>
      </c>
      <c r="AL646" s="104">
        <f>CHOOSE(MATCH(IF($U646="","Основний",$U646),{"Трафіковий","Основний","Маржинальний","Сезонний","Стратегічний"},0),0.15,0.17,0.25,0.24,0.29)</f>
        <v/>
      </c>
      <c r="AM646" s="104">
        <f>CHOOSE(MATCH(IF($U646="","Основний",$U646),{"Трафіковий","Основний","Маржинальний","Сезонний","Стратегічний"},0),0.12,0.145,0.19,0.18,0.22)</f>
        <v/>
      </c>
      <c r="AN646" s="157">
        <f>CHOOSE(MATCH(IF($U646="","Основний",$U646),{"Трафіковий","Основний","Маржинальний","Сезонний","Стратегічний"},0),Settings!$B$78,Settings!$B$80,Settings!$B$82,Settings!$B$84,Settings!$B$86)</f>
        <v/>
      </c>
      <c r="AO646" s="157">
        <f>CHOOSE(MATCH(IF($U646="","Основний",$U646),{"Трафіковий","Основний","Маржинальний","Сезонний","Стратегічний"},0),Settings!$C$78,Settings!$C$80,Settings!$C$82,Settings!$C$84,Settings!$C$86)</f>
        <v/>
      </c>
      <c r="AP646" s="157">
        <f>CHOOSE(MATCH(IF($U646="","Основний",$U646),{"Трафіковий","Основний","Маржинальний","Сезонний","Стратегічний"},0),Settings!$D$78,Settings!$D$80,Settings!$D$82,Settings!$D$84,Settings!$D$86)</f>
        <v/>
      </c>
      <c r="AQ646" s="157">
        <f>CHOOSE(MATCH(IF($U646="","Основний",$U646),{"Трафіковий","Основний","Маржинальний","Сезонний","Стратегічний"},0),Settings!$F$78,Settings!$F$80,Settings!$F$82,Settings!$F$84,Settings!$F$86)</f>
        <v/>
      </c>
      <c r="AR646" s="157">
        <f>CHOOSE(MATCH(IF($U646="","Основний",$U646),{"Трафіковий","Основний","Маржинальний","Сезонний","Стратегічний"},0),Settings!$G$78,Settings!$G$80,Settings!$G$82,Settings!$G$84,Settings!$G$86)</f>
        <v/>
      </c>
      <c r="AS646" s="157">
        <f>CHOOSE(MATCH(IF($U646="","Основний",$U646),{"Трафіковий","Основний","Маржинальний","Сезонний","Стратегічний"},0),Settings!$H$78,Settings!$H$80,Settings!$H$82,Settings!$H$84,Settings!$H$86)</f>
        <v/>
      </c>
      <c r="AT646" s="157">
        <f>CHOOSE(MATCH(IF($U646="","Основний",$U646),{"Трафіковий","Основний","Маржинальний","Сезонний","Стратегічний"},0),Settings!$I$78,Settings!$I$80,Settings!$I$82,Settings!$I$84,Settings!$I$86)</f>
        <v/>
      </c>
      <c r="AU646" s="171" t="n"/>
      <c r="AV646" t="n">
        <v>1.35</v>
      </c>
    </row>
    <row r="647">
      <c r="A647" s="33" t="inlineStr">
        <is>
          <t>NEW</t>
        </is>
      </c>
      <c r="B647" s="34" t="inlineStr">
        <is>
          <t>H1087</t>
        </is>
      </c>
      <c r="C647" s="34" t="inlineStr">
        <is>
          <t>AUDIO PHONE SET WIRELESS EM-518</t>
        </is>
      </c>
      <c r="D647" s="34" t="inlineStr">
        <is>
          <t>Відеосистеми, та IP камери</t>
        </is>
      </c>
      <c r="E647" s="33" t="inlineStr">
        <is>
          <t>PC</t>
        </is>
      </c>
      <c r="F647" s="94" t="n">
        <v>25.75</v>
      </c>
      <c r="G647" s="35" t="n">
        <v>8517692000</v>
      </c>
      <c r="H647" s="31" t="n">
        <v>1.3</v>
      </c>
      <c r="I647" s="84">
        <f>IFERROR(F647*Settings!$B$2*H647*IF(AND(ISNUMBER(E647),E647&gt;1),E647,1),"")</f>
        <v/>
      </c>
      <c r="J647" s="32">
        <f>Settings!$B$66</f>
        <v/>
      </c>
      <c r="K647" s="95">
        <f>IFERROR(IF(T647="","",(T647*(1-AN647)*(1-Settings!$B$17)-I647)/(T647*(1-AN647)*(1-Settings!$B$17))),"")</f>
        <v/>
      </c>
      <c r="L647" s="101">
        <f>IFERROR(IF(T647="","",(T647*(1-AO647)*(1-Settings!$C$17)-I647)/(T647*(1-AO647)*(1-Settings!$C$17))),"")</f>
        <v/>
      </c>
      <c r="M647" s="101">
        <f>IFERROR(IF(T647="","",(T647*(1-AP647)*(1-Settings!$D$17)-I647)/(T647*(1-AP647)*(1-Settings!$D$17))),"")</f>
        <v/>
      </c>
      <c r="N647" s="101">
        <f>IFERROR(IF(T647="","",(T647*(1-AQ647)*(1-Settings!$F$17)-I647)/(T647*(1-AQ647)*(1-Settings!$F$17))),"")</f>
        <v/>
      </c>
      <c r="O647" s="101">
        <f>IFERROR(IF(T647="","",(T647*(1-AR647)*(1-Settings!$G$17)-I647)/(T647*(1-AR647)*(1-Settings!$G$17))),"")</f>
        <v/>
      </c>
      <c r="P647" s="101">
        <f>IFERROR(IF(T647="","",(T647*(1-AS647)*(1-Settings!$H$17)-I647)/(T647*(1-AS647)*(1-Settings!$H$17))),"")</f>
        <v/>
      </c>
      <c r="Q647" s="101">
        <f>IFERROR(IF(T647="","",(T647*(1-AT647)*(1-Settings!$I$68)*(1-Settings!$I$17)-I647)/(T647*(1-AT647)*(1-Settings!$I$68)*(1-Settings!$I$17))),"")</f>
        <v/>
      </c>
      <c r="R647" s="91">
        <f>IFERROR(IF(OR(I647="",Z647&gt;=1,Settings!$B$17&gt;=1,AN647&gt;=1),"",IF(MOD(ROUND(I647/(1-Z647)/(1-Settings!$B$17)/(1-AN647),0),10)=0,ROUND(I647/(1-Z647)/(1-Settings!$B$17)/(1-AN647),0)-1,IF(MOD(ROUND(I647/(1-Z647)/(1-Settings!$B$17)/(1-AN647),0),10)&lt;=5,FLOOR(ROUND(I647/(1-Z647)/(1-Settings!$B$17)/(1-AN647),0),10)+6,FLOOR(ROUND(I647/(1-Z647)/(1-Settings!$B$17)/(1-AN647),0),10)+9))),"")</f>
        <v/>
      </c>
      <c r="S647" s="174" t="n"/>
      <c r="T647" s="91">
        <f>IF(S647&lt;&gt;"", IF(MOD(S647,10)=0,S647-1,IF(MOD(S647,10)&lt;=5,FLOOR(S647,10)+6,FLOOR(S647,10)+9)), R647)</f>
        <v/>
      </c>
      <c r="U647" s="87" t="inlineStr">
        <is>
          <t>Трафіковий</t>
        </is>
      </c>
      <c r="V647" s="88" t="n"/>
      <c r="W647" s="88" t="n"/>
      <c r="X647" s="89">
        <f>IFERROR(IF(OR(V647="",W647="",T647=""),"", IF(T647&gt;W647,"Дорогий",IF(T647&lt;V647,"Дешевий","У ринку"))),"")</f>
        <v/>
      </c>
      <c r="Y647" s="90" t="n"/>
      <c r="Z647" s="104">
        <f>CHOOSE(MATCH(IF($U647="","Основний",$U647),{"Трафіковий","Основний","Маржинальний","Сезонний","Стратегічний"},0),0.16,0.19,0.24,0.23,0.28)</f>
        <v/>
      </c>
      <c r="AA647" s="104">
        <f>CHOOSE(MATCH(IF($U647="","Основний",$U647),{"Трафіковий","Основний","Маржинальний","Сезонний","Стратегічний"},0),0.18,0.21,0.26,0.25,0.3)</f>
        <v/>
      </c>
      <c r="AB647" s="104">
        <f>CHOOSE(MATCH(IF($U647="","Основний",$U647),{"Трафіковий","Основний","Маржинальний","Сезонний","Стратегічний"},0),0.19,0.22,0.28,0.26,0.32)</f>
        <v/>
      </c>
      <c r="AC647" s="104">
        <f>CHOOSE(MATCH(IF($U647="","Основний",$U647),{"Трафіковий","Основний","Маржинальний","Сезонний","Стратегічний"},0),0.17,0.2,0.25,0.24,0.28)</f>
        <v/>
      </c>
      <c r="AD647" s="104">
        <f>CHOOSE(MATCH(IF($U647="","Основний",$U647),{"Трафіковий","Основний","Маржинальний","Сезонний","Стратегічний"},0),0.18,0.21,0.26,0.25,0.3)</f>
        <v/>
      </c>
      <c r="AE647" s="104">
        <f>CHOOSE(MATCH(IF($U647="","Основний",$U647),{"Трафіковий","Основний","Маржинальний","Сезонний","Стратегічний"},0),0.18,0.2,0.28,0.27,0.32)</f>
        <v/>
      </c>
      <c r="AF647" s="104">
        <f>CHOOSE(MATCH(IF($U647="","Основний",$U647),{"Трафіковий","Основний","Маржинальний","Сезонний","Стратегічний"},0),0.15,0.175,0.22,0.21,0.25)</f>
        <v/>
      </c>
      <c r="AG647" s="104">
        <f>CHOOSE(MATCH(IF($U647="","Основний",$U647),{"Трафіковий","Основний","Маржинальний","Сезонний","Стратегічний"},0),0.13,0.16,0.21,0.2,0.25)</f>
        <v/>
      </c>
      <c r="AH647" s="104">
        <f>CHOOSE(MATCH(IF($U647="","Основний",$U647),{"Трафіковий","Основний","Маржинальний","Сезонний","Стратегічний"},0),0.15,0.18,0.23,0.22,0.27)</f>
        <v/>
      </c>
      <c r="AI647" s="104">
        <f>CHOOSE(MATCH(IF($U647="","Основний",$U647),{"Трафіковий","Основний","Маржинальний","Сезонний","Стратегічний"},0),0.16,0.19,0.25,0.23,0.29)</f>
        <v/>
      </c>
      <c r="AJ647" s="104">
        <f>CHOOSE(MATCH(IF($U647="","Основний",$U647),{"Трафіковий","Основний","Маржинальний","Сезонний","Стратегічний"},0),0.14,0.17,0.22,0.21,0.25)</f>
        <v/>
      </c>
      <c r="AK647" s="104">
        <f>CHOOSE(MATCH(IF($U647="","Основний",$U647),{"Трафіковий","Основний","Маржинальний","Сезонний","Стратегічний"},0),0.15,0.18,0.23,0.22,0.27)</f>
        <v/>
      </c>
      <c r="AL647" s="104">
        <f>CHOOSE(MATCH(IF($U647="","Основний",$U647),{"Трафіковий","Основний","Маржинальний","Сезонний","Стратегічний"},0),0.15,0.17,0.25,0.24,0.29)</f>
        <v/>
      </c>
      <c r="AM647" s="104">
        <f>CHOOSE(MATCH(IF($U647="","Основний",$U647),{"Трафіковий","Основний","Маржинальний","Сезонний","Стратегічний"},0),0.12,0.145,0.19,0.18,0.22)</f>
        <v/>
      </c>
      <c r="AN647" s="157">
        <f>CHOOSE(MATCH(IF($U647="","Основний",$U647),{"Трафіковий","Основний","Маржинальний","Сезонний","Стратегічний"},0),Settings!$B$78,Settings!$B$80,Settings!$B$82,Settings!$B$84,Settings!$B$86)</f>
        <v/>
      </c>
      <c r="AO647" s="157">
        <f>CHOOSE(MATCH(IF($U647="","Основний",$U647),{"Трафіковий","Основний","Маржинальний","Сезонний","Стратегічний"},0),Settings!$C$78,Settings!$C$80,Settings!$C$82,Settings!$C$84,Settings!$C$86)</f>
        <v/>
      </c>
      <c r="AP647" s="157">
        <f>CHOOSE(MATCH(IF($U647="","Основний",$U647),{"Трафіковий","Основний","Маржинальний","Сезонний","Стратегічний"},0),Settings!$D$78,Settings!$D$80,Settings!$D$82,Settings!$D$84,Settings!$D$86)</f>
        <v/>
      </c>
      <c r="AQ647" s="157">
        <f>CHOOSE(MATCH(IF($U647="","Основний",$U647),{"Трафіковий","Основний","Маржинальний","Сезонний","Стратегічний"},0),Settings!$F$78,Settings!$F$80,Settings!$F$82,Settings!$F$84,Settings!$F$86)</f>
        <v/>
      </c>
      <c r="AR647" s="157">
        <f>CHOOSE(MATCH(IF($U647="","Основний",$U647),{"Трафіковий","Основний","Маржинальний","Сезонний","Стратегічний"},0),Settings!$G$78,Settings!$G$80,Settings!$G$82,Settings!$G$84,Settings!$G$86)</f>
        <v/>
      </c>
      <c r="AS647" s="157">
        <f>CHOOSE(MATCH(IF($U647="","Основний",$U647),{"Трафіковий","Основний","Маржинальний","Сезонний","Стратегічний"},0),Settings!$H$78,Settings!$H$80,Settings!$H$82,Settings!$H$84,Settings!$H$86)</f>
        <v/>
      </c>
      <c r="AT647" s="157">
        <f>CHOOSE(MATCH(IF($U647="","Основний",$U647),{"Трафіковий","Основний","Маржинальний","Сезонний","Стратегічний"},0),Settings!$I$78,Settings!$I$80,Settings!$I$82,Settings!$I$84,Settings!$I$86)</f>
        <v/>
      </c>
      <c r="AU647" s="171" t="n"/>
      <c r="AV647" t="n">
        <v>1.25</v>
      </c>
    </row>
    <row r="648">
      <c r="A648" s="28" t="inlineStr">
        <is>
          <t>NEW</t>
        </is>
      </c>
      <c r="B648" s="29" t="inlineStr">
        <is>
          <t>H1088</t>
        </is>
      </c>
      <c r="C648" s="29" t="inlineStr">
        <is>
          <t>AUDIO PHONE SET WIRELESS EM-519</t>
        </is>
      </c>
      <c r="D648" s="29" t="inlineStr">
        <is>
          <t>Відеосистеми, та IP камери</t>
        </is>
      </c>
      <c r="E648" s="28" t="inlineStr">
        <is>
          <t>PC</t>
        </is>
      </c>
      <c r="F648" s="93" t="n">
        <v>30.9</v>
      </c>
      <c r="G648" s="30" t="n">
        <v>8517692000</v>
      </c>
      <c r="H648" s="31" t="n">
        <v>1.3</v>
      </c>
      <c r="I648" s="84">
        <f>IFERROR(F648*Settings!$B$2*H648*IF(AND(ISNUMBER(E648),E648&gt;1),E648,1),"")</f>
        <v/>
      </c>
      <c r="J648" s="32">
        <f>Settings!$B$66</f>
        <v/>
      </c>
      <c r="K648" s="95">
        <f>IFERROR(IF(T648="","",(T648*(1-AN648)*(1-Settings!$B$17)-I648)/(T648*(1-AN648)*(1-Settings!$B$17))),"")</f>
        <v/>
      </c>
      <c r="L648" s="101">
        <f>IFERROR(IF(T648="","",(T648*(1-AO648)*(1-Settings!$C$17)-I648)/(T648*(1-AO648)*(1-Settings!$C$17))),"")</f>
        <v/>
      </c>
      <c r="M648" s="101">
        <f>IFERROR(IF(T648="","",(T648*(1-AP648)*(1-Settings!$D$17)-I648)/(T648*(1-AP648)*(1-Settings!$D$17))),"")</f>
        <v/>
      </c>
      <c r="N648" s="101">
        <f>IFERROR(IF(T648="","",(T648*(1-AQ648)*(1-Settings!$F$17)-I648)/(T648*(1-AQ648)*(1-Settings!$F$17))),"")</f>
        <v/>
      </c>
      <c r="O648" s="101">
        <f>IFERROR(IF(T648="","",(T648*(1-AR648)*(1-Settings!$G$17)-I648)/(T648*(1-AR648)*(1-Settings!$G$17))),"")</f>
        <v/>
      </c>
      <c r="P648" s="101">
        <f>IFERROR(IF(T648="","",(T648*(1-AS648)*(1-Settings!$H$17)-I648)/(T648*(1-AS648)*(1-Settings!$H$17))),"")</f>
        <v/>
      </c>
      <c r="Q648" s="101">
        <f>IFERROR(IF(T648="","",(T648*(1-AT648)*(1-Settings!$I$68)*(1-Settings!$I$17)-I648)/(T648*(1-AT648)*(1-Settings!$I$68)*(1-Settings!$I$17))),"")</f>
        <v/>
      </c>
      <c r="R648" s="91">
        <f>IFERROR(IF(OR(I648="",Z648&gt;=1,Settings!$B$17&gt;=1,AN648&gt;=1),"",IF(MOD(ROUND(I648/(1-Z648)/(1-Settings!$B$17)/(1-AN648),0),10)=0,ROUND(I648/(1-Z648)/(1-Settings!$B$17)/(1-AN648),0)-1,IF(MOD(ROUND(I648/(1-Z648)/(1-Settings!$B$17)/(1-AN648),0),10)&lt;=5,FLOOR(ROUND(I648/(1-Z648)/(1-Settings!$B$17)/(1-AN648),0),10)+6,FLOOR(ROUND(I648/(1-Z648)/(1-Settings!$B$17)/(1-AN648),0),10)+9))),"")</f>
        <v/>
      </c>
      <c r="S648" s="174" t="n"/>
      <c r="T648" s="91">
        <f>IF(S648&lt;&gt;"", IF(MOD(S648,10)=0,S648-1,IF(MOD(S648,10)&lt;=5,FLOOR(S648,10)+6,FLOOR(S648,10)+9)), R648)</f>
        <v/>
      </c>
      <c r="U648" s="87" t="inlineStr">
        <is>
          <t>Трафіковий</t>
        </is>
      </c>
      <c r="V648" s="88" t="n"/>
      <c r="W648" s="88" t="n"/>
      <c r="X648" s="89">
        <f>IFERROR(IF(OR(V648="",W648="",T648=""),"", IF(T648&gt;W648,"Дорогий",IF(T648&lt;V648,"Дешевий","У ринку"))),"")</f>
        <v/>
      </c>
      <c r="Y648" s="90" t="n"/>
      <c r="Z648" s="104">
        <f>CHOOSE(MATCH(IF($U648="","Основний",$U648),{"Трафіковий","Основний","Маржинальний","Сезонний","Стратегічний"},0),0.16,0.19,0.24,0.23,0.28)</f>
        <v/>
      </c>
      <c r="AA648" s="104">
        <f>CHOOSE(MATCH(IF($U648="","Основний",$U648),{"Трафіковий","Основний","Маржинальний","Сезонний","Стратегічний"},0),0.18,0.21,0.26,0.25,0.3)</f>
        <v/>
      </c>
      <c r="AB648" s="104">
        <f>CHOOSE(MATCH(IF($U648="","Основний",$U648),{"Трафіковий","Основний","Маржинальний","Сезонний","Стратегічний"},0),0.19,0.22,0.28,0.26,0.32)</f>
        <v/>
      </c>
      <c r="AC648" s="104">
        <f>CHOOSE(MATCH(IF($U648="","Основний",$U648),{"Трафіковий","Основний","Маржинальний","Сезонний","Стратегічний"},0),0.17,0.2,0.25,0.24,0.28)</f>
        <v/>
      </c>
      <c r="AD648" s="104">
        <f>CHOOSE(MATCH(IF($U648="","Основний",$U648),{"Трафіковий","Основний","Маржинальний","Сезонний","Стратегічний"},0),0.18,0.21,0.26,0.25,0.3)</f>
        <v/>
      </c>
      <c r="AE648" s="104">
        <f>CHOOSE(MATCH(IF($U648="","Основний",$U648),{"Трафіковий","Основний","Маржинальний","Сезонний","Стратегічний"},0),0.18,0.2,0.28,0.27,0.32)</f>
        <v/>
      </c>
      <c r="AF648" s="104">
        <f>CHOOSE(MATCH(IF($U648="","Основний",$U648),{"Трафіковий","Основний","Маржинальний","Сезонний","Стратегічний"},0),0.15,0.175,0.22,0.21,0.25)</f>
        <v/>
      </c>
      <c r="AG648" s="104">
        <f>CHOOSE(MATCH(IF($U648="","Основний",$U648),{"Трафіковий","Основний","Маржинальний","Сезонний","Стратегічний"},0),0.13,0.16,0.21,0.2,0.25)</f>
        <v/>
      </c>
      <c r="AH648" s="104">
        <f>CHOOSE(MATCH(IF($U648="","Основний",$U648),{"Трафіковий","Основний","Маржинальний","Сезонний","Стратегічний"},0),0.15,0.18,0.23,0.22,0.27)</f>
        <v/>
      </c>
      <c r="AI648" s="104">
        <f>CHOOSE(MATCH(IF($U648="","Основний",$U648),{"Трафіковий","Основний","Маржинальний","Сезонний","Стратегічний"},0),0.16,0.19,0.25,0.23,0.29)</f>
        <v/>
      </c>
      <c r="AJ648" s="104">
        <f>CHOOSE(MATCH(IF($U648="","Основний",$U648),{"Трафіковий","Основний","Маржинальний","Сезонний","Стратегічний"},0),0.14,0.17,0.22,0.21,0.25)</f>
        <v/>
      </c>
      <c r="AK648" s="104">
        <f>CHOOSE(MATCH(IF($U648="","Основний",$U648),{"Трафіковий","Основний","Маржинальний","Сезонний","Стратегічний"},0),0.15,0.18,0.23,0.22,0.27)</f>
        <v/>
      </c>
      <c r="AL648" s="104">
        <f>CHOOSE(MATCH(IF($U648="","Основний",$U648),{"Трафіковий","Основний","Маржинальний","Сезонний","Стратегічний"},0),0.15,0.17,0.25,0.24,0.29)</f>
        <v/>
      </c>
      <c r="AM648" s="104">
        <f>CHOOSE(MATCH(IF($U648="","Основний",$U648),{"Трафіковий","Основний","Маржинальний","Сезонний","Стратегічний"},0),0.12,0.145,0.19,0.18,0.22)</f>
        <v/>
      </c>
      <c r="AN648" s="157">
        <f>CHOOSE(MATCH(IF($U648="","Основний",$U648),{"Трафіковий","Основний","Маржинальний","Сезонний","Стратегічний"},0),Settings!$B$78,Settings!$B$80,Settings!$B$82,Settings!$B$84,Settings!$B$86)</f>
        <v/>
      </c>
      <c r="AO648" s="157">
        <f>CHOOSE(MATCH(IF($U648="","Основний",$U648),{"Трафіковий","Основний","Маржинальний","Сезонний","Стратегічний"},0),Settings!$C$78,Settings!$C$80,Settings!$C$82,Settings!$C$84,Settings!$C$86)</f>
        <v/>
      </c>
      <c r="AP648" s="157">
        <f>CHOOSE(MATCH(IF($U648="","Основний",$U648),{"Трафіковий","Основний","Маржинальний","Сезонний","Стратегічний"},0),Settings!$D$78,Settings!$D$80,Settings!$D$82,Settings!$D$84,Settings!$D$86)</f>
        <v/>
      </c>
      <c r="AQ648" s="157">
        <f>CHOOSE(MATCH(IF($U648="","Основний",$U648),{"Трафіковий","Основний","Маржинальний","Сезонний","Стратегічний"},0),Settings!$F$78,Settings!$F$80,Settings!$F$82,Settings!$F$84,Settings!$F$86)</f>
        <v/>
      </c>
      <c r="AR648" s="157">
        <f>CHOOSE(MATCH(IF($U648="","Основний",$U648),{"Трафіковий","Основний","Маржинальний","Сезонний","Стратегічний"},0),Settings!$G$78,Settings!$G$80,Settings!$G$82,Settings!$G$84,Settings!$G$86)</f>
        <v/>
      </c>
      <c r="AS648" s="157">
        <f>CHOOSE(MATCH(IF($U648="","Основний",$U648),{"Трафіковий","Основний","Маржинальний","Сезонний","Стратегічний"},0),Settings!$H$78,Settings!$H$80,Settings!$H$82,Settings!$H$84,Settings!$H$86)</f>
        <v/>
      </c>
      <c r="AT648" s="157">
        <f>CHOOSE(MATCH(IF($U648="","Основний",$U648),{"Трафіковий","Основний","Маржинальний","Сезонний","Стратегічний"},0),Settings!$I$78,Settings!$I$80,Settings!$I$82,Settings!$I$84,Settings!$I$86)</f>
        <v/>
      </c>
      <c r="AU648" s="171" t="n"/>
      <c r="AV648" t="n">
        <v>1.25</v>
      </c>
    </row>
    <row r="649">
      <c r="A649" s="33" t="n"/>
      <c r="B649" s="34" t="inlineStr">
        <is>
          <t>H3015</t>
        </is>
      </c>
      <c r="C649" s="34" t="inlineStr">
        <is>
          <t>VIDEO DOORPHONE 7" LCD EM-10AHD</t>
        </is>
      </c>
      <c r="D649" s="34" t="inlineStr">
        <is>
          <t>Відеосистеми, та IP камери</t>
        </is>
      </c>
      <c r="E649" s="33" t="inlineStr">
        <is>
          <t>PC</t>
        </is>
      </c>
      <c r="F649" s="94" t="n">
        <v>65.663</v>
      </c>
      <c r="G649" s="35" t="n">
        <v>8517691000</v>
      </c>
      <c r="H649" s="31" t="n">
        <v>1.3</v>
      </c>
      <c r="I649" s="84">
        <f>IFERROR(F649*Settings!$B$2*H649*IF(AND(ISNUMBER(E649),E649&gt;1),E649,1),"")</f>
        <v/>
      </c>
      <c r="J649" s="32">
        <f>Settings!$B$66</f>
        <v/>
      </c>
      <c r="K649" s="95">
        <f>IFERROR(IF(T649="","",(T649*(1-AN649)*(1-Settings!$B$17)-I649)/(T649*(1-AN649)*(1-Settings!$B$17))),"")</f>
        <v/>
      </c>
      <c r="L649" s="101">
        <f>IFERROR(IF(T649="","",(T649*(1-AO649)*(1-Settings!$C$17)-I649)/(T649*(1-AO649)*(1-Settings!$C$17))),"")</f>
        <v/>
      </c>
      <c r="M649" s="101">
        <f>IFERROR(IF(T649="","",(T649*(1-AP649)*(1-Settings!$D$17)-I649)/(T649*(1-AP649)*(1-Settings!$D$17))),"")</f>
        <v/>
      </c>
      <c r="N649" s="101">
        <f>IFERROR(IF(T649="","",(T649*(1-AQ649)*(1-Settings!$F$17)-I649)/(T649*(1-AQ649)*(1-Settings!$F$17))),"")</f>
        <v/>
      </c>
      <c r="O649" s="101">
        <f>IFERROR(IF(T649="","",(T649*(1-AR649)*(1-Settings!$G$17)-I649)/(T649*(1-AR649)*(1-Settings!$G$17))),"")</f>
        <v/>
      </c>
      <c r="P649" s="101">
        <f>IFERROR(IF(T649="","",(T649*(1-AS649)*(1-Settings!$H$17)-I649)/(T649*(1-AS649)*(1-Settings!$H$17))),"")</f>
        <v/>
      </c>
      <c r="Q649" s="101">
        <f>IFERROR(IF(T649="","",(T649*(1-AT649)*(1-Settings!$I$68)*(1-Settings!$I$17)-I649)/(T649*(1-AT649)*(1-Settings!$I$68)*(1-Settings!$I$17))),"")</f>
        <v/>
      </c>
      <c r="R649" s="91">
        <f>IFERROR(IF(OR(I649="",Z649&gt;=1,Settings!$B$17&gt;=1,AN649&gt;=1),"",IF(MOD(ROUND(I649/(1-Z649)/(1-Settings!$B$17)/(1-AN649),0),10)=0,ROUND(I649/(1-Z649)/(1-Settings!$B$17)/(1-AN649),0)-1,IF(MOD(ROUND(I649/(1-Z649)/(1-Settings!$B$17)/(1-AN649),0),10)&lt;=5,FLOOR(ROUND(I649/(1-Z649)/(1-Settings!$B$17)/(1-AN649),0),10)+6,FLOOR(ROUND(I649/(1-Z649)/(1-Settings!$B$17)/(1-AN649),0),10)+9))),"")</f>
        <v/>
      </c>
      <c r="S649" s="174" t="n"/>
      <c r="T649" s="91">
        <f>IF(S649&lt;&gt;"", IF(MOD(S649,10)=0,S649-1,IF(MOD(S649,10)&lt;=5,FLOOR(S649,10)+6,FLOOR(S649,10)+9)), R649)</f>
        <v/>
      </c>
      <c r="U649" s="87" t="inlineStr">
        <is>
          <t>Трафіковий</t>
        </is>
      </c>
      <c r="V649" s="88" t="n"/>
      <c r="W649" s="88" t="n"/>
      <c r="X649" s="89">
        <f>IFERROR(IF(OR(V649="",W649="",T649=""),"", IF(T649&gt;W649,"Дорогий",IF(T649&lt;V649,"Дешевий","У ринку"))),"")</f>
        <v/>
      </c>
      <c r="Y649" s="90" t="n"/>
      <c r="Z649" s="104">
        <f>CHOOSE(MATCH(IF($U649="","Основний",$U649),{"Трафіковий","Основний","Маржинальний","Сезонний","Стратегічний"},0),0.16,0.19,0.24,0.23,0.28)</f>
        <v/>
      </c>
      <c r="AA649" s="104">
        <f>CHOOSE(MATCH(IF($U649="","Основний",$U649),{"Трафіковий","Основний","Маржинальний","Сезонний","Стратегічний"},0),0.18,0.21,0.26,0.25,0.3)</f>
        <v/>
      </c>
      <c r="AB649" s="104">
        <f>CHOOSE(MATCH(IF($U649="","Основний",$U649),{"Трафіковий","Основний","Маржинальний","Сезонний","Стратегічний"},0),0.19,0.22,0.28,0.26,0.32)</f>
        <v/>
      </c>
      <c r="AC649" s="104">
        <f>CHOOSE(MATCH(IF($U649="","Основний",$U649),{"Трафіковий","Основний","Маржинальний","Сезонний","Стратегічний"},0),0.17,0.2,0.25,0.24,0.28)</f>
        <v/>
      </c>
      <c r="AD649" s="104">
        <f>CHOOSE(MATCH(IF($U649="","Основний",$U649),{"Трафіковий","Основний","Маржинальний","Сезонний","Стратегічний"},0),0.18,0.21,0.26,0.25,0.3)</f>
        <v/>
      </c>
      <c r="AE649" s="104">
        <f>CHOOSE(MATCH(IF($U649="","Основний",$U649),{"Трафіковий","Основний","Маржинальний","Сезонний","Стратегічний"},0),0.18,0.2,0.28,0.27,0.32)</f>
        <v/>
      </c>
      <c r="AF649" s="104">
        <f>CHOOSE(MATCH(IF($U649="","Основний",$U649),{"Трафіковий","Основний","Маржинальний","Сезонний","Стратегічний"},0),0.15,0.175,0.22,0.21,0.25)</f>
        <v/>
      </c>
      <c r="AG649" s="104">
        <f>CHOOSE(MATCH(IF($U649="","Основний",$U649),{"Трафіковий","Основний","Маржинальний","Сезонний","Стратегічний"},0),0.13,0.16,0.21,0.2,0.25)</f>
        <v/>
      </c>
      <c r="AH649" s="104">
        <f>CHOOSE(MATCH(IF($U649="","Основний",$U649),{"Трафіковий","Основний","Маржинальний","Сезонний","Стратегічний"},0),0.15,0.18,0.23,0.22,0.27)</f>
        <v/>
      </c>
      <c r="AI649" s="104">
        <f>CHOOSE(MATCH(IF($U649="","Основний",$U649),{"Трафіковий","Основний","Маржинальний","Сезонний","Стратегічний"},0),0.16,0.19,0.25,0.23,0.29)</f>
        <v/>
      </c>
      <c r="AJ649" s="104">
        <f>CHOOSE(MATCH(IF($U649="","Основний",$U649),{"Трафіковий","Основний","Маржинальний","Сезонний","Стратегічний"},0),0.14,0.17,0.22,0.21,0.25)</f>
        <v/>
      </c>
      <c r="AK649" s="104">
        <f>CHOOSE(MATCH(IF($U649="","Основний",$U649),{"Трафіковий","Основний","Маржинальний","Сезонний","Стратегічний"},0),0.15,0.18,0.23,0.22,0.27)</f>
        <v/>
      </c>
      <c r="AL649" s="104">
        <f>CHOOSE(MATCH(IF($U649="","Основний",$U649),{"Трафіковий","Основний","Маржинальний","Сезонний","Стратегічний"},0),0.15,0.17,0.25,0.24,0.29)</f>
        <v/>
      </c>
      <c r="AM649" s="104">
        <f>CHOOSE(MATCH(IF($U649="","Основний",$U649),{"Трафіковий","Основний","Маржинальний","Сезонний","Стратегічний"},0),0.12,0.145,0.19,0.18,0.22)</f>
        <v/>
      </c>
      <c r="AN649" s="157">
        <f>CHOOSE(MATCH(IF($U649="","Основний",$U649),{"Трафіковий","Основний","Маржинальний","Сезонний","Стратегічний"},0),Settings!$B$78,Settings!$B$80,Settings!$B$82,Settings!$B$84,Settings!$B$86)</f>
        <v/>
      </c>
      <c r="AO649" s="157">
        <f>CHOOSE(MATCH(IF($U649="","Основний",$U649),{"Трафіковий","Основний","Маржинальний","Сезонний","Стратегічний"},0),Settings!$C$78,Settings!$C$80,Settings!$C$82,Settings!$C$84,Settings!$C$86)</f>
        <v/>
      </c>
      <c r="AP649" s="157">
        <f>CHOOSE(MATCH(IF($U649="","Основний",$U649),{"Трафіковий","Основний","Маржинальний","Сезонний","Стратегічний"},0),Settings!$D$78,Settings!$D$80,Settings!$D$82,Settings!$D$84,Settings!$D$86)</f>
        <v/>
      </c>
      <c r="AQ649" s="157">
        <f>CHOOSE(MATCH(IF($U649="","Основний",$U649),{"Трафіковий","Основний","Маржинальний","Сезонний","Стратегічний"},0),Settings!$F$78,Settings!$F$80,Settings!$F$82,Settings!$F$84,Settings!$F$86)</f>
        <v/>
      </c>
      <c r="AR649" s="157">
        <f>CHOOSE(MATCH(IF($U649="","Основний",$U649),{"Трафіковий","Основний","Маржинальний","Сезонний","Стратегічний"},0),Settings!$G$78,Settings!$G$80,Settings!$G$82,Settings!$G$84,Settings!$G$86)</f>
        <v/>
      </c>
      <c r="AS649" s="157">
        <f>CHOOSE(MATCH(IF($U649="","Основний",$U649),{"Трафіковий","Основний","Маржинальний","Сезонний","Стратегічний"},0),Settings!$H$78,Settings!$H$80,Settings!$H$82,Settings!$H$84,Settings!$H$86)</f>
        <v/>
      </c>
      <c r="AT649" s="157">
        <f>CHOOSE(MATCH(IF($U649="","Основний",$U649),{"Трафіковий","Основний","Маржинальний","Сезонний","Стратегічний"},0),Settings!$I$78,Settings!$I$80,Settings!$I$82,Settings!$I$84,Settings!$I$86)</f>
        <v/>
      </c>
      <c r="AU649" s="171" t="n"/>
      <c r="AV649" t="n">
        <v>1.35</v>
      </c>
    </row>
    <row r="650">
      <c r="A650" s="28" t="n"/>
      <c r="B650" s="29" t="inlineStr">
        <is>
          <t>H3016</t>
        </is>
      </c>
      <c r="C650" s="29" t="inlineStr">
        <is>
          <t>DOOR CAMERA UNIT EM-10AHD RF-1</t>
        </is>
      </c>
      <c r="D650" s="29" t="inlineStr">
        <is>
          <t>Відеосистеми, та IP камери</t>
        </is>
      </c>
      <c r="E650" s="28" t="inlineStr">
        <is>
          <t>PC</t>
        </is>
      </c>
      <c r="F650" s="93" t="n">
        <v>38.625</v>
      </c>
      <c r="G650" s="30" t="n">
        <v>8517790000</v>
      </c>
      <c r="H650" s="31" t="n">
        <v>1.3</v>
      </c>
      <c r="I650" s="84">
        <f>IFERROR(F650*Settings!$B$2*H650*IF(AND(ISNUMBER(E650),E650&gt;1),E650,1),"")</f>
        <v/>
      </c>
      <c r="J650" s="32">
        <f>Settings!$B$66</f>
        <v/>
      </c>
      <c r="K650" s="95">
        <f>IFERROR(IF(T650="","",(T650*(1-AN650)*(1-Settings!$B$17)-I650)/(T650*(1-AN650)*(1-Settings!$B$17))),"")</f>
        <v/>
      </c>
      <c r="L650" s="101">
        <f>IFERROR(IF(T650="","",(T650*(1-AO650)*(1-Settings!$C$17)-I650)/(T650*(1-AO650)*(1-Settings!$C$17))),"")</f>
        <v/>
      </c>
      <c r="M650" s="101">
        <f>IFERROR(IF(T650="","",(T650*(1-AP650)*(1-Settings!$D$17)-I650)/(T650*(1-AP650)*(1-Settings!$D$17))),"")</f>
        <v/>
      </c>
      <c r="N650" s="101">
        <f>IFERROR(IF(T650="","",(T650*(1-AQ650)*(1-Settings!$F$17)-I650)/(T650*(1-AQ650)*(1-Settings!$F$17))),"")</f>
        <v/>
      </c>
      <c r="O650" s="101">
        <f>IFERROR(IF(T650="","",(T650*(1-AR650)*(1-Settings!$G$17)-I650)/(T650*(1-AR650)*(1-Settings!$G$17))),"")</f>
        <v/>
      </c>
      <c r="P650" s="101">
        <f>IFERROR(IF(T650="","",(T650*(1-AS650)*(1-Settings!$H$17)-I650)/(T650*(1-AS650)*(1-Settings!$H$17))),"")</f>
        <v/>
      </c>
      <c r="Q650" s="101">
        <f>IFERROR(IF(T650="","",(T650*(1-AT650)*(1-Settings!$I$68)*(1-Settings!$I$17)-I650)/(T650*(1-AT650)*(1-Settings!$I$68)*(1-Settings!$I$17))),"")</f>
        <v/>
      </c>
      <c r="R650" s="91">
        <f>IFERROR(IF(OR(I650="",Z650&gt;=1,Settings!$B$17&gt;=1,AN650&gt;=1),"",IF(MOD(ROUND(I650/(1-Z650)/(1-Settings!$B$17)/(1-AN650),0),10)=0,ROUND(I650/(1-Z650)/(1-Settings!$B$17)/(1-AN650),0)-1,IF(MOD(ROUND(I650/(1-Z650)/(1-Settings!$B$17)/(1-AN650),0),10)&lt;=5,FLOOR(ROUND(I650/(1-Z650)/(1-Settings!$B$17)/(1-AN650),0),10)+6,FLOOR(ROUND(I650/(1-Z650)/(1-Settings!$B$17)/(1-AN650),0),10)+9))),"")</f>
        <v/>
      </c>
      <c r="S650" s="174" t="n"/>
      <c r="T650" s="91">
        <f>IF(S650&lt;&gt;"", IF(MOD(S650,10)=0,S650-1,IF(MOD(S650,10)&lt;=5,FLOOR(S650,10)+6,FLOOR(S650,10)+9)), R650)</f>
        <v/>
      </c>
      <c r="U650" s="87" t="inlineStr">
        <is>
          <t>Трафіковий</t>
        </is>
      </c>
      <c r="V650" s="88" t="n"/>
      <c r="W650" s="88" t="n"/>
      <c r="X650" s="89">
        <f>IFERROR(IF(OR(V650="",W650="",T650=""),"", IF(T650&gt;W650,"Дорогий",IF(T650&lt;V650,"Дешевий","У ринку"))),"")</f>
        <v/>
      </c>
      <c r="Y650" s="90" t="n"/>
      <c r="Z650" s="104">
        <f>CHOOSE(MATCH(IF($U650="","Основний",$U650),{"Трафіковий","Основний","Маржинальний","Сезонний","Стратегічний"},0),0.16,0.19,0.24,0.23,0.28)</f>
        <v/>
      </c>
      <c r="AA650" s="104">
        <f>CHOOSE(MATCH(IF($U650="","Основний",$U650),{"Трафіковий","Основний","Маржинальний","Сезонний","Стратегічний"},0),0.18,0.21,0.26,0.25,0.3)</f>
        <v/>
      </c>
      <c r="AB650" s="104">
        <f>CHOOSE(MATCH(IF($U650="","Основний",$U650),{"Трафіковий","Основний","Маржинальний","Сезонний","Стратегічний"},0),0.19,0.22,0.28,0.26,0.32)</f>
        <v/>
      </c>
      <c r="AC650" s="104">
        <f>CHOOSE(MATCH(IF($U650="","Основний",$U650),{"Трафіковий","Основний","Маржинальний","Сезонний","Стратегічний"},0),0.17,0.2,0.25,0.24,0.28)</f>
        <v/>
      </c>
      <c r="AD650" s="104">
        <f>CHOOSE(MATCH(IF($U650="","Основний",$U650),{"Трафіковий","Основний","Маржинальний","Сезонний","Стратегічний"},0),0.18,0.21,0.26,0.25,0.3)</f>
        <v/>
      </c>
      <c r="AE650" s="104">
        <f>CHOOSE(MATCH(IF($U650="","Основний",$U650),{"Трафіковий","Основний","Маржинальний","Сезонний","Стратегічний"},0),0.18,0.2,0.28,0.27,0.32)</f>
        <v/>
      </c>
      <c r="AF650" s="104">
        <f>CHOOSE(MATCH(IF($U650="","Основний",$U650),{"Трафіковий","Основний","Маржинальний","Сезонний","Стратегічний"},0),0.15,0.175,0.22,0.21,0.25)</f>
        <v/>
      </c>
      <c r="AG650" s="104">
        <f>CHOOSE(MATCH(IF($U650="","Основний",$U650),{"Трафіковий","Основний","Маржинальний","Сезонний","Стратегічний"},0),0.13,0.16,0.21,0.2,0.25)</f>
        <v/>
      </c>
      <c r="AH650" s="104">
        <f>CHOOSE(MATCH(IF($U650="","Основний",$U650),{"Трафіковий","Основний","Маржинальний","Сезонний","Стратегічний"},0),0.15,0.18,0.23,0.22,0.27)</f>
        <v/>
      </c>
      <c r="AI650" s="104">
        <f>CHOOSE(MATCH(IF($U650="","Основний",$U650),{"Трафіковий","Основний","Маржинальний","Сезонний","Стратегічний"},0),0.16,0.19,0.25,0.23,0.29)</f>
        <v/>
      </c>
      <c r="AJ650" s="104">
        <f>CHOOSE(MATCH(IF($U650="","Основний",$U650),{"Трафіковий","Основний","Маржинальний","Сезонний","Стратегічний"},0),0.14,0.17,0.22,0.21,0.25)</f>
        <v/>
      </c>
      <c r="AK650" s="104">
        <f>CHOOSE(MATCH(IF($U650="","Основний",$U650),{"Трафіковий","Основний","Маржинальний","Сезонний","Стратегічний"},0),0.15,0.18,0.23,0.22,0.27)</f>
        <v/>
      </c>
      <c r="AL650" s="104">
        <f>CHOOSE(MATCH(IF($U650="","Основний",$U650),{"Трафіковий","Основний","Маржинальний","Сезонний","Стратегічний"},0),0.15,0.17,0.25,0.24,0.29)</f>
        <v/>
      </c>
      <c r="AM650" s="104">
        <f>CHOOSE(MATCH(IF($U650="","Основний",$U650),{"Трафіковий","Основний","Маржинальний","Сезонний","Стратегічний"},0),0.12,0.145,0.19,0.18,0.22)</f>
        <v/>
      </c>
      <c r="AN650" s="157">
        <f>CHOOSE(MATCH(IF($U650="","Основний",$U650),{"Трафіковий","Основний","Маржинальний","Сезонний","Стратегічний"},0),Settings!$B$78,Settings!$B$80,Settings!$B$82,Settings!$B$84,Settings!$B$86)</f>
        <v/>
      </c>
      <c r="AO650" s="157">
        <f>CHOOSE(MATCH(IF($U650="","Основний",$U650),{"Трафіковий","Основний","Маржинальний","Сезонний","Стратегічний"},0),Settings!$C$78,Settings!$C$80,Settings!$C$82,Settings!$C$84,Settings!$C$86)</f>
        <v/>
      </c>
      <c r="AP650" s="157">
        <f>CHOOSE(MATCH(IF($U650="","Основний",$U650),{"Трафіковий","Основний","Маржинальний","Сезонний","Стратегічний"},0),Settings!$D$78,Settings!$D$80,Settings!$D$82,Settings!$D$84,Settings!$D$86)</f>
        <v/>
      </c>
      <c r="AQ650" s="157">
        <f>CHOOSE(MATCH(IF($U650="","Основний",$U650),{"Трафіковий","Основний","Маржинальний","Сезонний","Стратегічний"},0),Settings!$F$78,Settings!$F$80,Settings!$F$82,Settings!$F$84,Settings!$F$86)</f>
        <v/>
      </c>
      <c r="AR650" s="157">
        <f>CHOOSE(MATCH(IF($U650="","Основний",$U650),{"Трафіковий","Основний","Маржинальний","Сезонний","Стратегічний"},0),Settings!$G$78,Settings!$G$80,Settings!$G$82,Settings!$G$84,Settings!$G$86)</f>
        <v/>
      </c>
      <c r="AS650" s="157">
        <f>CHOOSE(MATCH(IF($U650="","Основний",$U650),{"Трафіковий","Основний","Маржинальний","Сезонний","Стратегічний"},0),Settings!$H$78,Settings!$H$80,Settings!$H$82,Settings!$H$84,Settings!$H$86)</f>
        <v/>
      </c>
      <c r="AT650" s="157">
        <f>CHOOSE(MATCH(IF($U650="","Основний",$U650),{"Трафіковий","Основний","Маржинальний","Сезонний","Стратегічний"},0),Settings!$I$78,Settings!$I$80,Settings!$I$82,Settings!$I$84,Settings!$I$86)</f>
        <v/>
      </c>
      <c r="AU650" s="171" t="n"/>
      <c r="AV650" t="n">
        <v>1.35</v>
      </c>
    </row>
    <row r="651">
      <c r="A651" s="33" t="n"/>
      <c r="B651" s="34" t="inlineStr">
        <is>
          <t>H3017</t>
        </is>
      </c>
      <c r="C651" s="34" t="inlineStr">
        <is>
          <t>DOOR CAMERA UNIT EM-10AHD RF-2</t>
        </is>
      </c>
      <c r="D651" s="34" t="inlineStr">
        <is>
          <t>Відеосистеми, та IP камери</t>
        </is>
      </c>
      <c r="E651" s="33" t="inlineStr">
        <is>
          <t>PC</t>
        </is>
      </c>
      <c r="F651" s="94" t="n">
        <v>39.913</v>
      </c>
      <c r="G651" s="35" t="n">
        <v>8517790000</v>
      </c>
      <c r="H651" s="31" t="n">
        <v>1.3</v>
      </c>
      <c r="I651" s="84">
        <f>IFERROR(F651*Settings!$B$2*H651*IF(AND(ISNUMBER(E651),E651&gt;1),E651,1),"")</f>
        <v/>
      </c>
      <c r="J651" s="32">
        <f>Settings!$B$66</f>
        <v/>
      </c>
      <c r="K651" s="95">
        <f>IFERROR(IF(T651="","",(T651*(1-AN651)*(1-Settings!$B$17)-I651)/(T651*(1-AN651)*(1-Settings!$B$17))),"")</f>
        <v/>
      </c>
      <c r="L651" s="101">
        <f>IFERROR(IF(T651="","",(T651*(1-AO651)*(1-Settings!$C$17)-I651)/(T651*(1-AO651)*(1-Settings!$C$17))),"")</f>
        <v/>
      </c>
      <c r="M651" s="101">
        <f>IFERROR(IF(T651="","",(T651*(1-AP651)*(1-Settings!$D$17)-I651)/(T651*(1-AP651)*(1-Settings!$D$17))),"")</f>
        <v/>
      </c>
      <c r="N651" s="101">
        <f>IFERROR(IF(T651="","",(T651*(1-AQ651)*(1-Settings!$F$17)-I651)/(T651*(1-AQ651)*(1-Settings!$F$17))),"")</f>
        <v/>
      </c>
      <c r="O651" s="101">
        <f>IFERROR(IF(T651="","",(T651*(1-AR651)*(1-Settings!$G$17)-I651)/(T651*(1-AR651)*(1-Settings!$G$17))),"")</f>
        <v/>
      </c>
      <c r="P651" s="101">
        <f>IFERROR(IF(T651="","",(T651*(1-AS651)*(1-Settings!$H$17)-I651)/(T651*(1-AS651)*(1-Settings!$H$17))),"")</f>
        <v/>
      </c>
      <c r="Q651" s="101">
        <f>IFERROR(IF(T651="","",(T651*(1-AT651)*(1-Settings!$I$68)*(1-Settings!$I$17)-I651)/(T651*(1-AT651)*(1-Settings!$I$68)*(1-Settings!$I$17))),"")</f>
        <v/>
      </c>
      <c r="R651" s="91">
        <f>IFERROR(IF(OR(I651="",Z651&gt;=1,Settings!$B$17&gt;=1,AN651&gt;=1),"",IF(MOD(ROUND(I651/(1-Z651)/(1-Settings!$B$17)/(1-AN651),0),10)=0,ROUND(I651/(1-Z651)/(1-Settings!$B$17)/(1-AN651),0)-1,IF(MOD(ROUND(I651/(1-Z651)/(1-Settings!$B$17)/(1-AN651),0),10)&lt;=5,FLOOR(ROUND(I651/(1-Z651)/(1-Settings!$B$17)/(1-AN651),0),10)+6,FLOOR(ROUND(I651/(1-Z651)/(1-Settings!$B$17)/(1-AN651),0),10)+9))),"")</f>
        <v/>
      </c>
      <c r="S651" s="174" t="n"/>
      <c r="T651" s="91">
        <f>IF(S651&lt;&gt;"", IF(MOD(S651,10)=0,S651-1,IF(MOD(S651,10)&lt;=5,FLOOR(S651,10)+6,FLOOR(S651,10)+9)), R651)</f>
        <v/>
      </c>
      <c r="U651" s="87" t="inlineStr">
        <is>
          <t>Трафіковий</t>
        </is>
      </c>
      <c r="V651" s="88" t="n"/>
      <c r="W651" s="88" t="n"/>
      <c r="X651" s="89">
        <f>IFERROR(IF(OR(V651="",W651="",T651=""),"", IF(T651&gt;W651,"Дорогий",IF(T651&lt;V651,"Дешевий","У ринку"))),"")</f>
        <v/>
      </c>
      <c r="Y651" s="90" t="n"/>
      <c r="Z651" s="104">
        <f>CHOOSE(MATCH(IF($U651="","Основний",$U651),{"Трафіковий","Основний","Маржинальний","Сезонний","Стратегічний"},0),0.16,0.19,0.24,0.23,0.28)</f>
        <v/>
      </c>
      <c r="AA651" s="104">
        <f>CHOOSE(MATCH(IF($U651="","Основний",$U651),{"Трафіковий","Основний","Маржинальний","Сезонний","Стратегічний"},0),0.18,0.21,0.26,0.25,0.3)</f>
        <v/>
      </c>
      <c r="AB651" s="104">
        <f>CHOOSE(MATCH(IF($U651="","Основний",$U651),{"Трафіковий","Основний","Маржинальний","Сезонний","Стратегічний"},0),0.19,0.22,0.28,0.26,0.32)</f>
        <v/>
      </c>
      <c r="AC651" s="104">
        <f>CHOOSE(MATCH(IF($U651="","Основний",$U651),{"Трафіковий","Основний","Маржинальний","Сезонний","Стратегічний"},0),0.17,0.2,0.25,0.24,0.28)</f>
        <v/>
      </c>
      <c r="AD651" s="104">
        <f>CHOOSE(MATCH(IF($U651="","Основний",$U651),{"Трафіковий","Основний","Маржинальний","Сезонний","Стратегічний"},0),0.18,0.21,0.26,0.25,0.3)</f>
        <v/>
      </c>
      <c r="AE651" s="104">
        <f>CHOOSE(MATCH(IF($U651="","Основний",$U651),{"Трафіковий","Основний","Маржинальний","Сезонний","Стратегічний"},0),0.18,0.2,0.28,0.27,0.32)</f>
        <v/>
      </c>
      <c r="AF651" s="104">
        <f>CHOOSE(MATCH(IF($U651="","Основний",$U651),{"Трафіковий","Основний","Маржинальний","Сезонний","Стратегічний"},0),0.15,0.175,0.22,0.21,0.25)</f>
        <v/>
      </c>
      <c r="AG651" s="104">
        <f>CHOOSE(MATCH(IF($U651="","Основний",$U651),{"Трафіковий","Основний","Маржинальний","Сезонний","Стратегічний"},0),0.13,0.16,0.21,0.2,0.25)</f>
        <v/>
      </c>
      <c r="AH651" s="104">
        <f>CHOOSE(MATCH(IF($U651="","Основний",$U651),{"Трафіковий","Основний","Маржинальний","Сезонний","Стратегічний"},0),0.15,0.18,0.23,0.22,0.27)</f>
        <v/>
      </c>
      <c r="AI651" s="104">
        <f>CHOOSE(MATCH(IF($U651="","Основний",$U651),{"Трафіковий","Основний","Маржинальний","Сезонний","Стратегічний"},0),0.16,0.19,0.25,0.23,0.29)</f>
        <v/>
      </c>
      <c r="AJ651" s="104">
        <f>CHOOSE(MATCH(IF($U651="","Основний",$U651),{"Трафіковий","Основний","Маржинальний","Сезонний","Стратегічний"},0),0.14,0.17,0.22,0.21,0.25)</f>
        <v/>
      </c>
      <c r="AK651" s="104">
        <f>CHOOSE(MATCH(IF($U651="","Основний",$U651),{"Трафіковий","Основний","Маржинальний","Сезонний","Стратегічний"},0),0.15,0.18,0.23,0.22,0.27)</f>
        <v/>
      </c>
      <c r="AL651" s="104">
        <f>CHOOSE(MATCH(IF($U651="","Основний",$U651),{"Трафіковий","Основний","Маржинальний","Сезонний","Стратегічний"},0),0.15,0.17,0.25,0.24,0.29)</f>
        <v/>
      </c>
      <c r="AM651" s="104">
        <f>CHOOSE(MATCH(IF($U651="","Основний",$U651),{"Трафіковий","Основний","Маржинальний","Сезонний","Стратегічний"},0),0.12,0.145,0.19,0.18,0.22)</f>
        <v/>
      </c>
      <c r="AN651" s="157">
        <f>CHOOSE(MATCH(IF($U651="","Основний",$U651),{"Трафіковий","Основний","Маржинальний","Сезонний","Стратегічний"},0),Settings!$B$78,Settings!$B$80,Settings!$B$82,Settings!$B$84,Settings!$B$86)</f>
        <v/>
      </c>
      <c r="AO651" s="157">
        <f>CHOOSE(MATCH(IF($U651="","Основний",$U651),{"Трафіковий","Основний","Маржинальний","Сезонний","Стратегічний"},0),Settings!$C$78,Settings!$C$80,Settings!$C$82,Settings!$C$84,Settings!$C$86)</f>
        <v/>
      </c>
      <c r="AP651" s="157">
        <f>CHOOSE(MATCH(IF($U651="","Основний",$U651),{"Трафіковий","Основний","Маржинальний","Сезонний","Стратегічний"},0),Settings!$D$78,Settings!$D$80,Settings!$D$82,Settings!$D$84,Settings!$D$86)</f>
        <v/>
      </c>
      <c r="AQ651" s="157">
        <f>CHOOSE(MATCH(IF($U651="","Основний",$U651),{"Трафіковий","Основний","Маржинальний","Сезонний","Стратегічний"},0),Settings!$F$78,Settings!$F$80,Settings!$F$82,Settings!$F$84,Settings!$F$86)</f>
        <v/>
      </c>
      <c r="AR651" s="157">
        <f>CHOOSE(MATCH(IF($U651="","Основний",$U651),{"Трафіковий","Основний","Маржинальний","Сезонний","Стратегічний"},0),Settings!$G$78,Settings!$G$80,Settings!$G$82,Settings!$G$84,Settings!$G$86)</f>
        <v/>
      </c>
      <c r="AS651" s="157">
        <f>CHOOSE(MATCH(IF($U651="","Основний",$U651),{"Трафіковий","Основний","Маржинальний","Сезонний","Стратегічний"},0),Settings!$H$78,Settings!$H$80,Settings!$H$82,Settings!$H$84,Settings!$H$86)</f>
        <v/>
      </c>
      <c r="AT651" s="157">
        <f>CHOOSE(MATCH(IF($U651="","Основний",$U651),{"Трафіковий","Основний","Маржинальний","Сезонний","Стратегічний"},0),Settings!$I$78,Settings!$I$80,Settings!$I$82,Settings!$I$84,Settings!$I$86)</f>
        <v/>
      </c>
      <c r="AU651" s="171" t="n"/>
      <c r="AV651" t="n">
        <v>1.35</v>
      </c>
    </row>
    <row r="652">
      <c r="A652" s="28" t="n"/>
      <c r="B652" s="29" t="inlineStr">
        <is>
          <t>H3018</t>
        </is>
      </c>
      <c r="C652" s="29" t="inlineStr">
        <is>
          <t>DOOR CAMERA UNIT EM-10AHD RF-4</t>
        </is>
      </c>
      <c r="D652" s="29" t="inlineStr">
        <is>
          <t>Відеосистеми, та IP камери</t>
        </is>
      </c>
      <c r="E652" s="28" t="inlineStr">
        <is>
          <t>PC</t>
        </is>
      </c>
      <c r="F652" s="93" t="n">
        <v>46.61</v>
      </c>
      <c r="G652" s="30" t="n">
        <v>8517790000</v>
      </c>
      <c r="H652" s="31" t="n">
        <v>1.3</v>
      </c>
      <c r="I652" s="84">
        <f>IFERROR(F652*Settings!$B$2*H652*IF(AND(ISNUMBER(E652),E652&gt;1),E652,1),"")</f>
        <v/>
      </c>
      <c r="J652" s="32">
        <f>Settings!$B$66</f>
        <v/>
      </c>
      <c r="K652" s="95">
        <f>IFERROR(IF(T652="","",(T652*(1-AN652)*(1-Settings!$B$17)-I652)/(T652*(1-AN652)*(1-Settings!$B$17))),"")</f>
        <v/>
      </c>
      <c r="L652" s="101">
        <f>IFERROR(IF(T652="","",(T652*(1-AO652)*(1-Settings!$C$17)-I652)/(T652*(1-AO652)*(1-Settings!$C$17))),"")</f>
        <v/>
      </c>
      <c r="M652" s="101">
        <f>IFERROR(IF(T652="","",(T652*(1-AP652)*(1-Settings!$D$17)-I652)/(T652*(1-AP652)*(1-Settings!$D$17))),"")</f>
        <v/>
      </c>
      <c r="N652" s="101">
        <f>IFERROR(IF(T652="","",(T652*(1-AQ652)*(1-Settings!$F$17)-I652)/(T652*(1-AQ652)*(1-Settings!$F$17))),"")</f>
        <v/>
      </c>
      <c r="O652" s="101">
        <f>IFERROR(IF(T652="","",(T652*(1-AR652)*(1-Settings!$G$17)-I652)/(T652*(1-AR652)*(1-Settings!$G$17))),"")</f>
        <v/>
      </c>
      <c r="P652" s="101">
        <f>IFERROR(IF(T652="","",(T652*(1-AS652)*(1-Settings!$H$17)-I652)/(T652*(1-AS652)*(1-Settings!$H$17))),"")</f>
        <v/>
      </c>
      <c r="Q652" s="101">
        <f>IFERROR(IF(T652="","",(T652*(1-AT652)*(1-Settings!$I$68)*(1-Settings!$I$17)-I652)/(T652*(1-AT652)*(1-Settings!$I$68)*(1-Settings!$I$17))),"")</f>
        <v/>
      </c>
      <c r="R652" s="91">
        <f>IFERROR(IF(OR(I652="",Z652&gt;=1,Settings!$B$17&gt;=1,AN652&gt;=1),"",IF(MOD(ROUND(I652/(1-Z652)/(1-Settings!$B$17)/(1-AN652),0),10)=0,ROUND(I652/(1-Z652)/(1-Settings!$B$17)/(1-AN652),0)-1,IF(MOD(ROUND(I652/(1-Z652)/(1-Settings!$B$17)/(1-AN652),0),10)&lt;=5,FLOOR(ROUND(I652/(1-Z652)/(1-Settings!$B$17)/(1-AN652),0),10)+6,FLOOR(ROUND(I652/(1-Z652)/(1-Settings!$B$17)/(1-AN652),0),10)+9))),"")</f>
        <v/>
      </c>
      <c r="S652" s="174" t="n"/>
      <c r="T652" s="91">
        <f>IF(S652&lt;&gt;"", IF(MOD(S652,10)=0,S652-1,IF(MOD(S652,10)&lt;=5,FLOOR(S652,10)+6,FLOOR(S652,10)+9)), R652)</f>
        <v/>
      </c>
      <c r="U652" s="87" t="inlineStr">
        <is>
          <t>Трафіковий</t>
        </is>
      </c>
      <c r="V652" s="88" t="n"/>
      <c r="W652" s="88" t="n"/>
      <c r="X652" s="89">
        <f>IFERROR(IF(OR(V652="",W652="",T652=""),"", IF(T652&gt;W652,"Дорогий",IF(T652&lt;V652,"Дешевий","У ринку"))),"")</f>
        <v/>
      </c>
      <c r="Y652" s="90" t="n"/>
      <c r="Z652" s="104">
        <f>CHOOSE(MATCH(IF($U652="","Основний",$U652),{"Трафіковий","Основний","Маржинальний","Сезонний","Стратегічний"},0),0.16,0.19,0.24,0.23,0.28)</f>
        <v/>
      </c>
      <c r="AA652" s="104">
        <f>CHOOSE(MATCH(IF($U652="","Основний",$U652),{"Трафіковий","Основний","Маржинальний","Сезонний","Стратегічний"},0),0.18,0.21,0.26,0.25,0.3)</f>
        <v/>
      </c>
      <c r="AB652" s="104">
        <f>CHOOSE(MATCH(IF($U652="","Основний",$U652),{"Трафіковий","Основний","Маржинальний","Сезонний","Стратегічний"},0),0.19,0.22,0.28,0.26,0.32)</f>
        <v/>
      </c>
      <c r="AC652" s="104">
        <f>CHOOSE(MATCH(IF($U652="","Основний",$U652),{"Трафіковий","Основний","Маржинальний","Сезонний","Стратегічний"},0),0.17,0.2,0.25,0.24,0.28)</f>
        <v/>
      </c>
      <c r="AD652" s="104">
        <f>CHOOSE(MATCH(IF($U652="","Основний",$U652),{"Трафіковий","Основний","Маржинальний","Сезонний","Стратегічний"},0),0.18,0.21,0.26,0.25,0.3)</f>
        <v/>
      </c>
      <c r="AE652" s="104">
        <f>CHOOSE(MATCH(IF($U652="","Основний",$U652),{"Трафіковий","Основний","Маржинальний","Сезонний","Стратегічний"},0),0.18,0.2,0.28,0.27,0.32)</f>
        <v/>
      </c>
      <c r="AF652" s="104">
        <f>CHOOSE(MATCH(IF($U652="","Основний",$U652),{"Трафіковий","Основний","Маржинальний","Сезонний","Стратегічний"},0),0.15,0.175,0.22,0.21,0.25)</f>
        <v/>
      </c>
      <c r="AG652" s="104">
        <f>CHOOSE(MATCH(IF($U652="","Основний",$U652),{"Трафіковий","Основний","Маржинальний","Сезонний","Стратегічний"},0),0.13,0.16,0.21,0.2,0.25)</f>
        <v/>
      </c>
      <c r="AH652" s="104">
        <f>CHOOSE(MATCH(IF($U652="","Основний",$U652),{"Трафіковий","Основний","Маржинальний","Сезонний","Стратегічний"},0),0.15,0.18,0.23,0.22,0.27)</f>
        <v/>
      </c>
      <c r="AI652" s="104">
        <f>CHOOSE(MATCH(IF($U652="","Основний",$U652),{"Трафіковий","Основний","Маржинальний","Сезонний","Стратегічний"},0),0.16,0.19,0.25,0.23,0.29)</f>
        <v/>
      </c>
      <c r="AJ652" s="104">
        <f>CHOOSE(MATCH(IF($U652="","Основний",$U652),{"Трафіковий","Основний","Маржинальний","Сезонний","Стратегічний"},0),0.14,0.17,0.22,0.21,0.25)</f>
        <v/>
      </c>
      <c r="AK652" s="104">
        <f>CHOOSE(MATCH(IF($U652="","Основний",$U652),{"Трафіковий","Основний","Маржинальний","Сезонний","Стратегічний"},0),0.15,0.18,0.23,0.22,0.27)</f>
        <v/>
      </c>
      <c r="AL652" s="104">
        <f>CHOOSE(MATCH(IF($U652="","Основний",$U652),{"Трафіковий","Основний","Маржинальний","Сезонний","Стратегічний"},0),0.15,0.17,0.25,0.24,0.29)</f>
        <v/>
      </c>
      <c r="AM652" s="104">
        <f>CHOOSE(MATCH(IF($U652="","Основний",$U652),{"Трафіковий","Основний","Маржинальний","Сезонний","Стратегічний"},0),0.12,0.145,0.19,0.18,0.22)</f>
        <v/>
      </c>
      <c r="AN652" s="157">
        <f>CHOOSE(MATCH(IF($U652="","Основний",$U652),{"Трафіковий","Основний","Маржинальний","Сезонний","Стратегічний"},0),Settings!$B$78,Settings!$B$80,Settings!$B$82,Settings!$B$84,Settings!$B$86)</f>
        <v/>
      </c>
      <c r="AO652" s="157">
        <f>CHOOSE(MATCH(IF($U652="","Основний",$U652),{"Трафіковий","Основний","Маржинальний","Сезонний","Стратегічний"},0),Settings!$C$78,Settings!$C$80,Settings!$C$82,Settings!$C$84,Settings!$C$86)</f>
        <v/>
      </c>
      <c r="AP652" s="157">
        <f>CHOOSE(MATCH(IF($U652="","Основний",$U652),{"Трафіковий","Основний","Маржинальний","Сезонний","Стратегічний"},0),Settings!$D$78,Settings!$D$80,Settings!$D$82,Settings!$D$84,Settings!$D$86)</f>
        <v/>
      </c>
      <c r="AQ652" s="157">
        <f>CHOOSE(MATCH(IF($U652="","Основний",$U652),{"Трафіковий","Основний","Маржинальний","Сезонний","Стратегічний"},0),Settings!$F$78,Settings!$F$80,Settings!$F$82,Settings!$F$84,Settings!$F$86)</f>
        <v/>
      </c>
      <c r="AR652" s="157">
        <f>CHOOSE(MATCH(IF($U652="","Основний",$U652),{"Трафіковий","Основний","Маржинальний","Сезонний","Стратегічний"},0),Settings!$G$78,Settings!$G$80,Settings!$G$82,Settings!$G$84,Settings!$G$86)</f>
        <v/>
      </c>
      <c r="AS652" s="157">
        <f>CHOOSE(MATCH(IF($U652="","Основний",$U652),{"Трафіковий","Основний","Маржинальний","Сезонний","Стратегічний"},0),Settings!$H$78,Settings!$H$80,Settings!$H$82,Settings!$H$84,Settings!$H$86)</f>
        <v/>
      </c>
      <c r="AT652" s="157">
        <f>CHOOSE(MATCH(IF($U652="","Основний",$U652),{"Трафіковий","Основний","Маржинальний","Сезонний","Стратегічний"},0),Settings!$I$78,Settings!$I$80,Settings!$I$82,Settings!$I$84,Settings!$I$86)</f>
        <v/>
      </c>
      <c r="AU652" s="171" t="n"/>
      <c r="AV652" t="n">
        <v>1.35</v>
      </c>
    </row>
    <row r="653">
      <c r="A653" s="33" t="inlineStr">
        <is>
          <t>NEW</t>
        </is>
      </c>
      <c r="B653" s="34" t="inlineStr">
        <is>
          <t>H4020</t>
        </is>
      </c>
      <c r="C653" s="34" t="inlineStr">
        <is>
          <t>GOSMART VIDEODOORPHONE 7" IP-750A SET</t>
        </is>
      </c>
      <c r="D653" s="34" t="inlineStr">
        <is>
          <t>Відеосистеми, та IP камери</t>
        </is>
      </c>
      <c r="E653" s="33" t="inlineStr">
        <is>
          <t>PC</t>
        </is>
      </c>
      <c r="F653" s="94" t="n">
        <v>139.05</v>
      </c>
      <c r="G653" s="35" t="n">
        <v>8517691000</v>
      </c>
      <c r="H653" s="31" t="n">
        <v>1.3</v>
      </c>
      <c r="I653" s="84">
        <f>IFERROR(F653*Settings!$B$2*H653*IF(AND(ISNUMBER(E653),E653&gt;1),E653,1),"")</f>
        <v/>
      </c>
      <c r="J653" s="32">
        <f>Settings!$B$66</f>
        <v/>
      </c>
      <c r="K653" s="95">
        <f>IFERROR(IF(T653="","",(T653*(1-AN653)*(1-Settings!$B$17)-I653)/(T653*(1-AN653)*(1-Settings!$B$17))),"")</f>
        <v/>
      </c>
      <c r="L653" s="101">
        <f>IFERROR(IF(T653="","",(T653*(1-AO653)*(1-Settings!$C$17)-I653)/(T653*(1-AO653)*(1-Settings!$C$17))),"")</f>
        <v/>
      </c>
      <c r="M653" s="101">
        <f>IFERROR(IF(T653="","",(T653*(1-AP653)*(1-Settings!$D$17)-I653)/(T653*(1-AP653)*(1-Settings!$D$17))),"")</f>
        <v/>
      </c>
      <c r="N653" s="101">
        <f>IFERROR(IF(T653="","",(T653*(1-AQ653)*(1-Settings!$F$17)-I653)/(T653*(1-AQ653)*(1-Settings!$F$17))),"")</f>
        <v/>
      </c>
      <c r="O653" s="101">
        <f>IFERROR(IF(T653="","",(T653*(1-AR653)*(1-Settings!$G$17)-I653)/(T653*(1-AR653)*(1-Settings!$G$17))),"")</f>
        <v/>
      </c>
      <c r="P653" s="101">
        <f>IFERROR(IF(T653="","",(T653*(1-AS653)*(1-Settings!$H$17)-I653)/(T653*(1-AS653)*(1-Settings!$H$17))),"")</f>
        <v/>
      </c>
      <c r="Q653" s="101">
        <f>IFERROR(IF(T653="","",(T653*(1-AT653)*(1-Settings!$I$68)*(1-Settings!$I$17)-I653)/(T653*(1-AT653)*(1-Settings!$I$68)*(1-Settings!$I$17))),"")</f>
        <v/>
      </c>
      <c r="R653" s="91">
        <f>IFERROR(IF(OR(I653="",Z653&gt;=1,Settings!$B$17&gt;=1,AN653&gt;=1),"",IF(MOD(ROUND(I653/(1-Z653)/(1-Settings!$B$17)/(1-AN653),0),10)=0,ROUND(I653/(1-Z653)/(1-Settings!$B$17)/(1-AN653),0)-1,IF(MOD(ROUND(I653/(1-Z653)/(1-Settings!$B$17)/(1-AN653),0),10)&lt;=5,FLOOR(ROUND(I653/(1-Z653)/(1-Settings!$B$17)/(1-AN653),0),10)+6,FLOOR(ROUND(I653/(1-Z653)/(1-Settings!$B$17)/(1-AN653),0),10)+9))),"")</f>
        <v/>
      </c>
      <c r="S653" s="174" t="n"/>
      <c r="T653" s="91">
        <f>IF(S653&lt;&gt;"", IF(MOD(S653,10)=0,S653-1,IF(MOD(S653,10)&lt;=5,FLOOR(S653,10)+6,FLOOR(S653,10)+9)), R653)</f>
        <v/>
      </c>
      <c r="U653" s="87" t="inlineStr">
        <is>
          <t>Трафіковий</t>
        </is>
      </c>
      <c r="V653" s="88" t="n"/>
      <c r="W653" s="88" t="n"/>
      <c r="X653" s="89">
        <f>IFERROR(IF(OR(V653="",W653="",T653=""),"", IF(T653&gt;W653,"Дорогий",IF(T653&lt;V653,"Дешевий","У ринку"))),"")</f>
        <v/>
      </c>
      <c r="Y653" s="90" t="n"/>
      <c r="Z653" s="104">
        <f>CHOOSE(MATCH(IF($U653="","Основний",$U653),{"Трафіковий","Основний","Маржинальний","Сезонний","Стратегічний"},0),0.16,0.19,0.24,0.23,0.28)</f>
        <v/>
      </c>
      <c r="AA653" s="104">
        <f>CHOOSE(MATCH(IF($U653="","Основний",$U653),{"Трафіковий","Основний","Маржинальний","Сезонний","Стратегічний"},0),0.18,0.21,0.26,0.25,0.3)</f>
        <v/>
      </c>
      <c r="AB653" s="104">
        <f>CHOOSE(MATCH(IF($U653="","Основний",$U653),{"Трафіковий","Основний","Маржинальний","Сезонний","Стратегічний"},0),0.19,0.22,0.28,0.26,0.32)</f>
        <v/>
      </c>
      <c r="AC653" s="104">
        <f>CHOOSE(MATCH(IF($U653="","Основний",$U653),{"Трафіковий","Основний","Маржинальний","Сезонний","Стратегічний"},0),0.17,0.2,0.25,0.24,0.28)</f>
        <v/>
      </c>
      <c r="AD653" s="104">
        <f>CHOOSE(MATCH(IF($U653="","Основний",$U653),{"Трафіковий","Основний","Маржинальний","Сезонний","Стратегічний"},0),0.18,0.21,0.26,0.25,0.3)</f>
        <v/>
      </c>
      <c r="AE653" s="104">
        <f>CHOOSE(MATCH(IF($U653="","Основний",$U653),{"Трафіковий","Основний","Маржинальний","Сезонний","Стратегічний"},0),0.18,0.2,0.28,0.27,0.32)</f>
        <v/>
      </c>
      <c r="AF653" s="104">
        <f>CHOOSE(MATCH(IF($U653="","Основний",$U653),{"Трафіковий","Основний","Маржинальний","Сезонний","Стратегічний"},0),0.15,0.175,0.22,0.21,0.25)</f>
        <v/>
      </c>
      <c r="AG653" s="104">
        <f>CHOOSE(MATCH(IF($U653="","Основний",$U653),{"Трафіковий","Основний","Маржинальний","Сезонний","Стратегічний"},0),0.13,0.16,0.21,0.2,0.25)</f>
        <v/>
      </c>
      <c r="AH653" s="104">
        <f>CHOOSE(MATCH(IF($U653="","Основний",$U653),{"Трафіковий","Основний","Маржинальний","Сезонний","Стратегічний"},0),0.15,0.18,0.23,0.22,0.27)</f>
        <v/>
      </c>
      <c r="AI653" s="104">
        <f>CHOOSE(MATCH(IF($U653="","Основний",$U653),{"Трафіковий","Основний","Маржинальний","Сезонний","Стратегічний"},0),0.16,0.19,0.25,0.23,0.29)</f>
        <v/>
      </c>
      <c r="AJ653" s="104">
        <f>CHOOSE(MATCH(IF($U653="","Основний",$U653),{"Трафіковий","Основний","Маржинальний","Сезонний","Стратегічний"},0),0.14,0.17,0.22,0.21,0.25)</f>
        <v/>
      </c>
      <c r="AK653" s="104">
        <f>CHOOSE(MATCH(IF($U653="","Основний",$U653),{"Трафіковий","Основний","Маржинальний","Сезонний","Стратегічний"},0),0.15,0.18,0.23,0.22,0.27)</f>
        <v/>
      </c>
      <c r="AL653" s="104">
        <f>CHOOSE(MATCH(IF($U653="","Основний",$U653),{"Трафіковий","Основний","Маржинальний","Сезонний","Стратегічний"},0),0.15,0.17,0.25,0.24,0.29)</f>
        <v/>
      </c>
      <c r="AM653" s="104">
        <f>CHOOSE(MATCH(IF($U653="","Основний",$U653),{"Трафіковий","Основний","Маржинальний","Сезонний","Стратегічний"},0),0.12,0.145,0.19,0.18,0.22)</f>
        <v/>
      </c>
      <c r="AN653" s="157">
        <f>CHOOSE(MATCH(IF($U653="","Основний",$U653),{"Трафіковий","Основний","Маржинальний","Сезонний","Стратегічний"},0),Settings!$B$78,Settings!$B$80,Settings!$B$82,Settings!$B$84,Settings!$B$86)</f>
        <v/>
      </c>
      <c r="AO653" s="157">
        <f>CHOOSE(MATCH(IF($U653="","Основний",$U653),{"Трафіковий","Основний","Маржинальний","Сезонний","Стратегічний"},0),Settings!$C$78,Settings!$C$80,Settings!$C$82,Settings!$C$84,Settings!$C$86)</f>
        <v/>
      </c>
      <c r="AP653" s="157">
        <f>CHOOSE(MATCH(IF($U653="","Основний",$U653),{"Трафіковий","Основний","Маржинальний","Сезонний","Стратегічний"},0),Settings!$D$78,Settings!$D$80,Settings!$D$82,Settings!$D$84,Settings!$D$86)</f>
        <v/>
      </c>
      <c r="AQ653" s="157">
        <f>CHOOSE(MATCH(IF($U653="","Основний",$U653),{"Трафіковий","Основний","Маржинальний","Сезонний","Стратегічний"},0),Settings!$F$78,Settings!$F$80,Settings!$F$82,Settings!$F$84,Settings!$F$86)</f>
        <v/>
      </c>
      <c r="AR653" s="157">
        <f>CHOOSE(MATCH(IF($U653="","Основний",$U653),{"Трафіковий","Основний","Маржинальний","Сезонний","Стратегічний"},0),Settings!$G$78,Settings!$G$80,Settings!$G$82,Settings!$G$84,Settings!$G$86)</f>
        <v/>
      </c>
      <c r="AS653" s="157">
        <f>CHOOSE(MATCH(IF($U653="","Основний",$U653),{"Трафіковий","Основний","Маржинальний","Сезонний","Стратегічний"},0),Settings!$H$78,Settings!$H$80,Settings!$H$82,Settings!$H$84,Settings!$H$86)</f>
        <v/>
      </c>
      <c r="AT653" s="157">
        <f>CHOOSE(MATCH(IF($U653="","Основний",$U653),{"Трафіковий","Основний","Маржинальний","Сезонний","Стратегічний"},0),Settings!$I$78,Settings!$I$80,Settings!$I$82,Settings!$I$84,Settings!$I$86)</f>
        <v/>
      </c>
      <c r="AU653" s="171" t="n"/>
      <c r="AV653" t="n">
        <v>1.2</v>
      </c>
    </row>
    <row r="654">
      <c r="A654" s="28" t="inlineStr">
        <is>
          <t>NEW</t>
        </is>
      </c>
      <c r="B654" s="29" t="inlineStr">
        <is>
          <t>H4021</t>
        </is>
      </c>
      <c r="C654" s="29" t="inlineStr">
        <is>
          <t>GOSMART VIDEODOORPHONE 7" IP-750B INDOOR UNIT</t>
        </is>
      </c>
      <c r="D654" s="29" t="inlineStr">
        <is>
          <t>Відеосистеми, та IP камери</t>
        </is>
      </c>
      <c r="E654" s="28" t="inlineStr">
        <is>
          <t>PC</t>
        </is>
      </c>
      <c r="F654" s="93" t="n">
        <v>100.116</v>
      </c>
      <c r="G654" s="30" t="n">
        <v>8517691000</v>
      </c>
      <c r="H654" s="31" t="n">
        <v>1.3</v>
      </c>
      <c r="I654" s="84">
        <f>IFERROR(F654*Settings!$B$2*H654*IF(AND(ISNUMBER(E654),E654&gt;1),E654,1),"")</f>
        <v/>
      </c>
      <c r="J654" s="32">
        <f>Settings!$B$66</f>
        <v/>
      </c>
      <c r="K654" s="95">
        <f>IFERROR(IF(T654="","",(T654*(1-AN654)*(1-Settings!$B$17)-I654)/(T654*(1-AN654)*(1-Settings!$B$17))),"")</f>
        <v/>
      </c>
      <c r="L654" s="101">
        <f>IFERROR(IF(T654="","",(T654*(1-AO654)*(1-Settings!$C$17)-I654)/(T654*(1-AO654)*(1-Settings!$C$17))),"")</f>
        <v/>
      </c>
      <c r="M654" s="101">
        <f>IFERROR(IF(T654="","",(T654*(1-AP654)*(1-Settings!$D$17)-I654)/(T654*(1-AP654)*(1-Settings!$D$17))),"")</f>
        <v/>
      </c>
      <c r="N654" s="101">
        <f>IFERROR(IF(T654="","",(T654*(1-AQ654)*(1-Settings!$F$17)-I654)/(T654*(1-AQ654)*(1-Settings!$F$17))),"")</f>
        <v/>
      </c>
      <c r="O654" s="101">
        <f>IFERROR(IF(T654="","",(T654*(1-AR654)*(1-Settings!$G$17)-I654)/(T654*(1-AR654)*(1-Settings!$G$17))),"")</f>
        <v/>
      </c>
      <c r="P654" s="101">
        <f>IFERROR(IF(T654="","",(T654*(1-AS654)*(1-Settings!$H$17)-I654)/(T654*(1-AS654)*(1-Settings!$H$17))),"")</f>
        <v/>
      </c>
      <c r="Q654" s="101">
        <f>IFERROR(IF(T654="","",(T654*(1-AT654)*(1-Settings!$I$68)*(1-Settings!$I$17)-I654)/(T654*(1-AT654)*(1-Settings!$I$68)*(1-Settings!$I$17))),"")</f>
        <v/>
      </c>
      <c r="R654" s="91">
        <f>IFERROR(IF(OR(I654="",Z654&gt;=1,Settings!$B$17&gt;=1,AN654&gt;=1),"",IF(MOD(ROUND(I654/(1-Z654)/(1-Settings!$B$17)/(1-AN654),0),10)=0,ROUND(I654/(1-Z654)/(1-Settings!$B$17)/(1-AN654),0)-1,IF(MOD(ROUND(I654/(1-Z654)/(1-Settings!$B$17)/(1-AN654),0),10)&lt;=5,FLOOR(ROUND(I654/(1-Z654)/(1-Settings!$B$17)/(1-AN654),0),10)+6,FLOOR(ROUND(I654/(1-Z654)/(1-Settings!$B$17)/(1-AN654),0),10)+9))),"")</f>
        <v/>
      </c>
      <c r="S654" s="174" t="n"/>
      <c r="T654" s="91">
        <f>IF(S654&lt;&gt;"", IF(MOD(S654,10)=0,S654-1,IF(MOD(S654,10)&lt;=5,FLOOR(S654,10)+6,FLOOR(S654,10)+9)), R654)</f>
        <v/>
      </c>
      <c r="U654" s="87" t="inlineStr">
        <is>
          <t>Трафіковий</t>
        </is>
      </c>
      <c r="V654" s="88" t="n"/>
      <c r="W654" s="88" t="n"/>
      <c r="X654" s="89">
        <f>IFERROR(IF(OR(V654="",W654="",T654=""),"", IF(T654&gt;W654,"Дорогий",IF(T654&lt;V654,"Дешевий","У ринку"))),"")</f>
        <v/>
      </c>
      <c r="Y654" s="90" t="n"/>
      <c r="Z654" s="104">
        <f>CHOOSE(MATCH(IF($U654="","Основний",$U654),{"Трафіковий","Основний","Маржинальний","Сезонний","Стратегічний"},0),0.16,0.19,0.24,0.23,0.28)</f>
        <v/>
      </c>
      <c r="AA654" s="104">
        <f>CHOOSE(MATCH(IF($U654="","Основний",$U654),{"Трафіковий","Основний","Маржинальний","Сезонний","Стратегічний"},0),0.18,0.21,0.26,0.25,0.3)</f>
        <v/>
      </c>
      <c r="AB654" s="104">
        <f>CHOOSE(MATCH(IF($U654="","Основний",$U654),{"Трафіковий","Основний","Маржинальний","Сезонний","Стратегічний"},0),0.19,0.22,0.28,0.26,0.32)</f>
        <v/>
      </c>
      <c r="AC654" s="104">
        <f>CHOOSE(MATCH(IF($U654="","Основний",$U654),{"Трафіковий","Основний","Маржинальний","Сезонний","Стратегічний"},0),0.17,0.2,0.25,0.24,0.28)</f>
        <v/>
      </c>
      <c r="AD654" s="104">
        <f>CHOOSE(MATCH(IF($U654="","Основний",$U654),{"Трафіковий","Основний","Маржинальний","Сезонний","Стратегічний"},0),0.18,0.21,0.26,0.25,0.3)</f>
        <v/>
      </c>
      <c r="AE654" s="104">
        <f>CHOOSE(MATCH(IF($U654="","Основний",$U654),{"Трафіковий","Основний","Маржинальний","Сезонний","Стратегічний"},0),0.18,0.2,0.28,0.27,0.32)</f>
        <v/>
      </c>
      <c r="AF654" s="104">
        <f>CHOOSE(MATCH(IF($U654="","Основний",$U654),{"Трафіковий","Основний","Маржинальний","Сезонний","Стратегічний"},0),0.15,0.175,0.22,0.21,0.25)</f>
        <v/>
      </c>
      <c r="AG654" s="104">
        <f>CHOOSE(MATCH(IF($U654="","Основний",$U654),{"Трафіковий","Основний","Маржинальний","Сезонний","Стратегічний"},0),0.13,0.16,0.21,0.2,0.25)</f>
        <v/>
      </c>
      <c r="AH654" s="104">
        <f>CHOOSE(MATCH(IF($U654="","Основний",$U654),{"Трафіковий","Основний","Маржинальний","Сезонний","Стратегічний"},0),0.15,0.18,0.23,0.22,0.27)</f>
        <v/>
      </c>
      <c r="AI654" s="104">
        <f>CHOOSE(MATCH(IF($U654="","Основний",$U654),{"Трафіковий","Основний","Маржинальний","Сезонний","Стратегічний"},0),0.16,0.19,0.25,0.23,0.29)</f>
        <v/>
      </c>
      <c r="AJ654" s="104">
        <f>CHOOSE(MATCH(IF($U654="","Основний",$U654),{"Трафіковий","Основний","Маржинальний","Сезонний","Стратегічний"},0),0.14,0.17,0.22,0.21,0.25)</f>
        <v/>
      </c>
      <c r="AK654" s="104">
        <f>CHOOSE(MATCH(IF($U654="","Основний",$U654),{"Трафіковий","Основний","Маржинальний","Сезонний","Стратегічний"},0),0.15,0.18,0.23,0.22,0.27)</f>
        <v/>
      </c>
      <c r="AL654" s="104">
        <f>CHOOSE(MATCH(IF($U654="","Основний",$U654),{"Трафіковий","Основний","Маржинальний","Сезонний","Стратегічний"},0),0.15,0.17,0.25,0.24,0.29)</f>
        <v/>
      </c>
      <c r="AM654" s="104">
        <f>CHOOSE(MATCH(IF($U654="","Основний",$U654),{"Трафіковий","Основний","Маржинальний","Сезонний","Стратегічний"},0),0.12,0.145,0.19,0.18,0.22)</f>
        <v/>
      </c>
      <c r="AN654" s="157">
        <f>CHOOSE(MATCH(IF($U654="","Основний",$U654),{"Трафіковий","Основний","Маржинальний","Сезонний","Стратегічний"},0),Settings!$B$78,Settings!$B$80,Settings!$B$82,Settings!$B$84,Settings!$B$86)</f>
        <v/>
      </c>
      <c r="AO654" s="157">
        <f>CHOOSE(MATCH(IF($U654="","Основний",$U654),{"Трафіковий","Основний","Маржинальний","Сезонний","Стратегічний"},0),Settings!$C$78,Settings!$C$80,Settings!$C$82,Settings!$C$84,Settings!$C$86)</f>
        <v/>
      </c>
      <c r="AP654" s="157">
        <f>CHOOSE(MATCH(IF($U654="","Основний",$U654),{"Трафіковий","Основний","Маржинальний","Сезонний","Стратегічний"},0),Settings!$D$78,Settings!$D$80,Settings!$D$82,Settings!$D$84,Settings!$D$86)</f>
        <v/>
      </c>
      <c r="AQ654" s="157">
        <f>CHOOSE(MATCH(IF($U654="","Основний",$U654),{"Трафіковий","Основний","Маржинальний","Сезонний","Стратегічний"},0),Settings!$F$78,Settings!$F$80,Settings!$F$82,Settings!$F$84,Settings!$F$86)</f>
        <v/>
      </c>
      <c r="AR654" s="157">
        <f>CHOOSE(MATCH(IF($U654="","Основний",$U654),{"Трафіковий","Основний","Маржинальний","Сезонний","Стратегічний"},0),Settings!$G$78,Settings!$G$80,Settings!$G$82,Settings!$G$84,Settings!$G$86)</f>
        <v/>
      </c>
      <c r="AS654" s="157">
        <f>CHOOSE(MATCH(IF($U654="","Основний",$U654),{"Трафіковий","Основний","Маржинальний","Сезонний","Стратегічний"},0),Settings!$H$78,Settings!$H$80,Settings!$H$82,Settings!$H$84,Settings!$H$86)</f>
        <v/>
      </c>
      <c r="AT654" s="157">
        <f>CHOOSE(MATCH(IF($U654="","Основний",$U654),{"Трафіковий","Основний","Маржинальний","Сезонний","Стратегічний"},0),Settings!$I$78,Settings!$I$80,Settings!$I$82,Settings!$I$84,Settings!$I$86)</f>
        <v/>
      </c>
      <c r="AU654" s="171" t="n"/>
      <c r="AV654" t="n">
        <v>1.2</v>
      </c>
    </row>
    <row r="655">
      <c r="A655" s="33" t="n"/>
      <c r="B655" s="34" t="inlineStr">
        <is>
          <t>H4030</t>
        </is>
      </c>
      <c r="C655" s="34" t="inlineStr">
        <is>
          <t>GOSMART VIDEO DOOR BELL IP-09D DC BATTERY</t>
        </is>
      </c>
      <c r="D655" s="34" t="inlineStr">
        <is>
          <t>Відеосистеми, та IP камери</t>
        </is>
      </c>
      <c r="E655" s="33" t="inlineStr">
        <is>
          <t>PC</t>
        </is>
      </c>
      <c r="F655" s="94" t="n">
        <v>68.86499999999999</v>
      </c>
      <c r="G655" s="35" t="n">
        <v>8517691000</v>
      </c>
      <c r="H655" s="31" t="n">
        <v>1.3</v>
      </c>
      <c r="I655" s="84">
        <f>IFERROR(F655*Settings!$B$2*H655*IF(AND(ISNUMBER(E655),E655&gt;1),E655,1),"")</f>
        <v/>
      </c>
      <c r="J655" s="32">
        <f>Settings!$B$66</f>
        <v/>
      </c>
      <c r="K655" s="95">
        <f>IFERROR(IF(T655="","",(T655*(1-AN655)*(1-Settings!$B$17)-I655)/(T655*(1-AN655)*(1-Settings!$B$17))),"")</f>
        <v/>
      </c>
      <c r="L655" s="101">
        <f>IFERROR(IF(T655="","",(T655*(1-AO655)*(1-Settings!$C$17)-I655)/(T655*(1-AO655)*(1-Settings!$C$17))),"")</f>
        <v/>
      </c>
      <c r="M655" s="101">
        <f>IFERROR(IF(T655="","",(T655*(1-AP655)*(1-Settings!$D$17)-I655)/(T655*(1-AP655)*(1-Settings!$D$17))),"")</f>
        <v/>
      </c>
      <c r="N655" s="101">
        <f>IFERROR(IF(T655="","",(T655*(1-AQ655)*(1-Settings!$F$17)-I655)/(T655*(1-AQ655)*(1-Settings!$F$17))),"")</f>
        <v/>
      </c>
      <c r="O655" s="101">
        <f>IFERROR(IF(T655="","",(T655*(1-AR655)*(1-Settings!$G$17)-I655)/(T655*(1-AR655)*(1-Settings!$G$17))),"")</f>
        <v/>
      </c>
      <c r="P655" s="101">
        <f>IFERROR(IF(T655="","",(T655*(1-AS655)*(1-Settings!$H$17)-I655)/(T655*(1-AS655)*(1-Settings!$H$17))),"")</f>
        <v/>
      </c>
      <c r="Q655" s="101">
        <f>IFERROR(IF(T655="","",(T655*(1-AT655)*(1-Settings!$I$68)*(1-Settings!$I$17)-I655)/(T655*(1-AT655)*(1-Settings!$I$68)*(1-Settings!$I$17))),"")</f>
        <v/>
      </c>
      <c r="R655" s="91">
        <f>IFERROR(IF(OR(I655="",Z655&gt;=1,Settings!$B$17&gt;=1,AN655&gt;=1),"",IF(MOD(ROUND(I655/(1-Z655)/(1-Settings!$B$17)/(1-AN655),0),10)=0,ROUND(I655/(1-Z655)/(1-Settings!$B$17)/(1-AN655),0)-1,IF(MOD(ROUND(I655/(1-Z655)/(1-Settings!$B$17)/(1-AN655),0),10)&lt;=5,FLOOR(ROUND(I655/(1-Z655)/(1-Settings!$B$17)/(1-AN655),0),10)+6,FLOOR(ROUND(I655/(1-Z655)/(1-Settings!$B$17)/(1-AN655),0),10)+9))),"")</f>
        <v/>
      </c>
      <c r="S655" s="174" t="n"/>
      <c r="T655" s="91">
        <f>IF(S655&lt;&gt;"", IF(MOD(S655,10)=0,S655-1,IF(MOD(S655,10)&lt;=5,FLOOR(S655,10)+6,FLOOR(S655,10)+9)), R655)</f>
        <v/>
      </c>
      <c r="U655" s="87" t="inlineStr">
        <is>
          <t>Трафіковий</t>
        </is>
      </c>
      <c r="V655" s="88" t="n"/>
      <c r="W655" s="88" t="n"/>
      <c r="X655" s="89">
        <f>IFERROR(IF(OR(V655="",W655="",T655=""),"", IF(T655&gt;W655,"Дорогий",IF(T655&lt;V655,"Дешевий","У ринку"))),"")</f>
        <v/>
      </c>
      <c r="Y655" s="90" t="n"/>
      <c r="Z655" s="104">
        <f>CHOOSE(MATCH(IF($U655="","Основний",$U655),{"Трафіковий","Основний","Маржинальний","Сезонний","Стратегічний"},0),0.16,0.19,0.24,0.23,0.28)</f>
        <v/>
      </c>
      <c r="AA655" s="104">
        <f>CHOOSE(MATCH(IF($U655="","Основний",$U655),{"Трафіковий","Основний","Маржинальний","Сезонний","Стратегічний"},0),0.18,0.21,0.26,0.25,0.3)</f>
        <v/>
      </c>
      <c r="AB655" s="104">
        <f>CHOOSE(MATCH(IF($U655="","Основний",$U655),{"Трафіковий","Основний","Маржинальний","Сезонний","Стратегічний"},0),0.19,0.22,0.28,0.26,0.32)</f>
        <v/>
      </c>
      <c r="AC655" s="104">
        <f>CHOOSE(MATCH(IF($U655="","Основний",$U655),{"Трафіковий","Основний","Маржинальний","Сезонний","Стратегічний"},0),0.17,0.2,0.25,0.24,0.28)</f>
        <v/>
      </c>
      <c r="AD655" s="104">
        <f>CHOOSE(MATCH(IF($U655="","Основний",$U655),{"Трафіковий","Основний","Маржинальний","Сезонний","Стратегічний"},0),0.18,0.21,0.26,0.25,0.3)</f>
        <v/>
      </c>
      <c r="AE655" s="104">
        <f>CHOOSE(MATCH(IF($U655="","Основний",$U655),{"Трафіковий","Основний","Маржинальний","Сезонний","Стратегічний"},0),0.18,0.2,0.28,0.27,0.32)</f>
        <v/>
      </c>
      <c r="AF655" s="104">
        <f>CHOOSE(MATCH(IF($U655="","Основний",$U655),{"Трафіковий","Основний","Маржинальний","Сезонний","Стратегічний"},0),0.15,0.175,0.22,0.21,0.25)</f>
        <v/>
      </c>
      <c r="AG655" s="104">
        <f>CHOOSE(MATCH(IF($U655="","Основний",$U655),{"Трафіковий","Основний","Маржинальний","Сезонний","Стратегічний"},0),0.13,0.16,0.21,0.2,0.25)</f>
        <v/>
      </c>
      <c r="AH655" s="104">
        <f>CHOOSE(MATCH(IF($U655="","Основний",$U655),{"Трафіковий","Основний","Маржинальний","Сезонний","Стратегічний"},0),0.15,0.18,0.23,0.22,0.27)</f>
        <v/>
      </c>
      <c r="AI655" s="104">
        <f>CHOOSE(MATCH(IF($U655="","Основний",$U655),{"Трафіковий","Основний","Маржинальний","Сезонний","Стратегічний"},0),0.16,0.19,0.25,0.23,0.29)</f>
        <v/>
      </c>
      <c r="AJ655" s="104">
        <f>CHOOSE(MATCH(IF($U655="","Основний",$U655),{"Трафіковий","Основний","Маржинальний","Сезонний","Стратегічний"},0),0.14,0.17,0.22,0.21,0.25)</f>
        <v/>
      </c>
      <c r="AK655" s="104">
        <f>CHOOSE(MATCH(IF($U655="","Основний",$U655),{"Трафіковий","Основний","Маржинальний","Сезонний","Стратегічний"},0),0.15,0.18,0.23,0.22,0.27)</f>
        <v/>
      </c>
      <c r="AL655" s="104">
        <f>CHOOSE(MATCH(IF($U655="","Основний",$U655),{"Трафіковий","Основний","Маржинальний","Сезонний","Стратегічний"},0),0.15,0.17,0.25,0.24,0.29)</f>
        <v/>
      </c>
      <c r="AM655" s="104">
        <f>CHOOSE(MATCH(IF($U655="","Основний",$U655),{"Трафіковий","Основний","Маржинальний","Сезонний","Стратегічний"},0),0.12,0.145,0.19,0.18,0.22)</f>
        <v/>
      </c>
      <c r="AN655" s="157">
        <f>CHOOSE(MATCH(IF($U655="","Основний",$U655),{"Трафіковий","Основний","Маржинальний","Сезонний","Стратегічний"},0),Settings!$B$78,Settings!$B$80,Settings!$B$82,Settings!$B$84,Settings!$B$86)</f>
        <v/>
      </c>
      <c r="AO655" s="157">
        <f>CHOOSE(MATCH(IF($U655="","Основний",$U655),{"Трафіковий","Основний","Маржинальний","Сезонний","Стратегічний"},0),Settings!$C$78,Settings!$C$80,Settings!$C$82,Settings!$C$84,Settings!$C$86)</f>
        <v/>
      </c>
      <c r="AP655" s="157">
        <f>CHOOSE(MATCH(IF($U655="","Основний",$U655),{"Трафіковий","Основний","Маржинальний","Сезонний","Стратегічний"},0),Settings!$D$78,Settings!$D$80,Settings!$D$82,Settings!$D$84,Settings!$D$86)</f>
        <v/>
      </c>
      <c r="AQ655" s="157">
        <f>CHOOSE(MATCH(IF($U655="","Основний",$U655),{"Трафіковий","Основний","Маржинальний","Сезонний","Стратегічний"},0),Settings!$F$78,Settings!$F$80,Settings!$F$82,Settings!$F$84,Settings!$F$86)</f>
        <v/>
      </c>
      <c r="AR655" s="157">
        <f>CHOOSE(MATCH(IF($U655="","Основний",$U655),{"Трафіковий","Основний","Маржинальний","Сезонний","Стратегічний"},0),Settings!$G$78,Settings!$G$80,Settings!$G$82,Settings!$G$84,Settings!$G$86)</f>
        <v/>
      </c>
      <c r="AS655" s="157">
        <f>CHOOSE(MATCH(IF($U655="","Основний",$U655),{"Трафіковий","Основний","Маржинальний","Сезонний","Стратегічний"},0),Settings!$H$78,Settings!$H$80,Settings!$H$82,Settings!$H$84,Settings!$H$86)</f>
        <v/>
      </c>
      <c r="AT655" s="157">
        <f>CHOOSE(MATCH(IF($U655="","Основний",$U655),{"Трафіковий","Основний","Маржинальний","Сезонний","Стратегічний"},0),Settings!$I$78,Settings!$I$80,Settings!$I$82,Settings!$I$84,Settings!$I$86)</f>
        <v/>
      </c>
      <c r="AU655" s="171" t="n"/>
      <c r="AV655" t="n">
        <v>1.25</v>
      </c>
    </row>
    <row r="656">
      <c r="A656" s="28" t="n"/>
      <c r="B656" s="29" t="inlineStr">
        <is>
          <t>H4031</t>
        </is>
      </c>
      <c r="C656" s="29" t="inlineStr">
        <is>
          <t>GOSMART VIDEO DOOR BELL IP-09C</t>
        </is>
      </c>
      <c r="D656" s="29" t="inlineStr">
        <is>
          <t>Відеосистеми, та IP камери</t>
        </is>
      </c>
      <c r="E656" s="28" t="inlineStr">
        <is>
          <t>PC</t>
        </is>
      </c>
      <c r="F656" s="93" t="n">
        <v>66.785</v>
      </c>
      <c r="G656" s="30" t="n">
        <v>8517691000</v>
      </c>
      <c r="H656" s="31" t="n">
        <v>1.3</v>
      </c>
      <c r="I656" s="84">
        <f>IFERROR(F656*Settings!$B$2*H656*IF(AND(ISNUMBER(E656),E656&gt;1),E656,1),"")</f>
        <v/>
      </c>
      <c r="J656" s="32">
        <f>Settings!$B$66</f>
        <v/>
      </c>
      <c r="K656" s="95">
        <f>IFERROR(IF(T656="","",(T656*(1-AN656)*(1-Settings!$B$17)-I656)/(T656*(1-AN656)*(1-Settings!$B$17))),"")</f>
        <v/>
      </c>
      <c r="L656" s="101">
        <f>IFERROR(IF(T656="","",(T656*(1-AO656)*(1-Settings!$C$17)-I656)/(T656*(1-AO656)*(1-Settings!$C$17))),"")</f>
        <v/>
      </c>
      <c r="M656" s="101">
        <f>IFERROR(IF(T656="","",(T656*(1-AP656)*(1-Settings!$D$17)-I656)/(T656*(1-AP656)*(1-Settings!$D$17))),"")</f>
        <v/>
      </c>
      <c r="N656" s="101">
        <f>IFERROR(IF(T656="","",(T656*(1-AQ656)*(1-Settings!$F$17)-I656)/(T656*(1-AQ656)*(1-Settings!$F$17))),"")</f>
        <v/>
      </c>
      <c r="O656" s="101">
        <f>IFERROR(IF(T656="","",(T656*(1-AR656)*(1-Settings!$G$17)-I656)/(T656*(1-AR656)*(1-Settings!$G$17))),"")</f>
        <v/>
      </c>
      <c r="P656" s="101">
        <f>IFERROR(IF(T656="","",(T656*(1-AS656)*(1-Settings!$H$17)-I656)/(T656*(1-AS656)*(1-Settings!$H$17))),"")</f>
        <v/>
      </c>
      <c r="Q656" s="101">
        <f>IFERROR(IF(T656="","",(T656*(1-AT656)*(1-Settings!$I$68)*(1-Settings!$I$17)-I656)/(T656*(1-AT656)*(1-Settings!$I$68)*(1-Settings!$I$17))),"")</f>
        <v/>
      </c>
      <c r="R656" s="91">
        <f>IFERROR(IF(OR(I656="",Z656&gt;=1,Settings!$B$17&gt;=1,AN656&gt;=1),"",IF(MOD(ROUND(I656/(1-Z656)/(1-Settings!$B$17)/(1-AN656),0),10)=0,ROUND(I656/(1-Z656)/(1-Settings!$B$17)/(1-AN656),0)-1,IF(MOD(ROUND(I656/(1-Z656)/(1-Settings!$B$17)/(1-AN656),0),10)&lt;=5,FLOOR(ROUND(I656/(1-Z656)/(1-Settings!$B$17)/(1-AN656),0),10)+6,FLOOR(ROUND(I656/(1-Z656)/(1-Settings!$B$17)/(1-AN656),0),10)+9))),"")</f>
        <v/>
      </c>
      <c r="S656" s="174" t="n"/>
      <c r="T656" s="91">
        <f>IF(S656&lt;&gt;"", IF(MOD(S656,10)=0,S656-1,IF(MOD(S656,10)&lt;=5,FLOOR(S656,10)+6,FLOOR(S656,10)+9)), R656)</f>
        <v/>
      </c>
      <c r="U656" s="87" t="inlineStr">
        <is>
          <t>Трафіковий</t>
        </is>
      </c>
      <c r="V656" s="88" t="n"/>
      <c r="W656" s="88" t="n"/>
      <c r="X656" s="89">
        <f>IFERROR(IF(OR(V656="",W656="",T656=""),"", IF(T656&gt;W656,"Дорогий",IF(T656&lt;V656,"Дешевий","У ринку"))),"")</f>
        <v/>
      </c>
      <c r="Y656" s="90" t="n"/>
      <c r="Z656" s="104">
        <f>CHOOSE(MATCH(IF($U656="","Основний",$U656),{"Трафіковий","Основний","Маржинальний","Сезонний","Стратегічний"},0),0.16,0.19,0.24,0.23,0.28)</f>
        <v/>
      </c>
      <c r="AA656" s="104">
        <f>CHOOSE(MATCH(IF($U656="","Основний",$U656),{"Трафіковий","Основний","Маржинальний","Сезонний","Стратегічний"},0),0.18,0.21,0.26,0.25,0.3)</f>
        <v/>
      </c>
      <c r="AB656" s="104">
        <f>CHOOSE(MATCH(IF($U656="","Основний",$U656),{"Трафіковий","Основний","Маржинальний","Сезонний","Стратегічний"},0),0.19,0.22,0.28,0.26,0.32)</f>
        <v/>
      </c>
      <c r="AC656" s="104">
        <f>CHOOSE(MATCH(IF($U656="","Основний",$U656),{"Трафіковий","Основний","Маржинальний","Сезонний","Стратегічний"},0),0.17,0.2,0.25,0.24,0.28)</f>
        <v/>
      </c>
      <c r="AD656" s="104">
        <f>CHOOSE(MATCH(IF($U656="","Основний",$U656),{"Трафіковий","Основний","Маржинальний","Сезонний","Стратегічний"},0),0.18,0.21,0.26,0.25,0.3)</f>
        <v/>
      </c>
      <c r="AE656" s="104">
        <f>CHOOSE(MATCH(IF($U656="","Основний",$U656),{"Трафіковий","Основний","Маржинальний","Сезонний","Стратегічний"},0),0.18,0.2,0.28,0.27,0.32)</f>
        <v/>
      </c>
      <c r="AF656" s="104">
        <f>CHOOSE(MATCH(IF($U656="","Основний",$U656),{"Трафіковий","Основний","Маржинальний","Сезонний","Стратегічний"},0),0.15,0.175,0.22,0.21,0.25)</f>
        <v/>
      </c>
      <c r="AG656" s="104">
        <f>CHOOSE(MATCH(IF($U656="","Основний",$U656),{"Трафіковий","Основний","Маржинальний","Сезонний","Стратегічний"},0),0.13,0.16,0.21,0.2,0.25)</f>
        <v/>
      </c>
      <c r="AH656" s="104">
        <f>CHOOSE(MATCH(IF($U656="","Основний",$U656),{"Трафіковий","Основний","Маржинальний","Сезонний","Стратегічний"},0),0.15,0.18,0.23,0.22,0.27)</f>
        <v/>
      </c>
      <c r="AI656" s="104">
        <f>CHOOSE(MATCH(IF($U656="","Основний",$U656),{"Трафіковий","Основний","Маржинальний","Сезонний","Стратегічний"},0),0.16,0.19,0.25,0.23,0.29)</f>
        <v/>
      </c>
      <c r="AJ656" s="104">
        <f>CHOOSE(MATCH(IF($U656="","Основний",$U656),{"Трафіковий","Основний","Маржинальний","Сезонний","Стратегічний"},0),0.14,0.17,0.22,0.21,0.25)</f>
        <v/>
      </c>
      <c r="AK656" s="104">
        <f>CHOOSE(MATCH(IF($U656="","Основний",$U656),{"Трафіковий","Основний","Маржинальний","Сезонний","Стратегічний"},0),0.15,0.18,0.23,0.22,0.27)</f>
        <v/>
      </c>
      <c r="AL656" s="104">
        <f>CHOOSE(MATCH(IF($U656="","Основний",$U656),{"Трафіковий","Основний","Маржинальний","Сезонний","Стратегічний"},0),0.15,0.17,0.25,0.24,0.29)</f>
        <v/>
      </c>
      <c r="AM656" s="104">
        <f>CHOOSE(MATCH(IF($U656="","Основний",$U656),{"Трафіковий","Основний","Маржинальний","Сезонний","Стратегічний"},0),0.12,0.145,0.19,0.18,0.22)</f>
        <v/>
      </c>
      <c r="AN656" s="157">
        <f>CHOOSE(MATCH(IF($U656="","Основний",$U656),{"Трафіковий","Основний","Маржинальний","Сезонний","Стратегічний"},0),Settings!$B$78,Settings!$B$80,Settings!$B$82,Settings!$B$84,Settings!$B$86)</f>
        <v/>
      </c>
      <c r="AO656" s="157">
        <f>CHOOSE(MATCH(IF($U656="","Основний",$U656),{"Трафіковий","Основний","Маржинальний","Сезонний","Стратегічний"},0),Settings!$C$78,Settings!$C$80,Settings!$C$82,Settings!$C$84,Settings!$C$86)</f>
        <v/>
      </c>
      <c r="AP656" s="157">
        <f>CHOOSE(MATCH(IF($U656="","Основний",$U656),{"Трафіковий","Основний","Маржинальний","Сезонний","Стратегічний"},0),Settings!$D$78,Settings!$D$80,Settings!$D$82,Settings!$D$84,Settings!$D$86)</f>
        <v/>
      </c>
      <c r="AQ656" s="157">
        <f>CHOOSE(MATCH(IF($U656="","Основний",$U656),{"Трафіковий","Основний","Маржинальний","Сезонний","Стратегічний"},0),Settings!$F$78,Settings!$F$80,Settings!$F$82,Settings!$F$84,Settings!$F$86)</f>
        <v/>
      </c>
      <c r="AR656" s="157">
        <f>CHOOSE(MATCH(IF($U656="","Основний",$U656),{"Трафіковий","Основний","Маржинальний","Сезонний","Стратегічний"},0),Settings!$G$78,Settings!$G$80,Settings!$G$82,Settings!$G$84,Settings!$G$86)</f>
        <v/>
      </c>
      <c r="AS656" s="157">
        <f>CHOOSE(MATCH(IF($U656="","Основний",$U656),{"Трафіковий","Основний","Маржинальний","Сезонний","Стратегічний"},0),Settings!$H$78,Settings!$H$80,Settings!$H$82,Settings!$H$84,Settings!$H$86)</f>
        <v/>
      </c>
      <c r="AT656" s="157">
        <f>CHOOSE(MATCH(IF($U656="","Основний",$U656),{"Трафіковий","Основний","Маржинальний","Сезонний","Стратегічний"},0),Settings!$I$78,Settings!$I$80,Settings!$I$82,Settings!$I$84,Settings!$I$86)</f>
        <v/>
      </c>
      <c r="AU656" s="171" t="n"/>
      <c r="AV656" t="n">
        <v>1.25</v>
      </c>
    </row>
    <row r="657">
      <c r="A657" s="33" t="inlineStr">
        <is>
          <t>SELL OUT</t>
        </is>
      </c>
      <c r="B657" s="34" t="inlineStr">
        <is>
          <t>H4032</t>
        </is>
      </c>
      <c r="C657" s="34" t="inlineStr">
        <is>
          <t>GOSMART VIDEO DOORBELL IP-15S DC BATTERY</t>
        </is>
      </c>
      <c r="D657" s="34" t="inlineStr">
        <is>
          <t>Відеосистеми, та IP камери</t>
        </is>
      </c>
      <c r="E657" s="33" t="inlineStr">
        <is>
          <t>PC</t>
        </is>
      </c>
      <c r="F657" s="94" t="n">
        <v>54.23</v>
      </c>
      <c r="G657" s="35" t="n">
        <v>8517691000</v>
      </c>
      <c r="H657" s="31" t="n">
        <v>1.3</v>
      </c>
      <c r="I657" s="84">
        <f>IFERROR(F657*Settings!$B$2*H657*IF(AND(ISNUMBER(E657),E657&gt;1),E657,1),"")</f>
        <v/>
      </c>
      <c r="J657" s="32">
        <f>Settings!$B$66</f>
        <v/>
      </c>
      <c r="K657" s="95">
        <f>IFERROR(IF(T657="","",(T657*(1-AN657)*(1-Settings!$B$17)-I657)/(T657*(1-AN657)*(1-Settings!$B$17))),"")</f>
        <v/>
      </c>
      <c r="L657" s="101">
        <f>IFERROR(IF(T657="","",(T657*(1-AO657)*(1-Settings!$C$17)-I657)/(T657*(1-AO657)*(1-Settings!$C$17))),"")</f>
        <v/>
      </c>
      <c r="M657" s="101">
        <f>IFERROR(IF(T657="","",(T657*(1-AP657)*(1-Settings!$D$17)-I657)/(T657*(1-AP657)*(1-Settings!$D$17))),"")</f>
        <v/>
      </c>
      <c r="N657" s="101">
        <f>IFERROR(IF(T657="","",(T657*(1-AQ657)*(1-Settings!$F$17)-I657)/(T657*(1-AQ657)*(1-Settings!$F$17))),"")</f>
        <v/>
      </c>
      <c r="O657" s="101">
        <f>IFERROR(IF(T657="","",(T657*(1-AR657)*(1-Settings!$G$17)-I657)/(T657*(1-AR657)*(1-Settings!$G$17))),"")</f>
        <v/>
      </c>
      <c r="P657" s="101">
        <f>IFERROR(IF(T657="","",(T657*(1-AS657)*(1-Settings!$H$17)-I657)/(T657*(1-AS657)*(1-Settings!$H$17))),"")</f>
        <v/>
      </c>
      <c r="Q657" s="101">
        <f>IFERROR(IF(T657="","",(T657*(1-AT657)*(1-Settings!$I$68)*(1-Settings!$I$17)-I657)/(T657*(1-AT657)*(1-Settings!$I$68)*(1-Settings!$I$17))),"")</f>
        <v/>
      </c>
      <c r="R657" s="91">
        <f>IFERROR(IF(OR(I657="",Z657&gt;=1,Settings!$B$17&gt;=1,AN657&gt;=1),"",IF(MOD(ROUND(I657/(1-Z657)/(1-Settings!$B$17)/(1-AN657),0),10)=0,ROUND(I657/(1-Z657)/(1-Settings!$B$17)/(1-AN657),0)-1,IF(MOD(ROUND(I657/(1-Z657)/(1-Settings!$B$17)/(1-AN657),0),10)&lt;=5,FLOOR(ROUND(I657/(1-Z657)/(1-Settings!$B$17)/(1-AN657),0),10)+6,FLOOR(ROUND(I657/(1-Z657)/(1-Settings!$B$17)/(1-AN657),0),10)+9))),"")</f>
        <v/>
      </c>
      <c r="S657" s="174" t="n"/>
      <c r="T657" s="91">
        <f>IF(S657&lt;&gt;"", IF(MOD(S657,10)=0,S657-1,IF(MOD(S657,10)&lt;=5,FLOOR(S657,10)+6,FLOOR(S657,10)+9)), R657)</f>
        <v/>
      </c>
      <c r="U657" s="87" t="inlineStr">
        <is>
          <t>Трафіковий</t>
        </is>
      </c>
      <c r="V657" s="88" t="n"/>
      <c r="W657" s="88" t="n"/>
      <c r="X657" s="89">
        <f>IFERROR(IF(OR(V657="",W657="",T657=""),"", IF(T657&gt;W657,"Дорогий",IF(T657&lt;V657,"Дешевий","У ринку"))),"")</f>
        <v/>
      </c>
      <c r="Y657" s="90" t="n"/>
      <c r="Z657" s="104">
        <f>CHOOSE(MATCH(IF($U657="","Основний",$U657),{"Трафіковий","Основний","Маржинальний","Сезонний","Стратегічний"},0),0.16,0.19,0.24,0.23,0.28)</f>
        <v/>
      </c>
      <c r="AA657" s="104">
        <f>CHOOSE(MATCH(IF($U657="","Основний",$U657),{"Трафіковий","Основний","Маржинальний","Сезонний","Стратегічний"},0),0.18,0.21,0.26,0.25,0.3)</f>
        <v/>
      </c>
      <c r="AB657" s="104">
        <f>CHOOSE(MATCH(IF($U657="","Основний",$U657),{"Трафіковий","Основний","Маржинальний","Сезонний","Стратегічний"},0),0.19,0.22,0.28,0.26,0.32)</f>
        <v/>
      </c>
      <c r="AC657" s="104">
        <f>CHOOSE(MATCH(IF($U657="","Основний",$U657),{"Трафіковий","Основний","Маржинальний","Сезонний","Стратегічний"},0),0.17,0.2,0.25,0.24,0.28)</f>
        <v/>
      </c>
      <c r="AD657" s="104">
        <f>CHOOSE(MATCH(IF($U657="","Основний",$U657),{"Трафіковий","Основний","Маржинальний","Сезонний","Стратегічний"},0),0.18,0.21,0.26,0.25,0.3)</f>
        <v/>
      </c>
      <c r="AE657" s="104">
        <f>CHOOSE(MATCH(IF($U657="","Основний",$U657),{"Трафіковий","Основний","Маржинальний","Сезонний","Стратегічний"},0),0.18,0.2,0.28,0.27,0.32)</f>
        <v/>
      </c>
      <c r="AF657" s="104">
        <f>CHOOSE(MATCH(IF($U657="","Основний",$U657),{"Трафіковий","Основний","Маржинальний","Сезонний","Стратегічний"},0),0.15,0.175,0.22,0.21,0.25)</f>
        <v/>
      </c>
      <c r="AG657" s="104">
        <f>CHOOSE(MATCH(IF($U657="","Основний",$U657),{"Трафіковий","Основний","Маржинальний","Сезонний","Стратегічний"},0),0.13,0.16,0.21,0.2,0.25)</f>
        <v/>
      </c>
      <c r="AH657" s="104">
        <f>CHOOSE(MATCH(IF($U657="","Основний",$U657),{"Трафіковий","Основний","Маржинальний","Сезонний","Стратегічний"},0),0.15,0.18,0.23,0.22,0.27)</f>
        <v/>
      </c>
      <c r="AI657" s="104">
        <f>CHOOSE(MATCH(IF($U657="","Основний",$U657),{"Трафіковий","Основний","Маржинальний","Сезонний","Стратегічний"},0),0.16,0.19,0.25,0.23,0.29)</f>
        <v/>
      </c>
      <c r="AJ657" s="104">
        <f>CHOOSE(MATCH(IF($U657="","Основний",$U657),{"Трафіковий","Основний","Маржинальний","Сезонний","Стратегічний"},0),0.14,0.17,0.22,0.21,0.25)</f>
        <v/>
      </c>
      <c r="AK657" s="104">
        <f>CHOOSE(MATCH(IF($U657="","Основний",$U657),{"Трафіковий","Основний","Маржинальний","Сезонний","Стратегічний"},0),0.15,0.18,0.23,0.22,0.27)</f>
        <v/>
      </c>
      <c r="AL657" s="104">
        <f>CHOOSE(MATCH(IF($U657="","Основний",$U657),{"Трафіковий","Основний","Маржинальний","Сезонний","Стратегічний"},0),0.15,0.17,0.25,0.24,0.29)</f>
        <v/>
      </c>
      <c r="AM657" s="104">
        <f>CHOOSE(MATCH(IF($U657="","Основний",$U657),{"Трафіковий","Основний","Маржинальний","Сезонний","Стратегічний"},0),0.12,0.145,0.19,0.18,0.22)</f>
        <v/>
      </c>
      <c r="AN657" s="157">
        <f>CHOOSE(MATCH(IF($U657="","Основний",$U657),{"Трафіковий","Основний","Маржинальний","Сезонний","Стратегічний"},0),Settings!$B$78,Settings!$B$80,Settings!$B$82,Settings!$B$84,Settings!$B$86)</f>
        <v/>
      </c>
      <c r="AO657" s="157">
        <f>CHOOSE(MATCH(IF($U657="","Основний",$U657),{"Трафіковий","Основний","Маржинальний","Сезонний","Стратегічний"},0),Settings!$C$78,Settings!$C$80,Settings!$C$82,Settings!$C$84,Settings!$C$86)</f>
        <v/>
      </c>
      <c r="AP657" s="157">
        <f>CHOOSE(MATCH(IF($U657="","Основний",$U657),{"Трафіковий","Основний","Маржинальний","Сезонний","Стратегічний"},0),Settings!$D$78,Settings!$D$80,Settings!$D$82,Settings!$D$84,Settings!$D$86)</f>
        <v/>
      </c>
      <c r="AQ657" s="157">
        <f>CHOOSE(MATCH(IF($U657="","Основний",$U657),{"Трафіковий","Основний","Маржинальний","Сезонний","Стратегічний"},0),Settings!$F$78,Settings!$F$80,Settings!$F$82,Settings!$F$84,Settings!$F$86)</f>
        <v/>
      </c>
      <c r="AR657" s="157">
        <f>CHOOSE(MATCH(IF($U657="","Основний",$U657),{"Трафіковий","Основний","Маржинальний","Сезонний","Стратегічний"},0),Settings!$G$78,Settings!$G$80,Settings!$G$82,Settings!$G$84,Settings!$G$86)</f>
        <v/>
      </c>
      <c r="AS657" s="157">
        <f>CHOOSE(MATCH(IF($U657="","Основний",$U657),{"Трафіковий","Основний","Маржинальний","Сезонний","Стратегічний"},0),Settings!$H$78,Settings!$H$80,Settings!$H$82,Settings!$H$84,Settings!$H$86)</f>
        <v/>
      </c>
      <c r="AT657" s="157">
        <f>CHOOSE(MATCH(IF($U657="","Основний",$U657),{"Трафіковий","Основний","Маржинальний","Сезонний","Стратегічний"},0),Settings!$I$78,Settings!$I$80,Settings!$I$82,Settings!$I$84,Settings!$I$86)</f>
        <v/>
      </c>
      <c r="AU657" s="171" t="n"/>
      <c r="AV657" t="n">
        <v>1.25</v>
      </c>
    </row>
    <row r="658">
      <c r="A658" s="28" t="inlineStr">
        <is>
          <t>NEW</t>
        </is>
      </c>
      <c r="B658" s="29" t="inlineStr">
        <is>
          <t>H4033</t>
        </is>
      </c>
      <c r="C658" s="29" t="inlineStr">
        <is>
          <t>GOSMART VIDEODOORBELL IP-20PoE</t>
        </is>
      </c>
      <c r="D658" s="29" t="inlineStr">
        <is>
          <t>Відеосистеми, та IP камери</t>
        </is>
      </c>
      <c r="E658" s="28" t="inlineStr">
        <is>
          <t>PC</t>
        </is>
      </c>
      <c r="F658" s="93" t="n">
        <v>62.614</v>
      </c>
      <c r="G658" s="30" t="n">
        <v>8517691000</v>
      </c>
      <c r="H658" s="31" t="n">
        <v>1.3</v>
      </c>
      <c r="I658" s="84">
        <f>IFERROR(F658*Settings!$B$2*H658*IF(AND(ISNUMBER(E658),E658&gt;1),E658,1),"")</f>
        <v/>
      </c>
      <c r="J658" s="32">
        <f>Settings!$B$66</f>
        <v/>
      </c>
      <c r="K658" s="95">
        <f>IFERROR(IF(T658="","",(T658*(1-AN658)*(1-Settings!$B$17)-I658)/(T658*(1-AN658)*(1-Settings!$B$17))),"")</f>
        <v/>
      </c>
      <c r="L658" s="101">
        <f>IFERROR(IF(T658="","",(T658*(1-AO658)*(1-Settings!$C$17)-I658)/(T658*(1-AO658)*(1-Settings!$C$17))),"")</f>
        <v/>
      </c>
      <c r="M658" s="101">
        <f>IFERROR(IF(T658="","",(T658*(1-AP658)*(1-Settings!$D$17)-I658)/(T658*(1-AP658)*(1-Settings!$D$17))),"")</f>
        <v/>
      </c>
      <c r="N658" s="101">
        <f>IFERROR(IF(T658="","",(T658*(1-AQ658)*(1-Settings!$F$17)-I658)/(T658*(1-AQ658)*(1-Settings!$F$17))),"")</f>
        <v/>
      </c>
      <c r="O658" s="101">
        <f>IFERROR(IF(T658="","",(T658*(1-AR658)*(1-Settings!$G$17)-I658)/(T658*(1-AR658)*(1-Settings!$G$17))),"")</f>
        <v/>
      </c>
      <c r="P658" s="101">
        <f>IFERROR(IF(T658="","",(T658*(1-AS658)*(1-Settings!$H$17)-I658)/(T658*(1-AS658)*(1-Settings!$H$17))),"")</f>
        <v/>
      </c>
      <c r="Q658" s="101">
        <f>IFERROR(IF(T658="","",(T658*(1-AT658)*(1-Settings!$I$68)*(1-Settings!$I$17)-I658)/(T658*(1-AT658)*(1-Settings!$I$68)*(1-Settings!$I$17))),"")</f>
        <v/>
      </c>
      <c r="R658" s="91">
        <f>IFERROR(IF(OR(I658="",Z658&gt;=1,Settings!$B$17&gt;=1,AN658&gt;=1),"",IF(MOD(ROUND(I658/(1-Z658)/(1-Settings!$B$17)/(1-AN658),0),10)=0,ROUND(I658/(1-Z658)/(1-Settings!$B$17)/(1-AN658),0)-1,IF(MOD(ROUND(I658/(1-Z658)/(1-Settings!$B$17)/(1-AN658),0),10)&lt;=5,FLOOR(ROUND(I658/(1-Z658)/(1-Settings!$B$17)/(1-AN658),0),10)+6,FLOOR(ROUND(I658/(1-Z658)/(1-Settings!$B$17)/(1-AN658),0),10)+9))),"")</f>
        <v/>
      </c>
      <c r="S658" s="174" t="n"/>
      <c r="T658" s="91">
        <f>IF(S658&lt;&gt;"", IF(MOD(S658,10)=0,S658-1,IF(MOD(S658,10)&lt;=5,FLOOR(S658,10)+6,FLOOR(S658,10)+9)), R658)</f>
        <v/>
      </c>
      <c r="U658" s="87" t="inlineStr">
        <is>
          <t>Трафіковий</t>
        </is>
      </c>
      <c r="V658" s="88" t="n"/>
      <c r="W658" s="88" t="n"/>
      <c r="X658" s="89">
        <f>IFERROR(IF(OR(V658="",W658="",T658=""),"", IF(T658&gt;W658,"Дорогий",IF(T658&lt;V658,"Дешевий","У ринку"))),"")</f>
        <v/>
      </c>
      <c r="Y658" s="90" t="n"/>
      <c r="Z658" s="104">
        <f>CHOOSE(MATCH(IF($U658="","Основний",$U658),{"Трафіковий","Основний","Маржинальний","Сезонний","Стратегічний"},0),0.16,0.19,0.24,0.23,0.28)</f>
        <v/>
      </c>
      <c r="AA658" s="104">
        <f>CHOOSE(MATCH(IF($U658="","Основний",$U658),{"Трафіковий","Основний","Маржинальний","Сезонний","Стратегічний"},0),0.18,0.21,0.26,0.25,0.3)</f>
        <v/>
      </c>
      <c r="AB658" s="104">
        <f>CHOOSE(MATCH(IF($U658="","Основний",$U658),{"Трафіковий","Основний","Маржинальний","Сезонний","Стратегічний"},0),0.19,0.22,0.28,0.26,0.32)</f>
        <v/>
      </c>
      <c r="AC658" s="104">
        <f>CHOOSE(MATCH(IF($U658="","Основний",$U658),{"Трафіковий","Основний","Маржинальний","Сезонний","Стратегічний"},0),0.17,0.2,0.25,0.24,0.28)</f>
        <v/>
      </c>
      <c r="AD658" s="104">
        <f>CHOOSE(MATCH(IF($U658="","Основний",$U658),{"Трафіковий","Основний","Маржинальний","Сезонний","Стратегічний"},0),0.18,0.21,0.26,0.25,0.3)</f>
        <v/>
      </c>
      <c r="AE658" s="104">
        <f>CHOOSE(MATCH(IF($U658="","Основний",$U658),{"Трафіковий","Основний","Маржинальний","Сезонний","Стратегічний"},0),0.18,0.2,0.28,0.27,0.32)</f>
        <v/>
      </c>
      <c r="AF658" s="104">
        <f>CHOOSE(MATCH(IF($U658="","Основний",$U658),{"Трафіковий","Основний","Маржинальний","Сезонний","Стратегічний"},0),0.15,0.175,0.22,0.21,0.25)</f>
        <v/>
      </c>
      <c r="AG658" s="104">
        <f>CHOOSE(MATCH(IF($U658="","Основний",$U658),{"Трафіковий","Основний","Маржинальний","Сезонний","Стратегічний"},0),0.13,0.16,0.21,0.2,0.25)</f>
        <v/>
      </c>
      <c r="AH658" s="104">
        <f>CHOOSE(MATCH(IF($U658="","Основний",$U658),{"Трафіковий","Основний","Маржинальний","Сезонний","Стратегічний"},0),0.15,0.18,0.23,0.22,0.27)</f>
        <v/>
      </c>
      <c r="AI658" s="104">
        <f>CHOOSE(MATCH(IF($U658="","Основний",$U658),{"Трафіковий","Основний","Маржинальний","Сезонний","Стратегічний"},0),0.16,0.19,0.25,0.23,0.29)</f>
        <v/>
      </c>
      <c r="AJ658" s="104">
        <f>CHOOSE(MATCH(IF($U658="","Основний",$U658),{"Трафіковий","Основний","Маржинальний","Сезонний","Стратегічний"},0),0.14,0.17,0.22,0.21,0.25)</f>
        <v/>
      </c>
      <c r="AK658" s="104">
        <f>CHOOSE(MATCH(IF($U658="","Основний",$U658),{"Трафіковий","Основний","Маржинальний","Сезонний","Стратегічний"},0),0.15,0.18,0.23,0.22,0.27)</f>
        <v/>
      </c>
      <c r="AL658" s="104">
        <f>CHOOSE(MATCH(IF($U658="","Основний",$U658),{"Трафіковий","Основний","Маржинальний","Сезонний","Стратегічний"},0),0.15,0.17,0.25,0.24,0.29)</f>
        <v/>
      </c>
      <c r="AM658" s="104">
        <f>CHOOSE(MATCH(IF($U658="","Основний",$U658),{"Трафіковий","Основний","Маржинальний","Сезонний","Стратегічний"},0),0.12,0.145,0.19,0.18,0.22)</f>
        <v/>
      </c>
      <c r="AN658" s="157">
        <f>CHOOSE(MATCH(IF($U658="","Основний",$U658),{"Трафіковий","Основний","Маржинальний","Сезонний","Стратегічний"},0),Settings!$B$78,Settings!$B$80,Settings!$B$82,Settings!$B$84,Settings!$B$86)</f>
        <v/>
      </c>
      <c r="AO658" s="157">
        <f>CHOOSE(MATCH(IF($U658="","Основний",$U658),{"Трафіковий","Основний","Маржинальний","Сезонний","Стратегічний"},0),Settings!$C$78,Settings!$C$80,Settings!$C$82,Settings!$C$84,Settings!$C$86)</f>
        <v/>
      </c>
      <c r="AP658" s="157">
        <f>CHOOSE(MATCH(IF($U658="","Основний",$U658),{"Трафіковий","Основний","Маржинальний","Сезонний","Стратегічний"},0),Settings!$D$78,Settings!$D$80,Settings!$D$82,Settings!$D$84,Settings!$D$86)</f>
        <v/>
      </c>
      <c r="AQ658" s="157">
        <f>CHOOSE(MATCH(IF($U658="","Основний",$U658),{"Трафіковий","Основний","Маржинальний","Сезонний","Стратегічний"},0),Settings!$F$78,Settings!$F$80,Settings!$F$82,Settings!$F$84,Settings!$F$86)</f>
        <v/>
      </c>
      <c r="AR658" s="157">
        <f>CHOOSE(MATCH(IF($U658="","Основний",$U658),{"Трафіковий","Основний","Маржинальний","Сезонний","Стратегічний"},0),Settings!$G$78,Settings!$G$80,Settings!$G$82,Settings!$G$84,Settings!$G$86)</f>
        <v/>
      </c>
      <c r="AS658" s="157">
        <f>CHOOSE(MATCH(IF($U658="","Основний",$U658),{"Трафіковий","Основний","Маржинальний","Сезонний","Стратегічний"},0),Settings!$H$78,Settings!$H$80,Settings!$H$82,Settings!$H$84,Settings!$H$86)</f>
        <v/>
      </c>
      <c r="AT658" s="157">
        <f>CHOOSE(MATCH(IF($U658="","Основний",$U658),{"Трафіковий","Основний","Маржинальний","Сезонний","Стратегічний"},0),Settings!$I$78,Settings!$I$80,Settings!$I$82,Settings!$I$84,Settings!$I$86)</f>
        <v/>
      </c>
      <c r="AU658" s="171" t="n"/>
      <c r="AV658" t="n">
        <v>1.25</v>
      </c>
    </row>
    <row r="659">
      <c r="A659" s="33" t="inlineStr">
        <is>
          <t>NEW</t>
        </is>
      </c>
      <c r="B659" s="34" t="inlineStr">
        <is>
          <t>H4034</t>
        </is>
      </c>
      <c r="C659" s="34" t="inlineStr">
        <is>
          <t>GOSMART VIDEODOORBELL IP-21POE KEYPAD</t>
        </is>
      </c>
      <c r="D659" s="34" t="inlineStr">
        <is>
          <t>Відеосистеми, та IP камери</t>
        </is>
      </c>
      <c r="E659" s="33" t="inlineStr">
        <is>
          <t>PC</t>
        </is>
      </c>
      <c r="F659" s="94" t="n">
        <v>65.45999999999999</v>
      </c>
      <c r="G659" s="35" t="n">
        <v>8517691000</v>
      </c>
      <c r="H659" s="31" t="n">
        <v>1.3</v>
      </c>
      <c r="I659" s="84">
        <f>IFERROR(F659*Settings!$B$2*H659*IF(AND(ISNUMBER(E659),E659&gt;1),E659,1),"")</f>
        <v/>
      </c>
      <c r="J659" s="32">
        <f>Settings!$B$66</f>
        <v/>
      </c>
      <c r="K659" s="95">
        <f>IFERROR(IF(T659="","",(T659*(1-AN659)*(1-Settings!$B$17)-I659)/(T659*(1-AN659)*(1-Settings!$B$17))),"")</f>
        <v/>
      </c>
      <c r="L659" s="101">
        <f>IFERROR(IF(T659="","",(T659*(1-AO659)*(1-Settings!$C$17)-I659)/(T659*(1-AO659)*(1-Settings!$C$17))),"")</f>
        <v/>
      </c>
      <c r="M659" s="101">
        <f>IFERROR(IF(T659="","",(T659*(1-AP659)*(1-Settings!$D$17)-I659)/(T659*(1-AP659)*(1-Settings!$D$17))),"")</f>
        <v/>
      </c>
      <c r="N659" s="101">
        <f>IFERROR(IF(T659="","",(T659*(1-AQ659)*(1-Settings!$F$17)-I659)/(T659*(1-AQ659)*(1-Settings!$F$17))),"")</f>
        <v/>
      </c>
      <c r="O659" s="101">
        <f>IFERROR(IF(T659="","",(T659*(1-AR659)*(1-Settings!$G$17)-I659)/(T659*(1-AR659)*(1-Settings!$G$17))),"")</f>
        <v/>
      </c>
      <c r="P659" s="101">
        <f>IFERROR(IF(T659="","",(T659*(1-AS659)*(1-Settings!$H$17)-I659)/(T659*(1-AS659)*(1-Settings!$H$17))),"")</f>
        <v/>
      </c>
      <c r="Q659" s="101">
        <f>IFERROR(IF(T659="","",(T659*(1-AT659)*(1-Settings!$I$68)*(1-Settings!$I$17)-I659)/(T659*(1-AT659)*(1-Settings!$I$68)*(1-Settings!$I$17))),"")</f>
        <v/>
      </c>
      <c r="R659" s="91">
        <f>IFERROR(IF(OR(I659="",Z659&gt;=1,Settings!$B$17&gt;=1,AN659&gt;=1),"",IF(MOD(ROUND(I659/(1-Z659)/(1-Settings!$B$17)/(1-AN659),0),10)=0,ROUND(I659/(1-Z659)/(1-Settings!$B$17)/(1-AN659),0)-1,IF(MOD(ROUND(I659/(1-Z659)/(1-Settings!$B$17)/(1-AN659),0),10)&lt;=5,FLOOR(ROUND(I659/(1-Z659)/(1-Settings!$B$17)/(1-AN659),0),10)+6,FLOOR(ROUND(I659/(1-Z659)/(1-Settings!$B$17)/(1-AN659),0),10)+9))),"")</f>
        <v/>
      </c>
      <c r="S659" s="174" t="n"/>
      <c r="T659" s="91">
        <f>IF(S659&lt;&gt;"", IF(MOD(S659,10)=0,S659-1,IF(MOD(S659,10)&lt;=5,FLOOR(S659,10)+6,FLOOR(S659,10)+9)), R659)</f>
        <v/>
      </c>
      <c r="U659" s="87" t="inlineStr">
        <is>
          <t>Трафіковий</t>
        </is>
      </c>
      <c r="V659" s="88" t="n"/>
      <c r="W659" s="88" t="n"/>
      <c r="X659" s="89">
        <f>IFERROR(IF(OR(V659="",W659="",T659=""),"", IF(T659&gt;W659,"Дорогий",IF(T659&lt;V659,"Дешевий","У ринку"))),"")</f>
        <v/>
      </c>
      <c r="Y659" s="90" t="n"/>
      <c r="Z659" s="104">
        <f>CHOOSE(MATCH(IF($U659="","Основний",$U659),{"Трафіковий","Основний","Маржинальний","Сезонний","Стратегічний"},0),0.16,0.19,0.24,0.23,0.28)</f>
        <v/>
      </c>
      <c r="AA659" s="104">
        <f>CHOOSE(MATCH(IF($U659="","Основний",$U659),{"Трафіковий","Основний","Маржинальний","Сезонний","Стратегічний"},0),0.18,0.21,0.26,0.25,0.3)</f>
        <v/>
      </c>
      <c r="AB659" s="104">
        <f>CHOOSE(MATCH(IF($U659="","Основний",$U659),{"Трафіковий","Основний","Маржинальний","Сезонний","Стратегічний"},0),0.19,0.22,0.28,0.26,0.32)</f>
        <v/>
      </c>
      <c r="AC659" s="104">
        <f>CHOOSE(MATCH(IF($U659="","Основний",$U659),{"Трафіковий","Основний","Маржинальний","Сезонний","Стратегічний"},0),0.17,0.2,0.25,0.24,0.28)</f>
        <v/>
      </c>
      <c r="AD659" s="104">
        <f>CHOOSE(MATCH(IF($U659="","Основний",$U659),{"Трафіковий","Основний","Маржинальний","Сезонний","Стратегічний"},0),0.18,0.21,0.26,0.25,0.3)</f>
        <v/>
      </c>
      <c r="AE659" s="104">
        <f>CHOOSE(MATCH(IF($U659="","Основний",$U659),{"Трафіковий","Основний","Маржинальний","Сезонний","Стратегічний"},0),0.18,0.2,0.28,0.27,0.32)</f>
        <v/>
      </c>
      <c r="AF659" s="104">
        <f>CHOOSE(MATCH(IF($U659="","Основний",$U659),{"Трафіковий","Основний","Маржинальний","Сезонний","Стратегічний"},0),0.15,0.175,0.22,0.21,0.25)</f>
        <v/>
      </c>
      <c r="AG659" s="104">
        <f>CHOOSE(MATCH(IF($U659="","Основний",$U659),{"Трафіковий","Основний","Маржинальний","Сезонний","Стратегічний"},0),0.13,0.16,0.21,0.2,0.25)</f>
        <v/>
      </c>
      <c r="AH659" s="104">
        <f>CHOOSE(MATCH(IF($U659="","Основний",$U659),{"Трафіковий","Основний","Маржинальний","Сезонний","Стратегічний"},0),0.15,0.18,0.23,0.22,0.27)</f>
        <v/>
      </c>
      <c r="AI659" s="104">
        <f>CHOOSE(MATCH(IF($U659="","Основний",$U659),{"Трафіковий","Основний","Маржинальний","Сезонний","Стратегічний"},0),0.16,0.19,0.25,0.23,0.29)</f>
        <v/>
      </c>
      <c r="AJ659" s="104">
        <f>CHOOSE(MATCH(IF($U659="","Основний",$U659),{"Трафіковий","Основний","Маржинальний","Сезонний","Стратегічний"},0),0.14,0.17,0.22,0.21,0.25)</f>
        <v/>
      </c>
      <c r="AK659" s="104">
        <f>CHOOSE(MATCH(IF($U659="","Основний",$U659),{"Трафіковий","Основний","Маржинальний","Сезонний","Стратегічний"},0),0.15,0.18,0.23,0.22,0.27)</f>
        <v/>
      </c>
      <c r="AL659" s="104">
        <f>CHOOSE(MATCH(IF($U659="","Основний",$U659),{"Трафіковий","Основний","Маржинальний","Сезонний","Стратегічний"},0),0.15,0.17,0.25,0.24,0.29)</f>
        <v/>
      </c>
      <c r="AM659" s="104">
        <f>CHOOSE(MATCH(IF($U659="","Основний",$U659),{"Трафіковий","Основний","Маржинальний","Сезонний","Стратегічний"},0),0.12,0.145,0.19,0.18,0.22)</f>
        <v/>
      </c>
      <c r="AN659" s="157">
        <f>CHOOSE(MATCH(IF($U659="","Основний",$U659),{"Трафіковий","Основний","Маржинальний","Сезонний","Стратегічний"},0),Settings!$B$78,Settings!$B$80,Settings!$B$82,Settings!$B$84,Settings!$B$86)</f>
        <v/>
      </c>
      <c r="AO659" s="157">
        <f>CHOOSE(MATCH(IF($U659="","Основний",$U659),{"Трафіковий","Основний","Маржинальний","Сезонний","Стратегічний"},0),Settings!$C$78,Settings!$C$80,Settings!$C$82,Settings!$C$84,Settings!$C$86)</f>
        <v/>
      </c>
      <c r="AP659" s="157">
        <f>CHOOSE(MATCH(IF($U659="","Основний",$U659),{"Трафіковий","Основний","Маржинальний","Сезонний","Стратегічний"},0),Settings!$D$78,Settings!$D$80,Settings!$D$82,Settings!$D$84,Settings!$D$86)</f>
        <v/>
      </c>
      <c r="AQ659" s="157">
        <f>CHOOSE(MATCH(IF($U659="","Основний",$U659),{"Трафіковий","Основний","Маржинальний","Сезонний","Стратегічний"},0),Settings!$F$78,Settings!$F$80,Settings!$F$82,Settings!$F$84,Settings!$F$86)</f>
        <v/>
      </c>
      <c r="AR659" s="157">
        <f>CHOOSE(MATCH(IF($U659="","Основний",$U659),{"Трафіковий","Основний","Маржинальний","Сезонний","Стратегічний"},0),Settings!$G$78,Settings!$G$80,Settings!$G$82,Settings!$G$84,Settings!$G$86)</f>
        <v/>
      </c>
      <c r="AS659" s="157">
        <f>CHOOSE(MATCH(IF($U659="","Основний",$U659),{"Трафіковий","Основний","Маржинальний","Сезонний","Стратегічний"},0),Settings!$H$78,Settings!$H$80,Settings!$H$82,Settings!$H$84,Settings!$H$86)</f>
        <v/>
      </c>
      <c r="AT659" s="157">
        <f>CHOOSE(MATCH(IF($U659="","Основний",$U659),{"Трафіковий","Основний","Маржинальний","Сезонний","Стратегічний"},0),Settings!$I$78,Settings!$I$80,Settings!$I$82,Settings!$I$84,Settings!$I$86)</f>
        <v/>
      </c>
      <c r="AU659" s="171" t="n"/>
      <c r="AV659" t="n">
        <v>1.25</v>
      </c>
    </row>
    <row r="660">
      <c r="A660" s="28" t="inlineStr">
        <is>
          <t>NEW</t>
        </is>
      </c>
      <c r="B660" s="29" t="inlineStr">
        <is>
          <t>H4035</t>
        </is>
      </c>
      <c r="C660" s="29" t="inlineStr">
        <is>
          <t>GOSMART VIDEO DOORBELL WIRED IP-10W WIFI</t>
        </is>
      </c>
      <c r="D660" s="29" t="inlineStr">
        <is>
          <t>Відеосистеми, та IP камери</t>
        </is>
      </c>
      <c r="E660" s="28" t="inlineStr">
        <is>
          <t>PC</t>
        </is>
      </c>
      <c r="F660" s="93" t="n">
        <v>29.479</v>
      </c>
      <c r="G660" s="30" t="n">
        <v>8517691000</v>
      </c>
      <c r="H660" s="31" t="n">
        <v>1.3</v>
      </c>
      <c r="I660" s="84">
        <f>IFERROR(F660*Settings!$B$2*H660*IF(AND(ISNUMBER(E660),E660&gt;1),E660,1),"")</f>
        <v/>
      </c>
      <c r="J660" s="32">
        <f>Settings!$B$66</f>
        <v/>
      </c>
      <c r="K660" s="95">
        <f>IFERROR(IF(T660="","",(T660*(1-AN660)*(1-Settings!$B$17)-I660)/(T660*(1-AN660)*(1-Settings!$B$17))),"")</f>
        <v/>
      </c>
      <c r="L660" s="101">
        <f>IFERROR(IF(T660="","",(T660*(1-AO660)*(1-Settings!$C$17)-I660)/(T660*(1-AO660)*(1-Settings!$C$17))),"")</f>
        <v/>
      </c>
      <c r="M660" s="101">
        <f>IFERROR(IF(T660="","",(T660*(1-AP660)*(1-Settings!$D$17)-I660)/(T660*(1-AP660)*(1-Settings!$D$17))),"")</f>
        <v/>
      </c>
      <c r="N660" s="101">
        <f>IFERROR(IF(T660="","",(T660*(1-AQ660)*(1-Settings!$F$17)-I660)/(T660*(1-AQ660)*(1-Settings!$F$17))),"")</f>
        <v/>
      </c>
      <c r="O660" s="101">
        <f>IFERROR(IF(T660="","",(T660*(1-AR660)*(1-Settings!$G$17)-I660)/(T660*(1-AR660)*(1-Settings!$G$17))),"")</f>
        <v/>
      </c>
      <c r="P660" s="101">
        <f>IFERROR(IF(T660="","",(T660*(1-AS660)*(1-Settings!$H$17)-I660)/(T660*(1-AS660)*(1-Settings!$H$17))),"")</f>
        <v/>
      </c>
      <c r="Q660" s="101">
        <f>IFERROR(IF(T660="","",(T660*(1-AT660)*(1-Settings!$I$68)*(1-Settings!$I$17)-I660)/(T660*(1-AT660)*(1-Settings!$I$68)*(1-Settings!$I$17))),"")</f>
        <v/>
      </c>
      <c r="R660" s="91">
        <f>IFERROR(IF(OR(I660="",Z660&gt;=1,Settings!$B$17&gt;=1,AN660&gt;=1),"",IF(MOD(ROUND(I660/(1-Z660)/(1-Settings!$B$17)/(1-AN660),0),10)=0,ROUND(I660/(1-Z660)/(1-Settings!$B$17)/(1-AN660),0)-1,IF(MOD(ROUND(I660/(1-Z660)/(1-Settings!$B$17)/(1-AN660),0),10)&lt;=5,FLOOR(ROUND(I660/(1-Z660)/(1-Settings!$B$17)/(1-AN660),0),10)+6,FLOOR(ROUND(I660/(1-Z660)/(1-Settings!$B$17)/(1-AN660),0),10)+9))),"")</f>
        <v/>
      </c>
      <c r="S660" s="174" t="n"/>
      <c r="T660" s="91">
        <f>IF(S660&lt;&gt;"", IF(MOD(S660,10)=0,S660-1,IF(MOD(S660,10)&lt;=5,FLOOR(S660,10)+6,FLOOR(S660,10)+9)), R660)</f>
        <v/>
      </c>
      <c r="U660" s="87" t="inlineStr">
        <is>
          <t>Трафіковий</t>
        </is>
      </c>
      <c r="V660" s="88" t="n"/>
      <c r="W660" s="88" t="n"/>
      <c r="X660" s="89">
        <f>IFERROR(IF(OR(V660="",W660="",T660=""),"", IF(T660&gt;W660,"Дорогий",IF(T660&lt;V660,"Дешевий","У ринку"))),"")</f>
        <v/>
      </c>
      <c r="Y660" s="90" t="n"/>
      <c r="Z660" s="104">
        <f>CHOOSE(MATCH(IF($U660="","Основний",$U660),{"Трафіковий","Основний","Маржинальний","Сезонний","Стратегічний"},0),0.16,0.19,0.24,0.23,0.28)</f>
        <v/>
      </c>
      <c r="AA660" s="104">
        <f>CHOOSE(MATCH(IF($U660="","Основний",$U660),{"Трафіковий","Основний","Маржинальний","Сезонний","Стратегічний"},0),0.18,0.21,0.26,0.25,0.3)</f>
        <v/>
      </c>
      <c r="AB660" s="104">
        <f>CHOOSE(MATCH(IF($U660="","Основний",$U660),{"Трафіковий","Основний","Маржинальний","Сезонний","Стратегічний"},0),0.19,0.22,0.28,0.26,0.32)</f>
        <v/>
      </c>
      <c r="AC660" s="104">
        <f>CHOOSE(MATCH(IF($U660="","Основний",$U660),{"Трафіковий","Основний","Маржинальний","Сезонний","Стратегічний"},0),0.17,0.2,0.25,0.24,0.28)</f>
        <v/>
      </c>
      <c r="AD660" s="104">
        <f>CHOOSE(MATCH(IF($U660="","Основний",$U660),{"Трафіковий","Основний","Маржинальний","Сезонний","Стратегічний"},0),0.18,0.21,0.26,0.25,0.3)</f>
        <v/>
      </c>
      <c r="AE660" s="104">
        <f>CHOOSE(MATCH(IF($U660="","Основний",$U660),{"Трафіковий","Основний","Маржинальний","Сезонний","Стратегічний"},0),0.18,0.2,0.28,0.27,0.32)</f>
        <v/>
      </c>
      <c r="AF660" s="104">
        <f>CHOOSE(MATCH(IF($U660="","Основний",$U660),{"Трафіковий","Основний","Маржинальний","Сезонний","Стратегічний"},0),0.15,0.175,0.22,0.21,0.25)</f>
        <v/>
      </c>
      <c r="AG660" s="104">
        <f>CHOOSE(MATCH(IF($U660="","Основний",$U660),{"Трафіковий","Основний","Маржинальний","Сезонний","Стратегічний"},0),0.13,0.16,0.21,0.2,0.25)</f>
        <v/>
      </c>
      <c r="AH660" s="104">
        <f>CHOOSE(MATCH(IF($U660="","Основний",$U660),{"Трафіковий","Основний","Маржинальний","Сезонний","Стратегічний"},0),0.15,0.18,0.23,0.22,0.27)</f>
        <v/>
      </c>
      <c r="AI660" s="104">
        <f>CHOOSE(MATCH(IF($U660="","Основний",$U660),{"Трафіковий","Основний","Маржинальний","Сезонний","Стратегічний"},0),0.16,0.19,0.25,0.23,0.29)</f>
        <v/>
      </c>
      <c r="AJ660" s="104">
        <f>CHOOSE(MATCH(IF($U660="","Основний",$U660),{"Трафіковий","Основний","Маржинальний","Сезонний","Стратегічний"},0),0.14,0.17,0.22,0.21,0.25)</f>
        <v/>
      </c>
      <c r="AK660" s="104">
        <f>CHOOSE(MATCH(IF($U660="","Основний",$U660),{"Трафіковий","Основний","Маржинальний","Сезонний","Стратегічний"},0),0.15,0.18,0.23,0.22,0.27)</f>
        <v/>
      </c>
      <c r="AL660" s="104">
        <f>CHOOSE(MATCH(IF($U660="","Основний",$U660),{"Трафіковий","Основний","Маржинальний","Сезонний","Стратегічний"},0),0.15,0.17,0.25,0.24,0.29)</f>
        <v/>
      </c>
      <c r="AM660" s="104">
        <f>CHOOSE(MATCH(IF($U660="","Основний",$U660),{"Трафіковий","Основний","Маржинальний","Сезонний","Стратегічний"},0),0.12,0.145,0.19,0.18,0.22)</f>
        <v/>
      </c>
      <c r="AN660" s="157">
        <f>CHOOSE(MATCH(IF($U660="","Основний",$U660),{"Трафіковий","Основний","Маржинальний","Сезонний","Стратегічний"},0),Settings!$B$78,Settings!$B$80,Settings!$B$82,Settings!$B$84,Settings!$B$86)</f>
        <v/>
      </c>
      <c r="AO660" s="157">
        <f>CHOOSE(MATCH(IF($U660="","Основний",$U660),{"Трафіковий","Основний","Маржинальний","Сезонний","Стратегічний"},0),Settings!$C$78,Settings!$C$80,Settings!$C$82,Settings!$C$84,Settings!$C$86)</f>
        <v/>
      </c>
      <c r="AP660" s="157">
        <f>CHOOSE(MATCH(IF($U660="","Основний",$U660),{"Трафіковий","Основний","Маржинальний","Сезонний","Стратегічний"},0),Settings!$D$78,Settings!$D$80,Settings!$D$82,Settings!$D$84,Settings!$D$86)</f>
        <v/>
      </c>
      <c r="AQ660" s="157">
        <f>CHOOSE(MATCH(IF($U660="","Основний",$U660),{"Трафіковий","Основний","Маржинальний","Сезонний","Стратегічний"},0),Settings!$F$78,Settings!$F$80,Settings!$F$82,Settings!$F$84,Settings!$F$86)</f>
        <v/>
      </c>
      <c r="AR660" s="157">
        <f>CHOOSE(MATCH(IF($U660="","Основний",$U660),{"Трафіковий","Основний","Маржинальний","Сезонний","Стратегічний"},0),Settings!$G$78,Settings!$G$80,Settings!$G$82,Settings!$G$84,Settings!$G$86)</f>
        <v/>
      </c>
      <c r="AS660" s="157">
        <f>CHOOSE(MATCH(IF($U660="","Основний",$U660),{"Трафіковий","Основний","Маржинальний","Сезонний","Стратегічний"},0),Settings!$H$78,Settings!$H$80,Settings!$H$82,Settings!$H$84,Settings!$H$86)</f>
        <v/>
      </c>
      <c r="AT660" s="157">
        <f>CHOOSE(MATCH(IF($U660="","Основний",$U660),{"Трафіковий","Основний","Маржинальний","Сезонний","Стратегічний"},0),Settings!$I$78,Settings!$I$80,Settings!$I$82,Settings!$I$84,Settings!$I$86)</f>
        <v/>
      </c>
      <c r="AU660" s="171" t="n"/>
      <c r="AV660" t="n">
        <v>1.25</v>
      </c>
    </row>
    <row r="661">
      <c r="A661" s="33" t="inlineStr">
        <is>
          <t>NEW</t>
        </is>
      </c>
      <c r="B661" s="34" t="inlineStr">
        <is>
          <t>H4040</t>
        </is>
      </c>
      <c r="C661" s="34" t="inlineStr">
        <is>
          <t>GOSMART VIDEO DOOR PHONE 7" IP-850B 2WIRE SET</t>
        </is>
      </c>
      <c r="D661" s="34" t="inlineStr">
        <is>
          <t>Відеосистеми, та IP камери</t>
        </is>
      </c>
      <c r="E661" s="33" t="inlineStr">
        <is>
          <t>PC</t>
        </is>
      </c>
      <c r="F661" s="94" t="n">
        <v>87.602</v>
      </c>
      <c r="G661" s="35" t="n">
        <v>8517691000</v>
      </c>
      <c r="H661" s="31" t="n">
        <v>1.3</v>
      </c>
      <c r="I661" s="84">
        <f>IFERROR(F661*Settings!$B$2*H661*IF(AND(ISNUMBER(E661),E661&gt;1),E661,1),"")</f>
        <v/>
      </c>
      <c r="J661" s="32">
        <f>Settings!$B$66</f>
        <v/>
      </c>
      <c r="K661" s="95">
        <f>IFERROR(IF(T661="","",(T661*(1-AN661)*(1-Settings!$B$17)-I661)/(T661*(1-AN661)*(1-Settings!$B$17))),"")</f>
        <v/>
      </c>
      <c r="L661" s="101">
        <f>IFERROR(IF(T661="","",(T661*(1-AO661)*(1-Settings!$C$17)-I661)/(T661*(1-AO661)*(1-Settings!$C$17))),"")</f>
        <v/>
      </c>
      <c r="M661" s="101">
        <f>IFERROR(IF(T661="","",(T661*(1-AP661)*(1-Settings!$D$17)-I661)/(T661*(1-AP661)*(1-Settings!$D$17))),"")</f>
        <v/>
      </c>
      <c r="N661" s="101">
        <f>IFERROR(IF(T661="","",(T661*(1-AQ661)*(1-Settings!$F$17)-I661)/(T661*(1-AQ661)*(1-Settings!$F$17))),"")</f>
        <v/>
      </c>
      <c r="O661" s="101">
        <f>IFERROR(IF(T661="","",(T661*(1-AR661)*(1-Settings!$G$17)-I661)/(T661*(1-AR661)*(1-Settings!$G$17))),"")</f>
        <v/>
      </c>
      <c r="P661" s="101">
        <f>IFERROR(IF(T661="","",(T661*(1-AS661)*(1-Settings!$H$17)-I661)/(T661*(1-AS661)*(1-Settings!$H$17))),"")</f>
        <v/>
      </c>
      <c r="Q661" s="101">
        <f>IFERROR(IF(T661="","",(T661*(1-AT661)*(1-Settings!$I$68)*(1-Settings!$I$17)-I661)/(T661*(1-AT661)*(1-Settings!$I$68)*(1-Settings!$I$17))),"")</f>
        <v/>
      </c>
      <c r="R661" s="91">
        <f>IFERROR(IF(OR(I661="",Z661&gt;=1,Settings!$B$17&gt;=1,AN661&gt;=1),"",IF(MOD(ROUND(I661/(1-Z661)/(1-Settings!$B$17)/(1-AN661),0),10)=0,ROUND(I661/(1-Z661)/(1-Settings!$B$17)/(1-AN661),0)-1,IF(MOD(ROUND(I661/(1-Z661)/(1-Settings!$B$17)/(1-AN661),0),10)&lt;=5,FLOOR(ROUND(I661/(1-Z661)/(1-Settings!$B$17)/(1-AN661),0),10)+6,FLOOR(ROUND(I661/(1-Z661)/(1-Settings!$B$17)/(1-AN661),0),10)+9))),"")</f>
        <v/>
      </c>
      <c r="S661" s="174" t="n"/>
      <c r="T661" s="91">
        <f>IF(S661&lt;&gt;"", IF(MOD(S661,10)=0,S661-1,IF(MOD(S661,10)&lt;=5,FLOOR(S661,10)+6,FLOOR(S661,10)+9)), R661)</f>
        <v/>
      </c>
      <c r="U661" s="87" t="inlineStr">
        <is>
          <t>Трафіковий</t>
        </is>
      </c>
      <c r="V661" s="88" t="n"/>
      <c r="W661" s="88" t="n"/>
      <c r="X661" s="89">
        <f>IFERROR(IF(OR(V661="",W661="",T661=""),"", IF(T661&gt;W661,"Дорогий",IF(T661&lt;V661,"Дешевий","У ринку"))),"")</f>
        <v/>
      </c>
      <c r="Y661" s="90" t="n"/>
      <c r="Z661" s="104">
        <f>CHOOSE(MATCH(IF($U661="","Основний",$U661),{"Трафіковий","Основний","Маржинальний","Сезонний","Стратегічний"},0),0.16,0.19,0.24,0.23,0.28)</f>
        <v/>
      </c>
      <c r="AA661" s="104">
        <f>CHOOSE(MATCH(IF($U661="","Основний",$U661),{"Трафіковий","Основний","Маржинальний","Сезонний","Стратегічний"},0),0.18,0.21,0.26,0.25,0.3)</f>
        <v/>
      </c>
      <c r="AB661" s="104">
        <f>CHOOSE(MATCH(IF($U661="","Основний",$U661),{"Трафіковий","Основний","Маржинальний","Сезонний","Стратегічний"},0),0.19,0.22,0.28,0.26,0.32)</f>
        <v/>
      </c>
      <c r="AC661" s="104">
        <f>CHOOSE(MATCH(IF($U661="","Основний",$U661),{"Трафіковий","Основний","Маржинальний","Сезонний","Стратегічний"},0),0.17,0.2,0.25,0.24,0.28)</f>
        <v/>
      </c>
      <c r="AD661" s="104">
        <f>CHOOSE(MATCH(IF($U661="","Основний",$U661),{"Трафіковий","Основний","Маржинальний","Сезонний","Стратегічний"},0),0.18,0.21,0.26,0.25,0.3)</f>
        <v/>
      </c>
      <c r="AE661" s="104">
        <f>CHOOSE(MATCH(IF($U661="","Основний",$U661),{"Трафіковий","Основний","Маржинальний","Сезонний","Стратегічний"},0),0.18,0.2,0.28,0.27,0.32)</f>
        <v/>
      </c>
      <c r="AF661" s="104">
        <f>CHOOSE(MATCH(IF($U661="","Основний",$U661),{"Трафіковий","Основний","Маржинальний","Сезонний","Стратегічний"},0),0.15,0.175,0.22,0.21,0.25)</f>
        <v/>
      </c>
      <c r="AG661" s="104">
        <f>CHOOSE(MATCH(IF($U661="","Основний",$U661),{"Трафіковий","Основний","Маржинальний","Сезонний","Стратегічний"},0),0.13,0.16,0.21,0.2,0.25)</f>
        <v/>
      </c>
      <c r="AH661" s="104">
        <f>CHOOSE(MATCH(IF($U661="","Основний",$U661),{"Трафіковий","Основний","Маржинальний","Сезонний","Стратегічний"},0),0.15,0.18,0.23,0.22,0.27)</f>
        <v/>
      </c>
      <c r="AI661" s="104">
        <f>CHOOSE(MATCH(IF($U661="","Основний",$U661),{"Трафіковий","Основний","Маржинальний","Сезонний","Стратегічний"},0),0.16,0.19,0.25,0.23,0.29)</f>
        <v/>
      </c>
      <c r="AJ661" s="104">
        <f>CHOOSE(MATCH(IF($U661="","Основний",$U661),{"Трафіковий","Основний","Маржинальний","Сезонний","Стратегічний"},0),0.14,0.17,0.22,0.21,0.25)</f>
        <v/>
      </c>
      <c r="AK661" s="104">
        <f>CHOOSE(MATCH(IF($U661="","Основний",$U661),{"Трафіковий","Основний","Маржинальний","Сезонний","Стратегічний"},0),0.15,0.18,0.23,0.22,0.27)</f>
        <v/>
      </c>
      <c r="AL661" s="104">
        <f>CHOOSE(MATCH(IF($U661="","Основний",$U661),{"Трафіковий","Основний","Маржинальний","Сезонний","Стратегічний"},0),0.15,0.17,0.25,0.24,0.29)</f>
        <v/>
      </c>
      <c r="AM661" s="104">
        <f>CHOOSE(MATCH(IF($U661="","Основний",$U661),{"Трафіковий","Основний","Маржинальний","Сезонний","Стратегічний"},0),0.12,0.145,0.19,0.18,0.22)</f>
        <v/>
      </c>
      <c r="AN661" s="157">
        <f>CHOOSE(MATCH(IF($U661="","Основний",$U661),{"Трафіковий","Основний","Маржинальний","Сезонний","Стратегічний"},0),Settings!$B$78,Settings!$B$80,Settings!$B$82,Settings!$B$84,Settings!$B$86)</f>
        <v/>
      </c>
      <c r="AO661" s="157">
        <f>CHOOSE(MATCH(IF($U661="","Основний",$U661),{"Трафіковий","Основний","Маржинальний","Сезонний","Стратегічний"},0),Settings!$C$78,Settings!$C$80,Settings!$C$82,Settings!$C$84,Settings!$C$86)</f>
        <v/>
      </c>
      <c r="AP661" s="157">
        <f>CHOOSE(MATCH(IF($U661="","Основний",$U661),{"Трафіковий","Основний","Маржинальний","Сезонний","Стратегічний"},0),Settings!$D$78,Settings!$D$80,Settings!$D$82,Settings!$D$84,Settings!$D$86)</f>
        <v/>
      </c>
      <c r="AQ661" s="157">
        <f>CHOOSE(MATCH(IF($U661="","Основний",$U661),{"Трафіковий","Основний","Маржинальний","Сезонний","Стратегічний"},0),Settings!$F$78,Settings!$F$80,Settings!$F$82,Settings!$F$84,Settings!$F$86)</f>
        <v/>
      </c>
      <c r="AR661" s="157">
        <f>CHOOSE(MATCH(IF($U661="","Основний",$U661),{"Трафіковий","Основний","Маржинальний","Сезонний","Стратегічний"},0),Settings!$G$78,Settings!$G$80,Settings!$G$82,Settings!$G$84,Settings!$G$86)</f>
        <v/>
      </c>
      <c r="AS661" s="157">
        <f>CHOOSE(MATCH(IF($U661="","Основний",$U661),{"Трафіковий","Основний","Маржинальний","Сезонний","Стратегічний"},0),Settings!$H$78,Settings!$H$80,Settings!$H$82,Settings!$H$84,Settings!$H$86)</f>
        <v/>
      </c>
      <c r="AT661" s="157">
        <f>CHOOSE(MATCH(IF($U661="","Основний",$U661),{"Трафіковий","Основний","Маржинальний","Сезонний","Стратегічний"},0),Settings!$I$78,Settings!$I$80,Settings!$I$82,Settings!$I$84,Settings!$I$86)</f>
        <v/>
      </c>
      <c r="AU661" s="171" t="n"/>
      <c r="AV661" t="n">
        <v>1.25</v>
      </c>
    </row>
    <row r="662">
      <c r="A662" s="28" t="inlineStr">
        <is>
          <t>NEW</t>
        </is>
      </c>
      <c r="B662" s="29" t="inlineStr">
        <is>
          <t>H4041</t>
        </is>
      </c>
      <c r="C662" s="29" t="inlineStr">
        <is>
          <t>GOSMART VDP 7" IP-850B 2WIRE MONITOR</t>
        </is>
      </c>
      <c r="D662" s="29" t="inlineStr">
        <is>
          <t>Відеосистеми, та IP камери</t>
        </is>
      </c>
      <c r="E662" s="28" t="inlineStr">
        <is>
          <t>PC</t>
        </is>
      </c>
      <c r="F662" s="93" t="n">
        <v>54.23</v>
      </c>
      <c r="G662" s="30" t="n">
        <v>8517691000</v>
      </c>
      <c r="H662" s="31" t="n">
        <v>1.3</v>
      </c>
      <c r="I662" s="84">
        <f>IFERROR(F662*Settings!$B$2*H662*IF(AND(ISNUMBER(E662),E662&gt;1),E662,1),"")</f>
        <v/>
      </c>
      <c r="J662" s="32">
        <f>Settings!$B$66</f>
        <v/>
      </c>
      <c r="K662" s="95">
        <f>IFERROR(IF(T662="","",(T662*(1-AN662)*(1-Settings!$B$17)-I662)/(T662*(1-AN662)*(1-Settings!$B$17))),"")</f>
        <v/>
      </c>
      <c r="L662" s="101">
        <f>IFERROR(IF(T662="","",(T662*(1-AO662)*(1-Settings!$C$17)-I662)/(T662*(1-AO662)*(1-Settings!$C$17))),"")</f>
        <v/>
      </c>
      <c r="M662" s="101">
        <f>IFERROR(IF(T662="","",(T662*(1-AP662)*(1-Settings!$D$17)-I662)/(T662*(1-AP662)*(1-Settings!$D$17))),"")</f>
        <v/>
      </c>
      <c r="N662" s="101">
        <f>IFERROR(IF(T662="","",(T662*(1-AQ662)*(1-Settings!$F$17)-I662)/(T662*(1-AQ662)*(1-Settings!$F$17))),"")</f>
        <v/>
      </c>
      <c r="O662" s="101">
        <f>IFERROR(IF(T662="","",(T662*(1-AR662)*(1-Settings!$G$17)-I662)/(T662*(1-AR662)*(1-Settings!$G$17))),"")</f>
        <v/>
      </c>
      <c r="P662" s="101">
        <f>IFERROR(IF(T662="","",(T662*(1-AS662)*(1-Settings!$H$17)-I662)/(T662*(1-AS662)*(1-Settings!$H$17))),"")</f>
        <v/>
      </c>
      <c r="Q662" s="101">
        <f>IFERROR(IF(T662="","",(T662*(1-AT662)*(1-Settings!$I$68)*(1-Settings!$I$17)-I662)/(T662*(1-AT662)*(1-Settings!$I$68)*(1-Settings!$I$17))),"")</f>
        <v/>
      </c>
      <c r="R662" s="91">
        <f>IFERROR(IF(OR(I662="",Z662&gt;=1,Settings!$B$17&gt;=1,AN662&gt;=1),"",IF(MOD(ROUND(I662/(1-Z662)/(1-Settings!$B$17)/(1-AN662),0),10)=0,ROUND(I662/(1-Z662)/(1-Settings!$B$17)/(1-AN662),0)-1,IF(MOD(ROUND(I662/(1-Z662)/(1-Settings!$B$17)/(1-AN662),0),10)&lt;=5,FLOOR(ROUND(I662/(1-Z662)/(1-Settings!$B$17)/(1-AN662),0),10)+6,FLOOR(ROUND(I662/(1-Z662)/(1-Settings!$B$17)/(1-AN662),0),10)+9))),"")</f>
        <v/>
      </c>
      <c r="S662" s="174" t="n"/>
      <c r="T662" s="91">
        <f>IF(S662&lt;&gt;"", IF(MOD(S662,10)=0,S662-1,IF(MOD(S662,10)&lt;=5,FLOOR(S662,10)+6,FLOOR(S662,10)+9)), R662)</f>
        <v/>
      </c>
      <c r="U662" s="87" t="inlineStr">
        <is>
          <t>Трафіковий</t>
        </is>
      </c>
      <c r="V662" s="88" t="n"/>
      <c r="W662" s="88" t="n"/>
      <c r="X662" s="89">
        <f>IFERROR(IF(OR(V662="",W662="",T662=""),"", IF(T662&gt;W662,"Дорогий",IF(T662&lt;V662,"Дешевий","У ринку"))),"")</f>
        <v/>
      </c>
      <c r="Y662" s="90" t="n"/>
      <c r="Z662" s="104">
        <f>CHOOSE(MATCH(IF($U662="","Основний",$U662),{"Трафіковий","Основний","Маржинальний","Сезонний","Стратегічний"},0),0.16,0.19,0.24,0.23,0.28)</f>
        <v/>
      </c>
      <c r="AA662" s="104">
        <f>CHOOSE(MATCH(IF($U662="","Основний",$U662),{"Трафіковий","Основний","Маржинальний","Сезонний","Стратегічний"},0),0.18,0.21,0.26,0.25,0.3)</f>
        <v/>
      </c>
      <c r="AB662" s="104">
        <f>CHOOSE(MATCH(IF($U662="","Основний",$U662),{"Трафіковий","Основний","Маржинальний","Сезонний","Стратегічний"},0),0.19,0.22,0.28,0.26,0.32)</f>
        <v/>
      </c>
      <c r="AC662" s="104">
        <f>CHOOSE(MATCH(IF($U662="","Основний",$U662),{"Трафіковий","Основний","Маржинальний","Сезонний","Стратегічний"},0),0.17,0.2,0.25,0.24,0.28)</f>
        <v/>
      </c>
      <c r="AD662" s="104">
        <f>CHOOSE(MATCH(IF($U662="","Основний",$U662),{"Трафіковий","Основний","Маржинальний","Сезонний","Стратегічний"},0),0.18,0.21,0.26,0.25,0.3)</f>
        <v/>
      </c>
      <c r="AE662" s="104">
        <f>CHOOSE(MATCH(IF($U662="","Основний",$U662),{"Трафіковий","Основний","Маржинальний","Сезонний","Стратегічний"},0),0.18,0.2,0.28,0.27,0.32)</f>
        <v/>
      </c>
      <c r="AF662" s="104">
        <f>CHOOSE(MATCH(IF($U662="","Основний",$U662),{"Трафіковий","Основний","Маржинальний","Сезонний","Стратегічний"},0),0.15,0.175,0.22,0.21,0.25)</f>
        <v/>
      </c>
      <c r="AG662" s="104">
        <f>CHOOSE(MATCH(IF($U662="","Основний",$U662),{"Трафіковий","Основний","Маржинальний","Сезонний","Стратегічний"},0),0.13,0.16,0.21,0.2,0.25)</f>
        <v/>
      </c>
      <c r="AH662" s="104">
        <f>CHOOSE(MATCH(IF($U662="","Основний",$U662),{"Трафіковий","Основний","Маржинальний","Сезонний","Стратегічний"},0),0.15,0.18,0.23,0.22,0.27)</f>
        <v/>
      </c>
      <c r="AI662" s="104">
        <f>CHOOSE(MATCH(IF($U662="","Основний",$U662),{"Трафіковий","Основний","Маржинальний","Сезонний","Стратегічний"},0),0.16,0.19,0.25,0.23,0.29)</f>
        <v/>
      </c>
      <c r="AJ662" s="104">
        <f>CHOOSE(MATCH(IF($U662="","Основний",$U662),{"Трафіковий","Основний","Маржинальний","Сезонний","Стратегічний"},0),0.14,0.17,0.22,0.21,0.25)</f>
        <v/>
      </c>
      <c r="AK662" s="104">
        <f>CHOOSE(MATCH(IF($U662="","Основний",$U662),{"Трафіковий","Основний","Маржинальний","Сезонний","Стратегічний"},0),0.15,0.18,0.23,0.22,0.27)</f>
        <v/>
      </c>
      <c r="AL662" s="104">
        <f>CHOOSE(MATCH(IF($U662="","Основний",$U662),{"Трафіковий","Основний","Маржинальний","Сезонний","Стратегічний"},0),0.15,0.17,0.25,0.24,0.29)</f>
        <v/>
      </c>
      <c r="AM662" s="104">
        <f>CHOOSE(MATCH(IF($U662="","Основний",$U662),{"Трафіковий","Основний","Маржинальний","Сезонний","Стратегічний"},0),0.12,0.145,0.19,0.18,0.22)</f>
        <v/>
      </c>
      <c r="AN662" s="157">
        <f>CHOOSE(MATCH(IF($U662="","Основний",$U662),{"Трафіковий","Основний","Маржинальний","Сезонний","Стратегічний"},0),Settings!$B$78,Settings!$B$80,Settings!$B$82,Settings!$B$84,Settings!$B$86)</f>
        <v/>
      </c>
      <c r="AO662" s="157">
        <f>CHOOSE(MATCH(IF($U662="","Основний",$U662),{"Трафіковий","Основний","Маржинальний","Сезонний","Стратегічний"},0),Settings!$C$78,Settings!$C$80,Settings!$C$82,Settings!$C$84,Settings!$C$86)</f>
        <v/>
      </c>
      <c r="AP662" s="157">
        <f>CHOOSE(MATCH(IF($U662="","Основний",$U662),{"Трафіковий","Основний","Маржинальний","Сезонний","Стратегічний"},0),Settings!$D$78,Settings!$D$80,Settings!$D$82,Settings!$D$84,Settings!$D$86)</f>
        <v/>
      </c>
      <c r="AQ662" s="157">
        <f>CHOOSE(MATCH(IF($U662="","Основний",$U662),{"Трафіковий","Основний","Маржинальний","Сезонний","Стратегічний"},0),Settings!$F$78,Settings!$F$80,Settings!$F$82,Settings!$F$84,Settings!$F$86)</f>
        <v/>
      </c>
      <c r="AR662" s="157">
        <f>CHOOSE(MATCH(IF($U662="","Основний",$U662),{"Трафіковий","Основний","Маржинальний","Сезонний","Стратегічний"},0),Settings!$G$78,Settings!$G$80,Settings!$G$82,Settings!$G$84,Settings!$G$86)</f>
        <v/>
      </c>
      <c r="AS662" s="157">
        <f>CHOOSE(MATCH(IF($U662="","Основний",$U662),{"Трафіковий","Основний","Маржинальний","Сезонний","Стратегічний"},0),Settings!$H$78,Settings!$H$80,Settings!$H$82,Settings!$H$84,Settings!$H$86)</f>
        <v/>
      </c>
      <c r="AT662" s="157">
        <f>CHOOSE(MATCH(IF($U662="","Основний",$U662),{"Трафіковий","Основний","Маржинальний","Сезонний","Стратегічний"},0),Settings!$I$78,Settings!$I$80,Settings!$I$82,Settings!$I$84,Settings!$I$86)</f>
        <v/>
      </c>
      <c r="AU662" s="171" t="n"/>
      <c r="AV662" t="n">
        <v>1.25</v>
      </c>
    </row>
    <row r="663">
      <c r="A663" s="33" t="inlineStr">
        <is>
          <t>NEW</t>
        </is>
      </c>
      <c r="B663" s="34" t="inlineStr">
        <is>
          <t>H4042</t>
        </is>
      </c>
      <c r="C663" s="34" t="inlineStr">
        <is>
          <t>OUTDOOR UNIT IP-850 - 1BUTTON</t>
        </is>
      </c>
      <c r="D663" s="34" t="inlineStr">
        <is>
          <t>Відеосистеми, та IP камери</t>
        </is>
      </c>
      <c r="E663" s="33" t="inlineStr">
        <is>
          <t>PC</t>
        </is>
      </c>
      <c r="F663" s="94" t="n">
        <v>34.763</v>
      </c>
      <c r="G663" s="35" t="n">
        <v>8517691000</v>
      </c>
      <c r="H663" s="31" t="n">
        <v>1.3</v>
      </c>
      <c r="I663" s="84">
        <f>IFERROR(F663*Settings!$B$2*H663*IF(AND(ISNUMBER(E663),E663&gt;1),E663,1),"")</f>
        <v/>
      </c>
      <c r="J663" s="32">
        <f>Settings!$B$66</f>
        <v/>
      </c>
      <c r="K663" s="95">
        <f>IFERROR(IF(T663="","",(T663*(1-AN663)*(1-Settings!$B$17)-I663)/(T663*(1-AN663)*(1-Settings!$B$17))),"")</f>
        <v/>
      </c>
      <c r="L663" s="101">
        <f>IFERROR(IF(T663="","",(T663*(1-AO663)*(1-Settings!$C$17)-I663)/(T663*(1-AO663)*(1-Settings!$C$17))),"")</f>
        <v/>
      </c>
      <c r="M663" s="101">
        <f>IFERROR(IF(T663="","",(T663*(1-AP663)*(1-Settings!$D$17)-I663)/(T663*(1-AP663)*(1-Settings!$D$17))),"")</f>
        <v/>
      </c>
      <c r="N663" s="101">
        <f>IFERROR(IF(T663="","",(T663*(1-AQ663)*(1-Settings!$F$17)-I663)/(T663*(1-AQ663)*(1-Settings!$F$17))),"")</f>
        <v/>
      </c>
      <c r="O663" s="101">
        <f>IFERROR(IF(T663="","",(T663*(1-AR663)*(1-Settings!$G$17)-I663)/(T663*(1-AR663)*(1-Settings!$G$17))),"")</f>
        <v/>
      </c>
      <c r="P663" s="101">
        <f>IFERROR(IF(T663="","",(T663*(1-AS663)*(1-Settings!$H$17)-I663)/(T663*(1-AS663)*(1-Settings!$H$17))),"")</f>
        <v/>
      </c>
      <c r="Q663" s="101">
        <f>IFERROR(IF(T663="","",(T663*(1-AT663)*(1-Settings!$I$68)*(1-Settings!$I$17)-I663)/(T663*(1-AT663)*(1-Settings!$I$68)*(1-Settings!$I$17))),"")</f>
        <v/>
      </c>
      <c r="R663" s="91">
        <f>IFERROR(IF(OR(I663="",Z663&gt;=1,Settings!$B$17&gt;=1,AN663&gt;=1),"",IF(MOD(ROUND(I663/(1-Z663)/(1-Settings!$B$17)/(1-AN663),0),10)=0,ROUND(I663/(1-Z663)/(1-Settings!$B$17)/(1-AN663),0)-1,IF(MOD(ROUND(I663/(1-Z663)/(1-Settings!$B$17)/(1-AN663),0),10)&lt;=5,FLOOR(ROUND(I663/(1-Z663)/(1-Settings!$B$17)/(1-AN663),0),10)+6,FLOOR(ROUND(I663/(1-Z663)/(1-Settings!$B$17)/(1-AN663),0),10)+9))),"")</f>
        <v/>
      </c>
      <c r="S663" s="174" t="n"/>
      <c r="T663" s="91">
        <f>IF(S663&lt;&gt;"", IF(MOD(S663,10)=0,S663-1,IF(MOD(S663,10)&lt;=5,FLOOR(S663,10)+6,FLOOR(S663,10)+9)), R663)</f>
        <v/>
      </c>
      <c r="U663" s="87" t="inlineStr">
        <is>
          <t>Трафіковий</t>
        </is>
      </c>
      <c r="V663" s="88" t="n"/>
      <c r="W663" s="88" t="n"/>
      <c r="X663" s="89">
        <f>IFERROR(IF(OR(V663="",W663="",T663=""),"", IF(T663&gt;W663,"Дорогий",IF(T663&lt;V663,"Дешевий","У ринку"))),"")</f>
        <v/>
      </c>
      <c r="Y663" s="90" t="n"/>
      <c r="Z663" s="104">
        <f>CHOOSE(MATCH(IF($U663="","Основний",$U663),{"Трафіковий","Основний","Маржинальний","Сезонний","Стратегічний"},0),0.16,0.19,0.24,0.23,0.28)</f>
        <v/>
      </c>
      <c r="AA663" s="104">
        <f>CHOOSE(MATCH(IF($U663="","Основний",$U663),{"Трафіковий","Основний","Маржинальний","Сезонний","Стратегічний"},0),0.18,0.21,0.26,0.25,0.3)</f>
        <v/>
      </c>
      <c r="AB663" s="104">
        <f>CHOOSE(MATCH(IF($U663="","Основний",$U663),{"Трафіковий","Основний","Маржинальний","Сезонний","Стратегічний"},0),0.19,0.22,0.28,0.26,0.32)</f>
        <v/>
      </c>
      <c r="AC663" s="104">
        <f>CHOOSE(MATCH(IF($U663="","Основний",$U663),{"Трафіковий","Основний","Маржинальний","Сезонний","Стратегічний"},0),0.17,0.2,0.25,0.24,0.28)</f>
        <v/>
      </c>
      <c r="AD663" s="104">
        <f>CHOOSE(MATCH(IF($U663="","Основний",$U663),{"Трафіковий","Основний","Маржинальний","Сезонний","Стратегічний"},0),0.18,0.21,0.26,0.25,0.3)</f>
        <v/>
      </c>
      <c r="AE663" s="104">
        <f>CHOOSE(MATCH(IF($U663="","Основний",$U663),{"Трафіковий","Основний","Маржинальний","Сезонний","Стратегічний"},0),0.18,0.2,0.28,0.27,0.32)</f>
        <v/>
      </c>
      <c r="AF663" s="104">
        <f>CHOOSE(MATCH(IF($U663="","Основний",$U663),{"Трафіковий","Основний","Маржинальний","Сезонний","Стратегічний"},0),0.15,0.175,0.22,0.21,0.25)</f>
        <v/>
      </c>
      <c r="AG663" s="104">
        <f>CHOOSE(MATCH(IF($U663="","Основний",$U663),{"Трафіковий","Основний","Маржинальний","Сезонний","Стратегічний"},0),0.13,0.16,0.21,0.2,0.25)</f>
        <v/>
      </c>
      <c r="AH663" s="104">
        <f>CHOOSE(MATCH(IF($U663="","Основний",$U663),{"Трафіковий","Основний","Маржинальний","Сезонний","Стратегічний"},0),0.15,0.18,0.23,0.22,0.27)</f>
        <v/>
      </c>
      <c r="AI663" s="104">
        <f>CHOOSE(MATCH(IF($U663="","Основний",$U663),{"Трафіковий","Основний","Маржинальний","Сезонний","Стратегічний"},0),0.16,0.19,0.25,0.23,0.29)</f>
        <v/>
      </c>
      <c r="AJ663" s="104">
        <f>CHOOSE(MATCH(IF($U663="","Основний",$U663),{"Трафіковий","Основний","Маржинальний","Сезонний","Стратегічний"},0),0.14,0.17,0.22,0.21,0.25)</f>
        <v/>
      </c>
      <c r="AK663" s="104">
        <f>CHOOSE(MATCH(IF($U663="","Основний",$U663),{"Трафіковий","Основний","Маржинальний","Сезонний","Стратегічний"},0),0.15,0.18,0.23,0.22,0.27)</f>
        <v/>
      </c>
      <c r="AL663" s="104">
        <f>CHOOSE(MATCH(IF($U663="","Основний",$U663),{"Трафіковий","Основний","Маржинальний","Сезонний","Стратегічний"},0),0.15,0.17,0.25,0.24,0.29)</f>
        <v/>
      </c>
      <c r="AM663" s="104">
        <f>CHOOSE(MATCH(IF($U663="","Основний",$U663),{"Трафіковий","Основний","Маржинальний","Сезонний","Стратегічний"},0),0.12,0.145,0.19,0.18,0.22)</f>
        <v/>
      </c>
      <c r="AN663" s="157">
        <f>CHOOSE(MATCH(IF($U663="","Основний",$U663),{"Трафіковий","Основний","Маржинальний","Сезонний","Стратегічний"},0),Settings!$B$78,Settings!$B$80,Settings!$B$82,Settings!$B$84,Settings!$B$86)</f>
        <v/>
      </c>
      <c r="AO663" s="157">
        <f>CHOOSE(MATCH(IF($U663="","Основний",$U663),{"Трафіковий","Основний","Маржинальний","Сезонний","Стратегічний"},0),Settings!$C$78,Settings!$C$80,Settings!$C$82,Settings!$C$84,Settings!$C$86)</f>
        <v/>
      </c>
      <c r="AP663" s="157">
        <f>CHOOSE(MATCH(IF($U663="","Основний",$U663),{"Трафіковий","Основний","Маржинальний","Сезонний","Стратегічний"},0),Settings!$D$78,Settings!$D$80,Settings!$D$82,Settings!$D$84,Settings!$D$86)</f>
        <v/>
      </c>
      <c r="AQ663" s="157">
        <f>CHOOSE(MATCH(IF($U663="","Основний",$U663),{"Трафіковий","Основний","Маржинальний","Сезонний","Стратегічний"},0),Settings!$F$78,Settings!$F$80,Settings!$F$82,Settings!$F$84,Settings!$F$86)</f>
        <v/>
      </c>
      <c r="AR663" s="157">
        <f>CHOOSE(MATCH(IF($U663="","Основний",$U663),{"Трафіковий","Основний","Маржинальний","Сезонний","Стратегічний"},0),Settings!$G$78,Settings!$G$80,Settings!$G$82,Settings!$G$84,Settings!$G$86)</f>
        <v/>
      </c>
      <c r="AS663" s="157">
        <f>CHOOSE(MATCH(IF($U663="","Основний",$U663),{"Трафіковий","Основний","Маржинальний","Сезонний","Стратегічний"},0),Settings!$H$78,Settings!$H$80,Settings!$H$82,Settings!$H$84,Settings!$H$86)</f>
        <v/>
      </c>
      <c r="AT663" s="157">
        <f>CHOOSE(MATCH(IF($U663="","Основний",$U663),{"Трафіковий","Основний","Маржинальний","Сезонний","Стратегічний"},0),Settings!$I$78,Settings!$I$80,Settings!$I$82,Settings!$I$84,Settings!$I$86)</f>
        <v/>
      </c>
      <c r="AU663" s="171" t="n"/>
      <c r="AV663" t="n">
        <v>1.25</v>
      </c>
    </row>
    <row r="664">
      <c r="A664" s="28" t="inlineStr">
        <is>
          <t>NEW</t>
        </is>
      </c>
      <c r="B664" s="29" t="inlineStr">
        <is>
          <t>H4043</t>
        </is>
      </c>
      <c r="C664" s="29" t="inlineStr">
        <is>
          <t>OUTDOOR UNIT IP-850 - 2 BUTTONS</t>
        </is>
      </c>
      <c r="D664" s="29" t="inlineStr">
        <is>
          <t>Відеосистеми, та IP камери</t>
        </is>
      </c>
      <c r="E664" s="28" t="inlineStr">
        <is>
          <t>PC</t>
        </is>
      </c>
      <c r="F664" s="93" t="n">
        <v>36.848</v>
      </c>
      <c r="G664" s="30" t="n">
        <v>8517691000</v>
      </c>
      <c r="H664" s="31" t="n">
        <v>1.3</v>
      </c>
      <c r="I664" s="84">
        <f>IFERROR(F664*Settings!$B$2*H664*IF(AND(ISNUMBER(E664),E664&gt;1),E664,1),"")</f>
        <v/>
      </c>
      <c r="J664" s="32">
        <f>Settings!$B$66</f>
        <v/>
      </c>
      <c r="K664" s="95">
        <f>IFERROR(IF(T664="","",(T664*(1-AN664)*(1-Settings!$B$17)-I664)/(T664*(1-AN664)*(1-Settings!$B$17))),"")</f>
        <v/>
      </c>
      <c r="L664" s="101">
        <f>IFERROR(IF(T664="","",(T664*(1-AO664)*(1-Settings!$C$17)-I664)/(T664*(1-AO664)*(1-Settings!$C$17))),"")</f>
        <v/>
      </c>
      <c r="M664" s="101">
        <f>IFERROR(IF(T664="","",(T664*(1-AP664)*(1-Settings!$D$17)-I664)/(T664*(1-AP664)*(1-Settings!$D$17))),"")</f>
        <v/>
      </c>
      <c r="N664" s="101">
        <f>IFERROR(IF(T664="","",(T664*(1-AQ664)*(1-Settings!$F$17)-I664)/(T664*(1-AQ664)*(1-Settings!$F$17))),"")</f>
        <v/>
      </c>
      <c r="O664" s="101">
        <f>IFERROR(IF(T664="","",(T664*(1-AR664)*(1-Settings!$G$17)-I664)/(T664*(1-AR664)*(1-Settings!$G$17))),"")</f>
        <v/>
      </c>
      <c r="P664" s="101">
        <f>IFERROR(IF(T664="","",(T664*(1-AS664)*(1-Settings!$H$17)-I664)/(T664*(1-AS664)*(1-Settings!$H$17))),"")</f>
        <v/>
      </c>
      <c r="Q664" s="101">
        <f>IFERROR(IF(T664="","",(T664*(1-AT664)*(1-Settings!$I$68)*(1-Settings!$I$17)-I664)/(T664*(1-AT664)*(1-Settings!$I$68)*(1-Settings!$I$17))),"")</f>
        <v/>
      </c>
      <c r="R664" s="91">
        <f>IFERROR(IF(OR(I664="",Z664&gt;=1,Settings!$B$17&gt;=1,AN664&gt;=1),"",IF(MOD(ROUND(I664/(1-Z664)/(1-Settings!$B$17)/(1-AN664),0),10)=0,ROUND(I664/(1-Z664)/(1-Settings!$B$17)/(1-AN664),0)-1,IF(MOD(ROUND(I664/(1-Z664)/(1-Settings!$B$17)/(1-AN664),0),10)&lt;=5,FLOOR(ROUND(I664/(1-Z664)/(1-Settings!$B$17)/(1-AN664),0),10)+6,FLOOR(ROUND(I664/(1-Z664)/(1-Settings!$B$17)/(1-AN664),0),10)+9))),"")</f>
        <v/>
      </c>
      <c r="S664" s="174" t="n"/>
      <c r="T664" s="91">
        <f>IF(S664&lt;&gt;"", IF(MOD(S664,10)=0,S664-1,IF(MOD(S664,10)&lt;=5,FLOOR(S664,10)+6,FLOOR(S664,10)+9)), R664)</f>
        <v/>
      </c>
      <c r="U664" s="87" t="inlineStr">
        <is>
          <t>Трафіковий</t>
        </is>
      </c>
      <c r="V664" s="88" t="n"/>
      <c r="W664" s="88" t="n"/>
      <c r="X664" s="89">
        <f>IFERROR(IF(OR(V664="",W664="",T664=""),"", IF(T664&gt;W664,"Дорогий",IF(T664&lt;V664,"Дешевий","У ринку"))),"")</f>
        <v/>
      </c>
      <c r="Y664" s="90" t="n"/>
      <c r="Z664" s="104">
        <f>CHOOSE(MATCH(IF($U664="","Основний",$U664),{"Трафіковий","Основний","Маржинальний","Сезонний","Стратегічний"},0),0.16,0.19,0.24,0.23,0.28)</f>
        <v/>
      </c>
      <c r="AA664" s="104">
        <f>CHOOSE(MATCH(IF($U664="","Основний",$U664),{"Трафіковий","Основний","Маржинальний","Сезонний","Стратегічний"},0),0.18,0.21,0.26,0.25,0.3)</f>
        <v/>
      </c>
      <c r="AB664" s="104">
        <f>CHOOSE(MATCH(IF($U664="","Основний",$U664),{"Трафіковий","Основний","Маржинальний","Сезонний","Стратегічний"},0),0.19,0.22,0.28,0.26,0.32)</f>
        <v/>
      </c>
      <c r="AC664" s="104">
        <f>CHOOSE(MATCH(IF($U664="","Основний",$U664),{"Трафіковий","Основний","Маржинальний","Сезонний","Стратегічний"},0),0.17,0.2,0.25,0.24,0.28)</f>
        <v/>
      </c>
      <c r="AD664" s="104">
        <f>CHOOSE(MATCH(IF($U664="","Основний",$U664),{"Трафіковий","Основний","Маржинальний","Сезонний","Стратегічний"},0),0.18,0.21,0.26,0.25,0.3)</f>
        <v/>
      </c>
      <c r="AE664" s="104">
        <f>CHOOSE(MATCH(IF($U664="","Основний",$U664),{"Трафіковий","Основний","Маржинальний","Сезонний","Стратегічний"},0),0.18,0.2,0.28,0.27,0.32)</f>
        <v/>
      </c>
      <c r="AF664" s="104">
        <f>CHOOSE(MATCH(IF($U664="","Основний",$U664),{"Трафіковий","Основний","Маржинальний","Сезонний","Стратегічний"},0),0.15,0.175,0.22,0.21,0.25)</f>
        <v/>
      </c>
      <c r="AG664" s="104">
        <f>CHOOSE(MATCH(IF($U664="","Основний",$U664),{"Трафіковий","Основний","Маржинальний","Сезонний","Стратегічний"},0),0.13,0.16,0.21,0.2,0.25)</f>
        <v/>
      </c>
      <c r="AH664" s="104">
        <f>CHOOSE(MATCH(IF($U664="","Основний",$U664),{"Трафіковий","Основний","Маржинальний","Сезонний","Стратегічний"},0),0.15,0.18,0.23,0.22,0.27)</f>
        <v/>
      </c>
      <c r="AI664" s="104">
        <f>CHOOSE(MATCH(IF($U664="","Основний",$U664),{"Трафіковий","Основний","Маржинальний","Сезонний","Стратегічний"},0),0.16,0.19,0.25,0.23,0.29)</f>
        <v/>
      </c>
      <c r="AJ664" s="104">
        <f>CHOOSE(MATCH(IF($U664="","Основний",$U664),{"Трафіковий","Основний","Маржинальний","Сезонний","Стратегічний"},0),0.14,0.17,0.22,0.21,0.25)</f>
        <v/>
      </c>
      <c r="AK664" s="104">
        <f>CHOOSE(MATCH(IF($U664="","Основний",$U664),{"Трафіковий","Основний","Маржинальний","Сезонний","Стратегічний"},0),0.15,0.18,0.23,0.22,0.27)</f>
        <v/>
      </c>
      <c r="AL664" s="104">
        <f>CHOOSE(MATCH(IF($U664="","Основний",$U664),{"Трафіковий","Основний","Маржинальний","Сезонний","Стратегічний"},0),0.15,0.17,0.25,0.24,0.29)</f>
        <v/>
      </c>
      <c r="AM664" s="104">
        <f>CHOOSE(MATCH(IF($U664="","Основний",$U664),{"Трафіковий","Основний","Маржинальний","Сезонний","Стратегічний"},0),0.12,0.145,0.19,0.18,0.22)</f>
        <v/>
      </c>
      <c r="AN664" s="157">
        <f>CHOOSE(MATCH(IF($U664="","Основний",$U664),{"Трафіковий","Основний","Маржинальний","Сезонний","Стратегічний"},0),Settings!$B$78,Settings!$B$80,Settings!$B$82,Settings!$B$84,Settings!$B$86)</f>
        <v/>
      </c>
      <c r="AO664" s="157">
        <f>CHOOSE(MATCH(IF($U664="","Основний",$U664),{"Трафіковий","Основний","Маржинальний","Сезонний","Стратегічний"},0),Settings!$C$78,Settings!$C$80,Settings!$C$82,Settings!$C$84,Settings!$C$86)</f>
        <v/>
      </c>
      <c r="AP664" s="157">
        <f>CHOOSE(MATCH(IF($U664="","Основний",$U664),{"Трафіковий","Основний","Маржинальний","Сезонний","Стратегічний"},0),Settings!$D$78,Settings!$D$80,Settings!$D$82,Settings!$D$84,Settings!$D$86)</f>
        <v/>
      </c>
      <c r="AQ664" s="157">
        <f>CHOOSE(MATCH(IF($U664="","Основний",$U664),{"Трафіковий","Основний","Маржинальний","Сезонний","Стратегічний"},0),Settings!$F$78,Settings!$F$80,Settings!$F$82,Settings!$F$84,Settings!$F$86)</f>
        <v/>
      </c>
      <c r="AR664" s="157">
        <f>CHOOSE(MATCH(IF($U664="","Основний",$U664),{"Трафіковий","Основний","Маржинальний","Сезонний","Стратегічний"},0),Settings!$G$78,Settings!$G$80,Settings!$G$82,Settings!$G$84,Settings!$G$86)</f>
        <v/>
      </c>
      <c r="AS664" s="157">
        <f>CHOOSE(MATCH(IF($U664="","Основний",$U664),{"Трафіковий","Основний","Маржинальний","Сезонний","Стратегічний"},0),Settings!$H$78,Settings!$H$80,Settings!$H$82,Settings!$H$84,Settings!$H$86)</f>
        <v/>
      </c>
      <c r="AT664" s="157">
        <f>CHOOSE(MATCH(IF($U664="","Основний",$U664),{"Трафіковий","Основний","Маржинальний","Сезонний","Стратегічний"},0),Settings!$I$78,Settings!$I$80,Settings!$I$82,Settings!$I$84,Settings!$I$86)</f>
        <v/>
      </c>
      <c r="AU664" s="171" t="n"/>
      <c r="AV664" t="n">
        <v>1.25</v>
      </c>
    </row>
    <row r="665">
      <c r="A665" s="33" t="inlineStr">
        <is>
          <t>NEW</t>
        </is>
      </c>
      <c r="B665" s="34" t="inlineStr">
        <is>
          <t>H4044</t>
        </is>
      </c>
      <c r="C665" s="34" t="inlineStr">
        <is>
          <t>OUTDOOR UNIT IP-850 - 4 BUTTONS</t>
        </is>
      </c>
      <c r="D665" s="34" t="inlineStr">
        <is>
          <t>Відеосистеми, та IP камери</t>
        </is>
      </c>
      <c r="E665" s="33" t="inlineStr">
        <is>
          <t>PC</t>
        </is>
      </c>
      <c r="F665" s="94" t="n">
        <v>43.106</v>
      </c>
      <c r="G665" s="35" t="n">
        <v>8517691000</v>
      </c>
      <c r="H665" s="31" t="n">
        <v>1.3</v>
      </c>
      <c r="I665" s="84">
        <f>IFERROR(F665*Settings!$B$2*H665*IF(AND(ISNUMBER(E665),E665&gt;1),E665,1),"")</f>
        <v/>
      </c>
      <c r="J665" s="32">
        <f>Settings!$B$66</f>
        <v/>
      </c>
      <c r="K665" s="95">
        <f>IFERROR(IF(T665="","",(T665*(1-AN665)*(1-Settings!$B$17)-I665)/(T665*(1-AN665)*(1-Settings!$B$17))),"")</f>
        <v/>
      </c>
      <c r="L665" s="101">
        <f>IFERROR(IF(T665="","",(T665*(1-AO665)*(1-Settings!$C$17)-I665)/(T665*(1-AO665)*(1-Settings!$C$17))),"")</f>
        <v/>
      </c>
      <c r="M665" s="101">
        <f>IFERROR(IF(T665="","",(T665*(1-AP665)*(1-Settings!$D$17)-I665)/(T665*(1-AP665)*(1-Settings!$D$17))),"")</f>
        <v/>
      </c>
      <c r="N665" s="101">
        <f>IFERROR(IF(T665="","",(T665*(1-AQ665)*(1-Settings!$F$17)-I665)/(T665*(1-AQ665)*(1-Settings!$F$17))),"")</f>
        <v/>
      </c>
      <c r="O665" s="101">
        <f>IFERROR(IF(T665="","",(T665*(1-AR665)*(1-Settings!$G$17)-I665)/(T665*(1-AR665)*(1-Settings!$G$17))),"")</f>
        <v/>
      </c>
      <c r="P665" s="101">
        <f>IFERROR(IF(T665="","",(T665*(1-AS665)*(1-Settings!$H$17)-I665)/(T665*(1-AS665)*(1-Settings!$H$17))),"")</f>
        <v/>
      </c>
      <c r="Q665" s="101">
        <f>IFERROR(IF(T665="","",(T665*(1-AT665)*(1-Settings!$I$68)*(1-Settings!$I$17)-I665)/(T665*(1-AT665)*(1-Settings!$I$68)*(1-Settings!$I$17))),"")</f>
        <v/>
      </c>
      <c r="R665" s="91">
        <f>IFERROR(IF(OR(I665="",Z665&gt;=1,Settings!$B$17&gt;=1,AN665&gt;=1),"",IF(MOD(ROUND(I665/(1-Z665)/(1-Settings!$B$17)/(1-AN665),0),10)=0,ROUND(I665/(1-Z665)/(1-Settings!$B$17)/(1-AN665),0)-1,IF(MOD(ROUND(I665/(1-Z665)/(1-Settings!$B$17)/(1-AN665),0),10)&lt;=5,FLOOR(ROUND(I665/(1-Z665)/(1-Settings!$B$17)/(1-AN665),0),10)+6,FLOOR(ROUND(I665/(1-Z665)/(1-Settings!$B$17)/(1-AN665),0),10)+9))),"")</f>
        <v/>
      </c>
      <c r="S665" s="174" t="n"/>
      <c r="T665" s="91">
        <f>IF(S665&lt;&gt;"", IF(MOD(S665,10)=0,S665-1,IF(MOD(S665,10)&lt;=5,FLOOR(S665,10)+6,FLOOR(S665,10)+9)), R665)</f>
        <v/>
      </c>
      <c r="U665" s="87" t="inlineStr">
        <is>
          <t>Трафіковий</t>
        </is>
      </c>
      <c r="V665" s="88" t="n"/>
      <c r="W665" s="88" t="n"/>
      <c r="X665" s="89">
        <f>IFERROR(IF(OR(V665="",W665="",T665=""),"", IF(T665&gt;W665,"Дорогий",IF(T665&lt;V665,"Дешевий","У ринку"))),"")</f>
        <v/>
      </c>
      <c r="Y665" s="90" t="n"/>
      <c r="Z665" s="104">
        <f>CHOOSE(MATCH(IF($U665="","Основний",$U665),{"Трафіковий","Основний","Маржинальний","Сезонний","Стратегічний"},0),0.16,0.19,0.24,0.23,0.28)</f>
        <v/>
      </c>
      <c r="AA665" s="104">
        <f>CHOOSE(MATCH(IF($U665="","Основний",$U665),{"Трафіковий","Основний","Маржинальний","Сезонний","Стратегічний"},0),0.18,0.21,0.26,0.25,0.3)</f>
        <v/>
      </c>
      <c r="AB665" s="104">
        <f>CHOOSE(MATCH(IF($U665="","Основний",$U665),{"Трафіковий","Основний","Маржинальний","Сезонний","Стратегічний"},0),0.19,0.22,0.28,0.26,0.32)</f>
        <v/>
      </c>
      <c r="AC665" s="104">
        <f>CHOOSE(MATCH(IF($U665="","Основний",$U665),{"Трафіковий","Основний","Маржинальний","Сезонний","Стратегічний"},0),0.17,0.2,0.25,0.24,0.28)</f>
        <v/>
      </c>
      <c r="AD665" s="104">
        <f>CHOOSE(MATCH(IF($U665="","Основний",$U665),{"Трафіковий","Основний","Маржинальний","Сезонний","Стратегічний"},0),0.18,0.21,0.26,0.25,0.3)</f>
        <v/>
      </c>
      <c r="AE665" s="104">
        <f>CHOOSE(MATCH(IF($U665="","Основний",$U665),{"Трафіковий","Основний","Маржинальний","Сезонний","Стратегічний"},0),0.18,0.2,0.28,0.27,0.32)</f>
        <v/>
      </c>
      <c r="AF665" s="104">
        <f>CHOOSE(MATCH(IF($U665="","Основний",$U665),{"Трафіковий","Основний","Маржинальний","Сезонний","Стратегічний"},0),0.15,0.175,0.22,0.21,0.25)</f>
        <v/>
      </c>
      <c r="AG665" s="104">
        <f>CHOOSE(MATCH(IF($U665="","Основний",$U665),{"Трафіковий","Основний","Маржинальний","Сезонний","Стратегічний"},0),0.13,0.16,0.21,0.2,0.25)</f>
        <v/>
      </c>
      <c r="AH665" s="104">
        <f>CHOOSE(MATCH(IF($U665="","Основний",$U665),{"Трафіковий","Основний","Маржинальний","Сезонний","Стратегічний"},0),0.15,0.18,0.23,0.22,0.27)</f>
        <v/>
      </c>
      <c r="AI665" s="104">
        <f>CHOOSE(MATCH(IF($U665="","Основний",$U665),{"Трафіковий","Основний","Маржинальний","Сезонний","Стратегічний"},0),0.16,0.19,0.25,0.23,0.29)</f>
        <v/>
      </c>
      <c r="AJ665" s="104">
        <f>CHOOSE(MATCH(IF($U665="","Основний",$U665),{"Трафіковий","Основний","Маржинальний","Сезонний","Стратегічний"},0),0.14,0.17,0.22,0.21,0.25)</f>
        <v/>
      </c>
      <c r="AK665" s="104">
        <f>CHOOSE(MATCH(IF($U665="","Основний",$U665),{"Трафіковий","Основний","Маржинальний","Сезонний","Стратегічний"},0),0.15,0.18,0.23,0.22,0.27)</f>
        <v/>
      </c>
      <c r="AL665" s="104">
        <f>CHOOSE(MATCH(IF($U665="","Основний",$U665),{"Трафіковий","Основний","Маржинальний","Сезонний","Стратегічний"},0),0.15,0.17,0.25,0.24,0.29)</f>
        <v/>
      </c>
      <c r="AM665" s="104">
        <f>CHOOSE(MATCH(IF($U665="","Основний",$U665),{"Трафіковий","Основний","Маржинальний","Сезонний","Стратегічний"},0),0.12,0.145,0.19,0.18,0.22)</f>
        <v/>
      </c>
      <c r="AN665" s="157">
        <f>CHOOSE(MATCH(IF($U665="","Основний",$U665),{"Трафіковий","Основний","Маржинальний","Сезонний","Стратегічний"},0),Settings!$B$78,Settings!$B$80,Settings!$B$82,Settings!$B$84,Settings!$B$86)</f>
        <v/>
      </c>
      <c r="AO665" s="157">
        <f>CHOOSE(MATCH(IF($U665="","Основний",$U665),{"Трафіковий","Основний","Маржинальний","Сезонний","Стратегічний"},0),Settings!$C$78,Settings!$C$80,Settings!$C$82,Settings!$C$84,Settings!$C$86)</f>
        <v/>
      </c>
      <c r="AP665" s="157">
        <f>CHOOSE(MATCH(IF($U665="","Основний",$U665),{"Трафіковий","Основний","Маржинальний","Сезонний","Стратегічний"},0),Settings!$D$78,Settings!$D$80,Settings!$D$82,Settings!$D$84,Settings!$D$86)</f>
        <v/>
      </c>
      <c r="AQ665" s="157">
        <f>CHOOSE(MATCH(IF($U665="","Основний",$U665),{"Трафіковий","Основний","Маржинальний","Сезонний","Стратегічний"},0),Settings!$F$78,Settings!$F$80,Settings!$F$82,Settings!$F$84,Settings!$F$86)</f>
        <v/>
      </c>
      <c r="AR665" s="157">
        <f>CHOOSE(MATCH(IF($U665="","Основний",$U665),{"Трафіковий","Основний","Маржинальний","Сезонний","Стратегічний"},0),Settings!$G$78,Settings!$G$80,Settings!$G$82,Settings!$G$84,Settings!$G$86)</f>
        <v/>
      </c>
      <c r="AS665" s="157">
        <f>CHOOSE(MATCH(IF($U665="","Основний",$U665),{"Трафіковий","Основний","Маржинальний","Сезонний","Стратегічний"},0),Settings!$H$78,Settings!$H$80,Settings!$H$82,Settings!$H$84,Settings!$H$86)</f>
        <v/>
      </c>
      <c r="AT665" s="157">
        <f>CHOOSE(MATCH(IF($U665="","Основний",$U665),{"Трафіковий","Основний","Маржинальний","Сезонний","Стратегічний"},0),Settings!$I$78,Settings!$I$80,Settings!$I$82,Settings!$I$84,Settings!$I$86)</f>
        <v/>
      </c>
      <c r="AU665" s="171" t="n"/>
      <c r="AV665" t="n">
        <v>1.25</v>
      </c>
    </row>
    <row r="666">
      <c r="A666" s="28" t="inlineStr">
        <is>
          <t>SELL OUT</t>
        </is>
      </c>
      <c r="B666" s="29" t="inlineStr">
        <is>
          <t>H4052</t>
        </is>
      </c>
      <c r="C666" s="29" t="inlineStr">
        <is>
          <t>GOSMART IP BABY MONITOR IP-500 GUARD</t>
        </is>
      </c>
      <c r="D666" s="29" t="inlineStr">
        <is>
          <t>Відеосистеми, та IP камери</t>
        </is>
      </c>
      <c r="E666" s="28" t="inlineStr">
        <is>
          <t>PC</t>
        </is>
      </c>
      <c r="F666" s="93" t="n">
        <v>91.40300000000001</v>
      </c>
      <c r="G666" s="30" t="n">
        <v>8525890000</v>
      </c>
      <c r="H666" s="31" t="n">
        <v>1.28</v>
      </c>
      <c r="I666" s="84">
        <f>IFERROR(F666*Settings!$B$2*H666*IF(AND(ISNUMBER(E666),E666&gt;1),E666,1),"")</f>
        <v/>
      </c>
      <c r="J666" s="32">
        <f>Settings!$B$66</f>
        <v/>
      </c>
      <c r="K666" s="95">
        <f>IFERROR(IF(T666="","",(T666*(1-AN666)*(1-Settings!$B$17)-I666)/(T666*(1-AN666)*(1-Settings!$B$17))),"")</f>
        <v/>
      </c>
      <c r="L666" s="101">
        <f>IFERROR(IF(T666="","",(T666*(1-AO666)*(1-Settings!$C$17)-I666)/(T666*(1-AO666)*(1-Settings!$C$17))),"")</f>
        <v/>
      </c>
      <c r="M666" s="101">
        <f>IFERROR(IF(T666="","",(T666*(1-AP666)*(1-Settings!$D$17)-I666)/(T666*(1-AP666)*(1-Settings!$D$17))),"")</f>
        <v/>
      </c>
      <c r="N666" s="101">
        <f>IFERROR(IF(T666="","",(T666*(1-AQ666)*(1-Settings!$F$17)-I666)/(T666*(1-AQ666)*(1-Settings!$F$17))),"")</f>
        <v/>
      </c>
      <c r="O666" s="101">
        <f>IFERROR(IF(T666="","",(T666*(1-AR666)*(1-Settings!$G$17)-I666)/(T666*(1-AR666)*(1-Settings!$G$17))),"")</f>
        <v/>
      </c>
      <c r="P666" s="101">
        <f>IFERROR(IF(T666="","",(T666*(1-AS666)*(1-Settings!$H$17)-I666)/(T666*(1-AS666)*(1-Settings!$H$17))),"")</f>
        <v/>
      </c>
      <c r="Q666" s="101">
        <f>IFERROR(IF(T666="","",(T666*(1-AT666)*(1-Settings!$I$68)*(1-Settings!$I$17)-I666)/(T666*(1-AT666)*(1-Settings!$I$68)*(1-Settings!$I$17))),"")</f>
        <v/>
      </c>
      <c r="R666" s="91">
        <f>IFERROR(IF(OR(I666="",Z666&gt;=1,Settings!$B$17&gt;=1,AN666&gt;=1),"",IF(MOD(ROUND(I666/(1-Z666)/(1-Settings!$B$17)/(1-AN666),0),10)=0,ROUND(I666/(1-Z666)/(1-Settings!$B$17)/(1-AN666),0)-1,IF(MOD(ROUND(I666/(1-Z666)/(1-Settings!$B$17)/(1-AN666),0),10)&lt;=5,FLOOR(ROUND(I666/(1-Z666)/(1-Settings!$B$17)/(1-AN666),0),10)+6,FLOOR(ROUND(I666/(1-Z666)/(1-Settings!$B$17)/(1-AN666),0),10)+9))),"")</f>
        <v/>
      </c>
      <c r="S666" s="174" t="n"/>
      <c r="T666" s="91">
        <f>IF(S666&lt;&gt;"", IF(MOD(S666,10)=0,S666-1,IF(MOD(S666,10)&lt;=5,FLOOR(S666,10)+6,FLOOR(S666,10)+9)), R666)</f>
        <v/>
      </c>
      <c r="U666" s="87" t="inlineStr">
        <is>
          <t>Трафіковий</t>
        </is>
      </c>
      <c r="V666" s="88" t="n"/>
      <c r="W666" s="88" t="n"/>
      <c r="X666" s="89">
        <f>IFERROR(IF(OR(V666="",W666="",T666=""),"", IF(T666&gt;W666,"Дорогий",IF(T666&lt;V666,"Дешевий","У ринку"))),"")</f>
        <v/>
      </c>
      <c r="Y666" s="90" t="n"/>
      <c r="Z666" s="104">
        <f>CHOOSE(MATCH(IF($U666="","Основний",$U666),{"Трафіковий","Основний","Маржинальний","Сезонний","Стратегічний"},0),0.16,0.19,0.24,0.23,0.28)</f>
        <v/>
      </c>
      <c r="AA666" s="104">
        <f>CHOOSE(MATCH(IF($U666="","Основний",$U666),{"Трафіковий","Основний","Маржинальний","Сезонний","Стратегічний"},0),0.18,0.21,0.26,0.25,0.3)</f>
        <v/>
      </c>
      <c r="AB666" s="104">
        <f>CHOOSE(MATCH(IF($U666="","Основний",$U666),{"Трафіковий","Основний","Маржинальний","Сезонний","Стратегічний"},0),0.19,0.22,0.28,0.26,0.32)</f>
        <v/>
      </c>
      <c r="AC666" s="104">
        <f>CHOOSE(MATCH(IF($U666="","Основний",$U666),{"Трафіковий","Основний","Маржинальний","Сезонний","Стратегічний"},0),0.17,0.2,0.25,0.24,0.28)</f>
        <v/>
      </c>
      <c r="AD666" s="104">
        <f>CHOOSE(MATCH(IF($U666="","Основний",$U666),{"Трафіковий","Основний","Маржинальний","Сезонний","Стратегічний"},0),0.18,0.21,0.26,0.25,0.3)</f>
        <v/>
      </c>
      <c r="AE666" s="104">
        <f>CHOOSE(MATCH(IF($U666="","Основний",$U666),{"Трафіковий","Основний","Маржинальний","Сезонний","Стратегічний"},0),0.18,0.2,0.28,0.27,0.32)</f>
        <v/>
      </c>
      <c r="AF666" s="104">
        <f>CHOOSE(MATCH(IF($U666="","Основний",$U666),{"Трафіковий","Основний","Маржинальний","Сезонний","Стратегічний"},0),0.15,0.175,0.22,0.21,0.25)</f>
        <v/>
      </c>
      <c r="AG666" s="104">
        <f>CHOOSE(MATCH(IF($U666="","Основний",$U666),{"Трафіковий","Основний","Маржинальний","Сезонний","Стратегічний"},0),0.13,0.16,0.21,0.2,0.25)</f>
        <v/>
      </c>
      <c r="AH666" s="104">
        <f>CHOOSE(MATCH(IF($U666="","Основний",$U666),{"Трафіковий","Основний","Маржинальний","Сезонний","Стратегічний"},0),0.15,0.18,0.23,0.22,0.27)</f>
        <v/>
      </c>
      <c r="AI666" s="104">
        <f>CHOOSE(MATCH(IF($U666="","Основний",$U666),{"Трафіковий","Основний","Маржинальний","Сезонний","Стратегічний"},0),0.16,0.19,0.25,0.23,0.29)</f>
        <v/>
      </c>
      <c r="AJ666" s="104">
        <f>CHOOSE(MATCH(IF($U666="","Основний",$U666),{"Трафіковий","Основний","Маржинальний","Сезонний","Стратегічний"},0),0.14,0.17,0.22,0.21,0.25)</f>
        <v/>
      </c>
      <c r="AK666" s="104">
        <f>CHOOSE(MATCH(IF($U666="","Основний",$U666),{"Трафіковий","Основний","Маржинальний","Сезонний","Стратегічний"},0),0.15,0.18,0.23,0.22,0.27)</f>
        <v/>
      </c>
      <c r="AL666" s="104">
        <f>CHOOSE(MATCH(IF($U666="","Основний",$U666),{"Трафіковий","Основний","Маржинальний","Сезонний","Стратегічний"},0),0.15,0.17,0.25,0.24,0.29)</f>
        <v/>
      </c>
      <c r="AM666" s="104">
        <f>CHOOSE(MATCH(IF($U666="","Основний",$U666),{"Трафіковий","Основний","Маржинальний","Сезонний","Стратегічний"},0),0.12,0.145,0.19,0.18,0.22)</f>
        <v/>
      </c>
      <c r="AN666" s="157">
        <f>CHOOSE(MATCH(IF($U666="","Основний",$U666),{"Трафіковий","Основний","Маржинальний","Сезонний","Стратегічний"},0),Settings!$B$78,Settings!$B$80,Settings!$B$82,Settings!$B$84,Settings!$B$86)</f>
        <v/>
      </c>
      <c r="AO666" s="157">
        <f>CHOOSE(MATCH(IF($U666="","Основний",$U666),{"Трафіковий","Основний","Маржинальний","Сезонний","Стратегічний"},0),Settings!$C$78,Settings!$C$80,Settings!$C$82,Settings!$C$84,Settings!$C$86)</f>
        <v/>
      </c>
      <c r="AP666" s="157">
        <f>CHOOSE(MATCH(IF($U666="","Основний",$U666),{"Трафіковий","Основний","Маржинальний","Сезонний","Стратегічний"},0),Settings!$D$78,Settings!$D$80,Settings!$D$82,Settings!$D$84,Settings!$D$86)</f>
        <v/>
      </c>
      <c r="AQ666" s="157">
        <f>CHOOSE(MATCH(IF($U666="","Основний",$U666),{"Трафіковий","Основний","Маржинальний","Сезонний","Стратегічний"},0),Settings!$F$78,Settings!$F$80,Settings!$F$82,Settings!$F$84,Settings!$F$86)</f>
        <v/>
      </c>
      <c r="AR666" s="157">
        <f>CHOOSE(MATCH(IF($U666="","Основний",$U666),{"Трафіковий","Основний","Маржинальний","Сезонний","Стратегічний"},0),Settings!$G$78,Settings!$G$80,Settings!$G$82,Settings!$G$84,Settings!$G$86)</f>
        <v/>
      </c>
      <c r="AS666" s="157">
        <f>CHOOSE(MATCH(IF($U666="","Основний",$U666),{"Трафіковий","Основний","Маржинальний","Сезонний","Стратегічний"},0),Settings!$H$78,Settings!$H$80,Settings!$H$82,Settings!$H$84,Settings!$H$86)</f>
        <v/>
      </c>
      <c r="AT666" s="157">
        <f>CHOOSE(MATCH(IF($U666="","Основний",$U666),{"Трафіковий","Основний","Маржинальний","Сезонний","Стратегічний"},0),Settings!$I$78,Settings!$I$80,Settings!$I$82,Settings!$I$84,Settings!$I$86)</f>
        <v/>
      </c>
      <c r="AU666" s="171" t="n"/>
      <c r="AV666" t="n">
        <v>1.2</v>
      </c>
    </row>
    <row r="667">
      <c r="A667" s="33" t="inlineStr">
        <is>
          <t>SELL OUT</t>
        </is>
      </c>
      <c r="B667" s="34" t="inlineStr">
        <is>
          <t>H4054</t>
        </is>
      </c>
      <c r="C667" s="34" t="inlineStr">
        <is>
          <t>GOSMART IP CAMERA OUTDOOR IP-300 TORCH WHITE</t>
        </is>
      </c>
      <c r="D667" s="34" t="inlineStr">
        <is>
          <t>Відеосистеми, та IP камери</t>
        </is>
      </c>
      <c r="E667" s="33" t="inlineStr">
        <is>
          <t>PC</t>
        </is>
      </c>
      <c r="F667" s="94" t="n">
        <v>50.373</v>
      </c>
      <c r="G667" s="35" t="n">
        <v>8525890000</v>
      </c>
      <c r="H667" s="31" t="n">
        <v>1.28</v>
      </c>
      <c r="I667" s="84">
        <f>IFERROR(F667*Settings!$B$2*H667*IF(AND(ISNUMBER(E667),E667&gt;1),E667,1),"")</f>
        <v/>
      </c>
      <c r="J667" s="32">
        <f>Settings!$B$66</f>
        <v/>
      </c>
      <c r="K667" s="95">
        <f>IFERROR(IF(T667="","",(T667*(1-AN667)*(1-Settings!$B$17)-I667)/(T667*(1-AN667)*(1-Settings!$B$17))),"")</f>
        <v/>
      </c>
      <c r="L667" s="101">
        <f>IFERROR(IF(T667="","",(T667*(1-AO667)*(1-Settings!$C$17)-I667)/(T667*(1-AO667)*(1-Settings!$C$17))),"")</f>
        <v/>
      </c>
      <c r="M667" s="101">
        <f>IFERROR(IF(T667="","",(T667*(1-AP667)*(1-Settings!$D$17)-I667)/(T667*(1-AP667)*(1-Settings!$D$17))),"")</f>
        <v/>
      </c>
      <c r="N667" s="101">
        <f>IFERROR(IF(T667="","",(T667*(1-AQ667)*(1-Settings!$F$17)-I667)/(T667*(1-AQ667)*(1-Settings!$F$17))),"")</f>
        <v/>
      </c>
      <c r="O667" s="101">
        <f>IFERROR(IF(T667="","",(T667*(1-AR667)*(1-Settings!$G$17)-I667)/(T667*(1-AR667)*(1-Settings!$G$17))),"")</f>
        <v/>
      </c>
      <c r="P667" s="101">
        <f>IFERROR(IF(T667="","",(T667*(1-AS667)*(1-Settings!$H$17)-I667)/(T667*(1-AS667)*(1-Settings!$H$17))),"")</f>
        <v/>
      </c>
      <c r="Q667" s="101">
        <f>IFERROR(IF(T667="","",(T667*(1-AT667)*(1-Settings!$I$68)*(1-Settings!$I$17)-I667)/(T667*(1-AT667)*(1-Settings!$I$68)*(1-Settings!$I$17))),"")</f>
        <v/>
      </c>
      <c r="R667" s="91">
        <f>IFERROR(IF(OR(I667="",Z667&gt;=1,Settings!$B$17&gt;=1,AN667&gt;=1),"",IF(MOD(ROUND(I667/(1-Z667)/(1-Settings!$B$17)/(1-AN667),0),10)=0,ROUND(I667/(1-Z667)/(1-Settings!$B$17)/(1-AN667),0)-1,IF(MOD(ROUND(I667/(1-Z667)/(1-Settings!$B$17)/(1-AN667),0),10)&lt;=5,FLOOR(ROUND(I667/(1-Z667)/(1-Settings!$B$17)/(1-AN667),0),10)+6,FLOOR(ROUND(I667/(1-Z667)/(1-Settings!$B$17)/(1-AN667),0),10)+9))),"")</f>
        <v/>
      </c>
      <c r="S667" s="174" t="n"/>
      <c r="T667" s="91">
        <f>IF(S667&lt;&gt;"", IF(MOD(S667,10)=0,S667-1,IF(MOD(S667,10)&lt;=5,FLOOR(S667,10)+6,FLOOR(S667,10)+9)), R667)</f>
        <v/>
      </c>
      <c r="U667" s="87" t="inlineStr">
        <is>
          <t>Трафіковий</t>
        </is>
      </c>
      <c r="V667" s="88" t="n"/>
      <c r="W667" s="88" t="n"/>
      <c r="X667" s="89">
        <f>IFERROR(IF(OR(V667="",W667="",T667=""),"", IF(T667&gt;W667,"Дорогий",IF(T667&lt;V667,"Дешевий","У ринку"))),"")</f>
        <v/>
      </c>
      <c r="Y667" s="90" t="n"/>
      <c r="Z667" s="104">
        <f>CHOOSE(MATCH(IF($U667="","Основний",$U667),{"Трафіковий","Основний","Маржинальний","Сезонний","Стратегічний"},0),0.16,0.19,0.24,0.23,0.28)</f>
        <v/>
      </c>
      <c r="AA667" s="104">
        <f>CHOOSE(MATCH(IF($U667="","Основний",$U667),{"Трафіковий","Основний","Маржинальний","Сезонний","Стратегічний"},0),0.18,0.21,0.26,0.25,0.3)</f>
        <v/>
      </c>
      <c r="AB667" s="104">
        <f>CHOOSE(MATCH(IF($U667="","Основний",$U667),{"Трафіковий","Основний","Маржинальний","Сезонний","Стратегічний"},0),0.19,0.22,0.28,0.26,0.32)</f>
        <v/>
      </c>
      <c r="AC667" s="104">
        <f>CHOOSE(MATCH(IF($U667="","Основний",$U667),{"Трафіковий","Основний","Маржинальний","Сезонний","Стратегічний"},0),0.17,0.2,0.25,0.24,0.28)</f>
        <v/>
      </c>
      <c r="AD667" s="104">
        <f>CHOOSE(MATCH(IF($U667="","Основний",$U667),{"Трафіковий","Основний","Маржинальний","Сезонний","Стратегічний"},0),0.18,0.21,0.26,0.25,0.3)</f>
        <v/>
      </c>
      <c r="AE667" s="104">
        <f>CHOOSE(MATCH(IF($U667="","Основний",$U667),{"Трафіковий","Основний","Маржинальний","Сезонний","Стратегічний"},0),0.18,0.2,0.28,0.27,0.32)</f>
        <v/>
      </c>
      <c r="AF667" s="104">
        <f>CHOOSE(MATCH(IF($U667="","Основний",$U667),{"Трафіковий","Основний","Маржинальний","Сезонний","Стратегічний"},0),0.15,0.175,0.22,0.21,0.25)</f>
        <v/>
      </c>
      <c r="AG667" s="104">
        <f>CHOOSE(MATCH(IF($U667="","Основний",$U667),{"Трафіковий","Основний","Маржинальний","Сезонний","Стратегічний"},0),0.13,0.16,0.21,0.2,0.25)</f>
        <v/>
      </c>
      <c r="AH667" s="104">
        <f>CHOOSE(MATCH(IF($U667="","Основний",$U667),{"Трафіковий","Основний","Маржинальний","Сезонний","Стратегічний"},0),0.15,0.18,0.23,0.22,0.27)</f>
        <v/>
      </c>
      <c r="AI667" s="104">
        <f>CHOOSE(MATCH(IF($U667="","Основний",$U667),{"Трафіковий","Основний","Маржинальний","Сезонний","Стратегічний"},0),0.16,0.19,0.25,0.23,0.29)</f>
        <v/>
      </c>
      <c r="AJ667" s="104">
        <f>CHOOSE(MATCH(IF($U667="","Основний",$U667),{"Трафіковий","Основний","Маржинальний","Сезонний","Стратегічний"},0),0.14,0.17,0.22,0.21,0.25)</f>
        <v/>
      </c>
      <c r="AK667" s="104">
        <f>CHOOSE(MATCH(IF($U667="","Основний",$U667),{"Трафіковий","Основний","Маржинальний","Сезонний","Стратегічний"},0),0.15,0.18,0.23,0.22,0.27)</f>
        <v/>
      </c>
      <c r="AL667" s="104">
        <f>CHOOSE(MATCH(IF($U667="","Основний",$U667),{"Трафіковий","Основний","Маржинальний","Сезонний","Стратегічний"},0),0.15,0.17,0.25,0.24,0.29)</f>
        <v/>
      </c>
      <c r="AM667" s="104">
        <f>CHOOSE(MATCH(IF($U667="","Основний",$U667),{"Трафіковий","Основний","Маржинальний","Сезонний","Стратегічний"},0),0.12,0.145,0.19,0.18,0.22)</f>
        <v/>
      </c>
      <c r="AN667" s="157">
        <f>CHOOSE(MATCH(IF($U667="","Основний",$U667),{"Трафіковий","Основний","Маржинальний","Сезонний","Стратегічний"},0),Settings!$B$78,Settings!$B$80,Settings!$B$82,Settings!$B$84,Settings!$B$86)</f>
        <v/>
      </c>
      <c r="AO667" s="157">
        <f>CHOOSE(MATCH(IF($U667="","Основний",$U667),{"Трафіковий","Основний","Маржинальний","Сезонний","Стратегічний"},0),Settings!$C$78,Settings!$C$80,Settings!$C$82,Settings!$C$84,Settings!$C$86)</f>
        <v/>
      </c>
      <c r="AP667" s="157">
        <f>CHOOSE(MATCH(IF($U667="","Основний",$U667),{"Трафіковий","Основний","Маржинальний","Сезонний","Стратегічний"},0),Settings!$D$78,Settings!$D$80,Settings!$D$82,Settings!$D$84,Settings!$D$86)</f>
        <v/>
      </c>
      <c r="AQ667" s="157">
        <f>CHOOSE(MATCH(IF($U667="","Основний",$U667),{"Трафіковий","Основний","Маржинальний","Сезонний","Стратегічний"},0),Settings!$F$78,Settings!$F$80,Settings!$F$82,Settings!$F$84,Settings!$F$86)</f>
        <v/>
      </c>
      <c r="AR667" s="157">
        <f>CHOOSE(MATCH(IF($U667="","Основний",$U667),{"Трафіковий","Основний","Маржинальний","Сезонний","Стратегічний"},0),Settings!$G$78,Settings!$G$80,Settings!$G$82,Settings!$G$84,Settings!$G$86)</f>
        <v/>
      </c>
      <c r="AS667" s="157">
        <f>CHOOSE(MATCH(IF($U667="","Основний",$U667),{"Трафіковий","Основний","Маржинальний","Сезонний","Стратегічний"},0),Settings!$H$78,Settings!$H$80,Settings!$H$82,Settings!$H$84,Settings!$H$86)</f>
        <v/>
      </c>
      <c r="AT667" s="157">
        <f>CHOOSE(MATCH(IF($U667="","Основний",$U667),{"Трафіковий","Основний","Маржинальний","Сезонний","Стратегічний"},0),Settings!$I$78,Settings!$I$80,Settings!$I$82,Settings!$I$84,Settings!$I$86)</f>
        <v/>
      </c>
      <c r="AU667" s="171" t="n"/>
      <c r="AV667" t="n">
        <v>1.25</v>
      </c>
    </row>
    <row r="668">
      <c r="A668" s="28" t="inlineStr">
        <is>
          <t>SELL OUT</t>
        </is>
      </c>
      <c r="B668" s="29" t="inlineStr">
        <is>
          <t>H4055</t>
        </is>
      </c>
      <c r="C668" s="29" t="inlineStr">
        <is>
          <t>GOSMART IP CAMERA OUTDOOR IP-300 TORCH BLACK</t>
        </is>
      </c>
      <c r="D668" s="29" t="inlineStr">
        <is>
          <t>Відеосистеми, та IP камери</t>
        </is>
      </c>
      <c r="E668" s="28" t="inlineStr">
        <is>
          <t>PC</t>
        </is>
      </c>
      <c r="F668" s="93" t="n">
        <v>53.111</v>
      </c>
      <c r="G668" s="30" t="n">
        <v>8525890000</v>
      </c>
      <c r="H668" s="31" t="n">
        <v>1.28</v>
      </c>
      <c r="I668" s="84">
        <f>IFERROR(F668*Settings!$B$2*H668*IF(AND(ISNUMBER(E668),E668&gt;1),E668,1),"")</f>
        <v/>
      </c>
      <c r="J668" s="32">
        <f>Settings!$B$66</f>
        <v/>
      </c>
      <c r="K668" s="95">
        <f>IFERROR(IF(T668="","",(T668*(1-AN668)*(1-Settings!$B$17)-I668)/(T668*(1-AN668)*(1-Settings!$B$17))),"")</f>
        <v/>
      </c>
      <c r="L668" s="101">
        <f>IFERROR(IF(T668="","",(T668*(1-AO668)*(1-Settings!$C$17)-I668)/(T668*(1-AO668)*(1-Settings!$C$17))),"")</f>
        <v/>
      </c>
      <c r="M668" s="101">
        <f>IFERROR(IF(T668="","",(T668*(1-AP668)*(1-Settings!$D$17)-I668)/(T668*(1-AP668)*(1-Settings!$D$17))),"")</f>
        <v/>
      </c>
      <c r="N668" s="101">
        <f>IFERROR(IF(T668="","",(T668*(1-AQ668)*(1-Settings!$F$17)-I668)/(T668*(1-AQ668)*(1-Settings!$F$17))),"")</f>
        <v/>
      </c>
      <c r="O668" s="101">
        <f>IFERROR(IF(T668="","",(T668*(1-AR668)*(1-Settings!$G$17)-I668)/(T668*(1-AR668)*(1-Settings!$G$17))),"")</f>
        <v/>
      </c>
      <c r="P668" s="101">
        <f>IFERROR(IF(T668="","",(T668*(1-AS668)*(1-Settings!$H$17)-I668)/(T668*(1-AS668)*(1-Settings!$H$17))),"")</f>
        <v/>
      </c>
      <c r="Q668" s="101">
        <f>IFERROR(IF(T668="","",(T668*(1-AT668)*(1-Settings!$I$68)*(1-Settings!$I$17)-I668)/(T668*(1-AT668)*(1-Settings!$I$68)*(1-Settings!$I$17))),"")</f>
        <v/>
      </c>
      <c r="R668" s="91">
        <f>IFERROR(IF(OR(I668="",Z668&gt;=1,Settings!$B$17&gt;=1,AN668&gt;=1),"",IF(MOD(ROUND(I668/(1-Z668)/(1-Settings!$B$17)/(1-AN668),0),10)=0,ROUND(I668/(1-Z668)/(1-Settings!$B$17)/(1-AN668),0)-1,IF(MOD(ROUND(I668/(1-Z668)/(1-Settings!$B$17)/(1-AN668),0),10)&lt;=5,FLOOR(ROUND(I668/(1-Z668)/(1-Settings!$B$17)/(1-AN668),0),10)+6,FLOOR(ROUND(I668/(1-Z668)/(1-Settings!$B$17)/(1-AN668),0),10)+9))),"")</f>
        <v/>
      </c>
      <c r="S668" s="174" t="n"/>
      <c r="T668" s="91">
        <f>IF(S668&lt;&gt;"", IF(MOD(S668,10)=0,S668-1,IF(MOD(S668,10)&lt;=5,FLOOR(S668,10)+6,FLOOR(S668,10)+9)), R668)</f>
        <v/>
      </c>
      <c r="U668" s="87" t="inlineStr">
        <is>
          <t>Трафіковий</t>
        </is>
      </c>
      <c r="V668" s="88" t="n"/>
      <c r="W668" s="88" t="n"/>
      <c r="X668" s="89">
        <f>IFERROR(IF(OR(V668="",W668="",T668=""),"", IF(T668&gt;W668,"Дорогий",IF(T668&lt;V668,"Дешевий","У ринку"))),"")</f>
        <v/>
      </c>
      <c r="Y668" s="90" t="n"/>
      <c r="Z668" s="104">
        <f>CHOOSE(MATCH(IF($U668="","Основний",$U668),{"Трафіковий","Основний","Маржинальний","Сезонний","Стратегічний"},0),0.16,0.19,0.24,0.23,0.28)</f>
        <v/>
      </c>
      <c r="AA668" s="104">
        <f>CHOOSE(MATCH(IF($U668="","Основний",$U668),{"Трафіковий","Основний","Маржинальний","Сезонний","Стратегічний"},0),0.18,0.21,0.26,0.25,0.3)</f>
        <v/>
      </c>
      <c r="AB668" s="104">
        <f>CHOOSE(MATCH(IF($U668="","Основний",$U668),{"Трафіковий","Основний","Маржинальний","Сезонний","Стратегічний"},0),0.19,0.22,0.28,0.26,0.32)</f>
        <v/>
      </c>
      <c r="AC668" s="104">
        <f>CHOOSE(MATCH(IF($U668="","Основний",$U668),{"Трафіковий","Основний","Маржинальний","Сезонний","Стратегічний"},0),0.17,0.2,0.25,0.24,0.28)</f>
        <v/>
      </c>
      <c r="AD668" s="104">
        <f>CHOOSE(MATCH(IF($U668="","Основний",$U668),{"Трафіковий","Основний","Маржинальний","Сезонний","Стратегічний"},0),0.18,0.21,0.26,0.25,0.3)</f>
        <v/>
      </c>
      <c r="AE668" s="104">
        <f>CHOOSE(MATCH(IF($U668="","Основний",$U668),{"Трафіковий","Основний","Маржинальний","Сезонний","Стратегічний"},0),0.18,0.2,0.28,0.27,0.32)</f>
        <v/>
      </c>
      <c r="AF668" s="104">
        <f>CHOOSE(MATCH(IF($U668="","Основний",$U668),{"Трафіковий","Основний","Маржинальний","Сезонний","Стратегічний"},0),0.15,0.175,0.22,0.21,0.25)</f>
        <v/>
      </c>
      <c r="AG668" s="104">
        <f>CHOOSE(MATCH(IF($U668="","Основний",$U668),{"Трафіковий","Основний","Маржинальний","Сезонний","Стратегічний"},0),0.13,0.16,0.21,0.2,0.25)</f>
        <v/>
      </c>
      <c r="AH668" s="104">
        <f>CHOOSE(MATCH(IF($U668="","Основний",$U668),{"Трафіковий","Основний","Маржинальний","Сезонний","Стратегічний"},0),0.15,0.18,0.23,0.22,0.27)</f>
        <v/>
      </c>
      <c r="AI668" s="104">
        <f>CHOOSE(MATCH(IF($U668="","Основний",$U668),{"Трафіковий","Основний","Маржинальний","Сезонний","Стратегічний"},0),0.16,0.19,0.25,0.23,0.29)</f>
        <v/>
      </c>
      <c r="AJ668" s="104">
        <f>CHOOSE(MATCH(IF($U668="","Основний",$U668),{"Трафіковий","Основний","Маржинальний","Сезонний","Стратегічний"},0),0.14,0.17,0.22,0.21,0.25)</f>
        <v/>
      </c>
      <c r="AK668" s="104">
        <f>CHOOSE(MATCH(IF($U668="","Основний",$U668),{"Трафіковий","Основний","Маржинальний","Сезонний","Стратегічний"},0),0.15,0.18,0.23,0.22,0.27)</f>
        <v/>
      </c>
      <c r="AL668" s="104">
        <f>CHOOSE(MATCH(IF($U668="","Основний",$U668),{"Трафіковий","Основний","Маржинальний","Сезонний","Стратегічний"},0),0.15,0.17,0.25,0.24,0.29)</f>
        <v/>
      </c>
      <c r="AM668" s="104">
        <f>CHOOSE(MATCH(IF($U668="","Основний",$U668),{"Трафіковий","Основний","Маржинальний","Сезонний","Стратегічний"},0),0.12,0.145,0.19,0.18,0.22)</f>
        <v/>
      </c>
      <c r="AN668" s="157">
        <f>CHOOSE(MATCH(IF($U668="","Основний",$U668),{"Трафіковий","Основний","Маржинальний","Сезонний","Стратегічний"},0),Settings!$B$78,Settings!$B$80,Settings!$B$82,Settings!$B$84,Settings!$B$86)</f>
        <v/>
      </c>
      <c r="AO668" s="157">
        <f>CHOOSE(MATCH(IF($U668="","Основний",$U668),{"Трафіковий","Основний","Маржинальний","Сезонний","Стратегічний"},0),Settings!$C$78,Settings!$C$80,Settings!$C$82,Settings!$C$84,Settings!$C$86)</f>
        <v/>
      </c>
      <c r="AP668" s="157">
        <f>CHOOSE(MATCH(IF($U668="","Основний",$U668),{"Трафіковий","Основний","Маржинальний","Сезонний","Стратегічний"},0),Settings!$D$78,Settings!$D$80,Settings!$D$82,Settings!$D$84,Settings!$D$86)</f>
        <v/>
      </c>
      <c r="AQ668" s="157">
        <f>CHOOSE(MATCH(IF($U668="","Основний",$U668),{"Трафіковий","Основний","Маржинальний","Сезонний","Стратегічний"},0),Settings!$F$78,Settings!$F$80,Settings!$F$82,Settings!$F$84,Settings!$F$86)</f>
        <v/>
      </c>
      <c r="AR668" s="157">
        <f>CHOOSE(MATCH(IF($U668="","Основний",$U668),{"Трафіковий","Основний","Маржинальний","Сезонний","Стратегічний"},0),Settings!$G$78,Settings!$G$80,Settings!$G$82,Settings!$G$84,Settings!$G$86)</f>
        <v/>
      </c>
      <c r="AS668" s="157">
        <f>CHOOSE(MATCH(IF($U668="","Основний",$U668),{"Трафіковий","Основний","Маржинальний","Сезонний","Стратегічний"},0),Settings!$H$78,Settings!$H$80,Settings!$H$82,Settings!$H$84,Settings!$H$86)</f>
        <v/>
      </c>
      <c r="AT668" s="157">
        <f>CHOOSE(MATCH(IF($U668="","Основний",$U668),{"Трафіковий","Основний","Маржинальний","Сезонний","Стратегічний"},0),Settings!$I$78,Settings!$I$80,Settings!$I$82,Settings!$I$84,Settings!$I$86)</f>
        <v/>
      </c>
      <c r="AU668" s="171" t="n"/>
      <c r="AV668" t="n">
        <v>1.25</v>
      </c>
    </row>
    <row r="669">
      <c r="A669" s="33" t="n"/>
      <c r="B669" s="34" t="inlineStr">
        <is>
          <t>H4056</t>
        </is>
      </c>
      <c r="C669" s="34" t="inlineStr">
        <is>
          <t>GOSMART IP CAMERA OUTDOOR IP-600 EYE</t>
        </is>
      </c>
      <c r="D669" s="34" t="inlineStr">
        <is>
          <t>Відеосистеми, та IP камери</t>
        </is>
      </c>
      <c r="E669" s="33" t="inlineStr">
        <is>
          <t>PC</t>
        </is>
      </c>
      <c r="F669" s="94" t="n">
        <v>69.52500000000001</v>
      </c>
      <c r="G669" s="35" t="n">
        <v>8525890000</v>
      </c>
      <c r="H669" s="31" t="n">
        <v>1.4</v>
      </c>
      <c r="I669" s="84">
        <f>IFERROR(F669*Settings!$B$2*H669*IF(AND(ISNUMBER(E669),E669&gt;1),E669,1),"")</f>
        <v/>
      </c>
      <c r="J669" s="32">
        <f>Settings!$B$66</f>
        <v/>
      </c>
      <c r="K669" s="95">
        <f>IFERROR(IF(T669="","",(T669*(1-AN669)*(1-Settings!$B$17)-I669)/(T669*(1-AN669)*(1-Settings!$B$17))),"")</f>
        <v/>
      </c>
      <c r="L669" s="101">
        <f>IFERROR(IF(T669="","",(T669*(1-AO669)*(1-Settings!$C$17)-I669)/(T669*(1-AO669)*(1-Settings!$C$17))),"")</f>
        <v/>
      </c>
      <c r="M669" s="101">
        <f>IFERROR(IF(T669="","",(T669*(1-AP669)*(1-Settings!$D$17)-I669)/(T669*(1-AP669)*(1-Settings!$D$17))),"")</f>
        <v/>
      </c>
      <c r="N669" s="101">
        <f>IFERROR(IF(T669="","",(T669*(1-AQ669)*(1-Settings!$F$17)-I669)/(T669*(1-AQ669)*(1-Settings!$F$17))),"")</f>
        <v/>
      </c>
      <c r="O669" s="101">
        <f>IFERROR(IF(T669="","",(T669*(1-AR669)*(1-Settings!$G$17)-I669)/(T669*(1-AR669)*(1-Settings!$G$17))),"")</f>
        <v/>
      </c>
      <c r="P669" s="101">
        <f>IFERROR(IF(T669="","",(T669*(1-AS669)*(1-Settings!$H$17)-I669)/(T669*(1-AS669)*(1-Settings!$H$17))),"")</f>
        <v/>
      </c>
      <c r="Q669" s="101">
        <f>IFERROR(IF(T669="","",(T669*(1-AT669)*(1-Settings!$I$68)*(1-Settings!$I$17)-I669)/(T669*(1-AT669)*(1-Settings!$I$68)*(1-Settings!$I$17))),"")</f>
        <v/>
      </c>
      <c r="R669" s="91">
        <f>IFERROR(IF(OR(I669="",Z669&gt;=1,Settings!$B$17&gt;=1,AN669&gt;=1),"",IF(MOD(ROUND(I669/(1-Z669)/(1-Settings!$B$17)/(1-AN669),0),10)=0,ROUND(I669/(1-Z669)/(1-Settings!$B$17)/(1-AN669),0)-1,IF(MOD(ROUND(I669/(1-Z669)/(1-Settings!$B$17)/(1-AN669),0),10)&lt;=5,FLOOR(ROUND(I669/(1-Z669)/(1-Settings!$B$17)/(1-AN669),0),10)+6,FLOOR(ROUND(I669/(1-Z669)/(1-Settings!$B$17)/(1-AN669),0),10)+9))),"")</f>
        <v/>
      </c>
      <c r="S669" s="174" t="n"/>
      <c r="T669" s="91">
        <f>IF(S669&lt;&gt;"", IF(MOD(S669,10)=0,S669-1,IF(MOD(S669,10)&lt;=5,FLOOR(S669,10)+6,FLOOR(S669,10)+9)), R669)</f>
        <v/>
      </c>
      <c r="U669" s="87" t="inlineStr">
        <is>
          <t>Трафіковий</t>
        </is>
      </c>
      <c r="V669" s="88" t="n"/>
      <c r="W669" s="88" t="n"/>
      <c r="X669" s="89">
        <f>IFERROR(IF(OR(V669="",W669="",T669=""),"", IF(T669&gt;W669,"Дорогий",IF(T669&lt;V669,"Дешевий","У ринку"))),"")</f>
        <v/>
      </c>
      <c r="Y669" s="90" t="n"/>
      <c r="Z669" s="104">
        <f>CHOOSE(MATCH(IF($U669="","Основний",$U669),{"Трафіковий","Основний","Маржинальний","Сезонний","Стратегічний"},0),0.16,0.19,0.24,0.23,0.28)</f>
        <v/>
      </c>
      <c r="AA669" s="104">
        <f>CHOOSE(MATCH(IF($U669="","Основний",$U669),{"Трафіковий","Основний","Маржинальний","Сезонний","Стратегічний"},0),0.18,0.21,0.26,0.25,0.3)</f>
        <v/>
      </c>
      <c r="AB669" s="104">
        <f>CHOOSE(MATCH(IF($U669="","Основний",$U669),{"Трафіковий","Основний","Маржинальний","Сезонний","Стратегічний"},0),0.19,0.22,0.28,0.26,0.32)</f>
        <v/>
      </c>
      <c r="AC669" s="104">
        <f>CHOOSE(MATCH(IF($U669="","Основний",$U669),{"Трафіковий","Основний","Маржинальний","Сезонний","Стратегічний"},0),0.17,0.2,0.25,0.24,0.28)</f>
        <v/>
      </c>
      <c r="AD669" s="104">
        <f>CHOOSE(MATCH(IF($U669="","Основний",$U669),{"Трафіковий","Основний","Маржинальний","Сезонний","Стратегічний"},0),0.18,0.21,0.26,0.25,0.3)</f>
        <v/>
      </c>
      <c r="AE669" s="104">
        <f>CHOOSE(MATCH(IF($U669="","Основний",$U669),{"Трафіковий","Основний","Маржинальний","Сезонний","Стратегічний"},0),0.18,0.2,0.28,0.27,0.32)</f>
        <v/>
      </c>
      <c r="AF669" s="104">
        <f>CHOOSE(MATCH(IF($U669="","Основний",$U669),{"Трафіковий","Основний","Маржинальний","Сезонний","Стратегічний"},0),0.15,0.175,0.22,0.21,0.25)</f>
        <v/>
      </c>
      <c r="AG669" s="104">
        <f>CHOOSE(MATCH(IF($U669="","Основний",$U669),{"Трафіковий","Основний","Маржинальний","Сезонний","Стратегічний"},0),0.13,0.16,0.21,0.2,0.25)</f>
        <v/>
      </c>
      <c r="AH669" s="104">
        <f>CHOOSE(MATCH(IF($U669="","Основний",$U669),{"Трафіковий","Основний","Маржинальний","Сезонний","Стратегічний"},0),0.15,0.18,0.23,0.22,0.27)</f>
        <v/>
      </c>
      <c r="AI669" s="104">
        <f>CHOOSE(MATCH(IF($U669="","Основний",$U669),{"Трафіковий","Основний","Маржинальний","Сезонний","Стратегічний"},0),0.16,0.19,0.25,0.23,0.29)</f>
        <v/>
      </c>
      <c r="AJ669" s="104">
        <f>CHOOSE(MATCH(IF($U669="","Основний",$U669),{"Трафіковий","Основний","Маржинальний","Сезонний","Стратегічний"},0),0.14,0.17,0.22,0.21,0.25)</f>
        <v/>
      </c>
      <c r="AK669" s="104">
        <f>CHOOSE(MATCH(IF($U669="","Основний",$U669),{"Трафіковий","Основний","Маржинальний","Сезонний","Стратегічний"},0),0.15,0.18,0.23,0.22,0.27)</f>
        <v/>
      </c>
      <c r="AL669" s="104">
        <f>CHOOSE(MATCH(IF($U669="","Основний",$U669),{"Трафіковий","Основний","Маржинальний","Сезонний","Стратегічний"},0),0.15,0.17,0.25,0.24,0.29)</f>
        <v/>
      </c>
      <c r="AM669" s="104">
        <f>CHOOSE(MATCH(IF($U669="","Основний",$U669),{"Трафіковий","Основний","Маржинальний","Сезонний","Стратегічний"},0),0.12,0.145,0.19,0.18,0.22)</f>
        <v/>
      </c>
      <c r="AN669" s="157">
        <f>CHOOSE(MATCH(IF($U669="","Основний",$U669),{"Трафіковий","Основний","Маржинальний","Сезонний","Стратегічний"},0),Settings!$B$78,Settings!$B$80,Settings!$B$82,Settings!$B$84,Settings!$B$86)</f>
        <v/>
      </c>
      <c r="AO669" s="157">
        <f>CHOOSE(MATCH(IF($U669="","Основний",$U669),{"Трафіковий","Основний","Маржинальний","Сезонний","Стратегічний"},0),Settings!$C$78,Settings!$C$80,Settings!$C$82,Settings!$C$84,Settings!$C$86)</f>
        <v/>
      </c>
      <c r="AP669" s="157">
        <f>CHOOSE(MATCH(IF($U669="","Основний",$U669),{"Трафіковий","Основний","Маржинальний","Сезонний","Стратегічний"},0),Settings!$D$78,Settings!$D$80,Settings!$D$82,Settings!$D$84,Settings!$D$86)</f>
        <v/>
      </c>
      <c r="AQ669" s="157">
        <f>CHOOSE(MATCH(IF($U669="","Основний",$U669),{"Трафіковий","Основний","Маржинальний","Сезонний","Стратегічний"},0),Settings!$F$78,Settings!$F$80,Settings!$F$82,Settings!$F$84,Settings!$F$86)</f>
        <v/>
      </c>
      <c r="AR669" s="157">
        <f>CHOOSE(MATCH(IF($U669="","Основний",$U669),{"Трафіковий","Основний","Маржинальний","Сезонний","Стратегічний"},0),Settings!$G$78,Settings!$G$80,Settings!$G$82,Settings!$G$84,Settings!$G$86)</f>
        <v/>
      </c>
      <c r="AS669" s="157">
        <f>CHOOSE(MATCH(IF($U669="","Основний",$U669),{"Трафіковий","Основний","Маржинальний","Сезонний","Стратегічний"},0),Settings!$H$78,Settings!$H$80,Settings!$H$82,Settings!$H$84,Settings!$H$86)</f>
        <v/>
      </c>
      <c r="AT669" s="157">
        <f>CHOOSE(MATCH(IF($U669="","Основний",$U669),{"Трафіковий","Основний","Маржинальний","Сезонний","Стратегічний"},0),Settings!$I$78,Settings!$I$80,Settings!$I$82,Settings!$I$84,Settings!$I$86)</f>
        <v/>
      </c>
      <c r="AU669" s="171" t="n"/>
      <c r="AV669" t="n">
        <v>1.2</v>
      </c>
    </row>
    <row r="670">
      <c r="A670" s="28" t="n"/>
      <c r="B670" s="29" t="inlineStr">
        <is>
          <t>C0024</t>
        </is>
      </c>
      <c r="C670" s="29" t="inlineStr">
        <is>
          <t>E.DOOR LOCK 12V/0,6A FAB1211MB</t>
        </is>
      </c>
      <c r="D670" s="29" t="inlineStr">
        <is>
          <t>Відеосистеми, та IP камери</t>
        </is>
      </c>
      <c r="E670" s="28" t="inlineStr">
        <is>
          <t>PC</t>
        </is>
      </c>
      <c r="F670" s="93" t="n">
        <v>50.045</v>
      </c>
      <c r="G670" s="30" t="n">
        <v>8301401900</v>
      </c>
      <c r="H670" s="31" t="n">
        <v>1.4</v>
      </c>
      <c r="I670" s="84">
        <f>IFERROR(F670*Settings!$B$2*H670*IF(AND(ISNUMBER(E670),E670&gt;1),E670,1),"")</f>
        <v/>
      </c>
      <c r="J670" s="32">
        <f>Settings!$B$66</f>
        <v/>
      </c>
      <c r="K670" s="95">
        <f>IFERROR(IF(T670="","",(T670*(1-AN670)*(1-Settings!$B$17)-I670)/(T670*(1-AN670)*(1-Settings!$B$17))),"")</f>
        <v/>
      </c>
      <c r="L670" s="101">
        <f>IFERROR(IF(T670="","",(T670*(1-AO670)*(1-Settings!$C$17)-I670)/(T670*(1-AO670)*(1-Settings!$C$17))),"")</f>
        <v/>
      </c>
      <c r="M670" s="101">
        <f>IFERROR(IF(T670="","",(T670*(1-AP670)*(1-Settings!$D$17)-I670)/(T670*(1-AP670)*(1-Settings!$D$17))),"")</f>
        <v/>
      </c>
      <c r="N670" s="101">
        <f>IFERROR(IF(T670="","",(T670*(1-AQ670)*(1-Settings!$F$17)-I670)/(T670*(1-AQ670)*(1-Settings!$F$17))),"")</f>
        <v/>
      </c>
      <c r="O670" s="101">
        <f>IFERROR(IF(T670="","",(T670*(1-AR670)*(1-Settings!$G$17)-I670)/(T670*(1-AR670)*(1-Settings!$G$17))),"")</f>
        <v/>
      </c>
      <c r="P670" s="101">
        <f>IFERROR(IF(T670="","",(T670*(1-AS670)*(1-Settings!$H$17)-I670)/(T670*(1-AS670)*(1-Settings!$H$17))),"")</f>
        <v/>
      </c>
      <c r="Q670" s="101">
        <f>IFERROR(IF(T670="","",(T670*(1-AT670)*(1-Settings!$I$68)*(1-Settings!$I$17)-I670)/(T670*(1-AT670)*(1-Settings!$I$68)*(1-Settings!$I$17))),"")</f>
        <v/>
      </c>
      <c r="R670" s="91">
        <f>IFERROR(IF(OR(I670="",Z670&gt;=1,Settings!$B$17&gt;=1,AN670&gt;=1),"",IF(MOD(ROUND(I670/(1-Z670)/(1-Settings!$B$17)/(1-AN670),0),10)=0,ROUND(I670/(1-Z670)/(1-Settings!$B$17)/(1-AN670),0)-1,IF(MOD(ROUND(I670/(1-Z670)/(1-Settings!$B$17)/(1-AN670),0),10)&lt;=5,FLOOR(ROUND(I670/(1-Z670)/(1-Settings!$B$17)/(1-AN670),0),10)+6,FLOOR(ROUND(I670/(1-Z670)/(1-Settings!$B$17)/(1-AN670),0),10)+9))),"")</f>
        <v/>
      </c>
      <c r="S670" s="174" t="n"/>
      <c r="T670" s="91">
        <f>IF(S670&lt;&gt;"", IF(MOD(S670,10)=0,S670-1,IF(MOD(S670,10)&lt;=5,FLOOR(S670,10)+6,FLOOR(S670,10)+9)), R670)</f>
        <v/>
      </c>
      <c r="U670" s="87" t="inlineStr">
        <is>
          <t>Трафіковий</t>
        </is>
      </c>
      <c r="V670" s="88" t="n"/>
      <c r="W670" s="88" t="n"/>
      <c r="X670" s="89">
        <f>IFERROR(IF(OR(V670="",W670="",T670=""),"", IF(T670&gt;W670,"Дорогий",IF(T670&lt;V670,"Дешевий","У ринку"))),"")</f>
        <v/>
      </c>
      <c r="Y670" s="90" t="n"/>
      <c r="Z670" s="104">
        <f>CHOOSE(MATCH(IF($U670="","Основний",$U670),{"Трафіковий","Основний","Маржинальний","Сезонний","Стратегічний"},0),0.16,0.19,0.24,0.23,0.28)</f>
        <v/>
      </c>
      <c r="AA670" s="104">
        <f>CHOOSE(MATCH(IF($U670="","Основний",$U670),{"Трафіковий","Основний","Маржинальний","Сезонний","Стратегічний"},0),0.18,0.21,0.26,0.25,0.3)</f>
        <v/>
      </c>
      <c r="AB670" s="104">
        <f>CHOOSE(MATCH(IF($U670="","Основний",$U670),{"Трафіковий","Основний","Маржинальний","Сезонний","Стратегічний"},0),0.19,0.22,0.28,0.26,0.32)</f>
        <v/>
      </c>
      <c r="AC670" s="104">
        <f>CHOOSE(MATCH(IF($U670="","Основний",$U670),{"Трафіковий","Основний","Маржинальний","Сезонний","Стратегічний"},0),0.17,0.2,0.25,0.24,0.28)</f>
        <v/>
      </c>
      <c r="AD670" s="104">
        <f>CHOOSE(MATCH(IF($U670="","Основний",$U670),{"Трафіковий","Основний","Маржинальний","Сезонний","Стратегічний"},0),0.18,0.21,0.26,0.25,0.3)</f>
        <v/>
      </c>
      <c r="AE670" s="104">
        <f>CHOOSE(MATCH(IF($U670="","Основний",$U670),{"Трафіковий","Основний","Маржинальний","Сезонний","Стратегічний"},0),0.18,0.2,0.28,0.27,0.32)</f>
        <v/>
      </c>
      <c r="AF670" s="104">
        <f>CHOOSE(MATCH(IF($U670="","Основний",$U670),{"Трафіковий","Основний","Маржинальний","Сезонний","Стратегічний"},0),0.15,0.175,0.22,0.21,0.25)</f>
        <v/>
      </c>
      <c r="AG670" s="104">
        <f>CHOOSE(MATCH(IF($U670="","Основний",$U670),{"Трафіковий","Основний","Маржинальний","Сезонний","Стратегічний"},0),0.13,0.16,0.21,0.2,0.25)</f>
        <v/>
      </c>
      <c r="AH670" s="104">
        <f>CHOOSE(MATCH(IF($U670="","Основний",$U670),{"Трафіковий","Основний","Маржинальний","Сезонний","Стратегічний"},0),0.15,0.18,0.23,0.22,0.27)</f>
        <v/>
      </c>
      <c r="AI670" s="104">
        <f>CHOOSE(MATCH(IF($U670="","Основний",$U670),{"Трафіковий","Основний","Маржинальний","Сезонний","Стратегічний"},0),0.16,0.19,0.25,0.23,0.29)</f>
        <v/>
      </c>
      <c r="AJ670" s="104">
        <f>CHOOSE(MATCH(IF($U670="","Основний",$U670),{"Трафіковий","Основний","Маржинальний","Сезонний","Стратегічний"},0),0.14,0.17,0.22,0.21,0.25)</f>
        <v/>
      </c>
      <c r="AK670" s="104">
        <f>CHOOSE(MATCH(IF($U670="","Основний",$U670),{"Трафіковий","Основний","Маржинальний","Сезонний","Стратегічний"},0),0.15,0.18,0.23,0.22,0.27)</f>
        <v/>
      </c>
      <c r="AL670" s="104">
        <f>CHOOSE(MATCH(IF($U670="","Основний",$U670),{"Трафіковий","Основний","Маржинальний","Сезонний","Стратегічний"},0),0.15,0.17,0.25,0.24,0.29)</f>
        <v/>
      </c>
      <c r="AM670" s="104">
        <f>CHOOSE(MATCH(IF($U670="","Основний",$U670),{"Трафіковий","Основний","Маржинальний","Сезонний","Стратегічний"},0),0.12,0.145,0.19,0.18,0.22)</f>
        <v/>
      </c>
      <c r="AN670" s="157">
        <f>CHOOSE(MATCH(IF($U670="","Основний",$U670),{"Трафіковий","Основний","Маржинальний","Сезонний","Стратегічний"},0),Settings!$B$78,Settings!$B$80,Settings!$B$82,Settings!$B$84,Settings!$B$86)</f>
        <v/>
      </c>
      <c r="AO670" s="157">
        <f>CHOOSE(MATCH(IF($U670="","Основний",$U670),{"Трафіковий","Основний","Маржинальний","Сезонний","Стратегічний"},0),Settings!$C$78,Settings!$C$80,Settings!$C$82,Settings!$C$84,Settings!$C$86)</f>
        <v/>
      </c>
      <c r="AP670" s="157">
        <f>CHOOSE(MATCH(IF($U670="","Основний",$U670),{"Трафіковий","Основний","Маржинальний","Сезонний","Стратегічний"},0),Settings!$D$78,Settings!$D$80,Settings!$D$82,Settings!$D$84,Settings!$D$86)</f>
        <v/>
      </c>
      <c r="AQ670" s="157">
        <f>CHOOSE(MATCH(IF($U670="","Основний",$U670),{"Трафіковий","Основний","Маржинальний","Сезонний","Стратегічний"},0),Settings!$F$78,Settings!$F$80,Settings!$F$82,Settings!$F$84,Settings!$F$86)</f>
        <v/>
      </c>
      <c r="AR670" s="157">
        <f>CHOOSE(MATCH(IF($U670="","Основний",$U670),{"Трафіковий","Основний","Маржинальний","Сезонний","Стратегічний"},0),Settings!$G$78,Settings!$G$80,Settings!$G$82,Settings!$G$84,Settings!$G$86)</f>
        <v/>
      </c>
      <c r="AS670" s="157">
        <f>CHOOSE(MATCH(IF($U670="","Основний",$U670),{"Трафіковий","Основний","Маржинальний","Сезонний","Стратегічний"},0),Settings!$H$78,Settings!$H$80,Settings!$H$82,Settings!$H$84,Settings!$H$86)</f>
        <v/>
      </c>
      <c r="AT670" s="157">
        <f>CHOOSE(MATCH(IF($U670="","Основний",$U670),{"Трафіковий","Основний","Маржинальний","Сезонний","Стратегічний"},0),Settings!$I$78,Settings!$I$80,Settings!$I$82,Settings!$I$84,Settings!$I$86)</f>
        <v/>
      </c>
      <c r="AU670" s="171" t="n"/>
      <c r="AV670" t="n">
        <v>1.3</v>
      </c>
    </row>
    <row r="671">
      <c r="A671" s="33" t="n"/>
      <c r="B671" s="34" t="inlineStr">
        <is>
          <t>C0025</t>
        </is>
      </c>
      <c r="C671" s="34" t="inlineStr">
        <is>
          <t>EL.DOOR LOCK 12V/0,6A FAB1221</t>
        </is>
      </c>
      <c r="D671" s="34" t="inlineStr">
        <is>
          <t>Відеосистеми, та IP камери</t>
        </is>
      </c>
      <c r="E671" s="33" t="inlineStr">
        <is>
          <t>PC</t>
        </is>
      </c>
      <c r="F671" s="94" t="n">
        <v>50.426</v>
      </c>
      <c r="G671" s="35" t="n">
        <v>8301401900</v>
      </c>
      <c r="H671" s="31" t="n">
        <v>1.4</v>
      </c>
      <c r="I671" s="84">
        <f>IFERROR(F671*Settings!$B$2*H671*IF(AND(ISNUMBER(E671),E671&gt;1),E671,1),"")</f>
        <v/>
      </c>
      <c r="J671" s="32">
        <f>Settings!$B$66</f>
        <v/>
      </c>
      <c r="K671" s="95">
        <f>IFERROR(IF(T671="","",(T671*(1-AN671)*(1-Settings!$B$17)-I671)/(T671*(1-AN671)*(1-Settings!$B$17))),"")</f>
        <v/>
      </c>
      <c r="L671" s="101">
        <f>IFERROR(IF(T671="","",(T671*(1-AO671)*(1-Settings!$C$17)-I671)/(T671*(1-AO671)*(1-Settings!$C$17))),"")</f>
        <v/>
      </c>
      <c r="M671" s="101">
        <f>IFERROR(IF(T671="","",(T671*(1-AP671)*(1-Settings!$D$17)-I671)/(T671*(1-AP671)*(1-Settings!$D$17))),"")</f>
        <v/>
      </c>
      <c r="N671" s="101">
        <f>IFERROR(IF(T671="","",(T671*(1-AQ671)*(1-Settings!$F$17)-I671)/(T671*(1-AQ671)*(1-Settings!$F$17))),"")</f>
        <v/>
      </c>
      <c r="O671" s="101">
        <f>IFERROR(IF(T671="","",(T671*(1-AR671)*(1-Settings!$G$17)-I671)/(T671*(1-AR671)*(1-Settings!$G$17))),"")</f>
        <v/>
      </c>
      <c r="P671" s="101">
        <f>IFERROR(IF(T671="","",(T671*(1-AS671)*(1-Settings!$H$17)-I671)/(T671*(1-AS671)*(1-Settings!$H$17))),"")</f>
        <v/>
      </c>
      <c r="Q671" s="101">
        <f>IFERROR(IF(T671="","",(T671*(1-AT671)*(1-Settings!$I$68)*(1-Settings!$I$17)-I671)/(T671*(1-AT671)*(1-Settings!$I$68)*(1-Settings!$I$17))),"")</f>
        <v/>
      </c>
      <c r="R671" s="91">
        <f>IFERROR(IF(OR(I671="",Z671&gt;=1,Settings!$B$17&gt;=1,AN671&gt;=1),"",IF(MOD(ROUND(I671/(1-Z671)/(1-Settings!$B$17)/(1-AN671),0),10)=0,ROUND(I671/(1-Z671)/(1-Settings!$B$17)/(1-AN671),0)-1,IF(MOD(ROUND(I671/(1-Z671)/(1-Settings!$B$17)/(1-AN671),0),10)&lt;=5,FLOOR(ROUND(I671/(1-Z671)/(1-Settings!$B$17)/(1-AN671),0),10)+6,FLOOR(ROUND(I671/(1-Z671)/(1-Settings!$B$17)/(1-AN671),0),10)+9))),"")</f>
        <v/>
      </c>
      <c r="S671" s="174" t="n"/>
      <c r="T671" s="91">
        <f>IF(S671&lt;&gt;"", IF(MOD(S671,10)=0,S671-1,IF(MOD(S671,10)&lt;=5,FLOOR(S671,10)+6,FLOOR(S671,10)+9)), R671)</f>
        <v/>
      </c>
      <c r="U671" s="87" t="inlineStr">
        <is>
          <t>Трафіковий</t>
        </is>
      </c>
      <c r="V671" s="88" t="n"/>
      <c r="W671" s="88" t="n"/>
      <c r="X671" s="89">
        <f>IFERROR(IF(OR(V671="",W671="",T671=""),"", IF(T671&gt;W671,"Дорогий",IF(T671&lt;V671,"Дешевий","У ринку"))),"")</f>
        <v/>
      </c>
      <c r="Y671" s="90" t="n"/>
      <c r="Z671" s="104">
        <f>CHOOSE(MATCH(IF($U671="","Основний",$U671),{"Трафіковий","Основний","Маржинальний","Сезонний","Стратегічний"},0),0.16,0.19,0.24,0.23,0.28)</f>
        <v/>
      </c>
      <c r="AA671" s="104">
        <f>CHOOSE(MATCH(IF($U671="","Основний",$U671),{"Трафіковий","Основний","Маржинальний","Сезонний","Стратегічний"},0),0.18,0.21,0.26,0.25,0.3)</f>
        <v/>
      </c>
      <c r="AB671" s="104">
        <f>CHOOSE(MATCH(IF($U671="","Основний",$U671),{"Трафіковий","Основний","Маржинальний","Сезонний","Стратегічний"},0),0.19,0.22,0.28,0.26,0.32)</f>
        <v/>
      </c>
      <c r="AC671" s="104">
        <f>CHOOSE(MATCH(IF($U671="","Основний",$U671),{"Трафіковий","Основний","Маржинальний","Сезонний","Стратегічний"},0),0.17,0.2,0.25,0.24,0.28)</f>
        <v/>
      </c>
      <c r="AD671" s="104">
        <f>CHOOSE(MATCH(IF($U671="","Основний",$U671),{"Трафіковий","Основний","Маржинальний","Сезонний","Стратегічний"},0),0.18,0.21,0.26,0.25,0.3)</f>
        <v/>
      </c>
      <c r="AE671" s="104">
        <f>CHOOSE(MATCH(IF($U671="","Основний",$U671),{"Трафіковий","Основний","Маржинальний","Сезонний","Стратегічний"},0),0.18,0.2,0.28,0.27,0.32)</f>
        <v/>
      </c>
      <c r="AF671" s="104">
        <f>CHOOSE(MATCH(IF($U671="","Основний",$U671),{"Трафіковий","Основний","Маржинальний","Сезонний","Стратегічний"},0),0.15,0.175,0.22,0.21,0.25)</f>
        <v/>
      </c>
      <c r="AG671" s="104">
        <f>CHOOSE(MATCH(IF($U671="","Основний",$U671),{"Трафіковий","Основний","Маржинальний","Сезонний","Стратегічний"},0),0.13,0.16,0.21,0.2,0.25)</f>
        <v/>
      </c>
      <c r="AH671" s="104">
        <f>CHOOSE(MATCH(IF($U671="","Основний",$U671),{"Трафіковий","Основний","Маржинальний","Сезонний","Стратегічний"},0),0.15,0.18,0.23,0.22,0.27)</f>
        <v/>
      </c>
      <c r="AI671" s="104">
        <f>CHOOSE(MATCH(IF($U671="","Основний",$U671),{"Трафіковий","Основний","Маржинальний","Сезонний","Стратегічний"},0),0.16,0.19,0.25,0.23,0.29)</f>
        <v/>
      </c>
      <c r="AJ671" s="104">
        <f>CHOOSE(MATCH(IF($U671="","Основний",$U671),{"Трафіковий","Основний","Маржинальний","Сезонний","Стратегічний"},0),0.14,0.17,0.22,0.21,0.25)</f>
        <v/>
      </c>
      <c r="AK671" s="104">
        <f>CHOOSE(MATCH(IF($U671="","Основний",$U671),{"Трафіковий","Основний","Маржинальний","Сезонний","Стратегічний"},0),0.15,0.18,0.23,0.22,0.27)</f>
        <v/>
      </c>
      <c r="AL671" s="104">
        <f>CHOOSE(MATCH(IF($U671="","Основний",$U671),{"Трафіковий","Основний","Маржинальний","Сезонний","Стратегічний"},0),0.15,0.17,0.25,0.24,0.29)</f>
        <v/>
      </c>
      <c r="AM671" s="104">
        <f>CHOOSE(MATCH(IF($U671="","Основний",$U671),{"Трафіковий","Основний","Маржинальний","Сезонний","Стратегічний"},0),0.12,0.145,0.19,0.18,0.22)</f>
        <v/>
      </c>
      <c r="AN671" s="157">
        <f>CHOOSE(MATCH(IF($U671="","Основний",$U671),{"Трафіковий","Основний","Маржинальний","Сезонний","Стратегічний"},0),Settings!$B$78,Settings!$B$80,Settings!$B$82,Settings!$B$84,Settings!$B$86)</f>
        <v/>
      </c>
      <c r="AO671" s="157">
        <f>CHOOSE(MATCH(IF($U671="","Основний",$U671),{"Трафіковий","Основний","Маржинальний","Сезонний","Стратегічний"},0),Settings!$C$78,Settings!$C$80,Settings!$C$82,Settings!$C$84,Settings!$C$86)</f>
        <v/>
      </c>
      <c r="AP671" s="157">
        <f>CHOOSE(MATCH(IF($U671="","Основний",$U671),{"Трафіковий","Основний","Маржинальний","Сезонний","Стратегічний"},0),Settings!$D$78,Settings!$D$80,Settings!$D$82,Settings!$D$84,Settings!$D$86)</f>
        <v/>
      </c>
      <c r="AQ671" s="157">
        <f>CHOOSE(MATCH(IF($U671="","Основний",$U671),{"Трафіковий","Основний","Маржинальний","Сезонний","Стратегічний"},0),Settings!$F$78,Settings!$F$80,Settings!$F$82,Settings!$F$84,Settings!$F$86)</f>
        <v/>
      </c>
      <c r="AR671" s="157">
        <f>CHOOSE(MATCH(IF($U671="","Основний",$U671),{"Трафіковий","Основний","Маржинальний","Сезонний","Стратегічний"},0),Settings!$G$78,Settings!$G$80,Settings!$G$82,Settings!$G$84,Settings!$G$86)</f>
        <v/>
      </c>
      <c r="AS671" s="157">
        <f>CHOOSE(MATCH(IF($U671="","Основний",$U671),{"Трафіковий","Основний","Маржинальний","Сезонний","Стратегічний"},0),Settings!$H$78,Settings!$H$80,Settings!$H$82,Settings!$H$84,Settings!$H$86)</f>
        <v/>
      </c>
      <c r="AT671" s="157">
        <f>CHOOSE(MATCH(IF($U671="","Основний",$U671),{"Трафіковий","Основний","Маржинальний","Сезонний","Стратегічний"},0),Settings!$I$78,Settings!$I$80,Settings!$I$82,Settings!$I$84,Settings!$I$86)</f>
        <v/>
      </c>
      <c r="AU671" s="171" t="n"/>
      <c r="AV671" t="n">
        <v>1.3</v>
      </c>
    </row>
    <row r="672">
      <c r="A672" s="28" t="inlineStr">
        <is>
          <t>NEW</t>
        </is>
      </c>
      <c r="B672" s="29" t="inlineStr">
        <is>
          <t>C0030</t>
        </is>
      </c>
      <c r="C672" s="29" t="inlineStr">
        <is>
          <t>ELECTRIC STRIKE 12V/0,5A EMOS</t>
        </is>
      </c>
      <c r="D672" s="29" t="inlineStr">
        <is>
          <t>Відеосистеми, та IP камери</t>
        </is>
      </c>
      <c r="E672" s="28" t="inlineStr">
        <is>
          <t>PC</t>
        </is>
      </c>
      <c r="F672" s="93" t="n">
        <v>16.747</v>
      </c>
      <c r="G672" s="30" t="n">
        <v>8301401900</v>
      </c>
      <c r="H672" s="31" t="n">
        <v>1.4</v>
      </c>
      <c r="I672" s="84">
        <f>IFERROR(F672*Settings!$B$2*H672*IF(AND(ISNUMBER(E672),E672&gt;1),E672,1),"")</f>
        <v/>
      </c>
      <c r="J672" s="32">
        <f>Settings!$B$66</f>
        <v/>
      </c>
      <c r="K672" s="95">
        <f>IFERROR(IF(T672="","",(T672*(1-AN672)*(1-Settings!$B$17)-I672)/(T672*(1-AN672)*(1-Settings!$B$17))),"")</f>
        <v/>
      </c>
      <c r="L672" s="101">
        <f>IFERROR(IF(T672="","",(T672*(1-AO672)*(1-Settings!$C$17)-I672)/(T672*(1-AO672)*(1-Settings!$C$17))),"")</f>
        <v/>
      </c>
      <c r="M672" s="101">
        <f>IFERROR(IF(T672="","",(T672*(1-AP672)*(1-Settings!$D$17)-I672)/(T672*(1-AP672)*(1-Settings!$D$17))),"")</f>
        <v/>
      </c>
      <c r="N672" s="101">
        <f>IFERROR(IF(T672="","",(T672*(1-AQ672)*(1-Settings!$F$17)-I672)/(T672*(1-AQ672)*(1-Settings!$F$17))),"")</f>
        <v/>
      </c>
      <c r="O672" s="101">
        <f>IFERROR(IF(T672="","",(T672*(1-AR672)*(1-Settings!$G$17)-I672)/(T672*(1-AR672)*(1-Settings!$G$17))),"")</f>
        <v/>
      </c>
      <c r="P672" s="101">
        <f>IFERROR(IF(T672="","",(T672*(1-AS672)*(1-Settings!$H$17)-I672)/(T672*(1-AS672)*(1-Settings!$H$17))),"")</f>
        <v/>
      </c>
      <c r="Q672" s="101">
        <f>IFERROR(IF(T672="","",(T672*(1-AT672)*(1-Settings!$I$68)*(1-Settings!$I$17)-I672)/(T672*(1-AT672)*(1-Settings!$I$68)*(1-Settings!$I$17))),"")</f>
        <v/>
      </c>
      <c r="R672" s="91">
        <f>IFERROR(IF(OR(I672="",Z672&gt;=1,Settings!$B$17&gt;=1,AN672&gt;=1),"",IF(MOD(ROUND(I672/(1-Z672)/(1-Settings!$B$17)/(1-AN672),0),10)=0,ROUND(I672/(1-Z672)/(1-Settings!$B$17)/(1-AN672),0)-1,IF(MOD(ROUND(I672/(1-Z672)/(1-Settings!$B$17)/(1-AN672),0),10)&lt;=5,FLOOR(ROUND(I672/(1-Z672)/(1-Settings!$B$17)/(1-AN672),0),10)+6,FLOOR(ROUND(I672/(1-Z672)/(1-Settings!$B$17)/(1-AN672),0),10)+9))),"")</f>
        <v/>
      </c>
      <c r="S672" s="174" t="n"/>
      <c r="T672" s="91">
        <f>IF(S672&lt;&gt;"", IF(MOD(S672,10)=0,S672-1,IF(MOD(S672,10)&lt;=5,FLOOR(S672,10)+6,FLOOR(S672,10)+9)), R672)</f>
        <v/>
      </c>
      <c r="U672" s="87" t="inlineStr">
        <is>
          <t>Трафіковий</t>
        </is>
      </c>
      <c r="V672" s="88" t="n"/>
      <c r="W672" s="88" t="n"/>
      <c r="X672" s="89">
        <f>IFERROR(IF(OR(V672="",W672="",T672=""),"", IF(T672&gt;W672,"Дорогий",IF(T672&lt;V672,"Дешевий","У ринку"))),"")</f>
        <v/>
      </c>
      <c r="Y672" s="90" t="n"/>
      <c r="Z672" s="104">
        <f>CHOOSE(MATCH(IF($U672="","Основний",$U672),{"Трафіковий","Основний","Маржинальний","Сезонний","Стратегічний"},0),0.16,0.19,0.24,0.23,0.28)</f>
        <v/>
      </c>
      <c r="AA672" s="104">
        <f>CHOOSE(MATCH(IF($U672="","Основний",$U672),{"Трафіковий","Основний","Маржинальний","Сезонний","Стратегічний"},0),0.18,0.21,0.26,0.25,0.3)</f>
        <v/>
      </c>
      <c r="AB672" s="104">
        <f>CHOOSE(MATCH(IF($U672="","Основний",$U672),{"Трафіковий","Основний","Маржинальний","Сезонний","Стратегічний"},0),0.19,0.22,0.28,0.26,0.32)</f>
        <v/>
      </c>
      <c r="AC672" s="104">
        <f>CHOOSE(MATCH(IF($U672="","Основний",$U672),{"Трафіковий","Основний","Маржинальний","Сезонний","Стратегічний"},0),0.17,0.2,0.25,0.24,0.28)</f>
        <v/>
      </c>
      <c r="AD672" s="104">
        <f>CHOOSE(MATCH(IF($U672="","Основний",$U672),{"Трафіковий","Основний","Маржинальний","Сезонний","Стратегічний"},0),0.18,0.21,0.26,0.25,0.3)</f>
        <v/>
      </c>
      <c r="AE672" s="104">
        <f>CHOOSE(MATCH(IF($U672="","Основний",$U672),{"Трафіковий","Основний","Маржинальний","Сезонний","Стратегічний"},0),0.18,0.2,0.28,0.27,0.32)</f>
        <v/>
      </c>
      <c r="AF672" s="104">
        <f>CHOOSE(MATCH(IF($U672="","Основний",$U672),{"Трафіковий","Основний","Маржинальний","Сезонний","Стратегічний"},0),0.15,0.175,0.22,0.21,0.25)</f>
        <v/>
      </c>
      <c r="AG672" s="104">
        <f>CHOOSE(MATCH(IF($U672="","Основний",$U672),{"Трафіковий","Основний","Маржинальний","Сезонний","Стратегічний"},0),0.13,0.16,0.21,0.2,0.25)</f>
        <v/>
      </c>
      <c r="AH672" s="104">
        <f>CHOOSE(MATCH(IF($U672="","Основний",$U672),{"Трафіковий","Основний","Маржинальний","Сезонний","Стратегічний"},0),0.15,0.18,0.23,0.22,0.27)</f>
        <v/>
      </c>
      <c r="AI672" s="104">
        <f>CHOOSE(MATCH(IF($U672="","Основний",$U672),{"Трафіковий","Основний","Маржинальний","Сезонний","Стратегічний"},0),0.16,0.19,0.25,0.23,0.29)</f>
        <v/>
      </c>
      <c r="AJ672" s="104">
        <f>CHOOSE(MATCH(IF($U672="","Основний",$U672),{"Трафіковий","Основний","Маржинальний","Сезонний","Стратегічний"},0),0.14,0.17,0.22,0.21,0.25)</f>
        <v/>
      </c>
      <c r="AK672" s="104">
        <f>CHOOSE(MATCH(IF($U672="","Основний",$U672),{"Трафіковий","Основний","Маржинальний","Сезонний","Стратегічний"},0),0.15,0.18,0.23,0.22,0.27)</f>
        <v/>
      </c>
      <c r="AL672" s="104">
        <f>CHOOSE(MATCH(IF($U672="","Основний",$U672),{"Трафіковий","Основний","Маржинальний","Сезонний","Стратегічний"},0),0.15,0.17,0.25,0.24,0.29)</f>
        <v/>
      </c>
      <c r="AM672" s="104">
        <f>CHOOSE(MATCH(IF($U672="","Основний",$U672),{"Трафіковий","Основний","Маржинальний","Сезонний","Стратегічний"},0),0.12,0.145,0.19,0.18,0.22)</f>
        <v/>
      </c>
      <c r="AN672" s="157">
        <f>CHOOSE(MATCH(IF($U672="","Основний",$U672),{"Трафіковий","Основний","Маржинальний","Сезонний","Стратегічний"},0),Settings!$B$78,Settings!$B$80,Settings!$B$82,Settings!$B$84,Settings!$B$86)</f>
        <v/>
      </c>
      <c r="AO672" s="157">
        <f>CHOOSE(MATCH(IF($U672="","Основний",$U672),{"Трафіковий","Основний","Маржинальний","Сезонний","Стратегічний"},0),Settings!$C$78,Settings!$C$80,Settings!$C$82,Settings!$C$84,Settings!$C$86)</f>
        <v/>
      </c>
      <c r="AP672" s="157">
        <f>CHOOSE(MATCH(IF($U672="","Основний",$U672),{"Трафіковий","Основний","Маржинальний","Сезонний","Стратегічний"},0),Settings!$D$78,Settings!$D$80,Settings!$D$82,Settings!$D$84,Settings!$D$86)</f>
        <v/>
      </c>
      <c r="AQ672" s="157">
        <f>CHOOSE(MATCH(IF($U672="","Основний",$U672),{"Трафіковий","Основний","Маржинальний","Сезонний","Стратегічний"},0),Settings!$F$78,Settings!$F$80,Settings!$F$82,Settings!$F$84,Settings!$F$86)</f>
        <v/>
      </c>
      <c r="AR672" s="157">
        <f>CHOOSE(MATCH(IF($U672="","Основний",$U672),{"Трафіковий","Основний","Маржинальний","Сезонний","Стратегічний"},0),Settings!$G$78,Settings!$G$80,Settings!$G$82,Settings!$G$84,Settings!$G$86)</f>
        <v/>
      </c>
      <c r="AS672" s="157">
        <f>CHOOSE(MATCH(IF($U672="","Основний",$U672),{"Трафіковий","Основний","Маржинальний","Сезонний","Стратегічний"},0),Settings!$H$78,Settings!$H$80,Settings!$H$82,Settings!$H$84,Settings!$H$86)</f>
        <v/>
      </c>
      <c r="AT672" s="157">
        <f>CHOOSE(MATCH(IF($U672="","Основний",$U672),{"Трафіковий","Основний","Маржинальний","Сезонний","Стратегічний"},0),Settings!$I$78,Settings!$I$80,Settings!$I$82,Settings!$I$84,Settings!$I$86)</f>
        <v/>
      </c>
      <c r="AU672" s="171" t="n"/>
      <c r="AV672" t="n">
        <v>1.35</v>
      </c>
    </row>
    <row r="673">
      <c r="A673" s="33" t="n"/>
      <c r="B673" s="34" t="inlineStr">
        <is>
          <t>H8013</t>
        </is>
      </c>
      <c r="C673" s="34" t="inlineStr">
        <is>
          <t>RFID KEY RING</t>
        </is>
      </c>
      <c r="D673" s="34" t="inlineStr">
        <is>
          <t>Відеосистеми, та IP камери</t>
        </is>
      </c>
      <c r="E673" s="33" t="inlineStr">
        <is>
          <t>PC</t>
        </is>
      </c>
      <c r="F673" s="94" t="n">
        <v>0.515</v>
      </c>
      <c r="G673" s="35" t="n">
        <v>8523520000</v>
      </c>
      <c r="H673" s="31" t="n">
        <v>1.3</v>
      </c>
      <c r="I673" s="84">
        <f>IFERROR(F673*Settings!$B$2*H673*IF(AND(ISNUMBER(E673),E673&gt;1),E673,1),"")</f>
        <v/>
      </c>
      <c r="J673" s="32">
        <f>Settings!$B$66</f>
        <v/>
      </c>
      <c r="K673" s="95">
        <f>IFERROR(IF(T673="","",(T673*(1-AN673)*(1-Settings!$B$17)-I673)/(T673*(1-AN673)*(1-Settings!$B$17))),"")</f>
        <v/>
      </c>
      <c r="L673" s="101">
        <f>IFERROR(IF(T673="","",(T673*(1-AO673)*(1-Settings!$C$17)-I673)/(T673*(1-AO673)*(1-Settings!$C$17))),"")</f>
        <v/>
      </c>
      <c r="M673" s="101">
        <f>IFERROR(IF(T673="","",(T673*(1-AP673)*(1-Settings!$D$17)-I673)/(T673*(1-AP673)*(1-Settings!$D$17))),"")</f>
        <v/>
      </c>
      <c r="N673" s="101">
        <f>IFERROR(IF(T673="","",(T673*(1-AQ673)*(1-Settings!$F$17)-I673)/(T673*(1-AQ673)*(1-Settings!$F$17))),"")</f>
        <v/>
      </c>
      <c r="O673" s="101">
        <f>IFERROR(IF(T673="","",(T673*(1-AR673)*(1-Settings!$G$17)-I673)/(T673*(1-AR673)*(1-Settings!$G$17))),"")</f>
        <v/>
      </c>
      <c r="P673" s="101">
        <f>IFERROR(IF(T673="","",(T673*(1-AS673)*(1-Settings!$H$17)-I673)/(T673*(1-AS673)*(1-Settings!$H$17))),"")</f>
        <v/>
      </c>
      <c r="Q673" s="101">
        <f>IFERROR(IF(T673="","",(T673*(1-AT673)*(1-Settings!$I$68)*(1-Settings!$I$17)-I673)/(T673*(1-AT673)*(1-Settings!$I$68)*(1-Settings!$I$17))),"")</f>
        <v/>
      </c>
      <c r="R673" s="91">
        <f>IFERROR(IF(OR(I673="",Z673&gt;=1,Settings!$B$17&gt;=1,AN673&gt;=1),"",IF(MOD(ROUND(I673/(1-Z673)/(1-Settings!$B$17)/(1-AN673),0),10)=0,ROUND(I673/(1-Z673)/(1-Settings!$B$17)/(1-AN673),0)-1,IF(MOD(ROUND(I673/(1-Z673)/(1-Settings!$B$17)/(1-AN673),0),10)&lt;=5,FLOOR(ROUND(I673/(1-Z673)/(1-Settings!$B$17)/(1-AN673),0),10)+6,FLOOR(ROUND(I673/(1-Z673)/(1-Settings!$B$17)/(1-AN673),0),10)+9))),"")</f>
        <v/>
      </c>
      <c r="S673" s="174">
        <f>R673*0.95</f>
        <v/>
      </c>
      <c r="T673" s="91">
        <f>IF(S673&lt;&gt;"", IF(MOD(S673,10)=0,S673-1,IF(MOD(S673,10)&lt;=5,FLOOR(S673,10)+6,FLOOR(S673,10)+9)), R673)</f>
        <v/>
      </c>
      <c r="U673" s="87" t="inlineStr">
        <is>
          <t>Основний</t>
        </is>
      </c>
      <c r="V673" s="88" t="n"/>
      <c r="W673" s="88" t="n"/>
      <c r="X673" s="89">
        <f>IFERROR(IF(OR(V673="",W673="",T673=""),"", IF(T673&gt;W673,"Дорогий",IF(T673&lt;V673,"Дешевий","У ринку"))),"")</f>
        <v/>
      </c>
      <c r="Y673" s="90" t="n"/>
      <c r="Z673" s="104">
        <f>CHOOSE(MATCH(IF($U673="","Основний",$U673),{"Трафіковий","Основний","Маржинальний","Сезонний","Стратегічний"},0),0.16,0.19,0.24,0.23,0.28)</f>
        <v/>
      </c>
      <c r="AA673" s="104">
        <f>CHOOSE(MATCH(IF($U673="","Основний",$U673),{"Трафіковий","Основний","Маржинальний","Сезонний","Стратегічний"},0),0.18,0.21,0.26,0.25,0.3)</f>
        <v/>
      </c>
      <c r="AB673" s="104">
        <f>CHOOSE(MATCH(IF($U673="","Основний",$U673),{"Трафіковий","Основний","Маржинальний","Сезонний","Стратегічний"},0),0.19,0.22,0.28,0.26,0.32)</f>
        <v/>
      </c>
      <c r="AC673" s="104">
        <f>CHOOSE(MATCH(IF($U673="","Основний",$U673),{"Трафіковий","Основний","Маржинальний","Сезонний","Стратегічний"},0),0.17,0.2,0.25,0.24,0.28)</f>
        <v/>
      </c>
      <c r="AD673" s="104">
        <f>CHOOSE(MATCH(IF($U673="","Основний",$U673),{"Трафіковий","Основний","Маржинальний","Сезонний","Стратегічний"},0),0.18,0.21,0.26,0.25,0.3)</f>
        <v/>
      </c>
      <c r="AE673" s="104">
        <f>CHOOSE(MATCH(IF($U673="","Основний",$U673),{"Трафіковий","Основний","Маржинальний","Сезонний","Стратегічний"},0),0.18,0.2,0.28,0.27,0.32)</f>
        <v/>
      </c>
      <c r="AF673" s="104">
        <f>CHOOSE(MATCH(IF($U673="","Основний",$U673),{"Трафіковий","Основний","Маржинальний","Сезонний","Стратегічний"},0),0.15,0.175,0.22,0.21,0.25)</f>
        <v/>
      </c>
      <c r="AG673" s="104">
        <f>CHOOSE(MATCH(IF($U673="","Основний",$U673),{"Трафіковий","Основний","Маржинальний","Сезонний","Стратегічний"},0),0.13,0.16,0.21,0.2,0.25)</f>
        <v/>
      </c>
      <c r="AH673" s="104">
        <f>CHOOSE(MATCH(IF($U673="","Основний",$U673),{"Трафіковий","Основний","Маржинальний","Сезонний","Стратегічний"},0),0.15,0.18,0.23,0.22,0.27)</f>
        <v/>
      </c>
      <c r="AI673" s="104">
        <f>CHOOSE(MATCH(IF($U673="","Основний",$U673),{"Трафіковий","Основний","Маржинальний","Сезонний","Стратегічний"},0),0.16,0.19,0.25,0.23,0.29)</f>
        <v/>
      </c>
      <c r="AJ673" s="104">
        <f>CHOOSE(MATCH(IF($U673="","Основний",$U673),{"Трафіковий","Основний","Маржинальний","Сезонний","Стратегічний"},0),0.14,0.17,0.22,0.21,0.25)</f>
        <v/>
      </c>
      <c r="AK673" s="104">
        <f>CHOOSE(MATCH(IF($U673="","Основний",$U673),{"Трафіковий","Основний","Маржинальний","Сезонний","Стратегічний"},0),0.15,0.18,0.23,0.22,0.27)</f>
        <v/>
      </c>
      <c r="AL673" s="104">
        <f>CHOOSE(MATCH(IF($U673="","Основний",$U673),{"Трафіковий","Основний","Маржинальний","Сезонний","Стратегічний"},0),0.15,0.17,0.25,0.24,0.29)</f>
        <v/>
      </c>
      <c r="AM673" s="104">
        <f>CHOOSE(MATCH(IF($U673="","Основний",$U673),{"Трафіковий","Основний","Маржинальний","Сезонний","Стратегічний"},0),0.12,0.145,0.19,0.18,0.22)</f>
        <v/>
      </c>
      <c r="AN673" s="157">
        <f>CHOOSE(MATCH(IF($U673="","Основний",$U673),{"Трафіковий","Основний","Маржинальний","Сезонний","Стратегічний"},0),Settings!$B$78,Settings!$B$80,Settings!$B$82,Settings!$B$84,Settings!$B$86)</f>
        <v/>
      </c>
      <c r="AO673" s="157">
        <f>CHOOSE(MATCH(IF($U673="","Основний",$U673),{"Трафіковий","Основний","Маржинальний","Сезонний","Стратегічний"},0),Settings!$C$78,Settings!$C$80,Settings!$C$82,Settings!$C$84,Settings!$C$86)</f>
        <v/>
      </c>
      <c r="AP673" s="157">
        <f>CHOOSE(MATCH(IF($U673="","Основний",$U673),{"Трафіковий","Основний","Маржинальний","Сезонний","Стратегічний"},0),Settings!$D$78,Settings!$D$80,Settings!$D$82,Settings!$D$84,Settings!$D$86)</f>
        <v/>
      </c>
      <c r="AQ673" s="157">
        <f>CHOOSE(MATCH(IF($U673="","Основний",$U673),{"Трафіковий","Основний","Маржинальний","Сезонний","Стратегічний"},0),Settings!$F$78,Settings!$F$80,Settings!$F$82,Settings!$F$84,Settings!$F$86)</f>
        <v/>
      </c>
      <c r="AR673" s="157">
        <f>CHOOSE(MATCH(IF($U673="","Основний",$U673),{"Трафіковий","Основний","Маржинальний","Сезонний","Стратегічний"},0),Settings!$G$78,Settings!$G$80,Settings!$G$82,Settings!$G$84,Settings!$G$86)</f>
        <v/>
      </c>
      <c r="AS673" s="157">
        <f>CHOOSE(MATCH(IF($U673="","Основний",$U673),{"Трафіковий","Основний","Маржинальний","Сезонний","Стратегічний"},0),Settings!$H$78,Settings!$H$80,Settings!$H$82,Settings!$H$84,Settings!$H$86)</f>
        <v/>
      </c>
      <c r="AT673" s="157">
        <f>CHOOSE(MATCH(IF($U673="","Основний",$U673),{"Трафіковий","Основний","Маржинальний","Сезонний","Стратегічний"},0),Settings!$I$78,Settings!$I$80,Settings!$I$82,Settings!$I$84,Settings!$I$86)</f>
        <v/>
      </c>
      <c r="AU673" s="171" t="n"/>
      <c r="AV673" t="n">
        <v>1.35</v>
      </c>
    </row>
    <row r="674">
      <c r="A674" s="28" t="n"/>
      <c r="B674" s="29" t="inlineStr">
        <is>
          <t>H7009</t>
        </is>
      </c>
      <c r="C674" s="29" t="inlineStr">
        <is>
          <t>POWER SUPPLY 12V/5A DC DIN</t>
        </is>
      </c>
      <c r="D674" s="29" t="inlineStr">
        <is>
          <t>Відеосистеми, та IP камери</t>
        </is>
      </c>
      <c r="E674" s="28" t="inlineStr">
        <is>
          <t>PC</t>
        </is>
      </c>
      <c r="F674" s="93" t="n">
        <v>10.815</v>
      </c>
      <c r="G674" s="30" t="n">
        <v>8504408390</v>
      </c>
      <c r="H674" s="31" t="n">
        <v>1.3</v>
      </c>
      <c r="I674" s="84">
        <f>IFERROR(F674*Settings!$B$2*H674*IF(AND(ISNUMBER(E674),E674&gt;1),E674,1),"")</f>
        <v/>
      </c>
      <c r="J674" s="32">
        <f>Settings!$B$66</f>
        <v/>
      </c>
      <c r="K674" s="95">
        <f>IFERROR(IF(T674="","",(T674*(1-AN674)*(1-Settings!$B$17)-I674)/(T674*(1-AN674)*(1-Settings!$B$17))),"")</f>
        <v/>
      </c>
      <c r="L674" s="101">
        <f>IFERROR(IF(T674="","",(T674*(1-AO674)*(1-Settings!$C$17)-I674)/(T674*(1-AO674)*(1-Settings!$C$17))),"")</f>
        <v/>
      </c>
      <c r="M674" s="101">
        <f>IFERROR(IF(T674="","",(T674*(1-AP674)*(1-Settings!$D$17)-I674)/(T674*(1-AP674)*(1-Settings!$D$17))),"")</f>
        <v/>
      </c>
      <c r="N674" s="101">
        <f>IFERROR(IF(T674="","",(T674*(1-AQ674)*(1-Settings!$F$17)-I674)/(T674*(1-AQ674)*(1-Settings!$F$17))),"")</f>
        <v/>
      </c>
      <c r="O674" s="101">
        <f>IFERROR(IF(T674="","",(T674*(1-AR674)*(1-Settings!$G$17)-I674)/(T674*(1-AR674)*(1-Settings!$G$17))),"")</f>
        <v/>
      </c>
      <c r="P674" s="101">
        <f>IFERROR(IF(T674="","",(T674*(1-AS674)*(1-Settings!$H$17)-I674)/(T674*(1-AS674)*(1-Settings!$H$17))),"")</f>
        <v/>
      </c>
      <c r="Q674" s="101">
        <f>IFERROR(IF(T674="","",(T674*(1-AT674)*(1-Settings!$I$68)*(1-Settings!$I$17)-I674)/(T674*(1-AT674)*(1-Settings!$I$68)*(1-Settings!$I$17))),"")</f>
        <v/>
      </c>
      <c r="R674" s="91">
        <f>IFERROR(IF(OR(I674="",Z674&gt;=1,Settings!$B$17&gt;=1,AN674&gt;=1),"",IF(MOD(ROUND(I674/(1-Z674)/(1-Settings!$B$17)/(1-AN674),0),10)=0,ROUND(I674/(1-Z674)/(1-Settings!$B$17)/(1-AN674),0)-1,IF(MOD(ROUND(I674/(1-Z674)/(1-Settings!$B$17)/(1-AN674),0),10)&lt;=5,FLOOR(ROUND(I674/(1-Z674)/(1-Settings!$B$17)/(1-AN674),0),10)+6,FLOOR(ROUND(I674/(1-Z674)/(1-Settings!$B$17)/(1-AN674),0),10)+9))),"")</f>
        <v/>
      </c>
      <c r="S674" s="174">
        <f>R674*0.95</f>
        <v/>
      </c>
      <c r="T674" s="91">
        <f>IF(S674&lt;&gt;"", IF(MOD(S674,10)=0,S674-1,IF(MOD(S674,10)&lt;=5,FLOOR(S674,10)+6,FLOOR(S674,10)+9)), R674)</f>
        <v/>
      </c>
      <c r="U674" s="87" t="inlineStr">
        <is>
          <t>Основний</t>
        </is>
      </c>
      <c r="V674" s="88" t="n"/>
      <c r="W674" s="88" t="n"/>
      <c r="X674" s="89">
        <f>IFERROR(IF(OR(V674="",W674="",T674=""),"", IF(T674&gt;W674,"Дорогий",IF(T674&lt;V674,"Дешевий","У ринку"))),"")</f>
        <v/>
      </c>
      <c r="Y674" s="90" t="n"/>
      <c r="Z674" s="104">
        <f>CHOOSE(MATCH(IF($U674="","Основний",$U674),{"Трафіковий","Основний","Маржинальний","Сезонний","Стратегічний"},0),0.16,0.19,0.24,0.23,0.28)</f>
        <v/>
      </c>
      <c r="AA674" s="104">
        <f>CHOOSE(MATCH(IF($U674="","Основний",$U674),{"Трафіковий","Основний","Маржинальний","Сезонний","Стратегічний"},0),0.18,0.21,0.26,0.25,0.3)</f>
        <v/>
      </c>
      <c r="AB674" s="104">
        <f>CHOOSE(MATCH(IF($U674="","Основний",$U674),{"Трафіковий","Основний","Маржинальний","Сезонний","Стратегічний"},0),0.19,0.22,0.28,0.26,0.32)</f>
        <v/>
      </c>
      <c r="AC674" s="104">
        <f>CHOOSE(MATCH(IF($U674="","Основний",$U674),{"Трафіковий","Основний","Маржинальний","Сезонний","Стратегічний"},0),0.17,0.2,0.25,0.24,0.28)</f>
        <v/>
      </c>
      <c r="AD674" s="104">
        <f>CHOOSE(MATCH(IF($U674="","Основний",$U674),{"Трафіковий","Основний","Маржинальний","Сезонний","Стратегічний"},0),0.18,0.21,0.26,0.25,0.3)</f>
        <v/>
      </c>
      <c r="AE674" s="104">
        <f>CHOOSE(MATCH(IF($U674="","Основний",$U674),{"Трафіковий","Основний","Маржинальний","Сезонний","Стратегічний"},0),0.18,0.2,0.28,0.27,0.32)</f>
        <v/>
      </c>
      <c r="AF674" s="104">
        <f>CHOOSE(MATCH(IF($U674="","Основний",$U674),{"Трафіковий","Основний","Маржинальний","Сезонний","Стратегічний"},0),0.15,0.175,0.22,0.21,0.25)</f>
        <v/>
      </c>
      <c r="AG674" s="104">
        <f>CHOOSE(MATCH(IF($U674="","Основний",$U674),{"Трафіковий","Основний","Маржинальний","Сезонний","Стратегічний"},0),0.13,0.16,0.21,0.2,0.25)</f>
        <v/>
      </c>
      <c r="AH674" s="104">
        <f>CHOOSE(MATCH(IF($U674="","Основний",$U674),{"Трафіковий","Основний","Маржинальний","Сезонний","Стратегічний"},0),0.15,0.18,0.23,0.22,0.27)</f>
        <v/>
      </c>
      <c r="AI674" s="104">
        <f>CHOOSE(MATCH(IF($U674="","Основний",$U674),{"Трафіковий","Основний","Маржинальний","Сезонний","Стратегічний"},0),0.16,0.19,0.25,0.23,0.29)</f>
        <v/>
      </c>
      <c r="AJ674" s="104">
        <f>CHOOSE(MATCH(IF($U674="","Основний",$U674),{"Трафіковий","Основний","Маржинальний","Сезонний","Стратегічний"},0),0.14,0.17,0.22,0.21,0.25)</f>
        <v/>
      </c>
      <c r="AK674" s="104">
        <f>CHOOSE(MATCH(IF($U674="","Основний",$U674),{"Трафіковий","Основний","Маржинальний","Сезонний","Стратегічний"},0),0.15,0.18,0.23,0.22,0.27)</f>
        <v/>
      </c>
      <c r="AL674" s="104">
        <f>CHOOSE(MATCH(IF($U674="","Основний",$U674),{"Трафіковий","Основний","Маржинальний","Сезонний","Стратегічний"},0),0.15,0.17,0.25,0.24,0.29)</f>
        <v/>
      </c>
      <c r="AM674" s="104">
        <f>CHOOSE(MATCH(IF($U674="","Основний",$U674),{"Трафіковий","Основний","Маржинальний","Сезонний","Стратегічний"},0),0.12,0.145,0.19,0.18,0.22)</f>
        <v/>
      </c>
      <c r="AN674" s="157">
        <f>CHOOSE(MATCH(IF($U674="","Основний",$U674),{"Трафіковий","Основний","Маржинальний","Сезонний","Стратегічний"},0),Settings!$B$78,Settings!$B$80,Settings!$B$82,Settings!$B$84,Settings!$B$86)</f>
        <v/>
      </c>
      <c r="AO674" s="157">
        <f>CHOOSE(MATCH(IF($U674="","Основний",$U674),{"Трафіковий","Основний","Маржинальний","Сезонний","Стратегічний"},0),Settings!$C$78,Settings!$C$80,Settings!$C$82,Settings!$C$84,Settings!$C$86)</f>
        <v/>
      </c>
      <c r="AP674" s="157">
        <f>CHOOSE(MATCH(IF($U674="","Основний",$U674),{"Трафіковий","Основний","Маржинальний","Сезонний","Стратегічний"},0),Settings!$D$78,Settings!$D$80,Settings!$D$82,Settings!$D$84,Settings!$D$86)</f>
        <v/>
      </c>
      <c r="AQ674" s="157">
        <f>CHOOSE(MATCH(IF($U674="","Основний",$U674),{"Трафіковий","Основний","Маржинальний","Сезонний","Стратегічний"},0),Settings!$F$78,Settings!$F$80,Settings!$F$82,Settings!$F$84,Settings!$F$86)</f>
        <v/>
      </c>
      <c r="AR674" s="157">
        <f>CHOOSE(MATCH(IF($U674="","Основний",$U674),{"Трафіковий","Основний","Маржинальний","Сезонний","Стратегічний"},0),Settings!$G$78,Settings!$G$80,Settings!$G$82,Settings!$G$84,Settings!$G$86)</f>
        <v/>
      </c>
      <c r="AS674" s="157">
        <f>CHOOSE(MATCH(IF($U674="","Основний",$U674),{"Трафіковий","Основний","Маржинальний","Сезонний","Стратегічний"},0),Settings!$H$78,Settings!$H$80,Settings!$H$82,Settings!$H$84,Settings!$H$86)</f>
        <v/>
      </c>
      <c r="AT674" s="157">
        <f>CHOOSE(MATCH(IF($U674="","Основний",$U674),{"Трафіковий","Основний","Маржинальний","Сезонний","Стратегічний"},0),Settings!$I$78,Settings!$I$80,Settings!$I$82,Settings!$I$84,Settings!$I$86)</f>
        <v/>
      </c>
      <c r="AU674" s="171" t="n"/>
      <c r="AV674" t="n">
        <v>1.35</v>
      </c>
    </row>
    <row r="675">
      <c r="A675" s="33" t="n"/>
      <c r="B675" s="34" t="inlineStr">
        <is>
          <t>H7007</t>
        </is>
      </c>
      <c r="C675" s="34" t="inlineStr">
        <is>
          <t>POWER SUPPLY EM-10AHD</t>
        </is>
      </c>
      <c r="D675" s="34" t="inlineStr">
        <is>
          <t>Відеосистеми, та IP камери</t>
        </is>
      </c>
      <c r="E675" s="33" t="inlineStr">
        <is>
          <t>PC</t>
        </is>
      </c>
      <c r="F675" s="94" t="n">
        <v>5.15</v>
      </c>
      <c r="G675" s="35" t="n">
        <v>8504408390</v>
      </c>
      <c r="H675" s="31" t="n">
        <v>1.3</v>
      </c>
      <c r="I675" s="84">
        <f>IFERROR(F675*Settings!$B$2*H675*IF(AND(ISNUMBER(E675),E675&gt;1),E675,1),"")</f>
        <v/>
      </c>
      <c r="J675" s="32">
        <f>Settings!$B$66</f>
        <v/>
      </c>
      <c r="K675" s="95">
        <f>IFERROR(IF(T675="","",(T675*(1-AN675)*(1-Settings!$B$17)-I675)/(T675*(1-AN675)*(1-Settings!$B$17))),"")</f>
        <v/>
      </c>
      <c r="L675" s="101">
        <f>IFERROR(IF(T675="","",(T675*(1-AO675)*(1-Settings!$C$17)-I675)/(T675*(1-AO675)*(1-Settings!$C$17))),"")</f>
        <v/>
      </c>
      <c r="M675" s="101">
        <f>IFERROR(IF(T675="","",(T675*(1-AP675)*(1-Settings!$D$17)-I675)/(T675*(1-AP675)*(1-Settings!$D$17))),"")</f>
        <v/>
      </c>
      <c r="N675" s="101">
        <f>IFERROR(IF(T675="","",(T675*(1-AQ675)*(1-Settings!$F$17)-I675)/(T675*(1-AQ675)*(1-Settings!$F$17))),"")</f>
        <v/>
      </c>
      <c r="O675" s="101">
        <f>IFERROR(IF(T675="","",(T675*(1-AR675)*(1-Settings!$G$17)-I675)/(T675*(1-AR675)*(1-Settings!$G$17))),"")</f>
        <v/>
      </c>
      <c r="P675" s="101">
        <f>IFERROR(IF(T675="","",(T675*(1-AS675)*(1-Settings!$H$17)-I675)/(T675*(1-AS675)*(1-Settings!$H$17))),"")</f>
        <v/>
      </c>
      <c r="Q675" s="101">
        <f>IFERROR(IF(T675="","",(T675*(1-AT675)*(1-Settings!$I$68)*(1-Settings!$I$17)-I675)/(T675*(1-AT675)*(1-Settings!$I$68)*(1-Settings!$I$17))),"")</f>
        <v/>
      </c>
      <c r="R675" s="91">
        <f>IFERROR(IF(OR(I675="",Z675&gt;=1,Settings!$B$17&gt;=1,AN675&gt;=1),"",IF(MOD(ROUND(I675/(1-Z675)/(1-Settings!$B$17)/(1-AN675),0),10)=0,ROUND(I675/(1-Z675)/(1-Settings!$B$17)/(1-AN675),0)-1,IF(MOD(ROUND(I675/(1-Z675)/(1-Settings!$B$17)/(1-AN675),0),10)&lt;=5,FLOOR(ROUND(I675/(1-Z675)/(1-Settings!$B$17)/(1-AN675),0),10)+6,FLOOR(ROUND(I675/(1-Z675)/(1-Settings!$B$17)/(1-AN675),0),10)+9))),"")</f>
        <v/>
      </c>
      <c r="S675" s="174">
        <f>R675*0.95</f>
        <v/>
      </c>
      <c r="T675" s="91">
        <f>IF(S675&lt;&gt;"", IF(MOD(S675,10)=0,S675-1,IF(MOD(S675,10)&lt;=5,FLOOR(S675,10)+6,FLOOR(S675,10)+9)), R675)</f>
        <v/>
      </c>
      <c r="U675" s="87" t="inlineStr">
        <is>
          <t>Основний</t>
        </is>
      </c>
      <c r="V675" s="88" t="n"/>
      <c r="W675" s="88" t="n"/>
      <c r="X675" s="89">
        <f>IFERROR(IF(OR(V675="",W675="",T675=""),"", IF(T675&gt;W675,"Дорогий",IF(T675&lt;V675,"Дешевий","У ринку"))),"")</f>
        <v/>
      </c>
      <c r="Y675" s="90" t="n"/>
      <c r="Z675" s="104">
        <f>CHOOSE(MATCH(IF($U675="","Основний",$U675),{"Трафіковий","Основний","Маржинальний","Сезонний","Стратегічний"},0),0.16,0.19,0.24,0.23,0.28)</f>
        <v/>
      </c>
      <c r="AA675" s="104">
        <f>CHOOSE(MATCH(IF($U675="","Основний",$U675),{"Трафіковий","Основний","Маржинальний","Сезонний","Стратегічний"},0),0.18,0.21,0.26,0.25,0.3)</f>
        <v/>
      </c>
      <c r="AB675" s="104">
        <f>CHOOSE(MATCH(IF($U675="","Основний",$U675),{"Трафіковий","Основний","Маржинальний","Сезонний","Стратегічний"},0),0.19,0.22,0.28,0.26,0.32)</f>
        <v/>
      </c>
      <c r="AC675" s="104">
        <f>CHOOSE(MATCH(IF($U675="","Основний",$U675),{"Трафіковий","Основний","Маржинальний","Сезонний","Стратегічний"},0),0.17,0.2,0.25,0.24,0.28)</f>
        <v/>
      </c>
      <c r="AD675" s="104">
        <f>CHOOSE(MATCH(IF($U675="","Основний",$U675),{"Трафіковий","Основний","Маржинальний","Сезонний","Стратегічний"},0),0.18,0.21,0.26,0.25,0.3)</f>
        <v/>
      </c>
      <c r="AE675" s="104">
        <f>CHOOSE(MATCH(IF($U675="","Основний",$U675),{"Трафіковий","Основний","Маржинальний","Сезонний","Стратегічний"},0),0.18,0.2,0.28,0.27,0.32)</f>
        <v/>
      </c>
      <c r="AF675" s="104">
        <f>CHOOSE(MATCH(IF($U675="","Основний",$U675),{"Трафіковий","Основний","Маржинальний","Сезонний","Стратегічний"},0),0.15,0.175,0.22,0.21,0.25)</f>
        <v/>
      </c>
      <c r="AG675" s="104">
        <f>CHOOSE(MATCH(IF($U675="","Основний",$U675),{"Трафіковий","Основний","Маржинальний","Сезонний","Стратегічний"},0),0.13,0.16,0.21,0.2,0.25)</f>
        <v/>
      </c>
      <c r="AH675" s="104">
        <f>CHOOSE(MATCH(IF($U675="","Основний",$U675),{"Трафіковий","Основний","Маржинальний","Сезонний","Стратегічний"},0),0.15,0.18,0.23,0.22,0.27)</f>
        <v/>
      </c>
      <c r="AI675" s="104">
        <f>CHOOSE(MATCH(IF($U675="","Основний",$U675),{"Трафіковий","Основний","Маржинальний","Сезонний","Стратегічний"},0),0.16,0.19,0.25,0.23,0.29)</f>
        <v/>
      </c>
      <c r="AJ675" s="104">
        <f>CHOOSE(MATCH(IF($U675="","Основний",$U675),{"Трафіковий","Основний","Маржинальний","Сезонний","Стратегічний"},0),0.14,0.17,0.22,0.21,0.25)</f>
        <v/>
      </c>
      <c r="AK675" s="104">
        <f>CHOOSE(MATCH(IF($U675="","Основний",$U675),{"Трафіковий","Основний","Маржинальний","Сезонний","Стратегічний"},0),0.15,0.18,0.23,0.22,0.27)</f>
        <v/>
      </c>
      <c r="AL675" s="104">
        <f>CHOOSE(MATCH(IF($U675="","Основний",$U675),{"Трафіковий","Основний","Маржинальний","Сезонний","Стратегічний"},0),0.15,0.17,0.25,0.24,0.29)</f>
        <v/>
      </c>
      <c r="AM675" s="104">
        <f>CHOOSE(MATCH(IF($U675="","Основний",$U675),{"Трафіковий","Основний","Маржинальний","Сезонний","Стратегічний"},0),0.12,0.145,0.19,0.18,0.22)</f>
        <v/>
      </c>
      <c r="AN675" s="157">
        <f>CHOOSE(MATCH(IF($U675="","Основний",$U675),{"Трафіковий","Основний","Маржинальний","Сезонний","Стратегічний"},0),Settings!$B$78,Settings!$B$80,Settings!$B$82,Settings!$B$84,Settings!$B$86)</f>
        <v/>
      </c>
      <c r="AO675" s="157">
        <f>CHOOSE(MATCH(IF($U675="","Основний",$U675),{"Трафіковий","Основний","Маржинальний","Сезонний","Стратегічний"},0),Settings!$C$78,Settings!$C$80,Settings!$C$82,Settings!$C$84,Settings!$C$86)</f>
        <v/>
      </c>
      <c r="AP675" s="157">
        <f>CHOOSE(MATCH(IF($U675="","Основний",$U675),{"Трафіковий","Основний","Маржинальний","Сезонний","Стратегічний"},0),Settings!$D$78,Settings!$D$80,Settings!$D$82,Settings!$D$84,Settings!$D$86)</f>
        <v/>
      </c>
      <c r="AQ675" s="157">
        <f>CHOOSE(MATCH(IF($U675="","Основний",$U675),{"Трафіковий","Основний","Маржинальний","Сезонний","Стратегічний"},0),Settings!$F$78,Settings!$F$80,Settings!$F$82,Settings!$F$84,Settings!$F$86)</f>
        <v/>
      </c>
      <c r="AR675" s="157">
        <f>CHOOSE(MATCH(IF($U675="","Основний",$U675),{"Трафіковий","Основний","Маржинальний","Сезонний","Стратегічний"},0),Settings!$G$78,Settings!$G$80,Settings!$G$82,Settings!$G$84,Settings!$G$86)</f>
        <v/>
      </c>
      <c r="AS675" s="157">
        <f>CHOOSE(MATCH(IF($U675="","Основний",$U675),{"Трафіковий","Основний","Маржинальний","Сезонний","Стратегічний"},0),Settings!$H$78,Settings!$H$80,Settings!$H$82,Settings!$H$84,Settings!$H$86)</f>
        <v/>
      </c>
      <c r="AT675" s="157">
        <f>CHOOSE(MATCH(IF($U675="","Основний",$U675),{"Трафіковий","Основний","Маржинальний","Сезонний","Стратегічний"},0),Settings!$I$78,Settings!$I$80,Settings!$I$82,Settings!$I$84,Settings!$I$86)</f>
        <v/>
      </c>
      <c r="AU675" s="171" t="n"/>
      <c r="AV675" t="n">
        <v>1.35</v>
      </c>
    </row>
    <row r="676">
      <c r="A676" s="28" t="inlineStr">
        <is>
          <t>NEW</t>
        </is>
      </c>
      <c r="B676" s="29" t="inlineStr">
        <is>
          <t>H5002</t>
        </is>
      </c>
      <c r="C676" s="29" t="inlineStr">
        <is>
          <t>GOSMART ZIGBEE GATEWAY IP-2000Z</t>
        </is>
      </c>
      <c r="D676" s="29" t="inlineStr">
        <is>
          <t>Відеосистеми, та IP камери</t>
        </is>
      </c>
      <c r="E676" s="28" t="inlineStr">
        <is>
          <t>PC</t>
        </is>
      </c>
      <c r="F676" s="93" t="n">
        <v>13.905</v>
      </c>
      <c r="G676" s="30" t="n">
        <v>8517699000</v>
      </c>
      <c r="H676" s="31" t="n">
        <v>1.35</v>
      </c>
      <c r="I676" s="84">
        <f>IFERROR(F676*Settings!$B$2*H676*IF(AND(ISNUMBER(E676),E676&gt;1),E676,1),"")</f>
        <v/>
      </c>
      <c r="J676" s="32">
        <f>Settings!$B$66</f>
        <v/>
      </c>
      <c r="K676" s="95">
        <f>IFERROR(IF(T676="","",(T676*(1-AN676)*(1-Settings!$B$17)-I676)/(T676*(1-AN676)*(1-Settings!$B$17))),"")</f>
        <v/>
      </c>
      <c r="L676" s="101">
        <f>IFERROR(IF(T676="","",(T676*(1-AO676)*(1-Settings!$C$17)-I676)/(T676*(1-AO676)*(1-Settings!$C$17))),"")</f>
        <v/>
      </c>
      <c r="M676" s="101">
        <f>IFERROR(IF(T676="","",(T676*(1-AP676)*(1-Settings!$D$17)-I676)/(T676*(1-AP676)*(1-Settings!$D$17))),"")</f>
        <v/>
      </c>
      <c r="N676" s="101">
        <f>IFERROR(IF(T676="","",(T676*(1-AQ676)*(1-Settings!$F$17)-I676)/(T676*(1-AQ676)*(1-Settings!$F$17))),"")</f>
        <v/>
      </c>
      <c r="O676" s="101">
        <f>IFERROR(IF(T676="","",(T676*(1-AR676)*(1-Settings!$G$17)-I676)/(T676*(1-AR676)*(1-Settings!$G$17))),"")</f>
        <v/>
      </c>
      <c r="P676" s="101">
        <f>IFERROR(IF(T676="","",(T676*(1-AS676)*(1-Settings!$H$17)-I676)/(T676*(1-AS676)*(1-Settings!$H$17))),"")</f>
        <v/>
      </c>
      <c r="Q676" s="101">
        <f>IFERROR(IF(T676="","",(T676*(1-AT676)*(1-Settings!$I$68)*(1-Settings!$I$17)-I676)/(T676*(1-AT676)*(1-Settings!$I$68)*(1-Settings!$I$17))),"")</f>
        <v/>
      </c>
      <c r="R676" s="91">
        <f>IFERROR(IF(OR(I676="",Z676&gt;=1,Settings!$B$17&gt;=1,AN676&gt;=1),"",IF(MOD(ROUND(I676/(1-Z676)/(1-Settings!$B$17)/(1-AN676),0),10)=0,ROUND(I676/(1-Z676)/(1-Settings!$B$17)/(1-AN676),0)-1,IF(MOD(ROUND(I676/(1-Z676)/(1-Settings!$B$17)/(1-AN676),0),10)&lt;=5,FLOOR(ROUND(I676/(1-Z676)/(1-Settings!$B$17)/(1-AN676),0),10)+6,FLOOR(ROUND(I676/(1-Z676)/(1-Settings!$B$17)/(1-AN676),0),10)+9))),"")</f>
        <v/>
      </c>
      <c r="S676" s="174">
        <f>R676*0.95</f>
        <v/>
      </c>
      <c r="T676" s="91">
        <f>IF(S676&lt;&gt;"", IF(MOD(S676,10)=0,S676-1,IF(MOD(S676,10)&lt;=5,FLOOR(S676,10)+6,FLOOR(S676,10)+9)), R676)</f>
        <v/>
      </c>
      <c r="U676" s="87" t="inlineStr">
        <is>
          <t>Основний</t>
        </is>
      </c>
      <c r="V676" s="88" t="n"/>
      <c r="W676" s="88" t="n"/>
      <c r="X676" s="89">
        <f>IFERROR(IF(OR(V676="",W676="",T676=""),"", IF(T676&gt;W676,"Дорогий",IF(T676&lt;V676,"Дешевий","У ринку"))),"")</f>
        <v/>
      </c>
      <c r="Y676" s="90" t="n"/>
      <c r="Z676" s="104">
        <f>CHOOSE(MATCH(IF($U676="","Основний",$U676),{"Трафіковий","Основний","Маржинальний","Сезонний","Стратегічний"},0),0.16,0.19,0.24,0.23,0.28)</f>
        <v/>
      </c>
      <c r="AA676" s="104">
        <f>CHOOSE(MATCH(IF($U676="","Основний",$U676),{"Трафіковий","Основний","Маржинальний","Сезонний","Стратегічний"},0),0.18,0.21,0.26,0.25,0.3)</f>
        <v/>
      </c>
      <c r="AB676" s="104">
        <f>CHOOSE(MATCH(IF($U676="","Основний",$U676),{"Трафіковий","Основний","Маржинальний","Сезонний","Стратегічний"},0),0.19,0.22,0.28,0.26,0.32)</f>
        <v/>
      </c>
      <c r="AC676" s="104">
        <f>CHOOSE(MATCH(IF($U676="","Основний",$U676),{"Трафіковий","Основний","Маржинальний","Сезонний","Стратегічний"},0),0.17,0.2,0.25,0.24,0.28)</f>
        <v/>
      </c>
      <c r="AD676" s="104">
        <f>CHOOSE(MATCH(IF($U676="","Основний",$U676),{"Трафіковий","Основний","Маржинальний","Сезонний","Стратегічний"},0),0.18,0.21,0.26,0.25,0.3)</f>
        <v/>
      </c>
      <c r="AE676" s="104">
        <f>CHOOSE(MATCH(IF($U676="","Основний",$U676),{"Трафіковий","Основний","Маржинальний","Сезонний","Стратегічний"},0),0.18,0.2,0.28,0.27,0.32)</f>
        <v/>
      </c>
      <c r="AF676" s="104">
        <f>CHOOSE(MATCH(IF($U676="","Основний",$U676),{"Трафіковий","Основний","Маржинальний","Сезонний","Стратегічний"},0),0.15,0.175,0.22,0.21,0.25)</f>
        <v/>
      </c>
      <c r="AG676" s="104">
        <f>CHOOSE(MATCH(IF($U676="","Основний",$U676),{"Трафіковий","Основний","Маржинальний","Сезонний","Стратегічний"},0),0.13,0.16,0.21,0.2,0.25)</f>
        <v/>
      </c>
      <c r="AH676" s="104">
        <f>CHOOSE(MATCH(IF($U676="","Основний",$U676),{"Трафіковий","Основний","Маржинальний","Сезонний","Стратегічний"},0),0.15,0.18,0.23,0.22,0.27)</f>
        <v/>
      </c>
      <c r="AI676" s="104">
        <f>CHOOSE(MATCH(IF($U676="","Основний",$U676),{"Трафіковий","Основний","Маржинальний","Сезонний","Стратегічний"},0),0.16,0.19,0.25,0.23,0.29)</f>
        <v/>
      </c>
      <c r="AJ676" s="104">
        <f>CHOOSE(MATCH(IF($U676="","Основний",$U676),{"Трафіковий","Основний","Маржинальний","Сезонний","Стратегічний"},0),0.14,0.17,0.22,0.21,0.25)</f>
        <v/>
      </c>
      <c r="AK676" s="104">
        <f>CHOOSE(MATCH(IF($U676="","Основний",$U676),{"Трафіковий","Основний","Маржинальний","Сезонний","Стратегічний"},0),0.15,0.18,0.23,0.22,0.27)</f>
        <v/>
      </c>
      <c r="AL676" s="104">
        <f>CHOOSE(MATCH(IF($U676="","Основний",$U676),{"Трафіковий","Основний","Маржинальний","Сезонний","Стратегічний"},0),0.15,0.17,0.25,0.24,0.29)</f>
        <v/>
      </c>
      <c r="AM676" s="104">
        <f>CHOOSE(MATCH(IF($U676="","Основний",$U676),{"Трафіковий","Основний","Маржинальний","Сезонний","Стратегічний"},0),0.12,0.145,0.19,0.18,0.22)</f>
        <v/>
      </c>
      <c r="AN676" s="157">
        <f>CHOOSE(MATCH(IF($U676="","Основний",$U676),{"Трафіковий","Основний","Маржинальний","Сезонний","Стратегічний"},0),Settings!$B$78,Settings!$B$80,Settings!$B$82,Settings!$B$84,Settings!$B$86)</f>
        <v/>
      </c>
      <c r="AO676" s="157">
        <f>CHOOSE(MATCH(IF($U676="","Основний",$U676),{"Трафіковий","Основний","Маржинальний","Сезонний","Стратегічний"},0),Settings!$C$78,Settings!$C$80,Settings!$C$82,Settings!$C$84,Settings!$C$86)</f>
        <v/>
      </c>
      <c r="AP676" s="157">
        <f>CHOOSE(MATCH(IF($U676="","Основний",$U676),{"Трафіковий","Основний","Маржинальний","Сезонний","Стратегічний"},0),Settings!$D$78,Settings!$D$80,Settings!$D$82,Settings!$D$84,Settings!$D$86)</f>
        <v/>
      </c>
      <c r="AQ676" s="157">
        <f>CHOOSE(MATCH(IF($U676="","Основний",$U676),{"Трафіковий","Основний","Маржинальний","Сезонний","Стратегічний"},0),Settings!$F$78,Settings!$F$80,Settings!$F$82,Settings!$F$84,Settings!$F$86)</f>
        <v/>
      </c>
      <c r="AR676" s="157">
        <f>CHOOSE(MATCH(IF($U676="","Основний",$U676),{"Трафіковий","Основний","Маржинальний","Сезонний","Стратегічний"},0),Settings!$G$78,Settings!$G$80,Settings!$G$82,Settings!$G$84,Settings!$G$86)</f>
        <v/>
      </c>
      <c r="AS676" s="157">
        <f>CHOOSE(MATCH(IF($U676="","Основний",$U676),{"Трафіковий","Основний","Маржинальний","Сезонний","Стратегічний"},0),Settings!$H$78,Settings!$H$80,Settings!$H$82,Settings!$H$84,Settings!$H$86)</f>
        <v/>
      </c>
      <c r="AT676" s="157">
        <f>CHOOSE(MATCH(IF($U676="","Основний",$U676),{"Трафіковий","Основний","Маржинальний","Сезонний","Стратегічний"},0),Settings!$I$78,Settings!$I$80,Settings!$I$82,Settings!$I$84,Settings!$I$86)</f>
        <v/>
      </c>
      <c r="AU676" s="171" t="n"/>
      <c r="AV676" t="n">
        <v>1.35</v>
      </c>
    </row>
    <row r="677">
      <c r="A677" s="33" t="inlineStr">
        <is>
          <t>SELL OUT</t>
        </is>
      </c>
      <c r="B677" s="34" t="inlineStr">
        <is>
          <t>H5011</t>
        </is>
      </c>
      <c r="C677" s="34" t="inlineStr">
        <is>
          <t>GOSMART SCENE SWITCH 1B IP-2001ZW ZIGBEE</t>
        </is>
      </c>
      <c r="D677" s="34" t="inlineStr">
        <is>
          <t>Відеосистеми, та IP камери</t>
        </is>
      </c>
      <c r="E677" s="33" t="inlineStr">
        <is>
          <t>PC</t>
        </is>
      </c>
      <c r="F677" s="94" t="n">
        <v>11.536</v>
      </c>
      <c r="G677" s="35" t="n">
        <v>8526920090</v>
      </c>
      <c r="H677" s="31" t="n">
        <v>1.34</v>
      </c>
      <c r="I677" s="84">
        <f>IFERROR(F677*Settings!$B$2*H677*IF(AND(ISNUMBER(E677),E677&gt;1),E677,1),"")</f>
        <v/>
      </c>
      <c r="J677" s="32">
        <f>Settings!$B$66</f>
        <v/>
      </c>
      <c r="K677" s="95">
        <f>IFERROR(IF(T677="","",(T677*(1-AN677)*(1-Settings!$B$17)-I677)/(T677*(1-AN677)*(1-Settings!$B$17))),"")</f>
        <v/>
      </c>
      <c r="L677" s="101">
        <f>IFERROR(IF(T677="","",(T677*(1-AO677)*(1-Settings!$C$17)-I677)/(T677*(1-AO677)*(1-Settings!$C$17))),"")</f>
        <v/>
      </c>
      <c r="M677" s="101">
        <f>IFERROR(IF(T677="","",(T677*(1-AP677)*(1-Settings!$D$17)-I677)/(T677*(1-AP677)*(1-Settings!$D$17))),"")</f>
        <v/>
      </c>
      <c r="N677" s="101">
        <f>IFERROR(IF(T677="","",(T677*(1-AQ677)*(1-Settings!$F$17)-I677)/(T677*(1-AQ677)*(1-Settings!$F$17))),"")</f>
        <v/>
      </c>
      <c r="O677" s="101">
        <f>IFERROR(IF(T677="","",(T677*(1-AR677)*(1-Settings!$G$17)-I677)/(T677*(1-AR677)*(1-Settings!$G$17))),"")</f>
        <v/>
      </c>
      <c r="P677" s="101">
        <f>IFERROR(IF(T677="","",(T677*(1-AS677)*(1-Settings!$H$17)-I677)/(T677*(1-AS677)*(1-Settings!$H$17))),"")</f>
        <v/>
      </c>
      <c r="Q677" s="101">
        <f>IFERROR(IF(T677="","",(T677*(1-AT677)*(1-Settings!$I$68)*(1-Settings!$I$17)-I677)/(T677*(1-AT677)*(1-Settings!$I$68)*(1-Settings!$I$17))),"")</f>
        <v/>
      </c>
      <c r="R677" s="91">
        <f>IFERROR(IF(OR(I677="",Z677&gt;=1,Settings!$B$17&gt;=1,AN677&gt;=1),"",IF(MOD(ROUND(I677/(1-Z677)/(1-Settings!$B$17)/(1-AN677),0),10)=0,ROUND(I677/(1-Z677)/(1-Settings!$B$17)/(1-AN677),0)-1,IF(MOD(ROUND(I677/(1-Z677)/(1-Settings!$B$17)/(1-AN677),0),10)&lt;=5,FLOOR(ROUND(I677/(1-Z677)/(1-Settings!$B$17)/(1-AN677),0),10)+6,FLOOR(ROUND(I677/(1-Z677)/(1-Settings!$B$17)/(1-AN677),0),10)+9))),"")</f>
        <v/>
      </c>
      <c r="S677" s="174">
        <f>R677*0.95</f>
        <v/>
      </c>
      <c r="T677" s="91">
        <f>IF(S677&lt;&gt;"", IF(MOD(S677,10)=0,S677-1,IF(MOD(S677,10)&lt;=5,FLOOR(S677,10)+6,FLOOR(S677,10)+9)), R677)</f>
        <v/>
      </c>
      <c r="U677" s="87" t="inlineStr">
        <is>
          <t>Основний</t>
        </is>
      </c>
      <c r="V677" s="88" t="n"/>
      <c r="W677" s="88" t="n"/>
      <c r="X677" s="89">
        <f>IFERROR(IF(OR(V677="",W677="",T677=""),"", IF(T677&gt;W677,"Дорогий",IF(T677&lt;V677,"Дешевий","У ринку"))),"")</f>
        <v/>
      </c>
      <c r="Y677" s="90" t="n"/>
      <c r="Z677" s="104">
        <f>CHOOSE(MATCH(IF($U677="","Основний",$U677),{"Трафіковий","Основний","Маржинальний","Сезонний","Стратегічний"},0),0.16,0.19,0.24,0.23,0.28)</f>
        <v/>
      </c>
      <c r="AA677" s="104">
        <f>CHOOSE(MATCH(IF($U677="","Основний",$U677),{"Трафіковий","Основний","Маржинальний","Сезонний","Стратегічний"},0),0.18,0.21,0.26,0.25,0.3)</f>
        <v/>
      </c>
      <c r="AB677" s="104">
        <f>CHOOSE(MATCH(IF($U677="","Основний",$U677),{"Трафіковий","Основний","Маржинальний","Сезонний","Стратегічний"},0),0.19,0.22,0.28,0.26,0.32)</f>
        <v/>
      </c>
      <c r="AC677" s="104">
        <f>CHOOSE(MATCH(IF($U677="","Основний",$U677),{"Трафіковий","Основний","Маржинальний","Сезонний","Стратегічний"},0),0.17,0.2,0.25,0.24,0.28)</f>
        <v/>
      </c>
      <c r="AD677" s="104">
        <f>CHOOSE(MATCH(IF($U677="","Основний",$U677),{"Трафіковий","Основний","Маржинальний","Сезонний","Стратегічний"},0),0.18,0.21,0.26,0.25,0.3)</f>
        <v/>
      </c>
      <c r="AE677" s="104">
        <f>CHOOSE(MATCH(IF($U677="","Основний",$U677),{"Трафіковий","Основний","Маржинальний","Сезонний","Стратегічний"},0),0.18,0.2,0.28,0.27,0.32)</f>
        <v/>
      </c>
      <c r="AF677" s="104">
        <f>CHOOSE(MATCH(IF($U677="","Основний",$U677),{"Трафіковий","Основний","Маржинальний","Сезонний","Стратегічний"},0),0.15,0.175,0.22,0.21,0.25)</f>
        <v/>
      </c>
      <c r="AG677" s="104">
        <f>CHOOSE(MATCH(IF($U677="","Основний",$U677),{"Трафіковий","Основний","Маржинальний","Сезонний","Стратегічний"},0),0.13,0.16,0.21,0.2,0.25)</f>
        <v/>
      </c>
      <c r="AH677" s="104">
        <f>CHOOSE(MATCH(IF($U677="","Основний",$U677),{"Трафіковий","Основний","Маржинальний","Сезонний","Стратегічний"},0),0.15,0.18,0.23,0.22,0.27)</f>
        <v/>
      </c>
      <c r="AI677" s="104">
        <f>CHOOSE(MATCH(IF($U677="","Основний",$U677),{"Трафіковий","Основний","Маржинальний","Сезонний","Стратегічний"},0),0.16,0.19,0.25,0.23,0.29)</f>
        <v/>
      </c>
      <c r="AJ677" s="104">
        <f>CHOOSE(MATCH(IF($U677="","Основний",$U677),{"Трафіковий","Основний","Маржинальний","Сезонний","Стратегічний"},0),0.14,0.17,0.22,0.21,0.25)</f>
        <v/>
      </c>
      <c r="AK677" s="104">
        <f>CHOOSE(MATCH(IF($U677="","Основний",$U677),{"Трафіковий","Основний","Маржинальний","Сезонний","Стратегічний"},0),0.15,0.18,0.23,0.22,0.27)</f>
        <v/>
      </c>
      <c r="AL677" s="104">
        <f>CHOOSE(MATCH(IF($U677="","Основний",$U677),{"Трафіковий","Основний","Маржинальний","Сезонний","Стратегічний"},0),0.15,0.17,0.25,0.24,0.29)</f>
        <v/>
      </c>
      <c r="AM677" s="104">
        <f>CHOOSE(MATCH(IF($U677="","Основний",$U677),{"Трафіковий","Основний","Маржинальний","Сезонний","Стратегічний"},0),0.12,0.145,0.19,0.18,0.22)</f>
        <v/>
      </c>
      <c r="AN677" s="157">
        <f>CHOOSE(MATCH(IF($U677="","Основний",$U677),{"Трафіковий","Основний","Маржинальний","Сезонний","Стратегічний"},0),Settings!$B$78,Settings!$B$80,Settings!$B$82,Settings!$B$84,Settings!$B$86)</f>
        <v/>
      </c>
      <c r="AO677" s="157">
        <f>CHOOSE(MATCH(IF($U677="","Основний",$U677),{"Трафіковий","Основний","Маржинальний","Сезонний","Стратегічний"},0),Settings!$C$78,Settings!$C$80,Settings!$C$82,Settings!$C$84,Settings!$C$86)</f>
        <v/>
      </c>
      <c r="AP677" s="157">
        <f>CHOOSE(MATCH(IF($U677="","Основний",$U677),{"Трафіковий","Основний","Маржинальний","Сезонний","Стратегічний"},0),Settings!$D$78,Settings!$D$80,Settings!$D$82,Settings!$D$84,Settings!$D$86)</f>
        <v/>
      </c>
      <c r="AQ677" s="157">
        <f>CHOOSE(MATCH(IF($U677="","Основний",$U677),{"Трафіковий","Основний","Маржинальний","Сезонний","Стратегічний"},0),Settings!$F$78,Settings!$F$80,Settings!$F$82,Settings!$F$84,Settings!$F$86)</f>
        <v/>
      </c>
      <c r="AR677" s="157">
        <f>CHOOSE(MATCH(IF($U677="","Основний",$U677),{"Трафіковий","Основний","Маржинальний","Сезонний","Стратегічний"},0),Settings!$G$78,Settings!$G$80,Settings!$G$82,Settings!$G$84,Settings!$G$86)</f>
        <v/>
      </c>
      <c r="AS677" s="157">
        <f>CHOOSE(MATCH(IF($U677="","Основний",$U677),{"Трафіковий","Основний","Маржинальний","Сезонний","Стратегічний"},0),Settings!$H$78,Settings!$H$80,Settings!$H$82,Settings!$H$84,Settings!$H$86)</f>
        <v/>
      </c>
      <c r="AT677" s="157">
        <f>CHOOSE(MATCH(IF($U677="","Основний",$U677),{"Трафіковий","Основний","Маржинальний","Сезонний","Стратегічний"},0),Settings!$I$78,Settings!$I$80,Settings!$I$82,Settings!$I$84,Settings!$I$86)</f>
        <v/>
      </c>
      <c r="AU677" s="171" t="n"/>
      <c r="AV677" t="n">
        <v>1.35</v>
      </c>
    </row>
    <row r="678">
      <c r="A678" s="28" t="inlineStr">
        <is>
          <t>SELL OUT</t>
        </is>
      </c>
      <c r="B678" s="29" t="inlineStr">
        <is>
          <t>H5012</t>
        </is>
      </c>
      <c r="C678" s="29" t="inlineStr">
        <is>
          <t>GOSMART SCENE SWITCH 2B IP-2002ZW ZIGBEE</t>
        </is>
      </c>
      <c r="D678" s="29" t="inlineStr">
        <is>
          <t>Відеосистеми, та IP камери</t>
        </is>
      </c>
      <c r="E678" s="28" t="inlineStr">
        <is>
          <t>PC</t>
        </is>
      </c>
      <c r="F678" s="93" t="n">
        <v>11.969</v>
      </c>
      <c r="G678" s="30" t="n">
        <v>8526920090</v>
      </c>
      <c r="H678" s="31" t="n">
        <v>1.34</v>
      </c>
      <c r="I678" s="84">
        <f>IFERROR(F678*Settings!$B$2*H678*IF(AND(ISNUMBER(E678),E678&gt;1),E678,1),"")</f>
        <v/>
      </c>
      <c r="J678" s="32">
        <f>Settings!$B$66</f>
        <v/>
      </c>
      <c r="K678" s="95">
        <f>IFERROR(IF(T678="","",(T678*(1-AN678)*(1-Settings!$B$17)-I678)/(T678*(1-AN678)*(1-Settings!$B$17))),"")</f>
        <v/>
      </c>
      <c r="L678" s="101">
        <f>IFERROR(IF(T678="","",(T678*(1-AO678)*(1-Settings!$C$17)-I678)/(T678*(1-AO678)*(1-Settings!$C$17))),"")</f>
        <v/>
      </c>
      <c r="M678" s="101">
        <f>IFERROR(IF(T678="","",(T678*(1-AP678)*(1-Settings!$D$17)-I678)/(T678*(1-AP678)*(1-Settings!$D$17))),"")</f>
        <v/>
      </c>
      <c r="N678" s="101">
        <f>IFERROR(IF(T678="","",(T678*(1-AQ678)*(1-Settings!$F$17)-I678)/(T678*(1-AQ678)*(1-Settings!$F$17))),"")</f>
        <v/>
      </c>
      <c r="O678" s="101">
        <f>IFERROR(IF(T678="","",(T678*(1-AR678)*(1-Settings!$G$17)-I678)/(T678*(1-AR678)*(1-Settings!$G$17))),"")</f>
        <v/>
      </c>
      <c r="P678" s="101">
        <f>IFERROR(IF(T678="","",(T678*(1-AS678)*(1-Settings!$H$17)-I678)/(T678*(1-AS678)*(1-Settings!$H$17))),"")</f>
        <v/>
      </c>
      <c r="Q678" s="101">
        <f>IFERROR(IF(T678="","",(T678*(1-AT678)*(1-Settings!$I$68)*(1-Settings!$I$17)-I678)/(T678*(1-AT678)*(1-Settings!$I$68)*(1-Settings!$I$17))),"")</f>
        <v/>
      </c>
      <c r="R678" s="91">
        <f>IFERROR(IF(OR(I678="",Z678&gt;=1,Settings!$B$17&gt;=1,AN678&gt;=1),"",IF(MOD(ROUND(I678/(1-Z678)/(1-Settings!$B$17)/(1-AN678),0),10)=0,ROUND(I678/(1-Z678)/(1-Settings!$B$17)/(1-AN678),0)-1,IF(MOD(ROUND(I678/(1-Z678)/(1-Settings!$B$17)/(1-AN678),0),10)&lt;=5,FLOOR(ROUND(I678/(1-Z678)/(1-Settings!$B$17)/(1-AN678),0),10)+6,FLOOR(ROUND(I678/(1-Z678)/(1-Settings!$B$17)/(1-AN678),0),10)+9))),"")</f>
        <v/>
      </c>
      <c r="S678" s="174">
        <f>R678*0.95</f>
        <v/>
      </c>
      <c r="T678" s="91">
        <f>IF(S678&lt;&gt;"", IF(MOD(S678,10)=0,S678-1,IF(MOD(S678,10)&lt;=5,FLOOR(S678,10)+6,FLOOR(S678,10)+9)), R678)</f>
        <v/>
      </c>
      <c r="U678" s="87" t="inlineStr">
        <is>
          <t>Основний</t>
        </is>
      </c>
      <c r="V678" s="88" t="n"/>
      <c r="W678" s="88" t="n"/>
      <c r="X678" s="89">
        <f>IFERROR(IF(OR(V678="",W678="",T678=""),"", IF(T678&gt;W678,"Дорогий",IF(T678&lt;V678,"Дешевий","У ринку"))),"")</f>
        <v/>
      </c>
      <c r="Y678" s="90" t="n"/>
      <c r="Z678" s="104">
        <f>CHOOSE(MATCH(IF($U678="","Основний",$U678),{"Трафіковий","Основний","Маржинальний","Сезонний","Стратегічний"},0),0.16,0.19,0.24,0.23,0.28)</f>
        <v/>
      </c>
      <c r="AA678" s="104">
        <f>CHOOSE(MATCH(IF($U678="","Основний",$U678),{"Трафіковий","Основний","Маржинальний","Сезонний","Стратегічний"},0),0.18,0.21,0.26,0.25,0.3)</f>
        <v/>
      </c>
      <c r="AB678" s="104">
        <f>CHOOSE(MATCH(IF($U678="","Основний",$U678),{"Трафіковий","Основний","Маржинальний","Сезонний","Стратегічний"},0),0.19,0.22,0.28,0.26,0.32)</f>
        <v/>
      </c>
      <c r="AC678" s="104">
        <f>CHOOSE(MATCH(IF($U678="","Основний",$U678),{"Трафіковий","Основний","Маржинальний","Сезонний","Стратегічний"},0),0.17,0.2,0.25,0.24,0.28)</f>
        <v/>
      </c>
      <c r="AD678" s="104">
        <f>CHOOSE(MATCH(IF($U678="","Основний",$U678),{"Трафіковий","Основний","Маржинальний","Сезонний","Стратегічний"},0),0.18,0.21,0.26,0.25,0.3)</f>
        <v/>
      </c>
      <c r="AE678" s="104">
        <f>CHOOSE(MATCH(IF($U678="","Основний",$U678),{"Трафіковий","Основний","Маржинальний","Сезонний","Стратегічний"},0),0.18,0.2,0.28,0.27,0.32)</f>
        <v/>
      </c>
      <c r="AF678" s="104">
        <f>CHOOSE(MATCH(IF($U678="","Основний",$U678),{"Трафіковий","Основний","Маржинальний","Сезонний","Стратегічний"},0),0.15,0.175,0.22,0.21,0.25)</f>
        <v/>
      </c>
      <c r="AG678" s="104">
        <f>CHOOSE(MATCH(IF($U678="","Основний",$U678),{"Трафіковий","Основний","Маржинальний","Сезонний","Стратегічний"},0),0.13,0.16,0.21,0.2,0.25)</f>
        <v/>
      </c>
      <c r="AH678" s="104">
        <f>CHOOSE(MATCH(IF($U678="","Основний",$U678),{"Трафіковий","Основний","Маржинальний","Сезонний","Стратегічний"},0),0.15,0.18,0.23,0.22,0.27)</f>
        <v/>
      </c>
      <c r="AI678" s="104">
        <f>CHOOSE(MATCH(IF($U678="","Основний",$U678),{"Трафіковий","Основний","Маржинальний","Сезонний","Стратегічний"},0),0.16,0.19,0.25,0.23,0.29)</f>
        <v/>
      </c>
      <c r="AJ678" s="104">
        <f>CHOOSE(MATCH(IF($U678="","Основний",$U678),{"Трафіковий","Основний","Маржинальний","Сезонний","Стратегічний"},0),0.14,0.17,0.22,0.21,0.25)</f>
        <v/>
      </c>
      <c r="AK678" s="104">
        <f>CHOOSE(MATCH(IF($U678="","Основний",$U678),{"Трафіковий","Основний","Маржинальний","Сезонний","Стратегічний"},0),0.15,0.18,0.23,0.22,0.27)</f>
        <v/>
      </c>
      <c r="AL678" s="104">
        <f>CHOOSE(MATCH(IF($U678="","Основний",$U678),{"Трафіковий","Основний","Маржинальний","Сезонний","Стратегічний"},0),0.15,0.17,0.25,0.24,0.29)</f>
        <v/>
      </c>
      <c r="AM678" s="104">
        <f>CHOOSE(MATCH(IF($U678="","Основний",$U678),{"Трафіковий","Основний","Маржинальний","Сезонний","Стратегічний"},0),0.12,0.145,0.19,0.18,0.22)</f>
        <v/>
      </c>
      <c r="AN678" s="157">
        <f>CHOOSE(MATCH(IF($U678="","Основний",$U678),{"Трафіковий","Основний","Маржинальний","Сезонний","Стратегічний"},0),Settings!$B$78,Settings!$B$80,Settings!$B$82,Settings!$B$84,Settings!$B$86)</f>
        <v/>
      </c>
      <c r="AO678" s="157">
        <f>CHOOSE(MATCH(IF($U678="","Основний",$U678),{"Трафіковий","Основний","Маржинальний","Сезонний","Стратегічний"},0),Settings!$C$78,Settings!$C$80,Settings!$C$82,Settings!$C$84,Settings!$C$86)</f>
        <v/>
      </c>
      <c r="AP678" s="157">
        <f>CHOOSE(MATCH(IF($U678="","Основний",$U678),{"Трафіковий","Основний","Маржинальний","Сезонний","Стратегічний"},0),Settings!$D$78,Settings!$D$80,Settings!$D$82,Settings!$D$84,Settings!$D$86)</f>
        <v/>
      </c>
      <c r="AQ678" s="157">
        <f>CHOOSE(MATCH(IF($U678="","Основний",$U678),{"Трафіковий","Основний","Маржинальний","Сезонний","Стратегічний"},0),Settings!$F$78,Settings!$F$80,Settings!$F$82,Settings!$F$84,Settings!$F$86)</f>
        <v/>
      </c>
      <c r="AR678" s="157">
        <f>CHOOSE(MATCH(IF($U678="","Основний",$U678),{"Трафіковий","Основний","Маржинальний","Сезонний","Стратегічний"},0),Settings!$G$78,Settings!$G$80,Settings!$G$82,Settings!$G$84,Settings!$G$86)</f>
        <v/>
      </c>
      <c r="AS678" s="157">
        <f>CHOOSE(MATCH(IF($U678="","Основний",$U678),{"Трафіковий","Основний","Маржинальний","Сезонний","Стратегічний"},0),Settings!$H$78,Settings!$H$80,Settings!$H$82,Settings!$H$84,Settings!$H$86)</f>
        <v/>
      </c>
      <c r="AT678" s="157">
        <f>CHOOSE(MATCH(IF($U678="","Основний",$U678),{"Трафіковий","Основний","Маржинальний","Сезонний","Стратегічний"},0),Settings!$I$78,Settings!$I$80,Settings!$I$82,Settings!$I$84,Settings!$I$86)</f>
        <v/>
      </c>
      <c r="AU678" s="171" t="n"/>
      <c r="AV678" t="n">
        <v>1.3</v>
      </c>
    </row>
    <row r="679">
      <c r="A679" s="33" t="inlineStr">
        <is>
          <t>SELL OUT</t>
        </is>
      </c>
      <c r="B679" s="34" t="inlineStr">
        <is>
          <t>H5014</t>
        </is>
      </c>
      <c r="C679" s="34" t="inlineStr">
        <is>
          <t>GOSMART SCENE SWITCH 1B IP-2001ZB ZIGBEE</t>
        </is>
      </c>
      <c r="D679" s="34" t="inlineStr">
        <is>
          <t>Відеосистеми, та IP камери</t>
        </is>
      </c>
      <c r="E679" s="33" t="inlineStr">
        <is>
          <t>PC</t>
        </is>
      </c>
      <c r="F679" s="94" t="n">
        <v>11.536</v>
      </c>
      <c r="G679" s="35" t="n">
        <v>8526920090</v>
      </c>
      <c r="H679" s="31" t="n">
        <v>1.34</v>
      </c>
      <c r="I679" s="84">
        <f>IFERROR(F679*Settings!$B$2*H679*IF(AND(ISNUMBER(E679),E679&gt;1),E679,1),"")</f>
        <v/>
      </c>
      <c r="J679" s="32">
        <f>Settings!$B$66</f>
        <v/>
      </c>
      <c r="K679" s="95">
        <f>IFERROR(IF(T679="","",(T679*(1-AN679)*(1-Settings!$B$17)-I679)/(T679*(1-AN679)*(1-Settings!$B$17))),"")</f>
        <v/>
      </c>
      <c r="L679" s="101">
        <f>IFERROR(IF(T679="","",(T679*(1-AO679)*(1-Settings!$C$17)-I679)/(T679*(1-AO679)*(1-Settings!$C$17))),"")</f>
        <v/>
      </c>
      <c r="M679" s="101">
        <f>IFERROR(IF(T679="","",(T679*(1-AP679)*(1-Settings!$D$17)-I679)/(T679*(1-AP679)*(1-Settings!$D$17))),"")</f>
        <v/>
      </c>
      <c r="N679" s="101">
        <f>IFERROR(IF(T679="","",(T679*(1-AQ679)*(1-Settings!$F$17)-I679)/(T679*(1-AQ679)*(1-Settings!$F$17))),"")</f>
        <v/>
      </c>
      <c r="O679" s="101">
        <f>IFERROR(IF(T679="","",(T679*(1-AR679)*(1-Settings!$G$17)-I679)/(T679*(1-AR679)*(1-Settings!$G$17))),"")</f>
        <v/>
      </c>
      <c r="P679" s="101">
        <f>IFERROR(IF(T679="","",(T679*(1-AS679)*(1-Settings!$H$17)-I679)/(T679*(1-AS679)*(1-Settings!$H$17))),"")</f>
        <v/>
      </c>
      <c r="Q679" s="101">
        <f>IFERROR(IF(T679="","",(T679*(1-AT679)*(1-Settings!$I$68)*(1-Settings!$I$17)-I679)/(T679*(1-AT679)*(1-Settings!$I$68)*(1-Settings!$I$17))),"")</f>
        <v/>
      </c>
      <c r="R679" s="91">
        <f>IFERROR(IF(OR(I679="",Z679&gt;=1,Settings!$B$17&gt;=1,AN679&gt;=1),"",IF(MOD(ROUND(I679/(1-Z679)/(1-Settings!$B$17)/(1-AN679),0),10)=0,ROUND(I679/(1-Z679)/(1-Settings!$B$17)/(1-AN679),0)-1,IF(MOD(ROUND(I679/(1-Z679)/(1-Settings!$B$17)/(1-AN679),0),10)&lt;=5,FLOOR(ROUND(I679/(1-Z679)/(1-Settings!$B$17)/(1-AN679),0),10)+6,FLOOR(ROUND(I679/(1-Z679)/(1-Settings!$B$17)/(1-AN679),0),10)+9))),"")</f>
        <v/>
      </c>
      <c r="S679" s="174">
        <f>R679*0.95</f>
        <v/>
      </c>
      <c r="T679" s="91">
        <f>IF(S679&lt;&gt;"", IF(MOD(S679,10)=0,S679-1,IF(MOD(S679,10)&lt;=5,FLOOR(S679,10)+6,FLOOR(S679,10)+9)), R679)</f>
        <v/>
      </c>
      <c r="U679" s="87" t="inlineStr">
        <is>
          <t>Основний</t>
        </is>
      </c>
      <c r="V679" s="88" t="n"/>
      <c r="W679" s="88" t="n"/>
      <c r="X679" s="89">
        <f>IFERROR(IF(OR(V679="",W679="",T679=""),"", IF(T679&gt;W679,"Дорогий",IF(T679&lt;V679,"Дешевий","У ринку"))),"")</f>
        <v/>
      </c>
      <c r="Y679" s="90" t="n"/>
      <c r="Z679" s="104">
        <f>CHOOSE(MATCH(IF($U679="","Основний",$U679),{"Трафіковий","Основний","Маржинальний","Сезонний","Стратегічний"},0),0.16,0.19,0.24,0.23,0.28)</f>
        <v/>
      </c>
      <c r="AA679" s="104">
        <f>CHOOSE(MATCH(IF($U679="","Основний",$U679),{"Трафіковий","Основний","Маржинальний","Сезонний","Стратегічний"},0),0.18,0.21,0.26,0.25,0.3)</f>
        <v/>
      </c>
      <c r="AB679" s="104">
        <f>CHOOSE(MATCH(IF($U679="","Основний",$U679),{"Трафіковий","Основний","Маржинальний","Сезонний","Стратегічний"},0),0.19,0.22,0.28,0.26,0.32)</f>
        <v/>
      </c>
      <c r="AC679" s="104">
        <f>CHOOSE(MATCH(IF($U679="","Основний",$U679),{"Трафіковий","Основний","Маржинальний","Сезонний","Стратегічний"},0),0.17,0.2,0.25,0.24,0.28)</f>
        <v/>
      </c>
      <c r="AD679" s="104">
        <f>CHOOSE(MATCH(IF($U679="","Основний",$U679),{"Трафіковий","Основний","Маржинальний","Сезонний","Стратегічний"},0),0.18,0.21,0.26,0.25,0.3)</f>
        <v/>
      </c>
      <c r="AE679" s="104">
        <f>CHOOSE(MATCH(IF($U679="","Основний",$U679),{"Трафіковий","Основний","Маржинальний","Сезонний","Стратегічний"},0),0.18,0.2,0.28,0.27,0.32)</f>
        <v/>
      </c>
      <c r="AF679" s="104">
        <f>CHOOSE(MATCH(IF($U679="","Основний",$U679),{"Трафіковий","Основний","Маржинальний","Сезонний","Стратегічний"},0),0.15,0.175,0.22,0.21,0.25)</f>
        <v/>
      </c>
      <c r="AG679" s="104">
        <f>CHOOSE(MATCH(IF($U679="","Основний",$U679),{"Трафіковий","Основний","Маржинальний","Сезонний","Стратегічний"},0),0.13,0.16,0.21,0.2,0.25)</f>
        <v/>
      </c>
      <c r="AH679" s="104">
        <f>CHOOSE(MATCH(IF($U679="","Основний",$U679),{"Трафіковий","Основний","Маржинальний","Сезонний","Стратегічний"},0),0.15,0.18,0.23,0.22,0.27)</f>
        <v/>
      </c>
      <c r="AI679" s="104">
        <f>CHOOSE(MATCH(IF($U679="","Основний",$U679),{"Трафіковий","Основний","Маржинальний","Сезонний","Стратегічний"},0),0.16,0.19,0.25,0.23,0.29)</f>
        <v/>
      </c>
      <c r="AJ679" s="104">
        <f>CHOOSE(MATCH(IF($U679="","Основний",$U679),{"Трафіковий","Основний","Маржинальний","Сезонний","Стратегічний"},0),0.14,0.17,0.22,0.21,0.25)</f>
        <v/>
      </c>
      <c r="AK679" s="104">
        <f>CHOOSE(MATCH(IF($U679="","Основний",$U679),{"Трафіковий","Основний","Маржинальний","Сезонний","Стратегічний"},0),0.15,0.18,0.23,0.22,0.27)</f>
        <v/>
      </c>
      <c r="AL679" s="104">
        <f>CHOOSE(MATCH(IF($U679="","Основний",$U679),{"Трафіковий","Основний","Маржинальний","Сезонний","Стратегічний"},0),0.15,0.17,0.25,0.24,0.29)</f>
        <v/>
      </c>
      <c r="AM679" s="104">
        <f>CHOOSE(MATCH(IF($U679="","Основний",$U679),{"Трафіковий","Основний","Маржинальний","Сезонний","Стратегічний"},0),0.12,0.145,0.19,0.18,0.22)</f>
        <v/>
      </c>
      <c r="AN679" s="157">
        <f>CHOOSE(MATCH(IF($U679="","Основний",$U679),{"Трафіковий","Основний","Маржинальний","Сезонний","Стратегічний"},0),Settings!$B$78,Settings!$B$80,Settings!$B$82,Settings!$B$84,Settings!$B$86)</f>
        <v/>
      </c>
      <c r="AO679" s="157">
        <f>CHOOSE(MATCH(IF($U679="","Основний",$U679),{"Трафіковий","Основний","Маржинальний","Сезонний","Стратегічний"},0),Settings!$C$78,Settings!$C$80,Settings!$C$82,Settings!$C$84,Settings!$C$86)</f>
        <v/>
      </c>
      <c r="AP679" s="157">
        <f>CHOOSE(MATCH(IF($U679="","Основний",$U679),{"Трафіковий","Основний","Маржинальний","Сезонний","Стратегічний"},0),Settings!$D$78,Settings!$D$80,Settings!$D$82,Settings!$D$84,Settings!$D$86)</f>
        <v/>
      </c>
      <c r="AQ679" s="157">
        <f>CHOOSE(MATCH(IF($U679="","Основний",$U679),{"Трафіковий","Основний","Маржинальний","Сезонний","Стратегічний"},0),Settings!$F$78,Settings!$F$80,Settings!$F$82,Settings!$F$84,Settings!$F$86)</f>
        <v/>
      </c>
      <c r="AR679" s="157">
        <f>CHOOSE(MATCH(IF($U679="","Основний",$U679),{"Трафіковий","Основний","Маржинальний","Сезонний","Стратегічний"},0),Settings!$G$78,Settings!$G$80,Settings!$G$82,Settings!$G$84,Settings!$G$86)</f>
        <v/>
      </c>
      <c r="AS679" s="157">
        <f>CHOOSE(MATCH(IF($U679="","Основний",$U679),{"Трафіковий","Основний","Маржинальний","Сезонний","Стратегічний"},0),Settings!$H$78,Settings!$H$80,Settings!$H$82,Settings!$H$84,Settings!$H$86)</f>
        <v/>
      </c>
      <c r="AT679" s="157">
        <f>CHOOSE(MATCH(IF($U679="","Основний",$U679),{"Трафіковий","Основний","Маржинальний","Сезонний","Стратегічний"},0),Settings!$I$78,Settings!$I$80,Settings!$I$82,Settings!$I$84,Settings!$I$86)</f>
        <v/>
      </c>
      <c r="AU679" s="171" t="n"/>
      <c r="AV679" t="n">
        <v>1.3</v>
      </c>
    </row>
    <row r="680">
      <c r="A680" s="28" t="inlineStr">
        <is>
          <t>SELL OUT</t>
        </is>
      </c>
      <c r="B680" s="29" t="inlineStr">
        <is>
          <t>H5015</t>
        </is>
      </c>
      <c r="C680" s="29" t="inlineStr">
        <is>
          <t>GOSMART SCENE SWITCH 2B IP-2002ZB ZIGBEE</t>
        </is>
      </c>
      <c r="D680" s="29" t="inlineStr">
        <is>
          <t>Відеосистеми, та IP камери</t>
        </is>
      </c>
      <c r="E680" s="28" t="inlineStr">
        <is>
          <t>PC</t>
        </is>
      </c>
      <c r="F680" s="93" t="n">
        <v>11.969</v>
      </c>
      <c r="G680" s="30" t="n">
        <v>8526920090</v>
      </c>
      <c r="H680" s="31" t="n">
        <v>1.34</v>
      </c>
      <c r="I680" s="84">
        <f>IFERROR(F680*Settings!$B$2*H680*IF(AND(ISNUMBER(E680),E680&gt;1),E680,1),"")</f>
        <v/>
      </c>
      <c r="J680" s="32">
        <f>Settings!$B$66</f>
        <v/>
      </c>
      <c r="K680" s="95">
        <f>IFERROR(IF(T680="","",(T680*(1-AN680)*(1-Settings!$B$17)-I680)/(T680*(1-AN680)*(1-Settings!$B$17))),"")</f>
        <v/>
      </c>
      <c r="L680" s="101">
        <f>IFERROR(IF(T680="","",(T680*(1-AO680)*(1-Settings!$C$17)-I680)/(T680*(1-AO680)*(1-Settings!$C$17))),"")</f>
        <v/>
      </c>
      <c r="M680" s="101">
        <f>IFERROR(IF(T680="","",(T680*(1-AP680)*(1-Settings!$D$17)-I680)/(T680*(1-AP680)*(1-Settings!$D$17))),"")</f>
        <v/>
      </c>
      <c r="N680" s="101">
        <f>IFERROR(IF(T680="","",(T680*(1-AQ680)*(1-Settings!$F$17)-I680)/(T680*(1-AQ680)*(1-Settings!$F$17))),"")</f>
        <v/>
      </c>
      <c r="O680" s="101">
        <f>IFERROR(IF(T680="","",(T680*(1-AR680)*(1-Settings!$G$17)-I680)/(T680*(1-AR680)*(1-Settings!$G$17))),"")</f>
        <v/>
      </c>
      <c r="P680" s="101">
        <f>IFERROR(IF(T680="","",(T680*(1-AS680)*(1-Settings!$H$17)-I680)/(T680*(1-AS680)*(1-Settings!$H$17))),"")</f>
        <v/>
      </c>
      <c r="Q680" s="101">
        <f>IFERROR(IF(T680="","",(T680*(1-AT680)*(1-Settings!$I$68)*(1-Settings!$I$17)-I680)/(T680*(1-AT680)*(1-Settings!$I$68)*(1-Settings!$I$17))),"")</f>
        <v/>
      </c>
      <c r="R680" s="91">
        <f>IFERROR(IF(OR(I680="",Z680&gt;=1,Settings!$B$17&gt;=1,AN680&gt;=1),"",IF(MOD(ROUND(I680/(1-Z680)/(1-Settings!$B$17)/(1-AN680),0),10)=0,ROUND(I680/(1-Z680)/(1-Settings!$B$17)/(1-AN680),0)-1,IF(MOD(ROUND(I680/(1-Z680)/(1-Settings!$B$17)/(1-AN680),0),10)&lt;=5,FLOOR(ROUND(I680/(1-Z680)/(1-Settings!$B$17)/(1-AN680),0),10)+6,FLOOR(ROUND(I680/(1-Z680)/(1-Settings!$B$17)/(1-AN680),0),10)+9))),"")</f>
        <v/>
      </c>
      <c r="S680" s="174">
        <f>R680*0.95</f>
        <v/>
      </c>
      <c r="T680" s="91">
        <f>IF(S680&lt;&gt;"", IF(MOD(S680,10)=0,S680-1,IF(MOD(S680,10)&lt;=5,FLOOR(S680,10)+6,FLOOR(S680,10)+9)), R680)</f>
        <v/>
      </c>
      <c r="U680" s="87" t="inlineStr">
        <is>
          <t>Основний</t>
        </is>
      </c>
      <c r="V680" s="88" t="n"/>
      <c r="W680" s="88" t="n"/>
      <c r="X680" s="89">
        <f>IFERROR(IF(OR(V680="",W680="",T680=""),"", IF(T680&gt;W680,"Дорогий",IF(T680&lt;V680,"Дешевий","У ринку"))),"")</f>
        <v/>
      </c>
      <c r="Y680" s="90" t="n"/>
      <c r="Z680" s="104">
        <f>CHOOSE(MATCH(IF($U680="","Основний",$U680),{"Трафіковий","Основний","Маржинальний","Сезонний","Стратегічний"},0),0.16,0.19,0.24,0.23,0.28)</f>
        <v/>
      </c>
      <c r="AA680" s="104">
        <f>CHOOSE(MATCH(IF($U680="","Основний",$U680),{"Трафіковий","Основний","Маржинальний","Сезонний","Стратегічний"},0),0.18,0.21,0.26,0.25,0.3)</f>
        <v/>
      </c>
      <c r="AB680" s="104">
        <f>CHOOSE(MATCH(IF($U680="","Основний",$U680),{"Трафіковий","Основний","Маржинальний","Сезонний","Стратегічний"},0),0.19,0.22,0.28,0.26,0.32)</f>
        <v/>
      </c>
      <c r="AC680" s="104">
        <f>CHOOSE(MATCH(IF($U680="","Основний",$U680),{"Трафіковий","Основний","Маржинальний","Сезонний","Стратегічний"},0),0.17,0.2,0.25,0.24,0.28)</f>
        <v/>
      </c>
      <c r="AD680" s="104">
        <f>CHOOSE(MATCH(IF($U680="","Основний",$U680),{"Трафіковий","Основний","Маржинальний","Сезонний","Стратегічний"},0),0.18,0.21,0.26,0.25,0.3)</f>
        <v/>
      </c>
      <c r="AE680" s="104">
        <f>CHOOSE(MATCH(IF($U680="","Основний",$U680),{"Трафіковий","Основний","Маржинальний","Сезонний","Стратегічний"},0),0.18,0.2,0.28,0.27,0.32)</f>
        <v/>
      </c>
      <c r="AF680" s="104">
        <f>CHOOSE(MATCH(IF($U680="","Основний",$U680),{"Трафіковий","Основний","Маржинальний","Сезонний","Стратегічний"},0),0.15,0.175,0.22,0.21,0.25)</f>
        <v/>
      </c>
      <c r="AG680" s="104">
        <f>CHOOSE(MATCH(IF($U680="","Основний",$U680),{"Трафіковий","Основний","Маржинальний","Сезонний","Стратегічний"},0),0.13,0.16,0.21,0.2,0.25)</f>
        <v/>
      </c>
      <c r="AH680" s="104">
        <f>CHOOSE(MATCH(IF($U680="","Основний",$U680),{"Трафіковий","Основний","Маржинальний","Сезонний","Стратегічний"},0),0.15,0.18,0.23,0.22,0.27)</f>
        <v/>
      </c>
      <c r="AI680" s="104">
        <f>CHOOSE(MATCH(IF($U680="","Основний",$U680),{"Трафіковий","Основний","Маржинальний","Сезонний","Стратегічний"},0),0.16,0.19,0.25,0.23,0.29)</f>
        <v/>
      </c>
      <c r="AJ680" s="104">
        <f>CHOOSE(MATCH(IF($U680="","Основний",$U680),{"Трафіковий","Основний","Маржинальний","Сезонний","Стратегічний"},0),0.14,0.17,0.22,0.21,0.25)</f>
        <v/>
      </c>
      <c r="AK680" s="104">
        <f>CHOOSE(MATCH(IF($U680="","Основний",$U680),{"Трафіковий","Основний","Маржинальний","Сезонний","Стратегічний"},0),0.15,0.18,0.23,0.22,0.27)</f>
        <v/>
      </c>
      <c r="AL680" s="104">
        <f>CHOOSE(MATCH(IF($U680="","Основний",$U680),{"Трафіковий","Основний","Маржинальний","Сезонний","Стратегічний"},0),0.15,0.17,0.25,0.24,0.29)</f>
        <v/>
      </c>
      <c r="AM680" s="104">
        <f>CHOOSE(MATCH(IF($U680="","Основний",$U680),{"Трафіковий","Основний","Маржинальний","Сезонний","Стратегічний"},0),0.12,0.145,0.19,0.18,0.22)</f>
        <v/>
      </c>
      <c r="AN680" s="157">
        <f>CHOOSE(MATCH(IF($U680="","Основний",$U680),{"Трафіковий","Основний","Маржинальний","Сезонний","Стратегічний"},0),Settings!$B$78,Settings!$B$80,Settings!$B$82,Settings!$B$84,Settings!$B$86)</f>
        <v/>
      </c>
      <c r="AO680" s="157">
        <f>CHOOSE(MATCH(IF($U680="","Основний",$U680),{"Трафіковий","Основний","Маржинальний","Сезонний","Стратегічний"},0),Settings!$C$78,Settings!$C$80,Settings!$C$82,Settings!$C$84,Settings!$C$86)</f>
        <v/>
      </c>
      <c r="AP680" s="157">
        <f>CHOOSE(MATCH(IF($U680="","Основний",$U680),{"Трафіковий","Основний","Маржинальний","Сезонний","Стратегічний"},0),Settings!$D$78,Settings!$D$80,Settings!$D$82,Settings!$D$84,Settings!$D$86)</f>
        <v/>
      </c>
      <c r="AQ680" s="157">
        <f>CHOOSE(MATCH(IF($U680="","Основний",$U680),{"Трафіковий","Основний","Маржинальний","Сезонний","Стратегічний"},0),Settings!$F$78,Settings!$F$80,Settings!$F$82,Settings!$F$84,Settings!$F$86)</f>
        <v/>
      </c>
      <c r="AR680" s="157">
        <f>CHOOSE(MATCH(IF($U680="","Основний",$U680),{"Трафіковий","Основний","Маржинальний","Сезонний","Стратегічний"},0),Settings!$G$78,Settings!$G$80,Settings!$G$82,Settings!$G$84,Settings!$G$86)</f>
        <v/>
      </c>
      <c r="AS680" s="157">
        <f>CHOOSE(MATCH(IF($U680="","Основний",$U680),{"Трафіковий","Основний","Маржинальний","Сезонний","Стратегічний"},0),Settings!$H$78,Settings!$H$80,Settings!$H$82,Settings!$H$84,Settings!$H$86)</f>
        <v/>
      </c>
      <c r="AT680" s="157">
        <f>CHOOSE(MATCH(IF($U680="","Основний",$U680),{"Трафіковий","Основний","Маржинальний","Сезонний","Стратегічний"},0),Settings!$I$78,Settings!$I$80,Settings!$I$82,Settings!$I$84,Settings!$I$86)</f>
        <v/>
      </c>
      <c r="AU680" s="171" t="n"/>
      <c r="AV680" t="n">
        <v>1.3</v>
      </c>
    </row>
    <row r="681">
      <c r="A681" s="33" t="inlineStr">
        <is>
          <t>SELL OUT</t>
        </is>
      </c>
      <c r="B681" s="34" t="inlineStr">
        <is>
          <t>H5016</t>
        </is>
      </c>
      <c r="C681" s="34" t="inlineStr">
        <is>
          <t>GOSMART SCENE SWITCH 4B IP-2004ZB ZIGBEE</t>
        </is>
      </c>
      <c r="D681" s="34" t="inlineStr">
        <is>
          <t>Відеосистеми, та IP камери</t>
        </is>
      </c>
      <c r="E681" s="33" t="inlineStr">
        <is>
          <t>PC</t>
        </is>
      </c>
      <c r="F681" s="94" t="n">
        <v>12.689</v>
      </c>
      <c r="G681" s="35" t="n">
        <v>8526920090</v>
      </c>
      <c r="H681" s="31" t="n">
        <v>1.34</v>
      </c>
      <c r="I681" s="84">
        <f>IFERROR(F681*Settings!$B$2*H681*IF(AND(ISNUMBER(E681),E681&gt;1),E681,1),"")</f>
        <v/>
      </c>
      <c r="J681" s="32">
        <f>Settings!$B$66</f>
        <v/>
      </c>
      <c r="K681" s="95">
        <f>IFERROR(IF(T681="","",(T681*(1-AN681)*(1-Settings!$B$17)-I681)/(T681*(1-AN681)*(1-Settings!$B$17))),"")</f>
        <v/>
      </c>
      <c r="L681" s="101">
        <f>IFERROR(IF(T681="","",(T681*(1-AO681)*(1-Settings!$C$17)-I681)/(T681*(1-AO681)*(1-Settings!$C$17))),"")</f>
        <v/>
      </c>
      <c r="M681" s="101">
        <f>IFERROR(IF(T681="","",(T681*(1-AP681)*(1-Settings!$D$17)-I681)/(T681*(1-AP681)*(1-Settings!$D$17))),"")</f>
        <v/>
      </c>
      <c r="N681" s="101">
        <f>IFERROR(IF(T681="","",(T681*(1-AQ681)*(1-Settings!$F$17)-I681)/(T681*(1-AQ681)*(1-Settings!$F$17))),"")</f>
        <v/>
      </c>
      <c r="O681" s="101">
        <f>IFERROR(IF(T681="","",(T681*(1-AR681)*(1-Settings!$G$17)-I681)/(T681*(1-AR681)*(1-Settings!$G$17))),"")</f>
        <v/>
      </c>
      <c r="P681" s="101">
        <f>IFERROR(IF(T681="","",(T681*(1-AS681)*(1-Settings!$H$17)-I681)/(T681*(1-AS681)*(1-Settings!$H$17))),"")</f>
        <v/>
      </c>
      <c r="Q681" s="101">
        <f>IFERROR(IF(T681="","",(T681*(1-AT681)*(1-Settings!$I$68)*(1-Settings!$I$17)-I681)/(T681*(1-AT681)*(1-Settings!$I$68)*(1-Settings!$I$17))),"")</f>
        <v/>
      </c>
      <c r="R681" s="91">
        <f>IFERROR(IF(OR(I681="",Z681&gt;=1,Settings!$B$17&gt;=1,AN681&gt;=1),"",IF(MOD(ROUND(I681/(1-Z681)/(1-Settings!$B$17)/(1-AN681),0),10)=0,ROUND(I681/(1-Z681)/(1-Settings!$B$17)/(1-AN681),0)-1,IF(MOD(ROUND(I681/(1-Z681)/(1-Settings!$B$17)/(1-AN681),0),10)&lt;=5,FLOOR(ROUND(I681/(1-Z681)/(1-Settings!$B$17)/(1-AN681),0),10)+6,FLOOR(ROUND(I681/(1-Z681)/(1-Settings!$B$17)/(1-AN681),0),10)+9))),"")</f>
        <v/>
      </c>
      <c r="S681" s="174">
        <f>R681*0.95</f>
        <v/>
      </c>
      <c r="T681" s="91">
        <f>IF(S681&lt;&gt;"", IF(MOD(S681,10)=0,S681-1,IF(MOD(S681,10)&lt;=5,FLOOR(S681,10)+6,FLOOR(S681,10)+9)), R681)</f>
        <v/>
      </c>
      <c r="U681" s="87" t="inlineStr">
        <is>
          <t>Основний</t>
        </is>
      </c>
      <c r="V681" s="88" t="n"/>
      <c r="W681" s="88" t="n"/>
      <c r="X681" s="89">
        <f>IFERROR(IF(OR(V681="",W681="",T681=""),"", IF(T681&gt;W681,"Дорогий",IF(T681&lt;V681,"Дешевий","У ринку"))),"")</f>
        <v/>
      </c>
      <c r="Y681" s="90" t="n"/>
      <c r="Z681" s="104">
        <f>CHOOSE(MATCH(IF($U681="","Основний",$U681),{"Трафіковий","Основний","Маржинальний","Сезонний","Стратегічний"},0),0.16,0.19,0.24,0.23,0.28)</f>
        <v/>
      </c>
      <c r="AA681" s="104">
        <f>CHOOSE(MATCH(IF($U681="","Основний",$U681),{"Трафіковий","Основний","Маржинальний","Сезонний","Стратегічний"},0),0.18,0.21,0.26,0.25,0.3)</f>
        <v/>
      </c>
      <c r="AB681" s="104">
        <f>CHOOSE(MATCH(IF($U681="","Основний",$U681),{"Трафіковий","Основний","Маржинальний","Сезонний","Стратегічний"},0),0.19,0.22,0.28,0.26,0.32)</f>
        <v/>
      </c>
      <c r="AC681" s="104">
        <f>CHOOSE(MATCH(IF($U681="","Основний",$U681),{"Трафіковий","Основний","Маржинальний","Сезонний","Стратегічний"},0),0.17,0.2,0.25,0.24,0.28)</f>
        <v/>
      </c>
      <c r="AD681" s="104">
        <f>CHOOSE(MATCH(IF($U681="","Основний",$U681),{"Трафіковий","Основний","Маржинальний","Сезонний","Стратегічний"},0),0.18,0.21,0.26,0.25,0.3)</f>
        <v/>
      </c>
      <c r="AE681" s="104">
        <f>CHOOSE(MATCH(IF($U681="","Основний",$U681),{"Трафіковий","Основний","Маржинальний","Сезонний","Стратегічний"},0),0.18,0.2,0.28,0.27,0.32)</f>
        <v/>
      </c>
      <c r="AF681" s="104">
        <f>CHOOSE(MATCH(IF($U681="","Основний",$U681),{"Трафіковий","Основний","Маржинальний","Сезонний","Стратегічний"},0),0.15,0.175,0.22,0.21,0.25)</f>
        <v/>
      </c>
      <c r="AG681" s="104">
        <f>CHOOSE(MATCH(IF($U681="","Основний",$U681),{"Трафіковий","Основний","Маржинальний","Сезонний","Стратегічний"},0),0.13,0.16,0.21,0.2,0.25)</f>
        <v/>
      </c>
      <c r="AH681" s="104">
        <f>CHOOSE(MATCH(IF($U681="","Основний",$U681),{"Трафіковий","Основний","Маржинальний","Сезонний","Стратегічний"},0),0.15,0.18,0.23,0.22,0.27)</f>
        <v/>
      </c>
      <c r="AI681" s="104">
        <f>CHOOSE(MATCH(IF($U681="","Основний",$U681),{"Трафіковий","Основний","Маржинальний","Сезонний","Стратегічний"},0),0.16,0.19,0.25,0.23,0.29)</f>
        <v/>
      </c>
      <c r="AJ681" s="104">
        <f>CHOOSE(MATCH(IF($U681="","Основний",$U681),{"Трафіковий","Основний","Маржинальний","Сезонний","Стратегічний"},0),0.14,0.17,0.22,0.21,0.25)</f>
        <v/>
      </c>
      <c r="AK681" s="104">
        <f>CHOOSE(MATCH(IF($U681="","Основний",$U681),{"Трафіковий","Основний","Маржинальний","Сезонний","Стратегічний"},0),0.15,0.18,0.23,0.22,0.27)</f>
        <v/>
      </c>
      <c r="AL681" s="104">
        <f>CHOOSE(MATCH(IF($U681="","Основний",$U681),{"Трафіковий","Основний","Маржинальний","Сезонний","Стратегічний"},0),0.15,0.17,0.25,0.24,0.29)</f>
        <v/>
      </c>
      <c r="AM681" s="104">
        <f>CHOOSE(MATCH(IF($U681="","Основний",$U681),{"Трафіковий","Основний","Маржинальний","Сезонний","Стратегічний"},0),0.12,0.145,0.19,0.18,0.22)</f>
        <v/>
      </c>
      <c r="AN681" s="157">
        <f>CHOOSE(MATCH(IF($U681="","Основний",$U681),{"Трафіковий","Основний","Маржинальний","Сезонний","Стратегічний"},0),Settings!$B$78,Settings!$B$80,Settings!$B$82,Settings!$B$84,Settings!$B$86)</f>
        <v/>
      </c>
      <c r="AO681" s="157">
        <f>CHOOSE(MATCH(IF($U681="","Основний",$U681),{"Трафіковий","Основний","Маржинальний","Сезонний","Стратегічний"},0),Settings!$C$78,Settings!$C$80,Settings!$C$82,Settings!$C$84,Settings!$C$86)</f>
        <v/>
      </c>
      <c r="AP681" s="157">
        <f>CHOOSE(MATCH(IF($U681="","Основний",$U681),{"Трафіковий","Основний","Маржинальний","Сезонний","Стратегічний"},0),Settings!$D$78,Settings!$D$80,Settings!$D$82,Settings!$D$84,Settings!$D$86)</f>
        <v/>
      </c>
      <c r="AQ681" s="157">
        <f>CHOOSE(MATCH(IF($U681="","Основний",$U681),{"Трафіковий","Основний","Маржинальний","Сезонний","Стратегічний"},0),Settings!$F$78,Settings!$F$80,Settings!$F$82,Settings!$F$84,Settings!$F$86)</f>
        <v/>
      </c>
      <c r="AR681" s="157">
        <f>CHOOSE(MATCH(IF($U681="","Основний",$U681),{"Трафіковий","Основний","Маржинальний","Сезонний","Стратегічний"},0),Settings!$G$78,Settings!$G$80,Settings!$G$82,Settings!$G$84,Settings!$G$86)</f>
        <v/>
      </c>
      <c r="AS681" s="157">
        <f>CHOOSE(MATCH(IF($U681="","Основний",$U681),{"Трафіковий","Основний","Маржинальний","Сезонний","Стратегічний"},0),Settings!$H$78,Settings!$H$80,Settings!$H$82,Settings!$H$84,Settings!$H$86)</f>
        <v/>
      </c>
      <c r="AT681" s="157">
        <f>CHOOSE(MATCH(IF($U681="","Основний",$U681),{"Трафіковий","Основний","Маржинальний","Сезонний","Стратегічний"},0),Settings!$I$78,Settings!$I$80,Settings!$I$82,Settings!$I$84,Settings!$I$86)</f>
        <v/>
      </c>
      <c r="AU681" s="171" t="n"/>
      <c r="AV681" t="n">
        <v>1.3</v>
      </c>
    </row>
    <row r="682">
      <c r="A682" s="28" t="inlineStr">
        <is>
          <t>SELL OUT</t>
        </is>
      </c>
      <c r="B682" s="29" t="inlineStr">
        <is>
          <t>H5103</t>
        </is>
      </c>
      <c r="C682" s="29" t="inlineStr">
        <is>
          <t>GOSMART MODULE SWITCH 1CH L IP-2103SZ ZIGBEE</t>
        </is>
      </c>
      <c r="D682" s="29" t="inlineStr">
        <is>
          <t>Відеосистеми, та IP камери</t>
        </is>
      </c>
      <c r="E682" s="28" t="inlineStr">
        <is>
          <t>PC</t>
        </is>
      </c>
      <c r="F682" s="93" t="n">
        <v>7.926</v>
      </c>
      <c r="G682" s="30" t="n">
        <v>8536508000</v>
      </c>
      <c r="H682" s="31" t="n">
        <v>1.35</v>
      </c>
      <c r="I682" s="84">
        <f>IFERROR(F682*Settings!$B$2*H682*IF(AND(ISNUMBER(E682),E682&gt;1),E682,1),"")</f>
        <v/>
      </c>
      <c r="J682" s="32">
        <f>Settings!$B$66</f>
        <v/>
      </c>
      <c r="K682" s="95">
        <f>IFERROR(IF(T682="","",(T682*(1-AN682)*(1-Settings!$B$17)-I682)/(T682*(1-AN682)*(1-Settings!$B$17))),"")</f>
        <v/>
      </c>
      <c r="L682" s="101">
        <f>IFERROR(IF(T682="","",(T682*(1-AO682)*(1-Settings!$C$17)-I682)/(T682*(1-AO682)*(1-Settings!$C$17))),"")</f>
        <v/>
      </c>
      <c r="M682" s="101">
        <f>IFERROR(IF(T682="","",(T682*(1-AP682)*(1-Settings!$D$17)-I682)/(T682*(1-AP682)*(1-Settings!$D$17))),"")</f>
        <v/>
      </c>
      <c r="N682" s="101">
        <f>IFERROR(IF(T682="","",(T682*(1-AQ682)*(1-Settings!$F$17)-I682)/(T682*(1-AQ682)*(1-Settings!$F$17))),"")</f>
        <v/>
      </c>
      <c r="O682" s="101">
        <f>IFERROR(IF(T682="","",(T682*(1-AR682)*(1-Settings!$G$17)-I682)/(T682*(1-AR682)*(1-Settings!$G$17))),"")</f>
        <v/>
      </c>
      <c r="P682" s="101">
        <f>IFERROR(IF(T682="","",(T682*(1-AS682)*(1-Settings!$H$17)-I682)/(T682*(1-AS682)*(1-Settings!$H$17))),"")</f>
        <v/>
      </c>
      <c r="Q682" s="101">
        <f>IFERROR(IF(T682="","",(T682*(1-AT682)*(1-Settings!$I$68)*(1-Settings!$I$17)-I682)/(T682*(1-AT682)*(1-Settings!$I$68)*(1-Settings!$I$17))),"")</f>
        <v/>
      </c>
      <c r="R682" s="91">
        <f>IFERROR(IF(OR(I682="",Z682&gt;=1,Settings!$B$17&gt;=1,AN682&gt;=1),"",IF(MOD(ROUND(I682/(1-Z682)/(1-Settings!$B$17)/(1-AN682),0),10)=0,ROUND(I682/(1-Z682)/(1-Settings!$B$17)/(1-AN682),0)-1,IF(MOD(ROUND(I682/(1-Z682)/(1-Settings!$B$17)/(1-AN682),0),10)&lt;=5,FLOOR(ROUND(I682/(1-Z682)/(1-Settings!$B$17)/(1-AN682),0),10)+6,FLOOR(ROUND(I682/(1-Z682)/(1-Settings!$B$17)/(1-AN682),0),10)+9))),"")</f>
        <v/>
      </c>
      <c r="S682" s="174">
        <f>R682*0.95</f>
        <v/>
      </c>
      <c r="T682" s="91">
        <f>IF(S682&lt;&gt;"", IF(MOD(S682,10)=0,S682-1,IF(MOD(S682,10)&lt;=5,FLOOR(S682,10)+6,FLOOR(S682,10)+9)), R682)</f>
        <v/>
      </c>
      <c r="U682" s="87" t="inlineStr">
        <is>
          <t>Основний</t>
        </is>
      </c>
      <c r="V682" s="88" t="n"/>
      <c r="W682" s="88" t="n"/>
      <c r="X682" s="89">
        <f>IFERROR(IF(OR(V682="",W682="",T682=""),"", IF(T682&gt;W682,"Дорогий",IF(T682&lt;V682,"Дешевий","У ринку"))),"")</f>
        <v/>
      </c>
      <c r="Y682" s="90" t="n"/>
      <c r="Z682" s="104">
        <f>CHOOSE(MATCH(IF($U682="","Основний",$U682),{"Трафіковий","Основний","Маржинальний","Сезонний","Стратегічний"},0),0.16,0.19,0.24,0.23,0.28)</f>
        <v/>
      </c>
      <c r="AA682" s="104">
        <f>CHOOSE(MATCH(IF($U682="","Основний",$U682),{"Трафіковий","Основний","Маржинальний","Сезонний","Стратегічний"},0),0.18,0.21,0.26,0.25,0.3)</f>
        <v/>
      </c>
      <c r="AB682" s="104">
        <f>CHOOSE(MATCH(IF($U682="","Основний",$U682),{"Трафіковий","Основний","Маржинальний","Сезонний","Стратегічний"},0),0.19,0.22,0.28,0.26,0.32)</f>
        <v/>
      </c>
      <c r="AC682" s="104">
        <f>CHOOSE(MATCH(IF($U682="","Основний",$U682),{"Трафіковий","Основний","Маржинальний","Сезонний","Стратегічний"},0),0.17,0.2,0.25,0.24,0.28)</f>
        <v/>
      </c>
      <c r="AD682" s="104">
        <f>CHOOSE(MATCH(IF($U682="","Основний",$U682),{"Трафіковий","Основний","Маржинальний","Сезонний","Стратегічний"},0),0.18,0.21,0.26,0.25,0.3)</f>
        <v/>
      </c>
      <c r="AE682" s="104">
        <f>CHOOSE(MATCH(IF($U682="","Основний",$U682),{"Трафіковий","Основний","Маржинальний","Сезонний","Стратегічний"},0),0.18,0.2,0.28,0.27,0.32)</f>
        <v/>
      </c>
      <c r="AF682" s="104">
        <f>CHOOSE(MATCH(IF($U682="","Основний",$U682),{"Трафіковий","Основний","Маржинальний","Сезонний","Стратегічний"},0),0.15,0.175,0.22,0.21,0.25)</f>
        <v/>
      </c>
      <c r="AG682" s="104">
        <f>CHOOSE(MATCH(IF($U682="","Основний",$U682),{"Трафіковий","Основний","Маржинальний","Сезонний","Стратегічний"},0),0.13,0.16,0.21,0.2,0.25)</f>
        <v/>
      </c>
      <c r="AH682" s="104">
        <f>CHOOSE(MATCH(IF($U682="","Основний",$U682),{"Трафіковий","Основний","Маржинальний","Сезонний","Стратегічний"},0),0.15,0.18,0.23,0.22,0.27)</f>
        <v/>
      </c>
      <c r="AI682" s="104">
        <f>CHOOSE(MATCH(IF($U682="","Основний",$U682),{"Трафіковий","Основний","Маржинальний","Сезонний","Стратегічний"},0),0.16,0.19,0.25,0.23,0.29)</f>
        <v/>
      </c>
      <c r="AJ682" s="104">
        <f>CHOOSE(MATCH(IF($U682="","Основний",$U682),{"Трафіковий","Основний","Маржинальний","Сезонний","Стратегічний"},0),0.14,0.17,0.22,0.21,0.25)</f>
        <v/>
      </c>
      <c r="AK682" s="104">
        <f>CHOOSE(MATCH(IF($U682="","Основний",$U682),{"Трафіковий","Основний","Маржинальний","Сезонний","Стратегічний"},0),0.15,0.18,0.23,0.22,0.27)</f>
        <v/>
      </c>
      <c r="AL682" s="104">
        <f>CHOOSE(MATCH(IF($U682="","Основний",$U682),{"Трафіковий","Основний","Маржинальний","Сезонний","Стратегічний"},0),0.15,0.17,0.25,0.24,0.29)</f>
        <v/>
      </c>
      <c r="AM682" s="104">
        <f>CHOOSE(MATCH(IF($U682="","Основний",$U682),{"Трафіковий","Основний","Маржинальний","Сезонний","Стратегічний"},0),0.12,0.145,0.19,0.18,0.22)</f>
        <v/>
      </c>
      <c r="AN682" s="157">
        <f>CHOOSE(MATCH(IF($U682="","Основний",$U682),{"Трафіковий","Основний","Маржинальний","Сезонний","Стратегічний"},0),Settings!$B$78,Settings!$B$80,Settings!$B$82,Settings!$B$84,Settings!$B$86)</f>
        <v/>
      </c>
      <c r="AO682" s="157">
        <f>CHOOSE(MATCH(IF($U682="","Основний",$U682),{"Трафіковий","Основний","Маржинальний","Сезонний","Стратегічний"},0),Settings!$C$78,Settings!$C$80,Settings!$C$82,Settings!$C$84,Settings!$C$86)</f>
        <v/>
      </c>
      <c r="AP682" s="157">
        <f>CHOOSE(MATCH(IF($U682="","Основний",$U682),{"Трафіковий","Основний","Маржинальний","Сезонний","Стратегічний"},0),Settings!$D$78,Settings!$D$80,Settings!$D$82,Settings!$D$84,Settings!$D$86)</f>
        <v/>
      </c>
      <c r="AQ682" s="157">
        <f>CHOOSE(MATCH(IF($U682="","Основний",$U682),{"Трафіковий","Основний","Маржинальний","Сезонний","Стратегічний"},0),Settings!$F$78,Settings!$F$80,Settings!$F$82,Settings!$F$84,Settings!$F$86)</f>
        <v/>
      </c>
      <c r="AR682" s="157">
        <f>CHOOSE(MATCH(IF($U682="","Основний",$U682),{"Трафіковий","Основний","Маржинальний","Сезонний","Стратегічний"},0),Settings!$G$78,Settings!$G$80,Settings!$G$82,Settings!$G$84,Settings!$G$86)</f>
        <v/>
      </c>
      <c r="AS682" s="157">
        <f>CHOOSE(MATCH(IF($U682="","Основний",$U682),{"Трафіковий","Основний","Маржинальний","Сезонний","Стратегічний"},0),Settings!$H$78,Settings!$H$80,Settings!$H$82,Settings!$H$84,Settings!$H$86)</f>
        <v/>
      </c>
      <c r="AT682" s="157">
        <f>CHOOSE(MATCH(IF($U682="","Основний",$U682),{"Трафіковий","Основний","Маржинальний","Сезонний","Стратегічний"},0),Settings!$I$78,Settings!$I$80,Settings!$I$82,Settings!$I$84,Settings!$I$86)</f>
        <v/>
      </c>
      <c r="AU682" s="171" t="n"/>
      <c r="AV682" t="n">
        <v>1.3</v>
      </c>
    </row>
    <row r="683">
      <c r="A683" s="33" t="inlineStr">
        <is>
          <t>SELL OUT</t>
        </is>
      </c>
      <c r="B683" s="34" t="inlineStr">
        <is>
          <t>H5104</t>
        </is>
      </c>
      <c r="C683" s="34" t="inlineStr">
        <is>
          <t>GOSMART MODULE SWITCH 2CH L IP-2104SZ ZIGBEE</t>
        </is>
      </c>
      <c r="D683" s="34" t="inlineStr">
        <is>
          <t>Відеосистеми, та IP камери</t>
        </is>
      </c>
      <c r="E683" s="33" t="inlineStr">
        <is>
          <t>PC</t>
        </is>
      </c>
      <c r="F683" s="94" t="n">
        <v>9.734</v>
      </c>
      <c r="G683" s="35" t="n">
        <v>8536508000</v>
      </c>
      <c r="H683" s="31" t="n">
        <v>1.35</v>
      </c>
      <c r="I683" s="84">
        <f>IFERROR(F683*Settings!$B$2*H683*IF(AND(ISNUMBER(E683),E683&gt;1),E683,1),"")</f>
        <v/>
      </c>
      <c r="J683" s="32">
        <f>Settings!$B$66</f>
        <v/>
      </c>
      <c r="K683" s="95">
        <f>IFERROR(IF(T683="","",(T683*(1-AN683)*(1-Settings!$B$17)-I683)/(T683*(1-AN683)*(1-Settings!$B$17))),"")</f>
        <v/>
      </c>
      <c r="L683" s="101">
        <f>IFERROR(IF(T683="","",(T683*(1-AO683)*(1-Settings!$C$17)-I683)/(T683*(1-AO683)*(1-Settings!$C$17))),"")</f>
        <v/>
      </c>
      <c r="M683" s="101">
        <f>IFERROR(IF(T683="","",(T683*(1-AP683)*(1-Settings!$D$17)-I683)/(T683*(1-AP683)*(1-Settings!$D$17))),"")</f>
        <v/>
      </c>
      <c r="N683" s="101">
        <f>IFERROR(IF(T683="","",(T683*(1-AQ683)*(1-Settings!$F$17)-I683)/(T683*(1-AQ683)*(1-Settings!$F$17))),"")</f>
        <v/>
      </c>
      <c r="O683" s="101">
        <f>IFERROR(IF(T683="","",(T683*(1-AR683)*(1-Settings!$G$17)-I683)/(T683*(1-AR683)*(1-Settings!$G$17))),"")</f>
        <v/>
      </c>
      <c r="P683" s="101">
        <f>IFERROR(IF(T683="","",(T683*(1-AS683)*(1-Settings!$H$17)-I683)/(T683*(1-AS683)*(1-Settings!$H$17))),"")</f>
        <v/>
      </c>
      <c r="Q683" s="101">
        <f>IFERROR(IF(T683="","",(T683*(1-AT683)*(1-Settings!$I$68)*(1-Settings!$I$17)-I683)/(T683*(1-AT683)*(1-Settings!$I$68)*(1-Settings!$I$17))),"")</f>
        <v/>
      </c>
      <c r="R683" s="91">
        <f>IFERROR(IF(OR(I683="",Z683&gt;=1,Settings!$B$17&gt;=1,AN683&gt;=1),"",IF(MOD(ROUND(I683/(1-Z683)/(1-Settings!$B$17)/(1-AN683),0),10)=0,ROUND(I683/(1-Z683)/(1-Settings!$B$17)/(1-AN683),0)-1,IF(MOD(ROUND(I683/(1-Z683)/(1-Settings!$B$17)/(1-AN683),0),10)&lt;=5,FLOOR(ROUND(I683/(1-Z683)/(1-Settings!$B$17)/(1-AN683),0),10)+6,FLOOR(ROUND(I683/(1-Z683)/(1-Settings!$B$17)/(1-AN683),0),10)+9))),"")</f>
        <v/>
      </c>
      <c r="S683" s="174">
        <f>R683*0.95</f>
        <v/>
      </c>
      <c r="T683" s="91">
        <f>IF(S683&lt;&gt;"", IF(MOD(S683,10)=0,S683-1,IF(MOD(S683,10)&lt;=5,FLOOR(S683,10)+6,FLOOR(S683,10)+9)), R683)</f>
        <v/>
      </c>
      <c r="U683" s="87" t="inlineStr">
        <is>
          <t>Основний</t>
        </is>
      </c>
      <c r="V683" s="88" t="n"/>
      <c r="W683" s="88" t="n"/>
      <c r="X683" s="89">
        <f>IFERROR(IF(OR(V683="",W683="",T683=""),"", IF(T683&gt;W683,"Дорогий",IF(T683&lt;V683,"Дешевий","У ринку"))),"")</f>
        <v/>
      </c>
      <c r="Y683" s="90" t="n"/>
      <c r="Z683" s="104">
        <f>CHOOSE(MATCH(IF($U683="","Основний",$U683),{"Трафіковий","Основний","Маржинальний","Сезонний","Стратегічний"},0),0.16,0.19,0.24,0.23,0.28)</f>
        <v/>
      </c>
      <c r="AA683" s="104">
        <f>CHOOSE(MATCH(IF($U683="","Основний",$U683),{"Трафіковий","Основний","Маржинальний","Сезонний","Стратегічний"},0),0.18,0.21,0.26,0.25,0.3)</f>
        <v/>
      </c>
      <c r="AB683" s="104">
        <f>CHOOSE(MATCH(IF($U683="","Основний",$U683),{"Трафіковий","Основний","Маржинальний","Сезонний","Стратегічний"},0),0.19,0.22,0.28,0.26,0.32)</f>
        <v/>
      </c>
      <c r="AC683" s="104">
        <f>CHOOSE(MATCH(IF($U683="","Основний",$U683),{"Трафіковий","Основний","Маржинальний","Сезонний","Стратегічний"},0),0.17,0.2,0.25,0.24,0.28)</f>
        <v/>
      </c>
      <c r="AD683" s="104">
        <f>CHOOSE(MATCH(IF($U683="","Основний",$U683),{"Трафіковий","Основний","Маржинальний","Сезонний","Стратегічний"},0),0.18,0.21,0.26,0.25,0.3)</f>
        <v/>
      </c>
      <c r="AE683" s="104">
        <f>CHOOSE(MATCH(IF($U683="","Основний",$U683),{"Трафіковий","Основний","Маржинальний","Сезонний","Стратегічний"},0),0.18,0.2,0.28,0.27,0.32)</f>
        <v/>
      </c>
      <c r="AF683" s="104">
        <f>CHOOSE(MATCH(IF($U683="","Основний",$U683),{"Трафіковий","Основний","Маржинальний","Сезонний","Стратегічний"},0),0.15,0.175,0.22,0.21,0.25)</f>
        <v/>
      </c>
      <c r="AG683" s="104">
        <f>CHOOSE(MATCH(IF($U683="","Основний",$U683),{"Трафіковий","Основний","Маржинальний","Сезонний","Стратегічний"},0),0.13,0.16,0.21,0.2,0.25)</f>
        <v/>
      </c>
      <c r="AH683" s="104">
        <f>CHOOSE(MATCH(IF($U683="","Основний",$U683),{"Трафіковий","Основний","Маржинальний","Сезонний","Стратегічний"},0),0.15,0.18,0.23,0.22,0.27)</f>
        <v/>
      </c>
      <c r="AI683" s="104">
        <f>CHOOSE(MATCH(IF($U683="","Основний",$U683),{"Трафіковий","Основний","Маржинальний","Сезонний","Стратегічний"},0),0.16,0.19,0.25,0.23,0.29)</f>
        <v/>
      </c>
      <c r="AJ683" s="104">
        <f>CHOOSE(MATCH(IF($U683="","Основний",$U683),{"Трафіковий","Основний","Маржинальний","Сезонний","Стратегічний"},0),0.14,0.17,0.22,0.21,0.25)</f>
        <v/>
      </c>
      <c r="AK683" s="104">
        <f>CHOOSE(MATCH(IF($U683="","Основний",$U683),{"Трафіковий","Основний","Маржинальний","Сезонний","Стратегічний"},0),0.15,0.18,0.23,0.22,0.27)</f>
        <v/>
      </c>
      <c r="AL683" s="104">
        <f>CHOOSE(MATCH(IF($U683="","Основний",$U683),{"Трафіковий","Основний","Маржинальний","Сезонний","Стратегічний"},0),0.15,0.17,0.25,0.24,0.29)</f>
        <v/>
      </c>
      <c r="AM683" s="104">
        <f>CHOOSE(MATCH(IF($U683="","Основний",$U683),{"Трафіковий","Основний","Маржинальний","Сезонний","Стратегічний"},0),0.12,0.145,0.19,0.18,0.22)</f>
        <v/>
      </c>
      <c r="AN683" s="157">
        <f>CHOOSE(MATCH(IF($U683="","Основний",$U683),{"Трафіковий","Основний","Маржинальний","Сезонний","Стратегічний"},0),Settings!$B$78,Settings!$B$80,Settings!$B$82,Settings!$B$84,Settings!$B$86)</f>
        <v/>
      </c>
      <c r="AO683" s="157">
        <f>CHOOSE(MATCH(IF($U683="","Основний",$U683),{"Трафіковий","Основний","Маржинальний","Сезонний","Стратегічний"},0),Settings!$C$78,Settings!$C$80,Settings!$C$82,Settings!$C$84,Settings!$C$86)</f>
        <v/>
      </c>
      <c r="AP683" s="157">
        <f>CHOOSE(MATCH(IF($U683="","Основний",$U683),{"Трафіковий","Основний","Маржинальний","Сезонний","Стратегічний"},0),Settings!$D$78,Settings!$D$80,Settings!$D$82,Settings!$D$84,Settings!$D$86)</f>
        <v/>
      </c>
      <c r="AQ683" s="157">
        <f>CHOOSE(MATCH(IF($U683="","Основний",$U683),{"Трафіковий","Основний","Маржинальний","Сезонний","Стратегічний"},0),Settings!$F$78,Settings!$F$80,Settings!$F$82,Settings!$F$84,Settings!$F$86)</f>
        <v/>
      </c>
      <c r="AR683" s="157">
        <f>CHOOSE(MATCH(IF($U683="","Основний",$U683),{"Трафіковий","Основний","Маржинальний","Сезонний","Стратегічний"},0),Settings!$G$78,Settings!$G$80,Settings!$G$82,Settings!$G$84,Settings!$G$86)</f>
        <v/>
      </c>
      <c r="AS683" s="157">
        <f>CHOOSE(MATCH(IF($U683="","Основний",$U683),{"Трафіковий","Основний","Маржинальний","Сезонний","Стратегічний"},0),Settings!$H$78,Settings!$H$80,Settings!$H$82,Settings!$H$84,Settings!$H$86)</f>
        <v/>
      </c>
      <c r="AT683" s="157">
        <f>CHOOSE(MATCH(IF($U683="","Основний",$U683),{"Трафіковий","Основний","Маржинальний","Сезонний","Стратегічний"},0),Settings!$I$78,Settings!$I$80,Settings!$I$82,Settings!$I$84,Settings!$I$86)</f>
        <v/>
      </c>
      <c r="AU683" s="171" t="n"/>
      <c r="AV683" t="n">
        <v>1.3</v>
      </c>
    </row>
    <row r="684">
      <c r="A684" s="28" t="inlineStr">
        <is>
          <t>SELL OUT</t>
        </is>
      </c>
      <c r="B684" s="29" t="inlineStr">
        <is>
          <t>H5107</t>
        </is>
      </c>
      <c r="C684" s="29" t="inlineStr">
        <is>
          <t>GOSMART MODULE DIMMER 1CH LN IP-2111DZ ZIGBEE</t>
        </is>
      </c>
      <c r="D684" s="29" t="inlineStr">
        <is>
          <t>Відеосистеми, та IP камери</t>
        </is>
      </c>
      <c r="E684" s="28" t="inlineStr">
        <is>
          <t>PC</t>
        </is>
      </c>
      <c r="F684" s="93" t="n">
        <v>10.29</v>
      </c>
      <c r="G684" s="30" t="n">
        <v>8536508000</v>
      </c>
      <c r="H684" s="31" t="n">
        <v>1.35</v>
      </c>
      <c r="I684" s="84">
        <f>IFERROR(F684*Settings!$B$2*H684*IF(AND(ISNUMBER(E684),E684&gt;1),E684,1),"")</f>
        <v/>
      </c>
      <c r="J684" s="32">
        <f>Settings!$B$66</f>
        <v/>
      </c>
      <c r="K684" s="95">
        <f>IFERROR(IF(T684="","",(T684*(1-AN684)*(1-Settings!$B$17)-I684)/(T684*(1-AN684)*(1-Settings!$B$17))),"")</f>
        <v/>
      </c>
      <c r="L684" s="101">
        <f>IFERROR(IF(T684="","",(T684*(1-AO684)*(1-Settings!$C$17)-I684)/(T684*(1-AO684)*(1-Settings!$C$17))),"")</f>
        <v/>
      </c>
      <c r="M684" s="101">
        <f>IFERROR(IF(T684="","",(T684*(1-AP684)*(1-Settings!$D$17)-I684)/(T684*(1-AP684)*(1-Settings!$D$17))),"")</f>
        <v/>
      </c>
      <c r="N684" s="101">
        <f>IFERROR(IF(T684="","",(T684*(1-AQ684)*(1-Settings!$F$17)-I684)/(T684*(1-AQ684)*(1-Settings!$F$17))),"")</f>
        <v/>
      </c>
      <c r="O684" s="101">
        <f>IFERROR(IF(T684="","",(T684*(1-AR684)*(1-Settings!$G$17)-I684)/(T684*(1-AR684)*(1-Settings!$G$17))),"")</f>
        <v/>
      </c>
      <c r="P684" s="101">
        <f>IFERROR(IF(T684="","",(T684*(1-AS684)*(1-Settings!$H$17)-I684)/(T684*(1-AS684)*(1-Settings!$H$17))),"")</f>
        <v/>
      </c>
      <c r="Q684" s="101">
        <f>IFERROR(IF(T684="","",(T684*(1-AT684)*(1-Settings!$I$68)*(1-Settings!$I$17)-I684)/(T684*(1-AT684)*(1-Settings!$I$68)*(1-Settings!$I$17))),"")</f>
        <v/>
      </c>
      <c r="R684" s="91">
        <f>IFERROR(IF(OR(I684="",Z684&gt;=1,Settings!$B$17&gt;=1,AN684&gt;=1),"",IF(MOD(ROUND(I684/(1-Z684)/(1-Settings!$B$17)/(1-AN684),0),10)=0,ROUND(I684/(1-Z684)/(1-Settings!$B$17)/(1-AN684),0)-1,IF(MOD(ROUND(I684/(1-Z684)/(1-Settings!$B$17)/(1-AN684),0),10)&lt;=5,FLOOR(ROUND(I684/(1-Z684)/(1-Settings!$B$17)/(1-AN684),0),10)+6,FLOOR(ROUND(I684/(1-Z684)/(1-Settings!$B$17)/(1-AN684),0),10)+9))),"")</f>
        <v/>
      </c>
      <c r="S684" s="174">
        <f>R684*0.95</f>
        <v/>
      </c>
      <c r="T684" s="91">
        <f>IF(S684&lt;&gt;"", IF(MOD(S684,10)=0,S684-1,IF(MOD(S684,10)&lt;=5,FLOOR(S684,10)+6,FLOOR(S684,10)+9)), R684)</f>
        <v/>
      </c>
      <c r="U684" s="87" t="inlineStr">
        <is>
          <t>Основний</t>
        </is>
      </c>
      <c r="V684" s="88" t="n"/>
      <c r="W684" s="88" t="n"/>
      <c r="X684" s="89">
        <f>IFERROR(IF(OR(V684="",W684="",T684=""),"", IF(T684&gt;W684,"Дорогий",IF(T684&lt;V684,"Дешевий","У ринку"))),"")</f>
        <v/>
      </c>
      <c r="Y684" s="90" t="n"/>
      <c r="Z684" s="104">
        <f>CHOOSE(MATCH(IF($U684="","Основний",$U684),{"Трафіковий","Основний","Маржинальний","Сезонний","Стратегічний"},0),0.16,0.19,0.24,0.23,0.28)</f>
        <v/>
      </c>
      <c r="AA684" s="104">
        <f>CHOOSE(MATCH(IF($U684="","Основний",$U684),{"Трафіковий","Основний","Маржинальний","Сезонний","Стратегічний"},0),0.18,0.21,0.26,0.25,0.3)</f>
        <v/>
      </c>
      <c r="AB684" s="104">
        <f>CHOOSE(MATCH(IF($U684="","Основний",$U684),{"Трафіковий","Основний","Маржинальний","Сезонний","Стратегічний"},0),0.19,0.22,0.28,0.26,0.32)</f>
        <v/>
      </c>
      <c r="AC684" s="104">
        <f>CHOOSE(MATCH(IF($U684="","Основний",$U684),{"Трафіковий","Основний","Маржинальний","Сезонний","Стратегічний"},0),0.17,0.2,0.25,0.24,0.28)</f>
        <v/>
      </c>
      <c r="AD684" s="104">
        <f>CHOOSE(MATCH(IF($U684="","Основний",$U684),{"Трафіковий","Основний","Маржинальний","Сезонний","Стратегічний"},0),0.18,0.21,0.26,0.25,0.3)</f>
        <v/>
      </c>
      <c r="AE684" s="104">
        <f>CHOOSE(MATCH(IF($U684="","Основний",$U684),{"Трафіковий","Основний","Маржинальний","Сезонний","Стратегічний"},0),0.18,0.2,0.28,0.27,0.32)</f>
        <v/>
      </c>
      <c r="AF684" s="104">
        <f>CHOOSE(MATCH(IF($U684="","Основний",$U684),{"Трафіковий","Основний","Маржинальний","Сезонний","Стратегічний"},0),0.15,0.175,0.22,0.21,0.25)</f>
        <v/>
      </c>
      <c r="AG684" s="104">
        <f>CHOOSE(MATCH(IF($U684="","Основний",$U684),{"Трафіковий","Основний","Маржинальний","Сезонний","Стратегічний"},0),0.13,0.16,0.21,0.2,0.25)</f>
        <v/>
      </c>
      <c r="AH684" s="104">
        <f>CHOOSE(MATCH(IF($U684="","Основний",$U684),{"Трафіковий","Основний","Маржинальний","Сезонний","Стратегічний"},0),0.15,0.18,0.23,0.22,0.27)</f>
        <v/>
      </c>
      <c r="AI684" s="104">
        <f>CHOOSE(MATCH(IF($U684="","Основний",$U684),{"Трафіковий","Основний","Маржинальний","Сезонний","Стратегічний"},0),0.16,0.19,0.25,0.23,0.29)</f>
        <v/>
      </c>
      <c r="AJ684" s="104">
        <f>CHOOSE(MATCH(IF($U684="","Основний",$U684),{"Трафіковий","Основний","Маржинальний","Сезонний","Стратегічний"},0),0.14,0.17,0.22,0.21,0.25)</f>
        <v/>
      </c>
      <c r="AK684" s="104">
        <f>CHOOSE(MATCH(IF($U684="","Основний",$U684),{"Трафіковий","Основний","Маржинальний","Сезонний","Стратегічний"},0),0.15,0.18,0.23,0.22,0.27)</f>
        <v/>
      </c>
      <c r="AL684" s="104">
        <f>CHOOSE(MATCH(IF($U684="","Основний",$U684),{"Трафіковий","Основний","Маржинальний","Сезонний","Стратегічний"},0),0.15,0.17,0.25,0.24,0.29)</f>
        <v/>
      </c>
      <c r="AM684" s="104">
        <f>CHOOSE(MATCH(IF($U684="","Основний",$U684),{"Трафіковий","Основний","Маржинальний","Сезонний","Стратегічний"},0),0.12,0.145,0.19,0.18,0.22)</f>
        <v/>
      </c>
      <c r="AN684" s="157">
        <f>CHOOSE(MATCH(IF($U684="","Основний",$U684),{"Трафіковий","Основний","Маржинальний","Сезонний","Стратегічний"},0),Settings!$B$78,Settings!$B$80,Settings!$B$82,Settings!$B$84,Settings!$B$86)</f>
        <v/>
      </c>
      <c r="AO684" s="157">
        <f>CHOOSE(MATCH(IF($U684="","Основний",$U684),{"Трафіковий","Основний","Маржинальний","Сезонний","Стратегічний"},0),Settings!$C$78,Settings!$C$80,Settings!$C$82,Settings!$C$84,Settings!$C$86)</f>
        <v/>
      </c>
      <c r="AP684" s="157">
        <f>CHOOSE(MATCH(IF($U684="","Основний",$U684),{"Трафіковий","Основний","Маржинальний","Сезонний","Стратегічний"},0),Settings!$D$78,Settings!$D$80,Settings!$D$82,Settings!$D$84,Settings!$D$86)</f>
        <v/>
      </c>
      <c r="AQ684" s="157">
        <f>CHOOSE(MATCH(IF($U684="","Основний",$U684),{"Трафіковий","Основний","Маржинальний","Сезонний","Стратегічний"},0),Settings!$F$78,Settings!$F$80,Settings!$F$82,Settings!$F$84,Settings!$F$86)</f>
        <v/>
      </c>
      <c r="AR684" s="157">
        <f>CHOOSE(MATCH(IF($U684="","Основний",$U684),{"Трафіковий","Основний","Маржинальний","Сезонний","Стратегічний"},0),Settings!$G$78,Settings!$G$80,Settings!$G$82,Settings!$G$84,Settings!$G$86)</f>
        <v/>
      </c>
      <c r="AS684" s="157">
        <f>CHOOSE(MATCH(IF($U684="","Основний",$U684),{"Трафіковий","Основний","Маржинальний","Сезонний","Стратегічний"},0),Settings!$H$78,Settings!$H$80,Settings!$H$82,Settings!$H$84,Settings!$H$86)</f>
        <v/>
      </c>
      <c r="AT684" s="157">
        <f>CHOOSE(MATCH(IF($U684="","Основний",$U684),{"Трафіковий","Основний","Маржинальний","Сезонний","Стратегічний"},0),Settings!$I$78,Settings!$I$80,Settings!$I$82,Settings!$I$84,Settings!$I$86)</f>
        <v/>
      </c>
      <c r="AU684" s="171" t="n"/>
      <c r="AV684" t="n">
        <v>1.3</v>
      </c>
    </row>
    <row r="685">
      <c r="A685" s="33" t="inlineStr">
        <is>
          <t>SELL OUT</t>
        </is>
      </c>
      <c r="B685" s="34" t="inlineStr">
        <is>
          <t>H5108</t>
        </is>
      </c>
      <c r="C685" s="34" t="inlineStr">
        <is>
          <t>GOSMART MODULE DIMMER 2CH LN IP-2112DZ ZIGBEE</t>
        </is>
      </c>
      <c r="D685" s="34" t="inlineStr">
        <is>
          <t>Відеосистеми, та IP камери</t>
        </is>
      </c>
      <c r="E685" s="33" t="inlineStr">
        <is>
          <t>PC</t>
        </is>
      </c>
      <c r="F685" s="94" t="n">
        <v>13.766</v>
      </c>
      <c r="G685" s="35" t="n">
        <v>8536508000</v>
      </c>
      <c r="H685" s="31" t="n">
        <v>1.35</v>
      </c>
      <c r="I685" s="84">
        <f>IFERROR(F685*Settings!$B$2*H685*IF(AND(ISNUMBER(E685),E685&gt;1),E685,1),"")</f>
        <v/>
      </c>
      <c r="J685" s="32">
        <f>Settings!$B$66</f>
        <v/>
      </c>
      <c r="K685" s="95">
        <f>IFERROR(IF(T685="","",(T685*(1-AN685)*(1-Settings!$B$17)-I685)/(T685*(1-AN685)*(1-Settings!$B$17))),"")</f>
        <v/>
      </c>
      <c r="L685" s="101">
        <f>IFERROR(IF(T685="","",(T685*(1-AO685)*(1-Settings!$C$17)-I685)/(T685*(1-AO685)*(1-Settings!$C$17))),"")</f>
        <v/>
      </c>
      <c r="M685" s="101">
        <f>IFERROR(IF(T685="","",(T685*(1-AP685)*(1-Settings!$D$17)-I685)/(T685*(1-AP685)*(1-Settings!$D$17))),"")</f>
        <v/>
      </c>
      <c r="N685" s="101">
        <f>IFERROR(IF(T685="","",(T685*(1-AQ685)*(1-Settings!$F$17)-I685)/(T685*(1-AQ685)*(1-Settings!$F$17))),"")</f>
        <v/>
      </c>
      <c r="O685" s="101">
        <f>IFERROR(IF(T685="","",(T685*(1-AR685)*(1-Settings!$G$17)-I685)/(T685*(1-AR685)*(1-Settings!$G$17))),"")</f>
        <v/>
      </c>
      <c r="P685" s="101">
        <f>IFERROR(IF(T685="","",(T685*(1-AS685)*(1-Settings!$H$17)-I685)/(T685*(1-AS685)*(1-Settings!$H$17))),"")</f>
        <v/>
      </c>
      <c r="Q685" s="101">
        <f>IFERROR(IF(T685="","",(T685*(1-AT685)*(1-Settings!$I$68)*(1-Settings!$I$17)-I685)/(T685*(1-AT685)*(1-Settings!$I$68)*(1-Settings!$I$17))),"")</f>
        <v/>
      </c>
      <c r="R685" s="91">
        <f>IFERROR(IF(OR(I685="",Z685&gt;=1,Settings!$B$17&gt;=1,AN685&gt;=1),"",IF(MOD(ROUND(I685/(1-Z685)/(1-Settings!$B$17)/(1-AN685),0),10)=0,ROUND(I685/(1-Z685)/(1-Settings!$B$17)/(1-AN685),0)-1,IF(MOD(ROUND(I685/(1-Z685)/(1-Settings!$B$17)/(1-AN685),0),10)&lt;=5,FLOOR(ROUND(I685/(1-Z685)/(1-Settings!$B$17)/(1-AN685),0),10)+6,FLOOR(ROUND(I685/(1-Z685)/(1-Settings!$B$17)/(1-AN685),0),10)+9))),"")</f>
        <v/>
      </c>
      <c r="S685" s="174">
        <f>R685*0.95</f>
        <v/>
      </c>
      <c r="T685" s="91">
        <f>IF(S685&lt;&gt;"", IF(MOD(S685,10)=0,S685-1,IF(MOD(S685,10)&lt;=5,FLOOR(S685,10)+6,FLOOR(S685,10)+9)), R685)</f>
        <v/>
      </c>
      <c r="U685" s="87" t="inlineStr">
        <is>
          <t>Основний</t>
        </is>
      </c>
      <c r="V685" s="88" t="n"/>
      <c r="W685" s="88" t="n"/>
      <c r="X685" s="89">
        <f>IFERROR(IF(OR(V685="",W685="",T685=""),"", IF(T685&gt;W685,"Дорогий",IF(T685&lt;V685,"Дешевий","У ринку"))),"")</f>
        <v/>
      </c>
      <c r="Y685" s="90" t="n"/>
      <c r="Z685" s="104">
        <f>CHOOSE(MATCH(IF($U685="","Основний",$U685),{"Трафіковий","Основний","Маржинальний","Сезонний","Стратегічний"},0),0.16,0.19,0.24,0.23,0.28)</f>
        <v/>
      </c>
      <c r="AA685" s="104">
        <f>CHOOSE(MATCH(IF($U685="","Основний",$U685),{"Трафіковий","Основний","Маржинальний","Сезонний","Стратегічний"},0),0.18,0.21,0.26,0.25,0.3)</f>
        <v/>
      </c>
      <c r="AB685" s="104">
        <f>CHOOSE(MATCH(IF($U685="","Основний",$U685),{"Трафіковий","Основний","Маржинальний","Сезонний","Стратегічний"},0),0.19,0.22,0.28,0.26,0.32)</f>
        <v/>
      </c>
      <c r="AC685" s="104">
        <f>CHOOSE(MATCH(IF($U685="","Основний",$U685),{"Трафіковий","Основний","Маржинальний","Сезонний","Стратегічний"},0),0.17,0.2,0.25,0.24,0.28)</f>
        <v/>
      </c>
      <c r="AD685" s="104">
        <f>CHOOSE(MATCH(IF($U685="","Основний",$U685),{"Трафіковий","Основний","Маржинальний","Сезонний","Стратегічний"},0),0.18,0.21,0.26,0.25,0.3)</f>
        <v/>
      </c>
      <c r="AE685" s="104">
        <f>CHOOSE(MATCH(IF($U685="","Основний",$U685),{"Трафіковий","Основний","Маржинальний","Сезонний","Стратегічний"},0),0.18,0.2,0.28,0.27,0.32)</f>
        <v/>
      </c>
      <c r="AF685" s="104">
        <f>CHOOSE(MATCH(IF($U685="","Основний",$U685),{"Трафіковий","Основний","Маржинальний","Сезонний","Стратегічний"},0),0.15,0.175,0.22,0.21,0.25)</f>
        <v/>
      </c>
      <c r="AG685" s="104">
        <f>CHOOSE(MATCH(IF($U685="","Основний",$U685),{"Трафіковий","Основний","Маржинальний","Сезонний","Стратегічний"},0),0.13,0.16,0.21,0.2,0.25)</f>
        <v/>
      </c>
      <c r="AH685" s="104">
        <f>CHOOSE(MATCH(IF($U685="","Основний",$U685),{"Трафіковий","Основний","Маржинальний","Сезонний","Стратегічний"},0),0.15,0.18,0.23,0.22,0.27)</f>
        <v/>
      </c>
      <c r="AI685" s="104">
        <f>CHOOSE(MATCH(IF($U685="","Основний",$U685),{"Трафіковий","Основний","Маржинальний","Сезонний","Стратегічний"},0),0.16,0.19,0.25,0.23,0.29)</f>
        <v/>
      </c>
      <c r="AJ685" s="104">
        <f>CHOOSE(MATCH(IF($U685="","Основний",$U685),{"Трафіковий","Основний","Маржинальний","Сезонний","Стратегічний"},0),0.14,0.17,0.22,0.21,0.25)</f>
        <v/>
      </c>
      <c r="AK685" s="104">
        <f>CHOOSE(MATCH(IF($U685="","Основний",$U685),{"Трафіковий","Основний","Маржинальний","Сезонний","Стратегічний"},0),0.15,0.18,0.23,0.22,0.27)</f>
        <v/>
      </c>
      <c r="AL685" s="104">
        <f>CHOOSE(MATCH(IF($U685="","Основний",$U685),{"Трафіковий","Основний","Маржинальний","Сезонний","Стратегічний"},0),0.15,0.17,0.25,0.24,0.29)</f>
        <v/>
      </c>
      <c r="AM685" s="104">
        <f>CHOOSE(MATCH(IF($U685="","Основний",$U685),{"Трафіковий","Основний","Маржинальний","Сезонний","Стратегічний"},0),0.12,0.145,0.19,0.18,0.22)</f>
        <v/>
      </c>
      <c r="AN685" s="157">
        <f>CHOOSE(MATCH(IF($U685="","Основний",$U685),{"Трафіковий","Основний","Маржинальний","Сезонний","Стратегічний"},0),Settings!$B$78,Settings!$B$80,Settings!$B$82,Settings!$B$84,Settings!$B$86)</f>
        <v/>
      </c>
      <c r="AO685" s="157">
        <f>CHOOSE(MATCH(IF($U685="","Основний",$U685),{"Трафіковий","Основний","Маржинальний","Сезонний","Стратегічний"},0),Settings!$C$78,Settings!$C$80,Settings!$C$82,Settings!$C$84,Settings!$C$86)</f>
        <v/>
      </c>
      <c r="AP685" s="157">
        <f>CHOOSE(MATCH(IF($U685="","Основний",$U685),{"Трафіковий","Основний","Маржинальний","Сезонний","Стратегічний"},0),Settings!$D$78,Settings!$D$80,Settings!$D$82,Settings!$D$84,Settings!$D$86)</f>
        <v/>
      </c>
      <c r="AQ685" s="157">
        <f>CHOOSE(MATCH(IF($U685="","Основний",$U685),{"Трафіковий","Основний","Маржинальний","Сезонний","Стратегічний"},0),Settings!$F$78,Settings!$F$80,Settings!$F$82,Settings!$F$84,Settings!$F$86)</f>
        <v/>
      </c>
      <c r="AR685" s="157">
        <f>CHOOSE(MATCH(IF($U685="","Основний",$U685),{"Трафіковий","Основний","Маржинальний","Сезонний","Стратегічний"},0),Settings!$G$78,Settings!$G$80,Settings!$G$82,Settings!$G$84,Settings!$G$86)</f>
        <v/>
      </c>
      <c r="AS685" s="157">
        <f>CHOOSE(MATCH(IF($U685="","Основний",$U685),{"Трафіковий","Основний","Маржинальний","Сезонний","Стратегічний"},0),Settings!$H$78,Settings!$H$80,Settings!$H$82,Settings!$H$84,Settings!$H$86)</f>
        <v/>
      </c>
      <c r="AT685" s="157">
        <f>CHOOSE(MATCH(IF($U685="","Основний",$U685),{"Трафіковий","Основний","Маржинальний","Сезонний","Стратегічний"},0),Settings!$I$78,Settings!$I$80,Settings!$I$82,Settings!$I$84,Settings!$I$86)</f>
        <v/>
      </c>
      <c r="AU685" s="171" t="n"/>
      <c r="AV685" t="n">
        <v>1.3</v>
      </c>
    </row>
    <row r="686">
      <c r="A686" s="28" t="inlineStr">
        <is>
          <t>SELL OUT</t>
        </is>
      </c>
      <c r="B686" s="29" t="inlineStr">
        <is>
          <t>H5109</t>
        </is>
      </c>
      <c r="C686" s="29" t="inlineStr">
        <is>
          <t>GOSMART MODULE CURTAIN 1B LN IP-2121CZ ZIGBEE</t>
        </is>
      </c>
      <c r="D686" s="29" t="inlineStr">
        <is>
          <t>Відеосистеми, та IP камери</t>
        </is>
      </c>
      <c r="E686" s="28" t="inlineStr">
        <is>
          <t>PC</t>
        </is>
      </c>
      <c r="F686" s="93" t="n">
        <v>10.29</v>
      </c>
      <c r="G686" s="30" t="n">
        <v>8536508000</v>
      </c>
      <c r="H686" s="31" t="n">
        <v>1.35</v>
      </c>
      <c r="I686" s="84">
        <f>IFERROR(F686*Settings!$B$2*H686*IF(AND(ISNUMBER(E686),E686&gt;1),E686,1),"")</f>
        <v/>
      </c>
      <c r="J686" s="32">
        <f>Settings!$B$66</f>
        <v/>
      </c>
      <c r="K686" s="95">
        <f>IFERROR(IF(T686="","",(T686*(1-AN686)*(1-Settings!$B$17)-I686)/(T686*(1-AN686)*(1-Settings!$B$17))),"")</f>
        <v/>
      </c>
      <c r="L686" s="101">
        <f>IFERROR(IF(T686="","",(T686*(1-AO686)*(1-Settings!$C$17)-I686)/(T686*(1-AO686)*(1-Settings!$C$17))),"")</f>
        <v/>
      </c>
      <c r="M686" s="101">
        <f>IFERROR(IF(T686="","",(T686*(1-AP686)*(1-Settings!$D$17)-I686)/(T686*(1-AP686)*(1-Settings!$D$17))),"")</f>
        <v/>
      </c>
      <c r="N686" s="101">
        <f>IFERROR(IF(T686="","",(T686*(1-AQ686)*(1-Settings!$F$17)-I686)/(T686*(1-AQ686)*(1-Settings!$F$17))),"")</f>
        <v/>
      </c>
      <c r="O686" s="101">
        <f>IFERROR(IF(T686="","",(T686*(1-AR686)*(1-Settings!$G$17)-I686)/(T686*(1-AR686)*(1-Settings!$G$17))),"")</f>
        <v/>
      </c>
      <c r="P686" s="101">
        <f>IFERROR(IF(T686="","",(T686*(1-AS686)*(1-Settings!$H$17)-I686)/(T686*(1-AS686)*(1-Settings!$H$17))),"")</f>
        <v/>
      </c>
      <c r="Q686" s="101">
        <f>IFERROR(IF(T686="","",(T686*(1-AT686)*(1-Settings!$I$68)*(1-Settings!$I$17)-I686)/(T686*(1-AT686)*(1-Settings!$I$68)*(1-Settings!$I$17))),"")</f>
        <v/>
      </c>
      <c r="R686" s="91">
        <f>IFERROR(IF(OR(I686="",Z686&gt;=1,Settings!$B$17&gt;=1,AN686&gt;=1),"",IF(MOD(ROUND(I686/(1-Z686)/(1-Settings!$B$17)/(1-AN686),0),10)=0,ROUND(I686/(1-Z686)/(1-Settings!$B$17)/(1-AN686),0)-1,IF(MOD(ROUND(I686/(1-Z686)/(1-Settings!$B$17)/(1-AN686),0),10)&lt;=5,FLOOR(ROUND(I686/(1-Z686)/(1-Settings!$B$17)/(1-AN686),0),10)+6,FLOOR(ROUND(I686/(1-Z686)/(1-Settings!$B$17)/(1-AN686),0),10)+9))),"")</f>
        <v/>
      </c>
      <c r="S686" s="174">
        <f>R686*0.95</f>
        <v/>
      </c>
      <c r="T686" s="91">
        <f>IF(S686&lt;&gt;"", IF(MOD(S686,10)=0,S686-1,IF(MOD(S686,10)&lt;=5,FLOOR(S686,10)+6,FLOOR(S686,10)+9)), R686)</f>
        <v/>
      </c>
      <c r="U686" s="87" t="inlineStr">
        <is>
          <t>Основний</t>
        </is>
      </c>
      <c r="V686" s="88" t="n"/>
      <c r="W686" s="88" t="n"/>
      <c r="X686" s="89">
        <f>IFERROR(IF(OR(V686="",W686="",T686=""),"", IF(T686&gt;W686,"Дорогий",IF(T686&lt;V686,"Дешевий","У ринку"))),"")</f>
        <v/>
      </c>
      <c r="Y686" s="90" t="n"/>
      <c r="Z686" s="104">
        <f>CHOOSE(MATCH(IF($U686="","Основний",$U686),{"Трафіковий","Основний","Маржинальний","Сезонний","Стратегічний"},0),0.16,0.19,0.24,0.23,0.28)</f>
        <v/>
      </c>
      <c r="AA686" s="104">
        <f>CHOOSE(MATCH(IF($U686="","Основний",$U686),{"Трафіковий","Основний","Маржинальний","Сезонний","Стратегічний"},0),0.18,0.21,0.26,0.25,0.3)</f>
        <v/>
      </c>
      <c r="AB686" s="104">
        <f>CHOOSE(MATCH(IF($U686="","Основний",$U686),{"Трафіковий","Основний","Маржинальний","Сезонний","Стратегічний"},0),0.19,0.22,0.28,0.26,0.32)</f>
        <v/>
      </c>
      <c r="AC686" s="104">
        <f>CHOOSE(MATCH(IF($U686="","Основний",$U686),{"Трафіковий","Основний","Маржинальний","Сезонний","Стратегічний"},0),0.17,0.2,0.25,0.24,0.28)</f>
        <v/>
      </c>
      <c r="AD686" s="104">
        <f>CHOOSE(MATCH(IF($U686="","Основний",$U686),{"Трафіковий","Основний","Маржинальний","Сезонний","Стратегічний"},0),0.18,0.21,0.26,0.25,0.3)</f>
        <v/>
      </c>
      <c r="AE686" s="104">
        <f>CHOOSE(MATCH(IF($U686="","Основний",$U686),{"Трафіковий","Основний","Маржинальний","Сезонний","Стратегічний"},0),0.18,0.2,0.28,0.27,0.32)</f>
        <v/>
      </c>
      <c r="AF686" s="104">
        <f>CHOOSE(MATCH(IF($U686="","Основний",$U686),{"Трафіковий","Основний","Маржинальний","Сезонний","Стратегічний"},0),0.15,0.175,0.22,0.21,0.25)</f>
        <v/>
      </c>
      <c r="AG686" s="104">
        <f>CHOOSE(MATCH(IF($U686="","Основний",$U686),{"Трафіковий","Основний","Маржинальний","Сезонний","Стратегічний"},0),0.13,0.16,0.21,0.2,0.25)</f>
        <v/>
      </c>
      <c r="AH686" s="104">
        <f>CHOOSE(MATCH(IF($U686="","Основний",$U686),{"Трафіковий","Основний","Маржинальний","Сезонний","Стратегічний"},0),0.15,0.18,0.23,0.22,0.27)</f>
        <v/>
      </c>
      <c r="AI686" s="104">
        <f>CHOOSE(MATCH(IF($U686="","Основний",$U686),{"Трафіковий","Основний","Маржинальний","Сезонний","Стратегічний"},0),0.16,0.19,0.25,0.23,0.29)</f>
        <v/>
      </c>
      <c r="AJ686" s="104">
        <f>CHOOSE(MATCH(IF($U686="","Основний",$U686),{"Трафіковий","Основний","Маржинальний","Сезонний","Стратегічний"},0),0.14,0.17,0.22,0.21,0.25)</f>
        <v/>
      </c>
      <c r="AK686" s="104">
        <f>CHOOSE(MATCH(IF($U686="","Основний",$U686),{"Трафіковий","Основний","Маржинальний","Сезонний","Стратегічний"},0),0.15,0.18,0.23,0.22,0.27)</f>
        <v/>
      </c>
      <c r="AL686" s="104">
        <f>CHOOSE(MATCH(IF($U686="","Основний",$U686),{"Трафіковий","Основний","Маржинальний","Сезонний","Стратегічний"},0),0.15,0.17,0.25,0.24,0.29)</f>
        <v/>
      </c>
      <c r="AM686" s="104">
        <f>CHOOSE(MATCH(IF($U686="","Основний",$U686),{"Трафіковий","Основний","Маржинальний","Сезонний","Стратегічний"},0),0.12,0.145,0.19,0.18,0.22)</f>
        <v/>
      </c>
      <c r="AN686" s="157">
        <f>CHOOSE(MATCH(IF($U686="","Основний",$U686),{"Трафіковий","Основний","Маржинальний","Сезонний","Стратегічний"},0),Settings!$B$78,Settings!$B$80,Settings!$B$82,Settings!$B$84,Settings!$B$86)</f>
        <v/>
      </c>
      <c r="AO686" s="157">
        <f>CHOOSE(MATCH(IF($U686="","Основний",$U686),{"Трафіковий","Основний","Маржинальний","Сезонний","Стратегічний"},0),Settings!$C$78,Settings!$C$80,Settings!$C$82,Settings!$C$84,Settings!$C$86)</f>
        <v/>
      </c>
      <c r="AP686" s="157">
        <f>CHOOSE(MATCH(IF($U686="","Основний",$U686),{"Трафіковий","Основний","Маржинальний","Сезонний","Стратегічний"},0),Settings!$D$78,Settings!$D$80,Settings!$D$82,Settings!$D$84,Settings!$D$86)</f>
        <v/>
      </c>
      <c r="AQ686" s="157">
        <f>CHOOSE(MATCH(IF($U686="","Основний",$U686),{"Трафіковий","Основний","Маржинальний","Сезонний","Стратегічний"},0),Settings!$F$78,Settings!$F$80,Settings!$F$82,Settings!$F$84,Settings!$F$86)</f>
        <v/>
      </c>
      <c r="AR686" s="157">
        <f>CHOOSE(MATCH(IF($U686="","Основний",$U686),{"Трафіковий","Основний","Маржинальний","Сезонний","Стратегічний"},0),Settings!$G$78,Settings!$G$80,Settings!$G$82,Settings!$G$84,Settings!$G$86)</f>
        <v/>
      </c>
      <c r="AS686" s="157">
        <f>CHOOSE(MATCH(IF($U686="","Основний",$U686),{"Трафіковий","Основний","Маржинальний","Сезонний","Стратегічний"},0),Settings!$H$78,Settings!$H$80,Settings!$H$82,Settings!$H$84,Settings!$H$86)</f>
        <v/>
      </c>
      <c r="AT686" s="157">
        <f>CHOOSE(MATCH(IF($U686="","Основний",$U686),{"Трафіковий","Основний","Маржинальний","Сезонний","Стратегічний"},0),Settings!$I$78,Settings!$I$80,Settings!$I$82,Settings!$I$84,Settings!$I$86)</f>
        <v/>
      </c>
      <c r="AU686" s="171" t="n"/>
      <c r="AV686" t="n">
        <v>1.3</v>
      </c>
    </row>
    <row r="687">
      <c r="A687" s="33" t="inlineStr">
        <is>
          <t>SELL OUT</t>
        </is>
      </c>
      <c r="B687" s="34" t="inlineStr">
        <is>
          <t>H5110</t>
        </is>
      </c>
      <c r="C687" s="34" t="inlineStr">
        <is>
          <t>GOSMART MODULE CURTAIN 2B LN IP-2122CZ ZIGBEE</t>
        </is>
      </c>
      <c r="D687" s="34" t="inlineStr">
        <is>
          <t>Відеосистеми, та IP камери</t>
        </is>
      </c>
      <c r="E687" s="33" t="inlineStr">
        <is>
          <t>PC</t>
        </is>
      </c>
      <c r="F687" s="94" t="n">
        <v>14.462</v>
      </c>
      <c r="G687" s="35" t="n">
        <v>8536508000</v>
      </c>
      <c r="H687" s="31" t="n">
        <v>1.35</v>
      </c>
      <c r="I687" s="84">
        <f>IFERROR(F687*Settings!$B$2*H687*IF(AND(ISNUMBER(E687),E687&gt;1),E687,1),"")</f>
        <v/>
      </c>
      <c r="J687" s="32">
        <f>Settings!$B$66</f>
        <v/>
      </c>
      <c r="K687" s="95">
        <f>IFERROR(IF(T687="","",(T687*(1-AN687)*(1-Settings!$B$17)-I687)/(T687*(1-AN687)*(1-Settings!$B$17))),"")</f>
        <v/>
      </c>
      <c r="L687" s="101">
        <f>IFERROR(IF(T687="","",(T687*(1-AO687)*(1-Settings!$C$17)-I687)/(T687*(1-AO687)*(1-Settings!$C$17))),"")</f>
        <v/>
      </c>
      <c r="M687" s="101">
        <f>IFERROR(IF(T687="","",(T687*(1-AP687)*(1-Settings!$D$17)-I687)/(T687*(1-AP687)*(1-Settings!$D$17))),"")</f>
        <v/>
      </c>
      <c r="N687" s="101">
        <f>IFERROR(IF(T687="","",(T687*(1-AQ687)*(1-Settings!$F$17)-I687)/(T687*(1-AQ687)*(1-Settings!$F$17))),"")</f>
        <v/>
      </c>
      <c r="O687" s="101">
        <f>IFERROR(IF(T687="","",(T687*(1-AR687)*(1-Settings!$G$17)-I687)/(T687*(1-AR687)*(1-Settings!$G$17))),"")</f>
        <v/>
      </c>
      <c r="P687" s="101">
        <f>IFERROR(IF(T687="","",(T687*(1-AS687)*(1-Settings!$H$17)-I687)/(T687*(1-AS687)*(1-Settings!$H$17))),"")</f>
        <v/>
      </c>
      <c r="Q687" s="101">
        <f>IFERROR(IF(T687="","",(T687*(1-AT687)*(1-Settings!$I$68)*(1-Settings!$I$17)-I687)/(T687*(1-AT687)*(1-Settings!$I$68)*(1-Settings!$I$17))),"")</f>
        <v/>
      </c>
      <c r="R687" s="91">
        <f>IFERROR(IF(OR(I687="",Z687&gt;=1,Settings!$B$17&gt;=1,AN687&gt;=1),"",IF(MOD(ROUND(I687/(1-Z687)/(1-Settings!$B$17)/(1-AN687),0),10)=0,ROUND(I687/(1-Z687)/(1-Settings!$B$17)/(1-AN687),0)-1,IF(MOD(ROUND(I687/(1-Z687)/(1-Settings!$B$17)/(1-AN687),0),10)&lt;=5,FLOOR(ROUND(I687/(1-Z687)/(1-Settings!$B$17)/(1-AN687),0),10)+6,FLOOR(ROUND(I687/(1-Z687)/(1-Settings!$B$17)/(1-AN687),0),10)+9))),"")</f>
        <v/>
      </c>
      <c r="S687" s="174">
        <f>R687*0.95</f>
        <v/>
      </c>
      <c r="T687" s="91">
        <f>IF(S687&lt;&gt;"", IF(MOD(S687,10)=0,S687-1,IF(MOD(S687,10)&lt;=5,FLOOR(S687,10)+6,FLOOR(S687,10)+9)), R687)</f>
        <v/>
      </c>
      <c r="U687" s="87" t="inlineStr">
        <is>
          <t>Основний</t>
        </is>
      </c>
      <c r="V687" s="88" t="n"/>
      <c r="W687" s="88" t="n"/>
      <c r="X687" s="89">
        <f>IFERROR(IF(OR(V687="",W687="",T687=""),"", IF(T687&gt;W687,"Дорогий",IF(T687&lt;V687,"Дешевий","У ринку"))),"")</f>
        <v/>
      </c>
      <c r="Y687" s="90" t="n"/>
      <c r="Z687" s="104">
        <f>CHOOSE(MATCH(IF($U687="","Основний",$U687),{"Трафіковий","Основний","Маржинальний","Сезонний","Стратегічний"},0),0.16,0.19,0.24,0.23,0.28)</f>
        <v/>
      </c>
      <c r="AA687" s="104">
        <f>CHOOSE(MATCH(IF($U687="","Основний",$U687),{"Трафіковий","Основний","Маржинальний","Сезонний","Стратегічний"},0),0.18,0.21,0.26,0.25,0.3)</f>
        <v/>
      </c>
      <c r="AB687" s="104">
        <f>CHOOSE(MATCH(IF($U687="","Основний",$U687),{"Трафіковий","Основний","Маржинальний","Сезонний","Стратегічний"},0),0.19,0.22,0.28,0.26,0.32)</f>
        <v/>
      </c>
      <c r="AC687" s="104">
        <f>CHOOSE(MATCH(IF($U687="","Основний",$U687),{"Трафіковий","Основний","Маржинальний","Сезонний","Стратегічний"},0),0.17,0.2,0.25,0.24,0.28)</f>
        <v/>
      </c>
      <c r="AD687" s="104">
        <f>CHOOSE(MATCH(IF($U687="","Основний",$U687),{"Трафіковий","Основний","Маржинальний","Сезонний","Стратегічний"},0),0.18,0.21,0.26,0.25,0.3)</f>
        <v/>
      </c>
      <c r="AE687" s="104">
        <f>CHOOSE(MATCH(IF($U687="","Основний",$U687),{"Трафіковий","Основний","Маржинальний","Сезонний","Стратегічний"},0),0.18,0.2,0.28,0.27,0.32)</f>
        <v/>
      </c>
      <c r="AF687" s="104">
        <f>CHOOSE(MATCH(IF($U687="","Основний",$U687),{"Трафіковий","Основний","Маржинальний","Сезонний","Стратегічний"},0),0.15,0.175,0.22,0.21,0.25)</f>
        <v/>
      </c>
      <c r="AG687" s="104">
        <f>CHOOSE(MATCH(IF($U687="","Основний",$U687),{"Трафіковий","Основний","Маржинальний","Сезонний","Стратегічний"},0),0.13,0.16,0.21,0.2,0.25)</f>
        <v/>
      </c>
      <c r="AH687" s="104">
        <f>CHOOSE(MATCH(IF($U687="","Основний",$U687),{"Трафіковий","Основний","Маржинальний","Сезонний","Стратегічний"},0),0.15,0.18,0.23,0.22,0.27)</f>
        <v/>
      </c>
      <c r="AI687" s="104">
        <f>CHOOSE(MATCH(IF($U687="","Основний",$U687),{"Трафіковий","Основний","Маржинальний","Сезонний","Стратегічний"},0),0.16,0.19,0.25,0.23,0.29)</f>
        <v/>
      </c>
      <c r="AJ687" s="104">
        <f>CHOOSE(MATCH(IF($U687="","Основний",$U687),{"Трафіковий","Основний","Маржинальний","Сезонний","Стратегічний"},0),0.14,0.17,0.22,0.21,0.25)</f>
        <v/>
      </c>
      <c r="AK687" s="104">
        <f>CHOOSE(MATCH(IF($U687="","Основний",$U687),{"Трафіковий","Основний","Маржинальний","Сезонний","Стратегічний"},0),0.15,0.18,0.23,0.22,0.27)</f>
        <v/>
      </c>
      <c r="AL687" s="104">
        <f>CHOOSE(MATCH(IF($U687="","Основний",$U687),{"Трафіковий","Основний","Маржинальний","Сезонний","Стратегічний"},0),0.15,0.17,0.25,0.24,0.29)</f>
        <v/>
      </c>
      <c r="AM687" s="104">
        <f>CHOOSE(MATCH(IF($U687="","Основний",$U687),{"Трафіковий","Основний","Маржинальний","Сезонний","Стратегічний"},0),0.12,0.145,0.19,0.18,0.22)</f>
        <v/>
      </c>
      <c r="AN687" s="157">
        <f>CHOOSE(MATCH(IF($U687="","Основний",$U687),{"Трафіковий","Основний","Маржинальний","Сезонний","Стратегічний"},0),Settings!$B$78,Settings!$B$80,Settings!$B$82,Settings!$B$84,Settings!$B$86)</f>
        <v/>
      </c>
      <c r="AO687" s="157">
        <f>CHOOSE(MATCH(IF($U687="","Основний",$U687),{"Трафіковий","Основний","Маржинальний","Сезонний","Стратегічний"},0),Settings!$C$78,Settings!$C$80,Settings!$C$82,Settings!$C$84,Settings!$C$86)</f>
        <v/>
      </c>
      <c r="AP687" s="157">
        <f>CHOOSE(MATCH(IF($U687="","Основний",$U687),{"Трафіковий","Основний","Маржинальний","Сезонний","Стратегічний"},0),Settings!$D$78,Settings!$D$80,Settings!$D$82,Settings!$D$84,Settings!$D$86)</f>
        <v/>
      </c>
      <c r="AQ687" s="157">
        <f>CHOOSE(MATCH(IF($U687="","Основний",$U687),{"Трафіковий","Основний","Маржинальний","Сезонний","Стратегічний"},0),Settings!$F$78,Settings!$F$80,Settings!$F$82,Settings!$F$84,Settings!$F$86)</f>
        <v/>
      </c>
      <c r="AR687" s="157">
        <f>CHOOSE(MATCH(IF($U687="","Основний",$U687),{"Трафіковий","Основний","Маржинальний","Сезонний","Стратегічний"},0),Settings!$G$78,Settings!$G$80,Settings!$G$82,Settings!$G$84,Settings!$G$86)</f>
        <v/>
      </c>
      <c r="AS687" s="157">
        <f>CHOOSE(MATCH(IF($U687="","Основний",$U687),{"Трафіковий","Основний","Маржинальний","Сезонний","Стратегічний"},0),Settings!$H$78,Settings!$H$80,Settings!$H$82,Settings!$H$84,Settings!$H$86)</f>
        <v/>
      </c>
      <c r="AT687" s="157">
        <f>CHOOSE(MATCH(IF($U687="","Основний",$U687),{"Трафіковий","Основний","Маржинальний","Сезонний","Стратегічний"},0),Settings!$I$78,Settings!$I$80,Settings!$I$82,Settings!$I$84,Settings!$I$86)</f>
        <v/>
      </c>
      <c r="AU687" s="171" t="n"/>
      <c r="AV687" t="n">
        <v>1.3</v>
      </c>
    </row>
    <row r="688">
      <c r="A688" s="28" t="inlineStr">
        <is>
          <t>SELL OUT</t>
        </is>
      </c>
      <c r="B688" s="29" t="inlineStr">
        <is>
          <t>H5111</t>
        </is>
      </c>
      <c r="C688" s="29" t="inlineStr">
        <is>
          <t>GOSMART GARAGE DOOR CONTROL IP-2131SW WIFI</t>
        </is>
      </c>
      <c r="D688" s="29" t="inlineStr">
        <is>
          <t>Відеосистеми, та IP камери</t>
        </is>
      </c>
      <c r="E688" s="28" t="inlineStr">
        <is>
          <t>PC</t>
        </is>
      </c>
      <c r="F688" s="93" t="n">
        <v>12.376</v>
      </c>
      <c r="G688" s="30" t="n">
        <v>8536508000</v>
      </c>
      <c r="H688" s="31" t="n">
        <v>1.35</v>
      </c>
      <c r="I688" s="84">
        <f>IFERROR(F688*Settings!$B$2*H688*IF(AND(ISNUMBER(E688),E688&gt;1),E688,1),"")</f>
        <v/>
      </c>
      <c r="J688" s="32">
        <f>Settings!$B$66</f>
        <v/>
      </c>
      <c r="K688" s="95">
        <f>IFERROR(IF(T688="","",(T688*(1-AN688)*(1-Settings!$B$17)-I688)/(T688*(1-AN688)*(1-Settings!$B$17))),"")</f>
        <v/>
      </c>
      <c r="L688" s="101">
        <f>IFERROR(IF(T688="","",(T688*(1-AO688)*(1-Settings!$C$17)-I688)/(T688*(1-AO688)*(1-Settings!$C$17))),"")</f>
        <v/>
      </c>
      <c r="M688" s="101">
        <f>IFERROR(IF(T688="","",(T688*(1-AP688)*(1-Settings!$D$17)-I688)/(T688*(1-AP688)*(1-Settings!$D$17))),"")</f>
        <v/>
      </c>
      <c r="N688" s="101">
        <f>IFERROR(IF(T688="","",(T688*(1-AQ688)*(1-Settings!$F$17)-I688)/(T688*(1-AQ688)*(1-Settings!$F$17))),"")</f>
        <v/>
      </c>
      <c r="O688" s="101">
        <f>IFERROR(IF(T688="","",(T688*(1-AR688)*(1-Settings!$G$17)-I688)/(T688*(1-AR688)*(1-Settings!$G$17))),"")</f>
        <v/>
      </c>
      <c r="P688" s="101">
        <f>IFERROR(IF(T688="","",(T688*(1-AS688)*(1-Settings!$H$17)-I688)/(T688*(1-AS688)*(1-Settings!$H$17))),"")</f>
        <v/>
      </c>
      <c r="Q688" s="101">
        <f>IFERROR(IF(T688="","",(T688*(1-AT688)*(1-Settings!$I$68)*(1-Settings!$I$17)-I688)/(T688*(1-AT688)*(1-Settings!$I$68)*(1-Settings!$I$17))),"")</f>
        <v/>
      </c>
      <c r="R688" s="91">
        <f>IFERROR(IF(OR(I688="",Z688&gt;=1,Settings!$B$17&gt;=1,AN688&gt;=1),"",IF(MOD(ROUND(I688/(1-Z688)/(1-Settings!$B$17)/(1-AN688),0),10)=0,ROUND(I688/(1-Z688)/(1-Settings!$B$17)/(1-AN688),0)-1,IF(MOD(ROUND(I688/(1-Z688)/(1-Settings!$B$17)/(1-AN688),0),10)&lt;=5,FLOOR(ROUND(I688/(1-Z688)/(1-Settings!$B$17)/(1-AN688),0),10)+6,FLOOR(ROUND(I688/(1-Z688)/(1-Settings!$B$17)/(1-AN688),0),10)+9))),"")</f>
        <v/>
      </c>
      <c r="S688" s="174">
        <f>R688*0.95</f>
        <v/>
      </c>
      <c r="T688" s="91">
        <f>IF(S688&lt;&gt;"", IF(MOD(S688,10)=0,S688-1,IF(MOD(S688,10)&lt;=5,FLOOR(S688,10)+6,FLOOR(S688,10)+9)), R688)</f>
        <v/>
      </c>
      <c r="U688" s="87" t="inlineStr">
        <is>
          <t>Основний</t>
        </is>
      </c>
      <c r="V688" s="88" t="n"/>
      <c r="W688" s="88" t="n"/>
      <c r="X688" s="89">
        <f>IFERROR(IF(OR(V688="",W688="",T688=""),"", IF(T688&gt;W688,"Дорогий",IF(T688&lt;V688,"Дешевий","У ринку"))),"")</f>
        <v/>
      </c>
      <c r="Y688" s="90" t="n"/>
      <c r="Z688" s="104">
        <f>CHOOSE(MATCH(IF($U688="","Основний",$U688),{"Трафіковий","Основний","Маржинальний","Сезонний","Стратегічний"},0),0.16,0.19,0.24,0.23,0.28)</f>
        <v/>
      </c>
      <c r="AA688" s="104">
        <f>CHOOSE(MATCH(IF($U688="","Основний",$U688),{"Трафіковий","Основний","Маржинальний","Сезонний","Стратегічний"},0),0.18,0.21,0.26,0.25,0.3)</f>
        <v/>
      </c>
      <c r="AB688" s="104">
        <f>CHOOSE(MATCH(IF($U688="","Основний",$U688),{"Трафіковий","Основний","Маржинальний","Сезонний","Стратегічний"},0),0.19,0.22,0.28,0.26,0.32)</f>
        <v/>
      </c>
      <c r="AC688" s="104">
        <f>CHOOSE(MATCH(IF($U688="","Основний",$U688),{"Трафіковий","Основний","Маржинальний","Сезонний","Стратегічний"},0),0.17,0.2,0.25,0.24,0.28)</f>
        <v/>
      </c>
      <c r="AD688" s="104">
        <f>CHOOSE(MATCH(IF($U688="","Основний",$U688),{"Трафіковий","Основний","Маржинальний","Сезонний","Стратегічний"},0),0.18,0.21,0.26,0.25,0.3)</f>
        <v/>
      </c>
      <c r="AE688" s="104">
        <f>CHOOSE(MATCH(IF($U688="","Основний",$U688),{"Трафіковий","Основний","Маржинальний","Сезонний","Стратегічний"},0),0.18,0.2,0.28,0.27,0.32)</f>
        <v/>
      </c>
      <c r="AF688" s="104">
        <f>CHOOSE(MATCH(IF($U688="","Основний",$U688),{"Трафіковий","Основний","Маржинальний","Сезонний","Стратегічний"},0),0.15,0.175,0.22,0.21,0.25)</f>
        <v/>
      </c>
      <c r="AG688" s="104">
        <f>CHOOSE(MATCH(IF($U688="","Основний",$U688),{"Трафіковий","Основний","Маржинальний","Сезонний","Стратегічний"},0),0.13,0.16,0.21,0.2,0.25)</f>
        <v/>
      </c>
      <c r="AH688" s="104">
        <f>CHOOSE(MATCH(IF($U688="","Основний",$U688),{"Трафіковий","Основний","Маржинальний","Сезонний","Стратегічний"},0),0.15,0.18,0.23,0.22,0.27)</f>
        <v/>
      </c>
      <c r="AI688" s="104">
        <f>CHOOSE(MATCH(IF($U688="","Основний",$U688),{"Трафіковий","Основний","Маржинальний","Сезонний","Стратегічний"},0),0.16,0.19,0.25,0.23,0.29)</f>
        <v/>
      </c>
      <c r="AJ688" s="104">
        <f>CHOOSE(MATCH(IF($U688="","Основний",$U688),{"Трафіковий","Основний","Маржинальний","Сезонний","Стратегічний"},0),0.14,0.17,0.22,0.21,0.25)</f>
        <v/>
      </c>
      <c r="AK688" s="104">
        <f>CHOOSE(MATCH(IF($U688="","Основний",$U688),{"Трафіковий","Основний","Маржинальний","Сезонний","Стратегічний"},0),0.15,0.18,0.23,0.22,0.27)</f>
        <v/>
      </c>
      <c r="AL688" s="104">
        <f>CHOOSE(MATCH(IF($U688="","Основний",$U688),{"Трафіковий","Основний","Маржинальний","Сезонний","Стратегічний"},0),0.15,0.17,0.25,0.24,0.29)</f>
        <v/>
      </c>
      <c r="AM688" s="104">
        <f>CHOOSE(MATCH(IF($U688="","Основний",$U688),{"Трафіковий","Основний","Маржинальний","Сезонний","Стратегічний"},0),0.12,0.145,0.19,0.18,0.22)</f>
        <v/>
      </c>
      <c r="AN688" s="157">
        <f>CHOOSE(MATCH(IF($U688="","Основний",$U688),{"Трафіковий","Основний","Маржинальний","Сезонний","Стратегічний"},0),Settings!$B$78,Settings!$B$80,Settings!$B$82,Settings!$B$84,Settings!$B$86)</f>
        <v/>
      </c>
      <c r="AO688" s="157">
        <f>CHOOSE(MATCH(IF($U688="","Основний",$U688),{"Трафіковий","Основний","Маржинальний","Сезонний","Стратегічний"},0),Settings!$C$78,Settings!$C$80,Settings!$C$82,Settings!$C$84,Settings!$C$86)</f>
        <v/>
      </c>
      <c r="AP688" s="157">
        <f>CHOOSE(MATCH(IF($U688="","Основний",$U688),{"Трафіковий","Основний","Маржинальний","Сезонний","Стратегічний"},0),Settings!$D$78,Settings!$D$80,Settings!$D$82,Settings!$D$84,Settings!$D$86)</f>
        <v/>
      </c>
      <c r="AQ688" s="157">
        <f>CHOOSE(MATCH(IF($U688="","Основний",$U688),{"Трафіковий","Основний","Маржинальний","Сезонний","Стратегічний"},0),Settings!$F$78,Settings!$F$80,Settings!$F$82,Settings!$F$84,Settings!$F$86)</f>
        <v/>
      </c>
      <c r="AR688" s="157">
        <f>CHOOSE(MATCH(IF($U688="","Основний",$U688),{"Трафіковий","Основний","Маржинальний","Сезонний","Стратегічний"},0),Settings!$G$78,Settings!$G$80,Settings!$G$82,Settings!$G$84,Settings!$G$86)</f>
        <v/>
      </c>
      <c r="AS688" s="157">
        <f>CHOOSE(MATCH(IF($U688="","Основний",$U688),{"Трафіковий","Основний","Маржинальний","Сезонний","Стратегічний"},0),Settings!$H$78,Settings!$H$80,Settings!$H$82,Settings!$H$84,Settings!$H$86)</f>
        <v/>
      </c>
      <c r="AT688" s="157">
        <f>CHOOSE(MATCH(IF($U688="","Основний",$U688),{"Трафіковий","Основний","Маржинальний","Сезонний","Стратегічний"},0),Settings!$I$78,Settings!$I$80,Settings!$I$82,Settings!$I$84,Settings!$I$86)</f>
        <v/>
      </c>
      <c r="AU688" s="171" t="n"/>
      <c r="AV688" t="n">
        <v>1.35</v>
      </c>
    </row>
    <row r="689">
      <c r="A689" s="33" t="inlineStr">
        <is>
          <t>SELL OUT</t>
        </is>
      </c>
      <c r="B689" s="34" t="inlineStr">
        <is>
          <t>H4057</t>
        </is>
      </c>
      <c r="C689" s="34" t="inlineStr">
        <is>
          <t>GOSMART OUTDOOR IP CAMERA IP-800 WASP 5MPX</t>
        </is>
      </c>
      <c r="D689" s="34" t="inlineStr">
        <is>
          <t>Відеосистеми, та IP камери</t>
        </is>
      </c>
      <c r="E689" s="33" t="inlineStr">
        <is>
          <t>PC</t>
        </is>
      </c>
      <c r="F689" s="94" t="n">
        <v>37.544</v>
      </c>
      <c r="G689" s="35" t="n">
        <v>8525890000</v>
      </c>
      <c r="H689" s="31" t="n">
        <v>1.3</v>
      </c>
      <c r="I689" s="84">
        <f>IFERROR(F689*Settings!$B$2*H689*IF(AND(ISNUMBER(E689),E689&gt;1),E689,1),"")</f>
        <v/>
      </c>
      <c r="J689" s="32">
        <f>Settings!$B$66</f>
        <v/>
      </c>
      <c r="K689" s="95">
        <f>IFERROR(IF(T689="","",(T689*(1-AN689)*(1-Settings!$B$17)-I689)/(T689*(1-AN689)*(1-Settings!$B$17))),"")</f>
        <v/>
      </c>
      <c r="L689" s="101">
        <f>IFERROR(IF(T689="","",(T689*(1-AO689)*(1-Settings!$C$17)-I689)/(T689*(1-AO689)*(1-Settings!$C$17))),"")</f>
        <v/>
      </c>
      <c r="M689" s="101">
        <f>IFERROR(IF(T689="","",(T689*(1-AP689)*(1-Settings!$D$17)-I689)/(T689*(1-AP689)*(1-Settings!$D$17))),"")</f>
        <v/>
      </c>
      <c r="N689" s="101">
        <f>IFERROR(IF(T689="","",(T689*(1-AQ689)*(1-Settings!$F$17)-I689)/(T689*(1-AQ689)*(1-Settings!$F$17))),"")</f>
        <v/>
      </c>
      <c r="O689" s="101">
        <f>IFERROR(IF(T689="","",(T689*(1-AR689)*(1-Settings!$G$17)-I689)/(T689*(1-AR689)*(1-Settings!$G$17))),"")</f>
        <v/>
      </c>
      <c r="P689" s="101">
        <f>IFERROR(IF(T689="","",(T689*(1-AS689)*(1-Settings!$H$17)-I689)/(T689*(1-AS689)*(1-Settings!$H$17))),"")</f>
        <v/>
      </c>
      <c r="Q689" s="101">
        <f>IFERROR(IF(T689="","",(T689*(1-AT689)*(1-Settings!$I$68)*(1-Settings!$I$17)-I689)/(T689*(1-AT689)*(1-Settings!$I$68)*(1-Settings!$I$17))),"")</f>
        <v/>
      </c>
      <c r="R689" s="91">
        <f>IFERROR(IF(OR(I689="",Z689&gt;=1,Settings!$B$17&gt;=1,AN689&gt;=1),"",IF(MOD(ROUND(I689/(1-Z689)/(1-Settings!$B$17)/(1-AN689),0),10)=0,ROUND(I689/(1-Z689)/(1-Settings!$B$17)/(1-AN689),0)-1,IF(MOD(ROUND(I689/(1-Z689)/(1-Settings!$B$17)/(1-AN689),0),10)&lt;=5,FLOOR(ROUND(I689/(1-Z689)/(1-Settings!$B$17)/(1-AN689),0),10)+6,FLOOR(ROUND(I689/(1-Z689)/(1-Settings!$B$17)/(1-AN689),0),10)+9))),"")</f>
        <v/>
      </c>
      <c r="S689" s="174">
        <f>R689*0.95</f>
        <v/>
      </c>
      <c r="T689" s="91">
        <f>IF(S689&lt;&gt;"", IF(MOD(S689,10)=0,S689-1,IF(MOD(S689,10)&lt;=5,FLOOR(S689,10)+6,FLOOR(S689,10)+9)), R689)</f>
        <v/>
      </c>
      <c r="U689" s="87" t="inlineStr">
        <is>
          <t>Основний</t>
        </is>
      </c>
      <c r="V689" s="88" t="n"/>
      <c r="W689" s="88" t="n"/>
      <c r="X689" s="89">
        <f>IFERROR(IF(OR(V689="",W689="",T689=""),"", IF(T689&gt;W689,"Дорогий",IF(T689&lt;V689,"Дешевий","У ринку"))),"")</f>
        <v/>
      </c>
      <c r="Y689" s="90" t="n"/>
      <c r="Z689" s="104">
        <f>CHOOSE(MATCH(IF($U689="","Основний",$U689),{"Трафіковий","Основний","Маржинальний","Сезонний","Стратегічний"},0),0.16,0.19,0.24,0.23,0.28)</f>
        <v/>
      </c>
      <c r="AA689" s="104">
        <f>CHOOSE(MATCH(IF($U689="","Основний",$U689),{"Трафіковий","Основний","Маржинальний","Сезонний","Стратегічний"},0),0.18,0.21,0.26,0.25,0.3)</f>
        <v/>
      </c>
      <c r="AB689" s="104">
        <f>CHOOSE(MATCH(IF($U689="","Основний",$U689),{"Трафіковий","Основний","Маржинальний","Сезонний","Стратегічний"},0),0.19,0.22,0.28,0.26,0.32)</f>
        <v/>
      </c>
      <c r="AC689" s="104">
        <f>CHOOSE(MATCH(IF($U689="","Основний",$U689),{"Трафіковий","Основний","Маржинальний","Сезонний","Стратегічний"},0),0.17,0.2,0.25,0.24,0.28)</f>
        <v/>
      </c>
      <c r="AD689" s="104">
        <f>CHOOSE(MATCH(IF($U689="","Основний",$U689),{"Трафіковий","Основний","Маржинальний","Сезонний","Стратегічний"},0),0.18,0.21,0.26,0.25,0.3)</f>
        <v/>
      </c>
      <c r="AE689" s="104">
        <f>CHOOSE(MATCH(IF($U689="","Основний",$U689),{"Трафіковий","Основний","Маржинальний","Сезонний","Стратегічний"},0),0.18,0.2,0.28,0.27,0.32)</f>
        <v/>
      </c>
      <c r="AF689" s="104">
        <f>CHOOSE(MATCH(IF($U689="","Основний",$U689),{"Трафіковий","Основний","Маржинальний","Сезонний","Стратегічний"},0),0.15,0.175,0.22,0.21,0.25)</f>
        <v/>
      </c>
      <c r="AG689" s="104">
        <f>CHOOSE(MATCH(IF($U689="","Основний",$U689),{"Трафіковий","Основний","Маржинальний","Сезонний","Стратегічний"},0),0.13,0.16,0.21,0.2,0.25)</f>
        <v/>
      </c>
      <c r="AH689" s="104">
        <f>CHOOSE(MATCH(IF($U689="","Основний",$U689),{"Трафіковий","Основний","Маржинальний","Сезонний","Стратегічний"},0),0.15,0.18,0.23,0.22,0.27)</f>
        <v/>
      </c>
      <c r="AI689" s="104">
        <f>CHOOSE(MATCH(IF($U689="","Основний",$U689),{"Трафіковий","Основний","Маржинальний","Сезонний","Стратегічний"},0),0.16,0.19,0.25,0.23,0.29)</f>
        <v/>
      </c>
      <c r="AJ689" s="104">
        <f>CHOOSE(MATCH(IF($U689="","Основний",$U689),{"Трафіковий","Основний","Маржинальний","Сезонний","Стратегічний"},0),0.14,0.17,0.22,0.21,0.25)</f>
        <v/>
      </c>
      <c r="AK689" s="104">
        <f>CHOOSE(MATCH(IF($U689="","Основний",$U689),{"Трафіковий","Основний","Маржинальний","Сезонний","Стратегічний"},0),0.15,0.18,0.23,0.22,0.27)</f>
        <v/>
      </c>
      <c r="AL689" s="104">
        <f>CHOOSE(MATCH(IF($U689="","Основний",$U689),{"Трафіковий","Основний","Маржинальний","Сезонний","Стратегічний"},0),0.15,0.17,0.25,0.24,0.29)</f>
        <v/>
      </c>
      <c r="AM689" s="104">
        <f>CHOOSE(MATCH(IF($U689="","Основний",$U689),{"Трафіковий","Основний","Маржинальний","Сезонний","Стратегічний"},0),0.12,0.145,0.19,0.18,0.22)</f>
        <v/>
      </c>
      <c r="AN689" s="157">
        <f>CHOOSE(MATCH(IF($U689="","Основний",$U689),{"Трафіковий","Основний","Маржинальний","Сезонний","Стратегічний"},0),Settings!$B$78,Settings!$B$80,Settings!$B$82,Settings!$B$84,Settings!$B$86)</f>
        <v/>
      </c>
      <c r="AO689" s="157">
        <f>CHOOSE(MATCH(IF($U689="","Основний",$U689),{"Трафіковий","Основний","Маржинальний","Сезонний","Стратегічний"},0),Settings!$C$78,Settings!$C$80,Settings!$C$82,Settings!$C$84,Settings!$C$86)</f>
        <v/>
      </c>
      <c r="AP689" s="157">
        <f>CHOOSE(MATCH(IF($U689="","Основний",$U689),{"Трафіковий","Основний","Маржинальний","Сезонний","Стратегічний"},0),Settings!$D$78,Settings!$D$80,Settings!$D$82,Settings!$D$84,Settings!$D$86)</f>
        <v/>
      </c>
      <c r="AQ689" s="157">
        <f>CHOOSE(MATCH(IF($U689="","Основний",$U689),{"Трафіковий","Основний","Маржинальний","Сезонний","Стратегічний"},0),Settings!$F$78,Settings!$F$80,Settings!$F$82,Settings!$F$84,Settings!$F$86)</f>
        <v/>
      </c>
      <c r="AR689" s="157">
        <f>CHOOSE(MATCH(IF($U689="","Основний",$U689),{"Трафіковий","Основний","Маржинальний","Сезонний","Стратегічний"},0),Settings!$G$78,Settings!$G$80,Settings!$G$82,Settings!$G$84,Settings!$G$86)</f>
        <v/>
      </c>
      <c r="AS689" s="157">
        <f>CHOOSE(MATCH(IF($U689="","Основний",$U689),{"Трафіковий","Основний","Маржинальний","Сезонний","Стратегічний"},0),Settings!$H$78,Settings!$H$80,Settings!$H$82,Settings!$H$84,Settings!$H$86)</f>
        <v/>
      </c>
      <c r="AT689" s="157">
        <f>CHOOSE(MATCH(IF($U689="","Основний",$U689),{"Трафіковий","Основний","Маржинальний","Сезонний","Стратегічний"},0),Settings!$I$78,Settings!$I$80,Settings!$I$82,Settings!$I$84,Settings!$I$86)</f>
        <v/>
      </c>
      <c r="AU689" s="171" t="n"/>
      <c r="AV689" t="n">
        <v>1.25</v>
      </c>
    </row>
    <row r="690">
      <c r="A690" s="28" t="inlineStr">
        <is>
          <t>SELL OUT</t>
        </is>
      </c>
      <c r="B690" s="29" t="inlineStr">
        <is>
          <t>H4058</t>
        </is>
      </c>
      <c r="C690" s="29" t="inlineStr">
        <is>
          <t>GOSMART IP CAMERA OUTDOOR  4G LTE IP-6000 OWL</t>
        </is>
      </c>
      <c r="D690" s="29" t="inlineStr">
        <is>
          <t>Відеосистеми, та IP камери</t>
        </is>
      </c>
      <c r="E690" s="28" t="inlineStr">
        <is>
          <t>PC</t>
        </is>
      </c>
      <c r="F690" s="93" t="n">
        <v>66.327</v>
      </c>
      <c r="G690" s="30" t="n">
        <v>8525890000</v>
      </c>
      <c r="H690" s="31" t="n">
        <v>1.3</v>
      </c>
      <c r="I690" s="84">
        <f>IFERROR(F690*Settings!$B$2*H690*IF(AND(ISNUMBER(E690),E690&gt;1),E690,1),"")</f>
        <v/>
      </c>
      <c r="J690" s="32">
        <f>Settings!$B$66</f>
        <v/>
      </c>
      <c r="K690" s="95">
        <f>IFERROR(IF(T690="","",(T690*(1-AN690)*(1-Settings!$B$17)-I690)/(T690*(1-AN690)*(1-Settings!$B$17))),"")</f>
        <v/>
      </c>
      <c r="L690" s="101">
        <f>IFERROR(IF(T690="","",(T690*(1-AO690)*(1-Settings!$C$17)-I690)/(T690*(1-AO690)*(1-Settings!$C$17))),"")</f>
        <v/>
      </c>
      <c r="M690" s="101">
        <f>IFERROR(IF(T690="","",(T690*(1-AP690)*(1-Settings!$D$17)-I690)/(T690*(1-AP690)*(1-Settings!$D$17))),"")</f>
        <v/>
      </c>
      <c r="N690" s="101">
        <f>IFERROR(IF(T690="","",(T690*(1-AQ690)*(1-Settings!$F$17)-I690)/(T690*(1-AQ690)*(1-Settings!$F$17))),"")</f>
        <v/>
      </c>
      <c r="O690" s="101">
        <f>IFERROR(IF(T690="","",(T690*(1-AR690)*(1-Settings!$G$17)-I690)/(T690*(1-AR690)*(1-Settings!$G$17))),"")</f>
        <v/>
      </c>
      <c r="P690" s="101">
        <f>IFERROR(IF(T690="","",(T690*(1-AS690)*(1-Settings!$H$17)-I690)/(T690*(1-AS690)*(1-Settings!$H$17))),"")</f>
        <v/>
      </c>
      <c r="Q690" s="101">
        <f>IFERROR(IF(T690="","",(T690*(1-AT690)*(1-Settings!$I$68)*(1-Settings!$I$17)-I690)/(T690*(1-AT690)*(1-Settings!$I$68)*(1-Settings!$I$17))),"")</f>
        <v/>
      </c>
      <c r="R690" s="91">
        <f>IFERROR(IF(OR(I690="",Z690&gt;=1,Settings!$B$17&gt;=1,AN690&gt;=1),"",IF(MOD(ROUND(I690/(1-Z690)/(1-Settings!$B$17)/(1-AN690),0),10)=0,ROUND(I690/(1-Z690)/(1-Settings!$B$17)/(1-AN690),0)-1,IF(MOD(ROUND(I690/(1-Z690)/(1-Settings!$B$17)/(1-AN690),0),10)&lt;=5,FLOOR(ROUND(I690/(1-Z690)/(1-Settings!$B$17)/(1-AN690),0),10)+6,FLOOR(ROUND(I690/(1-Z690)/(1-Settings!$B$17)/(1-AN690),0),10)+9))),"")</f>
        <v/>
      </c>
      <c r="S690" s="174">
        <f>R690*0.95</f>
        <v/>
      </c>
      <c r="T690" s="91">
        <f>IF(S690&lt;&gt;"", IF(MOD(S690,10)=0,S690-1,IF(MOD(S690,10)&lt;=5,FLOOR(S690,10)+6,FLOOR(S690,10)+9)), R690)</f>
        <v/>
      </c>
      <c r="U690" s="87" t="inlineStr">
        <is>
          <t>Основний</t>
        </is>
      </c>
      <c r="V690" s="88" t="n"/>
      <c r="W690" s="88" t="n"/>
      <c r="X690" s="89">
        <f>IFERROR(IF(OR(V690="",W690="",T690=""),"", IF(T690&gt;W690,"Дорогий",IF(T690&lt;V690,"Дешевий","У ринку"))),"")</f>
        <v/>
      </c>
      <c r="Y690" s="90" t="n"/>
      <c r="Z690" s="104">
        <f>CHOOSE(MATCH(IF($U690="","Основний",$U690),{"Трафіковий","Основний","Маржинальний","Сезонний","Стратегічний"},0),0.16,0.19,0.24,0.23,0.28)</f>
        <v/>
      </c>
      <c r="AA690" s="104">
        <f>CHOOSE(MATCH(IF($U690="","Основний",$U690),{"Трафіковий","Основний","Маржинальний","Сезонний","Стратегічний"},0),0.18,0.21,0.26,0.25,0.3)</f>
        <v/>
      </c>
      <c r="AB690" s="104">
        <f>CHOOSE(MATCH(IF($U690="","Основний",$U690),{"Трафіковий","Основний","Маржинальний","Сезонний","Стратегічний"},0),0.19,0.22,0.28,0.26,0.32)</f>
        <v/>
      </c>
      <c r="AC690" s="104">
        <f>CHOOSE(MATCH(IF($U690="","Основний",$U690),{"Трафіковий","Основний","Маржинальний","Сезонний","Стратегічний"},0),0.17,0.2,0.25,0.24,0.28)</f>
        <v/>
      </c>
      <c r="AD690" s="104">
        <f>CHOOSE(MATCH(IF($U690="","Основний",$U690),{"Трафіковий","Основний","Маржинальний","Сезонний","Стратегічний"},0),0.18,0.21,0.26,0.25,0.3)</f>
        <v/>
      </c>
      <c r="AE690" s="104">
        <f>CHOOSE(MATCH(IF($U690="","Основний",$U690),{"Трафіковий","Основний","Маржинальний","Сезонний","Стратегічний"},0),0.18,0.2,0.28,0.27,0.32)</f>
        <v/>
      </c>
      <c r="AF690" s="104">
        <f>CHOOSE(MATCH(IF($U690="","Основний",$U690),{"Трафіковий","Основний","Маржинальний","Сезонний","Стратегічний"},0),0.15,0.175,0.22,0.21,0.25)</f>
        <v/>
      </c>
      <c r="AG690" s="104">
        <f>CHOOSE(MATCH(IF($U690="","Основний",$U690),{"Трафіковий","Основний","Маржинальний","Сезонний","Стратегічний"},0),0.13,0.16,0.21,0.2,0.25)</f>
        <v/>
      </c>
      <c r="AH690" s="104">
        <f>CHOOSE(MATCH(IF($U690="","Основний",$U690),{"Трафіковий","Основний","Маржинальний","Сезонний","Стратегічний"},0),0.15,0.18,0.23,0.22,0.27)</f>
        <v/>
      </c>
      <c r="AI690" s="104">
        <f>CHOOSE(MATCH(IF($U690="","Основний",$U690),{"Трафіковий","Основний","Маржинальний","Сезонний","Стратегічний"},0),0.16,0.19,0.25,0.23,0.29)</f>
        <v/>
      </c>
      <c r="AJ690" s="104">
        <f>CHOOSE(MATCH(IF($U690="","Основний",$U690),{"Трафіковий","Основний","Маржинальний","Сезонний","Стратегічний"},0),0.14,0.17,0.22,0.21,0.25)</f>
        <v/>
      </c>
      <c r="AK690" s="104">
        <f>CHOOSE(MATCH(IF($U690="","Основний",$U690),{"Трафіковий","Основний","Маржинальний","Сезонний","Стратегічний"},0),0.15,0.18,0.23,0.22,0.27)</f>
        <v/>
      </c>
      <c r="AL690" s="104">
        <f>CHOOSE(MATCH(IF($U690="","Основний",$U690),{"Трафіковий","Основний","Маржинальний","Сезонний","Стратегічний"},0),0.15,0.17,0.25,0.24,0.29)</f>
        <v/>
      </c>
      <c r="AM690" s="104">
        <f>CHOOSE(MATCH(IF($U690="","Основний",$U690),{"Трафіковий","Основний","Маржинальний","Сезонний","Стратегічний"},0),0.12,0.145,0.19,0.18,0.22)</f>
        <v/>
      </c>
      <c r="AN690" s="157">
        <f>CHOOSE(MATCH(IF($U690="","Основний",$U690),{"Трафіковий","Основний","Маржинальний","Сезонний","Стратегічний"},0),Settings!$B$78,Settings!$B$80,Settings!$B$82,Settings!$B$84,Settings!$B$86)</f>
        <v/>
      </c>
      <c r="AO690" s="157">
        <f>CHOOSE(MATCH(IF($U690="","Основний",$U690),{"Трафіковий","Основний","Маржинальний","Сезонний","Стратегічний"},0),Settings!$C$78,Settings!$C$80,Settings!$C$82,Settings!$C$84,Settings!$C$86)</f>
        <v/>
      </c>
      <c r="AP690" s="157">
        <f>CHOOSE(MATCH(IF($U690="","Основний",$U690),{"Трафіковий","Основний","Маржинальний","Сезонний","Стратегічний"},0),Settings!$D$78,Settings!$D$80,Settings!$D$82,Settings!$D$84,Settings!$D$86)</f>
        <v/>
      </c>
      <c r="AQ690" s="157">
        <f>CHOOSE(MATCH(IF($U690="","Основний",$U690),{"Трафіковий","Основний","Маржинальний","Сезонний","Стратегічний"},0),Settings!$F$78,Settings!$F$80,Settings!$F$82,Settings!$F$84,Settings!$F$86)</f>
        <v/>
      </c>
      <c r="AR690" s="157">
        <f>CHOOSE(MATCH(IF($U690="","Основний",$U690),{"Трафіковий","Основний","Маржинальний","Сезонний","Стратегічний"},0),Settings!$G$78,Settings!$G$80,Settings!$G$82,Settings!$G$84,Settings!$G$86)</f>
        <v/>
      </c>
      <c r="AS690" s="157">
        <f>CHOOSE(MATCH(IF($U690="","Основний",$U690),{"Трафіковий","Основний","Маржинальний","Сезонний","Стратегічний"},0),Settings!$H$78,Settings!$H$80,Settings!$H$82,Settings!$H$84,Settings!$H$86)</f>
        <v/>
      </c>
      <c r="AT690" s="157">
        <f>CHOOSE(MATCH(IF($U690="","Основний",$U690),{"Трафіковий","Основний","Маржинальний","Сезонний","Стратегічний"},0),Settings!$I$78,Settings!$I$80,Settings!$I$82,Settings!$I$84,Settings!$I$86)</f>
        <v/>
      </c>
      <c r="AU690" s="171" t="n"/>
      <c r="AV690" t="n">
        <v>1.3</v>
      </c>
    </row>
    <row r="691">
      <c r="A691" s="33" t="inlineStr">
        <is>
          <t>SELL OUT</t>
        </is>
      </c>
      <c r="B691" s="34" t="inlineStr">
        <is>
          <t>H4060</t>
        </is>
      </c>
      <c r="C691" s="34" t="inlineStr">
        <is>
          <t>GOSMART INDOOR WIFI CAMERA IP-220W 4MPX PTZ</t>
        </is>
      </c>
      <c r="D691" s="34" t="inlineStr">
        <is>
          <t>Відеосистеми, та IP камери</t>
        </is>
      </c>
      <c r="E691" s="33" t="inlineStr">
        <is>
          <t>PC</t>
        </is>
      </c>
      <c r="F691" s="94" t="n">
        <v>25.029</v>
      </c>
      <c r="G691" s="35" t="n">
        <v>8525890000</v>
      </c>
      <c r="H691" s="31" t="n">
        <v>1.3</v>
      </c>
      <c r="I691" s="84">
        <f>IFERROR(F691*Settings!$B$2*H691*IF(AND(ISNUMBER(E691),E691&gt;1),E691,1),"")</f>
        <v/>
      </c>
      <c r="J691" s="32">
        <f>Settings!$B$66</f>
        <v/>
      </c>
      <c r="K691" s="95">
        <f>IFERROR(IF(T691="","",(T691*(1-AN691)*(1-Settings!$B$17)-I691)/(T691*(1-AN691)*(1-Settings!$B$17))),"")</f>
        <v/>
      </c>
      <c r="L691" s="101">
        <f>IFERROR(IF(T691="","",(T691*(1-AO691)*(1-Settings!$C$17)-I691)/(T691*(1-AO691)*(1-Settings!$C$17))),"")</f>
        <v/>
      </c>
      <c r="M691" s="101">
        <f>IFERROR(IF(T691="","",(T691*(1-AP691)*(1-Settings!$D$17)-I691)/(T691*(1-AP691)*(1-Settings!$D$17))),"")</f>
        <v/>
      </c>
      <c r="N691" s="101">
        <f>IFERROR(IF(T691="","",(T691*(1-AQ691)*(1-Settings!$F$17)-I691)/(T691*(1-AQ691)*(1-Settings!$F$17))),"")</f>
        <v/>
      </c>
      <c r="O691" s="101">
        <f>IFERROR(IF(T691="","",(T691*(1-AR691)*(1-Settings!$G$17)-I691)/(T691*(1-AR691)*(1-Settings!$G$17))),"")</f>
        <v/>
      </c>
      <c r="P691" s="101">
        <f>IFERROR(IF(T691="","",(T691*(1-AS691)*(1-Settings!$H$17)-I691)/(T691*(1-AS691)*(1-Settings!$H$17))),"")</f>
        <v/>
      </c>
      <c r="Q691" s="101">
        <f>IFERROR(IF(T691="","",(T691*(1-AT691)*(1-Settings!$I$68)*(1-Settings!$I$17)-I691)/(T691*(1-AT691)*(1-Settings!$I$68)*(1-Settings!$I$17))),"")</f>
        <v/>
      </c>
      <c r="R691" s="91">
        <f>IFERROR(IF(OR(I691="",Z691&gt;=1,Settings!$B$17&gt;=1,AN691&gt;=1),"",IF(MOD(ROUND(I691/(1-Z691)/(1-Settings!$B$17)/(1-AN691),0),10)=0,ROUND(I691/(1-Z691)/(1-Settings!$B$17)/(1-AN691),0)-1,IF(MOD(ROUND(I691/(1-Z691)/(1-Settings!$B$17)/(1-AN691),0),10)&lt;=5,FLOOR(ROUND(I691/(1-Z691)/(1-Settings!$B$17)/(1-AN691),0),10)+6,FLOOR(ROUND(I691/(1-Z691)/(1-Settings!$B$17)/(1-AN691),0),10)+9))),"")</f>
        <v/>
      </c>
      <c r="S691" s="174">
        <f>R691*0.95</f>
        <v/>
      </c>
      <c r="T691" s="91">
        <f>IF(S691&lt;&gt;"", IF(MOD(S691,10)=0,S691-1,IF(MOD(S691,10)&lt;=5,FLOOR(S691,10)+6,FLOOR(S691,10)+9)), R691)</f>
        <v/>
      </c>
      <c r="U691" s="87" t="inlineStr">
        <is>
          <t>Основний</t>
        </is>
      </c>
      <c r="V691" s="88" t="n"/>
      <c r="W691" s="88" t="n"/>
      <c r="X691" s="89">
        <f>IFERROR(IF(OR(V691="",W691="",T691=""),"", IF(T691&gt;W691,"Дорогий",IF(T691&lt;V691,"Дешевий","У ринку"))),"")</f>
        <v/>
      </c>
      <c r="Y691" s="90" t="n"/>
      <c r="Z691" s="104">
        <f>CHOOSE(MATCH(IF($U691="","Основний",$U691),{"Трафіковий","Основний","Маржинальний","Сезонний","Стратегічний"},0),0.16,0.19,0.24,0.23,0.28)</f>
        <v/>
      </c>
      <c r="AA691" s="104">
        <f>CHOOSE(MATCH(IF($U691="","Основний",$U691),{"Трафіковий","Основний","Маржинальний","Сезонний","Стратегічний"},0),0.18,0.21,0.26,0.25,0.3)</f>
        <v/>
      </c>
      <c r="AB691" s="104">
        <f>CHOOSE(MATCH(IF($U691="","Основний",$U691),{"Трафіковий","Основний","Маржинальний","Сезонний","Стратегічний"},0),0.19,0.22,0.28,0.26,0.32)</f>
        <v/>
      </c>
      <c r="AC691" s="104">
        <f>CHOOSE(MATCH(IF($U691="","Основний",$U691),{"Трафіковий","Основний","Маржинальний","Сезонний","Стратегічний"},0),0.17,0.2,0.25,0.24,0.28)</f>
        <v/>
      </c>
      <c r="AD691" s="104">
        <f>CHOOSE(MATCH(IF($U691="","Основний",$U691),{"Трафіковий","Основний","Маржинальний","Сезонний","Стратегічний"},0),0.18,0.21,0.26,0.25,0.3)</f>
        <v/>
      </c>
      <c r="AE691" s="104">
        <f>CHOOSE(MATCH(IF($U691="","Основний",$U691),{"Трафіковий","Основний","Маржинальний","Сезонний","Стратегічний"},0),0.18,0.2,0.28,0.27,0.32)</f>
        <v/>
      </c>
      <c r="AF691" s="104">
        <f>CHOOSE(MATCH(IF($U691="","Основний",$U691),{"Трафіковий","Основний","Маржинальний","Сезонний","Стратегічний"},0),0.15,0.175,0.22,0.21,0.25)</f>
        <v/>
      </c>
      <c r="AG691" s="104">
        <f>CHOOSE(MATCH(IF($U691="","Основний",$U691),{"Трафіковий","Основний","Маржинальний","Сезонний","Стратегічний"},0),0.13,0.16,0.21,0.2,0.25)</f>
        <v/>
      </c>
      <c r="AH691" s="104">
        <f>CHOOSE(MATCH(IF($U691="","Основний",$U691),{"Трафіковий","Основний","Маржинальний","Сезонний","Стратегічний"},0),0.15,0.18,0.23,0.22,0.27)</f>
        <v/>
      </c>
      <c r="AI691" s="104">
        <f>CHOOSE(MATCH(IF($U691="","Основний",$U691),{"Трафіковий","Основний","Маржинальний","Сезонний","Стратегічний"},0),0.16,0.19,0.25,0.23,0.29)</f>
        <v/>
      </c>
      <c r="AJ691" s="104">
        <f>CHOOSE(MATCH(IF($U691="","Основний",$U691),{"Трафіковий","Основний","Маржинальний","Сезонний","Стратегічний"},0),0.14,0.17,0.22,0.21,0.25)</f>
        <v/>
      </c>
      <c r="AK691" s="104">
        <f>CHOOSE(MATCH(IF($U691="","Основний",$U691),{"Трафіковий","Основний","Маржинальний","Сезонний","Стратегічний"},0),0.15,0.18,0.23,0.22,0.27)</f>
        <v/>
      </c>
      <c r="AL691" s="104">
        <f>CHOOSE(MATCH(IF($U691="","Основний",$U691),{"Трафіковий","Основний","Маржинальний","Сезонний","Стратегічний"},0),0.15,0.17,0.25,0.24,0.29)</f>
        <v/>
      </c>
      <c r="AM691" s="104">
        <f>CHOOSE(MATCH(IF($U691="","Основний",$U691),{"Трафіковий","Основний","Маржинальний","Сезонний","Стратегічний"},0),0.12,0.145,0.19,0.18,0.22)</f>
        <v/>
      </c>
      <c r="AN691" s="157">
        <f>CHOOSE(MATCH(IF($U691="","Основний",$U691),{"Трафіковий","Основний","Маржинальний","Сезонний","Стратегічний"},0),Settings!$B$78,Settings!$B$80,Settings!$B$82,Settings!$B$84,Settings!$B$86)</f>
        <v/>
      </c>
      <c r="AO691" s="157">
        <f>CHOOSE(MATCH(IF($U691="","Основний",$U691),{"Трафіковий","Основний","Маржинальний","Сезонний","Стратегічний"},0),Settings!$C$78,Settings!$C$80,Settings!$C$82,Settings!$C$84,Settings!$C$86)</f>
        <v/>
      </c>
      <c r="AP691" s="157">
        <f>CHOOSE(MATCH(IF($U691="","Основний",$U691),{"Трафіковий","Основний","Маржинальний","Сезонний","Стратегічний"},0),Settings!$D$78,Settings!$D$80,Settings!$D$82,Settings!$D$84,Settings!$D$86)</f>
        <v/>
      </c>
      <c r="AQ691" s="157">
        <f>CHOOSE(MATCH(IF($U691="","Основний",$U691),{"Трафіковий","Основний","Маржинальний","Сезонний","Стратегічний"},0),Settings!$F$78,Settings!$F$80,Settings!$F$82,Settings!$F$84,Settings!$F$86)</f>
        <v/>
      </c>
      <c r="AR691" s="157">
        <f>CHOOSE(MATCH(IF($U691="","Основний",$U691),{"Трафіковий","Основний","Маржинальний","Сезонний","Стратегічний"},0),Settings!$G$78,Settings!$G$80,Settings!$G$82,Settings!$G$84,Settings!$G$86)</f>
        <v/>
      </c>
      <c r="AS691" s="157">
        <f>CHOOSE(MATCH(IF($U691="","Основний",$U691),{"Трафіковий","Основний","Маржинальний","Сезонний","Стратегічний"},0),Settings!$H$78,Settings!$H$80,Settings!$H$82,Settings!$H$84,Settings!$H$86)</f>
        <v/>
      </c>
      <c r="AT691" s="157">
        <f>CHOOSE(MATCH(IF($U691="","Основний",$U691),{"Трафіковий","Основний","Маржинальний","Сезонний","Стратегічний"},0),Settings!$I$78,Settings!$I$80,Settings!$I$82,Settings!$I$84,Settings!$I$86)</f>
        <v/>
      </c>
      <c r="AU691" s="171" t="n"/>
      <c r="AV691" t="n">
        <v>1.25</v>
      </c>
    </row>
    <row r="692">
      <c r="A692" s="28" t="inlineStr">
        <is>
          <t>SELL OUT</t>
        </is>
      </c>
      <c r="B692" s="29" t="inlineStr">
        <is>
          <t>H4061</t>
        </is>
      </c>
      <c r="C692" s="29" t="inlineStr">
        <is>
          <t>GOSMART IP CAMERA INDOOR IP-110 CUBEv2 3MPx</t>
        </is>
      </c>
      <c r="D692" s="29" t="inlineStr">
        <is>
          <t>Відеосистеми, та IP камери</t>
        </is>
      </c>
      <c r="E692" s="28" t="inlineStr">
        <is>
          <t>PC</t>
        </is>
      </c>
      <c r="F692" s="93" t="n">
        <v>34.763</v>
      </c>
      <c r="G692" s="30" t="n">
        <v>8525890000</v>
      </c>
      <c r="H692" s="31" t="n">
        <v>1.3</v>
      </c>
      <c r="I692" s="84">
        <f>IFERROR(F692*Settings!$B$2*H692*IF(AND(ISNUMBER(E692),E692&gt;1),E692,1),"")</f>
        <v/>
      </c>
      <c r="J692" s="32">
        <f>Settings!$B$66</f>
        <v/>
      </c>
      <c r="K692" s="95">
        <f>IFERROR(IF(T692="","",(T692*(1-AN692)*(1-Settings!$B$17)-I692)/(T692*(1-AN692)*(1-Settings!$B$17))),"")</f>
        <v/>
      </c>
      <c r="L692" s="101">
        <f>IFERROR(IF(T692="","",(T692*(1-AO692)*(1-Settings!$C$17)-I692)/(T692*(1-AO692)*(1-Settings!$C$17))),"")</f>
        <v/>
      </c>
      <c r="M692" s="101">
        <f>IFERROR(IF(T692="","",(T692*(1-AP692)*(1-Settings!$D$17)-I692)/(T692*(1-AP692)*(1-Settings!$D$17))),"")</f>
        <v/>
      </c>
      <c r="N692" s="101">
        <f>IFERROR(IF(T692="","",(T692*(1-AQ692)*(1-Settings!$F$17)-I692)/(T692*(1-AQ692)*(1-Settings!$F$17))),"")</f>
        <v/>
      </c>
      <c r="O692" s="101">
        <f>IFERROR(IF(T692="","",(T692*(1-AR692)*(1-Settings!$G$17)-I692)/(T692*(1-AR692)*(1-Settings!$G$17))),"")</f>
        <v/>
      </c>
      <c r="P692" s="101">
        <f>IFERROR(IF(T692="","",(T692*(1-AS692)*(1-Settings!$H$17)-I692)/(T692*(1-AS692)*(1-Settings!$H$17))),"")</f>
        <v/>
      </c>
      <c r="Q692" s="101">
        <f>IFERROR(IF(T692="","",(T692*(1-AT692)*(1-Settings!$I$68)*(1-Settings!$I$17)-I692)/(T692*(1-AT692)*(1-Settings!$I$68)*(1-Settings!$I$17))),"")</f>
        <v/>
      </c>
      <c r="R692" s="91">
        <f>IFERROR(IF(OR(I692="",Z692&gt;=1,Settings!$B$17&gt;=1,AN692&gt;=1),"",IF(MOD(ROUND(I692/(1-Z692)/(1-Settings!$B$17)/(1-AN692),0),10)=0,ROUND(I692/(1-Z692)/(1-Settings!$B$17)/(1-AN692),0)-1,IF(MOD(ROUND(I692/(1-Z692)/(1-Settings!$B$17)/(1-AN692),0),10)&lt;=5,FLOOR(ROUND(I692/(1-Z692)/(1-Settings!$B$17)/(1-AN692),0),10)+6,FLOOR(ROUND(I692/(1-Z692)/(1-Settings!$B$17)/(1-AN692),0),10)+9))),"")</f>
        <v/>
      </c>
      <c r="S692" s="174">
        <f>R692*0.95</f>
        <v/>
      </c>
      <c r="T692" s="91">
        <f>IF(S692&lt;&gt;"", IF(MOD(S692,10)=0,S692-1,IF(MOD(S692,10)&lt;=5,FLOOR(S692,10)+6,FLOOR(S692,10)+9)), R692)</f>
        <v/>
      </c>
      <c r="U692" s="87" t="inlineStr">
        <is>
          <t>Основний</t>
        </is>
      </c>
      <c r="V692" s="88" t="n"/>
      <c r="W692" s="88" t="n"/>
      <c r="X692" s="89">
        <f>IFERROR(IF(OR(V692="",W692="",T692=""),"", IF(T692&gt;W692,"Дорогий",IF(T692&lt;V692,"Дешевий","У ринку"))),"")</f>
        <v/>
      </c>
      <c r="Y692" s="90" t="n"/>
      <c r="Z692" s="104">
        <f>CHOOSE(MATCH(IF($U692="","Основний",$U692),{"Трафіковий","Основний","Маржинальний","Сезонний","Стратегічний"},0),0.16,0.19,0.24,0.23,0.28)</f>
        <v/>
      </c>
      <c r="AA692" s="104">
        <f>CHOOSE(MATCH(IF($U692="","Основний",$U692),{"Трафіковий","Основний","Маржинальний","Сезонний","Стратегічний"},0),0.18,0.21,0.26,0.25,0.3)</f>
        <v/>
      </c>
      <c r="AB692" s="104">
        <f>CHOOSE(MATCH(IF($U692="","Основний",$U692),{"Трафіковий","Основний","Маржинальний","Сезонний","Стратегічний"},0),0.19,0.22,0.28,0.26,0.32)</f>
        <v/>
      </c>
      <c r="AC692" s="104">
        <f>CHOOSE(MATCH(IF($U692="","Основний",$U692),{"Трафіковий","Основний","Маржинальний","Сезонний","Стратегічний"},0),0.17,0.2,0.25,0.24,0.28)</f>
        <v/>
      </c>
      <c r="AD692" s="104">
        <f>CHOOSE(MATCH(IF($U692="","Основний",$U692),{"Трафіковий","Основний","Маржинальний","Сезонний","Стратегічний"},0),0.18,0.21,0.26,0.25,0.3)</f>
        <v/>
      </c>
      <c r="AE692" s="104">
        <f>CHOOSE(MATCH(IF($U692="","Основний",$U692),{"Трафіковий","Основний","Маржинальний","Сезонний","Стратегічний"},0),0.18,0.2,0.28,0.27,0.32)</f>
        <v/>
      </c>
      <c r="AF692" s="104">
        <f>CHOOSE(MATCH(IF($U692="","Основний",$U692),{"Трафіковий","Основний","Маржинальний","Сезонний","Стратегічний"},0),0.15,0.175,0.22,0.21,0.25)</f>
        <v/>
      </c>
      <c r="AG692" s="104">
        <f>CHOOSE(MATCH(IF($U692="","Основний",$U692),{"Трафіковий","Основний","Маржинальний","Сезонний","Стратегічний"},0),0.13,0.16,0.21,0.2,0.25)</f>
        <v/>
      </c>
      <c r="AH692" s="104">
        <f>CHOOSE(MATCH(IF($U692="","Основний",$U692),{"Трафіковий","Основний","Маржинальний","Сезонний","Стратегічний"},0),0.15,0.18,0.23,0.22,0.27)</f>
        <v/>
      </c>
      <c r="AI692" s="104">
        <f>CHOOSE(MATCH(IF($U692="","Основний",$U692),{"Трафіковий","Основний","Маржинальний","Сезонний","Стратегічний"},0),0.16,0.19,0.25,0.23,0.29)</f>
        <v/>
      </c>
      <c r="AJ692" s="104">
        <f>CHOOSE(MATCH(IF($U692="","Основний",$U692),{"Трафіковий","Основний","Маржинальний","Сезонний","Стратегічний"},0),0.14,0.17,0.22,0.21,0.25)</f>
        <v/>
      </c>
      <c r="AK692" s="104">
        <f>CHOOSE(MATCH(IF($U692="","Основний",$U692),{"Трафіковий","Основний","Маржинальний","Сезонний","Стратегічний"},0),0.15,0.18,0.23,0.22,0.27)</f>
        <v/>
      </c>
      <c r="AL692" s="104">
        <f>CHOOSE(MATCH(IF($U692="","Основний",$U692),{"Трафіковий","Основний","Маржинальний","Сезонний","Стратегічний"},0),0.15,0.17,0.25,0.24,0.29)</f>
        <v/>
      </c>
      <c r="AM692" s="104">
        <f>CHOOSE(MATCH(IF($U692="","Основний",$U692),{"Трафіковий","Основний","Маржинальний","Сезонний","Стратегічний"},0),0.12,0.145,0.19,0.18,0.22)</f>
        <v/>
      </c>
      <c r="AN692" s="157">
        <f>CHOOSE(MATCH(IF($U692="","Основний",$U692),{"Трафіковий","Основний","Маржинальний","Сезонний","Стратегічний"},0),Settings!$B$78,Settings!$B$80,Settings!$B$82,Settings!$B$84,Settings!$B$86)</f>
        <v/>
      </c>
      <c r="AO692" s="157">
        <f>CHOOSE(MATCH(IF($U692="","Основний",$U692),{"Трафіковий","Основний","Маржинальний","Сезонний","Стратегічний"},0),Settings!$C$78,Settings!$C$80,Settings!$C$82,Settings!$C$84,Settings!$C$86)</f>
        <v/>
      </c>
      <c r="AP692" s="157">
        <f>CHOOSE(MATCH(IF($U692="","Основний",$U692),{"Трафіковий","Основний","Маржинальний","Сезонний","Стратегічний"},0),Settings!$D$78,Settings!$D$80,Settings!$D$82,Settings!$D$84,Settings!$D$86)</f>
        <v/>
      </c>
      <c r="AQ692" s="157">
        <f>CHOOSE(MATCH(IF($U692="","Основний",$U692),{"Трафіковий","Основний","Маржинальний","Сезонний","Стратегічний"},0),Settings!$F$78,Settings!$F$80,Settings!$F$82,Settings!$F$84,Settings!$F$86)</f>
        <v/>
      </c>
      <c r="AR692" s="157">
        <f>CHOOSE(MATCH(IF($U692="","Основний",$U692),{"Трафіковий","Основний","Маржинальний","Сезонний","Стратегічний"},0),Settings!$G$78,Settings!$G$80,Settings!$G$82,Settings!$G$84,Settings!$G$86)</f>
        <v/>
      </c>
      <c r="AS692" s="157">
        <f>CHOOSE(MATCH(IF($U692="","Основний",$U692),{"Трафіковий","Основний","Маржинальний","Сезонний","Стратегічний"},0),Settings!$H$78,Settings!$H$80,Settings!$H$82,Settings!$H$84,Settings!$H$86)</f>
        <v/>
      </c>
      <c r="AT692" s="157">
        <f>CHOOSE(MATCH(IF($U692="","Основний",$U692),{"Трафіковий","Основний","Маржинальний","Сезонний","Стратегічний"},0),Settings!$I$78,Settings!$I$80,Settings!$I$82,Settings!$I$84,Settings!$I$86)</f>
        <v/>
      </c>
      <c r="AU692" s="171" t="n"/>
      <c r="AV692" t="n">
        <v>1.25</v>
      </c>
    </row>
    <row r="693">
      <c r="A693" s="33" t="n"/>
      <c r="B693" s="34" t="inlineStr">
        <is>
          <t>H4062</t>
        </is>
      </c>
      <c r="C693" s="34" t="inlineStr">
        <is>
          <t>GOSMART IP CAMERA INDOOR  IP-220W 4MPX PTZ</t>
        </is>
      </c>
      <c r="D693" s="34" t="inlineStr">
        <is>
          <t>Відеосистеми, та IP камери</t>
        </is>
      </c>
      <c r="E693" s="33" t="inlineStr">
        <is>
          <t>PC</t>
        </is>
      </c>
      <c r="F693" s="94" t="n">
        <v>21.688</v>
      </c>
      <c r="G693" s="35" t="n">
        <v>8525890000</v>
      </c>
      <c r="H693" s="31" t="n">
        <v>1.3</v>
      </c>
      <c r="I693" s="84">
        <f>IFERROR(F693*Settings!$B$2*H693*IF(AND(ISNUMBER(E693),E693&gt;1),E693,1),"")</f>
        <v/>
      </c>
      <c r="J693" s="32">
        <f>Settings!$B$66</f>
        <v/>
      </c>
      <c r="K693" s="95">
        <f>IFERROR(IF(T693="","",(T693*(1-AN693)*(1-Settings!$B$17)-I693)/(T693*(1-AN693)*(1-Settings!$B$17))),"")</f>
        <v/>
      </c>
      <c r="L693" s="101">
        <f>IFERROR(IF(T693="","",(T693*(1-AO693)*(1-Settings!$C$17)-I693)/(T693*(1-AO693)*(1-Settings!$C$17))),"")</f>
        <v/>
      </c>
      <c r="M693" s="101">
        <f>IFERROR(IF(T693="","",(T693*(1-AP693)*(1-Settings!$D$17)-I693)/(T693*(1-AP693)*(1-Settings!$D$17))),"")</f>
        <v/>
      </c>
      <c r="N693" s="101">
        <f>IFERROR(IF(T693="","",(T693*(1-AQ693)*(1-Settings!$F$17)-I693)/(T693*(1-AQ693)*(1-Settings!$F$17))),"")</f>
        <v/>
      </c>
      <c r="O693" s="101">
        <f>IFERROR(IF(T693="","",(T693*(1-AR693)*(1-Settings!$G$17)-I693)/(T693*(1-AR693)*(1-Settings!$G$17))),"")</f>
        <v/>
      </c>
      <c r="P693" s="101">
        <f>IFERROR(IF(T693="","",(T693*(1-AS693)*(1-Settings!$H$17)-I693)/(T693*(1-AS693)*(1-Settings!$H$17))),"")</f>
        <v/>
      </c>
      <c r="Q693" s="101">
        <f>IFERROR(IF(T693="","",(T693*(1-AT693)*(1-Settings!$I$68)*(1-Settings!$I$17)-I693)/(T693*(1-AT693)*(1-Settings!$I$68)*(1-Settings!$I$17))),"")</f>
        <v/>
      </c>
      <c r="R693" s="91">
        <f>IFERROR(IF(OR(I693="",Z693&gt;=1,Settings!$B$17&gt;=1,AN693&gt;=1),"",IF(MOD(ROUND(I693/(1-Z693)/(1-Settings!$B$17)/(1-AN693),0),10)=0,ROUND(I693/(1-Z693)/(1-Settings!$B$17)/(1-AN693),0)-1,IF(MOD(ROUND(I693/(1-Z693)/(1-Settings!$B$17)/(1-AN693),0),10)&lt;=5,FLOOR(ROUND(I693/(1-Z693)/(1-Settings!$B$17)/(1-AN693),0),10)+6,FLOOR(ROUND(I693/(1-Z693)/(1-Settings!$B$17)/(1-AN693),0),10)+9))),"")</f>
        <v/>
      </c>
      <c r="S693" s="174">
        <f>R693*0.95</f>
        <v/>
      </c>
      <c r="T693" s="91">
        <f>IF(S693&lt;&gt;"", IF(MOD(S693,10)=0,S693-1,IF(MOD(S693,10)&lt;=5,FLOOR(S693,10)+6,FLOOR(S693,10)+9)), R693)</f>
        <v/>
      </c>
      <c r="U693" s="87" t="inlineStr">
        <is>
          <t>Основний</t>
        </is>
      </c>
      <c r="V693" s="88" t="n"/>
      <c r="W693" s="88" t="n"/>
      <c r="X693" s="89">
        <f>IFERROR(IF(OR(V693="",W693="",T693=""),"", IF(T693&gt;W693,"Дорогий",IF(T693&lt;V693,"Дешевий","У ринку"))),"")</f>
        <v/>
      </c>
      <c r="Y693" s="90" t="n"/>
      <c r="Z693" s="104">
        <f>CHOOSE(MATCH(IF($U693="","Основний",$U693),{"Трафіковий","Основний","Маржинальний","Сезонний","Стратегічний"},0),0.16,0.19,0.24,0.23,0.28)</f>
        <v/>
      </c>
      <c r="AA693" s="104">
        <f>CHOOSE(MATCH(IF($U693="","Основний",$U693),{"Трафіковий","Основний","Маржинальний","Сезонний","Стратегічний"},0),0.18,0.21,0.26,0.25,0.3)</f>
        <v/>
      </c>
      <c r="AB693" s="104">
        <f>CHOOSE(MATCH(IF($U693="","Основний",$U693),{"Трафіковий","Основний","Маржинальний","Сезонний","Стратегічний"},0),0.19,0.22,0.28,0.26,0.32)</f>
        <v/>
      </c>
      <c r="AC693" s="104">
        <f>CHOOSE(MATCH(IF($U693="","Основний",$U693),{"Трафіковий","Основний","Маржинальний","Сезонний","Стратегічний"},0),0.17,0.2,0.25,0.24,0.28)</f>
        <v/>
      </c>
      <c r="AD693" s="104">
        <f>CHOOSE(MATCH(IF($U693="","Основний",$U693),{"Трафіковий","Основний","Маржинальний","Сезонний","Стратегічний"},0),0.18,0.21,0.26,0.25,0.3)</f>
        <v/>
      </c>
      <c r="AE693" s="104">
        <f>CHOOSE(MATCH(IF($U693="","Основний",$U693),{"Трафіковий","Основний","Маржинальний","Сезонний","Стратегічний"},0),0.18,0.2,0.28,0.27,0.32)</f>
        <v/>
      </c>
      <c r="AF693" s="104">
        <f>CHOOSE(MATCH(IF($U693="","Основний",$U693),{"Трафіковий","Основний","Маржинальний","Сезонний","Стратегічний"},0),0.15,0.175,0.22,0.21,0.25)</f>
        <v/>
      </c>
      <c r="AG693" s="104">
        <f>CHOOSE(MATCH(IF($U693="","Основний",$U693),{"Трафіковий","Основний","Маржинальний","Сезонний","Стратегічний"},0),0.13,0.16,0.21,0.2,0.25)</f>
        <v/>
      </c>
      <c r="AH693" s="104">
        <f>CHOOSE(MATCH(IF($U693="","Основний",$U693),{"Трафіковий","Основний","Маржинальний","Сезонний","Стратегічний"},0),0.15,0.18,0.23,0.22,0.27)</f>
        <v/>
      </c>
      <c r="AI693" s="104">
        <f>CHOOSE(MATCH(IF($U693="","Основний",$U693),{"Трафіковий","Основний","Маржинальний","Сезонний","Стратегічний"},0),0.16,0.19,0.25,0.23,0.29)</f>
        <v/>
      </c>
      <c r="AJ693" s="104">
        <f>CHOOSE(MATCH(IF($U693="","Основний",$U693),{"Трафіковий","Основний","Маржинальний","Сезонний","Стратегічний"},0),0.14,0.17,0.22,0.21,0.25)</f>
        <v/>
      </c>
      <c r="AK693" s="104">
        <f>CHOOSE(MATCH(IF($U693="","Основний",$U693),{"Трафіковий","Основний","Маржинальний","Сезонний","Стратегічний"},0),0.15,0.18,0.23,0.22,0.27)</f>
        <v/>
      </c>
      <c r="AL693" s="104">
        <f>CHOOSE(MATCH(IF($U693="","Основний",$U693),{"Трафіковий","Основний","Маржинальний","Сезонний","Стратегічний"},0),0.15,0.17,0.25,0.24,0.29)</f>
        <v/>
      </c>
      <c r="AM693" s="104">
        <f>CHOOSE(MATCH(IF($U693="","Основний",$U693),{"Трафіковий","Основний","Маржинальний","Сезонний","Стратегічний"},0),0.12,0.145,0.19,0.18,0.22)</f>
        <v/>
      </c>
      <c r="AN693" s="157">
        <f>CHOOSE(MATCH(IF($U693="","Основний",$U693),{"Трафіковий","Основний","Маржинальний","Сезонний","Стратегічний"},0),Settings!$B$78,Settings!$B$80,Settings!$B$82,Settings!$B$84,Settings!$B$86)</f>
        <v/>
      </c>
      <c r="AO693" s="157">
        <f>CHOOSE(MATCH(IF($U693="","Основний",$U693),{"Трафіковий","Основний","Маржинальний","Сезонний","Стратегічний"},0),Settings!$C$78,Settings!$C$80,Settings!$C$82,Settings!$C$84,Settings!$C$86)</f>
        <v/>
      </c>
      <c r="AP693" s="157">
        <f>CHOOSE(MATCH(IF($U693="","Основний",$U693),{"Трафіковий","Основний","Маржинальний","Сезонний","Стратегічний"},0),Settings!$D$78,Settings!$D$80,Settings!$D$82,Settings!$D$84,Settings!$D$86)</f>
        <v/>
      </c>
      <c r="AQ693" s="157">
        <f>CHOOSE(MATCH(IF($U693="","Основний",$U693),{"Трафіковий","Основний","Маржинальний","Сезонний","Стратегічний"},0),Settings!$F$78,Settings!$F$80,Settings!$F$82,Settings!$F$84,Settings!$F$86)</f>
        <v/>
      </c>
      <c r="AR693" s="157">
        <f>CHOOSE(MATCH(IF($U693="","Основний",$U693),{"Трафіковий","Основний","Маржинальний","Сезонний","Стратегічний"},0),Settings!$G$78,Settings!$G$80,Settings!$G$82,Settings!$G$84,Settings!$G$86)</f>
        <v/>
      </c>
      <c r="AS693" s="157">
        <f>CHOOSE(MATCH(IF($U693="","Основний",$U693),{"Трафіковий","Основний","Маржинальний","Сезонний","Стратегічний"},0),Settings!$H$78,Settings!$H$80,Settings!$H$82,Settings!$H$84,Settings!$H$86)</f>
        <v/>
      </c>
      <c r="AT693" s="157">
        <f>CHOOSE(MATCH(IF($U693="","Основний",$U693),{"Трафіковий","Основний","Маржинальний","Сезонний","Стратегічний"},0),Settings!$I$78,Settings!$I$80,Settings!$I$82,Settings!$I$84,Settings!$I$86)</f>
        <v/>
      </c>
      <c r="AU693" s="171" t="n"/>
      <c r="AV693" t="n">
        <v>1.35</v>
      </c>
    </row>
    <row r="694">
      <c r="A694" s="28" t="inlineStr">
        <is>
          <t>SELL OUT</t>
        </is>
      </c>
      <c r="B694" s="29" t="inlineStr">
        <is>
          <t>H4063</t>
        </is>
      </c>
      <c r="C694" s="29" t="inlineStr">
        <is>
          <t>GOSMART IP CAMERA OUTDOOR  IP-210 SNAPv2 5MPx</t>
        </is>
      </c>
      <c r="D694" s="29" t="inlineStr">
        <is>
          <t>Відеосистеми, та IP камери</t>
        </is>
      </c>
      <c r="E694" s="28" t="inlineStr">
        <is>
          <t>PC</t>
        </is>
      </c>
      <c r="F694" s="93" t="n">
        <v>52.839</v>
      </c>
      <c r="G694" s="30" t="n">
        <v>8525890000</v>
      </c>
      <c r="H694" s="31" t="n">
        <v>1.3</v>
      </c>
      <c r="I694" s="84">
        <f>IFERROR(F694*Settings!$B$2*H694*IF(AND(ISNUMBER(E694),E694&gt;1),E694,1),"")</f>
        <v/>
      </c>
      <c r="J694" s="32">
        <f>Settings!$B$66</f>
        <v/>
      </c>
      <c r="K694" s="95">
        <f>IFERROR(IF(T694="","",(T694*(1-AN694)*(1-Settings!$B$17)-I694)/(T694*(1-AN694)*(1-Settings!$B$17))),"")</f>
        <v/>
      </c>
      <c r="L694" s="101">
        <f>IFERROR(IF(T694="","",(T694*(1-AO694)*(1-Settings!$C$17)-I694)/(T694*(1-AO694)*(1-Settings!$C$17))),"")</f>
        <v/>
      </c>
      <c r="M694" s="101">
        <f>IFERROR(IF(T694="","",(T694*(1-AP694)*(1-Settings!$D$17)-I694)/(T694*(1-AP694)*(1-Settings!$D$17))),"")</f>
        <v/>
      </c>
      <c r="N694" s="101">
        <f>IFERROR(IF(T694="","",(T694*(1-AQ694)*(1-Settings!$F$17)-I694)/(T694*(1-AQ694)*(1-Settings!$F$17))),"")</f>
        <v/>
      </c>
      <c r="O694" s="101">
        <f>IFERROR(IF(T694="","",(T694*(1-AR694)*(1-Settings!$G$17)-I694)/(T694*(1-AR694)*(1-Settings!$G$17))),"")</f>
        <v/>
      </c>
      <c r="P694" s="101">
        <f>IFERROR(IF(T694="","",(T694*(1-AS694)*(1-Settings!$H$17)-I694)/(T694*(1-AS694)*(1-Settings!$H$17))),"")</f>
        <v/>
      </c>
      <c r="Q694" s="101">
        <f>IFERROR(IF(T694="","",(T694*(1-AT694)*(1-Settings!$I$68)*(1-Settings!$I$17)-I694)/(T694*(1-AT694)*(1-Settings!$I$68)*(1-Settings!$I$17))),"")</f>
        <v/>
      </c>
      <c r="R694" s="91">
        <f>IFERROR(IF(OR(I694="",Z694&gt;=1,Settings!$B$17&gt;=1,AN694&gt;=1),"",IF(MOD(ROUND(I694/(1-Z694)/(1-Settings!$B$17)/(1-AN694),0),10)=0,ROUND(I694/(1-Z694)/(1-Settings!$B$17)/(1-AN694),0)-1,IF(MOD(ROUND(I694/(1-Z694)/(1-Settings!$B$17)/(1-AN694),0),10)&lt;=5,FLOOR(ROUND(I694/(1-Z694)/(1-Settings!$B$17)/(1-AN694),0),10)+6,FLOOR(ROUND(I694/(1-Z694)/(1-Settings!$B$17)/(1-AN694),0),10)+9))),"")</f>
        <v/>
      </c>
      <c r="S694" s="174">
        <f>R694*0.95</f>
        <v/>
      </c>
      <c r="T694" s="91">
        <f>IF(S694&lt;&gt;"", IF(MOD(S694,10)=0,S694-1,IF(MOD(S694,10)&lt;=5,FLOOR(S694,10)+6,FLOOR(S694,10)+9)), R694)</f>
        <v/>
      </c>
      <c r="U694" s="87" t="inlineStr">
        <is>
          <t>Трафіковий</t>
        </is>
      </c>
      <c r="V694" s="88" t="n"/>
      <c r="W694" s="88" t="n"/>
      <c r="X694" s="89">
        <f>IFERROR(IF(OR(V694="",W694="",T694=""),"", IF(T694&gt;W694,"Дорогий",IF(T694&lt;V694,"Дешевий","У ринку"))),"")</f>
        <v/>
      </c>
      <c r="Y694" s="90" t="n"/>
      <c r="Z694" s="104">
        <f>CHOOSE(MATCH(IF($U694="","Основний",$U694),{"Трафіковий","Основний","Маржинальний","Сезонний","Стратегічний"},0),0.16,0.19,0.24,0.23,0.28)</f>
        <v/>
      </c>
      <c r="AA694" s="104">
        <f>CHOOSE(MATCH(IF($U694="","Основний",$U694),{"Трафіковий","Основний","Маржинальний","Сезонний","Стратегічний"},0),0.18,0.21,0.26,0.25,0.3)</f>
        <v/>
      </c>
      <c r="AB694" s="104">
        <f>CHOOSE(MATCH(IF($U694="","Основний",$U694),{"Трафіковий","Основний","Маржинальний","Сезонний","Стратегічний"},0),0.19,0.22,0.28,0.26,0.32)</f>
        <v/>
      </c>
      <c r="AC694" s="104">
        <f>CHOOSE(MATCH(IF($U694="","Основний",$U694),{"Трафіковий","Основний","Маржинальний","Сезонний","Стратегічний"},0),0.17,0.2,0.25,0.24,0.28)</f>
        <v/>
      </c>
      <c r="AD694" s="104">
        <f>CHOOSE(MATCH(IF($U694="","Основний",$U694),{"Трафіковий","Основний","Маржинальний","Сезонний","Стратегічний"},0),0.18,0.21,0.26,0.25,0.3)</f>
        <v/>
      </c>
      <c r="AE694" s="104">
        <f>CHOOSE(MATCH(IF($U694="","Основний",$U694),{"Трафіковий","Основний","Маржинальний","Сезонний","Стратегічний"},0),0.18,0.2,0.28,0.27,0.32)</f>
        <v/>
      </c>
      <c r="AF694" s="104">
        <f>CHOOSE(MATCH(IF($U694="","Основний",$U694),{"Трафіковий","Основний","Маржинальний","Сезонний","Стратегічний"},0),0.15,0.175,0.22,0.21,0.25)</f>
        <v/>
      </c>
      <c r="AG694" s="104">
        <f>CHOOSE(MATCH(IF($U694="","Основний",$U694),{"Трафіковий","Основний","Маржинальний","Сезонний","Стратегічний"},0),0.13,0.16,0.21,0.2,0.25)</f>
        <v/>
      </c>
      <c r="AH694" s="104">
        <f>CHOOSE(MATCH(IF($U694="","Основний",$U694),{"Трафіковий","Основний","Маржинальний","Сезонний","Стратегічний"},0),0.15,0.18,0.23,0.22,0.27)</f>
        <v/>
      </c>
      <c r="AI694" s="104">
        <f>CHOOSE(MATCH(IF($U694="","Основний",$U694),{"Трафіковий","Основний","Маржинальний","Сезонний","Стратегічний"},0),0.16,0.19,0.25,0.23,0.29)</f>
        <v/>
      </c>
      <c r="AJ694" s="104">
        <f>CHOOSE(MATCH(IF($U694="","Основний",$U694),{"Трафіковий","Основний","Маржинальний","Сезонний","Стратегічний"},0),0.14,0.17,0.22,0.21,0.25)</f>
        <v/>
      </c>
      <c r="AK694" s="104">
        <f>CHOOSE(MATCH(IF($U694="","Основний",$U694),{"Трафіковий","Основний","Маржинальний","Сезонний","Стратегічний"},0),0.15,0.18,0.23,0.22,0.27)</f>
        <v/>
      </c>
      <c r="AL694" s="104">
        <f>CHOOSE(MATCH(IF($U694="","Основний",$U694),{"Трафіковий","Основний","Маржинальний","Сезонний","Стратегічний"},0),0.15,0.17,0.25,0.24,0.29)</f>
        <v/>
      </c>
      <c r="AM694" s="104">
        <f>CHOOSE(MATCH(IF($U694="","Основний",$U694),{"Трафіковий","Основний","Маржинальний","Сезонний","Стратегічний"},0),0.12,0.145,0.19,0.18,0.22)</f>
        <v/>
      </c>
      <c r="AN694" s="157">
        <f>CHOOSE(MATCH(IF($U694="","Основний",$U694),{"Трафіковий","Основний","Маржинальний","Сезонний","Стратегічний"},0),Settings!$B$78,Settings!$B$80,Settings!$B$82,Settings!$B$84,Settings!$B$86)</f>
        <v/>
      </c>
      <c r="AO694" s="157">
        <f>CHOOSE(MATCH(IF($U694="","Основний",$U694),{"Трафіковий","Основний","Маржинальний","Сезонний","Стратегічний"},0),Settings!$C$78,Settings!$C$80,Settings!$C$82,Settings!$C$84,Settings!$C$86)</f>
        <v/>
      </c>
      <c r="AP694" s="157">
        <f>CHOOSE(MATCH(IF($U694="","Основний",$U694),{"Трафіковий","Основний","Маржинальний","Сезонний","Стратегічний"},0),Settings!$D$78,Settings!$D$80,Settings!$D$82,Settings!$D$84,Settings!$D$86)</f>
        <v/>
      </c>
      <c r="AQ694" s="157">
        <f>CHOOSE(MATCH(IF($U694="","Основний",$U694),{"Трафіковий","Основний","Маржинальний","Сезонний","Стратегічний"},0),Settings!$F$78,Settings!$F$80,Settings!$F$82,Settings!$F$84,Settings!$F$86)</f>
        <v/>
      </c>
      <c r="AR694" s="157">
        <f>CHOOSE(MATCH(IF($U694="","Основний",$U694),{"Трафіковий","Основний","Маржинальний","Сезонний","Стратегічний"},0),Settings!$G$78,Settings!$G$80,Settings!$G$82,Settings!$G$84,Settings!$G$86)</f>
        <v/>
      </c>
      <c r="AS694" s="157">
        <f>CHOOSE(MATCH(IF($U694="","Основний",$U694),{"Трафіковий","Основний","Маржинальний","Сезонний","Стратегічний"},0),Settings!$H$78,Settings!$H$80,Settings!$H$82,Settings!$H$84,Settings!$H$86)</f>
        <v/>
      </c>
      <c r="AT694" s="157">
        <f>CHOOSE(MATCH(IF($U694="","Основний",$U694),{"Трафіковий","Основний","Маржинальний","Сезонний","Стратегічний"},0),Settings!$I$78,Settings!$I$80,Settings!$I$82,Settings!$I$84,Settings!$I$86)</f>
        <v/>
      </c>
      <c r="AU694" s="171" t="n"/>
      <c r="AV694" t="n">
        <v>1.25</v>
      </c>
    </row>
    <row r="695">
      <c r="A695" s="33" t="inlineStr">
        <is>
          <t>SELL OUT</t>
        </is>
      </c>
      <c r="B695" s="34" t="inlineStr">
        <is>
          <t>H4065</t>
        </is>
      </c>
      <c r="C695" s="34" t="inlineStr">
        <is>
          <t>GOSMART IP CAMERA OUTDOOR IP-310 TORCHv2 B 3MP</t>
        </is>
      </c>
      <c r="D695" s="34" t="inlineStr">
        <is>
          <t>Відеосистеми, та IP камери</t>
        </is>
      </c>
      <c r="E695" s="33" t="inlineStr">
        <is>
          <t>PC</t>
        </is>
      </c>
      <c r="F695" s="94" t="n">
        <v>52.839</v>
      </c>
      <c r="G695" s="35" t="n">
        <v>8525890000</v>
      </c>
      <c r="H695" s="31" t="n">
        <v>1.3</v>
      </c>
      <c r="I695" s="84">
        <f>IFERROR(F695*Settings!$B$2*H695*IF(AND(ISNUMBER(E695),E695&gt;1),E695,1),"")</f>
        <v/>
      </c>
      <c r="J695" s="32">
        <f>Settings!$B$66</f>
        <v/>
      </c>
      <c r="K695" s="95">
        <f>IFERROR(IF(T695="","",(T695*(1-AN695)*(1-Settings!$B$17)-I695)/(T695*(1-AN695)*(1-Settings!$B$17))),"")</f>
        <v/>
      </c>
      <c r="L695" s="101">
        <f>IFERROR(IF(T695="","",(T695*(1-AO695)*(1-Settings!$C$17)-I695)/(T695*(1-AO695)*(1-Settings!$C$17))),"")</f>
        <v/>
      </c>
      <c r="M695" s="101">
        <f>IFERROR(IF(T695="","",(T695*(1-AP695)*(1-Settings!$D$17)-I695)/(T695*(1-AP695)*(1-Settings!$D$17))),"")</f>
        <v/>
      </c>
      <c r="N695" s="101">
        <f>IFERROR(IF(T695="","",(T695*(1-AQ695)*(1-Settings!$F$17)-I695)/(T695*(1-AQ695)*(1-Settings!$F$17))),"")</f>
        <v/>
      </c>
      <c r="O695" s="101">
        <f>IFERROR(IF(T695="","",(T695*(1-AR695)*(1-Settings!$G$17)-I695)/(T695*(1-AR695)*(1-Settings!$G$17))),"")</f>
        <v/>
      </c>
      <c r="P695" s="101">
        <f>IFERROR(IF(T695="","",(T695*(1-AS695)*(1-Settings!$H$17)-I695)/(T695*(1-AS695)*(1-Settings!$H$17))),"")</f>
        <v/>
      </c>
      <c r="Q695" s="101">
        <f>IFERROR(IF(T695="","",(T695*(1-AT695)*(1-Settings!$I$68)*(1-Settings!$I$17)-I695)/(T695*(1-AT695)*(1-Settings!$I$68)*(1-Settings!$I$17))),"")</f>
        <v/>
      </c>
      <c r="R695" s="91">
        <f>IFERROR(IF(OR(I695="",Z695&gt;=1,Settings!$B$17&gt;=1,AN695&gt;=1),"",IF(MOD(ROUND(I695/(1-Z695)/(1-Settings!$B$17)/(1-AN695),0),10)=0,ROUND(I695/(1-Z695)/(1-Settings!$B$17)/(1-AN695),0)-1,IF(MOD(ROUND(I695/(1-Z695)/(1-Settings!$B$17)/(1-AN695),0),10)&lt;=5,FLOOR(ROUND(I695/(1-Z695)/(1-Settings!$B$17)/(1-AN695),0),10)+6,FLOOR(ROUND(I695/(1-Z695)/(1-Settings!$B$17)/(1-AN695),0),10)+9))),"")</f>
        <v/>
      </c>
      <c r="S695" s="174">
        <f>R695*0.95</f>
        <v/>
      </c>
      <c r="T695" s="91">
        <f>IF(S695&lt;&gt;"", IF(MOD(S695,10)=0,S695-1,IF(MOD(S695,10)&lt;=5,FLOOR(S695,10)+6,FLOOR(S695,10)+9)), R695)</f>
        <v/>
      </c>
      <c r="U695" s="87" t="inlineStr">
        <is>
          <t>Трафіковий</t>
        </is>
      </c>
      <c r="V695" s="88" t="n"/>
      <c r="W695" s="88" t="n"/>
      <c r="X695" s="89">
        <f>IFERROR(IF(OR(V695="",W695="",T695=""),"", IF(T695&gt;W695,"Дорогий",IF(T695&lt;V695,"Дешевий","У ринку"))),"")</f>
        <v/>
      </c>
      <c r="Y695" s="90" t="n"/>
      <c r="Z695" s="104">
        <f>CHOOSE(MATCH(IF($U695="","Основний",$U695),{"Трафіковий","Основний","Маржинальний","Сезонний","Стратегічний"},0),0.16,0.19,0.24,0.23,0.28)</f>
        <v/>
      </c>
      <c r="AA695" s="104">
        <f>CHOOSE(MATCH(IF($U695="","Основний",$U695),{"Трафіковий","Основний","Маржинальний","Сезонний","Стратегічний"},0),0.18,0.21,0.26,0.25,0.3)</f>
        <v/>
      </c>
      <c r="AB695" s="104">
        <f>CHOOSE(MATCH(IF($U695="","Основний",$U695),{"Трафіковий","Основний","Маржинальний","Сезонний","Стратегічний"},0),0.19,0.22,0.28,0.26,0.32)</f>
        <v/>
      </c>
      <c r="AC695" s="104">
        <f>CHOOSE(MATCH(IF($U695="","Основний",$U695),{"Трафіковий","Основний","Маржинальний","Сезонний","Стратегічний"},0),0.17,0.2,0.25,0.24,0.28)</f>
        <v/>
      </c>
      <c r="AD695" s="104">
        <f>CHOOSE(MATCH(IF($U695="","Основний",$U695),{"Трафіковий","Основний","Маржинальний","Сезонний","Стратегічний"},0),0.18,0.21,0.26,0.25,0.3)</f>
        <v/>
      </c>
      <c r="AE695" s="104">
        <f>CHOOSE(MATCH(IF($U695="","Основний",$U695),{"Трафіковий","Основний","Маржинальний","Сезонний","Стратегічний"},0),0.18,0.2,0.28,0.27,0.32)</f>
        <v/>
      </c>
      <c r="AF695" s="104">
        <f>CHOOSE(MATCH(IF($U695="","Основний",$U695),{"Трафіковий","Основний","Маржинальний","Сезонний","Стратегічний"},0),0.15,0.175,0.22,0.21,0.25)</f>
        <v/>
      </c>
      <c r="AG695" s="104">
        <f>CHOOSE(MATCH(IF($U695="","Основний",$U695),{"Трафіковий","Основний","Маржинальний","Сезонний","Стратегічний"},0),0.13,0.16,0.21,0.2,0.25)</f>
        <v/>
      </c>
      <c r="AH695" s="104">
        <f>CHOOSE(MATCH(IF($U695="","Основний",$U695),{"Трафіковий","Основний","Маржинальний","Сезонний","Стратегічний"},0),0.15,0.18,0.23,0.22,0.27)</f>
        <v/>
      </c>
      <c r="AI695" s="104">
        <f>CHOOSE(MATCH(IF($U695="","Основний",$U695),{"Трафіковий","Основний","Маржинальний","Сезонний","Стратегічний"},0),0.16,0.19,0.25,0.23,0.29)</f>
        <v/>
      </c>
      <c r="AJ695" s="104">
        <f>CHOOSE(MATCH(IF($U695="","Основний",$U695),{"Трафіковий","Основний","Маржинальний","Сезонний","Стратегічний"},0),0.14,0.17,0.22,0.21,0.25)</f>
        <v/>
      </c>
      <c r="AK695" s="104">
        <f>CHOOSE(MATCH(IF($U695="","Основний",$U695),{"Трафіковий","Основний","Маржинальний","Сезонний","Стратегічний"},0),0.15,0.18,0.23,0.22,0.27)</f>
        <v/>
      </c>
      <c r="AL695" s="104">
        <f>CHOOSE(MATCH(IF($U695="","Основний",$U695),{"Трафіковий","Основний","Маржинальний","Сезонний","Стратегічний"},0),0.15,0.17,0.25,0.24,0.29)</f>
        <v/>
      </c>
      <c r="AM695" s="104">
        <f>CHOOSE(MATCH(IF($U695="","Основний",$U695),{"Трафіковий","Основний","Маржинальний","Сезонний","Стратегічний"},0),0.12,0.145,0.19,0.18,0.22)</f>
        <v/>
      </c>
      <c r="AN695" s="157">
        <f>CHOOSE(MATCH(IF($U695="","Основний",$U695),{"Трафіковий","Основний","Маржинальний","Сезонний","Стратегічний"},0),Settings!$B$78,Settings!$B$80,Settings!$B$82,Settings!$B$84,Settings!$B$86)</f>
        <v/>
      </c>
      <c r="AO695" s="157">
        <f>CHOOSE(MATCH(IF($U695="","Основний",$U695),{"Трафіковий","Основний","Маржинальний","Сезонний","Стратегічний"},0),Settings!$C$78,Settings!$C$80,Settings!$C$82,Settings!$C$84,Settings!$C$86)</f>
        <v/>
      </c>
      <c r="AP695" s="157">
        <f>CHOOSE(MATCH(IF($U695="","Основний",$U695),{"Трафіковий","Основний","Маржинальний","Сезонний","Стратегічний"},0),Settings!$D$78,Settings!$D$80,Settings!$D$82,Settings!$D$84,Settings!$D$86)</f>
        <v/>
      </c>
      <c r="AQ695" s="157">
        <f>CHOOSE(MATCH(IF($U695="","Основний",$U695),{"Трафіковий","Основний","Маржинальний","Сезонний","Стратегічний"},0),Settings!$F$78,Settings!$F$80,Settings!$F$82,Settings!$F$84,Settings!$F$86)</f>
        <v/>
      </c>
      <c r="AR695" s="157">
        <f>CHOOSE(MATCH(IF($U695="","Основний",$U695),{"Трафіковий","Основний","Маржинальний","Сезонний","Стратегічний"},0),Settings!$G$78,Settings!$G$80,Settings!$G$82,Settings!$G$84,Settings!$G$86)</f>
        <v/>
      </c>
      <c r="AS695" s="157">
        <f>CHOOSE(MATCH(IF($U695="","Основний",$U695),{"Трафіковий","Основний","Маржинальний","Сезонний","Стратегічний"},0),Settings!$H$78,Settings!$H$80,Settings!$H$82,Settings!$H$84,Settings!$H$86)</f>
        <v/>
      </c>
      <c r="AT695" s="157">
        <f>CHOOSE(MATCH(IF($U695="","Основний",$U695),{"Трафіковий","Основний","Маржинальний","Сезонний","Стратегічний"},0),Settings!$I$78,Settings!$I$80,Settings!$I$82,Settings!$I$84,Settings!$I$86)</f>
        <v/>
      </c>
      <c r="AU695" s="171" t="n"/>
      <c r="AV695" t="n">
        <v>1.25</v>
      </c>
    </row>
    <row r="696">
      <c r="A696" s="28" t="inlineStr">
        <is>
          <t>NEW</t>
        </is>
      </c>
      <c r="B696" s="29" t="inlineStr">
        <is>
          <t>H4101</t>
        </is>
      </c>
      <c r="C696" s="29" t="inlineStr">
        <is>
          <t>GOSMART VDP 7" IP-410W WIRELESS SET</t>
        </is>
      </c>
      <c r="D696" s="29" t="inlineStr">
        <is>
          <t>Відеосистеми, та IP камери</t>
        </is>
      </c>
      <c r="E696" s="28" t="inlineStr">
        <is>
          <t>PC</t>
        </is>
      </c>
      <c r="F696" s="93" t="n">
        <v>115.76</v>
      </c>
      <c r="G696" s="30" t="n">
        <v>8517691000</v>
      </c>
      <c r="H696" s="31" t="n">
        <v>1.3</v>
      </c>
      <c r="I696" s="84">
        <f>IFERROR(F696*Settings!$B$2*H696*IF(AND(ISNUMBER(E696),E696&gt;1),E696,1),"")</f>
        <v/>
      </c>
      <c r="J696" s="32">
        <f>Settings!$B$66</f>
        <v/>
      </c>
      <c r="K696" s="95">
        <f>IFERROR(IF(T696="","",(T696*(1-AN696)*(1-Settings!$B$17)-I696)/(T696*(1-AN696)*(1-Settings!$B$17))),"")</f>
        <v/>
      </c>
      <c r="L696" s="101">
        <f>IFERROR(IF(T696="","",(T696*(1-AO696)*(1-Settings!$C$17)-I696)/(T696*(1-AO696)*(1-Settings!$C$17))),"")</f>
        <v/>
      </c>
      <c r="M696" s="101">
        <f>IFERROR(IF(T696="","",(T696*(1-AP696)*(1-Settings!$D$17)-I696)/(T696*(1-AP696)*(1-Settings!$D$17))),"")</f>
        <v/>
      </c>
      <c r="N696" s="101">
        <f>IFERROR(IF(T696="","",(T696*(1-AQ696)*(1-Settings!$F$17)-I696)/(T696*(1-AQ696)*(1-Settings!$F$17))),"")</f>
        <v/>
      </c>
      <c r="O696" s="101">
        <f>IFERROR(IF(T696="","",(T696*(1-AR696)*(1-Settings!$G$17)-I696)/(T696*(1-AR696)*(1-Settings!$G$17))),"")</f>
        <v/>
      </c>
      <c r="P696" s="101">
        <f>IFERROR(IF(T696="","",(T696*(1-AS696)*(1-Settings!$H$17)-I696)/(T696*(1-AS696)*(1-Settings!$H$17))),"")</f>
        <v/>
      </c>
      <c r="Q696" s="101">
        <f>IFERROR(IF(T696="","",(T696*(1-AT696)*(1-Settings!$I$68)*(1-Settings!$I$17)-I696)/(T696*(1-AT696)*(1-Settings!$I$68)*(1-Settings!$I$17))),"")</f>
        <v/>
      </c>
      <c r="R696" s="91">
        <f>IFERROR(IF(OR(I696="",Z696&gt;=1,Settings!$B$17&gt;=1,AN696&gt;=1),"",IF(MOD(ROUND(I696/(1-Z696)/(1-Settings!$B$17)/(1-AN696),0),10)=0,ROUND(I696/(1-Z696)/(1-Settings!$B$17)/(1-AN696),0)-1,IF(MOD(ROUND(I696/(1-Z696)/(1-Settings!$B$17)/(1-AN696),0),10)&lt;=5,FLOOR(ROUND(I696/(1-Z696)/(1-Settings!$B$17)/(1-AN696),0),10)+6,FLOOR(ROUND(I696/(1-Z696)/(1-Settings!$B$17)/(1-AN696),0),10)+9))),"")</f>
        <v/>
      </c>
      <c r="S696" s="174">
        <f>R696*0.95</f>
        <v/>
      </c>
      <c r="T696" s="91">
        <f>IF(S696&lt;&gt;"", IF(MOD(S696,10)=0,S696-1,IF(MOD(S696,10)&lt;=5,FLOOR(S696,10)+6,FLOOR(S696,10)+9)), R696)</f>
        <v/>
      </c>
      <c r="U696" s="87" t="inlineStr">
        <is>
          <t>Трафіковий</t>
        </is>
      </c>
      <c r="V696" s="88" t="n"/>
      <c r="W696" s="88" t="n"/>
      <c r="X696" s="89">
        <f>IFERROR(IF(OR(V696="",W696="",T696=""),"", IF(T696&gt;W696,"Дорогий",IF(T696&lt;V696,"Дешевий","У ринку"))),"")</f>
        <v/>
      </c>
      <c r="Y696" s="90" t="n"/>
      <c r="Z696" s="104">
        <f>CHOOSE(MATCH(IF($U696="","Основний",$U696),{"Трафіковий","Основний","Маржинальний","Сезонний","Стратегічний"},0),0.16,0.19,0.24,0.23,0.28)</f>
        <v/>
      </c>
      <c r="AA696" s="104">
        <f>CHOOSE(MATCH(IF($U696="","Основний",$U696),{"Трафіковий","Основний","Маржинальний","Сезонний","Стратегічний"},0),0.18,0.21,0.26,0.25,0.3)</f>
        <v/>
      </c>
      <c r="AB696" s="104">
        <f>CHOOSE(MATCH(IF($U696="","Основний",$U696),{"Трафіковий","Основний","Маржинальний","Сезонний","Стратегічний"},0),0.19,0.22,0.28,0.26,0.32)</f>
        <v/>
      </c>
      <c r="AC696" s="104">
        <f>CHOOSE(MATCH(IF($U696="","Основний",$U696),{"Трафіковий","Основний","Маржинальний","Сезонний","Стратегічний"},0),0.17,0.2,0.25,0.24,0.28)</f>
        <v/>
      </c>
      <c r="AD696" s="104">
        <f>CHOOSE(MATCH(IF($U696="","Основний",$U696),{"Трафіковий","Основний","Маржинальний","Сезонний","Стратегічний"},0),0.18,0.21,0.26,0.25,0.3)</f>
        <v/>
      </c>
      <c r="AE696" s="104">
        <f>CHOOSE(MATCH(IF($U696="","Основний",$U696),{"Трафіковий","Основний","Маржинальний","Сезонний","Стратегічний"},0),0.18,0.2,0.28,0.27,0.32)</f>
        <v/>
      </c>
      <c r="AF696" s="104">
        <f>CHOOSE(MATCH(IF($U696="","Основний",$U696),{"Трафіковий","Основний","Маржинальний","Сезонний","Стратегічний"},0),0.15,0.175,0.22,0.21,0.25)</f>
        <v/>
      </c>
      <c r="AG696" s="104">
        <f>CHOOSE(MATCH(IF($U696="","Основний",$U696),{"Трафіковий","Основний","Маржинальний","Сезонний","Стратегічний"},0),0.13,0.16,0.21,0.2,0.25)</f>
        <v/>
      </c>
      <c r="AH696" s="104">
        <f>CHOOSE(MATCH(IF($U696="","Основний",$U696),{"Трафіковий","Основний","Маржинальний","Сезонний","Стратегічний"},0),0.15,0.18,0.23,0.22,0.27)</f>
        <v/>
      </c>
      <c r="AI696" s="104">
        <f>CHOOSE(MATCH(IF($U696="","Основний",$U696),{"Трафіковий","Основний","Маржинальний","Сезонний","Стратегічний"},0),0.16,0.19,0.25,0.23,0.29)</f>
        <v/>
      </c>
      <c r="AJ696" s="104">
        <f>CHOOSE(MATCH(IF($U696="","Основний",$U696),{"Трафіковий","Основний","Маржинальний","Сезонний","Стратегічний"},0),0.14,0.17,0.22,0.21,0.25)</f>
        <v/>
      </c>
      <c r="AK696" s="104">
        <f>CHOOSE(MATCH(IF($U696="","Основний",$U696),{"Трафіковий","Основний","Маржинальний","Сезонний","Стратегічний"},0),0.15,0.18,0.23,0.22,0.27)</f>
        <v/>
      </c>
      <c r="AL696" s="104">
        <f>CHOOSE(MATCH(IF($U696="","Основний",$U696),{"Трафіковий","Основний","Маржинальний","Сезонний","Стратегічний"},0),0.15,0.17,0.25,0.24,0.29)</f>
        <v/>
      </c>
      <c r="AM696" s="104">
        <f>CHOOSE(MATCH(IF($U696="","Основний",$U696),{"Трафіковий","Основний","Маржинальний","Сезонний","Стратегічний"},0),0.12,0.145,0.19,0.18,0.22)</f>
        <v/>
      </c>
      <c r="AN696" s="157">
        <f>CHOOSE(MATCH(IF($U696="","Основний",$U696),{"Трафіковий","Основний","Маржинальний","Сезонний","Стратегічний"},0),Settings!$B$78,Settings!$B$80,Settings!$B$82,Settings!$B$84,Settings!$B$86)</f>
        <v/>
      </c>
      <c r="AO696" s="157">
        <f>CHOOSE(MATCH(IF($U696="","Основний",$U696),{"Трафіковий","Основний","Маржинальний","Сезонний","Стратегічний"},0),Settings!$C$78,Settings!$C$80,Settings!$C$82,Settings!$C$84,Settings!$C$86)</f>
        <v/>
      </c>
      <c r="AP696" s="157">
        <f>CHOOSE(MATCH(IF($U696="","Основний",$U696),{"Трафіковий","Основний","Маржинальний","Сезонний","Стратегічний"},0),Settings!$D$78,Settings!$D$80,Settings!$D$82,Settings!$D$84,Settings!$D$86)</f>
        <v/>
      </c>
      <c r="AQ696" s="157">
        <f>CHOOSE(MATCH(IF($U696="","Основний",$U696),{"Трафіковий","Основний","Маржинальний","Сезонний","Стратегічний"},0),Settings!$F$78,Settings!$F$80,Settings!$F$82,Settings!$F$84,Settings!$F$86)</f>
        <v/>
      </c>
      <c r="AR696" s="157">
        <f>CHOOSE(MATCH(IF($U696="","Основний",$U696),{"Трафіковий","Основний","Маржинальний","Сезонний","Стратегічний"},0),Settings!$G$78,Settings!$G$80,Settings!$G$82,Settings!$G$84,Settings!$G$86)</f>
        <v/>
      </c>
      <c r="AS696" s="157">
        <f>CHOOSE(MATCH(IF($U696="","Основний",$U696),{"Трафіковий","Основний","Маржинальний","Сезонний","Стратегічний"},0),Settings!$H$78,Settings!$H$80,Settings!$H$82,Settings!$H$84,Settings!$H$86)</f>
        <v/>
      </c>
      <c r="AT696" s="157">
        <f>CHOOSE(MATCH(IF($U696="","Основний",$U696),{"Трафіковий","Основний","Маржинальний","Сезонний","Стратегічний"},0),Settings!$I$78,Settings!$I$80,Settings!$I$82,Settings!$I$84,Settings!$I$86)</f>
        <v/>
      </c>
      <c r="AU696" s="171" t="n"/>
      <c r="AV696" t="n">
        <v>1.25</v>
      </c>
    </row>
    <row r="697">
      <c r="A697" s="33" t="n"/>
      <c r="B697" s="34" t="inlineStr">
        <is>
          <t>H5030</t>
        </is>
      </c>
      <c r="C697" s="34" t="inlineStr">
        <is>
          <t>GOSMART ALARM SET IP-126L GUARDIAN PRO WIFI</t>
        </is>
      </c>
      <c r="D697" s="34" t="inlineStr">
        <is>
          <t>Відеосистеми, та IP камери</t>
        </is>
      </c>
      <c r="E697" s="33" t="inlineStr">
        <is>
          <t>PC</t>
        </is>
      </c>
      <c r="F697" s="94" t="n">
        <v>30.554</v>
      </c>
      <c r="G697" s="35" t="n">
        <v>8531103000</v>
      </c>
      <c r="H697" s="31" t="n">
        <v>1.4</v>
      </c>
      <c r="I697" s="84">
        <f>IFERROR(F697*Settings!$B$2*H697*IF(AND(ISNUMBER(E697),E697&gt;1),E697,1),"")</f>
        <v/>
      </c>
      <c r="J697" s="32">
        <f>Settings!$B$66</f>
        <v/>
      </c>
      <c r="K697" s="95">
        <f>IFERROR(IF(T697="","",(T697*(1-AN697)*(1-Settings!$B$17)-I697)/(T697*(1-AN697)*(1-Settings!$B$17))),"")</f>
        <v/>
      </c>
      <c r="L697" s="101">
        <f>IFERROR(IF(T697="","",(T697*(1-AO697)*(1-Settings!$C$17)-I697)/(T697*(1-AO697)*(1-Settings!$C$17))),"")</f>
        <v/>
      </c>
      <c r="M697" s="101">
        <f>IFERROR(IF(T697="","",(T697*(1-AP697)*(1-Settings!$D$17)-I697)/(T697*(1-AP697)*(1-Settings!$D$17))),"")</f>
        <v/>
      </c>
      <c r="N697" s="101">
        <f>IFERROR(IF(T697="","",(T697*(1-AQ697)*(1-Settings!$F$17)-I697)/(T697*(1-AQ697)*(1-Settings!$F$17))),"")</f>
        <v/>
      </c>
      <c r="O697" s="101">
        <f>IFERROR(IF(T697="","",(T697*(1-AR697)*(1-Settings!$G$17)-I697)/(T697*(1-AR697)*(1-Settings!$G$17))),"")</f>
        <v/>
      </c>
      <c r="P697" s="101">
        <f>IFERROR(IF(T697="","",(T697*(1-AS697)*(1-Settings!$H$17)-I697)/(T697*(1-AS697)*(1-Settings!$H$17))),"")</f>
        <v/>
      </c>
      <c r="Q697" s="101">
        <f>IFERROR(IF(T697="","",(T697*(1-AT697)*(1-Settings!$I$68)*(1-Settings!$I$17)-I697)/(T697*(1-AT697)*(1-Settings!$I$68)*(1-Settings!$I$17))),"")</f>
        <v/>
      </c>
      <c r="R697" s="91">
        <f>IFERROR(IF(OR(I697="",Z697&gt;=1,Settings!$B$17&gt;=1,AN697&gt;=1),"",IF(MOD(ROUND(I697/(1-Z697)/(1-Settings!$B$17)/(1-AN697),0),10)=0,ROUND(I697/(1-Z697)/(1-Settings!$B$17)/(1-AN697),0)-1,IF(MOD(ROUND(I697/(1-Z697)/(1-Settings!$B$17)/(1-AN697),0),10)&lt;=5,FLOOR(ROUND(I697/(1-Z697)/(1-Settings!$B$17)/(1-AN697),0),10)+6,FLOOR(ROUND(I697/(1-Z697)/(1-Settings!$B$17)/(1-AN697),0),10)+9))),"")</f>
        <v/>
      </c>
      <c r="S697" s="174">
        <f>R697*0.95</f>
        <v/>
      </c>
      <c r="T697" s="91">
        <f>IF(S697&lt;&gt;"", IF(MOD(S697,10)=0,S697-1,IF(MOD(S697,10)&lt;=5,FLOOR(S697,10)+6,FLOOR(S697,10)+9)), R697)</f>
        <v/>
      </c>
      <c r="U697" s="87" t="inlineStr">
        <is>
          <t>Основний</t>
        </is>
      </c>
      <c r="V697" s="88" t="n"/>
      <c r="W697" s="88" t="n"/>
      <c r="X697" s="89">
        <f>IFERROR(IF(OR(V697="",W697="",T697=""),"", IF(T697&gt;W697,"Дорогий",IF(T697&lt;V697,"Дешевий","У ринку"))),"")</f>
        <v/>
      </c>
      <c r="Y697" s="90" t="n"/>
      <c r="Z697" s="104">
        <f>CHOOSE(MATCH(IF($U697="","Основний",$U697),{"Трафіковий","Основний","Маржинальний","Сезонний","Стратегічний"},0),0.16,0.19,0.24,0.23,0.28)</f>
        <v/>
      </c>
      <c r="AA697" s="104">
        <f>CHOOSE(MATCH(IF($U697="","Основний",$U697),{"Трафіковий","Основний","Маржинальний","Сезонний","Стратегічний"},0),0.18,0.21,0.26,0.25,0.3)</f>
        <v/>
      </c>
      <c r="AB697" s="104">
        <f>CHOOSE(MATCH(IF($U697="","Основний",$U697),{"Трафіковий","Основний","Маржинальний","Сезонний","Стратегічний"},0),0.19,0.22,0.28,0.26,0.32)</f>
        <v/>
      </c>
      <c r="AC697" s="104">
        <f>CHOOSE(MATCH(IF($U697="","Основний",$U697),{"Трафіковий","Основний","Маржинальний","Сезонний","Стратегічний"},0),0.17,0.2,0.25,0.24,0.28)</f>
        <v/>
      </c>
      <c r="AD697" s="104">
        <f>CHOOSE(MATCH(IF($U697="","Основний",$U697),{"Трафіковий","Основний","Маржинальний","Сезонний","Стратегічний"},0),0.18,0.21,0.26,0.25,0.3)</f>
        <v/>
      </c>
      <c r="AE697" s="104">
        <f>CHOOSE(MATCH(IF($U697="","Основний",$U697),{"Трафіковий","Основний","Маржинальний","Сезонний","Стратегічний"},0),0.18,0.2,0.28,0.27,0.32)</f>
        <v/>
      </c>
      <c r="AF697" s="104">
        <f>CHOOSE(MATCH(IF($U697="","Основний",$U697),{"Трафіковий","Основний","Маржинальний","Сезонний","Стратегічний"},0),0.15,0.175,0.22,0.21,0.25)</f>
        <v/>
      </c>
      <c r="AG697" s="104">
        <f>CHOOSE(MATCH(IF($U697="","Основний",$U697),{"Трафіковий","Основний","Маржинальний","Сезонний","Стратегічний"},0),0.13,0.16,0.21,0.2,0.25)</f>
        <v/>
      </c>
      <c r="AH697" s="104">
        <f>CHOOSE(MATCH(IF($U697="","Основний",$U697),{"Трафіковий","Основний","Маржинальний","Сезонний","Стратегічний"},0),0.15,0.18,0.23,0.22,0.27)</f>
        <v/>
      </c>
      <c r="AI697" s="104">
        <f>CHOOSE(MATCH(IF($U697="","Основний",$U697),{"Трафіковий","Основний","Маржинальний","Сезонний","Стратегічний"},0),0.16,0.19,0.25,0.23,0.29)</f>
        <v/>
      </c>
      <c r="AJ697" s="104">
        <f>CHOOSE(MATCH(IF($U697="","Основний",$U697),{"Трафіковий","Основний","Маржинальний","Сезонний","Стратегічний"},0),0.14,0.17,0.22,0.21,0.25)</f>
        <v/>
      </c>
      <c r="AK697" s="104">
        <f>CHOOSE(MATCH(IF($U697="","Основний",$U697),{"Трафіковий","Основний","Маржинальний","Сезонний","Стратегічний"},0),0.15,0.18,0.23,0.22,0.27)</f>
        <v/>
      </c>
      <c r="AL697" s="104">
        <f>CHOOSE(MATCH(IF($U697="","Основний",$U697),{"Трафіковий","Основний","Маржинальний","Сезонний","Стратегічний"},0),0.15,0.17,0.25,0.24,0.29)</f>
        <v/>
      </c>
      <c r="AM697" s="104">
        <f>CHOOSE(MATCH(IF($U697="","Основний",$U697),{"Трафіковий","Основний","Маржинальний","Сезонний","Стратегічний"},0),0.12,0.145,0.19,0.18,0.22)</f>
        <v/>
      </c>
      <c r="AN697" s="157">
        <f>CHOOSE(MATCH(IF($U697="","Основний",$U697),{"Трафіковий","Основний","Маржинальний","Сезонний","Стратегічний"},0),Settings!$B$78,Settings!$B$80,Settings!$B$82,Settings!$B$84,Settings!$B$86)</f>
        <v/>
      </c>
      <c r="AO697" s="157">
        <f>CHOOSE(MATCH(IF($U697="","Основний",$U697),{"Трафіковий","Основний","Маржинальний","Сезонний","Стратегічний"},0),Settings!$C$78,Settings!$C$80,Settings!$C$82,Settings!$C$84,Settings!$C$86)</f>
        <v/>
      </c>
      <c r="AP697" s="157">
        <f>CHOOSE(MATCH(IF($U697="","Основний",$U697),{"Трафіковий","Основний","Маржинальний","Сезонний","Стратегічний"},0),Settings!$D$78,Settings!$D$80,Settings!$D$82,Settings!$D$84,Settings!$D$86)</f>
        <v/>
      </c>
      <c r="AQ697" s="157">
        <f>CHOOSE(MATCH(IF($U697="","Основний",$U697),{"Трафіковий","Основний","Маржинальний","Сезонний","Стратегічний"},0),Settings!$F$78,Settings!$F$80,Settings!$F$82,Settings!$F$84,Settings!$F$86)</f>
        <v/>
      </c>
      <c r="AR697" s="157">
        <f>CHOOSE(MATCH(IF($U697="","Основний",$U697),{"Трафіковий","Основний","Маржинальний","Сезонний","Стратегічний"},0),Settings!$G$78,Settings!$G$80,Settings!$G$82,Settings!$G$84,Settings!$G$86)</f>
        <v/>
      </c>
      <c r="AS697" s="157">
        <f>CHOOSE(MATCH(IF($U697="","Основний",$U697),{"Трафіковий","Основний","Маржинальний","Сезонний","Стратегічний"},0),Settings!$H$78,Settings!$H$80,Settings!$H$82,Settings!$H$84,Settings!$H$86)</f>
        <v/>
      </c>
      <c r="AT697" s="157">
        <f>CHOOSE(MATCH(IF($U697="","Основний",$U697),{"Трафіковий","Основний","Маржинальний","Сезонний","Стратегічний"},0),Settings!$I$78,Settings!$I$80,Settings!$I$82,Settings!$I$84,Settings!$I$86)</f>
        <v/>
      </c>
      <c r="AU697" s="171" t="n"/>
      <c r="AV697" t="n">
        <v>1.35</v>
      </c>
    </row>
    <row r="698">
      <c r="A698" s="28" t="n"/>
      <c r="B698" s="29" t="inlineStr">
        <is>
          <t>H8106</t>
        </is>
      </c>
      <c r="C698" s="29" t="inlineStr">
        <is>
          <t>ALARM SET EM-125L PROTECTOR</t>
        </is>
      </c>
      <c r="D698" s="29" t="inlineStr">
        <is>
          <t>Відеосистеми, та IP камери</t>
        </is>
      </c>
      <c r="E698" s="28" t="inlineStr">
        <is>
          <t>PC</t>
        </is>
      </c>
      <c r="F698" s="93" t="n">
        <v>11.185</v>
      </c>
      <c r="G698" s="30" t="n">
        <v>8531103000</v>
      </c>
      <c r="H698" s="31" t="n">
        <v>1.4</v>
      </c>
      <c r="I698" s="84">
        <f>IFERROR(F698*Settings!$B$2*H698*IF(AND(ISNUMBER(E698),E698&gt;1),E698,1),"")</f>
        <v/>
      </c>
      <c r="J698" s="32">
        <f>Settings!$B$66</f>
        <v/>
      </c>
      <c r="K698" s="95">
        <f>IFERROR(IF(T698="","",(T698*(1-AN698)*(1-Settings!$B$17)-I698)/(T698*(1-AN698)*(1-Settings!$B$17))),"")</f>
        <v/>
      </c>
      <c r="L698" s="101">
        <f>IFERROR(IF(T698="","",(T698*(1-AO698)*(1-Settings!$C$17)-I698)/(T698*(1-AO698)*(1-Settings!$C$17))),"")</f>
        <v/>
      </c>
      <c r="M698" s="101">
        <f>IFERROR(IF(T698="","",(T698*(1-AP698)*(1-Settings!$D$17)-I698)/(T698*(1-AP698)*(1-Settings!$D$17))),"")</f>
        <v/>
      </c>
      <c r="N698" s="101">
        <f>IFERROR(IF(T698="","",(T698*(1-AQ698)*(1-Settings!$F$17)-I698)/(T698*(1-AQ698)*(1-Settings!$F$17))),"")</f>
        <v/>
      </c>
      <c r="O698" s="101">
        <f>IFERROR(IF(T698="","",(T698*(1-AR698)*(1-Settings!$G$17)-I698)/(T698*(1-AR698)*(1-Settings!$G$17))),"")</f>
        <v/>
      </c>
      <c r="P698" s="101">
        <f>IFERROR(IF(T698="","",(T698*(1-AS698)*(1-Settings!$H$17)-I698)/(T698*(1-AS698)*(1-Settings!$H$17))),"")</f>
        <v/>
      </c>
      <c r="Q698" s="101">
        <f>IFERROR(IF(T698="","",(T698*(1-AT698)*(1-Settings!$I$68)*(1-Settings!$I$17)-I698)/(T698*(1-AT698)*(1-Settings!$I$68)*(1-Settings!$I$17))),"")</f>
        <v/>
      </c>
      <c r="R698" s="91">
        <f>IFERROR(IF(OR(I698="",Z698&gt;=1,Settings!$B$17&gt;=1,AN698&gt;=1),"",IF(MOD(ROUND(I698/(1-Z698)/(1-Settings!$B$17)/(1-AN698),0),10)=0,ROUND(I698/(1-Z698)/(1-Settings!$B$17)/(1-AN698),0)-1,IF(MOD(ROUND(I698/(1-Z698)/(1-Settings!$B$17)/(1-AN698),0),10)&lt;=5,FLOOR(ROUND(I698/(1-Z698)/(1-Settings!$B$17)/(1-AN698),0),10)+6,FLOOR(ROUND(I698/(1-Z698)/(1-Settings!$B$17)/(1-AN698),0),10)+9))),"")</f>
        <v/>
      </c>
      <c r="S698" s="174">
        <f>R698*0.95</f>
        <v/>
      </c>
      <c r="T698" s="91">
        <f>IF(S698&lt;&gt;"", IF(MOD(S698,10)=0,S698-1,IF(MOD(S698,10)&lt;=5,FLOOR(S698,10)+6,FLOOR(S698,10)+9)), R698)</f>
        <v/>
      </c>
      <c r="U698" s="87" t="inlineStr">
        <is>
          <t>Основний</t>
        </is>
      </c>
      <c r="V698" s="88" t="n"/>
      <c r="W698" s="88" t="n"/>
      <c r="X698" s="89">
        <f>IFERROR(IF(OR(V698="",W698="",T698=""),"", IF(T698&gt;W698,"Дорогий",IF(T698&lt;V698,"Дешевий","У ринку"))),"")</f>
        <v/>
      </c>
      <c r="Y698" s="90" t="n"/>
      <c r="Z698" s="104">
        <f>CHOOSE(MATCH(IF($U698="","Основний",$U698),{"Трафіковий","Основний","Маржинальний","Сезонний","Стратегічний"},0),0.16,0.19,0.24,0.23,0.28)</f>
        <v/>
      </c>
      <c r="AA698" s="104">
        <f>CHOOSE(MATCH(IF($U698="","Основний",$U698),{"Трафіковий","Основний","Маржинальний","Сезонний","Стратегічний"},0),0.18,0.21,0.26,0.25,0.3)</f>
        <v/>
      </c>
      <c r="AB698" s="104">
        <f>CHOOSE(MATCH(IF($U698="","Основний",$U698),{"Трафіковий","Основний","Маржинальний","Сезонний","Стратегічний"},0),0.19,0.22,0.28,0.26,0.32)</f>
        <v/>
      </c>
      <c r="AC698" s="104">
        <f>CHOOSE(MATCH(IF($U698="","Основний",$U698),{"Трафіковий","Основний","Маржинальний","Сезонний","Стратегічний"},0),0.17,0.2,0.25,0.24,0.28)</f>
        <v/>
      </c>
      <c r="AD698" s="104">
        <f>CHOOSE(MATCH(IF($U698="","Основний",$U698),{"Трафіковий","Основний","Маржинальний","Сезонний","Стратегічний"},0),0.18,0.21,0.26,0.25,0.3)</f>
        <v/>
      </c>
      <c r="AE698" s="104">
        <f>CHOOSE(MATCH(IF($U698="","Основний",$U698),{"Трафіковий","Основний","Маржинальний","Сезонний","Стратегічний"},0),0.18,0.2,0.28,0.27,0.32)</f>
        <v/>
      </c>
      <c r="AF698" s="104">
        <f>CHOOSE(MATCH(IF($U698="","Основний",$U698),{"Трафіковий","Основний","Маржинальний","Сезонний","Стратегічний"},0),0.15,0.175,0.22,0.21,0.25)</f>
        <v/>
      </c>
      <c r="AG698" s="104">
        <f>CHOOSE(MATCH(IF($U698="","Основний",$U698),{"Трафіковий","Основний","Маржинальний","Сезонний","Стратегічний"},0),0.13,0.16,0.21,0.2,0.25)</f>
        <v/>
      </c>
      <c r="AH698" s="104">
        <f>CHOOSE(MATCH(IF($U698="","Основний",$U698),{"Трафіковий","Основний","Маржинальний","Сезонний","Стратегічний"},0),0.15,0.18,0.23,0.22,0.27)</f>
        <v/>
      </c>
      <c r="AI698" s="104">
        <f>CHOOSE(MATCH(IF($U698="","Основний",$U698),{"Трафіковий","Основний","Маржинальний","Сезонний","Стратегічний"},0),0.16,0.19,0.25,0.23,0.29)</f>
        <v/>
      </c>
      <c r="AJ698" s="104">
        <f>CHOOSE(MATCH(IF($U698="","Основний",$U698),{"Трафіковий","Основний","Маржинальний","Сезонний","Стратегічний"},0),0.14,0.17,0.22,0.21,0.25)</f>
        <v/>
      </c>
      <c r="AK698" s="104">
        <f>CHOOSE(MATCH(IF($U698="","Основний",$U698),{"Трафіковий","Основний","Маржинальний","Сезонний","Стратегічний"},0),0.15,0.18,0.23,0.22,0.27)</f>
        <v/>
      </c>
      <c r="AL698" s="104">
        <f>CHOOSE(MATCH(IF($U698="","Основний",$U698),{"Трафіковий","Основний","Маржинальний","Сезонний","Стратегічний"},0),0.15,0.17,0.25,0.24,0.29)</f>
        <v/>
      </c>
      <c r="AM698" s="104">
        <f>CHOOSE(MATCH(IF($U698="","Основний",$U698),{"Трафіковий","Основний","Маржинальний","Сезонний","Стратегічний"},0),0.12,0.145,0.19,0.18,0.22)</f>
        <v/>
      </c>
      <c r="AN698" s="157">
        <f>CHOOSE(MATCH(IF($U698="","Основний",$U698),{"Трафіковий","Основний","Маржинальний","Сезонний","Стратегічний"},0),Settings!$B$78,Settings!$B$80,Settings!$B$82,Settings!$B$84,Settings!$B$86)</f>
        <v/>
      </c>
      <c r="AO698" s="157">
        <f>CHOOSE(MATCH(IF($U698="","Основний",$U698),{"Трафіковий","Основний","Маржинальний","Сезонний","Стратегічний"},0),Settings!$C$78,Settings!$C$80,Settings!$C$82,Settings!$C$84,Settings!$C$86)</f>
        <v/>
      </c>
      <c r="AP698" s="157">
        <f>CHOOSE(MATCH(IF($U698="","Основний",$U698),{"Трафіковий","Основний","Маржинальний","Сезонний","Стратегічний"},0),Settings!$D$78,Settings!$D$80,Settings!$D$82,Settings!$D$84,Settings!$D$86)</f>
        <v/>
      </c>
      <c r="AQ698" s="157">
        <f>CHOOSE(MATCH(IF($U698="","Основний",$U698),{"Трафіковий","Основний","Маржинальний","Сезонний","Стратегічний"},0),Settings!$F$78,Settings!$F$80,Settings!$F$82,Settings!$F$84,Settings!$F$86)</f>
        <v/>
      </c>
      <c r="AR698" s="157">
        <f>CHOOSE(MATCH(IF($U698="","Основний",$U698),{"Трафіковий","Основний","Маржинальний","Сезонний","Стратегічний"},0),Settings!$G$78,Settings!$G$80,Settings!$G$82,Settings!$G$84,Settings!$G$86)</f>
        <v/>
      </c>
      <c r="AS698" s="157">
        <f>CHOOSE(MATCH(IF($U698="","Основний",$U698),{"Трафіковий","Основний","Маржинальний","Сезонний","Стратегічний"},0),Settings!$H$78,Settings!$H$80,Settings!$H$82,Settings!$H$84,Settings!$H$86)</f>
        <v/>
      </c>
      <c r="AT698" s="157">
        <f>CHOOSE(MATCH(IF($U698="","Основний",$U698),{"Трафіковий","Основний","Маржинальний","Сезонний","Стратегічний"},0),Settings!$I$78,Settings!$I$80,Settings!$I$82,Settings!$I$84,Settings!$I$86)</f>
        <v/>
      </c>
      <c r="AU698" s="171" t="n"/>
      <c r="AV698" t="n">
        <v>1.35</v>
      </c>
    </row>
    <row r="699">
      <c r="A699" s="33" t="inlineStr">
        <is>
          <t>SELL OUT</t>
        </is>
      </c>
      <c r="B699" s="34" t="inlineStr">
        <is>
          <t>H5020</t>
        </is>
      </c>
      <c r="C699" s="34" t="inlineStr">
        <is>
          <t>GOSMART PIR MOVEMENT DETECTOR ZIGBEE IP-2210Z</t>
        </is>
      </c>
      <c r="D699" s="34" t="inlineStr">
        <is>
          <t>Відеосистеми, та IP камери</t>
        </is>
      </c>
      <c r="E699" s="33" t="inlineStr">
        <is>
          <t>PC</t>
        </is>
      </c>
      <c r="F699" s="94" t="n">
        <v>14.183</v>
      </c>
      <c r="G699" s="35" t="n">
        <v>8536508000</v>
      </c>
      <c r="H699" s="31" t="n">
        <v>1.35</v>
      </c>
      <c r="I699" s="84">
        <f>IFERROR(F699*Settings!$B$2*H699*IF(AND(ISNUMBER(E699),E699&gt;1),E699,1),"")</f>
        <v/>
      </c>
      <c r="J699" s="32">
        <f>Settings!$B$66</f>
        <v/>
      </c>
      <c r="K699" s="95">
        <f>IFERROR(IF(T699="","",(T699*(1-AN699)*(1-Settings!$B$17)-I699)/(T699*(1-AN699)*(1-Settings!$B$17))),"")</f>
        <v/>
      </c>
      <c r="L699" s="101">
        <f>IFERROR(IF(T699="","",(T699*(1-AO699)*(1-Settings!$C$17)-I699)/(T699*(1-AO699)*(1-Settings!$C$17))),"")</f>
        <v/>
      </c>
      <c r="M699" s="101">
        <f>IFERROR(IF(T699="","",(T699*(1-AP699)*(1-Settings!$D$17)-I699)/(T699*(1-AP699)*(1-Settings!$D$17))),"")</f>
        <v/>
      </c>
      <c r="N699" s="101">
        <f>IFERROR(IF(T699="","",(T699*(1-AQ699)*(1-Settings!$F$17)-I699)/(T699*(1-AQ699)*(1-Settings!$F$17))),"")</f>
        <v/>
      </c>
      <c r="O699" s="101">
        <f>IFERROR(IF(T699="","",(T699*(1-AR699)*(1-Settings!$G$17)-I699)/(T699*(1-AR699)*(1-Settings!$G$17))),"")</f>
        <v/>
      </c>
      <c r="P699" s="101">
        <f>IFERROR(IF(T699="","",(T699*(1-AS699)*(1-Settings!$H$17)-I699)/(T699*(1-AS699)*(1-Settings!$H$17))),"")</f>
        <v/>
      </c>
      <c r="Q699" s="101">
        <f>IFERROR(IF(T699="","",(T699*(1-AT699)*(1-Settings!$I$68)*(1-Settings!$I$17)-I699)/(T699*(1-AT699)*(1-Settings!$I$68)*(1-Settings!$I$17))),"")</f>
        <v/>
      </c>
      <c r="R699" s="91">
        <f>IFERROR(IF(OR(I699="",Z699&gt;=1,Settings!$B$17&gt;=1,AN699&gt;=1),"",IF(MOD(ROUND(I699/(1-Z699)/(1-Settings!$B$17)/(1-AN699),0),10)=0,ROUND(I699/(1-Z699)/(1-Settings!$B$17)/(1-AN699),0)-1,IF(MOD(ROUND(I699/(1-Z699)/(1-Settings!$B$17)/(1-AN699),0),10)&lt;=5,FLOOR(ROUND(I699/(1-Z699)/(1-Settings!$B$17)/(1-AN699),0),10)+6,FLOOR(ROUND(I699/(1-Z699)/(1-Settings!$B$17)/(1-AN699),0),10)+9))),"")</f>
        <v/>
      </c>
      <c r="S699" s="174">
        <f>R699*0.95</f>
        <v/>
      </c>
      <c r="T699" s="91">
        <f>IF(S699&lt;&gt;"", IF(MOD(S699,10)=0,S699-1,IF(MOD(S699,10)&lt;=5,FLOOR(S699,10)+6,FLOOR(S699,10)+9)), R699)</f>
        <v/>
      </c>
      <c r="U699" s="87" t="inlineStr">
        <is>
          <t>Основний</t>
        </is>
      </c>
      <c r="V699" s="88" t="n"/>
      <c r="W699" s="88" t="n"/>
      <c r="X699" s="89">
        <f>IFERROR(IF(OR(V699="",W699="",T699=""),"", IF(T699&gt;W699,"Дорогий",IF(T699&lt;V699,"Дешевий","У ринку"))),"")</f>
        <v/>
      </c>
      <c r="Y699" s="90" t="n"/>
      <c r="Z699" s="104">
        <f>CHOOSE(MATCH(IF($U699="","Основний",$U699),{"Трафіковий","Основний","Маржинальний","Сезонний","Стратегічний"},0),0.16,0.19,0.24,0.23,0.28)</f>
        <v/>
      </c>
      <c r="AA699" s="104">
        <f>CHOOSE(MATCH(IF($U699="","Основний",$U699),{"Трафіковий","Основний","Маржинальний","Сезонний","Стратегічний"},0),0.18,0.21,0.26,0.25,0.3)</f>
        <v/>
      </c>
      <c r="AB699" s="104">
        <f>CHOOSE(MATCH(IF($U699="","Основний",$U699),{"Трафіковий","Основний","Маржинальний","Сезонний","Стратегічний"},0),0.19,0.22,0.28,0.26,0.32)</f>
        <v/>
      </c>
      <c r="AC699" s="104">
        <f>CHOOSE(MATCH(IF($U699="","Основний",$U699),{"Трафіковий","Основний","Маржинальний","Сезонний","Стратегічний"},0),0.17,0.2,0.25,0.24,0.28)</f>
        <v/>
      </c>
      <c r="AD699" s="104">
        <f>CHOOSE(MATCH(IF($U699="","Основний",$U699),{"Трафіковий","Основний","Маржинальний","Сезонний","Стратегічний"},0),0.18,0.21,0.26,0.25,0.3)</f>
        <v/>
      </c>
      <c r="AE699" s="104">
        <f>CHOOSE(MATCH(IF($U699="","Основний",$U699),{"Трафіковий","Основний","Маржинальний","Сезонний","Стратегічний"},0),0.18,0.2,0.28,0.27,0.32)</f>
        <v/>
      </c>
      <c r="AF699" s="104">
        <f>CHOOSE(MATCH(IF($U699="","Основний",$U699),{"Трафіковий","Основний","Маржинальний","Сезонний","Стратегічний"},0),0.15,0.175,0.22,0.21,0.25)</f>
        <v/>
      </c>
      <c r="AG699" s="104">
        <f>CHOOSE(MATCH(IF($U699="","Основний",$U699),{"Трафіковий","Основний","Маржинальний","Сезонний","Стратегічний"},0),0.13,0.16,0.21,0.2,0.25)</f>
        <v/>
      </c>
      <c r="AH699" s="104">
        <f>CHOOSE(MATCH(IF($U699="","Основний",$U699),{"Трафіковий","Основний","Маржинальний","Сезонний","Стратегічний"},0),0.15,0.18,0.23,0.22,0.27)</f>
        <v/>
      </c>
      <c r="AI699" s="104">
        <f>CHOOSE(MATCH(IF($U699="","Основний",$U699),{"Трафіковий","Основний","Маржинальний","Сезонний","Стратегічний"},0),0.16,0.19,0.25,0.23,0.29)</f>
        <v/>
      </c>
      <c r="AJ699" s="104">
        <f>CHOOSE(MATCH(IF($U699="","Основний",$U699),{"Трафіковий","Основний","Маржинальний","Сезонний","Стратегічний"},0),0.14,0.17,0.22,0.21,0.25)</f>
        <v/>
      </c>
      <c r="AK699" s="104">
        <f>CHOOSE(MATCH(IF($U699="","Основний",$U699),{"Трафіковий","Основний","Маржинальний","Сезонний","Стратегічний"},0),0.15,0.18,0.23,0.22,0.27)</f>
        <v/>
      </c>
      <c r="AL699" s="104">
        <f>CHOOSE(MATCH(IF($U699="","Основний",$U699),{"Трафіковий","Основний","Маржинальний","Сезонний","Стратегічний"},0),0.15,0.17,0.25,0.24,0.29)</f>
        <v/>
      </c>
      <c r="AM699" s="104">
        <f>CHOOSE(MATCH(IF($U699="","Основний",$U699),{"Трафіковий","Основний","Маржинальний","Сезонний","Стратегічний"},0),0.12,0.145,0.19,0.18,0.22)</f>
        <v/>
      </c>
      <c r="AN699" s="157">
        <f>CHOOSE(MATCH(IF($U699="","Основний",$U699),{"Трафіковий","Основний","Маржинальний","Сезонний","Стратегічний"},0),Settings!$B$78,Settings!$B$80,Settings!$B$82,Settings!$B$84,Settings!$B$86)</f>
        <v/>
      </c>
      <c r="AO699" s="157">
        <f>CHOOSE(MATCH(IF($U699="","Основний",$U699),{"Трафіковий","Основний","Маржинальний","Сезонний","Стратегічний"},0),Settings!$C$78,Settings!$C$80,Settings!$C$82,Settings!$C$84,Settings!$C$86)</f>
        <v/>
      </c>
      <c r="AP699" s="157">
        <f>CHOOSE(MATCH(IF($U699="","Основний",$U699),{"Трафіковий","Основний","Маржинальний","Сезонний","Стратегічний"},0),Settings!$D$78,Settings!$D$80,Settings!$D$82,Settings!$D$84,Settings!$D$86)</f>
        <v/>
      </c>
      <c r="AQ699" s="157">
        <f>CHOOSE(MATCH(IF($U699="","Основний",$U699),{"Трафіковий","Основний","Маржинальний","Сезонний","Стратегічний"},0),Settings!$F$78,Settings!$F$80,Settings!$F$82,Settings!$F$84,Settings!$F$86)</f>
        <v/>
      </c>
      <c r="AR699" s="157">
        <f>CHOOSE(MATCH(IF($U699="","Основний",$U699),{"Трафіковий","Основний","Маржинальний","Сезонний","Стратегічний"},0),Settings!$G$78,Settings!$G$80,Settings!$G$82,Settings!$G$84,Settings!$G$86)</f>
        <v/>
      </c>
      <c r="AS699" s="157">
        <f>CHOOSE(MATCH(IF($U699="","Основний",$U699),{"Трафіковий","Основний","Маржинальний","Сезонний","Стратегічний"},0),Settings!$H$78,Settings!$H$80,Settings!$H$82,Settings!$H$84,Settings!$H$86)</f>
        <v/>
      </c>
      <c r="AT699" s="157">
        <f>CHOOSE(MATCH(IF($U699="","Основний",$U699),{"Трафіковий","Основний","Маржинальний","Сезонний","Стратегічний"},0),Settings!$I$78,Settings!$I$80,Settings!$I$82,Settings!$I$84,Settings!$I$86)</f>
        <v/>
      </c>
      <c r="AU699" s="171" t="n"/>
      <c r="AV699" t="n">
        <v>1.3</v>
      </c>
    </row>
    <row r="700">
      <c r="A700" s="28" t="inlineStr">
        <is>
          <t>SELL OUT</t>
        </is>
      </c>
      <c r="B700" s="29" t="inlineStr">
        <is>
          <t>H5022</t>
        </is>
      </c>
      <c r="C700" s="29" t="inlineStr">
        <is>
          <t>GOSMART ZIGBEE REPEATER IP-2213Z</t>
        </is>
      </c>
      <c r="D700" s="29" t="inlineStr">
        <is>
          <t>Відеосистеми, та IP камери</t>
        </is>
      </c>
      <c r="E700" s="28" t="inlineStr">
        <is>
          <t>PC</t>
        </is>
      </c>
      <c r="F700" s="93" t="n">
        <v>9.455</v>
      </c>
      <c r="G700" s="30" t="n">
        <v>8517699000</v>
      </c>
      <c r="H700" s="31" t="n">
        <v>1.35</v>
      </c>
      <c r="I700" s="84">
        <f>IFERROR(F700*Settings!$B$2*H700*IF(AND(ISNUMBER(E700),E700&gt;1),E700,1),"")</f>
        <v/>
      </c>
      <c r="J700" s="32">
        <f>Settings!$B$66</f>
        <v/>
      </c>
      <c r="K700" s="95">
        <f>IFERROR(IF(T700="","",(T700*(1-AN700)*(1-Settings!$B$17)-I700)/(T700*(1-AN700)*(1-Settings!$B$17))),"")</f>
        <v/>
      </c>
      <c r="L700" s="101">
        <f>IFERROR(IF(T700="","",(T700*(1-AO700)*(1-Settings!$C$17)-I700)/(T700*(1-AO700)*(1-Settings!$C$17))),"")</f>
        <v/>
      </c>
      <c r="M700" s="101">
        <f>IFERROR(IF(T700="","",(T700*(1-AP700)*(1-Settings!$D$17)-I700)/(T700*(1-AP700)*(1-Settings!$D$17))),"")</f>
        <v/>
      </c>
      <c r="N700" s="101">
        <f>IFERROR(IF(T700="","",(T700*(1-AQ700)*(1-Settings!$F$17)-I700)/(T700*(1-AQ700)*(1-Settings!$F$17))),"")</f>
        <v/>
      </c>
      <c r="O700" s="101">
        <f>IFERROR(IF(T700="","",(T700*(1-AR700)*(1-Settings!$G$17)-I700)/(T700*(1-AR700)*(1-Settings!$G$17))),"")</f>
        <v/>
      </c>
      <c r="P700" s="101">
        <f>IFERROR(IF(T700="","",(T700*(1-AS700)*(1-Settings!$H$17)-I700)/(T700*(1-AS700)*(1-Settings!$H$17))),"")</f>
        <v/>
      </c>
      <c r="Q700" s="101">
        <f>IFERROR(IF(T700="","",(T700*(1-AT700)*(1-Settings!$I$68)*(1-Settings!$I$17)-I700)/(T700*(1-AT700)*(1-Settings!$I$68)*(1-Settings!$I$17))),"")</f>
        <v/>
      </c>
      <c r="R700" s="91">
        <f>IFERROR(IF(OR(I700="",Z700&gt;=1,Settings!$B$17&gt;=1,AN700&gt;=1),"",IF(MOD(ROUND(I700/(1-Z700)/(1-Settings!$B$17)/(1-AN700),0),10)=0,ROUND(I700/(1-Z700)/(1-Settings!$B$17)/(1-AN700),0)-1,IF(MOD(ROUND(I700/(1-Z700)/(1-Settings!$B$17)/(1-AN700),0),10)&lt;=5,FLOOR(ROUND(I700/(1-Z700)/(1-Settings!$B$17)/(1-AN700),0),10)+6,FLOOR(ROUND(I700/(1-Z700)/(1-Settings!$B$17)/(1-AN700),0),10)+9))),"")</f>
        <v/>
      </c>
      <c r="S700" s="174">
        <f>R700*0.95</f>
        <v/>
      </c>
      <c r="T700" s="91">
        <f>IF(S700&lt;&gt;"", IF(MOD(S700,10)=0,S700-1,IF(MOD(S700,10)&lt;=5,FLOOR(S700,10)+6,FLOOR(S700,10)+9)), R700)</f>
        <v/>
      </c>
      <c r="U700" s="87" t="inlineStr">
        <is>
          <t>Основний</t>
        </is>
      </c>
      <c r="V700" s="88" t="n"/>
      <c r="W700" s="88" t="n"/>
      <c r="X700" s="89">
        <f>IFERROR(IF(OR(V700="",W700="",T700=""),"", IF(T700&gt;W700,"Дорогий",IF(T700&lt;V700,"Дешевий","У ринку"))),"")</f>
        <v/>
      </c>
      <c r="Y700" s="90" t="n"/>
      <c r="Z700" s="104">
        <f>CHOOSE(MATCH(IF($U700="","Основний",$U700),{"Трафіковий","Основний","Маржинальний","Сезонний","Стратегічний"},0),0.16,0.19,0.24,0.23,0.28)</f>
        <v/>
      </c>
      <c r="AA700" s="104">
        <f>CHOOSE(MATCH(IF($U700="","Основний",$U700),{"Трафіковий","Основний","Маржинальний","Сезонний","Стратегічний"},0),0.18,0.21,0.26,0.25,0.3)</f>
        <v/>
      </c>
      <c r="AB700" s="104">
        <f>CHOOSE(MATCH(IF($U700="","Основний",$U700),{"Трафіковий","Основний","Маржинальний","Сезонний","Стратегічний"},0),0.19,0.22,0.28,0.26,0.32)</f>
        <v/>
      </c>
      <c r="AC700" s="104">
        <f>CHOOSE(MATCH(IF($U700="","Основний",$U700),{"Трафіковий","Основний","Маржинальний","Сезонний","Стратегічний"},0),0.17,0.2,0.25,0.24,0.28)</f>
        <v/>
      </c>
      <c r="AD700" s="104">
        <f>CHOOSE(MATCH(IF($U700="","Основний",$U700),{"Трафіковий","Основний","Маржинальний","Сезонний","Стратегічний"},0),0.18,0.21,0.26,0.25,0.3)</f>
        <v/>
      </c>
      <c r="AE700" s="104">
        <f>CHOOSE(MATCH(IF($U700="","Основний",$U700),{"Трафіковий","Основний","Маржинальний","Сезонний","Стратегічний"},0),0.18,0.2,0.28,0.27,0.32)</f>
        <v/>
      </c>
      <c r="AF700" s="104">
        <f>CHOOSE(MATCH(IF($U700="","Основний",$U700),{"Трафіковий","Основний","Маржинальний","Сезонний","Стратегічний"},0),0.15,0.175,0.22,0.21,0.25)</f>
        <v/>
      </c>
      <c r="AG700" s="104">
        <f>CHOOSE(MATCH(IF($U700="","Основний",$U700),{"Трафіковий","Основний","Маржинальний","Сезонний","Стратегічний"},0),0.13,0.16,0.21,0.2,0.25)</f>
        <v/>
      </c>
      <c r="AH700" s="104">
        <f>CHOOSE(MATCH(IF($U700="","Основний",$U700),{"Трафіковий","Основний","Маржинальний","Сезонний","Стратегічний"},0),0.15,0.18,0.23,0.22,0.27)</f>
        <v/>
      </c>
      <c r="AI700" s="104">
        <f>CHOOSE(MATCH(IF($U700="","Основний",$U700),{"Трафіковий","Основний","Маржинальний","Сезонний","Стратегічний"},0),0.16,0.19,0.25,0.23,0.29)</f>
        <v/>
      </c>
      <c r="AJ700" s="104">
        <f>CHOOSE(MATCH(IF($U700="","Основний",$U700),{"Трафіковий","Основний","Маржинальний","Сезонний","Стратегічний"},0),0.14,0.17,0.22,0.21,0.25)</f>
        <v/>
      </c>
      <c r="AK700" s="104">
        <f>CHOOSE(MATCH(IF($U700="","Основний",$U700),{"Трафіковий","Основний","Маржинальний","Сезонний","Стратегічний"},0),0.15,0.18,0.23,0.22,0.27)</f>
        <v/>
      </c>
      <c r="AL700" s="104">
        <f>CHOOSE(MATCH(IF($U700="","Основний",$U700),{"Трафіковий","Основний","Маржинальний","Сезонний","Стратегічний"},0),0.15,0.17,0.25,0.24,0.29)</f>
        <v/>
      </c>
      <c r="AM700" s="104">
        <f>CHOOSE(MATCH(IF($U700="","Основний",$U700),{"Трафіковий","Основний","Маржинальний","Сезонний","Стратегічний"},0),0.12,0.145,0.19,0.18,0.22)</f>
        <v/>
      </c>
      <c r="AN700" s="157">
        <f>CHOOSE(MATCH(IF($U700="","Основний",$U700),{"Трафіковий","Основний","Маржинальний","Сезонний","Стратегічний"},0),Settings!$B$78,Settings!$B$80,Settings!$B$82,Settings!$B$84,Settings!$B$86)</f>
        <v/>
      </c>
      <c r="AO700" s="157">
        <f>CHOOSE(MATCH(IF($U700="","Основний",$U700),{"Трафіковий","Основний","Маржинальний","Сезонний","Стратегічний"},0),Settings!$C$78,Settings!$C$80,Settings!$C$82,Settings!$C$84,Settings!$C$86)</f>
        <v/>
      </c>
      <c r="AP700" s="157">
        <f>CHOOSE(MATCH(IF($U700="","Основний",$U700),{"Трафіковий","Основний","Маржинальний","Сезонний","Стратегічний"},0),Settings!$D$78,Settings!$D$80,Settings!$D$82,Settings!$D$84,Settings!$D$86)</f>
        <v/>
      </c>
      <c r="AQ700" s="157">
        <f>CHOOSE(MATCH(IF($U700="","Основний",$U700),{"Трафіковий","Основний","Маржинальний","Сезонний","Стратегічний"},0),Settings!$F$78,Settings!$F$80,Settings!$F$82,Settings!$F$84,Settings!$F$86)</f>
        <v/>
      </c>
      <c r="AR700" s="157">
        <f>CHOOSE(MATCH(IF($U700="","Основний",$U700),{"Трафіковий","Основний","Маржинальний","Сезонний","Стратегічний"},0),Settings!$G$78,Settings!$G$80,Settings!$G$82,Settings!$G$84,Settings!$G$86)</f>
        <v/>
      </c>
      <c r="AS700" s="157">
        <f>CHOOSE(MATCH(IF($U700="","Основний",$U700),{"Трафіковий","Основний","Маржинальний","Сезонний","Стратегічний"},0),Settings!$H$78,Settings!$H$80,Settings!$H$82,Settings!$H$84,Settings!$H$86)</f>
        <v/>
      </c>
      <c r="AT700" s="157">
        <f>CHOOSE(MATCH(IF($U700="","Основний",$U700),{"Трафіковий","Основний","Маржинальний","Сезонний","Стратегічний"},0),Settings!$I$78,Settings!$I$80,Settings!$I$82,Settings!$I$84,Settings!$I$86)</f>
        <v/>
      </c>
      <c r="AU700" s="171" t="n"/>
      <c r="AV700" t="n">
        <v>1.3</v>
      </c>
    </row>
    <row r="701">
      <c r="A701" s="33" t="inlineStr">
        <is>
          <t>NEW</t>
        </is>
      </c>
      <c r="B701" s="34" t="inlineStr">
        <is>
          <t>H5023</t>
        </is>
      </c>
      <c r="C701" s="34" t="inlineStr">
        <is>
          <t>GOSMART KEYPAD IP-006AX RFID WIFI</t>
        </is>
      </c>
      <c r="D701" s="34" t="inlineStr">
        <is>
          <t>Відеосистеми, та IP камери</t>
        </is>
      </c>
      <c r="E701" s="33" t="inlineStr">
        <is>
          <t>PC</t>
        </is>
      </c>
      <c r="F701" s="94" t="n">
        <v>45.299</v>
      </c>
      <c r="G701" s="35" t="n">
        <v>8301600030</v>
      </c>
      <c r="H701" s="31" t="n">
        <v>1.4</v>
      </c>
      <c r="I701" s="84">
        <f>IFERROR(F701*Settings!$B$2*H701*IF(AND(ISNUMBER(E701),E701&gt;1),E701,1),"")</f>
        <v/>
      </c>
      <c r="J701" s="32">
        <f>Settings!$B$66</f>
        <v/>
      </c>
      <c r="K701" s="95">
        <f>IFERROR(IF(T701="","",(T701*(1-AN701)*(1-Settings!$B$17)-I701)/(T701*(1-AN701)*(1-Settings!$B$17))),"")</f>
        <v/>
      </c>
      <c r="L701" s="101">
        <f>IFERROR(IF(T701="","",(T701*(1-AO701)*(1-Settings!$C$17)-I701)/(T701*(1-AO701)*(1-Settings!$C$17))),"")</f>
        <v/>
      </c>
      <c r="M701" s="101">
        <f>IFERROR(IF(T701="","",(T701*(1-AP701)*(1-Settings!$D$17)-I701)/(T701*(1-AP701)*(1-Settings!$D$17))),"")</f>
        <v/>
      </c>
      <c r="N701" s="101">
        <f>IFERROR(IF(T701="","",(T701*(1-AQ701)*(1-Settings!$F$17)-I701)/(T701*(1-AQ701)*(1-Settings!$F$17))),"")</f>
        <v/>
      </c>
      <c r="O701" s="101">
        <f>IFERROR(IF(T701="","",(T701*(1-AR701)*(1-Settings!$G$17)-I701)/(T701*(1-AR701)*(1-Settings!$G$17))),"")</f>
        <v/>
      </c>
      <c r="P701" s="101">
        <f>IFERROR(IF(T701="","",(T701*(1-AS701)*(1-Settings!$H$17)-I701)/(T701*(1-AS701)*(1-Settings!$H$17))),"")</f>
        <v/>
      </c>
      <c r="Q701" s="101">
        <f>IFERROR(IF(T701="","",(T701*(1-AT701)*(1-Settings!$I$68)*(1-Settings!$I$17)-I701)/(T701*(1-AT701)*(1-Settings!$I$68)*(1-Settings!$I$17))),"")</f>
        <v/>
      </c>
      <c r="R701" s="91">
        <f>IFERROR(IF(OR(I701="",Z701&gt;=1,Settings!$B$17&gt;=1,AN701&gt;=1),"",IF(MOD(ROUND(I701/(1-Z701)/(1-Settings!$B$17)/(1-AN701),0),10)=0,ROUND(I701/(1-Z701)/(1-Settings!$B$17)/(1-AN701),0)-1,IF(MOD(ROUND(I701/(1-Z701)/(1-Settings!$B$17)/(1-AN701),0),10)&lt;=5,FLOOR(ROUND(I701/(1-Z701)/(1-Settings!$B$17)/(1-AN701),0),10)+6,FLOOR(ROUND(I701/(1-Z701)/(1-Settings!$B$17)/(1-AN701),0),10)+9))),"")</f>
        <v/>
      </c>
      <c r="S701" s="174">
        <f>R701*0.95</f>
        <v/>
      </c>
      <c r="T701" s="91">
        <f>IF(S701&lt;&gt;"", IF(MOD(S701,10)=0,S701-1,IF(MOD(S701,10)&lt;=5,FLOOR(S701,10)+6,FLOOR(S701,10)+9)), R701)</f>
        <v/>
      </c>
      <c r="U701" s="87" t="inlineStr">
        <is>
          <t>Трафіковий</t>
        </is>
      </c>
      <c r="V701" s="88" t="n"/>
      <c r="W701" s="88" t="n"/>
      <c r="X701" s="89">
        <f>IFERROR(IF(OR(V701="",W701="",T701=""),"", IF(T701&gt;W701,"Дорогий",IF(T701&lt;V701,"Дешевий","У ринку"))),"")</f>
        <v/>
      </c>
      <c r="Y701" s="90" t="n"/>
      <c r="Z701" s="104">
        <f>CHOOSE(MATCH(IF($U701="","Основний",$U701),{"Трафіковий","Основний","Маржинальний","Сезонний","Стратегічний"},0),0.16,0.19,0.24,0.23,0.28)</f>
        <v/>
      </c>
      <c r="AA701" s="104">
        <f>CHOOSE(MATCH(IF($U701="","Основний",$U701),{"Трафіковий","Основний","Маржинальний","Сезонний","Стратегічний"},0),0.18,0.21,0.26,0.25,0.3)</f>
        <v/>
      </c>
      <c r="AB701" s="104">
        <f>CHOOSE(MATCH(IF($U701="","Основний",$U701),{"Трафіковий","Основний","Маржинальний","Сезонний","Стратегічний"},0),0.19,0.22,0.28,0.26,0.32)</f>
        <v/>
      </c>
      <c r="AC701" s="104">
        <f>CHOOSE(MATCH(IF($U701="","Основний",$U701),{"Трафіковий","Основний","Маржинальний","Сезонний","Стратегічний"},0),0.17,0.2,0.25,0.24,0.28)</f>
        <v/>
      </c>
      <c r="AD701" s="104">
        <f>CHOOSE(MATCH(IF($U701="","Основний",$U701),{"Трафіковий","Основний","Маржинальний","Сезонний","Стратегічний"},0),0.18,0.21,0.26,0.25,0.3)</f>
        <v/>
      </c>
      <c r="AE701" s="104">
        <f>CHOOSE(MATCH(IF($U701="","Основний",$U701),{"Трафіковий","Основний","Маржинальний","Сезонний","Стратегічний"},0),0.18,0.2,0.28,0.27,0.32)</f>
        <v/>
      </c>
      <c r="AF701" s="104">
        <f>CHOOSE(MATCH(IF($U701="","Основний",$U701),{"Трафіковий","Основний","Маржинальний","Сезонний","Стратегічний"},0),0.15,0.175,0.22,0.21,0.25)</f>
        <v/>
      </c>
      <c r="AG701" s="104">
        <f>CHOOSE(MATCH(IF($U701="","Основний",$U701),{"Трафіковий","Основний","Маржинальний","Сезонний","Стратегічний"},0),0.13,0.16,0.21,0.2,0.25)</f>
        <v/>
      </c>
      <c r="AH701" s="104">
        <f>CHOOSE(MATCH(IF($U701="","Основний",$U701),{"Трафіковий","Основний","Маржинальний","Сезонний","Стратегічний"},0),0.15,0.18,0.23,0.22,0.27)</f>
        <v/>
      </c>
      <c r="AI701" s="104">
        <f>CHOOSE(MATCH(IF($U701="","Основний",$U701),{"Трафіковий","Основний","Маржинальний","Сезонний","Стратегічний"},0),0.16,0.19,0.25,0.23,0.29)</f>
        <v/>
      </c>
      <c r="AJ701" s="104">
        <f>CHOOSE(MATCH(IF($U701="","Основний",$U701),{"Трафіковий","Основний","Маржинальний","Сезонний","Стратегічний"},0),0.14,0.17,0.22,0.21,0.25)</f>
        <v/>
      </c>
      <c r="AK701" s="104">
        <f>CHOOSE(MATCH(IF($U701="","Основний",$U701),{"Трафіковий","Основний","Маржинальний","Сезонний","Стратегічний"},0),0.15,0.18,0.23,0.22,0.27)</f>
        <v/>
      </c>
      <c r="AL701" s="104">
        <f>CHOOSE(MATCH(IF($U701="","Основний",$U701),{"Трафіковий","Основний","Маржинальний","Сезонний","Стратегічний"},0),0.15,0.17,0.25,0.24,0.29)</f>
        <v/>
      </c>
      <c r="AM701" s="104">
        <f>CHOOSE(MATCH(IF($U701="","Основний",$U701),{"Трафіковий","Основний","Маржинальний","Сезонний","Стратегічний"},0),0.12,0.145,0.19,0.18,0.22)</f>
        <v/>
      </c>
      <c r="AN701" s="157">
        <f>CHOOSE(MATCH(IF($U701="","Основний",$U701),{"Трафіковий","Основний","Маржинальний","Сезонний","Стратегічний"},0),Settings!$B$78,Settings!$B$80,Settings!$B$82,Settings!$B$84,Settings!$B$86)</f>
        <v/>
      </c>
      <c r="AO701" s="157">
        <f>CHOOSE(MATCH(IF($U701="","Основний",$U701),{"Трафіковий","Основний","Маржинальний","Сезонний","Стратегічний"},0),Settings!$C$78,Settings!$C$80,Settings!$C$82,Settings!$C$84,Settings!$C$86)</f>
        <v/>
      </c>
      <c r="AP701" s="157">
        <f>CHOOSE(MATCH(IF($U701="","Основний",$U701),{"Трафіковий","Основний","Маржинальний","Сезонний","Стратегічний"},0),Settings!$D$78,Settings!$D$80,Settings!$D$82,Settings!$D$84,Settings!$D$86)</f>
        <v/>
      </c>
      <c r="AQ701" s="157">
        <f>CHOOSE(MATCH(IF($U701="","Основний",$U701),{"Трафіковий","Основний","Маржинальний","Сезонний","Стратегічний"},0),Settings!$F$78,Settings!$F$80,Settings!$F$82,Settings!$F$84,Settings!$F$86)</f>
        <v/>
      </c>
      <c r="AR701" s="157">
        <f>CHOOSE(MATCH(IF($U701="","Основний",$U701),{"Трафіковий","Основний","Маржинальний","Сезонний","Стратегічний"},0),Settings!$G$78,Settings!$G$80,Settings!$G$82,Settings!$G$84,Settings!$G$86)</f>
        <v/>
      </c>
      <c r="AS701" s="157">
        <f>CHOOSE(MATCH(IF($U701="","Основний",$U701),{"Трафіковий","Основний","Маржинальний","Сезонний","Стратегічний"},0),Settings!$H$78,Settings!$H$80,Settings!$H$82,Settings!$H$84,Settings!$H$86)</f>
        <v/>
      </c>
      <c r="AT701" s="157">
        <f>CHOOSE(MATCH(IF($U701="","Основний",$U701),{"Трафіковий","Основний","Маржинальний","Сезонний","Стратегічний"},0),Settings!$I$78,Settings!$I$80,Settings!$I$82,Settings!$I$84,Settings!$I$86)</f>
        <v/>
      </c>
      <c r="AU701" s="171" t="n"/>
      <c r="AV701" t="n">
        <v>1.3</v>
      </c>
    </row>
    <row r="702">
      <c r="A702" s="28" t="inlineStr">
        <is>
          <t>NEW</t>
        </is>
      </c>
      <c r="B702" s="29" t="inlineStr">
        <is>
          <t>H5024</t>
        </is>
      </c>
      <c r="C702" s="29" t="inlineStr">
        <is>
          <t>GOSMART PIR MOVEMENT DETECTOR ZIGBEE IP-2310Z</t>
        </is>
      </c>
      <c r="D702" s="29" t="inlineStr">
        <is>
          <t>Відеосистеми, та IP камери</t>
        </is>
      </c>
      <c r="E702" s="28" t="inlineStr">
        <is>
          <t>PC</t>
        </is>
      </c>
      <c r="F702" s="93" t="n">
        <v>8.343</v>
      </c>
      <c r="G702" s="30" t="n">
        <v>8536508000</v>
      </c>
      <c r="H702" s="31" t="n">
        <v>1.35</v>
      </c>
      <c r="I702" s="84">
        <f>IFERROR(F702*Settings!$B$2*H702*IF(AND(ISNUMBER(E702),E702&gt;1),E702,1),"")</f>
        <v/>
      </c>
      <c r="J702" s="32">
        <f>Settings!$B$66</f>
        <v/>
      </c>
      <c r="K702" s="95">
        <f>IFERROR(IF(T702="","",(T702*(1-AN702)*(1-Settings!$B$17)-I702)/(T702*(1-AN702)*(1-Settings!$B$17))),"")</f>
        <v/>
      </c>
      <c r="L702" s="101">
        <f>IFERROR(IF(T702="","",(T702*(1-AO702)*(1-Settings!$C$17)-I702)/(T702*(1-AO702)*(1-Settings!$C$17))),"")</f>
        <v/>
      </c>
      <c r="M702" s="101">
        <f>IFERROR(IF(T702="","",(T702*(1-AP702)*(1-Settings!$D$17)-I702)/(T702*(1-AP702)*(1-Settings!$D$17))),"")</f>
        <v/>
      </c>
      <c r="N702" s="101">
        <f>IFERROR(IF(T702="","",(T702*(1-AQ702)*(1-Settings!$F$17)-I702)/(T702*(1-AQ702)*(1-Settings!$F$17))),"")</f>
        <v/>
      </c>
      <c r="O702" s="101">
        <f>IFERROR(IF(T702="","",(T702*(1-AR702)*(1-Settings!$G$17)-I702)/(T702*(1-AR702)*(1-Settings!$G$17))),"")</f>
        <v/>
      </c>
      <c r="P702" s="101">
        <f>IFERROR(IF(T702="","",(T702*(1-AS702)*(1-Settings!$H$17)-I702)/(T702*(1-AS702)*(1-Settings!$H$17))),"")</f>
        <v/>
      </c>
      <c r="Q702" s="101">
        <f>IFERROR(IF(T702="","",(T702*(1-AT702)*(1-Settings!$I$68)*(1-Settings!$I$17)-I702)/(T702*(1-AT702)*(1-Settings!$I$68)*(1-Settings!$I$17))),"")</f>
        <v/>
      </c>
      <c r="R702" s="91">
        <f>IFERROR(IF(OR(I702="",Z702&gt;=1,Settings!$B$17&gt;=1,AN702&gt;=1),"",IF(MOD(ROUND(I702/(1-Z702)/(1-Settings!$B$17)/(1-AN702),0),10)=0,ROUND(I702/(1-Z702)/(1-Settings!$B$17)/(1-AN702),0)-1,IF(MOD(ROUND(I702/(1-Z702)/(1-Settings!$B$17)/(1-AN702),0),10)&lt;=5,FLOOR(ROUND(I702/(1-Z702)/(1-Settings!$B$17)/(1-AN702),0),10)+6,FLOOR(ROUND(I702/(1-Z702)/(1-Settings!$B$17)/(1-AN702),0),10)+9))),"")</f>
        <v/>
      </c>
      <c r="S702" s="174">
        <f>R702*0.95</f>
        <v/>
      </c>
      <c r="T702" s="91">
        <f>IF(S702&lt;&gt;"", IF(MOD(S702,10)=0,S702-1,IF(MOD(S702,10)&lt;=5,FLOOR(S702,10)+6,FLOOR(S702,10)+9)), R702)</f>
        <v/>
      </c>
      <c r="U702" s="87" t="inlineStr">
        <is>
          <t>Основний</t>
        </is>
      </c>
      <c r="V702" s="88" t="n"/>
      <c r="W702" s="88" t="n"/>
      <c r="X702" s="89">
        <f>IFERROR(IF(OR(V702="",W702="",T702=""),"", IF(T702&gt;W702,"Дорогий",IF(T702&lt;V702,"Дешевий","У ринку"))),"")</f>
        <v/>
      </c>
      <c r="Y702" s="90" t="n"/>
      <c r="Z702" s="104">
        <f>CHOOSE(MATCH(IF($U702="","Основний",$U702),{"Трафіковий","Основний","Маржинальний","Сезонний","Стратегічний"},0),0.16,0.19,0.24,0.23,0.28)</f>
        <v/>
      </c>
      <c r="AA702" s="104">
        <f>CHOOSE(MATCH(IF($U702="","Основний",$U702),{"Трафіковий","Основний","Маржинальний","Сезонний","Стратегічний"},0),0.18,0.21,0.26,0.25,0.3)</f>
        <v/>
      </c>
      <c r="AB702" s="104">
        <f>CHOOSE(MATCH(IF($U702="","Основний",$U702),{"Трафіковий","Основний","Маржинальний","Сезонний","Стратегічний"},0),0.19,0.22,0.28,0.26,0.32)</f>
        <v/>
      </c>
      <c r="AC702" s="104">
        <f>CHOOSE(MATCH(IF($U702="","Основний",$U702),{"Трафіковий","Основний","Маржинальний","Сезонний","Стратегічний"},0),0.17,0.2,0.25,0.24,0.28)</f>
        <v/>
      </c>
      <c r="AD702" s="104">
        <f>CHOOSE(MATCH(IF($U702="","Основний",$U702),{"Трафіковий","Основний","Маржинальний","Сезонний","Стратегічний"},0),0.18,0.21,0.26,0.25,0.3)</f>
        <v/>
      </c>
      <c r="AE702" s="104">
        <f>CHOOSE(MATCH(IF($U702="","Основний",$U702),{"Трафіковий","Основний","Маржинальний","Сезонний","Стратегічний"},0),0.18,0.2,0.28,0.27,0.32)</f>
        <v/>
      </c>
      <c r="AF702" s="104">
        <f>CHOOSE(MATCH(IF($U702="","Основний",$U702),{"Трафіковий","Основний","Маржинальний","Сезонний","Стратегічний"},0),0.15,0.175,0.22,0.21,0.25)</f>
        <v/>
      </c>
      <c r="AG702" s="104">
        <f>CHOOSE(MATCH(IF($U702="","Основний",$U702),{"Трафіковий","Основний","Маржинальний","Сезонний","Стратегічний"},0),0.13,0.16,0.21,0.2,0.25)</f>
        <v/>
      </c>
      <c r="AH702" s="104">
        <f>CHOOSE(MATCH(IF($U702="","Основний",$U702),{"Трафіковий","Основний","Маржинальний","Сезонний","Стратегічний"},0),0.15,0.18,0.23,0.22,0.27)</f>
        <v/>
      </c>
      <c r="AI702" s="104">
        <f>CHOOSE(MATCH(IF($U702="","Основний",$U702),{"Трафіковий","Основний","Маржинальний","Сезонний","Стратегічний"},0),0.16,0.19,0.25,0.23,0.29)</f>
        <v/>
      </c>
      <c r="AJ702" s="104">
        <f>CHOOSE(MATCH(IF($U702="","Основний",$U702),{"Трафіковий","Основний","Маржинальний","Сезонний","Стратегічний"},0),0.14,0.17,0.22,0.21,0.25)</f>
        <v/>
      </c>
      <c r="AK702" s="104">
        <f>CHOOSE(MATCH(IF($U702="","Основний",$U702),{"Трафіковий","Основний","Маржинальний","Сезонний","Стратегічний"},0),0.15,0.18,0.23,0.22,0.27)</f>
        <v/>
      </c>
      <c r="AL702" s="104">
        <f>CHOOSE(MATCH(IF($U702="","Основний",$U702),{"Трафіковий","Основний","Маржинальний","Сезонний","Стратегічний"},0),0.15,0.17,0.25,0.24,0.29)</f>
        <v/>
      </c>
      <c r="AM702" s="104">
        <f>CHOOSE(MATCH(IF($U702="","Основний",$U702),{"Трафіковий","Основний","Маржинальний","Сезонний","Стратегічний"},0),0.12,0.145,0.19,0.18,0.22)</f>
        <v/>
      </c>
      <c r="AN702" s="157">
        <f>CHOOSE(MATCH(IF($U702="","Основний",$U702),{"Трафіковий","Основний","Маржинальний","Сезонний","Стратегічний"},0),Settings!$B$78,Settings!$B$80,Settings!$B$82,Settings!$B$84,Settings!$B$86)</f>
        <v/>
      </c>
      <c r="AO702" s="157">
        <f>CHOOSE(MATCH(IF($U702="","Основний",$U702),{"Трафіковий","Основний","Маржинальний","Сезонний","Стратегічний"},0),Settings!$C$78,Settings!$C$80,Settings!$C$82,Settings!$C$84,Settings!$C$86)</f>
        <v/>
      </c>
      <c r="AP702" s="157">
        <f>CHOOSE(MATCH(IF($U702="","Основний",$U702),{"Трафіковий","Основний","Маржинальний","Сезонний","Стратегічний"},0),Settings!$D$78,Settings!$D$80,Settings!$D$82,Settings!$D$84,Settings!$D$86)</f>
        <v/>
      </c>
      <c r="AQ702" s="157">
        <f>CHOOSE(MATCH(IF($U702="","Основний",$U702),{"Трафіковий","Основний","Маржинальний","Сезонний","Стратегічний"},0),Settings!$F$78,Settings!$F$80,Settings!$F$82,Settings!$F$84,Settings!$F$86)</f>
        <v/>
      </c>
      <c r="AR702" s="157">
        <f>CHOOSE(MATCH(IF($U702="","Основний",$U702),{"Трафіковий","Основний","Маржинальний","Сезонний","Стратегічний"},0),Settings!$G$78,Settings!$G$80,Settings!$G$82,Settings!$G$84,Settings!$G$86)</f>
        <v/>
      </c>
      <c r="AS702" s="157">
        <f>CHOOSE(MATCH(IF($U702="","Основний",$U702),{"Трафіковий","Основний","Маржинальний","Сезонний","Стратегічний"},0),Settings!$H$78,Settings!$H$80,Settings!$H$82,Settings!$H$84,Settings!$H$86)</f>
        <v/>
      </c>
      <c r="AT702" s="157">
        <f>CHOOSE(MATCH(IF($U702="","Основний",$U702),{"Трафіковий","Основний","Маржинальний","Сезонний","Стратегічний"},0),Settings!$I$78,Settings!$I$80,Settings!$I$82,Settings!$I$84,Settings!$I$86)</f>
        <v/>
      </c>
      <c r="AU702" s="171" t="n"/>
      <c r="AV702" t="n">
        <v>1.35</v>
      </c>
    </row>
    <row r="703">
      <c r="A703" s="33" t="inlineStr">
        <is>
          <t>NEW</t>
        </is>
      </c>
      <c r="B703" s="34" t="inlineStr">
        <is>
          <t>H5025</t>
        </is>
      </c>
      <c r="C703" s="34" t="inlineStr">
        <is>
          <t>GOSMART DOOR DETECTOR ZIGBEE IP-2111Z</t>
        </is>
      </c>
      <c r="D703" s="34" t="inlineStr">
        <is>
          <t>Відеосистеми, та IP камери</t>
        </is>
      </c>
      <c r="E703" s="33" t="inlineStr">
        <is>
          <t>PC</t>
        </is>
      </c>
      <c r="F703" s="94" t="n">
        <v>5.145</v>
      </c>
      <c r="G703" s="35" t="n">
        <v>8536508000</v>
      </c>
      <c r="H703" s="31" t="n">
        <v>1.35</v>
      </c>
      <c r="I703" s="84">
        <f>IFERROR(F703*Settings!$B$2*H703*IF(AND(ISNUMBER(E703),E703&gt;1),E703,1),"")</f>
        <v/>
      </c>
      <c r="J703" s="32">
        <f>Settings!$B$66</f>
        <v/>
      </c>
      <c r="K703" s="95">
        <f>IFERROR(IF(T703="","",(T703*(1-AN703)*(1-Settings!$B$17)-I703)/(T703*(1-AN703)*(1-Settings!$B$17))),"")</f>
        <v/>
      </c>
      <c r="L703" s="101">
        <f>IFERROR(IF(T703="","",(T703*(1-AO703)*(1-Settings!$C$17)-I703)/(T703*(1-AO703)*(1-Settings!$C$17))),"")</f>
        <v/>
      </c>
      <c r="M703" s="101">
        <f>IFERROR(IF(T703="","",(T703*(1-AP703)*(1-Settings!$D$17)-I703)/(T703*(1-AP703)*(1-Settings!$D$17))),"")</f>
        <v/>
      </c>
      <c r="N703" s="101">
        <f>IFERROR(IF(T703="","",(T703*(1-AQ703)*(1-Settings!$F$17)-I703)/(T703*(1-AQ703)*(1-Settings!$F$17))),"")</f>
        <v/>
      </c>
      <c r="O703" s="101">
        <f>IFERROR(IF(T703="","",(T703*(1-AR703)*(1-Settings!$G$17)-I703)/(T703*(1-AR703)*(1-Settings!$G$17))),"")</f>
        <v/>
      </c>
      <c r="P703" s="101">
        <f>IFERROR(IF(T703="","",(T703*(1-AS703)*(1-Settings!$H$17)-I703)/(T703*(1-AS703)*(1-Settings!$H$17))),"")</f>
        <v/>
      </c>
      <c r="Q703" s="101">
        <f>IFERROR(IF(T703="","",(T703*(1-AT703)*(1-Settings!$I$68)*(1-Settings!$I$17)-I703)/(T703*(1-AT703)*(1-Settings!$I$68)*(1-Settings!$I$17))),"")</f>
        <v/>
      </c>
      <c r="R703" s="91">
        <f>IFERROR(IF(OR(I703="",Z703&gt;=1,Settings!$B$17&gt;=1,AN703&gt;=1),"",IF(MOD(ROUND(I703/(1-Z703)/(1-Settings!$B$17)/(1-AN703),0),10)=0,ROUND(I703/(1-Z703)/(1-Settings!$B$17)/(1-AN703),0)-1,IF(MOD(ROUND(I703/(1-Z703)/(1-Settings!$B$17)/(1-AN703),0),10)&lt;=5,FLOOR(ROUND(I703/(1-Z703)/(1-Settings!$B$17)/(1-AN703),0),10)+6,FLOOR(ROUND(I703/(1-Z703)/(1-Settings!$B$17)/(1-AN703),0),10)+9))),"")</f>
        <v/>
      </c>
      <c r="S703" s="174">
        <f>R703*0.95</f>
        <v/>
      </c>
      <c r="T703" s="91">
        <f>IF(S703&lt;&gt;"", IF(MOD(S703,10)=0,S703-1,IF(MOD(S703,10)&lt;=5,FLOOR(S703,10)+6,FLOOR(S703,10)+9)), R703)</f>
        <v/>
      </c>
      <c r="U703" s="87" t="inlineStr">
        <is>
          <t>Основний</t>
        </is>
      </c>
      <c r="V703" s="88" t="n"/>
      <c r="W703" s="88" t="n"/>
      <c r="X703" s="89">
        <f>IFERROR(IF(OR(V703="",W703="",T703=""),"", IF(T703&gt;W703,"Дорогий",IF(T703&lt;V703,"Дешевий","У ринку"))),"")</f>
        <v/>
      </c>
      <c r="Y703" s="90" t="n"/>
      <c r="Z703" s="104">
        <f>CHOOSE(MATCH(IF($U703="","Основний",$U703),{"Трафіковий","Основний","Маржинальний","Сезонний","Стратегічний"},0),0.16,0.19,0.24,0.23,0.28)</f>
        <v/>
      </c>
      <c r="AA703" s="104">
        <f>CHOOSE(MATCH(IF($U703="","Основний",$U703),{"Трафіковий","Основний","Маржинальний","Сезонний","Стратегічний"},0),0.18,0.21,0.26,0.25,0.3)</f>
        <v/>
      </c>
      <c r="AB703" s="104">
        <f>CHOOSE(MATCH(IF($U703="","Основний",$U703),{"Трафіковий","Основний","Маржинальний","Сезонний","Стратегічний"},0),0.19,0.22,0.28,0.26,0.32)</f>
        <v/>
      </c>
      <c r="AC703" s="104">
        <f>CHOOSE(MATCH(IF($U703="","Основний",$U703),{"Трафіковий","Основний","Маржинальний","Сезонний","Стратегічний"},0),0.17,0.2,0.25,0.24,0.28)</f>
        <v/>
      </c>
      <c r="AD703" s="104">
        <f>CHOOSE(MATCH(IF($U703="","Основний",$U703),{"Трафіковий","Основний","Маржинальний","Сезонний","Стратегічний"},0),0.18,0.21,0.26,0.25,0.3)</f>
        <v/>
      </c>
      <c r="AE703" s="104">
        <f>CHOOSE(MATCH(IF($U703="","Основний",$U703),{"Трафіковий","Основний","Маржинальний","Сезонний","Стратегічний"},0),0.18,0.2,0.28,0.27,0.32)</f>
        <v/>
      </c>
      <c r="AF703" s="104">
        <f>CHOOSE(MATCH(IF($U703="","Основний",$U703),{"Трафіковий","Основний","Маржинальний","Сезонний","Стратегічний"},0),0.15,0.175,0.22,0.21,0.25)</f>
        <v/>
      </c>
      <c r="AG703" s="104">
        <f>CHOOSE(MATCH(IF($U703="","Основний",$U703),{"Трафіковий","Основний","Маржинальний","Сезонний","Стратегічний"},0),0.13,0.16,0.21,0.2,0.25)</f>
        <v/>
      </c>
      <c r="AH703" s="104">
        <f>CHOOSE(MATCH(IF($U703="","Основний",$U703),{"Трафіковий","Основний","Маржинальний","Сезонний","Стратегічний"},0),0.15,0.18,0.23,0.22,0.27)</f>
        <v/>
      </c>
      <c r="AI703" s="104">
        <f>CHOOSE(MATCH(IF($U703="","Основний",$U703),{"Трафіковий","Основний","Маржинальний","Сезонний","Стратегічний"},0),0.16,0.19,0.25,0.23,0.29)</f>
        <v/>
      </c>
      <c r="AJ703" s="104">
        <f>CHOOSE(MATCH(IF($U703="","Основний",$U703),{"Трафіковий","Основний","Маржинальний","Сезонний","Стратегічний"},0),0.14,0.17,0.22,0.21,0.25)</f>
        <v/>
      </c>
      <c r="AK703" s="104">
        <f>CHOOSE(MATCH(IF($U703="","Основний",$U703),{"Трафіковий","Основний","Маржинальний","Сезонний","Стратегічний"},0),0.15,0.18,0.23,0.22,0.27)</f>
        <v/>
      </c>
      <c r="AL703" s="104">
        <f>CHOOSE(MATCH(IF($U703="","Основний",$U703),{"Трафіковий","Основний","Маржинальний","Сезонний","Стратегічний"},0),0.15,0.17,0.25,0.24,0.29)</f>
        <v/>
      </c>
      <c r="AM703" s="104">
        <f>CHOOSE(MATCH(IF($U703="","Основний",$U703),{"Трафіковий","Основний","Маржинальний","Сезонний","Стратегічний"},0),0.12,0.145,0.19,0.18,0.22)</f>
        <v/>
      </c>
      <c r="AN703" s="157">
        <f>CHOOSE(MATCH(IF($U703="","Основний",$U703),{"Трафіковий","Основний","Маржинальний","Сезонний","Стратегічний"},0),Settings!$B$78,Settings!$B$80,Settings!$B$82,Settings!$B$84,Settings!$B$86)</f>
        <v/>
      </c>
      <c r="AO703" s="157">
        <f>CHOOSE(MATCH(IF($U703="","Основний",$U703),{"Трафіковий","Основний","Маржинальний","Сезонний","Стратегічний"},0),Settings!$C$78,Settings!$C$80,Settings!$C$82,Settings!$C$84,Settings!$C$86)</f>
        <v/>
      </c>
      <c r="AP703" s="157">
        <f>CHOOSE(MATCH(IF($U703="","Основний",$U703),{"Трафіковий","Основний","Маржинальний","Сезонний","Стратегічний"},0),Settings!$D$78,Settings!$D$80,Settings!$D$82,Settings!$D$84,Settings!$D$86)</f>
        <v/>
      </c>
      <c r="AQ703" s="157">
        <f>CHOOSE(MATCH(IF($U703="","Основний",$U703),{"Трафіковий","Основний","Маржинальний","Сезонний","Стратегічний"},0),Settings!$F$78,Settings!$F$80,Settings!$F$82,Settings!$F$84,Settings!$F$86)</f>
        <v/>
      </c>
      <c r="AR703" s="157">
        <f>CHOOSE(MATCH(IF($U703="","Основний",$U703),{"Трафіковий","Основний","Маржинальний","Сезонний","Стратегічний"},0),Settings!$G$78,Settings!$G$80,Settings!$G$82,Settings!$G$84,Settings!$G$86)</f>
        <v/>
      </c>
      <c r="AS703" s="157">
        <f>CHOOSE(MATCH(IF($U703="","Основний",$U703),{"Трафіковий","Основний","Маржинальний","Сезонний","Стратегічний"},0),Settings!$H$78,Settings!$H$80,Settings!$H$82,Settings!$H$84,Settings!$H$86)</f>
        <v/>
      </c>
      <c r="AT703" s="157">
        <f>CHOOSE(MATCH(IF($U703="","Основний",$U703),{"Трафіковий","Основний","Маржинальний","Сезонний","Стратегічний"},0),Settings!$I$78,Settings!$I$80,Settings!$I$82,Settings!$I$84,Settings!$I$86)</f>
        <v/>
      </c>
      <c r="AU703" s="171" t="n"/>
      <c r="AV703" t="n">
        <v>1.35</v>
      </c>
    </row>
    <row r="704">
      <c r="A704" s="28" t="inlineStr">
        <is>
          <t>NEW</t>
        </is>
      </c>
      <c r="B704" s="29" t="inlineStr">
        <is>
          <t>H4067</t>
        </is>
      </c>
      <c r="C704" s="29" t="inlineStr">
        <is>
          <t>GOSMART OUTDOOR IP CAMERA IP-1200 WASP 5MPx PTZ</t>
        </is>
      </c>
      <c r="D704" s="29" t="inlineStr">
        <is>
          <t>Відеосистеми, та IP камери</t>
        </is>
      </c>
      <c r="E704" s="28" t="inlineStr">
        <is>
          <t>PC</t>
        </is>
      </c>
      <c r="F704" s="93" t="n">
        <v>47.945</v>
      </c>
      <c r="G704" s="30" t="n">
        <v>8525890000</v>
      </c>
      <c r="H704" s="31" t="n">
        <v>1.28</v>
      </c>
      <c r="I704" s="84">
        <f>IFERROR(F704*Settings!$B$2*H704*IF(AND(ISNUMBER(E704),E704&gt;1),E704,1),"")</f>
        <v/>
      </c>
      <c r="J704" s="32">
        <f>Settings!$B$66</f>
        <v/>
      </c>
      <c r="K704" s="95">
        <f>IFERROR(IF(T704="","",(T704*(1-AN704)*(1-Settings!$B$17)-I704)/(T704*(1-AN704)*(1-Settings!$B$17))),"")</f>
        <v/>
      </c>
      <c r="L704" s="101">
        <f>IFERROR(IF(T704="","",(T704*(1-AO704)*(1-Settings!$C$17)-I704)/(T704*(1-AO704)*(1-Settings!$C$17))),"")</f>
        <v/>
      </c>
      <c r="M704" s="101">
        <f>IFERROR(IF(T704="","",(T704*(1-AP704)*(1-Settings!$D$17)-I704)/(T704*(1-AP704)*(1-Settings!$D$17))),"")</f>
        <v/>
      </c>
      <c r="N704" s="101">
        <f>IFERROR(IF(T704="","",(T704*(1-AQ704)*(1-Settings!$F$17)-I704)/(T704*(1-AQ704)*(1-Settings!$F$17))),"")</f>
        <v/>
      </c>
      <c r="O704" s="101">
        <f>IFERROR(IF(T704="","",(T704*(1-AR704)*(1-Settings!$G$17)-I704)/(T704*(1-AR704)*(1-Settings!$G$17))),"")</f>
        <v/>
      </c>
      <c r="P704" s="101">
        <f>IFERROR(IF(T704="","",(T704*(1-AS704)*(1-Settings!$H$17)-I704)/(T704*(1-AS704)*(1-Settings!$H$17))),"")</f>
        <v/>
      </c>
      <c r="Q704" s="101">
        <f>IFERROR(IF(T704="","",(T704*(1-AT704)*(1-Settings!$I$68)*(1-Settings!$I$17)-I704)/(T704*(1-AT704)*(1-Settings!$I$68)*(1-Settings!$I$17))),"")</f>
        <v/>
      </c>
      <c r="R704" s="91">
        <f>IFERROR(IF(OR(I704="",Z704&gt;=1,Settings!$B$17&gt;=1,AN704&gt;=1),"",IF(MOD(ROUND(I704/(1-Z704)/(1-Settings!$B$17)/(1-AN704),0),10)=0,ROUND(I704/(1-Z704)/(1-Settings!$B$17)/(1-AN704),0)-1,IF(MOD(ROUND(I704/(1-Z704)/(1-Settings!$B$17)/(1-AN704),0),10)&lt;=5,FLOOR(ROUND(I704/(1-Z704)/(1-Settings!$B$17)/(1-AN704),0),10)+6,FLOOR(ROUND(I704/(1-Z704)/(1-Settings!$B$17)/(1-AN704),0),10)+9))),"")</f>
        <v/>
      </c>
      <c r="S704" s="174" t="n"/>
      <c r="T704" s="91">
        <f>IF(S704&lt;&gt;"", IF(MOD(S704,10)=0,S704-1,IF(MOD(S704,10)&lt;=5,FLOOR(S704,10)+6,FLOOR(S704,10)+9)), R704)</f>
        <v/>
      </c>
      <c r="U704" s="87" t="inlineStr">
        <is>
          <t>Трафіковий</t>
        </is>
      </c>
      <c r="V704" s="88" t="n"/>
      <c r="W704" s="88" t="n"/>
      <c r="X704" s="89">
        <f>IFERROR(IF(OR(V704="",W704="",T704=""),"", IF(T704&gt;W704,"Дорогий",IF(T704&lt;V704,"Дешевий","У ринку"))),"")</f>
        <v/>
      </c>
      <c r="Y704" s="90" t="n"/>
      <c r="Z704" s="104">
        <f>CHOOSE(MATCH(IF($U704="","Основний",$U704),{"Трафіковий","Основний","Маржинальний","Сезонний","Стратегічний"},0),0.16,0.19,0.24,0.23,0.28)</f>
        <v/>
      </c>
      <c r="AA704" s="104">
        <f>CHOOSE(MATCH(IF($U704="","Основний",$U704),{"Трафіковий","Основний","Маржинальний","Сезонний","Стратегічний"},0),0.18,0.21,0.26,0.25,0.3)</f>
        <v/>
      </c>
      <c r="AB704" s="104">
        <f>CHOOSE(MATCH(IF($U704="","Основний",$U704),{"Трафіковий","Основний","Маржинальний","Сезонний","Стратегічний"},0),0.19,0.22,0.28,0.26,0.32)</f>
        <v/>
      </c>
      <c r="AC704" s="104">
        <f>CHOOSE(MATCH(IF($U704="","Основний",$U704),{"Трафіковий","Основний","Маржинальний","Сезонний","Стратегічний"},0),0.17,0.2,0.25,0.24,0.28)</f>
        <v/>
      </c>
      <c r="AD704" s="104">
        <f>CHOOSE(MATCH(IF($U704="","Основний",$U704),{"Трафіковий","Основний","Маржинальний","Сезонний","Стратегічний"},0),0.18,0.21,0.26,0.25,0.3)</f>
        <v/>
      </c>
      <c r="AE704" s="104">
        <f>CHOOSE(MATCH(IF($U704="","Основний",$U704),{"Трафіковий","Основний","Маржинальний","Сезонний","Стратегічний"},0),0.18,0.2,0.28,0.27,0.32)</f>
        <v/>
      </c>
      <c r="AF704" s="104">
        <f>CHOOSE(MATCH(IF($U704="","Основний",$U704),{"Трафіковий","Основний","Маржинальний","Сезонний","Стратегічний"},0),0.15,0.175,0.22,0.21,0.25)</f>
        <v/>
      </c>
      <c r="AG704" s="104">
        <f>CHOOSE(MATCH(IF($U704="","Основний",$U704),{"Трафіковий","Основний","Маржинальний","Сезонний","Стратегічний"},0),0.13,0.16,0.21,0.2,0.25)</f>
        <v/>
      </c>
      <c r="AH704" s="104">
        <f>CHOOSE(MATCH(IF($U704="","Основний",$U704),{"Трафіковий","Основний","Маржинальний","Сезонний","Стратегічний"},0),0.15,0.18,0.23,0.22,0.27)</f>
        <v/>
      </c>
      <c r="AI704" s="104">
        <f>CHOOSE(MATCH(IF($U704="","Основний",$U704),{"Трафіковий","Основний","Маржинальний","Сезонний","Стратегічний"},0),0.16,0.19,0.25,0.23,0.29)</f>
        <v/>
      </c>
      <c r="AJ704" s="104">
        <f>CHOOSE(MATCH(IF($U704="","Основний",$U704),{"Трафіковий","Основний","Маржинальний","Сезонний","Стратегічний"},0),0.14,0.17,0.22,0.21,0.25)</f>
        <v/>
      </c>
      <c r="AK704" s="104">
        <f>CHOOSE(MATCH(IF($U704="","Основний",$U704),{"Трафіковий","Основний","Маржинальний","Сезонний","Стратегічний"},0),0.15,0.18,0.23,0.22,0.27)</f>
        <v/>
      </c>
      <c r="AL704" s="104">
        <f>CHOOSE(MATCH(IF($U704="","Основний",$U704),{"Трафіковий","Основний","Маржинальний","Сезонний","Стратегічний"},0),0.15,0.17,0.25,0.24,0.29)</f>
        <v/>
      </c>
      <c r="AM704" s="104">
        <f>CHOOSE(MATCH(IF($U704="","Основний",$U704),{"Трафіковий","Основний","Маржинальний","Сезонний","Стратегічний"},0),0.12,0.145,0.19,0.18,0.22)</f>
        <v/>
      </c>
      <c r="AN704" s="157">
        <f>CHOOSE(MATCH(IF($U704="","Основний",$U704),{"Трафіковий","Основний","Маржинальний","Сезонний","Стратегічний"},0),Settings!$B$78,Settings!$B$80,Settings!$B$82,Settings!$B$84,Settings!$B$86)</f>
        <v/>
      </c>
      <c r="AO704" s="157">
        <f>CHOOSE(MATCH(IF($U704="","Основний",$U704),{"Трафіковий","Основний","Маржинальний","Сезонний","Стратегічний"},0),Settings!$C$78,Settings!$C$80,Settings!$C$82,Settings!$C$84,Settings!$C$86)</f>
        <v/>
      </c>
      <c r="AP704" s="157">
        <f>CHOOSE(MATCH(IF($U704="","Основний",$U704),{"Трафіковий","Основний","Маржинальний","Сезонний","Стратегічний"},0),Settings!$D$78,Settings!$D$80,Settings!$D$82,Settings!$D$84,Settings!$D$86)</f>
        <v/>
      </c>
      <c r="AQ704" s="157">
        <f>CHOOSE(MATCH(IF($U704="","Основний",$U704),{"Трафіковий","Основний","Маржинальний","Сезонний","Стратегічний"},0),Settings!$F$78,Settings!$F$80,Settings!$F$82,Settings!$F$84,Settings!$F$86)</f>
        <v/>
      </c>
      <c r="AR704" s="157">
        <f>CHOOSE(MATCH(IF($U704="","Основний",$U704),{"Трафіковий","Основний","Маржинальний","Сезонний","Стратегічний"},0),Settings!$G$78,Settings!$G$80,Settings!$G$82,Settings!$G$84,Settings!$G$86)</f>
        <v/>
      </c>
      <c r="AS704" s="157">
        <f>CHOOSE(MATCH(IF($U704="","Основний",$U704),{"Трафіковий","Основний","Маржинальний","Сезонний","Стратегічний"},0),Settings!$H$78,Settings!$H$80,Settings!$H$82,Settings!$H$84,Settings!$H$86)</f>
        <v/>
      </c>
      <c r="AT704" s="157">
        <f>CHOOSE(MATCH(IF($U704="","Основний",$U704),{"Трафіковий","Основний","Маржинальний","Сезонний","Стратегічний"},0),Settings!$I$78,Settings!$I$80,Settings!$I$82,Settings!$I$84,Settings!$I$86)</f>
        <v/>
      </c>
      <c r="AU704" s="171" t="n"/>
      <c r="AV704" t="n">
        <v>1.2</v>
      </c>
    </row>
    <row r="705">
      <c r="A705" s="33" t="inlineStr">
        <is>
          <t>NEW</t>
        </is>
      </c>
      <c r="B705" s="34" t="inlineStr">
        <is>
          <t>H4073</t>
        </is>
      </c>
      <c r="C705" s="34" t="inlineStr">
        <is>
          <t>GOSMART OUTDOOR IP CAMERA IP-1150 SNAP 5MPx PTZ</t>
        </is>
      </c>
      <c r="D705" s="34" t="inlineStr">
        <is>
          <t>Відеосистеми, та IP камери</t>
        </is>
      </c>
      <c r="E705" s="33" t="inlineStr">
        <is>
          <t>PC</t>
        </is>
      </c>
      <c r="F705" s="94" t="n">
        <v>35.347</v>
      </c>
      <c r="G705" s="35" t="n">
        <v>8525890000</v>
      </c>
      <c r="H705" s="31" t="n">
        <v>1.28</v>
      </c>
      <c r="I705" s="84">
        <f>IFERROR(F705*Settings!$B$2*H705*IF(AND(ISNUMBER(E705),E705&gt;1),E705,1),"")</f>
        <v/>
      </c>
      <c r="J705" s="32">
        <f>Settings!$B$66</f>
        <v/>
      </c>
      <c r="K705" s="95">
        <f>IFERROR(IF(T705="","",(T705*(1-AN705)*(1-Settings!$B$17)-I705)/(T705*(1-AN705)*(1-Settings!$B$17))),"")</f>
        <v/>
      </c>
      <c r="L705" s="101">
        <f>IFERROR(IF(T705="","",(T705*(1-AO705)*(1-Settings!$C$17)-I705)/(T705*(1-AO705)*(1-Settings!$C$17))),"")</f>
        <v/>
      </c>
      <c r="M705" s="101">
        <f>IFERROR(IF(T705="","",(T705*(1-AP705)*(1-Settings!$D$17)-I705)/(T705*(1-AP705)*(1-Settings!$D$17))),"")</f>
        <v/>
      </c>
      <c r="N705" s="101">
        <f>IFERROR(IF(T705="","",(T705*(1-AQ705)*(1-Settings!$F$17)-I705)/(T705*(1-AQ705)*(1-Settings!$F$17))),"")</f>
        <v/>
      </c>
      <c r="O705" s="101">
        <f>IFERROR(IF(T705="","",(T705*(1-AR705)*(1-Settings!$G$17)-I705)/(T705*(1-AR705)*(1-Settings!$G$17))),"")</f>
        <v/>
      </c>
      <c r="P705" s="101">
        <f>IFERROR(IF(T705="","",(T705*(1-AS705)*(1-Settings!$H$17)-I705)/(T705*(1-AS705)*(1-Settings!$H$17))),"")</f>
        <v/>
      </c>
      <c r="Q705" s="101">
        <f>IFERROR(IF(T705="","",(T705*(1-AT705)*(1-Settings!$I$68)*(1-Settings!$I$17)-I705)/(T705*(1-AT705)*(1-Settings!$I$68)*(1-Settings!$I$17))),"")</f>
        <v/>
      </c>
      <c r="R705" s="91">
        <f>IFERROR(IF(OR(I705="",Z705&gt;=1,Settings!$B$17&gt;=1,AN705&gt;=1),"",IF(MOD(ROUND(I705/(1-Z705)/(1-Settings!$B$17)/(1-AN705),0),10)=0,ROUND(I705/(1-Z705)/(1-Settings!$B$17)/(1-AN705),0)-1,IF(MOD(ROUND(I705/(1-Z705)/(1-Settings!$B$17)/(1-AN705),0),10)&lt;=5,FLOOR(ROUND(I705/(1-Z705)/(1-Settings!$B$17)/(1-AN705),0),10)+6,FLOOR(ROUND(I705/(1-Z705)/(1-Settings!$B$17)/(1-AN705),0),10)+9))),"")</f>
        <v/>
      </c>
      <c r="S705" s="174">
        <f>R705*0.95</f>
        <v/>
      </c>
      <c r="T705" s="91">
        <f>IF(S705&lt;&gt;"", IF(MOD(S705,10)=0,S705-1,IF(MOD(S705,10)&lt;=5,FLOOR(S705,10)+6,FLOOR(S705,10)+9)), R705)</f>
        <v/>
      </c>
      <c r="U705" s="87" t="inlineStr">
        <is>
          <t>Основний</t>
        </is>
      </c>
      <c r="V705" s="88" t="n"/>
      <c r="W705" s="88" t="n"/>
      <c r="X705" s="89">
        <f>IFERROR(IF(OR(V705="",W705="",T705=""),"", IF(T705&gt;W705,"Дорогий",IF(T705&lt;V705,"Дешевий","У ринку"))),"")</f>
        <v/>
      </c>
      <c r="Y705" s="90" t="n"/>
      <c r="Z705" s="104">
        <f>CHOOSE(MATCH(IF($U705="","Основний",$U705),{"Трафіковий","Основний","Маржинальний","Сезонний","Стратегічний"},0),0.16,0.19,0.24,0.23,0.28)</f>
        <v/>
      </c>
      <c r="AA705" s="104">
        <f>CHOOSE(MATCH(IF($U705="","Основний",$U705),{"Трафіковий","Основний","Маржинальний","Сезонний","Стратегічний"},0),0.18,0.21,0.26,0.25,0.3)</f>
        <v/>
      </c>
      <c r="AB705" s="104">
        <f>CHOOSE(MATCH(IF($U705="","Основний",$U705),{"Трафіковий","Основний","Маржинальний","Сезонний","Стратегічний"},0),0.19,0.22,0.28,0.26,0.32)</f>
        <v/>
      </c>
      <c r="AC705" s="104">
        <f>CHOOSE(MATCH(IF($U705="","Основний",$U705),{"Трафіковий","Основний","Маржинальний","Сезонний","Стратегічний"},0),0.17,0.2,0.25,0.24,0.28)</f>
        <v/>
      </c>
      <c r="AD705" s="104">
        <f>CHOOSE(MATCH(IF($U705="","Основний",$U705),{"Трафіковий","Основний","Маржинальний","Сезонний","Стратегічний"},0),0.18,0.21,0.26,0.25,0.3)</f>
        <v/>
      </c>
      <c r="AE705" s="104">
        <f>CHOOSE(MATCH(IF($U705="","Основний",$U705),{"Трафіковий","Основний","Маржинальний","Сезонний","Стратегічний"},0),0.18,0.2,0.28,0.27,0.32)</f>
        <v/>
      </c>
      <c r="AF705" s="104">
        <f>CHOOSE(MATCH(IF($U705="","Основний",$U705),{"Трафіковий","Основний","Маржинальний","Сезонний","Стратегічний"},0),0.15,0.175,0.22,0.21,0.25)</f>
        <v/>
      </c>
      <c r="AG705" s="104">
        <f>CHOOSE(MATCH(IF($U705="","Основний",$U705),{"Трафіковий","Основний","Маржинальний","Сезонний","Стратегічний"},0),0.13,0.16,0.21,0.2,0.25)</f>
        <v/>
      </c>
      <c r="AH705" s="104">
        <f>CHOOSE(MATCH(IF($U705="","Основний",$U705),{"Трафіковий","Основний","Маржинальний","Сезонний","Стратегічний"},0),0.15,0.18,0.23,0.22,0.27)</f>
        <v/>
      </c>
      <c r="AI705" s="104">
        <f>CHOOSE(MATCH(IF($U705="","Основний",$U705),{"Трафіковий","Основний","Маржинальний","Сезонний","Стратегічний"},0),0.16,0.19,0.25,0.23,0.29)</f>
        <v/>
      </c>
      <c r="AJ705" s="104">
        <f>CHOOSE(MATCH(IF($U705="","Основний",$U705),{"Трафіковий","Основний","Маржинальний","Сезонний","Стратегічний"},0),0.14,0.17,0.22,0.21,0.25)</f>
        <v/>
      </c>
      <c r="AK705" s="104">
        <f>CHOOSE(MATCH(IF($U705="","Основний",$U705),{"Трафіковий","Основний","Маржинальний","Сезонний","Стратегічний"},0),0.15,0.18,0.23,0.22,0.27)</f>
        <v/>
      </c>
      <c r="AL705" s="104">
        <f>CHOOSE(MATCH(IF($U705="","Основний",$U705),{"Трафіковий","Основний","Маржинальний","Сезонний","Стратегічний"},0),0.15,0.17,0.25,0.24,0.29)</f>
        <v/>
      </c>
      <c r="AM705" s="104">
        <f>CHOOSE(MATCH(IF($U705="","Основний",$U705),{"Трафіковий","Основний","Маржинальний","Сезонний","Стратегічний"},0),0.12,0.145,0.19,0.18,0.22)</f>
        <v/>
      </c>
      <c r="AN705" s="157">
        <f>CHOOSE(MATCH(IF($U705="","Основний",$U705),{"Трафіковий","Основний","Маржинальний","Сезонний","Стратегічний"},0),Settings!$B$78,Settings!$B$80,Settings!$B$82,Settings!$B$84,Settings!$B$86)</f>
        <v/>
      </c>
      <c r="AO705" s="157">
        <f>CHOOSE(MATCH(IF($U705="","Основний",$U705),{"Трафіковий","Основний","Маржинальний","Сезонний","Стратегічний"},0),Settings!$C$78,Settings!$C$80,Settings!$C$82,Settings!$C$84,Settings!$C$86)</f>
        <v/>
      </c>
      <c r="AP705" s="157">
        <f>CHOOSE(MATCH(IF($U705="","Основний",$U705),{"Трафіковий","Основний","Маржинальний","Сезонний","Стратегічний"},0),Settings!$D$78,Settings!$D$80,Settings!$D$82,Settings!$D$84,Settings!$D$86)</f>
        <v/>
      </c>
      <c r="AQ705" s="157">
        <f>CHOOSE(MATCH(IF($U705="","Основний",$U705),{"Трафіковий","Основний","Маржинальний","Сезонний","Стратегічний"},0),Settings!$F$78,Settings!$F$80,Settings!$F$82,Settings!$F$84,Settings!$F$86)</f>
        <v/>
      </c>
      <c r="AR705" s="157">
        <f>CHOOSE(MATCH(IF($U705="","Основний",$U705),{"Трафіковий","Основний","Маржинальний","Сезонний","Стратегічний"},0),Settings!$G$78,Settings!$G$80,Settings!$G$82,Settings!$G$84,Settings!$G$86)</f>
        <v/>
      </c>
      <c r="AS705" s="157">
        <f>CHOOSE(MATCH(IF($U705="","Основний",$U705),{"Трафіковий","Основний","Маржинальний","Сезонний","Стратегічний"},0),Settings!$H$78,Settings!$H$80,Settings!$H$82,Settings!$H$84,Settings!$H$86)</f>
        <v/>
      </c>
      <c r="AT705" s="157">
        <f>CHOOSE(MATCH(IF($U705="","Основний",$U705),{"Трафіковий","Основний","Маржинальний","Сезонний","Стратегічний"},0),Settings!$I$78,Settings!$I$80,Settings!$I$82,Settings!$I$84,Settings!$I$86)</f>
        <v/>
      </c>
      <c r="AU705" s="171" t="n"/>
      <c r="AV705" t="n">
        <v>1.2</v>
      </c>
    </row>
    <row r="706">
      <c r="A706" s="28" t="inlineStr">
        <is>
          <t>NEW</t>
        </is>
      </c>
      <c r="B706" s="29" t="inlineStr">
        <is>
          <t>H4074</t>
        </is>
      </c>
      <c r="C706" s="29" t="inlineStr">
        <is>
          <t>GOSMART OUTDOOR IP CAMERA IP-1300 LANTERN 4MPX</t>
        </is>
      </c>
      <c r="D706" s="29" t="inlineStr">
        <is>
          <t>Відеосистеми, та IP камери</t>
        </is>
      </c>
      <c r="E706" s="28" t="inlineStr">
        <is>
          <t>PC</t>
        </is>
      </c>
      <c r="F706" s="93" t="n">
        <v>66.744</v>
      </c>
      <c r="G706" s="30" t="n">
        <v>8525890000</v>
      </c>
      <c r="H706" s="31" t="n">
        <v>1.28</v>
      </c>
      <c r="I706" s="84">
        <f>IFERROR(F706*Settings!$B$2*H706*IF(AND(ISNUMBER(E706),E706&gt;1),E706,1),"")</f>
        <v/>
      </c>
      <c r="J706" s="32">
        <f>Settings!$B$66</f>
        <v/>
      </c>
      <c r="K706" s="95">
        <f>IFERROR(IF(T706="","",(T706*(1-AN706)*(1-Settings!$B$17)-I706)/(T706*(1-AN706)*(1-Settings!$B$17))),"")</f>
        <v/>
      </c>
      <c r="L706" s="101">
        <f>IFERROR(IF(T706="","",(T706*(1-AO706)*(1-Settings!$C$17)-I706)/(T706*(1-AO706)*(1-Settings!$C$17))),"")</f>
        <v/>
      </c>
      <c r="M706" s="101">
        <f>IFERROR(IF(T706="","",(T706*(1-AP706)*(1-Settings!$D$17)-I706)/(T706*(1-AP706)*(1-Settings!$D$17))),"")</f>
        <v/>
      </c>
      <c r="N706" s="101">
        <f>IFERROR(IF(T706="","",(T706*(1-AQ706)*(1-Settings!$F$17)-I706)/(T706*(1-AQ706)*(1-Settings!$F$17))),"")</f>
        <v/>
      </c>
      <c r="O706" s="101">
        <f>IFERROR(IF(T706="","",(T706*(1-AR706)*(1-Settings!$G$17)-I706)/(T706*(1-AR706)*(1-Settings!$G$17))),"")</f>
        <v/>
      </c>
      <c r="P706" s="101">
        <f>IFERROR(IF(T706="","",(T706*(1-AS706)*(1-Settings!$H$17)-I706)/(T706*(1-AS706)*(1-Settings!$H$17))),"")</f>
        <v/>
      </c>
      <c r="Q706" s="101">
        <f>IFERROR(IF(T706="","",(T706*(1-AT706)*(1-Settings!$I$68)*(1-Settings!$I$17)-I706)/(T706*(1-AT706)*(1-Settings!$I$68)*(1-Settings!$I$17))),"")</f>
        <v/>
      </c>
      <c r="R706" s="91">
        <f>IFERROR(IF(OR(I706="",Z706&gt;=1,Settings!$B$17&gt;=1,AN706&gt;=1),"",IF(MOD(ROUND(I706/(1-Z706)/(1-Settings!$B$17)/(1-AN706),0),10)=0,ROUND(I706/(1-Z706)/(1-Settings!$B$17)/(1-AN706),0)-1,IF(MOD(ROUND(I706/(1-Z706)/(1-Settings!$B$17)/(1-AN706),0),10)&lt;=5,FLOOR(ROUND(I706/(1-Z706)/(1-Settings!$B$17)/(1-AN706),0),10)+6,FLOOR(ROUND(I706/(1-Z706)/(1-Settings!$B$17)/(1-AN706),0),10)+9))),"")</f>
        <v/>
      </c>
      <c r="S706" s="174">
        <f>R706*0.95</f>
        <v/>
      </c>
      <c r="T706" s="91">
        <f>IF(S706&lt;&gt;"", IF(MOD(S706,10)=0,S706-1,IF(MOD(S706,10)&lt;=5,FLOOR(S706,10)+6,FLOOR(S706,10)+9)), R706)</f>
        <v/>
      </c>
      <c r="U706" s="87" t="inlineStr">
        <is>
          <t>Основний</t>
        </is>
      </c>
      <c r="V706" s="88" t="n"/>
      <c r="W706" s="88" t="n"/>
      <c r="X706" s="89">
        <f>IFERROR(IF(OR(V706="",W706="",T706=""),"", IF(T706&gt;W706,"Дорогий",IF(T706&lt;V706,"Дешевий","У ринку"))),"")</f>
        <v/>
      </c>
      <c r="Y706" s="90" t="n"/>
      <c r="Z706" s="104">
        <f>CHOOSE(MATCH(IF($U706="","Основний",$U706),{"Трафіковий","Основний","Маржинальний","Сезонний","Стратегічний"},0),0.16,0.19,0.24,0.23,0.28)</f>
        <v/>
      </c>
      <c r="AA706" s="104">
        <f>CHOOSE(MATCH(IF($U706="","Основний",$U706),{"Трафіковий","Основний","Маржинальний","Сезонний","Стратегічний"},0),0.18,0.21,0.26,0.25,0.3)</f>
        <v/>
      </c>
      <c r="AB706" s="104">
        <f>CHOOSE(MATCH(IF($U706="","Основний",$U706),{"Трафіковий","Основний","Маржинальний","Сезонний","Стратегічний"},0),0.19,0.22,0.28,0.26,0.32)</f>
        <v/>
      </c>
      <c r="AC706" s="104">
        <f>CHOOSE(MATCH(IF($U706="","Основний",$U706),{"Трафіковий","Основний","Маржинальний","Сезонний","Стратегічний"},0),0.17,0.2,0.25,0.24,0.28)</f>
        <v/>
      </c>
      <c r="AD706" s="104">
        <f>CHOOSE(MATCH(IF($U706="","Основний",$U706),{"Трафіковий","Основний","Маржинальний","Сезонний","Стратегічний"},0),0.18,0.21,0.26,0.25,0.3)</f>
        <v/>
      </c>
      <c r="AE706" s="104">
        <f>CHOOSE(MATCH(IF($U706="","Основний",$U706),{"Трафіковий","Основний","Маржинальний","Сезонний","Стратегічний"},0),0.18,0.2,0.28,0.27,0.32)</f>
        <v/>
      </c>
      <c r="AF706" s="104">
        <f>CHOOSE(MATCH(IF($U706="","Основний",$U706),{"Трафіковий","Основний","Маржинальний","Сезонний","Стратегічний"},0),0.15,0.175,0.22,0.21,0.25)</f>
        <v/>
      </c>
      <c r="AG706" s="104">
        <f>CHOOSE(MATCH(IF($U706="","Основний",$U706),{"Трафіковий","Основний","Маржинальний","Сезонний","Стратегічний"},0),0.13,0.16,0.21,0.2,0.25)</f>
        <v/>
      </c>
      <c r="AH706" s="104">
        <f>CHOOSE(MATCH(IF($U706="","Основний",$U706),{"Трафіковий","Основний","Маржинальний","Сезонний","Стратегічний"},0),0.15,0.18,0.23,0.22,0.27)</f>
        <v/>
      </c>
      <c r="AI706" s="104">
        <f>CHOOSE(MATCH(IF($U706="","Основний",$U706),{"Трафіковий","Основний","Маржинальний","Сезонний","Стратегічний"},0),0.16,0.19,0.25,0.23,0.29)</f>
        <v/>
      </c>
      <c r="AJ706" s="104">
        <f>CHOOSE(MATCH(IF($U706="","Основний",$U706),{"Трафіковий","Основний","Маржинальний","Сезонний","Стратегічний"},0),0.14,0.17,0.22,0.21,0.25)</f>
        <v/>
      </c>
      <c r="AK706" s="104">
        <f>CHOOSE(MATCH(IF($U706="","Основний",$U706),{"Трафіковий","Основний","Маржинальний","Сезонний","Стратегічний"},0),0.15,0.18,0.23,0.22,0.27)</f>
        <v/>
      </c>
      <c r="AL706" s="104">
        <f>CHOOSE(MATCH(IF($U706="","Основний",$U706),{"Трафіковий","Основний","Маржинальний","Сезонний","Стратегічний"},0),0.15,0.17,0.25,0.24,0.29)</f>
        <v/>
      </c>
      <c r="AM706" s="104">
        <f>CHOOSE(MATCH(IF($U706="","Основний",$U706),{"Трафіковий","Основний","Маржинальний","Сезонний","Стратегічний"},0),0.12,0.145,0.19,0.18,0.22)</f>
        <v/>
      </c>
      <c r="AN706" s="157">
        <f>CHOOSE(MATCH(IF($U706="","Основний",$U706),{"Трафіковий","Основний","Маржинальний","Сезонний","Стратегічний"},0),Settings!$B$78,Settings!$B$80,Settings!$B$82,Settings!$B$84,Settings!$B$86)</f>
        <v/>
      </c>
      <c r="AO706" s="157">
        <f>CHOOSE(MATCH(IF($U706="","Основний",$U706),{"Трафіковий","Основний","Маржинальний","Сезонний","Стратегічний"},0),Settings!$C$78,Settings!$C$80,Settings!$C$82,Settings!$C$84,Settings!$C$86)</f>
        <v/>
      </c>
      <c r="AP706" s="157">
        <f>CHOOSE(MATCH(IF($U706="","Основний",$U706),{"Трафіковий","Основний","Маржинальний","Сезонний","Стратегічний"},0),Settings!$D$78,Settings!$D$80,Settings!$D$82,Settings!$D$84,Settings!$D$86)</f>
        <v/>
      </c>
      <c r="AQ706" s="157">
        <f>CHOOSE(MATCH(IF($U706="","Основний",$U706),{"Трафіковий","Основний","Маржинальний","Сезонний","Стратегічний"},0),Settings!$F$78,Settings!$F$80,Settings!$F$82,Settings!$F$84,Settings!$F$86)</f>
        <v/>
      </c>
      <c r="AR706" s="157">
        <f>CHOOSE(MATCH(IF($U706="","Основний",$U706),{"Трафіковий","Основний","Маржинальний","Сезонний","Стратегічний"},0),Settings!$G$78,Settings!$G$80,Settings!$G$82,Settings!$G$84,Settings!$G$86)</f>
        <v/>
      </c>
      <c r="AS706" s="157">
        <f>CHOOSE(MATCH(IF($U706="","Основний",$U706),{"Трафіковий","Основний","Маржинальний","Сезонний","Стратегічний"},0),Settings!$H$78,Settings!$H$80,Settings!$H$82,Settings!$H$84,Settings!$H$86)</f>
        <v/>
      </c>
      <c r="AT706" s="157">
        <f>CHOOSE(MATCH(IF($U706="","Основний",$U706),{"Трафіковий","Основний","Маржинальний","Сезонний","Стратегічний"},0),Settings!$I$78,Settings!$I$80,Settings!$I$82,Settings!$I$84,Settings!$I$86)</f>
        <v/>
      </c>
      <c r="AU706" s="171" t="n"/>
      <c r="AV706" t="n">
        <v>1.2</v>
      </c>
    </row>
    <row r="707">
      <c r="A707" s="33" t="n"/>
      <c r="B707" s="34" t="inlineStr">
        <is>
          <t>H6001</t>
        </is>
      </c>
      <c r="C707" s="34" t="inlineStr">
        <is>
          <t>EMOS PET CARE FEEDER 4L PET-101</t>
        </is>
      </c>
      <c r="D707" s="34" t="inlineStr">
        <is>
          <t>Годівниці та поїлки для тварин</t>
        </is>
      </c>
      <c r="E707" s="33" t="inlineStr">
        <is>
          <t>PC</t>
        </is>
      </c>
      <c r="F707" s="94" t="n">
        <v>30.687</v>
      </c>
      <c r="G707" s="35" t="n">
        <v>8509800000</v>
      </c>
      <c r="H707" s="31" t="n">
        <v>1.4</v>
      </c>
      <c r="I707" s="84">
        <f>IFERROR(F707*Settings!$B$2*H707*IF(AND(ISNUMBER(E707),E707&gt;1),E707,1),"")</f>
        <v/>
      </c>
      <c r="J707" s="32">
        <f>Settings!$B$66</f>
        <v/>
      </c>
      <c r="K707" s="95">
        <f>IFERROR(IF(T707="","",(T707*(1-AN707)*(1-Settings!$B$17)-I707)/(T707*(1-AN707)*(1-Settings!$B$17))),"")</f>
        <v/>
      </c>
      <c r="L707" s="101">
        <f>IFERROR(IF(T707="","",(T707*(1-AO707)*(1-Settings!$C$17)-I707)/(T707*(1-AO707)*(1-Settings!$C$17))),"")</f>
        <v/>
      </c>
      <c r="M707" s="101">
        <f>IFERROR(IF(T707="","",(T707*(1-AP707)*(1-Settings!$D$17)-I707)/(T707*(1-AP707)*(1-Settings!$D$17))),"")</f>
        <v/>
      </c>
      <c r="N707" s="101">
        <f>IFERROR(IF(T707="","",(T707*(1-AQ707)*(1-Settings!$F$17)-I707)/(T707*(1-AQ707)*(1-Settings!$F$17))),"")</f>
        <v/>
      </c>
      <c r="O707" s="101">
        <f>IFERROR(IF(T707="","",(T707*(1-AR707)*(1-Settings!$G$17)-I707)/(T707*(1-AR707)*(1-Settings!$G$17))),"")</f>
        <v/>
      </c>
      <c r="P707" s="101">
        <f>IFERROR(IF(T707="","",(T707*(1-AS707)*(1-Settings!$H$17)-I707)/(T707*(1-AS707)*(1-Settings!$H$17))),"")</f>
        <v/>
      </c>
      <c r="Q707" s="101">
        <f>IFERROR(IF(T707="","",(T707*(1-AT707)*(1-Settings!$I$68)*(1-Settings!$I$17)-I707)/(T707*(1-AT707)*(1-Settings!$I$68)*(1-Settings!$I$17))),"")</f>
        <v/>
      </c>
      <c r="R707" s="91">
        <f>IFERROR(IF(OR(I707="",Z707&gt;=1,Settings!$B$17&gt;=1,AN707&gt;=1),"",IF(MOD(ROUND(I707/(1-Z707)/(1-Settings!$B$17)/(1-AN707),0),10)=0,ROUND(I707/(1-Z707)/(1-Settings!$B$17)/(1-AN707),0)-1,IF(MOD(ROUND(I707/(1-Z707)/(1-Settings!$B$17)/(1-AN707),0),10)&lt;=5,FLOOR(ROUND(I707/(1-Z707)/(1-Settings!$B$17)/(1-AN707),0),10)+6,FLOOR(ROUND(I707/(1-Z707)/(1-Settings!$B$17)/(1-AN707),0),10)+9))),"")</f>
        <v/>
      </c>
      <c r="S707" s="174">
        <f>R707*0.95</f>
        <v/>
      </c>
      <c r="T707" s="91">
        <f>IF(S707&lt;&gt;"", IF(MOD(S707,10)=0,S707-1,IF(MOD(S707,10)&lt;=5,FLOOR(S707,10)+6,FLOOR(S707,10)+9)), R707)</f>
        <v/>
      </c>
      <c r="U707" s="87" t="inlineStr">
        <is>
          <t>Основний</t>
        </is>
      </c>
      <c r="V707" s="88" t="n"/>
      <c r="W707" s="88" t="n"/>
      <c r="X707" s="89">
        <f>IFERROR(IF(OR(V707="",W707="",T707=""),"", IF(T707&gt;W707,"Дорогий",IF(T707&lt;V707,"Дешевий","У ринку"))),"")</f>
        <v/>
      </c>
      <c r="Y707" s="90" t="n"/>
      <c r="Z707" s="104">
        <f>CHOOSE(MATCH(IF($U707="","Основний",$U707),{"Трафіковий","Основний","Маржинальний","Сезонний","Стратегічний"},0),0.16,0.19,0.24,0.23,0.28)</f>
        <v/>
      </c>
      <c r="AA707" s="104">
        <f>CHOOSE(MATCH(IF($U707="","Основний",$U707),{"Трафіковий","Основний","Маржинальний","Сезонний","Стратегічний"},0),0.18,0.21,0.26,0.25,0.3)</f>
        <v/>
      </c>
      <c r="AB707" s="104">
        <f>CHOOSE(MATCH(IF($U707="","Основний",$U707),{"Трафіковий","Основний","Маржинальний","Сезонний","Стратегічний"},0),0.19,0.22,0.28,0.26,0.32)</f>
        <v/>
      </c>
      <c r="AC707" s="104">
        <f>CHOOSE(MATCH(IF($U707="","Основний",$U707),{"Трафіковий","Основний","Маржинальний","Сезонний","Стратегічний"},0),0.17,0.2,0.25,0.24,0.28)</f>
        <v/>
      </c>
      <c r="AD707" s="104">
        <f>CHOOSE(MATCH(IF($U707="","Основний",$U707),{"Трафіковий","Основний","Маржинальний","Сезонний","Стратегічний"},0),0.18,0.21,0.26,0.25,0.3)</f>
        <v/>
      </c>
      <c r="AE707" s="104">
        <f>CHOOSE(MATCH(IF($U707="","Основний",$U707),{"Трафіковий","Основний","Маржинальний","Сезонний","Стратегічний"},0),0.18,0.2,0.28,0.27,0.32)</f>
        <v/>
      </c>
      <c r="AF707" s="104">
        <f>CHOOSE(MATCH(IF($U707="","Основний",$U707),{"Трафіковий","Основний","Маржинальний","Сезонний","Стратегічний"},0),0.15,0.175,0.22,0.21,0.25)</f>
        <v/>
      </c>
      <c r="AG707" s="104">
        <f>CHOOSE(MATCH(IF($U707="","Основний",$U707),{"Трафіковий","Основний","Маржинальний","Сезонний","Стратегічний"},0),0.13,0.16,0.21,0.2,0.25)</f>
        <v/>
      </c>
      <c r="AH707" s="104">
        <f>CHOOSE(MATCH(IF($U707="","Основний",$U707),{"Трафіковий","Основний","Маржинальний","Сезонний","Стратегічний"},0),0.15,0.18,0.23,0.22,0.27)</f>
        <v/>
      </c>
      <c r="AI707" s="104">
        <f>CHOOSE(MATCH(IF($U707="","Основний",$U707),{"Трафіковий","Основний","Маржинальний","Сезонний","Стратегічний"},0),0.16,0.19,0.25,0.23,0.29)</f>
        <v/>
      </c>
      <c r="AJ707" s="104">
        <f>CHOOSE(MATCH(IF($U707="","Основний",$U707),{"Трафіковий","Основний","Маржинальний","Сезонний","Стратегічний"},0),0.14,0.17,0.22,0.21,0.25)</f>
        <v/>
      </c>
      <c r="AK707" s="104">
        <f>CHOOSE(MATCH(IF($U707="","Основний",$U707),{"Трафіковий","Основний","Маржинальний","Сезонний","Стратегічний"},0),0.15,0.18,0.23,0.22,0.27)</f>
        <v/>
      </c>
      <c r="AL707" s="104">
        <f>CHOOSE(MATCH(IF($U707="","Основний",$U707),{"Трафіковий","Основний","Маржинальний","Сезонний","Стратегічний"},0),0.15,0.17,0.25,0.24,0.29)</f>
        <v/>
      </c>
      <c r="AM707" s="104">
        <f>CHOOSE(MATCH(IF($U707="","Основний",$U707),{"Трафіковий","Основний","Маржинальний","Сезонний","Стратегічний"},0),0.12,0.145,0.19,0.18,0.22)</f>
        <v/>
      </c>
      <c r="AN707" s="157">
        <f>CHOOSE(MATCH(IF($U707="","Основний",$U707),{"Трафіковий","Основний","Маржинальний","Сезонний","Стратегічний"},0),Settings!$B$78,Settings!$B$80,Settings!$B$82,Settings!$B$84,Settings!$B$86)</f>
        <v/>
      </c>
      <c r="AO707" s="157">
        <f>CHOOSE(MATCH(IF($U707="","Основний",$U707),{"Трафіковий","Основний","Маржинальний","Сезонний","Стратегічний"},0),Settings!$C$78,Settings!$C$80,Settings!$C$82,Settings!$C$84,Settings!$C$86)</f>
        <v/>
      </c>
      <c r="AP707" s="157">
        <f>CHOOSE(MATCH(IF($U707="","Основний",$U707),{"Трафіковий","Основний","Маржинальний","Сезонний","Стратегічний"},0),Settings!$D$78,Settings!$D$80,Settings!$D$82,Settings!$D$84,Settings!$D$86)</f>
        <v/>
      </c>
      <c r="AQ707" s="157">
        <f>CHOOSE(MATCH(IF($U707="","Основний",$U707),{"Трафіковий","Основний","Маржинальний","Сезонний","Стратегічний"},0),Settings!$F$78,Settings!$F$80,Settings!$F$82,Settings!$F$84,Settings!$F$86)</f>
        <v/>
      </c>
      <c r="AR707" s="157">
        <f>CHOOSE(MATCH(IF($U707="","Основний",$U707),{"Трафіковий","Основний","Маржинальний","Сезонний","Стратегічний"},0),Settings!$G$78,Settings!$G$80,Settings!$G$82,Settings!$G$84,Settings!$G$86)</f>
        <v/>
      </c>
      <c r="AS707" s="157">
        <f>CHOOSE(MATCH(IF($U707="","Основний",$U707),{"Трафіковий","Основний","Маржинальний","Сезонний","Стратегічний"},0),Settings!$H$78,Settings!$H$80,Settings!$H$82,Settings!$H$84,Settings!$H$86)</f>
        <v/>
      </c>
      <c r="AT707" s="157">
        <f>CHOOSE(MATCH(IF($U707="","Основний",$U707),{"Трафіковий","Основний","Маржинальний","Сезонний","Стратегічний"},0),Settings!$I$78,Settings!$I$80,Settings!$I$82,Settings!$I$84,Settings!$I$86)</f>
        <v/>
      </c>
      <c r="AU707" s="171" t="n"/>
      <c r="AV707" t="n">
        <v>1.37</v>
      </c>
    </row>
    <row r="708">
      <c r="A708" s="28" t="n"/>
      <c r="B708" s="29" t="inlineStr">
        <is>
          <t>H6002</t>
        </is>
      </c>
      <c r="C708" s="29" t="inlineStr">
        <is>
          <t>GOSMART PET FEEDER 4L PET-102</t>
        </is>
      </c>
      <c r="D708" s="29" t="inlineStr">
        <is>
          <t>Годівниці та поїлки для тварин</t>
        </is>
      </c>
      <c r="E708" s="28" t="inlineStr">
        <is>
          <t>PC</t>
        </is>
      </c>
      <c r="F708" s="93" t="n">
        <v>31.107</v>
      </c>
      <c r="G708" s="30" t="n">
        <v>8509800000</v>
      </c>
      <c r="H708" s="31" t="n">
        <v>1.4</v>
      </c>
      <c r="I708" s="84">
        <f>IFERROR(F708*Settings!$B$2*H708*IF(AND(ISNUMBER(E708),E708&gt;1),E708,1),"")</f>
        <v/>
      </c>
      <c r="J708" s="32">
        <f>Settings!$B$66</f>
        <v/>
      </c>
      <c r="K708" s="95">
        <f>IFERROR(IF(T708="","",(T708*(1-AN708)*(1-Settings!$B$17)-I708)/(T708*(1-AN708)*(1-Settings!$B$17))),"")</f>
        <v/>
      </c>
      <c r="L708" s="101">
        <f>IFERROR(IF(T708="","",(T708*(1-AO708)*(1-Settings!$C$17)-I708)/(T708*(1-AO708)*(1-Settings!$C$17))),"")</f>
        <v/>
      </c>
      <c r="M708" s="101">
        <f>IFERROR(IF(T708="","",(T708*(1-AP708)*(1-Settings!$D$17)-I708)/(T708*(1-AP708)*(1-Settings!$D$17))),"")</f>
        <v/>
      </c>
      <c r="N708" s="101">
        <f>IFERROR(IF(T708="","",(T708*(1-AQ708)*(1-Settings!$F$17)-I708)/(T708*(1-AQ708)*(1-Settings!$F$17))),"")</f>
        <v/>
      </c>
      <c r="O708" s="101">
        <f>IFERROR(IF(T708="","",(T708*(1-AR708)*(1-Settings!$G$17)-I708)/(T708*(1-AR708)*(1-Settings!$G$17))),"")</f>
        <v/>
      </c>
      <c r="P708" s="101">
        <f>IFERROR(IF(T708="","",(T708*(1-AS708)*(1-Settings!$H$17)-I708)/(T708*(1-AS708)*(1-Settings!$H$17))),"")</f>
        <v/>
      </c>
      <c r="Q708" s="101">
        <f>IFERROR(IF(T708="","",(T708*(1-AT708)*(1-Settings!$I$68)*(1-Settings!$I$17)-I708)/(T708*(1-AT708)*(1-Settings!$I$68)*(1-Settings!$I$17))),"")</f>
        <v/>
      </c>
      <c r="R708" s="91">
        <f>IFERROR(IF(OR(I708="",Z708&gt;=1,Settings!$B$17&gt;=1,AN708&gt;=1),"",IF(MOD(ROUND(I708/(1-Z708)/(1-Settings!$B$17)/(1-AN708),0),10)=0,ROUND(I708/(1-Z708)/(1-Settings!$B$17)/(1-AN708),0)-1,IF(MOD(ROUND(I708/(1-Z708)/(1-Settings!$B$17)/(1-AN708),0),10)&lt;=5,FLOOR(ROUND(I708/(1-Z708)/(1-Settings!$B$17)/(1-AN708),0),10)+6,FLOOR(ROUND(I708/(1-Z708)/(1-Settings!$B$17)/(1-AN708),0),10)+9))),"")</f>
        <v/>
      </c>
      <c r="S708" s="174">
        <f>R708*0.95</f>
        <v/>
      </c>
      <c r="T708" s="91">
        <f>IF(S708&lt;&gt;"", IF(MOD(S708,10)=0,S708-1,IF(MOD(S708,10)&lt;=5,FLOOR(S708,10)+6,FLOOR(S708,10)+9)), R708)</f>
        <v/>
      </c>
      <c r="U708" s="87" t="inlineStr">
        <is>
          <t>Основний</t>
        </is>
      </c>
      <c r="V708" s="88" t="n"/>
      <c r="W708" s="88" t="n"/>
      <c r="X708" s="89">
        <f>IFERROR(IF(OR(V708="",W708="",T708=""),"", IF(T708&gt;W708,"Дорогий",IF(T708&lt;V708,"Дешевий","У ринку"))),"")</f>
        <v/>
      </c>
      <c r="Y708" s="90" t="n"/>
      <c r="Z708" s="104">
        <f>CHOOSE(MATCH(IF($U708="","Основний",$U708),{"Трафіковий","Основний","Маржинальний","Сезонний","Стратегічний"},0),0.16,0.19,0.24,0.23,0.28)</f>
        <v/>
      </c>
      <c r="AA708" s="104">
        <f>CHOOSE(MATCH(IF($U708="","Основний",$U708),{"Трафіковий","Основний","Маржинальний","Сезонний","Стратегічний"},0),0.18,0.21,0.26,0.25,0.3)</f>
        <v/>
      </c>
      <c r="AB708" s="104">
        <f>CHOOSE(MATCH(IF($U708="","Основний",$U708),{"Трафіковий","Основний","Маржинальний","Сезонний","Стратегічний"},0),0.19,0.22,0.28,0.26,0.32)</f>
        <v/>
      </c>
      <c r="AC708" s="104">
        <f>CHOOSE(MATCH(IF($U708="","Основний",$U708),{"Трафіковий","Основний","Маржинальний","Сезонний","Стратегічний"},0),0.17,0.2,0.25,0.24,0.28)</f>
        <v/>
      </c>
      <c r="AD708" s="104">
        <f>CHOOSE(MATCH(IF($U708="","Основний",$U708),{"Трафіковий","Основний","Маржинальний","Сезонний","Стратегічний"},0),0.18,0.21,0.26,0.25,0.3)</f>
        <v/>
      </c>
      <c r="AE708" s="104">
        <f>CHOOSE(MATCH(IF($U708="","Основний",$U708),{"Трафіковий","Основний","Маржинальний","Сезонний","Стратегічний"},0),0.18,0.2,0.28,0.27,0.32)</f>
        <v/>
      </c>
      <c r="AF708" s="104">
        <f>CHOOSE(MATCH(IF($U708="","Основний",$U708),{"Трафіковий","Основний","Маржинальний","Сезонний","Стратегічний"},0),0.15,0.175,0.22,0.21,0.25)</f>
        <v/>
      </c>
      <c r="AG708" s="104">
        <f>CHOOSE(MATCH(IF($U708="","Основний",$U708),{"Трафіковий","Основний","Маржинальний","Сезонний","Стратегічний"},0),0.13,0.16,0.21,0.2,0.25)</f>
        <v/>
      </c>
      <c r="AH708" s="104">
        <f>CHOOSE(MATCH(IF($U708="","Основний",$U708),{"Трафіковий","Основний","Маржинальний","Сезонний","Стратегічний"},0),0.15,0.18,0.23,0.22,0.27)</f>
        <v/>
      </c>
      <c r="AI708" s="104">
        <f>CHOOSE(MATCH(IF($U708="","Основний",$U708),{"Трафіковий","Основний","Маржинальний","Сезонний","Стратегічний"},0),0.16,0.19,0.25,0.23,0.29)</f>
        <v/>
      </c>
      <c r="AJ708" s="104">
        <f>CHOOSE(MATCH(IF($U708="","Основний",$U708),{"Трафіковий","Основний","Маржинальний","Сезонний","Стратегічний"},0),0.14,0.17,0.22,0.21,0.25)</f>
        <v/>
      </c>
      <c r="AK708" s="104">
        <f>CHOOSE(MATCH(IF($U708="","Основний",$U708),{"Трафіковий","Основний","Маржинальний","Сезонний","Стратегічний"},0),0.15,0.18,0.23,0.22,0.27)</f>
        <v/>
      </c>
      <c r="AL708" s="104">
        <f>CHOOSE(MATCH(IF($U708="","Основний",$U708),{"Трафіковий","Основний","Маржинальний","Сезонний","Стратегічний"},0),0.15,0.17,0.25,0.24,0.29)</f>
        <v/>
      </c>
      <c r="AM708" s="104">
        <f>CHOOSE(MATCH(IF($U708="","Основний",$U708),{"Трафіковий","Основний","Маржинальний","Сезонний","Стратегічний"},0),0.12,0.145,0.19,0.18,0.22)</f>
        <v/>
      </c>
      <c r="AN708" s="157">
        <f>CHOOSE(MATCH(IF($U708="","Основний",$U708),{"Трафіковий","Основний","Маржинальний","Сезонний","Стратегічний"},0),Settings!$B$78,Settings!$B$80,Settings!$B$82,Settings!$B$84,Settings!$B$86)</f>
        <v/>
      </c>
      <c r="AO708" s="157">
        <f>CHOOSE(MATCH(IF($U708="","Основний",$U708),{"Трафіковий","Основний","Маржинальний","Сезонний","Стратегічний"},0),Settings!$C$78,Settings!$C$80,Settings!$C$82,Settings!$C$84,Settings!$C$86)</f>
        <v/>
      </c>
      <c r="AP708" s="157">
        <f>CHOOSE(MATCH(IF($U708="","Основний",$U708),{"Трафіковий","Основний","Маржинальний","Сезонний","Стратегічний"},0),Settings!$D$78,Settings!$D$80,Settings!$D$82,Settings!$D$84,Settings!$D$86)</f>
        <v/>
      </c>
      <c r="AQ708" s="157">
        <f>CHOOSE(MATCH(IF($U708="","Основний",$U708),{"Трафіковий","Основний","Маржинальний","Сезонний","Стратегічний"},0),Settings!$F$78,Settings!$F$80,Settings!$F$82,Settings!$F$84,Settings!$F$86)</f>
        <v/>
      </c>
      <c r="AR708" s="157">
        <f>CHOOSE(MATCH(IF($U708="","Основний",$U708),{"Трафіковий","Основний","Маржинальний","Сезонний","Стратегічний"},0),Settings!$G$78,Settings!$G$80,Settings!$G$82,Settings!$G$84,Settings!$G$86)</f>
        <v/>
      </c>
      <c r="AS708" s="157">
        <f>CHOOSE(MATCH(IF($U708="","Основний",$U708),{"Трафіковий","Основний","Маржинальний","Сезонний","Стратегічний"},0),Settings!$H$78,Settings!$H$80,Settings!$H$82,Settings!$H$84,Settings!$H$86)</f>
        <v/>
      </c>
      <c r="AT708" s="157">
        <f>CHOOSE(MATCH(IF($U708="","Основний",$U708),{"Трафіковий","Основний","Маржинальний","Сезонний","Стратегічний"},0),Settings!$I$78,Settings!$I$80,Settings!$I$82,Settings!$I$84,Settings!$I$86)</f>
        <v/>
      </c>
      <c r="AU708" s="171" t="n"/>
      <c r="AV708" t="n">
        <v>1.37</v>
      </c>
    </row>
    <row r="709">
      <c r="A709" s="33" t="n"/>
      <c r="B709" s="34" t="inlineStr">
        <is>
          <t>H6004</t>
        </is>
      </c>
      <c r="C709" s="34" t="inlineStr">
        <is>
          <t>GOSMART PET FEEDER WITH CAMERA 4L PET-104</t>
        </is>
      </c>
      <c r="D709" s="34" t="inlineStr">
        <is>
          <t>Годівниці та поїлки для тварин</t>
        </is>
      </c>
      <c r="E709" s="33" t="inlineStr">
        <is>
          <t>PC</t>
        </is>
      </c>
      <c r="F709" s="94" t="n">
        <v>53.651</v>
      </c>
      <c r="G709" s="35" t="n">
        <v>8509800000</v>
      </c>
      <c r="H709" s="31" t="n">
        <v>1.4</v>
      </c>
      <c r="I709" s="84">
        <f>IFERROR(F709*Settings!$B$2*H709*IF(AND(ISNUMBER(E709),E709&gt;1),E709,1),"")</f>
        <v/>
      </c>
      <c r="J709" s="32">
        <f>Settings!$B$66</f>
        <v/>
      </c>
      <c r="K709" s="95">
        <f>IFERROR(IF(T709="","",(T709*(1-AN709)*(1-Settings!$B$17)-I709)/(T709*(1-AN709)*(1-Settings!$B$17))),"")</f>
        <v/>
      </c>
      <c r="L709" s="101">
        <f>IFERROR(IF(T709="","",(T709*(1-AO709)*(1-Settings!$C$17)-I709)/(T709*(1-AO709)*(1-Settings!$C$17))),"")</f>
        <v/>
      </c>
      <c r="M709" s="101">
        <f>IFERROR(IF(T709="","",(T709*(1-AP709)*(1-Settings!$D$17)-I709)/(T709*(1-AP709)*(1-Settings!$D$17))),"")</f>
        <v/>
      </c>
      <c r="N709" s="101">
        <f>IFERROR(IF(T709="","",(T709*(1-AQ709)*(1-Settings!$F$17)-I709)/(T709*(1-AQ709)*(1-Settings!$F$17))),"")</f>
        <v/>
      </c>
      <c r="O709" s="101">
        <f>IFERROR(IF(T709="","",(T709*(1-AR709)*(1-Settings!$G$17)-I709)/(T709*(1-AR709)*(1-Settings!$G$17))),"")</f>
        <v/>
      </c>
      <c r="P709" s="101">
        <f>IFERROR(IF(T709="","",(T709*(1-AS709)*(1-Settings!$H$17)-I709)/(T709*(1-AS709)*(1-Settings!$H$17))),"")</f>
        <v/>
      </c>
      <c r="Q709" s="101">
        <f>IFERROR(IF(T709="","",(T709*(1-AT709)*(1-Settings!$I$68)*(1-Settings!$I$17)-I709)/(T709*(1-AT709)*(1-Settings!$I$68)*(1-Settings!$I$17))),"")</f>
        <v/>
      </c>
      <c r="R709" s="91">
        <f>IFERROR(IF(OR(I709="",Z709&gt;=1,Settings!$B$17&gt;=1,AN709&gt;=1),"",IF(MOD(ROUND(I709/(1-Z709)/(1-Settings!$B$17)/(1-AN709),0),10)=0,ROUND(I709/(1-Z709)/(1-Settings!$B$17)/(1-AN709),0)-1,IF(MOD(ROUND(I709/(1-Z709)/(1-Settings!$B$17)/(1-AN709),0),10)&lt;=5,FLOOR(ROUND(I709/(1-Z709)/(1-Settings!$B$17)/(1-AN709),0),10)+6,FLOOR(ROUND(I709/(1-Z709)/(1-Settings!$B$17)/(1-AN709),0),10)+9))),"")</f>
        <v/>
      </c>
      <c r="S709" s="174">
        <f>R709*0.95</f>
        <v/>
      </c>
      <c r="T709" s="91">
        <f>IF(S709&lt;&gt;"", IF(MOD(S709,10)=0,S709-1,IF(MOD(S709,10)&lt;=5,FLOOR(S709,10)+6,FLOOR(S709,10)+9)), R709)</f>
        <v/>
      </c>
      <c r="U709" s="87" t="inlineStr">
        <is>
          <t>Трафіковий</t>
        </is>
      </c>
      <c r="V709" s="88" t="n"/>
      <c r="W709" s="88" t="n"/>
      <c r="X709" s="89">
        <f>IFERROR(IF(OR(V709="",W709="",T709=""),"", IF(T709&gt;W709,"Дорогий",IF(T709&lt;V709,"Дешевий","У ринку"))),"")</f>
        <v/>
      </c>
      <c r="Y709" s="90" t="n"/>
      <c r="Z709" s="104">
        <f>CHOOSE(MATCH(IF($U709="","Основний",$U709),{"Трафіковий","Основний","Маржинальний","Сезонний","Стратегічний"},0),0.16,0.19,0.24,0.23,0.28)</f>
        <v/>
      </c>
      <c r="AA709" s="104">
        <f>CHOOSE(MATCH(IF($U709="","Основний",$U709),{"Трафіковий","Основний","Маржинальний","Сезонний","Стратегічний"},0),0.18,0.21,0.26,0.25,0.3)</f>
        <v/>
      </c>
      <c r="AB709" s="104">
        <f>CHOOSE(MATCH(IF($U709="","Основний",$U709),{"Трафіковий","Основний","Маржинальний","Сезонний","Стратегічний"},0),0.19,0.22,0.28,0.26,0.32)</f>
        <v/>
      </c>
      <c r="AC709" s="104">
        <f>CHOOSE(MATCH(IF($U709="","Основний",$U709),{"Трафіковий","Основний","Маржинальний","Сезонний","Стратегічний"},0),0.17,0.2,0.25,0.24,0.28)</f>
        <v/>
      </c>
      <c r="AD709" s="104">
        <f>CHOOSE(MATCH(IF($U709="","Основний",$U709),{"Трафіковий","Основний","Маржинальний","Сезонний","Стратегічний"},0),0.18,0.21,0.26,0.25,0.3)</f>
        <v/>
      </c>
      <c r="AE709" s="104">
        <f>CHOOSE(MATCH(IF($U709="","Основний",$U709),{"Трафіковий","Основний","Маржинальний","Сезонний","Стратегічний"},0),0.18,0.2,0.28,0.27,0.32)</f>
        <v/>
      </c>
      <c r="AF709" s="104">
        <f>CHOOSE(MATCH(IF($U709="","Основний",$U709),{"Трафіковий","Основний","Маржинальний","Сезонний","Стратегічний"},0),0.15,0.175,0.22,0.21,0.25)</f>
        <v/>
      </c>
      <c r="AG709" s="104">
        <f>CHOOSE(MATCH(IF($U709="","Основний",$U709),{"Трафіковий","Основний","Маржинальний","Сезонний","Стратегічний"},0),0.13,0.16,0.21,0.2,0.25)</f>
        <v/>
      </c>
      <c r="AH709" s="104">
        <f>CHOOSE(MATCH(IF($U709="","Основний",$U709),{"Трафіковий","Основний","Маржинальний","Сезонний","Стратегічний"},0),0.15,0.18,0.23,0.22,0.27)</f>
        <v/>
      </c>
      <c r="AI709" s="104">
        <f>CHOOSE(MATCH(IF($U709="","Основний",$U709),{"Трафіковий","Основний","Маржинальний","Сезонний","Стратегічний"},0),0.16,0.19,0.25,0.23,0.29)</f>
        <v/>
      </c>
      <c r="AJ709" s="104">
        <f>CHOOSE(MATCH(IF($U709="","Основний",$U709),{"Трафіковий","Основний","Маржинальний","Сезонний","Стратегічний"},0),0.14,0.17,0.22,0.21,0.25)</f>
        <v/>
      </c>
      <c r="AK709" s="104">
        <f>CHOOSE(MATCH(IF($U709="","Основний",$U709),{"Трафіковий","Основний","Маржинальний","Сезонний","Стратегічний"},0),0.15,0.18,0.23,0.22,0.27)</f>
        <v/>
      </c>
      <c r="AL709" s="104">
        <f>CHOOSE(MATCH(IF($U709="","Основний",$U709),{"Трафіковий","Основний","Маржинальний","Сезонний","Стратегічний"},0),0.15,0.17,0.25,0.24,0.29)</f>
        <v/>
      </c>
      <c r="AM709" s="104">
        <f>CHOOSE(MATCH(IF($U709="","Основний",$U709),{"Трафіковий","Основний","Маржинальний","Сезонний","Стратегічний"},0),0.12,0.145,0.19,0.18,0.22)</f>
        <v/>
      </c>
      <c r="AN709" s="157">
        <f>CHOOSE(MATCH(IF($U709="","Основний",$U709),{"Трафіковий","Основний","Маржинальний","Сезонний","Стратегічний"},0),Settings!$B$78,Settings!$B$80,Settings!$B$82,Settings!$B$84,Settings!$B$86)</f>
        <v/>
      </c>
      <c r="AO709" s="157">
        <f>CHOOSE(MATCH(IF($U709="","Основний",$U709),{"Трафіковий","Основний","Маржинальний","Сезонний","Стратегічний"},0),Settings!$C$78,Settings!$C$80,Settings!$C$82,Settings!$C$84,Settings!$C$86)</f>
        <v/>
      </c>
      <c r="AP709" s="157">
        <f>CHOOSE(MATCH(IF($U709="","Основний",$U709),{"Трафіковий","Основний","Маржинальний","Сезонний","Стратегічний"},0),Settings!$D$78,Settings!$D$80,Settings!$D$82,Settings!$D$84,Settings!$D$86)</f>
        <v/>
      </c>
      <c r="AQ709" s="157">
        <f>CHOOSE(MATCH(IF($U709="","Основний",$U709),{"Трафіковий","Основний","Маржинальний","Сезонний","Стратегічний"},0),Settings!$F$78,Settings!$F$80,Settings!$F$82,Settings!$F$84,Settings!$F$86)</f>
        <v/>
      </c>
      <c r="AR709" s="157">
        <f>CHOOSE(MATCH(IF($U709="","Основний",$U709),{"Трафіковий","Основний","Маржинальний","Сезонний","Стратегічний"},0),Settings!$G$78,Settings!$G$80,Settings!$G$82,Settings!$G$84,Settings!$G$86)</f>
        <v/>
      </c>
      <c r="AS709" s="157">
        <f>CHOOSE(MATCH(IF($U709="","Основний",$U709),{"Трафіковий","Основний","Маржинальний","Сезонний","Стратегічний"},0),Settings!$H$78,Settings!$H$80,Settings!$H$82,Settings!$H$84,Settings!$H$86)</f>
        <v/>
      </c>
      <c r="AT709" s="157">
        <f>CHOOSE(MATCH(IF($U709="","Основний",$U709),{"Трафіковий","Основний","Маржинальний","Сезонний","Стратегічний"},0),Settings!$I$78,Settings!$I$80,Settings!$I$82,Settings!$I$84,Settings!$I$86)</f>
        <v/>
      </c>
      <c r="AU709" s="171" t="n"/>
      <c r="AV709" t="n">
        <v>1.37</v>
      </c>
    </row>
    <row r="710">
      <c r="A710" s="28" t="n"/>
      <c r="B710" s="29" t="inlineStr">
        <is>
          <t>H6006</t>
        </is>
      </c>
      <c r="C710" s="29" t="inlineStr">
        <is>
          <t>GOSMART PET FEEDER WITH CAMERA 6L PET-106</t>
        </is>
      </c>
      <c r="D710" s="29" t="inlineStr">
        <is>
          <t>Годівниці та поїлки для тварин</t>
        </is>
      </c>
      <c r="E710" s="28" t="inlineStr">
        <is>
          <t>PC</t>
        </is>
      </c>
      <c r="F710" s="93" t="n">
        <v>57.859</v>
      </c>
      <c r="G710" s="30" t="n">
        <v>8509800000</v>
      </c>
      <c r="H710" s="31" t="n">
        <v>1.4</v>
      </c>
      <c r="I710" s="84">
        <f>IFERROR(F710*Settings!$B$2*H710*IF(AND(ISNUMBER(E710),E710&gt;1),E710,1),"")</f>
        <v/>
      </c>
      <c r="J710" s="32">
        <f>Settings!$B$66</f>
        <v/>
      </c>
      <c r="K710" s="95">
        <f>IFERROR(IF(T710="","",(T710*(1-AN710)*(1-Settings!$B$17)-I710)/(T710*(1-AN710)*(1-Settings!$B$17))),"")</f>
        <v/>
      </c>
      <c r="L710" s="101">
        <f>IFERROR(IF(T710="","",(T710*(1-AO710)*(1-Settings!$C$17)-I710)/(T710*(1-AO710)*(1-Settings!$C$17))),"")</f>
        <v/>
      </c>
      <c r="M710" s="101">
        <f>IFERROR(IF(T710="","",(T710*(1-AP710)*(1-Settings!$D$17)-I710)/(T710*(1-AP710)*(1-Settings!$D$17))),"")</f>
        <v/>
      </c>
      <c r="N710" s="101">
        <f>IFERROR(IF(T710="","",(T710*(1-AQ710)*(1-Settings!$F$17)-I710)/(T710*(1-AQ710)*(1-Settings!$F$17))),"")</f>
        <v/>
      </c>
      <c r="O710" s="101">
        <f>IFERROR(IF(T710="","",(T710*(1-AR710)*(1-Settings!$G$17)-I710)/(T710*(1-AR710)*(1-Settings!$G$17))),"")</f>
        <v/>
      </c>
      <c r="P710" s="101">
        <f>IFERROR(IF(T710="","",(T710*(1-AS710)*(1-Settings!$H$17)-I710)/(T710*(1-AS710)*(1-Settings!$H$17))),"")</f>
        <v/>
      </c>
      <c r="Q710" s="101">
        <f>IFERROR(IF(T710="","",(T710*(1-AT710)*(1-Settings!$I$68)*(1-Settings!$I$17)-I710)/(T710*(1-AT710)*(1-Settings!$I$68)*(1-Settings!$I$17))),"")</f>
        <v/>
      </c>
      <c r="R710" s="91">
        <f>IFERROR(IF(OR(I710="",Z710&gt;=1,Settings!$B$17&gt;=1,AN710&gt;=1),"",IF(MOD(ROUND(I710/(1-Z710)/(1-Settings!$B$17)/(1-AN710),0),10)=0,ROUND(I710/(1-Z710)/(1-Settings!$B$17)/(1-AN710),0)-1,IF(MOD(ROUND(I710/(1-Z710)/(1-Settings!$B$17)/(1-AN710),0),10)&lt;=5,FLOOR(ROUND(I710/(1-Z710)/(1-Settings!$B$17)/(1-AN710),0),10)+6,FLOOR(ROUND(I710/(1-Z710)/(1-Settings!$B$17)/(1-AN710),0),10)+9))),"")</f>
        <v/>
      </c>
      <c r="S710" s="174">
        <f>R710*0.95</f>
        <v/>
      </c>
      <c r="T710" s="91">
        <f>IF(S710&lt;&gt;"", IF(MOD(S710,10)=0,S710-1,IF(MOD(S710,10)&lt;=5,FLOOR(S710,10)+6,FLOOR(S710,10)+9)), R710)</f>
        <v/>
      </c>
      <c r="U710" s="87" t="inlineStr">
        <is>
          <t>Трафіковий</t>
        </is>
      </c>
      <c r="V710" s="88" t="n"/>
      <c r="W710" s="88" t="n"/>
      <c r="X710" s="89">
        <f>IFERROR(IF(OR(V710="",W710="",T710=""),"", IF(T710&gt;W710,"Дорогий",IF(T710&lt;V710,"Дешевий","У ринку"))),"")</f>
        <v/>
      </c>
      <c r="Y710" s="90" t="n"/>
      <c r="Z710" s="104">
        <f>CHOOSE(MATCH(IF($U710="","Основний",$U710),{"Трафіковий","Основний","Маржинальний","Сезонний","Стратегічний"},0),0.16,0.19,0.24,0.23,0.28)</f>
        <v/>
      </c>
      <c r="AA710" s="104">
        <f>CHOOSE(MATCH(IF($U710="","Основний",$U710),{"Трафіковий","Основний","Маржинальний","Сезонний","Стратегічний"},0),0.18,0.21,0.26,0.25,0.3)</f>
        <v/>
      </c>
      <c r="AB710" s="104">
        <f>CHOOSE(MATCH(IF($U710="","Основний",$U710),{"Трафіковий","Основний","Маржинальний","Сезонний","Стратегічний"},0),0.19,0.22,0.28,0.26,0.32)</f>
        <v/>
      </c>
      <c r="AC710" s="104">
        <f>CHOOSE(MATCH(IF($U710="","Основний",$U710),{"Трафіковий","Основний","Маржинальний","Сезонний","Стратегічний"},0),0.17,0.2,0.25,0.24,0.28)</f>
        <v/>
      </c>
      <c r="AD710" s="104">
        <f>CHOOSE(MATCH(IF($U710="","Основний",$U710),{"Трафіковий","Основний","Маржинальний","Сезонний","Стратегічний"},0),0.18,0.21,0.26,0.25,0.3)</f>
        <v/>
      </c>
      <c r="AE710" s="104">
        <f>CHOOSE(MATCH(IF($U710="","Основний",$U710),{"Трафіковий","Основний","Маржинальний","Сезонний","Стратегічний"},0),0.18,0.2,0.28,0.27,0.32)</f>
        <v/>
      </c>
      <c r="AF710" s="104">
        <f>CHOOSE(MATCH(IF($U710="","Основний",$U710),{"Трафіковий","Основний","Маржинальний","Сезонний","Стратегічний"},0),0.15,0.175,0.22,0.21,0.25)</f>
        <v/>
      </c>
      <c r="AG710" s="104">
        <f>CHOOSE(MATCH(IF($U710="","Основний",$U710),{"Трафіковий","Основний","Маржинальний","Сезонний","Стратегічний"},0),0.13,0.16,0.21,0.2,0.25)</f>
        <v/>
      </c>
      <c r="AH710" s="104">
        <f>CHOOSE(MATCH(IF($U710="","Основний",$U710),{"Трафіковий","Основний","Маржинальний","Сезонний","Стратегічний"},0),0.15,0.18,0.23,0.22,0.27)</f>
        <v/>
      </c>
      <c r="AI710" s="104">
        <f>CHOOSE(MATCH(IF($U710="","Основний",$U710),{"Трафіковий","Основний","Маржинальний","Сезонний","Стратегічний"},0),0.16,0.19,0.25,0.23,0.29)</f>
        <v/>
      </c>
      <c r="AJ710" s="104">
        <f>CHOOSE(MATCH(IF($U710="","Основний",$U710),{"Трафіковий","Основний","Маржинальний","Сезонний","Стратегічний"},0),0.14,0.17,0.22,0.21,0.25)</f>
        <v/>
      </c>
      <c r="AK710" s="104">
        <f>CHOOSE(MATCH(IF($U710="","Основний",$U710),{"Трафіковий","Основний","Маржинальний","Сезонний","Стратегічний"},0),0.15,0.18,0.23,0.22,0.27)</f>
        <v/>
      </c>
      <c r="AL710" s="104">
        <f>CHOOSE(MATCH(IF($U710="","Основний",$U710),{"Трафіковий","Основний","Маржинальний","Сезонний","Стратегічний"},0),0.15,0.17,0.25,0.24,0.29)</f>
        <v/>
      </c>
      <c r="AM710" s="104">
        <f>CHOOSE(MATCH(IF($U710="","Основний",$U710),{"Трафіковий","Основний","Маржинальний","Сезонний","Стратегічний"},0),0.12,0.145,0.19,0.18,0.22)</f>
        <v/>
      </c>
      <c r="AN710" s="157">
        <f>CHOOSE(MATCH(IF($U710="","Основний",$U710),{"Трафіковий","Основний","Маржинальний","Сезонний","Стратегічний"},0),Settings!$B$78,Settings!$B$80,Settings!$B$82,Settings!$B$84,Settings!$B$86)</f>
        <v/>
      </c>
      <c r="AO710" s="157">
        <f>CHOOSE(MATCH(IF($U710="","Основний",$U710),{"Трафіковий","Основний","Маржинальний","Сезонний","Стратегічний"},0),Settings!$C$78,Settings!$C$80,Settings!$C$82,Settings!$C$84,Settings!$C$86)</f>
        <v/>
      </c>
      <c r="AP710" s="157">
        <f>CHOOSE(MATCH(IF($U710="","Основний",$U710),{"Трафіковий","Основний","Маржинальний","Сезонний","Стратегічний"},0),Settings!$D$78,Settings!$D$80,Settings!$D$82,Settings!$D$84,Settings!$D$86)</f>
        <v/>
      </c>
      <c r="AQ710" s="157">
        <f>CHOOSE(MATCH(IF($U710="","Основний",$U710),{"Трафіковий","Основний","Маржинальний","Сезонний","Стратегічний"},0),Settings!$F$78,Settings!$F$80,Settings!$F$82,Settings!$F$84,Settings!$F$86)</f>
        <v/>
      </c>
      <c r="AR710" s="157">
        <f>CHOOSE(MATCH(IF($U710="","Основний",$U710),{"Трафіковий","Основний","Маржинальний","Сезонний","Стратегічний"},0),Settings!$G$78,Settings!$G$80,Settings!$G$82,Settings!$G$84,Settings!$G$86)</f>
        <v/>
      </c>
      <c r="AS710" s="157">
        <f>CHOOSE(MATCH(IF($U710="","Основний",$U710),{"Трафіковий","Основний","Маржинальний","Сезонний","Стратегічний"},0),Settings!$H$78,Settings!$H$80,Settings!$H$82,Settings!$H$84,Settings!$H$86)</f>
        <v/>
      </c>
      <c r="AT710" s="157">
        <f>CHOOSE(MATCH(IF($U710="","Основний",$U710),{"Трафіковий","Основний","Маржинальний","Сезонний","Стратегічний"},0),Settings!$I$78,Settings!$I$80,Settings!$I$82,Settings!$I$84,Settings!$I$86)</f>
        <v/>
      </c>
      <c r="AU710" s="171" t="n"/>
      <c r="AV710" t="n">
        <v>1.37</v>
      </c>
    </row>
    <row r="711">
      <c r="A711" s="33" t="n"/>
      <c r="B711" s="34" t="inlineStr">
        <is>
          <t>H6101</t>
        </is>
      </c>
      <c r="C711" s="34" t="inlineStr">
        <is>
          <t>EMOS PET CARE WATER FOUNTAIN PET-201</t>
        </is>
      </c>
      <c r="D711" s="34" t="inlineStr">
        <is>
          <t>Годівниці та поїлки для тварин</t>
        </is>
      </c>
      <c r="E711" s="33" t="inlineStr">
        <is>
          <t>PC</t>
        </is>
      </c>
      <c r="F711" s="94" t="n">
        <v>10.515</v>
      </c>
      <c r="G711" s="35" t="n">
        <v>8509800000</v>
      </c>
      <c r="H711" s="31" t="n">
        <v>1.4</v>
      </c>
      <c r="I711" s="84">
        <f>IFERROR(F711*Settings!$B$2*H711*IF(AND(ISNUMBER(E711),E711&gt;1),E711,1),"")</f>
        <v/>
      </c>
      <c r="J711" s="32">
        <f>Settings!$B$66</f>
        <v/>
      </c>
      <c r="K711" s="95">
        <f>IFERROR(IF(T711="","",(T711*(1-AN711)*(1-Settings!$B$17)-I711)/(T711*(1-AN711)*(1-Settings!$B$17))),"")</f>
        <v/>
      </c>
      <c r="L711" s="101">
        <f>IFERROR(IF(T711="","",(T711*(1-AO711)*(1-Settings!$C$17)-I711)/(T711*(1-AO711)*(1-Settings!$C$17))),"")</f>
        <v/>
      </c>
      <c r="M711" s="101">
        <f>IFERROR(IF(T711="","",(T711*(1-AP711)*(1-Settings!$D$17)-I711)/(T711*(1-AP711)*(1-Settings!$D$17))),"")</f>
        <v/>
      </c>
      <c r="N711" s="101">
        <f>IFERROR(IF(T711="","",(T711*(1-AQ711)*(1-Settings!$F$17)-I711)/(T711*(1-AQ711)*(1-Settings!$F$17))),"")</f>
        <v/>
      </c>
      <c r="O711" s="101">
        <f>IFERROR(IF(T711="","",(T711*(1-AR711)*(1-Settings!$G$17)-I711)/(T711*(1-AR711)*(1-Settings!$G$17))),"")</f>
        <v/>
      </c>
      <c r="P711" s="101">
        <f>IFERROR(IF(T711="","",(T711*(1-AS711)*(1-Settings!$H$17)-I711)/(T711*(1-AS711)*(1-Settings!$H$17))),"")</f>
        <v/>
      </c>
      <c r="Q711" s="101">
        <f>IFERROR(IF(T711="","",(T711*(1-AT711)*(1-Settings!$I$68)*(1-Settings!$I$17)-I711)/(T711*(1-AT711)*(1-Settings!$I$68)*(1-Settings!$I$17))),"")</f>
        <v/>
      </c>
      <c r="R711" s="91">
        <f>IFERROR(IF(OR(I711="",Z711&gt;=1,Settings!$B$17&gt;=1,AN711&gt;=1),"",IF(MOD(ROUND(I711/(1-Z711)/(1-Settings!$B$17)/(1-AN711),0),10)=0,ROUND(I711/(1-Z711)/(1-Settings!$B$17)/(1-AN711),0)-1,IF(MOD(ROUND(I711/(1-Z711)/(1-Settings!$B$17)/(1-AN711),0),10)&lt;=5,FLOOR(ROUND(I711/(1-Z711)/(1-Settings!$B$17)/(1-AN711),0),10)+6,FLOOR(ROUND(I711/(1-Z711)/(1-Settings!$B$17)/(1-AN711),0),10)+9))),"")</f>
        <v/>
      </c>
      <c r="S711" s="174">
        <f>R711*0.95</f>
        <v/>
      </c>
      <c r="T711" s="91">
        <f>IF(S711&lt;&gt;"", IF(MOD(S711,10)=0,S711-1,IF(MOD(S711,10)&lt;=5,FLOOR(S711,10)+6,FLOOR(S711,10)+9)), R711)</f>
        <v/>
      </c>
      <c r="U711" s="87" t="inlineStr">
        <is>
          <t>Основний</t>
        </is>
      </c>
      <c r="V711" s="88" t="n"/>
      <c r="W711" s="88" t="n"/>
      <c r="X711" s="89">
        <f>IFERROR(IF(OR(V711="",W711="",T711=""),"", IF(T711&gt;W711,"Дорогий",IF(T711&lt;V711,"Дешевий","У ринку"))),"")</f>
        <v/>
      </c>
      <c r="Y711" s="90" t="n"/>
      <c r="Z711" s="104">
        <f>CHOOSE(MATCH(IF($U711="","Основний",$U711),{"Трафіковий","Основний","Маржинальний","Сезонний","Стратегічний"},0),0.16,0.19,0.24,0.23,0.28)</f>
        <v/>
      </c>
      <c r="AA711" s="104">
        <f>CHOOSE(MATCH(IF($U711="","Основний",$U711),{"Трафіковий","Основний","Маржинальний","Сезонний","Стратегічний"},0),0.18,0.21,0.26,0.25,0.3)</f>
        <v/>
      </c>
      <c r="AB711" s="104">
        <f>CHOOSE(MATCH(IF($U711="","Основний",$U711),{"Трафіковий","Основний","Маржинальний","Сезонний","Стратегічний"},0),0.19,0.22,0.28,0.26,0.32)</f>
        <v/>
      </c>
      <c r="AC711" s="104">
        <f>CHOOSE(MATCH(IF($U711="","Основний",$U711),{"Трафіковий","Основний","Маржинальний","Сезонний","Стратегічний"},0),0.17,0.2,0.25,0.24,0.28)</f>
        <v/>
      </c>
      <c r="AD711" s="104">
        <f>CHOOSE(MATCH(IF($U711="","Основний",$U711),{"Трафіковий","Основний","Маржинальний","Сезонний","Стратегічний"},0),0.18,0.21,0.26,0.25,0.3)</f>
        <v/>
      </c>
      <c r="AE711" s="104">
        <f>CHOOSE(MATCH(IF($U711="","Основний",$U711),{"Трафіковий","Основний","Маржинальний","Сезонний","Стратегічний"},0),0.18,0.2,0.28,0.27,0.32)</f>
        <v/>
      </c>
      <c r="AF711" s="104">
        <f>CHOOSE(MATCH(IF($U711="","Основний",$U711),{"Трафіковий","Основний","Маржинальний","Сезонний","Стратегічний"},0),0.15,0.175,0.22,0.21,0.25)</f>
        <v/>
      </c>
      <c r="AG711" s="104">
        <f>CHOOSE(MATCH(IF($U711="","Основний",$U711),{"Трафіковий","Основний","Маржинальний","Сезонний","Стратегічний"},0),0.13,0.16,0.21,0.2,0.25)</f>
        <v/>
      </c>
      <c r="AH711" s="104">
        <f>CHOOSE(MATCH(IF($U711="","Основний",$U711),{"Трафіковий","Основний","Маржинальний","Сезонний","Стратегічний"},0),0.15,0.18,0.23,0.22,0.27)</f>
        <v/>
      </c>
      <c r="AI711" s="104">
        <f>CHOOSE(MATCH(IF($U711="","Основний",$U711),{"Трафіковий","Основний","Маржинальний","Сезонний","Стратегічний"},0),0.16,0.19,0.25,0.23,0.29)</f>
        <v/>
      </c>
      <c r="AJ711" s="104">
        <f>CHOOSE(MATCH(IF($U711="","Основний",$U711),{"Трафіковий","Основний","Маржинальний","Сезонний","Стратегічний"},0),0.14,0.17,0.22,0.21,0.25)</f>
        <v/>
      </c>
      <c r="AK711" s="104">
        <f>CHOOSE(MATCH(IF($U711="","Основний",$U711),{"Трафіковий","Основний","Маржинальний","Сезонний","Стратегічний"},0),0.15,0.18,0.23,0.22,0.27)</f>
        <v/>
      </c>
      <c r="AL711" s="104">
        <f>CHOOSE(MATCH(IF($U711="","Основний",$U711),{"Трафіковий","Основний","Маржинальний","Сезонний","Стратегічний"},0),0.15,0.17,0.25,0.24,0.29)</f>
        <v/>
      </c>
      <c r="AM711" s="104">
        <f>CHOOSE(MATCH(IF($U711="","Основний",$U711),{"Трафіковий","Основний","Маржинальний","Сезонний","Стратегічний"},0),0.12,0.145,0.19,0.18,0.22)</f>
        <v/>
      </c>
      <c r="AN711" s="157">
        <f>CHOOSE(MATCH(IF($U711="","Основний",$U711),{"Трафіковий","Основний","Маржинальний","Сезонний","Стратегічний"},0),Settings!$B$78,Settings!$B$80,Settings!$B$82,Settings!$B$84,Settings!$B$86)</f>
        <v/>
      </c>
      <c r="AO711" s="157">
        <f>CHOOSE(MATCH(IF($U711="","Основний",$U711),{"Трафіковий","Основний","Маржинальний","Сезонний","Стратегічний"},0),Settings!$C$78,Settings!$C$80,Settings!$C$82,Settings!$C$84,Settings!$C$86)</f>
        <v/>
      </c>
      <c r="AP711" s="157">
        <f>CHOOSE(MATCH(IF($U711="","Основний",$U711),{"Трафіковий","Основний","Маржинальний","Сезонний","Стратегічний"},0),Settings!$D$78,Settings!$D$80,Settings!$D$82,Settings!$D$84,Settings!$D$86)</f>
        <v/>
      </c>
      <c r="AQ711" s="157">
        <f>CHOOSE(MATCH(IF($U711="","Основний",$U711),{"Трафіковий","Основний","Маржинальний","Сезонний","Стратегічний"},0),Settings!$F$78,Settings!$F$80,Settings!$F$82,Settings!$F$84,Settings!$F$86)</f>
        <v/>
      </c>
      <c r="AR711" s="157">
        <f>CHOOSE(MATCH(IF($U711="","Основний",$U711),{"Трафіковий","Основний","Маржинальний","Сезонний","Стратегічний"},0),Settings!$G$78,Settings!$G$80,Settings!$G$82,Settings!$G$84,Settings!$G$86)</f>
        <v/>
      </c>
      <c r="AS711" s="157">
        <f>CHOOSE(MATCH(IF($U711="","Основний",$U711),{"Трафіковий","Основний","Маржинальний","Сезонний","Стратегічний"},0),Settings!$H$78,Settings!$H$80,Settings!$H$82,Settings!$H$84,Settings!$H$86)</f>
        <v/>
      </c>
      <c r="AT711" s="157">
        <f>CHOOSE(MATCH(IF($U711="","Основний",$U711),{"Трафіковий","Основний","Маржинальний","Сезонний","Стратегічний"},0),Settings!$I$78,Settings!$I$80,Settings!$I$82,Settings!$I$84,Settings!$I$86)</f>
        <v/>
      </c>
      <c r="AU711" s="171" t="n"/>
      <c r="AV711" t="n">
        <v>1.37</v>
      </c>
    </row>
    <row r="712">
      <c r="A712" s="28" t="n"/>
      <c r="B712" s="29" t="inlineStr">
        <is>
          <t>H6102</t>
        </is>
      </c>
      <c r="C712" s="29" t="inlineStr">
        <is>
          <t>GOSMART WATER FOUNTAIN PET-202</t>
        </is>
      </c>
      <c r="D712" s="29" t="inlineStr">
        <is>
          <t>Годівниці та поїлки для тварин</t>
        </is>
      </c>
      <c r="E712" s="28" t="inlineStr">
        <is>
          <t>PC</t>
        </is>
      </c>
      <c r="F712" s="93" t="n">
        <v>17.316</v>
      </c>
      <c r="G712" s="30" t="n">
        <v>8509800000</v>
      </c>
      <c r="H712" s="31" t="n">
        <v>1.4</v>
      </c>
      <c r="I712" s="84">
        <f>IFERROR(F712*Settings!$B$2*H712*IF(AND(ISNUMBER(E712),E712&gt;1),E712,1),"")</f>
        <v/>
      </c>
      <c r="J712" s="32">
        <f>Settings!$B$66</f>
        <v/>
      </c>
      <c r="K712" s="95">
        <f>IFERROR(IF(T712="","",(T712*(1-AN712)*(1-Settings!$B$17)-I712)/(T712*(1-AN712)*(1-Settings!$B$17))),"")</f>
        <v/>
      </c>
      <c r="L712" s="101">
        <f>IFERROR(IF(T712="","",(T712*(1-AO712)*(1-Settings!$C$17)-I712)/(T712*(1-AO712)*(1-Settings!$C$17))),"")</f>
        <v/>
      </c>
      <c r="M712" s="101">
        <f>IFERROR(IF(T712="","",(T712*(1-AP712)*(1-Settings!$D$17)-I712)/(T712*(1-AP712)*(1-Settings!$D$17))),"")</f>
        <v/>
      </c>
      <c r="N712" s="101">
        <f>IFERROR(IF(T712="","",(T712*(1-AQ712)*(1-Settings!$F$17)-I712)/(T712*(1-AQ712)*(1-Settings!$F$17))),"")</f>
        <v/>
      </c>
      <c r="O712" s="101">
        <f>IFERROR(IF(T712="","",(T712*(1-AR712)*(1-Settings!$G$17)-I712)/(T712*(1-AR712)*(1-Settings!$G$17))),"")</f>
        <v/>
      </c>
      <c r="P712" s="101">
        <f>IFERROR(IF(T712="","",(T712*(1-AS712)*(1-Settings!$H$17)-I712)/(T712*(1-AS712)*(1-Settings!$H$17))),"")</f>
        <v/>
      </c>
      <c r="Q712" s="101">
        <f>IFERROR(IF(T712="","",(T712*(1-AT712)*(1-Settings!$I$68)*(1-Settings!$I$17)-I712)/(T712*(1-AT712)*(1-Settings!$I$68)*(1-Settings!$I$17))),"")</f>
        <v/>
      </c>
      <c r="R712" s="91">
        <f>IFERROR(IF(OR(I712="",Z712&gt;=1,Settings!$B$17&gt;=1,AN712&gt;=1),"",IF(MOD(ROUND(I712/(1-Z712)/(1-Settings!$B$17)/(1-AN712),0),10)=0,ROUND(I712/(1-Z712)/(1-Settings!$B$17)/(1-AN712),0)-1,IF(MOD(ROUND(I712/(1-Z712)/(1-Settings!$B$17)/(1-AN712),0),10)&lt;=5,FLOOR(ROUND(I712/(1-Z712)/(1-Settings!$B$17)/(1-AN712),0),10)+6,FLOOR(ROUND(I712/(1-Z712)/(1-Settings!$B$17)/(1-AN712),0),10)+9))),"")</f>
        <v/>
      </c>
      <c r="S712" s="174">
        <f>R712*0.95</f>
        <v/>
      </c>
      <c r="T712" s="91">
        <f>IF(S712&lt;&gt;"", IF(MOD(S712,10)=0,S712-1,IF(MOD(S712,10)&lt;=5,FLOOR(S712,10)+6,FLOOR(S712,10)+9)), R712)</f>
        <v/>
      </c>
      <c r="U712" s="87" t="inlineStr">
        <is>
          <t>Основний</t>
        </is>
      </c>
      <c r="V712" s="88" t="n"/>
      <c r="W712" s="88" t="n"/>
      <c r="X712" s="89">
        <f>IFERROR(IF(OR(V712="",W712="",T712=""),"", IF(T712&gt;W712,"Дорогий",IF(T712&lt;V712,"Дешевий","У ринку"))),"")</f>
        <v/>
      </c>
      <c r="Y712" s="90" t="n"/>
      <c r="Z712" s="104">
        <f>CHOOSE(MATCH(IF($U712="","Основний",$U712),{"Трафіковий","Основний","Маржинальний","Сезонний","Стратегічний"},0),0.16,0.19,0.24,0.23,0.28)</f>
        <v/>
      </c>
      <c r="AA712" s="104">
        <f>CHOOSE(MATCH(IF($U712="","Основний",$U712),{"Трафіковий","Основний","Маржинальний","Сезонний","Стратегічний"},0),0.18,0.21,0.26,0.25,0.3)</f>
        <v/>
      </c>
      <c r="AB712" s="104">
        <f>CHOOSE(MATCH(IF($U712="","Основний",$U712),{"Трафіковий","Основний","Маржинальний","Сезонний","Стратегічний"},0),0.19,0.22,0.28,0.26,0.32)</f>
        <v/>
      </c>
      <c r="AC712" s="104">
        <f>CHOOSE(MATCH(IF($U712="","Основний",$U712),{"Трафіковий","Основний","Маржинальний","Сезонний","Стратегічний"},0),0.17,0.2,0.25,0.24,0.28)</f>
        <v/>
      </c>
      <c r="AD712" s="104">
        <f>CHOOSE(MATCH(IF($U712="","Основний",$U712),{"Трафіковий","Основний","Маржинальний","Сезонний","Стратегічний"},0),0.18,0.21,0.26,0.25,0.3)</f>
        <v/>
      </c>
      <c r="AE712" s="104">
        <f>CHOOSE(MATCH(IF($U712="","Основний",$U712),{"Трафіковий","Основний","Маржинальний","Сезонний","Стратегічний"},0),0.18,0.2,0.28,0.27,0.32)</f>
        <v/>
      </c>
      <c r="AF712" s="104">
        <f>CHOOSE(MATCH(IF($U712="","Основний",$U712),{"Трафіковий","Основний","Маржинальний","Сезонний","Стратегічний"},0),0.15,0.175,0.22,0.21,0.25)</f>
        <v/>
      </c>
      <c r="AG712" s="104">
        <f>CHOOSE(MATCH(IF($U712="","Основний",$U712),{"Трафіковий","Основний","Маржинальний","Сезонний","Стратегічний"},0),0.13,0.16,0.21,0.2,0.25)</f>
        <v/>
      </c>
      <c r="AH712" s="104">
        <f>CHOOSE(MATCH(IF($U712="","Основний",$U712),{"Трафіковий","Основний","Маржинальний","Сезонний","Стратегічний"},0),0.15,0.18,0.23,0.22,0.27)</f>
        <v/>
      </c>
      <c r="AI712" s="104">
        <f>CHOOSE(MATCH(IF($U712="","Основний",$U712),{"Трафіковий","Основний","Маржинальний","Сезонний","Стратегічний"},0),0.16,0.19,0.25,0.23,0.29)</f>
        <v/>
      </c>
      <c r="AJ712" s="104">
        <f>CHOOSE(MATCH(IF($U712="","Основний",$U712),{"Трафіковий","Основний","Маржинальний","Сезонний","Стратегічний"},0),0.14,0.17,0.22,0.21,0.25)</f>
        <v/>
      </c>
      <c r="AK712" s="104">
        <f>CHOOSE(MATCH(IF($U712="","Основний",$U712),{"Трафіковий","Основний","Маржинальний","Сезонний","Стратегічний"},0),0.15,0.18,0.23,0.22,0.27)</f>
        <v/>
      </c>
      <c r="AL712" s="104">
        <f>CHOOSE(MATCH(IF($U712="","Основний",$U712),{"Трафіковий","Основний","Маржинальний","Сезонний","Стратегічний"},0),0.15,0.17,0.25,0.24,0.29)</f>
        <v/>
      </c>
      <c r="AM712" s="104">
        <f>CHOOSE(MATCH(IF($U712="","Основний",$U712),{"Трафіковий","Основний","Маржинальний","Сезонний","Стратегічний"},0),0.12,0.145,0.19,0.18,0.22)</f>
        <v/>
      </c>
      <c r="AN712" s="157">
        <f>CHOOSE(MATCH(IF($U712="","Основний",$U712),{"Трафіковий","Основний","Маржинальний","Сезонний","Стратегічний"},0),Settings!$B$78,Settings!$B$80,Settings!$B$82,Settings!$B$84,Settings!$B$86)</f>
        <v/>
      </c>
      <c r="AO712" s="157">
        <f>CHOOSE(MATCH(IF($U712="","Основний",$U712),{"Трафіковий","Основний","Маржинальний","Сезонний","Стратегічний"},0),Settings!$C$78,Settings!$C$80,Settings!$C$82,Settings!$C$84,Settings!$C$86)</f>
        <v/>
      </c>
      <c r="AP712" s="157">
        <f>CHOOSE(MATCH(IF($U712="","Основний",$U712),{"Трафіковий","Основний","Маржинальний","Сезонний","Стратегічний"},0),Settings!$D$78,Settings!$D$80,Settings!$D$82,Settings!$D$84,Settings!$D$86)</f>
        <v/>
      </c>
      <c r="AQ712" s="157">
        <f>CHOOSE(MATCH(IF($U712="","Основний",$U712),{"Трафіковий","Основний","Маржинальний","Сезонний","Стратегічний"},0),Settings!$F$78,Settings!$F$80,Settings!$F$82,Settings!$F$84,Settings!$F$86)</f>
        <v/>
      </c>
      <c r="AR712" s="157">
        <f>CHOOSE(MATCH(IF($U712="","Основний",$U712),{"Трафіковий","Основний","Маржинальний","Сезонний","Стратегічний"},0),Settings!$G$78,Settings!$G$80,Settings!$G$82,Settings!$G$84,Settings!$G$86)</f>
        <v/>
      </c>
      <c r="AS712" s="157">
        <f>CHOOSE(MATCH(IF($U712="","Основний",$U712),{"Трафіковий","Основний","Маржинальний","Сезонний","Стратегічний"},0),Settings!$H$78,Settings!$H$80,Settings!$H$82,Settings!$H$84,Settings!$H$86)</f>
        <v/>
      </c>
      <c r="AT712" s="157">
        <f>CHOOSE(MATCH(IF($U712="","Основний",$U712),{"Трафіковий","Основний","Маржинальний","Сезонний","Стратегічний"},0),Settings!$I$78,Settings!$I$80,Settings!$I$82,Settings!$I$84,Settings!$I$86)</f>
        <v/>
      </c>
      <c r="AU712" s="171" t="n"/>
      <c r="AV712" t="n">
        <v>1.37</v>
      </c>
    </row>
    <row r="713">
      <c r="A713" s="33" t="n"/>
      <c r="B713" s="34" t="inlineStr">
        <is>
          <t>H6901</t>
        </is>
      </c>
      <c r="C713" s="34" t="inlineStr">
        <is>
          <t>FILTER KIT FOR WATER FOUNTAINS PET-901</t>
        </is>
      </c>
      <c r="D713" s="34" t="inlineStr">
        <is>
          <t>Годівниці та поїлки для тварин</t>
        </is>
      </c>
      <c r="E713" s="33" t="inlineStr">
        <is>
          <t>PC</t>
        </is>
      </c>
      <c r="F713" s="94" t="n">
        <v>2.822</v>
      </c>
      <c r="G713" s="35" t="n">
        <v>8509900000</v>
      </c>
      <c r="H713" s="31" t="n">
        <v>1.4</v>
      </c>
      <c r="I713" s="84">
        <f>IFERROR(F713*Settings!$B$2*H713*IF(AND(ISNUMBER(E713),E713&gt;1),E713,1),"")</f>
        <v/>
      </c>
      <c r="J713" s="32">
        <f>Settings!$B$66</f>
        <v/>
      </c>
      <c r="K713" s="95">
        <f>IFERROR(IF(T713="","",(T713*(1-AN713)*(1-Settings!$B$17)-I713)/(T713*(1-AN713)*(1-Settings!$B$17))),"")</f>
        <v/>
      </c>
      <c r="L713" s="101">
        <f>IFERROR(IF(T713="","",(T713*(1-AO713)*(1-Settings!$C$17)-I713)/(T713*(1-AO713)*(1-Settings!$C$17))),"")</f>
        <v/>
      </c>
      <c r="M713" s="101">
        <f>IFERROR(IF(T713="","",(T713*(1-AP713)*(1-Settings!$D$17)-I713)/(T713*(1-AP713)*(1-Settings!$D$17))),"")</f>
        <v/>
      </c>
      <c r="N713" s="101">
        <f>IFERROR(IF(T713="","",(T713*(1-AQ713)*(1-Settings!$F$17)-I713)/(T713*(1-AQ713)*(1-Settings!$F$17))),"")</f>
        <v/>
      </c>
      <c r="O713" s="101">
        <f>IFERROR(IF(T713="","",(T713*(1-AR713)*(1-Settings!$G$17)-I713)/(T713*(1-AR713)*(1-Settings!$G$17))),"")</f>
        <v/>
      </c>
      <c r="P713" s="101">
        <f>IFERROR(IF(T713="","",(T713*(1-AS713)*(1-Settings!$H$17)-I713)/(T713*(1-AS713)*(1-Settings!$H$17))),"")</f>
        <v/>
      </c>
      <c r="Q713" s="101">
        <f>IFERROR(IF(T713="","",(T713*(1-AT713)*(1-Settings!$I$68)*(1-Settings!$I$17)-I713)/(T713*(1-AT713)*(1-Settings!$I$68)*(1-Settings!$I$17))),"")</f>
        <v/>
      </c>
      <c r="R713" s="91">
        <f>IFERROR(IF(OR(I713="",Z713&gt;=1,Settings!$B$17&gt;=1,AN713&gt;=1),"",IF(MOD(ROUND(I713/(1-Z713)/(1-Settings!$B$17)/(1-AN713),0),10)=0,ROUND(I713/(1-Z713)/(1-Settings!$B$17)/(1-AN713),0)-1,IF(MOD(ROUND(I713/(1-Z713)/(1-Settings!$B$17)/(1-AN713),0),10)&lt;=5,FLOOR(ROUND(I713/(1-Z713)/(1-Settings!$B$17)/(1-AN713),0),10)+6,FLOOR(ROUND(I713/(1-Z713)/(1-Settings!$B$17)/(1-AN713),0),10)+9))),"")</f>
        <v/>
      </c>
      <c r="S713" s="174" t="n"/>
      <c r="T713" s="91">
        <f>IF(S713&lt;&gt;"", IF(MOD(S713,10)=0,S713-1,IF(MOD(S713,10)&lt;=5,FLOOR(S713,10)+6,FLOOR(S713,10)+9)), R713)</f>
        <v/>
      </c>
      <c r="U713" s="87" t="inlineStr">
        <is>
          <t>Основний</t>
        </is>
      </c>
      <c r="V713" s="88" t="n"/>
      <c r="W713" s="88" t="n"/>
      <c r="X713" s="89">
        <f>IFERROR(IF(OR(V713="",W713="",T713=""),"", IF(T713&gt;W713,"Дорогий",IF(T713&lt;V713,"Дешевий","У ринку"))),"")</f>
        <v/>
      </c>
      <c r="Y713" s="90" t="n"/>
      <c r="Z713" s="104">
        <f>CHOOSE(MATCH(IF($U713="","Основний",$U713),{"Трафіковий","Основний","Маржинальний","Сезонний","Стратегічний"},0),0.16,0.19,0.24,0.23,0.28)</f>
        <v/>
      </c>
      <c r="AA713" s="104">
        <f>CHOOSE(MATCH(IF($U713="","Основний",$U713),{"Трафіковий","Основний","Маржинальний","Сезонний","Стратегічний"},0),0.18,0.21,0.26,0.25,0.3)</f>
        <v/>
      </c>
      <c r="AB713" s="104">
        <f>CHOOSE(MATCH(IF($U713="","Основний",$U713),{"Трафіковий","Основний","Маржинальний","Сезонний","Стратегічний"},0),0.19,0.22,0.28,0.26,0.32)</f>
        <v/>
      </c>
      <c r="AC713" s="104">
        <f>CHOOSE(MATCH(IF($U713="","Основний",$U713),{"Трафіковий","Основний","Маржинальний","Сезонний","Стратегічний"},0),0.17,0.2,0.25,0.24,0.28)</f>
        <v/>
      </c>
      <c r="AD713" s="104">
        <f>CHOOSE(MATCH(IF($U713="","Основний",$U713),{"Трафіковий","Основний","Маржинальний","Сезонний","Стратегічний"},0),0.18,0.21,0.26,0.25,0.3)</f>
        <v/>
      </c>
      <c r="AE713" s="104">
        <f>CHOOSE(MATCH(IF($U713="","Основний",$U713),{"Трафіковий","Основний","Маржинальний","Сезонний","Стратегічний"},0),0.18,0.2,0.28,0.27,0.32)</f>
        <v/>
      </c>
      <c r="AF713" s="104">
        <f>CHOOSE(MATCH(IF($U713="","Основний",$U713),{"Трафіковий","Основний","Маржинальний","Сезонний","Стратегічний"},0),0.15,0.175,0.22,0.21,0.25)</f>
        <v/>
      </c>
      <c r="AG713" s="104">
        <f>CHOOSE(MATCH(IF($U713="","Основний",$U713),{"Трафіковий","Основний","Маржинальний","Сезонний","Стратегічний"},0),0.13,0.16,0.21,0.2,0.25)</f>
        <v/>
      </c>
      <c r="AH713" s="104">
        <f>CHOOSE(MATCH(IF($U713="","Основний",$U713),{"Трафіковий","Основний","Маржинальний","Сезонний","Стратегічний"},0),0.15,0.18,0.23,0.22,0.27)</f>
        <v/>
      </c>
      <c r="AI713" s="104">
        <f>CHOOSE(MATCH(IF($U713="","Основний",$U713),{"Трафіковий","Основний","Маржинальний","Сезонний","Стратегічний"},0),0.16,0.19,0.25,0.23,0.29)</f>
        <v/>
      </c>
      <c r="AJ713" s="104">
        <f>CHOOSE(MATCH(IF($U713="","Основний",$U713),{"Трафіковий","Основний","Маржинальний","Сезонний","Стратегічний"},0),0.14,0.17,0.22,0.21,0.25)</f>
        <v/>
      </c>
      <c r="AK713" s="104">
        <f>CHOOSE(MATCH(IF($U713="","Основний",$U713),{"Трафіковий","Основний","Маржинальний","Сезонний","Стратегічний"},0),0.15,0.18,0.23,0.22,0.27)</f>
        <v/>
      </c>
      <c r="AL713" s="104">
        <f>CHOOSE(MATCH(IF($U713="","Основний",$U713),{"Трафіковий","Основний","Маржинальний","Сезонний","Стратегічний"},0),0.15,0.17,0.25,0.24,0.29)</f>
        <v/>
      </c>
      <c r="AM713" s="104">
        <f>CHOOSE(MATCH(IF($U713="","Основний",$U713),{"Трафіковий","Основний","Маржинальний","Сезонний","Стратегічний"},0),0.12,0.145,0.19,0.18,0.22)</f>
        <v/>
      </c>
      <c r="AN713" s="157">
        <f>CHOOSE(MATCH(IF($U713="","Основний",$U713),{"Трафіковий","Основний","Маржинальний","Сезонний","Стратегічний"},0),Settings!$B$78,Settings!$B$80,Settings!$B$82,Settings!$B$84,Settings!$B$86)</f>
        <v/>
      </c>
      <c r="AO713" s="157">
        <f>CHOOSE(MATCH(IF($U713="","Основний",$U713),{"Трафіковий","Основний","Маржинальний","Сезонний","Стратегічний"},0),Settings!$C$78,Settings!$C$80,Settings!$C$82,Settings!$C$84,Settings!$C$86)</f>
        <v/>
      </c>
      <c r="AP713" s="157">
        <f>CHOOSE(MATCH(IF($U713="","Основний",$U713),{"Трафіковий","Основний","Маржинальний","Сезонний","Стратегічний"},0),Settings!$D$78,Settings!$D$80,Settings!$D$82,Settings!$D$84,Settings!$D$86)</f>
        <v/>
      </c>
      <c r="AQ713" s="157">
        <f>CHOOSE(MATCH(IF($U713="","Основний",$U713),{"Трафіковий","Основний","Маржинальний","Сезонний","Стратегічний"},0),Settings!$F$78,Settings!$F$80,Settings!$F$82,Settings!$F$84,Settings!$F$86)</f>
        <v/>
      </c>
      <c r="AR713" s="157">
        <f>CHOOSE(MATCH(IF($U713="","Основний",$U713),{"Трафіковий","Основний","Маржинальний","Сезонний","Стратегічний"},0),Settings!$G$78,Settings!$G$80,Settings!$G$82,Settings!$G$84,Settings!$G$86)</f>
        <v/>
      </c>
      <c r="AS713" s="157">
        <f>CHOOSE(MATCH(IF($U713="","Основний",$U713),{"Трафіковий","Основний","Маржинальний","Сезонний","Стратегічний"},0),Settings!$H$78,Settings!$H$80,Settings!$H$82,Settings!$H$84,Settings!$H$86)</f>
        <v/>
      </c>
      <c r="AT713" s="157">
        <f>CHOOSE(MATCH(IF($U713="","Основний",$U713),{"Трафіковий","Основний","Маржинальний","Сезонний","Стратегічний"},0),Settings!$I$78,Settings!$I$80,Settings!$I$82,Settings!$I$84,Settings!$I$86)</f>
        <v/>
      </c>
      <c r="AU713" s="171" t="n"/>
      <c r="AV713" t="n">
        <v>1.37</v>
      </c>
    </row>
    <row r="714">
      <c r="A714" s="28" t="n"/>
      <c r="B714" s="29" t="inlineStr">
        <is>
          <t>H6902</t>
        </is>
      </c>
      <c r="C714" s="29" t="inlineStr">
        <is>
          <t>WATER PUMP FOR H6101</t>
        </is>
      </c>
      <c r="D714" s="29" t="inlineStr">
        <is>
          <t>Годівниці та поїлки для тварин</t>
        </is>
      </c>
      <c r="E714" s="28" t="inlineStr">
        <is>
          <t>PC</t>
        </is>
      </c>
      <c r="F714" s="93" t="n">
        <v>4.037</v>
      </c>
      <c r="G714" s="30" t="n">
        <v>8509900000</v>
      </c>
      <c r="H714" s="31" t="n">
        <v>1.4</v>
      </c>
      <c r="I714" s="84">
        <f>IFERROR(F714*Settings!$B$2*H714*IF(AND(ISNUMBER(E714),E714&gt;1),E714,1),"")</f>
        <v/>
      </c>
      <c r="J714" s="32">
        <f>Settings!$B$66</f>
        <v/>
      </c>
      <c r="K714" s="95">
        <f>IFERROR(IF(T714="","",(T714*(1-AN714)*(1-Settings!$B$17)-I714)/(T714*(1-AN714)*(1-Settings!$B$17))),"")</f>
        <v/>
      </c>
      <c r="L714" s="101">
        <f>IFERROR(IF(T714="","",(T714*(1-AO714)*(1-Settings!$C$17)-I714)/(T714*(1-AO714)*(1-Settings!$C$17))),"")</f>
        <v/>
      </c>
      <c r="M714" s="101">
        <f>IFERROR(IF(T714="","",(T714*(1-AP714)*(1-Settings!$D$17)-I714)/(T714*(1-AP714)*(1-Settings!$D$17))),"")</f>
        <v/>
      </c>
      <c r="N714" s="101">
        <f>IFERROR(IF(T714="","",(T714*(1-AQ714)*(1-Settings!$F$17)-I714)/(T714*(1-AQ714)*(1-Settings!$F$17))),"")</f>
        <v/>
      </c>
      <c r="O714" s="101">
        <f>IFERROR(IF(T714="","",(T714*(1-AR714)*(1-Settings!$G$17)-I714)/(T714*(1-AR714)*(1-Settings!$G$17))),"")</f>
        <v/>
      </c>
      <c r="P714" s="101">
        <f>IFERROR(IF(T714="","",(T714*(1-AS714)*(1-Settings!$H$17)-I714)/(T714*(1-AS714)*(1-Settings!$H$17))),"")</f>
        <v/>
      </c>
      <c r="Q714" s="101">
        <f>IFERROR(IF(T714="","",(T714*(1-AT714)*(1-Settings!$I$68)*(1-Settings!$I$17)-I714)/(T714*(1-AT714)*(1-Settings!$I$68)*(1-Settings!$I$17))),"")</f>
        <v/>
      </c>
      <c r="R714" s="91">
        <f>IFERROR(IF(OR(I714="",Z714&gt;=1,Settings!$B$17&gt;=1,AN714&gt;=1),"",IF(MOD(ROUND(I714/(1-Z714)/(1-Settings!$B$17)/(1-AN714),0),10)=0,ROUND(I714/(1-Z714)/(1-Settings!$B$17)/(1-AN714),0)-1,IF(MOD(ROUND(I714/(1-Z714)/(1-Settings!$B$17)/(1-AN714),0),10)&lt;=5,FLOOR(ROUND(I714/(1-Z714)/(1-Settings!$B$17)/(1-AN714),0),10)+6,FLOOR(ROUND(I714/(1-Z714)/(1-Settings!$B$17)/(1-AN714),0),10)+9))),"")</f>
        <v/>
      </c>
      <c r="S714" s="174">
        <f>R714*0.95</f>
        <v/>
      </c>
      <c r="T714" s="91">
        <f>IF(S714&lt;&gt;"", IF(MOD(S714,10)=0,S714-1,IF(MOD(S714,10)&lt;=5,FLOOR(S714,10)+6,FLOOR(S714,10)+9)), R714)</f>
        <v/>
      </c>
      <c r="U714" s="87" t="inlineStr">
        <is>
          <t>Основний</t>
        </is>
      </c>
      <c r="V714" s="88" t="n"/>
      <c r="W714" s="88" t="n"/>
      <c r="X714" s="89">
        <f>IFERROR(IF(OR(V714="",W714="",T714=""),"", IF(T714&gt;W714,"Дорогий",IF(T714&lt;V714,"Дешевий","У ринку"))),"")</f>
        <v/>
      </c>
      <c r="Y714" s="90" t="n"/>
      <c r="Z714" s="104">
        <f>CHOOSE(MATCH(IF($U714="","Основний",$U714),{"Трафіковий","Основний","Маржинальний","Сезонний","Стратегічний"},0),0.16,0.19,0.24,0.23,0.28)</f>
        <v/>
      </c>
      <c r="AA714" s="104">
        <f>CHOOSE(MATCH(IF($U714="","Основний",$U714),{"Трафіковий","Основний","Маржинальний","Сезонний","Стратегічний"},0),0.18,0.21,0.26,0.25,0.3)</f>
        <v/>
      </c>
      <c r="AB714" s="104">
        <f>CHOOSE(MATCH(IF($U714="","Основний",$U714),{"Трафіковий","Основний","Маржинальний","Сезонний","Стратегічний"},0),0.19,0.22,0.28,0.26,0.32)</f>
        <v/>
      </c>
      <c r="AC714" s="104">
        <f>CHOOSE(MATCH(IF($U714="","Основний",$U714),{"Трафіковий","Основний","Маржинальний","Сезонний","Стратегічний"},0),0.17,0.2,0.25,0.24,0.28)</f>
        <v/>
      </c>
      <c r="AD714" s="104">
        <f>CHOOSE(MATCH(IF($U714="","Основний",$U714),{"Трафіковий","Основний","Маржинальний","Сезонний","Стратегічний"},0),0.18,0.21,0.26,0.25,0.3)</f>
        <v/>
      </c>
      <c r="AE714" s="104">
        <f>CHOOSE(MATCH(IF($U714="","Основний",$U714),{"Трафіковий","Основний","Маржинальний","Сезонний","Стратегічний"},0),0.18,0.2,0.28,0.27,0.32)</f>
        <v/>
      </c>
      <c r="AF714" s="104">
        <f>CHOOSE(MATCH(IF($U714="","Основний",$U714),{"Трафіковий","Основний","Маржинальний","Сезонний","Стратегічний"},0),0.15,0.175,0.22,0.21,0.25)</f>
        <v/>
      </c>
      <c r="AG714" s="104">
        <f>CHOOSE(MATCH(IF($U714="","Основний",$U714),{"Трафіковий","Основний","Маржинальний","Сезонний","Стратегічний"},0),0.13,0.16,0.21,0.2,0.25)</f>
        <v/>
      </c>
      <c r="AH714" s="104">
        <f>CHOOSE(MATCH(IF($U714="","Основний",$U714),{"Трафіковий","Основний","Маржинальний","Сезонний","Стратегічний"},0),0.15,0.18,0.23,0.22,0.27)</f>
        <v/>
      </c>
      <c r="AI714" s="104">
        <f>CHOOSE(MATCH(IF($U714="","Основний",$U714),{"Трафіковий","Основний","Маржинальний","Сезонний","Стратегічний"},0),0.16,0.19,0.25,0.23,0.29)</f>
        <v/>
      </c>
      <c r="AJ714" s="104">
        <f>CHOOSE(MATCH(IF($U714="","Основний",$U714),{"Трафіковий","Основний","Маржинальний","Сезонний","Стратегічний"},0),0.14,0.17,0.22,0.21,0.25)</f>
        <v/>
      </c>
      <c r="AK714" s="104">
        <f>CHOOSE(MATCH(IF($U714="","Основний",$U714),{"Трафіковий","Основний","Маржинальний","Сезонний","Стратегічний"},0),0.15,0.18,0.23,0.22,0.27)</f>
        <v/>
      </c>
      <c r="AL714" s="104">
        <f>CHOOSE(MATCH(IF($U714="","Основний",$U714),{"Трафіковий","Основний","Маржинальний","Сезонний","Стратегічний"},0),0.15,0.17,0.25,0.24,0.29)</f>
        <v/>
      </c>
      <c r="AM714" s="104">
        <f>CHOOSE(MATCH(IF($U714="","Основний",$U714),{"Трафіковий","Основний","Маржинальний","Сезонний","Стратегічний"},0),0.12,0.145,0.19,0.18,0.22)</f>
        <v/>
      </c>
      <c r="AN714" s="157">
        <f>CHOOSE(MATCH(IF($U714="","Основний",$U714),{"Трафіковий","Основний","Маржинальний","Сезонний","Стратегічний"},0),Settings!$B$78,Settings!$B$80,Settings!$B$82,Settings!$B$84,Settings!$B$86)</f>
        <v/>
      </c>
      <c r="AO714" s="157">
        <f>CHOOSE(MATCH(IF($U714="","Основний",$U714),{"Трафіковий","Основний","Маржинальний","Сезонний","Стратегічний"},0),Settings!$C$78,Settings!$C$80,Settings!$C$82,Settings!$C$84,Settings!$C$86)</f>
        <v/>
      </c>
      <c r="AP714" s="157">
        <f>CHOOSE(MATCH(IF($U714="","Основний",$U714),{"Трафіковий","Основний","Маржинальний","Сезонний","Стратегічний"},0),Settings!$D$78,Settings!$D$80,Settings!$D$82,Settings!$D$84,Settings!$D$86)</f>
        <v/>
      </c>
      <c r="AQ714" s="157">
        <f>CHOOSE(MATCH(IF($U714="","Основний",$U714),{"Трафіковий","Основний","Маржинальний","Сезонний","Стратегічний"},0),Settings!$F$78,Settings!$F$80,Settings!$F$82,Settings!$F$84,Settings!$F$86)</f>
        <v/>
      </c>
      <c r="AR714" s="157">
        <f>CHOOSE(MATCH(IF($U714="","Основний",$U714),{"Трафіковий","Основний","Маржинальний","Сезонний","Стратегічний"},0),Settings!$G$78,Settings!$G$80,Settings!$G$82,Settings!$G$84,Settings!$G$86)</f>
        <v/>
      </c>
      <c r="AS714" s="157">
        <f>CHOOSE(MATCH(IF($U714="","Основний",$U714),{"Трафіковий","Основний","Маржинальний","Сезонний","Стратегічний"},0),Settings!$H$78,Settings!$H$80,Settings!$H$82,Settings!$H$84,Settings!$H$86)</f>
        <v/>
      </c>
      <c r="AT714" s="157">
        <f>CHOOSE(MATCH(IF($U714="","Основний",$U714),{"Трафіковий","Основний","Маржинальний","Сезонний","Стратегічний"},0),Settings!$I$78,Settings!$I$80,Settings!$I$82,Settings!$I$84,Settings!$I$86)</f>
        <v/>
      </c>
      <c r="AU714" s="171" t="n"/>
      <c r="AV714" t="n">
        <v>1.37</v>
      </c>
    </row>
    <row r="715">
      <c r="A715" s="33" t="n"/>
      <c r="B715" s="34" t="inlineStr">
        <is>
          <t>H6903</t>
        </is>
      </c>
      <c r="C715" s="34" t="inlineStr">
        <is>
          <t>WATER PUMP FOR GOSMART FOUNTAIN</t>
        </is>
      </c>
      <c r="D715" s="34" t="inlineStr">
        <is>
          <t>Годівниці та поїлки для тварин</t>
        </is>
      </c>
      <c r="E715" s="33" t="inlineStr">
        <is>
          <t>PC</t>
        </is>
      </c>
      <c r="F715" s="94" t="n">
        <v>7.254</v>
      </c>
      <c r="G715" s="35" t="n">
        <v>8509900000</v>
      </c>
      <c r="H715" s="31" t="n">
        <v>1.4</v>
      </c>
      <c r="I715" s="84">
        <f>IFERROR(F715*Settings!$B$2*H715*IF(AND(ISNUMBER(E715),E715&gt;1),E715,1),"")</f>
        <v/>
      </c>
      <c r="J715" s="32">
        <f>Settings!$B$66</f>
        <v/>
      </c>
      <c r="K715" s="95">
        <f>IFERROR(IF(T715="","",(T715*(1-AN715)*(1-Settings!$B$17)-I715)/(T715*(1-AN715)*(1-Settings!$B$17))),"")</f>
        <v/>
      </c>
      <c r="L715" s="101">
        <f>IFERROR(IF(T715="","",(T715*(1-AO715)*(1-Settings!$C$17)-I715)/(T715*(1-AO715)*(1-Settings!$C$17))),"")</f>
        <v/>
      </c>
      <c r="M715" s="101">
        <f>IFERROR(IF(T715="","",(T715*(1-AP715)*(1-Settings!$D$17)-I715)/(T715*(1-AP715)*(1-Settings!$D$17))),"")</f>
        <v/>
      </c>
      <c r="N715" s="101">
        <f>IFERROR(IF(T715="","",(T715*(1-AQ715)*(1-Settings!$F$17)-I715)/(T715*(1-AQ715)*(1-Settings!$F$17))),"")</f>
        <v/>
      </c>
      <c r="O715" s="101">
        <f>IFERROR(IF(T715="","",(T715*(1-AR715)*(1-Settings!$G$17)-I715)/(T715*(1-AR715)*(1-Settings!$G$17))),"")</f>
        <v/>
      </c>
      <c r="P715" s="101">
        <f>IFERROR(IF(T715="","",(T715*(1-AS715)*(1-Settings!$H$17)-I715)/(T715*(1-AS715)*(1-Settings!$H$17))),"")</f>
        <v/>
      </c>
      <c r="Q715" s="101">
        <f>IFERROR(IF(T715="","",(T715*(1-AT715)*(1-Settings!$I$68)*(1-Settings!$I$17)-I715)/(T715*(1-AT715)*(1-Settings!$I$68)*(1-Settings!$I$17))),"")</f>
        <v/>
      </c>
      <c r="R715" s="91">
        <f>IFERROR(IF(OR(I715="",Z715&gt;=1,Settings!$B$17&gt;=1,AN715&gt;=1),"",IF(MOD(ROUND(I715/(1-Z715)/(1-Settings!$B$17)/(1-AN715),0),10)=0,ROUND(I715/(1-Z715)/(1-Settings!$B$17)/(1-AN715),0)-1,IF(MOD(ROUND(I715/(1-Z715)/(1-Settings!$B$17)/(1-AN715),0),10)&lt;=5,FLOOR(ROUND(I715/(1-Z715)/(1-Settings!$B$17)/(1-AN715),0),10)+6,FLOOR(ROUND(I715/(1-Z715)/(1-Settings!$B$17)/(1-AN715),0),10)+9))),"")</f>
        <v/>
      </c>
      <c r="S715" s="174">
        <f>R715*0.95</f>
        <v/>
      </c>
      <c r="T715" s="91">
        <f>IF(S715&lt;&gt;"", IF(MOD(S715,10)=0,S715-1,IF(MOD(S715,10)&lt;=5,FLOOR(S715,10)+6,FLOOR(S715,10)+9)), R715)</f>
        <v/>
      </c>
      <c r="U715" s="87" t="inlineStr">
        <is>
          <t>Основний</t>
        </is>
      </c>
      <c r="V715" s="88" t="n"/>
      <c r="W715" s="88" t="n"/>
      <c r="X715" s="89">
        <f>IFERROR(IF(OR(V715="",W715="",T715=""),"", IF(T715&gt;W715,"Дорогий",IF(T715&lt;V715,"Дешевий","У ринку"))),"")</f>
        <v/>
      </c>
      <c r="Y715" s="90" t="n"/>
      <c r="Z715" s="104">
        <f>CHOOSE(MATCH(IF($U715="","Основний",$U715),{"Трафіковий","Основний","Маржинальний","Сезонний","Стратегічний"},0),0.16,0.19,0.24,0.23,0.28)</f>
        <v/>
      </c>
      <c r="AA715" s="104">
        <f>CHOOSE(MATCH(IF($U715="","Основний",$U715),{"Трафіковий","Основний","Маржинальний","Сезонний","Стратегічний"},0),0.18,0.21,0.26,0.25,0.3)</f>
        <v/>
      </c>
      <c r="AB715" s="104">
        <f>CHOOSE(MATCH(IF($U715="","Основний",$U715),{"Трафіковий","Основний","Маржинальний","Сезонний","Стратегічний"},0),0.19,0.22,0.28,0.26,0.32)</f>
        <v/>
      </c>
      <c r="AC715" s="104">
        <f>CHOOSE(MATCH(IF($U715="","Основний",$U715),{"Трафіковий","Основний","Маржинальний","Сезонний","Стратегічний"},0),0.17,0.2,0.25,0.24,0.28)</f>
        <v/>
      </c>
      <c r="AD715" s="104">
        <f>CHOOSE(MATCH(IF($U715="","Основний",$U715),{"Трафіковий","Основний","Маржинальний","Сезонний","Стратегічний"},0),0.18,0.21,0.26,0.25,0.3)</f>
        <v/>
      </c>
      <c r="AE715" s="104">
        <f>CHOOSE(MATCH(IF($U715="","Основний",$U715),{"Трафіковий","Основний","Маржинальний","Сезонний","Стратегічний"},0),0.18,0.2,0.28,0.27,0.32)</f>
        <v/>
      </c>
      <c r="AF715" s="104">
        <f>CHOOSE(MATCH(IF($U715="","Основний",$U715),{"Трафіковий","Основний","Маржинальний","Сезонний","Стратегічний"},0),0.15,0.175,0.22,0.21,0.25)</f>
        <v/>
      </c>
      <c r="AG715" s="104">
        <f>CHOOSE(MATCH(IF($U715="","Основний",$U715),{"Трафіковий","Основний","Маржинальний","Сезонний","Стратегічний"},0),0.13,0.16,0.21,0.2,0.25)</f>
        <v/>
      </c>
      <c r="AH715" s="104">
        <f>CHOOSE(MATCH(IF($U715="","Основний",$U715),{"Трафіковий","Основний","Маржинальний","Сезонний","Стратегічний"},0),0.15,0.18,0.23,0.22,0.27)</f>
        <v/>
      </c>
      <c r="AI715" s="104">
        <f>CHOOSE(MATCH(IF($U715="","Основний",$U715),{"Трафіковий","Основний","Маржинальний","Сезонний","Стратегічний"},0),0.16,0.19,0.25,0.23,0.29)</f>
        <v/>
      </c>
      <c r="AJ715" s="104">
        <f>CHOOSE(MATCH(IF($U715="","Основний",$U715),{"Трафіковий","Основний","Маржинальний","Сезонний","Стратегічний"},0),0.14,0.17,0.22,0.21,0.25)</f>
        <v/>
      </c>
      <c r="AK715" s="104">
        <f>CHOOSE(MATCH(IF($U715="","Основний",$U715),{"Трафіковий","Основний","Маржинальний","Сезонний","Стратегічний"},0),0.15,0.18,0.23,0.22,0.27)</f>
        <v/>
      </c>
      <c r="AL715" s="104">
        <f>CHOOSE(MATCH(IF($U715="","Основний",$U715),{"Трафіковий","Основний","Маржинальний","Сезонний","Стратегічний"},0),0.15,0.17,0.25,0.24,0.29)</f>
        <v/>
      </c>
      <c r="AM715" s="104">
        <f>CHOOSE(MATCH(IF($U715="","Основний",$U715),{"Трафіковий","Основний","Маржинальний","Сезонний","Стратегічний"},0),0.12,0.145,0.19,0.18,0.22)</f>
        <v/>
      </c>
      <c r="AN715" s="157">
        <f>CHOOSE(MATCH(IF($U715="","Основний",$U715),{"Трафіковий","Основний","Маржинальний","Сезонний","Стратегічний"},0),Settings!$B$78,Settings!$B$80,Settings!$B$82,Settings!$B$84,Settings!$B$86)</f>
        <v/>
      </c>
      <c r="AO715" s="157">
        <f>CHOOSE(MATCH(IF($U715="","Основний",$U715),{"Трафіковий","Основний","Маржинальний","Сезонний","Стратегічний"},0),Settings!$C$78,Settings!$C$80,Settings!$C$82,Settings!$C$84,Settings!$C$86)</f>
        <v/>
      </c>
      <c r="AP715" s="157">
        <f>CHOOSE(MATCH(IF($U715="","Основний",$U715),{"Трафіковий","Основний","Маржинальний","Сезонний","Стратегічний"},0),Settings!$D$78,Settings!$D$80,Settings!$D$82,Settings!$D$84,Settings!$D$86)</f>
        <v/>
      </c>
      <c r="AQ715" s="157">
        <f>CHOOSE(MATCH(IF($U715="","Основний",$U715),{"Трафіковий","Основний","Маржинальний","Сезонний","Стратегічний"},0),Settings!$F$78,Settings!$F$80,Settings!$F$82,Settings!$F$84,Settings!$F$86)</f>
        <v/>
      </c>
      <c r="AR715" s="157">
        <f>CHOOSE(MATCH(IF($U715="","Основний",$U715),{"Трафіковий","Основний","Маржинальний","Сезонний","Стратегічний"},0),Settings!$G$78,Settings!$G$80,Settings!$G$82,Settings!$G$84,Settings!$G$86)</f>
        <v/>
      </c>
      <c r="AS715" s="157">
        <f>CHOOSE(MATCH(IF($U715="","Основний",$U715),{"Трафіковий","Основний","Маржинальний","Сезонний","Стратегічний"},0),Settings!$H$78,Settings!$H$80,Settings!$H$82,Settings!$H$84,Settings!$H$86)</f>
        <v/>
      </c>
      <c r="AT715" s="157">
        <f>CHOOSE(MATCH(IF($U715="","Основний",$U715),{"Трафіковий","Основний","Маржинальний","Сезонний","Стратегічний"},0),Settings!$I$78,Settings!$I$80,Settings!$I$82,Settings!$I$84,Settings!$I$86)</f>
        <v/>
      </c>
      <c r="AU715" s="171" t="n"/>
      <c r="AV715" t="n">
        <v>1.37</v>
      </c>
    </row>
  </sheetData>
  <autoFilter ref="A1:S715"/>
  <conditionalFormatting sqref="K2:Q715">
    <cfRule type="expression" priority="27" dxfId="0">
      <formula>AND(K2&lt;&gt;"",K2&lt;AG2)</formula>
    </cfRule>
    <cfRule type="expression" priority="28" dxfId="2">
      <formula>AND(K2&lt;&gt;"",K2&gt;=Z2)</formula>
    </cfRule>
    <cfRule type="expression" priority="29" dxfId="1">
      <formula>AND(K2&lt;&gt;"",K2&gt;=AG2)</formula>
    </cfRule>
  </conditionalFormatting>
  <conditionalFormatting sqref="U2:U715">
    <cfRule type="expression" priority="9" dxfId="21">
      <formula>$U2="Трафіковий"</formula>
    </cfRule>
    <cfRule type="expression" priority="10" dxfId="36">
      <formula>$U2="Основний"</formula>
    </cfRule>
    <cfRule type="expression" priority="11" dxfId="35">
      <formula>$U2="Маржинальний"</formula>
    </cfRule>
    <cfRule type="expression" priority="12" dxfId="34">
      <formula>$U2="Сезонний"</formula>
    </cfRule>
    <cfRule type="expression" priority="13" dxfId="38">
      <formula>$U2="Стратегічний"</formula>
    </cfRule>
    <cfRule type="expression" priority="48" dxfId="37">
      <formula>$U2="Трафіковий"</formula>
    </cfRule>
    <cfRule type="expression" priority="48" dxfId="36">
      <formula>$U2="Основний"</formula>
    </cfRule>
    <cfRule type="expression" priority="48" dxfId="35">
      <formula>$U2="Маржинальний"</formula>
    </cfRule>
    <cfRule type="expression" priority="48" dxfId="34">
      <formula>$U2="Сезонний"</formula>
    </cfRule>
  </conditionalFormatting>
  <conditionalFormatting sqref="V2:W715">
    <cfRule type="expression" priority="49" dxfId="33">
      <formula>OR($AU2="",(TODAY()-$AU2)&gt;90)</formula>
    </cfRule>
  </conditionalFormatting>
  <conditionalFormatting sqref="AU2:AU715">
    <cfRule type="expression" priority="14" dxfId="32">
      <formula>AND(AU2&lt;&gt;"",TODAY()-AU2&gt;90)</formula>
    </cfRule>
    <cfRule type="expression" priority="15" dxfId="31">
      <formula>AND(AU2&lt;&gt;"",TODAY()-AU2&lt;=90)</formula>
    </cfRule>
  </conditionalFormatting>
  <dataValidations count="1">
    <dataValidation sqref="U2:U715" showDropDown="0" showInputMessage="0" showErrorMessage="1" allowBlank="0" errorTitle="Невірна роль SKU" error="Оберіть роль зі списку" type="list">
      <formula1>"Трафіковий,Основний,Маржинальний,Сезонний,Стратегічний"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9"/>
  <sheetViews>
    <sheetView zoomScale="110" zoomScaleNormal="110" workbookViewId="0">
      <pane xSplit="1" ySplit="9" topLeftCell="B62" activePane="bottomRight" state="frozen"/>
      <selection pane="topRight" activeCell="A1" sqref="A1"/>
      <selection pane="bottomLeft" activeCell="A1" sqref="A1"/>
      <selection pane="bottomRight" activeCell="B84" sqref="B84"/>
    </sheetView>
  </sheetViews>
  <sheetFormatPr baseColWidth="10" defaultColWidth="8.83203125" defaultRowHeight="15"/>
  <cols>
    <col width="38.33203125" bestFit="1" customWidth="1" style="179" min="1" max="1"/>
    <col width="11" customWidth="1" style="179" min="2" max="8"/>
    <col width="1" customWidth="1" style="179" min="9" max="9"/>
    <col width="12" customWidth="1" style="179" min="10" max="10"/>
    <col width="11" customWidth="1" style="179" min="11" max="11"/>
  </cols>
  <sheetData>
    <row r="1" ht="20" customHeight="1" s="179">
      <c r="A1" s="176" t="inlineStr">
        <is>
          <t>ГЛОБАЛЬНІ ПАРАМЕТРИ</t>
        </is>
      </c>
      <c r="B1" s="177" t="n"/>
      <c r="C1" s="177" t="n"/>
      <c r="D1" s="177" t="n"/>
      <c r="F1" s="177" t="n"/>
      <c r="G1" s="177" t="n"/>
      <c r="H1" s="177" t="n"/>
      <c r="I1" s="177" t="n"/>
    </row>
    <row r="2" ht="15" customHeight="1" s="179">
      <c r="A2" s="7" t="inlineStr">
        <is>
          <t>Курс USD/UAH</t>
        </is>
      </c>
      <c r="B2" s="25" t="n">
        <v>45</v>
      </c>
      <c r="C2" s="4" t="n"/>
      <c r="D2" s="4" t="n"/>
      <c r="F2" s="4" t="n"/>
      <c r="G2" s="4" t="n"/>
      <c r="H2" s="4" t="n"/>
      <c r="I2" s="4" t="n"/>
    </row>
    <row r="3" ht="15" customHeight="1" s="179">
      <c r="A3" s="7" t="inlineStr">
        <is>
          <t>Ставка фінансування % / рік</t>
        </is>
      </c>
      <c r="B3" s="26" t="n">
        <v>0.18</v>
      </c>
      <c r="C3" s="4" t="n"/>
      <c r="D3" s="4" t="n"/>
      <c r="F3" s="4" t="n"/>
      <c r="G3" s="4" t="n"/>
      <c r="H3" s="4" t="n"/>
      <c r="I3" s="4" t="n"/>
    </row>
    <row r="4" ht="15" customHeight="1" s="179">
      <c r="A4" s="7" t="inlineStr">
        <is>
          <t>Операційні витрати %</t>
        </is>
      </c>
      <c r="B4" s="26" t="n">
        <v>0.1</v>
      </c>
      <c r="C4" s="4" t="n"/>
      <c r="D4" s="4" t="n"/>
      <c r="F4" s="4" t="n"/>
      <c r="G4" s="4" t="n"/>
      <c r="H4" s="4" t="n"/>
      <c r="I4" s="4" t="n"/>
    </row>
    <row r="5" ht="15" customHeight="1" s="179">
      <c r="A5" s="7" t="inlineStr">
        <is>
          <t>Цільовий прибуток %</t>
        </is>
      </c>
      <c r="B5" s="26" t="n">
        <v>0.1</v>
      </c>
      <c r="C5" s="4" t="n"/>
      <c r="D5" s="4" t="n"/>
      <c r="F5" s="4" t="n"/>
      <c r="G5" s="4" t="n"/>
      <c r="H5" s="4" t="n"/>
      <c r="I5" s="4" t="n"/>
    </row>
    <row r="6" ht="15" customHeight="1" s="179">
      <c r="A6" s="7" t="inlineStr">
        <is>
          <t>Маржа клієнта D1 (48% markup → 32.4% margin)</t>
        </is>
      </c>
      <c r="B6" s="26" t="n">
        <v>0.3243243243243243</v>
      </c>
      <c r="C6" s="4" t="n"/>
      <c r="D6" s="4" t="n"/>
      <c r="F6" s="4" t="n"/>
      <c r="G6" s="4" t="n"/>
      <c r="H6" s="4" t="n"/>
      <c r="I6" s="4" t="n"/>
    </row>
    <row r="7" ht="4" customHeight="1" s="179">
      <c r="A7" s="5" t="n"/>
      <c r="B7" s="6" t="n"/>
      <c r="C7" s="5" t="n"/>
      <c r="D7" s="5" t="n"/>
      <c r="F7" s="5" t="n"/>
      <c r="G7" s="5" t="n"/>
      <c r="H7" s="5" t="n"/>
      <c r="I7" s="5" t="n"/>
    </row>
    <row r="8" ht="18" customHeight="1" s="179">
      <c r="A8" s="176" t="inlineStr">
        <is>
          <t xml:space="preserve">  КАНАЛЬНА ЕКОНОМІКА — WATERFALL МАРЖІ</t>
        </is>
      </c>
      <c r="B8" s="177" t="n"/>
      <c r="C8" s="177" t="n"/>
      <c r="D8" s="177" t="n"/>
      <c r="F8" s="177" t="n"/>
      <c r="G8" s="177" t="n"/>
      <c r="H8" s="177" t="n"/>
      <c r="I8" s="177" t="n"/>
    </row>
    <row r="9" ht="28" customHeight="1" s="179">
      <c r="A9" s="18" t="inlineStr">
        <is>
          <t>Параметр</t>
        </is>
      </c>
      <c r="B9" s="9" t="inlineStr">
        <is>
          <t>D1
Нац. мережі</t>
        </is>
      </c>
      <c r="C9" s="10" t="inlineStr">
        <is>
          <t>D2
Регіон.</t>
        </is>
      </c>
      <c r="D9" s="11" t="inlineStr">
        <is>
          <t>D3
Дилер</t>
        </is>
      </c>
      <c r="E9" t="inlineStr">
        <is>
          <t>D4 NI
Нац. інтернет</t>
        </is>
      </c>
      <c r="F9" s="12" t="inlineStr">
        <is>
          <t>D4 Buy
Маркетплейс</t>
        </is>
      </c>
      <c r="G9" s="13" t="inlineStr">
        <is>
          <t>D4 Drop
Дропшип</t>
        </is>
      </c>
      <c r="H9" s="14" t="inlineStr">
        <is>
          <t>D5
Проекти</t>
        </is>
      </c>
      <c r="I9" s="15" t="inlineStr">
        <is>
          <t>D6
Мережа</t>
        </is>
      </c>
    </row>
    <row r="10" ht="16" customHeight="1" s="179">
      <c r="A10" s="176" t="inlineStr">
        <is>
          <t xml:space="preserve">  — КОМЕРЦІЙНІ РЕЗЕРВИ</t>
        </is>
      </c>
      <c r="B10" s="177" t="n"/>
      <c r="C10" s="177" t="n"/>
      <c r="D10" s="177" t="n"/>
      <c r="F10" s="177" t="n"/>
      <c r="G10" s="177" t="n"/>
      <c r="H10" s="177" t="n"/>
      <c r="I10" s="177" t="n"/>
    </row>
    <row r="11" ht="15" customHeight="1" s="179">
      <c r="A11" s="7" t="inlineStr">
        <is>
          <t>Змінні витрати каналу %</t>
        </is>
      </c>
      <c r="B11" s="21" t="n">
        <v>0.02</v>
      </c>
      <c r="C11" s="21" t="n">
        <v>0.02</v>
      </c>
      <c r="D11" s="21" t="n">
        <v>0.065</v>
      </c>
      <c r="E11" t="n">
        <v>0.04</v>
      </c>
      <c r="F11" s="21" t="n">
        <v>0.04</v>
      </c>
      <c r="G11" s="21" t="n">
        <v>0.1</v>
      </c>
      <c r="H11" s="21" t="n">
        <v>0.05</v>
      </c>
      <c r="I11" s="21" t="n">
        <v>0.03</v>
      </c>
    </row>
    <row r="12" ht="15" customHeight="1" s="179">
      <c r="A12" s="7" t="inlineStr">
        <is>
          <t>Резерв знижки %</t>
        </is>
      </c>
      <c r="B12" s="21" t="n">
        <v>0</v>
      </c>
      <c r="C12" s="21" t="n">
        <v>0.03</v>
      </c>
      <c r="D12" s="21" t="n">
        <v>0.02</v>
      </c>
      <c r="E12" t="n">
        <v>0</v>
      </c>
      <c r="F12" s="21" t="n">
        <v>0.02</v>
      </c>
      <c r="G12" s="21" t="n">
        <v>0</v>
      </c>
      <c r="H12" s="21" t="n">
        <v>0.05</v>
      </c>
      <c r="I12" s="21" t="n">
        <v>0.01</v>
      </c>
    </row>
    <row r="13" ht="15" customHeight="1" s="179">
      <c r="A13" s="7" t="inlineStr">
        <is>
          <t>Резерв ретро / бонусу %</t>
        </is>
      </c>
      <c r="B13" s="21" t="n">
        <v>0.06</v>
      </c>
      <c r="C13" s="21" t="n">
        <v>0.02</v>
      </c>
      <c r="D13" s="21" t="n">
        <v>0.01</v>
      </c>
      <c r="E13" t="n">
        <v>0.01</v>
      </c>
      <c r="F13" s="21" t="n">
        <v>0.015</v>
      </c>
      <c r="G13" s="21" t="n">
        <v>0.01</v>
      </c>
      <c r="H13" s="21" t="n">
        <v>0</v>
      </c>
      <c r="I13" s="21" t="n">
        <v>0.03</v>
      </c>
    </row>
    <row r="14" ht="15" customHeight="1" s="179">
      <c r="A14" s="7" t="inlineStr">
        <is>
          <t>Резерв логістики %</t>
        </is>
      </c>
      <c r="B14" s="21" t="n">
        <v>0.04</v>
      </c>
      <c r="C14" s="21" t="n">
        <v>0.015</v>
      </c>
      <c r="D14" s="21" t="n">
        <v>0.015</v>
      </c>
      <c r="E14" t="n">
        <v>0.015</v>
      </c>
      <c r="F14" s="21" t="n">
        <v>0.01</v>
      </c>
      <c r="G14" s="21" t="n">
        <v>0</v>
      </c>
      <c r="H14" s="21" t="n">
        <v>0.01</v>
      </c>
      <c r="I14" s="21" t="n">
        <v>0.015</v>
      </c>
    </row>
    <row r="15" ht="15" customHeight="1" s="179">
      <c r="A15" s="7" t="inlineStr">
        <is>
          <t>Дні відстрочки (план)</t>
        </is>
      </c>
      <c r="B15" s="82" t="n">
        <v>60</v>
      </c>
      <c r="C15" s="82" t="n">
        <v>21</v>
      </c>
      <c r="D15" s="82" t="n">
        <v>7</v>
      </c>
      <c r="E15" t="n">
        <v>7</v>
      </c>
      <c r="F15" s="82" t="n">
        <v>0</v>
      </c>
      <c r="G15" s="82" t="n">
        <v>0</v>
      </c>
      <c r="H15" s="82" t="n">
        <v>30</v>
      </c>
      <c r="I15" s="82" t="n">
        <v>30</v>
      </c>
    </row>
    <row r="16" ht="15" customHeight="1" s="179">
      <c r="A16" s="7" t="inlineStr">
        <is>
          <t>Вартість відстрочки % (= дні × B3 / 365)</t>
        </is>
      </c>
      <c r="B16" s="20">
        <f>IFERROR(B15*$B$3/365,"")</f>
        <v/>
      </c>
      <c r="C16" s="20">
        <f>IFERROR(C15*$B$3/365,"")</f>
        <v/>
      </c>
      <c r="D16" s="20">
        <f>IFERROR(D15*$B$3/365,"")</f>
        <v/>
      </c>
      <c r="E16">
        <f>IFERROR(E15*$B$3/365,"")</f>
        <v/>
      </c>
      <c r="F16" s="20">
        <f>IFERROR(E15*$B$3/365,"")</f>
        <v/>
      </c>
      <c r="G16" s="20">
        <f>IFERROR(F15*$B$3/365,"")</f>
        <v/>
      </c>
      <c r="H16" s="20">
        <f>IFERROR(G15*$B$3/365,"")</f>
        <v/>
      </c>
      <c r="I16" s="20">
        <f>IFERROR(H15*$B$3/365,"")</f>
        <v/>
      </c>
    </row>
    <row r="17" ht="16" customHeight="1" s="179">
      <c r="A17" s="7" t="inlineStr">
        <is>
          <t>Разом комерційні резерви %</t>
        </is>
      </c>
      <c r="B17" s="22">
        <f>IFERROR(B11+B12+B13+B14+B16,"")</f>
        <v/>
      </c>
      <c r="C17" s="22">
        <f>IFERROR(C11+C12+C13+C14+C16,"")</f>
        <v/>
      </c>
      <c r="D17" s="22">
        <f>IFERROR(D11+D12+D13+D14+D16,"")</f>
        <v/>
      </c>
      <c r="E17">
        <f>IFERROR(E11+E12+E13+E14+E16,"")</f>
        <v/>
      </c>
      <c r="F17" s="22">
        <f>IFERROR(E11+E12+E13+E14+E16,"")</f>
        <v/>
      </c>
      <c r="G17" s="22">
        <f>IFERROR(F11+F12+F13+F14+F16,"")</f>
        <v/>
      </c>
      <c r="H17" s="22">
        <f>IFERROR(G11+G12+G13+G14+G16,"")</f>
        <v/>
      </c>
      <c r="I17" s="22">
        <f>IFERROR(H11+H12+H13+H14+H16,"")</f>
        <v/>
      </c>
    </row>
    <row r="18" ht="16" customHeight="1" s="179">
      <c r="A18" s="180" t="inlineStr">
        <is>
          <t xml:space="preserve">  — МАРЖА</t>
        </is>
      </c>
      <c r="B18" s="177" t="n"/>
      <c r="C18" s="177" t="n"/>
      <c r="D18" s="177" t="n"/>
      <c r="F18" s="177" t="n"/>
      <c r="G18" s="177" t="n"/>
      <c r="H18" s="177" t="n"/>
      <c r="I18" s="177" t="n"/>
    </row>
    <row r="19" ht="15" customHeight="1" s="179">
      <c r="A19" s="7" t="inlineStr">
        <is>
          <t>Цільова чиста маржа після комерційних резервів %</t>
        </is>
      </c>
      <c r="B19" s="19" t="n">
        <v>0.19</v>
      </c>
      <c r="C19" s="19" t="n">
        <v>0.21</v>
      </c>
      <c r="D19" s="19" t="n">
        <v>0.22</v>
      </c>
      <c r="E19" t="n">
        <v>0.2</v>
      </c>
      <c r="F19" s="19" t="n">
        <v>0.2</v>
      </c>
      <c r="G19" s="19" t="n">
        <v>0.21</v>
      </c>
      <c r="H19" s="19" t="n">
        <v>0.2</v>
      </c>
      <c r="I19" s="19" t="n">
        <v>0.175</v>
      </c>
    </row>
    <row r="20" ht="15" customHeight="1" s="179">
      <c r="A20" s="7" t="inlineStr">
        <is>
          <t>Мінімально допустима чиста маржа %</t>
        </is>
      </c>
      <c r="B20" s="8" t="n">
        <v>0.16</v>
      </c>
      <c r="C20" s="8" t="n">
        <v>0.17</v>
      </c>
      <c r="D20" s="8" t="n">
        <v>0.18</v>
      </c>
      <c r="E20" t="n">
        <v>0.17</v>
      </c>
      <c r="F20" s="8" t="n">
        <v>0.17</v>
      </c>
      <c r="G20" s="8" t="n">
        <v>0.18</v>
      </c>
      <c r="H20" s="8" t="n">
        <v>0.16</v>
      </c>
      <c r="I20" s="8" t="n">
        <v>0.15</v>
      </c>
    </row>
    <row r="21" ht="15" customHeight="1" s="179">
      <c r="A21" s="7" t="inlineStr">
        <is>
          <t>STOP-маржа %</t>
        </is>
      </c>
      <c r="B21" s="17" t="n">
        <v>0.14</v>
      </c>
      <c r="C21" s="17" t="n">
        <v>0.15</v>
      </c>
      <c r="D21" s="17" t="n">
        <v>0.16</v>
      </c>
      <c r="E21" t="n">
        <v>0.15</v>
      </c>
      <c r="F21" s="17" t="n">
        <v>0.15</v>
      </c>
      <c r="G21" s="17" t="n">
        <v>0.16</v>
      </c>
      <c r="H21" s="17" t="n">
        <v>0.14</v>
      </c>
      <c r="I21" s="17" t="n">
        <v>0.13</v>
      </c>
    </row>
    <row r="22" ht="15" customHeight="1" s="179">
      <c r="A22" s="7" t="inlineStr">
        <is>
          <t>Цільова валова маржа %</t>
        </is>
      </c>
      <c r="B22" s="83">
        <f>IFERROR(1-(1-B19)*(1-B17),"")</f>
        <v/>
      </c>
      <c r="C22" s="83">
        <f>IFERROR(1-(1-C19)*(1-C17),"")</f>
        <v/>
      </c>
      <c r="D22" s="83">
        <f>IFERROR(1-(1-D19)*(1-D17),"")</f>
        <v/>
      </c>
      <c r="E22">
        <f>IFERROR(1-(1-E19)*(1-E17),"")</f>
        <v/>
      </c>
      <c r="F22" s="83">
        <f>IFERROR(1-(1-E19)*(1-E17),"")</f>
        <v/>
      </c>
      <c r="G22" s="83">
        <f>IFERROR(1-(1-F19)*(1-F17),"")</f>
        <v/>
      </c>
      <c r="H22" s="83">
        <f>IFERROR(1-(1-G19)*(1-G17),"")</f>
        <v/>
      </c>
      <c r="I22" s="83">
        <f>IFERROR(1-(1-H19)*(1-H17),"")</f>
        <v/>
      </c>
    </row>
    <row r="23" ht="15" customHeight="1" s="179">
      <c r="A23" s="7" t="inlineStr">
        <is>
          <t>Мін. допустима валова маржа %</t>
        </is>
      </c>
      <c r="B23" s="23">
        <f>IFERROR(1-(1-B20)*(1-B17),"")</f>
        <v/>
      </c>
      <c r="C23" s="23">
        <f>IFERROR(1-(1-C20)*(1-C17),"")</f>
        <v/>
      </c>
      <c r="D23" s="23">
        <f>IFERROR(1-(1-D20)*(1-D17),"")</f>
        <v/>
      </c>
      <c r="E23">
        <f>IFERROR(1-(1-E20)*(1-E17),"")</f>
        <v/>
      </c>
      <c r="F23" s="23">
        <f>IFERROR(1-(1-E20)*(1-E17),"")</f>
        <v/>
      </c>
      <c r="G23" s="23">
        <f>IFERROR(1-(1-F20)*(1-F17),"")</f>
        <v/>
      </c>
      <c r="H23" s="23">
        <f>IFERROR(1-(1-G20)*(1-G17),"")</f>
        <v/>
      </c>
      <c r="I23" s="23">
        <f>IFERROR(1-(1-H20)*(1-H17),"")</f>
        <v/>
      </c>
    </row>
    <row r="24" ht="15" customHeight="1" s="179">
      <c r="A24" s="7" t="inlineStr">
        <is>
          <t>STOP валова маржа %</t>
        </is>
      </c>
      <c r="B24" s="24">
        <f>IFERROR(1-(1-B21)*(1-B17),"")</f>
        <v/>
      </c>
      <c r="C24" s="24">
        <f>IFERROR(1-(1-C21)*(1-C17),"")</f>
        <v/>
      </c>
      <c r="D24" s="24">
        <f>IFERROR(1-(1-D21)*(1-D17),"")</f>
        <v/>
      </c>
      <c r="E24">
        <f>IFERROR(1-(1-E21)*(1-E17),"")</f>
        <v/>
      </c>
      <c r="F24" s="24">
        <f>IFERROR(1-(1-E21)*(1-E17),"")</f>
        <v/>
      </c>
      <c r="G24" s="24">
        <f>IFERROR(1-(1-F21)*(1-F17),"")</f>
        <v/>
      </c>
      <c r="H24" s="24">
        <f>IFERROR(1-(1-G21)*(1-G17),"")</f>
        <v/>
      </c>
      <c r="I24" s="24">
        <f>IFERROR(1-(1-H21)*(1-H17),"")</f>
        <v/>
      </c>
    </row>
    <row r="25" ht="18" customHeight="1" s="179">
      <c r="A25" s="181" t="inlineStr">
        <is>
          <t xml:space="preserve">  — МАРЖА ЗА РОЛЛЮ SKU</t>
        </is>
      </c>
    </row>
    <row r="26" ht="16" customHeight="1" s="179">
      <c r="A26" s="185" t="inlineStr">
        <is>
          <t xml:space="preserve">  ▌ Трафіковий</t>
        </is>
      </c>
    </row>
    <row r="27" ht="15" customHeight="1" s="179">
      <c r="A27" s="102" t="inlineStr">
        <is>
          <t>Цільова чиста маржа після комерційних резервів %</t>
        </is>
      </c>
      <c r="B27" s="99" t="n">
        <v>0.16</v>
      </c>
      <c r="C27" s="99" t="n">
        <v>0.18</v>
      </c>
      <c r="D27" s="99" t="n">
        <v>0.19</v>
      </c>
      <c r="E27" t="n">
        <v>0.17</v>
      </c>
      <c r="F27" s="99" t="n">
        <v>0.17</v>
      </c>
      <c r="G27" s="99" t="n">
        <v>0.18</v>
      </c>
      <c r="H27" s="99" t="n">
        <v>0.18</v>
      </c>
      <c r="I27" s="99" t="n">
        <v>0.15</v>
      </c>
    </row>
    <row r="28" ht="15" customHeight="1" s="179">
      <c r="A28" s="102" t="inlineStr">
        <is>
          <t>Мінімально допустима чиста маржа %</t>
        </is>
      </c>
      <c r="B28" s="99" t="n">
        <v>0.13</v>
      </c>
      <c r="C28" s="99" t="n">
        <v>0.15</v>
      </c>
      <c r="D28" s="99" t="n">
        <v>0.16</v>
      </c>
      <c r="E28" t="n">
        <v>0.14</v>
      </c>
      <c r="F28" s="99" t="n">
        <v>0.14</v>
      </c>
      <c r="G28" s="99" t="n">
        <v>0.15</v>
      </c>
      <c r="H28" s="99" t="n">
        <v>0.15</v>
      </c>
      <c r="I28" s="99" t="n">
        <v>0.12</v>
      </c>
    </row>
    <row r="29" ht="15" customHeight="1" s="179">
      <c r="A29" s="102" t="inlineStr">
        <is>
          <t>STOP-маржа %</t>
        </is>
      </c>
      <c r="B29" s="99" t="n">
        <v>0.11</v>
      </c>
      <c r="C29" s="99" t="n">
        <v>0.13</v>
      </c>
      <c r="D29" s="99" t="n">
        <v>0.14</v>
      </c>
      <c r="E29" t="n">
        <v>0.12</v>
      </c>
      <c r="F29" s="99" t="n">
        <v>0.12</v>
      </c>
      <c r="G29" s="99" t="n">
        <v>0.13</v>
      </c>
      <c r="H29" s="99" t="n">
        <v>0.13</v>
      </c>
      <c r="I29" s="99" t="n">
        <v>0.1</v>
      </c>
    </row>
    <row r="30" ht="15" customHeight="1" s="179">
      <c r="A30" s="102" t="inlineStr">
        <is>
          <t>Цільова валова маржа %</t>
        </is>
      </c>
      <c r="B30" s="100">
        <f>IFERROR(1-(1-B27)*(1-B17),"")</f>
        <v/>
      </c>
      <c r="C30" s="100">
        <f>IFERROR(1-(1-C27)*(1-C17),"")</f>
        <v/>
      </c>
      <c r="D30" s="100">
        <f>IFERROR(1-(1-D27)*(1-D17),"")</f>
        <v/>
      </c>
      <c r="E30">
        <f>IFERROR(1-(1-E27)*(1-E17),"")</f>
        <v/>
      </c>
      <c r="F30" s="100">
        <f>IFERROR(1-(1-E27)*(1-E17),"")</f>
        <v/>
      </c>
      <c r="G30" s="100">
        <f>IFERROR(1-(1-F27)*(1-F17),"")</f>
        <v/>
      </c>
      <c r="H30" s="100">
        <f>IFERROR(1-(1-G27)*(1-G17),"")</f>
        <v/>
      </c>
      <c r="I30" s="100">
        <f>IFERROR(1-(1-H27)*(1-H17),"")</f>
        <v/>
      </c>
    </row>
    <row r="31" ht="15" customHeight="1" s="179">
      <c r="A31" s="102" t="inlineStr">
        <is>
          <t>Мін. допустима валова маржа %</t>
        </is>
      </c>
      <c r="B31" s="100">
        <f>IFERROR(1-(1-B28)*(1-B17),"")</f>
        <v/>
      </c>
      <c r="C31" s="100">
        <f>IFERROR(1-(1-C28)*(1-C17),"")</f>
        <v/>
      </c>
      <c r="D31" s="100">
        <f>IFERROR(1-(1-D28)*(1-D17),"")</f>
        <v/>
      </c>
      <c r="E31">
        <f>IFERROR(1-(1-E28)*(1-E17),"")</f>
        <v/>
      </c>
      <c r="F31" s="100">
        <f>IFERROR(1-(1-E28)*(1-E17),"")</f>
        <v/>
      </c>
      <c r="G31" s="100">
        <f>IFERROR(1-(1-F28)*(1-F17),"")</f>
        <v/>
      </c>
      <c r="H31" s="100">
        <f>IFERROR(1-(1-G28)*(1-G17),"")</f>
        <v/>
      </c>
      <c r="I31" s="100">
        <f>IFERROR(1-(1-H28)*(1-H17),"")</f>
        <v/>
      </c>
    </row>
    <row r="32" ht="15" customHeight="1" s="179">
      <c r="A32" s="102" t="inlineStr">
        <is>
          <t>STOP валова маржа %</t>
        </is>
      </c>
      <c r="B32" s="100">
        <f>IFERROR(1-(1-B29)*(1-B17),"")</f>
        <v/>
      </c>
      <c r="C32" s="100">
        <f>IFERROR(1-(1-C29)*(1-C17),"")</f>
        <v/>
      </c>
      <c r="D32" s="100">
        <f>IFERROR(1-(1-D29)*(1-D17),"")</f>
        <v/>
      </c>
      <c r="E32">
        <f>IFERROR(1-(1-E29)*(1-E17),"")</f>
        <v/>
      </c>
      <c r="F32" s="100">
        <f>IFERROR(1-(1-E29)*(1-E17),"")</f>
        <v/>
      </c>
      <c r="G32" s="100">
        <f>IFERROR(1-(1-F29)*(1-F17),"")</f>
        <v/>
      </c>
      <c r="H32" s="100">
        <f>IFERROR(1-(1-G29)*(1-G17),"")</f>
        <v/>
      </c>
      <c r="I32" s="100">
        <f>IFERROR(1-(1-H29)*(1-H17),"")</f>
        <v/>
      </c>
    </row>
    <row r="33" ht="16" customHeight="1" s="179">
      <c r="A33" s="188" t="inlineStr">
        <is>
          <t xml:space="preserve">  ▌ Основний</t>
        </is>
      </c>
    </row>
    <row r="34" ht="15" customHeight="1" s="179">
      <c r="A34" s="103" t="inlineStr">
        <is>
          <t>Цільова чиста маржа після комерційних резервів %</t>
        </is>
      </c>
      <c r="B34" s="99" t="n">
        <v>0.19</v>
      </c>
      <c r="C34" s="99" t="n">
        <v>0.21</v>
      </c>
      <c r="D34" s="99" t="n">
        <v>0.22</v>
      </c>
      <c r="E34" t="n">
        <v>0.2</v>
      </c>
      <c r="F34" s="99" t="n">
        <v>0.2</v>
      </c>
      <c r="G34" s="99" t="n">
        <v>0.21</v>
      </c>
      <c r="H34" s="99" t="n">
        <v>0.2</v>
      </c>
      <c r="I34" s="99" t="n">
        <v>0.175</v>
      </c>
    </row>
    <row r="35" ht="15" customHeight="1" s="179">
      <c r="A35" s="103" t="inlineStr">
        <is>
          <t>Мінімально допустима чиста маржа %</t>
        </is>
      </c>
      <c r="B35" s="99" t="n">
        <v>0.16</v>
      </c>
      <c r="C35" s="99" t="n">
        <v>0.18</v>
      </c>
      <c r="D35" s="99" t="n">
        <v>0.19</v>
      </c>
      <c r="E35" t="n">
        <v>0.17</v>
      </c>
      <c r="F35" s="99" t="n">
        <v>0.17</v>
      </c>
      <c r="G35" s="99" t="n">
        <v>0.18</v>
      </c>
      <c r="H35" s="99" t="n">
        <v>0.17</v>
      </c>
      <c r="I35" s="99" t="n">
        <v>0.145</v>
      </c>
    </row>
    <row r="36" ht="15" customHeight="1" s="179">
      <c r="A36" s="103" t="inlineStr">
        <is>
          <t>STOP-маржа %</t>
        </is>
      </c>
      <c r="B36" s="99" t="n">
        <v>0.14</v>
      </c>
      <c r="C36" s="99" t="n">
        <v>0.16</v>
      </c>
      <c r="D36" s="99" t="n">
        <v>0.17</v>
      </c>
      <c r="E36" t="n">
        <v>0.15</v>
      </c>
      <c r="F36" s="99" t="n">
        <v>0.15</v>
      </c>
      <c r="G36" s="99" t="n">
        <v>0.16</v>
      </c>
      <c r="H36" s="99" t="n">
        <v>0.15</v>
      </c>
      <c r="I36" s="99" t="n">
        <v>0.125</v>
      </c>
    </row>
    <row r="37" ht="15" customHeight="1" s="179">
      <c r="A37" s="103" t="inlineStr">
        <is>
          <t>Цільова валова маржа %</t>
        </is>
      </c>
      <c r="B37" s="100">
        <f>IFERROR(1-(1-B34)*(1-B17),"")</f>
        <v/>
      </c>
      <c r="C37" s="100">
        <f>IFERROR(1-(1-C34)*(1-C17),"")</f>
        <v/>
      </c>
      <c r="D37" s="100">
        <f>IFERROR(1-(1-D34)*(1-D17),"")</f>
        <v/>
      </c>
      <c r="E37">
        <f>IFERROR(1-(1-E34)*(1-E17),"")</f>
        <v/>
      </c>
      <c r="F37" s="100">
        <f>IFERROR(1-(1-E34)*(1-E17),"")</f>
        <v/>
      </c>
      <c r="G37" s="100">
        <f>IFERROR(1-(1-F34)*(1-F17),"")</f>
        <v/>
      </c>
      <c r="H37" s="100">
        <f>IFERROR(1-(1-G34)*(1-G17),"")</f>
        <v/>
      </c>
      <c r="I37" s="100">
        <f>IFERROR(1-(1-H34)*(1-H17),"")</f>
        <v/>
      </c>
    </row>
    <row r="38" ht="15" customHeight="1" s="179">
      <c r="A38" s="103" t="inlineStr">
        <is>
          <t>Мін. допустима валова маржа %</t>
        </is>
      </c>
      <c r="B38" s="100">
        <f>IFERROR(1-(1-B35)*(1-B17),"")</f>
        <v/>
      </c>
      <c r="C38" s="100">
        <f>IFERROR(1-(1-C35)*(1-C17),"")</f>
        <v/>
      </c>
      <c r="D38" s="100">
        <f>IFERROR(1-(1-D35)*(1-D17),"")</f>
        <v/>
      </c>
      <c r="E38">
        <f>IFERROR(1-(1-E35)*(1-E17),"")</f>
        <v/>
      </c>
      <c r="F38" s="100">
        <f>IFERROR(1-(1-E35)*(1-E17),"")</f>
        <v/>
      </c>
      <c r="G38" s="100">
        <f>IFERROR(1-(1-F35)*(1-F17),"")</f>
        <v/>
      </c>
      <c r="H38" s="100">
        <f>IFERROR(1-(1-G35)*(1-G17),"")</f>
        <v/>
      </c>
      <c r="I38" s="100">
        <f>IFERROR(1-(1-H35)*(1-H17),"")</f>
        <v/>
      </c>
    </row>
    <row r="39" ht="15" customHeight="1" s="179">
      <c r="A39" s="103" t="inlineStr">
        <is>
          <t>STOP валова маржа %</t>
        </is>
      </c>
      <c r="B39" s="100">
        <f>IFERROR(1-(1-B36)*(1-B17),"")</f>
        <v/>
      </c>
      <c r="C39" s="100">
        <f>IFERROR(1-(1-C36)*(1-C17),"")</f>
        <v/>
      </c>
      <c r="D39" s="100">
        <f>IFERROR(1-(1-D36)*(1-D17),"")</f>
        <v/>
      </c>
      <c r="E39">
        <f>IFERROR(1-(1-E36)*(1-E17),"")</f>
        <v/>
      </c>
      <c r="F39" s="100">
        <f>IFERROR(1-(1-E36)*(1-E17),"")</f>
        <v/>
      </c>
      <c r="G39" s="100">
        <f>IFERROR(1-(1-F36)*(1-F17),"")</f>
        <v/>
      </c>
      <c r="H39" s="100">
        <f>IFERROR(1-(1-G36)*(1-G17),"")</f>
        <v/>
      </c>
      <c r="I39" s="100">
        <f>IFERROR(1-(1-H36)*(1-H17),"")</f>
        <v/>
      </c>
    </row>
    <row r="40" ht="16" customHeight="1" s="179">
      <c r="A40" s="192" t="inlineStr">
        <is>
          <t xml:space="preserve">  ▌ Маржинальний</t>
        </is>
      </c>
    </row>
    <row r="41" ht="15" customHeight="1" s="179">
      <c r="A41" s="112" t="inlineStr">
        <is>
          <t>Цільова чиста маржа після комерційних резервів %</t>
        </is>
      </c>
      <c r="B41" s="99" t="n">
        <v>0.24</v>
      </c>
      <c r="C41" s="99" t="n">
        <v>0.26</v>
      </c>
      <c r="D41" s="99" t="n">
        <v>0.28</v>
      </c>
      <c r="E41" t="n">
        <v>0.25</v>
      </c>
      <c r="F41" s="99" t="n">
        <v>0.25</v>
      </c>
      <c r="G41" s="99" t="n">
        <v>0.26</v>
      </c>
      <c r="H41" s="99" t="n">
        <v>0.28</v>
      </c>
      <c r="I41" s="99" t="n">
        <v>0.22</v>
      </c>
    </row>
    <row r="42" ht="15" customHeight="1" s="179">
      <c r="A42" s="112" t="inlineStr">
        <is>
          <t>Мінімально допустима чиста маржа %</t>
        </is>
      </c>
      <c r="B42" s="99" t="n">
        <v>0.21</v>
      </c>
      <c r="C42" s="99" t="n">
        <v>0.23</v>
      </c>
      <c r="D42" s="99" t="n">
        <v>0.25</v>
      </c>
      <c r="E42" t="n">
        <v>0.22</v>
      </c>
      <c r="F42" s="99" t="n">
        <v>0.22</v>
      </c>
      <c r="G42" s="99" t="n">
        <v>0.23</v>
      </c>
      <c r="H42" s="99" t="n">
        <v>0.25</v>
      </c>
      <c r="I42" s="99" t="n">
        <v>0.19</v>
      </c>
    </row>
    <row r="43" ht="15" customHeight="1" s="179">
      <c r="A43" s="112" t="inlineStr">
        <is>
          <t>STOP-маржа %</t>
        </is>
      </c>
      <c r="B43" s="99" t="n">
        <v>0.19</v>
      </c>
      <c r="C43" s="99" t="n">
        <v>0.21</v>
      </c>
      <c r="D43" s="99" t="n">
        <v>0.23</v>
      </c>
      <c r="E43" t="n">
        <v>0.2</v>
      </c>
      <c r="F43" s="99" t="n">
        <v>0.2</v>
      </c>
      <c r="G43" s="99" t="n">
        <v>0.21</v>
      </c>
      <c r="H43" s="99" t="n">
        <v>0.23</v>
      </c>
      <c r="I43" s="99" t="n">
        <v>0.17</v>
      </c>
    </row>
    <row r="44" ht="15" customHeight="1" s="179">
      <c r="A44" s="112" t="inlineStr">
        <is>
          <t>Цільова валова маржа %</t>
        </is>
      </c>
      <c r="B44" s="100">
        <f>IFERROR(1-(1-B41)*(1-B17),"")</f>
        <v/>
      </c>
      <c r="C44" s="100">
        <f>IFERROR(1-(1-C41)*(1-C17),"")</f>
        <v/>
      </c>
      <c r="D44" s="100">
        <f>IFERROR(1-(1-D41)*(1-D17),"")</f>
        <v/>
      </c>
      <c r="E44">
        <f>IFERROR(1-(1-E41)*(1-E17),"")</f>
        <v/>
      </c>
      <c r="F44" s="100">
        <f>IFERROR(1-(1-E41)*(1-E17),"")</f>
        <v/>
      </c>
      <c r="G44" s="100">
        <f>IFERROR(1-(1-F41)*(1-F17),"")</f>
        <v/>
      </c>
      <c r="H44" s="100">
        <f>IFERROR(1-(1-G41)*(1-G17),"")</f>
        <v/>
      </c>
      <c r="I44" s="100">
        <f>IFERROR(1-(1-H41)*(1-H17),"")</f>
        <v/>
      </c>
    </row>
    <row r="45" ht="15" customHeight="1" s="179">
      <c r="A45" s="112" t="inlineStr">
        <is>
          <t>Мін. допустима валова маржа %</t>
        </is>
      </c>
      <c r="B45" s="100">
        <f>IFERROR(1-(1-B42)*(1-B17),"")</f>
        <v/>
      </c>
      <c r="C45" s="100">
        <f>IFERROR(1-(1-C42)*(1-C17),"")</f>
        <v/>
      </c>
      <c r="D45" s="100">
        <f>IFERROR(1-(1-D42)*(1-D17),"")</f>
        <v/>
      </c>
      <c r="E45">
        <f>IFERROR(1-(1-E42)*(1-E17),"")</f>
        <v/>
      </c>
      <c r="F45" s="100">
        <f>IFERROR(1-(1-E42)*(1-E17),"")</f>
        <v/>
      </c>
      <c r="G45" s="100">
        <f>IFERROR(1-(1-F42)*(1-F17),"")</f>
        <v/>
      </c>
      <c r="H45" s="100">
        <f>IFERROR(1-(1-G42)*(1-G17),"")</f>
        <v/>
      </c>
      <c r="I45" s="100">
        <f>IFERROR(1-(1-H42)*(1-H17),"")</f>
        <v/>
      </c>
    </row>
    <row r="46" ht="15" customHeight="1" s="179">
      <c r="A46" s="112" t="inlineStr">
        <is>
          <t>STOP валова маржа %</t>
        </is>
      </c>
      <c r="B46" s="100">
        <f>IFERROR(1-(1-B43)*(1-B17),"")</f>
        <v/>
      </c>
      <c r="C46" s="100">
        <f>IFERROR(1-(1-C43)*(1-C17),"")</f>
        <v/>
      </c>
      <c r="D46" s="100">
        <f>IFERROR(1-(1-D43)*(1-D17),"")</f>
        <v/>
      </c>
      <c r="E46">
        <f>IFERROR(1-(1-E43)*(1-E17),"")</f>
        <v/>
      </c>
      <c r="F46" s="100">
        <f>IFERROR(1-(1-E43)*(1-E17),"")</f>
        <v/>
      </c>
      <c r="G46" s="100">
        <f>IFERROR(1-(1-F43)*(1-F17),"")</f>
        <v/>
      </c>
      <c r="H46" s="100">
        <f>IFERROR(1-(1-G43)*(1-G17),"")</f>
        <v/>
      </c>
      <c r="I46" s="100">
        <f>IFERROR(1-(1-H43)*(1-H17),"")</f>
        <v/>
      </c>
    </row>
    <row r="47" ht="16" customHeight="1" s="179">
      <c r="A47" s="189" t="inlineStr">
        <is>
          <t xml:space="preserve">  ▌ Сезонний</t>
        </is>
      </c>
    </row>
    <row r="48" ht="15" customHeight="1" s="179">
      <c r="A48" s="113" t="inlineStr">
        <is>
          <t>Цільова чиста маржа після комерційних резервів %</t>
        </is>
      </c>
      <c r="B48" s="99" t="n">
        <v>0.23</v>
      </c>
      <c r="C48" s="99" t="n">
        <v>0.25</v>
      </c>
      <c r="D48" s="99" t="n">
        <v>0.26</v>
      </c>
      <c r="E48" t="n">
        <v>0.24</v>
      </c>
      <c r="F48" s="99" t="n">
        <v>0.24</v>
      </c>
      <c r="G48" s="99" t="n">
        <v>0.25</v>
      </c>
      <c r="H48" s="99" t="n">
        <v>0.27</v>
      </c>
      <c r="I48" s="99" t="n">
        <v>0.21</v>
      </c>
    </row>
    <row r="49" ht="15" customHeight="1" s="179">
      <c r="A49" s="113" t="inlineStr">
        <is>
          <t>Мінімально допустима чиста маржа %</t>
        </is>
      </c>
      <c r="B49" s="99" t="n">
        <v>0.2</v>
      </c>
      <c r="C49" s="99" t="n">
        <v>0.22</v>
      </c>
      <c r="D49" s="99" t="n">
        <v>0.23</v>
      </c>
      <c r="E49" t="n">
        <v>0.21</v>
      </c>
      <c r="F49" s="99" t="n">
        <v>0.21</v>
      </c>
      <c r="G49" s="99" t="n">
        <v>0.22</v>
      </c>
      <c r="H49" s="99" t="n">
        <v>0.24</v>
      </c>
      <c r="I49" s="99" t="n">
        <v>0.18</v>
      </c>
    </row>
    <row r="50" ht="15" customHeight="1" s="179">
      <c r="A50" s="113" t="inlineStr">
        <is>
          <t>STOP-маржа %</t>
        </is>
      </c>
      <c r="B50" s="99" t="n">
        <v>0.18</v>
      </c>
      <c r="C50" s="99" t="n">
        <v>0.2</v>
      </c>
      <c r="D50" s="99" t="n">
        <v>0.21</v>
      </c>
      <c r="E50" t="n">
        <v>0.19</v>
      </c>
      <c r="F50" s="99" t="n">
        <v>0.19</v>
      </c>
      <c r="G50" s="99" t="n">
        <v>0.2</v>
      </c>
      <c r="H50" s="99" t="n">
        <v>0.22</v>
      </c>
      <c r="I50" s="99" t="n">
        <v>0.16</v>
      </c>
    </row>
    <row r="51" ht="15" customHeight="1" s="179">
      <c r="A51" s="113" t="inlineStr">
        <is>
          <t>Цільова валова маржа %</t>
        </is>
      </c>
      <c r="B51" s="100">
        <f>IFERROR(1-(1-B48)*(1-B17),"")</f>
        <v/>
      </c>
      <c r="C51" s="100">
        <f>IFERROR(1-(1-C48)*(1-C17),"")</f>
        <v/>
      </c>
      <c r="D51" s="100">
        <f>IFERROR(1-(1-D48)*(1-D17),"")</f>
        <v/>
      </c>
      <c r="E51">
        <f>IFERROR(1-(1-E48)*(1-E17),"")</f>
        <v/>
      </c>
      <c r="F51" s="100">
        <f>IFERROR(1-(1-E48)*(1-E17),"")</f>
        <v/>
      </c>
      <c r="G51" s="100">
        <f>IFERROR(1-(1-F48)*(1-F17),"")</f>
        <v/>
      </c>
      <c r="H51" s="100">
        <f>IFERROR(1-(1-G48)*(1-G17),"")</f>
        <v/>
      </c>
      <c r="I51" s="100">
        <f>IFERROR(1-(1-H48)*(1-H17),"")</f>
        <v/>
      </c>
    </row>
    <row r="52" ht="15" customHeight="1" s="179">
      <c r="A52" s="113" t="inlineStr">
        <is>
          <t>Мін. допустима валова маржа %</t>
        </is>
      </c>
      <c r="B52" s="100">
        <f>IFERROR(1-(1-B49)*(1-B17),"")</f>
        <v/>
      </c>
      <c r="C52" s="100">
        <f>IFERROR(1-(1-C49)*(1-C17),"")</f>
        <v/>
      </c>
      <c r="D52" s="100">
        <f>IFERROR(1-(1-D49)*(1-D17),"")</f>
        <v/>
      </c>
      <c r="E52">
        <f>IFERROR(1-(1-E49)*(1-E17),"")</f>
        <v/>
      </c>
      <c r="F52" s="100">
        <f>IFERROR(1-(1-E49)*(1-E17),"")</f>
        <v/>
      </c>
      <c r="G52" s="100">
        <f>IFERROR(1-(1-F49)*(1-F17),"")</f>
        <v/>
      </c>
      <c r="H52" s="100">
        <f>IFERROR(1-(1-G49)*(1-G17),"")</f>
        <v/>
      </c>
      <c r="I52" s="100">
        <f>IFERROR(1-(1-H49)*(1-H17),"")</f>
        <v/>
      </c>
    </row>
    <row r="53" ht="15" customHeight="1" s="179">
      <c r="A53" s="113" t="inlineStr">
        <is>
          <t>STOP валова маржа %</t>
        </is>
      </c>
      <c r="B53" s="100">
        <f>IFERROR(1-(1-B50)*(1-B17),"")</f>
        <v/>
      </c>
      <c r="C53" s="100">
        <f>IFERROR(1-(1-C50)*(1-C17),"")</f>
        <v/>
      </c>
      <c r="D53" s="100">
        <f>IFERROR(1-(1-D50)*(1-D17),"")</f>
        <v/>
      </c>
      <c r="E53">
        <f>IFERROR(1-(1-E50)*(1-E17),"")</f>
        <v/>
      </c>
      <c r="F53" s="100">
        <f>IFERROR(1-(1-E50)*(1-E17),"")</f>
        <v/>
      </c>
      <c r="G53" s="100">
        <f>IFERROR(1-(1-F50)*(1-F17),"")</f>
        <v/>
      </c>
      <c r="H53" s="100">
        <f>IFERROR(1-(1-G50)*(1-G17),"")</f>
        <v/>
      </c>
      <c r="I53" s="100">
        <f>IFERROR(1-(1-H50)*(1-H17),"")</f>
        <v/>
      </c>
    </row>
    <row r="54" ht="16" customHeight="1" s="179">
      <c r="A54" s="182" t="inlineStr">
        <is>
          <t xml:space="preserve">  ▌ Стратегічний</t>
        </is>
      </c>
    </row>
    <row r="55" ht="15" customHeight="1" s="179">
      <c r="A55" s="114" t="inlineStr">
        <is>
          <t>Цільова чиста маржа після комерційних резервів %</t>
        </is>
      </c>
      <c r="B55" s="99" t="n">
        <v>0.28</v>
      </c>
      <c r="C55" s="99" t="n">
        <v>0.3</v>
      </c>
      <c r="D55" s="99" t="n">
        <v>0.32</v>
      </c>
      <c r="E55" t="n">
        <v>0.28</v>
      </c>
      <c r="F55" s="99" t="n">
        <v>0.28</v>
      </c>
      <c r="G55" s="99" t="n">
        <v>0.3</v>
      </c>
      <c r="H55" s="99" t="n">
        <v>0.32</v>
      </c>
      <c r="I55" s="99" t="n">
        <v>0.25</v>
      </c>
    </row>
    <row r="56" ht="15" customHeight="1" s="179">
      <c r="A56" s="114" t="inlineStr">
        <is>
          <t>Мінімально допустима чиста маржа %</t>
        </is>
      </c>
      <c r="B56" s="99" t="n">
        <v>0.25</v>
      </c>
      <c r="C56" s="99" t="n">
        <v>0.27</v>
      </c>
      <c r="D56" s="99" t="n">
        <v>0.29</v>
      </c>
      <c r="E56" t="n">
        <v>0.25</v>
      </c>
      <c r="F56" s="99" t="n">
        <v>0.25</v>
      </c>
      <c r="G56" s="99" t="n">
        <v>0.27</v>
      </c>
      <c r="H56" s="99" t="n">
        <v>0.29</v>
      </c>
      <c r="I56" s="99" t="n">
        <v>0.22</v>
      </c>
    </row>
    <row r="57" ht="15" customHeight="1" s="179">
      <c r="A57" s="114" t="inlineStr">
        <is>
          <t>STOP-маржа %</t>
        </is>
      </c>
      <c r="B57" s="99" t="n">
        <v>0.23</v>
      </c>
      <c r="C57" s="99" t="n">
        <v>0.25</v>
      </c>
      <c r="D57" s="99" t="n">
        <v>0.27</v>
      </c>
      <c r="E57" t="n">
        <v>0.23</v>
      </c>
      <c r="F57" s="99" t="n">
        <v>0.23</v>
      </c>
      <c r="G57" s="99" t="n">
        <v>0.25</v>
      </c>
      <c r="H57" s="99" t="n">
        <v>0.27</v>
      </c>
      <c r="I57" s="99" t="n">
        <v>0.2</v>
      </c>
    </row>
    <row r="58" ht="15" customHeight="1" s="179">
      <c r="A58" s="114" t="inlineStr">
        <is>
          <t>Цільова валова маржа %</t>
        </is>
      </c>
      <c r="B58" s="100">
        <f>IFERROR(1-(1-B55)*(1-B17),"")</f>
        <v/>
      </c>
      <c r="C58" s="100">
        <f>IFERROR(1-(1-C55)*(1-C17),"")</f>
        <v/>
      </c>
      <c r="D58" s="100">
        <f>IFERROR(1-(1-D55)*(1-D17),"")</f>
        <v/>
      </c>
      <c r="E58">
        <f>IFERROR(1-(1-E55)*(1-E17),"")</f>
        <v/>
      </c>
      <c r="F58" s="100">
        <f>IFERROR(1-(1-E55)*(1-E17),"")</f>
        <v/>
      </c>
      <c r="G58" s="100">
        <f>IFERROR(1-(1-F55)*(1-F17),"")</f>
        <v/>
      </c>
      <c r="H58" s="100">
        <f>IFERROR(1-(1-G55)*(1-G17),"")</f>
        <v/>
      </c>
      <c r="I58" s="100">
        <f>IFERROR(1-(1-H55)*(1-H17),"")</f>
        <v/>
      </c>
    </row>
    <row r="59" ht="15" customHeight="1" s="179">
      <c r="A59" s="114" t="inlineStr">
        <is>
          <t>Мін. допустима валова маржа %</t>
        </is>
      </c>
      <c r="B59" s="100">
        <f>IFERROR(1-(1-B56)*(1-B17),"")</f>
        <v/>
      </c>
      <c r="C59" s="100">
        <f>IFERROR(1-(1-C56)*(1-C17),"")</f>
        <v/>
      </c>
      <c r="D59" s="100">
        <f>IFERROR(1-(1-D56)*(1-D17),"")</f>
        <v/>
      </c>
      <c r="E59">
        <f>IFERROR(1-(1-E56)*(1-E17),"")</f>
        <v/>
      </c>
      <c r="F59" s="100">
        <f>IFERROR(1-(1-E56)*(1-E17),"")</f>
        <v/>
      </c>
      <c r="G59" s="100">
        <f>IFERROR(1-(1-F56)*(1-F17),"")</f>
        <v/>
      </c>
      <c r="H59" s="100">
        <f>IFERROR(1-(1-G56)*(1-G17),"")</f>
        <v/>
      </c>
      <c r="I59" s="100">
        <f>IFERROR(1-(1-H56)*(1-H17),"")</f>
        <v/>
      </c>
    </row>
    <row r="60" ht="15" customHeight="1" s="179">
      <c r="A60" s="114" t="inlineStr">
        <is>
          <t>STOP валова маржа %</t>
        </is>
      </c>
      <c r="B60" s="100">
        <f>IFERROR(1-(1-B57)*(1-B17),"")</f>
        <v/>
      </c>
      <c r="C60" s="100">
        <f>IFERROR(1-(1-C57)*(1-C17),"")</f>
        <v/>
      </c>
      <c r="D60" s="100">
        <f>IFERROR(1-(1-D57)*(1-D17),"")</f>
        <v/>
      </c>
      <c r="E60">
        <f>IFERROR(1-(1-E57)*(1-E17),"")</f>
        <v/>
      </c>
      <c r="F60" s="100">
        <f>IFERROR(1-(1-E57)*(1-E17),"")</f>
        <v/>
      </c>
      <c r="G60" s="100">
        <f>IFERROR(1-(1-F57)*(1-F17),"")</f>
        <v/>
      </c>
      <c r="H60" s="100">
        <f>IFERROR(1-(1-G57)*(1-G17),"")</f>
        <v/>
      </c>
      <c r="I60" s="100">
        <f>IFERROR(1-(1-H57)*(1-H17),"")</f>
        <v/>
      </c>
    </row>
    <row r="61" ht="24" customHeight="1" s="179">
      <c r="A61" s="191" t="inlineStr">
        <is>
          <t>Нова логіка: РРЦ = Собівартість / (1−GM_мін_D1) / (1−Маржа_кл_D1)  →  DDP каналу = РРЦ × (1−Маржа_кл_%)</t>
        </is>
      </c>
      <c r="J61" s="2" t="n"/>
      <c r="K61" s="2" t="n"/>
    </row>
    <row r="62">
      <c r="A62" s="180" t="inlineStr">
        <is>
          <t xml:space="preserve">  — ПЕРЕВІРКА ПРИБУТКУ</t>
        </is>
      </c>
      <c r="B62" s="177" t="n"/>
      <c r="C62" s="177" t="n"/>
      <c r="D62" s="177" t="n"/>
      <c r="F62" s="177" t="n"/>
      <c r="G62" s="177" t="n"/>
      <c r="H62" s="177" t="n"/>
      <c r="I62" s="177" t="n"/>
      <c r="J62" s="2" t="n"/>
      <c r="K62" s="2" t="n"/>
    </row>
    <row r="63">
      <c r="A63" s="7" t="inlineStr">
        <is>
          <t>Операційні витрати % (з B4)</t>
        </is>
      </c>
      <c r="B63" s="16">
        <f>$B$4</f>
        <v/>
      </c>
      <c r="C63" s="16">
        <f>$B$4</f>
        <v/>
      </c>
      <c r="D63" s="16">
        <f>$B$4</f>
        <v/>
      </c>
      <c r="E63">
        <f>$B$4</f>
        <v/>
      </c>
      <c r="F63" s="16">
        <f>$B$4</f>
        <v/>
      </c>
      <c r="G63" s="16">
        <f>$B$4</f>
        <v/>
      </c>
      <c r="H63" s="16">
        <f>$B$4</f>
        <v/>
      </c>
      <c r="I63" s="16" t="n">
        <v>0.08</v>
      </c>
      <c r="J63" s="2" t="n"/>
      <c r="K63" s="2" t="n"/>
    </row>
    <row r="64">
      <c r="A64" s="7" t="inlineStr">
        <is>
          <t>Прибуток % (= чиста маржа - opex)</t>
        </is>
      </c>
      <c r="B64" s="16">
        <f>IFERROR(B19-B63,"")</f>
        <v/>
      </c>
      <c r="C64" s="16">
        <f>IFERROR(C19-C63,"")</f>
        <v/>
      </c>
      <c r="D64" s="16">
        <f>IFERROR(D19-D63,"")</f>
        <v/>
      </c>
      <c r="E64">
        <f>IFERROR(E19-E63,"")</f>
        <v/>
      </c>
      <c r="F64" s="16">
        <f>IFERROR(E19-E63,"")</f>
        <v/>
      </c>
      <c r="G64" s="16">
        <f>IFERROR(F19-F63,"")</f>
        <v/>
      </c>
      <c r="H64" s="16">
        <f>IFERROR(G19-G63,"")</f>
        <v/>
      </c>
      <c r="I64" s="16">
        <f>IFERROR(H19-H63,"")</f>
        <v/>
      </c>
      <c r="J64" s="2" t="n"/>
      <c r="K64" s="2" t="n"/>
    </row>
    <row r="65">
      <c r="A65" s="180" t="inlineStr">
        <is>
          <t xml:space="preserve">  — ОЧІКУВАНИЙ ЗАРОБІТОК КЛІЄНТІВ</t>
        </is>
      </c>
      <c r="B65" s="177" t="n"/>
      <c r="C65" s="177" t="n"/>
      <c r="D65" s="177" t="n"/>
      <c r="F65" s="177" t="n"/>
      <c r="G65" s="177" t="n"/>
      <c r="H65" s="177" t="n"/>
      <c r="I65" s="177" t="n"/>
      <c r="J65" s="2" t="n"/>
      <c r="K65" s="2" t="n"/>
    </row>
    <row r="66">
      <c r="A66" s="7" t="inlineStr">
        <is>
          <t>Маржа клієнта %</t>
        </is>
      </c>
      <c r="B66" s="8" t="n">
        <v>0.3243</v>
      </c>
      <c r="C66" s="8" t="n">
        <v>0.28</v>
      </c>
      <c r="D66" s="8" t="n">
        <v>0.3</v>
      </c>
      <c r="E66" t="n">
        <v>0.2562</v>
      </c>
      <c r="F66" s="8" t="n">
        <v>0.22</v>
      </c>
      <c r="G66" s="8" t="n">
        <v>0.18</v>
      </c>
      <c r="H66" s="8" t="n">
        <v>0.15</v>
      </c>
      <c r="I66" s="8" t="n">
        <v>0.17</v>
      </c>
      <c r="J66" s="2" t="n"/>
      <c r="K66" s="2" t="n"/>
    </row>
    <row r="67">
      <c r="A67" s="7" t="inlineStr">
        <is>
          <t>Markup клієнта % (інфо)</t>
        </is>
      </c>
      <c r="B67" s="16">
        <f>IFERROR(B66/(1-B66),"")</f>
        <v/>
      </c>
      <c r="C67" s="16">
        <f>IFERROR(C66/(1-C66),"")</f>
        <v/>
      </c>
      <c r="D67" s="16">
        <f>IFERROR(D66/(1-D66),"")</f>
        <v/>
      </c>
      <c r="E67">
        <f>IFERROR(E66/(1-E66),"")</f>
        <v/>
      </c>
      <c r="F67" s="16">
        <f>IFERROR(E66/(1-E66),"")</f>
        <v/>
      </c>
      <c r="G67" s="16">
        <f>IFERROR(F66/(1-F66),"")</f>
        <v/>
      </c>
      <c r="H67" s="16">
        <f>IFERROR(G66/(1-G66),"")</f>
        <v/>
      </c>
      <c r="I67" s="16">
        <f>IFERROR(H66/(1-H66),"")</f>
        <v/>
      </c>
      <c r="J67" s="2" t="n"/>
      <c r="K67" s="2" t="n"/>
    </row>
    <row r="68">
      <c r="A68" s="7" t="inlineStr">
        <is>
          <t>D6 — середня маржа суб-клієнта (D2/D3/D4) %</t>
        </is>
      </c>
      <c r="B68" s="4" t="n"/>
      <c r="C68" s="4" t="n"/>
      <c r="D68" s="4" t="n"/>
      <c r="F68" s="4" t="n"/>
      <c r="G68" s="4" t="n"/>
      <c r="H68" s="4" t="n"/>
      <c r="I68" s="8" t="n">
        <v>0.25</v>
      </c>
      <c r="J68" s="2" t="n"/>
      <c r="K68" s="2" t="n"/>
    </row>
    <row r="69">
      <c r="A69" s="5" t="n"/>
      <c r="B69" s="5" t="n"/>
      <c r="C69" s="5" t="n"/>
      <c r="D69" s="5" t="n"/>
      <c r="F69" s="5" t="n"/>
      <c r="G69" s="5" t="n"/>
      <c r="H69" s="5" t="n"/>
      <c r="I69" s="5" t="n"/>
      <c r="J69" s="2" t="n"/>
      <c r="K69" s="2" t="n"/>
    </row>
    <row r="70">
      <c r="A70" s="180" t="inlineStr">
        <is>
          <t xml:space="preserve">  — ЄДИНИЙ РРЦ (ВИВІД)</t>
        </is>
      </c>
      <c r="B70" s="177" t="n"/>
      <c r="C70" s="177" t="n"/>
      <c r="D70" s="177" t="n"/>
      <c r="F70" s="177" t="n"/>
      <c r="G70" s="177" t="n"/>
      <c r="H70" s="177" t="n"/>
      <c r="I70" s="177" t="n"/>
      <c r="J70" s="2" t="n"/>
      <c r="K70" s="2" t="n"/>
    </row>
    <row r="71">
      <c r="A71" s="7" t="inlineStr">
        <is>
          <t>Коефіцієнт К: РРЦ = Собівартість × К</t>
        </is>
      </c>
      <c r="B71" s="16">
        <f>IFERROR(1/((1-B19)*(1-B17)*(1-B66)),"")</f>
        <v/>
      </c>
      <c r="C71" s="16">
        <f>IFERROR(1/((1-C19)*(1-C17)*(1-C66)),"")</f>
        <v/>
      </c>
      <c r="D71" s="16">
        <f>IFERROR(1/((1-D19)*(1-D17)*(1-D66)),"")</f>
        <v/>
      </c>
      <c r="E71">
        <f>IFERROR(1/((1-E19)*(1-E17)*(1-E66)),"")</f>
        <v/>
      </c>
      <c r="F71" s="16">
        <f>IFERROR(1/((1-E19)*(1-E17)*(1-E66)),"")</f>
        <v/>
      </c>
      <c r="G71" s="16">
        <f>IFERROR(1/((1-F19)*(1-F17)*(1-F66)),"")</f>
        <v/>
      </c>
      <c r="H71" s="16" t="inlineStr">
        <is>
          <t>N/A</t>
        </is>
      </c>
      <c r="I71" s="16">
        <f>IFERROR(1/((1-H19)*(1-H17)*(1-H66)),"")</f>
        <v/>
      </c>
      <c r="J71" s="2" t="n"/>
      <c r="K71" s="2" t="n"/>
    </row>
    <row r="72">
      <c r="A72" s="191" t="inlineStr">
        <is>
          <t>РРЦ (єдиний) = Собівартість × K_D1  |  DDP каналу = РРЦ × (1 − Маржа кл.%)  |  Маржа Extel = (DDP − Собівартість) / DDP  |  D6: DDP = РРЦ × (1−H31) × (1−H33)  |  D5 — ціна за погодженням</t>
        </is>
      </c>
      <c r="J72" s="2" t="n"/>
      <c r="K72" s="2" t="n"/>
    </row>
    <row r="73">
      <c r="A73" s="191" t="n"/>
      <c r="J73" s="2" t="n"/>
      <c r="K73" s="2" t="n"/>
    </row>
    <row r="74"/>
    <row r="75" ht="18" customHeight="1" s="179">
      <c r="A75" s="183" t="inlineStr">
        <is>
          <t xml:space="preserve">  — МАРЖА КЛІЄНТА ЗА РОЛЛЮ SKU</t>
        </is>
      </c>
    </row>
    <row r="76" ht="14" customHeight="1" s="179">
      <c r="A76" s="187" t="inlineStr">
        <is>
          <t xml:space="preserve">  ⓘ D5 (Проекти) — ціна за погодженням, маржа клієнта = 0%</t>
        </is>
      </c>
    </row>
    <row r="77" ht="16" customHeight="1" s="179">
      <c r="A77" s="193" t="inlineStr">
        <is>
          <t xml:space="preserve">  ▌ Трафіковий</t>
        </is>
      </c>
    </row>
    <row r="78" ht="15" customHeight="1" s="179">
      <c r="A78" s="152" t="inlineStr">
        <is>
          <t>Маржа клієнта %</t>
        </is>
      </c>
      <c r="B78" s="153" t="n">
        <v>0.23</v>
      </c>
      <c r="C78" s="153" t="n">
        <v>0.2</v>
      </c>
      <c r="D78" s="153" t="n">
        <v>0.22</v>
      </c>
      <c r="E78" t="n">
        <v>0.2562</v>
      </c>
      <c r="F78" s="153" t="n">
        <v>0.18</v>
      </c>
      <c r="G78" s="153" t="n">
        <v>0.12</v>
      </c>
      <c r="H78" s="154" t="n">
        <v>0</v>
      </c>
      <c r="I78" s="153" t="n">
        <v>0.14</v>
      </c>
    </row>
    <row r="79" ht="16" customHeight="1" s="179">
      <c r="A79" s="178" t="inlineStr">
        <is>
          <t xml:space="preserve">  ▌ Основний</t>
        </is>
      </c>
    </row>
    <row r="80" ht="15" customHeight="1" s="179">
      <c r="A80" s="155" t="inlineStr">
        <is>
          <t>Маржа клієнта %</t>
        </is>
      </c>
      <c r="B80" s="156" t="n">
        <v>0.32</v>
      </c>
      <c r="C80" s="156" t="n">
        <v>0.28</v>
      </c>
      <c r="D80" s="156" t="n">
        <v>0.3</v>
      </c>
      <c r="E80" t="n">
        <v>0.2562</v>
      </c>
      <c r="F80" s="156" t="n">
        <v>0.24</v>
      </c>
      <c r="G80" s="156" t="n">
        <v>0.18</v>
      </c>
      <c r="H80" s="168" t="n">
        <v>0</v>
      </c>
      <c r="I80" s="156" t="n">
        <v>0.17</v>
      </c>
    </row>
    <row r="81" ht="16" customHeight="1" s="179">
      <c r="A81" s="190" t="inlineStr">
        <is>
          <t xml:space="preserve">  ▌ Маржинальний</t>
        </is>
      </c>
    </row>
    <row r="82" ht="15" customHeight="1" s="179">
      <c r="A82" s="152" t="inlineStr">
        <is>
          <t>Маржа клієнта %</t>
        </is>
      </c>
      <c r="B82" s="153" t="n">
        <v>0.35</v>
      </c>
      <c r="C82" s="153" t="n">
        <v>0.32</v>
      </c>
      <c r="D82" s="153" t="n">
        <v>0.34</v>
      </c>
      <c r="E82" t="n">
        <v>0.2562</v>
      </c>
      <c r="F82" s="153" t="n">
        <v>0.26</v>
      </c>
      <c r="G82" s="153" t="n">
        <v>0.22</v>
      </c>
      <c r="H82" s="154" t="n">
        <v>0</v>
      </c>
      <c r="I82" s="153" t="n">
        <v>0.2</v>
      </c>
    </row>
    <row r="83" ht="16" customHeight="1" s="179">
      <c r="A83" s="194" t="inlineStr">
        <is>
          <t xml:space="preserve">  ▌ Сезонний</t>
        </is>
      </c>
    </row>
    <row r="84" ht="15" customHeight="1" s="179">
      <c r="A84" s="152" t="inlineStr">
        <is>
          <t>Маржа клієнта %</t>
        </is>
      </c>
      <c r="B84" s="153" t="n">
        <v>0.33</v>
      </c>
      <c r="C84" s="153" t="n">
        <v>0.3</v>
      </c>
      <c r="D84" s="153" t="n">
        <v>0.32</v>
      </c>
      <c r="E84" t="n">
        <v>0.2562</v>
      </c>
      <c r="F84" s="153" t="n">
        <v>0.25</v>
      </c>
      <c r="G84" s="153" t="n">
        <v>0.2</v>
      </c>
      <c r="H84" s="154" t="n">
        <v>0</v>
      </c>
      <c r="I84" s="153" t="n">
        <v>0.19</v>
      </c>
    </row>
    <row r="85" ht="16" customHeight="1" s="179">
      <c r="A85" s="186" t="inlineStr">
        <is>
          <t xml:space="preserve">  ▌ Стратегічний</t>
        </is>
      </c>
    </row>
    <row r="86" ht="15" customHeight="1" s="179">
      <c r="A86" s="155" t="inlineStr">
        <is>
          <t>Маржа клієнта %</t>
        </is>
      </c>
      <c r="B86" s="156" t="n">
        <v>0.36</v>
      </c>
      <c r="C86" s="156" t="n">
        <v>0.34</v>
      </c>
      <c r="D86" s="156" t="n">
        <v>0.36</v>
      </c>
      <c r="E86" t="n">
        <v>0.2562</v>
      </c>
      <c r="F86" s="156" t="n">
        <v>0.27</v>
      </c>
      <c r="G86" s="156" t="n">
        <v>0.24</v>
      </c>
      <c r="H86" s="168" t="n">
        <v>0</v>
      </c>
      <c r="I86" s="156" t="n">
        <v>0.22</v>
      </c>
    </row>
    <row r="87" ht="15" customHeight="1" s="179"/>
    <row r="88" ht="15" customHeight="1" s="179"/>
    <row r="89" ht="16" customHeight="1" s="179">
      <c r="A89" s="184" t="n"/>
    </row>
    <row r="90" ht="15" customHeight="1" s="179"/>
    <row r="91" ht="15" customHeight="1" s="179"/>
  </sheetData>
  <mergeCells count="21">
    <mergeCell ref="A77:H77"/>
    <mergeCell ref="A83:H83"/>
    <mergeCell ref="A1:H1"/>
    <mergeCell ref="A79:H79"/>
    <mergeCell ref="A70:H70"/>
    <mergeCell ref="A25:H25"/>
    <mergeCell ref="A65:H65"/>
    <mergeCell ref="A54:H54"/>
    <mergeCell ref="A75:H75"/>
    <mergeCell ref="A89:H89"/>
    <mergeCell ref="A18:H18"/>
    <mergeCell ref="A26:H26"/>
    <mergeCell ref="A85:H85"/>
    <mergeCell ref="A76:H76"/>
    <mergeCell ref="A33:H33"/>
    <mergeCell ref="A47:H47"/>
    <mergeCell ref="A8:H8"/>
    <mergeCell ref="A81:H81"/>
    <mergeCell ref="A72:H72"/>
    <mergeCell ref="A10:H10"/>
    <mergeCell ref="A40:H40"/>
  </mergeCells>
  <pageMargins left="0.75" right="0.75" top="1" bottom="1" header="0.5" footer="0.5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/>
  </sheetPr>
  <dimension ref="A1:Y59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C26" sqref="C26"/>
    </sheetView>
  </sheetViews>
  <sheetFormatPr baseColWidth="10" defaultColWidth="8.83203125" defaultRowHeight="15"/>
  <cols>
    <col width="22" customWidth="1" style="179" min="1" max="1"/>
    <col width="24" customWidth="1" style="179" min="2" max="2"/>
    <col width="16" customWidth="1" style="179" min="3" max="3"/>
    <col width="20" bestFit="1" customWidth="1" style="179" min="4" max="4"/>
    <col width="24" customWidth="1" style="179" min="5" max="5"/>
    <col width="11" customWidth="1" style="179" min="6" max="7"/>
    <col width="14" customWidth="1" style="179" min="8" max="8"/>
    <col width="12" customWidth="1" style="179" min="9" max="9"/>
    <col width="14" customWidth="1" style="179" min="10" max="10"/>
    <col width="13" customWidth="1" style="179" min="11" max="11"/>
    <col width="20" customWidth="1" style="179" min="12" max="12"/>
    <col width="13" customWidth="1" style="179" min="13" max="13"/>
    <col width="12" customWidth="1" style="179" min="14" max="14"/>
    <col width="14" customWidth="1" style="179" min="15" max="15"/>
    <col width="28" customWidth="1" style="179" min="16" max="16"/>
    <col width="14" customWidth="1" style="179" min="17" max="17"/>
    <col width="24" customWidth="1" style="179" min="18" max="18"/>
    <col width="18" customWidth="1" style="179" min="19" max="20"/>
    <col width="35" customWidth="1" style="179" min="21" max="21"/>
    <col width="13" customWidth="1" style="179" min="22" max="24"/>
  </cols>
  <sheetData>
    <row r="1" ht="24" customHeight="1" s="179">
      <c r="A1" s="208" t="inlineStr">
        <is>
          <t>ТАБЛИЦЯ 1. Основна матриця комерційних умов — Канал × Тип клієнта × Обсяг</t>
        </is>
      </c>
      <c r="B1" s="199" t="n"/>
      <c r="C1" s="199" t="n"/>
      <c r="D1" s="199" t="n"/>
      <c r="E1" s="199" t="n"/>
      <c r="F1" s="199" t="n"/>
      <c r="G1" s="199" t="n"/>
      <c r="H1" s="199" t="n"/>
      <c r="I1" s="199" t="n"/>
      <c r="J1" s="199" t="n"/>
      <c r="K1" s="199" t="n"/>
      <c r="L1" s="199" t="n"/>
      <c r="M1" s="199" t="n"/>
      <c r="N1" s="199" t="n"/>
      <c r="O1" s="199" t="n"/>
      <c r="P1" s="199" t="n"/>
      <c r="Q1" s="199" t="n"/>
      <c r="R1" s="199" t="n"/>
      <c r="S1" s="199" t="n"/>
      <c r="T1" s="199" t="n"/>
      <c r="U1" s="200" t="n"/>
      <c r="V1" s="208" t="n"/>
      <c r="W1" s="208" t="n"/>
      <c r="X1" s="208" t="n"/>
    </row>
    <row r="2" ht="24" customHeight="1" s="179">
      <c r="A2" s="223" t="inlineStr">
        <is>
          <t>Джерело правил для Order_Form. Умови в межах стандартних резервів Settings (не списуються повторно). Перевищення понад стандарт — WARNING / STOP.</t>
        </is>
      </c>
      <c r="B2" s="196" t="n"/>
      <c r="C2" s="196" t="n"/>
      <c r="D2" s="196" t="n"/>
      <c r="E2" s="196" t="n"/>
      <c r="F2" s="196" t="n"/>
      <c r="G2" s="196" t="n"/>
      <c r="H2" s="196" t="n"/>
      <c r="I2" s="196" t="n"/>
      <c r="J2" s="196" t="n"/>
      <c r="K2" s="196" t="n"/>
      <c r="L2" s="196" t="n"/>
      <c r="M2" s="196" t="n"/>
      <c r="N2" s="196" t="n"/>
      <c r="O2" s="196" t="n"/>
      <c r="P2" s="196" t="n"/>
      <c r="Q2" s="196" t="n"/>
      <c r="R2" s="196" t="n"/>
      <c r="S2" s="196" t="n"/>
      <c r="T2" s="196" t="n"/>
      <c r="U2" s="197" t="n"/>
      <c r="V2" s="37" t="n"/>
      <c r="W2" s="37" t="n"/>
      <c r="X2" s="37" t="n"/>
    </row>
    <row r="3" ht="36" customHeight="1" s="179">
      <c r="A3" s="38" t="inlineStr">
        <is>
          <t>Канал</t>
        </is>
      </c>
      <c r="B3" s="38" t="inlineStr">
        <is>
          <t>Тип клієнта</t>
        </is>
      </c>
      <c r="C3" s="38" t="inlineStr">
        <is>
          <t>Етап</t>
        </is>
      </c>
      <c r="D3" s="38" t="inlineStr">
        <is>
          <t>Сценарій</t>
        </is>
      </c>
      <c r="E3" s="38" t="inlineStr">
        <is>
          <t>Мета сценарію</t>
        </is>
      </c>
      <c r="F3" s="38" t="inlineStr">
        <is>
          <t>Обсяг від
(грн)</t>
        </is>
      </c>
      <c r="G3" s="38" t="inlineStr">
        <is>
          <t>Обсяг до
(грн)</t>
        </is>
      </c>
      <c r="H3" s="38" t="inlineStr">
        <is>
          <t>Макс. знижка
в межах резерву %</t>
        </is>
      </c>
      <c r="I3" s="38" t="inlineStr">
        <is>
          <t>Welcome-
знижка %</t>
        </is>
      </c>
      <c r="J3" s="38" t="inlineStr">
        <is>
          <t>Welcome:
ліміт замовл.</t>
        </is>
      </c>
      <c r="K3" s="38" t="inlineStr">
        <is>
          <t>Welcome:
ліміт днів</t>
        </is>
      </c>
      <c r="L3" s="38" t="inlineStr">
        <is>
          <t>Доставка</t>
        </is>
      </c>
      <c r="M3" s="38" t="inlineStr">
        <is>
          <t>MOQ доставки
(грн)</t>
        </is>
      </c>
      <c r="N3" s="38" t="inlineStr">
        <is>
          <t>Відстрочка
(днів)</t>
        </is>
      </c>
      <c r="O3" s="38" t="inlineStr">
        <is>
          <t>Ретро / KPI %</t>
        </is>
      </c>
      <c r="P3" s="38" t="inlineStr">
        <is>
          <t>KPI-умова</t>
        </is>
      </c>
      <c r="Q3" s="38" t="inlineStr">
        <is>
          <t>Період KPI</t>
        </is>
      </c>
      <c r="R3" s="38" t="inlineStr">
        <is>
          <t>Маркетинг</t>
        </is>
      </c>
      <c r="S3" s="38" t="inlineStr">
        <is>
          <t>Рівень
погодження</t>
        </is>
      </c>
      <c r="T3" s="38" t="inlineStr">
        <is>
          <t>Код правила</t>
        </is>
      </c>
      <c r="U3" s="38" t="inlineStr">
        <is>
          <t>Примітка для менеджера</t>
        </is>
      </c>
      <c r="V3" s="38" t="inlineStr">
        <is>
          <t>MaxDisc%_num</t>
        </is>
      </c>
      <c r="W3" s="38" t="inlineStr">
        <is>
          <t>MaxWelc%_num</t>
        </is>
      </c>
      <c r="X3" s="38" t="inlineStr">
        <is>
          <t>MaxRetro%_num</t>
        </is>
      </c>
      <c r="Y3" s="169" t="inlineStr">
        <is>
          <t>Код
каналу</t>
        </is>
      </c>
    </row>
    <row r="4" ht="17" customHeight="1" s="179">
      <c r="A4" s="210" t="inlineStr">
        <is>
          <t>D1
Національні торговельні мережі
Великі федеральні або національні роздрібні мережі з централізованою закупівлею (АТБ, Епіцентр, Фокстрот, Comfy тощо). Переговори на рівні категорійного менеджера / комерційного директора. Обов'язковий договір, промо-план, маркетинговий бюджет. Мінімальний обсяг від 500 000 грн/рік. Висока видимість бренду, але найвищі торгові витрати та резерви.</t>
        </is>
      </c>
      <c r="B4" s="39" t="inlineStr">
        <is>
          <t>Потенційно регулярний</t>
        </is>
      </c>
      <c r="C4" s="39" t="inlineStr">
        <is>
          <t>Start</t>
        </is>
      </c>
      <c r="D4" s="39" t="inlineStr">
        <is>
          <t>D1 Start</t>
        </is>
      </c>
      <c r="E4" s="39" t="inlineStr">
        <is>
          <t>Залучення</t>
        </is>
      </c>
      <c r="F4" s="40" t="n">
        <v>100000</v>
      </c>
      <c r="G4" s="40" t="n">
        <v>500000</v>
      </c>
      <c r="H4" s="41" t="n">
        <v>0.01</v>
      </c>
      <c r="I4" s="41" t="inlineStr">
        <is>
          <t>—</t>
        </is>
      </c>
      <c r="J4" s="42" t="n">
        <v>0</v>
      </c>
      <c r="K4" s="42" t="n">
        <v>0</v>
      </c>
      <c r="L4" s="39" t="inlineStr">
        <is>
          <t>За погодженням</t>
        </is>
      </c>
      <c r="M4" s="40" t="n">
        <v>100000</v>
      </c>
      <c r="N4" s="42" t="n">
        <v>30</v>
      </c>
      <c r="O4" s="41" t="n">
        <v>0.06</v>
      </c>
      <c r="P4" s="39" t="inlineStr">
        <is>
          <t>План + RRP</t>
        </is>
      </c>
      <c r="Q4" s="43" t="inlineStr">
        <is>
          <t>Квартал</t>
        </is>
      </c>
      <c r="R4" s="39" t="inlineStr">
        <is>
          <t>Ні</t>
        </is>
      </c>
      <c r="S4" s="39" t="inlineStr">
        <is>
          <t>CEO</t>
        </is>
      </c>
      <c r="T4" s="39" t="inlineStr">
        <is>
          <t>KPI_ONLY</t>
        </is>
      </c>
      <c r="U4" s="39" t="inlineStr">
        <is>
          <t>Welcome не застосовується</t>
        </is>
      </c>
      <c r="V4" s="44">
        <f>Settings!$B$12</f>
        <v/>
      </c>
      <c r="W4" s="44" t="n">
        <v>0</v>
      </c>
      <c r="X4" s="44" t="n">
        <v>0.06</v>
      </c>
      <c r="Y4" s="170">
        <f>IFERROR(LEFT(A4,FIND(CHAR(10),A4)-1),IF(A4&lt;&gt;"",A4,""))</f>
        <v/>
      </c>
    </row>
    <row r="5" ht="17" customHeight="1" s="179">
      <c r="A5" s="202" t="n"/>
      <c r="B5" s="34" t="inlineStr">
        <is>
          <t>Регулярний</t>
        </is>
      </c>
      <c r="C5" s="33" t="inlineStr">
        <is>
          <t>Regular</t>
        </is>
      </c>
      <c r="D5" s="34" t="inlineStr">
        <is>
          <t>D1 Regular</t>
        </is>
      </c>
      <c r="E5" s="34" t="inlineStr">
        <is>
          <t>Утримання</t>
        </is>
      </c>
      <c r="F5" s="45" t="n">
        <v>500000</v>
      </c>
      <c r="G5" s="45" t="n">
        <v>2000000</v>
      </c>
      <c r="H5" s="46" t="n">
        <v>0.01</v>
      </c>
      <c r="I5" s="46" t="inlineStr">
        <is>
          <t>—</t>
        </is>
      </c>
      <c r="J5" s="47" t="n">
        <v>0</v>
      </c>
      <c r="K5" s="47" t="n">
        <v>0</v>
      </c>
      <c r="L5" s="34" t="inlineStr">
        <is>
          <t>За рахунок Extel</t>
        </is>
      </c>
      <c r="M5" s="45" t="n">
        <v>500000</v>
      </c>
      <c r="N5" s="47">
        <f>Settings!$B$15</f>
        <v/>
      </c>
      <c r="O5" s="46" t="n">
        <v>0.06</v>
      </c>
      <c r="P5" s="34" t="inlineStr">
        <is>
          <t>План + RRP + промо</t>
        </is>
      </c>
      <c r="Q5" s="33" t="inlineStr">
        <is>
          <t>Квартал</t>
        </is>
      </c>
      <c r="R5" s="34" t="inlineStr">
        <is>
          <t>Так під активність</t>
        </is>
      </c>
      <c r="S5" s="34" t="inlineStr">
        <is>
          <t>CEO+CFO</t>
        </is>
      </c>
      <c r="T5" s="34" t="inlineStr">
        <is>
          <t>KPI_ONLY</t>
        </is>
      </c>
      <c r="U5" s="48" t="inlineStr">
        <is>
          <t>Умови тільки через договір</t>
        </is>
      </c>
      <c r="V5" s="49">
        <f>Settings!$B$12</f>
        <v/>
      </c>
      <c r="W5" s="49" t="n">
        <v>0</v>
      </c>
      <c r="X5" s="49">
        <f>Settings!$B$13</f>
        <v/>
      </c>
      <c r="Y5" s="170">
        <f>IF(A5&lt;&gt;"",IFERROR(LEFT(A5,FIND(CHAR(10),A5)-1),A5),Y4)</f>
        <v/>
      </c>
    </row>
    <row r="6" ht="17" customHeight="1" s="179">
      <c r="A6" s="203" t="n"/>
      <c r="B6" s="29" t="inlineStr">
        <is>
          <t>Стратегічний</t>
        </is>
      </c>
      <c r="C6" s="28" t="inlineStr">
        <is>
          <t>Strategic</t>
        </is>
      </c>
      <c r="D6" s="29" t="inlineStr">
        <is>
          <t>D1 Strategic</t>
        </is>
      </c>
      <c r="E6" s="29" t="inlineStr">
        <is>
          <t>Масштабування</t>
        </is>
      </c>
      <c r="F6" s="50" t="n">
        <v>2000000</v>
      </c>
      <c r="G6" s="50" t="n">
        <v>999999999</v>
      </c>
      <c r="H6" s="51" t="n">
        <v>0.02</v>
      </c>
      <c r="I6" s="51" t="inlineStr">
        <is>
          <t>—</t>
        </is>
      </c>
      <c r="J6" s="52" t="n">
        <v>0</v>
      </c>
      <c r="K6" s="52" t="n">
        <v>0</v>
      </c>
      <c r="L6" s="29" t="inlineStr">
        <is>
          <t>За рахунок Extel</t>
        </is>
      </c>
      <c r="M6" s="50" t="n">
        <v>500000</v>
      </c>
      <c r="N6" s="52">
        <f>Settings!$B$15</f>
        <v/>
      </c>
      <c r="O6" s="51" t="inlineStr">
        <is>
          <t>6–8%</t>
        </is>
      </c>
      <c r="P6" s="29" t="inlineStr">
        <is>
          <t>План + маркетинг + RRP</t>
        </is>
      </c>
      <c r="Q6" s="28" t="inlineStr">
        <is>
          <t>Квартал</t>
        </is>
      </c>
      <c r="R6" s="29" t="inlineStr">
        <is>
          <t>Так під активність</t>
        </is>
      </c>
      <c r="S6" s="29" t="inlineStr">
        <is>
          <t>CEO+CFO</t>
        </is>
      </c>
      <c r="T6" s="29" t="inlineStr">
        <is>
          <t>KPI_ONLY</t>
        </is>
      </c>
      <c r="U6" s="53" t="inlineStr">
        <is>
          <t>Індивідуальне погодження</t>
        </is>
      </c>
      <c r="V6" s="49" t="n">
        <v>0.02</v>
      </c>
      <c r="W6" s="49" t="n">
        <v>0</v>
      </c>
      <c r="X6" s="49" t="n">
        <v>0.08</v>
      </c>
      <c r="Y6" s="170">
        <f>IF(A6&lt;&gt;"",IFERROR(LEFT(A6,FIND(CHAR(10),A6)-1),A6),Y5)</f>
        <v/>
      </c>
    </row>
    <row r="7" ht="17" customHeight="1" s="179">
      <c r="A7" s="212" t="inlineStr">
        <is>
          <t>D2
Регіональні мережі / великі B2B
Регіональні роздрібні мережі (3–30 магазинів), великі корпоративні B2B-клієнти, оптові покупці з регулярними обсягами. Закупівля централізована або частково децентралізована. Контракт або рамкова угода. Обсяг від 70 000 грн/квартал. Середні торгові витрати. Потенціал для ретро при стабільному зростанні.</t>
        </is>
      </c>
      <c r="B7" s="54" t="inlineStr">
        <is>
          <t>Разовий</t>
        </is>
      </c>
      <c r="C7" s="54" t="inlineStr">
        <is>
          <t>Test</t>
        </is>
      </c>
      <c r="D7" s="54" t="inlineStr">
        <is>
          <t>D2 Test</t>
        </is>
      </c>
      <c r="E7" s="54" t="inlineStr">
        <is>
          <t>Перевірка</t>
        </is>
      </c>
      <c r="F7" s="55" t="n">
        <v>10000</v>
      </c>
      <c r="G7" s="55" t="n">
        <v>30000</v>
      </c>
      <c r="H7" s="56" t="n">
        <v>0.01</v>
      </c>
      <c r="I7" s="56" t="inlineStr">
        <is>
          <t>—</t>
        </is>
      </c>
      <c r="J7" s="57" t="n">
        <v>0</v>
      </c>
      <c r="K7" s="57" t="n">
        <v>0</v>
      </c>
      <c r="L7" s="54" t="inlineStr">
        <is>
          <t>За рахунок клієнта</t>
        </is>
      </c>
      <c r="M7" s="55" t="n">
        <v>30000</v>
      </c>
      <c r="N7" s="57" t="n">
        <v>0</v>
      </c>
      <c r="O7" s="56" t="inlineStr">
        <is>
          <t>—</t>
        </is>
      </c>
      <c r="P7" s="54" t="inlineStr">
        <is>
          <t>—</t>
        </is>
      </c>
      <c r="Q7" s="58" t="inlineStr">
        <is>
          <t>—</t>
        </is>
      </c>
      <c r="R7" s="54" t="inlineStr">
        <is>
          <t>Ні</t>
        </is>
      </c>
      <c r="S7" s="54" t="inlineStr">
        <is>
          <t>Auto</t>
        </is>
      </c>
      <c r="T7" s="54" t="inlineStr">
        <is>
          <t>NO_DOUBLE_COUNT</t>
        </is>
      </c>
      <c r="U7" s="54" t="inlineStr">
        <is>
          <t>Разовий клієнт без welcome</t>
        </is>
      </c>
      <c r="V7" s="44" t="n">
        <v>0.01</v>
      </c>
      <c r="W7" s="44" t="n">
        <v>0</v>
      </c>
      <c r="X7" s="44" t="n">
        <v>0</v>
      </c>
      <c r="Y7" s="170">
        <f>IF(A7&lt;&gt;"",IFERROR(LEFT(A7,FIND(CHAR(10),A7)-1),A7),Y6)</f>
        <v/>
      </c>
    </row>
    <row r="8" ht="17" customHeight="1" s="179">
      <c r="A8" s="202" t="n"/>
      <c r="B8" s="29" t="inlineStr">
        <is>
          <t>Потенційно регулярний</t>
        </is>
      </c>
      <c r="C8" s="28" t="inlineStr">
        <is>
          <t>Start</t>
        </is>
      </c>
      <c r="D8" s="29" t="inlineStr">
        <is>
          <t>D2 Start</t>
        </is>
      </c>
      <c r="E8" s="29" t="inlineStr">
        <is>
          <t>Залучення</t>
        </is>
      </c>
      <c r="F8" s="50" t="n">
        <v>30000</v>
      </c>
      <c r="G8" s="50" t="n">
        <v>70000</v>
      </c>
      <c r="H8" s="51" t="n">
        <v>0.03</v>
      </c>
      <c r="I8" s="51" t="n">
        <v>0.02</v>
      </c>
      <c r="J8" s="52" t="n">
        <v>1</v>
      </c>
      <c r="K8" s="52" t="n">
        <v>30</v>
      </c>
      <c r="L8" s="29" t="inlineStr">
        <is>
          <t>Можлива</t>
        </is>
      </c>
      <c r="M8" s="50" t="n">
        <v>50000</v>
      </c>
      <c r="N8" s="52" t="n">
        <v>14</v>
      </c>
      <c r="O8" s="51" t="inlineStr">
        <is>
          <t>—</t>
        </is>
      </c>
      <c r="P8" s="29" t="inlineStr">
        <is>
          <t>—</t>
        </is>
      </c>
      <c r="Q8" s="28" t="inlineStr">
        <is>
          <t>—</t>
        </is>
      </c>
      <c r="R8" s="29" t="inlineStr">
        <is>
          <t>Ні</t>
        </is>
      </c>
      <c r="S8" s="29" t="inlineStr">
        <is>
          <t>Sales Lead</t>
        </is>
      </c>
      <c r="T8" s="29" t="inlineStr">
        <is>
          <t>WELCOME_1 · DELIVERY_MOQ</t>
        </is>
      </c>
      <c r="U8" s="53" t="inlineStr">
        <is>
          <t>Welcome тільки 1 раз</t>
        </is>
      </c>
      <c r="V8" s="49">
        <f>Settings!$C$12</f>
        <v/>
      </c>
      <c r="W8" s="49" t="n">
        <v>0.02</v>
      </c>
      <c r="X8" s="49" t="n">
        <v>0</v>
      </c>
      <c r="Y8" s="170">
        <f>IF(A8&lt;&gt;"",IFERROR(LEFT(A8,FIND(CHAR(10),A8)-1),A8),Y7)</f>
        <v/>
      </c>
    </row>
    <row r="9" ht="17" customHeight="1" s="179">
      <c r="A9" s="202" t="n"/>
      <c r="B9" s="34" t="inlineStr">
        <is>
          <t>Регулярний</t>
        </is>
      </c>
      <c r="C9" s="33" t="inlineStr">
        <is>
          <t>Growth</t>
        </is>
      </c>
      <c r="D9" s="34" t="inlineStr">
        <is>
          <t>D2 Growth</t>
        </is>
      </c>
      <c r="E9" s="34" t="inlineStr">
        <is>
          <t>Ріст</t>
        </is>
      </c>
      <c r="F9" s="45" t="n">
        <v>70000</v>
      </c>
      <c r="G9" s="45" t="n">
        <v>150000</v>
      </c>
      <c r="H9" s="46" t="n">
        <v>0.03</v>
      </c>
      <c r="I9" s="46" t="inlineStr">
        <is>
          <t>—</t>
        </is>
      </c>
      <c r="J9" s="47" t="n">
        <v>0</v>
      </c>
      <c r="K9" s="47" t="n">
        <v>0</v>
      </c>
      <c r="L9" s="34" t="inlineStr">
        <is>
          <t>Можлива</t>
        </is>
      </c>
      <c r="M9" s="45" t="n">
        <v>70000</v>
      </c>
      <c r="N9" s="47">
        <f>Settings!$C$15</f>
        <v/>
      </c>
      <c r="O9" s="46" t="n">
        <v>0.02</v>
      </c>
      <c r="P9" s="34" t="inlineStr">
        <is>
          <t>План + регулярність</t>
        </is>
      </c>
      <c r="Q9" s="33" t="inlineStr">
        <is>
          <t>Квартал</t>
        </is>
      </c>
      <c r="R9" s="34" t="inlineStr">
        <is>
          <t>Ні</t>
        </is>
      </c>
      <c r="S9" s="34" t="inlineStr">
        <is>
          <t>Sales Lead</t>
        </is>
      </c>
      <c r="T9" s="34" t="inlineStr">
        <is>
          <t>KPI_ONLY · DELIVERY_MOQ</t>
        </is>
      </c>
      <c r="U9" s="48" t="inlineStr">
        <is>
          <t>Ретро після KPI</t>
        </is>
      </c>
      <c r="V9" s="49">
        <f>Settings!$C$12</f>
        <v/>
      </c>
      <c r="W9" s="49" t="n">
        <v>0</v>
      </c>
      <c r="X9" s="49">
        <f>Settings!$C$13</f>
        <v/>
      </c>
      <c r="Y9" s="170">
        <f>IF(A9&lt;&gt;"",IFERROR(LEFT(A9,FIND(CHAR(10),A9)-1),A9),Y8)</f>
        <v/>
      </c>
    </row>
    <row r="10" ht="17" customHeight="1" s="179">
      <c r="A10" s="203" t="n"/>
      <c r="B10" s="29" t="inlineStr">
        <is>
          <t>Стратегічний</t>
        </is>
      </c>
      <c r="C10" s="28" t="inlineStr">
        <is>
          <t>Strategic</t>
        </is>
      </c>
      <c r="D10" s="29" t="inlineStr">
        <is>
          <t>D2 Strategic</t>
        </is>
      </c>
      <c r="E10" s="29" t="inlineStr">
        <is>
          <t>Масштабування</t>
        </is>
      </c>
      <c r="F10" s="50" t="n">
        <v>150000</v>
      </c>
      <c r="G10" s="50" t="n">
        <v>999999999</v>
      </c>
      <c r="H10" s="51" t="n">
        <v>0.03</v>
      </c>
      <c r="I10" s="51" t="inlineStr">
        <is>
          <t>—</t>
        </is>
      </c>
      <c r="J10" s="52" t="n">
        <v>0</v>
      </c>
      <c r="K10" s="52" t="n">
        <v>0</v>
      </c>
      <c r="L10" s="29" t="inlineStr">
        <is>
          <t>За рахунок Extel</t>
        </is>
      </c>
      <c r="M10" s="50" t="n">
        <v>150000</v>
      </c>
      <c r="N10" s="52">
        <f>Settings!$C$15</f>
        <v/>
      </c>
      <c r="O10" s="51" t="inlineStr">
        <is>
          <t>2–3%</t>
        </is>
      </c>
      <c r="P10" s="29" t="inlineStr">
        <is>
          <t>План + асортимент + RRP</t>
        </is>
      </c>
      <c r="Q10" s="28" t="inlineStr">
        <is>
          <t>Квартал</t>
        </is>
      </c>
      <c r="R10" s="29" t="inlineStr">
        <is>
          <t>За погодженням</t>
        </is>
      </c>
      <c r="S10" s="29" t="inlineStr">
        <is>
          <t>CEO</t>
        </is>
      </c>
      <c r="T10" s="29" t="inlineStr">
        <is>
          <t>KPI_ONLY</t>
        </is>
      </c>
      <c r="U10" s="53" t="inlineStr">
        <is>
          <t>Індивідуальний план</t>
        </is>
      </c>
      <c r="V10" s="49">
        <f>Settings!$C$12</f>
        <v/>
      </c>
      <c r="W10" s="49" t="n">
        <v>0</v>
      </c>
      <c r="X10" s="49" t="n">
        <v>0.03</v>
      </c>
      <c r="Y10" s="170">
        <f>IF(A10&lt;&gt;"",IFERROR(LEFT(A10,FIND(CHAR(10),A10)-1),A10),Y9)</f>
        <v/>
      </c>
    </row>
    <row r="11" ht="17" customHeight="1" s="179">
      <c r="A11" s="205" t="inlineStr">
        <is>
          <t>D3
Дилери, магазини, дрібний опт
Незалежні магазини електроніки / побутової техніки, дрібнооптові покупці, монтажні компанії, сервісні організації, ФОП-перекупники. Разові або нерегулярні закупівлі без довгострокового контракту. Обсяг від 5 000 грн. Передоплата або коротка відстрочка. Перехід у Regular при 3+ замовленнях за 60 днів.</t>
        </is>
      </c>
      <c r="B11" s="54" t="inlineStr">
        <is>
          <t>Разовий</t>
        </is>
      </c>
      <c r="C11" s="54" t="inlineStr">
        <is>
          <t>Test</t>
        </is>
      </c>
      <c r="D11" s="54" t="inlineStr">
        <is>
          <t>D3 Test</t>
        </is>
      </c>
      <c r="E11" s="54" t="inlineStr">
        <is>
          <t>Перевірка</t>
        </is>
      </c>
      <c r="F11" s="55" t="n">
        <v>5000</v>
      </c>
      <c r="G11" s="55" t="n">
        <v>15000</v>
      </c>
      <c r="H11" s="56" t="inlineStr">
        <is>
          <t>—</t>
        </is>
      </c>
      <c r="I11" s="56" t="inlineStr">
        <is>
          <t>—</t>
        </is>
      </c>
      <c r="J11" s="57" t="n">
        <v>0</v>
      </c>
      <c r="K11" s="57" t="n">
        <v>0</v>
      </c>
      <c r="L11" s="54" t="inlineStr">
        <is>
          <t>За рахунок клієнта</t>
        </is>
      </c>
      <c r="M11" s="55" t="n">
        <v>30000</v>
      </c>
      <c r="N11" s="57" t="n">
        <v>0</v>
      </c>
      <c r="O11" s="56" t="inlineStr">
        <is>
          <t>—</t>
        </is>
      </c>
      <c r="P11" s="54" t="inlineStr">
        <is>
          <t>—</t>
        </is>
      </c>
      <c r="Q11" s="58" t="inlineStr">
        <is>
          <t>—</t>
        </is>
      </c>
      <c r="R11" s="54" t="inlineStr">
        <is>
          <t>Ні</t>
        </is>
      </c>
      <c r="S11" s="54" t="inlineStr">
        <is>
          <t>Auto</t>
        </is>
      </c>
      <c r="T11" s="54" t="inlineStr">
        <is>
          <t>NO_DOUBLE_COUNT</t>
        </is>
      </c>
      <c r="U11" s="54" t="inlineStr">
        <is>
          <t>Без спецумов</t>
        </is>
      </c>
      <c r="V11" s="44" t="n">
        <v>0</v>
      </c>
      <c r="W11" s="44" t="n">
        <v>0</v>
      </c>
      <c r="X11" s="44" t="n">
        <v>0</v>
      </c>
      <c r="Y11" s="170">
        <f>IF(A11&lt;&gt;"",IFERROR(LEFT(A11,FIND(CHAR(10),A11)-1),A11),Y10)</f>
        <v/>
      </c>
    </row>
    <row r="12" ht="17" customHeight="1" s="179">
      <c r="A12" s="202" t="n"/>
      <c r="B12" s="29" t="inlineStr">
        <is>
          <t>Потенційно регулярний</t>
        </is>
      </c>
      <c r="C12" s="28" t="inlineStr">
        <is>
          <t>Start</t>
        </is>
      </c>
      <c r="D12" s="29" t="inlineStr">
        <is>
          <t>D3 Start</t>
        </is>
      </c>
      <c r="E12" s="29" t="inlineStr">
        <is>
          <t>Залучення</t>
        </is>
      </c>
      <c r="F12" s="50" t="n">
        <v>15000</v>
      </c>
      <c r="G12" s="50" t="n">
        <v>30000</v>
      </c>
      <c r="H12" s="51" t="n">
        <v>0.02</v>
      </c>
      <c r="I12" s="51" t="n">
        <v>0.02</v>
      </c>
      <c r="J12" s="52" t="n">
        <v>1</v>
      </c>
      <c r="K12" s="52" t="n">
        <v>30</v>
      </c>
      <c r="L12" s="29" t="inlineStr">
        <is>
          <t>За рахунок клієнта</t>
        </is>
      </c>
      <c r="M12" s="50" t="n">
        <v>30000</v>
      </c>
      <c r="N12" s="52" t="n">
        <v>0</v>
      </c>
      <c r="O12" s="51" t="inlineStr">
        <is>
          <t>—</t>
        </is>
      </c>
      <c r="P12" s="29" t="inlineStr">
        <is>
          <t>—</t>
        </is>
      </c>
      <c r="Q12" s="28" t="inlineStr">
        <is>
          <t>—</t>
        </is>
      </c>
      <c r="R12" s="29" t="inlineStr">
        <is>
          <t>Ні</t>
        </is>
      </c>
      <c r="S12" s="29" t="inlineStr">
        <is>
          <t>Sales Lead</t>
        </is>
      </c>
      <c r="T12" s="29" t="inlineStr">
        <is>
          <t>WELCOME_1</t>
        </is>
      </c>
      <c r="U12" s="53" t="inlineStr">
        <is>
          <t>Welcome тільки при потенціалі</t>
        </is>
      </c>
      <c r="V12" s="49">
        <f>Settings!$D$12</f>
        <v/>
      </c>
      <c r="W12" s="49" t="n">
        <v>0.02</v>
      </c>
      <c r="X12" s="49" t="n">
        <v>0</v>
      </c>
      <c r="Y12" s="170">
        <f>IF(A12&lt;&gt;"",IFERROR(LEFT(A12,FIND(CHAR(10),A12)-1),A12),Y11)</f>
        <v/>
      </c>
    </row>
    <row r="13" ht="17" customHeight="1" s="179">
      <c r="A13" s="202" t="n"/>
      <c r="B13" s="34" t="inlineStr">
        <is>
          <t>Регулярний</t>
        </is>
      </c>
      <c r="C13" s="33" t="inlineStr">
        <is>
          <t>Regular</t>
        </is>
      </c>
      <c r="D13" s="34" t="inlineStr">
        <is>
          <t>D3 Regular</t>
        </is>
      </c>
      <c r="E13" s="34" t="inlineStr">
        <is>
          <t>Утримання</t>
        </is>
      </c>
      <c r="F13" s="45" t="n">
        <v>30000</v>
      </c>
      <c r="G13" s="45" t="n">
        <v>75000</v>
      </c>
      <c r="H13" s="46" t="n">
        <v>0.02</v>
      </c>
      <c r="I13" s="46" t="inlineStr">
        <is>
          <t>—</t>
        </is>
      </c>
      <c r="J13" s="47" t="n">
        <v>0</v>
      </c>
      <c r="K13" s="47" t="n">
        <v>0</v>
      </c>
      <c r="L13" s="34" t="inlineStr">
        <is>
          <t>Можлива</t>
        </is>
      </c>
      <c r="M13" s="45" t="n">
        <v>30000</v>
      </c>
      <c r="N13" s="47">
        <f>Settings!$D$15</f>
        <v/>
      </c>
      <c r="O13" s="46" t="n">
        <v>0.01</v>
      </c>
      <c r="P13" s="34" t="inlineStr">
        <is>
          <t>Регулярність</t>
        </is>
      </c>
      <c r="Q13" s="33" t="inlineStr">
        <is>
          <t>Місяць</t>
        </is>
      </c>
      <c r="R13" s="34" t="inlineStr">
        <is>
          <t>Ні</t>
        </is>
      </c>
      <c r="S13" s="34" t="inlineStr">
        <is>
          <t>Sales Lead</t>
        </is>
      </c>
      <c r="T13" s="34" t="inlineStr">
        <is>
          <t>KPI_ONLY · DELIVERY_MOQ</t>
        </is>
      </c>
      <c r="U13" s="48" t="inlineStr">
        <is>
          <t>Доставка тільки від MOQ</t>
        </is>
      </c>
      <c r="V13" s="49">
        <f>Settings!$D$12</f>
        <v/>
      </c>
      <c r="W13" s="49" t="n">
        <v>0</v>
      </c>
      <c r="X13" s="49" t="n">
        <v>0.01</v>
      </c>
      <c r="Y13" s="170">
        <f>IF(A13&lt;&gt;"",IFERROR(LEFT(A13,FIND(CHAR(10),A13)-1),A13),Y12)</f>
        <v/>
      </c>
    </row>
    <row r="14" ht="17" customHeight="1" s="179">
      <c r="A14" s="203" t="n"/>
      <c r="B14" s="29" t="inlineStr">
        <is>
          <t>Стратегічний</t>
        </is>
      </c>
      <c r="C14" s="28" t="inlineStr">
        <is>
          <t>Growth</t>
        </is>
      </c>
      <c r="D14" s="29" t="inlineStr">
        <is>
          <t>D3 Growth</t>
        </is>
      </c>
      <c r="E14" s="29" t="inlineStr">
        <is>
          <t>Ріст</t>
        </is>
      </c>
      <c r="F14" s="50" t="n">
        <v>75000</v>
      </c>
      <c r="G14" s="50" t="n">
        <v>999999999</v>
      </c>
      <c r="H14" s="51" t="n">
        <v>0.03</v>
      </c>
      <c r="I14" s="51" t="inlineStr">
        <is>
          <t>—</t>
        </is>
      </c>
      <c r="J14" s="52" t="n">
        <v>0</v>
      </c>
      <c r="K14" s="52" t="n">
        <v>0</v>
      </c>
      <c r="L14" s="29" t="inlineStr">
        <is>
          <t>За рахунок Extel</t>
        </is>
      </c>
      <c r="M14" s="50" t="n">
        <v>75000</v>
      </c>
      <c r="N14" s="52" t="n">
        <v>14</v>
      </c>
      <c r="O14" s="51" t="inlineStr">
        <is>
          <t>1–2%</t>
        </is>
      </c>
      <c r="P14" s="29" t="inlineStr">
        <is>
          <t>План + асортимент</t>
        </is>
      </c>
      <c r="Q14" s="28" t="inlineStr">
        <is>
          <t>Квартал</t>
        </is>
      </c>
      <c r="R14" s="29" t="inlineStr">
        <is>
          <t>За погодженням</t>
        </is>
      </c>
      <c r="S14" s="29" t="inlineStr">
        <is>
          <t>Sales Lead</t>
        </is>
      </c>
      <c r="T14" s="29" t="inlineStr">
        <is>
          <t>KPI_ONLY</t>
        </is>
      </c>
      <c r="U14" s="53" t="inlineStr">
        <is>
          <t>Перевіряти маржу</t>
        </is>
      </c>
      <c r="V14" s="49">
        <f>Settings!$D$12</f>
        <v/>
      </c>
      <c r="W14" s="49" t="n">
        <v>0</v>
      </c>
      <c r="X14" s="49">
        <f>Settings!$D$13</f>
        <v/>
      </c>
      <c r="Y14" s="170">
        <f>IF(A14&lt;&gt;"",IFERROR(LEFT(A14,FIND(CHAR(10),A14)-1),A14),Y13)</f>
        <v/>
      </c>
    </row>
    <row r="15" ht="17" customHeight="1" s="179">
      <c r="A15" s="206" t="inlineStr">
        <is>
          <t>D4 Buy
Інтернет-магазини (викуп на склад)
Онлайн-ритейлери, які купують товар на власний склад і продають самостійно. Включає маркетплейси (Rozetka, Prom, OLX та ін.) з моделлю підтвердженого викупу. Жорсткий контроль RRP — порушення блокує бонуси. Обсяг від 10 000 грн. Умови залежать від дотримання рекомендованих роздрібних цін та асортиментного плану.</t>
        </is>
      </c>
      <c r="B15" s="54" t="inlineStr">
        <is>
          <t>Разовий</t>
        </is>
      </c>
      <c r="C15" s="54" t="inlineStr">
        <is>
          <t>Test</t>
        </is>
      </c>
      <c r="D15" s="54" t="inlineStr">
        <is>
          <t>D4 Buy Test</t>
        </is>
      </c>
      <c r="E15" s="54" t="inlineStr">
        <is>
          <t>Перевірка</t>
        </is>
      </c>
      <c r="F15" s="55" t="n">
        <v>10000</v>
      </c>
      <c r="G15" s="55" t="n">
        <v>30000</v>
      </c>
      <c r="H15" s="56" t="n">
        <v>0.01</v>
      </c>
      <c r="I15" s="56" t="inlineStr">
        <is>
          <t>—</t>
        </is>
      </c>
      <c r="J15" s="57" t="n">
        <v>0</v>
      </c>
      <c r="K15" s="57" t="n">
        <v>0</v>
      </c>
      <c r="L15" s="54" t="inlineStr">
        <is>
          <t>За рахунок клієнта</t>
        </is>
      </c>
      <c r="M15" s="55" t="n">
        <v>50000</v>
      </c>
      <c r="N15" s="57" t="n">
        <v>0</v>
      </c>
      <c r="O15" s="56" t="inlineStr">
        <is>
          <t>—</t>
        </is>
      </c>
      <c r="P15" s="54" t="inlineStr">
        <is>
          <t>—</t>
        </is>
      </c>
      <c r="Q15" s="58" t="inlineStr">
        <is>
          <t>—</t>
        </is>
      </c>
      <c r="R15" s="54" t="inlineStr">
        <is>
          <t>Ні</t>
        </is>
      </c>
      <c r="S15" s="54" t="inlineStr">
        <is>
          <t>Auto</t>
        </is>
      </c>
      <c r="T15" s="54" t="inlineStr">
        <is>
          <t>RRP_CONTROL</t>
        </is>
      </c>
      <c r="U15" s="54" t="inlineStr">
        <is>
          <t>Контроль RRP</t>
        </is>
      </c>
      <c r="V15" s="44" t="n">
        <v>0.01</v>
      </c>
      <c r="W15" s="44" t="n">
        <v>0</v>
      </c>
      <c r="X15" s="44" t="n">
        <v>0</v>
      </c>
      <c r="Y15" s="170">
        <f>IF(A15&lt;&gt;"",IFERROR(LEFT(A15,FIND(CHAR(10),A15)-1),A15),Y14)</f>
        <v/>
      </c>
    </row>
    <row r="16" ht="17" customHeight="1" s="179">
      <c r="A16" s="202" t="n"/>
      <c r="B16" s="29" t="inlineStr">
        <is>
          <t>Потенційно регулярний</t>
        </is>
      </c>
      <c r="C16" s="28" t="inlineStr">
        <is>
          <t>Start</t>
        </is>
      </c>
      <c r="D16" s="29" t="inlineStr">
        <is>
          <t>D4 Buy Start</t>
        </is>
      </c>
      <c r="E16" s="29" t="inlineStr">
        <is>
          <t>Залучення</t>
        </is>
      </c>
      <c r="F16" s="50" t="n">
        <v>30000</v>
      </c>
      <c r="G16" s="50" t="n">
        <v>70000</v>
      </c>
      <c r="H16" s="51" t="n">
        <v>0.02</v>
      </c>
      <c r="I16" s="51" t="n">
        <v>0.02</v>
      </c>
      <c r="J16" s="52" t="n">
        <v>1</v>
      </c>
      <c r="K16" s="52" t="n">
        <v>30</v>
      </c>
      <c r="L16" s="29" t="inlineStr">
        <is>
          <t>Можлива</t>
        </is>
      </c>
      <c r="M16" s="50" t="n">
        <v>50000</v>
      </c>
      <c r="N16" s="52" t="n">
        <v>7</v>
      </c>
      <c r="O16" s="51" t="inlineStr">
        <is>
          <t>—</t>
        </is>
      </c>
      <c r="P16" s="29" t="inlineStr">
        <is>
          <t>RRP</t>
        </is>
      </c>
      <c r="Q16" s="28" t="inlineStr">
        <is>
          <t>—</t>
        </is>
      </c>
      <c r="R16" s="29" t="inlineStr">
        <is>
          <t>Ні</t>
        </is>
      </c>
      <c r="S16" s="29" t="inlineStr">
        <is>
          <t>Sales Lead</t>
        </is>
      </c>
      <c r="T16" s="29" t="inlineStr">
        <is>
          <t>WELCOME_1 · RRP_CONTROL</t>
        </is>
      </c>
      <c r="U16" s="53" t="inlineStr">
        <is>
          <t>Welcome тільки при RRP</t>
        </is>
      </c>
      <c r="V16" s="49">
        <f>Settings!$E$12</f>
        <v/>
      </c>
      <c r="W16" s="49" t="n">
        <v>0.02</v>
      </c>
      <c r="X16" s="49" t="n">
        <v>0</v>
      </c>
      <c r="Y16" s="170">
        <f>IF(A16&lt;&gt;"",IFERROR(LEFT(A16,FIND(CHAR(10),A16)-1),A16),Y15)</f>
        <v/>
      </c>
    </row>
    <row r="17" ht="17" customHeight="1" s="179">
      <c r="A17" s="202" t="n"/>
      <c r="B17" s="34" t="inlineStr">
        <is>
          <t>Регулярний</t>
        </is>
      </c>
      <c r="C17" s="33" t="inlineStr">
        <is>
          <t>Regular</t>
        </is>
      </c>
      <c r="D17" s="34" t="inlineStr">
        <is>
          <t>D4 Buy Regular</t>
        </is>
      </c>
      <c r="E17" s="34" t="inlineStr">
        <is>
          <t>Утримання</t>
        </is>
      </c>
      <c r="F17" s="45" t="n">
        <v>70000</v>
      </c>
      <c r="G17" s="45" t="n">
        <v>150000</v>
      </c>
      <c r="H17" s="46" t="n">
        <v>0.02</v>
      </c>
      <c r="I17" s="46" t="inlineStr">
        <is>
          <t>—</t>
        </is>
      </c>
      <c r="J17" s="47" t="n">
        <v>0</v>
      </c>
      <c r="K17" s="47" t="n">
        <v>0</v>
      </c>
      <c r="L17" s="34" t="inlineStr">
        <is>
          <t>Можлива</t>
        </is>
      </c>
      <c r="M17" s="45" t="n">
        <v>70000</v>
      </c>
      <c r="N17" s="47">
        <f>Settings!$E$15</f>
        <v/>
      </c>
      <c r="O17" s="46" t="n">
        <v>0.015</v>
      </c>
      <c r="P17" s="34" t="inlineStr">
        <is>
          <t>План + RRP</t>
        </is>
      </c>
      <c r="Q17" s="33" t="inlineStr">
        <is>
          <t>Квартал</t>
        </is>
      </c>
      <c r="R17" s="34" t="inlineStr">
        <is>
          <t>Ні</t>
        </is>
      </c>
      <c r="S17" s="34" t="inlineStr">
        <is>
          <t>Sales Lead</t>
        </is>
      </c>
      <c r="T17" s="34" t="inlineStr">
        <is>
          <t>KPI_ONLY · RRP_CONTROL</t>
        </is>
      </c>
      <c r="U17" s="48" t="inlineStr">
        <is>
          <t>Бонус тільки без демпінгу</t>
        </is>
      </c>
      <c r="V17" s="49">
        <f>Settings!$E$12</f>
        <v/>
      </c>
      <c r="W17" s="49" t="n">
        <v>0</v>
      </c>
      <c r="X17" s="49">
        <f>Settings!$E$13</f>
        <v/>
      </c>
      <c r="Y17" s="170">
        <f>IF(A17&lt;&gt;"",IFERROR(LEFT(A17,FIND(CHAR(10),A17)-1),A17),Y16)</f>
        <v/>
      </c>
    </row>
    <row r="18" ht="17" customHeight="1" s="179">
      <c r="A18" s="203" t="n"/>
      <c r="B18" s="29" t="inlineStr">
        <is>
          <t>Стратегічний</t>
        </is>
      </c>
      <c r="C18" s="28" t="inlineStr">
        <is>
          <t>Growth</t>
        </is>
      </c>
      <c r="D18" s="29" t="inlineStr">
        <is>
          <t>D4 Buy Growth</t>
        </is>
      </c>
      <c r="E18" s="29" t="inlineStr">
        <is>
          <t>Ріст</t>
        </is>
      </c>
      <c r="F18" s="50" t="n">
        <v>150000</v>
      </c>
      <c r="G18" s="50" t="n">
        <v>999999999</v>
      </c>
      <c r="H18" s="51" t="n">
        <v>0.02</v>
      </c>
      <c r="I18" s="51" t="inlineStr">
        <is>
          <t>—</t>
        </is>
      </c>
      <c r="J18" s="52" t="n">
        <v>0</v>
      </c>
      <c r="K18" s="52" t="n">
        <v>0</v>
      </c>
      <c r="L18" s="29" t="inlineStr">
        <is>
          <t>За рахунок Extel</t>
        </is>
      </c>
      <c r="M18" s="50" t="n">
        <v>150000</v>
      </c>
      <c r="N18" s="52" t="n">
        <v>21</v>
      </c>
      <c r="O18" s="51" t="inlineStr">
        <is>
          <t>1.5–2%</t>
        </is>
      </c>
      <c r="P18" s="29" t="inlineStr">
        <is>
          <t>План + RRP + контент</t>
        </is>
      </c>
      <c r="Q18" s="28" t="inlineStr">
        <is>
          <t>Квартал</t>
        </is>
      </c>
      <c r="R18" s="29" t="inlineStr">
        <is>
          <t>За погодженням</t>
        </is>
      </c>
      <c r="S18" s="29" t="inlineStr">
        <is>
          <t>CEO</t>
        </is>
      </c>
      <c r="T18" s="29" t="inlineStr">
        <is>
          <t>RRP_CONTROL</t>
        </is>
      </c>
      <c r="U18" s="53" t="inlineStr">
        <is>
          <t>Жорсткий контроль RRP</t>
        </is>
      </c>
      <c r="V18" s="49">
        <f>Settings!$E$12</f>
        <v/>
      </c>
      <c r="W18" s="49" t="n">
        <v>0</v>
      </c>
      <c r="X18" s="49" t="n">
        <v>0.02</v>
      </c>
      <c r="Y18" s="170">
        <f>IF(A18&lt;&gt;"",IFERROR(LEFT(A18,FIND(CHAR(10),A18)-1),A18),Y17)</f>
        <v/>
      </c>
    </row>
    <row r="19" ht="17" customHeight="1" s="179">
      <c r="A19" s="201" t="inlineStr">
        <is>
          <t>D4 Drop
Дропшипери (відправка під замовлення)
Онлайн-продавці без власного складу. Кожне замовлення — під конкретного кінцевого покупця; товар відправляється напряму від Extel. Не несуть товарного ризику, але операційно найдорожчий канал для Extel. Без welcome-умов. Обсяг рахується за фактичними відвантаженнями. Контроль % повернень обов'язковий.</t>
        </is>
      </c>
      <c r="B19" s="54" t="inlineStr">
        <is>
          <t>Потенційно регулярний</t>
        </is>
      </c>
      <c r="C19" s="54" t="inlineStr">
        <is>
          <t>Start</t>
        </is>
      </c>
      <c r="D19" s="54" t="inlineStr">
        <is>
          <t>D4 Drop Start</t>
        </is>
      </c>
      <c r="E19" s="54" t="inlineStr">
        <is>
          <t>Залучення</t>
        </is>
      </c>
      <c r="F19" s="55" t="n">
        <v>0</v>
      </c>
      <c r="G19" s="55" t="n">
        <v>50000</v>
      </c>
      <c r="H19" s="56" t="n">
        <v>0.01</v>
      </c>
      <c r="I19" s="56" t="inlineStr">
        <is>
          <t>—</t>
        </is>
      </c>
      <c r="J19" s="57" t="n">
        <v>0</v>
      </c>
      <c r="K19" s="57" t="n">
        <v>0</v>
      </c>
      <c r="L19" s="54" t="inlineStr">
        <is>
          <t>За рах. клієнта / покупця</t>
        </is>
      </c>
      <c r="M19" s="55" t="n">
        <v>0</v>
      </c>
      <c r="N19" s="57" t="n">
        <v>0</v>
      </c>
      <c r="O19" s="56" t="inlineStr">
        <is>
          <t>—</t>
        </is>
      </c>
      <c r="P19" s="54" t="inlineStr">
        <is>
          <t>—</t>
        </is>
      </c>
      <c r="Q19" s="58" t="inlineStr">
        <is>
          <t>—</t>
        </is>
      </c>
      <c r="R19" s="54" t="inlineStr">
        <is>
          <t>Ні</t>
        </is>
      </c>
      <c r="S19" s="54" t="inlineStr">
        <is>
          <t>Auto</t>
        </is>
      </c>
      <c r="T19" s="54" t="inlineStr">
        <is>
          <t>NO_DOUBLE_COUNT</t>
        </is>
      </c>
      <c r="U19" s="54" t="inlineStr">
        <is>
          <t>Без welcome. Канал дорогий операційно</t>
        </is>
      </c>
      <c r="V19" s="44" t="n">
        <v>0.01</v>
      </c>
      <c r="W19" s="44" t="n">
        <v>0</v>
      </c>
      <c r="X19" s="44" t="n">
        <v>0</v>
      </c>
      <c r="Y19" s="170">
        <f>IF(A19&lt;&gt;"",IFERROR(LEFT(A19,FIND(CHAR(10),A19)-1),A19),Y18)</f>
        <v/>
      </c>
    </row>
    <row r="20" ht="17" customHeight="1" s="179">
      <c r="A20" s="202" t="n"/>
      <c r="B20" s="29" t="inlineStr">
        <is>
          <t>Регулярний</t>
        </is>
      </c>
      <c r="C20" s="28" t="inlineStr">
        <is>
          <t>Regular</t>
        </is>
      </c>
      <c r="D20" s="29" t="inlineStr">
        <is>
          <t>D4 Drop Regular</t>
        </is>
      </c>
      <c r="E20" s="29" t="inlineStr">
        <is>
          <t>Утримання</t>
        </is>
      </c>
      <c r="F20" s="50" t="n">
        <v>50000</v>
      </c>
      <c r="G20" s="50" t="n">
        <v>150000</v>
      </c>
      <c r="H20" s="51" t="n">
        <v>0.01</v>
      </c>
      <c r="I20" s="51" t="inlineStr">
        <is>
          <t>—</t>
        </is>
      </c>
      <c r="J20" s="52" t="n">
        <v>0</v>
      </c>
      <c r="K20" s="52" t="n">
        <v>0</v>
      </c>
      <c r="L20" s="29" t="inlineStr">
        <is>
          <t>За правилами dropship</t>
        </is>
      </c>
      <c r="M20" s="50" t="n">
        <v>0</v>
      </c>
      <c r="N20" s="52" t="n">
        <v>0</v>
      </c>
      <c r="O20" s="51" t="n">
        <v>0.01</v>
      </c>
      <c r="P20" s="29" t="inlineStr">
        <is>
          <t>Регулярність + повернення</t>
        </is>
      </c>
      <c r="Q20" s="28" t="inlineStr">
        <is>
          <t>Місяць</t>
        </is>
      </c>
      <c r="R20" s="29" t="inlineStr">
        <is>
          <t>Ні</t>
        </is>
      </c>
      <c r="S20" s="29" t="inlineStr">
        <is>
          <t>Sales Lead</t>
        </is>
      </c>
      <c r="T20" s="29" t="inlineStr">
        <is>
          <t>KPI_ONLY</t>
        </is>
      </c>
      <c r="U20" s="53" t="inlineStr">
        <is>
          <t>Контроль повернень</t>
        </is>
      </c>
      <c r="V20" s="49" t="n">
        <v>0.01</v>
      </c>
      <c r="W20" s="49" t="n">
        <v>0</v>
      </c>
      <c r="X20" s="49">
        <f>Settings!$F$13</f>
        <v/>
      </c>
      <c r="Y20" s="170">
        <f>IF(A20&lt;&gt;"",IFERROR(LEFT(A20,FIND(CHAR(10),A20)-1),A20),Y19)</f>
        <v/>
      </c>
    </row>
    <row r="21" ht="17" customHeight="1" s="179">
      <c r="A21" s="203" t="n"/>
      <c r="B21" s="34" t="inlineStr">
        <is>
          <t>Стратегічний</t>
        </is>
      </c>
      <c r="C21" s="33" t="inlineStr">
        <is>
          <t>Growth</t>
        </is>
      </c>
      <c r="D21" s="34" t="inlineStr">
        <is>
          <t>D4 Drop Growth</t>
        </is>
      </c>
      <c r="E21" s="34" t="inlineStr">
        <is>
          <t>Ріст</t>
        </is>
      </c>
      <c r="F21" s="45" t="n">
        <v>150000</v>
      </c>
      <c r="G21" s="45" t="n">
        <v>999999999</v>
      </c>
      <c r="H21" s="46" t="n">
        <v>0.01</v>
      </c>
      <c r="I21" s="46" t="inlineStr">
        <is>
          <t>—</t>
        </is>
      </c>
      <c r="J21" s="47" t="n">
        <v>0</v>
      </c>
      <c r="K21" s="47" t="n">
        <v>0</v>
      </c>
      <c r="L21" s="34" t="inlineStr">
        <is>
          <t>За правилами dropship</t>
        </is>
      </c>
      <c r="M21" s="45" t="n">
        <v>0</v>
      </c>
      <c r="N21" s="47" t="n">
        <v>7</v>
      </c>
      <c r="O21" s="46" t="inlineStr">
        <is>
          <t>1–2%</t>
        </is>
      </c>
      <c r="P21" s="34" t="inlineStr">
        <is>
          <t>Обсяг + автоматизація</t>
        </is>
      </c>
      <c r="Q21" s="33" t="inlineStr">
        <is>
          <t>Квартал</t>
        </is>
      </c>
      <c r="R21" s="34" t="inlineStr">
        <is>
          <t>Ні</t>
        </is>
      </c>
      <c r="S21" s="34" t="inlineStr">
        <is>
          <t>CEO</t>
        </is>
      </c>
      <c r="T21" s="34" t="inlineStr">
        <is>
          <t>KPI_ONLY</t>
        </is>
      </c>
      <c r="U21" s="48" t="inlineStr">
        <is>
          <t>Тільки при автоматизації</t>
        </is>
      </c>
      <c r="V21" s="49" t="n">
        <v>0.01</v>
      </c>
      <c r="W21" s="49" t="n">
        <v>0</v>
      </c>
      <c r="X21" s="49">
        <f>Settings!$F$13</f>
        <v/>
      </c>
      <c r="Y21" s="170">
        <f>IF(A21&lt;&gt;"",IFERROR(LEFT(A21,FIND(CHAR(10),A21)-1),A21),Y20)</f>
        <v/>
      </c>
    </row>
    <row r="22" ht="17" customHeight="1" s="179">
      <c r="A22" s="209" t="inlineStr">
        <is>
          <t>D5
Проектні продажі
Разові або повторні проекти: будівництво, реконструкція, оснащення об'єктів, тендери. Закупівля під конкретний об'єкт із техзавданням. Ціна проектна — не є регулярним прайсом і не переноситься в інші угоди. Обсяг від 30 000 грн. Погодження CEO при обсязі від 100 000 грн, CEO+CFO — від 300 000 грн.</t>
        </is>
      </c>
      <c r="B22" s="39" t="inlineStr">
        <is>
          <t>Разовий</t>
        </is>
      </c>
      <c r="C22" s="39" t="inlineStr">
        <is>
          <t>Project</t>
        </is>
      </c>
      <c r="D22" s="39" t="inlineStr">
        <is>
          <t>D5 Project Small</t>
        </is>
      </c>
      <c r="E22" s="39" t="inlineStr">
        <is>
          <t>Перевірка</t>
        </is>
      </c>
      <c r="F22" s="40" t="n">
        <v>30000</v>
      </c>
      <c r="G22" s="40" t="n">
        <v>100000</v>
      </c>
      <c r="H22" s="41" t="n">
        <v>0.03</v>
      </c>
      <c r="I22" s="41" t="inlineStr">
        <is>
          <t>—</t>
        </is>
      </c>
      <c r="J22" s="42" t="n">
        <v>0</v>
      </c>
      <c r="K22" s="42" t="n">
        <v>0</v>
      </c>
      <c r="L22" s="39" t="inlineStr">
        <is>
          <t>Можлива</t>
        </is>
      </c>
      <c r="M22" s="40" t="n">
        <v>50000</v>
      </c>
      <c r="N22" s="42" t="n">
        <v>0</v>
      </c>
      <c r="O22" s="41" t="inlineStr">
        <is>
          <t>—</t>
        </is>
      </c>
      <c r="P22" s="39" t="inlineStr">
        <is>
          <t>Проект</t>
        </is>
      </c>
      <c r="Q22" s="43" t="inlineStr">
        <is>
          <t>Проект</t>
        </is>
      </c>
      <c r="R22" s="39" t="inlineStr">
        <is>
          <t>Ні</t>
        </is>
      </c>
      <c r="S22" s="39" t="inlineStr">
        <is>
          <t>Sales Lead</t>
        </is>
      </c>
      <c r="T22" s="39" t="inlineStr">
        <is>
          <t>PROJECT_ONLY</t>
        </is>
      </c>
      <c r="U22" s="39" t="inlineStr">
        <is>
          <t>Тільки під проект</t>
        </is>
      </c>
      <c r="V22" s="44" t="n">
        <v>0.03</v>
      </c>
      <c r="W22" s="44" t="n">
        <v>0</v>
      </c>
      <c r="X22" s="44">
        <f>Settings!$G$13</f>
        <v/>
      </c>
      <c r="Y22" s="170">
        <f>IF(A22&lt;&gt;"",IFERROR(LEFT(A22,FIND(CHAR(10),A22)-1),A22),Y21)</f>
        <v/>
      </c>
    </row>
    <row r="23" ht="17" customHeight="1" s="179">
      <c r="A23" s="202" t="n"/>
      <c r="B23" s="34" t="inlineStr">
        <is>
          <t>Потенційно регулярний</t>
        </is>
      </c>
      <c r="C23" s="33" t="inlineStr">
        <is>
          <t>Project</t>
        </is>
      </c>
      <c r="D23" s="34" t="inlineStr">
        <is>
          <t>D5 Project Medium</t>
        </is>
      </c>
      <c r="E23" s="34" t="inlineStr">
        <is>
          <t>Залучення</t>
        </is>
      </c>
      <c r="F23" s="45" t="n">
        <v>100000</v>
      </c>
      <c r="G23" s="45" t="n">
        <v>300000</v>
      </c>
      <c r="H23" s="46" t="n">
        <v>0.05</v>
      </c>
      <c r="I23" s="46" t="inlineStr">
        <is>
          <t>—</t>
        </is>
      </c>
      <c r="J23" s="47" t="n">
        <v>0</v>
      </c>
      <c r="K23" s="47" t="n">
        <v>0</v>
      </c>
      <c r="L23" s="34" t="inlineStr">
        <is>
          <t>Можлива</t>
        </is>
      </c>
      <c r="M23" s="45" t="n">
        <v>100000</v>
      </c>
      <c r="N23" s="47" t="n">
        <v>14</v>
      </c>
      <c r="O23" s="46" t="inlineStr">
        <is>
          <t>—</t>
        </is>
      </c>
      <c r="P23" s="34" t="inlineStr">
        <is>
          <t>Проект + обсяг</t>
        </is>
      </c>
      <c r="Q23" s="33" t="inlineStr">
        <is>
          <t>Проект</t>
        </is>
      </c>
      <c r="R23" s="34" t="inlineStr">
        <is>
          <t>Ні</t>
        </is>
      </c>
      <c r="S23" s="34" t="inlineStr">
        <is>
          <t>CEO</t>
        </is>
      </c>
      <c r="T23" s="34" t="inlineStr">
        <is>
          <t>PROJECT_ONLY</t>
        </is>
      </c>
      <c r="U23" s="48" t="inlineStr">
        <is>
          <t>Проектна ціна не регулярна</t>
        </is>
      </c>
      <c r="V23" s="49" t="n">
        <v>0.05</v>
      </c>
      <c r="W23" s="49" t="n">
        <v>0</v>
      </c>
      <c r="X23" s="49" t="n">
        <v>0</v>
      </c>
      <c r="Y23" s="170">
        <f>IF(A23&lt;&gt;"",IFERROR(LEFT(A23,FIND(CHAR(10),A23)-1),A23),Y22)</f>
        <v/>
      </c>
    </row>
    <row r="24" ht="17" customHeight="1" s="179">
      <c r="A24" s="203" t="n"/>
      <c r="B24" s="29" t="inlineStr">
        <is>
          <t>Стратегічний</t>
        </is>
      </c>
      <c r="C24" s="28" t="inlineStr">
        <is>
          <t>Project</t>
        </is>
      </c>
      <c r="D24" s="29" t="inlineStr">
        <is>
          <t>D5 Project Large</t>
        </is>
      </c>
      <c r="E24" s="29" t="inlineStr">
        <is>
          <t>Масштабування</t>
        </is>
      </c>
      <c r="F24" s="50" t="n">
        <v>300000</v>
      </c>
      <c r="G24" s="50" t="n">
        <v>999999999</v>
      </c>
      <c r="H24" s="51" t="n">
        <v>0.05</v>
      </c>
      <c r="I24" s="51" t="inlineStr">
        <is>
          <t>—</t>
        </is>
      </c>
      <c r="J24" s="52" t="n">
        <v>0</v>
      </c>
      <c r="K24" s="52" t="n">
        <v>0</v>
      </c>
      <c r="L24" s="29" t="inlineStr">
        <is>
          <t>За рахунок Extel</t>
        </is>
      </c>
      <c r="M24" s="50" t="n">
        <v>300000</v>
      </c>
      <c r="N24" s="52" t="n">
        <v>30</v>
      </c>
      <c r="O24" s="51" t="inlineStr">
        <is>
          <t>0–2%</t>
        </is>
      </c>
      <c r="P24" s="29" t="inlineStr">
        <is>
          <t>Проект + підтвердження</t>
        </is>
      </c>
      <c r="Q24" s="28" t="inlineStr">
        <is>
          <t>Проект</t>
        </is>
      </c>
      <c r="R24" s="29" t="inlineStr">
        <is>
          <t>За погодженням</t>
        </is>
      </c>
      <c r="S24" s="29" t="inlineStr">
        <is>
          <t>CEO+CFO</t>
        </is>
      </c>
      <c r="T24" s="29" t="inlineStr">
        <is>
          <t>PROJECT_ONLY</t>
        </is>
      </c>
      <c r="U24" s="53" t="inlineStr">
        <is>
          <t>Індивідуальний розрахунок</t>
        </is>
      </c>
      <c r="V24" s="49" t="n">
        <v>0.05</v>
      </c>
      <c r="W24" s="49" t="n">
        <v>0</v>
      </c>
      <c r="X24" s="49" t="n">
        <v>0.02</v>
      </c>
      <c r="Y24" s="170">
        <f>IF(A24&lt;&gt;"",IFERROR(LEFT(A24,FIND(CHAR(10),A24)-1),A24),Y23)</f>
        <v/>
      </c>
    </row>
    <row r="25" ht="17" customHeight="1" s="179">
      <c r="A25" s="207" t="inlineStr">
        <is>
          <t>D6
Регіональний дистриб'ютор
Пріоритетний партнер з відповідальністю за розвиток свого регіону: виконання обсягового плану, розвиток асортименту, контроль RRP, вторинні продажі. Отримує найнижчу ціну каналу в обмін на регіональні зобов'язання. Якщо не розвиває регіон, клієнтський сегмент або категорію — Extel має право працювати в цьому регіоні напряму.</t>
        </is>
      </c>
      <c r="B25" s="54" t="inlineStr">
        <is>
          <t>Потенційно регулярний</t>
        </is>
      </c>
      <c r="C25" s="54" t="inlineStr">
        <is>
          <t>Start</t>
        </is>
      </c>
      <c r="D25" s="54" t="inlineStr">
        <is>
          <t>D6 Start</t>
        </is>
      </c>
      <c r="E25" s="54" t="inlineStr">
        <is>
          <t>Залучення</t>
        </is>
      </c>
      <c r="F25" s="55" t="n">
        <v>100000</v>
      </c>
      <c r="G25" s="55" t="n">
        <v>250000</v>
      </c>
      <c r="H25" s="56" t="n">
        <v>0.01</v>
      </c>
      <c r="I25" s="56" t="n">
        <v>0.01</v>
      </c>
      <c r="J25" s="57" t="n">
        <v>1</v>
      </c>
      <c r="K25" s="57" t="n">
        <v>30</v>
      </c>
      <c r="L25" s="54" t="inlineStr">
        <is>
          <t>Можлива</t>
        </is>
      </c>
      <c r="M25" s="55" t="n">
        <v>150000</v>
      </c>
      <c r="N25" s="57" t="n">
        <v>14</v>
      </c>
      <c r="O25" s="56" t="inlineStr">
        <is>
          <t>—</t>
        </is>
      </c>
      <c r="P25" s="54" t="inlineStr">
        <is>
          <t>Стартовий план</t>
        </is>
      </c>
      <c r="Q25" s="58" t="inlineStr">
        <is>
          <t>—</t>
        </is>
      </c>
      <c r="R25" s="54" t="inlineStr">
        <is>
          <t>Ні</t>
        </is>
      </c>
      <c r="S25" s="54" t="inlineStr">
        <is>
          <t>CEO</t>
        </is>
      </c>
      <c r="T25" s="54" t="inlineStr">
        <is>
          <t>WELCOME_1 · D6_REGION</t>
        </is>
      </c>
      <c r="U25" s="54" t="inlineStr">
        <is>
          <t>Welcome тільки 1 раз</t>
        </is>
      </c>
      <c r="V25" s="44">
        <f>Settings!$H$12</f>
        <v/>
      </c>
      <c r="W25" s="44" t="n">
        <v>0.01</v>
      </c>
      <c r="X25" s="44" t="n">
        <v>0</v>
      </c>
      <c r="Y25" s="170">
        <f>IF(A25&lt;&gt;"",IFERROR(LEFT(A25,FIND(CHAR(10),A25)-1),A25),Y24)</f>
        <v/>
      </c>
    </row>
    <row r="26" ht="17" customHeight="1" s="179">
      <c r="A26" s="202" t="n"/>
      <c r="B26" s="29" t="inlineStr">
        <is>
          <t>Регулярний</t>
        </is>
      </c>
      <c r="C26" s="28" t="inlineStr">
        <is>
          <t>Regular</t>
        </is>
      </c>
      <c r="D26" s="29" t="inlineStr">
        <is>
          <t>D6 Regular</t>
        </is>
      </c>
      <c r="E26" s="29" t="inlineStr">
        <is>
          <t>Утримання</t>
        </is>
      </c>
      <c r="F26" s="50" t="n">
        <v>250000</v>
      </c>
      <c r="G26" s="50" t="n">
        <v>500000</v>
      </c>
      <c r="H26" s="51" t="n">
        <v>0.01</v>
      </c>
      <c r="I26" s="51" t="inlineStr">
        <is>
          <t>—</t>
        </is>
      </c>
      <c r="J26" s="52" t="n">
        <v>0</v>
      </c>
      <c r="K26" s="52" t="n">
        <v>0</v>
      </c>
      <c r="L26" s="29" t="inlineStr">
        <is>
          <t>Можлива</t>
        </is>
      </c>
      <c r="M26" s="50" t="n">
        <v>250000</v>
      </c>
      <c r="N26" s="52">
        <f>Settings!$H$15</f>
        <v/>
      </c>
      <c r="O26" s="51" t="n">
        <v>0.03</v>
      </c>
      <c r="P26" s="29" t="inlineStr">
        <is>
          <t>План + регіон + RRP</t>
        </is>
      </c>
      <c r="Q26" s="28" t="inlineStr">
        <is>
          <t>Квартал</t>
        </is>
      </c>
      <c r="R26" s="29" t="inlineStr">
        <is>
          <t>За погодженням</t>
        </is>
      </c>
      <c r="S26" s="29" t="inlineStr">
        <is>
          <t>CEO</t>
        </is>
      </c>
      <c r="T26" s="29" t="inlineStr">
        <is>
          <t>KPI_ONLY · D6_REGION</t>
        </is>
      </c>
      <c r="U26" s="53" t="inlineStr">
        <is>
          <t>Ретро після виконання плану</t>
        </is>
      </c>
      <c r="V26" s="49">
        <f>Settings!$H$12</f>
        <v/>
      </c>
      <c r="W26" s="49" t="n">
        <v>0</v>
      </c>
      <c r="X26" s="49">
        <f>Settings!$H$13</f>
        <v/>
      </c>
      <c r="Y26" s="170">
        <f>IF(A26&lt;&gt;"",IFERROR(LEFT(A26,FIND(CHAR(10),A26)-1),A26),Y25)</f>
        <v/>
      </c>
    </row>
    <row r="27" ht="17" customHeight="1" s="179">
      <c r="A27" s="203" t="n"/>
      <c r="B27" s="34" t="inlineStr">
        <is>
          <t>Стратегічний</t>
        </is>
      </c>
      <c r="C27" s="33" t="inlineStr">
        <is>
          <t>Strategic</t>
        </is>
      </c>
      <c r="D27" s="34" t="inlineStr">
        <is>
          <t>D6 Strategic</t>
        </is>
      </c>
      <c r="E27" s="34" t="inlineStr">
        <is>
          <t>Масштабування</t>
        </is>
      </c>
      <c r="F27" s="45" t="n">
        <v>500000</v>
      </c>
      <c r="G27" s="45" t="n">
        <v>999999999</v>
      </c>
      <c r="H27" s="46" t="n">
        <v>0.01</v>
      </c>
      <c r="I27" s="46" t="inlineStr">
        <is>
          <t>—</t>
        </is>
      </c>
      <c r="J27" s="47" t="n">
        <v>0</v>
      </c>
      <c r="K27" s="47" t="n">
        <v>0</v>
      </c>
      <c r="L27" s="34" t="inlineStr">
        <is>
          <t>За рахунок Extel</t>
        </is>
      </c>
      <c r="M27" s="45" t="n">
        <v>500000</v>
      </c>
      <c r="N27" s="47">
        <f>Settings!$H$15</f>
        <v/>
      </c>
      <c r="O27" s="46" t="inlineStr">
        <is>
          <t>3–4%</t>
        </is>
      </c>
      <c r="P27" s="34" t="inlineStr">
        <is>
          <t>План + асортимент + територія</t>
        </is>
      </c>
      <c r="Q27" s="33" t="inlineStr">
        <is>
          <t>Квартал</t>
        </is>
      </c>
      <c r="R27" s="34" t="inlineStr">
        <is>
          <t>За погодженням</t>
        </is>
      </c>
      <c r="S27" s="34" t="inlineStr">
        <is>
          <t>CEO+CFO</t>
        </is>
      </c>
      <c r="T27" s="34" t="inlineStr">
        <is>
          <t>KPI_ONLY · D6_REGION</t>
        </is>
      </c>
      <c r="U27" s="48" t="inlineStr">
        <is>
          <t>Регіональна відповідальність</t>
        </is>
      </c>
      <c r="V27" s="49" t="n">
        <v>0.01</v>
      </c>
      <c r="W27" s="49" t="n">
        <v>0</v>
      </c>
      <c r="X27" s="49" t="n">
        <v>0.04</v>
      </c>
      <c r="Y27" s="170">
        <f>IF(A27&lt;&gt;"",IFERROR(LEFT(A27,FIND(CHAR(10),A27)-1),A27),Y26)</f>
        <v/>
      </c>
    </row>
    <row r="28" ht="17" customHeight="1" s="179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29" t="n"/>
      <c r="R28" s="29" t="n"/>
      <c r="S28" s="29" t="n"/>
      <c r="T28" s="29" t="n"/>
      <c r="U28" s="29" t="n"/>
      <c r="V28" s="37" t="n"/>
      <c r="W28" s="37" t="n"/>
      <c r="X28" s="37" t="n"/>
      <c r="Y28" s="170">
        <f>IF(A28&lt;&gt;"",IFERROR(LEFT(A28,FIND(CHAR(10),A28)-1),A28),Y27)</f>
        <v/>
      </c>
    </row>
    <row r="29" ht="17" customHeight="1" s="179">
      <c r="A29" s="34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7" t="n"/>
      <c r="W29" s="37" t="n"/>
      <c r="X29" s="37" t="n"/>
      <c r="Y29" s="170">
        <f>IF(A29&lt;&gt;"",IFERROR(LEFT(A29,FIND(CHAR(10),A29)-1),A29),Y28)</f>
        <v/>
      </c>
    </row>
    <row r="30" ht="24" customHeight="1" s="179">
      <c r="A30" s="198" t="inlineStr">
        <is>
          <t>ТАБЛИЦЯ 2. Довідник правил (коди з Таблиці 1)</t>
        </is>
      </c>
      <c r="B30" s="199" t="n"/>
      <c r="C30" s="199" t="n"/>
      <c r="D30" s="200" t="n"/>
      <c r="E30" s="198" t="n"/>
      <c r="F30" s="198" t="n"/>
      <c r="G30" s="198" t="n"/>
      <c r="H30" s="198" t="n"/>
      <c r="I30" s="198" t="n"/>
      <c r="J30" s="198" t="n"/>
      <c r="K30" s="198" t="n"/>
      <c r="L30" s="198" t="n"/>
      <c r="M30" s="198" t="n"/>
      <c r="N30" s="198" t="n"/>
      <c r="O30" s="198" t="n"/>
      <c r="P30" s="198" t="n"/>
      <c r="Q30" s="198" t="n"/>
      <c r="R30" s="198" t="n"/>
      <c r="S30" s="198" t="n"/>
      <c r="T30" s="198" t="n"/>
      <c r="U30" s="198" t="n"/>
      <c r="V30" s="198" t="n"/>
      <c r="W30" s="198" t="n"/>
      <c r="X30" s="198" t="n"/>
    </row>
    <row r="31" ht="17" customHeight="1" s="179">
      <c r="A31" s="38" t="inlineStr">
        <is>
          <t>Код правила</t>
        </is>
      </c>
      <c r="B31" s="38" t="inlineStr">
        <is>
          <t>Назва правила</t>
        </is>
      </c>
      <c r="C31" s="38" t="inlineStr">
        <is>
          <t>Опис</t>
        </is>
      </c>
      <c r="D31" s="38" t="inlineStr">
        <is>
          <t>STOP / обмеження</t>
        </is>
      </c>
      <c r="E31" s="38" t="n"/>
      <c r="F31" s="38" t="n"/>
      <c r="G31" s="38" t="n"/>
      <c r="H31" s="38" t="n"/>
      <c r="I31" s="38" t="n"/>
      <c r="J31" s="38" t="n"/>
      <c r="K31" s="38" t="n"/>
      <c r="L31" s="38" t="n"/>
      <c r="M31" s="38" t="n"/>
      <c r="N31" s="38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  <c r="X31" s="38" t="n"/>
    </row>
    <row r="32" ht="17" customHeight="1" s="179">
      <c r="A32" s="60" t="inlineStr">
        <is>
          <t>WELCOME_1</t>
        </is>
      </c>
      <c r="B32" s="53" t="inlineStr">
        <is>
          <t>Welcome тільки один раз</t>
        </is>
      </c>
      <c r="C32" s="53" t="inlineStr">
        <is>
          <t>Welcome-умова діє тільки для нового або потенційно регулярного клієнта</t>
        </is>
      </c>
      <c r="D32" s="53" t="inlineStr">
        <is>
          <t>Не повторюється після ліміту</t>
        </is>
      </c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61" t="n"/>
      <c r="W32" s="61" t="n"/>
      <c r="X32" s="61" t="n"/>
    </row>
    <row r="33" ht="17" customHeight="1" s="179">
      <c r="A33" s="62" t="inlineStr">
        <is>
          <t>DELIVERY_MOQ</t>
        </is>
      </c>
      <c r="B33" s="48" t="inlineStr">
        <is>
          <t>Доставка від MOQ</t>
        </is>
      </c>
      <c r="C33" s="48" t="inlineStr">
        <is>
          <t>Доставка за рахунок Extel можлива тільки після досягнення мінімальної суми MOQ</t>
        </is>
      </c>
      <c r="D33" s="48" t="inlineStr">
        <is>
          <t>Якщо нижче MOQ — доставка за рахунок клієнта</t>
        </is>
      </c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  <c r="V33" s="61" t="n"/>
      <c r="W33" s="61" t="n"/>
      <c r="X33" s="61" t="n"/>
    </row>
    <row r="34" ht="17" customHeight="1" s="179">
      <c r="A34" s="60" t="inlineStr">
        <is>
          <t>KPI_ONLY</t>
        </is>
      </c>
      <c r="B34" s="53" t="inlineStr">
        <is>
          <t>Бонус тільки за KPI</t>
        </is>
      </c>
      <c r="C34" s="53" t="inlineStr">
        <is>
          <t>Ретро / бонус виплачується тільки після фактичного виконання KPI</t>
        </is>
      </c>
      <c r="D34" s="53" t="inlineStr">
        <is>
          <t>Без KPI бонус заборонено</t>
        </is>
      </c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61" t="n"/>
      <c r="W34" s="61" t="n"/>
      <c r="X34" s="61" t="n"/>
    </row>
    <row r="35" ht="17" customHeight="1" s="179">
      <c r="A35" s="62" t="inlineStr">
        <is>
          <t>RRP_CONTROL</t>
        </is>
      </c>
      <c r="B35" s="48" t="inlineStr">
        <is>
          <t>Контроль RRP</t>
        </is>
      </c>
      <c r="C35" s="48" t="inlineStr">
        <is>
          <t>Клієнт зобов'язаний дотримуватись рекомендованої роздрібної ціни</t>
        </is>
      </c>
      <c r="D35" s="48" t="inlineStr">
        <is>
          <t>При демпінгу бонуси та ретро блокуються</t>
        </is>
      </c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61" t="n"/>
      <c r="W35" s="61" t="n"/>
      <c r="X35" s="61" t="n"/>
    </row>
    <row r="36" ht="17" customHeight="1" s="179">
      <c r="A36" s="60" t="inlineStr">
        <is>
          <t>PROJECT_ONLY</t>
        </is>
      </c>
      <c r="B36" s="53" t="inlineStr">
        <is>
          <t>Проектна ціна</t>
        </is>
      </c>
      <c r="C36" s="53" t="inlineStr">
        <is>
          <t>Знижена ціна діє тільки під конкретний підтверджений проект</t>
        </is>
      </c>
      <c r="D36" s="53" t="inlineStr">
        <is>
          <t>Не переносити в регулярний прайс</t>
        </is>
      </c>
      <c r="E36" s="53" t="n"/>
      <c r="F36" s="53" t="n"/>
      <c r="G36" s="53" t="n"/>
      <c r="H36" s="53" t="n"/>
      <c r="I36" s="53" t="n"/>
      <c r="J36" s="53" t="n"/>
      <c r="K36" s="53" t="n"/>
      <c r="L36" s="53" t="n"/>
      <c r="M36" s="53" t="n"/>
      <c r="N36" s="53" t="n"/>
      <c r="O36" s="53" t="n"/>
      <c r="P36" s="53" t="n"/>
      <c r="Q36" s="53" t="n"/>
      <c r="R36" s="53" t="n"/>
      <c r="S36" s="53" t="n"/>
      <c r="T36" s="53" t="n"/>
      <c r="U36" s="53" t="n"/>
      <c r="V36" s="61" t="n"/>
      <c r="W36" s="61" t="n"/>
      <c r="X36" s="61" t="n"/>
    </row>
    <row r="37" ht="17" customHeight="1" s="179">
      <c r="A37" s="62" t="inlineStr">
        <is>
          <t>D6_REGION</t>
        </is>
      </c>
      <c r="B37" s="48" t="inlineStr">
        <is>
          <t>Регіональна відповідальність</t>
        </is>
      </c>
      <c r="C37" s="48" t="inlineStr">
        <is>
          <t>D6 отримує умови під зобов'язання розвивати свій регіон</t>
        </is>
      </c>
      <c r="D37" s="48" t="inlineStr">
        <is>
          <t>При невиконанні плану Extel має право працювати напряму</t>
        </is>
      </c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61" t="n"/>
      <c r="W37" s="61" t="n"/>
      <c r="X37" s="61" t="n"/>
    </row>
    <row r="38" ht="17" customHeight="1" s="179">
      <c r="A38" s="60" t="inlineStr">
        <is>
          <t>NO_DOUBLE_COUNT</t>
        </is>
      </c>
      <c r="B38" s="53" t="inlineStr">
        <is>
          <t>Без подвійного списання</t>
        </is>
      </c>
      <c r="C38" s="53" t="inlineStr">
        <is>
          <t>Умови в межах стандартних резервів Settings не списуються повторно з маржі</t>
        </is>
      </c>
      <c r="D38" s="53" t="inlineStr">
        <is>
          <t>З маржі рахується тільки перевищення понад стандарт</t>
        </is>
      </c>
      <c r="E38" s="53" t="n"/>
      <c r="F38" s="53" t="n"/>
      <c r="G38" s="53" t="n"/>
      <c r="H38" s="53" t="n"/>
      <c r="I38" s="53" t="n"/>
      <c r="J38" s="53" t="n"/>
      <c r="K38" s="53" t="n"/>
      <c r="L38" s="53" t="n"/>
      <c r="M38" s="53" t="n"/>
      <c r="N38" s="53" t="n"/>
      <c r="O38" s="53" t="n"/>
      <c r="P38" s="53" t="n"/>
      <c r="Q38" s="53" t="n"/>
      <c r="R38" s="53" t="n"/>
      <c r="S38" s="53" t="n"/>
      <c r="T38" s="53" t="n"/>
      <c r="U38" s="53" t="n"/>
      <c r="V38" s="61" t="n"/>
      <c r="W38" s="61" t="n"/>
      <c r="X38" s="61" t="n"/>
    </row>
    <row r="39" ht="17" customHeight="1" s="179">
      <c r="A39" s="62" t="inlineStr">
        <is>
          <t>APPROVAL_WARNING</t>
        </is>
      </c>
      <c r="B39" s="48" t="inlineStr">
        <is>
          <t>Погодження при Warning</t>
        </is>
      </c>
      <c r="C39" s="48" t="inlineStr">
        <is>
          <t>Якщо параметри угоди переводять статус у Warning — потрібне погодження</t>
        </is>
      </c>
      <c r="D39" s="48" t="inlineStr">
        <is>
          <t>Менеджер не може затвердити Warning самостійно</t>
        </is>
      </c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61" t="n"/>
      <c r="W39" s="61" t="n"/>
      <c r="X39" s="61" t="n"/>
    </row>
    <row r="40" ht="17" customHeight="1" s="179">
      <c r="A40" s="29" t="n"/>
      <c r="B40" s="29" t="n"/>
      <c r="C40" s="29" t="n"/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37" t="n"/>
      <c r="W40" s="37" t="n"/>
      <c r="X40" s="37" t="n"/>
    </row>
    <row r="41" ht="17" customHeight="1" s="179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34" t="n"/>
      <c r="V41" s="37" t="n"/>
      <c r="W41" s="37" t="n"/>
      <c r="X41" s="37" t="n"/>
    </row>
    <row r="42" ht="24" customHeight="1" s="179">
      <c r="A42" s="198" t="inlineStr">
        <is>
          <t>ТАБЛИЦЯ 3. Правила переходу клієнта на наступний етап</t>
        </is>
      </c>
      <c r="B42" s="199" t="n"/>
      <c r="C42" s="199" t="n"/>
      <c r="D42" s="199" t="n"/>
      <c r="E42" s="199" t="n"/>
      <c r="F42" s="200" t="n"/>
      <c r="G42" s="198" t="n"/>
      <c r="H42" s="198" t="n"/>
      <c r="I42" s="198" t="n"/>
      <c r="J42" s="198" t="n"/>
      <c r="K42" s="198" t="n"/>
      <c r="L42" s="198" t="n"/>
      <c r="M42" s="198" t="n"/>
      <c r="N42" s="198" t="n"/>
      <c r="O42" s="198" t="n"/>
      <c r="P42" s="198" t="n"/>
      <c r="Q42" s="198" t="n"/>
      <c r="R42" s="198" t="n"/>
      <c r="S42" s="198" t="n"/>
      <c r="T42" s="198" t="n"/>
      <c r="U42" s="198" t="n"/>
      <c r="V42" s="198" t="n"/>
      <c r="W42" s="198" t="n"/>
      <c r="X42" s="198" t="n"/>
    </row>
    <row r="43" ht="17" customHeight="1" s="179">
      <c r="A43" s="38" t="inlineStr">
        <is>
          <t>Канал</t>
        </is>
      </c>
      <c r="B43" s="38" t="inlineStr">
        <is>
          <t>Тип клієнта зараз</t>
        </is>
      </c>
      <c r="C43" s="38" t="inlineStr">
        <is>
          <t>Етап зараз</t>
        </is>
      </c>
      <c r="D43" s="38" t="inlineStr">
        <is>
          <t>Умова переходу</t>
        </is>
      </c>
      <c r="E43" s="38" t="inlineStr">
        <is>
          <t>Новий етап</t>
        </is>
      </c>
      <c r="F43" s="38" t="inlineStr">
        <is>
          <t>Що скасовується</t>
        </is>
      </c>
      <c r="G43" s="38" t="n"/>
      <c r="H43" s="38" t="n"/>
      <c r="I43" s="38" t="n"/>
      <c r="J43" s="38" t="n"/>
      <c r="K43" s="38" t="n"/>
      <c r="L43" s="38" t="n"/>
      <c r="M43" s="38" t="n"/>
      <c r="N43" s="38" t="n"/>
      <c r="O43" s="38" t="n"/>
      <c r="P43" s="38" t="n"/>
      <c r="Q43" s="38" t="n"/>
      <c r="R43" s="38" t="n"/>
      <c r="S43" s="38" t="n"/>
      <c r="T43" s="38" t="n"/>
      <c r="U43" s="38" t="n"/>
      <c r="V43" s="38" t="n"/>
      <c r="W43" s="38" t="n"/>
      <c r="X43" s="38" t="n"/>
    </row>
    <row r="44" ht="17" customHeight="1" s="179">
      <c r="A44" s="53" t="inlineStr">
        <is>
          <t>D2</t>
        </is>
      </c>
      <c r="B44" s="53" t="inlineStr">
        <is>
          <t>Потенційно регулярний</t>
        </is>
      </c>
      <c r="C44" s="53" t="inlineStr">
        <is>
          <t>Start</t>
        </is>
      </c>
      <c r="D44" s="53" t="inlineStr">
        <is>
          <t>3 замовлення або 150 000 грн за 90 днів</t>
        </is>
      </c>
      <c r="E44" s="53" t="inlineStr">
        <is>
          <t>Regular</t>
        </is>
      </c>
      <c r="F44" s="53" t="inlineStr">
        <is>
          <t>Welcome</t>
        </is>
      </c>
      <c r="G44" s="53" t="n"/>
      <c r="H44" s="53" t="n"/>
      <c r="I44" s="53" t="n"/>
      <c r="J44" s="53" t="n"/>
      <c r="K44" s="53" t="n"/>
      <c r="L44" s="53" t="n"/>
      <c r="M44" s="53" t="n"/>
      <c r="N44" s="53" t="n"/>
      <c r="O44" s="53" t="n"/>
      <c r="P44" s="53" t="n"/>
      <c r="Q44" s="53" t="n"/>
      <c r="R44" s="53" t="n"/>
      <c r="S44" s="53" t="n"/>
      <c r="T44" s="53" t="n"/>
      <c r="U44" s="53" t="n"/>
      <c r="V44" s="61" t="n"/>
      <c r="W44" s="61" t="n"/>
      <c r="X44" s="61" t="n"/>
    </row>
    <row r="45" ht="17" customHeight="1" s="179">
      <c r="A45" s="48" t="inlineStr">
        <is>
          <t>D3</t>
        </is>
      </c>
      <c r="B45" s="48" t="inlineStr">
        <is>
          <t>Потенційно регулярний</t>
        </is>
      </c>
      <c r="C45" s="48" t="inlineStr">
        <is>
          <t>Start</t>
        </is>
      </c>
      <c r="D45" s="48" t="inlineStr">
        <is>
          <t>3 замовлення або 75 000 грн за 60 днів</t>
        </is>
      </c>
      <c r="E45" s="48" t="inlineStr">
        <is>
          <t>Regular</t>
        </is>
      </c>
      <c r="F45" s="48" t="inlineStr">
        <is>
          <t>Welcome / разова доставка</t>
        </is>
      </c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  <c r="V45" s="61" t="n"/>
      <c r="W45" s="61" t="n"/>
      <c r="X45" s="61" t="n"/>
    </row>
    <row r="46" ht="17" customHeight="1" s="179">
      <c r="A46" s="53" t="inlineStr">
        <is>
          <t>D4 Buy</t>
        </is>
      </c>
      <c r="B46" s="53" t="inlineStr">
        <is>
          <t>Потенційно регулярний</t>
        </is>
      </c>
      <c r="C46" s="53" t="inlineStr">
        <is>
          <t>Start</t>
        </is>
      </c>
      <c r="D46" s="53" t="inlineStr">
        <is>
          <t>3 замовлення або 150 000 грн за 90 днів + дотримання RRP</t>
        </is>
      </c>
      <c r="E46" s="53" t="inlineStr">
        <is>
          <t>Regular</t>
        </is>
      </c>
      <c r="F46" s="53" t="inlineStr">
        <is>
          <t>Welcome</t>
        </is>
      </c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61" t="n"/>
      <c r="W46" s="61" t="n"/>
      <c r="X46" s="61" t="n"/>
    </row>
    <row r="47" ht="17" customHeight="1" s="179">
      <c r="A47" s="48" t="inlineStr">
        <is>
          <t>D4 Drop</t>
        </is>
      </c>
      <c r="B47" s="48" t="inlineStr">
        <is>
          <t>Потенційно регулярний</t>
        </is>
      </c>
      <c r="C47" s="48" t="inlineStr">
        <is>
          <t>Start</t>
        </is>
      </c>
      <c r="D47" s="48" t="inlineStr">
        <is>
          <t>100 000 грн за 90 днів + низький % повернень</t>
        </is>
      </c>
      <c r="E47" s="48" t="inlineStr">
        <is>
          <t>Regular</t>
        </is>
      </c>
      <c r="F47" s="48" t="inlineStr">
        <is>
          <t>Тестові умови</t>
        </is>
      </c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61" t="n"/>
      <c r="W47" s="61" t="n"/>
      <c r="X47" s="61" t="n"/>
    </row>
    <row r="48" ht="17" customHeight="1" s="179">
      <c r="A48" s="53" t="inlineStr">
        <is>
          <t>D5</t>
        </is>
      </c>
      <c r="B48" s="53" t="inlineStr">
        <is>
          <t>Потенційно регулярний</t>
        </is>
      </c>
      <c r="C48" s="53" t="inlineStr">
        <is>
          <t>Project</t>
        </is>
      </c>
      <c r="D48" s="53" t="inlineStr">
        <is>
          <t>Повторний проект або 300 000 грн за 6 місяців</t>
        </is>
      </c>
      <c r="E48" s="53" t="inlineStr">
        <is>
          <t>Growth</t>
        </is>
      </c>
      <c r="F48" s="53" t="inlineStr">
        <is>
          <t>Проектна ціна переглядається</t>
        </is>
      </c>
      <c r="G48" s="53" t="n"/>
      <c r="H48" s="53" t="n"/>
      <c r="I48" s="53" t="n"/>
      <c r="J48" s="53" t="n"/>
      <c r="K48" s="53" t="n"/>
      <c r="L48" s="53" t="n"/>
      <c r="M48" s="53" t="n"/>
      <c r="N48" s="53" t="n"/>
      <c r="O48" s="53" t="n"/>
      <c r="P48" s="53" t="n"/>
      <c r="Q48" s="53" t="n"/>
      <c r="R48" s="53" t="n"/>
      <c r="S48" s="53" t="n"/>
      <c r="T48" s="53" t="n"/>
      <c r="U48" s="53" t="n"/>
      <c r="V48" s="61" t="n"/>
      <c r="W48" s="61" t="n"/>
      <c r="X48" s="61" t="n"/>
    </row>
    <row r="49" ht="17" customHeight="1" s="179">
      <c r="A49" s="48" t="inlineStr">
        <is>
          <t>D6</t>
        </is>
      </c>
      <c r="B49" s="48" t="inlineStr">
        <is>
          <t>Потенційно регулярний</t>
        </is>
      </c>
      <c r="C49" s="48" t="inlineStr">
        <is>
          <t>Start</t>
        </is>
      </c>
      <c r="D49" s="48" t="inlineStr">
        <is>
          <t>250 000 грн за квартал + виконання плану регіону</t>
        </is>
      </c>
      <c r="E49" s="48" t="inlineStr">
        <is>
          <t>Regular</t>
        </is>
      </c>
      <c r="F49" s="48" t="inlineStr">
        <is>
          <t>Welcome</t>
        </is>
      </c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61" t="n"/>
      <c r="W49" s="61" t="n"/>
      <c r="X49" s="61" t="n"/>
    </row>
    <row r="50" ht="17" customHeight="1" s="179">
      <c r="A50" s="53" t="inlineStr">
        <is>
          <t>D6</t>
        </is>
      </c>
      <c r="B50" s="53" t="inlineStr">
        <is>
          <t>Регулярний</t>
        </is>
      </c>
      <c r="C50" s="53" t="inlineStr">
        <is>
          <t>Regular</t>
        </is>
      </c>
      <c r="D50" s="53" t="inlineStr">
        <is>
          <t>500 000 грн за квартал + асортимент + дотримання RRP</t>
        </is>
      </c>
      <c r="E50" s="53" t="inlineStr">
        <is>
          <t>Strategic</t>
        </is>
      </c>
      <c r="F50" s="53" t="inlineStr">
        <is>
          <t>Разові винятки скасовуються</t>
        </is>
      </c>
      <c r="G50" s="53" t="n"/>
      <c r="H50" s="53" t="n"/>
      <c r="I50" s="53" t="n"/>
      <c r="J50" s="53" t="n"/>
      <c r="K50" s="53" t="n"/>
      <c r="L50" s="53" t="n"/>
      <c r="M50" s="53" t="n"/>
      <c r="N50" s="53" t="n"/>
      <c r="O50" s="53" t="n"/>
      <c r="P50" s="53" t="n"/>
      <c r="Q50" s="53" t="n"/>
      <c r="R50" s="53" t="n"/>
      <c r="S50" s="53" t="n"/>
      <c r="T50" s="53" t="n"/>
      <c r="U50" s="53" t="n"/>
      <c r="V50" s="61" t="n"/>
      <c r="W50" s="61" t="n"/>
      <c r="X50" s="61" t="n"/>
    </row>
    <row r="51" ht="17" customHeight="1" s="179">
      <c r="A51" s="34" t="n"/>
      <c r="B51" s="34" t="n"/>
      <c r="C51" s="34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7" t="n"/>
      <c r="W51" s="37" t="n"/>
      <c r="X51" s="37" t="n"/>
    </row>
    <row r="52" ht="17" customHeight="1" s="179">
      <c r="A52" s="29" t="n"/>
      <c r="B52" s="29" t="n"/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29" t="n"/>
      <c r="U52" s="29" t="n"/>
      <c r="V52" s="37" t="n"/>
      <c r="W52" s="37" t="n"/>
      <c r="X52" s="37" t="n"/>
    </row>
    <row r="53" ht="24" customHeight="1" s="179">
      <c r="A53" s="198" t="inlineStr">
        <is>
          <t>КЛЮЧОВІ ОБМЕЖЕННЯ ТА ПРАВИЛА</t>
        </is>
      </c>
      <c r="B53" s="199" t="n"/>
      <c r="C53" s="199" t="n"/>
      <c r="D53" s="199" t="n"/>
      <c r="E53" s="199" t="n"/>
      <c r="F53" s="200" t="n"/>
      <c r="G53" s="198" t="n"/>
      <c r="H53" s="198" t="n"/>
      <c r="I53" s="198" t="n"/>
      <c r="J53" s="198" t="n"/>
      <c r="K53" s="198" t="n"/>
      <c r="L53" s="198" t="n"/>
      <c r="M53" s="198" t="n"/>
      <c r="N53" s="198" t="n"/>
      <c r="O53" s="198" t="n"/>
      <c r="P53" s="198" t="n"/>
      <c r="Q53" s="198" t="n"/>
      <c r="R53" s="198" t="n"/>
      <c r="S53" s="198" t="n"/>
      <c r="T53" s="198" t="n"/>
      <c r="U53" s="198" t="n"/>
      <c r="V53" s="198" t="n"/>
      <c r="W53" s="198" t="n"/>
      <c r="X53" s="198" t="n"/>
    </row>
    <row r="54" ht="17" customHeight="1" s="179">
      <c r="A54" s="63" t="inlineStr">
        <is>
          <t>9.1 Welcome</t>
        </is>
      </c>
      <c r="B54" s="224" t="inlineStr">
        <is>
          <t>Дозволений тільки для нового / потенційно регулярного клієнта. Діє 1 замовлення або обмежений строк. Не повторюється. Не поєднується з ретро.</t>
        </is>
      </c>
      <c r="C54" s="196" t="n"/>
      <c r="D54" s="196" t="n"/>
      <c r="E54" s="196" t="n"/>
      <c r="F54" s="197" t="n"/>
      <c r="G54" s="53" t="n"/>
      <c r="H54" s="53" t="n"/>
      <c r="I54" s="53" t="n"/>
      <c r="J54" s="53" t="n"/>
      <c r="K54" s="53" t="n"/>
      <c r="L54" s="53" t="n"/>
      <c r="M54" s="53" t="n"/>
      <c r="N54" s="53" t="n"/>
      <c r="O54" s="53" t="n"/>
      <c r="P54" s="53" t="n"/>
      <c r="Q54" s="53" t="n"/>
      <c r="R54" s="53" t="n"/>
      <c r="S54" s="53" t="n"/>
      <c r="T54" s="53" t="n"/>
      <c r="U54" s="53" t="n"/>
      <c r="V54" s="61" t="n"/>
      <c r="W54" s="61" t="n"/>
      <c r="X54" s="61" t="n"/>
    </row>
    <row r="55" ht="17" customHeight="1" s="179">
      <c r="A55" s="64" t="inlineStr">
        <is>
          <t>9.2 Доставка (MOQ)</t>
        </is>
      </c>
      <c r="B55" s="225" t="inlineStr">
        <is>
          <t>MOQ = сума замовлення в грн. Якщо сума &lt; MOQ доставки → доставка за рахунок клієнта. Основний контроль — по сумі.</t>
        </is>
      </c>
      <c r="C55" s="196" t="n"/>
      <c r="D55" s="196" t="n"/>
      <c r="E55" s="196" t="n"/>
      <c r="F55" s="197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  <c r="V55" s="61" t="n"/>
      <c r="W55" s="61" t="n"/>
      <c r="X55" s="61" t="n"/>
    </row>
    <row r="56" ht="17" customHeight="1" s="179">
      <c r="A56" s="63" t="inlineStr">
        <is>
          <t>9.3 Ретро / KPI</t>
        </is>
      </c>
      <c r="B56" s="224" t="inlineStr">
        <is>
          <t>Ретро не виплачується авансом. Бонус можливий тільки після виконання KPI: обсяг, регулярність, асортимент, RRP, відсутність прострочки.</t>
        </is>
      </c>
      <c r="C56" s="196" t="n"/>
      <c r="D56" s="196" t="n"/>
      <c r="E56" s="196" t="n"/>
      <c r="F56" s="197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61" t="n"/>
      <c r="W56" s="61" t="n"/>
      <c r="X56" s="61" t="n"/>
    </row>
    <row r="57" ht="17" customHeight="1" s="179">
      <c r="A57" s="64" t="inlineStr">
        <is>
          <t>9.4 Відстрочка</t>
        </is>
      </c>
      <c r="B57" s="225" t="inlineStr">
        <is>
          <t>Test — 0 днів. Start — 0–14 днів. Regular — 14–30 днів. Strategic — тільки після кредитної історії.</t>
        </is>
      </c>
      <c r="C57" s="196" t="n"/>
      <c r="D57" s="196" t="n"/>
      <c r="E57" s="196" t="n"/>
      <c r="F57" s="197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  <c r="U57" s="48" t="n"/>
      <c r="V57" s="61" t="n"/>
      <c r="W57" s="61" t="n"/>
      <c r="X57" s="61" t="n"/>
    </row>
    <row r="58" ht="17" customHeight="1" s="179">
      <c r="A58" s="63" t="inlineStr">
        <is>
          <t>9.5 D6</t>
        </is>
      </c>
      <c r="B58" s="224" t="inlineStr">
        <is>
          <t>D6 — регіональний дистриб'ютор. Відповідає за свій регіон. Якщо не розвиває клієнта / сегмент / категорію — Extel має право працювати напряму.</t>
        </is>
      </c>
      <c r="C58" s="196" t="n"/>
      <c r="D58" s="196" t="n"/>
      <c r="E58" s="196" t="n"/>
      <c r="F58" s="197" t="n"/>
      <c r="G58" s="53" t="n"/>
      <c r="H58" s="53" t="n"/>
      <c r="I58" s="53" t="n"/>
      <c r="J58" s="53" t="n"/>
      <c r="K58" s="53" t="n"/>
      <c r="L58" s="53" t="n"/>
      <c r="M58" s="53" t="n"/>
      <c r="N58" s="53" t="n"/>
      <c r="O58" s="53" t="n"/>
      <c r="P58" s="53" t="n"/>
      <c r="Q58" s="53" t="n"/>
      <c r="R58" s="53" t="n"/>
      <c r="S58" s="53" t="n"/>
      <c r="T58" s="53" t="n"/>
      <c r="U58" s="53" t="n"/>
      <c r="V58" s="61" t="n"/>
      <c r="W58" s="61" t="n"/>
      <c r="X58" s="61" t="n"/>
    </row>
    <row r="59" ht="17" customHeight="1" s="179">
      <c r="A59" s="64" t="inlineStr">
        <is>
          <t>9.6 Подвійне списання</t>
        </is>
      </c>
      <c r="B59" s="225" t="inlineStr">
        <is>
          <t>Commercial_Policy показує умови в межах / понад резерв Settings. Order_Form списує з маржі тільки перевищення понад стандарт.</t>
        </is>
      </c>
      <c r="C59" s="196" t="n"/>
      <c r="D59" s="196" t="n"/>
      <c r="E59" s="196" t="n"/>
      <c r="F59" s="197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8" t="n"/>
      <c r="U59" s="48" t="n"/>
      <c r="V59" s="61" t="n"/>
      <c r="W59" s="61" t="n"/>
      <c r="X59" s="61" t="n"/>
    </row>
  </sheetData>
  <mergeCells count="18">
    <mergeCell ref="B56:F56"/>
    <mergeCell ref="B55:F55"/>
    <mergeCell ref="A4:A6"/>
    <mergeCell ref="A2:U2"/>
    <mergeCell ref="A7:A10"/>
    <mergeCell ref="A42:F42"/>
    <mergeCell ref="B54:F54"/>
    <mergeCell ref="A25:A27"/>
    <mergeCell ref="B59:F59"/>
    <mergeCell ref="A30:D30"/>
    <mergeCell ref="A19:A21"/>
    <mergeCell ref="A11:A14"/>
    <mergeCell ref="A15:A18"/>
    <mergeCell ref="A1:U1"/>
    <mergeCell ref="A53:F53"/>
    <mergeCell ref="A22:A24"/>
    <mergeCell ref="B58:F58"/>
    <mergeCell ref="B57:F5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:B1"/>
    </sheetView>
  </sheetViews>
  <sheetFormatPr baseColWidth="10" defaultColWidth="8.83203125" defaultRowHeight="15"/>
  <cols>
    <col width="32" customWidth="1" style="179" min="1" max="1"/>
    <col width="22" customWidth="1" style="179" min="2" max="2"/>
    <col width="4" customWidth="1" style="179" min="3" max="3"/>
    <col width="26" customWidth="1" style="179" min="4" max="4"/>
    <col width="14" customWidth="1" style="179" min="5" max="7"/>
  </cols>
  <sheetData>
    <row r="1" ht="26" customHeight="1" s="179">
      <c r="A1" s="213" t="inlineStr">
        <is>
          <t>DEAL CHECKER — Перевірка угоди</t>
        </is>
      </c>
      <c r="B1" s="214" t="n"/>
      <c r="C1" s="213" t="n"/>
      <c r="D1" s="213" t="n"/>
      <c r="E1" s="213" t="n"/>
      <c r="F1" s="213" t="n"/>
      <c r="G1" s="213" t="n"/>
    </row>
    <row r="2" ht="20" customHeight="1" s="179">
      <c r="A2" s="226" t="inlineStr">
        <is>
          <t>Оберіть канал, тип клієнта, SKU і обсяг → система покаже умови та повний розрахунок прибутку</t>
        </is>
      </c>
      <c r="B2" s="197" t="n"/>
      <c r="C2" s="66" t="n"/>
      <c r="D2" s="66" t="n"/>
      <c r="E2" s="66" t="n"/>
      <c r="F2" s="66" t="n"/>
      <c r="G2" s="66" t="n"/>
    </row>
    <row r="3" ht="17" customHeight="1" s="179">
      <c r="A3" s="67" t="n"/>
      <c r="B3" s="67" t="n"/>
      <c r="C3" s="67" t="n"/>
      <c r="D3" s="67" t="n"/>
      <c r="E3" s="67" t="n"/>
      <c r="F3" s="67" t="n"/>
      <c r="G3" s="67" t="n"/>
    </row>
    <row r="4" ht="17" customHeight="1" s="179">
      <c r="A4" s="217" t="inlineStr">
        <is>
          <t>1. ВХІДНІ ДАНІ  (заповнює менеджер)</t>
        </is>
      </c>
      <c r="B4" s="200" t="n"/>
      <c r="C4" s="221" t="n"/>
      <c r="D4" s="215" t="inlineStr">
        <is>
          <t>Довідка: пороги по каналах</t>
        </is>
      </c>
      <c r="E4" s="199" t="n"/>
      <c r="F4" s="199" t="n"/>
      <c r="G4" s="200" t="n"/>
    </row>
    <row r="5" ht="17" customHeight="1" s="179">
      <c r="A5" s="216" t="inlineStr">
        <is>
          <t>Канал продажу</t>
        </is>
      </c>
      <c r="B5" s="70" t="inlineStr">
        <is>
          <t>D1</t>
        </is>
      </c>
      <c r="C5" s="34" t="n"/>
      <c r="D5" s="166" t="inlineStr">
        <is>
          <t>Канал</t>
        </is>
      </c>
      <c r="E5" s="166" t="inlineStr">
        <is>
          <t>OK (Основний)</t>
        </is>
      </c>
      <c r="F5" s="166" t="inlineStr">
        <is>
          <t>WARN (−15%)</t>
        </is>
      </c>
      <c r="G5" s="166" t="inlineStr">
        <is>
          <t>Ціль прибуток</t>
        </is>
      </c>
    </row>
    <row r="6" ht="17" customHeight="1" s="179">
      <c r="A6" s="216" t="inlineStr">
        <is>
          <t>Тип клієнта</t>
        </is>
      </c>
      <c r="B6" s="70" t="inlineStr">
        <is>
          <t>Регулярний</t>
        </is>
      </c>
      <c r="C6" s="29" t="n"/>
      <c r="D6" s="167" t="inlineStr">
        <is>
          <t>D1</t>
        </is>
      </c>
      <c r="E6" s="167">
        <f>IFERROR("≥"&amp;TEXT(Settings!$B$80,"0%"),"≥—")</f>
        <v/>
      </c>
      <c r="F6" s="167">
        <f>IFERROR("≥"&amp;TEXT(Settings!$B$80*0.85,"0%"),"≥—")</f>
        <v/>
      </c>
      <c r="G6" s="28" t="inlineStr">
        <is>
          <t>10%</t>
        </is>
      </c>
    </row>
    <row r="7" ht="17" customHeight="1" s="179">
      <c r="A7" s="216" t="inlineStr">
        <is>
          <t>Код товару (з SKU_Base)</t>
        </is>
      </c>
      <c r="B7" s="70" t="n"/>
      <c r="C7" s="34" t="n"/>
      <c r="D7" s="167" t="inlineStr">
        <is>
          <t>D2</t>
        </is>
      </c>
      <c r="E7" s="167">
        <f>IFERROR("≥"&amp;TEXT(Settings!$C$80,"0%"),"≥—")</f>
        <v/>
      </c>
      <c r="F7" s="167">
        <f>IFERROR("≥"&amp;TEXT(Settings!$C$80*0.85,"0%"),"≥—")</f>
        <v/>
      </c>
      <c r="G7" s="33" t="inlineStr">
        <is>
          <t>10%</t>
        </is>
      </c>
    </row>
    <row r="8" ht="17" customHeight="1" s="179">
      <c r="A8" s="216" t="inlineStr">
        <is>
          <t>Обсяг угоди (грн)</t>
        </is>
      </c>
      <c r="B8" s="71" t="n">
        <v>0</v>
      </c>
      <c r="C8" s="29" t="n"/>
      <c r="D8" s="167" t="inlineStr">
        <is>
          <t>D3</t>
        </is>
      </c>
      <c r="E8" s="167">
        <f>IFERROR("≥"&amp;TEXT(Settings!$D$80,"0%"),"≥—")</f>
        <v/>
      </c>
      <c r="F8" s="167">
        <f>IFERROR("≥"&amp;TEXT(Settings!$D$80*0.85,"0%"),"≥—")</f>
        <v/>
      </c>
      <c r="G8" s="28" t="inlineStr">
        <is>
          <t>10%</t>
        </is>
      </c>
    </row>
    <row r="9" ht="17" customHeight="1" s="179">
      <c r="A9" s="216" t="inlineStr">
        <is>
          <t>Кількість (шт.)</t>
        </is>
      </c>
      <c r="B9" s="71" t="n">
        <v>1</v>
      </c>
      <c r="C9" s="34" t="n"/>
      <c r="D9" s="167" t="inlineStr">
        <is>
          <t>D4 Buy</t>
        </is>
      </c>
      <c r="E9" s="167">
        <f>IFERROR("≥"&amp;TEXT(Settings!$E$80,"0%"),"≥—")</f>
        <v/>
      </c>
      <c r="F9" s="167">
        <f>IFERROR("≥"&amp;TEXT(Settings!$E$80*0.85,"0%"),"≥—")</f>
        <v/>
      </c>
      <c r="G9" s="33" t="inlineStr">
        <is>
          <t>10%</t>
        </is>
      </c>
    </row>
    <row r="10" ht="17" customHeight="1" s="179">
      <c r="A10" s="72" t="n"/>
      <c r="B10" s="53" t="n"/>
      <c r="C10" s="3" t="n"/>
      <c r="D10" s="167" t="inlineStr">
        <is>
          <t>D4 Drop</t>
        </is>
      </c>
      <c r="E10" s="167">
        <f>IFERROR("≥"&amp;TEXT(Settings!$F$80,"0%"),"≥—")</f>
        <v/>
      </c>
      <c r="F10" s="167">
        <f>IFERROR("≥"&amp;TEXT(Settings!$F$80*0.85,"0%"),"≥—")</f>
        <v/>
      </c>
      <c r="G10" s="28" t="inlineStr">
        <is>
          <t>10%</t>
        </is>
      </c>
    </row>
    <row r="11" ht="17" customHeight="1" s="179">
      <c r="A11" s="218" t="inlineStr">
        <is>
          <t>Жовті — введення менеджера.  Блакитні — розрахунок.  Зелені — висновок.</t>
        </is>
      </c>
      <c r="B11" s="197" t="n"/>
      <c r="C11" s="3" t="n"/>
      <c r="D11" s="167" t="inlineStr">
        <is>
          <t>D5</t>
        </is>
      </c>
      <c r="E11" s="167" t="inlineStr">
        <is>
          <t>REVIEW</t>
        </is>
      </c>
      <c r="F11" s="167" t="inlineStr">
        <is>
          <t>REVIEW</t>
        </is>
      </c>
      <c r="G11" s="33" t="inlineStr">
        <is>
          <t>10%</t>
        </is>
      </c>
    </row>
    <row r="12" ht="17" customHeight="1" s="179">
      <c r="A12" s="72" t="n"/>
      <c r="B12" s="53" t="n"/>
      <c r="C12" s="3" t="n"/>
      <c r="D12" s="167" t="inlineStr">
        <is>
          <t>D6</t>
        </is>
      </c>
      <c r="E12" s="167">
        <f>IFERROR("≥"&amp;TEXT(Settings!$H$80,"0%"),"≥—")</f>
        <v/>
      </c>
      <c r="F12" s="167">
        <f>IFERROR("≥"&amp;TEXT(Settings!$H$80*0.85,"0%"),"≥—")</f>
        <v/>
      </c>
      <c r="G12" s="28" t="inlineStr">
        <is>
          <t>10%</t>
        </is>
      </c>
    </row>
    <row r="13" ht="17" customHeight="1" s="179">
      <c r="A13" s="217" t="inlineStr">
        <is>
          <t>2. ДАНІ SKU  (із SKU_Base)</t>
        </is>
      </c>
      <c r="B13" s="200" t="n"/>
      <c r="C13" s="221" t="n"/>
      <c r="D13" s="221" t="n"/>
      <c r="E13" s="221" t="n"/>
      <c r="F13" s="221" t="n"/>
      <c r="G13" s="221" t="n"/>
    </row>
    <row r="14" ht="17" customHeight="1" s="179">
      <c r="A14" s="216" t="inlineStr">
        <is>
          <t>Назва товару</t>
        </is>
      </c>
      <c r="B14" s="73">
        <f>IFERROR(VLOOKUP(B7,SKU_Base!$B:$U,2,0),"— введіть код SKU —")</f>
        <v/>
      </c>
      <c r="C14" s="33" t="n"/>
      <c r="D14" s="28" t="inlineStr">
        <is>
          <t>Waterfall:</t>
        </is>
      </c>
      <c r="E14" s="28" t="n"/>
      <c r="F14" s="28" t="n"/>
      <c r="G14" s="28" t="n"/>
    </row>
    <row r="15" ht="17" customHeight="1" s="179">
      <c r="A15" s="74" t="inlineStr">
        <is>
          <t>Собівартість (грн / шт)</t>
        </is>
      </c>
      <c r="B15" s="75">
        <f>IFERROR(VLOOKUP(B7,SKU_Base!$B:$U,8,0),"")</f>
        <v/>
      </c>
      <c r="C15" s="33" t="n"/>
      <c r="D15" s="227" t="inlineStr">
        <is>
          <t>Валова маржа %</t>
        </is>
      </c>
      <c r="E15" s="196" t="n"/>
      <c r="F15" s="196" t="n"/>
      <c r="G15" s="197" t="n"/>
    </row>
    <row r="16" ht="17" customHeight="1" s="179">
      <c r="A16" s="216" t="inlineStr">
        <is>
          <t>RRP ефективна (грн)</t>
        </is>
      </c>
      <c r="B16" s="75">
        <f>IFERROR(VLOOKUP(B7,SKU_Base!$B:$U,19,0),"")</f>
        <v/>
      </c>
      <c r="C16" s="33" t="n"/>
      <c r="D16" s="228" t="inlineStr">
        <is>
          <t>− Комерційні резерви %</t>
        </is>
      </c>
      <c r="E16" s="196" t="n"/>
      <c r="F16" s="196" t="n"/>
      <c r="G16" s="197" t="n"/>
    </row>
    <row r="17" ht="17" customHeight="1" s="179">
      <c r="A17" s="74" t="inlineStr">
        <is>
          <t>Роль SKU</t>
        </is>
      </c>
      <c r="B17" s="73">
        <f>IFERROR(VLOOKUP(B7,SKU_Base!$B:$U,20,0),"")</f>
        <v/>
      </c>
      <c r="C17" s="33" t="n"/>
      <c r="D17" s="227" t="inlineStr">
        <is>
          <t>→ Чиста маржа %</t>
        </is>
      </c>
      <c r="E17" s="196" t="n"/>
      <c r="F17" s="196" t="n"/>
      <c r="G17" s="197" t="n"/>
    </row>
    <row r="18" ht="17" customHeight="1" s="179">
      <c r="A18" s="216" t="n"/>
      <c r="B18" s="76" t="n"/>
      <c r="C18" s="33" t="n"/>
      <c r="D18" s="228" t="inlineStr">
        <is>
          <t>− Операційні витрати %</t>
        </is>
      </c>
      <c r="E18" s="196" t="n"/>
      <c r="F18" s="196" t="n"/>
      <c r="G18" s="197" t="n"/>
    </row>
    <row r="19" ht="17" customHeight="1" s="179">
      <c r="A19" s="217" t="inlineStr">
        <is>
          <t>3. УМОВИ КОМЕРЦІЙНОЇ ПОЛІТИКИ  (система пропонує)</t>
        </is>
      </c>
      <c r="B19" s="200" t="n"/>
      <c r="C19" s="221" t="n"/>
      <c r="D19" s="221" t="inlineStr">
        <is>
          <t>→ Прибуток %</t>
        </is>
      </c>
      <c r="E19" s="199" t="n"/>
      <c r="F19" s="199" t="n"/>
      <c r="G19" s="200" t="n"/>
    </row>
    <row r="20" ht="17" customHeight="1" s="179">
      <c r="A20" s="216" t="inlineStr">
        <is>
          <t>Сценарій підбирається за: Канал + Тип клієнта + Обсяг замовлення.</t>
        </is>
      </c>
      <c r="B20" s="197" t="n"/>
      <c r="C20" s="33" t="n"/>
      <c r="D20" s="28" t="n"/>
      <c r="E20" s="28" t="n"/>
      <c r="F20" s="28" t="n"/>
      <c r="G20" s="28" t="n"/>
    </row>
    <row r="21" ht="17" customHeight="1" s="179">
      <c r="A21" s="74" t="inlineStr">
        <is>
          <t>Сценарій</t>
        </is>
      </c>
      <c r="B21" s="73">
        <f>IFERROR(INDEX(Commercial_Policy!$D$4:$D$29,SUMPRODUCT((Commercial_Policy!$Y$4:$Y$29=B5)*(Commercial_Policy!$B$4:$B$29=B6)*(Commercial_Policy!$F$4:$F$29&lt;=B8)*(Commercial_Policy!$G$4:$G$29&gt;=B8)*ROW(Commercial_Policy!$A$4:$A$29))-3),"—")</f>
        <v/>
      </c>
      <c r="C21" s="33" t="n"/>
      <c r="D21" s="33" t="n"/>
      <c r="E21" s="33" t="n"/>
      <c r="F21" s="33" t="n"/>
      <c r="G21" s="33" t="n"/>
    </row>
    <row r="22" ht="17" customHeight="1" s="179">
      <c r="A22" s="216" t="inlineStr">
        <is>
          <t>Знижка</t>
        </is>
      </c>
      <c r="B22" s="77">
        <f>IFERROR(INDEX(Commercial_Policy!$H$4:$H$29,SUMPRODUCT((Commercial_Policy!$Y$4:$Y$29=B5)*(Commercial_Policy!$B$4:$B$29=B6)*(Commercial_Policy!$F$4:$F$29&lt;=B8)*(Commercial_Policy!$G$4:$G$29&gt;=B8)*ROW(Commercial_Policy!$A$4:$A$29))-3),"—")</f>
        <v/>
      </c>
      <c r="C22" s="33" t="n"/>
      <c r="D22" s="28" t="n"/>
      <c r="E22" s="28" t="n"/>
      <c r="F22" s="28" t="n"/>
      <c r="G22" s="28" t="n"/>
    </row>
    <row r="23" ht="17" customHeight="1" s="179">
      <c r="A23" s="74" t="inlineStr">
        <is>
          <t>Welcome бонус</t>
        </is>
      </c>
      <c r="B23" s="77">
        <f>IFERROR(INDEX(Commercial_Policy!$I$4:$I$29,SUMPRODUCT((Commercial_Policy!$Y$4:$Y$29=B5)*(Commercial_Policy!$B$4:$B$29=B6)*(Commercial_Policy!$F$4:$F$29&lt;=B8)*(Commercial_Policy!$G$4:$G$29&gt;=B8)*ROW(Commercial_Policy!$A$4:$A$29))-3),"—")</f>
        <v/>
      </c>
      <c r="C23" s="33" t="n"/>
      <c r="D23" s="33" t="n"/>
      <c r="E23" s="33" t="n"/>
      <c r="F23" s="33" t="n"/>
      <c r="G23" s="33" t="n"/>
    </row>
    <row r="24" ht="17" customHeight="1" s="179">
      <c r="A24" s="216" t="inlineStr">
        <is>
          <t>Доставка</t>
        </is>
      </c>
      <c r="B24" s="73">
        <f>IFERROR(INDEX(Commercial_Policy!$L$4:$L$29,SUMPRODUCT((Commercial_Policy!$Y$4:$Y$29=B5)*(Commercial_Policy!$B$4:$B$29=B6)*(Commercial_Policy!$F$4:$F$29&lt;=B8)*(Commercial_Policy!$G$4:$G$29&gt;=B8)*ROW(Commercial_Policy!$A$4:$A$29))-3),"—")</f>
        <v/>
      </c>
      <c r="C24" s="33" t="n"/>
      <c r="D24" s="28" t="n"/>
      <c r="E24" s="28" t="n"/>
      <c r="F24" s="28" t="n"/>
      <c r="G24" s="28" t="n"/>
    </row>
    <row r="25" ht="17" customHeight="1" s="179">
      <c r="A25" s="74" t="inlineStr">
        <is>
          <t>Ретро / бонус %</t>
        </is>
      </c>
      <c r="B25" s="77">
        <f>IFERROR(INDEX(Commercial_Policy!$O$4:$O$29,SUMPRODUCT((Commercial_Policy!$Y$4:$Y$29=B5)*(Commercial_Policy!$B$4:$B$29=B6)*(Commercial_Policy!$F$4:$F$29&lt;=B8)*(Commercial_Policy!$G$4:$G$29&gt;=B8)*ROW(Commercial_Policy!$A$4:$A$29))-3),"—")</f>
        <v/>
      </c>
      <c r="C25" s="33" t="n"/>
      <c r="D25" s="33" t="n"/>
      <c r="E25" s="33" t="n"/>
      <c r="F25" s="33" t="n"/>
      <c r="G25" s="33" t="n"/>
    </row>
    <row r="26" ht="17" customHeight="1" s="179">
      <c r="A26" s="216" t="inlineStr">
        <is>
          <t>KPI умова</t>
        </is>
      </c>
      <c r="B26" s="73">
        <f>IFERROR(INDEX(Commercial_Policy!$P$4:$P$29,SUMPRODUCT((Commercial_Policy!$Y$4:$Y$29=B5)*(Commercial_Policy!$B$4:$B$29=B6)*(Commercial_Policy!$F$4:$F$29&lt;=B8)*(Commercial_Policy!$G$4:$G$29&gt;=B8)*ROW(Commercial_Policy!$A$4:$A$29))-3),"—")</f>
        <v/>
      </c>
      <c r="C26" s="33" t="n"/>
      <c r="D26" s="28" t="n"/>
      <c r="E26" s="28" t="n"/>
      <c r="F26" s="28" t="n"/>
      <c r="G26" s="28" t="n"/>
    </row>
    <row r="27" ht="17" customHeight="1" s="179">
      <c r="A27" s="74" t="inlineStr">
        <is>
          <t>Строк бонусу</t>
        </is>
      </c>
      <c r="B27" s="73">
        <f>IFERROR(INDEX(Commercial_Policy!$Q$4:$Q$29,SUMPRODUCT((Commercial_Policy!$Y$4:$Y$29=B5)*(Commercial_Policy!$B$4:$B$29=B6)*(Commercial_Policy!$F$4:$F$29&lt;=B8)*(Commercial_Policy!$G$4:$G$29&gt;=B8)*ROW(Commercial_Policy!$A$4:$A$29))-3),"—")</f>
        <v/>
      </c>
      <c r="C27" s="33" t="n"/>
      <c r="D27" s="33" t="n"/>
      <c r="E27" s="33" t="n"/>
      <c r="F27" s="33" t="n"/>
      <c r="G27" s="33" t="n"/>
    </row>
    <row r="28" ht="17" customHeight="1" s="179">
      <c r="A28" s="216" t="inlineStr">
        <is>
          <t>MOQ логістики</t>
        </is>
      </c>
      <c r="B28" s="73">
        <f>IFERROR(INDEX(Commercial_Policy!$M$4:$M$29,SUMPRODUCT((Commercial_Policy!$Y$4:$Y$29=B5)*(Commercial_Policy!$B$4:$B$29=B6)*(Commercial_Policy!$F$4:$F$29&lt;=B8)*(Commercial_Policy!$G$4:$G$29&gt;=B8)*ROW(Commercial_Policy!$A$4:$A$29))-3),"—")</f>
        <v/>
      </c>
      <c r="C28" s="33" t="n"/>
      <c r="D28" s="28" t="n"/>
      <c r="E28" s="28" t="n"/>
      <c r="F28" s="28" t="n"/>
      <c r="G28" s="28" t="n"/>
    </row>
    <row r="29" ht="17" customHeight="1" s="179">
      <c r="A29" s="74" t="inlineStr">
        <is>
          <t>Відстрочка (днів)</t>
        </is>
      </c>
      <c r="B29" s="73">
        <f>IFERROR(INDEX(Commercial_Policy!$N$4:$N$29,SUMPRODUCT((Commercial_Policy!$Y$4:$Y$29=B5)*(Commercial_Policy!$B$4:$B$29=B6)*(Commercial_Policy!$F$4:$F$29&lt;=B8)*(Commercial_Policy!$G$4:$G$29&gt;=B8)*ROW(Commercial_Policy!$A$4:$A$29))-3),"—")</f>
        <v/>
      </c>
      <c r="C29" s="33" t="n"/>
      <c r="D29" s="33" t="n"/>
      <c r="E29" s="33" t="n"/>
      <c r="F29" s="33" t="n"/>
      <c r="G29" s="33" t="n"/>
    </row>
    <row r="30" ht="17" customHeight="1" s="179">
      <c r="A30" s="216" t="inlineStr">
        <is>
          <t>Рівень погодження</t>
        </is>
      </c>
      <c r="B30" s="73">
        <f>IFERROR(INDEX(Commercial_Policy!$S$4:$S$29,SUMPRODUCT((Commercial_Policy!$Y$4:$Y$29=B5)*(Commercial_Policy!$B$4:$B$29=B6)*(Commercial_Policy!$F$4:$F$29&lt;=B8)*(Commercial_Policy!$G$4:$G$29&gt;=B8)*ROW(Commercial_Policy!$A$4:$A$29))-3),"—")</f>
        <v/>
      </c>
      <c r="C30" s="33" t="n"/>
      <c r="D30" s="28" t="n"/>
      <c r="E30" s="28" t="n"/>
      <c r="F30" s="28" t="n"/>
      <c r="G30" s="28" t="n"/>
    </row>
    <row r="31" ht="17" customHeight="1" s="179">
      <c r="A31" s="74" t="inlineStr">
        <is>
          <t>Примітки / STOP</t>
        </is>
      </c>
      <c r="B31" s="73">
        <f>IFERROR(INDEX(Commercial_Policy!$U$4:$U$29,SUMPRODUCT((Commercial_Policy!$Y$4:$Y$29=B5)*(Commercial_Policy!$B$4:$B$29=B6)*(Commercial_Policy!$F$4:$F$29&lt;=B8)*(Commercial_Policy!$G$4:$G$29&gt;=B8)*ROW(Commercial_Policy!$A$4:$A$29))-3),"—")</f>
        <v/>
      </c>
      <c r="C31" s="33" t="n"/>
      <c r="D31" s="33" t="n"/>
      <c r="E31" s="33" t="n"/>
      <c r="F31" s="33" t="n"/>
      <c r="G31" s="33" t="n"/>
    </row>
    <row r="32" ht="17" customHeight="1" s="179">
      <c r="A32" s="216" t="n"/>
      <c r="B32" s="76" t="n"/>
      <c r="C32" s="33" t="n"/>
      <c r="D32" s="28" t="n"/>
      <c r="E32" s="28" t="n"/>
      <c r="F32" s="28" t="n"/>
      <c r="G32" s="28" t="n"/>
    </row>
    <row r="33" ht="17" customHeight="1" s="179">
      <c r="A33" s="217" t="inlineStr">
        <is>
          <t>4. ЕКОНОМІКА УГОДИ — WATERFALL МАРЖІ</t>
        </is>
      </c>
      <c r="B33" s="200" t="n"/>
      <c r="C33" s="221" t="n"/>
      <c r="D33" s="221" t="n"/>
      <c r="E33" s="221" t="n"/>
      <c r="F33" s="221" t="n"/>
      <c r="G33" s="221" t="n"/>
    </row>
    <row r="34" ht="17" customHeight="1" s="179">
      <c r="A34" s="216" t="inlineStr">
        <is>
          <t>Собівартість (грн / шт)</t>
        </is>
      </c>
      <c r="B34" s="78">
        <f>IFERROR(B15,"")</f>
        <v/>
      </c>
      <c r="C34" s="33" t="n"/>
      <c r="D34" s="28" t="n"/>
      <c r="E34" s="28" t="n"/>
      <c r="F34" s="28" t="n"/>
      <c r="G34" s="28" t="n"/>
    </row>
    <row r="35" ht="17" customHeight="1" s="179">
      <c r="A35" s="74" t="inlineStr">
        <is>
          <t>DDP ціна каналу (грн/шт)</t>
        </is>
      </c>
      <c r="B35" s="78">
        <f>IFERROR(VLOOKUP(B7,Channel_Prices!$A:$AG,CHOOSE(MATCH(B5,{"D1","D2","D3","D4 Buy","D4 Drop","D5","D6"},0),6,10,14,18,22,26,30),0),"")</f>
        <v/>
      </c>
      <c r="C35" s="33" t="n"/>
      <c r="D35" s="33" t="n"/>
      <c r="E35" s="33" t="n"/>
      <c r="F35" s="33" t="n"/>
      <c r="G35" s="33" t="n"/>
    </row>
    <row r="36" ht="17" customHeight="1" s="179">
      <c r="A36" s="216" t="inlineStr">
        <is>
          <t>RRP ефективна (грн)</t>
        </is>
      </c>
      <c r="B36" s="78">
        <f>IFERROR(B16,"")</f>
        <v/>
      </c>
      <c r="C36" s="33" t="n"/>
      <c r="D36" s="28" t="n"/>
      <c r="E36" s="28" t="n"/>
      <c r="F36" s="28" t="n"/>
      <c r="G36" s="28" t="n"/>
    </row>
    <row r="37" ht="17" customHeight="1" s="179">
      <c r="A37" s="74" t="inlineStr">
        <is>
          <t>▸ Валова маржа %</t>
        </is>
      </c>
      <c r="B37" s="79">
        <f>IFERROR(IF(OR(B35="",B34=""),"",(B35-B34)/B35),"")</f>
        <v/>
      </c>
      <c r="C37" s="33" t="n"/>
      <c r="D37" s="33" t="n"/>
      <c r="E37" s="33" t="n"/>
      <c r="F37" s="33" t="n"/>
      <c r="G37" s="33" t="n"/>
    </row>
    <row r="38" ht="17" customHeight="1" s="179">
      <c r="A38" s="216" t="inlineStr">
        <is>
          <t xml:space="preserve">  − Комерційні резерви %</t>
        </is>
      </c>
      <c r="B38" s="79">
        <f>IFERROR(CHOOSE(MATCH(B5,{"D1","D2","D3","D4 Buy","D4 Drop","D5","D6"},0),Settings!$B$17,Settings!$C$17,Settings!$D$17,Settings!$E$17,Settings!$F$17,Settings!$G$17,Settings!$H$17),"")</f>
        <v/>
      </c>
      <c r="C38" s="33" t="n"/>
      <c r="D38" s="28" t="n"/>
      <c r="E38" s="28" t="n"/>
      <c r="F38" s="28" t="n"/>
      <c r="G38" s="28" t="n"/>
    </row>
    <row r="39" ht="17" customHeight="1" s="179">
      <c r="A39" s="74" t="inlineStr">
        <is>
          <t xml:space="preserve">  = Чиста маржа Extel %</t>
        </is>
      </c>
      <c r="B39" s="79">
        <f>IFERROR(IF(OR(B35="",B34=""),"",(B35*(1-B38)-B34)/(B35*(1-B38))),"")</f>
        <v/>
      </c>
      <c r="C39" s="33" t="n"/>
      <c r="D39" s="33" t="n"/>
      <c r="E39" s="33" t="n"/>
      <c r="F39" s="33" t="n"/>
      <c r="G39" s="33" t="n"/>
    </row>
    <row r="40" ht="17" customHeight="1" s="179">
      <c r="A40" s="216" t="inlineStr">
        <is>
          <t xml:space="preserve">  − Операційні витрати %</t>
        </is>
      </c>
      <c r="B40" s="79">
        <f>IFERROR(CHOOSE(MATCH(B5,{"D1","D2","D3","D4 Buy","D4 Drop","D5","D6"},0),Settings!$B$63,Settings!$C$63,Settings!$D$63,Settings!$E$63,Settings!$F$63,Settings!$G$63,Settings!$H$63),"")</f>
        <v/>
      </c>
      <c r="C40" s="33" t="n"/>
      <c r="D40" s="28" t="n"/>
      <c r="E40" s="28" t="n"/>
      <c r="F40" s="28" t="n"/>
      <c r="G40" s="28" t="n"/>
    </row>
    <row r="41" ht="17" customHeight="1" s="179">
      <c r="A41" s="74" t="inlineStr">
        <is>
          <t xml:space="preserve">  = Прибуток %</t>
        </is>
      </c>
      <c r="B41" s="79">
        <f>IFERROR(IF(B39="","",B39-B40),"")</f>
        <v/>
      </c>
      <c r="C41" s="33" t="n"/>
      <c r="D41" s="33" t="n"/>
      <c r="E41" s="33" t="n"/>
      <c r="F41" s="33" t="n"/>
      <c r="G41" s="33" t="n"/>
    </row>
    <row r="42" ht="17" customHeight="1" s="179">
      <c r="A42" s="216" t="inlineStr">
        <is>
          <t>Прибуток грн / шт</t>
        </is>
      </c>
      <c r="B42" s="78">
        <f>IFERROR(IF(OR(B41="",B35=""),"",B41*B35),"")</f>
        <v/>
      </c>
      <c r="C42" s="33" t="n"/>
      <c r="D42" s="28" t="n"/>
      <c r="E42" s="28" t="n"/>
      <c r="F42" s="28" t="n"/>
      <c r="G42" s="28" t="n"/>
    </row>
    <row r="43" ht="17" customHeight="1" s="179">
      <c r="A43" s="74" t="inlineStr">
        <is>
          <t>Прибуток по угоді (грн)</t>
        </is>
      </c>
      <c r="B43" s="78">
        <f>IFERROR(IF(OR(B42="",B9=""),"",B42*B9),"")</f>
        <v/>
      </c>
      <c r="C43" s="33" t="n"/>
      <c r="D43" s="33" t="n"/>
      <c r="E43" s="33" t="n"/>
      <c r="F43" s="33" t="n"/>
      <c r="G43" s="33" t="n"/>
    </row>
    <row r="44" ht="17" customHeight="1" s="179">
      <c r="A44" s="216" t="inlineStr">
        <is>
          <t>Заробіток клієнта від RRP %</t>
        </is>
      </c>
      <c r="B44" s="79">
        <f>IFERROR(IF(OR(B36="",B35=""),"",(B36-B35)/B36),"")</f>
        <v/>
      </c>
      <c r="C44" s="33" t="n"/>
      <c r="D44" s="28" t="n"/>
      <c r="E44" s="28" t="n"/>
      <c r="F44" s="28" t="n"/>
      <c r="G44" s="28" t="n"/>
    </row>
    <row r="45" ht="17" customHeight="1" s="179">
      <c r="A45" s="74" t="n"/>
      <c r="B45" s="80" t="n"/>
      <c r="C45" s="33" t="n"/>
      <c r="D45" s="33" t="n"/>
      <c r="E45" s="33" t="n"/>
      <c r="F45" s="33" t="n"/>
      <c r="G45" s="33" t="n"/>
    </row>
    <row r="46" ht="17" customHeight="1" s="179">
      <c r="A46" s="217" t="inlineStr">
        <is>
          <t>5. СТАТУС УГОДИ</t>
        </is>
      </c>
      <c r="B46" s="200" t="n"/>
      <c r="C46" s="221" t="n"/>
      <c r="D46" s="221" t="n"/>
      <c r="E46" s="221" t="n"/>
      <c r="F46" s="221" t="n"/>
      <c r="G46" s="221" t="n"/>
    </row>
    <row r="47" ht="17" customHeight="1" s="179">
      <c r="A47" s="74" t="inlineStr">
        <is>
          <t>Заробіток клієнта — статус</t>
        </is>
      </c>
      <c r="B47" s="81">
        <f>IF(B5="D5","REVIEW",IF(B44="","—",IF(B44&gt;=IFERROR(CHOOSE(MATCH(B5,{"D1","D2","D3","D4 Buy","D4 Drop","D5","D6"},0),CHOOSE(MATCH(B17,{"Трафіковий","Основний","Маржинальний","Сезонний","Стратегічний"},0),Settings!$B$78,Settings!$B$80,Settings!$B$82,Settings!$B$84,Settings!$B$86),CHOOSE(MATCH(B17,{"Трафіковий","Основний","Маржинальний","Сезонний","Стратегічний"},0),Settings!$C$78,Settings!$C$80,Settings!$C$82,Settings!$C$84,Settings!$C$86),CHOOSE(MATCH(B17,{"Трафіковий","Основний","Маржинальний","Сезонний","Стратегічний"},0),Settings!$D$78,Settings!$D$80,Settings!$D$82,Settings!$D$84,Settings!$D$86),CHOOSE(MATCH(B17,{"Трафіковий","Основний","Маржинальний","Сезонний","Стратегічний"},0),Settings!$E$78,Settings!$E$80,Settings!$E$82,Settings!$E$84,Settings!$E$86),CHOOSE(MATCH(B17,{"Трафіковий","Основний","Маржинальний","Сезонний","Стратегічний"},0),Settings!$F$78,Settings!$F$80,Settings!$F$82,Settings!$F$84,Settings!$F$86),CHOOSE(MATCH(B17,{"Трафіковий","Основний","Маржинальний","Сезонний","Стратегічний"},0),Settings!$G$78,Settings!$G$80,Settings!$G$82,Settings!$G$84,Settings!$G$86),CHOOSE(MATCH(B17,{"Трафіковий","Основний","Маржинальний","Сезонний","Стратегічний"},0),Settings!$H$78,Settings!$H$80,Settings!$H$82,Settings!$H$84,Settings!$H$86)),0.2),"OK",IF(B44&gt;=IFERROR(CHOOSE(MATCH(B5,{"D1","D2","D3","D4 Buy","D4 Drop","D5","D6"},0),CHOOSE(MATCH(B17,{"Трафіковий","Основний","Маржинальний","Сезонний","Стратегічний"},0),Settings!$B$78,Settings!$B$80,Settings!$B$82,Settings!$B$84,Settings!$B$86),CHOOSE(MATCH(B17,{"Трафіковий","Основний","Маржинальний","Сезонний","Стратегічний"},0),Settings!$C$78,Settings!$C$80,Settings!$C$82,Settings!$C$84,Settings!$C$86),CHOOSE(MATCH(B17,{"Трафіковий","Основний","Маржинальний","Сезонний","Стратегічний"},0),Settings!$D$78,Settings!$D$80,Settings!$D$82,Settings!$D$84,Settings!$D$86),CHOOSE(MATCH(B17,{"Трафіковий","Основний","Маржинальний","Сезонний","Стратегічний"},0),Settings!$E$78,Settings!$E$80,Settings!$E$82,Settings!$E$84,Settings!$E$86),CHOOSE(MATCH(B17,{"Трафіковий","Основний","Маржинальний","Сезонний","Стратегічний"},0),Settings!$F$78,Settings!$F$80,Settings!$F$82,Settings!$F$84,Settings!$F$86),CHOOSE(MATCH(B17,{"Трафіковий","Основний","Маржинальний","Сезонний","Стратегічний"},0),Settings!$G$78,Settings!$G$80,Settings!$G$82,Settings!$G$84,Settings!$G$86),CHOOSE(MATCH(B17,{"Трафіковий","Основний","Маржинальний","Сезонний","Стратегічний"},0),Settings!$H$78,Settings!$H$80,Settings!$H$82,Settings!$H$84,Settings!$H$86)),0.2)*0.85,"WARN","STOP"))))</f>
        <v/>
      </c>
      <c r="C47" s="33" t="n"/>
      <c r="D47" s="33" t="n"/>
      <c r="E47" s="33" t="n"/>
      <c r="F47" s="33" t="n"/>
      <c r="G47" s="33" t="n"/>
    </row>
    <row r="48" ht="17" customHeight="1" s="179">
      <c r="A48" s="216" t="inlineStr">
        <is>
          <t>Прибуток Extel — статус</t>
        </is>
      </c>
      <c r="B48" s="81">
        <f>IFERROR(IF(B41="","—",IF(B41&gt;=CHOOSE(MATCH(B5,{"D1","D2","D3","D4 Buy","D4 Drop","D5","D6"},0),Settings!$B$64,Settings!$C$64,Settings!$D$64,Settings!$E$64,Settings!$F$64,Settings!$G$64,Settings!$H$64),"OK",IF(B41&gt;=0,"LOW","ЗБИТОК"))),"—")</f>
        <v/>
      </c>
      <c r="C48" s="33" t="n"/>
      <c r="D48" s="28" t="n"/>
      <c r="E48" s="28" t="n"/>
      <c r="F48" s="28" t="n"/>
      <c r="G48" s="28" t="n"/>
    </row>
    <row r="49" ht="17" customHeight="1" s="179">
      <c r="A49" s="74" t="inlineStr">
        <is>
          <t>Пакет знижка + доставка</t>
        </is>
      </c>
      <c r="B49" s="81">
        <f>IFERROR(IF(AND(ISNUMBER(SEARCH("5",B22)),B24="За наш рахунок"),IF(AND(B47="OK",B48="OK"),"⚠ Потрібен Sales Lead","⛔ STOP: пакет заборонений"),"OK"),"—")</f>
        <v/>
      </c>
      <c r="C49" s="33" t="n"/>
      <c r="D49" s="33" t="n"/>
      <c r="E49" s="33" t="n"/>
      <c r="F49" s="33" t="n"/>
      <c r="G49" s="33" t="n"/>
    </row>
    <row r="50" ht="17" customHeight="1" s="179">
      <c r="A50" s="216" t="inlineStr">
        <is>
          <t>Рівень погодження</t>
        </is>
      </c>
      <c r="B50" s="81">
        <f>IFERROR(IF(B30="—","—",B30),"—")</f>
        <v/>
      </c>
      <c r="C50" s="33" t="n"/>
      <c r="D50" s="28" t="n"/>
      <c r="E50" s="28" t="n"/>
      <c r="F50" s="28" t="n"/>
      <c r="G50" s="28" t="n"/>
    </row>
    <row r="51" ht="17" customHeight="1" s="179">
      <c r="A51" s="74" t="n"/>
      <c r="B51" s="80" t="n"/>
      <c r="C51" s="33" t="n"/>
      <c r="D51" s="33" t="n"/>
      <c r="E51" s="33" t="n"/>
      <c r="F51" s="33" t="n"/>
      <c r="G51" s="33" t="n"/>
    </row>
    <row r="52" ht="17" customHeight="1" s="179">
      <c r="A52" s="216" t="inlineStr">
        <is>
          <t>OK=зел | WARN=жовт | STOP/LOW=черв | ЗБИТОК=темно-черв | REVIEW=фіол | ⛔=пакет заборонено</t>
        </is>
      </c>
      <c r="B52" s="197" t="n"/>
      <c r="C52" s="33" t="n"/>
      <c r="D52" s="28" t="n"/>
      <c r="E52" s="28" t="n"/>
      <c r="F52" s="28" t="n"/>
      <c r="G52" s="28" t="n"/>
    </row>
    <row r="53" ht="20" customHeight="1" s="179"/>
    <row r="54" ht="20" customHeight="1" s="179"/>
    <row r="55" ht="20" customHeight="1" s="179"/>
    <row r="56" ht="20" customHeight="1" s="179"/>
    <row r="57" ht="20" customHeight="1" s="179"/>
    <row r="58" ht="20" customHeight="1" s="179"/>
    <row r="59" ht="20" customHeight="1" s="179"/>
  </sheetData>
  <mergeCells count="16">
    <mergeCell ref="A4:B4"/>
    <mergeCell ref="A20:B20"/>
    <mergeCell ref="D18:G18"/>
    <mergeCell ref="A2:B2"/>
    <mergeCell ref="D17:G17"/>
    <mergeCell ref="A52:B52"/>
    <mergeCell ref="A19:B19"/>
    <mergeCell ref="A11:B11"/>
    <mergeCell ref="A33:B33"/>
    <mergeCell ref="D16:G16"/>
    <mergeCell ref="A46:B46"/>
    <mergeCell ref="A13:B13"/>
    <mergeCell ref="D15:G15"/>
    <mergeCell ref="D19:G19"/>
    <mergeCell ref="A1:B1"/>
    <mergeCell ref="D4:G4"/>
  </mergeCells>
  <conditionalFormatting sqref="B47:B50">
    <cfRule type="containsText" priority="1" operator="containsText" dxfId="30" text="OK">
      <formula>NOT(ISERROR(SEARCH("OK",B47)))</formula>
    </cfRule>
    <cfRule type="containsText" priority="2" operator="containsText" dxfId="29" text="WARN">
      <formula>NOT(ISERROR(SEARCH("WARN",B47)))</formula>
    </cfRule>
    <cfRule type="containsText" priority="3" operator="containsText" dxfId="28" text="STOP">
      <formula>NOT(ISERROR(SEARCH("STOP",B47)))</formula>
    </cfRule>
    <cfRule type="containsText" priority="4" operator="containsText" dxfId="27" text="LOW">
      <formula>NOT(ISERROR(SEARCH("LOW",B47)))</formula>
    </cfRule>
    <cfRule type="containsText" priority="5" operator="containsText" dxfId="26" text="ЗБИТОК">
      <formula>NOT(ISERROR(SEARCH("ЗБИТОК",B47)))</formula>
    </cfRule>
  </conditionalFormatting>
  <dataValidations count="2">
    <dataValidation sqref="B5" showDropDown="0" showInputMessage="0" showErrorMessage="0" allowBlank="0" type="list">
      <formula1>"D1,D2,D3,D4 Buy,D4 Drop,D5,D6"</formula1>
    </dataValidation>
    <dataValidation sqref="B6" showDropDown="0" showInputMessage="0" showErrorMessage="0" allowBlank="0" type="list">
      <formula1>"Разовий,Потенційно регул.,Регулярний,Стратег.,Тендер"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15"/>
  <sheetViews>
    <sheetView workbookViewId="0">
      <pane xSplit="5" ySplit="1" topLeftCell="F104" activePane="bottomRight" state="frozen"/>
      <selection pane="topRight" activeCell="F1" sqref="F1"/>
      <selection pane="bottomLeft" activeCell="A2" sqref="A2"/>
      <selection pane="bottomRight" activeCell="A124" sqref="A124:XFD124"/>
    </sheetView>
  </sheetViews>
  <sheetFormatPr baseColWidth="10" defaultColWidth="8.83203125" defaultRowHeight="15"/>
  <cols>
    <col width="12" customWidth="1" style="179" min="1" max="1"/>
    <col width="32" customWidth="1" style="179" min="2" max="2"/>
    <col width="11" customWidth="1" style="1" min="3" max="3"/>
    <col width="10" customWidth="1" style="165" min="4" max="4"/>
    <col width="14" customWidth="1" style="1" min="5" max="5"/>
    <col width="9" customWidth="1" style="179" min="6" max="6"/>
    <col width="10" bestFit="1" customWidth="1" style="179" min="7" max="7"/>
    <col width="7.1640625" bestFit="1" customWidth="1" style="179" min="8" max="8"/>
    <col width="7.1640625" bestFit="1" customWidth="1" style="1" min="9" max="9"/>
    <col width="9" customWidth="1" style="179" min="10" max="10"/>
    <col width="10" bestFit="1" customWidth="1" style="179" min="11" max="11"/>
    <col width="9.83203125" bestFit="1" customWidth="1" style="179" min="12" max="12"/>
    <col width="11" customWidth="1" style="179" min="13" max="13"/>
    <col width="8.1640625" bestFit="1" customWidth="1" style="179" min="14" max="14"/>
    <col width="10.83203125" customWidth="1" style="179" min="15" max="15"/>
    <col width="6.83203125" bestFit="1" customWidth="1" style="179" min="16" max="16"/>
    <col width="9.5" bestFit="1" customWidth="1" style="179" min="17" max="17"/>
    <col width="11" bestFit="1" customWidth="1" style="179" min="18" max="20"/>
    <col width="11" customWidth="1" style="179" min="21" max="21"/>
    <col width="9" customWidth="1" style="179" min="22" max="22"/>
    <col width="10" bestFit="1" customWidth="1" style="179" min="23" max="23"/>
    <col width="8" bestFit="1" customWidth="1" style="179" min="24" max="24"/>
    <col width="11" customWidth="1" style="179" min="25" max="25"/>
    <col width="9" customWidth="1" style="179" min="26" max="26"/>
    <col width="10" bestFit="1" customWidth="1" style="179" min="27" max="27"/>
    <col width="7.33203125" bestFit="1" customWidth="1" style="179" min="28" max="28"/>
    <col width="11" customWidth="1" style="179" min="29" max="29"/>
    <col width="9" customWidth="1" style="179" min="30" max="30"/>
    <col width="9.6640625" bestFit="1" customWidth="1" style="179" min="31" max="31"/>
    <col width="7" customWidth="1" style="179" min="32" max="32"/>
  </cols>
  <sheetData>
    <row r="1" ht="46" customHeight="1" s="179">
      <c r="A1" s="115" t="inlineStr">
        <is>
          <t>Код
товару</t>
        </is>
      </c>
      <c r="B1" s="116" t="inlineStr">
        <is>
          <t>Назва товару</t>
        </is>
      </c>
      <c r="C1" s="115" t="inlineStr">
        <is>
          <t>Собівартість
(грн)</t>
        </is>
      </c>
      <c r="D1" s="162" t="inlineStr">
        <is>
          <t>RRP
(грн)</t>
        </is>
      </c>
      <c r="E1" s="117" t="inlineStr">
        <is>
          <t>Роль SKU</t>
        </is>
      </c>
      <c r="F1" s="118" t="inlineStr">
        <is>
          <t>D1  Нац. мережі
DDP (грн)</t>
        </is>
      </c>
      <c r="G1" s="119" t="inlineStr">
        <is>
          <t>D1  Нац. мережі
Маржа кл.%</t>
        </is>
      </c>
      <c r="H1" s="119" t="inlineStr">
        <is>
          <t>D1  Нац. мережі
Extel%</t>
        </is>
      </c>
      <c r="I1" s="120" t="inlineStr">
        <is>
          <t>D1  Нац. мережі
Fit</t>
        </is>
      </c>
      <c r="J1" s="121" t="inlineStr">
        <is>
          <t>D2  Регіональні
DDP (грн)</t>
        </is>
      </c>
      <c r="K1" s="122" t="inlineStr">
        <is>
          <t>D2  Регіональні
Маржа кл.%</t>
        </is>
      </c>
      <c r="L1" s="122" t="inlineStr">
        <is>
          <t>D2  Регіональні
Extel%</t>
        </is>
      </c>
      <c r="M1" s="123" t="inlineStr">
        <is>
          <t>D2  Регіональні
Fit</t>
        </is>
      </c>
      <c r="N1" s="124" t="inlineStr">
        <is>
          <t>D3  Дилери
DDP (грн)</t>
        </is>
      </c>
      <c r="O1" s="125" t="inlineStr">
        <is>
          <t>D3  Дилери
Маржа кл.%</t>
        </is>
      </c>
      <c r="P1" s="125" t="inlineStr">
        <is>
          <t>D3  Дилери
Extel%</t>
        </is>
      </c>
      <c r="Q1" s="126" t="inlineStr">
        <is>
          <t>D3  Дилери
Fit</t>
        </is>
      </c>
      <c r="R1" s="127" t="inlineStr">
        <is>
          <t>D4 Buy  Маркетплейс
DDP (грн)</t>
        </is>
      </c>
      <c r="S1" s="128" t="inlineStr">
        <is>
          <t>D4 Buy  Маркетплейс
Маржа кл.%</t>
        </is>
      </c>
      <c r="T1" s="128" t="inlineStr">
        <is>
          <t>D4 Buy  Маркетплейс
Extel%</t>
        </is>
      </c>
      <c r="U1" s="129" t="inlineStr">
        <is>
          <t>D4 Buy  Маркетплейс
Fit</t>
        </is>
      </c>
      <c r="V1" s="130" t="inlineStr">
        <is>
          <t>D4 Drop  Дропшип
DDP (грн)</t>
        </is>
      </c>
      <c r="W1" s="131" t="inlineStr">
        <is>
          <t>D4 Drop  Дропшип
Маржа кл.%</t>
        </is>
      </c>
      <c r="X1" s="131" t="inlineStr">
        <is>
          <t>D4 Drop  Дропшип
Extel%</t>
        </is>
      </c>
      <c r="Y1" s="132" t="inlineStr">
        <is>
          <t>D4 Drop  Дропшип
Fit</t>
        </is>
      </c>
      <c r="Z1" s="133" t="inlineStr">
        <is>
          <t>D5  Проекти
DDP (грн)</t>
        </is>
      </c>
      <c r="AA1" s="134" t="inlineStr">
        <is>
          <t>D5  Проекти
Маржа кл.%</t>
        </is>
      </c>
      <c r="AB1" s="134" t="inlineStr">
        <is>
          <t>D5  Проекти
Extel%</t>
        </is>
      </c>
      <c r="AC1" s="135" t="inlineStr">
        <is>
          <t>D5  Проекти
Fit</t>
        </is>
      </c>
      <c r="AD1" s="136" t="inlineStr">
        <is>
          <t>D6  Мережа
DDP (грн)</t>
        </is>
      </c>
      <c r="AE1" s="137" t="inlineStr">
        <is>
          <t>D6  Мережа
Маржа кл.%</t>
        </is>
      </c>
      <c r="AF1" s="137" t="inlineStr">
        <is>
          <t>D6  Мережа
Extel%</t>
        </is>
      </c>
      <c r="AG1" s="138" t="inlineStr">
        <is>
          <t>D6  Мережа
Fit</t>
        </is>
      </c>
    </row>
    <row r="2" ht="17" customHeight="1" s="179">
      <c r="A2" s="139">
        <f>SKU_Base!B2</f>
        <v/>
      </c>
      <c r="B2" s="139">
        <f>SKU_Base!C2</f>
        <v/>
      </c>
      <c r="C2" s="140">
        <f>IFERROR(SKU_Base!I2,"")</f>
        <v/>
      </c>
      <c r="D2" s="163">
        <f>IFERROR(SKU_Base!T2,"")</f>
        <v/>
      </c>
      <c r="E2" s="141">
        <f>IFERROR(SKU_Base!$U2,"")</f>
        <v/>
      </c>
      <c r="F2" s="158">
        <f>IFERROR(ROUND(D2*(1-CHOOSE(MATCH(IF($E2="","Основний",$E2),{"Трафіковий","Основний","Маржинальний","Сезонний","Стратегічний"},0),Settings!$B$78,Settings!$B$80,Settings!$B$82,Settings!$B$84,Settings!$B$86))/6,2)*6,"")</f>
        <v/>
      </c>
      <c r="G2" s="142">
        <f>IFERROR(CHOOSE(MATCH(IF($E2="","Основний",$E2),{"Трафіковий","Основний","Маржинальний","Сезонний","Стратегічний"},0),Settings!$B$78,Settings!$B$80,Settings!$B$82,Settings!$B$84,Settings!$B$86),"")</f>
        <v/>
      </c>
      <c r="H2" s="143">
        <f>IFERROR((F2*(1-Settings!$B$17)-C2)/(F2*(1-Settings!$B$17)),"")</f>
        <v/>
      </c>
      <c r="I2" s="144">
        <f>IFERROR(IF(F2="","",IF(F2&gt;=C2/(1-SKU_Base!Z2)/(1-Settings!$B$17),"OK",IF(F2&gt;=C2/(1-SKU_Base!AG2)/(1-Settings!$B$17),"WARN","STOP"))),"")</f>
        <v/>
      </c>
      <c r="J2" s="158">
        <f>IFERROR(ROUND(D2*(1-CHOOSE(MATCH(IF($E2="","Основний",$E2),{"Трафіковий","Основний","Маржинальний","Сезонний","Стратегічний"},0),Settings!$C$78,Settings!$C$80,Settings!$C$82,Settings!$C$84,Settings!$C$86))/6,2)*6,"")</f>
        <v/>
      </c>
      <c r="K2" s="142">
        <f>IFERROR(CHOOSE(MATCH(IF($E2="","Основний",$E2),{"Трафіковий","Основний","Маржинальний","Сезонний","Стратегічний"},0),Settings!$C$78,Settings!$C$80,Settings!$C$82,Settings!$C$84,Settings!$C$86),"")</f>
        <v/>
      </c>
      <c r="L2" s="143">
        <f>IFERROR((J2*(1-Settings!$C$17)-C2)/(J2*(1-Settings!$C$17)),"")</f>
        <v/>
      </c>
      <c r="M2" s="144">
        <f>IFERROR(IF(J2="","",IF(J2&gt;=C2/(1-SKU_Base!AA2)/(1-Settings!$C$17),"OK",IF(J2&gt;=C2/(1-SKU_Base!AH2)/(1-Settings!$C$17),"WARN","STOP"))),"")</f>
        <v/>
      </c>
      <c r="N2" s="159">
        <f>IFERROR(ROUND(D2*(1-CHOOSE(MATCH(IF($E2="","Основний",$E2),{"Трафіковий","Основний","Маржинальний","Сезонний","Стратегічний"},0),Settings!$D$78,Settings!$D$80,Settings!$D$82,Settings!$D$84,Settings!$D$86))/6,2)*6,"")</f>
        <v/>
      </c>
      <c r="O2" s="142">
        <f>IFERROR(CHOOSE(MATCH(IF($E2="","Основний",$E2),{"Трафіковий","Основний","Маржинальний","Сезонний","Стратегічний"},0),Settings!$D$78,Settings!$D$80,Settings!$D$82,Settings!$D$84,Settings!$D$86),"")</f>
        <v/>
      </c>
      <c r="P2" s="143">
        <f>IFERROR((N2*(1-Settings!$D$17)-C2)/(N2*(1-Settings!$D$17)),"")</f>
        <v/>
      </c>
      <c r="Q2" s="144">
        <f>IFERROR(IF(N2="","",IF(N2&gt;=C2/(1-SKU_Base!AB2)/(1-Settings!$D$17),"OK",IF(N2&gt;=C2/(1-SKU_Base!AI2)/(1-Settings!$D$17),"WARN","STOP"))),"")</f>
        <v/>
      </c>
      <c r="R2" s="159">
        <f>IFERROR(ROUND(D2*(1-CHOOSE(MATCH(IF($E2="","Основний",$E2),{"Трафіковий","Основний","Маржинальний","Сезонний","Стратегічний"},0),Settings!$E$78,Settings!$E$80,Settings!$E$82,Settings!$E$84,Settings!$E$86))/6,2)*6,"")</f>
        <v/>
      </c>
      <c r="S2" s="142">
        <f>IFERROR(CHOOSE(MATCH(IF($E2="","Основний",$E2),{"Трафіковий","Основний","Маржинальний","Сезонний","Стратегічний"},0),Settings!$E$78,Settings!$E$80,Settings!$E$82,Settings!$E$84,Settings!$E$86),"")</f>
        <v/>
      </c>
      <c r="T2" s="143">
        <f>IFERROR((R2*(1-Settings!$E$17)-C2)/(R2*(1-Settings!$E$17)),"")</f>
        <v/>
      </c>
      <c r="U2" s="144">
        <f>IFERROR(IF(R2="","",IF(R2&gt;=C2/(1-SKU_Base!AC2)/(1-Settings!$E$17),"OK",IF(R2&gt;=C2/(1-SKU_Base!AJ2)/(1-Settings!$E$17),"WARN","STOP"))),"")</f>
        <v/>
      </c>
      <c r="V2" s="159">
        <f>IFERROR(ROUND(D2*(1-CHOOSE(MATCH(IF($E2="","Основний",$E2),{"Трафіковий","Основний","Маржинальний","Сезонний","Стратегічний"},0),Settings!$F$78,Settings!$F$80,Settings!$F$82,Settings!$F$84,Settings!$F$86))/6,2)*6,"")</f>
        <v/>
      </c>
      <c r="W2" s="142">
        <f>IFERROR(CHOOSE(MATCH(IF($E2="","Основний",$E2),{"Трафіковий","Основний","Маржинальний","Сезонний","Стратегічний"},0),Settings!$F$78,Settings!$F$80,Settings!$F$82,Settings!$F$84,Settings!$F$86),"")</f>
        <v/>
      </c>
      <c r="X2" s="143">
        <f>IFERROR((V2*(1-Settings!$F$17)-C2)/(V2*(1-Settings!$F$17)),"")</f>
        <v/>
      </c>
      <c r="Y2" s="144">
        <f>IFERROR(IF(V2="","",IF(V2&gt;=C2/(1-SKU_Base!AD2)/(1-Settings!$F$17),"OK",IF(V2&gt;=C2/(1-SKU_Base!AK2)/(1-Settings!$F$17),"WARN","STOP"))),"")</f>
        <v/>
      </c>
      <c r="Z2" s="159">
        <f>IFERROR(ROUND(D2*(1-CHOOSE(MATCH(IF($E2="","Основний",$E2),{"Трафіковий","Основний","Маржинальний","Сезонний","Стратегічний"},0),Settings!$G$78,Settings!$G$80,Settings!$G$82,Settings!$G$84,Settings!$G$86))/6,2)*6,"")</f>
        <v/>
      </c>
      <c r="AA2" s="142">
        <f>IFERROR(CHOOSE(MATCH(IF($E2="","Основний",$E2),{"Трафіковий","Основний","Маржинальний","Сезонний","Стратегічний"},0),Settings!$G$78,Settings!$G$80,Settings!$G$82,Settings!$G$84,Settings!$G$86),"")</f>
        <v/>
      </c>
      <c r="AB2" s="143">
        <f>IFERROR((Z2*(1-Settings!$G$17)-C2)/(Z2*(1-Settings!$G$17)),"")</f>
        <v/>
      </c>
      <c r="AC2" s="144">
        <f>IFERROR(IF(Z2="","",IF(Z2&gt;=C2/(1-SKU_Base!AE2)/(1-Settings!$G$17),"OK",IF(Z2&gt;=C2/(1-SKU_Base!AL2)/(1-Settings!$G$17),"WARN","STOP"))),"")</f>
        <v/>
      </c>
      <c r="AD2" s="159">
        <f>IFERROR(ROUND(D2*(1-CHOOSE(MATCH(IF($E2="","Основний",$E2),{"Трафіковий","Основний","Маржинальний","Сезонний","Стратегічний"},0),Settings!$H$78,Settings!$H$80,Settings!$H$82,Settings!$H$84,Settings!$H$86))*(1-Settings!$H$68)/6,2)*6,"")</f>
        <v/>
      </c>
      <c r="AE2" s="142">
        <f>IFERROR(CHOOSE(MATCH(IF($E2="","Основний",$E2),{"Трафіковий","Основний","Маржинальний","Сезонний","Стратегічний"},0),Settings!$H$78,Settings!$H$80,Settings!$H$82,Settings!$H$84,Settings!$H$86)+(1-(CHOOSE(MATCH(IF($E2="","Основний",$E2),{"Трафіковий","Основний","Маржинальний","Сезонний","Стратегічний"},0),Settings!$H$78,Settings!$H$80,Settings!$H$82,Settings!$H$84,Settings!$H$86)))*Settings!$H$68,"")</f>
        <v/>
      </c>
      <c r="AF2" s="143">
        <f>IFERROR((AD2*(1-Settings!$H$17)-C2)/(AD2*(1-Settings!$H$17)),"")</f>
        <v/>
      </c>
      <c r="AG2" s="145">
        <f>IFERROR(IF(AD2="","",IF(AD2&gt;=C2/(1-SKU_Base!AF2)/(1-Settings!$H$17),"OK",IF(AD2&gt;=C2/(1-SKU_Base!AM2)/(1-Settings!$H$17),"WARN","STOP"))),"")</f>
        <v/>
      </c>
    </row>
    <row r="3" ht="17" customHeight="1" s="179">
      <c r="A3" s="146">
        <f>SKU_Base!B3</f>
        <v/>
      </c>
      <c r="B3" s="146">
        <f>SKU_Base!C3</f>
        <v/>
      </c>
      <c r="C3" s="147">
        <f>IFERROR(SKU_Base!I3,"")</f>
        <v/>
      </c>
      <c r="D3" s="164">
        <f>IFERROR(SKU_Base!T3,"")</f>
        <v/>
      </c>
      <c r="E3" s="141">
        <f>IFERROR(SKU_Base!$U3,"")</f>
        <v/>
      </c>
      <c r="F3" s="160">
        <f>IFERROR(ROUND(D3*(1-CHOOSE(MATCH(IF($E3="","Основний",$E3),{"Трафіковий","Основний","Маржинальний","Сезонний","Стратегічний"},0),Settings!$B$78,Settings!$B$80,Settings!$B$82,Settings!$B$84,Settings!$B$86))/6,2)*6,"")</f>
        <v/>
      </c>
      <c r="G3" s="142">
        <f>IFERROR(CHOOSE(MATCH(IF($E3="","Основний",$E3),{"Трафіковий","Основний","Маржинальний","Сезонний","Стратегічний"},0),Settings!$B$78,Settings!$B$80,Settings!$B$82,Settings!$B$84,Settings!$B$86),"")</f>
        <v/>
      </c>
      <c r="H3" s="148">
        <f>IFERROR((F3*(1-Settings!$B$17)-C3)/(F3*(1-Settings!$B$17)),"")</f>
        <v/>
      </c>
      <c r="I3" s="144">
        <f>IFERROR(IF(F3="","",IF(F3&gt;=C3/(1-SKU_Base!Z3)/(1-Settings!$B$17),"OK",IF(F3&gt;=C3/(1-SKU_Base!AG3)/(1-Settings!$B$17),"WARN","STOP"))),"")</f>
        <v/>
      </c>
      <c r="J3" s="160">
        <f>IFERROR(ROUND(D3*(1-CHOOSE(MATCH(IF($E3="","Основний",$E3),{"Трафіковий","Основний","Маржинальний","Сезонний","Стратегічний"},0),Settings!$C$78,Settings!$C$80,Settings!$C$82,Settings!$C$84,Settings!$C$86))/6,2)*6,"")</f>
        <v/>
      </c>
      <c r="K3" s="142">
        <f>IFERROR(CHOOSE(MATCH(IF($E3="","Основний",$E3),{"Трафіковий","Основний","Маржинальний","Сезонний","Стратегічний"},0),Settings!$C$78,Settings!$C$80,Settings!$C$82,Settings!$C$84,Settings!$C$86),"")</f>
        <v/>
      </c>
      <c r="L3" s="148">
        <f>IFERROR((J3*(1-Settings!$C$17)-C3)/(J3*(1-Settings!$C$17)),"")</f>
        <v/>
      </c>
      <c r="M3" s="144">
        <f>IFERROR(IF(J3="","",IF(J3&gt;=C3/(1-SKU_Base!AA3)/(1-Settings!$C$17),"OK",IF(J3&gt;=C3/(1-SKU_Base!AH3)/(1-Settings!$C$17),"WARN","STOP"))),"")</f>
        <v/>
      </c>
      <c r="N3" s="161">
        <f>IFERROR(ROUND(D3*(1-CHOOSE(MATCH(IF($E3="","Основний",$E3),{"Трафіковий","Основний","Маржинальний","Сезонний","Стратегічний"},0),Settings!$D$78,Settings!$D$80,Settings!$D$82,Settings!$D$84,Settings!$D$86))/6,2)*6,"")</f>
        <v/>
      </c>
      <c r="O3" s="142">
        <f>IFERROR(CHOOSE(MATCH(IF($E3="","Основний",$E3),{"Трафіковий","Основний","Маржинальний","Сезонний","Стратегічний"},0),Settings!$D$78,Settings!$D$80,Settings!$D$82,Settings!$D$84,Settings!$D$86),"")</f>
        <v/>
      </c>
      <c r="P3" s="148">
        <f>IFERROR((N3*(1-Settings!$D$17)-C3)/(N3*(1-Settings!$D$17)),"")</f>
        <v/>
      </c>
      <c r="Q3" s="144">
        <f>IFERROR(IF(N3="","",IF(N3&gt;=C3/(1-SKU_Base!AB3)/(1-Settings!$D$17),"OK",IF(N3&gt;=C3/(1-SKU_Base!AI3)/(1-Settings!$D$17),"WARN","STOP"))),"")</f>
        <v/>
      </c>
      <c r="R3" s="161">
        <f>IFERROR(ROUND(D3*(1-CHOOSE(MATCH(IF($E3="","Основний",$E3),{"Трафіковий","Основний","Маржинальний","Сезонний","Стратегічний"},0),Settings!$E$78,Settings!$E$80,Settings!$E$82,Settings!$E$84,Settings!$E$86))/6,2)*6,"")</f>
        <v/>
      </c>
      <c r="S3" s="142">
        <f>IFERROR(CHOOSE(MATCH(IF($E3="","Основний",$E3),{"Трафіковий","Основний","Маржинальний","Сезонний","Стратегічний"},0),Settings!$E$78,Settings!$E$80,Settings!$E$82,Settings!$E$84,Settings!$E$86),"")</f>
        <v/>
      </c>
      <c r="T3" s="148">
        <f>IFERROR((R3*(1-Settings!$E$17)-C3)/(R3*(1-Settings!$E$17)),"")</f>
        <v/>
      </c>
      <c r="U3" s="144">
        <f>IFERROR(IF(R3="","",IF(R3&gt;=C3/(1-SKU_Base!AC3)/(1-Settings!$E$17),"OK",IF(R3&gt;=C3/(1-SKU_Base!AJ3)/(1-Settings!$E$17),"WARN","STOP"))),"")</f>
        <v/>
      </c>
      <c r="V3" s="161">
        <f>IFERROR(ROUND(D3*(1-CHOOSE(MATCH(IF($E3="","Основний",$E3),{"Трафіковий","Основний","Маржинальний","Сезонний","Стратегічний"},0),Settings!$F$78,Settings!$F$80,Settings!$F$82,Settings!$F$84,Settings!$F$86))/6,2)*6,"")</f>
        <v/>
      </c>
      <c r="W3" s="142">
        <f>IFERROR(CHOOSE(MATCH(IF($E3="","Основний",$E3),{"Трафіковий","Основний","Маржинальний","Сезонний","Стратегічний"},0),Settings!$F$78,Settings!$F$80,Settings!$F$82,Settings!$F$84,Settings!$F$86),"")</f>
        <v/>
      </c>
      <c r="X3" s="148">
        <f>IFERROR((V3*(1-Settings!$F$17)-C3)/(V3*(1-Settings!$F$17)),"")</f>
        <v/>
      </c>
      <c r="Y3" s="144">
        <f>IFERROR(IF(V3="","",IF(V3&gt;=C3/(1-SKU_Base!AD3)/(1-Settings!$F$17),"OK",IF(V3&gt;=C3/(1-SKU_Base!AK3)/(1-Settings!$F$17),"WARN","STOP"))),"")</f>
        <v/>
      </c>
      <c r="Z3" s="161">
        <f>IFERROR(ROUND(D3*(1-CHOOSE(MATCH(IF($E3="","Основний",$E3),{"Трафіковий","Основний","Маржинальний","Сезонний","Стратегічний"},0),Settings!$G$78,Settings!$G$80,Settings!$G$82,Settings!$G$84,Settings!$G$86))/6,2)*6,"")</f>
        <v/>
      </c>
      <c r="AA3" s="142">
        <f>IFERROR(CHOOSE(MATCH(IF($E3="","Основний",$E3),{"Трафіковий","Основний","Маржинальний","Сезонний","Стратегічний"},0),Settings!$G$78,Settings!$G$80,Settings!$G$82,Settings!$G$84,Settings!$G$86),"")</f>
        <v/>
      </c>
      <c r="AB3" s="148">
        <f>IFERROR((Z3*(1-Settings!$G$17)-C3)/(Z3*(1-Settings!$G$17)),"")</f>
        <v/>
      </c>
      <c r="AC3" s="144">
        <f>IFERROR(IF(Z3="","",IF(Z3&gt;=C3/(1-SKU_Base!AE3)/(1-Settings!$G$17),"OK",IF(Z3&gt;=C3/(1-SKU_Base!AL3)/(1-Settings!$G$17),"WARN","STOP"))),"")</f>
        <v/>
      </c>
      <c r="AD3" s="161">
        <f>IFERROR(ROUND(D3*(1-CHOOSE(MATCH(IF($E3="","Основний",$E3),{"Трафіковий","Основний","Маржинальний","Сезонний","Стратегічний"},0),Settings!$H$78,Settings!$H$80,Settings!$H$82,Settings!$H$84,Settings!$H$86))*(1-Settings!$H$68)/6,2)*6,"")</f>
        <v/>
      </c>
      <c r="AE3" s="142">
        <f>IFERROR(CHOOSE(MATCH(IF($E3="","Основний",$E3),{"Трафіковий","Основний","Маржинальний","Сезонний","Стратегічний"},0),Settings!$H$78,Settings!$H$80,Settings!$H$82,Settings!$H$84,Settings!$H$86)+(1-(CHOOSE(MATCH(IF($E3="","Основний",$E3),{"Трафіковий","Основний","Маржинальний","Сезонний","Стратегічний"},0),Settings!$H$78,Settings!$H$80,Settings!$H$82,Settings!$H$84,Settings!$H$86)))*Settings!$H$68,"")</f>
        <v/>
      </c>
      <c r="AF3" s="148">
        <f>IFERROR((AD3*(1-Settings!$H$17)-C3)/(AD3*(1-Settings!$H$17)),"")</f>
        <v/>
      </c>
      <c r="AG3" s="145">
        <f>IFERROR(IF(AD3="","",IF(AD3&gt;=C3/(1-SKU_Base!AF3)/(1-Settings!$H$17),"OK",IF(AD3&gt;=C3/(1-SKU_Base!AM3)/(1-Settings!$H$17),"WARN","STOP"))),"")</f>
        <v/>
      </c>
    </row>
    <row r="4" ht="17" customHeight="1" s="179">
      <c r="A4" s="139">
        <f>SKU_Base!B4</f>
        <v/>
      </c>
      <c r="B4" s="139">
        <f>SKU_Base!C4</f>
        <v/>
      </c>
      <c r="C4" s="140">
        <f>IFERROR(SKU_Base!I4,"")</f>
        <v/>
      </c>
      <c r="D4" s="163">
        <f>IFERROR(SKU_Base!T4,"")</f>
        <v/>
      </c>
      <c r="E4" s="141">
        <f>IFERROR(SKU_Base!$U4,"")</f>
        <v/>
      </c>
      <c r="F4" s="158">
        <f>IFERROR(ROUND(D4*(1-CHOOSE(MATCH(IF($E4="","Основний",$E4),{"Трафіковий","Основний","Маржинальний","Сезонний","Стратегічний"},0),Settings!$B$78,Settings!$B$80,Settings!$B$82,Settings!$B$84,Settings!$B$86))/6,2)*6,"")</f>
        <v/>
      </c>
      <c r="G4" s="142">
        <f>IFERROR(CHOOSE(MATCH(IF($E4="","Основний",$E4),{"Трафіковий","Основний","Маржинальний","Сезонний","Стратегічний"},0),Settings!$B$78,Settings!$B$80,Settings!$B$82,Settings!$B$84,Settings!$B$86),"")</f>
        <v/>
      </c>
      <c r="H4" s="143">
        <f>IFERROR((F4*(1-Settings!$B$17)-C4)/(F4*(1-Settings!$B$17)),"")</f>
        <v/>
      </c>
      <c r="I4" s="145">
        <f>IFERROR(IF(F4="","",IF(F4&gt;=C4/(1-SKU_Base!Z4)/(1-Settings!$B$17),"OK",IF(F4&gt;=C4/(1-SKU_Base!AG4)/(1-Settings!$B$17),"WARN","STOP"))),"")</f>
        <v/>
      </c>
      <c r="J4" s="158">
        <f>IFERROR(ROUND(D4*(1-CHOOSE(MATCH(IF($E4="","Основний",$E4),{"Трафіковий","Основний","Маржинальний","Сезонний","Стратегічний"},0),Settings!$C$78,Settings!$C$80,Settings!$C$82,Settings!$C$84,Settings!$C$86))/6,2)*6,"")</f>
        <v/>
      </c>
      <c r="K4" s="142">
        <f>IFERROR(CHOOSE(MATCH(IF($E4="","Основний",$E4),{"Трафіковий","Основний","Маржинальний","Сезонний","Стратегічний"},0),Settings!$C$78,Settings!$C$80,Settings!$C$82,Settings!$C$84,Settings!$C$86),"")</f>
        <v/>
      </c>
      <c r="L4" s="143">
        <f>IFERROR((J4*(1-Settings!$C$17)-C4)/(J4*(1-Settings!$C$17)),"")</f>
        <v/>
      </c>
      <c r="M4" s="144">
        <f>IFERROR(IF(J4="","",IF(J4&gt;=C4/(1-SKU_Base!AA4)/(1-Settings!$C$17),"OK",IF(J4&gt;=C4/(1-SKU_Base!AH4)/(1-Settings!$C$17),"WARN","STOP"))),"")</f>
        <v/>
      </c>
      <c r="N4" s="159">
        <f>IFERROR(ROUND(D4*(1-CHOOSE(MATCH(IF($E4="","Основний",$E4),{"Трафіковий","Основний","Маржинальний","Сезонний","Стратегічний"},0),Settings!$D$78,Settings!$D$80,Settings!$D$82,Settings!$D$84,Settings!$D$86))/6,2)*6,"")</f>
        <v/>
      </c>
      <c r="O4" s="142">
        <f>IFERROR(CHOOSE(MATCH(IF($E4="","Основний",$E4),{"Трафіковий","Основний","Маржинальний","Сезонний","Стратегічний"},0),Settings!$D$78,Settings!$D$80,Settings!$D$82,Settings!$D$84,Settings!$D$86),"")</f>
        <v/>
      </c>
      <c r="P4" s="143">
        <f>IFERROR((N4*(1-Settings!$D$17)-C4)/(N4*(1-Settings!$D$17)),"")</f>
        <v/>
      </c>
      <c r="Q4" s="144">
        <f>IFERROR(IF(N4="","",IF(N4&gt;=C4/(1-SKU_Base!AB4)/(1-Settings!$D$17),"OK",IF(N4&gt;=C4/(1-SKU_Base!AI4)/(1-Settings!$D$17),"WARN","STOP"))),"")</f>
        <v/>
      </c>
      <c r="R4" s="159">
        <f>IFERROR(ROUND(D4*(1-CHOOSE(MATCH(IF($E4="","Основний",$E4),{"Трафіковий","Основний","Маржинальний","Сезонний","Стратегічний"},0),Settings!$E$78,Settings!$E$80,Settings!$E$82,Settings!$E$84,Settings!$E$86))/6,2)*6,"")</f>
        <v/>
      </c>
      <c r="S4" s="142">
        <f>IFERROR(CHOOSE(MATCH(IF($E4="","Основний",$E4),{"Трафіковий","Основний","Маржинальний","Сезонний","Стратегічний"},0),Settings!$E$78,Settings!$E$80,Settings!$E$82,Settings!$E$84,Settings!$E$86),"")</f>
        <v/>
      </c>
      <c r="T4" s="143">
        <f>IFERROR((R4*(1-Settings!$E$17)-C4)/(R4*(1-Settings!$E$17)),"")</f>
        <v/>
      </c>
      <c r="U4" s="144">
        <f>IFERROR(IF(R4="","",IF(R4&gt;=C4/(1-SKU_Base!AC4)/(1-Settings!$E$17),"OK",IF(R4&gt;=C4/(1-SKU_Base!AJ4)/(1-Settings!$E$17),"WARN","STOP"))),"")</f>
        <v/>
      </c>
      <c r="V4" s="159">
        <f>IFERROR(ROUND(D4*(1-CHOOSE(MATCH(IF($E4="","Основний",$E4),{"Трафіковий","Основний","Маржинальний","Сезонний","Стратегічний"},0),Settings!$F$78,Settings!$F$80,Settings!$F$82,Settings!$F$84,Settings!$F$86))/6,2)*6,"")</f>
        <v/>
      </c>
      <c r="W4" s="142">
        <f>IFERROR(CHOOSE(MATCH(IF($E4="","Основний",$E4),{"Трафіковий","Основний","Маржинальний","Сезонний","Стратегічний"},0),Settings!$F$78,Settings!$F$80,Settings!$F$82,Settings!$F$84,Settings!$F$86),"")</f>
        <v/>
      </c>
      <c r="X4" s="143">
        <f>IFERROR((V4*(1-Settings!$F$17)-C4)/(V4*(1-Settings!$F$17)),"")</f>
        <v/>
      </c>
      <c r="Y4" s="144">
        <f>IFERROR(IF(V4="","",IF(V4&gt;=C4/(1-SKU_Base!AD4)/(1-Settings!$F$17),"OK",IF(V4&gt;=C4/(1-SKU_Base!AK4)/(1-Settings!$F$17),"WARN","STOP"))),"")</f>
        <v/>
      </c>
      <c r="Z4" s="159">
        <f>IFERROR(ROUND(D4*(1-CHOOSE(MATCH(IF($E4="","Основний",$E4),{"Трафіковий","Основний","Маржинальний","Сезонний","Стратегічний"},0),Settings!$G$78,Settings!$G$80,Settings!$G$82,Settings!$G$84,Settings!$G$86))/6,2)*6,"")</f>
        <v/>
      </c>
      <c r="AA4" s="142">
        <f>IFERROR(CHOOSE(MATCH(IF($E4="","Основний",$E4),{"Трафіковий","Основний","Маржинальний","Сезонний","Стратегічний"},0),Settings!$G$78,Settings!$G$80,Settings!$G$82,Settings!$G$84,Settings!$G$86),"")</f>
        <v/>
      </c>
      <c r="AB4" s="143">
        <f>IFERROR((Z4*(1-Settings!$G$17)-C4)/(Z4*(1-Settings!$G$17)),"")</f>
        <v/>
      </c>
      <c r="AC4" s="144">
        <f>IFERROR(IF(Z4="","",IF(Z4&gt;=C4/(1-SKU_Base!AE4)/(1-Settings!$G$17),"OK",IF(Z4&gt;=C4/(1-SKU_Base!AL4)/(1-Settings!$G$17),"WARN","STOP"))),"")</f>
        <v/>
      </c>
      <c r="AD4" s="159">
        <f>IFERROR(ROUND(D4*(1-CHOOSE(MATCH(IF($E4="","Основний",$E4),{"Трафіковий","Основний","Маржинальний","Сезонний","Стратегічний"},0),Settings!$H$78,Settings!$H$80,Settings!$H$82,Settings!$H$84,Settings!$H$86))*(1-Settings!$H$68)/6,2)*6,"")</f>
        <v/>
      </c>
      <c r="AE4" s="142">
        <f>IFERROR(CHOOSE(MATCH(IF($E4="","Основний",$E4),{"Трафіковий","Основний","Маржинальний","Сезонний","Стратегічний"},0),Settings!$H$78,Settings!$H$80,Settings!$H$82,Settings!$H$84,Settings!$H$86)+(1-(CHOOSE(MATCH(IF($E4="","Основний",$E4),{"Трафіковий","Основний","Маржинальний","Сезонний","Стратегічний"},0),Settings!$H$78,Settings!$H$80,Settings!$H$82,Settings!$H$84,Settings!$H$86)))*Settings!$H$68,"")</f>
        <v/>
      </c>
      <c r="AF4" s="143">
        <f>IFERROR((AD4*(1-Settings!$H$17)-C4)/(AD4*(1-Settings!$H$17)),"")</f>
        <v/>
      </c>
      <c r="AG4" s="145">
        <f>IFERROR(IF(AD4="","",IF(AD4&gt;=C4/(1-SKU_Base!AF4)/(1-Settings!$H$17),"OK",IF(AD4&gt;=C4/(1-SKU_Base!AM4)/(1-Settings!$H$17),"WARN","STOP"))),"")</f>
        <v/>
      </c>
    </row>
    <row r="5" ht="17" customHeight="1" s="179">
      <c r="A5" s="146">
        <f>SKU_Base!B5</f>
        <v/>
      </c>
      <c r="B5" s="146">
        <f>SKU_Base!C5</f>
        <v/>
      </c>
      <c r="C5" s="147">
        <f>IFERROR(SKU_Base!I5,"")</f>
        <v/>
      </c>
      <c r="D5" s="164">
        <f>IFERROR(SKU_Base!T5,"")</f>
        <v/>
      </c>
      <c r="E5" s="141">
        <f>IFERROR(SKU_Base!$U5,"")</f>
        <v/>
      </c>
      <c r="F5" s="160">
        <f>IFERROR(ROUND(D5*(1-CHOOSE(MATCH(IF($E5="","Основний",$E5),{"Трафіковий","Основний","Маржинальний","Сезонний","Стратегічний"},0),Settings!$B$78,Settings!$B$80,Settings!$B$82,Settings!$B$84,Settings!$B$86))/6,2)*6,"")</f>
        <v/>
      </c>
      <c r="G5" s="142">
        <f>IFERROR(CHOOSE(MATCH(IF($E5="","Основний",$E5),{"Трафіковий","Основний","Маржинальний","Сезонний","Стратегічний"},0),Settings!$B$78,Settings!$B$80,Settings!$B$82,Settings!$B$84,Settings!$B$86),"")</f>
        <v/>
      </c>
      <c r="H5" s="148">
        <f>IFERROR((F5*(1-Settings!$B$17)-C5)/(F5*(1-Settings!$B$17)),"")</f>
        <v/>
      </c>
      <c r="I5" s="144">
        <f>IFERROR(IF(F5="","",IF(F5&gt;=C5/(1-SKU_Base!Z5)/(1-Settings!$B$17),"OK",IF(F5&gt;=C5/(1-SKU_Base!AG5)/(1-Settings!$B$17),"WARN","STOP"))),"")</f>
        <v/>
      </c>
      <c r="J5" s="160">
        <f>IFERROR(ROUND(D5*(1-CHOOSE(MATCH(IF($E5="","Основний",$E5),{"Трафіковий","Основний","Маржинальний","Сезонний","Стратегічний"},0),Settings!$C$78,Settings!$C$80,Settings!$C$82,Settings!$C$84,Settings!$C$86))/6,2)*6,"")</f>
        <v/>
      </c>
      <c r="K5" s="142">
        <f>IFERROR(CHOOSE(MATCH(IF($E5="","Основний",$E5),{"Трафіковий","Основний","Маржинальний","Сезонний","Стратегічний"},0),Settings!$C$78,Settings!$C$80,Settings!$C$82,Settings!$C$84,Settings!$C$86),"")</f>
        <v/>
      </c>
      <c r="L5" s="148">
        <f>IFERROR((J5*(1-Settings!$C$17)-C5)/(J5*(1-Settings!$C$17)),"")</f>
        <v/>
      </c>
      <c r="M5" s="144">
        <f>IFERROR(IF(J5="","",IF(J5&gt;=C5/(1-SKU_Base!AA5)/(1-Settings!$C$17),"OK",IF(J5&gt;=C5/(1-SKU_Base!AH5)/(1-Settings!$C$17),"WARN","STOP"))),"")</f>
        <v/>
      </c>
      <c r="N5" s="161">
        <f>IFERROR(ROUND(D5*(1-CHOOSE(MATCH(IF($E5="","Основний",$E5),{"Трафіковий","Основний","Маржинальний","Сезонний","Стратегічний"},0),Settings!$D$78,Settings!$D$80,Settings!$D$82,Settings!$D$84,Settings!$D$86))/6,2)*6,"")</f>
        <v/>
      </c>
      <c r="O5" s="142">
        <f>IFERROR(CHOOSE(MATCH(IF($E5="","Основний",$E5),{"Трафіковий","Основний","Маржинальний","Сезонний","Стратегічний"},0),Settings!$D$78,Settings!$D$80,Settings!$D$82,Settings!$D$84,Settings!$D$86),"")</f>
        <v/>
      </c>
      <c r="P5" s="148">
        <f>IFERROR((N5*(1-Settings!$D$17)-C5)/(N5*(1-Settings!$D$17)),"")</f>
        <v/>
      </c>
      <c r="Q5" s="144">
        <f>IFERROR(IF(N5="","",IF(N5&gt;=C5/(1-SKU_Base!AB5)/(1-Settings!$D$17),"OK",IF(N5&gt;=C5/(1-SKU_Base!AI5)/(1-Settings!$D$17),"WARN","STOP"))),"")</f>
        <v/>
      </c>
      <c r="R5" s="161">
        <f>IFERROR(ROUND(D5*(1-CHOOSE(MATCH(IF($E5="","Основний",$E5),{"Трафіковий","Основний","Маржинальний","Сезонний","Стратегічний"},0),Settings!$E$78,Settings!$E$80,Settings!$E$82,Settings!$E$84,Settings!$E$86))/6,2)*6,"")</f>
        <v/>
      </c>
      <c r="S5" s="142">
        <f>IFERROR(CHOOSE(MATCH(IF($E5="","Основний",$E5),{"Трафіковий","Основний","Маржинальний","Сезонний","Стратегічний"},0),Settings!$E$78,Settings!$E$80,Settings!$E$82,Settings!$E$84,Settings!$E$86),"")</f>
        <v/>
      </c>
      <c r="T5" s="148">
        <f>IFERROR((R5*(1-Settings!$E$17)-C5)/(R5*(1-Settings!$E$17)),"")</f>
        <v/>
      </c>
      <c r="U5" s="144">
        <f>IFERROR(IF(R5="","",IF(R5&gt;=C5/(1-SKU_Base!AC5)/(1-Settings!$E$17),"OK",IF(R5&gt;=C5/(1-SKU_Base!AJ5)/(1-Settings!$E$17),"WARN","STOP"))),"")</f>
        <v/>
      </c>
      <c r="V5" s="161">
        <f>IFERROR(ROUND(D5*(1-CHOOSE(MATCH(IF($E5="","Основний",$E5),{"Трафіковий","Основний","Маржинальний","Сезонний","Стратегічний"},0),Settings!$F$78,Settings!$F$80,Settings!$F$82,Settings!$F$84,Settings!$F$86))/6,2)*6,"")</f>
        <v/>
      </c>
      <c r="W5" s="142">
        <f>IFERROR(CHOOSE(MATCH(IF($E5="","Основний",$E5),{"Трафіковий","Основний","Маржинальний","Сезонний","Стратегічний"},0),Settings!$F$78,Settings!$F$80,Settings!$F$82,Settings!$F$84,Settings!$F$86),"")</f>
        <v/>
      </c>
      <c r="X5" s="148">
        <f>IFERROR((V5*(1-Settings!$F$17)-C5)/(V5*(1-Settings!$F$17)),"")</f>
        <v/>
      </c>
      <c r="Y5" s="144">
        <f>IFERROR(IF(V5="","",IF(V5&gt;=C5/(1-SKU_Base!AD5)/(1-Settings!$F$17),"OK",IF(V5&gt;=C5/(1-SKU_Base!AK5)/(1-Settings!$F$17),"WARN","STOP"))),"")</f>
        <v/>
      </c>
      <c r="Z5" s="161">
        <f>IFERROR(ROUND(D5*(1-CHOOSE(MATCH(IF($E5="","Основний",$E5),{"Трафіковий","Основний","Маржинальний","Сезонний","Стратегічний"},0),Settings!$G$78,Settings!$G$80,Settings!$G$82,Settings!$G$84,Settings!$G$86))/6,2)*6,"")</f>
        <v/>
      </c>
      <c r="AA5" s="142">
        <f>IFERROR(CHOOSE(MATCH(IF($E5="","Основний",$E5),{"Трафіковий","Основний","Маржинальний","Сезонний","Стратегічний"},0),Settings!$G$78,Settings!$G$80,Settings!$G$82,Settings!$G$84,Settings!$G$86),"")</f>
        <v/>
      </c>
      <c r="AB5" s="148">
        <f>IFERROR((Z5*(1-Settings!$G$17)-C5)/(Z5*(1-Settings!$G$17)),"")</f>
        <v/>
      </c>
      <c r="AC5" s="144">
        <f>IFERROR(IF(Z5="","",IF(Z5&gt;=C5/(1-SKU_Base!AE5)/(1-Settings!$G$17),"OK",IF(Z5&gt;=C5/(1-SKU_Base!AL5)/(1-Settings!$G$17),"WARN","STOP"))),"")</f>
        <v/>
      </c>
      <c r="AD5" s="161">
        <f>IFERROR(ROUND(D5*(1-CHOOSE(MATCH(IF($E5="","Основний",$E5),{"Трафіковий","Основний","Маржинальний","Сезонний","Стратегічний"},0),Settings!$H$78,Settings!$H$80,Settings!$H$82,Settings!$H$84,Settings!$H$86))*(1-Settings!$H$68)/6,2)*6,"")</f>
        <v/>
      </c>
      <c r="AE5" s="142">
        <f>IFERROR(CHOOSE(MATCH(IF($E5="","Основний",$E5),{"Трафіковий","Основний","Маржинальний","Сезонний","Стратегічний"},0),Settings!$H$78,Settings!$H$80,Settings!$H$82,Settings!$H$84,Settings!$H$86)+(1-(CHOOSE(MATCH(IF($E5="","Основний",$E5),{"Трафіковий","Основний","Маржинальний","Сезонний","Стратегічний"},0),Settings!$H$78,Settings!$H$80,Settings!$H$82,Settings!$H$84,Settings!$H$86)))*Settings!$H$68,"")</f>
        <v/>
      </c>
      <c r="AF5" s="148">
        <f>IFERROR((AD5*(1-Settings!$H$17)-C5)/(AD5*(1-Settings!$H$17)),"")</f>
        <v/>
      </c>
      <c r="AG5" s="144">
        <f>IFERROR(IF(AD5="","",IF(AD5&gt;=C5/(1-SKU_Base!AF5)/(1-Settings!$H$17),"OK",IF(AD5&gt;=C5/(1-SKU_Base!AM5)/(1-Settings!$H$17),"WARN","STOP"))),"")</f>
        <v/>
      </c>
    </row>
    <row r="6" ht="17" customHeight="1" s="179">
      <c r="A6" s="139">
        <f>SKU_Base!B6</f>
        <v/>
      </c>
      <c r="B6" s="139">
        <f>SKU_Base!C6</f>
        <v/>
      </c>
      <c r="C6" s="140">
        <f>IFERROR(SKU_Base!I6,"")</f>
        <v/>
      </c>
      <c r="D6" s="163">
        <f>IFERROR(SKU_Base!T6,"")</f>
        <v/>
      </c>
      <c r="E6" s="141">
        <f>IFERROR(SKU_Base!$U6,"")</f>
        <v/>
      </c>
      <c r="F6" s="158">
        <f>IFERROR(ROUND(D6*(1-CHOOSE(MATCH(IF($E6="","Основний",$E6),{"Трафіковий","Основний","Маржинальний","Сезонний","Стратегічний"},0),Settings!$B$78,Settings!$B$80,Settings!$B$82,Settings!$B$84,Settings!$B$86))/6,2)*6,"")</f>
        <v/>
      </c>
      <c r="G6" s="142">
        <f>IFERROR(CHOOSE(MATCH(IF($E6="","Основний",$E6),{"Трафіковий","Основний","Маржинальний","Сезонний","Стратегічний"},0),Settings!$B$78,Settings!$B$80,Settings!$B$82,Settings!$B$84,Settings!$B$86),"")</f>
        <v/>
      </c>
      <c r="H6" s="143">
        <f>IFERROR((F6*(1-Settings!$B$17)-C6)/(F6*(1-Settings!$B$17)),"")</f>
        <v/>
      </c>
      <c r="I6" s="144">
        <f>IFERROR(IF(F6="","",IF(F6&gt;=C6/(1-SKU_Base!Z6)/(1-Settings!$B$17),"OK",IF(F6&gt;=C6/(1-SKU_Base!AG6)/(1-Settings!$B$17),"WARN","STOP"))),"")</f>
        <v/>
      </c>
      <c r="J6" s="158">
        <f>IFERROR(ROUND(D6*(1-CHOOSE(MATCH(IF($E6="","Основний",$E6),{"Трафіковий","Основний","Маржинальний","Сезонний","Стратегічний"},0),Settings!$C$78,Settings!$C$80,Settings!$C$82,Settings!$C$84,Settings!$C$86))/6,2)*6,"")</f>
        <v/>
      </c>
      <c r="K6" s="142">
        <f>IFERROR(CHOOSE(MATCH(IF($E6="","Основний",$E6),{"Трафіковий","Основний","Маржинальний","Сезонний","Стратегічний"},0),Settings!$C$78,Settings!$C$80,Settings!$C$82,Settings!$C$84,Settings!$C$86),"")</f>
        <v/>
      </c>
      <c r="L6" s="143">
        <f>IFERROR((J6*(1-Settings!$C$17)-C6)/(J6*(1-Settings!$C$17)),"")</f>
        <v/>
      </c>
      <c r="M6" s="144">
        <f>IFERROR(IF(J6="","",IF(J6&gt;=C6/(1-SKU_Base!AA6)/(1-Settings!$C$17),"OK",IF(J6&gt;=C6/(1-SKU_Base!AH6)/(1-Settings!$C$17),"WARN","STOP"))),"")</f>
        <v/>
      </c>
      <c r="N6" s="159">
        <f>IFERROR(ROUND(D6*(1-CHOOSE(MATCH(IF($E6="","Основний",$E6),{"Трафіковий","Основний","Маржинальний","Сезонний","Стратегічний"},0),Settings!$D$78,Settings!$D$80,Settings!$D$82,Settings!$D$84,Settings!$D$86))/6,2)*6,"")</f>
        <v/>
      </c>
      <c r="O6" s="142">
        <f>IFERROR(CHOOSE(MATCH(IF($E6="","Основний",$E6),{"Трафіковий","Основний","Маржинальний","Сезонний","Стратегічний"},0),Settings!$D$78,Settings!$D$80,Settings!$D$82,Settings!$D$84,Settings!$D$86),"")</f>
        <v/>
      </c>
      <c r="P6" s="143">
        <f>IFERROR((N6*(1-Settings!$D$17)-C6)/(N6*(1-Settings!$D$17)),"")</f>
        <v/>
      </c>
      <c r="Q6" s="144">
        <f>IFERROR(IF(N6="","",IF(N6&gt;=C6/(1-SKU_Base!AB6)/(1-Settings!$D$17),"OK",IF(N6&gt;=C6/(1-SKU_Base!AI6)/(1-Settings!$D$17),"WARN","STOP"))),"")</f>
        <v/>
      </c>
      <c r="R6" s="159">
        <f>IFERROR(ROUND(D6*(1-CHOOSE(MATCH(IF($E6="","Основний",$E6),{"Трафіковий","Основний","Маржинальний","Сезонний","Стратегічний"},0),Settings!$E$78,Settings!$E$80,Settings!$E$82,Settings!$E$84,Settings!$E$86))/6,2)*6,"")</f>
        <v/>
      </c>
      <c r="S6" s="142">
        <f>IFERROR(CHOOSE(MATCH(IF($E6="","Основний",$E6),{"Трафіковий","Основний","Маржинальний","Сезонний","Стратегічний"},0),Settings!$E$78,Settings!$E$80,Settings!$E$82,Settings!$E$84,Settings!$E$86),"")</f>
        <v/>
      </c>
      <c r="T6" s="143">
        <f>IFERROR((R6*(1-Settings!$E$17)-C6)/(R6*(1-Settings!$E$17)),"")</f>
        <v/>
      </c>
      <c r="U6" s="144">
        <f>IFERROR(IF(R6="","",IF(R6&gt;=C6/(1-SKU_Base!AC6)/(1-Settings!$E$17),"OK",IF(R6&gt;=C6/(1-SKU_Base!AJ6)/(1-Settings!$E$17),"WARN","STOP"))),"")</f>
        <v/>
      </c>
      <c r="V6" s="159">
        <f>IFERROR(ROUND(D6*(1-CHOOSE(MATCH(IF($E6="","Основний",$E6),{"Трафіковий","Основний","Маржинальний","Сезонний","Стратегічний"},0),Settings!$F$78,Settings!$F$80,Settings!$F$82,Settings!$F$84,Settings!$F$86))/6,2)*6,"")</f>
        <v/>
      </c>
      <c r="W6" s="142">
        <f>IFERROR(CHOOSE(MATCH(IF($E6="","Основний",$E6),{"Трафіковий","Основний","Маржинальний","Сезонний","Стратегічний"},0),Settings!$F$78,Settings!$F$80,Settings!$F$82,Settings!$F$84,Settings!$F$86),"")</f>
        <v/>
      </c>
      <c r="X6" s="143">
        <f>IFERROR((V6*(1-Settings!$F$17)-C6)/(V6*(1-Settings!$F$17)),"")</f>
        <v/>
      </c>
      <c r="Y6" s="144">
        <f>IFERROR(IF(V6="","",IF(V6&gt;=C6/(1-SKU_Base!AD6)/(1-Settings!$F$17),"OK",IF(V6&gt;=C6/(1-SKU_Base!AK6)/(1-Settings!$F$17),"WARN","STOP"))),"")</f>
        <v/>
      </c>
      <c r="Z6" s="159">
        <f>IFERROR(ROUND(D6*(1-CHOOSE(MATCH(IF($E6="","Основний",$E6),{"Трафіковий","Основний","Маржинальний","Сезонний","Стратегічний"},0),Settings!$G$78,Settings!$G$80,Settings!$G$82,Settings!$G$84,Settings!$G$86))/6,2)*6,"")</f>
        <v/>
      </c>
      <c r="AA6" s="142">
        <f>IFERROR(CHOOSE(MATCH(IF($E6="","Основний",$E6),{"Трафіковий","Основний","Маржинальний","Сезонний","Стратегічний"},0),Settings!$G$78,Settings!$G$80,Settings!$G$82,Settings!$G$84,Settings!$G$86),"")</f>
        <v/>
      </c>
      <c r="AB6" s="143">
        <f>IFERROR((Z6*(1-Settings!$G$17)-C6)/(Z6*(1-Settings!$G$17)),"")</f>
        <v/>
      </c>
      <c r="AC6" s="144">
        <f>IFERROR(IF(Z6="","",IF(Z6&gt;=C6/(1-SKU_Base!AE6)/(1-Settings!$G$17),"OK",IF(Z6&gt;=C6/(1-SKU_Base!AL6)/(1-Settings!$G$17),"WARN","STOP"))),"")</f>
        <v/>
      </c>
      <c r="AD6" s="159">
        <f>IFERROR(ROUND(D6*(1-CHOOSE(MATCH(IF($E6="","Основний",$E6),{"Трафіковий","Основний","Маржинальний","Сезонний","Стратегічний"},0),Settings!$H$78,Settings!$H$80,Settings!$H$82,Settings!$H$84,Settings!$H$86))*(1-Settings!$H$68)/6,2)*6,"")</f>
        <v/>
      </c>
      <c r="AE6" s="142">
        <f>IFERROR(CHOOSE(MATCH(IF($E6="","Основний",$E6),{"Трафіковий","Основний","Маржинальний","Сезонний","Стратегічний"},0),Settings!$H$78,Settings!$H$80,Settings!$H$82,Settings!$H$84,Settings!$H$86)+(1-(CHOOSE(MATCH(IF($E6="","Основний",$E6),{"Трафіковий","Основний","Маржинальний","Сезонний","Стратегічний"},0),Settings!$H$78,Settings!$H$80,Settings!$H$82,Settings!$H$84,Settings!$H$86)))*Settings!$H$68,"")</f>
        <v/>
      </c>
      <c r="AF6" s="143">
        <f>IFERROR((AD6*(1-Settings!$H$17)-C6)/(AD6*(1-Settings!$H$17)),"")</f>
        <v/>
      </c>
      <c r="AG6" s="144">
        <f>IFERROR(IF(AD6="","",IF(AD6&gt;=C6/(1-SKU_Base!AF6)/(1-Settings!$H$17),"OK",IF(AD6&gt;=C6/(1-SKU_Base!AM6)/(1-Settings!$H$17),"WARN","STOP"))),"")</f>
        <v/>
      </c>
    </row>
    <row r="7" ht="17" customHeight="1" s="179">
      <c r="A7" s="146">
        <f>SKU_Base!B7</f>
        <v/>
      </c>
      <c r="B7" s="146">
        <f>SKU_Base!C7</f>
        <v/>
      </c>
      <c r="C7" s="147">
        <f>IFERROR(SKU_Base!I7,"")</f>
        <v/>
      </c>
      <c r="D7" s="164">
        <f>IFERROR(SKU_Base!T7,"")</f>
        <v/>
      </c>
      <c r="E7" s="141">
        <f>IFERROR(SKU_Base!$U7,"")</f>
        <v/>
      </c>
      <c r="F7" s="160">
        <f>IFERROR(ROUND(D7*(1-CHOOSE(MATCH(IF($E7="","Основний",$E7),{"Трафіковий","Основний","Маржинальний","Сезонний","Стратегічний"},0),Settings!$B$78,Settings!$B$80,Settings!$B$82,Settings!$B$84,Settings!$B$86))/6,2)*6,"")</f>
        <v/>
      </c>
      <c r="G7" s="142">
        <f>IFERROR(CHOOSE(MATCH(IF($E7="","Основний",$E7),{"Трафіковий","Основний","Маржинальний","Сезонний","Стратегічний"},0),Settings!$B$78,Settings!$B$80,Settings!$B$82,Settings!$B$84,Settings!$B$86),"")</f>
        <v/>
      </c>
      <c r="H7" s="148">
        <f>IFERROR((F7*(1-Settings!$B$17)-C7)/(F7*(1-Settings!$B$17)),"")</f>
        <v/>
      </c>
      <c r="I7" s="144">
        <f>IFERROR(IF(F7="","",IF(F7&gt;=C7/(1-SKU_Base!Z7)/(1-Settings!$B$17),"OK",IF(F7&gt;=C7/(1-SKU_Base!AG7)/(1-Settings!$B$17),"WARN","STOP"))),"")</f>
        <v/>
      </c>
      <c r="J7" s="160">
        <f>IFERROR(ROUND(D7*(1-CHOOSE(MATCH(IF($E7="","Основний",$E7),{"Трафіковий","Основний","Маржинальний","Сезонний","Стратегічний"},0),Settings!$C$78,Settings!$C$80,Settings!$C$82,Settings!$C$84,Settings!$C$86))/6,2)*6,"")</f>
        <v/>
      </c>
      <c r="K7" s="142">
        <f>IFERROR(CHOOSE(MATCH(IF($E7="","Основний",$E7),{"Трафіковий","Основний","Маржинальний","Сезонний","Стратегічний"},0),Settings!$C$78,Settings!$C$80,Settings!$C$82,Settings!$C$84,Settings!$C$86),"")</f>
        <v/>
      </c>
      <c r="L7" s="148">
        <f>IFERROR((J7*(1-Settings!$C$17)-C7)/(J7*(1-Settings!$C$17)),"")</f>
        <v/>
      </c>
      <c r="M7" s="144">
        <f>IFERROR(IF(J7="","",IF(J7&gt;=C7/(1-SKU_Base!AA7)/(1-Settings!$C$17),"OK",IF(J7&gt;=C7/(1-SKU_Base!AH7)/(1-Settings!$C$17),"WARN","STOP"))),"")</f>
        <v/>
      </c>
      <c r="N7" s="161">
        <f>IFERROR(ROUND(D7*(1-CHOOSE(MATCH(IF($E7="","Основний",$E7),{"Трафіковий","Основний","Маржинальний","Сезонний","Стратегічний"},0),Settings!$D$78,Settings!$D$80,Settings!$D$82,Settings!$D$84,Settings!$D$86))/6,2)*6,"")</f>
        <v/>
      </c>
      <c r="O7" s="142">
        <f>IFERROR(CHOOSE(MATCH(IF($E7="","Основний",$E7),{"Трафіковий","Основний","Маржинальний","Сезонний","Стратегічний"},0),Settings!$D$78,Settings!$D$80,Settings!$D$82,Settings!$D$84,Settings!$D$86),"")</f>
        <v/>
      </c>
      <c r="P7" s="148">
        <f>IFERROR((N7*(1-Settings!$D$17)-C7)/(N7*(1-Settings!$D$17)),"")</f>
        <v/>
      </c>
      <c r="Q7" s="144">
        <f>IFERROR(IF(N7="","",IF(N7&gt;=C7/(1-SKU_Base!AB7)/(1-Settings!$D$17),"OK",IF(N7&gt;=C7/(1-SKU_Base!AI7)/(1-Settings!$D$17),"WARN","STOP"))),"")</f>
        <v/>
      </c>
      <c r="R7" s="161">
        <f>IFERROR(ROUND(D7*(1-CHOOSE(MATCH(IF($E7="","Основний",$E7),{"Трафіковий","Основний","Маржинальний","Сезонний","Стратегічний"},0),Settings!$E$78,Settings!$E$80,Settings!$E$82,Settings!$E$84,Settings!$E$86))/6,2)*6,"")</f>
        <v/>
      </c>
      <c r="S7" s="142">
        <f>IFERROR(CHOOSE(MATCH(IF($E7="","Основний",$E7),{"Трафіковий","Основний","Маржинальний","Сезонний","Стратегічний"},0),Settings!$E$78,Settings!$E$80,Settings!$E$82,Settings!$E$84,Settings!$E$86),"")</f>
        <v/>
      </c>
      <c r="T7" s="148">
        <f>IFERROR((R7*(1-Settings!$E$17)-C7)/(R7*(1-Settings!$E$17)),"")</f>
        <v/>
      </c>
      <c r="U7" s="144">
        <f>IFERROR(IF(R7="","",IF(R7&gt;=C7/(1-SKU_Base!AC7)/(1-Settings!$E$17),"OK",IF(R7&gt;=C7/(1-SKU_Base!AJ7)/(1-Settings!$E$17),"WARN","STOP"))),"")</f>
        <v/>
      </c>
      <c r="V7" s="161">
        <f>IFERROR(ROUND(D7*(1-CHOOSE(MATCH(IF($E7="","Основний",$E7),{"Трафіковий","Основний","Маржинальний","Сезонний","Стратегічний"},0),Settings!$F$78,Settings!$F$80,Settings!$F$82,Settings!$F$84,Settings!$F$86))/6,2)*6,"")</f>
        <v/>
      </c>
      <c r="W7" s="142">
        <f>IFERROR(CHOOSE(MATCH(IF($E7="","Основний",$E7),{"Трафіковий","Основний","Маржинальний","Сезонний","Стратегічний"},0),Settings!$F$78,Settings!$F$80,Settings!$F$82,Settings!$F$84,Settings!$F$86),"")</f>
        <v/>
      </c>
      <c r="X7" s="148">
        <f>IFERROR((V7*(1-Settings!$F$17)-C7)/(V7*(1-Settings!$F$17)),"")</f>
        <v/>
      </c>
      <c r="Y7" s="144">
        <f>IFERROR(IF(V7="","",IF(V7&gt;=C7/(1-SKU_Base!AD7)/(1-Settings!$F$17),"OK",IF(V7&gt;=C7/(1-SKU_Base!AK7)/(1-Settings!$F$17),"WARN","STOP"))),"")</f>
        <v/>
      </c>
      <c r="Z7" s="161">
        <f>IFERROR(ROUND(D7*(1-CHOOSE(MATCH(IF($E7="","Основний",$E7),{"Трафіковий","Основний","Маржинальний","Сезонний","Стратегічний"},0),Settings!$G$78,Settings!$G$80,Settings!$G$82,Settings!$G$84,Settings!$G$86))/6,2)*6,"")</f>
        <v/>
      </c>
      <c r="AA7" s="142">
        <f>IFERROR(CHOOSE(MATCH(IF($E7="","Основний",$E7),{"Трафіковий","Основний","Маржинальний","Сезонний","Стратегічний"},0),Settings!$G$78,Settings!$G$80,Settings!$G$82,Settings!$G$84,Settings!$G$86),"")</f>
        <v/>
      </c>
      <c r="AB7" s="148">
        <f>IFERROR((Z7*(1-Settings!$G$17)-C7)/(Z7*(1-Settings!$G$17)),"")</f>
        <v/>
      </c>
      <c r="AC7" s="144">
        <f>IFERROR(IF(Z7="","",IF(Z7&gt;=C7/(1-SKU_Base!AE7)/(1-Settings!$G$17),"OK",IF(Z7&gt;=C7/(1-SKU_Base!AL7)/(1-Settings!$G$17),"WARN","STOP"))),"")</f>
        <v/>
      </c>
      <c r="AD7" s="161">
        <f>IFERROR(ROUND(D7*(1-CHOOSE(MATCH(IF($E7="","Основний",$E7),{"Трафіковий","Основний","Маржинальний","Сезонний","Стратегічний"},0),Settings!$H$78,Settings!$H$80,Settings!$H$82,Settings!$H$84,Settings!$H$86))*(1-Settings!$H$68)/6,2)*6,"")</f>
        <v/>
      </c>
      <c r="AE7" s="142">
        <f>IFERROR(CHOOSE(MATCH(IF($E7="","Основний",$E7),{"Трафіковий","Основний","Маржинальний","Сезонний","Стратегічний"},0),Settings!$H$78,Settings!$H$80,Settings!$H$82,Settings!$H$84,Settings!$H$86)+(1-(CHOOSE(MATCH(IF($E7="","Основний",$E7),{"Трафіковий","Основний","Маржинальний","Сезонний","Стратегічний"},0),Settings!$H$78,Settings!$H$80,Settings!$H$82,Settings!$H$84,Settings!$H$86)))*Settings!$H$68,"")</f>
        <v/>
      </c>
      <c r="AF7" s="148">
        <f>IFERROR((AD7*(1-Settings!$H$17)-C7)/(AD7*(1-Settings!$H$17)),"")</f>
        <v/>
      </c>
      <c r="AG7" s="144">
        <f>IFERROR(IF(AD7="","",IF(AD7&gt;=C7/(1-SKU_Base!AF7)/(1-Settings!$H$17),"OK",IF(AD7&gt;=C7/(1-SKU_Base!AM7)/(1-Settings!$H$17),"WARN","STOP"))),"")</f>
        <v/>
      </c>
    </row>
    <row r="8" ht="17" customHeight="1" s="179">
      <c r="A8" s="139">
        <f>SKU_Base!B8</f>
        <v/>
      </c>
      <c r="B8" s="139">
        <f>SKU_Base!C8</f>
        <v/>
      </c>
      <c r="C8" s="140">
        <f>IFERROR(SKU_Base!I8,"")</f>
        <v/>
      </c>
      <c r="D8" s="163">
        <f>IFERROR(SKU_Base!T8,"")</f>
        <v/>
      </c>
      <c r="E8" s="141">
        <f>IFERROR(SKU_Base!$U8,"")</f>
        <v/>
      </c>
      <c r="F8" s="158">
        <f>IFERROR(ROUND(D8*(1-CHOOSE(MATCH(IF($E8="","Основний",$E8),{"Трафіковий","Основний","Маржинальний","Сезонний","Стратегічний"},0),Settings!$B$78,Settings!$B$80,Settings!$B$82,Settings!$B$84,Settings!$B$86))/6,2)*6,"")</f>
        <v/>
      </c>
      <c r="G8" s="142">
        <f>IFERROR(CHOOSE(MATCH(IF($E8="","Основний",$E8),{"Трафіковий","Основний","Маржинальний","Сезонний","Стратегічний"},0),Settings!$B$78,Settings!$B$80,Settings!$B$82,Settings!$B$84,Settings!$B$86),"")</f>
        <v/>
      </c>
      <c r="H8" s="143">
        <f>IFERROR((F8*(1-Settings!$B$17)-C8)/(F8*(1-Settings!$B$17)),"")</f>
        <v/>
      </c>
      <c r="I8" s="144">
        <f>IFERROR(IF(F8="","",IF(F8&gt;=C8/(1-SKU_Base!Z8)/(1-Settings!$B$17),"OK",IF(F8&gt;=C8/(1-SKU_Base!AG8)/(1-Settings!$B$17),"WARN","STOP"))),"")</f>
        <v/>
      </c>
      <c r="J8" s="158">
        <f>IFERROR(ROUND(D8*(1-CHOOSE(MATCH(IF($E8="","Основний",$E8),{"Трафіковий","Основний","Маржинальний","Сезонний","Стратегічний"},0),Settings!$C$78,Settings!$C$80,Settings!$C$82,Settings!$C$84,Settings!$C$86))/6,2)*6,"")</f>
        <v/>
      </c>
      <c r="K8" s="142">
        <f>IFERROR(CHOOSE(MATCH(IF($E8="","Основний",$E8),{"Трафіковий","Основний","Маржинальний","Сезонний","Стратегічний"},0),Settings!$C$78,Settings!$C$80,Settings!$C$82,Settings!$C$84,Settings!$C$86),"")</f>
        <v/>
      </c>
      <c r="L8" s="143">
        <f>IFERROR((J8*(1-Settings!$C$17)-C8)/(J8*(1-Settings!$C$17)),"")</f>
        <v/>
      </c>
      <c r="M8" s="144">
        <f>IFERROR(IF(J8="","",IF(J8&gt;=C8/(1-SKU_Base!AA8)/(1-Settings!$C$17),"OK",IF(J8&gt;=C8/(1-SKU_Base!AH8)/(1-Settings!$C$17),"WARN","STOP"))),"")</f>
        <v/>
      </c>
      <c r="N8" s="159">
        <f>IFERROR(ROUND(D8*(1-CHOOSE(MATCH(IF($E8="","Основний",$E8),{"Трафіковий","Основний","Маржинальний","Сезонний","Стратегічний"},0),Settings!$D$78,Settings!$D$80,Settings!$D$82,Settings!$D$84,Settings!$D$86))/6,2)*6,"")</f>
        <v/>
      </c>
      <c r="O8" s="142">
        <f>IFERROR(CHOOSE(MATCH(IF($E8="","Основний",$E8),{"Трафіковий","Основний","Маржинальний","Сезонний","Стратегічний"},0),Settings!$D$78,Settings!$D$80,Settings!$D$82,Settings!$D$84,Settings!$D$86),"")</f>
        <v/>
      </c>
      <c r="P8" s="143">
        <f>IFERROR((N8*(1-Settings!$D$17)-C8)/(N8*(1-Settings!$D$17)),"")</f>
        <v/>
      </c>
      <c r="Q8" s="144">
        <f>IFERROR(IF(N8="","",IF(N8&gt;=C8/(1-SKU_Base!AB8)/(1-Settings!$D$17),"OK",IF(N8&gt;=C8/(1-SKU_Base!AI8)/(1-Settings!$D$17),"WARN","STOP"))),"")</f>
        <v/>
      </c>
      <c r="R8" s="159">
        <f>IFERROR(ROUND(D8*(1-CHOOSE(MATCH(IF($E8="","Основний",$E8),{"Трафіковий","Основний","Маржинальний","Сезонний","Стратегічний"},0),Settings!$E$78,Settings!$E$80,Settings!$E$82,Settings!$E$84,Settings!$E$86))/6,2)*6,"")</f>
        <v/>
      </c>
      <c r="S8" s="142">
        <f>IFERROR(CHOOSE(MATCH(IF($E8="","Основний",$E8),{"Трафіковий","Основний","Маржинальний","Сезонний","Стратегічний"},0),Settings!$E$78,Settings!$E$80,Settings!$E$82,Settings!$E$84,Settings!$E$86),"")</f>
        <v/>
      </c>
      <c r="T8" s="143">
        <f>IFERROR((R8*(1-Settings!$E$17)-C8)/(R8*(1-Settings!$E$17)),"")</f>
        <v/>
      </c>
      <c r="U8" s="144">
        <f>IFERROR(IF(R8="","",IF(R8&gt;=C8/(1-SKU_Base!AC8)/(1-Settings!$E$17),"OK",IF(R8&gt;=C8/(1-SKU_Base!AJ8)/(1-Settings!$E$17),"WARN","STOP"))),"")</f>
        <v/>
      </c>
      <c r="V8" s="159">
        <f>IFERROR(ROUND(D8*(1-CHOOSE(MATCH(IF($E8="","Основний",$E8),{"Трафіковий","Основний","Маржинальний","Сезонний","Стратегічний"},0),Settings!$F$78,Settings!$F$80,Settings!$F$82,Settings!$F$84,Settings!$F$86))/6,2)*6,"")</f>
        <v/>
      </c>
      <c r="W8" s="142">
        <f>IFERROR(CHOOSE(MATCH(IF($E8="","Основний",$E8),{"Трафіковий","Основний","Маржинальний","Сезонний","Стратегічний"},0),Settings!$F$78,Settings!$F$80,Settings!$F$82,Settings!$F$84,Settings!$F$86),"")</f>
        <v/>
      </c>
      <c r="X8" s="143">
        <f>IFERROR((V8*(1-Settings!$F$17)-C8)/(V8*(1-Settings!$F$17)),"")</f>
        <v/>
      </c>
      <c r="Y8" s="144">
        <f>IFERROR(IF(V8="","",IF(V8&gt;=C8/(1-SKU_Base!AD8)/(1-Settings!$F$17),"OK",IF(V8&gt;=C8/(1-SKU_Base!AK8)/(1-Settings!$F$17),"WARN","STOP"))),"")</f>
        <v/>
      </c>
      <c r="Z8" s="159">
        <f>IFERROR(ROUND(D8*(1-CHOOSE(MATCH(IF($E8="","Основний",$E8),{"Трафіковий","Основний","Маржинальний","Сезонний","Стратегічний"},0),Settings!$G$78,Settings!$G$80,Settings!$G$82,Settings!$G$84,Settings!$G$86))/6,2)*6,"")</f>
        <v/>
      </c>
      <c r="AA8" s="142">
        <f>IFERROR(CHOOSE(MATCH(IF($E8="","Основний",$E8),{"Трафіковий","Основний","Маржинальний","Сезонний","Стратегічний"},0),Settings!$G$78,Settings!$G$80,Settings!$G$82,Settings!$G$84,Settings!$G$86),"")</f>
        <v/>
      </c>
      <c r="AB8" s="143">
        <f>IFERROR((Z8*(1-Settings!$G$17)-C8)/(Z8*(1-Settings!$G$17)),"")</f>
        <v/>
      </c>
      <c r="AC8" s="144">
        <f>IFERROR(IF(Z8="","",IF(Z8&gt;=C8/(1-SKU_Base!AE8)/(1-Settings!$G$17),"OK",IF(Z8&gt;=C8/(1-SKU_Base!AL8)/(1-Settings!$G$17),"WARN","STOP"))),"")</f>
        <v/>
      </c>
      <c r="AD8" s="159">
        <f>IFERROR(ROUND(D8*(1-CHOOSE(MATCH(IF($E8="","Основний",$E8),{"Трафіковий","Основний","Маржинальний","Сезонний","Стратегічний"},0),Settings!$H$78,Settings!$H$80,Settings!$H$82,Settings!$H$84,Settings!$H$86))*(1-Settings!$H$68)/6,2)*6,"")</f>
        <v/>
      </c>
      <c r="AE8" s="142">
        <f>IFERROR(CHOOSE(MATCH(IF($E8="","Основний",$E8),{"Трафіковий","Основний","Маржинальний","Сезонний","Стратегічний"},0),Settings!$H$78,Settings!$H$80,Settings!$H$82,Settings!$H$84,Settings!$H$86)+(1-(CHOOSE(MATCH(IF($E8="","Основний",$E8),{"Трафіковий","Основний","Маржинальний","Сезонний","Стратегічний"},0),Settings!$H$78,Settings!$H$80,Settings!$H$82,Settings!$H$84,Settings!$H$86)))*Settings!$H$68,"")</f>
        <v/>
      </c>
      <c r="AF8" s="143">
        <f>IFERROR((AD8*(1-Settings!$H$17)-C8)/(AD8*(1-Settings!$H$17)),"")</f>
        <v/>
      </c>
      <c r="AG8" s="144">
        <f>IFERROR(IF(AD8="","",IF(AD8&gt;=C8/(1-SKU_Base!AF8)/(1-Settings!$H$17),"OK",IF(AD8&gt;=C8/(1-SKU_Base!AM8)/(1-Settings!$H$17),"WARN","STOP"))),"")</f>
        <v/>
      </c>
    </row>
    <row r="9" ht="17" customHeight="1" s="179">
      <c r="A9" s="146">
        <f>SKU_Base!B9</f>
        <v/>
      </c>
      <c r="B9" s="146">
        <f>SKU_Base!C9</f>
        <v/>
      </c>
      <c r="C9" s="147">
        <f>IFERROR(SKU_Base!I9,"")</f>
        <v/>
      </c>
      <c r="D9" s="164">
        <f>IFERROR(SKU_Base!T9,"")</f>
        <v/>
      </c>
      <c r="E9" s="141">
        <f>IFERROR(SKU_Base!$U9,"")</f>
        <v/>
      </c>
      <c r="F9" s="160">
        <f>IFERROR(ROUND(D9*(1-CHOOSE(MATCH(IF($E9="","Основний",$E9),{"Трафіковий","Основний","Маржинальний","Сезонний","Стратегічний"},0),Settings!$B$78,Settings!$B$80,Settings!$B$82,Settings!$B$84,Settings!$B$86))/6,2)*6,"")</f>
        <v/>
      </c>
      <c r="G9" s="142">
        <f>IFERROR(CHOOSE(MATCH(IF($E9="","Основний",$E9),{"Трафіковий","Основний","Маржинальний","Сезонний","Стратегічний"},0),Settings!$B$78,Settings!$B$80,Settings!$B$82,Settings!$B$84,Settings!$B$86),"")</f>
        <v/>
      </c>
      <c r="H9" s="148">
        <f>IFERROR((F9*(1-Settings!$B$17)-C9)/(F9*(1-Settings!$B$17)),"")</f>
        <v/>
      </c>
      <c r="I9" s="149">
        <f>IFERROR(IF(F9="","",IF(F9&gt;=C9/(1-SKU_Base!Z9)/(1-Settings!$B$17),"OK",IF(F9&gt;=C9/(1-SKU_Base!AG9)/(1-Settings!$B$17),"WARN","STOP"))),"")</f>
        <v/>
      </c>
      <c r="J9" s="160">
        <f>IFERROR(ROUND(D9*(1-CHOOSE(MATCH(IF($E9="","Основний",$E9),{"Трафіковий","Основний","Маржинальний","Сезонний","Стратегічний"},0),Settings!$C$78,Settings!$C$80,Settings!$C$82,Settings!$C$84,Settings!$C$86))/6,2)*6,"")</f>
        <v/>
      </c>
      <c r="K9" s="142">
        <f>IFERROR(CHOOSE(MATCH(IF($E9="","Основний",$E9),{"Трафіковий","Основний","Маржинальний","Сезонний","Стратегічний"},0),Settings!$C$78,Settings!$C$80,Settings!$C$82,Settings!$C$84,Settings!$C$86),"")</f>
        <v/>
      </c>
      <c r="L9" s="148">
        <f>IFERROR((J9*(1-Settings!$C$17)-C9)/(J9*(1-Settings!$C$17)),"")</f>
        <v/>
      </c>
      <c r="M9" s="149">
        <f>IFERROR(IF(J9="","",IF(J9&gt;=C9/(1-SKU_Base!AA9)/(1-Settings!$C$17),"OK",IF(J9&gt;=C9/(1-SKU_Base!AH9)/(1-Settings!$C$17),"WARN","STOP"))),"")</f>
        <v/>
      </c>
      <c r="N9" s="161">
        <f>IFERROR(ROUND(D9*(1-CHOOSE(MATCH(IF($E9="","Основний",$E9),{"Трафіковий","Основний","Маржинальний","Сезонний","Стратегічний"},0),Settings!$D$78,Settings!$D$80,Settings!$D$82,Settings!$D$84,Settings!$D$86))/6,2)*6,"")</f>
        <v/>
      </c>
      <c r="O9" s="142">
        <f>IFERROR(CHOOSE(MATCH(IF($E9="","Основний",$E9),{"Трафіковий","Основний","Маржинальний","Сезонний","Стратегічний"},0),Settings!$D$78,Settings!$D$80,Settings!$D$82,Settings!$D$84,Settings!$D$86),"")</f>
        <v/>
      </c>
      <c r="P9" s="148">
        <f>IFERROR((N9*(1-Settings!$D$17)-C9)/(N9*(1-Settings!$D$17)),"")</f>
        <v/>
      </c>
      <c r="Q9" s="149">
        <f>IFERROR(IF(N9="","",IF(N9&gt;=C9/(1-SKU_Base!AB9)/(1-Settings!$D$17),"OK",IF(N9&gt;=C9/(1-SKU_Base!AI9)/(1-Settings!$D$17),"WARN","STOP"))),"")</f>
        <v/>
      </c>
      <c r="R9" s="161">
        <f>IFERROR(ROUND(D9*(1-CHOOSE(MATCH(IF($E9="","Основний",$E9),{"Трафіковий","Основний","Маржинальний","Сезонний","Стратегічний"},0),Settings!$E$78,Settings!$E$80,Settings!$E$82,Settings!$E$84,Settings!$E$86))/6,2)*6,"")</f>
        <v/>
      </c>
      <c r="S9" s="142">
        <f>IFERROR(CHOOSE(MATCH(IF($E9="","Основний",$E9),{"Трафіковий","Основний","Маржинальний","Сезонний","Стратегічний"},0),Settings!$E$78,Settings!$E$80,Settings!$E$82,Settings!$E$84,Settings!$E$86),"")</f>
        <v/>
      </c>
      <c r="T9" s="148">
        <f>IFERROR((R9*(1-Settings!$E$17)-C9)/(R9*(1-Settings!$E$17)),"")</f>
        <v/>
      </c>
      <c r="U9" s="149">
        <f>IFERROR(IF(R9="","",IF(R9&gt;=C9/(1-SKU_Base!AC9)/(1-Settings!$E$17),"OK",IF(R9&gt;=C9/(1-SKU_Base!AJ9)/(1-Settings!$E$17),"WARN","STOP"))),"")</f>
        <v/>
      </c>
      <c r="V9" s="161">
        <f>IFERROR(ROUND(D9*(1-CHOOSE(MATCH(IF($E9="","Основний",$E9),{"Трафіковий","Основний","Маржинальний","Сезонний","Стратегічний"},0),Settings!$F$78,Settings!$F$80,Settings!$F$82,Settings!$F$84,Settings!$F$86))/6,2)*6,"")</f>
        <v/>
      </c>
      <c r="W9" s="142">
        <f>IFERROR(CHOOSE(MATCH(IF($E9="","Основний",$E9),{"Трафіковий","Основний","Маржинальний","Сезонний","Стратегічний"},0),Settings!$F$78,Settings!$F$80,Settings!$F$82,Settings!$F$84,Settings!$F$86),"")</f>
        <v/>
      </c>
      <c r="X9" s="148">
        <f>IFERROR((V9*(1-Settings!$F$17)-C9)/(V9*(1-Settings!$F$17)),"")</f>
        <v/>
      </c>
      <c r="Y9" s="149">
        <f>IFERROR(IF(V9="","",IF(V9&gt;=C9/(1-SKU_Base!AD9)/(1-Settings!$F$17),"OK",IF(V9&gt;=C9/(1-SKU_Base!AK9)/(1-Settings!$F$17),"WARN","STOP"))),"")</f>
        <v/>
      </c>
      <c r="Z9" s="161">
        <f>IFERROR(ROUND(D9*(1-CHOOSE(MATCH(IF($E9="","Основний",$E9),{"Трафіковий","Основний","Маржинальний","Сезонний","Стратегічний"},0),Settings!$G$78,Settings!$G$80,Settings!$G$82,Settings!$G$84,Settings!$G$86))/6,2)*6,"")</f>
        <v/>
      </c>
      <c r="AA9" s="142">
        <f>IFERROR(CHOOSE(MATCH(IF($E9="","Основний",$E9),{"Трафіковий","Основний","Маржинальний","Сезонний","Стратегічний"},0),Settings!$G$78,Settings!$G$80,Settings!$G$82,Settings!$G$84,Settings!$G$86),"")</f>
        <v/>
      </c>
      <c r="AB9" s="148">
        <f>IFERROR((Z9*(1-Settings!$G$17)-C9)/(Z9*(1-Settings!$G$17)),"")</f>
        <v/>
      </c>
      <c r="AC9" s="149">
        <f>IFERROR(IF(Z9="","",IF(Z9&gt;=C9/(1-SKU_Base!AE9)/(1-Settings!$G$17),"OK",IF(Z9&gt;=C9/(1-SKU_Base!AL9)/(1-Settings!$G$17),"WARN","STOP"))),"")</f>
        <v/>
      </c>
      <c r="AD9" s="161">
        <f>IFERROR(ROUND(D9*(1-CHOOSE(MATCH(IF($E9="","Основний",$E9),{"Трафіковий","Основний","Маржинальний","Сезонний","Стратегічний"},0),Settings!$H$78,Settings!$H$80,Settings!$H$82,Settings!$H$84,Settings!$H$86))*(1-Settings!$H$68)/6,2)*6,"")</f>
        <v/>
      </c>
      <c r="AE9" s="142">
        <f>IFERROR(CHOOSE(MATCH(IF($E9="","Основний",$E9),{"Трафіковий","Основний","Маржинальний","Сезонний","Стратегічний"},0),Settings!$H$78,Settings!$H$80,Settings!$H$82,Settings!$H$84,Settings!$H$86)+(1-(CHOOSE(MATCH(IF($E9="","Основний",$E9),{"Трафіковий","Основний","Маржинальний","Сезонний","Стратегічний"},0),Settings!$H$78,Settings!$H$80,Settings!$H$82,Settings!$H$84,Settings!$H$86)))*Settings!$H$68,"")</f>
        <v/>
      </c>
      <c r="AF9" s="148">
        <f>IFERROR((AD9*(1-Settings!$H$17)-C9)/(AD9*(1-Settings!$H$17)),"")</f>
        <v/>
      </c>
      <c r="AG9" s="149">
        <f>IFERROR(IF(AD9="","",IF(AD9&gt;=C9/(1-SKU_Base!AF9)/(1-Settings!$H$17),"OK",IF(AD9&gt;=C9/(1-SKU_Base!AM9)/(1-Settings!$H$17),"WARN","STOP"))),"")</f>
        <v/>
      </c>
    </row>
    <row r="10" ht="17" customHeight="1" s="179">
      <c r="A10" s="139">
        <f>SKU_Base!B10</f>
        <v/>
      </c>
      <c r="B10" s="139">
        <f>SKU_Base!C10</f>
        <v/>
      </c>
      <c r="C10" s="140">
        <f>IFERROR(SKU_Base!I10,"")</f>
        <v/>
      </c>
      <c r="D10" s="163">
        <f>IFERROR(SKU_Base!T10,"")</f>
        <v/>
      </c>
      <c r="E10" s="141">
        <f>IFERROR(SKU_Base!$U10,"")</f>
        <v/>
      </c>
      <c r="F10" s="158">
        <f>IFERROR(ROUND(D10*(1-CHOOSE(MATCH(IF($E10="","Основний",$E10),{"Трафіковий","Основний","Маржинальний","Сезонний","Стратегічний"},0),Settings!$B$78,Settings!$B$80,Settings!$B$82,Settings!$B$84,Settings!$B$86))/6,2)*6,"")</f>
        <v/>
      </c>
      <c r="G10" s="142">
        <f>IFERROR(CHOOSE(MATCH(IF($E10="","Основний",$E10),{"Трафіковий","Основний","Маржинальний","Сезонний","Стратегічний"},0),Settings!$B$78,Settings!$B$80,Settings!$B$82,Settings!$B$84,Settings!$B$86),"")</f>
        <v/>
      </c>
      <c r="H10" s="143">
        <f>IFERROR((F10*(1-Settings!$B$17)-C10)/(F10*(1-Settings!$B$17)),"")</f>
        <v/>
      </c>
      <c r="I10" s="149">
        <f>IFERROR(IF(F10="","",IF(F10&gt;=C10/(1-SKU_Base!Z10)/(1-Settings!$B$17),"OK",IF(F10&gt;=C10/(1-SKU_Base!AG10)/(1-Settings!$B$17),"WARN","STOP"))),"")</f>
        <v/>
      </c>
      <c r="J10" s="158">
        <f>IFERROR(ROUND(D10*(1-CHOOSE(MATCH(IF($E10="","Основний",$E10),{"Трафіковий","Основний","Маржинальний","Сезонний","Стратегічний"},0),Settings!$C$78,Settings!$C$80,Settings!$C$82,Settings!$C$84,Settings!$C$86))/6,2)*6,"")</f>
        <v/>
      </c>
      <c r="K10" s="142">
        <f>IFERROR(CHOOSE(MATCH(IF($E10="","Основний",$E10),{"Трафіковий","Основний","Маржинальний","Сезонний","Стратегічний"},0),Settings!$C$78,Settings!$C$80,Settings!$C$82,Settings!$C$84,Settings!$C$86),"")</f>
        <v/>
      </c>
      <c r="L10" s="143">
        <f>IFERROR((J10*(1-Settings!$C$17)-C10)/(J10*(1-Settings!$C$17)),"")</f>
        <v/>
      </c>
      <c r="M10" s="149">
        <f>IFERROR(IF(J10="","",IF(J10&gt;=C10/(1-SKU_Base!AA10)/(1-Settings!$C$17),"OK",IF(J10&gt;=C10/(1-SKU_Base!AH10)/(1-Settings!$C$17),"WARN","STOP"))),"")</f>
        <v/>
      </c>
      <c r="N10" s="159">
        <f>IFERROR(ROUND(D10*(1-CHOOSE(MATCH(IF($E10="","Основний",$E10),{"Трафіковий","Основний","Маржинальний","Сезонний","Стратегічний"},0),Settings!$D$78,Settings!$D$80,Settings!$D$82,Settings!$D$84,Settings!$D$86))/6,2)*6,"")</f>
        <v/>
      </c>
      <c r="O10" s="142">
        <f>IFERROR(CHOOSE(MATCH(IF($E10="","Основний",$E10),{"Трафіковий","Основний","Маржинальний","Сезонний","Стратегічний"},0),Settings!$D$78,Settings!$D$80,Settings!$D$82,Settings!$D$84,Settings!$D$86),"")</f>
        <v/>
      </c>
      <c r="P10" s="143">
        <f>IFERROR((N10*(1-Settings!$D$17)-C10)/(N10*(1-Settings!$D$17)),"")</f>
        <v/>
      </c>
      <c r="Q10" s="149">
        <f>IFERROR(IF(N10="","",IF(N10&gt;=C10/(1-SKU_Base!AB10)/(1-Settings!$D$17),"OK",IF(N10&gt;=C10/(1-SKU_Base!AI10)/(1-Settings!$D$17),"WARN","STOP"))),"")</f>
        <v/>
      </c>
      <c r="R10" s="159">
        <f>IFERROR(ROUND(D10*(1-CHOOSE(MATCH(IF($E10="","Основний",$E10),{"Трафіковий","Основний","Маржинальний","Сезонний","Стратегічний"},0),Settings!$E$78,Settings!$E$80,Settings!$E$82,Settings!$E$84,Settings!$E$86))/6,2)*6,"")</f>
        <v/>
      </c>
      <c r="S10" s="142">
        <f>IFERROR(CHOOSE(MATCH(IF($E10="","Основний",$E10),{"Трафіковий","Основний","Маржинальний","Сезонний","Стратегічний"},0),Settings!$E$78,Settings!$E$80,Settings!$E$82,Settings!$E$84,Settings!$E$86),"")</f>
        <v/>
      </c>
      <c r="T10" s="143">
        <f>IFERROR((R10*(1-Settings!$E$17)-C10)/(R10*(1-Settings!$E$17)),"")</f>
        <v/>
      </c>
      <c r="U10" s="149">
        <f>IFERROR(IF(R10="","",IF(R10&gt;=C10/(1-SKU_Base!AC10)/(1-Settings!$E$17),"OK",IF(R10&gt;=C10/(1-SKU_Base!AJ10)/(1-Settings!$E$17),"WARN","STOP"))),"")</f>
        <v/>
      </c>
      <c r="V10" s="159">
        <f>IFERROR(ROUND(D10*(1-CHOOSE(MATCH(IF($E10="","Основний",$E10),{"Трафіковий","Основний","Маржинальний","Сезонний","Стратегічний"},0),Settings!$F$78,Settings!$F$80,Settings!$F$82,Settings!$F$84,Settings!$F$86))/6,2)*6,"")</f>
        <v/>
      </c>
      <c r="W10" s="142">
        <f>IFERROR(CHOOSE(MATCH(IF($E10="","Основний",$E10),{"Трафіковий","Основний","Маржинальний","Сезонний","Стратегічний"},0),Settings!$F$78,Settings!$F$80,Settings!$F$82,Settings!$F$84,Settings!$F$86),"")</f>
        <v/>
      </c>
      <c r="X10" s="143">
        <f>IFERROR((V10*(1-Settings!$F$17)-C10)/(V10*(1-Settings!$F$17)),"")</f>
        <v/>
      </c>
      <c r="Y10" s="149">
        <f>IFERROR(IF(V10="","",IF(V10&gt;=C10/(1-SKU_Base!AD10)/(1-Settings!$F$17),"OK",IF(V10&gt;=C10/(1-SKU_Base!AK10)/(1-Settings!$F$17),"WARN","STOP"))),"")</f>
        <v/>
      </c>
      <c r="Z10" s="159">
        <f>IFERROR(ROUND(D10*(1-CHOOSE(MATCH(IF($E10="","Основний",$E10),{"Трафіковий","Основний","Маржинальний","Сезонний","Стратегічний"},0),Settings!$G$78,Settings!$G$80,Settings!$G$82,Settings!$G$84,Settings!$G$86))/6,2)*6,"")</f>
        <v/>
      </c>
      <c r="AA10" s="142">
        <f>IFERROR(CHOOSE(MATCH(IF($E10="","Основний",$E10),{"Трафіковий","Основний","Маржинальний","Сезонний","Стратегічний"},0),Settings!$G$78,Settings!$G$80,Settings!$G$82,Settings!$G$84,Settings!$G$86),"")</f>
        <v/>
      </c>
      <c r="AB10" s="143">
        <f>IFERROR((Z10*(1-Settings!$G$17)-C10)/(Z10*(1-Settings!$G$17)),"")</f>
        <v/>
      </c>
      <c r="AC10" s="149">
        <f>IFERROR(IF(Z10="","",IF(Z10&gt;=C10/(1-SKU_Base!AE10)/(1-Settings!$G$17),"OK",IF(Z10&gt;=C10/(1-SKU_Base!AL10)/(1-Settings!$G$17),"WARN","STOP"))),"")</f>
        <v/>
      </c>
      <c r="AD10" s="159">
        <f>IFERROR(ROUND(D10*(1-CHOOSE(MATCH(IF($E10="","Основний",$E10),{"Трафіковий","Основний","Маржинальний","Сезонний","Стратегічний"},0),Settings!$H$78,Settings!$H$80,Settings!$H$82,Settings!$H$84,Settings!$H$86))*(1-Settings!$H$68)/6,2)*6,"")</f>
        <v/>
      </c>
      <c r="AE10" s="142">
        <f>IFERROR(CHOOSE(MATCH(IF($E10="","Основний",$E10),{"Трафіковий","Основний","Маржинальний","Сезонний","Стратегічний"},0),Settings!$H$78,Settings!$H$80,Settings!$H$82,Settings!$H$84,Settings!$H$86)+(1-(CHOOSE(MATCH(IF($E10="","Основний",$E10),{"Трафіковий","Основний","Маржинальний","Сезонний","Стратегічний"},0),Settings!$H$78,Settings!$H$80,Settings!$H$82,Settings!$H$84,Settings!$H$86)))*Settings!$H$68,"")</f>
        <v/>
      </c>
      <c r="AF10" s="143">
        <f>IFERROR((AD10*(1-Settings!$H$17)-C10)/(AD10*(1-Settings!$H$17)),"")</f>
        <v/>
      </c>
      <c r="AG10" s="150">
        <f>IFERROR(IF(AD10="","",IF(AD10&gt;=C10/(1-SKU_Base!AF10)/(1-Settings!$H$17),"OK",IF(AD10&gt;=C10/(1-SKU_Base!AM10)/(1-Settings!$H$17),"WARN","STOP"))),"")</f>
        <v/>
      </c>
    </row>
    <row r="11" ht="17" customHeight="1" s="179">
      <c r="A11" s="146">
        <f>SKU_Base!B11</f>
        <v/>
      </c>
      <c r="B11" s="146">
        <f>SKU_Base!C11</f>
        <v/>
      </c>
      <c r="C11" s="147">
        <f>IFERROR(SKU_Base!I11,"")</f>
        <v/>
      </c>
      <c r="D11" s="164">
        <f>IFERROR(SKU_Base!T11,"")</f>
        <v/>
      </c>
      <c r="E11" s="141">
        <f>IFERROR(SKU_Base!$U11,"")</f>
        <v/>
      </c>
      <c r="F11" s="160">
        <f>IFERROR(ROUND(D11*(1-CHOOSE(MATCH(IF($E11="","Основний",$E11),{"Трафіковий","Основний","Маржинальний","Сезонний","Стратегічний"},0),Settings!$B$78,Settings!$B$80,Settings!$B$82,Settings!$B$84,Settings!$B$86))/6,2)*6,"")</f>
        <v/>
      </c>
      <c r="G11" s="142">
        <f>IFERROR(CHOOSE(MATCH(IF($E11="","Основний",$E11),{"Трафіковий","Основний","Маржинальний","Сезонний","Стратегічний"},0),Settings!$B$78,Settings!$B$80,Settings!$B$82,Settings!$B$84,Settings!$B$86),"")</f>
        <v/>
      </c>
      <c r="H11" s="148">
        <f>IFERROR((F11*(1-Settings!$B$17)-C11)/(F11*(1-Settings!$B$17)),"")</f>
        <v/>
      </c>
      <c r="I11" s="149">
        <f>IFERROR(IF(F11="","",IF(F11&gt;=C11/(1-SKU_Base!Z11)/(1-Settings!$B$17),"OK",IF(F11&gt;=C11/(1-SKU_Base!AG11)/(1-Settings!$B$17),"WARN","STOP"))),"")</f>
        <v/>
      </c>
      <c r="J11" s="160">
        <f>IFERROR(ROUND(D11*(1-CHOOSE(MATCH(IF($E11="","Основний",$E11),{"Трафіковий","Основний","Маржинальний","Сезонний","Стратегічний"},0),Settings!$C$78,Settings!$C$80,Settings!$C$82,Settings!$C$84,Settings!$C$86))/6,2)*6,"")</f>
        <v/>
      </c>
      <c r="K11" s="142">
        <f>IFERROR(CHOOSE(MATCH(IF($E11="","Основний",$E11),{"Трафіковий","Основний","Маржинальний","Сезонний","Стратегічний"},0),Settings!$C$78,Settings!$C$80,Settings!$C$82,Settings!$C$84,Settings!$C$86),"")</f>
        <v/>
      </c>
      <c r="L11" s="148">
        <f>IFERROR((J11*(1-Settings!$C$17)-C11)/(J11*(1-Settings!$C$17)),"")</f>
        <v/>
      </c>
      <c r="M11" s="149">
        <f>IFERROR(IF(J11="","",IF(J11&gt;=C11/(1-SKU_Base!AA11)/(1-Settings!$C$17),"OK",IF(J11&gt;=C11/(1-SKU_Base!AH11)/(1-Settings!$C$17),"WARN","STOP"))),"")</f>
        <v/>
      </c>
      <c r="N11" s="161">
        <f>IFERROR(ROUND(D11*(1-CHOOSE(MATCH(IF($E11="","Основний",$E11),{"Трафіковий","Основний","Маржинальний","Сезонний","Стратегічний"},0),Settings!$D$78,Settings!$D$80,Settings!$D$82,Settings!$D$84,Settings!$D$86))/6,2)*6,"")</f>
        <v/>
      </c>
      <c r="O11" s="142">
        <f>IFERROR(CHOOSE(MATCH(IF($E11="","Основний",$E11),{"Трафіковий","Основний","Маржинальний","Сезонний","Стратегічний"},0),Settings!$D$78,Settings!$D$80,Settings!$D$82,Settings!$D$84,Settings!$D$86),"")</f>
        <v/>
      </c>
      <c r="P11" s="148">
        <f>IFERROR((N11*(1-Settings!$D$17)-C11)/(N11*(1-Settings!$D$17)),"")</f>
        <v/>
      </c>
      <c r="Q11" s="149">
        <f>IFERROR(IF(N11="","",IF(N11&gt;=C11/(1-SKU_Base!AB11)/(1-Settings!$D$17),"OK",IF(N11&gt;=C11/(1-SKU_Base!AI11)/(1-Settings!$D$17),"WARN","STOP"))),"")</f>
        <v/>
      </c>
      <c r="R11" s="161">
        <f>IFERROR(ROUND(D11*(1-CHOOSE(MATCH(IF($E11="","Основний",$E11),{"Трафіковий","Основний","Маржинальний","Сезонний","Стратегічний"},0),Settings!$E$78,Settings!$E$80,Settings!$E$82,Settings!$E$84,Settings!$E$86))/6,2)*6,"")</f>
        <v/>
      </c>
      <c r="S11" s="142">
        <f>IFERROR(CHOOSE(MATCH(IF($E11="","Основний",$E11),{"Трафіковий","Основний","Маржинальний","Сезонний","Стратегічний"},0),Settings!$E$78,Settings!$E$80,Settings!$E$82,Settings!$E$84,Settings!$E$86),"")</f>
        <v/>
      </c>
      <c r="T11" s="148">
        <f>IFERROR((R11*(1-Settings!$E$17)-C11)/(R11*(1-Settings!$E$17)),"")</f>
        <v/>
      </c>
      <c r="U11" s="149">
        <f>IFERROR(IF(R11="","",IF(R11&gt;=C11/(1-SKU_Base!AC11)/(1-Settings!$E$17),"OK",IF(R11&gt;=C11/(1-SKU_Base!AJ11)/(1-Settings!$E$17),"WARN","STOP"))),"")</f>
        <v/>
      </c>
      <c r="V11" s="161">
        <f>IFERROR(ROUND(D11*(1-CHOOSE(MATCH(IF($E11="","Основний",$E11),{"Трафіковий","Основний","Маржинальний","Сезонний","Стратегічний"},0),Settings!$F$78,Settings!$F$80,Settings!$F$82,Settings!$F$84,Settings!$F$86))/6,2)*6,"")</f>
        <v/>
      </c>
      <c r="W11" s="142">
        <f>IFERROR(CHOOSE(MATCH(IF($E11="","Основний",$E11),{"Трафіковий","Основний","Маржинальний","Сезонний","Стратегічний"},0),Settings!$F$78,Settings!$F$80,Settings!$F$82,Settings!$F$84,Settings!$F$86),"")</f>
        <v/>
      </c>
      <c r="X11" s="148">
        <f>IFERROR((V11*(1-Settings!$F$17)-C11)/(V11*(1-Settings!$F$17)),"")</f>
        <v/>
      </c>
      <c r="Y11" s="149">
        <f>IFERROR(IF(V11="","",IF(V11&gt;=C11/(1-SKU_Base!AD11)/(1-Settings!$F$17),"OK",IF(V11&gt;=C11/(1-SKU_Base!AK11)/(1-Settings!$F$17),"WARN","STOP"))),"")</f>
        <v/>
      </c>
      <c r="Z11" s="161">
        <f>IFERROR(ROUND(D11*(1-CHOOSE(MATCH(IF($E11="","Основний",$E11),{"Трафіковий","Основний","Маржинальний","Сезонний","Стратегічний"},0),Settings!$G$78,Settings!$G$80,Settings!$G$82,Settings!$G$84,Settings!$G$86))/6,2)*6,"")</f>
        <v/>
      </c>
      <c r="AA11" s="142">
        <f>IFERROR(CHOOSE(MATCH(IF($E11="","Основний",$E11),{"Трафіковий","Основний","Маржинальний","Сезонний","Стратегічний"},0),Settings!$G$78,Settings!$G$80,Settings!$G$82,Settings!$G$84,Settings!$G$86),"")</f>
        <v/>
      </c>
      <c r="AB11" s="148">
        <f>IFERROR((Z11*(1-Settings!$G$17)-C11)/(Z11*(1-Settings!$G$17)),"")</f>
        <v/>
      </c>
      <c r="AC11" s="149">
        <f>IFERROR(IF(Z11="","",IF(Z11&gt;=C11/(1-SKU_Base!AE11)/(1-Settings!$G$17),"OK",IF(Z11&gt;=C11/(1-SKU_Base!AL11)/(1-Settings!$G$17),"WARN","STOP"))),"")</f>
        <v/>
      </c>
      <c r="AD11" s="161">
        <f>IFERROR(ROUND(D11*(1-CHOOSE(MATCH(IF($E11="","Основний",$E11),{"Трафіковий","Основний","Маржинальний","Сезонний","Стратегічний"},0),Settings!$H$78,Settings!$H$80,Settings!$H$82,Settings!$H$84,Settings!$H$86))*(1-Settings!$H$68)/6,2)*6,"")</f>
        <v/>
      </c>
      <c r="AE11" s="142">
        <f>IFERROR(CHOOSE(MATCH(IF($E11="","Основний",$E11),{"Трафіковий","Основний","Маржинальний","Сезонний","Стратегічний"},0),Settings!$H$78,Settings!$H$80,Settings!$H$82,Settings!$H$84,Settings!$H$86)+(1-(CHOOSE(MATCH(IF($E11="","Основний",$E11),{"Трафіковий","Основний","Маржинальний","Сезонний","Стратегічний"},0),Settings!$H$78,Settings!$H$80,Settings!$H$82,Settings!$H$84,Settings!$H$86)))*Settings!$H$68,"")</f>
        <v/>
      </c>
      <c r="AF11" s="148">
        <f>IFERROR((AD11*(1-Settings!$H$17)-C11)/(AD11*(1-Settings!$H$17)),"")</f>
        <v/>
      </c>
      <c r="AG11" s="149">
        <f>IFERROR(IF(AD11="","",IF(AD11&gt;=C11/(1-SKU_Base!AF11)/(1-Settings!$H$17),"OK",IF(AD11&gt;=C11/(1-SKU_Base!AM11)/(1-Settings!$H$17),"WARN","STOP"))),"")</f>
        <v/>
      </c>
    </row>
    <row r="12" ht="17" customHeight="1" s="179">
      <c r="A12" s="139">
        <f>SKU_Base!B12</f>
        <v/>
      </c>
      <c r="B12" s="139">
        <f>SKU_Base!C12</f>
        <v/>
      </c>
      <c r="C12" s="140">
        <f>IFERROR(SKU_Base!I12,"")</f>
        <v/>
      </c>
      <c r="D12" s="163">
        <f>IFERROR(SKU_Base!T12,"")</f>
        <v/>
      </c>
      <c r="E12" s="141">
        <f>IFERROR(SKU_Base!$U12,"")</f>
        <v/>
      </c>
      <c r="F12" s="158">
        <f>IFERROR(ROUND(D12*(1-CHOOSE(MATCH(IF($E12="","Основний",$E12),{"Трафіковий","Основний","Маржинальний","Сезонний","Стратегічний"},0),Settings!$B$78,Settings!$B$80,Settings!$B$82,Settings!$B$84,Settings!$B$86))/6,2)*6,"")</f>
        <v/>
      </c>
      <c r="G12" s="142">
        <f>IFERROR(CHOOSE(MATCH(IF($E12="","Основний",$E12),{"Трафіковий","Основний","Маржинальний","Сезонний","Стратегічний"},0),Settings!$B$78,Settings!$B$80,Settings!$B$82,Settings!$B$84,Settings!$B$86),"")</f>
        <v/>
      </c>
      <c r="H12" s="143">
        <f>IFERROR((F12*(1-Settings!$B$17)-C12)/(F12*(1-Settings!$B$17)),"")</f>
        <v/>
      </c>
      <c r="I12" s="149">
        <f>IFERROR(IF(F12="","",IF(F12&gt;=C12/(1-SKU_Base!Z12)/(1-Settings!$B$17),"OK",IF(F12&gt;=C12/(1-SKU_Base!AG12)/(1-Settings!$B$17),"WARN","STOP"))),"")</f>
        <v/>
      </c>
      <c r="J12" s="158">
        <f>IFERROR(ROUND(D12*(1-CHOOSE(MATCH(IF($E12="","Основний",$E12),{"Трафіковий","Основний","Маржинальний","Сезонний","Стратегічний"},0),Settings!$C$78,Settings!$C$80,Settings!$C$82,Settings!$C$84,Settings!$C$86))/6,2)*6,"")</f>
        <v/>
      </c>
      <c r="K12" s="142">
        <f>IFERROR(CHOOSE(MATCH(IF($E12="","Основний",$E12),{"Трафіковий","Основний","Маржинальний","Сезонний","Стратегічний"},0),Settings!$C$78,Settings!$C$80,Settings!$C$82,Settings!$C$84,Settings!$C$86),"")</f>
        <v/>
      </c>
      <c r="L12" s="143">
        <f>IFERROR((J12*(1-Settings!$C$17)-C12)/(J12*(1-Settings!$C$17)),"")</f>
        <v/>
      </c>
      <c r="M12" s="149">
        <f>IFERROR(IF(J12="","",IF(J12&gt;=C12/(1-SKU_Base!AA12)/(1-Settings!$C$17),"OK",IF(J12&gt;=C12/(1-SKU_Base!AH12)/(1-Settings!$C$17),"WARN","STOP"))),"")</f>
        <v/>
      </c>
      <c r="N12" s="159">
        <f>IFERROR(ROUND(D12*(1-CHOOSE(MATCH(IF($E12="","Основний",$E12),{"Трафіковий","Основний","Маржинальний","Сезонний","Стратегічний"},0),Settings!$D$78,Settings!$D$80,Settings!$D$82,Settings!$D$84,Settings!$D$86))/6,2)*6,"")</f>
        <v/>
      </c>
      <c r="O12" s="142">
        <f>IFERROR(CHOOSE(MATCH(IF($E12="","Основний",$E12),{"Трафіковий","Основний","Маржинальний","Сезонний","Стратегічний"},0),Settings!$D$78,Settings!$D$80,Settings!$D$82,Settings!$D$84,Settings!$D$86),"")</f>
        <v/>
      </c>
      <c r="P12" s="143">
        <f>IFERROR((N12*(1-Settings!$D$17)-C12)/(N12*(1-Settings!$D$17)),"")</f>
        <v/>
      </c>
      <c r="Q12" s="149">
        <f>IFERROR(IF(N12="","",IF(N12&gt;=C12/(1-SKU_Base!AB12)/(1-Settings!$D$17),"OK",IF(N12&gt;=C12/(1-SKU_Base!AI12)/(1-Settings!$D$17),"WARN","STOP"))),"")</f>
        <v/>
      </c>
      <c r="R12" s="159">
        <f>IFERROR(ROUND(D12*(1-CHOOSE(MATCH(IF($E12="","Основний",$E12),{"Трафіковий","Основний","Маржинальний","Сезонний","Стратегічний"},0),Settings!$E$78,Settings!$E$80,Settings!$E$82,Settings!$E$84,Settings!$E$86))/6,2)*6,"")</f>
        <v/>
      </c>
      <c r="S12" s="142">
        <f>IFERROR(CHOOSE(MATCH(IF($E12="","Основний",$E12),{"Трафіковий","Основний","Маржинальний","Сезонний","Стратегічний"},0),Settings!$E$78,Settings!$E$80,Settings!$E$82,Settings!$E$84,Settings!$E$86),"")</f>
        <v/>
      </c>
      <c r="T12" s="143">
        <f>IFERROR((R12*(1-Settings!$E$17)-C12)/(R12*(1-Settings!$E$17)),"")</f>
        <v/>
      </c>
      <c r="U12" s="149">
        <f>IFERROR(IF(R12="","",IF(R12&gt;=C12/(1-SKU_Base!AC12)/(1-Settings!$E$17),"OK",IF(R12&gt;=C12/(1-SKU_Base!AJ12)/(1-Settings!$E$17),"WARN","STOP"))),"")</f>
        <v/>
      </c>
      <c r="V12" s="159">
        <f>IFERROR(ROUND(D12*(1-CHOOSE(MATCH(IF($E12="","Основний",$E12),{"Трафіковий","Основний","Маржинальний","Сезонний","Стратегічний"},0),Settings!$F$78,Settings!$F$80,Settings!$F$82,Settings!$F$84,Settings!$F$86))/6,2)*6,"")</f>
        <v/>
      </c>
      <c r="W12" s="142">
        <f>IFERROR(CHOOSE(MATCH(IF($E12="","Основний",$E12),{"Трафіковий","Основний","Маржинальний","Сезонний","Стратегічний"},0),Settings!$F$78,Settings!$F$80,Settings!$F$82,Settings!$F$84,Settings!$F$86),"")</f>
        <v/>
      </c>
      <c r="X12" s="143">
        <f>IFERROR((V12*(1-Settings!$F$17)-C12)/(V12*(1-Settings!$F$17)),"")</f>
        <v/>
      </c>
      <c r="Y12" s="149">
        <f>IFERROR(IF(V12="","",IF(V12&gt;=C12/(1-SKU_Base!AD12)/(1-Settings!$F$17),"OK",IF(V12&gt;=C12/(1-SKU_Base!AK12)/(1-Settings!$F$17),"WARN","STOP"))),"")</f>
        <v/>
      </c>
      <c r="Z12" s="159">
        <f>IFERROR(ROUND(D12*(1-CHOOSE(MATCH(IF($E12="","Основний",$E12),{"Трафіковий","Основний","Маржинальний","Сезонний","Стратегічний"},0),Settings!$G$78,Settings!$G$80,Settings!$G$82,Settings!$G$84,Settings!$G$86))/6,2)*6,"")</f>
        <v/>
      </c>
      <c r="AA12" s="142">
        <f>IFERROR(CHOOSE(MATCH(IF($E12="","Основний",$E12),{"Трафіковий","Основний","Маржинальний","Сезонний","Стратегічний"},0),Settings!$G$78,Settings!$G$80,Settings!$G$82,Settings!$G$84,Settings!$G$86),"")</f>
        <v/>
      </c>
      <c r="AB12" s="143">
        <f>IFERROR((Z12*(1-Settings!$G$17)-C12)/(Z12*(1-Settings!$G$17)),"")</f>
        <v/>
      </c>
      <c r="AC12" s="149">
        <f>IFERROR(IF(Z12="","",IF(Z12&gt;=C12/(1-SKU_Base!AE12)/(1-Settings!$G$17),"OK",IF(Z12&gt;=C12/(1-SKU_Base!AL12)/(1-Settings!$G$17),"WARN","STOP"))),"")</f>
        <v/>
      </c>
      <c r="AD12" s="159">
        <f>IFERROR(ROUND(D12*(1-CHOOSE(MATCH(IF($E12="","Основний",$E12),{"Трафіковий","Основний","Маржинальний","Сезонний","Стратегічний"},0),Settings!$H$78,Settings!$H$80,Settings!$H$82,Settings!$H$84,Settings!$H$86))*(1-Settings!$H$68)/6,2)*6,"")</f>
        <v/>
      </c>
      <c r="AE12" s="142">
        <f>IFERROR(CHOOSE(MATCH(IF($E12="","Основний",$E12),{"Трафіковий","Основний","Маржинальний","Сезонний","Стратегічний"},0),Settings!$H$78,Settings!$H$80,Settings!$H$82,Settings!$H$84,Settings!$H$86)+(1-(CHOOSE(MATCH(IF($E12="","Основний",$E12),{"Трафіковий","Основний","Маржинальний","Сезонний","Стратегічний"},0),Settings!$H$78,Settings!$H$80,Settings!$H$82,Settings!$H$84,Settings!$H$86)))*Settings!$H$68,"")</f>
        <v/>
      </c>
      <c r="AF12" s="143">
        <f>IFERROR((AD12*(1-Settings!$H$17)-C12)/(AD12*(1-Settings!$H$17)),"")</f>
        <v/>
      </c>
      <c r="AG12" s="150">
        <f>IFERROR(IF(AD12="","",IF(AD12&gt;=C12/(1-SKU_Base!AF12)/(1-Settings!$H$17),"OK",IF(AD12&gt;=C12/(1-SKU_Base!AM12)/(1-Settings!$H$17),"WARN","STOP"))),"")</f>
        <v/>
      </c>
    </row>
    <row r="13" ht="17" customHeight="1" s="179">
      <c r="A13" s="146">
        <f>SKU_Base!B13</f>
        <v/>
      </c>
      <c r="B13" s="146">
        <f>SKU_Base!C13</f>
        <v/>
      </c>
      <c r="C13" s="147">
        <f>IFERROR(SKU_Base!I13,"")</f>
        <v/>
      </c>
      <c r="D13" s="164">
        <f>IFERROR(SKU_Base!T13,"")</f>
        <v/>
      </c>
      <c r="E13" s="141">
        <f>IFERROR(SKU_Base!$U13,"")</f>
        <v/>
      </c>
      <c r="F13" s="160">
        <f>IFERROR(ROUND(D13*(1-CHOOSE(MATCH(IF($E13="","Основний",$E13),{"Трафіковий","Основний","Маржинальний","Сезонний","Стратегічний"},0),Settings!$B$78,Settings!$B$80,Settings!$B$82,Settings!$B$84,Settings!$B$86))/6,2)*6,"")</f>
        <v/>
      </c>
      <c r="G13" s="142">
        <f>IFERROR(CHOOSE(MATCH(IF($E13="","Основний",$E13),{"Трафіковий","Основний","Маржинальний","Сезонний","Стратегічний"},0),Settings!$B$78,Settings!$B$80,Settings!$B$82,Settings!$B$84,Settings!$B$86),"")</f>
        <v/>
      </c>
      <c r="H13" s="148">
        <f>IFERROR((F13*(1-Settings!$B$17)-C13)/(F13*(1-Settings!$B$17)),"")</f>
        <v/>
      </c>
      <c r="I13" s="149">
        <f>IFERROR(IF(F13="","",IF(F13&gt;=C13/(1-SKU_Base!Z13)/(1-Settings!$B$17),"OK",IF(F13&gt;=C13/(1-SKU_Base!AG13)/(1-Settings!$B$17),"WARN","STOP"))),"")</f>
        <v/>
      </c>
      <c r="J13" s="160">
        <f>IFERROR(ROUND(D13*(1-CHOOSE(MATCH(IF($E13="","Основний",$E13),{"Трафіковий","Основний","Маржинальний","Сезонний","Стратегічний"},0),Settings!$C$78,Settings!$C$80,Settings!$C$82,Settings!$C$84,Settings!$C$86))/6,2)*6,"")</f>
        <v/>
      </c>
      <c r="K13" s="142">
        <f>IFERROR(CHOOSE(MATCH(IF($E13="","Основний",$E13),{"Трафіковий","Основний","Маржинальний","Сезонний","Стратегічний"},0),Settings!$C$78,Settings!$C$80,Settings!$C$82,Settings!$C$84,Settings!$C$86),"")</f>
        <v/>
      </c>
      <c r="L13" s="148">
        <f>IFERROR((J13*(1-Settings!$C$17)-C13)/(J13*(1-Settings!$C$17)),"")</f>
        <v/>
      </c>
      <c r="M13" s="149">
        <f>IFERROR(IF(J13="","",IF(J13&gt;=C13/(1-SKU_Base!AA13)/(1-Settings!$C$17),"OK",IF(J13&gt;=C13/(1-SKU_Base!AH13)/(1-Settings!$C$17),"WARN","STOP"))),"")</f>
        <v/>
      </c>
      <c r="N13" s="161">
        <f>IFERROR(ROUND(D13*(1-CHOOSE(MATCH(IF($E13="","Основний",$E13),{"Трафіковий","Основний","Маржинальний","Сезонний","Стратегічний"},0),Settings!$D$78,Settings!$D$80,Settings!$D$82,Settings!$D$84,Settings!$D$86))/6,2)*6,"")</f>
        <v/>
      </c>
      <c r="O13" s="142">
        <f>IFERROR(CHOOSE(MATCH(IF($E13="","Основний",$E13),{"Трафіковий","Основний","Маржинальний","Сезонний","Стратегічний"},0),Settings!$D$78,Settings!$D$80,Settings!$D$82,Settings!$D$84,Settings!$D$86),"")</f>
        <v/>
      </c>
      <c r="P13" s="148">
        <f>IFERROR((N13*(1-Settings!$D$17)-C13)/(N13*(1-Settings!$D$17)),"")</f>
        <v/>
      </c>
      <c r="Q13" s="149">
        <f>IFERROR(IF(N13="","",IF(N13&gt;=C13/(1-SKU_Base!AB13)/(1-Settings!$D$17),"OK",IF(N13&gt;=C13/(1-SKU_Base!AI13)/(1-Settings!$D$17),"WARN","STOP"))),"")</f>
        <v/>
      </c>
      <c r="R13" s="161">
        <f>IFERROR(ROUND(D13*(1-CHOOSE(MATCH(IF($E13="","Основний",$E13),{"Трафіковий","Основний","Маржинальний","Сезонний","Стратегічний"},0),Settings!$E$78,Settings!$E$80,Settings!$E$82,Settings!$E$84,Settings!$E$86))/6,2)*6,"")</f>
        <v/>
      </c>
      <c r="S13" s="142">
        <f>IFERROR(CHOOSE(MATCH(IF($E13="","Основний",$E13),{"Трафіковий","Основний","Маржинальний","Сезонний","Стратегічний"},0),Settings!$E$78,Settings!$E$80,Settings!$E$82,Settings!$E$84,Settings!$E$86),"")</f>
        <v/>
      </c>
      <c r="T13" s="148">
        <f>IFERROR((R13*(1-Settings!$E$17)-C13)/(R13*(1-Settings!$E$17)),"")</f>
        <v/>
      </c>
      <c r="U13" s="149">
        <f>IFERROR(IF(R13="","",IF(R13&gt;=C13/(1-SKU_Base!AC13)/(1-Settings!$E$17),"OK",IF(R13&gt;=C13/(1-SKU_Base!AJ13)/(1-Settings!$E$17),"WARN","STOP"))),"")</f>
        <v/>
      </c>
      <c r="V13" s="161">
        <f>IFERROR(ROUND(D13*(1-CHOOSE(MATCH(IF($E13="","Основний",$E13),{"Трафіковий","Основний","Маржинальний","Сезонний","Стратегічний"},0),Settings!$F$78,Settings!$F$80,Settings!$F$82,Settings!$F$84,Settings!$F$86))/6,2)*6,"")</f>
        <v/>
      </c>
      <c r="W13" s="142">
        <f>IFERROR(CHOOSE(MATCH(IF($E13="","Основний",$E13),{"Трафіковий","Основний","Маржинальний","Сезонний","Стратегічний"},0),Settings!$F$78,Settings!$F$80,Settings!$F$82,Settings!$F$84,Settings!$F$86),"")</f>
        <v/>
      </c>
      <c r="X13" s="148">
        <f>IFERROR((V13*(1-Settings!$F$17)-C13)/(V13*(1-Settings!$F$17)),"")</f>
        <v/>
      </c>
      <c r="Y13" s="149">
        <f>IFERROR(IF(V13="","",IF(V13&gt;=C13/(1-SKU_Base!AD13)/(1-Settings!$F$17),"OK",IF(V13&gt;=C13/(1-SKU_Base!AK13)/(1-Settings!$F$17),"WARN","STOP"))),"")</f>
        <v/>
      </c>
      <c r="Z13" s="161">
        <f>IFERROR(ROUND(D13*(1-CHOOSE(MATCH(IF($E13="","Основний",$E13),{"Трафіковий","Основний","Маржинальний","Сезонний","Стратегічний"},0),Settings!$G$78,Settings!$G$80,Settings!$G$82,Settings!$G$84,Settings!$G$86))/6,2)*6,"")</f>
        <v/>
      </c>
      <c r="AA13" s="142">
        <f>IFERROR(CHOOSE(MATCH(IF($E13="","Основний",$E13),{"Трафіковий","Основний","Маржинальний","Сезонний","Стратегічний"},0),Settings!$G$78,Settings!$G$80,Settings!$G$82,Settings!$G$84,Settings!$G$86),"")</f>
        <v/>
      </c>
      <c r="AB13" s="148">
        <f>IFERROR((Z13*(1-Settings!$G$17)-C13)/(Z13*(1-Settings!$G$17)),"")</f>
        <v/>
      </c>
      <c r="AC13" s="149">
        <f>IFERROR(IF(Z13="","",IF(Z13&gt;=C13/(1-SKU_Base!AE13)/(1-Settings!$G$17),"OK",IF(Z13&gt;=C13/(1-SKU_Base!AL13)/(1-Settings!$G$17),"WARN","STOP"))),"")</f>
        <v/>
      </c>
      <c r="AD13" s="161">
        <f>IFERROR(ROUND(D13*(1-CHOOSE(MATCH(IF($E13="","Основний",$E13),{"Трафіковий","Основний","Маржинальний","Сезонний","Стратегічний"},0),Settings!$H$78,Settings!$H$80,Settings!$H$82,Settings!$H$84,Settings!$H$86))*(1-Settings!$H$68)/6,2)*6,"")</f>
        <v/>
      </c>
      <c r="AE13" s="142">
        <f>IFERROR(CHOOSE(MATCH(IF($E13="","Основний",$E13),{"Трафіковий","Основний","Маржинальний","Сезонний","Стратегічний"},0),Settings!$H$78,Settings!$H$80,Settings!$H$82,Settings!$H$84,Settings!$H$86)+(1-(CHOOSE(MATCH(IF($E13="","Основний",$E13),{"Трафіковий","Основний","Маржинальний","Сезонний","Стратегічний"},0),Settings!$H$78,Settings!$H$80,Settings!$H$82,Settings!$H$84,Settings!$H$86)))*Settings!$H$68,"")</f>
        <v/>
      </c>
      <c r="AF13" s="148">
        <f>IFERROR((AD13*(1-Settings!$H$17)-C13)/(AD13*(1-Settings!$H$17)),"")</f>
        <v/>
      </c>
      <c r="AG13" s="150">
        <f>IFERROR(IF(AD13="","",IF(AD13&gt;=C13/(1-SKU_Base!AF13)/(1-Settings!$H$17),"OK",IF(AD13&gt;=C13/(1-SKU_Base!AM13)/(1-Settings!$H$17),"WARN","STOP"))),"")</f>
        <v/>
      </c>
    </row>
    <row r="14" ht="17" customHeight="1" s="179">
      <c r="A14" s="139">
        <f>SKU_Base!B14</f>
        <v/>
      </c>
      <c r="B14" s="139">
        <f>SKU_Base!C14</f>
        <v/>
      </c>
      <c r="C14" s="140">
        <f>IFERROR(SKU_Base!I14,"")</f>
        <v/>
      </c>
      <c r="D14" s="163">
        <f>IFERROR(SKU_Base!T14,"")</f>
        <v/>
      </c>
      <c r="E14" s="141">
        <f>IFERROR(SKU_Base!$U14,"")</f>
        <v/>
      </c>
      <c r="F14" s="158">
        <f>IFERROR(ROUND(D14*(1-CHOOSE(MATCH(IF($E14="","Основний",$E14),{"Трафіковий","Основний","Маржинальний","Сезонний","Стратегічний"},0),Settings!$B$78,Settings!$B$80,Settings!$B$82,Settings!$B$84,Settings!$B$86))/6,2)*6,"")</f>
        <v/>
      </c>
      <c r="G14" s="142">
        <f>IFERROR(CHOOSE(MATCH(IF($E14="","Основний",$E14),{"Трафіковий","Основний","Маржинальний","Сезонний","Стратегічний"},0),Settings!$B$78,Settings!$B$80,Settings!$B$82,Settings!$B$84,Settings!$B$86),"")</f>
        <v/>
      </c>
      <c r="H14" s="143">
        <f>IFERROR((F14*(1-Settings!$B$17)-C14)/(F14*(1-Settings!$B$17)),"")</f>
        <v/>
      </c>
      <c r="I14" s="149">
        <f>IFERROR(IF(F14="","",IF(F14&gt;=C14/(1-SKU_Base!Z14)/(1-Settings!$B$17),"OK",IF(F14&gt;=C14/(1-SKU_Base!AG14)/(1-Settings!$B$17),"WARN","STOP"))),"")</f>
        <v/>
      </c>
      <c r="J14" s="158">
        <f>IFERROR(ROUND(D14*(1-CHOOSE(MATCH(IF($E14="","Основний",$E14),{"Трафіковий","Основний","Маржинальний","Сезонний","Стратегічний"},0),Settings!$C$78,Settings!$C$80,Settings!$C$82,Settings!$C$84,Settings!$C$86))/6,2)*6,"")</f>
        <v/>
      </c>
      <c r="K14" s="142">
        <f>IFERROR(CHOOSE(MATCH(IF($E14="","Основний",$E14),{"Трафіковий","Основний","Маржинальний","Сезонний","Стратегічний"},0),Settings!$C$78,Settings!$C$80,Settings!$C$82,Settings!$C$84,Settings!$C$86),"")</f>
        <v/>
      </c>
      <c r="L14" s="143">
        <f>IFERROR((J14*(1-Settings!$C$17)-C14)/(J14*(1-Settings!$C$17)),"")</f>
        <v/>
      </c>
      <c r="M14" s="149">
        <f>IFERROR(IF(J14="","",IF(J14&gt;=C14/(1-SKU_Base!AA14)/(1-Settings!$C$17),"OK",IF(J14&gt;=C14/(1-SKU_Base!AH14)/(1-Settings!$C$17),"WARN","STOP"))),"")</f>
        <v/>
      </c>
      <c r="N14" s="159">
        <f>IFERROR(ROUND(D14*(1-CHOOSE(MATCH(IF($E14="","Основний",$E14),{"Трафіковий","Основний","Маржинальний","Сезонний","Стратегічний"},0),Settings!$D$78,Settings!$D$80,Settings!$D$82,Settings!$D$84,Settings!$D$86))/6,2)*6,"")</f>
        <v/>
      </c>
      <c r="O14" s="142">
        <f>IFERROR(CHOOSE(MATCH(IF($E14="","Основний",$E14),{"Трафіковий","Основний","Маржинальний","Сезонний","Стратегічний"},0),Settings!$D$78,Settings!$D$80,Settings!$D$82,Settings!$D$84,Settings!$D$86),"")</f>
        <v/>
      </c>
      <c r="P14" s="143">
        <f>IFERROR((N14*(1-Settings!$D$17)-C14)/(N14*(1-Settings!$D$17)),"")</f>
        <v/>
      </c>
      <c r="Q14" s="149">
        <f>IFERROR(IF(N14="","",IF(N14&gt;=C14/(1-SKU_Base!AB14)/(1-Settings!$D$17),"OK",IF(N14&gt;=C14/(1-SKU_Base!AI14)/(1-Settings!$D$17),"WARN","STOP"))),"")</f>
        <v/>
      </c>
      <c r="R14" s="159">
        <f>IFERROR(ROUND(D14*(1-CHOOSE(MATCH(IF($E14="","Основний",$E14),{"Трафіковий","Основний","Маржинальний","Сезонний","Стратегічний"},0),Settings!$E$78,Settings!$E$80,Settings!$E$82,Settings!$E$84,Settings!$E$86))/6,2)*6,"")</f>
        <v/>
      </c>
      <c r="S14" s="142">
        <f>IFERROR(CHOOSE(MATCH(IF($E14="","Основний",$E14),{"Трафіковий","Основний","Маржинальний","Сезонний","Стратегічний"},0),Settings!$E$78,Settings!$E$80,Settings!$E$82,Settings!$E$84,Settings!$E$86),"")</f>
        <v/>
      </c>
      <c r="T14" s="143">
        <f>IFERROR((R14*(1-Settings!$E$17)-C14)/(R14*(1-Settings!$E$17)),"")</f>
        <v/>
      </c>
      <c r="U14" s="149">
        <f>IFERROR(IF(R14="","",IF(R14&gt;=C14/(1-SKU_Base!AC14)/(1-Settings!$E$17),"OK",IF(R14&gt;=C14/(1-SKU_Base!AJ14)/(1-Settings!$E$17),"WARN","STOP"))),"")</f>
        <v/>
      </c>
      <c r="V14" s="159">
        <f>IFERROR(ROUND(D14*(1-CHOOSE(MATCH(IF($E14="","Основний",$E14),{"Трафіковий","Основний","Маржинальний","Сезонний","Стратегічний"},0),Settings!$F$78,Settings!$F$80,Settings!$F$82,Settings!$F$84,Settings!$F$86))/6,2)*6,"")</f>
        <v/>
      </c>
      <c r="W14" s="142">
        <f>IFERROR(CHOOSE(MATCH(IF($E14="","Основний",$E14),{"Трафіковий","Основний","Маржинальний","Сезонний","Стратегічний"},0),Settings!$F$78,Settings!$F$80,Settings!$F$82,Settings!$F$84,Settings!$F$86),"")</f>
        <v/>
      </c>
      <c r="X14" s="143">
        <f>IFERROR((V14*(1-Settings!$F$17)-C14)/(V14*(1-Settings!$F$17)),"")</f>
        <v/>
      </c>
      <c r="Y14" s="149">
        <f>IFERROR(IF(V14="","",IF(V14&gt;=C14/(1-SKU_Base!AD14)/(1-Settings!$F$17),"OK",IF(V14&gt;=C14/(1-SKU_Base!AK14)/(1-Settings!$F$17),"WARN","STOP"))),"")</f>
        <v/>
      </c>
      <c r="Z14" s="159">
        <f>IFERROR(ROUND(D14*(1-CHOOSE(MATCH(IF($E14="","Основний",$E14),{"Трафіковий","Основний","Маржинальний","Сезонний","Стратегічний"},0),Settings!$G$78,Settings!$G$80,Settings!$G$82,Settings!$G$84,Settings!$G$86))/6,2)*6,"")</f>
        <v/>
      </c>
      <c r="AA14" s="142">
        <f>IFERROR(CHOOSE(MATCH(IF($E14="","Основний",$E14),{"Трафіковий","Основний","Маржинальний","Сезонний","Стратегічний"},0),Settings!$G$78,Settings!$G$80,Settings!$G$82,Settings!$G$84,Settings!$G$86),"")</f>
        <v/>
      </c>
      <c r="AB14" s="143">
        <f>IFERROR((Z14*(1-Settings!$G$17)-C14)/(Z14*(1-Settings!$G$17)),"")</f>
        <v/>
      </c>
      <c r="AC14" s="149">
        <f>IFERROR(IF(Z14="","",IF(Z14&gt;=C14/(1-SKU_Base!AE14)/(1-Settings!$G$17),"OK",IF(Z14&gt;=C14/(1-SKU_Base!AL14)/(1-Settings!$G$17),"WARN","STOP"))),"")</f>
        <v/>
      </c>
      <c r="AD14" s="159">
        <f>IFERROR(ROUND(D14*(1-CHOOSE(MATCH(IF($E14="","Основний",$E14),{"Трафіковий","Основний","Маржинальний","Сезонний","Стратегічний"},0),Settings!$H$78,Settings!$H$80,Settings!$H$82,Settings!$H$84,Settings!$H$86))*(1-Settings!$H$68)/6,2)*6,"")</f>
        <v/>
      </c>
      <c r="AE14" s="142">
        <f>IFERROR(CHOOSE(MATCH(IF($E14="","Основний",$E14),{"Трафіковий","Основний","Маржинальний","Сезонний","Стратегічний"},0),Settings!$H$78,Settings!$H$80,Settings!$H$82,Settings!$H$84,Settings!$H$86)+(1-(CHOOSE(MATCH(IF($E14="","Основний",$E14),{"Трафіковий","Основний","Маржинальний","Сезонний","Стратегічний"},0),Settings!$H$78,Settings!$H$80,Settings!$H$82,Settings!$H$84,Settings!$H$86)))*Settings!$H$68,"")</f>
        <v/>
      </c>
      <c r="AF14" s="143">
        <f>IFERROR((AD14*(1-Settings!$H$17)-C14)/(AD14*(1-Settings!$H$17)),"")</f>
        <v/>
      </c>
      <c r="AG14" s="150">
        <f>IFERROR(IF(AD14="","",IF(AD14&gt;=C14/(1-SKU_Base!AF14)/(1-Settings!$H$17),"OK",IF(AD14&gt;=C14/(1-SKU_Base!AM14)/(1-Settings!$H$17),"WARN","STOP"))),"")</f>
        <v/>
      </c>
    </row>
    <row r="15" ht="17" customHeight="1" s="179">
      <c r="A15" s="146">
        <f>SKU_Base!B15</f>
        <v/>
      </c>
      <c r="B15" s="146">
        <f>SKU_Base!C15</f>
        <v/>
      </c>
      <c r="C15" s="147">
        <f>IFERROR(SKU_Base!I15,"")</f>
        <v/>
      </c>
      <c r="D15" s="164">
        <f>IFERROR(SKU_Base!T15,"")</f>
        <v/>
      </c>
      <c r="E15" s="141">
        <f>IFERROR(SKU_Base!$U15,"")</f>
        <v/>
      </c>
      <c r="F15" s="160">
        <f>IFERROR(ROUND(D15*(1-CHOOSE(MATCH(IF($E15="","Основний",$E15),{"Трафіковий","Основний","Маржинальний","Сезонний","Стратегічний"},0),Settings!$B$78,Settings!$B$80,Settings!$B$82,Settings!$B$84,Settings!$B$86))/6,2)*6,"")</f>
        <v/>
      </c>
      <c r="G15" s="142">
        <f>IFERROR(CHOOSE(MATCH(IF($E15="","Основний",$E15),{"Трафіковий","Основний","Маржинальний","Сезонний","Стратегічний"},0),Settings!$B$78,Settings!$B$80,Settings!$B$82,Settings!$B$84,Settings!$B$86),"")</f>
        <v/>
      </c>
      <c r="H15" s="148">
        <f>IFERROR((F15*(1-Settings!$B$17)-C15)/(F15*(1-Settings!$B$17)),"")</f>
        <v/>
      </c>
      <c r="I15" s="149">
        <f>IFERROR(IF(F15="","",IF(F15&gt;=C15/(1-SKU_Base!Z15)/(1-Settings!$B$17),"OK",IF(F15&gt;=C15/(1-SKU_Base!AG15)/(1-Settings!$B$17),"WARN","STOP"))),"")</f>
        <v/>
      </c>
      <c r="J15" s="160">
        <f>IFERROR(ROUND(D15*(1-CHOOSE(MATCH(IF($E15="","Основний",$E15),{"Трафіковий","Основний","Маржинальний","Сезонний","Стратегічний"},0),Settings!$C$78,Settings!$C$80,Settings!$C$82,Settings!$C$84,Settings!$C$86))/6,2)*6,"")</f>
        <v/>
      </c>
      <c r="K15" s="142">
        <f>IFERROR(CHOOSE(MATCH(IF($E15="","Основний",$E15),{"Трафіковий","Основний","Маржинальний","Сезонний","Стратегічний"},0),Settings!$C$78,Settings!$C$80,Settings!$C$82,Settings!$C$84,Settings!$C$86),"")</f>
        <v/>
      </c>
      <c r="L15" s="148">
        <f>IFERROR((J15*(1-Settings!$C$17)-C15)/(J15*(1-Settings!$C$17)),"")</f>
        <v/>
      </c>
      <c r="M15" s="149">
        <f>IFERROR(IF(J15="","",IF(J15&gt;=C15/(1-SKU_Base!AA15)/(1-Settings!$C$17),"OK",IF(J15&gt;=C15/(1-SKU_Base!AH15)/(1-Settings!$C$17),"WARN","STOP"))),"")</f>
        <v/>
      </c>
      <c r="N15" s="161">
        <f>IFERROR(ROUND(D15*(1-CHOOSE(MATCH(IF($E15="","Основний",$E15),{"Трафіковий","Основний","Маржинальний","Сезонний","Стратегічний"},0),Settings!$D$78,Settings!$D$80,Settings!$D$82,Settings!$D$84,Settings!$D$86))/6,2)*6,"")</f>
        <v/>
      </c>
      <c r="O15" s="142">
        <f>IFERROR(CHOOSE(MATCH(IF($E15="","Основний",$E15),{"Трафіковий","Основний","Маржинальний","Сезонний","Стратегічний"},0),Settings!$D$78,Settings!$D$80,Settings!$D$82,Settings!$D$84,Settings!$D$86),"")</f>
        <v/>
      </c>
      <c r="P15" s="148">
        <f>IFERROR((N15*(1-Settings!$D$17)-C15)/(N15*(1-Settings!$D$17)),"")</f>
        <v/>
      </c>
      <c r="Q15" s="149">
        <f>IFERROR(IF(N15="","",IF(N15&gt;=C15/(1-SKU_Base!AB15)/(1-Settings!$D$17),"OK",IF(N15&gt;=C15/(1-SKU_Base!AI15)/(1-Settings!$D$17),"WARN","STOP"))),"")</f>
        <v/>
      </c>
      <c r="R15" s="161">
        <f>IFERROR(ROUND(D15*(1-CHOOSE(MATCH(IF($E15="","Основний",$E15),{"Трафіковий","Основний","Маржинальний","Сезонний","Стратегічний"},0),Settings!$E$78,Settings!$E$80,Settings!$E$82,Settings!$E$84,Settings!$E$86))/6,2)*6,"")</f>
        <v/>
      </c>
      <c r="S15" s="142">
        <f>IFERROR(CHOOSE(MATCH(IF($E15="","Основний",$E15),{"Трафіковий","Основний","Маржинальний","Сезонний","Стратегічний"},0),Settings!$E$78,Settings!$E$80,Settings!$E$82,Settings!$E$84,Settings!$E$86),"")</f>
        <v/>
      </c>
      <c r="T15" s="148">
        <f>IFERROR((R15*(1-Settings!$E$17)-C15)/(R15*(1-Settings!$E$17)),"")</f>
        <v/>
      </c>
      <c r="U15" s="149">
        <f>IFERROR(IF(R15="","",IF(R15&gt;=C15/(1-SKU_Base!AC15)/(1-Settings!$E$17),"OK",IF(R15&gt;=C15/(1-SKU_Base!AJ15)/(1-Settings!$E$17),"WARN","STOP"))),"")</f>
        <v/>
      </c>
      <c r="V15" s="161">
        <f>IFERROR(ROUND(D15*(1-CHOOSE(MATCH(IF($E15="","Основний",$E15),{"Трафіковий","Основний","Маржинальний","Сезонний","Стратегічний"},0),Settings!$F$78,Settings!$F$80,Settings!$F$82,Settings!$F$84,Settings!$F$86))/6,2)*6,"")</f>
        <v/>
      </c>
      <c r="W15" s="142">
        <f>IFERROR(CHOOSE(MATCH(IF($E15="","Основний",$E15),{"Трафіковий","Основний","Маржинальний","Сезонний","Стратегічний"},0),Settings!$F$78,Settings!$F$80,Settings!$F$82,Settings!$F$84,Settings!$F$86),"")</f>
        <v/>
      </c>
      <c r="X15" s="148">
        <f>IFERROR((V15*(1-Settings!$F$17)-C15)/(V15*(1-Settings!$F$17)),"")</f>
        <v/>
      </c>
      <c r="Y15" s="149">
        <f>IFERROR(IF(V15="","",IF(V15&gt;=C15/(1-SKU_Base!AD15)/(1-Settings!$F$17),"OK",IF(V15&gt;=C15/(1-SKU_Base!AK15)/(1-Settings!$F$17),"WARN","STOP"))),"")</f>
        <v/>
      </c>
      <c r="Z15" s="161">
        <f>IFERROR(ROUND(D15*(1-CHOOSE(MATCH(IF($E15="","Основний",$E15),{"Трафіковий","Основний","Маржинальний","Сезонний","Стратегічний"},0),Settings!$G$78,Settings!$G$80,Settings!$G$82,Settings!$G$84,Settings!$G$86))/6,2)*6,"")</f>
        <v/>
      </c>
      <c r="AA15" s="142">
        <f>IFERROR(CHOOSE(MATCH(IF($E15="","Основний",$E15),{"Трафіковий","Основний","Маржинальний","Сезонний","Стратегічний"},0),Settings!$G$78,Settings!$G$80,Settings!$G$82,Settings!$G$84,Settings!$G$86),"")</f>
        <v/>
      </c>
      <c r="AB15" s="148">
        <f>IFERROR((Z15*(1-Settings!$G$17)-C15)/(Z15*(1-Settings!$G$17)),"")</f>
        <v/>
      </c>
      <c r="AC15" s="149">
        <f>IFERROR(IF(Z15="","",IF(Z15&gt;=C15/(1-SKU_Base!AE15)/(1-Settings!$G$17),"OK",IF(Z15&gt;=C15/(1-SKU_Base!AL15)/(1-Settings!$G$17),"WARN","STOP"))),"")</f>
        <v/>
      </c>
      <c r="AD15" s="161">
        <f>IFERROR(ROUND(D15*(1-CHOOSE(MATCH(IF($E15="","Основний",$E15),{"Трафіковий","Основний","Маржинальний","Сезонний","Стратегічний"},0),Settings!$H$78,Settings!$H$80,Settings!$H$82,Settings!$H$84,Settings!$H$86))*(1-Settings!$H$68)/6,2)*6,"")</f>
        <v/>
      </c>
      <c r="AE15" s="142">
        <f>IFERROR(CHOOSE(MATCH(IF($E15="","Основний",$E15),{"Трафіковий","Основний","Маржинальний","Сезонний","Стратегічний"},0),Settings!$H$78,Settings!$H$80,Settings!$H$82,Settings!$H$84,Settings!$H$86)+(1-(CHOOSE(MATCH(IF($E15="","Основний",$E15),{"Трафіковий","Основний","Маржинальний","Сезонний","Стратегічний"},0),Settings!$H$78,Settings!$H$80,Settings!$H$82,Settings!$H$84,Settings!$H$86)))*Settings!$H$68,"")</f>
        <v/>
      </c>
      <c r="AF15" s="148">
        <f>IFERROR((AD15*(1-Settings!$H$17)-C15)/(AD15*(1-Settings!$H$17)),"")</f>
        <v/>
      </c>
      <c r="AG15" s="150">
        <f>IFERROR(IF(AD15="","",IF(AD15&gt;=C15/(1-SKU_Base!AF15)/(1-Settings!$H$17),"OK",IF(AD15&gt;=C15/(1-SKU_Base!AM15)/(1-Settings!$H$17),"WARN","STOP"))),"")</f>
        <v/>
      </c>
    </row>
    <row r="16" ht="17" customHeight="1" s="179">
      <c r="A16" s="139">
        <f>SKU_Base!B16</f>
        <v/>
      </c>
      <c r="B16" s="139">
        <f>SKU_Base!C16</f>
        <v/>
      </c>
      <c r="C16" s="140">
        <f>IFERROR(SKU_Base!I16,"")</f>
        <v/>
      </c>
      <c r="D16" s="163">
        <f>IFERROR(SKU_Base!T16,"")</f>
        <v/>
      </c>
      <c r="E16" s="141">
        <f>IFERROR(SKU_Base!$U16,"")</f>
        <v/>
      </c>
      <c r="F16" s="158">
        <f>IFERROR(ROUND(D16*(1-CHOOSE(MATCH(IF($E16="","Основний",$E16),{"Трафіковий","Основний","Маржинальний","Сезонний","Стратегічний"},0),Settings!$B$78,Settings!$B$80,Settings!$B$82,Settings!$B$84,Settings!$B$86))/6,2)*6,"")</f>
        <v/>
      </c>
      <c r="G16" s="142">
        <f>IFERROR(CHOOSE(MATCH(IF($E16="","Основний",$E16),{"Трафіковий","Основний","Маржинальний","Сезонний","Стратегічний"},0),Settings!$B$78,Settings!$B$80,Settings!$B$82,Settings!$B$84,Settings!$B$86),"")</f>
        <v/>
      </c>
      <c r="H16" s="143">
        <f>IFERROR((F16*(1-Settings!$B$17)-C16)/(F16*(1-Settings!$B$17)),"")</f>
        <v/>
      </c>
      <c r="I16" s="149">
        <f>IFERROR(IF(F16="","",IF(F16&gt;=C16/(1-SKU_Base!Z16)/(1-Settings!$B$17),"OK",IF(F16&gt;=C16/(1-SKU_Base!AG16)/(1-Settings!$B$17),"WARN","STOP"))),"")</f>
        <v/>
      </c>
      <c r="J16" s="158">
        <f>IFERROR(ROUND(D16*(1-CHOOSE(MATCH(IF($E16="","Основний",$E16),{"Трафіковий","Основний","Маржинальний","Сезонний","Стратегічний"},0),Settings!$C$78,Settings!$C$80,Settings!$C$82,Settings!$C$84,Settings!$C$86))/6,2)*6,"")</f>
        <v/>
      </c>
      <c r="K16" s="142">
        <f>IFERROR(CHOOSE(MATCH(IF($E16="","Основний",$E16),{"Трафіковий","Основний","Маржинальний","Сезонний","Стратегічний"},0),Settings!$C$78,Settings!$C$80,Settings!$C$82,Settings!$C$84,Settings!$C$86),"")</f>
        <v/>
      </c>
      <c r="L16" s="143">
        <f>IFERROR((J16*(1-Settings!$C$17)-C16)/(J16*(1-Settings!$C$17)),"")</f>
        <v/>
      </c>
      <c r="M16" s="149">
        <f>IFERROR(IF(J16="","",IF(J16&gt;=C16/(1-SKU_Base!AA16)/(1-Settings!$C$17),"OK",IF(J16&gt;=C16/(1-SKU_Base!AH16)/(1-Settings!$C$17),"WARN","STOP"))),"")</f>
        <v/>
      </c>
      <c r="N16" s="159">
        <f>IFERROR(ROUND(D16*(1-CHOOSE(MATCH(IF($E16="","Основний",$E16),{"Трафіковий","Основний","Маржинальний","Сезонний","Стратегічний"},0),Settings!$D$78,Settings!$D$80,Settings!$D$82,Settings!$D$84,Settings!$D$86))/6,2)*6,"")</f>
        <v/>
      </c>
      <c r="O16" s="142">
        <f>IFERROR(CHOOSE(MATCH(IF($E16="","Основний",$E16),{"Трафіковий","Основний","Маржинальний","Сезонний","Стратегічний"},0),Settings!$D$78,Settings!$D$80,Settings!$D$82,Settings!$D$84,Settings!$D$86),"")</f>
        <v/>
      </c>
      <c r="P16" s="143">
        <f>IFERROR((N16*(1-Settings!$D$17)-C16)/(N16*(1-Settings!$D$17)),"")</f>
        <v/>
      </c>
      <c r="Q16" s="149">
        <f>IFERROR(IF(N16="","",IF(N16&gt;=C16/(1-SKU_Base!AB16)/(1-Settings!$D$17),"OK",IF(N16&gt;=C16/(1-SKU_Base!AI16)/(1-Settings!$D$17),"WARN","STOP"))),"")</f>
        <v/>
      </c>
      <c r="R16" s="159">
        <f>IFERROR(ROUND(D16*(1-CHOOSE(MATCH(IF($E16="","Основний",$E16),{"Трафіковий","Основний","Маржинальний","Сезонний","Стратегічний"},0),Settings!$E$78,Settings!$E$80,Settings!$E$82,Settings!$E$84,Settings!$E$86))/6,2)*6,"")</f>
        <v/>
      </c>
      <c r="S16" s="142">
        <f>IFERROR(CHOOSE(MATCH(IF($E16="","Основний",$E16),{"Трафіковий","Основний","Маржинальний","Сезонний","Стратегічний"},0),Settings!$E$78,Settings!$E$80,Settings!$E$82,Settings!$E$84,Settings!$E$86),"")</f>
        <v/>
      </c>
      <c r="T16" s="143">
        <f>IFERROR((R16*(1-Settings!$E$17)-C16)/(R16*(1-Settings!$E$17)),"")</f>
        <v/>
      </c>
      <c r="U16" s="149">
        <f>IFERROR(IF(R16="","",IF(R16&gt;=C16/(1-SKU_Base!AC16)/(1-Settings!$E$17),"OK",IF(R16&gt;=C16/(1-SKU_Base!AJ16)/(1-Settings!$E$17),"WARN","STOP"))),"")</f>
        <v/>
      </c>
      <c r="V16" s="159">
        <f>IFERROR(ROUND(D16*(1-CHOOSE(MATCH(IF($E16="","Основний",$E16),{"Трафіковий","Основний","Маржинальний","Сезонний","Стратегічний"},0),Settings!$F$78,Settings!$F$80,Settings!$F$82,Settings!$F$84,Settings!$F$86))/6,2)*6,"")</f>
        <v/>
      </c>
      <c r="W16" s="142">
        <f>IFERROR(CHOOSE(MATCH(IF($E16="","Основний",$E16),{"Трафіковий","Основний","Маржинальний","Сезонний","Стратегічний"},0),Settings!$F$78,Settings!$F$80,Settings!$F$82,Settings!$F$84,Settings!$F$86),"")</f>
        <v/>
      </c>
      <c r="X16" s="143">
        <f>IFERROR((V16*(1-Settings!$F$17)-C16)/(V16*(1-Settings!$F$17)),"")</f>
        <v/>
      </c>
      <c r="Y16" s="149">
        <f>IFERROR(IF(V16="","",IF(V16&gt;=C16/(1-SKU_Base!AD16)/(1-Settings!$F$17),"OK",IF(V16&gt;=C16/(1-SKU_Base!AK16)/(1-Settings!$F$17),"WARN","STOP"))),"")</f>
        <v/>
      </c>
      <c r="Z16" s="159">
        <f>IFERROR(ROUND(D16*(1-CHOOSE(MATCH(IF($E16="","Основний",$E16),{"Трафіковий","Основний","Маржинальний","Сезонний","Стратегічний"},0),Settings!$G$78,Settings!$G$80,Settings!$G$82,Settings!$G$84,Settings!$G$86))/6,2)*6,"")</f>
        <v/>
      </c>
      <c r="AA16" s="142">
        <f>IFERROR(CHOOSE(MATCH(IF($E16="","Основний",$E16),{"Трафіковий","Основний","Маржинальний","Сезонний","Стратегічний"},0),Settings!$G$78,Settings!$G$80,Settings!$G$82,Settings!$G$84,Settings!$G$86),"")</f>
        <v/>
      </c>
      <c r="AB16" s="143">
        <f>IFERROR((Z16*(1-Settings!$G$17)-C16)/(Z16*(1-Settings!$G$17)),"")</f>
        <v/>
      </c>
      <c r="AC16" s="149">
        <f>IFERROR(IF(Z16="","",IF(Z16&gt;=C16/(1-SKU_Base!AE16)/(1-Settings!$G$17),"OK",IF(Z16&gt;=C16/(1-SKU_Base!AL16)/(1-Settings!$G$17),"WARN","STOP"))),"")</f>
        <v/>
      </c>
      <c r="AD16" s="159">
        <f>IFERROR(ROUND(D16*(1-CHOOSE(MATCH(IF($E16="","Основний",$E16),{"Трафіковий","Основний","Маржинальний","Сезонний","Стратегічний"},0),Settings!$H$78,Settings!$H$80,Settings!$H$82,Settings!$H$84,Settings!$H$86))*(1-Settings!$H$68)/6,2)*6,"")</f>
        <v/>
      </c>
      <c r="AE16" s="142">
        <f>IFERROR(CHOOSE(MATCH(IF($E16="","Основний",$E16),{"Трафіковий","Основний","Маржинальний","Сезонний","Стратегічний"},0),Settings!$H$78,Settings!$H$80,Settings!$H$82,Settings!$H$84,Settings!$H$86)+(1-(CHOOSE(MATCH(IF($E16="","Основний",$E16),{"Трафіковий","Основний","Маржинальний","Сезонний","Стратегічний"},0),Settings!$H$78,Settings!$H$80,Settings!$H$82,Settings!$H$84,Settings!$H$86)))*Settings!$H$68,"")</f>
        <v/>
      </c>
      <c r="AF16" s="143">
        <f>IFERROR((AD16*(1-Settings!$H$17)-C16)/(AD16*(1-Settings!$H$17)),"")</f>
        <v/>
      </c>
      <c r="AG16" s="150">
        <f>IFERROR(IF(AD16="","",IF(AD16&gt;=C16/(1-SKU_Base!AF16)/(1-Settings!$H$17),"OK",IF(AD16&gt;=C16/(1-SKU_Base!AM16)/(1-Settings!$H$17),"WARN","STOP"))),"")</f>
        <v/>
      </c>
    </row>
    <row r="17" ht="17" customHeight="1" s="179">
      <c r="A17" s="146">
        <f>SKU_Base!B17</f>
        <v/>
      </c>
      <c r="B17" s="146">
        <f>SKU_Base!C17</f>
        <v/>
      </c>
      <c r="C17" s="147">
        <f>IFERROR(SKU_Base!I17,"")</f>
        <v/>
      </c>
      <c r="D17" s="164">
        <f>IFERROR(SKU_Base!T17,"")</f>
        <v/>
      </c>
      <c r="E17" s="141">
        <f>IFERROR(SKU_Base!$U17,"")</f>
        <v/>
      </c>
      <c r="F17" s="160">
        <f>IFERROR(ROUND(D17*(1-CHOOSE(MATCH(IF($E17="","Основний",$E17),{"Трафіковий","Основний","Маржинальний","Сезонний","Стратегічний"},0),Settings!$B$78,Settings!$B$80,Settings!$B$82,Settings!$B$84,Settings!$B$86))/6,2)*6,"")</f>
        <v/>
      </c>
      <c r="G17" s="142">
        <f>IFERROR(CHOOSE(MATCH(IF($E17="","Основний",$E17),{"Трафіковий","Основний","Маржинальний","Сезонний","Стратегічний"},0),Settings!$B$78,Settings!$B$80,Settings!$B$82,Settings!$B$84,Settings!$B$86),"")</f>
        <v/>
      </c>
      <c r="H17" s="148">
        <f>IFERROR((F17*(1-Settings!$B$17)-C17)/(F17*(1-Settings!$B$17)),"")</f>
        <v/>
      </c>
      <c r="I17" s="149">
        <f>IFERROR(IF(F17="","",IF(F17&gt;=C17/(1-SKU_Base!Z17)/(1-Settings!$B$17),"OK",IF(F17&gt;=C17/(1-SKU_Base!AG17)/(1-Settings!$B$17),"WARN","STOP"))),"")</f>
        <v/>
      </c>
      <c r="J17" s="160">
        <f>IFERROR(ROUND(D17*(1-CHOOSE(MATCH(IF($E17="","Основний",$E17),{"Трафіковий","Основний","Маржинальний","Сезонний","Стратегічний"},0),Settings!$C$78,Settings!$C$80,Settings!$C$82,Settings!$C$84,Settings!$C$86))/6,2)*6,"")</f>
        <v/>
      </c>
      <c r="K17" s="142">
        <f>IFERROR(CHOOSE(MATCH(IF($E17="","Основний",$E17),{"Трафіковий","Основний","Маржинальний","Сезонний","Стратегічний"},0),Settings!$C$78,Settings!$C$80,Settings!$C$82,Settings!$C$84,Settings!$C$86),"")</f>
        <v/>
      </c>
      <c r="L17" s="148">
        <f>IFERROR((J17*(1-Settings!$C$17)-C17)/(J17*(1-Settings!$C$17)),"")</f>
        <v/>
      </c>
      <c r="M17" s="149">
        <f>IFERROR(IF(J17="","",IF(J17&gt;=C17/(1-SKU_Base!AA17)/(1-Settings!$C$17),"OK",IF(J17&gt;=C17/(1-SKU_Base!AH17)/(1-Settings!$C$17),"WARN","STOP"))),"")</f>
        <v/>
      </c>
      <c r="N17" s="161">
        <f>IFERROR(ROUND(D17*(1-CHOOSE(MATCH(IF($E17="","Основний",$E17),{"Трафіковий","Основний","Маржинальний","Сезонний","Стратегічний"},0),Settings!$D$78,Settings!$D$80,Settings!$D$82,Settings!$D$84,Settings!$D$86))/6,2)*6,"")</f>
        <v/>
      </c>
      <c r="O17" s="142">
        <f>IFERROR(CHOOSE(MATCH(IF($E17="","Основний",$E17),{"Трафіковий","Основний","Маржинальний","Сезонний","Стратегічний"},0),Settings!$D$78,Settings!$D$80,Settings!$D$82,Settings!$D$84,Settings!$D$86),"")</f>
        <v/>
      </c>
      <c r="P17" s="148">
        <f>IFERROR((N17*(1-Settings!$D$17)-C17)/(N17*(1-Settings!$D$17)),"")</f>
        <v/>
      </c>
      <c r="Q17" s="149">
        <f>IFERROR(IF(N17="","",IF(N17&gt;=C17/(1-SKU_Base!AB17)/(1-Settings!$D$17),"OK",IF(N17&gt;=C17/(1-SKU_Base!AI17)/(1-Settings!$D$17),"WARN","STOP"))),"")</f>
        <v/>
      </c>
      <c r="R17" s="161">
        <f>IFERROR(ROUND(D17*(1-CHOOSE(MATCH(IF($E17="","Основний",$E17),{"Трафіковий","Основний","Маржинальний","Сезонний","Стратегічний"},0),Settings!$E$78,Settings!$E$80,Settings!$E$82,Settings!$E$84,Settings!$E$86))/6,2)*6,"")</f>
        <v/>
      </c>
      <c r="S17" s="142">
        <f>IFERROR(CHOOSE(MATCH(IF($E17="","Основний",$E17),{"Трафіковий","Основний","Маржинальний","Сезонний","Стратегічний"},0),Settings!$E$78,Settings!$E$80,Settings!$E$82,Settings!$E$84,Settings!$E$86),"")</f>
        <v/>
      </c>
      <c r="T17" s="148">
        <f>IFERROR((R17*(1-Settings!$E$17)-C17)/(R17*(1-Settings!$E$17)),"")</f>
        <v/>
      </c>
      <c r="U17" s="149">
        <f>IFERROR(IF(R17="","",IF(R17&gt;=C17/(1-SKU_Base!AC17)/(1-Settings!$E$17),"OK",IF(R17&gt;=C17/(1-SKU_Base!AJ17)/(1-Settings!$E$17),"WARN","STOP"))),"")</f>
        <v/>
      </c>
      <c r="V17" s="161">
        <f>IFERROR(ROUND(D17*(1-CHOOSE(MATCH(IF($E17="","Основний",$E17),{"Трафіковий","Основний","Маржинальний","Сезонний","Стратегічний"},0),Settings!$F$78,Settings!$F$80,Settings!$F$82,Settings!$F$84,Settings!$F$86))/6,2)*6,"")</f>
        <v/>
      </c>
      <c r="W17" s="142">
        <f>IFERROR(CHOOSE(MATCH(IF($E17="","Основний",$E17),{"Трафіковий","Основний","Маржинальний","Сезонний","Стратегічний"},0),Settings!$F$78,Settings!$F$80,Settings!$F$82,Settings!$F$84,Settings!$F$86),"")</f>
        <v/>
      </c>
      <c r="X17" s="148">
        <f>IFERROR((V17*(1-Settings!$F$17)-C17)/(V17*(1-Settings!$F$17)),"")</f>
        <v/>
      </c>
      <c r="Y17" s="149">
        <f>IFERROR(IF(V17="","",IF(V17&gt;=C17/(1-SKU_Base!AD17)/(1-Settings!$F$17),"OK",IF(V17&gt;=C17/(1-SKU_Base!AK17)/(1-Settings!$F$17),"WARN","STOP"))),"")</f>
        <v/>
      </c>
      <c r="Z17" s="161">
        <f>IFERROR(ROUND(D17*(1-CHOOSE(MATCH(IF($E17="","Основний",$E17),{"Трафіковий","Основний","Маржинальний","Сезонний","Стратегічний"},0),Settings!$G$78,Settings!$G$80,Settings!$G$82,Settings!$G$84,Settings!$G$86))/6,2)*6,"")</f>
        <v/>
      </c>
      <c r="AA17" s="142">
        <f>IFERROR(CHOOSE(MATCH(IF($E17="","Основний",$E17),{"Трафіковий","Основний","Маржинальний","Сезонний","Стратегічний"},0),Settings!$G$78,Settings!$G$80,Settings!$G$82,Settings!$G$84,Settings!$G$86),"")</f>
        <v/>
      </c>
      <c r="AB17" s="148">
        <f>IFERROR((Z17*(1-Settings!$G$17)-C17)/(Z17*(1-Settings!$G$17)),"")</f>
        <v/>
      </c>
      <c r="AC17" s="149">
        <f>IFERROR(IF(Z17="","",IF(Z17&gt;=C17/(1-SKU_Base!AE17)/(1-Settings!$G$17),"OK",IF(Z17&gt;=C17/(1-SKU_Base!AL17)/(1-Settings!$G$17),"WARN","STOP"))),"")</f>
        <v/>
      </c>
      <c r="AD17" s="161">
        <f>IFERROR(ROUND(D17*(1-CHOOSE(MATCH(IF($E17="","Основний",$E17),{"Трафіковий","Основний","Маржинальний","Сезонний","Стратегічний"},0),Settings!$H$78,Settings!$H$80,Settings!$H$82,Settings!$H$84,Settings!$H$86))*(1-Settings!$H$68)/6,2)*6,"")</f>
        <v/>
      </c>
      <c r="AE17" s="142">
        <f>IFERROR(CHOOSE(MATCH(IF($E17="","Основний",$E17),{"Трафіковий","Основний","Маржинальний","Сезонний","Стратегічний"},0),Settings!$H$78,Settings!$H$80,Settings!$H$82,Settings!$H$84,Settings!$H$86)+(1-(CHOOSE(MATCH(IF($E17="","Основний",$E17),{"Трафіковий","Основний","Маржинальний","Сезонний","Стратегічний"},0),Settings!$H$78,Settings!$H$80,Settings!$H$82,Settings!$H$84,Settings!$H$86)))*Settings!$H$68,"")</f>
        <v/>
      </c>
      <c r="AF17" s="148">
        <f>IFERROR((AD17*(1-Settings!$H$17)-C17)/(AD17*(1-Settings!$H$17)),"")</f>
        <v/>
      </c>
      <c r="AG17" s="150">
        <f>IFERROR(IF(AD17="","",IF(AD17&gt;=C17/(1-SKU_Base!AF17)/(1-Settings!$H$17),"OK",IF(AD17&gt;=C17/(1-SKU_Base!AM17)/(1-Settings!$H$17),"WARN","STOP"))),"")</f>
        <v/>
      </c>
    </row>
    <row r="18" ht="17" customHeight="1" s="179">
      <c r="A18" s="139">
        <f>SKU_Base!B18</f>
        <v/>
      </c>
      <c r="B18" s="139">
        <f>SKU_Base!C18</f>
        <v/>
      </c>
      <c r="C18" s="140">
        <f>IFERROR(SKU_Base!I18,"")</f>
        <v/>
      </c>
      <c r="D18" s="163">
        <f>IFERROR(SKU_Base!T18,"")</f>
        <v/>
      </c>
      <c r="E18" s="141">
        <f>IFERROR(SKU_Base!$U18,"")</f>
        <v/>
      </c>
      <c r="F18" s="158">
        <f>IFERROR(ROUND(D18*(1-CHOOSE(MATCH(IF($E18="","Основний",$E18),{"Трафіковий","Основний","Маржинальний","Сезонний","Стратегічний"},0),Settings!$B$78,Settings!$B$80,Settings!$B$82,Settings!$B$84,Settings!$B$86))/6,2)*6,"")</f>
        <v/>
      </c>
      <c r="G18" s="142">
        <f>IFERROR(CHOOSE(MATCH(IF($E18="","Основний",$E18),{"Трафіковий","Основний","Маржинальний","Сезонний","Стратегічний"},0),Settings!$B$78,Settings!$B$80,Settings!$B$82,Settings!$B$84,Settings!$B$86),"")</f>
        <v/>
      </c>
      <c r="H18" s="143">
        <f>IFERROR((F18*(1-Settings!$B$17)-C18)/(F18*(1-Settings!$B$17)),"")</f>
        <v/>
      </c>
      <c r="I18" s="149">
        <f>IFERROR(IF(F18="","",IF(F18&gt;=C18/(1-SKU_Base!Z18)/(1-Settings!$B$17),"OK",IF(F18&gt;=C18/(1-SKU_Base!AG18)/(1-Settings!$B$17),"WARN","STOP"))),"")</f>
        <v/>
      </c>
      <c r="J18" s="158">
        <f>IFERROR(ROUND(D18*(1-CHOOSE(MATCH(IF($E18="","Основний",$E18),{"Трафіковий","Основний","Маржинальний","Сезонний","Стратегічний"},0),Settings!$C$78,Settings!$C$80,Settings!$C$82,Settings!$C$84,Settings!$C$86))/6,2)*6,"")</f>
        <v/>
      </c>
      <c r="K18" s="142">
        <f>IFERROR(CHOOSE(MATCH(IF($E18="","Основний",$E18),{"Трафіковий","Основний","Маржинальний","Сезонний","Стратегічний"},0),Settings!$C$78,Settings!$C$80,Settings!$C$82,Settings!$C$84,Settings!$C$86),"")</f>
        <v/>
      </c>
      <c r="L18" s="143">
        <f>IFERROR((J18*(1-Settings!$C$17)-C18)/(J18*(1-Settings!$C$17)),"")</f>
        <v/>
      </c>
      <c r="M18" s="149">
        <f>IFERROR(IF(J18="","",IF(J18&gt;=C18/(1-SKU_Base!AA18)/(1-Settings!$C$17),"OK",IF(J18&gt;=C18/(1-SKU_Base!AH18)/(1-Settings!$C$17),"WARN","STOP"))),"")</f>
        <v/>
      </c>
      <c r="N18" s="159">
        <f>IFERROR(ROUND(D18*(1-CHOOSE(MATCH(IF($E18="","Основний",$E18),{"Трафіковий","Основний","Маржинальний","Сезонний","Стратегічний"},0),Settings!$D$78,Settings!$D$80,Settings!$D$82,Settings!$D$84,Settings!$D$86))/6,2)*6,"")</f>
        <v/>
      </c>
      <c r="O18" s="142">
        <f>IFERROR(CHOOSE(MATCH(IF($E18="","Основний",$E18),{"Трафіковий","Основний","Маржинальний","Сезонний","Стратегічний"},0),Settings!$D$78,Settings!$D$80,Settings!$D$82,Settings!$D$84,Settings!$D$86),"")</f>
        <v/>
      </c>
      <c r="P18" s="143">
        <f>IFERROR((N18*(1-Settings!$D$17)-C18)/(N18*(1-Settings!$D$17)),"")</f>
        <v/>
      </c>
      <c r="Q18" s="149">
        <f>IFERROR(IF(N18="","",IF(N18&gt;=C18/(1-SKU_Base!AB18)/(1-Settings!$D$17),"OK",IF(N18&gt;=C18/(1-SKU_Base!AI18)/(1-Settings!$D$17),"WARN","STOP"))),"")</f>
        <v/>
      </c>
      <c r="R18" s="159">
        <f>IFERROR(ROUND(D18*(1-CHOOSE(MATCH(IF($E18="","Основний",$E18),{"Трафіковий","Основний","Маржинальний","Сезонний","Стратегічний"},0),Settings!$E$78,Settings!$E$80,Settings!$E$82,Settings!$E$84,Settings!$E$86))/6,2)*6,"")</f>
        <v/>
      </c>
      <c r="S18" s="142">
        <f>IFERROR(CHOOSE(MATCH(IF($E18="","Основний",$E18),{"Трафіковий","Основний","Маржинальний","Сезонний","Стратегічний"},0),Settings!$E$78,Settings!$E$80,Settings!$E$82,Settings!$E$84,Settings!$E$86),"")</f>
        <v/>
      </c>
      <c r="T18" s="143">
        <f>IFERROR((R18*(1-Settings!$E$17)-C18)/(R18*(1-Settings!$E$17)),"")</f>
        <v/>
      </c>
      <c r="U18" s="149">
        <f>IFERROR(IF(R18="","",IF(R18&gt;=C18/(1-SKU_Base!AC18)/(1-Settings!$E$17),"OK",IF(R18&gt;=C18/(1-SKU_Base!AJ18)/(1-Settings!$E$17),"WARN","STOP"))),"")</f>
        <v/>
      </c>
      <c r="V18" s="159">
        <f>IFERROR(ROUND(D18*(1-CHOOSE(MATCH(IF($E18="","Основний",$E18),{"Трафіковий","Основний","Маржинальний","Сезонний","Стратегічний"},0),Settings!$F$78,Settings!$F$80,Settings!$F$82,Settings!$F$84,Settings!$F$86))/6,2)*6,"")</f>
        <v/>
      </c>
      <c r="W18" s="142">
        <f>IFERROR(CHOOSE(MATCH(IF($E18="","Основний",$E18),{"Трафіковий","Основний","Маржинальний","Сезонний","Стратегічний"},0),Settings!$F$78,Settings!$F$80,Settings!$F$82,Settings!$F$84,Settings!$F$86),"")</f>
        <v/>
      </c>
      <c r="X18" s="143">
        <f>IFERROR((V18*(1-Settings!$F$17)-C18)/(V18*(1-Settings!$F$17)),"")</f>
        <v/>
      </c>
      <c r="Y18" s="149">
        <f>IFERROR(IF(V18="","",IF(V18&gt;=C18/(1-SKU_Base!AD18)/(1-Settings!$F$17),"OK",IF(V18&gt;=C18/(1-SKU_Base!AK18)/(1-Settings!$F$17),"WARN","STOP"))),"")</f>
        <v/>
      </c>
      <c r="Z18" s="159">
        <f>IFERROR(ROUND(D18*(1-CHOOSE(MATCH(IF($E18="","Основний",$E18),{"Трафіковий","Основний","Маржинальний","Сезонний","Стратегічний"},0),Settings!$G$78,Settings!$G$80,Settings!$G$82,Settings!$G$84,Settings!$G$86))/6,2)*6,"")</f>
        <v/>
      </c>
      <c r="AA18" s="142">
        <f>IFERROR(CHOOSE(MATCH(IF($E18="","Основний",$E18),{"Трафіковий","Основний","Маржинальний","Сезонний","Стратегічний"},0),Settings!$G$78,Settings!$G$80,Settings!$G$82,Settings!$G$84,Settings!$G$86),"")</f>
        <v/>
      </c>
      <c r="AB18" s="143">
        <f>IFERROR((Z18*(1-Settings!$G$17)-C18)/(Z18*(1-Settings!$G$17)),"")</f>
        <v/>
      </c>
      <c r="AC18" s="149">
        <f>IFERROR(IF(Z18="","",IF(Z18&gt;=C18/(1-SKU_Base!AE18)/(1-Settings!$G$17),"OK",IF(Z18&gt;=C18/(1-SKU_Base!AL18)/(1-Settings!$G$17),"WARN","STOP"))),"")</f>
        <v/>
      </c>
      <c r="AD18" s="159">
        <f>IFERROR(ROUND(D18*(1-CHOOSE(MATCH(IF($E18="","Основний",$E18),{"Трафіковий","Основний","Маржинальний","Сезонний","Стратегічний"},0),Settings!$H$78,Settings!$H$80,Settings!$H$82,Settings!$H$84,Settings!$H$86))*(1-Settings!$H$68)/6,2)*6,"")</f>
        <v/>
      </c>
      <c r="AE18" s="142">
        <f>IFERROR(CHOOSE(MATCH(IF($E18="","Основний",$E18),{"Трафіковий","Основний","Маржинальний","Сезонний","Стратегічний"},0),Settings!$H$78,Settings!$H$80,Settings!$H$82,Settings!$H$84,Settings!$H$86)+(1-(CHOOSE(MATCH(IF($E18="","Основний",$E18),{"Трафіковий","Основний","Маржинальний","Сезонний","Стратегічний"},0),Settings!$H$78,Settings!$H$80,Settings!$H$82,Settings!$H$84,Settings!$H$86)))*Settings!$H$68,"")</f>
        <v/>
      </c>
      <c r="AF18" s="143">
        <f>IFERROR((AD18*(1-Settings!$H$17)-C18)/(AD18*(1-Settings!$H$17)),"")</f>
        <v/>
      </c>
      <c r="AG18" s="150">
        <f>IFERROR(IF(AD18="","",IF(AD18&gt;=C18/(1-SKU_Base!AF18)/(1-Settings!$H$17),"OK",IF(AD18&gt;=C18/(1-SKU_Base!AM18)/(1-Settings!$H$17),"WARN","STOP"))),"")</f>
        <v/>
      </c>
    </row>
    <row r="19" ht="17" customHeight="1" s="179">
      <c r="A19" s="146">
        <f>SKU_Base!B19</f>
        <v/>
      </c>
      <c r="B19" s="146">
        <f>SKU_Base!C19</f>
        <v/>
      </c>
      <c r="C19" s="147">
        <f>IFERROR(SKU_Base!I19,"")</f>
        <v/>
      </c>
      <c r="D19" s="164">
        <f>IFERROR(SKU_Base!T19,"")</f>
        <v/>
      </c>
      <c r="E19" s="141">
        <f>IFERROR(SKU_Base!$U19,"")</f>
        <v/>
      </c>
      <c r="F19" s="160">
        <f>IFERROR(ROUND(D19*(1-CHOOSE(MATCH(IF($E19="","Основний",$E19),{"Трафіковий","Основний","Маржинальний","Сезонний","Стратегічний"},0),Settings!$B$78,Settings!$B$80,Settings!$B$82,Settings!$B$84,Settings!$B$86))/6,2)*6,"")</f>
        <v/>
      </c>
      <c r="G19" s="142">
        <f>IFERROR(CHOOSE(MATCH(IF($E19="","Основний",$E19),{"Трафіковий","Основний","Маржинальний","Сезонний","Стратегічний"},0),Settings!$B$78,Settings!$B$80,Settings!$B$82,Settings!$B$84,Settings!$B$86),"")</f>
        <v/>
      </c>
      <c r="H19" s="148">
        <f>IFERROR((F19*(1-Settings!$B$17)-C19)/(F19*(1-Settings!$B$17)),"")</f>
        <v/>
      </c>
      <c r="I19" s="149">
        <f>IFERROR(IF(F19="","",IF(F19&gt;=C19/(1-SKU_Base!Z19)/(1-Settings!$B$17),"OK",IF(F19&gt;=C19/(1-SKU_Base!AG19)/(1-Settings!$B$17),"WARN","STOP"))),"")</f>
        <v/>
      </c>
      <c r="J19" s="160">
        <f>IFERROR(ROUND(D19*(1-CHOOSE(MATCH(IF($E19="","Основний",$E19),{"Трафіковий","Основний","Маржинальний","Сезонний","Стратегічний"},0),Settings!$C$78,Settings!$C$80,Settings!$C$82,Settings!$C$84,Settings!$C$86))/6,2)*6,"")</f>
        <v/>
      </c>
      <c r="K19" s="142">
        <f>IFERROR(CHOOSE(MATCH(IF($E19="","Основний",$E19),{"Трафіковий","Основний","Маржинальний","Сезонний","Стратегічний"},0),Settings!$C$78,Settings!$C$80,Settings!$C$82,Settings!$C$84,Settings!$C$86),"")</f>
        <v/>
      </c>
      <c r="L19" s="148">
        <f>IFERROR((J19*(1-Settings!$C$17)-C19)/(J19*(1-Settings!$C$17)),"")</f>
        <v/>
      </c>
      <c r="M19" s="149">
        <f>IFERROR(IF(J19="","",IF(J19&gt;=C19/(1-SKU_Base!AA19)/(1-Settings!$C$17),"OK",IF(J19&gt;=C19/(1-SKU_Base!AH19)/(1-Settings!$C$17),"WARN","STOP"))),"")</f>
        <v/>
      </c>
      <c r="N19" s="161">
        <f>IFERROR(ROUND(D19*(1-CHOOSE(MATCH(IF($E19="","Основний",$E19),{"Трафіковий","Основний","Маржинальний","Сезонний","Стратегічний"},0),Settings!$D$78,Settings!$D$80,Settings!$D$82,Settings!$D$84,Settings!$D$86))/6,2)*6,"")</f>
        <v/>
      </c>
      <c r="O19" s="142">
        <f>IFERROR(CHOOSE(MATCH(IF($E19="","Основний",$E19),{"Трафіковий","Основний","Маржинальний","Сезонний","Стратегічний"},0),Settings!$D$78,Settings!$D$80,Settings!$D$82,Settings!$D$84,Settings!$D$86),"")</f>
        <v/>
      </c>
      <c r="P19" s="148">
        <f>IFERROR((N19*(1-Settings!$D$17)-C19)/(N19*(1-Settings!$D$17)),"")</f>
        <v/>
      </c>
      <c r="Q19" s="149">
        <f>IFERROR(IF(N19="","",IF(N19&gt;=C19/(1-SKU_Base!AB19)/(1-Settings!$D$17),"OK",IF(N19&gt;=C19/(1-SKU_Base!AI19)/(1-Settings!$D$17),"WARN","STOP"))),"")</f>
        <v/>
      </c>
      <c r="R19" s="161">
        <f>IFERROR(ROUND(D19*(1-CHOOSE(MATCH(IF($E19="","Основний",$E19),{"Трафіковий","Основний","Маржинальний","Сезонний","Стратегічний"},0),Settings!$E$78,Settings!$E$80,Settings!$E$82,Settings!$E$84,Settings!$E$86))/6,2)*6,"")</f>
        <v/>
      </c>
      <c r="S19" s="142">
        <f>IFERROR(CHOOSE(MATCH(IF($E19="","Основний",$E19),{"Трафіковий","Основний","Маржинальний","Сезонний","Стратегічний"},0),Settings!$E$78,Settings!$E$80,Settings!$E$82,Settings!$E$84,Settings!$E$86),"")</f>
        <v/>
      </c>
      <c r="T19" s="148">
        <f>IFERROR((R19*(1-Settings!$E$17)-C19)/(R19*(1-Settings!$E$17)),"")</f>
        <v/>
      </c>
      <c r="U19" s="149">
        <f>IFERROR(IF(R19="","",IF(R19&gt;=C19/(1-SKU_Base!AC19)/(1-Settings!$E$17),"OK",IF(R19&gt;=C19/(1-SKU_Base!AJ19)/(1-Settings!$E$17),"WARN","STOP"))),"")</f>
        <v/>
      </c>
      <c r="V19" s="161">
        <f>IFERROR(ROUND(D19*(1-CHOOSE(MATCH(IF($E19="","Основний",$E19),{"Трафіковий","Основний","Маржинальний","Сезонний","Стратегічний"},0),Settings!$F$78,Settings!$F$80,Settings!$F$82,Settings!$F$84,Settings!$F$86))/6,2)*6,"")</f>
        <v/>
      </c>
      <c r="W19" s="142">
        <f>IFERROR(CHOOSE(MATCH(IF($E19="","Основний",$E19),{"Трафіковий","Основний","Маржинальний","Сезонний","Стратегічний"},0),Settings!$F$78,Settings!$F$80,Settings!$F$82,Settings!$F$84,Settings!$F$86),"")</f>
        <v/>
      </c>
      <c r="X19" s="148">
        <f>IFERROR((V19*(1-Settings!$F$17)-C19)/(V19*(1-Settings!$F$17)),"")</f>
        <v/>
      </c>
      <c r="Y19" s="149">
        <f>IFERROR(IF(V19="","",IF(V19&gt;=C19/(1-SKU_Base!AD19)/(1-Settings!$F$17),"OK",IF(V19&gt;=C19/(1-SKU_Base!AK19)/(1-Settings!$F$17),"WARN","STOP"))),"")</f>
        <v/>
      </c>
      <c r="Z19" s="161">
        <f>IFERROR(ROUND(D19*(1-CHOOSE(MATCH(IF($E19="","Основний",$E19),{"Трафіковий","Основний","Маржинальний","Сезонний","Стратегічний"},0),Settings!$G$78,Settings!$G$80,Settings!$G$82,Settings!$G$84,Settings!$G$86))/6,2)*6,"")</f>
        <v/>
      </c>
      <c r="AA19" s="142">
        <f>IFERROR(CHOOSE(MATCH(IF($E19="","Основний",$E19),{"Трафіковий","Основний","Маржинальний","Сезонний","Стратегічний"},0),Settings!$G$78,Settings!$G$80,Settings!$G$82,Settings!$G$84,Settings!$G$86),"")</f>
        <v/>
      </c>
      <c r="AB19" s="148">
        <f>IFERROR((Z19*(1-Settings!$G$17)-C19)/(Z19*(1-Settings!$G$17)),"")</f>
        <v/>
      </c>
      <c r="AC19" s="149">
        <f>IFERROR(IF(Z19="","",IF(Z19&gt;=C19/(1-SKU_Base!AE19)/(1-Settings!$G$17),"OK",IF(Z19&gt;=C19/(1-SKU_Base!AL19)/(1-Settings!$G$17),"WARN","STOP"))),"")</f>
        <v/>
      </c>
      <c r="AD19" s="161">
        <f>IFERROR(ROUND(D19*(1-CHOOSE(MATCH(IF($E19="","Основний",$E19),{"Трафіковий","Основний","Маржинальний","Сезонний","Стратегічний"},0),Settings!$H$78,Settings!$H$80,Settings!$H$82,Settings!$H$84,Settings!$H$86))*(1-Settings!$H$68)/6,2)*6,"")</f>
        <v/>
      </c>
      <c r="AE19" s="142">
        <f>IFERROR(CHOOSE(MATCH(IF($E19="","Основний",$E19),{"Трафіковий","Основний","Маржинальний","Сезонний","Стратегічний"},0),Settings!$H$78,Settings!$H$80,Settings!$H$82,Settings!$H$84,Settings!$H$86)+(1-(CHOOSE(MATCH(IF($E19="","Основний",$E19),{"Трафіковий","Основний","Маржинальний","Сезонний","Стратегічний"},0),Settings!$H$78,Settings!$H$80,Settings!$H$82,Settings!$H$84,Settings!$H$86)))*Settings!$H$68,"")</f>
        <v/>
      </c>
      <c r="AF19" s="148">
        <f>IFERROR((AD19*(1-Settings!$H$17)-C19)/(AD19*(1-Settings!$H$17)),"")</f>
        <v/>
      </c>
      <c r="AG19" s="150">
        <f>IFERROR(IF(AD19="","",IF(AD19&gt;=C19/(1-SKU_Base!AF19)/(1-Settings!$H$17),"OK",IF(AD19&gt;=C19/(1-SKU_Base!AM19)/(1-Settings!$H$17),"WARN","STOP"))),"")</f>
        <v/>
      </c>
    </row>
    <row r="20" ht="17" customHeight="1" s="179">
      <c r="A20" s="139">
        <f>SKU_Base!B20</f>
        <v/>
      </c>
      <c r="B20" s="139">
        <f>SKU_Base!C20</f>
        <v/>
      </c>
      <c r="C20" s="140">
        <f>IFERROR(SKU_Base!I20,"")</f>
        <v/>
      </c>
      <c r="D20" s="163">
        <f>IFERROR(SKU_Base!T20,"")</f>
        <v/>
      </c>
      <c r="E20" s="141">
        <f>IFERROR(SKU_Base!$U20,"")</f>
        <v/>
      </c>
      <c r="F20" s="158">
        <f>IFERROR(ROUND(D20*(1-CHOOSE(MATCH(IF($E20="","Основний",$E20),{"Трафіковий","Основний","Маржинальний","Сезонний","Стратегічний"},0),Settings!$B$78,Settings!$B$80,Settings!$B$82,Settings!$B$84,Settings!$B$86))/6,2)*6,"")</f>
        <v/>
      </c>
      <c r="G20" s="142">
        <f>IFERROR(CHOOSE(MATCH(IF($E20="","Основний",$E20),{"Трафіковий","Основний","Маржинальний","Сезонний","Стратегічний"},0),Settings!$B$78,Settings!$B$80,Settings!$B$82,Settings!$B$84,Settings!$B$86),"")</f>
        <v/>
      </c>
      <c r="H20" s="143">
        <f>IFERROR((F20*(1-Settings!$B$17)-C20)/(F20*(1-Settings!$B$17)),"")</f>
        <v/>
      </c>
      <c r="I20" s="149">
        <f>IFERROR(IF(F20="","",IF(F20&gt;=C20/(1-SKU_Base!Z20)/(1-Settings!$B$17),"OK",IF(F20&gt;=C20/(1-SKU_Base!AG20)/(1-Settings!$B$17),"WARN","STOP"))),"")</f>
        <v/>
      </c>
      <c r="J20" s="158">
        <f>IFERROR(ROUND(D20*(1-CHOOSE(MATCH(IF($E20="","Основний",$E20),{"Трафіковий","Основний","Маржинальний","Сезонний","Стратегічний"},0),Settings!$C$78,Settings!$C$80,Settings!$C$82,Settings!$C$84,Settings!$C$86))/6,2)*6,"")</f>
        <v/>
      </c>
      <c r="K20" s="142">
        <f>IFERROR(CHOOSE(MATCH(IF($E20="","Основний",$E20),{"Трафіковий","Основний","Маржинальний","Сезонний","Стратегічний"},0),Settings!$C$78,Settings!$C$80,Settings!$C$82,Settings!$C$84,Settings!$C$86),"")</f>
        <v/>
      </c>
      <c r="L20" s="143">
        <f>IFERROR((J20*(1-Settings!$C$17)-C20)/(J20*(1-Settings!$C$17)),"")</f>
        <v/>
      </c>
      <c r="M20" s="149">
        <f>IFERROR(IF(J20="","",IF(J20&gt;=C20/(1-SKU_Base!AA20)/(1-Settings!$C$17),"OK",IF(J20&gt;=C20/(1-SKU_Base!AH20)/(1-Settings!$C$17),"WARN","STOP"))),"")</f>
        <v/>
      </c>
      <c r="N20" s="159">
        <f>IFERROR(ROUND(D20*(1-CHOOSE(MATCH(IF($E20="","Основний",$E20),{"Трафіковий","Основний","Маржинальний","Сезонний","Стратегічний"},0),Settings!$D$78,Settings!$D$80,Settings!$D$82,Settings!$D$84,Settings!$D$86))/6,2)*6,"")</f>
        <v/>
      </c>
      <c r="O20" s="142">
        <f>IFERROR(CHOOSE(MATCH(IF($E20="","Основний",$E20),{"Трафіковий","Основний","Маржинальний","Сезонний","Стратегічний"},0),Settings!$D$78,Settings!$D$80,Settings!$D$82,Settings!$D$84,Settings!$D$86),"")</f>
        <v/>
      </c>
      <c r="P20" s="143">
        <f>IFERROR((N20*(1-Settings!$D$17)-C20)/(N20*(1-Settings!$D$17)),"")</f>
        <v/>
      </c>
      <c r="Q20" s="149">
        <f>IFERROR(IF(N20="","",IF(N20&gt;=C20/(1-SKU_Base!AB20)/(1-Settings!$D$17),"OK",IF(N20&gt;=C20/(1-SKU_Base!AI20)/(1-Settings!$D$17),"WARN","STOP"))),"")</f>
        <v/>
      </c>
      <c r="R20" s="159">
        <f>IFERROR(ROUND(D20*(1-CHOOSE(MATCH(IF($E20="","Основний",$E20),{"Трафіковий","Основний","Маржинальний","Сезонний","Стратегічний"},0),Settings!$E$78,Settings!$E$80,Settings!$E$82,Settings!$E$84,Settings!$E$86))/6,2)*6,"")</f>
        <v/>
      </c>
      <c r="S20" s="142">
        <f>IFERROR(CHOOSE(MATCH(IF($E20="","Основний",$E20),{"Трафіковий","Основний","Маржинальний","Сезонний","Стратегічний"},0),Settings!$E$78,Settings!$E$80,Settings!$E$82,Settings!$E$84,Settings!$E$86),"")</f>
        <v/>
      </c>
      <c r="T20" s="143">
        <f>IFERROR((R20*(1-Settings!$E$17)-C20)/(R20*(1-Settings!$E$17)),"")</f>
        <v/>
      </c>
      <c r="U20" s="149">
        <f>IFERROR(IF(R20="","",IF(R20&gt;=C20/(1-SKU_Base!AC20)/(1-Settings!$E$17),"OK",IF(R20&gt;=C20/(1-SKU_Base!AJ20)/(1-Settings!$E$17),"WARN","STOP"))),"")</f>
        <v/>
      </c>
      <c r="V20" s="159">
        <f>IFERROR(ROUND(D20*(1-CHOOSE(MATCH(IF($E20="","Основний",$E20),{"Трафіковий","Основний","Маржинальний","Сезонний","Стратегічний"},0),Settings!$F$78,Settings!$F$80,Settings!$F$82,Settings!$F$84,Settings!$F$86))/6,2)*6,"")</f>
        <v/>
      </c>
      <c r="W20" s="142">
        <f>IFERROR(CHOOSE(MATCH(IF($E20="","Основний",$E20),{"Трафіковий","Основний","Маржинальний","Сезонний","Стратегічний"},0),Settings!$F$78,Settings!$F$80,Settings!$F$82,Settings!$F$84,Settings!$F$86),"")</f>
        <v/>
      </c>
      <c r="X20" s="143">
        <f>IFERROR((V20*(1-Settings!$F$17)-C20)/(V20*(1-Settings!$F$17)),"")</f>
        <v/>
      </c>
      <c r="Y20" s="149">
        <f>IFERROR(IF(V20="","",IF(V20&gt;=C20/(1-SKU_Base!AD20)/(1-Settings!$F$17),"OK",IF(V20&gt;=C20/(1-SKU_Base!AK20)/(1-Settings!$F$17),"WARN","STOP"))),"")</f>
        <v/>
      </c>
      <c r="Z20" s="159">
        <f>IFERROR(ROUND(D20*(1-CHOOSE(MATCH(IF($E20="","Основний",$E20),{"Трафіковий","Основний","Маржинальний","Сезонний","Стратегічний"},0),Settings!$G$78,Settings!$G$80,Settings!$G$82,Settings!$G$84,Settings!$G$86))/6,2)*6,"")</f>
        <v/>
      </c>
      <c r="AA20" s="142">
        <f>IFERROR(CHOOSE(MATCH(IF($E20="","Основний",$E20),{"Трафіковий","Основний","Маржинальний","Сезонний","Стратегічний"},0),Settings!$G$78,Settings!$G$80,Settings!$G$82,Settings!$G$84,Settings!$G$86),"")</f>
        <v/>
      </c>
      <c r="AB20" s="143">
        <f>IFERROR((Z20*(1-Settings!$G$17)-C20)/(Z20*(1-Settings!$G$17)),"")</f>
        <v/>
      </c>
      <c r="AC20" s="149">
        <f>IFERROR(IF(Z20="","",IF(Z20&gt;=C20/(1-SKU_Base!AE20)/(1-Settings!$G$17),"OK",IF(Z20&gt;=C20/(1-SKU_Base!AL20)/(1-Settings!$G$17),"WARN","STOP"))),"")</f>
        <v/>
      </c>
      <c r="AD20" s="159">
        <f>IFERROR(ROUND(D20*(1-CHOOSE(MATCH(IF($E20="","Основний",$E20),{"Трафіковий","Основний","Маржинальний","Сезонний","Стратегічний"},0),Settings!$H$78,Settings!$H$80,Settings!$H$82,Settings!$H$84,Settings!$H$86))*(1-Settings!$H$68)/6,2)*6,"")</f>
        <v/>
      </c>
      <c r="AE20" s="142">
        <f>IFERROR(CHOOSE(MATCH(IF($E20="","Основний",$E20),{"Трафіковий","Основний","Маржинальний","Сезонний","Стратегічний"},0),Settings!$H$78,Settings!$H$80,Settings!$H$82,Settings!$H$84,Settings!$H$86)+(1-(CHOOSE(MATCH(IF($E20="","Основний",$E20),{"Трафіковий","Основний","Маржинальний","Сезонний","Стратегічний"},0),Settings!$H$78,Settings!$H$80,Settings!$H$82,Settings!$H$84,Settings!$H$86)))*Settings!$H$68,"")</f>
        <v/>
      </c>
      <c r="AF20" s="143">
        <f>IFERROR((AD20*(1-Settings!$H$17)-C20)/(AD20*(1-Settings!$H$17)),"")</f>
        <v/>
      </c>
      <c r="AG20" s="150">
        <f>IFERROR(IF(AD20="","",IF(AD20&gt;=C20/(1-SKU_Base!AF20)/(1-Settings!$H$17),"OK",IF(AD20&gt;=C20/(1-SKU_Base!AM20)/(1-Settings!$H$17),"WARN","STOP"))),"")</f>
        <v/>
      </c>
    </row>
    <row r="21" ht="17" customHeight="1" s="179">
      <c r="A21" s="146">
        <f>SKU_Base!B21</f>
        <v/>
      </c>
      <c r="B21" s="146">
        <f>SKU_Base!C21</f>
        <v/>
      </c>
      <c r="C21" s="147">
        <f>IFERROR(SKU_Base!I21,"")</f>
        <v/>
      </c>
      <c r="D21" s="164">
        <f>IFERROR(SKU_Base!T21,"")</f>
        <v/>
      </c>
      <c r="E21" s="141">
        <f>IFERROR(SKU_Base!$U21,"")</f>
        <v/>
      </c>
      <c r="F21" s="160">
        <f>IFERROR(ROUND(D21*(1-CHOOSE(MATCH(IF($E21="","Основний",$E21),{"Трафіковий","Основний","Маржинальний","Сезонний","Стратегічний"},0),Settings!$B$78,Settings!$B$80,Settings!$B$82,Settings!$B$84,Settings!$B$86))/6,2)*6,"")</f>
        <v/>
      </c>
      <c r="G21" s="142">
        <f>IFERROR(CHOOSE(MATCH(IF($E21="","Основний",$E21),{"Трафіковий","Основний","Маржинальний","Сезонний","Стратегічний"},0),Settings!$B$78,Settings!$B$80,Settings!$B$82,Settings!$B$84,Settings!$B$86),"")</f>
        <v/>
      </c>
      <c r="H21" s="148">
        <f>IFERROR((F21*(1-Settings!$B$17)-C21)/(F21*(1-Settings!$B$17)),"")</f>
        <v/>
      </c>
      <c r="I21" s="149">
        <f>IFERROR(IF(F21="","",IF(F21&gt;=C21/(1-SKU_Base!Z21)/(1-Settings!$B$17),"OK",IF(F21&gt;=C21/(1-SKU_Base!AG21)/(1-Settings!$B$17),"WARN","STOP"))),"")</f>
        <v/>
      </c>
      <c r="J21" s="160">
        <f>IFERROR(ROUND(D21*(1-CHOOSE(MATCH(IF($E21="","Основний",$E21),{"Трафіковий","Основний","Маржинальний","Сезонний","Стратегічний"},0),Settings!$C$78,Settings!$C$80,Settings!$C$82,Settings!$C$84,Settings!$C$86))/6,2)*6,"")</f>
        <v/>
      </c>
      <c r="K21" s="142">
        <f>IFERROR(CHOOSE(MATCH(IF($E21="","Основний",$E21),{"Трафіковий","Основний","Маржинальний","Сезонний","Стратегічний"},0),Settings!$C$78,Settings!$C$80,Settings!$C$82,Settings!$C$84,Settings!$C$86),"")</f>
        <v/>
      </c>
      <c r="L21" s="148">
        <f>IFERROR((J21*(1-Settings!$C$17)-C21)/(J21*(1-Settings!$C$17)),"")</f>
        <v/>
      </c>
      <c r="M21" s="149">
        <f>IFERROR(IF(J21="","",IF(J21&gt;=C21/(1-SKU_Base!AA21)/(1-Settings!$C$17),"OK",IF(J21&gt;=C21/(1-SKU_Base!AH21)/(1-Settings!$C$17),"WARN","STOP"))),"")</f>
        <v/>
      </c>
      <c r="N21" s="161">
        <f>IFERROR(ROUND(D21*(1-CHOOSE(MATCH(IF($E21="","Основний",$E21),{"Трафіковий","Основний","Маржинальний","Сезонний","Стратегічний"},0),Settings!$D$78,Settings!$D$80,Settings!$D$82,Settings!$D$84,Settings!$D$86))/6,2)*6,"")</f>
        <v/>
      </c>
      <c r="O21" s="142">
        <f>IFERROR(CHOOSE(MATCH(IF($E21="","Основний",$E21),{"Трафіковий","Основний","Маржинальний","Сезонний","Стратегічний"},0),Settings!$D$78,Settings!$D$80,Settings!$D$82,Settings!$D$84,Settings!$D$86),"")</f>
        <v/>
      </c>
      <c r="P21" s="148">
        <f>IFERROR((N21*(1-Settings!$D$17)-C21)/(N21*(1-Settings!$D$17)),"")</f>
        <v/>
      </c>
      <c r="Q21" s="149">
        <f>IFERROR(IF(N21="","",IF(N21&gt;=C21/(1-SKU_Base!AB21)/(1-Settings!$D$17),"OK",IF(N21&gt;=C21/(1-SKU_Base!AI21)/(1-Settings!$D$17),"WARN","STOP"))),"")</f>
        <v/>
      </c>
      <c r="R21" s="161">
        <f>IFERROR(ROUND(D21*(1-CHOOSE(MATCH(IF($E21="","Основний",$E21),{"Трафіковий","Основний","Маржинальний","Сезонний","Стратегічний"},0),Settings!$E$78,Settings!$E$80,Settings!$E$82,Settings!$E$84,Settings!$E$86))/6,2)*6,"")</f>
        <v/>
      </c>
      <c r="S21" s="142">
        <f>IFERROR(CHOOSE(MATCH(IF($E21="","Основний",$E21),{"Трафіковий","Основний","Маржинальний","Сезонний","Стратегічний"},0),Settings!$E$78,Settings!$E$80,Settings!$E$82,Settings!$E$84,Settings!$E$86),"")</f>
        <v/>
      </c>
      <c r="T21" s="148">
        <f>IFERROR((R21*(1-Settings!$E$17)-C21)/(R21*(1-Settings!$E$17)),"")</f>
        <v/>
      </c>
      <c r="U21" s="149">
        <f>IFERROR(IF(R21="","",IF(R21&gt;=C21/(1-SKU_Base!AC21)/(1-Settings!$E$17),"OK",IF(R21&gt;=C21/(1-SKU_Base!AJ21)/(1-Settings!$E$17),"WARN","STOP"))),"")</f>
        <v/>
      </c>
      <c r="V21" s="161">
        <f>IFERROR(ROUND(D21*(1-CHOOSE(MATCH(IF($E21="","Основний",$E21),{"Трафіковий","Основний","Маржинальний","Сезонний","Стратегічний"},0),Settings!$F$78,Settings!$F$80,Settings!$F$82,Settings!$F$84,Settings!$F$86))/6,2)*6,"")</f>
        <v/>
      </c>
      <c r="W21" s="142">
        <f>IFERROR(CHOOSE(MATCH(IF($E21="","Основний",$E21),{"Трафіковий","Основний","Маржинальний","Сезонний","Стратегічний"},0),Settings!$F$78,Settings!$F$80,Settings!$F$82,Settings!$F$84,Settings!$F$86),"")</f>
        <v/>
      </c>
      <c r="X21" s="148">
        <f>IFERROR((V21*(1-Settings!$F$17)-C21)/(V21*(1-Settings!$F$17)),"")</f>
        <v/>
      </c>
      <c r="Y21" s="149">
        <f>IFERROR(IF(V21="","",IF(V21&gt;=C21/(1-SKU_Base!AD21)/(1-Settings!$F$17),"OK",IF(V21&gt;=C21/(1-SKU_Base!AK21)/(1-Settings!$F$17),"WARN","STOP"))),"")</f>
        <v/>
      </c>
      <c r="Z21" s="161">
        <f>IFERROR(ROUND(D21*(1-CHOOSE(MATCH(IF($E21="","Основний",$E21),{"Трафіковий","Основний","Маржинальний","Сезонний","Стратегічний"},0),Settings!$G$78,Settings!$G$80,Settings!$G$82,Settings!$G$84,Settings!$G$86))/6,2)*6,"")</f>
        <v/>
      </c>
      <c r="AA21" s="142">
        <f>IFERROR(CHOOSE(MATCH(IF($E21="","Основний",$E21),{"Трафіковий","Основний","Маржинальний","Сезонний","Стратегічний"},0),Settings!$G$78,Settings!$G$80,Settings!$G$82,Settings!$G$84,Settings!$G$86),"")</f>
        <v/>
      </c>
      <c r="AB21" s="148">
        <f>IFERROR((Z21*(1-Settings!$G$17)-C21)/(Z21*(1-Settings!$G$17)),"")</f>
        <v/>
      </c>
      <c r="AC21" s="149">
        <f>IFERROR(IF(Z21="","",IF(Z21&gt;=C21/(1-SKU_Base!AE21)/(1-Settings!$G$17),"OK",IF(Z21&gt;=C21/(1-SKU_Base!AL21)/(1-Settings!$G$17),"WARN","STOP"))),"")</f>
        <v/>
      </c>
      <c r="AD21" s="161">
        <f>IFERROR(ROUND(D21*(1-CHOOSE(MATCH(IF($E21="","Основний",$E21),{"Трафіковий","Основний","Маржинальний","Сезонний","Стратегічний"},0),Settings!$H$78,Settings!$H$80,Settings!$H$82,Settings!$H$84,Settings!$H$86))*(1-Settings!$H$68)/6,2)*6,"")</f>
        <v/>
      </c>
      <c r="AE21" s="142">
        <f>IFERROR(CHOOSE(MATCH(IF($E21="","Основний",$E21),{"Трафіковий","Основний","Маржинальний","Сезонний","Стратегічний"},0),Settings!$H$78,Settings!$H$80,Settings!$H$82,Settings!$H$84,Settings!$H$86)+(1-(CHOOSE(MATCH(IF($E21="","Основний",$E21),{"Трафіковий","Основний","Маржинальний","Сезонний","Стратегічний"},0),Settings!$H$78,Settings!$H$80,Settings!$H$82,Settings!$H$84,Settings!$H$86)))*Settings!$H$68,"")</f>
        <v/>
      </c>
      <c r="AF21" s="148">
        <f>IFERROR((AD21*(1-Settings!$H$17)-C21)/(AD21*(1-Settings!$H$17)),"")</f>
        <v/>
      </c>
      <c r="AG21" s="150">
        <f>IFERROR(IF(AD21="","",IF(AD21&gt;=C21/(1-SKU_Base!AF21)/(1-Settings!$H$17),"OK",IF(AD21&gt;=C21/(1-SKU_Base!AM21)/(1-Settings!$H$17),"WARN","STOP"))),"")</f>
        <v/>
      </c>
    </row>
    <row r="22" ht="17" customHeight="1" s="179">
      <c r="A22" s="139">
        <f>SKU_Base!B22</f>
        <v/>
      </c>
      <c r="B22" s="139">
        <f>SKU_Base!C22</f>
        <v/>
      </c>
      <c r="C22" s="140">
        <f>IFERROR(SKU_Base!I22,"")</f>
        <v/>
      </c>
      <c r="D22" s="163">
        <f>IFERROR(SKU_Base!T22,"")</f>
        <v/>
      </c>
      <c r="E22" s="141">
        <f>IFERROR(SKU_Base!$U22,"")</f>
        <v/>
      </c>
      <c r="F22" s="158">
        <f>IFERROR(ROUND(D22*(1-CHOOSE(MATCH(IF($E22="","Основний",$E22),{"Трафіковий","Основний","Маржинальний","Сезонний","Стратегічний"},0),Settings!$B$78,Settings!$B$80,Settings!$B$82,Settings!$B$84,Settings!$B$86))/6,2)*6,"")</f>
        <v/>
      </c>
      <c r="G22" s="142">
        <f>IFERROR(CHOOSE(MATCH(IF($E22="","Основний",$E22),{"Трафіковий","Основний","Маржинальний","Сезонний","Стратегічний"},0),Settings!$B$78,Settings!$B$80,Settings!$B$82,Settings!$B$84,Settings!$B$86),"")</f>
        <v/>
      </c>
      <c r="H22" s="143">
        <f>IFERROR((F22*(1-Settings!$B$17)-C22)/(F22*(1-Settings!$B$17)),"")</f>
        <v/>
      </c>
      <c r="I22" s="150">
        <f>IFERROR(IF(F22="","",IF(F22&gt;=C22/(1-SKU_Base!Z22)/(1-Settings!$B$17),"OK",IF(F22&gt;=C22/(1-SKU_Base!AG22)/(1-Settings!$B$17),"WARN","STOP"))),"")</f>
        <v/>
      </c>
      <c r="J22" s="158">
        <f>IFERROR(ROUND(D22*(1-CHOOSE(MATCH(IF($E22="","Основний",$E22),{"Трафіковий","Основний","Маржинальний","Сезонний","Стратегічний"},0),Settings!$C$78,Settings!$C$80,Settings!$C$82,Settings!$C$84,Settings!$C$86))/6,2)*6,"")</f>
        <v/>
      </c>
      <c r="K22" s="142">
        <f>IFERROR(CHOOSE(MATCH(IF($E22="","Основний",$E22),{"Трафіковий","Основний","Маржинальний","Сезонний","Стратегічний"},0),Settings!$C$78,Settings!$C$80,Settings!$C$82,Settings!$C$84,Settings!$C$86),"")</f>
        <v/>
      </c>
      <c r="L22" s="143">
        <f>IFERROR((J22*(1-Settings!$C$17)-C22)/(J22*(1-Settings!$C$17)),"")</f>
        <v/>
      </c>
      <c r="M22" s="149">
        <f>IFERROR(IF(J22="","",IF(J22&gt;=C22/(1-SKU_Base!AA22)/(1-Settings!$C$17),"OK",IF(J22&gt;=C22/(1-SKU_Base!AH22)/(1-Settings!$C$17),"WARN","STOP"))),"")</f>
        <v/>
      </c>
      <c r="N22" s="159">
        <f>IFERROR(ROUND(D22*(1-CHOOSE(MATCH(IF($E22="","Основний",$E22),{"Трафіковий","Основний","Маржинальний","Сезонний","Стратегічний"},0),Settings!$D$78,Settings!$D$80,Settings!$D$82,Settings!$D$84,Settings!$D$86))/6,2)*6,"")</f>
        <v/>
      </c>
      <c r="O22" s="142">
        <f>IFERROR(CHOOSE(MATCH(IF($E22="","Основний",$E22),{"Трафіковий","Основний","Маржинальний","Сезонний","Стратегічний"},0),Settings!$D$78,Settings!$D$80,Settings!$D$82,Settings!$D$84,Settings!$D$86),"")</f>
        <v/>
      </c>
      <c r="P22" s="143">
        <f>IFERROR((N22*(1-Settings!$D$17)-C22)/(N22*(1-Settings!$D$17)),"")</f>
        <v/>
      </c>
      <c r="Q22" s="149">
        <f>IFERROR(IF(N22="","",IF(N22&gt;=C22/(1-SKU_Base!AB22)/(1-Settings!$D$17),"OK",IF(N22&gt;=C22/(1-SKU_Base!AI22)/(1-Settings!$D$17),"WARN","STOP"))),"")</f>
        <v/>
      </c>
      <c r="R22" s="159">
        <f>IFERROR(ROUND(D22*(1-CHOOSE(MATCH(IF($E22="","Основний",$E22),{"Трафіковий","Основний","Маржинальний","Сезонний","Стратегічний"},0),Settings!$E$78,Settings!$E$80,Settings!$E$82,Settings!$E$84,Settings!$E$86))/6,2)*6,"")</f>
        <v/>
      </c>
      <c r="S22" s="142">
        <f>IFERROR(CHOOSE(MATCH(IF($E22="","Основний",$E22),{"Трафіковий","Основний","Маржинальний","Сезонний","Стратегічний"},0),Settings!$E$78,Settings!$E$80,Settings!$E$82,Settings!$E$84,Settings!$E$86),"")</f>
        <v/>
      </c>
      <c r="T22" s="143">
        <f>IFERROR((R22*(1-Settings!$E$17)-C22)/(R22*(1-Settings!$E$17)),"")</f>
        <v/>
      </c>
      <c r="U22" s="149">
        <f>IFERROR(IF(R22="","",IF(R22&gt;=C22/(1-SKU_Base!AC22)/(1-Settings!$E$17),"OK",IF(R22&gt;=C22/(1-SKU_Base!AJ22)/(1-Settings!$E$17),"WARN","STOP"))),"")</f>
        <v/>
      </c>
      <c r="V22" s="159">
        <f>IFERROR(ROUND(D22*(1-CHOOSE(MATCH(IF($E22="","Основний",$E22),{"Трафіковий","Основний","Маржинальний","Сезонний","Стратегічний"},0),Settings!$F$78,Settings!$F$80,Settings!$F$82,Settings!$F$84,Settings!$F$86))/6,2)*6,"")</f>
        <v/>
      </c>
      <c r="W22" s="142">
        <f>IFERROR(CHOOSE(MATCH(IF($E22="","Основний",$E22),{"Трафіковий","Основний","Маржинальний","Сезонний","Стратегічний"},0),Settings!$F$78,Settings!$F$80,Settings!$F$82,Settings!$F$84,Settings!$F$86),"")</f>
        <v/>
      </c>
      <c r="X22" s="143">
        <f>IFERROR((V22*(1-Settings!$F$17)-C22)/(V22*(1-Settings!$F$17)),"")</f>
        <v/>
      </c>
      <c r="Y22" s="149">
        <f>IFERROR(IF(V22="","",IF(V22&gt;=C22/(1-SKU_Base!AD22)/(1-Settings!$F$17),"OK",IF(V22&gt;=C22/(1-SKU_Base!AK22)/(1-Settings!$F$17),"WARN","STOP"))),"")</f>
        <v/>
      </c>
      <c r="Z22" s="159">
        <f>IFERROR(ROUND(D22*(1-CHOOSE(MATCH(IF($E22="","Основний",$E22),{"Трафіковий","Основний","Маржинальний","Сезонний","Стратегічний"},0),Settings!$G$78,Settings!$G$80,Settings!$G$82,Settings!$G$84,Settings!$G$86))/6,2)*6,"")</f>
        <v/>
      </c>
      <c r="AA22" s="142">
        <f>IFERROR(CHOOSE(MATCH(IF($E22="","Основний",$E22),{"Трафіковий","Основний","Маржинальний","Сезонний","Стратегічний"},0),Settings!$G$78,Settings!$G$80,Settings!$G$82,Settings!$G$84,Settings!$G$86),"")</f>
        <v/>
      </c>
      <c r="AB22" s="143">
        <f>IFERROR((Z22*(1-Settings!$G$17)-C22)/(Z22*(1-Settings!$G$17)),"")</f>
        <v/>
      </c>
      <c r="AC22" s="149">
        <f>IFERROR(IF(Z22="","",IF(Z22&gt;=C22/(1-SKU_Base!AE22)/(1-Settings!$G$17),"OK",IF(Z22&gt;=C22/(1-SKU_Base!AL22)/(1-Settings!$G$17),"WARN","STOP"))),"")</f>
        <v/>
      </c>
      <c r="AD22" s="159">
        <f>IFERROR(ROUND(D22*(1-CHOOSE(MATCH(IF($E22="","Основний",$E22),{"Трафіковий","Основний","Маржинальний","Сезонний","Стратегічний"},0),Settings!$H$78,Settings!$H$80,Settings!$H$82,Settings!$H$84,Settings!$H$86))*(1-Settings!$H$68)/6,2)*6,"")</f>
        <v/>
      </c>
      <c r="AE22" s="142">
        <f>IFERROR(CHOOSE(MATCH(IF($E22="","Основний",$E22),{"Трафіковий","Основний","Маржинальний","Сезонний","Стратегічний"},0),Settings!$H$78,Settings!$H$80,Settings!$H$82,Settings!$H$84,Settings!$H$86)+(1-(CHOOSE(MATCH(IF($E22="","Основний",$E22),{"Трафіковий","Основний","Маржинальний","Сезонний","Стратегічний"},0),Settings!$H$78,Settings!$H$80,Settings!$H$82,Settings!$H$84,Settings!$H$86)))*Settings!$H$68,"")</f>
        <v/>
      </c>
      <c r="AF22" s="143">
        <f>IFERROR((AD22*(1-Settings!$H$17)-C22)/(AD22*(1-Settings!$H$17)),"")</f>
        <v/>
      </c>
      <c r="AG22" s="150">
        <f>IFERROR(IF(AD22="","",IF(AD22&gt;=C22/(1-SKU_Base!AF22)/(1-Settings!$H$17),"OK",IF(AD22&gt;=C22/(1-SKU_Base!AM22)/(1-Settings!$H$17),"WARN","STOP"))),"")</f>
        <v/>
      </c>
    </row>
    <row r="23" ht="17" customHeight="1" s="179">
      <c r="A23" s="146">
        <f>SKU_Base!B23</f>
        <v/>
      </c>
      <c r="B23" s="146">
        <f>SKU_Base!C23</f>
        <v/>
      </c>
      <c r="C23" s="147">
        <f>IFERROR(SKU_Base!I23,"")</f>
        <v/>
      </c>
      <c r="D23" s="164">
        <f>IFERROR(SKU_Base!T23,"")</f>
        <v/>
      </c>
      <c r="E23" s="141">
        <f>IFERROR(SKU_Base!$U23,"")</f>
        <v/>
      </c>
      <c r="F23" s="160">
        <f>IFERROR(ROUND(D23*(1-CHOOSE(MATCH(IF($E23="","Основний",$E23),{"Трафіковий","Основний","Маржинальний","Сезонний","Стратегічний"},0),Settings!$B$78,Settings!$B$80,Settings!$B$82,Settings!$B$84,Settings!$B$86))/6,2)*6,"")</f>
        <v/>
      </c>
      <c r="G23" s="142">
        <f>IFERROR(CHOOSE(MATCH(IF($E23="","Основний",$E23),{"Трафіковий","Основний","Маржинальний","Сезонний","Стратегічний"},0),Settings!$B$78,Settings!$B$80,Settings!$B$82,Settings!$B$84,Settings!$B$86),"")</f>
        <v/>
      </c>
      <c r="H23" s="148">
        <f>IFERROR((F23*(1-Settings!$B$17)-C23)/(F23*(1-Settings!$B$17)),"")</f>
        <v/>
      </c>
      <c r="I23" s="150">
        <f>IFERROR(IF(F23="","",IF(F23&gt;=C23/(1-SKU_Base!Z23)/(1-Settings!$B$17),"OK",IF(F23&gt;=C23/(1-SKU_Base!AG23)/(1-Settings!$B$17),"WARN","STOP"))),"")</f>
        <v/>
      </c>
      <c r="J23" s="160">
        <f>IFERROR(ROUND(D23*(1-CHOOSE(MATCH(IF($E23="","Основний",$E23),{"Трафіковий","Основний","Маржинальний","Сезонний","Стратегічний"},0),Settings!$C$78,Settings!$C$80,Settings!$C$82,Settings!$C$84,Settings!$C$86))/6,2)*6,"")</f>
        <v/>
      </c>
      <c r="K23" s="142">
        <f>IFERROR(CHOOSE(MATCH(IF($E23="","Основний",$E23),{"Трафіковий","Основний","Маржинальний","Сезонний","Стратегічний"},0),Settings!$C$78,Settings!$C$80,Settings!$C$82,Settings!$C$84,Settings!$C$86),"")</f>
        <v/>
      </c>
      <c r="L23" s="148">
        <f>IFERROR((J23*(1-Settings!$C$17)-C23)/(J23*(1-Settings!$C$17)),"")</f>
        <v/>
      </c>
      <c r="M23" s="149">
        <f>IFERROR(IF(J23="","",IF(J23&gt;=C23/(1-SKU_Base!AA23)/(1-Settings!$C$17),"OK",IF(J23&gt;=C23/(1-SKU_Base!AH23)/(1-Settings!$C$17),"WARN","STOP"))),"")</f>
        <v/>
      </c>
      <c r="N23" s="161">
        <f>IFERROR(ROUND(D23*(1-CHOOSE(MATCH(IF($E23="","Основний",$E23),{"Трафіковий","Основний","Маржинальний","Сезонний","Стратегічний"},0),Settings!$D$78,Settings!$D$80,Settings!$D$82,Settings!$D$84,Settings!$D$86))/6,2)*6,"")</f>
        <v/>
      </c>
      <c r="O23" s="142">
        <f>IFERROR(CHOOSE(MATCH(IF($E23="","Основний",$E23),{"Трафіковий","Основний","Маржинальний","Сезонний","Стратегічний"},0),Settings!$D$78,Settings!$D$80,Settings!$D$82,Settings!$D$84,Settings!$D$86),"")</f>
        <v/>
      </c>
      <c r="P23" s="148">
        <f>IFERROR((N23*(1-Settings!$D$17)-C23)/(N23*(1-Settings!$D$17)),"")</f>
        <v/>
      </c>
      <c r="Q23" s="149">
        <f>IFERROR(IF(N23="","",IF(N23&gt;=C23/(1-SKU_Base!AB23)/(1-Settings!$D$17),"OK",IF(N23&gt;=C23/(1-SKU_Base!AI23)/(1-Settings!$D$17),"WARN","STOP"))),"")</f>
        <v/>
      </c>
      <c r="R23" s="161">
        <f>IFERROR(ROUND(D23*(1-CHOOSE(MATCH(IF($E23="","Основний",$E23),{"Трафіковий","Основний","Маржинальний","Сезонний","Стратегічний"},0),Settings!$E$78,Settings!$E$80,Settings!$E$82,Settings!$E$84,Settings!$E$86))/6,2)*6,"")</f>
        <v/>
      </c>
      <c r="S23" s="142">
        <f>IFERROR(CHOOSE(MATCH(IF($E23="","Основний",$E23),{"Трафіковий","Основний","Маржинальний","Сезонний","Стратегічний"},0),Settings!$E$78,Settings!$E$80,Settings!$E$82,Settings!$E$84,Settings!$E$86),"")</f>
        <v/>
      </c>
      <c r="T23" s="148">
        <f>IFERROR((R23*(1-Settings!$E$17)-C23)/(R23*(1-Settings!$E$17)),"")</f>
        <v/>
      </c>
      <c r="U23" s="149">
        <f>IFERROR(IF(R23="","",IF(R23&gt;=C23/(1-SKU_Base!AC23)/(1-Settings!$E$17),"OK",IF(R23&gt;=C23/(1-SKU_Base!AJ23)/(1-Settings!$E$17),"WARN","STOP"))),"")</f>
        <v/>
      </c>
      <c r="V23" s="161">
        <f>IFERROR(ROUND(D23*(1-CHOOSE(MATCH(IF($E23="","Основний",$E23),{"Трафіковий","Основний","Маржинальний","Сезонний","Стратегічний"},0),Settings!$F$78,Settings!$F$80,Settings!$F$82,Settings!$F$84,Settings!$F$86))/6,2)*6,"")</f>
        <v/>
      </c>
      <c r="W23" s="142">
        <f>IFERROR(CHOOSE(MATCH(IF($E23="","Основний",$E23),{"Трафіковий","Основний","Маржинальний","Сезонний","Стратегічний"},0),Settings!$F$78,Settings!$F$80,Settings!$F$82,Settings!$F$84,Settings!$F$86),"")</f>
        <v/>
      </c>
      <c r="X23" s="148">
        <f>IFERROR((V23*(1-Settings!$F$17)-C23)/(V23*(1-Settings!$F$17)),"")</f>
        <v/>
      </c>
      <c r="Y23" s="149">
        <f>IFERROR(IF(V23="","",IF(V23&gt;=C23/(1-SKU_Base!AD23)/(1-Settings!$F$17),"OK",IF(V23&gt;=C23/(1-SKU_Base!AK23)/(1-Settings!$F$17),"WARN","STOP"))),"")</f>
        <v/>
      </c>
      <c r="Z23" s="161">
        <f>IFERROR(ROUND(D23*(1-CHOOSE(MATCH(IF($E23="","Основний",$E23),{"Трафіковий","Основний","Маржинальний","Сезонний","Стратегічний"},0),Settings!$G$78,Settings!$G$80,Settings!$G$82,Settings!$G$84,Settings!$G$86))/6,2)*6,"")</f>
        <v/>
      </c>
      <c r="AA23" s="142">
        <f>IFERROR(CHOOSE(MATCH(IF($E23="","Основний",$E23),{"Трафіковий","Основний","Маржинальний","Сезонний","Стратегічний"},0),Settings!$G$78,Settings!$G$80,Settings!$G$82,Settings!$G$84,Settings!$G$86),"")</f>
        <v/>
      </c>
      <c r="AB23" s="148">
        <f>IFERROR((Z23*(1-Settings!$G$17)-C23)/(Z23*(1-Settings!$G$17)),"")</f>
        <v/>
      </c>
      <c r="AC23" s="149">
        <f>IFERROR(IF(Z23="","",IF(Z23&gt;=C23/(1-SKU_Base!AE23)/(1-Settings!$G$17),"OK",IF(Z23&gt;=C23/(1-SKU_Base!AL23)/(1-Settings!$G$17),"WARN","STOP"))),"")</f>
        <v/>
      </c>
      <c r="AD23" s="161">
        <f>IFERROR(ROUND(D23*(1-CHOOSE(MATCH(IF($E23="","Основний",$E23),{"Трафіковий","Основний","Маржинальний","Сезонний","Стратегічний"},0),Settings!$H$78,Settings!$H$80,Settings!$H$82,Settings!$H$84,Settings!$H$86))*(1-Settings!$H$68)/6,2)*6,"")</f>
        <v/>
      </c>
      <c r="AE23" s="142">
        <f>IFERROR(CHOOSE(MATCH(IF($E23="","Основний",$E23),{"Трафіковий","Основний","Маржинальний","Сезонний","Стратегічний"},0),Settings!$H$78,Settings!$H$80,Settings!$H$82,Settings!$H$84,Settings!$H$86)+(1-(CHOOSE(MATCH(IF($E23="","Основний",$E23),{"Трафіковий","Основний","Маржинальний","Сезонний","Стратегічний"},0),Settings!$H$78,Settings!$H$80,Settings!$H$82,Settings!$H$84,Settings!$H$86)))*Settings!$H$68,"")</f>
        <v/>
      </c>
      <c r="AF23" s="148">
        <f>IFERROR((AD23*(1-Settings!$H$17)-C23)/(AD23*(1-Settings!$H$17)),"")</f>
        <v/>
      </c>
      <c r="AG23" s="150">
        <f>IFERROR(IF(AD23="","",IF(AD23&gt;=C23/(1-SKU_Base!AF23)/(1-Settings!$H$17),"OK",IF(AD23&gt;=C23/(1-SKU_Base!AM23)/(1-Settings!$H$17),"WARN","STOP"))),"")</f>
        <v/>
      </c>
    </row>
    <row r="24" ht="17" customHeight="1" s="179">
      <c r="A24" s="139">
        <f>SKU_Base!B24</f>
        <v/>
      </c>
      <c r="B24" s="139">
        <f>SKU_Base!C24</f>
        <v/>
      </c>
      <c r="C24" s="140">
        <f>IFERROR(SKU_Base!I24,"")</f>
        <v/>
      </c>
      <c r="D24" s="163">
        <f>IFERROR(SKU_Base!T24,"")</f>
        <v/>
      </c>
      <c r="E24" s="141">
        <f>IFERROR(SKU_Base!$U24,"")</f>
        <v/>
      </c>
      <c r="F24" s="158">
        <f>IFERROR(ROUND(D24*(1-CHOOSE(MATCH(IF($E24="","Основний",$E24),{"Трафіковий","Основний","Маржинальний","Сезонний","Стратегічний"},0),Settings!$B$78,Settings!$B$80,Settings!$B$82,Settings!$B$84,Settings!$B$86))/6,2)*6,"")</f>
        <v/>
      </c>
      <c r="G24" s="142">
        <f>IFERROR(CHOOSE(MATCH(IF($E24="","Основний",$E24),{"Трафіковий","Основний","Маржинальний","Сезонний","Стратегічний"},0),Settings!$B$78,Settings!$B$80,Settings!$B$82,Settings!$B$84,Settings!$B$86),"")</f>
        <v/>
      </c>
      <c r="H24" s="143">
        <f>IFERROR((F24*(1-Settings!$B$17)-C24)/(F24*(1-Settings!$B$17)),"")</f>
        <v/>
      </c>
      <c r="I24" s="149">
        <f>IFERROR(IF(F24="","",IF(F24&gt;=C24/(1-SKU_Base!Z24)/(1-Settings!$B$17),"OK",IF(F24&gt;=C24/(1-SKU_Base!AG24)/(1-Settings!$B$17),"WARN","STOP"))),"")</f>
        <v/>
      </c>
      <c r="J24" s="158">
        <f>IFERROR(ROUND(D24*(1-CHOOSE(MATCH(IF($E24="","Основний",$E24),{"Трафіковий","Основний","Маржинальний","Сезонний","Стратегічний"},0),Settings!$C$78,Settings!$C$80,Settings!$C$82,Settings!$C$84,Settings!$C$86))/6,2)*6,"")</f>
        <v/>
      </c>
      <c r="K24" s="142">
        <f>IFERROR(CHOOSE(MATCH(IF($E24="","Основний",$E24),{"Трафіковий","Основний","Маржинальний","Сезонний","Стратегічний"},0),Settings!$C$78,Settings!$C$80,Settings!$C$82,Settings!$C$84,Settings!$C$86),"")</f>
        <v/>
      </c>
      <c r="L24" s="143">
        <f>IFERROR((J24*(1-Settings!$C$17)-C24)/(J24*(1-Settings!$C$17)),"")</f>
        <v/>
      </c>
      <c r="M24" s="149">
        <f>IFERROR(IF(J24="","",IF(J24&gt;=C24/(1-SKU_Base!AA24)/(1-Settings!$C$17),"OK",IF(J24&gt;=C24/(1-SKU_Base!AH24)/(1-Settings!$C$17),"WARN","STOP"))),"")</f>
        <v/>
      </c>
      <c r="N24" s="159">
        <f>IFERROR(ROUND(D24*(1-CHOOSE(MATCH(IF($E24="","Основний",$E24),{"Трафіковий","Основний","Маржинальний","Сезонний","Стратегічний"},0),Settings!$D$78,Settings!$D$80,Settings!$D$82,Settings!$D$84,Settings!$D$86))/6,2)*6,"")</f>
        <v/>
      </c>
      <c r="O24" s="142">
        <f>IFERROR(CHOOSE(MATCH(IF($E24="","Основний",$E24),{"Трафіковий","Основний","Маржинальний","Сезонний","Стратегічний"},0),Settings!$D$78,Settings!$D$80,Settings!$D$82,Settings!$D$84,Settings!$D$86),"")</f>
        <v/>
      </c>
      <c r="P24" s="143">
        <f>IFERROR((N24*(1-Settings!$D$17)-C24)/(N24*(1-Settings!$D$17)),"")</f>
        <v/>
      </c>
      <c r="Q24" s="149">
        <f>IFERROR(IF(N24="","",IF(N24&gt;=C24/(1-SKU_Base!AB24)/(1-Settings!$D$17),"OK",IF(N24&gt;=C24/(1-SKU_Base!AI24)/(1-Settings!$D$17),"WARN","STOP"))),"")</f>
        <v/>
      </c>
      <c r="R24" s="159">
        <f>IFERROR(ROUND(D24*(1-CHOOSE(MATCH(IF($E24="","Основний",$E24),{"Трафіковий","Основний","Маржинальний","Сезонний","Стратегічний"},0),Settings!$E$78,Settings!$E$80,Settings!$E$82,Settings!$E$84,Settings!$E$86))/6,2)*6,"")</f>
        <v/>
      </c>
      <c r="S24" s="142">
        <f>IFERROR(CHOOSE(MATCH(IF($E24="","Основний",$E24),{"Трафіковий","Основний","Маржинальний","Сезонний","Стратегічний"},0),Settings!$E$78,Settings!$E$80,Settings!$E$82,Settings!$E$84,Settings!$E$86),"")</f>
        <v/>
      </c>
      <c r="T24" s="143">
        <f>IFERROR((R24*(1-Settings!$E$17)-C24)/(R24*(1-Settings!$E$17)),"")</f>
        <v/>
      </c>
      <c r="U24" s="149">
        <f>IFERROR(IF(R24="","",IF(R24&gt;=C24/(1-SKU_Base!AC24)/(1-Settings!$E$17),"OK",IF(R24&gt;=C24/(1-SKU_Base!AJ24)/(1-Settings!$E$17),"WARN","STOP"))),"")</f>
        <v/>
      </c>
      <c r="V24" s="159">
        <f>IFERROR(ROUND(D24*(1-CHOOSE(MATCH(IF($E24="","Основний",$E24),{"Трафіковий","Основний","Маржинальний","Сезонний","Стратегічний"},0),Settings!$F$78,Settings!$F$80,Settings!$F$82,Settings!$F$84,Settings!$F$86))/6,2)*6,"")</f>
        <v/>
      </c>
      <c r="W24" s="142">
        <f>IFERROR(CHOOSE(MATCH(IF($E24="","Основний",$E24),{"Трафіковий","Основний","Маржинальний","Сезонний","Стратегічний"},0),Settings!$F$78,Settings!$F$80,Settings!$F$82,Settings!$F$84,Settings!$F$86),"")</f>
        <v/>
      </c>
      <c r="X24" s="143">
        <f>IFERROR((V24*(1-Settings!$F$17)-C24)/(V24*(1-Settings!$F$17)),"")</f>
        <v/>
      </c>
      <c r="Y24" s="149">
        <f>IFERROR(IF(V24="","",IF(V24&gt;=C24/(1-SKU_Base!AD24)/(1-Settings!$F$17),"OK",IF(V24&gt;=C24/(1-SKU_Base!AK24)/(1-Settings!$F$17),"WARN","STOP"))),"")</f>
        <v/>
      </c>
      <c r="Z24" s="159">
        <f>IFERROR(ROUND(D24*(1-CHOOSE(MATCH(IF($E24="","Основний",$E24),{"Трафіковий","Основний","Маржинальний","Сезонний","Стратегічний"},0),Settings!$G$78,Settings!$G$80,Settings!$G$82,Settings!$G$84,Settings!$G$86))/6,2)*6,"")</f>
        <v/>
      </c>
      <c r="AA24" s="142">
        <f>IFERROR(CHOOSE(MATCH(IF($E24="","Основний",$E24),{"Трафіковий","Основний","Маржинальний","Сезонний","Стратегічний"},0),Settings!$G$78,Settings!$G$80,Settings!$G$82,Settings!$G$84,Settings!$G$86),"")</f>
        <v/>
      </c>
      <c r="AB24" s="143">
        <f>IFERROR((Z24*(1-Settings!$G$17)-C24)/(Z24*(1-Settings!$G$17)),"")</f>
        <v/>
      </c>
      <c r="AC24" s="149">
        <f>IFERROR(IF(Z24="","",IF(Z24&gt;=C24/(1-SKU_Base!AE24)/(1-Settings!$G$17),"OK",IF(Z24&gt;=C24/(1-SKU_Base!AL24)/(1-Settings!$G$17),"WARN","STOP"))),"")</f>
        <v/>
      </c>
      <c r="AD24" s="159">
        <f>IFERROR(ROUND(D24*(1-CHOOSE(MATCH(IF($E24="","Основний",$E24),{"Трафіковий","Основний","Маржинальний","Сезонний","Стратегічний"},0),Settings!$H$78,Settings!$H$80,Settings!$H$82,Settings!$H$84,Settings!$H$86))*(1-Settings!$H$68)/6,2)*6,"")</f>
        <v/>
      </c>
      <c r="AE24" s="142">
        <f>IFERROR(CHOOSE(MATCH(IF($E24="","Основний",$E24),{"Трафіковий","Основний","Маржинальний","Сезонний","Стратегічний"},0),Settings!$H$78,Settings!$H$80,Settings!$H$82,Settings!$H$84,Settings!$H$86)+(1-(CHOOSE(MATCH(IF($E24="","Основний",$E24),{"Трафіковий","Основний","Маржинальний","Сезонний","Стратегічний"},0),Settings!$H$78,Settings!$H$80,Settings!$H$82,Settings!$H$84,Settings!$H$86)))*Settings!$H$68,"")</f>
        <v/>
      </c>
      <c r="AF24" s="143">
        <f>IFERROR((AD24*(1-Settings!$H$17)-C24)/(AD24*(1-Settings!$H$17)),"")</f>
        <v/>
      </c>
      <c r="AG24" s="150">
        <f>IFERROR(IF(AD24="","",IF(AD24&gt;=C24/(1-SKU_Base!AF24)/(1-Settings!$H$17),"OK",IF(AD24&gt;=C24/(1-SKU_Base!AM24)/(1-Settings!$H$17),"WARN","STOP"))),"")</f>
        <v/>
      </c>
    </row>
    <row r="25" ht="17" customHeight="1" s="179">
      <c r="A25" s="146">
        <f>SKU_Base!B25</f>
        <v/>
      </c>
      <c r="B25" s="146">
        <f>SKU_Base!C25</f>
        <v/>
      </c>
      <c r="C25" s="147">
        <f>IFERROR(SKU_Base!I25,"")</f>
        <v/>
      </c>
      <c r="D25" s="164">
        <f>IFERROR(SKU_Base!T25,"")</f>
        <v/>
      </c>
      <c r="E25" s="141">
        <f>IFERROR(SKU_Base!$U25,"")</f>
        <v/>
      </c>
      <c r="F25" s="160">
        <f>IFERROR(ROUND(D25*(1-CHOOSE(MATCH(IF($E25="","Основний",$E25),{"Трафіковий","Основний","Маржинальний","Сезонний","Стратегічний"},0),Settings!$B$78,Settings!$B$80,Settings!$B$82,Settings!$B$84,Settings!$B$86))/6,2)*6,"")</f>
        <v/>
      </c>
      <c r="G25" s="142">
        <f>IFERROR(CHOOSE(MATCH(IF($E25="","Основний",$E25),{"Трафіковий","Основний","Маржинальний","Сезонний","Стратегічний"},0),Settings!$B$78,Settings!$B$80,Settings!$B$82,Settings!$B$84,Settings!$B$86),"")</f>
        <v/>
      </c>
      <c r="H25" s="148">
        <f>IFERROR((F25*(1-Settings!$B$17)-C25)/(F25*(1-Settings!$B$17)),"")</f>
        <v/>
      </c>
      <c r="I25" s="149">
        <f>IFERROR(IF(F25="","",IF(F25&gt;=C25/(1-SKU_Base!Z25)/(1-Settings!$B$17),"OK",IF(F25&gt;=C25/(1-SKU_Base!AG25)/(1-Settings!$B$17),"WARN","STOP"))),"")</f>
        <v/>
      </c>
      <c r="J25" s="160">
        <f>IFERROR(ROUND(D25*(1-CHOOSE(MATCH(IF($E25="","Основний",$E25),{"Трафіковий","Основний","Маржинальний","Сезонний","Стратегічний"},0),Settings!$C$78,Settings!$C$80,Settings!$C$82,Settings!$C$84,Settings!$C$86))/6,2)*6,"")</f>
        <v/>
      </c>
      <c r="K25" s="142">
        <f>IFERROR(CHOOSE(MATCH(IF($E25="","Основний",$E25),{"Трафіковий","Основний","Маржинальний","Сезонний","Стратегічний"},0),Settings!$C$78,Settings!$C$80,Settings!$C$82,Settings!$C$84,Settings!$C$86),"")</f>
        <v/>
      </c>
      <c r="L25" s="148">
        <f>IFERROR((J25*(1-Settings!$C$17)-C25)/(J25*(1-Settings!$C$17)),"")</f>
        <v/>
      </c>
      <c r="M25" s="149">
        <f>IFERROR(IF(J25="","",IF(J25&gt;=C25/(1-SKU_Base!AA25)/(1-Settings!$C$17),"OK",IF(J25&gt;=C25/(1-SKU_Base!AH25)/(1-Settings!$C$17),"WARN","STOP"))),"")</f>
        <v/>
      </c>
      <c r="N25" s="161">
        <f>IFERROR(ROUND(D25*(1-CHOOSE(MATCH(IF($E25="","Основний",$E25),{"Трафіковий","Основний","Маржинальний","Сезонний","Стратегічний"},0),Settings!$D$78,Settings!$D$80,Settings!$D$82,Settings!$D$84,Settings!$D$86))/6,2)*6,"")</f>
        <v/>
      </c>
      <c r="O25" s="142">
        <f>IFERROR(CHOOSE(MATCH(IF($E25="","Основний",$E25),{"Трафіковий","Основний","Маржинальний","Сезонний","Стратегічний"},0),Settings!$D$78,Settings!$D$80,Settings!$D$82,Settings!$D$84,Settings!$D$86),"")</f>
        <v/>
      </c>
      <c r="P25" s="148">
        <f>IFERROR((N25*(1-Settings!$D$17)-C25)/(N25*(1-Settings!$D$17)),"")</f>
        <v/>
      </c>
      <c r="Q25" s="149">
        <f>IFERROR(IF(N25="","",IF(N25&gt;=C25/(1-SKU_Base!AB25)/(1-Settings!$D$17),"OK",IF(N25&gt;=C25/(1-SKU_Base!AI25)/(1-Settings!$D$17),"WARN","STOP"))),"")</f>
        <v/>
      </c>
      <c r="R25" s="161">
        <f>IFERROR(ROUND(D25*(1-CHOOSE(MATCH(IF($E25="","Основний",$E25),{"Трафіковий","Основний","Маржинальний","Сезонний","Стратегічний"},0),Settings!$E$78,Settings!$E$80,Settings!$E$82,Settings!$E$84,Settings!$E$86))/6,2)*6,"")</f>
        <v/>
      </c>
      <c r="S25" s="142">
        <f>IFERROR(CHOOSE(MATCH(IF($E25="","Основний",$E25),{"Трафіковий","Основний","Маржинальний","Сезонний","Стратегічний"},0),Settings!$E$78,Settings!$E$80,Settings!$E$82,Settings!$E$84,Settings!$E$86),"")</f>
        <v/>
      </c>
      <c r="T25" s="148">
        <f>IFERROR((R25*(1-Settings!$E$17)-C25)/(R25*(1-Settings!$E$17)),"")</f>
        <v/>
      </c>
      <c r="U25" s="149">
        <f>IFERROR(IF(R25="","",IF(R25&gt;=C25/(1-SKU_Base!AC25)/(1-Settings!$E$17),"OK",IF(R25&gt;=C25/(1-SKU_Base!AJ25)/(1-Settings!$E$17),"WARN","STOP"))),"")</f>
        <v/>
      </c>
      <c r="V25" s="161">
        <f>IFERROR(ROUND(D25*(1-CHOOSE(MATCH(IF($E25="","Основний",$E25),{"Трафіковий","Основний","Маржинальний","Сезонний","Стратегічний"},0),Settings!$F$78,Settings!$F$80,Settings!$F$82,Settings!$F$84,Settings!$F$86))/6,2)*6,"")</f>
        <v/>
      </c>
      <c r="W25" s="142">
        <f>IFERROR(CHOOSE(MATCH(IF($E25="","Основний",$E25),{"Трафіковий","Основний","Маржинальний","Сезонний","Стратегічний"},0),Settings!$F$78,Settings!$F$80,Settings!$F$82,Settings!$F$84,Settings!$F$86),"")</f>
        <v/>
      </c>
      <c r="X25" s="148">
        <f>IFERROR((V25*(1-Settings!$F$17)-C25)/(V25*(1-Settings!$F$17)),"")</f>
        <v/>
      </c>
      <c r="Y25" s="149">
        <f>IFERROR(IF(V25="","",IF(V25&gt;=C25/(1-SKU_Base!AD25)/(1-Settings!$F$17),"OK",IF(V25&gt;=C25/(1-SKU_Base!AK25)/(1-Settings!$F$17),"WARN","STOP"))),"")</f>
        <v/>
      </c>
      <c r="Z25" s="161">
        <f>IFERROR(ROUND(D25*(1-CHOOSE(MATCH(IF($E25="","Основний",$E25),{"Трафіковий","Основний","Маржинальний","Сезонний","Стратегічний"},0),Settings!$G$78,Settings!$G$80,Settings!$G$82,Settings!$G$84,Settings!$G$86))/6,2)*6,"")</f>
        <v/>
      </c>
      <c r="AA25" s="142">
        <f>IFERROR(CHOOSE(MATCH(IF($E25="","Основний",$E25),{"Трафіковий","Основний","Маржинальний","Сезонний","Стратегічний"},0),Settings!$G$78,Settings!$G$80,Settings!$G$82,Settings!$G$84,Settings!$G$86),"")</f>
        <v/>
      </c>
      <c r="AB25" s="148">
        <f>IFERROR((Z25*(1-Settings!$G$17)-C25)/(Z25*(1-Settings!$G$17)),"")</f>
        <v/>
      </c>
      <c r="AC25" s="149">
        <f>IFERROR(IF(Z25="","",IF(Z25&gt;=C25/(1-SKU_Base!AE25)/(1-Settings!$G$17),"OK",IF(Z25&gt;=C25/(1-SKU_Base!AL25)/(1-Settings!$G$17),"WARN","STOP"))),"")</f>
        <v/>
      </c>
      <c r="AD25" s="161">
        <f>IFERROR(ROUND(D25*(1-CHOOSE(MATCH(IF($E25="","Основний",$E25),{"Трафіковий","Основний","Маржинальний","Сезонний","Стратегічний"},0),Settings!$H$78,Settings!$H$80,Settings!$H$82,Settings!$H$84,Settings!$H$86))*(1-Settings!$H$68)/6,2)*6,"")</f>
        <v/>
      </c>
      <c r="AE25" s="142">
        <f>IFERROR(CHOOSE(MATCH(IF($E25="","Основний",$E25),{"Трафіковий","Основний","Маржинальний","Сезонний","Стратегічний"},0),Settings!$H$78,Settings!$H$80,Settings!$H$82,Settings!$H$84,Settings!$H$86)+(1-(CHOOSE(MATCH(IF($E25="","Основний",$E25),{"Трафіковий","Основний","Маржинальний","Сезонний","Стратегічний"},0),Settings!$H$78,Settings!$H$80,Settings!$H$82,Settings!$H$84,Settings!$H$86)))*Settings!$H$68,"")</f>
        <v/>
      </c>
      <c r="AF25" s="148">
        <f>IFERROR((AD25*(1-Settings!$H$17)-C25)/(AD25*(1-Settings!$H$17)),"")</f>
        <v/>
      </c>
      <c r="AG25" s="150">
        <f>IFERROR(IF(AD25="","",IF(AD25&gt;=C25/(1-SKU_Base!AF25)/(1-Settings!$H$17),"OK",IF(AD25&gt;=C25/(1-SKU_Base!AM25)/(1-Settings!$H$17),"WARN","STOP"))),"")</f>
        <v/>
      </c>
    </row>
    <row r="26" ht="17" customHeight="1" s="179">
      <c r="A26" s="139">
        <f>SKU_Base!B26</f>
        <v/>
      </c>
      <c r="B26" s="139">
        <f>SKU_Base!C26</f>
        <v/>
      </c>
      <c r="C26" s="140">
        <f>IFERROR(SKU_Base!I26,"")</f>
        <v/>
      </c>
      <c r="D26" s="163">
        <f>IFERROR(SKU_Base!T26,"")</f>
        <v/>
      </c>
      <c r="E26" s="141">
        <f>IFERROR(SKU_Base!$U26,"")</f>
        <v/>
      </c>
      <c r="F26" s="158">
        <f>IFERROR(ROUND(D26*(1-CHOOSE(MATCH(IF($E26="","Основний",$E26),{"Трафіковий","Основний","Маржинальний","Сезонний","Стратегічний"},0),Settings!$B$78,Settings!$B$80,Settings!$B$82,Settings!$B$84,Settings!$B$86))/6,2)*6,"")</f>
        <v/>
      </c>
      <c r="G26" s="142">
        <f>IFERROR(CHOOSE(MATCH(IF($E26="","Основний",$E26),{"Трафіковий","Основний","Маржинальний","Сезонний","Стратегічний"},0),Settings!$B$78,Settings!$B$80,Settings!$B$82,Settings!$B$84,Settings!$B$86),"")</f>
        <v/>
      </c>
      <c r="H26" s="143">
        <f>IFERROR((F26*(1-Settings!$B$17)-C26)/(F26*(1-Settings!$B$17)),"")</f>
        <v/>
      </c>
      <c r="I26" s="149">
        <f>IFERROR(IF(F26="","",IF(F26&gt;=C26/(1-SKU_Base!Z26)/(1-Settings!$B$17),"OK",IF(F26&gt;=C26/(1-SKU_Base!AG26)/(1-Settings!$B$17),"WARN","STOP"))),"")</f>
        <v/>
      </c>
      <c r="J26" s="158">
        <f>IFERROR(ROUND(D26*(1-CHOOSE(MATCH(IF($E26="","Основний",$E26),{"Трафіковий","Основний","Маржинальний","Сезонний","Стратегічний"},0),Settings!$C$78,Settings!$C$80,Settings!$C$82,Settings!$C$84,Settings!$C$86))/6,2)*6,"")</f>
        <v/>
      </c>
      <c r="K26" s="142">
        <f>IFERROR(CHOOSE(MATCH(IF($E26="","Основний",$E26),{"Трафіковий","Основний","Маржинальний","Сезонний","Стратегічний"},0),Settings!$C$78,Settings!$C$80,Settings!$C$82,Settings!$C$84,Settings!$C$86),"")</f>
        <v/>
      </c>
      <c r="L26" s="143">
        <f>IFERROR((J26*(1-Settings!$C$17)-C26)/(J26*(1-Settings!$C$17)),"")</f>
        <v/>
      </c>
      <c r="M26" s="149">
        <f>IFERROR(IF(J26="","",IF(J26&gt;=C26/(1-SKU_Base!AA26)/(1-Settings!$C$17),"OK",IF(J26&gt;=C26/(1-SKU_Base!AH26)/(1-Settings!$C$17),"WARN","STOP"))),"")</f>
        <v/>
      </c>
      <c r="N26" s="159">
        <f>IFERROR(ROUND(D26*(1-CHOOSE(MATCH(IF($E26="","Основний",$E26),{"Трафіковий","Основний","Маржинальний","Сезонний","Стратегічний"},0),Settings!$D$78,Settings!$D$80,Settings!$D$82,Settings!$D$84,Settings!$D$86))/6,2)*6,"")</f>
        <v/>
      </c>
      <c r="O26" s="142">
        <f>IFERROR(CHOOSE(MATCH(IF($E26="","Основний",$E26),{"Трафіковий","Основний","Маржинальний","Сезонний","Стратегічний"},0),Settings!$D$78,Settings!$D$80,Settings!$D$82,Settings!$D$84,Settings!$D$86),"")</f>
        <v/>
      </c>
      <c r="P26" s="143">
        <f>IFERROR((N26*(1-Settings!$D$17)-C26)/(N26*(1-Settings!$D$17)),"")</f>
        <v/>
      </c>
      <c r="Q26" s="149">
        <f>IFERROR(IF(N26="","",IF(N26&gt;=C26/(1-SKU_Base!AB26)/(1-Settings!$D$17),"OK",IF(N26&gt;=C26/(1-SKU_Base!AI26)/(1-Settings!$D$17),"WARN","STOP"))),"")</f>
        <v/>
      </c>
      <c r="R26" s="159">
        <f>IFERROR(ROUND(D26*(1-CHOOSE(MATCH(IF($E26="","Основний",$E26),{"Трафіковий","Основний","Маржинальний","Сезонний","Стратегічний"},0),Settings!$E$78,Settings!$E$80,Settings!$E$82,Settings!$E$84,Settings!$E$86))/6,2)*6,"")</f>
        <v/>
      </c>
      <c r="S26" s="142">
        <f>IFERROR(CHOOSE(MATCH(IF($E26="","Основний",$E26),{"Трафіковий","Основний","Маржинальний","Сезонний","Стратегічний"},0),Settings!$E$78,Settings!$E$80,Settings!$E$82,Settings!$E$84,Settings!$E$86),"")</f>
        <v/>
      </c>
      <c r="T26" s="143">
        <f>IFERROR((R26*(1-Settings!$E$17)-C26)/(R26*(1-Settings!$E$17)),"")</f>
        <v/>
      </c>
      <c r="U26" s="149">
        <f>IFERROR(IF(R26="","",IF(R26&gt;=C26/(1-SKU_Base!AC26)/(1-Settings!$E$17),"OK",IF(R26&gt;=C26/(1-SKU_Base!AJ26)/(1-Settings!$E$17),"WARN","STOP"))),"")</f>
        <v/>
      </c>
      <c r="V26" s="159">
        <f>IFERROR(ROUND(D26*(1-CHOOSE(MATCH(IF($E26="","Основний",$E26),{"Трафіковий","Основний","Маржинальний","Сезонний","Стратегічний"},0),Settings!$F$78,Settings!$F$80,Settings!$F$82,Settings!$F$84,Settings!$F$86))/6,2)*6,"")</f>
        <v/>
      </c>
      <c r="W26" s="142">
        <f>IFERROR(CHOOSE(MATCH(IF($E26="","Основний",$E26),{"Трафіковий","Основний","Маржинальний","Сезонний","Стратегічний"},0),Settings!$F$78,Settings!$F$80,Settings!$F$82,Settings!$F$84,Settings!$F$86),"")</f>
        <v/>
      </c>
      <c r="X26" s="143">
        <f>IFERROR((V26*(1-Settings!$F$17)-C26)/(V26*(1-Settings!$F$17)),"")</f>
        <v/>
      </c>
      <c r="Y26" s="149">
        <f>IFERROR(IF(V26="","",IF(V26&gt;=C26/(1-SKU_Base!AD26)/(1-Settings!$F$17),"OK",IF(V26&gt;=C26/(1-SKU_Base!AK26)/(1-Settings!$F$17),"WARN","STOP"))),"")</f>
        <v/>
      </c>
      <c r="Z26" s="159">
        <f>IFERROR(ROUND(D26*(1-CHOOSE(MATCH(IF($E26="","Основний",$E26),{"Трафіковий","Основний","Маржинальний","Сезонний","Стратегічний"},0),Settings!$G$78,Settings!$G$80,Settings!$G$82,Settings!$G$84,Settings!$G$86))/6,2)*6,"")</f>
        <v/>
      </c>
      <c r="AA26" s="142">
        <f>IFERROR(CHOOSE(MATCH(IF($E26="","Основний",$E26),{"Трафіковий","Основний","Маржинальний","Сезонний","Стратегічний"},0),Settings!$G$78,Settings!$G$80,Settings!$G$82,Settings!$G$84,Settings!$G$86),"")</f>
        <v/>
      </c>
      <c r="AB26" s="143">
        <f>IFERROR((Z26*(1-Settings!$G$17)-C26)/(Z26*(1-Settings!$G$17)),"")</f>
        <v/>
      </c>
      <c r="AC26" s="149">
        <f>IFERROR(IF(Z26="","",IF(Z26&gt;=C26/(1-SKU_Base!AE26)/(1-Settings!$G$17),"OK",IF(Z26&gt;=C26/(1-SKU_Base!AL26)/(1-Settings!$G$17),"WARN","STOP"))),"")</f>
        <v/>
      </c>
      <c r="AD26" s="159">
        <f>IFERROR(ROUND(D26*(1-CHOOSE(MATCH(IF($E26="","Основний",$E26),{"Трафіковий","Основний","Маржинальний","Сезонний","Стратегічний"},0),Settings!$H$78,Settings!$H$80,Settings!$H$82,Settings!$H$84,Settings!$H$86))*(1-Settings!$H$68)/6,2)*6,"")</f>
        <v/>
      </c>
      <c r="AE26" s="142">
        <f>IFERROR(CHOOSE(MATCH(IF($E26="","Основний",$E26),{"Трафіковий","Основний","Маржинальний","Сезонний","Стратегічний"},0),Settings!$H$78,Settings!$H$80,Settings!$H$82,Settings!$H$84,Settings!$H$86)+(1-(CHOOSE(MATCH(IF($E26="","Основний",$E26),{"Трафіковий","Основний","Маржинальний","Сезонний","Стратегічний"},0),Settings!$H$78,Settings!$H$80,Settings!$H$82,Settings!$H$84,Settings!$H$86)))*Settings!$H$68,"")</f>
        <v/>
      </c>
      <c r="AF26" s="143">
        <f>IFERROR((AD26*(1-Settings!$H$17)-C26)/(AD26*(1-Settings!$H$17)),"")</f>
        <v/>
      </c>
      <c r="AG26" s="150">
        <f>IFERROR(IF(AD26="","",IF(AD26&gt;=C26/(1-SKU_Base!AF26)/(1-Settings!$H$17),"OK",IF(AD26&gt;=C26/(1-SKU_Base!AM26)/(1-Settings!$H$17),"WARN","STOP"))),"")</f>
        <v/>
      </c>
    </row>
    <row r="27" ht="17" customHeight="1" s="179">
      <c r="A27" s="146">
        <f>SKU_Base!B27</f>
        <v/>
      </c>
      <c r="B27" s="146">
        <f>SKU_Base!C27</f>
        <v/>
      </c>
      <c r="C27" s="147">
        <f>IFERROR(SKU_Base!I27,"")</f>
        <v/>
      </c>
      <c r="D27" s="164">
        <f>IFERROR(SKU_Base!T27,"")</f>
        <v/>
      </c>
      <c r="E27" s="141">
        <f>IFERROR(SKU_Base!$U27,"")</f>
        <v/>
      </c>
      <c r="F27" s="160">
        <f>IFERROR(ROUND(D27*(1-CHOOSE(MATCH(IF($E27="","Основний",$E27),{"Трафіковий","Основний","Маржинальний","Сезонний","Стратегічний"},0),Settings!$B$78,Settings!$B$80,Settings!$B$82,Settings!$B$84,Settings!$B$86))/6,2)*6,"")</f>
        <v/>
      </c>
      <c r="G27" s="142">
        <f>IFERROR(CHOOSE(MATCH(IF($E27="","Основний",$E27),{"Трафіковий","Основний","Маржинальний","Сезонний","Стратегічний"},0),Settings!$B$78,Settings!$B$80,Settings!$B$82,Settings!$B$84,Settings!$B$86),"")</f>
        <v/>
      </c>
      <c r="H27" s="148">
        <f>IFERROR((F27*(1-Settings!$B$17)-C27)/(F27*(1-Settings!$B$17)),"")</f>
        <v/>
      </c>
      <c r="I27" s="149">
        <f>IFERROR(IF(F27="","",IF(F27&gt;=C27/(1-SKU_Base!Z27)/(1-Settings!$B$17),"OK",IF(F27&gt;=C27/(1-SKU_Base!AG27)/(1-Settings!$B$17),"WARN","STOP"))),"")</f>
        <v/>
      </c>
      <c r="J27" s="160">
        <f>IFERROR(ROUND(D27*(1-CHOOSE(MATCH(IF($E27="","Основний",$E27),{"Трафіковий","Основний","Маржинальний","Сезонний","Стратегічний"},0),Settings!$C$78,Settings!$C$80,Settings!$C$82,Settings!$C$84,Settings!$C$86))/6,2)*6,"")</f>
        <v/>
      </c>
      <c r="K27" s="142">
        <f>IFERROR(CHOOSE(MATCH(IF($E27="","Основний",$E27),{"Трафіковий","Основний","Маржинальний","Сезонний","Стратегічний"},0),Settings!$C$78,Settings!$C$80,Settings!$C$82,Settings!$C$84,Settings!$C$86),"")</f>
        <v/>
      </c>
      <c r="L27" s="148">
        <f>IFERROR((J27*(1-Settings!$C$17)-C27)/(J27*(1-Settings!$C$17)),"")</f>
        <v/>
      </c>
      <c r="M27" s="149">
        <f>IFERROR(IF(J27="","",IF(J27&gt;=C27/(1-SKU_Base!AA27)/(1-Settings!$C$17),"OK",IF(J27&gt;=C27/(1-SKU_Base!AH27)/(1-Settings!$C$17),"WARN","STOP"))),"")</f>
        <v/>
      </c>
      <c r="N27" s="161">
        <f>IFERROR(ROUND(D27*(1-CHOOSE(MATCH(IF($E27="","Основний",$E27),{"Трафіковий","Основний","Маржинальний","Сезонний","Стратегічний"},0),Settings!$D$78,Settings!$D$80,Settings!$D$82,Settings!$D$84,Settings!$D$86))/6,2)*6,"")</f>
        <v/>
      </c>
      <c r="O27" s="142">
        <f>IFERROR(CHOOSE(MATCH(IF($E27="","Основний",$E27),{"Трафіковий","Основний","Маржинальний","Сезонний","Стратегічний"},0),Settings!$D$78,Settings!$D$80,Settings!$D$82,Settings!$D$84,Settings!$D$86),"")</f>
        <v/>
      </c>
      <c r="P27" s="148">
        <f>IFERROR((N27*(1-Settings!$D$17)-C27)/(N27*(1-Settings!$D$17)),"")</f>
        <v/>
      </c>
      <c r="Q27" s="149">
        <f>IFERROR(IF(N27="","",IF(N27&gt;=C27/(1-SKU_Base!AB27)/(1-Settings!$D$17),"OK",IF(N27&gt;=C27/(1-SKU_Base!AI27)/(1-Settings!$D$17),"WARN","STOP"))),"")</f>
        <v/>
      </c>
      <c r="R27" s="161">
        <f>IFERROR(ROUND(D27*(1-CHOOSE(MATCH(IF($E27="","Основний",$E27),{"Трафіковий","Основний","Маржинальний","Сезонний","Стратегічний"},0),Settings!$E$78,Settings!$E$80,Settings!$E$82,Settings!$E$84,Settings!$E$86))/6,2)*6,"")</f>
        <v/>
      </c>
      <c r="S27" s="142">
        <f>IFERROR(CHOOSE(MATCH(IF($E27="","Основний",$E27),{"Трафіковий","Основний","Маржинальний","Сезонний","Стратегічний"},0),Settings!$E$78,Settings!$E$80,Settings!$E$82,Settings!$E$84,Settings!$E$86),"")</f>
        <v/>
      </c>
      <c r="T27" s="148">
        <f>IFERROR((R27*(1-Settings!$E$17)-C27)/(R27*(1-Settings!$E$17)),"")</f>
        <v/>
      </c>
      <c r="U27" s="149">
        <f>IFERROR(IF(R27="","",IF(R27&gt;=C27/(1-SKU_Base!AC27)/(1-Settings!$E$17),"OK",IF(R27&gt;=C27/(1-SKU_Base!AJ27)/(1-Settings!$E$17),"WARN","STOP"))),"")</f>
        <v/>
      </c>
      <c r="V27" s="161">
        <f>IFERROR(ROUND(D27*(1-CHOOSE(MATCH(IF($E27="","Основний",$E27),{"Трафіковий","Основний","Маржинальний","Сезонний","Стратегічний"},0),Settings!$F$78,Settings!$F$80,Settings!$F$82,Settings!$F$84,Settings!$F$86))/6,2)*6,"")</f>
        <v/>
      </c>
      <c r="W27" s="142">
        <f>IFERROR(CHOOSE(MATCH(IF($E27="","Основний",$E27),{"Трафіковий","Основний","Маржинальний","Сезонний","Стратегічний"},0),Settings!$F$78,Settings!$F$80,Settings!$F$82,Settings!$F$84,Settings!$F$86),"")</f>
        <v/>
      </c>
      <c r="X27" s="148">
        <f>IFERROR((V27*(1-Settings!$F$17)-C27)/(V27*(1-Settings!$F$17)),"")</f>
        <v/>
      </c>
      <c r="Y27" s="149">
        <f>IFERROR(IF(V27="","",IF(V27&gt;=C27/(1-SKU_Base!AD27)/(1-Settings!$F$17),"OK",IF(V27&gt;=C27/(1-SKU_Base!AK27)/(1-Settings!$F$17),"WARN","STOP"))),"")</f>
        <v/>
      </c>
      <c r="Z27" s="161">
        <f>IFERROR(ROUND(D27*(1-CHOOSE(MATCH(IF($E27="","Основний",$E27),{"Трафіковий","Основний","Маржинальний","Сезонний","Стратегічний"},0),Settings!$G$78,Settings!$G$80,Settings!$G$82,Settings!$G$84,Settings!$G$86))/6,2)*6,"")</f>
        <v/>
      </c>
      <c r="AA27" s="142">
        <f>IFERROR(CHOOSE(MATCH(IF($E27="","Основний",$E27),{"Трафіковий","Основний","Маржинальний","Сезонний","Стратегічний"},0),Settings!$G$78,Settings!$G$80,Settings!$G$82,Settings!$G$84,Settings!$G$86),"")</f>
        <v/>
      </c>
      <c r="AB27" s="148">
        <f>IFERROR((Z27*(1-Settings!$G$17)-C27)/(Z27*(1-Settings!$G$17)),"")</f>
        <v/>
      </c>
      <c r="AC27" s="149">
        <f>IFERROR(IF(Z27="","",IF(Z27&gt;=C27/(1-SKU_Base!AE27)/(1-Settings!$G$17),"OK",IF(Z27&gt;=C27/(1-SKU_Base!AL27)/(1-Settings!$G$17),"WARN","STOP"))),"")</f>
        <v/>
      </c>
      <c r="AD27" s="161">
        <f>IFERROR(ROUND(D27*(1-CHOOSE(MATCH(IF($E27="","Основний",$E27),{"Трафіковий","Основний","Маржинальний","Сезонний","Стратегічний"},0),Settings!$H$78,Settings!$H$80,Settings!$H$82,Settings!$H$84,Settings!$H$86))*(1-Settings!$H$68)/6,2)*6,"")</f>
        <v/>
      </c>
      <c r="AE27" s="142">
        <f>IFERROR(CHOOSE(MATCH(IF($E27="","Основний",$E27),{"Трафіковий","Основний","Маржинальний","Сезонний","Стратегічний"},0),Settings!$H$78,Settings!$H$80,Settings!$H$82,Settings!$H$84,Settings!$H$86)+(1-(CHOOSE(MATCH(IF($E27="","Основний",$E27),{"Трафіковий","Основний","Маржинальний","Сезонний","Стратегічний"},0),Settings!$H$78,Settings!$H$80,Settings!$H$82,Settings!$H$84,Settings!$H$86)))*Settings!$H$68,"")</f>
        <v/>
      </c>
      <c r="AF27" s="148">
        <f>IFERROR((AD27*(1-Settings!$H$17)-C27)/(AD27*(1-Settings!$H$17)),"")</f>
        <v/>
      </c>
      <c r="AG27" s="150">
        <f>IFERROR(IF(AD27="","",IF(AD27&gt;=C27/(1-SKU_Base!AF27)/(1-Settings!$H$17),"OK",IF(AD27&gt;=C27/(1-SKU_Base!AM27)/(1-Settings!$H$17),"WARN","STOP"))),"")</f>
        <v/>
      </c>
    </row>
    <row r="28" ht="17" customHeight="1" s="179">
      <c r="A28" s="139">
        <f>SKU_Base!B28</f>
        <v/>
      </c>
      <c r="B28" s="139">
        <f>SKU_Base!C28</f>
        <v/>
      </c>
      <c r="C28" s="140">
        <f>IFERROR(SKU_Base!I28,"")</f>
        <v/>
      </c>
      <c r="D28" s="163">
        <f>IFERROR(SKU_Base!T28,"")</f>
        <v/>
      </c>
      <c r="E28" s="141">
        <f>IFERROR(SKU_Base!$U28,"")</f>
        <v/>
      </c>
      <c r="F28" s="158">
        <f>IFERROR(ROUND(D28*(1-CHOOSE(MATCH(IF($E28="","Основний",$E28),{"Трафіковий","Основний","Маржинальний","Сезонний","Стратегічний"},0),Settings!$B$78,Settings!$B$80,Settings!$B$82,Settings!$B$84,Settings!$B$86))/6,2)*6,"")</f>
        <v/>
      </c>
      <c r="G28" s="142">
        <f>IFERROR(CHOOSE(MATCH(IF($E28="","Основний",$E28),{"Трафіковий","Основний","Маржинальний","Сезонний","Стратегічний"},0),Settings!$B$78,Settings!$B$80,Settings!$B$82,Settings!$B$84,Settings!$B$86),"")</f>
        <v/>
      </c>
      <c r="H28" s="143">
        <f>IFERROR((F28*(1-Settings!$B$17)-C28)/(F28*(1-Settings!$B$17)),"")</f>
        <v/>
      </c>
      <c r="I28" s="149">
        <f>IFERROR(IF(F28="","",IF(F28&gt;=C28/(1-SKU_Base!Z28)/(1-Settings!$B$17),"OK",IF(F28&gt;=C28/(1-SKU_Base!AG28)/(1-Settings!$B$17),"WARN","STOP"))),"")</f>
        <v/>
      </c>
      <c r="J28" s="158">
        <f>IFERROR(ROUND(D28*(1-CHOOSE(MATCH(IF($E28="","Основний",$E28),{"Трафіковий","Основний","Маржинальний","Сезонний","Стратегічний"},0),Settings!$C$78,Settings!$C$80,Settings!$C$82,Settings!$C$84,Settings!$C$86))/6,2)*6,"")</f>
        <v/>
      </c>
      <c r="K28" s="142">
        <f>IFERROR(CHOOSE(MATCH(IF($E28="","Основний",$E28),{"Трафіковий","Основний","Маржинальний","Сезонний","Стратегічний"},0),Settings!$C$78,Settings!$C$80,Settings!$C$82,Settings!$C$84,Settings!$C$86),"")</f>
        <v/>
      </c>
      <c r="L28" s="143">
        <f>IFERROR((J28*(1-Settings!$C$17)-C28)/(J28*(1-Settings!$C$17)),"")</f>
        <v/>
      </c>
      <c r="M28" s="149">
        <f>IFERROR(IF(J28="","",IF(J28&gt;=C28/(1-SKU_Base!AA28)/(1-Settings!$C$17),"OK",IF(J28&gt;=C28/(1-SKU_Base!AH28)/(1-Settings!$C$17),"WARN","STOP"))),"")</f>
        <v/>
      </c>
      <c r="N28" s="159">
        <f>IFERROR(ROUND(D28*(1-CHOOSE(MATCH(IF($E28="","Основний",$E28),{"Трафіковий","Основний","Маржинальний","Сезонний","Стратегічний"},0),Settings!$D$78,Settings!$D$80,Settings!$D$82,Settings!$D$84,Settings!$D$86))/6,2)*6,"")</f>
        <v/>
      </c>
      <c r="O28" s="142">
        <f>IFERROR(CHOOSE(MATCH(IF($E28="","Основний",$E28),{"Трафіковий","Основний","Маржинальний","Сезонний","Стратегічний"},0),Settings!$D$78,Settings!$D$80,Settings!$D$82,Settings!$D$84,Settings!$D$86),"")</f>
        <v/>
      </c>
      <c r="P28" s="143">
        <f>IFERROR((N28*(1-Settings!$D$17)-C28)/(N28*(1-Settings!$D$17)),"")</f>
        <v/>
      </c>
      <c r="Q28" s="149">
        <f>IFERROR(IF(N28="","",IF(N28&gt;=C28/(1-SKU_Base!AB28)/(1-Settings!$D$17),"OK",IF(N28&gt;=C28/(1-SKU_Base!AI28)/(1-Settings!$D$17),"WARN","STOP"))),"")</f>
        <v/>
      </c>
      <c r="R28" s="159">
        <f>IFERROR(ROUND(D28*(1-CHOOSE(MATCH(IF($E28="","Основний",$E28),{"Трафіковий","Основний","Маржинальний","Сезонний","Стратегічний"},0),Settings!$E$78,Settings!$E$80,Settings!$E$82,Settings!$E$84,Settings!$E$86))/6,2)*6,"")</f>
        <v/>
      </c>
      <c r="S28" s="142">
        <f>IFERROR(CHOOSE(MATCH(IF($E28="","Основний",$E28),{"Трафіковий","Основний","Маржинальний","Сезонний","Стратегічний"},0),Settings!$E$78,Settings!$E$80,Settings!$E$82,Settings!$E$84,Settings!$E$86),"")</f>
        <v/>
      </c>
      <c r="T28" s="143">
        <f>IFERROR((R28*(1-Settings!$E$17)-C28)/(R28*(1-Settings!$E$17)),"")</f>
        <v/>
      </c>
      <c r="U28" s="149">
        <f>IFERROR(IF(R28="","",IF(R28&gt;=C28/(1-SKU_Base!AC28)/(1-Settings!$E$17),"OK",IF(R28&gt;=C28/(1-SKU_Base!AJ28)/(1-Settings!$E$17),"WARN","STOP"))),"")</f>
        <v/>
      </c>
      <c r="V28" s="159">
        <f>IFERROR(ROUND(D28*(1-CHOOSE(MATCH(IF($E28="","Основний",$E28),{"Трафіковий","Основний","Маржинальний","Сезонний","Стратегічний"},0),Settings!$F$78,Settings!$F$80,Settings!$F$82,Settings!$F$84,Settings!$F$86))/6,2)*6,"")</f>
        <v/>
      </c>
      <c r="W28" s="142">
        <f>IFERROR(CHOOSE(MATCH(IF($E28="","Основний",$E28),{"Трафіковий","Основний","Маржинальний","Сезонний","Стратегічний"},0),Settings!$F$78,Settings!$F$80,Settings!$F$82,Settings!$F$84,Settings!$F$86),"")</f>
        <v/>
      </c>
      <c r="X28" s="143">
        <f>IFERROR((V28*(1-Settings!$F$17)-C28)/(V28*(1-Settings!$F$17)),"")</f>
        <v/>
      </c>
      <c r="Y28" s="149">
        <f>IFERROR(IF(V28="","",IF(V28&gt;=C28/(1-SKU_Base!AD28)/(1-Settings!$F$17),"OK",IF(V28&gt;=C28/(1-SKU_Base!AK28)/(1-Settings!$F$17),"WARN","STOP"))),"")</f>
        <v/>
      </c>
      <c r="Z28" s="159">
        <f>IFERROR(ROUND(D28*(1-CHOOSE(MATCH(IF($E28="","Основний",$E28),{"Трафіковий","Основний","Маржинальний","Сезонний","Стратегічний"},0),Settings!$G$78,Settings!$G$80,Settings!$G$82,Settings!$G$84,Settings!$G$86))/6,2)*6,"")</f>
        <v/>
      </c>
      <c r="AA28" s="142">
        <f>IFERROR(CHOOSE(MATCH(IF($E28="","Основний",$E28),{"Трафіковий","Основний","Маржинальний","Сезонний","Стратегічний"},0),Settings!$G$78,Settings!$G$80,Settings!$G$82,Settings!$G$84,Settings!$G$86),"")</f>
        <v/>
      </c>
      <c r="AB28" s="143">
        <f>IFERROR((Z28*(1-Settings!$G$17)-C28)/(Z28*(1-Settings!$G$17)),"")</f>
        <v/>
      </c>
      <c r="AC28" s="149">
        <f>IFERROR(IF(Z28="","",IF(Z28&gt;=C28/(1-SKU_Base!AE28)/(1-Settings!$G$17),"OK",IF(Z28&gt;=C28/(1-SKU_Base!AL28)/(1-Settings!$G$17),"WARN","STOP"))),"")</f>
        <v/>
      </c>
      <c r="AD28" s="159">
        <f>IFERROR(ROUND(D28*(1-CHOOSE(MATCH(IF($E28="","Основний",$E28),{"Трафіковий","Основний","Маржинальний","Сезонний","Стратегічний"},0),Settings!$H$78,Settings!$H$80,Settings!$H$82,Settings!$H$84,Settings!$H$86))*(1-Settings!$H$68)/6,2)*6,"")</f>
        <v/>
      </c>
      <c r="AE28" s="142">
        <f>IFERROR(CHOOSE(MATCH(IF($E28="","Основний",$E28),{"Трафіковий","Основний","Маржинальний","Сезонний","Стратегічний"},0),Settings!$H$78,Settings!$H$80,Settings!$H$82,Settings!$H$84,Settings!$H$86)+(1-(CHOOSE(MATCH(IF($E28="","Основний",$E28),{"Трафіковий","Основний","Маржинальний","Сезонний","Стратегічний"},0),Settings!$H$78,Settings!$H$80,Settings!$H$82,Settings!$H$84,Settings!$H$86)))*Settings!$H$68,"")</f>
        <v/>
      </c>
      <c r="AF28" s="143">
        <f>IFERROR((AD28*(1-Settings!$H$17)-C28)/(AD28*(1-Settings!$H$17)),"")</f>
        <v/>
      </c>
      <c r="AG28" s="150">
        <f>IFERROR(IF(AD28="","",IF(AD28&gt;=C28/(1-SKU_Base!AF28)/(1-Settings!$H$17),"OK",IF(AD28&gt;=C28/(1-SKU_Base!AM28)/(1-Settings!$H$17),"WARN","STOP"))),"")</f>
        <v/>
      </c>
    </row>
    <row r="29" ht="17" customHeight="1" s="179">
      <c r="A29" s="146">
        <f>SKU_Base!B29</f>
        <v/>
      </c>
      <c r="B29" s="146">
        <f>SKU_Base!C29</f>
        <v/>
      </c>
      <c r="C29" s="147">
        <f>IFERROR(SKU_Base!I29,"")</f>
        <v/>
      </c>
      <c r="D29" s="164">
        <f>IFERROR(SKU_Base!T29,"")</f>
        <v/>
      </c>
      <c r="E29" s="141">
        <f>IFERROR(SKU_Base!$U29,"")</f>
        <v/>
      </c>
      <c r="F29" s="160">
        <f>IFERROR(ROUND(D29*(1-CHOOSE(MATCH(IF($E29="","Основний",$E29),{"Трафіковий","Основний","Маржинальний","Сезонний","Стратегічний"},0),Settings!$B$78,Settings!$B$80,Settings!$B$82,Settings!$B$84,Settings!$B$86))/6,2)*6,"")</f>
        <v/>
      </c>
      <c r="G29" s="142">
        <f>IFERROR(CHOOSE(MATCH(IF($E29="","Основний",$E29),{"Трафіковий","Основний","Маржинальний","Сезонний","Стратегічний"},0),Settings!$B$78,Settings!$B$80,Settings!$B$82,Settings!$B$84,Settings!$B$86),"")</f>
        <v/>
      </c>
      <c r="H29" s="148">
        <f>IFERROR((F29*(1-Settings!$B$17)-C29)/(F29*(1-Settings!$B$17)),"")</f>
        <v/>
      </c>
      <c r="I29" s="149">
        <f>IFERROR(IF(F29="","",IF(F29&gt;=C29/(1-SKU_Base!Z29)/(1-Settings!$B$17),"OK",IF(F29&gt;=C29/(1-SKU_Base!AG29)/(1-Settings!$B$17),"WARN","STOP"))),"")</f>
        <v/>
      </c>
      <c r="J29" s="160">
        <f>IFERROR(ROUND(D29*(1-CHOOSE(MATCH(IF($E29="","Основний",$E29),{"Трафіковий","Основний","Маржинальний","Сезонний","Стратегічний"},0),Settings!$C$78,Settings!$C$80,Settings!$C$82,Settings!$C$84,Settings!$C$86))/6,2)*6,"")</f>
        <v/>
      </c>
      <c r="K29" s="142">
        <f>IFERROR(CHOOSE(MATCH(IF($E29="","Основний",$E29),{"Трафіковий","Основний","Маржинальний","Сезонний","Стратегічний"},0),Settings!$C$78,Settings!$C$80,Settings!$C$82,Settings!$C$84,Settings!$C$86),"")</f>
        <v/>
      </c>
      <c r="L29" s="148">
        <f>IFERROR((J29*(1-Settings!$C$17)-C29)/(J29*(1-Settings!$C$17)),"")</f>
        <v/>
      </c>
      <c r="M29" s="149">
        <f>IFERROR(IF(J29="","",IF(J29&gt;=C29/(1-SKU_Base!AA29)/(1-Settings!$C$17),"OK",IF(J29&gt;=C29/(1-SKU_Base!AH29)/(1-Settings!$C$17),"WARN","STOP"))),"")</f>
        <v/>
      </c>
      <c r="N29" s="161">
        <f>IFERROR(ROUND(D29*(1-CHOOSE(MATCH(IF($E29="","Основний",$E29),{"Трафіковий","Основний","Маржинальний","Сезонний","Стратегічний"},0),Settings!$D$78,Settings!$D$80,Settings!$D$82,Settings!$D$84,Settings!$D$86))/6,2)*6,"")</f>
        <v/>
      </c>
      <c r="O29" s="142">
        <f>IFERROR(CHOOSE(MATCH(IF($E29="","Основний",$E29),{"Трафіковий","Основний","Маржинальний","Сезонний","Стратегічний"},0),Settings!$D$78,Settings!$D$80,Settings!$D$82,Settings!$D$84,Settings!$D$86),"")</f>
        <v/>
      </c>
      <c r="P29" s="148">
        <f>IFERROR((N29*(1-Settings!$D$17)-C29)/(N29*(1-Settings!$D$17)),"")</f>
        <v/>
      </c>
      <c r="Q29" s="149">
        <f>IFERROR(IF(N29="","",IF(N29&gt;=C29/(1-SKU_Base!AB29)/(1-Settings!$D$17),"OK",IF(N29&gt;=C29/(1-SKU_Base!AI29)/(1-Settings!$D$17),"WARN","STOP"))),"")</f>
        <v/>
      </c>
      <c r="R29" s="161">
        <f>IFERROR(ROUND(D29*(1-CHOOSE(MATCH(IF($E29="","Основний",$E29),{"Трафіковий","Основний","Маржинальний","Сезонний","Стратегічний"},0),Settings!$E$78,Settings!$E$80,Settings!$E$82,Settings!$E$84,Settings!$E$86))/6,2)*6,"")</f>
        <v/>
      </c>
      <c r="S29" s="142">
        <f>IFERROR(CHOOSE(MATCH(IF($E29="","Основний",$E29),{"Трафіковий","Основний","Маржинальний","Сезонний","Стратегічний"},0),Settings!$E$78,Settings!$E$80,Settings!$E$82,Settings!$E$84,Settings!$E$86),"")</f>
        <v/>
      </c>
      <c r="T29" s="148">
        <f>IFERROR((R29*(1-Settings!$E$17)-C29)/(R29*(1-Settings!$E$17)),"")</f>
        <v/>
      </c>
      <c r="U29" s="149">
        <f>IFERROR(IF(R29="","",IF(R29&gt;=C29/(1-SKU_Base!AC29)/(1-Settings!$E$17),"OK",IF(R29&gt;=C29/(1-SKU_Base!AJ29)/(1-Settings!$E$17),"WARN","STOP"))),"")</f>
        <v/>
      </c>
      <c r="V29" s="161">
        <f>IFERROR(ROUND(D29*(1-CHOOSE(MATCH(IF($E29="","Основний",$E29),{"Трафіковий","Основний","Маржинальний","Сезонний","Стратегічний"},0),Settings!$F$78,Settings!$F$80,Settings!$F$82,Settings!$F$84,Settings!$F$86))/6,2)*6,"")</f>
        <v/>
      </c>
      <c r="W29" s="142">
        <f>IFERROR(CHOOSE(MATCH(IF($E29="","Основний",$E29),{"Трафіковий","Основний","Маржинальний","Сезонний","Стратегічний"},0),Settings!$F$78,Settings!$F$80,Settings!$F$82,Settings!$F$84,Settings!$F$86),"")</f>
        <v/>
      </c>
      <c r="X29" s="148">
        <f>IFERROR((V29*(1-Settings!$F$17)-C29)/(V29*(1-Settings!$F$17)),"")</f>
        <v/>
      </c>
      <c r="Y29" s="149">
        <f>IFERROR(IF(V29="","",IF(V29&gt;=C29/(1-SKU_Base!AD29)/(1-Settings!$F$17),"OK",IF(V29&gt;=C29/(1-SKU_Base!AK29)/(1-Settings!$F$17),"WARN","STOP"))),"")</f>
        <v/>
      </c>
      <c r="Z29" s="161">
        <f>IFERROR(ROUND(D29*(1-CHOOSE(MATCH(IF($E29="","Основний",$E29),{"Трафіковий","Основний","Маржинальний","Сезонний","Стратегічний"},0),Settings!$G$78,Settings!$G$80,Settings!$G$82,Settings!$G$84,Settings!$G$86))/6,2)*6,"")</f>
        <v/>
      </c>
      <c r="AA29" s="142">
        <f>IFERROR(CHOOSE(MATCH(IF($E29="","Основний",$E29),{"Трафіковий","Основний","Маржинальний","Сезонний","Стратегічний"},0),Settings!$G$78,Settings!$G$80,Settings!$G$82,Settings!$G$84,Settings!$G$86),"")</f>
        <v/>
      </c>
      <c r="AB29" s="148">
        <f>IFERROR((Z29*(1-Settings!$G$17)-C29)/(Z29*(1-Settings!$G$17)),"")</f>
        <v/>
      </c>
      <c r="AC29" s="149">
        <f>IFERROR(IF(Z29="","",IF(Z29&gt;=C29/(1-SKU_Base!AE29)/(1-Settings!$G$17),"OK",IF(Z29&gt;=C29/(1-SKU_Base!AL29)/(1-Settings!$G$17),"WARN","STOP"))),"")</f>
        <v/>
      </c>
      <c r="AD29" s="161">
        <f>IFERROR(ROUND(D29*(1-CHOOSE(MATCH(IF($E29="","Основний",$E29),{"Трафіковий","Основний","Маржинальний","Сезонний","Стратегічний"},0),Settings!$H$78,Settings!$H$80,Settings!$H$82,Settings!$H$84,Settings!$H$86))*(1-Settings!$H$68)/6,2)*6,"")</f>
        <v/>
      </c>
      <c r="AE29" s="142">
        <f>IFERROR(CHOOSE(MATCH(IF($E29="","Основний",$E29),{"Трафіковий","Основний","Маржинальний","Сезонний","Стратегічний"},0),Settings!$H$78,Settings!$H$80,Settings!$H$82,Settings!$H$84,Settings!$H$86)+(1-(CHOOSE(MATCH(IF($E29="","Основний",$E29),{"Трафіковий","Основний","Маржинальний","Сезонний","Стратегічний"},0),Settings!$H$78,Settings!$H$80,Settings!$H$82,Settings!$H$84,Settings!$H$86)))*Settings!$H$68,"")</f>
        <v/>
      </c>
      <c r="AF29" s="148">
        <f>IFERROR((AD29*(1-Settings!$H$17)-C29)/(AD29*(1-Settings!$H$17)),"")</f>
        <v/>
      </c>
      <c r="AG29" s="150">
        <f>IFERROR(IF(AD29="","",IF(AD29&gt;=C29/(1-SKU_Base!AF29)/(1-Settings!$H$17),"OK",IF(AD29&gt;=C29/(1-SKU_Base!AM29)/(1-Settings!$H$17),"WARN","STOP"))),"")</f>
        <v/>
      </c>
    </row>
    <row r="30" ht="17" customHeight="1" s="179">
      <c r="A30" s="139">
        <f>SKU_Base!B30</f>
        <v/>
      </c>
      <c r="B30" s="139">
        <f>SKU_Base!C30</f>
        <v/>
      </c>
      <c r="C30" s="140">
        <f>IFERROR(SKU_Base!I30,"")</f>
        <v/>
      </c>
      <c r="D30" s="163">
        <f>IFERROR(SKU_Base!T30,"")</f>
        <v/>
      </c>
      <c r="E30" s="141">
        <f>IFERROR(SKU_Base!$U30,"")</f>
        <v/>
      </c>
      <c r="F30" s="158">
        <f>IFERROR(ROUND(D30*(1-CHOOSE(MATCH(IF($E30="","Основний",$E30),{"Трафіковий","Основний","Маржинальний","Сезонний","Стратегічний"},0),Settings!$B$78,Settings!$B$80,Settings!$B$82,Settings!$B$84,Settings!$B$86))/6,2)*6,"")</f>
        <v/>
      </c>
      <c r="G30" s="142">
        <f>IFERROR(CHOOSE(MATCH(IF($E30="","Основний",$E30),{"Трафіковий","Основний","Маржинальний","Сезонний","Стратегічний"},0),Settings!$B$78,Settings!$B$80,Settings!$B$82,Settings!$B$84,Settings!$B$86),"")</f>
        <v/>
      </c>
      <c r="H30" s="143">
        <f>IFERROR((F30*(1-Settings!$B$17)-C30)/(F30*(1-Settings!$B$17)),"")</f>
        <v/>
      </c>
      <c r="I30" s="149">
        <f>IFERROR(IF(F30="","",IF(F30&gt;=C30/(1-SKU_Base!Z30)/(1-Settings!$B$17),"OK",IF(F30&gt;=C30/(1-SKU_Base!AG30)/(1-Settings!$B$17),"WARN","STOP"))),"")</f>
        <v/>
      </c>
      <c r="J30" s="158">
        <f>IFERROR(ROUND(D30*(1-CHOOSE(MATCH(IF($E30="","Основний",$E30),{"Трафіковий","Основний","Маржинальний","Сезонний","Стратегічний"},0),Settings!$C$78,Settings!$C$80,Settings!$C$82,Settings!$C$84,Settings!$C$86))/6,2)*6,"")</f>
        <v/>
      </c>
      <c r="K30" s="142">
        <f>IFERROR(CHOOSE(MATCH(IF($E30="","Основний",$E30),{"Трафіковий","Основний","Маржинальний","Сезонний","Стратегічний"},0),Settings!$C$78,Settings!$C$80,Settings!$C$82,Settings!$C$84,Settings!$C$86),"")</f>
        <v/>
      </c>
      <c r="L30" s="143">
        <f>IFERROR((J30*(1-Settings!$C$17)-C30)/(J30*(1-Settings!$C$17)),"")</f>
        <v/>
      </c>
      <c r="M30" s="149">
        <f>IFERROR(IF(J30="","",IF(J30&gt;=C30/(1-SKU_Base!AA30)/(1-Settings!$C$17),"OK",IF(J30&gt;=C30/(1-SKU_Base!AH30)/(1-Settings!$C$17),"WARN","STOP"))),"")</f>
        <v/>
      </c>
      <c r="N30" s="159">
        <f>IFERROR(ROUND(D30*(1-CHOOSE(MATCH(IF($E30="","Основний",$E30),{"Трафіковий","Основний","Маржинальний","Сезонний","Стратегічний"},0),Settings!$D$78,Settings!$D$80,Settings!$D$82,Settings!$D$84,Settings!$D$86))/6,2)*6,"")</f>
        <v/>
      </c>
      <c r="O30" s="142">
        <f>IFERROR(CHOOSE(MATCH(IF($E30="","Основний",$E30),{"Трафіковий","Основний","Маржинальний","Сезонний","Стратегічний"},0),Settings!$D$78,Settings!$D$80,Settings!$D$82,Settings!$D$84,Settings!$D$86),"")</f>
        <v/>
      </c>
      <c r="P30" s="143">
        <f>IFERROR((N30*(1-Settings!$D$17)-C30)/(N30*(1-Settings!$D$17)),"")</f>
        <v/>
      </c>
      <c r="Q30" s="149">
        <f>IFERROR(IF(N30="","",IF(N30&gt;=C30/(1-SKU_Base!AB30)/(1-Settings!$D$17),"OK",IF(N30&gt;=C30/(1-SKU_Base!AI30)/(1-Settings!$D$17),"WARN","STOP"))),"")</f>
        <v/>
      </c>
      <c r="R30" s="159">
        <f>IFERROR(ROUND(D30*(1-CHOOSE(MATCH(IF($E30="","Основний",$E30),{"Трафіковий","Основний","Маржинальний","Сезонний","Стратегічний"},0),Settings!$E$78,Settings!$E$80,Settings!$E$82,Settings!$E$84,Settings!$E$86))/6,2)*6,"")</f>
        <v/>
      </c>
      <c r="S30" s="142">
        <f>IFERROR(CHOOSE(MATCH(IF($E30="","Основний",$E30),{"Трафіковий","Основний","Маржинальний","Сезонний","Стратегічний"},0),Settings!$E$78,Settings!$E$80,Settings!$E$82,Settings!$E$84,Settings!$E$86),"")</f>
        <v/>
      </c>
      <c r="T30" s="143">
        <f>IFERROR((R30*(1-Settings!$E$17)-C30)/(R30*(1-Settings!$E$17)),"")</f>
        <v/>
      </c>
      <c r="U30" s="149">
        <f>IFERROR(IF(R30="","",IF(R30&gt;=C30/(1-SKU_Base!AC30)/(1-Settings!$E$17),"OK",IF(R30&gt;=C30/(1-SKU_Base!AJ30)/(1-Settings!$E$17),"WARN","STOP"))),"")</f>
        <v/>
      </c>
      <c r="V30" s="159">
        <f>IFERROR(ROUND(D30*(1-CHOOSE(MATCH(IF($E30="","Основний",$E30),{"Трафіковий","Основний","Маржинальний","Сезонний","Стратегічний"},0),Settings!$F$78,Settings!$F$80,Settings!$F$82,Settings!$F$84,Settings!$F$86))/6,2)*6,"")</f>
        <v/>
      </c>
      <c r="W30" s="142">
        <f>IFERROR(CHOOSE(MATCH(IF($E30="","Основний",$E30),{"Трафіковий","Основний","Маржинальний","Сезонний","Стратегічний"},0),Settings!$F$78,Settings!$F$80,Settings!$F$82,Settings!$F$84,Settings!$F$86),"")</f>
        <v/>
      </c>
      <c r="X30" s="143">
        <f>IFERROR((V30*(1-Settings!$F$17)-C30)/(V30*(1-Settings!$F$17)),"")</f>
        <v/>
      </c>
      <c r="Y30" s="149">
        <f>IFERROR(IF(V30="","",IF(V30&gt;=C30/(1-SKU_Base!AD30)/(1-Settings!$F$17),"OK",IF(V30&gt;=C30/(1-SKU_Base!AK30)/(1-Settings!$F$17),"WARN","STOP"))),"")</f>
        <v/>
      </c>
      <c r="Z30" s="159">
        <f>IFERROR(ROUND(D30*(1-CHOOSE(MATCH(IF($E30="","Основний",$E30),{"Трафіковий","Основний","Маржинальний","Сезонний","Стратегічний"},0),Settings!$G$78,Settings!$G$80,Settings!$G$82,Settings!$G$84,Settings!$G$86))/6,2)*6,"")</f>
        <v/>
      </c>
      <c r="AA30" s="142">
        <f>IFERROR(CHOOSE(MATCH(IF($E30="","Основний",$E30),{"Трафіковий","Основний","Маржинальний","Сезонний","Стратегічний"},0),Settings!$G$78,Settings!$G$80,Settings!$G$82,Settings!$G$84,Settings!$G$86),"")</f>
        <v/>
      </c>
      <c r="AB30" s="143">
        <f>IFERROR((Z30*(1-Settings!$G$17)-C30)/(Z30*(1-Settings!$G$17)),"")</f>
        <v/>
      </c>
      <c r="AC30" s="149">
        <f>IFERROR(IF(Z30="","",IF(Z30&gt;=C30/(1-SKU_Base!AE30)/(1-Settings!$G$17),"OK",IF(Z30&gt;=C30/(1-SKU_Base!AL30)/(1-Settings!$G$17),"WARN","STOP"))),"")</f>
        <v/>
      </c>
      <c r="AD30" s="159">
        <f>IFERROR(ROUND(D30*(1-CHOOSE(MATCH(IF($E30="","Основний",$E30),{"Трафіковий","Основний","Маржинальний","Сезонний","Стратегічний"},0),Settings!$H$78,Settings!$H$80,Settings!$H$82,Settings!$H$84,Settings!$H$86))*(1-Settings!$H$68)/6,2)*6,"")</f>
        <v/>
      </c>
      <c r="AE30" s="142">
        <f>IFERROR(CHOOSE(MATCH(IF($E30="","Основний",$E30),{"Трафіковий","Основний","Маржинальний","Сезонний","Стратегічний"},0),Settings!$H$78,Settings!$H$80,Settings!$H$82,Settings!$H$84,Settings!$H$86)+(1-(CHOOSE(MATCH(IF($E30="","Основний",$E30),{"Трафіковий","Основний","Маржинальний","Сезонний","Стратегічний"},0),Settings!$H$78,Settings!$H$80,Settings!$H$82,Settings!$H$84,Settings!$H$86)))*Settings!$H$68,"")</f>
        <v/>
      </c>
      <c r="AF30" s="143">
        <f>IFERROR((AD30*(1-Settings!$H$17)-C30)/(AD30*(1-Settings!$H$17)),"")</f>
        <v/>
      </c>
      <c r="AG30" s="150">
        <f>IFERROR(IF(AD30="","",IF(AD30&gt;=C30/(1-SKU_Base!AF30)/(1-Settings!$H$17),"OK",IF(AD30&gt;=C30/(1-SKU_Base!AM30)/(1-Settings!$H$17),"WARN","STOP"))),"")</f>
        <v/>
      </c>
    </row>
    <row r="31" ht="17" customHeight="1" s="179">
      <c r="A31" s="146">
        <f>SKU_Base!B31</f>
        <v/>
      </c>
      <c r="B31" s="146">
        <f>SKU_Base!C31</f>
        <v/>
      </c>
      <c r="C31" s="147">
        <f>IFERROR(SKU_Base!I31,"")</f>
        <v/>
      </c>
      <c r="D31" s="164">
        <f>IFERROR(SKU_Base!T31,"")</f>
        <v/>
      </c>
      <c r="E31" s="141">
        <f>IFERROR(SKU_Base!$U31,"")</f>
        <v/>
      </c>
      <c r="F31" s="160">
        <f>IFERROR(ROUND(D31*(1-CHOOSE(MATCH(IF($E31="","Основний",$E31),{"Трафіковий","Основний","Маржинальний","Сезонний","Стратегічний"},0),Settings!$B$78,Settings!$B$80,Settings!$B$82,Settings!$B$84,Settings!$B$86))/6,2)*6,"")</f>
        <v/>
      </c>
      <c r="G31" s="142">
        <f>IFERROR(CHOOSE(MATCH(IF($E31="","Основний",$E31),{"Трафіковий","Основний","Маржинальний","Сезонний","Стратегічний"},0),Settings!$B$78,Settings!$B$80,Settings!$B$82,Settings!$B$84,Settings!$B$86),"")</f>
        <v/>
      </c>
      <c r="H31" s="148">
        <f>IFERROR((F31*(1-Settings!$B$17)-C31)/(F31*(1-Settings!$B$17)),"")</f>
        <v/>
      </c>
      <c r="I31" s="149">
        <f>IFERROR(IF(F31="","",IF(F31&gt;=C31/(1-SKU_Base!Z31)/(1-Settings!$B$17),"OK",IF(F31&gt;=C31/(1-SKU_Base!AG31)/(1-Settings!$B$17),"WARN","STOP"))),"")</f>
        <v/>
      </c>
      <c r="J31" s="160">
        <f>IFERROR(ROUND(D31*(1-CHOOSE(MATCH(IF($E31="","Основний",$E31),{"Трафіковий","Основний","Маржинальний","Сезонний","Стратегічний"},0),Settings!$C$78,Settings!$C$80,Settings!$C$82,Settings!$C$84,Settings!$C$86))/6,2)*6,"")</f>
        <v/>
      </c>
      <c r="K31" s="142">
        <f>IFERROR(CHOOSE(MATCH(IF($E31="","Основний",$E31),{"Трафіковий","Основний","Маржинальний","Сезонний","Стратегічний"},0),Settings!$C$78,Settings!$C$80,Settings!$C$82,Settings!$C$84,Settings!$C$86),"")</f>
        <v/>
      </c>
      <c r="L31" s="148">
        <f>IFERROR((J31*(1-Settings!$C$17)-C31)/(J31*(1-Settings!$C$17)),"")</f>
        <v/>
      </c>
      <c r="M31" s="149">
        <f>IFERROR(IF(J31="","",IF(J31&gt;=C31/(1-SKU_Base!AA31)/(1-Settings!$C$17),"OK",IF(J31&gt;=C31/(1-SKU_Base!AH31)/(1-Settings!$C$17),"WARN","STOP"))),"")</f>
        <v/>
      </c>
      <c r="N31" s="161">
        <f>IFERROR(ROUND(D31*(1-CHOOSE(MATCH(IF($E31="","Основний",$E31),{"Трафіковий","Основний","Маржинальний","Сезонний","Стратегічний"},0),Settings!$D$78,Settings!$D$80,Settings!$D$82,Settings!$D$84,Settings!$D$86))/6,2)*6,"")</f>
        <v/>
      </c>
      <c r="O31" s="142">
        <f>IFERROR(CHOOSE(MATCH(IF($E31="","Основний",$E31),{"Трафіковий","Основний","Маржинальний","Сезонний","Стратегічний"},0),Settings!$D$78,Settings!$D$80,Settings!$D$82,Settings!$D$84,Settings!$D$86),"")</f>
        <v/>
      </c>
      <c r="P31" s="148">
        <f>IFERROR((N31*(1-Settings!$D$17)-C31)/(N31*(1-Settings!$D$17)),"")</f>
        <v/>
      </c>
      <c r="Q31" s="149">
        <f>IFERROR(IF(N31="","",IF(N31&gt;=C31/(1-SKU_Base!AB31)/(1-Settings!$D$17),"OK",IF(N31&gt;=C31/(1-SKU_Base!AI31)/(1-Settings!$D$17),"WARN","STOP"))),"")</f>
        <v/>
      </c>
      <c r="R31" s="161">
        <f>IFERROR(ROUND(D31*(1-CHOOSE(MATCH(IF($E31="","Основний",$E31),{"Трафіковий","Основний","Маржинальний","Сезонний","Стратегічний"},0),Settings!$E$78,Settings!$E$80,Settings!$E$82,Settings!$E$84,Settings!$E$86))/6,2)*6,"")</f>
        <v/>
      </c>
      <c r="S31" s="142">
        <f>IFERROR(CHOOSE(MATCH(IF($E31="","Основний",$E31),{"Трафіковий","Основний","Маржинальний","Сезонний","Стратегічний"},0),Settings!$E$78,Settings!$E$80,Settings!$E$82,Settings!$E$84,Settings!$E$86),"")</f>
        <v/>
      </c>
      <c r="T31" s="148">
        <f>IFERROR((R31*(1-Settings!$E$17)-C31)/(R31*(1-Settings!$E$17)),"")</f>
        <v/>
      </c>
      <c r="U31" s="149">
        <f>IFERROR(IF(R31="","",IF(R31&gt;=C31/(1-SKU_Base!AC31)/(1-Settings!$E$17),"OK",IF(R31&gt;=C31/(1-SKU_Base!AJ31)/(1-Settings!$E$17),"WARN","STOP"))),"")</f>
        <v/>
      </c>
      <c r="V31" s="161">
        <f>IFERROR(ROUND(D31*(1-CHOOSE(MATCH(IF($E31="","Основний",$E31),{"Трафіковий","Основний","Маржинальний","Сезонний","Стратегічний"},0),Settings!$F$78,Settings!$F$80,Settings!$F$82,Settings!$F$84,Settings!$F$86))/6,2)*6,"")</f>
        <v/>
      </c>
      <c r="W31" s="142">
        <f>IFERROR(CHOOSE(MATCH(IF($E31="","Основний",$E31),{"Трафіковий","Основний","Маржинальний","Сезонний","Стратегічний"},0),Settings!$F$78,Settings!$F$80,Settings!$F$82,Settings!$F$84,Settings!$F$86),"")</f>
        <v/>
      </c>
      <c r="X31" s="148">
        <f>IFERROR((V31*(1-Settings!$F$17)-C31)/(V31*(1-Settings!$F$17)),"")</f>
        <v/>
      </c>
      <c r="Y31" s="149">
        <f>IFERROR(IF(V31="","",IF(V31&gt;=C31/(1-SKU_Base!AD31)/(1-Settings!$F$17),"OK",IF(V31&gt;=C31/(1-SKU_Base!AK31)/(1-Settings!$F$17),"WARN","STOP"))),"")</f>
        <v/>
      </c>
      <c r="Z31" s="161">
        <f>IFERROR(ROUND(D31*(1-CHOOSE(MATCH(IF($E31="","Основний",$E31),{"Трафіковий","Основний","Маржинальний","Сезонний","Стратегічний"},0),Settings!$G$78,Settings!$G$80,Settings!$G$82,Settings!$G$84,Settings!$G$86))/6,2)*6,"")</f>
        <v/>
      </c>
      <c r="AA31" s="142">
        <f>IFERROR(CHOOSE(MATCH(IF($E31="","Основний",$E31),{"Трафіковий","Основний","Маржинальний","Сезонний","Стратегічний"},0),Settings!$G$78,Settings!$G$80,Settings!$G$82,Settings!$G$84,Settings!$G$86),"")</f>
        <v/>
      </c>
      <c r="AB31" s="148">
        <f>IFERROR((Z31*(1-Settings!$G$17)-C31)/(Z31*(1-Settings!$G$17)),"")</f>
        <v/>
      </c>
      <c r="AC31" s="149">
        <f>IFERROR(IF(Z31="","",IF(Z31&gt;=C31/(1-SKU_Base!AE31)/(1-Settings!$G$17),"OK",IF(Z31&gt;=C31/(1-SKU_Base!AL31)/(1-Settings!$G$17),"WARN","STOP"))),"")</f>
        <v/>
      </c>
      <c r="AD31" s="161">
        <f>IFERROR(ROUND(D31*(1-CHOOSE(MATCH(IF($E31="","Основний",$E31),{"Трафіковий","Основний","Маржинальний","Сезонний","Стратегічний"},0),Settings!$H$78,Settings!$H$80,Settings!$H$82,Settings!$H$84,Settings!$H$86))*(1-Settings!$H$68)/6,2)*6,"")</f>
        <v/>
      </c>
      <c r="AE31" s="142">
        <f>IFERROR(CHOOSE(MATCH(IF($E31="","Основний",$E31),{"Трафіковий","Основний","Маржинальний","Сезонний","Стратегічний"},0),Settings!$H$78,Settings!$H$80,Settings!$H$82,Settings!$H$84,Settings!$H$86)+(1-(CHOOSE(MATCH(IF($E31="","Основний",$E31),{"Трафіковий","Основний","Маржинальний","Сезонний","Стратегічний"},0),Settings!$H$78,Settings!$H$80,Settings!$H$82,Settings!$H$84,Settings!$H$86)))*Settings!$H$68,"")</f>
        <v/>
      </c>
      <c r="AF31" s="148">
        <f>IFERROR((AD31*(1-Settings!$H$17)-C31)/(AD31*(1-Settings!$H$17)),"")</f>
        <v/>
      </c>
      <c r="AG31" s="149">
        <f>IFERROR(IF(AD31="","",IF(AD31&gt;=C31/(1-SKU_Base!AF31)/(1-Settings!$H$17),"OK",IF(AD31&gt;=C31/(1-SKU_Base!AM31)/(1-Settings!$H$17),"WARN","STOP"))),"")</f>
        <v/>
      </c>
    </row>
    <row r="32" ht="17" customHeight="1" s="179">
      <c r="A32" s="139">
        <f>SKU_Base!B32</f>
        <v/>
      </c>
      <c r="B32" s="139">
        <f>SKU_Base!C32</f>
        <v/>
      </c>
      <c r="C32" s="140">
        <f>IFERROR(SKU_Base!I32,"")</f>
        <v/>
      </c>
      <c r="D32" s="163">
        <f>IFERROR(SKU_Base!T32,"")</f>
        <v/>
      </c>
      <c r="E32" s="141">
        <f>IFERROR(SKU_Base!$U32,"")</f>
        <v/>
      </c>
      <c r="F32" s="158">
        <f>IFERROR(ROUND(D32*(1-CHOOSE(MATCH(IF($E32="","Основний",$E32),{"Трафіковий","Основний","Маржинальний","Сезонний","Стратегічний"},0),Settings!$B$78,Settings!$B$80,Settings!$B$82,Settings!$B$84,Settings!$B$86))/6,2)*6,"")</f>
        <v/>
      </c>
      <c r="G32" s="142">
        <f>IFERROR(CHOOSE(MATCH(IF($E32="","Основний",$E32),{"Трафіковий","Основний","Маржинальний","Сезонний","Стратегічний"},0),Settings!$B$78,Settings!$B$80,Settings!$B$82,Settings!$B$84,Settings!$B$86),"")</f>
        <v/>
      </c>
      <c r="H32" s="143">
        <f>IFERROR((F32*(1-Settings!$B$17)-C32)/(F32*(1-Settings!$B$17)),"")</f>
        <v/>
      </c>
      <c r="I32" s="149">
        <f>IFERROR(IF(F32="","",IF(F32&gt;=C32/(1-SKU_Base!Z32)/(1-Settings!$B$17),"OK",IF(F32&gt;=C32/(1-SKU_Base!AG32)/(1-Settings!$B$17),"WARN","STOP"))),"")</f>
        <v/>
      </c>
      <c r="J32" s="158">
        <f>IFERROR(ROUND(D32*(1-CHOOSE(MATCH(IF($E32="","Основний",$E32),{"Трафіковий","Основний","Маржинальний","Сезонний","Стратегічний"},0),Settings!$C$78,Settings!$C$80,Settings!$C$82,Settings!$C$84,Settings!$C$86))/6,2)*6,"")</f>
        <v/>
      </c>
      <c r="K32" s="142">
        <f>IFERROR(CHOOSE(MATCH(IF($E32="","Основний",$E32),{"Трафіковий","Основний","Маржинальний","Сезонний","Стратегічний"},0),Settings!$C$78,Settings!$C$80,Settings!$C$82,Settings!$C$84,Settings!$C$86),"")</f>
        <v/>
      </c>
      <c r="L32" s="143">
        <f>IFERROR((J32*(1-Settings!$C$17)-C32)/(J32*(1-Settings!$C$17)),"")</f>
        <v/>
      </c>
      <c r="M32" s="149">
        <f>IFERROR(IF(J32="","",IF(J32&gt;=C32/(1-SKU_Base!AA32)/(1-Settings!$C$17),"OK",IF(J32&gt;=C32/(1-SKU_Base!AH32)/(1-Settings!$C$17),"WARN","STOP"))),"")</f>
        <v/>
      </c>
      <c r="N32" s="159">
        <f>IFERROR(ROUND(D32*(1-CHOOSE(MATCH(IF($E32="","Основний",$E32),{"Трафіковий","Основний","Маржинальний","Сезонний","Стратегічний"},0),Settings!$D$78,Settings!$D$80,Settings!$D$82,Settings!$D$84,Settings!$D$86))/6,2)*6,"")</f>
        <v/>
      </c>
      <c r="O32" s="142">
        <f>IFERROR(CHOOSE(MATCH(IF($E32="","Основний",$E32),{"Трафіковий","Основний","Маржинальний","Сезонний","Стратегічний"},0),Settings!$D$78,Settings!$D$80,Settings!$D$82,Settings!$D$84,Settings!$D$86),"")</f>
        <v/>
      </c>
      <c r="P32" s="143">
        <f>IFERROR((N32*(1-Settings!$D$17)-C32)/(N32*(1-Settings!$D$17)),"")</f>
        <v/>
      </c>
      <c r="Q32" s="149">
        <f>IFERROR(IF(N32="","",IF(N32&gt;=C32/(1-SKU_Base!AB32)/(1-Settings!$D$17),"OK",IF(N32&gt;=C32/(1-SKU_Base!AI32)/(1-Settings!$D$17),"WARN","STOP"))),"")</f>
        <v/>
      </c>
      <c r="R32" s="159">
        <f>IFERROR(ROUND(D32*(1-CHOOSE(MATCH(IF($E32="","Основний",$E32),{"Трафіковий","Основний","Маржинальний","Сезонний","Стратегічний"},0),Settings!$E$78,Settings!$E$80,Settings!$E$82,Settings!$E$84,Settings!$E$86))/6,2)*6,"")</f>
        <v/>
      </c>
      <c r="S32" s="142">
        <f>IFERROR(CHOOSE(MATCH(IF($E32="","Основний",$E32),{"Трафіковий","Основний","Маржинальний","Сезонний","Стратегічний"},0),Settings!$E$78,Settings!$E$80,Settings!$E$82,Settings!$E$84,Settings!$E$86),"")</f>
        <v/>
      </c>
      <c r="T32" s="143">
        <f>IFERROR((R32*(1-Settings!$E$17)-C32)/(R32*(1-Settings!$E$17)),"")</f>
        <v/>
      </c>
      <c r="U32" s="149">
        <f>IFERROR(IF(R32="","",IF(R32&gt;=C32/(1-SKU_Base!AC32)/(1-Settings!$E$17),"OK",IF(R32&gt;=C32/(1-SKU_Base!AJ32)/(1-Settings!$E$17),"WARN","STOP"))),"")</f>
        <v/>
      </c>
      <c r="V32" s="159">
        <f>IFERROR(ROUND(D32*(1-CHOOSE(MATCH(IF($E32="","Основний",$E32),{"Трафіковий","Основний","Маржинальний","Сезонний","Стратегічний"},0),Settings!$F$78,Settings!$F$80,Settings!$F$82,Settings!$F$84,Settings!$F$86))/6,2)*6,"")</f>
        <v/>
      </c>
      <c r="W32" s="142">
        <f>IFERROR(CHOOSE(MATCH(IF($E32="","Основний",$E32),{"Трафіковий","Основний","Маржинальний","Сезонний","Стратегічний"},0),Settings!$F$78,Settings!$F$80,Settings!$F$82,Settings!$F$84,Settings!$F$86),"")</f>
        <v/>
      </c>
      <c r="X32" s="143">
        <f>IFERROR((V32*(1-Settings!$F$17)-C32)/(V32*(1-Settings!$F$17)),"")</f>
        <v/>
      </c>
      <c r="Y32" s="149">
        <f>IFERROR(IF(V32="","",IF(V32&gt;=C32/(1-SKU_Base!AD32)/(1-Settings!$F$17),"OK",IF(V32&gt;=C32/(1-SKU_Base!AK32)/(1-Settings!$F$17),"WARN","STOP"))),"")</f>
        <v/>
      </c>
      <c r="Z32" s="159">
        <f>IFERROR(ROUND(D32*(1-CHOOSE(MATCH(IF($E32="","Основний",$E32),{"Трафіковий","Основний","Маржинальний","Сезонний","Стратегічний"},0),Settings!$G$78,Settings!$G$80,Settings!$G$82,Settings!$G$84,Settings!$G$86))/6,2)*6,"")</f>
        <v/>
      </c>
      <c r="AA32" s="142">
        <f>IFERROR(CHOOSE(MATCH(IF($E32="","Основний",$E32),{"Трафіковий","Основний","Маржинальний","Сезонний","Стратегічний"},0),Settings!$G$78,Settings!$G$80,Settings!$G$82,Settings!$G$84,Settings!$G$86),"")</f>
        <v/>
      </c>
      <c r="AB32" s="143">
        <f>IFERROR((Z32*(1-Settings!$G$17)-C32)/(Z32*(1-Settings!$G$17)),"")</f>
        <v/>
      </c>
      <c r="AC32" s="149">
        <f>IFERROR(IF(Z32="","",IF(Z32&gt;=C32/(1-SKU_Base!AE32)/(1-Settings!$G$17),"OK",IF(Z32&gt;=C32/(1-SKU_Base!AL32)/(1-Settings!$G$17),"WARN","STOP"))),"")</f>
        <v/>
      </c>
      <c r="AD32" s="159">
        <f>IFERROR(ROUND(D32*(1-CHOOSE(MATCH(IF($E32="","Основний",$E32),{"Трафіковий","Основний","Маржинальний","Сезонний","Стратегічний"},0),Settings!$H$78,Settings!$H$80,Settings!$H$82,Settings!$H$84,Settings!$H$86))*(1-Settings!$H$68)/6,2)*6,"")</f>
        <v/>
      </c>
      <c r="AE32" s="142">
        <f>IFERROR(CHOOSE(MATCH(IF($E32="","Основний",$E32),{"Трафіковий","Основний","Маржинальний","Сезонний","Стратегічний"},0),Settings!$H$78,Settings!$H$80,Settings!$H$82,Settings!$H$84,Settings!$H$86)+(1-(CHOOSE(MATCH(IF($E32="","Основний",$E32),{"Трафіковий","Основний","Маржинальний","Сезонний","Стратегічний"},0),Settings!$H$78,Settings!$H$80,Settings!$H$82,Settings!$H$84,Settings!$H$86)))*Settings!$H$68,"")</f>
        <v/>
      </c>
      <c r="AF32" s="143">
        <f>IFERROR((AD32*(1-Settings!$H$17)-C32)/(AD32*(1-Settings!$H$17)),"")</f>
        <v/>
      </c>
      <c r="AG32" s="150">
        <f>IFERROR(IF(AD32="","",IF(AD32&gt;=C32/(1-SKU_Base!AF32)/(1-Settings!$H$17),"OK",IF(AD32&gt;=C32/(1-SKU_Base!AM32)/(1-Settings!$H$17),"WARN","STOP"))),"")</f>
        <v/>
      </c>
    </row>
    <row r="33" ht="17" customHeight="1" s="179">
      <c r="A33" s="146">
        <f>SKU_Base!B33</f>
        <v/>
      </c>
      <c r="B33" s="146">
        <f>SKU_Base!C33</f>
        <v/>
      </c>
      <c r="C33" s="147">
        <f>IFERROR(SKU_Base!I33,"")</f>
        <v/>
      </c>
      <c r="D33" s="164">
        <f>IFERROR(SKU_Base!T33,"")</f>
        <v/>
      </c>
      <c r="E33" s="141">
        <f>IFERROR(SKU_Base!$U33,"")</f>
        <v/>
      </c>
      <c r="F33" s="160">
        <f>IFERROR(ROUND(D33*(1-CHOOSE(MATCH(IF($E33="","Основний",$E33),{"Трафіковий","Основний","Маржинальний","Сезонний","Стратегічний"},0),Settings!$B$78,Settings!$B$80,Settings!$B$82,Settings!$B$84,Settings!$B$86))/6,2)*6,"")</f>
        <v/>
      </c>
      <c r="G33" s="142">
        <f>IFERROR(CHOOSE(MATCH(IF($E33="","Основний",$E33),{"Трафіковий","Основний","Маржинальний","Сезонний","Стратегічний"},0),Settings!$B$78,Settings!$B$80,Settings!$B$82,Settings!$B$84,Settings!$B$86),"")</f>
        <v/>
      </c>
      <c r="H33" s="148">
        <f>IFERROR((F33*(1-Settings!$B$17)-C33)/(F33*(1-Settings!$B$17)),"")</f>
        <v/>
      </c>
      <c r="I33" s="149">
        <f>IFERROR(IF(F33="","",IF(F33&gt;=C33/(1-SKU_Base!Z33)/(1-Settings!$B$17),"OK",IF(F33&gt;=C33/(1-SKU_Base!AG33)/(1-Settings!$B$17),"WARN","STOP"))),"")</f>
        <v/>
      </c>
      <c r="J33" s="160">
        <f>IFERROR(ROUND(D33*(1-CHOOSE(MATCH(IF($E33="","Основний",$E33),{"Трафіковий","Основний","Маржинальний","Сезонний","Стратегічний"},0),Settings!$C$78,Settings!$C$80,Settings!$C$82,Settings!$C$84,Settings!$C$86))/6,2)*6,"")</f>
        <v/>
      </c>
      <c r="K33" s="142">
        <f>IFERROR(CHOOSE(MATCH(IF($E33="","Основний",$E33),{"Трафіковий","Основний","Маржинальний","Сезонний","Стратегічний"},0),Settings!$C$78,Settings!$C$80,Settings!$C$82,Settings!$C$84,Settings!$C$86),"")</f>
        <v/>
      </c>
      <c r="L33" s="148">
        <f>IFERROR((J33*(1-Settings!$C$17)-C33)/(J33*(1-Settings!$C$17)),"")</f>
        <v/>
      </c>
      <c r="M33" s="149">
        <f>IFERROR(IF(J33="","",IF(J33&gt;=C33/(1-SKU_Base!AA33)/(1-Settings!$C$17),"OK",IF(J33&gt;=C33/(1-SKU_Base!AH33)/(1-Settings!$C$17),"WARN","STOP"))),"")</f>
        <v/>
      </c>
      <c r="N33" s="161">
        <f>IFERROR(ROUND(D33*(1-CHOOSE(MATCH(IF($E33="","Основний",$E33),{"Трафіковий","Основний","Маржинальний","Сезонний","Стратегічний"},0),Settings!$D$78,Settings!$D$80,Settings!$D$82,Settings!$D$84,Settings!$D$86))/6,2)*6,"")</f>
        <v/>
      </c>
      <c r="O33" s="142">
        <f>IFERROR(CHOOSE(MATCH(IF($E33="","Основний",$E33),{"Трафіковий","Основний","Маржинальний","Сезонний","Стратегічний"},0),Settings!$D$78,Settings!$D$80,Settings!$D$82,Settings!$D$84,Settings!$D$86),"")</f>
        <v/>
      </c>
      <c r="P33" s="148">
        <f>IFERROR((N33*(1-Settings!$D$17)-C33)/(N33*(1-Settings!$D$17)),"")</f>
        <v/>
      </c>
      <c r="Q33" s="149">
        <f>IFERROR(IF(N33="","",IF(N33&gt;=C33/(1-SKU_Base!AB33)/(1-Settings!$D$17),"OK",IF(N33&gt;=C33/(1-SKU_Base!AI33)/(1-Settings!$D$17),"WARN","STOP"))),"")</f>
        <v/>
      </c>
      <c r="R33" s="161">
        <f>IFERROR(ROUND(D33*(1-CHOOSE(MATCH(IF($E33="","Основний",$E33),{"Трафіковий","Основний","Маржинальний","Сезонний","Стратегічний"},0),Settings!$E$78,Settings!$E$80,Settings!$E$82,Settings!$E$84,Settings!$E$86))/6,2)*6,"")</f>
        <v/>
      </c>
      <c r="S33" s="142">
        <f>IFERROR(CHOOSE(MATCH(IF($E33="","Основний",$E33),{"Трафіковий","Основний","Маржинальний","Сезонний","Стратегічний"},0),Settings!$E$78,Settings!$E$80,Settings!$E$82,Settings!$E$84,Settings!$E$86),"")</f>
        <v/>
      </c>
      <c r="T33" s="148">
        <f>IFERROR((R33*(1-Settings!$E$17)-C33)/(R33*(1-Settings!$E$17)),"")</f>
        <v/>
      </c>
      <c r="U33" s="149">
        <f>IFERROR(IF(R33="","",IF(R33&gt;=C33/(1-SKU_Base!AC33)/(1-Settings!$E$17),"OK",IF(R33&gt;=C33/(1-SKU_Base!AJ33)/(1-Settings!$E$17),"WARN","STOP"))),"")</f>
        <v/>
      </c>
      <c r="V33" s="161">
        <f>IFERROR(ROUND(D33*(1-CHOOSE(MATCH(IF($E33="","Основний",$E33),{"Трафіковий","Основний","Маржинальний","Сезонний","Стратегічний"},0),Settings!$F$78,Settings!$F$80,Settings!$F$82,Settings!$F$84,Settings!$F$86))/6,2)*6,"")</f>
        <v/>
      </c>
      <c r="W33" s="142">
        <f>IFERROR(CHOOSE(MATCH(IF($E33="","Основний",$E33),{"Трафіковий","Основний","Маржинальний","Сезонний","Стратегічний"},0),Settings!$F$78,Settings!$F$80,Settings!$F$82,Settings!$F$84,Settings!$F$86),"")</f>
        <v/>
      </c>
      <c r="X33" s="148">
        <f>IFERROR((V33*(1-Settings!$F$17)-C33)/(V33*(1-Settings!$F$17)),"")</f>
        <v/>
      </c>
      <c r="Y33" s="149">
        <f>IFERROR(IF(V33="","",IF(V33&gt;=C33/(1-SKU_Base!AD33)/(1-Settings!$F$17),"OK",IF(V33&gt;=C33/(1-SKU_Base!AK33)/(1-Settings!$F$17),"WARN","STOP"))),"")</f>
        <v/>
      </c>
      <c r="Z33" s="161">
        <f>IFERROR(ROUND(D33*(1-CHOOSE(MATCH(IF($E33="","Основний",$E33),{"Трафіковий","Основний","Маржинальний","Сезонний","Стратегічний"},0),Settings!$G$78,Settings!$G$80,Settings!$G$82,Settings!$G$84,Settings!$G$86))/6,2)*6,"")</f>
        <v/>
      </c>
      <c r="AA33" s="142">
        <f>IFERROR(CHOOSE(MATCH(IF($E33="","Основний",$E33),{"Трафіковий","Основний","Маржинальний","Сезонний","Стратегічний"},0),Settings!$G$78,Settings!$G$80,Settings!$G$82,Settings!$G$84,Settings!$G$86),"")</f>
        <v/>
      </c>
      <c r="AB33" s="148">
        <f>IFERROR((Z33*(1-Settings!$G$17)-C33)/(Z33*(1-Settings!$G$17)),"")</f>
        <v/>
      </c>
      <c r="AC33" s="149">
        <f>IFERROR(IF(Z33="","",IF(Z33&gt;=C33/(1-SKU_Base!AE33)/(1-Settings!$G$17),"OK",IF(Z33&gt;=C33/(1-SKU_Base!AL33)/(1-Settings!$G$17),"WARN","STOP"))),"")</f>
        <v/>
      </c>
      <c r="AD33" s="161">
        <f>IFERROR(ROUND(D33*(1-CHOOSE(MATCH(IF($E33="","Основний",$E33),{"Трафіковий","Основний","Маржинальний","Сезонний","Стратегічний"},0),Settings!$H$78,Settings!$H$80,Settings!$H$82,Settings!$H$84,Settings!$H$86))*(1-Settings!$H$68)/6,2)*6,"")</f>
        <v/>
      </c>
      <c r="AE33" s="142">
        <f>IFERROR(CHOOSE(MATCH(IF($E33="","Основний",$E33),{"Трафіковий","Основний","Маржинальний","Сезонний","Стратегічний"},0),Settings!$H$78,Settings!$H$80,Settings!$H$82,Settings!$H$84,Settings!$H$86)+(1-(CHOOSE(MATCH(IF($E33="","Основний",$E33),{"Трафіковий","Основний","Маржинальний","Сезонний","Стратегічний"},0),Settings!$H$78,Settings!$H$80,Settings!$H$82,Settings!$H$84,Settings!$H$86)))*Settings!$H$68,"")</f>
        <v/>
      </c>
      <c r="AF33" s="148">
        <f>IFERROR((AD33*(1-Settings!$H$17)-C33)/(AD33*(1-Settings!$H$17)),"")</f>
        <v/>
      </c>
      <c r="AG33" s="150">
        <f>IFERROR(IF(AD33="","",IF(AD33&gt;=C33/(1-SKU_Base!AF33)/(1-Settings!$H$17),"OK",IF(AD33&gt;=C33/(1-SKU_Base!AM33)/(1-Settings!$H$17),"WARN","STOP"))),"")</f>
        <v/>
      </c>
    </row>
    <row r="34" ht="17" customHeight="1" s="179">
      <c r="A34" s="139">
        <f>SKU_Base!B34</f>
        <v/>
      </c>
      <c r="B34" s="139">
        <f>SKU_Base!C34</f>
        <v/>
      </c>
      <c r="C34" s="140">
        <f>IFERROR(SKU_Base!I34,"")</f>
        <v/>
      </c>
      <c r="D34" s="163">
        <f>IFERROR(SKU_Base!T34,"")</f>
        <v/>
      </c>
      <c r="E34" s="141">
        <f>IFERROR(SKU_Base!$U34,"")</f>
        <v/>
      </c>
      <c r="F34" s="158">
        <f>IFERROR(ROUND(D34*(1-CHOOSE(MATCH(IF($E34="","Основний",$E34),{"Трафіковий","Основний","Маржинальний","Сезонний","Стратегічний"},0),Settings!$B$78,Settings!$B$80,Settings!$B$82,Settings!$B$84,Settings!$B$86))/6,2)*6,"")</f>
        <v/>
      </c>
      <c r="G34" s="142">
        <f>IFERROR(CHOOSE(MATCH(IF($E34="","Основний",$E34),{"Трафіковий","Основний","Маржинальний","Сезонний","Стратегічний"},0),Settings!$B$78,Settings!$B$80,Settings!$B$82,Settings!$B$84,Settings!$B$86),"")</f>
        <v/>
      </c>
      <c r="H34" s="143">
        <f>IFERROR((F34*(1-Settings!$B$17)-C34)/(F34*(1-Settings!$B$17)),"")</f>
        <v/>
      </c>
      <c r="I34" s="150">
        <f>IFERROR(IF(F34="","",IF(F34&gt;=C34/(1-SKU_Base!Z34)/(1-Settings!$B$17),"OK",IF(F34&gt;=C34/(1-SKU_Base!AG34)/(1-Settings!$B$17),"WARN","STOP"))),"")</f>
        <v/>
      </c>
      <c r="J34" s="158">
        <f>IFERROR(ROUND(D34*(1-CHOOSE(MATCH(IF($E34="","Основний",$E34),{"Трафіковий","Основний","Маржинальний","Сезонний","Стратегічний"},0),Settings!$C$78,Settings!$C$80,Settings!$C$82,Settings!$C$84,Settings!$C$86))/6,2)*6,"")</f>
        <v/>
      </c>
      <c r="K34" s="142">
        <f>IFERROR(CHOOSE(MATCH(IF($E34="","Основний",$E34),{"Трафіковий","Основний","Маржинальний","Сезонний","Стратегічний"},0),Settings!$C$78,Settings!$C$80,Settings!$C$82,Settings!$C$84,Settings!$C$86),"")</f>
        <v/>
      </c>
      <c r="L34" s="143">
        <f>IFERROR((J34*(1-Settings!$C$17)-C34)/(J34*(1-Settings!$C$17)),"")</f>
        <v/>
      </c>
      <c r="M34" s="149">
        <f>IFERROR(IF(J34="","",IF(J34&gt;=C34/(1-SKU_Base!AA34)/(1-Settings!$C$17),"OK",IF(J34&gt;=C34/(1-SKU_Base!AH34)/(1-Settings!$C$17),"WARN","STOP"))),"")</f>
        <v/>
      </c>
      <c r="N34" s="159">
        <f>IFERROR(ROUND(D34*(1-CHOOSE(MATCH(IF($E34="","Основний",$E34),{"Трафіковий","Основний","Маржинальний","Сезонний","Стратегічний"},0),Settings!$D$78,Settings!$D$80,Settings!$D$82,Settings!$D$84,Settings!$D$86))/6,2)*6,"")</f>
        <v/>
      </c>
      <c r="O34" s="142">
        <f>IFERROR(CHOOSE(MATCH(IF($E34="","Основний",$E34),{"Трафіковий","Основний","Маржинальний","Сезонний","Стратегічний"},0),Settings!$D$78,Settings!$D$80,Settings!$D$82,Settings!$D$84,Settings!$D$86),"")</f>
        <v/>
      </c>
      <c r="P34" s="143">
        <f>IFERROR((N34*(1-Settings!$D$17)-C34)/(N34*(1-Settings!$D$17)),"")</f>
        <v/>
      </c>
      <c r="Q34" s="149">
        <f>IFERROR(IF(N34="","",IF(N34&gt;=C34/(1-SKU_Base!AB34)/(1-Settings!$D$17),"OK",IF(N34&gt;=C34/(1-SKU_Base!AI34)/(1-Settings!$D$17),"WARN","STOP"))),"")</f>
        <v/>
      </c>
      <c r="R34" s="159">
        <f>IFERROR(ROUND(D34*(1-CHOOSE(MATCH(IF($E34="","Основний",$E34),{"Трафіковий","Основний","Маржинальний","Сезонний","Стратегічний"},0),Settings!$E$78,Settings!$E$80,Settings!$E$82,Settings!$E$84,Settings!$E$86))/6,2)*6,"")</f>
        <v/>
      </c>
      <c r="S34" s="142">
        <f>IFERROR(CHOOSE(MATCH(IF($E34="","Основний",$E34),{"Трафіковий","Основний","Маржинальний","Сезонний","Стратегічний"},0),Settings!$E$78,Settings!$E$80,Settings!$E$82,Settings!$E$84,Settings!$E$86),"")</f>
        <v/>
      </c>
      <c r="T34" s="143">
        <f>IFERROR((R34*(1-Settings!$E$17)-C34)/(R34*(1-Settings!$E$17)),"")</f>
        <v/>
      </c>
      <c r="U34" s="149">
        <f>IFERROR(IF(R34="","",IF(R34&gt;=C34/(1-SKU_Base!AC34)/(1-Settings!$E$17),"OK",IF(R34&gt;=C34/(1-SKU_Base!AJ34)/(1-Settings!$E$17),"WARN","STOP"))),"")</f>
        <v/>
      </c>
      <c r="V34" s="159">
        <f>IFERROR(ROUND(D34*(1-CHOOSE(MATCH(IF($E34="","Основний",$E34),{"Трафіковий","Основний","Маржинальний","Сезонний","Стратегічний"},0),Settings!$F$78,Settings!$F$80,Settings!$F$82,Settings!$F$84,Settings!$F$86))/6,2)*6,"")</f>
        <v/>
      </c>
      <c r="W34" s="142">
        <f>IFERROR(CHOOSE(MATCH(IF($E34="","Основний",$E34),{"Трафіковий","Основний","Маржинальний","Сезонний","Стратегічний"},0),Settings!$F$78,Settings!$F$80,Settings!$F$82,Settings!$F$84,Settings!$F$86),"")</f>
        <v/>
      </c>
      <c r="X34" s="143">
        <f>IFERROR((V34*(1-Settings!$F$17)-C34)/(V34*(1-Settings!$F$17)),"")</f>
        <v/>
      </c>
      <c r="Y34" s="149">
        <f>IFERROR(IF(V34="","",IF(V34&gt;=C34/(1-SKU_Base!AD34)/(1-Settings!$F$17),"OK",IF(V34&gt;=C34/(1-SKU_Base!AK34)/(1-Settings!$F$17),"WARN","STOP"))),"")</f>
        <v/>
      </c>
      <c r="Z34" s="159">
        <f>IFERROR(ROUND(D34*(1-CHOOSE(MATCH(IF($E34="","Основний",$E34),{"Трафіковий","Основний","Маржинальний","Сезонний","Стратегічний"},0),Settings!$G$78,Settings!$G$80,Settings!$G$82,Settings!$G$84,Settings!$G$86))/6,2)*6,"")</f>
        <v/>
      </c>
      <c r="AA34" s="142">
        <f>IFERROR(CHOOSE(MATCH(IF($E34="","Основний",$E34),{"Трафіковий","Основний","Маржинальний","Сезонний","Стратегічний"},0),Settings!$G$78,Settings!$G$80,Settings!$G$82,Settings!$G$84,Settings!$G$86),"")</f>
        <v/>
      </c>
      <c r="AB34" s="143">
        <f>IFERROR((Z34*(1-Settings!$G$17)-C34)/(Z34*(1-Settings!$G$17)),"")</f>
        <v/>
      </c>
      <c r="AC34" s="149">
        <f>IFERROR(IF(Z34="","",IF(Z34&gt;=C34/(1-SKU_Base!AE34)/(1-Settings!$G$17),"OK",IF(Z34&gt;=C34/(1-SKU_Base!AL34)/(1-Settings!$G$17),"WARN","STOP"))),"")</f>
        <v/>
      </c>
      <c r="AD34" s="159">
        <f>IFERROR(ROUND(D34*(1-CHOOSE(MATCH(IF($E34="","Основний",$E34),{"Трафіковий","Основний","Маржинальний","Сезонний","Стратегічний"},0),Settings!$H$78,Settings!$H$80,Settings!$H$82,Settings!$H$84,Settings!$H$86))*(1-Settings!$H$68)/6,2)*6,"")</f>
        <v/>
      </c>
      <c r="AE34" s="142">
        <f>IFERROR(CHOOSE(MATCH(IF($E34="","Основний",$E34),{"Трафіковий","Основний","Маржинальний","Сезонний","Стратегічний"},0),Settings!$H$78,Settings!$H$80,Settings!$H$82,Settings!$H$84,Settings!$H$86)+(1-(CHOOSE(MATCH(IF($E34="","Основний",$E34),{"Трафіковий","Основний","Маржинальний","Сезонний","Стратегічний"},0),Settings!$H$78,Settings!$H$80,Settings!$H$82,Settings!$H$84,Settings!$H$86)))*Settings!$H$68,"")</f>
        <v/>
      </c>
      <c r="AF34" s="143">
        <f>IFERROR((AD34*(1-Settings!$H$17)-C34)/(AD34*(1-Settings!$H$17)),"")</f>
        <v/>
      </c>
      <c r="AG34" s="150">
        <f>IFERROR(IF(AD34="","",IF(AD34&gt;=C34/(1-SKU_Base!AF34)/(1-Settings!$H$17),"OK",IF(AD34&gt;=C34/(1-SKU_Base!AM34)/(1-Settings!$H$17),"WARN","STOP"))),"")</f>
        <v/>
      </c>
    </row>
    <row r="35" ht="17" customHeight="1" s="179">
      <c r="A35" s="146">
        <f>SKU_Base!B35</f>
        <v/>
      </c>
      <c r="B35" s="146">
        <f>SKU_Base!C35</f>
        <v/>
      </c>
      <c r="C35" s="147">
        <f>IFERROR(SKU_Base!I35,"")</f>
        <v/>
      </c>
      <c r="D35" s="164">
        <f>IFERROR(SKU_Base!T35,"")</f>
        <v/>
      </c>
      <c r="E35" s="141">
        <f>IFERROR(SKU_Base!$U35,"")</f>
        <v/>
      </c>
      <c r="F35" s="160">
        <f>IFERROR(ROUND(D35*(1-CHOOSE(MATCH(IF($E35="","Основний",$E35),{"Трафіковий","Основний","Маржинальний","Сезонний","Стратегічний"},0),Settings!$B$78,Settings!$B$80,Settings!$B$82,Settings!$B$84,Settings!$B$86))/6,2)*6,"")</f>
        <v/>
      </c>
      <c r="G35" s="142">
        <f>IFERROR(CHOOSE(MATCH(IF($E35="","Основний",$E35),{"Трафіковий","Основний","Маржинальний","Сезонний","Стратегічний"},0),Settings!$B$78,Settings!$B$80,Settings!$B$82,Settings!$B$84,Settings!$B$86),"")</f>
        <v/>
      </c>
      <c r="H35" s="148">
        <f>IFERROR((F35*(1-Settings!$B$17)-C35)/(F35*(1-Settings!$B$17)),"")</f>
        <v/>
      </c>
      <c r="I35" s="149">
        <f>IFERROR(IF(F35="","",IF(F35&gt;=C35/(1-SKU_Base!Z35)/(1-Settings!$B$17),"OK",IF(F35&gt;=C35/(1-SKU_Base!AG35)/(1-Settings!$B$17),"WARN","STOP"))),"")</f>
        <v/>
      </c>
      <c r="J35" s="160">
        <f>IFERROR(ROUND(D35*(1-CHOOSE(MATCH(IF($E35="","Основний",$E35),{"Трафіковий","Основний","Маржинальний","Сезонний","Стратегічний"},0),Settings!$C$78,Settings!$C$80,Settings!$C$82,Settings!$C$84,Settings!$C$86))/6,2)*6,"")</f>
        <v/>
      </c>
      <c r="K35" s="142">
        <f>IFERROR(CHOOSE(MATCH(IF($E35="","Основний",$E35),{"Трафіковий","Основний","Маржинальний","Сезонний","Стратегічний"},0),Settings!$C$78,Settings!$C$80,Settings!$C$82,Settings!$C$84,Settings!$C$86),"")</f>
        <v/>
      </c>
      <c r="L35" s="148">
        <f>IFERROR((J35*(1-Settings!$C$17)-C35)/(J35*(1-Settings!$C$17)),"")</f>
        <v/>
      </c>
      <c r="M35" s="149">
        <f>IFERROR(IF(J35="","",IF(J35&gt;=C35/(1-SKU_Base!AA35)/(1-Settings!$C$17),"OK",IF(J35&gt;=C35/(1-SKU_Base!AH35)/(1-Settings!$C$17),"WARN","STOP"))),"")</f>
        <v/>
      </c>
      <c r="N35" s="161">
        <f>IFERROR(ROUND(D35*(1-CHOOSE(MATCH(IF($E35="","Основний",$E35),{"Трафіковий","Основний","Маржинальний","Сезонний","Стратегічний"},0),Settings!$D$78,Settings!$D$80,Settings!$D$82,Settings!$D$84,Settings!$D$86))/6,2)*6,"")</f>
        <v/>
      </c>
      <c r="O35" s="142">
        <f>IFERROR(CHOOSE(MATCH(IF($E35="","Основний",$E35),{"Трафіковий","Основний","Маржинальний","Сезонний","Стратегічний"},0),Settings!$D$78,Settings!$D$80,Settings!$D$82,Settings!$D$84,Settings!$D$86),"")</f>
        <v/>
      </c>
      <c r="P35" s="148">
        <f>IFERROR((N35*(1-Settings!$D$17)-C35)/(N35*(1-Settings!$D$17)),"")</f>
        <v/>
      </c>
      <c r="Q35" s="149">
        <f>IFERROR(IF(N35="","",IF(N35&gt;=C35/(1-SKU_Base!AB35)/(1-Settings!$D$17),"OK",IF(N35&gt;=C35/(1-SKU_Base!AI35)/(1-Settings!$D$17),"WARN","STOP"))),"")</f>
        <v/>
      </c>
      <c r="R35" s="161">
        <f>IFERROR(ROUND(D35*(1-CHOOSE(MATCH(IF($E35="","Основний",$E35),{"Трафіковий","Основний","Маржинальний","Сезонний","Стратегічний"},0),Settings!$E$78,Settings!$E$80,Settings!$E$82,Settings!$E$84,Settings!$E$86))/6,2)*6,"")</f>
        <v/>
      </c>
      <c r="S35" s="142">
        <f>IFERROR(CHOOSE(MATCH(IF($E35="","Основний",$E35),{"Трафіковий","Основний","Маржинальний","Сезонний","Стратегічний"},0),Settings!$E$78,Settings!$E$80,Settings!$E$82,Settings!$E$84,Settings!$E$86),"")</f>
        <v/>
      </c>
      <c r="T35" s="148">
        <f>IFERROR((R35*(1-Settings!$E$17)-C35)/(R35*(1-Settings!$E$17)),"")</f>
        <v/>
      </c>
      <c r="U35" s="149">
        <f>IFERROR(IF(R35="","",IF(R35&gt;=C35/(1-SKU_Base!AC35)/(1-Settings!$E$17),"OK",IF(R35&gt;=C35/(1-SKU_Base!AJ35)/(1-Settings!$E$17),"WARN","STOP"))),"")</f>
        <v/>
      </c>
      <c r="V35" s="161">
        <f>IFERROR(ROUND(D35*(1-CHOOSE(MATCH(IF($E35="","Основний",$E35),{"Трафіковий","Основний","Маржинальний","Сезонний","Стратегічний"},0),Settings!$F$78,Settings!$F$80,Settings!$F$82,Settings!$F$84,Settings!$F$86))/6,2)*6,"")</f>
        <v/>
      </c>
      <c r="W35" s="142">
        <f>IFERROR(CHOOSE(MATCH(IF($E35="","Основний",$E35),{"Трафіковий","Основний","Маржинальний","Сезонний","Стратегічний"},0),Settings!$F$78,Settings!$F$80,Settings!$F$82,Settings!$F$84,Settings!$F$86),"")</f>
        <v/>
      </c>
      <c r="X35" s="148">
        <f>IFERROR((V35*(1-Settings!$F$17)-C35)/(V35*(1-Settings!$F$17)),"")</f>
        <v/>
      </c>
      <c r="Y35" s="149">
        <f>IFERROR(IF(V35="","",IF(V35&gt;=C35/(1-SKU_Base!AD35)/(1-Settings!$F$17),"OK",IF(V35&gt;=C35/(1-SKU_Base!AK35)/(1-Settings!$F$17),"WARN","STOP"))),"")</f>
        <v/>
      </c>
      <c r="Z35" s="161">
        <f>IFERROR(ROUND(D35*(1-CHOOSE(MATCH(IF($E35="","Основний",$E35),{"Трафіковий","Основний","Маржинальний","Сезонний","Стратегічний"},0),Settings!$G$78,Settings!$G$80,Settings!$G$82,Settings!$G$84,Settings!$G$86))/6,2)*6,"")</f>
        <v/>
      </c>
      <c r="AA35" s="142">
        <f>IFERROR(CHOOSE(MATCH(IF($E35="","Основний",$E35),{"Трафіковий","Основний","Маржинальний","Сезонний","Стратегічний"},0),Settings!$G$78,Settings!$G$80,Settings!$G$82,Settings!$G$84,Settings!$G$86),"")</f>
        <v/>
      </c>
      <c r="AB35" s="148">
        <f>IFERROR((Z35*(1-Settings!$G$17)-C35)/(Z35*(1-Settings!$G$17)),"")</f>
        <v/>
      </c>
      <c r="AC35" s="149">
        <f>IFERROR(IF(Z35="","",IF(Z35&gt;=C35/(1-SKU_Base!AE35)/(1-Settings!$G$17),"OK",IF(Z35&gt;=C35/(1-SKU_Base!AL35)/(1-Settings!$G$17),"WARN","STOP"))),"")</f>
        <v/>
      </c>
      <c r="AD35" s="161">
        <f>IFERROR(ROUND(D35*(1-CHOOSE(MATCH(IF($E35="","Основний",$E35),{"Трафіковий","Основний","Маржинальний","Сезонний","Стратегічний"},0),Settings!$H$78,Settings!$H$80,Settings!$H$82,Settings!$H$84,Settings!$H$86))*(1-Settings!$H$68)/6,2)*6,"")</f>
        <v/>
      </c>
      <c r="AE35" s="142">
        <f>IFERROR(CHOOSE(MATCH(IF($E35="","Основний",$E35),{"Трафіковий","Основний","Маржинальний","Сезонний","Стратегічний"},0),Settings!$H$78,Settings!$H$80,Settings!$H$82,Settings!$H$84,Settings!$H$86)+(1-(CHOOSE(MATCH(IF($E35="","Основний",$E35),{"Трафіковий","Основний","Маржинальний","Сезонний","Стратегічний"},0),Settings!$H$78,Settings!$H$80,Settings!$H$82,Settings!$H$84,Settings!$H$86)))*Settings!$H$68,"")</f>
        <v/>
      </c>
      <c r="AF35" s="148">
        <f>IFERROR((AD35*(1-Settings!$H$17)-C35)/(AD35*(1-Settings!$H$17)),"")</f>
        <v/>
      </c>
      <c r="AG35" s="150">
        <f>IFERROR(IF(AD35="","",IF(AD35&gt;=C35/(1-SKU_Base!AF35)/(1-Settings!$H$17),"OK",IF(AD35&gt;=C35/(1-SKU_Base!AM35)/(1-Settings!$H$17),"WARN","STOP"))),"")</f>
        <v/>
      </c>
    </row>
    <row r="36" ht="17" customHeight="1" s="179">
      <c r="A36" s="139">
        <f>SKU_Base!B36</f>
        <v/>
      </c>
      <c r="B36" s="139">
        <f>SKU_Base!C36</f>
        <v/>
      </c>
      <c r="C36" s="140">
        <f>IFERROR(SKU_Base!I36,"")</f>
        <v/>
      </c>
      <c r="D36" s="163">
        <f>IFERROR(SKU_Base!T36,"")</f>
        <v/>
      </c>
      <c r="E36" s="141">
        <f>IFERROR(SKU_Base!$U36,"")</f>
        <v/>
      </c>
      <c r="F36" s="158">
        <f>IFERROR(ROUND(D36*(1-CHOOSE(MATCH(IF($E36="","Основний",$E36),{"Трафіковий","Основний","Маржинальний","Сезонний","Стратегічний"},0),Settings!$B$78,Settings!$B$80,Settings!$B$82,Settings!$B$84,Settings!$B$86))/6,2)*6,"")</f>
        <v/>
      </c>
      <c r="G36" s="142">
        <f>IFERROR(CHOOSE(MATCH(IF($E36="","Основний",$E36),{"Трафіковий","Основний","Маржинальний","Сезонний","Стратегічний"},0),Settings!$B$78,Settings!$B$80,Settings!$B$82,Settings!$B$84,Settings!$B$86),"")</f>
        <v/>
      </c>
      <c r="H36" s="143">
        <f>IFERROR((F36*(1-Settings!$B$17)-C36)/(F36*(1-Settings!$B$17)),"")</f>
        <v/>
      </c>
      <c r="I36" s="149">
        <f>IFERROR(IF(F36="","",IF(F36&gt;=C36/(1-SKU_Base!Z36)/(1-Settings!$B$17),"OK",IF(F36&gt;=C36/(1-SKU_Base!AG36)/(1-Settings!$B$17),"WARN","STOP"))),"")</f>
        <v/>
      </c>
      <c r="J36" s="158">
        <f>IFERROR(ROUND(D36*(1-CHOOSE(MATCH(IF($E36="","Основний",$E36),{"Трафіковий","Основний","Маржинальний","Сезонний","Стратегічний"},0),Settings!$C$78,Settings!$C$80,Settings!$C$82,Settings!$C$84,Settings!$C$86))/6,2)*6,"")</f>
        <v/>
      </c>
      <c r="K36" s="142">
        <f>IFERROR(CHOOSE(MATCH(IF($E36="","Основний",$E36),{"Трафіковий","Основний","Маржинальний","Сезонний","Стратегічний"},0),Settings!$C$78,Settings!$C$80,Settings!$C$82,Settings!$C$84,Settings!$C$86),"")</f>
        <v/>
      </c>
      <c r="L36" s="143">
        <f>IFERROR((J36*(1-Settings!$C$17)-C36)/(J36*(1-Settings!$C$17)),"")</f>
        <v/>
      </c>
      <c r="M36" s="149">
        <f>IFERROR(IF(J36="","",IF(J36&gt;=C36/(1-SKU_Base!AA36)/(1-Settings!$C$17),"OK",IF(J36&gt;=C36/(1-SKU_Base!AH36)/(1-Settings!$C$17),"WARN","STOP"))),"")</f>
        <v/>
      </c>
      <c r="N36" s="159">
        <f>IFERROR(ROUND(D36*(1-CHOOSE(MATCH(IF($E36="","Основний",$E36),{"Трафіковий","Основний","Маржинальний","Сезонний","Стратегічний"},0),Settings!$D$78,Settings!$D$80,Settings!$D$82,Settings!$D$84,Settings!$D$86))/6,2)*6,"")</f>
        <v/>
      </c>
      <c r="O36" s="142">
        <f>IFERROR(CHOOSE(MATCH(IF($E36="","Основний",$E36),{"Трафіковий","Основний","Маржинальний","Сезонний","Стратегічний"},0),Settings!$D$78,Settings!$D$80,Settings!$D$82,Settings!$D$84,Settings!$D$86),"")</f>
        <v/>
      </c>
      <c r="P36" s="143">
        <f>IFERROR((N36*(1-Settings!$D$17)-C36)/(N36*(1-Settings!$D$17)),"")</f>
        <v/>
      </c>
      <c r="Q36" s="149">
        <f>IFERROR(IF(N36="","",IF(N36&gt;=C36/(1-SKU_Base!AB36)/(1-Settings!$D$17),"OK",IF(N36&gt;=C36/(1-SKU_Base!AI36)/(1-Settings!$D$17),"WARN","STOP"))),"")</f>
        <v/>
      </c>
      <c r="R36" s="159">
        <f>IFERROR(ROUND(D36*(1-CHOOSE(MATCH(IF($E36="","Основний",$E36),{"Трафіковий","Основний","Маржинальний","Сезонний","Стратегічний"},0),Settings!$E$78,Settings!$E$80,Settings!$E$82,Settings!$E$84,Settings!$E$86))/6,2)*6,"")</f>
        <v/>
      </c>
      <c r="S36" s="142">
        <f>IFERROR(CHOOSE(MATCH(IF($E36="","Основний",$E36),{"Трафіковий","Основний","Маржинальний","Сезонний","Стратегічний"},0),Settings!$E$78,Settings!$E$80,Settings!$E$82,Settings!$E$84,Settings!$E$86),"")</f>
        <v/>
      </c>
      <c r="T36" s="143">
        <f>IFERROR((R36*(1-Settings!$E$17)-C36)/(R36*(1-Settings!$E$17)),"")</f>
        <v/>
      </c>
      <c r="U36" s="149">
        <f>IFERROR(IF(R36="","",IF(R36&gt;=C36/(1-SKU_Base!AC36)/(1-Settings!$E$17),"OK",IF(R36&gt;=C36/(1-SKU_Base!AJ36)/(1-Settings!$E$17),"WARN","STOP"))),"")</f>
        <v/>
      </c>
      <c r="V36" s="159">
        <f>IFERROR(ROUND(D36*(1-CHOOSE(MATCH(IF($E36="","Основний",$E36),{"Трафіковий","Основний","Маржинальний","Сезонний","Стратегічний"},0),Settings!$F$78,Settings!$F$80,Settings!$F$82,Settings!$F$84,Settings!$F$86))/6,2)*6,"")</f>
        <v/>
      </c>
      <c r="W36" s="142">
        <f>IFERROR(CHOOSE(MATCH(IF($E36="","Основний",$E36),{"Трафіковий","Основний","Маржинальний","Сезонний","Стратегічний"},0),Settings!$F$78,Settings!$F$80,Settings!$F$82,Settings!$F$84,Settings!$F$86),"")</f>
        <v/>
      </c>
      <c r="X36" s="143">
        <f>IFERROR((V36*(1-Settings!$F$17)-C36)/(V36*(1-Settings!$F$17)),"")</f>
        <v/>
      </c>
      <c r="Y36" s="149">
        <f>IFERROR(IF(V36="","",IF(V36&gt;=C36/(1-SKU_Base!AD36)/(1-Settings!$F$17),"OK",IF(V36&gt;=C36/(1-SKU_Base!AK36)/(1-Settings!$F$17),"WARN","STOP"))),"")</f>
        <v/>
      </c>
      <c r="Z36" s="159">
        <f>IFERROR(ROUND(D36*(1-CHOOSE(MATCH(IF($E36="","Основний",$E36),{"Трафіковий","Основний","Маржинальний","Сезонний","Стратегічний"},0),Settings!$G$78,Settings!$G$80,Settings!$G$82,Settings!$G$84,Settings!$G$86))/6,2)*6,"")</f>
        <v/>
      </c>
      <c r="AA36" s="142">
        <f>IFERROR(CHOOSE(MATCH(IF($E36="","Основний",$E36),{"Трафіковий","Основний","Маржинальний","Сезонний","Стратегічний"},0),Settings!$G$78,Settings!$G$80,Settings!$G$82,Settings!$G$84,Settings!$G$86),"")</f>
        <v/>
      </c>
      <c r="AB36" s="143">
        <f>IFERROR((Z36*(1-Settings!$G$17)-C36)/(Z36*(1-Settings!$G$17)),"")</f>
        <v/>
      </c>
      <c r="AC36" s="149">
        <f>IFERROR(IF(Z36="","",IF(Z36&gt;=C36/(1-SKU_Base!AE36)/(1-Settings!$G$17),"OK",IF(Z36&gt;=C36/(1-SKU_Base!AL36)/(1-Settings!$G$17),"WARN","STOP"))),"")</f>
        <v/>
      </c>
      <c r="AD36" s="159">
        <f>IFERROR(ROUND(D36*(1-CHOOSE(MATCH(IF($E36="","Основний",$E36),{"Трафіковий","Основний","Маржинальний","Сезонний","Стратегічний"},0),Settings!$H$78,Settings!$H$80,Settings!$H$82,Settings!$H$84,Settings!$H$86))*(1-Settings!$H$68)/6,2)*6,"")</f>
        <v/>
      </c>
      <c r="AE36" s="142">
        <f>IFERROR(CHOOSE(MATCH(IF($E36="","Основний",$E36),{"Трафіковий","Основний","Маржинальний","Сезонний","Стратегічний"},0),Settings!$H$78,Settings!$H$80,Settings!$H$82,Settings!$H$84,Settings!$H$86)+(1-(CHOOSE(MATCH(IF($E36="","Основний",$E36),{"Трафіковий","Основний","Маржинальний","Сезонний","Стратегічний"},0),Settings!$H$78,Settings!$H$80,Settings!$H$82,Settings!$H$84,Settings!$H$86)))*Settings!$H$68,"")</f>
        <v/>
      </c>
      <c r="AF36" s="143">
        <f>IFERROR((AD36*(1-Settings!$H$17)-C36)/(AD36*(1-Settings!$H$17)),"")</f>
        <v/>
      </c>
      <c r="AG36" s="150">
        <f>IFERROR(IF(AD36="","",IF(AD36&gt;=C36/(1-SKU_Base!AF36)/(1-Settings!$H$17),"OK",IF(AD36&gt;=C36/(1-SKU_Base!AM36)/(1-Settings!$H$17),"WARN","STOP"))),"")</f>
        <v/>
      </c>
    </row>
    <row r="37" ht="17" customHeight="1" s="179">
      <c r="A37" s="146">
        <f>SKU_Base!B37</f>
        <v/>
      </c>
      <c r="B37" s="146">
        <f>SKU_Base!C37</f>
        <v/>
      </c>
      <c r="C37" s="147">
        <f>IFERROR(SKU_Base!I37,"")</f>
        <v/>
      </c>
      <c r="D37" s="164">
        <f>IFERROR(SKU_Base!T37,"")</f>
        <v/>
      </c>
      <c r="E37" s="141">
        <f>IFERROR(SKU_Base!$U37,"")</f>
        <v/>
      </c>
      <c r="F37" s="160">
        <f>IFERROR(ROUND(D37*(1-CHOOSE(MATCH(IF($E37="","Основний",$E37),{"Трафіковий","Основний","Маржинальний","Сезонний","Стратегічний"},0),Settings!$B$78,Settings!$B$80,Settings!$B$82,Settings!$B$84,Settings!$B$86))/6,2)*6,"")</f>
        <v/>
      </c>
      <c r="G37" s="142">
        <f>IFERROR(CHOOSE(MATCH(IF($E37="","Основний",$E37),{"Трафіковий","Основний","Маржинальний","Сезонний","Стратегічний"},0),Settings!$B$78,Settings!$B$80,Settings!$B$82,Settings!$B$84,Settings!$B$86),"")</f>
        <v/>
      </c>
      <c r="H37" s="148">
        <f>IFERROR((F37*(1-Settings!$B$17)-C37)/(F37*(1-Settings!$B$17)),"")</f>
        <v/>
      </c>
      <c r="I37" s="150">
        <f>IFERROR(IF(F37="","",IF(F37&gt;=C37/(1-SKU_Base!Z37)/(1-Settings!$B$17),"OK",IF(F37&gt;=C37/(1-SKU_Base!AG37)/(1-Settings!$B$17),"WARN","STOP"))),"")</f>
        <v/>
      </c>
      <c r="J37" s="160">
        <f>IFERROR(ROUND(D37*(1-CHOOSE(MATCH(IF($E37="","Основний",$E37),{"Трафіковий","Основний","Маржинальний","Сезонний","Стратегічний"},0),Settings!$C$78,Settings!$C$80,Settings!$C$82,Settings!$C$84,Settings!$C$86))/6,2)*6,"")</f>
        <v/>
      </c>
      <c r="K37" s="142">
        <f>IFERROR(CHOOSE(MATCH(IF($E37="","Основний",$E37),{"Трафіковий","Основний","Маржинальний","Сезонний","Стратегічний"},0),Settings!$C$78,Settings!$C$80,Settings!$C$82,Settings!$C$84,Settings!$C$86),"")</f>
        <v/>
      </c>
      <c r="L37" s="148">
        <f>IFERROR((J37*(1-Settings!$C$17)-C37)/(J37*(1-Settings!$C$17)),"")</f>
        <v/>
      </c>
      <c r="M37" s="149">
        <f>IFERROR(IF(J37="","",IF(J37&gt;=C37/(1-SKU_Base!AA37)/(1-Settings!$C$17),"OK",IF(J37&gt;=C37/(1-SKU_Base!AH37)/(1-Settings!$C$17),"WARN","STOP"))),"")</f>
        <v/>
      </c>
      <c r="N37" s="161">
        <f>IFERROR(ROUND(D37*(1-CHOOSE(MATCH(IF($E37="","Основний",$E37),{"Трафіковий","Основний","Маржинальний","Сезонний","Стратегічний"},0),Settings!$D$78,Settings!$D$80,Settings!$D$82,Settings!$D$84,Settings!$D$86))/6,2)*6,"")</f>
        <v/>
      </c>
      <c r="O37" s="142">
        <f>IFERROR(CHOOSE(MATCH(IF($E37="","Основний",$E37),{"Трафіковий","Основний","Маржинальний","Сезонний","Стратегічний"},0),Settings!$D$78,Settings!$D$80,Settings!$D$82,Settings!$D$84,Settings!$D$86),"")</f>
        <v/>
      </c>
      <c r="P37" s="148">
        <f>IFERROR((N37*(1-Settings!$D$17)-C37)/(N37*(1-Settings!$D$17)),"")</f>
        <v/>
      </c>
      <c r="Q37" s="149">
        <f>IFERROR(IF(N37="","",IF(N37&gt;=C37/(1-SKU_Base!AB37)/(1-Settings!$D$17),"OK",IF(N37&gt;=C37/(1-SKU_Base!AI37)/(1-Settings!$D$17),"WARN","STOP"))),"")</f>
        <v/>
      </c>
      <c r="R37" s="161">
        <f>IFERROR(ROUND(D37*(1-CHOOSE(MATCH(IF($E37="","Основний",$E37),{"Трафіковий","Основний","Маржинальний","Сезонний","Стратегічний"},0),Settings!$E$78,Settings!$E$80,Settings!$E$82,Settings!$E$84,Settings!$E$86))/6,2)*6,"")</f>
        <v/>
      </c>
      <c r="S37" s="142">
        <f>IFERROR(CHOOSE(MATCH(IF($E37="","Основний",$E37),{"Трафіковий","Основний","Маржинальний","Сезонний","Стратегічний"},0),Settings!$E$78,Settings!$E$80,Settings!$E$82,Settings!$E$84,Settings!$E$86),"")</f>
        <v/>
      </c>
      <c r="T37" s="148">
        <f>IFERROR((R37*(1-Settings!$E$17)-C37)/(R37*(1-Settings!$E$17)),"")</f>
        <v/>
      </c>
      <c r="U37" s="149">
        <f>IFERROR(IF(R37="","",IF(R37&gt;=C37/(1-SKU_Base!AC37)/(1-Settings!$E$17),"OK",IF(R37&gt;=C37/(1-SKU_Base!AJ37)/(1-Settings!$E$17),"WARN","STOP"))),"")</f>
        <v/>
      </c>
      <c r="V37" s="161">
        <f>IFERROR(ROUND(D37*(1-CHOOSE(MATCH(IF($E37="","Основний",$E37),{"Трафіковий","Основний","Маржинальний","Сезонний","Стратегічний"},0),Settings!$F$78,Settings!$F$80,Settings!$F$82,Settings!$F$84,Settings!$F$86))/6,2)*6,"")</f>
        <v/>
      </c>
      <c r="W37" s="142">
        <f>IFERROR(CHOOSE(MATCH(IF($E37="","Основний",$E37),{"Трафіковий","Основний","Маржинальний","Сезонний","Стратегічний"},0),Settings!$F$78,Settings!$F$80,Settings!$F$82,Settings!$F$84,Settings!$F$86),"")</f>
        <v/>
      </c>
      <c r="X37" s="148">
        <f>IFERROR((V37*(1-Settings!$F$17)-C37)/(V37*(1-Settings!$F$17)),"")</f>
        <v/>
      </c>
      <c r="Y37" s="149">
        <f>IFERROR(IF(V37="","",IF(V37&gt;=C37/(1-SKU_Base!AD37)/(1-Settings!$F$17),"OK",IF(V37&gt;=C37/(1-SKU_Base!AK37)/(1-Settings!$F$17),"WARN","STOP"))),"")</f>
        <v/>
      </c>
      <c r="Z37" s="161">
        <f>IFERROR(ROUND(D37*(1-CHOOSE(MATCH(IF($E37="","Основний",$E37),{"Трафіковий","Основний","Маржинальний","Сезонний","Стратегічний"},0),Settings!$G$78,Settings!$G$80,Settings!$G$82,Settings!$G$84,Settings!$G$86))/6,2)*6,"")</f>
        <v/>
      </c>
      <c r="AA37" s="142">
        <f>IFERROR(CHOOSE(MATCH(IF($E37="","Основний",$E37),{"Трафіковий","Основний","Маржинальний","Сезонний","Стратегічний"},0),Settings!$G$78,Settings!$G$80,Settings!$G$82,Settings!$G$84,Settings!$G$86),"")</f>
        <v/>
      </c>
      <c r="AB37" s="148">
        <f>IFERROR((Z37*(1-Settings!$G$17)-C37)/(Z37*(1-Settings!$G$17)),"")</f>
        <v/>
      </c>
      <c r="AC37" s="149">
        <f>IFERROR(IF(Z37="","",IF(Z37&gt;=C37/(1-SKU_Base!AE37)/(1-Settings!$G$17),"OK",IF(Z37&gt;=C37/(1-SKU_Base!AL37)/(1-Settings!$G$17),"WARN","STOP"))),"")</f>
        <v/>
      </c>
      <c r="AD37" s="161">
        <f>IFERROR(ROUND(D37*(1-CHOOSE(MATCH(IF($E37="","Основний",$E37),{"Трафіковий","Основний","Маржинальний","Сезонний","Стратегічний"},0),Settings!$H$78,Settings!$H$80,Settings!$H$82,Settings!$H$84,Settings!$H$86))*(1-Settings!$H$68)/6,2)*6,"")</f>
        <v/>
      </c>
      <c r="AE37" s="142">
        <f>IFERROR(CHOOSE(MATCH(IF($E37="","Основний",$E37),{"Трафіковий","Основний","Маржинальний","Сезонний","Стратегічний"},0),Settings!$H$78,Settings!$H$80,Settings!$H$82,Settings!$H$84,Settings!$H$86)+(1-(CHOOSE(MATCH(IF($E37="","Основний",$E37),{"Трафіковий","Основний","Маржинальний","Сезонний","Стратегічний"},0),Settings!$H$78,Settings!$H$80,Settings!$H$82,Settings!$H$84,Settings!$H$86)))*Settings!$H$68,"")</f>
        <v/>
      </c>
      <c r="AF37" s="148">
        <f>IFERROR((AD37*(1-Settings!$H$17)-C37)/(AD37*(1-Settings!$H$17)),"")</f>
        <v/>
      </c>
      <c r="AG37" s="150">
        <f>IFERROR(IF(AD37="","",IF(AD37&gt;=C37/(1-SKU_Base!AF37)/(1-Settings!$H$17),"OK",IF(AD37&gt;=C37/(1-SKU_Base!AM37)/(1-Settings!$H$17),"WARN","STOP"))),"")</f>
        <v/>
      </c>
    </row>
    <row r="38" ht="17" customHeight="1" s="179">
      <c r="A38" s="139">
        <f>SKU_Base!B38</f>
        <v/>
      </c>
      <c r="B38" s="139">
        <f>SKU_Base!C38</f>
        <v/>
      </c>
      <c r="C38" s="140">
        <f>IFERROR(SKU_Base!I38,"")</f>
        <v/>
      </c>
      <c r="D38" s="163">
        <f>IFERROR(SKU_Base!T38,"")</f>
        <v/>
      </c>
      <c r="E38" s="141">
        <f>IFERROR(SKU_Base!$U38,"")</f>
        <v/>
      </c>
      <c r="F38" s="158">
        <f>IFERROR(ROUND(D38*(1-CHOOSE(MATCH(IF($E38="","Основний",$E38),{"Трафіковий","Основний","Маржинальний","Сезонний","Стратегічний"},0),Settings!$B$78,Settings!$B$80,Settings!$B$82,Settings!$B$84,Settings!$B$86))/6,2)*6,"")</f>
        <v/>
      </c>
      <c r="G38" s="142">
        <f>IFERROR(CHOOSE(MATCH(IF($E38="","Основний",$E38),{"Трафіковий","Основний","Маржинальний","Сезонний","Стратегічний"},0),Settings!$B$78,Settings!$B$80,Settings!$B$82,Settings!$B$84,Settings!$B$86),"")</f>
        <v/>
      </c>
      <c r="H38" s="143">
        <f>IFERROR((F38*(1-Settings!$B$17)-C38)/(F38*(1-Settings!$B$17)),"")</f>
        <v/>
      </c>
      <c r="I38" s="150">
        <f>IFERROR(IF(F38="","",IF(F38&gt;=C38/(1-SKU_Base!Z38)/(1-Settings!$B$17),"OK",IF(F38&gt;=C38/(1-SKU_Base!AG38)/(1-Settings!$B$17),"WARN","STOP"))),"")</f>
        <v/>
      </c>
      <c r="J38" s="158">
        <f>IFERROR(ROUND(D38*(1-CHOOSE(MATCH(IF($E38="","Основний",$E38),{"Трафіковий","Основний","Маржинальний","Сезонний","Стратегічний"},0),Settings!$C$78,Settings!$C$80,Settings!$C$82,Settings!$C$84,Settings!$C$86))/6,2)*6,"")</f>
        <v/>
      </c>
      <c r="K38" s="142">
        <f>IFERROR(CHOOSE(MATCH(IF($E38="","Основний",$E38),{"Трафіковий","Основний","Маржинальний","Сезонний","Стратегічний"},0),Settings!$C$78,Settings!$C$80,Settings!$C$82,Settings!$C$84,Settings!$C$86),"")</f>
        <v/>
      </c>
      <c r="L38" s="143">
        <f>IFERROR((J38*(1-Settings!$C$17)-C38)/(J38*(1-Settings!$C$17)),"")</f>
        <v/>
      </c>
      <c r="M38" s="149">
        <f>IFERROR(IF(J38="","",IF(J38&gt;=C38/(1-SKU_Base!AA38)/(1-Settings!$C$17),"OK",IF(J38&gt;=C38/(1-SKU_Base!AH38)/(1-Settings!$C$17),"WARN","STOP"))),"")</f>
        <v/>
      </c>
      <c r="N38" s="159">
        <f>IFERROR(ROUND(D38*(1-CHOOSE(MATCH(IF($E38="","Основний",$E38),{"Трафіковий","Основний","Маржинальний","Сезонний","Стратегічний"},0),Settings!$D$78,Settings!$D$80,Settings!$D$82,Settings!$D$84,Settings!$D$86))/6,2)*6,"")</f>
        <v/>
      </c>
      <c r="O38" s="142">
        <f>IFERROR(CHOOSE(MATCH(IF($E38="","Основний",$E38),{"Трафіковий","Основний","Маржинальний","Сезонний","Стратегічний"},0),Settings!$D$78,Settings!$D$80,Settings!$D$82,Settings!$D$84,Settings!$D$86),"")</f>
        <v/>
      </c>
      <c r="P38" s="143">
        <f>IFERROR((N38*(1-Settings!$D$17)-C38)/(N38*(1-Settings!$D$17)),"")</f>
        <v/>
      </c>
      <c r="Q38" s="149">
        <f>IFERROR(IF(N38="","",IF(N38&gt;=C38/(1-SKU_Base!AB38)/(1-Settings!$D$17),"OK",IF(N38&gt;=C38/(1-SKU_Base!AI38)/(1-Settings!$D$17),"WARN","STOP"))),"")</f>
        <v/>
      </c>
      <c r="R38" s="159">
        <f>IFERROR(ROUND(D38*(1-CHOOSE(MATCH(IF($E38="","Основний",$E38),{"Трафіковий","Основний","Маржинальний","Сезонний","Стратегічний"},0),Settings!$E$78,Settings!$E$80,Settings!$E$82,Settings!$E$84,Settings!$E$86))/6,2)*6,"")</f>
        <v/>
      </c>
      <c r="S38" s="142">
        <f>IFERROR(CHOOSE(MATCH(IF($E38="","Основний",$E38),{"Трафіковий","Основний","Маржинальний","Сезонний","Стратегічний"},0),Settings!$E$78,Settings!$E$80,Settings!$E$82,Settings!$E$84,Settings!$E$86),"")</f>
        <v/>
      </c>
      <c r="T38" s="143">
        <f>IFERROR((R38*(1-Settings!$E$17)-C38)/(R38*(1-Settings!$E$17)),"")</f>
        <v/>
      </c>
      <c r="U38" s="149">
        <f>IFERROR(IF(R38="","",IF(R38&gt;=C38/(1-SKU_Base!AC38)/(1-Settings!$E$17),"OK",IF(R38&gt;=C38/(1-SKU_Base!AJ38)/(1-Settings!$E$17),"WARN","STOP"))),"")</f>
        <v/>
      </c>
      <c r="V38" s="159">
        <f>IFERROR(ROUND(D38*(1-CHOOSE(MATCH(IF($E38="","Основний",$E38),{"Трафіковий","Основний","Маржинальний","Сезонний","Стратегічний"},0),Settings!$F$78,Settings!$F$80,Settings!$F$82,Settings!$F$84,Settings!$F$86))/6,2)*6,"")</f>
        <v/>
      </c>
      <c r="W38" s="142">
        <f>IFERROR(CHOOSE(MATCH(IF($E38="","Основний",$E38),{"Трафіковий","Основний","Маржинальний","Сезонний","Стратегічний"},0),Settings!$F$78,Settings!$F$80,Settings!$F$82,Settings!$F$84,Settings!$F$86),"")</f>
        <v/>
      </c>
      <c r="X38" s="143">
        <f>IFERROR((V38*(1-Settings!$F$17)-C38)/(V38*(1-Settings!$F$17)),"")</f>
        <v/>
      </c>
      <c r="Y38" s="149">
        <f>IFERROR(IF(V38="","",IF(V38&gt;=C38/(1-SKU_Base!AD38)/(1-Settings!$F$17),"OK",IF(V38&gt;=C38/(1-SKU_Base!AK38)/(1-Settings!$F$17),"WARN","STOP"))),"")</f>
        <v/>
      </c>
      <c r="Z38" s="159">
        <f>IFERROR(ROUND(D38*(1-CHOOSE(MATCH(IF($E38="","Основний",$E38),{"Трафіковий","Основний","Маржинальний","Сезонний","Стратегічний"},0),Settings!$G$78,Settings!$G$80,Settings!$G$82,Settings!$G$84,Settings!$G$86))/6,2)*6,"")</f>
        <v/>
      </c>
      <c r="AA38" s="142">
        <f>IFERROR(CHOOSE(MATCH(IF($E38="","Основний",$E38),{"Трафіковий","Основний","Маржинальний","Сезонний","Стратегічний"},0),Settings!$G$78,Settings!$G$80,Settings!$G$82,Settings!$G$84,Settings!$G$86),"")</f>
        <v/>
      </c>
      <c r="AB38" s="143">
        <f>IFERROR((Z38*(1-Settings!$G$17)-C38)/(Z38*(1-Settings!$G$17)),"")</f>
        <v/>
      </c>
      <c r="AC38" s="149">
        <f>IFERROR(IF(Z38="","",IF(Z38&gt;=C38/(1-SKU_Base!AE38)/(1-Settings!$G$17),"OK",IF(Z38&gt;=C38/(1-SKU_Base!AL38)/(1-Settings!$G$17),"WARN","STOP"))),"")</f>
        <v/>
      </c>
      <c r="AD38" s="159">
        <f>IFERROR(ROUND(D38*(1-CHOOSE(MATCH(IF($E38="","Основний",$E38),{"Трафіковий","Основний","Маржинальний","Сезонний","Стратегічний"},0),Settings!$H$78,Settings!$H$80,Settings!$H$82,Settings!$H$84,Settings!$H$86))*(1-Settings!$H$68)/6,2)*6,"")</f>
        <v/>
      </c>
      <c r="AE38" s="142">
        <f>IFERROR(CHOOSE(MATCH(IF($E38="","Основний",$E38),{"Трафіковий","Основний","Маржинальний","Сезонний","Стратегічний"},0),Settings!$H$78,Settings!$H$80,Settings!$H$82,Settings!$H$84,Settings!$H$86)+(1-(CHOOSE(MATCH(IF($E38="","Основний",$E38),{"Трафіковий","Основний","Маржинальний","Сезонний","Стратегічний"},0),Settings!$H$78,Settings!$H$80,Settings!$H$82,Settings!$H$84,Settings!$H$86)))*Settings!$H$68,"")</f>
        <v/>
      </c>
      <c r="AF38" s="143">
        <f>IFERROR((AD38*(1-Settings!$H$17)-C38)/(AD38*(1-Settings!$H$17)),"")</f>
        <v/>
      </c>
      <c r="AG38" s="150">
        <f>IFERROR(IF(AD38="","",IF(AD38&gt;=C38/(1-SKU_Base!AF38)/(1-Settings!$H$17),"OK",IF(AD38&gt;=C38/(1-SKU_Base!AM38)/(1-Settings!$H$17),"WARN","STOP"))),"")</f>
        <v/>
      </c>
    </row>
    <row r="39" ht="17" customHeight="1" s="179">
      <c r="A39" s="146">
        <f>SKU_Base!B39</f>
        <v/>
      </c>
      <c r="B39" s="146">
        <f>SKU_Base!C39</f>
        <v/>
      </c>
      <c r="C39" s="147">
        <f>IFERROR(SKU_Base!I39,"")</f>
        <v/>
      </c>
      <c r="D39" s="164">
        <f>IFERROR(SKU_Base!T39,"")</f>
        <v/>
      </c>
      <c r="E39" s="141">
        <f>IFERROR(SKU_Base!$U39,"")</f>
        <v/>
      </c>
      <c r="F39" s="160">
        <f>IFERROR(ROUND(D39*(1-CHOOSE(MATCH(IF($E39="","Основний",$E39),{"Трафіковий","Основний","Маржинальний","Сезонний","Стратегічний"},0),Settings!$B$78,Settings!$B$80,Settings!$B$82,Settings!$B$84,Settings!$B$86))/6,2)*6,"")</f>
        <v/>
      </c>
      <c r="G39" s="142">
        <f>IFERROR(CHOOSE(MATCH(IF($E39="","Основний",$E39),{"Трафіковий","Основний","Маржинальний","Сезонний","Стратегічний"},0),Settings!$B$78,Settings!$B$80,Settings!$B$82,Settings!$B$84,Settings!$B$86),"")</f>
        <v/>
      </c>
      <c r="H39" s="148">
        <f>IFERROR((F39*(1-Settings!$B$17)-C39)/(F39*(1-Settings!$B$17)),"")</f>
        <v/>
      </c>
      <c r="I39" s="150">
        <f>IFERROR(IF(F39="","",IF(F39&gt;=C39/(1-SKU_Base!Z39)/(1-Settings!$B$17),"OK",IF(F39&gt;=C39/(1-SKU_Base!AG39)/(1-Settings!$B$17),"WARN","STOP"))),"")</f>
        <v/>
      </c>
      <c r="J39" s="160">
        <f>IFERROR(ROUND(D39*(1-CHOOSE(MATCH(IF($E39="","Основний",$E39),{"Трафіковий","Основний","Маржинальний","Сезонний","Стратегічний"},0),Settings!$C$78,Settings!$C$80,Settings!$C$82,Settings!$C$84,Settings!$C$86))/6,2)*6,"")</f>
        <v/>
      </c>
      <c r="K39" s="142">
        <f>IFERROR(CHOOSE(MATCH(IF($E39="","Основний",$E39),{"Трафіковий","Основний","Маржинальний","Сезонний","Стратегічний"},0),Settings!$C$78,Settings!$C$80,Settings!$C$82,Settings!$C$84,Settings!$C$86),"")</f>
        <v/>
      </c>
      <c r="L39" s="148">
        <f>IFERROR((J39*(1-Settings!$C$17)-C39)/(J39*(1-Settings!$C$17)),"")</f>
        <v/>
      </c>
      <c r="M39" s="149">
        <f>IFERROR(IF(J39="","",IF(J39&gt;=C39/(1-SKU_Base!AA39)/(1-Settings!$C$17),"OK",IF(J39&gt;=C39/(1-SKU_Base!AH39)/(1-Settings!$C$17),"WARN","STOP"))),"")</f>
        <v/>
      </c>
      <c r="N39" s="161">
        <f>IFERROR(ROUND(D39*(1-CHOOSE(MATCH(IF($E39="","Основний",$E39),{"Трафіковий","Основний","Маржинальний","Сезонний","Стратегічний"},0),Settings!$D$78,Settings!$D$80,Settings!$D$82,Settings!$D$84,Settings!$D$86))/6,2)*6,"")</f>
        <v/>
      </c>
      <c r="O39" s="142">
        <f>IFERROR(CHOOSE(MATCH(IF($E39="","Основний",$E39),{"Трафіковий","Основний","Маржинальний","Сезонний","Стратегічний"},0),Settings!$D$78,Settings!$D$80,Settings!$D$82,Settings!$D$84,Settings!$D$86),"")</f>
        <v/>
      </c>
      <c r="P39" s="148">
        <f>IFERROR((N39*(1-Settings!$D$17)-C39)/(N39*(1-Settings!$D$17)),"")</f>
        <v/>
      </c>
      <c r="Q39" s="149">
        <f>IFERROR(IF(N39="","",IF(N39&gt;=C39/(1-SKU_Base!AB39)/(1-Settings!$D$17),"OK",IF(N39&gt;=C39/(1-SKU_Base!AI39)/(1-Settings!$D$17),"WARN","STOP"))),"")</f>
        <v/>
      </c>
      <c r="R39" s="161">
        <f>IFERROR(ROUND(D39*(1-CHOOSE(MATCH(IF($E39="","Основний",$E39),{"Трафіковий","Основний","Маржинальний","Сезонний","Стратегічний"},0),Settings!$E$78,Settings!$E$80,Settings!$E$82,Settings!$E$84,Settings!$E$86))/6,2)*6,"")</f>
        <v/>
      </c>
      <c r="S39" s="142">
        <f>IFERROR(CHOOSE(MATCH(IF($E39="","Основний",$E39),{"Трафіковий","Основний","Маржинальний","Сезонний","Стратегічний"},0),Settings!$E$78,Settings!$E$80,Settings!$E$82,Settings!$E$84,Settings!$E$86),"")</f>
        <v/>
      </c>
      <c r="T39" s="148">
        <f>IFERROR((R39*(1-Settings!$E$17)-C39)/(R39*(1-Settings!$E$17)),"")</f>
        <v/>
      </c>
      <c r="U39" s="149">
        <f>IFERROR(IF(R39="","",IF(R39&gt;=C39/(1-SKU_Base!AC39)/(1-Settings!$E$17),"OK",IF(R39&gt;=C39/(1-SKU_Base!AJ39)/(1-Settings!$E$17),"WARN","STOP"))),"")</f>
        <v/>
      </c>
      <c r="V39" s="161">
        <f>IFERROR(ROUND(D39*(1-CHOOSE(MATCH(IF($E39="","Основний",$E39),{"Трафіковий","Основний","Маржинальний","Сезонний","Стратегічний"},0),Settings!$F$78,Settings!$F$80,Settings!$F$82,Settings!$F$84,Settings!$F$86))/6,2)*6,"")</f>
        <v/>
      </c>
      <c r="W39" s="142">
        <f>IFERROR(CHOOSE(MATCH(IF($E39="","Основний",$E39),{"Трафіковий","Основний","Маржинальний","Сезонний","Стратегічний"},0),Settings!$F$78,Settings!$F$80,Settings!$F$82,Settings!$F$84,Settings!$F$86),"")</f>
        <v/>
      </c>
      <c r="X39" s="148">
        <f>IFERROR((V39*(1-Settings!$F$17)-C39)/(V39*(1-Settings!$F$17)),"")</f>
        <v/>
      </c>
      <c r="Y39" s="149">
        <f>IFERROR(IF(V39="","",IF(V39&gt;=C39/(1-SKU_Base!AD39)/(1-Settings!$F$17),"OK",IF(V39&gt;=C39/(1-SKU_Base!AK39)/(1-Settings!$F$17),"WARN","STOP"))),"")</f>
        <v/>
      </c>
      <c r="Z39" s="161">
        <f>IFERROR(ROUND(D39*(1-CHOOSE(MATCH(IF($E39="","Основний",$E39),{"Трафіковий","Основний","Маржинальний","Сезонний","Стратегічний"},0),Settings!$G$78,Settings!$G$80,Settings!$G$82,Settings!$G$84,Settings!$G$86))/6,2)*6,"")</f>
        <v/>
      </c>
      <c r="AA39" s="142">
        <f>IFERROR(CHOOSE(MATCH(IF($E39="","Основний",$E39),{"Трафіковий","Основний","Маржинальний","Сезонний","Стратегічний"},0),Settings!$G$78,Settings!$G$80,Settings!$G$82,Settings!$G$84,Settings!$G$86),"")</f>
        <v/>
      </c>
      <c r="AB39" s="148">
        <f>IFERROR((Z39*(1-Settings!$G$17)-C39)/(Z39*(1-Settings!$G$17)),"")</f>
        <v/>
      </c>
      <c r="AC39" s="149">
        <f>IFERROR(IF(Z39="","",IF(Z39&gt;=C39/(1-SKU_Base!AE39)/(1-Settings!$G$17),"OK",IF(Z39&gt;=C39/(1-SKU_Base!AL39)/(1-Settings!$G$17),"WARN","STOP"))),"")</f>
        <v/>
      </c>
      <c r="AD39" s="161">
        <f>IFERROR(ROUND(D39*(1-CHOOSE(MATCH(IF($E39="","Основний",$E39),{"Трафіковий","Основний","Маржинальний","Сезонний","Стратегічний"},0),Settings!$H$78,Settings!$H$80,Settings!$H$82,Settings!$H$84,Settings!$H$86))*(1-Settings!$H$68)/6,2)*6,"")</f>
        <v/>
      </c>
      <c r="AE39" s="142">
        <f>IFERROR(CHOOSE(MATCH(IF($E39="","Основний",$E39),{"Трафіковий","Основний","Маржинальний","Сезонний","Стратегічний"},0),Settings!$H$78,Settings!$H$80,Settings!$H$82,Settings!$H$84,Settings!$H$86)+(1-(CHOOSE(MATCH(IF($E39="","Основний",$E39),{"Трафіковий","Основний","Маржинальний","Сезонний","Стратегічний"},0),Settings!$H$78,Settings!$H$80,Settings!$H$82,Settings!$H$84,Settings!$H$86)))*Settings!$H$68,"")</f>
        <v/>
      </c>
      <c r="AF39" s="148">
        <f>IFERROR((AD39*(1-Settings!$H$17)-C39)/(AD39*(1-Settings!$H$17)),"")</f>
        <v/>
      </c>
      <c r="AG39" s="150">
        <f>IFERROR(IF(AD39="","",IF(AD39&gt;=C39/(1-SKU_Base!AF39)/(1-Settings!$H$17),"OK",IF(AD39&gt;=C39/(1-SKU_Base!AM39)/(1-Settings!$H$17),"WARN","STOP"))),"")</f>
        <v/>
      </c>
    </row>
    <row r="40" ht="17" customHeight="1" s="179">
      <c r="A40" s="139">
        <f>SKU_Base!B40</f>
        <v/>
      </c>
      <c r="B40" s="139">
        <f>SKU_Base!C40</f>
        <v/>
      </c>
      <c r="C40" s="140">
        <f>IFERROR(SKU_Base!I40,"")</f>
        <v/>
      </c>
      <c r="D40" s="163">
        <f>IFERROR(SKU_Base!T40,"")</f>
        <v/>
      </c>
      <c r="E40" s="141">
        <f>IFERROR(SKU_Base!$U40,"")</f>
        <v/>
      </c>
      <c r="F40" s="158">
        <f>IFERROR(ROUND(D40*(1-CHOOSE(MATCH(IF($E40="","Основний",$E40),{"Трафіковий","Основний","Маржинальний","Сезонний","Стратегічний"},0),Settings!$B$78,Settings!$B$80,Settings!$B$82,Settings!$B$84,Settings!$B$86))/6,2)*6,"")</f>
        <v/>
      </c>
      <c r="G40" s="142">
        <f>IFERROR(CHOOSE(MATCH(IF($E40="","Основний",$E40),{"Трафіковий","Основний","Маржинальний","Сезонний","Стратегічний"},0),Settings!$B$78,Settings!$B$80,Settings!$B$82,Settings!$B$84,Settings!$B$86),"")</f>
        <v/>
      </c>
      <c r="H40" s="143">
        <f>IFERROR((F40*(1-Settings!$B$17)-C40)/(F40*(1-Settings!$B$17)),"")</f>
        <v/>
      </c>
      <c r="I40" s="150">
        <f>IFERROR(IF(F40="","",IF(F40&gt;=C40/(1-SKU_Base!Z40)/(1-Settings!$B$17),"OK",IF(F40&gt;=C40/(1-SKU_Base!AG40)/(1-Settings!$B$17),"WARN","STOP"))),"")</f>
        <v/>
      </c>
      <c r="J40" s="158">
        <f>IFERROR(ROUND(D40*(1-CHOOSE(MATCH(IF($E40="","Основний",$E40),{"Трафіковий","Основний","Маржинальний","Сезонний","Стратегічний"},0),Settings!$C$78,Settings!$C$80,Settings!$C$82,Settings!$C$84,Settings!$C$86))/6,2)*6,"")</f>
        <v/>
      </c>
      <c r="K40" s="142">
        <f>IFERROR(CHOOSE(MATCH(IF($E40="","Основний",$E40),{"Трафіковий","Основний","Маржинальний","Сезонний","Стратегічний"},0),Settings!$C$78,Settings!$C$80,Settings!$C$82,Settings!$C$84,Settings!$C$86),"")</f>
        <v/>
      </c>
      <c r="L40" s="143">
        <f>IFERROR((J40*(1-Settings!$C$17)-C40)/(J40*(1-Settings!$C$17)),"")</f>
        <v/>
      </c>
      <c r="M40" s="149">
        <f>IFERROR(IF(J40="","",IF(J40&gt;=C40/(1-SKU_Base!AA40)/(1-Settings!$C$17),"OK",IF(J40&gt;=C40/(1-SKU_Base!AH40)/(1-Settings!$C$17),"WARN","STOP"))),"")</f>
        <v/>
      </c>
      <c r="N40" s="159">
        <f>IFERROR(ROUND(D40*(1-CHOOSE(MATCH(IF($E40="","Основний",$E40),{"Трафіковий","Основний","Маржинальний","Сезонний","Стратегічний"},0),Settings!$D$78,Settings!$D$80,Settings!$D$82,Settings!$D$84,Settings!$D$86))/6,2)*6,"")</f>
        <v/>
      </c>
      <c r="O40" s="142">
        <f>IFERROR(CHOOSE(MATCH(IF($E40="","Основний",$E40),{"Трафіковий","Основний","Маржинальний","Сезонний","Стратегічний"},0),Settings!$D$78,Settings!$D$80,Settings!$D$82,Settings!$D$84,Settings!$D$86),"")</f>
        <v/>
      </c>
      <c r="P40" s="143">
        <f>IFERROR((N40*(1-Settings!$D$17)-C40)/(N40*(1-Settings!$D$17)),"")</f>
        <v/>
      </c>
      <c r="Q40" s="149">
        <f>IFERROR(IF(N40="","",IF(N40&gt;=C40/(1-SKU_Base!AB40)/(1-Settings!$D$17),"OK",IF(N40&gt;=C40/(1-SKU_Base!AI40)/(1-Settings!$D$17),"WARN","STOP"))),"")</f>
        <v/>
      </c>
      <c r="R40" s="159">
        <f>IFERROR(ROUND(D40*(1-CHOOSE(MATCH(IF($E40="","Основний",$E40),{"Трафіковий","Основний","Маржинальний","Сезонний","Стратегічний"},0),Settings!$E$78,Settings!$E$80,Settings!$E$82,Settings!$E$84,Settings!$E$86))/6,2)*6,"")</f>
        <v/>
      </c>
      <c r="S40" s="142">
        <f>IFERROR(CHOOSE(MATCH(IF($E40="","Основний",$E40),{"Трафіковий","Основний","Маржинальний","Сезонний","Стратегічний"},0),Settings!$E$78,Settings!$E$80,Settings!$E$82,Settings!$E$84,Settings!$E$86),"")</f>
        <v/>
      </c>
      <c r="T40" s="143">
        <f>IFERROR((R40*(1-Settings!$E$17)-C40)/(R40*(1-Settings!$E$17)),"")</f>
        <v/>
      </c>
      <c r="U40" s="149">
        <f>IFERROR(IF(R40="","",IF(R40&gt;=C40/(1-SKU_Base!AC40)/(1-Settings!$E$17),"OK",IF(R40&gt;=C40/(1-SKU_Base!AJ40)/(1-Settings!$E$17),"WARN","STOP"))),"")</f>
        <v/>
      </c>
      <c r="V40" s="159">
        <f>IFERROR(ROUND(D40*(1-CHOOSE(MATCH(IF($E40="","Основний",$E40),{"Трафіковий","Основний","Маржинальний","Сезонний","Стратегічний"},0),Settings!$F$78,Settings!$F$80,Settings!$F$82,Settings!$F$84,Settings!$F$86))/6,2)*6,"")</f>
        <v/>
      </c>
      <c r="W40" s="142">
        <f>IFERROR(CHOOSE(MATCH(IF($E40="","Основний",$E40),{"Трафіковий","Основний","Маржинальний","Сезонний","Стратегічний"},0),Settings!$F$78,Settings!$F$80,Settings!$F$82,Settings!$F$84,Settings!$F$86),"")</f>
        <v/>
      </c>
      <c r="X40" s="143">
        <f>IFERROR((V40*(1-Settings!$F$17)-C40)/(V40*(1-Settings!$F$17)),"")</f>
        <v/>
      </c>
      <c r="Y40" s="149">
        <f>IFERROR(IF(V40="","",IF(V40&gt;=C40/(1-SKU_Base!AD40)/(1-Settings!$F$17),"OK",IF(V40&gt;=C40/(1-SKU_Base!AK40)/(1-Settings!$F$17),"WARN","STOP"))),"")</f>
        <v/>
      </c>
      <c r="Z40" s="159">
        <f>IFERROR(ROUND(D40*(1-CHOOSE(MATCH(IF($E40="","Основний",$E40),{"Трафіковий","Основний","Маржинальний","Сезонний","Стратегічний"},0),Settings!$G$78,Settings!$G$80,Settings!$G$82,Settings!$G$84,Settings!$G$86))/6,2)*6,"")</f>
        <v/>
      </c>
      <c r="AA40" s="142">
        <f>IFERROR(CHOOSE(MATCH(IF($E40="","Основний",$E40),{"Трафіковий","Основний","Маржинальний","Сезонний","Стратегічний"},0),Settings!$G$78,Settings!$G$80,Settings!$G$82,Settings!$G$84,Settings!$G$86),"")</f>
        <v/>
      </c>
      <c r="AB40" s="143">
        <f>IFERROR((Z40*(1-Settings!$G$17)-C40)/(Z40*(1-Settings!$G$17)),"")</f>
        <v/>
      </c>
      <c r="AC40" s="149">
        <f>IFERROR(IF(Z40="","",IF(Z40&gt;=C40/(1-SKU_Base!AE40)/(1-Settings!$G$17),"OK",IF(Z40&gt;=C40/(1-SKU_Base!AL40)/(1-Settings!$G$17),"WARN","STOP"))),"")</f>
        <v/>
      </c>
      <c r="AD40" s="159">
        <f>IFERROR(ROUND(D40*(1-CHOOSE(MATCH(IF($E40="","Основний",$E40),{"Трафіковий","Основний","Маржинальний","Сезонний","Стратегічний"},0),Settings!$H$78,Settings!$H$80,Settings!$H$82,Settings!$H$84,Settings!$H$86))*(1-Settings!$H$68)/6,2)*6,"")</f>
        <v/>
      </c>
      <c r="AE40" s="142">
        <f>IFERROR(CHOOSE(MATCH(IF($E40="","Основний",$E40),{"Трафіковий","Основний","Маржинальний","Сезонний","Стратегічний"},0),Settings!$H$78,Settings!$H$80,Settings!$H$82,Settings!$H$84,Settings!$H$86)+(1-(CHOOSE(MATCH(IF($E40="","Основний",$E40),{"Трафіковий","Основний","Маржинальний","Сезонний","Стратегічний"},0),Settings!$H$78,Settings!$H$80,Settings!$H$82,Settings!$H$84,Settings!$H$86)))*Settings!$H$68,"")</f>
        <v/>
      </c>
      <c r="AF40" s="143">
        <f>IFERROR((AD40*(1-Settings!$H$17)-C40)/(AD40*(1-Settings!$H$17)),"")</f>
        <v/>
      </c>
      <c r="AG40" s="150">
        <f>IFERROR(IF(AD40="","",IF(AD40&gt;=C40/(1-SKU_Base!AF40)/(1-Settings!$H$17),"OK",IF(AD40&gt;=C40/(1-SKU_Base!AM40)/(1-Settings!$H$17),"WARN","STOP"))),"")</f>
        <v/>
      </c>
    </row>
    <row r="41" ht="17" customHeight="1" s="179">
      <c r="A41" s="146">
        <f>SKU_Base!B41</f>
        <v/>
      </c>
      <c r="B41" s="146">
        <f>SKU_Base!C41</f>
        <v/>
      </c>
      <c r="C41" s="147">
        <f>IFERROR(SKU_Base!I41,"")</f>
        <v/>
      </c>
      <c r="D41" s="164">
        <f>IFERROR(SKU_Base!T41,"")</f>
        <v/>
      </c>
      <c r="E41" s="141">
        <f>IFERROR(SKU_Base!$U41,"")</f>
        <v/>
      </c>
      <c r="F41" s="160">
        <f>IFERROR(ROUND(D41*(1-CHOOSE(MATCH(IF($E41="","Основний",$E41),{"Трафіковий","Основний","Маржинальний","Сезонний","Стратегічний"},0),Settings!$B$78,Settings!$B$80,Settings!$B$82,Settings!$B$84,Settings!$B$86))/6,2)*6,"")</f>
        <v/>
      </c>
      <c r="G41" s="142">
        <f>IFERROR(CHOOSE(MATCH(IF($E41="","Основний",$E41),{"Трафіковий","Основний","Маржинальний","Сезонний","Стратегічний"},0),Settings!$B$78,Settings!$B$80,Settings!$B$82,Settings!$B$84,Settings!$B$86),"")</f>
        <v/>
      </c>
      <c r="H41" s="148">
        <f>IFERROR((F41*(1-Settings!$B$17)-C41)/(F41*(1-Settings!$B$17)),"")</f>
        <v/>
      </c>
      <c r="I41" s="149">
        <f>IFERROR(IF(F41="","",IF(F41&gt;=C41/(1-SKU_Base!Z41)/(1-Settings!$B$17),"OK",IF(F41&gt;=C41/(1-SKU_Base!AG41)/(1-Settings!$B$17),"WARN","STOP"))),"")</f>
        <v/>
      </c>
      <c r="J41" s="160">
        <f>IFERROR(ROUND(D41*(1-CHOOSE(MATCH(IF($E41="","Основний",$E41),{"Трафіковий","Основний","Маржинальний","Сезонний","Стратегічний"},0),Settings!$C$78,Settings!$C$80,Settings!$C$82,Settings!$C$84,Settings!$C$86))/6,2)*6,"")</f>
        <v/>
      </c>
      <c r="K41" s="142">
        <f>IFERROR(CHOOSE(MATCH(IF($E41="","Основний",$E41),{"Трафіковий","Основний","Маржинальний","Сезонний","Стратегічний"},0),Settings!$C$78,Settings!$C$80,Settings!$C$82,Settings!$C$84,Settings!$C$86),"")</f>
        <v/>
      </c>
      <c r="L41" s="148">
        <f>IFERROR((J41*(1-Settings!$C$17)-C41)/(J41*(1-Settings!$C$17)),"")</f>
        <v/>
      </c>
      <c r="M41" s="149">
        <f>IFERROR(IF(J41="","",IF(J41&gt;=C41/(1-SKU_Base!AA41)/(1-Settings!$C$17),"OK",IF(J41&gt;=C41/(1-SKU_Base!AH41)/(1-Settings!$C$17),"WARN","STOP"))),"")</f>
        <v/>
      </c>
      <c r="N41" s="161">
        <f>IFERROR(ROUND(D41*(1-CHOOSE(MATCH(IF($E41="","Основний",$E41),{"Трафіковий","Основний","Маржинальний","Сезонний","Стратегічний"},0),Settings!$D$78,Settings!$D$80,Settings!$D$82,Settings!$D$84,Settings!$D$86))/6,2)*6,"")</f>
        <v/>
      </c>
      <c r="O41" s="142">
        <f>IFERROR(CHOOSE(MATCH(IF($E41="","Основний",$E41),{"Трафіковий","Основний","Маржинальний","Сезонний","Стратегічний"},0),Settings!$D$78,Settings!$D$80,Settings!$D$82,Settings!$D$84,Settings!$D$86),"")</f>
        <v/>
      </c>
      <c r="P41" s="148">
        <f>IFERROR((N41*(1-Settings!$D$17)-C41)/(N41*(1-Settings!$D$17)),"")</f>
        <v/>
      </c>
      <c r="Q41" s="149">
        <f>IFERROR(IF(N41="","",IF(N41&gt;=C41/(1-SKU_Base!AB41)/(1-Settings!$D$17),"OK",IF(N41&gt;=C41/(1-SKU_Base!AI41)/(1-Settings!$D$17),"WARN","STOP"))),"")</f>
        <v/>
      </c>
      <c r="R41" s="161">
        <f>IFERROR(ROUND(D41*(1-CHOOSE(MATCH(IF($E41="","Основний",$E41),{"Трафіковий","Основний","Маржинальний","Сезонний","Стратегічний"},0),Settings!$E$78,Settings!$E$80,Settings!$E$82,Settings!$E$84,Settings!$E$86))/6,2)*6,"")</f>
        <v/>
      </c>
      <c r="S41" s="142">
        <f>IFERROR(CHOOSE(MATCH(IF($E41="","Основний",$E41),{"Трафіковий","Основний","Маржинальний","Сезонний","Стратегічний"},0),Settings!$E$78,Settings!$E$80,Settings!$E$82,Settings!$E$84,Settings!$E$86),"")</f>
        <v/>
      </c>
      <c r="T41" s="148">
        <f>IFERROR((R41*(1-Settings!$E$17)-C41)/(R41*(1-Settings!$E$17)),"")</f>
        <v/>
      </c>
      <c r="U41" s="149">
        <f>IFERROR(IF(R41="","",IF(R41&gt;=C41/(1-SKU_Base!AC41)/(1-Settings!$E$17),"OK",IF(R41&gt;=C41/(1-SKU_Base!AJ41)/(1-Settings!$E$17),"WARN","STOP"))),"")</f>
        <v/>
      </c>
      <c r="V41" s="161">
        <f>IFERROR(ROUND(D41*(1-CHOOSE(MATCH(IF($E41="","Основний",$E41),{"Трафіковий","Основний","Маржинальний","Сезонний","Стратегічний"},0),Settings!$F$78,Settings!$F$80,Settings!$F$82,Settings!$F$84,Settings!$F$86))/6,2)*6,"")</f>
        <v/>
      </c>
      <c r="W41" s="142">
        <f>IFERROR(CHOOSE(MATCH(IF($E41="","Основний",$E41),{"Трафіковий","Основний","Маржинальний","Сезонний","Стратегічний"},0),Settings!$F$78,Settings!$F$80,Settings!$F$82,Settings!$F$84,Settings!$F$86),"")</f>
        <v/>
      </c>
      <c r="X41" s="148">
        <f>IFERROR((V41*(1-Settings!$F$17)-C41)/(V41*(1-Settings!$F$17)),"")</f>
        <v/>
      </c>
      <c r="Y41" s="149">
        <f>IFERROR(IF(V41="","",IF(V41&gt;=C41/(1-SKU_Base!AD41)/(1-Settings!$F$17),"OK",IF(V41&gt;=C41/(1-SKU_Base!AK41)/(1-Settings!$F$17),"WARN","STOP"))),"")</f>
        <v/>
      </c>
      <c r="Z41" s="161">
        <f>IFERROR(ROUND(D41*(1-CHOOSE(MATCH(IF($E41="","Основний",$E41),{"Трафіковий","Основний","Маржинальний","Сезонний","Стратегічний"},0),Settings!$G$78,Settings!$G$80,Settings!$G$82,Settings!$G$84,Settings!$G$86))/6,2)*6,"")</f>
        <v/>
      </c>
      <c r="AA41" s="142">
        <f>IFERROR(CHOOSE(MATCH(IF($E41="","Основний",$E41),{"Трафіковий","Основний","Маржинальний","Сезонний","Стратегічний"},0),Settings!$G$78,Settings!$G$80,Settings!$G$82,Settings!$G$84,Settings!$G$86),"")</f>
        <v/>
      </c>
      <c r="AB41" s="148">
        <f>IFERROR((Z41*(1-Settings!$G$17)-C41)/(Z41*(1-Settings!$G$17)),"")</f>
        <v/>
      </c>
      <c r="AC41" s="149">
        <f>IFERROR(IF(Z41="","",IF(Z41&gt;=C41/(1-SKU_Base!AE41)/(1-Settings!$G$17),"OK",IF(Z41&gt;=C41/(1-SKU_Base!AL41)/(1-Settings!$G$17),"WARN","STOP"))),"")</f>
        <v/>
      </c>
      <c r="AD41" s="161">
        <f>IFERROR(ROUND(D41*(1-CHOOSE(MATCH(IF($E41="","Основний",$E41),{"Трафіковий","Основний","Маржинальний","Сезонний","Стратегічний"},0),Settings!$H$78,Settings!$H$80,Settings!$H$82,Settings!$H$84,Settings!$H$86))*(1-Settings!$H$68)/6,2)*6,"")</f>
        <v/>
      </c>
      <c r="AE41" s="142">
        <f>IFERROR(CHOOSE(MATCH(IF($E41="","Основний",$E41),{"Трафіковий","Основний","Маржинальний","Сезонний","Стратегічний"},0),Settings!$H$78,Settings!$H$80,Settings!$H$82,Settings!$H$84,Settings!$H$86)+(1-(CHOOSE(MATCH(IF($E41="","Основний",$E41),{"Трафіковий","Основний","Маржинальний","Сезонний","Стратегічний"},0),Settings!$H$78,Settings!$H$80,Settings!$H$82,Settings!$H$84,Settings!$H$86)))*Settings!$H$68,"")</f>
        <v/>
      </c>
      <c r="AF41" s="148">
        <f>IFERROR((AD41*(1-Settings!$H$17)-C41)/(AD41*(1-Settings!$H$17)),"")</f>
        <v/>
      </c>
      <c r="AG41" s="149">
        <f>IFERROR(IF(AD41="","",IF(AD41&gt;=C41/(1-SKU_Base!AF41)/(1-Settings!$H$17),"OK",IF(AD41&gt;=C41/(1-SKU_Base!AM41)/(1-Settings!$H$17),"WARN","STOP"))),"")</f>
        <v/>
      </c>
    </row>
    <row r="42" ht="17" customHeight="1" s="179">
      <c r="A42" s="139">
        <f>SKU_Base!B42</f>
        <v/>
      </c>
      <c r="B42" s="139">
        <f>SKU_Base!C42</f>
        <v/>
      </c>
      <c r="C42" s="140">
        <f>IFERROR(SKU_Base!I42,"")</f>
        <v/>
      </c>
      <c r="D42" s="163">
        <f>IFERROR(SKU_Base!T42,"")</f>
        <v/>
      </c>
      <c r="E42" s="141">
        <f>IFERROR(SKU_Base!$U42,"")</f>
        <v/>
      </c>
      <c r="F42" s="158">
        <f>IFERROR(ROUND(D42*(1-CHOOSE(MATCH(IF($E42="","Основний",$E42),{"Трафіковий","Основний","Маржинальний","Сезонний","Стратегічний"},0),Settings!$B$78,Settings!$B$80,Settings!$B$82,Settings!$B$84,Settings!$B$86))/6,2)*6,"")</f>
        <v/>
      </c>
      <c r="G42" s="142">
        <f>IFERROR(CHOOSE(MATCH(IF($E42="","Основний",$E42),{"Трафіковий","Основний","Маржинальний","Сезонний","Стратегічний"},0),Settings!$B$78,Settings!$B$80,Settings!$B$82,Settings!$B$84,Settings!$B$86),"")</f>
        <v/>
      </c>
      <c r="H42" s="143">
        <f>IFERROR((F42*(1-Settings!$B$17)-C42)/(F42*(1-Settings!$B$17)),"")</f>
        <v/>
      </c>
      <c r="I42" s="150">
        <f>IFERROR(IF(F42="","",IF(F42&gt;=C42/(1-SKU_Base!Z42)/(1-Settings!$B$17),"OK",IF(F42&gt;=C42/(1-SKU_Base!AG42)/(1-Settings!$B$17),"WARN","STOP"))),"")</f>
        <v/>
      </c>
      <c r="J42" s="158">
        <f>IFERROR(ROUND(D42*(1-CHOOSE(MATCH(IF($E42="","Основний",$E42),{"Трафіковий","Основний","Маржинальний","Сезонний","Стратегічний"},0),Settings!$C$78,Settings!$C$80,Settings!$C$82,Settings!$C$84,Settings!$C$86))/6,2)*6,"")</f>
        <v/>
      </c>
      <c r="K42" s="142">
        <f>IFERROR(CHOOSE(MATCH(IF($E42="","Основний",$E42),{"Трафіковий","Основний","Маржинальний","Сезонний","Стратегічний"},0),Settings!$C$78,Settings!$C$80,Settings!$C$82,Settings!$C$84,Settings!$C$86),"")</f>
        <v/>
      </c>
      <c r="L42" s="143">
        <f>IFERROR((J42*(1-Settings!$C$17)-C42)/(J42*(1-Settings!$C$17)),"")</f>
        <v/>
      </c>
      <c r="M42" s="149">
        <f>IFERROR(IF(J42="","",IF(J42&gt;=C42/(1-SKU_Base!AA42)/(1-Settings!$C$17),"OK",IF(J42&gt;=C42/(1-SKU_Base!AH42)/(1-Settings!$C$17),"WARN","STOP"))),"")</f>
        <v/>
      </c>
      <c r="N42" s="159">
        <f>IFERROR(ROUND(D42*(1-CHOOSE(MATCH(IF($E42="","Основний",$E42),{"Трафіковий","Основний","Маржинальний","Сезонний","Стратегічний"},0),Settings!$D$78,Settings!$D$80,Settings!$D$82,Settings!$D$84,Settings!$D$86))/6,2)*6,"")</f>
        <v/>
      </c>
      <c r="O42" s="142">
        <f>IFERROR(CHOOSE(MATCH(IF($E42="","Основний",$E42),{"Трафіковий","Основний","Маржинальний","Сезонний","Стратегічний"},0),Settings!$D$78,Settings!$D$80,Settings!$D$82,Settings!$D$84,Settings!$D$86),"")</f>
        <v/>
      </c>
      <c r="P42" s="143">
        <f>IFERROR((N42*(1-Settings!$D$17)-C42)/(N42*(1-Settings!$D$17)),"")</f>
        <v/>
      </c>
      <c r="Q42" s="149">
        <f>IFERROR(IF(N42="","",IF(N42&gt;=C42/(1-SKU_Base!AB42)/(1-Settings!$D$17),"OK",IF(N42&gt;=C42/(1-SKU_Base!AI42)/(1-Settings!$D$17),"WARN","STOP"))),"")</f>
        <v/>
      </c>
      <c r="R42" s="159">
        <f>IFERROR(ROUND(D42*(1-CHOOSE(MATCH(IF($E42="","Основний",$E42),{"Трафіковий","Основний","Маржинальний","Сезонний","Стратегічний"},0),Settings!$E$78,Settings!$E$80,Settings!$E$82,Settings!$E$84,Settings!$E$86))/6,2)*6,"")</f>
        <v/>
      </c>
      <c r="S42" s="142">
        <f>IFERROR(CHOOSE(MATCH(IF($E42="","Основний",$E42),{"Трафіковий","Основний","Маржинальний","Сезонний","Стратегічний"},0),Settings!$E$78,Settings!$E$80,Settings!$E$82,Settings!$E$84,Settings!$E$86),"")</f>
        <v/>
      </c>
      <c r="T42" s="143">
        <f>IFERROR((R42*(1-Settings!$E$17)-C42)/(R42*(1-Settings!$E$17)),"")</f>
        <v/>
      </c>
      <c r="U42" s="149">
        <f>IFERROR(IF(R42="","",IF(R42&gt;=C42/(1-SKU_Base!AC42)/(1-Settings!$E$17),"OK",IF(R42&gt;=C42/(1-SKU_Base!AJ42)/(1-Settings!$E$17),"WARN","STOP"))),"")</f>
        <v/>
      </c>
      <c r="V42" s="159">
        <f>IFERROR(ROUND(D42*(1-CHOOSE(MATCH(IF($E42="","Основний",$E42),{"Трафіковий","Основний","Маржинальний","Сезонний","Стратегічний"},0),Settings!$F$78,Settings!$F$80,Settings!$F$82,Settings!$F$84,Settings!$F$86))/6,2)*6,"")</f>
        <v/>
      </c>
      <c r="W42" s="142">
        <f>IFERROR(CHOOSE(MATCH(IF($E42="","Основний",$E42),{"Трафіковий","Основний","Маржинальний","Сезонний","Стратегічний"},0),Settings!$F$78,Settings!$F$80,Settings!$F$82,Settings!$F$84,Settings!$F$86),"")</f>
        <v/>
      </c>
      <c r="X42" s="143">
        <f>IFERROR((V42*(1-Settings!$F$17)-C42)/(V42*(1-Settings!$F$17)),"")</f>
        <v/>
      </c>
      <c r="Y42" s="149">
        <f>IFERROR(IF(V42="","",IF(V42&gt;=C42/(1-SKU_Base!AD42)/(1-Settings!$F$17),"OK",IF(V42&gt;=C42/(1-SKU_Base!AK42)/(1-Settings!$F$17),"WARN","STOP"))),"")</f>
        <v/>
      </c>
      <c r="Z42" s="159">
        <f>IFERROR(ROUND(D42*(1-CHOOSE(MATCH(IF($E42="","Основний",$E42),{"Трафіковий","Основний","Маржинальний","Сезонний","Стратегічний"},0),Settings!$G$78,Settings!$G$80,Settings!$G$82,Settings!$G$84,Settings!$G$86))/6,2)*6,"")</f>
        <v/>
      </c>
      <c r="AA42" s="142">
        <f>IFERROR(CHOOSE(MATCH(IF($E42="","Основний",$E42),{"Трафіковий","Основний","Маржинальний","Сезонний","Стратегічний"},0),Settings!$G$78,Settings!$G$80,Settings!$G$82,Settings!$G$84,Settings!$G$86),"")</f>
        <v/>
      </c>
      <c r="AB42" s="143">
        <f>IFERROR((Z42*(1-Settings!$G$17)-C42)/(Z42*(1-Settings!$G$17)),"")</f>
        <v/>
      </c>
      <c r="AC42" s="149">
        <f>IFERROR(IF(Z42="","",IF(Z42&gt;=C42/(1-SKU_Base!AE42)/(1-Settings!$G$17),"OK",IF(Z42&gt;=C42/(1-SKU_Base!AL42)/(1-Settings!$G$17),"WARN","STOP"))),"")</f>
        <v/>
      </c>
      <c r="AD42" s="159">
        <f>IFERROR(ROUND(D42*(1-CHOOSE(MATCH(IF($E42="","Основний",$E42),{"Трафіковий","Основний","Маржинальний","Сезонний","Стратегічний"},0),Settings!$H$78,Settings!$H$80,Settings!$H$82,Settings!$H$84,Settings!$H$86))*(1-Settings!$H$68)/6,2)*6,"")</f>
        <v/>
      </c>
      <c r="AE42" s="142">
        <f>IFERROR(CHOOSE(MATCH(IF($E42="","Основний",$E42),{"Трафіковий","Основний","Маржинальний","Сезонний","Стратегічний"},0),Settings!$H$78,Settings!$H$80,Settings!$H$82,Settings!$H$84,Settings!$H$86)+(1-(CHOOSE(MATCH(IF($E42="","Основний",$E42),{"Трафіковий","Основний","Маржинальний","Сезонний","Стратегічний"},0),Settings!$H$78,Settings!$H$80,Settings!$H$82,Settings!$H$84,Settings!$H$86)))*Settings!$H$68,"")</f>
        <v/>
      </c>
      <c r="AF42" s="143">
        <f>IFERROR((AD42*(1-Settings!$H$17)-C42)/(AD42*(1-Settings!$H$17)),"")</f>
        <v/>
      </c>
      <c r="AG42" s="150">
        <f>IFERROR(IF(AD42="","",IF(AD42&gt;=C42/(1-SKU_Base!AF42)/(1-Settings!$H$17),"OK",IF(AD42&gt;=C42/(1-SKU_Base!AM42)/(1-Settings!$H$17),"WARN","STOP"))),"")</f>
        <v/>
      </c>
    </row>
    <row r="43" ht="17" customHeight="1" s="179">
      <c r="A43" s="146">
        <f>SKU_Base!B43</f>
        <v/>
      </c>
      <c r="B43" s="146">
        <f>SKU_Base!C43</f>
        <v/>
      </c>
      <c r="C43" s="147">
        <f>IFERROR(SKU_Base!I43,"")</f>
        <v/>
      </c>
      <c r="D43" s="164">
        <f>IFERROR(SKU_Base!T43,"")</f>
        <v/>
      </c>
      <c r="E43" s="141">
        <f>IFERROR(SKU_Base!$U43,"")</f>
        <v/>
      </c>
      <c r="F43" s="160">
        <f>IFERROR(ROUND(D43*(1-CHOOSE(MATCH(IF($E43="","Основний",$E43),{"Трафіковий","Основний","Маржинальний","Сезонний","Стратегічний"},0),Settings!$B$78,Settings!$B$80,Settings!$B$82,Settings!$B$84,Settings!$B$86))/6,2)*6,"")</f>
        <v/>
      </c>
      <c r="G43" s="142">
        <f>IFERROR(CHOOSE(MATCH(IF($E43="","Основний",$E43),{"Трафіковий","Основний","Маржинальний","Сезонний","Стратегічний"},0),Settings!$B$78,Settings!$B$80,Settings!$B$82,Settings!$B$84,Settings!$B$86),"")</f>
        <v/>
      </c>
      <c r="H43" s="148">
        <f>IFERROR((F43*(1-Settings!$B$17)-C43)/(F43*(1-Settings!$B$17)),"")</f>
        <v/>
      </c>
      <c r="I43" s="149">
        <f>IFERROR(IF(F43="","",IF(F43&gt;=C43/(1-SKU_Base!Z43)/(1-Settings!$B$17),"OK",IF(F43&gt;=C43/(1-SKU_Base!AG43)/(1-Settings!$B$17),"WARN","STOP"))),"")</f>
        <v/>
      </c>
      <c r="J43" s="160">
        <f>IFERROR(ROUND(D43*(1-CHOOSE(MATCH(IF($E43="","Основний",$E43),{"Трафіковий","Основний","Маржинальний","Сезонний","Стратегічний"},0),Settings!$C$78,Settings!$C$80,Settings!$C$82,Settings!$C$84,Settings!$C$86))/6,2)*6,"")</f>
        <v/>
      </c>
      <c r="K43" s="142">
        <f>IFERROR(CHOOSE(MATCH(IF($E43="","Основний",$E43),{"Трафіковий","Основний","Маржинальний","Сезонний","Стратегічний"},0),Settings!$C$78,Settings!$C$80,Settings!$C$82,Settings!$C$84,Settings!$C$86),"")</f>
        <v/>
      </c>
      <c r="L43" s="148">
        <f>IFERROR((J43*(1-Settings!$C$17)-C43)/(J43*(1-Settings!$C$17)),"")</f>
        <v/>
      </c>
      <c r="M43" s="149">
        <f>IFERROR(IF(J43="","",IF(J43&gt;=C43/(1-SKU_Base!AA43)/(1-Settings!$C$17),"OK",IF(J43&gt;=C43/(1-SKU_Base!AH43)/(1-Settings!$C$17),"WARN","STOP"))),"")</f>
        <v/>
      </c>
      <c r="N43" s="161">
        <f>IFERROR(ROUND(D43*(1-CHOOSE(MATCH(IF($E43="","Основний",$E43),{"Трафіковий","Основний","Маржинальний","Сезонний","Стратегічний"},0),Settings!$D$78,Settings!$D$80,Settings!$D$82,Settings!$D$84,Settings!$D$86))/6,2)*6,"")</f>
        <v/>
      </c>
      <c r="O43" s="142">
        <f>IFERROR(CHOOSE(MATCH(IF($E43="","Основний",$E43),{"Трафіковий","Основний","Маржинальний","Сезонний","Стратегічний"},0),Settings!$D$78,Settings!$D$80,Settings!$D$82,Settings!$D$84,Settings!$D$86),"")</f>
        <v/>
      </c>
      <c r="P43" s="148">
        <f>IFERROR((N43*(1-Settings!$D$17)-C43)/(N43*(1-Settings!$D$17)),"")</f>
        <v/>
      </c>
      <c r="Q43" s="149">
        <f>IFERROR(IF(N43="","",IF(N43&gt;=C43/(1-SKU_Base!AB43)/(1-Settings!$D$17),"OK",IF(N43&gt;=C43/(1-SKU_Base!AI43)/(1-Settings!$D$17),"WARN","STOP"))),"")</f>
        <v/>
      </c>
      <c r="R43" s="161">
        <f>IFERROR(ROUND(D43*(1-CHOOSE(MATCH(IF($E43="","Основний",$E43),{"Трафіковий","Основний","Маржинальний","Сезонний","Стратегічний"},0),Settings!$E$78,Settings!$E$80,Settings!$E$82,Settings!$E$84,Settings!$E$86))/6,2)*6,"")</f>
        <v/>
      </c>
      <c r="S43" s="142">
        <f>IFERROR(CHOOSE(MATCH(IF($E43="","Основний",$E43),{"Трафіковий","Основний","Маржинальний","Сезонний","Стратегічний"},0),Settings!$E$78,Settings!$E$80,Settings!$E$82,Settings!$E$84,Settings!$E$86),"")</f>
        <v/>
      </c>
      <c r="T43" s="148">
        <f>IFERROR((R43*(1-Settings!$E$17)-C43)/(R43*(1-Settings!$E$17)),"")</f>
        <v/>
      </c>
      <c r="U43" s="149">
        <f>IFERROR(IF(R43="","",IF(R43&gt;=C43/(1-SKU_Base!AC43)/(1-Settings!$E$17),"OK",IF(R43&gt;=C43/(1-SKU_Base!AJ43)/(1-Settings!$E$17),"WARN","STOP"))),"")</f>
        <v/>
      </c>
      <c r="V43" s="161">
        <f>IFERROR(ROUND(D43*(1-CHOOSE(MATCH(IF($E43="","Основний",$E43),{"Трафіковий","Основний","Маржинальний","Сезонний","Стратегічний"},0),Settings!$F$78,Settings!$F$80,Settings!$F$82,Settings!$F$84,Settings!$F$86))/6,2)*6,"")</f>
        <v/>
      </c>
      <c r="W43" s="142">
        <f>IFERROR(CHOOSE(MATCH(IF($E43="","Основний",$E43),{"Трафіковий","Основний","Маржинальний","Сезонний","Стратегічний"},0),Settings!$F$78,Settings!$F$80,Settings!$F$82,Settings!$F$84,Settings!$F$86),"")</f>
        <v/>
      </c>
      <c r="X43" s="148">
        <f>IFERROR((V43*(1-Settings!$F$17)-C43)/(V43*(1-Settings!$F$17)),"")</f>
        <v/>
      </c>
      <c r="Y43" s="149">
        <f>IFERROR(IF(V43="","",IF(V43&gt;=C43/(1-SKU_Base!AD43)/(1-Settings!$F$17),"OK",IF(V43&gt;=C43/(1-SKU_Base!AK43)/(1-Settings!$F$17),"WARN","STOP"))),"")</f>
        <v/>
      </c>
      <c r="Z43" s="161">
        <f>IFERROR(ROUND(D43*(1-CHOOSE(MATCH(IF($E43="","Основний",$E43),{"Трафіковий","Основний","Маржинальний","Сезонний","Стратегічний"},0),Settings!$G$78,Settings!$G$80,Settings!$G$82,Settings!$G$84,Settings!$G$86))/6,2)*6,"")</f>
        <v/>
      </c>
      <c r="AA43" s="142">
        <f>IFERROR(CHOOSE(MATCH(IF($E43="","Основний",$E43),{"Трафіковий","Основний","Маржинальний","Сезонний","Стратегічний"},0),Settings!$G$78,Settings!$G$80,Settings!$G$82,Settings!$G$84,Settings!$G$86),"")</f>
        <v/>
      </c>
      <c r="AB43" s="148">
        <f>IFERROR((Z43*(1-Settings!$G$17)-C43)/(Z43*(1-Settings!$G$17)),"")</f>
        <v/>
      </c>
      <c r="AC43" s="149">
        <f>IFERROR(IF(Z43="","",IF(Z43&gt;=C43/(1-SKU_Base!AE43)/(1-Settings!$G$17),"OK",IF(Z43&gt;=C43/(1-SKU_Base!AL43)/(1-Settings!$G$17),"WARN","STOP"))),"")</f>
        <v/>
      </c>
      <c r="AD43" s="161">
        <f>IFERROR(ROUND(D43*(1-CHOOSE(MATCH(IF($E43="","Основний",$E43),{"Трафіковий","Основний","Маржинальний","Сезонний","Стратегічний"},0),Settings!$H$78,Settings!$H$80,Settings!$H$82,Settings!$H$84,Settings!$H$86))*(1-Settings!$H$68)/6,2)*6,"")</f>
        <v/>
      </c>
      <c r="AE43" s="142">
        <f>IFERROR(CHOOSE(MATCH(IF($E43="","Основний",$E43),{"Трафіковий","Основний","Маржинальний","Сезонний","Стратегічний"},0),Settings!$H$78,Settings!$H$80,Settings!$H$82,Settings!$H$84,Settings!$H$86)+(1-(CHOOSE(MATCH(IF($E43="","Основний",$E43),{"Трафіковий","Основний","Маржинальний","Сезонний","Стратегічний"},0),Settings!$H$78,Settings!$H$80,Settings!$H$82,Settings!$H$84,Settings!$H$86)))*Settings!$H$68,"")</f>
        <v/>
      </c>
      <c r="AF43" s="148">
        <f>IFERROR((AD43*(1-Settings!$H$17)-C43)/(AD43*(1-Settings!$H$17)),"")</f>
        <v/>
      </c>
      <c r="AG43" s="150">
        <f>IFERROR(IF(AD43="","",IF(AD43&gt;=C43/(1-SKU_Base!AF43)/(1-Settings!$H$17),"OK",IF(AD43&gt;=C43/(1-SKU_Base!AM43)/(1-Settings!$H$17),"WARN","STOP"))),"")</f>
        <v/>
      </c>
    </row>
    <row r="44" ht="17" customHeight="1" s="179">
      <c r="A44" s="139">
        <f>SKU_Base!B44</f>
        <v/>
      </c>
      <c r="B44" s="139">
        <f>SKU_Base!C44</f>
        <v/>
      </c>
      <c r="C44" s="140">
        <f>IFERROR(SKU_Base!I44,"")</f>
        <v/>
      </c>
      <c r="D44" s="163">
        <f>IFERROR(SKU_Base!T44,"")</f>
        <v/>
      </c>
      <c r="E44" s="141">
        <f>IFERROR(SKU_Base!$U44,"")</f>
        <v/>
      </c>
      <c r="F44" s="158">
        <f>IFERROR(ROUND(D44*(1-CHOOSE(MATCH(IF($E44="","Основний",$E44),{"Трафіковий","Основний","Маржинальний","Сезонний","Стратегічний"},0),Settings!$B$78,Settings!$B$80,Settings!$B$82,Settings!$B$84,Settings!$B$86))/6,2)*6,"")</f>
        <v/>
      </c>
      <c r="G44" s="142">
        <f>IFERROR(CHOOSE(MATCH(IF($E44="","Основний",$E44),{"Трафіковий","Основний","Маржинальний","Сезонний","Стратегічний"},0),Settings!$B$78,Settings!$B$80,Settings!$B$82,Settings!$B$84,Settings!$B$86),"")</f>
        <v/>
      </c>
      <c r="H44" s="143">
        <f>IFERROR((F44*(1-Settings!$B$17)-C44)/(F44*(1-Settings!$B$17)),"")</f>
        <v/>
      </c>
      <c r="I44" s="150">
        <f>IFERROR(IF(F44="","",IF(F44&gt;=C44/(1-SKU_Base!Z44)/(1-Settings!$B$17),"OK",IF(F44&gt;=C44/(1-SKU_Base!AG44)/(1-Settings!$B$17),"WARN","STOP"))),"")</f>
        <v/>
      </c>
      <c r="J44" s="158">
        <f>IFERROR(ROUND(D44*(1-CHOOSE(MATCH(IF($E44="","Основний",$E44),{"Трафіковий","Основний","Маржинальний","Сезонний","Стратегічний"},0),Settings!$C$78,Settings!$C$80,Settings!$C$82,Settings!$C$84,Settings!$C$86))/6,2)*6,"")</f>
        <v/>
      </c>
      <c r="K44" s="142">
        <f>IFERROR(CHOOSE(MATCH(IF($E44="","Основний",$E44),{"Трафіковий","Основний","Маржинальний","Сезонний","Стратегічний"},0),Settings!$C$78,Settings!$C$80,Settings!$C$82,Settings!$C$84,Settings!$C$86),"")</f>
        <v/>
      </c>
      <c r="L44" s="143">
        <f>IFERROR((J44*(1-Settings!$C$17)-C44)/(J44*(1-Settings!$C$17)),"")</f>
        <v/>
      </c>
      <c r="M44" s="149">
        <f>IFERROR(IF(J44="","",IF(J44&gt;=C44/(1-SKU_Base!AA44)/(1-Settings!$C$17),"OK",IF(J44&gt;=C44/(1-SKU_Base!AH44)/(1-Settings!$C$17),"WARN","STOP"))),"")</f>
        <v/>
      </c>
      <c r="N44" s="159">
        <f>IFERROR(ROUND(D44*(1-CHOOSE(MATCH(IF($E44="","Основний",$E44),{"Трафіковий","Основний","Маржинальний","Сезонний","Стратегічний"},0),Settings!$D$78,Settings!$D$80,Settings!$D$82,Settings!$D$84,Settings!$D$86))/6,2)*6,"")</f>
        <v/>
      </c>
      <c r="O44" s="142">
        <f>IFERROR(CHOOSE(MATCH(IF($E44="","Основний",$E44),{"Трафіковий","Основний","Маржинальний","Сезонний","Стратегічний"},0),Settings!$D$78,Settings!$D$80,Settings!$D$82,Settings!$D$84,Settings!$D$86),"")</f>
        <v/>
      </c>
      <c r="P44" s="143">
        <f>IFERROR((N44*(1-Settings!$D$17)-C44)/(N44*(1-Settings!$D$17)),"")</f>
        <v/>
      </c>
      <c r="Q44" s="149">
        <f>IFERROR(IF(N44="","",IF(N44&gt;=C44/(1-SKU_Base!AB44)/(1-Settings!$D$17),"OK",IF(N44&gt;=C44/(1-SKU_Base!AI44)/(1-Settings!$D$17),"WARN","STOP"))),"")</f>
        <v/>
      </c>
      <c r="R44" s="159">
        <f>IFERROR(ROUND(D44*(1-CHOOSE(MATCH(IF($E44="","Основний",$E44),{"Трафіковий","Основний","Маржинальний","Сезонний","Стратегічний"},0),Settings!$E$78,Settings!$E$80,Settings!$E$82,Settings!$E$84,Settings!$E$86))/6,2)*6,"")</f>
        <v/>
      </c>
      <c r="S44" s="142">
        <f>IFERROR(CHOOSE(MATCH(IF($E44="","Основний",$E44),{"Трафіковий","Основний","Маржинальний","Сезонний","Стратегічний"},0),Settings!$E$78,Settings!$E$80,Settings!$E$82,Settings!$E$84,Settings!$E$86),"")</f>
        <v/>
      </c>
      <c r="T44" s="143">
        <f>IFERROR((R44*(1-Settings!$E$17)-C44)/(R44*(1-Settings!$E$17)),"")</f>
        <v/>
      </c>
      <c r="U44" s="149">
        <f>IFERROR(IF(R44="","",IF(R44&gt;=C44/(1-SKU_Base!AC44)/(1-Settings!$E$17),"OK",IF(R44&gt;=C44/(1-SKU_Base!AJ44)/(1-Settings!$E$17),"WARN","STOP"))),"")</f>
        <v/>
      </c>
      <c r="V44" s="159">
        <f>IFERROR(ROUND(D44*(1-CHOOSE(MATCH(IF($E44="","Основний",$E44),{"Трафіковий","Основний","Маржинальний","Сезонний","Стратегічний"},0),Settings!$F$78,Settings!$F$80,Settings!$F$82,Settings!$F$84,Settings!$F$86))/6,2)*6,"")</f>
        <v/>
      </c>
      <c r="W44" s="142">
        <f>IFERROR(CHOOSE(MATCH(IF($E44="","Основний",$E44),{"Трафіковий","Основний","Маржинальний","Сезонний","Стратегічний"},0),Settings!$F$78,Settings!$F$80,Settings!$F$82,Settings!$F$84,Settings!$F$86),"")</f>
        <v/>
      </c>
      <c r="X44" s="143">
        <f>IFERROR((V44*(1-Settings!$F$17)-C44)/(V44*(1-Settings!$F$17)),"")</f>
        <v/>
      </c>
      <c r="Y44" s="149">
        <f>IFERROR(IF(V44="","",IF(V44&gt;=C44/(1-SKU_Base!AD44)/(1-Settings!$F$17),"OK",IF(V44&gt;=C44/(1-SKU_Base!AK44)/(1-Settings!$F$17),"WARN","STOP"))),"")</f>
        <v/>
      </c>
      <c r="Z44" s="159">
        <f>IFERROR(ROUND(D44*(1-CHOOSE(MATCH(IF($E44="","Основний",$E44),{"Трафіковий","Основний","Маржинальний","Сезонний","Стратегічний"},0),Settings!$G$78,Settings!$G$80,Settings!$G$82,Settings!$G$84,Settings!$G$86))/6,2)*6,"")</f>
        <v/>
      </c>
      <c r="AA44" s="142">
        <f>IFERROR(CHOOSE(MATCH(IF($E44="","Основний",$E44),{"Трафіковий","Основний","Маржинальний","Сезонний","Стратегічний"},0),Settings!$G$78,Settings!$G$80,Settings!$G$82,Settings!$G$84,Settings!$G$86),"")</f>
        <v/>
      </c>
      <c r="AB44" s="143">
        <f>IFERROR((Z44*(1-Settings!$G$17)-C44)/(Z44*(1-Settings!$G$17)),"")</f>
        <v/>
      </c>
      <c r="AC44" s="149">
        <f>IFERROR(IF(Z44="","",IF(Z44&gt;=C44/(1-SKU_Base!AE44)/(1-Settings!$G$17),"OK",IF(Z44&gt;=C44/(1-SKU_Base!AL44)/(1-Settings!$G$17),"WARN","STOP"))),"")</f>
        <v/>
      </c>
      <c r="AD44" s="159">
        <f>IFERROR(ROUND(D44*(1-CHOOSE(MATCH(IF($E44="","Основний",$E44),{"Трафіковий","Основний","Маржинальний","Сезонний","Стратегічний"},0),Settings!$H$78,Settings!$H$80,Settings!$H$82,Settings!$H$84,Settings!$H$86))*(1-Settings!$H$68)/6,2)*6,"")</f>
        <v/>
      </c>
      <c r="AE44" s="142">
        <f>IFERROR(CHOOSE(MATCH(IF($E44="","Основний",$E44),{"Трафіковий","Основний","Маржинальний","Сезонний","Стратегічний"},0),Settings!$H$78,Settings!$H$80,Settings!$H$82,Settings!$H$84,Settings!$H$86)+(1-(CHOOSE(MATCH(IF($E44="","Основний",$E44),{"Трафіковий","Основний","Маржинальний","Сезонний","Стратегічний"},0),Settings!$H$78,Settings!$H$80,Settings!$H$82,Settings!$H$84,Settings!$H$86)))*Settings!$H$68,"")</f>
        <v/>
      </c>
      <c r="AF44" s="143">
        <f>IFERROR((AD44*(1-Settings!$H$17)-C44)/(AD44*(1-Settings!$H$17)),"")</f>
        <v/>
      </c>
      <c r="AG44" s="150">
        <f>IFERROR(IF(AD44="","",IF(AD44&gt;=C44/(1-SKU_Base!AF44)/(1-Settings!$H$17),"OK",IF(AD44&gt;=C44/(1-SKU_Base!AM44)/(1-Settings!$H$17),"WARN","STOP"))),"")</f>
        <v/>
      </c>
    </row>
    <row r="45" ht="17" customHeight="1" s="179">
      <c r="A45" s="146">
        <f>SKU_Base!B45</f>
        <v/>
      </c>
      <c r="B45" s="146">
        <f>SKU_Base!C45</f>
        <v/>
      </c>
      <c r="C45" s="147">
        <f>IFERROR(SKU_Base!I45,"")</f>
        <v/>
      </c>
      <c r="D45" s="164">
        <f>IFERROR(SKU_Base!T45,"")</f>
        <v/>
      </c>
      <c r="E45" s="141">
        <f>IFERROR(SKU_Base!$U45,"")</f>
        <v/>
      </c>
      <c r="F45" s="160">
        <f>IFERROR(ROUND(D45*(1-CHOOSE(MATCH(IF($E45="","Основний",$E45),{"Трафіковий","Основний","Маржинальний","Сезонний","Стратегічний"},0),Settings!$B$78,Settings!$B$80,Settings!$B$82,Settings!$B$84,Settings!$B$86))/6,2)*6,"")</f>
        <v/>
      </c>
      <c r="G45" s="142">
        <f>IFERROR(CHOOSE(MATCH(IF($E45="","Основний",$E45),{"Трафіковий","Основний","Маржинальний","Сезонний","Стратегічний"},0),Settings!$B$78,Settings!$B$80,Settings!$B$82,Settings!$B$84,Settings!$B$86),"")</f>
        <v/>
      </c>
      <c r="H45" s="148">
        <f>IFERROR((F45*(1-Settings!$B$17)-C45)/(F45*(1-Settings!$B$17)),"")</f>
        <v/>
      </c>
      <c r="I45" s="149">
        <f>IFERROR(IF(F45="","",IF(F45&gt;=C45/(1-SKU_Base!Z45)/(1-Settings!$B$17),"OK",IF(F45&gt;=C45/(1-SKU_Base!AG45)/(1-Settings!$B$17),"WARN","STOP"))),"")</f>
        <v/>
      </c>
      <c r="J45" s="160">
        <f>IFERROR(ROUND(D45*(1-CHOOSE(MATCH(IF($E45="","Основний",$E45),{"Трафіковий","Основний","Маржинальний","Сезонний","Стратегічний"},0),Settings!$C$78,Settings!$C$80,Settings!$C$82,Settings!$C$84,Settings!$C$86))/6,2)*6,"")</f>
        <v/>
      </c>
      <c r="K45" s="142">
        <f>IFERROR(CHOOSE(MATCH(IF($E45="","Основний",$E45),{"Трафіковий","Основний","Маржинальний","Сезонний","Стратегічний"},0),Settings!$C$78,Settings!$C$80,Settings!$C$82,Settings!$C$84,Settings!$C$86),"")</f>
        <v/>
      </c>
      <c r="L45" s="148">
        <f>IFERROR((J45*(1-Settings!$C$17)-C45)/(J45*(1-Settings!$C$17)),"")</f>
        <v/>
      </c>
      <c r="M45" s="149">
        <f>IFERROR(IF(J45="","",IF(J45&gt;=C45/(1-SKU_Base!AA45)/(1-Settings!$C$17),"OK",IF(J45&gt;=C45/(1-SKU_Base!AH45)/(1-Settings!$C$17),"WARN","STOP"))),"")</f>
        <v/>
      </c>
      <c r="N45" s="161">
        <f>IFERROR(ROUND(D45*(1-CHOOSE(MATCH(IF($E45="","Основний",$E45),{"Трафіковий","Основний","Маржинальний","Сезонний","Стратегічний"},0),Settings!$D$78,Settings!$D$80,Settings!$D$82,Settings!$D$84,Settings!$D$86))/6,2)*6,"")</f>
        <v/>
      </c>
      <c r="O45" s="142">
        <f>IFERROR(CHOOSE(MATCH(IF($E45="","Основний",$E45),{"Трафіковий","Основний","Маржинальний","Сезонний","Стратегічний"},0),Settings!$D$78,Settings!$D$80,Settings!$D$82,Settings!$D$84,Settings!$D$86),"")</f>
        <v/>
      </c>
      <c r="P45" s="148">
        <f>IFERROR((N45*(1-Settings!$D$17)-C45)/(N45*(1-Settings!$D$17)),"")</f>
        <v/>
      </c>
      <c r="Q45" s="149">
        <f>IFERROR(IF(N45="","",IF(N45&gt;=C45/(1-SKU_Base!AB45)/(1-Settings!$D$17),"OK",IF(N45&gt;=C45/(1-SKU_Base!AI45)/(1-Settings!$D$17),"WARN","STOP"))),"")</f>
        <v/>
      </c>
      <c r="R45" s="161">
        <f>IFERROR(ROUND(D45*(1-CHOOSE(MATCH(IF($E45="","Основний",$E45),{"Трафіковий","Основний","Маржинальний","Сезонний","Стратегічний"},0),Settings!$E$78,Settings!$E$80,Settings!$E$82,Settings!$E$84,Settings!$E$86))/6,2)*6,"")</f>
        <v/>
      </c>
      <c r="S45" s="142">
        <f>IFERROR(CHOOSE(MATCH(IF($E45="","Основний",$E45),{"Трафіковий","Основний","Маржинальний","Сезонний","Стратегічний"},0),Settings!$E$78,Settings!$E$80,Settings!$E$82,Settings!$E$84,Settings!$E$86),"")</f>
        <v/>
      </c>
      <c r="T45" s="148">
        <f>IFERROR((R45*(1-Settings!$E$17)-C45)/(R45*(1-Settings!$E$17)),"")</f>
        <v/>
      </c>
      <c r="U45" s="149">
        <f>IFERROR(IF(R45="","",IF(R45&gt;=C45/(1-SKU_Base!AC45)/(1-Settings!$E$17),"OK",IF(R45&gt;=C45/(1-SKU_Base!AJ45)/(1-Settings!$E$17),"WARN","STOP"))),"")</f>
        <v/>
      </c>
      <c r="V45" s="161">
        <f>IFERROR(ROUND(D45*(1-CHOOSE(MATCH(IF($E45="","Основний",$E45),{"Трафіковий","Основний","Маржинальний","Сезонний","Стратегічний"},0),Settings!$F$78,Settings!$F$80,Settings!$F$82,Settings!$F$84,Settings!$F$86))/6,2)*6,"")</f>
        <v/>
      </c>
      <c r="W45" s="142">
        <f>IFERROR(CHOOSE(MATCH(IF($E45="","Основний",$E45),{"Трафіковий","Основний","Маржинальний","Сезонний","Стратегічний"},0),Settings!$F$78,Settings!$F$80,Settings!$F$82,Settings!$F$84,Settings!$F$86),"")</f>
        <v/>
      </c>
      <c r="X45" s="148">
        <f>IFERROR((V45*(1-Settings!$F$17)-C45)/(V45*(1-Settings!$F$17)),"")</f>
        <v/>
      </c>
      <c r="Y45" s="149">
        <f>IFERROR(IF(V45="","",IF(V45&gt;=C45/(1-SKU_Base!AD45)/(1-Settings!$F$17),"OK",IF(V45&gt;=C45/(1-SKU_Base!AK45)/(1-Settings!$F$17),"WARN","STOP"))),"")</f>
        <v/>
      </c>
      <c r="Z45" s="161">
        <f>IFERROR(ROUND(D45*(1-CHOOSE(MATCH(IF($E45="","Основний",$E45),{"Трафіковий","Основний","Маржинальний","Сезонний","Стратегічний"},0),Settings!$G$78,Settings!$G$80,Settings!$G$82,Settings!$G$84,Settings!$G$86))/6,2)*6,"")</f>
        <v/>
      </c>
      <c r="AA45" s="142">
        <f>IFERROR(CHOOSE(MATCH(IF($E45="","Основний",$E45),{"Трафіковий","Основний","Маржинальний","Сезонний","Стратегічний"},0),Settings!$G$78,Settings!$G$80,Settings!$G$82,Settings!$G$84,Settings!$G$86),"")</f>
        <v/>
      </c>
      <c r="AB45" s="148">
        <f>IFERROR((Z45*(1-Settings!$G$17)-C45)/(Z45*(1-Settings!$G$17)),"")</f>
        <v/>
      </c>
      <c r="AC45" s="149">
        <f>IFERROR(IF(Z45="","",IF(Z45&gt;=C45/(1-SKU_Base!AE45)/(1-Settings!$G$17),"OK",IF(Z45&gt;=C45/(1-SKU_Base!AL45)/(1-Settings!$G$17),"WARN","STOP"))),"")</f>
        <v/>
      </c>
      <c r="AD45" s="161">
        <f>IFERROR(ROUND(D45*(1-CHOOSE(MATCH(IF($E45="","Основний",$E45),{"Трафіковий","Основний","Маржинальний","Сезонний","Стратегічний"},0),Settings!$H$78,Settings!$H$80,Settings!$H$82,Settings!$H$84,Settings!$H$86))*(1-Settings!$H$68)/6,2)*6,"")</f>
        <v/>
      </c>
      <c r="AE45" s="142">
        <f>IFERROR(CHOOSE(MATCH(IF($E45="","Основний",$E45),{"Трафіковий","Основний","Маржинальний","Сезонний","Стратегічний"},0),Settings!$H$78,Settings!$H$80,Settings!$H$82,Settings!$H$84,Settings!$H$86)+(1-(CHOOSE(MATCH(IF($E45="","Основний",$E45),{"Трафіковий","Основний","Маржинальний","Сезонний","Стратегічний"},0),Settings!$H$78,Settings!$H$80,Settings!$H$82,Settings!$H$84,Settings!$H$86)))*Settings!$H$68,"")</f>
        <v/>
      </c>
      <c r="AF45" s="148">
        <f>IFERROR((AD45*(1-Settings!$H$17)-C45)/(AD45*(1-Settings!$H$17)),"")</f>
        <v/>
      </c>
      <c r="AG45" s="150">
        <f>IFERROR(IF(AD45="","",IF(AD45&gt;=C45/(1-SKU_Base!AF45)/(1-Settings!$H$17),"OK",IF(AD45&gt;=C45/(1-SKU_Base!AM45)/(1-Settings!$H$17),"WARN","STOP"))),"")</f>
        <v/>
      </c>
    </row>
    <row r="46" ht="17" customHeight="1" s="179">
      <c r="A46" s="139">
        <f>SKU_Base!B46</f>
        <v/>
      </c>
      <c r="B46" s="139">
        <f>SKU_Base!C46</f>
        <v/>
      </c>
      <c r="C46" s="140">
        <f>IFERROR(SKU_Base!I46,"")</f>
        <v/>
      </c>
      <c r="D46" s="163">
        <f>IFERROR(SKU_Base!T46,"")</f>
        <v/>
      </c>
      <c r="E46" s="141">
        <f>IFERROR(SKU_Base!$U46,"")</f>
        <v/>
      </c>
      <c r="F46" s="158">
        <f>IFERROR(ROUND(D46*(1-CHOOSE(MATCH(IF($E46="","Основний",$E46),{"Трафіковий","Основний","Маржинальний","Сезонний","Стратегічний"},0),Settings!$B$78,Settings!$B$80,Settings!$B$82,Settings!$B$84,Settings!$B$86))/6,2)*6,"")</f>
        <v/>
      </c>
      <c r="G46" s="142">
        <f>IFERROR(CHOOSE(MATCH(IF($E46="","Основний",$E46),{"Трафіковий","Основний","Маржинальний","Сезонний","Стратегічний"},0),Settings!$B$78,Settings!$B$80,Settings!$B$82,Settings!$B$84,Settings!$B$86),"")</f>
        <v/>
      </c>
      <c r="H46" s="143">
        <f>IFERROR((F46*(1-Settings!$B$17)-C46)/(F46*(1-Settings!$B$17)),"")</f>
        <v/>
      </c>
      <c r="I46" s="149">
        <f>IFERROR(IF(F46="","",IF(F46&gt;=C46/(1-SKU_Base!Z46)/(1-Settings!$B$17),"OK",IF(F46&gt;=C46/(1-SKU_Base!AG46)/(1-Settings!$B$17),"WARN","STOP"))),"")</f>
        <v/>
      </c>
      <c r="J46" s="158">
        <f>IFERROR(ROUND(D46*(1-CHOOSE(MATCH(IF($E46="","Основний",$E46),{"Трафіковий","Основний","Маржинальний","Сезонний","Стратегічний"},0),Settings!$C$78,Settings!$C$80,Settings!$C$82,Settings!$C$84,Settings!$C$86))/6,2)*6,"")</f>
        <v/>
      </c>
      <c r="K46" s="142">
        <f>IFERROR(CHOOSE(MATCH(IF($E46="","Основний",$E46),{"Трафіковий","Основний","Маржинальний","Сезонний","Стратегічний"},0),Settings!$C$78,Settings!$C$80,Settings!$C$82,Settings!$C$84,Settings!$C$86),"")</f>
        <v/>
      </c>
      <c r="L46" s="143">
        <f>IFERROR((J46*(1-Settings!$C$17)-C46)/(J46*(1-Settings!$C$17)),"")</f>
        <v/>
      </c>
      <c r="M46" s="149">
        <f>IFERROR(IF(J46="","",IF(J46&gt;=C46/(1-SKU_Base!AA46)/(1-Settings!$C$17),"OK",IF(J46&gt;=C46/(1-SKU_Base!AH46)/(1-Settings!$C$17),"WARN","STOP"))),"")</f>
        <v/>
      </c>
      <c r="N46" s="159">
        <f>IFERROR(ROUND(D46*(1-CHOOSE(MATCH(IF($E46="","Основний",$E46),{"Трафіковий","Основний","Маржинальний","Сезонний","Стратегічний"},0),Settings!$D$78,Settings!$D$80,Settings!$D$82,Settings!$D$84,Settings!$D$86))/6,2)*6,"")</f>
        <v/>
      </c>
      <c r="O46" s="142">
        <f>IFERROR(CHOOSE(MATCH(IF($E46="","Основний",$E46),{"Трафіковий","Основний","Маржинальний","Сезонний","Стратегічний"},0),Settings!$D$78,Settings!$D$80,Settings!$D$82,Settings!$D$84,Settings!$D$86),"")</f>
        <v/>
      </c>
      <c r="P46" s="143">
        <f>IFERROR((N46*(1-Settings!$D$17)-C46)/(N46*(1-Settings!$D$17)),"")</f>
        <v/>
      </c>
      <c r="Q46" s="149">
        <f>IFERROR(IF(N46="","",IF(N46&gt;=C46/(1-SKU_Base!AB46)/(1-Settings!$D$17),"OK",IF(N46&gt;=C46/(1-SKU_Base!AI46)/(1-Settings!$D$17),"WARN","STOP"))),"")</f>
        <v/>
      </c>
      <c r="R46" s="159">
        <f>IFERROR(ROUND(D46*(1-CHOOSE(MATCH(IF($E46="","Основний",$E46),{"Трафіковий","Основний","Маржинальний","Сезонний","Стратегічний"},0),Settings!$E$78,Settings!$E$80,Settings!$E$82,Settings!$E$84,Settings!$E$86))/6,2)*6,"")</f>
        <v/>
      </c>
      <c r="S46" s="142">
        <f>IFERROR(CHOOSE(MATCH(IF($E46="","Основний",$E46),{"Трафіковий","Основний","Маржинальний","Сезонний","Стратегічний"},0),Settings!$E$78,Settings!$E$80,Settings!$E$82,Settings!$E$84,Settings!$E$86),"")</f>
        <v/>
      </c>
      <c r="T46" s="143">
        <f>IFERROR((R46*(1-Settings!$E$17)-C46)/(R46*(1-Settings!$E$17)),"")</f>
        <v/>
      </c>
      <c r="U46" s="149">
        <f>IFERROR(IF(R46="","",IF(R46&gt;=C46/(1-SKU_Base!AC46)/(1-Settings!$E$17),"OK",IF(R46&gt;=C46/(1-SKU_Base!AJ46)/(1-Settings!$E$17),"WARN","STOP"))),"")</f>
        <v/>
      </c>
      <c r="V46" s="159">
        <f>IFERROR(ROUND(D46*(1-CHOOSE(MATCH(IF($E46="","Основний",$E46),{"Трафіковий","Основний","Маржинальний","Сезонний","Стратегічний"},0),Settings!$F$78,Settings!$F$80,Settings!$F$82,Settings!$F$84,Settings!$F$86))/6,2)*6,"")</f>
        <v/>
      </c>
      <c r="W46" s="142">
        <f>IFERROR(CHOOSE(MATCH(IF($E46="","Основний",$E46),{"Трафіковий","Основний","Маржинальний","Сезонний","Стратегічний"},0),Settings!$F$78,Settings!$F$80,Settings!$F$82,Settings!$F$84,Settings!$F$86),"")</f>
        <v/>
      </c>
      <c r="X46" s="143">
        <f>IFERROR((V46*(1-Settings!$F$17)-C46)/(V46*(1-Settings!$F$17)),"")</f>
        <v/>
      </c>
      <c r="Y46" s="149">
        <f>IFERROR(IF(V46="","",IF(V46&gt;=C46/(1-SKU_Base!AD46)/(1-Settings!$F$17),"OK",IF(V46&gt;=C46/(1-SKU_Base!AK46)/(1-Settings!$F$17),"WARN","STOP"))),"")</f>
        <v/>
      </c>
      <c r="Z46" s="159">
        <f>IFERROR(ROUND(D46*(1-CHOOSE(MATCH(IF($E46="","Основний",$E46),{"Трафіковий","Основний","Маржинальний","Сезонний","Стратегічний"},0),Settings!$G$78,Settings!$G$80,Settings!$G$82,Settings!$G$84,Settings!$G$86))/6,2)*6,"")</f>
        <v/>
      </c>
      <c r="AA46" s="142">
        <f>IFERROR(CHOOSE(MATCH(IF($E46="","Основний",$E46),{"Трафіковий","Основний","Маржинальний","Сезонний","Стратегічний"},0),Settings!$G$78,Settings!$G$80,Settings!$G$82,Settings!$G$84,Settings!$G$86),"")</f>
        <v/>
      </c>
      <c r="AB46" s="143">
        <f>IFERROR((Z46*(1-Settings!$G$17)-C46)/(Z46*(1-Settings!$G$17)),"")</f>
        <v/>
      </c>
      <c r="AC46" s="149">
        <f>IFERROR(IF(Z46="","",IF(Z46&gt;=C46/(1-SKU_Base!AE46)/(1-Settings!$G$17),"OK",IF(Z46&gt;=C46/(1-SKU_Base!AL46)/(1-Settings!$G$17),"WARN","STOP"))),"")</f>
        <v/>
      </c>
      <c r="AD46" s="159">
        <f>IFERROR(ROUND(D46*(1-CHOOSE(MATCH(IF($E46="","Основний",$E46),{"Трафіковий","Основний","Маржинальний","Сезонний","Стратегічний"},0),Settings!$H$78,Settings!$H$80,Settings!$H$82,Settings!$H$84,Settings!$H$86))*(1-Settings!$H$68)/6,2)*6,"")</f>
        <v/>
      </c>
      <c r="AE46" s="142">
        <f>IFERROR(CHOOSE(MATCH(IF($E46="","Основний",$E46),{"Трафіковий","Основний","Маржинальний","Сезонний","Стратегічний"},0),Settings!$H$78,Settings!$H$80,Settings!$H$82,Settings!$H$84,Settings!$H$86)+(1-(CHOOSE(MATCH(IF($E46="","Основний",$E46),{"Трафіковий","Основний","Маржинальний","Сезонний","Стратегічний"},0),Settings!$H$78,Settings!$H$80,Settings!$H$82,Settings!$H$84,Settings!$H$86)))*Settings!$H$68,"")</f>
        <v/>
      </c>
      <c r="AF46" s="143">
        <f>IFERROR((AD46*(1-Settings!$H$17)-C46)/(AD46*(1-Settings!$H$17)),"")</f>
        <v/>
      </c>
      <c r="AG46" s="150">
        <f>IFERROR(IF(AD46="","",IF(AD46&gt;=C46/(1-SKU_Base!AF46)/(1-Settings!$H$17),"OK",IF(AD46&gt;=C46/(1-SKU_Base!AM46)/(1-Settings!$H$17),"WARN","STOP"))),"")</f>
        <v/>
      </c>
    </row>
    <row r="47" ht="17" customHeight="1" s="179">
      <c r="A47" s="146">
        <f>SKU_Base!B47</f>
        <v/>
      </c>
      <c r="B47" s="146">
        <f>SKU_Base!C47</f>
        <v/>
      </c>
      <c r="C47" s="147">
        <f>IFERROR(SKU_Base!I47,"")</f>
        <v/>
      </c>
      <c r="D47" s="164">
        <f>IFERROR(SKU_Base!T47,"")</f>
        <v/>
      </c>
      <c r="E47" s="141">
        <f>IFERROR(SKU_Base!$U47,"")</f>
        <v/>
      </c>
      <c r="F47" s="160">
        <f>IFERROR(ROUND(D47*(1-CHOOSE(MATCH(IF($E47="","Основний",$E47),{"Трафіковий","Основний","Маржинальний","Сезонний","Стратегічний"},0),Settings!$B$78,Settings!$B$80,Settings!$B$82,Settings!$B$84,Settings!$B$86))/6,2)*6,"")</f>
        <v/>
      </c>
      <c r="G47" s="142">
        <f>IFERROR(CHOOSE(MATCH(IF($E47="","Основний",$E47),{"Трафіковий","Основний","Маржинальний","Сезонний","Стратегічний"},0),Settings!$B$78,Settings!$B$80,Settings!$B$82,Settings!$B$84,Settings!$B$86),"")</f>
        <v/>
      </c>
      <c r="H47" s="148">
        <f>IFERROR((F47*(1-Settings!$B$17)-C47)/(F47*(1-Settings!$B$17)),"")</f>
        <v/>
      </c>
      <c r="I47" s="149">
        <f>IFERROR(IF(F47="","",IF(F47&gt;=C47/(1-SKU_Base!Z47)/(1-Settings!$B$17),"OK",IF(F47&gt;=C47/(1-SKU_Base!AG47)/(1-Settings!$B$17),"WARN","STOP"))),"")</f>
        <v/>
      </c>
      <c r="J47" s="160">
        <f>IFERROR(ROUND(D47*(1-CHOOSE(MATCH(IF($E47="","Основний",$E47),{"Трафіковий","Основний","Маржинальний","Сезонний","Стратегічний"},0),Settings!$C$78,Settings!$C$80,Settings!$C$82,Settings!$C$84,Settings!$C$86))/6,2)*6,"")</f>
        <v/>
      </c>
      <c r="K47" s="142">
        <f>IFERROR(CHOOSE(MATCH(IF($E47="","Основний",$E47),{"Трафіковий","Основний","Маржинальний","Сезонний","Стратегічний"},0),Settings!$C$78,Settings!$C$80,Settings!$C$82,Settings!$C$84,Settings!$C$86),"")</f>
        <v/>
      </c>
      <c r="L47" s="148">
        <f>IFERROR((J47*(1-Settings!$C$17)-C47)/(J47*(1-Settings!$C$17)),"")</f>
        <v/>
      </c>
      <c r="M47" s="149">
        <f>IFERROR(IF(J47="","",IF(J47&gt;=C47/(1-SKU_Base!AA47)/(1-Settings!$C$17),"OK",IF(J47&gt;=C47/(1-SKU_Base!AH47)/(1-Settings!$C$17),"WARN","STOP"))),"")</f>
        <v/>
      </c>
      <c r="N47" s="161">
        <f>IFERROR(ROUND(D47*(1-CHOOSE(MATCH(IF($E47="","Основний",$E47),{"Трафіковий","Основний","Маржинальний","Сезонний","Стратегічний"},0),Settings!$D$78,Settings!$D$80,Settings!$D$82,Settings!$D$84,Settings!$D$86))/6,2)*6,"")</f>
        <v/>
      </c>
      <c r="O47" s="142">
        <f>IFERROR(CHOOSE(MATCH(IF($E47="","Основний",$E47),{"Трафіковий","Основний","Маржинальний","Сезонний","Стратегічний"},0),Settings!$D$78,Settings!$D$80,Settings!$D$82,Settings!$D$84,Settings!$D$86),"")</f>
        <v/>
      </c>
      <c r="P47" s="148">
        <f>IFERROR((N47*(1-Settings!$D$17)-C47)/(N47*(1-Settings!$D$17)),"")</f>
        <v/>
      </c>
      <c r="Q47" s="149">
        <f>IFERROR(IF(N47="","",IF(N47&gt;=C47/(1-SKU_Base!AB47)/(1-Settings!$D$17),"OK",IF(N47&gt;=C47/(1-SKU_Base!AI47)/(1-Settings!$D$17),"WARN","STOP"))),"")</f>
        <v/>
      </c>
      <c r="R47" s="161">
        <f>IFERROR(ROUND(D47*(1-CHOOSE(MATCH(IF($E47="","Основний",$E47),{"Трафіковий","Основний","Маржинальний","Сезонний","Стратегічний"},0),Settings!$E$78,Settings!$E$80,Settings!$E$82,Settings!$E$84,Settings!$E$86))/6,2)*6,"")</f>
        <v/>
      </c>
      <c r="S47" s="142">
        <f>IFERROR(CHOOSE(MATCH(IF($E47="","Основний",$E47),{"Трафіковий","Основний","Маржинальний","Сезонний","Стратегічний"},0),Settings!$E$78,Settings!$E$80,Settings!$E$82,Settings!$E$84,Settings!$E$86),"")</f>
        <v/>
      </c>
      <c r="T47" s="148">
        <f>IFERROR((R47*(1-Settings!$E$17)-C47)/(R47*(1-Settings!$E$17)),"")</f>
        <v/>
      </c>
      <c r="U47" s="149">
        <f>IFERROR(IF(R47="","",IF(R47&gt;=C47/(1-SKU_Base!AC47)/(1-Settings!$E$17),"OK",IF(R47&gt;=C47/(1-SKU_Base!AJ47)/(1-Settings!$E$17),"WARN","STOP"))),"")</f>
        <v/>
      </c>
      <c r="V47" s="161">
        <f>IFERROR(ROUND(D47*(1-CHOOSE(MATCH(IF($E47="","Основний",$E47),{"Трафіковий","Основний","Маржинальний","Сезонний","Стратегічний"},0),Settings!$F$78,Settings!$F$80,Settings!$F$82,Settings!$F$84,Settings!$F$86))/6,2)*6,"")</f>
        <v/>
      </c>
      <c r="W47" s="142">
        <f>IFERROR(CHOOSE(MATCH(IF($E47="","Основний",$E47),{"Трафіковий","Основний","Маржинальний","Сезонний","Стратегічний"},0),Settings!$F$78,Settings!$F$80,Settings!$F$82,Settings!$F$84,Settings!$F$86),"")</f>
        <v/>
      </c>
      <c r="X47" s="148">
        <f>IFERROR((V47*(1-Settings!$F$17)-C47)/(V47*(1-Settings!$F$17)),"")</f>
        <v/>
      </c>
      <c r="Y47" s="149">
        <f>IFERROR(IF(V47="","",IF(V47&gt;=C47/(1-SKU_Base!AD47)/(1-Settings!$F$17),"OK",IF(V47&gt;=C47/(1-SKU_Base!AK47)/(1-Settings!$F$17),"WARN","STOP"))),"")</f>
        <v/>
      </c>
      <c r="Z47" s="161">
        <f>IFERROR(ROUND(D47*(1-CHOOSE(MATCH(IF($E47="","Основний",$E47),{"Трафіковий","Основний","Маржинальний","Сезонний","Стратегічний"},0),Settings!$G$78,Settings!$G$80,Settings!$G$82,Settings!$G$84,Settings!$G$86))/6,2)*6,"")</f>
        <v/>
      </c>
      <c r="AA47" s="142">
        <f>IFERROR(CHOOSE(MATCH(IF($E47="","Основний",$E47),{"Трафіковий","Основний","Маржинальний","Сезонний","Стратегічний"},0),Settings!$G$78,Settings!$G$80,Settings!$G$82,Settings!$G$84,Settings!$G$86),"")</f>
        <v/>
      </c>
      <c r="AB47" s="148">
        <f>IFERROR((Z47*(1-Settings!$G$17)-C47)/(Z47*(1-Settings!$G$17)),"")</f>
        <v/>
      </c>
      <c r="AC47" s="149">
        <f>IFERROR(IF(Z47="","",IF(Z47&gt;=C47/(1-SKU_Base!AE47)/(1-Settings!$G$17),"OK",IF(Z47&gt;=C47/(1-SKU_Base!AL47)/(1-Settings!$G$17),"WARN","STOP"))),"")</f>
        <v/>
      </c>
      <c r="AD47" s="161">
        <f>IFERROR(ROUND(D47*(1-CHOOSE(MATCH(IF($E47="","Основний",$E47),{"Трафіковий","Основний","Маржинальний","Сезонний","Стратегічний"},0),Settings!$H$78,Settings!$H$80,Settings!$H$82,Settings!$H$84,Settings!$H$86))*(1-Settings!$H$68)/6,2)*6,"")</f>
        <v/>
      </c>
      <c r="AE47" s="142">
        <f>IFERROR(CHOOSE(MATCH(IF($E47="","Основний",$E47),{"Трафіковий","Основний","Маржинальний","Сезонний","Стратегічний"},0),Settings!$H$78,Settings!$H$80,Settings!$H$82,Settings!$H$84,Settings!$H$86)+(1-(CHOOSE(MATCH(IF($E47="","Основний",$E47),{"Трафіковий","Основний","Маржинальний","Сезонний","Стратегічний"},0),Settings!$H$78,Settings!$H$80,Settings!$H$82,Settings!$H$84,Settings!$H$86)))*Settings!$H$68,"")</f>
        <v/>
      </c>
      <c r="AF47" s="148">
        <f>IFERROR((AD47*(1-Settings!$H$17)-C47)/(AD47*(1-Settings!$H$17)),"")</f>
        <v/>
      </c>
      <c r="AG47" s="150">
        <f>IFERROR(IF(AD47="","",IF(AD47&gt;=C47/(1-SKU_Base!AF47)/(1-Settings!$H$17),"OK",IF(AD47&gt;=C47/(1-SKU_Base!AM47)/(1-Settings!$H$17),"WARN","STOP"))),"")</f>
        <v/>
      </c>
    </row>
    <row r="48" ht="17" customHeight="1" s="179">
      <c r="A48" s="139">
        <f>SKU_Base!B48</f>
        <v/>
      </c>
      <c r="B48" s="139">
        <f>SKU_Base!C48</f>
        <v/>
      </c>
      <c r="C48" s="140">
        <f>IFERROR(SKU_Base!I48,"")</f>
        <v/>
      </c>
      <c r="D48" s="163">
        <f>IFERROR(SKU_Base!T48,"")</f>
        <v/>
      </c>
      <c r="E48" s="141">
        <f>IFERROR(SKU_Base!$U48,"")</f>
        <v/>
      </c>
      <c r="F48" s="158">
        <f>IFERROR(ROUND(D48*(1-CHOOSE(MATCH(IF($E48="","Основний",$E48),{"Трафіковий","Основний","Маржинальний","Сезонний","Стратегічний"},0),Settings!$B$78,Settings!$B$80,Settings!$B$82,Settings!$B$84,Settings!$B$86))/6,2)*6,"")</f>
        <v/>
      </c>
      <c r="G48" s="142">
        <f>IFERROR(CHOOSE(MATCH(IF($E48="","Основний",$E48),{"Трафіковий","Основний","Маржинальний","Сезонний","Стратегічний"},0),Settings!$B$78,Settings!$B$80,Settings!$B$82,Settings!$B$84,Settings!$B$86),"")</f>
        <v/>
      </c>
      <c r="H48" s="143">
        <f>IFERROR((F48*(1-Settings!$B$17)-C48)/(F48*(1-Settings!$B$17)),"")</f>
        <v/>
      </c>
      <c r="I48" s="149">
        <f>IFERROR(IF(F48="","",IF(F48&gt;=C48/(1-SKU_Base!Z48)/(1-Settings!$B$17),"OK",IF(F48&gt;=C48/(1-SKU_Base!AG48)/(1-Settings!$B$17),"WARN","STOP"))),"")</f>
        <v/>
      </c>
      <c r="J48" s="158">
        <f>IFERROR(ROUND(D48*(1-CHOOSE(MATCH(IF($E48="","Основний",$E48),{"Трафіковий","Основний","Маржинальний","Сезонний","Стратегічний"},0),Settings!$C$78,Settings!$C$80,Settings!$C$82,Settings!$C$84,Settings!$C$86))/6,2)*6,"")</f>
        <v/>
      </c>
      <c r="K48" s="142">
        <f>IFERROR(CHOOSE(MATCH(IF($E48="","Основний",$E48),{"Трафіковий","Основний","Маржинальний","Сезонний","Стратегічний"},0),Settings!$C$78,Settings!$C$80,Settings!$C$82,Settings!$C$84,Settings!$C$86),"")</f>
        <v/>
      </c>
      <c r="L48" s="143">
        <f>IFERROR((J48*(1-Settings!$C$17)-C48)/(J48*(1-Settings!$C$17)),"")</f>
        <v/>
      </c>
      <c r="M48" s="149">
        <f>IFERROR(IF(J48="","",IF(J48&gt;=C48/(1-SKU_Base!AA48)/(1-Settings!$C$17),"OK",IF(J48&gt;=C48/(1-SKU_Base!AH48)/(1-Settings!$C$17),"WARN","STOP"))),"")</f>
        <v/>
      </c>
      <c r="N48" s="159">
        <f>IFERROR(ROUND(D48*(1-CHOOSE(MATCH(IF($E48="","Основний",$E48),{"Трафіковий","Основний","Маржинальний","Сезонний","Стратегічний"},0),Settings!$D$78,Settings!$D$80,Settings!$D$82,Settings!$D$84,Settings!$D$86))/6,2)*6,"")</f>
        <v/>
      </c>
      <c r="O48" s="142">
        <f>IFERROR(CHOOSE(MATCH(IF($E48="","Основний",$E48),{"Трафіковий","Основний","Маржинальний","Сезонний","Стратегічний"},0),Settings!$D$78,Settings!$D$80,Settings!$D$82,Settings!$D$84,Settings!$D$86),"")</f>
        <v/>
      </c>
      <c r="P48" s="143">
        <f>IFERROR((N48*(1-Settings!$D$17)-C48)/(N48*(1-Settings!$D$17)),"")</f>
        <v/>
      </c>
      <c r="Q48" s="149">
        <f>IFERROR(IF(N48="","",IF(N48&gt;=C48/(1-SKU_Base!AB48)/(1-Settings!$D$17),"OK",IF(N48&gt;=C48/(1-SKU_Base!AI48)/(1-Settings!$D$17),"WARN","STOP"))),"")</f>
        <v/>
      </c>
      <c r="R48" s="159">
        <f>IFERROR(ROUND(D48*(1-CHOOSE(MATCH(IF($E48="","Основний",$E48),{"Трафіковий","Основний","Маржинальний","Сезонний","Стратегічний"},0),Settings!$E$78,Settings!$E$80,Settings!$E$82,Settings!$E$84,Settings!$E$86))/6,2)*6,"")</f>
        <v/>
      </c>
      <c r="S48" s="142">
        <f>IFERROR(CHOOSE(MATCH(IF($E48="","Основний",$E48),{"Трафіковий","Основний","Маржинальний","Сезонний","Стратегічний"},0),Settings!$E$78,Settings!$E$80,Settings!$E$82,Settings!$E$84,Settings!$E$86),"")</f>
        <v/>
      </c>
      <c r="T48" s="143">
        <f>IFERROR((R48*(1-Settings!$E$17)-C48)/(R48*(1-Settings!$E$17)),"")</f>
        <v/>
      </c>
      <c r="U48" s="149">
        <f>IFERROR(IF(R48="","",IF(R48&gt;=C48/(1-SKU_Base!AC48)/(1-Settings!$E$17),"OK",IF(R48&gt;=C48/(1-SKU_Base!AJ48)/(1-Settings!$E$17),"WARN","STOP"))),"")</f>
        <v/>
      </c>
      <c r="V48" s="159">
        <f>IFERROR(ROUND(D48*(1-CHOOSE(MATCH(IF($E48="","Основний",$E48),{"Трафіковий","Основний","Маржинальний","Сезонний","Стратегічний"},0),Settings!$F$78,Settings!$F$80,Settings!$F$82,Settings!$F$84,Settings!$F$86))/6,2)*6,"")</f>
        <v/>
      </c>
      <c r="W48" s="142">
        <f>IFERROR(CHOOSE(MATCH(IF($E48="","Основний",$E48),{"Трафіковий","Основний","Маржинальний","Сезонний","Стратегічний"},0),Settings!$F$78,Settings!$F$80,Settings!$F$82,Settings!$F$84,Settings!$F$86),"")</f>
        <v/>
      </c>
      <c r="X48" s="143">
        <f>IFERROR((V48*(1-Settings!$F$17)-C48)/(V48*(1-Settings!$F$17)),"")</f>
        <v/>
      </c>
      <c r="Y48" s="149">
        <f>IFERROR(IF(V48="","",IF(V48&gt;=C48/(1-SKU_Base!AD48)/(1-Settings!$F$17),"OK",IF(V48&gt;=C48/(1-SKU_Base!AK48)/(1-Settings!$F$17),"WARN","STOP"))),"")</f>
        <v/>
      </c>
      <c r="Z48" s="159">
        <f>IFERROR(ROUND(D48*(1-CHOOSE(MATCH(IF($E48="","Основний",$E48),{"Трафіковий","Основний","Маржинальний","Сезонний","Стратегічний"},0),Settings!$G$78,Settings!$G$80,Settings!$G$82,Settings!$G$84,Settings!$G$86))/6,2)*6,"")</f>
        <v/>
      </c>
      <c r="AA48" s="142">
        <f>IFERROR(CHOOSE(MATCH(IF($E48="","Основний",$E48),{"Трафіковий","Основний","Маржинальний","Сезонний","Стратегічний"},0),Settings!$G$78,Settings!$G$80,Settings!$G$82,Settings!$G$84,Settings!$G$86),"")</f>
        <v/>
      </c>
      <c r="AB48" s="143">
        <f>IFERROR((Z48*(1-Settings!$G$17)-C48)/(Z48*(1-Settings!$G$17)),"")</f>
        <v/>
      </c>
      <c r="AC48" s="149">
        <f>IFERROR(IF(Z48="","",IF(Z48&gt;=C48/(1-SKU_Base!AE48)/(1-Settings!$G$17),"OK",IF(Z48&gt;=C48/(1-SKU_Base!AL48)/(1-Settings!$G$17),"WARN","STOP"))),"")</f>
        <v/>
      </c>
      <c r="AD48" s="159">
        <f>IFERROR(ROUND(D48*(1-CHOOSE(MATCH(IF($E48="","Основний",$E48),{"Трафіковий","Основний","Маржинальний","Сезонний","Стратегічний"},0),Settings!$H$78,Settings!$H$80,Settings!$H$82,Settings!$H$84,Settings!$H$86))*(1-Settings!$H$68)/6,2)*6,"")</f>
        <v/>
      </c>
      <c r="AE48" s="142">
        <f>IFERROR(CHOOSE(MATCH(IF($E48="","Основний",$E48),{"Трафіковий","Основний","Маржинальний","Сезонний","Стратегічний"},0),Settings!$H$78,Settings!$H$80,Settings!$H$82,Settings!$H$84,Settings!$H$86)+(1-(CHOOSE(MATCH(IF($E48="","Основний",$E48),{"Трафіковий","Основний","Маржинальний","Сезонний","Стратегічний"},0),Settings!$H$78,Settings!$H$80,Settings!$H$82,Settings!$H$84,Settings!$H$86)))*Settings!$H$68,"")</f>
        <v/>
      </c>
      <c r="AF48" s="143">
        <f>IFERROR((AD48*(1-Settings!$H$17)-C48)/(AD48*(1-Settings!$H$17)),"")</f>
        <v/>
      </c>
      <c r="AG48" s="149">
        <f>IFERROR(IF(AD48="","",IF(AD48&gt;=C48/(1-SKU_Base!AF48)/(1-Settings!$H$17),"OK",IF(AD48&gt;=C48/(1-SKU_Base!AM48)/(1-Settings!$H$17),"WARN","STOP"))),"")</f>
        <v/>
      </c>
    </row>
    <row r="49" ht="17" customHeight="1" s="179">
      <c r="A49" s="146">
        <f>SKU_Base!B49</f>
        <v/>
      </c>
      <c r="B49" s="146">
        <f>SKU_Base!C49</f>
        <v/>
      </c>
      <c r="C49" s="147">
        <f>IFERROR(SKU_Base!I49,"")</f>
        <v/>
      </c>
      <c r="D49" s="164">
        <f>IFERROR(SKU_Base!T49,"")</f>
        <v/>
      </c>
      <c r="E49" s="141">
        <f>IFERROR(SKU_Base!$U49,"")</f>
        <v/>
      </c>
      <c r="F49" s="160">
        <f>IFERROR(ROUND(D49*(1-CHOOSE(MATCH(IF($E49="","Основний",$E49),{"Трафіковий","Основний","Маржинальний","Сезонний","Стратегічний"},0),Settings!$B$78,Settings!$B$80,Settings!$B$82,Settings!$B$84,Settings!$B$86))/6,2)*6,"")</f>
        <v/>
      </c>
      <c r="G49" s="142">
        <f>IFERROR(CHOOSE(MATCH(IF($E49="","Основний",$E49),{"Трафіковий","Основний","Маржинальний","Сезонний","Стратегічний"},0),Settings!$B$78,Settings!$B$80,Settings!$B$82,Settings!$B$84,Settings!$B$86),"")</f>
        <v/>
      </c>
      <c r="H49" s="148">
        <f>IFERROR((F49*(1-Settings!$B$17)-C49)/(F49*(1-Settings!$B$17)),"")</f>
        <v/>
      </c>
      <c r="I49" s="149">
        <f>IFERROR(IF(F49="","",IF(F49&gt;=C49/(1-SKU_Base!Z49)/(1-Settings!$B$17),"OK",IF(F49&gt;=C49/(1-SKU_Base!AG49)/(1-Settings!$B$17),"WARN","STOP"))),"")</f>
        <v/>
      </c>
      <c r="J49" s="160">
        <f>IFERROR(ROUND(D49*(1-CHOOSE(MATCH(IF($E49="","Основний",$E49),{"Трафіковий","Основний","Маржинальний","Сезонний","Стратегічний"},0),Settings!$C$78,Settings!$C$80,Settings!$C$82,Settings!$C$84,Settings!$C$86))/6,2)*6,"")</f>
        <v/>
      </c>
      <c r="K49" s="142">
        <f>IFERROR(CHOOSE(MATCH(IF($E49="","Основний",$E49),{"Трафіковий","Основний","Маржинальний","Сезонний","Стратегічний"},0),Settings!$C$78,Settings!$C$80,Settings!$C$82,Settings!$C$84,Settings!$C$86),"")</f>
        <v/>
      </c>
      <c r="L49" s="148">
        <f>IFERROR((J49*(1-Settings!$C$17)-C49)/(J49*(1-Settings!$C$17)),"")</f>
        <v/>
      </c>
      <c r="M49" s="149">
        <f>IFERROR(IF(J49="","",IF(J49&gt;=C49/(1-SKU_Base!AA49)/(1-Settings!$C$17),"OK",IF(J49&gt;=C49/(1-SKU_Base!AH49)/(1-Settings!$C$17),"WARN","STOP"))),"")</f>
        <v/>
      </c>
      <c r="N49" s="161">
        <f>IFERROR(ROUND(D49*(1-CHOOSE(MATCH(IF($E49="","Основний",$E49),{"Трафіковий","Основний","Маржинальний","Сезонний","Стратегічний"},0),Settings!$D$78,Settings!$D$80,Settings!$D$82,Settings!$D$84,Settings!$D$86))/6,2)*6,"")</f>
        <v/>
      </c>
      <c r="O49" s="142">
        <f>IFERROR(CHOOSE(MATCH(IF($E49="","Основний",$E49),{"Трафіковий","Основний","Маржинальний","Сезонний","Стратегічний"},0),Settings!$D$78,Settings!$D$80,Settings!$D$82,Settings!$D$84,Settings!$D$86),"")</f>
        <v/>
      </c>
      <c r="P49" s="148">
        <f>IFERROR((N49*(1-Settings!$D$17)-C49)/(N49*(1-Settings!$D$17)),"")</f>
        <v/>
      </c>
      <c r="Q49" s="149">
        <f>IFERROR(IF(N49="","",IF(N49&gt;=C49/(1-SKU_Base!AB49)/(1-Settings!$D$17),"OK",IF(N49&gt;=C49/(1-SKU_Base!AI49)/(1-Settings!$D$17),"WARN","STOP"))),"")</f>
        <v/>
      </c>
      <c r="R49" s="161">
        <f>IFERROR(ROUND(D49*(1-CHOOSE(MATCH(IF($E49="","Основний",$E49),{"Трафіковий","Основний","Маржинальний","Сезонний","Стратегічний"},0),Settings!$E$78,Settings!$E$80,Settings!$E$82,Settings!$E$84,Settings!$E$86))/6,2)*6,"")</f>
        <v/>
      </c>
      <c r="S49" s="142">
        <f>IFERROR(CHOOSE(MATCH(IF($E49="","Основний",$E49),{"Трафіковий","Основний","Маржинальний","Сезонний","Стратегічний"},0),Settings!$E$78,Settings!$E$80,Settings!$E$82,Settings!$E$84,Settings!$E$86),"")</f>
        <v/>
      </c>
      <c r="T49" s="148">
        <f>IFERROR((R49*(1-Settings!$E$17)-C49)/(R49*(1-Settings!$E$17)),"")</f>
        <v/>
      </c>
      <c r="U49" s="149">
        <f>IFERROR(IF(R49="","",IF(R49&gt;=C49/(1-SKU_Base!AC49)/(1-Settings!$E$17),"OK",IF(R49&gt;=C49/(1-SKU_Base!AJ49)/(1-Settings!$E$17),"WARN","STOP"))),"")</f>
        <v/>
      </c>
      <c r="V49" s="161">
        <f>IFERROR(ROUND(D49*(1-CHOOSE(MATCH(IF($E49="","Основний",$E49),{"Трафіковий","Основний","Маржинальний","Сезонний","Стратегічний"},0),Settings!$F$78,Settings!$F$80,Settings!$F$82,Settings!$F$84,Settings!$F$86))/6,2)*6,"")</f>
        <v/>
      </c>
      <c r="W49" s="142">
        <f>IFERROR(CHOOSE(MATCH(IF($E49="","Основний",$E49),{"Трафіковий","Основний","Маржинальний","Сезонний","Стратегічний"},0),Settings!$F$78,Settings!$F$80,Settings!$F$82,Settings!$F$84,Settings!$F$86),"")</f>
        <v/>
      </c>
      <c r="X49" s="148">
        <f>IFERROR((V49*(1-Settings!$F$17)-C49)/(V49*(1-Settings!$F$17)),"")</f>
        <v/>
      </c>
      <c r="Y49" s="149">
        <f>IFERROR(IF(V49="","",IF(V49&gt;=C49/(1-SKU_Base!AD49)/(1-Settings!$F$17),"OK",IF(V49&gt;=C49/(1-SKU_Base!AK49)/(1-Settings!$F$17),"WARN","STOP"))),"")</f>
        <v/>
      </c>
      <c r="Z49" s="161">
        <f>IFERROR(ROUND(D49*(1-CHOOSE(MATCH(IF($E49="","Основний",$E49),{"Трафіковий","Основний","Маржинальний","Сезонний","Стратегічний"},0),Settings!$G$78,Settings!$G$80,Settings!$G$82,Settings!$G$84,Settings!$G$86))/6,2)*6,"")</f>
        <v/>
      </c>
      <c r="AA49" s="142">
        <f>IFERROR(CHOOSE(MATCH(IF($E49="","Основний",$E49),{"Трафіковий","Основний","Маржинальний","Сезонний","Стратегічний"},0),Settings!$G$78,Settings!$G$80,Settings!$G$82,Settings!$G$84,Settings!$G$86),"")</f>
        <v/>
      </c>
      <c r="AB49" s="148">
        <f>IFERROR((Z49*(1-Settings!$G$17)-C49)/(Z49*(1-Settings!$G$17)),"")</f>
        <v/>
      </c>
      <c r="AC49" s="149">
        <f>IFERROR(IF(Z49="","",IF(Z49&gt;=C49/(1-SKU_Base!AE49)/(1-Settings!$G$17),"OK",IF(Z49&gt;=C49/(1-SKU_Base!AL49)/(1-Settings!$G$17),"WARN","STOP"))),"")</f>
        <v/>
      </c>
      <c r="AD49" s="161">
        <f>IFERROR(ROUND(D49*(1-CHOOSE(MATCH(IF($E49="","Основний",$E49),{"Трафіковий","Основний","Маржинальний","Сезонний","Стратегічний"},0),Settings!$H$78,Settings!$H$80,Settings!$H$82,Settings!$H$84,Settings!$H$86))*(1-Settings!$H$68)/6,2)*6,"")</f>
        <v/>
      </c>
      <c r="AE49" s="142">
        <f>IFERROR(CHOOSE(MATCH(IF($E49="","Основний",$E49),{"Трафіковий","Основний","Маржинальний","Сезонний","Стратегічний"},0),Settings!$H$78,Settings!$H$80,Settings!$H$82,Settings!$H$84,Settings!$H$86)+(1-(CHOOSE(MATCH(IF($E49="","Основний",$E49),{"Трафіковий","Основний","Маржинальний","Сезонний","Стратегічний"},0),Settings!$H$78,Settings!$H$80,Settings!$H$82,Settings!$H$84,Settings!$H$86)))*Settings!$H$68,"")</f>
        <v/>
      </c>
      <c r="AF49" s="148">
        <f>IFERROR((AD49*(1-Settings!$H$17)-C49)/(AD49*(1-Settings!$H$17)),"")</f>
        <v/>
      </c>
      <c r="AG49" s="149">
        <f>IFERROR(IF(AD49="","",IF(AD49&gt;=C49/(1-SKU_Base!AF49)/(1-Settings!$H$17),"OK",IF(AD49&gt;=C49/(1-SKU_Base!AM49)/(1-Settings!$H$17),"WARN","STOP"))),"")</f>
        <v/>
      </c>
    </row>
    <row r="50" ht="17" customHeight="1" s="179">
      <c r="A50" s="139">
        <f>SKU_Base!B50</f>
        <v/>
      </c>
      <c r="B50" s="139">
        <f>SKU_Base!C50</f>
        <v/>
      </c>
      <c r="C50" s="140">
        <f>IFERROR(SKU_Base!I50,"")</f>
        <v/>
      </c>
      <c r="D50" s="163">
        <f>IFERROR(SKU_Base!T50,"")</f>
        <v/>
      </c>
      <c r="E50" s="141">
        <f>IFERROR(SKU_Base!$U50,"")</f>
        <v/>
      </c>
      <c r="F50" s="158">
        <f>IFERROR(ROUND(D50*(1-CHOOSE(MATCH(IF($E50="","Основний",$E50),{"Трафіковий","Основний","Маржинальний","Сезонний","Стратегічний"},0),Settings!$B$78,Settings!$B$80,Settings!$B$82,Settings!$B$84,Settings!$B$86))/6,2)*6,"")</f>
        <v/>
      </c>
      <c r="G50" s="142">
        <f>IFERROR(CHOOSE(MATCH(IF($E50="","Основний",$E50),{"Трафіковий","Основний","Маржинальний","Сезонний","Стратегічний"},0),Settings!$B$78,Settings!$B$80,Settings!$B$82,Settings!$B$84,Settings!$B$86),"")</f>
        <v/>
      </c>
      <c r="H50" s="143">
        <f>IFERROR((F50*(1-Settings!$B$17)-C50)/(F50*(1-Settings!$B$17)),"")</f>
        <v/>
      </c>
      <c r="I50" s="149">
        <f>IFERROR(IF(F50="","",IF(F50&gt;=C50/(1-SKU_Base!Z50)/(1-Settings!$B$17),"OK",IF(F50&gt;=C50/(1-SKU_Base!AG50)/(1-Settings!$B$17),"WARN","STOP"))),"")</f>
        <v/>
      </c>
      <c r="J50" s="158">
        <f>IFERROR(ROUND(D50*(1-CHOOSE(MATCH(IF($E50="","Основний",$E50),{"Трафіковий","Основний","Маржинальний","Сезонний","Стратегічний"},0),Settings!$C$78,Settings!$C$80,Settings!$C$82,Settings!$C$84,Settings!$C$86))/6,2)*6,"")</f>
        <v/>
      </c>
      <c r="K50" s="142">
        <f>IFERROR(CHOOSE(MATCH(IF($E50="","Основний",$E50),{"Трафіковий","Основний","Маржинальний","Сезонний","Стратегічний"},0),Settings!$C$78,Settings!$C$80,Settings!$C$82,Settings!$C$84,Settings!$C$86),"")</f>
        <v/>
      </c>
      <c r="L50" s="143">
        <f>IFERROR((J50*(1-Settings!$C$17)-C50)/(J50*(1-Settings!$C$17)),"")</f>
        <v/>
      </c>
      <c r="M50" s="149">
        <f>IFERROR(IF(J50="","",IF(J50&gt;=C50/(1-SKU_Base!AA50)/(1-Settings!$C$17),"OK",IF(J50&gt;=C50/(1-SKU_Base!AH50)/(1-Settings!$C$17),"WARN","STOP"))),"")</f>
        <v/>
      </c>
      <c r="N50" s="159">
        <f>IFERROR(ROUND(D50*(1-CHOOSE(MATCH(IF($E50="","Основний",$E50),{"Трафіковий","Основний","Маржинальний","Сезонний","Стратегічний"},0),Settings!$D$78,Settings!$D$80,Settings!$D$82,Settings!$D$84,Settings!$D$86))/6,2)*6,"")</f>
        <v/>
      </c>
      <c r="O50" s="142">
        <f>IFERROR(CHOOSE(MATCH(IF($E50="","Основний",$E50),{"Трафіковий","Основний","Маржинальний","Сезонний","Стратегічний"},0),Settings!$D$78,Settings!$D$80,Settings!$D$82,Settings!$D$84,Settings!$D$86),"")</f>
        <v/>
      </c>
      <c r="P50" s="143">
        <f>IFERROR((N50*(1-Settings!$D$17)-C50)/(N50*(1-Settings!$D$17)),"")</f>
        <v/>
      </c>
      <c r="Q50" s="149">
        <f>IFERROR(IF(N50="","",IF(N50&gt;=C50/(1-SKU_Base!AB50)/(1-Settings!$D$17),"OK",IF(N50&gt;=C50/(1-SKU_Base!AI50)/(1-Settings!$D$17),"WARN","STOP"))),"")</f>
        <v/>
      </c>
      <c r="R50" s="159">
        <f>IFERROR(ROUND(D50*(1-CHOOSE(MATCH(IF($E50="","Основний",$E50),{"Трафіковий","Основний","Маржинальний","Сезонний","Стратегічний"},0),Settings!$E$78,Settings!$E$80,Settings!$E$82,Settings!$E$84,Settings!$E$86))/6,2)*6,"")</f>
        <v/>
      </c>
      <c r="S50" s="142">
        <f>IFERROR(CHOOSE(MATCH(IF($E50="","Основний",$E50),{"Трафіковий","Основний","Маржинальний","Сезонний","Стратегічний"},0),Settings!$E$78,Settings!$E$80,Settings!$E$82,Settings!$E$84,Settings!$E$86),"")</f>
        <v/>
      </c>
      <c r="T50" s="143">
        <f>IFERROR((R50*(1-Settings!$E$17)-C50)/(R50*(1-Settings!$E$17)),"")</f>
        <v/>
      </c>
      <c r="U50" s="149">
        <f>IFERROR(IF(R50="","",IF(R50&gt;=C50/(1-SKU_Base!AC50)/(1-Settings!$E$17),"OK",IF(R50&gt;=C50/(1-SKU_Base!AJ50)/(1-Settings!$E$17),"WARN","STOP"))),"")</f>
        <v/>
      </c>
      <c r="V50" s="159">
        <f>IFERROR(ROUND(D50*(1-CHOOSE(MATCH(IF($E50="","Основний",$E50),{"Трафіковий","Основний","Маржинальний","Сезонний","Стратегічний"},0),Settings!$F$78,Settings!$F$80,Settings!$F$82,Settings!$F$84,Settings!$F$86))/6,2)*6,"")</f>
        <v/>
      </c>
      <c r="W50" s="142">
        <f>IFERROR(CHOOSE(MATCH(IF($E50="","Основний",$E50),{"Трафіковий","Основний","Маржинальний","Сезонний","Стратегічний"},0),Settings!$F$78,Settings!$F$80,Settings!$F$82,Settings!$F$84,Settings!$F$86),"")</f>
        <v/>
      </c>
      <c r="X50" s="143">
        <f>IFERROR((V50*(1-Settings!$F$17)-C50)/(V50*(1-Settings!$F$17)),"")</f>
        <v/>
      </c>
      <c r="Y50" s="149">
        <f>IFERROR(IF(V50="","",IF(V50&gt;=C50/(1-SKU_Base!AD50)/(1-Settings!$F$17),"OK",IF(V50&gt;=C50/(1-SKU_Base!AK50)/(1-Settings!$F$17),"WARN","STOP"))),"")</f>
        <v/>
      </c>
      <c r="Z50" s="159">
        <f>IFERROR(ROUND(D50*(1-CHOOSE(MATCH(IF($E50="","Основний",$E50),{"Трафіковий","Основний","Маржинальний","Сезонний","Стратегічний"},0),Settings!$G$78,Settings!$G$80,Settings!$G$82,Settings!$G$84,Settings!$G$86))/6,2)*6,"")</f>
        <v/>
      </c>
      <c r="AA50" s="142">
        <f>IFERROR(CHOOSE(MATCH(IF($E50="","Основний",$E50),{"Трафіковий","Основний","Маржинальний","Сезонний","Стратегічний"},0),Settings!$G$78,Settings!$G$80,Settings!$G$82,Settings!$G$84,Settings!$G$86),"")</f>
        <v/>
      </c>
      <c r="AB50" s="143">
        <f>IFERROR((Z50*(1-Settings!$G$17)-C50)/(Z50*(1-Settings!$G$17)),"")</f>
        <v/>
      </c>
      <c r="AC50" s="149">
        <f>IFERROR(IF(Z50="","",IF(Z50&gt;=C50/(1-SKU_Base!AE50)/(1-Settings!$G$17),"OK",IF(Z50&gt;=C50/(1-SKU_Base!AL50)/(1-Settings!$G$17),"WARN","STOP"))),"")</f>
        <v/>
      </c>
      <c r="AD50" s="159">
        <f>IFERROR(ROUND(D50*(1-CHOOSE(MATCH(IF($E50="","Основний",$E50),{"Трафіковий","Основний","Маржинальний","Сезонний","Стратегічний"},0),Settings!$H$78,Settings!$H$80,Settings!$H$82,Settings!$H$84,Settings!$H$86))*(1-Settings!$H$68)/6,2)*6,"")</f>
        <v/>
      </c>
      <c r="AE50" s="142">
        <f>IFERROR(CHOOSE(MATCH(IF($E50="","Основний",$E50),{"Трафіковий","Основний","Маржинальний","Сезонний","Стратегічний"},0),Settings!$H$78,Settings!$H$80,Settings!$H$82,Settings!$H$84,Settings!$H$86)+(1-(CHOOSE(MATCH(IF($E50="","Основний",$E50),{"Трафіковий","Основний","Маржинальний","Сезонний","Стратегічний"},0),Settings!$H$78,Settings!$H$80,Settings!$H$82,Settings!$H$84,Settings!$H$86)))*Settings!$H$68,"")</f>
        <v/>
      </c>
      <c r="AF50" s="143">
        <f>IFERROR((AD50*(1-Settings!$H$17)-C50)/(AD50*(1-Settings!$H$17)),"")</f>
        <v/>
      </c>
      <c r="AG50" s="149">
        <f>IFERROR(IF(AD50="","",IF(AD50&gt;=C50/(1-SKU_Base!AF50)/(1-Settings!$H$17),"OK",IF(AD50&gt;=C50/(1-SKU_Base!AM50)/(1-Settings!$H$17),"WARN","STOP"))),"")</f>
        <v/>
      </c>
    </row>
    <row r="51" ht="17" customHeight="1" s="179">
      <c r="A51" s="146">
        <f>SKU_Base!B51</f>
        <v/>
      </c>
      <c r="B51" s="146">
        <f>SKU_Base!C51</f>
        <v/>
      </c>
      <c r="C51" s="147">
        <f>IFERROR(SKU_Base!I51,"")</f>
        <v/>
      </c>
      <c r="D51" s="164">
        <f>IFERROR(SKU_Base!T51,"")</f>
        <v/>
      </c>
      <c r="E51" s="141">
        <f>IFERROR(SKU_Base!$U51,"")</f>
        <v/>
      </c>
      <c r="F51" s="160">
        <f>IFERROR(ROUND(D51*(1-CHOOSE(MATCH(IF($E51="","Основний",$E51),{"Трафіковий","Основний","Маржинальний","Сезонний","Стратегічний"},0),Settings!$B$78,Settings!$B$80,Settings!$B$82,Settings!$B$84,Settings!$B$86))/6,2)*6,"")</f>
        <v/>
      </c>
      <c r="G51" s="142">
        <f>IFERROR(CHOOSE(MATCH(IF($E51="","Основний",$E51),{"Трафіковий","Основний","Маржинальний","Сезонний","Стратегічний"},0),Settings!$B$78,Settings!$B$80,Settings!$B$82,Settings!$B$84,Settings!$B$86),"")</f>
        <v/>
      </c>
      <c r="H51" s="148">
        <f>IFERROR((F51*(1-Settings!$B$17)-C51)/(F51*(1-Settings!$B$17)),"")</f>
        <v/>
      </c>
      <c r="I51" s="149">
        <f>IFERROR(IF(F51="","",IF(F51&gt;=C51/(1-SKU_Base!Z51)/(1-Settings!$B$17),"OK",IF(F51&gt;=C51/(1-SKU_Base!AG51)/(1-Settings!$B$17),"WARN","STOP"))),"")</f>
        <v/>
      </c>
      <c r="J51" s="160">
        <f>IFERROR(ROUND(D51*(1-CHOOSE(MATCH(IF($E51="","Основний",$E51),{"Трафіковий","Основний","Маржинальний","Сезонний","Стратегічний"},0),Settings!$C$78,Settings!$C$80,Settings!$C$82,Settings!$C$84,Settings!$C$86))/6,2)*6,"")</f>
        <v/>
      </c>
      <c r="K51" s="142">
        <f>IFERROR(CHOOSE(MATCH(IF($E51="","Основний",$E51),{"Трафіковий","Основний","Маржинальний","Сезонний","Стратегічний"},0),Settings!$C$78,Settings!$C$80,Settings!$C$82,Settings!$C$84,Settings!$C$86),"")</f>
        <v/>
      </c>
      <c r="L51" s="148">
        <f>IFERROR((J51*(1-Settings!$C$17)-C51)/(J51*(1-Settings!$C$17)),"")</f>
        <v/>
      </c>
      <c r="M51" s="149">
        <f>IFERROR(IF(J51="","",IF(J51&gt;=C51/(1-SKU_Base!AA51)/(1-Settings!$C$17),"OK",IF(J51&gt;=C51/(1-SKU_Base!AH51)/(1-Settings!$C$17),"WARN","STOP"))),"")</f>
        <v/>
      </c>
      <c r="N51" s="161">
        <f>IFERROR(ROUND(D51*(1-CHOOSE(MATCH(IF($E51="","Основний",$E51),{"Трафіковий","Основний","Маржинальний","Сезонний","Стратегічний"},0),Settings!$D$78,Settings!$D$80,Settings!$D$82,Settings!$D$84,Settings!$D$86))/6,2)*6,"")</f>
        <v/>
      </c>
      <c r="O51" s="142">
        <f>IFERROR(CHOOSE(MATCH(IF($E51="","Основний",$E51),{"Трафіковий","Основний","Маржинальний","Сезонний","Стратегічний"},0),Settings!$D$78,Settings!$D$80,Settings!$D$82,Settings!$D$84,Settings!$D$86),"")</f>
        <v/>
      </c>
      <c r="P51" s="148">
        <f>IFERROR((N51*(1-Settings!$D$17)-C51)/(N51*(1-Settings!$D$17)),"")</f>
        <v/>
      </c>
      <c r="Q51" s="149">
        <f>IFERROR(IF(N51="","",IF(N51&gt;=C51/(1-SKU_Base!AB51)/(1-Settings!$D$17),"OK",IF(N51&gt;=C51/(1-SKU_Base!AI51)/(1-Settings!$D$17),"WARN","STOP"))),"")</f>
        <v/>
      </c>
      <c r="R51" s="161">
        <f>IFERROR(ROUND(D51*(1-CHOOSE(MATCH(IF($E51="","Основний",$E51),{"Трафіковий","Основний","Маржинальний","Сезонний","Стратегічний"},0),Settings!$E$78,Settings!$E$80,Settings!$E$82,Settings!$E$84,Settings!$E$86))/6,2)*6,"")</f>
        <v/>
      </c>
      <c r="S51" s="142">
        <f>IFERROR(CHOOSE(MATCH(IF($E51="","Основний",$E51),{"Трафіковий","Основний","Маржинальний","Сезонний","Стратегічний"},0),Settings!$E$78,Settings!$E$80,Settings!$E$82,Settings!$E$84,Settings!$E$86),"")</f>
        <v/>
      </c>
      <c r="T51" s="148">
        <f>IFERROR((R51*(1-Settings!$E$17)-C51)/(R51*(1-Settings!$E$17)),"")</f>
        <v/>
      </c>
      <c r="U51" s="149">
        <f>IFERROR(IF(R51="","",IF(R51&gt;=C51/(1-SKU_Base!AC51)/(1-Settings!$E$17),"OK",IF(R51&gt;=C51/(1-SKU_Base!AJ51)/(1-Settings!$E$17),"WARN","STOP"))),"")</f>
        <v/>
      </c>
      <c r="V51" s="161">
        <f>IFERROR(ROUND(D51*(1-CHOOSE(MATCH(IF($E51="","Основний",$E51),{"Трафіковий","Основний","Маржинальний","Сезонний","Стратегічний"},0),Settings!$F$78,Settings!$F$80,Settings!$F$82,Settings!$F$84,Settings!$F$86))/6,2)*6,"")</f>
        <v/>
      </c>
      <c r="W51" s="142">
        <f>IFERROR(CHOOSE(MATCH(IF($E51="","Основний",$E51),{"Трафіковий","Основний","Маржинальний","Сезонний","Стратегічний"},0),Settings!$F$78,Settings!$F$80,Settings!$F$82,Settings!$F$84,Settings!$F$86),"")</f>
        <v/>
      </c>
      <c r="X51" s="148">
        <f>IFERROR((V51*(1-Settings!$F$17)-C51)/(V51*(1-Settings!$F$17)),"")</f>
        <v/>
      </c>
      <c r="Y51" s="149">
        <f>IFERROR(IF(V51="","",IF(V51&gt;=C51/(1-SKU_Base!AD51)/(1-Settings!$F$17),"OK",IF(V51&gt;=C51/(1-SKU_Base!AK51)/(1-Settings!$F$17),"WARN","STOP"))),"")</f>
        <v/>
      </c>
      <c r="Z51" s="161">
        <f>IFERROR(ROUND(D51*(1-CHOOSE(MATCH(IF($E51="","Основний",$E51),{"Трафіковий","Основний","Маржинальний","Сезонний","Стратегічний"},0),Settings!$G$78,Settings!$G$80,Settings!$G$82,Settings!$G$84,Settings!$G$86))/6,2)*6,"")</f>
        <v/>
      </c>
      <c r="AA51" s="142">
        <f>IFERROR(CHOOSE(MATCH(IF($E51="","Основний",$E51),{"Трафіковий","Основний","Маржинальний","Сезонний","Стратегічний"},0),Settings!$G$78,Settings!$G$80,Settings!$G$82,Settings!$G$84,Settings!$G$86),"")</f>
        <v/>
      </c>
      <c r="AB51" s="148">
        <f>IFERROR((Z51*(1-Settings!$G$17)-C51)/(Z51*(1-Settings!$G$17)),"")</f>
        <v/>
      </c>
      <c r="AC51" s="149">
        <f>IFERROR(IF(Z51="","",IF(Z51&gt;=C51/(1-SKU_Base!AE51)/(1-Settings!$G$17),"OK",IF(Z51&gt;=C51/(1-SKU_Base!AL51)/(1-Settings!$G$17),"WARN","STOP"))),"")</f>
        <v/>
      </c>
      <c r="AD51" s="161">
        <f>IFERROR(ROUND(D51*(1-CHOOSE(MATCH(IF($E51="","Основний",$E51),{"Трафіковий","Основний","Маржинальний","Сезонний","Стратегічний"},0),Settings!$H$78,Settings!$H$80,Settings!$H$82,Settings!$H$84,Settings!$H$86))*(1-Settings!$H$68)/6,2)*6,"")</f>
        <v/>
      </c>
      <c r="AE51" s="142">
        <f>IFERROR(CHOOSE(MATCH(IF($E51="","Основний",$E51),{"Трафіковий","Основний","Маржинальний","Сезонний","Стратегічний"},0),Settings!$H$78,Settings!$H$80,Settings!$H$82,Settings!$H$84,Settings!$H$86)+(1-(CHOOSE(MATCH(IF($E51="","Основний",$E51),{"Трафіковий","Основний","Маржинальний","Сезонний","Стратегічний"},0),Settings!$H$78,Settings!$H$80,Settings!$H$82,Settings!$H$84,Settings!$H$86)))*Settings!$H$68,"")</f>
        <v/>
      </c>
      <c r="AF51" s="148">
        <f>IFERROR((AD51*(1-Settings!$H$17)-C51)/(AD51*(1-Settings!$H$17)),"")</f>
        <v/>
      </c>
      <c r="AG51" s="150">
        <f>IFERROR(IF(AD51="","",IF(AD51&gt;=C51/(1-SKU_Base!AF51)/(1-Settings!$H$17),"OK",IF(AD51&gt;=C51/(1-SKU_Base!AM51)/(1-Settings!$H$17),"WARN","STOP"))),"")</f>
        <v/>
      </c>
    </row>
    <row r="52" ht="17" customHeight="1" s="179">
      <c r="A52" s="139">
        <f>SKU_Base!B52</f>
        <v/>
      </c>
      <c r="B52" s="139">
        <f>SKU_Base!C52</f>
        <v/>
      </c>
      <c r="C52" s="140">
        <f>IFERROR(SKU_Base!I52,"")</f>
        <v/>
      </c>
      <c r="D52" s="163">
        <f>IFERROR(SKU_Base!T52,"")</f>
        <v/>
      </c>
      <c r="E52" s="141">
        <f>IFERROR(SKU_Base!$U52,"")</f>
        <v/>
      </c>
      <c r="F52" s="158">
        <f>IFERROR(ROUND(D52*(1-CHOOSE(MATCH(IF($E52="","Основний",$E52),{"Трафіковий","Основний","Маржинальний","Сезонний","Стратегічний"},0),Settings!$B$78,Settings!$B$80,Settings!$B$82,Settings!$B$84,Settings!$B$86))/6,2)*6,"")</f>
        <v/>
      </c>
      <c r="G52" s="142">
        <f>IFERROR(CHOOSE(MATCH(IF($E52="","Основний",$E52),{"Трафіковий","Основний","Маржинальний","Сезонний","Стратегічний"},0),Settings!$B$78,Settings!$B$80,Settings!$B$82,Settings!$B$84,Settings!$B$86),"")</f>
        <v/>
      </c>
      <c r="H52" s="143">
        <f>IFERROR((F52*(1-Settings!$B$17)-C52)/(F52*(1-Settings!$B$17)),"")</f>
        <v/>
      </c>
      <c r="I52" s="149">
        <f>IFERROR(IF(F52="","",IF(F52&gt;=C52/(1-SKU_Base!Z52)/(1-Settings!$B$17),"OK",IF(F52&gt;=C52/(1-SKU_Base!AG52)/(1-Settings!$B$17),"WARN","STOP"))),"")</f>
        <v/>
      </c>
      <c r="J52" s="158">
        <f>IFERROR(ROUND(D52*(1-CHOOSE(MATCH(IF($E52="","Основний",$E52),{"Трафіковий","Основний","Маржинальний","Сезонний","Стратегічний"},0),Settings!$C$78,Settings!$C$80,Settings!$C$82,Settings!$C$84,Settings!$C$86))/6,2)*6,"")</f>
        <v/>
      </c>
      <c r="K52" s="142">
        <f>IFERROR(CHOOSE(MATCH(IF($E52="","Основний",$E52),{"Трафіковий","Основний","Маржинальний","Сезонний","Стратегічний"},0),Settings!$C$78,Settings!$C$80,Settings!$C$82,Settings!$C$84,Settings!$C$86),"")</f>
        <v/>
      </c>
      <c r="L52" s="143">
        <f>IFERROR((J52*(1-Settings!$C$17)-C52)/(J52*(1-Settings!$C$17)),"")</f>
        <v/>
      </c>
      <c r="M52" s="149">
        <f>IFERROR(IF(J52="","",IF(J52&gt;=C52/(1-SKU_Base!AA52)/(1-Settings!$C$17),"OK",IF(J52&gt;=C52/(1-SKU_Base!AH52)/(1-Settings!$C$17),"WARN","STOP"))),"")</f>
        <v/>
      </c>
      <c r="N52" s="159">
        <f>IFERROR(ROUND(D52*(1-CHOOSE(MATCH(IF($E52="","Основний",$E52),{"Трафіковий","Основний","Маржинальний","Сезонний","Стратегічний"},0),Settings!$D$78,Settings!$D$80,Settings!$D$82,Settings!$D$84,Settings!$D$86))/6,2)*6,"")</f>
        <v/>
      </c>
      <c r="O52" s="142">
        <f>IFERROR(CHOOSE(MATCH(IF($E52="","Основний",$E52),{"Трафіковий","Основний","Маржинальний","Сезонний","Стратегічний"},0),Settings!$D$78,Settings!$D$80,Settings!$D$82,Settings!$D$84,Settings!$D$86),"")</f>
        <v/>
      </c>
      <c r="P52" s="143">
        <f>IFERROR((N52*(1-Settings!$D$17)-C52)/(N52*(1-Settings!$D$17)),"")</f>
        <v/>
      </c>
      <c r="Q52" s="149">
        <f>IFERROR(IF(N52="","",IF(N52&gt;=C52/(1-SKU_Base!AB52)/(1-Settings!$D$17),"OK",IF(N52&gt;=C52/(1-SKU_Base!AI52)/(1-Settings!$D$17),"WARN","STOP"))),"")</f>
        <v/>
      </c>
      <c r="R52" s="159">
        <f>IFERROR(ROUND(D52*(1-CHOOSE(MATCH(IF($E52="","Основний",$E52),{"Трафіковий","Основний","Маржинальний","Сезонний","Стратегічний"},0),Settings!$E$78,Settings!$E$80,Settings!$E$82,Settings!$E$84,Settings!$E$86))/6,2)*6,"")</f>
        <v/>
      </c>
      <c r="S52" s="142">
        <f>IFERROR(CHOOSE(MATCH(IF($E52="","Основний",$E52),{"Трафіковий","Основний","Маржинальний","Сезонний","Стратегічний"},0),Settings!$E$78,Settings!$E$80,Settings!$E$82,Settings!$E$84,Settings!$E$86),"")</f>
        <v/>
      </c>
      <c r="T52" s="143">
        <f>IFERROR((R52*(1-Settings!$E$17)-C52)/(R52*(1-Settings!$E$17)),"")</f>
        <v/>
      </c>
      <c r="U52" s="149">
        <f>IFERROR(IF(R52="","",IF(R52&gt;=C52/(1-SKU_Base!AC52)/(1-Settings!$E$17),"OK",IF(R52&gt;=C52/(1-SKU_Base!AJ52)/(1-Settings!$E$17),"WARN","STOP"))),"")</f>
        <v/>
      </c>
      <c r="V52" s="159">
        <f>IFERROR(ROUND(D52*(1-CHOOSE(MATCH(IF($E52="","Основний",$E52),{"Трафіковий","Основний","Маржинальний","Сезонний","Стратегічний"},0),Settings!$F$78,Settings!$F$80,Settings!$F$82,Settings!$F$84,Settings!$F$86))/6,2)*6,"")</f>
        <v/>
      </c>
      <c r="W52" s="142">
        <f>IFERROR(CHOOSE(MATCH(IF($E52="","Основний",$E52),{"Трафіковий","Основний","Маржинальний","Сезонний","Стратегічний"},0),Settings!$F$78,Settings!$F$80,Settings!$F$82,Settings!$F$84,Settings!$F$86),"")</f>
        <v/>
      </c>
      <c r="X52" s="143">
        <f>IFERROR((V52*(1-Settings!$F$17)-C52)/(V52*(1-Settings!$F$17)),"")</f>
        <v/>
      </c>
      <c r="Y52" s="149">
        <f>IFERROR(IF(V52="","",IF(V52&gt;=C52/(1-SKU_Base!AD52)/(1-Settings!$F$17),"OK",IF(V52&gt;=C52/(1-SKU_Base!AK52)/(1-Settings!$F$17),"WARN","STOP"))),"")</f>
        <v/>
      </c>
      <c r="Z52" s="159">
        <f>IFERROR(ROUND(D52*(1-CHOOSE(MATCH(IF($E52="","Основний",$E52),{"Трафіковий","Основний","Маржинальний","Сезонний","Стратегічний"},0),Settings!$G$78,Settings!$G$80,Settings!$G$82,Settings!$G$84,Settings!$G$86))/6,2)*6,"")</f>
        <v/>
      </c>
      <c r="AA52" s="142">
        <f>IFERROR(CHOOSE(MATCH(IF($E52="","Основний",$E52),{"Трафіковий","Основний","Маржинальний","Сезонний","Стратегічний"},0),Settings!$G$78,Settings!$G$80,Settings!$G$82,Settings!$G$84,Settings!$G$86),"")</f>
        <v/>
      </c>
      <c r="AB52" s="143">
        <f>IFERROR((Z52*(1-Settings!$G$17)-C52)/(Z52*(1-Settings!$G$17)),"")</f>
        <v/>
      </c>
      <c r="AC52" s="149">
        <f>IFERROR(IF(Z52="","",IF(Z52&gt;=C52/(1-SKU_Base!AE52)/(1-Settings!$G$17),"OK",IF(Z52&gt;=C52/(1-SKU_Base!AL52)/(1-Settings!$G$17),"WARN","STOP"))),"")</f>
        <v/>
      </c>
      <c r="AD52" s="159">
        <f>IFERROR(ROUND(D52*(1-CHOOSE(MATCH(IF($E52="","Основний",$E52),{"Трафіковий","Основний","Маржинальний","Сезонний","Стратегічний"},0),Settings!$H$78,Settings!$H$80,Settings!$H$82,Settings!$H$84,Settings!$H$86))*(1-Settings!$H$68)/6,2)*6,"")</f>
        <v/>
      </c>
      <c r="AE52" s="142">
        <f>IFERROR(CHOOSE(MATCH(IF($E52="","Основний",$E52),{"Трафіковий","Основний","Маржинальний","Сезонний","Стратегічний"},0),Settings!$H$78,Settings!$H$80,Settings!$H$82,Settings!$H$84,Settings!$H$86)+(1-(CHOOSE(MATCH(IF($E52="","Основний",$E52),{"Трафіковий","Основний","Маржинальний","Сезонний","Стратегічний"},0),Settings!$H$78,Settings!$H$80,Settings!$H$82,Settings!$H$84,Settings!$H$86)))*Settings!$H$68,"")</f>
        <v/>
      </c>
      <c r="AF52" s="143">
        <f>IFERROR((AD52*(1-Settings!$H$17)-C52)/(AD52*(1-Settings!$H$17)),"")</f>
        <v/>
      </c>
      <c r="AG52" s="150">
        <f>IFERROR(IF(AD52="","",IF(AD52&gt;=C52/(1-SKU_Base!AF52)/(1-Settings!$H$17),"OK",IF(AD52&gt;=C52/(1-SKU_Base!AM52)/(1-Settings!$H$17),"WARN","STOP"))),"")</f>
        <v/>
      </c>
    </row>
    <row r="53" ht="17" customHeight="1" s="179">
      <c r="A53" s="146">
        <f>SKU_Base!B53</f>
        <v/>
      </c>
      <c r="B53" s="146">
        <f>SKU_Base!C53</f>
        <v/>
      </c>
      <c r="C53" s="147">
        <f>IFERROR(SKU_Base!I53,"")</f>
        <v/>
      </c>
      <c r="D53" s="164">
        <f>IFERROR(SKU_Base!T53,"")</f>
        <v/>
      </c>
      <c r="E53" s="141">
        <f>IFERROR(SKU_Base!$U53,"")</f>
        <v/>
      </c>
      <c r="F53" s="160">
        <f>IFERROR(ROUND(D53*(1-CHOOSE(MATCH(IF($E53="","Основний",$E53),{"Трафіковий","Основний","Маржинальний","Сезонний","Стратегічний"},0),Settings!$B$78,Settings!$B$80,Settings!$B$82,Settings!$B$84,Settings!$B$86))/6,2)*6,"")</f>
        <v/>
      </c>
      <c r="G53" s="142">
        <f>IFERROR(CHOOSE(MATCH(IF($E53="","Основний",$E53),{"Трафіковий","Основний","Маржинальний","Сезонний","Стратегічний"},0),Settings!$B$78,Settings!$B$80,Settings!$B$82,Settings!$B$84,Settings!$B$86),"")</f>
        <v/>
      </c>
      <c r="H53" s="148">
        <f>IFERROR((F53*(1-Settings!$B$17)-C53)/(F53*(1-Settings!$B$17)),"")</f>
        <v/>
      </c>
      <c r="I53" s="149">
        <f>IFERROR(IF(F53="","",IF(F53&gt;=C53/(1-SKU_Base!Z53)/(1-Settings!$B$17),"OK",IF(F53&gt;=C53/(1-SKU_Base!AG53)/(1-Settings!$B$17),"WARN","STOP"))),"")</f>
        <v/>
      </c>
      <c r="J53" s="160">
        <f>IFERROR(ROUND(D53*(1-CHOOSE(MATCH(IF($E53="","Основний",$E53),{"Трафіковий","Основний","Маржинальний","Сезонний","Стратегічний"},0),Settings!$C$78,Settings!$C$80,Settings!$C$82,Settings!$C$84,Settings!$C$86))/6,2)*6,"")</f>
        <v/>
      </c>
      <c r="K53" s="142">
        <f>IFERROR(CHOOSE(MATCH(IF($E53="","Основний",$E53),{"Трафіковий","Основний","Маржинальний","Сезонний","Стратегічний"},0),Settings!$C$78,Settings!$C$80,Settings!$C$82,Settings!$C$84,Settings!$C$86),"")</f>
        <v/>
      </c>
      <c r="L53" s="148">
        <f>IFERROR((J53*(1-Settings!$C$17)-C53)/(J53*(1-Settings!$C$17)),"")</f>
        <v/>
      </c>
      <c r="M53" s="149">
        <f>IFERROR(IF(J53="","",IF(J53&gt;=C53/(1-SKU_Base!AA53)/(1-Settings!$C$17),"OK",IF(J53&gt;=C53/(1-SKU_Base!AH53)/(1-Settings!$C$17),"WARN","STOP"))),"")</f>
        <v/>
      </c>
      <c r="N53" s="161">
        <f>IFERROR(ROUND(D53*(1-CHOOSE(MATCH(IF($E53="","Основний",$E53),{"Трафіковий","Основний","Маржинальний","Сезонний","Стратегічний"},0),Settings!$D$78,Settings!$D$80,Settings!$D$82,Settings!$D$84,Settings!$D$86))/6,2)*6,"")</f>
        <v/>
      </c>
      <c r="O53" s="142">
        <f>IFERROR(CHOOSE(MATCH(IF($E53="","Основний",$E53),{"Трафіковий","Основний","Маржинальний","Сезонний","Стратегічний"},0),Settings!$D$78,Settings!$D$80,Settings!$D$82,Settings!$D$84,Settings!$D$86),"")</f>
        <v/>
      </c>
      <c r="P53" s="148">
        <f>IFERROR((N53*(1-Settings!$D$17)-C53)/(N53*(1-Settings!$D$17)),"")</f>
        <v/>
      </c>
      <c r="Q53" s="149">
        <f>IFERROR(IF(N53="","",IF(N53&gt;=C53/(1-SKU_Base!AB53)/(1-Settings!$D$17),"OK",IF(N53&gt;=C53/(1-SKU_Base!AI53)/(1-Settings!$D$17),"WARN","STOP"))),"")</f>
        <v/>
      </c>
      <c r="R53" s="161">
        <f>IFERROR(ROUND(D53*(1-CHOOSE(MATCH(IF($E53="","Основний",$E53),{"Трафіковий","Основний","Маржинальний","Сезонний","Стратегічний"},0),Settings!$E$78,Settings!$E$80,Settings!$E$82,Settings!$E$84,Settings!$E$86))/6,2)*6,"")</f>
        <v/>
      </c>
      <c r="S53" s="142">
        <f>IFERROR(CHOOSE(MATCH(IF($E53="","Основний",$E53),{"Трафіковий","Основний","Маржинальний","Сезонний","Стратегічний"},0),Settings!$E$78,Settings!$E$80,Settings!$E$82,Settings!$E$84,Settings!$E$86),"")</f>
        <v/>
      </c>
      <c r="T53" s="148">
        <f>IFERROR((R53*(1-Settings!$E$17)-C53)/(R53*(1-Settings!$E$17)),"")</f>
        <v/>
      </c>
      <c r="U53" s="149">
        <f>IFERROR(IF(R53="","",IF(R53&gt;=C53/(1-SKU_Base!AC53)/(1-Settings!$E$17),"OK",IF(R53&gt;=C53/(1-SKU_Base!AJ53)/(1-Settings!$E$17),"WARN","STOP"))),"")</f>
        <v/>
      </c>
      <c r="V53" s="161">
        <f>IFERROR(ROUND(D53*(1-CHOOSE(MATCH(IF($E53="","Основний",$E53),{"Трафіковий","Основний","Маржинальний","Сезонний","Стратегічний"},0),Settings!$F$78,Settings!$F$80,Settings!$F$82,Settings!$F$84,Settings!$F$86))/6,2)*6,"")</f>
        <v/>
      </c>
      <c r="W53" s="142">
        <f>IFERROR(CHOOSE(MATCH(IF($E53="","Основний",$E53),{"Трафіковий","Основний","Маржинальний","Сезонний","Стратегічний"},0),Settings!$F$78,Settings!$F$80,Settings!$F$82,Settings!$F$84,Settings!$F$86),"")</f>
        <v/>
      </c>
      <c r="X53" s="148">
        <f>IFERROR((V53*(1-Settings!$F$17)-C53)/(V53*(1-Settings!$F$17)),"")</f>
        <v/>
      </c>
      <c r="Y53" s="149">
        <f>IFERROR(IF(V53="","",IF(V53&gt;=C53/(1-SKU_Base!AD53)/(1-Settings!$F$17),"OK",IF(V53&gt;=C53/(1-SKU_Base!AK53)/(1-Settings!$F$17),"WARN","STOP"))),"")</f>
        <v/>
      </c>
      <c r="Z53" s="161">
        <f>IFERROR(ROUND(D53*(1-CHOOSE(MATCH(IF($E53="","Основний",$E53),{"Трафіковий","Основний","Маржинальний","Сезонний","Стратегічний"},0),Settings!$G$78,Settings!$G$80,Settings!$G$82,Settings!$G$84,Settings!$G$86))/6,2)*6,"")</f>
        <v/>
      </c>
      <c r="AA53" s="142">
        <f>IFERROR(CHOOSE(MATCH(IF($E53="","Основний",$E53),{"Трафіковий","Основний","Маржинальний","Сезонний","Стратегічний"},0),Settings!$G$78,Settings!$G$80,Settings!$G$82,Settings!$G$84,Settings!$G$86),"")</f>
        <v/>
      </c>
      <c r="AB53" s="148">
        <f>IFERROR((Z53*(1-Settings!$G$17)-C53)/(Z53*(1-Settings!$G$17)),"")</f>
        <v/>
      </c>
      <c r="AC53" s="149">
        <f>IFERROR(IF(Z53="","",IF(Z53&gt;=C53/(1-SKU_Base!AE53)/(1-Settings!$G$17),"OK",IF(Z53&gt;=C53/(1-SKU_Base!AL53)/(1-Settings!$G$17),"WARN","STOP"))),"")</f>
        <v/>
      </c>
      <c r="AD53" s="161">
        <f>IFERROR(ROUND(D53*(1-CHOOSE(MATCH(IF($E53="","Основний",$E53),{"Трафіковий","Основний","Маржинальний","Сезонний","Стратегічний"},0),Settings!$H$78,Settings!$H$80,Settings!$H$82,Settings!$H$84,Settings!$H$86))*(1-Settings!$H$68)/6,2)*6,"")</f>
        <v/>
      </c>
      <c r="AE53" s="142">
        <f>IFERROR(CHOOSE(MATCH(IF($E53="","Основний",$E53),{"Трафіковий","Основний","Маржинальний","Сезонний","Стратегічний"},0),Settings!$H$78,Settings!$H$80,Settings!$H$82,Settings!$H$84,Settings!$H$86)+(1-(CHOOSE(MATCH(IF($E53="","Основний",$E53),{"Трафіковий","Основний","Маржинальний","Сезонний","Стратегічний"},0),Settings!$H$78,Settings!$H$80,Settings!$H$82,Settings!$H$84,Settings!$H$86)))*Settings!$H$68,"")</f>
        <v/>
      </c>
      <c r="AF53" s="148">
        <f>IFERROR((AD53*(1-Settings!$H$17)-C53)/(AD53*(1-Settings!$H$17)),"")</f>
        <v/>
      </c>
      <c r="AG53" s="149">
        <f>IFERROR(IF(AD53="","",IF(AD53&gt;=C53/(1-SKU_Base!AF53)/(1-Settings!$H$17),"OK",IF(AD53&gt;=C53/(1-SKU_Base!AM53)/(1-Settings!$H$17),"WARN","STOP"))),"")</f>
        <v/>
      </c>
    </row>
    <row r="54" ht="17" customHeight="1" s="179">
      <c r="A54" s="139">
        <f>SKU_Base!B54</f>
        <v/>
      </c>
      <c r="B54" s="139">
        <f>SKU_Base!C54</f>
        <v/>
      </c>
      <c r="C54" s="140">
        <f>IFERROR(SKU_Base!I54,"")</f>
        <v/>
      </c>
      <c r="D54" s="163">
        <f>IFERROR(SKU_Base!T54,"")</f>
        <v/>
      </c>
      <c r="E54" s="141">
        <f>IFERROR(SKU_Base!$U54,"")</f>
        <v/>
      </c>
      <c r="F54" s="158">
        <f>IFERROR(ROUND(D54*(1-CHOOSE(MATCH(IF($E54="","Основний",$E54),{"Трафіковий","Основний","Маржинальний","Сезонний","Стратегічний"},0),Settings!$B$78,Settings!$B$80,Settings!$B$82,Settings!$B$84,Settings!$B$86))/6,2)*6,"")</f>
        <v/>
      </c>
      <c r="G54" s="142">
        <f>IFERROR(CHOOSE(MATCH(IF($E54="","Основний",$E54),{"Трафіковий","Основний","Маржинальний","Сезонний","Стратегічний"},0),Settings!$B$78,Settings!$B$80,Settings!$B$82,Settings!$B$84,Settings!$B$86),"")</f>
        <v/>
      </c>
      <c r="H54" s="143">
        <f>IFERROR((F54*(1-Settings!$B$17)-C54)/(F54*(1-Settings!$B$17)),"")</f>
        <v/>
      </c>
      <c r="I54" s="149">
        <f>IFERROR(IF(F54="","",IF(F54&gt;=C54/(1-SKU_Base!Z54)/(1-Settings!$B$17),"OK",IF(F54&gt;=C54/(1-SKU_Base!AG54)/(1-Settings!$B$17),"WARN","STOP"))),"")</f>
        <v/>
      </c>
      <c r="J54" s="158">
        <f>IFERROR(ROUND(D54*(1-CHOOSE(MATCH(IF($E54="","Основний",$E54),{"Трафіковий","Основний","Маржинальний","Сезонний","Стратегічний"},0),Settings!$C$78,Settings!$C$80,Settings!$C$82,Settings!$C$84,Settings!$C$86))/6,2)*6,"")</f>
        <v/>
      </c>
      <c r="K54" s="142">
        <f>IFERROR(CHOOSE(MATCH(IF($E54="","Основний",$E54),{"Трафіковий","Основний","Маржинальний","Сезонний","Стратегічний"},0),Settings!$C$78,Settings!$C$80,Settings!$C$82,Settings!$C$84,Settings!$C$86),"")</f>
        <v/>
      </c>
      <c r="L54" s="143">
        <f>IFERROR((J54*(1-Settings!$C$17)-C54)/(J54*(1-Settings!$C$17)),"")</f>
        <v/>
      </c>
      <c r="M54" s="149">
        <f>IFERROR(IF(J54="","",IF(J54&gt;=C54/(1-SKU_Base!AA54)/(1-Settings!$C$17),"OK",IF(J54&gt;=C54/(1-SKU_Base!AH54)/(1-Settings!$C$17),"WARN","STOP"))),"")</f>
        <v/>
      </c>
      <c r="N54" s="159">
        <f>IFERROR(ROUND(D54*(1-CHOOSE(MATCH(IF($E54="","Основний",$E54),{"Трафіковий","Основний","Маржинальний","Сезонний","Стратегічний"},0),Settings!$D$78,Settings!$D$80,Settings!$D$82,Settings!$D$84,Settings!$D$86))/6,2)*6,"")</f>
        <v/>
      </c>
      <c r="O54" s="142">
        <f>IFERROR(CHOOSE(MATCH(IF($E54="","Основний",$E54),{"Трафіковий","Основний","Маржинальний","Сезонний","Стратегічний"},0),Settings!$D$78,Settings!$D$80,Settings!$D$82,Settings!$D$84,Settings!$D$86),"")</f>
        <v/>
      </c>
      <c r="P54" s="143">
        <f>IFERROR((N54*(1-Settings!$D$17)-C54)/(N54*(1-Settings!$D$17)),"")</f>
        <v/>
      </c>
      <c r="Q54" s="149">
        <f>IFERROR(IF(N54="","",IF(N54&gt;=C54/(1-SKU_Base!AB54)/(1-Settings!$D$17),"OK",IF(N54&gt;=C54/(1-SKU_Base!AI54)/(1-Settings!$D$17),"WARN","STOP"))),"")</f>
        <v/>
      </c>
      <c r="R54" s="159">
        <f>IFERROR(ROUND(D54*(1-CHOOSE(MATCH(IF($E54="","Основний",$E54),{"Трафіковий","Основний","Маржинальний","Сезонний","Стратегічний"},0),Settings!$E$78,Settings!$E$80,Settings!$E$82,Settings!$E$84,Settings!$E$86))/6,2)*6,"")</f>
        <v/>
      </c>
      <c r="S54" s="142">
        <f>IFERROR(CHOOSE(MATCH(IF($E54="","Основний",$E54),{"Трафіковий","Основний","Маржинальний","Сезонний","Стратегічний"},0),Settings!$E$78,Settings!$E$80,Settings!$E$82,Settings!$E$84,Settings!$E$86),"")</f>
        <v/>
      </c>
      <c r="T54" s="143">
        <f>IFERROR((R54*(1-Settings!$E$17)-C54)/(R54*(1-Settings!$E$17)),"")</f>
        <v/>
      </c>
      <c r="U54" s="149">
        <f>IFERROR(IF(R54="","",IF(R54&gt;=C54/(1-SKU_Base!AC54)/(1-Settings!$E$17),"OK",IF(R54&gt;=C54/(1-SKU_Base!AJ54)/(1-Settings!$E$17),"WARN","STOP"))),"")</f>
        <v/>
      </c>
      <c r="V54" s="159">
        <f>IFERROR(ROUND(D54*(1-CHOOSE(MATCH(IF($E54="","Основний",$E54),{"Трафіковий","Основний","Маржинальний","Сезонний","Стратегічний"},0),Settings!$F$78,Settings!$F$80,Settings!$F$82,Settings!$F$84,Settings!$F$86))/6,2)*6,"")</f>
        <v/>
      </c>
      <c r="W54" s="142">
        <f>IFERROR(CHOOSE(MATCH(IF($E54="","Основний",$E54),{"Трафіковий","Основний","Маржинальний","Сезонний","Стратегічний"},0),Settings!$F$78,Settings!$F$80,Settings!$F$82,Settings!$F$84,Settings!$F$86),"")</f>
        <v/>
      </c>
      <c r="X54" s="143">
        <f>IFERROR((V54*(1-Settings!$F$17)-C54)/(V54*(1-Settings!$F$17)),"")</f>
        <v/>
      </c>
      <c r="Y54" s="149">
        <f>IFERROR(IF(V54="","",IF(V54&gt;=C54/(1-SKU_Base!AD54)/(1-Settings!$F$17),"OK",IF(V54&gt;=C54/(1-SKU_Base!AK54)/(1-Settings!$F$17),"WARN","STOP"))),"")</f>
        <v/>
      </c>
      <c r="Z54" s="159">
        <f>IFERROR(ROUND(D54*(1-CHOOSE(MATCH(IF($E54="","Основний",$E54),{"Трафіковий","Основний","Маржинальний","Сезонний","Стратегічний"},0),Settings!$G$78,Settings!$G$80,Settings!$G$82,Settings!$G$84,Settings!$G$86))/6,2)*6,"")</f>
        <v/>
      </c>
      <c r="AA54" s="142">
        <f>IFERROR(CHOOSE(MATCH(IF($E54="","Основний",$E54),{"Трафіковий","Основний","Маржинальний","Сезонний","Стратегічний"},0),Settings!$G$78,Settings!$G$80,Settings!$G$82,Settings!$G$84,Settings!$G$86),"")</f>
        <v/>
      </c>
      <c r="AB54" s="143">
        <f>IFERROR((Z54*(1-Settings!$G$17)-C54)/(Z54*(1-Settings!$G$17)),"")</f>
        <v/>
      </c>
      <c r="AC54" s="149">
        <f>IFERROR(IF(Z54="","",IF(Z54&gt;=C54/(1-SKU_Base!AE54)/(1-Settings!$G$17),"OK",IF(Z54&gt;=C54/(1-SKU_Base!AL54)/(1-Settings!$G$17),"WARN","STOP"))),"")</f>
        <v/>
      </c>
      <c r="AD54" s="159">
        <f>IFERROR(ROUND(D54*(1-CHOOSE(MATCH(IF($E54="","Основний",$E54),{"Трафіковий","Основний","Маржинальний","Сезонний","Стратегічний"},0),Settings!$H$78,Settings!$H$80,Settings!$H$82,Settings!$H$84,Settings!$H$86))*(1-Settings!$H$68)/6,2)*6,"")</f>
        <v/>
      </c>
      <c r="AE54" s="142">
        <f>IFERROR(CHOOSE(MATCH(IF($E54="","Основний",$E54),{"Трафіковий","Основний","Маржинальний","Сезонний","Стратегічний"},0),Settings!$H$78,Settings!$H$80,Settings!$H$82,Settings!$H$84,Settings!$H$86)+(1-(CHOOSE(MATCH(IF($E54="","Основний",$E54),{"Трафіковий","Основний","Маржинальний","Сезонний","Стратегічний"},0),Settings!$H$78,Settings!$H$80,Settings!$H$82,Settings!$H$84,Settings!$H$86)))*Settings!$H$68,"")</f>
        <v/>
      </c>
      <c r="AF54" s="143">
        <f>IFERROR((AD54*(1-Settings!$H$17)-C54)/(AD54*(1-Settings!$H$17)),"")</f>
        <v/>
      </c>
      <c r="AG54" s="150">
        <f>IFERROR(IF(AD54="","",IF(AD54&gt;=C54/(1-SKU_Base!AF54)/(1-Settings!$H$17),"OK",IF(AD54&gt;=C54/(1-SKU_Base!AM54)/(1-Settings!$H$17),"WARN","STOP"))),"")</f>
        <v/>
      </c>
    </row>
    <row r="55" ht="17" customHeight="1" s="179">
      <c r="A55" s="146">
        <f>SKU_Base!B55</f>
        <v/>
      </c>
      <c r="B55" s="146">
        <f>SKU_Base!C55</f>
        <v/>
      </c>
      <c r="C55" s="147">
        <f>IFERROR(SKU_Base!I55,"")</f>
        <v/>
      </c>
      <c r="D55" s="164">
        <f>IFERROR(SKU_Base!T55,"")</f>
        <v/>
      </c>
      <c r="E55" s="141">
        <f>IFERROR(SKU_Base!$U55,"")</f>
        <v/>
      </c>
      <c r="F55" s="160">
        <f>IFERROR(ROUND(D55*(1-CHOOSE(MATCH(IF($E55="","Основний",$E55),{"Трафіковий","Основний","Маржинальний","Сезонний","Стратегічний"},0),Settings!$B$78,Settings!$B$80,Settings!$B$82,Settings!$B$84,Settings!$B$86))/6,2)*6,"")</f>
        <v/>
      </c>
      <c r="G55" s="142">
        <f>IFERROR(CHOOSE(MATCH(IF($E55="","Основний",$E55),{"Трафіковий","Основний","Маржинальний","Сезонний","Стратегічний"},0),Settings!$B$78,Settings!$B$80,Settings!$B$82,Settings!$B$84,Settings!$B$86),"")</f>
        <v/>
      </c>
      <c r="H55" s="148">
        <f>IFERROR((F55*(1-Settings!$B$17)-C55)/(F55*(1-Settings!$B$17)),"")</f>
        <v/>
      </c>
      <c r="I55" s="149">
        <f>IFERROR(IF(F55="","",IF(F55&gt;=C55/(1-SKU_Base!Z55)/(1-Settings!$B$17),"OK",IF(F55&gt;=C55/(1-SKU_Base!AG55)/(1-Settings!$B$17),"WARN","STOP"))),"")</f>
        <v/>
      </c>
      <c r="J55" s="160">
        <f>IFERROR(ROUND(D55*(1-CHOOSE(MATCH(IF($E55="","Основний",$E55),{"Трафіковий","Основний","Маржинальний","Сезонний","Стратегічний"},0),Settings!$C$78,Settings!$C$80,Settings!$C$82,Settings!$C$84,Settings!$C$86))/6,2)*6,"")</f>
        <v/>
      </c>
      <c r="K55" s="142">
        <f>IFERROR(CHOOSE(MATCH(IF($E55="","Основний",$E55),{"Трафіковий","Основний","Маржинальний","Сезонний","Стратегічний"},0),Settings!$C$78,Settings!$C$80,Settings!$C$82,Settings!$C$84,Settings!$C$86),"")</f>
        <v/>
      </c>
      <c r="L55" s="148">
        <f>IFERROR((J55*(1-Settings!$C$17)-C55)/(J55*(1-Settings!$C$17)),"")</f>
        <v/>
      </c>
      <c r="M55" s="149">
        <f>IFERROR(IF(J55="","",IF(J55&gt;=C55/(1-SKU_Base!AA55)/(1-Settings!$C$17),"OK",IF(J55&gt;=C55/(1-SKU_Base!AH55)/(1-Settings!$C$17),"WARN","STOP"))),"")</f>
        <v/>
      </c>
      <c r="N55" s="161">
        <f>IFERROR(ROUND(D55*(1-CHOOSE(MATCH(IF($E55="","Основний",$E55),{"Трафіковий","Основний","Маржинальний","Сезонний","Стратегічний"},0),Settings!$D$78,Settings!$D$80,Settings!$D$82,Settings!$D$84,Settings!$D$86))/6,2)*6,"")</f>
        <v/>
      </c>
      <c r="O55" s="142">
        <f>IFERROR(CHOOSE(MATCH(IF($E55="","Основний",$E55),{"Трафіковий","Основний","Маржинальний","Сезонний","Стратегічний"},0),Settings!$D$78,Settings!$D$80,Settings!$D$82,Settings!$D$84,Settings!$D$86),"")</f>
        <v/>
      </c>
      <c r="P55" s="148">
        <f>IFERROR((N55*(1-Settings!$D$17)-C55)/(N55*(1-Settings!$D$17)),"")</f>
        <v/>
      </c>
      <c r="Q55" s="149">
        <f>IFERROR(IF(N55="","",IF(N55&gt;=C55/(1-SKU_Base!AB55)/(1-Settings!$D$17),"OK",IF(N55&gt;=C55/(1-SKU_Base!AI55)/(1-Settings!$D$17),"WARN","STOP"))),"")</f>
        <v/>
      </c>
      <c r="R55" s="161">
        <f>IFERROR(ROUND(D55*(1-CHOOSE(MATCH(IF($E55="","Основний",$E55),{"Трафіковий","Основний","Маржинальний","Сезонний","Стратегічний"},0),Settings!$E$78,Settings!$E$80,Settings!$E$82,Settings!$E$84,Settings!$E$86))/6,2)*6,"")</f>
        <v/>
      </c>
      <c r="S55" s="142">
        <f>IFERROR(CHOOSE(MATCH(IF($E55="","Основний",$E55),{"Трафіковий","Основний","Маржинальний","Сезонний","Стратегічний"},0),Settings!$E$78,Settings!$E$80,Settings!$E$82,Settings!$E$84,Settings!$E$86),"")</f>
        <v/>
      </c>
      <c r="T55" s="148">
        <f>IFERROR((R55*(1-Settings!$E$17)-C55)/(R55*(1-Settings!$E$17)),"")</f>
        <v/>
      </c>
      <c r="U55" s="149">
        <f>IFERROR(IF(R55="","",IF(R55&gt;=C55/(1-SKU_Base!AC55)/(1-Settings!$E$17),"OK",IF(R55&gt;=C55/(1-SKU_Base!AJ55)/(1-Settings!$E$17),"WARN","STOP"))),"")</f>
        <v/>
      </c>
      <c r="V55" s="161">
        <f>IFERROR(ROUND(D55*(1-CHOOSE(MATCH(IF($E55="","Основний",$E55),{"Трафіковий","Основний","Маржинальний","Сезонний","Стратегічний"},0),Settings!$F$78,Settings!$F$80,Settings!$F$82,Settings!$F$84,Settings!$F$86))/6,2)*6,"")</f>
        <v/>
      </c>
      <c r="W55" s="142">
        <f>IFERROR(CHOOSE(MATCH(IF($E55="","Основний",$E55),{"Трафіковий","Основний","Маржинальний","Сезонний","Стратегічний"},0),Settings!$F$78,Settings!$F$80,Settings!$F$82,Settings!$F$84,Settings!$F$86),"")</f>
        <v/>
      </c>
      <c r="X55" s="148">
        <f>IFERROR((V55*(1-Settings!$F$17)-C55)/(V55*(1-Settings!$F$17)),"")</f>
        <v/>
      </c>
      <c r="Y55" s="149">
        <f>IFERROR(IF(V55="","",IF(V55&gt;=C55/(1-SKU_Base!AD55)/(1-Settings!$F$17),"OK",IF(V55&gt;=C55/(1-SKU_Base!AK55)/(1-Settings!$F$17),"WARN","STOP"))),"")</f>
        <v/>
      </c>
      <c r="Z55" s="161">
        <f>IFERROR(ROUND(D55*(1-CHOOSE(MATCH(IF($E55="","Основний",$E55),{"Трафіковий","Основний","Маржинальний","Сезонний","Стратегічний"},0),Settings!$G$78,Settings!$G$80,Settings!$G$82,Settings!$G$84,Settings!$G$86))/6,2)*6,"")</f>
        <v/>
      </c>
      <c r="AA55" s="142">
        <f>IFERROR(CHOOSE(MATCH(IF($E55="","Основний",$E55),{"Трафіковий","Основний","Маржинальний","Сезонний","Стратегічний"},0),Settings!$G$78,Settings!$G$80,Settings!$G$82,Settings!$G$84,Settings!$G$86),"")</f>
        <v/>
      </c>
      <c r="AB55" s="148">
        <f>IFERROR((Z55*(1-Settings!$G$17)-C55)/(Z55*(1-Settings!$G$17)),"")</f>
        <v/>
      </c>
      <c r="AC55" s="149">
        <f>IFERROR(IF(Z55="","",IF(Z55&gt;=C55/(1-SKU_Base!AE55)/(1-Settings!$G$17),"OK",IF(Z55&gt;=C55/(1-SKU_Base!AL55)/(1-Settings!$G$17),"WARN","STOP"))),"")</f>
        <v/>
      </c>
      <c r="AD55" s="161">
        <f>IFERROR(ROUND(D55*(1-CHOOSE(MATCH(IF($E55="","Основний",$E55),{"Трафіковий","Основний","Маржинальний","Сезонний","Стратегічний"},0),Settings!$H$78,Settings!$H$80,Settings!$H$82,Settings!$H$84,Settings!$H$86))*(1-Settings!$H$68)/6,2)*6,"")</f>
        <v/>
      </c>
      <c r="AE55" s="142">
        <f>IFERROR(CHOOSE(MATCH(IF($E55="","Основний",$E55),{"Трафіковий","Основний","Маржинальний","Сезонний","Стратегічний"},0),Settings!$H$78,Settings!$H$80,Settings!$H$82,Settings!$H$84,Settings!$H$86)+(1-(CHOOSE(MATCH(IF($E55="","Основний",$E55),{"Трафіковий","Основний","Маржинальний","Сезонний","Стратегічний"},0),Settings!$H$78,Settings!$H$80,Settings!$H$82,Settings!$H$84,Settings!$H$86)))*Settings!$H$68,"")</f>
        <v/>
      </c>
      <c r="AF55" s="148">
        <f>IFERROR((AD55*(1-Settings!$H$17)-C55)/(AD55*(1-Settings!$H$17)),"")</f>
        <v/>
      </c>
      <c r="AG55" s="150">
        <f>IFERROR(IF(AD55="","",IF(AD55&gt;=C55/(1-SKU_Base!AF55)/(1-Settings!$H$17),"OK",IF(AD55&gt;=C55/(1-SKU_Base!AM55)/(1-Settings!$H$17),"WARN","STOP"))),"")</f>
        <v/>
      </c>
    </row>
    <row r="56" ht="17" customHeight="1" s="179">
      <c r="A56" s="139">
        <f>SKU_Base!B56</f>
        <v/>
      </c>
      <c r="B56" s="139">
        <f>SKU_Base!C56</f>
        <v/>
      </c>
      <c r="C56" s="140">
        <f>IFERROR(SKU_Base!I56,"")</f>
        <v/>
      </c>
      <c r="D56" s="163">
        <f>IFERROR(SKU_Base!T56,"")</f>
        <v/>
      </c>
      <c r="E56" s="141">
        <f>IFERROR(SKU_Base!$U56,"")</f>
        <v/>
      </c>
      <c r="F56" s="158">
        <f>IFERROR(ROUND(D56*(1-CHOOSE(MATCH(IF($E56="","Основний",$E56),{"Трафіковий","Основний","Маржинальний","Сезонний","Стратегічний"},0),Settings!$B$78,Settings!$B$80,Settings!$B$82,Settings!$B$84,Settings!$B$86))/6,2)*6,"")</f>
        <v/>
      </c>
      <c r="G56" s="142">
        <f>IFERROR(CHOOSE(MATCH(IF($E56="","Основний",$E56),{"Трафіковий","Основний","Маржинальний","Сезонний","Стратегічний"},0),Settings!$B$78,Settings!$B$80,Settings!$B$82,Settings!$B$84,Settings!$B$86),"")</f>
        <v/>
      </c>
      <c r="H56" s="143">
        <f>IFERROR((F56*(1-Settings!$B$17)-C56)/(F56*(1-Settings!$B$17)),"")</f>
        <v/>
      </c>
      <c r="I56" s="149">
        <f>IFERROR(IF(F56="","",IF(F56&gt;=C56/(1-SKU_Base!Z56)/(1-Settings!$B$17),"OK",IF(F56&gt;=C56/(1-SKU_Base!AG56)/(1-Settings!$B$17),"WARN","STOP"))),"")</f>
        <v/>
      </c>
      <c r="J56" s="158">
        <f>IFERROR(ROUND(D56*(1-CHOOSE(MATCH(IF($E56="","Основний",$E56),{"Трафіковий","Основний","Маржинальний","Сезонний","Стратегічний"},0),Settings!$C$78,Settings!$C$80,Settings!$C$82,Settings!$C$84,Settings!$C$86))/6,2)*6,"")</f>
        <v/>
      </c>
      <c r="K56" s="142">
        <f>IFERROR(CHOOSE(MATCH(IF($E56="","Основний",$E56),{"Трафіковий","Основний","Маржинальний","Сезонний","Стратегічний"},0),Settings!$C$78,Settings!$C$80,Settings!$C$82,Settings!$C$84,Settings!$C$86),"")</f>
        <v/>
      </c>
      <c r="L56" s="143">
        <f>IFERROR((J56*(1-Settings!$C$17)-C56)/(J56*(1-Settings!$C$17)),"")</f>
        <v/>
      </c>
      <c r="M56" s="149">
        <f>IFERROR(IF(J56="","",IF(J56&gt;=C56/(1-SKU_Base!AA56)/(1-Settings!$C$17),"OK",IF(J56&gt;=C56/(1-SKU_Base!AH56)/(1-Settings!$C$17),"WARN","STOP"))),"")</f>
        <v/>
      </c>
      <c r="N56" s="159">
        <f>IFERROR(ROUND(D56*(1-CHOOSE(MATCH(IF($E56="","Основний",$E56),{"Трафіковий","Основний","Маржинальний","Сезонний","Стратегічний"},0),Settings!$D$78,Settings!$D$80,Settings!$D$82,Settings!$D$84,Settings!$D$86))/6,2)*6,"")</f>
        <v/>
      </c>
      <c r="O56" s="142">
        <f>IFERROR(CHOOSE(MATCH(IF($E56="","Основний",$E56),{"Трафіковий","Основний","Маржинальний","Сезонний","Стратегічний"},0),Settings!$D$78,Settings!$D$80,Settings!$D$82,Settings!$D$84,Settings!$D$86),"")</f>
        <v/>
      </c>
      <c r="P56" s="143">
        <f>IFERROR((N56*(1-Settings!$D$17)-C56)/(N56*(1-Settings!$D$17)),"")</f>
        <v/>
      </c>
      <c r="Q56" s="149">
        <f>IFERROR(IF(N56="","",IF(N56&gt;=C56/(1-SKU_Base!AB56)/(1-Settings!$D$17),"OK",IF(N56&gt;=C56/(1-SKU_Base!AI56)/(1-Settings!$D$17),"WARN","STOP"))),"")</f>
        <v/>
      </c>
      <c r="R56" s="159">
        <f>IFERROR(ROUND(D56*(1-CHOOSE(MATCH(IF($E56="","Основний",$E56),{"Трафіковий","Основний","Маржинальний","Сезонний","Стратегічний"},0),Settings!$E$78,Settings!$E$80,Settings!$E$82,Settings!$E$84,Settings!$E$86))/6,2)*6,"")</f>
        <v/>
      </c>
      <c r="S56" s="142">
        <f>IFERROR(CHOOSE(MATCH(IF($E56="","Основний",$E56),{"Трафіковий","Основний","Маржинальний","Сезонний","Стратегічний"},0),Settings!$E$78,Settings!$E$80,Settings!$E$82,Settings!$E$84,Settings!$E$86),"")</f>
        <v/>
      </c>
      <c r="T56" s="143">
        <f>IFERROR((R56*(1-Settings!$E$17)-C56)/(R56*(1-Settings!$E$17)),"")</f>
        <v/>
      </c>
      <c r="U56" s="149">
        <f>IFERROR(IF(R56="","",IF(R56&gt;=C56/(1-SKU_Base!AC56)/(1-Settings!$E$17),"OK",IF(R56&gt;=C56/(1-SKU_Base!AJ56)/(1-Settings!$E$17),"WARN","STOP"))),"")</f>
        <v/>
      </c>
      <c r="V56" s="159">
        <f>IFERROR(ROUND(D56*(1-CHOOSE(MATCH(IF($E56="","Основний",$E56),{"Трафіковий","Основний","Маржинальний","Сезонний","Стратегічний"},0),Settings!$F$78,Settings!$F$80,Settings!$F$82,Settings!$F$84,Settings!$F$86))/6,2)*6,"")</f>
        <v/>
      </c>
      <c r="W56" s="142">
        <f>IFERROR(CHOOSE(MATCH(IF($E56="","Основний",$E56),{"Трафіковий","Основний","Маржинальний","Сезонний","Стратегічний"},0),Settings!$F$78,Settings!$F$80,Settings!$F$82,Settings!$F$84,Settings!$F$86),"")</f>
        <v/>
      </c>
      <c r="X56" s="143">
        <f>IFERROR((V56*(1-Settings!$F$17)-C56)/(V56*(1-Settings!$F$17)),"")</f>
        <v/>
      </c>
      <c r="Y56" s="149">
        <f>IFERROR(IF(V56="","",IF(V56&gt;=C56/(1-SKU_Base!AD56)/(1-Settings!$F$17),"OK",IF(V56&gt;=C56/(1-SKU_Base!AK56)/(1-Settings!$F$17),"WARN","STOP"))),"")</f>
        <v/>
      </c>
      <c r="Z56" s="159">
        <f>IFERROR(ROUND(D56*(1-CHOOSE(MATCH(IF($E56="","Основний",$E56),{"Трафіковий","Основний","Маржинальний","Сезонний","Стратегічний"},0),Settings!$G$78,Settings!$G$80,Settings!$G$82,Settings!$G$84,Settings!$G$86))/6,2)*6,"")</f>
        <v/>
      </c>
      <c r="AA56" s="142">
        <f>IFERROR(CHOOSE(MATCH(IF($E56="","Основний",$E56),{"Трафіковий","Основний","Маржинальний","Сезонний","Стратегічний"},0),Settings!$G$78,Settings!$G$80,Settings!$G$82,Settings!$G$84,Settings!$G$86),"")</f>
        <v/>
      </c>
      <c r="AB56" s="143">
        <f>IFERROR((Z56*(1-Settings!$G$17)-C56)/(Z56*(1-Settings!$G$17)),"")</f>
        <v/>
      </c>
      <c r="AC56" s="149">
        <f>IFERROR(IF(Z56="","",IF(Z56&gt;=C56/(1-SKU_Base!AE56)/(1-Settings!$G$17),"OK",IF(Z56&gt;=C56/(1-SKU_Base!AL56)/(1-Settings!$G$17),"WARN","STOP"))),"")</f>
        <v/>
      </c>
      <c r="AD56" s="159">
        <f>IFERROR(ROUND(D56*(1-CHOOSE(MATCH(IF($E56="","Основний",$E56),{"Трафіковий","Основний","Маржинальний","Сезонний","Стратегічний"},0),Settings!$H$78,Settings!$H$80,Settings!$H$82,Settings!$H$84,Settings!$H$86))*(1-Settings!$H$68)/6,2)*6,"")</f>
        <v/>
      </c>
      <c r="AE56" s="142">
        <f>IFERROR(CHOOSE(MATCH(IF($E56="","Основний",$E56),{"Трафіковий","Основний","Маржинальний","Сезонний","Стратегічний"},0),Settings!$H$78,Settings!$H$80,Settings!$H$82,Settings!$H$84,Settings!$H$86)+(1-(CHOOSE(MATCH(IF($E56="","Основний",$E56),{"Трафіковий","Основний","Маржинальний","Сезонний","Стратегічний"},0),Settings!$H$78,Settings!$H$80,Settings!$H$82,Settings!$H$84,Settings!$H$86)))*Settings!$H$68,"")</f>
        <v/>
      </c>
      <c r="AF56" s="143">
        <f>IFERROR((AD56*(1-Settings!$H$17)-C56)/(AD56*(1-Settings!$H$17)),"")</f>
        <v/>
      </c>
      <c r="AG56" s="150">
        <f>IFERROR(IF(AD56="","",IF(AD56&gt;=C56/(1-SKU_Base!AF56)/(1-Settings!$H$17),"OK",IF(AD56&gt;=C56/(1-SKU_Base!AM56)/(1-Settings!$H$17),"WARN","STOP"))),"")</f>
        <v/>
      </c>
    </row>
    <row r="57" ht="17" customHeight="1" s="179">
      <c r="A57" s="146">
        <f>SKU_Base!B57</f>
        <v/>
      </c>
      <c r="B57" s="146">
        <f>SKU_Base!C57</f>
        <v/>
      </c>
      <c r="C57" s="147">
        <f>IFERROR(SKU_Base!I57,"")</f>
        <v/>
      </c>
      <c r="D57" s="164">
        <f>IFERROR(SKU_Base!T57,"")</f>
        <v/>
      </c>
      <c r="E57" s="141">
        <f>IFERROR(SKU_Base!$U57,"")</f>
        <v/>
      </c>
      <c r="F57" s="160">
        <f>IFERROR(ROUND(D57*(1-CHOOSE(MATCH(IF($E57="","Основний",$E57),{"Трафіковий","Основний","Маржинальний","Сезонний","Стратегічний"},0),Settings!$B$78,Settings!$B$80,Settings!$B$82,Settings!$B$84,Settings!$B$86))/6,2)*6,"")</f>
        <v/>
      </c>
      <c r="G57" s="142">
        <f>IFERROR(CHOOSE(MATCH(IF($E57="","Основний",$E57),{"Трафіковий","Основний","Маржинальний","Сезонний","Стратегічний"},0),Settings!$B$78,Settings!$B$80,Settings!$B$82,Settings!$B$84,Settings!$B$86),"")</f>
        <v/>
      </c>
      <c r="H57" s="148">
        <f>IFERROR((F57*(1-Settings!$B$17)-C57)/(F57*(1-Settings!$B$17)),"")</f>
        <v/>
      </c>
      <c r="I57" s="149">
        <f>IFERROR(IF(F57="","",IF(F57&gt;=C57/(1-SKU_Base!Z57)/(1-Settings!$B$17),"OK",IF(F57&gt;=C57/(1-SKU_Base!AG57)/(1-Settings!$B$17),"WARN","STOP"))),"")</f>
        <v/>
      </c>
      <c r="J57" s="160">
        <f>IFERROR(ROUND(D57*(1-CHOOSE(MATCH(IF($E57="","Основний",$E57),{"Трафіковий","Основний","Маржинальний","Сезонний","Стратегічний"},0),Settings!$C$78,Settings!$C$80,Settings!$C$82,Settings!$C$84,Settings!$C$86))/6,2)*6,"")</f>
        <v/>
      </c>
      <c r="K57" s="142">
        <f>IFERROR(CHOOSE(MATCH(IF($E57="","Основний",$E57),{"Трафіковий","Основний","Маржинальний","Сезонний","Стратегічний"},0),Settings!$C$78,Settings!$C$80,Settings!$C$82,Settings!$C$84,Settings!$C$86),"")</f>
        <v/>
      </c>
      <c r="L57" s="148">
        <f>IFERROR((J57*(1-Settings!$C$17)-C57)/(J57*(1-Settings!$C$17)),"")</f>
        <v/>
      </c>
      <c r="M57" s="149">
        <f>IFERROR(IF(J57="","",IF(J57&gt;=C57/(1-SKU_Base!AA57)/(1-Settings!$C$17),"OK",IF(J57&gt;=C57/(1-SKU_Base!AH57)/(1-Settings!$C$17),"WARN","STOP"))),"")</f>
        <v/>
      </c>
      <c r="N57" s="161">
        <f>IFERROR(ROUND(D57*(1-CHOOSE(MATCH(IF($E57="","Основний",$E57),{"Трафіковий","Основний","Маржинальний","Сезонний","Стратегічний"},0),Settings!$D$78,Settings!$D$80,Settings!$D$82,Settings!$D$84,Settings!$D$86))/6,2)*6,"")</f>
        <v/>
      </c>
      <c r="O57" s="142">
        <f>IFERROR(CHOOSE(MATCH(IF($E57="","Основний",$E57),{"Трафіковий","Основний","Маржинальний","Сезонний","Стратегічний"},0),Settings!$D$78,Settings!$D$80,Settings!$D$82,Settings!$D$84,Settings!$D$86),"")</f>
        <v/>
      </c>
      <c r="P57" s="148">
        <f>IFERROR((N57*(1-Settings!$D$17)-C57)/(N57*(1-Settings!$D$17)),"")</f>
        <v/>
      </c>
      <c r="Q57" s="149">
        <f>IFERROR(IF(N57="","",IF(N57&gt;=C57/(1-SKU_Base!AB57)/(1-Settings!$D$17),"OK",IF(N57&gt;=C57/(1-SKU_Base!AI57)/(1-Settings!$D$17),"WARN","STOP"))),"")</f>
        <v/>
      </c>
      <c r="R57" s="161">
        <f>IFERROR(ROUND(D57*(1-CHOOSE(MATCH(IF($E57="","Основний",$E57),{"Трафіковий","Основний","Маржинальний","Сезонний","Стратегічний"},0),Settings!$E$78,Settings!$E$80,Settings!$E$82,Settings!$E$84,Settings!$E$86))/6,2)*6,"")</f>
        <v/>
      </c>
      <c r="S57" s="142">
        <f>IFERROR(CHOOSE(MATCH(IF($E57="","Основний",$E57),{"Трафіковий","Основний","Маржинальний","Сезонний","Стратегічний"},0),Settings!$E$78,Settings!$E$80,Settings!$E$82,Settings!$E$84,Settings!$E$86),"")</f>
        <v/>
      </c>
      <c r="T57" s="148">
        <f>IFERROR((R57*(1-Settings!$E$17)-C57)/(R57*(1-Settings!$E$17)),"")</f>
        <v/>
      </c>
      <c r="U57" s="149">
        <f>IFERROR(IF(R57="","",IF(R57&gt;=C57/(1-SKU_Base!AC57)/(1-Settings!$E$17),"OK",IF(R57&gt;=C57/(1-SKU_Base!AJ57)/(1-Settings!$E$17),"WARN","STOP"))),"")</f>
        <v/>
      </c>
      <c r="V57" s="161">
        <f>IFERROR(ROUND(D57*(1-CHOOSE(MATCH(IF($E57="","Основний",$E57),{"Трафіковий","Основний","Маржинальний","Сезонний","Стратегічний"},0),Settings!$F$78,Settings!$F$80,Settings!$F$82,Settings!$F$84,Settings!$F$86))/6,2)*6,"")</f>
        <v/>
      </c>
      <c r="W57" s="142">
        <f>IFERROR(CHOOSE(MATCH(IF($E57="","Основний",$E57),{"Трафіковий","Основний","Маржинальний","Сезонний","Стратегічний"},0),Settings!$F$78,Settings!$F$80,Settings!$F$82,Settings!$F$84,Settings!$F$86),"")</f>
        <v/>
      </c>
      <c r="X57" s="148">
        <f>IFERROR((V57*(1-Settings!$F$17)-C57)/(V57*(1-Settings!$F$17)),"")</f>
        <v/>
      </c>
      <c r="Y57" s="149">
        <f>IFERROR(IF(V57="","",IF(V57&gt;=C57/(1-SKU_Base!AD57)/(1-Settings!$F$17),"OK",IF(V57&gt;=C57/(1-SKU_Base!AK57)/(1-Settings!$F$17),"WARN","STOP"))),"")</f>
        <v/>
      </c>
      <c r="Z57" s="161">
        <f>IFERROR(ROUND(D57*(1-CHOOSE(MATCH(IF($E57="","Основний",$E57),{"Трафіковий","Основний","Маржинальний","Сезонний","Стратегічний"},0),Settings!$G$78,Settings!$G$80,Settings!$G$82,Settings!$G$84,Settings!$G$86))/6,2)*6,"")</f>
        <v/>
      </c>
      <c r="AA57" s="142">
        <f>IFERROR(CHOOSE(MATCH(IF($E57="","Основний",$E57),{"Трафіковий","Основний","Маржинальний","Сезонний","Стратегічний"},0),Settings!$G$78,Settings!$G$80,Settings!$G$82,Settings!$G$84,Settings!$G$86),"")</f>
        <v/>
      </c>
      <c r="AB57" s="148">
        <f>IFERROR((Z57*(1-Settings!$G$17)-C57)/(Z57*(1-Settings!$G$17)),"")</f>
        <v/>
      </c>
      <c r="AC57" s="149">
        <f>IFERROR(IF(Z57="","",IF(Z57&gt;=C57/(1-SKU_Base!AE57)/(1-Settings!$G$17),"OK",IF(Z57&gt;=C57/(1-SKU_Base!AL57)/(1-Settings!$G$17),"WARN","STOP"))),"")</f>
        <v/>
      </c>
      <c r="AD57" s="161">
        <f>IFERROR(ROUND(D57*(1-CHOOSE(MATCH(IF($E57="","Основний",$E57),{"Трафіковий","Основний","Маржинальний","Сезонний","Стратегічний"},0),Settings!$H$78,Settings!$H$80,Settings!$H$82,Settings!$H$84,Settings!$H$86))*(1-Settings!$H$68)/6,2)*6,"")</f>
        <v/>
      </c>
      <c r="AE57" s="142">
        <f>IFERROR(CHOOSE(MATCH(IF($E57="","Основний",$E57),{"Трафіковий","Основний","Маржинальний","Сезонний","Стратегічний"},0),Settings!$H$78,Settings!$H$80,Settings!$H$82,Settings!$H$84,Settings!$H$86)+(1-(CHOOSE(MATCH(IF($E57="","Основний",$E57),{"Трафіковий","Основний","Маржинальний","Сезонний","Стратегічний"},0),Settings!$H$78,Settings!$H$80,Settings!$H$82,Settings!$H$84,Settings!$H$86)))*Settings!$H$68,"")</f>
        <v/>
      </c>
      <c r="AF57" s="148">
        <f>IFERROR((AD57*(1-Settings!$H$17)-C57)/(AD57*(1-Settings!$H$17)),"")</f>
        <v/>
      </c>
      <c r="AG57" s="150">
        <f>IFERROR(IF(AD57="","",IF(AD57&gt;=C57/(1-SKU_Base!AF57)/(1-Settings!$H$17),"OK",IF(AD57&gt;=C57/(1-SKU_Base!AM57)/(1-Settings!$H$17),"WARN","STOP"))),"")</f>
        <v/>
      </c>
    </row>
    <row r="58" ht="17" customHeight="1" s="179">
      <c r="A58" s="139">
        <f>SKU_Base!B58</f>
        <v/>
      </c>
      <c r="B58" s="139">
        <f>SKU_Base!C58</f>
        <v/>
      </c>
      <c r="C58" s="140">
        <f>IFERROR(SKU_Base!I58,"")</f>
        <v/>
      </c>
      <c r="D58" s="163">
        <f>IFERROR(SKU_Base!T58,"")</f>
        <v/>
      </c>
      <c r="E58" s="141">
        <f>IFERROR(SKU_Base!$U58,"")</f>
        <v/>
      </c>
      <c r="F58" s="158">
        <f>IFERROR(ROUND(D58*(1-CHOOSE(MATCH(IF($E58="","Основний",$E58),{"Трафіковий","Основний","Маржинальний","Сезонний","Стратегічний"},0),Settings!$B$78,Settings!$B$80,Settings!$B$82,Settings!$B$84,Settings!$B$86))/6,2)*6,"")</f>
        <v/>
      </c>
      <c r="G58" s="142">
        <f>IFERROR(CHOOSE(MATCH(IF($E58="","Основний",$E58),{"Трафіковий","Основний","Маржинальний","Сезонний","Стратегічний"},0),Settings!$B$78,Settings!$B$80,Settings!$B$82,Settings!$B$84,Settings!$B$86),"")</f>
        <v/>
      </c>
      <c r="H58" s="143">
        <f>IFERROR((F58*(1-Settings!$B$17)-C58)/(F58*(1-Settings!$B$17)),"")</f>
        <v/>
      </c>
      <c r="I58" s="149">
        <f>IFERROR(IF(F58="","",IF(F58&gt;=C58/(1-SKU_Base!Z58)/(1-Settings!$B$17),"OK",IF(F58&gt;=C58/(1-SKU_Base!AG58)/(1-Settings!$B$17),"WARN","STOP"))),"")</f>
        <v/>
      </c>
      <c r="J58" s="158">
        <f>IFERROR(ROUND(D58*(1-CHOOSE(MATCH(IF($E58="","Основний",$E58),{"Трафіковий","Основний","Маржинальний","Сезонний","Стратегічний"},0),Settings!$C$78,Settings!$C$80,Settings!$C$82,Settings!$C$84,Settings!$C$86))/6,2)*6,"")</f>
        <v/>
      </c>
      <c r="K58" s="142">
        <f>IFERROR(CHOOSE(MATCH(IF($E58="","Основний",$E58),{"Трафіковий","Основний","Маржинальний","Сезонний","Стратегічний"},0),Settings!$C$78,Settings!$C$80,Settings!$C$82,Settings!$C$84,Settings!$C$86),"")</f>
        <v/>
      </c>
      <c r="L58" s="143">
        <f>IFERROR((J58*(1-Settings!$C$17)-C58)/(J58*(1-Settings!$C$17)),"")</f>
        <v/>
      </c>
      <c r="M58" s="149">
        <f>IFERROR(IF(J58="","",IF(J58&gt;=C58/(1-SKU_Base!AA58)/(1-Settings!$C$17),"OK",IF(J58&gt;=C58/(1-SKU_Base!AH58)/(1-Settings!$C$17),"WARN","STOP"))),"")</f>
        <v/>
      </c>
      <c r="N58" s="159">
        <f>IFERROR(ROUND(D58*(1-CHOOSE(MATCH(IF($E58="","Основний",$E58),{"Трафіковий","Основний","Маржинальний","Сезонний","Стратегічний"},0),Settings!$D$78,Settings!$D$80,Settings!$D$82,Settings!$D$84,Settings!$D$86))/6,2)*6,"")</f>
        <v/>
      </c>
      <c r="O58" s="142">
        <f>IFERROR(CHOOSE(MATCH(IF($E58="","Основний",$E58),{"Трафіковий","Основний","Маржинальний","Сезонний","Стратегічний"},0),Settings!$D$78,Settings!$D$80,Settings!$D$82,Settings!$D$84,Settings!$D$86),"")</f>
        <v/>
      </c>
      <c r="P58" s="143">
        <f>IFERROR((N58*(1-Settings!$D$17)-C58)/(N58*(1-Settings!$D$17)),"")</f>
        <v/>
      </c>
      <c r="Q58" s="149">
        <f>IFERROR(IF(N58="","",IF(N58&gt;=C58/(1-SKU_Base!AB58)/(1-Settings!$D$17),"OK",IF(N58&gt;=C58/(1-SKU_Base!AI58)/(1-Settings!$D$17),"WARN","STOP"))),"")</f>
        <v/>
      </c>
      <c r="R58" s="159">
        <f>IFERROR(ROUND(D58*(1-CHOOSE(MATCH(IF($E58="","Основний",$E58),{"Трафіковий","Основний","Маржинальний","Сезонний","Стратегічний"},0),Settings!$E$78,Settings!$E$80,Settings!$E$82,Settings!$E$84,Settings!$E$86))/6,2)*6,"")</f>
        <v/>
      </c>
      <c r="S58" s="142">
        <f>IFERROR(CHOOSE(MATCH(IF($E58="","Основний",$E58),{"Трафіковий","Основний","Маржинальний","Сезонний","Стратегічний"},0),Settings!$E$78,Settings!$E$80,Settings!$E$82,Settings!$E$84,Settings!$E$86),"")</f>
        <v/>
      </c>
      <c r="T58" s="143">
        <f>IFERROR((R58*(1-Settings!$E$17)-C58)/(R58*(1-Settings!$E$17)),"")</f>
        <v/>
      </c>
      <c r="U58" s="149">
        <f>IFERROR(IF(R58="","",IF(R58&gt;=C58/(1-SKU_Base!AC58)/(1-Settings!$E$17),"OK",IF(R58&gt;=C58/(1-SKU_Base!AJ58)/(1-Settings!$E$17),"WARN","STOP"))),"")</f>
        <v/>
      </c>
      <c r="V58" s="159">
        <f>IFERROR(ROUND(D58*(1-CHOOSE(MATCH(IF($E58="","Основний",$E58),{"Трафіковий","Основний","Маржинальний","Сезонний","Стратегічний"},0),Settings!$F$78,Settings!$F$80,Settings!$F$82,Settings!$F$84,Settings!$F$86))/6,2)*6,"")</f>
        <v/>
      </c>
      <c r="W58" s="142">
        <f>IFERROR(CHOOSE(MATCH(IF($E58="","Основний",$E58),{"Трафіковий","Основний","Маржинальний","Сезонний","Стратегічний"},0),Settings!$F$78,Settings!$F$80,Settings!$F$82,Settings!$F$84,Settings!$F$86),"")</f>
        <v/>
      </c>
      <c r="X58" s="143">
        <f>IFERROR((V58*(1-Settings!$F$17)-C58)/(V58*(1-Settings!$F$17)),"")</f>
        <v/>
      </c>
      <c r="Y58" s="149">
        <f>IFERROR(IF(V58="","",IF(V58&gt;=C58/(1-SKU_Base!AD58)/(1-Settings!$F$17),"OK",IF(V58&gt;=C58/(1-SKU_Base!AK58)/(1-Settings!$F$17),"WARN","STOP"))),"")</f>
        <v/>
      </c>
      <c r="Z58" s="159">
        <f>IFERROR(ROUND(D58*(1-CHOOSE(MATCH(IF($E58="","Основний",$E58),{"Трафіковий","Основний","Маржинальний","Сезонний","Стратегічний"},0),Settings!$G$78,Settings!$G$80,Settings!$G$82,Settings!$G$84,Settings!$G$86))/6,2)*6,"")</f>
        <v/>
      </c>
      <c r="AA58" s="142">
        <f>IFERROR(CHOOSE(MATCH(IF($E58="","Основний",$E58),{"Трафіковий","Основний","Маржинальний","Сезонний","Стратегічний"},0),Settings!$G$78,Settings!$G$80,Settings!$G$82,Settings!$G$84,Settings!$G$86),"")</f>
        <v/>
      </c>
      <c r="AB58" s="143">
        <f>IFERROR((Z58*(1-Settings!$G$17)-C58)/(Z58*(1-Settings!$G$17)),"")</f>
        <v/>
      </c>
      <c r="AC58" s="149">
        <f>IFERROR(IF(Z58="","",IF(Z58&gt;=C58/(1-SKU_Base!AE58)/(1-Settings!$G$17),"OK",IF(Z58&gt;=C58/(1-SKU_Base!AL58)/(1-Settings!$G$17),"WARN","STOP"))),"")</f>
        <v/>
      </c>
      <c r="AD58" s="159">
        <f>IFERROR(ROUND(D58*(1-CHOOSE(MATCH(IF($E58="","Основний",$E58),{"Трафіковий","Основний","Маржинальний","Сезонний","Стратегічний"},0),Settings!$H$78,Settings!$H$80,Settings!$H$82,Settings!$H$84,Settings!$H$86))*(1-Settings!$H$68)/6,2)*6,"")</f>
        <v/>
      </c>
      <c r="AE58" s="142">
        <f>IFERROR(CHOOSE(MATCH(IF($E58="","Основний",$E58),{"Трафіковий","Основний","Маржинальний","Сезонний","Стратегічний"},0),Settings!$H$78,Settings!$H$80,Settings!$H$82,Settings!$H$84,Settings!$H$86)+(1-(CHOOSE(MATCH(IF($E58="","Основний",$E58),{"Трафіковий","Основний","Маржинальний","Сезонний","Стратегічний"},0),Settings!$H$78,Settings!$H$80,Settings!$H$82,Settings!$H$84,Settings!$H$86)))*Settings!$H$68,"")</f>
        <v/>
      </c>
      <c r="AF58" s="143">
        <f>IFERROR((AD58*(1-Settings!$H$17)-C58)/(AD58*(1-Settings!$H$17)),"")</f>
        <v/>
      </c>
      <c r="AG58" s="150">
        <f>IFERROR(IF(AD58="","",IF(AD58&gt;=C58/(1-SKU_Base!AF58)/(1-Settings!$H$17),"OK",IF(AD58&gt;=C58/(1-SKU_Base!AM58)/(1-Settings!$H$17),"WARN","STOP"))),"")</f>
        <v/>
      </c>
    </row>
    <row r="59" ht="17" customHeight="1" s="179">
      <c r="A59" s="146">
        <f>SKU_Base!B59</f>
        <v/>
      </c>
      <c r="B59" s="146">
        <f>SKU_Base!C59</f>
        <v/>
      </c>
      <c r="C59" s="147">
        <f>IFERROR(SKU_Base!I59,"")</f>
        <v/>
      </c>
      <c r="D59" s="164">
        <f>IFERROR(SKU_Base!T59,"")</f>
        <v/>
      </c>
      <c r="E59" s="141">
        <f>IFERROR(SKU_Base!$U59,"")</f>
        <v/>
      </c>
      <c r="F59" s="160">
        <f>IFERROR(ROUND(D59*(1-CHOOSE(MATCH(IF($E59="","Основний",$E59),{"Трафіковий","Основний","Маржинальний","Сезонний","Стратегічний"},0),Settings!$B$78,Settings!$B$80,Settings!$B$82,Settings!$B$84,Settings!$B$86))/6,2)*6,"")</f>
        <v/>
      </c>
      <c r="G59" s="142">
        <f>IFERROR(CHOOSE(MATCH(IF($E59="","Основний",$E59),{"Трафіковий","Основний","Маржинальний","Сезонний","Стратегічний"},0),Settings!$B$78,Settings!$B$80,Settings!$B$82,Settings!$B$84,Settings!$B$86),"")</f>
        <v/>
      </c>
      <c r="H59" s="148">
        <f>IFERROR((F59*(1-Settings!$B$17)-C59)/(F59*(1-Settings!$B$17)),"")</f>
        <v/>
      </c>
      <c r="I59" s="149">
        <f>IFERROR(IF(F59="","",IF(F59&gt;=C59/(1-SKU_Base!Z59)/(1-Settings!$B$17),"OK",IF(F59&gt;=C59/(1-SKU_Base!AG59)/(1-Settings!$B$17),"WARN","STOP"))),"")</f>
        <v/>
      </c>
      <c r="J59" s="160">
        <f>IFERROR(ROUND(D59*(1-CHOOSE(MATCH(IF($E59="","Основний",$E59),{"Трафіковий","Основний","Маржинальний","Сезонний","Стратегічний"},0),Settings!$C$78,Settings!$C$80,Settings!$C$82,Settings!$C$84,Settings!$C$86))/6,2)*6,"")</f>
        <v/>
      </c>
      <c r="K59" s="142">
        <f>IFERROR(CHOOSE(MATCH(IF($E59="","Основний",$E59),{"Трафіковий","Основний","Маржинальний","Сезонний","Стратегічний"},0),Settings!$C$78,Settings!$C$80,Settings!$C$82,Settings!$C$84,Settings!$C$86),"")</f>
        <v/>
      </c>
      <c r="L59" s="148">
        <f>IFERROR((J59*(1-Settings!$C$17)-C59)/(J59*(1-Settings!$C$17)),"")</f>
        <v/>
      </c>
      <c r="M59" s="149">
        <f>IFERROR(IF(J59="","",IF(J59&gt;=C59/(1-SKU_Base!AA59)/(1-Settings!$C$17),"OK",IF(J59&gt;=C59/(1-SKU_Base!AH59)/(1-Settings!$C$17),"WARN","STOP"))),"")</f>
        <v/>
      </c>
      <c r="N59" s="161">
        <f>IFERROR(ROUND(D59*(1-CHOOSE(MATCH(IF($E59="","Основний",$E59),{"Трафіковий","Основний","Маржинальний","Сезонний","Стратегічний"},0),Settings!$D$78,Settings!$D$80,Settings!$D$82,Settings!$D$84,Settings!$D$86))/6,2)*6,"")</f>
        <v/>
      </c>
      <c r="O59" s="142">
        <f>IFERROR(CHOOSE(MATCH(IF($E59="","Основний",$E59),{"Трафіковий","Основний","Маржинальний","Сезонний","Стратегічний"},0),Settings!$D$78,Settings!$D$80,Settings!$D$82,Settings!$D$84,Settings!$D$86),"")</f>
        <v/>
      </c>
      <c r="P59" s="148">
        <f>IFERROR((N59*(1-Settings!$D$17)-C59)/(N59*(1-Settings!$D$17)),"")</f>
        <v/>
      </c>
      <c r="Q59" s="149">
        <f>IFERROR(IF(N59="","",IF(N59&gt;=C59/(1-SKU_Base!AB59)/(1-Settings!$D$17),"OK",IF(N59&gt;=C59/(1-SKU_Base!AI59)/(1-Settings!$D$17),"WARN","STOP"))),"")</f>
        <v/>
      </c>
      <c r="R59" s="161">
        <f>IFERROR(ROUND(D59*(1-CHOOSE(MATCH(IF($E59="","Основний",$E59),{"Трафіковий","Основний","Маржинальний","Сезонний","Стратегічний"},0),Settings!$E$78,Settings!$E$80,Settings!$E$82,Settings!$E$84,Settings!$E$86))/6,2)*6,"")</f>
        <v/>
      </c>
      <c r="S59" s="142">
        <f>IFERROR(CHOOSE(MATCH(IF($E59="","Основний",$E59),{"Трафіковий","Основний","Маржинальний","Сезонний","Стратегічний"},0),Settings!$E$78,Settings!$E$80,Settings!$E$82,Settings!$E$84,Settings!$E$86),"")</f>
        <v/>
      </c>
      <c r="T59" s="148">
        <f>IFERROR((R59*(1-Settings!$E$17)-C59)/(R59*(1-Settings!$E$17)),"")</f>
        <v/>
      </c>
      <c r="U59" s="149">
        <f>IFERROR(IF(R59="","",IF(R59&gt;=C59/(1-SKU_Base!AC59)/(1-Settings!$E$17),"OK",IF(R59&gt;=C59/(1-SKU_Base!AJ59)/(1-Settings!$E$17),"WARN","STOP"))),"")</f>
        <v/>
      </c>
      <c r="V59" s="161">
        <f>IFERROR(ROUND(D59*(1-CHOOSE(MATCH(IF($E59="","Основний",$E59),{"Трафіковий","Основний","Маржинальний","Сезонний","Стратегічний"},0),Settings!$F$78,Settings!$F$80,Settings!$F$82,Settings!$F$84,Settings!$F$86))/6,2)*6,"")</f>
        <v/>
      </c>
      <c r="W59" s="142">
        <f>IFERROR(CHOOSE(MATCH(IF($E59="","Основний",$E59),{"Трафіковий","Основний","Маржинальний","Сезонний","Стратегічний"},0),Settings!$F$78,Settings!$F$80,Settings!$F$82,Settings!$F$84,Settings!$F$86),"")</f>
        <v/>
      </c>
      <c r="X59" s="148">
        <f>IFERROR((V59*(1-Settings!$F$17)-C59)/(V59*(1-Settings!$F$17)),"")</f>
        <v/>
      </c>
      <c r="Y59" s="149">
        <f>IFERROR(IF(V59="","",IF(V59&gt;=C59/(1-SKU_Base!AD59)/(1-Settings!$F$17),"OK",IF(V59&gt;=C59/(1-SKU_Base!AK59)/(1-Settings!$F$17),"WARN","STOP"))),"")</f>
        <v/>
      </c>
      <c r="Z59" s="161">
        <f>IFERROR(ROUND(D59*(1-CHOOSE(MATCH(IF($E59="","Основний",$E59),{"Трафіковий","Основний","Маржинальний","Сезонний","Стратегічний"},0),Settings!$G$78,Settings!$G$80,Settings!$G$82,Settings!$G$84,Settings!$G$86))/6,2)*6,"")</f>
        <v/>
      </c>
      <c r="AA59" s="142">
        <f>IFERROR(CHOOSE(MATCH(IF($E59="","Основний",$E59),{"Трафіковий","Основний","Маржинальний","Сезонний","Стратегічний"},0),Settings!$G$78,Settings!$G$80,Settings!$G$82,Settings!$G$84,Settings!$G$86),"")</f>
        <v/>
      </c>
      <c r="AB59" s="148">
        <f>IFERROR((Z59*(1-Settings!$G$17)-C59)/(Z59*(1-Settings!$G$17)),"")</f>
        <v/>
      </c>
      <c r="AC59" s="149">
        <f>IFERROR(IF(Z59="","",IF(Z59&gt;=C59/(1-SKU_Base!AE59)/(1-Settings!$G$17),"OK",IF(Z59&gt;=C59/(1-SKU_Base!AL59)/(1-Settings!$G$17),"WARN","STOP"))),"")</f>
        <v/>
      </c>
      <c r="AD59" s="161">
        <f>IFERROR(ROUND(D59*(1-CHOOSE(MATCH(IF($E59="","Основний",$E59),{"Трафіковий","Основний","Маржинальний","Сезонний","Стратегічний"},0),Settings!$H$78,Settings!$H$80,Settings!$H$82,Settings!$H$84,Settings!$H$86))*(1-Settings!$H$68)/6,2)*6,"")</f>
        <v/>
      </c>
      <c r="AE59" s="142">
        <f>IFERROR(CHOOSE(MATCH(IF($E59="","Основний",$E59),{"Трафіковий","Основний","Маржинальний","Сезонний","Стратегічний"},0),Settings!$H$78,Settings!$H$80,Settings!$H$82,Settings!$H$84,Settings!$H$86)+(1-(CHOOSE(MATCH(IF($E59="","Основний",$E59),{"Трафіковий","Основний","Маржинальний","Сезонний","Стратегічний"},0),Settings!$H$78,Settings!$H$80,Settings!$H$82,Settings!$H$84,Settings!$H$86)))*Settings!$H$68,"")</f>
        <v/>
      </c>
      <c r="AF59" s="148">
        <f>IFERROR((AD59*(1-Settings!$H$17)-C59)/(AD59*(1-Settings!$H$17)),"")</f>
        <v/>
      </c>
      <c r="AG59" s="150">
        <f>IFERROR(IF(AD59="","",IF(AD59&gt;=C59/(1-SKU_Base!AF59)/(1-Settings!$H$17),"OK",IF(AD59&gt;=C59/(1-SKU_Base!AM59)/(1-Settings!$H$17),"WARN","STOP"))),"")</f>
        <v/>
      </c>
    </row>
    <row r="60" ht="17" customHeight="1" s="179">
      <c r="A60" s="139">
        <f>SKU_Base!B60</f>
        <v/>
      </c>
      <c r="B60" s="139">
        <f>SKU_Base!C60</f>
        <v/>
      </c>
      <c r="C60" s="140">
        <f>IFERROR(SKU_Base!I60,"")</f>
        <v/>
      </c>
      <c r="D60" s="163">
        <f>IFERROR(SKU_Base!T60,"")</f>
        <v/>
      </c>
      <c r="E60" s="141">
        <f>IFERROR(SKU_Base!$U60,"")</f>
        <v/>
      </c>
      <c r="F60" s="158">
        <f>IFERROR(ROUND(D60*(1-CHOOSE(MATCH(IF($E60="","Основний",$E60),{"Трафіковий","Основний","Маржинальний","Сезонний","Стратегічний"},0),Settings!$B$78,Settings!$B$80,Settings!$B$82,Settings!$B$84,Settings!$B$86))/6,2)*6,"")</f>
        <v/>
      </c>
      <c r="G60" s="142">
        <f>IFERROR(CHOOSE(MATCH(IF($E60="","Основний",$E60),{"Трафіковий","Основний","Маржинальний","Сезонний","Стратегічний"},0),Settings!$B$78,Settings!$B$80,Settings!$B$82,Settings!$B$84,Settings!$B$86),"")</f>
        <v/>
      </c>
      <c r="H60" s="143">
        <f>IFERROR((F60*(1-Settings!$B$17)-C60)/(F60*(1-Settings!$B$17)),"")</f>
        <v/>
      </c>
      <c r="I60" s="149">
        <f>IFERROR(IF(F60="","",IF(F60&gt;=C60/(1-SKU_Base!Z60)/(1-Settings!$B$17),"OK",IF(F60&gt;=C60/(1-SKU_Base!AG60)/(1-Settings!$B$17),"WARN","STOP"))),"")</f>
        <v/>
      </c>
      <c r="J60" s="158">
        <f>IFERROR(ROUND(D60*(1-CHOOSE(MATCH(IF($E60="","Основний",$E60),{"Трафіковий","Основний","Маржинальний","Сезонний","Стратегічний"},0),Settings!$C$78,Settings!$C$80,Settings!$C$82,Settings!$C$84,Settings!$C$86))/6,2)*6,"")</f>
        <v/>
      </c>
      <c r="K60" s="142">
        <f>IFERROR(CHOOSE(MATCH(IF($E60="","Основний",$E60),{"Трафіковий","Основний","Маржинальний","Сезонний","Стратегічний"},0),Settings!$C$78,Settings!$C$80,Settings!$C$82,Settings!$C$84,Settings!$C$86),"")</f>
        <v/>
      </c>
      <c r="L60" s="143">
        <f>IFERROR((J60*(1-Settings!$C$17)-C60)/(J60*(1-Settings!$C$17)),"")</f>
        <v/>
      </c>
      <c r="M60" s="149">
        <f>IFERROR(IF(J60="","",IF(J60&gt;=C60/(1-SKU_Base!AA60)/(1-Settings!$C$17),"OK",IF(J60&gt;=C60/(1-SKU_Base!AH60)/(1-Settings!$C$17),"WARN","STOP"))),"")</f>
        <v/>
      </c>
      <c r="N60" s="159">
        <f>IFERROR(ROUND(D60*(1-CHOOSE(MATCH(IF($E60="","Основний",$E60),{"Трафіковий","Основний","Маржинальний","Сезонний","Стратегічний"},0),Settings!$D$78,Settings!$D$80,Settings!$D$82,Settings!$D$84,Settings!$D$86))/6,2)*6,"")</f>
        <v/>
      </c>
      <c r="O60" s="142">
        <f>IFERROR(CHOOSE(MATCH(IF($E60="","Основний",$E60),{"Трафіковий","Основний","Маржинальний","Сезонний","Стратегічний"},0),Settings!$D$78,Settings!$D$80,Settings!$D$82,Settings!$D$84,Settings!$D$86),"")</f>
        <v/>
      </c>
      <c r="P60" s="143">
        <f>IFERROR((N60*(1-Settings!$D$17)-C60)/(N60*(1-Settings!$D$17)),"")</f>
        <v/>
      </c>
      <c r="Q60" s="149">
        <f>IFERROR(IF(N60="","",IF(N60&gt;=C60/(1-SKU_Base!AB60)/(1-Settings!$D$17),"OK",IF(N60&gt;=C60/(1-SKU_Base!AI60)/(1-Settings!$D$17),"WARN","STOP"))),"")</f>
        <v/>
      </c>
      <c r="R60" s="159">
        <f>IFERROR(ROUND(D60*(1-CHOOSE(MATCH(IF($E60="","Основний",$E60),{"Трафіковий","Основний","Маржинальний","Сезонний","Стратегічний"},0),Settings!$E$78,Settings!$E$80,Settings!$E$82,Settings!$E$84,Settings!$E$86))/6,2)*6,"")</f>
        <v/>
      </c>
      <c r="S60" s="142">
        <f>IFERROR(CHOOSE(MATCH(IF($E60="","Основний",$E60),{"Трафіковий","Основний","Маржинальний","Сезонний","Стратегічний"},0),Settings!$E$78,Settings!$E$80,Settings!$E$82,Settings!$E$84,Settings!$E$86),"")</f>
        <v/>
      </c>
      <c r="T60" s="143">
        <f>IFERROR((R60*(1-Settings!$E$17)-C60)/(R60*(1-Settings!$E$17)),"")</f>
        <v/>
      </c>
      <c r="U60" s="149">
        <f>IFERROR(IF(R60="","",IF(R60&gt;=C60/(1-SKU_Base!AC60)/(1-Settings!$E$17),"OK",IF(R60&gt;=C60/(1-SKU_Base!AJ60)/(1-Settings!$E$17),"WARN","STOP"))),"")</f>
        <v/>
      </c>
      <c r="V60" s="159">
        <f>IFERROR(ROUND(D60*(1-CHOOSE(MATCH(IF($E60="","Основний",$E60),{"Трафіковий","Основний","Маржинальний","Сезонний","Стратегічний"},0),Settings!$F$78,Settings!$F$80,Settings!$F$82,Settings!$F$84,Settings!$F$86))/6,2)*6,"")</f>
        <v/>
      </c>
      <c r="W60" s="142">
        <f>IFERROR(CHOOSE(MATCH(IF($E60="","Основний",$E60),{"Трафіковий","Основний","Маржинальний","Сезонний","Стратегічний"},0),Settings!$F$78,Settings!$F$80,Settings!$F$82,Settings!$F$84,Settings!$F$86),"")</f>
        <v/>
      </c>
      <c r="X60" s="143">
        <f>IFERROR((V60*(1-Settings!$F$17)-C60)/(V60*(1-Settings!$F$17)),"")</f>
        <v/>
      </c>
      <c r="Y60" s="149">
        <f>IFERROR(IF(V60="","",IF(V60&gt;=C60/(1-SKU_Base!AD60)/(1-Settings!$F$17),"OK",IF(V60&gt;=C60/(1-SKU_Base!AK60)/(1-Settings!$F$17),"WARN","STOP"))),"")</f>
        <v/>
      </c>
      <c r="Z60" s="159">
        <f>IFERROR(ROUND(D60*(1-CHOOSE(MATCH(IF($E60="","Основний",$E60),{"Трафіковий","Основний","Маржинальний","Сезонний","Стратегічний"},0),Settings!$G$78,Settings!$G$80,Settings!$G$82,Settings!$G$84,Settings!$G$86))/6,2)*6,"")</f>
        <v/>
      </c>
      <c r="AA60" s="142">
        <f>IFERROR(CHOOSE(MATCH(IF($E60="","Основний",$E60),{"Трафіковий","Основний","Маржинальний","Сезонний","Стратегічний"},0),Settings!$G$78,Settings!$G$80,Settings!$G$82,Settings!$G$84,Settings!$G$86),"")</f>
        <v/>
      </c>
      <c r="AB60" s="143">
        <f>IFERROR((Z60*(1-Settings!$G$17)-C60)/(Z60*(1-Settings!$G$17)),"")</f>
        <v/>
      </c>
      <c r="AC60" s="149">
        <f>IFERROR(IF(Z60="","",IF(Z60&gt;=C60/(1-SKU_Base!AE60)/(1-Settings!$G$17),"OK",IF(Z60&gt;=C60/(1-SKU_Base!AL60)/(1-Settings!$G$17),"WARN","STOP"))),"")</f>
        <v/>
      </c>
      <c r="AD60" s="159">
        <f>IFERROR(ROUND(D60*(1-CHOOSE(MATCH(IF($E60="","Основний",$E60),{"Трафіковий","Основний","Маржинальний","Сезонний","Стратегічний"},0),Settings!$H$78,Settings!$H$80,Settings!$H$82,Settings!$H$84,Settings!$H$86))*(1-Settings!$H$68)/6,2)*6,"")</f>
        <v/>
      </c>
      <c r="AE60" s="142">
        <f>IFERROR(CHOOSE(MATCH(IF($E60="","Основний",$E60),{"Трафіковий","Основний","Маржинальний","Сезонний","Стратегічний"},0),Settings!$H$78,Settings!$H$80,Settings!$H$82,Settings!$H$84,Settings!$H$86)+(1-(CHOOSE(MATCH(IF($E60="","Основний",$E60),{"Трафіковий","Основний","Маржинальний","Сезонний","Стратегічний"},0),Settings!$H$78,Settings!$H$80,Settings!$H$82,Settings!$H$84,Settings!$H$86)))*Settings!$H$68,"")</f>
        <v/>
      </c>
      <c r="AF60" s="143">
        <f>IFERROR((AD60*(1-Settings!$H$17)-C60)/(AD60*(1-Settings!$H$17)),"")</f>
        <v/>
      </c>
      <c r="AG60" s="150">
        <f>IFERROR(IF(AD60="","",IF(AD60&gt;=C60/(1-SKU_Base!AF60)/(1-Settings!$H$17),"OK",IF(AD60&gt;=C60/(1-SKU_Base!AM60)/(1-Settings!$H$17),"WARN","STOP"))),"")</f>
        <v/>
      </c>
    </row>
    <row r="61" ht="17" customHeight="1" s="179">
      <c r="A61" s="146">
        <f>SKU_Base!B61</f>
        <v/>
      </c>
      <c r="B61" s="146">
        <f>SKU_Base!C61</f>
        <v/>
      </c>
      <c r="C61" s="147">
        <f>IFERROR(SKU_Base!I61,"")</f>
        <v/>
      </c>
      <c r="D61" s="164">
        <f>IFERROR(SKU_Base!T61,"")</f>
        <v/>
      </c>
      <c r="E61" s="141">
        <f>IFERROR(SKU_Base!$U61,"")</f>
        <v/>
      </c>
      <c r="F61" s="160">
        <f>IFERROR(ROUND(D61*(1-CHOOSE(MATCH(IF($E61="","Основний",$E61),{"Трафіковий","Основний","Маржинальний","Сезонний","Стратегічний"},0),Settings!$B$78,Settings!$B$80,Settings!$B$82,Settings!$B$84,Settings!$B$86))/6,2)*6,"")</f>
        <v/>
      </c>
      <c r="G61" s="142">
        <f>IFERROR(CHOOSE(MATCH(IF($E61="","Основний",$E61),{"Трафіковий","Основний","Маржинальний","Сезонний","Стратегічний"},0),Settings!$B$78,Settings!$B$80,Settings!$B$82,Settings!$B$84,Settings!$B$86),"")</f>
        <v/>
      </c>
      <c r="H61" s="148">
        <f>IFERROR((F61*(1-Settings!$B$17)-C61)/(F61*(1-Settings!$B$17)),"")</f>
        <v/>
      </c>
      <c r="I61" s="149">
        <f>IFERROR(IF(F61="","",IF(F61&gt;=C61/(1-SKU_Base!Z61)/(1-Settings!$B$17),"OK",IF(F61&gt;=C61/(1-SKU_Base!AG61)/(1-Settings!$B$17),"WARN","STOP"))),"")</f>
        <v/>
      </c>
      <c r="J61" s="160">
        <f>IFERROR(ROUND(D61*(1-CHOOSE(MATCH(IF($E61="","Основний",$E61),{"Трафіковий","Основний","Маржинальний","Сезонний","Стратегічний"},0),Settings!$C$78,Settings!$C$80,Settings!$C$82,Settings!$C$84,Settings!$C$86))/6,2)*6,"")</f>
        <v/>
      </c>
      <c r="K61" s="142">
        <f>IFERROR(CHOOSE(MATCH(IF($E61="","Основний",$E61),{"Трафіковий","Основний","Маржинальний","Сезонний","Стратегічний"},0),Settings!$C$78,Settings!$C$80,Settings!$C$82,Settings!$C$84,Settings!$C$86),"")</f>
        <v/>
      </c>
      <c r="L61" s="148">
        <f>IFERROR((J61*(1-Settings!$C$17)-C61)/(J61*(1-Settings!$C$17)),"")</f>
        <v/>
      </c>
      <c r="M61" s="149">
        <f>IFERROR(IF(J61="","",IF(J61&gt;=C61/(1-SKU_Base!AA61)/(1-Settings!$C$17),"OK",IF(J61&gt;=C61/(1-SKU_Base!AH61)/(1-Settings!$C$17),"WARN","STOP"))),"")</f>
        <v/>
      </c>
      <c r="N61" s="161">
        <f>IFERROR(ROUND(D61*(1-CHOOSE(MATCH(IF($E61="","Основний",$E61),{"Трафіковий","Основний","Маржинальний","Сезонний","Стратегічний"},0),Settings!$D$78,Settings!$D$80,Settings!$D$82,Settings!$D$84,Settings!$D$86))/6,2)*6,"")</f>
        <v/>
      </c>
      <c r="O61" s="142">
        <f>IFERROR(CHOOSE(MATCH(IF($E61="","Основний",$E61),{"Трафіковий","Основний","Маржинальний","Сезонний","Стратегічний"},0),Settings!$D$78,Settings!$D$80,Settings!$D$82,Settings!$D$84,Settings!$D$86),"")</f>
        <v/>
      </c>
      <c r="P61" s="148">
        <f>IFERROR((N61*(1-Settings!$D$17)-C61)/(N61*(1-Settings!$D$17)),"")</f>
        <v/>
      </c>
      <c r="Q61" s="149">
        <f>IFERROR(IF(N61="","",IF(N61&gt;=C61/(1-SKU_Base!AB61)/(1-Settings!$D$17),"OK",IF(N61&gt;=C61/(1-SKU_Base!AI61)/(1-Settings!$D$17),"WARN","STOP"))),"")</f>
        <v/>
      </c>
      <c r="R61" s="161">
        <f>IFERROR(ROUND(D61*(1-CHOOSE(MATCH(IF($E61="","Основний",$E61),{"Трафіковий","Основний","Маржинальний","Сезонний","Стратегічний"},0),Settings!$E$78,Settings!$E$80,Settings!$E$82,Settings!$E$84,Settings!$E$86))/6,2)*6,"")</f>
        <v/>
      </c>
      <c r="S61" s="142">
        <f>IFERROR(CHOOSE(MATCH(IF($E61="","Основний",$E61),{"Трафіковий","Основний","Маржинальний","Сезонний","Стратегічний"},0),Settings!$E$78,Settings!$E$80,Settings!$E$82,Settings!$E$84,Settings!$E$86),"")</f>
        <v/>
      </c>
      <c r="T61" s="148">
        <f>IFERROR((R61*(1-Settings!$E$17)-C61)/(R61*(1-Settings!$E$17)),"")</f>
        <v/>
      </c>
      <c r="U61" s="149">
        <f>IFERROR(IF(R61="","",IF(R61&gt;=C61/(1-SKU_Base!AC61)/(1-Settings!$E$17),"OK",IF(R61&gt;=C61/(1-SKU_Base!AJ61)/(1-Settings!$E$17),"WARN","STOP"))),"")</f>
        <v/>
      </c>
      <c r="V61" s="161">
        <f>IFERROR(ROUND(D61*(1-CHOOSE(MATCH(IF($E61="","Основний",$E61),{"Трафіковий","Основний","Маржинальний","Сезонний","Стратегічний"},0),Settings!$F$78,Settings!$F$80,Settings!$F$82,Settings!$F$84,Settings!$F$86))/6,2)*6,"")</f>
        <v/>
      </c>
      <c r="W61" s="142">
        <f>IFERROR(CHOOSE(MATCH(IF($E61="","Основний",$E61),{"Трафіковий","Основний","Маржинальний","Сезонний","Стратегічний"},0),Settings!$F$78,Settings!$F$80,Settings!$F$82,Settings!$F$84,Settings!$F$86),"")</f>
        <v/>
      </c>
      <c r="X61" s="148">
        <f>IFERROR((V61*(1-Settings!$F$17)-C61)/(V61*(1-Settings!$F$17)),"")</f>
        <v/>
      </c>
      <c r="Y61" s="149">
        <f>IFERROR(IF(V61="","",IF(V61&gt;=C61/(1-SKU_Base!AD61)/(1-Settings!$F$17),"OK",IF(V61&gt;=C61/(1-SKU_Base!AK61)/(1-Settings!$F$17),"WARN","STOP"))),"")</f>
        <v/>
      </c>
      <c r="Z61" s="161">
        <f>IFERROR(ROUND(D61*(1-CHOOSE(MATCH(IF($E61="","Основний",$E61),{"Трафіковий","Основний","Маржинальний","Сезонний","Стратегічний"},0),Settings!$G$78,Settings!$G$80,Settings!$G$82,Settings!$G$84,Settings!$G$86))/6,2)*6,"")</f>
        <v/>
      </c>
      <c r="AA61" s="142">
        <f>IFERROR(CHOOSE(MATCH(IF($E61="","Основний",$E61),{"Трафіковий","Основний","Маржинальний","Сезонний","Стратегічний"},0),Settings!$G$78,Settings!$G$80,Settings!$G$82,Settings!$G$84,Settings!$G$86),"")</f>
        <v/>
      </c>
      <c r="AB61" s="148">
        <f>IFERROR((Z61*(1-Settings!$G$17)-C61)/(Z61*(1-Settings!$G$17)),"")</f>
        <v/>
      </c>
      <c r="AC61" s="149">
        <f>IFERROR(IF(Z61="","",IF(Z61&gt;=C61/(1-SKU_Base!AE61)/(1-Settings!$G$17),"OK",IF(Z61&gt;=C61/(1-SKU_Base!AL61)/(1-Settings!$G$17),"WARN","STOP"))),"")</f>
        <v/>
      </c>
      <c r="AD61" s="161">
        <f>IFERROR(ROUND(D61*(1-CHOOSE(MATCH(IF($E61="","Основний",$E61),{"Трафіковий","Основний","Маржинальний","Сезонний","Стратегічний"},0),Settings!$H$78,Settings!$H$80,Settings!$H$82,Settings!$H$84,Settings!$H$86))*(1-Settings!$H$68)/6,2)*6,"")</f>
        <v/>
      </c>
      <c r="AE61" s="142">
        <f>IFERROR(CHOOSE(MATCH(IF($E61="","Основний",$E61),{"Трафіковий","Основний","Маржинальний","Сезонний","Стратегічний"},0),Settings!$H$78,Settings!$H$80,Settings!$H$82,Settings!$H$84,Settings!$H$86)+(1-(CHOOSE(MATCH(IF($E61="","Основний",$E61),{"Трафіковий","Основний","Маржинальний","Сезонний","Стратегічний"},0),Settings!$H$78,Settings!$H$80,Settings!$H$82,Settings!$H$84,Settings!$H$86)))*Settings!$H$68,"")</f>
        <v/>
      </c>
      <c r="AF61" s="148">
        <f>IFERROR((AD61*(1-Settings!$H$17)-C61)/(AD61*(1-Settings!$H$17)),"")</f>
        <v/>
      </c>
      <c r="AG61" s="149">
        <f>IFERROR(IF(AD61="","",IF(AD61&gt;=C61/(1-SKU_Base!AF61)/(1-Settings!$H$17),"OK",IF(AD61&gt;=C61/(1-SKU_Base!AM61)/(1-Settings!$H$17),"WARN","STOP"))),"")</f>
        <v/>
      </c>
    </row>
    <row r="62" ht="17" customHeight="1" s="179">
      <c r="A62" s="139">
        <f>SKU_Base!B62</f>
        <v/>
      </c>
      <c r="B62" s="139">
        <f>SKU_Base!C62</f>
        <v/>
      </c>
      <c r="C62" s="140">
        <f>IFERROR(SKU_Base!I62,"")</f>
        <v/>
      </c>
      <c r="D62" s="163">
        <f>IFERROR(SKU_Base!T62,"")</f>
        <v/>
      </c>
      <c r="E62" s="141">
        <f>IFERROR(SKU_Base!$U62,"")</f>
        <v/>
      </c>
      <c r="F62" s="158">
        <f>IFERROR(ROUND(D62*(1-CHOOSE(MATCH(IF($E62="","Основний",$E62),{"Трафіковий","Основний","Маржинальний","Сезонний","Стратегічний"},0),Settings!$B$78,Settings!$B$80,Settings!$B$82,Settings!$B$84,Settings!$B$86))/6,2)*6,"")</f>
        <v/>
      </c>
      <c r="G62" s="142">
        <f>IFERROR(CHOOSE(MATCH(IF($E62="","Основний",$E62),{"Трафіковий","Основний","Маржинальний","Сезонний","Стратегічний"},0),Settings!$B$78,Settings!$B$80,Settings!$B$82,Settings!$B$84,Settings!$B$86),"")</f>
        <v/>
      </c>
      <c r="H62" s="143">
        <f>IFERROR((F62*(1-Settings!$B$17)-C62)/(F62*(1-Settings!$B$17)),"")</f>
        <v/>
      </c>
      <c r="I62" s="149">
        <f>IFERROR(IF(F62="","",IF(F62&gt;=C62/(1-SKU_Base!Z62)/(1-Settings!$B$17),"OK",IF(F62&gt;=C62/(1-SKU_Base!AG62)/(1-Settings!$B$17),"WARN","STOP"))),"")</f>
        <v/>
      </c>
      <c r="J62" s="158">
        <f>IFERROR(ROUND(D62*(1-CHOOSE(MATCH(IF($E62="","Основний",$E62),{"Трафіковий","Основний","Маржинальний","Сезонний","Стратегічний"},0),Settings!$C$78,Settings!$C$80,Settings!$C$82,Settings!$C$84,Settings!$C$86))/6,2)*6,"")</f>
        <v/>
      </c>
      <c r="K62" s="142">
        <f>IFERROR(CHOOSE(MATCH(IF($E62="","Основний",$E62),{"Трафіковий","Основний","Маржинальний","Сезонний","Стратегічний"},0),Settings!$C$78,Settings!$C$80,Settings!$C$82,Settings!$C$84,Settings!$C$86),"")</f>
        <v/>
      </c>
      <c r="L62" s="143">
        <f>IFERROR((J62*(1-Settings!$C$17)-C62)/(J62*(1-Settings!$C$17)),"")</f>
        <v/>
      </c>
      <c r="M62" s="149">
        <f>IFERROR(IF(J62="","",IF(J62&gt;=C62/(1-SKU_Base!AA62)/(1-Settings!$C$17),"OK",IF(J62&gt;=C62/(1-SKU_Base!AH62)/(1-Settings!$C$17),"WARN","STOP"))),"")</f>
        <v/>
      </c>
      <c r="N62" s="159">
        <f>IFERROR(ROUND(D62*(1-CHOOSE(MATCH(IF($E62="","Основний",$E62),{"Трафіковий","Основний","Маржинальний","Сезонний","Стратегічний"},0),Settings!$D$78,Settings!$D$80,Settings!$D$82,Settings!$D$84,Settings!$D$86))/6,2)*6,"")</f>
        <v/>
      </c>
      <c r="O62" s="142">
        <f>IFERROR(CHOOSE(MATCH(IF($E62="","Основний",$E62),{"Трафіковий","Основний","Маржинальний","Сезонний","Стратегічний"},0),Settings!$D$78,Settings!$D$80,Settings!$D$82,Settings!$D$84,Settings!$D$86),"")</f>
        <v/>
      </c>
      <c r="P62" s="143">
        <f>IFERROR((N62*(1-Settings!$D$17)-C62)/(N62*(1-Settings!$D$17)),"")</f>
        <v/>
      </c>
      <c r="Q62" s="149">
        <f>IFERROR(IF(N62="","",IF(N62&gt;=C62/(1-SKU_Base!AB62)/(1-Settings!$D$17),"OK",IF(N62&gt;=C62/(1-SKU_Base!AI62)/(1-Settings!$D$17),"WARN","STOP"))),"")</f>
        <v/>
      </c>
      <c r="R62" s="159">
        <f>IFERROR(ROUND(D62*(1-CHOOSE(MATCH(IF($E62="","Основний",$E62),{"Трафіковий","Основний","Маржинальний","Сезонний","Стратегічний"},0),Settings!$E$78,Settings!$E$80,Settings!$E$82,Settings!$E$84,Settings!$E$86))/6,2)*6,"")</f>
        <v/>
      </c>
      <c r="S62" s="142">
        <f>IFERROR(CHOOSE(MATCH(IF($E62="","Основний",$E62),{"Трафіковий","Основний","Маржинальний","Сезонний","Стратегічний"},0),Settings!$E$78,Settings!$E$80,Settings!$E$82,Settings!$E$84,Settings!$E$86),"")</f>
        <v/>
      </c>
      <c r="T62" s="143">
        <f>IFERROR((R62*(1-Settings!$E$17)-C62)/(R62*(1-Settings!$E$17)),"")</f>
        <v/>
      </c>
      <c r="U62" s="149">
        <f>IFERROR(IF(R62="","",IF(R62&gt;=C62/(1-SKU_Base!AC62)/(1-Settings!$E$17),"OK",IF(R62&gt;=C62/(1-SKU_Base!AJ62)/(1-Settings!$E$17),"WARN","STOP"))),"")</f>
        <v/>
      </c>
      <c r="V62" s="159">
        <f>IFERROR(ROUND(D62*(1-CHOOSE(MATCH(IF($E62="","Основний",$E62),{"Трафіковий","Основний","Маржинальний","Сезонний","Стратегічний"},0),Settings!$F$78,Settings!$F$80,Settings!$F$82,Settings!$F$84,Settings!$F$86))/6,2)*6,"")</f>
        <v/>
      </c>
      <c r="W62" s="142">
        <f>IFERROR(CHOOSE(MATCH(IF($E62="","Основний",$E62),{"Трафіковий","Основний","Маржинальний","Сезонний","Стратегічний"},0),Settings!$F$78,Settings!$F$80,Settings!$F$82,Settings!$F$84,Settings!$F$86),"")</f>
        <v/>
      </c>
      <c r="X62" s="143">
        <f>IFERROR((V62*(1-Settings!$F$17)-C62)/(V62*(1-Settings!$F$17)),"")</f>
        <v/>
      </c>
      <c r="Y62" s="149">
        <f>IFERROR(IF(V62="","",IF(V62&gt;=C62/(1-SKU_Base!AD62)/(1-Settings!$F$17),"OK",IF(V62&gt;=C62/(1-SKU_Base!AK62)/(1-Settings!$F$17),"WARN","STOP"))),"")</f>
        <v/>
      </c>
      <c r="Z62" s="159">
        <f>IFERROR(ROUND(D62*(1-CHOOSE(MATCH(IF($E62="","Основний",$E62),{"Трафіковий","Основний","Маржинальний","Сезонний","Стратегічний"},0),Settings!$G$78,Settings!$G$80,Settings!$G$82,Settings!$G$84,Settings!$G$86))/6,2)*6,"")</f>
        <v/>
      </c>
      <c r="AA62" s="142">
        <f>IFERROR(CHOOSE(MATCH(IF($E62="","Основний",$E62),{"Трафіковий","Основний","Маржинальний","Сезонний","Стратегічний"},0),Settings!$G$78,Settings!$G$80,Settings!$G$82,Settings!$G$84,Settings!$G$86),"")</f>
        <v/>
      </c>
      <c r="AB62" s="143">
        <f>IFERROR((Z62*(1-Settings!$G$17)-C62)/(Z62*(1-Settings!$G$17)),"")</f>
        <v/>
      </c>
      <c r="AC62" s="149">
        <f>IFERROR(IF(Z62="","",IF(Z62&gt;=C62/(1-SKU_Base!AE62)/(1-Settings!$G$17),"OK",IF(Z62&gt;=C62/(1-SKU_Base!AL62)/(1-Settings!$G$17),"WARN","STOP"))),"")</f>
        <v/>
      </c>
      <c r="AD62" s="159">
        <f>IFERROR(ROUND(D62*(1-CHOOSE(MATCH(IF($E62="","Основний",$E62),{"Трафіковий","Основний","Маржинальний","Сезонний","Стратегічний"},0),Settings!$H$78,Settings!$H$80,Settings!$H$82,Settings!$H$84,Settings!$H$86))*(1-Settings!$H$68)/6,2)*6,"")</f>
        <v/>
      </c>
      <c r="AE62" s="142">
        <f>IFERROR(CHOOSE(MATCH(IF($E62="","Основний",$E62),{"Трафіковий","Основний","Маржинальний","Сезонний","Стратегічний"},0),Settings!$H$78,Settings!$H$80,Settings!$H$82,Settings!$H$84,Settings!$H$86)+(1-(CHOOSE(MATCH(IF($E62="","Основний",$E62),{"Трафіковий","Основний","Маржинальний","Сезонний","Стратегічний"},0),Settings!$H$78,Settings!$H$80,Settings!$H$82,Settings!$H$84,Settings!$H$86)))*Settings!$H$68,"")</f>
        <v/>
      </c>
      <c r="AF62" s="143">
        <f>IFERROR((AD62*(1-Settings!$H$17)-C62)/(AD62*(1-Settings!$H$17)),"")</f>
        <v/>
      </c>
      <c r="AG62" s="149">
        <f>IFERROR(IF(AD62="","",IF(AD62&gt;=C62/(1-SKU_Base!AF62)/(1-Settings!$H$17),"OK",IF(AD62&gt;=C62/(1-SKU_Base!AM62)/(1-Settings!$H$17),"WARN","STOP"))),"")</f>
        <v/>
      </c>
    </row>
    <row r="63" ht="17" customHeight="1" s="179">
      <c r="A63" s="146">
        <f>SKU_Base!B63</f>
        <v/>
      </c>
      <c r="B63" s="146">
        <f>SKU_Base!C63</f>
        <v/>
      </c>
      <c r="C63" s="147">
        <f>IFERROR(SKU_Base!I63,"")</f>
        <v/>
      </c>
      <c r="D63" s="164">
        <f>IFERROR(SKU_Base!T63,"")</f>
        <v/>
      </c>
      <c r="E63" s="141">
        <f>IFERROR(SKU_Base!$U63,"")</f>
        <v/>
      </c>
      <c r="F63" s="160">
        <f>IFERROR(ROUND(D63*(1-CHOOSE(MATCH(IF($E63="","Основний",$E63),{"Трафіковий","Основний","Маржинальний","Сезонний","Стратегічний"},0),Settings!$B$78,Settings!$B$80,Settings!$B$82,Settings!$B$84,Settings!$B$86))/6,2)*6,"")</f>
        <v/>
      </c>
      <c r="G63" s="142">
        <f>IFERROR(CHOOSE(MATCH(IF($E63="","Основний",$E63),{"Трафіковий","Основний","Маржинальний","Сезонний","Стратегічний"},0),Settings!$B$78,Settings!$B$80,Settings!$B$82,Settings!$B$84,Settings!$B$86),"")</f>
        <v/>
      </c>
      <c r="H63" s="148">
        <f>IFERROR((F63*(1-Settings!$B$17)-C63)/(F63*(1-Settings!$B$17)),"")</f>
        <v/>
      </c>
      <c r="I63" s="149">
        <f>IFERROR(IF(F63="","",IF(F63&gt;=C63/(1-SKU_Base!Z63)/(1-Settings!$B$17),"OK",IF(F63&gt;=C63/(1-SKU_Base!AG63)/(1-Settings!$B$17),"WARN","STOP"))),"")</f>
        <v/>
      </c>
      <c r="J63" s="160">
        <f>IFERROR(ROUND(D63*(1-CHOOSE(MATCH(IF($E63="","Основний",$E63),{"Трафіковий","Основний","Маржинальний","Сезонний","Стратегічний"},0),Settings!$C$78,Settings!$C$80,Settings!$C$82,Settings!$C$84,Settings!$C$86))/6,2)*6,"")</f>
        <v/>
      </c>
      <c r="K63" s="142">
        <f>IFERROR(CHOOSE(MATCH(IF($E63="","Основний",$E63),{"Трафіковий","Основний","Маржинальний","Сезонний","Стратегічний"},0),Settings!$C$78,Settings!$C$80,Settings!$C$82,Settings!$C$84,Settings!$C$86),"")</f>
        <v/>
      </c>
      <c r="L63" s="148">
        <f>IFERROR((J63*(1-Settings!$C$17)-C63)/(J63*(1-Settings!$C$17)),"")</f>
        <v/>
      </c>
      <c r="M63" s="149">
        <f>IFERROR(IF(J63="","",IF(J63&gt;=C63/(1-SKU_Base!AA63)/(1-Settings!$C$17),"OK",IF(J63&gt;=C63/(1-SKU_Base!AH63)/(1-Settings!$C$17),"WARN","STOP"))),"")</f>
        <v/>
      </c>
      <c r="N63" s="161">
        <f>IFERROR(ROUND(D63*(1-CHOOSE(MATCH(IF($E63="","Основний",$E63),{"Трафіковий","Основний","Маржинальний","Сезонний","Стратегічний"},0),Settings!$D$78,Settings!$D$80,Settings!$D$82,Settings!$D$84,Settings!$D$86))/6,2)*6,"")</f>
        <v/>
      </c>
      <c r="O63" s="142">
        <f>IFERROR(CHOOSE(MATCH(IF($E63="","Основний",$E63),{"Трафіковий","Основний","Маржинальний","Сезонний","Стратегічний"},0),Settings!$D$78,Settings!$D$80,Settings!$D$82,Settings!$D$84,Settings!$D$86),"")</f>
        <v/>
      </c>
      <c r="P63" s="148">
        <f>IFERROR((N63*(1-Settings!$D$17)-C63)/(N63*(1-Settings!$D$17)),"")</f>
        <v/>
      </c>
      <c r="Q63" s="149">
        <f>IFERROR(IF(N63="","",IF(N63&gt;=C63/(1-SKU_Base!AB63)/(1-Settings!$D$17),"OK",IF(N63&gt;=C63/(1-SKU_Base!AI63)/(1-Settings!$D$17),"WARN","STOP"))),"")</f>
        <v/>
      </c>
      <c r="R63" s="161">
        <f>IFERROR(ROUND(D63*(1-CHOOSE(MATCH(IF($E63="","Основний",$E63),{"Трафіковий","Основний","Маржинальний","Сезонний","Стратегічний"},0),Settings!$E$78,Settings!$E$80,Settings!$E$82,Settings!$E$84,Settings!$E$86))/6,2)*6,"")</f>
        <v/>
      </c>
      <c r="S63" s="142">
        <f>IFERROR(CHOOSE(MATCH(IF($E63="","Основний",$E63),{"Трафіковий","Основний","Маржинальний","Сезонний","Стратегічний"},0),Settings!$E$78,Settings!$E$80,Settings!$E$82,Settings!$E$84,Settings!$E$86),"")</f>
        <v/>
      </c>
      <c r="T63" s="148">
        <f>IFERROR((R63*(1-Settings!$E$17)-C63)/(R63*(1-Settings!$E$17)),"")</f>
        <v/>
      </c>
      <c r="U63" s="149">
        <f>IFERROR(IF(R63="","",IF(R63&gt;=C63/(1-SKU_Base!AC63)/(1-Settings!$E$17),"OK",IF(R63&gt;=C63/(1-SKU_Base!AJ63)/(1-Settings!$E$17),"WARN","STOP"))),"")</f>
        <v/>
      </c>
      <c r="V63" s="161">
        <f>IFERROR(ROUND(D63*(1-CHOOSE(MATCH(IF($E63="","Основний",$E63),{"Трафіковий","Основний","Маржинальний","Сезонний","Стратегічний"},0),Settings!$F$78,Settings!$F$80,Settings!$F$82,Settings!$F$84,Settings!$F$86))/6,2)*6,"")</f>
        <v/>
      </c>
      <c r="W63" s="142">
        <f>IFERROR(CHOOSE(MATCH(IF($E63="","Основний",$E63),{"Трафіковий","Основний","Маржинальний","Сезонний","Стратегічний"},0),Settings!$F$78,Settings!$F$80,Settings!$F$82,Settings!$F$84,Settings!$F$86),"")</f>
        <v/>
      </c>
      <c r="X63" s="148">
        <f>IFERROR((V63*(1-Settings!$F$17)-C63)/(V63*(1-Settings!$F$17)),"")</f>
        <v/>
      </c>
      <c r="Y63" s="149">
        <f>IFERROR(IF(V63="","",IF(V63&gt;=C63/(1-SKU_Base!AD63)/(1-Settings!$F$17),"OK",IF(V63&gt;=C63/(1-SKU_Base!AK63)/(1-Settings!$F$17),"WARN","STOP"))),"")</f>
        <v/>
      </c>
      <c r="Z63" s="161">
        <f>IFERROR(ROUND(D63*(1-CHOOSE(MATCH(IF($E63="","Основний",$E63),{"Трафіковий","Основний","Маржинальний","Сезонний","Стратегічний"},0),Settings!$G$78,Settings!$G$80,Settings!$G$82,Settings!$G$84,Settings!$G$86))/6,2)*6,"")</f>
        <v/>
      </c>
      <c r="AA63" s="142">
        <f>IFERROR(CHOOSE(MATCH(IF($E63="","Основний",$E63),{"Трафіковий","Основний","Маржинальний","Сезонний","Стратегічний"},0),Settings!$G$78,Settings!$G$80,Settings!$G$82,Settings!$G$84,Settings!$G$86),"")</f>
        <v/>
      </c>
      <c r="AB63" s="148">
        <f>IFERROR((Z63*(1-Settings!$G$17)-C63)/(Z63*(1-Settings!$G$17)),"")</f>
        <v/>
      </c>
      <c r="AC63" s="149">
        <f>IFERROR(IF(Z63="","",IF(Z63&gt;=C63/(1-SKU_Base!AE63)/(1-Settings!$G$17),"OK",IF(Z63&gt;=C63/(1-SKU_Base!AL63)/(1-Settings!$G$17),"WARN","STOP"))),"")</f>
        <v/>
      </c>
      <c r="AD63" s="161">
        <f>IFERROR(ROUND(D63*(1-CHOOSE(MATCH(IF($E63="","Основний",$E63),{"Трафіковий","Основний","Маржинальний","Сезонний","Стратегічний"},0),Settings!$H$78,Settings!$H$80,Settings!$H$82,Settings!$H$84,Settings!$H$86))*(1-Settings!$H$68)/6,2)*6,"")</f>
        <v/>
      </c>
      <c r="AE63" s="142">
        <f>IFERROR(CHOOSE(MATCH(IF($E63="","Основний",$E63),{"Трафіковий","Основний","Маржинальний","Сезонний","Стратегічний"},0),Settings!$H$78,Settings!$H$80,Settings!$H$82,Settings!$H$84,Settings!$H$86)+(1-(CHOOSE(MATCH(IF($E63="","Основний",$E63),{"Трафіковий","Основний","Маржинальний","Сезонний","Стратегічний"},0),Settings!$H$78,Settings!$H$80,Settings!$H$82,Settings!$H$84,Settings!$H$86)))*Settings!$H$68,"")</f>
        <v/>
      </c>
      <c r="AF63" s="148">
        <f>IFERROR((AD63*(1-Settings!$H$17)-C63)/(AD63*(1-Settings!$H$17)),"")</f>
        <v/>
      </c>
      <c r="AG63" s="150">
        <f>IFERROR(IF(AD63="","",IF(AD63&gt;=C63/(1-SKU_Base!AF63)/(1-Settings!$H$17),"OK",IF(AD63&gt;=C63/(1-SKU_Base!AM63)/(1-Settings!$H$17),"WARN","STOP"))),"")</f>
        <v/>
      </c>
    </row>
    <row r="64" ht="17" customHeight="1" s="179">
      <c r="A64" s="139">
        <f>SKU_Base!B64</f>
        <v/>
      </c>
      <c r="B64" s="139">
        <f>SKU_Base!C64</f>
        <v/>
      </c>
      <c r="C64" s="140">
        <f>IFERROR(SKU_Base!I64,"")</f>
        <v/>
      </c>
      <c r="D64" s="163">
        <f>IFERROR(SKU_Base!T64,"")</f>
        <v/>
      </c>
      <c r="E64" s="141">
        <f>IFERROR(SKU_Base!$U64,"")</f>
        <v/>
      </c>
      <c r="F64" s="158">
        <f>IFERROR(ROUND(D64*(1-CHOOSE(MATCH(IF($E64="","Основний",$E64),{"Трафіковий","Основний","Маржинальний","Сезонний","Стратегічний"},0),Settings!$B$78,Settings!$B$80,Settings!$B$82,Settings!$B$84,Settings!$B$86))/6,2)*6,"")</f>
        <v/>
      </c>
      <c r="G64" s="142">
        <f>IFERROR(CHOOSE(MATCH(IF($E64="","Основний",$E64),{"Трафіковий","Основний","Маржинальний","Сезонний","Стратегічний"},0),Settings!$B$78,Settings!$B$80,Settings!$B$82,Settings!$B$84,Settings!$B$86),"")</f>
        <v/>
      </c>
      <c r="H64" s="143">
        <f>IFERROR((F64*(1-Settings!$B$17)-C64)/(F64*(1-Settings!$B$17)),"")</f>
        <v/>
      </c>
      <c r="I64" s="149">
        <f>IFERROR(IF(F64="","",IF(F64&gt;=C64/(1-SKU_Base!Z64)/(1-Settings!$B$17),"OK",IF(F64&gt;=C64/(1-SKU_Base!AG64)/(1-Settings!$B$17),"WARN","STOP"))),"")</f>
        <v/>
      </c>
      <c r="J64" s="158">
        <f>IFERROR(ROUND(D64*(1-CHOOSE(MATCH(IF($E64="","Основний",$E64),{"Трафіковий","Основний","Маржинальний","Сезонний","Стратегічний"},0),Settings!$C$78,Settings!$C$80,Settings!$C$82,Settings!$C$84,Settings!$C$86))/6,2)*6,"")</f>
        <v/>
      </c>
      <c r="K64" s="142">
        <f>IFERROR(CHOOSE(MATCH(IF($E64="","Основний",$E64),{"Трафіковий","Основний","Маржинальний","Сезонний","Стратегічний"},0),Settings!$C$78,Settings!$C$80,Settings!$C$82,Settings!$C$84,Settings!$C$86),"")</f>
        <v/>
      </c>
      <c r="L64" s="143">
        <f>IFERROR((J64*(1-Settings!$C$17)-C64)/(J64*(1-Settings!$C$17)),"")</f>
        <v/>
      </c>
      <c r="M64" s="149">
        <f>IFERROR(IF(J64="","",IF(J64&gt;=C64/(1-SKU_Base!AA64)/(1-Settings!$C$17),"OK",IF(J64&gt;=C64/(1-SKU_Base!AH64)/(1-Settings!$C$17),"WARN","STOP"))),"")</f>
        <v/>
      </c>
      <c r="N64" s="159">
        <f>IFERROR(ROUND(D64*(1-CHOOSE(MATCH(IF($E64="","Основний",$E64),{"Трафіковий","Основний","Маржинальний","Сезонний","Стратегічний"},0),Settings!$D$78,Settings!$D$80,Settings!$D$82,Settings!$D$84,Settings!$D$86))/6,2)*6,"")</f>
        <v/>
      </c>
      <c r="O64" s="142">
        <f>IFERROR(CHOOSE(MATCH(IF($E64="","Основний",$E64),{"Трафіковий","Основний","Маржинальний","Сезонний","Стратегічний"},0),Settings!$D$78,Settings!$D$80,Settings!$D$82,Settings!$D$84,Settings!$D$86),"")</f>
        <v/>
      </c>
      <c r="P64" s="143">
        <f>IFERROR((N64*(1-Settings!$D$17)-C64)/(N64*(1-Settings!$D$17)),"")</f>
        <v/>
      </c>
      <c r="Q64" s="149">
        <f>IFERROR(IF(N64="","",IF(N64&gt;=C64/(1-SKU_Base!AB64)/(1-Settings!$D$17),"OK",IF(N64&gt;=C64/(1-SKU_Base!AI64)/(1-Settings!$D$17),"WARN","STOP"))),"")</f>
        <v/>
      </c>
      <c r="R64" s="159">
        <f>IFERROR(ROUND(D64*(1-CHOOSE(MATCH(IF($E64="","Основний",$E64),{"Трафіковий","Основний","Маржинальний","Сезонний","Стратегічний"},0),Settings!$E$78,Settings!$E$80,Settings!$E$82,Settings!$E$84,Settings!$E$86))/6,2)*6,"")</f>
        <v/>
      </c>
      <c r="S64" s="142">
        <f>IFERROR(CHOOSE(MATCH(IF($E64="","Основний",$E64),{"Трафіковий","Основний","Маржинальний","Сезонний","Стратегічний"},0),Settings!$E$78,Settings!$E$80,Settings!$E$82,Settings!$E$84,Settings!$E$86),"")</f>
        <v/>
      </c>
      <c r="T64" s="143">
        <f>IFERROR((R64*(1-Settings!$E$17)-C64)/(R64*(1-Settings!$E$17)),"")</f>
        <v/>
      </c>
      <c r="U64" s="149">
        <f>IFERROR(IF(R64="","",IF(R64&gt;=C64/(1-SKU_Base!AC64)/(1-Settings!$E$17),"OK",IF(R64&gt;=C64/(1-SKU_Base!AJ64)/(1-Settings!$E$17),"WARN","STOP"))),"")</f>
        <v/>
      </c>
      <c r="V64" s="159">
        <f>IFERROR(ROUND(D64*(1-CHOOSE(MATCH(IF($E64="","Основний",$E64),{"Трафіковий","Основний","Маржинальний","Сезонний","Стратегічний"},0),Settings!$F$78,Settings!$F$80,Settings!$F$82,Settings!$F$84,Settings!$F$86))/6,2)*6,"")</f>
        <v/>
      </c>
      <c r="W64" s="142">
        <f>IFERROR(CHOOSE(MATCH(IF($E64="","Основний",$E64),{"Трафіковий","Основний","Маржинальний","Сезонний","Стратегічний"},0),Settings!$F$78,Settings!$F$80,Settings!$F$82,Settings!$F$84,Settings!$F$86),"")</f>
        <v/>
      </c>
      <c r="X64" s="143">
        <f>IFERROR((V64*(1-Settings!$F$17)-C64)/(V64*(1-Settings!$F$17)),"")</f>
        <v/>
      </c>
      <c r="Y64" s="149">
        <f>IFERROR(IF(V64="","",IF(V64&gt;=C64/(1-SKU_Base!AD64)/(1-Settings!$F$17),"OK",IF(V64&gt;=C64/(1-SKU_Base!AK64)/(1-Settings!$F$17),"WARN","STOP"))),"")</f>
        <v/>
      </c>
      <c r="Z64" s="159">
        <f>IFERROR(ROUND(D64*(1-CHOOSE(MATCH(IF($E64="","Основний",$E64),{"Трафіковий","Основний","Маржинальний","Сезонний","Стратегічний"},0),Settings!$G$78,Settings!$G$80,Settings!$G$82,Settings!$G$84,Settings!$G$86))/6,2)*6,"")</f>
        <v/>
      </c>
      <c r="AA64" s="142">
        <f>IFERROR(CHOOSE(MATCH(IF($E64="","Основний",$E64),{"Трафіковий","Основний","Маржинальний","Сезонний","Стратегічний"},0),Settings!$G$78,Settings!$G$80,Settings!$G$82,Settings!$G$84,Settings!$G$86),"")</f>
        <v/>
      </c>
      <c r="AB64" s="143">
        <f>IFERROR((Z64*(1-Settings!$G$17)-C64)/(Z64*(1-Settings!$G$17)),"")</f>
        <v/>
      </c>
      <c r="AC64" s="149">
        <f>IFERROR(IF(Z64="","",IF(Z64&gt;=C64/(1-SKU_Base!AE64)/(1-Settings!$G$17),"OK",IF(Z64&gt;=C64/(1-SKU_Base!AL64)/(1-Settings!$G$17),"WARN","STOP"))),"")</f>
        <v/>
      </c>
      <c r="AD64" s="159">
        <f>IFERROR(ROUND(D64*(1-CHOOSE(MATCH(IF($E64="","Основний",$E64),{"Трафіковий","Основний","Маржинальний","Сезонний","Стратегічний"},0),Settings!$H$78,Settings!$H$80,Settings!$H$82,Settings!$H$84,Settings!$H$86))*(1-Settings!$H$68)/6,2)*6,"")</f>
        <v/>
      </c>
      <c r="AE64" s="142">
        <f>IFERROR(CHOOSE(MATCH(IF($E64="","Основний",$E64),{"Трафіковий","Основний","Маржинальний","Сезонний","Стратегічний"},0),Settings!$H$78,Settings!$H$80,Settings!$H$82,Settings!$H$84,Settings!$H$86)+(1-(CHOOSE(MATCH(IF($E64="","Основний",$E64),{"Трафіковий","Основний","Маржинальний","Сезонний","Стратегічний"},0),Settings!$H$78,Settings!$H$80,Settings!$H$82,Settings!$H$84,Settings!$H$86)))*Settings!$H$68,"")</f>
        <v/>
      </c>
      <c r="AF64" s="143">
        <f>IFERROR((AD64*(1-Settings!$H$17)-C64)/(AD64*(1-Settings!$H$17)),"")</f>
        <v/>
      </c>
      <c r="AG64" s="150">
        <f>IFERROR(IF(AD64="","",IF(AD64&gt;=C64/(1-SKU_Base!AF64)/(1-Settings!$H$17),"OK",IF(AD64&gt;=C64/(1-SKU_Base!AM64)/(1-Settings!$H$17),"WARN","STOP"))),"")</f>
        <v/>
      </c>
    </row>
    <row r="65" ht="17" customHeight="1" s="179">
      <c r="A65" s="146">
        <f>SKU_Base!B65</f>
        <v/>
      </c>
      <c r="B65" s="146">
        <f>SKU_Base!C65</f>
        <v/>
      </c>
      <c r="C65" s="147">
        <f>IFERROR(SKU_Base!I65,"")</f>
        <v/>
      </c>
      <c r="D65" s="164">
        <f>IFERROR(SKU_Base!T65,"")</f>
        <v/>
      </c>
      <c r="E65" s="141">
        <f>IFERROR(SKU_Base!$U65,"")</f>
        <v/>
      </c>
      <c r="F65" s="160">
        <f>IFERROR(ROUND(D65*(1-CHOOSE(MATCH(IF($E65="","Основний",$E65),{"Трафіковий","Основний","Маржинальний","Сезонний","Стратегічний"},0),Settings!$B$78,Settings!$B$80,Settings!$B$82,Settings!$B$84,Settings!$B$86))/6,2)*6,"")</f>
        <v/>
      </c>
      <c r="G65" s="142">
        <f>IFERROR(CHOOSE(MATCH(IF($E65="","Основний",$E65),{"Трафіковий","Основний","Маржинальний","Сезонний","Стратегічний"},0),Settings!$B$78,Settings!$B$80,Settings!$B$82,Settings!$B$84,Settings!$B$86),"")</f>
        <v/>
      </c>
      <c r="H65" s="148">
        <f>IFERROR((F65*(1-Settings!$B$17)-C65)/(F65*(1-Settings!$B$17)),"")</f>
        <v/>
      </c>
      <c r="I65" s="149">
        <f>IFERROR(IF(F65="","",IF(F65&gt;=C65/(1-SKU_Base!Z65)/(1-Settings!$B$17),"OK",IF(F65&gt;=C65/(1-SKU_Base!AG65)/(1-Settings!$B$17),"WARN","STOP"))),"")</f>
        <v/>
      </c>
      <c r="J65" s="160">
        <f>IFERROR(ROUND(D65*(1-CHOOSE(MATCH(IF($E65="","Основний",$E65),{"Трафіковий","Основний","Маржинальний","Сезонний","Стратегічний"},0),Settings!$C$78,Settings!$C$80,Settings!$C$82,Settings!$C$84,Settings!$C$86))/6,2)*6,"")</f>
        <v/>
      </c>
      <c r="K65" s="142">
        <f>IFERROR(CHOOSE(MATCH(IF($E65="","Основний",$E65),{"Трафіковий","Основний","Маржинальний","Сезонний","Стратегічний"},0),Settings!$C$78,Settings!$C$80,Settings!$C$82,Settings!$C$84,Settings!$C$86),"")</f>
        <v/>
      </c>
      <c r="L65" s="148">
        <f>IFERROR((J65*(1-Settings!$C$17)-C65)/(J65*(1-Settings!$C$17)),"")</f>
        <v/>
      </c>
      <c r="M65" s="149">
        <f>IFERROR(IF(J65="","",IF(J65&gt;=C65/(1-SKU_Base!AA65)/(1-Settings!$C$17),"OK",IF(J65&gt;=C65/(1-SKU_Base!AH65)/(1-Settings!$C$17),"WARN","STOP"))),"")</f>
        <v/>
      </c>
      <c r="N65" s="161">
        <f>IFERROR(ROUND(D65*(1-CHOOSE(MATCH(IF($E65="","Основний",$E65),{"Трафіковий","Основний","Маржинальний","Сезонний","Стратегічний"},0),Settings!$D$78,Settings!$D$80,Settings!$D$82,Settings!$D$84,Settings!$D$86))/6,2)*6,"")</f>
        <v/>
      </c>
      <c r="O65" s="142">
        <f>IFERROR(CHOOSE(MATCH(IF($E65="","Основний",$E65),{"Трафіковий","Основний","Маржинальний","Сезонний","Стратегічний"},0),Settings!$D$78,Settings!$D$80,Settings!$D$82,Settings!$D$84,Settings!$D$86),"")</f>
        <v/>
      </c>
      <c r="P65" s="148">
        <f>IFERROR((N65*(1-Settings!$D$17)-C65)/(N65*(1-Settings!$D$17)),"")</f>
        <v/>
      </c>
      <c r="Q65" s="149">
        <f>IFERROR(IF(N65="","",IF(N65&gt;=C65/(1-SKU_Base!AB65)/(1-Settings!$D$17),"OK",IF(N65&gt;=C65/(1-SKU_Base!AI65)/(1-Settings!$D$17),"WARN","STOP"))),"")</f>
        <v/>
      </c>
      <c r="R65" s="161">
        <f>IFERROR(ROUND(D65*(1-CHOOSE(MATCH(IF($E65="","Основний",$E65),{"Трафіковий","Основний","Маржинальний","Сезонний","Стратегічний"},0),Settings!$E$78,Settings!$E$80,Settings!$E$82,Settings!$E$84,Settings!$E$86))/6,2)*6,"")</f>
        <v/>
      </c>
      <c r="S65" s="142">
        <f>IFERROR(CHOOSE(MATCH(IF($E65="","Основний",$E65),{"Трафіковий","Основний","Маржинальний","Сезонний","Стратегічний"},0),Settings!$E$78,Settings!$E$80,Settings!$E$82,Settings!$E$84,Settings!$E$86),"")</f>
        <v/>
      </c>
      <c r="T65" s="148">
        <f>IFERROR((R65*(1-Settings!$E$17)-C65)/(R65*(1-Settings!$E$17)),"")</f>
        <v/>
      </c>
      <c r="U65" s="149">
        <f>IFERROR(IF(R65="","",IF(R65&gt;=C65/(1-SKU_Base!AC65)/(1-Settings!$E$17),"OK",IF(R65&gt;=C65/(1-SKU_Base!AJ65)/(1-Settings!$E$17),"WARN","STOP"))),"")</f>
        <v/>
      </c>
      <c r="V65" s="161">
        <f>IFERROR(ROUND(D65*(1-CHOOSE(MATCH(IF($E65="","Основний",$E65),{"Трафіковий","Основний","Маржинальний","Сезонний","Стратегічний"},0),Settings!$F$78,Settings!$F$80,Settings!$F$82,Settings!$F$84,Settings!$F$86))/6,2)*6,"")</f>
        <v/>
      </c>
      <c r="W65" s="142">
        <f>IFERROR(CHOOSE(MATCH(IF($E65="","Основний",$E65),{"Трафіковий","Основний","Маржинальний","Сезонний","Стратегічний"},0),Settings!$F$78,Settings!$F$80,Settings!$F$82,Settings!$F$84,Settings!$F$86),"")</f>
        <v/>
      </c>
      <c r="X65" s="148">
        <f>IFERROR((V65*(1-Settings!$F$17)-C65)/(V65*(1-Settings!$F$17)),"")</f>
        <v/>
      </c>
      <c r="Y65" s="149">
        <f>IFERROR(IF(V65="","",IF(V65&gt;=C65/(1-SKU_Base!AD65)/(1-Settings!$F$17),"OK",IF(V65&gt;=C65/(1-SKU_Base!AK65)/(1-Settings!$F$17),"WARN","STOP"))),"")</f>
        <v/>
      </c>
      <c r="Z65" s="161">
        <f>IFERROR(ROUND(D65*(1-CHOOSE(MATCH(IF($E65="","Основний",$E65),{"Трафіковий","Основний","Маржинальний","Сезонний","Стратегічний"},0),Settings!$G$78,Settings!$G$80,Settings!$G$82,Settings!$G$84,Settings!$G$86))/6,2)*6,"")</f>
        <v/>
      </c>
      <c r="AA65" s="142">
        <f>IFERROR(CHOOSE(MATCH(IF($E65="","Основний",$E65),{"Трафіковий","Основний","Маржинальний","Сезонний","Стратегічний"},0),Settings!$G$78,Settings!$G$80,Settings!$G$82,Settings!$G$84,Settings!$G$86),"")</f>
        <v/>
      </c>
      <c r="AB65" s="148">
        <f>IFERROR((Z65*(1-Settings!$G$17)-C65)/(Z65*(1-Settings!$G$17)),"")</f>
        <v/>
      </c>
      <c r="AC65" s="149">
        <f>IFERROR(IF(Z65="","",IF(Z65&gt;=C65/(1-SKU_Base!AE65)/(1-Settings!$G$17),"OK",IF(Z65&gt;=C65/(1-SKU_Base!AL65)/(1-Settings!$G$17),"WARN","STOP"))),"")</f>
        <v/>
      </c>
      <c r="AD65" s="161">
        <f>IFERROR(ROUND(D65*(1-CHOOSE(MATCH(IF($E65="","Основний",$E65),{"Трафіковий","Основний","Маржинальний","Сезонний","Стратегічний"},0),Settings!$H$78,Settings!$H$80,Settings!$H$82,Settings!$H$84,Settings!$H$86))*(1-Settings!$H$68)/6,2)*6,"")</f>
        <v/>
      </c>
      <c r="AE65" s="142">
        <f>IFERROR(CHOOSE(MATCH(IF($E65="","Основний",$E65),{"Трафіковий","Основний","Маржинальний","Сезонний","Стратегічний"},0),Settings!$H$78,Settings!$H$80,Settings!$H$82,Settings!$H$84,Settings!$H$86)+(1-(CHOOSE(MATCH(IF($E65="","Основний",$E65),{"Трафіковий","Основний","Маржинальний","Сезонний","Стратегічний"},0),Settings!$H$78,Settings!$H$80,Settings!$H$82,Settings!$H$84,Settings!$H$86)))*Settings!$H$68,"")</f>
        <v/>
      </c>
      <c r="AF65" s="148">
        <f>IFERROR((AD65*(1-Settings!$H$17)-C65)/(AD65*(1-Settings!$H$17)),"")</f>
        <v/>
      </c>
      <c r="AG65" s="150">
        <f>IFERROR(IF(AD65="","",IF(AD65&gt;=C65/(1-SKU_Base!AF65)/(1-Settings!$H$17),"OK",IF(AD65&gt;=C65/(1-SKU_Base!AM65)/(1-Settings!$H$17),"WARN","STOP"))),"")</f>
        <v/>
      </c>
    </row>
    <row r="66" ht="17" customHeight="1" s="179">
      <c r="A66" s="139">
        <f>SKU_Base!B66</f>
        <v/>
      </c>
      <c r="B66" s="139">
        <f>SKU_Base!C66</f>
        <v/>
      </c>
      <c r="C66" s="140">
        <f>IFERROR(SKU_Base!I66,"")</f>
        <v/>
      </c>
      <c r="D66" s="163">
        <f>IFERROR(SKU_Base!T66,"")</f>
        <v/>
      </c>
      <c r="E66" s="141">
        <f>IFERROR(SKU_Base!$U66,"")</f>
        <v/>
      </c>
      <c r="F66" s="158">
        <f>IFERROR(ROUND(D66*(1-CHOOSE(MATCH(IF($E66="","Основний",$E66),{"Трафіковий","Основний","Маржинальний","Сезонний","Стратегічний"},0),Settings!$B$78,Settings!$B$80,Settings!$B$82,Settings!$B$84,Settings!$B$86))/6,2)*6,"")</f>
        <v/>
      </c>
      <c r="G66" s="142">
        <f>IFERROR(CHOOSE(MATCH(IF($E66="","Основний",$E66),{"Трафіковий","Основний","Маржинальний","Сезонний","Стратегічний"},0),Settings!$B$78,Settings!$B$80,Settings!$B$82,Settings!$B$84,Settings!$B$86),"")</f>
        <v/>
      </c>
      <c r="H66" s="143">
        <f>IFERROR((F66*(1-Settings!$B$17)-C66)/(F66*(1-Settings!$B$17)),"")</f>
        <v/>
      </c>
      <c r="I66" s="149">
        <f>IFERROR(IF(F66="","",IF(F66&gt;=C66/(1-SKU_Base!Z66)/(1-Settings!$B$17),"OK",IF(F66&gt;=C66/(1-SKU_Base!AG66)/(1-Settings!$B$17),"WARN","STOP"))),"")</f>
        <v/>
      </c>
      <c r="J66" s="158">
        <f>IFERROR(ROUND(D66*(1-CHOOSE(MATCH(IF($E66="","Основний",$E66),{"Трафіковий","Основний","Маржинальний","Сезонний","Стратегічний"},0),Settings!$C$78,Settings!$C$80,Settings!$C$82,Settings!$C$84,Settings!$C$86))/6,2)*6,"")</f>
        <v/>
      </c>
      <c r="K66" s="142">
        <f>IFERROR(CHOOSE(MATCH(IF($E66="","Основний",$E66),{"Трафіковий","Основний","Маржинальний","Сезонний","Стратегічний"},0),Settings!$C$78,Settings!$C$80,Settings!$C$82,Settings!$C$84,Settings!$C$86),"")</f>
        <v/>
      </c>
      <c r="L66" s="143">
        <f>IFERROR((J66*(1-Settings!$C$17)-C66)/(J66*(1-Settings!$C$17)),"")</f>
        <v/>
      </c>
      <c r="M66" s="149">
        <f>IFERROR(IF(J66="","",IF(J66&gt;=C66/(1-SKU_Base!AA66)/(1-Settings!$C$17),"OK",IF(J66&gt;=C66/(1-SKU_Base!AH66)/(1-Settings!$C$17),"WARN","STOP"))),"")</f>
        <v/>
      </c>
      <c r="N66" s="159">
        <f>IFERROR(ROUND(D66*(1-CHOOSE(MATCH(IF($E66="","Основний",$E66),{"Трафіковий","Основний","Маржинальний","Сезонний","Стратегічний"},0),Settings!$D$78,Settings!$D$80,Settings!$D$82,Settings!$D$84,Settings!$D$86))/6,2)*6,"")</f>
        <v/>
      </c>
      <c r="O66" s="142">
        <f>IFERROR(CHOOSE(MATCH(IF($E66="","Основний",$E66),{"Трафіковий","Основний","Маржинальний","Сезонний","Стратегічний"},0),Settings!$D$78,Settings!$D$80,Settings!$D$82,Settings!$D$84,Settings!$D$86),"")</f>
        <v/>
      </c>
      <c r="P66" s="143">
        <f>IFERROR((N66*(1-Settings!$D$17)-C66)/(N66*(1-Settings!$D$17)),"")</f>
        <v/>
      </c>
      <c r="Q66" s="149">
        <f>IFERROR(IF(N66="","",IF(N66&gt;=C66/(1-SKU_Base!AB66)/(1-Settings!$D$17),"OK",IF(N66&gt;=C66/(1-SKU_Base!AI66)/(1-Settings!$D$17),"WARN","STOP"))),"")</f>
        <v/>
      </c>
      <c r="R66" s="159">
        <f>IFERROR(ROUND(D66*(1-CHOOSE(MATCH(IF($E66="","Основний",$E66),{"Трафіковий","Основний","Маржинальний","Сезонний","Стратегічний"},0),Settings!$E$78,Settings!$E$80,Settings!$E$82,Settings!$E$84,Settings!$E$86))/6,2)*6,"")</f>
        <v/>
      </c>
      <c r="S66" s="142">
        <f>IFERROR(CHOOSE(MATCH(IF($E66="","Основний",$E66),{"Трафіковий","Основний","Маржинальний","Сезонний","Стратегічний"},0),Settings!$E$78,Settings!$E$80,Settings!$E$82,Settings!$E$84,Settings!$E$86),"")</f>
        <v/>
      </c>
      <c r="T66" s="143">
        <f>IFERROR((R66*(1-Settings!$E$17)-C66)/(R66*(1-Settings!$E$17)),"")</f>
        <v/>
      </c>
      <c r="U66" s="149">
        <f>IFERROR(IF(R66="","",IF(R66&gt;=C66/(1-SKU_Base!AC66)/(1-Settings!$E$17),"OK",IF(R66&gt;=C66/(1-SKU_Base!AJ66)/(1-Settings!$E$17),"WARN","STOP"))),"")</f>
        <v/>
      </c>
      <c r="V66" s="159">
        <f>IFERROR(ROUND(D66*(1-CHOOSE(MATCH(IF($E66="","Основний",$E66),{"Трафіковий","Основний","Маржинальний","Сезонний","Стратегічний"},0),Settings!$F$78,Settings!$F$80,Settings!$F$82,Settings!$F$84,Settings!$F$86))/6,2)*6,"")</f>
        <v/>
      </c>
      <c r="W66" s="142">
        <f>IFERROR(CHOOSE(MATCH(IF($E66="","Основний",$E66),{"Трафіковий","Основний","Маржинальний","Сезонний","Стратегічний"},0),Settings!$F$78,Settings!$F$80,Settings!$F$82,Settings!$F$84,Settings!$F$86),"")</f>
        <v/>
      </c>
      <c r="X66" s="143">
        <f>IFERROR((V66*(1-Settings!$F$17)-C66)/(V66*(1-Settings!$F$17)),"")</f>
        <v/>
      </c>
      <c r="Y66" s="149">
        <f>IFERROR(IF(V66="","",IF(V66&gt;=C66/(1-SKU_Base!AD66)/(1-Settings!$F$17),"OK",IF(V66&gt;=C66/(1-SKU_Base!AK66)/(1-Settings!$F$17),"WARN","STOP"))),"")</f>
        <v/>
      </c>
      <c r="Z66" s="159">
        <f>IFERROR(ROUND(D66*(1-CHOOSE(MATCH(IF($E66="","Основний",$E66),{"Трафіковий","Основний","Маржинальний","Сезонний","Стратегічний"},0),Settings!$G$78,Settings!$G$80,Settings!$G$82,Settings!$G$84,Settings!$G$86))/6,2)*6,"")</f>
        <v/>
      </c>
      <c r="AA66" s="142">
        <f>IFERROR(CHOOSE(MATCH(IF($E66="","Основний",$E66),{"Трафіковий","Основний","Маржинальний","Сезонний","Стратегічний"},0),Settings!$G$78,Settings!$G$80,Settings!$G$82,Settings!$G$84,Settings!$G$86),"")</f>
        <v/>
      </c>
      <c r="AB66" s="143">
        <f>IFERROR((Z66*(1-Settings!$G$17)-C66)/(Z66*(1-Settings!$G$17)),"")</f>
        <v/>
      </c>
      <c r="AC66" s="149">
        <f>IFERROR(IF(Z66="","",IF(Z66&gt;=C66/(1-SKU_Base!AE66)/(1-Settings!$G$17),"OK",IF(Z66&gt;=C66/(1-SKU_Base!AL66)/(1-Settings!$G$17),"WARN","STOP"))),"")</f>
        <v/>
      </c>
      <c r="AD66" s="159">
        <f>IFERROR(ROUND(D66*(1-CHOOSE(MATCH(IF($E66="","Основний",$E66),{"Трафіковий","Основний","Маржинальний","Сезонний","Стратегічний"},0),Settings!$H$78,Settings!$H$80,Settings!$H$82,Settings!$H$84,Settings!$H$86))*(1-Settings!$H$68)/6,2)*6,"")</f>
        <v/>
      </c>
      <c r="AE66" s="142">
        <f>IFERROR(CHOOSE(MATCH(IF($E66="","Основний",$E66),{"Трафіковий","Основний","Маржинальний","Сезонний","Стратегічний"},0),Settings!$H$78,Settings!$H$80,Settings!$H$82,Settings!$H$84,Settings!$H$86)+(1-(CHOOSE(MATCH(IF($E66="","Основний",$E66),{"Трафіковий","Основний","Маржинальний","Сезонний","Стратегічний"},0),Settings!$H$78,Settings!$H$80,Settings!$H$82,Settings!$H$84,Settings!$H$86)))*Settings!$H$68,"")</f>
        <v/>
      </c>
      <c r="AF66" s="143">
        <f>IFERROR((AD66*(1-Settings!$H$17)-C66)/(AD66*(1-Settings!$H$17)),"")</f>
        <v/>
      </c>
      <c r="AG66" s="150">
        <f>IFERROR(IF(AD66="","",IF(AD66&gt;=C66/(1-SKU_Base!AF66)/(1-Settings!$H$17),"OK",IF(AD66&gt;=C66/(1-SKU_Base!AM66)/(1-Settings!$H$17),"WARN","STOP"))),"")</f>
        <v/>
      </c>
    </row>
    <row r="67" ht="17" customHeight="1" s="179">
      <c r="A67" s="146">
        <f>SKU_Base!B67</f>
        <v/>
      </c>
      <c r="B67" s="146">
        <f>SKU_Base!C67</f>
        <v/>
      </c>
      <c r="C67" s="147">
        <f>IFERROR(SKU_Base!I67,"")</f>
        <v/>
      </c>
      <c r="D67" s="164">
        <f>IFERROR(SKU_Base!T67,"")</f>
        <v/>
      </c>
      <c r="E67" s="141">
        <f>IFERROR(SKU_Base!$U67,"")</f>
        <v/>
      </c>
      <c r="F67" s="160">
        <f>IFERROR(ROUND(D67*(1-CHOOSE(MATCH(IF($E67="","Основний",$E67),{"Трафіковий","Основний","Маржинальний","Сезонний","Стратегічний"},0),Settings!$B$78,Settings!$B$80,Settings!$B$82,Settings!$B$84,Settings!$B$86))/6,2)*6,"")</f>
        <v/>
      </c>
      <c r="G67" s="142">
        <f>IFERROR(CHOOSE(MATCH(IF($E67="","Основний",$E67),{"Трафіковий","Основний","Маржинальний","Сезонний","Стратегічний"},0),Settings!$B$78,Settings!$B$80,Settings!$B$82,Settings!$B$84,Settings!$B$86),"")</f>
        <v/>
      </c>
      <c r="H67" s="148">
        <f>IFERROR((F67*(1-Settings!$B$17)-C67)/(F67*(1-Settings!$B$17)),"")</f>
        <v/>
      </c>
      <c r="I67" s="149">
        <f>IFERROR(IF(F67="","",IF(F67&gt;=C67/(1-SKU_Base!Z67)/(1-Settings!$B$17),"OK",IF(F67&gt;=C67/(1-SKU_Base!AG67)/(1-Settings!$B$17),"WARN","STOP"))),"")</f>
        <v/>
      </c>
      <c r="J67" s="160">
        <f>IFERROR(ROUND(D67*(1-CHOOSE(MATCH(IF($E67="","Основний",$E67),{"Трафіковий","Основний","Маржинальний","Сезонний","Стратегічний"},0),Settings!$C$78,Settings!$C$80,Settings!$C$82,Settings!$C$84,Settings!$C$86))/6,2)*6,"")</f>
        <v/>
      </c>
      <c r="K67" s="142">
        <f>IFERROR(CHOOSE(MATCH(IF($E67="","Основний",$E67),{"Трафіковий","Основний","Маржинальний","Сезонний","Стратегічний"},0),Settings!$C$78,Settings!$C$80,Settings!$C$82,Settings!$C$84,Settings!$C$86),"")</f>
        <v/>
      </c>
      <c r="L67" s="148">
        <f>IFERROR((J67*(1-Settings!$C$17)-C67)/(J67*(1-Settings!$C$17)),"")</f>
        <v/>
      </c>
      <c r="M67" s="149">
        <f>IFERROR(IF(J67="","",IF(J67&gt;=C67/(1-SKU_Base!AA67)/(1-Settings!$C$17),"OK",IF(J67&gt;=C67/(1-SKU_Base!AH67)/(1-Settings!$C$17),"WARN","STOP"))),"")</f>
        <v/>
      </c>
      <c r="N67" s="161">
        <f>IFERROR(ROUND(D67*(1-CHOOSE(MATCH(IF($E67="","Основний",$E67),{"Трафіковий","Основний","Маржинальний","Сезонний","Стратегічний"},0),Settings!$D$78,Settings!$D$80,Settings!$D$82,Settings!$D$84,Settings!$D$86))/6,2)*6,"")</f>
        <v/>
      </c>
      <c r="O67" s="142">
        <f>IFERROR(CHOOSE(MATCH(IF($E67="","Основний",$E67),{"Трафіковий","Основний","Маржинальний","Сезонний","Стратегічний"},0),Settings!$D$78,Settings!$D$80,Settings!$D$82,Settings!$D$84,Settings!$D$86),"")</f>
        <v/>
      </c>
      <c r="P67" s="148">
        <f>IFERROR((N67*(1-Settings!$D$17)-C67)/(N67*(1-Settings!$D$17)),"")</f>
        <v/>
      </c>
      <c r="Q67" s="149">
        <f>IFERROR(IF(N67="","",IF(N67&gt;=C67/(1-SKU_Base!AB67)/(1-Settings!$D$17),"OK",IF(N67&gt;=C67/(1-SKU_Base!AI67)/(1-Settings!$D$17),"WARN","STOP"))),"")</f>
        <v/>
      </c>
      <c r="R67" s="161">
        <f>IFERROR(ROUND(D67*(1-CHOOSE(MATCH(IF($E67="","Основний",$E67),{"Трафіковий","Основний","Маржинальний","Сезонний","Стратегічний"},0),Settings!$E$78,Settings!$E$80,Settings!$E$82,Settings!$E$84,Settings!$E$86))/6,2)*6,"")</f>
        <v/>
      </c>
      <c r="S67" s="142">
        <f>IFERROR(CHOOSE(MATCH(IF($E67="","Основний",$E67),{"Трафіковий","Основний","Маржинальний","Сезонний","Стратегічний"},0),Settings!$E$78,Settings!$E$80,Settings!$E$82,Settings!$E$84,Settings!$E$86),"")</f>
        <v/>
      </c>
      <c r="T67" s="148">
        <f>IFERROR((R67*(1-Settings!$E$17)-C67)/(R67*(1-Settings!$E$17)),"")</f>
        <v/>
      </c>
      <c r="U67" s="149">
        <f>IFERROR(IF(R67="","",IF(R67&gt;=C67/(1-SKU_Base!AC67)/(1-Settings!$E$17),"OK",IF(R67&gt;=C67/(1-SKU_Base!AJ67)/(1-Settings!$E$17),"WARN","STOP"))),"")</f>
        <v/>
      </c>
      <c r="V67" s="161">
        <f>IFERROR(ROUND(D67*(1-CHOOSE(MATCH(IF($E67="","Основний",$E67),{"Трафіковий","Основний","Маржинальний","Сезонний","Стратегічний"},0),Settings!$F$78,Settings!$F$80,Settings!$F$82,Settings!$F$84,Settings!$F$86))/6,2)*6,"")</f>
        <v/>
      </c>
      <c r="W67" s="142">
        <f>IFERROR(CHOOSE(MATCH(IF($E67="","Основний",$E67),{"Трафіковий","Основний","Маржинальний","Сезонний","Стратегічний"},0),Settings!$F$78,Settings!$F$80,Settings!$F$82,Settings!$F$84,Settings!$F$86),"")</f>
        <v/>
      </c>
      <c r="X67" s="148">
        <f>IFERROR((V67*(1-Settings!$F$17)-C67)/(V67*(1-Settings!$F$17)),"")</f>
        <v/>
      </c>
      <c r="Y67" s="149">
        <f>IFERROR(IF(V67="","",IF(V67&gt;=C67/(1-SKU_Base!AD67)/(1-Settings!$F$17),"OK",IF(V67&gt;=C67/(1-SKU_Base!AK67)/(1-Settings!$F$17),"WARN","STOP"))),"")</f>
        <v/>
      </c>
      <c r="Z67" s="161">
        <f>IFERROR(ROUND(D67*(1-CHOOSE(MATCH(IF($E67="","Основний",$E67),{"Трафіковий","Основний","Маржинальний","Сезонний","Стратегічний"},0),Settings!$G$78,Settings!$G$80,Settings!$G$82,Settings!$G$84,Settings!$G$86))/6,2)*6,"")</f>
        <v/>
      </c>
      <c r="AA67" s="142">
        <f>IFERROR(CHOOSE(MATCH(IF($E67="","Основний",$E67),{"Трафіковий","Основний","Маржинальний","Сезонний","Стратегічний"},0),Settings!$G$78,Settings!$G$80,Settings!$G$82,Settings!$G$84,Settings!$G$86),"")</f>
        <v/>
      </c>
      <c r="AB67" s="148">
        <f>IFERROR((Z67*(1-Settings!$G$17)-C67)/(Z67*(1-Settings!$G$17)),"")</f>
        <v/>
      </c>
      <c r="AC67" s="149">
        <f>IFERROR(IF(Z67="","",IF(Z67&gt;=C67/(1-SKU_Base!AE67)/(1-Settings!$G$17),"OK",IF(Z67&gt;=C67/(1-SKU_Base!AL67)/(1-Settings!$G$17),"WARN","STOP"))),"")</f>
        <v/>
      </c>
      <c r="AD67" s="161">
        <f>IFERROR(ROUND(D67*(1-CHOOSE(MATCH(IF($E67="","Основний",$E67),{"Трафіковий","Основний","Маржинальний","Сезонний","Стратегічний"},0),Settings!$H$78,Settings!$H$80,Settings!$H$82,Settings!$H$84,Settings!$H$86))*(1-Settings!$H$68)/6,2)*6,"")</f>
        <v/>
      </c>
      <c r="AE67" s="142">
        <f>IFERROR(CHOOSE(MATCH(IF($E67="","Основний",$E67),{"Трафіковий","Основний","Маржинальний","Сезонний","Стратегічний"},0),Settings!$H$78,Settings!$H$80,Settings!$H$82,Settings!$H$84,Settings!$H$86)+(1-(CHOOSE(MATCH(IF($E67="","Основний",$E67),{"Трафіковий","Основний","Маржинальний","Сезонний","Стратегічний"},0),Settings!$H$78,Settings!$H$80,Settings!$H$82,Settings!$H$84,Settings!$H$86)))*Settings!$H$68,"")</f>
        <v/>
      </c>
      <c r="AF67" s="148">
        <f>IFERROR((AD67*(1-Settings!$H$17)-C67)/(AD67*(1-Settings!$H$17)),"")</f>
        <v/>
      </c>
      <c r="AG67" s="150">
        <f>IFERROR(IF(AD67="","",IF(AD67&gt;=C67/(1-SKU_Base!AF67)/(1-Settings!$H$17),"OK",IF(AD67&gt;=C67/(1-SKU_Base!AM67)/(1-Settings!$H$17),"WARN","STOP"))),"")</f>
        <v/>
      </c>
    </row>
    <row r="68" ht="17" customHeight="1" s="179">
      <c r="A68" s="139">
        <f>SKU_Base!B68</f>
        <v/>
      </c>
      <c r="B68" s="139">
        <f>SKU_Base!C68</f>
        <v/>
      </c>
      <c r="C68" s="140">
        <f>IFERROR(SKU_Base!I68,"")</f>
        <v/>
      </c>
      <c r="D68" s="163">
        <f>IFERROR(SKU_Base!T68,"")</f>
        <v/>
      </c>
      <c r="E68" s="141">
        <f>IFERROR(SKU_Base!$U68,"")</f>
        <v/>
      </c>
      <c r="F68" s="158">
        <f>IFERROR(ROUND(D68*(1-CHOOSE(MATCH(IF($E68="","Основний",$E68),{"Трафіковий","Основний","Маржинальний","Сезонний","Стратегічний"},0),Settings!$B$78,Settings!$B$80,Settings!$B$82,Settings!$B$84,Settings!$B$86))/6,2)*6,"")</f>
        <v/>
      </c>
      <c r="G68" s="142">
        <f>IFERROR(CHOOSE(MATCH(IF($E68="","Основний",$E68),{"Трафіковий","Основний","Маржинальний","Сезонний","Стратегічний"},0),Settings!$B$78,Settings!$B$80,Settings!$B$82,Settings!$B$84,Settings!$B$86),"")</f>
        <v/>
      </c>
      <c r="H68" s="143">
        <f>IFERROR((F68*(1-Settings!$B$17)-C68)/(F68*(1-Settings!$B$17)),"")</f>
        <v/>
      </c>
      <c r="I68" s="149">
        <f>IFERROR(IF(F68="","",IF(F68&gt;=C68/(1-SKU_Base!Z68)/(1-Settings!$B$17),"OK",IF(F68&gt;=C68/(1-SKU_Base!AG68)/(1-Settings!$B$17),"WARN","STOP"))),"")</f>
        <v/>
      </c>
      <c r="J68" s="158">
        <f>IFERROR(ROUND(D68*(1-CHOOSE(MATCH(IF($E68="","Основний",$E68),{"Трафіковий","Основний","Маржинальний","Сезонний","Стратегічний"},0),Settings!$C$78,Settings!$C$80,Settings!$C$82,Settings!$C$84,Settings!$C$86))/6,2)*6,"")</f>
        <v/>
      </c>
      <c r="K68" s="142">
        <f>IFERROR(CHOOSE(MATCH(IF($E68="","Основний",$E68),{"Трафіковий","Основний","Маржинальний","Сезонний","Стратегічний"},0),Settings!$C$78,Settings!$C$80,Settings!$C$82,Settings!$C$84,Settings!$C$86),"")</f>
        <v/>
      </c>
      <c r="L68" s="143">
        <f>IFERROR((J68*(1-Settings!$C$17)-C68)/(J68*(1-Settings!$C$17)),"")</f>
        <v/>
      </c>
      <c r="M68" s="149">
        <f>IFERROR(IF(J68="","",IF(J68&gt;=C68/(1-SKU_Base!AA68)/(1-Settings!$C$17),"OK",IF(J68&gt;=C68/(1-SKU_Base!AH68)/(1-Settings!$C$17),"WARN","STOP"))),"")</f>
        <v/>
      </c>
      <c r="N68" s="159">
        <f>IFERROR(ROUND(D68*(1-CHOOSE(MATCH(IF($E68="","Основний",$E68),{"Трафіковий","Основний","Маржинальний","Сезонний","Стратегічний"},0),Settings!$D$78,Settings!$D$80,Settings!$D$82,Settings!$D$84,Settings!$D$86))/6,2)*6,"")</f>
        <v/>
      </c>
      <c r="O68" s="142">
        <f>IFERROR(CHOOSE(MATCH(IF($E68="","Основний",$E68),{"Трафіковий","Основний","Маржинальний","Сезонний","Стратегічний"},0),Settings!$D$78,Settings!$D$80,Settings!$D$82,Settings!$D$84,Settings!$D$86),"")</f>
        <v/>
      </c>
      <c r="P68" s="143">
        <f>IFERROR((N68*(1-Settings!$D$17)-C68)/(N68*(1-Settings!$D$17)),"")</f>
        <v/>
      </c>
      <c r="Q68" s="149">
        <f>IFERROR(IF(N68="","",IF(N68&gt;=C68/(1-SKU_Base!AB68)/(1-Settings!$D$17),"OK",IF(N68&gt;=C68/(1-SKU_Base!AI68)/(1-Settings!$D$17),"WARN","STOP"))),"")</f>
        <v/>
      </c>
      <c r="R68" s="159">
        <f>IFERROR(ROUND(D68*(1-CHOOSE(MATCH(IF($E68="","Основний",$E68),{"Трафіковий","Основний","Маржинальний","Сезонний","Стратегічний"},0),Settings!$E$78,Settings!$E$80,Settings!$E$82,Settings!$E$84,Settings!$E$86))/6,2)*6,"")</f>
        <v/>
      </c>
      <c r="S68" s="142">
        <f>IFERROR(CHOOSE(MATCH(IF($E68="","Основний",$E68),{"Трафіковий","Основний","Маржинальний","Сезонний","Стратегічний"},0),Settings!$E$78,Settings!$E$80,Settings!$E$82,Settings!$E$84,Settings!$E$86),"")</f>
        <v/>
      </c>
      <c r="T68" s="143">
        <f>IFERROR((R68*(1-Settings!$E$17)-C68)/(R68*(1-Settings!$E$17)),"")</f>
        <v/>
      </c>
      <c r="U68" s="149">
        <f>IFERROR(IF(R68="","",IF(R68&gt;=C68/(1-SKU_Base!AC68)/(1-Settings!$E$17),"OK",IF(R68&gt;=C68/(1-SKU_Base!AJ68)/(1-Settings!$E$17),"WARN","STOP"))),"")</f>
        <v/>
      </c>
      <c r="V68" s="159">
        <f>IFERROR(ROUND(D68*(1-CHOOSE(MATCH(IF($E68="","Основний",$E68),{"Трафіковий","Основний","Маржинальний","Сезонний","Стратегічний"},0),Settings!$F$78,Settings!$F$80,Settings!$F$82,Settings!$F$84,Settings!$F$86))/6,2)*6,"")</f>
        <v/>
      </c>
      <c r="W68" s="142">
        <f>IFERROR(CHOOSE(MATCH(IF($E68="","Основний",$E68),{"Трафіковий","Основний","Маржинальний","Сезонний","Стратегічний"},0),Settings!$F$78,Settings!$F$80,Settings!$F$82,Settings!$F$84,Settings!$F$86),"")</f>
        <v/>
      </c>
      <c r="X68" s="143">
        <f>IFERROR((V68*(1-Settings!$F$17)-C68)/(V68*(1-Settings!$F$17)),"")</f>
        <v/>
      </c>
      <c r="Y68" s="149">
        <f>IFERROR(IF(V68="","",IF(V68&gt;=C68/(1-SKU_Base!AD68)/(1-Settings!$F$17),"OK",IF(V68&gt;=C68/(1-SKU_Base!AK68)/(1-Settings!$F$17),"WARN","STOP"))),"")</f>
        <v/>
      </c>
      <c r="Z68" s="159">
        <f>IFERROR(ROUND(D68*(1-CHOOSE(MATCH(IF($E68="","Основний",$E68),{"Трафіковий","Основний","Маржинальний","Сезонний","Стратегічний"},0),Settings!$G$78,Settings!$G$80,Settings!$G$82,Settings!$G$84,Settings!$G$86))/6,2)*6,"")</f>
        <v/>
      </c>
      <c r="AA68" s="142">
        <f>IFERROR(CHOOSE(MATCH(IF($E68="","Основний",$E68),{"Трафіковий","Основний","Маржинальний","Сезонний","Стратегічний"},0),Settings!$G$78,Settings!$G$80,Settings!$G$82,Settings!$G$84,Settings!$G$86),"")</f>
        <v/>
      </c>
      <c r="AB68" s="143">
        <f>IFERROR((Z68*(1-Settings!$G$17)-C68)/(Z68*(1-Settings!$G$17)),"")</f>
        <v/>
      </c>
      <c r="AC68" s="149">
        <f>IFERROR(IF(Z68="","",IF(Z68&gt;=C68/(1-SKU_Base!AE68)/(1-Settings!$G$17),"OK",IF(Z68&gt;=C68/(1-SKU_Base!AL68)/(1-Settings!$G$17),"WARN","STOP"))),"")</f>
        <v/>
      </c>
      <c r="AD68" s="159">
        <f>IFERROR(ROUND(D68*(1-CHOOSE(MATCH(IF($E68="","Основний",$E68),{"Трафіковий","Основний","Маржинальний","Сезонний","Стратегічний"},0),Settings!$H$78,Settings!$H$80,Settings!$H$82,Settings!$H$84,Settings!$H$86))*(1-Settings!$H$68)/6,2)*6,"")</f>
        <v/>
      </c>
      <c r="AE68" s="142">
        <f>IFERROR(CHOOSE(MATCH(IF($E68="","Основний",$E68),{"Трафіковий","Основний","Маржинальний","Сезонний","Стратегічний"},0),Settings!$H$78,Settings!$H$80,Settings!$H$82,Settings!$H$84,Settings!$H$86)+(1-(CHOOSE(MATCH(IF($E68="","Основний",$E68),{"Трафіковий","Основний","Маржинальний","Сезонний","Стратегічний"},0),Settings!$H$78,Settings!$H$80,Settings!$H$82,Settings!$H$84,Settings!$H$86)))*Settings!$H$68,"")</f>
        <v/>
      </c>
      <c r="AF68" s="143">
        <f>IFERROR((AD68*(1-Settings!$H$17)-C68)/(AD68*(1-Settings!$H$17)),"")</f>
        <v/>
      </c>
      <c r="AG68" s="150">
        <f>IFERROR(IF(AD68="","",IF(AD68&gt;=C68/(1-SKU_Base!AF68)/(1-Settings!$H$17),"OK",IF(AD68&gt;=C68/(1-SKU_Base!AM68)/(1-Settings!$H$17),"WARN","STOP"))),"")</f>
        <v/>
      </c>
    </row>
    <row r="69" ht="17" customHeight="1" s="179">
      <c r="A69" s="146">
        <f>SKU_Base!B69</f>
        <v/>
      </c>
      <c r="B69" s="146">
        <f>SKU_Base!C69</f>
        <v/>
      </c>
      <c r="C69" s="147">
        <f>IFERROR(SKU_Base!I69,"")</f>
        <v/>
      </c>
      <c r="D69" s="164">
        <f>IFERROR(SKU_Base!T69,"")</f>
        <v/>
      </c>
      <c r="E69" s="141">
        <f>IFERROR(SKU_Base!$U69,"")</f>
        <v/>
      </c>
      <c r="F69" s="160">
        <f>IFERROR(ROUND(D69*(1-CHOOSE(MATCH(IF($E69="","Основний",$E69),{"Трафіковий","Основний","Маржинальний","Сезонний","Стратегічний"},0),Settings!$B$78,Settings!$B$80,Settings!$B$82,Settings!$B$84,Settings!$B$86))/6,2)*6,"")</f>
        <v/>
      </c>
      <c r="G69" s="142">
        <f>IFERROR(CHOOSE(MATCH(IF($E69="","Основний",$E69),{"Трафіковий","Основний","Маржинальний","Сезонний","Стратегічний"},0),Settings!$B$78,Settings!$B$80,Settings!$B$82,Settings!$B$84,Settings!$B$86),"")</f>
        <v/>
      </c>
      <c r="H69" s="148">
        <f>IFERROR((F69*(1-Settings!$B$17)-C69)/(F69*(1-Settings!$B$17)),"")</f>
        <v/>
      </c>
      <c r="I69" s="149">
        <f>IFERROR(IF(F69="","",IF(F69&gt;=C69/(1-SKU_Base!Z69)/(1-Settings!$B$17),"OK",IF(F69&gt;=C69/(1-SKU_Base!AG69)/(1-Settings!$B$17),"WARN","STOP"))),"")</f>
        <v/>
      </c>
      <c r="J69" s="160">
        <f>IFERROR(ROUND(D69*(1-CHOOSE(MATCH(IF($E69="","Основний",$E69),{"Трафіковий","Основний","Маржинальний","Сезонний","Стратегічний"},0),Settings!$C$78,Settings!$C$80,Settings!$C$82,Settings!$C$84,Settings!$C$86))/6,2)*6,"")</f>
        <v/>
      </c>
      <c r="K69" s="142">
        <f>IFERROR(CHOOSE(MATCH(IF($E69="","Основний",$E69),{"Трафіковий","Основний","Маржинальний","Сезонний","Стратегічний"},0),Settings!$C$78,Settings!$C$80,Settings!$C$82,Settings!$C$84,Settings!$C$86),"")</f>
        <v/>
      </c>
      <c r="L69" s="148">
        <f>IFERROR((J69*(1-Settings!$C$17)-C69)/(J69*(1-Settings!$C$17)),"")</f>
        <v/>
      </c>
      <c r="M69" s="149">
        <f>IFERROR(IF(J69="","",IF(J69&gt;=C69/(1-SKU_Base!AA69)/(1-Settings!$C$17),"OK",IF(J69&gt;=C69/(1-SKU_Base!AH69)/(1-Settings!$C$17),"WARN","STOP"))),"")</f>
        <v/>
      </c>
      <c r="N69" s="161">
        <f>IFERROR(ROUND(D69*(1-CHOOSE(MATCH(IF($E69="","Основний",$E69),{"Трафіковий","Основний","Маржинальний","Сезонний","Стратегічний"},0),Settings!$D$78,Settings!$D$80,Settings!$D$82,Settings!$D$84,Settings!$D$86))/6,2)*6,"")</f>
        <v/>
      </c>
      <c r="O69" s="142">
        <f>IFERROR(CHOOSE(MATCH(IF($E69="","Основний",$E69),{"Трафіковий","Основний","Маржинальний","Сезонний","Стратегічний"},0),Settings!$D$78,Settings!$D$80,Settings!$D$82,Settings!$D$84,Settings!$D$86),"")</f>
        <v/>
      </c>
      <c r="P69" s="148">
        <f>IFERROR((N69*(1-Settings!$D$17)-C69)/(N69*(1-Settings!$D$17)),"")</f>
        <v/>
      </c>
      <c r="Q69" s="149">
        <f>IFERROR(IF(N69="","",IF(N69&gt;=C69/(1-SKU_Base!AB69)/(1-Settings!$D$17),"OK",IF(N69&gt;=C69/(1-SKU_Base!AI69)/(1-Settings!$D$17),"WARN","STOP"))),"")</f>
        <v/>
      </c>
      <c r="R69" s="161">
        <f>IFERROR(ROUND(D69*(1-CHOOSE(MATCH(IF($E69="","Основний",$E69),{"Трафіковий","Основний","Маржинальний","Сезонний","Стратегічний"},0),Settings!$E$78,Settings!$E$80,Settings!$E$82,Settings!$E$84,Settings!$E$86))/6,2)*6,"")</f>
        <v/>
      </c>
      <c r="S69" s="142">
        <f>IFERROR(CHOOSE(MATCH(IF($E69="","Основний",$E69),{"Трафіковий","Основний","Маржинальний","Сезонний","Стратегічний"},0),Settings!$E$78,Settings!$E$80,Settings!$E$82,Settings!$E$84,Settings!$E$86),"")</f>
        <v/>
      </c>
      <c r="T69" s="148">
        <f>IFERROR((R69*(1-Settings!$E$17)-C69)/(R69*(1-Settings!$E$17)),"")</f>
        <v/>
      </c>
      <c r="U69" s="149">
        <f>IFERROR(IF(R69="","",IF(R69&gt;=C69/(1-SKU_Base!AC69)/(1-Settings!$E$17),"OK",IF(R69&gt;=C69/(1-SKU_Base!AJ69)/(1-Settings!$E$17),"WARN","STOP"))),"")</f>
        <v/>
      </c>
      <c r="V69" s="161">
        <f>IFERROR(ROUND(D69*(1-CHOOSE(MATCH(IF($E69="","Основний",$E69),{"Трафіковий","Основний","Маржинальний","Сезонний","Стратегічний"},0),Settings!$F$78,Settings!$F$80,Settings!$F$82,Settings!$F$84,Settings!$F$86))/6,2)*6,"")</f>
        <v/>
      </c>
      <c r="W69" s="142">
        <f>IFERROR(CHOOSE(MATCH(IF($E69="","Основний",$E69),{"Трафіковий","Основний","Маржинальний","Сезонний","Стратегічний"},0),Settings!$F$78,Settings!$F$80,Settings!$F$82,Settings!$F$84,Settings!$F$86),"")</f>
        <v/>
      </c>
      <c r="X69" s="148">
        <f>IFERROR((V69*(1-Settings!$F$17)-C69)/(V69*(1-Settings!$F$17)),"")</f>
        <v/>
      </c>
      <c r="Y69" s="149">
        <f>IFERROR(IF(V69="","",IF(V69&gt;=C69/(1-SKU_Base!AD69)/(1-Settings!$F$17),"OK",IF(V69&gt;=C69/(1-SKU_Base!AK69)/(1-Settings!$F$17),"WARN","STOP"))),"")</f>
        <v/>
      </c>
      <c r="Z69" s="161">
        <f>IFERROR(ROUND(D69*(1-CHOOSE(MATCH(IF($E69="","Основний",$E69),{"Трафіковий","Основний","Маржинальний","Сезонний","Стратегічний"},0),Settings!$G$78,Settings!$G$80,Settings!$G$82,Settings!$G$84,Settings!$G$86))/6,2)*6,"")</f>
        <v/>
      </c>
      <c r="AA69" s="142">
        <f>IFERROR(CHOOSE(MATCH(IF($E69="","Основний",$E69),{"Трафіковий","Основний","Маржинальний","Сезонний","Стратегічний"},0),Settings!$G$78,Settings!$G$80,Settings!$G$82,Settings!$G$84,Settings!$G$86),"")</f>
        <v/>
      </c>
      <c r="AB69" s="148">
        <f>IFERROR((Z69*(1-Settings!$G$17)-C69)/(Z69*(1-Settings!$G$17)),"")</f>
        <v/>
      </c>
      <c r="AC69" s="149">
        <f>IFERROR(IF(Z69="","",IF(Z69&gt;=C69/(1-SKU_Base!AE69)/(1-Settings!$G$17),"OK",IF(Z69&gt;=C69/(1-SKU_Base!AL69)/(1-Settings!$G$17),"WARN","STOP"))),"")</f>
        <v/>
      </c>
      <c r="AD69" s="161">
        <f>IFERROR(ROUND(D69*(1-CHOOSE(MATCH(IF($E69="","Основний",$E69),{"Трафіковий","Основний","Маржинальний","Сезонний","Стратегічний"},0),Settings!$H$78,Settings!$H$80,Settings!$H$82,Settings!$H$84,Settings!$H$86))*(1-Settings!$H$68)/6,2)*6,"")</f>
        <v/>
      </c>
      <c r="AE69" s="142">
        <f>IFERROR(CHOOSE(MATCH(IF($E69="","Основний",$E69),{"Трафіковий","Основний","Маржинальний","Сезонний","Стратегічний"},0),Settings!$H$78,Settings!$H$80,Settings!$H$82,Settings!$H$84,Settings!$H$86)+(1-(CHOOSE(MATCH(IF($E69="","Основний",$E69),{"Трафіковий","Основний","Маржинальний","Сезонний","Стратегічний"},0),Settings!$H$78,Settings!$H$80,Settings!$H$82,Settings!$H$84,Settings!$H$86)))*Settings!$H$68,"")</f>
        <v/>
      </c>
      <c r="AF69" s="148">
        <f>IFERROR((AD69*(1-Settings!$H$17)-C69)/(AD69*(1-Settings!$H$17)),"")</f>
        <v/>
      </c>
      <c r="AG69" s="150">
        <f>IFERROR(IF(AD69="","",IF(AD69&gt;=C69/(1-SKU_Base!AF69)/(1-Settings!$H$17),"OK",IF(AD69&gt;=C69/(1-SKU_Base!AM69)/(1-Settings!$H$17),"WARN","STOP"))),"")</f>
        <v/>
      </c>
    </row>
    <row r="70" ht="17" customHeight="1" s="179">
      <c r="A70" s="139">
        <f>SKU_Base!B70</f>
        <v/>
      </c>
      <c r="B70" s="139">
        <f>SKU_Base!C70</f>
        <v/>
      </c>
      <c r="C70" s="140">
        <f>IFERROR(SKU_Base!I70,"")</f>
        <v/>
      </c>
      <c r="D70" s="163">
        <f>IFERROR(SKU_Base!T70,"")</f>
        <v/>
      </c>
      <c r="E70" s="141">
        <f>IFERROR(SKU_Base!$U70,"")</f>
        <v/>
      </c>
      <c r="F70" s="158">
        <f>IFERROR(ROUND(D70*(1-CHOOSE(MATCH(IF($E70="","Основний",$E70),{"Трафіковий","Основний","Маржинальний","Сезонний","Стратегічний"},0),Settings!$B$78,Settings!$B$80,Settings!$B$82,Settings!$B$84,Settings!$B$86))/6,2)*6,"")</f>
        <v/>
      </c>
      <c r="G70" s="142">
        <f>IFERROR(CHOOSE(MATCH(IF($E70="","Основний",$E70),{"Трафіковий","Основний","Маржинальний","Сезонний","Стратегічний"},0),Settings!$B$78,Settings!$B$80,Settings!$B$82,Settings!$B$84,Settings!$B$86),"")</f>
        <v/>
      </c>
      <c r="H70" s="143">
        <f>IFERROR((F70*(1-Settings!$B$17)-C70)/(F70*(1-Settings!$B$17)),"")</f>
        <v/>
      </c>
      <c r="I70" s="150">
        <f>IFERROR(IF(F70="","",IF(F70&gt;=C70/(1-SKU_Base!Z70)/(1-Settings!$B$17),"OK",IF(F70&gt;=C70/(1-SKU_Base!AG70)/(1-Settings!$B$17),"WARN","STOP"))),"")</f>
        <v/>
      </c>
      <c r="J70" s="158">
        <f>IFERROR(ROUND(D70*(1-CHOOSE(MATCH(IF($E70="","Основний",$E70),{"Трафіковий","Основний","Маржинальний","Сезонний","Стратегічний"},0),Settings!$C$78,Settings!$C$80,Settings!$C$82,Settings!$C$84,Settings!$C$86))/6,2)*6,"")</f>
        <v/>
      </c>
      <c r="K70" s="142">
        <f>IFERROR(CHOOSE(MATCH(IF($E70="","Основний",$E70),{"Трафіковий","Основний","Маржинальний","Сезонний","Стратегічний"},0),Settings!$C$78,Settings!$C$80,Settings!$C$82,Settings!$C$84,Settings!$C$86),"")</f>
        <v/>
      </c>
      <c r="L70" s="143">
        <f>IFERROR((J70*(1-Settings!$C$17)-C70)/(J70*(1-Settings!$C$17)),"")</f>
        <v/>
      </c>
      <c r="M70" s="149">
        <f>IFERROR(IF(J70="","",IF(J70&gt;=C70/(1-SKU_Base!AA70)/(1-Settings!$C$17),"OK",IF(J70&gt;=C70/(1-SKU_Base!AH70)/(1-Settings!$C$17),"WARN","STOP"))),"")</f>
        <v/>
      </c>
      <c r="N70" s="159">
        <f>IFERROR(ROUND(D70*(1-CHOOSE(MATCH(IF($E70="","Основний",$E70),{"Трафіковий","Основний","Маржинальний","Сезонний","Стратегічний"},0),Settings!$D$78,Settings!$D$80,Settings!$D$82,Settings!$D$84,Settings!$D$86))/6,2)*6,"")</f>
        <v/>
      </c>
      <c r="O70" s="142">
        <f>IFERROR(CHOOSE(MATCH(IF($E70="","Основний",$E70),{"Трафіковий","Основний","Маржинальний","Сезонний","Стратегічний"},0),Settings!$D$78,Settings!$D$80,Settings!$D$82,Settings!$D$84,Settings!$D$86),"")</f>
        <v/>
      </c>
      <c r="P70" s="143">
        <f>IFERROR((N70*(1-Settings!$D$17)-C70)/(N70*(1-Settings!$D$17)),"")</f>
        <v/>
      </c>
      <c r="Q70" s="149">
        <f>IFERROR(IF(N70="","",IF(N70&gt;=C70/(1-SKU_Base!AB70)/(1-Settings!$D$17),"OK",IF(N70&gt;=C70/(1-SKU_Base!AI70)/(1-Settings!$D$17),"WARN","STOP"))),"")</f>
        <v/>
      </c>
      <c r="R70" s="159">
        <f>IFERROR(ROUND(D70*(1-CHOOSE(MATCH(IF($E70="","Основний",$E70),{"Трафіковий","Основний","Маржинальний","Сезонний","Стратегічний"},0),Settings!$E$78,Settings!$E$80,Settings!$E$82,Settings!$E$84,Settings!$E$86))/6,2)*6,"")</f>
        <v/>
      </c>
      <c r="S70" s="142">
        <f>IFERROR(CHOOSE(MATCH(IF($E70="","Основний",$E70),{"Трафіковий","Основний","Маржинальний","Сезонний","Стратегічний"},0),Settings!$E$78,Settings!$E$80,Settings!$E$82,Settings!$E$84,Settings!$E$86),"")</f>
        <v/>
      </c>
      <c r="T70" s="143">
        <f>IFERROR((R70*(1-Settings!$E$17)-C70)/(R70*(1-Settings!$E$17)),"")</f>
        <v/>
      </c>
      <c r="U70" s="149">
        <f>IFERROR(IF(R70="","",IF(R70&gt;=C70/(1-SKU_Base!AC70)/(1-Settings!$E$17),"OK",IF(R70&gt;=C70/(1-SKU_Base!AJ70)/(1-Settings!$E$17),"WARN","STOP"))),"")</f>
        <v/>
      </c>
      <c r="V70" s="159">
        <f>IFERROR(ROUND(D70*(1-CHOOSE(MATCH(IF($E70="","Основний",$E70),{"Трафіковий","Основний","Маржинальний","Сезонний","Стратегічний"},0),Settings!$F$78,Settings!$F$80,Settings!$F$82,Settings!$F$84,Settings!$F$86))/6,2)*6,"")</f>
        <v/>
      </c>
      <c r="W70" s="142">
        <f>IFERROR(CHOOSE(MATCH(IF($E70="","Основний",$E70),{"Трафіковий","Основний","Маржинальний","Сезонний","Стратегічний"},0),Settings!$F$78,Settings!$F$80,Settings!$F$82,Settings!$F$84,Settings!$F$86),"")</f>
        <v/>
      </c>
      <c r="X70" s="143">
        <f>IFERROR((V70*(1-Settings!$F$17)-C70)/(V70*(1-Settings!$F$17)),"")</f>
        <v/>
      </c>
      <c r="Y70" s="149">
        <f>IFERROR(IF(V70="","",IF(V70&gt;=C70/(1-SKU_Base!AD70)/(1-Settings!$F$17),"OK",IF(V70&gt;=C70/(1-SKU_Base!AK70)/(1-Settings!$F$17),"WARN","STOP"))),"")</f>
        <v/>
      </c>
      <c r="Z70" s="159">
        <f>IFERROR(ROUND(D70*(1-CHOOSE(MATCH(IF($E70="","Основний",$E70),{"Трафіковий","Основний","Маржинальний","Сезонний","Стратегічний"},0),Settings!$G$78,Settings!$G$80,Settings!$G$82,Settings!$G$84,Settings!$G$86))/6,2)*6,"")</f>
        <v/>
      </c>
      <c r="AA70" s="142">
        <f>IFERROR(CHOOSE(MATCH(IF($E70="","Основний",$E70),{"Трафіковий","Основний","Маржинальний","Сезонний","Стратегічний"},0),Settings!$G$78,Settings!$G$80,Settings!$G$82,Settings!$G$84,Settings!$G$86),"")</f>
        <v/>
      </c>
      <c r="AB70" s="143">
        <f>IFERROR((Z70*(1-Settings!$G$17)-C70)/(Z70*(1-Settings!$G$17)),"")</f>
        <v/>
      </c>
      <c r="AC70" s="149">
        <f>IFERROR(IF(Z70="","",IF(Z70&gt;=C70/(1-SKU_Base!AE70)/(1-Settings!$G$17),"OK",IF(Z70&gt;=C70/(1-SKU_Base!AL70)/(1-Settings!$G$17),"WARN","STOP"))),"")</f>
        <v/>
      </c>
      <c r="AD70" s="159">
        <f>IFERROR(ROUND(D70*(1-CHOOSE(MATCH(IF($E70="","Основний",$E70),{"Трафіковий","Основний","Маржинальний","Сезонний","Стратегічний"},0),Settings!$H$78,Settings!$H$80,Settings!$H$82,Settings!$H$84,Settings!$H$86))*(1-Settings!$H$68)/6,2)*6,"")</f>
        <v/>
      </c>
      <c r="AE70" s="142">
        <f>IFERROR(CHOOSE(MATCH(IF($E70="","Основний",$E70),{"Трафіковий","Основний","Маржинальний","Сезонний","Стратегічний"},0),Settings!$H$78,Settings!$H$80,Settings!$H$82,Settings!$H$84,Settings!$H$86)+(1-(CHOOSE(MATCH(IF($E70="","Основний",$E70),{"Трафіковий","Основний","Маржинальний","Сезонний","Стратегічний"},0),Settings!$H$78,Settings!$H$80,Settings!$H$82,Settings!$H$84,Settings!$H$86)))*Settings!$H$68,"")</f>
        <v/>
      </c>
      <c r="AF70" s="143">
        <f>IFERROR((AD70*(1-Settings!$H$17)-C70)/(AD70*(1-Settings!$H$17)),"")</f>
        <v/>
      </c>
      <c r="AG70" s="150">
        <f>IFERROR(IF(AD70="","",IF(AD70&gt;=C70/(1-SKU_Base!AF70)/(1-Settings!$H$17),"OK",IF(AD70&gt;=C70/(1-SKU_Base!AM70)/(1-Settings!$H$17),"WARN","STOP"))),"")</f>
        <v/>
      </c>
    </row>
    <row r="71" ht="17" customHeight="1" s="179">
      <c r="A71" s="146">
        <f>SKU_Base!B71</f>
        <v/>
      </c>
      <c r="B71" s="146">
        <f>SKU_Base!C71</f>
        <v/>
      </c>
      <c r="C71" s="147">
        <f>IFERROR(SKU_Base!I71,"")</f>
        <v/>
      </c>
      <c r="D71" s="164">
        <f>IFERROR(SKU_Base!T71,"")</f>
        <v/>
      </c>
      <c r="E71" s="141">
        <f>IFERROR(SKU_Base!$U71,"")</f>
        <v/>
      </c>
      <c r="F71" s="160">
        <f>IFERROR(ROUND(D71*(1-CHOOSE(MATCH(IF($E71="","Основний",$E71),{"Трафіковий","Основний","Маржинальний","Сезонний","Стратегічний"},0),Settings!$B$78,Settings!$B$80,Settings!$B$82,Settings!$B$84,Settings!$B$86))/6,2)*6,"")</f>
        <v/>
      </c>
      <c r="G71" s="142">
        <f>IFERROR(CHOOSE(MATCH(IF($E71="","Основний",$E71),{"Трафіковий","Основний","Маржинальний","Сезонний","Стратегічний"},0),Settings!$B$78,Settings!$B$80,Settings!$B$82,Settings!$B$84,Settings!$B$86),"")</f>
        <v/>
      </c>
      <c r="H71" s="148">
        <f>IFERROR((F71*(1-Settings!$B$17)-C71)/(F71*(1-Settings!$B$17)),"")</f>
        <v/>
      </c>
      <c r="I71" s="149">
        <f>IFERROR(IF(F71="","",IF(F71&gt;=C71/(1-SKU_Base!Z71)/(1-Settings!$B$17),"OK",IF(F71&gt;=C71/(1-SKU_Base!AG71)/(1-Settings!$B$17),"WARN","STOP"))),"")</f>
        <v/>
      </c>
      <c r="J71" s="160">
        <f>IFERROR(ROUND(D71*(1-CHOOSE(MATCH(IF($E71="","Основний",$E71),{"Трафіковий","Основний","Маржинальний","Сезонний","Стратегічний"},0),Settings!$C$78,Settings!$C$80,Settings!$C$82,Settings!$C$84,Settings!$C$86))/6,2)*6,"")</f>
        <v/>
      </c>
      <c r="K71" s="142">
        <f>IFERROR(CHOOSE(MATCH(IF($E71="","Основний",$E71),{"Трафіковий","Основний","Маржинальний","Сезонний","Стратегічний"},0),Settings!$C$78,Settings!$C$80,Settings!$C$82,Settings!$C$84,Settings!$C$86),"")</f>
        <v/>
      </c>
      <c r="L71" s="148">
        <f>IFERROR((J71*(1-Settings!$C$17)-C71)/(J71*(1-Settings!$C$17)),"")</f>
        <v/>
      </c>
      <c r="M71" s="149">
        <f>IFERROR(IF(J71="","",IF(J71&gt;=C71/(1-SKU_Base!AA71)/(1-Settings!$C$17),"OK",IF(J71&gt;=C71/(1-SKU_Base!AH71)/(1-Settings!$C$17),"WARN","STOP"))),"")</f>
        <v/>
      </c>
      <c r="N71" s="161">
        <f>IFERROR(ROUND(D71*(1-CHOOSE(MATCH(IF($E71="","Основний",$E71),{"Трафіковий","Основний","Маржинальний","Сезонний","Стратегічний"},0),Settings!$D$78,Settings!$D$80,Settings!$D$82,Settings!$D$84,Settings!$D$86))/6,2)*6,"")</f>
        <v/>
      </c>
      <c r="O71" s="142">
        <f>IFERROR(CHOOSE(MATCH(IF($E71="","Основний",$E71),{"Трафіковий","Основний","Маржинальний","Сезонний","Стратегічний"},0),Settings!$D$78,Settings!$D$80,Settings!$D$82,Settings!$D$84,Settings!$D$86),"")</f>
        <v/>
      </c>
      <c r="P71" s="148">
        <f>IFERROR((N71*(1-Settings!$D$17)-C71)/(N71*(1-Settings!$D$17)),"")</f>
        <v/>
      </c>
      <c r="Q71" s="149">
        <f>IFERROR(IF(N71="","",IF(N71&gt;=C71/(1-SKU_Base!AB71)/(1-Settings!$D$17),"OK",IF(N71&gt;=C71/(1-SKU_Base!AI71)/(1-Settings!$D$17),"WARN","STOP"))),"")</f>
        <v/>
      </c>
      <c r="R71" s="161">
        <f>IFERROR(ROUND(D71*(1-CHOOSE(MATCH(IF($E71="","Основний",$E71),{"Трафіковий","Основний","Маржинальний","Сезонний","Стратегічний"},0),Settings!$E$78,Settings!$E$80,Settings!$E$82,Settings!$E$84,Settings!$E$86))/6,2)*6,"")</f>
        <v/>
      </c>
      <c r="S71" s="142">
        <f>IFERROR(CHOOSE(MATCH(IF($E71="","Основний",$E71),{"Трафіковий","Основний","Маржинальний","Сезонний","Стратегічний"},0),Settings!$E$78,Settings!$E$80,Settings!$E$82,Settings!$E$84,Settings!$E$86),"")</f>
        <v/>
      </c>
      <c r="T71" s="148">
        <f>IFERROR((R71*(1-Settings!$E$17)-C71)/(R71*(1-Settings!$E$17)),"")</f>
        <v/>
      </c>
      <c r="U71" s="149">
        <f>IFERROR(IF(R71="","",IF(R71&gt;=C71/(1-SKU_Base!AC71)/(1-Settings!$E$17),"OK",IF(R71&gt;=C71/(1-SKU_Base!AJ71)/(1-Settings!$E$17),"WARN","STOP"))),"")</f>
        <v/>
      </c>
      <c r="V71" s="161">
        <f>IFERROR(ROUND(D71*(1-CHOOSE(MATCH(IF($E71="","Основний",$E71),{"Трафіковий","Основний","Маржинальний","Сезонний","Стратегічний"},0),Settings!$F$78,Settings!$F$80,Settings!$F$82,Settings!$F$84,Settings!$F$86))/6,2)*6,"")</f>
        <v/>
      </c>
      <c r="W71" s="142">
        <f>IFERROR(CHOOSE(MATCH(IF($E71="","Основний",$E71),{"Трафіковий","Основний","Маржинальний","Сезонний","Стратегічний"},0),Settings!$F$78,Settings!$F$80,Settings!$F$82,Settings!$F$84,Settings!$F$86),"")</f>
        <v/>
      </c>
      <c r="X71" s="148">
        <f>IFERROR((V71*(1-Settings!$F$17)-C71)/(V71*(1-Settings!$F$17)),"")</f>
        <v/>
      </c>
      <c r="Y71" s="149">
        <f>IFERROR(IF(V71="","",IF(V71&gt;=C71/(1-SKU_Base!AD71)/(1-Settings!$F$17),"OK",IF(V71&gt;=C71/(1-SKU_Base!AK71)/(1-Settings!$F$17),"WARN","STOP"))),"")</f>
        <v/>
      </c>
      <c r="Z71" s="161">
        <f>IFERROR(ROUND(D71*(1-CHOOSE(MATCH(IF($E71="","Основний",$E71),{"Трафіковий","Основний","Маржинальний","Сезонний","Стратегічний"},0),Settings!$G$78,Settings!$G$80,Settings!$G$82,Settings!$G$84,Settings!$G$86))/6,2)*6,"")</f>
        <v/>
      </c>
      <c r="AA71" s="142">
        <f>IFERROR(CHOOSE(MATCH(IF($E71="","Основний",$E71),{"Трафіковий","Основний","Маржинальний","Сезонний","Стратегічний"},0),Settings!$G$78,Settings!$G$80,Settings!$G$82,Settings!$G$84,Settings!$G$86),"")</f>
        <v/>
      </c>
      <c r="AB71" s="148">
        <f>IFERROR((Z71*(1-Settings!$G$17)-C71)/(Z71*(1-Settings!$G$17)),"")</f>
        <v/>
      </c>
      <c r="AC71" s="149">
        <f>IFERROR(IF(Z71="","",IF(Z71&gt;=C71/(1-SKU_Base!AE71)/(1-Settings!$G$17),"OK",IF(Z71&gt;=C71/(1-SKU_Base!AL71)/(1-Settings!$G$17),"WARN","STOP"))),"")</f>
        <v/>
      </c>
      <c r="AD71" s="161">
        <f>IFERROR(ROUND(D71*(1-CHOOSE(MATCH(IF($E71="","Основний",$E71),{"Трафіковий","Основний","Маржинальний","Сезонний","Стратегічний"},0),Settings!$H$78,Settings!$H$80,Settings!$H$82,Settings!$H$84,Settings!$H$86))*(1-Settings!$H$68)/6,2)*6,"")</f>
        <v/>
      </c>
      <c r="AE71" s="142">
        <f>IFERROR(CHOOSE(MATCH(IF($E71="","Основний",$E71),{"Трафіковий","Основний","Маржинальний","Сезонний","Стратегічний"},0),Settings!$H$78,Settings!$H$80,Settings!$H$82,Settings!$H$84,Settings!$H$86)+(1-(CHOOSE(MATCH(IF($E71="","Основний",$E71),{"Трафіковий","Основний","Маржинальний","Сезонний","Стратегічний"},0),Settings!$H$78,Settings!$H$80,Settings!$H$82,Settings!$H$84,Settings!$H$86)))*Settings!$H$68,"")</f>
        <v/>
      </c>
      <c r="AF71" s="148">
        <f>IFERROR((AD71*(1-Settings!$H$17)-C71)/(AD71*(1-Settings!$H$17)),"")</f>
        <v/>
      </c>
      <c r="AG71" s="150">
        <f>IFERROR(IF(AD71="","",IF(AD71&gt;=C71/(1-SKU_Base!AF71)/(1-Settings!$H$17),"OK",IF(AD71&gt;=C71/(1-SKU_Base!AM71)/(1-Settings!$H$17),"WARN","STOP"))),"")</f>
        <v/>
      </c>
    </row>
    <row r="72" ht="17" customHeight="1" s="179">
      <c r="A72" s="139">
        <f>SKU_Base!B72</f>
        <v/>
      </c>
      <c r="B72" s="139">
        <f>SKU_Base!C72</f>
        <v/>
      </c>
      <c r="C72" s="140">
        <f>IFERROR(SKU_Base!I72,"")</f>
        <v/>
      </c>
      <c r="D72" s="163">
        <f>IFERROR(SKU_Base!T72,"")</f>
        <v/>
      </c>
      <c r="E72" s="141">
        <f>IFERROR(SKU_Base!$U72,"")</f>
        <v/>
      </c>
      <c r="F72" s="158">
        <f>IFERROR(ROUND(D72*(1-CHOOSE(MATCH(IF($E72="","Основний",$E72),{"Трафіковий","Основний","Маржинальний","Сезонний","Стратегічний"},0),Settings!$B$78,Settings!$B$80,Settings!$B$82,Settings!$B$84,Settings!$B$86))/6,2)*6,"")</f>
        <v/>
      </c>
      <c r="G72" s="142">
        <f>IFERROR(CHOOSE(MATCH(IF($E72="","Основний",$E72),{"Трафіковий","Основний","Маржинальний","Сезонний","Стратегічний"},0),Settings!$B$78,Settings!$B$80,Settings!$B$82,Settings!$B$84,Settings!$B$86),"")</f>
        <v/>
      </c>
      <c r="H72" s="143">
        <f>IFERROR((F72*(1-Settings!$B$17)-C72)/(F72*(1-Settings!$B$17)),"")</f>
        <v/>
      </c>
      <c r="I72" s="149">
        <f>IFERROR(IF(F72="","",IF(F72&gt;=C72/(1-SKU_Base!Z72)/(1-Settings!$B$17),"OK",IF(F72&gt;=C72/(1-SKU_Base!AG72)/(1-Settings!$B$17),"WARN","STOP"))),"")</f>
        <v/>
      </c>
      <c r="J72" s="158">
        <f>IFERROR(ROUND(D72*(1-CHOOSE(MATCH(IF($E72="","Основний",$E72),{"Трафіковий","Основний","Маржинальний","Сезонний","Стратегічний"},0),Settings!$C$78,Settings!$C$80,Settings!$C$82,Settings!$C$84,Settings!$C$86))/6,2)*6,"")</f>
        <v/>
      </c>
      <c r="K72" s="142">
        <f>IFERROR(CHOOSE(MATCH(IF($E72="","Основний",$E72),{"Трафіковий","Основний","Маржинальний","Сезонний","Стратегічний"},0),Settings!$C$78,Settings!$C$80,Settings!$C$82,Settings!$C$84,Settings!$C$86),"")</f>
        <v/>
      </c>
      <c r="L72" s="143">
        <f>IFERROR((J72*(1-Settings!$C$17)-C72)/(J72*(1-Settings!$C$17)),"")</f>
        <v/>
      </c>
      <c r="M72" s="149">
        <f>IFERROR(IF(J72="","",IF(J72&gt;=C72/(1-SKU_Base!AA72)/(1-Settings!$C$17),"OK",IF(J72&gt;=C72/(1-SKU_Base!AH72)/(1-Settings!$C$17),"WARN","STOP"))),"")</f>
        <v/>
      </c>
      <c r="N72" s="159">
        <f>IFERROR(ROUND(D72*(1-CHOOSE(MATCH(IF($E72="","Основний",$E72),{"Трафіковий","Основний","Маржинальний","Сезонний","Стратегічний"},0),Settings!$D$78,Settings!$D$80,Settings!$D$82,Settings!$D$84,Settings!$D$86))/6,2)*6,"")</f>
        <v/>
      </c>
      <c r="O72" s="142">
        <f>IFERROR(CHOOSE(MATCH(IF($E72="","Основний",$E72),{"Трафіковий","Основний","Маржинальний","Сезонний","Стратегічний"},0),Settings!$D$78,Settings!$D$80,Settings!$D$82,Settings!$D$84,Settings!$D$86),"")</f>
        <v/>
      </c>
      <c r="P72" s="143">
        <f>IFERROR((N72*(1-Settings!$D$17)-C72)/(N72*(1-Settings!$D$17)),"")</f>
        <v/>
      </c>
      <c r="Q72" s="149">
        <f>IFERROR(IF(N72="","",IF(N72&gt;=C72/(1-SKU_Base!AB72)/(1-Settings!$D$17),"OK",IF(N72&gt;=C72/(1-SKU_Base!AI72)/(1-Settings!$D$17),"WARN","STOP"))),"")</f>
        <v/>
      </c>
      <c r="R72" s="159">
        <f>IFERROR(ROUND(D72*(1-CHOOSE(MATCH(IF($E72="","Основний",$E72),{"Трафіковий","Основний","Маржинальний","Сезонний","Стратегічний"},0),Settings!$E$78,Settings!$E$80,Settings!$E$82,Settings!$E$84,Settings!$E$86))/6,2)*6,"")</f>
        <v/>
      </c>
      <c r="S72" s="142">
        <f>IFERROR(CHOOSE(MATCH(IF($E72="","Основний",$E72),{"Трафіковий","Основний","Маржинальний","Сезонний","Стратегічний"},0),Settings!$E$78,Settings!$E$80,Settings!$E$82,Settings!$E$84,Settings!$E$86),"")</f>
        <v/>
      </c>
      <c r="T72" s="143">
        <f>IFERROR((R72*(1-Settings!$E$17)-C72)/(R72*(1-Settings!$E$17)),"")</f>
        <v/>
      </c>
      <c r="U72" s="149">
        <f>IFERROR(IF(R72="","",IF(R72&gt;=C72/(1-SKU_Base!AC72)/(1-Settings!$E$17),"OK",IF(R72&gt;=C72/(1-SKU_Base!AJ72)/(1-Settings!$E$17),"WARN","STOP"))),"")</f>
        <v/>
      </c>
      <c r="V72" s="159">
        <f>IFERROR(ROUND(D72*(1-CHOOSE(MATCH(IF($E72="","Основний",$E72),{"Трафіковий","Основний","Маржинальний","Сезонний","Стратегічний"},0),Settings!$F$78,Settings!$F$80,Settings!$F$82,Settings!$F$84,Settings!$F$86))/6,2)*6,"")</f>
        <v/>
      </c>
      <c r="W72" s="142">
        <f>IFERROR(CHOOSE(MATCH(IF($E72="","Основний",$E72),{"Трафіковий","Основний","Маржинальний","Сезонний","Стратегічний"},0),Settings!$F$78,Settings!$F$80,Settings!$F$82,Settings!$F$84,Settings!$F$86),"")</f>
        <v/>
      </c>
      <c r="X72" s="143">
        <f>IFERROR((V72*(1-Settings!$F$17)-C72)/(V72*(1-Settings!$F$17)),"")</f>
        <v/>
      </c>
      <c r="Y72" s="149">
        <f>IFERROR(IF(V72="","",IF(V72&gt;=C72/(1-SKU_Base!AD72)/(1-Settings!$F$17),"OK",IF(V72&gt;=C72/(1-SKU_Base!AK72)/(1-Settings!$F$17),"WARN","STOP"))),"")</f>
        <v/>
      </c>
      <c r="Z72" s="159">
        <f>IFERROR(ROUND(D72*(1-CHOOSE(MATCH(IF($E72="","Основний",$E72),{"Трафіковий","Основний","Маржинальний","Сезонний","Стратегічний"},0),Settings!$G$78,Settings!$G$80,Settings!$G$82,Settings!$G$84,Settings!$G$86))/6,2)*6,"")</f>
        <v/>
      </c>
      <c r="AA72" s="142">
        <f>IFERROR(CHOOSE(MATCH(IF($E72="","Основний",$E72),{"Трафіковий","Основний","Маржинальний","Сезонний","Стратегічний"},0),Settings!$G$78,Settings!$G$80,Settings!$G$82,Settings!$G$84,Settings!$G$86),"")</f>
        <v/>
      </c>
      <c r="AB72" s="143">
        <f>IFERROR((Z72*(1-Settings!$G$17)-C72)/(Z72*(1-Settings!$G$17)),"")</f>
        <v/>
      </c>
      <c r="AC72" s="149">
        <f>IFERROR(IF(Z72="","",IF(Z72&gt;=C72/(1-SKU_Base!AE72)/(1-Settings!$G$17),"OK",IF(Z72&gt;=C72/(1-SKU_Base!AL72)/(1-Settings!$G$17),"WARN","STOP"))),"")</f>
        <v/>
      </c>
      <c r="AD72" s="159">
        <f>IFERROR(ROUND(D72*(1-CHOOSE(MATCH(IF($E72="","Основний",$E72),{"Трафіковий","Основний","Маржинальний","Сезонний","Стратегічний"},0),Settings!$H$78,Settings!$H$80,Settings!$H$82,Settings!$H$84,Settings!$H$86))*(1-Settings!$H$68)/6,2)*6,"")</f>
        <v/>
      </c>
      <c r="AE72" s="142">
        <f>IFERROR(CHOOSE(MATCH(IF($E72="","Основний",$E72),{"Трафіковий","Основний","Маржинальний","Сезонний","Стратегічний"},0),Settings!$H$78,Settings!$H$80,Settings!$H$82,Settings!$H$84,Settings!$H$86)+(1-(CHOOSE(MATCH(IF($E72="","Основний",$E72),{"Трафіковий","Основний","Маржинальний","Сезонний","Стратегічний"},0),Settings!$H$78,Settings!$H$80,Settings!$H$82,Settings!$H$84,Settings!$H$86)))*Settings!$H$68,"")</f>
        <v/>
      </c>
      <c r="AF72" s="143">
        <f>IFERROR((AD72*(1-Settings!$H$17)-C72)/(AD72*(1-Settings!$H$17)),"")</f>
        <v/>
      </c>
      <c r="AG72" s="150">
        <f>IFERROR(IF(AD72="","",IF(AD72&gt;=C72/(1-SKU_Base!AF72)/(1-Settings!$H$17),"OK",IF(AD72&gt;=C72/(1-SKU_Base!AM72)/(1-Settings!$H$17),"WARN","STOP"))),"")</f>
        <v/>
      </c>
    </row>
    <row r="73" ht="17" customHeight="1" s="179">
      <c r="A73" s="146">
        <f>SKU_Base!B73</f>
        <v/>
      </c>
      <c r="B73" s="146">
        <f>SKU_Base!C73</f>
        <v/>
      </c>
      <c r="C73" s="147">
        <f>IFERROR(SKU_Base!I73,"")</f>
        <v/>
      </c>
      <c r="D73" s="164">
        <f>IFERROR(SKU_Base!T73,"")</f>
        <v/>
      </c>
      <c r="E73" s="141">
        <f>IFERROR(SKU_Base!$U73,"")</f>
        <v/>
      </c>
      <c r="F73" s="160">
        <f>IFERROR(ROUND(D73*(1-CHOOSE(MATCH(IF($E73="","Основний",$E73),{"Трафіковий","Основний","Маржинальний","Сезонний","Стратегічний"},0),Settings!$B$78,Settings!$B$80,Settings!$B$82,Settings!$B$84,Settings!$B$86))/6,2)*6,"")</f>
        <v/>
      </c>
      <c r="G73" s="142">
        <f>IFERROR(CHOOSE(MATCH(IF($E73="","Основний",$E73),{"Трафіковий","Основний","Маржинальний","Сезонний","Стратегічний"},0),Settings!$B$78,Settings!$B$80,Settings!$B$82,Settings!$B$84,Settings!$B$86),"")</f>
        <v/>
      </c>
      <c r="H73" s="148">
        <f>IFERROR((F73*(1-Settings!$B$17)-C73)/(F73*(1-Settings!$B$17)),"")</f>
        <v/>
      </c>
      <c r="I73" s="150">
        <f>IFERROR(IF(F73="","",IF(F73&gt;=C73/(1-SKU_Base!Z73)/(1-Settings!$B$17),"OK",IF(F73&gt;=C73/(1-SKU_Base!AG73)/(1-Settings!$B$17),"WARN","STOP"))),"")</f>
        <v/>
      </c>
      <c r="J73" s="160">
        <f>IFERROR(ROUND(D73*(1-CHOOSE(MATCH(IF($E73="","Основний",$E73),{"Трафіковий","Основний","Маржинальний","Сезонний","Стратегічний"},0),Settings!$C$78,Settings!$C$80,Settings!$C$82,Settings!$C$84,Settings!$C$86))/6,2)*6,"")</f>
        <v/>
      </c>
      <c r="K73" s="142">
        <f>IFERROR(CHOOSE(MATCH(IF($E73="","Основний",$E73),{"Трафіковий","Основний","Маржинальний","Сезонний","Стратегічний"},0),Settings!$C$78,Settings!$C$80,Settings!$C$82,Settings!$C$84,Settings!$C$86),"")</f>
        <v/>
      </c>
      <c r="L73" s="148">
        <f>IFERROR((J73*(1-Settings!$C$17)-C73)/(J73*(1-Settings!$C$17)),"")</f>
        <v/>
      </c>
      <c r="M73" s="149">
        <f>IFERROR(IF(J73="","",IF(J73&gt;=C73/(1-SKU_Base!AA73)/(1-Settings!$C$17),"OK",IF(J73&gt;=C73/(1-SKU_Base!AH73)/(1-Settings!$C$17),"WARN","STOP"))),"")</f>
        <v/>
      </c>
      <c r="N73" s="161">
        <f>IFERROR(ROUND(D73*(1-CHOOSE(MATCH(IF($E73="","Основний",$E73),{"Трафіковий","Основний","Маржинальний","Сезонний","Стратегічний"},0),Settings!$D$78,Settings!$D$80,Settings!$D$82,Settings!$D$84,Settings!$D$86))/6,2)*6,"")</f>
        <v/>
      </c>
      <c r="O73" s="142">
        <f>IFERROR(CHOOSE(MATCH(IF($E73="","Основний",$E73),{"Трафіковий","Основний","Маржинальний","Сезонний","Стратегічний"},0),Settings!$D$78,Settings!$D$80,Settings!$D$82,Settings!$D$84,Settings!$D$86),"")</f>
        <v/>
      </c>
      <c r="P73" s="148">
        <f>IFERROR((N73*(1-Settings!$D$17)-C73)/(N73*(1-Settings!$D$17)),"")</f>
        <v/>
      </c>
      <c r="Q73" s="149">
        <f>IFERROR(IF(N73="","",IF(N73&gt;=C73/(1-SKU_Base!AB73)/(1-Settings!$D$17),"OK",IF(N73&gt;=C73/(1-SKU_Base!AI73)/(1-Settings!$D$17),"WARN","STOP"))),"")</f>
        <v/>
      </c>
      <c r="R73" s="161">
        <f>IFERROR(ROUND(D73*(1-CHOOSE(MATCH(IF($E73="","Основний",$E73),{"Трафіковий","Основний","Маржинальний","Сезонний","Стратегічний"},0),Settings!$E$78,Settings!$E$80,Settings!$E$82,Settings!$E$84,Settings!$E$86))/6,2)*6,"")</f>
        <v/>
      </c>
      <c r="S73" s="142">
        <f>IFERROR(CHOOSE(MATCH(IF($E73="","Основний",$E73),{"Трафіковий","Основний","Маржинальний","Сезонний","Стратегічний"},0),Settings!$E$78,Settings!$E$80,Settings!$E$82,Settings!$E$84,Settings!$E$86),"")</f>
        <v/>
      </c>
      <c r="T73" s="148">
        <f>IFERROR((R73*(1-Settings!$E$17)-C73)/(R73*(1-Settings!$E$17)),"")</f>
        <v/>
      </c>
      <c r="U73" s="149">
        <f>IFERROR(IF(R73="","",IF(R73&gt;=C73/(1-SKU_Base!AC73)/(1-Settings!$E$17),"OK",IF(R73&gt;=C73/(1-SKU_Base!AJ73)/(1-Settings!$E$17),"WARN","STOP"))),"")</f>
        <v/>
      </c>
      <c r="V73" s="161">
        <f>IFERROR(ROUND(D73*(1-CHOOSE(MATCH(IF($E73="","Основний",$E73),{"Трафіковий","Основний","Маржинальний","Сезонний","Стратегічний"},0),Settings!$F$78,Settings!$F$80,Settings!$F$82,Settings!$F$84,Settings!$F$86))/6,2)*6,"")</f>
        <v/>
      </c>
      <c r="W73" s="142">
        <f>IFERROR(CHOOSE(MATCH(IF($E73="","Основний",$E73),{"Трафіковий","Основний","Маржинальний","Сезонний","Стратегічний"},0),Settings!$F$78,Settings!$F$80,Settings!$F$82,Settings!$F$84,Settings!$F$86),"")</f>
        <v/>
      </c>
      <c r="X73" s="148">
        <f>IFERROR((V73*(1-Settings!$F$17)-C73)/(V73*(1-Settings!$F$17)),"")</f>
        <v/>
      </c>
      <c r="Y73" s="149">
        <f>IFERROR(IF(V73="","",IF(V73&gt;=C73/(1-SKU_Base!AD73)/(1-Settings!$F$17),"OK",IF(V73&gt;=C73/(1-SKU_Base!AK73)/(1-Settings!$F$17),"WARN","STOP"))),"")</f>
        <v/>
      </c>
      <c r="Z73" s="161">
        <f>IFERROR(ROUND(D73*(1-CHOOSE(MATCH(IF($E73="","Основний",$E73),{"Трафіковий","Основний","Маржинальний","Сезонний","Стратегічний"},0),Settings!$G$78,Settings!$G$80,Settings!$G$82,Settings!$G$84,Settings!$G$86))/6,2)*6,"")</f>
        <v/>
      </c>
      <c r="AA73" s="142">
        <f>IFERROR(CHOOSE(MATCH(IF($E73="","Основний",$E73),{"Трафіковий","Основний","Маржинальний","Сезонний","Стратегічний"},0),Settings!$G$78,Settings!$G$80,Settings!$G$82,Settings!$G$84,Settings!$G$86),"")</f>
        <v/>
      </c>
      <c r="AB73" s="148">
        <f>IFERROR((Z73*(1-Settings!$G$17)-C73)/(Z73*(1-Settings!$G$17)),"")</f>
        <v/>
      </c>
      <c r="AC73" s="149">
        <f>IFERROR(IF(Z73="","",IF(Z73&gt;=C73/(1-SKU_Base!AE73)/(1-Settings!$G$17),"OK",IF(Z73&gt;=C73/(1-SKU_Base!AL73)/(1-Settings!$G$17),"WARN","STOP"))),"")</f>
        <v/>
      </c>
      <c r="AD73" s="161">
        <f>IFERROR(ROUND(D73*(1-CHOOSE(MATCH(IF($E73="","Основний",$E73),{"Трафіковий","Основний","Маржинальний","Сезонний","Стратегічний"},0),Settings!$H$78,Settings!$H$80,Settings!$H$82,Settings!$H$84,Settings!$H$86))*(1-Settings!$H$68)/6,2)*6,"")</f>
        <v/>
      </c>
      <c r="AE73" s="142">
        <f>IFERROR(CHOOSE(MATCH(IF($E73="","Основний",$E73),{"Трафіковий","Основний","Маржинальний","Сезонний","Стратегічний"},0),Settings!$H$78,Settings!$H$80,Settings!$H$82,Settings!$H$84,Settings!$H$86)+(1-(CHOOSE(MATCH(IF($E73="","Основний",$E73),{"Трафіковий","Основний","Маржинальний","Сезонний","Стратегічний"},0),Settings!$H$78,Settings!$H$80,Settings!$H$82,Settings!$H$84,Settings!$H$86)))*Settings!$H$68,"")</f>
        <v/>
      </c>
      <c r="AF73" s="148">
        <f>IFERROR((AD73*(1-Settings!$H$17)-C73)/(AD73*(1-Settings!$H$17)),"")</f>
        <v/>
      </c>
      <c r="AG73" s="150">
        <f>IFERROR(IF(AD73="","",IF(AD73&gt;=C73/(1-SKU_Base!AF73)/(1-Settings!$H$17),"OK",IF(AD73&gt;=C73/(1-SKU_Base!AM73)/(1-Settings!$H$17),"WARN","STOP"))),"")</f>
        <v/>
      </c>
    </row>
    <row r="74" ht="17" customHeight="1" s="179">
      <c r="A74" s="139">
        <f>SKU_Base!B74</f>
        <v/>
      </c>
      <c r="B74" s="139">
        <f>SKU_Base!C74</f>
        <v/>
      </c>
      <c r="C74" s="140">
        <f>IFERROR(SKU_Base!I74,"")</f>
        <v/>
      </c>
      <c r="D74" s="163">
        <f>IFERROR(SKU_Base!T74,"")</f>
        <v/>
      </c>
      <c r="E74" s="141">
        <f>IFERROR(SKU_Base!$U74,"")</f>
        <v/>
      </c>
      <c r="F74" s="158">
        <f>IFERROR(ROUND(D74*(1-CHOOSE(MATCH(IF($E74="","Основний",$E74),{"Трафіковий","Основний","Маржинальний","Сезонний","Стратегічний"},0),Settings!$B$78,Settings!$B$80,Settings!$B$82,Settings!$B$84,Settings!$B$86))/6,2)*6,"")</f>
        <v/>
      </c>
      <c r="G74" s="142">
        <f>IFERROR(CHOOSE(MATCH(IF($E74="","Основний",$E74),{"Трафіковий","Основний","Маржинальний","Сезонний","Стратегічний"},0),Settings!$B$78,Settings!$B$80,Settings!$B$82,Settings!$B$84,Settings!$B$86),"")</f>
        <v/>
      </c>
      <c r="H74" s="143">
        <f>IFERROR((F74*(1-Settings!$B$17)-C74)/(F74*(1-Settings!$B$17)),"")</f>
        <v/>
      </c>
      <c r="I74" s="150">
        <f>IFERROR(IF(F74="","",IF(F74&gt;=C74/(1-SKU_Base!Z74)/(1-Settings!$B$17),"OK",IF(F74&gt;=C74/(1-SKU_Base!AG74)/(1-Settings!$B$17),"WARN","STOP"))),"")</f>
        <v/>
      </c>
      <c r="J74" s="158">
        <f>IFERROR(ROUND(D74*(1-CHOOSE(MATCH(IF($E74="","Основний",$E74),{"Трафіковий","Основний","Маржинальний","Сезонний","Стратегічний"},0),Settings!$C$78,Settings!$C$80,Settings!$C$82,Settings!$C$84,Settings!$C$86))/6,2)*6,"")</f>
        <v/>
      </c>
      <c r="K74" s="142">
        <f>IFERROR(CHOOSE(MATCH(IF($E74="","Основний",$E74),{"Трафіковий","Основний","Маржинальний","Сезонний","Стратегічний"},0),Settings!$C$78,Settings!$C$80,Settings!$C$82,Settings!$C$84,Settings!$C$86),"")</f>
        <v/>
      </c>
      <c r="L74" s="143">
        <f>IFERROR((J74*(1-Settings!$C$17)-C74)/(J74*(1-Settings!$C$17)),"")</f>
        <v/>
      </c>
      <c r="M74" s="149">
        <f>IFERROR(IF(J74="","",IF(J74&gt;=C74/(1-SKU_Base!AA74)/(1-Settings!$C$17),"OK",IF(J74&gt;=C74/(1-SKU_Base!AH74)/(1-Settings!$C$17),"WARN","STOP"))),"")</f>
        <v/>
      </c>
      <c r="N74" s="159">
        <f>IFERROR(ROUND(D74*(1-CHOOSE(MATCH(IF($E74="","Основний",$E74),{"Трафіковий","Основний","Маржинальний","Сезонний","Стратегічний"},0),Settings!$D$78,Settings!$D$80,Settings!$D$82,Settings!$D$84,Settings!$D$86))/6,2)*6,"")</f>
        <v/>
      </c>
      <c r="O74" s="142">
        <f>IFERROR(CHOOSE(MATCH(IF($E74="","Основний",$E74),{"Трафіковий","Основний","Маржинальний","Сезонний","Стратегічний"},0),Settings!$D$78,Settings!$D$80,Settings!$D$82,Settings!$D$84,Settings!$D$86),"")</f>
        <v/>
      </c>
      <c r="P74" s="143">
        <f>IFERROR((N74*(1-Settings!$D$17)-C74)/(N74*(1-Settings!$D$17)),"")</f>
        <v/>
      </c>
      <c r="Q74" s="149">
        <f>IFERROR(IF(N74="","",IF(N74&gt;=C74/(1-SKU_Base!AB74)/(1-Settings!$D$17),"OK",IF(N74&gt;=C74/(1-SKU_Base!AI74)/(1-Settings!$D$17),"WARN","STOP"))),"")</f>
        <v/>
      </c>
      <c r="R74" s="159">
        <f>IFERROR(ROUND(D74*(1-CHOOSE(MATCH(IF($E74="","Основний",$E74),{"Трафіковий","Основний","Маржинальний","Сезонний","Стратегічний"},0),Settings!$E$78,Settings!$E$80,Settings!$E$82,Settings!$E$84,Settings!$E$86))/6,2)*6,"")</f>
        <v/>
      </c>
      <c r="S74" s="142">
        <f>IFERROR(CHOOSE(MATCH(IF($E74="","Основний",$E74),{"Трафіковий","Основний","Маржинальний","Сезонний","Стратегічний"},0),Settings!$E$78,Settings!$E$80,Settings!$E$82,Settings!$E$84,Settings!$E$86),"")</f>
        <v/>
      </c>
      <c r="T74" s="143">
        <f>IFERROR((R74*(1-Settings!$E$17)-C74)/(R74*(1-Settings!$E$17)),"")</f>
        <v/>
      </c>
      <c r="U74" s="149">
        <f>IFERROR(IF(R74="","",IF(R74&gt;=C74/(1-SKU_Base!AC74)/(1-Settings!$E$17),"OK",IF(R74&gt;=C74/(1-SKU_Base!AJ74)/(1-Settings!$E$17),"WARN","STOP"))),"")</f>
        <v/>
      </c>
      <c r="V74" s="159">
        <f>IFERROR(ROUND(D74*(1-CHOOSE(MATCH(IF($E74="","Основний",$E74),{"Трафіковий","Основний","Маржинальний","Сезонний","Стратегічний"},0),Settings!$F$78,Settings!$F$80,Settings!$F$82,Settings!$F$84,Settings!$F$86))/6,2)*6,"")</f>
        <v/>
      </c>
      <c r="W74" s="142">
        <f>IFERROR(CHOOSE(MATCH(IF($E74="","Основний",$E74),{"Трафіковий","Основний","Маржинальний","Сезонний","Стратегічний"},0),Settings!$F$78,Settings!$F$80,Settings!$F$82,Settings!$F$84,Settings!$F$86),"")</f>
        <v/>
      </c>
      <c r="X74" s="143">
        <f>IFERROR((V74*(1-Settings!$F$17)-C74)/(V74*(1-Settings!$F$17)),"")</f>
        <v/>
      </c>
      <c r="Y74" s="149">
        <f>IFERROR(IF(V74="","",IF(V74&gt;=C74/(1-SKU_Base!AD74)/(1-Settings!$F$17),"OK",IF(V74&gt;=C74/(1-SKU_Base!AK74)/(1-Settings!$F$17),"WARN","STOP"))),"")</f>
        <v/>
      </c>
      <c r="Z74" s="159">
        <f>IFERROR(ROUND(D74*(1-CHOOSE(MATCH(IF($E74="","Основний",$E74),{"Трафіковий","Основний","Маржинальний","Сезонний","Стратегічний"},0),Settings!$G$78,Settings!$G$80,Settings!$G$82,Settings!$G$84,Settings!$G$86))/6,2)*6,"")</f>
        <v/>
      </c>
      <c r="AA74" s="142">
        <f>IFERROR(CHOOSE(MATCH(IF($E74="","Основний",$E74),{"Трафіковий","Основний","Маржинальний","Сезонний","Стратегічний"},0),Settings!$G$78,Settings!$G$80,Settings!$G$82,Settings!$G$84,Settings!$G$86),"")</f>
        <v/>
      </c>
      <c r="AB74" s="143">
        <f>IFERROR((Z74*(1-Settings!$G$17)-C74)/(Z74*(1-Settings!$G$17)),"")</f>
        <v/>
      </c>
      <c r="AC74" s="149">
        <f>IFERROR(IF(Z74="","",IF(Z74&gt;=C74/(1-SKU_Base!AE74)/(1-Settings!$G$17),"OK",IF(Z74&gt;=C74/(1-SKU_Base!AL74)/(1-Settings!$G$17),"WARN","STOP"))),"")</f>
        <v/>
      </c>
      <c r="AD74" s="159">
        <f>IFERROR(ROUND(D74*(1-CHOOSE(MATCH(IF($E74="","Основний",$E74),{"Трафіковий","Основний","Маржинальний","Сезонний","Стратегічний"},0),Settings!$H$78,Settings!$H$80,Settings!$H$82,Settings!$H$84,Settings!$H$86))*(1-Settings!$H$68)/6,2)*6,"")</f>
        <v/>
      </c>
      <c r="AE74" s="142">
        <f>IFERROR(CHOOSE(MATCH(IF($E74="","Основний",$E74),{"Трафіковий","Основний","Маржинальний","Сезонний","Стратегічний"},0),Settings!$H$78,Settings!$H$80,Settings!$H$82,Settings!$H$84,Settings!$H$86)+(1-(CHOOSE(MATCH(IF($E74="","Основний",$E74),{"Трафіковий","Основний","Маржинальний","Сезонний","Стратегічний"},0),Settings!$H$78,Settings!$H$80,Settings!$H$82,Settings!$H$84,Settings!$H$86)))*Settings!$H$68,"")</f>
        <v/>
      </c>
      <c r="AF74" s="143">
        <f>IFERROR((AD74*(1-Settings!$H$17)-C74)/(AD74*(1-Settings!$H$17)),"")</f>
        <v/>
      </c>
      <c r="AG74" s="150">
        <f>IFERROR(IF(AD74="","",IF(AD74&gt;=C74/(1-SKU_Base!AF74)/(1-Settings!$H$17),"OK",IF(AD74&gt;=C74/(1-SKU_Base!AM74)/(1-Settings!$H$17),"WARN","STOP"))),"")</f>
        <v/>
      </c>
    </row>
    <row r="75" ht="17" customHeight="1" s="179">
      <c r="A75" s="146">
        <f>SKU_Base!B75</f>
        <v/>
      </c>
      <c r="B75" s="146">
        <f>SKU_Base!C75</f>
        <v/>
      </c>
      <c r="C75" s="147">
        <f>IFERROR(SKU_Base!I75,"")</f>
        <v/>
      </c>
      <c r="D75" s="164">
        <f>IFERROR(SKU_Base!T75,"")</f>
        <v/>
      </c>
      <c r="E75" s="141">
        <f>IFERROR(SKU_Base!$U75,"")</f>
        <v/>
      </c>
      <c r="F75" s="160">
        <f>IFERROR(ROUND(D75*(1-CHOOSE(MATCH(IF($E75="","Основний",$E75),{"Трафіковий","Основний","Маржинальний","Сезонний","Стратегічний"},0),Settings!$B$78,Settings!$B$80,Settings!$B$82,Settings!$B$84,Settings!$B$86))/6,2)*6,"")</f>
        <v/>
      </c>
      <c r="G75" s="142">
        <f>IFERROR(CHOOSE(MATCH(IF($E75="","Основний",$E75),{"Трафіковий","Основний","Маржинальний","Сезонний","Стратегічний"},0),Settings!$B$78,Settings!$B$80,Settings!$B$82,Settings!$B$84,Settings!$B$86),"")</f>
        <v/>
      </c>
      <c r="H75" s="148">
        <f>IFERROR((F75*(1-Settings!$B$17)-C75)/(F75*(1-Settings!$B$17)),"")</f>
        <v/>
      </c>
      <c r="I75" s="149">
        <f>IFERROR(IF(F75="","",IF(F75&gt;=C75/(1-SKU_Base!Z75)/(1-Settings!$B$17),"OK",IF(F75&gt;=C75/(1-SKU_Base!AG75)/(1-Settings!$B$17),"WARN","STOP"))),"")</f>
        <v/>
      </c>
      <c r="J75" s="160">
        <f>IFERROR(ROUND(D75*(1-CHOOSE(MATCH(IF($E75="","Основний",$E75),{"Трафіковий","Основний","Маржинальний","Сезонний","Стратегічний"},0),Settings!$C$78,Settings!$C$80,Settings!$C$82,Settings!$C$84,Settings!$C$86))/6,2)*6,"")</f>
        <v/>
      </c>
      <c r="K75" s="142">
        <f>IFERROR(CHOOSE(MATCH(IF($E75="","Основний",$E75),{"Трафіковий","Основний","Маржинальний","Сезонний","Стратегічний"},0),Settings!$C$78,Settings!$C$80,Settings!$C$82,Settings!$C$84,Settings!$C$86),"")</f>
        <v/>
      </c>
      <c r="L75" s="148">
        <f>IFERROR((J75*(1-Settings!$C$17)-C75)/(J75*(1-Settings!$C$17)),"")</f>
        <v/>
      </c>
      <c r="M75" s="149">
        <f>IFERROR(IF(J75="","",IF(J75&gt;=C75/(1-SKU_Base!AA75)/(1-Settings!$C$17),"OK",IF(J75&gt;=C75/(1-SKU_Base!AH75)/(1-Settings!$C$17),"WARN","STOP"))),"")</f>
        <v/>
      </c>
      <c r="N75" s="161">
        <f>IFERROR(ROUND(D75*(1-CHOOSE(MATCH(IF($E75="","Основний",$E75),{"Трафіковий","Основний","Маржинальний","Сезонний","Стратегічний"},0),Settings!$D$78,Settings!$D$80,Settings!$D$82,Settings!$D$84,Settings!$D$86))/6,2)*6,"")</f>
        <v/>
      </c>
      <c r="O75" s="142">
        <f>IFERROR(CHOOSE(MATCH(IF($E75="","Основний",$E75),{"Трафіковий","Основний","Маржинальний","Сезонний","Стратегічний"},0),Settings!$D$78,Settings!$D$80,Settings!$D$82,Settings!$D$84,Settings!$D$86),"")</f>
        <v/>
      </c>
      <c r="P75" s="148">
        <f>IFERROR((N75*(1-Settings!$D$17)-C75)/(N75*(1-Settings!$D$17)),"")</f>
        <v/>
      </c>
      <c r="Q75" s="149">
        <f>IFERROR(IF(N75="","",IF(N75&gt;=C75/(1-SKU_Base!AB75)/(1-Settings!$D$17),"OK",IF(N75&gt;=C75/(1-SKU_Base!AI75)/(1-Settings!$D$17),"WARN","STOP"))),"")</f>
        <v/>
      </c>
      <c r="R75" s="161">
        <f>IFERROR(ROUND(D75*(1-CHOOSE(MATCH(IF($E75="","Основний",$E75),{"Трафіковий","Основний","Маржинальний","Сезонний","Стратегічний"},0),Settings!$E$78,Settings!$E$80,Settings!$E$82,Settings!$E$84,Settings!$E$86))/6,2)*6,"")</f>
        <v/>
      </c>
      <c r="S75" s="142">
        <f>IFERROR(CHOOSE(MATCH(IF($E75="","Основний",$E75),{"Трафіковий","Основний","Маржинальний","Сезонний","Стратегічний"},0),Settings!$E$78,Settings!$E$80,Settings!$E$82,Settings!$E$84,Settings!$E$86),"")</f>
        <v/>
      </c>
      <c r="T75" s="148">
        <f>IFERROR((R75*(1-Settings!$E$17)-C75)/(R75*(1-Settings!$E$17)),"")</f>
        <v/>
      </c>
      <c r="U75" s="149">
        <f>IFERROR(IF(R75="","",IF(R75&gt;=C75/(1-SKU_Base!AC75)/(1-Settings!$E$17),"OK",IF(R75&gt;=C75/(1-SKU_Base!AJ75)/(1-Settings!$E$17),"WARN","STOP"))),"")</f>
        <v/>
      </c>
      <c r="V75" s="161">
        <f>IFERROR(ROUND(D75*(1-CHOOSE(MATCH(IF($E75="","Основний",$E75),{"Трафіковий","Основний","Маржинальний","Сезонний","Стратегічний"},0),Settings!$F$78,Settings!$F$80,Settings!$F$82,Settings!$F$84,Settings!$F$86))/6,2)*6,"")</f>
        <v/>
      </c>
      <c r="W75" s="142">
        <f>IFERROR(CHOOSE(MATCH(IF($E75="","Основний",$E75),{"Трафіковий","Основний","Маржинальний","Сезонний","Стратегічний"},0),Settings!$F$78,Settings!$F$80,Settings!$F$82,Settings!$F$84,Settings!$F$86),"")</f>
        <v/>
      </c>
      <c r="X75" s="148">
        <f>IFERROR((V75*(1-Settings!$F$17)-C75)/(V75*(1-Settings!$F$17)),"")</f>
        <v/>
      </c>
      <c r="Y75" s="149">
        <f>IFERROR(IF(V75="","",IF(V75&gt;=C75/(1-SKU_Base!AD75)/(1-Settings!$F$17),"OK",IF(V75&gt;=C75/(1-SKU_Base!AK75)/(1-Settings!$F$17),"WARN","STOP"))),"")</f>
        <v/>
      </c>
      <c r="Z75" s="161">
        <f>IFERROR(ROUND(D75*(1-CHOOSE(MATCH(IF($E75="","Основний",$E75),{"Трафіковий","Основний","Маржинальний","Сезонний","Стратегічний"},0),Settings!$G$78,Settings!$G$80,Settings!$G$82,Settings!$G$84,Settings!$G$86))/6,2)*6,"")</f>
        <v/>
      </c>
      <c r="AA75" s="142">
        <f>IFERROR(CHOOSE(MATCH(IF($E75="","Основний",$E75),{"Трафіковий","Основний","Маржинальний","Сезонний","Стратегічний"},0),Settings!$G$78,Settings!$G$80,Settings!$G$82,Settings!$G$84,Settings!$G$86),"")</f>
        <v/>
      </c>
      <c r="AB75" s="148">
        <f>IFERROR((Z75*(1-Settings!$G$17)-C75)/(Z75*(1-Settings!$G$17)),"")</f>
        <v/>
      </c>
      <c r="AC75" s="149">
        <f>IFERROR(IF(Z75="","",IF(Z75&gt;=C75/(1-SKU_Base!AE75)/(1-Settings!$G$17),"OK",IF(Z75&gt;=C75/(1-SKU_Base!AL75)/(1-Settings!$G$17),"WARN","STOP"))),"")</f>
        <v/>
      </c>
      <c r="AD75" s="161">
        <f>IFERROR(ROUND(D75*(1-CHOOSE(MATCH(IF($E75="","Основний",$E75),{"Трафіковий","Основний","Маржинальний","Сезонний","Стратегічний"},0),Settings!$H$78,Settings!$H$80,Settings!$H$82,Settings!$H$84,Settings!$H$86))*(1-Settings!$H$68)/6,2)*6,"")</f>
        <v/>
      </c>
      <c r="AE75" s="142">
        <f>IFERROR(CHOOSE(MATCH(IF($E75="","Основний",$E75),{"Трафіковий","Основний","Маржинальний","Сезонний","Стратегічний"},0),Settings!$H$78,Settings!$H$80,Settings!$H$82,Settings!$H$84,Settings!$H$86)+(1-(CHOOSE(MATCH(IF($E75="","Основний",$E75),{"Трафіковий","Основний","Маржинальний","Сезонний","Стратегічний"},0),Settings!$H$78,Settings!$H$80,Settings!$H$82,Settings!$H$84,Settings!$H$86)))*Settings!$H$68,"")</f>
        <v/>
      </c>
      <c r="AF75" s="148">
        <f>IFERROR((AD75*(1-Settings!$H$17)-C75)/(AD75*(1-Settings!$H$17)),"")</f>
        <v/>
      </c>
      <c r="AG75" s="150">
        <f>IFERROR(IF(AD75="","",IF(AD75&gt;=C75/(1-SKU_Base!AF75)/(1-Settings!$H$17),"OK",IF(AD75&gt;=C75/(1-SKU_Base!AM75)/(1-Settings!$H$17),"WARN","STOP"))),"")</f>
        <v/>
      </c>
    </row>
    <row r="76" ht="17" customHeight="1" s="179">
      <c r="A76" s="139">
        <f>SKU_Base!B76</f>
        <v/>
      </c>
      <c r="B76" s="139">
        <f>SKU_Base!C76</f>
        <v/>
      </c>
      <c r="C76" s="140">
        <f>IFERROR(SKU_Base!I76,"")</f>
        <v/>
      </c>
      <c r="D76" s="163">
        <f>IFERROR(SKU_Base!T76,"")</f>
        <v/>
      </c>
      <c r="E76" s="141">
        <f>IFERROR(SKU_Base!$U76,"")</f>
        <v/>
      </c>
      <c r="F76" s="158">
        <f>IFERROR(ROUND(D76*(1-CHOOSE(MATCH(IF($E76="","Основний",$E76),{"Трафіковий","Основний","Маржинальний","Сезонний","Стратегічний"},0),Settings!$B$78,Settings!$B$80,Settings!$B$82,Settings!$B$84,Settings!$B$86))/6,2)*6,"")</f>
        <v/>
      </c>
      <c r="G76" s="142">
        <f>IFERROR(CHOOSE(MATCH(IF($E76="","Основний",$E76),{"Трафіковий","Основний","Маржинальний","Сезонний","Стратегічний"},0),Settings!$B$78,Settings!$B$80,Settings!$B$82,Settings!$B$84,Settings!$B$86),"")</f>
        <v/>
      </c>
      <c r="H76" s="143">
        <f>IFERROR((F76*(1-Settings!$B$17)-C76)/(F76*(1-Settings!$B$17)),"")</f>
        <v/>
      </c>
      <c r="I76" s="149">
        <f>IFERROR(IF(F76="","",IF(F76&gt;=C76/(1-SKU_Base!Z76)/(1-Settings!$B$17),"OK",IF(F76&gt;=C76/(1-SKU_Base!AG76)/(1-Settings!$B$17),"WARN","STOP"))),"")</f>
        <v/>
      </c>
      <c r="J76" s="158">
        <f>IFERROR(ROUND(D76*(1-CHOOSE(MATCH(IF($E76="","Основний",$E76),{"Трафіковий","Основний","Маржинальний","Сезонний","Стратегічний"},0),Settings!$C$78,Settings!$C$80,Settings!$C$82,Settings!$C$84,Settings!$C$86))/6,2)*6,"")</f>
        <v/>
      </c>
      <c r="K76" s="142">
        <f>IFERROR(CHOOSE(MATCH(IF($E76="","Основний",$E76),{"Трафіковий","Основний","Маржинальний","Сезонний","Стратегічний"},0),Settings!$C$78,Settings!$C$80,Settings!$C$82,Settings!$C$84,Settings!$C$86),"")</f>
        <v/>
      </c>
      <c r="L76" s="143">
        <f>IFERROR((J76*(1-Settings!$C$17)-C76)/(J76*(1-Settings!$C$17)),"")</f>
        <v/>
      </c>
      <c r="M76" s="149">
        <f>IFERROR(IF(J76="","",IF(J76&gt;=C76/(1-SKU_Base!AA76)/(1-Settings!$C$17),"OK",IF(J76&gt;=C76/(1-SKU_Base!AH76)/(1-Settings!$C$17),"WARN","STOP"))),"")</f>
        <v/>
      </c>
      <c r="N76" s="159">
        <f>IFERROR(ROUND(D76*(1-CHOOSE(MATCH(IF($E76="","Основний",$E76),{"Трафіковий","Основний","Маржинальний","Сезонний","Стратегічний"},0),Settings!$D$78,Settings!$D$80,Settings!$D$82,Settings!$D$84,Settings!$D$86))/6,2)*6,"")</f>
        <v/>
      </c>
      <c r="O76" s="142">
        <f>IFERROR(CHOOSE(MATCH(IF($E76="","Основний",$E76),{"Трафіковий","Основний","Маржинальний","Сезонний","Стратегічний"},0),Settings!$D$78,Settings!$D$80,Settings!$D$82,Settings!$D$84,Settings!$D$86),"")</f>
        <v/>
      </c>
      <c r="P76" s="143">
        <f>IFERROR((N76*(1-Settings!$D$17)-C76)/(N76*(1-Settings!$D$17)),"")</f>
        <v/>
      </c>
      <c r="Q76" s="149">
        <f>IFERROR(IF(N76="","",IF(N76&gt;=C76/(1-SKU_Base!AB76)/(1-Settings!$D$17),"OK",IF(N76&gt;=C76/(1-SKU_Base!AI76)/(1-Settings!$D$17),"WARN","STOP"))),"")</f>
        <v/>
      </c>
      <c r="R76" s="159">
        <f>IFERROR(ROUND(D76*(1-CHOOSE(MATCH(IF($E76="","Основний",$E76),{"Трафіковий","Основний","Маржинальний","Сезонний","Стратегічний"},0),Settings!$E$78,Settings!$E$80,Settings!$E$82,Settings!$E$84,Settings!$E$86))/6,2)*6,"")</f>
        <v/>
      </c>
      <c r="S76" s="142">
        <f>IFERROR(CHOOSE(MATCH(IF($E76="","Основний",$E76),{"Трафіковий","Основний","Маржинальний","Сезонний","Стратегічний"},0),Settings!$E$78,Settings!$E$80,Settings!$E$82,Settings!$E$84,Settings!$E$86),"")</f>
        <v/>
      </c>
      <c r="T76" s="143">
        <f>IFERROR((R76*(1-Settings!$E$17)-C76)/(R76*(1-Settings!$E$17)),"")</f>
        <v/>
      </c>
      <c r="U76" s="149">
        <f>IFERROR(IF(R76="","",IF(R76&gt;=C76/(1-SKU_Base!AC76)/(1-Settings!$E$17),"OK",IF(R76&gt;=C76/(1-SKU_Base!AJ76)/(1-Settings!$E$17),"WARN","STOP"))),"")</f>
        <v/>
      </c>
      <c r="V76" s="159">
        <f>IFERROR(ROUND(D76*(1-CHOOSE(MATCH(IF($E76="","Основний",$E76),{"Трафіковий","Основний","Маржинальний","Сезонний","Стратегічний"},0),Settings!$F$78,Settings!$F$80,Settings!$F$82,Settings!$F$84,Settings!$F$86))/6,2)*6,"")</f>
        <v/>
      </c>
      <c r="W76" s="142">
        <f>IFERROR(CHOOSE(MATCH(IF($E76="","Основний",$E76),{"Трафіковий","Основний","Маржинальний","Сезонний","Стратегічний"},0),Settings!$F$78,Settings!$F$80,Settings!$F$82,Settings!$F$84,Settings!$F$86),"")</f>
        <v/>
      </c>
      <c r="X76" s="143">
        <f>IFERROR((V76*(1-Settings!$F$17)-C76)/(V76*(1-Settings!$F$17)),"")</f>
        <v/>
      </c>
      <c r="Y76" s="149">
        <f>IFERROR(IF(V76="","",IF(V76&gt;=C76/(1-SKU_Base!AD76)/(1-Settings!$F$17),"OK",IF(V76&gt;=C76/(1-SKU_Base!AK76)/(1-Settings!$F$17),"WARN","STOP"))),"")</f>
        <v/>
      </c>
      <c r="Z76" s="159">
        <f>IFERROR(ROUND(D76*(1-CHOOSE(MATCH(IF($E76="","Основний",$E76),{"Трафіковий","Основний","Маржинальний","Сезонний","Стратегічний"},0),Settings!$G$78,Settings!$G$80,Settings!$G$82,Settings!$G$84,Settings!$G$86))/6,2)*6,"")</f>
        <v/>
      </c>
      <c r="AA76" s="142">
        <f>IFERROR(CHOOSE(MATCH(IF($E76="","Основний",$E76),{"Трафіковий","Основний","Маржинальний","Сезонний","Стратегічний"},0),Settings!$G$78,Settings!$G$80,Settings!$G$82,Settings!$G$84,Settings!$G$86),"")</f>
        <v/>
      </c>
      <c r="AB76" s="143">
        <f>IFERROR((Z76*(1-Settings!$G$17)-C76)/(Z76*(1-Settings!$G$17)),"")</f>
        <v/>
      </c>
      <c r="AC76" s="149">
        <f>IFERROR(IF(Z76="","",IF(Z76&gt;=C76/(1-SKU_Base!AE76)/(1-Settings!$G$17),"OK",IF(Z76&gt;=C76/(1-SKU_Base!AL76)/(1-Settings!$G$17),"WARN","STOP"))),"")</f>
        <v/>
      </c>
      <c r="AD76" s="159">
        <f>IFERROR(ROUND(D76*(1-CHOOSE(MATCH(IF($E76="","Основний",$E76),{"Трафіковий","Основний","Маржинальний","Сезонний","Стратегічний"},0),Settings!$H$78,Settings!$H$80,Settings!$H$82,Settings!$H$84,Settings!$H$86))*(1-Settings!$H$68)/6,2)*6,"")</f>
        <v/>
      </c>
      <c r="AE76" s="142">
        <f>IFERROR(CHOOSE(MATCH(IF($E76="","Основний",$E76),{"Трафіковий","Основний","Маржинальний","Сезонний","Стратегічний"},0),Settings!$H$78,Settings!$H$80,Settings!$H$82,Settings!$H$84,Settings!$H$86)+(1-(CHOOSE(MATCH(IF($E76="","Основний",$E76),{"Трафіковий","Основний","Маржинальний","Сезонний","Стратегічний"},0),Settings!$H$78,Settings!$H$80,Settings!$H$82,Settings!$H$84,Settings!$H$86)))*Settings!$H$68,"")</f>
        <v/>
      </c>
      <c r="AF76" s="143">
        <f>IFERROR((AD76*(1-Settings!$H$17)-C76)/(AD76*(1-Settings!$H$17)),"")</f>
        <v/>
      </c>
      <c r="AG76" s="150">
        <f>IFERROR(IF(AD76="","",IF(AD76&gt;=C76/(1-SKU_Base!AF76)/(1-Settings!$H$17),"OK",IF(AD76&gt;=C76/(1-SKU_Base!AM76)/(1-Settings!$H$17),"WARN","STOP"))),"")</f>
        <v/>
      </c>
    </row>
    <row r="77" ht="17" customHeight="1" s="179">
      <c r="A77" s="146">
        <f>SKU_Base!B77</f>
        <v/>
      </c>
      <c r="B77" s="146">
        <f>SKU_Base!C77</f>
        <v/>
      </c>
      <c r="C77" s="147">
        <f>IFERROR(SKU_Base!I77,"")</f>
        <v/>
      </c>
      <c r="D77" s="164">
        <f>IFERROR(SKU_Base!T77,"")</f>
        <v/>
      </c>
      <c r="E77" s="141">
        <f>IFERROR(SKU_Base!$U77,"")</f>
        <v/>
      </c>
      <c r="F77" s="160">
        <f>IFERROR(ROUND(D77*(1-CHOOSE(MATCH(IF($E77="","Основний",$E77),{"Трафіковий","Основний","Маржинальний","Сезонний","Стратегічний"},0),Settings!$B$78,Settings!$B$80,Settings!$B$82,Settings!$B$84,Settings!$B$86))/6,2)*6,"")</f>
        <v/>
      </c>
      <c r="G77" s="142">
        <f>IFERROR(CHOOSE(MATCH(IF($E77="","Основний",$E77),{"Трафіковий","Основний","Маржинальний","Сезонний","Стратегічний"},0),Settings!$B$78,Settings!$B$80,Settings!$B$82,Settings!$B$84,Settings!$B$86),"")</f>
        <v/>
      </c>
      <c r="H77" s="148">
        <f>IFERROR((F77*(1-Settings!$B$17)-C77)/(F77*(1-Settings!$B$17)),"")</f>
        <v/>
      </c>
      <c r="I77" s="149">
        <f>IFERROR(IF(F77="","",IF(F77&gt;=C77/(1-SKU_Base!Z77)/(1-Settings!$B$17),"OK",IF(F77&gt;=C77/(1-SKU_Base!AG77)/(1-Settings!$B$17),"WARN","STOP"))),"")</f>
        <v/>
      </c>
      <c r="J77" s="160">
        <f>IFERROR(ROUND(D77*(1-CHOOSE(MATCH(IF($E77="","Основний",$E77),{"Трафіковий","Основний","Маржинальний","Сезонний","Стратегічний"},0),Settings!$C$78,Settings!$C$80,Settings!$C$82,Settings!$C$84,Settings!$C$86))/6,2)*6,"")</f>
        <v/>
      </c>
      <c r="K77" s="142">
        <f>IFERROR(CHOOSE(MATCH(IF($E77="","Основний",$E77),{"Трафіковий","Основний","Маржинальний","Сезонний","Стратегічний"},0),Settings!$C$78,Settings!$C$80,Settings!$C$82,Settings!$C$84,Settings!$C$86),"")</f>
        <v/>
      </c>
      <c r="L77" s="148">
        <f>IFERROR((J77*(1-Settings!$C$17)-C77)/(J77*(1-Settings!$C$17)),"")</f>
        <v/>
      </c>
      <c r="M77" s="149">
        <f>IFERROR(IF(J77="","",IF(J77&gt;=C77/(1-SKU_Base!AA77)/(1-Settings!$C$17),"OK",IF(J77&gt;=C77/(1-SKU_Base!AH77)/(1-Settings!$C$17),"WARN","STOP"))),"")</f>
        <v/>
      </c>
      <c r="N77" s="161">
        <f>IFERROR(ROUND(D77*(1-CHOOSE(MATCH(IF($E77="","Основний",$E77),{"Трафіковий","Основний","Маржинальний","Сезонний","Стратегічний"},0),Settings!$D$78,Settings!$D$80,Settings!$D$82,Settings!$D$84,Settings!$D$86))/6,2)*6,"")</f>
        <v/>
      </c>
      <c r="O77" s="142">
        <f>IFERROR(CHOOSE(MATCH(IF($E77="","Основний",$E77),{"Трафіковий","Основний","Маржинальний","Сезонний","Стратегічний"},0),Settings!$D$78,Settings!$D$80,Settings!$D$82,Settings!$D$84,Settings!$D$86),"")</f>
        <v/>
      </c>
      <c r="P77" s="148">
        <f>IFERROR((N77*(1-Settings!$D$17)-C77)/(N77*(1-Settings!$D$17)),"")</f>
        <v/>
      </c>
      <c r="Q77" s="149">
        <f>IFERROR(IF(N77="","",IF(N77&gt;=C77/(1-SKU_Base!AB77)/(1-Settings!$D$17),"OK",IF(N77&gt;=C77/(1-SKU_Base!AI77)/(1-Settings!$D$17),"WARN","STOP"))),"")</f>
        <v/>
      </c>
      <c r="R77" s="161">
        <f>IFERROR(ROUND(D77*(1-CHOOSE(MATCH(IF($E77="","Основний",$E77),{"Трафіковий","Основний","Маржинальний","Сезонний","Стратегічний"},0),Settings!$E$78,Settings!$E$80,Settings!$E$82,Settings!$E$84,Settings!$E$86))/6,2)*6,"")</f>
        <v/>
      </c>
      <c r="S77" s="142">
        <f>IFERROR(CHOOSE(MATCH(IF($E77="","Основний",$E77),{"Трафіковий","Основний","Маржинальний","Сезонний","Стратегічний"},0),Settings!$E$78,Settings!$E$80,Settings!$E$82,Settings!$E$84,Settings!$E$86),"")</f>
        <v/>
      </c>
      <c r="T77" s="148">
        <f>IFERROR((R77*(1-Settings!$E$17)-C77)/(R77*(1-Settings!$E$17)),"")</f>
        <v/>
      </c>
      <c r="U77" s="149">
        <f>IFERROR(IF(R77="","",IF(R77&gt;=C77/(1-SKU_Base!AC77)/(1-Settings!$E$17),"OK",IF(R77&gt;=C77/(1-SKU_Base!AJ77)/(1-Settings!$E$17),"WARN","STOP"))),"")</f>
        <v/>
      </c>
      <c r="V77" s="161">
        <f>IFERROR(ROUND(D77*(1-CHOOSE(MATCH(IF($E77="","Основний",$E77),{"Трафіковий","Основний","Маржинальний","Сезонний","Стратегічний"},0),Settings!$F$78,Settings!$F$80,Settings!$F$82,Settings!$F$84,Settings!$F$86))/6,2)*6,"")</f>
        <v/>
      </c>
      <c r="W77" s="142">
        <f>IFERROR(CHOOSE(MATCH(IF($E77="","Основний",$E77),{"Трафіковий","Основний","Маржинальний","Сезонний","Стратегічний"},0),Settings!$F$78,Settings!$F$80,Settings!$F$82,Settings!$F$84,Settings!$F$86),"")</f>
        <v/>
      </c>
      <c r="X77" s="148">
        <f>IFERROR((V77*(1-Settings!$F$17)-C77)/(V77*(1-Settings!$F$17)),"")</f>
        <v/>
      </c>
      <c r="Y77" s="149">
        <f>IFERROR(IF(V77="","",IF(V77&gt;=C77/(1-SKU_Base!AD77)/(1-Settings!$F$17),"OK",IF(V77&gt;=C77/(1-SKU_Base!AK77)/(1-Settings!$F$17),"WARN","STOP"))),"")</f>
        <v/>
      </c>
      <c r="Z77" s="161">
        <f>IFERROR(ROUND(D77*(1-CHOOSE(MATCH(IF($E77="","Основний",$E77),{"Трафіковий","Основний","Маржинальний","Сезонний","Стратегічний"},0),Settings!$G$78,Settings!$G$80,Settings!$G$82,Settings!$G$84,Settings!$G$86))/6,2)*6,"")</f>
        <v/>
      </c>
      <c r="AA77" s="142">
        <f>IFERROR(CHOOSE(MATCH(IF($E77="","Основний",$E77),{"Трафіковий","Основний","Маржинальний","Сезонний","Стратегічний"},0),Settings!$G$78,Settings!$G$80,Settings!$G$82,Settings!$G$84,Settings!$G$86),"")</f>
        <v/>
      </c>
      <c r="AB77" s="148">
        <f>IFERROR((Z77*(1-Settings!$G$17)-C77)/(Z77*(1-Settings!$G$17)),"")</f>
        <v/>
      </c>
      <c r="AC77" s="149">
        <f>IFERROR(IF(Z77="","",IF(Z77&gt;=C77/(1-SKU_Base!AE77)/(1-Settings!$G$17),"OK",IF(Z77&gt;=C77/(1-SKU_Base!AL77)/(1-Settings!$G$17),"WARN","STOP"))),"")</f>
        <v/>
      </c>
      <c r="AD77" s="161">
        <f>IFERROR(ROUND(D77*(1-CHOOSE(MATCH(IF($E77="","Основний",$E77),{"Трафіковий","Основний","Маржинальний","Сезонний","Стратегічний"},0),Settings!$H$78,Settings!$H$80,Settings!$H$82,Settings!$H$84,Settings!$H$86))*(1-Settings!$H$68)/6,2)*6,"")</f>
        <v/>
      </c>
      <c r="AE77" s="142">
        <f>IFERROR(CHOOSE(MATCH(IF($E77="","Основний",$E77),{"Трафіковий","Основний","Маржинальний","Сезонний","Стратегічний"},0),Settings!$H$78,Settings!$H$80,Settings!$H$82,Settings!$H$84,Settings!$H$86)+(1-(CHOOSE(MATCH(IF($E77="","Основний",$E77),{"Трафіковий","Основний","Маржинальний","Сезонний","Стратегічний"},0),Settings!$H$78,Settings!$H$80,Settings!$H$82,Settings!$H$84,Settings!$H$86)))*Settings!$H$68,"")</f>
        <v/>
      </c>
      <c r="AF77" s="148">
        <f>IFERROR((AD77*(1-Settings!$H$17)-C77)/(AD77*(1-Settings!$H$17)),"")</f>
        <v/>
      </c>
      <c r="AG77" s="150">
        <f>IFERROR(IF(AD77="","",IF(AD77&gt;=C77/(1-SKU_Base!AF77)/(1-Settings!$H$17),"OK",IF(AD77&gt;=C77/(1-SKU_Base!AM77)/(1-Settings!$H$17),"WARN","STOP"))),"")</f>
        <v/>
      </c>
    </row>
    <row r="78" ht="17" customHeight="1" s="179">
      <c r="A78" s="139">
        <f>SKU_Base!B78</f>
        <v/>
      </c>
      <c r="B78" s="139">
        <f>SKU_Base!C78</f>
        <v/>
      </c>
      <c r="C78" s="140">
        <f>IFERROR(SKU_Base!I78,"")</f>
        <v/>
      </c>
      <c r="D78" s="163">
        <f>IFERROR(SKU_Base!T78,"")</f>
        <v/>
      </c>
      <c r="E78" s="141">
        <f>IFERROR(SKU_Base!$U78,"")</f>
        <v/>
      </c>
      <c r="F78" s="158">
        <f>IFERROR(ROUND(D78*(1-CHOOSE(MATCH(IF($E78="","Основний",$E78),{"Трафіковий","Основний","Маржинальний","Сезонний","Стратегічний"},0),Settings!$B$78,Settings!$B$80,Settings!$B$82,Settings!$B$84,Settings!$B$86))/6,2)*6,"")</f>
        <v/>
      </c>
      <c r="G78" s="142">
        <f>IFERROR(CHOOSE(MATCH(IF($E78="","Основний",$E78),{"Трафіковий","Основний","Маржинальний","Сезонний","Стратегічний"},0),Settings!$B$78,Settings!$B$80,Settings!$B$82,Settings!$B$84,Settings!$B$86),"")</f>
        <v/>
      </c>
      <c r="H78" s="143">
        <f>IFERROR((F78*(1-Settings!$B$17)-C78)/(F78*(1-Settings!$B$17)),"")</f>
        <v/>
      </c>
      <c r="I78" s="149">
        <f>IFERROR(IF(F78="","",IF(F78&gt;=C78/(1-SKU_Base!Z78)/(1-Settings!$B$17),"OK",IF(F78&gt;=C78/(1-SKU_Base!AG78)/(1-Settings!$B$17),"WARN","STOP"))),"")</f>
        <v/>
      </c>
      <c r="J78" s="158">
        <f>IFERROR(ROUND(D78*(1-CHOOSE(MATCH(IF($E78="","Основний",$E78),{"Трафіковий","Основний","Маржинальний","Сезонний","Стратегічний"},0),Settings!$C$78,Settings!$C$80,Settings!$C$82,Settings!$C$84,Settings!$C$86))/6,2)*6,"")</f>
        <v/>
      </c>
      <c r="K78" s="142">
        <f>IFERROR(CHOOSE(MATCH(IF($E78="","Основний",$E78),{"Трафіковий","Основний","Маржинальний","Сезонний","Стратегічний"},0),Settings!$C$78,Settings!$C$80,Settings!$C$82,Settings!$C$84,Settings!$C$86),"")</f>
        <v/>
      </c>
      <c r="L78" s="143">
        <f>IFERROR((J78*(1-Settings!$C$17)-C78)/(J78*(1-Settings!$C$17)),"")</f>
        <v/>
      </c>
      <c r="M78" s="149">
        <f>IFERROR(IF(J78="","",IF(J78&gt;=C78/(1-SKU_Base!AA78)/(1-Settings!$C$17),"OK",IF(J78&gt;=C78/(1-SKU_Base!AH78)/(1-Settings!$C$17),"WARN","STOP"))),"")</f>
        <v/>
      </c>
      <c r="N78" s="159">
        <f>IFERROR(ROUND(D78*(1-CHOOSE(MATCH(IF($E78="","Основний",$E78),{"Трафіковий","Основний","Маржинальний","Сезонний","Стратегічний"},0),Settings!$D$78,Settings!$D$80,Settings!$D$82,Settings!$D$84,Settings!$D$86))/6,2)*6,"")</f>
        <v/>
      </c>
      <c r="O78" s="142">
        <f>IFERROR(CHOOSE(MATCH(IF($E78="","Основний",$E78),{"Трафіковий","Основний","Маржинальний","Сезонний","Стратегічний"},0),Settings!$D$78,Settings!$D$80,Settings!$D$82,Settings!$D$84,Settings!$D$86),"")</f>
        <v/>
      </c>
      <c r="P78" s="143">
        <f>IFERROR((N78*(1-Settings!$D$17)-C78)/(N78*(1-Settings!$D$17)),"")</f>
        <v/>
      </c>
      <c r="Q78" s="149">
        <f>IFERROR(IF(N78="","",IF(N78&gt;=C78/(1-SKU_Base!AB78)/(1-Settings!$D$17),"OK",IF(N78&gt;=C78/(1-SKU_Base!AI78)/(1-Settings!$D$17),"WARN","STOP"))),"")</f>
        <v/>
      </c>
      <c r="R78" s="159">
        <f>IFERROR(ROUND(D78*(1-CHOOSE(MATCH(IF($E78="","Основний",$E78),{"Трафіковий","Основний","Маржинальний","Сезонний","Стратегічний"},0),Settings!$E$78,Settings!$E$80,Settings!$E$82,Settings!$E$84,Settings!$E$86))/6,2)*6,"")</f>
        <v/>
      </c>
      <c r="S78" s="142">
        <f>IFERROR(CHOOSE(MATCH(IF($E78="","Основний",$E78),{"Трафіковий","Основний","Маржинальний","Сезонний","Стратегічний"},0),Settings!$E$78,Settings!$E$80,Settings!$E$82,Settings!$E$84,Settings!$E$86),"")</f>
        <v/>
      </c>
      <c r="T78" s="143">
        <f>IFERROR((R78*(1-Settings!$E$17)-C78)/(R78*(1-Settings!$E$17)),"")</f>
        <v/>
      </c>
      <c r="U78" s="149">
        <f>IFERROR(IF(R78="","",IF(R78&gt;=C78/(1-SKU_Base!AC78)/(1-Settings!$E$17),"OK",IF(R78&gt;=C78/(1-SKU_Base!AJ78)/(1-Settings!$E$17),"WARN","STOP"))),"")</f>
        <v/>
      </c>
      <c r="V78" s="159">
        <f>IFERROR(ROUND(D78*(1-CHOOSE(MATCH(IF($E78="","Основний",$E78),{"Трафіковий","Основний","Маржинальний","Сезонний","Стратегічний"},0),Settings!$F$78,Settings!$F$80,Settings!$F$82,Settings!$F$84,Settings!$F$86))/6,2)*6,"")</f>
        <v/>
      </c>
      <c r="W78" s="142">
        <f>IFERROR(CHOOSE(MATCH(IF($E78="","Основний",$E78),{"Трафіковий","Основний","Маржинальний","Сезонний","Стратегічний"},0),Settings!$F$78,Settings!$F$80,Settings!$F$82,Settings!$F$84,Settings!$F$86),"")</f>
        <v/>
      </c>
      <c r="X78" s="143">
        <f>IFERROR((V78*(1-Settings!$F$17)-C78)/(V78*(1-Settings!$F$17)),"")</f>
        <v/>
      </c>
      <c r="Y78" s="149">
        <f>IFERROR(IF(V78="","",IF(V78&gt;=C78/(1-SKU_Base!AD78)/(1-Settings!$F$17),"OK",IF(V78&gt;=C78/(1-SKU_Base!AK78)/(1-Settings!$F$17),"WARN","STOP"))),"")</f>
        <v/>
      </c>
      <c r="Z78" s="159">
        <f>IFERROR(ROUND(D78*(1-CHOOSE(MATCH(IF($E78="","Основний",$E78),{"Трафіковий","Основний","Маржинальний","Сезонний","Стратегічний"},0),Settings!$G$78,Settings!$G$80,Settings!$G$82,Settings!$G$84,Settings!$G$86))/6,2)*6,"")</f>
        <v/>
      </c>
      <c r="AA78" s="142">
        <f>IFERROR(CHOOSE(MATCH(IF($E78="","Основний",$E78),{"Трафіковий","Основний","Маржинальний","Сезонний","Стратегічний"},0),Settings!$G$78,Settings!$G$80,Settings!$G$82,Settings!$G$84,Settings!$G$86),"")</f>
        <v/>
      </c>
      <c r="AB78" s="143">
        <f>IFERROR((Z78*(1-Settings!$G$17)-C78)/(Z78*(1-Settings!$G$17)),"")</f>
        <v/>
      </c>
      <c r="AC78" s="149">
        <f>IFERROR(IF(Z78="","",IF(Z78&gt;=C78/(1-SKU_Base!AE78)/(1-Settings!$G$17),"OK",IF(Z78&gt;=C78/(1-SKU_Base!AL78)/(1-Settings!$G$17),"WARN","STOP"))),"")</f>
        <v/>
      </c>
      <c r="AD78" s="159">
        <f>IFERROR(ROUND(D78*(1-CHOOSE(MATCH(IF($E78="","Основний",$E78),{"Трафіковий","Основний","Маржинальний","Сезонний","Стратегічний"},0),Settings!$H$78,Settings!$H$80,Settings!$H$82,Settings!$H$84,Settings!$H$86))*(1-Settings!$H$68)/6,2)*6,"")</f>
        <v/>
      </c>
      <c r="AE78" s="142">
        <f>IFERROR(CHOOSE(MATCH(IF($E78="","Основний",$E78),{"Трафіковий","Основний","Маржинальний","Сезонний","Стратегічний"},0),Settings!$H$78,Settings!$H$80,Settings!$H$82,Settings!$H$84,Settings!$H$86)+(1-(CHOOSE(MATCH(IF($E78="","Основний",$E78),{"Трафіковий","Основний","Маржинальний","Сезонний","Стратегічний"},0),Settings!$H$78,Settings!$H$80,Settings!$H$82,Settings!$H$84,Settings!$H$86)))*Settings!$H$68,"")</f>
        <v/>
      </c>
      <c r="AF78" s="143">
        <f>IFERROR((AD78*(1-Settings!$H$17)-C78)/(AD78*(1-Settings!$H$17)),"")</f>
        <v/>
      </c>
      <c r="AG78" s="150">
        <f>IFERROR(IF(AD78="","",IF(AD78&gt;=C78/(1-SKU_Base!AF78)/(1-Settings!$H$17),"OK",IF(AD78&gt;=C78/(1-SKU_Base!AM78)/(1-Settings!$H$17),"WARN","STOP"))),"")</f>
        <v/>
      </c>
    </row>
    <row r="79" ht="17" customHeight="1" s="179">
      <c r="A79" s="146">
        <f>SKU_Base!B79</f>
        <v/>
      </c>
      <c r="B79" s="146">
        <f>SKU_Base!C79</f>
        <v/>
      </c>
      <c r="C79" s="147">
        <f>IFERROR(SKU_Base!I79,"")</f>
        <v/>
      </c>
      <c r="D79" s="164">
        <f>IFERROR(SKU_Base!T79,"")</f>
        <v/>
      </c>
      <c r="E79" s="141">
        <f>IFERROR(SKU_Base!$U79,"")</f>
        <v/>
      </c>
      <c r="F79" s="160">
        <f>IFERROR(ROUND(D79*(1-CHOOSE(MATCH(IF($E79="","Основний",$E79),{"Трафіковий","Основний","Маржинальний","Сезонний","Стратегічний"},0),Settings!$B$78,Settings!$B$80,Settings!$B$82,Settings!$B$84,Settings!$B$86))/6,2)*6,"")</f>
        <v/>
      </c>
      <c r="G79" s="142">
        <f>IFERROR(CHOOSE(MATCH(IF($E79="","Основний",$E79),{"Трафіковий","Основний","Маржинальний","Сезонний","Стратегічний"},0),Settings!$B$78,Settings!$B$80,Settings!$B$82,Settings!$B$84,Settings!$B$86),"")</f>
        <v/>
      </c>
      <c r="H79" s="148">
        <f>IFERROR((F79*(1-Settings!$B$17)-C79)/(F79*(1-Settings!$B$17)),"")</f>
        <v/>
      </c>
      <c r="I79" s="150">
        <f>IFERROR(IF(F79="","",IF(F79&gt;=C79/(1-SKU_Base!Z79)/(1-Settings!$B$17),"OK",IF(F79&gt;=C79/(1-SKU_Base!AG79)/(1-Settings!$B$17),"WARN","STOP"))),"")</f>
        <v/>
      </c>
      <c r="J79" s="160">
        <f>IFERROR(ROUND(D79*(1-CHOOSE(MATCH(IF($E79="","Основний",$E79),{"Трафіковий","Основний","Маржинальний","Сезонний","Стратегічний"},0),Settings!$C$78,Settings!$C$80,Settings!$C$82,Settings!$C$84,Settings!$C$86))/6,2)*6,"")</f>
        <v/>
      </c>
      <c r="K79" s="142">
        <f>IFERROR(CHOOSE(MATCH(IF($E79="","Основний",$E79),{"Трафіковий","Основний","Маржинальний","Сезонний","Стратегічний"},0),Settings!$C$78,Settings!$C$80,Settings!$C$82,Settings!$C$84,Settings!$C$86),"")</f>
        <v/>
      </c>
      <c r="L79" s="148">
        <f>IFERROR((J79*(1-Settings!$C$17)-C79)/(J79*(1-Settings!$C$17)),"")</f>
        <v/>
      </c>
      <c r="M79" s="149">
        <f>IFERROR(IF(J79="","",IF(J79&gt;=C79/(1-SKU_Base!AA79)/(1-Settings!$C$17),"OK",IF(J79&gt;=C79/(1-SKU_Base!AH79)/(1-Settings!$C$17),"WARN","STOP"))),"")</f>
        <v/>
      </c>
      <c r="N79" s="161">
        <f>IFERROR(ROUND(D79*(1-CHOOSE(MATCH(IF($E79="","Основний",$E79),{"Трафіковий","Основний","Маржинальний","Сезонний","Стратегічний"},0),Settings!$D$78,Settings!$D$80,Settings!$D$82,Settings!$D$84,Settings!$D$86))/6,2)*6,"")</f>
        <v/>
      </c>
      <c r="O79" s="142">
        <f>IFERROR(CHOOSE(MATCH(IF($E79="","Основний",$E79),{"Трафіковий","Основний","Маржинальний","Сезонний","Стратегічний"},0),Settings!$D$78,Settings!$D$80,Settings!$D$82,Settings!$D$84,Settings!$D$86),"")</f>
        <v/>
      </c>
      <c r="P79" s="148">
        <f>IFERROR((N79*(1-Settings!$D$17)-C79)/(N79*(1-Settings!$D$17)),"")</f>
        <v/>
      </c>
      <c r="Q79" s="149">
        <f>IFERROR(IF(N79="","",IF(N79&gt;=C79/(1-SKU_Base!AB79)/(1-Settings!$D$17),"OK",IF(N79&gt;=C79/(1-SKU_Base!AI79)/(1-Settings!$D$17),"WARN","STOP"))),"")</f>
        <v/>
      </c>
      <c r="R79" s="161">
        <f>IFERROR(ROUND(D79*(1-CHOOSE(MATCH(IF($E79="","Основний",$E79),{"Трафіковий","Основний","Маржинальний","Сезонний","Стратегічний"},0),Settings!$E$78,Settings!$E$80,Settings!$E$82,Settings!$E$84,Settings!$E$86))/6,2)*6,"")</f>
        <v/>
      </c>
      <c r="S79" s="142">
        <f>IFERROR(CHOOSE(MATCH(IF($E79="","Основний",$E79),{"Трафіковий","Основний","Маржинальний","Сезонний","Стратегічний"},0),Settings!$E$78,Settings!$E$80,Settings!$E$82,Settings!$E$84,Settings!$E$86),"")</f>
        <v/>
      </c>
      <c r="T79" s="148">
        <f>IFERROR((R79*(1-Settings!$E$17)-C79)/(R79*(1-Settings!$E$17)),"")</f>
        <v/>
      </c>
      <c r="U79" s="149">
        <f>IFERROR(IF(R79="","",IF(R79&gt;=C79/(1-SKU_Base!AC79)/(1-Settings!$E$17),"OK",IF(R79&gt;=C79/(1-SKU_Base!AJ79)/(1-Settings!$E$17),"WARN","STOP"))),"")</f>
        <v/>
      </c>
      <c r="V79" s="161">
        <f>IFERROR(ROUND(D79*(1-CHOOSE(MATCH(IF($E79="","Основний",$E79),{"Трафіковий","Основний","Маржинальний","Сезонний","Стратегічний"},0),Settings!$F$78,Settings!$F$80,Settings!$F$82,Settings!$F$84,Settings!$F$86))/6,2)*6,"")</f>
        <v/>
      </c>
      <c r="W79" s="142">
        <f>IFERROR(CHOOSE(MATCH(IF($E79="","Основний",$E79),{"Трафіковий","Основний","Маржинальний","Сезонний","Стратегічний"},0),Settings!$F$78,Settings!$F$80,Settings!$F$82,Settings!$F$84,Settings!$F$86),"")</f>
        <v/>
      </c>
      <c r="X79" s="148">
        <f>IFERROR((V79*(1-Settings!$F$17)-C79)/(V79*(1-Settings!$F$17)),"")</f>
        <v/>
      </c>
      <c r="Y79" s="149">
        <f>IFERROR(IF(V79="","",IF(V79&gt;=C79/(1-SKU_Base!AD79)/(1-Settings!$F$17),"OK",IF(V79&gt;=C79/(1-SKU_Base!AK79)/(1-Settings!$F$17),"WARN","STOP"))),"")</f>
        <v/>
      </c>
      <c r="Z79" s="161">
        <f>IFERROR(ROUND(D79*(1-CHOOSE(MATCH(IF($E79="","Основний",$E79),{"Трафіковий","Основний","Маржинальний","Сезонний","Стратегічний"},0),Settings!$G$78,Settings!$G$80,Settings!$G$82,Settings!$G$84,Settings!$G$86))/6,2)*6,"")</f>
        <v/>
      </c>
      <c r="AA79" s="142">
        <f>IFERROR(CHOOSE(MATCH(IF($E79="","Основний",$E79),{"Трафіковий","Основний","Маржинальний","Сезонний","Стратегічний"},0),Settings!$G$78,Settings!$G$80,Settings!$G$82,Settings!$G$84,Settings!$G$86),"")</f>
        <v/>
      </c>
      <c r="AB79" s="148">
        <f>IFERROR((Z79*(1-Settings!$G$17)-C79)/(Z79*(1-Settings!$G$17)),"")</f>
        <v/>
      </c>
      <c r="AC79" s="149">
        <f>IFERROR(IF(Z79="","",IF(Z79&gt;=C79/(1-SKU_Base!AE79)/(1-Settings!$G$17),"OK",IF(Z79&gt;=C79/(1-SKU_Base!AL79)/(1-Settings!$G$17),"WARN","STOP"))),"")</f>
        <v/>
      </c>
      <c r="AD79" s="161">
        <f>IFERROR(ROUND(D79*(1-CHOOSE(MATCH(IF($E79="","Основний",$E79),{"Трафіковий","Основний","Маржинальний","Сезонний","Стратегічний"},0),Settings!$H$78,Settings!$H$80,Settings!$H$82,Settings!$H$84,Settings!$H$86))*(1-Settings!$H$68)/6,2)*6,"")</f>
        <v/>
      </c>
      <c r="AE79" s="142">
        <f>IFERROR(CHOOSE(MATCH(IF($E79="","Основний",$E79),{"Трафіковий","Основний","Маржинальний","Сезонний","Стратегічний"},0),Settings!$H$78,Settings!$H$80,Settings!$H$82,Settings!$H$84,Settings!$H$86)+(1-(CHOOSE(MATCH(IF($E79="","Основний",$E79),{"Трафіковий","Основний","Маржинальний","Сезонний","Стратегічний"},0),Settings!$H$78,Settings!$H$80,Settings!$H$82,Settings!$H$84,Settings!$H$86)))*Settings!$H$68,"")</f>
        <v/>
      </c>
      <c r="AF79" s="148">
        <f>IFERROR((AD79*(1-Settings!$H$17)-C79)/(AD79*(1-Settings!$H$17)),"")</f>
        <v/>
      </c>
      <c r="AG79" s="150">
        <f>IFERROR(IF(AD79="","",IF(AD79&gt;=C79/(1-SKU_Base!AF79)/(1-Settings!$H$17),"OK",IF(AD79&gt;=C79/(1-SKU_Base!AM79)/(1-Settings!$H$17),"WARN","STOP"))),"")</f>
        <v/>
      </c>
    </row>
    <row r="80" ht="17" customHeight="1" s="179">
      <c r="A80" s="139">
        <f>SKU_Base!B80</f>
        <v/>
      </c>
      <c r="B80" s="139">
        <f>SKU_Base!C80</f>
        <v/>
      </c>
      <c r="C80" s="140">
        <f>IFERROR(SKU_Base!I80,"")</f>
        <v/>
      </c>
      <c r="D80" s="163">
        <f>IFERROR(SKU_Base!T80,"")</f>
        <v/>
      </c>
      <c r="E80" s="141">
        <f>IFERROR(SKU_Base!$U80,"")</f>
        <v/>
      </c>
      <c r="F80" s="158">
        <f>IFERROR(ROUND(D80*(1-CHOOSE(MATCH(IF($E80="","Основний",$E80),{"Трафіковий","Основний","Маржинальний","Сезонний","Стратегічний"},0),Settings!$B$78,Settings!$B$80,Settings!$B$82,Settings!$B$84,Settings!$B$86))/6,2)*6,"")</f>
        <v/>
      </c>
      <c r="G80" s="142">
        <f>IFERROR(CHOOSE(MATCH(IF($E80="","Основний",$E80),{"Трафіковий","Основний","Маржинальний","Сезонний","Стратегічний"},0),Settings!$B$78,Settings!$B$80,Settings!$B$82,Settings!$B$84,Settings!$B$86),"")</f>
        <v/>
      </c>
      <c r="H80" s="143">
        <f>IFERROR((F80*(1-Settings!$B$17)-C80)/(F80*(1-Settings!$B$17)),"")</f>
        <v/>
      </c>
      <c r="I80" s="149">
        <f>IFERROR(IF(F80="","",IF(F80&gt;=C80/(1-SKU_Base!Z80)/(1-Settings!$B$17),"OK",IF(F80&gt;=C80/(1-SKU_Base!AG80)/(1-Settings!$B$17),"WARN","STOP"))),"")</f>
        <v/>
      </c>
      <c r="J80" s="158">
        <f>IFERROR(ROUND(D80*(1-CHOOSE(MATCH(IF($E80="","Основний",$E80),{"Трафіковий","Основний","Маржинальний","Сезонний","Стратегічний"},0),Settings!$C$78,Settings!$C$80,Settings!$C$82,Settings!$C$84,Settings!$C$86))/6,2)*6,"")</f>
        <v/>
      </c>
      <c r="K80" s="142">
        <f>IFERROR(CHOOSE(MATCH(IF($E80="","Основний",$E80),{"Трафіковий","Основний","Маржинальний","Сезонний","Стратегічний"},0),Settings!$C$78,Settings!$C$80,Settings!$C$82,Settings!$C$84,Settings!$C$86),"")</f>
        <v/>
      </c>
      <c r="L80" s="143">
        <f>IFERROR((J80*(1-Settings!$C$17)-C80)/(J80*(1-Settings!$C$17)),"")</f>
        <v/>
      </c>
      <c r="M80" s="149">
        <f>IFERROR(IF(J80="","",IF(J80&gt;=C80/(1-SKU_Base!AA80)/(1-Settings!$C$17),"OK",IF(J80&gt;=C80/(1-SKU_Base!AH80)/(1-Settings!$C$17),"WARN","STOP"))),"")</f>
        <v/>
      </c>
      <c r="N80" s="159">
        <f>IFERROR(ROUND(D80*(1-CHOOSE(MATCH(IF($E80="","Основний",$E80),{"Трафіковий","Основний","Маржинальний","Сезонний","Стратегічний"},0),Settings!$D$78,Settings!$D$80,Settings!$D$82,Settings!$D$84,Settings!$D$86))/6,2)*6,"")</f>
        <v/>
      </c>
      <c r="O80" s="142">
        <f>IFERROR(CHOOSE(MATCH(IF($E80="","Основний",$E80),{"Трафіковий","Основний","Маржинальний","Сезонний","Стратегічний"},0),Settings!$D$78,Settings!$D$80,Settings!$D$82,Settings!$D$84,Settings!$D$86),"")</f>
        <v/>
      </c>
      <c r="P80" s="143">
        <f>IFERROR((N80*(1-Settings!$D$17)-C80)/(N80*(1-Settings!$D$17)),"")</f>
        <v/>
      </c>
      <c r="Q80" s="149">
        <f>IFERROR(IF(N80="","",IF(N80&gt;=C80/(1-SKU_Base!AB80)/(1-Settings!$D$17),"OK",IF(N80&gt;=C80/(1-SKU_Base!AI80)/(1-Settings!$D$17),"WARN","STOP"))),"")</f>
        <v/>
      </c>
      <c r="R80" s="159">
        <f>IFERROR(ROUND(D80*(1-CHOOSE(MATCH(IF($E80="","Основний",$E80),{"Трафіковий","Основний","Маржинальний","Сезонний","Стратегічний"},0),Settings!$E$78,Settings!$E$80,Settings!$E$82,Settings!$E$84,Settings!$E$86))/6,2)*6,"")</f>
        <v/>
      </c>
      <c r="S80" s="142">
        <f>IFERROR(CHOOSE(MATCH(IF($E80="","Основний",$E80),{"Трафіковий","Основний","Маржинальний","Сезонний","Стратегічний"},0),Settings!$E$78,Settings!$E$80,Settings!$E$82,Settings!$E$84,Settings!$E$86),"")</f>
        <v/>
      </c>
      <c r="T80" s="143">
        <f>IFERROR((R80*(1-Settings!$E$17)-C80)/(R80*(1-Settings!$E$17)),"")</f>
        <v/>
      </c>
      <c r="U80" s="149">
        <f>IFERROR(IF(R80="","",IF(R80&gt;=C80/(1-SKU_Base!AC80)/(1-Settings!$E$17),"OK",IF(R80&gt;=C80/(1-SKU_Base!AJ80)/(1-Settings!$E$17),"WARN","STOP"))),"")</f>
        <v/>
      </c>
      <c r="V80" s="159">
        <f>IFERROR(ROUND(D80*(1-CHOOSE(MATCH(IF($E80="","Основний",$E80),{"Трафіковий","Основний","Маржинальний","Сезонний","Стратегічний"},0),Settings!$F$78,Settings!$F$80,Settings!$F$82,Settings!$F$84,Settings!$F$86))/6,2)*6,"")</f>
        <v/>
      </c>
      <c r="W80" s="142">
        <f>IFERROR(CHOOSE(MATCH(IF($E80="","Основний",$E80),{"Трафіковий","Основний","Маржинальний","Сезонний","Стратегічний"},0),Settings!$F$78,Settings!$F$80,Settings!$F$82,Settings!$F$84,Settings!$F$86),"")</f>
        <v/>
      </c>
      <c r="X80" s="143">
        <f>IFERROR((V80*(1-Settings!$F$17)-C80)/(V80*(1-Settings!$F$17)),"")</f>
        <v/>
      </c>
      <c r="Y80" s="149">
        <f>IFERROR(IF(V80="","",IF(V80&gt;=C80/(1-SKU_Base!AD80)/(1-Settings!$F$17),"OK",IF(V80&gt;=C80/(1-SKU_Base!AK80)/(1-Settings!$F$17),"WARN","STOP"))),"")</f>
        <v/>
      </c>
      <c r="Z80" s="159">
        <f>IFERROR(ROUND(D80*(1-CHOOSE(MATCH(IF($E80="","Основний",$E80),{"Трафіковий","Основний","Маржинальний","Сезонний","Стратегічний"},0),Settings!$G$78,Settings!$G$80,Settings!$G$82,Settings!$G$84,Settings!$G$86))/6,2)*6,"")</f>
        <v/>
      </c>
      <c r="AA80" s="142">
        <f>IFERROR(CHOOSE(MATCH(IF($E80="","Основний",$E80),{"Трафіковий","Основний","Маржинальний","Сезонний","Стратегічний"},0),Settings!$G$78,Settings!$G$80,Settings!$G$82,Settings!$G$84,Settings!$G$86),"")</f>
        <v/>
      </c>
      <c r="AB80" s="143">
        <f>IFERROR((Z80*(1-Settings!$G$17)-C80)/(Z80*(1-Settings!$G$17)),"")</f>
        <v/>
      </c>
      <c r="AC80" s="149">
        <f>IFERROR(IF(Z80="","",IF(Z80&gt;=C80/(1-SKU_Base!AE80)/(1-Settings!$G$17),"OK",IF(Z80&gt;=C80/(1-SKU_Base!AL80)/(1-Settings!$G$17),"WARN","STOP"))),"")</f>
        <v/>
      </c>
      <c r="AD80" s="159">
        <f>IFERROR(ROUND(D80*(1-CHOOSE(MATCH(IF($E80="","Основний",$E80),{"Трафіковий","Основний","Маржинальний","Сезонний","Стратегічний"},0),Settings!$H$78,Settings!$H$80,Settings!$H$82,Settings!$H$84,Settings!$H$86))*(1-Settings!$H$68)/6,2)*6,"")</f>
        <v/>
      </c>
      <c r="AE80" s="142">
        <f>IFERROR(CHOOSE(MATCH(IF($E80="","Основний",$E80),{"Трафіковий","Основний","Маржинальний","Сезонний","Стратегічний"},0),Settings!$H$78,Settings!$H$80,Settings!$H$82,Settings!$H$84,Settings!$H$86)+(1-(CHOOSE(MATCH(IF($E80="","Основний",$E80),{"Трафіковий","Основний","Маржинальний","Сезонний","Стратегічний"},0),Settings!$H$78,Settings!$H$80,Settings!$H$82,Settings!$H$84,Settings!$H$86)))*Settings!$H$68,"")</f>
        <v/>
      </c>
      <c r="AF80" s="143">
        <f>IFERROR((AD80*(1-Settings!$H$17)-C80)/(AD80*(1-Settings!$H$17)),"")</f>
        <v/>
      </c>
      <c r="AG80" s="150">
        <f>IFERROR(IF(AD80="","",IF(AD80&gt;=C80/(1-SKU_Base!AF80)/(1-Settings!$H$17),"OK",IF(AD80&gt;=C80/(1-SKU_Base!AM80)/(1-Settings!$H$17),"WARN","STOP"))),"")</f>
        <v/>
      </c>
    </row>
    <row r="81" ht="17" customHeight="1" s="179">
      <c r="A81" s="146">
        <f>SKU_Base!B81</f>
        <v/>
      </c>
      <c r="B81" s="146">
        <f>SKU_Base!C81</f>
        <v/>
      </c>
      <c r="C81" s="147">
        <f>IFERROR(SKU_Base!I81,"")</f>
        <v/>
      </c>
      <c r="D81" s="164">
        <f>IFERROR(SKU_Base!T81,"")</f>
        <v/>
      </c>
      <c r="E81" s="141">
        <f>IFERROR(SKU_Base!$U81,"")</f>
        <v/>
      </c>
      <c r="F81" s="160">
        <f>IFERROR(ROUND(D81*(1-CHOOSE(MATCH(IF($E81="","Основний",$E81),{"Трафіковий","Основний","Маржинальний","Сезонний","Стратегічний"},0),Settings!$B$78,Settings!$B$80,Settings!$B$82,Settings!$B$84,Settings!$B$86))/6,2)*6,"")</f>
        <v/>
      </c>
      <c r="G81" s="142">
        <f>IFERROR(CHOOSE(MATCH(IF($E81="","Основний",$E81),{"Трафіковий","Основний","Маржинальний","Сезонний","Стратегічний"},0),Settings!$B$78,Settings!$B$80,Settings!$B$82,Settings!$B$84,Settings!$B$86),"")</f>
        <v/>
      </c>
      <c r="H81" s="148">
        <f>IFERROR((F81*(1-Settings!$B$17)-C81)/(F81*(1-Settings!$B$17)),"")</f>
        <v/>
      </c>
      <c r="I81" s="149">
        <f>IFERROR(IF(F81="","",IF(F81&gt;=C81/(1-SKU_Base!Z81)/(1-Settings!$B$17),"OK",IF(F81&gt;=C81/(1-SKU_Base!AG81)/(1-Settings!$B$17),"WARN","STOP"))),"")</f>
        <v/>
      </c>
      <c r="J81" s="160">
        <f>IFERROR(ROUND(D81*(1-CHOOSE(MATCH(IF($E81="","Основний",$E81),{"Трафіковий","Основний","Маржинальний","Сезонний","Стратегічний"},0),Settings!$C$78,Settings!$C$80,Settings!$C$82,Settings!$C$84,Settings!$C$86))/6,2)*6,"")</f>
        <v/>
      </c>
      <c r="K81" s="142">
        <f>IFERROR(CHOOSE(MATCH(IF($E81="","Основний",$E81),{"Трафіковий","Основний","Маржинальний","Сезонний","Стратегічний"},0),Settings!$C$78,Settings!$C$80,Settings!$C$82,Settings!$C$84,Settings!$C$86),"")</f>
        <v/>
      </c>
      <c r="L81" s="148">
        <f>IFERROR((J81*(1-Settings!$C$17)-C81)/(J81*(1-Settings!$C$17)),"")</f>
        <v/>
      </c>
      <c r="M81" s="149">
        <f>IFERROR(IF(J81="","",IF(J81&gt;=C81/(1-SKU_Base!AA81)/(1-Settings!$C$17),"OK",IF(J81&gt;=C81/(1-SKU_Base!AH81)/(1-Settings!$C$17),"WARN","STOP"))),"")</f>
        <v/>
      </c>
      <c r="N81" s="161">
        <f>IFERROR(ROUND(D81*(1-CHOOSE(MATCH(IF($E81="","Основний",$E81),{"Трафіковий","Основний","Маржинальний","Сезонний","Стратегічний"},0),Settings!$D$78,Settings!$D$80,Settings!$D$82,Settings!$D$84,Settings!$D$86))/6,2)*6,"")</f>
        <v/>
      </c>
      <c r="O81" s="142">
        <f>IFERROR(CHOOSE(MATCH(IF($E81="","Основний",$E81),{"Трафіковий","Основний","Маржинальний","Сезонний","Стратегічний"},0),Settings!$D$78,Settings!$D$80,Settings!$D$82,Settings!$D$84,Settings!$D$86),"")</f>
        <v/>
      </c>
      <c r="P81" s="148">
        <f>IFERROR((N81*(1-Settings!$D$17)-C81)/(N81*(1-Settings!$D$17)),"")</f>
        <v/>
      </c>
      <c r="Q81" s="149">
        <f>IFERROR(IF(N81="","",IF(N81&gt;=C81/(1-SKU_Base!AB81)/(1-Settings!$D$17),"OK",IF(N81&gt;=C81/(1-SKU_Base!AI81)/(1-Settings!$D$17),"WARN","STOP"))),"")</f>
        <v/>
      </c>
      <c r="R81" s="161">
        <f>IFERROR(ROUND(D81*(1-CHOOSE(MATCH(IF($E81="","Основний",$E81),{"Трафіковий","Основний","Маржинальний","Сезонний","Стратегічний"},0),Settings!$E$78,Settings!$E$80,Settings!$E$82,Settings!$E$84,Settings!$E$86))/6,2)*6,"")</f>
        <v/>
      </c>
      <c r="S81" s="142">
        <f>IFERROR(CHOOSE(MATCH(IF($E81="","Основний",$E81),{"Трафіковий","Основний","Маржинальний","Сезонний","Стратегічний"},0),Settings!$E$78,Settings!$E$80,Settings!$E$82,Settings!$E$84,Settings!$E$86),"")</f>
        <v/>
      </c>
      <c r="T81" s="148">
        <f>IFERROR((R81*(1-Settings!$E$17)-C81)/(R81*(1-Settings!$E$17)),"")</f>
        <v/>
      </c>
      <c r="U81" s="149">
        <f>IFERROR(IF(R81="","",IF(R81&gt;=C81/(1-SKU_Base!AC81)/(1-Settings!$E$17),"OK",IF(R81&gt;=C81/(1-SKU_Base!AJ81)/(1-Settings!$E$17),"WARN","STOP"))),"")</f>
        <v/>
      </c>
      <c r="V81" s="161">
        <f>IFERROR(ROUND(D81*(1-CHOOSE(MATCH(IF($E81="","Основний",$E81),{"Трафіковий","Основний","Маржинальний","Сезонний","Стратегічний"},0),Settings!$F$78,Settings!$F$80,Settings!$F$82,Settings!$F$84,Settings!$F$86))/6,2)*6,"")</f>
        <v/>
      </c>
      <c r="W81" s="142">
        <f>IFERROR(CHOOSE(MATCH(IF($E81="","Основний",$E81),{"Трафіковий","Основний","Маржинальний","Сезонний","Стратегічний"},0),Settings!$F$78,Settings!$F$80,Settings!$F$82,Settings!$F$84,Settings!$F$86),"")</f>
        <v/>
      </c>
      <c r="X81" s="148">
        <f>IFERROR((V81*(1-Settings!$F$17)-C81)/(V81*(1-Settings!$F$17)),"")</f>
        <v/>
      </c>
      <c r="Y81" s="149">
        <f>IFERROR(IF(V81="","",IF(V81&gt;=C81/(1-SKU_Base!AD81)/(1-Settings!$F$17),"OK",IF(V81&gt;=C81/(1-SKU_Base!AK81)/(1-Settings!$F$17),"WARN","STOP"))),"")</f>
        <v/>
      </c>
      <c r="Z81" s="161">
        <f>IFERROR(ROUND(D81*(1-CHOOSE(MATCH(IF($E81="","Основний",$E81),{"Трафіковий","Основний","Маржинальний","Сезонний","Стратегічний"},0),Settings!$G$78,Settings!$G$80,Settings!$G$82,Settings!$G$84,Settings!$G$86))/6,2)*6,"")</f>
        <v/>
      </c>
      <c r="AA81" s="142">
        <f>IFERROR(CHOOSE(MATCH(IF($E81="","Основний",$E81),{"Трафіковий","Основний","Маржинальний","Сезонний","Стратегічний"},0),Settings!$G$78,Settings!$G$80,Settings!$G$82,Settings!$G$84,Settings!$G$86),"")</f>
        <v/>
      </c>
      <c r="AB81" s="148">
        <f>IFERROR((Z81*(1-Settings!$G$17)-C81)/(Z81*(1-Settings!$G$17)),"")</f>
        <v/>
      </c>
      <c r="AC81" s="149">
        <f>IFERROR(IF(Z81="","",IF(Z81&gt;=C81/(1-SKU_Base!AE81)/(1-Settings!$G$17),"OK",IF(Z81&gt;=C81/(1-SKU_Base!AL81)/(1-Settings!$G$17),"WARN","STOP"))),"")</f>
        <v/>
      </c>
      <c r="AD81" s="161">
        <f>IFERROR(ROUND(D81*(1-CHOOSE(MATCH(IF($E81="","Основний",$E81),{"Трафіковий","Основний","Маржинальний","Сезонний","Стратегічний"},0),Settings!$H$78,Settings!$H$80,Settings!$H$82,Settings!$H$84,Settings!$H$86))*(1-Settings!$H$68)/6,2)*6,"")</f>
        <v/>
      </c>
      <c r="AE81" s="142">
        <f>IFERROR(CHOOSE(MATCH(IF($E81="","Основний",$E81),{"Трафіковий","Основний","Маржинальний","Сезонний","Стратегічний"},0),Settings!$H$78,Settings!$H$80,Settings!$H$82,Settings!$H$84,Settings!$H$86)+(1-(CHOOSE(MATCH(IF($E81="","Основний",$E81),{"Трафіковий","Основний","Маржинальний","Сезонний","Стратегічний"},0),Settings!$H$78,Settings!$H$80,Settings!$H$82,Settings!$H$84,Settings!$H$86)))*Settings!$H$68,"")</f>
        <v/>
      </c>
      <c r="AF81" s="148">
        <f>IFERROR((AD81*(1-Settings!$H$17)-C81)/(AD81*(1-Settings!$H$17)),"")</f>
        <v/>
      </c>
      <c r="AG81" s="150">
        <f>IFERROR(IF(AD81="","",IF(AD81&gt;=C81/(1-SKU_Base!AF81)/(1-Settings!$H$17),"OK",IF(AD81&gt;=C81/(1-SKU_Base!AM81)/(1-Settings!$H$17),"WARN","STOP"))),"")</f>
        <v/>
      </c>
    </row>
    <row r="82" ht="17" customHeight="1" s="179">
      <c r="A82" s="139">
        <f>SKU_Base!B82</f>
        <v/>
      </c>
      <c r="B82" s="139">
        <f>SKU_Base!C82</f>
        <v/>
      </c>
      <c r="C82" s="140">
        <f>IFERROR(SKU_Base!I82,"")</f>
        <v/>
      </c>
      <c r="D82" s="163">
        <f>IFERROR(SKU_Base!T82,"")</f>
        <v/>
      </c>
      <c r="E82" s="141">
        <f>IFERROR(SKU_Base!$U82,"")</f>
        <v/>
      </c>
      <c r="F82" s="158">
        <f>IFERROR(ROUND(D82*(1-CHOOSE(MATCH(IF($E82="","Основний",$E82),{"Трафіковий","Основний","Маржинальний","Сезонний","Стратегічний"},0),Settings!$B$78,Settings!$B$80,Settings!$B$82,Settings!$B$84,Settings!$B$86))/6,2)*6,"")</f>
        <v/>
      </c>
      <c r="G82" s="142">
        <f>IFERROR(CHOOSE(MATCH(IF($E82="","Основний",$E82),{"Трафіковий","Основний","Маржинальний","Сезонний","Стратегічний"},0),Settings!$B$78,Settings!$B$80,Settings!$B$82,Settings!$B$84,Settings!$B$86),"")</f>
        <v/>
      </c>
      <c r="H82" s="143">
        <f>IFERROR((F82*(1-Settings!$B$17)-C82)/(F82*(1-Settings!$B$17)),"")</f>
        <v/>
      </c>
      <c r="I82" s="150">
        <f>IFERROR(IF(F82="","",IF(F82&gt;=C82/(1-SKU_Base!Z82)/(1-Settings!$B$17),"OK",IF(F82&gt;=C82/(1-SKU_Base!AG82)/(1-Settings!$B$17),"WARN","STOP"))),"")</f>
        <v/>
      </c>
      <c r="J82" s="158">
        <f>IFERROR(ROUND(D82*(1-CHOOSE(MATCH(IF($E82="","Основний",$E82),{"Трафіковий","Основний","Маржинальний","Сезонний","Стратегічний"},0),Settings!$C$78,Settings!$C$80,Settings!$C$82,Settings!$C$84,Settings!$C$86))/6,2)*6,"")</f>
        <v/>
      </c>
      <c r="K82" s="142">
        <f>IFERROR(CHOOSE(MATCH(IF($E82="","Основний",$E82),{"Трафіковий","Основний","Маржинальний","Сезонний","Стратегічний"},0),Settings!$C$78,Settings!$C$80,Settings!$C$82,Settings!$C$84,Settings!$C$86),"")</f>
        <v/>
      </c>
      <c r="L82" s="143">
        <f>IFERROR((J82*(1-Settings!$C$17)-C82)/(J82*(1-Settings!$C$17)),"")</f>
        <v/>
      </c>
      <c r="M82" s="149">
        <f>IFERROR(IF(J82="","",IF(J82&gt;=C82/(1-SKU_Base!AA82)/(1-Settings!$C$17),"OK",IF(J82&gt;=C82/(1-SKU_Base!AH82)/(1-Settings!$C$17),"WARN","STOP"))),"")</f>
        <v/>
      </c>
      <c r="N82" s="159">
        <f>IFERROR(ROUND(D82*(1-CHOOSE(MATCH(IF($E82="","Основний",$E82),{"Трафіковий","Основний","Маржинальний","Сезонний","Стратегічний"},0),Settings!$D$78,Settings!$D$80,Settings!$D$82,Settings!$D$84,Settings!$D$86))/6,2)*6,"")</f>
        <v/>
      </c>
      <c r="O82" s="142">
        <f>IFERROR(CHOOSE(MATCH(IF($E82="","Основний",$E82),{"Трафіковий","Основний","Маржинальний","Сезонний","Стратегічний"},0),Settings!$D$78,Settings!$D$80,Settings!$D$82,Settings!$D$84,Settings!$D$86),"")</f>
        <v/>
      </c>
      <c r="P82" s="143">
        <f>IFERROR((N82*(1-Settings!$D$17)-C82)/(N82*(1-Settings!$D$17)),"")</f>
        <v/>
      </c>
      <c r="Q82" s="149">
        <f>IFERROR(IF(N82="","",IF(N82&gt;=C82/(1-SKU_Base!AB82)/(1-Settings!$D$17),"OK",IF(N82&gt;=C82/(1-SKU_Base!AI82)/(1-Settings!$D$17),"WARN","STOP"))),"")</f>
        <v/>
      </c>
      <c r="R82" s="159">
        <f>IFERROR(ROUND(D82*(1-CHOOSE(MATCH(IF($E82="","Основний",$E82),{"Трафіковий","Основний","Маржинальний","Сезонний","Стратегічний"},0),Settings!$E$78,Settings!$E$80,Settings!$E$82,Settings!$E$84,Settings!$E$86))/6,2)*6,"")</f>
        <v/>
      </c>
      <c r="S82" s="142">
        <f>IFERROR(CHOOSE(MATCH(IF($E82="","Основний",$E82),{"Трафіковий","Основний","Маржинальний","Сезонний","Стратегічний"},0),Settings!$E$78,Settings!$E$80,Settings!$E$82,Settings!$E$84,Settings!$E$86),"")</f>
        <v/>
      </c>
      <c r="T82" s="143">
        <f>IFERROR((R82*(1-Settings!$E$17)-C82)/(R82*(1-Settings!$E$17)),"")</f>
        <v/>
      </c>
      <c r="U82" s="149">
        <f>IFERROR(IF(R82="","",IF(R82&gt;=C82/(1-SKU_Base!AC82)/(1-Settings!$E$17),"OK",IF(R82&gt;=C82/(1-SKU_Base!AJ82)/(1-Settings!$E$17),"WARN","STOP"))),"")</f>
        <v/>
      </c>
      <c r="V82" s="159">
        <f>IFERROR(ROUND(D82*(1-CHOOSE(MATCH(IF($E82="","Основний",$E82),{"Трафіковий","Основний","Маржинальний","Сезонний","Стратегічний"},0),Settings!$F$78,Settings!$F$80,Settings!$F$82,Settings!$F$84,Settings!$F$86))/6,2)*6,"")</f>
        <v/>
      </c>
      <c r="W82" s="142">
        <f>IFERROR(CHOOSE(MATCH(IF($E82="","Основний",$E82),{"Трафіковий","Основний","Маржинальний","Сезонний","Стратегічний"},0),Settings!$F$78,Settings!$F$80,Settings!$F$82,Settings!$F$84,Settings!$F$86),"")</f>
        <v/>
      </c>
      <c r="X82" s="143">
        <f>IFERROR((V82*(1-Settings!$F$17)-C82)/(V82*(1-Settings!$F$17)),"")</f>
        <v/>
      </c>
      <c r="Y82" s="149">
        <f>IFERROR(IF(V82="","",IF(V82&gt;=C82/(1-SKU_Base!AD82)/(1-Settings!$F$17),"OK",IF(V82&gt;=C82/(1-SKU_Base!AK82)/(1-Settings!$F$17),"WARN","STOP"))),"")</f>
        <v/>
      </c>
      <c r="Z82" s="159">
        <f>IFERROR(ROUND(D82*(1-CHOOSE(MATCH(IF($E82="","Основний",$E82),{"Трафіковий","Основний","Маржинальний","Сезонний","Стратегічний"},0),Settings!$G$78,Settings!$G$80,Settings!$G$82,Settings!$G$84,Settings!$G$86))/6,2)*6,"")</f>
        <v/>
      </c>
      <c r="AA82" s="142">
        <f>IFERROR(CHOOSE(MATCH(IF($E82="","Основний",$E82),{"Трафіковий","Основний","Маржинальний","Сезонний","Стратегічний"},0),Settings!$G$78,Settings!$G$80,Settings!$G$82,Settings!$G$84,Settings!$G$86),"")</f>
        <v/>
      </c>
      <c r="AB82" s="143">
        <f>IFERROR((Z82*(1-Settings!$G$17)-C82)/(Z82*(1-Settings!$G$17)),"")</f>
        <v/>
      </c>
      <c r="AC82" s="149">
        <f>IFERROR(IF(Z82="","",IF(Z82&gt;=C82/(1-SKU_Base!AE82)/(1-Settings!$G$17),"OK",IF(Z82&gt;=C82/(1-SKU_Base!AL82)/(1-Settings!$G$17),"WARN","STOP"))),"")</f>
        <v/>
      </c>
      <c r="AD82" s="159">
        <f>IFERROR(ROUND(D82*(1-CHOOSE(MATCH(IF($E82="","Основний",$E82),{"Трафіковий","Основний","Маржинальний","Сезонний","Стратегічний"},0),Settings!$H$78,Settings!$H$80,Settings!$H$82,Settings!$H$84,Settings!$H$86))*(1-Settings!$H$68)/6,2)*6,"")</f>
        <v/>
      </c>
      <c r="AE82" s="142">
        <f>IFERROR(CHOOSE(MATCH(IF($E82="","Основний",$E82),{"Трафіковий","Основний","Маржинальний","Сезонний","Стратегічний"},0),Settings!$H$78,Settings!$H$80,Settings!$H$82,Settings!$H$84,Settings!$H$86)+(1-(CHOOSE(MATCH(IF($E82="","Основний",$E82),{"Трафіковий","Основний","Маржинальний","Сезонний","Стратегічний"},0),Settings!$H$78,Settings!$H$80,Settings!$H$82,Settings!$H$84,Settings!$H$86)))*Settings!$H$68,"")</f>
        <v/>
      </c>
      <c r="AF82" s="143">
        <f>IFERROR((AD82*(1-Settings!$H$17)-C82)/(AD82*(1-Settings!$H$17)),"")</f>
        <v/>
      </c>
      <c r="AG82" s="150">
        <f>IFERROR(IF(AD82="","",IF(AD82&gt;=C82/(1-SKU_Base!AF82)/(1-Settings!$H$17),"OK",IF(AD82&gt;=C82/(1-SKU_Base!AM82)/(1-Settings!$H$17),"WARN","STOP"))),"")</f>
        <v/>
      </c>
    </row>
    <row r="83" ht="17" customHeight="1" s="179">
      <c r="A83" s="146">
        <f>SKU_Base!B83</f>
        <v/>
      </c>
      <c r="B83" s="146">
        <f>SKU_Base!C83</f>
        <v/>
      </c>
      <c r="C83" s="147">
        <f>IFERROR(SKU_Base!I83,"")</f>
        <v/>
      </c>
      <c r="D83" s="164">
        <f>IFERROR(SKU_Base!T83,"")</f>
        <v/>
      </c>
      <c r="E83" s="141">
        <f>IFERROR(SKU_Base!$U83,"")</f>
        <v/>
      </c>
      <c r="F83" s="160">
        <f>IFERROR(ROUND(D83*(1-CHOOSE(MATCH(IF($E83="","Основний",$E83),{"Трафіковий","Основний","Маржинальний","Сезонний","Стратегічний"},0),Settings!$B$78,Settings!$B$80,Settings!$B$82,Settings!$B$84,Settings!$B$86))/6,2)*6,"")</f>
        <v/>
      </c>
      <c r="G83" s="142">
        <f>IFERROR(CHOOSE(MATCH(IF($E83="","Основний",$E83),{"Трафіковий","Основний","Маржинальний","Сезонний","Стратегічний"},0),Settings!$B$78,Settings!$B$80,Settings!$B$82,Settings!$B$84,Settings!$B$86),"")</f>
        <v/>
      </c>
      <c r="H83" s="148">
        <f>IFERROR((F83*(1-Settings!$B$17)-C83)/(F83*(1-Settings!$B$17)),"")</f>
        <v/>
      </c>
      <c r="I83" s="149">
        <f>IFERROR(IF(F83="","",IF(F83&gt;=C83/(1-SKU_Base!Z83)/(1-Settings!$B$17),"OK",IF(F83&gt;=C83/(1-SKU_Base!AG83)/(1-Settings!$B$17),"WARN","STOP"))),"")</f>
        <v/>
      </c>
      <c r="J83" s="160">
        <f>IFERROR(ROUND(D83*(1-CHOOSE(MATCH(IF($E83="","Основний",$E83),{"Трафіковий","Основний","Маржинальний","Сезонний","Стратегічний"},0),Settings!$C$78,Settings!$C$80,Settings!$C$82,Settings!$C$84,Settings!$C$86))/6,2)*6,"")</f>
        <v/>
      </c>
      <c r="K83" s="142">
        <f>IFERROR(CHOOSE(MATCH(IF($E83="","Основний",$E83),{"Трафіковий","Основний","Маржинальний","Сезонний","Стратегічний"},0),Settings!$C$78,Settings!$C$80,Settings!$C$82,Settings!$C$84,Settings!$C$86),"")</f>
        <v/>
      </c>
      <c r="L83" s="148">
        <f>IFERROR((J83*(1-Settings!$C$17)-C83)/(J83*(1-Settings!$C$17)),"")</f>
        <v/>
      </c>
      <c r="M83" s="149">
        <f>IFERROR(IF(J83="","",IF(J83&gt;=C83/(1-SKU_Base!AA83)/(1-Settings!$C$17),"OK",IF(J83&gt;=C83/(1-SKU_Base!AH83)/(1-Settings!$C$17),"WARN","STOP"))),"")</f>
        <v/>
      </c>
      <c r="N83" s="161">
        <f>IFERROR(ROUND(D83*(1-CHOOSE(MATCH(IF($E83="","Основний",$E83),{"Трафіковий","Основний","Маржинальний","Сезонний","Стратегічний"},0),Settings!$D$78,Settings!$D$80,Settings!$D$82,Settings!$D$84,Settings!$D$86))/6,2)*6,"")</f>
        <v/>
      </c>
      <c r="O83" s="142">
        <f>IFERROR(CHOOSE(MATCH(IF($E83="","Основний",$E83),{"Трафіковий","Основний","Маржинальний","Сезонний","Стратегічний"},0),Settings!$D$78,Settings!$D$80,Settings!$D$82,Settings!$D$84,Settings!$D$86),"")</f>
        <v/>
      </c>
      <c r="P83" s="148">
        <f>IFERROR((N83*(1-Settings!$D$17)-C83)/(N83*(1-Settings!$D$17)),"")</f>
        <v/>
      </c>
      <c r="Q83" s="149">
        <f>IFERROR(IF(N83="","",IF(N83&gt;=C83/(1-SKU_Base!AB83)/(1-Settings!$D$17),"OK",IF(N83&gt;=C83/(1-SKU_Base!AI83)/(1-Settings!$D$17),"WARN","STOP"))),"")</f>
        <v/>
      </c>
      <c r="R83" s="161">
        <f>IFERROR(ROUND(D83*(1-CHOOSE(MATCH(IF($E83="","Основний",$E83),{"Трафіковий","Основний","Маржинальний","Сезонний","Стратегічний"},0),Settings!$E$78,Settings!$E$80,Settings!$E$82,Settings!$E$84,Settings!$E$86))/6,2)*6,"")</f>
        <v/>
      </c>
      <c r="S83" s="142">
        <f>IFERROR(CHOOSE(MATCH(IF($E83="","Основний",$E83),{"Трафіковий","Основний","Маржинальний","Сезонний","Стратегічний"},0),Settings!$E$78,Settings!$E$80,Settings!$E$82,Settings!$E$84,Settings!$E$86),"")</f>
        <v/>
      </c>
      <c r="T83" s="148">
        <f>IFERROR((R83*(1-Settings!$E$17)-C83)/(R83*(1-Settings!$E$17)),"")</f>
        <v/>
      </c>
      <c r="U83" s="149">
        <f>IFERROR(IF(R83="","",IF(R83&gt;=C83/(1-SKU_Base!AC83)/(1-Settings!$E$17),"OK",IF(R83&gt;=C83/(1-SKU_Base!AJ83)/(1-Settings!$E$17),"WARN","STOP"))),"")</f>
        <v/>
      </c>
      <c r="V83" s="161">
        <f>IFERROR(ROUND(D83*(1-CHOOSE(MATCH(IF($E83="","Основний",$E83),{"Трафіковий","Основний","Маржинальний","Сезонний","Стратегічний"},0),Settings!$F$78,Settings!$F$80,Settings!$F$82,Settings!$F$84,Settings!$F$86))/6,2)*6,"")</f>
        <v/>
      </c>
      <c r="W83" s="142">
        <f>IFERROR(CHOOSE(MATCH(IF($E83="","Основний",$E83),{"Трафіковий","Основний","Маржинальний","Сезонний","Стратегічний"},0),Settings!$F$78,Settings!$F$80,Settings!$F$82,Settings!$F$84,Settings!$F$86),"")</f>
        <v/>
      </c>
      <c r="X83" s="148">
        <f>IFERROR((V83*(1-Settings!$F$17)-C83)/(V83*(1-Settings!$F$17)),"")</f>
        <v/>
      </c>
      <c r="Y83" s="149">
        <f>IFERROR(IF(V83="","",IF(V83&gt;=C83/(1-SKU_Base!AD83)/(1-Settings!$F$17),"OK",IF(V83&gt;=C83/(1-SKU_Base!AK83)/(1-Settings!$F$17),"WARN","STOP"))),"")</f>
        <v/>
      </c>
      <c r="Z83" s="161">
        <f>IFERROR(ROUND(D83*(1-CHOOSE(MATCH(IF($E83="","Основний",$E83),{"Трафіковий","Основний","Маржинальний","Сезонний","Стратегічний"},0),Settings!$G$78,Settings!$G$80,Settings!$G$82,Settings!$G$84,Settings!$G$86))/6,2)*6,"")</f>
        <v/>
      </c>
      <c r="AA83" s="142">
        <f>IFERROR(CHOOSE(MATCH(IF($E83="","Основний",$E83),{"Трафіковий","Основний","Маржинальний","Сезонний","Стратегічний"},0),Settings!$G$78,Settings!$G$80,Settings!$G$82,Settings!$G$84,Settings!$G$86),"")</f>
        <v/>
      </c>
      <c r="AB83" s="148">
        <f>IFERROR((Z83*(1-Settings!$G$17)-C83)/(Z83*(1-Settings!$G$17)),"")</f>
        <v/>
      </c>
      <c r="AC83" s="149">
        <f>IFERROR(IF(Z83="","",IF(Z83&gt;=C83/(1-SKU_Base!AE83)/(1-Settings!$G$17),"OK",IF(Z83&gt;=C83/(1-SKU_Base!AL83)/(1-Settings!$G$17),"WARN","STOP"))),"")</f>
        <v/>
      </c>
      <c r="AD83" s="161">
        <f>IFERROR(ROUND(D83*(1-CHOOSE(MATCH(IF($E83="","Основний",$E83),{"Трафіковий","Основний","Маржинальний","Сезонний","Стратегічний"},0),Settings!$H$78,Settings!$H$80,Settings!$H$82,Settings!$H$84,Settings!$H$86))*(1-Settings!$H$68)/6,2)*6,"")</f>
        <v/>
      </c>
      <c r="AE83" s="142">
        <f>IFERROR(CHOOSE(MATCH(IF($E83="","Основний",$E83),{"Трафіковий","Основний","Маржинальний","Сезонний","Стратегічний"},0),Settings!$H$78,Settings!$H$80,Settings!$H$82,Settings!$H$84,Settings!$H$86)+(1-(CHOOSE(MATCH(IF($E83="","Основний",$E83),{"Трафіковий","Основний","Маржинальний","Сезонний","Стратегічний"},0),Settings!$H$78,Settings!$H$80,Settings!$H$82,Settings!$H$84,Settings!$H$86)))*Settings!$H$68,"")</f>
        <v/>
      </c>
      <c r="AF83" s="148">
        <f>IFERROR((AD83*(1-Settings!$H$17)-C83)/(AD83*(1-Settings!$H$17)),"")</f>
        <v/>
      </c>
      <c r="AG83" s="150">
        <f>IFERROR(IF(AD83="","",IF(AD83&gt;=C83/(1-SKU_Base!AF83)/(1-Settings!$H$17),"OK",IF(AD83&gt;=C83/(1-SKU_Base!AM83)/(1-Settings!$H$17),"WARN","STOP"))),"")</f>
        <v/>
      </c>
    </row>
    <row r="84" ht="17" customHeight="1" s="179">
      <c r="A84" s="139">
        <f>SKU_Base!B84</f>
        <v/>
      </c>
      <c r="B84" s="139">
        <f>SKU_Base!C84</f>
        <v/>
      </c>
      <c r="C84" s="140">
        <f>IFERROR(SKU_Base!I84,"")</f>
        <v/>
      </c>
      <c r="D84" s="163">
        <f>IFERROR(SKU_Base!T84,"")</f>
        <v/>
      </c>
      <c r="E84" s="141">
        <f>IFERROR(SKU_Base!$U84,"")</f>
        <v/>
      </c>
      <c r="F84" s="158">
        <f>IFERROR(ROUND(D84*(1-CHOOSE(MATCH(IF($E84="","Основний",$E84),{"Трафіковий","Основний","Маржинальний","Сезонний","Стратегічний"},0),Settings!$B$78,Settings!$B$80,Settings!$B$82,Settings!$B$84,Settings!$B$86))/6,2)*6,"")</f>
        <v/>
      </c>
      <c r="G84" s="142">
        <f>IFERROR(CHOOSE(MATCH(IF($E84="","Основний",$E84),{"Трафіковий","Основний","Маржинальний","Сезонний","Стратегічний"},0),Settings!$B$78,Settings!$B$80,Settings!$B$82,Settings!$B$84,Settings!$B$86),"")</f>
        <v/>
      </c>
      <c r="H84" s="143">
        <f>IFERROR((F84*(1-Settings!$B$17)-C84)/(F84*(1-Settings!$B$17)),"")</f>
        <v/>
      </c>
      <c r="I84" s="150">
        <f>IFERROR(IF(F84="","",IF(F84&gt;=C84/(1-SKU_Base!Z84)/(1-Settings!$B$17),"OK",IF(F84&gt;=C84/(1-SKU_Base!AG84)/(1-Settings!$B$17),"WARN","STOP"))),"")</f>
        <v/>
      </c>
      <c r="J84" s="158">
        <f>IFERROR(ROUND(D84*(1-CHOOSE(MATCH(IF($E84="","Основний",$E84),{"Трафіковий","Основний","Маржинальний","Сезонний","Стратегічний"},0),Settings!$C$78,Settings!$C$80,Settings!$C$82,Settings!$C$84,Settings!$C$86))/6,2)*6,"")</f>
        <v/>
      </c>
      <c r="K84" s="142">
        <f>IFERROR(CHOOSE(MATCH(IF($E84="","Основний",$E84),{"Трафіковий","Основний","Маржинальний","Сезонний","Стратегічний"},0),Settings!$C$78,Settings!$C$80,Settings!$C$82,Settings!$C$84,Settings!$C$86),"")</f>
        <v/>
      </c>
      <c r="L84" s="143">
        <f>IFERROR((J84*(1-Settings!$C$17)-C84)/(J84*(1-Settings!$C$17)),"")</f>
        <v/>
      </c>
      <c r="M84" s="149">
        <f>IFERROR(IF(J84="","",IF(J84&gt;=C84/(1-SKU_Base!AA84)/(1-Settings!$C$17),"OK",IF(J84&gt;=C84/(1-SKU_Base!AH84)/(1-Settings!$C$17),"WARN","STOP"))),"")</f>
        <v/>
      </c>
      <c r="N84" s="159">
        <f>IFERROR(ROUND(D84*(1-CHOOSE(MATCH(IF($E84="","Основний",$E84),{"Трафіковий","Основний","Маржинальний","Сезонний","Стратегічний"},0),Settings!$D$78,Settings!$D$80,Settings!$D$82,Settings!$D$84,Settings!$D$86))/6,2)*6,"")</f>
        <v/>
      </c>
      <c r="O84" s="142">
        <f>IFERROR(CHOOSE(MATCH(IF($E84="","Основний",$E84),{"Трафіковий","Основний","Маржинальний","Сезонний","Стратегічний"},0),Settings!$D$78,Settings!$D$80,Settings!$D$82,Settings!$D$84,Settings!$D$86),"")</f>
        <v/>
      </c>
      <c r="P84" s="143">
        <f>IFERROR((N84*(1-Settings!$D$17)-C84)/(N84*(1-Settings!$D$17)),"")</f>
        <v/>
      </c>
      <c r="Q84" s="149">
        <f>IFERROR(IF(N84="","",IF(N84&gt;=C84/(1-SKU_Base!AB84)/(1-Settings!$D$17),"OK",IF(N84&gt;=C84/(1-SKU_Base!AI84)/(1-Settings!$D$17),"WARN","STOP"))),"")</f>
        <v/>
      </c>
      <c r="R84" s="159">
        <f>IFERROR(ROUND(D84*(1-CHOOSE(MATCH(IF($E84="","Основний",$E84),{"Трафіковий","Основний","Маржинальний","Сезонний","Стратегічний"},0),Settings!$E$78,Settings!$E$80,Settings!$E$82,Settings!$E$84,Settings!$E$86))/6,2)*6,"")</f>
        <v/>
      </c>
      <c r="S84" s="142">
        <f>IFERROR(CHOOSE(MATCH(IF($E84="","Основний",$E84),{"Трафіковий","Основний","Маржинальний","Сезонний","Стратегічний"},0),Settings!$E$78,Settings!$E$80,Settings!$E$82,Settings!$E$84,Settings!$E$86),"")</f>
        <v/>
      </c>
      <c r="T84" s="143">
        <f>IFERROR((R84*(1-Settings!$E$17)-C84)/(R84*(1-Settings!$E$17)),"")</f>
        <v/>
      </c>
      <c r="U84" s="149">
        <f>IFERROR(IF(R84="","",IF(R84&gt;=C84/(1-SKU_Base!AC84)/(1-Settings!$E$17),"OK",IF(R84&gt;=C84/(1-SKU_Base!AJ84)/(1-Settings!$E$17),"WARN","STOP"))),"")</f>
        <v/>
      </c>
      <c r="V84" s="159">
        <f>IFERROR(ROUND(D84*(1-CHOOSE(MATCH(IF($E84="","Основний",$E84),{"Трафіковий","Основний","Маржинальний","Сезонний","Стратегічний"},0),Settings!$F$78,Settings!$F$80,Settings!$F$82,Settings!$F$84,Settings!$F$86))/6,2)*6,"")</f>
        <v/>
      </c>
      <c r="W84" s="142">
        <f>IFERROR(CHOOSE(MATCH(IF($E84="","Основний",$E84),{"Трафіковий","Основний","Маржинальний","Сезонний","Стратегічний"},0),Settings!$F$78,Settings!$F$80,Settings!$F$82,Settings!$F$84,Settings!$F$86),"")</f>
        <v/>
      </c>
      <c r="X84" s="143">
        <f>IFERROR((V84*(1-Settings!$F$17)-C84)/(V84*(1-Settings!$F$17)),"")</f>
        <v/>
      </c>
      <c r="Y84" s="149">
        <f>IFERROR(IF(V84="","",IF(V84&gt;=C84/(1-SKU_Base!AD84)/(1-Settings!$F$17),"OK",IF(V84&gt;=C84/(1-SKU_Base!AK84)/(1-Settings!$F$17),"WARN","STOP"))),"")</f>
        <v/>
      </c>
      <c r="Z84" s="159">
        <f>IFERROR(ROUND(D84*(1-CHOOSE(MATCH(IF($E84="","Основний",$E84),{"Трафіковий","Основний","Маржинальний","Сезонний","Стратегічний"},0),Settings!$G$78,Settings!$G$80,Settings!$G$82,Settings!$G$84,Settings!$G$86))/6,2)*6,"")</f>
        <v/>
      </c>
      <c r="AA84" s="142">
        <f>IFERROR(CHOOSE(MATCH(IF($E84="","Основний",$E84),{"Трафіковий","Основний","Маржинальний","Сезонний","Стратегічний"},0),Settings!$G$78,Settings!$G$80,Settings!$G$82,Settings!$G$84,Settings!$G$86),"")</f>
        <v/>
      </c>
      <c r="AB84" s="143">
        <f>IFERROR((Z84*(1-Settings!$G$17)-C84)/(Z84*(1-Settings!$G$17)),"")</f>
        <v/>
      </c>
      <c r="AC84" s="149">
        <f>IFERROR(IF(Z84="","",IF(Z84&gt;=C84/(1-SKU_Base!AE84)/(1-Settings!$G$17),"OK",IF(Z84&gt;=C84/(1-SKU_Base!AL84)/(1-Settings!$G$17),"WARN","STOP"))),"")</f>
        <v/>
      </c>
      <c r="AD84" s="159">
        <f>IFERROR(ROUND(D84*(1-CHOOSE(MATCH(IF($E84="","Основний",$E84),{"Трафіковий","Основний","Маржинальний","Сезонний","Стратегічний"},0),Settings!$H$78,Settings!$H$80,Settings!$H$82,Settings!$H$84,Settings!$H$86))*(1-Settings!$H$68)/6,2)*6,"")</f>
        <v/>
      </c>
      <c r="AE84" s="142">
        <f>IFERROR(CHOOSE(MATCH(IF($E84="","Основний",$E84),{"Трафіковий","Основний","Маржинальний","Сезонний","Стратегічний"},0),Settings!$H$78,Settings!$H$80,Settings!$H$82,Settings!$H$84,Settings!$H$86)+(1-(CHOOSE(MATCH(IF($E84="","Основний",$E84),{"Трафіковий","Основний","Маржинальний","Сезонний","Стратегічний"},0),Settings!$H$78,Settings!$H$80,Settings!$H$82,Settings!$H$84,Settings!$H$86)))*Settings!$H$68,"")</f>
        <v/>
      </c>
      <c r="AF84" s="143">
        <f>IFERROR((AD84*(1-Settings!$H$17)-C84)/(AD84*(1-Settings!$H$17)),"")</f>
        <v/>
      </c>
      <c r="AG84" s="150">
        <f>IFERROR(IF(AD84="","",IF(AD84&gt;=C84/(1-SKU_Base!AF84)/(1-Settings!$H$17),"OK",IF(AD84&gt;=C84/(1-SKU_Base!AM84)/(1-Settings!$H$17),"WARN","STOP"))),"")</f>
        <v/>
      </c>
    </row>
    <row r="85" ht="17" customHeight="1" s="179">
      <c r="A85" s="146">
        <f>SKU_Base!B85</f>
        <v/>
      </c>
      <c r="B85" s="146">
        <f>SKU_Base!C85</f>
        <v/>
      </c>
      <c r="C85" s="147">
        <f>IFERROR(SKU_Base!I85,"")</f>
        <v/>
      </c>
      <c r="D85" s="164">
        <f>IFERROR(SKU_Base!T85,"")</f>
        <v/>
      </c>
      <c r="E85" s="141">
        <f>IFERROR(SKU_Base!$U85,"")</f>
        <v/>
      </c>
      <c r="F85" s="160">
        <f>IFERROR(ROUND(D85*(1-CHOOSE(MATCH(IF($E85="","Основний",$E85),{"Трафіковий","Основний","Маржинальний","Сезонний","Стратегічний"},0),Settings!$B$78,Settings!$B$80,Settings!$B$82,Settings!$B$84,Settings!$B$86))/6,2)*6,"")</f>
        <v/>
      </c>
      <c r="G85" s="142">
        <f>IFERROR(CHOOSE(MATCH(IF($E85="","Основний",$E85),{"Трафіковий","Основний","Маржинальний","Сезонний","Стратегічний"},0),Settings!$B$78,Settings!$B$80,Settings!$B$82,Settings!$B$84,Settings!$B$86),"")</f>
        <v/>
      </c>
      <c r="H85" s="148">
        <f>IFERROR((F85*(1-Settings!$B$17)-C85)/(F85*(1-Settings!$B$17)),"")</f>
        <v/>
      </c>
      <c r="I85" s="150">
        <f>IFERROR(IF(F85="","",IF(F85&gt;=C85/(1-SKU_Base!Z85)/(1-Settings!$B$17),"OK",IF(F85&gt;=C85/(1-SKU_Base!AG85)/(1-Settings!$B$17),"WARN","STOP"))),"")</f>
        <v/>
      </c>
      <c r="J85" s="160">
        <f>IFERROR(ROUND(D85*(1-CHOOSE(MATCH(IF($E85="","Основний",$E85),{"Трафіковий","Основний","Маржинальний","Сезонний","Стратегічний"},0),Settings!$C$78,Settings!$C$80,Settings!$C$82,Settings!$C$84,Settings!$C$86))/6,2)*6,"")</f>
        <v/>
      </c>
      <c r="K85" s="142">
        <f>IFERROR(CHOOSE(MATCH(IF($E85="","Основний",$E85),{"Трафіковий","Основний","Маржинальний","Сезонний","Стратегічний"},0),Settings!$C$78,Settings!$C$80,Settings!$C$82,Settings!$C$84,Settings!$C$86),"")</f>
        <v/>
      </c>
      <c r="L85" s="148">
        <f>IFERROR((J85*(1-Settings!$C$17)-C85)/(J85*(1-Settings!$C$17)),"")</f>
        <v/>
      </c>
      <c r="M85" s="149">
        <f>IFERROR(IF(J85="","",IF(J85&gt;=C85/(1-SKU_Base!AA85)/(1-Settings!$C$17),"OK",IF(J85&gt;=C85/(1-SKU_Base!AH85)/(1-Settings!$C$17),"WARN","STOP"))),"")</f>
        <v/>
      </c>
      <c r="N85" s="161">
        <f>IFERROR(ROUND(D85*(1-CHOOSE(MATCH(IF($E85="","Основний",$E85),{"Трафіковий","Основний","Маржинальний","Сезонний","Стратегічний"},0),Settings!$D$78,Settings!$D$80,Settings!$D$82,Settings!$D$84,Settings!$D$86))/6,2)*6,"")</f>
        <v/>
      </c>
      <c r="O85" s="142">
        <f>IFERROR(CHOOSE(MATCH(IF($E85="","Основний",$E85),{"Трафіковий","Основний","Маржинальний","Сезонний","Стратегічний"},0),Settings!$D$78,Settings!$D$80,Settings!$D$82,Settings!$D$84,Settings!$D$86),"")</f>
        <v/>
      </c>
      <c r="P85" s="148">
        <f>IFERROR((N85*(1-Settings!$D$17)-C85)/(N85*(1-Settings!$D$17)),"")</f>
        <v/>
      </c>
      <c r="Q85" s="149">
        <f>IFERROR(IF(N85="","",IF(N85&gt;=C85/(1-SKU_Base!AB85)/(1-Settings!$D$17),"OK",IF(N85&gt;=C85/(1-SKU_Base!AI85)/(1-Settings!$D$17),"WARN","STOP"))),"")</f>
        <v/>
      </c>
      <c r="R85" s="161">
        <f>IFERROR(ROUND(D85*(1-CHOOSE(MATCH(IF($E85="","Основний",$E85),{"Трафіковий","Основний","Маржинальний","Сезонний","Стратегічний"},0),Settings!$E$78,Settings!$E$80,Settings!$E$82,Settings!$E$84,Settings!$E$86))/6,2)*6,"")</f>
        <v/>
      </c>
      <c r="S85" s="142">
        <f>IFERROR(CHOOSE(MATCH(IF($E85="","Основний",$E85),{"Трафіковий","Основний","Маржинальний","Сезонний","Стратегічний"},0),Settings!$E$78,Settings!$E$80,Settings!$E$82,Settings!$E$84,Settings!$E$86),"")</f>
        <v/>
      </c>
      <c r="T85" s="148">
        <f>IFERROR((R85*(1-Settings!$E$17)-C85)/(R85*(1-Settings!$E$17)),"")</f>
        <v/>
      </c>
      <c r="U85" s="149">
        <f>IFERROR(IF(R85="","",IF(R85&gt;=C85/(1-SKU_Base!AC85)/(1-Settings!$E$17),"OK",IF(R85&gt;=C85/(1-SKU_Base!AJ85)/(1-Settings!$E$17),"WARN","STOP"))),"")</f>
        <v/>
      </c>
      <c r="V85" s="161">
        <f>IFERROR(ROUND(D85*(1-CHOOSE(MATCH(IF($E85="","Основний",$E85),{"Трафіковий","Основний","Маржинальний","Сезонний","Стратегічний"},0),Settings!$F$78,Settings!$F$80,Settings!$F$82,Settings!$F$84,Settings!$F$86))/6,2)*6,"")</f>
        <v/>
      </c>
      <c r="W85" s="142">
        <f>IFERROR(CHOOSE(MATCH(IF($E85="","Основний",$E85),{"Трафіковий","Основний","Маржинальний","Сезонний","Стратегічний"},0),Settings!$F$78,Settings!$F$80,Settings!$F$82,Settings!$F$84,Settings!$F$86),"")</f>
        <v/>
      </c>
      <c r="X85" s="148">
        <f>IFERROR((V85*(1-Settings!$F$17)-C85)/(V85*(1-Settings!$F$17)),"")</f>
        <v/>
      </c>
      <c r="Y85" s="149">
        <f>IFERROR(IF(V85="","",IF(V85&gt;=C85/(1-SKU_Base!AD85)/(1-Settings!$F$17),"OK",IF(V85&gt;=C85/(1-SKU_Base!AK85)/(1-Settings!$F$17),"WARN","STOP"))),"")</f>
        <v/>
      </c>
      <c r="Z85" s="161">
        <f>IFERROR(ROUND(D85*(1-CHOOSE(MATCH(IF($E85="","Основний",$E85),{"Трафіковий","Основний","Маржинальний","Сезонний","Стратегічний"},0),Settings!$G$78,Settings!$G$80,Settings!$G$82,Settings!$G$84,Settings!$G$86))/6,2)*6,"")</f>
        <v/>
      </c>
      <c r="AA85" s="142">
        <f>IFERROR(CHOOSE(MATCH(IF($E85="","Основний",$E85),{"Трафіковий","Основний","Маржинальний","Сезонний","Стратегічний"},0),Settings!$G$78,Settings!$G$80,Settings!$G$82,Settings!$G$84,Settings!$G$86),"")</f>
        <v/>
      </c>
      <c r="AB85" s="148">
        <f>IFERROR((Z85*(1-Settings!$G$17)-C85)/(Z85*(1-Settings!$G$17)),"")</f>
        <v/>
      </c>
      <c r="AC85" s="149">
        <f>IFERROR(IF(Z85="","",IF(Z85&gt;=C85/(1-SKU_Base!AE85)/(1-Settings!$G$17),"OK",IF(Z85&gt;=C85/(1-SKU_Base!AL85)/(1-Settings!$G$17),"WARN","STOP"))),"")</f>
        <v/>
      </c>
      <c r="AD85" s="161">
        <f>IFERROR(ROUND(D85*(1-CHOOSE(MATCH(IF($E85="","Основний",$E85),{"Трафіковий","Основний","Маржинальний","Сезонний","Стратегічний"},0),Settings!$H$78,Settings!$H$80,Settings!$H$82,Settings!$H$84,Settings!$H$86))*(1-Settings!$H$68)/6,2)*6,"")</f>
        <v/>
      </c>
      <c r="AE85" s="142">
        <f>IFERROR(CHOOSE(MATCH(IF($E85="","Основний",$E85),{"Трафіковий","Основний","Маржинальний","Сезонний","Стратегічний"},0),Settings!$H$78,Settings!$H$80,Settings!$H$82,Settings!$H$84,Settings!$H$86)+(1-(CHOOSE(MATCH(IF($E85="","Основний",$E85),{"Трафіковий","Основний","Маржинальний","Сезонний","Стратегічний"},0),Settings!$H$78,Settings!$H$80,Settings!$H$82,Settings!$H$84,Settings!$H$86)))*Settings!$H$68,"")</f>
        <v/>
      </c>
      <c r="AF85" s="148">
        <f>IFERROR((AD85*(1-Settings!$H$17)-C85)/(AD85*(1-Settings!$H$17)),"")</f>
        <v/>
      </c>
      <c r="AG85" s="150">
        <f>IFERROR(IF(AD85="","",IF(AD85&gt;=C85/(1-SKU_Base!AF85)/(1-Settings!$H$17),"OK",IF(AD85&gt;=C85/(1-SKU_Base!AM85)/(1-Settings!$H$17),"WARN","STOP"))),"")</f>
        <v/>
      </c>
    </row>
    <row r="86" ht="17" customHeight="1" s="179">
      <c r="A86" s="139">
        <f>SKU_Base!B86</f>
        <v/>
      </c>
      <c r="B86" s="139">
        <f>SKU_Base!C86</f>
        <v/>
      </c>
      <c r="C86" s="140">
        <f>IFERROR(SKU_Base!I86,"")</f>
        <v/>
      </c>
      <c r="D86" s="163">
        <f>IFERROR(SKU_Base!T86,"")</f>
        <v/>
      </c>
      <c r="E86" s="141">
        <f>IFERROR(SKU_Base!$U86,"")</f>
        <v/>
      </c>
      <c r="F86" s="158">
        <f>IFERROR(ROUND(D86*(1-CHOOSE(MATCH(IF($E86="","Основний",$E86),{"Трафіковий","Основний","Маржинальний","Сезонний","Стратегічний"},0),Settings!$B$78,Settings!$B$80,Settings!$B$82,Settings!$B$84,Settings!$B$86))/6,2)*6,"")</f>
        <v/>
      </c>
      <c r="G86" s="142">
        <f>IFERROR(CHOOSE(MATCH(IF($E86="","Основний",$E86),{"Трафіковий","Основний","Маржинальний","Сезонний","Стратегічний"},0),Settings!$B$78,Settings!$B$80,Settings!$B$82,Settings!$B$84,Settings!$B$86),"")</f>
        <v/>
      </c>
      <c r="H86" s="143">
        <f>IFERROR((F86*(1-Settings!$B$17)-C86)/(F86*(1-Settings!$B$17)),"")</f>
        <v/>
      </c>
      <c r="I86" s="150">
        <f>IFERROR(IF(F86="","",IF(F86&gt;=C86/(1-SKU_Base!Z86)/(1-Settings!$B$17),"OK",IF(F86&gt;=C86/(1-SKU_Base!AG86)/(1-Settings!$B$17),"WARN","STOP"))),"")</f>
        <v/>
      </c>
      <c r="J86" s="158">
        <f>IFERROR(ROUND(D86*(1-CHOOSE(MATCH(IF($E86="","Основний",$E86),{"Трафіковий","Основний","Маржинальний","Сезонний","Стратегічний"},0),Settings!$C$78,Settings!$C$80,Settings!$C$82,Settings!$C$84,Settings!$C$86))/6,2)*6,"")</f>
        <v/>
      </c>
      <c r="K86" s="142">
        <f>IFERROR(CHOOSE(MATCH(IF($E86="","Основний",$E86),{"Трафіковий","Основний","Маржинальний","Сезонний","Стратегічний"},0),Settings!$C$78,Settings!$C$80,Settings!$C$82,Settings!$C$84,Settings!$C$86),"")</f>
        <v/>
      </c>
      <c r="L86" s="143">
        <f>IFERROR((J86*(1-Settings!$C$17)-C86)/(J86*(1-Settings!$C$17)),"")</f>
        <v/>
      </c>
      <c r="M86" s="149">
        <f>IFERROR(IF(J86="","",IF(J86&gt;=C86/(1-SKU_Base!AA86)/(1-Settings!$C$17),"OK",IF(J86&gt;=C86/(1-SKU_Base!AH86)/(1-Settings!$C$17),"WARN","STOP"))),"")</f>
        <v/>
      </c>
      <c r="N86" s="159">
        <f>IFERROR(ROUND(D86*(1-CHOOSE(MATCH(IF($E86="","Основний",$E86),{"Трафіковий","Основний","Маржинальний","Сезонний","Стратегічний"},0),Settings!$D$78,Settings!$D$80,Settings!$D$82,Settings!$D$84,Settings!$D$86))/6,2)*6,"")</f>
        <v/>
      </c>
      <c r="O86" s="142">
        <f>IFERROR(CHOOSE(MATCH(IF($E86="","Основний",$E86),{"Трафіковий","Основний","Маржинальний","Сезонний","Стратегічний"},0),Settings!$D$78,Settings!$D$80,Settings!$D$82,Settings!$D$84,Settings!$D$86),"")</f>
        <v/>
      </c>
      <c r="P86" s="143">
        <f>IFERROR((N86*(1-Settings!$D$17)-C86)/(N86*(1-Settings!$D$17)),"")</f>
        <v/>
      </c>
      <c r="Q86" s="149">
        <f>IFERROR(IF(N86="","",IF(N86&gt;=C86/(1-SKU_Base!AB86)/(1-Settings!$D$17),"OK",IF(N86&gt;=C86/(1-SKU_Base!AI86)/(1-Settings!$D$17),"WARN","STOP"))),"")</f>
        <v/>
      </c>
      <c r="R86" s="159">
        <f>IFERROR(ROUND(D86*(1-CHOOSE(MATCH(IF($E86="","Основний",$E86),{"Трафіковий","Основний","Маржинальний","Сезонний","Стратегічний"},0),Settings!$E$78,Settings!$E$80,Settings!$E$82,Settings!$E$84,Settings!$E$86))/6,2)*6,"")</f>
        <v/>
      </c>
      <c r="S86" s="142">
        <f>IFERROR(CHOOSE(MATCH(IF($E86="","Основний",$E86),{"Трафіковий","Основний","Маржинальний","Сезонний","Стратегічний"},0),Settings!$E$78,Settings!$E$80,Settings!$E$82,Settings!$E$84,Settings!$E$86),"")</f>
        <v/>
      </c>
      <c r="T86" s="143">
        <f>IFERROR((R86*(1-Settings!$E$17)-C86)/(R86*(1-Settings!$E$17)),"")</f>
        <v/>
      </c>
      <c r="U86" s="149">
        <f>IFERROR(IF(R86="","",IF(R86&gt;=C86/(1-SKU_Base!AC86)/(1-Settings!$E$17),"OK",IF(R86&gt;=C86/(1-SKU_Base!AJ86)/(1-Settings!$E$17),"WARN","STOP"))),"")</f>
        <v/>
      </c>
      <c r="V86" s="159">
        <f>IFERROR(ROUND(D86*(1-CHOOSE(MATCH(IF($E86="","Основний",$E86),{"Трафіковий","Основний","Маржинальний","Сезонний","Стратегічний"},0),Settings!$F$78,Settings!$F$80,Settings!$F$82,Settings!$F$84,Settings!$F$86))/6,2)*6,"")</f>
        <v/>
      </c>
      <c r="W86" s="142">
        <f>IFERROR(CHOOSE(MATCH(IF($E86="","Основний",$E86),{"Трафіковий","Основний","Маржинальний","Сезонний","Стратегічний"},0),Settings!$F$78,Settings!$F$80,Settings!$F$82,Settings!$F$84,Settings!$F$86),"")</f>
        <v/>
      </c>
      <c r="X86" s="143">
        <f>IFERROR((V86*(1-Settings!$F$17)-C86)/(V86*(1-Settings!$F$17)),"")</f>
        <v/>
      </c>
      <c r="Y86" s="149">
        <f>IFERROR(IF(V86="","",IF(V86&gt;=C86/(1-SKU_Base!AD86)/(1-Settings!$F$17),"OK",IF(V86&gt;=C86/(1-SKU_Base!AK86)/(1-Settings!$F$17),"WARN","STOP"))),"")</f>
        <v/>
      </c>
      <c r="Z86" s="159">
        <f>IFERROR(ROUND(D86*(1-CHOOSE(MATCH(IF($E86="","Основний",$E86),{"Трафіковий","Основний","Маржинальний","Сезонний","Стратегічний"},0),Settings!$G$78,Settings!$G$80,Settings!$G$82,Settings!$G$84,Settings!$G$86))/6,2)*6,"")</f>
        <v/>
      </c>
      <c r="AA86" s="142">
        <f>IFERROR(CHOOSE(MATCH(IF($E86="","Основний",$E86),{"Трафіковий","Основний","Маржинальний","Сезонний","Стратегічний"},0),Settings!$G$78,Settings!$G$80,Settings!$G$82,Settings!$G$84,Settings!$G$86),"")</f>
        <v/>
      </c>
      <c r="AB86" s="143">
        <f>IFERROR((Z86*(1-Settings!$G$17)-C86)/(Z86*(1-Settings!$G$17)),"")</f>
        <v/>
      </c>
      <c r="AC86" s="149">
        <f>IFERROR(IF(Z86="","",IF(Z86&gt;=C86/(1-SKU_Base!AE86)/(1-Settings!$G$17),"OK",IF(Z86&gt;=C86/(1-SKU_Base!AL86)/(1-Settings!$G$17),"WARN","STOP"))),"")</f>
        <v/>
      </c>
      <c r="AD86" s="159">
        <f>IFERROR(ROUND(D86*(1-CHOOSE(MATCH(IF($E86="","Основний",$E86),{"Трафіковий","Основний","Маржинальний","Сезонний","Стратегічний"},0),Settings!$H$78,Settings!$H$80,Settings!$H$82,Settings!$H$84,Settings!$H$86))*(1-Settings!$H$68)/6,2)*6,"")</f>
        <v/>
      </c>
      <c r="AE86" s="142">
        <f>IFERROR(CHOOSE(MATCH(IF($E86="","Основний",$E86),{"Трафіковий","Основний","Маржинальний","Сезонний","Стратегічний"},0),Settings!$H$78,Settings!$H$80,Settings!$H$82,Settings!$H$84,Settings!$H$86)+(1-(CHOOSE(MATCH(IF($E86="","Основний",$E86),{"Трафіковий","Основний","Маржинальний","Сезонний","Стратегічний"},0),Settings!$H$78,Settings!$H$80,Settings!$H$82,Settings!$H$84,Settings!$H$86)))*Settings!$H$68,"")</f>
        <v/>
      </c>
      <c r="AF86" s="143">
        <f>IFERROR((AD86*(1-Settings!$H$17)-C86)/(AD86*(1-Settings!$H$17)),"")</f>
        <v/>
      </c>
      <c r="AG86" s="150">
        <f>IFERROR(IF(AD86="","",IF(AD86&gt;=C86/(1-SKU_Base!AF86)/(1-Settings!$H$17),"OK",IF(AD86&gt;=C86/(1-SKU_Base!AM86)/(1-Settings!$H$17),"WARN","STOP"))),"")</f>
        <v/>
      </c>
    </row>
    <row r="87" ht="17" customHeight="1" s="179">
      <c r="A87" s="146">
        <f>SKU_Base!B87</f>
        <v/>
      </c>
      <c r="B87" s="146">
        <f>SKU_Base!C87</f>
        <v/>
      </c>
      <c r="C87" s="147">
        <f>IFERROR(SKU_Base!I87,"")</f>
        <v/>
      </c>
      <c r="D87" s="164">
        <f>IFERROR(SKU_Base!T87,"")</f>
        <v/>
      </c>
      <c r="E87" s="141">
        <f>IFERROR(SKU_Base!$U87,"")</f>
        <v/>
      </c>
      <c r="F87" s="160">
        <f>IFERROR(ROUND(D87*(1-CHOOSE(MATCH(IF($E87="","Основний",$E87),{"Трафіковий","Основний","Маржинальний","Сезонний","Стратегічний"},0),Settings!$B$78,Settings!$B$80,Settings!$B$82,Settings!$B$84,Settings!$B$86))/6,2)*6,"")</f>
        <v/>
      </c>
      <c r="G87" s="142">
        <f>IFERROR(CHOOSE(MATCH(IF($E87="","Основний",$E87),{"Трафіковий","Основний","Маржинальний","Сезонний","Стратегічний"},0),Settings!$B$78,Settings!$B$80,Settings!$B$82,Settings!$B$84,Settings!$B$86),"")</f>
        <v/>
      </c>
      <c r="H87" s="148">
        <f>IFERROR((F87*(1-Settings!$B$17)-C87)/(F87*(1-Settings!$B$17)),"")</f>
        <v/>
      </c>
      <c r="I87" s="149">
        <f>IFERROR(IF(F87="","",IF(F87&gt;=C87/(1-SKU_Base!Z87)/(1-Settings!$B$17),"OK",IF(F87&gt;=C87/(1-SKU_Base!AG87)/(1-Settings!$B$17),"WARN","STOP"))),"")</f>
        <v/>
      </c>
      <c r="J87" s="160">
        <f>IFERROR(ROUND(D87*(1-CHOOSE(MATCH(IF($E87="","Основний",$E87),{"Трафіковий","Основний","Маржинальний","Сезонний","Стратегічний"},0),Settings!$C$78,Settings!$C$80,Settings!$C$82,Settings!$C$84,Settings!$C$86))/6,2)*6,"")</f>
        <v/>
      </c>
      <c r="K87" s="142">
        <f>IFERROR(CHOOSE(MATCH(IF($E87="","Основний",$E87),{"Трафіковий","Основний","Маржинальний","Сезонний","Стратегічний"},0),Settings!$C$78,Settings!$C$80,Settings!$C$82,Settings!$C$84,Settings!$C$86),"")</f>
        <v/>
      </c>
      <c r="L87" s="148">
        <f>IFERROR((J87*(1-Settings!$C$17)-C87)/(J87*(1-Settings!$C$17)),"")</f>
        <v/>
      </c>
      <c r="M87" s="149">
        <f>IFERROR(IF(J87="","",IF(J87&gt;=C87/(1-SKU_Base!AA87)/(1-Settings!$C$17),"OK",IF(J87&gt;=C87/(1-SKU_Base!AH87)/(1-Settings!$C$17),"WARN","STOP"))),"")</f>
        <v/>
      </c>
      <c r="N87" s="161">
        <f>IFERROR(ROUND(D87*(1-CHOOSE(MATCH(IF($E87="","Основний",$E87),{"Трафіковий","Основний","Маржинальний","Сезонний","Стратегічний"},0),Settings!$D$78,Settings!$D$80,Settings!$D$82,Settings!$D$84,Settings!$D$86))/6,2)*6,"")</f>
        <v/>
      </c>
      <c r="O87" s="142">
        <f>IFERROR(CHOOSE(MATCH(IF($E87="","Основний",$E87),{"Трафіковий","Основний","Маржинальний","Сезонний","Стратегічний"},0),Settings!$D$78,Settings!$D$80,Settings!$D$82,Settings!$D$84,Settings!$D$86),"")</f>
        <v/>
      </c>
      <c r="P87" s="148">
        <f>IFERROR((N87*(1-Settings!$D$17)-C87)/(N87*(1-Settings!$D$17)),"")</f>
        <v/>
      </c>
      <c r="Q87" s="149">
        <f>IFERROR(IF(N87="","",IF(N87&gt;=C87/(1-SKU_Base!AB87)/(1-Settings!$D$17),"OK",IF(N87&gt;=C87/(1-SKU_Base!AI87)/(1-Settings!$D$17),"WARN","STOP"))),"")</f>
        <v/>
      </c>
      <c r="R87" s="161">
        <f>IFERROR(ROUND(D87*(1-CHOOSE(MATCH(IF($E87="","Основний",$E87),{"Трафіковий","Основний","Маржинальний","Сезонний","Стратегічний"},0),Settings!$E$78,Settings!$E$80,Settings!$E$82,Settings!$E$84,Settings!$E$86))/6,2)*6,"")</f>
        <v/>
      </c>
      <c r="S87" s="142">
        <f>IFERROR(CHOOSE(MATCH(IF($E87="","Основний",$E87),{"Трафіковий","Основний","Маржинальний","Сезонний","Стратегічний"},0),Settings!$E$78,Settings!$E$80,Settings!$E$82,Settings!$E$84,Settings!$E$86),"")</f>
        <v/>
      </c>
      <c r="T87" s="148">
        <f>IFERROR((R87*(1-Settings!$E$17)-C87)/(R87*(1-Settings!$E$17)),"")</f>
        <v/>
      </c>
      <c r="U87" s="149">
        <f>IFERROR(IF(R87="","",IF(R87&gt;=C87/(1-SKU_Base!AC87)/(1-Settings!$E$17),"OK",IF(R87&gt;=C87/(1-SKU_Base!AJ87)/(1-Settings!$E$17),"WARN","STOP"))),"")</f>
        <v/>
      </c>
      <c r="V87" s="161">
        <f>IFERROR(ROUND(D87*(1-CHOOSE(MATCH(IF($E87="","Основний",$E87),{"Трафіковий","Основний","Маржинальний","Сезонний","Стратегічний"},0),Settings!$F$78,Settings!$F$80,Settings!$F$82,Settings!$F$84,Settings!$F$86))/6,2)*6,"")</f>
        <v/>
      </c>
      <c r="W87" s="142">
        <f>IFERROR(CHOOSE(MATCH(IF($E87="","Основний",$E87),{"Трафіковий","Основний","Маржинальний","Сезонний","Стратегічний"},0),Settings!$F$78,Settings!$F$80,Settings!$F$82,Settings!$F$84,Settings!$F$86),"")</f>
        <v/>
      </c>
      <c r="X87" s="148">
        <f>IFERROR((V87*(1-Settings!$F$17)-C87)/(V87*(1-Settings!$F$17)),"")</f>
        <v/>
      </c>
      <c r="Y87" s="149">
        <f>IFERROR(IF(V87="","",IF(V87&gt;=C87/(1-SKU_Base!AD87)/(1-Settings!$F$17),"OK",IF(V87&gt;=C87/(1-SKU_Base!AK87)/(1-Settings!$F$17),"WARN","STOP"))),"")</f>
        <v/>
      </c>
      <c r="Z87" s="161">
        <f>IFERROR(ROUND(D87*(1-CHOOSE(MATCH(IF($E87="","Основний",$E87),{"Трафіковий","Основний","Маржинальний","Сезонний","Стратегічний"},0),Settings!$G$78,Settings!$G$80,Settings!$G$82,Settings!$G$84,Settings!$G$86))/6,2)*6,"")</f>
        <v/>
      </c>
      <c r="AA87" s="142">
        <f>IFERROR(CHOOSE(MATCH(IF($E87="","Основний",$E87),{"Трафіковий","Основний","Маржинальний","Сезонний","Стратегічний"},0),Settings!$G$78,Settings!$G$80,Settings!$G$82,Settings!$G$84,Settings!$G$86),"")</f>
        <v/>
      </c>
      <c r="AB87" s="148">
        <f>IFERROR((Z87*(1-Settings!$G$17)-C87)/(Z87*(1-Settings!$G$17)),"")</f>
        <v/>
      </c>
      <c r="AC87" s="149">
        <f>IFERROR(IF(Z87="","",IF(Z87&gt;=C87/(1-SKU_Base!AE87)/(1-Settings!$G$17),"OK",IF(Z87&gt;=C87/(1-SKU_Base!AL87)/(1-Settings!$G$17),"WARN","STOP"))),"")</f>
        <v/>
      </c>
      <c r="AD87" s="161">
        <f>IFERROR(ROUND(D87*(1-CHOOSE(MATCH(IF($E87="","Основний",$E87),{"Трафіковий","Основний","Маржинальний","Сезонний","Стратегічний"},0),Settings!$H$78,Settings!$H$80,Settings!$H$82,Settings!$H$84,Settings!$H$86))*(1-Settings!$H$68)/6,2)*6,"")</f>
        <v/>
      </c>
      <c r="AE87" s="142">
        <f>IFERROR(CHOOSE(MATCH(IF($E87="","Основний",$E87),{"Трафіковий","Основний","Маржинальний","Сезонний","Стратегічний"},0),Settings!$H$78,Settings!$H$80,Settings!$H$82,Settings!$H$84,Settings!$H$86)+(1-(CHOOSE(MATCH(IF($E87="","Основний",$E87),{"Трафіковий","Основний","Маржинальний","Сезонний","Стратегічний"},0),Settings!$H$78,Settings!$H$80,Settings!$H$82,Settings!$H$84,Settings!$H$86)))*Settings!$H$68,"")</f>
        <v/>
      </c>
      <c r="AF87" s="148">
        <f>IFERROR((AD87*(1-Settings!$H$17)-C87)/(AD87*(1-Settings!$H$17)),"")</f>
        <v/>
      </c>
      <c r="AG87" s="150">
        <f>IFERROR(IF(AD87="","",IF(AD87&gt;=C87/(1-SKU_Base!AF87)/(1-Settings!$H$17),"OK",IF(AD87&gt;=C87/(1-SKU_Base!AM87)/(1-Settings!$H$17),"WARN","STOP"))),"")</f>
        <v/>
      </c>
    </row>
    <row r="88" ht="17" customHeight="1" s="179">
      <c r="A88" s="139">
        <f>SKU_Base!B88</f>
        <v/>
      </c>
      <c r="B88" s="139">
        <f>SKU_Base!C88</f>
        <v/>
      </c>
      <c r="C88" s="140">
        <f>IFERROR(SKU_Base!I88,"")</f>
        <v/>
      </c>
      <c r="D88" s="163">
        <f>IFERROR(SKU_Base!T88,"")</f>
        <v/>
      </c>
      <c r="E88" s="141">
        <f>IFERROR(SKU_Base!$U88,"")</f>
        <v/>
      </c>
      <c r="F88" s="158">
        <f>IFERROR(ROUND(D88*(1-CHOOSE(MATCH(IF($E88="","Основний",$E88),{"Трафіковий","Основний","Маржинальний","Сезонний","Стратегічний"},0),Settings!$B$78,Settings!$B$80,Settings!$B$82,Settings!$B$84,Settings!$B$86))/6,2)*6,"")</f>
        <v/>
      </c>
      <c r="G88" s="142">
        <f>IFERROR(CHOOSE(MATCH(IF($E88="","Основний",$E88),{"Трафіковий","Основний","Маржинальний","Сезонний","Стратегічний"},0),Settings!$B$78,Settings!$B$80,Settings!$B$82,Settings!$B$84,Settings!$B$86),"")</f>
        <v/>
      </c>
      <c r="H88" s="143">
        <f>IFERROR((F88*(1-Settings!$B$17)-C88)/(F88*(1-Settings!$B$17)),"")</f>
        <v/>
      </c>
      <c r="I88" s="149">
        <f>IFERROR(IF(F88="","",IF(F88&gt;=C88/(1-SKU_Base!Z88)/(1-Settings!$B$17),"OK",IF(F88&gt;=C88/(1-SKU_Base!AG88)/(1-Settings!$B$17),"WARN","STOP"))),"")</f>
        <v/>
      </c>
      <c r="J88" s="158">
        <f>IFERROR(ROUND(D88*(1-CHOOSE(MATCH(IF($E88="","Основний",$E88),{"Трафіковий","Основний","Маржинальний","Сезонний","Стратегічний"},0),Settings!$C$78,Settings!$C$80,Settings!$C$82,Settings!$C$84,Settings!$C$86))/6,2)*6,"")</f>
        <v/>
      </c>
      <c r="K88" s="142">
        <f>IFERROR(CHOOSE(MATCH(IF($E88="","Основний",$E88),{"Трафіковий","Основний","Маржинальний","Сезонний","Стратегічний"},0),Settings!$C$78,Settings!$C$80,Settings!$C$82,Settings!$C$84,Settings!$C$86),"")</f>
        <v/>
      </c>
      <c r="L88" s="143">
        <f>IFERROR((J88*(1-Settings!$C$17)-C88)/(J88*(1-Settings!$C$17)),"")</f>
        <v/>
      </c>
      <c r="M88" s="149">
        <f>IFERROR(IF(J88="","",IF(J88&gt;=C88/(1-SKU_Base!AA88)/(1-Settings!$C$17),"OK",IF(J88&gt;=C88/(1-SKU_Base!AH88)/(1-Settings!$C$17),"WARN","STOP"))),"")</f>
        <v/>
      </c>
      <c r="N88" s="159">
        <f>IFERROR(ROUND(D88*(1-CHOOSE(MATCH(IF($E88="","Основний",$E88),{"Трафіковий","Основний","Маржинальний","Сезонний","Стратегічний"},0),Settings!$D$78,Settings!$D$80,Settings!$D$82,Settings!$D$84,Settings!$D$86))/6,2)*6,"")</f>
        <v/>
      </c>
      <c r="O88" s="142">
        <f>IFERROR(CHOOSE(MATCH(IF($E88="","Основний",$E88),{"Трафіковий","Основний","Маржинальний","Сезонний","Стратегічний"},0),Settings!$D$78,Settings!$D$80,Settings!$D$82,Settings!$D$84,Settings!$D$86),"")</f>
        <v/>
      </c>
      <c r="P88" s="143">
        <f>IFERROR((N88*(1-Settings!$D$17)-C88)/(N88*(1-Settings!$D$17)),"")</f>
        <v/>
      </c>
      <c r="Q88" s="149">
        <f>IFERROR(IF(N88="","",IF(N88&gt;=C88/(1-SKU_Base!AB88)/(1-Settings!$D$17),"OK",IF(N88&gt;=C88/(1-SKU_Base!AI88)/(1-Settings!$D$17),"WARN","STOP"))),"")</f>
        <v/>
      </c>
      <c r="R88" s="159">
        <f>IFERROR(ROUND(D88*(1-CHOOSE(MATCH(IF($E88="","Основний",$E88),{"Трафіковий","Основний","Маржинальний","Сезонний","Стратегічний"},0),Settings!$E$78,Settings!$E$80,Settings!$E$82,Settings!$E$84,Settings!$E$86))/6,2)*6,"")</f>
        <v/>
      </c>
      <c r="S88" s="142">
        <f>IFERROR(CHOOSE(MATCH(IF($E88="","Основний",$E88),{"Трафіковий","Основний","Маржинальний","Сезонний","Стратегічний"},0),Settings!$E$78,Settings!$E$80,Settings!$E$82,Settings!$E$84,Settings!$E$86),"")</f>
        <v/>
      </c>
      <c r="T88" s="143">
        <f>IFERROR((R88*(1-Settings!$E$17)-C88)/(R88*(1-Settings!$E$17)),"")</f>
        <v/>
      </c>
      <c r="U88" s="149">
        <f>IFERROR(IF(R88="","",IF(R88&gt;=C88/(1-SKU_Base!AC88)/(1-Settings!$E$17),"OK",IF(R88&gt;=C88/(1-SKU_Base!AJ88)/(1-Settings!$E$17),"WARN","STOP"))),"")</f>
        <v/>
      </c>
      <c r="V88" s="159">
        <f>IFERROR(ROUND(D88*(1-CHOOSE(MATCH(IF($E88="","Основний",$E88),{"Трафіковий","Основний","Маржинальний","Сезонний","Стратегічний"},0),Settings!$F$78,Settings!$F$80,Settings!$F$82,Settings!$F$84,Settings!$F$86))/6,2)*6,"")</f>
        <v/>
      </c>
      <c r="W88" s="142">
        <f>IFERROR(CHOOSE(MATCH(IF($E88="","Основний",$E88),{"Трафіковий","Основний","Маржинальний","Сезонний","Стратегічний"},0),Settings!$F$78,Settings!$F$80,Settings!$F$82,Settings!$F$84,Settings!$F$86),"")</f>
        <v/>
      </c>
      <c r="X88" s="143">
        <f>IFERROR((V88*(1-Settings!$F$17)-C88)/(V88*(1-Settings!$F$17)),"")</f>
        <v/>
      </c>
      <c r="Y88" s="149">
        <f>IFERROR(IF(V88="","",IF(V88&gt;=C88/(1-SKU_Base!AD88)/(1-Settings!$F$17),"OK",IF(V88&gt;=C88/(1-SKU_Base!AK88)/(1-Settings!$F$17),"WARN","STOP"))),"")</f>
        <v/>
      </c>
      <c r="Z88" s="159">
        <f>IFERROR(ROUND(D88*(1-CHOOSE(MATCH(IF($E88="","Основний",$E88),{"Трафіковий","Основний","Маржинальний","Сезонний","Стратегічний"},0),Settings!$G$78,Settings!$G$80,Settings!$G$82,Settings!$G$84,Settings!$G$86))/6,2)*6,"")</f>
        <v/>
      </c>
      <c r="AA88" s="142">
        <f>IFERROR(CHOOSE(MATCH(IF($E88="","Основний",$E88),{"Трафіковий","Основний","Маржинальний","Сезонний","Стратегічний"},0),Settings!$G$78,Settings!$G$80,Settings!$G$82,Settings!$G$84,Settings!$G$86),"")</f>
        <v/>
      </c>
      <c r="AB88" s="143">
        <f>IFERROR((Z88*(1-Settings!$G$17)-C88)/(Z88*(1-Settings!$G$17)),"")</f>
        <v/>
      </c>
      <c r="AC88" s="149">
        <f>IFERROR(IF(Z88="","",IF(Z88&gt;=C88/(1-SKU_Base!AE88)/(1-Settings!$G$17),"OK",IF(Z88&gt;=C88/(1-SKU_Base!AL88)/(1-Settings!$G$17),"WARN","STOP"))),"")</f>
        <v/>
      </c>
      <c r="AD88" s="159">
        <f>IFERROR(ROUND(D88*(1-CHOOSE(MATCH(IF($E88="","Основний",$E88),{"Трафіковий","Основний","Маржинальний","Сезонний","Стратегічний"},0),Settings!$H$78,Settings!$H$80,Settings!$H$82,Settings!$H$84,Settings!$H$86))*(1-Settings!$H$68)/6,2)*6,"")</f>
        <v/>
      </c>
      <c r="AE88" s="142">
        <f>IFERROR(CHOOSE(MATCH(IF($E88="","Основний",$E88),{"Трафіковий","Основний","Маржинальний","Сезонний","Стратегічний"},0),Settings!$H$78,Settings!$H$80,Settings!$H$82,Settings!$H$84,Settings!$H$86)+(1-(CHOOSE(MATCH(IF($E88="","Основний",$E88),{"Трафіковий","Основний","Маржинальний","Сезонний","Стратегічний"},0),Settings!$H$78,Settings!$H$80,Settings!$H$82,Settings!$H$84,Settings!$H$86)))*Settings!$H$68,"")</f>
        <v/>
      </c>
      <c r="AF88" s="143">
        <f>IFERROR((AD88*(1-Settings!$H$17)-C88)/(AD88*(1-Settings!$H$17)),"")</f>
        <v/>
      </c>
      <c r="AG88" s="150">
        <f>IFERROR(IF(AD88="","",IF(AD88&gt;=C88/(1-SKU_Base!AF88)/(1-Settings!$H$17),"OK",IF(AD88&gt;=C88/(1-SKU_Base!AM88)/(1-Settings!$H$17),"WARN","STOP"))),"")</f>
        <v/>
      </c>
    </row>
    <row r="89" ht="17" customHeight="1" s="179">
      <c r="A89" s="146">
        <f>SKU_Base!B89</f>
        <v/>
      </c>
      <c r="B89" s="146">
        <f>SKU_Base!C89</f>
        <v/>
      </c>
      <c r="C89" s="147">
        <f>IFERROR(SKU_Base!I89,"")</f>
        <v/>
      </c>
      <c r="D89" s="164">
        <f>IFERROR(SKU_Base!T89,"")</f>
        <v/>
      </c>
      <c r="E89" s="141">
        <f>IFERROR(SKU_Base!$U89,"")</f>
        <v/>
      </c>
      <c r="F89" s="160">
        <f>IFERROR(ROUND(D89*(1-CHOOSE(MATCH(IF($E89="","Основний",$E89),{"Трафіковий","Основний","Маржинальний","Сезонний","Стратегічний"},0),Settings!$B$78,Settings!$B$80,Settings!$B$82,Settings!$B$84,Settings!$B$86))/6,2)*6,"")</f>
        <v/>
      </c>
      <c r="G89" s="142">
        <f>IFERROR(CHOOSE(MATCH(IF($E89="","Основний",$E89),{"Трафіковий","Основний","Маржинальний","Сезонний","Стратегічний"},0),Settings!$B$78,Settings!$B$80,Settings!$B$82,Settings!$B$84,Settings!$B$86),"")</f>
        <v/>
      </c>
      <c r="H89" s="148">
        <f>IFERROR((F89*(1-Settings!$B$17)-C89)/(F89*(1-Settings!$B$17)),"")</f>
        <v/>
      </c>
      <c r="I89" s="149">
        <f>IFERROR(IF(F89="","",IF(F89&gt;=C89/(1-SKU_Base!Z89)/(1-Settings!$B$17),"OK",IF(F89&gt;=C89/(1-SKU_Base!AG89)/(1-Settings!$B$17),"WARN","STOP"))),"")</f>
        <v/>
      </c>
      <c r="J89" s="160">
        <f>IFERROR(ROUND(D89*(1-CHOOSE(MATCH(IF($E89="","Основний",$E89),{"Трафіковий","Основний","Маржинальний","Сезонний","Стратегічний"},0),Settings!$C$78,Settings!$C$80,Settings!$C$82,Settings!$C$84,Settings!$C$86))/6,2)*6,"")</f>
        <v/>
      </c>
      <c r="K89" s="142">
        <f>IFERROR(CHOOSE(MATCH(IF($E89="","Основний",$E89),{"Трафіковий","Основний","Маржинальний","Сезонний","Стратегічний"},0),Settings!$C$78,Settings!$C$80,Settings!$C$82,Settings!$C$84,Settings!$C$86),"")</f>
        <v/>
      </c>
      <c r="L89" s="148">
        <f>IFERROR((J89*(1-Settings!$C$17)-C89)/(J89*(1-Settings!$C$17)),"")</f>
        <v/>
      </c>
      <c r="M89" s="149">
        <f>IFERROR(IF(J89="","",IF(J89&gt;=C89/(1-SKU_Base!AA89)/(1-Settings!$C$17),"OK",IF(J89&gt;=C89/(1-SKU_Base!AH89)/(1-Settings!$C$17),"WARN","STOP"))),"")</f>
        <v/>
      </c>
      <c r="N89" s="161">
        <f>IFERROR(ROUND(D89*(1-CHOOSE(MATCH(IF($E89="","Основний",$E89),{"Трафіковий","Основний","Маржинальний","Сезонний","Стратегічний"},0),Settings!$D$78,Settings!$D$80,Settings!$D$82,Settings!$D$84,Settings!$D$86))/6,2)*6,"")</f>
        <v/>
      </c>
      <c r="O89" s="142">
        <f>IFERROR(CHOOSE(MATCH(IF($E89="","Основний",$E89),{"Трафіковий","Основний","Маржинальний","Сезонний","Стратегічний"},0),Settings!$D$78,Settings!$D$80,Settings!$D$82,Settings!$D$84,Settings!$D$86),"")</f>
        <v/>
      </c>
      <c r="P89" s="148">
        <f>IFERROR((N89*(1-Settings!$D$17)-C89)/(N89*(1-Settings!$D$17)),"")</f>
        <v/>
      </c>
      <c r="Q89" s="149">
        <f>IFERROR(IF(N89="","",IF(N89&gt;=C89/(1-SKU_Base!AB89)/(1-Settings!$D$17),"OK",IF(N89&gt;=C89/(1-SKU_Base!AI89)/(1-Settings!$D$17),"WARN","STOP"))),"")</f>
        <v/>
      </c>
      <c r="R89" s="161">
        <f>IFERROR(ROUND(D89*(1-CHOOSE(MATCH(IF($E89="","Основний",$E89),{"Трафіковий","Основний","Маржинальний","Сезонний","Стратегічний"},0),Settings!$E$78,Settings!$E$80,Settings!$E$82,Settings!$E$84,Settings!$E$86))/6,2)*6,"")</f>
        <v/>
      </c>
      <c r="S89" s="142">
        <f>IFERROR(CHOOSE(MATCH(IF($E89="","Основний",$E89),{"Трафіковий","Основний","Маржинальний","Сезонний","Стратегічний"},0),Settings!$E$78,Settings!$E$80,Settings!$E$82,Settings!$E$84,Settings!$E$86),"")</f>
        <v/>
      </c>
      <c r="T89" s="148">
        <f>IFERROR((R89*(1-Settings!$E$17)-C89)/(R89*(1-Settings!$E$17)),"")</f>
        <v/>
      </c>
      <c r="U89" s="149">
        <f>IFERROR(IF(R89="","",IF(R89&gt;=C89/(1-SKU_Base!AC89)/(1-Settings!$E$17),"OK",IF(R89&gt;=C89/(1-SKU_Base!AJ89)/(1-Settings!$E$17),"WARN","STOP"))),"")</f>
        <v/>
      </c>
      <c r="V89" s="161">
        <f>IFERROR(ROUND(D89*(1-CHOOSE(MATCH(IF($E89="","Основний",$E89),{"Трафіковий","Основний","Маржинальний","Сезонний","Стратегічний"},0),Settings!$F$78,Settings!$F$80,Settings!$F$82,Settings!$F$84,Settings!$F$86))/6,2)*6,"")</f>
        <v/>
      </c>
      <c r="W89" s="142">
        <f>IFERROR(CHOOSE(MATCH(IF($E89="","Основний",$E89),{"Трафіковий","Основний","Маржинальний","Сезонний","Стратегічний"},0),Settings!$F$78,Settings!$F$80,Settings!$F$82,Settings!$F$84,Settings!$F$86),"")</f>
        <v/>
      </c>
      <c r="X89" s="148">
        <f>IFERROR((V89*(1-Settings!$F$17)-C89)/(V89*(1-Settings!$F$17)),"")</f>
        <v/>
      </c>
      <c r="Y89" s="149">
        <f>IFERROR(IF(V89="","",IF(V89&gt;=C89/(1-SKU_Base!AD89)/(1-Settings!$F$17),"OK",IF(V89&gt;=C89/(1-SKU_Base!AK89)/(1-Settings!$F$17),"WARN","STOP"))),"")</f>
        <v/>
      </c>
      <c r="Z89" s="161">
        <f>IFERROR(ROUND(D89*(1-CHOOSE(MATCH(IF($E89="","Основний",$E89),{"Трафіковий","Основний","Маржинальний","Сезонний","Стратегічний"},0),Settings!$G$78,Settings!$G$80,Settings!$G$82,Settings!$G$84,Settings!$G$86))/6,2)*6,"")</f>
        <v/>
      </c>
      <c r="AA89" s="142">
        <f>IFERROR(CHOOSE(MATCH(IF($E89="","Основний",$E89),{"Трафіковий","Основний","Маржинальний","Сезонний","Стратегічний"},0),Settings!$G$78,Settings!$G$80,Settings!$G$82,Settings!$G$84,Settings!$G$86),"")</f>
        <v/>
      </c>
      <c r="AB89" s="148">
        <f>IFERROR((Z89*(1-Settings!$G$17)-C89)/(Z89*(1-Settings!$G$17)),"")</f>
        <v/>
      </c>
      <c r="AC89" s="149">
        <f>IFERROR(IF(Z89="","",IF(Z89&gt;=C89/(1-SKU_Base!AE89)/(1-Settings!$G$17),"OK",IF(Z89&gt;=C89/(1-SKU_Base!AL89)/(1-Settings!$G$17),"WARN","STOP"))),"")</f>
        <v/>
      </c>
      <c r="AD89" s="161">
        <f>IFERROR(ROUND(D89*(1-CHOOSE(MATCH(IF($E89="","Основний",$E89),{"Трафіковий","Основний","Маржинальний","Сезонний","Стратегічний"},0),Settings!$H$78,Settings!$H$80,Settings!$H$82,Settings!$H$84,Settings!$H$86))*(1-Settings!$H$68)/6,2)*6,"")</f>
        <v/>
      </c>
      <c r="AE89" s="142">
        <f>IFERROR(CHOOSE(MATCH(IF($E89="","Основний",$E89),{"Трафіковий","Основний","Маржинальний","Сезонний","Стратегічний"},0),Settings!$H$78,Settings!$H$80,Settings!$H$82,Settings!$H$84,Settings!$H$86)+(1-(CHOOSE(MATCH(IF($E89="","Основний",$E89),{"Трафіковий","Основний","Маржинальний","Сезонний","Стратегічний"},0),Settings!$H$78,Settings!$H$80,Settings!$H$82,Settings!$H$84,Settings!$H$86)))*Settings!$H$68,"")</f>
        <v/>
      </c>
      <c r="AF89" s="148">
        <f>IFERROR((AD89*(1-Settings!$H$17)-C89)/(AD89*(1-Settings!$H$17)),"")</f>
        <v/>
      </c>
      <c r="AG89" s="150">
        <f>IFERROR(IF(AD89="","",IF(AD89&gt;=C89/(1-SKU_Base!AF89)/(1-Settings!$H$17),"OK",IF(AD89&gt;=C89/(1-SKU_Base!AM89)/(1-Settings!$H$17),"WARN","STOP"))),"")</f>
        <v/>
      </c>
    </row>
    <row r="90" ht="17" customHeight="1" s="179">
      <c r="A90" s="139">
        <f>SKU_Base!B90</f>
        <v/>
      </c>
      <c r="B90" s="139">
        <f>SKU_Base!C90</f>
        <v/>
      </c>
      <c r="C90" s="140">
        <f>IFERROR(SKU_Base!I90,"")</f>
        <v/>
      </c>
      <c r="D90" s="163">
        <f>IFERROR(SKU_Base!T90,"")</f>
        <v/>
      </c>
      <c r="E90" s="141">
        <f>IFERROR(SKU_Base!$U90,"")</f>
        <v/>
      </c>
      <c r="F90" s="158">
        <f>IFERROR(ROUND(D90*(1-CHOOSE(MATCH(IF($E90="","Основний",$E90),{"Трафіковий","Основний","Маржинальний","Сезонний","Стратегічний"},0),Settings!$B$78,Settings!$B$80,Settings!$B$82,Settings!$B$84,Settings!$B$86))/6,2)*6,"")</f>
        <v/>
      </c>
      <c r="G90" s="142">
        <f>IFERROR(CHOOSE(MATCH(IF($E90="","Основний",$E90),{"Трафіковий","Основний","Маржинальний","Сезонний","Стратегічний"},0),Settings!$B$78,Settings!$B$80,Settings!$B$82,Settings!$B$84,Settings!$B$86),"")</f>
        <v/>
      </c>
      <c r="H90" s="143">
        <f>IFERROR((F90*(1-Settings!$B$17)-C90)/(F90*(1-Settings!$B$17)),"")</f>
        <v/>
      </c>
      <c r="I90" s="149">
        <f>IFERROR(IF(F90="","",IF(F90&gt;=C90/(1-SKU_Base!Z90)/(1-Settings!$B$17),"OK",IF(F90&gt;=C90/(1-SKU_Base!AG90)/(1-Settings!$B$17),"WARN","STOP"))),"")</f>
        <v/>
      </c>
      <c r="J90" s="158">
        <f>IFERROR(ROUND(D90*(1-CHOOSE(MATCH(IF($E90="","Основний",$E90),{"Трафіковий","Основний","Маржинальний","Сезонний","Стратегічний"},0),Settings!$C$78,Settings!$C$80,Settings!$C$82,Settings!$C$84,Settings!$C$86))/6,2)*6,"")</f>
        <v/>
      </c>
      <c r="K90" s="142">
        <f>IFERROR(CHOOSE(MATCH(IF($E90="","Основний",$E90),{"Трафіковий","Основний","Маржинальний","Сезонний","Стратегічний"},0),Settings!$C$78,Settings!$C$80,Settings!$C$82,Settings!$C$84,Settings!$C$86),"")</f>
        <v/>
      </c>
      <c r="L90" s="143">
        <f>IFERROR((J90*(1-Settings!$C$17)-C90)/(J90*(1-Settings!$C$17)),"")</f>
        <v/>
      </c>
      <c r="M90" s="149">
        <f>IFERROR(IF(J90="","",IF(J90&gt;=C90/(1-SKU_Base!AA90)/(1-Settings!$C$17),"OK",IF(J90&gt;=C90/(1-SKU_Base!AH90)/(1-Settings!$C$17),"WARN","STOP"))),"")</f>
        <v/>
      </c>
      <c r="N90" s="159">
        <f>IFERROR(ROUND(D90*(1-CHOOSE(MATCH(IF($E90="","Основний",$E90),{"Трафіковий","Основний","Маржинальний","Сезонний","Стратегічний"},0),Settings!$D$78,Settings!$D$80,Settings!$D$82,Settings!$D$84,Settings!$D$86))/6,2)*6,"")</f>
        <v/>
      </c>
      <c r="O90" s="142">
        <f>IFERROR(CHOOSE(MATCH(IF($E90="","Основний",$E90),{"Трафіковий","Основний","Маржинальний","Сезонний","Стратегічний"},0),Settings!$D$78,Settings!$D$80,Settings!$D$82,Settings!$D$84,Settings!$D$86),"")</f>
        <v/>
      </c>
      <c r="P90" s="143">
        <f>IFERROR((N90*(1-Settings!$D$17)-C90)/(N90*(1-Settings!$D$17)),"")</f>
        <v/>
      </c>
      <c r="Q90" s="149">
        <f>IFERROR(IF(N90="","",IF(N90&gt;=C90/(1-SKU_Base!AB90)/(1-Settings!$D$17),"OK",IF(N90&gt;=C90/(1-SKU_Base!AI90)/(1-Settings!$D$17),"WARN","STOP"))),"")</f>
        <v/>
      </c>
      <c r="R90" s="159">
        <f>IFERROR(ROUND(D90*(1-CHOOSE(MATCH(IF($E90="","Основний",$E90),{"Трафіковий","Основний","Маржинальний","Сезонний","Стратегічний"},0),Settings!$E$78,Settings!$E$80,Settings!$E$82,Settings!$E$84,Settings!$E$86))/6,2)*6,"")</f>
        <v/>
      </c>
      <c r="S90" s="142">
        <f>IFERROR(CHOOSE(MATCH(IF($E90="","Основний",$E90),{"Трафіковий","Основний","Маржинальний","Сезонний","Стратегічний"},0),Settings!$E$78,Settings!$E$80,Settings!$E$82,Settings!$E$84,Settings!$E$86),"")</f>
        <v/>
      </c>
      <c r="T90" s="143">
        <f>IFERROR((R90*(1-Settings!$E$17)-C90)/(R90*(1-Settings!$E$17)),"")</f>
        <v/>
      </c>
      <c r="U90" s="149">
        <f>IFERROR(IF(R90="","",IF(R90&gt;=C90/(1-SKU_Base!AC90)/(1-Settings!$E$17),"OK",IF(R90&gt;=C90/(1-SKU_Base!AJ90)/(1-Settings!$E$17),"WARN","STOP"))),"")</f>
        <v/>
      </c>
      <c r="V90" s="159">
        <f>IFERROR(ROUND(D90*(1-CHOOSE(MATCH(IF($E90="","Основний",$E90),{"Трафіковий","Основний","Маржинальний","Сезонний","Стратегічний"},0),Settings!$F$78,Settings!$F$80,Settings!$F$82,Settings!$F$84,Settings!$F$86))/6,2)*6,"")</f>
        <v/>
      </c>
      <c r="W90" s="142">
        <f>IFERROR(CHOOSE(MATCH(IF($E90="","Основний",$E90),{"Трафіковий","Основний","Маржинальний","Сезонний","Стратегічний"},0),Settings!$F$78,Settings!$F$80,Settings!$F$82,Settings!$F$84,Settings!$F$86),"")</f>
        <v/>
      </c>
      <c r="X90" s="143">
        <f>IFERROR((V90*(1-Settings!$F$17)-C90)/(V90*(1-Settings!$F$17)),"")</f>
        <v/>
      </c>
      <c r="Y90" s="149">
        <f>IFERROR(IF(V90="","",IF(V90&gt;=C90/(1-SKU_Base!AD90)/(1-Settings!$F$17),"OK",IF(V90&gt;=C90/(1-SKU_Base!AK90)/(1-Settings!$F$17),"WARN","STOP"))),"")</f>
        <v/>
      </c>
      <c r="Z90" s="159">
        <f>IFERROR(ROUND(D90*(1-CHOOSE(MATCH(IF($E90="","Основний",$E90),{"Трафіковий","Основний","Маржинальний","Сезонний","Стратегічний"},0),Settings!$G$78,Settings!$G$80,Settings!$G$82,Settings!$G$84,Settings!$G$86))/6,2)*6,"")</f>
        <v/>
      </c>
      <c r="AA90" s="142">
        <f>IFERROR(CHOOSE(MATCH(IF($E90="","Основний",$E90),{"Трафіковий","Основний","Маржинальний","Сезонний","Стратегічний"},0),Settings!$G$78,Settings!$G$80,Settings!$G$82,Settings!$G$84,Settings!$G$86),"")</f>
        <v/>
      </c>
      <c r="AB90" s="143">
        <f>IFERROR((Z90*(1-Settings!$G$17)-C90)/(Z90*(1-Settings!$G$17)),"")</f>
        <v/>
      </c>
      <c r="AC90" s="149">
        <f>IFERROR(IF(Z90="","",IF(Z90&gt;=C90/(1-SKU_Base!AE90)/(1-Settings!$G$17),"OK",IF(Z90&gt;=C90/(1-SKU_Base!AL90)/(1-Settings!$G$17),"WARN","STOP"))),"")</f>
        <v/>
      </c>
      <c r="AD90" s="159">
        <f>IFERROR(ROUND(D90*(1-CHOOSE(MATCH(IF($E90="","Основний",$E90),{"Трафіковий","Основний","Маржинальний","Сезонний","Стратегічний"},0),Settings!$H$78,Settings!$H$80,Settings!$H$82,Settings!$H$84,Settings!$H$86))*(1-Settings!$H$68)/6,2)*6,"")</f>
        <v/>
      </c>
      <c r="AE90" s="142">
        <f>IFERROR(CHOOSE(MATCH(IF($E90="","Основний",$E90),{"Трафіковий","Основний","Маржинальний","Сезонний","Стратегічний"},0),Settings!$H$78,Settings!$H$80,Settings!$H$82,Settings!$H$84,Settings!$H$86)+(1-(CHOOSE(MATCH(IF($E90="","Основний",$E90),{"Трафіковий","Основний","Маржинальний","Сезонний","Стратегічний"},0),Settings!$H$78,Settings!$H$80,Settings!$H$82,Settings!$H$84,Settings!$H$86)))*Settings!$H$68,"")</f>
        <v/>
      </c>
      <c r="AF90" s="143">
        <f>IFERROR((AD90*(1-Settings!$H$17)-C90)/(AD90*(1-Settings!$H$17)),"")</f>
        <v/>
      </c>
      <c r="AG90" s="149">
        <f>IFERROR(IF(AD90="","",IF(AD90&gt;=C90/(1-SKU_Base!AF90)/(1-Settings!$H$17),"OK",IF(AD90&gt;=C90/(1-SKU_Base!AM90)/(1-Settings!$H$17),"WARN","STOP"))),"")</f>
        <v/>
      </c>
    </row>
    <row r="91" ht="17" customHeight="1" s="179">
      <c r="A91" s="146">
        <f>SKU_Base!B91</f>
        <v/>
      </c>
      <c r="B91" s="146">
        <f>SKU_Base!C91</f>
        <v/>
      </c>
      <c r="C91" s="147">
        <f>IFERROR(SKU_Base!I91,"")</f>
        <v/>
      </c>
      <c r="D91" s="164">
        <f>IFERROR(SKU_Base!T91,"")</f>
        <v/>
      </c>
      <c r="E91" s="141">
        <f>IFERROR(SKU_Base!$U91,"")</f>
        <v/>
      </c>
      <c r="F91" s="160">
        <f>IFERROR(ROUND(D91*(1-CHOOSE(MATCH(IF($E91="","Основний",$E91),{"Трафіковий","Основний","Маржинальний","Сезонний","Стратегічний"},0),Settings!$B$78,Settings!$B$80,Settings!$B$82,Settings!$B$84,Settings!$B$86))/6,2)*6,"")</f>
        <v/>
      </c>
      <c r="G91" s="142">
        <f>IFERROR(CHOOSE(MATCH(IF($E91="","Основний",$E91),{"Трафіковий","Основний","Маржинальний","Сезонний","Стратегічний"},0),Settings!$B$78,Settings!$B$80,Settings!$B$82,Settings!$B$84,Settings!$B$86),"")</f>
        <v/>
      </c>
      <c r="H91" s="148">
        <f>IFERROR((F91*(1-Settings!$B$17)-C91)/(F91*(1-Settings!$B$17)),"")</f>
        <v/>
      </c>
      <c r="I91" s="149">
        <f>IFERROR(IF(F91="","",IF(F91&gt;=C91/(1-SKU_Base!Z91)/(1-Settings!$B$17),"OK",IF(F91&gt;=C91/(1-SKU_Base!AG91)/(1-Settings!$B$17),"WARN","STOP"))),"")</f>
        <v/>
      </c>
      <c r="J91" s="160">
        <f>IFERROR(ROUND(D91*(1-CHOOSE(MATCH(IF($E91="","Основний",$E91),{"Трафіковий","Основний","Маржинальний","Сезонний","Стратегічний"},0),Settings!$C$78,Settings!$C$80,Settings!$C$82,Settings!$C$84,Settings!$C$86))/6,2)*6,"")</f>
        <v/>
      </c>
      <c r="K91" s="142">
        <f>IFERROR(CHOOSE(MATCH(IF($E91="","Основний",$E91),{"Трафіковий","Основний","Маржинальний","Сезонний","Стратегічний"},0),Settings!$C$78,Settings!$C$80,Settings!$C$82,Settings!$C$84,Settings!$C$86),"")</f>
        <v/>
      </c>
      <c r="L91" s="148">
        <f>IFERROR((J91*(1-Settings!$C$17)-C91)/(J91*(1-Settings!$C$17)),"")</f>
        <v/>
      </c>
      <c r="M91" s="149">
        <f>IFERROR(IF(J91="","",IF(J91&gt;=C91/(1-SKU_Base!AA91)/(1-Settings!$C$17),"OK",IF(J91&gt;=C91/(1-SKU_Base!AH91)/(1-Settings!$C$17),"WARN","STOP"))),"")</f>
        <v/>
      </c>
      <c r="N91" s="161">
        <f>IFERROR(ROUND(D91*(1-CHOOSE(MATCH(IF($E91="","Основний",$E91),{"Трафіковий","Основний","Маржинальний","Сезонний","Стратегічний"},0),Settings!$D$78,Settings!$D$80,Settings!$D$82,Settings!$D$84,Settings!$D$86))/6,2)*6,"")</f>
        <v/>
      </c>
      <c r="O91" s="142">
        <f>IFERROR(CHOOSE(MATCH(IF($E91="","Основний",$E91),{"Трафіковий","Основний","Маржинальний","Сезонний","Стратегічний"},0),Settings!$D$78,Settings!$D$80,Settings!$D$82,Settings!$D$84,Settings!$D$86),"")</f>
        <v/>
      </c>
      <c r="P91" s="148">
        <f>IFERROR((N91*(1-Settings!$D$17)-C91)/(N91*(1-Settings!$D$17)),"")</f>
        <v/>
      </c>
      <c r="Q91" s="149">
        <f>IFERROR(IF(N91="","",IF(N91&gt;=C91/(1-SKU_Base!AB91)/(1-Settings!$D$17),"OK",IF(N91&gt;=C91/(1-SKU_Base!AI91)/(1-Settings!$D$17),"WARN","STOP"))),"")</f>
        <v/>
      </c>
      <c r="R91" s="161">
        <f>IFERROR(ROUND(D91*(1-CHOOSE(MATCH(IF($E91="","Основний",$E91),{"Трафіковий","Основний","Маржинальний","Сезонний","Стратегічний"},0),Settings!$E$78,Settings!$E$80,Settings!$E$82,Settings!$E$84,Settings!$E$86))/6,2)*6,"")</f>
        <v/>
      </c>
      <c r="S91" s="142">
        <f>IFERROR(CHOOSE(MATCH(IF($E91="","Основний",$E91),{"Трафіковий","Основний","Маржинальний","Сезонний","Стратегічний"},0),Settings!$E$78,Settings!$E$80,Settings!$E$82,Settings!$E$84,Settings!$E$86),"")</f>
        <v/>
      </c>
      <c r="T91" s="148">
        <f>IFERROR((R91*(1-Settings!$E$17)-C91)/(R91*(1-Settings!$E$17)),"")</f>
        <v/>
      </c>
      <c r="U91" s="149">
        <f>IFERROR(IF(R91="","",IF(R91&gt;=C91/(1-SKU_Base!AC91)/(1-Settings!$E$17),"OK",IF(R91&gt;=C91/(1-SKU_Base!AJ91)/(1-Settings!$E$17),"WARN","STOP"))),"")</f>
        <v/>
      </c>
      <c r="V91" s="161">
        <f>IFERROR(ROUND(D91*(1-CHOOSE(MATCH(IF($E91="","Основний",$E91),{"Трафіковий","Основний","Маржинальний","Сезонний","Стратегічний"},0),Settings!$F$78,Settings!$F$80,Settings!$F$82,Settings!$F$84,Settings!$F$86))/6,2)*6,"")</f>
        <v/>
      </c>
      <c r="W91" s="142">
        <f>IFERROR(CHOOSE(MATCH(IF($E91="","Основний",$E91),{"Трафіковий","Основний","Маржинальний","Сезонний","Стратегічний"},0),Settings!$F$78,Settings!$F$80,Settings!$F$82,Settings!$F$84,Settings!$F$86),"")</f>
        <v/>
      </c>
      <c r="X91" s="148">
        <f>IFERROR((V91*(1-Settings!$F$17)-C91)/(V91*(1-Settings!$F$17)),"")</f>
        <v/>
      </c>
      <c r="Y91" s="149">
        <f>IFERROR(IF(V91="","",IF(V91&gt;=C91/(1-SKU_Base!AD91)/(1-Settings!$F$17),"OK",IF(V91&gt;=C91/(1-SKU_Base!AK91)/(1-Settings!$F$17),"WARN","STOP"))),"")</f>
        <v/>
      </c>
      <c r="Z91" s="161">
        <f>IFERROR(ROUND(D91*(1-CHOOSE(MATCH(IF($E91="","Основний",$E91),{"Трафіковий","Основний","Маржинальний","Сезонний","Стратегічний"},0),Settings!$G$78,Settings!$G$80,Settings!$G$82,Settings!$G$84,Settings!$G$86))/6,2)*6,"")</f>
        <v/>
      </c>
      <c r="AA91" s="142">
        <f>IFERROR(CHOOSE(MATCH(IF($E91="","Основний",$E91),{"Трафіковий","Основний","Маржинальний","Сезонний","Стратегічний"},0),Settings!$G$78,Settings!$G$80,Settings!$G$82,Settings!$G$84,Settings!$G$86),"")</f>
        <v/>
      </c>
      <c r="AB91" s="148">
        <f>IFERROR((Z91*(1-Settings!$G$17)-C91)/(Z91*(1-Settings!$G$17)),"")</f>
        <v/>
      </c>
      <c r="AC91" s="149">
        <f>IFERROR(IF(Z91="","",IF(Z91&gt;=C91/(1-SKU_Base!AE91)/(1-Settings!$G$17),"OK",IF(Z91&gt;=C91/(1-SKU_Base!AL91)/(1-Settings!$G$17),"WARN","STOP"))),"")</f>
        <v/>
      </c>
      <c r="AD91" s="161">
        <f>IFERROR(ROUND(D91*(1-CHOOSE(MATCH(IF($E91="","Основний",$E91),{"Трафіковий","Основний","Маржинальний","Сезонний","Стратегічний"},0),Settings!$H$78,Settings!$H$80,Settings!$H$82,Settings!$H$84,Settings!$H$86))*(1-Settings!$H$68)/6,2)*6,"")</f>
        <v/>
      </c>
      <c r="AE91" s="142">
        <f>IFERROR(CHOOSE(MATCH(IF($E91="","Основний",$E91),{"Трафіковий","Основний","Маржинальний","Сезонний","Стратегічний"},0),Settings!$H$78,Settings!$H$80,Settings!$H$82,Settings!$H$84,Settings!$H$86)+(1-(CHOOSE(MATCH(IF($E91="","Основний",$E91),{"Трафіковий","Основний","Маржинальний","Сезонний","Стратегічний"},0),Settings!$H$78,Settings!$H$80,Settings!$H$82,Settings!$H$84,Settings!$H$86)))*Settings!$H$68,"")</f>
        <v/>
      </c>
      <c r="AF91" s="148">
        <f>IFERROR((AD91*(1-Settings!$H$17)-C91)/(AD91*(1-Settings!$H$17)),"")</f>
        <v/>
      </c>
      <c r="AG91" s="150">
        <f>IFERROR(IF(AD91="","",IF(AD91&gt;=C91/(1-SKU_Base!AF91)/(1-Settings!$H$17),"OK",IF(AD91&gt;=C91/(1-SKU_Base!AM91)/(1-Settings!$H$17),"WARN","STOP"))),"")</f>
        <v/>
      </c>
    </row>
    <row r="92" ht="17" customHeight="1" s="179">
      <c r="A92" s="139">
        <f>SKU_Base!B92</f>
        <v/>
      </c>
      <c r="B92" s="139">
        <f>SKU_Base!C92</f>
        <v/>
      </c>
      <c r="C92" s="140">
        <f>IFERROR(SKU_Base!I92,"")</f>
        <v/>
      </c>
      <c r="D92" s="163">
        <f>IFERROR(SKU_Base!T92,"")</f>
        <v/>
      </c>
      <c r="E92" s="141">
        <f>IFERROR(SKU_Base!$U92,"")</f>
        <v/>
      </c>
      <c r="F92" s="158">
        <f>IFERROR(ROUND(D92*(1-CHOOSE(MATCH(IF($E92="","Основний",$E92),{"Трафіковий","Основний","Маржинальний","Сезонний","Стратегічний"},0),Settings!$B$78,Settings!$B$80,Settings!$B$82,Settings!$B$84,Settings!$B$86))/6,2)*6,"")</f>
        <v/>
      </c>
      <c r="G92" s="142">
        <f>IFERROR(CHOOSE(MATCH(IF($E92="","Основний",$E92),{"Трафіковий","Основний","Маржинальний","Сезонний","Стратегічний"},0),Settings!$B$78,Settings!$B$80,Settings!$B$82,Settings!$B$84,Settings!$B$86),"")</f>
        <v/>
      </c>
      <c r="H92" s="143">
        <f>IFERROR((F92*(1-Settings!$B$17)-C92)/(F92*(1-Settings!$B$17)),"")</f>
        <v/>
      </c>
      <c r="I92" s="149">
        <f>IFERROR(IF(F92="","",IF(F92&gt;=C92/(1-SKU_Base!Z92)/(1-Settings!$B$17),"OK",IF(F92&gt;=C92/(1-SKU_Base!AG92)/(1-Settings!$B$17),"WARN","STOP"))),"")</f>
        <v/>
      </c>
      <c r="J92" s="158">
        <f>IFERROR(ROUND(D92*(1-CHOOSE(MATCH(IF($E92="","Основний",$E92),{"Трафіковий","Основний","Маржинальний","Сезонний","Стратегічний"},0),Settings!$C$78,Settings!$C$80,Settings!$C$82,Settings!$C$84,Settings!$C$86))/6,2)*6,"")</f>
        <v/>
      </c>
      <c r="K92" s="142">
        <f>IFERROR(CHOOSE(MATCH(IF($E92="","Основний",$E92),{"Трафіковий","Основний","Маржинальний","Сезонний","Стратегічний"},0),Settings!$C$78,Settings!$C$80,Settings!$C$82,Settings!$C$84,Settings!$C$86),"")</f>
        <v/>
      </c>
      <c r="L92" s="143">
        <f>IFERROR((J92*(1-Settings!$C$17)-C92)/(J92*(1-Settings!$C$17)),"")</f>
        <v/>
      </c>
      <c r="M92" s="149">
        <f>IFERROR(IF(J92="","",IF(J92&gt;=C92/(1-SKU_Base!AA92)/(1-Settings!$C$17),"OK",IF(J92&gt;=C92/(1-SKU_Base!AH92)/(1-Settings!$C$17),"WARN","STOP"))),"")</f>
        <v/>
      </c>
      <c r="N92" s="159">
        <f>IFERROR(ROUND(D92*(1-CHOOSE(MATCH(IF($E92="","Основний",$E92),{"Трафіковий","Основний","Маржинальний","Сезонний","Стратегічний"},0),Settings!$D$78,Settings!$D$80,Settings!$D$82,Settings!$D$84,Settings!$D$86))/6,2)*6,"")</f>
        <v/>
      </c>
      <c r="O92" s="142">
        <f>IFERROR(CHOOSE(MATCH(IF($E92="","Основний",$E92),{"Трафіковий","Основний","Маржинальний","Сезонний","Стратегічний"},0),Settings!$D$78,Settings!$D$80,Settings!$D$82,Settings!$D$84,Settings!$D$86),"")</f>
        <v/>
      </c>
      <c r="P92" s="143">
        <f>IFERROR((N92*(1-Settings!$D$17)-C92)/(N92*(1-Settings!$D$17)),"")</f>
        <v/>
      </c>
      <c r="Q92" s="149">
        <f>IFERROR(IF(N92="","",IF(N92&gt;=C92/(1-SKU_Base!AB92)/(1-Settings!$D$17),"OK",IF(N92&gt;=C92/(1-SKU_Base!AI92)/(1-Settings!$D$17),"WARN","STOP"))),"")</f>
        <v/>
      </c>
      <c r="R92" s="159">
        <f>IFERROR(ROUND(D92*(1-CHOOSE(MATCH(IF($E92="","Основний",$E92),{"Трафіковий","Основний","Маржинальний","Сезонний","Стратегічний"},0),Settings!$E$78,Settings!$E$80,Settings!$E$82,Settings!$E$84,Settings!$E$86))/6,2)*6,"")</f>
        <v/>
      </c>
      <c r="S92" s="142">
        <f>IFERROR(CHOOSE(MATCH(IF($E92="","Основний",$E92),{"Трафіковий","Основний","Маржинальний","Сезонний","Стратегічний"},0),Settings!$E$78,Settings!$E$80,Settings!$E$82,Settings!$E$84,Settings!$E$86),"")</f>
        <v/>
      </c>
      <c r="T92" s="143">
        <f>IFERROR((R92*(1-Settings!$E$17)-C92)/(R92*(1-Settings!$E$17)),"")</f>
        <v/>
      </c>
      <c r="U92" s="149">
        <f>IFERROR(IF(R92="","",IF(R92&gt;=C92/(1-SKU_Base!AC92)/(1-Settings!$E$17),"OK",IF(R92&gt;=C92/(1-SKU_Base!AJ92)/(1-Settings!$E$17),"WARN","STOP"))),"")</f>
        <v/>
      </c>
      <c r="V92" s="159">
        <f>IFERROR(ROUND(D92*(1-CHOOSE(MATCH(IF($E92="","Основний",$E92),{"Трафіковий","Основний","Маржинальний","Сезонний","Стратегічний"},0),Settings!$F$78,Settings!$F$80,Settings!$F$82,Settings!$F$84,Settings!$F$86))/6,2)*6,"")</f>
        <v/>
      </c>
      <c r="W92" s="142">
        <f>IFERROR(CHOOSE(MATCH(IF($E92="","Основний",$E92),{"Трафіковий","Основний","Маржинальний","Сезонний","Стратегічний"},0),Settings!$F$78,Settings!$F$80,Settings!$F$82,Settings!$F$84,Settings!$F$86),"")</f>
        <v/>
      </c>
      <c r="X92" s="143">
        <f>IFERROR((V92*(1-Settings!$F$17)-C92)/(V92*(1-Settings!$F$17)),"")</f>
        <v/>
      </c>
      <c r="Y92" s="149">
        <f>IFERROR(IF(V92="","",IF(V92&gt;=C92/(1-SKU_Base!AD92)/(1-Settings!$F$17),"OK",IF(V92&gt;=C92/(1-SKU_Base!AK92)/(1-Settings!$F$17),"WARN","STOP"))),"")</f>
        <v/>
      </c>
      <c r="Z92" s="159">
        <f>IFERROR(ROUND(D92*(1-CHOOSE(MATCH(IF($E92="","Основний",$E92),{"Трафіковий","Основний","Маржинальний","Сезонний","Стратегічний"},0),Settings!$G$78,Settings!$G$80,Settings!$G$82,Settings!$G$84,Settings!$G$86))/6,2)*6,"")</f>
        <v/>
      </c>
      <c r="AA92" s="142">
        <f>IFERROR(CHOOSE(MATCH(IF($E92="","Основний",$E92),{"Трафіковий","Основний","Маржинальний","Сезонний","Стратегічний"},0),Settings!$G$78,Settings!$G$80,Settings!$G$82,Settings!$G$84,Settings!$G$86),"")</f>
        <v/>
      </c>
      <c r="AB92" s="143">
        <f>IFERROR((Z92*(1-Settings!$G$17)-C92)/(Z92*(1-Settings!$G$17)),"")</f>
        <v/>
      </c>
      <c r="AC92" s="149">
        <f>IFERROR(IF(Z92="","",IF(Z92&gt;=C92/(1-SKU_Base!AE92)/(1-Settings!$G$17),"OK",IF(Z92&gt;=C92/(1-SKU_Base!AL92)/(1-Settings!$G$17),"WARN","STOP"))),"")</f>
        <v/>
      </c>
      <c r="AD92" s="159">
        <f>IFERROR(ROUND(D92*(1-CHOOSE(MATCH(IF($E92="","Основний",$E92),{"Трафіковий","Основний","Маржинальний","Сезонний","Стратегічний"},0),Settings!$H$78,Settings!$H$80,Settings!$H$82,Settings!$H$84,Settings!$H$86))*(1-Settings!$H$68)/6,2)*6,"")</f>
        <v/>
      </c>
      <c r="AE92" s="142">
        <f>IFERROR(CHOOSE(MATCH(IF($E92="","Основний",$E92),{"Трафіковий","Основний","Маржинальний","Сезонний","Стратегічний"},0),Settings!$H$78,Settings!$H$80,Settings!$H$82,Settings!$H$84,Settings!$H$86)+(1-(CHOOSE(MATCH(IF($E92="","Основний",$E92),{"Трафіковий","Основний","Маржинальний","Сезонний","Стратегічний"},0),Settings!$H$78,Settings!$H$80,Settings!$H$82,Settings!$H$84,Settings!$H$86)))*Settings!$H$68,"")</f>
        <v/>
      </c>
      <c r="AF92" s="143">
        <f>IFERROR((AD92*(1-Settings!$H$17)-C92)/(AD92*(1-Settings!$H$17)),"")</f>
        <v/>
      </c>
      <c r="AG92" s="149">
        <f>IFERROR(IF(AD92="","",IF(AD92&gt;=C92/(1-SKU_Base!AF92)/(1-Settings!$H$17),"OK",IF(AD92&gt;=C92/(1-SKU_Base!AM92)/(1-Settings!$H$17),"WARN","STOP"))),"")</f>
        <v/>
      </c>
    </row>
    <row r="93" ht="17" customHeight="1" s="179">
      <c r="A93" s="146">
        <f>SKU_Base!B93</f>
        <v/>
      </c>
      <c r="B93" s="146">
        <f>SKU_Base!C93</f>
        <v/>
      </c>
      <c r="C93" s="147">
        <f>IFERROR(SKU_Base!I93,"")</f>
        <v/>
      </c>
      <c r="D93" s="164">
        <f>IFERROR(SKU_Base!T93,"")</f>
        <v/>
      </c>
      <c r="E93" s="141">
        <f>IFERROR(SKU_Base!$U93,"")</f>
        <v/>
      </c>
      <c r="F93" s="160">
        <f>IFERROR(ROUND(D93*(1-CHOOSE(MATCH(IF($E93="","Основний",$E93),{"Трафіковий","Основний","Маржинальний","Сезонний","Стратегічний"},0),Settings!$B$78,Settings!$B$80,Settings!$B$82,Settings!$B$84,Settings!$B$86))/6,2)*6,"")</f>
        <v/>
      </c>
      <c r="G93" s="142">
        <f>IFERROR(CHOOSE(MATCH(IF($E93="","Основний",$E93),{"Трафіковий","Основний","Маржинальний","Сезонний","Стратегічний"},0),Settings!$B$78,Settings!$B$80,Settings!$B$82,Settings!$B$84,Settings!$B$86),"")</f>
        <v/>
      </c>
      <c r="H93" s="148">
        <f>IFERROR((F93*(1-Settings!$B$17)-C93)/(F93*(1-Settings!$B$17)),"")</f>
        <v/>
      </c>
      <c r="I93" s="149">
        <f>IFERROR(IF(F93="","",IF(F93&gt;=C93/(1-SKU_Base!Z93)/(1-Settings!$B$17),"OK",IF(F93&gt;=C93/(1-SKU_Base!AG93)/(1-Settings!$B$17),"WARN","STOP"))),"")</f>
        <v/>
      </c>
      <c r="J93" s="160">
        <f>IFERROR(ROUND(D93*(1-CHOOSE(MATCH(IF($E93="","Основний",$E93),{"Трафіковий","Основний","Маржинальний","Сезонний","Стратегічний"},0),Settings!$C$78,Settings!$C$80,Settings!$C$82,Settings!$C$84,Settings!$C$86))/6,2)*6,"")</f>
        <v/>
      </c>
      <c r="K93" s="142">
        <f>IFERROR(CHOOSE(MATCH(IF($E93="","Основний",$E93),{"Трафіковий","Основний","Маржинальний","Сезонний","Стратегічний"},0),Settings!$C$78,Settings!$C$80,Settings!$C$82,Settings!$C$84,Settings!$C$86),"")</f>
        <v/>
      </c>
      <c r="L93" s="148">
        <f>IFERROR((J93*(1-Settings!$C$17)-C93)/(J93*(1-Settings!$C$17)),"")</f>
        <v/>
      </c>
      <c r="M93" s="149">
        <f>IFERROR(IF(J93="","",IF(J93&gt;=C93/(1-SKU_Base!AA93)/(1-Settings!$C$17),"OK",IF(J93&gt;=C93/(1-SKU_Base!AH93)/(1-Settings!$C$17),"WARN","STOP"))),"")</f>
        <v/>
      </c>
      <c r="N93" s="161">
        <f>IFERROR(ROUND(D93*(1-CHOOSE(MATCH(IF($E93="","Основний",$E93),{"Трафіковий","Основний","Маржинальний","Сезонний","Стратегічний"},0),Settings!$D$78,Settings!$D$80,Settings!$D$82,Settings!$D$84,Settings!$D$86))/6,2)*6,"")</f>
        <v/>
      </c>
      <c r="O93" s="142">
        <f>IFERROR(CHOOSE(MATCH(IF($E93="","Основний",$E93),{"Трафіковий","Основний","Маржинальний","Сезонний","Стратегічний"},0),Settings!$D$78,Settings!$D$80,Settings!$D$82,Settings!$D$84,Settings!$D$86),"")</f>
        <v/>
      </c>
      <c r="P93" s="148">
        <f>IFERROR((N93*(1-Settings!$D$17)-C93)/(N93*(1-Settings!$D$17)),"")</f>
        <v/>
      </c>
      <c r="Q93" s="149">
        <f>IFERROR(IF(N93="","",IF(N93&gt;=C93/(1-SKU_Base!AB93)/(1-Settings!$D$17),"OK",IF(N93&gt;=C93/(1-SKU_Base!AI93)/(1-Settings!$D$17),"WARN","STOP"))),"")</f>
        <v/>
      </c>
      <c r="R93" s="161">
        <f>IFERROR(ROUND(D93*(1-CHOOSE(MATCH(IF($E93="","Основний",$E93),{"Трафіковий","Основний","Маржинальний","Сезонний","Стратегічний"},0),Settings!$E$78,Settings!$E$80,Settings!$E$82,Settings!$E$84,Settings!$E$86))/6,2)*6,"")</f>
        <v/>
      </c>
      <c r="S93" s="142">
        <f>IFERROR(CHOOSE(MATCH(IF($E93="","Основний",$E93),{"Трафіковий","Основний","Маржинальний","Сезонний","Стратегічний"},0),Settings!$E$78,Settings!$E$80,Settings!$E$82,Settings!$E$84,Settings!$E$86),"")</f>
        <v/>
      </c>
      <c r="T93" s="148">
        <f>IFERROR((R93*(1-Settings!$E$17)-C93)/(R93*(1-Settings!$E$17)),"")</f>
        <v/>
      </c>
      <c r="U93" s="149">
        <f>IFERROR(IF(R93="","",IF(R93&gt;=C93/(1-SKU_Base!AC93)/(1-Settings!$E$17),"OK",IF(R93&gt;=C93/(1-SKU_Base!AJ93)/(1-Settings!$E$17),"WARN","STOP"))),"")</f>
        <v/>
      </c>
      <c r="V93" s="161">
        <f>IFERROR(ROUND(D93*(1-CHOOSE(MATCH(IF($E93="","Основний",$E93),{"Трафіковий","Основний","Маржинальний","Сезонний","Стратегічний"},0),Settings!$F$78,Settings!$F$80,Settings!$F$82,Settings!$F$84,Settings!$F$86))/6,2)*6,"")</f>
        <v/>
      </c>
      <c r="W93" s="142">
        <f>IFERROR(CHOOSE(MATCH(IF($E93="","Основний",$E93),{"Трафіковий","Основний","Маржинальний","Сезонний","Стратегічний"},0),Settings!$F$78,Settings!$F$80,Settings!$F$82,Settings!$F$84,Settings!$F$86),"")</f>
        <v/>
      </c>
      <c r="X93" s="148">
        <f>IFERROR((V93*(1-Settings!$F$17)-C93)/(V93*(1-Settings!$F$17)),"")</f>
        <v/>
      </c>
      <c r="Y93" s="149">
        <f>IFERROR(IF(V93="","",IF(V93&gt;=C93/(1-SKU_Base!AD93)/(1-Settings!$F$17),"OK",IF(V93&gt;=C93/(1-SKU_Base!AK93)/(1-Settings!$F$17),"WARN","STOP"))),"")</f>
        <v/>
      </c>
      <c r="Z93" s="161">
        <f>IFERROR(ROUND(D93*(1-CHOOSE(MATCH(IF($E93="","Основний",$E93),{"Трафіковий","Основний","Маржинальний","Сезонний","Стратегічний"},0),Settings!$G$78,Settings!$G$80,Settings!$G$82,Settings!$G$84,Settings!$G$86))/6,2)*6,"")</f>
        <v/>
      </c>
      <c r="AA93" s="142">
        <f>IFERROR(CHOOSE(MATCH(IF($E93="","Основний",$E93),{"Трафіковий","Основний","Маржинальний","Сезонний","Стратегічний"},0),Settings!$G$78,Settings!$G$80,Settings!$G$82,Settings!$G$84,Settings!$G$86),"")</f>
        <v/>
      </c>
      <c r="AB93" s="148">
        <f>IFERROR((Z93*(1-Settings!$G$17)-C93)/(Z93*(1-Settings!$G$17)),"")</f>
        <v/>
      </c>
      <c r="AC93" s="149">
        <f>IFERROR(IF(Z93="","",IF(Z93&gt;=C93/(1-SKU_Base!AE93)/(1-Settings!$G$17),"OK",IF(Z93&gt;=C93/(1-SKU_Base!AL93)/(1-Settings!$G$17),"WARN","STOP"))),"")</f>
        <v/>
      </c>
      <c r="AD93" s="161">
        <f>IFERROR(ROUND(D93*(1-CHOOSE(MATCH(IF($E93="","Основний",$E93),{"Трафіковий","Основний","Маржинальний","Сезонний","Стратегічний"},0),Settings!$H$78,Settings!$H$80,Settings!$H$82,Settings!$H$84,Settings!$H$86))*(1-Settings!$H$68)/6,2)*6,"")</f>
        <v/>
      </c>
      <c r="AE93" s="142">
        <f>IFERROR(CHOOSE(MATCH(IF($E93="","Основний",$E93),{"Трафіковий","Основний","Маржинальний","Сезонний","Стратегічний"},0),Settings!$H$78,Settings!$H$80,Settings!$H$82,Settings!$H$84,Settings!$H$86)+(1-(CHOOSE(MATCH(IF($E93="","Основний",$E93),{"Трафіковий","Основний","Маржинальний","Сезонний","Стратегічний"},0),Settings!$H$78,Settings!$H$80,Settings!$H$82,Settings!$H$84,Settings!$H$86)))*Settings!$H$68,"")</f>
        <v/>
      </c>
      <c r="AF93" s="148">
        <f>IFERROR((AD93*(1-Settings!$H$17)-C93)/(AD93*(1-Settings!$H$17)),"")</f>
        <v/>
      </c>
      <c r="AG93" s="150">
        <f>IFERROR(IF(AD93="","",IF(AD93&gt;=C93/(1-SKU_Base!AF93)/(1-Settings!$H$17),"OK",IF(AD93&gt;=C93/(1-SKU_Base!AM93)/(1-Settings!$H$17),"WARN","STOP"))),"")</f>
        <v/>
      </c>
    </row>
    <row r="94" ht="17" customHeight="1" s="179">
      <c r="A94" s="139">
        <f>SKU_Base!B94</f>
        <v/>
      </c>
      <c r="B94" s="139">
        <f>SKU_Base!C94</f>
        <v/>
      </c>
      <c r="C94" s="140">
        <f>IFERROR(SKU_Base!I94,"")</f>
        <v/>
      </c>
      <c r="D94" s="163">
        <f>IFERROR(SKU_Base!T94,"")</f>
        <v/>
      </c>
      <c r="E94" s="141">
        <f>IFERROR(SKU_Base!$U94,"")</f>
        <v/>
      </c>
      <c r="F94" s="158">
        <f>IFERROR(ROUND(D94*(1-CHOOSE(MATCH(IF($E94="","Основний",$E94),{"Трафіковий","Основний","Маржинальний","Сезонний","Стратегічний"},0),Settings!$B$78,Settings!$B$80,Settings!$B$82,Settings!$B$84,Settings!$B$86))/6,2)*6,"")</f>
        <v/>
      </c>
      <c r="G94" s="142">
        <f>IFERROR(CHOOSE(MATCH(IF($E94="","Основний",$E94),{"Трафіковий","Основний","Маржинальний","Сезонний","Стратегічний"},0),Settings!$B$78,Settings!$B$80,Settings!$B$82,Settings!$B$84,Settings!$B$86),"")</f>
        <v/>
      </c>
      <c r="H94" s="143">
        <f>IFERROR((F94*(1-Settings!$B$17)-C94)/(F94*(1-Settings!$B$17)),"")</f>
        <v/>
      </c>
      <c r="I94" s="149">
        <f>IFERROR(IF(F94="","",IF(F94&gt;=C94/(1-SKU_Base!Z94)/(1-Settings!$B$17),"OK",IF(F94&gt;=C94/(1-SKU_Base!AG94)/(1-Settings!$B$17),"WARN","STOP"))),"")</f>
        <v/>
      </c>
      <c r="J94" s="158">
        <f>IFERROR(ROUND(D94*(1-CHOOSE(MATCH(IF($E94="","Основний",$E94),{"Трафіковий","Основний","Маржинальний","Сезонний","Стратегічний"},0),Settings!$C$78,Settings!$C$80,Settings!$C$82,Settings!$C$84,Settings!$C$86))/6,2)*6,"")</f>
        <v/>
      </c>
      <c r="K94" s="142">
        <f>IFERROR(CHOOSE(MATCH(IF($E94="","Основний",$E94),{"Трафіковий","Основний","Маржинальний","Сезонний","Стратегічний"},0),Settings!$C$78,Settings!$C$80,Settings!$C$82,Settings!$C$84,Settings!$C$86),"")</f>
        <v/>
      </c>
      <c r="L94" s="143">
        <f>IFERROR((J94*(1-Settings!$C$17)-C94)/(J94*(1-Settings!$C$17)),"")</f>
        <v/>
      </c>
      <c r="M94" s="149">
        <f>IFERROR(IF(J94="","",IF(J94&gt;=C94/(1-SKU_Base!AA94)/(1-Settings!$C$17),"OK",IF(J94&gt;=C94/(1-SKU_Base!AH94)/(1-Settings!$C$17),"WARN","STOP"))),"")</f>
        <v/>
      </c>
      <c r="N94" s="159">
        <f>IFERROR(ROUND(D94*(1-CHOOSE(MATCH(IF($E94="","Основний",$E94),{"Трафіковий","Основний","Маржинальний","Сезонний","Стратегічний"},0),Settings!$D$78,Settings!$D$80,Settings!$D$82,Settings!$D$84,Settings!$D$86))/6,2)*6,"")</f>
        <v/>
      </c>
      <c r="O94" s="142">
        <f>IFERROR(CHOOSE(MATCH(IF($E94="","Основний",$E94),{"Трафіковий","Основний","Маржинальний","Сезонний","Стратегічний"},0),Settings!$D$78,Settings!$D$80,Settings!$D$82,Settings!$D$84,Settings!$D$86),"")</f>
        <v/>
      </c>
      <c r="P94" s="143">
        <f>IFERROR((N94*(1-Settings!$D$17)-C94)/(N94*(1-Settings!$D$17)),"")</f>
        <v/>
      </c>
      <c r="Q94" s="149">
        <f>IFERROR(IF(N94="","",IF(N94&gt;=C94/(1-SKU_Base!AB94)/(1-Settings!$D$17),"OK",IF(N94&gt;=C94/(1-SKU_Base!AI94)/(1-Settings!$D$17),"WARN","STOP"))),"")</f>
        <v/>
      </c>
      <c r="R94" s="159">
        <f>IFERROR(ROUND(D94*(1-CHOOSE(MATCH(IF($E94="","Основний",$E94),{"Трафіковий","Основний","Маржинальний","Сезонний","Стратегічний"},0),Settings!$E$78,Settings!$E$80,Settings!$E$82,Settings!$E$84,Settings!$E$86))/6,2)*6,"")</f>
        <v/>
      </c>
      <c r="S94" s="142">
        <f>IFERROR(CHOOSE(MATCH(IF($E94="","Основний",$E94),{"Трафіковий","Основний","Маржинальний","Сезонний","Стратегічний"},0),Settings!$E$78,Settings!$E$80,Settings!$E$82,Settings!$E$84,Settings!$E$86),"")</f>
        <v/>
      </c>
      <c r="T94" s="143">
        <f>IFERROR((R94*(1-Settings!$E$17)-C94)/(R94*(1-Settings!$E$17)),"")</f>
        <v/>
      </c>
      <c r="U94" s="149">
        <f>IFERROR(IF(R94="","",IF(R94&gt;=C94/(1-SKU_Base!AC94)/(1-Settings!$E$17),"OK",IF(R94&gt;=C94/(1-SKU_Base!AJ94)/(1-Settings!$E$17),"WARN","STOP"))),"")</f>
        <v/>
      </c>
      <c r="V94" s="159">
        <f>IFERROR(ROUND(D94*(1-CHOOSE(MATCH(IF($E94="","Основний",$E94),{"Трафіковий","Основний","Маржинальний","Сезонний","Стратегічний"},0),Settings!$F$78,Settings!$F$80,Settings!$F$82,Settings!$F$84,Settings!$F$86))/6,2)*6,"")</f>
        <v/>
      </c>
      <c r="W94" s="142">
        <f>IFERROR(CHOOSE(MATCH(IF($E94="","Основний",$E94),{"Трафіковий","Основний","Маржинальний","Сезонний","Стратегічний"},0),Settings!$F$78,Settings!$F$80,Settings!$F$82,Settings!$F$84,Settings!$F$86),"")</f>
        <v/>
      </c>
      <c r="X94" s="143">
        <f>IFERROR((V94*(1-Settings!$F$17)-C94)/(V94*(1-Settings!$F$17)),"")</f>
        <v/>
      </c>
      <c r="Y94" s="149">
        <f>IFERROR(IF(V94="","",IF(V94&gt;=C94/(1-SKU_Base!AD94)/(1-Settings!$F$17),"OK",IF(V94&gt;=C94/(1-SKU_Base!AK94)/(1-Settings!$F$17),"WARN","STOP"))),"")</f>
        <v/>
      </c>
      <c r="Z94" s="159">
        <f>IFERROR(ROUND(D94*(1-CHOOSE(MATCH(IF($E94="","Основний",$E94),{"Трафіковий","Основний","Маржинальний","Сезонний","Стратегічний"},0),Settings!$G$78,Settings!$G$80,Settings!$G$82,Settings!$G$84,Settings!$G$86))/6,2)*6,"")</f>
        <v/>
      </c>
      <c r="AA94" s="142">
        <f>IFERROR(CHOOSE(MATCH(IF($E94="","Основний",$E94),{"Трафіковий","Основний","Маржинальний","Сезонний","Стратегічний"},0),Settings!$G$78,Settings!$G$80,Settings!$G$82,Settings!$G$84,Settings!$G$86),"")</f>
        <v/>
      </c>
      <c r="AB94" s="143">
        <f>IFERROR((Z94*(1-Settings!$G$17)-C94)/(Z94*(1-Settings!$G$17)),"")</f>
        <v/>
      </c>
      <c r="AC94" s="149">
        <f>IFERROR(IF(Z94="","",IF(Z94&gt;=C94/(1-SKU_Base!AE94)/(1-Settings!$G$17),"OK",IF(Z94&gt;=C94/(1-SKU_Base!AL94)/(1-Settings!$G$17),"WARN","STOP"))),"")</f>
        <v/>
      </c>
      <c r="AD94" s="159">
        <f>IFERROR(ROUND(D94*(1-CHOOSE(MATCH(IF($E94="","Основний",$E94),{"Трафіковий","Основний","Маржинальний","Сезонний","Стратегічний"},0),Settings!$H$78,Settings!$H$80,Settings!$H$82,Settings!$H$84,Settings!$H$86))*(1-Settings!$H$68)/6,2)*6,"")</f>
        <v/>
      </c>
      <c r="AE94" s="142">
        <f>IFERROR(CHOOSE(MATCH(IF($E94="","Основний",$E94),{"Трафіковий","Основний","Маржинальний","Сезонний","Стратегічний"},0),Settings!$H$78,Settings!$H$80,Settings!$H$82,Settings!$H$84,Settings!$H$86)+(1-(CHOOSE(MATCH(IF($E94="","Основний",$E94),{"Трафіковий","Основний","Маржинальний","Сезонний","Стратегічний"},0),Settings!$H$78,Settings!$H$80,Settings!$H$82,Settings!$H$84,Settings!$H$86)))*Settings!$H$68,"")</f>
        <v/>
      </c>
      <c r="AF94" s="143">
        <f>IFERROR((AD94*(1-Settings!$H$17)-C94)/(AD94*(1-Settings!$H$17)),"")</f>
        <v/>
      </c>
      <c r="AG94" s="150">
        <f>IFERROR(IF(AD94="","",IF(AD94&gt;=C94/(1-SKU_Base!AF94)/(1-Settings!$H$17),"OK",IF(AD94&gt;=C94/(1-SKU_Base!AM94)/(1-Settings!$H$17),"WARN","STOP"))),"")</f>
        <v/>
      </c>
    </row>
    <row r="95" ht="17" customHeight="1" s="179">
      <c r="A95" s="146">
        <f>SKU_Base!B95</f>
        <v/>
      </c>
      <c r="B95" s="146">
        <f>SKU_Base!C95</f>
        <v/>
      </c>
      <c r="C95" s="147">
        <f>IFERROR(SKU_Base!I95,"")</f>
        <v/>
      </c>
      <c r="D95" s="164">
        <f>IFERROR(SKU_Base!T95,"")</f>
        <v/>
      </c>
      <c r="E95" s="141">
        <f>IFERROR(SKU_Base!$U95,"")</f>
        <v/>
      </c>
      <c r="F95" s="160">
        <f>IFERROR(ROUND(D95*(1-CHOOSE(MATCH(IF($E95="","Основний",$E95),{"Трафіковий","Основний","Маржинальний","Сезонний","Стратегічний"},0),Settings!$B$78,Settings!$B$80,Settings!$B$82,Settings!$B$84,Settings!$B$86))/6,2)*6,"")</f>
        <v/>
      </c>
      <c r="G95" s="142">
        <f>IFERROR(CHOOSE(MATCH(IF($E95="","Основний",$E95),{"Трафіковий","Основний","Маржинальний","Сезонний","Стратегічний"},0),Settings!$B$78,Settings!$B$80,Settings!$B$82,Settings!$B$84,Settings!$B$86),"")</f>
        <v/>
      </c>
      <c r="H95" s="148">
        <f>IFERROR((F95*(1-Settings!$B$17)-C95)/(F95*(1-Settings!$B$17)),"")</f>
        <v/>
      </c>
      <c r="I95" s="149">
        <f>IFERROR(IF(F95="","",IF(F95&gt;=C95/(1-SKU_Base!Z95)/(1-Settings!$B$17),"OK",IF(F95&gt;=C95/(1-SKU_Base!AG95)/(1-Settings!$B$17),"WARN","STOP"))),"")</f>
        <v/>
      </c>
      <c r="J95" s="160">
        <f>IFERROR(ROUND(D95*(1-CHOOSE(MATCH(IF($E95="","Основний",$E95),{"Трафіковий","Основний","Маржинальний","Сезонний","Стратегічний"},0),Settings!$C$78,Settings!$C$80,Settings!$C$82,Settings!$C$84,Settings!$C$86))/6,2)*6,"")</f>
        <v/>
      </c>
      <c r="K95" s="142">
        <f>IFERROR(CHOOSE(MATCH(IF($E95="","Основний",$E95),{"Трафіковий","Основний","Маржинальний","Сезонний","Стратегічний"},0),Settings!$C$78,Settings!$C$80,Settings!$C$82,Settings!$C$84,Settings!$C$86),"")</f>
        <v/>
      </c>
      <c r="L95" s="148">
        <f>IFERROR((J95*(1-Settings!$C$17)-C95)/(J95*(1-Settings!$C$17)),"")</f>
        <v/>
      </c>
      <c r="M95" s="149">
        <f>IFERROR(IF(J95="","",IF(J95&gt;=C95/(1-SKU_Base!AA95)/(1-Settings!$C$17),"OK",IF(J95&gt;=C95/(1-SKU_Base!AH95)/(1-Settings!$C$17),"WARN","STOP"))),"")</f>
        <v/>
      </c>
      <c r="N95" s="161">
        <f>IFERROR(ROUND(D95*(1-CHOOSE(MATCH(IF($E95="","Основний",$E95),{"Трафіковий","Основний","Маржинальний","Сезонний","Стратегічний"},0),Settings!$D$78,Settings!$D$80,Settings!$D$82,Settings!$D$84,Settings!$D$86))/6,2)*6,"")</f>
        <v/>
      </c>
      <c r="O95" s="142">
        <f>IFERROR(CHOOSE(MATCH(IF($E95="","Основний",$E95),{"Трафіковий","Основний","Маржинальний","Сезонний","Стратегічний"},0),Settings!$D$78,Settings!$D$80,Settings!$D$82,Settings!$D$84,Settings!$D$86),"")</f>
        <v/>
      </c>
      <c r="P95" s="148">
        <f>IFERROR((N95*(1-Settings!$D$17)-C95)/(N95*(1-Settings!$D$17)),"")</f>
        <v/>
      </c>
      <c r="Q95" s="149">
        <f>IFERROR(IF(N95="","",IF(N95&gt;=C95/(1-SKU_Base!AB95)/(1-Settings!$D$17),"OK",IF(N95&gt;=C95/(1-SKU_Base!AI95)/(1-Settings!$D$17),"WARN","STOP"))),"")</f>
        <v/>
      </c>
      <c r="R95" s="161">
        <f>IFERROR(ROUND(D95*(1-CHOOSE(MATCH(IF($E95="","Основний",$E95),{"Трафіковий","Основний","Маржинальний","Сезонний","Стратегічний"},0),Settings!$E$78,Settings!$E$80,Settings!$E$82,Settings!$E$84,Settings!$E$86))/6,2)*6,"")</f>
        <v/>
      </c>
      <c r="S95" s="142">
        <f>IFERROR(CHOOSE(MATCH(IF($E95="","Основний",$E95),{"Трафіковий","Основний","Маржинальний","Сезонний","Стратегічний"},0),Settings!$E$78,Settings!$E$80,Settings!$E$82,Settings!$E$84,Settings!$E$86),"")</f>
        <v/>
      </c>
      <c r="T95" s="148">
        <f>IFERROR((R95*(1-Settings!$E$17)-C95)/(R95*(1-Settings!$E$17)),"")</f>
        <v/>
      </c>
      <c r="U95" s="149">
        <f>IFERROR(IF(R95="","",IF(R95&gt;=C95/(1-SKU_Base!AC95)/(1-Settings!$E$17),"OK",IF(R95&gt;=C95/(1-SKU_Base!AJ95)/(1-Settings!$E$17),"WARN","STOP"))),"")</f>
        <v/>
      </c>
      <c r="V95" s="161">
        <f>IFERROR(ROUND(D95*(1-CHOOSE(MATCH(IF($E95="","Основний",$E95),{"Трафіковий","Основний","Маржинальний","Сезонний","Стратегічний"},0),Settings!$F$78,Settings!$F$80,Settings!$F$82,Settings!$F$84,Settings!$F$86))/6,2)*6,"")</f>
        <v/>
      </c>
      <c r="W95" s="142">
        <f>IFERROR(CHOOSE(MATCH(IF($E95="","Основний",$E95),{"Трафіковий","Основний","Маржинальний","Сезонний","Стратегічний"},0),Settings!$F$78,Settings!$F$80,Settings!$F$82,Settings!$F$84,Settings!$F$86),"")</f>
        <v/>
      </c>
      <c r="X95" s="148">
        <f>IFERROR((V95*(1-Settings!$F$17)-C95)/(V95*(1-Settings!$F$17)),"")</f>
        <v/>
      </c>
      <c r="Y95" s="149">
        <f>IFERROR(IF(V95="","",IF(V95&gt;=C95/(1-SKU_Base!AD95)/(1-Settings!$F$17),"OK",IF(V95&gt;=C95/(1-SKU_Base!AK95)/(1-Settings!$F$17),"WARN","STOP"))),"")</f>
        <v/>
      </c>
      <c r="Z95" s="161">
        <f>IFERROR(ROUND(D95*(1-CHOOSE(MATCH(IF($E95="","Основний",$E95),{"Трафіковий","Основний","Маржинальний","Сезонний","Стратегічний"},0),Settings!$G$78,Settings!$G$80,Settings!$G$82,Settings!$G$84,Settings!$G$86))/6,2)*6,"")</f>
        <v/>
      </c>
      <c r="AA95" s="142">
        <f>IFERROR(CHOOSE(MATCH(IF($E95="","Основний",$E95),{"Трафіковий","Основний","Маржинальний","Сезонний","Стратегічний"},0),Settings!$G$78,Settings!$G$80,Settings!$G$82,Settings!$G$84,Settings!$G$86),"")</f>
        <v/>
      </c>
      <c r="AB95" s="148">
        <f>IFERROR((Z95*(1-Settings!$G$17)-C95)/(Z95*(1-Settings!$G$17)),"")</f>
        <v/>
      </c>
      <c r="AC95" s="149">
        <f>IFERROR(IF(Z95="","",IF(Z95&gt;=C95/(1-SKU_Base!AE95)/(1-Settings!$G$17),"OK",IF(Z95&gt;=C95/(1-SKU_Base!AL95)/(1-Settings!$G$17),"WARN","STOP"))),"")</f>
        <v/>
      </c>
      <c r="AD95" s="161">
        <f>IFERROR(ROUND(D95*(1-CHOOSE(MATCH(IF($E95="","Основний",$E95),{"Трафіковий","Основний","Маржинальний","Сезонний","Стратегічний"},0),Settings!$H$78,Settings!$H$80,Settings!$H$82,Settings!$H$84,Settings!$H$86))*(1-Settings!$H$68)/6,2)*6,"")</f>
        <v/>
      </c>
      <c r="AE95" s="142">
        <f>IFERROR(CHOOSE(MATCH(IF($E95="","Основний",$E95),{"Трафіковий","Основний","Маржинальний","Сезонний","Стратегічний"},0),Settings!$H$78,Settings!$H$80,Settings!$H$82,Settings!$H$84,Settings!$H$86)+(1-(CHOOSE(MATCH(IF($E95="","Основний",$E95),{"Трафіковий","Основний","Маржинальний","Сезонний","Стратегічний"},0),Settings!$H$78,Settings!$H$80,Settings!$H$82,Settings!$H$84,Settings!$H$86)))*Settings!$H$68,"")</f>
        <v/>
      </c>
      <c r="AF95" s="148">
        <f>IFERROR((AD95*(1-Settings!$H$17)-C95)/(AD95*(1-Settings!$H$17)),"")</f>
        <v/>
      </c>
      <c r="AG95" s="150">
        <f>IFERROR(IF(AD95="","",IF(AD95&gt;=C95/(1-SKU_Base!AF95)/(1-Settings!$H$17),"OK",IF(AD95&gt;=C95/(1-SKU_Base!AM95)/(1-Settings!$H$17),"WARN","STOP"))),"")</f>
        <v/>
      </c>
    </row>
    <row r="96" ht="17" customHeight="1" s="179">
      <c r="A96" s="139">
        <f>SKU_Base!B96</f>
        <v/>
      </c>
      <c r="B96" s="139">
        <f>SKU_Base!C96</f>
        <v/>
      </c>
      <c r="C96" s="140">
        <f>IFERROR(SKU_Base!I96,"")</f>
        <v/>
      </c>
      <c r="D96" s="163">
        <f>IFERROR(SKU_Base!T96,"")</f>
        <v/>
      </c>
      <c r="E96" s="141">
        <f>IFERROR(SKU_Base!$U96,"")</f>
        <v/>
      </c>
      <c r="F96" s="158">
        <f>IFERROR(ROUND(D96*(1-CHOOSE(MATCH(IF($E96="","Основний",$E96),{"Трафіковий","Основний","Маржинальний","Сезонний","Стратегічний"},0),Settings!$B$78,Settings!$B$80,Settings!$B$82,Settings!$B$84,Settings!$B$86))/6,2)*6,"")</f>
        <v/>
      </c>
      <c r="G96" s="142">
        <f>IFERROR(CHOOSE(MATCH(IF($E96="","Основний",$E96),{"Трафіковий","Основний","Маржинальний","Сезонний","Стратегічний"},0),Settings!$B$78,Settings!$B$80,Settings!$B$82,Settings!$B$84,Settings!$B$86),"")</f>
        <v/>
      </c>
      <c r="H96" s="143">
        <f>IFERROR((F96*(1-Settings!$B$17)-C96)/(F96*(1-Settings!$B$17)),"")</f>
        <v/>
      </c>
      <c r="I96" s="150">
        <f>IFERROR(IF(F96="","",IF(F96&gt;=C96/(1-SKU_Base!Z96)/(1-Settings!$B$17),"OK",IF(F96&gt;=C96/(1-SKU_Base!AG96)/(1-Settings!$B$17),"WARN","STOP"))),"")</f>
        <v/>
      </c>
      <c r="J96" s="158">
        <f>IFERROR(ROUND(D96*(1-CHOOSE(MATCH(IF($E96="","Основний",$E96),{"Трафіковий","Основний","Маржинальний","Сезонний","Стратегічний"},0),Settings!$C$78,Settings!$C$80,Settings!$C$82,Settings!$C$84,Settings!$C$86))/6,2)*6,"")</f>
        <v/>
      </c>
      <c r="K96" s="142">
        <f>IFERROR(CHOOSE(MATCH(IF($E96="","Основний",$E96),{"Трафіковий","Основний","Маржинальний","Сезонний","Стратегічний"},0),Settings!$C$78,Settings!$C$80,Settings!$C$82,Settings!$C$84,Settings!$C$86),"")</f>
        <v/>
      </c>
      <c r="L96" s="143">
        <f>IFERROR((J96*(1-Settings!$C$17)-C96)/(J96*(1-Settings!$C$17)),"")</f>
        <v/>
      </c>
      <c r="M96" s="149">
        <f>IFERROR(IF(J96="","",IF(J96&gt;=C96/(1-SKU_Base!AA96)/(1-Settings!$C$17),"OK",IF(J96&gt;=C96/(1-SKU_Base!AH96)/(1-Settings!$C$17),"WARN","STOP"))),"")</f>
        <v/>
      </c>
      <c r="N96" s="159">
        <f>IFERROR(ROUND(D96*(1-CHOOSE(MATCH(IF($E96="","Основний",$E96),{"Трафіковий","Основний","Маржинальний","Сезонний","Стратегічний"},0),Settings!$D$78,Settings!$D$80,Settings!$D$82,Settings!$D$84,Settings!$D$86))/6,2)*6,"")</f>
        <v/>
      </c>
      <c r="O96" s="142">
        <f>IFERROR(CHOOSE(MATCH(IF($E96="","Основний",$E96),{"Трафіковий","Основний","Маржинальний","Сезонний","Стратегічний"},0),Settings!$D$78,Settings!$D$80,Settings!$D$82,Settings!$D$84,Settings!$D$86),"")</f>
        <v/>
      </c>
      <c r="P96" s="143">
        <f>IFERROR((N96*(1-Settings!$D$17)-C96)/(N96*(1-Settings!$D$17)),"")</f>
        <v/>
      </c>
      <c r="Q96" s="149">
        <f>IFERROR(IF(N96="","",IF(N96&gt;=C96/(1-SKU_Base!AB96)/(1-Settings!$D$17),"OK",IF(N96&gt;=C96/(1-SKU_Base!AI96)/(1-Settings!$D$17),"WARN","STOP"))),"")</f>
        <v/>
      </c>
      <c r="R96" s="159">
        <f>IFERROR(ROUND(D96*(1-CHOOSE(MATCH(IF($E96="","Основний",$E96),{"Трафіковий","Основний","Маржинальний","Сезонний","Стратегічний"},0),Settings!$E$78,Settings!$E$80,Settings!$E$82,Settings!$E$84,Settings!$E$86))/6,2)*6,"")</f>
        <v/>
      </c>
      <c r="S96" s="142">
        <f>IFERROR(CHOOSE(MATCH(IF($E96="","Основний",$E96),{"Трафіковий","Основний","Маржинальний","Сезонний","Стратегічний"},0),Settings!$E$78,Settings!$E$80,Settings!$E$82,Settings!$E$84,Settings!$E$86),"")</f>
        <v/>
      </c>
      <c r="T96" s="143">
        <f>IFERROR((R96*(1-Settings!$E$17)-C96)/(R96*(1-Settings!$E$17)),"")</f>
        <v/>
      </c>
      <c r="U96" s="149">
        <f>IFERROR(IF(R96="","",IF(R96&gt;=C96/(1-SKU_Base!AC96)/(1-Settings!$E$17),"OK",IF(R96&gt;=C96/(1-SKU_Base!AJ96)/(1-Settings!$E$17),"WARN","STOP"))),"")</f>
        <v/>
      </c>
      <c r="V96" s="159">
        <f>IFERROR(ROUND(D96*(1-CHOOSE(MATCH(IF($E96="","Основний",$E96),{"Трафіковий","Основний","Маржинальний","Сезонний","Стратегічний"},0),Settings!$F$78,Settings!$F$80,Settings!$F$82,Settings!$F$84,Settings!$F$86))/6,2)*6,"")</f>
        <v/>
      </c>
      <c r="W96" s="142">
        <f>IFERROR(CHOOSE(MATCH(IF($E96="","Основний",$E96),{"Трафіковий","Основний","Маржинальний","Сезонний","Стратегічний"},0),Settings!$F$78,Settings!$F$80,Settings!$F$82,Settings!$F$84,Settings!$F$86),"")</f>
        <v/>
      </c>
      <c r="X96" s="143">
        <f>IFERROR((V96*(1-Settings!$F$17)-C96)/(V96*(1-Settings!$F$17)),"")</f>
        <v/>
      </c>
      <c r="Y96" s="149">
        <f>IFERROR(IF(V96="","",IF(V96&gt;=C96/(1-SKU_Base!AD96)/(1-Settings!$F$17),"OK",IF(V96&gt;=C96/(1-SKU_Base!AK96)/(1-Settings!$F$17),"WARN","STOP"))),"")</f>
        <v/>
      </c>
      <c r="Z96" s="159">
        <f>IFERROR(ROUND(D96*(1-CHOOSE(MATCH(IF($E96="","Основний",$E96),{"Трафіковий","Основний","Маржинальний","Сезонний","Стратегічний"},0),Settings!$G$78,Settings!$G$80,Settings!$G$82,Settings!$G$84,Settings!$G$86))/6,2)*6,"")</f>
        <v/>
      </c>
      <c r="AA96" s="142">
        <f>IFERROR(CHOOSE(MATCH(IF($E96="","Основний",$E96),{"Трафіковий","Основний","Маржинальний","Сезонний","Стратегічний"},0),Settings!$G$78,Settings!$G$80,Settings!$G$82,Settings!$G$84,Settings!$G$86),"")</f>
        <v/>
      </c>
      <c r="AB96" s="143">
        <f>IFERROR((Z96*(1-Settings!$G$17)-C96)/(Z96*(1-Settings!$G$17)),"")</f>
        <v/>
      </c>
      <c r="AC96" s="149">
        <f>IFERROR(IF(Z96="","",IF(Z96&gt;=C96/(1-SKU_Base!AE96)/(1-Settings!$G$17),"OK",IF(Z96&gt;=C96/(1-SKU_Base!AL96)/(1-Settings!$G$17),"WARN","STOP"))),"")</f>
        <v/>
      </c>
      <c r="AD96" s="159">
        <f>IFERROR(ROUND(D96*(1-CHOOSE(MATCH(IF($E96="","Основний",$E96),{"Трафіковий","Основний","Маржинальний","Сезонний","Стратегічний"},0),Settings!$H$78,Settings!$H$80,Settings!$H$82,Settings!$H$84,Settings!$H$86))*(1-Settings!$H$68)/6,2)*6,"")</f>
        <v/>
      </c>
      <c r="AE96" s="142">
        <f>IFERROR(CHOOSE(MATCH(IF($E96="","Основний",$E96),{"Трафіковий","Основний","Маржинальний","Сезонний","Стратегічний"},0),Settings!$H$78,Settings!$H$80,Settings!$H$82,Settings!$H$84,Settings!$H$86)+(1-(CHOOSE(MATCH(IF($E96="","Основний",$E96),{"Трафіковий","Основний","Маржинальний","Сезонний","Стратегічний"},0),Settings!$H$78,Settings!$H$80,Settings!$H$82,Settings!$H$84,Settings!$H$86)))*Settings!$H$68,"")</f>
        <v/>
      </c>
      <c r="AF96" s="143">
        <f>IFERROR((AD96*(1-Settings!$H$17)-C96)/(AD96*(1-Settings!$H$17)),"")</f>
        <v/>
      </c>
      <c r="AG96" s="150">
        <f>IFERROR(IF(AD96="","",IF(AD96&gt;=C96/(1-SKU_Base!AF96)/(1-Settings!$H$17),"OK",IF(AD96&gt;=C96/(1-SKU_Base!AM96)/(1-Settings!$H$17),"WARN","STOP"))),"")</f>
        <v/>
      </c>
    </row>
    <row r="97" ht="17" customHeight="1" s="179">
      <c r="A97" s="146">
        <f>SKU_Base!B97</f>
        <v/>
      </c>
      <c r="B97" s="146">
        <f>SKU_Base!C97</f>
        <v/>
      </c>
      <c r="C97" s="147">
        <f>IFERROR(SKU_Base!I97,"")</f>
        <v/>
      </c>
      <c r="D97" s="164">
        <f>IFERROR(SKU_Base!T97,"")</f>
        <v/>
      </c>
      <c r="E97" s="141">
        <f>IFERROR(SKU_Base!$U97,"")</f>
        <v/>
      </c>
      <c r="F97" s="160">
        <f>IFERROR(ROUND(D97*(1-CHOOSE(MATCH(IF($E97="","Основний",$E97),{"Трафіковий","Основний","Маржинальний","Сезонний","Стратегічний"},0),Settings!$B$78,Settings!$B$80,Settings!$B$82,Settings!$B$84,Settings!$B$86))/6,2)*6,"")</f>
        <v/>
      </c>
      <c r="G97" s="142">
        <f>IFERROR(CHOOSE(MATCH(IF($E97="","Основний",$E97),{"Трафіковий","Основний","Маржинальний","Сезонний","Стратегічний"},0),Settings!$B$78,Settings!$B$80,Settings!$B$82,Settings!$B$84,Settings!$B$86),"")</f>
        <v/>
      </c>
      <c r="H97" s="148">
        <f>IFERROR((F97*(1-Settings!$B$17)-C97)/(F97*(1-Settings!$B$17)),"")</f>
        <v/>
      </c>
      <c r="I97" s="149">
        <f>IFERROR(IF(F97="","",IF(F97&gt;=C97/(1-SKU_Base!Z97)/(1-Settings!$B$17),"OK",IF(F97&gt;=C97/(1-SKU_Base!AG97)/(1-Settings!$B$17),"WARN","STOP"))),"")</f>
        <v/>
      </c>
      <c r="J97" s="160">
        <f>IFERROR(ROUND(D97*(1-CHOOSE(MATCH(IF($E97="","Основний",$E97),{"Трафіковий","Основний","Маржинальний","Сезонний","Стратегічний"},0),Settings!$C$78,Settings!$C$80,Settings!$C$82,Settings!$C$84,Settings!$C$86))/6,2)*6,"")</f>
        <v/>
      </c>
      <c r="K97" s="142">
        <f>IFERROR(CHOOSE(MATCH(IF($E97="","Основний",$E97),{"Трафіковий","Основний","Маржинальний","Сезонний","Стратегічний"},0),Settings!$C$78,Settings!$C$80,Settings!$C$82,Settings!$C$84,Settings!$C$86),"")</f>
        <v/>
      </c>
      <c r="L97" s="148">
        <f>IFERROR((J97*(1-Settings!$C$17)-C97)/(J97*(1-Settings!$C$17)),"")</f>
        <v/>
      </c>
      <c r="M97" s="149">
        <f>IFERROR(IF(J97="","",IF(J97&gt;=C97/(1-SKU_Base!AA97)/(1-Settings!$C$17),"OK",IF(J97&gt;=C97/(1-SKU_Base!AH97)/(1-Settings!$C$17),"WARN","STOP"))),"")</f>
        <v/>
      </c>
      <c r="N97" s="161">
        <f>IFERROR(ROUND(D97*(1-CHOOSE(MATCH(IF($E97="","Основний",$E97),{"Трафіковий","Основний","Маржинальний","Сезонний","Стратегічний"},0),Settings!$D$78,Settings!$D$80,Settings!$D$82,Settings!$D$84,Settings!$D$86))/6,2)*6,"")</f>
        <v/>
      </c>
      <c r="O97" s="142">
        <f>IFERROR(CHOOSE(MATCH(IF($E97="","Основний",$E97),{"Трафіковий","Основний","Маржинальний","Сезонний","Стратегічний"},0),Settings!$D$78,Settings!$D$80,Settings!$D$82,Settings!$D$84,Settings!$D$86),"")</f>
        <v/>
      </c>
      <c r="P97" s="148">
        <f>IFERROR((N97*(1-Settings!$D$17)-C97)/(N97*(1-Settings!$D$17)),"")</f>
        <v/>
      </c>
      <c r="Q97" s="149">
        <f>IFERROR(IF(N97="","",IF(N97&gt;=C97/(1-SKU_Base!AB97)/(1-Settings!$D$17),"OK",IF(N97&gt;=C97/(1-SKU_Base!AI97)/(1-Settings!$D$17),"WARN","STOP"))),"")</f>
        <v/>
      </c>
      <c r="R97" s="161">
        <f>IFERROR(ROUND(D97*(1-CHOOSE(MATCH(IF($E97="","Основний",$E97),{"Трафіковий","Основний","Маржинальний","Сезонний","Стратегічний"},0),Settings!$E$78,Settings!$E$80,Settings!$E$82,Settings!$E$84,Settings!$E$86))/6,2)*6,"")</f>
        <v/>
      </c>
      <c r="S97" s="142">
        <f>IFERROR(CHOOSE(MATCH(IF($E97="","Основний",$E97),{"Трафіковий","Основний","Маржинальний","Сезонний","Стратегічний"},0),Settings!$E$78,Settings!$E$80,Settings!$E$82,Settings!$E$84,Settings!$E$86),"")</f>
        <v/>
      </c>
      <c r="T97" s="148">
        <f>IFERROR((R97*(1-Settings!$E$17)-C97)/(R97*(1-Settings!$E$17)),"")</f>
        <v/>
      </c>
      <c r="U97" s="149">
        <f>IFERROR(IF(R97="","",IF(R97&gt;=C97/(1-SKU_Base!AC97)/(1-Settings!$E$17),"OK",IF(R97&gt;=C97/(1-SKU_Base!AJ97)/(1-Settings!$E$17),"WARN","STOP"))),"")</f>
        <v/>
      </c>
      <c r="V97" s="161">
        <f>IFERROR(ROUND(D97*(1-CHOOSE(MATCH(IF($E97="","Основний",$E97),{"Трафіковий","Основний","Маржинальний","Сезонний","Стратегічний"},0),Settings!$F$78,Settings!$F$80,Settings!$F$82,Settings!$F$84,Settings!$F$86))/6,2)*6,"")</f>
        <v/>
      </c>
      <c r="W97" s="142">
        <f>IFERROR(CHOOSE(MATCH(IF($E97="","Основний",$E97),{"Трафіковий","Основний","Маржинальний","Сезонний","Стратегічний"},0),Settings!$F$78,Settings!$F$80,Settings!$F$82,Settings!$F$84,Settings!$F$86),"")</f>
        <v/>
      </c>
      <c r="X97" s="148">
        <f>IFERROR((V97*(1-Settings!$F$17)-C97)/(V97*(1-Settings!$F$17)),"")</f>
        <v/>
      </c>
      <c r="Y97" s="149">
        <f>IFERROR(IF(V97="","",IF(V97&gt;=C97/(1-SKU_Base!AD97)/(1-Settings!$F$17),"OK",IF(V97&gt;=C97/(1-SKU_Base!AK97)/(1-Settings!$F$17),"WARN","STOP"))),"")</f>
        <v/>
      </c>
      <c r="Z97" s="161">
        <f>IFERROR(ROUND(D97*(1-CHOOSE(MATCH(IF($E97="","Основний",$E97),{"Трафіковий","Основний","Маржинальний","Сезонний","Стратегічний"},0),Settings!$G$78,Settings!$G$80,Settings!$G$82,Settings!$G$84,Settings!$G$86))/6,2)*6,"")</f>
        <v/>
      </c>
      <c r="AA97" s="142">
        <f>IFERROR(CHOOSE(MATCH(IF($E97="","Основний",$E97),{"Трафіковий","Основний","Маржинальний","Сезонний","Стратегічний"},0),Settings!$G$78,Settings!$G$80,Settings!$G$82,Settings!$G$84,Settings!$G$86),"")</f>
        <v/>
      </c>
      <c r="AB97" s="148">
        <f>IFERROR((Z97*(1-Settings!$G$17)-C97)/(Z97*(1-Settings!$G$17)),"")</f>
        <v/>
      </c>
      <c r="AC97" s="149">
        <f>IFERROR(IF(Z97="","",IF(Z97&gt;=C97/(1-SKU_Base!AE97)/(1-Settings!$G$17),"OK",IF(Z97&gt;=C97/(1-SKU_Base!AL97)/(1-Settings!$G$17),"WARN","STOP"))),"")</f>
        <v/>
      </c>
      <c r="AD97" s="161">
        <f>IFERROR(ROUND(D97*(1-CHOOSE(MATCH(IF($E97="","Основний",$E97),{"Трафіковий","Основний","Маржинальний","Сезонний","Стратегічний"},0),Settings!$H$78,Settings!$H$80,Settings!$H$82,Settings!$H$84,Settings!$H$86))*(1-Settings!$H$68)/6,2)*6,"")</f>
        <v/>
      </c>
      <c r="AE97" s="142">
        <f>IFERROR(CHOOSE(MATCH(IF($E97="","Основний",$E97),{"Трафіковий","Основний","Маржинальний","Сезонний","Стратегічний"},0),Settings!$H$78,Settings!$H$80,Settings!$H$82,Settings!$H$84,Settings!$H$86)+(1-(CHOOSE(MATCH(IF($E97="","Основний",$E97),{"Трафіковий","Основний","Маржинальний","Сезонний","Стратегічний"},0),Settings!$H$78,Settings!$H$80,Settings!$H$82,Settings!$H$84,Settings!$H$86)))*Settings!$H$68,"")</f>
        <v/>
      </c>
      <c r="AF97" s="148">
        <f>IFERROR((AD97*(1-Settings!$H$17)-C97)/(AD97*(1-Settings!$H$17)),"")</f>
        <v/>
      </c>
      <c r="AG97" s="149">
        <f>IFERROR(IF(AD97="","",IF(AD97&gt;=C97/(1-SKU_Base!AF97)/(1-Settings!$H$17),"OK",IF(AD97&gt;=C97/(1-SKU_Base!AM97)/(1-Settings!$H$17),"WARN","STOP"))),"")</f>
        <v/>
      </c>
    </row>
    <row r="98" ht="17" customHeight="1" s="179">
      <c r="A98" s="139">
        <f>SKU_Base!B98</f>
        <v/>
      </c>
      <c r="B98" s="139">
        <f>SKU_Base!C98</f>
        <v/>
      </c>
      <c r="C98" s="140">
        <f>IFERROR(SKU_Base!I98,"")</f>
        <v/>
      </c>
      <c r="D98" s="163">
        <f>IFERROR(SKU_Base!T98,"")</f>
        <v/>
      </c>
      <c r="E98" s="141">
        <f>IFERROR(SKU_Base!$U98,"")</f>
        <v/>
      </c>
      <c r="F98" s="158">
        <f>IFERROR(ROUND(D98*(1-CHOOSE(MATCH(IF($E98="","Основний",$E98),{"Трафіковий","Основний","Маржинальний","Сезонний","Стратегічний"},0),Settings!$B$78,Settings!$B$80,Settings!$B$82,Settings!$B$84,Settings!$B$86))/6,2)*6,"")</f>
        <v/>
      </c>
      <c r="G98" s="142">
        <f>IFERROR(CHOOSE(MATCH(IF($E98="","Основний",$E98),{"Трафіковий","Основний","Маржинальний","Сезонний","Стратегічний"},0),Settings!$B$78,Settings!$B$80,Settings!$B$82,Settings!$B$84,Settings!$B$86),"")</f>
        <v/>
      </c>
      <c r="H98" s="143">
        <f>IFERROR((F98*(1-Settings!$B$17)-C98)/(F98*(1-Settings!$B$17)),"")</f>
        <v/>
      </c>
      <c r="I98" s="149">
        <f>IFERROR(IF(F98="","",IF(F98&gt;=C98/(1-SKU_Base!Z98)/(1-Settings!$B$17),"OK",IF(F98&gt;=C98/(1-SKU_Base!AG98)/(1-Settings!$B$17),"WARN","STOP"))),"")</f>
        <v/>
      </c>
      <c r="J98" s="158">
        <f>IFERROR(ROUND(D98*(1-CHOOSE(MATCH(IF($E98="","Основний",$E98),{"Трафіковий","Основний","Маржинальний","Сезонний","Стратегічний"},0),Settings!$C$78,Settings!$C$80,Settings!$C$82,Settings!$C$84,Settings!$C$86))/6,2)*6,"")</f>
        <v/>
      </c>
      <c r="K98" s="142">
        <f>IFERROR(CHOOSE(MATCH(IF($E98="","Основний",$E98),{"Трафіковий","Основний","Маржинальний","Сезонний","Стратегічний"},0),Settings!$C$78,Settings!$C$80,Settings!$C$82,Settings!$C$84,Settings!$C$86),"")</f>
        <v/>
      </c>
      <c r="L98" s="143">
        <f>IFERROR((J98*(1-Settings!$C$17)-C98)/(J98*(1-Settings!$C$17)),"")</f>
        <v/>
      </c>
      <c r="M98" s="149">
        <f>IFERROR(IF(J98="","",IF(J98&gt;=C98/(1-SKU_Base!AA98)/(1-Settings!$C$17),"OK",IF(J98&gt;=C98/(1-SKU_Base!AH98)/(1-Settings!$C$17),"WARN","STOP"))),"")</f>
        <v/>
      </c>
      <c r="N98" s="159">
        <f>IFERROR(ROUND(D98*(1-CHOOSE(MATCH(IF($E98="","Основний",$E98),{"Трафіковий","Основний","Маржинальний","Сезонний","Стратегічний"},0),Settings!$D$78,Settings!$D$80,Settings!$D$82,Settings!$D$84,Settings!$D$86))/6,2)*6,"")</f>
        <v/>
      </c>
      <c r="O98" s="142">
        <f>IFERROR(CHOOSE(MATCH(IF($E98="","Основний",$E98),{"Трафіковий","Основний","Маржинальний","Сезонний","Стратегічний"},0),Settings!$D$78,Settings!$D$80,Settings!$D$82,Settings!$D$84,Settings!$D$86),"")</f>
        <v/>
      </c>
      <c r="P98" s="143">
        <f>IFERROR((N98*(1-Settings!$D$17)-C98)/(N98*(1-Settings!$D$17)),"")</f>
        <v/>
      </c>
      <c r="Q98" s="149">
        <f>IFERROR(IF(N98="","",IF(N98&gt;=C98/(1-SKU_Base!AB98)/(1-Settings!$D$17),"OK",IF(N98&gt;=C98/(1-SKU_Base!AI98)/(1-Settings!$D$17),"WARN","STOP"))),"")</f>
        <v/>
      </c>
      <c r="R98" s="159">
        <f>IFERROR(ROUND(D98*(1-CHOOSE(MATCH(IF($E98="","Основний",$E98),{"Трафіковий","Основний","Маржинальний","Сезонний","Стратегічний"},0),Settings!$E$78,Settings!$E$80,Settings!$E$82,Settings!$E$84,Settings!$E$86))/6,2)*6,"")</f>
        <v/>
      </c>
      <c r="S98" s="142">
        <f>IFERROR(CHOOSE(MATCH(IF($E98="","Основний",$E98),{"Трафіковий","Основний","Маржинальний","Сезонний","Стратегічний"},0),Settings!$E$78,Settings!$E$80,Settings!$E$82,Settings!$E$84,Settings!$E$86),"")</f>
        <v/>
      </c>
      <c r="T98" s="143">
        <f>IFERROR((R98*(1-Settings!$E$17)-C98)/(R98*(1-Settings!$E$17)),"")</f>
        <v/>
      </c>
      <c r="U98" s="149">
        <f>IFERROR(IF(R98="","",IF(R98&gt;=C98/(1-SKU_Base!AC98)/(1-Settings!$E$17),"OK",IF(R98&gt;=C98/(1-SKU_Base!AJ98)/(1-Settings!$E$17),"WARN","STOP"))),"")</f>
        <v/>
      </c>
      <c r="V98" s="159">
        <f>IFERROR(ROUND(D98*(1-CHOOSE(MATCH(IF($E98="","Основний",$E98),{"Трафіковий","Основний","Маржинальний","Сезонний","Стратегічний"},0),Settings!$F$78,Settings!$F$80,Settings!$F$82,Settings!$F$84,Settings!$F$86))/6,2)*6,"")</f>
        <v/>
      </c>
      <c r="W98" s="142">
        <f>IFERROR(CHOOSE(MATCH(IF($E98="","Основний",$E98),{"Трафіковий","Основний","Маржинальний","Сезонний","Стратегічний"},0),Settings!$F$78,Settings!$F$80,Settings!$F$82,Settings!$F$84,Settings!$F$86),"")</f>
        <v/>
      </c>
      <c r="X98" s="143">
        <f>IFERROR((V98*(1-Settings!$F$17)-C98)/(V98*(1-Settings!$F$17)),"")</f>
        <v/>
      </c>
      <c r="Y98" s="149">
        <f>IFERROR(IF(V98="","",IF(V98&gt;=C98/(1-SKU_Base!AD98)/(1-Settings!$F$17),"OK",IF(V98&gt;=C98/(1-SKU_Base!AK98)/(1-Settings!$F$17),"WARN","STOP"))),"")</f>
        <v/>
      </c>
      <c r="Z98" s="159">
        <f>IFERROR(ROUND(D98*(1-CHOOSE(MATCH(IF($E98="","Основний",$E98),{"Трафіковий","Основний","Маржинальний","Сезонний","Стратегічний"},0),Settings!$G$78,Settings!$G$80,Settings!$G$82,Settings!$G$84,Settings!$G$86))/6,2)*6,"")</f>
        <v/>
      </c>
      <c r="AA98" s="142">
        <f>IFERROR(CHOOSE(MATCH(IF($E98="","Основний",$E98),{"Трафіковий","Основний","Маржинальний","Сезонний","Стратегічний"},0),Settings!$G$78,Settings!$G$80,Settings!$G$82,Settings!$G$84,Settings!$G$86),"")</f>
        <v/>
      </c>
      <c r="AB98" s="143">
        <f>IFERROR((Z98*(1-Settings!$G$17)-C98)/(Z98*(1-Settings!$G$17)),"")</f>
        <v/>
      </c>
      <c r="AC98" s="149">
        <f>IFERROR(IF(Z98="","",IF(Z98&gt;=C98/(1-SKU_Base!AE98)/(1-Settings!$G$17),"OK",IF(Z98&gt;=C98/(1-SKU_Base!AL98)/(1-Settings!$G$17),"WARN","STOP"))),"")</f>
        <v/>
      </c>
      <c r="AD98" s="159">
        <f>IFERROR(ROUND(D98*(1-CHOOSE(MATCH(IF($E98="","Основний",$E98),{"Трафіковий","Основний","Маржинальний","Сезонний","Стратегічний"},0),Settings!$H$78,Settings!$H$80,Settings!$H$82,Settings!$H$84,Settings!$H$86))*(1-Settings!$H$68)/6,2)*6,"")</f>
        <v/>
      </c>
      <c r="AE98" s="142">
        <f>IFERROR(CHOOSE(MATCH(IF($E98="","Основний",$E98),{"Трафіковий","Основний","Маржинальний","Сезонний","Стратегічний"},0),Settings!$H$78,Settings!$H$80,Settings!$H$82,Settings!$H$84,Settings!$H$86)+(1-(CHOOSE(MATCH(IF($E98="","Основний",$E98),{"Трафіковий","Основний","Маржинальний","Сезонний","Стратегічний"},0),Settings!$H$78,Settings!$H$80,Settings!$H$82,Settings!$H$84,Settings!$H$86)))*Settings!$H$68,"")</f>
        <v/>
      </c>
      <c r="AF98" s="143">
        <f>IFERROR((AD98*(1-Settings!$H$17)-C98)/(AD98*(1-Settings!$H$17)),"")</f>
        <v/>
      </c>
      <c r="AG98" s="149">
        <f>IFERROR(IF(AD98="","",IF(AD98&gt;=C98/(1-SKU_Base!AF98)/(1-Settings!$H$17),"OK",IF(AD98&gt;=C98/(1-SKU_Base!AM98)/(1-Settings!$H$17),"WARN","STOP"))),"")</f>
        <v/>
      </c>
    </row>
    <row r="99" ht="17" customHeight="1" s="179">
      <c r="A99" s="146">
        <f>SKU_Base!B99</f>
        <v/>
      </c>
      <c r="B99" s="146">
        <f>SKU_Base!C99</f>
        <v/>
      </c>
      <c r="C99" s="147">
        <f>IFERROR(SKU_Base!I99,"")</f>
        <v/>
      </c>
      <c r="D99" s="164">
        <f>IFERROR(SKU_Base!T99,"")</f>
        <v/>
      </c>
      <c r="E99" s="141">
        <f>IFERROR(SKU_Base!$U99,"")</f>
        <v/>
      </c>
      <c r="F99" s="160">
        <f>IFERROR(ROUND(D99*(1-CHOOSE(MATCH(IF($E99="","Основний",$E99),{"Трафіковий","Основний","Маржинальний","Сезонний","Стратегічний"},0),Settings!$B$78,Settings!$B$80,Settings!$B$82,Settings!$B$84,Settings!$B$86))/6,2)*6,"")</f>
        <v/>
      </c>
      <c r="G99" s="142">
        <f>IFERROR(CHOOSE(MATCH(IF($E99="","Основний",$E99),{"Трафіковий","Основний","Маржинальний","Сезонний","Стратегічний"},0),Settings!$B$78,Settings!$B$80,Settings!$B$82,Settings!$B$84,Settings!$B$86),"")</f>
        <v/>
      </c>
      <c r="H99" s="148">
        <f>IFERROR((F99*(1-Settings!$B$17)-C99)/(F99*(1-Settings!$B$17)),"")</f>
        <v/>
      </c>
      <c r="I99" s="149">
        <f>IFERROR(IF(F99="","",IF(F99&gt;=C99/(1-SKU_Base!Z99)/(1-Settings!$B$17),"OK",IF(F99&gt;=C99/(1-SKU_Base!AG99)/(1-Settings!$B$17),"WARN","STOP"))),"")</f>
        <v/>
      </c>
      <c r="J99" s="160">
        <f>IFERROR(ROUND(D99*(1-CHOOSE(MATCH(IF($E99="","Основний",$E99),{"Трафіковий","Основний","Маржинальний","Сезонний","Стратегічний"},0),Settings!$C$78,Settings!$C$80,Settings!$C$82,Settings!$C$84,Settings!$C$86))/6,2)*6,"")</f>
        <v/>
      </c>
      <c r="K99" s="142">
        <f>IFERROR(CHOOSE(MATCH(IF($E99="","Основний",$E99),{"Трафіковий","Основний","Маржинальний","Сезонний","Стратегічний"},0),Settings!$C$78,Settings!$C$80,Settings!$C$82,Settings!$C$84,Settings!$C$86),"")</f>
        <v/>
      </c>
      <c r="L99" s="148">
        <f>IFERROR((J99*(1-Settings!$C$17)-C99)/(J99*(1-Settings!$C$17)),"")</f>
        <v/>
      </c>
      <c r="M99" s="149">
        <f>IFERROR(IF(J99="","",IF(J99&gt;=C99/(1-SKU_Base!AA99)/(1-Settings!$C$17),"OK",IF(J99&gt;=C99/(1-SKU_Base!AH99)/(1-Settings!$C$17),"WARN","STOP"))),"")</f>
        <v/>
      </c>
      <c r="N99" s="161">
        <f>IFERROR(ROUND(D99*(1-CHOOSE(MATCH(IF($E99="","Основний",$E99),{"Трафіковий","Основний","Маржинальний","Сезонний","Стратегічний"},0),Settings!$D$78,Settings!$D$80,Settings!$D$82,Settings!$D$84,Settings!$D$86))/6,2)*6,"")</f>
        <v/>
      </c>
      <c r="O99" s="142">
        <f>IFERROR(CHOOSE(MATCH(IF($E99="","Основний",$E99),{"Трафіковий","Основний","Маржинальний","Сезонний","Стратегічний"},0),Settings!$D$78,Settings!$D$80,Settings!$D$82,Settings!$D$84,Settings!$D$86),"")</f>
        <v/>
      </c>
      <c r="P99" s="148">
        <f>IFERROR((N99*(1-Settings!$D$17)-C99)/(N99*(1-Settings!$D$17)),"")</f>
        <v/>
      </c>
      <c r="Q99" s="149">
        <f>IFERROR(IF(N99="","",IF(N99&gt;=C99/(1-SKU_Base!AB99)/(1-Settings!$D$17),"OK",IF(N99&gt;=C99/(1-SKU_Base!AI99)/(1-Settings!$D$17),"WARN","STOP"))),"")</f>
        <v/>
      </c>
      <c r="R99" s="161">
        <f>IFERROR(ROUND(D99*(1-CHOOSE(MATCH(IF($E99="","Основний",$E99),{"Трафіковий","Основний","Маржинальний","Сезонний","Стратегічний"},0),Settings!$E$78,Settings!$E$80,Settings!$E$82,Settings!$E$84,Settings!$E$86))/6,2)*6,"")</f>
        <v/>
      </c>
      <c r="S99" s="142">
        <f>IFERROR(CHOOSE(MATCH(IF($E99="","Основний",$E99),{"Трафіковий","Основний","Маржинальний","Сезонний","Стратегічний"},0),Settings!$E$78,Settings!$E$80,Settings!$E$82,Settings!$E$84,Settings!$E$86),"")</f>
        <v/>
      </c>
      <c r="T99" s="148">
        <f>IFERROR((R99*(1-Settings!$E$17)-C99)/(R99*(1-Settings!$E$17)),"")</f>
        <v/>
      </c>
      <c r="U99" s="149">
        <f>IFERROR(IF(R99="","",IF(R99&gt;=C99/(1-SKU_Base!AC99)/(1-Settings!$E$17),"OK",IF(R99&gt;=C99/(1-SKU_Base!AJ99)/(1-Settings!$E$17),"WARN","STOP"))),"")</f>
        <v/>
      </c>
      <c r="V99" s="161">
        <f>IFERROR(ROUND(D99*(1-CHOOSE(MATCH(IF($E99="","Основний",$E99),{"Трафіковий","Основний","Маржинальний","Сезонний","Стратегічний"},0),Settings!$F$78,Settings!$F$80,Settings!$F$82,Settings!$F$84,Settings!$F$86))/6,2)*6,"")</f>
        <v/>
      </c>
      <c r="W99" s="142">
        <f>IFERROR(CHOOSE(MATCH(IF($E99="","Основний",$E99),{"Трафіковий","Основний","Маржинальний","Сезонний","Стратегічний"},0),Settings!$F$78,Settings!$F$80,Settings!$F$82,Settings!$F$84,Settings!$F$86),"")</f>
        <v/>
      </c>
      <c r="X99" s="148">
        <f>IFERROR((V99*(1-Settings!$F$17)-C99)/(V99*(1-Settings!$F$17)),"")</f>
        <v/>
      </c>
      <c r="Y99" s="149">
        <f>IFERROR(IF(V99="","",IF(V99&gt;=C99/(1-SKU_Base!AD99)/(1-Settings!$F$17),"OK",IF(V99&gt;=C99/(1-SKU_Base!AK99)/(1-Settings!$F$17),"WARN","STOP"))),"")</f>
        <v/>
      </c>
      <c r="Z99" s="161">
        <f>IFERROR(ROUND(D99*(1-CHOOSE(MATCH(IF($E99="","Основний",$E99),{"Трафіковий","Основний","Маржинальний","Сезонний","Стратегічний"},0),Settings!$G$78,Settings!$G$80,Settings!$G$82,Settings!$G$84,Settings!$G$86))/6,2)*6,"")</f>
        <v/>
      </c>
      <c r="AA99" s="142">
        <f>IFERROR(CHOOSE(MATCH(IF($E99="","Основний",$E99),{"Трафіковий","Основний","Маржинальний","Сезонний","Стратегічний"},0),Settings!$G$78,Settings!$G$80,Settings!$G$82,Settings!$G$84,Settings!$G$86),"")</f>
        <v/>
      </c>
      <c r="AB99" s="148">
        <f>IFERROR((Z99*(1-Settings!$G$17)-C99)/(Z99*(1-Settings!$G$17)),"")</f>
        <v/>
      </c>
      <c r="AC99" s="149">
        <f>IFERROR(IF(Z99="","",IF(Z99&gt;=C99/(1-SKU_Base!AE99)/(1-Settings!$G$17),"OK",IF(Z99&gt;=C99/(1-SKU_Base!AL99)/(1-Settings!$G$17),"WARN","STOP"))),"")</f>
        <v/>
      </c>
      <c r="AD99" s="161">
        <f>IFERROR(ROUND(D99*(1-CHOOSE(MATCH(IF($E99="","Основний",$E99),{"Трафіковий","Основний","Маржинальний","Сезонний","Стратегічний"},0),Settings!$H$78,Settings!$H$80,Settings!$H$82,Settings!$H$84,Settings!$H$86))*(1-Settings!$H$68)/6,2)*6,"")</f>
        <v/>
      </c>
      <c r="AE99" s="142">
        <f>IFERROR(CHOOSE(MATCH(IF($E99="","Основний",$E99),{"Трафіковий","Основний","Маржинальний","Сезонний","Стратегічний"},0),Settings!$H$78,Settings!$H$80,Settings!$H$82,Settings!$H$84,Settings!$H$86)+(1-(CHOOSE(MATCH(IF($E99="","Основний",$E99),{"Трафіковий","Основний","Маржинальний","Сезонний","Стратегічний"},0),Settings!$H$78,Settings!$H$80,Settings!$H$82,Settings!$H$84,Settings!$H$86)))*Settings!$H$68,"")</f>
        <v/>
      </c>
      <c r="AF99" s="148">
        <f>IFERROR((AD99*(1-Settings!$H$17)-C99)/(AD99*(1-Settings!$H$17)),"")</f>
        <v/>
      </c>
      <c r="AG99" s="149">
        <f>IFERROR(IF(AD99="","",IF(AD99&gt;=C99/(1-SKU_Base!AF99)/(1-Settings!$H$17),"OK",IF(AD99&gt;=C99/(1-SKU_Base!AM99)/(1-Settings!$H$17),"WARN","STOP"))),"")</f>
        <v/>
      </c>
    </row>
    <row r="100" ht="17" customHeight="1" s="179">
      <c r="A100" s="139">
        <f>SKU_Base!B100</f>
        <v/>
      </c>
      <c r="B100" s="139">
        <f>SKU_Base!C100</f>
        <v/>
      </c>
      <c r="C100" s="140">
        <f>IFERROR(SKU_Base!I100,"")</f>
        <v/>
      </c>
      <c r="D100" s="163">
        <f>IFERROR(SKU_Base!T100,"")</f>
        <v/>
      </c>
      <c r="E100" s="141">
        <f>IFERROR(SKU_Base!$U100,"")</f>
        <v/>
      </c>
      <c r="F100" s="158">
        <f>IFERROR(ROUND(D100*(1-CHOOSE(MATCH(IF($E100="","Основний",$E100),{"Трафіковий","Основний","Маржинальний","Сезонний","Стратегічний"},0),Settings!$B$78,Settings!$B$80,Settings!$B$82,Settings!$B$84,Settings!$B$86))/6,2)*6,"")</f>
        <v/>
      </c>
      <c r="G100" s="142">
        <f>IFERROR(CHOOSE(MATCH(IF($E100="","Основний",$E100),{"Трафіковий","Основний","Маржинальний","Сезонний","Стратегічний"},0),Settings!$B$78,Settings!$B$80,Settings!$B$82,Settings!$B$84,Settings!$B$86),"")</f>
        <v/>
      </c>
      <c r="H100" s="143">
        <f>IFERROR((F100*(1-Settings!$B$17)-C100)/(F100*(1-Settings!$B$17)),"")</f>
        <v/>
      </c>
      <c r="I100" s="149">
        <f>IFERROR(IF(F100="","",IF(F100&gt;=C100/(1-SKU_Base!Z100)/(1-Settings!$B$17),"OK",IF(F100&gt;=C100/(1-SKU_Base!AG100)/(1-Settings!$B$17),"WARN","STOP"))),"")</f>
        <v/>
      </c>
      <c r="J100" s="158">
        <f>IFERROR(ROUND(D100*(1-CHOOSE(MATCH(IF($E100="","Основний",$E100),{"Трафіковий","Основний","Маржинальний","Сезонний","Стратегічний"},0),Settings!$C$78,Settings!$C$80,Settings!$C$82,Settings!$C$84,Settings!$C$86))/6,2)*6,"")</f>
        <v/>
      </c>
      <c r="K100" s="142">
        <f>IFERROR(CHOOSE(MATCH(IF($E100="","Основний",$E100),{"Трафіковий","Основний","Маржинальний","Сезонний","Стратегічний"},0),Settings!$C$78,Settings!$C$80,Settings!$C$82,Settings!$C$84,Settings!$C$86),"")</f>
        <v/>
      </c>
      <c r="L100" s="143">
        <f>IFERROR((J100*(1-Settings!$C$17)-C100)/(J100*(1-Settings!$C$17)),"")</f>
        <v/>
      </c>
      <c r="M100" s="149">
        <f>IFERROR(IF(J100="","",IF(J100&gt;=C100/(1-SKU_Base!AA100)/(1-Settings!$C$17),"OK",IF(J100&gt;=C100/(1-SKU_Base!AH100)/(1-Settings!$C$17),"WARN","STOP"))),"")</f>
        <v/>
      </c>
      <c r="N100" s="159">
        <f>IFERROR(ROUND(D100*(1-CHOOSE(MATCH(IF($E100="","Основний",$E100),{"Трафіковий","Основний","Маржинальний","Сезонний","Стратегічний"},0),Settings!$D$78,Settings!$D$80,Settings!$D$82,Settings!$D$84,Settings!$D$86))/6,2)*6,"")</f>
        <v/>
      </c>
      <c r="O100" s="142">
        <f>IFERROR(CHOOSE(MATCH(IF($E100="","Основний",$E100),{"Трафіковий","Основний","Маржинальний","Сезонний","Стратегічний"},0),Settings!$D$78,Settings!$D$80,Settings!$D$82,Settings!$D$84,Settings!$D$86),"")</f>
        <v/>
      </c>
      <c r="P100" s="143">
        <f>IFERROR((N100*(1-Settings!$D$17)-C100)/(N100*(1-Settings!$D$17)),"")</f>
        <v/>
      </c>
      <c r="Q100" s="149">
        <f>IFERROR(IF(N100="","",IF(N100&gt;=C100/(1-SKU_Base!AB100)/(1-Settings!$D$17),"OK",IF(N100&gt;=C100/(1-SKU_Base!AI100)/(1-Settings!$D$17),"WARN","STOP"))),"")</f>
        <v/>
      </c>
      <c r="R100" s="159">
        <f>IFERROR(ROUND(D100*(1-CHOOSE(MATCH(IF($E100="","Основний",$E100),{"Трафіковий","Основний","Маржинальний","Сезонний","Стратегічний"},0),Settings!$E$78,Settings!$E$80,Settings!$E$82,Settings!$E$84,Settings!$E$86))/6,2)*6,"")</f>
        <v/>
      </c>
      <c r="S100" s="142">
        <f>IFERROR(CHOOSE(MATCH(IF($E100="","Основний",$E100),{"Трафіковий","Основний","Маржинальний","Сезонний","Стратегічний"},0),Settings!$E$78,Settings!$E$80,Settings!$E$82,Settings!$E$84,Settings!$E$86),"")</f>
        <v/>
      </c>
      <c r="T100" s="143">
        <f>IFERROR((R100*(1-Settings!$E$17)-C100)/(R100*(1-Settings!$E$17)),"")</f>
        <v/>
      </c>
      <c r="U100" s="149">
        <f>IFERROR(IF(R100="","",IF(R100&gt;=C100/(1-SKU_Base!AC100)/(1-Settings!$E$17),"OK",IF(R100&gt;=C100/(1-SKU_Base!AJ100)/(1-Settings!$E$17),"WARN","STOP"))),"")</f>
        <v/>
      </c>
      <c r="V100" s="159">
        <f>IFERROR(ROUND(D100*(1-CHOOSE(MATCH(IF($E100="","Основний",$E100),{"Трафіковий","Основний","Маржинальний","Сезонний","Стратегічний"},0),Settings!$F$78,Settings!$F$80,Settings!$F$82,Settings!$F$84,Settings!$F$86))/6,2)*6,"")</f>
        <v/>
      </c>
      <c r="W100" s="142">
        <f>IFERROR(CHOOSE(MATCH(IF($E100="","Основний",$E100),{"Трафіковий","Основний","Маржинальний","Сезонний","Стратегічний"},0),Settings!$F$78,Settings!$F$80,Settings!$F$82,Settings!$F$84,Settings!$F$86),"")</f>
        <v/>
      </c>
      <c r="X100" s="143">
        <f>IFERROR((V100*(1-Settings!$F$17)-C100)/(V100*(1-Settings!$F$17)),"")</f>
        <v/>
      </c>
      <c r="Y100" s="149">
        <f>IFERROR(IF(V100="","",IF(V100&gt;=C100/(1-SKU_Base!AD100)/(1-Settings!$F$17),"OK",IF(V100&gt;=C100/(1-SKU_Base!AK100)/(1-Settings!$F$17),"WARN","STOP"))),"")</f>
        <v/>
      </c>
      <c r="Z100" s="159">
        <f>IFERROR(ROUND(D100*(1-CHOOSE(MATCH(IF($E100="","Основний",$E100),{"Трафіковий","Основний","Маржинальний","Сезонний","Стратегічний"},0),Settings!$G$78,Settings!$G$80,Settings!$G$82,Settings!$G$84,Settings!$G$86))/6,2)*6,"")</f>
        <v/>
      </c>
      <c r="AA100" s="142">
        <f>IFERROR(CHOOSE(MATCH(IF($E100="","Основний",$E100),{"Трафіковий","Основний","Маржинальний","Сезонний","Стратегічний"},0),Settings!$G$78,Settings!$G$80,Settings!$G$82,Settings!$G$84,Settings!$G$86),"")</f>
        <v/>
      </c>
      <c r="AB100" s="143">
        <f>IFERROR((Z100*(1-Settings!$G$17)-C100)/(Z100*(1-Settings!$G$17)),"")</f>
        <v/>
      </c>
      <c r="AC100" s="149">
        <f>IFERROR(IF(Z100="","",IF(Z100&gt;=C100/(1-SKU_Base!AE100)/(1-Settings!$G$17),"OK",IF(Z100&gt;=C100/(1-SKU_Base!AL100)/(1-Settings!$G$17),"WARN","STOP"))),"")</f>
        <v/>
      </c>
      <c r="AD100" s="159">
        <f>IFERROR(ROUND(D100*(1-CHOOSE(MATCH(IF($E100="","Основний",$E100),{"Трафіковий","Основний","Маржинальний","Сезонний","Стратегічний"},0),Settings!$H$78,Settings!$H$80,Settings!$H$82,Settings!$H$84,Settings!$H$86))*(1-Settings!$H$68)/6,2)*6,"")</f>
        <v/>
      </c>
      <c r="AE100" s="142">
        <f>IFERROR(CHOOSE(MATCH(IF($E100="","Основний",$E100),{"Трафіковий","Основний","Маржинальний","Сезонний","Стратегічний"},0),Settings!$H$78,Settings!$H$80,Settings!$H$82,Settings!$H$84,Settings!$H$86)+(1-(CHOOSE(MATCH(IF($E100="","Основний",$E100),{"Трафіковий","Основний","Маржинальний","Сезонний","Стратегічний"},0),Settings!$H$78,Settings!$H$80,Settings!$H$82,Settings!$H$84,Settings!$H$86)))*Settings!$H$68,"")</f>
        <v/>
      </c>
      <c r="AF100" s="143">
        <f>IFERROR((AD100*(1-Settings!$H$17)-C100)/(AD100*(1-Settings!$H$17)),"")</f>
        <v/>
      </c>
      <c r="AG100" s="149">
        <f>IFERROR(IF(AD100="","",IF(AD100&gt;=C100/(1-SKU_Base!AF100)/(1-Settings!$H$17),"OK",IF(AD100&gt;=C100/(1-SKU_Base!AM100)/(1-Settings!$H$17),"WARN","STOP"))),"")</f>
        <v/>
      </c>
    </row>
    <row r="101" ht="17" customHeight="1" s="179">
      <c r="A101" s="146">
        <f>SKU_Base!B101</f>
        <v/>
      </c>
      <c r="B101" s="146">
        <f>SKU_Base!C101</f>
        <v/>
      </c>
      <c r="C101" s="147">
        <f>IFERROR(SKU_Base!I101,"")</f>
        <v/>
      </c>
      <c r="D101" s="164">
        <f>IFERROR(SKU_Base!T101,"")</f>
        <v/>
      </c>
      <c r="E101" s="141">
        <f>IFERROR(SKU_Base!$U101,"")</f>
        <v/>
      </c>
      <c r="F101" s="160">
        <f>IFERROR(ROUND(D101*(1-CHOOSE(MATCH(IF($E101="","Основний",$E101),{"Трафіковий","Основний","Маржинальний","Сезонний","Стратегічний"},0),Settings!$B$78,Settings!$B$80,Settings!$B$82,Settings!$B$84,Settings!$B$86))/6,2)*6,"")</f>
        <v/>
      </c>
      <c r="G101" s="142">
        <f>IFERROR(CHOOSE(MATCH(IF($E101="","Основний",$E101),{"Трафіковий","Основний","Маржинальний","Сезонний","Стратегічний"},0),Settings!$B$78,Settings!$B$80,Settings!$B$82,Settings!$B$84,Settings!$B$86),"")</f>
        <v/>
      </c>
      <c r="H101" s="148">
        <f>IFERROR((F101*(1-Settings!$B$17)-C101)/(F101*(1-Settings!$B$17)),"")</f>
        <v/>
      </c>
      <c r="I101" s="149">
        <f>IFERROR(IF(F101="","",IF(F101&gt;=C101/(1-SKU_Base!Z101)/(1-Settings!$B$17),"OK",IF(F101&gt;=C101/(1-SKU_Base!AG101)/(1-Settings!$B$17),"WARN","STOP"))),"")</f>
        <v/>
      </c>
      <c r="J101" s="160">
        <f>IFERROR(ROUND(D101*(1-CHOOSE(MATCH(IF($E101="","Основний",$E101),{"Трафіковий","Основний","Маржинальний","Сезонний","Стратегічний"},0),Settings!$C$78,Settings!$C$80,Settings!$C$82,Settings!$C$84,Settings!$C$86))/6,2)*6,"")</f>
        <v/>
      </c>
      <c r="K101" s="142">
        <f>IFERROR(CHOOSE(MATCH(IF($E101="","Основний",$E101),{"Трафіковий","Основний","Маржинальний","Сезонний","Стратегічний"},0),Settings!$C$78,Settings!$C$80,Settings!$C$82,Settings!$C$84,Settings!$C$86),"")</f>
        <v/>
      </c>
      <c r="L101" s="148">
        <f>IFERROR((J101*(1-Settings!$C$17)-C101)/(J101*(1-Settings!$C$17)),"")</f>
        <v/>
      </c>
      <c r="M101" s="149">
        <f>IFERROR(IF(J101="","",IF(J101&gt;=C101/(1-SKU_Base!AA101)/(1-Settings!$C$17),"OK",IF(J101&gt;=C101/(1-SKU_Base!AH101)/(1-Settings!$C$17),"WARN","STOP"))),"")</f>
        <v/>
      </c>
      <c r="N101" s="161">
        <f>IFERROR(ROUND(D101*(1-CHOOSE(MATCH(IF($E101="","Основний",$E101),{"Трафіковий","Основний","Маржинальний","Сезонний","Стратегічний"},0),Settings!$D$78,Settings!$D$80,Settings!$D$82,Settings!$D$84,Settings!$D$86))/6,2)*6,"")</f>
        <v/>
      </c>
      <c r="O101" s="142">
        <f>IFERROR(CHOOSE(MATCH(IF($E101="","Основний",$E101),{"Трафіковий","Основний","Маржинальний","Сезонний","Стратегічний"},0),Settings!$D$78,Settings!$D$80,Settings!$D$82,Settings!$D$84,Settings!$D$86),"")</f>
        <v/>
      </c>
      <c r="P101" s="148">
        <f>IFERROR((N101*(1-Settings!$D$17)-C101)/(N101*(1-Settings!$D$17)),"")</f>
        <v/>
      </c>
      <c r="Q101" s="149">
        <f>IFERROR(IF(N101="","",IF(N101&gt;=C101/(1-SKU_Base!AB101)/(1-Settings!$D$17),"OK",IF(N101&gt;=C101/(1-SKU_Base!AI101)/(1-Settings!$D$17),"WARN","STOP"))),"")</f>
        <v/>
      </c>
      <c r="R101" s="161">
        <f>IFERROR(ROUND(D101*(1-CHOOSE(MATCH(IF($E101="","Основний",$E101),{"Трафіковий","Основний","Маржинальний","Сезонний","Стратегічний"},0),Settings!$E$78,Settings!$E$80,Settings!$E$82,Settings!$E$84,Settings!$E$86))/6,2)*6,"")</f>
        <v/>
      </c>
      <c r="S101" s="142">
        <f>IFERROR(CHOOSE(MATCH(IF($E101="","Основний",$E101),{"Трафіковий","Основний","Маржинальний","Сезонний","Стратегічний"},0),Settings!$E$78,Settings!$E$80,Settings!$E$82,Settings!$E$84,Settings!$E$86),"")</f>
        <v/>
      </c>
      <c r="T101" s="148">
        <f>IFERROR((R101*(1-Settings!$E$17)-C101)/(R101*(1-Settings!$E$17)),"")</f>
        <v/>
      </c>
      <c r="U101" s="149">
        <f>IFERROR(IF(R101="","",IF(R101&gt;=C101/(1-SKU_Base!AC101)/(1-Settings!$E$17),"OK",IF(R101&gt;=C101/(1-SKU_Base!AJ101)/(1-Settings!$E$17),"WARN","STOP"))),"")</f>
        <v/>
      </c>
      <c r="V101" s="161">
        <f>IFERROR(ROUND(D101*(1-CHOOSE(MATCH(IF($E101="","Основний",$E101),{"Трафіковий","Основний","Маржинальний","Сезонний","Стратегічний"},0),Settings!$F$78,Settings!$F$80,Settings!$F$82,Settings!$F$84,Settings!$F$86))/6,2)*6,"")</f>
        <v/>
      </c>
      <c r="W101" s="142">
        <f>IFERROR(CHOOSE(MATCH(IF($E101="","Основний",$E101),{"Трафіковий","Основний","Маржинальний","Сезонний","Стратегічний"},0),Settings!$F$78,Settings!$F$80,Settings!$F$82,Settings!$F$84,Settings!$F$86),"")</f>
        <v/>
      </c>
      <c r="X101" s="148">
        <f>IFERROR((V101*(1-Settings!$F$17)-C101)/(V101*(1-Settings!$F$17)),"")</f>
        <v/>
      </c>
      <c r="Y101" s="149">
        <f>IFERROR(IF(V101="","",IF(V101&gt;=C101/(1-SKU_Base!AD101)/(1-Settings!$F$17),"OK",IF(V101&gt;=C101/(1-SKU_Base!AK101)/(1-Settings!$F$17),"WARN","STOP"))),"")</f>
        <v/>
      </c>
      <c r="Z101" s="161">
        <f>IFERROR(ROUND(D101*(1-CHOOSE(MATCH(IF($E101="","Основний",$E101),{"Трафіковий","Основний","Маржинальний","Сезонний","Стратегічний"},0),Settings!$G$78,Settings!$G$80,Settings!$G$82,Settings!$G$84,Settings!$G$86))/6,2)*6,"")</f>
        <v/>
      </c>
      <c r="AA101" s="142">
        <f>IFERROR(CHOOSE(MATCH(IF($E101="","Основний",$E101),{"Трафіковий","Основний","Маржинальний","Сезонний","Стратегічний"},0),Settings!$G$78,Settings!$G$80,Settings!$G$82,Settings!$G$84,Settings!$G$86),"")</f>
        <v/>
      </c>
      <c r="AB101" s="148">
        <f>IFERROR((Z101*(1-Settings!$G$17)-C101)/(Z101*(1-Settings!$G$17)),"")</f>
        <v/>
      </c>
      <c r="AC101" s="149">
        <f>IFERROR(IF(Z101="","",IF(Z101&gt;=C101/(1-SKU_Base!AE101)/(1-Settings!$G$17),"OK",IF(Z101&gt;=C101/(1-SKU_Base!AL101)/(1-Settings!$G$17),"WARN","STOP"))),"")</f>
        <v/>
      </c>
      <c r="AD101" s="161">
        <f>IFERROR(ROUND(D101*(1-CHOOSE(MATCH(IF($E101="","Основний",$E101),{"Трафіковий","Основний","Маржинальний","Сезонний","Стратегічний"},0),Settings!$H$78,Settings!$H$80,Settings!$H$82,Settings!$H$84,Settings!$H$86))*(1-Settings!$H$68)/6,2)*6,"")</f>
        <v/>
      </c>
      <c r="AE101" s="142">
        <f>IFERROR(CHOOSE(MATCH(IF($E101="","Основний",$E101),{"Трафіковий","Основний","Маржинальний","Сезонний","Стратегічний"},0),Settings!$H$78,Settings!$H$80,Settings!$H$82,Settings!$H$84,Settings!$H$86)+(1-(CHOOSE(MATCH(IF($E101="","Основний",$E101),{"Трафіковий","Основний","Маржинальний","Сезонний","Стратегічний"},0),Settings!$H$78,Settings!$H$80,Settings!$H$82,Settings!$H$84,Settings!$H$86)))*Settings!$H$68,"")</f>
        <v/>
      </c>
      <c r="AF101" s="148">
        <f>IFERROR((AD101*(1-Settings!$H$17)-C101)/(AD101*(1-Settings!$H$17)),"")</f>
        <v/>
      </c>
      <c r="AG101" s="150">
        <f>IFERROR(IF(AD101="","",IF(AD101&gt;=C101/(1-SKU_Base!AF101)/(1-Settings!$H$17),"OK",IF(AD101&gt;=C101/(1-SKU_Base!AM101)/(1-Settings!$H$17),"WARN","STOP"))),"")</f>
        <v/>
      </c>
    </row>
    <row r="102" ht="17" customHeight="1" s="179">
      <c r="A102" s="139">
        <f>SKU_Base!B102</f>
        <v/>
      </c>
      <c r="B102" s="139">
        <f>SKU_Base!C102</f>
        <v/>
      </c>
      <c r="C102" s="140">
        <f>IFERROR(SKU_Base!I102,"")</f>
        <v/>
      </c>
      <c r="D102" s="163">
        <f>IFERROR(SKU_Base!T102,"")</f>
        <v/>
      </c>
      <c r="E102" s="141">
        <f>IFERROR(SKU_Base!$U102,"")</f>
        <v/>
      </c>
      <c r="F102" s="158">
        <f>IFERROR(ROUND(D102*(1-CHOOSE(MATCH(IF($E102="","Основний",$E102),{"Трафіковий","Основний","Маржинальний","Сезонний","Стратегічний"},0),Settings!$B$78,Settings!$B$80,Settings!$B$82,Settings!$B$84,Settings!$B$86))/6,2)*6,"")</f>
        <v/>
      </c>
      <c r="G102" s="142">
        <f>IFERROR(CHOOSE(MATCH(IF($E102="","Основний",$E102),{"Трафіковий","Основний","Маржинальний","Сезонний","Стратегічний"},0),Settings!$B$78,Settings!$B$80,Settings!$B$82,Settings!$B$84,Settings!$B$86),"")</f>
        <v/>
      </c>
      <c r="H102" s="143">
        <f>IFERROR((F102*(1-Settings!$B$17)-C102)/(F102*(1-Settings!$B$17)),"")</f>
        <v/>
      </c>
      <c r="I102" s="149">
        <f>IFERROR(IF(F102="","",IF(F102&gt;=C102/(1-SKU_Base!Z102)/(1-Settings!$B$17),"OK",IF(F102&gt;=C102/(1-SKU_Base!AG102)/(1-Settings!$B$17),"WARN","STOP"))),"")</f>
        <v/>
      </c>
      <c r="J102" s="158">
        <f>IFERROR(ROUND(D102*(1-CHOOSE(MATCH(IF($E102="","Основний",$E102),{"Трафіковий","Основний","Маржинальний","Сезонний","Стратегічний"},0),Settings!$C$78,Settings!$C$80,Settings!$C$82,Settings!$C$84,Settings!$C$86))/6,2)*6,"")</f>
        <v/>
      </c>
      <c r="K102" s="142">
        <f>IFERROR(CHOOSE(MATCH(IF($E102="","Основний",$E102),{"Трафіковий","Основний","Маржинальний","Сезонний","Стратегічний"},0),Settings!$C$78,Settings!$C$80,Settings!$C$82,Settings!$C$84,Settings!$C$86),"")</f>
        <v/>
      </c>
      <c r="L102" s="143">
        <f>IFERROR((J102*(1-Settings!$C$17)-C102)/(J102*(1-Settings!$C$17)),"")</f>
        <v/>
      </c>
      <c r="M102" s="149">
        <f>IFERROR(IF(J102="","",IF(J102&gt;=C102/(1-SKU_Base!AA102)/(1-Settings!$C$17),"OK",IF(J102&gt;=C102/(1-SKU_Base!AH102)/(1-Settings!$C$17),"WARN","STOP"))),"")</f>
        <v/>
      </c>
      <c r="N102" s="159">
        <f>IFERROR(ROUND(D102*(1-CHOOSE(MATCH(IF($E102="","Основний",$E102),{"Трафіковий","Основний","Маржинальний","Сезонний","Стратегічний"},0),Settings!$D$78,Settings!$D$80,Settings!$D$82,Settings!$D$84,Settings!$D$86))/6,2)*6,"")</f>
        <v/>
      </c>
      <c r="O102" s="142">
        <f>IFERROR(CHOOSE(MATCH(IF($E102="","Основний",$E102),{"Трафіковий","Основний","Маржинальний","Сезонний","Стратегічний"},0),Settings!$D$78,Settings!$D$80,Settings!$D$82,Settings!$D$84,Settings!$D$86),"")</f>
        <v/>
      </c>
      <c r="P102" s="143">
        <f>IFERROR((N102*(1-Settings!$D$17)-C102)/(N102*(1-Settings!$D$17)),"")</f>
        <v/>
      </c>
      <c r="Q102" s="149">
        <f>IFERROR(IF(N102="","",IF(N102&gt;=C102/(1-SKU_Base!AB102)/(1-Settings!$D$17),"OK",IF(N102&gt;=C102/(1-SKU_Base!AI102)/(1-Settings!$D$17),"WARN","STOP"))),"")</f>
        <v/>
      </c>
      <c r="R102" s="159">
        <f>IFERROR(ROUND(D102*(1-CHOOSE(MATCH(IF($E102="","Основний",$E102),{"Трафіковий","Основний","Маржинальний","Сезонний","Стратегічний"},0),Settings!$E$78,Settings!$E$80,Settings!$E$82,Settings!$E$84,Settings!$E$86))/6,2)*6,"")</f>
        <v/>
      </c>
      <c r="S102" s="142">
        <f>IFERROR(CHOOSE(MATCH(IF($E102="","Основний",$E102),{"Трафіковий","Основний","Маржинальний","Сезонний","Стратегічний"},0),Settings!$E$78,Settings!$E$80,Settings!$E$82,Settings!$E$84,Settings!$E$86),"")</f>
        <v/>
      </c>
      <c r="T102" s="143">
        <f>IFERROR((R102*(1-Settings!$E$17)-C102)/(R102*(1-Settings!$E$17)),"")</f>
        <v/>
      </c>
      <c r="U102" s="149">
        <f>IFERROR(IF(R102="","",IF(R102&gt;=C102/(1-SKU_Base!AC102)/(1-Settings!$E$17),"OK",IF(R102&gt;=C102/(1-SKU_Base!AJ102)/(1-Settings!$E$17),"WARN","STOP"))),"")</f>
        <v/>
      </c>
      <c r="V102" s="159">
        <f>IFERROR(ROUND(D102*(1-CHOOSE(MATCH(IF($E102="","Основний",$E102),{"Трафіковий","Основний","Маржинальний","Сезонний","Стратегічний"},0),Settings!$F$78,Settings!$F$80,Settings!$F$82,Settings!$F$84,Settings!$F$86))/6,2)*6,"")</f>
        <v/>
      </c>
      <c r="W102" s="142">
        <f>IFERROR(CHOOSE(MATCH(IF($E102="","Основний",$E102),{"Трафіковий","Основний","Маржинальний","Сезонний","Стратегічний"},0),Settings!$F$78,Settings!$F$80,Settings!$F$82,Settings!$F$84,Settings!$F$86),"")</f>
        <v/>
      </c>
      <c r="X102" s="143">
        <f>IFERROR((V102*(1-Settings!$F$17)-C102)/(V102*(1-Settings!$F$17)),"")</f>
        <v/>
      </c>
      <c r="Y102" s="149">
        <f>IFERROR(IF(V102="","",IF(V102&gt;=C102/(1-SKU_Base!AD102)/(1-Settings!$F$17),"OK",IF(V102&gt;=C102/(1-SKU_Base!AK102)/(1-Settings!$F$17),"WARN","STOP"))),"")</f>
        <v/>
      </c>
      <c r="Z102" s="159">
        <f>IFERROR(ROUND(D102*(1-CHOOSE(MATCH(IF($E102="","Основний",$E102),{"Трафіковий","Основний","Маржинальний","Сезонний","Стратегічний"},0),Settings!$G$78,Settings!$G$80,Settings!$G$82,Settings!$G$84,Settings!$G$86))/6,2)*6,"")</f>
        <v/>
      </c>
      <c r="AA102" s="142">
        <f>IFERROR(CHOOSE(MATCH(IF($E102="","Основний",$E102),{"Трафіковий","Основний","Маржинальний","Сезонний","Стратегічний"},0),Settings!$G$78,Settings!$G$80,Settings!$G$82,Settings!$G$84,Settings!$G$86),"")</f>
        <v/>
      </c>
      <c r="AB102" s="143">
        <f>IFERROR((Z102*(1-Settings!$G$17)-C102)/(Z102*(1-Settings!$G$17)),"")</f>
        <v/>
      </c>
      <c r="AC102" s="149">
        <f>IFERROR(IF(Z102="","",IF(Z102&gt;=C102/(1-SKU_Base!AE102)/(1-Settings!$G$17),"OK",IF(Z102&gt;=C102/(1-SKU_Base!AL102)/(1-Settings!$G$17),"WARN","STOP"))),"")</f>
        <v/>
      </c>
      <c r="AD102" s="159">
        <f>IFERROR(ROUND(D102*(1-CHOOSE(MATCH(IF($E102="","Основний",$E102),{"Трафіковий","Основний","Маржинальний","Сезонний","Стратегічний"},0),Settings!$H$78,Settings!$H$80,Settings!$H$82,Settings!$H$84,Settings!$H$86))*(1-Settings!$H$68)/6,2)*6,"")</f>
        <v/>
      </c>
      <c r="AE102" s="142">
        <f>IFERROR(CHOOSE(MATCH(IF($E102="","Основний",$E102),{"Трафіковий","Основний","Маржинальний","Сезонний","Стратегічний"},0),Settings!$H$78,Settings!$H$80,Settings!$H$82,Settings!$H$84,Settings!$H$86)+(1-(CHOOSE(MATCH(IF($E102="","Основний",$E102),{"Трафіковий","Основний","Маржинальний","Сезонний","Стратегічний"},0),Settings!$H$78,Settings!$H$80,Settings!$H$82,Settings!$H$84,Settings!$H$86)))*Settings!$H$68,"")</f>
        <v/>
      </c>
      <c r="AF102" s="143">
        <f>IFERROR((AD102*(1-Settings!$H$17)-C102)/(AD102*(1-Settings!$H$17)),"")</f>
        <v/>
      </c>
      <c r="AG102" s="150">
        <f>IFERROR(IF(AD102="","",IF(AD102&gt;=C102/(1-SKU_Base!AF102)/(1-Settings!$H$17),"OK",IF(AD102&gt;=C102/(1-SKU_Base!AM102)/(1-Settings!$H$17),"WARN","STOP"))),"")</f>
        <v/>
      </c>
    </row>
    <row r="103" ht="17" customHeight="1" s="179">
      <c r="A103" s="146">
        <f>SKU_Base!B103</f>
        <v/>
      </c>
      <c r="B103" s="146">
        <f>SKU_Base!C103</f>
        <v/>
      </c>
      <c r="C103" s="147">
        <f>IFERROR(SKU_Base!I103,"")</f>
        <v/>
      </c>
      <c r="D103" s="164">
        <f>IFERROR(SKU_Base!T103,"")</f>
        <v/>
      </c>
      <c r="E103" s="141">
        <f>IFERROR(SKU_Base!$U103,"")</f>
        <v/>
      </c>
      <c r="F103" s="160">
        <f>IFERROR(ROUND(D103*(1-CHOOSE(MATCH(IF($E103="","Основний",$E103),{"Трафіковий","Основний","Маржинальний","Сезонний","Стратегічний"},0),Settings!$B$78,Settings!$B$80,Settings!$B$82,Settings!$B$84,Settings!$B$86))/6,2)*6,"")</f>
        <v/>
      </c>
      <c r="G103" s="142">
        <f>IFERROR(CHOOSE(MATCH(IF($E103="","Основний",$E103),{"Трафіковий","Основний","Маржинальний","Сезонний","Стратегічний"},0),Settings!$B$78,Settings!$B$80,Settings!$B$82,Settings!$B$84,Settings!$B$86),"")</f>
        <v/>
      </c>
      <c r="H103" s="148">
        <f>IFERROR((F103*(1-Settings!$B$17)-C103)/(F103*(1-Settings!$B$17)),"")</f>
        <v/>
      </c>
      <c r="I103" s="149">
        <f>IFERROR(IF(F103="","",IF(F103&gt;=C103/(1-SKU_Base!Z103)/(1-Settings!$B$17),"OK",IF(F103&gt;=C103/(1-SKU_Base!AG103)/(1-Settings!$B$17),"WARN","STOP"))),"")</f>
        <v/>
      </c>
      <c r="J103" s="160">
        <f>IFERROR(ROUND(D103*(1-CHOOSE(MATCH(IF($E103="","Основний",$E103),{"Трафіковий","Основний","Маржинальний","Сезонний","Стратегічний"},0),Settings!$C$78,Settings!$C$80,Settings!$C$82,Settings!$C$84,Settings!$C$86))/6,2)*6,"")</f>
        <v/>
      </c>
      <c r="K103" s="142">
        <f>IFERROR(CHOOSE(MATCH(IF($E103="","Основний",$E103),{"Трафіковий","Основний","Маржинальний","Сезонний","Стратегічний"},0),Settings!$C$78,Settings!$C$80,Settings!$C$82,Settings!$C$84,Settings!$C$86),"")</f>
        <v/>
      </c>
      <c r="L103" s="148">
        <f>IFERROR((J103*(1-Settings!$C$17)-C103)/(J103*(1-Settings!$C$17)),"")</f>
        <v/>
      </c>
      <c r="M103" s="149">
        <f>IFERROR(IF(J103="","",IF(J103&gt;=C103/(1-SKU_Base!AA103)/(1-Settings!$C$17),"OK",IF(J103&gt;=C103/(1-SKU_Base!AH103)/(1-Settings!$C$17),"WARN","STOP"))),"")</f>
        <v/>
      </c>
      <c r="N103" s="161">
        <f>IFERROR(ROUND(D103*(1-CHOOSE(MATCH(IF($E103="","Основний",$E103),{"Трафіковий","Основний","Маржинальний","Сезонний","Стратегічний"},0),Settings!$D$78,Settings!$D$80,Settings!$D$82,Settings!$D$84,Settings!$D$86))/6,2)*6,"")</f>
        <v/>
      </c>
      <c r="O103" s="142">
        <f>IFERROR(CHOOSE(MATCH(IF($E103="","Основний",$E103),{"Трафіковий","Основний","Маржинальний","Сезонний","Стратегічний"},0),Settings!$D$78,Settings!$D$80,Settings!$D$82,Settings!$D$84,Settings!$D$86),"")</f>
        <v/>
      </c>
      <c r="P103" s="148">
        <f>IFERROR((N103*(1-Settings!$D$17)-C103)/(N103*(1-Settings!$D$17)),"")</f>
        <v/>
      </c>
      <c r="Q103" s="149">
        <f>IFERROR(IF(N103="","",IF(N103&gt;=C103/(1-SKU_Base!AB103)/(1-Settings!$D$17),"OK",IF(N103&gt;=C103/(1-SKU_Base!AI103)/(1-Settings!$D$17),"WARN","STOP"))),"")</f>
        <v/>
      </c>
      <c r="R103" s="161">
        <f>IFERROR(ROUND(D103*(1-CHOOSE(MATCH(IF($E103="","Основний",$E103),{"Трафіковий","Основний","Маржинальний","Сезонний","Стратегічний"},0),Settings!$E$78,Settings!$E$80,Settings!$E$82,Settings!$E$84,Settings!$E$86))/6,2)*6,"")</f>
        <v/>
      </c>
      <c r="S103" s="142">
        <f>IFERROR(CHOOSE(MATCH(IF($E103="","Основний",$E103),{"Трафіковий","Основний","Маржинальний","Сезонний","Стратегічний"},0),Settings!$E$78,Settings!$E$80,Settings!$E$82,Settings!$E$84,Settings!$E$86),"")</f>
        <v/>
      </c>
      <c r="T103" s="148">
        <f>IFERROR((R103*(1-Settings!$E$17)-C103)/(R103*(1-Settings!$E$17)),"")</f>
        <v/>
      </c>
      <c r="U103" s="149">
        <f>IFERROR(IF(R103="","",IF(R103&gt;=C103/(1-SKU_Base!AC103)/(1-Settings!$E$17),"OK",IF(R103&gt;=C103/(1-SKU_Base!AJ103)/(1-Settings!$E$17),"WARN","STOP"))),"")</f>
        <v/>
      </c>
      <c r="V103" s="161">
        <f>IFERROR(ROUND(D103*(1-CHOOSE(MATCH(IF($E103="","Основний",$E103),{"Трафіковий","Основний","Маржинальний","Сезонний","Стратегічний"},0),Settings!$F$78,Settings!$F$80,Settings!$F$82,Settings!$F$84,Settings!$F$86))/6,2)*6,"")</f>
        <v/>
      </c>
      <c r="W103" s="142">
        <f>IFERROR(CHOOSE(MATCH(IF($E103="","Основний",$E103),{"Трафіковий","Основний","Маржинальний","Сезонний","Стратегічний"},0),Settings!$F$78,Settings!$F$80,Settings!$F$82,Settings!$F$84,Settings!$F$86),"")</f>
        <v/>
      </c>
      <c r="X103" s="148">
        <f>IFERROR((V103*(1-Settings!$F$17)-C103)/(V103*(1-Settings!$F$17)),"")</f>
        <v/>
      </c>
      <c r="Y103" s="149">
        <f>IFERROR(IF(V103="","",IF(V103&gt;=C103/(1-SKU_Base!AD103)/(1-Settings!$F$17),"OK",IF(V103&gt;=C103/(1-SKU_Base!AK103)/(1-Settings!$F$17),"WARN","STOP"))),"")</f>
        <v/>
      </c>
      <c r="Z103" s="161">
        <f>IFERROR(ROUND(D103*(1-CHOOSE(MATCH(IF($E103="","Основний",$E103),{"Трафіковий","Основний","Маржинальний","Сезонний","Стратегічний"},0),Settings!$G$78,Settings!$G$80,Settings!$G$82,Settings!$G$84,Settings!$G$86))/6,2)*6,"")</f>
        <v/>
      </c>
      <c r="AA103" s="142">
        <f>IFERROR(CHOOSE(MATCH(IF($E103="","Основний",$E103),{"Трафіковий","Основний","Маржинальний","Сезонний","Стратегічний"},0),Settings!$G$78,Settings!$G$80,Settings!$G$82,Settings!$G$84,Settings!$G$86),"")</f>
        <v/>
      </c>
      <c r="AB103" s="148">
        <f>IFERROR((Z103*(1-Settings!$G$17)-C103)/(Z103*(1-Settings!$G$17)),"")</f>
        <v/>
      </c>
      <c r="AC103" s="149">
        <f>IFERROR(IF(Z103="","",IF(Z103&gt;=C103/(1-SKU_Base!AE103)/(1-Settings!$G$17),"OK",IF(Z103&gt;=C103/(1-SKU_Base!AL103)/(1-Settings!$G$17),"WARN","STOP"))),"")</f>
        <v/>
      </c>
      <c r="AD103" s="161">
        <f>IFERROR(ROUND(D103*(1-CHOOSE(MATCH(IF($E103="","Основний",$E103),{"Трафіковий","Основний","Маржинальний","Сезонний","Стратегічний"},0),Settings!$H$78,Settings!$H$80,Settings!$H$82,Settings!$H$84,Settings!$H$86))*(1-Settings!$H$68)/6,2)*6,"")</f>
        <v/>
      </c>
      <c r="AE103" s="142">
        <f>IFERROR(CHOOSE(MATCH(IF($E103="","Основний",$E103),{"Трафіковий","Основний","Маржинальний","Сезонний","Стратегічний"},0),Settings!$H$78,Settings!$H$80,Settings!$H$82,Settings!$H$84,Settings!$H$86)+(1-(CHOOSE(MATCH(IF($E103="","Основний",$E103),{"Трафіковий","Основний","Маржинальний","Сезонний","Стратегічний"},0),Settings!$H$78,Settings!$H$80,Settings!$H$82,Settings!$H$84,Settings!$H$86)))*Settings!$H$68,"")</f>
        <v/>
      </c>
      <c r="AF103" s="148">
        <f>IFERROR((AD103*(1-Settings!$H$17)-C103)/(AD103*(1-Settings!$H$17)),"")</f>
        <v/>
      </c>
      <c r="AG103" s="150">
        <f>IFERROR(IF(AD103="","",IF(AD103&gt;=C103/(1-SKU_Base!AF103)/(1-Settings!$H$17),"OK",IF(AD103&gt;=C103/(1-SKU_Base!AM103)/(1-Settings!$H$17),"WARN","STOP"))),"")</f>
        <v/>
      </c>
    </row>
    <row r="104" ht="17" customHeight="1" s="179">
      <c r="A104" s="139">
        <f>SKU_Base!B104</f>
        <v/>
      </c>
      <c r="B104" s="139">
        <f>SKU_Base!C104</f>
        <v/>
      </c>
      <c r="C104" s="140">
        <f>IFERROR(SKU_Base!I104,"")</f>
        <v/>
      </c>
      <c r="D104" s="163">
        <f>IFERROR(SKU_Base!T104,"")</f>
        <v/>
      </c>
      <c r="E104" s="141">
        <f>IFERROR(SKU_Base!$U104,"")</f>
        <v/>
      </c>
      <c r="F104" s="158">
        <f>IFERROR(ROUND(D104*(1-CHOOSE(MATCH(IF($E104="","Основний",$E104),{"Трафіковий","Основний","Маржинальний","Сезонний","Стратегічний"},0),Settings!$B$78,Settings!$B$80,Settings!$B$82,Settings!$B$84,Settings!$B$86))/6,2)*6,"")</f>
        <v/>
      </c>
      <c r="G104" s="142">
        <f>IFERROR(CHOOSE(MATCH(IF($E104="","Основний",$E104),{"Трафіковий","Основний","Маржинальний","Сезонний","Стратегічний"},0),Settings!$B$78,Settings!$B$80,Settings!$B$82,Settings!$B$84,Settings!$B$86),"")</f>
        <v/>
      </c>
      <c r="H104" s="143">
        <f>IFERROR((F104*(1-Settings!$B$17)-C104)/(F104*(1-Settings!$B$17)),"")</f>
        <v/>
      </c>
      <c r="I104" s="150">
        <f>IFERROR(IF(F104="","",IF(F104&gt;=C104/(1-SKU_Base!Z104)/(1-Settings!$B$17),"OK",IF(F104&gt;=C104/(1-SKU_Base!AG104)/(1-Settings!$B$17),"WARN","STOP"))),"")</f>
        <v/>
      </c>
      <c r="J104" s="158">
        <f>IFERROR(ROUND(D104*(1-CHOOSE(MATCH(IF($E104="","Основний",$E104),{"Трафіковий","Основний","Маржинальний","Сезонний","Стратегічний"},0),Settings!$C$78,Settings!$C$80,Settings!$C$82,Settings!$C$84,Settings!$C$86))/6,2)*6,"")</f>
        <v/>
      </c>
      <c r="K104" s="142">
        <f>IFERROR(CHOOSE(MATCH(IF($E104="","Основний",$E104),{"Трафіковий","Основний","Маржинальний","Сезонний","Стратегічний"},0),Settings!$C$78,Settings!$C$80,Settings!$C$82,Settings!$C$84,Settings!$C$86),"")</f>
        <v/>
      </c>
      <c r="L104" s="143">
        <f>IFERROR((J104*(1-Settings!$C$17)-C104)/(J104*(1-Settings!$C$17)),"")</f>
        <v/>
      </c>
      <c r="M104" s="149">
        <f>IFERROR(IF(J104="","",IF(J104&gt;=C104/(1-SKU_Base!AA104)/(1-Settings!$C$17),"OK",IF(J104&gt;=C104/(1-SKU_Base!AH104)/(1-Settings!$C$17),"WARN","STOP"))),"")</f>
        <v/>
      </c>
      <c r="N104" s="159">
        <f>IFERROR(ROUND(D104*(1-CHOOSE(MATCH(IF($E104="","Основний",$E104),{"Трафіковий","Основний","Маржинальний","Сезонний","Стратегічний"},0),Settings!$D$78,Settings!$D$80,Settings!$D$82,Settings!$D$84,Settings!$D$86))/6,2)*6,"")</f>
        <v/>
      </c>
      <c r="O104" s="142">
        <f>IFERROR(CHOOSE(MATCH(IF($E104="","Основний",$E104),{"Трафіковий","Основний","Маржинальний","Сезонний","Стратегічний"},0),Settings!$D$78,Settings!$D$80,Settings!$D$82,Settings!$D$84,Settings!$D$86),"")</f>
        <v/>
      </c>
      <c r="P104" s="143">
        <f>IFERROR((N104*(1-Settings!$D$17)-C104)/(N104*(1-Settings!$D$17)),"")</f>
        <v/>
      </c>
      <c r="Q104" s="149">
        <f>IFERROR(IF(N104="","",IF(N104&gt;=C104/(1-SKU_Base!AB104)/(1-Settings!$D$17),"OK",IF(N104&gt;=C104/(1-SKU_Base!AI104)/(1-Settings!$D$17),"WARN","STOP"))),"")</f>
        <v/>
      </c>
      <c r="R104" s="159">
        <f>IFERROR(ROUND(D104*(1-CHOOSE(MATCH(IF($E104="","Основний",$E104),{"Трафіковий","Основний","Маржинальний","Сезонний","Стратегічний"},0),Settings!$E$78,Settings!$E$80,Settings!$E$82,Settings!$E$84,Settings!$E$86))/6,2)*6,"")</f>
        <v/>
      </c>
      <c r="S104" s="142">
        <f>IFERROR(CHOOSE(MATCH(IF($E104="","Основний",$E104),{"Трафіковий","Основний","Маржинальний","Сезонний","Стратегічний"},0),Settings!$E$78,Settings!$E$80,Settings!$E$82,Settings!$E$84,Settings!$E$86),"")</f>
        <v/>
      </c>
      <c r="T104" s="143">
        <f>IFERROR((R104*(1-Settings!$E$17)-C104)/(R104*(1-Settings!$E$17)),"")</f>
        <v/>
      </c>
      <c r="U104" s="149">
        <f>IFERROR(IF(R104="","",IF(R104&gt;=C104/(1-SKU_Base!AC104)/(1-Settings!$E$17),"OK",IF(R104&gt;=C104/(1-SKU_Base!AJ104)/(1-Settings!$E$17),"WARN","STOP"))),"")</f>
        <v/>
      </c>
      <c r="V104" s="159">
        <f>IFERROR(ROUND(D104*(1-CHOOSE(MATCH(IF($E104="","Основний",$E104),{"Трафіковий","Основний","Маржинальний","Сезонний","Стратегічний"},0),Settings!$F$78,Settings!$F$80,Settings!$F$82,Settings!$F$84,Settings!$F$86))/6,2)*6,"")</f>
        <v/>
      </c>
      <c r="W104" s="142">
        <f>IFERROR(CHOOSE(MATCH(IF($E104="","Основний",$E104),{"Трафіковий","Основний","Маржинальний","Сезонний","Стратегічний"},0),Settings!$F$78,Settings!$F$80,Settings!$F$82,Settings!$F$84,Settings!$F$86),"")</f>
        <v/>
      </c>
      <c r="X104" s="143">
        <f>IFERROR((V104*(1-Settings!$F$17)-C104)/(V104*(1-Settings!$F$17)),"")</f>
        <v/>
      </c>
      <c r="Y104" s="149">
        <f>IFERROR(IF(V104="","",IF(V104&gt;=C104/(1-SKU_Base!AD104)/(1-Settings!$F$17),"OK",IF(V104&gt;=C104/(1-SKU_Base!AK104)/(1-Settings!$F$17),"WARN","STOP"))),"")</f>
        <v/>
      </c>
      <c r="Z104" s="159">
        <f>IFERROR(ROUND(D104*(1-CHOOSE(MATCH(IF($E104="","Основний",$E104),{"Трафіковий","Основний","Маржинальний","Сезонний","Стратегічний"},0),Settings!$G$78,Settings!$G$80,Settings!$G$82,Settings!$G$84,Settings!$G$86))/6,2)*6,"")</f>
        <v/>
      </c>
      <c r="AA104" s="142">
        <f>IFERROR(CHOOSE(MATCH(IF($E104="","Основний",$E104),{"Трафіковий","Основний","Маржинальний","Сезонний","Стратегічний"},0),Settings!$G$78,Settings!$G$80,Settings!$G$82,Settings!$G$84,Settings!$G$86),"")</f>
        <v/>
      </c>
      <c r="AB104" s="143">
        <f>IFERROR((Z104*(1-Settings!$G$17)-C104)/(Z104*(1-Settings!$G$17)),"")</f>
        <v/>
      </c>
      <c r="AC104" s="149">
        <f>IFERROR(IF(Z104="","",IF(Z104&gt;=C104/(1-SKU_Base!AE104)/(1-Settings!$G$17),"OK",IF(Z104&gt;=C104/(1-SKU_Base!AL104)/(1-Settings!$G$17),"WARN","STOP"))),"")</f>
        <v/>
      </c>
      <c r="AD104" s="159">
        <f>IFERROR(ROUND(D104*(1-CHOOSE(MATCH(IF($E104="","Основний",$E104),{"Трафіковий","Основний","Маржинальний","Сезонний","Стратегічний"},0),Settings!$H$78,Settings!$H$80,Settings!$H$82,Settings!$H$84,Settings!$H$86))*(1-Settings!$H$68)/6,2)*6,"")</f>
        <v/>
      </c>
      <c r="AE104" s="142">
        <f>IFERROR(CHOOSE(MATCH(IF($E104="","Основний",$E104),{"Трафіковий","Основний","Маржинальний","Сезонний","Стратегічний"},0),Settings!$H$78,Settings!$H$80,Settings!$H$82,Settings!$H$84,Settings!$H$86)+(1-(CHOOSE(MATCH(IF($E104="","Основний",$E104),{"Трафіковий","Основний","Маржинальний","Сезонний","Стратегічний"},0),Settings!$H$78,Settings!$H$80,Settings!$H$82,Settings!$H$84,Settings!$H$86)))*Settings!$H$68,"")</f>
        <v/>
      </c>
      <c r="AF104" s="143">
        <f>IFERROR((AD104*(1-Settings!$H$17)-C104)/(AD104*(1-Settings!$H$17)),"")</f>
        <v/>
      </c>
      <c r="AG104" s="150">
        <f>IFERROR(IF(AD104="","",IF(AD104&gt;=C104/(1-SKU_Base!AF104)/(1-Settings!$H$17),"OK",IF(AD104&gt;=C104/(1-SKU_Base!AM104)/(1-Settings!$H$17),"WARN","STOP"))),"")</f>
        <v/>
      </c>
    </row>
    <row r="105" ht="17" customHeight="1" s="179">
      <c r="A105" s="146">
        <f>SKU_Base!B105</f>
        <v/>
      </c>
      <c r="B105" s="146">
        <f>SKU_Base!C105</f>
        <v/>
      </c>
      <c r="C105" s="147">
        <f>IFERROR(SKU_Base!I105,"")</f>
        <v/>
      </c>
      <c r="D105" s="164">
        <f>IFERROR(SKU_Base!T105,"")</f>
        <v/>
      </c>
      <c r="E105" s="141">
        <f>IFERROR(SKU_Base!$U105,"")</f>
        <v/>
      </c>
      <c r="F105" s="160">
        <f>IFERROR(ROUND(D105*(1-CHOOSE(MATCH(IF($E105="","Основний",$E105),{"Трафіковий","Основний","Маржинальний","Сезонний","Стратегічний"},0),Settings!$B$78,Settings!$B$80,Settings!$B$82,Settings!$B$84,Settings!$B$86))/6,2)*6,"")</f>
        <v/>
      </c>
      <c r="G105" s="142">
        <f>IFERROR(CHOOSE(MATCH(IF($E105="","Основний",$E105),{"Трафіковий","Основний","Маржинальний","Сезонний","Стратегічний"},0),Settings!$B$78,Settings!$B$80,Settings!$B$82,Settings!$B$84,Settings!$B$86),"")</f>
        <v/>
      </c>
      <c r="H105" s="148">
        <f>IFERROR((F105*(1-Settings!$B$17)-C105)/(F105*(1-Settings!$B$17)),"")</f>
        <v/>
      </c>
      <c r="I105" s="149">
        <f>IFERROR(IF(F105="","",IF(F105&gt;=C105/(1-SKU_Base!Z105)/(1-Settings!$B$17),"OK",IF(F105&gt;=C105/(1-SKU_Base!AG105)/(1-Settings!$B$17),"WARN","STOP"))),"")</f>
        <v/>
      </c>
      <c r="J105" s="160">
        <f>IFERROR(ROUND(D105*(1-CHOOSE(MATCH(IF($E105="","Основний",$E105),{"Трафіковий","Основний","Маржинальний","Сезонний","Стратегічний"},0),Settings!$C$78,Settings!$C$80,Settings!$C$82,Settings!$C$84,Settings!$C$86))/6,2)*6,"")</f>
        <v/>
      </c>
      <c r="K105" s="142">
        <f>IFERROR(CHOOSE(MATCH(IF($E105="","Основний",$E105),{"Трафіковий","Основний","Маржинальний","Сезонний","Стратегічний"},0),Settings!$C$78,Settings!$C$80,Settings!$C$82,Settings!$C$84,Settings!$C$86),"")</f>
        <v/>
      </c>
      <c r="L105" s="148">
        <f>IFERROR((J105*(1-Settings!$C$17)-C105)/(J105*(1-Settings!$C$17)),"")</f>
        <v/>
      </c>
      <c r="M105" s="149">
        <f>IFERROR(IF(J105="","",IF(J105&gt;=C105/(1-SKU_Base!AA105)/(1-Settings!$C$17),"OK",IF(J105&gt;=C105/(1-SKU_Base!AH105)/(1-Settings!$C$17),"WARN","STOP"))),"")</f>
        <v/>
      </c>
      <c r="N105" s="161">
        <f>IFERROR(ROUND(D105*(1-CHOOSE(MATCH(IF($E105="","Основний",$E105),{"Трафіковий","Основний","Маржинальний","Сезонний","Стратегічний"},0),Settings!$D$78,Settings!$D$80,Settings!$D$82,Settings!$D$84,Settings!$D$86))/6,2)*6,"")</f>
        <v/>
      </c>
      <c r="O105" s="142">
        <f>IFERROR(CHOOSE(MATCH(IF($E105="","Основний",$E105),{"Трафіковий","Основний","Маржинальний","Сезонний","Стратегічний"},0),Settings!$D$78,Settings!$D$80,Settings!$D$82,Settings!$D$84,Settings!$D$86),"")</f>
        <v/>
      </c>
      <c r="P105" s="148">
        <f>IFERROR((N105*(1-Settings!$D$17)-C105)/(N105*(1-Settings!$D$17)),"")</f>
        <v/>
      </c>
      <c r="Q105" s="149">
        <f>IFERROR(IF(N105="","",IF(N105&gt;=C105/(1-SKU_Base!AB105)/(1-Settings!$D$17),"OK",IF(N105&gt;=C105/(1-SKU_Base!AI105)/(1-Settings!$D$17),"WARN","STOP"))),"")</f>
        <v/>
      </c>
      <c r="R105" s="161">
        <f>IFERROR(ROUND(D105*(1-CHOOSE(MATCH(IF($E105="","Основний",$E105),{"Трафіковий","Основний","Маржинальний","Сезонний","Стратегічний"},0),Settings!$E$78,Settings!$E$80,Settings!$E$82,Settings!$E$84,Settings!$E$86))/6,2)*6,"")</f>
        <v/>
      </c>
      <c r="S105" s="142">
        <f>IFERROR(CHOOSE(MATCH(IF($E105="","Основний",$E105),{"Трафіковий","Основний","Маржинальний","Сезонний","Стратегічний"},0),Settings!$E$78,Settings!$E$80,Settings!$E$82,Settings!$E$84,Settings!$E$86),"")</f>
        <v/>
      </c>
      <c r="T105" s="148">
        <f>IFERROR((R105*(1-Settings!$E$17)-C105)/(R105*(1-Settings!$E$17)),"")</f>
        <v/>
      </c>
      <c r="U105" s="149">
        <f>IFERROR(IF(R105="","",IF(R105&gt;=C105/(1-SKU_Base!AC105)/(1-Settings!$E$17),"OK",IF(R105&gt;=C105/(1-SKU_Base!AJ105)/(1-Settings!$E$17),"WARN","STOP"))),"")</f>
        <v/>
      </c>
      <c r="V105" s="161">
        <f>IFERROR(ROUND(D105*(1-CHOOSE(MATCH(IF($E105="","Основний",$E105),{"Трафіковий","Основний","Маржинальний","Сезонний","Стратегічний"},0),Settings!$F$78,Settings!$F$80,Settings!$F$82,Settings!$F$84,Settings!$F$86))/6,2)*6,"")</f>
        <v/>
      </c>
      <c r="W105" s="142">
        <f>IFERROR(CHOOSE(MATCH(IF($E105="","Основний",$E105),{"Трафіковий","Основний","Маржинальний","Сезонний","Стратегічний"},0),Settings!$F$78,Settings!$F$80,Settings!$F$82,Settings!$F$84,Settings!$F$86),"")</f>
        <v/>
      </c>
      <c r="X105" s="148">
        <f>IFERROR((V105*(1-Settings!$F$17)-C105)/(V105*(1-Settings!$F$17)),"")</f>
        <v/>
      </c>
      <c r="Y105" s="149">
        <f>IFERROR(IF(V105="","",IF(V105&gt;=C105/(1-SKU_Base!AD105)/(1-Settings!$F$17),"OK",IF(V105&gt;=C105/(1-SKU_Base!AK105)/(1-Settings!$F$17),"WARN","STOP"))),"")</f>
        <v/>
      </c>
      <c r="Z105" s="161">
        <f>IFERROR(ROUND(D105*(1-CHOOSE(MATCH(IF($E105="","Основний",$E105),{"Трафіковий","Основний","Маржинальний","Сезонний","Стратегічний"},0),Settings!$G$78,Settings!$G$80,Settings!$G$82,Settings!$G$84,Settings!$G$86))/6,2)*6,"")</f>
        <v/>
      </c>
      <c r="AA105" s="142">
        <f>IFERROR(CHOOSE(MATCH(IF($E105="","Основний",$E105),{"Трафіковий","Основний","Маржинальний","Сезонний","Стратегічний"},0),Settings!$G$78,Settings!$G$80,Settings!$G$82,Settings!$G$84,Settings!$G$86),"")</f>
        <v/>
      </c>
      <c r="AB105" s="148">
        <f>IFERROR((Z105*(1-Settings!$G$17)-C105)/(Z105*(1-Settings!$G$17)),"")</f>
        <v/>
      </c>
      <c r="AC105" s="149">
        <f>IFERROR(IF(Z105="","",IF(Z105&gt;=C105/(1-SKU_Base!AE105)/(1-Settings!$G$17),"OK",IF(Z105&gt;=C105/(1-SKU_Base!AL105)/(1-Settings!$G$17),"WARN","STOP"))),"")</f>
        <v/>
      </c>
      <c r="AD105" s="161">
        <f>IFERROR(ROUND(D105*(1-CHOOSE(MATCH(IF($E105="","Основний",$E105),{"Трафіковий","Основний","Маржинальний","Сезонний","Стратегічний"},0),Settings!$H$78,Settings!$H$80,Settings!$H$82,Settings!$H$84,Settings!$H$86))*(1-Settings!$H$68)/6,2)*6,"")</f>
        <v/>
      </c>
      <c r="AE105" s="142">
        <f>IFERROR(CHOOSE(MATCH(IF($E105="","Основний",$E105),{"Трафіковий","Основний","Маржинальний","Сезонний","Стратегічний"},0),Settings!$H$78,Settings!$H$80,Settings!$H$82,Settings!$H$84,Settings!$H$86)+(1-(CHOOSE(MATCH(IF($E105="","Основний",$E105),{"Трафіковий","Основний","Маржинальний","Сезонний","Стратегічний"},0),Settings!$H$78,Settings!$H$80,Settings!$H$82,Settings!$H$84,Settings!$H$86)))*Settings!$H$68,"")</f>
        <v/>
      </c>
      <c r="AF105" s="148">
        <f>IFERROR((AD105*(1-Settings!$H$17)-C105)/(AD105*(1-Settings!$H$17)),"")</f>
        <v/>
      </c>
      <c r="AG105" s="150">
        <f>IFERROR(IF(AD105="","",IF(AD105&gt;=C105/(1-SKU_Base!AF105)/(1-Settings!$H$17),"OK",IF(AD105&gt;=C105/(1-SKU_Base!AM105)/(1-Settings!$H$17),"WARN","STOP"))),"")</f>
        <v/>
      </c>
    </row>
    <row r="106" ht="17" customHeight="1" s="179">
      <c r="A106" s="139">
        <f>SKU_Base!B106</f>
        <v/>
      </c>
      <c r="B106" s="139">
        <f>SKU_Base!C106</f>
        <v/>
      </c>
      <c r="C106" s="140">
        <f>IFERROR(SKU_Base!I106,"")</f>
        <v/>
      </c>
      <c r="D106" s="163">
        <f>IFERROR(SKU_Base!T106,"")</f>
        <v/>
      </c>
      <c r="E106" s="141">
        <f>IFERROR(SKU_Base!$U106,"")</f>
        <v/>
      </c>
      <c r="F106" s="158">
        <f>IFERROR(ROUND(D106*(1-CHOOSE(MATCH(IF($E106="","Основний",$E106),{"Трафіковий","Основний","Маржинальний","Сезонний","Стратегічний"},0),Settings!$B$78,Settings!$B$80,Settings!$B$82,Settings!$B$84,Settings!$B$86))/6,2)*6,"")</f>
        <v/>
      </c>
      <c r="G106" s="142">
        <f>IFERROR(CHOOSE(MATCH(IF($E106="","Основний",$E106),{"Трафіковий","Основний","Маржинальний","Сезонний","Стратегічний"},0),Settings!$B$78,Settings!$B$80,Settings!$B$82,Settings!$B$84,Settings!$B$86),"")</f>
        <v/>
      </c>
      <c r="H106" s="143">
        <f>IFERROR((F106*(1-Settings!$B$17)-C106)/(F106*(1-Settings!$B$17)),"")</f>
        <v/>
      </c>
      <c r="I106" s="144">
        <f>IFERROR(IF(F106="","",IF(F106&gt;=C106/(1-SKU_Base!Z106)/(1-Settings!$B$17),"OK",IF(F106&gt;=C106/(1-SKU_Base!AG106)/(1-Settings!$B$17),"WARN","STOP"))),"")</f>
        <v/>
      </c>
      <c r="J106" s="158">
        <f>IFERROR(ROUND(D106*(1-CHOOSE(MATCH(IF($E106="","Основний",$E106),{"Трафіковий","Основний","Маржинальний","Сезонний","Стратегічний"},0),Settings!$C$78,Settings!$C$80,Settings!$C$82,Settings!$C$84,Settings!$C$86))/6,2)*6,"")</f>
        <v/>
      </c>
      <c r="K106" s="142">
        <f>IFERROR(CHOOSE(MATCH(IF($E106="","Основний",$E106),{"Трафіковий","Основний","Маржинальний","Сезонний","Стратегічний"},0),Settings!$C$78,Settings!$C$80,Settings!$C$82,Settings!$C$84,Settings!$C$86),"")</f>
        <v/>
      </c>
      <c r="L106" s="143">
        <f>IFERROR((J106*(1-Settings!$C$17)-C106)/(J106*(1-Settings!$C$17)),"")</f>
        <v/>
      </c>
      <c r="M106" s="144">
        <f>IFERROR(IF(J106="","",IF(J106&gt;=C106/(1-SKU_Base!AA106)/(1-Settings!$C$17),"OK",IF(J106&gt;=C106/(1-SKU_Base!AH106)/(1-Settings!$C$17),"WARN","STOP"))),"")</f>
        <v/>
      </c>
      <c r="N106" s="159">
        <f>IFERROR(ROUND(D106*(1-CHOOSE(MATCH(IF($E106="","Основний",$E106),{"Трафіковий","Основний","Маржинальний","Сезонний","Стратегічний"},0),Settings!$D$78,Settings!$D$80,Settings!$D$82,Settings!$D$84,Settings!$D$86))/6,2)*6,"")</f>
        <v/>
      </c>
      <c r="O106" s="142">
        <f>IFERROR(CHOOSE(MATCH(IF($E106="","Основний",$E106),{"Трафіковий","Основний","Маржинальний","Сезонний","Стратегічний"},0),Settings!$D$78,Settings!$D$80,Settings!$D$82,Settings!$D$84,Settings!$D$86),"")</f>
        <v/>
      </c>
      <c r="P106" s="143">
        <f>IFERROR((N106*(1-Settings!$D$17)-C106)/(N106*(1-Settings!$D$17)),"")</f>
        <v/>
      </c>
      <c r="Q106" s="144">
        <f>IFERROR(IF(N106="","",IF(N106&gt;=C106/(1-SKU_Base!AB106)/(1-Settings!$D$17),"OK",IF(N106&gt;=C106/(1-SKU_Base!AI106)/(1-Settings!$D$17),"WARN","STOP"))),"")</f>
        <v/>
      </c>
      <c r="R106" s="159">
        <f>IFERROR(ROUND(D106*(1-CHOOSE(MATCH(IF($E106="","Основний",$E106),{"Трафіковий","Основний","Маржинальний","Сезонний","Стратегічний"},0),Settings!$E$78,Settings!$E$80,Settings!$E$82,Settings!$E$84,Settings!$E$86))/6,2)*6,"")</f>
        <v/>
      </c>
      <c r="S106" s="142">
        <f>IFERROR(CHOOSE(MATCH(IF($E106="","Основний",$E106),{"Трафіковий","Основний","Маржинальний","Сезонний","Стратегічний"},0),Settings!$E$78,Settings!$E$80,Settings!$E$82,Settings!$E$84,Settings!$E$86),"")</f>
        <v/>
      </c>
      <c r="T106" s="143">
        <f>IFERROR((R106*(1-Settings!$E$17)-C106)/(R106*(1-Settings!$E$17)),"")</f>
        <v/>
      </c>
      <c r="U106" s="144">
        <f>IFERROR(IF(R106="","",IF(R106&gt;=C106/(1-SKU_Base!AC106)/(1-Settings!$E$17),"OK",IF(R106&gt;=C106/(1-SKU_Base!AJ106)/(1-Settings!$E$17),"WARN","STOP"))),"")</f>
        <v/>
      </c>
      <c r="V106" s="159">
        <f>IFERROR(ROUND(D106*(1-CHOOSE(MATCH(IF($E106="","Основний",$E106),{"Трафіковий","Основний","Маржинальний","Сезонний","Стратегічний"},0),Settings!$F$78,Settings!$F$80,Settings!$F$82,Settings!$F$84,Settings!$F$86))/6,2)*6,"")</f>
        <v/>
      </c>
      <c r="W106" s="142">
        <f>IFERROR(CHOOSE(MATCH(IF($E106="","Основний",$E106),{"Трафіковий","Основний","Маржинальний","Сезонний","Стратегічний"},0),Settings!$F$78,Settings!$F$80,Settings!$F$82,Settings!$F$84,Settings!$F$86),"")</f>
        <v/>
      </c>
      <c r="X106" s="143">
        <f>IFERROR((V106*(1-Settings!$F$17)-C106)/(V106*(1-Settings!$F$17)),"")</f>
        <v/>
      </c>
      <c r="Y106" s="144">
        <f>IFERROR(IF(V106="","",IF(V106&gt;=C106/(1-SKU_Base!AD106)/(1-Settings!$F$17),"OK",IF(V106&gt;=C106/(1-SKU_Base!AK106)/(1-Settings!$F$17),"WARN","STOP"))),"")</f>
        <v/>
      </c>
      <c r="Z106" s="159">
        <f>IFERROR(ROUND(D106*(1-CHOOSE(MATCH(IF($E106="","Основний",$E106),{"Трафіковий","Основний","Маржинальний","Сезонний","Стратегічний"},0),Settings!$G$78,Settings!$G$80,Settings!$G$82,Settings!$G$84,Settings!$G$86))/6,2)*6,"")</f>
        <v/>
      </c>
      <c r="AA106" s="142">
        <f>IFERROR(CHOOSE(MATCH(IF($E106="","Основний",$E106),{"Трафіковий","Основний","Маржинальний","Сезонний","Стратегічний"},0),Settings!$G$78,Settings!$G$80,Settings!$G$82,Settings!$G$84,Settings!$G$86),"")</f>
        <v/>
      </c>
      <c r="AB106" s="143">
        <f>IFERROR((Z106*(1-Settings!$G$17)-C106)/(Z106*(1-Settings!$G$17)),"")</f>
        <v/>
      </c>
      <c r="AC106" s="144">
        <f>IFERROR(IF(Z106="","",IF(Z106&gt;=C106/(1-SKU_Base!AE106)/(1-Settings!$G$17),"OK",IF(Z106&gt;=C106/(1-SKU_Base!AL106)/(1-Settings!$G$17),"WARN","STOP"))),"")</f>
        <v/>
      </c>
      <c r="AD106" s="159">
        <f>IFERROR(ROUND(D106*(1-CHOOSE(MATCH(IF($E106="","Основний",$E106),{"Трафіковий","Основний","Маржинальний","Сезонний","Стратегічний"},0),Settings!$H$78,Settings!$H$80,Settings!$H$82,Settings!$H$84,Settings!$H$86))*(1-Settings!$H$68)/6,2)*6,"")</f>
        <v/>
      </c>
      <c r="AE106" s="142">
        <f>IFERROR(CHOOSE(MATCH(IF($E106="","Основний",$E106),{"Трафіковий","Основний","Маржинальний","Сезонний","Стратегічний"},0),Settings!$H$78,Settings!$H$80,Settings!$H$82,Settings!$H$84,Settings!$H$86)+(1-(CHOOSE(MATCH(IF($E106="","Основний",$E106),{"Трафіковий","Основний","Маржинальний","Сезонний","Стратегічний"},0),Settings!$H$78,Settings!$H$80,Settings!$H$82,Settings!$H$84,Settings!$H$86)))*Settings!$H$68,"")</f>
        <v/>
      </c>
      <c r="AF106" s="143">
        <f>IFERROR((AD106*(1-Settings!$H$17)-C106)/(AD106*(1-Settings!$H$17)),"")</f>
        <v/>
      </c>
      <c r="AG106" s="145">
        <f>IFERROR(IF(AD106="","",IF(AD106&gt;=C106/(1-SKU_Base!AF106)/(1-Settings!$H$17),"OK",IF(AD106&gt;=C106/(1-SKU_Base!AM106)/(1-Settings!$H$17),"WARN","STOP"))),"")</f>
        <v/>
      </c>
    </row>
    <row r="107" ht="17" customHeight="1" s="179">
      <c r="A107" s="146">
        <f>SKU_Base!B107</f>
        <v/>
      </c>
      <c r="B107" s="146">
        <f>SKU_Base!C107</f>
        <v/>
      </c>
      <c r="C107" s="147">
        <f>IFERROR(SKU_Base!I107,"")</f>
        <v/>
      </c>
      <c r="D107" s="164">
        <f>IFERROR(SKU_Base!T107,"")</f>
        <v/>
      </c>
      <c r="E107" s="141">
        <f>IFERROR(SKU_Base!$U107,"")</f>
        <v/>
      </c>
      <c r="F107" s="160">
        <f>IFERROR(ROUND(D107*(1-CHOOSE(MATCH(IF($E107="","Основний",$E107),{"Трафіковий","Основний","Маржинальний","Сезонний","Стратегічний"},0),Settings!$B$78,Settings!$B$80,Settings!$B$82,Settings!$B$84,Settings!$B$86))/6,2)*6,"")</f>
        <v/>
      </c>
      <c r="G107" s="142">
        <f>IFERROR(CHOOSE(MATCH(IF($E107="","Основний",$E107),{"Трафіковий","Основний","Маржинальний","Сезонний","Стратегічний"},0),Settings!$B$78,Settings!$B$80,Settings!$B$82,Settings!$B$84,Settings!$B$86),"")</f>
        <v/>
      </c>
      <c r="H107" s="148">
        <f>IFERROR((F107*(1-Settings!$B$17)-C107)/(F107*(1-Settings!$B$17)),"")</f>
        <v/>
      </c>
      <c r="I107" s="150">
        <f>IFERROR(IF(F107="","",IF(F107&gt;=C107/(1-SKU_Base!Z107)/(1-Settings!$B$17),"OK",IF(F107&gt;=C107/(1-SKU_Base!AG107)/(1-Settings!$B$17),"WARN","STOP"))),"")</f>
        <v/>
      </c>
      <c r="J107" s="160">
        <f>IFERROR(ROUND(D107*(1-CHOOSE(MATCH(IF($E107="","Основний",$E107),{"Трафіковий","Основний","Маржинальний","Сезонний","Стратегічний"},0),Settings!$C$78,Settings!$C$80,Settings!$C$82,Settings!$C$84,Settings!$C$86))/6,2)*6,"")</f>
        <v/>
      </c>
      <c r="K107" s="142">
        <f>IFERROR(CHOOSE(MATCH(IF($E107="","Основний",$E107),{"Трафіковий","Основний","Маржинальний","Сезонний","Стратегічний"},0),Settings!$C$78,Settings!$C$80,Settings!$C$82,Settings!$C$84,Settings!$C$86),"")</f>
        <v/>
      </c>
      <c r="L107" s="148">
        <f>IFERROR((J107*(1-Settings!$C$17)-C107)/(J107*(1-Settings!$C$17)),"")</f>
        <v/>
      </c>
      <c r="M107" s="149">
        <f>IFERROR(IF(J107="","",IF(J107&gt;=C107/(1-SKU_Base!AA107)/(1-Settings!$C$17),"OK",IF(J107&gt;=C107/(1-SKU_Base!AH107)/(1-Settings!$C$17),"WARN","STOP"))),"")</f>
        <v/>
      </c>
      <c r="N107" s="161">
        <f>IFERROR(ROUND(D107*(1-CHOOSE(MATCH(IF($E107="","Основний",$E107),{"Трафіковий","Основний","Маржинальний","Сезонний","Стратегічний"},0),Settings!$D$78,Settings!$D$80,Settings!$D$82,Settings!$D$84,Settings!$D$86))/6,2)*6,"")</f>
        <v/>
      </c>
      <c r="O107" s="142">
        <f>IFERROR(CHOOSE(MATCH(IF($E107="","Основний",$E107),{"Трафіковий","Основний","Маржинальний","Сезонний","Стратегічний"},0),Settings!$D$78,Settings!$D$80,Settings!$D$82,Settings!$D$84,Settings!$D$86),"")</f>
        <v/>
      </c>
      <c r="P107" s="148">
        <f>IFERROR((N107*(1-Settings!$D$17)-C107)/(N107*(1-Settings!$D$17)),"")</f>
        <v/>
      </c>
      <c r="Q107" s="149">
        <f>IFERROR(IF(N107="","",IF(N107&gt;=C107/(1-SKU_Base!AB107)/(1-Settings!$D$17),"OK",IF(N107&gt;=C107/(1-SKU_Base!AI107)/(1-Settings!$D$17),"WARN","STOP"))),"")</f>
        <v/>
      </c>
      <c r="R107" s="161">
        <f>IFERROR(ROUND(D107*(1-CHOOSE(MATCH(IF($E107="","Основний",$E107),{"Трафіковий","Основний","Маржинальний","Сезонний","Стратегічний"},0),Settings!$E$78,Settings!$E$80,Settings!$E$82,Settings!$E$84,Settings!$E$86))/6,2)*6,"")</f>
        <v/>
      </c>
      <c r="S107" s="142">
        <f>IFERROR(CHOOSE(MATCH(IF($E107="","Основний",$E107),{"Трафіковий","Основний","Маржинальний","Сезонний","Стратегічний"},0),Settings!$E$78,Settings!$E$80,Settings!$E$82,Settings!$E$84,Settings!$E$86),"")</f>
        <v/>
      </c>
      <c r="T107" s="148">
        <f>IFERROR((R107*(1-Settings!$E$17)-C107)/(R107*(1-Settings!$E$17)),"")</f>
        <v/>
      </c>
      <c r="U107" s="149">
        <f>IFERROR(IF(R107="","",IF(R107&gt;=C107/(1-SKU_Base!AC107)/(1-Settings!$E$17),"OK",IF(R107&gt;=C107/(1-SKU_Base!AJ107)/(1-Settings!$E$17),"WARN","STOP"))),"")</f>
        <v/>
      </c>
      <c r="V107" s="161">
        <f>IFERROR(ROUND(D107*(1-CHOOSE(MATCH(IF($E107="","Основний",$E107),{"Трафіковий","Основний","Маржинальний","Сезонний","Стратегічний"},0),Settings!$F$78,Settings!$F$80,Settings!$F$82,Settings!$F$84,Settings!$F$86))/6,2)*6,"")</f>
        <v/>
      </c>
      <c r="W107" s="142">
        <f>IFERROR(CHOOSE(MATCH(IF($E107="","Основний",$E107),{"Трафіковий","Основний","Маржинальний","Сезонний","Стратегічний"},0),Settings!$F$78,Settings!$F$80,Settings!$F$82,Settings!$F$84,Settings!$F$86),"")</f>
        <v/>
      </c>
      <c r="X107" s="148">
        <f>IFERROR((V107*(1-Settings!$F$17)-C107)/(V107*(1-Settings!$F$17)),"")</f>
        <v/>
      </c>
      <c r="Y107" s="149">
        <f>IFERROR(IF(V107="","",IF(V107&gt;=C107/(1-SKU_Base!AD107)/(1-Settings!$F$17),"OK",IF(V107&gt;=C107/(1-SKU_Base!AK107)/(1-Settings!$F$17),"WARN","STOP"))),"")</f>
        <v/>
      </c>
      <c r="Z107" s="161">
        <f>IFERROR(ROUND(D107*(1-CHOOSE(MATCH(IF($E107="","Основний",$E107),{"Трафіковий","Основний","Маржинальний","Сезонний","Стратегічний"},0),Settings!$G$78,Settings!$G$80,Settings!$G$82,Settings!$G$84,Settings!$G$86))/6,2)*6,"")</f>
        <v/>
      </c>
      <c r="AA107" s="142">
        <f>IFERROR(CHOOSE(MATCH(IF($E107="","Основний",$E107),{"Трафіковий","Основний","Маржинальний","Сезонний","Стратегічний"},0),Settings!$G$78,Settings!$G$80,Settings!$G$82,Settings!$G$84,Settings!$G$86),"")</f>
        <v/>
      </c>
      <c r="AB107" s="148">
        <f>IFERROR((Z107*(1-Settings!$G$17)-C107)/(Z107*(1-Settings!$G$17)),"")</f>
        <v/>
      </c>
      <c r="AC107" s="149">
        <f>IFERROR(IF(Z107="","",IF(Z107&gt;=C107/(1-SKU_Base!AE107)/(1-Settings!$G$17),"OK",IF(Z107&gt;=C107/(1-SKU_Base!AL107)/(1-Settings!$G$17),"WARN","STOP"))),"")</f>
        <v/>
      </c>
      <c r="AD107" s="161">
        <f>IFERROR(ROUND(D107*(1-CHOOSE(MATCH(IF($E107="","Основний",$E107),{"Трафіковий","Основний","Маржинальний","Сезонний","Стратегічний"},0),Settings!$H$78,Settings!$H$80,Settings!$H$82,Settings!$H$84,Settings!$H$86))*(1-Settings!$H$68)/6,2)*6,"")</f>
        <v/>
      </c>
      <c r="AE107" s="142">
        <f>IFERROR(CHOOSE(MATCH(IF($E107="","Основний",$E107),{"Трафіковий","Основний","Маржинальний","Сезонний","Стратегічний"},0),Settings!$H$78,Settings!$H$80,Settings!$H$82,Settings!$H$84,Settings!$H$86)+(1-(CHOOSE(MATCH(IF($E107="","Основний",$E107),{"Трафіковий","Основний","Маржинальний","Сезонний","Стратегічний"},0),Settings!$H$78,Settings!$H$80,Settings!$H$82,Settings!$H$84,Settings!$H$86)))*Settings!$H$68,"")</f>
        <v/>
      </c>
      <c r="AF107" s="148">
        <f>IFERROR((AD107*(1-Settings!$H$17)-C107)/(AD107*(1-Settings!$H$17)),"")</f>
        <v/>
      </c>
      <c r="AG107" s="150">
        <f>IFERROR(IF(AD107="","",IF(AD107&gt;=C107/(1-SKU_Base!AF107)/(1-Settings!$H$17),"OK",IF(AD107&gt;=C107/(1-SKU_Base!AM107)/(1-Settings!$H$17),"WARN","STOP"))),"")</f>
        <v/>
      </c>
    </row>
    <row r="108" ht="17" customHeight="1" s="179">
      <c r="A108" s="139">
        <f>SKU_Base!B108</f>
        <v/>
      </c>
      <c r="B108" s="139">
        <f>SKU_Base!C108</f>
        <v/>
      </c>
      <c r="C108" s="140">
        <f>IFERROR(SKU_Base!I108,"")</f>
        <v/>
      </c>
      <c r="D108" s="163">
        <f>IFERROR(SKU_Base!T108,"")</f>
        <v/>
      </c>
      <c r="E108" s="141">
        <f>IFERROR(SKU_Base!$U108,"")</f>
        <v/>
      </c>
      <c r="F108" s="158">
        <f>IFERROR(ROUND(D108*(1-CHOOSE(MATCH(IF($E108="","Основний",$E108),{"Трафіковий","Основний","Маржинальний","Сезонний","Стратегічний"},0),Settings!$B$78,Settings!$B$80,Settings!$B$82,Settings!$B$84,Settings!$B$86))/6,2)*6,"")</f>
        <v/>
      </c>
      <c r="G108" s="142">
        <f>IFERROR(CHOOSE(MATCH(IF($E108="","Основний",$E108),{"Трафіковий","Основний","Маржинальний","Сезонний","Стратегічний"},0),Settings!$B$78,Settings!$B$80,Settings!$B$82,Settings!$B$84,Settings!$B$86),"")</f>
        <v/>
      </c>
      <c r="H108" s="143">
        <f>IFERROR((F108*(1-Settings!$B$17)-C108)/(F108*(1-Settings!$B$17)),"")</f>
        <v/>
      </c>
      <c r="I108" s="149">
        <f>IFERROR(IF(F108="","",IF(F108&gt;=C108/(1-SKU_Base!Z108)/(1-Settings!$B$17),"OK",IF(F108&gt;=C108/(1-SKU_Base!AG108)/(1-Settings!$B$17),"WARN","STOP"))),"")</f>
        <v/>
      </c>
      <c r="J108" s="158">
        <f>IFERROR(ROUND(D108*(1-CHOOSE(MATCH(IF($E108="","Основний",$E108),{"Трафіковий","Основний","Маржинальний","Сезонний","Стратегічний"},0),Settings!$C$78,Settings!$C$80,Settings!$C$82,Settings!$C$84,Settings!$C$86))/6,2)*6,"")</f>
        <v/>
      </c>
      <c r="K108" s="142">
        <f>IFERROR(CHOOSE(MATCH(IF($E108="","Основний",$E108),{"Трафіковий","Основний","Маржинальний","Сезонний","Стратегічний"},0),Settings!$C$78,Settings!$C$80,Settings!$C$82,Settings!$C$84,Settings!$C$86),"")</f>
        <v/>
      </c>
      <c r="L108" s="143">
        <f>IFERROR((J108*(1-Settings!$C$17)-C108)/(J108*(1-Settings!$C$17)),"")</f>
        <v/>
      </c>
      <c r="M108" s="149">
        <f>IFERROR(IF(J108="","",IF(J108&gt;=C108/(1-SKU_Base!AA108)/(1-Settings!$C$17),"OK",IF(J108&gt;=C108/(1-SKU_Base!AH108)/(1-Settings!$C$17),"WARN","STOP"))),"")</f>
        <v/>
      </c>
      <c r="N108" s="159">
        <f>IFERROR(ROUND(D108*(1-CHOOSE(MATCH(IF($E108="","Основний",$E108),{"Трафіковий","Основний","Маржинальний","Сезонний","Стратегічний"},0),Settings!$D$78,Settings!$D$80,Settings!$D$82,Settings!$D$84,Settings!$D$86))/6,2)*6,"")</f>
        <v/>
      </c>
      <c r="O108" s="142">
        <f>IFERROR(CHOOSE(MATCH(IF($E108="","Основний",$E108),{"Трафіковий","Основний","Маржинальний","Сезонний","Стратегічний"},0),Settings!$D$78,Settings!$D$80,Settings!$D$82,Settings!$D$84,Settings!$D$86),"")</f>
        <v/>
      </c>
      <c r="P108" s="143">
        <f>IFERROR((N108*(1-Settings!$D$17)-C108)/(N108*(1-Settings!$D$17)),"")</f>
        <v/>
      </c>
      <c r="Q108" s="149">
        <f>IFERROR(IF(N108="","",IF(N108&gt;=C108/(1-SKU_Base!AB108)/(1-Settings!$D$17),"OK",IF(N108&gt;=C108/(1-SKU_Base!AI108)/(1-Settings!$D$17),"WARN","STOP"))),"")</f>
        <v/>
      </c>
      <c r="R108" s="159">
        <f>IFERROR(ROUND(D108*(1-CHOOSE(MATCH(IF($E108="","Основний",$E108),{"Трафіковий","Основний","Маржинальний","Сезонний","Стратегічний"},0),Settings!$E$78,Settings!$E$80,Settings!$E$82,Settings!$E$84,Settings!$E$86))/6,2)*6,"")</f>
        <v/>
      </c>
      <c r="S108" s="142">
        <f>IFERROR(CHOOSE(MATCH(IF($E108="","Основний",$E108),{"Трафіковий","Основний","Маржинальний","Сезонний","Стратегічний"},0),Settings!$E$78,Settings!$E$80,Settings!$E$82,Settings!$E$84,Settings!$E$86),"")</f>
        <v/>
      </c>
      <c r="T108" s="143">
        <f>IFERROR((R108*(1-Settings!$E$17)-C108)/(R108*(1-Settings!$E$17)),"")</f>
        <v/>
      </c>
      <c r="U108" s="149">
        <f>IFERROR(IF(R108="","",IF(R108&gt;=C108/(1-SKU_Base!AC108)/(1-Settings!$E$17),"OK",IF(R108&gt;=C108/(1-SKU_Base!AJ108)/(1-Settings!$E$17),"WARN","STOP"))),"")</f>
        <v/>
      </c>
      <c r="V108" s="159">
        <f>IFERROR(ROUND(D108*(1-CHOOSE(MATCH(IF($E108="","Основний",$E108),{"Трафіковий","Основний","Маржинальний","Сезонний","Стратегічний"},0),Settings!$F$78,Settings!$F$80,Settings!$F$82,Settings!$F$84,Settings!$F$86))/6,2)*6,"")</f>
        <v/>
      </c>
      <c r="W108" s="142">
        <f>IFERROR(CHOOSE(MATCH(IF($E108="","Основний",$E108),{"Трафіковий","Основний","Маржинальний","Сезонний","Стратегічний"},0),Settings!$F$78,Settings!$F$80,Settings!$F$82,Settings!$F$84,Settings!$F$86),"")</f>
        <v/>
      </c>
      <c r="X108" s="143">
        <f>IFERROR((V108*(1-Settings!$F$17)-C108)/(V108*(1-Settings!$F$17)),"")</f>
        <v/>
      </c>
      <c r="Y108" s="149">
        <f>IFERROR(IF(V108="","",IF(V108&gt;=C108/(1-SKU_Base!AD108)/(1-Settings!$F$17),"OK",IF(V108&gt;=C108/(1-SKU_Base!AK108)/(1-Settings!$F$17),"WARN","STOP"))),"")</f>
        <v/>
      </c>
      <c r="Z108" s="159">
        <f>IFERROR(ROUND(D108*(1-CHOOSE(MATCH(IF($E108="","Основний",$E108),{"Трафіковий","Основний","Маржинальний","Сезонний","Стратегічний"},0),Settings!$G$78,Settings!$G$80,Settings!$G$82,Settings!$G$84,Settings!$G$86))/6,2)*6,"")</f>
        <v/>
      </c>
      <c r="AA108" s="142">
        <f>IFERROR(CHOOSE(MATCH(IF($E108="","Основний",$E108),{"Трафіковий","Основний","Маржинальний","Сезонний","Стратегічний"},0),Settings!$G$78,Settings!$G$80,Settings!$G$82,Settings!$G$84,Settings!$G$86),"")</f>
        <v/>
      </c>
      <c r="AB108" s="143">
        <f>IFERROR((Z108*(1-Settings!$G$17)-C108)/(Z108*(1-Settings!$G$17)),"")</f>
        <v/>
      </c>
      <c r="AC108" s="149">
        <f>IFERROR(IF(Z108="","",IF(Z108&gt;=C108/(1-SKU_Base!AE108)/(1-Settings!$G$17),"OK",IF(Z108&gt;=C108/(1-SKU_Base!AL108)/(1-Settings!$G$17),"WARN","STOP"))),"")</f>
        <v/>
      </c>
      <c r="AD108" s="159">
        <f>IFERROR(ROUND(D108*(1-CHOOSE(MATCH(IF($E108="","Основний",$E108),{"Трафіковий","Основний","Маржинальний","Сезонний","Стратегічний"},0),Settings!$H$78,Settings!$H$80,Settings!$H$82,Settings!$H$84,Settings!$H$86))*(1-Settings!$H$68)/6,2)*6,"")</f>
        <v/>
      </c>
      <c r="AE108" s="142">
        <f>IFERROR(CHOOSE(MATCH(IF($E108="","Основний",$E108),{"Трафіковий","Основний","Маржинальний","Сезонний","Стратегічний"},0),Settings!$H$78,Settings!$H$80,Settings!$H$82,Settings!$H$84,Settings!$H$86)+(1-(CHOOSE(MATCH(IF($E108="","Основний",$E108),{"Трафіковий","Основний","Маржинальний","Сезонний","Стратегічний"},0),Settings!$H$78,Settings!$H$80,Settings!$H$82,Settings!$H$84,Settings!$H$86)))*Settings!$H$68,"")</f>
        <v/>
      </c>
      <c r="AF108" s="143">
        <f>IFERROR((AD108*(1-Settings!$H$17)-C108)/(AD108*(1-Settings!$H$17)),"")</f>
        <v/>
      </c>
      <c r="AG108" s="150">
        <f>IFERROR(IF(AD108="","",IF(AD108&gt;=C108/(1-SKU_Base!AF108)/(1-Settings!$H$17),"OK",IF(AD108&gt;=C108/(1-SKU_Base!AM108)/(1-Settings!$H$17),"WARN","STOP"))),"")</f>
        <v/>
      </c>
    </row>
    <row r="109" ht="17" customHeight="1" s="179">
      <c r="A109" s="146">
        <f>SKU_Base!B109</f>
        <v/>
      </c>
      <c r="B109" s="146">
        <f>SKU_Base!C109</f>
        <v/>
      </c>
      <c r="C109" s="147">
        <f>IFERROR(SKU_Base!I109,"")</f>
        <v/>
      </c>
      <c r="D109" s="164">
        <f>IFERROR(SKU_Base!T109,"")</f>
        <v/>
      </c>
      <c r="E109" s="141">
        <f>IFERROR(SKU_Base!$U109,"")</f>
        <v/>
      </c>
      <c r="F109" s="160">
        <f>IFERROR(ROUND(D109*(1-CHOOSE(MATCH(IF($E109="","Основний",$E109),{"Трафіковий","Основний","Маржинальний","Сезонний","Стратегічний"},0),Settings!$B$78,Settings!$B$80,Settings!$B$82,Settings!$B$84,Settings!$B$86))/6,2)*6,"")</f>
        <v/>
      </c>
      <c r="G109" s="142">
        <f>IFERROR(CHOOSE(MATCH(IF($E109="","Основний",$E109),{"Трафіковий","Основний","Маржинальний","Сезонний","Стратегічний"},0),Settings!$B$78,Settings!$B$80,Settings!$B$82,Settings!$B$84,Settings!$B$86),"")</f>
        <v/>
      </c>
      <c r="H109" s="148">
        <f>IFERROR((F109*(1-Settings!$B$17)-C109)/(F109*(1-Settings!$B$17)),"")</f>
        <v/>
      </c>
      <c r="I109" s="149">
        <f>IFERROR(IF(F109="","",IF(F109&gt;=C109/(1-SKU_Base!Z109)/(1-Settings!$B$17),"OK",IF(F109&gt;=C109/(1-SKU_Base!AG109)/(1-Settings!$B$17),"WARN","STOP"))),"")</f>
        <v/>
      </c>
      <c r="J109" s="160">
        <f>IFERROR(ROUND(D109*(1-CHOOSE(MATCH(IF($E109="","Основний",$E109),{"Трафіковий","Основний","Маржинальний","Сезонний","Стратегічний"},0),Settings!$C$78,Settings!$C$80,Settings!$C$82,Settings!$C$84,Settings!$C$86))/6,2)*6,"")</f>
        <v/>
      </c>
      <c r="K109" s="142">
        <f>IFERROR(CHOOSE(MATCH(IF($E109="","Основний",$E109),{"Трафіковий","Основний","Маржинальний","Сезонний","Стратегічний"},0),Settings!$C$78,Settings!$C$80,Settings!$C$82,Settings!$C$84,Settings!$C$86),"")</f>
        <v/>
      </c>
      <c r="L109" s="148">
        <f>IFERROR((J109*(1-Settings!$C$17)-C109)/(J109*(1-Settings!$C$17)),"")</f>
        <v/>
      </c>
      <c r="M109" s="149">
        <f>IFERROR(IF(J109="","",IF(J109&gt;=C109/(1-SKU_Base!AA109)/(1-Settings!$C$17),"OK",IF(J109&gt;=C109/(1-SKU_Base!AH109)/(1-Settings!$C$17),"WARN","STOP"))),"")</f>
        <v/>
      </c>
      <c r="N109" s="161">
        <f>IFERROR(ROUND(D109*(1-CHOOSE(MATCH(IF($E109="","Основний",$E109),{"Трафіковий","Основний","Маржинальний","Сезонний","Стратегічний"},0),Settings!$D$78,Settings!$D$80,Settings!$D$82,Settings!$D$84,Settings!$D$86))/6,2)*6,"")</f>
        <v/>
      </c>
      <c r="O109" s="142">
        <f>IFERROR(CHOOSE(MATCH(IF($E109="","Основний",$E109),{"Трафіковий","Основний","Маржинальний","Сезонний","Стратегічний"},0),Settings!$D$78,Settings!$D$80,Settings!$D$82,Settings!$D$84,Settings!$D$86),"")</f>
        <v/>
      </c>
      <c r="P109" s="148">
        <f>IFERROR((N109*(1-Settings!$D$17)-C109)/(N109*(1-Settings!$D$17)),"")</f>
        <v/>
      </c>
      <c r="Q109" s="149">
        <f>IFERROR(IF(N109="","",IF(N109&gt;=C109/(1-SKU_Base!AB109)/(1-Settings!$D$17),"OK",IF(N109&gt;=C109/(1-SKU_Base!AI109)/(1-Settings!$D$17),"WARN","STOP"))),"")</f>
        <v/>
      </c>
      <c r="R109" s="161">
        <f>IFERROR(ROUND(D109*(1-CHOOSE(MATCH(IF($E109="","Основний",$E109),{"Трафіковий","Основний","Маржинальний","Сезонний","Стратегічний"},0),Settings!$E$78,Settings!$E$80,Settings!$E$82,Settings!$E$84,Settings!$E$86))/6,2)*6,"")</f>
        <v/>
      </c>
      <c r="S109" s="142">
        <f>IFERROR(CHOOSE(MATCH(IF($E109="","Основний",$E109),{"Трафіковий","Основний","Маржинальний","Сезонний","Стратегічний"},0),Settings!$E$78,Settings!$E$80,Settings!$E$82,Settings!$E$84,Settings!$E$86),"")</f>
        <v/>
      </c>
      <c r="T109" s="148">
        <f>IFERROR((R109*(1-Settings!$E$17)-C109)/(R109*(1-Settings!$E$17)),"")</f>
        <v/>
      </c>
      <c r="U109" s="149">
        <f>IFERROR(IF(R109="","",IF(R109&gt;=C109/(1-SKU_Base!AC109)/(1-Settings!$E$17),"OK",IF(R109&gt;=C109/(1-SKU_Base!AJ109)/(1-Settings!$E$17),"WARN","STOP"))),"")</f>
        <v/>
      </c>
      <c r="V109" s="161">
        <f>IFERROR(ROUND(D109*(1-CHOOSE(MATCH(IF($E109="","Основний",$E109),{"Трафіковий","Основний","Маржинальний","Сезонний","Стратегічний"},0),Settings!$F$78,Settings!$F$80,Settings!$F$82,Settings!$F$84,Settings!$F$86))/6,2)*6,"")</f>
        <v/>
      </c>
      <c r="W109" s="142">
        <f>IFERROR(CHOOSE(MATCH(IF($E109="","Основний",$E109),{"Трафіковий","Основний","Маржинальний","Сезонний","Стратегічний"},0),Settings!$F$78,Settings!$F$80,Settings!$F$82,Settings!$F$84,Settings!$F$86),"")</f>
        <v/>
      </c>
      <c r="X109" s="148">
        <f>IFERROR((V109*(1-Settings!$F$17)-C109)/(V109*(1-Settings!$F$17)),"")</f>
        <v/>
      </c>
      <c r="Y109" s="149">
        <f>IFERROR(IF(V109="","",IF(V109&gt;=C109/(1-SKU_Base!AD109)/(1-Settings!$F$17),"OK",IF(V109&gt;=C109/(1-SKU_Base!AK109)/(1-Settings!$F$17),"WARN","STOP"))),"")</f>
        <v/>
      </c>
      <c r="Z109" s="161">
        <f>IFERROR(ROUND(D109*(1-CHOOSE(MATCH(IF($E109="","Основний",$E109),{"Трафіковий","Основний","Маржинальний","Сезонний","Стратегічний"},0),Settings!$G$78,Settings!$G$80,Settings!$G$82,Settings!$G$84,Settings!$G$86))/6,2)*6,"")</f>
        <v/>
      </c>
      <c r="AA109" s="142">
        <f>IFERROR(CHOOSE(MATCH(IF($E109="","Основний",$E109),{"Трафіковий","Основний","Маржинальний","Сезонний","Стратегічний"},0),Settings!$G$78,Settings!$G$80,Settings!$G$82,Settings!$G$84,Settings!$G$86),"")</f>
        <v/>
      </c>
      <c r="AB109" s="148">
        <f>IFERROR((Z109*(1-Settings!$G$17)-C109)/(Z109*(1-Settings!$G$17)),"")</f>
        <v/>
      </c>
      <c r="AC109" s="149">
        <f>IFERROR(IF(Z109="","",IF(Z109&gt;=C109/(1-SKU_Base!AE109)/(1-Settings!$G$17),"OK",IF(Z109&gt;=C109/(1-SKU_Base!AL109)/(1-Settings!$G$17),"WARN","STOP"))),"")</f>
        <v/>
      </c>
      <c r="AD109" s="161">
        <f>IFERROR(ROUND(D109*(1-CHOOSE(MATCH(IF($E109="","Основний",$E109),{"Трафіковий","Основний","Маржинальний","Сезонний","Стратегічний"},0),Settings!$H$78,Settings!$H$80,Settings!$H$82,Settings!$H$84,Settings!$H$86))*(1-Settings!$H$68)/6,2)*6,"")</f>
        <v/>
      </c>
      <c r="AE109" s="142">
        <f>IFERROR(CHOOSE(MATCH(IF($E109="","Основний",$E109),{"Трафіковий","Основний","Маржинальний","Сезонний","Стратегічний"},0),Settings!$H$78,Settings!$H$80,Settings!$H$82,Settings!$H$84,Settings!$H$86)+(1-(CHOOSE(MATCH(IF($E109="","Основний",$E109),{"Трафіковий","Основний","Маржинальний","Сезонний","Стратегічний"},0),Settings!$H$78,Settings!$H$80,Settings!$H$82,Settings!$H$84,Settings!$H$86)))*Settings!$H$68,"")</f>
        <v/>
      </c>
      <c r="AF109" s="148">
        <f>IFERROR((AD109*(1-Settings!$H$17)-C109)/(AD109*(1-Settings!$H$17)),"")</f>
        <v/>
      </c>
      <c r="AG109" s="150">
        <f>IFERROR(IF(AD109="","",IF(AD109&gt;=C109/(1-SKU_Base!AF109)/(1-Settings!$H$17),"OK",IF(AD109&gt;=C109/(1-SKU_Base!AM109)/(1-Settings!$H$17),"WARN","STOP"))),"")</f>
        <v/>
      </c>
    </row>
    <row r="110" ht="17" customHeight="1" s="179">
      <c r="A110" s="139">
        <f>SKU_Base!B110</f>
        <v/>
      </c>
      <c r="B110" s="139">
        <f>SKU_Base!C110</f>
        <v/>
      </c>
      <c r="C110" s="140">
        <f>IFERROR(SKU_Base!I110,"")</f>
        <v/>
      </c>
      <c r="D110" s="163">
        <f>IFERROR(SKU_Base!T110,"")</f>
        <v/>
      </c>
      <c r="E110" s="141">
        <f>IFERROR(SKU_Base!$U110,"")</f>
        <v/>
      </c>
      <c r="F110" s="158">
        <f>IFERROR(ROUND(D110*(1-CHOOSE(MATCH(IF($E110="","Основний",$E110),{"Трафіковий","Основний","Маржинальний","Сезонний","Стратегічний"},0),Settings!$B$78,Settings!$B$80,Settings!$B$82,Settings!$B$84,Settings!$B$86))/6,2)*6,"")</f>
        <v/>
      </c>
      <c r="G110" s="142">
        <f>IFERROR(CHOOSE(MATCH(IF($E110="","Основний",$E110),{"Трафіковий","Основний","Маржинальний","Сезонний","Стратегічний"},0),Settings!$B$78,Settings!$B$80,Settings!$B$82,Settings!$B$84,Settings!$B$86),"")</f>
        <v/>
      </c>
      <c r="H110" s="143">
        <f>IFERROR((F110*(1-Settings!$B$17)-C110)/(F110*(1-Settings!$B$17)),"")</f>
        <v/>
      </c>
      <c r="I110" s="149">
        <f>IFERROR(IF(F110="","",IF(F110&gt;=C110/(1-SKU_Base!Z110)/(1-Settings!$B$17),"OK",IF(F110&gt;=C110/(1-SKU_Base!AG110)/(1-Settings!$B$17),"WARN","STOP"))),"")</f>
        <v/>
      </c>
      <c r="J110" s="158">
        <f>IFERROR(ROUND(D110*(1-CHOOSE(MATCH(IF($E110="","Основний",$E110),{"Трафіковий","Основний","Маржинальний","Сезонний","Стратегічний"},0),Settings!$C$78,Settings!$C$80,Settings!$C$82,Settings!$C$84,Settings!$C$86))/6,2)*6,"")</f>
        <v/>
      </c>
      <c r="K110" s="142">
        <f>IFERROR(CHOOSE(MATCH(IF($E110="","Основний",$E110),{"Трафіковий","Основний","Маржинальний","Сезонний","Стратегічний"},0),Settings!$C$78,Settings!$C$80,Settings!$C$82,Settings!$C$84,Settings!$C$86),"")</f>
        <v/>
      </c>
      <c r="L110" s="143">
        <f>IFERROR((J110*(1-Settings!$C$17)-C110)/(J110*(1-Settings!$C$17)),"")</f>
        <v/>
      </c>
      <c r="M110" s="149">
        <f>IFERROR(IF(J110="","",IF(J110&gt;=C110/(1-SKU_Base!AA110)/(1-Settings!$C$17),"OK",IF(J110&gt;=C110/(1-SKU_Base!AH110)/(1-Settings!$C$17),"WARN","STOP"))),"")</f>
        <v/>
      </c>
      <c r="N110" s="159">
        <f>IFERROR(ROUND(D110*(1-CHOOSE(MATCH(IF($E110="","Основний",$E110),{"Трафіковий","Основний","Маржинальний","Сезонний","Стратегічний"},0),Settings!$D$78,Settings!$D$80,Settings!$D$82,Settings!$D$84,Settings!$D$86))/6,2)*6,"")</f>
        <v/>
      </c>
      <c r="O110" s="142">
        <f>IFERROR(CHOOSE(MATCH(IF($E110="","Основний",$E110),{"Трафіковий","Основний","Маржинальний","Сезонний","Стратегічний"},0),Settings!$D$78,Settings!$D$80,Settings!$D$82,Settings!$D$84,Settings!$D$86),"")</f>
        <v/>
      </c>
      <c r="P110" s="143">
        <f>IFERROR((N110*(1-Settings!$D$17)-C110)/(N110*(1-Settings!$D$17)),"")</f>
        <v/>
      </c>
      <c r="Q110" s="149">
        <f>IFERROR(IF(N110="","",IF(N110&gt;=C110/(1-SKU_Base!AB110)/(1-Settings!$D$17),"OK",IF(N110&gt;=C110/(1-SKU_Base!AI110)/(1-Settings!$D$17),"WARN","STOP"))),"")</f>
        <v/>
      </c>
      <c r="R110" s="159">
        <f>IFERROR(ROUND(D110*(1-CHOOSE(MATCH(IF($E110="","Основний",$E110),{"Трафіковий","Основний","Маржинальний","Сезонний","Стратегічний"},0),Settings!$E$78,Settings!$E$80,Settings!$E$82,Settings!$E$84,Settings!$E$86))/6,2)*6,"")</f>
        <v/>
      </c>
      <c r="S110" s="142">
        <f>IFERROR(CHOOSE(MATCH(IF($E110="","Основний",$E110),{"Трафіковий","Основний","Маржинальний","Сезонний","Стратегічний"},0),Settings!$E$78,Settings!$E$80,Settings!$E$82,Settings!$E$84,Settings!$E$86),"")</f>
        <v/>
      </c>
      <c r="T110" s="143">
        <f>IFERROR((R110*(1-Settings!$E$17)-C110)/(R110*(1-Settings!$E$17)),"")</f>
        <v/>
      </c>
      <c r="U110" s="149">
        <f>IFERROR(IF(R110="","",IF(R110&gt;=C110/(1-SKU_Base!AC110)/(1-Settings!$E$17),"OK",IF(R110&gt;=C110/(1-SKU_Base!AJ110)/(1-Settings!$E$17),"WARN","STOP"))),"")</f>
        <v/>
      </c>
      <c r="V110" s="159">
        <f>IFERROR(ROUND(D110*(1-CHOOSE(MATCH(IF($E110="","Основний",$E110),{"Трафіковий","Основний","Маржинальний","Сезонний","Стратегічний"},0),Settings!$F$78,Settings!$F$80,Settings!$F$82,Settings!$F$84,Settings!$F$86))/6,2)*6,"")</f>
        <v/>
      </c>
      <c r="W110" s="142">
        <f>IFERROR(CHOOSE(MATCH(IF($E110="","Основний",$E110),{"Трафіковий","Основний","Маржинальний","Сезонний","Стратегічний"},0),Settings!$F$78,Settings!$F$80,Settings!$F$82,Settings!$F$84,Settings!$F$86),"")</f>
        <v/>
      </c>
      <c r="X110" s="143">
        <f>IFERROR((V110*(1-Settings!$F$17)-C110)/(V110*(1-Settings!$F$17)),"")</f>
        <v/>
      </c>
      <c r="Y110" s="149">
        <f>IFERROR(IF(V110="","",IF(V110&gt;=C110/(1-SKU_Base!AD110)/(1-Settings!$F$17),"OK",IF(V110&gt;=C110/(1-SKU_Base!AK110)/(1-Settings!$F$17),"WARN","STOP"))),"")</f>
        <v/>
      </c>
      <c r="Z110" s="159">
        <f>IFERROR(ROUND(D110*(1-CHOOSE(MATCH(IF($E110="","Основний",$E110),{"Трафіковий","Основний","Маржинальний","Сезонний","Стратегічний"},0),Settings!$G$78,Settings!$G$80,Settings!$G$82,Settings!$G$84,Settings!$G$86))/6,2)*6,"")</f>
        <v/>
      </c>
      <c r="AA110" s="142">
        <f>IFERROR(CHOOSE(MATCH(IF($E110="","Основний",$E110),{"Трафіковий","Основний","Маржинальний","Сезонний","Стратегічний"},0),Settings!$G$78,Settings!$G$80,Settings!$G$82,Settings!$G$84,Settings!$G$86),"")</f>
        <v/>
      </c>
      <c r="AB110" s="143">
        <f>IFERROR((Z110*(1-Settings!$G$17)-C110)/(Z110*(1-Settings!$G$17)),"")</f>
        <v/>
      </c>
      <c r="AC110" s="149">
        <f>IFERROR(IF(Z110="","",IF(Z110&gt;=C110/(1-SKU_Base!AE110)/(1-Settings!$G$17),"OK",IF(Z110&gt;=C110/(1-SKU_Base!AL110)/(1-Settings!$G$17),"WARN","STOP"))),"")</f>
        <v/>
      </c>
      <c r="AD110" s="159">
        <f>IFERROR(ROUND(D110*(1-CHOOSE(MATCH(IF($E110="","Основний",$E110),{"Трафіковий","Основний","Маржинальний","Сезонний","Стратегічний"},0),Settings!$H$78,Settings!$H$80,Settings!$H$82,Settings!$H$84,Settings!$H$86))*(1-Settings!$H$68)/6,2)*6,"")</f>
        <v/>
      </c>
      <c r="AE110" s="142">
        <f>IFERROR(CHOOSE(MATCH(IF($E110="","Основний",$E110),{"Трафіковий","Основний","Маржинальний","Сезонний","Стратегічний"},0),Settings!$H$78,Settings!$H$80,Settings!$H$82,Settings!$H$84,Settings!$H$86)+(1-(CHOOSE(MATCH(IF($E110="","Основний",$E110),{"Трафіковий","Основний","Маржинальний","Сезонний","Стратегічний"},0),Settings!$H$78,Settings!$H$80,Settings!$H$82,Settings!$H$84,Settings!$H$86)))*Settings!$H$68,"")</f>
        <v/>
      </c>
      <c r="AF110" s="143">
        <f>IFERROR((AD110*(1-Settings!$H$17)-C110)/(AD110*(1-Settings!$H$17)),"")</f>
        <v/>
      </c>
      <c r="AG110" s="150">
        <f>IFERROR(IF(AD110="","",IF(AD110&gt;=C110/(1-SKU_Base!AF110)/(1-Settings!$H$17),"OK",IF(AD110&gt;=C110/(1-SKU_Base!AM110)/(1-Settings!$H$17),"WARN","STOP"))),"")</f>
        <v/>
      </c>
    </row>
    <row r="111" ht="17" customHeight="1" s="179">
      <c r="A111" s="146">
        <f>SKU_Base!B111</f>
        <v/>
      </c>
      <c r="B111" s="146">
        <f>SKU_Base!C111</f>
        <v/>
      </c>
      <c r="C111" s="147">
        <f>IFERROR(SKU_Base!I111,"")</f>
        <v/>
      </c>
      <c r="D111" s="164">
        <f>IFERROR(SKU_Base!T111,"")</f>
        <v/>
      </c>
      <c r="E111" s="141">
        <f>IFERROR(SKU_Base!$U111,"")</f>
        <v/>
      </c>
      <c r="F111" s="160">
        <f>IFERROR(ROUND(D111*(1-CHOOSE(MATCH(IF($E111="","Основний",$E111),{"Трафіковий","Основний","Маржинальний","Сезонний","Стратегічний"},0),Settings!$B$78,Settings!$B$80,Settings!$B$82,Settings!$B$84,Settings!$B$86))/6,2)*6,"")</f>
        <v/>
      </c>
      <c r="G111" s="142">
        <f>IFERROR(CHOOSE(MATCH(IF($E111="","Основний",$E111),{"Трафіковий","Основний","Маржинальний","Сезонний","Стратегічний"},0),Settings!$B$78,Settings!$B$80,Settings!$B$82,Settings!$B$84,Settings!$B$86),"")</f>
        <v/>
      </c>
      <c r="H111" s="148">
        <f>IFERROR((F111*(1-Settings!$B$17)-C111)/(F111*(1-Settings!$B$17)),"")</f>
        <v/>
      </c>
      <c r="I111" s="150">
        <f>IFERROR(IF(F111="","",IF(F111&gt;=C111/(1-SKU_Base!Z111)/(1-Settings!$B$17),"OK",IF(F111&gt;=C111/(1-SKU_Base!AG111)/(1-Settings!$B$17),"WARN","STOP"))),"")</f>
        <v/>
      </c>
      <c r="J111" s="160">
        <f>IFERROR(ROUND(D111*(1-CHOOSE(MATCH(IF($E111="","Основний",$E111),{"Трафіковий","Основний","Маржинальний","Сезонний","Стратегічний"},0),Settings!$C$78,Settings!$C$80,Settings!$C$82,Settings!$C$84,Settings!$C$86))/6,2)*6,"")</f>
        <v/>
      </c>
      <c r="K111" s="142">
        <f>IFERROR(CHOOSE(MATCH(IF($E111="","Основний",$E111),{"Трафіковий","Основний","Маржинальний","Сезонний","Стратегічний"},0),Settings!$C$78,Settings!$C$80,Settings!$C$82,Settings!$C$84,Settings!$C$86),"")</f>
        <v/>
      </c>
      <c r="L111" s="148">
        <f>IFERROR((J111*(1-Settings!$C$17)-C111)/(J111*(1-Settings!$C$17)),"")</f>
        <v/>
      </c>
      <c r="M111" s="149">
        <f>IFERROR(IF(J111="","",IF(J111&gt;=C111/(1-SKU_Base!AA111)/(1-Settings!$C$17),"OK",IF(J111&gt;=C111/(1-SKU_Base!AH111)/(1-Settings!$C$17),"WARN","STOP"))),"")</f>
        <v/>
      </c>
      <c r="N111" s="161">
        <f>IFERROR(ROUND(D111*(1-CHOOSE(MATCH(IF($E111="","Основний",$E111),{"Трафіковий","Основний","Маржинальний","Сезонний","Стратегічний"},0),Settings!$D$78,Settings!$D$80,Settings!$D$82,Settings!$D$84,Settings!$D$86))/6,2)*6,"")</f>
        <v/>
      </c>
      <c r="O111" s="142">
        <f>IFERROR(CHOOSE(MATCH(IF($E111="","Основний",$E111),{"Трафіковий","Основний","Маржинальний","Сезонний","Стратегічний"},0),Settings!$D$78,Settings!$D$80,Settings!$D$82,Settings!$D$84,Settings!$D$86),"")</f>
        <v/>
      </c>
      <c r="P111" s="148">
        <f>IFERROR((N111*(1-Settings!$D$17)-C111)/(N111*(1-Settings!$D$17)),"")</f>
        <v/>
      </c>
      <c r="Q111" s="149">
        <f>IFERROR(IF(N111="","",IF(N111&gt;=C111/(1-SKU_Base!AB111)/(1-Settings!$D$17),"OK",IF(N111&gt;=C111/(1-SKU_Base!AI111)/(1-Settings!$D$17),"WARN","STOP"))),"")</f>
        <v/>
      </c>
      <c r="R111" s="161">
        <f>IFERROR(ROUND(D111*(1-CHOOSE(MATCH(IF($E111="","Основний",$E111),{"Трафіковий","Основний","Маржинальний","Сезонний","Стратегічний"},0),Settings!$E$78,Settings!$E$80,Settings!$E$82,Settings!$E$84,Settings!$E$86))/6,2)*6,"")</f>
        <v/>
      </c>
      <c r="S111" s="142">
        <f>IFERROR(CHOOSE(MATCH(IF($E111="","Основний",$E111),{"Трафіковий","Основний","Маржинальний","Сезонний","Стратегічний"},0),Settings!$E$78,Settings!$E$80,Settings!$E$82,Settings!$E$84,Settings!$E$86),"")</f>
        <v/>
      </c>
      <c r="T111" s="148">
        <f>IFERROR((R111*(1-Settings!$E$17)-C111)/(R111*(1-Settings!$E$17)),"")</f>
        <v/>
      </c>
      <c r="U111" s="149">
        <f>IFERROR(IF(R111="","",IF(R111&gt;=C111/(1-SKU_Base!AC111)/(1-Settings!$E$17),"OK",IF(R111&gt;=C111/(1-SKU_Base!AJ111)/(1-Settings!$E$17),"WARN","STOP"))),"")</f>
        <v/>
      </c>
      <c r="V111" s="161">
        <f>IFERROR(ROUND(D111*(1-CHOOSE(MATCH(IF($E111="","Основний",$E111),{"Трафіковий","Основний","Маржинальний","Сезонний","Стратегічний"},0),Settings!$F$78,Settings!$F$80,Settings!$F$82,Settings!$F$84,Settings!$F$86))/6,2)*6,"")</f>
        <v/>
      </c>
      <c r="W111" s="142">
        <f>IFERROR(CHOOSE(MATCH(IF($E111="","Основний",$E111),{"Трафіковий","Основний","Маржинальний","Сезонний","Стратегічний"},0),Settings!$F$78,Settings!$F$80,Settings!$F$82,Settings!$F$84,Settings!$F$86),"")</f>
        <v/>
      </c>
      <c r="X111" s="148">
        <f>IFERROR((V111*(1-Settings!$F$17)-C111)/(V111*(1-Settings!$F$17)),"")</f>
        <v/>
      </c>
      <c r="Y111" s="149">
        <f>IFERROR(IF(V111="","",IF(V111&gt;=C111/(1-SKU_Base!AD111)/(1-Settings!$F$17),"OK",IF(V111&gt;=C111/(1-SKU_Base!AK111)/(1-Settings!$F$17),"WARN","STOP"))),"")</f>
        <v/>
      </c>
      <c r="Z111" s="161">
        <f>IFERROR(ROUND(D111*(1-CHOOSE(MATCH(IF($E111="","Основний",$E111),{"Трафіковий","Основний","Маржинальний","Сезонний","Стратегічний"},0),Settings!$G$78,Settings!$G$80,Settings!$G$82,Settings!$G$84,Settings!$G$86))/6,2)*6,"")</f>
        <v/>
      </c>
      <c r="AA111" s="142">
        <f>IFERROR(CHOOSE(MATCH(IF($E111="","Основний",$E111),{"Трафіковий","Основний","Маржинальний","Сезонний","Стратегічний"},0),Settings!$G$78,Settings!$G$80,Settings!$G$82,Settings!$G$84,Settings!$G$86),"")</f>
        <v/>
      </c>
      <c r="AB111" s="148">
        <f>IFERROR((Z111*(1-Settings!$G$17)-C111)/(Z111*(1-Settings!$G$17)),"")</f>
        <v/>
      </c>
      <c r="AC111" s="149">
        <f>IFERROR(IF(Z111="","",IF(Z111&gt;=C111/(1-SKU_Base!AE111)/(1-Settings!$G$17),"OK",IF(Z111&gt;=C111/(1-SKU_Base!AL111)/(1-Settings!$G$17),"WARN","STOP"))),"")</f>
        <v/>
      </c>
      <c r="AD111" s="161">
        <f>IFERROR(ROUND(D111*(1-CHOOSE(MATCH(IF($E111="","Основний",$E111),{"Трафіковий","Основний","Маржинальний","Сезонний","Стратегічний"},0),Settings!$H$78,Settings!$H$80,Settings!$H$82,Settings!$H$84,Settings!$H$86))*(1-Settings!$H$68)/6,2)*6,"")</f>
        <v/>
      </c>
      <c r="AE111" s="142">
        <f>IFERROR(CHOOSE(MATCH(IF($E111="","Основний",$E111),{"Трафіковий","Основний","Маржинальний","Сезонний","Стратегічний"},0),Settings!$H$78,Settings!$H$80,Settings!$H$82,Settings!$H$84,Settings!$H$86)+(1-(CHOOSE(MATCH(IF($E111="","Основний",$E111),{"Трафіковий","Основний","Маржинальний","Сезонний","Стратегічний"},0),Settings!$H$78,Settings!$H$80,Settings!$H$82,Settings!$H$84,Settings!$H$86)))*Settings!$H$68,"")</f>
        <v/>
      </c>
      <c r="AF111" s="148">
        <f>IFERROR((AD111*(1-Settings!$H$17)-C111)/(AD111*(1-Settings!$H$17)),"")</f>
        <v/>
      </c>
      <c r="AG111" s="150">
        <f>IFERROR(IF(AD111="","",IF(AD111&gt;=C111/(1-SKU_Base!AF111)/(1-Settings!$H$17),"OK",IF(AD111&gt;=C111/(1-SKU_Base!AM111)/(1-Settings!$H$17),"WARN","STOP"))),"")</f>
        <v/>
      </c>
    </row>
    <row r="112" ht="17" customHeight="1" s="179">
      <c r="A112" s="139">
        <f>SKU_Base!B112</f>
        <v/>
      </c>
      <c r="B112" s="139">
        <f>SKU_Base!C112</f>
        <v/>
      </c>
      <c r="C112" s="140">
        <f>IFERROR(SKU_Base!I112,"")</f>
        <v/>
      </c>
      <c r="D112" s="163">
        <f>IFERROR(SKU_Base!T112,"")</f>
        <v/>
      </c>
      <c r="E112" s="141">
        <f>IFERROR(SKU_Base!$U112,"")</f>
        <v/>
      </c>
      <c r="F112" s="158">
        <f>IFERROR(ROUND(D112*(1-CHOOSE(MATCH(IF($E112="","Основний",$E112),{"Трафіковий","Основний","Маржинальний","Сезонний","Стратегічний"},0),Settings!$B$78,Settings!$B$80,Settings!$B$82,Settings!$B$84,Settings!$B$86))/6,2)*6,"")</f>
        <v/>
      </c>
      <c r="G112" s="142">
        <f>IFERROR(CHOOSE(MATCH(IF($E112="","Основний",$E112),{"Трафіковий","Основний","Маржинальний","Сезонний","Стратегічний"},0),Settings!$B$78,Settings!$B$80,Settings!$B$82,Settings!$B$84,Settings!$B$86),"")</f>
        <v/>
      </c>
      <c r="H112" s="143">
        <f>IFERROR((F112*(1-Settings!$B$17)-C112)/(F112*(1-Settings!$B$17)),"")</f>
        <v/>
      </c>
      <c r="I112" s="149">
        <f>IFERROR(IF(F112="","",IF(F112&gt;=C112/(1-SKU_Base!Z112)/(1-Settings!$B$17),"OK",IF(F112&gt;=C112/(1-SKU_Base!AG112)/(1-Settings!$B$17),"WARN","STOP"))),"")</f>
        <v/>
      </c>
      <c r="J112" s="158">
        <f>IFERROR(ROUND(D112*(1-CHOOSE(MATCH(IF($E112="","Основний",$E112),{"Трафіковий","Основний","Маржинальний","Сезонний","Стратегічний"},0),Settings!$C$78,Settings!$C$80,Settings!$C$82,Settings!$C$84,Settings!$C$86))/6,2)*6,"")</f>
        <v/>
      </c>
      <c r="K112" s="142">
        <f>IFERROR(CHOOSE(MATCH(IF($E112="","Основний",$E112),{"Трафіковий","Основний","Маржинальний","Сезонний","Стратегічний"},0),Settings!$C$78,Settings!$C$80,Settings!$C$82,Settings!$C$84,Settings!$C$86),"")</f>
        <v/>
      </c>
      <c r="L112" s="143">
        <f>IFERROR((J112*(1-Settings!$C$17)-C112)/(J112*(1-Settings!$C$17)),"")</f>
        <v/>
      </c>
      <c r="M112" s="149">
        <f>IFERROR(IF(J112="","",IF(J112&gt;=C112/(1-SKU_Base!AA112)/(1-Settings!$C$17),"OK",IF(J112&gt;=C112/(1-SKU_Base!AH112)/(1-Settings!$C$17),"WARN","STOP"))),"")</f>
        <v/>
      </c>
      <c r="N112" s="159">
        <f>IFERROR(ROUND(D112*(1-CHOOSE(MATCH(IF($E112="","Основний",$E112),{"Трафіковий","Основний","Маржинальний","Сезонний","Стратегічний"},0),Settings!$D$78,Settings!$D$80,Settings!$D$82,Settings!$D$84,Settings!$D$86))/6,2)*6,"")</f>
        <v/>
      </c>
      <c r="O112" s="142">
        <f>IFERROR(CHOOSE(MATCH(IF($E112="","Основний",$E112),{"Трафіковий","Основний","Маржинальний","Сезонний","Стратегічний"},0),Settings!$D$78,Settings!$D$80,Settings!$D$82,Settings!$D$84,Settings!$D$86),"")</f>
        <v/>
      </c>
      <c r="P112" s="143">
        <f>IFERROR((N112*(1-Settings!$D$17)-C112)/(N112*(1-Settings!$D$17)),"")</f>
        <v/>
      </c>
      <c r="Q112" s="149">
        <f>IFERROR(IF(N112="","",IF(N112&gt;=C112/(1-SKU_Base!AB112)/(1-Settings!$D$17),"OK",IF(N112&gt;=C112/(1-SKU_Base!AI112)/(1-Settings!$D$17),"WARN","STOP"))),"")</f>
        <v/>
      </c>
      <c r="R112" s="159">
        <f>IFERROR(ROUND(D112*(1-CHOOSE(MATCH(IF($E112="","Основний",$E112),{"Трафіковий","Основний","Маржинальний","Сезонний","Стратегічний"},0),Settings!$E$78,Settings!$E$80,Settings!$E$82,Settings!$E$84,Settings!$E$86))/6,2)*6,"")</f>
        <v/>
      </c>
      <c r="S112" s="142">
        <f>IFERROR(CHOOSE(MATCH(IF($E112="","Основний",$E112),{"Трафіковий","Основний","Маржинальний","Сезонний","Стратегічний"},0),Settings!$E$78,Settings!$E$80,Settings!$E$82,Settings!$E$84,Settings!$E$86),"")</f>
        <v/>
      </c>
      <c r="T112" s="143">
        <f>IFERROR((R112*(1-Settings!$E$17)-C112)/(R112*(1-Settings!$E$17)),"")</f>
        <v/>
      </c>
      <c r="U112" s="149">
        <f>IFERROR(IF(R112="","",IF(R112&gt;=C112/(1-SKU_Base!AC112)/(1-Settings!$E$17),"OK",IF(R112&gt;=C112/(1-SKU_Base!AJ112)/(1-Settings!$E$17),"WARN","STOP"))),"")</f>
        <v/>
      </c>
      <c r="V112" s="159">
        <f>IFERROR(ROUND(D112*(1-CHOOSE(MATCH(IF($E112="","Основний",$E112),{"Трафіковий","Основний","Маржинальний","Сезонний","Стратегічний"},0),Settings!$F$78,Settings!$F$80,Settings!$F$82,Settings!$F$84,Settings!$F$86))/6,2)*6,"")</f>
        <v/>
      </c>
      <c r="W112" s="142">
        <f>IFERROR(CHOOSE(MATCH(IF($E112="","Основний",$E112),{"Трафіковий","Основний","Маржинальний","Сезонний","Стратегічний"},0),Settings!$F$78,Settings!$F$80,Settings!$F$82,Settings!$F$84,Settings!$F$86),"")</f>
        <v/>
      </c>
      <c r="X112" s="143">
        <f>IFERROR((V112*(1-Settings!$F$17)-C112)/(V112*(1-Settings!$F$17)),"")</f>
        <v/>
      </c>
      <c r="Y112" s="149">
        <f>IFERROR(IF(V112="","",IF(V112&gt;=C112/(1-SKU_Base!AD112)/(1-Settings!$F$17),"OK",IF(V112&gt;=C112/(1-SKU_Base!AK112)/(1-Settings!$F$17),"WARN","STOP"))),"")</f>
        <v/>
      </c>
      <c r="Z112" s="159">
        <f>IFERROR(ROUND(D112*(1-CHOOSE(MATCH(IF($E112="","Основний",$E112),{"Трафіковий","Основний","Маржинальний","Сезонний","Стратегічний"},0),Settings!$G$78,Settings!$G$80,Settings!$G$82,Settings!$G$84,Settings!$G$86))/6,2)*6,"")</f>
        <v/>
      </c>
      <c r="AA112" s="142">
        <f>IFERROR(CHOOSE(MATCH(IF($E112="","Основний",$E112),{"Трафіковий","Основний","Маржинальний","Сезонний","Стратегічний"},0),Settings!$G$78,Settings!$G$80,Settings!$G$82,Settings!$G$84,Settings!$G$86),"")</f>
        <v/>
      </c>
      <c r="AB112" s="143">
        <f>IFERROR((Z112*(1-Settings!$G$17)-C112)/(Z112*(1-Settings!$G$17)),"")</f>
        <v/>
      </c>
      <c r="AC112" s="149">
        <f>IFERROR(IF(Z112="","",IF(Z112&gt;=C112/(1-SKU_Base!AE112)/(1-Settings!$G$17),"OK",IF(Z112&gt;=C112/(1-SKU_Base!AL112)/(1-Settings!$G$17),"WARN","STOP"))),"")</f>
        <v/>
      </c>
      <c r="AD112" s="159">
        <f>IFERROR(ROUND(D112*(1-CHOOSE(MATCH(IF($E112="","Основний",$E112),{"Трафіковий","Основний","Маржинальний","Сезонний","Стратегічний"},0),Settings!$H$78,Settings!$H$80,Settings!$H$82,Settings!$H$84,Settings!$H$86))*(1-Settings!$H$68)/6,2)*6,"")</f>
        <v/>
      </c>
      <c r="AE112" s="142">
        <f>IFERROR(CHOOSE(MATCH(IF($E112="","Основний",$E112),{"Трафіковий","Основний","Маржинальний","Сезонний","Стратегічний"},0),Settings!$H$78,Settings!$H$80,Settings!$H$82,Settings!$H$84,Settings!$H$86)+(1-(CHOOSE(MATCH(IF($E112="","Основний",$E112),{"Трафіковий","Основний","Маржинальний","Сезонний","Стратегічний"},0),Settings!$H$78,Settings!$H$80,Settings!$H$82,Settings!$H$84,Settings!$H$86)))*Settings!$H$68,"")</f>
        <v/>
      </c>
      <c r="AF112" s="143">
        <f>IFERROR((AD112*(1-Settings!$H$17)-C112)/(AD112*(1-Settings!$H$17)),"")</f>
        <v/>
      </c>
      <c r="AG112" s="150">
        <f>IFERROR(IF(AD112="","",IF(AD112&gt;=C112/(1-SKU_Base!AF112)/(1-Settings!$H$17),"OK",IF(AD112&gt;=C112/(1-SKU_Base!AM112)/(1-Settings!$H$17),"WARN","STOP"))),"")</f>
        <v/>
      </c>
    </row>
    <row r="113" ht="17" customHeight="1" s="179">
      <c r="A113" s="146">
        <f>SKU_Base!B113</f>
        <v/>
      </c>
      <c r="B113" s="146">
        <f>SKU_Base!C113</f>
        <v/>
      </c>
      <c r="C113" s="147">
        <f>IFERROR(SKU_Base!I113,"")</f>
        <v/>
      </c>
      <c r="D113" s="164">
        <f>IFERROR(SKU_Base!T113,"")</f>
        <v/>
      </c>
      <c r="E113" s="141">
        <f>IFERROR(SKU_Base!$U113,"")</f>
        <v/>
      </c>
      <c r="F113" s="160">
        <f>IFERROR(ROUND(D113*(1-CHOOSE(MATCH(IF($E113="","Основний",$E113),{"Трафіковий","Основний","Маржинальний","Сезонний","Стратегічний"},0),Settings!$B$78,Settings!$B$80,Settings!$B$82,Settings!$B$84,Settings!$B$86))/6,2)*6,"")</f>
        <v/>
      </c>
      <c r="G113" s="142">
        <f>IFERROR(CHOOSE(MATCH(IF($E113="","Основний",$E113),{"Трафіковий","Основний","Маржинальний","Сезонний","Стратегічний"},0),Settings!$B$78,Settings!$B$80,Settings!$B$82,Settings!$B$84,Settings!$B$86),"")</f>
        <v/>
      </c>
      <c r="H113" s="148">
        <f>IFERROR((F113*(1-Settings!$B$17)-C113)/(F113*(1-Settings!$B$17)),"")</f>
        <v/>
      </c>
      <c r="I113" s="150">
        <f>IFERROR(IF(F113="","",IF(F113&gt;=C113/(1-SKU_Base!Z113)/(1-Settings!$B$17),"OK",IF(F113&gt;=C113/(1-SKU_Base!AG113)/(1-Settings!$B$17),"WARN","STOP"))),"")</f>
        <v/>
      </c>
      <c r="J113" s="160">
        <f>IFERROR(ROUND(D113*(1-CHOOSE(MATCH(IF($E113="","Основний",$E113),{"Трафіковий","Основний","Маржинальний","Сезонний","Стратегічний"},0),Settings!$C$78,Settings!$C$80,Settings!$C$82,Settings!$C$84,Settings!$C$86))/6,2)*6,"")</f>
        <v/>
      </c>
      <c r="K113" s="142">
        <f>IFERROR(CHOOSE(MATCH(IF($E113="","Основний",$E113),{"Трафіковий","Основний","Маржинальний","Сезонний","Стратегічний"},0),Settings!$C$78,Settings!$C$80,Settings!$C$82,Settings!$C$84,Settings!$C$86),"")</f>
        <v/>
      </c>
      <c r="L113" s="148">
        <f>IFERROR((J113*(1-Settings!$C$17)-C113)/(J113*(1-Settings!$C$17)),"")</f>
        <v/>
      </c>
      <c r="M113" s="149">
        <f>IFERROR(IF(J113="","",IF(J113&gt;=C113/(1-SKU_Base!AA113)/(1-Settings!$C$17),"OK",IF(J113&gt;=C113/(1-SKU_Base!AH113)/(1-Settings!$C$17),"WARN","STOP"))),"")</f>
        <v/>
      </c>
      <c r="N113" s="161">
        <f>IFERROR(ROUND(D113*(1-CHOOSE(MATCH(IF($E113="","Основний",$E113),{"Трафіковий","Основний","Маржинальний","Сезонний","Стратегічний"},0),Settings!$D$78,Settings!$D$80,Settings!$D$82,Settings!$D$84,Settings!$D$86))/6,2)*6,"")</f>
        <v/>
      </c>
      <c r="O113" s="142">
        <f>IFERROR(CHOOSE(MATCH(IF($E113="","Основний",$E113),{"Трафіковий","Основний","Маржинальний","Сезонний","Стратегічний"},0),Settings!$D$78,Settings!$D$80,Settings!$D$82,Settings!$D$84,Settings!$D$86),"")</f>
        <v/>
      </c>
      <c r="P113" s="148">
        <f>IFERROR((N113*(1-Settings!$D$17)-C113)/(N113*(1-Settings!$D$17)),"")</f>
        <v/>
      </c>
      <c r="Q113" s="149">
        <f>IFERROR(IF(N113="","",IF(N113&gt;=C113/(1-SKU_Base!AB113)/(1-Settings!$D$17),"OK",IF(N113&gt;=C113/(1-SKU_Base!AI113)/(1-Settings!$D$17),"WARN","STOP"))),"")</f>
        <v/>
      </c>
      <c r="R113" s="161">
        <f>IFERROR(ROUND(D113*(1-CHOOSE(MATCH(IF($E113="","Основний",$E113),{"Трафіковий","Основний","Маржинальний","Сезонний","Стратегічний"},0),Settings!$E$78,Settings!$E$80,Settings!$E$82,Settings!$E$84,Settings!$E$86))/6,2)*6,"")</f>
        <v/>
      </c>
      <c r="S113" s="142">
        <f>IFERROR(CHOOSE(MATCH(IF($E113="","Основний",$E113),{"Трафіковий","Основний","Маржинальний","Сезонний","Стратегічний"},0),Settings!$E$78,Settings!$E$80,Settings!$E$82,Settings!$E$84,Settings!$E$86),"")</f>
        <v/>
      </c>
      <c r="T113" s="148">
        <f>IFERROR((R113*(1-Settings!$E$17)-C113)/(R113*(1-Settings!$E$17)),"")</f>
        <v/>
      </c>
      <c r="U113" s="149">
        <f>IFERROR(IF(R113="","",IF(R113&gt;=C113/(1-SKU_Base!AC113)/(1-Settings!$E$17),"OK",IF(R113&gt;=C113/(1-SKU_Base!AJ113)/(1-Settings!$E$17),"WARN","STOP"))),"")</f>
        <v/>
      </c>
      <c r="V113" s="161">
        <f>IFERROR(ROUND(D113*(1-CHOOSE(MATCH(IF($E113="","Основний",$E113),{"Трафіковий","Основний","Маржинальний","Сезонний","Стратегічний"},0),Settings!$F$78,Settings!$F$80,Settings!$F$82,Settings!$F$84,Settings!$F$86))/6,2)*6,"")</f>
        <v/>
      </c>
      <c r="W113" s="142">
        <f>IFERROR(CHOOSE(MATCH(IF($E113="","Основний",$E113),{"Трафіковий","Основний","Маржинальний","Сезонний","Стратегічний"},0),Settings!$F$78,Settings!$F$80,Settings!$F$82,Settings!$F$84,Settings!$F$86),"")</f>
        <v/>
      </c>
      <c r="X113" s="148">
        <f>IFERROR((V113*(1-Settings!$F$17)-C113)/(V113*(1-Settings!$F$17)),"")</f>
        <v/>
      </c>
      <c r="Y113" s="149">
        <f>IFERROR(IF(V113="","",IF(V113&gt;=C113/(1-SKU_Base!AD113)/(1-Settings!$F$17),"OK",IF(V113&gt;=C113/(1-SKU_Base!AK113)/(1-Settings!$F$17),"WARN","STOP"))),"")</f>
        <v/>
      </c>
      <c r="Z113" s="161">
        <f>IFERROR(ROUND(D113*(1-CHOOSE(MATCH(IF($E113="","Основний",$E113),{"Трафіковий","Основний","Маржинальний","Сезонний","Стратегічний"},0),Settings!$G$78,Settings!$G$80,Settings!$G$82,Settings!$G$84,Settings!$G$86))/6,2)*6,"")</f>
        <v/>
      </c>
      <c r="AA113" s="142">
        <f>IFERROR(CHOOSE(MATCH(IF($E113="","Основний",$E113),{"Трафіковий","Основний","Маржинальний","Сезонний","Стратегічний"},0),Settings!$G$78,Settings!$G$80,Settings!$G$82,Settings!$G$84,Settings!$G$86),"")</f>
        <v/>
      </c>
      <c r="AB113" s="148">
        <f>IFERROR((Z113*(1-Settings!$G$17)-C113)/(Z113*(1-Settings!$G$17)),"")</f>
        <v/>
      </c>
      <c r="AC113" s="149">
        <f>IFERROR(IF(Z113="","",IF(Z113&gt;=C113/(1-SKU_Base!AE113)/(1-Settings!$G$17),"OK",IF(Z113&gt;=C113/(1-SKU_Base!AL113)/(1-Settings!$G$17),"WARN","STOP"))),"")</f>
        <v/>
      </c>
      <c r="AD113" s="161">
        <f>IFERROR(ROUND(D113*(1-CHOOSE(MATCH(IF($E113="","Основний",$E113),{"Трафіковий","Основний","Маржинальний","Сезонний","Стратегічний"},0),Settings!$H$78,Settings!$H$80,Settings!$H$82,Settings!$H$84,Settings!$H$86))*(1-Settings!$H$68)/6,2)*6,"")</f>
        <v/>
      </c>
      <c r="AE113" s="142">
        <f>IFERROR(CHOOSE(MATCH(IF($E113="","Основний",$E113),{"Трафіковий","Основний","Маржинальний","Сезонний","Стратегічний"},0),Settings!$H$78,Settings!$H$80,Settings!$H$82,Settings!$H$84,Settings!$H$86)+(1-(CHOOSE(MATCH(IF($E113="","Основний",$E113),{"Трафіковий","Основний","Маржинальний","Сезонний","Стратегічний"},0),Settings!$H$78,Settings!$H$80,Settings!$H$82,Settings!$H$84,Settings!$H$86)))*Settings!$H$68,"")</f>
        <v/>
      </c>
      <c r="AF113" s="148">
        <f>IFERROR((AD113*(1-Settings!$H$17)-C113)/(AD113*(1-Settings!$H$17)),"")</f>
        <v/>
      </c>
      <c r="AG113" s="150">
        <f>IFERROR(IF(AD113="","",IF(AD113&gt;=C113/(1-SKU_Base!AF113)/(1-Settings!$H$17),"OK",IF(AD113&gt;=C113/(1-SKU_Base!AM113)/(1-Settings!$H$17),"WARN","STOP"))),"")</f>
        <v/>
      </c>
    </row>
    <row r="114" ht="17" customHeight="1" s="179">
      <c r="A114" s="139">
        <f>SKU_Base!B114</f>
        <v/>
      </c>
      <c r="B114" s="139">
        <f>SKU_Base!C114</f>
        <v/>
      </c>
      <c r="C114" s="140">
        <f>IFERROR(SKU_Base!I114,"")</f>
        <v/>
      </c>
      <c r="D114" s="163">
        <f>IFERROR(SKU_Base!T114,"")</f>
        <v/>
      </c>
      <c r="E114" s="141">
        <f>IFERROR(SKU_Base!$U114,"")</f>
        <v/>
      </c>
      <c r="F114" s="158">
        <f>IFERROR(ROUND(D114*(1-CHOOSE(MATCH(IF($E114="","Основний",$E114),{"Трафіковий","Основний","Маржинальний","Сезонний","Стратегічний"},0),Settings!$B$78,Settings!$B$80,Settings!$B$82,Settings!$B$84,Settings!$B$86))/6,2)*6,"")</f>
        <v/>
      </c>
      <c r="G114" s="142">
        <f>IFERROR(CHOOSE(MATCH(IF($E114="","Основний",$E114),{"Трафіковий","Основний","Маржинальний","Сезонний","Стратегічний"},0),Settings!$B$78,Settings!$B$80,Settings!$B$82,Settings!$B$84,Settings!$B$86),"")</f>
        <v/>
      </c>
      <c r="H114" s="143">
        <f>IFERROR((F114*(1-Settings!$B$17)-C114)/(F114*(1-Settings!$B$17)),"")</f>
        <v/>
      </c>
      <c r="I114" s="149">
        <f>IFERROR(IF(F114="","",IF(F114&gt;=C114/(1-SKU_Base!Z114)/(1-Settings!$B$17),"OK",IF(F114&gt;=C114/(1-SKU_Base!AG114)/(1-Settings!$B$17),"WARN","STOP"))),"")</f>
        <v/>
      </c>
      <c r="J114" s="158">
        <f>IFERROR(ROUND(D114*(1-CHOOSE(MATCH(IF($E114="","Основний",$E114),{"Трафіковий","Основний","Маржинальний","Сезонний","Стратегічний"},0),Settings!$C$78,Settings!$C$80,Settings!$C$82,Settings!$C$84,Settings!$C$86))/6,2)*6,"")</f>
        <v/>
      </c>
      <c r="K114" s="142">
        <f>IFERROR(CHOOSE(MATCH(IF($E114="","Основний",$E114),{"Трафіковий","Основний","Маржинальний","Сезонний","Стратегічний"},0),Settings!$C$78,Settings!$C$80,Settings!$C$82,Settings!$C$84,Settings!$C$86),"")</f>
        <v/>
      </c>
      <c r="L114" s="143">
        <f>IFERROR((J114*(1-Settings!$C$17)-C114)/(J114*(1-Settings!$C$17)),"")</f>
        <v/>
      </c>
      <c r="M114" s="149">
        <f>IFERROR(IF(J114="","",IF(J114&gt;=C114/(1-SKU_Base!AA114)/(1-Settings!$C$17),"OK",IF(J114&gt;=C114/(1-SKU_Base!AH114)/(1-Settings!$C$17),"WARN","STOP"))),"")</f>
        <v/>
      </c>
      <c r="N114" s="159">
        <f>IFERROR(ROUND(D114*(1-CHOOSE(MATCH(IF($E114="","Основний",$E114),{"Трафіковий","Основний","Маржинальний","Сезонний","Стратегічний"},0),Settings!$D$78,Settings!$D$80,Settings!$D$82,Settings!$D$84,Settings!$D$86))/6,2)*6,"")</f>
        <v/>
      </c>
      <c r="O114" s="142">
        <f>IFERROR(CHOOSE(MATCH(IF($E114="","Основний",$E114),{"Трафіковий","Основний","Маржинальний","Сезонний","Стратегічний"},0),Settings!$D$78,Settings!$D$80,Settings!$D$82,Settings!$D$84,Settings!$D$86),"")</f>
        <v/>
      </c>
      <c r="P114" s="143">
        <f>IFERROR((N114*(1-Settings!$D$17)-C114)/(N114*(1-Settings!$D$17)),"")</f>
        <v/>
      </c>
      <c r="Q114" s="149">
        <f>IFERROR(IF(N114="","",IF(N114&gt;=C114/(1-SKU_Base!AB114)/(1-Settings!$D$17),"OK",IF(N114&gt;=C114/(1-SKU_Base!AI114)/(1-Settings!$D$17),"WARN","STOP"))),"")</f>
        <v/>
      </c>
      <c r="R114" s="159">
        <f>IFERROR(ROUND(D114*(1-CHOOSE(MATCH(IF($E114="","Основний",$E114),{"Трафіковий","Основний","Маржинальний","Сезонний","Стратегічний"},0),Settings!$E$78,Settings!$E$80,Settings!$E$82,Settings!$E$84,Settings!$E$86))/6,2)*6,"")</f>
        <v/>
      </c>
      <c r="S114" s="142">
        <f>IFERROR(CHOOSE(MATCH(IF($E114="","Основний",$E114),{"Трафіковий","Основний","Маржинальний","Сезонний","Стратегічний"},0),Settings!$E$78,Settings!$E$80,Settings!$E$82,Settings!$E$84,Settings!$E$86),"")</f>
        <v/>
      </c>
      <c r="T114" s="143">
        <f>IFERROR((R114*(1-Settings!$E$17)-C114)/(R114*(1-Settings!$E$17)),"")</f>
        <v/>
      </c>
      <c r="U114" s="149">
        <f>IFERROR(IF(R114="","",IF(R114&gt;=C114/(1-SKU_Base!AC114)/(1-Settings!$E$17),"OK",IF(R114&gt;=C114/(1-SKU_Base!AJ114)/(1-Settings!$E$17),"WARN","STOP"))),"")</f>
        <v/>
      </c>
      <c r="V114" s="159">
        <f>IFERROR(ROUND(D114*(1-CHOOSE(MATCH(IF($E114="","Основний",$E114),{"Трафіковий","Основний","Маржинальний","Сезонний","Стратегічний"},0),Settings!$F$78,Settings!$F$80,Settings!$F$82,Settings!$F$84,Settings!$F$86))/6,2)*6,"")</f>
        <v/>
      </c>
      <c r="W114" s="142">
        <f>IFERROR(CHOOSE(MATCH(IF($E114="","Основний",$E114),{"Трафіковий","Основний","Маржинальний","Сезонний","Стратегічний"},0),Settings!$F$78,Settings!$F$80,Settings!$F$82,Settings!$F$84,Settings!$F$86),"")</f>
        <v/>
      </c>
      <c r="X114" s="143">
        <f>IFERROR((V114*(1-Settings!$F$17)-C114)/(V114*(1-Settings!$F$17)),"")</f>
        <v/>
      </c>
      <c r="Y114" s="149">
        <f>IFERROR(IF(V114="","",IF(V114&gt;=C114/(1-SKU_Base!AD114)/(1-Settings!$F$17),"OK",IF(V114&gt;=C114/(1-SKU_Base!AK114)/(1-Settings!$F$17),"WARN","STOP"))),"")</f>
        <v/>
      </c>
      <c r="Z114" s="159">
        <f>IFERROR(ROUND(D114*(1-CHOOSE(MATCH(IF($E114="","Основний",$E114),{"Трафіковий","Основний","Маржинальний","Сезонний","Стратегічний"},0),Settings!$G$78,Settings!$G$80,Settings!$G$82,Settings!$G$84,Settings!$G$86))/6,2)*6,"")</f>
        <v/>
      </c>
      <c r="AA114" s="142">
        <f>IFERROR(CHOOSE(MATCH(IF($E114="","Основний",$E114),{"Трафіковий","Основний","Маржинальний","Сезонний","Стратегічний"},0),Settings!$G$78,Settings!$G$80,Settings!$G$82,Settings!$G$84,Settings!$G$86),"")</f>
        <v/>
      </c>
      <c r="AB114" s="143">
        <f>IFERROR((Z114*(1-Settings!$G$17)-C114)/(Z114*(1-Settings!$G$17)),"")</f>
        <v/>
      </c>
      <c r="AC114" s="149">
        <f>IFERROR(IF(Z114="","",IF(Z114&gt;=C114/(1-SKU_Base!AE114)/(1-Settings!$G$17),"OK",IF(Z114&gt;=C114/(1-SKU_Base!AL114)/(1-Settings!$G$17),"WARN","STOP"))),"")</f>
        <v/>
      </c>
      <c r="AD114" s="159">
        <f>IFERROR(ROUND(D114*(1-CHOOSE(MATCH(IF($E114="","Основний",$E114),{"Трафіковий","Основний","Маржинальний","Сезонний","Стратегічний"},0),Settings!$H$78,Settings!$H$80,Settings!$H$82,Settings!$H$84,Settings!$H$86))*(1-Settings!$H$68)/6,2)*6,"")</f>
        <v/>
      </c>
      <c r="AE114" s="142">
        <f>IFERROR(CHOOSE(MATCH(IF($E114="","Основний",$E114),{"Трафіковий","Основний","Маржинальний","Сезонний","Стратегічний"},0),Settings!$H$78,Settings!$H$80,Settings!$H$82,Settings!$H$84,Settings!$H$86)+(1-(CHOOSE(MATCH(IF($E114="","Основний",$E114),{"Трафіковий","Основний","Маржинальний","Сезонний","Стратегічний"},0),Settings!$H$78,Settings!$H$80,Settings!$H$82,Settings!$H$84,Settings!$H$86)))*Settings!$H$68,"")</f>
        <v/>
      </c>
      <c r="AF114" s="143">
        <f>IFERROR((AD114*(1-Settings!$H$17)-C114)/(AD114*(1-Settings!$H$17)),"")</f>
        <v/>
      </c>
      <c r="AG114" s="150">
        <f>IFERROR(IF(AD114="","",IF(AD114&gt;=C114/(1-SKU_Base!AF114)/(1-Settings!$H$17),"OK",IF(AD114&gt;=C114/(1-SKU_Base!AM114)/(1-Settings!$H$17),"WARN","STOP"))),"")</f>
        <v/>
      </c>
    </row>
    <row r="115" ht="17" customHeight="1" s="179">
      <c r="A115" s="146">
        <f>SKU_Base!B115</f>
        <v/>
      </c>
      <c r="B115" s="146">
        <f>SKU_Base!C115</f>
        <v/>
      </c>
      <c r="C115" s="147">
        <f>IFERROR(SKU_Base!I115,"")</f>
        <v/>
      </c>
      <c r="D115" s="164">
        <f>IFERROR(SKU_Base!T115,"")</f>
        <v/>
      </c>
      <c r="E115" s="141">
        <f>IFERROR(SKU_Base!$U115,"")</f>
        <v/>
      </c>
      <c r="F115" s="160">
        <f>IFERROR(ROUND(D115*(1-CHOOSE(MATCH(IF($E115="","Основний",$E115),{"Трафіковий","Основний","Маржинальний","Сезонний","Стратегічний"},0),Settings!$B$78,Settings!$B$80,Settings!$B$82,Settings!$B$84,Settings!$B$86))/6,2)*6,"")</f>
        <v/>
      </c>
      <c r="G115" s="142">
        <f>IFERROR(CHOOSE(MATCH(IF($E115="","Основний",$E115),{"Трафіковий","Основний","Маржинальний","Сезонний","Стратегічний"},0),Settings!$B$78,Settings!$B$80,Settings!$B$82,Settings!$B$84,Settings!$B$86),"")</f>
        <v/>
      </c>
      <c r="H115" s="148">
        <f>IFERROR((F115*(1-Settings!$B$17)-C115)/(F115*(1-Settings!$B$17)),"")</f>
        <v/>
      </c>
      <c r="I115" s="149">
        <f>IFERROR(IF(F115="","",IF(F115&gt;=C115/(1-SKU_Base!Z115)/(1-Settings!$B$17),"OK",IF(F115&gt;=C115/(1-SKU_Base!AG115)/(1-Settings!$B$17),"WARN","STOP"))),"")</f>
        <v/>
      </c>
      <c r="J115" s="160">
        <f>IFERROR(ROUND(D115*(1-CHOOSE(MATCH(IF($E115="","Основний",$E115),{"Трафіковий","Основний","Маржинальний","Сезонний","Стратегічний"},0),Settings!$C$78,Settings!$C$80,Settings!$C$82,Settings!$C$84,Settings!$C$86))/6,2)*6,"")</f>
        <v/>
      </c>
      <c r="K115" s="142">
        <f>IFERROR(CHOOSE(MATCH(IF($E115="","Основний",$E115),{"Трафіковий","Основний","Маржинальний","Сезонний","Стратегічний"},0),Settings!$C$78,Settings!$C$80,Settings!$C$82,Settings!$C$84,Settings!$C$86),"")</f>
        <v/>
      </c>
      <c r="L115" s="148">
        <f>IFERROR((J115*(1-Settings!$C$17)-C115)/(J115*(1-Settings!$C$17)),"")</f>
        <v/>
      </c>
      <c r="M115" s="149">
        <f>IFERROR(IF(J115="","",IF(J115&gt;=C115/(1-SKU_Base!AA115)/(1-Settings!$C$17),"OK",IF(J115&gt;=C115/(1-SKU_Base!AH115)/(1-Settings!$C$17),"WARN","STOP"))),"")</f>
        <v/>
      </c>
      <c r="N115" s="161">
        <f>IFERROR(ROUND(D115*(1-CHOOSE(MATCH(IF($E115="","Основний",$E115),{"Трафіковий","Основний","Маржинальний","Сезонний","Стратегічний"},0),Settings!$D$78,Settings!$D$80,Settings!$D$82,Settings!$D$84,Settings!$D$86))/6,2)*6,"")</f>
        <v/>
      </c>
      <c r="O115" s="142">
        <f>IFERROR(CHOOSE(MATCH(IF($E115="","Основний",$E115),{"Трафіковий","Основний","Маржинальний","Сезонний","Стратегічний"},0),Settings!$D$78,Settings!$D$80,Settings!$D$82,Settings!$D$84,Settings!$D$86),"")</f>
        <v/>
      </c>
      <c r="P115" s="148">
        <f>IFERROR((N115*(1-Settings!$D$17)-C115)/(N115*(1-Settings!$D$17)),"")</f>
        <v/>
      </c>
      <c r="Q115" s="149">
        <f>IFERROR(IF(N115="","",IF(N115&gt;=C115/(1-SKU_Base!AB115)/(1-Settings!$D$17),"OK",IF(N115&gt;=C115/(1-SKU_Base!AI115)/(1-Settings!$D$17),"WARN","STOP"))),"")</f>
        <v/>
      </c>
      <c r="R115" s="161">
        <f>IFERROR(ROUND(D115*(1-CHOOSE(MATCH(IF($E115="","Основний",$E115),{"Трафіковий","Основний","Маржинальний","Сезонний","Стратегічний"},0),Settings!$E$78,Settings!$E$80,Settings!$E$82,Settings!$E$84,Settings!$E$86))/6,2)*6,"")</f>
        <v/>
      </c>
      <c r="S115" s="142">
        <f>IFERROR(CHOOSE(MATCH(IF($E115="","Основний",$E115),{"Трафіковий","Основний","Маржинальний","Сезонний","Стратегічний"},0),Settings!$E$78,Settings!$E$80,Settings!$E$82,Settings!$E$84,Settings!$E$86),"")</f>
        <v/>
      </c>
      <c r="T115" s="148">
        <f>IFERROR((R115*(1-Settings!$E$17)-C115)/(R115*(1-Settings!$E$17)),"")</f>
        <v/>
      </c>
      <c r="U115" s="149">
        <f>IFERROR(IF(R115="","",IF(R115&gt;=C115/(1-SKU_Base!AC115)/(1-Settings!$E$17),"OK",IF(R115&gt;=C115/(1-SKU_Base!AJ115)/(1-Settings!$E$17),"WARN","STOP"))),"")</f>
        <v/>
      </c>
      <c r="V115" s="161">
        <f>IFERROR(ROUND(D115*(1-CHOOSE(MATCH(IF($E115="","Основний",$E115),{"Трафіковий","Основний","Маржинальний","Сезонний","Стратегічний"},0),Settings!$F$78,Settings!$F$80,Settings!$F$82,Settings!$F$84,Settings!$F$86))/6,2)*6,"")</f>
        <v/>
      </c>
      <c r="W115" s="142">
        <f>IFERROR(CHOOSE(MATCH(IF($E115="","Основний",$E115),{"Трафіковий","Основний","Маржинальний","Сезонний","Стратегічний"},0),Settings!$F$78,Settings!$F$80,Settings!$F$82,Settings!$F$84,Settings!$F$86),"")</f>
        <v/>
      </c>
      <c r="X115" s="148">
        <f>IFERROR((V115*(1-Settings!$F$17)-C115)/(V115*(1-Settings!$F$17)),"")</f>
        <v/>
      </c>
      <c r="Y115" s="149">
        <f>IFERROR(IF(V115="","",IF(V115&gt;=C115/(1-SKU_Base!AD115)/(1-Settings!$F$17),"OK",IF(V115&gt;=C115/(1-SKU_Base!AK115)/(1-Settings!$F$17),"WARN","STOP"))),"")</f>
        <v/>
      </c>
      <c r="Z115" s="161">
        <f>IFERROR(ROUND(D115*(1-CHOOSE(MATCH(IF($E115="","Основний",$E115),{"Трафіковий","Основний","Маржинальний","Сезонний","Стратегічний"},0),Settings!$G$78,Settings!$G$80,Settings!$G$82,Settings!$G$84,Settings!$G$86))/6,2)*6,"")</f>
        <v/>
      </c>
      <c r="AA115" s="142">
        <f>IFERROR(CHOOSE(MATCH(IF($E115="","Основний",$E115),{"Трафіковий","Основний","Маржинальний","Сезонний","Стратегічний"},0),Settings!$G$78,Settings!$G$80,Settings!$G$82,Settings!$G$84,Settings!$G$86),"")</f>
        <v/>
      </c>
      <c r="AB115" s="148">
        <f>IFERROR((Z115*(1-Settings!$G$17)-C115)/(Z115*(1-Settings!$G$17)),"")</f>
        <v/>
      </c>
      <c r="AC115" s="149">
        <f>IFERROR(IF(Z115="","",IF(Z115&gt;=C115/(1-SKU_Base!AE115)/(1-Settings!$G$17),"OK",IF(Z115&gt;=C115/(1-SKU_Base!AL115)/(1-Settings!$G$17),"WARN","STOP"))),"")</f>
        <v/>
      </c>
      <c r="AD115" s="161">
        <f>IFERROR(ROUND(D115*(1-CHOOSE(MATCH(IF($E115="","Основний",$E115),{"Трафіковий","Основний","Маржинальний","Сезонний","Стратегічний"},0),Settings!$H$78,Settings!$H$80,Settings!$H$82,Settings!$H$84,Settings!$H$86))*(1-Settings!$H$68)/6,2)*6,"")</f>
        <v/>
      </c>
      <c r="AE115" s="142">
        <f>IFERROR(CHOOSE(MATCH(IF($E115="","Основний",$E115),{"Трафіковий","Основний","Маржинальний","Сезонний","Стратегічний"},0),Settings!$H$78,Settings!$H$80,Settings!$H$82,Settings!$H$84,Settings!$H$86)+(1-(CHOOSE(MATCH(IF($E115="","Основний",$E115),{"Трафіковий","Основний","Маржинальний","Сезонний","Стратегічний"},0),Settings!$H$78,Settings!$H$80,Settings!$H$82,Settings!$H$84,Settings!$H$86)))*Settings!$H$68,"")</f>
        <v/>
      </c>
      <c r="AF115" s="148">
        <f>IFERROR((AD115*(1-Settings!$H$17)-C115)/(AD115*(1-Settings!$H$17)),"")</f>
        <v/>
      </c>
      <c r="AG115" s="149">
        <f>IFERROR(IF(AD115="","",IF(AD115&gt;=C115/(1-SKU_Base!AF115)/(1-Settings!$H$17),"OK",IF(AD115&gt;=C115/(1-SKU_Base!AM115)/(1-Settings!$H$17),"WARN","STOP"))),"")</f>
        <v/>
      </c>
    </row>
    <row r="116" ht="17" customHeight="1" s="179">
      <c r="A116" s="139">
        <f>SKU_Base!B116</f>
        <v/>
      </c>
      <c r="B116" s="139">
        <f>SKU_Base!C116</f>
        <v/>
      </c>
      <c r="C116" s="140">
        <f>IFERROR(SKU_Base!I116,"")</f>
        <v/>
      </c>
      <c r="D116" s="163">
        <f>IFERROR(SKU_Base!T116,"")</f>
        <v/>
      </c>
      <c r="E116" s="141">
        <f>IFERROR(SKU_Base!$U116,"")</f>
        <v/>
      </c>
      <c r="F116" s="158">
        <f>IFERROR(ROUND(D116*(1-CHOOSE(MATCH(IF($E116="","Основний",$E116),{"Трафіковий","Основний","Маржинальний","Сезонний","Стратегічний"},0),Settings!$B$78,Settings!$B$80,Settings!$B$82,Settings!$B$84,Settings!$B$86))/6,2)*6,"")</f>
        <v/>
      </c>
      <c r="G116" s="142">
        <f>IFERROR(CHOOSE(MATCH(IF($E116="","Основний",$E116),{"Трафіковий","Основний","Маржинальний","Сезонний","Стратегічний"},0),Settings!$B$78,Settings!$B$80,Settings!$B$82,Settings!$B$84,Settings!$B$86),"")</f>
        <v/>
      </c>
      <c r="H116" s="143">
        <f>IFERROR((F116*(1-Settings!$B$17)-C116)/(F116*(1-Settings!$B$17)),"")</f>
        <v/>
      </c>
      <c r="I116" s="149">
        <f>IFERROR(IF(F116="","",IF(F116&gt;=C116/(1-SKU_Base!Z116)/(1-Settings!$B$17),"OK",IF(F116&gt;=C116/(1-SKU_Base!AG116)/(1-Settings!$B$17),"WARN","STOP"))),"")</f>
        <v/>
      </c>
      <c r="J116" s="158">
        <f>IFERROR(ROUND(D116*(1-CHOOSE(MATCH(IF($E116="","Основний",$E116),{"Трафіковий","Основний","Маржинальний","Сезонний","Стратегічний"},0),Settings!$C$78,Settings!$C$80,Settings!$C$82,Settings!$C$84,Settings!$C$86))/6,2)*6,"")</f>
        <v/>
      </c>
      <c r="K116" s="142">
        <f>IFERROR(CHOOSE(MATCH(IF($E116="","Основний",$E116),{"Трафіковий","Основний","Маржинальний","Сезонний","Стратегічний"},0),Settings!$C$78,Settings!$C$80,Settings!$C$82,Settings!$C$84,Settings!$C$86),"")</f>
        <v/>
      </c>
      <c r="L116" s="143">
        <f>IFERROR((J116*(1-Settings!$C$17)-C116)/(J116*(1-Settings!$C$17)),"")</f>
        <v/>
      </c>
      <c r="M116" s="149">
        <f>IFERROR(IF(J116="","",IF(J116&gt;=C116/(1-SKU_Base!AA116)/(1-Settings!$C$17),"OK",IF(J116&gt;=C116/(1-SKU_Base!AH116)/(1-Settings!$C$17),"WARN","STOP"))),"")</f>
        <v/>
      </c>
      <c r="N116" s="159">
        <f>IFERROR(ROUND(D116*(1-CHOOSE(MATCH(IF($E116="","Основний",$E116),{"Трафіковий","Основний","Маржинальний","Сезонний","Стратегічний"},0),Settings!$D$78,Settings!$D$80,Settings!$D$82,Settings!$D$84,Settings!$D$86))/6,2)*6,"")</f>
        <v/>
      </c>
      <c r="O116" s="142">
        <f>IFERROR(CHOOSE(MATCH(IF($E116="","Основний",$E116),{"Трафіковий","Основний","Маржинальний","Сезонний","Стратегічний"},0),Settings!$D$78,Settings!$D$80,Settings!$D$82,Settings!$D$84,Settings!$D$86),"")</f>
        <v/>
      </c>
      <c r="P116" s="143">
        <f>IFERROR((N116*(1-Settings!$D$17)-C116)/(N116*(1-Settings!$D$17)),"")</f>
        <v/>
      </c>
      <c r="Q116" s="149">
        <f>IFERROR(IF(N116="","",IF(N116&gt;=C116/(1-SKU_Base!AB116)/(1-Settings!$D$17),"OK",IF(N116&gt;=C116/(1-SKU_Base!AI116)/(1-Settings!$D$17),"WARN","STOP"))),"")</f>
        <v/>
      </c>
      <c r="R116" s="159">
        <f>IFERROR(ROUND(D116*(1-CHOOSE(MATCH(IF($E116="","Основний",$E116),{"Трафіковий","Основний","Маржинальний","Сезонний","Стратегічний"},0),Settings!$E$78,Settings!$E$80,Settings!$E$82,Settings!$E$84,Settings!$E$86))/6,2)*6,"")</f>
        <v/>
      </c>
      <c r="S116" s="142">
        <f>IFERROR(CHOOSE(MATCH(IF($E116="","Основний",$E116),{"Трафіковий","Основний","Маржинальний","Сезонний","Стратегічний"},0),Settings!$E$78,Settings!$E$80,Settings!$E$82,Settings!$E$84,Settings!$E$86),"")</f>
        <v/>
      </c>
      <c r="T116" s="143">
        <f>IFERROR((R116*(1-Settings!$E$17)-C116)/(R116*(1-Settings!$E$17)),"")</f>
        <v/>
      </c>
      <c r="U116" s="149">
        <f>IFERROR(IF(R116="","",IF(R116&gt;=C116/(1-SKU_Base!AC116)/(1-Settings!$E$17),"OK",IF(R116&gt;=C116/(1-SKU_Base!AJ116)/(1-Settings!$E$17),"WARN","STOP"))),"")</f>
        <v/>
      </c>
      <c r="V116" s="159">
        <f>IFERROR(ROUND(D116*(1-CHOOSE(MATCH(IF($E116="","Основний",$E116),{"Трафіковий","Основний","Маржинальний","Сезонний","Стратегічний"},0),Settings!$F$78,Settings!$F$80,Settings!$F$82,Settings!$F$84,Settings!$F$86))/6,2)*6,"")</f>
        <v/>
      </c>
      <c r="W116" s="142">
        <f>IFERROR(CHOOSE(MATCH(IF($E116="","Основний",$E116),{"Трафіковий","Основний","Маржинальний","Сезонний","Стратегічний"},0),Settings!$F$78,Settings!$F$80,Settings!$F$82,Settings!$F$84,Settings!$F$86),"")</f>
        <v/>
      </c>
      <c r="X116" s="143">
        <f>IFERROR((V116*(1-Settings!$F$17)-C116)/(V116*(1-Settings!$F$17)),"")</f>
        <v/>
      </c>
      <c r="Y116" s="149">
        <f>IFERROR(IF(V116="","",IF(V116&gt;=C116/(1-SKU_Base!AD116)/(1-Settings!$F$17),"OK",IF(V116&gt;=C116/(1-SKU_Base!AK116)/(1-Settings!$F$17),"WARN","STOP"))),"")</f>
        <v/>
      </c>
      <c r="Z116" s="159">
        <f>IFERROR(ROUND(D116*(1-CHOOSE(MATCH(IF($E116="","Основний",$E116),{"Трафіковий","Основний","Маржинальний","Сезонний","Стратегічний"},0),Settings!$G$78,Settings!$G$80,Settings!$G$82,Settings!$G$84,Settings!$G$86))/6,2)*6,"")</f>
        <v/>
      </c>
      <c r="AA116" s="142">
        <f>IFERROR(CHOOSE(MATCH(IF($E116="","Основний",$E116),{"Трафіковий","Основний","Маржинальний","Сезонний","Стратегічний"},0),Settings!$G$78,Settings!$G$80,Settings!$G$82,Settings!$G$84,Settings!$G$86),"")</f>
        <v/>
      </c>
      <c r="AB116" s="143">
        <f>IFERROR((Z116*(1-Settings!$G$17)-C116)/(Z116*(1-Settings!$G$17)),"")</f>
        <v/>
      </c>
      <c r="AC116" s="149">
        <f>IFERROR(IF(Z116="","",IF(Z116&gt;=C116/(1-SKU_Base!AE116)/(1-Settings!$G$17),"OK",IF(Z116&gt;=C116/(1-SKU_Base!AL116)/(1-Settings!$G$17),"WARN","STOP"))),"")</f>
        <v/>
      </c>
      <c r="AD116" s="159">
        <f>IFERROR(ROUND(D116*(1-CHOOSE(MATCH(IF($E116="","Основний",$E116),{"Трафіковий","Основний","Маржинальний","Сезонний","Стратегічний"},0),Settings!$H$78,Settings!$H$80,Settings!$H$82,Settings!$H$84,Settings!$H$86))*(1-Settings!$H$68)/6,2)*6,"")</f>
        <v/>
      </c>
      <c r="AE116" s="142">
        <f>IFERROR(CHOOSE(MATCH(IF($E116="","Основний",$E116),{"Трафіковий","Основний","Маржинальний","Сезонний","Стратегічний"},0),Settings!$H$78,Settings!$H$80,Settings!$H$82,Settings!$H$84,Settings!$H$86)+(1-(CHOOSE(MATCH(IF($E116="","Основний",$E116),{"Трафіковий","Основний","Маржинальний","Сезонний","Стратегічний"},0),Settings!$H$78,Settings!$H$80,Settings!$H$82,Settings!$H$84,Settings!$H$86)))*Settings!$H$68,"")</f>
        <v/>
      </c>
      <c r="AF116" s="143">
        <f>IFERROR((AD116*(1-Settings!$H$17)-C116)/(AD116*(1-Settings!$H$17)),"")</f>
        <v/>
      </c>
      <c r="AG116" s="150">
        <f>IFERROR(IF(AD116="","",IF(AD116&gt;=C116/(1-SKU_Base!AF116)/(1-Settings!$H$17),"OK",IF(AD116&gt;=C116/(1-SKU_Base!AM116)/(1-Settings!$H$17),"WARN","STOP"))),"")</f>
        <v/>
      </c>
    </row>
    <row r="117" ht="17" customHeight="1" s="179">
      <c r="A117" s="146">
        <f>SKU_Base!B117</f>
        <v/>
      </c>
      <c r="B117" s="146">
        <f>SKU_Base!C117</f>
        <v/>
      </c>
      <c r="C117" s="147">
        <f>IFERROR(SKU_Base!I117,"")</f>
        <v/>
      </c>
      <c r="D117" s="164">
        <f>IFERROR(SKU_Base!T117,"")</f>
        <v/>
      </c>
      <c r="E117" s="141">
        <f>IFERROR(SKU_Base!$U117,"")</f>
        <v/>
      </c>
      <c r="F117" s="160">
        <f>IFERROR(ROUND(D117*(1-CHOOSE(MATCH(IF($E117="","Основний",$E117),{"Трафіковий","Основний","Маржинальний","Сезонний","Стратегічний"},0),Settings!$B$78,Settings!$B$80,Settings!$B$82,Settings!$B$84,Settings!$B$86))/6,2)*6,"")</f>
        <v/>
      </c>
      <c r="G117" s="142">
        <f>IFERROR(CHOOSE(MATCH(IF($E117="","Основний",$E117),{"Трафіковий","Основний","Маржинальний","Сезонний","Стратегічний"},0),Settings!$B$78,Settings!$B$80,Settings!$B$82,Settings!$B$84,Settings!$B$86),"")</f>
        <v/>
      </c>
      <c r="H117" s="148">
        <f>IFERROR((F117*(1-Settings!$B$17)-C117)/(F117*(1-Settings!$B$17)),"")</f>
        <v/>
      </c>
      <c r="I117" s="149">
        <f>IFERROR(IF(F117="","",IF(F117&gt;=C117/(1-SKU_Base!Z117)/(1-Settings!$B$17),"OK",IF(F117&gt;=C117/(1-SKU_Base!AG117)/(1-Settings!$B$17),"WARN","STOP"))),"")</f>
        <v/>
      </c>
      <c r="J117" s="160">
        <f>IFERROR(ROUND(D117*(1-CHOOSE(MATCH(IF($E117="","Основний",$E117),{"Трафіковий","Основний","Маржинальний","Сезонний","Стратегічний"},0),Settings!$C$78,Settings!$C$80,Settings!$C$82,Settings!$C$84,Settings!$C$86))/6,2)*6,"")</f>
        <v/>
      </c>
      <c r="K117" s="142">
        <f>IFERROR(CHOOSE(MATCH(IF($E117="","Основний",$E117),{"Трафіковий","Основний","Маржинальний","Сезонний","Стратегічний"},0),Settings!$C$78,Settings!$C$80,Settings!$C$82,Settings!$C$84,Settings!$C$86),"")</f>
        <v/>
      </c>
      <c r="L117" s="148">
        <f>IFERROR((J117*(1-Settings!$C$17)-C117)/(J117*(1-Settings!$C$17)),"")</f>
        <v/>
      </c>
      <c r="M117" s="149">
        <f>IFERROR(IF(J117="","",IF(J117&gt;=C117/(1-SKU_Base!AA117)/(1-Settings!$C$17),"OK",IF(J117&gt;=C117/(1-SKU_Base!AH117)/(1-Settings!$C$17),"WARN","STOP"))),"")</f>
        <v/>
      </c>
      <c r="N117" s="161">
        <f>IFERROR(ROUND(D117*(1-CHOOSE(MATCH(IF($E117="","Основний",$E117),{"Трафіковий","Основний","Маржинальний","Сезонний","Стратегічний"},0),Settings!$D$78,Settings!$D$80,Settings!$D$82,Settings!$D$84,Settings!$D$86))/6,2)*6,"")</f>
        <v/>
      </c>
      <c r="O117" s="142">
        <f>IFERROR(CHOOSE(MATCH(IF($E117="","Основний",$E117),{"Трафіковий","Основний","Маржинальний","Сезонний","Стратегічний"},0),Settings!$D$78,Settings!$D$80,Settings!$D$82,Settings!$D$84,Settings!$D$86),"")</f>
        <v/>
      </c>
      <c r="P117" s="148">
        <f>IFERROR((N117*(1-Settings!$D$17)-C117)/(N117*(1-Settings!$D$17)),"")</f>
        <v/>
      </c>
      <c r="Q117" s="149">
        <f>IFERROR(IF(N117="","",IF(N117&gt;=C117/(1-SKU_Base!AB117)/(1-Settings!$D$17),"OK",IF(N117&gt;=C117/(1-SKU_Base!AI117)/(1-Settings!$D$17),"WARN","STOP"))),"")</f>
        <v/>
      </c>
      <c r="R117" s="161">
        <f>IFERROR(ROUND(D117*(1-CHOOSE(MATCH(IF($E117="","Основний",$E117),{"Трафіковий","Основний","Маржинальний","Сезонний","Стратегічний"},0),Settings!$E$78,Settings!$E$80,Settings!$E$82,Settings!$E$84,Settings!$E$86))/6,2)*6,"")</f>
        <v/>
      </c>
      <c r="S117" s="142">
        <f>IFERROR(CHOOSE(MATCH(IF($E117="","Основний",$E117),{"Трафіковий","Основний","Маржинальний","Сезонний","Стратегічний"},0),Settings!$E$78,Settings!$E$80,Settings!$E$82,Settings!$E$84,Settings!$E$86),"")</f>
        <v/>
      </c>
      <c r="T117" s="148">
        <f>IFERROR((R117*(1-Settings!$E$17)-C117)/(R117*(1-Settings!$E$17)),"")</f>
        <v/>
      </c>
      <c r="U117" s="149">
        <f>IFERROR(IF(R117="","",IF(R117&gt;=C117/(1-SKU_Base!AC117)/(1-Settings!$E$17),"OK",IF(R117&gt;=C117/(1-SKU_Base!AJ117)/(1-Settings!$E$17),"WARN","STOP"))),"")</f>
        <v/>
      </c>
      <c r="V117" s="161">
        <f>IFERROR(ROUND(D117*(1-CHOOSE(MATCH(IF($E117="","Основний",$E117),{"Трафіковий","Основний","Маржинальний","Сезонний","Стратегічний"},0),Settings!$F$78,Settings!$F$80,Settings!$F$82,Settings!$F$84,Settings!$F$86))/6,2)*6,"")</f>
        <v/>
      </c>
      <c r="W117" s="142">
        <f>IFERROR(CHOOSE(MATCH(IF($E117="","Основний",$E117),{"Трафіковий","Основний","Маржинальний","Сезонний","Стратегічний"},0),Settings!$F$78,Settings!$F$80,Settings!$F$82,Settings!$F$84,Settings!$F$86),"")</f>
        <v/>
      </c>
      <c r="X117" s="148">
        <f>IFERROR((V117*(1-Settings!$F$17)-C117)/(V117*(1-Settings!$F$17)),"")</f>
        <v/>
      </c>
      <c r="Y117" s="149">
        <f>IFERROR(IF(V117="","",IF(V117&gt;=C117/(1-SKU_Base!AD117)/(1-Settings!$F$17),"OK",IF(V117&gt;=C117/(1-SKU_Base!AK117)/(1-Settings!$F$17),"WARN","STOP"))),"")</f>
        <v/>
      </c>
      <c r="Z117" s="161">
        <f>IFERROR(ROUND(D117*(1-CHOOSE(MATCH(IF($E117="","Основний",$E117),{"Трафіковий","Основний","Маржинальний","Сезонний","Стратегічний"},0),Settings!$G$78,Settings!$G$80,Settings!$G$82,Settings!$G$84,Settings!$G$86))/6,2)*6,"")</f>
        <v/>
      </c>
      <c r="AA117" s="142">
        <f>IFERROR(CHOOSE(MATCH(IF($E117="","Основний",$E117),{"Трафіковий","Основний","Маржинальний","Сезонний","Стратегічний"},0),Settings!$G$78,Settings!$G$80,Settings!$G$82,Settings!$G$84,Settings!$G$86),"")</f>
        <v/>
      </c>
      <c r="AB117" s="148">
        <f>IFERROR((Z117*(1-Settings!$G$17)-C117)/(Z117*(1-Settings!$G$17)),"")</f>
        <v/>
      </c>
      <c r="AC117" s="149">
        <f>IFERROR(IF(Z117="","",IF(Z117&gt;=C117/(1-SKU_Base!AE117)/(1-Settings!$G$17),"OK",IF(Z117&gt;=C117/(1-SKU_Base!AL117)/(1-Settings!$G$17),"WARN","STOP"))),"")</f>
        <v/>
      </c>
      <c r="AD117" s="161">
        <f>IFERROR(ROUND(D117*(1-CHOOSE(MATCH(IF($E117="","Основний",$E117),{"Трафіковий","Основний","Маржинальний","Сезонний","Стратегічний"},0),Settings!$H$78,Settings!$H$80,Settings!$H$82,Settings!$H$84,Settings!$H$86))*(1-Settings!$H$68)/6,2)*6,"")</f>
        <v/>
      </c>
      <c r="AE117" s="142">
        <f>IFERROR(CHOOSE(MATCH(IF($E117="","Основний",$E117),{"Трафіковий","Основний","Маржинальний","Сезонний","Стратегічний"},0),Settings!$H$78,Settings!$H$80,Settings!$H$82,Settings!$H$84,Settings!$H$86)+(1-(CHOOSE(MATCH(IF($E117="","Основний",$E117),{"Трафіковий","Основний","Маржинальний","Сезонний","Стратегічний"},0),Settings!$H$78,Settings!$H$80,Settings!$H$82,Settings!$H$84,Settings!$H$86)))*Settings!$H$68,"")</f>
        <v/>
      </c>
      <c r="AF117" s="148">
        <f>IFERROR((AD117*(1-Settings!$H$17)-C117)/(AD117*(1-Settings!$H$17)),"")</f>
        <v/>
      </c>
      <c r="AG117" s="150">
        <f>IFERROR(IF(AD117="","",IF(AD117&gt;=C117/(1-SKU_Base!AF117)/(1-Settings!$H$17),"OK",IF(AD117&gt;=C117/(1-SKU_Base!AM117)/(1-Settings!$H$17),"WARN","STOP"))),"")</f>
        <v/>
      </c>
    </row>
    <row r="118" ht="17" customHeight="1" s="179">
      <c r="A118" s="139">
        <f>SKU_Base!B118</f>
        <v/>
      </c>
      <c r="B118" s="139">
        <f>SKU_Base!C118</f>
        <v/>
      </c>
      <c r="C118" s="140">
        <f>IFERROR(SKU_Base!I118,"")</f>
        <v/>
      </c>
      <c r="D118" s="163">
        <f>IFERROR(SKU_Base!T118,"")</f>
        <v/>
      </c>
      <c r="E118" s="141">
        <f>IFERROR(SKU_Base!$U118,"")</f>
        <v/>
      </c>
      <c r="F118" s="158">
        <f>IFERROR(ROUND(D118*(1-CHOOSE(MATCH(IF($E118="","Основний",$E118),{"Трафіковий","Основний","Маржинальний","Сезонний","Стратегічний"},0),Settings!$B$78,Settings!$B$80,Settings!$B$82,Settings!$B$84,Settings!$B$86))/6,2)*6,"")</f>
        <v/>
      </c>
      <c r="G118" s="142">
        <f>IFERROR(CHOOSE(MATCH(IF($E118="","Основний",$E118),{"Трафіковий","Основний","Маржинальний","Сезонний","Стратегічний"},0),Settings!$B$78,Settings!$B$80,Settings!$B$82,Settings!$B$84,Settings!$B$86),"")</f>
        <v/>
      </c>
      <c r="H118" s="143">
        <f>IFERROR((F118*(1-Settings!$B$17)-C118)/(F118*(1-Settings!$B$17)),"")</f>
        <v/>
      </c>
      <c r="I118" s="149">
        <f>IFERROR(IF(F118="","",IF(F118&gt;=C118/(1-SKU_Base!Z118)/(1-Settings!$B$17),"OK",IF(F118&gt;=C118/(1-SKU_Base!AG118)/(1-Settings!$B$17),"WARN","STOP"))),"")</f>
        <v/>
      </c>
      <c r="J118" s="158">
        <f>IFERROR(ROUND(D118*(1-CHOOSE(MATCH(IF($E118="","Основний",$E118),{"Трафіковий","Основний","Маржинальний","Сезонний","Стратегічний"},0),Settings!$C$78,Settings!$C$80,Settings!$C$82,Settings!$C$84,Settings!$C$86))/6,2)*6,"")</f>
        <v/>
      </c>
      <c r="K118" s="142">
        <f>IFERROR(CHOOSE(MATCH(IF($E118="","Основний",$E118),{"Трафіковий","Основний","Маржинальний","Сезонний","Стратегічний"},0),Settings!$C$78,Settings!$C$80,Settings!$C$82,Settings!$C$84,Settings!$C$86),"")</f>
        <v/>
      </c>
      <c r="L118" s="143">
        <f>IFERROR((J118*(1-Settings!$C$17)-C118)/(J118*(1-Settings!$C$17)),"")</f>
        <v/>
      </c>
      <c r="M118" s="149">
        <f>IFERROR(IF(J118="","",IF(J118&gt;=C118/(1-SKU_Base!AA118)/(1-Settings!$C$17),"OK",IF(J118&gt;=C118/(1-SKU_Base!AH118)/(1-Settings!$C$17),"WARN","STOP"))),"")</f>
        <v/>
      </c>
      <c r="N118" s="159">
        <f>IFERROR(ROUND(D118*(1-CHOOSE(MATCH(IF($E118="","Основний",$E118),{"Трафіковий","Основний","Маржинальний","Сезонний","Стратегічний"},0),Settings!$D$78,Settings!$D$80,Settings!$D$82,Settings!$D$84,Settings!$D$86))/6,2)*6,"")</f>
        <v/>
      </c>
      <c r="O118" s="142">
        <f>IFERROR(CHOOSE(MATCH(IF($E118="","Основний",$E118),{"Трафіковий","Основний","Маржинальний","Сезонний","Стратегічний"},0),Settings!$D$78,Settings!$D$80,Settings!$D$82,Settings!$D$84,Settings!$D$86),"")</f>
        <v/>
      </c>
      <c r="P118" s="143">
        <f>IFERROR((N118*(1-Settings!$D$17)-C118)/(N118*(1-Settings!$D$17)),"")</f>
        <v/>
      </c>
      <c r="Q118" s="149">
        <f>IFERROR(IF(N118="","",IF(N118&gt;=C118/(1-SKU_Base!AB118)/(1-Settings!$D$17),"OK",IF(N118&gt;=C118/(1-SKU_Base!AI118)/(1-Settings!$D$17),"WARN","STOP"))),"")</f>
        <v/>
      </c>
      <c r="R118" s="159">
        <f>IFERROR(ROUND(D118*(1-CHOOSE(MATCH(IF($E118="","Основний",$E118),{"Трафіковий","Основний","Маржинальний","Сезонний","Стратегічний"},0),Settings!$E$78,Settings!$E$80,Settings!$E$82,Settings!$E$84,Settings!$E$86))/6,2)*6,"")</f>
        <v/>
      </c>
      <c r="S118" s="142">
        <f>IFERROR(CHOOSE(MATCH(IF($E118="","Основний",$E118),{"Трафіковий","Основний","Маржинальний","Сезонний","Стратегічний"},0),Settings!$E$78,Settings!$E$80,Settings!$E$82,Settings!$E$84,Settings!$E$86),"")</f>
        <v/>
      </c>
      <c r="T118" s="143">
        <f>IFERROR((R118*(1-Settings!$E$17)-C118)/(R118*(1-Settings!$E$17)),"")</f>
        <v/>
      </c>
      <c r="U118" s="149">
        <f>IFERROR(IF(R118="","",IF(R118&gt;=C118/(1-SKU_Base!AC118)/(1-Settings!$E$17),"OK",IF(R118&gt;=C118/(1-SKU_Base!AJ118)/(1-Settings!$E$17),"WARN","STOP"))),"")</f>
        <v/>
      </c>
      <c r="V118" s="159">
        <f>IFERROR(ROUND(D118*(1-CHOOSE(MATCH(IF($E118="","Основний",$E118),{"Трафіковий","Основний","Маржинальний","Сезонний","Стратегічний"},0),Settings!$F$78,Settings!$F$80,Settings!$F$82,Settings!$F$84,Settings!$F$86))/6,2)*6,"")</f>
        <v/>
      </c>
      <c r="W118" s="142">
        <f>IFERROR(CHOOSE(MATCH(IF($E118="","Основний",$E118),{"Трафіковий","Основний","Маржинальний","Сезонний","Стратегічний"},0),Settings!$F$78,Settings!$F$80,Settings!$F$82,Settings!$F$84,Settings!$F$86),"")</f>
        <v/>
      </c>
      <c r="X118" s="143">
        <f>IFERROR((V118*(1-Settings!$F$17)-C118)/(V118*(1-Settings!$F$17)),"")</f>
        <v/>
      </c>
      <c r="Y118" s="149">
        <f>IFERROR(IF(V118="","",IF(V118&gt;=C118/(1-SKU_Base!AD118)/(1-Settings!$F$17),"OK",IF(V118&gt;=C118/(1-SKU_Base!AK118)/(1-Settings!$F$17),"WARN","STOP"))),"")</f>
        <v/>
      </c>
      <c r="Z118" s="159">
        <f>IFERROR(ROUND(D118*(1-CHOOSE(MATCH(IF($E118="","Основний",$E118),{"Трафіковий","Основний","Маржинальний","Сезонний","Стратегічний"},0),Settings!$G$78,Settings!$G$80,Settings!$G$82,Settings!$G$84,Settings!$G$86))/6,2)*6,"")</f>
        <v/>
      </c>
      <c r="AA118" s="142">
        <f>IFERROR(CHOOSE(MATCH(IF($E118="","Основний",$E118),{"Трафіковий","Основний","Маржинальний","Сезонний","Стратегічний"},0),Settings!$G$78,Settings!$G$80,Settings!$G$82,Settings!$G$84,Settings!$G$86),"")</f>
        <v/>
      </c>
      <c r="AB118" s="143">
        <f>IFERROR((Z118*(1-Settings!$G$17)-C118)/(Z118*(1-Settings!$G$17)),"")</f>
        <v/>
      </c>
      <c r="AC118" s="149">
        <f>IFERROR(IF(Z118="","",IF(Z118&gt;=C118/(1-SKU_Base!AE118)/(1-Settings!$G$17),"OK",IF(Z118&gt;=C118/(1-SKU_Base!AL118)/(1-Settings!$G$17),"WARN","STOP"))),"")</f>
        <v/>
      </c>
      <c r="AD118" s="159">
        <f>IFERROR(ROUND(D118*(1-CHOOSE(MATCH(IF($E118="","Основний",$E118),{"Трафіковий","Основний","Маржинальний","Сезонний","Стратегічний"},0),Settings!$H$78,Settings!$H$80,Settings!$H$82,Settings!$H$84,Settings!$H$86))*(1-Settings!$H$68)/6,2)*6,"")</f>
        <v/>
      </c>
      <c r="AE118" s="142">
        <f>IFERROR(CHOOSE(MATCH(IF($E118="","Основний",$E118),{"Трафіковий","Основний","Маржинальний","Сезонний","Стратегічний"},0),Settings!$H$78,Settings!$H$80,Settings!$H$82,Settings!$H$84,Settings!$H$86)+(1-(CHOOSE(MATCH(IF($E118="","Основний",$E118),{"Трафіковий","Основний","Маржинальний","Сезонний","Стратегічний"},0),Settings!$H$78,Settings!$H$80,Settings!$H$82,Settings!$H$84,Settings!$H$86)))*Settings!$H$68,"")</f>
        <v/>
      </c>
      <c r="AF118" s="143">
        <f>IFERROR((AD118*(1-Settings!$H$17)-C118)/(AD118*(1-Settings!$H$17)),"")</f>
        <v/>
      </c>
      <c r="AG118" s="150">
        <f>IFERROR(IF(AD118="","",IF(AD118&gt;=C118/(1-SKU_Base!AF118)/(1-Settings!$H$17),"OK",IF(AD118&gt;=C118/(1-SKU_Base!AM118)/(1-Settings!$H$17),"WARN","STOP"))),"")</f>
        <v/>
      </c>
    </row>
    <row r="119" ht="17" customHeight="1" s="179">
      <c r="A119" s="146">
        <f>SKU_Base!B119</f>
        <v/>
      </c>
      <c r="B119" s="146">
        <f>SKU_Base!C119</f>
        <v/>
      </c>
      <c r="C119" s="147">
        <f>IFERROR(SKU_Base!I119,"")</f>
        <v/>
      </c>
      <c r="D119" s="164">
        <f>IFERROR(SKU_Base!T119,"")</f>
        <v/>
      </c>
      <c r="E119" s="141">
        <f>IFERROR(SKU_Base!$U119,"")</f>
        <v/>
      </c>
      <c r="F119" s="160">
        <f>IFERROR(ROUND(D119*(1-CHOOSE(MATCH(IF($E119="","Основний",$E119),{"Трафіковий","Основний","Маржинальний","Сезонний","Стратегічний"},0),Settings!$B$78,Settings!$B$80,Settings!$B$82,Settings!$B$84,Settings!$B$86))/6,2)*6,"")</f>
        <v/>
      </c>
      <c r="G119" s="142">
        <f>IFERROR(CHOOSE(MATCH(IF($E119="","Основний",$E119),{"Трафіковий","Основний","Маржинальний","Сезонний","Стратегічний"},0),Settings!$B$78,Settings!$B$80,Settings!$B$82,Settings!$B$84,Settings!$B$86),"")</f>
        <v/>
      </c>
      <c r="H119" s="148">
        <f>IFERROR((F119*(1-Settings!$B$17)-C119)/(F119*(1-Settings!$B$17)),"")</f>
        <v/>
      </c>
      <c r="I119" s="149">
        <f>IFERROR(IF(F119="","",IF(F119&gt;=C119/(1-SKU_Base!Z119)/(1-Settings!$B$17),"OK",IF(F119&gt;=C119/(1-SKU_Base!AG119)/(1-Settings!$B$17),"WARN","STOP"))),"")</f>
        <v/>
      </c>
      <c r="J119" s="160">
        <f>IFERROR(ROUND(D119*(1-CHOOSE(MATCH(IF($E119="","Основний",$E119),{"Трафіковий","Основний","Маржинальний","Сезонний","Стратегічний"},0),Settings!$C$78,Settings!$C$80,Settings!$C$82,Settings!$C$84,Settings!$C$86))/6,2)*6,"")</f>
        <v/>
      </c>
      <c r="K119" s="142">
        <f>IFERROR(CHOOSE(MATCH(IF($E119="","Основний",$E119),{"Трафіковий","Основний","Маржинальний","Сезонний","Стратегічний"},0),Settings!$C$78,Settings!$C$80,Settings!$C$82,Settings!$C$84,Settings!$C$86),"")</f>
        <v/>
      </c>
      <c r="L119" s="148">
        <f>IFERROR((J119*(1-Settings!$C$17)-C119)/(J119*(1-Settings!$C$17)),"")</f>
        <v/>
      </c>
      <c r="M119" s="149">
        <f>IFERROR(IF(J119="","",IF(J119&gt;=C119/(1-SKU_Base!AA119)/(1-Settings!$C$17),"OK",IF(J119&gt;=C119/(1-SKU_Base!AH119)/(1-Settings!$C$17),"WARN","STOP"))),"")</f>
        <v/>
      </c>
      <c r="N119" s="161">
        <f>IFERROR(ROUND(D119*(1-CHOOSE(MATCH(IF($E119="","Основний",$E119),{"Трафіковий","Основний","Маржинальний","Сезонний","Стратегічний"},0),Settings!$D$78,Settings!$D$80,Settings!$D$82,Settings!$D$84,Settings!$D$86))/6,2)*6,"")</f>
        <v/>
      </c>
      <c r="O119" s="142">
        <f>IFERROR(CHOOSE(MATCH(IF($E119="","Основний",$E119),{"Трафіковий","Основний","Маржинальний","Сезонний","Стратегічний"},0),Settings!$D$78,Settings!$D$80,Settings!$D$82,Settings!$D$84,Settings!$D$86),"")</f>
        <v/>
      </c>
      <c r="P119" s="148">
        <f>IFERROR((N119*(1-Settings!$D$17)-C119)/(N119*(1-Settings!$D$17)),"")</f>
        <v/>
      </c>
      <c r="Q119" s="149">
        <f>IFERROR(IF(N119="","",IF(N119&gt;=C119/(1-SKU_Base!AB119)/(1-Settings!$D$17),"OK",IF(N119&gt;=C119/(1-SKU_Base!AI119)/(1-Settings!$D$17),"WARN","STOP"))),"")</f>
        <v/>
      </c>
      <c r="R119" s="161">
        <f>IFERROR(ROUND(D119*(1-CHOOSE(MATCH(IF($E119="","Основний",$E119),{"Трафіковий","Основний","Маржинальний","Сезонний","Стратегічний"},0),Settings!$E$78,Settings!$E$80,Settings!$E$82,Settings!$E$84,Settings!$E$86))/6,2)*6,"")</f>
        <v/>
      </c>
      <c r="S119" s="142">
        <f>IFERROR(CHOOSE(MATCH(IF($E119="","Основний",$E119),{"Трафіковий","Основний","Маржинальний","Сезонний","Стратегічний"},0),Settings!$E$78,Settings!$E$80,Settings!$E$82,Settings!$E$84,Settings!$E$86),"")</f>
        <v/>
      </c>
      <c r="T119" s="148">
        <f>IFERROR((R119*(1-Settings!$E$17)-C119)/(R119*(1-Settings!$E$17)),"")</f>
        <v/>
      </c>
      <c r="U119" s="149">
        <f>IFERROR(IF(R119="","",IF(R119&gt;=C119/(1-SKU_Base!AC119)/(1-Settings!$E$17),"OK",IF(R119&gt;=C119/(1-SKU_Base!AJ119)/(1-Settings!$E$17),"WARN","STOP"))),"")</f>
        <v/>
      </c>
      <c r="V119" s="161">
        <f>IFERROR(ROUND(D119*(1-CHOOSE(MATCH(IF($E119="","Основний",$E119),{"Трафіковий","Основний","Маржинальний","Сезонний","Стратегічний"},0),Settings!$F$78,Settings!$F$80,Settings!$F$82,Settings!$F$84,Settings!$F$86))/6,2)*6,"")</f>
        <v/>
      </c>
      <c r="W119" s="142">
        <f>IFERROR(CHOOSE(MATCH(IF($E119="","Основний",$E119),{"Трафіковий","Основний","Маржинальний","Сезонний","Стратегічний"},0),Settings!$F$78,Settings!$F$80,Settings!$F$82,Settings!$F$84,Settings!$F$86),"")</f>
        <v/>
      </c>
      <c r="X119" s="148">
        <f>IFERROR((V119*(1-Settings!$F$17)-C119)/(V119*(1-Settings!$F$17)),"")</f>
        <v/>
      </c>
      <c r="Y119" s="149">
        <f>IFERROR(IF(V119="","",IF(V119&gt;=C119/(1-SKU_Base!AD119)/(1-Settings!$F$17),"OK",IF(V119&gt;=C119/(1-SKU_Base!AK119)/(1-Settings!$F$17),"WARN","STOP"))),"")</f>
        <v/>
      </c>
      <c r="Z119" s="161">
        <f>IFERROR(ROUND(D119*(1-CHOOSE(MATCH(IF($E119="","Основний",$E119),{"Трафіковий","Основний","Маржинальний","Сезонний","Стратегічний"},0),Settings!$G$78,Settings!$G$80,Settings!$G$82,Settings!$G$84,Settings!$G$86))/6,2)*6,"")</f>
        <v/>
      </c>
      <c r="AA119" s="142">
        <f>IFERROR(CHOOSE(MATCH(IF($E119="","Основний",$E119),{"Трафіковий","Основний","Маржинальний","Сезонний","Стратегічний"},0),Settings!$G$78,Settings!$G$80,Settings!$G$82,Settings!$G$84,Settings!$G$86),"")</f>
        <v/>
      </c>
      <c r="AB119" s="148">
        <f>IFERROR((Z119*(1-Settings!$G$17)-C119)/(Z119*(1-Settings!$G$17)),"")</f>
        <v/>
      </c>
      <c r="AC119" s="149">
        <f>IFERROR(IF(Z119="","",IF(Z119&gt;=C119/(1-SKU_Base!AE119)/(1-Settings!$G$17),"OK",IF(Z119&gt;=C119/(1-SKU_Base!AL119)/(1-Settings!$G$17),"WARN","STOP"))),"")</f>
        <v/>
      </c>
      <c r="AD119" s="161">
        <f>IFERROR(ROUND(D119*(1-CHOOSE(MATCH(IF($E119="","Основний",$E119),{"Трафіковий","Основний","Маржинальний","Сезонний","Стратегічний"},0),Settings!$H$78,Settings!$H$80,Settings!$H$82,Settings!$H$84,Settings!$H$86))*(1-Settings!$H$68)/6,2)*6,"")</f>
        <v/>
      </c>
      <c r="AE119" s="142">
        <f>IFERROR(CHOOSE(MATCH(IF($E119="","Основний",$E119),{"Трафіковий","Основний","Маржинальний","Сезонний","Стратегічний"},0),Settings!$H$78,Settings!$H$80,Settings!$H$82,Settings!$H$84,Settings!$H$86)+(1-(CHOOSE(MATCH(IF($E119="","Основний",$E119),{"Трафіковий","Основний","Маржинальний","Сезонний","Стратегічний"},0),Settings!$H$78,Settings!$H$80,Settings!$H$82,Settings!$H$84,Settings!$H$86)))*Settings!$H$68,"")</f>
        <v/>
      </c>
      <c r="AF119" s="148">
        <f>IFERROR((AD119*(1-Settings!$H$17)-C119)/(AD119*(1-Settings!$H$17)),"")</f>
        <v/>
      </c>
      <c r="AG119" s="149">
        <f>IFERROR(IF(AD119="","",IF(AD119&gt;=C119/(1-SKU_Base!AF119)/(1-Settings!$H$17),"OK",IF(AD119&gt;=C119/(1-SKU_Base!AM119)/(1-Settings!$H$17),"WARN","STOP"))),"")</f>
        <v/>
      </c>
    </row>
    <row r="120" ht="17" customHeight="1" s="179">
      <c r="A120" s="139">
        <f>SKU_Base!B120</f>
        <v/>
      </c>
      <c r="B120" s="139">
        <f>SKU_Base!C120</f>
        <v/>
      </c>
      <c r="C120" s="140">
        <f>IFERROR(SKU_Base!I120,"")</f>
        <v/>
      </c>
      <c r="D120" s="163">
        <f>IFERROR(SKU_Base!T120,"")</f>
        <v/>
      </c>
      <c r="E120" s="141">
        <f>IFERROR(SKU_Base!$U120,"")</f>
        <v/>
      </c>
      <c r="F120" s="158">
        <f>IFERROR(ROUND(D120*(1-CHOOSE(MATCH(IF($E120="","Основний",$E120),{"Трафіковий","Основний","Маржинальний","Сезонний","Стратегічний"},0),Settings!$B$78,Settings!$B$80,Settings!$B$82,Settings!$B$84,Settings!$B$86))/6,2)*6,"")</f>
        <v/>
      </c>
      <c r="G120" s="142">
        <f>IFERROR(CHOOSE(MATCH(IF($E120="","Основний",$E120),{"Трафіковий","Основний","Маржинальний","Сезонний","Стратегічний"},0),Settings!$B$78,Settings!$B$80,Settings!$B$82,Settings!$B$84,Settings!$B$86),"")</f>
        <v/>
      </c>
      <c r="H120" s="143">
        <f>IFERROR((F120*(1-Settings!$B$17)-C120)/(F120*(1-Settings!$B$17)),"")</f>
        <v/>
      </c>
      <c r="I120" s="150">
        <f>IFERROR(IF(F120="","",IF(F120&gt;=C120/(1-SKU_Base!Z120)/(1-Settings!$B$17),"OK",IF(F120&gt;=C120/(1-SKU_Base!AG120)/(1-Settings!$B$17),"WARN","STOP"))),"")</f>
        <v/>
      </c>
      <c r="J120" s="158">
        <f>IFERROR(ROUND(D120*(1-CHOOSE(MATCH(IF($E120="","Основний",$E120),{"Трафіковий","Основний","Маржинальний","Сезонний","Стратегічний"},0),Settings!$C$78,Settings!$C$80,Settings!$C$82,Settings!$C$84,Settings!$C$86))/6,2)*6,"")</f>
        <v/>
      </c>
      <c r="K120" s="142">
        <f>IFERROR(CHOOSE(MATCH(IF($E120="","Основний",$E120),{"Трафіковий","Основний","Маржинальний","Сезонний","Стратегічний"},0),Settings!$C$78,Settings!$C$80,Settings!$C$82,Settings!$C$84,Settings!$C$86),"")</f>
        <v/>
      </c>
      <c r="L120" s="143">
        <f>IFERROR((J120*(1-Settings!$C$17)-C120)/(J120*(1-Settings!$C$17)),"")</f>
        <v/>
      </c>
      <c r="M120" s="149">
        <f>IFERROR(IF(J120="","",IF(J120&gt;=C120/(1-SKU_Base!AA120)/(1-Settings!$C$17),"OK",IF(J120&gt;=C120/(1-SKU_Base!AH120)/(1-Settings!$C$17),"WARN","STOP"))),"")</f>
        <v/>
      </c>
      <c r="N120" s="159">
        <f>IFERROR(ROUND(D120*(1-CHOOSE(MATCH(IF($E120="","Основний",$E120),{"Трафіковий","Основний","Маржинальний","Сезонний","Стратегічний"},0),Settings!$D$78,Settings!$D$80,Settings!$D$82,Settings!$D$84,Settings!$D$86))/6,2)*6,"")</f>
        <v/>
      </c>
      <c r="O120" s="142">
        <f>IFERROR(CHOOSE(MATCH(IF($E120="","Основний",$E120),{"Трафіковий","Основний","Маржинальний","Сезонний","Стратегічний"},0),Settings!$D$78,Settings!$D$80,Settings!$D$82,Settings!$D$84,Settings!$D$86),"")</f>
        <v/>
      </c>
      <c r="P120" s="143">
        <f>IFERROR((N120*(1-Settings!$D$17)-C120)/(N120*(1-Settings!$D$17)),"")</f>
        <v/>
      </c>
      <c r="Q120" s="149">
        <f>IFERROR(IF(N120="","",IF(N120&gt;=C120/(1-SKU_Base!AB120)/(1-Settings!$D$17),"OK",IF(N120&gt;=C120/(1-SKU_Base!AI120)/(1-Settings!$D$17),"WARN","STOP"))),"")</f>
        <v/>
      </c>
      <c r="R120" s="159">
        <f>IFERROR(ROUND(D120*(1-CHOOSE(MATCH(IF($E120="","Основний",$E120),{"Трафіковий","Основний","Маржинальний","Сезонний","Стратегічний"},0),Settings!$E$78,Settings!$E$80,Settings!$E$82,Settings!$E$84,Settings!$E$86))/6,2)*6,"")</f>
        <v/>
      </c>
      <c r="S120" s="142">
        <f>IFERROR(CHOOSE(MATCH(IF($E120="","Основний",$E120),{"Трафіковий","Основний","Маржинальний","Сезонний","Стратегічний"},0),Settings!$E$78,Settings!$E$80,Settings!$E$82,Settings!$E$84,Settings!$E$86),"")</f>
        <v/>
      </c>
      <c r="T120" s="143">
        <f>IFERROR((R120*(1-Settings!$E$17)-C120)/(R120*(1-Settings!$E$17)),"")</f>
        <v/>
      </c>
      <c r="U120" s="149">
        <f>IFERROR(IF(R120="","",IF(R120&gt;=C120/(1-SKU_Base!AC120)/(1-Settings!$E$17),"OK",IF(R120&gt;=C120/(1-SKU_Base!AJ120)/(1-Settings!$E$17),"WARN","STOP"))),"")</f>
        <v/>
      </c>
      <c r="V120" s="159">
        <f>IFERROR(ROUND(D120*(1-CHOOSE(MATCH(IF($E120="","Основний",$E120),{"Трафіковий","Основний","Маржинальний","Сезонний","Стратегічний"},0),Settings!$F$78,Settings!$F$80,Settings!$F$82,Settings!$F$84,Settings!$F$86))/6,2)*6,"")</f>
        <v/>
      </c>
      <c r="W120" s="142">
        <f>IFERROR(CHOOSE(MATCH(IF($E120="","Основний",$E120),{"Трафіковий","Основний","Маржинальний","Сезонний","Стратегічний"},0),Settings!$F$78,Settings!$F$80,Settings!$F$82,Settings!$F$84,Settings!$F$86),"")</f>
        <v/>
      </c>
      <c r="X120" s="143">
        <f>IFERROR((V120*(1-Settings!$F$17)-C120)/(V120*(1-Settings!$F$17)),"")</f>
        <v/>
      </c>
      <c r="Y120" s="149">
        <f>IFERROR(IF(V120="","",IF(V120&gt;=C120/(1-SKU_Base!AD120)/(1-Settings!$F$17),"OK",IF(V120&gt;=C120/(1-SKU_Base!AK120)/(1-Settings!$F$17),"WARN","STOP"))),"")</f>
        <v/>
      </c>
      <c r="Z120" s="159">
        <f>IFERROR(ROUND(D120*(1-CHOOSE(MATCH(IF($E120="","Основний",$E120),{"Трафіковий","Основний","Маржинальний","Сезонний","Стратегічний"},0),Settings!$G$78,Settings!$G$80,Settings!$G$82,Settings!$G$84,Settings!$G$86))/6,2)*6,"")</f>
        <v/>
      </c>
      <c r="AA120" s="142">
        <f>IFERROR(CHOOSE(MATCH(IF($E120="","Основний",$E120),{"Трафіковий","Основний","Маржинальний","Сезонний","Стратегічний"},0),Settings!$G$78,Settings!$G$80,Settings!$G$82,Settings!$G$84,Settings!$G$86),"")</f>
        <v/>
      </c>
      <c r="AB120" s="143">
        <f>IFERROR((Z120*(1-Settings!$G$17)-C120)/(Z120*(1-Settings!$G$17)),"")</f>
        <v/>
      </c>
      <c r="AC120" s="149">
        <f>IFERROR(IF(Z120="","",IF(Z120&gt;=C120/(1-SKU_Base!AE120)/(1-Settings!$G$17),"OK",IF(Z120&gt;=C120/(1-SKU_Base!AL120)/(1-Settings!$G$17),"WARN","STOP"))),"")</f>
        <v/>
      </c>
      <c r="AD120" s="159">
        <f>IFERROR(ROUND(D120*(1-CHOOSE(MATCH(IF($E120="","Основний",$E120),{"Трафіковий","Основний","Маржинальний","Сезонний","Стратегічний"},0),Settings!$H$78,Settings!$H$80,Settings!$H$82,Settings!$H$84,Settings!$H$86))*(1-Settings!$H$68)/6,2)*6,"")</f>
        <v/>
      </c>
      <c r="AE120" s="142">
        <f>IFERROR(CHOOSE(MATCH(IF($E120="","Основний",$E120),{"Трафіковий","Основний","Маржинальний","Сезонний","Стратегічний"},0),Settings!$H$78,Settings!$H$80,Settings!$H$82,Settings!$H$84,Settings!$H$86)+(1-(CHOOSE(MATCH(IF($E120="","Основний",$E120),{"Трафіковий","Основний","Маржинальний","Сезонний","Стратегічний"},0),Settings!$H$78,Settings!$H$80,Settings!$H$82,Settings!$H$84,Settings!$H$86)))*Settings!$H$68,"")</f>
        <v/>
      </c>
      <c r="AF120" s="143">
        <f>IFERROR((AD120*(1-Settings!$H$17)-C120)/(AD120*(1-Settings!$H$17)),"")</f>
        <v/>
      </c>
      <c r="AG120" s="150">
        <f>IFERROR(IF(AD120="","",IF(AD120&gt;=C120/(1-SKU_Base!AF120)/(1-Settings!$H$17),"OK",IF(AD120&gt;=C120/(1-SKU_Base!AM120)/(1-Settings!$H$17),"WARN","STOP"))),"")</f>
        <v/>
      </c>
    </row>
    <row r="121" ht="17" customHeight="1" s="179">
      <c r="A121" s="146">
        <f>SKU_Base!B121</f>
        <v/>
      </c>
      <c r="B121" s="146">
        <f>SKU_Base!C121</f>
        <v/>
      </c>
      <c r="C121" s="147">
        <f>IFERROR(SKU_Base!I121,"")</f>
        <v/>
      </c>
      <c r="D121" s="164">
        <f>IFERROR(SKU_Base!T121,"")</f>
        <v/>
      </c>
      <c r="E121" s="141">
        <f>IFERROR(SKU_Base!$U121,"")</f>
        <v/>
      </c>
      <c r="F121" s="160">
        <f>IFERROR(ROUND(D121*(1-CHOOSE(MATCH(IF($E121="","Основний",$E121),{"Трафіковий","Основний","Маржинальний","Сезонний","Стратегічний"},0),Settings!$B$78,Settings!$B$80,Settings!$B$82,Settings!$B$84,Settings!$B$86))/6,2)*6,"")</f>
        <v/>
      </c>
      <c r="G121" s="142">
        <f>IFERROR(CHOOSE(MATCH(IF($E121="","Основний",$E121),{"Трафіковий","Основний","Маржинальний","Сезонний","Стратегічний"},0),Settings!$B$78,Settings!$B$80,Settings!$B$82,Settings!$B$84,Settings!$B$86),"")</f>
        <v/>
      </c>
      <c r="H121" s="148">
        <f>IFERROR((F121*(1-Settings!$B$17)-C121)/(F121*(1-Settings!$B$17)),"")</f>
        <v/>
      </c>
      <c r="I121" s="150">
        <f>IFERROR(IF(F121="","",IF(F121&gt;=C121/(1-SKU_Base!Z121)/(1-Settings!$B$17),"OK",IF(F121&gt;=C121/(1-SKU_Base!AG121)/(1-Settings!$B$17),"WARN","STOP"))),"")</f>
        <v/>
      </c>
      <c r="J121" s="160">
        <f>IFERROR(ROUND(D121*(1-CHOOSE(MATCH(IF($E121="","Основний",$E121),{"Трафіковий","Основний","Маржинальний","Сезонний","Стратегічний"},0),Settings!$C$78,Settings!$C$80,Settings!$C$82,Settings!$C$84,Settings!$C$86))/6,2)*6,"")</f>
        <v/>
      </c>
      <c r="K121" s="142">
        <f>IFERROR(CHOOSE(MATCH(IF($E121="","Основний",$E121),{"Трафіковий","Основний","Маржинальний","Сезонний","Стратегічний"},0),Settings!$C$78,Settings!$C$80,Settings!$C$82,Settings!$C$84,Settings!$C$86),"")</f>
        <v/>
      </c>
      <c r="L121" s="148">
        <f>IFERROR((J121*(1-Settings!$C$17)-C121)/(J121*(1-Settings!$C$17)),"")</f>
        <v/>
      </c>
      <c r="M121" s="149">
        <f>IFERROR(IF(J121="","",IF(J121&gt;=C121/(1-SKU_Base!AA121)/(1-Settings!$C$17),"OK",IF(J121&gt;=C121/(1-SKU_Base!AH121)/(1-Settings!$C$17),"WARN","STOP"))),"")</f>
        <v/>
      </c>
      <c r="N121" s="161">
        <f>IFERROR(ROUND(D121*(1-CHOOSE(MATCH(IF($E121="","Основний",$E121),{"Трафіковий","Основний","Маржинальний","Сезонний","Стратегічний"},0),Settings!$D$78,Settings!$D$80,Settings!$D$82,Settings!$D$84,Settings!$D$86))/6,2)*6,"")</f>
        <v/>
      </c>
      <c r="O121" s="142">
        <f>IFERROR(CHOOSE(MATCH(IF($E121="","Основний",$E121),{"Трафіковий","Основний","Маржинальний","Сезонний","Стратегічний"},0),Settings!$D$78,Settings!$D$80,Settings!$D$82,Settings!$D$84,Settings!$D$86),"")</f>
        <v/>
      </c>
      <c r="P121" s="148">
        <f>IFERROR((N121*(1-Settings!$D$17)-C121)/(N121*(1-Settings!$D$17)),"")</f>
        <v/>
      </c>
      <c r="Q121" s="149">
        <f>IFERROR(IF(N121="","",IF(N121&gt;=C121/(1-SKU_Base!AB121)/(1-Settings!$D$17),"OK",IF(N121&gt;=C121/(1-SKU_Base!AI121)/(1-Settings!$D$17),"WARN","STOP"))),"")</f>
        <v/>
      </c>
      <c r="R121" s="161">
        <f>IFERROR(ROUND(D121*(1-CHOOSE(MATCH(IF($E121="","Основний",$E121),{"Трафіковий","Основний","Маржинальний","Сезонний","Стратегічний"},0),Settings!$E$78,Settings!$E$80,Settings!$E$82,Settings!$E$84,Settings!$E$86))/6,2)*6,"")</f>
        <v/>
      </c>
      <c r="S121" s="142">
        <f>IFERROR(CHOOSE(MATCH(IF($E121="","Основний",$E121),{"Трафіковий","Основний","Маржинальний","Сезонний","Стратегічний"},0),Settings!$E$78,Settings!$E$80,Settings!$E$82,Settings!$E$84,Settings!$E$86),"")</f>
        <v/>
      </c>
      <c r="T121" s="148">
        <f>IFERROR((R121*(1-Settings!$E$17)-C121)/(R121*(1-Settings!$E$17)),"")</f>
        <v/>
      </c>
      <c r="U121" s="149">
        <f>IFERROR(IF(R121="","",IF(R121&gt;=C121/(1-SKU_Base!AC121)/(1-Settings!$E$17),"OK",IF(R121&gt;=C121/(1-SKU_Base!AJ121)/(1-Settings!$E$17),"WARN","STOP"))),"")</f>
        <v/>
      </c>
      <c r="V121" s="161">
        <f>IFERROR(ROUND(D121*(1-CHOOSE(MATCH(IF($E121="","Основний",$E121),{"Трафіковий","Основний","Маржинальний","Сезонний","Стратегічний"},0),Settings!$F$78,Settings!$F$80,Settings!$F$82,Settings!$F$84,Settings!$F$86))/6,2)*6,"")</f>
        <v/>
      </c>
      <c r="W121" s="142">
        <f>IFERROR(CHOOSE(MATCH(IF($E121="","Основний",$E121),{"Трафіковий","Основний","Маржинальний","Сезонний","Стратегічний"},0),Settings!$F$78,Settings!$F$80,Settings!$F$82,Settings!$F$84,Settings!$F$86),"")</f>
        <v/>
      </c>
      <c r="X121" s="148">
        <f>IFERROR((V121*(1-Settings!$F$17)-C121)/(V121*(1-Settings!$F$17)),"")</f>
        <v/>
      </c>
      <c r="Y121" s="149">
        <f>IFERROR(IF(V121="","",IF(V121&gt;=C121/(1-SKU_Base!AD121)/(1-Settings!$F$17),"OK",IF(V121&gt;=C121/(1-SKU_Base!AK121)/(1-Settings!$F$17),"WARN","STOP"))),"")</f>
        <v/>
      </c>
      <c r="Z121" s="161">
        <f>IFERROR(ROUND(D121*(1-CHOOSE(MATCH(IF($E121="","Основний",$E121),{"Трафіковий","Основний","Маржинальний","Сезонний","Стратегічний"},0),Settings!$G$78,Settings!$G$80,Settings!$G$82,Settings!$G$84,Settings!$G$86))/6,2)*6,"")</f>
        <v/>
      </c>
      <c r="AA121" s="142">
        <f>IFERROR(CHOOSE(MATCH(IF($E121="","Основний",$E121),{"Трафіковий","Основний","Маржинальний","Сезонний","Стратегічний"},0),Settings!$G$78,Settings!$G$80,Settings!$G$82,Settings!$G$84,Settings!$G$86),"")</f>
        <v/>
      </c>
      <c r="AB121" s="148">
        <f>IFERROR((Z121*(1-Settings!$G$17)-C121)/(Z121*(1-Settings!$G$17)),"")</f>
        <v/>
      </c>
      <c r="AC121" s="149">
        <f>IFERROR(IF(Z121="","",IF(Z121&gt;=C121/(1-SKU_Base!AE121)/(1-Settings!$G$17),"OK",IF(Z121&gt;=C121/(1-SKU_Base!AL121)/(1-Settings!$G$17),"WARN","STOP"))),"")</f>
        <v/>
      </c>
      <c r="AD121" s="161">
        <f>IFERROR(ROUND(D121*(1-CHOOSE(MATCH(IF($E121="","Основний",$E121),{"Трафіковий","Основний","Маржинальний","Сезонний","Стратегічний"},0),Settings!$H$78,Settings!$H$80,Settings!$H$82,Settings!$H$84,Settings!$H$86))*(1-Settings!$H$68)/6,2)*6,"")</f>
        <v/>
      </c>
      <c r="AE121" s="142">
        <f>IFERROR(CHOOSE(MATCH(IF($E121="","Основний",$E121),{"Трафіковий","Основний","Маржинальний","Сезонний","Стратегічний"},0),Settings!$H$78,Settings!$H$80,Settings!$H$82,Settings!$H$84,Settings!$H$86)+(1-(CHOOSE(MATCH(IF($E121="","Основний",$E121),{"Трафіковий","Основний","Маржинальний","Сезонний","Стратегічний"},0),Settings!$H$78,Settings!$H$80,Settings!$H$82,Settings!$H$84,Settings!$H$86)))*Settings!$H$68,"")</f>
        <v/>
      </c>
      <c r="AF121" s="148">
        <f>IFERROR((AD121*(1-Settings!$H$17)-C121)/(AD121*(1-Settings!$H$17)),"")</f>
        <v/>
      </c>
      <c r="AG121" s="150">
        <f>IFERROR(IF(AD121="","",IF(AD121&gt;=C121/(1-SKU_Base!AF121)/(1-Settings!$H$17),"OK",IF(AD121&gt;=C121/(1-SKU_Base!AM121)/(1-Settings!$H$17),"WARN","STOP"))),"")</f>
        <v/>
      </c>
    </row>
    <row r="122" ht="17" customHeight="1" s="179">
      <c r="A122" s="139">
        <f>SKU_Base!B122</f>
        <v/>
      </c>
      <c r="B122" s="139">
        <f>SKU_Base!C122</f>
        <v/>
      </c>
      <c r="C122" s="140">
        <f>IFERROR(SKU_Base!I122,"")</f>
        <v/>
      </c>
      <c r="D122" s="163">
        <f>IFERROR(SKU_Base!T122,"")</f>
        <v/>
      </c>
      <c r="E122" s="141">
        <f>IFERROR(SKU_Base!$U122,"")</f>
        <v/>
      </c>
      <c r="F122" s="158">
        <f>IFERROR(ROUND(D122*(1-CHOOSE(MATCH(IF($E122="","Основний",$E122),{"Трафіковий","Основний","Маржинальний","Сезонний","Стратегічний"},0),Settings!$B$78,Settings!$B$80,Settings!$B$82,Settings!$B$84,Settings!$B$86))/6,2)*6,"")</f>
        <v/>
      </c>
      <c r="G122" s="142">
        <f>IFERROR(CHOOSE(MATCH(IF($E122="","Основний",$E122),{"Трафіковий","Основний","Маржинальний","Сезонний","Стратегічний"},0),Settings!$B$78,Settings!$B$80,Settings!$B$82,Settings!$B$84,Settings!$B$86),"")</f>
        <v/>
      </c>
      <c r="H122" s="143">
        <f>IFERROR((F122*(1-Settings!$B$17)-C122)/(F122*(1-Settings!$B$17)),"")</f>
        <v/>
      </c>
      <c r="I122" s="149">
        <f>IFERROR(IF(F122="","",IF(F122&gt;=C122/(1-SKU_Base!Z122)/(1-Settings!$B$17),"OK",IF(F122&gt;=C122/(1-SKU_Base!AG122)/(1-Settings!$B$17),"WARN","STOP"))),"")</f>
        <v/>
      </c>
      <c r="J122" s="158">
        <f>IFERROR(ROUND(D122*(1-CHOOSE(MATCH(IF($E122="","Основний",$E122),{"Трафіковий","Основний","Маржинальний","Сезонний","Стратегічний"},0),Settings!$C$78,Settings!$C$80,Settings!$C$82,Settings!$C$84,Settings!$C$86))/6,2)*6,"")</f>
        <v/>
      </c>
      <c r="K122" s="142">
        <f>IFERROR(CHOOSE(MATCH(IF($E122="","Основний",$E122),{"Трафіковий","Основний","Маржинальний","Сезонний","Стратегічний"},0),Settings!$C$78,Settings!$C$80,Settings!$C$82,Settings!$C$84,Settings!$C$86),"")</f>
        <v/>
      </c>
      <c r="L122" s="143">
        <f>IFERROR((J122*(1-Settings!$C$17)-C122)/(J122*(1-Settings!$C$17)),"")</f>
        <v/>
      </c>
      <c r="M122" s="149">
        <f>IFERROR(IF(J122="","",IF(J122&gt;=C122/(1-SKU_Base!AA122)/(1-Settings!$C$17),"OK",IF(J122&gt;=C122/(1-SKU_Base!AH122)/(1-Settings!$C$17),"WARN","STOP"))),"")</f>
        <v/>
      </c>
      <c r="N122" s="159">
        <f>IFERROR(ROUND(D122*(1-CHOOSE(MATCH(IF($E122="","Основний",$E122),{"Трафіковий","Основний","Маржинальний","Сезонний","Стратегічний"},0),Settings!$D$78,Settings!$D$80,Settings!$D$82,Settings!$D$84,Settings!$D$86))/6,2)*6,"")</f>
        <v/>
      </c>
      <c r="O122" s="142">
        <f>IFERROR(CHOOSE(MATCH(IF($E122="","Основний",$E122),{"Трафіковий","Основний","Маржинальний","Сезонний","Стратегічний"},0),Settings!$D$78,Settings!$D$80,Settings!$D$82,Settings!$D$84,Settings!$D$86),"")</f>
        <v/>
      </c>
      <c r="P122" s="143">
        <f>IFERROR((N122*(1-Settings!$D$17)-C122)/(N122*(1-Settings!$D$17)),"")</f>
        <v/>
      </c>
      <c r="Q122" s="149">
        <f>IFERROR(IF(N122="","",IF(N122&gt;=C122/(1-SKU_Base!AB122)/(1-Settings!$D$17),"OK",IF(N122&gt;=C122/(1-SKU_Base!AI122)/(1-Settings!$D$17),"WARN","STOP"))),"")</f>
        <v/>
      </c>
      <c r="R122" s="159">
        <f>IFERROR(ROUND(D122*(1-CHOOSE(MATCH(IF($E122="","Основний",$E122),{"Трафіковий","Основний","Маржинальний","Сезонний","Стратегічний"},0),Settings!$E$78,Settings!$E$80,Settings!$E$82,Settings!$E$84,Settings!$E$86))/6,2)*6,"")</f>
        <v/>
      </c>
      <c r="S122" s="142">
        <f>IFERROR(CHOOSE(MATCH(IF($E122="","Основний",$E122),{"Трафіковий","Основний","Маржинальний","Сезонний","Стратегічний"},0),Settings!$E$78,Settings!$E$80,Settings!$E$82,Settings!$E$84,Settings!$E$86),"")</f>
        <v/>
      </c>
      <c r="T122" s="143">
        <f>IFERROR((R122*(1-Settings!$E$17)-C122)/(R122*(1-Settings!$E$17)),"")</f>
        <v/>
      </c>
      <c r="U122" s="149">
        <f>IFERROR(IF(R122="","",IF(R122&gt;=C122/(1-SKU_Base!AC122)/(1-Settings!$E$17),"OK",IF(R122&gt;=C122/(1-SKU_Base!AJ122)/(1-Settings!$E$17),"WARN","STOP"))),"")</f>
        <v/>
      </c>
      <c r="V122" s="159">
        <f>IFERROR(ROUND(D122*(1-CHOOSE(MATCH(IF($E122="","Основний",$E122),{"Трафіковий","Основний","Маржинальний","Сезонний","Стратегічний"},0),Settings!$F$78,Settings!$F$80,Settings!$F$82,Settings!$F$84,Settings!$F$86))/6,2)*6,"")</f>
        <v/>
      </c>
      <c r="W122" s="142">
        <f>IFERROR(CHOOSE(MATCH(IF($E122="","Основний",$E122),{"Трафіковий","Основний","Маржинальний","Сезонний","Стратегічний"},0),Settings!$F$78,Settings!$F$80,Settings!$F$82,Settings!$F$84,Settings!$F$86),"")</f>
        <v/>
      </c>
      <c r="X122" s="143">
        <f>IFERROR((V122*(1-Settings!$F$17)-C122)/(V122*(1-Settings!$F$17)),"")</f>
        <v/>
      </c>
      <c r="Y122" s="149">
        <f>IFERROR(IF(V122="","",IF(V122&gt;=C122/(1-SKU_Base!AD122)/(1-Settings!$F$17),"OK",IF(V122&gt;=C122/(1-SKU_Base!AK122)/(1-Settings!$F$17),"WARN","STOP"))),"")</f>
        <v/>
      </c>
      <c r="Z122" s="159">
        <f>IFERROR(ROUND(D122*(1-CHOOSE(MATCH(IF($E122="","Основний",$E122),{"Трафіковий","Основний","Маржинальний","Сезонний","Стратегічний"},0),Settings!$G$78,Settings!$G$80,Settings!$G$82,Settings!$G$84,Settings!$G$86))/6,2)*6,"")</f>
        <v/>
      </c>
      <c r="AA122" s="142">
        <f>IFERROR(CHOOSE(MATCH(IF($E122="","Основний",$E122),{"Трафіковий","Основний","Маржинальний","Сезонний","Стратегічний"},0),Settings!$G$78,Settings!$G$80,Settings!$G$82,Settings!$G$84,Settings!$G$86),"")</f>
        <v/>
      </c>
      <c r="AB122" s="143">
        <f>IFERROR((Z122*(1-Settings!$G$17)-C122)/(Z122*(1-Settings!$G$17)),"")</f>
        <v/>
      </c>
      <c r="AC122" s="149">
        <f>IFERROR(IF(Z122="","",IF(Z122&gt;=C122/(1-SKU_Base!AE122)/(1-Settings!$G$17),"OK",IF(Z122&gt;=C122/(1-SKU_Base!AL122)/(1-Settings!$G$17),"WARN","STOP"))),"")</f>
        <v/>
      </c>
      <c r="AD122" s="159">
        <f>IFERROR(ROUND(D122*(1-CHOOSE(MATCH(IF($E122="","Основний",$E122),{"Трафіковий","Основний","Маржинальний","Сезонний","Стратегічний"},0),Settings!$H$78,Settings!$H$80,Settings!$H$82,Settings!$H$84,Settings!$H$86))*(1-Settings!$H$68)/6,2)*6,"")</f>
        <v/>
      </c>
      <c r="AE122" s="142">
        <f>IFERROR(CHOOSE(MATCH(IF($E122="","Основний",$E122),{"Трафіковий","Основний","Маржинальний","Сезонний","Стратегічний"},0),Settings!$H$78,Settings!$H$80,Settings!$H$82,Settings!$H$84,Settings!$H$86)+(1-(CHOOSE(MATCH(IF($E122="","Основний",$E122),{"Трафіковий","Основний","Маржинальний","Сезонний","Стратегічний"},0),Settings!$H$78,Settings!$H$80,Settings!$H$82,Settings!$H$84,Settings!$H$86)))*Settings!$H$68,"")</f>
        <v/>
      </c>
      <c r="AF122" s="143">
        <f>IFERROR((AD122*(1-Settings!$H$17)-C122)/(AD122*(1-Settings!$H$17)),"")</f>
        <v/>
      </c>
      <c r="AG122" s="150">
        <f>IFERROR(IF(AD122="","",IF(AD122&gt;=C122/(1-SKU_Base!AF122)/(1-Settings!$H$17),"OK",IF(AD122&gt;=C122/(1-SKU_Base!AM122)/(1-Settings!$H$17),"WARN","STOP"))),"")</f>
        <v/>
      </c>
    </row>
    <row r="123" ht="17" customHeight="1" s="179">
      <c r="A123" s="146">
        <f>SKU_Base!B123</f>
        <v/>
      </c>
      <c r="B123" s="146">
        <f>SKU_Base!C123</f>
        <v/>
      </c>
      <c r="C123" s="147">
        <f>IFERROR(SKU_Base!I123,"")</f>
        <v/>
      </c>
      <c r="D123" s="164">
        <f>IFERROR(SKU_Base!T123,"")</f>
        <v/>
      </c>
      <c r="E123" s="141">
        <f>IFERROR(SKU_Base!$U123,"")</f>
        <v/>
      </c>
      <c r="F123" s="160">
        <f>IFERROR(ROUND(D123*(1-CHOOSE(MATCH(IF($E123="","Основний",$E123),{"Трафіковий","Основний","Маржинальний","Сезонний","Стратегічний"},0),Settings!$B$78,Settings!$B$80,Settings!$B$82,Settings!$B$84,Settings!$B$86))/6,2)*6,"")</f>
        <v/>
      </c>
      <c r="G123" s="142">
        <f>IFERROR(CHOOSE(MATCH(IF($E123="","Основний",$E123),{"Трафіковий","Основний","Маржинальний","Сезонний","Стратегічний"},0),Settings!$B$78,Settings!$B$80,Settings!$B$82,Settings!$B$84,Settings!$B$86),"")</f>
        <v/>
      </c>
      <c r="H123" s="148">
        <f>IFERROR((F123*(1-Settings!$B$17)-C123)/(F123*(1-Settings!$B$17)),"")</f>
        <v/>
      </c>
      <c r="I123" s="149">
        <f>IFERROR(IF(F123="","",IF(F123&gt;=C123/(1-SKU_Base!Z123)/(1-Settings!$B$17),"OK",IF(F123&gt;=C123/(1-SKU_Base!AG123)/(1-Settings!$B$17),"WARN","STOP"))),"")</f>
        <v/>
      </c>
      <c r="J123" s="160">
        <f>IFERROR(ROUND(D123*(1-CHOOSE(MATCH(IF($E123="","Основний",$E123),{"Трафіковий","Основний","Маржинальний","Сезонний","Стратегічний"},0),Settings!$C$78,Settings!$C$80,Settings!$C$82,Settings!$C$84,Settings!$C$86))/6,2)*6,"")</f>
        <v/>
      </c>
      <c r="K123" s="142">
        <f>IFERROR(CHOOSE(MATCH(IF($E123="","Основний",$E123),{"Трафіковий","Основний","Маржинальний","Сезонний","Стратегічний"},0),Settings!$C$78,Settings!$C$80,Settings!$C$82,Settings!$C$84,Settings!$C$86),"")</f>
        <v/>
      </c>
      <c r="L123" s="148">
        <f>IFERROR((J123*(1-Settings!$C$17)-C123)/(J123*(1-Settings!$C$17)),"")</f>
        <v/>
      </c>
      <c r="M123" s="149">
        <f>IFERROR(IF(J123="","",IF(J123&gt;=C123/(1-SKU_Base!AA123)/(1-Settings!$C$17),"OK",IF(J123&gt;=C123/(1-SKU_Base!AH123)/(1-Settings!$C$17),"WARN","STOP"))),"")</f>
        <v/>
      </c>
      <c r="N123" s="161">
        <f>IFERROR(ROUND(D123*(1-CHOOSE(MATCH(IF($E123="","Основний",$E123),{"Трафіковий","Основний","Маржинальний","Сезонний","Стратегічний"},0),Settings!$D$78,Settings!$D$80,Settings!$D$82,Settings!$D$84,Settings!$D$86))/6,2)*6,"")</f>
        <v/>
      </c>
      <c r="O123" s="142">
        <f>IFERROR(CHOOSE(MATCH(IF($E123="","Основний",$E123),{"Трафіковий","Основний","Маржинальний","Сезонний","Стратегічний"},0),Settings!$D$78,Settings!$D$80,Settings!$D$82,Settings!$D$84,Settings!$D$86),"")</f>
        <v/>
      </c>
      <c r="P123" s="148">
        <f>IFERROR((N123*(1-Settings!$D$17)-C123)/(N123*(1-Settings!$D$17)),"")</f>
        <v/>
      </c>
      <c r="Q123" s="149">
        <f>IFERROR(IF(N123="","",IF(N123&gt;=C123/(1-SKU_Base!AB123)/(1-Settings!$D$17),"OK",IF(N123&gt;=C123/(1-SKU_Base!AI123)/(1-Settings!$D$17),"WARN","STOP"))),"")</f>
        <v/>
      </c>
      <c r="R123" s="161">
        <f>IFERROR(ROUND(D123*(1-CHOOSE(MATCH(IF($E123="","Основний",$E123),{"Трафіковий","Основний","Маржинальний","Сезонний","Стратегічний"},0),Settings!$E$78,Settings!$E$80,Settings!$E$82,Settings!$E$84,Settings!$E$86))/6,2)*6,"")</f>
        <v/>
      </c>
      <c r="S123" s="142">
        <f>IFERROR(CHOOSE(MATCH(IF($E123="","Основний",$E123),{"Трафіковий","Основний","Маржинальний","Сезонний","Стратегічний"},0),Settings!$E$78,Settings!$E$80,Settings!$E$82,Settings!$E$84,Settings!$E$86),"")</f>
        <v/>
      </c>
      <c r="T123" s="148">
        <f>IFERROR((R123*(1-Settings!$E$17)-C123)/(R123*(1-Settings!$E$17)),"")</f>
        <v/>
      </c>
      <c r="U123" s="149">
        <f>IFERROR(IF(R123="","",IF(R123&gt;=C123/(1-SKU_Base!AC123)/(1-Settings!$E$17),"OK",IF(R123&gt;=C123/(1-SKU_Base!AJ123)/(1-Settings!$E$17),"WARN","STOP"))),"")</f>
        <v/>
      </c>
      <c r="V123" s="161">
        <f>IFERROR(ROUND(D123*(1-CHOOSE(MATCH(IF($E123="","Основний",$E123),{"Трафіковий","Основний","Маржинальний","Сезонний","Стратегічний"},0),Settings!$F$78,Settings!$F$80,Settings!$F$82,Settings!$F$84,Settings!$F$86))/6,2)*6,"")</f>
        <v/>
      </c>
      <c r="W123" s="142">
        <f>IFERROR(CHOOSE(MATCH(IF($E123="","Основний",$E123),{"Трафіковий","Основний","Маржинальний","Сезонний","Стратегічний"},0),Settings!$F$78,Settings!$F$80,Settings!$F$82,Settings!$F$84,Settings!$F$86),"")</f>
        <v/>
      </c>
      <c r="X123" s="148">
        <f>IFERROR((V123*(1-Settings!$F$17)-C123)/(V123*(1-Settings!$F$17)),"")</f>
        <v/>
      </c>
      <c r="Y123" s="149">
        <f>IFERROR(IF(V123="","",IF(V123&gt;=C123/(1-SKU_Base!AD123)/(1-Settings!$F$17),"OK",IF(V123&gt;=C123/(1-SKU_Base!AK123)/(1-Settings!$F$17),"WARN","STOP"))),"")</f>
        <v/>
      </c>
      <c r="Z123" s="161">
        <f>IFERROR(ROUND(D123*(1-CHOOSE(MATCH(IF($E123="","Основний",$E123),{"Трафіковий","Основний","Маржинальний","Сезонний","Стратегічний"},0),Settings!$G$78,Settings!$G$80,Settings!$G$82,Settings!$G$84,Settings!$G$86))/6,2)*6,"")</f>
        <v/>
      </c>
      <c r="AA123" s="142">
        <f>IFERROR(CHOOSE(MATCH(IF($E123="","Основний",$E123),{"Трафіковий","Основний","Маржинальний","Сезонний","Стратегічний"},0),Settings!$G$78,Settings!$G$80,Settings!$G$82,Settings!$G$84,Settings!$G$86),"")</f>
        <v/>
      </c>
      <c r="AB123" s="148">
        <f>IFERROR((Z123*(1-Settings!$G$17)-C123)/(Z123*(1-Settings!$G$17)),"")</f>
        <v/>
      </c>
      <c r="AC123" s="149">
        <f>IFERROR(IF(Z123="","",IF(Z123&gt;=C123/(1-SKU_Base!AE123)/(1-Settings!$G$17),"OK",IF(Z123&gt;=C123/(1-SKU_Base!AL123)/(1-Settings!$G$17),"WARN","STOP"))),"")</f>
        <v/>
      </c>
      <c r="AD123" s="161">
        <f>IFERROR(ROUND(D123*(1-CHOOSE(MATCH(IF($E123="","Основний",$E123),{"Трафіковий","Основний","Маржинальний","Сезонний","Стратегічний"},0),Settings!$H$78,Settings!$H$80,Settings!$H$82,Settings!$H$84,Settings!$H$86))*(1-Settings!$H$68)/6,2)*6,"")</f>
        <v/>
      </c>
      <c r="AE123" s="142">
        <f>IFERROR(CHOOSE(MATCH(IF($E123="","Основний",$E123),{"Трафіковий","Основний","Маржинальний","Сезонний","Стратегічний"},0),Settings!$H$78,Settings!$H$80,Settings!$H$82,Settings!$H$84,Settings!$H$86)+(1-(CHOOSE(MATCH(IF($E123="","Основний",$E123),{"Трафіковий","Основний","Маржинальний","Сезонний","Стратегічний"},0),Settings!$H$78,Settings!$H$80,Settings!$H$82,Settings!$H$84,Settings!$H$86)))*Settings!$H$68,"")</f>
        <v/>
      </c>
      <c r="AF123" s="148">
        <f>IFERROR((AD123*(1-Settings!$H$17)-C123)/(AD123*(1-Settings!$H$17)),"")</f>
        <v/>
      </c>
      <c r="AG123" s="149">
        <f>IFERROR(IF(AD123="","",IF(AD123&gt;=C123/(1-SKU_Base!AF123)/(1-Settings!$H$17),"OK",IF(AD123&gt;=C123/(1-SKU_Base!AM123)/(1-Settings!$H$17),"WARN","STOP"))),"")</f>
        <v/>
      </c>
    </row>
    <row r="124" ht="17" customHeight="1" s="179">
      <c r="A124" s="139">
        <f>SKU_Base!B124</f>
        <v/>
      </c>
      <c r="B124" s="139">
        <f>SKU_Base!C124</f>
        <v/>
      </c>
      <c r="C124" s="140">
        <f>IFERROR(SKU_Base!I124,"")</f>
        <v/>
      </c>
      <c r="D124" s="163">
        <f>IFERROR(SKU_Base!T124,"")</f>
        <v/>
      </c>
      <c r="E124" s="141">
        <f>IFERROR(SKU_Base!$U124,"")</f>
        <v/>
      </c>
      <c r="F124" s="158">
        <f>IFERROR(ROUND(D124*(1-CHOOSE(MATCH(IF($E124="","Основний",$E124),{"Трафіковий","Основний","Маржинальний","Сезонний","Стратегічний"},0),Settings!$B$78,Settings!$B$80,Settings!$B$82,Settings!$B$84,Settings!$B$86))/6,2)*6,"")</f>
        <v/>
      </c>
      <c r="G124" s="142">
        <f>IFERROR(CHOOSE(MATCH(IF($E124="","Основний",$E124),{"Трафіковий","Основний","Маржинальний","Сезонний","Стратегічний"},0),Settings!$B$78,Settings!$B$80,Settings!$B$82,Settings!$B$84,Settings!$B$86),"")</f>
        <v/>
      </c>
      <c r="H124" s="143">
        <f>IFERROR((F124*(1-Settings!$B$17)-C124)/(F124*(1-Settings!$B$17)),"")</f>
        <v/>
      </c>
      <c r="I124" s="150">
        <f>IFERROR(IF(F124="","",IF(F124&gt;=C124/(1-SKU_Base!Z124)/(1-Settings!$B$17),"OK",IF(F124&gt;=C124/(1-SKU_Base!AG124)/(1-Settings!$B$17),"WARN","STOP"))),"")</f>
        <v/>
      </c>
      <c r="J124" s="158">
        <f>IFERROR(ROUND(D124*(1-CHOOSE(MATCH(IF($E124="","Основний",$E124),{"Трафіковий","Основний","Маржинальний","Сезонний","Стратегічний"},0),Settings!$C$78,Settings!$C$80,Settings!$C$82,Settings!$C$84,Settings!$C$86))/6,2)*6,"")</f>
        <v/>
      </c>
      <c r="K124" s="142">
        <f>IFERROR(CHOOSE(MATCH(IF($E124="","Основний",$E124),{"Трафіковий","Основний","Маржинальний","Сезонний","Стратегічний"},0),Settings!$C$78,Settings!$C$80,Settings!$C$82,Settings!$C$84,Settings!$C$86),"")</f>
        <v/>
      </c>
      <c r="L124" s="143">
        <f>IFERROR((J124*(1-Settings!$C$17)-C124)/(J124*(1-Settings!$C$17)),"")</f>
        <v/>
      </c>
      <c r="M124" s="149">
        <f>IFERROR(IF(J124="","",IF(J124&gt;=C124/(1-SKU_Base!AA124)/(1-Settings!$C$17),"OK",IF(J124&gt;=C124/(1-SKU_Base!AH124)/(1-Settings!$C$17),"WARN","STOP"))),"")</f>
        <v/>
      </c>
      <c r="N124" s="159">
        <f>IFERROR(ROUND(D124*(1-CHOOSE(MATCH(IF($E124="","Основний",$E124),{"Трафіковий","Основний","Маржинальний","Сезонний","Стратегічний"},0),Settings!$D$78,Settings!$D$80,Settings!$D$82,Settings!$D$84,Settings!$D$86))/6,2)*6,"")</f>
        <v/>
      </c>
      <c r="O124" s="142">
        <f>IFERROR(CHOOSE(MATCH(IF($E124="","Основний",$E124),{"Трафіковий","Основний","Маржинальний","Сезонний","Стратегічний"},0),Settings!$D$78,Settings!$D$80,Settings!$D$82,Settings!$D$84,Settings!$D$86),"")</f>
        <v/>
      </c>
      <c r="P124" s="143">
        <f>IFERROR((N124*(1-Settings!$D$17)-C124)/(N124*(1-Settings!$D$17)),"")</f>
        <v/>
      </c>
      <c r="Q124" s="149">
        <f>IFERROR(IF(N124="","",IF(N124&gt;=C124/(1-SKU_Base!AB124)/(1-Settings!$D$17),"OK",IF(N124&gt;=C124/(1-SKU_Base!AI124)/(1-Settings!$D$17),"WARN","STOP"))),"")</f>
        <v/>
      </c>
      <c r="R124" s="159">
        <f>IFERROR(ROUND(D124*(1-CHOOSE(MATCH(IF($E124="","Основний",$E124),{"Трафіковий","Основний","Маржинальний","Сезонний","Стратегічний"},0),Settings!$E$78,Settings!$E$80,Settings!$E$82,Settings!$E$84,Settings!$E$86))/6,2)*6,"")</f>
        <v/>
      </c>
      <c r="S124" s="142">
        <f>IFERROR(CHOOSE(MATCH(IF($E124="","Основний",$E124),{"Трафіковий","Основний","Маржинальний","Сезонний","Стратегічний"},0),Settings!$E$78,Settings!$E$80,Settings!$E$82,Settings!$E$84,Settings!$E$86),"")</f>
        <v/>
      </c>
      <c r="T124" s="143">
        <f>IFERROR((R124*(1-Settings!$E$17)-C124)/(R124*(1-Settings!$E$17)),"")</f>
        <v/>
      </c>
      <c r="U124" s="149">
        <f>IFERROR(IF(R124="","",IF(R124&gt;=C124/(1-SKU_Base!AC124)/(1-Settings!$E$17),"OK",IF(R124&gt;=C124/(1-SKU_Base!AJ124)/(1-Settings!$E$17),"WARN","STOP"))),"")</f>
        <v/>
      </c>
      <c r="V124" s="159">
        <f>IFERROR(ROUND(D124*(1-CHOOSE(MATCH(IF($E124="","Основний",$E124),{"Трафіковий","Основний","Маржинальний","Сезонний","Стратегічний"},0),Settings!$F$78,Settings!$F$80,Settings!$F$82,Settings!$F$84,Settings!$F$86))/6,2)*6,"")</f>
        <v/>
      </c>
      <c r="W124" s="142">
        <f>IFERROR(CHOOSE(MATCH(IF($E124="","Основний",$E124),{"Трафіковий","Основний","Маржинальний","Сезонний","Стратегічний"},0),Settings!$F$78,Settings!$F$80,Settings!$F$82,Settings!$F$84,Settings!$F$86),"")</f>
        <v/>
      </c>
      <c r="X124" s="143">
        <f>IFERROR((V124*(1-Settings!$F$17)-C124)/(V124*(1-Settings!$F$17)),"")</f>
        <v/>
      </c>
      <c r="Y124" s="149">
        <f>IFERROR(IF(V124="","",IF(V124&gt;=C124/(1-SKU_Base!AD124)/(1-Settings!$F$17),"OK",IF(V124&gt;=C124/(1-SKU_Base!AK124)/(1-Settings!$F$17),"WARN","STOP"))),"")</f>
        <v/>
      </c>
      <c r="Z124" s="159">
        <f>IFERROR(ROUND(D124*(1-CHOOSE(MATCH(IF($E124="","Основний",$E124),{"Трафіковий","Основний","Маржинальний","Сезонний","Стратегічний"},0),Settings!$G$78,Settings!$G$80,Settings!$G$82,Settings!$G$84,Settings!$G$86))/6,2)*6,"")</f>
        <v/>
      </c>
      <c r="AA124" s="142">
        <f>IFERROR(CHOOSE(MATCH(IF($E124="","Основний",$E124),{"Трафіковий","Основний","Маржинальний","Сезонний","Стратегічний"},0),Settings!$G$78,Settings!$G$80,Settings!$G$82,Settings!$G$84,Settings!$G$86),"")</f>
        <v/>
      </c>
      <c r="AB124" s="143">
        <f>IFERROR((Z124*(1-Settings!$G$17)-C124)/(Z124*(1-Settings!$G$17)),"")</f>
        <v/>
      </c>
      <c r="AC124" s="149">
        <f>IFERROR(IF(Z124="","",IF(Z124&gt;=C124/(1-SKU_Base!AE124)/(1-Settings!$G$17),"OK",IF(Z124&gt;=C124/(1-SKU_Base!AL124)/(1-Settings!$G$17),"WARN","STOP"))),"")</f>
        <v/>
      </c>
      <c r="AD124" s="159">
        <f>IFERROR(ROUND(D124*(1-CHOOSE(MATCH(IF($E124="","Основний",$E124),{"Трафіковий","Основний","Маржинальний","Сезонний","Стратегічний"},0),Settings!$H$78,Settings!$H$80,Settings!$H$82,Settings!$H$84,Settings!$H$86))*(1-Settings!$H$68)/6,2)*6,"")</f>
        <v/>
      </c>
      <c r="AE124" s="142">
        <f>IFERROR(CHOOSE(MATCH(IF($E124="","Основний",$E124),{"Трафіковий","Основний","Маржинальний","Сезонний","Стратегічний"},0),Settings!$H$78,Settings!$H$80,Settings!$H$82,Settings!$H$84,Settings!$H$86)+(1-(CHOOSE(MATCH(IF($E124="","Основний",$E124),{"Трафіковий","Основний","Маржинальний","Сезонний","Стратегічний"},0),Settings!$H$78,Settings!$H$80,Settings!$H$82,Settings!$H$84,Settings!$H$86)))*Settings!$H$68,"")</f>
        <v/>
      </c>
      <c r="AF124" s="143">
        <f>IFERROR((AD124*(1-Settings!$H$17)-C124)/(AD124*(1-Settings!$H$17)),"")</f>
        <v/>
      </c>
      <c r="AG124" s="150">
        <f>IFERROR(IF(AD124="","",IF(AD124&gt;=C124/(1-SKU_Base!AF124)/(1-Settings!$H$17),"OK",IF(AD124&gt;=C124/(1-SKU_Base!AM124)/(1-Settings!$H$17),"WARN","STOP"))),"")</f>
        <v/>
      </c>
    </row>
    <row r="125" ht="17" customHeight="1" s="179">
      <c r="A125" s="146">
        <f>SKU_Base!B125</f>
        <v/>
      </c>
      <c r="B125" s="146">
        <f>SKU_Base!C125</f>
        <v/>
      </c>
      <c r="C125" s="147">
        <f>IFERROR(SKU_Base!I125,"")</f>
        <v/>
      </c>
      <c r="D125" s="164">
        <f>IFERROR(SKU_Base!T125,"")</f>
        <v/>
      </c>
      <c r="E125" s="141">
        <f>IFERROR(SKU_Base!$U125,"")</f>
        <v/>
      </c>
      <c r="F125" s="160">
        <f>IFERROR(ROUND(D125*(1-CHOOSE(MATCH(IF($E125="","Основний",$E125),{"Трафіковий","Основний","Маржинальний","Сезонний","Стратегічний"},0),Settings!$B$78,Settings!$B$80,Settings!$B$82,Settings!$B$84,Settings!$B$86))/6,2)*6,"")</f>
        <v/>
      </c>
      <c r="G125" s="142">
        <f>IFERROR(CHOOSE(MATCH(IF($E125="","Основний",$E125),{"Трафіковий","Основний","Маржинальний","Сезонний","Стратегічний"},0),Settings!$B$78,Settings!$B$80,Settings!$B$82,Settings!$B$84,Settings!$B$86),"")</f>
        <v/>
      </c>
      <c r="H125" s="148">
        <f>IFERROR((F125*(1-Settings!$B$17)-C125)/(F125*(1-Settings!$B$17)),"")</f>
        <v/>
      </c>
      <c r="I125" s="149">
        <f>IFERROR(IF(F125="","",IF(F125&gt;=C125/(1-SKU_Base!Z125)/(1-Settings!$B$17),"OK",IF(F125&gt;=C125/(1-SKU_Base!AG125)/(1-Settings!$B$17),"WARN","STOP"))),"")</f>
        <v/>
      </c>
      <c r="J125" s="160">
        <f>IFERROR(ROUND(D125*(1-CHOOSE(MATCH(IF($E125="","Основний",$E125),{"Трафіковий","Основний","Маржинальний","Сезонний","Стратегічний"},0),Settings!$C$78,Settings!$C$80,Settings!$C$82,Settings!$C$84,Settings!$C$86))/6,2)*6,"")</f>
        <v/>
      </c>
      <c r="K125" s="142">
        <f>IFERROR(CHOOSE(MATCH(IF($E125="","Основний",$E125),{"Трафіковий","Основний","Маржинальний","Сезонний","Стратегічний"},0),Settings!$C$78,Settings!$C$80,Settings!$C$82,Settings!$C$84,Settings!$C$86),"")</f>
        <v/>
      </c>
      <c r="L125" s="148">
        <f>IFERROR((J125*(1-Settings!$C$17)-C125)/(J125*(1-Settings!$C$17)),"")</f>
        <v/>
      </c>
      <c r="M125" s="149">
        <f>IFERROR(IF(J125="","",IF(J125&gt;=C125/(1-SKU_Base!AA125)/(1-Settings!$C$17),"OK",IF(J125&gt;=C125/(1-SKU_Base!AH125)/(1-Settings!$C$17),"WARN","STOP"))),"")</f>
        <v/>
      </c>
      <c r="N125" s="161">
        <f>IFERROR(ROUND(D125*(1-CHOOSE(MATCH(IF($E125="","Основний",$E125),{"Трафіковий","Основний","Маржинальний","Сезонний","Стратегічний"},0),Settings!$D$78,Settings!$D$80,Settings!$D$82,Settings!$D$84,Settings!$D$86))/6,2)*6,"")</f>
        <v/>
      </c>
      <c r="O125" s="142">
        <f>IFERROR(CHOOSE(MATCH(IF($E125="","Основний",$E125),{"Трафіковий","Основний","Маржинальний","Сезонний","Стратегічний"},0),Settings!$D$78,Settings!$D$80,Settings!$D$82,Settings!$D$84,Settings!$D$86),"")</f>
        <v/>
      </c>
      <c r="P125" s="148">
        <f>IFERROR((N125*(1-Settings!$D$17)-C125)/(N125*(1-Settings!$D$17)),"")</f>
        <v/>
      </c>
      <c r="Q125" s="149">
        <f>IFERROR(IF(N125="","",IF(N125&gt;=C125/(1-SKU_Base!AB125)/(1-Settings!$D$17),"OK",IF(N125&gt;=C125/(1-SKU_Base!AI125)/(1-Settings!$D$17),"WARN","STOP"))),"")</f>
        <v/>
      </c>
      <c r="R125" s="161">
        <f>IFERROR(ROUND(D125*(1-CHOOSE(MATCH(IF($E125="","Основний",$E125),{"Трафіковий","Основний","Маржинальний","Сезонний","Стратегічний"},0),Settings!$E$78,Settings!$E$80,Settings!$E$82,Settings!$E$84,Settings!$E$86))/6,2)*6,"")</f>
        <v/>
      </c>
      <c r="S125" s="142">
        <f>IFERROR(CHOOSE(MATCH(IF($E125="","Основний",$E125),{"Трафіковий","Основний","Маржинальний","Сезонний","Стратегічний"},0),Settings!$E$78,Settings!$E$80,Settings!$E$82,Settings!$E$84,Settings!$E$86),"")</f>
        <v/>
      </c>
      <c r="T125" s="148">
        <f>IFERROR((R125*(1-Settings!$E$17)-C125)/(R125*(1-Settings!$E$17)),"")</f>
        <v/>
      </c>
      <c r="U125" s="149">
        <f>IFERROR(IF(R125="","",IF(R125&gt;=C125/(1-SKU_Base!AC125)/(1-Settings!$E$17),"OK",IF(R125&gt;=C125/(1-SKU_Base!AJ125)/(1-Settings!$E$17),"WARN","STOP"))),"")</f>
        <v/>
      </c>
      <c r="V125" s="161">
        <f>IFERROR(ROUND(D125*(1-CHOOSE(MATCH(IF($E125="","Основний",$E125),{"Трафіковий","Основний","Маржинальний","Сезонний","Стратегічний"},0),Settings!$F$78,Settings!$F$80,Settings!$F$82,Settings!$F$84,Settings!$F$86))/6,2)*6,"")</f>
        <v/>
      </c>
      <c r="W125" s="142">
        <f>IFERROR(CHOOSE(MATCH(IF($E125="","Основний",$E125),{"Трафіковий","Основний","Маржинальний","Сезонний","Стратегічний"},0),Settings!$F$78,Settings!$F$80,Settings!$F$82,Settings!$F$84,Settings!$F$86),"")</f>
        <v/>
      </c>
      <c r="X125" s="148">
        <f>IFERROR((V125*(1-Settings!$F$17)-C125)/(V125*(1-Settings!$F$17)),"")</f>
        <v/>
      </c>
      <c r="Y125" s="149">
        <f>IFERROR(IF(V125="","",IF(V125&gt;=C125/(1-SKU_Base!AD125)/(1-Settings!$F$17),"OK",IF(V125&gt;=C125/(1-SKU_Base!AK125)/(1-Settings!$F$17),"WARN","STOP"))),"")</f>
        <v/>
      </c>
      <c r="Z125" s="161">
        <f>IFERROR(ROUND(D125*(1-CHOOSE(MATCH(IF($E125="","Основний",$E125),{"Трафіковий","Основний","Маржинальний","Сезонний","Стратегічний"},0),Settings!$G$78,Settings!$G$80,Settings!$G$82,Settings!$G$84,Settings!$G$86))/6,2)*6,"")</f>
        <v/>
      </c>
      <c r="AA125" s="142">
        <f>IFERROR(CHOOSE(MATCH(IF($E125="","Основний",$E125),{"Трафіковий","Основний","Маржинальний","Сезонний","Стратегічний"},0),Settings!$G$78,Settings!$G$80,Settings!$G$82,Settings!$G$84,Settings!$G$86),"")</f>
        <v/>
      </c>
      <c r="AB125" s="148">
        <f>IFERROR((Z125*(1-Settings!$G$17)-C125)/(Z125*(1-Settings!$G$17)),"")</f>
        <v/>
      </c>
      <c r="AC125" s="149">
        <f>IFERROR(IF(Z125="","",IF(Z125&gt;=C125/(1-SKU_Base!AE125)/(1-Settings!$G$17),"OK",IF(Z125&gt;=C125/(1-SKU_Base!AL125)/(1-Settings!$G$17),"WARN","STOP"))),"")</f>
        <v/>
      </c>
      <c r="AD125" s="161">
        <f>IFERROR(ROUND(D125*(1-CHOOSE(MATCH(IF($E125="","Основний",$E125),{"Трафіковий","Основний","Маржинальний","Сезонний","Стратегічний"},0),Settings!$H$78,Settings!$H$80,Settings!$H$82,Settings!$H$84,Settings!$H$86))*(1-Settings!$H$68)/6,2)*6,"")</f>
        <v/>
      </c>
      <c r="AE125" s="142">
        <f>IFERROR(CHOOSE(MATCH(IF($E125="","Основний",$E125),{"Трафіковий","Основний","Маржинальний","Сезонний","Стратегічний"},0),Settings!$H$78,Settings!$H$80,Settings!$H$82,Settings!$H$84,Settings!$H$86)+(1-(CHOOSE(MATCH(IF($E125="","Основний",$E125),{"Трафіковий","Основний","Маржинальний","Сезонний","Стратегічний"},0),Settings!$H$78,Settings!$H$80,Settings!$H$82,Settings!$H$84,Settings!$H$86)))*Settings!$H$68,"")</f>
        <v/>
      </c>
      <c r="AF125" s="148">
        <f>IFERROR((AD125*(1-Settings!$H$17)-C125)/(AD125*(1-Settings!$H$17)),"")</f>
        <v/>
      </c>
      <c r="AG125" s="150">
        <f>IFERROR(IF(AD125="","",IF(AD125&gt;=C125/(1-SKU_Base!AF125)/(1-Settings!$H$17),"OK",IF(AD125&gt;=C125/(1-SKU_Base!AM125)/(1-Settings!$H$17),"WARN","STOP"))),"")</f>
        <v/>
      </c>
    </row>
    <row r="126" ht="17" customHeight="1" s="179">
      <c r="A126" s="139">
        <f>SKU_Base!B126</f>
        <v/>
      </c>
      <c r="B126" s="139">
        <f>SKU_Base!C126</f>
        <v/>
      </c>
      <c r="C126" s="140">
        <f>IFERROR(SKU_Base!I126,"")</f>
        <v/>
      </c>
      <c r="D126" s="163">
        <f>IFERROR(SKU_Base!T126,"")</f>
        <v/>
      </c>
      <c r="E126" s="141">
        <f>IFERROR(SKU_Base!$U126,"")</f>
        <v/>
      </c>
      <c r="F126" s="158">
        <f>IFERROR(ROUND(D126*(1-CHOOSE(MATCH(IF($E126="","Основний",$E126),{"Трафіковий","Основний","Маржинальний","Сезонний","Стратегічний"},0),Settings!$B$78,Settings!$B$80,Settings!$B$82,Settings!$B$84,Settings!$B$86))/6,2)*6,"")</f>
        <v/>
      </c>
      <c r="G126" s="142">
        <f>IFERROR(CHOOSE(MATCH(IF($E126="","Основний",$E126),{"Трафіковий","Основний","Маржинальний","Сезонний","Стратегічний"},0),Settings!$B$78,Settings!$B$80,Settings!$B$82,Settings!$B$84,Settings!$B$86),"")</f>
        <v/>
      </c>
      <c r="H126" s="143">
        <f>IFERROR((F126*(1-Settings!$B$17)-C126)/(F126*(1-Settings!$B$17)),"")</f>
        <v/>
      </c>
      <c r="I126" s="150">
        <f>IFERROR(IF(F126="","",IF(F126&gt;=C126/(1-SKU_Base!Z126)/(1-Settings!$B$17),"OK",IF(F126&gt;=C126/(1-SKU_Base!AG126)/(1-Settings!$B$17),"WARN","STOP"))),"")</f>
        <v/>
      </c>
      <c r="J126" s="158">
        <f>IFERROR(ROUND(D126*(1-CHOOSE(MATCH(IF($E126="","Основний",$E126),{"Трафіковий","Основний","Маржинальний","Сезонний","Стратегічний"},0),Settings!$C$78,Settings!$C$80,Settings!$C$82,Settings!$C$84,Settings!$C$86))/6,2)*6,"")</f>
        <v/>
      </c>
      <c r="K126" s="142">
        <f>IFERROR(CHOOSE(MATCH(IF($E126="","Основний",$E126),{"Трафіковий","Основний","Маржинальний","Сезонний","Стратегічний"},0),Settings!$C$78,Settings!$C$80,Settings!$C$82,Settings!$C$84,Settings!$C$86),"")</f>
        <v/>
      </c>
      <c r="L126" s="143">
        <f>IFERROR((J126*(1-Settings!$C$17)-C126)/(J126*(1-Settings!$C$17)),"")</f>
        <v/>
      </c>
      <c r="M126" s="149">
        <f>IFERROR(IF(J126="","",IF(J126&gt;=C126/(1-SKU_Base!AA126)/(1-Settings!$C$17),"OK",IF(J126&gt;=C126/(1-SKU_Base!AH126)/(1-Settings!$C$17),"WARN","STOP"))),"")</f>
        <v/>
      </c>
      <c r="N126" s="159">
        <f>IFERROR(ROUND(D126*(1-CHOOSE(MATCH(IF($E126="","Основний",$E126),{"Трафіковий","Основний","Маржинальний","Сезонний","Стратегічний"},0),Settings!$D$78,Settings!$D$80,Settings!$D$82,Settings!$D$84,Settings!$D$86))/6,2)*6,"")</f>
        <v/>
      </c>
      <c r="O126" s="142">
        <f>IFERROR(CHOOSE(MATCH(IF($E126="","Основний",$E126),{"Трафіковий","Основний","Маржинальний","Сезонний","Стратегічний"},0),Settings!$D$78,Settings!$D$80,Settings!$D$82,Settings!$D$84,Settings!$D$86),"")</f>
        <v/>
      </c>
      <c r="P126" s="143">
        <f>IFERROR((N126*(1-Settings!$D$17)-C126)/(N126*(1-Settings!$D$17)),"")</f>
        <v/>
      </c>
      <c r="Q126" s="149">
        <f>IFERROR(IF(N126="","",IF(N126&gt;=C126/(1-SKU_Base!AB126)/(1-Settings!$D$17),"OK",IF(N126&gt;=C126/(1-SKU_Base!AI126)/(1-Settings!$D$17),"WARN","STOP"))),"")</f>
        <v/>
      </c>
      <c r="R126" s="159">
        <f>IFERROR(ROUND(D126*(1-CHOOSE(MATCH(IF($E126="","Основний",$E126),{"Трафіковий","Основний","Маржинальний","Сезонний","Стратегічний"},0),Settings!$E$78,Settings!$E$80,Settings!$E$82,Settings!$E$84,Settings!$E$86))/6,2)*6,"")</f>
        <v/>
      </c>
      <c r="S126" s="142">
        <f>IFERROR(CHOOSE(MATCH(IF($E126="","Основний",$E126),{"Трафіковий","Основний","Маржинальний","Сезонний","Стратегічний"},0),Settings!$E$78,Settings!$E$80,Settings!$E$82,Settings!$E$84,Settings!$E$86),"")</f>
        <v/>
      </c>
      <c r="T126" s="143">
        <f>IFERROR((R126*(1-Settings!$E$17)-C126)/(R126*(1-Settings!$E$17)),"")</f>
        <v/>
      </c>
      <c r="U126" s="149">
        <f>IFERROR(IF(R126="","",IF(R126&gt;=C126/(1-SKU_Base!AC126)/(1-Settings!$E$17),"OK",IF(R126&gt;=C126/(1-SKU_Base!AJ126)/(1-Settings!$E$17),"WARN","STOP"))),"")</f>
        <v/>
      </c>
      <c r="V126" s="159">
        <f>IFERROR(ROUND(D126*(1-CHOOSE(MATCH(IF($E126="","Основний",$E126),{"Трафіковий","Основний","Маржинальний","Сезонний","Стратегічний"},0),Settings!$F$78,Settings!$F$80,Settings!$F$82,Settings!$F$84,Settings!$F$86))/6,2)*6,"")</f>
        <v/>
      </c>
      <c r="W126" s="142">
        <f>IFERROR(CHOOSE(MATCH(IF($E126="","Основний",$E126),{"Трафіковий","Основний","Маржинальний","Сезонний","Стратегічний"},0),Settings!$F$78,Settings!$F$80,Settings!$F$82,Settings!$F$84,Settings!$F$86),"")</f>
        <v/>
      </c>
      <c r="X126" s="143">
        <f>IFERROR((V126*(1-Settings!$F$17)-C126)/(V126*(1-Settings!$F$17)),"")</f>
        <v/>
      </c>
      <c r="Y126" s="149">
        <f>IFERROR(IF(V126="","",IF(V126&gt;=C126/(1-SKU_Base!AD126)/(1-Settings!$F$17),"OK",IF(V126&gt;=C126/(1-SKU_Base!AK126)/(1-Settings!$F$17),"WARN","STOP"))),"")</f>
        <v/>
      </c>
      <c r="Z126" s="159">
        <f>IFERROR(ROUND(D126*(1-CHOOSE(MATCH(IF($E126="","Основний",$E126),{"Трафіковий","Основний","Маржинальний","Сезонний","Стратегічний"},0),Settings!$G$78,Settings!$G$80,Settings!$G$82,Settings!$G$84,Settings!$G$86))/6,2)*6,"")</f>
        <v/>
      </c>
      <c r="AA126" s="142">
        <f>IFERROR(CHOOSE(MATCH(IF($E126="","Основний",$E126),{"Трафіковий","Основний","Маржинальний","Сезонний","Стратегічний"},0),Settings!$G$78,Settings!$G$80,Settings!$G$82,Settings!$G$84,Settings!$G$86),"")</f>
        <v/>
      </c>
      <c r="AB126" s="143">
        <f>IFERROR((Z126*(1-Settings!$G$17)-C126)/(Z126*(1-Settings!$G$17)),"")</f>
        <v/>
      </c>
      <c r="AC126" s="149">
        <f>IFERROR(IF(Z126="","",IF(Z126&gt;=C126/(1-SKU_Base!AE126)/(1-Settings!$G$17),"OK",IF(Z126&gt;=C126/(1-SKU_Base!AL126)/(1-Settings!$G$17),"WARN","STOP"))),"")</f>
        <v/>
      </c>
      <c r="AD126" s="159">
        <f>IFERROR(ROUND(D126*(1-CHOOSE(MATCH(IF($E126="","Основний",$E126),{"Трафіковий","Основний","Маржинальний","Сезонний","Стратегічний"},0),Settings!$H$78,Settings!$H$80,Settings!$H$82,Settings!$H$84,Settings!$H$86))*(1-Settings!$H$68)/6,2)*6,"")</f>
        <v/>
      </c>
      <c r="AE126" s="142">
        <f>IFERROR(CHOOSE(MATCH(IF($E126="","Основний",$E126),{"Трафіковий","Основний","Маржинальний","Сезонний","Стратегічний"},0),Settings!$H$78,Settings!$H$80,Settings!$H$82,Settings!$H$84,Settings!$H$86)+(1-(CHOOSE(MATCH(IF($E126="","Основний",$E126),{"Трафіковий","Основний","Маржинальний","Сезонний","Стратегічний"},0),Settings!$H$78,Settings!$H$80,Settings!$H$82,Settings!$H$84,Settings!$H$86)))*Settings!$H$68,"")</f>
        <v/>
      </c>
      <c r="AF126" s="143">
        <f>IFERROR((AD126*(1-Settings!$H$17)-C126)/(AD126*(1-Settings!$H$17)),"")</f>
        <v/>
      </c>
      <c r="AG126" s="150">
        <f>IFERROR(IF(AD126="","",IF(AD126&gt;=C126/(1-SKU_Base!AF126)/(1-Settings!$H$17),"OK",IF(AD126&gt;=C126/(1-SKU_Base!AM126)/(1-Settings!$H$17),"WARN","STOP"))),"")</f>
        <v/>
      </c>
    </row>
    <row r="127" ht="17" customHeight="1" s="179">
      <c r="A127" s="146">
        <f>SKU_Base!B127</f>
        <v/>
      </c>
      <c r="B127" s="146">
        <f>SKU_Base!C127</f>
        <v/>
      </c>
      <c r="C127" s="147">
        <f>IFERROR(SKU_Base!I127,"")</f>
        <v/>
      </c>
      <c r="D127" s="164">
        <f>IFERROR(SKU_Base!T127,"")</f>
        <v/>
      </c>
      <c r="E127" s="141">
        <f>IFERROR(SKU_Base!$U127,"")</f>
        <v/>
      </c>
      <c r="F127" s="160">
        <f>IFERROR(ROUND(D127*(1-CHOOSE(MATCH(IF($E127="","Основний",$E127),{"Трафіковий","Основний","Маржинальний","Сезонний","Стратегічний"},0),Settings!$B$78,Settings!$B$80,Settings!$B$82,Settings!$B$84,Settings!$B$86))/6,2)*6,"")</f>
        <v/>
      </c>
      <c r="G127" s="142">
        <f>IFERROR(CHOOSE(MATCH(IF($E127="","Основний",$E127),{"Трафіковий","Основний","Маржинальний","Сезонний","Стратегічний"},0),Settings!$B$78,Settings!$B$80,Settings!$B$82,Settings!$B$84,Settings!$B$86),"")</f>
        <v/>
      </c>
      <c r="H127" s="148">
        <f>IFERROR((F127*(1-Settings!$B$17)-C127)/(F127*(1-Settings!$B$17)),"")</f>
        <v/>
      </c>
      <c r="I127" s="149">
        <f>IFERROR(IF(F127="","",IF(F127&gt;=C127/(1-SKU_Base!Z127)/(1-Settings!$B$17),"OK",IF(F127&gt;=C127/(1-SKU_Base!AG127)/(1-Settings!$B$17),"WARN","STOP"))),"")</f>
        <v/>
      </c>
      <c r="J127" s="160">
        <f>IFERROR(ROUND(D127*(1-CHOOSE(MATCH(IF($E127="","Основний",$E127),{"Трафіковий","Основний","Маржинальний","Сезонний","Стратегічний"},0),Settings!$C$78,Settings!$C$80,Settings!$C$82,Settings!$C$84,Settings!$C$86))/6,2)*6,"")</f>
        <v/>
      </c>
      <c r="K127" s="142">
        <f>IFERROR(CHOOSE(MATCH(IF($E127="","Основний",$E127),{"Трафіковий","Основний","Маржинальний","Сезонний","Стратегічний"},0),Settings!$C$78,Settings!$C$80,Settings!$C$82,Settings!$C$84,Settings!$C$86),"")</f>
        <v/>
      </c>
      <c r="L127" s="148">
        <f>IFERROR((J127*(1-Settings!$C$17)-C127)/(J127*(1-Settings!$C$17)),"")</f>
        <v/>
      </c>
      <c r="M127" s="149">
        <f>IFERROR(IF(J127="","",IF(J127&gt;=C127/(1-SKU_Base!AA127)/(1-Settings!$C$17),"OK",IF(J127&gt;=C127/(1-SKU_Base!AH127)/(1-Settings!$C$17),"WARN","STOP"))),"")</f>
        <v/>
      </c>
      <c r="N127" s="161">
        <f>IFERROR(ROUND(D127*(1-CHOOSE(MATCH(IF($E127="","Основний",$E127),{"Трафіковий","Основний","Маржинальний","Сезонний","Стратегічний"},0),Settings!$D$78,Settings!$D$80,Settings!$D$82,Settings!$D$84,Settings!$D$86))/6,2)*6,"")</f>
        <v/>
      </c>
      <c r="O127" s="142">
        <f>IFERROR(CHOOSE(MATCH(IF($E127="","Основний",$E127),{"Трафіковий","Основний","Маржинальний","Сезонний","Стратегічний"},0),Settings!$D$78,Settings!$D$80,Settings!$D$82,Settings!$D$84,Settings!$D$86),"")</f>
        <v/>
      </c>
      <c r="P127" s="148">
        <f>IFERROR((N127*(1-Settings!$D$17)-C127)/(N127*(1-Settings!$D$17)),"")</f>
        <v/>
      </c>
      <c r="Q127" s="149">
        <f>IFERROR(IF(N127="","",IF(N127&gt;=C127/(1-SKU_Base!AB127)/(1-Settings!$D$17),"OK",IF(N127&gt;=C127/(1-SKU_Base!AI127)/(1-Settings!$D$17),"WARN","STOP"))),"")</f>
        <v/>
      </c>
      <c r="R127" s="161">
        <f>IFERROR(ROUND(D127*(1-CHOOSE(MATCH(IF($E127="","Основний",$E127),{"Трафіковий","Основний","Маржинальний","Сезонний","Стратегічний"},0),Settings!$E$78,Settings!$E$80,Settings!$E$82,Settings!$E$84,Settings!$E$86))/6,2)*6,"")</f>
        <v/>
      </c>
      <c r="S127" s="142">
        <f>IFERROR(CHOOSE(MATCH(IF($E127="","Основний",$E127),{"Трафіковий","Основний","Маржинальний","Сезонний","Стратегічний"},0),Settings!$E$78,Settings!$E$80,Settings!$E$82,Settings!$E$84,Settings!$E$86),"")</f>
        <v/>
      </c>
      <c r="T127" s="148">
        <f>IFERROR((R127*(1-Settings!$E$17)-C127)/(R127*(1-Settings!$E$17)),"")</f>
        <v/>
      </c>
      <c r="U127" s="149">
        <f>IFERROR(IF(R127="","",IF(R127&gt;=C127/(1-SKU_Base!AC127)/(1-Settings!$E$17),"OK",IF(R127&gt;=C127/(1-SKU_Base!AJ127)/(1-Settings!$E$17),"WARN","STOP"))),"")</f>
        <v/>
      </c>
      <c r="V127" s="161">
        <f>IFERROR(ROUND(D127*(1-CHOOSE(MATCH(IF($E127="","Основний",$E127),{"Трафіковий","Основний","Маржинальний","Сезонний","Стратегічний"},0),Settings!$F$78,Settings!$F$80,Settings!$F$82,Settings!$F$84,Settings!$F$86))/6,2)*6,"")</f>
        <v/>
      </c>
      <c r="W127" s="142">
        <f>IFERROR(CHOOSE(MATCH(IF($E127="","Основний",$E127),{"Трафіковий","Основний","Маржинальний","Сезонний","Стратегічний"},0),Settings!$F$78,Settings!$F$80,Settings!$F$82,Settings!$F$84,Settings!$F$86),"")</f>
        <v/>
      </c>
      <c r="X127" s="148">
        <f>IFERROR((V127*(1-Settings!$F$17)-C127)/(V127*(1-Settings!$F$17)),"")</f>
        <v/>
      </c>
      <c r="Y127" s="149">
        <f>IFERROR(IF(V127="","",IF(V127&gt;=C127/(1-SKU_Base!AD127)/(1-Settings!$F$17),"OK",IF(V127&gt;=C127/(1-SKU_Base!AK127)/(1-Settings!$F$17),"WARN","STOP"))),"")</f>
        <v/>
      </c>
      <c r="Z127" s="161">
        <f>IFERROR(ROUND(D127*(1-CHOOSE(MATCH(IF($E127="","Основний",$E127),{"Трафіковий","Основний","Маржинальний","Сезонний","Стратегічний"},0),Settings!$G$78,Settings!$G$80,Settings!$G$82,Settings!$G$84,Settings!$G$86))/6,2)*6,"")</f>
        <v/>
      </c>
      <c r="AA127" s="142">
        <f>IFERROR(CHOOSE(MATCH(IF($E127="","Основний",$E127),{"Трафіковий","Основний","Маржинальний","Сезонний","Стратегічний"},0),Settings!$G$78,Settings!$G$80,Settings!$G$82,Settings!$G$84,Settings!$G$86),"")</f>
        <v/>
      </c>
      <c r="AB127" s="148">
        <f>IFERROR((Z127*(1-Settings!$G$17)-C127)/(Z127*(1-Settings!$G$17)),"")</f>
        <v/>
      </c>
      <c r="AC127" s="149">
        <f>IFERROR(IF(Z127="","",IF(Z127&gt;=C127/(1-SKU_Base!AE127)/(1-Settings!$G$17),"OK",IF(Z127&gt;=C127/(1-SKU_Base!AL127)/(1-Settings!$G$17),"WARN","STOP"))),"")</f>
        <v/>
      </c>
      <c r="AD127" s="161">
        <f>IFERROR(ROUND(D127*(1-CHOOSE(MATCH(IF($E127="","Основний",$E127),{"Трафіковий","Основний","Маржинальний","Сезонний","Стратегічний"},0),Settings!$H$78,Settings!$H$80,Settings!$H$82,Settings!$H$84,Settings!$H$86))*(1-Settings!$H$68)/6,2)*6,"")</f>
        <v/>
      </c>
      <c r="AE127" s="142">
        <f>IFERROR(CHOOSE(MATCH(IF($E127="","Основний",$E127),{"Трафіковий","Основний","Маржинальний","Сезонний","Стратегічний"},0),Settings!$H$78,Settings!$H$80,Settings!$H$82,Settings!$H$84,Settings!$H$86)+(1-(CHOOSE(MATCH(IF($E127="","Основний",$E127),{"Трафіковий","Основний","Маржинальний","Сезонний","Стратегічний"},0),Settings!$H$78,Settings!$H$80,Settings!$H$82,Settings!$H$84,Settings!$H$86)))*Settings!$H$68,"")</f>
        <v/>
      </c>
      <c r="AF127" s="148">
        <f>IFERROR((AD127*(1-Settings!$H$17)-C127)/(AD127*(1-Settings!$H$17)),"")</f>
        <v/>
      </c>
      <c r="AG127" s="150">
        <f>IFERROR(IF(AD127="","",IF(AD127&gt;=C127/(1-SKU_Base!AF127)/(1-Settings!$H$17),"OK",IF(AD127&gt;=C127/(1-SKU_Base!AM127)/(1-Settings!$H$17),"WARN","STOP"))),"")</f>
        <v/>
      </c>
    </row>
    <row r="128" ht="17" customHeight="1" s="179">
      <c r="A128" s="139">
        <f>SKU_Base!B128</f>
        <v/>
      </c>
      <c r="B128" s="139">
        <f>SKU_Base!C128</f>
        <v/>
      </c>
      <c r="C128" s="140">
        <f>IFERROR(SKU_Base!I128,"")</f>
        <v/>
      </c>
      <c r="D128" s="163">
        <f>IFERROR(SKU_Base!T128,"")</f>
        <v/>
      </c>
      <c r="E128" s="141">
        <f>IFERROR(SKU_Base!$U128,"")</f>
        <v/>
      </c>
      <c r="F128" s="158">
        <f>IFERROR(ROUND(D128*(1-CHOOSE(MATCH(IF($E128="","Основний",$E128),{"Трафіковий","Основний","Маржинальний","Сезонний","Стратегічний"},0),Settings!$B$78,Settings!$B$80,Settings!$B$82,Settings!$B$84,Settings!$B$86))/6,2)*6,"")</f>
        <v/>
      </c>
      <c r="G128" s="142">
        <f>IFERROR(CHOOSE(MATCH(IF($E128="","Основний",$E128),{"Трафіковий","Основний","Маржинальний","Сезонний","Стратегічний"},0),Settings!$B$78,Settings!$B$80,Settings!$B$82,Settings!$B$84,Settings!$B$86),"")</f>
        <v/>
      </c>
      <c r="H128" s="143">
        <f>IFERROR((F128*(1-Settings!$B$17)-C128)/(F128*(1-Settings!$B$17)),"")</f>
        <v/>
      </c>
      <c r="I128" s="149">
        <f>IFERROR(IF(F128="","",IF(F128&gt;=C128/(1-SKU_Base!Z128)/(1-Settings!$B$17),"OK",IF(F128&gt;=C128/(1-SKU_Base!AG128)/(1-Settings!$B$17),"WARN","STOP"))),"")</f>
        <v/>
      </c>
      <c r="J128" s="158">
        <f>IFERROR(ROUND(D128*(1-CHOOSE(MATCH(IF($E128="","Основний",$E128),{"Трафіковий","Основний","Маржинальний","Сезонний","Стратегічний"},0),Settings!$C$78,Settings!$C$80,Settings!$C$82,Settings!$C$84,Settings!$C$86))/6,2)*6,"")</f>
        <v/>
      </c>
      <c r="K128" s="142">
        <f>IFERROR(CHOOSE(MATCH(IF($E128="","Основний",$E128),{"Трафіковий","Основний","Маржинальний","Сезонний","Стратегічний"},0),Settings!$C$78,Settings!$C$80,Settings!$C$82,Settings!$C$84,Settings!$C$86),"")</f>
        <v/>
      </c>
      <c r="L128" s="143">
        <f>IFERROR((J128*(1-Settings!$C$17)-C128)/(J128*(1-Settings!$C$17)),"")</f>
        <v/>
      </c>
      <c r="M128" s="149">
        <f>IFERROR(IF(J128="","",IF(J128&gt;=C128/(1-SKU_Base!AA128)/(1-Settings!$C$17),"OK",IF(J128&gt;=C128/(1-SKU_Base!AH128)/(1-Settings!$C$17),"WARN","STOP"))),"")</f>
        <v/>
      </c>
      <c r="N128" s="159">
        <f>IFERROR(ROUND(D128*(1-CHOOSE(MATCH(IF($E128="","Основний",$E128),{"Трафіковий","Основний","Маржинальний","Сезонний","Стратегічний"},0),Settings!$D$78,Settings!$D$80,Settings!$D$82,Settings!$D$84,Settings!$D$86))/6,2)*6,"")</f>
        <v/>
      </c>
      <c r="O128" s="142">
        <f>IFERROR(CHOOSE(MATCH(IF($E128="","Основний",$E128),{"Трафіковий","Основний","Маржинальний","Сезонний","Стратегічний"},0),Settings!$D$78,Settings!$D$80,Settings!$D$82,Settings!$D$84,Settings!$D$86),"")</f>
        <v/>
      </c>
      <c r="P128" s="143">
        <f>IFERROR((N128*(1-Settings!$D$17)-C128)/(N128*(1-Settings!$D$17)),"")</f>
        <v/>
      </c>
      <c r="Q128" s="149">
        <f>IFERROR(IF(N128="","",IF(N128&gt;=C128/(1-SKU_Base!AB128)/(1-Settings!$D$17),"OK",IF(N128&gt;=C128/(1-SKU_Base!AI128)/(1-Settings!$D$17),"WARN","STOP"))),"")</f>
        <v/>
      </c>
      <c r="R128" s="159">
        <f>IFERROR(ROUND(D128*(1-CHOOSE(MATCH(IF($E128="","Основний",$E128),{"Трафіковий","Основний","Маржинальний","Сезонний","Стратегічний"},0),Settings!$E$78,Settings!$E$80,Settings!$E$82,Settings!$E$84,Settings!$E$86))/6,2)*6,"")</f>
        <v/>
      </c>
      <c r="S128" s="142">
        <f>IFERROR(CHOOSE(MATCH(IF($E128="","Основний",$E128),{"Трафіковий","Основний","Маржинальний","Сезонний","Стратегічний"},0),Settings!$E$78,Settings!$E$80,Settings!$E$82,Settings!$E$84,Settings!$E$86),"")</f>
        <v/>
      </c>
      <c r="T128" s="143">
        <f>IFERROR((R128*(1-Settings!$E$17)-C128)/(R128*(1-Settings!$E$17)),"")</f>
        <v/>
      </c>
      <c r="U128" s="149">
        <f>IFERROR(IF(R128="","",IF(R128&gt;=C128/(1-SKU_Base!AC128)/(1-Settings!$E$17),"OK",IF(R128&gt;=C128/(1-SKU_Base!AJ128)/(1-Settings!$E$17),"WARN","STOP"))),"")</f>
        <v/>
      </c>
      <c r="V128" s="159">
        <f>IFERROR(ROUND(D128*(1-CHOOSE(MATCH(IF($E128="","Основний",$E128),{"Трафіковий","Основний","Маржинальний","Сезонний","Стратегічний"},0),Settings!$F$78,Settings!$F$80,Settings!$F$82,Settings!$F$84,Settings!$F$86))/6,2)*6,"")</f>
        <v/>
      </c>
      <c r="W128" s="142">
        <f>IFERROR(CHOOSE(MATCH(IF($E128="","Основний",$E128),{"Трафіковий","Основний","Маржинальний","Сезонний","Стратегічний"},0),Settings!$F$78,Settings!$F$80,Settings!$F$82,Settings!$F$84,Settings!$F$86),"")</f>
        <v/>
      </c>
      <c r="X128" s="143">
        <f>IFERROR((V128*(1-Settings!$F$17)-C128)/(V128*(1-Settings!$F$17)),"")</f>
        <v/>
      </c>
      <c r="Y128" s="149">
        <f>IFERROR(IF(V128="","",IF(V128&gt;=C128/(1-SKU_Base!AD128)/(1-Settings!$F$17),"OK",IF(V128&gt;=C128/(1-SKU_Base!AK128)/(1-Settings!$F$17),"WARN","STOP"))),"")</f>
        <v/>
      </c>
      <c r="Z128" s="159">
        <f>IFERROR(ROUND(D128*(1-CHOOSE(MATCH(IF($E128="","Основний",$E128),{"Трафіковий","Основний","Маржинальний","Сезонний","Стратегічний"},0),Settings!$G$78,Settings!$G$80,Settings!$G$82,Settings!$G$84,Settings!$G$86))/6,2)*6,"")</f>
        <v/>
      </c>
      <c r="AA128" s="142">
        <f>IFERROR(CHOOSE(MATCH(IF($E128="","Основний",$E128),{"Трафіковий","Основний","Маржинальний","Сезонний","Стратегічний"},0),Settings!$G$78,Settings!$G$80,Settings!$G$82,Settings!$G$84,Settings!$G$86),"")</f>
        <v/>
      </c>
      <c r="AB128" s="143">
        <f>IFERROR((Z128*(1-Settings!$G$17)-C128)/(Z128*(1-Settings!$G$17)),"")</f>
        <v/>
      </c>
      <c r="AC128" s="149">
        <f>IFERROR(IF(Z128="","",IF(Z128&gt;=C128/(1-SKU_Base!AE128)/(1-Settings!$G$17),"OK",IF(Z128&gt;=C128/(1-SKU_Base!AL128)/(1-Settings!$G$17),"WARN","STOP"))),"")</f>
        <v/>
      </c>
      <c r="AD128" s="159">
        <f>IFERROR(ROUND(D128*(1-CHOOSE(MATCH(IF($E128="","Основний",$E128),{"Трафіковий","Основний","Маржинальний","Сезонний","Стратегічний"},0),Settings!$H$78,Settings!$H$80,Settings!$H$82,Settings!$H$84,Settings!$H$86))*(1-Settings!$H$68)/6,2)*6,"")</f>
        <v/>
      </c>
      <c r="AE128" s="142">
        <f>IFERROR(CHOOSE(MATCH(IF($E128="","Основний",$E128),{"Трафіковий","Основний","Маржинальний","Сезонний","Стратегічний"},0),Settings!$H$78,Settings!$H$80,Settings!$H$82,Settings!$H$84,Settings!$H$86)+(1-(CHOOSE(MATCH(IF($E128="","Основний",$E128),{"Трафіковий","Основний","Маржинальний","Сезонний","Стратегічний"},0),Settings!$H$78,Settings!$H$80,Settings!$H$82,Settings!$H$84,Settings!$H$86)))*Settings!$H$68,"")</f>
        <v/>
      </c>
      <c r="AF128" s="143">
        <f>IFERROR((AD128*(1-Settings!$H$17)-C128)/(AD128*(1-Settings!$H$17)),"")</f>
        <v/>
      </c>
      <c r="AG128" s="150">
        <f>IFERROR(IF(AD128="","",IF(AD128&gt;=C128/(1-SKU_Base!AF128)/(1-Settings!$H$17),"OK",IF(AD128&gt;=C128/(1-SKU_Base!AM128)/(1-Settings!$H$17),"WARN","STOP"))),"")</f>
        <v/>
      </c>
    </row>
    <row r="129" ht="17" customHeight="1" s="179">
      <c r="A129" s="146">
        <f>SKU_Base!B129</f>
        <v/>
      </c>
      <c r="B129" s="146">
        <f>SKU_Base!C129</f>
        <v/>
      </c>
      <c r="C129" s="147">
        <f>IFERROR(SKU_Base!I129,"")</f>
        <v/>
      </c>
      <c r="D129" s="164">
        <f>IFERROR(SKU_Base!T129,"")</f>
        <v/>
      </c>
      <c r="E129" s="141">
        <f>IFERROR(SKU_Base!$U129,"")</f>
        <v/>
      </c>
      <c r="F129" s="160">
        <f>IFERROR(ROUND(D129*(1-CHOOSE(MATCH(IF($E129="","Основний",$E129),{"Трафіковий","Основний","Маржинальний","Сезонний","Стратегічний"},0),Settings!$B$78,Settings!$B$80,Settings!$B$82,Settings!$B$84,Settings!$B$86))/6,2)*6,"")</f>
        <v/>
      </c>
      <c r="G129" s="142">
        <f>IFERROR(CHOOSE(MATCH(IF($E129="","Основний",$E129),{"Трафіковий","Основний","Маржинальний","Сезонний","Стратегічний"},0),Settings!$B$78,Settings!$B$80,Settings!$B$82,Settings!$B$84,Settings!$B$86),"")</f>
        <v/>
      </c>
      <c r="H129" s="148">
        <f>IFERROR((F129*(1-Settings!$B$17)-C129)/(F129*(1-Settings!$B$17)),"")</f>
        <v/>
      </c>
      <c r="I129" s="149">
        <f>IFERROR(IF(F129="","",IF(F129&gt;=C129/(1-SKU_Base!Z129)/(1-Settings!$B$17),"OK",IF(F129&gt;=C129/(1-SKU_Base!AG129)/(1-Settings!$B$17),"WARN","STOP"))),"")</f>
        <v/>
      </c>
      <c r="J129" s="160">
        <f>IFERROR(ROUND(D129*(1-CHOOSE(MATCH(IF($E129="","Основний",$E129),{"Трафіковий","Основний","Маржинальний","Сезонний","Стратегічний"},0),Settings!$C$78,Settings!$C$80,Settings!$C$82,Settings!$C$84,Settings!$C$86))/6,2)*6,"")</f>
        <v/>
      </c>
      <c r="K129" s="142">
        <f>IFERROR(CHOOSE(MATCH(IF($E129="","Основний",$E129),{"Трафіковий","Основний","Маржинальний","Сезонний","Стратегічний"},0),Settings!$C$78,Settings!$C$80,Settings!$C$82,Settings!$C$84,Settings!$C$86),"")</f>
        <v/>
      </c>
      <c r="L129" s="148">
        <f>IFERROR((J129*(1-Settings!$C$17)-C129)/(J129*(1-Settings!$C$17)),"")</f>
        <v/>
      </c>
      <c r="M129" s="149">
        <f>IFERROR(IF(J129="","",IF(J129&gt;=C129/(1-SKU_Base!AA129)/(1-Settings!$C$17),"OK",IF(J129&gt;=C129/(1-SKU_Base!AH129)/(1-Settings!$C$17),"WARN","STOP"))),"")</f>
        <v/>
      </c>
      <c r="N129" s="161">
        <f>IFERROR(ROUND(D129*(1-CHOOSE(MATCH(IF($E129="","Основний",$E129),{"Трафіковий","Основний","Маржинальний","Сезонний","Стратегічний"},0),Settings!$D$78,Settings!$D$80,Settings!$D$82,Settings!$D$84,Settings!$D$86))/6,2)*6,"")</f>
        <v/>
      </c>
      <c r="O129" s="142">
        <f>IFERROR(CHOOSE(MATCH(IF($E129="","Основний",$E129),{"Трафіковий","Основний","Маржинальний","Сезонний","Стратегічний"},0),Settings!$D$78,Settings!$D$80,Settings!$D$82,Settings!$D$84,Settings!$D$86),"")</f>
        <v/>
      </c>
      <c r="P129" s="148">
        <f>IFERROR((N129*(1-Settings!$D$17)-C129)/(N129*(1-Settings!$D$17)),"")</f>
        <v/>
      </c>
      <c r="Q129" s="149">
        <f>IFERROR(IF(N129="","",IF(N129&gt;=C129/(1-SKU_Base!AB129)/(1-Settings!$D$17),"OK",IF(N129&gt;=C129/(1-SKU_Base!AI129)/(1-Settings!$D$17),"WARN","STOP"))),"")</f>
        <v/>
      </c>
      <c r="R129" s="161">
        <f>IFERROR(ROUND(D129*(1-CHOOSE(MATCH(IF($E129="","Основний",$E129),{"Трафіковий","Основний","Маржинальний","Сезонний","Стратегічний"},0),Settings!$E$78,Settings!$E$80,Settings!$E$82,Settings!$E$84,Settings!$E$86))/6,2)*6,"")</f>
        <v/>
      </c>
      <c r="S129" s="142">
        <f>IFERROR(CHOOSE(MATCH(IF($E129="","Основний",$E129),{"Трафіковий","Основний","Маржинальний","Сезонний","Стратегічний"},0),Settings!$E$78,Settings!$E$80,Settings!$E$82,Settings!$E$84,Settings!$E$86),"")</f>
        <v/>
      </c>
      <c r="T129" s="148">
        <f>IFERROR((R129*(1-Settings!$E$17)-C129)/(R129*(1-Settings!$E$17)),"")</f>
        <v/>
      </c>
      <c r="U129" s="149">
        <f>IFERROR(IF(R129="","",IF(R129&gt;=C129/(1-SKU_Base!AC129)/(1-Settings!$E$17),"OK",IF(R129&gt;=C129/(1-SKU_Base!AJ129)/(1-Settings!$E$17),"WARN","STOP"))),"")</f>
        <v/>
      </c>
      <c r="V129" s="161">
        <f>IFERROR(ROUND(D129*(1-CHOOSE(MATCH(IF($E129="","Основний",$E129),{"Трафіковий","Основний","Маржинальний","Сезонний","Стратегічний"},0),Settings!$F$78,Settings!$F$80,Settings!$F$82,Settings!$F$84,Settings!$F$86))/6,2)*6,"")</f>
        <v/>
      </c>
      <c r="W129" s="142">
        <f>IFERROR(CHOOSE(MATCH(IF($E129="","Основний",$E129),{"Трафіковий","Основний","Маржинальний","Сезонний","Стратегічний"},0),Settings!$F$78,Settings!$F$80,Settings!$F$82,Settings!$F$84,Settings!$F$86),"")</f>
        <v/>
      </c>
      <c r="X129" s="148">
        <f>IFERROR((V129*(1-Settings!$F$17)-C129)/(V129*(1-Settings!$F$17)),"")</f>
        <v/>
      </c>
      <c r="Y129" s="149">
        <f>IFERROR(IF(V129="","",IF(V129&gt;=C129/(1-SKU_Base!AD129)/(1-Settings!$F$17),"OK",IF(V129&gt;=C129/(1-SKU_Base!AK129)/(1-Settings!$F$17),"WARN","STOP"))),"")</f>
        <v/>
      </c>
      <c r="Z129" s="161">
        <f>IFERROR(ROUND(D129*(1-CHOOSE(MATCH(IF($E129="","Основний",$E129),{"Трафіковий","Основний","Маржинальний","Сезонний","Стратегічний"},0),Settings!$G$78,Settings!$G$80,Settings!$G$82,Settings!$G$84,Settings!$G$86))/6,2)*6,"")</f>
        <v/>
      </c>
      <c r="AA129" s="142">
        <f>IFERROR(CHOOSE(MATCH(IF($E129="","Основний",$E129),{"Трафіковий","Основний","Маржинальний","Сезонний","Стратегічний"},0),Settings!$G$78,Settings!$G$80,Settings!$G$82,Settings!$G$84,Settings!$G$86),"")</f>
        <v/>
      </c>
      <c r="AB129" s="148">
        <f>IFERROR((Z129*(1-Settings!$G$17)-C129)/(Z129*(1-Settings!$G$17)),"")</f>
        <v/>
      </c>
      <c r="AC129" s="149">
        <f>IFERROR(IF(Z129="","",IF(Z129&gt;=C129/(1-SKU_Base!AE129)/(1-Settings!$G$17),"OK",IF(Z129&gt;=C129/(1-SKU_Base!AL129)/(1-Settings!$G$17),"WARN","STOP"))),"")</f>
        <v/>
      </c>
      <c r="AD129" s="161">
        <f>IFERROR(ROUND(D129*(1-CHOOSE(MATCH(IF($E129="","Основний",$E129),{"Трафіковий","Основний","Маржинальний","Сезонний","Стратегічний"},0),Settings!$H$78,Settings!$H$80,Settings!$H$82,Settings!$H$84,Settings!$H$86))*(1-Settings!$H$68)/6,2)*6,"")</f>
        <v/>
      </c>
      <c r="AE129" s="142">
        <f>IFERROR(CHOOSE(MATCH(IF($E129="","Основний",$E129),{"Трафіковий","Основний","Маржинальний","Сезонний","Стратегічний"},0),Settings!$H$78,Settings!$H$80,Settings!$H$82,Settings!$H$84,Settings!$H$86)+(1-(CHOOSE(MATCH(IF($E129="","Основний",$E129),{"Трафіковий","Основний","Маржинальний","Сезонний","Стратегічний"},0),Settings!$H$78,Settings!$H$80,Settings!$H$82,Settings!$H$84,Settings!$H$86)))*Settings!$H$68,"")</f>
        <v/>
      </c>
      <c r="AF129" s="148">
        <f>IFERROR((AD129*(1-Settings!$H$17)-C129)/(AD129*(1-Settings!$H$17)),"")</f>
        <v/>
      </c>
      <c r="AG129" s="150">
        <f>IFERROR(IF(AD129="","",IF(AD129&gt;=C129/(1-SKU_Base!AF129)/(1-Settings!$H$17),"OK",IF(AD129&gt;=C129/(1-SKU_Base!AM129)/(1-Settings!$H$17),"WARN","STOP"))),"")</f>
        <v/>
      </c>
    </row>
    <row r="130" ht="17" customHeight="1" s="179">
      <c r="A130" s="139">
        <f>SKU_Base!B130</f>
        <v/>
      </c>
      <c r="B130" s="139">
        <f>SKU_Base!C130</f>
        <v/>
      </c>
      <c r="C130" s="140">
        <f>IFERROR(SKU_Base!I130,"")</f>
        <v/>
      </c>
      <c r="D130" s="163">
        <f>IFERROR(SKU_Base!T130,"")</f>
        <v/>
      </c>
      <c r="E130" s="141">
        <f>IFERROR(SKU_Base!$U130,"")</f>
        <v/>
      </c>
      <c r="F130" s="158">
        <f>IFERROR(ROUND(D130*(1-CHOOSE(MATCH(IF($E130="","Основний",$E130),{"Трафіковий","Основний","Маржинальний","Сезонний","Стратегічний"},0),Settings!$B$78,Settings!$B$80,Settings!$B$82,Settings!$B$84,Settings!$B$86))/6,2)*6,"")</f>
        <v/>
      </c>
      <c r="G130" s="142">
        <f>IFERROR(CHOOSE(MATCH(IF($E130="","Основний",$E130),{"Трафіковий","Основний","Маржинальний","Сезонний","Стратегічний"},0),Settings!$B$78,Settings!$B$80,Settings!$B$82,Settings!$B$84,Settings!$B$86),"")</f>
        <v/>
      </c>
      <c r="H130" s="143">
        <f>IFERROR((F130*(1-Settings!$B$17)-C130)/(F130*(1-Settings!$B$17)),"")</f>
        <v/>
      </c>
      <c r="I130" s="149">
        <f>IFERROR(IF(F130="","",IF(F130&gt;=C130/(1-SKU_Base!Z130)/(1-Settings!$B$17),"OK",IF(F130&gt;=C130/(1-SKU_Base!AG130)/(1-Settings!$B$17),"WARN","STOP"))),"")</f>
        <v/>
      </c>
      <c r="J130" s="158">
        <f>IFERROR(ROUND(D130*(1-CHOOSE(MATCH(IF($E130="","Основний",$E130),{"Трафіковий","Основний","Маржинальний","Сезонний","Стратегічний"},0),Settings!$C$78,Settings!$C$80,Settings!$C$82,Settings!$C$84,Settings!$C$86))/6,2)*6,"")</f>
        <v/>
      </c>
      <c r="K130" s="142">
        <f>IFERROR(CHOOSE(MATCH(IF($E130="","Основний",$E130),{"Трафіковий","Основний","Маржинальний","Сезонний","Стратегічний"},0),Settings!$C$78,Settings!$C$80,Settings!$C$82,Settings!$C$84,Settings!$C$86),"")</f>
        <v/>
      </c>
      <c r="L130" s="143">
        <f>IFERROR((J130*(1-Settings!$C$17)-C130)/(J130*(1-Settings!$C$17)),"")</f>
        <v/>
      </c>
      <c r="M130" s="149">
        <f>IFERROR(IF(J130="","",IF(J130&gt;=C130/(1-SKU_Base!AA130)/(1-Settings!$C$17),"OK",IF(J130&gt;=C130/(1-SKU_Base!AH130)/(1-Settings!$C$17),"WARN","STOP"))),"")</f>
        <v/>
      </c>
      <c r="N130" s="159">
        <f>IFERROR(ROUND(D130*(1-CHOOSE(MATCH(IF($E130="","Основний",$E130),{"Трафіковий","Основний","Маржинальний","Сезонний","Стратегічний"},0),Settings!$D$78,Settings!$D$80,Settings!$D$82,Settings!$D$84,Settings!$D$86))/6,2)*6,"")</f>
        <v/>
      </c>
      <c r="O130" s="142">
        <f>IFERROR(CHOOSE(MATCH(IF($E130="","Основний",$E130),{"Трафіковий","Основний","Маржинальний","Сезонний","Стратегічний"},0),Settings!$D$78,Settings!$D$80,Settings!$D$82,Settings!$D$84,Settings!$D$86),"")</f>
        <v/>
      </c>
      <c r="P130" s="143">
        <f>IFERROR((N130*(1-Settings!$D$17)-C130)/(N130*(1-Settings!$D$17)),"")</f>
        <v/>
      </c>
      <c r="Q130" s="149">
        <f>IFERROR(IF(N130="","",IF(N130&gt;=C130/(1-SKU_Base!AB130)/(1-Settings!$D$17),"OK",IF(N130&gt;=C130/(1-SKU_Base!AI130)/(1-Settings!$D$17),"WARN","STOP"))),"")</f>
        <v/>
      </c>
      <c r="R130" s="159">
        <f>IFERROR(ROUND(D130*(1-CHOOSE(MATCH(IF($E130="","Основний",$E130),{"Трафіковий","Основний","Маржинальний","Сезонний","Стратегічний"},0),Settings!$E$78,Settings!$E$80,Settings!$E$82,Settings!$E$84,Settings!$E$86))/6,2)*6,"")</f>
        <v/>
      </c>
      <c r="S130" s="142">
        <f>IFERROR(CHOOSE(MATCH(IF($E130="","Основний",$E130),{"Трафіковий","Основний","Маржинальний","Сезонний","Стратегічний"},0),Settings!$E$78,Settings!$E$80,Settings!$E$82,Settings!$E$84,Settings!$E$86),"")</f>
        <v/>
      </c>
      <c r="T130" s="143">
        <f>IFERROR((R130*(1-Settings!$E$17)-C130)/(R130*(1-Settings!$E$17)),"")</f>
        <v/>
      </c>
      <c r="U130" s="149">
        <f>IFERROR(IF(R130="","",IF(R130&gt;=C130/(1-SKU_Base!AC130)/(1-Settings!$E$17),"OK",IF(R130&gt;=C130/(1-SKU_Base!AJ130)/(1-Settings!$E$17),"WARN","STOP"))),"")</f>
        <v/>
      </c>
      <c r="V130" s="159">
        <f>IFERROR(ROUND(D130*(1-CHOOSE(MATCH(IF($E130="","Основний",$E130),{"Трафіковий","Основний","Маржинальний","Сезонний","Стратегічний"},0),Settings!$F$78,Settings!$F$80,Settings!$F$82,Settings!$F$84,Settings!$F$86))/6,2)*6,"")</f>
        <v/>
      </c>
      <c r="W130" s="142">
        <f>IFERROR(CHOOSE(MATCH(IF($E130="","Основний",$E130),{"Трафіковий","Основний","Маржинальний","Сезонний","Стратегічний"},0),Settings!$F$78,Settings!$F$80,Settings!$F$82,Settings!$F$84,Settings!$F$86),"")</f>
        <v/>
      </c>
      <c r="X130" s="143">
        <f>IFERROR((V130*(1-Settings!$F$17)-C130)/(V130*(1-Settings!$F$17)),"")</f>
        <v/>
      </c>
      <c r="Y130" s="149">
        <f>IFERROR(IF(V130="","",IF(V130&gt;=C130/(1-SKU_Base!AD130)/(1-Settings!$F$17),"OK",IF(V130&gt;=C130/(1-SKU_Base!AK130)/(1-Settings!$F$17),"WARN","STOP"))),"")</f>
        <v/>
      </c>
      <c r="Z130" s="159">
        <f>IFERROR(ROUND(D130*(1-CHOOSE(MATCH(IF($E130="","Основний",$E130),{"Трафіковий","Основний","Маржинальний","Сезонний","Стратегічний"},0),Settings!$G$78,Settings!$G$80,Settings!$G$82,Settings!$G$84,Settings!$G$86))/6,2)*6,"")</f>
        <v/>
      </c>
      <c r="AA130" s="142">
        <f>IFERROR(CHOOSE(MATCH(IF($E130="","Основний",$E130),{"Трафіковий","Основний","Маржинальний","Сезонний","Стратегічний"},0),Settings!$G$78,Settings!$G$80,Settings!$G$82,Settings!$G$84,Settings!$G$86),"")</f>
        <v/>
      </c>
      <c r="AB130" s="143">
        <f>IFERROR((Z130*(1-Settings!$G$17)-C130)/(Z130*(1-Settings!$G$17)),"")</f>
        <v/>
      </c>
      <c r="AC130" s="149">
        <f>IFERROR(IF(Z130="","",IF(Z130&gt;=C130/(1-SKU_Base!AE130)/(1-Settings!$G$17),"OK",IF(Z130&gt;=C130/(1-SKU_Base!AL130)/(1-Settings!$G$17),"WARN","STOP"))),"")</f>
        <v/>
      </c>
      <c r="AD130" s="159">
        <f>IFERROR(ROUND(D130*(1-CHOOSE(MATCH(IF($E130="","Основний",$E130),{"Трафіковий","Основний","Маржинальний","Сезонний","Стратегічний"},0),Settings!$H$78,Settings!$H$80,Settings!$H$82,Settings!$H$84,Settings!$H$86))*(1-Settings!$H$68)/6,2)*6,"")</f>
        <v/>
      </c>
      <c r="AE130" s="142">
        <f>IFERROR(CHOOSE(MATCH(IF($E130="","Основний",$E130),{"Трафіковий","Основний","Маржинальний","Сезонний","Стратегічний"},0),Settings!$H$78,Settings!$H$80,Settings!$H$82,Settings!$H$84,Settings!$H$86)+(1-(CHOOSE(MATCH(IF($E130="","Основний",$E130),{"Трафіковий","Основний","Маржинальний","Сезонний","Стратегічний"},0),Settings!$H$78,Settings!$H$80,Settings!$H$82,Settings!$H$84,Settings!$H$86)))*Settings!$H$68,"")</f>
        <v/>
      </c>
      <c r="AF130" s="143">
        <f>IFERROR((AD130*(1-Settings!$H$17)-C130)/(AD130*(1-Settings!$H$17)),"")</f>
        <v/>
      </c>
      <c r="AG130" s="150">
        <f>IFERROR(IF(AD130="","",IF(AD130&gt;=C130/(1-SKU_Base!AF130)/(1-Settings!$H$17),"OK",IF(AD130&gt;=C130/(1-SKU_Base!AM130)/(1-Settings!$H$17),"WARN","STOP"))),"")</f>
        <v/>
      </c>
    </row>
    <row r="131" ht="17" customHeight="1" s="179">
      <c r="A131" s="146">
        <f>SKU_Base!B131</f>
        <v/>
      </c>
      <c r="B131" s="146">
        <f>SKU_Base!C131</f>
        <v/>
      </c>
      <c r="C131" s="147">
        <f>IFERROR(SKU_Base!I131,"")</f>
        <v/>
      </c>
      <c r="D131" s="164">
        <f>IFERROR(SKU_Base!T131,"")</f>
        <v/>
      </c>
      <c r="E131" s="141">
        <f>IFERROR(SKU_Base!$U131,"")</f>
        <v/>
      </c>
      <c r="F131" s="160">
        <f>IFERROR(ROUND(D131*(1-CHOOSE(MATCH(IF($E131="","Основний",$E131),{"Трафіковий","Основний","Маржинальний","Сезонний","Стратегічний"},0),Settings!$B$78,Settings!$B$80,Settings!$B$82,Settings!$B$84,Settings!$B$86))/6,2)*6,"")</f>
        <v/>
      </c>
      <c r="G131" s="142">
        <f>IFERROR(CHOOSE(MATCH(IF($E131="","Основний",$E131),{"Трафіковий","Основний","Маржинальний","Сезонний","Стратегічний"},0),Settings!$B$78,Settings!$B$80,Settings!$B$82,Settings!$B$84,Settings!$B$86),"")</f>
        <v/>
      </c>
      <c r="H131" s="148">
        <f>IFERROR((F131*(1-Settings!$B$17)-C131)/(F131*(1-Settings!$B$17)),"")</f>
        <v/>
      </c>
      <c r="I131" s="149">
        <f>IFERROR(IF(F131="","",IF(F131&gt;=C131/(1-SKU_Base!Z131)/(1-Settings!$B$17),"OK",IF(F131&gt;=C131/(1-SKU_Base!AG131)/(1-Settings!$B$17),"WARN","STOP"))),"")</f>
        <v/>
      </c>
      <c r="J131" s="160">
        <f>IFERROR(ROUND(D131*(1-CHOOSE(MATCH(IF($E131="","Основний",$E131),{"Трафіковий","Основний","Маржинальний","Сезонний","Стратегічний"},0),Settings!$C$78,Settings!$C$80,Settings!$C$82,Settings!$C$84,Settings!$C$86))/6,2)*6,"")</f>
        <v/>
      </c>
      <c r="K131" s="142">
        <f>IFERROR(CHOOSE(MATCH(IF($E131="","Основний",$E131),{"Трафіковий","Основний","Маржинальний","Сезонний","Стратегічний"},0),Settings!$C$78,Settings!$C$80,Settings!$C$82,Settings!$C$84,Settings!$C$86),"")</f>
        <v/>
      </c>
      <c r="L131" s="148">
        <f>IFERROR((J131*(1-Settings!$C$17)-C131)/(J131*(1-Settings!$C$17)),"")</f>
        <v/>
      </c>
      <c r="M131" s="149">
        <f>IFERROR(IF(J131="","",IF(J131&gt;=C131/(1-SKU_Base!AA131)/(1-Settings!$C$17),"OK",IF(J131&gt;=C131/(1-SKU_Base!AH131)/(1-Settings!$C$17),"WARN","STOP"))),"")</f>
        <v/>
      </c>
      <c r="N131" s="161">
        <f>IFERROR(ROUND(D131*(1-CHOOSE(MATCH(IF($E131="","Основний",$E131),{"Трафіковий","Основний","Маржинальний","Сезонний","Стратегічний"},0),Settings!$D$78,Settings!$D$80,Settings!$D$82,Settings!$D$84,Settings!$D$86))/6,2)*6,"")</f>
        <v/>
      </c>
      <c r="O131" s="142">
        <f>IFERROR(CHOOSE(MATCH(IF($E131="","Основний",$E131),{"Трафіковий","Основний","Маржинальний","Сезонний","Стратегічний"},0),Settings!$D$78,Settings!$D$80,Settings!$D$82,Settings!$D$84,Settings!$D$86),"")</f>
        <v/>
      </c>
      <c r="P131" s="148">
        <f>IFERROR((N131*(1-Settings!$D$17)-C131)/(N131*(1-Settings!$D$17)),"")</f>
        <v/>
      </c>
      <c r="Q131" s="149">
        <f>IFERROR(IF(N131="","",IF(N131&gt;=C131/(1-SKU_Base!AB131)/(1-Settings!$D$17),"OK",IF(N131&gt;=C131/(1-SKU_Base!AI131)/(1-Settings!$D$17),"WARN","STOP"))),"")</f>
        <v/>
      </c>
      <c r="R131" s="161">
        <f>IFERROR(ROUND(D131*(1-CHOOSE(MATCH(IF($E131="","Основний",$E131),{"Трафіковий","Основний","Маржинальний","Сезонний","Стратегічний"},0),Settings!$E$78,Settings!$E$80,Settings!$E$82,Settings!$E$84,Settings!$E$86))/6,2)*6,"")</f>
        <v/>
      </c>
      <c r="S131" s="142">
        <f>IFERROR(CHOOSE(MATCH(IF($E131="","Основний",$E131),{"Трафіковий","Основний","Маржинальний","Сезонний","Стратегічний"},0),Settings!$E$78,Settings!$E$80,Settings!$E$82,Settings!$E$84,Settings!$E$86),"")</f>
        <v/>
      </c>
      <c r="T131" s="148">
        <f>IFERROR((R131*(1-Settings!$E$17)-C131)/(R131*(1-Settings!$E$17)),"")</f>
        <v/>
      </c>
      <c r="U131" s="149">
        <f>IFERROR(IF(R131="","",IF(R131&gt;=C131/(1-SKU_Base!AC131)/(1-Settings!$E$17),"OK",IF(R131&gt;=C131/(1-SKU_Base!AJ131)/(1-Settings!$E$17),"WARN","STOP"))),"")</f>
        <v/>
      </c>
      <c r="V131" s="161">
        <f>IFERROR(ROUND(D131*(1-CHOOSE(MATCH(IF($E131="","Основний",$E131),{"Трафіковий","Основний","Маржинальний","Сезонний","Стратегічний"},0),Settings!$F$78,Settings!$F$80,Settings!$F$82,Settings!$F$84,Settings!$F$86))/6,2)*6,"")</f>
        <v/>
      </c>
      <c r="W131" s="142">
        <f>IFERROR(CHOOSE(MATCH(IF($E131="","Основний",$E131),{"Трафіковий","Основний","Маржинальний","Сезонний","Стратегічний"},0),Settings!$F$78,Settings!$F$80,Settings!$F$82,Settings!$F$84,Settings!$F$86),"")</f>
        <v/>
      </c>
      <c r="X131" s="148">
        <f>IFERROR((V131*(1-Settings!$F$17)-C131)/(V131*(1-Settings!$F$17)),"")</f>
        <v/>
      </c>
      <c r="Y131" s="149">
        <f>IFERROR(IF(V131="","",IF(V131&gt;=C131/(1-SKU_Base!AD131)/(1-Settings!$F$17),"OK",IF(V131&gt;=C131/(1-SKU_Base!AK131)/(1-Settings!$F$17),"WARN","STOP"))),"")</f>
        <v/>
      </c>
      <c r="Z131" s="161">
        <f>IFERROR(ROUND(D131*(1-CHOOSE(MATCH(IF($E131="","Основний",$E131),{"Трафіковий","Основний","Маржинальний","Сезонний","Стратегічний"},0),Settings!$G$78,Settings!$G$80,Settings!$G$82,Settings!$G$84,Settings!$G$86))/6,2)*6,"")</f>
        <v/>
      </c>
      <c r="AA131" s="142">
        <f>IFERROR(CHOOSE(MATCH(IF($E131="","Основний",$E131),{"Трафіковий","Основний","Маржинальний","Сезонний","Стратегічний"},0),Settings!$G$78,Settings!$G$80,Settings!$G$82,Settings!$G$84,Settings!$G$86),"")</f>
        <v/>
      </c>
      <c r="AB131" s="148">
        <f>IFERROR((Z131*(1-Settings!$G$17)-C131)/(Z131*(1-Settings!$G$17)),"")</f>
        <v/>
      </c>
      <c r="AC131" s="149">
        <f>IFERROR(IF(Z131="","",IF(Z131&gt;=C131/(1-SKU_Base!AE131)/(1-Settings!$G$17),"OK",IF(Z131&gt;=C131/(1-SKU_Base!AL131)/(1-Settings!$G$17),"WARN","STOP"))),"")</f>
        <v/>
      </c>
      <c r="AD131" s="161">
        <f>IFERROR(ROUND(D131*(1-CHOOSE(MATCH(IF($E131="","Основний",$E131),{"Трафіковий","Основний","Маржинальний","Сезонний","Стратегічний"},0),Settings!$H$78,Settings!$H$80,Settings!$H$82,Settings!$H$84,Settings!$H$86))*(1-Settings!$H$68)/6,2)*6,"")</f>
        <v/>
      </c>
      <c r="AE131" s="142">
        <f>IFERROR(CHOOSE(MATCH(IF($E131="","Основний",$E131),{"Трафіковий","Основний","Маржинальний","Сезонний","Стратегічний"},0),Settings!$H$78,Settings!$H$80,Settings!$H$82,Settings!$H$84,Settings!$H$86)+(1-(CHOOSE(MATCH(IF($E131="","Основний",$E131),{"Трафіковий","Основний","Маржинальний","Сезонний","Стратегічний"},0),Settings!$H$78,Settings!$H$80,Settings!$H$82,Settings!$H$84,Settings!$H$86)))*Settings!$H$68,"")</f>
        <v/>
      </c>
      <c r="AF131" s="148">
        <f>IFERROR((AD131*(1-Settings!$H$17)-C131)/(AD131*(1-Settings!$H$17)),"")</f>
        <v/>
      </c>
      <c r="AG131" s="150">
        <f>IFERROR(IF(AD131="","",IF(AD131&gt;=C131/(1-SKU_Base!AF131)/(1-Settings!$H$17),"OK",IF(AD131&gt;=C131/(1-SKU_Base!AM131)/(1-Settings!$H$17),"WARN","STOP"))),"")</f>
        <v/>
      </c>
    </row>
    <row r="132" ht="17" customHeight="1" s="179">
      <c r="A132" s="139">
        <f>SKU_Base!B132</f>
        <v/>
      </c>
      <c r="B132" s="139">
        <f>SKU_Base!C132</f>
        <v/>
      </c>
      <c r="C132" s="140">
        <f>IFERROR(SKU_Base!I132,"")</f>
        <v/>
      </c>
      <c r="D132" s="163">
        <f>IFERROR(SKU_Base!T132,"")</f>
        <v/>
      </c>
      <c r="E132" s="141">
        <f>IFERROR(SKU_Base!$U132,"")</f>
        <v/>
      </c>
      <c r="F132" s="158">
        <f>IFERROR(ROUND(D132*(1-CHOOSE(MATCH(IF($E132="","Основний",$E132),{"Трафіковий","Основний","Маржинальний","Сезонний","Стратегічний"},0),Settings!$B$78,Settings!$B$80,Settings!$B$82,Settings!$B$84,Settings!$B$86))/6,2)*6,"")</f>
        <v/>
      </c>
      <c r="G132" s="142">
        <f>IFERROR(CHOOSE(MATCH(IF($E132="","Основний",$E132),{"Трафіковий","Основний","Маржинальний","Сезонний","Стратегічний"},0),Settings!$B$78,Settings!$B$80,Settings!$B$82,Settings!$B$84,Settings!$B$86),"")</f>
        <v/>
      </c>
      <c r="H132" s="143">
        <f>IFERROR((F132*(1-Settings!$B$17)-C132)/(F132*(1-Settings!$B$17)),"")</f>
        <v/>
      </c>
      <c r="I132" s="149">
        <f>IFERROR(IF(F132="","",IF(F132&gt;=C132/(1-SKU_Base!Z132)/(1-Settings!$B$17),"OK",IF(F132&gt;=C132/(1-SKU_Base!AG132)/(1-Settings!$B$17),"WARN","STOP"))),"")</f>
        <v/>
      </c>
      <c r="J132" s="158">
        <f>IFERROR(ROUND(D132*(1-CHOOSE(MATCH(IF($E132="","Основний",$E132),{"Трафіковий","Основний","Маржинальний","Сезонний","Стратегічний"},0),Settings!$C$78,Settings!$C$80,Settings!$C$82,Settings!$C$84,Settings!$C$86))/6,2)*6,"")</f>
        <v/>
      </c>
      <c r="K132" s="142">
        <f>IFERROR(CHOOSE(MATCH(IF($E132="","Основний",$E132),{"Трафіковий","Основний","Маржинальний","Сезонний","Стратегічний"},0),Settings!$C$78,Settings!$C$80,Settings!$C$82,Settings!$C$84,Settings!$C$86),"")</f>
        <v/>
      </c>
      <c r="L132" s="143">
        <f>IFERROR((J132*(1-Settings!$C$17)-C132)/(J132*(1-Settings!$C$17)),"")</f>
        <v/>
      </c>
      <c r="M132" s="149">
        <f>IFERROR(IF(J132="","",IF(J132&gt;=C132/(1-SKU_Base!AA132)/(1-Settings!$C$17),"OK",IF(J132&gt;=C132/(1-SKU_Base!AH132)/(1-Settings!$C$17),"WARN","STOP"))),"")</f>
        <v/>
      </c>
      <c r="N132" s="159">
        <f>IFERROR(ROUND(D132*(1-CHOOSE(MATCH(IF($E132="","Основний",$E132),{"Трафіковий","Основний","Маржинальний","Сезонний","Стратегічний"},0),Settings!$D$78,Settings!$D$80,Settings!$D$82,Settings!$D$84,Settings!$D$86))/6,2)*6,"")</f>
        <v/>
      </c>
      <c r="O132" s="142">
        <f>IFERROR(CHOOSE(MATCH(IF($E132="","Основний",$E132),{"Трафіковий","Основний","Маржинальний","Сезонний","Стратегічний"},0),Settings!$D$78,Settings!$D$80,Settings!$D$82,Settings!$D$84,Settings!$D$86),"")</f>
        <v/>
      </c>
      <c r="P132" s="143">
        <f>IFERROR((N132*(1-Settings!$D$17)-C132)/(N132*(1-Settings!$D$17)),"")</f>
        <v/>
      </c>
      <c r="Q132" s="149">
        <f>IFERROR(IF(N132="","",IF(N132&gt;=C132/(1-SKU_Base!AB132)/(1-Settings!$D$17),"OK",IF(N132&gt;=C132/(1-SKU_Base!AI132)/(1-Settings!$D$17),"WARN","STOP"))),"")</f>
        <v/>
      </c>
      <c r="R132" s="159">
        <f>IFERROR(ROUND(D132*(1-CHOOSE(MATCH(IF($E132="","Основний",$E132),{"Трафіковий","Основний","Маржинальний","Сезонний","Стратегічний"},0),Settings!$E$78,Settings!$E$80,Settings!$E$82,Settings!$E$84,Settings!$E$86))/6,2)*6,"")</f>
        <v/>
      </c>
      <c r="S132" s="142">
        <f>IFERROR(CHOOSE(MATCH(IF($E132="","Основний",$E132),{"Трафіковий","Основний","Маржинальний","Сезонний","Стратегічний"},0),Settings!$E$78,Settings!$E$80,Settings!$E$82,Settings!$E$84,Settings!$E$86),"")</f>
        <v/>
      </c>
      <c r="T132" s="143">
        <f>IFERROR((R132*(1-Settings!$E$17)-C132)/(R132*(1-Settings!$E$17)),"")</f>
        <v/>
      </c>
      <c r="U132" s="149">
        <f>IFERROR(IF(R132="","",IF(R132&gt;=C132/(1-SKU_Base!AC132)/(1-Settings!$E$17),"OK",IF(R132&gt;=C132/(1-SKU_Base!AJ132)/(1-Settings!$E$17),"WARN","STOP"))),"")</f>
        <v/>
      </c>
      <c r="V132" s="159">
        <f>IFERROR(ROUND(D132*(1-CHOOSE(MATCH(IF($E132="","Основний",$E132),{"Трафіковий","Основний","Маржинальний","Сезонний","Стратегічний"},0),Settings!$F$78,Settings!$F$80,Settings!$F$82,Settings!$F$84,Settings!$F$86))/6,2)*6,"")</f>
        <v/>
      </c>
      <c r="W132" s="142">
        <f>IFERROR(CHOOSE(MATCH(IF($E132="","Основний",$E132),{"Трафіковий","Основний","Маржинальний","Сезонний","Стратегічний"},0),Settings!$F$78,Settings!$F$80,Settings!$F$82,Settings!$F$84,Settings!$F$86),"")</f>
        <v/>
      </c>
      <c r="X132" s="143">
        <f>IFERROR((V132*(1-Settings!$F$17)-C132)/(V132*(1-Settings!$F$17)),"")</f>
        <v/>
      </c>
      <c r="Y132" s="149">
        <f>IFERROR(IF(V132="","",IF(V132&gt;=C132/(1-SKU_Base!AD132)/(1-Settings!$F$17),"OK",IF(V132&gt;=C132/(1-SKU_Base!AK132)/(1-Settings!$F$17),"WARN","STOP"))),"")</f>
        <v/>
      </c>
      <c r="Z132" s="159">
        <f>IFERROR(ROUND(D132*(1-CHOOSE(MATCH(IF($E132="","Основний",$E132),{"Трафіковий","Основний","Маржинальний","Сезонний","Стратегічний"},0),Settings!$G$78,Settings!$G$80,Settings!$G$82,Settings!$G$84,Settings!$G$86))/6,2)*6,"")</f>
        <v/>
      </c>
      <c r="AA132" s="142">
        <f>IFERROR(CHOOSE(MATCH(IF($E132="","Основний",$E132),{"Трафіковий","Основний","Маржинальний","Сезонний","Стратегічний"},0),Settings!$G$78,Settings!$G$80,Settings!$G$82,Settings!$G$84,Settings!$G$86),"")</f>
        <v/>
      </c>
      <c r="AB132" s="143">
        <f>IFERROR((Z132*(1-Settings!$G$17)-C132)/(Z132*(1-Settings!$G$17)),"")</f>
        <v/>
      </c>
      <c r="AC132" s="149">
        <f>IFERROR(IF(Z132="","",IF(Z132&gt;=C132/(1-SKU_Base!AE132)/(1-Settings!$G$17),"OK",IF(Z132&gt;=C132/(1-SKU_Base!AL132)/(1-Settings!$G$17),"WARN","STOP"))),"")</f>
        <v/>
      </c>
      <c r="AD132" s="159">
        <f>IFERROR(ROUND(D132*(1-CHOOSE(MATCH(IF($E132="","Основний",$E132),{"Трафіковий","Основний","Маржинальний","Сезонний","Стратегічний"},0),Settings!$H$78,Settings!$H$80,Settings!$H$82,Settings!$H$84,Settings!$H$86))*(1-Settings!$H$68)/6,2)*6,"")</f>
        <v/>
      </c>
      <c r="AE132" s="142">
        <f>IFERROR(CHOOSE(MATCH(IF($E132="","Основний",$E132),{"Трафіковий","Основний","Маржинальний","Сезонний","Стратегічний"},0),Settings!$H$78,Settings!$H$80,Settings!$H$82,Settings!$H$84,Settings!$H$86)+(1-(CHOOSE(MATCH(IF($E132="","Основний",$E132),{"Трафіковий","Основний","Маржинальний","Сезонний","Стратегічний"},0),Settings!$H$78,Settings!$H$80,Settings!$H$82,Settings!$H$84,Settings!$H$86)))*Settings!$H$68,"")</f>
        <v/>
      </c>
      <c r="AF132" s="143">
        <f>IFERROR((AD132*(1-Settings!$H$17)-C132)/(AD132*(1-Settings!$H$17)),"")</f>
        <v/>
      </c>
      <c r="AG132" s="150">
        <f>IFERROR(IF(AD132="","",IF(AD132&gt;=C132/(1-SKU_Base!AF132)/(1-Settings!$H$17),"OK",IF(AD132&gt;=C132/(1-SKU_Base!AM132)/(1-Settings!$H$17),"WARN","STOP"))),"")</f>
        <v/>
      </c>
    </row>
    <row r="133" ht="17" customHeight="1" s="179">
      <c r="A133" s="146">
        <f>SKU_Base!B133</f>
        <v/>
      </c>
      <c r="B133" s="146">
        <f>SKU_Base!C133</f>
        <v/>
      </c>
      <c r="C133" s="147">
        <f>IFERROR(SKU_Base!I133,"")</f>
        <v/>
      </c>
      <c r="D133" s="164">
        <f>IFERROR(SKU_Base!T133,"")</f>
        <v/>
      </c>
      <c r="E133" s="141">
        <f>IFERROR(SKU_Base!$U133,"")</f>
        <v/>
      </c>
      <c r="F133" s="160">
        <f>IFERROR(ROUND(D133*(1-CHOOSE(MATCH(IF($E133="","Основний",$E133),{"Трафіковий","Основний","Маржинальний","Сезонний","Стратегічний"},0),Settings!$B$78,Settings!$B$80,Settings!$B$82,Settings!$B$84,Settings!$B$86))/6,2)*6,"")</f>
        <v/>
      </c>
      <c r="G133" s="142">
        <f>IFERROR(CHOOSE(MATCH(IF($E133="","Основний",$E133),{"Трафіковий","Основний","Маржинальний","Сезонний","Стратегічний"},0),Settings!$B$78,Settings!$B$80,Settings!$B$82,Settings!$B$84,Settings!$B$86),"")</f>
        <v/>
      </c>
      <c r="H133" s="148">
        <f>IFERROR((F133*(1-Settings!$B$17)-C133)/(F133*(1-Settings!$B$17)),"")</f>
        <v/>
      </c>
      <c r="I133" s="149">
        <f>IFERROR(IF(F133="","",IF(F133&gt;=C133/(1-SKU_Base!Z133)/(1-Settings!$B$17),"OK",IF(F133&gt;=C133/(1-SKU_Base!AG133)/(1-Settings!$B$17),"WARN","STOP"))),"")</f>
        <v/>
      </c>
      <c r="J133" s="160">
        <f>IFERROR(ROUND(D133*(1-CHOOSE(MATCH(IF($E133="","Основний",$E133),{"Трафіковий","Основний","Маржинальний","Сезонний","Стратегічний"},0),Settings!$C$78,Settings!$C$80,Settings!$C$82,Settings!$C$84,Settings!$C$86))/6,2)*6,"")</f>
        <v/>
      </c>
      <c r="K133" s="142">
        <f>IFERROR(CHOOSE(MATCH(IF($E133="","Основний",$E133),{"Трафіковий","Основний","Маржинальний","Сезонний","Стратегічний"},0),Settings!$C$78,Settings!$C$80,Settings!$C$82,Settings!$C$84,Settings!$C$86),"")</f>
        <v/>
      </c>
      <c r="L133" s="148">
        <f>IFERROR((J133*(1-Settings!$C$17)-C133)/(J133*(1-Settings!$C$17)),"")</f>
        <v/>
      </c>
      <c r="M133" s="149">
        <f>IFERROR(IF(J133="","",IF(J133&gt;=C133/(1-SKU_Base!AA133)/(1-Settings!$C$17),"OK",IF(J133&gt;=C133/(1-SKU_Base!AH133)/(1-Settings!$C$17),"WARN","STOP"))),"")</f>
        <v/>
      </c>
      <c r="N133" s="161">
        <f>IFERROR(ROUND(D133*(1-CHOOSE(MATCH(IF($E133="","Основний",$E133),{"Трафіковий","Основний","Маржинальний","Сезонний","Стратегічний"},0),Settings!$D$78,Settings!$D$80,Settings!$D$82,Settings!$D$84,Settings!$D$86))/6,2)*6,"")</f>
        <v/>
      </c>
      <c r="O133" s="142">
        <f>IFERROR(CHOOSE(MATCH(IF($E133="","Основний",$E133),{"Трафіковий","Основний","Маржинальний","Сезонний","Стратегічний"},0),Settings!$D$78,Settings!$D$80,Settings!$D$82,Settings!$D$84,Settings!$D$86),"")</f>
        <v/>
      </c>
      <c r="P133" s="148">
        <f>IFERROR((N133*(1-Settings!$D$17)-C133)/(N133*(1-Settings!$D$17)),"")</f>
        <v/>
      </c>
      <c r="Q133" s="149">
        <f>IFERROR(IF(N133="","",IF(N133&gt;=C133/(1-SKU_Base!AB133)/(1-Settings!$D$17),"OK",IF(N133&gt;=C133/(1-SKU_Base!AI133)/(1-Settings!$D$17),"WARN","STOP"))),"")</f>
        <v/>
      </c>
      <c r="R133" s="161">
        <f>IFERROR(ROUND(D133*(1-CHOOSE(MATCH(IF($E133="","Основний",$E133),{"Трафіковий","Основний","Маржинальний","Сезонний","Стратегічний"},0),Settings!$E$78,Settings!$E$80,Settings!$E$82,Settings!$E$84,Settings!$E$86))/6,2)*6,"")</f>
        <v/>
      </c>
      <c r="S133" s="142">
        <f>IFERROR(CHOOSE(MATCH(IF($E133="","Основний",$E133),{"Трафіковий","Основний","Маржинальний","Сезонний","Стратегічний"},0),Settings!$E$78,Settings!$E$80,Settings!$E$82,Settings!$E$84,Settings!$E$86),"")</f>
        <v/>
      </c>
      <c r="T133" s="148">
        <f>IFERROR((R133*(1-Settings!$E$17)-C133)/(R133*(1-Settings!$E$17)),"")</f>
        <v/>
      </c>
      <c r="U133" s="149">
        <f>IFERROR(IF(R133="","",IF(R133&gt;=C133/(1-SKU_Base!AC133)/(1-Settings!$E$17),"OK",IF(R133&gt;=C133/(1-SKU_Base!AJ133)/(1-Settings!$E$17),"WARN","STOP"))),"")</f>
        <v/>
      </c>
      <c r="V133" s="161">
        <f>IFERROR(ROUND(D133*(1-CHOOSE(MATCH(IF($E133="","Основний",$E133),{"Трафіковий","Основний","Маржинальний","Сезонний","Стратегічний"},0),Settings!$F$78,Settings!$F$80,Settings!$F$82,Settings!$F$84,Settings!$F$86))/6,2)*6,"")</f>
        <v/>
      </c>
      <c r="W133" s="142">
        <f>IFERROR(CHOOSE(MATCH(IF($E133="","Основний",$E133),{"Трафіковий","Основний","Маржинальний","Сезонний","Стратегічний"},0),Settings!$F$78,Settings!$F$80,Settings!$F$82,Settings!$F$84,Settings!$F$86),"")</f>
        <v/>
      </c>
      <c r="X133" s="148">
        <f>IFERROR((V133*(1-Settings!$F$17)-C133)/(V133*(1-Settings!$F$17)),"")</f>
        <v/>
      </c>
      <c r="Y133" s="149">
        <f>IFERROR(IF(V133="","",IF(V133&gt;=C133/(1-SKU_Base!AD133)/(1-Settings!$F$17),"OK",IF(V133&gt;=C133/(1-SKU_Base!AK133)/(1-Settings!$F$17),"WARN","STOP"))),"")</f>
        <v/>
      </c>
      <c r="Z133" s="161">
        <f>IFERROR(ROUND(D133*(1-CHOOSE(MATCH(IF($E133="","Основний",$E133),{"Трафіковий","Основний","Маржинальний","Сезонний","Стратегічний"},0),Settings!$G$78,Settings!$G$80,Settings!$G$82,Settings!$G$84,Settings!$G$86))/6,2)*6,"")</f>
        <v/>
      </c>
      <c r="AA133" s="142">
        <f>IFERROR(CHOOSE(MATCH(IF($E133="","Основний",$E133),{"Трафіковий","Основний","Маржинальний","Сезонний","Стратегічний"},0),Settings!$G$78,Settings!$G$80,Settings!$G$82,Settings!$G$84,Settings!$G$86),"")</f>
        <v/>
      </c>
      <c r="AB133" s="148">
        <f>IFERROR((Z133*(1-Settings!$G$17)-C133)/(Z133*(1-Settings!$G$17)),"")</f>
        <v/>
      </c>
      <c r="AC133" s="149">
        <f>IFERROR(IF(Z133="","",IF(Z133&gt;=C133/(1-SKU_Base!AE133)/(1-Settings!$G$17),"OK",IF(Z133&gt;=C133/(1-SKU_Base!AL133)/(1-Settings!$G$17),"WARN","STOP"))),"")</f>
        <v/>
      </c>
      <c r="AD133" s="161">
        <f>IFERROR(ROUND(D133*(1-CHOOSE(MATCH(IF($E133="","Основний",$E133),{"Трафіковий","Основний","Маржинальний","Сезонний","Стратегічний"},0),Settings!$H$78,Settings!$H$80,Settings!$H$82,Settings!$H$84,Settings!$H$86))*(1-Settings!$H$68)/6,2)*6,"")</f>
        <v/>
      </c>
      <c r="AE133" s="142">
        <f>IFERROR(CHOOSE(MATCH(IF($E133="","Основний",$E133),{"Трафіковий","Основний","Маржинальний","Сезонний","Стратегічний"},0),Settings!$H$78,Settings!$H$80,Settings!$H$82,Settings!$H$84,Settings!$H$86)+(1-(CHOOSE(MATCH(IF($E133="","Основний",$E133),{"Трафіковий","Основний","Маржинальний","Сезонний","Стратегічний"},0),Settings!$H$78,Settings!$H$80,Settings!$H$82,Settings!$H$84,Settings!$H$86)))*Settings!$H$68,"")</f>
        <v/>
      </c>
      <c r="AF133" s="148">
        <f>IFERROR((AD133*(1-Settings!$H$17)-C133)/(AD133*(1-Settings!$H$17)),"")</f>
        <v/>
      </c>
      <c r="AG133" s="150">
        <f>IFERROR(IF(AD133="","",IF(AD133&gt;=C133/(1-SKU_Base!AF133)/(1-Settings!$H$17),"OK",IF(AD133&gt;=C133/(1-SKU_Base!AM133)/(1-Settings!$H$17),"WARN","STOP"))),"")</f>
        <v/>
      </c>
    </row>
    <row r="134" ht="17" customHeight="1" s="179">
      <c r="A134" s="139">
        <f>SKU_Base!B134</f>
        <v/>
      </c>
      <c r="B134" s="139">
        <f>SKU_Base!C134</f>
        <v/>
      </c>
      <c r="C134" s="140">
        <f>IFERROR(SKU_Base!I134,"")</f>
        <v/>
      </c>
      <c r="D134" s="163">
        <f>IFERROR(SKU_Base!T134,"")</f>
        <v/>
      </c>
      <c r="E134" s="141">
        <f>IFERROR(SKU_Base!$U134,"")</f>
        <v/>
      </c>
      <c r="F134" s="158">
        <f>IFERROR(ROUND(D134*(1-CHOOSE(MATCH(IF($E134="","Основний",$E134),{"Трафіковий","Основний","Маржинальний","Сезонний","Стратегічний"},0),Settings!$B$78,Settings!$B$80,Settings!$B$82,Settings!$B$84,Settings!$B$86))/6,2)*6,"")</f>
        <v/>
      </c>
      <c r="G134" s="142">
        <f>IFERROR(CHOOSE(MATCH(IF($E134="","Основний",$E134),{"Трафіковий","Основний","Маржинальний","Сезонний","Стратегічний"},0),Settings!$B$78,Settings!$B$80,Settings!$B$82,Settings!$B$84,Settings!$B$86),"")</f>
        <v/>
      </c>
      <c r="H134" s="143">
        <f>IFERROR((F134*(1-Settings!$B$17)-C134)/(F134*(1-Settings!$B$17)),"")</f>
        <v/>
      </c>
      <c r="I134" s="149">
        <f>IFERROR(IF(F134="","",IF(F134&gt;=C134/(1-SKU_Base!Z134)/(1-Settings!$B$17),"OK",IF(F134&gt;=C134/(1-SKU_Base!AG134)/(1-Settings!$B$17),"WARN","STOP"))),"")</f>
        <v/>
      </c>
      <c r="J134" s="158">
        <f>IFERROR(ROUND(D134*(1-CHOOSE(MATCH(IF($E134="","Основний",$E134),{"Трафіковий","Основний","Маржинальний","Сезонний","Стратегічний"},0),Settings!$C$78,Settings!$C$80,Settings!$C$82,Settings!$C$84,Settings!$C$86))/6,2)*6,"")</f>
        <v/>
      </c>
      <c r="K134" s="142">
        <f>IFERROR(CHOOSE(MATCH(IF($E134="","Основний",$E134),{"Трафіковий","Основний","Маржинальний","Сезонний","Стратегічний"},0),Settings!$C$78,Settings!$C$80,Settings!$C$82,Settings!$C$84,Settings!$C$86),"")</f>
        <v/>
      </c>
      <c r="L134" s="143">
        <f>IFERROR((J134*(1-Settings!$C$17)-C134)/(J134*(1-Settings!$C$17)),"")</f>
        <v/>
      </c>
      <c r="M134" s="149">
        <f>IFERROR(IF(J134="","",IF(J134&gt;=C134/(1-SKU_Base!AA134)/(1-Settings!$C$17),"OK",IF(J134&gt;=C134/(1-SKU_Base!AH134)/(1-Settings!$C$17),"WARN","STOP"))),"")</f>
        <v/>
      </c>
      <c r="N134" s="159">
        <f>IFERROR(ROUND(D134*(1-CHOOSE(MATCH(IF($E134="","Основний",$E134),{"Трафіковий","Основний","Маржинальний","Сезонний","Стратегічний"},0),Settings!$D$78,Settings!$D$80,Settings!$D$82,Settings!$D$84,Settings!$D$86))/6,2)*6,"")</f>
        <v/>
      </c>
      <c r="O134" s="142">
        <f>IFERROR(CHOOSE(MATCH(IF($E134="","Основний",$E134),{"Трафіковий","Основний","Маржинальний","Сезонний","Стратегічний"},0),Settings!$D$78,Settings!$D$80,Settings!$D$82,Settings!$D$84,Settings!$D$86),"")</f>
        <v/>
      </c>
      <c r="P134" s="143">
        <f>IFERROR((N134*(1-Settings!$D$17)-C134)/(N134*(1-Settings!$D$17)),"")</f>
        <v/>
      </c>
      <c r="Q134" s="149">
        <f>IFERROR(IF(N134="","",IF(N134&gt;=C134/(1-SKU_Base!AB134)/(1-Settings!$D$17),"OK",IF(N134&gt;=C134/(1-SKU_Base!AI134)/(1-Settings!$D$17),"WARN","STOP"))),"")</f>
        <v/>
      </c>
      <c r="R134" s="159">
        <f>IFERROR(ROUND(D134*(1-CHOOSE(MATCH(IF($E134="","Основний",$E134),{"Трафіковий","Основний","Маржинальний","Сезонний","Стратегічний"},0),Settings!$E$78,Settings!$E$80,Settings!$E$82,Settings!$E$84,Settings!$E$86))/6,2)*6,"")</f>
        <v/>
      </c>
      <c r="S134" s="142">
        <f>IFERROR(CHOOSE(MATCH(IF($E134="","Основний",$E134),{"Трафіковий","Основний","Маржинальний","Сезонний","Стратегічний"},0),Settings!$E$78,Settings!$E$80,Settings!$E$82,Settings!$E$84,Settings!$E$86),"")</f>
        <v/>
      </c>
      <c r="T134" s="143">
        <f>IFERROR((R134*(1-Settings!$E$17)-C134)/(R134*(1-Settings!$E$17)),"")</f>
        <v/>
      </c>
      <c r="U134" s="149">
        <f>IFERROR(IF(R134="","",IF(R134&gt;=C134/(1-SKU_Base!AC134)/(1-Settings!$E$17),"OK",IF(R134&gt;=C134/(1-SKU_Base!AJ134)/(1-Settings!$E$17),"WARN","STOP"))),"")</f>
        <v/>
      </c>
      <c r="V134" s="159">
        <f>IFERROR(ROUND(D134*(1-CHOOSE(MATCH(IF($E134="","Основний",$E134),{"Трафіковий","Основний","Маржинальний","Сезонний","Стратегічний"},0),Settings!$F$78,Settings!$F$80,Settings!$F$82,Settings!$F$84,Settings!$F$86))/6,2)*6,"")</f>
        <v/>
      </c>
      <c r="W134" s="142">
        <f>IFERROR(CHOOSE(MATCH(IF($E134="","Основний",$E134),{"Трафіковий","Основний","Маржинальний","Сезонний","Стратегічний"},0),Settings!$F$78,Settings!$F$80,Settings!$F$82,Settings!$F$84,Settings!$F$86),"")</f>
        <v/>
      </c>
      <c r="X134" s="143">
        <f>IFERROR((V134*(1-Settings!$F$17)-C134)/(V134*(1-Settings!$F$17)),"")</f>
        <v/>
      </c>
      <c r="Y134" s="149">
        <f>IFERROR(IF(V134="","",IF(V134&gt;=C134/(1-SKU_Base!AD134)/(1-Settings!$F$17),"OK",IF(V134&gt;=C134/(1-SKU_Base!AK134)/(1-Settings!$F$17),"WARN","STOP"))),"")</f>
        <v/>
      </c>
      <c r="Z134" s="159">
        <f>IFERROR(ROUND(D134*(1-CHOOSE(MATCH(IF($E134="","Основний",$E134),{"Трафіковий","Основний","Маржинальний","Сезонний","Стратегічний"},0),Settings!$G$78,Settings!$G$80,Settings!$G$82,Settings!$G$84,Settings!$G$86))/6,2)*6,"")</f>
        <v/>
      </c>
      <c r="AA134" s="142">
        <f>IFERROR(CHOOSE(MATCH(IF($E134="","Основний",$E134),{"Трафіковий","Основний","Маржинальний","Сезонний","Стратегічний"},0),Settings!$G$78,Settings!$G$80,Settings!$G$82,Settings!$G$84,Settings!$G$86),"")</f>
        <v/>
      </c>
      <c r="AB134" s="143">
        <f>IFERROR((Z134*(1-Settings!$G$17)-C134)/(Z134*(1-Settings!$G$17)),"")</f>
        <v/>
      </c>
      <c r="AC134" s="149">
        <f>IFERROR(IF(Z134="","",IF(Z134&gt;=C134/(1-SKU_Base!AE134)/(1-Settings!$G$17),"OK",IF(Z134&gt;=C134/(1-SKU_Base!AL134)/(1-Settings!$G$17),"WARN","STOP"))),"")</f>
        <v/>
      </c>
      <c r="AD134" s="159">
        <f>IFERROR(ROUND(D134*(1-CHOOSE(MATCH(IF($E134="","Основний",$E134),{"Трафіковий","Основний","Маржинальний","Сезонний","Стратегічний"},0),Settings!$H$78,Settings!$H$80,Settings!$H$82,Settings!$H$84,Settings!$H$86))*(1-Settings!$H$68)/6,2)*6,"")</f>
        <v/>
      </c>
      <c r="AE134" s="142">
        <f>IFERROR(CHOOSE(MATCH(IF($E134="","Основний",$E134),{"Трафіковий","Основний","Маржинальний","Сезонний","Стратегічний"},0),Settings!$H$78,Settings!$H$80,Settings!$H$82,Settings!$H$84,Settings!$H$86)+(1-(CHOOSE(MATCH(IF($E134="","Основний",$E134),{"Трафіковий","Основний","Маржинальний","Сезонний","Стратегічний"},0),Settings!$H$78,Settings!$H$80,Settings!$H$82,Settings!$H$84,Settings!$H$86)))*Settings!$H$68,"")</f>
        <v/>
      </c>
      <c r="AF134" s="143">
        <f>IFERROR((AD134*(1-Settings!$H$17)-C134)/(AD134*(1-Settings!$H$17)),"")</f>
        <v/>
      </c>
      <c r="AG134" s="150">
        <f>IFERROR(IF(AD134="","",IF(AD134&gt;=C134/(1-SKU_Base!AF134)/(1-Settings!$H$17),"OK",IF(AD134&gt;=C134/(1-SKU_Base!AM134)/(1-Settings!$H$17),"WARN","STOP"))),"")</f>
        <v/>
      </c>
    </row>
    <row r="135" ht="17" customHeight="1" s="179">
      <c r="A135" s="146">
        <f>SKU_Base!B135</f>
        <v/>
      </c>
      <c r="B135" s="146">
        <f>SKU_Base!C135</f>
        <v/>
      </c>
      <c r="C135" s="147">
        <f>IFERROR(SKU_Base!I135,"")</f>
        <v/>
      </c>
      <c r="D135" s="164">
        <f>IFERROR(SKU_Base!T135,"")</f>
        <v/>
      </c>
      <c r="E135" s="141">
        <f>IFERROR(SKU_Base!$U135,"")</f>
        <v/>
      </c>
      <c r="F135" s="160">
        <f>IFERROR(ROUND(D135*(1-CHOOSE(MATCH(IF($E135="","Основний",$E135),{"Трафіковий","Основний","Маржинальний","Сезонний","Стратегічний"},0),Settings!$B$78,Settings!$B$80,Settings!$B$82,Settings!$B$84,Settings!$B$86))/6,2)*6,"")</f>
        <v/>
      </c>
      <c r="G135" s="142">
        <f>IFERROR(CHOOSE(MATCH(IF($E135="","Основний",$E135),{"Трафіковий","Основний","Маржинальний","Сезонний","Стратегічний"},0),Settings!$B$78,Settings!$B$80,Settings!$B$82,Settings!$B$84,Settings!$B$86),"")</f>
        <v/>
      </c>
      <c r="H135" s="148">
        <f>IFERROR((F135*(1-Settings!$B$17)-C135)/(F135*(1-Settings!$B$17)),"")</f>
        <v/>
      </c>
      <c r="I135" s="149">
        <f>IFERROR(IF(F135="","",IF(F135&gt;=C135/(1-SKU_Base!Z135)/(1-Settings!$B$17),"OK",IF(F135&gt;=C135/(1-SKU_Base!AG135)/(1-Settings!$B$17),"WARN","STOP"))),"")</f>
        <v/>
      </c>
      <c r="J135" s="160">
        <f>IFERROR(ROUND(D135*(1-CHOOSE(MATCH(IF($E135="","Основний",$E135),{"Трафіковий","Основний","Маржинальний","Сезонний","Стратегічний"},0),Settings!$C$78,Settings!$C$80,Settings!$C$82,Settings!$C$84,Settings!$C$86))/6,2)*6,"")</f>
        <v/>
      </c>
      <c r="K135" s="142">
        <f>IFERROR(CHOOSE(MATCH(IF($E135="","Основний",$E135),{"Трафіковий","Основний","Маржинальний","Сезонний","Стратегічний"},0),Settings!$C$78,Settings!$C$80,Settings!$C$82,Settings!$C$84,Settings!$C$86),"")</f>
        <v/>
      </c>
      <c r="L135" s="148">
        <f>IFERROR((J135*(1-Settings!$C$17)-C135)/(J135*(1-Settings!$C$17)),"")</f>
        <v/>
      </c>
      <c r="M135" s="149">
        <f>IFERROR(IF(J135="","",IF(J135&gt;=C135/(1-SKU_Base!AA135)/(1-Settings!$C$17),"OK",IF(J135&gt;=C135/(1-SKU_Base!AH135)/(1-Settings!$C$17),"WARN","STOP"))),"")</f>
        <v/>
      </c>
      <c r="N135" s="161">
        <f>IFERROR(ROUND(D135*(1-CHOOSE(MATCH(IF($E135="","Основний",$E135),{"Трафіковий","Основний","Маржинальний","Сезонний","Стратегічний"},0),Settings!$D$78,Settings!$D$80,Settings!$D$82,Settings!$D$84,Settings!$D$86))/6,2)*6,"")</f>
        <v/>
      </c>
      <c r="O135" s="142">
        <f>IFERROR(CHOOSE(MATCH(IF($E135="","Основний",$E135),{"Трафіковий","Основний","Маржинальний","Сезонний","Стратегічний"},0),Settings!$D$78,Settings!$D$80,Settings!$D$82,Settings!$D$84,Settings!$D$86),"")</f>
        <v/>
      </c>
      <c r="P135" s="148">
        <f>IFERROR((N135*(1-Settings!$D$17)-C135)/(N135*(1-Settings!$D$17)),"")</f>
        <v/>
      </c>
      <c r="Q135" s="149">
        <f>IFERROR(IF(N135="","",IF(N135&gt;=C135/(1-SKU_Base!AB135)/(1-Settings!$D$17),"OK",IF(N135&gt;=C135/(1-SKU_Base!AI135)/(1-Settings!$D$17),"WARN","STOP"))),"")</f>
        <v/>
      </c>
      <c r="R135" s="161">
        <f>IFERROR(ROUND(D135*(1-CHOOSE(MATCH(IF($E135="","Основний",$E135),{"Трафіковий","Основний","Маржинальний","Сезонний","Стратегічний"},0),Settings!$E$78,Settings!$E$80,Settings!$E$82,Settings!$E$84,Settings!$E$86))/6,2)*6,"")</f>
        <v/>
      </c>
      <c r="S135" s="142">
        <f>IFERROR(CHOOSE(MATCH(IF($E135="","Основний",$E135),{"Трафіковий","Основний","Маржинальний","Сезонний","Стратегічний"},0),Settings!$E$78,Settings!$E$80,Settings!$E$82,Settings!$E$84,Settings!$E$86),"")</f>
        <v/>
      </c>
      <c r="T135" s="148">
        <f>IFERROR((R135*(1-Settings!$E$17)-C135)/(R135*(1-Settings!$E$17)),"")</f>
        <v/>
      </c>
      <c r="U135" s="149">
        <f>IFERROR(IF(R135="","",IF(R135&gt;=C135/(1-SKU_Base!AC135)/(1-Settings!$E$17),"OK",IF(R135&gt;=C135/(1-SKU_Base!AJ135)/(1-Settings!$E$17),"WARN","STOP"))),"")</f>
        <v/>
      </c>
      <c r="V135" s="161">
        <f>IFERROR(ROUND(D135*(1-CHOOSE(MATCH(IF($E135="","Основний",$E135),{"Трафіковий","Основний","Маржинальний","Сезонний","Стратегічний"},0),Settings!$F$78,Settings!$F$80,Settings!$F$82,Settings!$F$84,Settings!$F$86))/6,2)*6,"")</f>
        <v/>
      </c>
      <c r="W135" s="142">
        <f>IFERROR(CHOOSE(MATCH(IF($E135="","Основний",$E135),{"Трафіковий","Основний","Маржинальний","Сезонний","Стратегічний"},0),Settings!$F$78,Settings!$F$80,Settings!$F$82,Settings!$F$84,Settings!$F$86),"")</f>
        <v/>
      </c>
      <c r="X135" s="148">
        <f>IFERROR((V135*(1-Settings!$F$17)-C135)/(V135*(1-Settings!$F$17)),"")</f>
        <v/>
      </c>
      <c r="Y135" s="149">
        <f>IFERROR(IF(V135="","",IF(V135&gt;=C135/(1-SKU_Base!AD135)/(1-Settings!$F$17),"OK",IF(V135&gt;=C135/(1-SKU_Base!AK135)/(1-Settings!$F$17),"WARN","STOP"))),"")</f>
        <v/>
      </c>
      <c r="Z135" s="161">
        <f>IFERROR(ROUND(D135*(1-CHOOSE(MATCH(IF($E135="","Основний",$E135),{"Трафіковий","Основний","Маржинальний","Сезонний","Стратегічний"},0),Settings!$G$78,Settings!$G$80,Settings!$G$82,Settings!$G$84,Settings!$G$86))/6,2)*6,"")</f>
        <v/>
      </c>
      <c r="AA135" s="142">
        <f>IFERROR(CHOOSE(MATCH(IF($E135="","Основний",$E135),{"Трафіковий","Основний","Маржинальний","Сезонний","Стратегічний"},0),Settings!$G$78,Settings!$G$80,Settings!$G$82,Settings!$G$84,Settings!$G$86),"")</f>
        <v/>
      </c>
      <c r="AB135" s="148">
        <f>IFERROR((Z135*(1-Settings!$G$17)-C135)/(Z135*(1-Settings!$G$17)),"")</f>
        <v/>
      </c>
      <c r="AC135" s="149">
        <f>IFERROR(IF(Z135="","",IF(Z135&gt;=C135/(1-SKU_Base!AE135)/(1-Settings!$G$17),"OK",IF(Z135&gt;=C135/(1-SKU_Base!AL135)/(1-Settings!$G$17),"WARN","STOP"))),"")</f>
        <v/>
      </c>
      <c r="AD135" s="161">
        <f>IFERROR(ROUND(D135*(1-CHOOSE(MATCH(IF($E135="","Основний",$E135),{"Трафіковий","Основний","Маржинальний","Сезонний","Стратегічний"},0),Settings!$H$78,Settings!$H$80,Settings!$H$82,Settings!$H$84,Settings!$H$86))*(1-Settings!$H$68)/6,2)*6,"")</f>
        <v/>
      </c>
      <c r="AE135" s="142">
        <f>IFERROR(CHOOSE(MATCH(IF($E135="","Основний",$E135),{"Трафіковий","Основний","Маржинальний","Сезонний","Стратегічний"},0),Settings!$H$78,Settings!$H$80,Settings!$H$82,Settings!$H$84,Settings!$H$86)+(1-(CHOOSE(MATCH(IF($E135="","Основний",$E135),{"Трафіковий","Основний","Маржинальний","Сезонний","Стратегічний"},0),Settings!$H$78,Settings!$H$80,Settings!$H$82,Settings!$H$84,Settings!$H$86)))*Settings!$H$68,"")</f>
        <v/>
      </c>
      <c r="AF135" s="148">
        <f>IFERROR((AD135*(1-Settings!$H$17)-C135)/(AD135*(1-Settings!$H$17)),"")</f>
        <v/>
      </c>
      <c r="AG135" s="150">
        <f>IFERROR(IF(AD135="","",IF(AD135&gt;=C135/(1-SKU_Base!AF135)/(1-Settings!$H$17),"OK",IF(AD135&gt;=C135/(1-SKU_Base!AM135)/(1-Settings!$H$17),"WARN","STOP"))),"")</f>
        <v/>
      </c>
    </row>
    <row r="136" ht="17" customHeight="1" s="179">
      <c r="A136" s="139">
        <f>SKU_Base!B136</f>
        <v/>
      </c>
      <c r="B136" s="139">
        <f>SKU_Base!C136</f>
        <v/>
      </c>
      <c r="C136" s="140">
        <f>IFERROR(SKU_Base!I136,"")</f>
        <v/>
      </c>
      <c r="D136" s="163">
        <f>IFERROR(SKU_Base!T136,"")</f>
        <v/>
      </c>
      <c r="E136" s="141">
        <f>IFERROR(SKU_Base!$U136,"")</f>
        <v/>
      </c>
      <c r="F136" s="158">
        <f>IFERROR(ROUND(D136*(1-CHOOSE(MATCH(IF($E136="","Основний",$E136),{"Трафіковий","Основний","Маржинальний","Сезонний","Стратегічний"},0),Settings!$B$78,Settings!$B$80,Settings!$B$82,Settings!$B$84,Settings!$B$86))/6,2)*6,"")</f>
        <v/>
      </c>
      <c r="G136" s="142">
        <f>IFERROR(CHOOSE(MATCH(IF($E136="","Основний",$E136),{"Трафіковий","Основний","Маржинальний","Сезонний","Стратегічний"},0),Settings!$B$78,Settings!$B$80,Settings!$B$82,Settings!$B$84,Settings!$B$86),"")</f>
        <v/>
      </c>
      <c r="H136" s="143">
        <f>IFERROR((F136*(1-Settings!$B$17)-C136)/(F136*(1-Settings!$B$17)),"")</f>
        <v/>
      </c>
      <c r="I136" s="149">
        <f>IFERROR(IF(F136="","",IF(F136&gt;=C136/(1-SKU_Base!Z136)/(1-Settings!$B$17),"OK",IF(F136&gt;=C136/(1-SKU_Base!AG136)/(1-Settings!$B$17),"WARN","STOP"))),"")</f>
        <v/>
      </c>
      <c r="J136" s="158">
        <f>IFERROR(ROUND(D136*(1-CHOOSE(MATCH(IF($E136="","Основний",$E136),{"Трафіковий","Основний","Маржинальний","Сезонний","Стратегічний"},0),Settings!$C$78,Settings!$C$80,Settings!$C$82,Settings!$C$84,Settings!$C$86))/6,2)*6,"")</f>
        <v/>
      </c>
      <c r="K136" s="142">
        <f>IFERROR(CHOOSE(MATCH(IF($E136="","Основний",$E136),{"Трафіковий","Основний","Маржинальний","Сезонний","Стратегічний"},0),Settings!$C$78,Settings!$C$80,Settings!$C$82,Settings!$C$84,Settings!$C$86),"")</f>
        <v/>
      </c>
      <c r="L136" s="143">
        <f>IFERROR((J136*(1-Settings!$C$17)-C136)/(J136*(1-Settings!$C$17)),"")</f>
        <v/>
      </c>
      <c r="M136" s="149">
        <f>IFERROR(IF(J136="","",IF(J136&gt;=C136/(1-SKU_Base!AA136)/(1-Settings!$C$17),"OK",IF(J136&gt;=C136/(1-SKU_Base!AH136)/(1-Settings!$C$17),"WARN","STOP"))),"")</f>
        <v/>
      </c>
      <c r="N136" s="159">
        <f>IFERROR(ROUND(D136*(1-CHOOSE(MATCH(IF($E136="","Основний",$E136),{"Трафіковий","Основний","Маржинальний","Сезонний","Стратегічний"},0),Settings!$D$78,Settings!$D$80,Settings!$D$82,Settings!$D$84,Settings!$D$86))/6,2)*6,"")</f>
        <v/>
      </c>
      <c r="O136" s="142">
        <f>IFERROR(CHOOSE(MATCH(IF($E136="","Основний",$E136),{"Трафіковий","Основний","Маржинальний","Сезонний","Стратегічний"},0),Settings!$D$78,Settings!$D$80,Settings!$D$82,Settings!$D$84,Settings!$D$86),"")</f>
        <v/>
      </c>
      <c r="P136" s="143">
        <f>IFERROR((N136*(1-Settings!$D$17)-C136)/(N136*(1-Settings!$D$17)),"")</f>
        <v/>
      </c>
      <c r="Q136" s="149">
        <f>IFERROR(IF(N136="","",IF(N136&gt;=C136/(1-SKU_Base!AB136)/(1-Settings!$D$17),"OK",IF(N136&gt;=C136/(1-SKU_Base!AI136)/(1-Settings!$D$17),"WARN","STOP"))),"")</f>
        <v/>
      </c>
      <c r="R136" s="159">
        <f>IFERROR(ROUND(D136*(1-CHOOSE(MATCH(IF($E136="","Основний",$E136),{"Трафіковий","Основний","Маржинальний","Сезонний","Стратегічний"},0),Settings!$E$78,Settings!$E$80,Settings!$E$82,Settings!$E$84,Settings!$E$86))/6,2)*6,"")</f>
        <v/>
      </c>
      <c r="S136" s="142">
        <f>IFERROR(CHOOSE(MATCH(IF($E136="","Основний",$E136),{"Трафіковий","Основний","Маржинальний","Сезонний","Стратегічний"},0),Settings!$E$78,Settings!$E$80,Settings!$E$82,Settings!$E$84,Settings!$E$86),"")</f>
        <v/>
      </c>
      <c r="T136" s="143">
        <f>IFERROR((R136*(1-Settings!$E$17)-C136)/(R136*(1-Settings!$E$17)),"")</f>
        <v/>
      </c>
      <c r="U136" s="149">
        <f>IFERROR(IF(R136="","",IF(R136&gt;=C136/(1-SKU_Base!AC136)/(1-Settings!$E$17),"OK",IF(R136&gt;=C136/(1-SKU_Base!AJ136)/(1-Settings!$E$17),"WARN","STOP"))),"")</f>
        <v/>
      </c>
      <c r="V136" s="159">
        <f>IFERROR(ROUND(D136*(1-CHOOSE(MATCH(IF($E136="","Основний",$E136),{"Трафіковий","Основний","Маржинальний","Сезонний","Стратегічний"},0),Settings!$F$78,Settings!$F$80,Settings!$F$82,Settings!$F$84,Settings!$F$86))/6,2)*6,"")</f>
        <v/>
      </c>
      <c r="W136" s="142">
        <f>IFERROR(CHOOSE(MATCH(IF($E136="","Основний",$E136),{"Трафіковий","Основний","Маржинальний","Сезонний","Стратегічний"},0),Settings!$F$78,Settings!$F$80,Settings!$F$82,Settings!$F$84,Settings!$F$86),"")</f>
        <v/>
      </c>
      <c r="X136" s="143">
        <f>IFERROR((V136*(1-Settings!$F$17)-C136)/(V136*(1-Settings!$F$17)),"")</f>
        <v/>
      </c>
      <c r="Y136" s="149">
        <f>IFERROR(IF(V136="","",IF(V136&gt;=C136/(1-SKU_Base!AD136)/(1-Settings!$F$17),"OK",IF(V136&gt;=C136/(1-SKU_Base!AK136)/(1-Settings!$F$17),"WARN","STOP"))),"")</f>
        <v/>
      </c>
      <c r="Z136" s="159">
        <f>IFERROR(ROUND(D136*(1-CHOOSE(MATCH(IF($E136="","Основний",$E136),{"Трафіковий","Основний","Маржинальний","Сезонний","Стратегічний"},0),Settings!$G$78,Settings!$G$80,Settings!$G$82,Settings!$G$84,Settings!$G$86))/6,2)*6,"")</f>
        <v/>
      </c>
      <c r="AA136" s="142">
        <f>IFERROR(CHOOSE(MATCH(IF($E136="","Основний",$E136),{"Трафіковий","Основний","Маржинальний","Сезонний","Стратегічний"},0),Settings!$G$78,Settings!$G$80,Settings!$G$82,Settings!$G$84,Settings!$G$86),"")</f>
        <v/>
      </c>
      <c r="AB136" s="143">
        <f>IFERROR((Z136*(1-Settings!$G$17)-C136)/(Z136*(1-Settings!$G$17)),"")</f>
        <v/>
      </c>
      <c r="AC136" s="149">
        <f>IFERROR(IF(Z136="","",IF(Z136&gt;=C136/(1-SKU_Base!AE136)/(1-Settings!$G$17),"OK",IF(Z136&gt;=C136/(1-SKU_Base!AL136)/(1-Settings!$G$17),"WARN","STOP"))),"")</f>
        <v/>
      </c>
      <c r="AD136" s="159">
        <f>IFERROR(ROUND(D136*(1-CHOOSE(MATCH(IF($E136="","Основний",$E136),{"Трафіковий","Основний","Маржинальний","Сезонний","Стратегічний"},0),Settings!$H$78,Settings!$H$80,Settings!$H$82,Settings!$H$84,Settings!$H$86))*(1-Settings!$H$68)/6,2)*6,"")</f>
        <v/>
      </c>
      <c r="AE136" s="142">
        <f>IFERROR(CHOOSE(MATCH(IF($E136="","Основний",$E136),{"Трафіковий","Основний","Маржинальний","Сезонний","Стратегічний"},0),Settings!$H$78,Settings!$H$80,Settings!$H$82,Settings!$H$84,Settings!$H$86)+(1-(CHOOSE(MATCH(IF($E136="","Основний",$E136),{"Трафіковий","Основний","Маржинальний","Сезонний","Стратегічний"},0),Settings!$H$78,Settings!$H$80,Settings!$H$82,Settings!$H$84,Settings!$H$86)))*Settings!$H$68,"")</f>
        <v/>
      </c>
      <c r="AF136" s="143">
        <f>IFERROR((AD136*(1-Settings!$H$17)-C136)/(AD136*(1-Settings!$H$17)),"")</f>
        <v/>
      </c>
      <c r="AG136" s="150">
        <f>IFERROR(IF(AD136="","",IF(AD136&gt;=C136/(1-SKU_Base!AF136)/(1-Settings!$H$17),"OK",IF(AD136&gt;=C136/(1-SKU_Base!AM136)/(1-Settings!$H$17),"WARN","STOP"))),"")</f>
        <v/>
      </c>
    </row>
    <row r="137" ht="17" customHeight="1" s="179">
      <c r="A137" s="146">
        <f>SKU_Base!B137</f>
        <v/>
      </c>
      <c r="B137" s="146">
        <f>SKU_Base!C137</f>
        <v/>
      </c>
      <c r="C137" s="147">
        <f>IFERROR(SKU_Base!I137,"")</f>
        <v/>
      </c>
      <c r="D137" s="164">
        <f>IFERROR(SKU_Base!T137,"")</f>
        <v/>
      </c>
      <c r="E137" s="141">
        <f>IFERROR(SKU_Base!$U137,"")</f>
        <v/>
      </c>
      <c r="F137" s="160">
        <f>IFERROR(ROUND(D137*(1-CHOOSE(MATCH(IF($E137="","Основний",$E137),{"Трафіковий","Основний","Маржинальний","Сезонний","Стратегічний"},0),Settings!$B$78,Settings!$B$80,Settings!$B$82,Settings!$B$84,Settings!$B$86))/6,2)*6,"")</f>
        <v/>
      </c>
      <c r="G137" s="142">
        <f>IFERROR(CHOOSE(MATCH(IF($E137="","Основний",$E137),{"Трафіковий","Основний","Маржинальний","Сезонний","Стратегічний"},0),Settings!$B$78,Settings!$B$80,Settings!$B$82,Settings!$B$84,Settings!$B$86),"")</f>
        <v/>
      </c>
      <c r="H137" s="148">
        <f>IFERROR((F137*(1-Settings!$B$17)-C137)/(F137*(1-Settings!$B$17)),"")</f>
        <v/>
      </c>
      <c r="I137" s="149">
        <f>IFERROR(IF(F137="","",IF(F137&gt;=C137/(1-SKU_Base!Z137)/(1-Settings!$B$17),"OK",IF(F137&gt;=C137/(1-SKU_Base!AG137)/(1-Settings!$B$17),"WARN","STOP"))),"")</f>
        <v/>
      </c>
      <c r="J137" s="160">
        <f>IFERROR(ROUND(D137*(1-CHOOSE(MATCH(IF($E137="","Основний",$E137),{"Трафіковий","Основний","Маржинальний","Сезонний","Стратегічний"},0),Settings!$C$78,Settings!$C$80,Settings!$C$82,Settings!$C$84,Settings!$C$86))/6,2)*6,"")</f>
        <v/>
      </c>
      <c r="K137" s="142">
        <f>IFERROR(CHOOSE(MATCH(IF($E137="","Основний",$E137),{"Трафіковий","Основний","Маржинальний","Сезонний","Стратегічний"},0),Settings!$C$78,Settings!$C$80,Settings!$C$82,Settings!$C$84,Settings!$C$86),"")</f>
        <v/>
      </c>
      <c r="L137" s="148">
        <f>IFERROR((J137*(1-Settings!$C$17)-C137)/(J137*(1-Settings!$C$17)),"")</f>
        <v/>
      </c>
      <c r="M137" s="149">
        <f>IFERROR(IF(J137="","",IF(J137&gt;=C137/(1-SKU_Base!AA137)/(1-Settings!$C$17),"OK",IF(J137&gt;=C137/(1-SKU_Base!AH137)/(1-Settings!$C$17),"WARN","STOP"))),"")</f>
        <v/>
      </c>
      <c r="N137" s="161">
        <f>IFERROR(ROUND(D137*(1-CHOOSE(MATCH(IF($E137="","Основний",$E137),{"Трафіковий","Основний","Маржинальний","Сезонний","Стратегічний"},0),Settings!$D$78,Settings!$D$80,Settings!$D$82,Settings!$D$84,Settings!$D$86))/6,2)*6,"")</f>
        <v/>
      </c>
      <c r="O137" s="142">
        <f>IFERROR(CHOOSE(MATCH(IF($E137="","Основний",$E137),{"Трафіковий","Основний","Маржинальний","Сезонний","Стратегічний"},0),Settings!$D$78,Settings!$D$80,Settings!$D$82,Settings!$D$84,Settings!$D$86),"")</f>
        <v/>
      </c>
      <c r="P137" s="148">
        <f>IFERROR((N137*(1-Settings!$D$17)-C137)/(N137*(1-Settings!$D$17)),"")</f>
        <v/>
      </c>
      <c r="Q137" s="149">
        <f>IFERROR(IF(N137="","",IF(N137&gt;=C137/(1-SKU_Base!AB137)/(1-Settings!$D$17),"OK",IF(N137&gt;=C137/(1-SKU_Base!AI137)/(1-Settings!$D$17),"WARN","STOP"))),"")</f>
        <v/>
      </c>
      <c r="R137" s="161">
        <f>IFERROR(ROUND(D137*(1-CHOOSE(MATCH(IF($E137="","Основний",$E137),{"Трафіковий","Основний","Маржинальний","Сезонний","Стратегічний"},0),Settings!$E$78,Settings!$E$80,Settings!$E$82,Settings!$E$84,Settings!$E$86))/6,2)*6,"")</f>
        <v/>
      </c>
      <c r="S137" s="142">
        <f>IFERROR(CHOOSE(MATCH(IF($E137="","Основний",$E137),{"Трафіковий","Основний","Маржинальний","Сезонний","Стратегічний"},0),Settings!$E$78,Settings!$E$80,Settings!$E$82,Settings!$E$84,Settings!$E$86),"")</f>
        <v/>
      </c>
      <c r="T137" s="148">
        <f>IFERROR((R137*(1-Settings!$E$17)-C137)/(R137*(1-Settings!$E$17)),"")</f>
        <v/>
      </c>
      <c r="U137" s="149">
        <f>IFERROR(IF(R137="","",IF(R137&gt;=C137/(1-SKU_Base!AC137)/(1-Settings!$E$17),"OK",IF(R137&gt;=C137/(1-SKU_Base!AJ137)/(1-Settings!$E$17),"WARN","STOP"))),"")</f>
        <v/>
      </c>
      <c r="V137" s="161">
        <f>IFERROR(ROUND(D137*(1-CHOOSE(MATCH(IF($E137="","Основний",$E137),{"Трафіковий","Основний","Маржинальний","Сезонний","Стратегічний"},0),Settings!$F$78,Settings!$F$80,Settings!$F$82,Settings!$F$84,Settings!$F$86))/6,2)*6,"")</f>
        <v/>
      </c>
      <c r="W137" s="142">
        <f>IFERROR(CHOOSE(MATCH(IF($E137="","Основний",$E137),{"Трафіковий","Основний","Маржинальний","Сезонний","Стратегічний"},0),Settings!$F$78,Settings!$F$80,Settings!$F$82,Settings!$F$84,Settings!$F$86),"")</f>
        <v/>
      </c>
      <c r="X137" s="148">
        <f>IFERROR((V137*(1-Settings!$F$17)-C137)/(V137*(1-Settings!$F$17)),"")</f>
        <v/>
      </c>
      <c r="Y137" s="149">
        <f>IFERROR(IF(V137="","",IF(V137&gt;=C137/(1-SKU_Base!AD137)/(1-Settings!$F$17),"OK",IF(V137&gt;=C137/(1-SKU_Base!AK137)/(1-Settings!$F$17),"WARN","STOP"))),"")</f>
        <v/>
      </c>
      <c r="Z137" s="161">
        <f>IFERROR(ROUND(D137*(1-CHOOSE(MATCH(IF($E137="","Основний",$E137),{"Трафіковий","Основний","Маржинальний","Сезонний","Стратегічний"},0),Settings!$G$78,Settings!$G$80,Settings!$G$82,Settings!$G$84,Settings!$G$86))/6,2)*6,"")</f>
        <v/>
      </c>
      <c r="AA137" s="142">
        <f>IFERROR(CHOOSE(MATCH(IF($E137="","Основний",$E137),{"Трафіковий","Основний","Маржинальний","Сезонний","Стратегічний"},0),Settings!$G$78,Settings!$G$80,Settings!$G$82,Settings!$G$84,Settings!$G$86),"")</f>
        <v/>
      </c>
      <c r="AB137" s="148">
        <f>IFERROR((Z137*(1-Settings!$G$17)-C137)/(Z137*(1-Settings!$G$17)),"")</f>
        <v/>
      </c>
      <c r="AC137" s="149">
        <f>IFERROR(IF(Z137="","",IF(Z137&gt;=C137/(1-SKU_Base!AE137)/(1-Settings!$G$17),"OK",IF(Z137&gt;=C137/(1-SKU_Base!AL137)/(1-Settings!$G$17),"WARN","STOP"))),"")</f>
        <v/>
      </c>
      <c r="AD137" s="161">
        <f>IFERROR(ROUND(D137*(1-CHOOSE(MATCH(IF($E137="","Основний",$E137),{"Трафіковий","Основний","Маржинальний","Сезонний","Стратегічний"},0),Settings!$H$78,Settings!$H$80,Settings!$H$82,Settings!$H$84,Settings!$H$86))*(1-Settings!$H$68)/6,2)*6,"")</f>
        <v/>
      </c>
      <c r="AE137" s="142">
        <f>IFERROR(CHOOSE(MATCH(IF($E137="","Основний",$E137),{"Трафіковий","Основний","Маржинальний","Сезонний","Стратегічний"},0),Settings!$H$78,Settings!$H$80,Settings!$H$82,Settings!$H$84,Settings!$H$86)+(1-(CHOOSE(MATCH(IF($E137="","Основний",$E137),{"Трафіковий","Основний","Маржинальний","Сезонний","Стратегічний"},0),Settings!$H$78,Settings!$H$80,Settings!$H$82,Settings!$H$84,Settings!$H$86)))*Settings!$H$68,"")</f>
        <v/>
      </c>
      <c r="AF137" s="148">
        <f>IFERROR((AD137*(1-Settings!$H$17)-C137)/(AD137*(1-Settings!$H$17)),"")</f>
        <v/>
      </c>
      <c r="AG137" s="150">
        <f>IFERROR(IF(AD137="","",IF(AD137&gt;=C137/(1-SKU_Base!AF137)/(1-Settings!$H$17),"OK",IF(AD137&gt;=C137/(1-SKU_Base!AM137)/(1-Settings!$H$17),"WARN","STOP"))),"")</f>
        <v/>
      </c>
    </row>
    <row r="138" ht="17" customHeight="1" s="179">
      <c r="A138" s="139">
        <f>SKU_Base!B138</f>
        <v/>
      </c>
      <c r="B138" s="139">
        <f>SKU_Base!C138</f>
        <v/>
      </c>
      <c r="C138" s="140">
        <f>IFERROR(SKU_Base!I138,"")</f>
        <v/>
      </c>
      <c r="D138" s="163">
        <f>IFERROR(SKU_Base!T138,"")</f>
        <v/>
      </c>
      <c r="E138" s="141">
        <f>IFERROR(SKU_Base!$U138,"")</f>
        <v/>
      </c>
      <c r="F138" s="158">
        <f>IFERROR(ROUND(D138*(1-CHOOSE(MATCH(IF($E138="","Основний",$E138),{"Трафіковий","Основний","Маржинальний","Сезонний","Стратегічний"},0),Settings!$B$78,Settings!$B$80,Settings!$B$82,Settings!$B$84,Settings!$B$86))/6,2)*6,"")</f>
        <v/>
      </c>
      <c r="G138" s="142">
        <f>IFERROR(CHOOSE(MATCH(IF($E138="","Основний",$E138),{"Трафіковий","Основний","Маржинальний","Сезонний","Стратегічний"},0),Settings!$B$78,Settings!$B$80,Settings!$B$82,Settings!$B$84,Settings!$B$86),"")</f>
        <v/>
      </c>
      <c r="H138" s="143">
        <f>IFERROR((F138*(1-Settings!$B$17)-C138)/(F138*(1-Settings!$B$17)),"")</f>
        <v/>
      </c>
      <c r="I138" s="149">
        <f>IFERROR(IF(F138="","",IF(F138&gt;=C138/(1-SKU_Base!Z138)/(1-Settings!$B$17),"OK",IF(F138&gt;=C138/(1-SKU_Base!AG138)/(1-Settings!$B$17),"WARN","STOP"))),"")</f>
        <v/>
      </c>
      <c r="J138" s="158">
        <f>IFERROR(ROUND(D138*(1-CHOOSE(MATCH(IF($E138="","Основний",$E138),{"Трафіковий","Основний","Маржинальний","Сезонний","Стратегічний"},0),Settings!$C$78,Settings!$C$80,Settings!$C$82,Settings!$C$84,Settings!$C$86))/6,2)*6,"")</f>
        <v/>
      </c>
      <c r="K138" s="142">
        <f>IFERROR(CHOOSE(MATCH(IF($E138="","Основний",$E138),{"Трафіковий","Основний","Маржинальний","Сезонний","Стратегічний"},0),Settings!$C$78,Settings!$C$80,Settings!$C$82,Settings!$C$84,Settings!$C$86),"")</f>
        <v/>
      </c>
      <c r="L138" s="143">
        <f>IFERROR((J138*(1-Settings!$C$17)-C138)/(J138*(1-Settings!$C$17)),"")</f>
        <v/>
      </c>
      <c r="M138" s="149">
        <f>IFERROR(IF(J138="","",IF(J138&gt;=C138/(1-SKU_Base!AA138)/(1-Settings!$C$17),"OK",IF(J138&gt;=C138/(1-SKU_Base!AH138)/(1-Settings!$C$17),"WARN","STOP"))),"")</f>
        <v/>
      </c>
      <c r="N138" s="159">
        <f>IFERROR(ROUND(D138*(1-CHOOSE(MATCH(IF($E138="","Основний",$E138),{"Трафіковий","Основний","Маржинальний","Сезонний","Стратегічний"},0),Settings!$D$78,Settings!$D$80,Settings!$D$82,Settings!$D$84,Settings!$D$86))/6,2)*6,"")</f>
        <v/>
      </c>
      <c r="O138" s="142">
        <f>IFERROR(CHOOSE(MATCH(IF($E138="","Основний",$E138),{"Трафіковий","Основний","Маржинальний","Сезонний","Стратегічний"},0),Settings!$D$78,Settings!$D$80,Settings!$D$82,Settings!$D$84,Settings!$D$86),"")</f>
        <v/>
      </c>
      <c r="P138" s="143">
        <f>IFERROR((N138*(1-Settings!$D$17)-C138)/(N138*(1-Settings!$D$17)),"")</f>
        <v/>
      </c>
      <c r="Q138" s="149">
        <f>IFERROR(IF(N138="","",IF(N138&gt;=C138/(1-SKU_Base!AB138)/(1-Settings!$D$17),"OK",IF(N138&gt;=C138/(1-SKU_Base!AI138)/(1-Settings!$D$17),"WARN","STOP"))),"")</f>
        <v/>
      </c>
      <c r="R138" s="159">
        <f>IFERROR(ROUND(D138*(1-CHOOSE(MATCH(IF($E138="","Основний",$E138),{"Трафіковий","Основний","Маржинальний","Сезонний","Стратегічний"},0),Settings!$E$78,Settings!$E$80,Settings!$E$82,Settings!$E$84,Settings!$E$86))/6,2)*6,"")</f>
        <v/>
      </c>
      <c r="S138" s="142">
        <f>IFERROR(CHOOSE(MATCH(IF($E138="","Основний",$E138),{"Трафіковий","Основний","Маржинальний","Сезонний","Стратегічний"},0),Settings!$E$78,Settings!$E$80,Settings!$E$82,Settings!$E$84,Settings!$E$86),"")</f>
        <v/>
      </c>
      <c r="T138" s="143">
        <f>IFERROR((R138*(1-Settings!$E$17)-C138)/(R138*(1-Settings!$E$17)),"")</f>
        <v/>
      </c>
      <c r="U138" s="149">
        <f>IFERROR(IF(R138="","",IF(R138&gt;=C138/(1-SKU_Base!AC138)/(1-Settings!$E$17),"OK",IF(R138&gt;=C138/(1-SKU_Base!AJ138)/(1-Settings!$E$17),"WARN","STOP"))),"")</f>
        <v/>
      </c>
      <c r="V138" s="159">
        <f>IFERROR(ROUND(D138*(1-CHOOSE(MATCH(IF($E138="","Основний",$E138),{"Трафіковий","Основний","Маржинальний","Сезонний","Стратегічний"},0),Settings!$F$78,Settings!$F$80,Settings!$F$82,Settings!$F$84,Settings!$F$86))/6,2)*6,"")</f>
        <v/>
      </c>
      <c r="W138" s="142">
        <f>IFERROR(CHOOSE(MATCH(IF($E138="","Основний",$E138),{"Трафіковий","Основний","Маржинальний","Сезонний","Стратегічний"},0),Settings!$F$78,Settings!$F$80,Settings!$F$82,Settings!$F$84,Settings!$F$86),"")</f>
        <v/>
      </c>
      <c r="X138" s="143">
        <f>IFERROR((V138*(1-Settings!$F$17)-C138)/(V138*(1-Settings!$F$17)),"")</f>
        <v/>
      </c>
      <c r="Y138" s="149">
        <f>IFERROR(IF(V138="","",IF(V138&gt;=C138/(1-SKU_Base!AD138)/(1-Settings!$F$17),"OK",IF(V138&gt;=C138/(1-SKU_Base!AK138)/(1-Settings!$F$17),"WARN","STOP"))),"")</f>
        <v/>
      </c>
      <c r="Z138" s="159">
        <f>IFERROR(ROUND(D138*(1-CHOOSE(MATCH(IF($E138="","Основний",$E138),{"Трафіковий","Основний","Маржинальний","Сезонний","Стратегічний"},0),Settings!$G$78,Settings!$G$80,Settings!$G$82,Settings!$G$84,Settings!$G$86))/6,2)*6,"")</f>
        <v/>
      </c>
      <c r="AA138" s="142">
        <f>IFERROR(CHOOSE(MATCH(IF($E138="","Основний",$E138),{"Трафіковий","Основний","Маржинальний","Сезонний","Стратегічний"},0),Settings!$G$78,Settings!$G$80,Settings!$G$82,Settings!$G$84,Settings!$G$86),"")</f>
        <v/>
      </c>
      <c r="AB138" s="143">
        <f>IFERROR((Z138*(1-Settings!$G$17)-C138)/(Z138*(1-Settings!$G$17)),"")</f>
        <v/>
      </c>
      <c r="AC138" s="149">
        <f>IFERROR(IF(Z138="","",IF(Z138&gt;=C138/(1-SKU_Base!AE138)/(1-Settings!$G$17),"OK",IF(Z138&gt;=C138/(1-SKU_Base!AL138)/(1-Settings!$G$17),"WARN","STOP"))),"")</f>
        <v/>
      </c>
      <c r="AD138" s="159">
        <f>IFERROR(ROUND(D138*(1-CHOOSE(MATCH(IF($E138="","Основний",$E138),{"Трафіковий","Основний","Маржинальний","Сезонний","Стратегічний"},0),Settings!$H$78,Settings!$H$80,Settings!$H$82,Settings!$H$84,Settings!$H$86))*(1-Settings!$H$68)/6,2)*6,"")</f>
        <v/>
      </c>
      <c r="AE138" s="142">
        <f>IFERROR(CHOOSE(MATCH(IF($E138="","Основний",$E138),{"Трафіковий","Основний","Маржинальний","Сезонний","Стратегічний"},0),Settings!$H$78,Settings!$H$80,Settings!$H$82,Settings!$H$84,Settings!$H$86)+(1-(CHOOSE(MATCH(IF($E138="","Основний",$E138),{"Трафіковий","Основний","Маржинальний","Сезонний","Стратегічний"},0),Settings!$H$78,Settings!$H$80,Settings!$H$82,Settings!$H$84,Settings!$H$86)))*Settings!$H$68,"")</f>
        <v/>
      </c>
      <c r="AF138" s="143">
        <f>IFERROR((AD138*(1-Settings!$H$17)-C138)/(AD138*(1-Settings!$H$17)),"")</f>
        <v/>
      </c>
      <c r="AG138" s="150">
        <f>IFERROR(IF(AD138="","",IF(AD138&gt;=C138/(1-SKU_Base!AF138)/(1-Settings!$H$17),"OK",IF(AD138&gt;=C138/(1-SKU_Base!AM138)/(1-Settings!$H$17),"WARN","STOP"))),"")</f>
        <v/>
      </c>
    </row>
    <row r="139" ht="17" customHeight="1" s="179">
      <c r="A139" s="146">
        <f>SKU_Base!B139</f>
        <v/>
      </c>
      <c r="B139" s="146">
        <f>SKU_Base!C139</f>
        <v/>
      </c>
      <c r="C139" s="147">
        <f>IFERROR(SKU_Base!I139,"")</f>
        <v/>
      </c>
      <c r="D139" s="164">
        <f>IFERROR(SKU_Base!T139,"")</f>
        <v/>
      </c>
      <c r="E139" s="141">
        <f>IFERROR(SKU_Base!$U139,"")</f>
        <v/>
      </c>
      <c r="F139" s="160">
        <f>IFERROR(ROUND(D139*(1-CHOOSE(MATCH(IF($E139="","Основний",$E139),{"Трафіковий","Основний","Маржинальний","Сезонний","Стратегічний"},0),Settings!$B$78,Settings!$B$80,Settings!$B$82,Settings!$B$84,Settings!$B$86))/6,2)*6,"")</f>
        <v/>
      </c>
      <c r="G139" s="142">
        <f>IFERROR(CHOOSE(MATCH(IF($E139="","Основний",$E139),{"Трафіковий","Основний","Маржинальний","Сезонний","Стратегічний"},0),Settings!$B$78,Settings!$B$80,Settings!$B$82,Settings!$B$84,Settings!$B$86),"")</f>
        <v/>
      </c>
      <c r="H139" s="148">
        <f>IFERROR((F139*(1-Settings!$B$17)-C139)/(F139*(1-Settings!$B$17)),"")</f>
        <v/>
      </c>
      <c r="I139" s="149">
        <f>IFERROR(IF(F139="","",IF(F139&gt;=C139/(1-SKU_Base!Z139)/(1-Settings!$B$17),"OK",IF(F139&gt;=C139/(1-SKU_Base!AG139)/(1-Settings!$B$17),"WARN","STOP"))),"")</f>
        <v/>
      </c>
      <c r="J139" s="160">
        <f>IFERROR(ROUND(D139*(1-CHOOSE(MATCH(IF($E139="","Основний",$E139),{"Трафіковий","Основний","Маржинальний","Сезонний","Стратегічний"},0),Settings!$C$78,Settings!$C$80,Settings!$C$82,Settings!$C$84,Settings!$C$86))/6,2)*6,"")</f>
        <v/>
      </c>
      <c r="K139" s="142">
        <f>IFERROR(CHOOSE(MATCH(IF($E139="","Основний",$E139),{"Трафіковий","Основний","Маржинальний","Сезонний","Стратегічний"},0),Settings!$C$78,Settings!$C$80,Settings!$C$82,Settings!$C$84,Settings!$C$86),"")</f>
        <v/>
      </c>
      <c r="L139" s="148">
        <f>IFERROR((J139*(1-Settings!$C$17)-C139)/(J139*(1-Settings!$C$17)),"")</f>
        <v/>
      </c>
      <c r="M139" s="149">
        <f>IFERROR(IF(J139="","",IF(J139&gt;=C139/(1-SKU_Base!AA139)/(1-Settings!$C$17),"OK",IF(J139&gt;=C139/(1-SKU_Base!AH139)/(1-Settings!$C$17),"WARN","STOP"))),"")</f>
        <v/>
      </c>
      <c r="N139" s="161">
        <f>IFERROR(ROUND(D139*(1-CHOOSE(MATCH(IF($E139="","Основний",$E139),{"Трафіковий","Основний","Маржинальний","Сезонний","Стратегічний"},0),Settings!$D$78,Settings!$D$80,Settings!$D$82,Settings!$D$84,Settings!$D$86))/6,2)*6,"")</f>
        <v/>
      </c>
      <c r="O139" s="142">
        <f>IFERROR(CHOOSE(MATCH(IF($E139="","Основний",$E139),{"Трафіковий","Основний","Маржинальний","Сезонний","Стратегічний"},0),Settings!$D$78,Settings!$D$80,Settings!$D$82,Settings!$D$84,Settings!$D$86),"")</f>
        <v/>
      </c>
      <c r="P139" s="148">
        <f>IFERROR((N139*(1-Settings!$D$17)-C139)/(N139*(1-Settings!$D$17)),"")</f>
        <v/>
      </c>
      <c r="Q139" s="149">
        <f>IFERROR(IF(N139="","",IF(N139&gt;=C139/(1-SKU_Base!AB139)/(1-Settings!$D$17),"OK",IF(N139&gt;=C139/(1-SKU_Base!AI139)/(1-Settings!$D$17),"WARN","STOP"))),"")</f>
        <v/>
      </c>
      <c r="R139" s="161">
        <f>IFERROR(ROUND(D139*(1-CHOOSE(MATCH(IF($E139="","Основний",$E139),{"Трафіковий","Основний","Маржинальний","Сезонний","Стратегічний"},0),Settings!$E$78,Settings!$E$80,Settings!$E$82,Settings!$E$84,Settings!$E$86))/6,2)*6,"")</f>
        <v/>
      </c>
      <c r="S139" s="142">
        <f>IFERROR(CHOOSE(MATCH(IF($E139="","Основний",$E139),{"Трафіковий","Основний","Маржинальний","Сезонний","Стратегічний"},0),Settings!$E$78,Settings!$E$80,Settings!$E$82,Settings!$E$84,Settings!$E$86),"")</f>
        <v/>
      </c>
      <c r="T139" s="148">
        <f>IFERROR((R139*(1-Settings!$E$17)-C139)/(R139*(1-Settings!$E$17)),"")</f>
        <v/>
      </c>
      <c r="U139" s="149">
        <f>IFERROR(IF(R139="","",IF(R139&gt;=C139/(1-SKU_Base!AC139)/(1-Settings!$E$17),"OK",IF(R139&gt;=C139/(1-SKU_Base!AJ139)/(1-Settings!$E$17),"WARN","STOP"))),"")</f>
        <v/>
      </c>
      <c r="V139" s="161">
        <f>IFERROR(ROUND(D139*(1-CHOOSE(MATCH(IF($E139="","Основний",$E139),{"Трафіковий","Основний","Маржинальний","Сезонний","Стратегічний"},0),Settings!$F$78,Settings!$F$80,Settings!$F$82,Settings!$F$84,Settings!$F$86))/6,2)*6,"")</f>
        <v/>
      </c>
      <c r="W139" s="142">
        <f>IFERROR(CHOOSE(MATCH(IF($E139="","Основний",$E139),{"Трафіковий","Основний","Маржинальний","Сезонний","Стратегічний"},0),Settings!$F$78,Settings!$F$80,Settings!$F$82,Settings!$F$84,Settings!$F$86),"")</f>
        <v/>
      </c>
      <c r="X139" s="148">
        <f>IFERROR((V139*(1-Settings!$F$17)-C139)/(V139*(1-Settings!$F$17)),"")</f>
        <v/>
      </c>
      <c r="Y139" s="149">
        <f>IFERROR(IF(V139="","",IF(V139&gt;=C139/(1-SKU_Base!AD139)/(1-Settings!$F$17),"OK",IF(V139&gt;=C139/(1-SKU_Base!AK139)/(1-Settings!$F$17),"WARN","STOP"))),"")</f>
        <v/>
      </c>
      <c r="Z139" s="161">
        <f>IFERROR(ROUND(D139*(1-CHOOSE(MATCH(IF($E139="","Основний",$E139),{"Трафіковий","Основний","Маржинальний","Сезонний","Стратегічний"},0),Settings!$G$78,Settings!$G$80,Settings!$G$82,Settings!$G$84,Settings!$G$86))/6,2)*6,"")</f>
        <v/>
      </c>
      <c r="AA139" s="142">
        <f>IFERROR(CHOOSE(MATCH(IF($E139="","Основний",$E139),{"Трафіковий","Основний","Маржинальний","Сезонний","Стратегічний"},0),Settings!$G$78,Settings!$G$80,Settings!$G$82,Settings!$G$84,Settings!$G$86),"")</f>
        <v/>
      </c>
      <c r="AB139" s="148">
        <f>IFERROR((Z139*(1-Settings!$G$17)-C139)/(Z139*(1-Settings!$G$17)),"")</f>
        <v/>
      </c>
      <c r="AC139" s="149">
        <f>IFERROR(IF(Z139="","",IF(Z139&gt;=C139/(1-SKU_Base!AE139)/(1-Settings!$G$17),"OK",IF(Z139&gt;=C139/(1-SKU_Base!AL139)/(1-Settings!$G$17),"WARN","STOP"))),"")</f>
        <v/>
      </c>
      <c r="AD139" s="161">
        <f>IFERROR(ROUND(D139*(1-CHOOSE(MATCH(IF($E139="","Основний",$E139),{"Трафіковий","Основний","Маржинальний","Сезонний","Стратегічний"},0),Settings!$H$78,Settings!$H$80,Settings!$H$82,Settings!$H$84,Settings!$H$86))*(1-Settings!$H$68)/6,2)*6,"")</f>
        <v/>
      </c>
      <c r="AE139" s="142">
        <f>IFERROR(CHOOSE(MATCH(IF($E139="","Основний",$E139),{"Трафіковий","Основний","Маржинальний","Сезонний","Стратегічний"},0),Settings!$H$78,Settings!$H$80,Settings!$H$82,Settings!$H$84,Settings!$H$86)+(1-(CHOOSE(MATCH(IF($E139="","Основний",$E139),{"Трафіковий","Основний","Маржинальний","Сезонний","Стратегічний"},0),Settings!$H$78,Settings!$H$80,Settings!$H$82,Settings!$H$84,Settings!$H$86)))*Settings!$H$68,"")</f>
        <v/>
      </c>
      <c r="AF139" s="148">
        <f>IFERROR((AD139*(1-Settings!$H$17)-C139)/(AD139*(1-Settings!$H$17)),"")</f>
        <v/>
      </c>
      <c r="AG139" s="150">
        <f>IFERROR(IF(AD139="","",IF(AD139&gt;=C139/(1-SKU_Base!AF139)/(1-Settings!$H$17),"OK",IF(AD139&gt;=C139/(1-SKU_Base!AM139)/(1-Settings!$H$17),"WARN","STOP"))),"")</f>
        <v/>
      </c>
    </row>
    <row r="140" ht="17" customHeight="1" s="179">
      <c r="A140" s="139">
        <f>SKU_Base!B140</f>
        <v/>
      </c>
      <c r="B140" s="139">
        <f>SKU_Base!C140</f>
        <v/>
      </c>
      <c r="C140" s="140">
        <f>IFERROR(SKU_Base!I140,"")</f>
        <v/>
      </c>
      <c r="D140" s="163">
        <f>IFERROR(SKU_Base!T140,"")</f>
        <v/>
      </c>
      <c r="E140" s="141">
        <f>IFERROR(SKU_Base!$U140,"")</f>
        <v/>
      </c>
      <c r="F140" s="158">
        <f>IFERROR(ROUND(D140*(1-CHOOSE(MATCH(IF($E140="","Основний",$E140),{"Трафіковий","Основний","Маржинальний","Сезонний","Стратегічний"},0),Settings!$B$78,Settings!$B$80,Settings!$B$82,Settings!$B$84,Settings!$B$86))/6,2)*6,"")</f>
        <v/>
      </c>
      <c r="G140" s="142">
        <f>IFERROR(CHOOSE(MATCH(IF($E140="","Основний",$E140),{"Трафіковий","Основний","Маржинальний","Сезонний","Стратегічний"},0),Settings!$B$78,Settings!$B$80,Settings!$B$82,Settings!$B$84,Settings!$B$86),"")</f>
        <v/>
      </c>
      <c r="H140" s="143">
        <f>IFERROR((F140*(1-Settings!$B$17)-C140)/(F140*(1-Settings!$B$17)),"")</f>
        <v/>
      </c>
      <c r="I140" s="149">
        <f>IFERROR(IF(F140="","",IF(F140&gt;=C140/(1-SKU_Base!Z140)/(1-Settings!$B$17),"OK",IF(F140&gt;=C140/(1-SKU_Base!AG140)/(1-Settings!$B$17),"WARN","STOP"))),"")</f>
        <v/>
      </c>
      <c r="J140" s="158">
        <f>IFERROR(ROUND(D140*(1-CHOOSE(MATCH(IF($E140="","Основний",$E140),{"Трафіковий","Основний","Маржинальний","Сезонний","Стратегічний"},0),Settings!$C$78,Settings!$C$80,Settings!$C$82,Settings!$C$84,Settings!$C$86))/6,2)*6,"")</f>
        <v/>
      </c>
      <c r="K140" s="142">
        <f>IFERROR(CHOOSE(MATCH(IF($E140="","Основний",$E140),{"Трафіковий","Основний","Маржинальний","Сезонний","Стратегічний"},0),Settings!$C$78,Settings!$C$80,Settings!$C$82,Settings!$C$84,Settings!$C$86),"")</f>
        <v/>
      </c>
      <c r="L140" s="143">
        <f>IFERROR((J140*(1-Settings!$C$17)-C140)/(J140*(1-Settings!$C$17)),"")</f>
        <v/>
      </c>
      <c r="M140" s="149">
        <f>IFERROR(IF(J140="","",IF(J140&gt;=C140/(1-SKU_Base!AA140)/(1-Settings!$C$17),"OK",IF(J140&gt;=C140/(1-SKU_Base!AH140)/(1-Settings!$C$17),"WARN","STOP"))),"")</f>
        <v/>
      </c>
      <c r="N140" s="159">
        <f>IFERROR(ROUND(D140*(1-CHOOSE(MATCH(IF($E140="","Основний",$E140),{"Трафіковий","Основний","Маржинальний","Сезонний","Стратегічний"},0),Settings!$D$78,Settings!$D$80,Settings!$D$82,Settings!$D$84,Settings!$D$86))/6,2)*6,"")</f>
        <v/>
      </c>
      <c r="O140" s="142">
        <f>IFERROR(CHOOSE(MATCH(IF($E140="","Основний",$E140),{"Трафіковий","Основний","Маржинальний","Сезонний","Стратегічний"},0),Settings!$D$78,Settings!$D$80,Settings!$D$82,Settings!$D$84,Settings!$D$86),"")</f>
        <v/>
      </c>
      <c r="P140" s="143">
        <f>IFERROR((N140*(1-Settings!$D$17)-C140)/(N140*(1-Settings!$D$17)),"")</f>
        <v/>
      </c>
      <c r="Q140" s="149">
        <f>IFERROR(IF(N140="","",IF(N140&gt;=C140/(1-SKU_Base!AB140)/(1-Settings!$D$17),"OK",IF(N140&gt;=C140/(1-SKU_Base!AI140)/(1-Settings!$D$17),"WARN","STOP"))),"")</f>
        <v/>
      </c>
      <c r="R140" s="159">
        <f>IFERROR(ROUND(D140*(1-CHOOSE(MATCH(IF($E140="","Основний",$E140),{"Трафіковий","Основний","Маржинальний","Сезонний","Стратегічний"},0),Settings!$E$78,Settings!$E$80,Settings!$E$82,Settings!$E$84,Settings!$E$86))/6,2)*6,"")</f>
        <v/>
      </c>
      <c r="S140" s="142">
        <f>IFERROR(CHOOSE(MATCH(IF($E140="","Основний",$E140),{"Трафіковий","Основний","Маржинальний","Сезонний","Стратегічний"},0),Settings!$E$78,Settings!$E$80,Settings!$E$82,Settings!$E$84,Settings!$E$86),"")</f>
        <v/>
      </c>
      <c r="T140" s="143">
        <f>IFERROR((R140*(1-Settings!$E$17)-C140)/(R140*(1-Settings!$E$17)),"")</f>
        <v/>
      </c>
      <c r="U140" s="149">
        <f>IFERROR(IF(R140="","",IF(R140&gt;=C140/(1-SKU_Base!AC140)/(1-Settings!$E$17),"OK",IF(R140&gt;=C140/(1-SKU_Base!AJ140)/(1-Settings!$E$17),"WARN","STOP"))),"")</f>
        <v/>
      </c>
      <c r="V140" s="159">
        <f>IFERROR(ROUND(D140*(1-CHOOSE(MATCH(IF($E140="","Основний",$E140),{"Трафіковий","Основний","Маржинальний","Сезонний","Стратегічний"},0),Settings!$F$78,Settings!$F$80,Settings!$F$82,Settings!$F$84,Settings!$F$86))/6,2)*6,"")</f>
        <v/>
      </c>
      <c r="W140" s="142">
        <f>IFERROR(CHOOSE(MATCH(IF($E140="","Основний",$E140),{"Трафіковий","Основний","Маржинальний","Сезонний","Стратегічний"},0),Settings!$F$78,Settings!$F$80,Settings!$F$82,Settings!$F$84,Settings!$F$86),"")</f>
        <v/>
      </c>
      <c r="X140" s="143">
        <f>IFERROR((V140*(1-Settings!$F$17)-C140)/(V140*(1-Settings!$F$17)),"")</f>
        <v/>
      </c>
      <c r="Y140" s="149">
        <f>IFERROR(IF(V140="","",IF(V140&gt;=C140/(1-SKU_Base!AD140)/(1-Settings!$F$17),"OK",IF(V140&gt;=C140/(1-SKU_Base!AK140)/(1-Settings!$F$17),"WARN","STOP"))),"")</f>
        <v/>
      </c>
      <c r="Z140" s="159">
        <f>IFERROR(ROUND(D140*(1-CHOOSE(MATCH(IF($E140="","Основний",$E140),{"Трафіковий","Основний","Маржинальний","Сезонний","Стратегічний"},0),Settings!$G$78,Settings!$G$80,Settings!$G$82,Settings!$G$84,Settings!$G$86))/6,2)*6,"")</f>
        <v/>
      </c>
      <c r="AA140" s="142">
        <f>IFERROR(CHOOSE(MATCH(IF($E140="","Основний",$E140),{"Трафіковий","Основний","Маржинальний","Сезонний","Стратегічний"},0),Settings!$G$78,Settings!$G$80,Settings!$G$82,Settings!$G$84,Settings!$G$86),"")</f>
        <v/>
      </c>
      <c r="AB140" s="143">
        <f>IFERROR((Z140*(1-Settings!$G$17)-C140)/(Z140*(1-Settings!$G$17)),"")</f>
        <v/>
      </c>
      <c r="AC140" s="149">
        <f>IFERROR(IF(Z140="","",IF(Z140&gt;=C140/(1-SKU_Base!AE140)/(1-Settings!$G$17),"OK",IF(Z140&gt;=C140/(1-SKU_Base!AL140)/(1-Settings!$G$17),"WARN","STOP"))),"")</f>
        <v/>
      </c>
      <c r="AD140" s="159">
        <f>IFERROR(ROUND(D140*(1-CHOOSE(MATCH(IF($E140="","Основний",$E140),{"Трафіковий","Основний","Маржинальний","Сезонний","Стратегічний"},0),Settings!$H$78,Settings!$H$80,Settings!$H$82,Settings!$H$84,Settings!$H$86))*(1-Settings!$H$68)/6,2)*6,"")</f>
        <v/>
      </c>
      <c r="AE140" s="142">
        <f>IFERROR(CHOOSE(MATCH(IF($E140="","Основний",$E140),{"Трафіковий","Основний","Маржинальний","Сезонний","Стратегічний"},0),Settings!$H$78,Settings!$H$80,Settings!$H$82,Settings!$H$84,Settings!$H$86)+(1-(CHOOSE(MATCH(IF($E140="","Основний",$E140),{"Трафіковий","Основний","Маржинальний","Сезонний","Стратегічний"},0),Settings!$H$78,Settings!$H$80,Settings!$H$82,Settings!$H$84,Settings!$H$86)))*Settings!$H$68,"")</f>
        <v/>
      </c>
      <c r="AF140" s="143">
        <f>IFERROR((AD140*(1-Settings!$H$17)-C140)/(AD140*(1-Settings!$H$17)),"")</f>
        <v/>
      </c>
      <c r="AG140" s="150">
        <f>IFERROR(IF(AD140="","",IF(AD140&gt;=C140/(1-SKU_Base!AF140)/(1-Settings!$H$17),"OK",IF(AD140&gt;=C140/(1-SKU_Base!AM140)/(1-Settings!$H$17),"WARN","STOP"))),"")</f>
        <v/>
      </c>
    </row>
    <row r="141" ht="17" customHeight="1" s="179">
      <c r="A141" s="146">
        <f>SKU_Base!B141</f>
        <v/>
      </c>
      <c r="B141" s="146">
        <f>SKU_Base!C141</f>
        <v/>
      </c>
      <c r="C141" s="147">
        <f>IFERROR(SKU_Base!I141,"")</f>
        <v/>
      </c>
      <c r="D141" s="164">
        <f>IFERROR(SKU_Base!T141,"")</f>
        <v/>
      </c>
      <c r="E141" s="141">
        <f>IFERROR(SKU_Base!$U141,"")</f>
        <v/>
      </c>
      <c r="F141" s="160">
        <f>IFERROR(ROUND(D141*(1-CHOOSE(MATCH(IF($E141="","Основний",$E141),{"Трафіковий","Основний","Маржинальний","Сезонний","Стратегічний"},0),Settings!$B$78,Settings!$B$80,Settings!$B$82,Settings!$B$84,Settings!$B$86))/6,2)*6,"")</f>
        <v/>
      </c>
      <c r="G141" s="142">
        <f>IFERROR(CHOOSE(MATCH(IF($E141="","Основний",$E141),{"Трафіковий","Основний","Маржинальний","Сезонний","Стратегічний"},0),Settings!$B$78,Settings!$B$80,Settings!$B$82,Settings!$B$84,Settings!$B$86),"")</f>
        <v/>
      </c>
      <c r="H141" s="148">
        <f>IFERROR((F141*(1-Settings!$B$17)-C141)/(F141*(1-Settings!$B$17)),"")</f>
        <v/>
      </c>
      <c r="I141" s="149">
        <f>IFERROR(IF(F141="","",IF(F141&gt;=C141/(1-SKU_Base!Z141)/(1-Settings!$B$17),"OK",IF(F141&gt;=C141/(1-SKU_Base!AG141)/(1-Settings!$B$17),"WARN","STOP"))),"")</f>
        <v/>
      </c>
      <c r="J141" s="160">
        <f>IFERROR(ROUND(D141*(1-CHOOSE(MATCH(IF($E141="","Основний",$E141),{"Трафіковий","Основний","Маржинальний","Сезонний","Стратегічний"},0),Settings!$C$78,Settings!$C$80,Settings!$C$82,Settings!$C$84,Settings!$C$86))/6,2)*6,"")</f>
        <v/>
      </c>
      <c r="K141" s="142">
        <f>IFERROR(CHOOSE(MATCH(IF($E141="","Основний",$E141),{"Трафіковий","Основний","Маржинальний","Сезонний","Стратегічний"},0),Settings!$C$78,Settings!$C$80,Settings!$C$82,Settings!$C$84,Settings!$C$86),"")</f>
        <v/>
      </c>
      <c r="L141" s="148">
        <f>IFERROR((J141*(1-Settings!$C$17)-C141)/(J141*(1-Settings!$C$17)),"")</f>
        <v/>
      </c>
      <c r="M141" s="149">
        <f>IFERROR(IF(J141="","",IF(J141&gt;=C141/(1-SKU_Base!AA141)/(1-Settings!$C$17),"OK",IF(J141&gt;=C141/(1-SKU_Base!AH141)/(1-Settings!$C$17),"WARN","STOP"))),"")</f>
        <v/>
      </c>
      <c r="N141" s="161">
        <f>IFERROR(ROUND(D141*(1-CHOOSE(MATCH(IF($E141="","Основний",$E141),{"Трафіковий","Основний","Маржинальний","Сезонний","Стратегічний"},0),Settings!$D$78,Settings!$D$80,Settings!$D$82,Settings!$D$84,Settings!$D$86))/6,2)*6,"")</f>
        <v/>
      </c>
      <c r="O141" s="142">
        <f>IFERROR(CHOOSE(MATCH(IF($E141="","Основний",$E141),{"Трафіковий","Основний","Маржинальний","Сезонний","Стратегічний"},0),Settings!$D$78,Settings!$D$80,Settings!$D$82,Settings!$D$84,Settings!$D$86),"")</f>
        <v/>
      </c>
      <c r="P141" s="148">
        <f>IFERROR((N141*(1-Settings!$D$17)-C141)/(N141*(1-Settings!$D$17)),"")</f>
        <v/>
      </c>
      <c r="Q141" s="149">
        <f>IFERROR(IF(N141="","",IF(N141&gt;=C141/(1-SKU_Base!AB141)/(1-Settings!$D$17),"OK",IF(N141&gt;=C141/(1-SKU_Base!AI141)/(1-Settings!$D$17),"WARN","STOP"))),"")</f>
        <v/>
      </c>
      <c r="R141" s="161">
        <f>IFERROR(ROUND(D141*(1-CHOOSE(MATCH(IF($E141="","Основний",$E141),{"Трафіковий","Основний","Маржинальний","Сезонний","Стратегічний"},0),Settings!$E$78,Settings!$E$80,Settings!$E$82,Settings!$E$84,Settings!$E$86))/6,2)*6,"")</f>
        <v/>
      </c>
      <c r="S141" s="142">
        <f>IFERROR(CHOOSE(MATCH(IF($E141="","Основний",$E141),{"Трафіковий","Основний","Маржинальний","Сезонний","Стратегічний"},0),Settings!$E$78,Settings!$E$80,Settings!$E$82,Settings!$E$84,Settings!$E$86),"")</f>
        <v/>
      </c>
      <c r="T141" s="148">
        <f>IFERROR((R141*(1-Settings!$E$17)-C141)/(R141*(1-Settings!$E$17)),"")</f>
        <v/>
      </c>
      <c r="U141" s="149">
        <f>IFERROR(IF(R141="","",IF(R141&gt;=C141/(1-SKU_Base!AC141)/(1-Settings!$E$17),"OK",IF(R141&gt;=C141/(1-SKU_Base!AJ141)/(1-Settings!$E$17),"WARN","STOP"))),"")</f>
        <v/>
      </c>
      <c r="V141" s="161">
        <f>IFERROR(ROUND(D141*(1-CHOOSE(MATCH(IF($E141="","Основний",$E141),{"Трафіковий","Основний","Маржинальний","Сезонний","Стратегічний"},0),Settings!$F$78,Settings!$F$80,Settings!$F$82,Settings!$F$84,Settings!$F$86))/6,2)*6,"")</f>
        <v/>
      </c>
      <c r="W141" s="142">
        <f>IFERROR(CHOOSE(MATCH(IF($E141="","Основний",$E141),{"Трафіковий","Основний","Маржинальний","Сезонний","Стратегічний"},0),Settings!$F$78,Settings!$F$80,Settings!$F$82,Settings!$F$84,Settings!$F$86),"")</f>
        <v/>
      </c>
      <c r="X141" s="148">
        <f>IFERROR((V141*(1-Settings!$F$17)-C141)/(V141*(1-Settings!$F$17)),"")</f>
        <v/>
      </c>
      <c r="Y141" s="149">
        <f>IFERROR(IF(V141="","",IF(V141&gt;=C141/(1-SKU_Base!AD141)/(1-Settings!$F$17),"OK",IF(V141&gt;=C141/(1-SKU_Base!AK141)/(1-Settings!$F$17),"WARN","STOP"))),"")</f>
        <v/>
      </c>
      <c r="Z141" s="161">
        <f>IFERROR(ROUND(D141*(1-CHOOSE(MATCH(IF($E141="","Основний",$E141),{"Трафіковий","Основний","Маржинальний","Сезонний","Стратегічний"},0),Settings!$G$78,Settings!$G$80,Settings!$G$82,Settings!$G$84,Settings!$G$86))/6,2)*6,"")</f>
        <v/>
      </c>
      <c r="AA141" s="142">
        <f>IFERROR(CHOOSE(MATCH(IF($E141="","Основний",$E141),{"Трафіковий","Основний","Маржинальний","Сезонний","Стратегічний"},0),Settings!$G$78,Settings!$G$80,Settings!$G$82,Settings!$G$84,Settings!$G$86),"")</f>
        <v/>
      </c>
      <c r="AB141" s="148">
        <f>IFERROR((Z141*(1-Settings!$G$17)-C141)/(Z141*(1-Settings!$G$17)),"")</f>
        <v/>
      </c>
      <c r="AC141" s="149">
        <f>IFERROR(IF(Z141="","",IF(Z141&gt;=C141/(1-SKU_Base!AE141)/(1-Settings!$G$17),"OK",IF(Z141&gt;=C141/(1-SKU_Base!AL141)/(1-Settings!$G$17),"WARN","STOP"))),"")</f>
        <v/>
      </c>
      <c r="AD141" s="161">
        <f>IFERROR(ROUND(D141*(1-CHOOSE(MATCH(IF($E141="","Основний",$E141),{"Трафіковий","Основний","Маржинальний","Сезонний","Стратегічний"},0),Settings!$H$78,Settings!$H$80,Settings!$H$82,Settings!$H$84,Settings!$H$86))*(1-Settings!$H$68)/6,2)*6,"")</f>
        <v/>
      </c>
      <c r="AE141" s="142">
        <f>IFERROR(CHOOSE(MATCH(IF($E141="","Основний",$E141),{"Трафіковий","Основний","Маржинальний","Сезонний","Стратегічний"},0),Settings!$H$78,Settings!$H$80,Settings!$H$82,Settings!$H$84,Settings!$H$86)+(1-(CHOOSE(MATCH(IF($E141="","Основний",$E141),{"Трафіковий","Основний","Маржинальний","Сезонний","Стратегічний"},0),Settings!$H$78,Settings!$H$80,Settings!$H$82,Settings!$H$84,Settings!$H$86)))*Settings!$H$68,"")</f>
        <v/>
      </c>
      <c r="AF141" s="148">
        <f>IFERROR((AD141*(1-Settings!$H$17)-C141)/(AD141*(1-Settings!$H$17)),"")</f>
        <v/>
      </c>
      <c r="AG141" s="150">
        <f>IFERROR(IF(AD141="","",IF(AD141&gt;=C141/(1-SKU_Base!AF141)/(1-Settings!$H$17),"OK",IF(AD141&gt;=C141/(1-SKU_Base!AM141)/(1-Settings!$H$17),"WARN","STOP"))),"")</f>
        <v/>
      </c>
    </row>
    <row r="142" ht="17" customHeight="1" s="179">
      <c r="A142" s="139">
        <f>SKU_Base!B142</f>
        <v/>
      </c>
      <c r="B142" s="139">
        <f>SKU_Base!C142</f>
        <v/>
      </c>
      <c r="C142" s="140">
        <f>IFERROR(SKU_Base!I142,"")</f>
        <v/>
      </c>
      <c r="D142" s="163">
        <f>IFERROR(SKU_Base!T142,"")</f>
        <v/>
      </c>
      <c r="E142" s="141">
        <f>IFERROR(SKU_Base!$U142,"")</f>
        <v/>
      </c>
      <c r="F142" s="158">
        <f>IFERROR(ROUND(D142*(1-CHOOSE(MATCH(IF($E142="","Основний",$E142),{"Трафіковий","Основний","Маржинальний","Сезонний","Стратегічний"},0),Settings!$B$78,Settings!$B$80,Settings!$B$82,Settings!$B$84,Settings!$B$86))/6,2)*6,"")</f>
        <v/>
      </c>
      <c r="G142" s="142">
        <f>IFERROR(CHOOSE(MATCH(IF($E142="","Основний",$E142),{"Трафіковий","Основний","Маржинальний","Сезонний","Стратегічний"},0),Settings!$B$78,Settings!$B$80,Settings!$B$82,Settings!$B$84,Settings!$B$86),"")</f>
        <v/>
      </c>
      <c r="H142" s="143">
        <f>IFERROR((F142*(1-Settings!$B$17)-C142)/(F142*(1-Settings!$B$17)),"")</f>
        <v/>
      </c>
      <c r="I142" s="149">
        <f>IFERROR(IF(F142="","",IF(F142&gt;=C142/(1-SKU_Base!Z142)/(1-Settings!$B$17),"OK",IF(F142&gt;=C142/(1-SKU_Base!AG142)/(1-Settings!$B$17),"WARN","STOP"))),"")</f>
        <v/>
      </c>
      <c r="J142" s="158">
        <f>IFERROR(ROUND(D142*(1-CHOOSE(MATCH(IF($E142="","Основний",$E142),{"Трафіковий","Основний","Маржинальний","Сезонний","Стратегічний"},0),Settings!$C$78,Settings!$C$80,Settings!$C$82,Settings!$C$84,Settings!$C$86))/6,2)*6,"")</f>
        <v/>
      </c>
      <c r="K142" s="142">
        <f>IFERROR(CHOOSE(MATCH(IF($E142="","Основний",$E142),{"Трафіковий","Основний","Маржинальний","Сезонний","Стратегічний"},0),Settings!$C$78,Settings!$C$80,Settings!$C$82,Settings!$C$84,Settings!$C$86),"")</f>
        <v/>
      </c>
      <c r="L142" s="143">
        <f>IFERROR((J142*(1-Settings!$C$17)-C142)/(J142*(1-Settings!$C$17)),"")</f>
        <v/>
      </c>
      <c r="M142" s="149">
        <f>IFERROR(IF(J142="","",IF(J142&gt;=C142/(1-SKU_Base!AA142)/(1-Settings!$C$17),"OK",IF(J142&gt;=C142/(1-SKU_Base!AH142)/(1-Settings!$C$17),"WARN","STOP"))),"")</f>
        <v/>
      </c>
      <c r="N142" s="159">
        <f>IFERROR(ROUND(D142*(1-CHOOSE(MATCH(IF($E142="","Основний",$E142),{"Трафіковий","Основний","Маржинальний","Сезонний","Стратегічний"},0),Settings!$D$78,Settings!$D$80,Settings!$D$82,Settings!$D$84,Settings!$D$86))/6,2)*6,"")</f>
        <v/>
      </c>
      <c r="O142" s="142">
        <f>IFERROR(CHOOSE(MATCH(IF($E142="","Основний",$E142),{"Трафіковий","Основний","Маржинальний","Сезонний","Стратегічний"},0),Settings!$D$78,Settings!$D$80,Settings!$D$82,Settings!$D$84,Settings!$D$86),"")</f>
        <v/>
      </c>
      <c r="P142" s="143">
        <f>IFERROR((N142*(1-Settings!$D$17)-C142)/(N142*(1-Settings!$D$17)),"")</f>
        <v/>
      </c>
      <c r="Q142" s="149">
        <f>IFERROR(IF(N142="","",IF(N142&gt;=C142/(1-SKU_Base!AB142)/(1-Settings!$D$17),"OK",IF(N142&gt;=C142/(1-SKU_Base!AI142)/(1-Settings!$D$17),"WARN","STOP"))),"")</f>
        <v/>
      </c>
      <c r="R142" s="159">
        <f>IFERROR(ROUND(D142*(1-CHOOSE(MATCH(IF($E142="","Основний",$E142),{"Трафіковий","Основний","Маржинальний","Сезонний","Стратегічний"},0),Settings!$E$78,Settings!$E$80,Settings!$E$82,Settings!$E$84,Settings!$E$86))/6,2)*6,"")</f>
        <v/>
      </c>
      <c r="S142" s="142">
        <f>IFERROR(CHOOSE(MATCH(IF($E142="","Основний",$E142),{"Трафіковий","Основний","Маржинальний","Сезонний","Стратегічний"},0),Settings!$E$78,Settings!$E$80,Settings!$E$82,Settings!$E$84,Settings!$E$86),"")</f>
        <v/>
      </c>
      <c r="T142" s="143">
        <f>IFERROR((R142*(1-Settings!$E$17)-C142)/(R142*(1-Settings!$E$17)),"")</f>
        <v/>
      </c>
      <c r="U142" s="149">
        <f>IFERROR(IF(R142="","",IF(R142&gt;=C142/(1-SKU_Base!AC142)/(1-Settings!$E$17),"OK",IF(R142&gt;=C142/(1-SKU_Base!AJ142)/(1-Settings!$E$17),"WARN","STOP"))),"")</f>
        <v/>
      </c>
      <c r="V142" s="159">
        <f>IFERROR(ROUND(D142*(1-CHOOSE(MATCH(IF($E142="","Основний",$E142),{"Трафіковий","Основний","Маржинальний","Сезонний","Стратегічний"},0),Settings!$F$78,Settings!$F$80,Settings!$F$82,Settings!$F$84,Settings!$F$86))/6,2)*6,"")</f>
        <v/>
      </c>
      <c r="W142" s="142">
        <f>IFERROR(CHOOSE(MATCH(IF($E142="","Основний",$E142),{"Трафіковий","Основний","Маржинальний","Сезонний","Стратегічний"},0),Settings!$F$78,Settings!$F$80,Settings!$F$82,Settings!$F$84,Settings!$F$86),"")</f>
        <v/>
      </c>
      <c r="X142" s="143">
        <f>IFERROR((V142*(1-Settings!$F$17)-C142)/(V142*(1-Settings!$F$17)),"")</f>
        <v/>
      </c>
      <c r="Y142" s="149">
        <f>IFERROR(IF(V142="","",IF(V142&gt;=C142/(1-SKU_Base!AD142)/(1-Settings!$F$17),"OK",IF(V142&gt;=C142/(1-SKU_Base!AK142)/(1-Settings!$F$17),"WARN","STOP"))),"")</f>
        <v/>
      </c>
      <c r="Z142" s="159">
        <f>IFERROR(ROUND(D142*(1-CHOOSE(MATCH(IF($E142="","Основний",$E142),{"Трафіковий","Основний","Маржинальний","Сезонний","Стратегічний"},0),Settings!$G$78,Settings!$G$80,Settings!$G$82,Settings!$G$84,Settings!$G$86))/6,2)*6,"")</f>
        <v/>
      </c>
      <c r="AA142" s="142">
        <f>IFERROR(CHOOSE(MATCH(IF($E142="","Основний",$E142),{"Трафіковий","Основний","Маржинальний","Сезонний","Стратегічний"},0),Settings!$G$78,Settings!$G$80,Settings!$G$82,Settings!$G$84,Settings!$G$86),"")</f>
        <v/>
      </c>
      <c r="AB142" s="143">
        <f>IFERROR((Z142*(1-Settings!$G$17)-C142)/(Z142*(1-Settings!$G$17)),"")</f>
        <v/>
      </c>
      <c r="AC142" s="149">
        <f>IFERROR(IF(Z142="","",IF(Z142&gt;=C142/(1-SKU_Base!AE142)/(1-Settings!$G$17),"OK",IF(Z142&gt;=C142/(1-SKU_Base!AL142)/(1-Settings!$G$17),"WARN","STOP"))),"")</f>
        <v/>
      </c>
      <c r="AD142" s="159">
        <f>IFERROR(ROUND(D142*(1-CHOOSE(MATCH(IF($E142="","Основний",$E142),{"Трафіковий","Основний","Маржинальний","Сезонний","Стратегічний"},0),Settings!$H$78,Settings!$H$80,Settings!$H$82,Settings!$H$84,Settings!$H$86))*(1-Settings!$H$68)/6,2)*6,"")</f>
        <v/>
      </c>
      <c r="AE142" s="142">
        <f>IFERROR(CHOOSE(MATCH(IF($E142="","Основний",$E142),{"Трафіковий","Основний","Маржинальний","Сезонний","Стратегічний"},0),Settings!$H$78,Settings!$H$80,Settings!$H$82,Settings!$H$84,Settings!$H$86)+(1-(CHOOSE(MATCH(IF($E142="","Основний",$E142),{"Трафіковий","Основний","Маржинальний","Сезонний","Стратегічний"},0),Settings!$H$78,Settings!$H$80,Settings!$H$82,Settings!$H$84,Settings!$H$86)))*Settings!$H$68,"")</f>
        <v/>
      </c>
      <c r="AF142" s="143">
        <f>IFERROR((AD142*(1-Settings!$H$17)-C142)/(AD142*(1-Settings!$H$17)),"")</f>
        <v/>
      </c>
      <c r="AG142" s="150">
        <f>IFERROR(IF(AD142="","",IF(AD142&gt;=C142/(1-SKU_Base!AF142)/(1-Settings!$H$17),"OK",IF(AD142&gt;=C142/(1-SKU_Base!AM142)/(1-Settings!$H$17),"WARN","STOP"))),"")</f>
        <v/>
      </c>
    </row>
    <row r="143" ht="17" customHeight="1" s="179">
      <c r="A143" s="146">
        <f>SKU_Base!B143</f>
        <v/>
      </c>
      <c r="B143" s="146">
        <f>SKU_Base!C143</f>
        <v/>
      </c>
      <c r="C143" s="147">
        <f>IFERROR(SKU_Base!I143,"")</f>
        <v/>
      </c>
      <c r="D143" s="164">
        <f>IFERROR(SKU_Base!T143,"")</f>
        <v/>
      </c>
      <c r="E143" s="141">
        <f>IFERROR(SKU_Base!$U143,"")</f>
        <v/>
      </c>
      <c r="F143" s="160">
        <f>IFERROR(ROUND(D143*(1-CHOOSE(MATCH(IF($E143="","Основний",$E143),{"Трафіковий","Основний","Маржинальний","Сезонний","Стратегічний"},0),Settings!$B$78,Settings!$B$80,Settings!$B$82,Settings!$B$84,Settings!$B$86))/6,2)*6,"")</f>
        <v/>
      </c>
      <c r="G143" s="142">
        <f>IFERROR(CHOOSE(MATCH(IF($E143="","Основний",$E143),{"Трафіковий","Основний","Маржинальний","Сезонний","Стратегічний"},0),Settings!$B$78,Settings!$B$80,Settings!$B$82,Settings!$B$84,Settings!$B$86),"")</f>
        <v/>
      </c>
      <c r="H143" s="148">
        <f>IFERROR((F143*(1-Settings!$B$17)-C143)/(F143*(1-Settings!$B$17)),"")</f>
        <v/>
      </c>
      <c r="I143" s="149">
        <f>IFERROR(IF(F143="","",IF(F143&gt;=C143/(1-SKU_Base!Z143)/(1-Settings!$B$17),"OK",IF(F143&gt;=C143/(1-SKU_Base!AG143)/(1-Settings!$B$17),"WARN","STOP"))),"")</f>
        <v/>
      </c>
      <c r="J143" s="160">
        <f>IFERROR(ROUND(D143*(1-CHOOSE(MATCH(IF($E143="","Основний",$E143),{"Трафіковий","Основний","Маржинальний","Сезонний","Стратегічний"},0),Settings!$C$78,Settings!$C$80,Settings!$C$82,Settings!$C$84,Settings!$C$86))/6,2)*6,"")</f>
        <v/>
      </c>
      <c r="K143" s="142">
        <f>IFERROR(CHOOSE(MATCH(IF($E143="","Основний",$E143),{"Трафіковий","Основний","Маржинальний","Сезонний","Стратегічний"},0),Settings!$C$78,Settings!$C$80,Settings!$C$82,Settings!$C$84,Settings!$C$86),"")</f>
        <v/>
      </c>
      <c r="L143" s="148">
        <f>IFERROR((J143*(1-Settings!$C$17)-C143)/(J143*(1-Settings!$C$17)),"")</f>
        <v/>
      </c>
      <c r="M143" s="149">
        <f>IFERROR(IF(J143="","",IF(J143&gt;=C143/(1-SKU_Base!AA143)/(1-Settings!$C$17),"OK",IF(J143&gt;=C143/(1-SKU_Base!AH143)/(1-Settings!$C$17),"WARN","STOP"))),"")</f>
        <v/>
      </c>
      <c r="N143" s="161">
        <f>IFERROR(ROUND(D143*(1-CHOOSE(MATCH(IF($E143="","Основний",$E143),{"Трафіковий","Основний","Маржинальний","Сезонний","Стратегічний"},0),Settings!$D$78,Settings!$D$80,Settings!$D$82,Settings!$D$84,Settings!$D$86))/6,2)*6,"")</f>
        <v/>
      </c>
      <c r="O143" s="142">
        <f>IFERROR(CHOOSE(MATCH(IF($E143="","Основний",$E143),{"Трафіковий","Основний","Маржинальний","Сезонний","Стратегічний"},0),Settings!$D$78,Settings!$D$80,Settings!$D$82,Settings!$D$84,Settings!$D$86),"")</f>
        <v/>
      </c>
      <c r="P143" s="148">
        <f>IFERROR((N143*(1-Settings!$D$17)-C143)/(N143*(1-Settings!$D$17)),"")</f>
        <v/>
      </c>
      <c r="Q143" s="149">
        <f>IFERROR(IF(N143="","",IF(N143&gt;=C143/(1-SKU_Base!AB143)/(1-Settings!$D$17),"OK",IF(N143&gt;=C143/(1-SKU_Base!AI143)/(1-Settings!$D$17),"WARN","STOP"))),"")</f>
        <v/>
      </c>
      <c r="R143" s="161">
        <f>IFERROR(ROUND(D143*(1-CHOOSE(MATCH(IF($E143="","Основний",$E143),{"Трафіковий","Основний","Маржинальний","Сезонний","Стратегічний"},0),Settings!$E$78,Settings!$E$80,Settings!$E$82,Settings!$E$84,Settings!$E$86))/6,2)*6,"")</f>
        <v/>
      </c>
      <c r="S143" s="142">
        <f>IFERROR(CHOOSE(MATCH(IF($E143="","Основний",$E143),{"Трафіковий","Основний","Маржинальний","Сезонний","Стратегічний"},0),Settings!$E$78,Settings!$E$80,Settings!$E$82,Settings!$E$84,Settings!$E$86),"")</f>
        <v/>
      </c>
      <c r="T143" s="148">
        <f>IFERROR((R143*(1-Settings!$E$17)-C143)/(R143*(1-Settings!$E$17)),"")</f>
        <v/>
      </c>
      <c r="U143" s="149">
        <f>IFERROR(IF(R143="","",IF(R143&gt;=C143/(1-SKU_Base!AC143)/(1-Settings!$E$17),"OK",IF(R143&gt;=C143/(1-SKU_Base!AJ143)/(1-Settings!$E$17),"WARN","STOP"))),"")</f>
        <v/>
      </c>
      <c r="V143" s="161">
        <f>IFERROR(ROUND(D143*(1-CHOOSE(MATCH(IF($E143="","Основний",$E143),{"Трафіковий","Основний","Маржинальний","Сезонний","Стратегічний"},0),Settings!$F$78,Settings!$F$80,Settings!$F$82,Settings!$F$84,Settings!$F$86))/6,2)*6,"")</f>
        <v/>
      </c>
      <c r="W143" s="142">
        <f>IFERROR(CHOOSE(MATCH(IF($E143="","Основний",$E143),{"Трафіковий","Основний","Маржинальний","Сезонний","Стратегічний"},0),Settings!$F$78,Settings!$F$80,Settings!$F$82,Settings!$F$84,Settings!$F$86),"")</f>
        <v/>
      </c>
      <c r="X143" s="148">
        <f>IFERROR((V143*(1-Settings!$F$17)-C143)/(V143*(1-Settings!$F$17)),"")</f>
        <v/>
      </c>
      <c r="Y143" s="149">
        <f>IFERROR(IF(V143="","",IF(V143&gt;=C143/(1-SKU_Base!AD143)/(1-Settings!$F$17),"OK",IF(V143&gt;=C143/(1-SKU_Base!AK143)/(1-Settings!$F$17),"WARN","STOP"))),"")</f>
        <v/>
      </c>
      <c r="Z143" s="161">
        <f>IFERROR(ROUND(D143*(1-CHOOSE(MATCH(IF($E143="","Основний",$E143),{"Трафіковий","Основний","Маржинальний","Сезонний","Стратегічний"},0),Settings!$G$78,Settings!$G$80,Settings!$G$82,Settings!$G$84,Settings!$G$86))/6,2)*6,"")</f>
        <v/>
      </c>
      <c r="AA143" s="142">
        <f>IFERROR(CHOOSE(MATCH(IF($E143="","Основний",$E143),{"Трафіковий","Основний","Маржинальний","Сезонний","Стратегічний"},0),Settings!$G$78,Settings!$G$80,Settings!$G$82,Settings!$G$84,Settings!$G$86),"")</f>
        <v/>
      </c>
      <c r="AB143" s="148">
        <f>IFERROR((Z143*(1-Settings!$G$17)-C143)/(Z143*(1-Settings!$G$17)),"")</f>
        <v/>
      </c>
      <c r="AC143" s="149">
        <f>IFERROR(IF(Z143="","",IF(Z143&gt;=C143/(1-SKU_Base!AE143)/(1-Settings!$G$17),"OK",IF(Z143&gt;=C143/(1-SKU_Base!AL143)/(1-Settings!$G$17),"WARN","STOP"))),"")</f>
        <v/>
      </c>
      <c r="AD143" s="161">
        <f>IFERROR(ROUND(D143*(1-CHOOSE(MATCH(IF($E143="","Основний",$E143),{"Трафіковий","Основний","Маржинальний","Сезонний","Стратегічний"},0),Settings!$H$78,Settings!$H$80,Settings!$H$82,Settings!$H$84,Settings!$H$86))*(1-Settings!$H$68)/6,2)*6,"")</f>
        <v/>
      </c>
      <c r="AE143" s="142">
        <f>IFERROR(CHOOSE(MATCH(IF($E143="","Основний",$E143),{"Трафіковий","Основний","Маржинальний","Сезонний","Стратегічний"},0),Settings!$H$78,Settings!$H$80,Settings!$H$82,Settings!$H$84,Settings!$H$86)+(1-(CHOOSE(MATCH(IF($E143="","Основний",$E143),{"Трафіковий","Основний","Маржинальний","Сезонний","Стратегічний"},0),Settings!$H$78,Settings!$H$80,Settings!$H$82,Settings!$H$84,Settings!$H$86)))*Settings!$H$68,"")</f>
        <v/>
      </c>
      <c r="AF143" s="148">
        <f>IFERROR((AD143*(1-Settings!$H$17)-C143)/(AD143*(1-Settings!$H$17)),"")</f>
        <v/>
      </c>
      <c r="AG143" s="150">
        <f>IFERROR(IF(AD143="","",IF(AD143&gt;=C143/(1-SKU_Base!AF143)/(1-Settings!$H$17),"OK",IF(AD143&gt;=C143/(1-SKU_Base!AM143)/(1-Settings!$H$17),"WARN","STOP"))),"")</f>
        <v/>
      </c>
    </row>
    <row r="144" ht="17" customHeight="1" s="179">
      <c r="A144" s="139">
        <f>SKU_Base!B144</f>
        <v/>
      </c>
      <c r="B144" s="139">
        <f>SKU_Base!C144</f>
        <v/>
      </c>
      <c r="C144" s="140">
        <f>IFERROR(SKU_Base!I144,"")</f>
        <v/>
      </c>
      <c r="D144" s="163">
        <f>IFERROR(SKU_Base!T144,"")</f>
        <v/>
      </c>
      <c r="E144" s="141">
        <f>IFERROR(SKU_Base!$U144,"")</f>
        <v/>
      </c>
      <c r="F144" s="158">
        <f>IFERROR(ROUND(D144*(1-CHOOSE(MATCH(IF($E144="","Основний",$E144),{"Трафіковий","Основний","Маржинальний","Сезонний","Стратегічний"},0),Settings!$B$78,Settings!$B$80,Settings!$B$82,Settings!$B$84,Settings!$B$86))/6,2)*6,"")</f>
        <v/>
      </c>
      <c r="G144" s="142">
        <f>IFERROR(CHOOSE(MATCH(IF($E144="","Основний",$E144),{"Трафіковий","Основний","Маржинальний","Сезонний","Стратегічний"},0),Settings!$B$78,Settings!$B$80,Settings!$B$82,Settings!$B$84,Settings!$B$86),"")</f>
        <v/>
      </c>
      <c r="H144" s="143">
        <f>IFERROR((F144*(1-Settings!$B$17)-C144)/(F144*(1-Settings!$B$17)),"")</f>
        <v/>
      </c>
      <c r="I144" s="150">
        <f>IFERROR(IF(F144="","",IF(F144&gt;=C144/(1-SKU_Base!Z144)/(1-Settings!$B$17),"OK",IF(F144&gt;=C144/(1-SKU_Base!AG144)/(1-Settings!$B$17),"WARN","STOP"))),"")</f>
        <v/>
      </c>
      <c r="J144" s="158">
        <f>IFERROR(ROUND(D144*(1-CHOOSE(MATCH(IF($E144="","Основний",$E144),{"Трафіковий","Основний","Маржинальний","Сезонний","Стратегічний"},0),Settings!$C$78,Settings!$C$80,Settings!$C$82,Settings!$C$84,Settings!$C$86))/6,2)*6,"")</f>
        <v/>
      </c>
      <c r="K144" s="142">
        <f>IFERROR(CHOOSE(MATCH(IF($E144="","Основний",$E144),{"Трафіковий","Основний","Маржинальний","Сезонний","Стратегічний"},0),Settings!$C$78,Settings!$C$80,Settings!$C$82,Settings!$C$84,Settings!$C$86),"")</f>
        <v/>
      </c>
      <c r="L144" s="143">
        <f>IFERROR((J144*(1-Settings!$C$17)-C144)/(J144*(1-Settings!$C$17)),"")</f>
        <v/>
      </c>
      <c r="M144" s="149">
        <f>IFERROR(IF(J144="","",IF(J144&gt;=C144/(1-SKU_Base!AA144)/(1-Settings!$C$17),"OK",IF(J144&gt;=C144/(1-SKU_Base!AH144)/(1-Settings!$C$17),"WARN","STOP"))),"")</f>
        <v/>
      </c>
      <c r="N144" s="159">
        <f>IFERROR(ROUND(D144*(1-CHOOSE(MATCH(IF($E144="","Основний",$E144),{"Трафіковий","Основний","Маржинальний","Сезонний","Стратегічний"},0),Settings!$D$78,Settings!$D$80,Settings!$D$82,Settings!$D$84,Settings!$D$86))/6,2)*6,"")</f>
        <v/>
      </c>
      <c r="O144" s="142">
        <f>IFERROR(CHOOSE(MATCH(IF($E144="","Основний",$E144),{"Трафіковий","Основний","Маржинальний","Сезонний","Стратегічний"},0),Settings!$D$78,Settings!$D$80,Settings!$D$82,Settings!$D$84,Settings!$D$86),"")</f>
        <v/>
      </c>
      <c r="P144" s="143">
        <f>IFERROR((N144*(1-Settings!$D$17)-C144)/(N144*(1-Settings!$D$17)),"")</f>
        <v/>
      </c>
      <c r="Q144" s="149">
        <f>IFERROR(IF(N144="","",IF(N144&gt;=C144/(1-SKU_Base!AB144)/(1-Settings!$D$17),"OK",IF(N144&gt;=C144/(1-SKU_Base!AI144)/(1-Settings!$D$17),"WARN","STOP"))),"")</f>
        <v/>
      </c>
      <c r="R144" s="159">
        <f>IFERROR(ROUND(D144*(1-CHOOSE(MATCH(IF($E144="","Основний",$E144),{"Трафіковий","Основний","Маржинальний","Сезонний","Стратегічний"},0),Settings!$E$78,Settings!$E$80,Settings!$E$82,Settings!$E$84,Settings!$E$86))/6,2)*6,"")</f>
        <v/>
      </c>
      <c r="S144" s="142">
        <f>IFERROR(CHOOSE(MATCH(IF($E144="","Основний",$E144),{"Трафіковий","Основний","Маржинальний","Сезонний","Стратегічний"},0),Settings!$E$78,Settings!$E$80,Settings!$E$82,Settings!$E$84,Settings!$E$86),"")</f>
        <v/>
      </c>
      <c r="T144" s="143">
        <f>IFERROR((R144*(1-Settings!$E$17)-C144)/(R144*(1-Settings!$E$17)),"")</f>
        <v/>
      </c>
      <c r="U144" s="149">
        <f>IFERROR(IF(R144="","",IF(R144&gt;=C144/(1-SKU_Base!AC144)/(1-Settings!$E$17),"OK",IF(R144&gt;=C144/(1-SKU_Base!AJ144)/(1-Settings!$E$17),"WARN","STOP"))),"")</f>
        <v/>
      </c>
      <c r="V144" s="159">
        <f>IFERROR(ROUND(D144*(1-CHOOSE(MATCH(IF($E144="","Основний",$E144),{"Трафіковий","Основний","Маржинальний","Сезонний","Стратегічний"},0),Settings!$F$78,Settings!$F$80,Settings!$F$82,Settings!$F$84,Settings!$F$86))/6,2)*6,"")</f>
        <v/>
      </c>
      <c r="W144" s="142">
        <f>IFERROR(CHOOSE(MATCH(IF($E144="","Основний",$E144),{"Трафіковий","Основний","Маржинальний","Сезонний","Стратегічний"},0),Settings!$F$78,Settings!$F$80,Settings!$F$82,Settings!$F$84,Settings!$F$86),"")</f>
        <v/>
      </c>
      <c r="X144" s="143">
        <f>IFERROR((V144*(1-Settings!$F$17)-C144)/(V144*(1-Settings!$F$17)),"")</f>
        <v/>
      </c>
      <c r="Y144" s="149">
        <f>IFERROR(IF(V144="","",IF(V144&gt;=C144/(1-SKU_Base!AD144)/(1-Settings!$F$17),"OK",IF(V144&gt;=C144/(1-SKU_Base!AK144)/(1-Settings!$F$17),"WARN","STOP"))),"")</f>
        <v/>
      </c>
      <c r="Z144" s="159">
        <f>IFERROR(ROUND(D144*(1-CHOOSE(MATCH(IF($E144="","Основний",$E144),{"Трафіковий","Основний","Маржинальний","Сезонний","Стратегічний"},0),Settings!$G$78,Settings!$G$80,Settings!$G$82,Settings!$G$84,Settings!$G$86))/6,2)*6,"")</f>
        <v/>
      </c>
      <c r="AA144" s="142">
        <f>IFERROR(CHOOSE(MATCH(IF($E144="","Основний",$E144),{"Трафіковий","Основний","Маржинальний","Сезонний","Стратегічний"},0),Settings!$G$78,Settings!$G$80,Settings!$G$82,Settings!$G$84,Settings!$G$86),"")</f>
        <v/>
      </c>
      <c r="AB144" s="143">
        <f>IFERROR((Z144*(1-Settings!$G$17)-C144)/(Z144*(1-Settings!$G$17)),"")</f>
        <v/>
      </c>
      <c r="AC144" s="149">
        <f>IFERROR(IF(Z144="","",IF(Z144&gt;=C144/(1-SKU_Base!AE144)/(1-Settings!$G$17),"OK",IF(Z144&gt;=C144/(1-SKU_Base!AL144)/(1-Settings!$G$17),"WARN","STOP"))),"")</f>
        <v/>
      </c>
      <c r="AD144" s="159">
        <f>IFERROR(ROUND(D144*(1-CHOOSE(MATCH(IF($E144="","Основний",$E144),{"Трафіковий","Основний","Маржинальний","Сезонний","Стратегічний"},0),Settings!$H$78,Settings!$H$80,Settings!$H$82,Settings!$H$84,Settings!$H$86))*(1-Settings!$H$68)/6,2)*6,"")</f>
        <v/>
      </c>
      <c r="AE144" s="142">
        <f>IFERROR(CHOOSE(MATCH(IF($E144="","Основний",$E144),{"Трафіковий","Основний","Маржинальний","Сезонний","Стратегічний"},0),Settings!$H$78,Settings!$H$80,Settings!$H$82,Settings!$H$84,Settings!$H$86)+(1-(CHOOSE(MATCH(IF($E144="","Основний",$E144),{"Трафіковий","Основний","Маржинальний","Сезонний","Стратегічний"},0),Settings!$H$78,Settings!$H$80,Settings!$H$82,Settings!$H$84,Settings!$H$86)))*Settings!$H$68,"")</f>
        <v/>
      </c>
      <c r="AF144" s="143">
        <f>IFERROR((AD144*(1-Settings!$H$17)-C144)/(AD144*(1-Settings!$H$17)),"")</f>
        <v/>
      </c>
      <c r="AG144" s="150">
        <f>IFERROR(IF(AD144="","",IF(AD144&gt;=C144/(1-SKU_Base!AF144)/(1-Settings!$H$17),"OK",IF(AD144&gt;=C144/(1-SKU_Base!AM144)/(1-Settings!$H$17),"WARN","STOP"))),"")</f>
        <v/>
      </c>
    </row>
    <row r="145" ht="17" customHeight="1" s="179">
      <c r="A145" s="146">
        <f>SKU_Base!B145</f>
        <v/>
      </c>
      <c r="B145" s="146">
        <f>SKU_Base!C145</f>
        <v/>
      </c>
      <c r="C145" s="147">
        <f>IFERROR(SKU_Base!I145,"")</f>
        <v/>
      </c>
      <c r="D145" s="164">
        <f>IFERROR(SKU_Base!T145,"")</f>
        <v/>
      </c>
      <c r="E145" s="141">
        <f>IFERROR(SKU_Base!$U145,"")</f>
        <v/>
      </c>
      <c r="F145" s="160">
        <f>IFERROR(ROUND(D145*(1-CHOOSE(MATCH(IF($E145="","Основний",$E145),{"Трафіковий","Основний","Маржинальний","Сезонний","Стратегічний"},0),Settings!$B$78,Settings!$B$80,Settings!$B$82,Settings!$B$84,Settings!$B$86))/6,2)*6,"")</f>
        <v/>
      </c>
      <c r="G145" s="142">
        <f>IFERROR(CHOOSE(MATCH(IF($E145="","Основний",$E145),{"Трафіковий","Основний","Маржинальний","Сезонний","Стратегічний"},0),Settings!$B$78,Settings!$B$80,Settings!$B$82,Settings!$B$84,Settings!$B$86),"")</f>
        <v/>
      </c>
      <c r="H145" s="148">
        <f>IFERROR((F145*(1-Settings!$B$17)-C145)/(F145*(1-Settings!$B$17)),"")</f>
        <v/>
      </c>
      <c r="I145" s="149">
        <f>IFERROR(IF(F145="","",IF(F145&gt;=C145/(1-SKU_Base!Z145)/(1-Settings!$B$17),"OK",IF(F145&gt;=C145/(1-SKU_Base!AG145)/(1-Settings!$B$17),"WARN","STOP"))),"")</f>
        <v/>
      </c>
      <c r="J145" s="160">
        <f>IFERROR(ROUND(D145*(1-CHOOSE(MATCH(IF($E145="","Основний",$E145),{"Трафіковий","Основний","Маржинальний","Сезонний","Стратегічний"},0),Settings!$C$78,Settings!$C$80,Settings!$C$82,Settings!$C$84,Settings!$C$86))/6,2)*6,"")</f>
        <v/>
      </c>
      <c r="K145" s="142">
        <f>IFERROR(CHOOSE(MATCH(IF($E145="","Основний",$E145),{"Трафіковий","Основний","Маржинальний","Сезонний","Стратегічний"},0),Settings!$C$78,Settings!$C$80,Settings!$C$82,Settings!$C$84,Settings!$C$86),"")</f>
        <v/>
      </c>
      <c r="L145" s="148">
        <f>IFERROR((J145*(1-Settings!$C$17)-C145)/(J145*(1-Settings!$C$17)),"")</f>
        <v/>
      </c>
      <c r="M145" s="149">
        <f>IFERROR(IF(J145="","",IF(J145&gt;=C145/(1-SKU_Base!AA145)/(1-Settings!$C$17),"OK",IF(J145&gt;=C145/(1-SKU_Base!AH145)/(1-Settings!$C$17),"WARN","STOP"))),"")</f>
        <v/>
      </c>
      <c r="N145" s="161">
        <f>IFERROR(ROUND(D145*(1-CHOOSE(MATCH(IF($E145="","Основний",$E145),{"Трафіковий","Основний","Маржинальний","Сезонний","Стратегічний"},0),Settings!$D$78,Settings!$D$80,Settings!$D$82,Settings!$D$84,Settings!$D$86))/6,2)*6,"")</f>
        <v/>
      </c>
      <c r="O145" s="142">
        <f>IFERROR(CHOOSE(MATCH(IF($E145="","Основний",$E145),{"Трафіковий","Основний","Маржинальний","Сезонний","Стратегічний"},0),Settings!$D$78,Settings!$D$80,Settings!$D$82,Settings!$D$84,Settings!$D$86),"")</f>
        <v/>
      </c>
      <c r="P145" s="148">
        <f>IFERROR((N145*(1-Settings!$D$17)-C145)/(N145*(1-Settings!$D$17)),"")</f>
        <v/>
      </c>
      <c r="Q145" s="149">
        <f>IFERROR(IF(N145="","",IF(N145&gt;=C145/(1-SKU_Base!AB145)/(1-Settings!$D$17),"OK",IF(N145&gt;=C145/(1-SKU_Base!AI145)/(1-Settings!$D$17),"WARN","STOP"))),"")</f>
        <v/>
      </c>
      <c r="R145" s="161">
        <f>IFERROR(ROUND(D145*(1-CHOOSE(MATCH(IF($E145="","Основний",$E145),{"Трафіковий","Основний","Маржинальний","Сезонний","Стратегічний"},0),Settings!$E$78,Settings!$E$80,Settings!$E$82,Settings!$E$84,Settings!$E$86))/6,2)*6,"")</f>
        <v/>
      </c>
      <c r="S145" s="142">
        <f>IFERROR(CHOOSE(MATCH(IF($E145="","Основний",$E145),{"Трафіковий","Основний","Маржинальний","Сезонний","Стратегічний"},0),Settings!$E$78,Settings!$E$80,Settings!$E$82,Settings!$E$84,Settings!$E$86),"")</f>
        <v/>
      </c>
      <c r="T145" s="148">
        <f>IFERROR((R145*(1-Settings!$E$17)-C145)/(R145*(1-Settings!$E$17)),"")</f>
        <v/>
      </c>
      <c r="U145" s="149">
        <f>IFERROR(IF(R145="","",IF(R145&gt;=C145/(1-SKU_Base!AC145)/(1-Settings!$E$17),"OK",IF(R145&gt;=C145/(1-SKU_Base!AJ145)/(1-Settings!$E$17),"WARN","STOP"))),"")</f>
        <v/>
      </c>
      <c r="V145" s="161">
        <f>IFERROR(ROUND(D145*(1-CHOOSE(MATCH(IF($E145="","Основний",$E145),{"Трафіковий","Основний","Маржинальний","Сезонний","Стратегічний"},0),Settings!$F$78,Settings!$F$80,Settings!$F$82,Settings!$F$84,Settings!$F$86))/6,2)*6,"")</f>
        <v/>
      </c>
      <c r="W145" s="142">
        <f>IFERROR(CHOOSE(MATCH(IF($E145="","Основний",$E145),{"Трафіковий","Основний","Маржинальний","Сезонний","Стратегічний"},0),Settings!$F$78,Settings!$F$80,Settings!$F$82,Settings!$F$84,Settings!$F$86),"")</f>
        <v/>
      </c>
      <c r="X145" s="148">
        <f>IFERROR((V145*(1-Settings!$F$17)-C145)/(V145*(1-Settings!$F$17)),"")</f>
        <v/>
      </c>
      <c r="Y145" s="149">
        <f>IFERROR(IF(V145="","",IF(V145&gt;=C145/(1-SKU_Base!AD145)/(1-Settings!$F$17),"OK",IF(V145&gt;=C145/(1-SKU_Base!AK145)/(1-Settings!$F$17),"WARN","STOP"))),"")</f>
        <v/>
      </c>
      <c r="Z145" s="161">
        <f>IFERROR(ROUND(D145*(1-CHOOSE(MATCH(IF($E145="","Основний",$E145),{"Трафіковий","Основний","Маржинальний","Сезонний","Стратегічний"},0),Settings!$G$78,Settings!$G$80,Settings!$G$82,Settings!$G$84,Settings!$G$86))/6,2)*6,"")</f>
        <v/>
      </c>
      <c r="AA145" s="142">
        <f>IFERROR(CHOOSE(MATCH(IF($E145="","Основний",$E145),{"Трафіковий","Основний","Маржинальний","Сезонний","Стратегічний"},0),Settings!$G$78,Settings!$G$80,Settings!$G$82,Settings!$G$84,Settings!$G$86),"")</f>
        <v/>
      </c>
      <c r="AB145" s="148">
        <f>IFERROR((Z145*(1-Settings!$G$17)-C145)/(Z145*(1-Settings!$G$17)),"")</f>
        <v/>
      </c>
      <c r="AC145" s="149">
        <f>IFERROR(IF(Z145="","",IF(Z145&gt;=C145/(1-SKU_Base!AE145)/(1-Settings!$G$17),"OK",IF(Z145&gt;=C145/(1-SKU_Base!AL145)/(1-Settings!$G$17),"WARN","STOP"))),"")</f>
        <v/>
      </c>
      <c r="AD145" s="161">
        <f>IFERROR(ROUND(D145*(1-CHOOSE(MATCH(IF($E145="","Основний",$E145),{"Трафіковий","Основний","Маржинальний","Сезонний","Стратегічний"},0),Settings!$H$78,Settings!$H$80,Settings!$H$82,Settings!$H$84,Settings!$H$86))*(1-Settings!$H$68)/6,2)*6,"")</f>
        <v/>
      </c>
      <c r="AE145" s="142">
        <f>IFERROR(CHOOSE(MATCH(IF($E145="","Основний",$E145),{"Трафіковий","Основний","Маржинальний","Сезонний","Стратегічний"},0),Settings!$H$78,Settings!$H$80,Settings!$H$82,Settings!$H$84,Settings!$H$86)+(1-(CHOOSE(MATCH(IF($E145="","Основний",$E145),{"Трафіковий","Основний","Маржинальний","Сезонний","Стратегічний"},0),Settings!$H$78,Settings!$H$80,Settings!$H$82,Settings!$H$84,Settings!$H$86)))*Settings!$H$68,"")</f>
        <v/>
      </c>
      <c r="AF145" s="148">
        <f>IFERROR((AD145*(1-Settings!$H$17)-C145)/(AD145*(1-Settings!$H$17)),"")</f>
        <v/>
      </c>
      <c r="AG145" s="150">
        <f>IFERROR(IF(AD145="","",IF(AD145&gt;=C145/(1-SKU_Base!AF145)/(1-Settings!$H$17),"OK",IF(AD145&gt;=C145/(1-SKU_Base!AM145)/(1-Settings!$H$17),"WARN","STOP"))),"")</f>
        <v/>
      </c>
    </row>
    <row r="146" ht="17" customHeight="1" s="179">
      <c r="A146" s="139">
        <f>SKU_Base!B146</f>
        <v/>
      </c>
      <c r="B146" s="139">
        <f>SKU_Base!C146</f>
        <v/>
      </c>
      <c r="C146" s="140">
        <f>IFERROR(SKU_Base!I146,"")</f>
        <v/>
      </c>
      <c r="D146" s="163">
        <f>IFERROR(SKU_Base!T146,"")</f>
        <v/>
      </c>
      <c r="E146" s="141">
        <f>IFERROR(SKU_Base!$U146,"")</f>
        <v/>
      </c>
      <c r="F146" s="158">
        <f>IFERROR(ROUND(D146*(1-CHOOSE(MATCH(IF($E146="","Основний",$E146),{"Трафіковий","Основний","Маржинальний","Сезонний","Стратегічний"},0),Settings!$B$78,Settings!$B$80,Settings!$B$82,Settings!$B$84,Settings!$B$86))/6,2)*6,"")</f>
        <v/>
      </c>
      <c r="G146" s="142">
        <f>IFERROR(CHOOSE(MATCH(IF($E146="","Основний",$E146),{"Трафіковий","Основний","Маржинальний","Сезонний","Стратегічний"},0),Settings!$B$78,Settings!$B$80,Settings!$B$82,Settings!$B$84,Settings!$B$86),"")</f>
        <v/>
      </c>
      <c r="H146" s="143">
        <f>IFERROR((F146*(1-Settings!$B$17)-C146)/(F146*(1-Settings!$B$17)),"")</f>
        <v/>
      </c>
      <c r="I146" s="149">
        <f>IFERROR(IF(F146="","",IF(F146&gt;=C146/(1-SKU_Base!Z146)/(1-Settings!$B$17),"OK",IF(F146&gt;=C146/(1-SKU_Base!AG146)/(1-Settings!$B$17),"WARN","STOP"))),"")</f>
        <v/>
      </c>
      <c r="J146" s="158">
        <f>IFERROR(ROUND(D146*(1-CHOOSE(MATCH(IF($E146="","Основний",$E146),{"Трафіковий","Основний","Маржинальний","Сезонний","Стратегічний"},0),Settings!$C$78,Settings!$C$80,Settings!$C$82,Settings!$C$84,Settings!$C$86))/6,2)*6,"")</f>
        <v/>
      </c>
      <c r="K146" s="142">
        <f>IFERROR(CHOOSE(MATCH(IF($E146="","Основний",$E146),{"Трафіковий","Основний","Маржинальний","Сезонний","Стратегічний"},0),Settings!$C$78,Settings!$C$80,Settings!$C$82,Settings!$C$84,Settings!$C$86),"")</f>
        <v/>
      </c>
      <c r="L146" s="143">
        <f>IFERROR((J146*(1-Settings!$C$17)-C146)/(J146*(1-Settings!$C$17)),"")</f>
        <v/>
      </c>
      <c r="M146" s="149">
        <f>IFERROR(IF(J146="","",IF(J146&gt;=C146/(1-SKU_Base!AA146)/(1-Settings!$C$17),"OK",IF(J146&gt;=C146/(1-SKU_Base!AH146)/(1-Settings!$C$17),"WARN","STOP"))),"")</f>
        <v/>
      </c>
      <c r="N146" s="159">
        <f>IFERROR(ROUND(D146*(1-CHOOSE(MATCH(IF($E146="","Основний",$E146),{"Трафіковий","Основний","Маржинальний","Сезонний","Стратегічний"},0),Settings!$D$78,Settings!$D$80,Settings!$D$82,Settings!$D$84,Settings!$D$86))/6,2)*6,"")</f>
        <v/>
      </c>
      <c r="O146" s="142">
        <f>IFERROR(CHOOSE(MATCH(IF($E146="","Основний",$E146),{"Трафіковий","Основний","Маржинальний","Сезонний","Стратегічний"},0),Settings!$D$78,Settings!$D$80,Settings!$D$82,Settings!$D$84,Settings!$D$86),"")</f>
        <v/>
      </c>
      <c r="P146" s="143">
        <f>IFERROR((N146*(1-Settings!$D$17)-C146)/(N146*(1-Settings!$D$17)),"")</f>
        <v/>
      </c>
      <c r="Q146" s="149">
        <f>IFERROR(IF(N146="","",IF(N146&gt;=C146/(1-SKU_Base!AB146)/(1-Settings!$D$17),"OK",IF(N146&gt;=C146/(1-SKU_Base!AI146)/(1-Settings!$D$17),"WARN","STOP"))),"")</f>
        <v/>
      </c>
      <c r="R146" s="159">
        <f>IFERROR(ROUND(D146*(1-CHOOSE(MATCH(IF($E146="","Основний",$E146),{"Трафіковий","Основний","Маржинальний","Сезонний","Стратегічний"},0),Settings!$E$78,Settings!$E$80,Settings!$E$82,Settings!$E$84,Settings!$E$86))/6,2)*6,"")</f>
        <v/>
      </c>
      <c r="S146" s="142">
        <f>IFERROR(CHOOSE(MATCH(IF($E146="","Основний",$E146),{"Трафіковий","Основний","Маржинальний","Сезонний","Стратегічний"},0),Settings!$E$78,Settings!$E$80,Settings!$E$82,Settings!$E$84,Settings!$E$86),"")</f>
        <v/>
      </c>
      <c r="T146" s="143">
        <f>IFERROR((R146*(1-Settings!$E$17)-C146)/(R146*(1-Settings!$E$17)),"")</f>
        <v/>
      </c>
      <c r="U146" s="149">
        <f>IFERROR(IF(R146="","",IF(R146&gt;=C146/(1-SKU_Base!AC146)/(1-Settings!$E$17),"OK",IF(R146&gt;=C146/(1-SKU_Base!AJ146)/(1-Settings!$E$17),"WARN","STOP"))),"")</f>
        <v/>
      </c>
      <c r="V146" s="159">
        <f>IFERROR(ROUND(D146*(1-CHOOSE(MATCH(IF($E146="","Основний",$E146),{"Трафіковий","Основний","Маржинальний","Сезонний","Стратегічний"},0),Settings!$F$78,Settings!$F$80,Settings!$F$82,Settings!$F$84,Settings!$F$86))/6,2)*6,"")</f>
        <v/>
      </c>
      <c r="W146" s="142">
        <f>IFERROR(CHOOSE(MATCH(IF($E146="","Основний",$E146),{"Трафіковий","Основний","Маржинальний","Сезонний","Стратегічний"},0),Settings!$F$78,Settings!$F$80,Settings!$F$82,Settings!$F$84,Settings!$F$86),"")</f>
        <v/>
      </c>
      <c r="X146" s="143">
        <f>IFERROR((V146*(1-Settings!$F$17)-C146)/(V146*(1-Settings!$F$17)),"")</f>
        <v/>
      </c>
      <c r="Y146" s="149">
        <f>IFERROR(IF(V146="","",IF(V146&gt;=C146/(1-SKU_Base!AD146)/(1-Settings!$F$17),"OK",IF(V146&gt;=C146/(1-SKU_Base!AK146)/(1-Settings!$F$17),"WARN","STOP"))),"")</f>
        <v/>
      </c>
      <c r="Z146" s="159">
        <f>IFERROR(ROUND(D146*(1-CHOOSE(MATCH(IF($E146="","Основний",$E146),{"Трафіковий","Основний","Маржинальний","Сезонний","Стратегічний"},0),Settings!$G$78,Settings!$G$80,Settings!$G$82,Settings!$G$84,Settings!$G$86))/6,2)*6,"")</f>
        <v/>
      </c>
      <c r="AA146" s="142">
        <f>IFERROR(CHOOSE(MATCH(IF($E146="","Основний",$E146),{"Трафіковий","Основний","Маржинальний","Сезонний","Стратегічний"},0),Settings!$G$78,Settings!$G$80,Settings!$G$82,Settings!$G$84,Settings!$G$86),"")</f>
        <v/>
      </c>
      <c r="AB146" s="143">
        <f>IFERROR((Z146*(1-Settings!$G$17)-C146)/(Z146*(1-Settings!$G$17)),"")</f>
        <v/>
      </c>
      <c r="AC146" s="149">
        <f>IFERROR(IF(Z146="","",IF(Z146&gt;=C146/(1-SKU_Base!AE146)/(1-Settings!$G$17),"OK",IF(Z146&gt;=C146/(1-SKU_Base!AL146)/(1-Settings!$G$17),"WARN","STOP"))),"")</f>
        <v/>
      </c>
      <c r="AD146" s="159">
        <f>IFERROR(ROUND(D146*(1-CHOOSE(MATCH(IF($E146="","Основний",$E146),{"Трафіковий","Основний","Маржинальний","Сезонний","Стратегічний"},0),Settings!$H$78,Settings!$H$80,Settings!$H$82,Settings!$H$84,Settings!$H$86))*(1-Settings!$H$68)/6,2)*6,"")</f>
        <v/>
      </c>
      <c r="AE146" s="142">
        <f>IFERROR(CHOOSE(MATCH(IF($E146="","Основний",$E146),{"Трафіковий","Основний","Маржинальний","Сезонний","Стратегічний"},0),Settings!$H$78,Settings!$H$80,Settings!$H$82,Settings!$H$84,Settings!$H$86)+(1-(CHOOSE(MATCH(IF($E146="","Основний",$E146),{"Трафіковий","Основний","Маржинальний","Сезонний","Стратегічний"},0),Settings!$H$78,Settings!$H$80,Settings!$H$82,Settings!$H$84,Settings!$H$86)))*Settings!$H$68,"")</f>
        <v/>
      </c>
      <c r="AF146" s="143">
        <f>IFERROR((AD146*(1-Settings!$H$17)-C146)/(AD146*(1-Settings!$H$17)),"")</f>
        <v/>
      </c>
      <c r="AG146" s="150">
        <f>IFERROR(IF(AD146="","",IF(AD146&gt;=C146/(1-SKU_Base!AF146)/(1-Settings!$H$17),"OK",IF(AD146&gt;=C146/(1-SKU_Base!AM146)/(1-Settings!$H$17),"WARN","STOP"))),"")</f>
        <v/>
      </c>
    </row>
    <row r="147" ht="17" customHeight="1" s="179">
      <c r="A147" s="146">
        <f>SKU_Base!B147</f>
        <v/>
      </c>
      <c r="B147" s="146">
        <f>SKU_Base!C147</f>
        <v/>
      </c>
      <c r="C147" s="147">
        <f>IFERROR(SKU_Base!I147,"")</f>
        <v/>
      </c>
      <c r="D147" s="164">
        <f>IFERROR(SKU_Base!T147,"")</f>
        <v/>
      </c>
      <c r="E147" s="141">
        <f>IFERROR(SKU_Base!$U147,"")</f>
        <v/>
      </c>
      <c r="F147" s="160">
        <f>IFERROR(ROUND(D147*(1-CHOOSE(MATCH(IF($E147="","Основний",$E147),{"Трафіковий","Основний","Маржинальний","Сезонний","Стратегічний"},0),Settings!$B$78,Settings!$B$80,Settings!$B$82,Settings!$B$84,Settings!$B$86))/6,2)*6,"")</f>
        <v/>
      </c>
      <c r="G147" s="142">
        <f>IFERROR(CHOOSE(MATCH(IF($E147="","Основний",$E147),{"Трафіковий","Основний","Маржинальний","Сезонний","Стратегічний"},0),Settings!$B$78,Settings!$B$80,Settings!$B$82,Settings!$B$84,Settings!$B$86),"")</f>
        <v/>
      </c>
      <c r="H147" s="148">
        <f>IFERROR((F147*(1-Settings!$B$17)-C147)/(F147*(1-Settings!$B$17)),"")</f>
        <v/>
      </c>
      <c r="I147" s="149">
        <f>IFERROR(IF(F147="","",IF(F147&gt;=C147/(1-SKU_Base!Z147)/(1-Settings!$B$17),"OK",IF(F147&gt;=C147/(1-SKU_Base!AG147)/(1-Settings!$B$17),"WARN","STOP"))),"")</f>
        <v/>
      </c>
      <c r="J147" s="160">
        <f>IFERROR(ROUND(D147*(1-CHOOSE(MATCH(IF($E147="","Основний",$E147),{"Трафіковий","Основний","Маржинальний","Сезонний","Стратегічний"},0),Settings!$C$78,Settings!$C$80,Settings!$C$82,Settings!$C$84,Settings!$C$86))/6,2)*6,"")</f>
        <v/>
      </c>
      <c r="K147" s="142">
        <f>IFERROR(CHOOSE(MATCH(IF($E147="","Основний",$E147),{"Трафіковий","Основний","Маржинальний","Сезонний","Стратегічний"},0),Settings!$C$78,Settings!$C$80,Settings!$C$82,Settings!$C$84,Settings!$C$86),"")</f>
        <v/>
      </c>
      <c r="L147" s="148">
        <f>IFERROR((J147*(1-Settings!$C$17)-C147)/(J147*(1-Settings!$C$17)),"")</f>
        <v/>
      </c>
      <c r="M147" s="149">
        <f>IFERROR(IF(J147="","",IF(J147&gt;=C147/(1-SKU_Base!AA147)/(1-Settings!$C$17),"OK",IF(J147&gt;=C147/(1-SKU_Base!AH147)/(1-Settings!$C$17),"WARN","STOP"))),"")</f>
        <v/>
      </c>
      <c r="N147" s="161">
        <f>IFERROR(ROUND(D147*(1-CHOOSE(MATCH(IF($E147="","Основний",$E147),{"Трафіковий","Основний","Маржинальний","Сезонний","Стратегічний"},0),Settings!$D$78,Settings!$D$80,Settings!$D$82,Settings!$D$84,Settings!$D$86))/6,2)*6,"")</f>
        <v/>
      </c>
      <c r="O147" s="142">
        <f>IFERROR(CHOOSE(MATCH(IF($E147="","Основний",$E147),{"Трафіковий","Основний","Маржинальний","Сезонний","Стратегічний"},0),Settings!$D$78,Settings!$D$80,Settings!$D$82,Settings!$D$84,Settings!$D$86),"")</f>
        <v/>
      </c>
      <c r="P147" s="148">
        <f>IFERROR((N147*(1-Settings!$D$17)-C147)/(N147*(1-Settings!$D$17)),"")</f>
        <v/>
      </c>
      <c r="Q147" s="149">
        <f>IFERROR(IF(N147="","",IF(N147&gt;=C147/(1-SKU_Base!AB147)/(1-Settings!$D$17),"OK",IF(N147&gt;=C147/(1-SKU_Base!AI147)/(1-Settings!$D$17),"WARN","STOP"))),"")</f>
        <v/>
      </c>
      <c r="R147" s="161">
        <f>IFERROR(ROUND(D147*(1-CHOOSE(MATCH(IF($E147="","Основний",$E147),{"Трафіковий","Основний","Маржинальний","Сезонний","Стратегічний"},0),Settings!$E$78,Settings!$E$80,Settings!$E$82,Settings!$E$84,Settings!$E$86))/6,2)*6,"")</f>
        <v/>
      </c>
      <c r="S147" s="142">
        <f>IFERROR(CHOOSE(MATCH(IF($E147="","Основний",$E147),{"Трафіковий","Основний","Маржинальний","Сезонний","Стратегічний"},0),Settings!$E$78,Settings!$E$80,Settings!$E$82,Settings!$E$84,Settings!$E$86),"")</f>
        <v/>
      </c>
      <c r="T147" s="148">
        <f>IFERROR((R147*(1-Settings!$E$17)-C147)/(R147*(1-Settings!$E$17)),"")</f>
        <v/>
      </c>
      <c r="U147" s="149">
        <f>IFERROR(IF(R147="","",IF(R147&gt;=C147/(1-SKU_Base!AC147)/(1-Settings!$E$17),"OK",IF(R147&gt;=C147/(1-SKU_Base!AJ147)/(1-Settings!$E$17),"WARN","STOP"))),"")</f>
        <v/>
      </c>
      <c r="V147" s="161">
        <f>IFERROR(ROUND(D147*(1-CHOOSE(MATCH(IF($E147="","Основний",$E147),{"Трафіковий","Основний","Маржинальний","Сезонний","Стратегічний"},0),Settings!$F$78,Settings!$F$80,Settings!$F$82,Settings!$F$84,Settings!$F$86))/6,2)*6,"")</f>
        <v/>
      </c>
      <c r="W147" s="142">
        <f>IFERROR(CHOOSE(MATCH(IF($E147="","Основний",$E147),{"Трафіковий","Основний","Маржинальний","Сезонний","Стратегічний"},0),Settings!$F$78,Settings!$F$80,Settings!$F$82,Settings!$F$84,Settings!$F$86),"")</f>
        <v/>
      </c>
      <c r="X147" s="148">
        <f>IFERROR((V147*(1-Settings!$F$17)-C147)/(V147*(1-Settings!$F$17)),"")</f>
        <v/>
      </c>
      <c r="Y147" s="149">
        <f>IFERROR(IF(V147="","",IF(V147&gt;=C147/(1-SKU_Base!AD147)/(1-Settings!$F$17),"OK",IF(V147&gt;=C147/(1-SKU_Base!AK147)/(1-Settings!$F$17),"WARN","STOP"))),"")</f>
        <v/>
      </c>
      <c r="Z147" s="161">
        <f>IFERROR(ROUND(D147*(1-CHOOSE(MATCH(IF($E147="","Основний",$E147),{"Трафіковий","Основний","Маржинальний","Сезонний","Стратегічний"},0),Settings!$G$78,Settings!$G$80,Settings!$G$82,Settings!$G$84,Settings!$G$86))/6,2)*6,"")</f>
        <v/>
      </c>
      <c r="AA147" s="142">
        <f>IFERROR(CHOOSE(MATCH(IF($E147="","Основний",$E147),{"Трафіковий","Основний","Маржинальний","Сезонний","Стратегічний"},0),Settings!$G$78,Settings!$G$80,Settings!$G$82,Settings!$G$84,Settings!$G$86),"")</f>
        <v/>
      </c>
      <c r="AB147" s="148">
        <f>IFERROR((Z147*(1-Settings!$G$17)-C147)/(Z147*(1-Settings!$G$17)),"")</f>
        <v/>
      </c>
      <c r="AC147" s="149">
        <f>IFERROR(IF(Z147="","",IF(Z147&gt;=C147/(1-SKU_Base!AE147)/(1-Settings!$G$17),"OK",IF(Z147&gt;=C147/(1-SKU_Base!AL147)/(1-Settings!$G$17),"WARN","STOP"))),"")</f>
        <v/>
      </c>
      <c r="AD147" s="161">
        <f>IFERROR(ROUND(D147*(1-CHOOSE(MATCH(IF($E147="","Основний",$E147),{"Трафіковий","Основний","Маржинальний","Сезонний","Стратегічний"},0),Settings!$H$78,Settings!$H$80,Settings!$H$82,Settings!$H$84,Settings!$H$86))*(1-Settings!$H$68)/6,2)*6,"")</f>
        <v/>
      </c>
      <c r="AE147" s="142">
        <f>IFERROR(CHOOSE(MATCH(IF($E147="","Основний",$E147),{"Трафіковий","Основний","Маржинальний","Сезонний","Стратегічний"},0),Settings!$H$78,Settings!$H$80,Settings!$H$82,Settings!$H$84,Settings!$H$86)+(1-(CHOOSE(MATCH(IF($E147="","Основний",$E147),{"Трафіковий","Основний","Маржинальний","Сезонний","Стратегічний"},0),Settings!$H$78,Settings!$H$80,Settings!$H$82,Settings!$H$84,Settings!$H$86)))*Settings!$H$68,"")</f>
        <v/>
      </c>
      <c r="AF147" s="148">
        <f>IFERROR((AD147*(1-Settings!$H$17)-C147)/(AD147*(1-Settings!$H$17)),"")</f>
        <v/>
      </c>
      <c r="AG147" s="150">
        <f>IFERROR(IF(AD147="","",IF(AD147&gt;=C147/(1-SKU_Base!AF147)/(1-Settings!$H$17),"OK",IF(AD147&gt;=C147/(1-SKU_Base!AM147)/(1-Settings!$H$17),"WARN","STOP"))),"")</f>
        <v/>
      </c>
    </row>
    <row r="148" ht="17" customHeight="1" s="179">
      <c r="A148" s="139">
        <f>SKU_Base!B148</f>
        <v/>
      </c>
      <c r="B148" s="139">
        <f>SKU_Base!C148</f>
        <v/>
      </c>
      <c r="C148" s="140">
        <f>IFERROR(SKU_Base!I148,"")</f>
        <v/>
      </c>
      <c r="D148" s="163">
        <f>IFERROR(SKU_Base!T148,"")</f>
        <v/>
      </c>
      <c r="E148" s="141">
        <f>IFERROR(SKU_Base!$U148,"")</f>
        <v/>
      </c>
      <c r="F148" s="158">
        <f>IFERROR(ROUND(D148*(1-CHOOSE(MATCH(IF($E148="","Основний",$E148),{"Трафіковий","Основний","Маржинальний","Сезонний","Стратегічний"},0),Settings!$B$78,Settings!$B$80,Settings!$B$82,Settings!$B$84,Settings!$B$86))/6,2)*6,"")</f>
        <v/>
      </c>
      <c r="G148" s="142">
        <f>IFERROR(CHOOSE(MATCH(IF($E148="","Основний",$E148),{"Трафіковий","Основний","Маржинальний","Сезонний","Стратегічний"},0),Settings!$B$78,Settings!$B$80,Settings!$B$82,Settings!$B$84,Settings!$B$86),"")</f>
        <v/>
      </c>
      <c r="H148" s="143">
        <f>IFERROR((F148*(1-Settings!$B$17)-C148)/(F148*(1-Settings!$B$17)),"")</f>
        <v/>
      </c>
      <c r="I148" s="149">
        <f>IFERROR(IF(F148="","",IF(F148&gt;=C148/(1-SKU_Base!Z148)/(1-Settings!$B$17),"OK",IF(F148&gt;=C148/(1-SKU_Base!AG148)/(1-Settings!$B$17),"WARN","STOP"))),"")</f>
        <v/>
      </c>
      <c r="J148" s="158">
        <f>IFERROR(ROUND(D148*(1-CHOOSE(MATCH(IF($E148="","Основний",$E148),{"Трафіковий","Основний","Маржинальний","Сезонний","Стратегічний"},0),Settings!$C$78,Settings!$C$80,Settings!$C$82,Settings!$C$84,Settings!$C$86))/6,2)*6,"")</f>
        <v/>
      </c>
      <c r="K148" s="142">
        <f>IFERROR(CHOOSE(MATCH(IF($E148="","Основний",$E148),{"Трафіковий","Основний","Маржинальний","Сезонний","Стратегічний"},0),Settings!$C$78,Settings!$C$80,Settings!$C$82,Settings!$C$84,Settings!$C$86),"")</f>
        <v/>
      </c>
      <c r="L148" s="143">
        <f>IFERROR((J148*(1-Settings!$C$17)-C148)/(J148*(1-Settings!$C$17)),"")</f>
        <v/>
      </c>
      <c r="M148" s="149">
        <f>IFERROR(IF(J148="","",IF(J148&gt;=C148/(1-SKU_Base!AA148)/(1-Settings!$C$17),"OK",IF(J148&gt;=C148/(1-SKU_Base!AH148)/(1-Settings!$C$17),"WARN","STOP"))),"")</f>
        <v/>
      </c>
      <c r="N148" s="159">
        <f>IFERROR(ROUND(D148*(1-CHOOSE(MATCH(IF($E148="","Основний",$E148),{"Трафіковий","Основний","Маржинальний","Сезонний","Стратегічний"},0),Settings!$D$78,Settings!$D$80,Settings!$D$82,Settings!$D$84,Settings!$D$86))/6,2)*6,"")</f>
        <v/>
      </c>
      <c r="O148" s="142">
        <f>IFERROR(CHOOSE(MATCH(IF($E148="","Основний",$E148),{"Трафіковий","Основний","Маржинальний","Сезонний","Стратегічний"},0),Settings!$D$78,Settings!$D$80,Settings!$D$82,Settings!$D$84,Settings!$D$86),"")</f>
        <v/>
      </c>
      <c r="P148" s="143">
        <f>IFERROR((N148*(1-Settings!$D$17)-C148)/(N148*(1-Settings!$D$17)),"")</f>
        <v/>
      </c>
      <c r="Q148" s="149">
        <f>IFERROR(IF(N148="","",IF(N148&gt;=C148/(1-SKU_Base!AB148)/(1-Settings!$D$17),"OK",IF(N148&gt;=C148/(1-SKU_Base!AI148)/(1-Settings!$D$17),"WARN","STOP"))),"")</f>
        <v/>
      </c>
      <c r="R148" s="159">
        <f>IFERROR(ROUND(D148*(1-CHOOSE(MATCH(IF($E148="","Основний",$E148),{"Трафіковий","Основний","Маржинальний","Сезонний","Стратегічний"},0),Settings!$E$78,Settings!$E$80,Settings!$E$82,Settings!$E$84,Settings!$E$86))/6,2)*6,"")</f>
        <v/>
      </c>
      <c r="S148" s="142">
        <f>IFERROR(CHOOSE(MATCH(IF($E148="","Основний",$E148),{"Трафіковий","Основний","Маржинальний","Сезонний","Стратегічний"},0),Settings!$E$78,Settings!$E$80,Settings!$E$82,Settings!$E$84,Settings!$E$86),"")</f>
        <v/>
      </c>
      <c r="T148" s="143">
        <f>IFERROR((R148*(1-Settings!$E$17)-C148)/(R148*(1-Settings!$E$17)),"")</f>
        <v/>
      </c>
      <c r="U148" s="149">
        <f>IFERROR(IF(R148="","",IF(R148&gt;=C148/(1-SKU_Base!AC148)/(1-Settings!$E$17),"OK",IF(R148&gt;=C148/(1-SKU_Base!AJ148)/(1-Settings!$E$17),"WARN","STOP"))),"")</f>
        <v/>
      </c>
      <c r="V148" s="159">
        <f>IFERROR(ROUND(D148*(1-CHOOSE(MATCH(IF($E148="","Основний",$E148),{"Трафіковий","Основний","Маржинальний","Сезонний","Стратегічний"},0),Settings!$F$78,Settings!$F$80,Settings!$F$82,Settings!$F$84,Settings!$F$86))/6,2)*6,"")</f>
        <v/>
      </c>
      <c r="W148" s="142">
        <f>IFERROR(CHOOSE(MATCH(IF($E148="","Основний",$E148),{"Трафіковий","Основний","Маржинальний","Сезонний","Стратегічний"},0),Settings!$F$78,Settings!$F$80,Settings!$F$82,Settings!$F$84,Settings!$F$86),"")</f>
        <v/>
      </c>
      <c r="X148" s="143">
        <f>IFERROR((V148*(1-Settings!$F$17)-C148)/(V148*(1-Settings!$F$17)),"")</f>
        <v/>
      </c>
      <c r="Y148" s="149">
        <f>IFERROR(IF(V148="","",IF(V148&gt;=C148/(1-SKU_Base!AD148)/(1-Settings!$F$17),"OK",IF(V148&gt;=C148/(1-SKU_Base!AK148)/(1-Settings!$F$17),"WARN","STOP"))),"")</f>
        <v/>
      </c>
      <c r="Z148" s="159">
        <f>IFERROR(ROUND(D148*(1-CHOOSE(MATCH(IF($E148="","Основний",$E148),{"Трафіковий","Основний","Маржинальний","Сезонний","Стратегічний"},0),Settings!$G$78,Settings!$G$80,Settings!$G$82,Settings!$G$84,Settings!$G$86))/6,2)*6,"")</f>
        <v/>
      </c>
      <c r="AA148" s="142">
        <f>IFERROR(CHOOSE(MATCH(IF($E148="","Основний",$E148),{"Трафіковий","Основний","Маржинальний","Сезонний","Стратегічний"},0),Settings!$G$78,Settings!$G$80,Settings!$G$82,Settings!$G$84,Settings!$G$86),"")</f>
        <v/>
      </c>
      <c r="AB148" s="143">
        <f>IFERROR((Z148*(1-Settings!$G$17)-C148)/(Z148*(1-Settings!$G$17)),"")</f>
        <v/>
      </c>
      <c r="AC148" s="149">
        <f>IFERROR(IF(Z148="","",IF(Z148&gt;=C148/(1-SKU_Base!AE148)/(1-Settings!$G$17),"OK",IF(Z148&gt;=C148/(1-SKU_Base!AL148)/(1-Settings!$G$17),"WARN","STOP"))),"")</f>
        <v/>
      </c>
      <c r="AD148" s="159">
        <f>IFERROR(ROUND(D148*(1-CHOOSE(MATCH(IF($E148="","Основний",$E148),{"Трафіковий","Основний","Маржинальний","Сезонний","Стратегічний"},0),Settings!$H$78,Settings!$H$80,Settings!$H$82,Settings!$H$84,Settings!$H$86))*(1-Settings!$H$68)/6,2)*6,"")</f>
        <v/>
      </c>
      <c r="AE148" s="142">
        <f>IFERROR(CHOOSE(MATCH(IF($E148="","Основний",$E148),{"Трафіковий","Основний","Маржинальний","Сезонний","Стратегічний"},0),Settings!$H$78,Settings!$H$80,Settings!$H$82,Settings!$H$84,Settings!$H$86)+(1-(CHOOSE(MATCH(IF($E148="","Основний",$E148),{"Трафіковий","Основний","Маржинальний","Сезонний","Стратегічний"},0),Settings!$H$78,Settings!$H$80,Settings!$H$82,Settings!$H$84,Settings!$H$86)))*Settings!$H$68,"")</f>
        <v/>
      </c>
      <c r="AF148" s="143">
        <f>IFERROR((AD148*(1-Settings!$H$17)-C148)/(AD148*(1-Settings!$H$17)),"")</f>
        <v/>
      </c>
      <c r="AG148" s="150">
        <f>IFERROR(IF(AD148="","",IF(AD148&gt;=C148/(1-SKU_Base!AF148)/(1-Settings!$H$17),"OK",IF(AD148&gt;=C148/(1-SKU_Base!AM148)/(1-Settings!$H$17),"WARN","STOP"))),"")</f>
        <v/>
      </c>
    </row>
    <row r="149" ht="17" customHeight="1" s="179">
      <c r="A149" s="146">
        <f>SKU_Base!B149</f>
        <v/>
      </c>
      <c r="B149" s="146">
        <f>SKU_Base!C149</f>
        <v/>
      </c>
      <c r="C149" s="147">
        <f>IFERROR(SKU_Base!I149,"")</f>
        <v/>
      </c>
      <c r="D149" s="164">
        <f>IFERROR(SKU_Base!T149,"")</f>
        <v/>
      </c>
      <c r="E149" s="141">
        <f>IFERROR(SKU_Base!$U149,"")</f>
        <v/>
      </c>
      <c r="F149" s="160">
        <f>IFERROR(ROUND(D149*(1-CHOOSE(MATCH(IF($E149="","Основний",$E149),{"Трафіковий","Основний","Маржинальний","Сезонний","Стратегічний"},0),Settings!$B$78,Settings!$B$80,Settings!$B$82,Settings!$B$84,Settings!$B$86))/6,2)*6,"")</f>
        <v/>
      </c>
      <c r="G149" s="142">
        <f>IFERROR(CHOOSE(MATCH(IF($E149="","Основний",$E149),{"Трафіковий","Основний","Маржинальний","Сезонний","Стратегічний"},0),Settings!$B$78,Settings!$B$80,Settings!$B$82,Settings!$B$84,Settings!$B$86),"")</f>
        <v/>
      </c>
      <c r="H149" s="148">
        <f>IFERROR((F149*(1-Settings!$B$17)-C149)/(F149*(1-Settings!$B$17)),"")</f>
        <v/>
      </c>
      <c r="I149" s="149">
        <f>IFERROR(IF(F149="","",IF(F149&gt;=C149/(1-SKU_Base!Z149)/(1-Settings!$B$17),"OK",IF(F149&gt;=C149/(1-SKU_Base!AG149)/(1-Settings!$B$17),"WARN","STOP"))),"")</f>
        <v/>
      </c>
      <c r="J149" s="160">
        <f>IFERROR(ROUND(D149*(1-CHOOSE(MATCH(IF($E149="","Основний",$E149),{"Трафіковий","Основний","Маржинальний","Сезонний","Стратегічний"},0),Settings!$C$78,Settings!$C$80,Settings!$C$82,Settings!$C$84,Settings!$C$86))/6,2)*6,"")</f>
        <v/>
      </c>
      <c r="K149" s="142">
        <f>IFERROR(CHOOSE(MATCH(IF($E149="","Основний",$E149),{"Трафіковий","Основний","Маржинальний","Сезонний","Стратегічний"},0),Settings!$C$78,Settings!$C$80,Settings!$C$82,Settings!$C$84,Settings!$C$86),"")</f>
        <v/>
      </c>
      <c r="L149" s="148">
        <f>IFERROR((J149*(1-Settings!$C$17)-C149)/(J149*(1-Settings!$C$17)),"")</f>
        <v/>
      </c>
      <c r="M149" s="149">
        <f>IFERROR(IF(J149="","",IF(J149&gt;=C149/(1-SKU_Base!AA149)/(1-Settings!$C$17),"OK",IF(J149&gt;=C149/(1-SKU_Base!AH149)/(1-Settings!$C$17),"WARN","STOP"))),"")</f>
        <v/>
      </c>
      <c r="N149" s="161">
        <f>IFERROR(ROUND(D149*(1-CHOOSE(MATCH(IF($E149="","Основний",$E149),{"Трафіковий","Основний","Маржинальний","Сезонний","Стратегічний"},0),Settings!$D$78,Settings!$D$80,Settings!$D$82,Settings!$D$84,Settings!$D$86))/6,2)*6,"")</f>
        <v/>
      </c>
      <c r="O149" s="142">
        <f>IFERROR(CHOOSE(MATCH(IF($E149="","Основний",$E149),{"Трафіковий","Основний","Маржинальний","Сезонний","Стратегічний"},0),Settings!$D$78,Settings!$D$80,Settings!$D$82,Settings!$D$84,Settings!$D$86),"")</f>
        <v/>
      </c>
      <c r="P149" s="148">
        <f>IFERROR((N149*(1-Settings!$D$17)-C149)/(N149*(1-Settings!$D$17)),"")</f>
        <v/>
      </c>
      <c r="Q149" s="149">
        <f>IFERROR(IF(N149="","",IF(N149&gt;=C149/(1-SKU_Base!AB149)/(1-Settings!$D$17),"OK",IF(N149&gt;=C149/(1-SKU_Base!AI149)/(1-Settings!$D$17),"WARN","STOP"))),"")</f>
        <v/>
      </c>
      <c r="R149" s="161">
        <f>IFERROR(ROUND(D149*(1-CHOOSE(MATCH(IF($E149="","Основний",$E149),{"Трафіковий","Основний","Маржинальний","Сезонний","Стратегічний"},0),Settings!$E$78,Settings!$E$80,Settings!$E$82,Settings!$E$84,Settings!$E$86))/6,2)*6,"")</f>
        <v/>
      </c>
      <c r="S149" s="142">
        <f>IFERROR(CHOOSE(MATCH(IF($E149="","Основний",$E149),{"Трафіковий","Основний","Маржинальний","Сезонний","Стратегічний"},0),Settings!$E$78,Settings!$E$80,Settings!$E$82,Settings!$E$84,Settings!$E$86),"")</f>
        <v/>
      </c>
      <c r="T149" s="148">
        <f>IFERROR((R149*(1-Settings!$E$17)-C149)/(R149*(1-Settings!$E$17)),"")</f>
        <v/>
      </c>
      <c r="U149" s="149">
        <f>IFERROR(IF(R149="","",IF(R149&gt;=C149/(1-SKU_Base!AC149)/(1-Settings!$E$17),"OK",IF(R149&gt;=C149/(1-SKU_Base!AJ149)/(1-Settings!$E$17),"WARN","STOP"))),"")</f>
        <v/>
      </c>
      <c r="V149" s="161">
        <f>IFERROR(ROUND(D149*(1-CHOOSE(MATCH(IF($E149="","Основний",$E149),{"Трафіковий","Основний","Маржинальний","Сезонний","Стратегічний"},0),Settings!$F$78,Settings!$F$80,Settings!$F$82,Settings!$F$84,Settings!$F$86))/6,2)*6,"")</f>
        <v/>
      </c>
      <c r="W149" s="142">
        <f>IFERROR(CHOOSE(MATCH(IF($E149="","Основний",$E149),{"Трафіковий","Основний","Маржинальний","Сезонний","Стратегічний"},0),Settings!$F$78,Settings!$F$80,Settings!$F$82,Settings!$F$84,Settings!$F$86),"")</f>
        <v/>
      </c>
      <c r="X149" s="148">
        <f>IFERROR((V149*(1-Settings!$F$17)-C149)/(V149*(1-Settings!$F$17)),"")</f>
        <v/>
      </c>
      <c r="Y149" s="149">
        <f>IFERROR(IF(V149="","",IF(V149&gt;=C149/(1-SKU_Base!AD149)/(1-Settings!$F$17),"OK",IF(V149&gt;=C149/(1-SKU_Base!AK149)/(1-Settings!$F$17),"WARN","STOP"))),"")</f>
        <v/>
      </c>
      <c r="Z149" s="161">
        <f>IFERROR(ROUND(D149*(1-CHOOSE(MATCH(IF($E149="","Основний",$E149),{"Трафіковий","Основний","Маржинальний","Сезонний","Стратегічний"},0),Settings!$G$78,Settings!$G$80,Settings!$G$82,Settings!$G$84,Settings!$G$86))/6,2)*6,"")</f>
        <v/>
      </c>
      <c r="AA149" s="142">
        <f>IFERROR(CHOOSE(MATCH(IF($E149="","Основний",$E149),{"Трафіковий","Основний","Маржинальний","Сезонний","Стратегічний"},0),Settings!$G$78,Settings!$G$80,Settings!$G$82,Settings!$G$84,Settings!$G$86),"")</f>
        <v/>
      </c>
      <c r="AB149" s="148">
        <f>IFERROR((Z149*(1-Settings!$G$17)-C149)/(Z149*(1-Settings!$G$17)),"")</f>
        <v/>
      </c>
      <c r="AC149" s="149">
        <f>IFERROR(IF(Z149="","",IF(Z149&gt;=C149/(1-SKU_Base!AE149)/(1-Settings!$G$17),"OK",IF(Z149&gt;=C149/(1-SKU_Base!AL149)/(1-Settings!$G$17),"WARN","STOP"))),"")</f>
        <v/>
      </c>
      <c r="AD149" s="161">
        <f>IFERROR(ROUND(D149*(1-CHOOSE(MATCH(IF($E149="","Основний",$E149),{"Трафіковий","Основний","Маржинальний","Сезонний","Стратегічний"},0),Settings!$H$78,Settings!$H$80,Settings!$H$82,Settings!$H$84,Settings!$H$86))*(1-Settings!$H$68)/6,2)*6,"")</f>
        <v/>
      </c>
      <c r="AE149" s="142">
        <f>IFERROR(CHOOSE(MATCH(IF($E149="","Основний",$E149),{"Трафіковий","Основний","Маржинальний","Сезонний","Стратегічний"},0),Settings!$H$78,Settings!$H$80,Settings!$H$82,Settings!$H$84,Settings!$H$86)+(1-(CHOOSE(MATCH(IF($E149="","Основний",$E149),{"Трафіковий","Основний","Маржинальний","Сезонний","Стратегічний"},0),Settings!$H$78,Settings!$H$80,Settings!$H$82,Settings!$H$84,Settings!$H$86)))*Settings!$H$68,"")</f>
        <v/>
      </c>
      <c r="AF149" s="148">
        <f>IFERROR((AD149*(1-Settings!$H$17)-C149)/(AD149*(1-Settings!$H$17)),"")</f>
        <v/>
      </c>
      <c r="AG149" s="150">
        <f>IFERROR(IF(AD149="","",IF(AD149&gt;=C149/(1-SKU_Base!AF149)/(1-Settings!$H$17),"OK",IF(AD149&gt;=C149/(1-SKU_Base!AM149)/(1-Settings!$H$17),"WARN","STOP"))),"")</f>
        <v/>
      </c>
    </row>
    <row r="150" ht="17" customHeight="1" s="179">
      <c r="A150" s="139">
        <f>SKU_Base!B150</f>
        <v/>
      </c>
      <c r="B150" s="139">
        <f>SKU_Base!C150</f>
        <v/>
      </c>
      <c r="C150" s="140">
        <f>IFERROR(SKU_Base!I150,"")</f>
        <v/>
      </c>
      <c r="D150" s="163">
        <f>IFERROR(SKU_Base!T150,"")</f>
        <v/>
      </c>
      <c r="E150" s="141">
        <f>IFERROR(SKU_Base!$U150,"")</f>
        <v/>
      </c>
      <c r="F150" s="158">
        <f>IFERROR(ROUND(D150*(1-CHOOSE(MATCH(IF($E150="","Основний",$E150),{"Трафіковий","Основний","Маржинальний","Сезонний","Стратегічний"},0),Settings!$B$78,Settings!$B$80,Settings!$B$82,Settings!$B$84,Settings!$B$86))/6,2)*6,"")</f>
        <v/>
      </c>
      <c r="G150" s="142">
        <f>IFERROR(CHOOSE(MATCH(IF($E150="","Основний",$E150),{"Трафіковий","Основний","Маржинальний","Сезонний","Стратегічний"},0),Settings!$B$78,Settings!$B$80,Settings!$B$82,Settings!$B$84,Settings!$B$86),"")</f>
        <v/>
      </c>
      <c r="H150" s="143">
        <f>IFERROR((F150*(1-Settings!$B$17)-C150)/(F150*(1-Settings!$B$17)),"")</f>
        <v/>
      </c>
      <c r="I150" s="150">
        <f>IFERROR(IF(F150="","",IF(F150&gt;=C150/(1-SKU_Base!Z150)/(1-Settings!$B$17),"OK",IF(F150&gt;=C150/(1-SKU_Base!AG150)/(1-Settings!$B$17),"WARN","STOP"))),"")</f>
        <v/>
      </c>
      <c r="J150" s="158">
        <f>IFERROR(ROUND(D150*(1-CHOOSE(MATCH(IF($E150="","Основний",$E150),{"Трафіковий","Основний","Маржинальний","Сезонний","Стратегічний"},0),Settings!$C$78,Settings!$C$80,Settings!$C$82,Settings!$C$84,Settings!$C$86))/6,2)*6,"")</f>
        <v/>
      </c>
      <c r="K150" s="142">
        <f>IFERROR(CHOOSE(MATCH(IF($E150="","Основний",$E150),{"Трафіковий","Основний","Маржинальний","Сезонний","Стратегічний"},0),Settings!$C$78,Settings!$C$80,Settings!$C$82,Settings!$C$84,Settings!$C$86),"")</f>
        <v/>
      </c>
      <c r="L150" s="143">
        <f>IFERROR((J150*(1-Settings!$C$17)-C150)/(J150*(1-Settings!$C$17)),"")</f>
        <v/>
      </c>
      <c r="M150" s="149">
        <f>IFERROR(IF(J150="","",IF(J150&gt;=C150/(1-SKU_Base!AA150)/(1-Settings!$C$17),"OK",IF(J150&gt;=C150/(1-SKU_Base!AH150)/(1-Settings!$C$17),"WARN","STOP"))),"")</f>
        <v/>
      </c>
      <c r="N150" s="159">
        <f>IFERROR(ROUND(D150*(1-CHOOSE(MATCH(IF($E150="","Основний",$E150),{"Трафіковий","Основний","Маржинальний","Сезонний","Стратегічний"},0),Settings!$D$78,Settings!$D$80,Settings!$D$82,Settings!$D$84,Settings!$D$86))/6,2)*6,"")</f>
        <v/>
      </c>
      <c r="O150" s="142">
        <f>IFERROR(CHOOSE(MATCH(IF($E150="","Основний",$E150),{"Трафіковий","Основний","Маржинальний","Сезонний","Стратегічний"},0),Settings!$D$78,Settings!$D$80,Settings!$D$82,Settings!$D$84,Settings!$D$86),"")</f>
        <v/>
      </c>
      <c r="P150" s="143">
        <f>IFERROR((N150*(1-Settings!$D$17)-C150)/(N150*(1-Settings!$D$17)),"")</f>
        <v/>
      </c>
      <c r="Q150" s="149">
        <f>IFERROR(IF(N150="","",IF(N150&gt;=C150/(1-SKU_Base!AB150)/(1-Settings!$D$17),"OK",IF(N150&gt;=C150/(1-SKU_Base!AI150)/(1-Settings!$D$17),"WARN","STOP"))),"")</f>
        <v/>
      </c>
      <c r="R150" s="159">
        <f>IFERROR(ROUND(D150*(1-CHOOSE(MATCH(IF($E150="","Основний",$E150),{"Трафіковий","Основний","Маржинальний","Сезонний","Стратегічний"},0),Settings!$E$78,Settings!$E$80,Settings!$E$82,Settings!$E$84,Settings!$E$86))/6,2)*6,"")</f>
        <v/>
      </c>
      <c r="S150" s="142">
        <f>IFERROR(CHOOSE(MATCH(IF($E150="","Основний",$E150),{"Трафіковий","Основний","Маржинальний","Сезонний","Стратегічний"},0),Settings!$E$78,Settings!$E$80,Settings!$E$82,Settings!$E$84,Settings!$E$86),"")</f>
        <v/>
      </c>
      <c r="T150" s="143">
        <f>IFERROR((R150*(1-Settings!$E$17)-C150)/(R150*(1-Settings!$E$17)),"")</f>
        <v/>
      </c>
      <c r="U150" s="149">
        <f>IFERROR(IF(R150="","",IF(R150&gt;=C150/(1-SKU_Base!AC150)/(1-Settings!$E$17),"OK",IF(R150&gt;=C150/(1-SKU_Base!AJ150)/(1-Settings!$E$17),"WARN","STOP"))),"")</f>
        <v/>
      </c>
      <c r="V150" s="159">
        <f>IFERROR(ROUND(D150*(1-CHOOSE(MATCH(IF($E150="","Основний",$E150),{"Трафіковий","Основний","Маржинальний","Сезонний","Стратегічний"},0),Settings!$F$78,Settings!$F$80,Settings!$F$82,Settings!$F$84,Settings!$F$86))/6,2)*6,"")</f>
        <v/>
      </c>
      <c r="W150" s="142">
        <f>IFERROR(CHOOSE(MATCH(IF($E150="","Основний",$E150),{"Трафіковий","Основний","Маржинальний","Сезонний","Стратегічний"},0),Settings!$F$78,Settings!$F$80,Settings!$F$82,Settings!$F$84,Settings!$F$86),"")</f>
        <v/>
      </c>
      <c r="X150" s="143">
        <f>IFERROR((V150*(1-Settings!$F$17)-C150)/(V150*(1-Settings!$F$17)),"")</f>
        <v/>
      </c>
      <c r="Y150" s="149">
        <f>IFERROR(IF(V150="","",IF(V150&gt;=C150/(1-SKU_Base!AD150)/(1-Settings!$F$17),"OK",IF(V150&gt;=C150/(1-SKU_Base!AK150)/(1-Settings!$F$17),"WARN","STOP"))),"")</f>
        <v/>
      </c>
      <c r="Z150" s="159">
        <f>IFERROR(ROUND(D150*(1-CHOOSE(MATCH(IF($E150="","Основний",$E150),{"Трафіковий","Основний","Маржинальний","Сезонний","Стратегічний"},0),Settings!$G$78,Settings!$G$80,Settings!$G$82,Settings!$G$84,Settings!$G$86))/6,2)*6,"")</f>
        <v/>
      </c>
      <c r="AA150" s="142">
        <f>IFERROR(CHOOSE(MATCH(IF($E150="","Основний",$E150),{"Трафіковий","Основний","Маржинальний","Сезонний","Стратегічний"},0),Settings!$G$78,Settings!$G$80,Settings!$G$82,Settings!$G$84,Settings!$G$86),"")</f>
        <v/>
      </c>
      <c r="AB150" s="143">
        <f>IFERROR((Z150*(1-Settings!$G$17)-C150)/(Z150*(1-Settings!$G$17)),"")</f>
        <v/>
      </c>
      <c r="AC150" s="149">
        <f>IFERROR(IF(Z150="","",IF(Z150&gt;=C150/(1-SKU_Base!AE150)/(1-Settings!$G$17),"OK",IF(Z150&gt;=C150/(1-SKU_Base!AL150)/(1-Settings!$G$17),"WARN","STOP"))),"")</f>
        <v/>
      </c>
      <c r="AD150" s="159">
        <f>IFERROR(ROUND(D150*(1-CHOOSE(MATCH(IF($E150="","Основний",$E150),{"Трафіковий","Основний","Маржинальний","Сезонний","Стратегічний"},0),Settings!$H$78,Settings!$H$80,Settings!$H$82,Settings!$H$84,Settings!$H$86))*(1-Settings!$H$68)/6,2)*6,"")</f>
        <v/>
      </c>
      <c r="AE150" s="142">
        <f>IFERROR(CHOOSE(MATCH(IF($E150="","Основний",$E150),{"Трафіковий","Основний","Маржинальний","Сезонний","Стратегічний"},0),Settings!$H$78,Settings!$H$80,Settings!$H$82,Settings!$H$84,Settings!$H$86)+(1-(CHOOSE(MATCH(IF($E150="","Основний",$E150),{"Трафіковий","Основний","Маржинальний","Сезонний","Стратегічний"},0),Settings!$H$78,Settings!$H$80,Settings!$H$82,Settings!$H$84,Settings!$H$86)))*Settings!$H$68,"")</f>
        <v/>
      </c>
      <c r="AF150" s="143">
        <f>IFERROR((AD150*(1-Settings!$H$17)-C150)/(AD150*(1-Settings!$H$17)),"")</f>
        <v/>
      </c>
      <c r="AG150" s="150">
        <f>IFERROR(IF(AD150="","",IF(AD150&gt;=C150/(1-SKU_Base!AF150)/(1-Settings!$H$17),"OK",IF(AD150&gt;=C150/(1-SKU_Base!AM150)/(1-Settings!$H$17),"WARN","STOP"))),"")</f>
        <v/>
      </c>
    </row>
    <row r="151" ht="17" customHeight="1" s="179">
      <c r="A151" s="146">
        <f>SKU_Base!B151</f>
        <v/>
      </c>
      <c r="B151" s="146">
        <f>SKU_Base!C151</f>
        <v/>
      </c>
      <c r="C151" s="147">
        <f>IFERROR(SKU_Base!I151,"")</f>
        <v/>
      </c>
      <c r="D151" s="164">
        <f>IFERROR(SKU_Base!T151,"")</f>
        <v/>
      </c>
      <c r="E151" s="141">
        <f>IFERROR(SKU_Base!$U151,"")</f>
        <v/>
      </c>
      <c r="F151" s="160">
        <f>IFERROR(ROUND(D151*(1-CHOOSE(MATCH(IF($E151="","Основний",$E151),{"Трафіковий","Основний","Маржинальний","Сезонний","Стратегічний"},0),Settings!$B$78,Settings!$B$80,Settings!$B$82,Settings!$B$84,Settings!$B$86))/6,2)*6,"")</f>
        <v/>
      </c>
      <c r="G151" s="142">
        <f>IFERROR(CHOOSE(MATCH(IF($E151="","Основний",$E151),{"Трафіковий","Основний","Маржинальний","Сезонний","Стратегічний"},0),Settings!$B$78,Settings!$B$80,Settings!$B$82,Settings!$B$84,Settings!$B$86),"")</f>
        <v/>
      </c>
      <c r="H151" s="148">
        <f>IFERROR((F151*(1-Settings!$B$17)-C151)/(F151*(1-Settings!$B$17)),"")</f>
        <v/>
      </c>
      <c r="I151" s="149">
        <f>IFERROR(IF(F151="","",IF(F151&gt;=C151/(1-SKU_Base!Z151)/(1-Settings!$B$17),"OK",IF(F151&gt;=C151/(1-SKU_Base!AG151)/(1-Settings!$B$17),"WARN","STOP"))),"")</f>
        <v/>
      </c>
      <c r="J151" s="160">
        <f>IFERROR(ROUND(D151*(1-CHOOSE(MATCH(IF($E151="","Основний",$E151),{"Трафіковий","Основний","Маржинальний","Сезонний","Стратегічний"},0),Settings!$C$78,Settings!$C$80,Settings!$C$82,Settings!$C$84,Settings!$C$86))/6,2)*6,"")</f>
        <v/>
      </c>
      <c r="K151" s="142">
        <f>IFERROR(CHOOSE(MATCH(IF($E151="","Основний",$E151),{"Трафіковий","Основний","Маржинальний","Сезонний","Стратегічний"},0),Settings!$C$78,Settings!$C$80,Settings!$C$82,Settings!$C$84,Settings!$C$86),"")</f>
        <v/>
      </c>
      <c r="L151" s="148">
        <f>IFERROR((J151*(1-Settings!$C$17)-C151)/(J151*(1-Settings!$C$17)),"")</f>
        <v/>
      </c>
      <c r="M151" s="149">
        <f>IFERROR(IF(J151="","",IF(J151&gt;=C151/(1-SKU_Base!AA151)/(1-Settings!$C$17),"OK",IF(J151&gt;=C151/(1-SKU_Base!AH151)/(1-Settings!$C$17),"WARN","STOP"))),"")</f>
        <v/>
      </c>
      <c r="N151" s="161">
        <f>IFERROR(ROUND(D151*(1-CHOOSE(MATCH(IF($E151="","Основний",$E151),{"Трафіковий","Основний","Маржинальний","Сезонний","Стратегічний"},0),Settings!$D$78,Settings!$D$80,Settings!$D$82,Settings!$D$84,Settings!$D$86))/6,2)*6,"")</f>
        <v/>
      </c>
      <c r="O151" s="142">
        <f>IFERROR(CHOOSE(MATCH(IF($E151="","Основний",$E151),{"Трафіковий","Основний","Маржинальний","Сезонний","Стратегічний"},0),Settings!$D$78,Settings!$D$80,Settings!$D$82,Settings!$D$84,Settings!$D$86),"")</f>
        <v/>
      </c>
      <c r="P151" s="148">
        <f>IFERROR((N151*(1-Settings!$D$17)-C151)/(N151*(1-Settings!$D$17)),"")</f>
        <v/>
      </c>
      <c r="Q151" s="149">
        <f>IFERROR(IF(N151="","",IF(N151&gt;=C151/(1-SKU_Base!AB151)/(1-Settings!$D$17),"OK",IF(N151&gt;=C151/(1-SKU_Base!AI151)/(1-Settings!$D$17),"WARN","STOP"))),"")</f>
        <v/>
      </c>
      <c r="R151" s="161">
        <f>IFERROR(ROUND(D151*(1-CHOOSE(MATCH(IF($E151="","Основний",$E151),{"Трафіковий","Основний","Маржинальний","Сезонний","Стратегічний"},0),Settings!$E$78,Settings!$E$80,Settings!$E$82,Settings!$E$84,Settings!$E$86))/6,2)*6,"")</f>
        <v/>
      </c>
      <c r="S151" s="142">
        <f>IFERROR(CHOOSE(MATCH(IF($E151="","Основний",$E151),{"Трафіковий","Основний","Маржинальний","Сезонний","Стратегічний"},0),Settings!$E$78,Settings!$E$80,Settings!$E$82,Settings!$E$84,Settings!$E$86),"")</f>
        <v/>
      </c>
      <c r="T151" s="148">
        <f>IFERROR((R151*(1-Settings!$E$17)-C151)/(R151*(1-Settings!$E$17)),"")</f>
        <v/>
      </c>
      <c r="U151" s="149">
        <f>IFERROR(IF(R151="","",IF(R151&gt;=C151/(1-SKU_Base!AC151)/(1-Settings!$E$17),"OK",IF(R151&gt;=C151/(1-SKU_Base!AJ151)/(1-Settings!$E$17),"WARN","STOP"))),"")</f>
        <v/>
      </c>
      <c r="V151" s="161">
        <f>IFERROR(ROUND(D151*(1-CHOOSE(MATCH(IF($E151="","Основний",$E151),{"Трафіковий","Основний","Маржинальний","Сезонний","Стратегічний"},0),Settings!$F$78,Settings!$F$80,Settings!$F$82,Settings!$F$84,Settings!$F$86))/6,2)*6,"")</f>
        <v/>
      </c>
      <c r="W151" s="142">
        <f>IFERROR(CHOOSE(MATCH(IF($E151="","Основний",$E151),{"Трафіковий","Основний","Маржинальний","Сезонний","Стратегічний"},0),Settings!$F$78,Settings!$F$80,Settings!$F$82,Settings!$F$84,Settings!$F$86),"")</f>
        <v/>
      </c>
      <c r="X151" s="148">
        <f>IFERROR((V151*(1-Settings!$F$17)-C151)/(V151*(1-Settings!$F$17)),"")</f>
        <v/>
      </c>
      <c r="Y151" s="149">
        <f>IFERROR(IF(V151="","",IF(V151&gt;=C151/(1-SKU_Base!AD151)/(1-Settings!$F$17),"OK",IF(V151&gt;=C151/(1-SKU_Base!AK151)/(1-Settings!$F$17),"WARN","STOP"))),"")</f>
        <v/>
      </c>
      <c r="Z151" s="161">
        <f>IFERROR(ROUND(D151*(1-CHOOSE(MATCH(IF($E151="","Основний",$E151),{"Трафіковий","Основний","Маржинальний","Сезонний","Стратегічний"},0),Settings!$G$78,Settings!$G$80,Settings!$G$82,Settings!$G$84,Settings!$G$86))/6,2)*6,"")</f>
        <v/>
      </c>
      <c r="AA151" s="142">
        <f>IFERROR(CHOOSE(MATCH(IF($E151="","Основний",$E151),{"Трафіковий","Основний","Маржинальний","Сезонний","Стратегічний"},0),Settings!$G$78,Settings!$G$80,Settings!$G$82,Settings!$G$84,Settings!$G$86),"")</f>
        <v/>
      </c>
      <c r="AB151" s="148">
        <f>IFERROR((Z151*(1-Settings!$G$17)-C151)/(Z151*(1-Settings!$G$17)),"")</f>
        <v/>
      </c>
      <c r="AC151" s="149">
        <f>IFERROR(IF(Z151="","",IF(Z151&gt;=C151/(1-SKU_Base!AE151)/(1-Settings!$G$17),"OK",IF(Z151&gt;=C151/(1-SKU_Base!AL151)/(1-Settings!$G$17),"WARN","STOP"))),"")</f>
        <v/>
      </c>
      <c r="AD151" s="161">
        <f>IFERROR(ROUND(D151*(1-CHOOSE(MATCH(IF($E151="","Основний",$E151),{"Трафіковий","Основний","Маржинальний","Сезонний","Стратегічний"},0),Settings!$H$78,Settings!$H$80,Settings!$H$82,Settings!$H$84,Settings!$H$86))*(1-Settings!$H$68)/6,2)*6,"")</f>
        <v/>
      </c>
      <c r="AE151" s="142">
        <f>IFERROR(CHOOSE(MATCH(IF($E151="","Основний",$E151),{"Трафіковий","Основний","Маржинальний","Сезонний","Стратегічний"},0),Settings!$H$78,Settings!$H$80,Settings!$H$82,Settings!$H$84,Settings!$H$86)+(1-(CHOOSE(MATCH(IF($E151="","Основний",$E151),{"Трафіковий","Основний","Маржинальний","Сезонний","Стратегічний"},0),Settings!$H$78,Settings!$H$80,Settings!$H$82,Settings!$H$84,Settings!$H$86)))*Settings!$H$68,"")</f>
        <v/>
      </c>
      <c r="AF151" s="148">
        <f>IFERROR((AD151*(1-Settings!$H$17)-C151)/(AD151*(1-Settings!$H$17)),"")</f>
        <v/>
      </c>
      <c r="AG151" s="150">
        <f>IFERROR(IF(AD151="","",IF(AD151&gt;=C151/(1-SKU_Base!AF151)/(1-Settings!$H$17),"OK",IF(AD151&gt;=C151/(1-SKU_Base!AM151)/(1-Settings!$H$17),"WARN","STOP"))),"")</f>
        <v/>
      </c>
    </row>
    <row r="152" ht="17" customHeight="1" s="179">
      <c r="A152" s="139">
        <f>SKU_Base!B152</f>
        <v/>
      </c>
      <c r="B152" s="139">
        <f>SKU_Base!C152</f>
        <v/>
      </c>
      <c r="C152" s="140">
        <f>IFERROR(SKU_Base!I152,"")</f>
        <v/>
      </c>
      <c r="D152" s="163">
        <f>IFERROR(SKU_Base!T152,"")</f>
        <v/>
      </c>
      <c r="E152" s="141">
        <f>IFERROR(SKU_Base!$U152,"")</f>
        <v/>
      </c>
      <c r="F152" s="158">
        <f>IFERROR(ROUND(D152*(1-CHOOSE(MATCH(IF($E152="","Основний",$E152),{"Трафіковий","Основний","Маржинальний","Сезонний","Стратегічний"},0),Settings!$B$78,Settings!$B$80,Settings!$B$82,Settings!$B$84,Settings!$B$86))/6,2)*6,"")</f>
        <v/>
      </c>
      <c r="G152" s="142">
        <f>IFERROR(CHOOSE(MATCH(IF($E152="","Основний",$E152),{"Трафіковий","Основний","Маржинальний","Сезонний","Стратегічний"},0),Settings!$B$78,Settings!$B$80,Settings!$B$82,Settings!$B$84,Settings!$B$86),"")</f>
        <v/>
      </c>
      <c r="H152" s="143">
        <f>IFERROR((F152*(1-Settings!$B$17)-C152)/(F152*(1-Settings!$B$17)),"")</f>
        <v/>
      </c>
      <c r="I152" s="149">
        <f>IFERROR(IF(F152="","",IF(F152&gt;=C152/(1-SKU_Base!Z152)/(1-Settings!$B$17),"OK",IF(F152&gt;=C152/(1-SKU_Base!AG152)/(1-Settings!$B$17),"WARN","STOP"))),"")</f>
        <v/>
      </c>
      <c r="J152" s="158">
        <f>IFERROR(ROUND(D152*(1-CHOOSE(MATCH(IF($E152="","Основний",$E152),{"Трафіковий","Основний","Маржинальний","Сезонний","Стратегічний"},0),Settings!$C$78,Settings!$C$80,Settings!$C$82,Settings!$C$84,Settings!$C$86))/6,2)*6,"")</f>
        <v/>
      </c>
      <c r="K152" s="142">
        <f>IFERROR(CHOOSE(MATCH(IF($E152="","Основний",$E152),{"Трафіковий","Основний","Маржинальний","Сезонний","Стратегічний"},0),Settings!$C$78,Settings!$C$80,Settings!$C$82,Settings!$C$84,Settings!$C$86),"")</f>
        <v/>
      </c>
      <c r="L152" s="143">
        <f>IFERROR((J152*(1-Settings!$C$17)-C152)/(J152*(1-Settings!$C$17)),"")</f>
        <v/>
      </c>
      <c r="M152" s="149">
        <f>IFERROR(IF(J152="","",IF(J152&gt;=C152/(1-SKU_Base!AA152)/(1-Settings!$C$17),"OK",IF(J152&gt;=C152/(1-SKU_Base!AH152)/(1-Settings!$C$17),"WARN","STOP"))),"")</f>
        <v/>
      </c>
      <c r="N152" s="159">
        <f>IFERROR(ROUND(D152*(1-CHOOSE(MATCH(IF($E152="","Основний",$E152),{"Трафіковий","Основний","Маржинальний","Сезонний","Стратегічний"},0),Settings!$D$78,Settings!$D$80,Settings!$D$82,Settings!$D$84,Settings!$D$86))/6,2)*6,"")</f>
        <v/>
      </c>
      <c r="O152" s="142">
        <f>IFERROR(CHOOSE(MATCH(IF($E152="","Основний",$E152),{"Трафіковий","Основний","Маржинальний","Сезонний","Стратегічний"},0),Settings!$D$78,Settings!$D$80,Settings!$D$82,Settings!$D$84,Settings!$D$86),"")</f>
        <v/>
      </c>
      <c r="P152" s="143">
        <f>IFERROR((N152*(1-Settings!$D$17)-C152)/(N152*(1-Settings!$D$17)),"")</f>
        <v/>
      </c>
      <c r="Q152" s="149">
        <f>IFERROR(IF(N152="","",IF(N152&gt;=C152/(1-SKU_Base!AB152)/(1-Settings!$D$17),"OK",IF(N152&gt;=C152/(1-SKU_Base!AI152)/(1-Settings!$D$17),"WARN","STOP"))),"")</f>
        <v/>
      </c>
      <c r="R152" s="159">
        <f>IFERROR(ROUND(D152*(1-CHOOSE(MATCH(IF($E152="","Основний",$E152),{"Трафіковий","Основний","Маржинальний","Сезонний","Стратегічний"},0),Settings!$E$78,Settings!$E$80,Settings!$E$82,Settings!$E$84,Settings!$E$86))/6,2)*6,"")</f>
        <v/>
      </c>
      <c r="S152" s="142">
        <f>IFERROR(CHOOSE(MATCH(IF($E152="","Основний",$E152),{"Трафіковий","Основний","Маржинальний","Сезонний","Стратегічний"},0),Settings!$E$78,Settings!$E$80,Settings!$E$82,Settings!$E$84,Settings!$E$86),"")</f>
        <v/>
      </c>
      <c r="T152" s="143">
        <f>IFERROR((R152*(1-Settings!$E$17)-C152)/(R152*(1-Settings!$E$17)),"")</f>
        <v/>
      </c>
      <c r="U152" s="149">
        <f>IFERROR(IF(R152="","",IF(R152&gt;=C152/(1-SKU_Base!AC152)/(1-Settings!$E$17),"OK",IF(R152&gt;=C152/(1-SKU_Base!AJ152)/(1-Settings!$E$17),"WARN","STOP"))),"")</f>
        <v/>
      </c>
      <c r="V152" s="159">
        <f>IFERROR(ROUND(D152*(1-CHOOSE(MATCH(IF($E152="","Основний",$E152),{"Трафіковий","Основний","Маржинальний","Сезонний","Стратегічний"},0),Settings!$F$78,Settings!$F$80,Settings!$F$82,Settings!$F$84,Settings!$F$86))/6,2)*6,"")</f>
        <v/>
      </c>
      <c r="W152" s="142">
        <f>IFERROR(CHOOSE(MATCH(IF($E152="","Основний",$E152),{"Трафіковий","Основний","Маржинальний","Сезонний","Стратегічний"},0),Settings!$F$78,Settings!$F$80,Settings!$F$82,Settings!$F$84,Settings!$F$86),"")</f>
        <v/>
      </c>
      <c r="X152" s="143">
        <f>IFERROR((V152*(1-Settings!$F$17)-C152)/(V152*(1-Settings!$F$17)),"")</f>
        <v/>
      </c>
      <c r="Y152" s="149">
        <f>IFERROR(IF(V152="","",IF(V152&gt;=C152/(1-SKU_Base!AD152)/(1-Settings!$F$17),"OK",IF(V152&gt;=C152/(1-SKU_Base!AK152)/(1-Settings!$F$17),"WARN","STOP"))),"")</f>
        <v/>
      </c>
      <c r="Z152" s="159">
        <f>IFERROR(ROUND(D152*(1-CHOOSE(MATCH(IF($E152="","Основний",$E152),{"Трафіковий","Основний","Маржинальний","Сезонний","Стратегічний"},0),Settings!$G$78,Settings!$G$80,Settings!$G$82,Settings!$G$84,Settings!$G$86))/6,2)*6,"")</f>
        <v/>
      </c>
      <c r="AA152" s="142">
        <f>IFERROR(CHOOSE(MATCH(IF($E152="","Основний",$E152),{"Трафіковий","Основний","Маржинальний","Сезонний","Стратегічний"},0),Settings!$G$78,Settings!$G$80,Settings!$G$82,Settings!$G$84,Settings!$G$86),"")</f>
        <v/>
      </c>
      <c r="AB152" s="143">
        <f>IFERROR((Z152*(1-Settings!$G$17)-C152)/(Z152*(1-Settings!$G$17)),"")</f>
        <v/>
      </c>
      <c r="AC152" s="149">
        <f>IFERROR(IF(Z152="","",IF(Z152&gt;=C152/(1-SKU_Base!AE152)/(1-Settings!$G$17),"OK",IF(Z152&gt;=C152/(1-SKU_Base!AL152)/(1-Settings!$G$17),"WARN","STOP"))),"")</f>
        <v/>
      </c>
      <c r="AD152" s="159">
        <f>IFERROR(ROUND(D152*(1-CHOOSE(MATCH(IF($E152="","Основний",$E152),{"Трафіковий","Основний","Маржинальний","Сезонний","Стратегічний"},0),Settings!$H$78,Settings!$H$80,Settings!$H$82,Settings!$H$84,Settings!$H$86))*(1-Settings!$H$68)/6,2)*6,"")</f>
        <v/>
      </c>
      <c r="AE152" s="142">
        <f>IFERROR(CHOOSE(MATCH(IF($E152="","Основний",$E152),{"Трафіковий","Основний","Маржинальний","Сезонний","Стратегічний"},0),Settings!$H$78,Settings!$H$80,Settings!$H$82,Settings!$H$84,Settings!$H$86)+(1-(CHOOSE(MATCH(IF($E152="","Основний",$E152),{"Трафіковий","Основний","Маржинальний","Сезонний","Стратегічний"},0),Settings!$H$78,Settings!$H$80,Settings!$H$82,Settings!$H$84,Settings!$H$86)))*Settings!$H$68,"")</f>
        <v/>
      </c>
      <c r="AF152" s="143">
        <f>IFERROR((AD152*(1-Settings!$H$17)-C152)/(AD152*(1-Settings!$H$17)),"")</f>
        <v/>
      </c>
      <c r="AG152" s="150">
        <f>IFERROR(IF(AD152="","",IF(AD152&gt;=C152/(1-SKU_Base!AF152)/(1-Settings!$H$17),"OK",IF(AD152&gt;=C152/(1-SKU_Base!AM152)/(1-Settings!$H$17),"WARN","STOP"))),"")</f>
        <v/>
      </c>
    </row>
    <row r="153" ht="17" customHeight="1" s="179">
      <c r="A153" s="146">
        <f>SKU_Base!B153</f>
        <v/>
      </c>
      <c r="B153" s="146">
        <f>SKU_Base!C153</f>
        <v/>
      </c>
      <c r="C153" s="147">
        <f>IFERROR(SKU_Base!I153,"")</f>
        <v/>
      </c>
      <c r="D153" s="164">
        <f>IFERROR(SKU_Base!T153,"")</f>
        <v/>
      </c>
      <c r="E153" s="141">
        <f>IFERROR(SKU_Base!$U153,"")</f>
        <v/>
      </c>
      <c r="F153" s="160">
        <f>IFERROR(ROUND(D153*(1-CHOOSE(MATCH(IF($E153="","Основний",$E153),{"Трафіковий","Основний","Маржинальний","Сезонний","Стратегічний"},0),Settings!$B$78,Settings!$B$80,Settings!$B$82,Settings!$B$84,Settings!$B$86))/6,2)*6,"")</f>
        <v/>
      </c>
      <c r="G153" s="142">
        <f>IFERROR(CHOOSE(MATCH(IF($E153="","Основний",$E153),{"Трафіковий","Основний","Маржинальний","Сезонний","Стратегічний"},0),Settings!$B$78,Settings!$B$80,Settings!$B$82,Settings!$B$84,Settings!$B$86),"")</f>
        <v/>
      </c>
      <c r="H153" s="148">
        <f>IFERROR((F153*(1-Settings!$B$17)-C153)/(F153*(1-Settings!$B$17)),"")</f>
        <v/>
      </c>
      <c r="I153" s="149">
        <f>IFERROR(IF(F153="","",IF(F153&gt;=C153/(1-SKU_Base!Z153)/(1-Settings!$B$17),"OK",IF(F153&gt;=C153/(1-SKU_Base!AG153)/(1-Settings!$B$17),"WARN","STOP"))),"")</f>
        <v/>
      </c>
      <c r="J153" s="160">
        <f>IFERROR(ROUND(D153*(1-CHOOSE(MATCH(IF($E153="","Основний",$E153),{"Трафіковий","Основний","Маржинальний","Сезонний","Стратегічний"},0),Settings!$C$78,Settings!$C$80,Settings!$C$82,Settings!$C$84,Settings!$C$86))/6,2)*6,"")</f>
        <v/>
      </c>
      <c r="K153" s="142">
        <f>IFERROR(CHOOSE(MATCH(IF($E153="","Основний",$E153),{"Трафіковий","Основний","Маржинальний","Сезонний","Стратегічний"},0),Settings!$C$78,Settings!$C$80,Settings!$C$82,Settings!$C$84,Settings!$C$86),"")</f>
        <v/>
      </c>
      <c r="L153" s="148">
        <f>IFERROR((J153*(1-Settings!$C$17)-C153)/(J153*(1-Settings!$C$17)),"")</f>
        <v/>
      </c>
      <c r="M153" s="149">
        <f>IFERROR(IF(J153="","",IF(J153&gt;=C153/(1-SKU_Base!AA153)/(1-Settings!$C$17),"OK",IF(J153&gt;=C153/(1-SKU_Base!AH153)/(1-Settings!$C$17),"WARN","STOP"))),"")</f>
        <v/>
      </c>
      <c r="N153" s="161">
        <f>IFERROR(ROUND(D153*(1-CHOOSE(MATCH(IF($E153="","Основний",$E153),{"Трафіковий","Основний","Маржинальний","Сезонний","Стратегічний"},0),Settings!$D$78,Settings!$D$80,Settings!$D$82,Settings!$D$84,Settings!$D$86))/6,2)*6,"")</f>
        <v/>
      </c>
      <c r="O153" s="142">
        <f>IFERROR(CHOOSE(MATCH(IF($E153="","Основний",$E153),{"Трафіковий","Основний","Маржинальний","Сезонний","Стратегічний"},0),Settings!$D$78,Settings!$D$80,Settings!$D$82,Settings!$D$84,Settings!$D$86),"")</f>
        <v/>
      </c>
      <c r="P153" s="148">
        <f>IFERROR((N153*(1-Settings!$D$17)-C153)/(N153*(1-Settings!$D$17)),"")</f>
        <v/>
      </c>
      <c r="Q153" s="149">
        <f>IFERROR(IF(N153="","",IF(N153&gt;=C153/(1-SKU_Base!AB153)/(1-Settings!$D$17),"OK",IF(N153&gt;=C153/(1-SKU_Base!AI153)/(1-Settings!$D$17),"WARN","STOP"))),"")</f>
        <v/>
      </c>
      <c r="R153" s="161">
        <f>IFERROR(ROUND(D153*(1-CHOOSE(MATCH(IF($E153="","Основний",$E153),{"Трафіковий","Основний","Маржинальний","Сезонний","Стратегічний"},0),Settings!$E$78,Settings!$E$80,Settings!$E$82,Settings!$E$84,Settings!$E$86))/6,2)*6,"")</f>
        <v/>
      </c>
      <c r="S153" s="142">
        <f>IFERROR(CHOOSE(MATCH(IF($E153="","Основний",$E153),{"Трафіковий","Основний","Маржинальний","Сезонний","Стратегічний"},0),Settings!$E$78,Settings!$E$80,Settings!$E$82,Settings!$E$84,Settings!$E$86),"")</f>
        <v/>
      </c>
      <c r="T153" s="148">
        <f>IFERROR((R153*(1-Settings!$E$17)-C153)/(R153*(1-Settings!$E$17)),"")</f>
        <v/>
      </c>
      <c r="U153" s="149">
        <f>IFERROR(IF(R153="","",IF(R153&gt;=C153/(1-SKU_Base!AC153)/(1-Settings!$E$17),"OK",IF(R153&gt;=C153/(1-SKU_Base!AJ153)/(1-Settings!$E$17),"WARN","STOP"))),"")</f>
        <v/>
      </c>
      <c r="V153" s="161">
        <f>IFERROR(ROUND(D153*(1-CHOOSE(MATCH(IF($E153="","Основний",$E153),{"Трафіковий","Основний","Маржинальний","Сезонний","Стратегічний"},0),Settings!$F$78,Settings!$F$80,Settings!$F$82,Settings!$F$84,Settings!$F$86))/6,2)*6,"")</f>
        <v/>
      </c>
      <c r="W153" s="142">
        <f>IFERROR(CHOOSE(MATCH(IF($E153="","Основний",$E153),{"Трафіковий","Основний","Маржинальний","Сезонний","Стратегічний"},0),Settings!$F$78,Settings!$F$80,Settings!$F$82,Settings!$F$84,Settings!$F$86),"")</f>
        <v/>
      </c>
      <c r="X153" s="148">
        <f>IFERROR((V153*(1-Settings!$F$17)-C153)/(V153*(1-Settings!$F$17)),"")</f>
        <v/>
      </c>
      <c r="Y153" s="149">
        <f>IFERROR(IF(V153="","",IF(V153&gt;=C153/(1-SKU_Base!AD153)/(1-Settings!$F$17),"OK",IF(V153&gt;=C153/(1-SKU_Base!AK153)/(1-Settings!$F$17),"WARN","STOP"))),"")</f>
        <v/>
      </c>
      <c r="Z153" s="161">
        <f>IFERROR(ROUND(D153*(1-CHOOSE(MATCH(IF($E153="","Основний",$E153),{"Трафіковий","Основний","Маржинальний","Сезонний","Стратегічний"},0),Settings!$G$78,Settings!$G$80,Settings!$G$82,Settings!$G$84,Settings!$G$86))/6,2)*6,"")</f>
        <v/>
      </c>
      <c r="AA153" s="142">
        <f>IFERROR(CHOOSE(MATCH(IF($E153="","Основний",$E153),{"Трафіковий","Основний","Маржинальний","Сезонний","Стратегічний"},0),Settings!$G$78,Settings!$G$80,Settings!$G$82,Settings!$G$84,Settings!$G$86),"")</f>
        <v/>
      </c>
      <c r="AB153" s="148">
        <f>IFERROR((Z153*(1-Settings!$G$17)-C153)/(Z153*(1-Settings!$G$17)),"")</f>
        <v/>
      </c>
      <c r="AC153" s="149">
        <f>IFERROR(IF(Z153="","",IF(Z153&gt;=C153/(1-SKU_Base!AE153)/(1-Settings!$G$17),"OK",IF(Z153&gt;=C153/(1-SKU_Base!AL153)/(1-Settings!$G$17),"WARN","STOP"))),"")</f>
        <v/>
      </c>
      <c r="AD153" s="161">
        <f>IFERROR(ROUND(D153*(1-CHOOSE(MATCH(IF($E153="","Основний",$E153),{"Трафіковий","Основний","Маржинальний","Сезонний","Стратегічний"},0),Settings!$H$78,Settings!$H$80,Settings!$H$82,Settings!$H$84,Settings!$H$86))*(1-Settings!$H$68)/6,2)*6,"")</f>
        <v/>
      </c>
      <c r="AE153" s="142">
        <f>IFERROR(CHOOSE(MATCH(IF($E153="","Основний",$E153),{"Трафіковий","Основний","Маржинальний","Сезонний","Стратегічний"},0),Settings!$H$78,Settings!$H$80,Settings!$H$82,Settings!$H$84,Settings!$H$86)+(1-(CHOOSE(MATCH(IF($E153="","Основний",$E153),{"Трафіковий","Основний","Маржинальний","Сезонний","Стратегічний"},0),Settings!$H$78,Settings!$H$80,Settings!$H$82,Settings!$H$84,Settings!$H$86)))*Settings!$H$68,"")</f>
        <v/>
      </c>
      <c r="AF153" s="148">
        <f>IFERROR((AD153*(1-Settings!$H$17)-C153)/(AD153*(1-Settings!$H$17)),"")</f>
        <v/>
      </c>
      <c r="AG153" s="150">
        <f>IFERROR(IF(AD153="","",IF(AD153&gt;=C153/(1-SKU_Base!AF153)/(1-Settings!$H$17),"OK",IF(AD153&gt;=C153/(1-SKU_Base!AM153)/(1-Settings!$H$17),"WARN","STOP"))),"")</f>
        <v/>
      </c>
    </row>
    <row r="154" ht="17" customHeight="1" s="179">
      <c r="A154" s="139">
        <f>SKU_Base!B154</f>
        <v/>
      </c>
      <c r="B154" s="139">
        <f>SKU_Base!C154</f>
        <v/>
      </c>
      <c r="C154" s="140">
        <f>IFERROR(SKU_Base!I154,"")</f>
        <v/>
      </c>
      <c r="D154" s="163">
        <f>IFERROR(SKU_Base!T154,"")</f>
        <v/>
      </c>
      <c r="E154" s="141">
        <f>IFERROR(SKU_Base!$U154,"")</f>
        <v/>
      </c>
      <c r="F154" s="158">
        <f>IFERROR(ROUND(D154*(1-CHOOSE(MATCH(IF($E154="","Основний",$E154),{"Трафіковий","Основний","Маржинальний","Сезонний","Стратегічний"},0),Settings!$B$78,Settings!$B$80,Settings!$B$82,Settings!$B$84,Settings!$B$86))/6,2)*6,"")</f>
        <v/>
      </c>
      <c r="G154" s="142">
        <f>IFERROR(CHOOSE(MATCH(IF($E154="","Основний",$E154),{"Трафіковий","Основний","Маржинальний","Сезонний","Стратегічний"},0),Settings!$B$78,Settings!$B$80,Settings!$B$82,Settings!$B$84,Settings!$B$86),"")</f>
        <v/>
      </c>
      <c r="H154" s="143">
        <f>IFERROR((F154*(1-Settings!$B$17)-C154)/(F154*(1-Settings!$B$17)),"")</f>
        <v/>
      </c>
      <c r="I154" s="150">
        <f>IFERROR(IF(F154="","",IF(F154&gt;=C154/(1-SKU_Base!Z154)/(1-Settings!$B$17),"OK",IF(F154&gt;=C154/(1-SKU_Base!AG154)/(1-Settings!$B$17),"WARN","STOP"))),"")</f>
        <v/>
      </c>
      <c r="J154" s="158">
        <f>IFERROR(ROUND(D154*(1-CHOOSE(MATCH(IF($E154="","Основний",$E154),{"Трафіковий","Основний","Маржинальний","Сезонний","Стратегічний"},0),Settings!$C$78,Settings!$C$80,Settings!$C$82,Settings!$C$84,Settings!$C$86))/6,2)*6,"")</f>
        <v/>
      </c>
      <c r="K154" s="142">
        <f>IFERROR(CHOOSE(MATCH(IF($E154="","Основний",$E154),{"Трафіковий","Основний","Маржинальний","Сезонний","Стратегічний"},0),Settings!$C$78,Settings!$C$80,Settings!$C$82,Settings!$C$84,Settings!$C$86),"")</f>
        <v/>
      </c>
      <c r="L154" s="143">
        <f>IFERROR((J154*(1-Settings!$C$17)-C154)/(J154*(1-Settings!$C$17)),"")</f>
        <v/>
      </c>
      <c r="M154" s="149">
        <f>IFERROR(IF(J154="","",IF(J154&gt;=C154/(1-SKU_Base!AA154)/(1-Settings!$C$17),"OK",IF(J154&gt;=C154/(1-SKU_Base!AH154)/(1-Settings!$C$17),"WARN","STOP"))),"")</f>
        <v/>
      </c>
      <c r="N154" s="159">
        <f>IFERROR(ROUND(D154*(1-CHOOSE(MATCH(IF($E154="","Основний",$E154),{"Трафіковий","Основний","Маржинальний","Сезонний","Стратегічний"},0),Settings!$D$78,Settings!$D$80,Settings!$D$82,Settings!$D$84,Settings!$D$86))/6,2)*6,"")</f>
        <v/>
      </c>
      <c r="O154" s="142">
        <f>IFERROR(CHOOSE(MATCH(IF($E154="","Основний",$E154),{"Трафіковий","Основний","Маржинальний","Сезонний","Стратегічний"},0),Settings!$D$78,Settings!$D$80,Settings!$D$82,Settings!$D$84,Settings!$D$86),"")</f>
        <v/>
      </c>
      <c r="P154" s="143">
        <f>IFERROR((N154*(1-Settings!$D$17)-C154)/(N154*(1-Settings!$D$17)),"")</f>
        <v/>
      </c>
      <c r="Q154" s="149">
        <f>IFERROR(IF(N154="","",IF(N154&gt;=C154/(1-SKU_Base!AB154)/(1-Settings!$D$17),"OK",IF(N154&gt;=C154/(1-SKU_Base!AI154)/(1-Settings!$D$17),"WARN","STOP"))),"")</f>
        <v/>
      </c>
      <c r="R154" s="159">
        <f>IFERROR(ROUND(D154*(1-CHOOSE(MATCH(IF($E154="","Основний",$E154),{"Трафіковий","Основний","Маржинальний","Сезонний","Стратегічний"},0),Settings!$E$78,Settings!$E$80,Settings!$E$82,Settings!$E$84,Settings!$E$86))/6,2)*6,"")</f>
        <v/>
      </c>
      <c r="S154" s="142">
        <f>IFERROR(CHOOSE(MATCH(IF($E154="","Основний",$E154),{"Трафіковий","Основний","Маржинальний","Сезонний","Стратегічний"},0),Settings!$E$78,Settings!$E$80,Settings!$E$82,Settings!$E$84,Settings!$E$86),"")</f>
        <v/>
      </c>
      <c r="T154" s="143">
        <f>IFERROR((R154*(1-Settings!$E$17)-C154)/(R154*(1-Settings!$E$17)),"")</f>
        <v/>
      </c>
      <c r="U154" s="149">
        <f>IFERROR(IF(R154="","",IF(R154&gt;=C154/(1-SKU_Base!AC154)/(1-Settings!$E$17),"OK",IF(R154&gt;=C154/(1-SKU_Base!AJ154)/(1-Settings!$E$17),"WARN","STOP"))),"")</f>
        <v/>
      </c>
      <c r="V154" s="159">
        <f>IFERROR(ROUND(D154*(1-CHOOSE(MATCH(IF($E154="","Основний",$E154),{"Трафіковий","Основний","Маржинальний","Сезонний","Стратегічний"},0),Settings!$F$78,Settings!$F$80,Settings!$F$82,Settings!$F$84,Settings!$F$86))/6,2)*6,"")</f>
        <v/>
      </c>
      <c r="W154" s="142">
        <f>IFERROR(CHOOSE(MATCH(IF($E154="","Основний",$E154),{"Трафіковий","Основний","Маржинальний","Сезонний","Стратегічний"},0),Settings!$F$78,Settings!$F$80,Settings!$F$82,Settings!$F$84,Settings!$F$86),"")</f>
        <v/>
      </c>
      <c r="X154" s="143">
        <f>IFERROR((V154*(1-Settings!$F$17)-C154)/(V154*(1-Settings!$F$17)),"")</f>
        <v/>
      </c>
      <c r="Y154" s="149">
        <f>IFERROR(IF(V154="","",IF(V154&gt;=C154/(1-SKU_Base!AD154)/(1-Settings!$F$17),"OK",IF(V154&gt;=C154/(1-SKU_Base!AK154)/(1-Settings!$F$17),"WARN","STOP"))),"")</f>
        <v/>
      </c>
      <c r="Z154" s="159">
        <f>IFERROR(ROUND(D154*(1-CHOOSE(MATCH(IF($E154="","Основний",$E154),{"Трафіковий","Основний","Маржинальний","Сезонний","Стратегічний"},0),Settings!$G$78,Settings!$G$80,Settings!$G$82,Settings!$G$84,Settings!$G$86))/6,2)*6,"")</f>
        <v/>
      </c>
      <c r="AA154" s="142">
        <f>IFERROR(CHOOSE(MATCH(IF($E154="","Основний",$E154),{"Трафіковий","Основний","Маржинальний","Сезонний","Стратегічний"},0),Settings!$G$78,Settings!$G$80,Settings!$G$82,Settings!$G$84,Settings!$G$86),"")</f>
        <v/>
      </c>
      <c r="AB154" s="143">
        <f>IFERROR((Z154*(1-Settings!$G$17)-C154)/(Z154*(1-Settings!$G$17)),"")</f>
        <v/>
      </c>
      <c r="AC154" s="149">
        <f>IFERROR(IF(Z154="","",IF(Z154&gt;=C154/(1-SKU_Base!AE154)/(1-Settings!$G$17),"OK",IF(Z154&gt;=C154/(1-SKU_Base!AL154)/(1-Settings!$G$17),"WARN","STOP"))),"")</f>
        <v/>
      </c>
      <c r="AD154" s="159">
        <f>IFERROR(ROUND(D154*(1-CHOOSE(MATCH(IF($E154="","Основний",$E154),{"Трафіковий","Основний","Маржинальний","Сезонний","Стратегічний"},0),Settings!$H$78,Settings!$H$80,Settings!$H$82,Settings!$H$84,Settings!$H$86))*(1-Settings!$H$68)/6,2)*6,"")</f>
        <v/>
      </c>
      <c r="AE154" s="142">
        <f>IFERROR(CHOOSE(MATCH(IF($E154="","Основний",$E154),{"Трафіковий","Основний","Маржинальний","Сезонний","Стратегічний"},0),Settings!$H$78,Settings!$H$80,Settings!$H$82,Settings!$H$84,Settings!$H$86)+(1-(CHOOSE(MATCH(IF($E154="","Основний",$E154),{"Трафіковий","Основний","Маржинальний","Сезонний","Стратегічний"},0),Settings!$H$78,Settings!$H$80,Settings!$H$82,Settings!$H$84,Settings!$H$86)))*Settings!$H$68,"")</f>
        <v/>
      </c>
      <c r="AF154" s="143">
        <f>IFERROR((AD154*(1-Settings!$H$17)-C154)/(AD154*(1-Settings!$H$17)),"")</f>
        <v/>
      </c>
      <c r="AG154" s="150">
        <f>IFERROR(IF(AD154="","",IF(AD154&gt;=C154/(1-SKU_Base!AF154)/(1-Settings!$H$17),"OK",IF(AD154&gt;=C154/(1-SKU_Base!AM154)/(1-Settings!$H$17),"WARN","STOP"))),"")</f>
        <v/>
      </c>
    </row>
    <row r="155" ht="17" customHeight="1" s="179">
      <c r="A155" s="146">
        <f>SKU_Base!B155</f>
        <v/>
      </c>
      <c r="B155" s="146">
        <f>SKU_Base!C155</f>
        <v/>
      </c>
      <c r="C155" s="147">
        <f>IFERROR(SKU_Base!I155,"")</f>
        <v/>
      </c>
      <c r="D155" s="164">
        <f>IFERROR(SKU_Base!T155,"")</f>
        <v/>
      </c>
      <c r="E155" s="141">
        <f>IFERROR(SKU_Base!$U155,"")</f>
        <v/>
      </c>
      <c r="F155" s="160">
        <f>IFERROR(ROUND(D155*(1-CHOOSE(MATCH(IF($E155="","Основний",$E155),{"Трафіковий","Основний","Маржинальний","Сезонний","Стратегічний"},0),Settings!$B$78,Settings!$B$80,Settings!$B$82,Settings!$B$84,Settings!$B$86))/6,2)*6,"")</f>
        <v/>
      </c>
      <c r="G155" s="142">
        <f>IFERROR(CHOOSE(MATCH(IF($E155="","Основний",$E155),{"Трафіковий","Основний","Маржинальний","Сезонний","Стратегічний"},0),Settings!$B$78,Settings!$B$80,Settings!$B$82,Settings!$B$84,Settings!$B$86),"")</f>
        <v/>
      </c>
      <c r="H155" s="148">
        <f>IFERROR((F155*(1-Settings!$B$17)-C155)/(F155*(1-Settings!$B$17)),"")</f>
        <v/>
      </c>
      <c r="I155" s="149">
        <f>IFERROR(IF(F155="","",IF(F155&gt;=C155/(1-SKU_Base!Z155)/(1-Settings!$B$17),"OK",IF(F155&gt;=C155/(1-SKU_Base!AG155)/(1-Settings!$B$17),"WARN","STOP"))),"")</f>
        <v/>
      </c>
      <c r="J155" s="160">
        <f>IFERROR(ROUND(D155*(1-CHOOSE(MATCH(IF($E155="","Основний",$E155),{"Трафіковий","Основний","Маржинальний","Сезонний","Стратегічний"},0),Settings!$C$78,Settings!$C$80,Settings!$C$82,Settings!$C$84,Settings!$C$86))/6,2)*6,"")</f>
        <v/>
      </c>
      <c r="K155" s="142">
        <f>IFERROR(CHOOSE(MATCH(IF($E155="","Основний",$E155),{"Трафіковий","Основний","Маржинальний","Сезонний","Стратегічний"},0),Settings!$C$78,Settings!$C$80,Settings!$C$82,Settings!$C$84,Settings!$C$86),"")</f>
        <v/>
      </c>
      <c r="L155" s="148">
        <f>IFERROR((J155*(1-Settings!$C$17)-C155)/(J155*(1-Settings!$C$17)),"")</f>
        <v/>
      </c>
      <c r="M155" s="149">
        <f>IFERROR(IF(J155="","",IF(J155&gt;=C155/(1-SKU_Base!AA155)/(1-Settings!$C$17),"OK",IF(J155&gt;=C155/(1-SKU_Base!AH155)/(1-Settings!$C$17),"WARN","STOP"))),"")</f>
        <v/>
      </c>
      <c r="N155" s="161">
        <f>IFERROR(ROUND(D155*(1-CHOOSE(MATCH(IF($E155="","Основний",$E155),{"Трафіковий","Основний","Маржинальний","Сезонний","Стратегічний"},0),Settings!$D$78,Settings!$D$80,Settings!$D$82,Settings!$D$84,Settings!$D$86))/6,2)*6,"")</f>
        <v/>
      </c>
      <c r="O155" s="142">
        <f>IFERROR(CHOOSE(MATCH(IF($E155="","Основний",$E155),{"Трафіковий","Основний","Маржинальний","Сезонний","Стратегічний"},0),Settings!$D$78,Settings!$D$80,Settings!$D$82,Settings!$D$84,Settings!$D$86),"")</f>
        <v/>
      </c>
      <c r="P155" s="148">
        <f>IFERROR((N155*(1-Settings!$D$17)-C155)/(N155*(1-Settings!$D$17)),"")</f>
        <v/>
      </c>
      <c r="Q155" s="149">
        <f>IFERROR(IF(N155="","",IF(N155&gt;=C155/(1-SKU_Base!AB155)/(1-Settings!$D$17),"OK",IF(N155&gt;=C155/(1-SKU_Base!AI155)/(1-Settings!$D$17),"WARN","STOP"))),"")</f>
        <v/>
      </c>
      <c r="R155" s="161">
        <f>IFERROR(ROUND(D155*(1-CHOOSE(MATCH(IF($E155="","Основний",$E155),{"Трафіковий","Основний","Маржинальний","Сезонний","Стратегічний"},0),Settings!$E$78,Settings!$E$80,Settings!$E$82,Settings!$E$84,Settings!$E$86))/6,2)*6,"")</f>
        <v/>
      </c>
      <c r="S155" s="142">
        <f>IFERROR(CHOOSE(MATCH(IF($E155="","Основний",$E155),{"Трафіковий","Основний","Маржинальний","Сезонний","Стратегічний"},0),Settings!$E$78,Settings!$E$80,Settings!$E$82,Settings!$E$84,Settings!$E$86),"")</f>
        <v/>
      </c>
      <c r="T155" s="148">
        <f>IFERROR((R155*(1-Settings!$E$17)-C155)/(R155*(1-Settings!$E$17)),"")</f>
        <v/>
      </c>
      <c r="U155" s="149">
        <f>IFERROR(IF(R155="","",IF(R155&gt;=C155/(1-SKU_Base!AC155)/(1-Settings!$E$17),"OK",IF(R155&gt;=C155/(1-SKU_Base!AJ155)/(1-Settings!$E$17),"WARN","STOP"))),"")</f>
        <v/>
      </c>
      <c r="V155" s="161">
        <f>IFERROR(ROUND(D155*(1-CHOOSE(MATCH(IF($E155="","Основний",$E155),{"Трафіковий","Основний","Маржинальний","Сезонний","Стратегічний"},0),Settings!$F$78,Settings!$F$80,Settings!$F$82,Settings!$F$84,Settings!$F$86))/6,2)*6,"")</f>
        <v/>
      </c>
      <c r="W155" s="142">
        <f>IFERROR(CHOOSE(MATCH(IF($E155="","Основний",$E155),{"Трафіковий","Основний","Маржинальний","Сезонний","Стратегічний"},0),Settings!$F$78,Settings!$F$80,Settings!$F$82,Settings!$F$84,Settings!$F$86),"")</f>
        <v/>
      </c>
      <c r="X155" s="148">
        <f>IFERROR((V155*(1-Settings!$F$17)-C155)/(V155*(1-Settings!$F$17)),"")</f>
        <v/>
      </c>
      <c r="Y155" s="149">
        <f>IFERROR(IF(V155="","",IF(V155&gt;=C155/(1-SKU_Base!AD155)/(1-Settings!$F$17),"OK",IF(V155&gt;=C155/(1-SKU_Base!AK155)/(1-Settings!$F$17),"WARN","STOP"))),"")</f>
        <v/>
      </c>
      <c r="Z155" s="161">
        <f>IFERROR(ROUND(D155*(1-CHOOSE(MATCH(IF($E155="","Основний",$E155),{"Трафіковий","Основний","Маржинальний","Сезонний","Стратегічний"},0),Settings!$G$78,Settings!$G$80,Settings!$G$82,Settings!$G$84,Settings!$G$86))/6,2)*6,"")</f>
        <v/>
      </c>
      <c r="AA155" s="142">
        <f>IFERROR(CHOOSE(MATCH(IF($E155="","Основний",$E155),{"Трафіковий","Основний","Маржинальний","Сезонний","Стратегічний"},0),Settings!$G$78,Settings!$G$80,Settings!$G$82,Settings!$G$84,Settings!$G$86),"")</f>
        <v/>
      </c>
      <c r="AB155" s="148">
        <f>IFERROR((Z155*(1-Settings!$G$17)-C155)/(Z155*(1-Settings!$G$17)),"")</f>
        <v/>
      </c>
      <c r="AC155" s="149">
        <f>IFERROR(IF(Z155="","",IF(Z155&gt;=C155/(1-SKU_Base!AE155)/(1-Settings!$G$17),"OK",IF(Z155&gt;=C155/(1-SKU_Base!AL155)/(1-Settings!$G$17),"WARN","STOP"))),"")</f>
        <v/>
      </c>
      <c r="AD155" s="161">
        <f>IFERROR(ROUND(D155*(1-CHOOSE(MATCH(IF($E155="","Основний",$E155),{"Трафіковий","Основний","Маржинальний","Сезонний","Стратегічний"},0),Settings!$H$78,Settings!$H$80,Settings!$H$82,Settings!$H$84,Settings!$H$86))*(1-Settings!$H$68)/6,2)*6,"")</f>
        <v/>
      </c>
      <c r="AE155" s="142">
        <f>IFERROR(CHOOSE(MATCH(IF($E155="","Основний",$E155),{"Трафіковий","Основний","Маржинальний","Сезонний","Стратегічний"},0),Settings!$H$78,Settings!$H$80,Settings!$H$82,Settings!$H$84,Settings!$H$86)+(1-(CHOOSE(MATCH(IF($E155="","Основний",$E155),{"Трафіковий","Основний","Маржинальний","Сезонний","Стратегічний"},0),Settings!$H$78,Settings!$H$80,Settings!$H$82,Settings!$H$84,Settings!$H$86)))*Settings!$H$68,"")</f>
        <v/>
      </c>
      <c r="AF155" s="148">
        <f>IFERROR((AD155*(1-Settings!$H$17)-C155)/(AD155*(1-Settings!$H$17)),"")</f>
        <v/>
      </c>
      <c r="AG155" s="150">
        <f>IFERROR(IF(AD155="","",IF(AD155&gt;=C155/(1-SKU_Base!AF155)/(1-Settings!$H$17),"OK",IF(AD155&gt;=C155/(1-SKU_Base!AM155)/(1-Settings!$H$17),"WARN","STOP"))),"")</f>
        <v/>
      </c>
    </row>
    <row r="156" ht="17" customHeight="1" s="179">
      <c r="A156" s="139">
        <f>SKU_Base!B156</f>
        <v/>
      </c>
      <c r="B156" s="139">
        <f>SKU_Base!C156</f>
        <v/>
      </c>
      <c r="C156" s="140">
        <f>IFERROR(SKU_Base!I156,"")</f>
        <v/>
      </c>
      <c r="D156" s="163">
        <f>IFERROR(SKU_Base!T156,"")</f>
        <v/>
      </c>
      <c r="E156" s="141">
        <f>IFERROR(SKU_Base!$U156,"")</f>
        <v/>
      </c>
      <c r="F156" s="158">
        <f>IFERROR(ROUND(D156*(1-CHOOSE(MATCH(IF($E156="","Основний",$E156),{"Трафіковий","Основний","Маржинальний","Сезонний","Стратегічний"},0),Settings!$B$78,Settings!$B$80,Settings!$B$82,Settings!$B$84,Settings!$B$86))/6,2)*6,"")</f>
        <v/>
      </c>
      <c r="G156" s="142">
        <f>IFERROR(CHOOSE(MATCH(IF($E156="","Основний",$E156),{"Трафіковий","Основний","Маржинальний","Сезонний","Стратегічний"},0),Settings!$B$78,Settings!$B$80,Settings!$B$82,Settings!$B$84,Settings!$B$86),"")</f>
        <v/>
      </c>
      <c r="H156" s="143">
        <f>IFERROR((F156*(1-Settings!$B$17)-C156)/(F156*(1-Settings!$B$17)),"")</f>
        <v/>
      </c>
      <c r="I156" s="149">
        <f>IFERROR(IF(F156="","",IF(F156&gt;=C156/(1-SKU_Base!Z156)/(1-Settings!$B$17),"OK",IF(F156&gt;=C156/(1-SKU_Base!AG156)/(1-Settings!$B$17),"WARN","STOP"))),"")</f>
        <v/>
      </c>
      <c r="J156" s="158">
        <f>IFERROR(ROUND(D156*(1-CHOOSE(MATCH(IF($E156="","Основний",$E156),{"Трафіковий","Основний","Маржинальний","Сезонний","Стратегічний"},0),Settings!$C$78,Settings!$C$80,Settings!$C$82,Settings!$C$84,Settings!$C$86))/6,2)*6,"")</f>
        <v/>
      </c>
      <c r="K156" s="142">
        <f>IFERROR(CHOOSE(MATCH(IF($E156="","Основний",$E156),{"Трафіковий","Основний","Маржинальний","Сезонний","Стратегічний"},0),Settings!$C$78,Settings!$C$80,Settings!$C$82,Settings!$C$84,Settings!$C$86),"")</f>
        <v/>
      </c>
      <c r="L156" s="143">
        <f>IFERROR((J156*(1-Settings!$C$17)-C156)/(J156*(1-Settings!$C$17)),"")</f>
        <v/>
      </c>
      <c r="M156" s="149">
        <f>IFERROR(IF(J156="","",IF(J156&gt;=C156/(1-SKU_Base!AA156)/(1-Settings!$C$17),"OK",IF(J156&gt;=C156/(1-SKU_Base!AH156)/(1-Settings!$C$17),"WARN","STOP"))),"")</f>
        <v/>
      </c>
      <c r="N156" s="159">
        <f>IFERROR(ROUND(D156*(1-CHOOSE(MATCH(IF($E156="","Основний",$E156),{"Трафіковий","Основний","Маржинальний","Сезонний","Стратегічний"},0),Settings!$D$78,Settings!$D$80,Settings!$D$82,Settings!$D$84,Settings!$D$86))/6,2)*6,"")</f>
        <v/>
      </c>
      <c r="O156" s="142">
        <f>IFERROR(CHOOSE(MATCH(IF($E156="","Основний",$E156),{"Трафіковий","Основний","Маржинальний","Сезонний","Стратегічний"},0),Settings!$D$78,Settings!$D$80,Settings!$D$82,Settings!$D$84,Settings!$D$86),"")</f>
        <v/>
      </c>
      <c r="P156" s="143">
        <f>IFERROR((N156*(1-Settings!$D$17)-C156)/(N156*(1-Settings!$D$17)),"")</f>
        <v/>
      </c>
      <c r="Q156" s="149">
        <f>IFERROR(IF(N156="","",IF(N156&gt;=C156/(1-SKU_Base!AB156)/(1-Settings!$D$17),"OK",IF(N156&gt;=C156/(1-SKU_Base!AI156)/(1-Settings!$D$17),"WARN","STOP"))),"")</f>
        <v/>
      </c>
      <c r="R156" s="159">
        <f>IFERROR(ROUND(D156*(1-CHOOSE(MATCH(IF($E156="","Основний",$E156),{"Трафіковий","Основний","Маржинальний","Сезонний","Стратегічний"},0),Settings!$E$78,Settings!$E$80,Settings!$E$82,Settings!$E$84,Settings!$E$86))/6,2)*6,"")</f>
        <v/>
      </c>
      <c r="S156" s="142">
        <f>IFERROR(CHOOSE(MATCH(IF($E156="","Основний",$E156),{"Трафіковий","Основний","Маржинальний","Сезонний","Стратегічний"},0),Settings!$E$78,Settings!$E$80,Settings!$E$82,Settings!$E$84,Settings!$E$86),"")</f>
        <v/>
      </c>
      <c r="T156" s="143">
        <f>IFERROR((R156*(1-Settings!$E$17)-C156)/(R156*(1-Settings!$E$17)),"")</f>
        <v/>
      </c>
      <c r="U156" s="149">
        <f>IFERROR(IF(R156="","",IF(R156&gt;=C156/(1-SKU_Base!AC156)/(1-Settings!$E$17),"OK",IF(R156&gt;=C156/(1-SKU_Base!AJ156)/(1-Settings!$E$17),"WARN","STOP"))),"")</f>
        <v/>
      </c>
      <c r="V156" s="159">
        <f>IFERROR(ROUND(D156*(1-CHOOSE(MATCH(IF($E156="","Основний",$E156),{"Трафіковий","Основний","Маржинальний","Сезонний","Стратегічний"},0),Settings!$F$78,Settings!$F$80,Settings!$F$82,Settings!$F$84,Settings!$F$86))/6,2)*6,"")</f>
        <v/>
      </c>
      <c r="W156" s="142">
        <f>IFERROR(CHOOSE(MATCH(IF($E156="","Основний",$E156),{"Трафіковий","Основний","Маржинальний","Сезонний","Стратегічний"},0),Settings!$F$78,Settings!$F$80,Settings!$F$82,Settings!$F$84,Settings!$F$86),"")</f>
        <v/>
      </c>
      <c r="X156" s="143">
        <f>IFERROR((V156*(1-Settings!$F$17)-C156)/(V156*(1-Settings!$F$17)),"")</f>
        <v/>
      </c>
      <c r="Y156" s="149">
        <f>IFERROR(IF(V156="","",IF(V156&gt;=C156/(1-SKU_Base!AD156)/(1-Settings!$F$17),"OK",IF(V156&gt;=C156/(1-SKU_Base!AK156)/(1-Settings!$F$17),"WARN","STOP"))),"")</f>
        <v/>
      </c>
      <c r="Z156" s="159">
        <f>IFERROR(ROUND(D156*(1-CHOOSE(MATCH(IF($E156="","Основний",$E156),{"Трафіковий","Основний","Маржинальний","Сезонний","Стратегічний"},0),Settings!$G$78,Settings!$G$80,Settings!$G$82,Settings!$G$84,Settings!$G$86))/6,2)*6,"")</f>
        <v/>
      </c>
      <c r="AA156" s="142">
        <f>IFERROR(CHOOSE(MATCH(IF($E156="","Основний",$E156),{"Трафіковий","Основний","Маржинальний","Сезонний","Стратегічний"},0),Settings!$G$78,Settings!$G$80,Settings!$G$82,Settings!$G$84,Settings!$G$86),"")</f>
        <v/>
      </c>
      <c r="AB156" s="143">
        <f>IFERROR((Z156*(1-Settings!$G$17)-C156)/(Z156*(1-Settings!$G$17)),"")</f>
        <v/>
      </c>
      <c r="AC156" s="149">
        <f>IFERROR(IF(Z156="","",IF(Z156&gt;=C156/(1-SKU_Base!AE156)/(1-Settings!$G$17),"OK",IF(Z156&gt;=C156/(1-SKU_Base!AL156)/(1-Settings!$G$17),"WARN","STOP"))),"")</f>
        <v/>
      </c>
      <c r="AD156" s="159">
        <f>IFERROR(ROUND(D156*(1-CHOOSE(MATCH(IF($E156="","Основний",$E156),{"Трафіковий","Основний","Маржинальний","Сезонний","Стратегічний"},0),Settings!$H$78,Settings!$H$80,Settings!$H$82,Settings!$H$84,Settings!$H$86))*(1-Settings!$H$68)/6,2)*6,"")</f>
        <v/>
      </c>
      <c r="AE156" s="142">
        <f>IFERROR(CHOOSE(MATCH(IF($E156="","Основний",$E156),{"Трафіковий","Основний","Маржинальний","Сезонний","Стратегічний"},0),Settings!$H$78,Settings!$H$80,Settings!$H$82,Settings!$H$84,Settings!$H$86)+(1-(CHOOSE(MATCH(IF($E156="","Основний",$E156),{"Трафіковий","Основний","Маржинальний","Сезонний","Стратегічний"},0),Settings!$H$78,Settings!$H$80,Settings!$H$82,Settings!$H$84,Settings!$H$86)))*Settings!$H$68,"")</f>
        <v/>
      </c>
      <c r="AF156" s="143">
        <f>IFERROR((AD156*(1-Settings!$H$17)-C156)/(AD156*(1-Settings!$H$17)),"")</f>
        <v/>
      </c>
      <c r="AG156" s="150">
        <f>IFERROR(IF(AD156="","",IF(AD156&gt;=C156/(1-SKU_Base!AF156)/(1-Settings!$H$17),"OK",IF(AD156&gt;=C156/(1-SKU_Base!AM156)/(1-Settings!$H$17),"WARN","STOP"))),"")</f>
        <v/>
      </c>
    </row>
    <row r="157" ht="17" customHeight="1" s="179">
      <c r="A157" s="146">
        <f>SKU_Base!B157</f>
        <v/>
      </c>
      <c r="B157" s="146">
        <f>SKU_Base!C157</f>
        <v/>
      </c>
      <c r="C157" s="147">
        <f>IFERROR(SKU_Base!I157,"")</f>
        <v/>
      </c>
      <c r="D157" s="164">
        <f>IFERROR(SKU_Base!T157,"")</f>
        <v/>
      </c>
      <c r="E157" s="141">
        <f>IFERROR(SKU_Base!$U157,"")</f>
        <v/>
      </c>
      <c r="F157" s="160">
        <f>IFERROR(ROUND(D157*(1-CHOOSE(MATCH(IF($E157="","Основний",$E157),{"Трафіковий","Основний","Маржинальний","Сезонний","Стратегічний"},0),Settings!$B$78,Settings!$B$80,Settings!$B$82,Settings!$B$84,Settings!$B$86))/6,2)*6,"")</f>
        <v/>
      </c>
      <c r="G157" s="142">
        <f>IFERROR(CHOOSE(MATCH(IF($E157="","Основний",$E157),{"Трафіковий","Основний","Маржинальний","Сезонний","Стратегічний"},0),Settings!$B$78,Settings!$B$80,Settings!$B$82,Settings!$B$84,Settings!$B$86),"")</f>
        <v/>
      </c>
      <c r="H157" s="148">
        <f>IFERROR((F157*(1-Settings!$B$17)-C157)/(F157*(1-Settings!$B$17)),"")</f>
        <v/>
      </c>
      <c r="I157" s="149">
        <f>IFERROR(IF(F157="","",IF(F157&gt;=C157/(1-SKU_Base!Z157)/(1-Settings!$B$17),"OK",IF(F157&gt;=C157/(1-SKU_Base!AG157)/(1-Settings!$B$17),"WARN","STOP"))),"")</f>
        <v/>
      </c>
      <c r="J157" s="160">
        <f>IFERROR(ROUND(D157*(1-CHOOSE(MATCH(IF($E157="","Основний",$E157),{"Трафіковий","Основний","Маржинальний","Сезонний","Стратегічний"},0),Settings!$C$78,Settings!$C$80,Settings!$C$82,Settings!$C$84,Settings!$C$86))/6,2)*6,"")</f>
        <v/>
      </c>
      <c r="K157" s="142">
        <f>IFERROR(CHOOSE(MATCH(IF($E157="","Основний",$E157),{"Трафіковий","Основний","Маржинальний","Сезонний","Стратегічний"},0),Settings!$C$78,Settings!$C$80,Settings!$C$82,Settings!$C$84,Settings!$C$86),"")</f>
        <v/>
      </c>
      <c r="L157" s="148">
        <f>IFERROR((J157*(1-Settings!$C$17)-C157)/(J157*(1-Settings!$C$17)),"")</f>
        <v/>
      </c>
      <c r="M157" s="149">
        <f>IFERROR(IF(J157="","",IF(J157&gt;=C157/(1-SKU_Base!AA157)/(1-Settings!$C$17),"OK",IF(J157&gt;=C157/(1-SKU_Base!AH157)/(1-Settings!$C$17),"WARN","STOP"))),"")</f>
        <v/>
      </c>
      <c r="N157" s="161">
        <f>IFERROR(ROUND(D157*(1-CHOOSE(MATCH(IF($E157="","Основний",$E157),{"Трафіковий","Основний","Маржинальний","Сезонний","Стратегічний"},0),Settings!$D$78,Settings!$D$80,Settings!$D$82,Settings!$D$84,Settings!$D$86))/6,2)*6,"")</f>
        <v/>
      </c>
      <c r="O157" s="142">
        <f>IFERROR(CHOOSE(MATCH(IF($E157="","Основний",$E157),{"Трафіковий","Основний","Маржинальний","Сезонний","Стратегічний"},0),Settings!$D$78,Settings!$D$80,Settings!$D$82,Settings!$D$84,Settings!$D$86),"")</f>
        <v/>
      </c>
      <c r="P157" s="148">
        <f>IFERROR((N157*(1-Settings!$D$17)-C157)/(N157*(1-Settings!$D$17)),"")</f>
        <v/>
      </c>
      <c r="Q157" s="149">
        <f>IFERROR(IF(N157="","",IF(N157&gt;=C157/(1-SKU_Base!AB157)/(1-Settings!$D$17),"OK",IF(N157&gt;=C157/(1-SKU_Base!AI157)/(1-Settings!$D$17),"WARN","STOP"))),"")</f>
        <v/>
      </c>
      <c r="R157" s="161">
        <f>IFERROR(ROUND(D157*(1-CHOOSE(MATCH(IF($E157="","Основний",$E157),{"Трафіковий","Основний","Маржинальний","Сезонний","Стратегічний"},0),Settings!$E$78,Settings!$E$80,Settings!$E$82,Settings!$E$84,Settings!$E$86))/6,2)*6,"")</f>
        <v/>
      </c>
      <c r="S157" s="142">
        <f>IFERROR(CHOOSE(MATCH(IF($E157="","Основний",$E157),{"Трафіковий","Основний","Маржинальний","Сезонний","Стратегічний"},0),Settings!$E$78,Settings!$E$80,Settings!$E$82,Settings!$E$84,Settings!$E$86),"")</f>
        <v/>
      </c>
      <c r="T157" s="148">
        <f>IFERROR((R157*(1-Settings!$E$17)-C157)/(R157*(1-Settings!$E$17)),"")</f>
        <v/>
      </c>
      <c r="U157" s="149">
        <f>IFERROR(IF(R157="","",IF(R157&gt;=C157/(1-SKU_Base!AC157)/(1-Settings!$E$17),"OK",IF(R157&gt;=C157/(1-SKU_Base!AJ157)/(1-Settings!$E$17),"WARN","STOP"))),"")</f>
        <v/>
      </c>
      <c r="V157" s="161">
        <f>IFERROR(ROUND(D157*(1-CHOOSE(MATCH(IF($E157="","Основний",$E157),{"Трафіковий","Основний","Маржинальний","Сезонний","Стратегічний"},0),Settings!$F$78,Settings!$F$80,Settings!$F$82,Settings!$F$84,Settings!$F$86))/6,2)*6,"")</f>
        <v/>
      </c>
      <c r="W157" s="142">
        <f>IFERROR(CHOOSE(MATCH(IF($E157="","Основний",$E157),{"Трафіковий","Основний","Маржинальний","Сезонний","Стратегічний"},0),Settings!$F$78,Settings!$F$80,Settings!$F$82,Settings!$F$84,Settings!$F$86),"")</f>
        <v/>
      </c>
      <c r="X157" s="148">
        <f>IFERROR((V157*(1-Settings!$F$17)-C157)/(V157*(1-Settings!$F$17)),"")</f>
        <v/>
      </c>
      <c r="Y157" s="149">
        <f>IFERROR(IF(V157="","",IF(V157&gt;=C157/(1-SKU_Base!AD157)/(1-Settings!$F$17),"OK",IF(V157&gt;=C157/(1-SKU_Base!AK157)/(1-Settings!$F$17),"WARN","STOP"))),"")</f>
        <v/>
      </c>
      <c r="Z157" s="161">
        <f>IFERROR(ROUND(D157*(1-CHOOSE(MATCH(IF($E157="","Основний",$E157),{"Трафіковий","Основний","Маржинальний","Сезонний","Стратегічний"},0),Settings!$G$78,Settings!$G$80,Settings!$G$82,Settings!$G$84,Settings!$G$86))/6,2)*6,"")</f>
        <v/>
      </c>
      <c r="AA157" s="142">
        <f>IFERROR(CHOOSE(MATCH(IF($E157="","Основний",$E157),{"Трафіковий","Основний","Маржинальний","Сезонний","Стратегічний"},0),Settings!$G$78,Settings!$G$80,Settings!$G$82,Settings!$G$84,Settings!$G$86),"")</f>
        <v/>
      </c>
      <c r="AB157" s="148">
        <f>IFERROR((Z157*(1-Settings!$G$17)-C157)/(Z157*(1-Settings!$G$17)),"")</f>
        <v/>
      </c>
      <c r="AC157" s="149">
        <f>IFERROR(IF(Z157="","",IF(Z157&gt;=C157/(1-SKU_Base!AE157)/(1-Settings!$G$17),"OK",IF(Z157&gt;=C157/(1-SKU_Base!AL157)/(1-Settings!$G$17),"WARN","STOP"))),"")</f>
        <v/>
      </c>
      <c r="AD157" s="161">
        <f>IFERROR(ROUND(D157*(1-CHOOSE(MATCH(IF($E157="","Основний",$E157),{"Трафіковий","Основний","Маржинальний","Сезонний","Стратегічний"},0),Settings!$H$78,Settings!$H$80,Settings!$H$82,Settings!$H$84,Settings!$H$86))*(1-Settings!$H$68)/6,2)*6,"")</f>
        <v/>
      </c>
      <c r="AE157" s="142">
        <f>IFERROR(CHOOSE(MATCH(IF($E157="","Основний",$E157),{"Трафіковий","Основний","Маржинальний","Сезонний","Стратегічний"},0),Settings!$H$78,Settings!$H$80,Settings!$H$82,Settings!$H$84,Settings!$H$86)+(1-(CHOOSE(MATCH(IF($E157="","Основний",$E157),{"Трафіковий","Основний","Маржинальний","Сезонний","Стратегічний"},0),Settings!$H$78,Settings!$H$80,Settings!$H$82,Settings!$H$84,Settings!$H$86)))*Settings!$H$68,"")</f>
        <v/>
      </c>
      <c r="AF157" s="148">
        <f>IFERROR((AD157*(1-Settings!$H$17)-C157)/(AD157*(1-Settings!$H$17)),"")</f>
        <v/>
      </c>
      <c r="AG157" s="150">
        <f>IFERROR(IF(AD157="","",IF(AD157&gt;=C157/(1-SKU_Base!AF157)/(1-Settings!$H$17),"OK",IF(AD157&gt;=C157/(1-SKU_Base!AM157)/(1-Settings!$H$17),"WARN","STOP"))),"")</f>
        <v/>
      </c>
    </row>
    <row r="158" ht="17" customHeight="1" s="179">
      <c r="A158" s="139">
        <f>SKU_Base!B158</f>
        <v/>
      </c>
      <c r="B158" s="139">
        <f>SKU_Base!C158</f>
        <v/>
      </c>
      <c r="C158" s="140">
        <f>IFERROR(SKU_Base!I158,"")</f>
        <v/>
      </c>
      <c r="D158" s="163">
        <f>IFERROR(SKU_Base!T158,"")</f>
        <v/>
      </c>
      <c r="E158" s="141">
        <f>IFERROR(SKU_Base!$U158,"")</f>
        <v/>
      </c>
      <c r="F158" s="158">
        <f>IFERROR(ROUND(D158*(1-CHOOSE(MATCH(IF($E158="","Основний",$E158),{"Трафіковий","Основний","Маржинальний","Сезонний","Стратегічний"},0),Settings!$B$78,Settings!$B$80,Settings!$B$82,Settings!$B$84,Settings!$B$86))/6,2)*6,"")</f>
        <v/>
      </c>
      <c r="G158" s="142">
        <f>IFERROR(CHOOSE(MATCH(IF($E158="","Основний",$E158),{"Трафіковий","Основний","Маржинальний","Сезонний","Стратегічний"},0),Settings!$B$78,Settings!$B$80,Settings!$B$82,Settings!$B$84,Settings!$B$86),"")</f>
        <v/>
      </c>
      <c r="H158" s="143">
        <f>IFERROR((F158*(1-Settings!$B$17)-C158)/(F158*(1-Settings!$B$17)),"")</f>
        <v/>
      </c>
      <c r="I158" s="149">
        <f>IFERROR(IF(F158="","",IF(F158&gt;=C158/(1-SKU_Base!Z158)/(1-Settings!$B$17),"OK",IF(F158&gt;=C158/(1-SKU_Base!AG158)/(1-Settings!$B$17),"WARN","STOP"))),"")</f>
        <v/>
      </c>
      <c r="J158" s="158">
        <f>IFERROR(ROUND(D158*(1-CHOOSE(MATCH(IF($E158="","Основний",$E158),{"Трафіковий","Основний","Маржинальний","Сезонний","Стратегічний"},0),Settings!$C$78,Settings!$C$80,Settings!$C$82,Settings!$C$84,Settings!$C$86))/6,2)*6,"")</f>
        <v/>
      </c>
      <c r="K158" s="142">
        <f>IFERROR(CHOOSE(MATCH(IF($E158="","Основний",$E158),{"Трафіковий","Основний","Маржинальний","Сезонний","Стратегічний"},0),Settings!$C$78,Settings!$C$80,Settings!$C$82,Settings!$C$84,Settings!$C$86),"")</f>
        <v/>
      </c>
      <c r="L158" s="143">
        <f>IFERROR((J158*(1-Settings!$C$17)-C158)/(J158*(1-Settings!$C$17)),"")</f>
        <v/>
      </c>
      <c r="M158" s="149">
        <f>IFERROR(IF(J158="","",IF(J158&gt;=C158/(1-SKU_Base!AA158)/(1-Settings!$C$17),"OK",IF(J158&gt;=C158/(1-SKU_Base!AH158)/(1-Settings!$C$17),"WARN","STOP"))),"")</f>
        <v/>
      </c>
      <c r="N158" s="159">
        <f>IFERROR(ROUND(D158*(1-CHOOSE(MATCH(IF($E158="","Основний",$E158),{"Трафіковий","Основний","Маржинальний","Сезонний","Стратегічний"},0),Settings!$D$78,Settings!$D$80,Settings!$D$82,Settings!$D$84,Settings!$D$86))/6,2)*6,"")</f>
        <v/>
      </c>
      <c r="O158" s="142">
        <f>IFERROR(CHOOSE(MATCH(IF($E158="","Основний",$E158),{"Трафіковий","Основний","Маржинальний","Сезонний","Стратегічний"},0),Settings!$D$78,Settings!$D$80,Settings!$D$82,Settings!$D$84,Settings!$D$86),"")</f>
        <v/>
      </c>
      <c r="P158" s="143">
        <f>IFERROR((N158*(1-Settings!$D$17)-C158)/(N158*(1-Settings!$D$17)),"")</f>
        <v/>
      </c>
      <c r="Q158" s="149">
        <f>IFERROR(IF(N158="","",IF(N158&gt;=C158/(1-SKU_Base!AB158)/(1-Settings!$D$17),"OK",IF(N158&gt;=C158/(1-SKU_Base!AI158)/(1-Settings!$D$17),"WARN","STOP"))),"")</f>
        <v/>
      </c>
      <c r="R158" s="159">
        <f>IFERROR(ROUND(D158*(1-CHOOSE(MATCH(IF($E158="","Основний",$E158),{"Трафіковий","Основний","Маржинальний","Сезонний","Стратегічний"},0),Settings!$E$78,Settings!$E$80,Settings!$E$82,Settings!$E$84,Settings!$E$86))/6,2)*6,"")</f>
        <v/>
      </c>
      <c r="S158" s="142">
        <f>IFERROR(CHOOSE(MATCH(IF($E158="","Основний",$E158),{"Трафіковий","Основний","Маржинальний","Сезонний","Стратегічний"},0),Settings!$E$78,Settings!$E$80,Settings!$E$82,Settings!$E$84,Settings!$E$86),"")</f>
        <v/>
      </c>
      <c r="T158" s="143">
        <f>IFERROR((R158*(1-Settings!$E$17)-C158)/(R158*(1-Settings!$E$17)),"")</f>
        <v/>
      </c>
      <c r="U158" s="149">
        <f>IFERROR(IF(R158="","",IF(R158&gt;=C158/(1-SKU_Base!AC158)/(1-Settings!$E$17),"OK",IF(R158&gt;=C158/(1-SKU_Base!AJ158)/(1-Settings!$E$17),"WARN","STOP"))),"")</f>
        <v/>
      </c>
      <c r="V158" s="159">
        <f>IFERROR(ROUND(D158*(1-CHOOSE(MATCH(IF($E158="","Основний",$E158),{"Трафіковий","Основний","Маржинальний","Сезонний","Стратегічний"},0),Settings!$F$78,Settings!$F$80,Settings!$F$82,Settings!$F$84,Settings!$F$86))/6,2)*6,"")</f>
        <v/>
      </c>
      <c r="W158" s="142">
        <f>IFERROR(CHOOSE(MATCH(IF($E158="","Основний",$E158),{"Трафіковий","Основний","Маржинальний","Сезонний","Стратегічний"},0),Settings!$F$78,Settings!$F$80,Settings!$F$82,Settings!$F$84,Settings!$F$86),"")</f>
        <v/>
      </c>
      <c r="X158" s="143">
        <f>IFERROR((V158*(1-Settings!$F$17)-C158)/(V158*(1-Settings!$F$17)),"")</f>
        <v/>
      </c>
      <c r="Y158" s="149">
        <f>IFERROR(IF(V158="","",IF(V158&gt;=C158/(1-SKU_Base!AD158)/(1-Settings!$F$17),"OK",IF(V158&gt;=C158/(1-SKU_Base!AK158)/(1-Settings!$F$17),"WARN","STOP"))),"")</f>
        <v/>
      </c>
      <c r="Z158" s="159">
        <f>IFERROR(ROUND(D158*(1-CHOOSE(MATCH(IF($E158="","Основний",$E158),{"Трафіковий","Основний","Маржинальний","Сезонний","Стратегічний"},0),Settings!$G$78,Settings!$G$80,Settings!$G$82,Settings!$G$84,Settings!$G$86))/6,2)*6,"")</f>
        <v/>
      </c>
      <c r="AA158" s="142">
        <f>IFERROR(CHOOSE(MATCH(IF($E158="","Основний",$E158),{"Трафіковий","Основний","Маржинальний","Сезонний","Стратегічний"},0),Settings!$G$78,Settings!$G$80,Settings!$G$82,Settings!$G$84,Settings!$G$86),"")</f>
        <v/>
      </c>
      <c r="AB158" s="143">
        <f>IFERROR((Z158*(1-Settings!$G$17)-C158)/(Z158*(1-Settings!$G$17)),"")</f>
        <v/>
      </c>
      <c r="AC158" s="149">
        <f>IFERROR(IF(Z158="","",IF(Z158&gt;=C158/(1-SKU_Base!AE158)/(1-Settings!$G$17),"OK",IF(Z158&gt;=C158/(1-SKU_Base!AL158)/(1-Settings!$G$17),"WARN","STOP"))),"")</f>
        <v/>
      </c>
      <c r="AD158" s="159">
        <f>IFERROR(ROUND(D158*(1-CHOOSE(MATCH(IF($E158="","Основний",$E158),{"Трафіковий","Основний","Маржинальний","Сезонний","Стратегічний"},0),Settings!$H$78,Settings!$H$80,Settings!$H$82,Settings!$H$84,Settings!$H$86))*(1-Settings!$H$68)/6,2)*6,"")</f>
        <v/>
      </c>
      <c r="AE158" s="142">
        <f>IFERROR(CHOOSE(MATCH(IF($E158="","Основний",$E158),{"Трафіковий","Основний","Маржинальний","Сезонний","Стратегічний"},0),Settings!$H$78,Settings!$H$80,Settings!$H$82,Settings!$H$84,Settings!$H$86)+(1-(CHOOSE(MATCH(IF($E158="","Основний",$E158),{"Трафіковий","Основний","Маржинальний","Сезонний","Стратегічний"},0),Settings!$H$78,Settings!$H$80,Settings!$H$82,Settings!$H$84,Settings!$H$86)))*Settings!$H$68,"")</f>
        <v/>
      </c>
      <c r="AF158" s="143">
        <f>IFERROR((AD158*(1-Settings!$H$17)-C158)/(AD158*(1-Settings!$H$17)),"")</f>
        <v/>
      </c>
      <c r="AG158" s="150">
        <f>IFERROR(IF(AD158="","",IF(AD158&gt;=C158/(1-SKU_Base!AF158)/(1-Settings!$H$17),"OK",IF(AD158&gt;=C158/(1-SKU_Base!AM158)/(1-Settings!$H$17),"WARN","STOP"))),"")</f>
        <v/>
      </c>
    </row>
    <row r="159" ht="17" customHeight="1" s="179">
      <c r="A159" s="146">
        <f>SKU_Base!B159</f>
        <v/>
      </c>
      <c r="B159" s="146">
        <f>SKU_Base!C159</f>
        <v/>
      </c>
      <c r="C159" s="147">
        <f>IFERROR(SKU_Base!I159,"")</f>
        <v/>
      </c>
      <c r="D159" s="164">
        <f>IFERROR(SKU_Base!T159,"")</f>
        <v/>
      </c>
      <c r="E159" s="141">
        <f>IFERROR(SKU_Base!$U159,"")</f>
        <v/>
      </c>
      <c r="F159" s="160">
        <f>IFERROR(ROUND(D159*(1-CHOOSE(MATCH(IF($E159="","Основний",$E159),{"Трафіковий","Основний","Маржинальний","Сезонний","Стратегічний"},0),Settings!$B$78,Settings!$B$80,Settings!$B$82,Settings!$B$84,Settings!$B$86))/6,2)*6,"")</f>
        <v/>
      </c>
      <c r="G159" s="142">
        <f>IFERROR(CHOOSE(MATCH(IF($E159="","Основний",$E159),{"Трафіковий","Основний","Маржинальний","Сезонний","Стратегічний"},0),Settings!$B$78,Settings!$B$80,Settings!$B$82,Settings!$B$84,Settings!$B$86),"")</f>
        <v/>
      </c>
      <c r="H159" s="148">
        <f>IFERROR((F159*(1-Settings!$B$17)-C159)/(F159*(1-Settings!$B$17)),"")</f>
        <v/>
      </c>
      <c r="I159" s="149">
        <f>IFERROR(IF(F159="","",IF(F159&gt;=C159/(1-SKU_Base!Z159)/(1-Settings!$B$17),"OK",IF(F159&gt;=C159/(1-SKU_Base!AG159)/(1-Settings!$B$17),"WARN","STOP"))),"")</f>
        <v/>
      </c>
      <c r="J159" s="160">
        <f>IFERROR(ROUND(D159*(1-CHOOSE(MATCH(IF($E159="","Основний",$E159),{"Трафіковий","Основний","Маржинальний","Сезонний","Стратегічний"},0),Settings!$C$78,Settings!$C$80,Settings!$C$82,Settings!$C$84,Settings!$C$86))/6,2)*6,"")</f>
        <v/>
      </c>
      <c r="K159" s="142">
        <f>IFERROR(CHOOSE(MATCH(IF($E159="","Основний",$E159),{"Трафіковий","Основний","Маржинальний","Сезонний","Стратегічний"},0),Settings!$C$78,Settings!$C$80,Settings!$C$82,Settings!$C$84,Settings!$C$86),"")</f>
        <v/>
      </c>
      <c r="L159" s="148">
        <f>IFERROR((J159*(1-Settings!$C$17)-C159)/(J159*(1-Settings!$C$17)),"")</f>
        <v/>
      </c>
      <c r="M159" s="149">
        <f>IFERROR(IF(J159="","",IF(J159&gt;=C159/(1-SKU_Base!AA159)/(1-Settings!$C$17),"OK",IF(J159&gt;=C159/(1-SKU_Base!AH159)/(1-Settings!$C$17),"WARN","STOP"))),"")</f>
        <v/>
      </c>
      <c r="N159" s="161">
        <f>IFERROR(ROUND(D159*(1-CHOOSE(MATCH(IF($E159="","Основний",$E159),{"Трафіковий","Основний","Маржинальний","Сезонний","Стратегічний"},0),Settings!$D$78,Settings!$D$80,Settings!$D$82,Settings!$D$84,Settings!$D$86))/6,2)*6,"")</f>
        <v/>
      </c>
      <c r="O159" s="142">
        <f>IFERROR(CHOOSE(MATCH(IF($E159="","Основний",$E159),{"Трафіковий","Основний","Маржинальний","Сезонний","Стратегічний"},0),Settings!$D$78,Settings!$D$80,Settings!$D$82,Settings!$D$84,Settings!$D$86),"")</f>
        <v/>
      </c>
      <c r="P159" s="148">
        <f>IFERROR((N159*(1-Settings!$D$17)-C159)/(N159*(1-Settings!$D$17)),"")</f>
        <v/>
      </c>
      <c r="Q159" s="149">
        <f>IFERROR(IF(N159="","",IF(N159&gt;=C159/(1-SKU_Base!AB159)/(1-Settings!$D$17),"OK",IF(N159&gt;=C159/(1-SKU_Base!AI159)/(1-Settings!$D$17),"WARN","STOP"))),"")</f>
        <v/>
      </c>
      <c r="R159" s="161">
        <f>IFERROR(ROUND(D159*(1-CHOOSE(MATCH(IF($E159="","Основний",$E159),{"Трафіковий","Основний","Маржинальний","Сезонний","Стратегічний"},0),Settings!$E$78,Settings!$E$80,Settings!$E$82,Settings!$E$84,Settings!$E$86))/6,2)*6,"")</f>
        <v/>
      </c>
      <c r="S159" s="142">
        <f>IFERROR(CHOOSE(MATCH(IF($E159="","Основний",$E159),{"Трафіковий","Основний","Маржинальний","Сезонний","Стратегічний"},0),Settings!$E$78,Settings!$E$80,Settings!$E$82,Settings!$E$84,Settings!$E$86),"")</f>
        <v/>
      </c>
      <c r="T159" s="148">
        <f>IFERROR((R159*(1-Settings!$E$17)-C159)/(R159*(1-Settings!$E$17)),"")</f>
        <v/>
      </c>
      <c r="U159" s="149">
        <f>IFERROR(IF(R159="","",IF(R159&gt;=C159/(1-SKU_Base!AC159)/(1-Settings!$E$17),"OK",IF(R159&gt;=C159/(1-SKU_Base!AJ159)/(1-Settings!$E$17),"WARN","STOP"))),"")</f>
        <v/>
      </c>
      <c r="V159" s="161">
        <f>IFERROR(ROUND(D159*(1-CHOOSE(MATCH(IF($E159="","Основний",$E159),{"Трафіковий","Основний","Маржинальний","Сезонний","Стратегічний"},0),Settings!$F$78,Settings!$F$80,Settings!$F$82,Settings!$F$84,Settings!$F$86))/6,2)*6,"")</f>
        <v/>
      </c>
      <c r="W159" s="142">
        <f>IFERROR(CHOOSE(MATCH(IF($E159="","Основний",$E159),{"Трафіковий","Основний","Маржинальний","Сезонний","Стратегічний"},0),Settings!$F$78,Settings!$F$80,Settings!$F$82,Settings!$F$84,Settings!$F$86),"")</f>
        <v/>
      </c>
      <c r="X159" s="148">
        <f>IFERROR((V159*(1-Settings!$F$17)-C159)/(V159*(1-Settings!$F$17)),"")</f>
        <v/>
      </c>
      <c r="Y159" s="149">
        <f>IFERROR(IF(V159="","",IF(V159&gt;=C159/(1-SKU_Base!AD159)/(1-Settings!$F$17),"OK",IF(V159&gt;=C159/(1-SKU_Base!AK159)/(1-Settings!$F$17),"WARN","STOP"))),"")</f>
        <v/>
      </c>
      <c r="Z159" s="161">
        <f>IFERROR(ROUND(D159*(1-CHOOSE(MATCH(IF($E159="","Основний",$E159),{"Трафіковий","Основний","Маржинальний","Сезонний","Стратегічний"},0),Settings!$G$78,Settings!$G$80,Settings!$G$82,Settings!$G$84,Settings!$G$86))/6,2)*6,"")</f>
        <v/>
      </c>
      <c r="AA159" s="142">
        <f>IFERROR(CHOOSE(MATCH(IF($E159="","Основний",$E159),{"Трафіковий","Основний","Маржинальний","Сезонний","Стратегічний"},0),Settings!$G$78,Settings!$G$80,Settings!$G$82,Settings!$G$84,Settings!$G$86),"")</f>
        <v/>
      </c>
      <c r="AB159" s="148">
        <f>IFERROR((Z159*(1-Settings!$G$17)-C159)/(Z159*(1-Settings!$G$17)),"")</f>
        <v/>
      </c>
      <c r="AC159" s="149">
        <f>IFERROR(IF(Z159="","",IF(Z159&gt;=C159/(1-SKU_Base!AE159)/(1-Settings!$G$17),"OK",IF(Z159&gt;=C159/(1-SKU_Base!AL159)/(1-Settings!$G$17),"WARN","STOP"))),"")</f>
        <v/>
      </c>
      <c r="AD159" s="161">
        <f>IFERROR(ROUND(D159*(1-CHOOSE(MATCH(IF($E159="","Основний",$E159),{"Трафіковий","Основний","Маржинальний","Сезонний","Стратегічний"},0),Settings!$H$78,Settings!$H$80,Settings!$H$82,Settings!$H$84,Settings!$H$86))*(1-Settings!$H$68)/6,2)*6,"")</f>
        <v/>
      </c>
      <c r="AE159" s="142">
        <f>IFERROR(CHOOSE(MATCH(IF($E159="","Основний",$E159),{"Трафіковий","Основний","Маржинальний","Сезонний","Стратегічний"},0),Settings!$H$78,Settings!$H$80,Settings!$H$82,Settings!$H$84,Settings!$H$86)+(1-(CHOOSE(MATCH(IF($E159="","Основний",$E159),{"Трафіковий","Основний","Маржинальний","Сезонний","Стратегічний"},0),Settings!$H$78,Settings!$H$80,Settings!$H$82,Settings!$H$84,Settings!$H$86)))*Settings!$H$68,"")</f>
        <v/>
      </c>
      <c r="AF159" s="148">
        <f>IFERROR((AD159*(1-Settings!$H$17)-C159)/(AD159*(1-Settings!$H$17)),"")</f>
        <v/>
      </c>
      <c r="AG159" s="150">
        <f>IFERROR(IF(AD159="","",IF(AD159&gt;=C159/(1-SKU_Base!AF159)/(1-Settings!$H$17),"OK",IF(AD159&gt;=C159/(1-SKU_Base!AM159)/(1-Settings!$H$17),"WARN","STOP"))),"")</f>
        <v/>
      </c>
    </row>
    <row r="160" ht="17" customHeight="1" s="179">
      <c r="A160" s="139">
        <f>SKU_Base!B160</f>
        <v/>
      </c>
      <c r="B160" s="139">
        <f>SKU_Base!C160</f>
        <v/>
      </c>
      <c r="C160" s="140">
        <f>IFERROR(SKU_Base!I160,"")</f>
        <v/>
      </c>
      <c r="D160" s="163">
        <f>IFERROR(SKU_Base!T160,"")</f>
        <v/>
      </c>
      <c r="E160" s="141">
        <f>IFERROR(SKU_Base!$U160,"")</f>
        <v/>
      </c>
      <c r="F160" s="158">
        <f>IFERROR(ROUND(D160*(1-CHOOSE(MATCH(IF($E160="","Основний",$E160),{"Трафіковий","Основний","Маржинальний","Сезонний","Стратегічний"},0),Settings!$B$78,Settings!$B$80,Settings!$B$82,Settings!$B$84,Settings!$B$86))/6,2)*6,"")</f>
        <v/>
      </c>
      <c r="G160" s="142">
        <f>IFERROR(CHOOSE(MATCH(IF($E160="","Основний",$E160),{"Трафіковий","Основний","Маржинальний","Сезонний","Стратегічний"},0),Settings!$B$78,Settings!$B$80,Settings!$B$82,Settings!$B$84,Settings!$B$86),"")</f>
        <v/>
      </c>
      <c r="H160" s="143">
        <f>IFERROR((F160*(1-Settings!$B$17)-C160)/(F160*(1-Settings!$B$17)),"")</f>
        <v/>
      </c>
      <c r="I160" s="149">
        <f>IFERROR(IF(F160="","",IF(F160&gt;=C160/(1-SKU_Base!Z160)/(1-Settings!$B$17),"OK",IF(F160&gt;=C160/(1-SKU_Base!AG160)/(1-Settings!$B$17),"WARN","STOP"))),"")</f>
        <v/>
      </c>
      <c r="J160" s="158">
        <f>IFERROR(ROUND(D160*(1-CHOOSE(MATCH(IF($E160="","Основний",$E160),{"Трафіковий","Основний","Маржинальний","Сезонний","Стратегічний"},0),Settings!$C$78,Settings!$C$80,Settings!$C$82,Settings!$C$84,Settings!$C$86))/6,2)*6,"")</f>
        <v/>
      </c>
      <c r="K160" s="142">
        <f>IFERROR(CHOOSE(MATCH(IF($E160="","Основний",$E160),{"Трафіковий","Основний","Маржинальний","Сезонний","Стратегічний"},0),Settings!$C$78,Settings!$C$80,Settings!$C$82,Settings!$C$84,Settings!$C$86),"")</f>
        <v/>
      </c>
      <c r="L160" s="143">
        <f>IFERROR((J160*(1-Settings!$C$17)-C160)/(J160*(1-Settings!$C$17)),"")</f>
        <v/>
      </c>
      <c r="M160" s="149">
        <f>IFERROR(IF(J160="","",IF(J160&gt;=C160/(1-SKU_Base!AA160)/(1-Settings!$C$17),"OK",IF(J160&gt;=C160/(1-SKU_Base!AH160)/(1-Settings!$C$17),"WARN","STOP"))),"")</f>
        <v/>
      </c>
      <c r="N160" s="159">
        <f>IFERROR(ROUND(D160*(1-CHOOSE(MATCH(IF($E160="","Основний",$E160),{"Трафіковий","Основний","Маржинальний","Сезонний","Стратегічний"},0),Settings!$D$78,Settings!$D$80,Settings!$D$82,Settings!$D$84,Settings!$D$86))/6,2)*6,"")</f>
        <v/>
      </c>
      <c r="O160" s="142">
        <f>IFERROR(CHOOSE(MATCH(IF($E160="","Основний",$E160),{"Трафіковий","Основний","Маржинальний","Сезонний","Стратегічний"},0),Settings!$D$78,Settings!$D$80,Settings!$D$82,Settings!$D$84,Settings!$D$86),"")</f>
        <v/>
      </c>
      <c r="P160" s="143">
        <f>IFERROR((N160*(1-Settings!$D$17)-C160)/(N160*(1-Settings!$D$17)),"")</f>
        <v/>
      </c>
      <c r="Q160" s="149">
        <f>IFERROR(IF(N160="","",IF(N160&gt;=C160/(1-SKU_Base!AB160)/(1-Settings!$D$17),"OK",IF(N160&gt;=C160/(1-SKU_Base!AI160)/(1-Settings!$D$17),"WARN","STOP"))),"")</f>
        <v/>
      </c>
      <c r="R160" s="159">
        <f>IFERROR(ROUND(D160*(1-CHOOSE(MATCH(IF($E160="","Основний",$E160),{"Трафіковий","Основний","Маржинальний","Сезонний","Стратегічний"},0),Settings!$E$78,Settings!$E$80,Settings!$E$82,Settings!$E$84,Settings!$E$86))/6,2)*6,"")</f>
        <v/>
      </c>
      <c r="S160" s="142">
        <f>IFERROR(CHOOSE(MATCH(IF($E160="","Основний",$E160),{"Трафіковий","Основний","Маржинальний","Сезонний","Стратегічний"},0),Settings!$E$78,Settings!$E$80,Settings!$E$82,Settings!$E$84,Settings!$E$86),"")</f>
        <v/>
      </c>
      <c r="T160" s="143">
        <f>IFERROR((R160*(1-Settings!$E$17)-C160)/(R160*(1-Settings!$E$17)),"")</f>
        <v/>
      </c>
      <c r="U160" s="149">
        <f>IFERROR(IF(R160="","",IF(R160&gt;=C160/(1-SKU_Base!AC160)/(1-Settings!$E$17),"OK",IF(R160&gt;=C160/(1-SKU_Base!AJ160)/(1-Settings!$E$17),"WARN","STOP"))),"")</f>
        <v/>
      </c>
      <c r="V160" s="159">
        <f>IFERROR(ROUND(D160*(1-CHOOSE(MATCH(IF($E160="","Основний",$E160),{"Трафіковий","Основний","Маржинальний","Сезонний","Стратегічний"},0),Settings!$F$78,Settings!$F$80,Settings!$F$82,Settings!$F$84,Settings!$F$86))/6,2)*6,"")</f>
        <v/>
      </c>
      <c r="W160" s="142">
        <f>IFERROR(CHOOSE(MATCH(IF($E160="","Основний",$E160),{"Трафіковий","Основний","Маржинальний","Сезонний","Стратегічний"},0),Settings!$F$78,Settings!$F$80,Settings!$F$82,Settings!$F$84,Settings!$F$86),"")</f>
        <v/>
      </c>
      <c r="X160" s="143">
        <f>IFERROR((V160*(1-Settings!$F$17)-C160)/(V160*(1-Settings!$F$17)),"")</f>
        <v/>
      </c>
      <c r="Y160" s="149">
        <f>IFERROR(IF(V160="","",IF(V160&gt;=C160/(1-SKU_Base!AD160)/(1-Settings!$F$17),"OK",IF(V160&gt;=C160/(1-SKU_Base!AK160)/(1-Settings!$F$17),"WARN","STOP"))),"")</f>
        <v/>
      </c>
      <c r="Z160" s="159">
        <f>IFERROR(ROUND(D160*(1-CHOOSE(MATCH(IF($E160="","Основний",$E160),{"Трафіковий","Основний","Маржинальний","Сезонний","Стратегічний"},0),Settings!$G$78,Settings!$G$80,Settings!$G$82,Settings!$G$84,Settings!$G$86))/6,2)*6,"")</f>
        <v/>
      </c>
      <c r="AA160" s="142">
        <f>IFERROR(CHOOSE(MATCH(IF($E160="","Основний",$E160),{"Трафіковий","Основний","Маржинальний","Сезонний","Стратегічний"},0),Settings!$G$78,Settings!$G$80,Settings!$G$82,Settings!$G$84,Settings!$G$86),"")</f>
        <v/>
      </c>
      <c r="AB160" s="143">
        <f>IFERROR((Z160*(1-Settings!$G$17)-C160)/(Z160*(1-Settings!$G$17)),"")</f>
        <v/>
      </c>
      <c r="AC160" s="149">
        <f>IFERROR(IF(Z160="","",IF(Z160&gt;=C160/(1-SKU_Base!AE160)/(1-Settings!$G$17),"OK",IF(Z160&gt;=C160/(1-SKU_Base!AL160)/(1-Settings!$G$17),"WARN","STOP"))),"")</f>
        <v/>
      </c>
      <c r="AD160" s="159">
        <f>IFERROR(ROUND(D160*(1-CHOOSE(MATCH(IF($E160="","Основний",$E160),{"Трафіковий","Основний","Маржинальний","Сезонний","Стратегічний"},0),Settings!$H$78,Settings!$H$80,Settings!$H$82,Settings!$H$84,Settings!$H$86))*(1-Settings!$H$68)/6,2)*6,"")</f>
        <v/>
      </c>
      <c r="AE160" s="142">
        <f>IFERROR(CHOOSE(MATCH(IF($E160="","Основний",$E160),{"Трафіковий","Основний","Маржинальний","Сезонний","Стратегічний"},0),Settings!$H$78,Settings!$H$80,Settings!$H$82,Settings!$H$84,Settings!$H$86)+(1-(CHOOSE(MATCH(IF($E160="","Основний",$E160),{"Трафіковий","Основний","Маржинальний","Сезонний","Стратегічний"},0),Settings!$H$78,Settings!$H$80,Settings!$H$82,Settings!$H$84,Settings!$H$86)))*Settings!$H$68,"")</f>
        <v/>
      </c>
      <c r="AF160" s="143">
        <f>IFERROR((AD160*(1-Settings!$H$17)-C160)/(AD160*(1-Settings!$H$17)),"")</f>
        <v/>
      </c>
      <c r="AG160" s="150">
        <f>IFERROR(IF(AD160="","",IF(AD160&gt;=C160/(1-SKU_Base!AF160)/(1-Settings!$H$17),"OK",IF(AD160&gt;=C160/(1-SKU_Base!AM160)/(1-Settings!$H$17),"WARN","STOP"))),"")</f>
        <v/>
      </c>
    </row>
    <row r="161" ht="17" customHeight="1" s="179">
      <c r="A161" s="146">
        <f>SKU_Base!B161</f>
        <v/>
      </c>
      <c r="B161" s="146">
        <f>SKU_Base!C161</f>
        <v/>
      </c>
      <c r="C161" s="147">
        <f>IFERROR(SKU_Base!I161,"")</f>
        <v/>
      </c>
      <c r="D161" s="164">
        <f>IFERROR(SKU_Base!T161,"")</f>
        <v/>
      </c>
      <c r="E161" s="141">
        <f>IFERROR(SKU_Base!$U161,"")</f>
        <v/>
      </c>
      <c r="F161" s="160">
        <f>IFERROR(ROUND(D161*(1-CHOOSE(MATCH(IF($E161="","Основний",$E161),{"Трафіковий","Основний","Маржинальний","Сезонний","Стратегічний"},0),Settings!$B$78,Settings!$B$80,Settings!$B$82,Settings!$B$84,Settings!$B$86))/6,2)*6,"")</f>
        <v/>
      </c>
      <c r="G161" s="142">
        <f>IFERROR(CHOOSE(MATCH(IF($E161="","Основний",$E161),{"Трафіковий","Основний","Маржинальний","Сезонний","Стратегічний"},0),Settings!$B$78,Settings!$B$80,Settings!$B$82,Settings!$B$84,Settings!$B$86),"")</f>
        <v/>
      </c>
      <c r="H161" s="148">
        <f>IFERROR((F161*(1-Settings!$B$17)-C161)/(F161*(1-Settings!$B$17)),"")</f>
        <v/>
      </c>
      <c r="I161" s="149">
        <f>IFERROR(IF(F161="","",IF(F161&gt;=C161/(1-SKU_Base!Z161)/(1-Settings!$B$17),"OK",IF(F161&gt;=C161/(1-SKU_Base!AG161)/(1-Settings!$B$17),"WARN","STOP"))),"")</f>
        <v/>
      </c>
      <c r="J161" s="160">
        <f>IFERROR(ROUND(D161*(1-CHOOSE(MATCH(IF($E161="","Основний",$E161),{"Трафіковий","Основний","Маржинальний","Сезонний","Стратегічний"},0),Settings!$C$78,Settings!$C$80,Settings!$C$82,Settings!$C$84,Settings!$C$86))/6,2)*6,"")</f>
        <v/>
      </c>
      <c r="K161" s="142">
        <f>IFERROR(CHOOSE(MATCH(IF($E161="","Основний",$E161),{"Трафіковий","Основний","Маржинальний","Сезонний","Стратегічний"},0),Settings!$C$78,Settings!$C$80,Settings!$C$82,Settings!$C$84,Settings!$C$86),"")</f>
        <v/>
      </c>
      <c r="L161" s="148">
        <f>IFERROR((J161*(1-Settings!$C$17)-C161)/(J161*(1-Settings!$C$17)),"")</f>
        <v/>
      </c>
      <c r="M161" s="149">
        <f>IFERROR(IF(J161="","",IF(J161&gt;=C161/(1-SKU_Base!AA161)/(1-Settings!$C$17),"OK",IF(J161&gt;=C161/(1-SKU_Base!AH161)/(1-Settings!$C$17),"WARN","STOP"))),"")</f>
        <v/>
      </c>
      <c r="N161" s="161">
        <f>IFERROR(ROUND(D161*(1-CHOOSE(MATCH(IF($E161="","Основний",$E161),{"Трафіковий","Основний","Маржинальний","Сезонний","Стратегічний"},0),Settings!$D$78,Settings!$D$80,Settings!$D$82,Settings!$D$84,Settings!$D$86))/6,2)*6,"")</f>
        <v/>
      </c>
      <c r="O161" s="142">
        <f>IFERROR(CHOOSE(MATCH(IF($E161="","Основний",$E161),{"Трафіковий","Основний","Маржинальний","Сезонний","Стратегічний"},0),Settings!$D$78,Settings!$D$80,Settings!$D$82,Settings!$D$84,Settings!$D$86),"")</f>
        <v/>
      </c>
      <c r="P161" s="148">
        <f>IFERROR((N161*(1-Settings!$D$17)-C161)/(N161*(1-Settings!$D$17)),"")</f>
        <v/>
      </c>
      <c r="Q161" s="149">
        <f>IFERROR(IF(N161="","",IF(N161&gt;=C161/(1-SKU_Base!AB161)/(1-Settings!$D$17),"OK",IF(N161&gt;=C161/(1-SKU_Base!AI161)/(1-Settings!$D$17),"WARN","STOP"))),"")</f>
        <v/>
      </c>
      <c r="R161" s="161">
        <f>IFERROR(ROUND(D161*(1-CHOOSE(MATCH(IF($E161="","Основний",$E161),{"Трафіковий","Основний","Маржинальний","Сезонний","Стратегічний"},0),Settings!$E$78,Settings!$E$80,Settings!$E$82,Settings!$E$84,Settings!$E$86))/6,2)*6,"")</f>
        <v/>
      </c>
      <c r="S161" s="142">
        <f>IFERROR(CHOOSE(MATCH(IF($E161="","Основний",$E161),{"Трафіковий","Основний","Маржинальний","Сезонний","Стратегічний"},0),Settings!$E$78,Settings!$E$80,Settings!$E$82,Settings!$E$84,Settings!$E$86),"")</f>
        <v/>
      </c>
      <c r="T161" s="148">
        <f>IFERROR((R161*(1-Settings!$E$17)-C161)/(R161*(1-Settings!$E$17)),"")</f>
        <v/>
      </c>
      <c r="U161" s="149">
        <f>IFERROR(IF(R161="","",IF(R161&gt;=C161/(1-SKU_Base!AC161)/(1-Settings!$E$17),"OK",IF(R161&gt;=C161/(1-SKU_Base!AJ161)/(1-Settings!$E$17),"WARN","STOP"))),"")</f>
        <v/>
      </c>
      <c r="V161" s="161">
        <f>IFERROR(ROUND(D161*(1-CHOOSE(MATCH(IF($E161="","Основний",$E161),{"Трафіковий","Основний","Маржинальний","Сезонний","Стратегічний"},0),Settings!$F$78,Settings!$F$80,Settings!$F$82,Settings!$F$84,Settings!$F$86))/6,2)*6,"")</f>
        <v/>
      </c>
      <c r="W161" s="142">
        <f>IFERROR(CHOOSE(MATCH(IF($E161="","Основний",$E161),{"Трафіковий","Основний","Маржинальний","Сезонний","Стратегічний"},0),Settings!$F$78,Settings!$F$80,Settings!$F$82,Settings!$F$84,Settings!$F$86),"")</f>
        <v/>
      </c>
      <c r="X161" s="148">
        <f>IFERROR((V161*(1-Settings!$F$17)-C161)/(V161*(1-Settings!$F$17)),"")</f>
        <v/>
      </c>
      <c r="Y161" s="149">
        <f>IFERROR(IF(V161="","",IF(V161&gt;=C161/(1-SKU_Base!AD161)/(1-Settings!$F$17),"OK",IF(V161&gt;=C161/(1-SKU_Base!AK161)/(1-Settings!$F$17),"WARN","STOP"))),"")</f>
        <v/>
      </c>
      <c r="Z161" s="161">
        <f>IFERROR(ROUND(D161*(1-CHOOSE(MATCH(IF($E161="","Основний",$E161),{"Трафіковий","Основний","Маржинальний","Сезонний","Стратегічний"},0),Settings!$G$78,Settings!$G$80,Settings!$G$82,Settings!$G$84,Settings!$G$86))/6,2)*6,"")</f>
        <v/>
      </c>
      <c r="AA161" s="142">
        <f>IFERROR(CHOOSE(MATCH(IF($E161="","Основний",$E161),{"Трафіковий","Основний","Маржинальний","Сезонний","Стратегічний"},0),Settings!$G$78,Settings!$G$80,Settings!$G$82,Settings!$G$84,Settings!$G$86),"")</f>
        <v/>
      </c>
      <c r="AB161" s="148">
        <f>IFERROR((Z161*(1-Settings!$G$17)-C161)/(Z161*(1-Settings!$G$17)),"")</f>
        <v/>
      </c>
      <c r="AC161" s="149">
        <f>IFERROR(IF(Z161="","",IF(Z161&gt;=C161/(1-SKU_Base!AE161)/(1-Settings!$G$17),"OK",IF(Z161&gt;=C161/(1-SKU_Base!AL161)/(1-Settings!$G$17),"WARN","STOP"))),"")</f>
        <v/>
      </c>
      <c r="AD161" s="161">
        <f>IFERROR(ROUND(D161*(1-CHOOSE(MATCH(IF($E161="","Основний",$E161),{"Трафіковий","Основний","Маржинальний","Сезонний","Стратегічний"},0),Settings!$H$78,Settings!$H$80,Settings!$H$82,Settings!$H$84,Settings!$H$86))*(1-Settings!$H$68)/6,2)*6,"")</f>
        <v/>
      </c>
      <c r="AE161" s="142">
        <f>IFERROR(CHOOSE(MATCH(IF($E161="","Основний",$E161),{"Трафіковий","Основний","Маржинальний","Сезонний","Стратегічний"},0),Settings!$H$78,Settings!$H$80,Settings!$H$82,Settings!$H$84,Settings!$H$86)+(1-(CHOOSE(MATCH(IF($E161="","Основний",$E161),{"Трафіковий","Основний","Маржинальний","Сезонний","Стратегічний"},0),Settings!$H$78,Settings!$H$80,Settings!$H$82,Settings!$H$84,Settings!$H$86)))*Settings!$H$68,"")</f>
        <v/>
      </c>
      <c r="AF161" s="148">
        <f>IFERROR((AD161*(1-Settings!$H$17)-C161)/(AD161*(1-Settings!$H$17)),"")</f>
        <v/>
      </c>
      <c r="AG161" s="150">
        <f>IFERROR(IF(AD161="","",IF(AD161&gt;=C161/(1-SKU_Base!AF161)/(1-Settings!$H$17),"OK",IF(AD161&gt;=C161/(1-SKU_Base!AM161)/(1-Settings!$H$17),"WARN","STOP"))),"")</f>
        <v/>
      </c>
    </row>
    <row r="162" ht="17" customHeight="1" s="179">
      <c r="A162" s="139">
        <f>SKU_Base!B162</f>
        <v/>
      </c>
      <c r="B162" s="139">
        <f>SKU_Base!C162</f>
        <v/>
      </c>
      <c r="C162" s="140">
        <f>IFERROR(SKU_Base!I162,"")</f>
        <v/>
      </c>
      <c r="D162" s="163">
        <f>IFERROR(SKU_Base!T162,"")</f>
        <v/>
      </c>
      <c r="E162" s="141">
        <f>IFERROR(SKU_Base!$U162,"")</f>
        <v/>
      </c>
      <c r="F162" s="158">
        <f>IFERROR(ROUND(D162*(1-CHOOSE(MATCH(IF($E162="","Основний",$E162),{"Трафіковий","Основний","Маржинальний","Сезонний","Стратегічний"},0),Settings!$B$78,Settings!$B$80,Settings!$B$82,Settings!$B$84,Settings!$B$86))/6,2)*6,"")</f>
        <v/>
      </c>
      <c r="G162" s="142">
        <f>IFERROR(CHOOSE(MATCH(IF($E162="","Основний",$E162),{"Трафіковий","Основний","Маржинальний","Сезонний","Стратегічний"},0),Settings!$B$78,Settings!$B$80,Settings!$B$82,Settings!$B$84,Settings!$B$86),"")</f>
        <v/>
      </c>
      <c r="H162" s="143">
        <f>IFERROR((F162*(1-Settings!$B$17)-C162)/(F162*(1-Settings!$B$17)),"")</f>
        <v/>
      </c>
      <c r="I162" s="149">
        <f>IFERROR(IF(F162="","",IF(F162&gt;=C162/(1-SKU_Base!Z162)/(1-Settings!$B$17),"OK",IF(F162&gt;=C162/(1-SKU_Base!AG162)/(1-Settings!$B$17),"WARN","STOP"))),"")</f>
        <v/>
      </c>
      <c r="J162" s="158">
        <f>IFERROR(ROUND(D162*(1-CHOOSE(MATCH(IF($E162="","Основний",$E162),{"Трафіковий","Основний","Маржинальний","Сезонний","Стратегічний"},0),Settings!$C$78,Settings!$C$80,Settings!$C$82,Settings!$C$84,Settings!$C$86))/6,2)*6,"")</f>
        <v/>
      </c>
      <c r="K162" s="142">
        <f>IFERROR(CHOOSE(MATCH(IF($E162="","Основний",$E162),{"Трафіковий","Основний","Маржинальний","Сезонний","Стратегічний"},0),Settings!$C$78,Settings!$C$80,Settings!$C$82,Settings!$C$84,Settings!$C$86),"")</f>
        <v/>
      </c>
      <c r="L162" s="143">
        <f>IFERROR((J162*(1-Settings!$C$17)-C162)/(J162*(1-Settings!$C$17)),"")</f>
        <v/>
      </c>
      <c r="M162" s="149">
        <f>IFERROR(IF(J162="","",IF(J162&gt;=C162/(1-SKU_Base!AA162)/(1-Settings!$C$17),"OK",IF(J162&gt;=C162/(1-SKU_Base!AH162)/(1-Settings!$C$17),"WARN","STOP"))),"")</f>
        <v/>
      </c>
      <c r="N162" s="159">
        <f>IFERROR(ROUND(D162*(1-CHOOSE(MATCH(IF($E162="","Основний",$E162),{"Трафіковий","Основний","Маржинальний","Сезонний","Стратегічний"},0),Settings!$D$78,Settings!$D$80,Settings!$D$82,Settings!$D$84,Settings!$D$86))/6,2)*6,"")</f>
        <v/>
      </c>
      <c r="O162" s="142">
        <f>IFERROR(CHOOSE(MATCH(IF($E162="","Основний",$E162),{"Трафіковий","Основний","Маржинальний","Сезонний","Стратегічний"},0),Settings!$D$78,Settings!$D$80,Settings!$D$82,Settings!$D$84,Settings!$D$86),"")</f>
        <v/>
      </c>
      <c r="P162" s="143">
        <f>IFERROR((N162*(1-Settings!$D$17)-C162)/(N162*(1-Settings!$D$17)),"")</f>
        <v/>
      </c>
      <c r="Q162" s="149">
        <f>IFERROR(IF(N162="","",IF(N162&gt;=C162/(1-SKU_Base!AB162)/(1-Settings!$D$17),"OK",IF(N162&gt;=C162/(1-SKU_Base!AI162)/(1-Settings!$D$17),"WARN","STOP"))),"")</f>
        <v/>
      </c>
      <c r="R162" s="159">
        <f>IFERROR(ROUND(D162*(1-CHOOSE(MATCH(IF($E162="","Основний",$E162),{"Трафіковий","Основний","Маржинальний","Сезонний","Стратегічний"},0),Settings!$E$78,Settings!$E$80,Settings!$E$82,Settings!$E$84,Settings!$E$86))/6,2)*6,"")</f>
        <v/>
      </c>
      <c r="S162" s="142">
        <f>IFERROR(CHOOSE(MATCH(IF($E162="","Основний",$E162),{"Трафіковий","Основний","Маржинальний","Сезонний","Стратегічний"},0),Settings!$E$78,Settings!$E$80,Settings!$E$82,Settings!$E$84,Settings!$E$86),"")</f>
        <v/>
      </c>
      <c r="T162" s="143">
        <f>IFERROR((R162*(1-Settings!$E$17)-C162)/(R162*(1-Settings!$E$17)),"")</f>
        <v/>
      </c>
      <c r="U162" s="149">
        <f>IFERROR(IF(R162="","",IF(R162&gt;=C162/(1-SKU_Base!AC162)/(1-Settings!$E$17),"OK",IF(R162&gt;=C162/(1-SKU_Base!AJ162)/(1-Settings!$E$17),"WARN","STOP"))),"")</f>
        <v/>
      </c>
      <c r="V162" s="159">
        <f>IFERROR(ROUND(D162*(1-CHOOSE(MATCH(IF($E162="","Основний",$E162),{"Трафіковий","Основний","Маржинальний","Сезонний","Стратегічний"},0),Settings!$F$78,Settings!$F$80,Settings!$F$82,Settings!$F$84,Settings!$F$86))/6,2)*6,"")</f>
        <v/>
      </c>
      <c r="W162" s="142">
        <f>IFERROR(CHOOSE(MATCH(IF($E162="","Основний",$E162),{"Трафіковий","Основний","Маржинальний","Сезонний","Стратегічний"},0),Settings!$F$78,Settings!$F$80,Settings!$F$82,Settings!$F$84,Settings!$F$86),"")</f>
        <v/>
      </c>
      <c r="X162" s="143">
        <f>IFERROR((V162*(1-Settings!$F$17)-C162)/(V162*(1-Settings!$F$17)),"")</f>
        <v/>
      </c>
      <c r="Y162" s="149">
        <f>IFERROR(IF(V162="","",IF(V162&gt;=C162/(1-SKU_Base!AD162)/(1-Settings!$F$17),"OK",IF(V162&gt;=C162/(1-SKU_Base!AK162)/(1-Settings!$F$17),"WARN","STOP"))),"")</f>
        <v/>
      </c>
      <c r="Z162" s="159">
        <f>IFERROR(ROUND(D162*(1-CHOOSE(MATCH(IF($E162="","Основний",$E162),{"Трафіковий","Основний","Маржинальний","Сезонний","Стратегічний"},0),Settings!$G$78,Settings!$G$80,Settings!$G$82,Settings!$G$84,Settings!$G$86))/6,2)*6,"")</f>
        <v/>
      </c>
      <c r="AA162" s="142">
        <f>IFERROR(CHOOSE(MATCH(IF($E162="","Основний",$E162),{"Трафіковий","Основний","Маржинальний","Сезонний","Стратегічний"},0),Settings!$G$78,Settings!$G$80,Settings!$G$82,Settings!$G$84,Settings!$G$86),"")</f>
        <v/>
      </c>
      <c r="AB162" s="143">
        <f>IFERROR((Z162*(1-Settings!$G$17)-C162)/(Z162*(1-Settings!$G$17)),"")</f>
        <v/>
      </c>
      <c r="AC162" s="149">
        <f>IFERROR(IF(Z162="","",IF(Z162&gt;=C162/(1-SKU_Base!AE162)/(1-Settings!$G$17),"OK",IF(Z162&gt;=C162/(1-SKU_Base!AL162)/(1-Settings!$G$17),"WARN","STOP"))),"")</f>
        <v/>
      </c>
      <c r="AD162" s="159">
        <f>IFERROR(ROUND(D162*(1-CHOOSE(MATCH(IF($E162="","Основний",$E162),{"Трафіковий","Основний","Маржинальний","Сезонний","Стратегічний"},0),Settings!$H$78,Settings!$H$80,Settings!$H$82,Settings!$H$84,Settings!$H$86))*(1-Settings!$H$68)/6,2)*6,"")</f>
        <v/>
      </c>
      <c r="AE162" s="142">
        <f>IFERROR(CHOOSE(MATCH(IF($E162="","Основний",$E162),{"Трафіковий","Основний","Маржинальний","Сезонний","Стратегічний"},0),Settings!$H$78,Settings!$H$80,Settings!$H$82,Settings!$H$84,Settings!$H$86)+(1-(CHOOSE(MATCH(IF($E162="","Основний",$E162),{"Трафіковий","Основний","Маржинальний","Сезонний","Стратегічний"},0),Settings!$H$78,Settings!$H$80,Settings!$H$82,Settings!$H$84,Settings!$H$86)))*Settings!$H$68,"")</f>
        <v/>
      </c>
      <c r="AF162" s="143">
        <f>IFERROR((AD162*(1-Settings!$H$17)-C162)/(AD162*(1-Settings!$H$17)),"")</f>
        <v/>
      </c>
      <c r="AG162" s="150">
        <f>IFERROR(IF(AD162="","",IF(AD162&gt;=C162/(1-SKU_Base!AF162)/(1-Settings!$H$17),"OK",IF(AD162&gt;=C162/(1-SKU_Base!AM162)/(1-Settings!$H$17),"WARN","STOP"))),"")</f>
        <v/>
      </c>
    </row>
    <row r="163" ht="17" customHeight="1" s="179">
      <c r="A163" s="146">
        <f>SKU_Base!B163</f>
        <v/>
      </c>
      <c r="B163" s="146">
        <f>SKU_Base!C163</f>
        <v/>
      </c>
      <c r="C163" s="147">
        <f>IFERROR(SKU_Base!I163,"")</f>
        <v/>
      </c>
      <c r="D163" s="164">
        <f>IFERROR(SKU_Base!T163,"")</f>
        <v/>
      </c>
      <c r="E163" s="141">
        <f>IFERROR(SKU_Base!$U163,"")</f>
        <v/>
      </c>
      <c r="F163" s="160">
        <f>IFERROR(ROUND(D163*(1-CHOOSE(MATCH(IF($E163="","Основний",$E163),{"Трафіковий","Основний","Маржинальний","Сезонний","Стратегічний"},0),Settings!$B$78,Settings!$B$80,Settings!$B$82,Settings!$B$84,Settings!$B$86))/6,2)*6,"")</f>
        <v/>
      </c>
      <c r="G163" s="142">
        <f>IFERROR(CHOOSE(MATCH(IF($E163="","Основний",$E163),{"Трафіковий","Основний","Маржинальний","Сезонний","Стратегічний"},0),Settings!$B$78,Settings!$B$80,Settings!$B$82,Settings!$B$84,Settings!$B$86),"")</f>
        <v/>
      </c>
      <c r="H163" s="148">
        <f>IFERROR((F163*(1-Settings!$B$17)-C163)/(F163*(1-Settings!$B$17)),"")</f>
        <v/>
      </c>
      <c r="I163" s="149">
        <f>IFERROR(IF(F163="","",IF(F163&gt;=C163/(1-SKU_Base!Z163)/(1-Settings!$B$17),"OK",IF(F163&gt;=C163/(1-SKU_Base!AG163)/(1-Settings!$B$17),"WARN","STOP"))),"")</f>
        <v/>
      </c>
      <c r="J163" s="160">
        <f>IFERROR(ROUND(D163*(1-CHOOSE(MATCH(IF($E163="","Основний",$E163),{"Трафіковий","Основний","Маржинальний","Сезонний","Стратегічний"},0),Settings!$C$78,Settings!$C$80,Settings!$C$82,Settings!$C$84,Settings!$C$86))/6,2)*6,"")</f>
        <v/>
      </c>
      <c r="K163" s="142">
        <f>IFERROR(CHOOSE(MATCH(IF($E163="","Основний",$E163),{"Трафіковий","Основний","Маржинальний","Сезонний","Стратегічний"},0),Settings!$C$78,Settings!$C$80,Settings!$C$82,Settings!$C$84,Settings!$C$86),"")</f>
        <v/>
      </c>
      <c r="L163" s="148">
        <f>IFERROR((J163*(1-Settings!$C$17)-C163)/(J163*(1-Settings!$C$17)),"")</f>
        <v/>
      </c>
      <c r="M163" s="149">
        <f>IFERROR(IF(J163="","",IF(J163&gt;=C163/(1-SKU_Base!AA163)/(1-Settings!$C$17),"OK",IF(J163&gt;=C163/(1-SKU_Base!AH163)/(1-Settings!$C$17),"WARN","STOP"))),"")</f>
        <v/>
      </c>
      <c r="N163" s="161">
        <f>IFERROR(ROUND(D163*(1-CHOOSE(MATCH(IF($E163="","Основний",$E163),{"Трафіковий","Основний","Маржинальний","Сезонний","Стратегічний"},0),Settings!$D$78,Settings!$D$80,Settings!$D$82,Settings!$D$84,Settings!$D$86))/6,2)*6,"")</f>
        <v/>
      </c>
      <c r="O163" s="142">
        <f>IFERROR(CHOOSE(MATCH(IF($E163="","Основний",$E163),{"Трафіковий","Основний","Маржинальний","Сезонний","Стратегічний"},0),Settings!$D$78,Settings!$D$80,Settings!$D$82,Settings!$D$84,Settings!$D$86),"")</f>
        <v/>
      </c>
      <c r="P163" s="148">
        <f>IFERROR((N163*(1-Settings!$D$17)-C163)/(N163*(1-Settings!$D$17)),"")</f>
        <v/>
      </c>
      <c r="Q163" s="149">
        <f>IFERROR(IF(N163="","",IF(N163&gt;=C163/(1-SKU_Base!AB163)/(1-Settings!$D$17),"OK",IF(N163&gt;=C163/(1-SKU_Base!AI163)/(1-Settings!$D$17),"WARN","STOP"))),"")</f>
        <v/>
      </c>
      <c r="R163" s="161">
        <f>IFERROR(ROUND(D163*(1-CHOOSE(MATCH(IF($E163="","Основний",$E163),{"Трафіковий","Основний","Маржинальний","Сезонний","Стратегічний"},0),Settings!$E$78,Settings!$E$80,Settings!$E$82,Settings!$E$84,Settings!$E$86))/6,2)*6,"")</f>
        <v/>
      </c>
      <c r="S163" s="142">
        <f>IFERROR(CHOOSE(MATCH(IF($E163="","Основний",$E163),{"Трафіковий","Основний","Маржинальний","Сезонний","Стратегічний"},0),Settings!$E$78,Settings!$E$80,Settings!$E$82,Settings!$E$84,Settings!$E$86),"")</f>
        <v/>
      </c>
      <c r="T163" s="148">
        <f>IFERROR((R163*(1-Settings!$E$17)-C163)/(R163*(1-Settings!$E$17)),"")</f>
        <v/>
      </c>
      <c r="U163" s="149">
        <f>IFERROR(IF(R163="","",IF(R163&gt;=C163/(1-SKU_Base!AC163)/(1-Settings!$E$17),"OK",IF(R163&gt;=C163/(1-SKU_Base!AJ163)/(1-Settings!$E$17),"WARN","STOP"))),"")</f>
        <v/>
      </c>
      <c r="V163" s="161">
        <f>IFERROR(ROUND(D163*(1-CHOOSE(MATCH(IF($E163="","Основний",$E163),{"Трафіковий","Основний","Маржинальний","Сезонний","Стратегічний"},0),Settings!$F$78,Settings!$F$80,Settings!$F$82,Settings!$F$84,Settings!$F$86))/6,2)*6,"")</f>
        <v/>
      </c>
      <c r="W163" s="142">
        <f>IFERROR(CHOOSE(MATCH(IF($E163="","Основний",$E163),{"Трафіковий","Основний","Маржинальний","Сезонний","Стратегічний"},0),Settings!$F$78,Settings!$F$80,Settings!$F$82,Settings!$F$84,Settings!$F$86),"")</f>
        <v/>
      </c>
      <c r="X163" s="148">
        <f>IFERROR((V163*(1-Settings!$F$17)-C163)/(V163*(1-Settings!$F$17)),"")</f>
        <v/>
      </c>
      <c r="Y163" s="149">
        <f>IFERROR(IF(V163="","",IF(V163&gt;=C163/(1-SKU_Base!AD163)/(1-Settings!$F$17),"OK",IF(V163&gt;=C163/(1-SKU_Base!AK163)/(1-Settings!$F$17),"WARN","STOP"))),"")</f>
        <v/>
      </c>
      <c r="Z163" s="161">
        <f>IFERROR(ROUND(D163*(1-CHOOSE(MATCH(IF($E163="","Основний",$E163),{"Трафіковий","Основний","Маржинальний","Сезонний","Стратегічний"},0),Settings!$G$78,Settings!$G$80,Settings!$G$82,Settings!$G$84,Settings!$G$86))/6,2)*6,"")</f>
        <v/>
      </c>
      <c r="AA163" s="142">
        <f>IFERROR(CHOOSE(MATCH(IF($E163="","Основний",$E163),{"Трафіковий","Основний","Маржинальний","Сезонний","Стратегічний"},0),Settings!$G$78,Settings!$G$80,Settings!$G$82,Settings!$G$84,Settings!$G$86),"")</f>
        <v/>
      </c>
      <c r="AB163" s="148">
        <f>IFERROR((Z163*(1-Settings!$G$17)-C163)/(Z163*(1-Settings!$G$17)),"")</f>
        <v/>
      </c>
      <c r="AC163" s="149">
        <f>IFERROR(IF(Z163="","",IF(Z163&gt;=C163/(1-SKU_Base!AE163)/(1-Settings!$G$17),"OK",IF(Z163&gt;=C163/(1-SKU_Base!AL163)/(1-Settings!$G$17),"WARN","STOP"))),"")</f>
        <v/>
      </c>
      <c r="AD163" s="161">
        <f>IFERROR(ROUND(D163*(1-CHOOSE(MATCH(IF($E163="","Основний",$E163),{"Трафіковий","Основний","Маржинальний","Сезонний","Стратегічний"},0),Settings!$H$78,Settings!$H$80,Settings!$H$82,Settings!$H$84,Settings!$H$86))*(1-Settings!$H$68)/6,2)*6,"")</f>
        <v/>
      </c>
      <c r="AE163" s="142">
        <f>IFERROR(CHOOSE(MATCH(IF($E163="","Основний",$E163),{"Трафіковий","Основний","Маржинальний","Сезонний","Стратегічний"},0),Settings!$H$78,Settings!$H$80,Settings!$H$82,Settings!$H$84,Settings!$H$86)+(1-(CHOOSE(MATCH(IF($E163="","Основний",$E163),{"Трафіковий","Основний","Маржинальний","Сезонний","Стратегічний"},0),Settings!$H$78,Settings!$H$80,Settings!$H$82,Settings!$H$84,Settings!$H$86)))*Settings!$H$68,"")</f>
        <v/>
      </c>
      <c r="AF163" s="148">
        <f>IFERROR((AD163*(1-Settings!$H$17)-C163)/(AD163*(1-Settings!$H$17)),"")</f>
        <v/>
      </c>
      <c r="AG163" s="149">
        <f>IFERROR(IF(AD163="","",IF(AD163&gt;=C163/(1-SKU_Base!AF163)/(1-Settings!$H$17),"OK",IF(AD163&gt;=C163/(1-SKU_Base!AM163)/(1-Settings!$H$17),"WARN","STOP"))),"")</f>
        <v/>
      </c>
    </row>
    <row r="164" ht="17" customHeight="1" s="179">
      <c r="A164" s="139">
        <f>SKU_Base!B164</f>
        <v/>
      </c>
      <c r="B164" s="139">
        <f>SKU_Base!C164</f>
        <v/>
      </c>
      <c r="C164" s="140">
        <f>IFERROR(SKU_Base!I164,"")</f>
        <v/>
      </c>
      <c r="D164" s="163">
        <f>IFERROR(SKU_Base!T164,"")</f>
        <v/>
      </c>
      <c r="E164" s="141">
        <f>IFERROR(SKU_Base!$U164,"")</f>
        <v/>
      </c>
      <c r="F164" s="158">
        <f>IFERROR(ROUND(D164*(1-CHOOSE(MATCH(IF($E164="","Основний",$E164),{"Трафіковий","Основний","Маржинальний","Сезонний","Стратегічний"},0),Settings!$B$78,Settings!$B$80,Settings!$B$82,Settings!$B$84,Settings!$B$86))/6,2)*6,"")</f>
        <v/>
      </c>
      <c r="G164" s="142">
        <f>IFERROR(CHOOSE(MATCH(IF($E164="","Основний",$E164),{"Трафіковий","Основний","Маржинальний","Сезонний","Стратегічний"},0),Settings!$B$78,Settings!$B$80,Settings!$B$82,Settings!$B$84,Settings!$B$86),"")</f>
        <v/>
      </c>
      <c r="H164" s="143">
        <f>IFERROR((F164*(1-Settings!$B$17)-C164)/(F164*(1-Settings!$B$17)),"")</f>
        <v/>
      </c>
      <c r="I164" s="149">
        <f>IFERROR(IF(F164="","",IF(F164&gt;=C164/(1-SKU_Base!Z164)/(1-Settings!$B$17),"OK",IF(F164&gt;=C164/(1-SKU_Base!AG164)/(1-Settings!$B$17),"WARN","STOP"))),"")</f>
        <v/>
      </c>
      <c r="J164" s="158">
        <f>IFERROR(ROUND(D164*(1-CHOOSE(MATCH(IF($E164="","Основний",$E164),{"Трафіковий","Основний","Маржинальний","Сезонний","Стратегічний"},0),Settings!$C$78,Settings!$C$80,Settings!$C$82,Settings!$C$84,Settings!$C$86))/6,2)*6,"")</f>
        <v/>
      </c>
      <c r="K164" s="142">
        <f>IFERROR(CHOOSE(MATCH(IF($E164="","Основний",$E164),{"Трафіковий","Основний","Маржинальний","Сезонний","Стратегічний"},0),Settings!$C$78,Settings!$C$80,Settings!$C$82,Settings!$C$84,Settings!$C$86),"")</f>
        <v/>
      </c>
      <c r="L164" s="143">
        <f>IFERROR((J164*(1-Settings!$C$17)-C164)/(J164*(1-Settings!$C$17)),"")</f>
        <v/>
      </c>
      <c r="M164" s="149">
        <f>IFERROR(IF(J164="","",IF(J164&gt;=C164/(1-SKU_Base!AA164)/(1-Settings!$C$17),"OK",IF(J164&gt;=C164/(1-SKU_Base!AH164)/(1-Settings!$C$17),"WARN","STOP"))),"")</f>
        <v/>
      </c>
      <c r="N164" s="159">
        <f>IFERROR(ROUND(D164*(1-CHOOSE(MATCH(IF($E164="","Основний",$E164),{"Трафіковий","Основний","Маржинальний","Сезонний","Стратегічний"},0),Settings!$D$78,Settings!$D$80,Settings!$D$82,Settings!$D$84,Settings!$D$86))/6,2)*6,"")</f>
        <v/>
      </c>
      <c r="O164" s="142">
        <f>IFERROR(CHOOSE(MATCH(IF($E164="","Основний",$E164),{"Трафіковий","Основний","Маржинальний","Сезонний","Стратегічний"},0),Settings!$D$78,Settings!$D$80,Settings!$D$82,Settings!$D$84,Settings!$D$86),"")</f>
        <v/>
      </c>
      <c r="P164" s="143">
        <f>IFERROR((N164*(1-Settings!$D$17)-C164)/(N164*(1-Settings!$D$17)),"")</f>
        <v/>
      </c>
      <c r="Q164" s="149">
        <f>IFERROR(IF(N164="","",IF(N164&gt;=C164/(1-SKU_Base!AB164)/(1-Settings!$D$17),"OK",IF(N164&gt;=C164/(1-SKU_Base!AI164)/(1-Settings!$D$17),"WARN","STOP"))),"")</f>
        <v/>
      </c>
      <c r="R164" s="159">
        <f>IFERROR(ROUND(D164*(1-CHOOSE(MATCH(IF($E164="","Основний",$E164),{"Трафіковий","Основний","Маржинальний","Сезонний","Стратегічний"},0),Settings!$E$78,Settings!$E$80,Settings!$E$82,Settings!$E$84,Settings!$E$86))/6,2)*6,"")</f>
        <v/>
      </c>
      <c r="S164" s="142">
        <f>IFERROR(CHOOSE(MATCH(IF($E164="","Основний",$E164),{"Трафіковий","Основний","Маржинальний","Сезонний","Стратегічний"},0),Settings!$E$78,Settings!$E$80,Settings!$E$82,Settings!$E$84,Settings!$E$86),"")</f>
        <v/>
      </c>
      <c r="T164" s="143">
        <f>IFERROR((R164*(1-Settings!$E$17)-C164)/(R164*(1-Settings!$E$17)),"")</f>
        <v/>
      </c>
      <c r="U164" s="149">
        <f>IFERROR(IF(R164="","",IF(R164&gt;=C164/(1-SKU_Base!AC164)/(1-Settings!$E$17),"OK",IF(R164&gt;=C164/(1-SKU_Base!AJ164)/(1-Settings!$E$17),"WARN","STOP"))),"")</f>
        <v/>
      </c>
      <c r="V164" s="159">
        <f>IFERROR(ROUND(D164*(1-CHOOSE(MATCH(IF($E164="","Основний",$E164),{"Трафіковий","Основний","Маржинальний","Сезонний","Стратегічний"},0),Settings!$F$78,Settings!$F$80,Settings!$F$82,Settings!$F$84,Settings!$F$86))/6,2)*6,"")</f>
        <v/>
      </c>
      <c r="W164" s="142">
        <f>IFERROR(CHOOSE(MATCH(IF($E164="","Основний",$E164),{"Трафіковий","Основний","Маржинальний","Сезонний","Стратегічний"},0),Settings!$F$78,Settings!$F$80,Settings!$F$82,Settings!$F$84,Settings!$F$86),"")</f>
        <v/>
      </c>
      <c r="X164" s="143">
        <f>IFERROR((V164*(1-Settings!$F$17)-C164)/(V164*(1-Settings!$F$17)),"")</f>
        <v/>
      </c>
      <c r="Y164" s="149">
        <f>IFERROR(IF(V164="","",IF(V164&gt;=C164/(1-SKU_Base!AD164)/(1-Settings!$F$17),"OK",IF(V164&gt;=C164/(1-SKU_Base!AK164)/(1-Settings!$F$17),"WARN","STOP"))),"")</f>
        <v/>
      </c>
      <c r="Z164" s="159">
        <f>IFERROR(ROUND(D164*(1-CHOOSE(MATCH(IF($E164="","Основний",$E164),{"Трафіковий","Основний","Маржинальний","Сезонний","Стратегічний"},0),Settings!$G$78,Settings!$G$80,Settings!$G$82,Settings!$G$84,Settings!$G$86))/6,2)*6,"")</f>
        <v/>
      </c>
      <c r="AA164" s="142">
        <f>IFERROR(CHOOSE(MATCH(IF($E164="","Основний",$E164),{"Трафіковий","Основний","Маржинальний","Сезонний","Стратегічний"},0),Settings!$G$78,Settings!$G$80,Settings!$G$82,Settings!$G$84,Settings!$G$86),"")</f>
        <v/>
      </c>
      <c r="AB164" s="143">
        <f>IFERROR((Z164*(1-Settings!$G$17)-C164)/(Z164*(1-Settings!$G$17)),"")</f>
        <v/>
      </c>
      <c r="AC164" s="149">
        <f>IFERROR(IF(Z164="","",IF(Z164&gt;=C164/(1-SKU_Base!AE164)/(1-Settings!$G$17),"OK",IF(Z164&gt;=C164/(1-SKU_Base!AL164)/(1-Settings!$G$17),"WARN","STOP"))),"")</f>
        <v/>
      </c>
      <c r="AD164" s="159">
        <f>IFERROR(ROUND(D164*(1-CHOOSE(MATCH(IF($E164="","Основний",$E164),{"Трафіковий","Основний","Маржинальний","Сезонний","Стратегічний"},0),Settings!$H$78,Settings!$H$80,Settings!$H$82,Settings!$H$84,Settings!$H$86))*(1-Settings!$H$68)/6,2)*6,"")</f>
        <v/>
      </c>
      <c r="AE164" s="142">
        <f>IFERROR(CHOOSE(MATCH(IF($E164="","Основний",$E164),{"Трафіковий","Основний","Маржинальний","Сезонний","Стратегічний"},0),Settings!$H$78,Settings!$H$80,Settings!$H$82,Settings!$H$84,Settings!$H$86)+(1-(CHOOSE(MATCH(IF($E164="","Основний",$E164),{"Трафіковий","Основний","Маржинальний","Сезонний","Стратегічний"},0),Settings!$H$78,Settings!$H$80,Settings!$H$82,Settings!$H$84,Settings!$H$86)))*Settings!$H$68,"")</f>
        <v/>
      </c>
      <c r="AF164" s="143">
        <f>IFERROR((AD164*(1-Settings!$H$17)-C164)/(AD164*(1-Settings!$H$17)),"")</f>
        <v/>
      </c>
      <c r="AG164" s="149">
        <f>IFERROR(IF(AD164="","",IF(AD164&gt;=C164/(1-SKU_Base!AF164)/(1-Settings!$H$17),"OK",IF(AD164&gt;=C164/(1-SKU_Base!AM164)/(1-Settings!$H$17),"WARN","STOP"))),"")</f>
        <v/>
      </c>
    </row>
    <row r="165" ht="17" customHeight="1" s="179">
      <c r="A165" s="146">
        <f>SKU_Base!B165</f>
        <v/>
      </c>
      <c r="B165" s="146">
        <f>SKU_Base!C165</f>
        <v/>
      </c>
      <c r="C165" s="147">
        <f>IFERROR(SKU_Base!I165,"")</f>
        <v/>
      </c>
      <c r="D165" s="164">
        <f>IFERROR(SKU_Base!T165,"")</f>
        <v/>
      </c>
      <c r="E165" s="141">
        <f>IFERROR(SKU_Base!$U165,"")</f>
        <v/>
      </c>
      <c r="F165" s="160">
        <f>IFERROR(ROUND(D165*(1-CHOOSE(MATCH(IF($E165="","Основний",$E165),{"Трафіковий","Основний","Маржинальний","Сезонний","Стратегічний"},0),Settings!$B$78,Settings!$B$80,Settings!$B$82,Settings!$B$84,Settings!$B$86))/6,2)*6,"")</f>
        <v/>
      </c>
      <c r="G165" s="142">
        <f>IFERROR(CHOOSE(MATCH(IF($E165="","Основний",$E165),{"Трафіковий","Основний","Маржинальний","Сезонний","Стратегічний"},0),Settings!$B$78,Settings!$B$80,Settings!$B$82,Settings!$B$84,Settings!$B$86),"")</f>
        <v/>
      </c>
      <c r="H165" s="148">
        <f>IFERROR((F165*(1-Settings!$B$17)-C165)/(F165*(1-Settings!$B$17)),"")</f>
        <v/>
      </c>
      <c r="I165" s="149">
        <f>IFERROR(IF(F165="","",IF(F165&gt;=C165/(1-SKU_Base!Z165)/(1-Settings!$B$17),"OK",IF(F165&gt;=C165/(1-SKU_Base!AG165)/(1-Settings!$B$17),"WARN","STOP"))),"")</f>
        <v/>
      </c>
      <c r="J165" s="160">
        <f>IFERROR(ROUND(D165*(1-CHOOSE(MATCH(IF($E165="","Основний",$E165),{"Трафіковий","Основний","Маржинальний","Сезонний","Стратегічний"},0),Settings!$C$78,Settings!$C$80,Settings!$C$82,Settings!$C$84,Settings!$C$86))/6,2)*6,"")</f>
        <v/>
      </c>
      <c r="K165" s="142">
        <f>IFERROR(CHOOSE(MATCH(IF($E165="","Основний",$E165),{"Трафіковий","Основний","Маржинальний","Сезонний","Стратегічний"},0),Settings!$C$78,Settings!$C$80,Settings!$C$82,Settings!$C$84,Settings!$C$86),"")</f>
        <v/>
      </c>
      <c r="L165" s="148">
        <f>IFERROR((J165*(1-Settings!$C$17)-C165)/(J165*(1-Settings!$C$17)),"")</f>
        <v/>
      </c>
      <c r="M165" s="149">
        <f>IFERROR(IF(J165="","",IF(J165&gt;=C165/(1-SKU_Base!AA165)/(1-Settings!$C$17),"OK",IF(J165&gt;=C165/(1-SKU_Base!AH165)/(1-Settings!$C$17),"WARN","STOP"))),"")</f>
        <v/>
      </c>
      <c r="N165" s="161">
        <f>IFERROR(ROUND(D165*(1-CHOOSE(MATCH(IF($E165="","Основний",$E165),{"Трафіковий","Основний","Маржинальний","Сезонний","Стратегічний"},0),Settings!$D$78,Settings!$D$80,Settings!$D$82,Settings!$D$84,Settings!$D$86))/6,2)*6,"")</f>
        <v/>
      </c>
      <c r="O165" s="142">
        <f>IFERROR(CHOOSE(MATCH(IF($E165="","Основний",$E165),{"Трафіковий","Основний","Маржинальний","Сезонний","Стратегічний"},0),Settings!$D$78,Settings!$D$80,Settings!$D$82,Settings!$D$84,Settings!$D$86),"")</f>
        <v/>
      </c>
      <c r="P165" s="148">
        <f>IFERROR((N165*(1-Settings!$D$17)-C165)/(N165*(1-Settings!$D$17)),"")</f>
        <v/>
      </c>
      <c r="Q165" s="149">
        <f>IFERROR(IF(N165="","",IF(N165&gt;=C165/(1-SKU_Base!AB165)/(1-Settings!$D$17),"OK",IF(N165&gt;=C165/(1-SKU_Base!AI165)/(1-Settings!$D$17),"WARN","STOP"))),"")</f>
        <v/>
      </c>
      <c r="R165" s="161">
        <f>IFERROR(ROUND(D165*(1-CHOOSE(MATCH(IF($E165="","Основний",$E165),{"Трафіковий","Основний","Маржинальний","Сезонний","Стратегічний"},0),Settings!$E$78,Settings!$E$80,Settings!$E$82,Settings!$E$84,Settings!$E$86))/6,2)*6,"")</f>
        <v/>
      </c>
      <c r="S165" s="142">
        <f>IFERROR(CHOOSE(MATCH(IF($E165="","Основний",$E165),{"Трафіковий","Основний","Маржинальний","Сезонний","Стратегічний"},0),Settings!$E$78,Settings!$E$80,Settings!$E$82,Settings!$E$84,Settings!$E$86),"")</f>
        <v/>
      </c>
      <c r="T165" s="148">
        <f>IFERROR((R165*(1-Settings!$E$17)-C165)/(R165*(1-Settings!$E$17)),"")</f>
        <v/>
      </c>
      <c r="U165" s="149">
        <f>IFERROR(IF(R165="","",IF(R165&gt;=C165/(1-SKU_Base!AC165)/(1-Settings!$E$17),"OK",IF(R165&gt;=C165/(1-SKU_Base!AJ165)/(1-Settings!$E$17),"WARN","STOP"))),"")</f>
        <v/>
      </c>
      <c r="V165" s="161">
        <f>IFERROR(ROUND(D165*(1-CHOOSE(MATCH(IF($E165="","Основний",$E165),{"Трафіковий","Основний","Маржинальний","Сезонний","Стратегічний"},0),Settings!$F$78,Settings!$F$80,Settings!$F$82,Settings!$F$84,Settings!$F$86))/6,2)*6,"")</f>
        <v/>
      </c>
      <c r="W165" s="142">
        <f>IFERROR(CHOOSE(MATCH(IF($E165="","Основний",$E165),{"Трафіковий","Основний","Маржинальний","Сезонний","Стратегічний"},0),Settings!$F$78,Settings!$F$80,Settings!$F$82,Settings!$F$84,Settings!$F$86),"")</f>
        <v/>
      </c>
      <c r="X165" s="148">
        <f>IFERROR((V165*(1-Settings!$F$17)-C165)/(V165*(1-Settings!$F$17)),"")</f>
        <v/>
      </c>
      <c r="Y165" s="149">
        <f>IFERROR(IF(V165="","",IF(V165&gt;=C165/(1-SKU_Base!AD165)/(1-Settings!$F$17),"OK",IF(V165&gt;=C165/(1-SKU_Base!AK165)/(1-Settings!$F$17),"WARN","STOP"))),"")</f>
        <v/>
      </c>
      <c r="Z165" s="161">
        <f>IFERROR(ROUND(D165*(1-CHOOSE(MATCH(IF($E165="","Основний",$E165),{"Трафіковий","Основний","Маржинальний","Сезонний","Стратегічний"},0),Settings!$G$78,Settings!$G$80,Settings!$G$82,Settings!$G$84,Settings!$G$86))/6,2)*6,"")</f>
        <v/>
      </c>
      <c r="AA165" s="142">
        <f>IFERROR(CHOOSE(MATCH(IF($E165="","Основний",$E165),{"Трафіковий","Основний","Маржинальний","Сезонний","Стратегічний"},0),Settings!$G$78,Settings!$G$80,Settings!$G$82,Settings!$G$84,Settings!$G$86),"")</f>
        <v/>
      </c>
      <c r="AB165" s="148">
        <f>IFERROR((Z165*(1-Settings!$G$17)-C165)/(Z165*(1-Settings!$G$17)),"")</f>
        <v/>
      </c>
      <c r="AC165" s="149">
        <f>IFERROR(IF(Z165="","",IF(Z165&gt;=C165/(1-SKU_Base!AE165)/(1-Settings!$G$17),"OK",IF(Z165&gt;=C165/(1-SKU_Base!AL165)/(1-Settings!$G$17),"WARN","STOP"))),"")</f>
        <v/>
      </c>
      <c r="AD165" s="161">
        <f>IFERROR(ROUND(D165*(1-CHOOSE(MATCH(IF($E165="","Основний",$E165),{"Трафіковий","Основний","Маржинальний","Сезонний","Стратегічний"},0),Settings!$H$78,Settings!$H$80,Settings!$H$82,Settings!$H$84,Settings!$H$86))*(1-Settings!$H$68)/6,2)*6,"")</f>
        <v/>
      </c>
      <c r="AE165" s="142">
        <f>IFERROR(CHOOSE(MATCH(IF($E165="","Основний",$E165),{"Трафіковий","Основний","Маржинальний","Сезонний","Стратегічний"},0),Settings!$H$78,Settings!$H$80,Settings!$H$82,Settings!$H$84,Settings!$H$86)+(1-(CHOOSE(MATCH(IF($E165="","Основний",$E165),{"Трафіковий","Основний","Маржинальний","Сезонний","Стратегічний"},0),Settings!$H$78,Settings!$H$80,Settings!$H$82,Settings!$H$84,Settings!$H$86)))*Settings!$H$68,"")</f>
        <v/>
      </c>
      <c r="AF165" s="148">
        <f>IFERROR((AD165*(1-Settings!$H$17)-C165)/(AD165*(1-Settings!$H$17)),"")</f>
        <v/>
      </c>
      <c r="AG165" s="150">
        <f>IFERROR(IF(AD165="","",IF(AD165&gt;=C165/(1-SKU_Base!AF165)/(1-Settings!$H$17),"OK",IF(AD165&gt;=C165/(1-SKU_Base!AM165)/(1-Settings!$H$17),"WARN","STOP"))),"")</f>
        <v/>
      </c>
    </row>
    <row r="166" ht="17" customHeight="1" s="179">
      <c r="A166" s="139">
        <f>SKU_Base!B166</f>
        <v/>
      </c>
      <c r="B166" s="139">
        <f>SKU_Base!C166</f>
        <v/>
      </c>
      <c r="C166" s="140">
        <f>IFERROR(SKU_Base!I166,"")</f>
        <v/>
      </c>
      <c r="D166" s="163">
        <f>IFERROR(SKU_Base!T166,"")</f>
        <v/>
      </c>
      <c r="E166" s="141">
        <f>IFERROR(SKU_Base!$U166,"")</f>
        <v/>
      </c>
      <c r="F166" s="158">
        <f>IFERROR(ROUND(D166*(1-CHOOSE(MATCH(IF($E166="","Основний",$E166),{"Трафіковий","Основний","Маржинальний","Сезонний","Стратегічний"},0),Settings!$B$78,Settings!$B$80,Settings!$B$82,Settings!$B$84,Settings!$B$86))/6,2)*6,"")</f>
        <v/>
      </c>
      <c r="G166" s="142">
        <f>IFERROR(CHOOSE(MATCH(IF($E166="","Основний",$E166),{"Трафіковий","Основний","Маржинальний","Сезонний","Стратегічний"},0),Settings!$B$78,Settings!$B$80,Settings!$B$82,Settings!$B$84,Settings!$B$86),"")</f>
        <v/>
      </c>
      <c r="H166" s="143">
        <f>IFERROR((F166*(1-Settings!$B$17)-C166)/(F166*(1-Settings!$B$17)),"")</f>
        <v/>
      </c>
      <c r="I166" s="149">
        <f>IFERROR(IF(F166="","",IF(F166&gt;=C166/(1-SKU_Base!Z166)/(1-Settings!$B$17),"OK",IF(F166&gt;=C166/(1-SKU_Base!AG166)/(1-Settings!$B$17),"WARN","STOP"))),"")</f>
        <v/>
      </c>
      <c r="J166" s="158">
        <f>IFERROR(ROUND(D166*(1-CHOOSE(MATCH(IF($E166="","Основний",$E166),{"Трафіковий","Основний","Маржинальний","Сезонний","Стратегічний"},0),Settings!$C$78,Settings!$C$80,Settings!$C$82,Settings!$C$84,Settings!$C$86))/6,2)*6,"")</f>
        <v/>
      </c>
      <c r="K166" s="142">
        <f>IFERROR(CHOOSE(MATCH(IF($E166="","Основний",$E166),{"Трафіковий","Основний","Маржинальний","Сезонний","Стратегічний"},0),Settings!$C$78,Settings!$C$80,Settings!$C$82,Settings!$C$84,Settings!$C$86),"")</f>
        <v/>
      </c>
      <c r="L166" s="143">
        <f>IFERROR((J166*(1-Settings!$C$17)-C166)/(J166*(1-Settings!$C$17)),"")</f>
        <v/>
      </c>
      <c r="M166" s="149">
        <f>IFERROR(IF(J166="","",IF(J166&gt;=C166/(1-SKU_Base!AA166)/(1-Settings!$C$17),"OK",IF(J166&gt;=C166/(1-SKU_Base!AH166)/(1-Settings!$C$17),"WARN","STOP"))),"")</f>
        <v/>
      </c>
      <c r="N166" s="159">
        <f>IFERROR(ROUND(D166*(1-CHOOSE(MATCH(IF($E166="","Основний",$E166),{"Трафіковий","Основний","Маржинальний","Сезонний","Стратегічний"},0),Settings!$D$78,Settings!$D$80,Settings!$D$82,Settings!$D$84,Settings!$D$86))/6,2)*6,"")</f>
        <v/>
      </c>
      <c r="O166" s="142">
        <f>IFERROR(CHOOSE(MATCH(IF($E166="","Основний",$E166),{"Трафіковий","Основний","Маржинальний","Сезонний","Стратегічний"},0),Settings!$D$78,Settings!$D$80,Settings!$D$82,Settings!$D$84,Settings!$D$86),"")</f>
        <v/>
      </c>
      <c r="P166" s="143">
        <f>IFERROR((N166*(1-Settings!$D$17)-C166)/(N166*(1-Settings!$D$17)),"")</f>
        <v/>
      </c>
      <c r="Q166" s="149">
        <f>IFERROR(IF(N166="","",IF(N166&gt;=C166/(1-SKU_Base!AB166)/(1-Settings!$D$17),"OK",IF(N166&gt;=C166/(1-SKU_Base!AI166)/(1-Settings!$D$17),"WARN","STOP"))),"")</f>
        <v/>
      </c>
      <c r="R166" s="159">
        <f>IFERROR(ROUND(D166*(1-CHOOSE(MATCH(IF($E166="","Основний",$E166),{"Трафіковий","Основний","Маржинальний","Сезонний","Стратегічний"},0),Settings!$E$78,Settings!$E$80,Settings!$E$82,Settings!$E$84,Settings!$E$86))/6,2)*6,"")</f>
        <v/>
      </c>
      <c r="S166" s="142">
        <f>IFERROR(CHOOSE(MATCH(IF($E166="","Основний",$E166),{"Трафіковий","Основний","Маржинальний","Сезонний","Стратегічний"},0),Settings!$E$78,Settings!$E$80,Settings!$E$82,Settings!$E$84,Settings!$E$86),"")</f>
        <v/>
      </c>
      <c r="T166" s="143">
        <f>IFERROR((R166*(1-Settings!$E$17)-C166)/(R166*(1-Settings!$E$17)),"")</f>
        <v/>
      </c>
      <c r="U166" s="149">
        <f>IFERROR(IF(R166="","",IF(R166&gt;=C166/(1-SKU_Base!AC166)/(1-Settings!$E$17),"OK",IF(R166&gt;=C166/(1-SKU_Base!AJ166)/(1-Settings!$E$17),"WARN","STOP"))),"")</f>
        <v/>
      </c>
      <c r="V166" s="159">
        <f>IFERROR(ROUND(D166*(1-CHOOSE(MATCH(IF($E166="","Основний",$E166),{"Трафіковий","Основний","Маржинальний","Сезонний","Стратегічний"},0),Settings!$F$78,Settings!$F$80,Settings!$F$82,Settings!$F$84,Settings!$F$86))/6,2)*6,"")</f>
        <v/>
      </c>
      <c r="W166" s="142">
        <f>IFERROR(CHOOSE(MATCH(IF($E166="","Основний",$E166),{"Трафіковий","Основний","Маржинальний","Сезонний","Стратегічний"},0),Settings!$F$78,Settings!$F$80,Settings!$F$82,Settings!$F$84,Settings!$F$86),"")</f>
        <v/>
      </c>
      <c r="X166" s="143">
        <f>IFERROR((V166*(1-Settings!$F$17)-C166)/(V166*(1-Settings!$F$17)),"")</f>
        <v/>
      </c>
      <c r="Y166" s="149">
        <f>IFERROR(IF(V166="","",IF(V166&gt;=C166/(1-SKU_Base!AD166)/(1-Settings!$F$17),"OK",IF(V166&gt;=C166/(1-SKU_Base!AK166)/(1-Settings!$F$17),"WARN","STOP"))),"")</f>
        <v/>
      </c>
      <c r="Z166" s="159">
        <f>IFERROR(ROUND(D166*(1-CHOOSE(MATCH(IF($E166="","Основний",$E166),{"Трафіковий","Основний","Маржинальний","Сезонний","Стратегічний"},0),Settings!$G$78,Settings!$G$80,Settings!$G$82,Settings!$G$84,Settings!$G$86))/6,2)*6,"")</f>
        <v/>
      </c>
      <c r="AA166" s="142">
        <f>IFERROR(CHOOSE(MATCH(IF($E166="","Основний",$E166),{"Трафіковий","Основний","Маржинальний","Сезонний","Стратегічний"},0),Settings!$G$78,Settings!$G$80,Settings!$G$82,Settings!$G$84,Settings!$G$86),"")</f>
        <v/>
      </c>
      <c r="AB166" s="143">
        <f>IFERROR((Z166*(1-Settings!$G$17)-C166)/(Z166*(1-Settings!$G$17)),"")</f>
        <v/>
      </c>
      <c r="AC166" s="149">
        <f>IFERROR(IF(Z166="","",IF(Z166&gt;=C166/(1-SKU_Base!AE166)/(1-Settings!$G$17),"OK",IF(Z166&gt;=C166/(1-SKU_Base!AL166)/(1-Settings!$G$17),"WARN","STOP"))),"")</f>
        <v/>
      </c>
      <c r="AD166" s="159">
        <f>IFERROR(ROUND(D166*(1-CHOOSE(MATCH(IF($E166="","Основний",$E166),{"Трафіковий","Основний","Маржинальний","Сезонний","Стратегічний"},0),Settings!$H$78,Settings!$H$80,Settings!$H$82,Settings!$H$84,Settings!$H$86))*(1-Settings!$H$68)/6,2)*6,"")</f>
        <v/>
      </c>
      <c r="AE166" s="142">
        <f>IFERROR(CHOOSE(MATCH(IF($E166="","Основний",$E166),{"Трафіковий","Основний","Маржинальний","Сезонний","Стратегічний"},0),Settings!$H$78,Settings!$H$80,Settings!$H$82,Settings!$H$84,Settings!$H$86)+(1-(CHOOSE(MATCH(IF($E166="","Основний",$E166),{"Трафіковий","Основний","Маржинальний","Сезонний","Стратегічний"},0),Settings!$H$78,Settings!$H$80,Settings!$H$82,Settings!$H$84,Settings!$H$86)))*Settings!$H$68,"")</f>
        <v/>
      </c>
      <c r="AF166" s="143">
        <f>IFERROR((AD166*(1-Settings!$H$17)-C166)/(AD166*(1-Settings!$H$17)),"")</f>
        <v/>
      </c>
      <c r="AG166" s="150">
        <f>IFERROR(IF(AD166="","",IF(AD166&gt;=C166/(1-SKU_Base!AF166)/(1-Settings!$H$17),"OK",IF(AD166&gt;=C166/(1-SKU_Base!AM166)/(1-Settings!$H$17),"WARN","STOP"))),"")</f>
        <v/>
      </c>
    </row>
    <row r="167" ht="17" customHeight="1" s="179">
      <c r="A167" s="146">
        <f>SKU_Base!B167</f>
        <v/>
      </c>
      <c r="B167" s="146">
        <f>SKU_Base!C167</f>
        <v/>
      </c>
      <c r="C167" s="147">
        <f>IFERROR(SKU_Base!I167,"")</f>
        <v/>
      </c>
      <c r="D167" s="164">
        <f>IFERROR(SKU_Base!T167,"")</f>
        <v/>
      </c>
      <c r="E167" s="141">
        <f>IFERROR(SKU_Base!$U167,"")</f>
        <v/>
      </c>
      <c r="F167" s="160">
        <f>IFERROR(ROUND(D167*(1-CHOOSE(MATCH(IF($E167="","Основний",$E167),{"Трафіковий","Основний","Маржинальний","Сезонний","Стратегічний"},0),Settings!$B$78,Settings!$B$80,Settings!$B$82,Settings!$B$84,Settings!$B$86))/6,2)*6,"")</f>
        <v/>
      </c>
      <c r="G167" s="142">
        <f>IFERROR(CHOOSE(MATCH(IF($E167="","Основний",$E167),{"Трафіковий","Основний","Маржинальний","Сезонний","Стратегічний"},0),Settings!$B$78,Settings!$B$80,Settings!$B$82,Settings!$B$84,Settings!$B$86),"")</f>
        <v/>
      </c>
      <c r="H167" s="148">
        <f>IFERROR((F167*(1-Settings!$B$17)-C167)/(F167*(1-Settings!$B$17)),"")</f>
        <v/>
      </c>
      <c r="I167" s="149">
        <f>IFERROR(IF(F167="","",IF(F167&gt;=C167/(1-SKU_Base!Z167)/(1-Settings!$B$17),"OK",IF(F167&gt;=C167/(1-SKU_Base!AG167)/(1-Settings!$B$17),"WARN","STOP"))),"")</f>
        <v/>
      </c>
      <c r="J167" s="160">
        <f>IFERROR(ROUND(D167*(1-CHOOSE(MATCH(IF($E167="","Основний",$E167),{"Трафіковий","Основний","Маржинальний","Сезонний","Стратегічний"},0),Settings!$C$78,Settings!$C$80,Settings!$C$82,Settings!$C$84,Settings!$C$86))/6,2)*6,"")</f>
        <v/>
      </c>
      <c r="K167" s="142">
        <f>IFERROR(CHOOSE(MATCH(IF($E167="","Основний",$E167),{"Трафіковий","Основний","Маржинальний","Сезонний","Стратегічний"},0),Settings!$C$78,Settings!$C$80,Settings!$C$82,Settings!$C$84,Settings!$C$86),"")</f>
        <v/>
      </c>
      <c r="L167" s="148">
        <f>IFERROR((J167*(1-Settings!$C$17)-C167)/(J167*(1-Settings!$C$17)),"")</f>
        <v/>
      </c>
      <c r="M167" s="149">
        <f>IFERROR(IF(J167="","",IF(J167&gt;=C167/(1-SKU_Base!AA167)/(1-Settings!$C$17),"OK",IF(J167&gt;=C167/(1-SKU_Base!AH167)/(1-Settings!$C$17),"WARN","STOP"))),"")</f>
        <v/>
      </c>
      <c r="N167" s="161">
        <f>IFERROR(ROUND(D167*(1-CHOOSE(MATCH(IF($E167="","Основний",$E167),{"Трафіковий","Основний","Маржинальний","Сезонний","Стратегічний"},0),Settings!$D$78,Settings!$D$80,Settings!$D$82,Settings!$D$84,Settings!$D$86))/6,2)*6,"")</f>
        <v/>
      </c>
      <c r="O167" s="142">
        <f>IFERROR(CHOOSE(MATCH(IF($E167="","Основний",$E167),{"Трафіковий","Основний","Маржинальний","Сезонний","Стратегічний"},0),Settings!$D$78,Settings!$D$80,Settings!$D$82,Settings!$D$84,Settings!$D$86),"")</f>
        <v/>
      </c>
      <c r="P167" s="148">
        <f>IFERROR((N167*(1-Settings!$D$17)-C167)/(N167*(1-Settings!$D$17)),"")</f>
        <v/>
      </c>
      <c r="Q167" s="149">
        <f>IFERROR(IF(N167="","",IF(N167&gt;=C167/(1-SKU_Base!AB167)/(1-Settings!$D$17),"OK",IF(N167&gt;=C167/(1-SKU_Base!AI167)/(1-Settings!$D$17),"WARN","STOP"))),"")</f>
        <v/>
      </c>
      <c r="R167" s="161">
        <f>IFERROR(ROUND(D167*(1-CHOOSE(MATCH(IF($E167="","Основний",$E167),{"Трафіковий","Основний","Маржинальний","Сезонний","Стратегічний"},0),Settings!$E$78,Settings!$E$80,Settings!$E$82,Settings!$E$84,Settings!$E$86))/6,2)*6,"")</f>
        <v/>
      </c>
      <c r="S167" s="142">
        <f>IFERROR(CHOOSE(MATCH(IF($E167="","Основний",$E167),{"Трафіковий","Основний","Маржинальний","Сезонний","Стратегічний"},0),Settings!$E$78,Settings!$E$80,Settings!$E$82,Settings!$E$84,Settings!$E$86),"")</f>
        <v/>
      </c>
      <c r="T167" s="148">
        <f>IFERROR((R167*(1-Settings!$E$17)-C167)/(R167*(1-Settings!$E$17)),"")</f>
        <v/>
      </c>
      <c r="U167" s="149">
        <f>IFERROR(IF(R167="","",IF(R167&gt;=C167/(1-SKU_Base!AC167)/(1-Settings!$E$17),"OK",IF(R167&gt;=C167/(1-SKU_Base!AJ167)/(1-Settings!$E$17),"WARN","STOP"))),"")</f>
        <v/>
      </c>
      <c r="V167" s="161">
        <f>IFERROR(ROUND(D167*(1-CHOOSE(MATCH(IF($E167="","Основний",$E167),{"Трафіковий","Основний","Маржинальний","Сезонний","Стратегічний"},0),Settings!$F$78,Settings!$F$80,Settings!$F$82,Settings!$F$84,Settings!$F$86))/6,2)*6,"")</f>
        <v/>
      </c>
      <c r="W167" s="142">
        <f>IFERROR(CHOOSE(MATCH(IF($E167="","Основний",$E167),{"Трафіковий","Основний","Маржинальний","Сезонний","Стратегічний"},0),Settings!$F$78,Settings!$F$80,Settings!$F$82,Settings!$F$84,Settings!$F$86),"")</f>
        <v/>
      </c>
      <c r="X167" s="148">
        <f>IFERROR((V167*(1-Settings!$F$17)-C167)/(V167*(1-Settings!$F$17)),"")</f>
        <v/>
      </c>
      <c r="Y167" s="149">
        <f>IFERROR(IF(V167="","",IF(V167&gt;=C167/(1-SKU_Base!AD167)/(1-Settings!$F$17),"OK",IF(V167&gt;=C167/(1-SKU_Base!AK167)/(1-Settings!$F$17),"WARN","STOP"))),"")</f>
        <v/>
      </c>
      <c r="Z167" s="161">
        <f>IFERROR(ROUND(D167*(1-CHOOSE(MATCH(IF($E167="","Основний",$E167),{"Трафіковий","Основний","Маржинальний","Сезонний","Стратегічний"},0),Settings!$G$78,Settings!$G$80,Settings!$G$82,Settings!$G$84,Settings!$G$86))/6,2)*6,"")</f>
        <v/>
      </c>
      <c r="AA167" s="142">
        <f>IFERROR(CHOOSE(MATCH(IF($E167="","Основний",$E167),{"Трафіковий","Основний","Маржинальний","Сезонний","Стратегічний"},0),Settings!$G$78,Settings!$G$80,Settings!$G$82,Settings!$G$84,Settings!$G$86),"")</f>
        <v/>
      </c>
      <c r="AB167" s="148">
        <f>IFERROR((Z167*(1-Settings!$G$17)-C167)/(Z167*(1-Settings!$G$17)),"")</f>
        <v/>
      </c>
      <c r="AC167" s="149">
        <f>IFERROR(IF(Z167="","",IF(Z167&gt;=C167/(1-SKU_Base!AE167)/(1-Settings!$G$17),"OK",IF(Z167&gt;=C167/(1-SKU_Base!AL167)/(1-Settings!$G$17),"WARN","STOP"))),"")</f>
        <v/>
      </c>
      <c r="AD167" s="161">
        <f>IFERROR(ROUND(D167*(1-CHOOSE(MATCH(IF($E167="","Основний",$E167),{"Трафіковий","Основний","Маржинальний","Сезонний","Стратегічний"},0),Settings!$H$78,Settings!$H$80,Settings!$H$82,Settings!$H$84,Settings!$H$86))*(1-Settings!$H$68)/6,2)*6,"")</f>
        <v/>
      </c>
      <c r="AE167" s="142">
        <f>IFERROR(CHOOSE(MATCH(IF($E167="","Основний",$E167),{"Трафіковий","Основний","Маржинальний","Сезонний","Стратегічний"},0),Settings!$H$78,Settings!$H$80,Settings!$H$82,Settings!$H$84,Settings!$H$86)+(1-(CHOOSE(MATCH(IF($E167="","Основний",$E167),{"Трафіковий","Основний","Маржинальний","Сезонний","Стратегічний"},0),Settings!$H$78,Settings!$H$80,Settings!$H$82,Settings!$H$84,Settings!$H$86)))*Settings!$H$68,"")</f>
        <v/>
      </c>
      <c r="AF167" s="148">
        <f>IFERROR((AD167*(1-Settings!$H$17)-C167)/(AD167*(1-Settings!$H$17)),"")</f>
        <v/>
      </c>
      <c r="AG167" s="150">
        <f>IFERROR(IF(AD167="","",IF(AD167&gt;=C167/(1-SKU_Base!AF167)/(1-Settings!$H$17),"OK",IF(AD167&gt;=C167/(1-SKU_Base!AM167)/(1-Settings!$H$17),"WARN","STOP"))),"")</f>
        <v/>
      </c>
    </row>
    <row r="168" ht="17" customHeight="1" s="179">
      <c r="A168" s="139">
        <f>SKU_Base!B168</f>
        <v/>
      </c>
      <c r="B168" s="139">
        <f>SKU_Base!C168</f>
        <v/>
      </c>
      <c r="C168" s="140">
        <f>IFERROR(SKU_Base!I168,"")</f>
        <v/>
      </c>
      <c r="D168" s="163">
        <f>IFERROR(SKU_Base!T168,"")</f>
        <v/>
      </c>
      <c r="E168" s="141">
        <f>IFERROR(SKU_Base!$U168,"")</f>
        <v/>
      </c>
      <c r="F168" s="158">
        <f>IFERROR(ROUND(D168*(1-CHOOSE(MATCH(IF($E168="","Основний",$E168),{"Трафіковий","Основний","Маржинальний","Сезонний","Стратегічний"},0),Settings!$B$78,Settings!$B$80,Settings!$B$82,Settings!$B$84,Settings!$B$86))/6,2)*6,"")</f>
        <v/>
      </c>
      <c r="G168" s="142">
        <f>IFERROR(CHOOSE(MATCH(IF($E168="","Основний",$E168),{"Трафіковий","Основний","Маржинальний","Сезонний","Стратегічний"},0),Settings!$B$78,Settings!$B$80,Settings!$B$82,Settings!$B$84,Settings!$B$86),"")</f>
        <v/>
      </c>
      <c r="H168" s="143">
        <f>IFERROR((F168*(1-Settings!$B$17)-C168)/(F168*(1-Settings!$B$17)),"")</f>
        <v/>
      </c>
      <c r="I168" s="149">
        <f>IFERROR(IF(F168="","",IF(F168&gt;=C168/(1-SKU_Base!Z168)/(1-Settings!$B$17),"OK",IF(F168&gt;=C168/(1-SKU_Base!AG168)/(1-Settings!$B$17),"WARN","STOP"))),"")</f>
        <v/>
      </c>
      <c r="J168" s="158">
        <f>IFERROR(ROUND(D168*(1-CHOOSE(MATCH(IF($E168="","Основний",$E168),{"Трафіковий","Основний","Маржинальний","Сезонний","Стратегічний"},0),Settings!$C$78,Settings!$C$80,Settings!$C$82,Settings!$C$84,Settings!$C$86))/6,2)*6,"")</f>
        <v/>
      </c>
      <c r="K168" s="142">
        <f>IFERROR(CHOOSE(MATCH(IF($E168="","Основний",$E168),{"Трафіковий","Основний","Маржинальний","Сезонний","Стратегічний"},0),Settings!$C$78,Settings!$C$80,Settings!$C$82,Settings!$C$84,Settings!$C$86),"")</f>
        <v/>
      </c>
      <c r="L168" s="143">
        <f>IFERROR((J168*(1-Settings!$C$17)-C168)/(J168*(1-Settings!$C$17)),"")</f>
        <v/>
      </c>
      <c r="M168" s="149">
        <f>IFERROR(IF(J168="","",IF(J168&gt;=C168/(1-SKU_Base!AA168)/(1-Settings!$C$17),"OK",IF(J168&gt;=C168/(1-SKU_Base!AH168)/(1-Settings!$C$17),"WARN","STOP"))),"")</f>
        <v/>
      </c>
      <c r="N168" s="159">
        <f>IFERROR(ROUND(D168*(1-CHOOSE(MATCH(IF($E168="","Основний",$E168),{"Трафіковий","Основний","Маржинальний","Сезонний","Стратегічний"},0),Settings!$D$78,Settings!$D$80,Settings!$D$82,Settings!$D$84,Settings!$D$86))/6,2)*6,"")</f>
        <v/>
      </c>
      <c r="O168" s="142">
        <f>IFERROR(CHOOSE(MATCH(IF($E168="","Основний",$E168),{"Трафіковий","Основний","Маржинальний","Сезонний","Стратегічний"},0),Settings!$D$78,Settings!$D$80,Settings!$D$82,Settings!$D$84,Settings!$D$86),"")</f>
        <v/>
      </c>
      <c r="P168" s="143">
        <f>IFERROR((N168*(1-Settings!$D$17)-C168)/(N168*(1-Settings!$D$17)),"")</f>
        <v/>
      </c>
      <c r="Q168" s="149">
        <f>IFERROR(IF(N168="","",IF(N168&gt;=C168/(1-SKU_Base!AB168)/(1-Settings!$D$17),"OK",IF(N168&gt;=C168/(1-SKU_Base!AI168)/(1-Settings!$D$17),"WARN","STOP"))),"")</f>
        <v/>
      </c>
      <c r="R168" s="159">
        <f>IFERROR(ROUND(D168*(1-CHOOSE(MATCH(IF($E168="","Основний",$E168),{"Трафіковий","Основний","Маржинальний","Сезонний","Стратегічний"},0),Settings!$E$78,Settings!$E$80,Settings!$E$82,Settings!$E$84,Settings!$E$86))/6,2)*6,"")</f>
        <v/>
      </c>
      <c r="S168" s="142">
        <f>IFERROR(CHOOSE(MATCH(IF($E168="","Основний",$E168),{"Трафіковий","Основний","Маржинальний","Сезонний","Стратегічний"},0),Settings!$E$78,Settings!$E$80,Settings!$E$82,Settings!$E$84,Settings!$E$86),"")</f>
        <v/>
      </c>
      <c r="T168" s="143">
        <f>IFERROR((R168*(1-Settings!$E$17)-C168)/(R168*(1-Settings!$E$17)),"")</f>
        <v/>
      </c>
      <c r="U168" s="149">
        <f>IFERROR(IF(R168="","",IF(R168&gt;=C168/(1-SKU_Base!AC168)/(1-Settings!$E$17),"OK",IF(R168&gt;=C168/(1-SKU_Base!AJ168)/(1-Settings!$E$17),"WARN","STOP"))),"")</f>
        <v/>
      </c>
      <c r="V168" s="159">
        <f>IFERROR(ROUND(D168*(1-CHOOSE(MATCH(IF($E168="","Основний",$E168),{"Трафіковий","Основний","Маржинальний","Сезонний","Стратегічний"},0),Settings!$F$78,Settings!$F$80,Settings!$F$82,Settings!$F$84,Settings!$F$86))/6,2)*6,"")</f>
        <v/>
      </c>
      <c r="W168" s="142">
        <f>IFERROR(CHOOSE(MATCH(IF($E168="","Основний",$E168),{"Трафіковий","Основний","Маржинальний","Сезонний","Стратегічний"},0),Settings!$F$78,Settings!$F$80,Settings!$F$82,Settings!$F$84,Settings!$F$86),"")</f>
        <v/>
      </c>
      <c r="X168" s="143">
        <f>IFERROR((V168*(1-Settings!$F$17)-C168)/(V168*(1-Settings!$F$17)),"")</f>
        <v/>
      </c>
      <c r="Y168" s="149">
        <f>IFERROR(IF(V168="","",IF(V168&gt;=C168/(1-SKU_Base!AD168)/(1-Settings!$F$17),"OK",IF(V168&gt;=C168/(1-SKU_Base!AK168)/(1-Settings!$F$17),"WARN","STOP"))),"")</f>
        <v/>
      </c>
      <c r="Z168" s="159">
        <f>IFERROR(ROUND(D168*(1-CHOOSE(MATCH(IF($E168="","Основний",$E168),{"Трафіковий","Основний","Маржинальний","Сезонний","Стратегічний"},0),Settings!$G$78,Settings!$G$80,Settings!$G$82,Settings!$G$84,Settings!$G$86))/6,2)*6,"")</f>
        <v/>
      </c>
      <c r="AA168" s="142">
        <f>IFERROR(CHOOSE(MATCH(IF($E168="","Основний",$E168),{"Трафіковий","Основний","Маржинальний","Сезонний","Стратегічний"},0),Settings!$G$78,Settings!$G$80,Settings!$G$82,Settings!$G$84,Settings!$G$86),"")</f>
        <v/>
      </c>
      <c r="AB168" s="143">
        <f>IFERROR((Z168*(1-Settings!$G$17)-C168)/(Z168*(1-Settings!$G$17)),"")</f>
        <v/>
      </c>
      <c r="AC168" s="149">
        <f>IFERROR(IF(Z168="","",IF(Z168&gt;=C168/(1-SKU_Base!AE168)/(1-Settings!$G$17),"OK",IF(Z168&gt;=C168/(1-SKU_Base!AL168)/(1-Settings!$G$17),"WARN","STOP"))),"")</f>
        <v/>
      </c>
      <c r="AD168" s="159">
        <f>IFERROR(ROUND(D168*(1-CHOOSE(MATCH(IF($E168="","Основний",$E168),{"Трафіковий","Основний","Маржинальний","Сезонний","Стратегічний"},0),Settings!$H$78,Settings!$H$80,Settings!$H$82,Settings!$H$84,Settings!$H$86))*(1-Settings!$H$68)/6,2)*6,"")</f>
        <v/>
      </c>
      <c r="AE168" s="142">
        <f>IFERROR(CHOOSE(MATCH(IF($E168="","Основний",$E168),{"Трафіковий","Основний","Маржинальний","Сезонний","Стратегічний"},0),Settings!$H$78,Settings!$H$80,Settings!$H$82,Settings!$H$84,Settings!$H$86)+(1-(CHOOSE(MATCH(IF($E168="","Основний",$E168),{"Трафіковий","Основний","Маржинальний","Сезонний","Стратегічний"},0),Settings!$H$78,Settings!$H$80,Settings!$H$82,Settings!$H$84,Settings!$H$86)))*Settings!$H$68,"")</f>
        <v/>
      </c>
      <c r="AF168" s="143">
        <f>IFERROR((AD168*(1-Settings!$H$17)-C168)/(AD168*(1-Settings!$H$17)),"")</f>
        <v/>
      </c>
      <c r="AG168" s="150">
        <f>IFERROR(IF(AD168="","",IF(AD168&gt;=C168/(1-SKU_Base!AF168)/(1-Settings!$H$17),"OK",IF(AD168&gt;=C168/(1-SKU_Base!AM168)/(1-Settings!$H$17),"WARN","STOP"))),"")</f>
        <v/>
      </c>
    </row>
    <row r="169" ht="17" customHeight="1" s="179">
      <c r="A169" s="146">
        <f>SKU_Base!B169</f>
        <v/>
      </c>
      <c r="B169" s="146">
        <f>SKU_Base!C169</f>
        <v/>
      </c>
      <c r="C169" s="147">
        <f>IFERROR(SKU_Base!I169,"")</f>
        <v/>
      </c>
      <c r="D169" s="164">
        <f>IFERROR(SKU_Base!T169,"")</f>
        <v/>
      </c>
      <c r="E169" s="141">
        <f>IFERROR(SKU_Base!$U169,"")</f>
        <v/>
      </c>
      <c r="F169" s="160">
        <f>IFERROR(ROUND(D169*(1-CHOOSE(MATCH(IF($E169="","Основний",$E169),{"Трафіковий","Основний","Маржинальний","Сезонний","Стратегічний"},0),Settings!$B$78,Settings!$B$80,Settings!$B$82,Settings!$B$84,Settings!$B$86))/6,2)*6,"")</f>
        <v/>
      </c>
      <c r="G169" s="142">
        <f>IFERROR(CHOOSE(MATCH(IF($E169="","Основний",$E169),{"Трафіковий","Основний","Маржинальний","Сезонний","Стратегічний"},0),Settings!$B$78,Settings!$B$80,Settings!$B$82,Settings!$B$84,Settings!$B$86),"")</f>
        <v/>
      </c>
      <c r="H169" s="148">
        <f>IFERROR((F169*(1-Settings!$B$17)-C169)/(F169*(1-Settings!$B$17)),"")</f>
        <v/>
      </c>
      <c r="I169" s="149">
        <f>IFERROR(IF(F169="","",IF(F169&gt;=C169/(1-SKU_Base!Z169)/(1-Settings!$B$17),"OK",IF(F169&gt;=C169/(1-SKU_Base!AG169)/(1-Settings!$B$17),"WARN","STOP"))),"")</f>
        <v/>
      </c>
      <c r="J169" s="160">
        <f>IFERROR(ROUND(D169*(1-CHOOSE(MATCH(IF($E169="","Основний",$E169),{"Трафіковий","Основний","Маржинальний","Сезонний","Стратегічний"},0),Settings!$C$78,Settings!$C$80,Settings!$C$82,Settings!$C$84,Settings!$C$86))/6,2)*6,"")</f>
        <v/>
      </c>
      <c r="K169" s="142">
        <f>IFERROR(CHOOSE(MATCH(IF($E169="","Основний",$E169),{"Трафіковий","Основний","Маржинальний","Сезонний","Стратегічний"},0),Settings!$C$78,Settings!$C$80,Settings!$C$82,Settings!$C$84,Settings!$C$86),"")</f>
        <v/>
      </c>
      <c r="L169" s="148">
        <f>IFERROR((J169*(1-Settings!$C$17)-C169)/(J169*(1-Settings!$C$17)),"")</f>
        <v/>
      </c>
      <c r="M169" s="149">
        <f>IFERROR(IF(J169="","",IF(J169&gt;=C169/(1-SKU_Base!AA169)/(1-Settings!$C$17),"OK",IF(J169&gt;=C169/(1-SKU_Base!AH169)/(1-Settings!$C$17),"WARN","STOP"))),"")</f>
        <v/>
      </c>
      <c r="N169" s="161">
        <f>IFERROR(ROUND(D169*(1-CHOOSE(MATCH(IF($E169="","Основний",$E169),{"Трафіковий","Основний","Маржинальний","Сезонний","Стратегічний"},0),Settings!$D$78,Settings!$D$80,Settings!$D$82,Settings!$D$84,Settings!$D$86))/6,2)*6,"")</f>
        <v/>
      </c>
      <c r="O169" s="142">
        <f>IFERROR(CHOOSE(MATCH(IF($E169="","Основний",$E169),{"Трафіковий","Основний","Маржинальний","Сезонний","Стратегічний"},0),Settings!$D$78,Settings!$D$80,Settings!$D$82,Settings!$D$84,Settings!$D$86),"")</f>
        <v/>
      </c>
      <c r="P169" s="148">
        <f>IFERROR((N169*(1-Settings!$D$17)-C169)/(N169*(1-Settings!$D$17)),"")</f>
        <v/>
      </c>
      <c r="Q169" s="149">
        <f>IFERROR(IF(N169="","",IF(N169&gt;=C169/(1-SKU_Base!AB169)/(1-Settings!$D$17),"OK",IF(N169&gt;=C169/(1-SKU_Base!AI169)/(1-Settings!$D$17),"WARN","STOP"))),"")</f>
        <v/>
      </c>
      <c r="R169" s="161">
        <f>IFERROR(ROUND(D169*(1-CHOOSE(MATCH(IF($E169="","Основний",$E169),{"Трафіковий","Основний","Маржинальний","Сезонний","Стратегічний"},0),Settings!$E$78,Settings!$E$80,Settings!$E$82,Settings!$E$84,Settings!$E$86))/6,2)*6,"")</f>
        <v/>
      </c>
      <c r="S169" s="142">
        <f>IFERROR(CHOOSE(MATCH(IF($E169="","Основний",$E169),{"Трафіковий","Основний","Маржинальний","Сезонний","Стратегічний"},0),Settings!$E$78,Settings!$E$80,Settings!$E$82,Settings!$E$84,Settings!$E$86),"")</f>
        <v/>
      </c>
      <c r="T169" s="148">
        <f>IFERROR((R169*(1-Settings!$E$17)-C169)/(R169*(1-Settings!$E$17)),"")</f>
        <v/>
      </c>
      <c r="U169" s="149">
        <f>IFERROR(IF(R169="","",IF(R169&gt;=C169/(1-SKU_Base!AC169)/(1-Settings!$E$17),"OK",IF(R169&gt;=C169/(1-SKU_Base!AJ169)/(1-Settings!$E$17),"WARN","STOP"))),"")</f>
        <v/>
      </c>
      <c r="V169" s="161">
        <f>IFERROR(ROUND(D169*(1-CHOOSE(MATCH(IF($E169="","Основний",$E169),{"Трафіковий","Основний","Маржинальний","Сезонний","Стратегічний"},0),Settings!$F$78,Settings!$F$80,Settings!$F$82,Settings!$F$84,Settings!$F$86))/6,2)*6,"")</f>
        <v/>
      </c>
      <c r="W169" s="142">
        <f>IFERROR(CHOOSE(MATCH(IF($E169="","Основний",$E169),{"Трафіковий","Основний","Маржинальний","Сезонний","Стратегічний"},0),Settings!$F$78,Settings!$F$80,Settings!$F$82,Settings!$F$84,Settings!$F$86),"")</f>
        <v/>
      </c>
      <c r="X169" s="148">
        <f>IFERROR((V169*(1-Settings!$F$17)-C169)/(V169*(1-Settings!$F$17)),"")</f>
        <v/>
      </c>
      <c r="Y169" s="149">
        <f>IFERROR(IF(V169="","",IF(V169&gt;=C169/(1-SKU_Base!AD169)/(1-Settings!$F$17),"OK",IF(V169&gt;=C169/(1-SKU_Base!AK169)/(1-Settings!$F$17),"WARN","STOP"))),"")</f>
        <v/>
      </c>
      <c r="Z169" s="161">
        <f>IFERROR(ROUND(D169*(1-CHOOSE(MATCH(IF($E169="","Основний",$E169),{"Трафіковий","Основний","Маржинальний","Сезонний","Стратегічний"},0),Settings!$G$78,Settings!$G$80,Settings!$G$82,Settings!$G$84,Settings!$G$86))/6,2)*6,"")</f>
        <v/>
      </c>
      <c r="AA169" s="142">
        <f>IFERROR(CHOOSE(MATCH(IF($E169="","Основний",$E169),{"Трафіковий","Основний","Маржинальний","Сезонний","Стратегічний"},0),Settings!$G$78,Settings!$G$80,Settings!$G$82,Settings!$G$84,Settings!$G$86),"")</f>
        <v/>
      </c>
      <c r="AB169" s="148">
        <f>IFERROR((Z169*(1-Settings!$G$17)-C169)/(Z169*(1-Settings!$G$17)),"")</f>
        <v/>
      </c>
      <c r="AC169" s="149">
        <f>IFERROR(IF(Z169="","",IF(Z169&gt;=C169/(1-SKU_Base!AE169)/(1-Settings!$G$17),"OK",IF(Z169&gt;=C169/(1-SKU_Base!AL169)/(1-Settings!$G$17),"WARN","STOP"))),"")</f>
        <v/>
      </c>
      <c r="AD169" s="161">
        <f>IFERROR(ROUND(D169*(1-CHOOSE(MATCH(IF($E169="","Основний",$E169),{"Трафіковий","Основний","Маржинальний","Сезонний","Стратегічний"},0),Settings!$H$78,Settings!$H$80,Settings!$H$82,Settings!$H$84,Settings!$H$86))*(1-Settings!$H$68)/6,2)*6,"")</f>
        <v/>
      </c>
      <c r="AE169" s="142">
        <f>IFERROR(CHOOSE(MATCH(IF($E169="","Основний",$E169),{"Трафіковий","Основний","Маржинальний","Сезонний","Стратегічний"},0),Settings!$H$78,Settings!$H$80,Settings!$H$82,Settings!$H$84,Settings!$H$86)+(1-(CHOOSE(MATCH(IF($E169="","Основний",$E169),{"Трафіковий","Основний","Маржинальний","Сезонний","Стратегічний"},0),Settings!$H$78,Settings!$H$80,Settings!$H$82,Settings!$H$84,Settings!$H$86)))*Settings!$H$68,"")</f>
        <v/>
      </c>
      <c r="AF169" s="148">
        <f>IFERROR((AD169*(1-Settings!$H$17)-C169)/(AD169*(1-Settings!$H$17)),"")</f>
        <v/>
      </c>
      <c r="AG169" s="150">
        <f>IFERROR(IF(AD169="","",IF(AD169&gt;=C169/(1-SKU_Base!AF169)/(1-Settings!$H$17),"OK",IF(AD169&gt;=C169/(1-SKU_Base!AM169)/(1-Settings!$H$17),"WARN","STOP"))),"")</f>
        <v/>
      </c>
    </row>
    <row r="170" ht="17" customHeight="1" s="179">
      <c r="A170" s="139">
        <f>SKU_Base!B170</f>
        <v/>
      </c>
      <c r="B170" s="139">
        <f>SKU_Base!C170</f>
        <v/>
      </c>
      <c r="C170" s="140">
        <f>IFERROR(SKU_Base!I170,"")</f>
        <v/>
      </c>
      <c r="D170" s="163">
        <f>IFERROR(SKU_Base!T170,"")</f>
        <v/>
      </c>
      <c r="E170" s="141">
        <f>IFERROR(SKU_Base!$U170,"")</f>
        <v/>
      </c>
      <c r="F170" s="158">
        <f>IFERROR(ROUND(D170*(1-CHOOSE(MATCH(IF($E170="","Основний",$E170),{"Трафіковий","Основний","Маржинальний","Сезонний","Стратегічний"},0),Settings!$B$78,Settings!$B$80,Settings!$B$82,Settings!$B$84,Settings!$B$86))/6,2)*6,"")</f>
        <v/>
      </c>
      <c r="G170" s="142">
        <f>IFERROR(CHOOSE(MATCH(IF($E170="","Основний",$E170),{"Трафіковий","Основний","Маржинальний","Сезонний","Стратегічний"},0),Settings!$B$78,Settings!$B$80,Settings!$B$82,Settings!$B$84,Settings!$B$86),"")</f>
        <v/>
      </c>
      <c r="H170" s="143">
        <f>IFERROR((F170*(1-Settings!$B$17)-C170)/(F170*(1-Settings!$B$17)),"")</f>
        <v/>
      </c>
      <c r="I170" s="150">
        <f>IFERROR(IF(F170="","",IF(F170&gt;=C170/(1-SKU_Base!Z170)/(1-Settings!$B$17),"OK",IF(F170&gt;=C170/(1-SKU_Base!AG170)/(1-Settings!$B$17),"WARN","STOP"))),"")</f>
        <v/>
      </c>
      <c r="J170" s="158">
        <f>IFERROR(ROUND(D170*(1-CHOOSE(MATCH(IF($E170="","Основний",$E170),{"Трафіковий","Основний","Маржинальний","Сезонний","Стратегічний"},0),Settings!$C$78,Settings!$C$80,Settings!$C$82,Settings!$C$84,Settings!$C$86))/6,2)*6,"")</f>
        <v/>
      </c>
      <c r="K170" s="142">
        <f>IFERROR(CHOOSE(MATCH(IF($E170="","Основний",$E170),{"Трафіковий","Основний","Маржинальний","Сезонний","Стратегічний"},0),Settings!$C$78,Settings!$C$80,Settings!$C$82,Settings!$C$84,Settings!$C$86),"")</f>
        <v/>
      </c>
      <c r="L170" s="143">
        <f>IFERROR((J170*(1-Settings!$C$17)-C170)/(J170*(1-Settings!$C$17)),"")</f>
        <v/>
      </c>
      <c r="M170" s="149">
        <f>IFERROR(IF(J170="","",IF(J170&gt;=C170/(1-SKU_Base!AA170)/(1-Settings!$C$17),"OK",IF(J170&gt;=C170/(1-SKU_Base!AH170)/(1-Settings!$C$17),"WARN","STOP"))),"")</f>
        <v/>
      </c>
      <c r="N170" s="159">
        <f>IFERROR(ROUND(D170*(1-CHOOSE(MATCH(IF($E170="","Основний",$E170),{"Трафіковий","Основний","Маржинальний","Сезонний","Стратегічний"},0),Settings!$D$78,Settings!$D$80,Settings!$D$82,Settings!$D$84,Settings!$D$86))/6,2)*6,"")</f>
        <v/>
      </c>
      <c r="O170" s="142">
        <f>IFERROR(CHOOSE(MATCH(IF($E170="","Основний",$E170),{"Трафіковий","Основний","Маржинальний","Сезонний","Стратегічний"},0),Settings!$D$78,Settings!$D$80,Settings!$D$82,Settings!$D$84,Settings!$D$86),"")</f>
        <v/>
      </c>
      <c r="P170" s="143">
        <f>IFERROR((N170*(1-Settings!$D$17)-C170)/(N170*(1-Settings!$D$17)),"")</f>
        <v/>
      </c>
      <c r="Q170" s="149">
        <f>IFERROR(IF(N170="","",IF(N170&gt;=C170/(1-SKU_Base!AB170)/(1-Settings!$D$17),"OK",IF(N170&gt;=C170/(1-SKU_Base!AI170)/(1-Settings!$D$17),"WARN","STOP"))),"")</f>
        <v/>
      </c>
      <c r="R170" s="159">
        <f>IFERROR(ROUND(D170*(1-CHOOSE(MATCH(IF($E170="","Основний",$E170),{"Трафіковий","Основний","Маржинальний","Сезонний","Стратегічний"},0),Settings!$E$78,Settings!$E$80,Settings!$E$82,Settings!$E$84,Settings!$E$86))/6,2)*6,"")</f>
        <v/>
      </c>
      <c r="S170" s="142">
        <f>IFERROR(CHOOSE(MATCH(IF($E170="","Основний",$E170),{"Трафіковий","Основний","Маржинальний","Сезонний","Стратегічний"},0),Settings!$E$78,Settings!$E$80,Settings!$E$82,Settings!$E$84,Settings!$E$86),"")</f>
        <v/>
      </c>
      <c r="T170" s="143">
        <f>IFERROR((R170*(1-Settings!$E$17)-C170)/(R170*(1-Settings!$E$17)),"")</f>
        <v/>
      </c>
      <c r="U170" s="149">
        <f>IFERROR(IF(R170="","",IF(R170&gt;=C170/(1-SKU_Base!AC170)/(1-Settings!$E$17),"OK",IF(R170&gt;=C170/(1-SKU_Base!AJ170)/(1-Settings!$E$17),"WARN","STOP"))),"")</f>
        <v/>
      </c>
      <c r="V170" s="159">
        <f>IFERROR(ROUND(D170*(1-CHOOSE(MATCH(IF($E170="","Основний",$E170),{"Трафіковий","Основний","Маржинальний","Сезонний","Стратегічний"},0),Settings!$F$78,Settings!$F$80,Settings!$F$82,Settings!$F$84,Settings!$F$86))/6,2)*6,"")</f>
        <v/>
      </c>
      <c r="W170" s="142">
        <f>IFERROR(CHOOSE(MATCH(IF($E170="","Основний",$E170),{"Трафіковий","Основний","Маржинальний","Сезонний","Стратегічний"},0),Settings!$F$78,Settings!$F$80,Settings!$F$82,Settings!$F$84,Settings!$F$86),"")</f>
        <v/>
      </c>
      <c r="X170" s="143">
        <f>IFERROR((V170*(1-Settings!$F$17)-C170)/(V170*(1-Settings!$F$17)),"")</f>
        <v/>
      </c>
      <c r="Y170" s="149">
        <f>IFERROR(IF(V170="","",IF(V170&gt;=C170/(1-SKU_Base!AD170)/(1-Settings!$F$17),"OK",IF(V170&gt;=C170/(1-SKU_Base!AK170)/(1-Settings!$F$17),"WARN","STOP"))),"")</f>
        <v/>
      </c>
      <c r="Z170" s="159">
        <f>IFERROR(ROUND(D170*(1-CHOOSE(MATCH(IF($E170="","Основний",$E170),{"Трафіковий","Основний","Маржинальний","Сезонний","Стратегічний"},0),Settings!$G$78,Settings!$G$80,Settings!$G$82,Settings!$G$84,Settings!$G$86))/6,2)*6,"")</f>
        <v/>
      </c>
      <c r="AA170" s="142">
        <f>IFERROR(CHOOSE(MATCH(IF($E170="","Основний",$E170),{"Трафіковий","Основний","Маржинальний","Сезонний","Стратегічний"},0),Settings!$G$78,Settings!$G$80,Settings!$G$82,Settings!$G$84,Settings!$G$86),"")</f>
        <v/>
      </c>
      <c r="AB170" s="143">
        <f>IFERROR((Z170*(1-Settings!$G$17)-C170)/(Z170*(1-Settings!$G$17)),"")</f>
        <v/>
      </c>
      <c r="AC170" s="149">
        <f>IFERROR(IF(Z170="","",IF(Z170&gt;=C170/(1-SKU_Base!AE170)/(1-Settings!$G$17),"OK",IF(Z170&gt;=C170/(1-SKU_Base!AL170)/(1-Settings!$G$17),"WARN","STOP"))),"")</f>
        <v/>
      </c>
      <c r="AD170" s="159">
        <f>IFERROR(ROUND(D170*(1-CHOOSE(MATCH(IF($E170="","Основний",$E170),{"Трафіковий","Основний","Маржинальний","Сезонний","Стратегічний"},0),Settings!$H$78,Settings!$H$80,Settings!$H$82,Settings!$H$84,Settings!$H$86))*(1-Settings!$H$68)/6,2)*6,"")</f>
        <v/>
      </c>
      <c r="AE170" s="142">
        <f>IFERROR(CHOOSE(MATCH(IF($E170="","Основний",$E170),{"Трафіковий","Основний","Маржинальний","Сезонний","Стратегічний"},0),Settings!$H$78,Settings!$H$80,Settings!$H$82,Settings!$H$84,Settings!$H$86)+(1-(CHOOSE(MATCH(IF($E170="","Основний",$E170),{"Трафіковий","Основний","Маржинальний","Сезонний","Стратегічний"},0),Settings!$H$78,Settings!$H$80,Settings!$H$82,Settings!$H$84,Settings!$H$86)))*Settings!$H$68,"")</f>
        <v/>
      </c>
      <c r="AF170" s="143">
        <f>IFERROR((AD170*(1-Settings!$H$17)-C170)/(AD170*(1-Settings!$H$17)),"")</f>
        <v/>
      </c>
      <c r="AG170" s="150">
        <f>IFERROR(IF(AD170="","",IF(AD170&gt;=C170/(1-SKU_Base!AF170)/(1-Settings!$H$17),"OK",IF(AD170&gt;=C170/(1-SKU_Base!AM170)/(1-Settings!$H$17),"WARN","STOP"))),"")</f>
        <v/>
      </c>
    </row>
    <row r="171" ht="17" customHeight="1" s="179">
      <c r="A171" s="146">
        <f>SKU_Base!B171</f>
        <v/>
      </c>
      <c r="B171" s="146">
        <f>SKU_Base!C171</f>
        <v/>
      </c>
      <c r="C171" s="147">
        <f>IFERROR(SKU_Base!I171,"")</f>
        <v/>
      </c>
      <c r="D171" s="164">
        <f>IFERROR(SKU_Base!T171,"")</f>
        <v/>
      </c>
      <c r="E171" s="141">
        <f>IFERROR(SKU_Base!$U171,"")</f>
        <v/>
      </c>
      <c r="F171" s="160">
        <f>IFERROR(ROUND(D171*(1-CHOOSE(MATCH(IF($E171="","Основний",$E171),{"Трафіковий","Основний","Маржинальний","Сезонний","Стратегічний"},0),Settings!$B$78,Settings!$B$80,Settings!$B$82,Settings!$B$84,Settings!$B$86))/6,2)*6,"")</f>
        <v/>
      </c>
      <c r="G171" s="142">
        <f>IFERROR(CHOOSE(MATCH(IF($E171="","Основний",$E171),{"Трафіковий","Основний","Маржинальний","Сезонний","Стратегічний"},0),Settings!$B$78,Settings!$B$80,Settings!$B$82,Settings!$B$84,Settings!$B$86),"")</f>
        <v/>
      </c>
      <c r="H171" s="148">
        <f>IFERROR((F171*(1-Settings!$B$17)-C171)/(F171*(1-Settings!$B$17)),"")</f>
        <v/>
      </c>
      <c r="I171" s="150">
        <f>IFERROR(IF(F171="","",IF(F171&gt;=C171/(1-SKU_Base!Z171)/(1-Settings!$B$17),"OK",IF(F171&gt;=C171/(1-SKU_Base!AG171)/(1-Settings!$B$17),"WARN","STOP"))),"")</f>
        <v/>
      </c>
      <c r="J171" s="160">
        <f>IFERROR(ROUND(D171*(1-CHOOSE(MATCH(IF($E171="","Основний",$E171),{"Трафіковий","Основний","Маржинальний","Сезонний","Стратегічний"},0),Settings!$C$78,Settings!$C$80,Settings!$C$82,Settings!$C$84,Settings!$C$86))/6,2)*6,"")</f>
        <v/>
      </c>
      <c r="K171" s="142">
        <f>IFERROR(CHOOSE(MATCH(IF($E171="","Основний",$E171),{"Трафіковий","Основний","Маржинальний","Сезонний","Стратегічний"},0),Settings!$C$78,Settings!$C$80,Settings!$C$82,Settings!$C$84,Settings!$C$86),"")</f>
        <v/>
      </c>
      <c r="L171" s="148">
        <f>IFERROR((J171*(1-Settings!$C$17)-C171)/(J171*(1-Settings!$C$17)),"")</f>
        <v/>
      </c>
      <c r="M171" s="149">
        <f>IFERROR(IF(J171="","",IF(J171&gt;=C171/(1-SKU_Base!AA171)/(1-Settings!$C$17),"OK",IF(J171&gt;=C171/(1-SKU_Base!AH171)/(1-Settings!$C$17),"WARN","STOP"))),"")</f>
        <v/>
      </c>
      <c r="N171" s="161">
        <f>IFERROR(ROUND(D171*(1-CHOOSE(MATCH(IF($E171="","Основний",$E171),{"Трафіковий","Основний","Маржинальний","Сезонний","Стратегічний"},0),Settings!$D$78,Settings!$D$80,Settings!$D$82,Settings!$D$84,Settings!$D$86))/6,2)*6,"")</f>
        <v/>
      </c>
      <c r="O171" s="142">
        <f>IFERROR(CHOOSE(MATCH(IF($E171="","Основний",$E171),{"Трафіковий","Основний","Маржинальний","Сезонний","Стратегічний"},0),Settings!$D$78,Settings!$D$80,Settings!$D$82,Settings!$D$84,Settings!$D$86),"")</f>
        <v/>
      </c>
      <c r="P171" s="148">
        <f>IFERROR((N171*(1-Settings!$D$17)-C171)/(N171*(1-Settings!$D$17)),"")</f>
        <v/>
      </c>
      <c r="Q171" s="149">
        <f>IFERROR(IF(N171="","",IF(N171&gt;=C171/(1-SKU_Base!AB171)/(1-Settings!$D$17),"OK",IF(N171&gt;=C171/(1-SKU_Base!AI171)/(1-Settings!$D$17),"WARN","STOP"))),"")</f>
        <v/>
      </c>
      <c r="R171" s="161">
        <f>IFERROR(ROUND(D171*(1-CHOOSE(MATCH(IF($E171="","Основний",$E171),{"Трафіковий","Основний","Маржинальний","Сезонний","Стратегічний"},0),Settings!$E$78,Settings!$E$80,Settings!$E$82,Settings!$E$84,Settings!$E$86))/6,2)*6,"")</f>
        <v/>
      </c>
      <c r="S171" s="142">
        <f>IFERROR(CHOOSE(MATCH(IF($E171="","Основний",$E171),{"Трафіковий","Основний","Маржинальний","Сезонний","Стратегічний"},0),Settings!$E$78,Settings!$E$80,Settings!$E$82,Settings!$E$84,Settings!$E$86),"")</f>
        <v/>
      </c>
      <c r="T171" s="148">
        <f>IFERROR((R171*(1-Settings!$E$17)-C171)/(R171*(1-Settings!$E$17)),"")</f>
        <v/>
      </c>
      <c r="U171" s="149">
        <f>IFERROR(IF(R171="","",IF(R171&gt;=C171/(1-SKU_Base!AC171)/(1-Settings!$E$17),"OK",IF(R171&gt;=C171/(1-SKU_Base!AJ171)/(1-Settings!$E$17),"WARN","STOP"))),"")</f>
        <v/>
      </c>
      <c r="V171" s="161">
        <f>IFERROR(ROUND(D171*(1-CHOOSE(MATCH(IF($E171="","Основний",$E171),{"Трафіковий","Основний","Маржинальний","Сезонний","Стратегічний"},0),Settings!$F$78,Settings!$F$80,Settings!$F$82,Settings!$F$84,Settings!$F$86))/6,2)*6,"")</f>
        <v/>
      </c>
      <c r="W171" s="142">
        <f>IFERROR(CHOOSE(MATCH(IF($E171="","Основний",$E171),{"Трафіковий","Основний","Маржинальний","Сезонний","Стратегічний"},0),Settings!$F$78,Settings!$F$80,Settings!$F$82,Settings!$F$84,Settings!$F$86),"")</f>
        <v/>
      </c>
      <c r="X171" s="148">
        <f>IFERROR((V171*(1-Settings!$F$17)-C171)/(V171*(1-Settings!$F$17)),"")</f>
        <v/>
      </c>
      <c r="Y171" s="149">
        <f>IFERROR(IF(V171="","",IF(V171&gt;=C171/(1-SKU_Base!AD171)/(1-Settings!$F$17),"OK",IF(V171&gt;=C171/(1-SKU_Base!AK171)/(1-Settings!$F$17),"WARN","STOP"))),"")</f>
        <v/>
      </c>
      <c r="Z171" s="161">
        <f>IFERROR(ROUND(D171*(1-CHOOSE(MATCH(IF($E171="","Основний",$E171),{"Трафіковий","Основний","Маржинальний","Сезонний","Стратегічний"},0),Settings!$G$78,Settings!$G$80,Settings!$G$82,Settings!$G$84,Settings!$G$86))/6,2)*6,"")</f>
        <v/>
      </c>
      <c r="AA171" s="142">
        <f>IFERROR(CHOOSE(MATCH(IF($E171="","Основний",$E171),{"Трафіковий","Основний","Маржинальний","Сезонний","Стратегічний"},0),Settings!$G$78,Settings!$G$80,Settings!$G$82,Settings!$G$84,Settings!$G$86),"")</f>
        <v/>
      </c>
      <c r="AB171" s="148">
        <f>IFERROR((Z171*(1-Settings!$G$17)-C171)/(Z171*(1-Settings!$G$17)),"")</f>
        <v/>
      </c>
      <c r="AC171" s="149">
        <f>IFERROR(IF(Z171="","",IF(Z171&gt;=C171/(1-SKU_Base!AE171)/(1-Settings!$G$17),"OK",IF(Z171&gt;=C171/(1-SKU_Base!AL171)/(1-Settings!$G$17),"WARN","STOP"))),"")</f>
        <v/>
      </c>
      <c r="AD171" s="161">
        <f>IFERROR(ROUND(D171*(1-CHOOSE(MATCH(IF($E171="","Основний",$E171),{"Трафіковий","Основний","Маржинальний","Сезонний","Стратегічний"},0),Settings!$H$78,Settings!$H$80,Settings!$H$82,Settings!$H$84,Settings!$H$86))*(1-Settings!$H$68)/6,2)*6,"")</f>
        <v/>
      </c>
      <c r="AE171" s="142">
        <f>IFERROR(CHOOSE(MATCH(IF($E171="","Основний",$E171),{"Трафіковий","Основний","Маржинальний","Сезонний","Стратегічний"},0),Settings!$H$78,Settings!$H$80,Settings!$H$82,Settings!$H$84,Settings!$H$86)+(1-(CHOOSE(MATCH(IF($E171="","Основний",$E171),{"Трафіковий","Основний","Маржинальний","Сезонний","Стратегічний"},0),Settings!$H$78,Settings!$H$80,Settings!$H$82,Settings!$H$84,Settings!$H$86)))*Settings!$H$68,"")</f>
        <v/>
      </c>
      <c r="AF171" s="148">
        <f>IFERROR((AD171*(1-Settings!$H$17)-C171)/(AD171*(1-Settings!$H$17)),"")</f>
        <v/>
      </c>
      <c r="AG171" s="150">
        <f>IFERROR(IF(AD171="","",IF(AD171&gt;=C171/(1-SKU_Base!AF171)/(1-Settings!$H$17),"OK",IF(AD171&gt;=C171/(1-SKU_Base!AM171)/(1-Settings!$H$17),"WARN","STOP"))),"")</f>
        <v/>
      </c>
    </row>
    <row r="172" ht="17" customHeight="1" s="179">
      <c r="A172" s="139">
        <f>SKU_Base!B172</f>
        <v/>
      </c>
      <c r="B172" s="139">
        <f>SKU_Base!C172</f>
        <v/>
      </c>
      <c r="C172" s="140">
        <f>IFERROR(SKU_Base!I172,"")</f>
        <v/>
      </c>
      <c r="D172" s="163">
        <f>IFERROR(SKU_Base!T172,"")</f>
        <v/>
      </c>
      <c r="E172" s="141">
        <f>IFERROR(SKU_Base!$U172,"")</f>
        <v/>
      </c>
      <c r="F172" s="158">
        <f>IFERROR(ROUND(D172*(1-CHOOSE(MATCH(IF($E172="","Основний",$E172),{"Трафіковий","Основний","Маржинальний","Сезонний","Стратегічний"},0),Settings!$B$78,Settings!$B$80,Settings!$B$82,Settings!$B$84,Settings!$B$86))/6,2)*6,"")</f>
        <v/>
      </c>
      <c r="G172" s="142">
        <f>IFERROR(CHOOSE(MATCH(IF($E172="","Основний",$E172),{"Трафіковий","Основний","Маржинальний","Сезонний","Стратегічний"},0),Settings!$B$78,Settings!$B$80,Settings!$B$82,Settings!$B$84,Settings!$B$86),"")</f>
        <v/>
      </c>
      <c r="H172" s="143">
        <f>IFERROR((F172*(1-Settings!$B$17)-C172)/(F172*(1-Settings!$B$17)),"")</f>
        <v/>
      </c>
      <c r="I172" s="149">
        <f>IFERROR(IF(F172="","",IF(F172&gt;=C172/(1-SKU_Base!Z172)/(1-Settings!$B$17),"OK",IF(F172&gt;=C172/(1-SKU_Base!AG172)/(1-Settings!$B$17),"WARN","STOP"))),"")</f>
        <v/>
      </c>
      <c r="J172" s="158">
        <f>IFERROR(ROUND(D172*(1-CHOOSE(MATCH(IF($E172="","Основний",$E172),{"Трафіковий","Основний","Маржинальний","Сезонний","Стратегічний"},0),Settings!$C$78,Settings!$C$80,Settings!$C$82,Settings!$C$84,Settings!$C$86))/6,2)*6,"")</f>
        <v/>
      </c>
      <c r="K172" s="142">
        <f>IFERROR(CHOOSE(MATCH(IF($E172="","Основний",$E172),{"Трафіковий","Основний","Маржинальний","Сезонний","Стратегічний"},0),Settings!$C$78,Settings!$C$80,Settings!$C$82,Settings!$C$84,Settings!$C$86),"")</f>
        <v/>
      </c>
      <c r="L172" s="143">
        <f>IFERROR((J172*(1-Settings!$C$17)-C172)/(J172*(1-Settings!$C$17)),"")</f>
        <v/>
      </c>
      <c r="M172" s="149">
        <f>IFERROR(IF(J172="","",IF(J172&gt;=C172/(1-SKU_Base!AA172)/(1-Settings!$C$17),"OK",IF(J172&gt;=C172/(1-SKU_Base!AH172)/(1-Settings!$C$17),"WARN","STOP"))),"")</f>
        <v/>
      </c>
      <c r="N172" s="159">
        <f>IFERROR(ROUND(D172*(1-CHOOSE(MATCH(IF($E172="","Основний",$E172),{"Трафіковий","Основний","Маржинальний","Сезонний","Стратегічний"},0),Settings!$D$78,Settings!$D$80,Settings!$D$82,Settings!$D$84,Settings!$D$86))/6,2)*6,"")</f>
        <v/>
      </c>
      <c r="O172" s="142">
        <f>IFERROR(CHOOSE(MATCH(IF($E172="","Основний",$E172),{"Трафіковий","Основний","Маржинальний","Сезонний","Стратегічний"},0),Settings!$D$78,Settings!$D$80,Settings!$D$82,Settings!$D$84,Settings!$D$86),"")</f>
        <v/>
      </c>
      <c r="P172" s="143">
        <f>IFERROR((N172*(1-Settings!$D$17)-C172)/(N172*(1-Settings!$D$17)),"")</f>
        <v/>
      </c>
      <c r="Q172" s="149">
        <f>IFERROR(IF(N172="","",IF(N172&gt;=C172/(1-SKU_Base!AB172)/(1-Settings!$D$17),"OK",IF(N172&gt;=C172/(1-SKU_Base!AI172)/(1-Settings!$D$17),"WARN","STOP"))),"")</f>
        <v/>
      </c>
      <c r="R172" s="159">
        <f>IFERROR(ROUND(D172*(1-CHOOSE(MATCH(IF($E172="","Основний",$E172),{"Трафіковий","Основний","Маржинальний","Сезонний","Стратегічний"},0),Settings!$E$78,Settings!$E$80,Settings!$E$82,Settings!$E$84,Settings!$E$86))/6,2)*6,"")</f>
        <v/>
      </c>
      <c r="S172" s="142">
        <f>IFERROR(CHOOSE(MATCH(IF($E172="","Основний",$E172),{"Трафіковий","Основний","Маржинальний","Сезонний","Стратегічний"},0),Settings!$E$78,Settings!$E$80,Settings!$E$82,Settings!$E$84,Settings!$E$86),"")</f>
        <v/>
      </c>
      <c r="T172" s="143">
        <f>IFERROR((R172*(1-Settings!$E$17)-C172)/(R172*(1-Settings!$E$17)),"")</f>
        <v/>
      </c>
      <c r="U172" s="149">
        <f>IFERROR(IF(R172="","",IF(R172&gt;=C172/(1-SKU_Base!AC172)/(1-Settings!$E$17),"OK",IF(R172&gt;=C172/(1-SKU_Base!AJ172)/(1-Settings!$E$17),"WARN","STOP"))),"")</f>
        <v/>
      </c>
      <c r="V172" s="159">
        <f>IFERROR(ROUND(D172*(1-CHOOSE(MATCH(IF($E172="","Основний",$E172),{"Трафіковий","Основний","Маржинальний","Сезонний","Стратегічний"},0),Settings!$F$78,Settings!$F$80,Settings!$F$82,Settings!$F$84,Settings!$F$86))/6,2)*6,"")</f>
        <v/>
      </c>
      <c r="W172" s="142">
        <f>IFERROR(CHOOSE(MATCH(IF($E172="","Основний",$E172),{"Трафіковий","Основний","Маржинальний","Сезонний","Стратегічний"},0),Settings!$F$78,Settings!$F$80,Settings!$F$82,Settings!$F$84,Settings!$F$86),"")</f>
        <v/>
      </c>
      <c r="X172" s="143">
        <f>IFERROR((V172*(1-Settings!$F$17)-C172)/(V172*(1-Settings!$F$17)),"")</f>
        <v/>
      </c>
      <c r="Y172" s="149">
        <f>IFERROR(IF(V172="","",IF(V172&gt;=C172/(1-SKU_Base!AD172)/(1-Settings!$F$17),"OK",IF(V172&gt;=C172/(1-SKU_Base!AK172)/(1-Settings!$F$17),"WARN","STOP"))),"")</f>
        <v/>
      </c>
      <c r="Z172" s="159">
        <f>IFERROR(ROUND(D172*(1-CHOOSE(MATCH(IF($E172="","Основний",$E172),{"Трафіковий","Основний","Маржинальний","Сезонний","Стратегічний"},0),Settings!$G$78,Settings!$G$80,Settings!$G$82,Settings!$G$84,Settings!$G$86))/6,2)*6,"")</f>
        <v/>
      </c>
      <c r="AA172" s="142">
        <f>IFERROR(CHOOSE(MATCH(IF($E172="","Основний",$E172),{"Трафіковий","Основний","Маржинальний","Сезонний","Стратегічний"},0),Settings!$G$78,Settings!$G$80,Settings!$G$82,Settings!$G$84,Settings!$G$86),"")</f>
        <v/>
      </c>
      <c r="AB172" s="143">
        <f>IFERROR((Z172*(1-Settings!$G$17)-C172)/(Z172*(1-Settings!$G$17)),"")</f>
        <v/>
      </c>
      <c r="AC172" s="149">
        <f>IFERROR(IF(Z172="","",IF(Z172&gt;=C172/(1-SKU_Base!AE172)/(1-Settings!$G$17),"OK",IF(Z172&gt;=C172/(1-SKU_Base!AL172)/(1-Settings!$G$17),"WARN","STOP"))),"")</f>
        <v/>
      </c>
      <c r="AD172" s="159">
        <f>IFERROR(ROUND(D172*(1-CHOOSE(MATCH(IF($E172="","Основний",$E172),{"Трафіковий","Основний","Маржинальний","Сезонний","Стратегічний"},0),Settings!$H$78,Settings!$H$80,Settings!$H$82,Settings!$H$84,Settings!$H$86))*(1-Settings!$H$68)/6,2)*6,"")</f>
        <v/>
      </c>
      <c r="AE172" s="142">
        <f>IFERROR(CHOOSE(MATCH(IF($E172="","Основний",$E172),{"Трафіковий","Основний","Маржинальний","Сезонний","Стратегічний"},0),Settings!$H$78,Settings!$H$80,Settings!$H$82,Settings!$H$84,Settings!$H$86)+(1-(CHOOSE(MATCH(IF($E172="","Основний",$E172),{"Трафіковий","Основний","Маржинальний","Сезонний","Стратегічний"},0),Settings!$H$78,Settings!$H$80,Settings!$H$82,Settings!$H$84,Settings!$H$86)))*Settings!$H$68,"")</f>
        <v/>
      </c>
      <c r="AF172" s="143">
        <f>IFERROR((AD172*(1-Settings!$H$17)-C172)/(AD172*(1-Settings!$H$17)),"")</f>
        <v/>
      </c>
      <c r="AG172" s="150">
        <f>IFERROR(IF(AD172="","",IF(AD172&gt;=C172/(1-SKU_Base!AF172)/(1-Settings!$H$17),"OK",IF(AD172&gt;=C172/(1-SKU_Base!AM172)/(1-Settings!$H$17),"WARN","STOP"))),"")</f>
        <v/>
      </c>
    </row>
    <row r="173" ht="17" customHeight="1" s="179">
      <c r="A173" s="146">
        <f>SKU_Base!B173</f>
        <v/>
      </c>
      <c r="B173" s="146">
        <f>SKU_Base!C173</f>
        <v/>
      </c>
      <c r="C173" s="147">
        <f>IFERROR(SKU_Base!I173,"")</f>
        <v/>
      </c>
      <c r="D173" s="164">
        <f>IFERROR(SKU_Base!T173,"")</f>
        <v/>
      </c>
      <c r="E173" s="141">
        <f>IFERROR(SKU_Base!$U173,"")</f>
        <v/>
      </c>
      <c r="F173" s="160">
        <f>IFERROR(ROUND(D173*(1-CHOOSE(MATCH(IF($E173="","Основний",$E173),{"Трафіковий","Основний","Маржинальний","Сезонний","Стратегічний"},0),Settings!$B$78,Settings!$B$80,Settings!$B$82,Settings!$B$84,Settings!$B$86))/6,2)*6,"")</f>
        <v/>
      </c>
      <c r="G173" s="142">
        <f>IFERROR(CHOOSE(MATCH(IF($E173="","Основний",$E173),{"Трафіковий","Основний","Маржинальний","Сезонний","Стратегічний"},0),Settings!$B$78,Settings!$B$80,Settings!$B$82,Settings!$B$84,Settings!$B$86),"")</f>
        <v/>
      </c>
      <c r="H173" s="148">
        <f>IFERROR((F173*(1-Settings!$B$17)-C173)/(F173*(1-Settings!$B$17)),"")</f>
        <v/>
      </c>
      <c r="I173" s="149">
        <f>IFERROR(IF(F173="","",IF(F173&gt;=C173/(1-SKU_Base!Z173)/(1-Settings!$B$17),"OK",IF(F173&gt;=C173/(1-SKU_Base!AG173)/(1-Settings!$B$17),"WARN","STOP"))),"")</f>
        <v/>
      </c>
      <c r="J173" s="160">
        <f>IFERROR(ROUND(D173*(1-CHOOSE(MATCH(IF($E173="","Основний",$E173),{"Трафіковий","Основний","Маржинальний","Сезонний","Стратегічний"},0),Settings!$C$78,Settings!$C$80,Settings!$C$82,Settings!$C$84,Settings!$C$86))/6,2)*6,"")</f>
        <v/>
      </c>
      <c r="K173" s="142">
        <f>IFERROR(CHOOSE(MATCH(IF($E173="","Основний",$E173),{"Трафіковий","Основний","Маржинальний","Сезонний","Стратегічний"},0),Settings!$C$78,Settings!$C$80,Settings!$C$82,Settings!$C$84,Settings!$C$86),"")</f>
        <v/>
      </c>
      <c r="L173" s="148">
        <f>IFERROR((J173*(1-Settings!$C$17)-C173)/(J173*(1-Settings!$C$17)),"")</f>
        <v/>
      </c>
      <c r="M173" s="149">
        <f>IFERROR(IF(J173="","",IF(J173&gt;=C173/(1-SKU_Base!AA173)/(1-Settings!$C$17),"OK",IF(J173&gt;=C173/(1-SKU_Base!AH173)/(1-Settings!$C$17),"WARN","STOP"))),"")</f>
        <v/>
      </c>
      <c r="N173" s="161">
        <f>IFERROR(ROUND(D173*(1-CHOOSE(MATCH(IF($E173="","Основний",$E173),{"Трафіковий","Основний","Маржинальний","Сезонний","Стратегічний"},0),Settings!$D$78,Settings!$D$80,Settings!$D$82,Settings!$D$84,Settings!$D$86))/6,2)*6,"")</f>
        <v/>
      </c>
      <c r="O173" s="142">
        <f>IFERROR(CHOOSE(MATCH(IF($E173="","Основний",$E173),{"Трафіковий","Основний","Маржинальний","Сезонний","Стратегічний"},0),Settings!$D$78,Settings!$D$80,Settings!$D$82,Settings!$D$84,Settings!$D$86),"")</f>
        <v/>
      </c>
      <c r="P173" s="148">
        <f>IFERROR((N173*(1-Settings!$D$17)-C173)/(N173*(1-Settings!$D$17)),"")</f>
        <v/>
      </c>
      <c r="Q173" s="149">
        <f>IFERROR(IF(N173="","",IF(N173&gt;=C173/(1-SKU_Base!AB173)/(1-Settings!$D$17),"OK",IF(N173&gt;=C173/(1-SKU_Base!AI173)/(1-Settings!$D$17),"WARN","STOP"))),"")</f>
        <v/>
      </c>
      <c r="R173" s="161">
        <f>IFERROR(ROUND(D173*(1-CHOOSE(MATCH(IF($E173="","Основний",$E173),{"Трафіковий","Основний","Маржинальний","Сезонний","Стратегічний"},0),Settings!$E$78,Settings!$E$80,Settings!$E$82,Settings!$E$84,Settings!$E$86))/6,2)*6,"")</f>
        <v/>
      </c>
      <c r="S173" s="142">
        <f>IFERROR(CHOOSE(MATCH(IF($E173="","Основний",$E173),{"Трафіковий","Основний","Маржинальний","Сезонний","Стратегічний"},0),Settings!$E$78,Settings!$E$80,Settings!$E$82,Settings!$E$84,Settings!$E$86),"")</f>
        <v/>
      </c>
      <c r="T173" s="148">
        <f>IFERROR((R173*(1-Settings!$E$17)-C173)/(R173*(1-Settings!$E$17)),"")</f>
        <v/>
      </c>
      <c r="U173" s="149">
        <f>IFERROR(IF(R173="","",IF(R173&gt;=C173/(1-SKU_Base!AC173)/(1-Settings!$E$17),"OK",IF(R173&gt;=C173/(1-SKU_Base!AJ173)/(1-Settings!$E$17),"WARN","STOP"))),"")</f>
        <v/>
      </c>
      <c r="V173" s="161">
        <f>IFERROR(ROUND(D173*(1-CHOOSE(MATCH(IF($E173="","Основний",$E173),{"Трафіковий","Основний","Маржинальний","Сезонний","Стратегічний"},0),Settings!$F$78,Settings!$F$80,Settings!$F$82,Settings!$F$84,Settings!$F$86))/6,2)*6,"")</f>
        <v/>
      </c>
      <c r="W173" s="142">
        <f>IFERROR(CHOOSE(MATCH(IF($E173="","Основний",$E173),{"Трафіковий","Основний","Маржинальний","Сезонний","Стратегічний"},0),Settings!$F$78,Settings!$F$80,Settings!$F$82,Settings!$F$84,Settings!$F$86),"")</f>
        <v/>
      </c>
      <c r="X173" s="148">
        <f>IFERROR((V173*(1-Settings!$F$17)-C173)/(V173*(1-Settings!$F$17)),"")</f>
        <v/>
      </c>
      <c r="Y173" s="149">
        <f>IFERROR(IF(V173="","",IF(V173&gt;=C173/(1-SKU_Base!AD173)/(1-Settings!$F$17),"OK",IF(V173&gt;=C173/(1-SKU_Base!AK173)/(1-Settings!$F$17),"WARN","STOP"))),"")</f>
        <v/>
      </c>
      <c r="Z173" s="161">
        <f>IFERROR(ROUND(D173*(1-CHOOSE(MATCH(IF($E173="","Основний",$E173),{"Трафіковий","Основний","Маржинальний","Сезонний","Стратегічний"},0),Settings!$G$78,Settings!$G$80,Settings!$G$82,Settings!$G$84,Settings!$G$86))/6,2)*6,"")</f>
        <v/>
      </c>
      <c r="AA173" s="142">
        <f>IFERROR(CHOOSE(MATCH(IF($E173="","Основний",$E173),{"Трафіковий","Основний","Маржинальний","Сезонний","Стратегічний"},0),Settings!$G$78,Settings!$G$80,Settings!$G$82,Settings!$G$84,Settings!$G$86),"")</f>
        <v/>
      </c>
      <c r="AB173" s="148">
        <f>IFERROR((Z173*(1-Settings!$G$17)-C173)/(Z173*(1-Settings!$G$17)),"")</f>
        <v/>
      </c>
      <c r="AC173" s="149">
        <f>IFERROR(IF(Z173="","",IF(Z173&gt;=C173/(1-SKU_Base!AE173)/(1-Settings!$G$17),"OK",IF(Z173&gt;=C173/(1-SKU_Base!AL173)/(1-Settings!$G$17),"WARN","STOP"))),"")</f>
        <v/>
      </c>
      <c r="AD173" s="161">
        <f>IFERROR(ROUND(D173*(1-CHOOSE(MATCH(IF($E173="","Основний",$E173),{"Трафіковий","Основний","Маржинальний","Сезонний","Стратегічний"},0),Settings!$H$78,Settings!$H$80,Settings!$H$82,Settings!$H$84,Settings!$H$86))*(1-Settings!$H$68)/6,2)*6,"")</f>
        <v/>
      </c>
      <c r="AE173" s="142">
        <f>IFERROR(CHOOSE(MATCH(IF($E173="","Основний",$E173),{"Трафіковий","Основний","Маржинальний","Сезонний","Стратегічний"},0),Settings!$H$78,Settings!$H$80,Settings!$H$82,Settings!$H$84,Settings!$H$86)+(1-(CHOOSE(MATCH(IF($E173="","Основний",$E173),{"Трафіковий","Основний","Маржинальний","Сезонний","Стратегічний"},0),Settings!$H$78,Settings!$H$80,Settings!$H$82,Settings!$H$84,Settings!$H$86)))*Settings!$H$68,"")</f>
        <v/>
      </c>
      <c r="AF173" s="148">
        <f>IFERROR((AD173*(1-Settings!$H$17)-C173)/(AD173*(1-Settings!$H$17)),"")</f>
        <v/>
      </c>
      <c r="AG173" s="150">
        <f>IFERROR(IF(AD173="","",IF(AD173&gt;=C173/(1-SKU_Base!AF173)/(1-Settings!$H$17),"OK",IF(AD173&gt;=C173/(1-SKU_Base!AM173)/(1-Settings!$H$17),"WARN","STOP"))),"")</f>
        <v/>
      </c>
    </row>
    <row r="174" ht="17" customHeight="1" s="179">
      <c r="A174" s="139">
        <f>SKU_Base!B174</f>
        <v/>
      </c>
      <c r="B174" s="139">
        <f>SKU_Base!C174</f>
        <v/>
      </c>
      <c r="C174" s="140">
        <f>IFERROR(SKU_Base!I174,"")</f>
        <v/>
      </c>
      <c r="D174" s="163">
        <f>IFERROR(SKU_Base!T174,"")</f>
        <v/>
      </c>
      <c r="E174" s="141">
        <f>IFERROR(SKU_Base!$U174,"")</f>
        <v/>
      </c>
      <c r="F174" s="158">
        <f>IFERROR(ROUND(D174*(1-CHOOSE(MATCH(IF($E174="","Основний",$E174),{"Трафіковий","Основний","Маржинальний","Сезонний","Стратегічний"},0),Settings!$B$78,Settings!$B$80,Settings!$B$82,Settings!$B$84,Settings!$B$86))/6,2)*6,"")</f>
        <v/>
      </c>
      <c r="G174" s="142">
        <f>IFERROR(CHOOSE(MATCH(IF($E174="","Основний",$E174),{"Трафіковий","Основний","Маржинальний","Сезонний","Стратегічний"},0),Settings!$B$78,Settings!$B$80,Settings!$B$82,Settings!$B$84,Settings!$B$86),"")</f>
        <v/>
      </c>
      <c r="H174" s="143">
        <f>IFERROR((F174*(1-Settings!$B$17)-C174)/(F174*(1-Settings!$B$17)),"")</f>
        <v/>
      </c>
      <c r="I174" s="150">
        <f>IFERROR(IF(F174="","",IF(F174&gt;=C174/(1-SKU_Base!Z174)/(1-Settings!$B$17),"OK",IF(F174&gt;=C174/(1-SKU_Base!AG174)/(1-Settings!$B$17),"WARN","STOP"))),"")</f>
        <v/>
      </c>
      <c r="J174" s="158">
        <f>IFERROR(ROUND(D174*(1-CHOOSE(MATCH(IF($E174="","Основний",$E174),{"Трафіковий","Основний","Маржинальний","Сезонний","Стратегічний"},0),Settings!$C$78,Settings!$C$80,Settings!$C$82,Settings!$C$84,Settings!$C$86))/6,2)*6,"")</f>
        <v/>
      </c>
      <c r="K174" s="142">
        <f>IFERROR(CHOOSE(MATCH(IF($E174="","Основний",$E174),{"Трафіковий","Основний","Маржинальний","Сезонний","Стратегічний"},0),Settings!$C$78,Settings!$C$80,Settings!$C$82,Settings!$C$84,Settings!$C$86),"")</f>
        <v/>
      </c>
      <c r="L174" s="143">
        <f>IFERROR((J174*(1-Settings!$C$17)-C174)/(J174*(1-Settings!$C$17)),"")</f>
        <v/>
      </c>
      <c r="M174" s="149">
        <f>IFERROR(IF(J174="","",IF(J174&gt;=C174/(1-SKU_Base!AA174)/(1-Settings!$C$17),"OK",IF(J174&gt;=C174/(1-SKU_Base!AH174)/(1-Settings!$C$17),"WARN","STOP"))),"")</f>
        <v/>
      </c>
      <c r="N174" s="159">
        <f>IFERROR(ROUND(D174*(1-CHOOSE(MATCH(IF($E174="","Основний",$E174),{"Трафіковий","Основний","Маржинальний","Сезонний","Стратегічний"},0),Settings!$D$78,Settings!$D$80,Settings!$D$82,Settings!$D$84,Settings!$D$86))/6,2)*6,"")</f>
        <v/>
      </c>
      <c r="O174" s="142">
        <f>IFERROR(CHOOSE(MATCH(IF($E174="","Основний",$E174),{"Трафіковий","Основний","Маржинальний","Сезонний","Стратегічний"},0),Settings!$D$78,Settings!$D$80,Settings!$D$82,Settings!$D$84,Settings!$D$86),"")</f>
        <v/>
      </c>
      <c r="P174" s="143">
        <f>IFERROR((N174*(1-Settings!$D$17)-C174)/(N174*(1-Settings!$D$17)),"")</f>
        <v/>
      </c>
      <c r="Q174" s="149">
        <f>IFERROR(IF(N174="","",IF(N174&gt;=C174/(1-SKU_Base!AB174)/(1-Settings!$D$17),"OK",IF(N174&gt;=C174/(1-SKU_Base!AI174)/(1-Settings!$D$17),"WARN","STOP"))),"")</f>
        <v/>
      </c>
      <c r="R174" s="159">
        <f>IFERROR(ROUND(D174*(1-CHOOSE(MATCH(IF($E174="","Основний",$E174),{"Трафіковий","Основний","Маржинальний","Сезонний","Стратегічний"},0),Settings!$E$78,Settings!$E$80,Settings!$E$82,Settings!$E$84,Settings!$E$86))/6,2)*6,"")</f>
        <v/>
      </c>
      <c r="S174" s="142">
        <f>IFERROR(CHOOSE(MATCH(IF($E174="","Основний",$E174),{"Трафіковий","Основний","Маржинальний","Сезонний","Стратегічний"},0),Settings!$E$78,Settings!$E$80,Settings!$E$82,Settings!$E$84,Settings!$E$86),"")</f>
        <v/>
      </c>
      <c r="T174" s="143">
        <f>IFERROR((R174*(1-Settings!$E$17)-C174)/(R174*(1-Settings!$E$17)),"")</f>
        <v/>
      </c>
      <c r="U174" s="149">
        <f>IFERROR(IF(R174="","",IF(R174&gt;=C174/(1-SKU_Base!AC174)/(1-Settings!$E$17),"OK",IF(R174&gt;=C174/(1-SKU_Base!AJ174)/(1-Settings!$E$17),"WARN","STOP"))),"")</f>
        <v/>
      </c>
      <c r="V174" s="159">
        <f>IFERROR(ROUND(D174*(1-CHOOSE(MATCH(IF($E174="","Основний",$E174),{"Трафіковий","Основний","Маржинальний","Сезонний","Стратегічний"},0),Settings!$F$78,Settings!$F$80,Settings!$F$82,Settings!$F$84,Settings!$F$86))/6,2)*6,"")</f>
        <v/>
      </c>
      <c r="W174" s="142">
        <f>IFERROR(CHOOSE(MATCH(IF($E174="","Основний",$E174),{"Трафіковий","Основний","Маржинальний","Сезонний","Стратегічний"},0),Settings!$F$78,Settings!$F$80,Settings!$F$82,Settings!$F$84,Settings!$F$86),"")</f>
        <v/>
      </c>
      <c r="X174" s="143">
        <f>IFERROR((V174*(1-Settings!$F$17)-C174)/(V174*(1-Settings!$F$17)),"")</f>
        <v/>
      </c>
      <c r="Y174" s="149">
        <f>IFERROR(IF(V174="","",IF(V174&gt;=C174/(1-SKU_Base!AD174)/(1-Settings!$F$17),"OK",IF(V174&gt;=C174/(1-SKU_Base!AK174)/(1-Settings!$F$17),"WARN","STOP"))),"")</f>
        <v/>
      </c>
      <c r="Z174" s="159">
        <f>IFERROR(ROUND(D174*(1-CHOOSE(MATCH(IF($E174="","Основний",$E174),{"Трафіковий","Основний","Маржинальний","Сезонний","Стратегічний"},0),Settings!$G$78,Settings!$G$80,Settings!$G$82,Settings!$G$84,Settings!$G$86))/6,2)*6,"")</f>
        <v/>
      </c>
      <c r="AA174" s="142">
        <f>IFERROR(CHOOSE(MATCH(IF($E174="","Основний",$E174),{"Трафіковий","Основний","Маржинальний","Сезонний","Стратегічний"},0),Settings!$G$78,Settings!$G$80,Settings!$G$82,Settings!$G$84,Settings!$G$86),"")</f>
        <v/>
      </c>
      <c r="AB174" s="143">
        <f>IFERROR((Z174*(1-Settings!$G$17)-C174)/(Z174*(1-Settings!$G$17)),"")</f>
        <v/>
      </c>
      <c r="AC174" s="149">
        <f>IFERROR(IF(Z174="","",IF(Z174&gt;=C174/(1-SKU_Base!AE174)/(1-Settings!$G$17),"OK",IF(Z174&gt;=C174/(1-SKU_Base!AL174)/(1-Settings!$G$17),"WARN","STOP"))),"")</f>
        <v/>
      </c>
      <c r="AD174" s="159">
        <f>IFERROR(ROUND(D174*(1-CHOOSE(MATCH(IF($E174="","Основний",$E174),{"Трафіковий","Основний","Маржинальний","Сезонний","Стратегічний"},0),Settings!$H$78,Settings!$H$80,Settings!$H$82,Settings!$H$84,Settings!$H$86))*(1-Settings!$H$68)/6,2)*6,"")</f>
        <v/>
      </c>
      <c r="AE174" s="142">
        <f>IFERROR(CHOOSE(MATCH(IF($E174="","Основний",$E174),{"Трафіковий","Основний","Маржинальний","Сезонний","Стратегічний"},0),Settings!$H$78,Settings!$H$80,Settings!$H$82,Settings!$H$84,Settings!$H$86)+(1-(CHOOSE(MATCH(IF($E174="","Основний",$E174),{"Трафіковий","Основний","Маржинальний","Сезонний","Стратегічний"},0),Settings!$H$78,Settings!$H$80,Settings!$H$82,Settings!$H$84,Settings!$H$86)))*Settings!$H$68,"")</f>
        <v/>
      </c>
      <c r="AF174" s="143">
        <f>IFERROR((AD174*(1-Settings!$H$17)-C174)/(AD174*(1-Settings!$H$17)),"")</f>
        <v/>
      </c>
      <c r="AG174" s="150">
        <f>IFERROR(IF(AD174="","",IF(AD174&gt;=C174/(1-SKU_Base!AF174)/(1-Settings!$H$17),"OK",IF(AD174&gt;=C174/(1-SKU_Base!AM174)/(1-Settings!$H$17),"WARN","STOP"))),"")</f>
        <v/>
      </c>
    </row>
    <row r="175" ht="17" customHeight="1" s="179">
      <c r="A175" s="146">
        <f>SKU_Base!B175</f>
        <v/>
      </c>
      <c r="B175" s="146">
        <f>SKU_Base!C175</f>
        <v/>
      </c>
      <c r="C175" s="147">
        <f>IFERROR(SKU_Base!I175,"")</f>
        <v/>
      </c>
      <c r="D175" s="164">
        <f>IFERROR(SKU_Base!T175,"")</f>
        <v/>
      </c>
      <c r="E175" s="141">
        <f>IFERROR(SKU_Base!$U175,"")</f>
        <v/>
      </c>
      <c r="F175" s="160">
        <f>IFERROR(ROUND(D175*(1-CHOOSE(MATCH(IF($E175="","Основний",$E175),{"Трафіковий","Основний","Маржинальний","Сезонний","Стратегічний"},0),Settings!$B$78,Settings!$B$80,Settings!$B$82,Settings!$B$84,Settings!$B$86))/6,2)*6,"")</f>
        <v/>
      </c>
      <c r="G175" s="142">
        <f>IFERROR(CHOOSE(MATCH(IF($E175="","Основний",$E175),{"Трафіковий","Основний","Маржинальний","Сезонний","Стратегічний"},0),Settings!$B$78,Settings!$B$80,Settings!$B$82,Settings!$B$84,Settings!$B$86),"")</f>
        <v/>
      </c>
      <c r="H175" s="148">
        <f>IFERROR((F175*(1-Settings!$B$17)-C175)/(F175*(1-Settings!$B$17)),"")</f>
        <v/>
      </c>
      <c r="I175" s="149">
        <f>IFERROR(IF(F175="","",IF(F175&gt;=C175/(1-SKU_Base!Z175)/(1-Settings!$B$17),"OK",IF(F175&gt;=C175/(1-SKU_Base!AG175)/(1-Settings!$B$17),"WARN","STOP"))),"")</f>
        <v/>
      </c>
      <c r="J175" s="160">
        <f>IFERROR(ROUND(D175*(1-CHOOSE(MATCH(IF($E175="","Основний",$E175),{"Трафіковий","Основний","Маржинальний","Сезонний","Стратегічний"},0),Settings!$C$78,Settings!$C$80,Settings!$C$82,Settings!$C$84,Settings!$C$86))/6,2)*6,"")</f>
        <v/>
      </c>
      <c r="K175" s="142">
        <f>IFERROR(CHOOSE(MATCH(IF($E175="","Основний",$E175),{"Трафіковий","Основний","Маржинальний","Сезонний","Стратегічний"},0),Settings!$C$78,Settings!$C$80,Settings!$C$82,Settings!$C$84,Settings!$C$86),"")</f>
        <v/>
      </c>
      <c r="L175" s="148">
        <f>IFERROR((J175*(1-Settings!$C$17)-C175)/(J175*(1-Settings!$C$17)),"")</f>
        <v/>
      </c>
      <c r="M175" s="149">
        <f>IFERROR(IF(J175="","",IF(J175&gt;=C175/(1-SKU_Base!AA175)/(1-Settings!$C$17),"OK",IF(J175&gt;=C175/(1-SKU_Base!AH175)/(1-Settings!$C$17),"WARN","STOP"))),"")</f>
        <v/>
      </c>
      <c r="N175" s="161">
        <f>IFERROR(ROUND(D175*(1-CHOOSE(MATCH(IF($E175="","Основний",$E175),{"Трафіковий","Основний","Маржинальний","Сезонний","Стратегічний"},0),Settings!$D$78,Settings!$D$80,Settings!$D$82,Settings!$D$84,Settings!$D$86))/6,2)*6,"")</f>
        <v/>
      </c>
      <c r="O175" s="142">
        <f>IFERROR(CHOOSE(MATCH(IF($E175="","Основний",$E175),{"Трафіковий","Основний","Маржинальний","Сезонний","Стратегічний"},0),Settings!$D$78,Settings!$D$80,Settings!$D$82,Settings!$D$84,Settings!$D$86),"")</f>
        <v/>
      </c>
      <c r="P175" s="148">
        <f>IFERROR((N175*(1-Settings!$D$17)-C175)/(N175*(1-Settings!$D$17)),"")</f>
        <v/>
      </c>
      <c r="Q175" s="149">
        <f>IFERROR(IF(N175="","",IF(N175&gt;=C175/(1-SKU_Base!AB175)/(1-Settings!$D$17),"OK",IF(N175&gt;=C175/(1-SKU_Base!AI175)/(1-Settings!$D$17),"WARN","STOP"))),"")</f>
        <v/>
      </c>
      <c r="R175" s="161">
        <f>IFERROR(ROUND(D175*(1-CHOOSE(MATCH(IF($E175="","Основний",$E175),{"Трафіковий","Основний","Маржинальний","Сезонний","Стратегічний"},0),Settings!$E$78,Settings!$E$80,Settings!$E$82,Settings!$E$84,Settings!$E$86))/6,2)*6,"")</f>
        <v/>
      </c>
      <c r="S175" s="142">
        <f>IFERROR(CHOOSE(MATCH(IF($E175="","Основний",$E175),{"Трафіковий","Основний","Маржинальний","Сезонний","Стратегічний"},0),Settings!$E$78,Settings!$E$80,Settings!$E$82,Settings!$E$84,Settings!$E$86),"")</f>
        <v/>
      </c>
      <c r="T175" s="148">
        <f>IFERROR((R175*(1-Settings!$E$17)-C175)/(R175*(1-Settings!$E$17)),"")</f>
        <v/>
      </c>
      <c r="U175" s="149">
        <f>IFERROR(IF(R175="","",IF(R175&gt;=C175/(1-SKU_Base!AC175)/(1-Settings!$E$17),"OK",IF(R175&gt;=C175/(1-SKU_Base!AJ175)/(1-Settings!$E$17),"WARN","STOP"))),"")</f>
        <v/>
      </c>
      <c r="V175" s="161">
        <f>IFERROR(ROUND(D175*(1-CHOOSE(MATCH(IF($E175="","Основний",$E175),{"Трафіковий","Основний","Маржинальний","Сезонний","Стратегічний"},0),Settings!$F$78,Settings!$F$80,Settings!$F$82,Settings!$F$84,Settings!$F$86))/6,2)*6,"")</f>
        <v/>
      </c>
      <c r="W175" s="142">
        <f>IFERROR(CHOOSE(MATCH(IF($E175="","Основний",$E175),{"Трафіковий","Основний","Маржинальний","Сезонний","Стратегічний"},0),Settings!$F$78,Settings!$F$80,Settings!$F$82,Settings!$F$84,Settings!$F$86),"")</f>
        <v/>
      </c>
      <c r="X175" s="148">
        <f>IFERROR((V175*(1-Settings!$F$17)-C175)/(V175*(1-Settings!$F$17)),"")</f>
        <v/>
      </c>
      <c r="Y175" s="149">
        <f>IFERROR(IF(V175="","",IF(V175&gt;=C175/(1-SKU_Base!AD175)/(1-Settings!$F$17),"OK",IF(V175&gt;=C175/(1-SKU_Base!AK175)/(1-Settings!$F$17),"WARN","STOP"))),"")</f>
        <v/>
      </c>
      <c r="Z175" s="161">
        <f>IFERROR(ROUND(D175*(1-CHOOSE(MATCH(IF($E175="","Основний",$E175),{"Трафіковий","Основний","Маржинальний","Сезонний","Стратегічний"},0),Settings!$G$78,Settings!$G$80,Settings!$G$82,Settings!$G$84,Settings!$G$86))/6,2)*6,"")</f>
        <v/>
      </c>
      <c r="AA175" s="142">
        <f>IFERROR(CHOOSE(MATCH(IF($E175="","Основний",$E175),{"Трафіковий","Основний","Маржинальний","Сезонний","Стратегічний"},0),Settings!$G$78,Settings!$G$80,Settings!$G$82,Settings!$G$84,Settings!$G$86),"")</f>
        <v/>
      </c>
      <c r="AB175" s="148">
        <f>IFERROR((Z175*(1-Settings!$G$17)-C175)/(Z175*(1-Settings!$G$17)),"")</f>
        <v/>
      </c>
      <c r="AC175" s="149">
        <f>IFERROR(IF(Z175="","",IF(Z175&gt;=C175/(1-SKU_Base!AE175)/(1-Settings!$G$17),"OK",IF(Z175&gt;=C175/(1-SKU_Base!AL175)/(1-Settings!$G$17),"WARN","STOP"))),"")</f>
        <v/>
      </c>
      <c r="AD175" s="161">
        <f>IFERROR(ROUND(D175*(1-CHOOSE(MATCH(IF($E175="","Основний",$E175),{"Трафіковий","Основний","Маржинальний","Сезонний","Стратегічний"},0),Settings!$H$78,Settings!$H$80,Settings!$H$82,Settings!$H$84,Settings!$H$86))*(1-Settings!$H$68)/6,2)*6,"")</f>
        <v/>
      </c>
      <c r="AE175" s="142">
        <f>IFERROR(CHOOSE(MATCH(IF($E175="","Основний",$E175),{"Трафіковий","Основний","Маржинальний","Сезонний","Стратегічний"},0),Settings!$H$78,Settings!$H$80,Settings!$H$82,Settings!$H$84,Settings!$H$86)+(1-(CHOOSE(MATCH(IF($E175="","Основний",$E175),{"Трафіковий","Основний","Маржинальний","Сезонний","Стратегічний"},0),Settings!$H$78,Settings!$H$80,Settings!$H$82,Settings!$H$84,Settings!$H$86)))*Settings!$H$68,"")</f>
        <v/>
      </c>
      <c r="AF175" s="148">
        <f>IFERROR((AD175*(1-Settings!$H$17)-C175)/(AD175*(1-Settings!$H$17)),"")</f>
        <v/>
      </c>
      <c r="AG175" s="150">
        <f>IFERROR(IF(AD175="","",IF(AD175&gt;=C175/(1-SKU_Base!AF175)/(1-Settings!$H$17),"OK",IF(AD175&gt;=C175/(1-SKU_Base!AM175)/(1-Settings!$H$17),"WARN","STOP"))),"")</f>
        <v/>
      </c>
    </row>
    <row r="176" ht="17" customHeight="1" s="179">
      <c r="A176" s="139">
        <f>SKU_Base!B176</f>
        <v/>
      </c>
      <c r="B176" s="139">
        <f>SKU_Base!C176</f>
        <v/>
      </c>
      <c r="C176" s="140">
        <f>IFERROR(SKU_Base!I176,"")</f>
        <v/>
      </c>
      <c r="D176" s="163">
        <f>IFERROR(SKU_Base!T176,"")</f>
        <v/>
      </c>
      <c r="E176" s="141">
        <f>IFERROR(SKU_Base!$U176,"")</f>
        <v/>
      </c>
      <c r="F176" s="158">
        <f>IFERROR(ROUND(D176*(1-CHOOSE(MATCH(IF($E176="","Основний",$E176),{"Трафіковий","Основний","Маржинальний","Сезонний","Стратегічний"},0),Settings!$B$78,Settings!$B$80,Settings!$B$82,Settings!$B$84,Settings!$B$86))/6,2)*6,"")</f>
        <v/>
      </c>
      <c r="G176" s="142">
        <f>IFERROR(CHOOSE(MATCH(IF($E176="","Основний",$E176),{"Трафіковий","Основний","Маржинальний","Сезонний","Стратегічний"},0),Settings!$B$78,Settings!$B$80,Settings!$B$82,Settings!$B$84,Settings!$B$86),"")</f>
        <v/>
      </c>
      <c r="H176" s="143">
        <f>IFERROR((F176*(1-Settings!$B$17)-C176)/(F176*(1-Settings!$B$17)),"")</f>
        <v/>
      </c>
      <c r="I176" s="150">
        <f>IFERROR(IF(F176="","",IF(F176&gt;=C176/(1-SKU_Base!Z176)/(1-Settings!$B$17),"OK",IF(F176&gt;=C176/(1-SKU_Base!AG176)/(1-Settings!$B$17),"WARN","STOP"))),"")</f>
        <v/>
      </c>
      <c r="J176" s="158">
        <f>IFERROR(ROUND(D176*(1-CHOOSE(MATCH(IF($E176="","Основний",$E176),{"Трафіковий","Основний","Маржинальний","Сезонний","Стратегічний"},0),Settings!$C$78,Settings!$C$80,Settings!$C$82,Settings!$C$84,Settings!$C$86))/6,2)*6,"")</f>
        <v/>
      </c>
      <c r="K176" s="142">
        <f>IFERROR(CHOOSE(MATCH(IF($E176="","Основний",$E176),{"Трафіковий","Основний","Маржинальний","Сезонний","Стратегічний"},0),Settings!$C$78,Settings!$C$80,Settings!$C$82,Settings!$C$84,Settings!$C$86),"")</f>
        <v/>
      </c>
      <c r="L176" s="143">
        <f>IFERROR((J176*(1-Settings!$C$17)-C176)/(J176*(1-Settings!$C$17)),"")</f>
        <v/>
      </c>
      <c r="M176" s="149">
        <f>IFERROR(IF(J176="","",IF(J176&gt;=C176/(1-SKU_Base!AA176)/(1-Settings!$C$17),"OK",IF(J176&gt;=C176/(1-SKU_Base!AH176)/(1-Settings!$C$17),"WARN","STOP"))),"")</f>
        <v/>
      </c>
      <c r="N176" s="159">
        <f>IFERROR(ROUND(D176*(1-CHOOSE(MATCH(IF($E176="","Основний",$E176),{"Трафіковий","Основний","Маржинальний","Сезонний","Стратегічний"},0),Settings!$D$78,Settings!$D$80,Settings!$D$82,Settings!$D$84,Settings!$D$86))/6,2)*6,"")</f>
        <v/>
      </c>
      <c r="O176" s="142">
        <f>IFERROR(CHOOSE(MATCH(IF($E176="","Основний",$E176),{"Трафіковий","Основний","Маржинальний","Сезонний","Стратегічний"},0),Settings!$D$78,Settings!$D$80,Settings!$D$82,Settings!$D$84,Settings!$D$86),"")</f>
        <v/>
      </c>
      <c r="P176" s="143">
        <f>IFERROR((N176*(1-Settings!$D$17)-C176)/(N176*(1-Settings!$D$17)),"")</f>
        <v/>
      </c>
      <c r="Q176" s="149">
        <f>IFERROR(IF(N176="","",IF(N176&gt;=C176/(1-SKU_Base!AB176)/(1-Settings!$D$17),"OK",IF(N176&gt;=C176/(1-SKU_Base!AI176)/(1-Settings!$D$17),"WARN","STOP"))),"")</f>
        <v/>
      </c>
      <c r="R176" s="159">
        <f>IFERROR(ROUND(D176*(1-CHOOSE(MATCH(IF($E176="","Основний",$E176),{"Трафіковий","Основний","Маржинальний","Сезонний","Стратегічний"},0),Settings!$E$78,Settings!$E$80,Settings!$E$82,Settings!$E$84,Settings!$E$86))/6,2)*6,"")</f>
        <v/>
      </c>
      <c r="S176" s="142">
        <f>IFERROR(CHOOSE(MATCH(IF($E176="","Основний",$E176),{"Трафіковий","Основний","Маржинальний","Сезонний","Стратегічний"},0),Settings!$E$78,Settings!$E$80,Settings!$E$82,Settings!$E$84,Settings!$E$86),"")</f>
        <v/>
      </c>
      <c r="T176" s="143">
        <f>IFERROR((R176*(1-Settings!$E$17)-C176)/(R176*(1-Settings!$E$17)),"")</f>
        <v/>
      </c>
      <c r="U176" s="149">
        <f>IFERROR(IF(R176="","",IF(R176&gt;=C176/(1-SKU_Base!AC176)/(1-Settings!$E$17),"OK",IF(R176&gt;=C176/(1-SKU_Base!AJ176)/(1-Settings!$E$17),"WARN","STOP"))),"")</f>
        <v/>
      </c>
      <c r="V176" s="159">
        <f>IFERROR(ROUND(D176*(1-CHOOSE(MATCH(IF($E176="","Основний",$E176),{"Трафіковий","Основний","Маржинальний","Сезонний","Стратегічний"},0),Settings!$F$78,Settings!$F$80,Settings!$F$82,Settings!$F$84,Settings!$F$86))/6,2)*6,"")</f>
        <v/>
      </c>
      <c r="W176" s="142">
        <f>IFERROR(CHOOSE(MATCH(IF($E176="","Основний",$E176),{"Трафіковий","Основний","Маржинальний","Сезонний","Стратегічний"},0),Settings!$F$78,Settings!$F$80,Settings!$F$82,Settings!$F$84,Settings!$F$86),"")</f>
        <v/>
      </c>
      <c r="X176" s="143">
        <f>IFERROR((V176*(1-Settings!$F$17)-C176)/(V176*(1-Settings!$F$17)),"")</f>
        <v/>
      </c>
      <c r="Y176" s="149">
        <f>IFERROR(IF(V176="","",IF(V176&gt;=C176/(1-SKU_Base!AD176)/(1-Settings!$F$17),"OK",IF(V176&gt;=C176/(1-SKU_Base!AK176)/(1-Settings!$F$17),"WARN","STOP"))),"")</f>
        <v/>
      </c>
      <c r="Z176" s="159">
        <f>IFERROR(ROUND(D176*(1-CHOOSE(MATCH(IF($E176="","Основний",$E176),{"Трафіковий","Основний","Маржинальний","Сезонний","Стратегічний"},0),Settings!$G$78,Settings!$G$80,Settings!$G$82,Settings!$G$84,Settings!$G$86))/6,2)*6,"")</f>
        <v/>
      </c>
      <c r="AA176" s="142">
        <f>IFERROR(CHOOSE(MATCH(IF($E176="","Основний",$E176),{"Трафіковий","Основний","Маржинальний","Сезонний","Стратегічний"},0),Settings!$G$78,Settings!$G$80,Settings!$G$82,Settings!$G$84,Settings!$G$86),"")</f>
        <v/>
      </c>
      <c r="AB176" s="143">
        <f>IFERROR((Z176*(1-Settings!$G$17)-C176)/(Z176*(1-Settings!$G$17)),"")</f>
        <v/>
      </c>
      <c r="AC176" s="149">
        <f>IFERROR(IF(Z176="","",IF(Z176&gt;=C176/(1-SKU_Base!AE176)/(1-Settings!$G$17),"OK",IF(Z176&gt;=C176/(1-SKU_Base!AL176)/(1-Settings!$G$17),"WARN","STOP"))),"")</f>
        <v/>
      </c>
      <c r="AD176" s="159">
        <f>IFERROR(ROUND(D176*(1-CHOOSE(MATCH(IF($E176="","Основний",$E176),{"Трафіковий","Основний","Маржинальний","Сезонний","Стратегічний"},0),Settings!$H$78,Settings!$H$80,Settings!$H$82,Settings!$H$84,Settings!$H$86))*(1-Settings!$H$68)/6,2)*6,"")</f>
        <v/>
      </c>
      <c r="AE176" s="142">
        <f>IFERROR(CHOOSE(MATCH(IF($E176="","Основний",$E176),{"Трафіковий","Основний","Маржинальний","Сезонний","Стратегічний"},0),Settings!$H$78,Settings!$H$80,Settings!$H$82,Settings!$H$84,Settings!$H$86)+(1-(CHOOSE(MATCH(IF($E176="","Основний",$E176),{"Трафіковий","Основний","Маржинальний","Сезонний","Стратегічний"},0),Settings!$H$78,Settings!$H$80,Settings!$H$82,Settings!$H$84,Settings!$H$86)))*Settings!$H$68,"")</f>
        <v/>
      </c>
      <c r="AF176" s="143">
        <f>IFERROR((AD176*(1-Settings!$H$17)-C176)/(AD176*(1-Settings!$H$17)),"")</f>
        <v/>
      </c>
      <c r="AG176" s="150">
        <f>IFERROR(IF(AD176="","",IF(AD176&gt;=C176/(1-SKU_Base!AF176)/(1-Settings!$H$17),"OK",IF(AD176&gt;=C176/(1-SKU_Base!AM176)/(1-Settings!$H$17),"WARN","STOP"))),"")</f>
        <v/>
      </c>
    </row>
    <row r="177" ht="17" customHeight="1" s="179">
      <c r="A177" s="146">
        <f>SKU_Base!B177</f>
        <v/>
      </c>
      <c r="B177" s="146">
        <f>SKU_Base!C177</f>
        <v/>
      </c>
      <c r="C177" s="147">
        <f>IFERROR(SKU_Base!I177,"")</f>
        <v/>
      </c>
      <c r="D177" s="164">
        <f>IFERROR(SKU_Base!T177,"")</f>
        <v/>
      </c>
      <c r="E177" s="141">
        <f>IFERROR(SKU_Base!$U177,"")</f>
        <v/>
      </c>
      <c r="F177" s="160">
        <f>IFERROR(ROUND(D177*(1-CHOOSE(MATCH(IF($E177="","Основний",$E177),{"Трафіковий","Основний","Маржинальний","Сезонний","Стратегічний"},0),Settings!$B$78,Settings!$B$80,Settings!$B$82,Settings!$B$84,Settings!$B$86))/6,2)*6,"")</f>
        <v/>
      </c>
      <c r="G177" s="142">
        <f>IFERROR(CHOOSE(MATCH(IF($E177="","Основний",$E177),{"Трафіковий","Основний","Маржинальний","Сезонний","Стратегічний"},0),Settings!$B$78,Settings!$B$80,Settings!$B$82,Settings!$B$84,Settings!$B$86),"")</f>
        <v/>
      </c>
      <c r="H177" s="148">
        <f>IFERROR((F177*(1-Settings!$B$17)-C177)/(F177*(1-Settings!$B$17)),"")</f>
        <v/>
      </c>
      <c r="I177" s="149">
        <f>IFERROR(IF(F177="","",IF(F177&gt;=C177/(1-SKU_Base!Z177)/(1-Settings!$B$17),"OK",IF(F177&gt;=C177/(1-SKU_Base!AG177)/(1-Settings!$B$17),"WARN","STOP"))),"")</f>
        <v/>
      </c>
      <c r="J177" s="160">
        <f>IFERROR(ROUND(D177*(1-CHOOSE(MATCH(IF($E177="","Основний",$E177),{"Трафіковий","Основний","Маржинальний","Сезонний","Стратегічний"},0),Settings!$C$78,Settings!$C$80,Settings!$C$82,Settings!$C$84,Settings!$C$86))/6,2)*6,"")</f>
        <v/>
      </c>
      <c r="K177" s="142">
        <f>IFERROR(CHOOSE(MATCH(IF($E177="","Основний",$E177),{"Трафіковий","Основний","Маржинальний","Сезонний","Стратегічний"},0),Settings!$C$78,Settings!$C$80,Settings!$C$82,Settings!$C$84,Settings!$C$86),"")</f>
        <v/>
      </c>
      <c r="L177" s="148">
        <f>IFERROR((J177*(1-Settings!$C$17)-C177)/(J177*(1-Settings!$C$17)),"")</f>
        <v/>
      </c>
      <c r="M177" s="149">
        <f>IFERROR(IF(J177="","",IF(J177&gt;=C177/(1-SKU_Base!AA177)/(1-Settings!$C$17),"OK",IF(J177&gt;=C177/(1-SKU_Base!AH177)/(1-Settings!$C$17),"WARN","STOP"))),"")</f>
        <v/>
      </c>
      <c r="N177" s="161">
        <f>IFERROR(ROUND(D177*(1-CHOOSE(MATCH(IF($E177="","Основний",$E177),{"Трафіковий","Основний","Маржинальний","Сезонний","Стратегічний"},0),Settings!$D$78,Settings!$D$80,Settings!$D$82,Settings!$D$84,Settings!$D$86))/6,2)*6,"")</f>
        <v/>
      </c>
      <c r="O177" s="142">
        <f>IFERROR(CHOOSE(MATCH(IF($E177="","Основний",$E177),{"Трафіковий","Основний","Маржинальний","Сезонний","Стратегічний"},0),Settings!$D$78,Settings!$D$80,Settings!$D$82,Settings!$D$84,Settings!$D$86),"")</f>
        <v/>
      </c>
      <c r="P177" s="148">
        <f>IFERROR((N177*(1-Settings!$D$17)-C177)/(N177*(1-Settings!$D$17)),"")</f>
        <v/>
      </c>
      <c r="Q177" s="149">
        <f>IFERROR(IF(N177="","",IF(N177&gt;=C177/(1-SKU_Base!AB177)/(1-Settings!$D$17),"OK",IF(N177&gt;=C177/(1-SKU_Base!AI177)/(1-Settings!$D$17),"WARN","STOP"))),"")</f>
        <v/>
      </c>
      <c r="R177" s="161">
        <f>IFERROR(ROUND(D177*(1-CHOOSE(MATCH(IF($E177="","Основний",$E177),{"Трафіковий","Основний","Маржинальний","Сезонний","Стратегічний"},0),Settings!$E$78,Settings!$E$80,Settings!$E$82,Settings!$E$84,Settings!$E$86))/6,2)*6,"")</f>
        <v/>
      </c>
      <c r="S177" s="142">
        <f>IFERROR(CHOOSE(MATCH(IF($E177="","Основний",$E177),{"Трафіковий","Основний","Маржинальний","Сезонний","Стратегічний"},0),Settings!$E$78,Settings!$E$80,Settings!$E$82,Settings!$E$84,Settings!$E$86),"")</f>
        <v/>
      </c>
      <c r="T177" s="148">
        <f>IFERROR((R177*(1-Settings!$E$17)-C177)/(R177*(1-Settings!$E$17)),"")</f>
        <v/>
      </c>
      <c r="U177" s="149">
        <f>IFERROR(IF(R177="","",IF(R177&gt;=C177/(1-SKU_Base!AC177)/(1-Settings!$E$17),"OK",IF(R177&gt;=C177/(1-SKU_Base!AJ177)/(1-Settings!$E$17),"WARN","STOP"))),"")</f>
        <v/>
      </c>
      <c r="V177" s="161">
        <f>IFERROR(ROUND(D177*(1-CHOOSE(MATCH(IF($E177="","Основний",$E177),{"Трафіковий","Основний","Маржинальний","Сезонний","Стратегічний"},0),Settings!$F$78,Settings!$F$80,Settings!$F$82,Settings!$F$84,Settings!$F$86))/6,2)*6,"")</f>
        <v/>
      </c>
      <c r="W177" s="142">
        <f>IFERROR(CHOOSE(MATCH(IF($E177="","Основний",$E177),{"Трафіковий","Основний","Маржинальний","Сезонний","Стратегічний"},0),Settings!$F$78,Settings!$F$80,Settings!$F$82,Settings!$F$84,Settings!$F$86),"")</f>
        <v/>
      </c>
      <c r="X177" s="148">
        <f>IFERROR((V177*(1-Settings!$F$17)-C177)/(V177*(1-Settings!$F$17)),"")</f>
        <v/>
      </c>
      <c r="Y177" s="149">
        <f>IFERROR(IF(V177="","",IF(V177&gt;=C177/(1-SKU_Base!AD177)/(1-Settings!$F$17),"OK",IF(V177&gt;=C177/(1-SKU_Base!AK177)/(1-Settings!$F$17),"WARN","STOP"))),"")</f>
        <v/>
      </c>
      <c r="Z177" s="161">
        <f>IFERROR(ROUND(D177*(1-CHOOSE(MATCH(IF($E177="","Основний",$E177),{"Трафіковий","Основний","Маржинальний","Сезонний","Стратегічний"},0),Settings!$G$78,Settings!$G$80,Settings!$G$82,Settings!$G$84,Settings!$G$86))/6,2)*6,"")</f>
        <v/>
      </c>
      <c r="AA177" s="142">
        <f>IFERROR(CHOOSE(MATCH(IF($E177="","Основний",$E177),{"Трафіковий","Основний","Маржинальний","Сезонний","Стратегічний"},0),Settings!$G$78,Settings!$G$80,Settings!$G$82,Settings!$G$84,Settings!$G$86),"")</f>
        <v/>
      </c>
      <c r="AB177" s="148">
        <f>IFERROR((Z177*(1-Settings!$G$17)-C177)/(Z177*(1-Settings!$G$17)),"")</f>
        <v/>
      </c>
      <c r="AC177" s="149">
        <f>IFERROR(IF(Z177="","",IF(Z177&gt;=C177/(1-SKU_Base!AE177)/(1-Settings!$G$17),"OK",IF(Z177&gt;=C177/(1-SKU_Base!AL177)/(1-Settings!$G$17),"WARN","STOP"))),"")</f>
        <v/>
      </c>
      <c r="AD177" s="161">
        <f>IFERROR(ROUND(D177*(1-CHOOSE(MATCH(IF($E177="","Основний",$E177),{"Трафіковий","Основний","Маржинальний","Сезонний","Стратегічний"},0),Settings!$H$78,Settings!$H$80,Settings!$H$82,Settings!$H$84,Settings!$H$86))*(1-Settings!$H$68)/6,2)*6,"")</f>
        <v/>
      </c>
      <c r="AE177" s="142">
        <f>IFERROR(CHOOSE(MATCH(IF($E177="","Основний",$E177),{"Трафіковий","Основний","Маржинальний","Сезонний","Стратегічний"},0),Settings!$H$78,Settings!$H$80,Settings!$H$82,Settings!$H$84,Settings!$H$86)+(1-(CHOOSE(MATCH(IF($E177="","Основний",$E177),{"Трафіковий","Основний","Маржинальний","Сезонний","Стратегічний"},0),Settings!$H$78,Settings!$H$80,Settings!$H$82,Settings!$H$84,Settings!$H$86)))*Settings!$H$68,"")</f>
        <v/>
      </c>
      <c r="AF177" s="148">
        <f>IFERROR((AD177*(1-Settings!$H$17)-C177)/(AD177*(1-Settings!$H$17)),"")</f>
        <v/>
      </c>
      <c r="AG177" s="150">
        <f>IFERROR(IF(AD177="","",IF(AD177&gt;=C177/(1-SKU_Base!AF177)/(1-Settings!$H$17),"OK",IF(AD177&gt;=C177/(1-SKU_Base!AM177)/(1-Settings!$H$17),"WARN","STOP"))),"")</f>
        <v/>
      </c>
    </row>
    <row r="178" ht="17" customHeight="1" s="179">
      <c r="A178" s="139">
        <f>SKU_Base!B178</f>
        <v/>
      </c>
      <c r="B178" s="139">
        <f>SKU_Base!C178</f>
        <v/>
      </c>
      <c r="C178" s="140">
        <f>IFERROR(SKU_Base!I178,"")</f>
        <v/>
      </c>
      <c r="D178" s="163">
        <f>IFERROR(SKU_Base!T178,"")</f>
        <v/>
      </c>
      <c r="E178" s="141">
        <f>IFERROR(SKU_Base!$U178,"")</f>
        <v/>
      </c>
      <c r="F178" s="158">
        <f>IFERROR(ROUND(D178*(1-CHOOSE(MATCH(IF($E178="","Основний",$E178),{"Трафіковий","Основний","Маржинальний","Сезонний","Стратегічний"},0),Settings!$B$78,Settings!$B$80,Settings!$B$82,Settings!$B$84,Settings!$B$86))/6,2)*6,"")</f>
        <v/>
      </c>
      <c r="G178" s="142">
        <f>IFERROR(CHOOSE(MATCH(IF($E178="","Основний",$E178),{"Трафіковий","Основний","Маржинальний","Сезонний","Стратегічний"},0),Settings!$B$78,Settings!$B$80,Settings!$B$82,Settings!$B$84,Settings!$B$86),"")</f>
        <v/>
      </c>
      <c r="H178" s="143">
        <f>IFERROR((F178*(1-Settings!$B$17)-C178)/(F178*(1-Settings!$B$17)),"")</f>
        <v/>
      </c>
      <c r="I178" s="149">
        <f>IFERROR(IF(F178="","",IF(F178&gt;=C178/(1-SKU_Base!Z178)/(1-Settings!$B$17),"OK",IF(F178&gt;=C178/(1-SKU_Base!AG178)/(1-Settings!$B$17),"WARN","STOP"))),"")</f>
        <v/>
      </c>
      <c r="J178" s="158">
        <f>IFERROR(ROUND(D178*(1-CHOOSE(MATCH(IF($E178="","Основний",$E178),{"Трафіковий","Основний","Маржинальний","Сезонний","Стратегічний"},0),Settings!$C$78,Settings!$C$80,Settings!$C$82,Settings!$C$84,Settings!$C$86))/6,2)*6,"")</f>
        <v/>
      </c>
      <c r="K178" s="142">
        <f>IFERROR(CHOOSE(MATCH(IF($E178="","Основний",$E178),{"Трафіковий","Основний","Маржинальний","Сезонний","Стратегічний"},0),Settings!$C$78,Settings!$C$80,Settings!$C$82,Settings!$C$84,Settings!$C$86),"")</f>
        <v/>
      </c>
      <c r="L178" s="143">
        <f>IFERROR((J178*(1-Settings!$C$17)-C178)/(J178*(1-Settings!$C$17)),"")</f>
        <v/>
      </c>
      <c r="M178" s="149">
        <f>IFERROR(IF(J178="","",IF(J178&gt;=C178/(1-SKU_Base!AA178)/(1-Settings!$C$17),"OK",IF(J178&gt;=C178/(1-SKU_Base!AH178)/(1-Settings!$C$17),"WARN","STOP"))),"")</f>
        <v/>
      </c>
      <c r="N178" s="159">
        <f>IFERROR(ROUND(D178*(1-CHOOSE(MATCH(IF($E178="","Основний",$E178),{"Трафіковий","Основний","Маржинальний","Сезонний","Стратегічний"},0),Settings!$D$78,Settings!$D$80,Settings!$D$82,Settings!$D$84,Settings!$D$86))/6,2)*6,"")</f>
        <v/>
      </c>
      <c r="O178" s="142">
        <f>IFERROR(CHOOSE(MATCH(IF($E178="","Основний",$E178),{"Трафіковий","Основний","Маржинальний","Сезонний","Стратегічний"},0),Settings!$D$78,Settings!$D$80,Settings!$D$82,Settings!$D$84,Settings!$D$86),"")</f>
        <v/>
      </c>
      <c r="P178" s="143">
        <f>IFERROR((N178*(1-Settings!$D$17)-C178)/(N178*(1-Settings!$D$17)),"")</f>
        <v/>
      </c>
      <c r="Q178" s="149">
        <f>IFERROR(IF(N178="","",IF(N178&gt;=C178/(1-SKU_Base!AB178)/(1-Settings!$D$17),"OK",IF(N178&gt;=C178/(1-SKU_Base!AI178)/(1-Settings!$D$17),"WARN","STOP"))),"")</f>
        <v/>
      </c>
      <c r="R178" s="159">
        <f>IFERROR(ROUND(D178*(1-CHOOSE(MATCH(IF($E178="","Основний",$E178),{"Трафіковий","Основний","Маржинальний","Сезонний","Стратегічний"},0),Settings!$E$78,Settings!$E$80,Settings!$E$82,Settings!$E$84,Settings!$E$86))/6,2)*6,"")</f>
        <v/>
      </c>
      <c r="S178" s="142">
        <f>IFERROR(CHOOSE(MATCH(IF($E178="","Основний",$E178),{"Трафіковий","Основний","Маржинальний","Сезонний","Стратегічний"},0),Settings!$E$78,Settings!$E$80,Settings!$E$82,Settings!$E$84,Settings!$E$86),"")</f>
        <v/>
      </c>
      <c r="T178" s="143">
        <f>IFERROR((R178*(1-Settings!$E$17)-C178)/(R178*(1-Settings!$E$17)),"")</f>
        <v/>
      </c>
      <c r="U178" s="149">
        <f>IFERROR(IF(R178="","",IF(R178&gt;=C178/(1-SKU_Base!AC178)/(1-Settings!$E$17),"OK",IF(R178&gt;=C178/(1-SKU_Base!AJ178)/(1-Settings!$E$17),"WARN","STOP"))),"")</f>
        <v/>
      </c>
      <c r="V178" s="159">
        <f>IFERROR(ROUND(D178*(1-CHOOSE(MATCH(IF($E178="","Основний",$E178),{"Трафіковий","Основний","Маржинальний","Сезонний","Стратегічний"},0),Settings!$F$78,Settings!$F$80,Settings!$F$82,Settings!$F$84,Settings!$F$86))/6,2)*6,"")</f>
        <v/>
      </c>
      <c r="W178" s="142">
        <f>IFERROR(CHOOSE(MATCH(IF($E178="","Основний",$E178),{"Трафіковий","Основний","Маржинальний","Сезонний","Стратегічний"},0),Settings!$F$78,Settings!$F$80,Settings!$F$82,Settings!$F$84,Settings!$F$86),"")</f>
        <v/>
      </c>
      <c r="X178" s="143">
        <f>IFERROR((V178*(1-Settings!$F$17)-C178)/(V178*(1-Settings!$F$17)),"")</f>
        <v/>
      </c>
      <c r="Y178" s="149">
        <f>IFERROR(IF(V178="","",IF(V178&gt;=C178/(1-SKU_Base!AD178)/(1-Settings!$F$17),"OK",IF(V178&gt;=C178/(1-SKU_Base!AK178)/(1-Settings!$F$17),"WARN","STOP"))),"")</f>
        <v/>
      </c>
      <c r="Z178" s="159">
        <f>IFERROR(ROUND(D178*(1-CHOOSE(MATCH(IF($E178="","Основний",$E178),{"Трафіковий","Основний","Маржинальний","Сезонний","Стратегічний"},0),Settings!$G$78,Settings!$G$80,Settings!$G$82,Settings!$G$84,Settings!$G$86))/6,2)*6,"")</f>
        <v/>
      </c>
      <c r="AA178" s="142">
        <f>IFERROR(CHOOSE(MATCH(IF($E178="","Основний",$E178),{"Трафіковий","Основний","Маржинальний","Сезонний","Стратегічний"},0),Settings!$G$78,Settings!$G$80,Settings!$G$82,Settings!$G$84,Settings!$G$86),"")</f>
        <v/>
      </c>
      <c r="AB178" s="143">
        <f>IFERROR((Z178*(1-Settings!$G$17)-C178)/(Z178*(1-Settings!$G$17)),"")</f>
        <v/>
      </c>
      <c r="AC178" s="149">
        <f>IFERROR(IF(Z178="","",IF(Z178&gt;=C178/(1-SKU_Base!AE178)/(1-Settings!$G$17),"OK",IF(Z178&gt;=C178/(1-SKU_Base!AL178)/(1-Settings!$G$17),"WARN","STOP"))),"")</f>
        <v/>
      </c>
      <c r="AD178" s="159">
        <f>IFERROR(ROUND(D178*(1-CHOOSE(MATCH(IF($E178="","Основний",$E178),{"Трафіковий","Основний","Маржинальний","Сезонний","Стратегічний"},0),Settings!$H$78,Settings!$H$80,Settings!$H$82,Settings!$H$84,Settings!$H$86))*(1-Settings!$H$68)/6,2)*6,"")</f>
        <v/>
      </c>
      <c r="AE178" s="142">
        <f>IFERROR(CHOOSE(MATCH(IF($E178="","Основний",$E178),{"Трафіковий","Основний","Маржинальний","Сезонний","Стратегічний"},0),Settings!$H$78,Settings!$H$80,Settings!$H$82,Settings!$H$84,Settings!$H$86)+(1-(CHOOSE(MATCH(IF($E178="","Основний",$E178),{"Трафіковий","Основний","Маржинальний","Сезонний","Стратегічний"},0),Settings!$H$78,Settings!$H$80,Settings!$H$82,Settings!$H$84,Settings!$H$86)))*Settings!$H$68,"")</f>
        <v/>
      </c>
      <c r="AF178" s="143">
        <f>IFERROR((AD178*(1-Settings!$H$17)-C178)/(AD178*(1-Settings!$H$17)),"")</f>
        <v/>
      </c>
      <c r="AG178" s="150">
        <f>IFERROR(IF(AD178="","",IF(AD178&gt;=C178/(1-SKU_Base!AF178)/(1-Settings!$H$17),"OK",IF(AD178&gt;=C178/(1-SKU_Base!AM178)/(1-Settings!$H$17),"WARN","STOP"))),"")</f>
        <v/>
      </c>
    </row>
    <row r="179" ht="17" customHeight="1" s="179">
      <c r="A179" s="146">
        <f>SKU_Base!B179</f>
        <v/>
      </c>
      <c r="B179" s="146">
        <f>SKU_Base!C179</f>
        <v/>
      </c>
      <c r="C179" s="147">
        <f>IFERROR(SKU_Base!I179,"")</f>
        <v/>
      </c>
      <c r="D179" s="164">
        <f>IFERROR(SKU_Base!T179,"")</f>
        <v/>
      </c>
      <c r="E179" s="141">
        <f>IFERROR(SKU_Base!$U179,"")</f>
        <v/>
      </c>
      <c r="F179" s="160">
        <f>IFERROR(ROUND(D179*(1-CHOOSE(MATCH(IF($E179="","Основний",$E179),{"Трафіковий","Основний","Маржинальний","Сезонний","Стратегічний"},0),Settings!$B$78,Settings!$B$80,Settings!$B$82,Settings!$B$84,Settings!$B$86))/6,2)*6,"")</f>
        <v/>
      </c>
      <c r="G179" s="142">
        <f>IFERROR(CHOOSE(MATCH(IF($E179="","Основний",$E179),{"Трафіковий","Основний","Маржинальний","Сезонний","Стратегічний"},0),Settings!$B$78,Settings!$B$80,Settings!$B$82,Settings!$B$84,Settings!$B$86),"")</f>
        <v/>
      </c>
      <c r="H179" s="148">
        <f>IFERROR((F179*(1-Settings!$B$17)-C179)/(F179*(1-Settings!$B$17)),"")</f>
        <v/>
      </c>
      <c r="I179" s="149">
        <f>IFERROR(IF(F179="","",IF(F179&gt;=C179/(1-SKU_Base!Z179)/(1-Settings!$B$17),"OK",IF(F179&gt;=C179/(1-SKU_Base!AG179)/(1-Settings!$B$17),"WARN","STOP"))),"")</f>
        <v/>
      </c>
      <c r="J179" s="160">
        <f>IFERROR(ROUND(D179*(1-CHOOSE(MATCH(IF($E179="","Основний",$E179),{"Трафіковий","Основний","Маржинальний","Сезонний","Стратегічний"},0),Settings!$C$78,Settings!$C$80,Settings!$C$82,Settings!$C$84,Settings!$C$86))/6,2)*6,"")</f>
        <v/>
      </c>
      <c r="K179" s="142">
        <f>IFERROR(CHOOSE(MATCH(IF($E179="","Основний",$E179),{"Трафіковий","Основний","Маржинальний","Сезонний","Стратегічний"},0),Settings!$C$78,Settings!$C$80,Settings!$C$82,Settings!$C$84,Settings!$C$86),"")</f>
        <v/>
      </c>
      <c r="L179" s="148">
        <f>IFERROR((J179*(1-Settings!$C$17)-C179)/(J179*(1-Settings!$C$17)),"")</f>
        <v/>
      </c>
      <c r="M179" s="149">
        <f>IFERROR(IF(J179="","",IF(J179&gt;=C179/(1-SKU_Base!AA179)/(1-Settings!$C$17),"OK",IF(J179&gt;=C179/(1-SKU_Base!AH179)/(1-Settings!$C$17),"WARN","STOP"))),"")</f>
        <v/>
      </c>
      <c r="N179" s="161">
        <f>IFERROR(ROUND(D179*(1-CHOOSE(MATCH(IF($E179="","Основний",$E179),{"Трафіковий","Основний","Маржинальний","Сезонний","Стратегічний"},0),Settings!$D$78,Settings!$D$80,Settings!$D$82,Settings!$D$84,Settings!$D$86))/6,2)*6,"")</f>
        <v/>
      </c>
      <c r="O179" s="142">
        <f>IFERROR(CHOOSE(MATCH(IF($E179="","Основний",$E179),{"Трафіковий","Основний","Маржинальний","Сезонний","Стратегічний"},0),Settings!$D$78,Settings!$D$80,Settings!$D$82,Settings!$D$84,Settings!$D$86),"")</f>
        <v/>
      </c>
      <c r="P179" s="148">
        <f>IFERROR((N179*(1-Settings!$D$17)-C179)/(N179*(1-Settings!$D$17)),"")</f>
        <v/>
      </c>
      <c r="Q179" s="149">
        <f>IFERROR(IF(N179="","",IF(N179&gt;=C179/(1-SKU_Base!AB179)/(1-Settings!$D$17),"OK",IF(N179&gt;=C179/(1-SKU_Base!AI179)/(1-Settings!$D$17),"WARN","STOP"))),"")</f>
        <v/>
      </c>
      <c r="R179" s="161">
        <f>IFERROR(ROUND(D179*(1-CHOOSE(MATCH(IF($E179="","Основний",$E179),{"Трафіковий","Основний","Маржинальний","Сезонний","Стратегічний"},0),Settings!$E$78,Settings!$E$80,Settings!$E$82,Settings!$E$84,Settings!$E$86))/6,2)*6,"")</f>
        <v/>
      </c>
      <c r="S179" s="142">
        <f>IFERROR(CHOOSE(MATCH(IF($E179="","Основний",$E179),{"Трафіковий","Основний","Маржинальний","Сезонний","Стратегічний"},0),Settings!$E$78,Settings!$E$80,Settings!$E$82,Settings!$E$84,Settings!$E$86),"")</f>
        <v/>
      </c>
      <c r="T179" s="148">
        <f>IFERROR((R179*(1-Settings!$E$17)-C179)/(R179*(1-Settings!$E$17)),"")</f>
        <v/>
      </c>
      <c r="U179" s="149">
        <f>IFERROR(IF(R179="","",IF(R179&gt;=C179/(1-SKU_Base!AC179)/(1-Settings!$E$17),"OK",IF(R179&gt;=C179/(1-SKU_Base!AJ179)/(1-Settings!$E$17),"WARN","STOP"))),"")</f>
        <v/>
      </c>
      <c r="V179" s="161">
        <f>IFERROR(ROUND(D179*(1-CHOOSE(MATCH(IF($E179="","Основний",$E179),{"Трафіковий","Основний","Маржинальний","Сезонний","Стратегічний"},0),Settings!$F$78,Settings!$F$80,Settings!$F$82,Settings!$F$84,Settings!$F$86))/6,2)*6,"")</f>
        <v/>
      </c>
      <c r="W179" s="142">
        <f>IFERROR(CHOOSE(MATCH(IF($E179="","Основний",$E179),{"Трафіковий","Основний","Маржинальний","Сезонний","Стратегічний"},0),Settings!$F$78,Settings!$F$80,Settings!$F$82,Settings!$F$84,Settings!$F$86),"")</f>
        <v/>
      </c>
      <c r="X179" s="148">
        <f>IFERROR((V179*(1-Settings!$F$17)-C179)/(V179*(1-Settings!$F$17)),"")</f>
        <v/>
      </c>
      <c r="Y179" s="149">
        <f>IFERROR(IF(V179="","",IF(V179&gt;=C179/(1-SKU_Base!AD179)/(1-Settings!$F$17),"OK",IF(V179&gt;=C179/(1-SKU_Base!AK179)/(1-Settings!$F$17),"WARN","STOP"))),"")</f>
        <v/>
      </c>
      <c r="Z179" s="161">
        <f>IFERROR(ROUND(D179*(1-CHOOSE(MATCH(IF($E179="","Основний",$E179),{"Трафіковий","Основний","Маржинальний","Сезонний","Стратегічний"},0),Settings!$G$78,Settings!$G$80,Settings!$G$82,Settings!$G$84,Settings!$G$86))/6,2)*6,"")</f>
        <v/>
      </c>
      <c r="AA179" s="142">
        <f>IFERROR(CHOOSE(MATCH(IF($E179="","Основний",$E179),{"Трафіковий","Основний","Маржинальний","Сезонний","Стратегічний"},0),Settings!$G$78,Settings!$G$80,Settings!$G$82,Settings!$G$84,Settings!$G$86),"")</f>
        <v/>
      </c>
      <c r="AB179" s="148">
        <f>IFERROR((Z179*(1-Settings!$G$17)-C179)/(Z179*(1-Settings!$G$17)),"")</f>
        <v/>
      </c>
      <c r="AC179" s="149">
        <f>IFERROR(IF(Z179="","",IF(Z179&gt;=C179/(1-SKU_Base!AE179)/(1-Settings!$G$17),"OK",IF(Z179&gt;=C179/(1-SKU_Base!AL179)/(1-Settings!$G$17),"WARN","STOP"))),"")</f>
        <v/>
      </c>
      <c r="AD179" s="161">
        <f>IFERROR(ROUND(D179*(1-CHOOSE(MATCH(IF($E179="","Основний",$E179),{"Трафіковий","Основний","Маржинальний","Сезонний","Стратегічний"},0),Settings!$H$78,Settings!$H$80,Settings!$H$82,Settings!$H$84,Settings!$H$86))*(1-Settings!$H$68)/6,2)*6,"")</f>
        <v/>
      </c>
      <c r="AE179" s="142">
        <f>IFERROR(CHOOSE(MATCH(IF($E179="","Основний",$E179),{"Трафіковий","Основний","Маржинальний","Сезонний","Стратегічний"},0),Settings!$H$78,Settings!$H$80,Settings!$H$82,Settings!$H$84,Settings!$H$86)+(1-(CHOOSE(MATCH(IF($E179="","Основний",$E179),{"Трафіковий","Основний","Маржинальний","Сезонний","Стратегічний"},0),Settings!$H$78,Settings!$H$80,Settings!$H$82,Settings!$H$84,Settings!$H$86)))*Settings!$H$68,"")</f>
        <v/>
      </c>
      <c r="AF179" s="148">
        <f>IFERROR((AD179*(1-Settings!$H$17)-C179)/(AD179*(1-Settings!$H$17)),"")</f>
        <v/>
      </c>
      <c r="AG179" s="150">
        <f>IFERROR(IF(AD179="","",IF(AD179&gt;=C179/(1-SKU_Base!AF179)/(1-Settings!$H$17),"OK",IF(AD179&gt;=C179/(1-SKU_Base!AM179)/(1-Settings!$H$17),"WARN","STOP"))),"")</f>
        <v/>
      </c>
    </row>
    <row r="180" ht="17" customHeight="1" s="179">
      <c r="A180" s="139">
        <f>SKU_Base!B180</f>
        <v/>
      </c>
      <c r="B180" s="139">
        <f>SKU_Base!C180</f>
        <v/>
      </c>
      <c r="C180" s="140">
        <f>IFERROR(SKU_Base!I180,"")</f>
        <v/>
      </c>
      <c r="D180" s="163">
        <f>IFERROR(SKU_Base!T180,"")</f>
        <v/>
      </c>
      <c r="E180" s="141">
        <f>IFERROR(SKU_Base!$U180,"")</f>
        <v/>
      </c>
      <c r="F180" s="158">
        <f>IFERROR(ROUND(D180*(1-CHOOSE(MATCH(IF($E180="","Основний",$E180),{"Трафіковий","Основний","Маржинальний","Сезонний","Стратегічний"},0),Settings!$B$78,Settings!$B$80,Settings!$B$82,Settings!$B$84,Settings!$B$86))/6,2)*6,"")</f>
        <v/>
      </c>
      <c r="G180" s="142">
        <f>IFERROR(CHOOSE(MATCH(IF($E180="","Основний",$E180),{"Трафіковий","Основний","Маржинальний","Сезонний","Стратегічний"},0),Settings!$B$78,Settings!$B$80,Settings!$B$82,Settings!$B$84,Settings!$B$86),"")</f>
        <v/>
      </c>
      <c r="H180" s="143">
        <f>IFERROR((F180*(1-Settings!$B$17)-C180)/(F180*(1-Settings!$B$17)),"")</f>
        <v/>
      </c>
      <c r="I180" s="149">
        <f>IFERROR(IF(F180="","",IF(F180&gt;=C180/(1-SKU_Base!Z180)/(1-Settings!$B$17),"OK",IF(F180&gt;=C180/(1-SKU_Base!AG180)/(1-Settings!$B$17),"WARN","STOP"))),"")</f>
        <v/>
      </c>
      <c r="J180" s="158">
        <f>IFERROR(ROUND(D180*(1-CHOOSE(MATCH(IF($E180="","Основний",$E180),{"Трафіковий","Основний","Маржинальний","Сезонний","Стратегічний"},0),Settings!$C$78,Settings!$C$80,Settings!$C$82,Settings!$C$84,Settings!$C$86))/6,2)*6,"")</f>
        <v/>
      </c>
      <c r="K180" s="142">
        <f>IFERROR(CHOOSE(MATCH(IF($E180="","Основний",$E180),{"Трафіковий","Основний","Маржинальний","Сезонний","Стратегічний"},0),Settings!$C$78,Settings!$C$80,Settings!$C$82,Settings!$C$84,Settings!$C$86),"")</f>
        <v/>
      </c>
      <c r="L180" s="143">
        <f>IFERROR((J180*(1-Settings!$C$17)-C180)/(J180*(1-Settings!$C$17)),"")</f>
        <v/>
      </c>
      <c r="M180" s="149">
        <f>IFERROR(IF(J180="","",IF(J180&gt;=C180/(1-SKU_Base!AA180)/(1-Settings!$C$17),"OK",IF(J180&gt;=C180/(1-SKU_Base!AH180)/(1-Settings!$C$17),"WARN","STOP"))),"")</f>
        <v/>
      </c>
      <c r="N180" s="159">
        <f>IFERROR(ROUND(D180*(1-CHOOSE(MATCH(IF($E180="","Основний",$E180),{"Трафіковий","Основний","Маржинальний","Сезонний","Стратегічний"},0),Settings!$D$78,Settings!$D$80,Settings!$D$82,Settings!$D$84,Settings!$D$86))/6,2)*6,"")</f>
        <v/>
      </c>
      <c r="O180" s="142">
        <f>IFERROR(CHOOSE(MATCH(IF($E180="","Основний",$E180),{"Трафіковий","Основний","Маржинальний","Сезонний","Стратегічний"},0),Settings!$D$78,Settings!$D$80,Settings!$D$82,Settings!$D$84,Settings!$D$86),"")</f>
        <v/>
      </c>
      <c r="P180" s="143">
        <f>IFERROR((N180*(1-Settings!$D$17)-C180)/(N180*(1-Settings!$D$17)),"")</f>
        <v/>
      </c>
      <c r="Q180" s="149">
        <f>IFERROR(IF(N180="","",IF(N180&gt;=C180/(1-SKU_Base!AB180)/(1-Settings!$D$17),"OK",IF(N180&gt;=C180/(1-SKU_Base!AI180)/(1-Settings!$D$17),"WARN","STOP"))),"")</f>
        <v/>
      </c>
      <c r="R180" s="159">
        <f>IFERROR(ROUND(D180*(1-CHOOSE(MATCH(IF($E180="","Основний",$E180),{"Трафіковий","Основний","Маржинальний","Сезонний","Стратегічний"},0),Settings!$E$78,Settings!$E$80,Settings!$E$82,Settings!$E$84,Settings!$E$86))/6,2)*6,"")</f>
        <v/>
      </c>
      <c r="S180" s="142">
        <f>IFERROR(CHOOSE(MATCH(IF($E180="","Основний",$E180),{"Трафіковий","Основний","Маржинальний","Сезонний","Стратегічний"},0),Settings!$E$78,Settings!$E$80,Settings!$E$82,Settings!$E$84,Settings!$E$86),"")</f>
        <v/>
      </c>
      <c r="T180" s="143">
        <f>IFERROR((R180*(1-Settings!$E$17)-C180)/(R180*(1-Settings!$E$17)),"")</f>
        <v/>
      </c>
      <c r="U180" s="149">
        <f>IFERROR(IF(R180="","",IF(R180&gt;=C180/(1-SKU_Base!AC180)/(1-Settings!$E$17),"OK",IF(R180&gt;=C180/(1-SKU_Base!AJ180)/(1-Settings!$E$17),"WARN","STOP"))),"")</f>
        <v/>
      </c>
      <c r="V180" s="159">
        <f>IFERROR(ROUND(D180*(1-CHOOSE(MATCH(IF($E180="","Основний",$E180),{"Трафіковий","Основний","Маржинальний","Сезонний","Стратегічний"},0),Settings!$F$78,Settings!$F$80,Settings!$F$82,Settings!$F$84,Settings!$F$86))/6,2)*6,"")</f>
        <v/>
      </c>
      <c r="W180" s="142">
        <f>IFERROR(CHOOSE(MATCH(IF($E180="","Основний",$E180),{"Трафіковий","Основний","Маржинальний","Сезонний","Стратегічний"},0),Settings!$F$78,Settings!$F$80,Settings!$F$82,Settings!$F$84,Settings!$F$86),"")</f>
        <v/>
      </c>
      <c r="X180" s="143">
        <f>IFERROR((V180*(1-Settings!$F$17)-C180)/(V180*(1-Settings!$F$17)),"")</f>
        <v/>
      </c>
      <c r="Y180" s="149">
        <f>IFERROR(IF(V180="","",IF(V180&gt;=C180/(1-SKU_Base!AD180)/(1-Settings!$F$17),"OK",IF(V180&gt;=C180/(1-SKU_Base!AK180)/(1-Settings!$F$17),"WARN","STOP"))),"")</f>
        <v/>
      </c>
      <c r="Z180" s="159">
        <f>IFERROR(ROUND(D180*(1-CHOOSE(MATCH(IF($E180="","Основний",$E180),{"Трафіковий","Основний","Маржинальний","Сезонний","Стратегічний"},0),Settings!$G$78,Settings!$G$80,Settings!$G$82,Settings!$G$84,Settings!$G$86))/6,2)*6,"")</f>
        <v/>
      </c>
      <c r="AA180" s="142">
        <f>IFERROR(CHOOSE(MATCH(IF($E180="","Основний",$E180),{"Трафіковий","Основний","Маржинальний","Сезонний","Стратегічний"},0),Settings!$G$78,Settings!$G$80,Settings!$G$82,Settings!$G$84,Settings!$G$86),"")</f>
        <v/>
      </c>
      <c r="AB180" s="143">
        <f>IFERROR((Z180*(1-Settings!$G$17)-C180)/(Z180*(1-Settings!$G$17)),"")</f>
        <v/>
      </c>
      <c r="AC180" s="149">
        <f>IFERROR(IF(Z180="","",IF(Z180&gt;=C180/(1-SKU_Base!AE180)/(1-Settings!$G$17),"OK",IF(Z180&gt;=C180/(1-SKU_Base!AL180)/(1-Settings!$G$17),"WARN","STOP"))),"")</f>
        <v/>
      </c>
      <c r="AD180" s="159">
        <f>IFERROR(ROUND(D180*(1-CHOOSE(MATCH(IF($E180="","Основний",$E180),{"Трафіковий","Основний","Маржинальний","Сезонний","Стратегічний"},0),Settings!$H$78,Settings!$H$80,Settings!$H$82,Settings!$H$84,Settings!$H$86))*(1-Settings!$H$68)/6,2)*6,"")</f>
        <v/>
      </c>
      <c r="AE180" s="142">
        <f>IFERROR(CHOOSE(MATCH(IF($E180="","Основний",$E180),{"Трафіковий","Основний","Маржинальний","Сезонний","Стратегічний"},0),Settings!$H$78,Settings!$H$80,Settings!$H$82,Settings!$H$84,Settings!$H$86)+(1-(CHOOSE(MATCH(IF($E180="","Основний",$E180),{"Трафіковий","Основний","Маржинальний","Сезонний","Стратегічний"},0),Settings!$H$78,Settings!$H$80,Settings!$H$82,Settings!$H$84,Settings!$H$86)))*Settings!$H$68,"")</f>
        <v/>
      </c>
      <c r="AF180" s="143">
        <f>IFERROR((AD180*(1-Settings!$H$17)-C180)/(AD180*(1-Settings!$H$17)),"")</f>
        <v/>
      </c>
      <c r="AG180" s="150">
        <f>IFERROR(IF(AD180="","",IF(AD180&gt;=C180/(1-SKU_Base!AF180)/(1-Settings!$H$17),"OK",IF(AD180&gt;=C180/(1-SKU_Base!AM180)/(1-Settings!$H$17),"WARN","STOP"))),"")</f>
        <v/>
      </c>
    </row>
    <row r="181" ht="17" customHeight="1" s="179">
      <c r="A181" s="146">
        <f>SKU_Base!B181</f>
        <v/>
      </c>
      <c r="B181" s="146">
        <f>SKU_Base!C181</f>
        <v/>
      </c>
      <c r="C181" s="147">
        <f>IFERROR(SKU_Base!I181,"")</f>
        <v/>
      </c>
      <c r="D181" s="164">
        <f>IFERROR(SKU_Base!T181,"")</f>
        <v/>
      </c>
      <c r="E181" s="141">
        <f>IFERROR(SKU_Base!$U181,"")</f>
        <v/>
      </c>
      <c r="F181" s="160">
        <f>IFERROR(ROUND(D181*(1-CHOOSE(MATCH(IF($E181="","Основний",$E181),{"Трафіковий","Основний","Маржинальний","Сезонний","Стратегічний"},0),Settings!$B$78,Settings!$B$80,Settings!$B$82,Settings!$B$84,Settings!$B$86))/6,2)*6,"")</f>
        <v/>
      </c>
      <c r="G181" s="142">
        <f>IFERROR(CHOOSE(MATCH(IF($E181="","Основний",$E181),{"Трафіковий","Основний","Маржинальний","Сезонний","Стратегічний"},0),Settings!$B$78,Settings!$B$80,Settings!$B$82,Settings!$B$84,Settings!$B$86),"")</f>
        <v/>
      </c>
      <c r="H181" s="148">
        <f>IFERROR((F181*(1-Settings!$B$17)-C181)/(F181*(1-Settings!$B$17)),"")</f>
        <v/>
      </c>
      <c r="I181" s="150">
        <f>IFERROR(IF(F181="","",IF(F181&gt;=C181/(1-SKU_Base!Z181)/(1-Settings!$B$17),"OK",IF(F181&gt;=C181/(1-SKU_Base!AG181)/(1-Settings!$B$17),"WARN","STOP"))),"")</f>
        <v/>
      </c>
      <c r="J181" s="160">
        <f>IFERROR(ROUND(D181*(1-CHOOSE(MATCH(IF($E181="","Основний",$E181),{"Трафіковий","Основний","Маржинальний","Сезонний","Стратегічний"},0),Settings!$C$78,Settings!$C$80,Settings!$C$82,Settings!$C$84,Settings!$C$86))/6,2)*6,"")</f>
        <v/>
      </c>
      <c r="K181" s="142">
        <f>IFERROR(CHOOSE(MATCH(IF($E181="","Основний",$E181),{"Трафіковий","Основний","Маржинальний","Сезонний","Стратегічний"},0),Settings!$C$78,Settings!$C$80,Settings!$C$82,Settings!$C$84,Settings!$C$86),"")</f>
        <v/>
      </c>
      <c r="L181" s="148">
        <f>IFERROR((J181*(1-Settings!$C$17)-C181)/(J181*(1-Settings!$C$17)),"")</f>
        <v/>
      </c>
      <c r="M181" s="149">
        <f>IFERROR(IF(J181="","",IF(J181&gt;=C181/(1-SKU_Base!AA181)/(1-Settings!$C$17),"OK",IF(J181&gt;=C181/(1-SKU_Base!AH181)/(1-Settings!$C$17),"WARN","STOP"))),"")</f>
        <v/>
      </c>
      <c r="N181" s="161">
        <f>IFERROR(ROUND(D181*(1-CHOOSE(MATCH(IF($E181="","Основний",$E181),{"Трафіковий","Основний","Маржинальний","Сезонний","Стратегічний"},0),Settings!$D$78,Settings!$D$80,Settings!$D$82,Settings!$D$84,Settings!$D$86))/6,2)*6,"")</f>
        <v/>
      </c>
      <c r="O181" s="142">
        <f>IFERROR(CHOOSE(MATCH(IF($E181="","Основний",$E181),{"Трафіковий","Основний","Маржинальний","Сезонний","Стратегічний"},0),Settings!$D$78,Settings!$D$80,Settings!$D$82,Settings!$D$84,Settings!$D$86),"")</f>
        <v/>
      </c>
      <c r="P181" s="148">
        <f>IFERROR((N181*(1-Settings!$D$17)-C181)/(N181*(1-Settings!$D$17)),"")</f>
        <v/>
      </c>
      <c r="Q181" s="149">
        <f>IFERROR(IF(N181="","",IF(N181&gt;=C181/(1-SKU_Base!AB181)/(1-Settings!$D$17),"OK",IF(N181&gt;=C181/(1-SKU_Base!AI181)/(1-Settings!$D$17),"WARN","STOP"))),"")</f>
        <v/>
      </c>
      <c r="R181" s="161">
        <f>IFERROR(ROUND(D181*(1-CHOOSE(MATCH(IF($E181="","Основний",$E181),{"Трафіковий","Основний","Маржинальний","Сезонний","Стратегічний"},0),Settings!$E$78,Settings!$E$80,Settings!$E$82,Settings!$E$84,Settings!$E$86))/6,2)*6,"")</f>
        <v/>
      </c>
      <c r="S181" s="142">
        <f>IFERROR(CHOOSE(MATCH(IF($E181="","Основний",$E181),{"Трафіковий","Основний","Маржинальний","Сезонний","Стратегічний"},0),Settings!$E$78,Settings!$E$80,Settings!$E$82,Settings!$E$84,Settings!$E$86),"")</f>
        <v/>
      </c>
      <c r="T181" s="148">
        <f>IFERROR((R181*(1-Settings!$E$17)-C181)/(R181*(1-Settings!$E$17)),"")</f>
        <v/>
      </c>
      <c r="U181" s="149">
        <f>IFERROR(IF(R181="","",IF(R181&gt;=C181/(1-SKU_Base!AC181)/(1-Settings!$E$17),"OK",IF(R181&gt;=C181/(1-SKU_Base!AJ181)/(1-Settings!$E$17),"WARN","STOP"))),"")</f>
        <v/>
      </c>
      <c r="V181" s="161">
        <f>IFERROR(ROUND(D181*(1-CHOOSE(MATCH(IF($E181="","Основний",$E181),{"Трафіковий","Основний","Маржинальний","Сезонний","Стратегічний"},0),Settings!$F$78,Settings!$F$80,Settings!$F$82,Settings!$F$84,Settings!$F$86))/6,2)*6,"")</f>
        <v/>
      </c>
      <c r="W181" s="142">
        <f>IFERROR(CHOOSE(MATCH(IF($E181="","Основний",$E181),{"Трафіковий","Основний","Маржинальний","Сезонний","Стратегічний"},0),Settings!$F$78,Settings!$F$80,Settings!$F$82,Settings!$F$84,Settings!$F$86),"")</f>
        <v/>
      </c>
      <c r="X181" s="148">
        <f>IFERROR((V181*(1-Settings!$F$17)-C181)/(V181*(1-Settings!$F$17)),"")</f>
        <v/>
      </c>
      <c r="Y181" s="149">
        <f>IFERROR(IF(V181="","",IF(V181&gt;=C181/(1-SKU_Base!AD181)/(1-Settings!$F$17),"OK",IF(V181&gt;=C181/(1-SKU_Base!AK181)/(1-Settings!$F$17),"WARN","STOP"))),"")</f>
        <v/>
      </c>
      <c r="Z181" s="161">
        <f>IFERROR(ROUND(D181*(1-CHOOSE(MATCH(IF($E181="","Основний",$E181),{"Трафіковий","Основний","Маржинальний","Сезонний","Стратегічний"},0),Settings!$G$78,Settings!$G$80,Settings!$G$82,Settings!$G$84,Settings!$G$86))/6,2)*6,"")</f>
        <v/>
      </c>
      <c r="AA181" s="142">
        <f>IFERROR(CHOOSE(MATCH(IF($E181="","Основний",$E181),{"Трафіковий","Основний","Маржинальний","Сезонний","Стратегічний"},0),Settings!$G$78,Settings!$G$80,Settings!$G$82,Settings!$G$84,Settings!$G$86),"")</f>
        <v/>
      </c>
      <c r="AB181" s="148">
        <f>IFERROR((Z181*(1-Settings!$G$17)-C181)/(Z181*(1-Settings!$G$17)),"")</f>
        <v/>
      </c>
      <c r="AC181" s="149">
        <f>IFERROR(IF(Z181="","",IF(Z181&gt;=C181/(1-SKU_Base!AE181)/(1-Settings!$G$17),"OK",IF(Z181&gt;=C181/(1-SKU_Base!AL181)/(1-Settings!$G$17),"WARN","STOP"))),"")</f>
        <v/>
      </c>
      <c r="AD181" s="161">
        <f>IFERROR(ROUND(D181*(1-CHOOSE(MATCH(IF($E181="","Основний",$E181),{"Трафіковий","Основний","Маржинальний","Сезонний","Стратегічний"},0),Settings!$H$78,Settings!$H$80,Settings!$H$82,Settings!$H$84,Settings!$H$86))*(1-Settings!$H$68)/6,2)*6,"")</f>
        <v/>
      </c>
      <c r="AE181" s="142">
        <f>IFERROR(CHOOSE(MATCH(IF($E181="","Основний",$E181),{"Трафіковий","Основний","Маржинальний","Сезонний","Стратегічний"},0),Settings!$H$78,Settings!$H$80,Settings!$H$82,Settings!$H$84,Settings!$H$86)+(1-(CHOOSE(MATCH(IF($E181="","Основний",$E181),{"Трафіковий","Основний","Маржинальний","Сезонний","Стратегічний"},0),Settings!$H$78,Settings!$H$80,Settings!$H$82,Settings!$H$84,Settings!$H$86)))*Settings!$H$68,"")</f>
        <v/>
      </c>
      <c r="AF181" s="148">
        <f>IFERROR((AD181*(1-Settings!$H$17)-C181)/(AD181*(1-Settings!$H$17)),"")</f>
        <v/>
      </c>
      <c r="AG181" s="150">
        <f>IFERROR(IF(AD181="","",IF(AD181&gt;=C181/(1-SKU_Base!AF181)/(1-Settings!$H$17),"OK",IF(AD181&gt;=C181/(1-SKU_Base!AM181)/(1-Settings!$H$17),"WARN","STOP"))),"")</f>
        <v/>
      </c>
    </row>
    <row r="182" ht="17" customHeight="1" s="179">
      <c r="A182" s="139">
        <f>SKU_Base!B182</f>
        <v/>
      </c>
      <c r="B182" s="139">
        <f>SKU_Base!C182</f>
        <v/>
      </c>
      <c r="C182" s="140">
        <f>IFERROR(SKU_Base!I182,"")</f>
        <v/>
      </c>
      <c r="D182" s="163">
        <f>IFERROR(SKU_Base!T182,"")</f>
        <v/>
      </c>
      <c r="E182" s="141">
        <f>IFERROR(SKU_Base!$U182,"")</f>
        <v/>
      </c>
      <c r="F182" s="158">
        <f>IFERROR(ROUND(D182*(1-CHOOSE(MATCH(IF($E182="","Основний",$E182),{"Трафіковий","Основний","Маржинальний","Сезонний","Стратегічний"},0),Settings!$B$78,Settings!$B$80,Settings!$B$82,Settings!$B$84,Settings!$B$86))/6,2)*6,"")</f>
        <v/>
      </c>
      <c r="G182" s="142">
        <f>IFERROR(CHOOSE(MATCH(IF($E182="","Основний",$E182),{"Трафіковий","Основний","Маржинальний","Сезонний","Стратегічний"},0),Settings!$B$78,Settings!$B$80,Settings!$B$82,Settings!$B$84,Settings!$B$86),"")</f>
        <v/>
      </c>
      <c r="H182" s="143">
        <f>IFERROR((F182*(1-Settings!$B$17)-C182)/(F182*(1-Settings!$B$17)),"")</f>
        <v/>
      </c>
      <c r="I182" s="149">
        <f>IFERROR(IF(F182="","",IF(F182&gt;=C182/(1-SKU_Base!Z182)/(1-Settings!$B$17),"OK",IF(F182&gt;=C182/(1-SKU_Base!AG182)/(1-Settings!$B$17),"WARN","STOP"))),"")</f>
        <v/>
      </c>
      <c r="J182" s="158">
        <f>IFERROR(ROUND(D182*(1-CHOOSE(MATCH(IF($E182="","Основний",$E182),{"Трафіковий","Основний","Маржинальний","Сезонний","Стратегічний"},0),Settings!$C$78,Settings!$C$80,Settings!$C$82,Settings!$C$84,Settings!$C$86))/6,2)*6,"")</f>
        <v/>
      </c>
      <c r="K182" s="142">
        <f>IFERROR(CHOOSE(MATCH(IF($E182="","Основний",$E182),{"Трафіковий","Основний","Маржинальний","Сезонний","Стратегічний"},0),Settings!$C$78,Settings!$C$80,Settings!$C$82,Settings!$C$84,Settings!$C$86),"")</f>
        <v/>
      </c>
      <c r="L182" s="143">
        <f>IFERROR((J182*(1-Settings!$C$17)-C182)/(J182*(1-Settings!$C$17)),"")</f>
        <v/>
      </c>
      <c r="M182" s="149">
        <f>IFERROR(IF(J182="","",IF(J182&gt;=C182/(1-SKU_Base!AA182)/(1-Settings!$C$17),"OK",IF(J182&gt;=C182/(1-SKU_Base!AH182)/(1-Settings!$C$17),"WARN","STOP"))),"")</f>
        <v/>
      </c>
      <c r="N182" s="159">
        <f>IFERROR(ROUND(D182*(1-CHOOSE(MATCH(IF($E182="","Основний",$E182),{"Трафіковий","Основний","Маржинальний","Сезонний","Стратегічний"},0),Settings!$D$78,Settings!$D$80,Settings!$D$82,Settings!$D$84,Settings!$D$86))/6,2)*6,"")</f>
        <v/>
      </c>
      <c r="O182" s="142">
        <f>IFERROR(CHOOSE(MATCH(IF($E182="","Основний",$E182),{"Трафіковий","Основний","Маржинальний","Сезонний","Стратегічний"},0),Settings!$D$78,Settings!$D$80,Settings!$D$82,Settings!$D$84,Settings!$D$86),"")</f>
        <v/>
      </c>
      <c r="P182" s="143">
        <f>IFERROR((N182*(1-Settings!$D$17)-C182)/(N182*(1-Settings!$D$17)),"")</f>
        <v/>
      </c>
      <c r="Q182" s="149">
        <f>IFERROR(IF(N182="","",IF(N182&gt;=C182/(1-SKU_Base!AB182)/(1-Settings!$D$17),"OK",IF(N182&gt;=C182/(1-SKU_Base!AI182)/(1-Settings!$D$17),"WARN","STOP"))),"")</f>
        <v/>
      </c>
      <c r="R182" s="159">
        <f>IFERROR(ROUND(D182*(1-CHOOSE(MATCH(IF($E182="","Основний",$E182),{"Трафіковий","Основний","Маржинальний","Сезонний","Стратегічний"},0),Settings!$E$78,Settings!$E$80,Settings!$E$82,Settings!$E$84,Settings!$E$86))/6,2)*6,"")</f>
        <v/>
      </c>
      <c r="S182" s="142">
        <f>IFERROR(CHOOSE(MATCH(IF($E182="","Основний",$E182),{"Трафіковий","Основний","Маржинальний","Сезонний","Стратегічний"},0),Settings!$E$78,Settings!$E$80,Settings!$E$82,Settings!$E$84,Settings!$E$86),"")</f>
        <v/>
      </c>
      <c r="T182" s="143">
        <f>IFERROR((R182*(1-Settings!$E$17)-C182)/(R182*(1-Settings!$E$17)),"")</f>
        <v/>
      </c>
      <c r="U182" s="149">
        <f>IFERROR(IF(R182="","",IF(R182&gt;=C182/(1-SKU_Base!AC182)/(1-Settings!$E$17),"OK",IF(R182&gt;=C182/(1-SKU_Base!AJ182)/(1-Settings!$E$17),"WARN","STOP"))),"")</f>
        <v/>
      </c>
      <c r="V182" s="159">
        <f>IFERROR(ROUND(D182*(1-CHOOSE(MATCH(IF($E182="","Основний",$E182),{"Трафіковий","Основний","Маржинальний","Сезонний","Стратегічний"},0),Settings!$F$78,Settings!$F$80,Settings!$F$82,Settings!$F$84,Settings!$F$86))/6,2)*6,"")</f>
        <v/>
      </c>
      <c r="W182" s="142">
        <f>IFERROR(CHOOSE(MATCH(IF($E182="","Основний",$E182),{"Трафіковий","Основний","Маржинальний","Сезонний","Стратегічний"},0),Settings!$F$78,Settings!$F$80,Settings!$F$82,Settings!$F$84,Settings!$F$86),"")</f>
        <v/>
      </c>
      <c r="X182" s="143">
        <f>IFERROR((V182*(1-Settings!$F$17)-C182)/(V182*(1-Settings!$F$17)),"")</f>
        <v/>
      </c>
      <c r="Y182" s="149">
        <f>IFERROR(IF(V182="","",IF(V182&gt;=C182/(1-SKU_Base!AD182)/(1-Settings!$F$17),"OK",IF(V182&gt;=C182/(1-SKU_Base!AK182)/(1-Settings!$F$17),"WARN","STOP"))),"")</f>
        <v/>
      </c>
      <c r="Z182" s="159">
        <f>IFERROR(ROUND(D182*(1-CHOOSE(MATCH(IF($E182="","Основний",$E182),{"Трафіковий","Основний","Маржинальний","Сезонний","Стратегічний"},0),Settings!$G$78,Settings!$G$80,Settings!$G$82,Settings!$G$84,Settings!$G$86))/6,2)*6,"")</f>
        <v/>
      </c>
      <c r="AA182" s="142">
        <f>IFERROR(CHOOSE(MATCH(IF($E182="","Основний",$E182),{"Трафіковий","Основний","Маржинальний","Сезонний","Стратегічний"},0),Settings!$G$78,Settings!$G$80,Settings!$G$82,Settings!$G$84,Settings!$G$86),"")</f>
        <v/>
      </c>
      <c r="AB182" s="143">
        <f>IFERROR((Z182*(1-Settings!$G$17)-C182)/(Z182*(1-Settings!$G$17)),"")</f>
        <v/>
      </c>
      <c r="AC182" s="149">
        <f>IFERROR(IF(Z182="","",IF(Z182&gt;=C182/(1-SKU_Base!AE182)/(1-Settings!$G$17),"OK",IF(Z182&gt;=C182/(1-SKU_Base!AL182)/(1-Settings!$G$17),"WARN","STOP"))),"")</f>
        <v/>
      </c>
      <c r="AD182" s="159">
        <f>IFERROR(ROUND(D182*(1-CHOOSE(MATCH(IF($E182="","Основний",$E182),{"Трафіковий","Основний","Маржинальний","Сезонний","Стратегічний"},0),Settings!$H$78,Settings!$H$80,Settings!$H$82,Settings!$H$84,Settings!$H$86))*(1-Settings!$H$68)/6,2)*6,"")</f>
        <v/>
      </c>
      <c r="AE182" s="142">
        <f>IFERROR(CHOOSE(MATCH(IF($E182="","Основний",$E182),{"Трафіковий","Основний","Маржинальний","Сезонний","Стратегічний"},0),Settings!$H$78,Settings!$H$80,Settings!$H$82,Settings!$H$84,Settings!$H$86)+(1-(CHOOSE(MATCH(IF($E182="","Основний",$E182),{"Трафіковий","Основний","Маржинальний","Сезонний","Стратегічний"},0),Settings!$H$78,Settings!$H$80,Settings!$H$82,Settings!$H$84,Settings!$H$86)))*Settings!$H$68,"")</f>
        <v/>
      </c>
      <c r="AF182" s="143">
        <f>IFERROR((AD182*(1-Settings!$H$17)-C182)/(AD182*(1-Settings!$H$17)),"")</f>
        <v/>
      </c>
      <c r="AG182" s="150">
        <f>IFERROR(IF(AD182="","",IF(AD182&gt;=C182/(1-SKU_Base!AF182)/(1-Settings!$H$17),"OK",IF(AD182&gt;=C182/(1-SKU_Base!AM182)/(1-Settings!$H$17),"WARN","STOP"))),"")</f>
        <v/>
      </c>
    </row>
    <row r="183" ht="17" customHeight="1" s="179">
      <c r="A183" s="146">
        <f>SKU_Base!B183</f>
        <v/>
      </c>
      <c r="B183" s="146">
        <f>SKU_Base!C183</f>
        <v/>
      </c>
      <c r="C183" s="147">
        <f>IFERROR(SKU_Base!I183,"")</f>
        <v/>
      </c>
      <c r="D183" s="164">
        <f>IFERROR(SKU_Base!T183,"")</f>
        <v/>
      </c>
      <c r="E183" s="141">
        <f>IFERROR(SKU_Base!$U183,"")</f>
        <v/>
      </c>
      <c r="F183" s="160">
        <f>IFERROR(ROUND(D183*(1-CHOOSE(MATCH(IF($E183="","Основний",$E183),{"Трафіковий","Основний","Маржинальний","Сезонний","Стратегічний"},0),Settings!$B$78,Settings!$B$80,Settings!$B$82,Settings!$B$84,Settings!$B$86))/6,2)*6,"")</f>
        <v/>
      </c>
      <c r="G183" s="142">
        <f>IFERROR(CHOOSE(MATCH(IF($E183="","Основний",$E183),{"Трафіковий","Основний","Маржинальний","Сезонний","Стратегічний"},0),Settings!$B$78,Settings!$B$80,Settings!$B$82,Settings!$B$84,Settings!$B$86),"")</f>
        <v/>
      </c>
      <c r="H183" s="148">
        <f>IFERROR((F183*(1-Settings!$B$17)-C183)/(F183*(1-Settings!$B$17)),"")</f>
        <v/>
      </c>
      <c r="I183" s="149">
        <f>IFERROR(IF(F183="","",IF(F183&gt;=C183/(1-SKU_Base!Z183)/(1-Settings!$B$17),"OK",IF(F183&gt;=C183/(1-SKU_Base!AG183)/(1-Settings!$B$17),"WARN","STOP"))),"")</f>
        <v/>
      </c>
      <c r="J183" s="160">
        <f>IFERROR(ROUND(D183*(1-CHOOSE(MATCH(IF($E183="","Основний",$E183),{"Трафіковий","Основний","Маржинальний","Сезонний","Стратегічний"},0),Settings!$C$78,Settings!$C$80,Settings!$C$82,Settings!$C$84,Settings!$C$86))/6,2)*6,"")</f>
        <v/>
      </c>
      <c r="K183" s="142">
        <f>IFERROR(CHOOSE(MATCH(IF($E183="","Основний",$E183),{"Трафіковий","Основний","Маржинальний","Сезонний","Стратегічний"},0),Settings!$C$78,Settings!$C$80,Settings!$C$82,Settings!$C$84,Settings!$C$86),"")</f>
        <v/>
      </c>
      <c r="L183" s="148">
        <f>IFERROR((J183*(1-Settings!$C$17)-C183)/(J183*(1-Settings!$C$17)),"")</f>
        <v/>
      </c>
      <c r="M183" s="149">
        <f>IFERROR(IF(J183="","",IF(J183&gt;=C183/(1-SKU_Base!AA183)/(1-Settings!$C$17),"OK",IF(J183&gt;=C183/(1-SKU_Base!AH183)/(1-Settings!$C$17),"WARN","STOP"))),"")</f>
        <v/>
      </c>
      <c r="N183" s="161">
        <f>IFERROR(ROUND(D183*(1-CHOOSE(MATCH(IF($E183="","Основний",$E183),{"Трафіковий","Основний","Маржинальний","Сезонний","Стратегічний"},0),Settings!$D$78,Settings!$D$80,Settings!$D$82,Settings!$D$84,Settings!$D$86))/6,2)*6,"")</f>
        <v/>
      </c>
      <c r="O183" s="142">
        <f>IFERROR(CHOOSE(MATCH(IF($E183="","Основний",$E183),{"Трафіковий","Основний","Маржинальний","Сезонний","Стратегічний"},0),Settings!$D$78,Settings!$D$80,Settings!$D$82,Settings!$D$84,Settings!$D$86),"")</f>
        <v/>
      </c>
      <c r="P183" s="148">
        <f>IFERROR((N183*(1-Settings!$D$17)-C183)/(N183*(1-Settings!$D$17)),"")</f>
        <v/>
      </c>
      <c r="Q183" s="149">
        <f>IFERROR(IF(N183="","",IF(N183&gt;=C183/(1-SKU_Base!AB183)/(1-Settings!$D$17),"OK",IF(N183&gt;=C183/(1-SKU_Base!AI183)/(1-Settings!$D$17),"WARN","STOP"))),"")</f>
        <v/>
      </c>
      <c r="R183" s="161">
        <f>IFERROR(ROUND(D183*(1-CHOOSE(MATCH(IF($E183="","Основний",$E183),{"Трафіковий","Основний","Маржинальний","Сезонний","Стратегічний"},0),Settings!$E$78,Settings!$E$80,Settings!$E$82,Settings!$E$84,Settings!$E$86))/6,2)*6,"")</f>
        <v/>
      </c>
      <c r="S183" s="142">
        <f>IFERROR(CHOOSE(MATCH(IF($E183="","Основний",$E183),{"Трафіковий","Основний","Маржинальний","Сезонний","Стратегічний"},0),Settings!$E$78,Settings!$E$80,Settings!$E$82,Settings!$E$84,Settings!$E$86),"")</f>
        <v/>
      </c>
      <c r="T183" s="148">
        <f>IFERROR((R183*(1-Settings!$E$17)-C183)/(R183*(1-Settings!$E$17)),"")</f>
        <v/>
      </c>
      <c r="U183" s="149">
        <f>IFERROR(IF(R183="","",IF(R183&gt;=C183/(1-SKU_Base!AC183)/(1-Settings!$E$17),"OK",IF(R183&gt;=C183/(1-SKU_Base!AJ183)/(1-Settings!$E$17),"WARN","STOP"))),"")</f>
        <v/>
      </c>
      <c r="V183" s="161">
        <f>IFERROR(ROUND(D183*(1-CHOOSE(MATCH(IF($E183="","Основний",$E183),{"Трафіковий","Основний","Маржинальний","Сезонний","Стратегічний"},0),Settings!$F$78,Settings!$F$80,Settings!$F$82,Settings!$F$84,Settings!$F$86))/6,2)*6,"")</f>
        <v/>
      </c>
      <c r="W183" s="142">
        <f>IFERROR(CHOOSE(MATCH(IF($E183="","Основний",$E183),{"Трафіковий","Основний","Маржинальний","Сезонний","Стратегічний"},0),Settings!$F$78,Settings!$F$80,Settings!$F$82,Settings!$F$84,Settings!$F$86),"")</f>
        <v/>
      </c>
      <c r="X183" s="148">
        <f>IFERROR((V183*(1-Settings!$F$17)-C183)/(V183*(1-Settings!$F$17)),"")</f>
        <v/>
      </c>
      <c r="Y183" s="149">
        <f>IFERROR(IF(V183="","",IF(V183&gt;=C183/(1-SKU_Base!AD183)/(1-Settings!$F$17),"OK",IF(V183&gt;=C183/(1-SKU_Base!AK183)/(1-Settings!$F$17),"WARN","STOP"))),"")</f>
        <v/>
      </c>
      <c r="Z183" s="161">
        <f>IFERROR(ROUND(D183*(1-CHOOSE(MATCH(IF($E183="","Основний",$E183),{"Трафіковий","Основний","Маржинальний","Сезонний","Стратегічний"},0),Settings!$G$78,Settings!$G$80,Settings!$G$82,Settings!$G$84,Settings!$G$86))/6,2)*6,"")</f>
        <v/>
      </c>
      <c r="AA183" s="142">
        <f>IFERROR(CHOOSE(MATCH(IF($E183="","Основний",$E183),{"Трафіковий","Основний","Маржинальний","Сезонний","Стратегічний"},0),Settings!$G$78,Settings!$G$80,Settings!$G$82,Settings!$G$84,Settings!$G$86),"")</f>
        <v/>
      </c>
      <c r="AB183" s="148">
        <f>IFERROR((Z183*(1-Settings!$G$17)-C183)/(Z183*(1-Settings!$G$17)),"")</f>
        <v/>
      </c>
      <c r="AC183" s="149">
        <f>IFERROR(IF(Z183="","",IF(Z183&gt;=C183/(1-SKU_Base!AE183)/(1-Settings!$G$17),"OK",IF(Z183&gt;=C183/(1-SKU_Base!AL183)/(1-Settings!$G$17),"WARN","STOP"))),"")</f>
        <v/>
      </c>
      <c r="AD183" s="161">
        <f>IFERROR(ROUND(D183*(1-CHOOSE(MATCH(IF($E183="","Основний",$E183),{"Трафіковий","Основний","Маржинальний","Сезонний","Стратегічний"},0),Settings!$H$78,Settings!$H$80,Settings!$H$82,Settings!$H$84,Settings!$H$86))*(1-Settings!$H$68)/6,2)*6,"")</f>
        <v/>
      </c>
      <c r="AE183" s="142">
        <f>IFERROR(CHOOSE(MATCH(IF($E183="","Основний",$E183),{"Трафіковий","Основний","Маржинальний","Сезонний","Стратегічний"},0),Settings!$H$78,Settings!$H$80,Settings!$H$82,Settings!$H$84,Settings!$H$86)+(1-(CHOOSE(MATCH(IF($E183="","Основний",$E183),{"Трафіковий","Основний","Маржинальний","Сезонний","Стратегічний"},0),Settings!$H$78,Settings!$H$80,Settings!$H$82,Settings!$H$84,Settings!$H$86)))*Settings!$H$68,"")</f>
        <v/>
      </c>
      <c r="AF183" s="148">
        <f>IFERROR((AD183*(1-Settings!$H$17)-C183)/(AD183*(1-Settings!$H$17)),"")</f>
        <v/>
      </c>
      <c r="AG183" s="150">
        <f>IFERROR(IF(AD183="","",IF(AD183&gt;=C183/(1-SKU_Base!AF183)/(1-Settings!$H$17),"OK",IF(AD183&gt;=C183/(1-SKU_Base!AM183)/(1-Settings!$H$17),"WARN","STOP"))),"")</f>
        <v/>
      </c>
    </row>
    <row r="184" ht="17" customHeight="1" s="179">
      <c r="A184" s="139">
        <f>SKU_Base!B184</f>
        <v/>
      </c>
      <c r="B184" s="139">
        <f>SKU_Base!C184</f>
        <v/>
      </c>
      <c r="C184" s="140">
        <f>IFERROR(SKU_Base!I184,"")</f>
        <v/>
      </c>
      <c r="D184" s="163">
        <f>IFERROR(SKU_Base!T184,"")</f>
        <v/>
      </c>
      <c r="E184" s="141">
        <f>IFERROR(SKU_Base!$U184,"")</f>
        <v/>
      </c>
      <c r="F184" s="158">
        <f>IFERROR(ROUND(D184*(1-CHOOSE(MATCH(IF($E184="","Основний",$E184),{"Трафіковий","Основний","Маржинальний","Сезонний","Стратегічний"},0),Settings!$B$78,Settings!$B$80,Settings!$B$82,Settings!$B$84,Settings!$B$86))/6,2)*6,"")</f>
        <v/>
      </c>
      <c r="G184" s="142">
        <f>IFERROR(CHOOSE(MATCH(IF($E184="","Основний",$E184),{"Трафіковий","Основний","Маржинальний","Сезонний","Стратегічний"},0),Settings!$B$78,Settings!$B$80,Settings!$B$82,Settings!$B$84,Settings!$B$86),"")</f>
        <v/>
      </c>
      <c r="H184" s="143">
        <f>IFERROR((F184*(1-Settings!$B$17)-C184)/(F184*(1-Settings!$B$17)),"")</f>
        <v/>
      </c>
      <c r="I184" s="150">
        <f>IFERROR(IF(F184="","",IF(F184&gt;=C184/(1-SKU_Base!Z184)/(1-Settings!$B$17),"OK",IF(F184&gt;=C184/(1-SKU_Base!AG184)/(1-Settings!$B$17),"WARN","STOP"))),"")</f>
        <v/>
      </c>
      <c r="J184" s="158">
        <f>IFERROR(ROUND(D184*(1-CHOOSE(MATCH(IF($E184="","Основний",$E184),{"Трафіковий","Основний","Маржинальний","Сезонний","Стратегічний"},0),Settings!$C$78,Settings!$C$80,Settings!$C$82,Settings!$C$84,Settings!$C$86))/6,2)*6,"")</f>
        <v/>
      </c>
      <c r="K184" s="142">
        <f>IFERROR(CHOOSE(MATCH(IF($E184="","Основний",$E184),{"Трафіковий","Основний","Маржинальний","Сезонний","Стратегічний"},0),Settings!$C$78,Settings!$C$80,Settings!$C$82,Settings!$C$84,Settings!$C$86),"")</f>
        <v/>
      </c>
      <c r="L184" s="143">
        <f>IFERROR((J184*(1-Settings!$C$17)-C184)/(J184*(1-Settings!$C$17)),"")</f>
        <v/>
      </c>
      <c r="M184" s="149">
        <f>IFERROR(IF(J184="","",IF(J184&gt;=C184/(1-SKU_Base!AA184)/(1-Settings!$C$17),"OK",IF(J184&gt;=C184/(1-SKU_Base!AH184)/(1-Settings!$C$17),"WARN","STOP"))),"")</f>
        <v/>
      </c>
      <c r="N184" s="159">
        <f>IFERROR(ROUND(D184*(1-CHOOSE(MATCH(IF($E184="","Основний",$E184),{"Трафіковий","Основний","Маржинальний","Сезонний","Стратегічний"},0),Settings!$D$78,Settings!$D$80,Settings!$D$82,Settings!$D$84,Settings!$D$86))/6,2)*6,"")</f>
        <v/>
      </c>
      <c r="O184" s="142">
        <f>IFERROR(CHOOSE(MATCH(IF($E184="","Основний",$E184),{"Трафіковий","Основний","Маржинальний","Сезонний","Стратегічний"},0),Settings!$D$78,Settings!$D$80,Settings!$D$82,Settings!$D$84,Settings!$D$86),"")</f>
        <v/>
      </c>
      <c r="P184" s="143">
        <f>IFERROR((N184*(1-Settings!$D$17)-C184)/(N184*(1-Settings!$D$17)),"")</f>
        <v/>
      </c>
      <c r="Q184" s="149">
        <f>IFERROR(IF(N184="","",IF(N184&gt;=C184/(1-SKU_Base!AB184)/(1-Settings!$D$17),"OK",IF(N184&gt;=C184/(1-SKU_Base!AI184)/(1-Settings!$D$17),"WARN","STOP"))),"")</f>
        <v/>
      </c>
      <c r="R184" s="159">
        <f>IFERROR(ROUND(D184*(1-CHOOSE(MATCH(IF($E184="","Основний",$E184),{"Трафіковий","Основний","Маржинальний","Сезонний","Стратегічний"},0),Settings!$E$78,Settings!$E$80,Settings!$E$82,Settings!$E$84,Settings!$E$86))/6,2)*6,"")</f>
        <v/>
      </c>
      <c r="S184" s="142">
        <f>IFERROR(CHOOSE(MATCH(IF($E184="","Основний",$E184),{"Трафіковий","Основний","Маржинальний","Сезонний","Стратегічний"},0),Settings!$E$78,Settings!$E$80,Settings!$E$82,Settings!$E$84,Settings!$E$86),"")</f>
        <v/>
      </c>
      <c r="T184" s="143">
        <f>IFERROR((R184*(1-Settings!$E$17)-C184)/(R184*(1-Settings!$E$17)),"")</f>
        <v/>
      </c>
      <c r="U184" s="149">
        <f>IFERROR(IF(R184="","",IF(R184&gt;=C184/(1-SKU_Base!AC184)/(1-Settings!$E$17),"OK",IF(R184&gt;=C184/(1-SKU_Base!AJ184)/(1-Settings!$E$17),"WARN","STOP"))),"")</f>
        <v/>
      </c>
      <c r="V184" s="159">
        <f>IFERROR(ROUND(D184*(1-CHOOSE(MATCH(IF($E184="","Основний",$E184),{"Трафіковий","Основний","Маржинальний","Сезонний","Стратегічний"},0),Settings!$F$78,Settings!$F$80,Settings!$F$82,Settings!$F$84,Settings!$F$86))/6,2)*6,"")</f>
        <v/>
      </c>
      <c r="W184" s="142">
        <f>IFERROR(CHOOSE(MATCH(IF($E184="","Основний",$E184),{"Трафіковий","Основний","Маржинальний","Сезонний","Стратегічний"},0),Settings!$F$78,Settings!$F$80,Settings!$F$82,Settings!$F$84,Settings!$F$86),"")</f>
        <v/>
      </c>
      <c r="X184" s="143">
        <f>IFERROR((V184*(1-Settings!$F$17)-C184)/(V184*(1-Settings!$F$17)),"")</f>
        <v/>
      </c>
      <c r="Y184" s="149">
        <f>IFERROR(IF(V184="","",IF(V184&gt;=C184/(1-SKU_Base!AD184)/(1-Settings!$F$17),"OK",IF(V184&gt;=C184/(1-SKU_Base!AK184)/(1-Settings!$F$17),"WARN","STOP"))),"")</f>
        <v/>
      </c>
      <c r="Z184" s="159">
        <f>IFERROR(ROUND(D184*(1-CHOOSE(MATCH(IF($E184="","Основний",$E184),{"Трафіковий","Основний","Маржинальний","Сезонний","Стратегічний"},0),Settings!$G$78,Settings!$G$80,Settings!$G$82,Settings!$G$84,Settings!$G$86))/6,2)*6,"")</f>
        <v/>
      </c>
      <c r="AA184" s="142">
        <f>IFERROR(CHOOSE(MATCH(IF($E184="","Основний",$E184),{"Трафіковий","Основний","Маржинальний","Сезонний","Стратегічний"},0),Settings!$G$78,Settings!$G$80,Settings!$G$82,Settings!$G$84,Settings!$G$86),"")</f>
        <v/>
      </c>
      <c r="AB184" s="143">
        <f>IFERROR((Z184*(1-Settings!$G$17)-C184)/(Z184*(1-Settings!$G$17)),"")</f>
        <v/>
      </c>
      <c r="AC184" s="149">
        <f>IFERROR(IF(Z184="","",IF(Z184&gt;=C184/(1-SKU_Base!AE184)/(1-Settings!$G$17),"OK",IF(Z184&gt;=C184/(1-SKU_Base!AL184)/(1-Settings!$G$17),"WARN","STOP"))),"")</f>
        <v/>
      </c>
      <c r="AD184" s="159">
        <f>IFERROR(ROUND(D184*(1-CHOOSE(MATCH(IF($E184="","Основний",$E184),{"Трафіковий","Основний","Маржинальний","Сезонний","Стратегічний"},0),Settings!$H$78,Settings!$H$80,Settings!$H$82,Settings!$H$84,Settings!$H$86))*(1-Settings!$H$68)/6,2)*6,"")</f>
        <v/>
      </c>
      <c r="AE184" s="142">
        <f>IFERROR(CHOOSE(MATCH(IF($E184="","Основний",$E184),{"Трафіковий","Основний","Маржинальний","Сезонний","Стратегічний"},0),Settings!$H$78,Settings!$H$80,Settings!$H$82,Settings!$H$84,Settings!$H$86)+(1-(CHOOSE(MATCH(IF($E184="","Основний",$E184),{"Трафіковий","Основний","Маржинальний","Сезонний","Стратегічний"},0),Settings!$H$78,Settings!$H$80,Settings!$H$82,Settings!$H$84,Settings!$H$86)))*Settings!$H$68,"")</f>
        <v/>
      </c>
      <c r="AF184" s="143">
        <f>IFERROR((AD184*(1-Settings!$H$17)-C184)/(AD184*(1-Settings!$H$17)),"")</f>
        <v/>
      </c>
      <c r="AG184" s="150">
        <f>IFERROR(IF(AD184="","",IF(AD184&gt;=C184/(1-SKU_Base!AF184)/(1-Settings!$H$17),"OK",IF(AD184&gt;=C184/(1-SKU_Base!AM184)/(1-Settings!$H$17),"WARN","STOP"))),"")</f>
        <v/>
      </c>
    </row>
    <row r="185" ht="17" customHeight="1" s="179">
      <c r="A185" s="146">
        <f>SKU_Base!B185</f>
        <v/>
      </c>
      <c r="B185" s="146">
        <f>SKU_Base!C185</f>
        <v/>
      </c>
      <c r="C185" s="147">
        <f>IFERROR(SKU_Base!I185,"")</f>
        <v/>
      </c>
      <c r="D185" s="164">
        <f>IFERROR(SKU_Base!T185,"")</f>
        <v/>
      </c>
      <c r="E185" s="141">
        <f>IFERROR(SKU_Base!$U185,"")</f>
        <v/>
      </c>
      <c r="F185" s="160">
        <f>IFERROR(ROUND(D185*(1-CHOOSE(MATCH(IF($E185="","Основний",$E185),{"Трафіковий","Основний","Маржинальний","Сезонний","Стратегічний"},0),Settings!$B$78,Settings!$B$80,Settings!$B$82,Settings!$B$84,Settings!$B$86))/6,2)*6,"")</f>
        <v/>
      </c>
      <c r="G185" s="142">
        <f>IFERROR(CHOOSE(MATCH(IF($E185="","Основний",$E185),{"Трафіковий","Основний","Маржинальний","Сезонний","Стратегічний"},0),Settings!$B$78,Settings!$B$80,Settings!$B$82,Settings!$B$84,Settings!$B$86),"")</f>
        <v/>
      </c>
      <c r="H185" s="148">
        <f>IFERROR((F185*(1-Settings!$B$17)-C185)/(F185*(1-Settings!$B$17)),"")</f>
        <v/>
      </c>
      <c r="I185" s="150">
        <f>IFERROR(IF(F185="","",IF(F185&gt;=C185/(1-SKU_Base!Z185)/(1-Settings!$B$17),"OK",IF(F185&gt;=C185/(1-SKU_Base!AG185)/(1-Settings!$B$17),"WARN","STOP"))),"")</f>
        <v/>
      </c>
      <c r="J185" s="160">
        <f>IFERROR(ROUND(D185*(1-CHOOSE(MATCH(IF($E185="","Основний",$E185),{"Трафіковий","Основний","Маржинальний","Сезонний","Стратегічний"},0),Settings!$C$78,Settings!$C$80,Settings!$C$82,Settings!$C$84,Settings!$C$86))/6,2)*6,"")</f>
        <v/>
      </c>
      <c r="K185" s="142">
        <f>IFERROR(CHOOSE(MATCH(IF($E185="","Основний",$E185),{"Трафіковий","Основний","Маржинальний","Сезонний","Стратегічний"},0),Settings!$C$78,Settings!$C$80,Settings!$C$82,Settings!$C$84,Settings!$C$86),"")</f>
        <v/>
      </c>
      <c r="L185" s="148">
        <f>IFERROR((J185*(1-Settings!$C$17)-C185)/(J185*(1-Settings!$C$17)),"")</f>
        <v/>
      </c>
      <c r="M185" s="149">
        <f>IFERROR(IF(J185="","",IF(J185&gt;=C185/(1-SKU_Base!AA185)/(1-Settings!$C$17),"OK",IF(J185&gt;=C185/(1-SKU_Base!AH185)/(1-Settings!$C$17),"WARN","STOP"))),"")</f>
        <v/>
      </c>
      <c r="N185" s="161">
        <f>IFERROR(ROUND(D185*(1-CHOOSE(MATCH(IF($E185="","Основний",$E185),{"Трафіковий","Основний","Маржинальний","Сезонний","Стратегічний"},0),Settings!$D$78,Settings!$D$80,Settings!$D$82,Settings!$D$84,Settings!$D$86))/6,2)*6,"")</f>
        <v/>
      </c>
      <c r="O185" s="142">
        <f>IFERROR(CHOOSE(MATCH(IF($E185="","Основний",$E185),{"Трафіковий","Основний","Маржинальний","Сезонний","Стратегічний"},0),Settings!$D$78,Settings!$D$80,Settings!$D$82,Settings!$D$84,Settings!$D$86),"")</f>
        <v/>
      </c>
      <c r="P185" s="148">
        <f>IFERROR((N185*(1-Settings!$D$17)-C185)/(N185*(1-Settings!$D$17)),"")</f>
        <v/>
      </c>
      <c r="Q185" s="149">
        <f>IFERROR(IF(N185="","",IF(N185&gt;=C185/(1-SKU_Base!AB185)/(1-Settings!$D$17),"OK",IF(N185&gt;=C185/(1-SKU_Base!AI185)/(1-Settings!$D$17),"WARN","STOP"))),"")</f>
        <v/>
      </c>
      <c r="R185" s="161">
        <f>IFERROR(ROUND(D185*(1-CHOOSE(MATCH(IF($E185="","Основний",$E185),{"Трафіковий","Основний","Маржинальний","Сезонний","Стратегічний"},0),Settings!$E$78,Settings!$E$80,Settings!$E$82,Settings!$E$84,Settings!$E$86))/6,2)*6,"")</f>
        <v/>
      </c>
      <c r="S185" s="142">
        <f>IFERROR(CHOOSE(MATCH(IF($E185="","Основний",$E185),{"Трафіковий","Основний","Маржинальний","Сезонний","Стратегічний"},0),Settings!$E$78,Settings!$E$80,Settings!$E$82,Settings!$E$84,Settings!$E$86),"")</f>
        <v/>
      </c>
      <c r="T185" s="148">
        <f>IFERROR((R185*(1-Settings!$E$17)-C185)/(R185*(1-Settings!$E$17)),"")</f>
        <v/>
      </c>
      <c r="U185" s="149">
        <f>IFERROR(IF(R185="","",IF(R185&gt;=C185/(1-SKU_Base!AC185)/(1-Settings!$E$17),"OK",IF(R185&gt;=C185/(1-SKU_Base!AJ185)/(1-Settings!$E$17),"WARN","STOP"))),"")</f>
        <v/>
      </c>
      <c r="V185" s="161">
        <f>IFERROR(ROUND(D185*(1-CHOOSE(MATCH(IF($E185="","Основний",$E185),{"Трафіковий","Основний","Маржинальний","Сезонний","Стратегічний"},0),Settings!$F$78,Settings!$F$80,Settings!$F$82,Settings!$F$84,Settings!$F$86))/6,2)*6,"")</f>
        <v/>
      </c>
      <c r="W185" s="142">
        <f>IFERROR(CHOOSE(MATCH(IF($E185="","Основний",$E185),{"Трафіковий","Основний","Маржинальний","Сезонний","Стратегічний"},0),Settings!$F$78,Settings!$F$80,Settings!$F$82,Settings!$F$84,Settings!$F$86),"")</f>
        <v/>
      </c>
      <c r="X185" s="148">
        <f>IFERROR((V185*(1-Settings!$F$17)-C185)/(V185*(1-Settings!$F$17)),"")</f>
        <v/>
      </c>
      <c r="Y185" s="149">
        <f>IFERROR(IF(V185="","",IF(V185&gt;=C185/(1-SKU_Base!AD185)/(1-Settings!$F$17),"OK",IF(V185&gt;=C185/(1-SKU_Base!AK185)/(1-Settings!$F$17),"WARN","STOP"))),"")</f>
        <v/>
      </c>
      <c r="Z185" s="161">
        <f>IFERROR(ROUND(D185*(1-CHOOSE(MATCH(IF($E185="","Основний",$E185),{"Трафіковий","Основний","Маржинальний","Сезонний","Стратегічний"},0),Settings!$G$78,Settings!$G$80,Settings!$G$82,Settings!$G$84,Settings!$G$86))/6,2)*6,"")</f>
        <v/>
      </c>
      <c r="AA185" s="142">
        <f>IFERROR(CHOOSE(MATCH(IF($E185="","Основний",$E185),{"Трафіковий","Основний","Маржинальний","Сезонний","Стратегічний"},0),Settings!$G$78,Settings!$G$80,Settings!$G$82,Settings!$G$84,Settings!$G$86),"")</f>
        <v/>
      </c>
      <c r="AB185" s="148">
        <f>IFERROR((Z185*(1-Settings!$G$17)-C185)/(Z185*(1-Settings!$G$17)),"")</f>
        <v/>
      </c>
      <c r="AC185" s="149">
        <f>IFERROR(IF(Z185="","",IF(Z185&gt;=C185/(1-SKU_Base!AE185)/(1-Settings!$G$17),"OK",IF(Z185&gt;=C185/(1-SKU_Base!AL185)/(1-Settings!$G$17),"WARN","STOP"))),"")</f>
        <v/>
      </c>
      <c r="AD185" s="161">
        <f>IFERROR(ROUND(D185*(1-CHOOSE(MATCH(IF($E185="","Основний",$E185),{"Трафіковий","Основний","Маржинальний","Сезонний","Стратегічний"},0),Settings!$H$78,Settings!$H$80,Settings!$H$82,Settings!$H$84,Settings!$H$86))*(1-Settings!$H$68)/6,2)*6,"")</f>
        <v/>
      </c>
      <c r="AE185" s="142">
        <f>IFERROR(CHOOSE(MATCH(IF($E185="","Основний",$E185),{"Трафіковий","Основний","Маржинальний","Сезонний","Стратегічний"},0),Settings!$H$78,Settings!$H$80,Settings!$H$82,Settings!$H$84,Settings!$H$86)+(1-(CHOOSE(MATCH(IF($E185="","Основний",$E185),{"Трафіковий","Основний","Маржинальний","Сезонний","Стратегічний"},0),Settings!$H$78,Settings!$H$80,Settings!$H$82,Settings!$H$84,Settings!$H$86)))*Settings!$H$68,"")</f>
        <v/>
      </c>
      <c r="AF185" s="148">
        <f>IFERROR((AD185*(1-Settings!$H$17)-C185)/(AD185*(1-Settings!$H$17)),"")</f>
        <v/>
      </c>
      <c r="AG185" s="150">
        <f>IFERROR(IF(AD185="","",IF(AD185&gt;=C185/(1-SKU_Base!AF185)/(1-Settings!$H$17),"OK",IF(AD185&gt;=C185/(1-SKU_Base!AM185)/(1-Settings!$H$17),"WARN","STOP"))),"")</f>
        <v/>
      </c>
    </row>
    <row r="186" ht="17" customHeight="1" s="179">
      <c r="A186" s="139">
        <f>SKU_Base!B186</f>
        <v/>
      </c>
      <c r="B186" s="139">
        <f>SKU_Base!C186</f>
        <v/>
      </c>
      <c r="C186" s="140">
        <f>IFERROR(SKU_Base!I186,"")</f>
        <v/>
      </c>
      <c r="D186" s="163">
        <f>IFERROR(SKU_Base!T186,"")</f>
        <v/>
      </c>
      <c r="E186" s="141">
        <f>IFERROR(SKU_Base!$U186,"")</f>
        <v/>
      </c>
      <c r="F186" s="158">
        <f>IFERROR(ROUND(D186*(1-CHOOSE(MATCH(IF($E186="","Основний",$E186),{"Трафіковий","Основний","Маржинальний","Сезонний","Стратегічний"},0),Settings!$B$78,Settings!$B$80,Settings!$B$82,Settings!$B$84,Settings!$B$86))/6,2)*6,"")</f>
        <v/>
      </c>
      <c r="G186" s="142">
        <f>IFERROR(CHOOSE(MATCH(IF($E186="","Основний",$E186),{"Трафіковий","Основний","Маржинальний","Сезонний","Стратегічний"},0),Settings!$B$78,Settings!$B$80,Settings!$B$82,Settings!$B$84,Settings!$B$86),"")</f>
        <v/>
      </c>
      <c r="H186" s="143">
        <f>IFERROR((F186*(1-Settings!$B$17)-C186)/(F186*(1-Settings!$B$17)),"")</f>
        <v/>
      </c>
      <c r="I186" s="149">
        <f>IFERROR(IF(F186="","",IF(F186&gt;=C186/(1-SKU_Base!Z186)/(1-Settings!$B$17),"OK",IF(F186&gt;=C186/(1-SKU_Base!AG186)/(1-Settings!$B$17),"WARN","STOP"))),"")</f>
        <v/>
      </c>
      <c r="J186" s="158">
        <f>IFERROR(ROUND(D186*(1-CHOOSE(MATCH(IF($E186="","Основний",$E186),{"Трафіковий","Основний","Маржинальний","Сезонний","Стратегічний"},0),Settings!$C$78,Settings!$C$80,Settings!$C$82,Settings!$C$84,Settings!$C$86))/6,2)*6,"")</f>
        <v/>
      </c>
      <c r="K186" s="142">
        <f>IFERROR(CHOOSE(MATCH(IF($E186="","Основний",$E186),{"Трафіковий","Основний","Маржинальний","Сезонний","Стратегічний"},0),Settings!$C$78,Settings!$C$80,Settings!$C$82,Settings!$C$84,Settings!$C$86),"")</f>
        <v/>
      </c>
      <c r="L186" s="143">
        <f>IFERROR((J186*(1-Settings!$C$17)-C186)/(J186*(1-Settings!$C$17)),"")</f>
        <v/>
      </c>
      <c r="M186" s="149">
        <f>IFERROR(IF(J186="","",IF(J186&gt;=C186/(1-SKU_Base!AA186)/(1-Settings!$C$17),"OK",IF(J186&gt;=C186/(1-SKU_Base!AH186)/(1-Settings!$C$17),"WARN","STOP"))),"")</f>
        <v/>
      </c>
      <c r="N186" s="159">
        <f>IFERROR(ROUND(D186*(1-CHOOSE(MATCH(IF($E186="","Основний",$E186),{"Трафіковий","Основний","Маржинальний","Сезонний","Стратегічний"},0),Settings!$D$78,Settings!$D$80,Settings!$D$82,Settings!$D$84,Settings!$D$86))/6,2)*6,"")</f>
        <v/>
      </c>
      <c r="O186" s="142">
        <f>IFERROR(CHOOSE(MATCH(IF($E186="","Основний",$E186),{"Трафіковий","Основний","Маржинальний","Сезонний","Стратегічний"},0),Settings!$D$78,Settings!$D$80,Settings!$D$82,Settings!$D$84,Settings!$D$86),"")</f>
        <v/>
      </c>
      <c r="P186" s="143">
        <f>IFERROR((N186*(1-Settings!$D$17)-C186)/(N186*(1-Settings!$D$17)),"")</f>
        <v/>
      </c>
      <c r="Q186" s="149">
        <f>IFERROR(IF(N186="","",IF(N186&gt;=C186/(1-SKU_Base!AB186)/(1-Settings!$D$17),"OK",IF(N186&gt;=C186/(1-SKU_Base!AI186)/(1-Settings!$D$17),"WARN","STOP"))),"")</f>
        <v/>
      </c>
      <c r="R186" s="159">
        <f>IFERROR(ROUND(D186*(1-CHOOSE(MATCH(IF($E186="","Основний",$E186),{"Трафіковий","Основний","Маржинальний","Сезонний","Стратегічний"},0),Settings!$E$78,Settings!$E$80,Settings!$E$82,Settings!$E$84,Settings!$E$86))/6,2)*6,"")</f>
        <v/>
      </c>
      <c r="S186" s="142">
        <f>IFERROR(CHOOSE(MATCH(IF($E186="","Основний",$E186),{"Трафіковий","Основний","Маржинальний","Сезонний","Стратегічний"},0),Settings!$E$78,Settings!$E$80,Settings!$E$82,Settings!$E$84,Settings!$E$86),"")</f>
        <v/>
      </c>
      <c r="T186" s="143">
        <f>IFERROR((R186*(1-Settings!$E$17)-C186)/(R186*(1-Settings!$E$17)),"")</f>
        <v/>
      </c>
      <c r="U186" s="149">
        <f>IFERROR(IF(R186="","",IF(R186&gt;=C186/(1-SKU_Base!AC186)/(1-Settings!$E$17),"OK",IF(R186&gt;=C186/(1-SKU_Base!AJ186)/(1-Settings!$E$17),"WARN","STOP"))),"")</f>
        <v/>
      </c>
      <c r="V186" s="159">
        <f>IFERROR(ROUND(D186*(1-CHOOSE(MATCH(IF($E186="","Основний",$E186),{"Трафіковий","Основний","Маржинальний","Сезонний","Стратегічний"},0),Settings!$F$78,Settings!$F$80,Settings!$F$82,Settings!$F$84,Settings!$F$86))/6,2)*6,"")</f>
        <v/>
      </c>
      <c r="W186" s="142">
        <f>IFERROR(CHOOSE(MATCH(IF($E186="","Основний",$E186),{"Трафіковий","Основний","Маржинальний","Сезонний","Стратегічний"},0),Settings!$F$78,Settings!$F$80,Settings!$F$82,Settings!$F$84,Settings!$F$86),"")</f>
        <v/>
      </c>
      <c r="X186" s="143">
        <f>IFERROR((V186*(1-Settings!$F$17)-C186)/(V186*(1-Settings!$F$17)),"")</f>
        <v/>
      </c>
      <c r="Y186" s="149">
        <f>IFERROR(IF(V186="","",IF(V186&gt;=C186/(1-SKU_Base!AD186)/(1-Settings!$F$17),"OK",IF(V186&gt;=C186/(1-SKU_Base!AK186)/(1-Settings!$F$17),"WARN","STOP"))),"")</f>
        <v/>
      </c>
      <c r="Z186" s="159">
        <f>IFERROR(ROUND(D186*(1-CHOOSE(MATCH(IF($E186="","Основний",$E186),{"Трафіковий","Основний","Маржинальний","Сезонний","Стратегічний"},0),Settings!$G$78,Settings!$G$80,Settings!$G$82,Settings!$G$84,Settings!$G$86))/6,2)*6,"")</f>
        <v/>
      </c>
      <c r="AA186" s="142">
        <f>IFERROR(CHOOSE(MATCH(IF($E186="","Основний",$E186),{"Трафіковий","Основний","Маржинальний","Сезонний","Стратегічний"},0),Settings!$G$78,Settings!$G$80,Settings!$G$82,Settings!$G$84,Settings!$G$86),"")</f>
        <v/>
      </c>
      <c r="AB186" s="143">
        <f>IFERROR((Z186*(1-Settings!$G$17)-C186)/(Z186*(1-Settings!$G$17)),"")</f>
        <v/>
      </c>
      <c r="AC186" s="149">
        <f>IFERROR(IF(Z186="","",IF(Z186&gt;=C186/(1-SKU_Base!AE186)/(1-Settings!$G$17),"OK",IF(Z186&gt;=C186/(1-SKU_Base!AL186)/(1-Settings!$G$17),"WARN","STOP"))),"")</f>
        <v/>
      </c>
      <c r="AD186" s="159">
        <f>IFERROR(ROUND(D186*(1-CHOOSE(MATCH(IF($E186="","Основний",$E186),{"Трафіковий","Основний","Маржинальний","Сезонний","Стратегічний"},0),Settings!$H$78,Settings!$H$80,Settings!$H$82,Settings!$H$84,Settings!$H$86))*(1-Settings!$H$68)/6,2)*6,"")</f>
        <v/>
      </c>
      <c r="AE186" s="142">
        <f>IFERROR(CHOOSE(MATCH(IF($E186="","Основний",$E186),{"Трафіковий","Основний","Маржинальний","Сезонний","Стратегічний"},0),Settings!$H$78,Settings!$H$80,Settings!$H$82,Settings!$H$84,Settings!$H$86)+(1-(CHOOSE(MATCH(IF($E186="","Основний",$E186),{"Трафіковий","Основний","Маржинальний","Сезонний","Стратегічний"},0),Settings!$H$78,Settings!$H$80,Settings!$H$82,Settings!$H$84,Settings!$H$86)))*Settings!$H$68,"")</f>
        <v/>
      </c>
      <c r="AF186" s="143">
        <f>IFERROR((AD186*(1-Settings!$H$17)-C186)/(AD186*(1-Settings!$H$17)),"")</f>
        <v/>
      </c>
      <c r="AG186" s="150">
        <f>IFERROR(IF(AD186="","",IF(AD186&gt;=C186/(1-SKU_Base!AF186)/(1-Settings!$H$17),"OK",IF(AD186&gt;=C186/(1-SKU_Base!AM186)/(1-Settings!$H$17),"WARN","STOP"))),"")</f>
        <v/>
      </c>
    </row>
    <row r="187" ht="17" customHeight="1" s="179">
      <c r="A187" s="146">
        <f>SKU_Base!B187</f>
        <v/>
      </c>
      <c r="B187" s="146">
        <f>SKU_Base!C187</f>
        <v/>
      </c>
      <c r="C187" s="147">
        <f>IFERROR(SKU_Base!I187,"")</f>
        <v/>
      </c>
      <c r="D187" s="164">
        <f>IFERROR(SKU_Base!T187,"")</f>
        <v/>
      </c>
      <c r="E187" s="141">
        <f>IFERROR(SKU_Base!$U187,"")</f>
        <v/>
      </c>
      <c r="F187" s="160">
        <f>IFERROR(ROUND(D187*(1-CHOOSE(MATCH(IF($E187="","Основний",$E187),{"Трафіковий","Основний","Маржинальний","Сезонний","Стратегічний"},0),Settings!$B$78,Settings!$B$80,Settings!$B$82,Settings!$B$84,Settings!$B$86))/6,2)*6,"")</f>
        <v/>
      </c>
      <c r="G187" s="142">
        <f>IFERROR(CHOOSE(MATCH(IF($E187="","Основний",$E187),{"Трафіковий","Основний","Маржинальний","Сезонний","Стратегічний"},0),Settings!$B$78,Settings!$B$80,Settings!$B$82,Settings!$B$84,Settings!$B$86),"")</f>
        <v/>
      </c>
      <c r="H187" s="148">
        <f>IFERROR((F187*(1-Settings!$B$17)-C187)/(F187*(1-Settings!$B$17)),"")</f>
        <v/>
      </c>
      <c r="I187" s="149">
        <f>IFERROR(IF(F187="","",IF(F187&gt;=C187/(1-SKU_Base!Z187)/(1-Settings!$B$17),"OK",IF(F187&gt;=C187/(1-SKU_Base!AG187)/(1-Settings!$B$17),"WARN","STOP"))),"")</f>
        <v/>
      </c>
      <c r="J187" s="160">
        <f>IFERROR(ROUND(D187*(1-CHOOSE(MATCH(IF($E187="","Основний",$E187),{"Трафіковий","Основний","Маржинальний","Сезонний","Стратегічний"},0),Settings!$C$78,Settings!$C$80,Settings!$C$82,Settings!$C$84,Settings!$C$86))/6,2)*6,"")</f>
        <v/>
      </c>
      <c r="K187" s="142">
        <f>IFERROR(CHOOSE(MATCH(IF($E187="","Основний",$E187),{"Трафіковий","Основний","Маржинальний","Сезонний","Стратегічний"},0),Settings!$C$78,Settings!$C$80,Settings!$C$82,Settings!$C$84,Settings!$C$86),"")</f>
        <v/>
      </c>
      <c r="L187" s="148">
        <f>IFERROR((J187*(1-Settings!$C$17)-C187)/(J187*(1-Settings!$C$17)),"")</f>
        <v/>
      </c>
      <c r="M187" s="149">
        <f>IFERROR(IF(J187="","",IF(J187&gt;=C187/(1-SKU_Base!AA187)/(1-Settings!$C$17),"OK",IF(J187&gt;=C187/(1-SKU_Base!AH187)/(1-Settings!$C$17),"WARN","STOP"))),"")</f>
        <v/>
      </c>
      <c r="N187" s="161">
        <f>IFERROR(ROUND(D187*(1-CHOOSE(MATCH(IF($E187="","Основний",$E187),{"Трафіковий","Основний","Маржинальний","Сезонний","Стратегічний"},0),Settings!$D$78,Settings!$D$80,Settings!$D$82,Settings!$D$84,Settings!$D$86))/6,2)*6,"")</f>
        <v/>
      </c>
      <c r="O187" s="142">
        <f>IFERROR(CHOOSE(MATCH(IF($E187="","Основний",$E187),{"Трафіковий","Основний","Маржинальний","Сезонний","Стратегічний"},0),Settings!$D$78,Settings!$D$80,Settings!$D$82,Settings!$D$84,Settings!$D$86),"")</f>
        <v/>
      </c>
      <c r="P187" s="148">
        <f>IFERROR((N187*(1-Settings!$D$17)-C187)/(N187*(1-Settings!$D$17)),"")</f>
        <v/>
      </c>
      <c r="Q187" s="149">
        <f>IFERROR(IF(N187="","",IF(N187&gt;=C187/(1-SKU_Base!AB187)/(1-Settings!$D$17),"OK",IF(N187&gt;=C187/(1-SKU_Base!AI187)/(1-Settings!$D$17),"WARN","STOP"))),"")</f>
        <v/>
      </c>
      <c r="R187" s="161">
        <f>IFERROR(ROUND(D187*(1-CHOOSE(MATCH(IF($E187="","Основний",$E187),{"Трафіковий","Основний","Маржинальний","Сезонний","Стратегічний"},0),Settings!$E$78,Settings!$E$80,Settings!$E$82,Settings!$E$84,Settings!$E$86))/6,2)*6,"")</f>
        <v/>
      </c>
      <c r="S187" s="142">
        <f>IFERROR(CHOOSE(MATCH(IF($E187="","Основний",$E187),{"Трафіковий","Основний","Маржинальний","Сезонний","Стратегічний"},0),Settings!$E$78,Settings!$E$80,Settings!$E$82,Settings!$E$84,Settings!$E$86),"")</f>
        <v/>
      </c>
      <c r="T187" s="148">
        <f>IFERROR((R187*(1-Settings!$E$17)-C187)/(R187*(1-Settings!$E$17)),"")</f>
        <v/>
      </c>
      <c r="U187" s="149">
        <f>IFERROR(IF(R187="","",IF(R187&gt;=C187/(1-SKU_Base!AC187)/(1-Settings!$E$17),"OK",IF(R187&gt;=C187/(1-SKU_Base!AJ187)/(1-Settings!$E$17),"WARN","STOP"))),"")</f>
        <v/>
      </c>
      <c r="V187" s="161">
        <f>IFERROR(ROUND(D187*(1-CHOOSE(MATCH(IF($E187="","Основний",$E187),{"Трафіковий","Основний","Маржинальний","Сезонний","Стратегічний"},0),Settings!$F$78,Settings!$F$80,Settings!$F$82,Settings!$F$84,Settings!$F$86))/6,2)*6,"")</f>
        <v/>
      </c>
      <c r="W187" s="142">
        <f>IFERROR(CHOOSE(MATCH(IF($E187="","Основний",$E187),{"Трафіковий","Основний","Маржинальний","Сезонний","Стратегічний"},0),Settings!$F$78,Settings!$F$80,Settings!$F$82,Settings!$F$84,Settings!$F$86),"")</f>
        <v/>
      </c>
      <c r="X187" s="148">
        <f>IFERROR((V187*(1-Settings!$F$17)-C187)/(V187*(1-Settings!$F$17)),"")</f>
        <v/>
      </c>
      <c r="Y187" s="149">
        <f>IFERROR(IF(V187="","",IF(V187&gt;=C187/(1-SKU_Base!AD187)/(1-Settings!$F$17),"OK",IF(V187&gt;=C187/(1-SKU_Base!AK187)/(1-Settings!$F$17),"WARN","STOP"))),"")</f>
        <v/>
      </c>
      <c r="Z187" s="161">
        <f>IFERROR(ROUND(D187*(1-CHOOSE(MATCH(IF($E187="","Основний",$E187),{"Трафіковий","Основний","Маржинальний","Сезонний","Стратегічний"},0),Settings!$G$78,Settings!$G$80,Settings!$G$82,Settings!$G$84,Settings!$G$86))/6,2)*6,"")</f>
        <v/>
      </c>
      <c r="AA187" s="142">
        <f>IFERROR(CHOOSE(MATCH(IF($E187="","Основний",$E187),{"Трафіковий","Основний","Маржинальний","Сезонний","Стратегічний"},0),Settings!$G$78,Settings!$G$80,Settings!$G$82,Settings!$G$84,Settings!$G$86),"")</f>
        <v/>
      </c>
      <c r="AB187" s="148">
        <f>IFERROR((Z187*(1-Settings!$G$17)-C187)/(Z187*(1-Settings!$G$17)),"")</f>
        <v/>
      </c>
      <c r="AC187" s="149">
        <f>IFERROR(IF(Z187="","",IF(Z187&gt;=C187/(1-SKU_Base!AE187)/(1-Settings!$G$17),"OK",IF(Z187&gt;=C187/(1-SKU_Base!AL187)/(1-Settings!$G$17),"WARN","STOP"))),"")</f>
        <v/>
      </c>
      <c r="AD187" s="161">
        <f>IFERROR(ROUND(D187*(1-CHOOSE(MATCH(IF($E187="","Основний",$E187),{"Трафіковий","Основний","Маржинальний","Сезонний","Стратегічний"},0),Settings!$H$78,Settings!$H$80,Settings!$H$82,Settings!$H$84,Settings!$H$86))*(1-Settings!$H$68)/6,2)*6,"")</f>
        <v/>
      </c>
      <c r="AE187" s="142">
        <f>IFERROR(CHOOSE(MATCH(IF($E187="","Основний",$E187),{"Трафіковий","Основний","Маржинальний","Сезонний","Стратегічний"},0),Settings!$H$78,Settings!$H$80,Settings!$H$82,Settings!$H$84,Settings!$H$86)+(1-(CHOOSE(MATCH(IF($E187="","Основний",$E187),{"Трафіковий","Основний","Маржинальний","Сезонний","Стратегічний"},0),Settings!$H$78,Settings!$H$80,Settings!$H$82,Settings!$H$84,Settings!$H$86)))*Settings!$H$68,"")</f>
        <v/>
      </c>
      <c r="AF187" s="148">
        <f>IFERROR((AD187*(1-Settings!$H$17)-C187)/(AD187*(1-Settings!$H$17)),"")</f>
        <v/>
      </c>
      <c r="AG187" s="150">
        <f>IFERROR(IF(AD187="","",IF(AD187&gt;=C187/(1-SKU_Base!AF187)/(1-Settings!$H$17),"OK",IF(AD187&gt;=C187/(1-SKU_Base!AM187)/(1-Settings!$H$17),"WARN","STOP"))),"")</f>
        <v/>
      </c>
    </row>
    <row r="188" ht="17" customHeight="1" s="179">
      <c r="A188" s="139">
        <f>SKU_Base!B188</f>
        <v/>
      </c>
      <c r="B188" s="139">
        <f>SKU_Base!C188</f>
        <v/>
      </c>
      <c r="C188" s="140">
        <f>IFERROR(SKU_Base!I188,"")</f>
        <v/>
      </c>
      <c r="D188" s="163">
        <f>IFERROR(SKU_Base!T188,"")</f>
        <v/>
      </c>
      <c r="E188" s="141">
        <f>IFERROR(SKU_Base!$U188,"")</f>
        <v/>
      </c>
      <c r="F188" s="158">
        <f>IFERROR(ROUND(D188*(1-CHOOSE(MATCH(IF($E188="","Основний",$E188),{"Трафіковий","Основний","Маржинальний","Сезонний","Стратегічний"},0),Settings!$B$78,Settings!$B$80,Settings!$B$82,Settings!$B$84,Settings!$B$86))/6,2)*6,"")</f>
        <v/>
      </c>
      <c r="G188" s="142">
        <f>IFERROR(CHOOSE(MATCH(IF($E188="","Основний",$E188),{"Трафіковий","Основний","Маржинальний","Сезонний","Стратегічний"},0),Settings!$B$78,Settings!$B$80,Settings!$B$82,Settings!$B$84,Settings!$B$86),"")</f>
        <v/>
      </c>
      <c r="H188" s="143">
        <f>IFERROR((F188*(1-Settings!$B$17)-C188)/(F188*(1-Settings!$B$17)),"")</f>
        <v/>
      </c>
      <c r="I188" s="149">
        <f>IFERROR(IF(F188="","",IF(F188&gt;=C188/(1-SKU_Base!Z188)/(1-Settings!$B$17),"OK",IF(F188&gt;=C188/(1-SKU_Base!AG188)/(1-Settings!$B$17),"WARN","STOP"))),"")</f>
        <v/>
      </c>
      <c r="J188" s="158">
        <f>IFERROR(ROUND(D188*(1-CHOOSE(MATCH(IF($E188="","Основний",$E188),{"Трафіковий","Основний","Маржинальний","Сезонний","Стратегічний"},0),Settings!$C$78,Settings!$C$80,Settings!$C$82,Settings!$C$84,Settings!$C$86))/6,2)*6,"")</f>
        <v/>
      </c>
      <c r="K188" s="142">
        <f>IFERROR(CHOOSE(MATCH(IF($E188="","Основний",$E188),{"Трафіковий","Основний","Маржинальний","Сезонний","Стратегічний"},0),Settings!$C$78,Settings!$C$80,Settings!$C$82,Settings!$C$84,Settings!$C$86),"")</f>
        <v/>
      </c>
      <c r="L188" s="143">
        <f>IFERROR((J188*(1-Settings!$C$17)-C188)/(J188*(1-Settings!$C$17)),"")</f>
        <v/>
      </c>
      <c r="M188" s="149">
        <f>IFERROR(IF(J188="","",IF(J188&gt;=C188/(1-SKU_Base!AA188)/(1-Settings!$C$17),"OK",IF(J188&gt;=C188/(1-SKU_Base!AH188)/(1-Settings!$C$17),"WARN","STOP"))),"")</f>
        <v/>
      </c>
      <c r="N188" s="159">
        <f>IFERROR(ROUND(D188*(1-CHOOSE(MATCH(IF($E188="","Основний",$E188),{"Трафіковий","Основний","Маржинальний","Сезонний","Стратегічний"},0),Settings!$D$78,Settings!$D$80,Settings!$D$82,Settings!$D$84,Settings!$D$86))/6,2)*6,"")</f>
        <v/>
      </c>
      <c r="O188" s="142">
        <f>IFERROR(CHOOSE(MATCH(IF($E188="","Основний",$E188),{"Трафіковий","Основний","Маржинальний","Сезонний","Стратегічний"},0),Settings!$D$78,Settings!$D$80,Settings!$D$82,Settings!$D$84,Settings!$D$86),"")</f>
        <v/>
      </c>
      <c r="P188" s="143">
        <f>IFERROR((N188*(1-Settings!$D$17)-C188)/(N188*(1-Settings!$D$17)),"")</f>
        <v/>
      </c>
      <c r="Q188" s="149">
        <f>IFERROR(IF(N188="","",IF(N188&gt;=C188/(1-SKU_Base!AB188)/(1-Settings!$D$17),"OK",IF(N188&gt;=C188/(1-SKU_Base!AI188)/(1-Settings!$D$17),"WARN","STOP"))),"")</f>
        <v/>
      </c>
      <c r="R188" s="159">
        <f>IFERROR(ROUND(D188*(1-CHOOSE(MATCH(IF($E188="","Основний",$E188),{"Трафіковий","Основний","Маржинальний","Сезонний","Стратегічний"},0),Settings!$E$78,Settings!$E$80,Settings!$E$82,Settings!$E$84,Settings!$E$86))/6,2)*6,"")</f>
        <v/>
      </c>
      <c r="S188" s="142">
        <f>IFERROR(CHOOSE(MATCH(IF($E188="","Основний",$E188),{"Трафіковий","Основний","Маржинальний","Сезонний","Стратегічний"},0),Settings!$E$78,Settings!$E$80,Settings!$E$82,Settings!$E$84,Settings!$E$86),"")</f>
        <v/>
      </c>
      <c r="T188" s="143">
        <f>IFERROR((R188*(1-Settings!$E$17)-C188)/(R188*(1-Settings!$E$17)),"")</f>
        <v/>
      </c>
      <c r="U188" s="149">
        <f>IFERROR(IF(R188="","",IF(R188&gt;=C188/(1-SKU_Base!AC188)/(1-Settings!$E$17),"OK",IF(R188&gt;=C188/(1-SKU_Base!AJ188)/(1-Settings!$E$17),"WARN","STOP"))),"")</f>
        <v/>
      </c>
      <c r="V188" s="159">
        <f>IFERROR(ROUND(D188*(1-CHOOSE(MATCH(IF($E188="","Основний",$E188),{"Трафіковий","Основний","Маржинальний","Сезонний","Стратегічний"},0),Settings!$F$78,Settings!$F$80,Settings!$F$82,Settings!$F$84,Settings!$F$86))/6,2)*6,"")</f>
        <v/>
      </c>
      <c r="W188" s="142">
        <f>IFERROR(CHOOSE(MATCH(IF($E188="","Основний",$E188),{"Трафіковий","Основний","Маржинальний","Сезонний","Стратегічний"},0),Settings!$F$78,Settings!$F$80,Settings!$F$82,Settings!$F$84,Settings!$F$86),"")</f>
        <v/>
      </c>
      <c r="X188" s="143">
        <f>IFERROR((V188*(1-Settings!$F$17)-C188)/(V188*(1-Settings!$F$17)),"")</f>
        <v/>
      </c>
      <c r="Y188" s="149">
        <f>IFERROR(IF(V188="","",IF(V188&gt;=C188/(1-SKU_Base!AD188)/(1-Settings!$F$17),"OK",IF(V188&gt;=C188/(1-SKU_Base!AK188)/(1-Settings!$F$17),"WARN","STOP"))),"")</f>
        <v/>
      </c>
      <c r="Z188" s="159">
        <f>IFERROR(ROUND(D188*(1-CHOOSE(MATCH(IF($E188="","Основний",$E188),{"Трафіковий","Основний","Маржинальний","Сезонний","Стратегічний"},0),Settings!$G$78,Settings!$G$80,Settings!$G$82,Settings!$G$84,Settings!$G$86))/6,2)*6,"")</f>
        <v/>
      </c>
      <c r="AA188" s="142">
        <f>IFERROR(CHOOSE(MATCH(IF($E188="","Основний",$E188),{"Трафіковий","Основний","Маржинальний","Сезонний","Стратегічний"},0),Settings!$G$78,Settings!$G$80,Settings!$G$82,Settings!$G$84,Settings!$G$86),"")</f>
        <v/>
      </c>
      <c r="AB188" s="143">
        <f>IFERROR((Z188*(1-Settings!$G$17)-C188)/(Z188*(1-Settings!$G$17)),"")</f>
        <v/>
      </c>
      <c r="AC188" s="149">
        <f>IFERROR(IF(Z188="","",IF(Z188&gt;=C188/(1-SKU_Base!AE188)/(1-Settings!$G$17),"OK",IF(Z188&gt;=C188/(1-SKU_Base!AL188)/(1-Settings!$G$17),"WARN","STOP"))),"")</f>
        <v/>
      </c>
      <c r="AD188" s="159">
        <f>IFERROR(ROUND(D188*(1-CHOOSE(MATCH(IF($E188="","Основний",$E188),{"Трафіковий","Основний","Маржинальний","Сезонний","Стратегічний"},0),Settings!$H$78,Settings!$H$80,Settings!$H$82,Settings!$H$84,Settings!$H$86))*(1-Settings!$H$68)/6,2)*6,"")</f>
        <v/>
      </c>
      <c r="AE188" s="142">
        <f>IFERROR(CHOOSE(MATCH(IF($E188="","Основний",$E188),{"Трафіковий","Основний","Маржинальний","Сезонний","Стратегічний"},0),Settings!$H$78,Settings!$H$80,Settings!$H$82,Settings!$H$84,Settings!$H$86)+(1-(CHOOSE(MATCH(IF($E188="","Основний",$E188),{"Трафіковий","Основний","Маржинальний","Сезонний","Стратегічний"},0),Settings!$H$78,Settings!$H$80,Settings!$H$82,Settings!$H$84,Settings!$H$86)))*Settings!$H$68,"")</f>
        <v/>
      </c>
      <c r="AF188" s="143">
        <f>IFERROR((AD188*(1-Settings!$H$17)-C188)/(AD188*(1-Settings!$H$17)),"")</f>
        <v/>
      </c>
      <c r="AG188" s="150">
        <f>IFERROR(IF(AD188="","",IF(AD188&gt;=C188/(1-SKU_Base!AF188)/(1-Settings!$H$17),"OK",IF(AD188&gt;=C188/(1-SKU_Base!AM188)/(1-Settings!$H$17),"WARN","STOP"))),"")</f>
        <v/>
      </c>
    </row>
    <row r="189" ht="17" customHeight="1" s="179">
      <c r="A189" s="146">
        <f>SKU_Base!B189</f>
        <v/>
      </c>
      <c r="B189" s="146">
        <f>SKU_Base!C189</f>
        <v/>
      </c>
      <c r="C189" s="147">
        <f>IFERROR(SKU_Base!I189,"")</f>
        <v/>
      </c>
      <c r="D189" s="164">
        <f>IFERROR(SKU_Base!T189,"")</f>
        <v/>
      </c>
      <c r="E189" s="141">
        <f>IFERROR(SKU_Base!$U189,"")</f>
        <v/>
      </c>
      <c r="F189" s="160">
        <f>IFERROR(ROUND(D189*(1-CHOOSE(MATCH(IF($E189="","Основний",$E189),{"Трафіковий","Основний","Маржинальний","Сезонний","Стратегічний"},0),Settings!$B$78,Settings!$B$80,Settings!$B$82,Settings!$B$84,Settings!$B$86))/6,2)*6,"")</f>
        <v/>
      </c>
      <c r="G189" s="142">
        <f>IFERROR(CHOOSE(MATCH(IF($E189="","Основний",$E189),{"Трафіковий","Основний","Маржинальний","Сезонний","Стратегічний"},0),Settings!$B$78,Settings!$B$80,Settings!$B$82,Settings!$B$84,Settings!$B$86),"")</f>
        <v/>
      </c>
      <c r="H189" s="148">
        <f>IFERROR((F189*(1-Settings!$B$17)-C189)/(F189*(1-Settings!$B$17)),"")</f>
        <v/>
      </c>
      <c r="I189" s="149">
        <f>IFERROR(IF(F189="","",IF(F189&gt;=C189/(1-SKU_Base!Z189)/(1-Settings!$B$17),"OK",IF(F189&gt;=C189/(1-SKU_Base!AG189)/(1-Settings!$B$17),"WARN","STOP"))),"")</f>
        <v/>
      </c>
      <c r="J189" s="160">
        <f>IFERROR(ROUND(D189*(1-CHOOSE(MATCH(IF($E189="","Основний",$E189),{"Трафіковий","Основний","Маржинальний","Сезонний","Стратегічний"},0),Settings!$C$78,Settings!$C$80,Settings!$C$82,Settings!$C$84,Settings!$C$86))/6,2)*6,"")</f>
        <v/>
      </c>
      <c r="K189" s="142">
        <f>IFERROR(CHOOSE(MATCH(IF($E189="","Основний",$E189),{"Трафіковий","Основний","Маржинальний","Сезонний","Стратегічний"},0),Settings!$C$78,Settings!$C$80,Settings!$C$82,Settings!$C$84,Settings!$C$86),"")</f>
        <v/>
      </c>
      <c r="L189" s="148">
        <f>IFERROR((J189*(1-Settings!$C$17)-C189)/(J189*(1-Settings!$C$17)),"")</f>
        <v/>
      </c>
      <c r="M189" s="149">
        <f>IFERROR(IF(J189="","",IF(J189&gt;=C189/(1-SKU_Base!AA189)/(1-Settings!$C$17),"OK",IF(J189&gt;=C189/(1-SKU_Base!AH189)/(1-Settings!$C$17),"WARN","STOP"))),"")</f>
        <v/>
      </c>
      <c r="N189" s="161">
        <f>IFERROR(ROUND(D189*(1-CHOOSE(MATCH(IF($E189="","Основний",$E189),{"Трафіковий","Основний","Маржинальний","Сезонний","Стратегічний"},0),Settings!$D$78,Settings!$D$80,Settings!$D$82,Settings!$D$84,Settings!$D$86))/6,2)*6,"")</f>
        <v/>
      </c>
      <c r="O189" s="142">
        <f>IFERROR(CHOOSE(MATCH(IF($E189="","Основний",$E189),{"Трафіковий","Основний","Маржинальний","Сезонний","Стратегічний"},0),Settings!$D$78,Settings!$D$80,Settings!$D$82,Settings!$D$84,Settings!$D$86),"")</f>
        <v/>
      </c>
      <c r="P189" s="148">
        <f>IFERROR((N189*(1-Settings!$D$17)-C189)/(N189*(1-Settings!$D$17)),"")</f>
        <v/>
      </c>
      <c r="Q189" s="149">
        <f>IFERROR(IF(N189="","",IF(N189&gt;=C189/(1-SKU_Base!AB189)/(1-Settings!$D$17),"OK",IF(N189&gt;=C189/(1-SKU_Base!AI189)/(1-Settings!$D$17),"WARN","STOP"))),"")</f>
        <v/>
      </c>
      <c r="R189" s="161">
        <f>IFERROR(ROUND(D189*(1-CHOOSE(MATCH(IF($E189="","Основний",$E189),{"Трафіковий","Основний","Маржинальний","Сезонний","Стратегічний"},0),Settings!$E$78,Settings!$E$80,Settings!$E$82,Settings!$E$84,Settings!$E$86))/6,2)*6,"")</f>
        <v/>
      </c>
      <c r="S189" s="142">
        <f>IFERROR(CHOOSE(MATCH(IF($E189="","Основний",$E189),{"Трафіковий","Основний","Маржинальний","Сезонний","Стратегічний"},0),Settings!$E$78,Settings!$E$80,Settings!$E$82,Settings!$E$84,Settings!$E$86),"")</f>
        <v/>
      </c>
      <c r="T189" s="148">
        <f>IFERROR((R189*(1-Settings!$E$17)-C189)/(R189*(1-Settings!$E$17)),"")</f>
        <v/>
      </c>
      <c r="U189" s="149">
        <f>IFERROR(IF(R189="","",IF(R189&gt;=C189/(1-SKU_Base!AC189)/(1-Settings!$E$17),"OK",IF(R189&gt;=C189/(1-SKU_Base!AJ189)/(1-Settings!$E$17),"WARN","STOP"))),"")</f>
        <v/>
      </c>
      <c r="V189" s="161">
        <f>IFERROR(ROUND(D189*(1-CHOOSE(MATCH(IF($E189="","Основний",$E189),{"Трафіковий","Основний","Маржинальний","Сезонний","Стратегічний"},0),Settings!$F$78,Settings!$F$80,Settings!$F$82,Settings!$F$84,Settings!$F$86))/6,2)*6,"")</f>
        <v/>
      </c>
      <c r="W189" s="142">
        <f>IFERROR(CHOOSE(MATCH(IF($E189="","Основний",$E189),{"Трафіковий","Основний","Маржинальний","Сезонний","Стратегічний"},0),Settings!$F$78,Settings!$F$80,Settings!$F$82,Settings!$F$84,Settings!$F$86),"")</f>
        <v/>
      </c>
      <c r="X189" s="148">
        <f>IFERROR((V189*(1-Settings!$F$17)-C189)/(V189*(1-Settings!$F$17)),"")</f>
        <v/>
      </c>
      <c r="Y189" s="149">
        <f>IFERROR(IF(V189="","",IF(V189&gt;=C189/(1-SKU_Base!AD189)/(1-Settings!$F$17),"OK",IF(V189&gt;=C189/(1-SKU_Base!AK189)/(1-Settings!$F$17),"WARN","STOP"))),"")</f>
        <v/>
      </c>
      <c r="Z189" s="161">
        <f>IFERROR(ROUND(D189*(1-CHOOSE(MATCH(IF($E189="","Основний",$E189),{"Трафіковий","Основний","Маржинальний","Сезонний","Стратегічний"},0),Settings!$G$78,Settings!$G$80,Settings!$G$82,Settings!$G$84,Settings!$G$86))/6,2)*6,"")</f>
        <v/>
      </c>
      <c r="AA189" s="142">
        <f>IFERROR(CHOOSE(MATCH(IF($E189="","Основний",$E189),{"Трафіковий","Основний","Маржинальний","Сезонний","Стратегічний"},0),Settings!$G$78,Settings!$G$80,Settings!$G$82,Settings!$G$84,Settings!$G$86),"")</f>
        <v/>
      </c>
      <c r="AB189" s="148">
        <f>IFERROR((Z189*(1-Settings!$G$17)-C189)/(Z189*(1-Settings!$G$17)),"")</f>
        <v/>
      </c>
      <c r="AC189" s="149">
        <f>IFERROR(IF(Z189="","",IF(Z189&gt;=C189/(1-SKU_Base!AE189)/(1-Settings!$G$17),"OK",IF(Z189&gt;=C189/(1-SKU_Base!AL189)/(1-Settings!$G$17),"WARN","STOP"))),"")</f>
        <v/>
      </c>
      <c r="AD189" s="161">
        <f>IFERROR(ROUND(D189*(1-CHOOSE(MATCH(IF($E189="","Основний",$E189),{"Трафіковий","Основний","Маржинальний","Сезонний","Стратегічний"},0),Settings!$H$78,Settings!$H$80,Settings!$H$82,Settings!$H$84,Settings!$H$86))*(1-Settings!$H$68)/6,2)*6,"")</f>
        <v/>
      </c>
      <c r="AE189" s="142">
        <f>IFERROR(CHOOSE(MATCH(IF($E189="","Основний",$E189),{"Трафіковий","Основний","Маржинальний","Сезонний","Стратегічний"},0),Settings!$H$78,Settings!$H$80,Settings!$H$82,Settings!$H$84,Settings!$H$86)+(1-(CHOOSE(MATCH(IF($E189="","Основний",$E189),{"Трафіковий","Основний","Маржинальний","Сезонний","Стратегічний"},0),Settings!$H$78,Settings!$H$80,Settings!$H$82,Settings!$H$84,Settings!$H$86)))*Settings!$H$68,"")</f>
        <v/>
      </c>
      <c r="AF189" s="148">
        <f>IFERROR((AD189*(1-Settings!$H$17)-C189)/(AD189*(1-Settings!$H$17)),"")</f>
        <v/>
      </c>
      <c r="AG189" s="150">
        <f>IFERROR(IF(AD189="","",IF(AD189&gt;=C189/(1-SKU_Base!AF189)/(1-Settings!$H$17),"OK",IF(AD189&gt;=C189/(1-SKU_Base!AM189)/(1-Settings!$H$17),"WARN","STOP"))),"")</f>
        <v/>
      </c>
    </row>
    <row r="190" ht="17" customHeight="1" s="179">
      <c r="A190" s="139">
        <f>SKU_Base!B190</f>
        <v/>
      </c>
      <c r="B190" s="139">
        <f>SKU_Base!C190</f>
        <v/>
      </c>
      <c r="C190" s="140">
        <f>IFERROR(SKU_Base!I190,"")</f>
        <v/>
      </c>
      <c r="D190" s="163">
        <f>IFERROR(SKU_Base!T190,"")</f>
        <v/>
      </c>
      <c r="E190" s="141">
        <f>IFERROR(SKU_Base!$U190,"")</f>
        <v/>
      </c>
      <c r="F190" s="158">
        <f>IFERROR(ROUND(D190*(1-CHOOSE(MATCH(IF($E190="","Основний",$E190),{"Трафіковий","Основний","Маржинальний","Сезонний","Стратегічний"},0),Settings!$B$78,Settings!$B$80,Settings!$B$82,Settings!$B$84,Settings!$B$86))/6,2)*6,"")</f>
        <v/>
      </c>
      <c r="G190" s="142">
        <f>IFERROR(CHOOSE(MATCH(IF($E190="","Основний",$E190),{"Трафіковий","Основний","Маржинальний","Сезонний","Стратегічний"},0),Settings!$B$78,Settings!$B$80,Settings!$B$82,Settings!$B$84,Settings!$B$86),"")</f>
        <v/>
      </c>
      <c r="H190" s="143">
        <f>IFERROR((F190*(1-Settings!$B$17)-C190)/(F190*(1-Settings!$B$17)),"")</f>
        <v/>
      </c>
      <c r="I190" s="149">
        <f>IFERROR(IF(F190="","",IF(F190&gt;=C190/(1-SKU_Base!Z190)/(1-Settings!$B$17),"OK",IF(F190&gt;=C190/(1-SKU_Base!AG190)/(1-Settings!$B$17),"WARN","STOP"))),"")</f>
        <v/>
      </c>
      <c r="J190" s="158">
        <f>IFERROR(ROUND(D190*(1-CHOOSE(MATCH(IF($E190="","Основний",$E190),{"Трафіковий","Основний","Маржинальний","Сезонний","Стратегічний"},0),Settings!$C$78,Settings!$C$80,Settings!$C$82,Settings!$C$84,Settings!$C$86))/6,2)*6,"")</f>
        <v/>
      </c>
      <c r="K190" s="142">
        <f>IFERROR(CHOOSE(MATCH(IF($E190="","Основний",$E190),{"Трафіковий","Основний","Маржинальний","Сезонний","Стратегічний"},0),Settings!$C$78,Settings!$C$80,Settings!$C$82,Settings!$C$84,Settings!$C$86),"")</f>
        <v/>
      </c>
      <c r="L190" s="143">
        <f>IFERROR((J190*(1-Settings!$C$17)-C190)/(J190*(1-Settings!$C$17)),"")</f>
        <v/>
      </c>
      <c r="M190" s="149">
        <f>IFERROR(IF(J190="","",IF(J190&gt;=C190/(1-SKU_Base!AA190)/(1-Settings!$C$17),"OK",IF(J190&gt;=C190/(1-SKU_Base!AH190)/(1-Settings!$C$17),"WARN","STOP"))),"")</f>
        <v/>
      </c>
      <c r="N190" s="159">
        <f>IFERROR(ROUND(D190*(1-CHOOSE(MATCH(IF($E190="","Основний",$E190),{"Трафіковий","Основний","Маржинальний","Сезонний","Стратегічний"},0),Settings!$D$78,Settings!$D$80,Settings!$D$82,Settings!$D$84,Settings!$D$86))/6,2)*6,"")</f>
        <v/>
      </c>
      <c r="O190" s="142">
        <f>IFERROR(CHOOSE(MATCH(IF($E190="","Основний",$E190),{"Трафіковий","Основний","Маржинальний","Сезонний","Стратегічний"},0),Settings!$D$78,Settings!$D$80,Settings!$D$82,Settings!$D$84,Settings!$D$86),"")</f>
        <v/>
      </c>
      <c r="P190" s="143">
        <f>IFERROR((N190*(1-Settings!$D$17)-C190)/(N190*(1-Settings!$D$17)),"")</f>
        <v/>
      </c>
      <c r="Q190" s="149">
        <f>IFERROR(IF(N190="","",IF(N190&gt;=C190/(1-SKU_Base!AB190)/(1-Settings!$D$17),"OK",IF(N190&gt;=C190/(1-SKU_Base!AI190)/(1-Settings!$D$17),"WARN","STOP"))),"")</f>
        <v/>
      </c>
      <c r="R190" s="159">
        <f>IFERROR(ROUND(D190*(1-CHOOSE(MATCH(IF($E190="","Основний",$E190),{"Трафіковий","Основний","Маржинальний","Сезонний","Стратегічний"},0),Settings!$E$78,Settings!$E$80,Settings!$E$82,Settings!$E$84,Settings!$E$86))/6,2)*6,"")</f>
        <v/>
      </c>
      <c r="S190" s="142">
        <f>IFERROR(CHOOSE(MATCH(IF($E190="","Основний",$E190),{"Трафіковий","Основний","Маржинальний","Сезонний","Стратегічний"},0),Settings!$E$78,Settings!$E$80,Settings!$E$82,Settings!$E$84,Settings!$E$86),"")</f>
        <v/>
      </c>
      <c r="T190" s="143">
        <f>IFERROR((R190*(1-Settings!$E$17)-C190)/(R190*(1-Settings!$E$17)),"")</f>
        <v/>
      </c>
      <c r="U190" s="149">
        <f>IFERROR(IF(R190="","",IF(R190&gt;=C190/(1-SKU_Base!AC190)/(1-Settings!$E$17),"OK",IF(R190&gt;=C190/(1-SKU_Base!AJ190)/(1-Settings!$E$17),"WARN","STOP"))),"")</f>
        <v/>
      </c>
      <c r="V190" s="159">
        <f>IFERROR(ROUND(D190*(1-CHOOSE(MATCH(IF($E190="","Основний",$E190),{"Трафіковий","Основний","Маржинальний","Сезонний","Стратегічний"},0),Settings!$F$78,Settings!$F$80,Settings!$F$82,Settings!$F$84,Settings!$F$86))/6,2)*6,"")</f>
        <v/>
      </c>
      <c r="W190" s="142">
        <f>IFERROR(CHOOSE(MATCH(IF($E190="","Основний",$E190),{"Трафіковий","Основний","Маржинальний","Сезонний","Стратегічний"},0),Settings!$F$78,Settings!$F$80,Settings!$F$82,Settings!$F$84,Settings!$F$86),"")</f>
        <v/>
      </c>
      <c r="X190" s="143">
        <f>IFERROR((V190*(1-Settings!$F$17)-C190)/(V190*(1-Settings!$F$17)),"")</f>
        <v/>
      </c>
      <c r="Y190" s="149">
        <f>IFERROR(IF(V190="","",IF(V190&gt;=C190/(1-SKU_Base!AD190)/(1-Settings!$F$17),"OK",IF(V190&gt;=C190/(1-SKU_Base!AK190)/(1-Settings!$F$17),"WARN","STOP"))),"")</f>
        <v/>
      </c>
      <c r="Z190" s="159">
        <f>IFERROR(ROUND(D190*(1-CHOOSE(MATCH(IF($E190="","Основний",$E190),{"Трафіковий","Основний","Маржинальний","Сезонний","Стратегічний"},0),Settings!$G$78,Settings!$G$80,Settings!$G$82,Settings!$G$84,Settings!$G$86))/6,2)*6,"")</f>
        <v/>
      </c>
      <c r="AA190" s="142">
        <f>IFERROR(CHOOSE(MATCH(IF($E190="","Основний",$E190),{"Трафіковий","Основний","Маржинальний","Сезонний","Стратегічний"},0),Settings!$G$78,Settings!$G$80,Settings!$G$82,Settings!$G$84,Settings!$G$86),"")</f>
        <v/>
      </c>
      <c r="AB190" s="143">
        <f>IFERROR((Z190*(1-Settings!$G$17)-C190)/(Z190*(1-Settings!$G$17)),"")</f>
        <v/>
      </c>
      <c r="AC190" s="149">
        <f>IFERROR(IF(Z190="","",IF(Z190&gt;=C190/(1-SKU_Base!AE190)/(1-Settings!$G$17),"OK",IF(Z190&gt;=C190/(1-SKU_Base!AL190)/(1-Settings!$G$17),"WARN","STOP"))),"")</f>
        <v/>
      </c>
      <c r="AD190" s="159">
        <f>IFERROR(ROUND(D190*(1-CHOOSE(MATCH(IF($E190="","Основний",$E190),{"Трафіковий","Основний","Маржинальний","Сезонний","Стратегічний"},0),Settings!$H$78,Settings!$H$80,Settings!$H$82,Settings!$H$84,Settings!$H$86))*(1-Settings!$H$68)/6,2)*6,"")</f>
        <v/>
      </c>
      <c r="AE190" s="142">
        <f>IFERROR(CHOOSE(MATCH(IF($E190="","Основний",$E190),{"Трафіковий","Основний","Маржинальний","Сезонний","Стратегічний"},0),Settings!$H$78,Settings!$H$80,Settings!$H$82,Settings!$H$84,Settings!$H$86)+(1-(CHOOSE(MATCH(IF($E190="","Основний",$E190),{"Трафіковий","Основний","Маржинальний","Сезонний","Стратегічний"},0),Settings!$H$78,Settings!$H$80,Settings!$H$82,Settings!$H$84,Settings!$H$86)))*Settings!$H$68,"")</f>
        <v/>
      </c>
      <c r="AF190" s="143">
        <f>IFERROR((AD190*(1-Settings!$H$17)-C190)/(AD190*(1-Settings!$H$17)),"")</f>
        <v/>
      </c>
      <c r="AG190" s="150">
        <f>IFERROR(IF(AD190="","",IF(AD190&gt;=C190/(1-SKU_Base!AF190)/(1-Settings!$H$17),"OK",IF(AD190&gt;=C190/(1-SKU_Base!AM190)/(1-Settings!$H$17),"WARN","STOP"))),"")</f>
        <v/>
      </c>
    </row>
    <row r="191" ht="17" customHeight="1" s="179">
      <c r="A191" s="146">
        <f>SKU_Base!B191</f>
        <v/>
      </c>
      <c r="B191" s="146">
        <f>SKU_Base!C191</f>
        <v/>
      </c>
      <c r="C191" s="147">
        <f>IFERROR(SKU_Base!I191,"")</f>
        <v/>
      </c>
      <c r="D191" s="164">
        <f>IFERROR(SKU_Base!T191,"")</f>
        <v/>
      </c>
      <c r="E191" s="141">
        <f>IFERROR(SKU_Base!$U191,"")</f>
        <v/>
      </c>
      <c r="F191" s="160">
        <f>IFERROR(ROUND(D191*(1-CHOOSE(MATCH(IF($E191="","Основний",$E191),{"Трафіковий","Основний","Маржинальний","Сезонний","Стратегічний"},0),Settings!$B$78,Settings!$B$80,Settings!$B$82,Settings!$B$84,Settings!$B$86))/6,2)*6,"")</f>
        <v/>
      </c>
      <c r="G191" s="142">
        <f>IFERROR(CHOOSE(MATCH(IF($E191="","Основний",$E191),{"Трафіковий","Основний","Маржинальний","Сезонний","Стратегічний"},0),Settings!$B$78,Settings!$B$80,Settings!$B$82,Settings!$B$84,Settings!$B$86),"")</f>
        <v/>
      </c>
      <c r="H191" s="148">
        <f>IFERROR((F191*(1-Settings!$B$17)-C191)/(F191*(1-Settings!$B$17)),"")</f>
        <v/>
      </c>
      <c r="I191" s="149">
        <f>IFERROR(IF(F191="","",IF(F191&gt;=C191/(1-SKU_Base!Z191)/(1-Settings!$B$17),"OK",IF(F191&gt;=C191/(1-SKU_Base!AG191)/(1-Settings!$B$17),"WARN","STOP"))),"")</f>
        <v/>
      </c>
      <c r="J191" s="160">
        <f>IFERROR(ROUND(D191*(1-CHOOSE(MATCH(IF($E191="","Основний",$E191),{"Трафіковий","Основний","Маржинальний","Сезонний","Стратегічний"},0),Settings!$C$78,Settings!$C$80,Settings!$C$82,Settings!$C$84,Settings!$C$86))/6,2)*6,"")</f>
        <v/>
      </c>
      <c r="K191" s="142">
        <f>IFERROR(CHOOSE(MATCH(IF($E191="","Основний",$E191),{"Трафіковий","Основний","Маржинальний","Сезонний","Стратегічний"},0),Settings!$C$78,Settings!$C$80,Settings!$C$82,Settings!$C$84,Settings!$C$86),"")</f>
        <v/>
      </c>
      <c r="L191" s="148">
        <f>IFERROR((J191*(1-Settings!$C$17)-C191)/(J191*(1-Settings!$C$17)),"")</f>
        <v/>
      </c>
      <c r="M191" s="149">
        <f>IFERROR(IF(J191="","",IF(J191&gt;=C191/(1-SKU_Base!AA191)/(1-Settings!$C$17),"OK",IF(J191&gt;=C191/(1-SKU_Base!AH191)/(1-Settings!$C$17),"WARN","STOP"))),"")</f>
        <v/>
      </c>
      <c r="N191" s="161">
        <f>IFERROR(ROUND(D191*(1-CHOOSE(MATCH(IF($E191="","Основний",$E191),{"Трафіковий","Основний","Маржинальний","Сезонний","Стратегічний"},0),Settings!$D$78,Settings!$D$80,Settings!$D$82,Settings!$D$84,Settings!$D$86))/6,2)*6,"")</f>
        <v/>
      </c>
      <c r="O191" s="142">
        <f>IFERROR(CHOOSE(MATCH(IF($E191="","Основний",$E191),{"Трафіковий","Основний","Маржинальний","Сезонний","Стратегічний"},0),Settings!$D$78,Settings!$D$80,Settings!$D$82,Settings!$D$84,Settings!$D$86),"")</f>
        <v/>
      </c>
      <c r="P191" s="148">
        <f>IFERROR((N191*(1-Settings!$D$17)-C191)/(N191*(1-Settings!$D$17)),"")</f>
        <v/>
      </c>
      <c r="Q191" s="149">
        <f>IFERROR(IF(N191="","",IF(N191&gt;=C191/(1-SKU_Base!AB191)/(1-Settings!$D$17),"OK",IF(N191&gt;=C191/(1-SKU_Base!AI191)/(1-Settings!$D$17),"WARN","STOP"))),"")</f>
        <v/>
      </c>
      <c r="R191" s="161">
        <f>IFERROR(ROUND(D191*(1-CHOOSE(MATCH(IF($E191="","Основний",$E191),{"Трафіковий","Основний","Маржинальний","Сезонний","Стратегічний"},0),Settings!$E$78,Settings!$E$80,Settings!$E$82,Settings!$E$84,Settings!$E$86))/6,2)*6,"")</f>
        <v/>
      </c>
      <c r="S191" s="142">
        <f>IFERROR(CHOOSE(MATCH(IF($E191="","Основний",$E191),{"Трафіковий","Основний","Маржинальний","Сезонний","Стратегічний"},0),Settings!$E$78,Settings!$E$80,Settings!$E$82,Settings!$E$84,Settings!$E$86),"")</f>
        <v/>
      </c>
      <c r="T191" s="148">
        <f>IFERROR((R191*(1-Settings!$E$17)-C191)/(R191*(1-Settings!$E$17)),"")</f>
        <v/>
      </c>
      <c r="U191" s="149">
        <f>IFERROR(IF(R191="","",IF(R191&gt;=C191/(1-SKU_Base!AC191)/(1-Settings!$E$17),"OK",IF(R191&gt;=C191/(1-SKU_Base!AJ191)/(1-Settings!$E$17),"WARN","STOP"))),"")</f>
        <v/>
      </c>
      <c r="V191" s="161">
        <f>IFERROR(ROUND(D191*(1-CHOOSE(MATCH(IF($E191="","Основний",$E191),{"Трафіковий","Основний","Маржинальний","Сезонний","Стратегічний"},0),Settings!$F$78,Settings!$F$80,Settings!$F$82,Settings!$F$84,Settings!$F$86))/6,2)*6,"")</f>
        <v/>
      </c>
      <c r="W191" s="142">
        <f>IFERROR(CHOOSE(MATCH(IF($E191="","Основний",$E191),{"Трафіковий","Основний","Маржинальний","Сезонний","Стратегічний"},0),Settings!$F$78,Settings!$F$80,Settings!$F$82,Settings!$F$84,Settings!$F$86),"")</f>
        <v/>
      </c>
      <c r="X191" s="148">
        <f>IFERROR((V191*(1-Settings!$F$17)-C191)/(V191*(1-Settings!$F$17)),"")</f>
        <v/>
      </c>
      <c r="Y191" s="149">
        <f>IFERROR(IF(V191="","",IF(V191&gt;=C191/(1-SKU_Base!AD191)/(1-Settings!$F$17),"OK",IF(V191&gt;=C191/(1-SKU_Base!AK191)/(1-Settings!$F$17),"WARN","STOP"))),"")</f>
        <v/>
      </c>
      <c r="Z191" s="161">
        <f>IFERROR(ROUND(D191*(1-CHOOSE(MATCH(IF($E191="","Основний",$E191),{"Трафіковий","Основний","Маржинальний","Сезонний","Стратегічний"},0),Settings!$G$78,Settings!$G$80,Settings!$G$82,Settings!$G$84,Settings!$G$86))/6,2)*6,"")</f>
        <v/>
      </c>
      <c r="AA191" s="142">
        <f>IFERROR(CHOOSE(MATCH(IF($E191="","Основний",$E191),{"Трафіковий","Основний","Маржинальний","Сезонний","Стратегічний"},0),Settings!$G$78,Settings!$G$80,Settings!$G$82,Settings!$G$84,Settings!$G$86),"")</f>
        <v/>
      </c>
      <c r="AB191" s="148">
        <f>IFERROR((Z191*(1-Settings!$G$17)-C191)/(Z191*(1-Settings!$G$17)),"")</f>
        <v/>
      </c>
      <c r="AC191" s="149">
        <f>IFERROR(IF(Z191="","",IF(Z191&gt;=C191/(1-SKU_Base!AE191)/(1-Settings!$G$17),"OK",IF(Z191&gt;=C191/(1-SKU_Base!AL191)/(1-Settings!$G$17),"WARN","STOP"))),"")</f>
        <v/>
      </c>
      <c r="AD191" s="161">
        <f>IFERROR(ROUND(D191*(1-CHOOSE(MATCH(IF($E191="","Основний",$E191),{"Трафіковий","Основний","Маржинальний","Сезонний","Стратегічний"},0),Settings!$H$78,Settings!$H$80,Settings!$H$82,Settings!$H$84,Settings!$H$86))*(1-Settings!$H$68)/6,2)*6,"")</f>
        <v/>
      </c>
      <c r="AE191" s="142">
        <f>IFERROR(CHOOSE(MATCH(IF($E191="","Основний",$E191),{"Трафіковий","Основний","Маржинальний","Сезонний","Стратегічний"},0),Settings!$H$78,Settings!$H$80,Settings!$H$82,Settings!$H$84,Settings!$H$86)+(1-(CHOOSE(MATCH(IF($E191="","Основний",$E191),{"Трафіковий","Основний","Маржинальний","Сезонний","Стратегічний"},0),Settings!$H$78,Settings!$H$80,Settings!$H$82,Settings!$H$84,Settings!$H$86)))*Settings!$H$68,"")</f>
        <v/>
      </c>
      <c r="AF191" s="148">
        <f>IFERROR((AD191*(1-Settings!$H$17)-C191)/(AD191*(1-Settings!$H$17)),"")</f>
        <v/>
      </c>
      <c r="AG191" s="150">
        <f>IFERROR(IF(AD191="","",IF(AD191&gt;=C191/(1-SKU_Base!AF191)/(1-Settings!$H$17),"OK",IF(AD191&gt;=C191/(1-SKU_Base!AM191)/(1-Settings!$H$17),"WARN","STOP"))),"")</f>
        <v/>
      </c>
    </row>
    <row r="192" ht="17" customHeight="1" s="179">
      <c r="A192" s="139">
        <f>SKU_Base!B192</f>
        <v/>
      </c>
      <c r="B192" s="139">
        <f>SKU_Base!C192</f>
        <v/>
      </c>
      <c r="C192" s="140">
        <f>IFERROR(SKU_Base!I192,"")</f>
        <v/>
      </c>
      <c r="D192" s="163">
        <f>IFERROR(SKU_Base!T192,"")</f>
        <v/>
      </c>
      <c r="E192" s="141">
        <f>IFERROR(SKU_Base!$U192,"")</f>
        <v/>
      </c>
      <c r="F192" s="158">
        <f>IFERROR(ROUND(D192*(1-CHOOSE(MATCH(IF($E192="","Основний",$E192),{"Трафіковий","Основний","Маржинальний","Сезонний","Стратегічний"},0),Settings!$B$78,Settings!$B$80,Settings!$B$82,Settings!$B$84,Settings!$B$86))/6,2)*6,"")</f>
        <v/>
      </c>
      <c r="G192" s="142">
        <f>IFERROR(CHOOSE(MATCH(IF($E192="","Основний",$E192),{"Трафіковий","Основний","Маржинальний","Сезонний","Стратегічний"},0),Settings!$B$78,Settings!$B$80,Settings!$B$82,Settings!$B$84,Settings!$B$86),"")</f>
        <v/>
      </c>
      <c r="H192" s="143">
        <f>IFERROR((F192*(1-Settings!$B$17)-C192)/(F192*(1-Settings!$B$17)),"")</f>
        <v/>
      </c>
      <c r="I192" s="150">
        <f>IFERROR(IF(F192="","",IF(F192&gt;=C192/(1-SKU_Base!Z192)/(1-Settings!$B$17),"OK",IF(F192&gt;=C192/(1-SKU_Base!AG192)/(1-Settings!$B$17),"WARN","STOP"))),"")</f>
        <v/>
      </c>
      <c r="J192" s="158">
        <f>IFERROR(ROUND(D192*(1-CHOOSE(MATCH(IF($E192="","Основний",$E192),{"Трафіковий","Основний","Маржинальний","Сезонний","Стратегічний"},0),Settings!$C$78,Settings!$C$80,Settings!$C$82,Settings!$C$84,Settings!$C$86))/6,2)*6,"")</f>
        <v/>
      </c>
      <c r="K192" s="142">
        <f>IFERROR(CHOOSE(MATCH(IF($E192="","Основний",$E192),{"Трафіковий","Основний","Маржинальний","Сезонний","Стратегічний"},0),Settings!$C$78,Settings!$C$80,Settings!$C$82,Settings!$C$84,Settings!$C$86),"")</f>
        <v/>
      </c>
      <c r="L192" s="143">
        <f>IFERROR((J192*(1-Settings!$C$17)-C192)/(J192*(1-Settings!$C$17)),"")</f>
        <v/>
      </c>
      <c r="M192" s="149">
        <f>IFERROR(IF(J192="","",IF(J192&gt;=C192/(1-SKU_Base!AA192)/(1-Settings!$C$17),"OK",IF(J192&gt;=C192/(1-SKU_Base!AH192)/(1-Settings!$C$17),"WARN","STOP"))),"")</f>
        <v/>
      </c>
      <c r="N192" s="159">
        <f>IFERROR(ROUND(D192*(1-CHOOSE(MATCH(IF($E192="","Основний",$E192),{"Трафіковий","Основний","Маржинальний","Сезонний","Стратегічний"},0),Settings!$D$78,Settings!$D$80,Settings!$D$82,Settings!$D$84,Settings!$D$86))/6,2)*6,"")</f>
        <v/>
      </c>
      <c r="O192" s="142">
        <f>IFERROR(CHOOSE(MATCH(IF($E192="","Основний",$E192),{"Трафіковий","Основний","Маржинальний","Сезонний","Стратегічний"},0),Settings!$D$78,Settings!$D$80,Settings!$D$82,Settings!$D$84,Settings!$D$86),"")</f>
        <v/>
      </c>
      <c r="P192" s="143">
        <f>IFERROR((N192*(1-Settings!$D$17)-C192)/(N192*(1-Settings!$D$17)),"")</f>
        <v/>
      </c>
      <c r="Q192" s="149">
        <f>IFERROR(IF(N192="","",IF(N192&gt;=C192/(1-SKU_Base!AB192)/(1-Settings!$D$17),"OK",IF(N192&gt;=C192/(1-SKU_Base!AI192)/(1-Settings!$D$17),"WARN","STOP"))),"")</f>
        <v/>
      </c>
      <c r="R192" s="159">
        <f>IFERROR(ROUND(D192*(1-CHOOSE(MATCH(IF($E192="","Основний",$E192),{"Трафіковий","Основний","Маржинальний","Сезонний","Стратегічний"},0),Settings!$E$78,Settings!$E$80,Settings!$E$82,Settings!$E$84,Settings!$E$86))/6,2)*6,"")</f>
        <v/>
      </c>
      <c r="S192" s="142">
        <f>IFERROR(CHOOSE(MATCH(IF($E192="","Основний",$E192),{"Трафіковий","Основний","Маржинальний","Сезонний","Стратегічний"},0),Settings!$E$78,Settings!$E$80,Settings!$E$82,Settings!$E$84,Settings!$E$86),"")</f>
        <v/>
      </c>
      <c r="T192" s="143">
        <f>IFERROR((R192*(1-Settings!$E$17)-C192)/(R192*(1-Settings!$E$17)),"")</f>
        <v/>
      </c>
      <c r="U192" s="149">
        <f>IFERROR(IF(R192="","",IF(R192&gt;=C192/(1-SKU_Base!AC192)/(1-Settings!$E$17),"OK",IF(R192&gt;=C192/(1-SKU_Base!AJ192)/(1-Settings!$E$17),"WARN","STOP"))),"")</f>
        <v/>
      </c>
      <c r="V192" s="159">
        <f>IFERROR(ROUND(D192*(1-CHOOSE(MATCH(IF($E192="","Основний",$E192),{"Трафіковий","Основний","Маржинальний","Сезонний","Стратегічний"},0),Settings!$F$78,Settings!$F$80,Settings!$F$82,Settings!$F$84,Settings!$F$86))/6,2)*6,"")</f>
        <v/>
      </c>
      <c r="W192" s="142">
        <f>IFERROR(CHOOSE(MATCH(IF($E192="","Основний",$E192),{"Трафіковий","Основний","Маржинальний","Сезонний","Стратегічний"},0),Settings!$F$78,Settings!$F$80,Settings!$F$82,Settings!$F$84,Settings!$F$86),"")</f>
        <v/>
      </c>
      <c r="X192" s="143">
        <f>IFERROR((V192*(1-Settings!$F$17)-C192)/(V192*(1-Settings!$F$17)),"")</f>
        <v/>
      </c>
      <c r="Y192" s="149">
        <f>IFERROR(IF(V192="","",IF(V192&gt;=C192/(1-SKU_Base!AD192)/(1-Settings!$F$17),"OK",IF(V192&gt;=C192/(1-SKU_Base!AK192)/(1-Settings!$F$17),"WARN","STOP"))),"")</f>
        <v/>
      </c>
      <c r="Z192" s="159">
        <f>IFERROR(ROUND(D192*(1-CHOOSE(MATCH(IF($E192="","Основний",$E192),{"Трафіковий","Основний","Маржинальний","Сезонний","Стратегічний"},0),Settings!$G$78,Settings!$G$80,Settings!$G$82,Settings!$G$84,Settings!$G$86))/6,2)*6,"")</f>
        <v/>
      </c>
      <c r="AA192" s="142">
        <f>IFERROR(CHOOSE(MATCH(IF($E192="","Основний",$E192),{"Трафіковий","Основний","Маржинальний","Сезонний","Стратегічний"},0),Settings!$G$78,Settings!$G$80,Settings!$G$82,Settings!$G$84,Settings!$G$86),"")</f>
        <v/>
      </c>
      <c r="AB192" s="143">
        <f>IFERROR((Z192*(1-Settings!$G$17)-C192)/(Z192*(1-Settings!$G$17)),"")</f>
        <v/>
      </c>
      <c r="AC192" s="149">
        <f>IFERROR(IF(Z192="","",IF(Z192&gt;=C192/(1-SKU_Base!AE192)/(1-Settings!$G$17),"OK",IF(Z192&gt;=C192/(1-SKU_Base!AL192)/(1-Settings!$G$17),"WARN","STOP"))),"")</f>
        <v/>
      </c>
      <c r="AD192" s="159">
        <f>IFERROR(ROUND(D192*(1-CHOOSE(MATCH(IF($E192="","Основний",$E192),{"Трафіковий","Основний","Маржинальний","Сезонний","Стратегічний"},0),Settings!$H$78,Settings!$H$80,Settings!$H$82,Settings!$H$84,Settings!$H$86))*(1-Settings!$H$68)/6,2)*6,"")</f>
        <v/>
      </c>
      <c r="AE192" s="142">
        <f>IFERROR(CHOOSE(MATCH(IF($E192="","Основний",$E192),{"Трафіковий","Основний","Маржинальний","Сезонний","Стратегічний"},0),Settings!$H$78,Settings!$H$80,Settings!$H$82,Settings!$H$84,Settings!$H$86)+(1-(CHOOSE(MATCH(IF($E192="","Основний",$E192),{"Трафіковий","Основний","Маржинальний","Сезонний","Стратегічний"},0),Settings!$H$78,Settings!$H$80,Settings!$H$82,Settings!$H$84,Settings!$H$86)))*Settings!$H$68,"")</f>
        <v/>
      </c>
      <c r="AF192" s="143">
        <f>IFERROR((AD192*(1-Settings!$H$17)-C192)/(AD192*(1-Settings!$H$17)),"")</f>
        <v/>
      </c>
      <c r="AG192" s="150">
        <f>IFERROR(IF(AD192="","",IF(AD192&gt;=C192/(1-SKU_Base!AF192)/(1-Settings!$H$17),"OK",IF(AD192&gt;=C192/(1-SKU_Base!AM192)/(1-Settings!$H$17),"WARN","STOP"))),"")</f>
        <v/>
      </c>
    </row>
    <row r="193" ht="17" customHeight="1" s="179">
      <c r="A193" s="146">
        <f>SKU_Base!B193</f>
        <v/>
      </c>
      <c r="B193" s="146">
        <f>SKU_Base!C193</f>
        <v/>
      </c>
      <c r="C193" s="147">
        <f>IFERROR(SKU_Base!I193,"")</f>
        <v/>
      </c>
      <c r="D193" s="164">
        <f>IFERROR(SKU_Base!T193,"")</f>
        <v/>
      </c>
      <c r="E193" s="141">
        <f>IFERROR(SKU_Base!$U193,"")</f>
        <v/>
      </c>
      <c r="F193" s="160">
        <f>IFERROR(ROUND(D193*(1-CHOOSE(MATCH(IF($E193="","Основний",$E193),{"Трафіковий","Основний","Маржинальний","Сезонний","Стратегічний"},0),Settings!$B$78,Settings!$B$80,Settings!$B$82,Settings!$B$84,Settings!$B$86))/6,2)*6,"")</f>
        <v/>
      </c>
      <c r="G193" s="142">
        <f>IFERROR(CHOOSE(MATCH(IF($E193="","Основний",$E193),{"Трафіковий","Основний","Маржинальний","Сезонний","Стратегічний"},0),Settings!$B$78,Settings!$B$80,Settings!$B$82,Settings!$B$84,Settings!$B$86),"")</f>
        <v/>
      </c>
      <c r="H193" s="148">
        <f>IFERROR((F193*(1-Settings!$B$17)-C193)/(F193*(1-Settings!$B$17)),"")</f>
        <v/>
      </c>
      <c r="I193" s="149">
        <f>IFERROR(IF(F193="","",IF(F193&gt;=C193/(1-SKU_Base!Z193)/(1-Settings!$B$17),"OK",IF(F193&gt;=C193/(1-SKU_Base!AG193)/(1-Settings!$B$17),"WARN","STOP"))),"")</f>
        <v/>
      </c>
      <c r="J193" s="160">
        <f>IFERROR(ROUND(D193*(1-CHOOSE(MATCH(IF($E193="","Основний",$E193),{"Трафіковий","Основний","Маржинальний","Сезонний","Стратегічний"},0),Settings!$C$78,Settings!$C$80,Settings!$C$82,Settings!$C$84,Settings!$C$86))/6,2)*6,"")</f>
        <v/>
      </c>
      <c r="K193" s="142">
        <f>IFERROR(CHOOSE(MATCH(IF($E193="","Основний",$E193),{"Трафіковий","Основний","Маржинальний","Сезонний","Стратегічний"},0),Settings!$C$78,Settings!$C$80,Settings!$C$82,Settings!$C$84,Settings!$C$86),"")</f>
        <v/>
      </c>
      <c r="L193" s="148">
        <f>IFERROR((J193*(1-Settings!$C$17)-C193)/(J193*(1-Settings!$C$17)),"")</f>
        <v/>
      </c>
      <c r="M193" s="149">
        <f>IFERROR(IF(J193="","",IF(J193&gt;=C193/(1-SKU_Base!AA193)/(1-Settings!$C$17),"OK",IF(J193&gt;=C193/(1-SKU_Base!AH193)/(1-Settings!$C$17),"WARN","STOP"))),"")</f>
        <v/>
      </c>
      <c r="N193" s="161">
        <f>IFERROR(ROUND(D193*(1-CHOOSE(MATCH(IF($E193="","Основний",$E193),{"Трафіковий","Основний","Маржинальний","Сезонний","Стратегічний"},0),Settings!$D$78,Settings!$D$80,Settings!$D$82,Settings!$D$84,Settings!$D$86))/6,2)*6,"")</f>
        <v/>
      </c>
      <c r="O193" s="142">
        <f>IFERROR(CHOOSE(MATCH(IF($E193="","Основний",$E193),{"Трафіковий","Основний","Маржинальний","Сезонний","Стратегічний"},0),Settings!$D$78,Settings!$D$80,Settings!$D$82,Settings!$D$84,Settings!$D$86),"")</f>
        <v/>
      </c>
      <c r="P193" s="148">
        <f>IFERROR((N193*(1-Settings!$D$17)-C193)/(N193*(1-Settings!$D$17)),"")</f>
        <v/>
      </c>
      <c r="Q193" s="149">
        <f>IFERROR(IF(N193="","",IF(N193&gt;=C193/(1-SKU_Base!AB193)/(1-Settings!$D$17),"OK",IF(N193&gt;=C193/(1-SKU_Base!AI193)/(1-Settings!$D$17),"WARN","STOP"))),"")</f>
        <v/>
      </c>
      <c r="R193" s="161">
        <f>IFERROR(ROUND(D193*(1-CHOOSE(MATCH(IF($E193="","Основний",$E193),{"Трафіковий","Основний","Маржинальний","Сезонний","Стратегічний"},0),Settings!$E$78,Settings!$E$80,Settings!$E$82,Settings!$E$84,Settings!$E$86))/6,2)*6,"")</f>
        <v/>
      </c>
      <c r="S193" s="142">
        <f>IFERROR(CHOOSE(MATCH(IF($E193="","Основний",$E193),{"Трафіковий","Основний","Маржинальний","Сезонний","Стратегічний"},0),Settings!$E$78,Settings!$E$80,Settings!$E$82,Settings!$E$84,Settings!$E$86),"")</f>
        <v/>
      </c>
      <c r="T193" s="148">
        <f>IFERROR((R193*(1-Settings!$E$17)-C193)/(R193*(1-Settings!$E$17)),"")</f>
        <v/>
      </c>
      <c r="U193" s="149">
        <f>IFERROR(IF(R193="","",IF(R193&gt;=C193/(1-SKU_Base!AC193)/(1-Settings!$E$17),"OK",IF(R193&gt;=C193/(1-SKU_Base!AJ193)/(1-Settings!$E$17),"WARN","STOP"))),"")</f>
        <v/>
      </c>
      <c r="V193" s="161">
        <f>IFERROR(ROUND(D193*(1-CHOOSE(MATCH(IF($E193="","Основний",$E193),{"Трафіковий","Основний","Маржинальний","Сезонний","Стратегічний"},0),Settings!$F$78,Settings!$F$80,Settings!$F$82,Settings!$F$84,Settings!$F$86))/6,2)*6,"")</f>
        <v/>
      </c>
      <c r="W193" s="142">
        <f>IFERROR(CHOOSE(MATCH(IF($E193="","Основний",$E193),{"Трафіковий","Основний","Маржинальний","Сезонний","Стратегічний"},0),Settings!$F$78,Settings!$F$80,Settings!$F$82,Settings!$F$84,Settings!$F$86),"")</f>
        <v/>
      </c>
      <c r="X193" s="148">
        <f>IFERROR((V193*(1-Settings!$F$17)-C193)/(V193*(1-Settings!$F$17)),"")</f>
        <v/>
      </c>
      <c r="Y193" s="149">
        <f>IFERROR(IF(V193="","",IF(V193&gt;=C193/(1-SKU_Base!AD193)/(1-Settings!$F$17),"OK",IF(V193&gt;=C193/(1-SKU_Base!AK193)/(1-Settings!$F$17),"WARN","STOP"))),"")</f>
        <v/>
      </c>
      <c r="Z193" s="161">
        <f>IFERROR(ROUND(D193*(1-CHOOSE(MATCH(IF($E193="","Основний",$E193),{"Трафіковий","Основний","Маржинальний","Сезонний","Стратегічний"},0),Settings!$G$78,Settings!$G$80,Settings!$G$82,Settings!$G$84,Settings!$G$86))/6,2)*6,"")</f>
        <v/>
      </c>
      <c r="AA193" s="142">
        <f>IFERROR(CHOOSE(MATCH(IF($E193="","Основний",$E193),{"Трафіковий","Основний","Маржинальний","Сезонний","Стратегічний"},0),Settings!$G$78,Settings!$G$80,Settings!$G$82,Settings!$G$84,Settings!$G$86),"")</f>
        <v/>
      </c>
      <c r="AB193" s="148">
        <f>IFERROR((Z193*(1-Settings!$G$17)-C193)/(Z193*(1-Settings!$G$17)),"")</f>
        <v/>
      </c>
      <c r="AC193" s="149">
        <f>IFERROR(IF(Z193="","",IF(Z193&gt;=C193/(1-SKU_Base!AE193)/(1-Settings!$G$17),"OK",IF(Z193&gt;=C193/(1-SKU_Base!AL193)/(1-Settings!$G$17),"WARN","STOP"))),"")</f>
        <v/>
      </c>
      <c r="AD193" s="161">
        <f>IFERROR(ROUND(D193*(1-CHOOSE(MATCH(IF($E193="","Основний",$E193),{"Трафіковий","Основний","Маржинальний","Сезонний","Стратегічний"},0),Settings!$H$78,Settings!$H$80,Settings!$H$82,Settings!$H$84,Settings!$H$86))*(1-Settings!$H$68)/6,2)*6,"")</f>
        <v/>
      </c>
      <c r="AE193" s="142">
        <f>IFERROR(CHOOSE(MATCH(IF($E193="","Основний",$E193),{"Трафіковий","Основний","Маржинальний","Сезонний","Стратегічний"},0),Settings!$H$78,Settings!$H$80,Settings!$H$82,Settings!$H$84,Settings!$H$86)+(1-(CHOOSE(MATCH(IF($E193="","Основний",$E193),{"Трафіковий","Основний","Маржинальний","Сезонний","Стратегічний"},0),Settings!$H$78,Settings!$H$80,Settings!$H$82,Settings!$H$84,Settings!$H$86)))*Settings!$H$68,"")</f>
        <v/>
      </c>
      <c r="AF193" s="148">
        <f>IFERROR((AD193*(1-Settings!$H$17)-C193)/(AD193*(1-Settings!$H$17)),"")</f>
        <v/>
      </c>
      <c r="AG193" s="150">
        <f>IFERROR(IF(AD193="","",IF(AD193&gt;=C193/(1-SKU_Base!AF193)/(1-Settings!$H$17),"OK",IF(AD193&gt;=C193/(1-SKU_Base!AM193)/(1-Settings!$H$17),"WARN","STOP"))),"")</f>
        <v/>
      </c>
    </row>
    <row r="194" ht="17" customHeight="1" s="179">
      <c r="A194" s="139">
        <f>SKU_Base!B194</f>
        <v/>
      </c>
      <c r="B194" s="139">
        <f>SKU_Base!C194</f>
        <v/>
      </c>
      <c r="C194" s="140">
        <f>IFERROR(SKU_Base!I194,"")</f>
        <v/>
      </c>
      <c r="D194" s="163">
        <f>IFERROR(SKU_Base!T194,"")</f>
        <v/>
      </c>
      <c r="E194" s="141">
        <f>IFERROR(SKU_Base!$U194,"")</f>
        <v/>
      </c>
      <c r="F194" s="158">
        <f>IFERROR(ROUND(D194*(1-CHOOSE(MATCH(IF($E194="","Основний",$E194),{"Трафіковий","Основний","Маржинальний","Сезонний","Стратегічний"},0),Settings!$B$78,Settings!$B$80,Settings!$B$82,Settings!$B$84,Settings!$B$86))/6,2)*6,"")</f>
        <v/>
      </c>
      <c r="G194" s="142">
        <f>IFERROR(CHOOSE(MATCH(IF($E194="","Основний",$E194),{"Трафіковий","Основний","Маржинальний","Сезонний","Стратегічний"},0),Settings!$B$78,Settings!$B$80,Settings!$B$82,Settings!$B$84,Settings!$B$86),"")</f>
        <v/>
      </c>
      <c r="H194" s="143">
        <f>IFERROR((F194*(1-Settings!$B$17)-C194)/(F194*(1-Settings!$B$17)),"")</f>
        <v/>
      </c>
      <c r="I194" s="149">
        <f>IFERROR(IF(F194="","",IF(F194&gt;=C194/(1-SKU_Base!Z194)/(1-Settings!$B$17),"OK",IF(F194&gt;=C194/(1-SKU_Base!AG194)/(1-Settings!$B$17),"WARN","STOP"))),"")</f>
        <v/>
      </c>
      <c r="J194" s="158">
        <f>IFERROR(ROUND(D194*(1-CHOOSE(MATCH(IF($E194="","Основний",$E194),{"Трафіковий","Основний","Маржинальний","Сезонний","Стратегічний"},0),Settings!$C$78,Settings!$C$80,Settings!$C$82,Settings!$C$84,Settings!$C$86))/6,2)*6,"")</f>
        <v/>
      </c>
      <c r="K194" s="142">
        <f>IFERROR(CHOOSE(MATCH(IF($E194="","Основний",$E194),{"Трафіковий","Основний","Маржинальний","Сезонний","Стратегічний"},0),Settings!$C$78,Settings!$C$80,Settings!$C$82,Settings!$C$84,Settings!$C$86),"")</f>
        <v/>
      </c>
      <c r="L194" s="143">
        <f>IFERROR((J194*(1-Settings!$C$17)-C194)/(J194*(1-Settings!$C$17)),"")</f>
        <v/>
      </c>
      <c r="M194" s="149">
        <f>IFERROR(IF(J194="","",IF(J194&gt;=C194/(1-SKU_Base!AA194)/(1-Settings!$C$17),"OK",IF(J194&gt;=C194/(1-SKU_Base!AH194)/(1-Settings!$C$17),"WARN","STOP"))),"")</f>
        <v/>
      </c>
      <c r="N194" s="159">
        <f>IFERROR(ROUND(D194*(1-CHOOSE(MATCH(IF($E194="","Основний",$E194),{"Трафіковий","Основний","Маржинальний","Сезонний","Стратегічний"},0),Settings!$D$78,Settings!$D$80,Settings!$D$82,Settings!$D$84,Settings!$D$86))/6,2)*6,"")</f>
        <v/>
      </c>
      <c r="O194" s="142">
        <f>IFERROR(CHOOSE(MATCH(IF($E194="","Основний",$E194),{"Трафіковий","Основний","Маржинальний","Сезонний","Стратегічний"},0),Settings!$D$78,Settings!$D$80,Settings!$D$82,Settings!$D$84,Settings!$D$86),"")</f>
        <v/>
      </c>
      <c r="P194" s="143">
        <f>IFERROR((N194*(1-Settings!$D$17)-C194)/(N194*(1-Settings!$D$17)),"")</f>
        <v/>
      </c>
      <c r="Q194" s="149">
        <f>IFERROR(IF(N194="","",IF(N194&gt;=C194/(1-SKU_Base!AB194)/(1-Settings!$D$17),"OK",IF(N194&gt;=C194/(1-SKU_Base!AI194)/(1-Settings!$D$17),"WARN","STOP"))),"")</f>
        <v/>
      </c>
      <c r="R194" s="159">
        <f>IFERROR(ROUND(D194*(1-CHOOSE(MATCH(IF($E194="","Основний",$E194),{"Трафіковий","Основний","Маржинальний","Сезонний","Стратегічний"},0),Settings!$E$78,Settings!$E$80,Settings!$E$82,Settings!$E$84,Settings!$E$86))/6,2)*6,"")</f>
        <v/>
      </c>
      <c r="S194" s="142">
        <f>IFERROR(CHOOSE(MATCH(IF($E194="","Основний",$E194),{"Трафіковий","Основний","Маржинальний","Сезонний","Стратегічний"},0),Settings!$E$78,Settings!$E$80,Settings!$E$82,Settings!$E$84,Settings!$E$86),"")</f>
        <v/>
      </c>
      <c r="T194" s="143">
        <f>IFERROR((R194*(1-Settings!$E$17)-C194)/(R194*(1-Settings!$E$17)),"")</f>
        <v/>
      </c>
      <c r="U194" s="149">
        <f>IFERROR(IF(R194="","",IF(R194&gt;=C194/(1-SKU_Base!AC194)/(1-Settings!$E$17),"OK",IF(R194&gt;=C194/(1-SKU_Base!AJ194)/(1-Settings!$E$17),"WARN","STOP"))),"")</f>
        <v/>
      </c>
      <c r="V194" s="159">
        <f>IFERROR(ROUND(D194*(1-CHOOSE(MATCH(IF($E194="","Основний",$E194),{"Трафіковий","Основний","Маржинальний","Сезонний","Стратегічний"},0),Settings!$F$78,Settings!$F$80,Settings!$F$82,Settings!$F$84,Settings!$F$86))/6,2)*6,"")</f>
        <v/>
      </c>
      <c r="W194" s="142">
        <f>IFERROR(CHOOSE(MATCH(IF($E194="","Основний",$E194),{"Трафіковий","Основний","Маржинальний","Сезонний","Стратегічний"},0),Settings!$F$78,Settings!$F$80,Settings!$F$82,Settings!$F$84,Settings!$F$86),"")</f>
        <v/>
      </c>
      <c r="X194" s="143">
        <f>IFERROR((V194*(1-Settings!$F$17)-C194)/(V194*(1-Settings!$F$17)),"")</f>
        <v/>
      </c>
      <c r="Y194" s="149">
        <f>IFERROR(IF(V194="","",IF(V194&gt;=C194/(1-SKU_Base!AD194)/(1-Settings!$F$17),"OK",IF(V194&gt;=C194/(1-SKU_Base!AK194)/(1-Settings!$F$17),"WARN","STOP"))),"")</f>
        <v/>
      </c>
      <c r="Z194" s="159">
        <f>IFERROR(ROUND(D194*(1-CHOOSE(MATCH(IF($E194="","Основний",$E194),{"Трафіковий","Основний","Маржинальний","Сезонний","Стратегічний"},0),Settings!$G$78,Settings!$G$80,Settings!$G$82,Settings!$G$84,Settings!$G$86))/6,2)*6,"")</f>
        <v/>
      </c>
      <c r="AA194" s="142">
        <f>IFERROR(CHOOSE(MATCH(IF($E194="","Основний",$E194),{"Трафіковий","Основний","Маржинальний","Сезонний","Стратегічний"},0),Settings!$G$78,Settings!$G$80,Settings!$G$82,Settings!$G$84,Settings!$G$86),"")</f>
        <v/>
      </c>
      <c r="AB194" s="143">
        <f>IFERROR((Z194*(1-Settings!$G$17)-C194)/(Z194*(1-Settings!$G$17)),"")</f>
        <v/>
      </c>
      <c r="AC194" s="149">
        <f>IFERROR(IF(Z194="","",IF(Z194&gt;=C194/(1-SKU_Base!AE194)/(1-Settings!$G$17),"OK",IF(Z194&gt;=C194/(1-SKU_Base!AL194)/(1-Settings!$G$17),"WARN","STOP"))),"")</f>
        <v/>
      </c>
      <c r="AD194" s="159">
        <f>IFERROR(ROUND(D194*(1-CHOOSE(MATCH(IF($E194="","Основний",$E194),{"Трафіковий","Основний","Маржинальний","Сезонний","Стратегічний"},0),Settings!$H$78,Settings!$H$80,Settings!$H$82,Settings!$H$84,Settings!$H$86))*(1-Settings!$H$68)/6,2)*6,"")</f>
        <v/>
      </c>
      <c r="AE194" s="142">
        <f>IFERROR(CHOOSE(MATCH(IF($E194="","Основний",$E194),{"Трафіковий","Основний","Маржинальний","Сезонний","Стратегічний"},0),Settings!$H$78,Settings!$H$80,Settings!$H$82,Settings!$H$84,Settings!$H$86)+(1-(CHOOSE(MATCH(IF($E194="","Основний",$E194),{"Трафіковий","Основний","Маржинальний","Сезонний","Стратегічний"},0),Settings!$H$78,Settings!$H$80,Settings!$H$82,Settings!$H$84,Settings!$H$86)))*Settings!$H$68,"")</f>
        <v/>
      </c>
      <c r="AF194" s="143">
        <f>IFERROR((AD194*(1-Settings!$H$17)-C194)/(AD194*(1-Settings!$H$17)),"")</f>
        <v/>
      </c>
      <c r="AG194" s="150">
        <f>IFERROR(IF(AD194="","",IF(AD194&gt;=C194/(1-SKU_Base!AF194)/(1-Settings!$H$17),"OK",IF(AD194&gt;=C194/(1-SKU_Base!AM194)/(1-Settings!$H$17),"WARN","STOP"))),"")</f>
        <v/>
      </c>
    </row>
    <row r="195" ht="17" customHeight="1" s="179">
      <c r="A195" s="146">
        <f>SKU_Base!B195</f>
        <v/>
      </c>
      <c r="B195" s="146">
        <f>SKU_Base!C195</f>
        <v/>
      </c>
      <c r="C195" s="147">
        <f>IFERROR(SKU_Base!I195,"")</f>
        <v/>
      </c>
      <c r="D195" s="164">
        <f>IFERROR(SKU_Base!T195,"")</f>
        <v/>
      </c>
      <c r="E195" s="141">
        <f>IFERROR(SKU_Base!$U195,"")</f>
        <v/>
      </c>
      <c r="F195" s="160">
        <f>IFERROR(ROUND(D195*(1-CHOOSE(MATCH(IF($E195="","Основний",$E195),{"Трафіковий","Основний","Маржинальний","Сезонний","Стратегічний"},0),Settings!$B$78,Settings!$B$80,Settings!$B$82,Settings!$B$84,Settings!$B$86))/6,2)*6,"")</f>
        <v/>
      </c>
      <c r="G195" s="142">
        <f>IFERROR(CHOOSE(MATCH(IF($E195="","Основний",$E195),{"Трафіковий","Основний","Маржинальний","Сезонний","Стратегічний"},0),Settings!$B$78,Settings!$B$80,Settings!$B$82,Settings!$B$84,Settings!$B$86),"")</f>
        <v/>
      </c>
      <c r="H195" s="148">
        <f>IFERROR((F195*(1-Settings!$B$17)-C195)/(F195*(1-Settings!$B$17)),"")</f>
        <v/>
      </c>
      <c r="I195" s="150">
        <f>IFERROR(IF(F195="","",IF(F195&gt;=C195/(1-SKU_Base!Z195)/(1-Settings!$B$17),"OK",IF(F195&gt;=C195/(1-SKU_Base!AG195)/(1-Settings!$B$17),"WARN","STOP"))),"")</f>
        <v/>
      </c>
      <c r="J195" s="160">
        <f>IFERROR(ROUND(D195*(1-CHOOSE(MATCH(IF($E195="","Основний",$E195),{"Трафіковий","Основний","Маржинальний","Сезонний","Стратегічний"},0),Settings!$C$78,Settings!$C$80,Settings!$C$82,Settings!$C$84,Settings!$C$86))/6,2)*6,"")</f>
        <v/>
      </c>
      <c r="K195" s="142">
        <f>IFERROR(CHOOSE(MATCH(IF($E195="","Основний",$E195),{"Трафіковий","Основний","Маржинальний","Сезонний","Стратегічний"},0),Settings!$C$78,Settings!$C$80,Settings!$C$82,Settings!$C$84,Settings!$C$86),"")</f>
        <v/>
      </c>
      <c r="L195" s="148">
        <f>IFERROR((J195*(1-Settings!$C$17)-C195)/(J195*(1-Settings!$C$17)),"")</f>
        <v/>
      </c>
      <c r="M195" s="149">
        <f>IFERROR(IF(J195="","",IF(J195&gt;=C195/(1-SKU_Base!AA195)/(1-Settings!$C$17),"OK",IF(J195&gt;=C195/(1-SKU_Base!AH195)/(1-Settings!$C$17),"WARN","STOP"))),"")</f>
        <v/>
      </c>
      <c r="N195" s="161">
        <f>IFERROR(ROUND(D195*(1-CHOOSE(MATCH(IF($E195="","Основний",$E195),{"Трафіковий","Основний","Маржинальний","Сезонний","Стратегічний"},0),Settings!$D$78,Settings!$D$80,Settings!$D$82,Settings!$D$84,Settings!$D$86))/6,2)*6,"")</f>
        <v/>
      </c>
      <c r="O195" s="142">
        <f>IFERROR(CHOOSE(MATCH(IF($E195="","Основний",$E195),{"Трафіковий","Основний","Маржинальний","Сезонний","Стратегічний"},0),Settings!$D$78,Settings!$D$80,Settings!$D$82,Settings!$D$84,Settings!$D$86),"")</f>
        <v/>
      </c>
      <c r="P195" s="148">
        <f>IFERROR((N195*(1-Settings!$D$17)-C195)/(N195*(1-Settings!$D$17)),"")</f>
        <v/>
      </c>
      <c r="Q195" s="149">
        <f>IFERROR(IF(N195="","",IF(N195&gt;=C195/(1-SKU_Base!AB195)/(1-Settings!$D$17),"OK",IF(N195&gt;=C195/(1-SKU_Base!AI195)/(1-Settings!$D$17),"WARN","STOP"))),"")</f>
        <v/>
      </c>
      <c r="R195" s="161">
        <f>IFERROR(ROUND(D195*(1-CHOOSE(MATCH(IF($E195="","Основний",$E195),{"Трафіковий","Основний","Маржинальний","Сезонний","Стратегічний"},0),Settings!$E$78,Settings!$E$80,Settings!$E$82,Settings!$E$84,Settings!$E$86))/6,2)*6,"")</f>
        <v/>
      </c>
      <c r="S195" s="142">
        <f>IFERROR(CHOOSE(MATCH(IF($E195="","Основний",$E195),{"Трафіковий","Основний","Маржинальний","Сезонний","Стратегічний"},0),Settings!$E$78,Settings!$E$80,Settings!$E$82,Settings!$E$84,Settings!$E$86),"")</f>
        <v/>
      </c>
      <c r="T195" s="148">
        <f>IFERROR((R195*(1-Settings!$E$17)-C195)/(R195*(1-Settings!$E$17)),"")</f>
        <v/>
      </c>
      <c r="U195" s="149">
        <f>IFERROR(IF(R195="","",IF(R195&gt;=C195/(1-SKU_Base!AC195)/(1-Settings!$E$17),"OK",IF(R195&gt;=C195/(1-SKU_Base!AJ195)/(1-Settings!$E$17),"WARN","STOP"))),"")</f>
        <v/>
      </c>
      <c r="V195" s="161">
        <f>IFERROR(ROUND(D195*(1-CHOOSE(MATCH(IF($E195="","Основний",$E195),{"Трафіковий","Основний","Маржинальний","Сезонний","Стратегічний"},0),Settings!$F$78,Settings!$F$80,Settings!$F$82,Settings!$F$84,Settings!$F$86))/6,2)*6,"")</f>
        <v/>
      </c>
      <c r="W195" s="142">
        <f>IFERROR(CHOOSE(MATCH(IF($E195="","Основний",$E195),{"Трафіковий","Основний","Маржинальний","Сезонний","Стратегічний"},0),Settings!$F$78,Settings!$F$80,Settings!$F$82,Settings!$F$84,Settings!$F$86),"")</f>
        <v/>
      </c>
      <c r="X195" s="148">
        <f>IFERROR((V195*(1-Settings!$F$17)-C195)/(V195*(1-Settings!$F$17)),"")</f>
        <v/>
      </c>
      <c r="Y195" s="149">
        <f>IFERROR(IF(V195="","",IF(V195&gt;=C195/(1-SKU_Base!AD195)/(1-Settings!$F$17),"OK",IF(V195&gt;=C195/(1-SKU_Base!AK195)/(1-Settings!$F$17),"WARN","STOP"))),"")</f>
        <v/>
      </c>
      <c r="Z195" s="161">
        <f>IFERROR(ROUND(D195*(1-CHOOSE(MATCH(IF($E195="","Основний",$E195),{"Трафіковий","Основний","Маржинальний","Сезонний","Стратегічний"},0),Settings!$G$78,Settings!$G$80,Settings!$G$82,Settings!$G$84,Settings!$G$86))/6,2)*6,"")</f>
        <v/>
      </c>
      <c r="AA195" s="142">
        <f>IFERROR(CHOOSE(MATCH(IF($E195="","Основний",$E195),{"Трафіковий","Основний","Маржинальний","Сезонний","Стратегічний"},0),Settings!$G$78,Settings!$G$80,Settings!$G$82,Settings!$G$84,Settings!$G$86),"")</f>
        <v/>
      </c>
      <c r="AB195" s="148">
        <f>IFERROR((Z195*(1-Settings!$G$17)-C195)/(Z195*(1-Settings!$G$17)),"")</f>
        <v/>
      </c>
      <c r="AC195" s="149">
        <f>IFERROR(IF(Z195="","",IF(Z195&gt;=C195/(1-SKU_Base!AE195)/(1-Settings!$G$17),"OK",IF(Z195&gt;=C195/(1-SKU_Base!AL195)/(1-Settings!$G$17),"WARN","STOP"))),"")</f>
        <v/>
      </c>
      <c r="AD195" s="161">
        <f>IFERROR(ROUND(D195*(1-CHOOSE(MATCH(IF($E195="","Основний",$E195),{"Трафіковий","Основний","Маржинальний","Сезонний","Стратегічний"},0),Settings!$H$78,Settings!$H$80,Settings!$H$82,Settings!$H$84,Settings!$H$86))*(1-Settings!$H$68)/6,2)*6,"")</f>
        <v/>
      </c>
      <c r="AE195" s="142">
        <f>IFERROR(CHOOSE(MATCH(IF($E195="","Основний",$E195),{"Трафіковий","Основний","Маржинальний","Сезонний","Стратегічний"},0),Settings!$H$78,Settings!$H$80,Settings!$H$82,Settings!$H$84,Settings!$H$86)+(1-(CHOOSE(MATCH(IF($E195="","Основний",$E195),{"Трафіковий","Основний","Маржинальний","Сезонний","Стратегічний"},0),Settings!$H$78,Settings!$H$80,Settings!$H$82,Settings!$H$84,Settings!$H$86)))*Settings!$H$68,"")</f>
        <v/>
      </c>
      <c r="AF195" s="148">
        <f>IFERROR((AD195*(1-Settings!$H$17)-C195)/(AD195*(1-Settings!$H$17)),"")</f>
        <v/>
      </c>
      <c r="AG195" s="150">
        <f>IFERROR(IF(AD195="","",IF(AD195&gt;=C195/(1-SKU_Base!AF195)/(1-Settings!$H$17),"OK",IF(AD195&gt;=C195/(1-SKU_Base!AM195)/(1-Settings!$H$17),"WARN","STOP"))),"")</f>
        <v/>
      </c>
    </row>
    <row r="196" ht="17" customHeight="1" s="179">
      <c r="A196" s="139">
        <f>SKU_Base!B196</f>
        <v/>
      </c>
      <c r="B196" s="139">
        <f>SKU_Base!C196</f>
        <v/>
      </c>
      <c r="C196" s="140">
        <f>IFERROR(SKU_Base!I196,"")</f>
        <v/>
      </c>
      <c r="D196" s="163">
        <f>IFERROR(SKU_Base!T196,"")</f>
        <v/>
      </c>
      <c r="E196" s="141">
        <f>IFERROR(SKU_Base!$U196,"")</f>
        <v/>
      </c>
      <c r="F196" s="158">
        <f>IFERROR(ROUND(D196*(1-CHOOSE(MATCH(IF($E196="","Основний",$E196),{"Трафіковий","Основний","Маржинальний","Сезонний","Стратегічний"},0),Settings!$B$78,Settings!$B$80,Settings!$B$82,Settings!$B$84,Settings!$B$86))/6,2)*6,"")</f>
        <v/>
      </c>
      <c r="G196" s="142">
        <f>IFERROR(CHOOSE(MATCH(IF($E196="","Основний",$E196),{"Трафіковий","Основний","Маржинальний","Сезонний","Стратегічний"},0),Settings!$B$78,Settings!$B$80,Settings!$B$82,Settings!$B$84,Settings!$B$86),"")</f>
        <v/>
      </c>
      <c r="H196" s="143">
        <f>IFERROR((F196*(1-Settings!$B$17)-C196)/(F196*(1-Settings!$B$17)),"")</f>
        <v/>
      </c>
      <c r="I196" s="149">
        <f>IFERROR(IF(F196="","",IF(F196&gt;=C196/(1-SKU_Base!Z196)/(1-Settings!$B$17),"OK",IF(F196&gt;=C196/(1-SKU_Base!AG196)/(1-Settings!$B$17),"WARN","STOP"))),"")</f>
        <v/>
      </c>
      <c r="J196" s="158">
        <f>IFERROR(ROUND(D196*(1-CHOOSE(MATCH(IF($E196="","Основний",$E196),{"Трафіковий","Основний","Маржинальний","Сезонний","Стратегічний"},0),Settings!$C$78,Settings!$C$80,Settings!$C$82,Settings!$C$84,Settings!$C$86))/6,2)*6,"")</f>
        <v/>
      </c>
      <c r="K196" s="142">
        <f>IFERROR(CHOOSE(MATCH(IF($E196="","Основний",$E196),{"Трафіковий","Основний","Маржинальний","Сезонний","Стратегічний"},0),Settings!$C$78,Settings!$C$80,Settings!$C$82,Settings!$C$84,Settings!$C$86),"")</f>
        <v/>
      </c>
      <c r="L196" s="143">
        <f>IFERROR((J196*(1-Settings!$C$17)-C196)/(J196*(1-Settings!$C$17)),"")</f>
        <v/>
      </c>
      <c r="M196" s="149">
        <f>IFERROR(IF(J196="","",IF(J196&gt;=C196/(1-SKU_Base!AA196)/(1-Settings!$C$17),"OK",IF(J196&gt;=C196/(1-SKU_Base!AH196)/(1-Settings!$C$17),"WARN","STOP"))),"")</f>
        <v/>
      </c>
      <c r="N196" s="159">
        <f>IFERROR(ROUND(D196*(1-CHOOSE(MATCH(IF($E196="","Основний",$E196),{"Трафіковий","Основний","Маржинальний","Сезонний","Стратегічний"},0),Settings!$D$78,Settings!$D$80,Settings!$D$82,Settings!$D$84,Settings!$D$86))/6,2)*6,"")</f>
        <v/>
      </c>
      <c r="O196" s="142">
        <f>IFERROR(CHOOSE(MATCH(IF($E196="","Основний",$E196),{"Трафіковий","Основний","Маржинальний","Сезонний","Стратегічний"},0),Settings!$D$78,Settings!$D$80,Settings!$D$82,Settings!$D$84,Settings!$D$86),"")</f>
        <v/>
      </c>
      <c r="P196" s="143">
        <f>IFERROR((N196*(1-Settings!$D$17)-C196)/(N196*(1-Settings!$D$17)),"")</f>
        <v/>
      </c>
      <c r="Q196" s="149">
        <f>IFERROR(IF(N196="","",IF(N196&gt;=C196/(1-SKU_Base!AB196)/(1-Settings!$D$17),"OK",IF(N196&gt;=C196/(1-SKU_Base!AI196)/(1-Settings!$D$17),"WARN","STOP"))),"")</f>
        <v/>
      </c>
      <c r="R196" s="159">
        <f>IFERROR(ROUND(D196*(1-CHOOSE(MATCH(IF($E196="","Основний",$E196),{"Трафіковий","Основний","Маржинальний","Сезонний","Стратегічний"},0),Settings!$E$78,Settings!$E$80,Settings!$E$82,Settings!$E$84,Settings!$E$86))/6,2)*6,"")</f>
        <v/>
      </c>
      <c r="S196" s="142">
        <f>IFERROR(CHOOSE(MATCH(IF($E196="","Основний",$E196),{"Трафіковий","Основний","Маржинальний","Сезонний","Стратегічний"},0),Settings!$E$78,Settings!$E$80,Settings!$E$82,Settings!$E$84,Settings!$E$86),"")</f>
        <v/>
      </c>
      <c r="T196" s="143">
        <f>IFERROR((R196*(1-Settings!$E$17)-C196)/(R196*(1-Settings!$E$17)),"")</f>
        <v/>
      </c>
      <c r="U196" s="149">
        <f>IFERROR(IF(R196="","",IF(R196&gt;=C196/(1-SKU_Base!AC196)/(1-Settings!$E$17),"OK",IF(R196&gt;=C196/(1-SKU_Base!AJ196)/(1-Settings!$E$17),"WARN","STOP"))),"")</f>
        <v/>
      </c>
      <c r="V196" s="159">
        <f>IFERROR(ROUND(D196*(1-CHOOSE(MATCH(IF($E196="","Основний",$E196),{"Трафіковий","Основний","Маржинальний","Сезонний","Стратегічний"},0),Settings!$F$78,Settings!$F$80,Settings!$F$82,Settings!$F$84,Settings!$F$86))/6,2)*6,"")</f>
        <v/>
      </c>
      <c r="W196" s="142">
        <f>IFERROR(CHOOSE(MATCH(IF($E196="","Основний",$E196),{"Трафіковий","Основний","Маржинальний","Сезонний","Стратегічний"},0),Settings!$F$78,Settings!$F$80,Settings!$F$82,Settings!$F$84,Settings!$F$86),"")</f>
        <v/>
      </c>
      <c r="X196" s="143">
        <f>IFERROR((V196*(1-Settings!$F$17)-C196)/(V196*(1-Settings!$F$17)),"")</f>
        <v/>
      </c>
      <c r="Y196" s="149">
        <f>IFERROR(IF(V196="","",IF(V196&gt;=C196/(1-SKU_Base!AD196)/(1-Settings!$F$17),"OK",IF(V196&gt;=C196/(1-SKU_Base!AK196)/(1-Settings!$F$17),"WARN","STOP"))),"")</f>
        <v/>
      </c>
      <c r="Z196" s="159">
        <f>IFERROR(ROUND(D196*(1-CHOOSE(MATCH(IF($E196="","Основний",$E196),{"Трафіковий","Основний","Маржинальний","Сезонний","Стратегічний"},0),Settings!$G$78,Settings!$G$80,Settings!$G$82,Settings!$G$84,Settings!$G$86))/6,2)*6,"")</f>
        <v/>
      </c>
      <c r="AA196" s="142">
        <f>IFERROR(CHOOSE(MATCH(IF($E196="","Основний",$E196),{"Трафіковий","Основний","Маржинальний","Сезонний","Стратегічний"},0),Settings!$G$78,Settings!$G$80,Settings!$G$82,Settings!$G$84,Settings!$G$86),"")</f>
        <v/>
      </c>
      <c r="AB196" s="143">
        <f>IFERROR((Z196*(1-Settings!$G$17)-C196)/(Z196*(1-Settings!$G$17)),"")</f>
        <v/>
      </c>
      <c r="AC196" s="149">
        <f>IFERROR(IF(Z196="","",IF(Z196&gt;=C196/(1-SKU_Base!AE196)/(1-Settings!$G$17),"OK",IF(Z196&gt;=C196/(1-SKU_Base!AL196)/(1-Settings!$G$17),"WARN","STOP"))),"")</f>
        <v/>
      </c>
      <c r="AD196" s="159">
        <f>IFERROR(ROUND(D196*(1-CHOOSE(MATCH(IF($E196="","Основний",$E196),{"Трафіковий","Основний","Маржинальний","Сезонний","Стратегічний"},0),Settings!$H$78,Settings!$H$80,Settings!$H$82,Settings!$H$84,Settings!$H$86))*(1-Settings!$H$68)/6,2)*6,"")</f>
        <v/>
      </c>
      <c r="AE196" s="142">
        <f>IFERROR(CHOOSE(MATCH(IF($E196="","Основний",$E196),{"Трафіковий","Основний","Маржинальний","Сезонний","Стратегічний"},0),Settings!$H$78,Settings!$H$80,Settings!$H$82,Settings!$H$84,Settings!$H$86)+(1-(CHOOSE(MATCH(IF($E196="","Основний",$E196),{"Трафіковий","Основний","Маржинальний","Сезонний","Стратегічний"},0),Settings!$H$78,Settings!$H$80,Settings!$H$82,Settings!$H$84,Settings!$H$86)))*Settings!$H$68,"")</f>
        <v/>
      </c>
      <c r="AF196" s="143">
        <f>IFERROR((AD196*(1-Settings!$H$17)-C196)/(AD196*(1-Settings!$H$17)),"")</f>
        <v/>
      </c>
      <c r="AG196" s="150">
        <f>IFERROR(IF(AD196="","",IF(AD196&gt;=C196/(1-SKU_Base!AF196)/(1-Settings!$H$17),"OK",IF(AD196&gt;=C196/(1-SKU_Base!AM196)/(1-Settings!$H$17),"WARN","STOP"))),"")</f>
        <v/>
      </c>
    </row>
    <row r="197" ht="17" customHeight="1" s="179">
      <c r="A197" s="146">
        <f>SKU_Base!B197</f>
        <v/>
      </c>
      <c r="B197" s="146">
        <f>SKU_Base!C197</f>
        <v/>
      </c>
      <c r="C197" s="147">
        <f>IFERROR(SKU_Base!I197,"")</f>
        <v/>
      </c>
      <c r="D197" s="164">
        <f>IFERROR(SKU_Base!T197,"")</f>
        <v/>
      </c>
      <c r="E197" s="141">
        <f>IFERROR(SKU_Base!$U197,"")</f>
        <v/>
      </c>
      <c r="F197" s="160">
        <f>IFERROR(ROUND(D197*(1-CHOOSE(MATCH(IF($E197="","Основний",$E197),{"Трафіковий","Основний","Маржинальний","Сезонний","Стратегічний"},0),Settings!$B$78,Settings!$B$80,Settings!$B$82,Settings!$B$84,Settings!$B$86))/6,2)*6,"")</f>
        <v/>
      </c>
      <c r="G197" s="142">
        <f>IFERROR(CHOOSE(MATCH(IF($E197="","Основний",$E197),{"Трафіковий","Основний","Маржинальний","Сезонний","Стратегічний"},0),Settings!$B$78,Settings!$B$80,Settings!$B$82,Settings!$B$84,Settings!$B$86),"")</f>
        <v/>
      </c>
      <c r="H197" s="148">
        <f>IFERROR((F197*(1-Settings!$B$17)-C197)/(F197*(1-Settings!$B$17)),"")</f>
        <v/>
      </c>
      <c r="I197" s="149">
        <f>IFERROR(IF(F197="","",IF(F197&gt;=C197/(1-SKU_Base!Z197)/(1-Settings!$B$17),"OK",IF(F197&gt;=C197/(1-SKU_Base!AG197)/(1-Settings!$B$17),"WARN","STOP"))),"")</f>
        <v/>
      </c>
      <c r="J197" s="160">
        <f>IFERROR(ROUND(D197*(1-CHOOSE(MATCH(IF($E197="","Основний",$E197),{"Трафіковий","Основний","Маржинальний","Сезонний","Стратегічний"},0),Settings!$C$78,Settings!$C$80,Settings!$C$82,Settings!$C$84,Settings!$C$86))/6,2)*6,"")</f>
        <v/>
      </c>
      <c r="K197" s="142">
        <f>IFERROR(CHOOSE(MATCH(IF($E197="","Основний",$E197),{"Трафіковий","Основний","Маржинальний","Сезонний","Стратегічний"},0),Settings!$C$78,Settings!$C$80,Settings!$C$82,Settings!$C$84,Settings!$C$86),"")</f>
        <v/>
      </c>
      <c r="L197" s="148">
        <f>IFERROR((J197*(1-Settings!$C$17)-C197)/(J197*(1-Settings!$C$17)),"")</f>
        <v/>
      </c>
      <c r="M197" s="149">
        <f>IFERROR(IF(J197="","",IF(J197&gt;=C197/(1-SKU_Base!AA197)/(1-Settings!$C$17),"OK",IF(J197&gt;=C197/(1-SKU_Base!AH197)/(1-Settings!$C$17),"WARN","STOP"))),"")</f>
        <v/>
      </c>
      <c r="N197" s="161">
        <f>IFERROR(ROUND(D197*(1-CHOOSE(MATCH(IF($E197="","Основний",$E197),{"Трафіковий","Основний","Маржинальний","Сезонний","Стратегічний"},0),Settings!$D$78,Settings!$D$80,Settings!$D$82,Settings!$D$84,Settings!$D$86))/6,2)*6,"")</f>
        <v/>
      </c>
      <c r="O197" s="142">
        <f>IFERROR(CHOOSE(MATCH(IF($E197="","Основний",$E197),{"Трафіковий","Основний","Маржинальний","Сезонний","Стратегічний"},0),Settings!$D$78,Settings!$D$80,Settings!$D$82,Settings!$D$84,Settings!$D$86),"")</f>
        <v/>
      </c>
      <c r="P197" s="148">
        <f>IFERROR((N197*(1-Settings!$D$17)-C197)/(N197*(1-Settings!$D$17)),"")</f>
        <v/>
      </c>
      <c r="Q197" s="149">
        <f>IFERROR(IF(N197="","",IF(N197&gt;=C197/(1-SKU_Base!AB197)/(1-Settings!$D$17),"OK",IF(N197&gt;=C197/(1-SKU_Base!AI197)/(1-Settings!$D$17),"WARN","STOP"))),"")</f>
        <v/>
      </c>
      <c r="R197" s="161">
        <f>IFERROR(ROUND(D197*(1-CHOOSE(MATCH(IF($E197="","Основний",$E197),{"Трафіковий","Основний","Маржинальний","Сезонний","Стратегічний"},0),Settings!$E$78,Settings!$E$80,Settings!$E$82,Settings!$E$84,Settings!$E$86))/6,2)*6,"")</f>
        <v/>
      </c>
      <c r="S197" s="142">
        <f>IFERROR(CHOOSE(MATCH(IF($E197="","Основний",$E197),{"Трафіковий","Основний","Маржинальний","Сезонний","Стратегічний"},0),Settings!$E$78,Settings!$E$80,Settings!$E$82,Settings!$E$84,Settings!$E$86),"")</f>
        <v/>
      </c>
      <c r="T197" s="148">
        <f>IFERROR((R197*(1-Settings!$E$17)-C197)/(R197*(1-Settings!$E$17)),"")</f>
        <v/>
      </c>
      <c r="U197" s="149">
        <f>IFERROR(IF(R197="","",IF(R197&gt;=C197/(1-SKU_Base!AC197)/(1-Settings!$E$17),"OK",IF(R197&gt;=C197/(1-SKU_Base!AJ197)/(1-Settings!$E$17),"WARN","STOP"))),"")</f>
        <v/>
      </c>
      <c r="V197" s="161">
        <f>IFERROR(ROUND(D197*(1-CHOOSE(MATCH(IF($E197="","Основний",$E197),{"Трафіковий","Основний","Маржинальний","Сезонний","Стратегічний"},0),Settings!$F$78,Settings!$F$80,Settings!$F$82,Settings!$F$84,Settings!$F$86))/6,2)*6,"")</f>
        <v/>
      </c>
      <c r="W197" s="142">
        <f>IFERROR(CHOOSE(MATCH(IF($E197="","Основний",$E197),{"Трафіковий","Основний","Маржинальний","Сезонний","Стратегічний"},0),Settings!$F$78,Settings!$F$80,Settings!$F$82,Settings!$F$84,Settings!$F$86),"")</f>
        <v/>
      </c>
      <c r="X197" s="148">
        <f>IFERROR((V197*(1-Settings!$F$17)-C197)/(V197*(1-Settings!$F$17)),"")</f>
        <v/>
      </c>
      <c r="Y197" s="149">
        <f>IFERROR(IF(V197="","",IF(V197&gt;=C197/(1-SKU_Base!AD197)/(1-Settings!$F$17),"OK",IF(V197&gt;=C197/(1-SKU_Base!AK197)/(1-Settings!$F$17),"WARN","STOP"))),"")</f>
        <v/>
      </c>
      <c r="Z197" s="161">
        <f>IFERROR(ROUND(D197*(1-CHOOSE(MATCH(IF($E197="","Основний",$E197),{"Трафіковий","Основний","Маржинальний","Сезонний","Стратегічний"},0),Settings!$G$78,Settings!$G$80,Settings!$G$82,Settings!$G$84,Settings!$G$86))/6,2)*6,"")</f>
        <v/>
      </c>
      <c r="AA197" s="142">
        <f>IFERROR(CHOOSE(MATCH(IF($E197="","Основний",$E197),{"Трафіковий","Основний","Маржинальний","Сезонний","Стратегічний"},0),Settings!$G$78,Settings!$G$80,Settings!$G$82,Settings!$G$84,Settings!$G$86),"")</f>
        <v/>
      </c>
      <c r="AB197" s="148">
        <f>IFERROR((Z197*(1-Settings!$G$17)-C197)/(Z197*(1-Settings!$G$17)),"")</f>
        <v/>
      </c>
      <c r="AC197" s="149">
        <f>IFERROR(IF(Z197="","",IF(Z197&gt;=C197/(1-SKU_Base!AE197)/(1-Settings!$G$17),"OK",IF(Z197&gt;=C197/(1-SKU_Base!AL197)/(1-Settings!$G$17),"WARN","STOP"))),"")</f>
        <v/>
      </c>
      <c r="AD197" s="161">
        <f>IFERROR(ROUND(D197*(1-CHOOSE(MATCH(IF($E197="","Основний",$E197),{"Трафіковий","Основний","Маржинальний","Сезонний","Стратегічний"},0),Settings!$H$78,Settings!$H$80,Settings!$H$82,Settings!$H$84,Settings!$H$86))*(1-Settings!$H$68)/6,2)*6,"")</f>
        <v/>
      </c>
      <c r="AE197" s="142">
        <f>IFERROR(CHOOSE(MATCH(IF($E197="","Основний",$E197),{"Трафіковий","Основний","Маржинальний","Сезонний","Стратегічний"},0),Settings!$H$78,Settings!$H$80,Settings!$H$82,Settings!$H$84,Settings!$H$86)+(1-(CHOOSE(MATCH(IF($E197="","Основний",$E197),{"Трафіковий","Основний","Маржинальний","Сезонний","Стратегічний"},0),Settings!$H$78,Settings!$H$80,Settings!$H$82,Settings!$H$84,Settings!$H$86)))*Settings!$H$68,"")</f>
        <v/>
      </c>
      <c r="AF197" s="148">
        <f>IFERROR((AD197*(1-Settings!$H$17)-C197)/(AD197*(1-Settings!$H$17)),"")</f>
        <v/>
      </c>
      <c r="AG197" s="150">
        <f>IFERROR(IF(AD197="","",IF(AD197&gt;=C197/(1-SKU_Base!AF197)/(1-Settings!$H$17),"OK",IF(AD197&gt;=C197/(1-SKU_Base!AM197)/(1-Settings!$H$17),"WARN","STOP"))),"")</f>
        <v/>
      </c>
    </row>
    <row r="198" ht="17" customHeight="1" s="179">
      <c r="A198" s="139">
        <f>SKU_Base!B198</f>
        <v/>
      </c>
      <c r="B198" s="139">
        <f>SKU_Base!C198</f>
        <v/>
      </c>
      <c r="C198" s="140">
        <f>IFERROR(SKU_Base!I198,"")</f>
        <v/>
      </c>
      <c r="D198" s="163">
        <f>IFERROR(SKU_Base!T198,"")</f>
        <v/>
      </c>
      <c r="E198" s="141">
        <f>IFERROR(SKU_Base!$U198,"")</f>
        <v/>
      </c>
      <c r="F198" s="158">
        <f>IFERROR(ROUND(D198*(1-CHOOSE(MATCH(IF($E198="","Основний",$E198),{"Трафіковий","Основний","Маржинальний","Сезонний","Стратегічний"},0),Settings!$B$78,Settings!$B$80,Settings!$B$82,Settings!$B$84,Settings!$B$86))/6,2)*6,"")</f>
        <v/>
      </c>
      <c r="G198" s="142">
        <f>IFERROR(CHOOSE(MATCH(IF($E198="","Основний",$E198),{"Трафіковий","Основний","Маржинальний","Сезонний","Стратегічний"},0),Settings!$B$78,Settings!$B$80,Settings!$B$82,Settings!$B$84,Settings!$B$86),"")</f>
        <v/>
      </c>
      <c r="H198" s="143">
        <f>IFERROR((F198*(1-Settings!$B$17)-C198)/(F198*(1-Settings!$B$17)),"")</f>
        <v/>
      </c>
      <c r="I198" s="149">
        <f>IFERROR(IF(F198="","",IF(F198&gt;=C198/(1-SKU_Base!Z198)/(1-Settings!$B$17),"OK",IF(F198&gt;=C198/(1-SKU_Base!AG198)/(1-Settings!$B$17),"WARN","STOP"))),"")</f>
        <v/>
      </c>
      <c r="J198" s="158">
        <f>IFERROR(ROUND(D198*(1-CHOOSE(MATCH(IF($E198="","Основний",$E198),{"Трафіковий","Основний","Маржинальний","Сезонний","Стратегічний"},0),Settings!$C$78,Settings!$C$80,Settings!$C$82,Settings!$C$84,Settings!$C$86))/6,2)*6,"")</f>
        <v/>
      </c>
      <c r="K198" s="142">
        <f>IFERROR(CHOOSE(MATCH(IF($E198="","Основний",$E198),{"Трафіковий","Основний","Маржинальний","Сезонний","Стратегічний"},0),Settings!$C$78,Settings!$C$80,Settings!$C$82,Settings!$C$84,Settings!$C$86),"")</f>
        <v/>
      </c>
      <c r="L198" s="143">
        <f>IFERROR((J198*(1-Settings!$C$17)-C198)/(J198*(1-Settings!$C$17)),"")</f>
        <v/>
      </c>
      <c r="M198" s="149">
        <f>IFERROR(IF(J198="","",IF(J198&gt;=C198/(1-SKU_Base!AA198)/(1-Settings!$C$17),"OK",IF(J198&gt;=C198/(1-SKU_Base!AH198)/(1-Settings!$C$17),"WARN","STOP"))),"")</f>
        <v/>
      </c>
      <c r="N198" s="159">
        <f>IFERROR(ROUND(D198*(1-CHOOSE(MATCH(IF($E198="","Основний",$E198),{"Трафіковий","Основний","Маржинальний","Сезонний","Стратегічний"},0),Settings!$D$78,Settings!$D$80,Settings!$D$82,Settings!$D$84,Settings!$D$86))/6,2)*6,"")</f>
        <v/>
      </c>
      <c r="O198" s="142">
        <f>IFERROR(CHOOSE(MATCH(IF($E198="","Основний",$E198),{"Трафіковий","Основний","Маржинальний","Сезонний","Стратегічний"},0),Settings!$D$78,Settings!$D$80,Settings!$D$82,Settings!$D$84,Settings!$D$86),"")</f>
        <v/>
      </c>
      <c r="P198" s="143">
        <f>IFERROR((N198*(1-Settings!$D$17)-C198)/(N198*(1-Settings!$D$17)),"")</f>
        <v/>
      </c>
      <c r="Q198" s="149">
        <f>IFERROR(IF(N198="","",IF(N198&gt;=C198/(1-SKU_Base!AB198)/(1-Settings!$D$17),"OK",IF(N198&gt;=C198/(1-SKU_Base!AI198)/(1-Settings!$D$17),"WARN","STOP"))),"")</f>
        <v/>
      </c>
      <c r="R198" s="159">
        <f>IFERROR(ROUND(D198*(1-CHOOSE(MATCH(IF($E198="","Основний",$E198),{"Трафіковий","Основний","Маржинальний","Сезонний","Стратегічний"},0),Settings!$E$78,Settings!$E$80,Settings!$E$82,Settings!$E$84,Settings!$E$86))/6,2)*6,"")</f>
        <v/>
      </c>
      <c r="S198" s="142">
        <f>IFERROR(CHOOSE(MATCH(IF($E198="","Основний",$E198),{"Трафіковий","Основний","Маржинальний","Сезонний","Стратегічний"},0),Settings!$E$78,Settings!$E$80,Settings!$E$82,Settings!$E$84,Settings!$E$86),"")</f>
        <v/>
      </c>
      <c r="T198" s="143">
        <f>IFERROR((R198*(1-Settings!$E$17)-C198)/(R198*(1-Settings!$E$17)),"")</f>
        <v/>
      </c>
      <c r="U198" s="149">
        <f>IFERROR(IF(R198="","",IF(R198&gt;=C198/(1-SKU_Base!AC198)/(1-Settings!$E$17),"OK",IF(R198&gt;=C198/(1-SKU_Base!AJ198)/(1-Settings!$E$17),"WARN","STOP"))),"")</f>
        <v/>
      </c>
      <c r="V198" s="159">
        <f>IFERROR(ROUND(D198*(1-CHOOSE(MATCH(IF($E198="","Основний",$E198),{"Трафіковий","Основний","Маржинальний","Сезонний","Стратегічний"},0),Settings!$F$78,Settings!$F$80,Settings!$F$82,Settings!$F$84,Settings!$F$86))/6,2)*6,"")</f>
        <v/>
      </c>
      <c r="W198" s="142">
        <f>IFERROR(CHOOSE(MATCH(IF($E198="","Основний",$E198),{"Трафіковий","Основний","Маржинальний","Сезонний","Стратегічний"},0),Settings!$F$78,Settings!$F$80,Settings!$F$82,Settings!$F$84,Settings!$F$86),"")</f>
        <v/>
      </c>
      <c r="X198" s="143">
        <f>IFERROR((V198*(1-Settings!$F$17)-C198)/(V198*(1-Settings!$F$17)),"")</f>
        <v/>
      </c>
      <c r="Y198" s="149">
        <f>IFERROR(IF(V198="","",IF(V198&gt;=C198/(1-SKU_Base!AD198)/(1-Settings!$F$17),"OK",IF(V198&gt;=C198/(1-SKU_Base!AK198)/(1-Settings!$F$17),"WARN","STOP"))),"")</f>
        <v/>
      </c>
      <c r="Z198" s="159">
        <f>IFERROR(ROUND(D198*(1-CHOOSE(MATCH(IF($E198="","Основний",$E198),{"Трафіковий","Основний","Маржинальний","Сезонний","Стратегічний"},0),Settings!$G$78,Settings!$G$80,Settings!$G$82,Settings!$G$84,Settings!$G$86))/6,2)*6,"")</f>
        <v/>
      </c>
      <c r="AA198" s="142">
        <f>IFERROR(CHOOSE(MATCH(IF($E198="","Основний",$E198),{"Трафіковий","Основний","Маржинальний","Сезонний","Стратегічний"},0),Settings!$G$78,Settings!$G$80,Settings!$G$82,Settings!$G$84,Settings!$G$86),"")</f>
        <v/>
      </c>
      <c r="AB198" s="143">
        <f>IFERROR((Z198*(1-Settings!$G$17)-C198)/(Z198*(1-Settings!$G$17)),"")</f>
        <v/>
      </c>
      <c r="AC198" s="149">
        <f>IFERROR(IF(Z198="","",IF(Z198&gt;=C198/(1-SKU_Base!AE198)/(1-Settings!$G$17),"OK",IF(Z198&gt;=C198/(1-SKU_Base!AL198)/(1-Settings!$G$17),"WARN","STOP"))),"")</f>
        <v/>
      </c>
      <c r="AD198" s="159">
        <f>IFERROR(ROUND(D198*(1-CHOOSE(MATCH(IF($E198="","Основний",$E198),{"Трафіковий","Основний","Маржинальний","Сезонний","Стратегічний"},0),Settings!$H$78,Settings!$H$80,Settings!$H$82,Settings!$H$84,Settings!$H$86))*(1-Settings!$H$68)/6,2)*6,"")</f>
        <v/>
      </c>
      <c r="AE198" s="142">
        <f>IFERROR(CHOOSE(MATCH(IF($E198="","Основний",$E198),{"Трафіковий","Основний","Маржинальний","Сезонний","Стратегічний"},0),Settings!$H$78,Settings!$H$80,Settings!$H$82,Settings!$H$84,Settings!$H$86)+(1-(CHOOSE(MATCH(IF($E198="","Основний",$E198),{"Трафіковий","Основний","Маржинальний","Сезонний","Стратегічний"},0),Settings!$H$78,Settings!$H$80,Settings!$H$82,Settings!$H$84,Settings!$H$86)))*Settings!$H$68,"")</f>
        <v/>
      </c>
      <c r="AF198" s="143">
        <f>IFERROR((AD198*(1-Settings!$H$17)-C198)/(AD198*(1-Settings!$H$17)),"")</f>
        <v/>
      </c>
      <c r="AG198" s="150">
        <f>IFERROR(IF(AD198="","",IF(AD198&gt;=C198/(1-SKU_Base!AF198)/(1-Settings!$H$17),"OK",IF(AD198&gt;=C198/(1-SKU_Base!AM198)/(1-Settings!$H$17),"WARN","STOP"))),"")</f>
        <v/>
      </c>
    </row>
    <row r="199" ht="17" customHeight="1" s="179">
      <c r="A199" s="146">
        <f>SKU_Base!B199</f>
        <v/>
      </c>
      <c r="B199" s="146">
        <f>SKU_Base!C199</f>
        <v/>
      </c>
      <c r="C199" s="147">
        <f>IFERROR(SKU_Base!I199,"")</f>
        <v/>
      </c>
      <c r="D199" s="164">
        <f>IFERROR(SKU_Base!T199,"")</f>
        <v/>
      </c>
      <c r="E199" s="141">
        <f>IFERROR(SKU_Base!$U199,"")</f>
        <v/>
      </c>
      <c r="F199" s="160">
        <f>IFERROR(ROUND(D199*(1-CHOOSE(MATCH(IF($E199="","Основний",$E199),{"Трафіковий","Основний","Маржинальний","Сезонний","Стратегічний"},0),Settings!$B$78,Settings!$B$80,Settings!$B$82,Settings!$B$84,Settings!$B$86))/6,2)*6,"")</f>
        <v/>
      </c>
      <c r="G199" s="142">
        <f>IFERROR(CHOOSE(MATCH(IF($E199="","Основний",$E199),{"Трафіковий","Основний","Маржинальний","Сезонний","Стратегічний"},0),Settings!$B$78,Settings!$B$80,Settings!$B$82,Settings!$B$84,Settings!$B$86),"")</f>
        <v/>
      </c>
      <c r="H199" s="148">
        <f>IFERROR((F199*(1-Settings!$B$17)-C199)/(F199*(1-Settings!$B$17)),"")</f>
        <v/>
      </c>
      <c r="I199" s="149">
        <f>IFERROR(IF(F199="","",IF(F199&gt;=C199/(1-SKU_Base!Z199)/(1-Settings!$B$17),"OK",IF(F199&gt;=C199/(1-SKU_Base!AG199)/(1-Settings!$B$17),"WARN","STOP"))),"")</f>
        <v/>
      </c>
      <c r="J199" s="160">
        <f>IFERROR(ROUND(D199*(1-CHOOSE(MATCH(IF($E199="","Основний",$E199),{"Трафіковий","Основний","Маржинальний","Сезонний","Стратегічний"},0),Settings!$C$78,Settings!$C$80,Settings!$C$82,Settings!$C$84,Settings!$C$86))/6,2)*6,"")</f>
        <v/>
      </c>
      <c r="K199" s="142">
        <f>IFERROR(CHOOSE(MATCH(IF($E199="","Основний",$E199),{"Трафіковий","Основний","Маржинальний","Сезонний","Стратегічний"},0),Settings!$C$78,Settings!$C$80,Settings!$C$82,Settings!$C$84,Settings!$C$86),"")</f>
        <v/>
      </c>
      <c r="L199" s="148">
        <f>IFERROR((J199*(1-Settings!$C$17)-C199)/(J199*(1-Settings!$C$17)),"")</f>
        <v/>
      </c>
      <c r="M199" s="149">
        <f>IFERROR(IF(J199="","",IF(J199&gt;=C199/(1-SKU_Base!AA199)/(1-Settings!$C$17),"OK",IF(J199&gt;=C199/(1-SKU_Base!AH199)/(1-Settings!$C$17),"WARN","STOP"))),"")</f>
        <v/>
      </c>
      <c r="N199" s="161">
        <f>IFERROR(ROUND(D199*(1-CHOOSE(MATCH(IF($E199="","Основний",$E199),{"Трафіковий","Основний","Маржинальний","Сезонний","Стратегічний"},0),Settings!$D$78,Settings!$D$80,Settings!$D$82,Settings!$D$84,Settings!$D$86))/6,2)*6,"")</f>
        <v/>
      </c>
      <c r="O199" s="142">
        <f>IFERROR(CHOOSE(MATCH(IF($E199="","Основний",$E199),{"Трафіковий","Основний","Маржинальний","Сезонний","Стратегічний"},0),Settings!$D$78,Settings!$D$80,Settings!$D$82,Settings!$D$84,Settings!$D$86),"")</f>
        <v/>
      </c>
      <c r="P199" s="148">
        <f>IFERROR((N199*(1-Settings!$D$17)-C199)/(N199*(1-Settings!$D$17)),"")</f>
        <v/>
      </c>
      <c r="Q199" s="149">
        <f>IFERROR(IF(N199="","",IF(N199&gt;=C199/(1-SKU_Base!AB199)/(1-Settings!$D$17),"OK",IF(N199&gt;=C199/(1-SKU_Base!AI199)/(1-Settings!$D$17),"WARN","STOP"))),"")</f>
        <v/>
      </c>
      <c r="R199" s="161">
        <f>IFERROR(ROUND(D199*(1-CHOOSE(MATCH(IF($E199="","Основний",$E199),{"Трафіковий","Основний","Маржинальний","Сезонний","Стратегічний"},0),Settings!$E$78,Settings!$E$80,Settings!$E$82,Settings!$E$84,Settings!$E$86))/6,2)*6,"")</f>
        <v/>
      </c>
      <c r="S199" s="142">
        <f>IFERROR(CHOOSE(MATCH(IF($E199="","Основний",$E199),{"Трафіковий","Основний","Маржинальний","Сезонний","Стратегічний"},0),Settings!$E$78,Settings!$E$80,Settings!$E$82,Settings!$E$84,Settings!$E$86),"")</f>
        <v/>
      </c>
      <c r="T199" s="148">
        <f>IFERROR((R199*(1-Settings!$E$17)-C199)/(R199*(1-Settings!$E$17)),"")</f>
        <v/>
      </c>
      <c r="U199" s="149">
        <f>IFERROR(IF(R199="","",IF(R199&gt;=C199/(1-SKU_Base!AC199)/(1-Settings!$E$17),"OK",IF(R199&gt;=C199/(1-SKU_Base!AJ199)/(1-Settings!$E$17),"WARN","STOP"))),"")</f>
        <v/>
      </c>
      <c r="V199" s="161">
        <f>IFERROR(ROUND(D199*(1-CHOOSE(MATCH(IF($E199="","Основний",$E199),{"Трафіковий","Основний","Маржинальний","Сезонний","Стратегічний"},0),Settings!$F$78,Settings!$F$80,Settings!$F$82,Settings!$F$84,Settings!$F$86))/6,2)*6,"")</f>
        <v/>
      </c>
      <c r="W199" s="142">
        <f>IFERROR(CHOOSE(MATCH(IF($E199="","Основний",$E199),{"Трафіковий","Основний","Маржинальний","Сезонний","Стратегічний"},0),Settings!$F$78,Settings!$F$80,Settings!$F$82,Settings!$F$84,Settings!$F$86),"")</f>
        <v/>
      </c>
      <c r="X199" s="148">
        <f>IFERROR((V199*(1-Settings!$F$17)-C199)/(V199*(1-Settings!$F$17)),"")</f>
        <v/>
      </c>
      <c r="Y199" s="149">
        <f>IFERROR(IF(V199="","",IF(V199&gt;=C199/(1-SKU_Base!AD199)/(1-Settings!$F$17),"OK",IF(V199&gt;=C199/(1-SKU_Base!AK199)/(1-Settings!$F$17),"WARN","STOP"))),"")</f>
        <v/>
      </c>
      <c r="Z199" s="161">
        <f>IFERROR(ROUND(D199*(1-CHOOSE(MATCH(IF($E199="","Основний",$E199),{"Трафіковий","Основний","Маржинальний","Сезонний","Стратегічний"},0),Settings!$G$78,Settings!$G$80,Settings!$G$82,Settings!$G$84,Settings!$G$86))/6,2)*6,"")</f>
        <v/>
      </c>
      <c r="AA199" s="142">
        <f>IFERROR(CHOOSE(MATCH(IF($E199="","Основний",$E199),{"Трафіковий","Основний","Маржинальний","Сезонний","Стратегічний"},0),Settings!$G$78,Settings!$G$80,Settings!$G$82,Settings!$G$84,Settings!$G$86),"")</f>
        <v/>
      </c>
      <c r="AB199" s="148">
        <f>IFERROR((Z199*(1-Settings!$G$17)-C199)/(Z199*(1-Settings!$G$17)),"")</f>
        <v/>
      </c>
      <c r="AC199" s="149">
        <f>IFERROR(IF(Z199="","",IF(Z199&gt;=C199/(1-SKU_Base!AE199)/(1-Settings!$G$17),"OK",IF(Z199&gt;=C199/(1-SKU_Base!AL199)/(1-Settings!$G$17),"WARN","STOP"))),"")</f>
        <v/>
      </c>
      <c r="AD199" s="161">
        <f>IFERROR(ROUND(D199*(1-CHOOSE(MATCH(IF($E199="","Основний",$E199),{"Трафіковий","Основний","Маржинальний","Сезонний","Стратегічний"},0),Settings!$H$78,Settings!$H$80,Settings!$H$82,Settings!$H$84,Settings!$H$86))*(1-Settings!$H$68)/6,2)*6,"")</f>
        <v/>
      </c>
      <c r="AE199" s="142">
        <f>IFERROR(CHOOSE(MATCH(IF($E199="","Основний",$E199),{"Трафіковий","Основний","Маржинальний","Сезонний","Стратегічний"},0),Settings!$H$78,Settings!$H$80,Settings!$H$82,Settings!$H$84,Settings!$H$86)+(1-(CHOOSE(MATCH(IF($E199="","Основний",$E199),{"Трафіковий","Основний","Маржинальний","Сезонний","Стратегічний"},0),Settings!$H$78,Settings!$H$80,Settings!$H$82,Settings!$H$84,Settings!$H$86)))*Settings!$H$68,"")</f>
        <v/>
      </c>
      <c r="AF199" s="148">
        <f>IFERROR((AD199*(1-Settings!$H$17)-C199)/(AD199*(1-Settings!$H$17)),"")</f>
        <v/>
      </c>
      <c r="AG199" s="150">
        <f>IFERROR(IF(AD199="","",IF(AD199&gt;=C199/(1-SKU_Base!AF199)/(1-Settings!$H$17),"OK",IF(AD199&gt;=C199/(1-SKU_Base!AM199)/(1-Settings!$H$17),"WARN","STOP"))),"")</f>
        <v/>
      </c>
    </row>
    <row r="200" ht="17" customHeight="1" s="179">
      <c r="A200" s="139">
        <f>SKU_Base!B200</f>
        <v/>
      </c>
      <c r="B200" s="139">
        <f>SKU_Base!C200</f>
        <v/>
      </c>
      <c r="C200" s="140">
        <f>IFERROR(SKU_Base!I200,"")</f>
        <v/>
      </c>
      <c r="D200" s="163">
        <f>IFERROR(SKU_Base!T200,"")</f>
        <v/>
      </c>
      <c r="E200" s="141">
        <f>IFERROR(SKU_Base!$U200,"")</f>
        <v/>
      </c>
      <c r="F200" s="158">
        <f>IFERROR(ROUND(D200*(1-CHOOSE(MATCH(IF($E200="","Основний",$E200),{"Трафіковий","Основний","Маржинальний","Сезонний","Стратегічний"},0),Settings!$B$78,Settings!$B$80,Settings!$B$82,Settings!$B$84,Settings!$B$86))/6,2)*6,"")</f>
        <v/>
      </c>
      <c r="G200" s="142">
        <f>IFERROR(CHOOSE(MATCH(IF($E200="","Основний",$E200),{"Трафіковий","Основний","Маржинальний","Сезонний","Стратегічний"},0),Settings!$B$78,Settings!$B$80,Settings!$B$82,Settings!$B$84,Settings!$B$86),"")</f>
        <v/>
      </c>
      <c r="H200" s="143">
        <f>IFERROR((F200*(1-Settings!$B$17)-C200)/(F200*(1-Settings!$B$17)),"")</f>
        <v/>
      </c>
      <c r="I200" s="149">
        <f>IFERROR(IF(F200="","",IF(F200&gt;=C200/(1-SKU_Base!Z200)/(1-Settings!$B$17),"OK",IF(F200&gt;=C200/(1-SKU_Base!AG200)/(1-Settings!$B$17),"WARN","STOP"))),"")</f>
        <v/>
      </c>
      <c r="J200" s="158">
        <f>IFERROR(ROUND(D200*(1-CHOOSE(MATCH(IF($E200="","Основний",$E200),{"Трафіковий","Основний","Маржинальний","Сезонний","Стратегічний"},0),Settings!$C$78,Settings!$C$80,Settings!$C$82,Settings!$C$84,Settings!$C$86))/6,2)*6,"")</f>
        <v/>
      </c>
      <c r="K200" s="142">
        <f>IFERROR(CHOOSE(MATCH(IF($E200="","Основний",$E200),{"Трафіковий","Основний","Маржинальний","Сезонний","Стратегічний"},0),Settings!$C$78,Settings!$C$80,Settings!$C$82,Settings!$C$84,Settings!$C$86),"")</f>
        <v/>
      </c>
      <c r="L200" s="143">
        <f>IFERROR((J200*(1-Settings!$C$17)-C200)/(J200*(1-Settings!$C$17)),"")</f>
        <v/>
      </c>
      <c r="M200" s="149">
        <f>IFERROR(IF(J200="","",IF(J200&gt;=C200/(1-SKU_Base!AA200)/(1-Settings!$C$17),"OK",IF(J200&gt;=C200/(1-SKU_Base!AH200)/(1-Settings!$C$17),"WARN","STOP"))),"")</f>
        <v/>
      </c>
      <c r="N200" s="159">
        <f>IFERROR(ROUND(D200*(1-CHOOSE(MATCH(IF($E200="","Основний",$E200),{"Трафіковий","Основний","Маржинальний","Сезонний","Стратегічний"},0),Settings!$D$78,Settings!$D$80,Settings!$D$82,Settings!$D$84,Settings!$D$86))/6,2)*6,"")</f>
        <v/>
      </c>
      <c r="O200" s="142">
        <f>IFERROR(CHOOSE(MATCH(IF($E200="","Основний",$E200),{"Трафіковий","Основний","Маржинальний","Сезонний","Стратегічний"},0),Settings!$D$78,Settings!$D$80,Settings!$D$82,Settings!$D$84,Settings!$D$86),"")</f>
        <v/>
      </c>
      <c r="P200" s="143">
        <f>IFERROR((N200*(1-Settings!$D$17)-C200)/(N200*(1-Settings!$D$17)),"")</f>
        <v/>
      </c>
      <c r="Q200" s="149">
        <f>IFERROR(IF(N200="","",IF(N200&gt;=C200/(1-SKU_Base!AB200)/(1-Settings!$D$17),"OK",IF(N200&gt;=C200/(1-SKU_Base!AI200)/(1-Settings!$D$17),"WARN","STOP"))),"")</f>
        <v/>
      </c>
      <c r="R200" s="159">
        <f>IFERROR(ROUND(D200*(1-CHOOSE(MATCH(IF($E200="","Основний",$E200),{"Трафіковий","Основний","Маржинальний","Сезонний","Стратегічний"},0),Settings!$E$78,Settings!$E$80,Settings!$E$82,Settings!$E$84,Settings!$E$86))/6,2)*6,"")</f>
        <v/>
      </c>
      <c r="S200" s="142">
        <f>IFERROR(CHOOSE(MATCH(IF($E200="","Основний",$E200),{"Трафіковий","Основний","Маржинальний","Сезонний","Стратегічний"},0),Settings!$E$78,Settings!$E$80,Settings!$E$82,Settings!$E$84,Settings!$E$86),"")</f>
        <v/>
      </c>
      <c r="T200" s="143">
        <f>IFERROR((R200*(1-Settings!$E$17)-C200)/(R200*(1-Settings!$E$17)),"")</f>
        <v/>
      </c>
      <c r="U200" s="149">
        <f>IFERROR(IF(R200="","",IF(R200&gt;=C200/(1-SKU_Base!AC200)/(1-Settings!$E$17),"OK",IF(R200&gt;=C200/(1-SKU_Base!AJ200)/(1-Settings!$E$17),"WARN","STOP"))),"")</f>
        <v/>
      </c>
      <c r="V200" s="159">
        <f>IFERROR(ROUND(D200*(1-CHOOSE(MATCH(IF($E200="","Основний",$E200),{"Трафіковий","Основний","Маржинальний","Сезонний","Стратегічний"},0),Settings!$F$78,Settings!$F$80,Settings!$F$82,Settings!$F$84,Settings!$F$86))/6,2)*6,"")</f>
        <v/>
      </c>
      <c r="W200" s="142">
        <f>IFERROR(CHOOSE(MATCH(IF($E200="","Основний",$E200),{"Трафіковий","Основний","Маржинальний","Сезонний","Стратегічний"},0),Settings!$F$78,Settings!$F$80,Settings!$F$82,Settings!$F$84,Settings!$F$86),"")</f>
        <v/>
      </c>
      <c r="X200" s="143">
        <f>IFERROR((V200*(1-Settings!$F$17)-C200)/(V200*(1-Settings!$F$17)),"")</f>
        <v/>
      </c>
      <c r="Y200" s="149">
        <f>IFERROR(IF(V200="","",IF(V200&gt;=C200/(1-SKU_Base!AD200)/(1-Settings!$F$17),"OK",IF(V200&gt;=C200/(1-SKU_Base!AK200)/(1-Settings!$F$17),"WARN","STOP"))),"")</f>
        <v/>
      </c>
      <c r="Z200" s="159">
        <f>IFERROR(ROUND(D200*(1-CHOOSE(MATCH(IF($E200="","Основний",$E200),{"Трафіковий","Основний","Маржинальний","Сезонний","Стратегічний"},0),Settings!$G$78,Settings!$G$80,Settings!$G$82,Settings!$G$84,Settings!$G$86))/6,2)*6,"")</f>
        <v/>
      </c>
      <c r="AA200" s="142">
        <f>IFERROR(CHOOSE(MATCH(IF($E200="","Основний",$E200),{"Трафіковий","Основний","Маржинальний","Сезонний","Стратегічний"},0),Settings!$G$78,Settings!$G$80,Settings!$G$82,Settings!$G$84,Settings!$G$86),"")</f>
        <v/>
      </c>
      <c r="AB200" s="143">
        <f>IFERROR((Z200*(1-Settings!$G$17)-C200)/(Z200*(1-Settings!$G$17)),"")</f>
        <v/>
      </c>
      <c r="AC200" s="149">
        <f>IFERROR(IF(Z200="","",IF(Z200&gt;=C200/(1-SKU_Base!AE200)/(1-Settings!$G$17),"OK",IF(Z200&gt;=C200/(1-SKU_Base!AL200)/(1-Settings!$G$17),"WARN","STOP"))),"")</f>
        <v/>
      </c>
      <c r="AD200" s="159">
        <f>IFERROR(ROUND(D200*(1-CHOOSE(MATCH(IF($E200="","Основний",$E200),{"Трафіковий","Основний","Маржинальний","Сезонний","Стратегічний"},0),Settings!$H$78,Settings!$H$80,Settings!$H$82,Settings!$H$84,Settings!$H$86))*(1-Settings!$H$68)/6,2)*6,"")</f>
        <v/>
      </c>
      <c r="AE200" s="142">
        <f>IFERROR(CHOOSE(MATCH(IF($E200="","Основний",$E200),{"Трафіковий","Основний","Маржинальний","Сезонний","Стратегічний"},0),Settings!$H$78,Settings!$H$80,Settings!$H$82,Settings!$H$84,Settings!$H$86)+(1-(CHOOSE(MATCH(IF($E200="","Основний",$E200),{"Трафіковий","Основний","Маржинальний","Сезонний","Стратегічний"},0),Settings!$H$78,Settings!$H$80,Settings!$H$82,Settings!$H$84,Settings!$H$86)))*Settings!$H$68,"")</f>
        <v/>
      </c>
      <c r="AF200" s="143">
        <f>IFERROR((AD200*(1-Settings!$H$17)-C200)/(AD200*(1-Settings!$H$17)),"")</f>
        <v/>
      </c>
      <c r="AG200" s="150">
        <f>IFERROR(IF(AD200="","",IF(AD200&gt;=C200/(1-SKU_Base!AF200)/(1-Settings!$H$17),"OK",IF(AD200&gt;=C200/(1-SKU_Base!AM200)/(1-Settings!$H$17),"WARN","STOP"))),"")</f>
        <v/>
      </c>
    </row>
    <row r="201" ht="17" customHeight="1" s="179">
      <c r="A201" s="146">
        <f>SKU_Base!B201</f>
        <v/>
      </c>
      <c r="B201" s="146">
        <f>SKU_Base!C201</f>
        <v/>
      </c>
      <c r="C201" s="147">
        <f>IFERROR(SKU_Base!I201,"")</f>
        <v/>
      </c>
      <c r="D201" s="164">
        <f>IFERROR(SKU_Base!T201,"")</f>
        <v/>
      </c>
      <c r="E201" s="141">
        <f>IFERROR(SKU_Base!$U201,"")</f>
        <v/>
      </c>
      <c r="F201" s="160">
        <f>IFERROR(ROUND(D201*(1-CHOOSE(MATCH(IF($E201="","Основний",$E201),{"Трафіковий","Основний","Маржинальний","Сезонний","Стратегічний"},0),Settings!$B$78,Settings!$B$80,Settings!$B$82,Settings!$B$84,Settings!$B$86))/6,2)*6,"")</f>
        <v/>
      </c>
      <c r="G201" s="142">
        <f>IFERROR(CHOOSE(MATCH(IF($E201="","Основний",$E201),{"Трафіковий","Основний","Маржинальний","Сезонний","Стратегічний"},0),Settings!$B$78,Settings!$B$80,Settings!$B$82,Settings!$B$84,Settings!$B$86),"")</f>
        <v/>
      </c>
      <c r="H201" s="148">
        <f>IFERROR((F201*(1-Settings!$B$17)-C201)/(F201*(1-Settings!$B$17)),"")</f>
        <v/>
      </c>
      <c r="I201" s="150">
        <f>IFERROR(IF(F201="","",IF(F201&gt;=C201/(1-SKU_Base!Z201)/(1-Settings!$B$17),"OK",IF(F201&gt;=C201/(1-SKU_Base!AG201)/(1-Settings!$B$17),"WARN","STOP"))),"")</f>
        <v/>
      </c>
      <c r="J201" s="160">
        <f>IFERROR(ROUND(D201*(1-CHOOSE(MATCH(IF($E201="","Основний",$E201),{"Трафіковий","Основний","Маржинальний","Сезонний","Стратегічний"},0),Settings!$C$78,Settings!$C$80,Settings!$C$82,Settings!$C$84,Settings!$C$86))/6,2)*6,"")</f>
        <v/>
      </c>
      <c r="K201" s="142">
        <f>IFERROR(CHOOSE(MATCH(IF($E201="","Основний",$E201),{"Трафіковий","Основний","Маржинальний","Сезонний","Стратегічний"},0),Settings!$C$78,Settings!$C$80,Settings!$C$82,Settings!$C$84,Settings!$C$86),"")</f>
        <v/>
      </c>
      <c r="L201" s="148">
        <f>IFERROR((J201*(1-Settings!$C$17)-C201)/(J201*(1-Settings!$C$17)),"")</f>
        <v/>
      </c>
      <c r="M201" s="149">
        <f>IFERROR(IF(J201="","",IF(J201&gt;=C201/(1-SKU_Base!AA201)/(1-Settings!$C$17),"OK",IF(J201&gt;=C201/(1-SKU_Base!AH201)/(1-Settings!$C$17),"WARN","STOP"))),"")</f>
        <v/>
      </c>
      <c r="N201" s="161">
        <f>IFERROR(ROUND(D201*(1-CHOOSE(MATCH(IF($E201="","Основний",$E201),{"Трафіковий","Основний","Маржинальний","Сезонний","Стратегічний"},0),Settings!$D$78,Settings!$D$80,Settings!$D$82,Settings!$D$84,Settings!$D$86))/6,2)*6,"")</f>
        <v/>
      </c>
      <c r="O201" s="142">
        <f>IFERROR(CHOOSE(MATCH(IF($E201="","Основний",$E201),{"Трафіковий","Основний","Маржинальний","Сезонний","Стратегічний"},0),Settings!$D$78,Settings!$D$80,Settings!$D$82,Settings!$D$84,Settings!$D$86),"")</f>
        <v/>
      </c>
      <c r="P201" s="148">
        <f>IFERROR((N201*(1-Settings!$D$17)-C201)/(N201*(1-Settings!$D$17)),"")</f>
        <v/>
      </c>
      <c r="Q201" s="149">
        <f>IFERROR(IF(N201="","",IF(N201&gt;=C201/(1-SKU_Base!AB201)/(1-Settings!$D$17),"OK",IF(N201&gt;=C201/(1-SKU_Base!AI201)/(1-Settings!$D$17),"WARN","STOP"))),"")</f>
        <v/>
      </c>
      <c r="R201" s="161">
        <f>IFERROR(ROUND(D201*(1-CHOOSE(MATCH(IF($E201="","Основний",$E201),{"Трафіковий","Основний","Маржинальний","Сезонний","Стратегічний"},0),Settings!$E$78,Settings!$E$80,Settings!$E$82,Settings!$E$84,Settings!$E$86))/6,2)*6,"")</f>
        <v/>
      </c>
      <c r="S201" s="142">
        <f>IFERROR(CHOOSE(MATCH(IF($E201="","Основний",$E201),{"Трафіковий","Основний","Маржинальний","Сезонний","Стратегічний"},0),Settings!$E$78,Settings!$E$80,Settings!$E$82,Settings!$E$84,Settings!$E$86),"")</f>
        <v/>
      </c>
      <c r="T201" s="148">
        <f>IFERROR((R201*(1-Settings!$E$17)-C201)/(R201*(1-Settings!$E$17)),"")</f>
        <v/>
      </c>
      <c r="U201" s="149">
        <f>IFERROR(IF(R201="","",IF(R201&gt;=C201/(1-SKU_Base!AC201)/(1-Settings!$E$17),"OK",IF(R201&gt;=C201/(1-SKU_Base!AJ201)/(1-Settings!$E$17),"WARN","STOP"))),"")</f>
        <v/>
      </c>
      <c r="V201" s="161">
        <f>IFERROR(ROUND(D201*(1-CHOOSE(MATCH(IF($E201="","Основний",$E201),{"Трафіковий","Основний","Маржинальний","Сезонний","Стратегічний"},0),Settings!$F$78,Settings!$F$80,Settings!$F$82,Settings!$F$84,Settings!$F$86))/6,2)*6,"")</f>
        <v/>
      </c>
      <c r="W201" s="142">
        <f>IFERROR(CHOOSE(MATCH(IF($E201="","Основний",$E201),{"Трафіковий","Основний","Маржинальний","Сезонний","Стратегічний"},0),Settings!$F$78,Settings!$F$80,Settings!$F$82,Settings!$F$84,Settings!$F$86),"")</f>
        <v/>
      </c>
      <c r="X201" s="148">
        <f>IFERROR((V201*(1-Settings!$F$17)-C201)/(V201*(1-Settings!$F$17)),"")</f>
        <v/>
      </c>
      <c r="Y201" s="149">
        <f>IFERROR(IF(V201="","",IF(V201&gt;=C201/(1-SKU_Base!AD201)/(1-Settings!$F$17),"OK",IF(V201&gt;=C201/(1-SKU_Base!AK201)/(1-Settings!$F$17),"WARN","STOP"))),"")</f>
        <v/>
      </c>
      <c r="Z201" s="161">
        <f>IFERROR(ROUND(D201*(1-CHOOSE(MATCH(IF($E201="","Основний",$E201),{"Трафіковий","Основний","Маржинальний","Сезонний","Стратегічний"},0),Settings!$G$78,Settings!$G$80,Settings!$G$82,Settings!$G$84,Settings!$G$86))/6,2)*6,"")</f>
        <v/>
      </c>
      <c r="AA201" s="142">
        <f>IFERROR(CHOOSE(MATCH(IF($E201="","Основний",$E201),{"Трафіковий","Основний","Маржинальний","Сезонний","Стратегічний"},0),Settings!$G$78,Settings!$G$80,Settings!$G$82,Settings!$G$84,Settings!$G$86),"")</f>
        <v/>
      </c>
      <c r="AB201" s="148">
        <f>IFERROR((Z201*(1-Settings!$G$17)-C201)/(Z201*(1-Settings!$G$17)),"")</f>
        <v/>
      </c>
      <c r="AC201" s="149">
        <f>IFERROR(IF(Z201="","",IF(Z201&gt;=C201/(1-SKU_Base!AE201)/(1-Settings!$G$17),"OK",IF(Z201&gt;=C201/(1-SKU_Base!AL201)/(1-Settings!$G$17),"WARN","STOP"))),"")</f>
        <v/>
      </c>
      <c r="AD201" s="161">
        <f>IFERROR(ROUND(D201*(1-CHOOSE(MATCH(IF($E201="","Основний",$E201),{"Трафіковий","Основний","Маржинальний","Сезонний","Стратегічний"},0),Settings!$H$78,Settings!$H$80,Settings!$H$82,Settings!$H$84,Settings!$H$86))*(1-Settings!$H$68)/6,2)*6,"")</f>
        <v/>
      </c>
      <c r="AE201" s="142">
        <f>IFERROR(CHOOSE(MATCH(IF($E201="","Основний",$E201),{"Трафіковий","Основний","Маржинальний","Сезонний","Стратегічний"},0),Settings!$H$78,Settings!$H$80,Settings!$H$82,Settings!$H$84,Settings!$H$86)+(1-(CHOOSE(MATCH(IF($E201="","Основний",$E201),{"Трафіковий","Основний","Маржинальний","Сезонний","Стратегічний"},0),Settings!$H$78,Settings!$H$80,Settings!$H$82,Settings!$H$84,Settings!$H$86)))*Settings!$H$68,"")</f>
        <v/>
      </c>
      <c r="AF201" s="148">
        <f>IFERROR((AD201*(1-Settings!$H$17)-C201)/(AD201*(1-Settings!$H$17)),"")</f>
        <v/>
      </c>
      <c r="AG201" s="150">
        <f>IFERROR(IF(AD201="","",IF(AD201&gt;=C201/(1-SKU_Base!AF201)/(1-Settings!$H$17),"OK",IF(AD201&gt;=C201/(1-SKU_Base!AM201)/(1-Settings!$H$17),"WARN","STOP"))),"")</f>
        <v/>
      </c>
    </row>
    <row r="202" ht="17" customHeight="1" s="179">
      <c r="A202" s="139">
        <f>SKU_Base!B202</f>
        <v/>
      </c>
      <c r="B202" s="139">
        <f>SKU_Base!C202</f>
        <v/>
      </c>
      <c r="C202" s="140">
        <f>IFERROR(SKU_Base!I202,"")</f>
        <v/>
      </c>
      <c r="D202" s="163">
        <f>IFERROR(SKU_Base!T202,"")</f>
        <v/>
      </c>
      <c r="E202" s="141">
        <f>IFERROR(SKU_Base!$U202,"")</f>
        <v/>
      </c>
      <c r="F202" s="158">
        <f>IFERROR(ROUND(D202*(1-CHOOSE(MATCH(IF($E202="","Основний",$E202),{"Трафіковий","Основний","Маржинальний","Сезонний","Стратегічний"},0),Settings!$B$78,Settings!$B$80,Settings!$B$82,Settings!$B$84,Settings!$B$86))/6,2)*6,"")</f>
        <v/>
      </c>
      <c r="G202" s="142">
        <f>IFERROR(CHOOSE(MATCH(IF($E202="","Основний",$E202),{"Трафіковий","Основний","Маржинальний","Сезонний","Стратегічний"},0),Settings!$B$78,Settings!$B$80,Settings!$B$82,Settings!$B$84,Settings!$B$86),"")</f>
        <v/>
      </c>
      <c r="H202" s="143">
        <f>IFERROR((F202*(1-Settings!$B$17)-C202)/(F202*(1-Settings!$B$17)),"")</f>
        <v/>
      </c>
      <c r="I202" s="149">
        <f>IFERROR(IF(F202="","",IF(F202&gt;=C202/(1-SKU_Base!Z202)/(1-Settings!$B$17),"OK",IF(F202&gt;=C202/(1-SKU_Base!AG202)/(1-Settings!$B$17),"WARN","STOP"))),"")</f>
        <v/>
      </c>
      <c r="J202" s="158">
        <f>IFERROR(ROUND(D202*(1-CHOOSE(MATCH(IF($E202="","Основний",$E202),{"Трафіковий","Основний","Маржинальний","Сезонний","Стратегічний"},0),Settings!$C$78,Settings!$C$80,Settings!$C$82,Settings!$C$84,Settings!$C$86))/6,2)*6,"")</f>
        <v/>
      </c>
      <c r="K202" s="142">
        <f>IFERROR(CHOOSE(MATCH(IF($E202="","Основний",$E202),{"Трафіковий","Основний","Маржинальний","Сезонний","Стратегічний"},0),Settings!$C$78,Settings!$C$80,Settings!$C$82,Settings!$C$84,Settings!$C$86),"")</f>
        <v/>
      </c>
      <c r="L202" s="143">
        <f>IFERROR((J202*(1-Settings!$C$17)-C202)/(J202*(1-Settings!$C$17)),"")</f>
        <v/>
      </c>
      <c r="M202" s="149">
        <f>IFERROR(IF(J202="","",IF(J202&gt;=C202/(1-SKU_Base!AA202)/(1-Settings!$C$17),"OK",IF(J202&gt;=C202/(1-SKU_Base!AH202)/(1-Settings!$C$17),"WARN","STOP"))),"")</f>
        <v/>
      </c>
      <c r="N202" s="159">
        <f>IFERROR(ROUND(D202*(1-CHOOSE(MATCH(IF($E202="","Основний",$E202),{"Трафіковий","Основний","Маржинальний","Сезонний","Стратегічний"},0),Settings!$D$78,Settings!$D$80,Settings!$D$82,Settings!$D$84,Settings!$D$86))/6,2)*6,"")</f>
        <v/>
      </c>
      <c r="O202" s="142">
        <f>IFERROR(CHOOSE(MATCH(IF($E202="","Основний",$E202),{"Трафіковий","Основний","Маржинальний","Сезонний","Стратегічний"},0),Settings!$D$78,Settings!$D$80,Settings!$D$82,Settings!$D$84,Settings!$D$86),"")</f>
        <v/>
      </c>
      <c r="P202" s="143">
        <f>IFERROR((N202*(1-Settings!$D$17)-C202)/(N202*(1-Settings!$D$17)),"")</f>
        <v/>
      </c>
      <c r="Q202" s="149">
        <f>IFERROR(IF(N202="","",IF(N202&gt;=C202/(1-SKU_Base!AB202)/(1-Settings!$D$17),"OK",IF(N202&gt;=C202/(1-SKU_Base!AI202)/(1-Settings!$D$17),"WARN","STOP"))),"")</f>
        <v/>
      </c>
      <c r="R202" s="159">
        <f>IFERROR(ROUND(D202*(1-CHOOSE(MATCH(IF($E202="","Основний",$E202),{"Трафіковий","Основний","Маржинальний","Сезонний","Стратегічний"},0),Settings!$E$78,Settings!$E$80,Settings!$E$82,Settings!$E$84,Settings!$E$86))/6,2)*6,"")</f>
        <v/>
      </c>
      <c r="S202" s="142">
        <f>IFERROR(CHOOSE(MATCH(IF($E202="","Основний",$E202),{"Трафіковий","Основний","Маржинальний","Сезонний","Стратегічний"},0),Settings!$E$78,Settings!$E$80,Settings!$E$82,Settings!$E$84,Settings!$E$86),"")</f>
        <v/>
      </c>
      <c r="T202" s="143">
        <f>IFERROR((R202*(1-Settings!$E$17)-C202)/(R202*(1-Settings!$E$17)),"")</f>
        <v/>
      </c>
      <c r="U202" s="149">
        <f>IFERROR(IF(R202="","",IF(R202&gt;=C202/(1-SKU_Base!AC202)/(1-Settings!$E$17),"OK",IF(R202&gt;=C202/(1-SKU_Base!AJ202)/(1-Settings!$E$17),"WARN","STOP"))),"")</f>
        <v/>
      </c>
      <c r="V202" s="159">
        <f>IFERROR(ROUND(D202*(1-CHOOSE(MATCH(IF($E202="","Основний",$E202),{"Трафіковий","Основний","Маржинальний","Сезонний","Стратегічний"},0),Settings!$F$78,Settings!$F$80,Settings!$F$82,Settings!$F$84,Settings!$F$86))/6,2)*6,"")</f>
        <v/>
      </c>
      <c r="W202" s="142">
        <f>IFERROR(CHOOSE(MATCH(IF($E202="","Основний",$E202),{"Трафіковий","Основний","Маржинальний","Сезонний","Стратегічний"},0),Settings!$F$78,Settings!$F$80,Settings!$F$82,Settings!$F$84,Settings!$F$86),"")</f>
        <v/>
      </c>
      <c r="X202" s="143">
        <f>IFERROR((V202*(1-Settings!$F$17)-C202)/(V202*(1-Settings!$F$17)),"")</f>
        <v/>
      </c>
      <c r="Y202" s="149">
        <f>IFERROR(IF(V202="","",IF(V202&gt;=C202/(1-SKU_Base!AD202)/(1-Settings!$F$17),"OK",IF(V202&gt;=C202/(1-SKU_Base!AK202)/(1-Settings!$F$17),"WARN","STOP"))),"")</f>
        <v/>
      </c>
      <c r="Z202" s="159">
        <f>IFERROR(ROUND(D202*(1-CHOOSE(MATCH(IF($E202="","Основний",$E202),{"Трафіковий","Основний","Маржинальний","Сезонний","Стратегічний"},0),Settings!$G$78,Settings!$G$80,Settings!$G$82,Settings!$G$84,Settings!$G$86))/6,2)*6,"")</f>
        <v/>
      </c>
      <c r="AA202" s="142">
        <f>IFERROR(CHOOSE(MATCH(IF($E202="","Основний",$E202),{"Трафіковий","Основний","Маржинальний","Сезонний","Стратегічний"},0),Settings!$G$78,Settings!$G$80,Settings!$G$82,Settings!$G$84,Settings!$G$86),"")</f>
        <v/>
      </c>
      <c r="AB202" s="143">
        <f>IFERROR((Z202*(1-Settings!$G$17)-C202)/(Z202*(1-Settings!$G$17)),"")</f>
        <v/>
      </c>
      <c r="AC202" s="149">
        <f>IFERROR(IF(Z202="","",IF(Z202&gt;=C202/(1-SKU_Base!AE202)/(1-Settings!$G$17),"OK",IF(Z202&gt;=C202/(1-SKU_Base!AL202)/(1-Settings!$G$17),"WARN","STOP"))),"")</f>
        <v/>
      </c>
      <c r="AD202" s="159">
        <f>IFERROR(ROUND(D202*(1-CHOOSE(MATCH(IF($E202="","Основний",$E202),{"Трафіковий","Основний","Маржинальний","Сезонний","Стратегічний"},0),Settings!$H$78,Settings!$H$80,Settings!$H$82,Settings!$H$84,Settings!$H$86))*(1-Settings!$H$68)/6,2)*6,"")</f>
        <v/>
      </c>
      <c r="AE202" s="142">
        <f>IFERROR(CHOOSE(MATCH(IF($E202="","Основний",$E202),{"Трафіковий","Основний","Маржинальний","Сезонний","Стратегічний"},0),Settings!$H$78,Settings!$H$80,Settings!$H$82,Settings!$H$84,Settings!$H$86)+(1-(CHOOSE(MATCH(IF($E202="","Основний",$E202),{"Трафіковий","Основний","Маржинальний","Сезонний","Стратегічний"},0),Settings!$H$78,Settings!$H$80,Settings!$H$82,Settings!$H$84,Settings!$H$86)))*Settings!$H$68,"")</f>
        <v/>
      </c>
      <c r="AF202" s="143">
        <f>IFERROR((AD202*(1-Settings!$H$17)-C202)/(AD202*(1-Settings!$H$17)),"")</f>
        <v/>
      </c>
      <c r="AG202" s="150">
        <f>IFERROR(IF(AD202="","",IF(AD202&gt;=C202/(1-SKU_Base!AF202)/(1-Settings!$H$17),"OK",IF(AD202&gt;=C202/(1-SKU_Base!AM202)/(1-Settings!$H$17),"WARN","STOP"))),"")</f>
        <v/>
      </c>
    </row>
    <row r="203" ht="17" customHeight="1" s="179">
      <c r="A203" s="146">
        <f>SKU_Base!B203</f>
        <v/>
      </c>
      <c r="B203" s="146">
        <f>SKU_Base!C203</f>
        <v/>
      </c>
      <c r="C203" s="147">
        <f>IFERROR(SKU_Base!I203,"")</f>
        <v/>
      </c>
      <c r="D203" s="164">
        <f>IFERROR(SKU_Base!T203,"")</f>
        <v/>
      </c>
      <c r="E203" s="141">
        <f>IFERROR(SKU_Base!$U203,"")</f>
        <v/>
      </c>
      <c r="F203" s="160">
        <f>IFERROR(ROUND(D203*(1-CHOOSE(MATCH(IF($E203="","Основний",$E203),{"Трафіковий","Основний","Маржинальний","Сезонний","Стратегічний"},0),Settings!$B$78,Settings!$B$80,Settings!$B$82,Settings!$B$84,Settings!$B$86))/6,2)*6,"")</f>
        <v/>
      </c>
      <c r="G203" s="142">
        <f>IFERROR(CHOOSE(MATCH(IF($E203="","Основний",$E203),{"Трафіковий","Основний","Маржинальний","Сезонний","Стратегічний"},0),Settings!$B$78,Settings!$B$80,Settings!$B$82,Settings!$B$84,Settings!$B$86),"")</f>
        <v/>
      </c>
      <c r="H203" s="148">
        <f>IFERROR((F203*(1-Settings!$B$17)-C203)/(F203*(1-Settings!$B$17)),"")</f>
        <v/>
      </c>
      <c r="I203" s="149">
        <f>IFERROR(IF(F203="","",IF(F203&gt;=C203/(1-SKU_Base!Z203)/(1-Settings!$B$17),"OK",IF(F203&gt;=C203/(1-SKU_Base!AG203)/(1-Settings!$B$17),"WARN","STOP"))),"")</f>
        <v/>
      </c>
      <c r="J203" s="160">
        <f>IFERROR(ROUND(D203*(1-CHOOSE(MATCH(IF($E203="","Основний",$E203),{"Трафіковий","Основний","Маржинальний","Сезонний","Стратегічний"},0),Settings!$C$78,Settings!$C$80,Settings!$C$82,Settings!$C$84,Settings!$C$86))/6,2)*6,"")</f>
        <v/>
      </c>
      <c r="K203" s="142">
        <f>IFERROR(CHOOSE(MATCH(IF($E203="","Основний",$E203),{"Трафіковий","Основний","Маржинальний","Сезонний","Стратегічний"},0),Settings!$C$78,Settings!$C$80,Settings!$C$82,Settings!$C$84,Settings!$C$86),"")</f>
        <v/>
      </c>
      <c r="L203" s="148">
        <f>IFERROR((J203*(1-Settings!$C$17)-C203)/(J203*(1-Settings!$C$17)),"")</f>
        <v/>
      </c>
      <c r="M203" s="149">
        <f>IFERROR(IF(J203="","",IF(J203&gt;=C203/(1-SKU_Base!AA203)/(1-Settings!$C$17),"OK",IF(J203&gt;=C203/(1-SKU_Base!AH203)/(1-Settings!$C$17),"WARN","STOP"))),"")</f>
        <v/>
      </c>
      <c r="N203" s="161">
        <f>IFERROR(ROUND(D203*(1-CHOOSE(MATCH(IF($E203="","Основний",$E203),{"Трафіковий","Основний","Маржинальний","Сезонний","Стратегічний"},0),Settings!$D$78,Settings!$D$80,Settings!$D$82,Settings!$D$84,Settings!$D$86))/6,2)*6,"")</f>
        <v/>
      </c>
      <c r="O203" s="142">
        <f>IFERROR(CHOOSE(MATCH(IF($E203="","Основний",$E203),{"Трафіковий","Основний","Маржинальний","Сезонний","Стратегічний"},0),Settings!$D$78,Settings!$D$80,Settings!$D$82,Settings!$D$84,Settings!$D$86),"")</f>
        <v/>
      </c>
      <c r="P203" s="148">
        <f>IFERROR((N203*(1-Settings!$D$17)-C203)/(N203*(1-Settings!$D$17)),"")</f>
        <v/>
      </c>
      <c r="Q203" s="149">
        <f>IFERROR(IF(N203="","",IF(N203&gt;=C203/(1-SKU_Base!AB203)/(1-Settings!$D$17),"OK",IF(N203&gt;=C203/(1-SKU_Base!AI203)/(1-Settings!$D$17),"WARN","STOP"))),"")</f>
        <v/>
      </c>
      <c r="R203" s="161">
        <f>IFERROR(ROUND(D203*(1-CHOOSE(MATCH(IF($E203="","Основний",$E203),{"Трафіковий","Основний","Маржинальний","Сезонний","Стратегічний"},0),Settings!$E$78,Settings!$E$80,Settings!$E$82,Settings!$E$84,Settings!$E$86))/6,2)*6,"")</f>
        <v/>
      </c>
      <c r="S203" s="142">
        <f>IFERROR(CHOOSE(MATCH(IF($E203="","Основний",$E203),{"Трафіковий","Основний","Маржинальний","Сезонний","Стратегічний"},0),Settings!$E$78,Settings!$E$80,Settings!$E$82,Settings!$E$84,Settings!$E$86),"")</f>
        <v/>
      </c>
      <c r="T203" s="148">
        <f>IFERROR((R203*(1-Settings!$E$17)-C203)/(R203*(1-Settings!$E$17)),"")</f>
        <v/>
      </c>
      <c r="U203" s="149">
        <f>IFERROR(IF(R203="","",IF(R203&gt;=C203/(1-SKU_Base!AC203)/(1-Settings!$E$17),"OK",IF(R203&gt;=C203/(1-SKU_Base!AJ203)/(1-Settings!$E$17),"WARN","STOP"))),"")</f>
        <v/>
      </c>
      <c r="V203" s="161">
        <f>IFERROR(ROUND(D203*(1-CHOOSE(MATCH(IF($E203="","Основний",$E203),{"Трафіковий","Основний","Маржинальний","Сезонний","Стратегічний"},0),Settings!$F$78,Settings!$F$80,Settings!$F$82,Settings!$F$84,Settings!$F$86))/6,2)*6,"")</f>
        <v/>
      </c>
      <c r="W203" s="142">
        <f>IFERROR(CHOOSE(MATCH(IF($E203="","Основний",$E203),{"Трафіковий","Основний","Маржинальний","Сезонний","Стратегічний"},0),Settings!$F$78,Settings!$F$80,Settings!$F$82,Settings!$F$84,Settings!$F$86),"")</f>
        <v/>
      </c>
      <c r="X203" s="148">
        <f>IFERROR((V203*(1-Settings!$F$17)-C203)/(V203*(1-Settings!$F$17)),"")</f>
        <v/>
      </c>
      <c r="Y203" s="149">
        <f>IFERROR(IF(V203="","",IF(V203&gt;=C203/(1-SKU_Base!AD203)/(1-Settings!$F$17),"OK",IF(V203&gt;=C203/(1-SKU_Base!AK203)/(1-Settings!$F$17),"WARN","STOP"))),"")</f>
        <v/>
      </c>
      <c r="Z203" s="161">
        <f>IFERROR(ROUND(D203*(1-CHOOSE(MATCH(IF($E203="","Основний",$E203),{"Трафіковий","Основний","Маржинальний","Сезонний","Стратегічний"},0),Settings!$G$78,Settings!$G$80,Settings!$G$82,Settings!$G$84,Settings!$G$86))/6,2)*6,"")</f>
        <v/>
      </c>
      <c r="AA203" s="142">
        <f>IFERROR(CHOOSE(MATCH(IF($E203="","Основний",$E203),{"Трафіковий","Основний","Маржинальний","Сезонний","Стратегічний"},0),Settings!$G$78,Settings!$G$80,Settings!$G$82,Settings!$G$84,Settings!$G$86),"")</f>
        <v/>
      </c>
      <c r="AB203" s="148">
        <f>IFERROR((Z203*(1-Settings!$G$17)-C203)/(Z203*(1-Settings!$G$17)),"")</f>
        <v/>
      </c>
      <c r="AC203" s="149">
        <f>IFERROR(IF(Z203="","",IF(Z203&gt;=C203/(1-SKU_Base!AE203)/(1-Settings!$G$17),"OK",IF(Z203&gt;=C203/(1-SKU_Base!AL203)/(1-Settings!$G$17),"WARN","STOP"))),"")</f>
        <v/>
      </c>
      <c r="AD203" s="161">
        <f>IFERROR(ROUND(D203*(1-CHOOSE(MATCH(IF($E203="","Основний",$E203),{"Трафіковий","Основний","Маржинальний","Сезонний","Стратегічний"},0),Settings!$H$78,Settings!$H$80,Settings!$H$82,Settings!$H$84,Settings!$H$86))*(1-Settings!$H$68)/6,2)*6,"")</f>
        <v/>
      </c>
      <c r="AE203" s="142">
        <f>IFERROR(CHOOSE(MATCH(IF($E203="","Основний",$E203),{"Трафіковий","Основний","Маржинальний","Сезонний","Стратегічний"},0),Settings!$H$78,Settings!$H$80,Settings!$H$82,Settings!$H$84,Settings!$H$86)+(1-(CHOOSE(MATCH(IF($E203="","Основний",$E203),{"Трафіковий","Основний","Маржинальний","Сезонний","Стратегічний"},0),Settings!$H$78,Settings!$H$80,Settings!$H$82,Settings!$H$84,Settings!$H$86)))*Settings!$H$68,"")</f>
        <v/>
      </c>
      <c r="AF203" s="148">
        <f>IFERROR((AD203*(1-Settings!$H$17)-C203)/(AD203*(1-Settings!$H$17)),"")</f>
        <v/>
      </c>
      <c r="AG203" s="150">
        <f>IFERROR(IF(AD203="","",IF(AD203&gt;=C203/(1-SKU_Base!AF203)/(1-Settings!$H$17),"OK",IF(AD203&gt;=C203/(1-SKU_Base!AM203)/(1-Settings!$H$17),"WARN","STOP"))),"")</f>
        <v/>
      </c>
    </row>
    <row r="204" ht="17" customHeight="1" s="179">
      <c r="A204" s="139">
        <f>SKU_Base!B204</f>
        <v/>
      </c>
      <c r="B204" s="139">
        <f>SKU_Base!C204</f>
        <v/>
      </c>
      <c r="C204" s="140">
        <f>IFERROR(SKU_Base!I204,"")</f>
        <v/>
      </c>
      <c r="D204" s="163">
        <f>IFERROR(SKU_Base!T204,"")</f>
        <v/>
      </c>
      <c r="E204" s="141">
        <f>IFERROR(SKU_Base!$U204,"")</f>
        <v/>
      </c>
      <c r="F204" s="158">
        <f>IFERROR(ROUND(D204*(1-CHOOSE(MATCH(IF($E204="","Основний",$E204),{"Трафіковий","Основний","Маржинальний","Сезонний","Стратегічний"},0),Settings!$B$78,Settings!$B$80,Settings!$B$82,Settings!$B$84,Settings!$B$86))/6,2)*6,"")</f>
        <v/>
      </c>
      <c r="G204" s="142">
        <f>IFERROR(CHOOSE(MATCH(IF($E204="","Основний",$E204),{"Трафіковий","Основний","Маржинальний","Сезонний","Стратегічний"},0),Settings!$B$78,Settings!$B$80,Settings!$B$82,Settings!$B$84,Settings!$B$86),"")</f>
        <v/>
      </c>
      <c r="H204" s="143">
        <f>IFERROR((F204*(1-Settings!$B$17)-C204)/(F204*(1-Settings!$B$17)),"")</f>
        <v/>
      </c>
      <c r="I204" s="149">
        <f>IFERROR(IF(F204="","",IF(F204&gt;=C204/(1-SKU_Base!Z204)/(1-Settings!$B$17),"OK",IF(F204&gt;=C204/(1-SKU_Base!AG204)/(1-Settings!$B$17),"WARN","STOP"))),"")</f>
        <v/>
      </c>
      <c r="J204" s="158">
        <f>IFERROR(ROUND(D204*(1-CHOOSE(MATCH(IF($E204="","Основний",$E204),{"Трафіковий","Основний","Маржинальний","Сезонний","Стратегічний"},0),Settings!$C$78,Settings!$C$80,Settings!$C$82,Settings!$C$84,Settings!$C$86))/6,2)*6,"")</f>
        <v/>
      </c>
      <c r="K204" s="142">
        <f>IFERROR(CHOOSE(MATCH(IF($E204="","Основний",$E204),{"Трафіковий","Основний","Маржинальний","Сезонний","Стратегічний"},0),Settings!$C$78,Settings!$C$80,Settings!$C$82,Settings!$C$84,Settings!$C$86),"")</f>
        <v/>
      </c>
      <c r="L204" s="143">
        <f>IFERROR((J204*(1-Settings!$C$17)-C204)/(J204*(1-Settings!$C$17)),"")</f>
        <v/>
      </c>
      <c r="M204" s="149">
        <f>IFERROR(IF(J204="","",IF(J204&gt;=C204/(1-SKU_Base!AA204)/(1-Settings!$C$17),"OK",IF(J204&gt;=C204/(1-SKU_Base!AH204)/(1-Settings!$C$17),"WARN","STOP"))),"")</f>
        <v/>
      </c>
      <c r="N204" s="159">
        <f>IFERROR(ROUND(D204*(1-CHOOSE(MATCH(IF($E204="","Основний",$E204),{"Трафіковий","Основний","Маржинальний","Сезонний","Стратегічний"},0),Settings!$D$78,Settings!$D$80,Settings!$D$82,Settings!$D$84,Settings!$D$86))/6,2)*6,"")</f>
        <v/>
      </c>
      <c r="O204" s="142">
        <f>IFERROR(CHOOSE(MATCH(IF($E204="","Основний",$E204),{"Трафіковий","Основний","Маржинальний","Сезонний","Стратегічний"},0),Settings!$D$78,Settings!$D$80,Settings!$D$82,Settings!$D$84,Settings!$D$86),"")</f>
        <v/>
      </c>
      <c r="P204" s="143">
        <f>IFERROR((N204*(1-Settings!$D$17)-C204)/(N204*(1-Settings!$D$17)),"")</f>
        <v/>
      </c>
      <c r="Q204" s="149">
        <f>IFERROR(IF(N204="","",IF(N204&gt;=C204/(1-SKU_Base!AB204)/(1-Settings!$D$17),"OK",IF(N204&gt;=C204/(1-SKU_Base!AI204)/(1-Settings!$D$17),"WARN","STOP"))),"")</f>
        <v/>
      </c>
      <c r="R204" s="159">
        <f>IFERROR(ROUND(D204*(1-CHOOSE(MATCH(IF($E204="","Основний",$E204),{"Трафіковий","Основний","Маржинальний","Сезонний","Стратегічний"},0),Settings!$E$78,Settings!$E$80,Settings!$E$82,Settings!$E$84,Settings!$E$86))/6,2)*6,"")</f>
        <v/>
      </c>
      <c r="S204" s="142">
        <f>IFERROR(CHOOSE(MATCH(IF($E204="","Основний",$E204),{"Трафіковий","Основний","Маржинальний","Сезонний","Стратегічний"},0),Settings!$E$78,Settings!$E$80,Settings!$E$82,Settings!$E$84,Settings!$E$86),"")</f>
        <v/>
      </c>
      <c r="T204" s="143">
        <f>IFERROR((R204*(1-Settings!$E$17)-C204)/(R204*(1-Settings!$E$17)),"")</f>
        <v/>
      </c>
      <c r="U204" s="149">
        <f>IFERROR(IF(R204="","",IF(R204&gt;=C204/(1-SKU_Base!AC204)/(1-Settings!$E$17),"OK",IF(R204&gt;=C204/(1-SKU_Base!AJ204)/(1-Settings!$E$17),"WARN","STOP"))),"")</f>
        <v/>
      </c>
      <c r="V204" s="159">
        <f>IFERROR(ROUND(D204*(1-CHOOSE(MATCH(IF($E204="","Основний",$E204),{"Трафіковий","Основний","Маржинальний","Сезонний","Стратегічний"},0),Settings!$F$78,Settings!$F$80,Settings!$F$82,Settings!$F$84,Settings!$F$86))/6,2)*6,"")</f>
        <v/>
      </c>
      <c r="W204" s="142">
        <f>IFERROR(CHOOSE(MATCH(IF($E204="","Основний",$E204),{"Трафіковий","Основний","Маржинальний","Сезонний","Стратегічний"},0),Settings!$F$78,Settings!$F$80,Settings!$F$82,Settings!$F$84,Settings!$F$86),"")</f>
        <v/>
      </c>
      <c r="X204" s="143">
        <f>IFERROR((V204*(1-Settings!$F$17)-C204)/(V204*(1-Settings!$F$17)),"")</f>
        <v/>
      </c>
      <c r="Y204" s="149">
        <f>IFERROR(IF(V204="","",IF(V204&gt;=C204/(1-SKU_Base!AD204)/(1-Settings!$F$17),"OK",IF(V204&gt;=C204/(1-SKU_Base!AK204)/(1-Settings!$F$17),"WARN","STOP"))),"")</f>
        <v/>
      </c>
      <c r="Z204" s="159">
        <f>IFERROR(ROUND(D204*(1-CHOOSE(MATCH(IF($E204="","Основний",$E204),{"Трафіковий","Основний","Маржинальний","Сезонний","Стратегічний"},0),Settings!$G$78,Settings!$G$80,Settings!$G$82,Settings!$G$84,Settings!$G$86))/6,2)*6,"")</f>
        <v/>
      </c>
      <c r="AA204" s="142">
        <f>IFERROR(CHOOSE(MATCH(IF($E204="","Основний",$E204),{"Трафіковий","Основний","Маржинальний","Сезонний","Стратегічний"},0),Settings!$G$78,Settings!$G$80,Settings!$G$82,Settings!$G$84,Settings!$G$86),"")</f>
        <v/>
      </c>
      <c r="AB204" s="143">
        <f>IFERROR((Z204*(1-Settings!$G$17)-C204)/(Z204*(1-Settings!$G$17)),"")</f>
        <v/>
      </c>
      <c r="AC204" s="149">
        <f>IFERROR(IF(Z204="","",IF(Z204&gt;=C204/(1-SKU_Base!AE204)/(1-Settings!$G$17),"OK",IF(Z204&gt;=C204/(1-SKU_Base!AL204)/(1-Settings!$G$17),"WARN","STOP"))),"")</f>
        <v/>
      </c>
      <c r="AD204" s="159">
        <f>IFERROR(ROUND(D204*(1-CHOOSE(MATCH(IF($E204="","Основний",$E204),{"Трафіковий","Основний","Маржинальний","Сезонний","Стратегічний"},0),Settings!$H$78,Settings!$H$80,Settings!$H$82,Settings!$H$84,Settings!$H$86))*(1-Settings!$H$68)/6,2)*6,"")</f>
        <v/>
      </c>
      <c r="AE204" s="142">
        <f>IFERROR(CHOOSE(MATCH(IF($E204="","Основний",$E204),{"Трафіковий","Основний","Маржинальний","Сезонний","Стратегічний"},0),Settings!$H$78,Settings!$H$80,Settings!$H$82,Settings!$H$84,Settings!$H$86)+(1-(CHOOSE(MATCH(IF($E204="","Основний",$E204),{"Трафіковий","Основний","Маржинальний","Сезонний","Стратегічний"},0),Settings!$H$78,Settings!$H$80,Settings!$H$82,Settings!$H$84,Settings!$H$86)))*Settings!$H$68,"")</f>
        <v/>
      </c>
      <c r="AF204" s="143">
        <f>IFERROR((AD204*(1-Settings!$H$17)-C204)/(AD204*(1-Settings!$H$17)),"")</f>
        <v/>
      </c>
      <c r="AG204" s="150">
        <f>IFERROR(IF(AD204="","",IF(AD204&gt;=C204/(1-SKU_Base!AF204)/(1-Settings!$H$17),"OK",IF(AD204&gt;=C204/(1-SKU_Base!AM204)/(1-Settings!$H$17),"WARN","STOP"))),"")</f>
        <v/>
      </c>
    </row>
    <row r="205" ht="17" customHeight="1" s="179">
      <c r="A205" s="146">
        <f>SKU_Base!B205</f>
        <v/>
      </c>
      <c r="B205" s="146">
        <f>SKU_Base!C205</f>
        <v/>
      </c>
      <c r="C205" s="147">
        <f>IFERROR(SKU_Base!I205,"")</f>
        <v/>
      </c>
      <c r="D205" s="164">
        <f>IFERROR(SKU_Base!T205,"")</f>
        <v/>
      </c>
      <c r="E205" s="141">
        <f>IFERROR(SKU_Base!$U205,"")</f>
        <v/>
      </c>
      <c r="F205" s="160">
        <f>IFERROR(ROUND(D205*(1-CHOOSE(MATCH(IF($E205="","Основний",$E205),{"Трафіковий","Основний","Маржинальний","Сезонний","Стратегічний"},0),Settings!$B$78,Settings!$B$80,Settings!$B$82,Settings!$B$84,Settings!$B$86))/6,2)*6,"")</f>
        <v/>
      </c>
      <c r="G205" s="142">
        <f>IFERROR(CHOOSE(MATCH(IF($E205="","Основний",$E205),{"Трафіковий","Основний","Маржинальний","Сезонний","Стратегічний"},0),Settings!$B$78,Settings!$B$80,Settings!$B$82,Settings!$B$84,Settings!$B$86),"")</f>
        <v/>
      </c>
      <c r="H205" s="148">
        <f>IFERROR((F205*(1-Settings!$B$17)-C205)/(F205*(1-Settings!$B$17)),"")</f>
        <v/>
      </c>
      <c r="I205" s="149">
        <f>IFERROR(IF(F205="","",IF(F205&gt;=C205/(1-SKU_Base!Z205)/(1-Settings!$B$17),"OK",IF(F205&gt;=C205/(1-SKU_Base!AG205)/(1-Settings!$B$17),"WARN","STOP"))),"")</f>
        <v/>
      </c>
      <c r="J205" s="160">
        <f>IFERROR(ROUND(D205*(1-CHOOSE(MATCH(IF($E205="","Основний",$E205),{"Трафіковий","Основний","Маржинальний","Сезонний","Стратегічний"},0),Settings!$C$78,Settings!$C$80,Settings!$C$82,Settings!$C$84,Settings!$C$86))/6,2)*6,"")</f>
        <v/>
      </c>
      <c r="K205" s="142">
        <f>IFERROR(CHOOSE(MATCH(IF($E205="","Основний",$E205),{"Трафіковий","Основний","Маржинальний","Сезонний","Стратегічний"},0),Settings!$C$78,Settings!$C$80,Settings!$C$82,Settings!$C$84,Settings!$C$86),"")</f>
        <v/>
      </c>
      <c r="L205" s="148">
        <f>IFERROR((J205*(1-Settings!$C$17)-C205)/(J205*(1-Settings!$C$17)),"")</f>
        <v/>
      </c>
      <c r="M205" s="149">
        <f>IFERROR(IF(J205="","",IF(J205&gt;=C205/(1-SKU_Base!AA205)/(1-Settings!$C$17),"OK",IF(J205&gt;=C205/(1-SKU_Base!AH205)/(1-Settings!$C$17),"WARN","STOP"))),"")</f>
        <v/>
      </c>
      <c r="N205" s="161">
        <f>IFERROR(ROUND(D205*(1-CHOOSE(MATCH(IF($E205="","Основний",$E205),{"Трафіковий","Основний","Маржинальний","Сезонний","Стратегічний"},0),Settings!$D$78,Settings!$D$80,Settings!$D$82,Settings!$D$84,Settings!$D$86))/6,2)*6,"")</f>
        <v/>
      </c>
      <c r="O205" s="142">
        <f>IFERROR(CHOOSE(MATCH(IF($E205="","Основний",$E205),{"Трафіковий","Основний","Маржинальний","Сезонний","Стратегічний"},0),Settings!$D$78,Settings!$D$80,Settings!$D$82,Settings!$D$84,Settings!$D$86),"")</f>
        <v/>
      </c>
      <c r="P205" s="148">
        <f>IFERROR((N205*(1-Settings!$D$17)-C205)/(N205*(1-Settings!$D$17)),"")</f>
        <v/>
      </c>
      <c r="Q205" s="149">
        <f>IFERROR(IF(N205="","",IF(N205&gt;=C205/(1-SKU_Base!AB205)/(1-Settings!$D$17),"OK",IF(N205&gt;=C205/(1-SKU_Base!AI205)/(1-Settings!$D$17),"WARN","STOP"))),"")</f>
        <v/>
      </c>
      <c r="R205" s="161">
        <f>IFERROR(ROUND(D205*(1-CHOOSE(MATCH(IF($E205="","Основний",$E205),{"Трафіковий","Основний","Маржинальний","Сезонний","Стратегічний"},0),Settings!$E$78,Settings!$E$80,Settings!$E$82,Settings!$E$84,Settings!$E$86))/6,2)*6,"")</f>
        <v/>
      </c>
      <c r="S205" s="142">
        <f>IFERROR(CHOOSE(MATCH(IF($E205="","Основний",$E205),{"Трафіковий","Основний","Маржинальний","Сезонний","Стратегічний"},0),Settings!$E$78,Settings!$E$80,Settings!$E$82,Settings!$E$84,Settings!$E$86),"")</f>
        <v/>
      </c>
      <c r="T205" s="148">
        <f>IFERROR((R205*(1-Settings!$E$17)-C205)/(R205*(1-Settings!$E$17)),"")</f>
        <v/>
      </c>
      <c r="U205" s="149">
        <f>IFERROR(IF(R205="","",IF(R205&gt;=C205/(1-SKU_Base!AC205)/(1-Settings!$E$17),"OK",IF(R205&gt;=C205/(1-SKU_Base!AJ205)/(1-Settings!$E$17),"WARN","STOP"))),"")</f>
        <v/>
      </c>
      <c r="V205" s="161">
        <f>IFERROR(ROUND(D205*(1-CHOOSE(MATCH(IF($E205="","Основний",$E205),{"Трафіковий","Основний","Маржинальний","Сезонний","Стратегічний"},0),Settings!$F$78,Settings!$F$80,Settings!$F$82,Settings!$F$84,Settings!$F$86))/6,2)*6,"")</f>
        <v/>
      </c>
      <c r="W205" s="142">
        <f>IFERROR(CHOOSE(MATCH(IF($E205="","Основний",$E205),{"Трафіковий","Основний","Маржинальний","Сезонний","Стратегічний"},0),Settings!$F$78,Settings!$F$80,Settings!$F$82,Settings!$F$84,Settings!$F$86),"")</f>
        <v/>
      </c>
      <c r="X205" s="148">
        <f>IFERROR((V205*(1-Settings!$F$17)-C205)/(V205*(1-Settings!$F$17)),"")</f>
        <v/>
      </c>
      <c r="Y205" s="149">
        <f>IFERROR(IF(V205="","",IF(V205&gt;=C205/(1-SKU_Base!AD205)/(1-Settings!$F$17),"OK",IF(V205&gt;=C205/(1-SKU_Base!AK205)/(1-Settings!$F$17),"WARN","STOP"))),"")</f>
        <v/>
      </c>
      <c r="Z205" s="161">
        <f>IFERROR(ROUND(D205*(1-CHOOSE(MATCH(IF($E205="","Основний",$E205),{"Трафіковий","Основний","Маржинальний","Сезонний","Стратегічний"},0),Settings!$G$78,Settings!$G$80,Settings!$G$82,Settings!$G$84,Settings!$G$86))/6,2)*6,"")</f>
        <v/>
      </c>
      <c r="AA205" s="142">
        <f>IFERROR(CHOOSE(MATCH(IF($E205="","Основний",$E205),{"Трафіковий","Основний","Маржинальний","Сезонний","Стратегічний"},0),Settings!$G$78,Settings!$G$80,Settings!$G$82,Settings!$G$84,Settings!$G$86),"")</f>
        <v/>
      </c>
      <c r="AB205" s="148">
        <f>IFERROR((Z205*(1-Settings!$G$17)-C205)/(Z205*(1-Settings!$G$17)),"")</f>
        <v/>
      </c>
      <c r="AC205" s="149">
        <f>IFERROR(IF(Z205="","",IF(Z205&gt;=C205/(1-SKU_Base!AE205)/(1-Settings!$G$17),"OK",IF(Z205&gt;=C205/(1-SKU_Base!AL205)/(1-Settings!$G$17),"WARN","STOP"))),"")</f>
        <v/>
      </c>
      <c r="AD205" s="161">
        <f>IFERROR(ROUND(D205*(1-CHOOSE(MATCH(IF($E205="","Основний",$E205),{"Трафіковий","Основний","Маржинальний","Сезонний","Стратегічний"},0),Settings!$H$78,Settings!$H$80,Settings!$H$82,Settings!$H$84,Settings!$H$86))*(1-Settings!$H$68)/6,2)*6,"")</f>
        <v/>
      </c>
      <c r="AE205" s="142">
        <f>IFERROR(CHOOSE(MATCH(IF($E205="","Основний",$E205),{"Трафіковий","Основний","Маржинальний","Сезонний","Стратегічний"},0),Settings!$H$78,Settings!$H$80,Settings!$H$82,Settings!$H$84,Settings!$H$86)+(1-(CHOOSE(MATCH(IF($E205="","Основний",$E205),{"Трафіковий","Основний","Маржинальний","Сезонний","Стратегічний"},0),Settings!$H$78,Settings!$H$80,Settings!$H$82,Settings!$H$84,Settings!$H$86)))*Settings!$H$68,"")</f>
        <v/>
      </c>
      <c r="AF205" s="148">
        <f>IFERROR((AD205*(1-Settings!$H$17)-C205)/(AD205*(1-Settings!$H$17)),"")</f>
        <v/>
      </c>
      <c r="AG205" s="150">
        <f>IFERROR(IF(AD205="","",IF(AD205&gt;=C205/(1-SKU_Base!AF205)/(1-Settings!$H$17),"OK",IF(AD205&gt;=C205/(1-SKU_Base!AM205)/(1-Settings!$H$17),"WARN","STOP"))),"")</f>
        <v/>
      </c>
    </row>
    <row r="206" ht="17" customHeight="1" s="179">
      <c r="A206" s="139">
        <f>SKU_Base!B206</f>
        <v/>
      </c>
      <c r="B206" s="139">
        <f>SKU_Base!C206</f>
        <v/>
      </c>
      <c r="C206" s="140">
        <f>IFERROR(SKU_Base!I206,"")</f>
        <v/>
      </c>
      <c r="D206" s="163">
        <f>IFERROR(SKU_Base!T206,"")</f>
        <v/>
      </c>
      <c r="E206" s="141">
        <f>IFERROR(SKU_Base!$U206,"")</f>
        <v/>
      </c>
      <c r="F206" s="158">
        <f>IFERROR(ROUND(D206*(1-CHOOSE(MATCH(IF($E206="","Основний",$E206),{"Трафіковий","Основний","Маржинальний","Сезонний","Стратегічний"},0),Settings!$B$78,Settings!$B$80,Settings!$B$82,Settings!$B$84,Settings!$B$86))/6,2)*6,"")</f>
        <v/>
      </c>
      <c r="G206" s="142">
        <f>IFERROR(CHOOSE(MATCH(IF($E206="","Основний",$E206),{"Трафіковий","Основний","Маржинальний","Сезонний","Стратегічний"},0),Settings!$B$78,Settings!$B$80,Settings!$B$82,Settings!$B$84,Settings!$B$86),"")</f>
        <v/>
      </c>
      <c r="H206" s="143">
        <f>IFERROR((F206*(1-Settings!$B$17)-C206)/(F206*(1-Settings!$B$17)),"")</f>
        <v/>
      </c>
      <c r="I206" s="149">
        <f>IFERROR(IF(F206="","",IF(F206&gt;=C206/(1-SKU_Base!Z206)/(1-Settings!$B$17),"OK",IF(F206&gt;=C206/(1-SKU_Base!AG206)/(1-Settings!$B$17),"WARN","STOP"))),"")</f>
        <v/>
      </c>
      <c r="J206" s="158">
        <f>IFERROR(ROUND(D206*(1-CHOOSE(MATCH(IF($E206="","Основний",$E206),{"Трафіковий","Основний","Маржинальний","Сезонний","Стратегічний"},0),Settings!$C$78,Settings!$C$80,Settings!$C$82,Settings!$C$84,Settings!$C$86))/6,2)*6,"")</f>
        <v/>
      </c>
      <c r="K206" s="142">
        <f>IFERROR(CHOOSE(MATCH(IF($E206="","Основний",$E206),{"Трафіковий","Основний","Маржинальний","Сезонний","Стратегічний"},0),Settings!$C$78,Settings!$C$80,Settings!$C$82,Settings!$C$84,Settings!$C$86),"")</f>
        <v/>
      </c>
      <c r="L206" s="143">
        <f>IFERROR((J206*(1-Settings!$C$17)-C206)/(J206*(1-Settings!$C$17)),"")</f>
        <v/>
      </c>
      <c r="M206" s="149">
        <f>IFERROR(IF(J206="","",IF(J206&gt;=C206/(1-SKU_Base!AA206)/(1-Settings!$C$17),"OK",IF(J206&gt;=C206/(1-SKU_Base!AH206)/(1-Settings!$C$17),"WARN","STOP"))),"")</f>
        <v/>
      </c>
      <c r="N206" s="159">
        <f>IFERROR(ROUND(D206*(1-CHOOSE(MATCH(IF($E206="","Основний",$E206),{"Трафіковий","Основний","Маржинальний","Сезонний","Стратегічний"},0),Settings!$D$78,Settings!$D$80,Settings!$D$82,Settings!$D$84,Settings!$D$86))/6,2)*6,"")</f>
        <v/>
      </c>
      <c r="O206" s="142">
        <f>IFERROR(CHOOSE(MATCH(IF($E206="","Основний",$E206),{"Трафіковий","Основний","Маржинальний","Сезонний","Стратегічний"},0),Settings!$D$78,Settings!$D$80,Settings!$D$82,Settings!$D$84,Settings!$D$86),"")</f>
        <v/>
      </c>
      <c r="P206" s="143">
        <f>IFERROR((N206*(1-Settings!$D$17)-C206)/(N206*(1-Settings!$D$17)),"")</f>
        <v/>
      </c>
      <c r="Q206" s="149">
        <f>IFERROR(IF(N206="","",IF(N206&gt;=C206/(1-SKU_Base!AB206)/(1-Settings!$D$17),"OK",IF(N206&gt;=C206/(1-SKU_Base!AI206)/(1-Settings!$D$17),"WARN","STOP"))),"")</f>
        <v/>
      </c>
      <c r="R206" s="159">
        <f>IFERROR(ROUND(D206*(1-CHOOSE(MATCH(IF($E206="","Основний",$E206),{"Трафіковий","Основний","Маржинальний","Сезонний","Стратегічний"},0),Settings!$E$78,Settings!$E$80,Settings!$E$82,Settings!$E$84,Settings!$E$86))/6,2)*6,"")</f>
        <v/>
      </c>
      <c r="S206" s="142">
        <f>IFERROR(CHOOSE(MATCH(IF($E206="","Основний",$E206),{"Трафіковий","Основний","Маржинальний","Сезонний","Стратегічний"},0),Settings!$E$78,Settings!$E$80,Settings!$E$82,Settings!$E$84,Settings!$E$86),"")</f>
        <v/>
      </c>
      <c r="T206" s="143">
        <f>IFERROR((R206*(1-Settings!$E$17)-C206)/(R206*(1-Settings!$E$17)),"")</f>
        <v/>
      </c>
      <c r="U206" s="149">
        <f>IFERROR(IF(R206="","",IF(R206&gt;=C206/(1-SKU_Base!AC206)/(1-Settings!$E$17),"OK",IF(R206&gt;=C206/(1-SKU_Base!AJ206)/(1-Settings!$E$17),"WARN","STOP"))),"")</f>
        <v/>
      </c>
      <c r="V206" s="159">
        <f>IFERROR(ROUND(D206*(1-CHOOSE(MATCH(IF($E206="","Основний",$E206),{"Трафіковий","Основний","Маржинальний","Сезонний","Стратегічний"},0),Settings!$F$78,Settings!$F$80,Settings!$F$82,Settings!$F$84,Settings!$F$86))/6,2)*6,"")</f>
        <v/>
      </c>
      <c r="W206" s="142">
        <f>IFERROR(CHOOSE(MATCH(IF($E206="","Основний",$E206),{"Трафіковий","Основний","Маржинальний","Сезонний","Стратегічний"},0),Settings!$F$78,Settings!$F$80,Settings!$F$82,Settings!$F$84,Settings!$F$86),"")</f>
        <v/>
      </c>
      <c r="X206" s="143">
        <f>IFERROR((V206*(1-Settings!$F$17)-C206)/(V206*(1-Settings!$F$17)),"")</f>
        <v/>
      </c>
      <c r="Y206" s="149">
        <f>IFERROR(IF(V206="","",IF(V206&gt;=C206/(1-SKU_Base!AD206)/(1-Settings!$F$17),"OK",IF(V206&gt;=C206/(1-SKU_Base!AK206)/(1-Settings!$F$17),"WARN","STOP"))),"")</f>
        <v/>
      </c>
      <c r="Z206" s="159">
        <f>IFERROR(ROUND(D206*(1-CHOOSE(MATCH(IF($E206="","Основний",$E206),{"Трафіковий","Основний","Маржинальний","Сезонний","Стратегічний"},0),Settings!$G$78,Settings!$G$80,Settings!$G$82,Settings!$G$84,Settings!$G$86))/6,2)*6,"")</f>
        <v/>
      </c>
      <c r="AA206" s="142">
        <f>IFERROR(CHOOSE(MATCH(IF($E206="","Основний",$E206),{"Трафіковий","Основний","Маржинальний","Сезонний","Стратегічний"},0),Settings!$G$78,Settings!$G$80,Settings!$G$82,Settings!$G$84,Settings!$G$86),"")</f>
        <v/>
      </c>
      <c r="AB206" s="143">
        <f>IFERROR((Z206*(1-Settings!$G$17)-C206)/(Z206*(1-Settings!$G$17)),"")</f>
        <v/>
      </c>
      <c r="AC206" s="149">
        <f>IFERROR(IF(Z206="","",IF(Z206&gt;=C206/(1-SKU_Base!AE206)/(1-Settings!$G$17),"OK",IF(Z206&gt;=C206/(1-SKU_Base!AL206)/(1-Settings!$G$17),"WARN","STOP"))),"")</f>
        <v/>
      </c>
      <c r="AD206" s="159">
        <f>IFERROR(ROUND(D206*(1-CHOOSE(MATCH(IF($E206="","Основний",$E206),{"Трафіковий","Основний","Маржинальний","Сезонний","Стратегічний"},0),Settings!$H$78,Settings!$H$80,Settings!$H$82,Settings!$H$84,Settings!$H$86))*(1-Settings!$H$68)/6,2)*6,"")</f>
        <v/>
      </c>
      <c r="AE206" s="142">
        <f>IFERROR(CHOOSE(MATCH(IF($E206="","Основний",$E206),{"Трафіковий","Основний","Маржинальний","Сезонний","Стратегічний"},0),Settings!$H$78,Settings!$H$80,Settings!$H$82,Settings!$H$84,Settings!$H$86)+(1-(CHOOSE(MATCH(IF($E206="","Основний",$E206),{"Трафіковий","Основний","Маржинальний","Сезонний","Стратегічний"},0),Settings!$H$78,Settings!$H$80,Settings!$H$82,Settings!$H$84,Settings!$H$86)))*Settings!$H$68,"")</f>
        <v/>
      </c>
      <c r="AF206" s="143">
        <f>IFERROR((AD206*(1-Settings!$H$17)-C206)/(AD206*(1-Settings!$H$17)),"")</f>
        <v/>
      </c>
      <c r="AG206" s="150">
        <f>IFERROR(IF(AD206="","",IF(AD206&gt;=C206/(1-SKU_Base!AF206)/(1-Settings!$H$17),"OK",IF(AD206&gt;=C206/(1-SKU_Base!AM206)/(1-Settings!$H$17),"WARN","STOP"))),"")</f>
        <v/>
      </c>
    </row>
    <row r="207" ht="17" customHeight="1" s="179">
      <c r="A207" s="146">
        <f>SKU_Base!B207</f>
        <v/>
      </c>
      <c r="B207" s="146">
        <f>SKU_Base!C207</f>
        <v/>
      </c>
      <c r="C207" s="147">
        <f>IFERROR(SKU_Base!I207,"")</f>
        <v/>
      </c>
      <c r="D207" s="164">
        <f>IFERROR(SKU_Base!T207,"")</f>
        <v/>
      </c>
      <c r="E207" s="141">
        <f>IFERROR(SKU_Base!$U207,"")</f>
        <v/>
      </c>
      <c r="F207" s="160">
        <f>IFERROR(ROUND(D207*(1-CHOOSE(MATCH(IF($E207="","Основний",$E207),{"Трафіковий","Основний","Маржинальний","Сезонний","Стратегічний"},0),Settings!$B$78,Settings!$B$80,Settings!$B$82,Settings!$B$84,Settings!$B$86))/6,2)*6,"")</f>
        <v/>
      </c>
      <c r="G207" s="142">
        <f>IFERROR(CHOOSE(MATCH(IF($E207="","Основний",$E207),{"Трафіковий","Основний","Маржинальний","Сезонний","Стратегічний"},0),Settings!$B$78,Settings!$B$80,Settings!$B$82,Settings!$B$84,Settings!$B$86),"")</f>
        <v/>
      </c>
      <c r="H207" s="148">
        <f>IFERROR((F207*(1-Settings!$B$17)-C207)/(F207*(1-Settings!$B$17)),"")</f>
        <v/>
      </c>
      <c r="I207" s="150">
        <f>IFERROR(IF(F207="","",IF(F207&gt;=C207/(1-SKU_Base!Z207)/(1-Settings!$B$17),"OK",IF(F207&gt;=C207/(1-SKU_Base!AG207)/(1-Settings!$B$17),"WARN","STOP"))),"")</f>
        <v/>
      </c>
      <c r="J207" s="160">
        <f>IFERROR(ROUND(D207*(1-CHOOSE(MATCH(IF($E207="","Основний",$E207),{"Трафіковий","Основний","Маржинальний","Сезонний","Стратегічний"},0),Settings!$C$78,Settings!$C$80,Settings!$C$82,Settings!$C$84,Settings!$C$86))/6,2)*6,"")</f>
        <v/>
      </c>
      <c r="K207" s="142">
        <f>IFERROR(CHOOSE(MATCH(IF($E207="","Основний",$E207),{"Трафіковий","Основний","Маржинальний","Сезонний","Стратегічний"},0),Settings!$C$78,Settings!$C$80,Settings!$C$82,Settings!$C$84,Settings!$C$86),"")</f>
        <v/>
      </c>
      <c r="L207" s="148">
        <f>IFERROR((J207*(1-Settings!$C$17)-C207)/(J207*(1-Settings!$C$17)),"")</f>
        <v/>
      </c>
      <c r="M207" s="149">
        <f>IFERROR(IF(J207="","",IF(J207&gt;=C207/(1-SKU_Base!AA207)/(1-Settings!$C$17),"OK",IF(J207&gt;=C207/(1-SKU_Base!AH207)/(1-Settings!$C$17),"WARN","STOP"))),"")</f>
        <v/>
      </c>
      <c r="N207" s="161">
        <f>IFERROR(ROUND(D207*(1-CHOOSE(MATCH(IF($E207="","Основний",$E207),{"Трафіковий","Основний","Маржинальний","Сезонний","Стратегічний"},0),Settings!$D$78,Settings!$D$80,Settings!$D$82,Settings!$D$84,Settings!$D$86))/6,2)*6,"")</f>
        <v/>
      </c>
      <c r="O207" s="142">
        <f>IFERROR(CHOOSE(MATCH(IF($E207="","Основний",$E207),{"Трафіковий","Основний","Маржинальний","Сезонний","Стратегічний"},0),Settings!$D$78,Settings!$D$80,Settings!$D$82,Settings!$D$84,Settings!$D$86),"")</f>
        <v/>
      </c>
      <c r="P207" s="148">
        <f>IFERROR((N207*(1-Settings!$D$17)-C207)/(N207*(1-Settings!$D$17)),"")</f>
        <v/>
      </c>
      <c r="Q207" s="149">
        <f>IFERROR(IF(N207="","",IF(N207&gt;=C207/(1-SKU_Base!AB207)/(1-Settings!$D$17),"OK",IF(N207&gt;=C207/(1-SKU_Base!AI207)/(1-Settings!$D$17),"WARN","STOP"))),"")</f>
        <v/>
      </c>
      <c r="R207" s="161">
        <f>IFERROR(ROUND(D207*(1-CHOOSE(MATCH(IF($E207="","Основний",$E207),{"Трафіковий","Основний","Маржинальний","Сезонний","Стратегічний"},0),Settings!$E$78,Settings!$E$80,Settings!$E$82,Settings!$E$84,Settings!$E$86))/6,2)*6,"")</f>
        <v/>
      </c>
      <c r="S207" s="142">
        <f>IFERROR(CHOOSE(MATCH(IF($E207="","Основний",$E207),{"Трафіковий","Основний","Маржинальний","Сезонний","Стратегічний"},0),Settings!$E$78,Settings!$E$80,Settings!$E$82,Settings!$E$84,Settings!$E$86),"")</f>
        <v/>
      </c>
      <c r="T207" s="148">
        <f>IFERROR((R207*(1-Settings!$E$17)-C207)/(R207*(1-Settings!$E$17)),"")</f>
        <v/>
      </c>
      <c r="U207" s="149">
        <f>IFERROR(IF(R207="","",IF(R207&gt;=C207/(1-SKU_Base!AC207)/(1-Settings!$E$17),"OK",IF(R207&gt;=C207/(1-SKU_Base!AJ207)/(1-Settings!$E$17),"WARN","STOP"))),"")</f>
        <v/>
      </c>
      <c r="V207" s="161">
        <f>IFERROR(ROUND(D207*(1-CHOOSE(MATCH(IF($E207="","Основний",$E207),{"Трафіковий","Основний","Маржинальний","Сезонний","Стратегічний"},0),Settings!$F$78,Settings!$F$80,Settings!$F$82,Settings!$F$84,Settings!$F$86))/6,2)*6,"")</f>
        <v/>
      </c>
      <c r="W207" s="142">
        <f>IFERROR(CHOOSE(MATCH(IF($E207="","Основний",$E207),{"Трафіковий","Основний","Маржинальний","Сезонний","Стратегічний"},0),Settings!$F$78,Settings!$F$80,Settings!$F$82,Settings!$F$84,Settings!$F$86),"")</f>
        <v/>
      </c>
      <c r="X207" s="148">
        <f>IFERROR((V207*(1-Settings!$F$17)-C207)/(V207*(1-Settings!$F$17)),"")</f>
        <v/>
      </c>
      <c r="Y207" s="149">
        <f>IFERROR(IF(V207="","",IF(V207&gt;=C207/(1-SKU_Base!AD207)/(1-Settings!$F$17),"OK",IF(V207&gt;=C207/(1-SKU_Base!AK207)/(1-Settings!$F$17),"WARN","STOP"))),"")</f>
        <v/>
      </c>
      <c r="Z207" s="161">
        <f>IFERROR(ROUND(D207*(1-CHOOSE(MATCH(IF($E207="","Основний",$E207),{"Трафіковий","Основний","Маржинальний","Сезонний","Стратегічний"},0),Settings!$G$78,Settings!$G$80,Settings!$G$82,Settings!$G$84,Settings!$G$86))/6,2)*6,"")</f>
        <v/>
      </c>
      <c r="AA207" s="142">
        <f>IFERROR(CHOOSE(MATCH(IF($E207="","Основний",$E207),{"Трафіковий","Основний","Маржинальний","Сезонний","Стратегічний"},0),Settings!$G$78,Settings!$G$80,Settings!$G$82,Settings!$G$84,Settings!$G$86),"")</f>
        <v/>
      </c>
      <c r="AB207" s="148">
        <f>IFERROR((Z207*(1-Settings!$G$17)-C207)/(Z207*(1-Settings!$G$17)),"")</f>
        <v/>
      </c>
      <c r="AC207" s="149">
        <f>IFERROR(IF(Z207="","",IF(Z207&gt;=C207/(1-SKU_Base!AE207)/(1-Settings!$G$17),"OK",IF(Z207&gt;=C207/(1-SKU_Base!AL207)/(1-Settings!$G$17),"WARN","STOP"))),"")</f>
        <v/>
      </c>
      <c r="AD207" s="161">
        <f>IFERROR(ROUND(D207*(1-CHOOSE(MATCH(IF($E207="","Основний",$E207),{"Трафіковий","Основний","Маржинальний","Сезонний","Стратегічний"},0),Settings!$H$78,Settings!$H$80,Settings!$H$82,Settings!$H$84,Settings!$H$86))*(1-Settings!$H$68)/6,2)*6,"")</f>
        <v/>
      </c>
      <c r="AE207" s="142">
        <f>IFERROR(CHOOSE(MATCH(IF($E207="","Основний",$E207),{"Трафіковий","Основний","Маржинальний","Сезонний","Стратегічний"},0),Settings!$H$78,Settings!$H$80,Settings!$H$82,Settings!$H$84,Settings!$H$86)+(1-(CHOOSE(MATCH(IF($E207="","Основний",$E207),{"Трафіковий","Основний","Маржинальний","Сезонний","Стратегічний"},0),Settings!$H$78,Settings!$H$80,Settings!$H$82,Settings!$H$84,Settings!$H$86)))*Settings!$H$68,"")</f>
        <v/>
      </c>
      <c r="AF207" s="148">
        <f>IFERROR((AD207*(1-Settings!$H$17)-C207)/(AD207*(1-Settings!$H$17)),"")</f>
        <v/>
      </c>
      <c r="AG207" s="150">
        <f>IFERROR(IF(AD207="","",IF(AD207&gt;=C207/(1-SKU_Base!AF207)/(1-Settings!$H$17),"OK",IF(AD207&gt;=C207/(1-SKU_Base!AM207)/(1-Settings!$H$17),"WARN","STOP"))),"")</f>
        <v/>
      </c>
    </row>
    <row r="208" ht="17" customHeight="1" s="179">
      <c r="A208" s="139">
        <f>SKU_Base!B208</f>
        <v/>
      </c>
      <c r="B208" s="139">
        <f>SKU_Base!C208</f>
        <v/>
      </c>
      <c r="C208" s="140">
        <f>IFERROR(SKU_Base!I208,"")</f>
        <v/>
      </c>
      <c r="D208" s="163">
        <f>IFERROR(SKU_Base!T208,"")</f>
        <v/>
      </c>
      <c r="E208" s="141">
        <f>IFERROR(SKU_Base!$U208,"")</f>
        <v/>
      </c>
      <c r="F208" s="158">
        <f>IFERROR(ROUND(D208*(1-CHOOSE(MATCH(IF($E208="","Основний",$E208),{"Трафіковий","Основний","Маржинальний","Сезонний","Стратегічний"},0),Settings!$B$78,Settings!$B$80,Settings!$B$82,Settings!$B$84,Settings!$B$86))/6,2)*6,"")</f>
        <v/>
      </c>
      <c r="G208" s="142">
        <f>IFERROR(CHOOSE(MATCH(IF($E208="","Основний",$E208),{"Трафіковий","Основний","Маржинальний","Сезонний","Стратегічний"},0),Settings!$B$78,Settings!$B$80,Settings!$B$82,Settings!$B$84,Settings!$B$86),"")</f>
        <v/>
      </c>
      <c r="H208" s="143">
        <f>IFERROR((F208*(1-Settings!$B$17)-C208)/(F208*(1-Settings!$B$17)),"")</f>
        <v/>
      </c>
      <c r="I208" s="150">
        <f>IFERROR(IF(F208="","",IF(F208&gt;=C208/(1-SKU_Base!Z208)/(1-Settings!$B$17),"OK",IF(F208&gt;=C208/(1-SKU_Base!AG208)/(1-Settings!$B$17),"WARN","STOP"))),"")</f>
        <v/>
      </c>
      <c r="J208" s="158">
        <f>IFERROR(ROUND(D208*(1-CHOOSE(MATCH(IF($E208="","Основний",$E208),{"Трафіковий","Основний","Маржинальний","Сезонний","Стратегічний"},0),Settings!$C$78,Settings!$C$80,Settings!$C$82,Settings!$C$84,Settings!$C$86))/6,2)*6,"")</f>
        <v/>
      </c>
      <c r="K208" s="142">
        <f>IFERROR(CHOOSE(MATCH(IF($E208="","Основний",$E208),{"Трафіковий","Основний","Маржинальний","Сезонний","Стратегічний"},0),Settings!$C$78,Settings!$C$80,Settings!$C$82,Settings!$C$84,Settings!$C$86),"")</f>
        <v/>
      </c>
      <c r="L208" s="143">
        <f>IFERROR((J208*(1-Settings!$C$17)-C208)/(J208*(1-Settings!$C$17)),"")</f>
        <v/>
      </c>
      <c r="M208" s="149">
        <f>IFERROR(IF(J208="","",IF(J208&gt;=C208/(1-SKU_Base!AA208)/(1-Settings!$C$17),"OK",IF(J208&gt;=C208/(1-SKU_Base!AH208)/(1-Settings!$C$17),"WARN","STOP"))),"")</f>
        <v/>
      </c>
      <c r="N208" s="159">
        <f>IFERROR(ROUND(D208*(1-CHOOSE(MATCH(IF($E208="","Основний",$E208),{"Трафіковий","Основний","Маржинальний","Сезонний","Стратегічний"},0),Settings!$D$78,Settings!$D$80,Settings!$D$82,Settings!$D$84,Settings!$D$86))/6,2)*6,"")</f>
        <v/>
      </c>
      <c r="O208" s="142">
        <f>IFERROR(CHOOSE(MATCH(IF($E208="","Основний",$E208),{"Трафіковий","Основний","Маржинальний","Сезонний","Стратегічний"},0),Settings!$D$78,Settings!$D$80,Settings!$D$82,Settings!$D$84,Settings!$D$86),"")</f>
        <v/>
      </c>
      <c r="P208" s="143">
        <f>IFERROR((N208*(1-Settings!$D$17)-C208)/(N208*(1-Settings!$D$17)),"")</f>
        <v/>
      </c>
      <c r="Q208" s="149">
        <f>IFERROR(IF(N208="","",IF(N208&gt;=C208/(1-SKU_Base!AB208)/(1-Settings!$D$17),"OK",IF(N208&gt;=C208/(1-SKU_Base!AI208)/(1-Settings!$D$17),"WARN","STOP"))),"")</f>
        <v/>
      </c>
      <c r="R208" s="159">
        <f>IFERROR(ROUND(D208*(1-CHOOSE(MATCH(IF($E208="","Основний",$E208),{"Трафіковий","Основний","Маржинальний","Сезонний","Стратегічний"},0),Settings!$E$78,Settings!$E$80,Settings!$E$82,Settings!$E$84,Settings!$E$86))/6,2)*6,"")</f>
        <v/>
      </c>
      <c r="S208" s="142">
        <f>IFERROR(CHOOSE(MATCH(IF($E208="","Основний",$E208),{"Трафіковий","Основний","Маржинальний","Сезонний","Стратегічний"},0),Settings!$E$78,Settings!$E$80,Settings!$E$82,Settings!$E$84,Settings!$E$86),"")</f>
        <v/>
      </c>
      <c r="T208" s="143">
        <f>IFERROR((R208*(1-Settings!$E$17)-C208)/(R208*(1-Settings!$E$17)),"")</f>
        <v/>
      </c>
      <c r="U208" s="149">
        <f>IFERROR(IF(R208="","",IF(R208&gt;=C208/(1-SKU_Base!AC208)/(1-Settings!$E$17),"OK",IF(R208&gt;=C208/(1-SKU_Base!AJ208)/(1-Settings!$E$17),"WARN","STOP"))),"")</f>
        <v/>
      </c>
      <c r="V208" s="159">
        <f>IFERROR(ROUND(D208*(1-CHOOSE(MATCH(IF($E208="","Основний",$E208),{"Трафіковий","Основний","Маржинальний","Сезонний","Стратегічний"},0),Settings!$F$78,Settings!$F$80,Settings!$F$82,Settings!$F$84,Settings!$F$86))/6,2)*6,"")</f>
        <v/>
      </c>
      <c r="W208" s="142">
        <f>IFERROR(CHOOSE(MATCH(IF($E208="","Основний",$E208),{"Трафіковий","Основний","Маржинальний","Сезонний","Стратегічний"},0),Settings!$F$78,Settings!$F$80,Settings!$F$82,Settings!$F$84,Settings!$F$86),"")</f>
        <v/>
      </c>
      <c r="X208" s="143">
        <f>IFERROR((V208*(1-Settings!$F$17)-C208)/(V208*(1-Settings!$F$17)),"")</f>
        <v/>
      </c>
      <c r="Y208" s="149">
        <f>IFERROR(IF(V208="","",IF(V208&gt;=C208/(1-SKU_Base!AD208)/(1-Settings!$F$17),"OK",IF(V208&gt;=C208/(1-SKU_Base!AK208)/(1-Settings!$F$17),"WARN","STOP"))),"")</f>
        <v/>
      </c>
      <c r="Z208" s="159">
        <f>IFERROR(ROUND(D208*(1-CHOOSE(MATCH(IF($E208="","Основний",$E208),{"Трафіковий","Основний","Маржинальний","Сезонний","Стратегічний"},0),Settings!$G$78,Settings!$G$80,Settings!$G$82,Settings!$G$84,Settings!$G$86))/6,2)*6,"")</f>
        <v/>
      </c>
      <c r="AA208" s="142">
        <f>IFERROR(CHOOSE(MATCH(IF($E208="","Основний",$E208),{"Трафіковий","Основний","Маржинальний","Сезонний","Стратегічний"},0),Settings!$G$78,Settings!$G$80,Settings!$G$82,Settings!$G$84,Settings!$G$86),"")</f>
        <v/>
      </c>
      <c r="AB208" s="143">
        <f>IFERROR((Z208*(1-Settings!$G$17)-C208)/(Z208*(1-Settings!$G$17)),"")</f>
        <v/>
      </c>
      <c r="AC208" s="149">
        <f>IFERROR(IF(Z208="","",IF(Z208&gt;=C208/(1-SKU_Base!AE208)/(1-Settings!$G$17),"OK",IF(Z208&gt;=C208/(1-SKU_Base!AL208)/(1-Settings!$G$17),"WARN","STOP"))),"")</f>
        <v/>
      </c>
      <c r="AD208" s="159">
        <f>IFERROR(ROUND(D208*(1-CHOOSE(MATCH(IF($E208="","Основний",$E208),{"Трафіковий","Основний","Маржинальний","Сезонний","Стратегічний"},0),Settings!$H$78,Settings!$H$80,Settings!$H$82,Settings!$H$84,Settings!$H$86))*(1-Settings!$H$68)/6,2)*6,"")</f>
        <v/>
      </c>
      <c r="AE208" s="142">
        <f>IFERROR(CHOOSE(MATCH(IF($E208="","Основний",$E208),{"Трафіковий","Основний","Маржинальний","Сезонний","Стратегічний"},0),Settings!$H$78,Settings!$H$80,Settings!$H$82,Settings!$H$84,Settings!$H$86)+(1-(CHOOSE(MATCH(IF($E208="","Основний",$E208),{"Трафіковий","Основний","Маржинальний","Сезонний","Стратегічний"},0),Settings!$H$78,Settings!$H$80,Settings!$H$82,Settings!$H$84,Settings!$H$86)))*Settings!$H$68,"")</f>
        <v/>
      </c>
      <c r="AF208" s="143">
        <f>IFERROR((AD208*(1-Settings!$H$17)-C208)/(AD208*(1-Settings!$H$17)),"")</f>
        <v/>
      </c>
      <c r="AG208" s="150">
        <f>IFERROR(IF(AD208="","",IF(AD208&gt;=C208/(1-SKU_Base!AF208)/(1-Settings!$H$17),"OK",IF(AD208&gt;=C208/(1-SKU_Base!AM208)/(1-Settings!$H$17),"WARN","STOP"))),"")</f>
        <v/>
      </c>
    </row>
    <row r="209" ht="17" customHeight="1" s="179">
      <c r="A209" s="146">
        <f>SKU_Base!B209</f>
        <v/>
      </c>
      <c r="B209" s="146">
        <f>SKU_Base!C209</f>
        <v/>
      </c>
      <c r="C209" s="147">
        <f>IFERROR(SKU_Base!I209,"")</f>
        <v/>
      </c>
      <c r="D209" s="164">
        <f>IFERROR(SKU_Base!T209,"")</f>
        <v/>
      </c>
      <c r="E209" s="141">
        <f>IFERROR(SKU_Base!$U209,"")</f>
        <v/>
      </c>
      <c r="F209" s="160">
        <f>IFERROR(ROUND(D209*(1-CHOOSE(MATCH(IF($E209="","Основний",$E209),{"Трафіковий","Основний","Маржинальний","Сезонний","Стратегічний"},0),Settings!$B$78,Settings!$B$80,Settings!$B$82,Settings!$B$84,Settings!$B$86))/6,2)*6,"")</f>
        <v/>
      </c>
      <c r="G209" s="142">
        <f>IFERROR(CHOOSE(MATCH(IF($E209="","Основний",$E209),{"Трафіковий","Основний","Маржинальний","Сезонний","Стратегічний"},0),Settings!$B$78,Settings!$B$80,Settings!$B$82,Settings!$B$84,Settings!$B$86),"")</f>
        <v/>
      </c>
      <c r="H209" s="148">
        <f>IFERROR((F209*(1-Settings!$B$17)-C209)/(F209*(1-Settings!$B$17)),"")</f>
        <v/>
      </c>
      <c r="I209" s="149">
        <f>IFERROR(IF(F209="","",IF(F209&gt;=C209/(1-SKU_Base!Z209)/(1-Settings!$B$17),"OK",IF(F209&gt;=C209/(1-SKU_Base!AG209)/(1-Settings!$B$17),"WARN","STOP"))),"")</f>
        <v/>
      </c>
      <c r="J209" s="160">
        <f>IFERROR(ROUND(D209*(1-CHOOSE(MATCH(IF($E209="","Основний",$E209),{"Трафіковий","Основний","Маржинальний","Сезонний","Стратегічний"},0),Settings!$C$78,Settings!$C$80,Settings!$C$82,Settings!$C$84,Settings!$C$86))/6,2)*6,"")</f>
        <v/>
      </c>
      <c r="K209" s="142">
        <f>IFERROR(CHOOSE(MATCH(IF($E209="","Основний",$E209),{"Трафіковий","Основний","Маржинальний","Сезонний","Стратегічний"},0),Settings!$C$78,Settings!$C$80,Settings!$C$82,Settings!$C$84,Settings!$C$86),"")</f>
        <v/>
      </c>
      <c r="L209" s="148">
        <f>IFERROR((J209*(1-Settings!$C$17)-C209)/(J209*(1-Settings!$C$17)),"")</f>
        <v/>
      </c>
      <c r="M209" s="149">
        <f>IFERROR(IF(J209="","",IF(J209&gt;=C209/(1-SKU_Base!AA209)/(1-Settings!$C$17),"OK",IF(J209&gt;=C209/(1-SKU_Base!AH209)/(1-Settings!$C$17),"WARN","STOP"))),"")</f>
        <v/>
      </c>
      <c r="N209" s="161">
        <f>IFERROR(ROUND(D209*(1-CHOOSE(MATCH(IF($E209="","Основний",$E209),{"Трафіковий","Основний","Маржинальний","Сезонний","Стратегічний"},0),Settings!$D$78,Settings!$D$80,Settings!$D$82,Settings!$D$84,Settings!$D$86))/6,2)*6,"")</f>
        <v/>
      </c>
      <c r="O209" s="142">
        <f>IFERROR(CHOOSE(MATCH(IF($E209="","Основний",$E209),{"Трафіковий","Основний","Маржинальний","Сезонний","Стратегічний"},0),Settings!$D$78,Settings!$D$80,Settings!$D$82,Settings!$D$84,Settings!$D$86),"")</f>
        <v/>
      </c>
      <c r="P209" s="148">
        <f>IFERROR((N209*(1-Settings!$D$17)-C209)/(N209*(1-Settings!$D$17)),"")</f>
        <v/>
      </c>
      <c r="Q209" s="149">
        <f>IFERROR(IF(N209="","",IF(N209&gt;=C209/(1-SKU_Base!AB209)/(1-Settings!$D$17),"OK",IF(N209&gt;=C209/(1-SKU_Base!AI209)/(1-Settings!$D$17),"WARN","STOP"))),"")</f>
        <v/>
      </c>
      <c r="R209" s="161">
        <f>IFERROR(ROUND(D209*(1-CHOOSE(MATCH(IF($E209="","Основний",$E209),{"Трафіковий","Основний","Маржинальний","Сезонний","Стратегічний"},0),Settings!$E$78,Settings!$E$80,Settings!$E$82,Settings!$E$84,Settings!$E$86))/6,2)*6,"")</f>
        <v/>
      </c>
      <c r="S209" s="142">
        <f>IFERROR(CHOOSE(MATCH(IF($E209="","Основний",$E209),{"Трафіковий","Основний","Маржинальний","Сезонний","Стратегічний"},0),Settings!$E$78,Settings!$E$80,Settings!$E$82,Settings!$E$84,Settings!$E$86),"")</f>
        <v/>
      </c>
      <c r="T209" s="148">
        <f>IFERROR((R209*(1-Settings!$E$17)-C209)/(R209*(1-Settings!$E$17)),"")</f>
        <v/>
      </c>
      <c r="U209" s="149">
        <f>IFERROR(IF(R209="","",IF(R209&gt;=C209/(1-SKU_Base!AC209)/(1-Settings!$E$17),"OK",IF(R209&gt;=C209/(1-SKU_Base!AJ209)/(1-Settings!$E$17),"WARN","STOP"))),"")</f>
        <v/>
      </c>
      <c r="V209" s="161">
        <f>IFERROR(ROUND(D209*(1-CHOOSE(MATCH(IF($E209="","Основний",$E209),{"Трафіковий","Основний","Маржинальний","Сезонний","Стратегічний"},0),Settings!$F$78,Settings!$F$80,Settings!$F$82,Settings!$F$84,Settings!$F$86))/6,2)*6,"")</f>
        <v/>
      </c>
      <c r="W209" s="142">
        <f>IFERROR(CHOOSE(MATCH(IF($E209="","Основний",$E209),{"Трафіковий","Основний","Маржинальний","Сезонний","Стратегічний"},0),Settings!$F$78,Settings!$F$80,Settings!$F$82,Settings!$F$84,Settings!$F$86),"")</f>
        <v/>
      </c>
      <c r="X209" s="148">
        <f>IFERROR((V209*(1-Settings!$F$17)-C209)/(V209*(1-Settings!$F$17)),"")</f>
        <v/>
      </c>
      <c r="Y209" s="149">
        <f>IFERROR(IF(V209="","",IF(V209&gt;=C209/(1-SKU_Base!AD209)/(1-Settings!$F$17),"OK",IF(V209&gt;=C209/(1-SKU_Base!AK209)/(1-Settings!$F$17),"WARN","STOP"))),"")</f>
        <v/>
      </c>
      <c r="Z209" s="161">
        <f>IFERROR(ROUND(D209*(1-CHOOSE(MATCH(IF($E209="","Основний",$E209),{"Трафіковий","Основний","Маржинальний","Сезонний","Стратегічний"},0),Settings!$G$78,Settings!$G$80,Settings!$G$82,Settings!$G$84,Settings!$G$86))/6,2)*6,"")</f>
        <v/>
      </c>
      <c r="AA209" s="142">
        <f>IFERROR(CHOOSE(MATCH(IF($E209="","Основний",$E209),{"Трафіковий","Основний","Маржинальний","Сезонний","Стратегічний"},0),Settings!$G$78,Settings!$G$80,Settings!$G$82,Settings!$G$84,Settings!$G$86),"")</f>
        <v/>
      </c>
      <c r="AB209" s="148">
        <f>IFERROR((Z209*(1-Settings!$G$17)-C209)/(Z209*(1-Settings!$G$17)),"")</f>
        <v/>
      </c>
      <c r="AC209" s="149">
        <f>IFERROR(IF(Z209="","",IF(Z209&gt;=C209/(1-SKU_Base!AE209)/(1-Settings!$G$17),"OK",IF(Z209&gt;=C209/(1-SKU_Base!AL209)/(1-Settings!$G$17),"WARN","STOP"))),"")</f>
        <v/>
      </c>
      <c r="AD209" s="161">
        <f>IFERROR(ROUND(D209*(1-CHOOSE(MATCH(IF($E209="","Основний",$E209),{"Трафіковий","Основний","Маржинальний","Сезонний","Стратегічний"},0),Settings!$H$78,Settings!$H$80,Settings!$H$82,Settings!$H$84,Settings!$H$86))*(1-Settings!$H$68)/6,2)*6,"")</f>
        <v/>
      </c>
      <c r="AE209" s="142">
        <f>IFERROR(CHOOSE(MATCH(IF($E209="","Основний",$E209),{"Трафіковий","Основний","Маржинальний","Сезонний","Стратегічний"},0),Settings!$H$78,Settings!$H$80,Settings!$H$82,Settings!$H$84,Settings!$H$86)+(1-(CHOOSE(MATCH(IF($E209="","Основний",$E209),{"Трафіковий","Основний","Маржинальний","Сезонний","Стратегічний"},0),Settings!$H$78,Settings!$H$80,Settings!$H$82,Settings!$H$84,Settings!$H$86)))*Settings!$H$68,"")</f>
        <v/>
      </c>
      <c r="AF209" s="148">
        <f>IFERROR((AD209*(1-Settings!$H$17)-C209)/(AD209*(1-Settings!$H$17)),"")</f>
        <v/>
      </c>
      <c r="AG209" s="150">
        <f>IFERROR(IF(AD209="","",IF(AD209&gt;=C209/(1-SKU_Base!AF209)/(1-Settings!$H$17),"OK",IF(AD209&gt;=C209/(1-SKU_Base!AM209)/(1-Settings!$H$17),"WARN","STOP"))),"")</f>
        <v/>
      </c>
    </row>
    <row r="210" ht="17" customHeight="1" s="179">
      <c r="A210" s="139">
        <f>SKU_Base!B210</f>
        <v/>
      </c>
      <c r="B210" s="139">
        <f>SKU_Base!C210</f>
        <v/>
      </c>
      <c r="C210" s="140">
        <f>IFERROR(SKU_Base!I210,"")</f>
        <v/>
      </c>
      <c r="D210" s="163">
        <f>IFERROR(SKU_Base!T210,"")</f>
        <v/>
      </c>
      <c r="E210" s="141">
        <f>IFERROR(SKU_Base!$U210,"")</f>
        <v/>
      </c>
      <c r="F210" s="158">
        <f>IFERROR(ROUND(D210*(1-CHOOSE(MATCH(IF($E210="","Основний",$E210),{"Трафіковий","Основний","Маржинальний","Сезонний","Стратегічний"},0),Settings!$B$78,Settings!$B$80,Settings!$B$82,Settings!$B$84,Settings!$B$86))/6,2)*6,"")</f>
        <v/>
      </c>
      <c r="G210" s="142">
        <f>IFERROR(CHOOSE(MATCH(IF($E210="","Основний",$E210),{"Трафіковий","Основний","Маржинальний","Сезонний","Стратегічний"},0),Settings!$B$78,Settings!$B$80,Settings!$B$82,Settings!$B$84,Settings!$B$86),"")</f>
        <v/>
      </c>
      <c r="H210" s="143">
        <f>IFERROR((F210*(1-Settings!$B$17)-C210)/(F210*(1-Settings!$B$17)),"")</f>
        <v/>
      </c>
      <c r="I210" s="150">
        <f>IFERROR(IF(F210="","",IF(F210&gt;=C210/(1-SKU_Base!Z210)/(1-Settings!$B$17),"OK",IF(F210&gt;=C210/(1-SKU_Base!AG210)/(1-Settings!$B$17),"WARN","STOP"))),"")</f>
        <v/>
      </c>
      <c r="J210" s="158">
        <f>IFERROR(ROUND(D210*(1-CHOOSE(MATCH(IF($E210="","Основний",$E210),{"Трафіковий","Основний","Маржинальний","Сезонний","Стратегічний"},0),Settings!$C$78,Settings!$C$80,Settings!$C$82,Settings!$C$84,Settings!$C$86))/6,2)*6,"")</f>
        <v/>
      </c>
      <c r="K210" s="142">
        <f>IFERROR(CHOOSE(MATCH(IF($E210="","Основний",$E210),{"Трафіковий","Основний","Маржинальний","Сезонний","Стратегічний"},0),Settings!$C$78,Settings!$C$80,Settings!$C$82,Settings!$C$84,Settings!$C$86),"")</f>
        <v/>
      </c>
      <c r="L210" s="143">
        <f>IFERROR((J210*(1-Settings!$C$17)-C210)/(J210*(1-Settings!$C$17)),"")</f>
        <v/>
      </c>
      <c r="M210" s="149">
        <f>IFERROR(IF(J210="","",IF(J210&gt;=C210/(1-SKU_Base!AA210)/(1-Settings!$C$17),"OK",IF(J210&gt;=C210/(1-SKU_Base!AH210)/(1-Settings!$C$17),"WARN","STOP"))),"")</f>
        <v/>
      </c>
      <c r="N210" s="159">
        <f>IFERROR(ROUND(D210*(1-CHOOSE(MATCH(IF($E210="","Основний",$E210),{"Трафіковий","Основний","Маржинальний","Сезонний","Стратегічний"},0),Settings!$D$78,Settings!$D$80,Settings!$D$82,Settings!$D$84,Settings!$D$86))/6,2)*6,"")</f>
        <v/>
      </c>
      <c r="O210" s="142">
        <f>IFERROR(CHOOSE(MATCH(IF($E210="","Основний",$E210),{"Трафіковий","Основний","Маржинальний","Сезонний","Стратегічний"},0),Settings!$D$78,Settings!$D$80,Settings!$D$82,Settings!$D$84,Settings!$D$86),"")</f>
        <v/>
      </c>
      <c r="P210" s="143">
        <f>IFERROR((N210*(1-Settings!$D$17)-C210)/(N210*(1-Settings!$D$17)),"")</f>
        <v/>
      </c>
      <c r="Q210" s="149">
        <f>IFERROR(IF(N210="","",IF(N210&gt;=C210/(1-SKU_Base!AB210)/(1-Settings!$D$17),"OK",IF(N210&gt;=C210/(1-SKU_Base!AI210)/(1-Settings!$D$17),"WARN","STOP"))),"")</f>
        <v/>
      </c>
      <c r="R210" s="159">
        <f>IFERROR(ROUND(D210*(1-CHOOSE(MATCH(IF($E210="","Основний",$E210),{"Трафіковий","Основний","Маржинальний","Сезонний","Стратегічний"},0),Settings!$E$78,Settings!$E$80,Settings!$E$82,Settings!$E$84,Settings!$E$86))/6,2)*6,"")</f>
        <v/>
      </c>
      <c r="S210" s="142">
        <f>IFERROR(CHOOSE(MATCH(IF($E210="","Основний",$E210),{"Трафіковий","Основний","Маржинальний","Сезонний","Стратегічний"},0),Settings!$E$78,Settings!$E$80,Settings!$E$82,Settings!$E$84,Settings!$E$86),"")</f>
        <v/>
      </c>
      <c r="T210" s="143">
        <f>IFERROR((R210*(1-Settings!$E$17)-C210)/(R210*(1-Settings!$E$17)),"")</f>
        <v/>
      </c>
      <c r="U210" s="149">
        <f>IFERROR(IF(R210="","",IF(R210&gt;=C210/(1-SKU_Base!AC210)/(1-Settings!$E$17),"OK",IF(R210&gt;=C210/(1-SKU_Base!AJ210)/(1-Settings!$E$17),"WARN","STOP"))),"")</f>
        <v/>
      </c>
      <c r="V210" s="159">
        <f>IFERROR(ROUND(D210*(1-CHOOSE(MATCH(IF($E210="","Основний",$E210),{"Трафіковий","Основний","Маржинальний","Сезонний","Стратегічний"},0),Settings!$F$78,Settings!$F$80,Settings!$F$82,Settings!$F$84,Settings!$F$86))/6,2)*6,"")</f>
        <v/>
      </c>
      <c r="W210" s="142">
        <f>IFERROR(CHOOSE(MATCH(IF($E210="","Основний",$E210),{"Трафіковий","Основний","Маржинальний","Сезонний","Стратегічний"},0),Settings!$F$78,Settings!$F$80,Settings!$F$82,Settings!$F$84,Settings!$F$86),"")</f>
        <v/>
      </c>
      <c r="X210" s="143">
        <f>IFERROR((V210*(1-Settings!$F$17)-C210)/(V210*(1-Settings!$F$17)),"")</f>
        <v/>
      </c>
      <c r="Y210" s="149">
        <f>IFERROR(IF(V210="","",IF(V210&gt;=C210/(1-SKU_Base!AD210)/(1-Settings!$F$17),"OK",IF(V210&gt;=C210/(1-SKU_Base!AK210)/(1-Settings!$F$17),"WARN","STOP"))),"")</f>
        <v/>
      </c>
      <c r="Z210" s="159">
        <f>IFERROR(ROUND(D210*(1-CHOOSE(MATCH(IF($E210="","Основний",$E210),{"Трафіковий","Основний","Маржинальний","Сезонний","Стратегічний"},0),Settings!$G$78,Settings!$G$80,Settings!$G$82,Settings!$G$84,Settings!$G$86))/6,2)*6,"")</f>
        <v/>
      </c>
      <c r="AA210" s="142">
        <f>IFERROR(CHOOSE(MATCH(IF($E210="","Основний",$E210),{"Трафіковий","Основний","Маржинальний","Сезонний","Стратегічний"},0),Settings!$G$78,Settings!$G$80,Settings!$G$82,Settings!$G$84,Settings!$G$86),"")</f>
        <v/>
      </c>
      <c r="AB210" s="143">
        <f>IFERROR((Z210*(1-Settings!$G$17)-C210)/(Z210*(1-Settings!$G$17)),"")</f>
        <v/>
      </c>
      <c r="AC210" s="149">
        <f>IFERROR(IF(Z210="","",IF(Z210&gt;=C210/(1-SKU_Base!AE210)/(1-Settings!$G$17),"OK",IF(Z210&gt;=C210/(1-SKU_Base!AL210)/(1-Settings!$G$17),"WARN","STOP"))),"")</f>
        <v/>
      </c>
      <c r="AD210" s="159">
        <f>IFERROR(ROUND(D210*(1-CHOOSE(MATCH(IF($E210="","Основний",$E210),{"Трафіковий","Основний","Маржинальний","Сезонний","Стратегічний"},0),Settings!$H$78,Settings!$H$80,Settings!$H$82,Settings!$H$84,Settings!$H$86))*(1-Settings!$H$68)/6,2)*6,"")</f>
        <v/>
      </c>
      <c r="AE210" s="142">
        <f>IFERROR(CHOOSE(MATCH(IF($E210="","Основний",$E210),{"Трафіковий","Основний","Маржинальний","Сезонний","Стратегічний"},0),Settings!$H$78,Settings!$H$80,Settings!$H$82,Settings!$H$84,Settings!$H$86)+(1-(CHOOSE(MATCH(IF($E210="","Основний",$E210),{"Трафіковий","Основний","Маржинальний","Сезонний","Стратегічний"},0),Settings!$H$78,Settings!$H$80,Settings!$H$82,Settings!$H$84,Settings!$H$86)))*Settings!$H$68,"")</f>
        <v/>
      </c>
      <c r="AF210" s="143">
        <f>IFERROR((AD210*(1-Settings!$H$17)-C210)/(AD210*(1-Settings!$H$17)),"")</f>
        <v/>
      </c>
      <c r="AG210" s="150">
        <f>IFERROR(IF(AD210="","",IF(AD210&gt;=C210/(1-SKU_Base!AF210)/(1-Settings!$H$17),"OK",IF(AD210&gt;=C210/(1-SKU_Base!AM210)/(1-Settings!$H$17),"WARN","STOP"))),"")</f>
        <v/>
      </c>
    </row>
    <row r="211" ht="17" customHeight="1" s="179">
      <c r="A211" s="146">
        <f>SKU_Base!B211</f>
        <v/>
      </c>
      <c r="B211" s="146">
        <f>SKU_Base!C211</f>
        <v/>
      </c>
      <c r="C211" s="147">
        <f>IFERROR(SKU_Base!I211,"")</f>
        <v/>
      </c>
      <c r="D211" s="164">
        <f>IFERROR(SKU_Base!T211,"")</f>
        <v/>
      </c>
      <c r="E211" s="141">
        <f>IFERROR(SKU_Base!$U211,"")</f>
        <v/>
      </c>
      <c r="F211" s="160">
        <f>IFERROR(ROUND(D211*(1-CHOOSE(MATCH(IF($E211="","Основний",$E211),{"Трафіковий","Основний","Маржинальний","Сезонний","Стратегічний"},0),Settings!$B$78,Settings!$B$80,Settings!$B$82,Settings!$B$84,Settings!$B$86))/6,2)*6,"")</f>
        <v/>
      </c>
      <c r="G211" s="142">
        <f>IFERROR(CHOOSE(MATCH(IF($E211="","Основний",$E211),{"Трафіковий","Основний","Маржинальний","Сезонний","Стратегічний"},0),Settings!$B$78,Settings!$B$80,Settings!$B$82,Settings!$B$84,Settings!$B$86),"")</f>
        <v/>
      </c>
      <c r="H211" s="148">
        <f>IFERROR((F211*(1-Settings!$B$17)-C211)/(F211*(1-Settings!$B$17)),"")</f>
        <v/>
      </c>
      <c r="I211" s="149">
        <f>IFERROR(IF(F211="","",IF(F211&gt;=C211/(1-SKU_Base!Z211)/(1-Settings!$B$17),"OK",IF(F211&gt;=C211/(1-SKU_Base!AG211)/(1-Settings!$B$17),"WARN","STOP"))),"")</f>
        <v/>
      </c>
      <c r="J211" s="160">
        <f>IFERROR(ROUND(D211*(1-CHOOSE(MATCH(IF($E211="","Основний",$E211),{"Трафіковий","Основний","Маржинальний","Сезонний","Стратегічний"},0),Settings!$C$78,Settings!$C$80,Settings!$C$82,Settings!$C$84,Settings!$C$86))/6,2)*6,"")</f>
        <v/>
      </c>
      <c r="K211" s="142">
        <f>IFERROR(CHOOSE(MATCH(IF($E211="","Основний",$E211),{"Трафіковий","Основний","Маржинальний","Сезонний","Стратегічний"},0),Settings!$C$78,Settings!$C$80,Settings!$C$82,Settings!$C$84,Settings!$C$86),"")</f>
        <v/>
      </c>
      <c r="L211" s="148">
        <f>IFERROR((J211*(1-Settings!$C$17)-C211)/(J211*(1-Settings!$C$17)),"")</f>
        <v/>
      </c>
      <c r="M211" s="149">
        <f>IFERROR(IF(J211="","",IF(J211&gt;=C211/(1-SKU_Base!AA211)/(1-Settings!$C$17),"OK",IF(J211&gt;=C211/(1-SKU_Base!AH211)/(1-Settings!$C$17),"WARN","STOP"))),"")</f>
        <v/>
      </c>
      <c r="N211" s="161">
        <f>IFERROR(ROUND(D211*(1-CHOOSE(MATCH(IF($E211="","Основний",$E211),{"Трафіковий","Основний","Маржинальний","Сезонний","Стратегічний"},0),Settings!$D$78,Settings!$D$80,Settings!$D$82,Settings!$D$84,Settings!$D$86))/6,2)*6,"")</f>
        <v/>
      </c>
      <c r="O211" s="142">
        <f>IFERROR(CHOOSE(MATCH(IF($E211="","Основний",$E211),{"Трафіковий","Основний","Маржинальний","Сезонний","Стратегічний"},0),Settings!$D$78,Settings!$D$80,Settings!$D$82,Settings!$D$84,Settings!$D$86),"")</f>
        <v/>
      </c>
      <c r="P211" s="148">
        <f>IFERROR((N211*(1-Settings!$D$17)-C211)/(N211*(1-Settings!$D$17)),"")</f>
        <v/>
      </c>
      <c r="Q211" s="149">
        <f>IFERROR(IF(N211="","",IF(N211&gt;=C211/(1-SKU_Base!AB211)/(1-Settings!$D$17),"OK",IF(N211&gt;=C211/(1-SKU_Base!AI211)/(1-Settings!$D$17),"WARN","STOP"))),"")</f>
        <v/>
      </c>
      <c r="R211" s="161">
        <f>IFERROR(ROUND(D211*(1-CHOOSE(MATCH(IF($E211="","Основний",$E211),{"Трафіковий","Основний","Маржинальний","Сезонний","Стратегічний"},0),Settings!$E$78,Settings!$E$80,Settings!$E$82,Settings!$E$84,Settings!$E$86))/6,2)*6,"")</f>
        <v/>
      </c>
      <c r="S211" s="142">
        <f>IFERROR(CHOOSE(MATCH(IF($E211="","Основний",$E211),{"Трафіковий","Основний","Маржинальний","Сезонний","Стратегічний"},0),Settings!$E$78,Settings!$E$80,Settings!$E$82,Settings!$E$84,Settings!$E$86),"")</f>
        <v/>
      </c>
      <c r="T211" s="148">
        <f>IFERROR((R211*(1-Settings!$E$17)-C211)/(R211*(1-Settings!$E$17)),"")</f>
        <v/>
      </c>
      <c r="U211" s="149">
        <f>IFERROR(IF(R211="","",IF(R211&gt;=C211/(1-SKU_Base!AC211)/(1-Settings!$E$17),"OK",IF(R211&gt;=C211/(1-SKU_Base!AJ211)/(1-Settings!$E$17),"WARN","STOP"))),"")</f>
        <v/>
      </c>
      <c r="V211" s="161">
        <f>IFERROR(ROUND(D211*(1-CHOOSE(MATCH(IF($E211="","Основний",$E211),{"Трафіковий","Основний","Маржинальний","Сезонний","Стратегічний"},0),Settings!$F$78,Settings!$F$80,Settings!$F$82,Settings!$F$84,Settings!$F$86))/6,2)*6,"")</f>
        <v/>
      </c>
      <c r="W211" s="142">
        <f>IFERROR(CHOOSE(MATCH(IF($E211="","Основний",$E211),{"Трафіковий","Основний","Маржинальний","Сезонний","Стратегічний"},0),Settings!$F$78,Settings!$F$80,Settings!$F$82,Settings!$F$84,Settings!$F$86),"")</f>
        <v/>
      </c>
      <c r="X211" s="148">
        <f>IFERROR((V211*(1-Settings!$F$17)-C211)/(V211*(1-Settings!$F$17)),"")</f>
        <v/>
      </c>
      <c r="Y211" s="149">
        <f>IFERROR(IF(V211="","",IF(V211&gt;=C211/(1-SKU_Base!AD211)/(1-Settings!$F$17),"OK",IF(V211&gt;=C211/(1-SKU_Base!AK211)/(1-Settings!$F$17),"WARN","STOP"))),"")</f>
        <v/>
      </c>
      <c r="Z211" s="161">
        <f>IFERROR(ROUND(D211*(1-CHOOSE(MATCH(IF($E211="","Основний",$E211),{"Трафіковий","Основний","Маржинальний","Сезонний","Стратегічний"},0),Settings!$G$78,Settings!$G$80,Settings!$G$82,Settings!$G$84,Settings!$G$86))/6,2)*6,"")</f>
        <v/>
      </c>
      <c r="AA211" s="142">
        <f>IFERROR(CHOOSE(MATCH(IF($E211="","Основний",$E211),{"Трафіковий","Основний","Маржинальний","Сезонний","Стратегічний"},0),Settings!$G$78,Settings!$G$80,Settings!$G$82,Settings!$G$84,Settings!$G$86),"")</f>
        <v/>
      </c>
      <c r="AB211" s="148">
        <f>IFERROR((Z211*(1-Settings!$G$17)-C211)/(Z211*(1-Settings!$G$17)),"")</f>
        <v/>
      </c>
      <c r="AC211" s="149">
        <f>IFERROR(IF(Z211="","",IF(Z211&gt;=C211/(1-SKU_Base!AE211)/(1-Settings!$G$17),"OK",IF(Z211&gt;=C211/(1-SKU_Base!AL211)/(1-Settings!$G$17),"WARN","STOP"))),"")</f>
        <v/>
      </c>
      <c r="AD211" s="161">
        <f>IFERROR(ROUND(D211*(1-CHOOSE(MATCH(IF($E211="","Основний",$E211),{"Трафіковий","Основний","Маржинальний","Сезонний","Стратегічний"},0),Settings!$H$78,Settings!$H$80,Settings!$H$82,Settings!$H$84,Settings!$H$86))*(1-Settings!$H$68)/6,2)*6,"")</f>
        <v/>
      </c>
      <c r="AE211" s="142">
        <f>IFERROR(CHOOSE(MATCH(IF($E211="","Основний",$E211),{"Трафіковий","Основний","Маржинальний","Сезонний","Стратегічний"},0),Settings!$H$78,Settings!$H$80,Settings!$H$82,Settings!$H$84,Settings!$H$86)+(1-(CHOOSE(MATCH(IF($E211="","Основний",$E211),{"Трафіковий","Основний","Маржинальний","Сезонний","Стратегічний"},0),Settings!$H$78,Settings!$H$80,Settings!$H$82,Settings!$H$84,Settings!$H$86)))*Settings!$H$68,"")</f>
        <v/>
      </c>
      <c r="AF211" s="148">
        <f>IFERROR((AD211*(1-Settings!$H$17)-C211)/(AD211*(1-Settings!$H$17)),"")</f>
        <v/>
      </c>
      <c r="AG211" s="150">
        <f>IFERROR(IF(AD211="","",IF(AD211&gt;=C211/(1-SKU_Base!AF211)/(1-Settings!$H$17),"OK",IF(AD211&gt;=C211/(1-SKU_Base!AM211)/(1-Settings!$H$17),"WARN","STOP"))),"")</f>
        <v/>
      </c>
    </row>
    <row r="212" ht="17" customHeight="1" s="179">
      <c r="A212" s="139">
        <f>SKU_Base!B212</f>
        <v/>
      </c>
      <c r="B212" s="139">
        <f>SKU_Base!C212</f>
        <v/>
      </c>
      <c r="C212" s="140">
        <f>IFERROR(SKU_Base!I212,"")</f>
        <v/>
      </c>
      <c r="D212" s="163">
        <f>IFERROR(SKU_Base!T212,"")</f>
        <v/>
      </c>
      <c r="E212" s="141">
        <f>IFERROR(SKU_Base!$U212,"")</f>
        <v/>
      </c>
      <c r="F212" s="158">
        <f>IFERROR(ROUND(D212*(1-CHOOSE(MATCH(IF($E212="","Основний",$E212),{"Трафіковий","Основний","Маржинальний","Сезонний","Стратегічний"},0),Settings!$B$78,Settings!$B$80,Settings!$B$82,Settings!$B$84,Settings!$B$86))/6,2)*6,"")</f>
        <v/>
      </c>
      <c r="G212" s="142">
        <f>IFERROR(CHOOSE(MATCH(IF($E212="","Основний",$E212),{"Трафіковий","Основний","Маржинальний","Сезонний","Стратегічний"},0),Settings!$B$78,Settings!$B$80,Settings!$B$82,Settings!$B$84,Settings!$B$86),"")</f>
        <v/>
      </c>
      <c r="H212" s="143">
        <f>IFERROR((F212*(1-Settings!$B$17)-C212)/(F212*(1-Settings!$B$17)),"")</f>
        <v/>
      </c>
      <c r="I212" s="149">
        <f>IFERROR(IF(F212="","",IF(F212&gt;=C212/(1-SKU_Base!Z212)/(1-Settings!$B$17),"OK",IF(F212&gt;=C212/(1-SKU_Base!AG212)/(1-Settings!$B$17),"WARN","STOP"))),"")</f>
        <v/>
      </c>
      <c r="J212" s="158">
        <f>IFERROR(ROUND(D212*(1-CHOOSE(MATCH(IF($E212="","Основний",$E212),{"Трафіковий","Основний","Маржинальний","Сезонний","Стратегічний"},0),Settings!$C$78,Settings!$C$80,Settings!$C$82,Settings!$C$84,Settings!$C$86))/6,2)*6,"")</f>
        <v/>
      </c>
      <c r="K212" s="142">
        <f>IFERROR(CHOOSE(MATCH(IF($E212="","Основний",$E212),{"Трафіковий","Основний","Маржинальний","Сезонний","Стратегічний"},0),Settings!$C$78,Settings!$C$80,Settings!$C$82,Settings!$C$84,Settings!$C$86),"")</f>
        <v/>
      </c>
      <c r="L212" s="143">
        <f>IFERROR((J212*(1-Settings!$C$17)-C212)/(J212*(1-Settings!$C$17)),"")</f>
        <v/>
      </c>
      <c r="M212" s="149">
        <f>IFERROR(IF(J212="","",IF(J212&gt;=C212/(1-SKU_Base!AA212)/(1-Settings!$C$17),"OK",IF(J212&gt;=C212/(1-SKU_Base!AH212)/(1-Settings!$C$17),"WARN","STOP"))),"")</f>
        <v/>
      </c>
      <c r="N212" s="159">
        <f>IFERROR(ROUND(D212*(1-CHOOSE(MATCH(IF($E212="","Основний",$E212),{"Трафіковий","Основний","Маржинальний","Сезонний","Стратегічний"},0),Settings!$D$78,Settings!$D$80,Settings!$D$82,Settings!$D$84,Settings!$D$86))/6,2)*6,"")</f>
        <v/>
      </c>
      <c r="O212" s="142">
        <f>IFERROR(CHOOSE(MATCH(IF($E212="","Основний",$E212),{"Трафіковий","Основний","Маржинальний","Сезонний","Стратегічний"},0),Settings!$D$78,Settings!$D$80,Settings!$D$82,Settings!$D$84,Settings!$D$86),"")</f>
        <v/>
      </c>
      <c r="P212" s="143">
        <f>IFERROR((N212*(1-Settings!$D$17)-C212)/(N212*(1-Settings!$D$17)),"")</f>
        <v/>
      </c>
      <c r="Q212" s="149">
        <f>IFERROR(IF(N212="","",IF(N212&gt;=C212/(1-SKU_Base!AB212)/(1-Settings!$D$17),"OK",IF(N212&gt;=C212/(1-SKU_Base!AI212)/(1-Settings!$D$17),"WARN","STOP"))),"")</f>
        <v/>
      </c>
      <c r="R212" s="159">
        <f>IFERROR(ROUND(D212*(1-CHOOSE(MATCH(IF($E212="","Основний",$E212),{"Трафіковий","Основний","Маржинальний","Сезонний","Стратегічний"},0),Settings!$E$78,Settings!$E$80,Settings!$E$82,Settings!$E$84,Settings!$E$86))/6,2)*6,"")</f>
        <v/>
      </c>
      <c r="S212" s="142">
        <f>IFERROR(CHOOSE(MATCH(IF($E212="","Основний",$E212),{"Трафіковий","Основний","Маржинальний","Сезонний","Стратегічний"},0),Settings!$E$78,Settings!$E$80,Settings!$E$82,Settings!$E$84,Settings!$E$86),"")</f>
        <v/>
      </c>
      <c r="T212" s="143">
        <f>IFERROR((R212*(1-Settings!$E$17)-C212)/(R212*(1-Settings!$E$17)),"")</f>
        <v/>
      </c>
      <c r="U212" s="149">
        <f>IFERROR(IF(R212="","",IF(R212&gt;=C212/(1-SKU_Base!AC212)/(1-Settings!$E$17),"OK",IF(R212&gt;=C212/(1-SKU_Base!AJ212)/(1-Settings!$E$17),"WARN","STOP"))),"")</f>
        <v/>
      </c>
      <c r="V212" s="159">
        <f>IFERROR(ROUND(D212*(1-CHOOSE(MATCH(IF($E212="","Основний",$E212),{"Трафіковий","Основний","Маржинальний","Сезонний","Стратегічний"},0),Settings!$F$78,Settings!$F$80,Settings!$F$82,Settings!$F$84,Settings!$F$86))/6,2)*6,"")</f>
        <v/>
      </c>
      <c r="W212" s="142">
        <f>IFERROR(CHOOSE(MATCH(IF($E212="","Основний",$E212),{"Трафіковий","Основний","Маржинальний","Сезонний","Стратегічний"},0),Settings!$F$78,Settings!$F$80,Settings!$F$82,Settings!$F$84,Settings!$F$86),"")</f>
        <v/>
      </c>
      <c r="X212" s="143">
        <f>IFERROR((V212*(1-Settings!$F$17)-C212)/(V212*(1-Settings!$F$17)),"")</f>
        <v/>
      </c>
      <c r="Y212" s="149">
        <f>IFERROR(IF(V212="","",IF(V212&gt;=C212/(1-SKU_Base!AD212)/(1-Settings!$F$17),"OK",IF(V212&gt;=C212/(1-SKU_Base!AK212)/(1-Settings!$F$17),"WARN","STOP"))),"")</f>
        <v/>
      </c>
      <c r="Z212" s="159">
        <f>IFERROR(ROUND(D212*(1-CHOOSE(MATCH(IF($E212="","Основний",$E212),{"Трафіковий","Основний","Маржинальний","Сезонний","Стратегічний"},0),Settings!$G$78,Settings!$G$80,Settings!$G$82,Settings!$G$84,Settings!$G$86))/6,2)*6,"")</f>
        <v/>
      </c>
      <c r="AA212" s="142">
        <f>IFERROR(CHOOSE(MATCH(IF($E212="","Основний",$E212),{"Трафіковий","Основний","Маржинальний","Сезонний","Стратегічний"},0),Settings!$G$78,Settings!$G$80,Settings!$G$82,Settings!$G$84,Settings!$G$86),"")</f>
        <v/>
      </c>
      <c r="AB212" s="143">
        <f>IFERROR((Z212*(1-Settings!$G$17)-C212)/(Z212*(1-Settings!$G$17)),"")</f>
        <v/>
      </c>
      <c r="AC212" s="149">
        <f>IFERROR(IF(Z212="","",IF(Z212&gt;=C212/(1-SKU_Base!AE212)/(1-Settings!$G$17),"OK",IF(Z212&gt;=C212/(1-SKU_Base!AL212)/(1-Settings!$G$17),"WARN","STOP"))),"")</f>
        <v/>
      </c>
      <c r="AD212" s="159">
        <f>IFERROR(ROUND(D212*(1-CHOOSE(MATCH(IF($E212="","Основний",$E212),{"Трафіковий","Основний","Маржинальний","Сезонний","Стратегічний"},0),Settings!$H$78,Settings!$H$80,Settings!$H$82,Settings!$H$84,Settings!$H$86))*(1-Settings!$H$68)/6,2)*6,"")</f>
        <v/>
      </c>
      <c r="AE212" s="142">
        <f>IFERROR(CHOOSE(MATCH(IF($E212="","Основний",$E212),{"Трафіковий","Основний","Маржинальний","Сезонний","Стратегічний"},0),Settings!$H$78,Settings!$H$80,Settings!$H$82,Settings!$H$84,Settings!$H$86)+(1-(CHOOSE(MATCH(IF($E212="","Основний",$E212),{"Трафіковий","Основний","Маржинальний","Сезонний","Стратегічний"},0),Settings!$H$78,Settings!$H$80,Settings!$H$82,Settings!$H$84,Settings!$H$86)))*Settings!$H$68,"")</f>
        <v/>
      </c>
      <c r="AF212" s="143">
        <f>IFERROR((AD212*(1-Settings!$H$17)-C212)/(AD212*(1-Settings!$H$17)),"")</f>
        <v/>
      </c>
      <c r="AG212" s="150">
        <f>IFERROR(IF(AD212="","",IF(AD212&gt;=C212/(1-SKU_Base!AF212)/(1-Settings!$H$17),"OK",IF(AD212&gt;=C212/(1-SKU_Base!AM212)/(1-Settings!$H$17),"WARN","STOP"))),"")</f>
        <v/>
      </c>
    </row>
    <row r="213" ht="17" customHeight="1" s="179">
      <c r="A213" s="146">
        <f>SKU_Base!B213</f>
        <v/>
      </c>
      <c r="B213" s="146">
        <f>SKU_Base!C213</f>
        <v/>
      </c>
      <c r="C213" s="147">
        <f>IFERROR(SKU_Base!I213,"")</f>
        <v/>
      </c>
      <c r="D213" s="164">
        <f>IFERROR(SKU_Base!T213,"")</f>
        <v/>
      </c>
      <c r="E213" s="141">
        <f>IFERROR(SKU_Base!$U213,"")</f>
        <v/>
      </c>
      <c r="F213" s="160">
        <f>IFERROR(ROUND(D213*(1-CHOOSE(MATCH(IF($E213="","Основний",$E213),{"Трафіковий","Основний","Маржинальний","Сезонний","Стратегічний"},0),Settings!$B$78,Settings!$B$80,Settings!$B$82,Settings!$B$84,Settings!$B$86))/6,2)*6,"")</f>
        <v/>
      </c>
      <c r="G213" s="142">
        <f>IFERROR(CHOOSE(MATCH(IF($E213="","Основний",$E213),{"Трафіковий","Основний","Маржинальний","Сезонний","Стратегічний"},0),Settings!$B$78,Settings!$B$80,Settings!$B$82,Settings!$B$84,Settings!$B$86),"")</f>
        <v/>
      </c>
      <c r="H213" s="148">
        <f>IFERROR((F213*(1-Settings!$B$17)-C213)/(F213*(1-Settings!$B$17)),"")</f>
        <v/>
      </c>
      <c r="I213" s="149">
        <f>IFERROR(IF(F213="","",IF(F213&gt;=C213/(1-SKU_Base!Z213)/(1-Settings!$B$17),"OK",IF(F213&gt;=C213/(1-SKU_Base!AG213)/(1-Settings!$B$17),"WARN","STOP"))),"")</f>
        <v/>
      </c>
      <c r="J213" s="160">
        <f>IFERROR(ROUND(D213*(1-CHOOSE(MATCH(IF($E213="","Основний",$E213),{"Трафіковий","Основний","Маржинальний","Сезонний","Стратегічний"},0),Settings!$C$78,Settings!$C$80,Settings!$C$82,Settings!$C$84,Settings!$C$86))/6,2)*6,"")</f>
        <v/>
      </c>
      <c r="K213" s="142">
        <f>IFERROR(CHOOSE(MATCH(IF($E213="","Основний",$E213),{"Трафіковий","Основний","Маржинальний","Сезонний","Стратегічний"},0),Settings!$C$78,Settings!$C$80,Settings!$C$82,Settings!$C$84,Settings!$C$86),"")</f>
        <v/>
      </c>
      <c r="L213" s="148">
        <f>IFERROR((J213*(1-Settings!$C$17)-C213)/(J213*(1-Settings!$C$17)),"")</f>
        <v/>
      </c>
      <c r="M213" s="149">
        <f>IFERROR(IF(J213="","",IF(J213&gt;=C213/(1-SKU_Base!AA213)/(1-Settings!$C$17),"OK",IF(J213&gt;=C213/(1-SKU_Base!AH213)/(1-Settings!$C$17),"WARN","STOP"))),"")</f>
        <v/>
      </c>
      <c r="N213" s="161">
        <f>IFERROR(ROUND(D213*(1-CHOOSE(MATCH(IF($E213="","Основний",$E213),{"Трафіковий","Основний","Маржинальний","Сезонний","Стратегічний"},0),Settings!$D$78,Settings!$D$80,Settings!$D$82,Settings!$D$84,Settings!$D$86))/6,2)*6,"")</f>
        <v/>
      </c>
      <c r="O213" s="142">
        <f>IFERROR(CHOOSE(MATCH(IF($E213="","Основний",$E213),{"Трафіковий","Основний","Маржинальний","Сезонний","Стратегічний"},0),Settings!$D$78,Settings!$D$80,Settings!$D$82,Settings!$D$84,Settings!$D$86),"")</f>
        <v/>
      </c>
      <c r="P213" s="148">
        <f>IFERROR((N213*(1-Settings!$D$17)-C213)/(N213*(1-Settings!$D$17)),"")</f>
        <v/>
      </c>
      <c r="Q213" s="149">
        <f>IFERROR(IF(N213="","",IF(N213&gt;=C213/(1-SKU_Base!AB213)/(1-Settings!$D$17),"OK",IF(N213&gt;=C213/(1-SKU_Base!AI213)/(1-Settings!$D$17),"WARN","STOP"))),"")</f>
        <v/>
      </c>
      <c r="R213" s="161">
        <f>IFERROR(ROUND(D213*(1-CHOOSE(MATCH(IF($E213="","Основний",$E213),{"Трафіковий","Основний","Маржинальний","Сезонний","Стратегічний"},0),Settings!$E$78,Settings!$E$80,Settings!$E$82,Settings!$E$84,Settings!$E$86))/6,2)*6,"")</f>
        <v/>
      </c>
      <c r="S213" s="142">
        <f>IFERROR(CHOOSE(MATCH(IF($E213="","Основний",$E213),{"Трафіковий","Основний","Маржинальний","Сезонний","Стратегічний"},0),Settings!$E$78,Settings!$E$80,Settings!$E$82,Settings!$E$84,Settings!$E$86),"")</f>
        <v/>
      </c>
      <c r="T213" s="148">
        <f>IFERROR((R213*(1-Settings!$E$17)-C213)/(R213*(1-Settings!$E$17)),"")</f>
        <v/>
      </c>
      <c r="U213" s="149">
        <f>IFERROR(IF(R213="","",IF(R213&gt;=C213/(1-SKU_Base!AC213)/(1-Settings!$E$17),"OK",IF(R213&gt;=C213/(1-SKU_Base!AJ213)/(1-Settings!$E$17),"WARN","STOP"))),"")</f>
        <v/>
      </c>
      <c r="V213" s="161">
        <f>IFERROR(ROUND(D213*(1-CHOOSE(MATCH(IF($E213="","Основний",$E213),{"Трафіковий","Основний","Маржинальний","Сезонний","Стратегічний"},0),Settings!$F$78,Settings!$F$80,Settings!$F$82,Settings!$F$84,Settings!$F$86))/6,2)*6,"")</f>
        <v/>
      </c>
      <c r="W213" s="142">
        <f>IFERROR(CHOOSE(MATCH(IF($E213="","Основний",$E213),{"Трафіковий","Основний","Маржинальний","Сезонний","Стратегічний"},0),Settings!$F$78,Settings!$F$80,Settings!$F$82,Settings!$F$84,Settings!$F$86),"")</f>
        <v/>
      </c>
      <c r="X213" s="148">
        <f>IFERROR((V213*(1-Settings!$F$17)-C213)/(V213*(1-Settings!$F$17)),"")</f>
        <v/>
      </c>
      <c r="Y213" s="149">
        <f>IFERROR(IF(V213="","",IF(V213&gt;=C213/(1-SKU_Base!AD213)/(1-Settings!$F$17),"OK",IF(V213&gt;=C213/(1-SKU_Base!AK213)/(1-Settings!$F$17),"WARN","STOP"))),"")</f>
        <v/>
      </c>
      <c r="Z213" s="161">
        <f>IFERROR(ROUND(D213*(1-CHOOSE(MATCH(IF($E213="","Основний",$E213),{"Трафіковий","Основний","Маржинальний","Сезонний","Стратегічний"},0),Settings!$G$78,Settings!$G$80,Settings!$G$82,Settings!$G$84,Settings!$G$86))/6,2)*6,"")</f>
        <v/>
      </c>
      <c r="AA213" s="142">
        <f>IFERROR(CHOOSE(MATCH(IF($E213="","Основний",$E213),{"Трафіковий","Основний","Маржинальний","Сезонний","Стратегічний"},0),Settings!$G$78,Settings!$G$80,Settings!$G$82,Settings!$G$84,Settings!$G$86),"")</f>
        <v/>
      </c>
      <c r="AB213" s="148">
        <f>IFERROR((Z213*(1-Settings!$G$17)-C213)/(Z213*(1-Settings!$G$17)),"")</f>
        <v/>
      </c>
      <c r="AC213" s="149">
        <f>IFERROR(IF(Z213="","",IF(Z213&gt;=C213/(1-SKU_Base!AE213)/(1-Settings!$G$17),"OK",IF(Z213&gt;=C213/(1-SKU_Base!AL213)/(1-Settings!$G$17),"WARN","STOP"))),"")</f>
        <v/>
      </c>
      <c r="AD213" s="161">
        <f>IFERROR(ROUND(D213*(1-CHOOSE(MATCH(IF($E213="","Основний",$E213),{"Трафіковий","Основний","Маржинальний","Сезонний","Стратегічний"},0),Settings!$H$78,Settings!$H$80,Settings!$H$82,Settings!$H$84,Settings!$H$86))*(1-Settings!$H$68)/6,2)*6,"")</f>
        <v/>
      </c>
      <c r="AE213" s="142">
        <f>IFERROR(CHOOSE(MATCH(IF($E213="","Основний",$E213),{"Трафіковий","Основний","Маржинальний","Сезонний","Стратегічний"},0),Settings!$H$78,Settings!$H$80,Settings!$H$82,Settings!$H$84,Settings!$H$86)+(1-(CHOOSE(MATCH(IF($E213="","Основний",$E213),{"Трафіковий","Основний","Маржинальний","Сезонний","Стратегічний"},0),Settings!$H$78,Settings!$H$80,Settings!$H$82,Settings!$H$84,Settings!$H$86)))*Settings!$H$68,"")</f>
        <v/>
      </c>
      <c r="AF213" s="148">
        <f>IFERROR((AD213*(1-Settings!$H$17)-C213)/(AD213*(1-Settings!$H$17)),"")</f>
        <v/>
      </c>
      <c r="AG213" s="149">
        <f>IFERROR(IF(AD213="","",IF(AD213&gt;=C213/(1-SKU_Base!AF213)/(1-Settings!$H$17),"OK",IF(AD213&gt;=C213/(1-SKU_Base!AM213)/(1-Settings!$H$17),"WARN","STOP"))),"")</f>
        <v/>
      </c>
    </row>
    <row r="214" ht="17" customHeight="1" s="179">
      <c r="A214" s="139">
        <f>SKU_Base!B214</f>
        <v/>
      </c>
      <c r="B214" s="139">
        <f>SKU_Base!C214</f>
        <v/>
      </c>
      <c r="C214" s="140">
        <f>IFERROR(SKU_Base!I214,"")</f>
        <v/>
      </c>
      <c r="D214" s="163">
        <f>IFERROR(SKU_Base!T214,"")</f>
        <v/>
      </c>
      <c r="E214" s="141">
        <f>IFERROR(SKU_Base!$U214,"")</f>
        <v/>
      </c>
      <c r="F214" s="158">
        <f>IFERROR(ROUND(D214*(1-CHOOSE(MATCH(IF($E214="","Основний",$E214),{"Трафіковий","Основний","Маржинальний","Сезонний","Стратегічний"},0),Settings!$B$78,Settings!$B$80,Settings!$B$82,Settings!$B$84,Settings!$B$86))/6,2)*6,"")</f>
        <v/>
      </c>
      <c r="G214" s="142">
        <f>IFERROR(CHOOSE(MATCH(IF($E214="","Основний",$E214),{"Трафіковий","Основний","Маржинальний","Сезонний","Стратегічний"},0),Settings!$B$78,Settings!$B$80,Settings!$B$82,Settings!$B$84,Settings!$B$86),"")</f>
        <v/>
      </c>
      <c r="H214" s="143">
        <f>IFERROR((F214*(1-Settings!$B$17)-C214)/(F214*(1-Settings!$B$17)),"")</f>
        <v/>
      </c>
      <c r="I214" s="149">
        <f>IFERROR(IF(F214="","",IF(F214&gt;=C214/(1-SKU_Base!Z214)/(1-Settings!$B$17),"OK",IF(F214&gt;=C214/(1-SKU_Base!AG214)/(1-Settings!$B$17),"WARN","STOP"))),"")</f>
        <v/>
      </c>
      <c r="J214" s="158">
        <f>IFERROR(ROUND(D214*(1-CHOOSE(MATCH(IF($E214="","Основний",$E214),{"Трафіковий","Основний","Маржинальний","Сезонний","Стратегічний"},0),Settings!$C$78,Settings!$C$80,Settings!$C$82,Settings!$C$84,Settings!$C$86))/6,2)*6,"")</f>
        <v/>
      </c>
      <c r="K214" s="142">
        <f>IFERROR(CHOOSE(MATCH(IF($E214="","Основний",$E214),{"Трафіковий","Основний","Маржинальний","Сезонний","Стратегічний"},0),Settings!$C$78,Settings!$C$80,Settings!$C$82,Settings!$C$84,Settings!$C$86),"")</f>
        <v/>
      </c>
      <c r="L214" s="143">
        <f>IFERROR((J214*(1-Settings!$C$17)-C214)/(J214*(1-Settings!$C$17)),"")</f>
        <v/>
      </c>
      <c r="M214" s="149">
        <f>IFERROR(IF(J214="","",IF(J214&gt;=C214/(1-SKU_Base!AA214)/(1-Settings!$C$17),"OK",IF(J214&gt;=C214/(1-SKU_Base!AH214)/(1-Settings!$C$17),"WARN","STOP"))),"")</f>
        <v/>
      </c>
      <c r="N214" s="159">
        <f>IFERROR(ROUND(D214*(1-CHOOSE(MATCH(IF($E214="","Основний",$E214),{"Трафіковий","Основний","Маржинальний","Сезонний","Стратегічний"},0),Settings!$D$78,Settings!$D$80,Settings!$D$82,Settings!$D$84,Settings!$D$86))/6,2)*6,"")</f>
        <v/>
      </c>
      <c r="O214" s="142">
        <f>IFERROR(CHOOSE(MATCH(IF($E214="","Основний",$E214),{"Трафіковий","Основний","Маржинальний","Сезонний","Стратегічний"},0),Settings!$D$78,Settings!$D$80,Settings!$D$82,Settings!$D$84,Settings!$D$86),"")</f>
        <v/>
      </c>
      <c r="P214" s="143">
        <f>IFERROR((N214*(1-Settings!$D$17)-C214)/(N214*(1-Settings!$D$17)),"")</f>
        <v/>
      </c>
      <c r="Q214" s="149">
        <f>IFERROR(IF(N214="","",IF(N214&gt;=C214/(1-SKU_Base!AB214)/(1-Settings!$D$17),"OK",IF(N214&gt;=C214/(1-SKU_Base!AI214)/(1-Settings!$D$17),"WARN","STOP"))),"")</f>
        <v/>
      </c>
      <c r="R214" s="159">
        <f>IFERROR(ROUND(D214*(1-CHOOSE(MATCH(IF($E214="","Основний",$E214),{"Трафіковий","Основний","Маржинальний","Сезонний","Стратегічний"},0),Settings!$E$78,Settings!$E$80,Settings!$E$82,Settings!$E$84,Settings!$E$86))/6,2)*6,"")</f>
        <v/>
      </c>
      <c r="S214" s="142">
        <f>IFERROR(CHOOSE(MATCH(IF($E214="","Основний",$E214),{"Трафіковий","Основний","Маржинальний","Сезонний","Стратегічний"},0),Settings!$E$78,Settings!$E$80,Settings!$E$82,Settings!$E$84,Settings!$E$86),"")</f>
        <v/>
      </c>
      <c r="T214" s="143">
        <f>IFERROR((R214*(1-Settings!$E$17)-C214)/(R214*(1-Settings!$E$17)),"")</f>
        <v/>
      </c>
      <c r="U214" s="149">
        <f>IFERROR(IF(R214="","",IF(R214&gt;=C214/(1-SKU_Base!AC214)/(1-Settings!$E$17),"OK",IF(R214&gt;=C214/(1-SKU_Base!AJ214)/(1-Settings!$E$17),"WARN","STOP"))),"")</f>
        <v/>
      </c>
      <c r="V214" s="159">
        <f>IFERROR(ROUND(D214*(1-CHOOSE(MATCH(IF($E214="","Основний",$E214),{"Трафіковий","Основний","Маржинальний","Сезонний","Стратегічний"},0),Settings!$F$78,Settings!$F$80,Settings!$F$82,Settings!$F$84,Settings!$F$86))/6,2)*6,"")</f>
        <v/>
      </c>
      <c r="W214" s="142">
        <f>IFERROR(CHOOSE(MATCH(IF($E214="","Основний",$E214),{"Трафіковий","Основний","Маржинальний","Сезонний","Стратегічний"},0),Settings!$F$78,Settings!$F$80,Settings!$F$82,Settings!$F$84,Settings!$F$86),"")</f>
        <v/>
      </c>
      <c r="X214" s="143">
        <f>IFERROR((V214*(1-Settings!$F$17)-C214)/(V214*(1-Settings!$F$17)),"")</f>
        <v/>
      </c>
      <c r="Y214" s="149">
        <f>IFERROR(IF(V214="","",IF(V214&gt;=C214/(1-SKU_Base!AD214)/(1-Settings!$F$17),"OK",IF(V214&gt;=C214/(1-SKU_Base!AK214)/(1-Settings!$F$17),"WARN","STOP"))),"")</f>
        <v/>
      </c>
      <c r="Z214" s="159">
        <f>IFERROR(ROUND(D214*(1-CHOOSE(MATCH(IF($E214="","Основний",$E214),{"Трафіковий","Основний","Маржинальний","Сезонний","Стратегічний"},0),Settings!$G$78,Settings!$G$80,Settings!$G$82,Settings!$G$84,Settings!$G$86))/6,2)*6,"")</f>
        <v/>
      </c>
      <c r="AA214" s="142">
        <f>IFERROR(CHOOSE(MATCH(IF($E214="","Основний",$E214),{"Трафіковий","Основний","Маржинальний","Сезонний","Стратегічний"},0),Settings!$G$78,Settings!$G$80,Settings!$G$82,Settings!$G$84,Settings!$G$86),"")</f>
        <v/>
      </c>
      <c r="AB214" s="143">
        <f>IFERROR((Z214*(1-Settings!$G$17)-C214)/(Z214*(1-Settings!$G$17)),"")</f>
        <v/>
      </c>
      <c r="AC214" s="149">
        <f>IFERROR(IF(Z214="","",IF(Z214&gt;=C214/(1-SKU_Base!AE214)/(1-Settings!$G$17),"OK",IF(Z214&gt;=C214/(1-SKU_Base!AL214)/(1-Settings!$G$17),"WARN","STOP"))),"")</f>
        <v/>
      </c>
      <c r="AD214" s="159">
        <f>IFERROR(ROUND(D214*(1-CHOOSE(MATCH(IF($E214="","Основний",$E214),{"Трафіковий","Основний","Маржинальний","Сезонний","Стратегічний"},0),Settings!$H$78,Settings!$H$80,Settings!$H$82,Settings!$H$84,Settings!$H$86))*(1-Settings!$H$68)/6,2)*6,"")</f>
        <v/>
      </c>
      <c r="AE214" s="142">
        <f>IFERROR(CHOOSE(MATCH(IF($E214="","Основний",$E214),{"Трафіковий","Основний","Маржинальний","Сезонний","Стратегічний"},0),Settings!$H$78,Settings!$H$80,Settings!$H$82,Settings!$H$84,Settings!$H$86)+(1-(CHOOSE(MATCH(IF($E214="","Основний",$E214),{"Трафіковий","Основний","Маржинальний","Сезонний","Стратегічний"},0),Settings!$H$78,Settings!$H$80,Settings!$H$82,Settings!$H$84,Settings!$H$86)))*Settings!$H$68,"")</f>
        <v/>
      </c>
      <c r="AF214" s="143">
        <f>IFERROR((AD214*(1-Settings!$H$17)-C214)/(AD214*(1-Settings!$H$17)),"")</f>
        <v/>
      </c>
      <c r="AG214" s="150">
        <f>IFERROR(IF(AD214="","",IF(AD214&gt;=C214/(1-SKU_Base!AF214)/(1-Settings!$H$17),"OK",IF(AD214&gt;=C214/(1-SKU_Base!AM214)/(1-Settings!$H$17),"WARN","STOP"))),"")</f>
        <v/>
      </c>
    </row>
    <row r="215" ht="17" customHeight="1" s="179">
      <c r="A215" s="146">
        <f>SKU_Base!B215</f>
        <v/>
      </c>
      <c r="B215" s="146">
        <f>SKU_Base!C215</f>
        <v/>
      </c>
      <c r="C215" s="147">
        <f>IFERROR(SKU_Base!I215,"")</f>
        <v/>
      </c>
      <c r="D215" s="164">
        <f>IFERROR(SKU_Base!T215,"")</f>
        <v/>
      </c>
      <c r="E215" s="141">
        <f>IFERROR(SKU_Base!$U215,"")</f>
        <v/>
      </c>
      <c r="F215" s="160">
        <f>IFERROR(ROUND(D215*(1-CHOOSE(MATCH(IF($E215="","Основний",$E215),{"Трафіковий","Основний","Маржинальний","Сезонний","Стратегічний"},0),Settings!$B$78,Settings!$B$80,Settings!$B$82,Settings!$B$84,Settings!$B$86))/6,2)*6,"")</f>
        <v/>
      </c>
      <c r="G215" s="142">
        <f>IFERROR(CHOOSE(MATCH(IF($E215="","Основний",$E215),{"Трафіковий","Основний","Маржинальний","Сезонний","Стратегічний"},0),Settings!$B$78,Settings!$B$80,Settings!$B$82,Settings!$B$84,Settings!$B$86),"")</f>
        <v/>
      </c>
      <c r="H215" s="148">
        <f>IFERROR((F215*(1-Settings!$B$17)-C215)/(F215*(1-Settings!$B$17)),"")</f>
        <v/>
      </c>
      <c r="I215" s="150">
        <f>IFERROR(IF(F215="","",IF(F215&gt;=C215/(1-SKU_Base!Z215)/(1-Settings!$B$17),"OK",IF(F215&gt;=C215/(1-SKU_Base!AG215)/(1-Settings!$B$17),"WARN","STOP"))),"")</f>
        <v/>
      </c>
      <c r="J215" s="160">
        <f>IFERROR(ROUND(D215*(1-CHOOSE(MATCH(IF($E215="","Основний",$E215),{"Трафіковий","Основний","Маржинальний","Сезонний","Стратегічний"},0),Settings!$C$78,Settings!$C$80,Settings!$C$82,Settings!$C$84,Settings!$C$86))/6,2)*6,"")</f>
        <v/>
      </c>
      <c r="K215" s="142">
        <f>IFERROR(CHOOSE(MATCH(IF($E215="","Основний",$E215),{"Трафіковий","Основний","Маржинальний","Сезонний","Стратегічний"},0),Settings!$C$78,Settings!$C$80,Settings!$C$82,Settings!$C$84,Settings!$C$86),"")</f>
        <v/>
      </c>
      <c r="L215" s="148">
        <f>IFERROR((J215*(1-Settings!$C$17)-C215)/(J215*(1-Settings!$C$17)),"")</f>
        <v/>
      </c>
      <c r="M215" s="149">
        <f>IFERROR(IF(J215="","",IF(J215&gt;=C215/(1-SKU_Base!AA215)/(1-Settings!$C$17),"OK",IF(J215&gt;=C215/(1-SKU_Base!AH215)/(1-Settings!$C$17),"WARN","STOP"))),"")</f>
        <v/>
      </c>
      <c r="N215" s="161">
        <f>IFERROR(ROUND(D215*(1-CHOOSE(MATCH(IF($E215="","Основний",$E215),{"Трафіковий","Основний","Маржинальний","Сезонний","Стратегічний"},0),Settings!$D$78,Settings!$D$80,Settings!$D$82,Settings!$D$84,Settings!$D$86))/6,2)*6,"")</f>
        <v/>
      </c>
      <c r="O215" s="142">
        <f>IFERROR(CHOOSE(MATCH(IF($E215="","Основний",$E215),{"Трафіковий","Основний","Маржинальний","Сезонний","Стратегічний"},0),Settings!$D$78,Settings!$D$80,Settings!$D$82,Settings!$D$84,Settings!$D$86),"")</f>
        <v/>
      </c>
      <c r="P215" s="148">
        <f>IFERROR((N215*(1-Settings!$D$17)-C215)/(N215*(1-Settings!$D$17)),"")</f>
        <v/>
      </c>
      <c r="Q215" s="149">
        <f>IFERROR(IF(N215="","",IF(N215&gt;=C215/(1-SKU_Base!AB215)/(1-Settings!$D$17),"OK",IF(N215&gt;=C215/(1-SKU_Base!AI215)/(1-Settings!$D$17),"WARN","STOP"))),"")</f>
        <v/>
      </c>
      <c r="R215" s="161">
        <f>IFERROR(ROUND(D215*(1-CHOOSE(MATCH(IF($E215="","Основний",$E215),{"Трафіковий","Основний","Маржинальний","Сезонний","Стратегічний"},0),Settings!$E$78,Settings!$E$80,Settings!$E$82,Settings!$E$84,Settings!$E$86))/6,2)*6,"")</f>
        <v/>
      </c>
      <c r="S215" s="142">
        <f>IFERROR(CHOOSE(MATCH(IF($E215="","Основний",$E215),{"Трафіковий","Основний","Маржинальний","Сезонний","Стратегічний"},0),Settings!$E$78,Settings!$E$80,Settings!$E$82,Settings!$E$84,Settings!$E$86),"")</f>
        <v/>
      </c>
      <c r="T215" s="148">
        <f>IFERROR((R215*(1-Settings!$E$17)-C215)/(R215*(1-Settings!$E$17)),"")</f>
        <v/>
      </c>
      <c r="U215" s="149">
        <f>IFERROR(IF(R215="","",IF(R215&gt;=C215/(1-SKU_Base!AC215)/(1-Settings!$E$17),"OK",IF(R215&gt;=C215/(1-SKU_Base!AJ215)/(1-Settings!$E$17),"WARN","STOP"))),"")</f>
        <v/>
      </c>
      <c r="V215" s="161">
        <f>IFERROR(ROUND(D215*(1-CHOOSE(MATCH(IF($E215="","Основний",$E215),{"Трафіковий","Основний","Маржинальний","Сезонний","Стратегічний"},0),Settings!$F$78,Settings!$F$80,Settings!$F$82,Settings!$F$84,Settings!$F$86))/6,2)*6,"")</f>
        <v/>
      </c>
      <c r="W215" s="142">
        <f>IFERROR(CHOOSE(MATCH(IF($E215="","Основний",$E215),{"Трафіковий","Основний","Маржинальний","Сезонний","Стратегічний"},0),Settings!$F$78,Settings!$F$80,Settings!$F$82,Settings!$F$84,Settings!$F$86),"")</f>
        <v/>
      </c>
      <c r="X215" s="148">
        <f>IFERROR((V215*(1-Settings!$F$17)-C215)/(V215*(1-Settings!$F$17)),"")</f>
        <v/>
      </c>
      <c r="Y215" s="149">
        <f>IFERROR(IF(V215="","",IF(V215&gt;=C215/(1-SKU_Base!AD215)/(1-Settings!$F$17),"OK",IF(V215&gt;=C215/(1-SKU_Base!AK215)/(1-Settings!$F$17),"WARN","STOP"))),"")</f>
        <v/>
      </c>
      <c r="Z215" s="161">
        <f>IFERROR(ROUND(D215*(1-CHOOSE(MATCH(IF($E215="","Основний",$E215),{"Трафіковий","Основний","Маржинальний","Сезонний","Стратегічний"},0),Settings!$G$78,Settings!$G$80,Settings!$G$82,Settings!$G$84,Settings!$G$86))/6,2)*6,"")</f>
        <v/>
      </c>
      <c r="AA215" s="142">
        <f>IFERROR(CHOOSE(MATCH(IF($E215="","Основний",$E215),{"Трафіковий","Основний","Маржинальний","Сезонний","Стратегічний"},0),Settings!$G$78,Settings!$G$80,Settings!$G$82,Settings!$G$84,Settings!$G$86),"")</f>
        <v/>
      </c>
      <c r="AB215" s="148">
        <f>IFERROR((Z215*(1-Settings!$G$17)-C215)/(Z215*(1-Settings!$G$17)),"")</f>
        <v/>
      </c>
      <c r="AC215" s="149">
        <f>IFERROR(IF(Z215="","",IF(Z215&gt;=C215/(1-SKU_Base!AE215)/(1-Settings!$G$17),"OK",IF(Z215&gt;=C215/(1-SKU_Base!AL215)/(1-Settings!$G$17),"WARN","STOP"))),"")</f>
        <v/>
      </c>
      <c r="AD215" s="161">
        <f>IFERROR(ROUND(D215*(1-CHOOSE(MATCH(IF($E215="","Основний",$E215),{"Трафіковий","Основний","Маржинальний","Сезонний","Стратегічний"},0),Settings!$H$78,Settings!$H$80,Settings!$H$82,Settings!$H$84,Settings!$H$86))*(1-Settings!$H$68)/6,2)*6,"")</f>
        <v/>
      </c>
      <c r="AE215" s="142">
        <f>IFERROR(CHOOSE(MATCH(IF($E215="","Основний",$E215),{"Трафіковий","Основний","Маржинальний","Сезонний","Стратегічний"},0),Settings!$H$78,Settings!$H$80,Settings!$H$82,Settings!$H$84,Settings!$H$86)+(1-(CHOOSE(MATCH(IF($E215="","Основний",$E215),{"Трафіковий","Основний","Маржинальний","Сезонний","Стратегічний"},0),Settings!$H$78,Settings!$H$80,Settings!$H$82,Settings!$H$84,Settings!$H$86)))*Settings!$H$68,"")</f>
        <v/>
      </c>
      <c r="AF215" s="148">
        <f>IFERROR((AD215*(1-Settings!$H$17)-C215)/(AD215*(1-Settings!$H$17)),"")</f>
        <v/>
      </c>
      <c r="AG215" s="150">
        <f>IFERROR(IF(AD215="","",IF(AD215&gt;=C215/(1-SKU_Base!AF215)/(1-Settings!$H$17),"OK",IF(AD215&gt;=C215/(1-SKU_Base!AM215)/(1-Settings!$H$17),"WARN","STOP"))),"")</f>
        <v/>
      </c>
    </row>
    <row r="216" ht="17" customHeight="1" s="179">
      <c r="A216" s="139">
        <f>SKU_Base!B216</f>
        <v/>
      </c>
      <c r="B216" s="139">
        <f>SKU_Base!C216</f>
        <v/>
      </c>
      <c r="C216" s="140">
        <f>IFERROR(SKU_Base!I216,"")</f>
        <v/>
      </c>
      <c r="D216" s="163">
        <f>IFERROR(SKU_Base!T216,"")</f>
        <v/>
      </c>
      <c r="E216" s="141">
        <f>IFERROR(SKU_Base!$U216,"")</f>
        <v/>
      </c>
      <c r="F216" s="158">
        <f>IFERROR(ROUND(D216*(1-CHOOSE(MATCH(IF($E216="","Основний",$E216),{"Трафіковий","Основний","Маржинальний","Сезонний","Стратегічний"},0),Settings!$B$78,Settings!$B$80,Settings!$B$82,Settings!$B$84,Settings!$B$86))/6,2)*6,"")</f>
        <v/>
      </c>
      <c r="G216" s="142">
        <f>IFERROR(CHOOSE(MATCH(IF($E216="","Основний",$E216),{"Трафіковий","Основний","Маржинальний","Сезонний","Стратегічний"},0),Settings!$B$78,Settings!$B$80,Settings!$B$82,Settings!$B$84,Settings!$B$86),"")</f>
        <v/>
      </c>
      <c r="H216" s="143">
        <f>IFERROR((F216*(1-Settings!$B$17)-C216)/(F216*(1-Settings!$B$17)),"")</f>
        <v/>
      </c>
      <c r="I216" s="149">
        <f>IFERROR(IF(F216="","",IF(F216&gt;=C216/(1-SKU_Base!Z216)/(1-Settings!$B$17),"OK",IF(F216&gt;=C216/(1-SKU_Base!AG216)/(1-Settings!$B$17),"WARN","STOP"))),"")</f>
        <v/>
      </c>
      <c r="J216" s="158">
        <f>IFERROR(ROUND(D216*(1-CHOOSE(MATCH(IF($E216="","Основний",$E216),{"Трафіковий","Основний","Маржинальний","Сезонний","Стратегічний"},0),Settings!$C$78,Settings!$C$80,Settings!$C$82,Settings!$C$84,Settings!$C$86))/6,2)*6,"")</f>
        <v/>
      </c>
      <c r="K216" s="142">
        <f>IFERROR(CHOOSE(MATCH(IF($E216="","Основний",$E216),{"Трафіковий","Основний","Маржинальний","Сезонний","Стратегічний"},0),Settings!$C$78,Settings!$C$80,Settings!$C$82,Settings!$C$84,Settings!$C$86),"")</f>
        <v/>
      </c>
      <c r="L216" s="143">
        <f>IFERROR((J216*(1-Settings!$C$17)-C216)/(J216*(1-Settings!$C$17)),"")</f>
        <v/>
      </c>
      <c r="M216" s="149">
        <f>IFERROR(IF(J216="","",IF(J216&gt;=C216/(1-SKU_Base!AA216)/(1-Settings!$C$17),"OK",IF(J216&gt;=C216/(1-SKU_Base!AH216)/(1-Settings!$C$17),"WARN","STOP"))),"")</f>
        <v/>
      </c>
      <c r="N216" s="159">
        <f>IFERROR(ROUND(D216*(1-CHOOSE(MATCH(IF($E216="","Основний",$E216),{"Трафіковий","Основний","Маржинальний","Сезонний","Стратегічний"},0),Settings!$D$78,Settings!$D$80,Settings!$D$82,Settings!$D$84,Settings!$D$86))/6,2)*6,"")</f>
        <v/>
      </c>
      <c r="O216" s="142">
        <f>IFERROR(CHOOSE(MATCH(IF($E216="","Основний",$E216),{"Трафіковий","Основний","Маржинальний","Сезонний","Стратегічний"},0),Settings!$D$78,Settings!$D$80,Settings!$D$82,Settings!$D$84,Settings!$D$86),"")</f>
        <v/>
      </c>
      <c r="P216" s="143">
        <f>IFERROR((N216*(1-Settings!$D$17)-C216)/(N216*(1-Settings!$D$17)),"")</f>
        <v/>
      </c>
      <c r="Q216" s="149">
        <f>IFERROR(IF(N216="","",IF(N216&gt;=C216/(1-SKU_Base!AB216)/(1-Settings!$D$17),"OK",IF(N216&gt;=C216/(1-SKU_Base!AI216)/(1-Settings!$D$17),"WARN","STOP"))),"")</f>
        <v/>
      </c>
      <c r="R216" s="159">
        <f>IFERROR(ROUND(D216*(1-CHOOSE(MATCH(IF($E216="","Основний",$E216),{"Трафіковий","Основний","Маржинальний","Сезонний","Стратегічний"},0),Settings!$E$78,Settings!$E$80,Settings!$E$82,Settings!$E$84,Settings!$E$86))/6,2)*6,"")</f>
        <v/>
      </c>
      <c r="S216" s="142">
        <f>IFERROR(CHOOSE(MATCH(IF($E216="","Основний",$E216),{"Трафіковий","Основний","Маржинальний","Сезонний","Стратегічний"},0),Settings!$E$78,Settings!$E$80,Settings!$E$82,Settings!$E$84,Settings!$E$86),"")</f>
        <v/>
      </c>
      <c r="T216" s="143">
        <f>IFERROR((R216*(1-Settings!$E$17)-C216)/(R216*(1-Settings!$E$17)),"")</f>
        <v/>
      </c>
      <c r="U216" s="149">
        <f>IFERROR(IF(R216="","",IF(R216&gt;=C216/(1-SKU_Base!AC216)/(1-Settings!$E$17),"OK",IF(R216&gt;=C216/(1-SKU_Base!AJ216)/(1-Settings!$E$17),"WARN","STOP"))),"")</f>
        <v/>
      </c>
      <c r="V216" s="159">
        <f>IFERROR(ROUND(D216*(1-CHOOSE(MATCH(IF($E216="","Основний",$E216),{"Трафіковий","Основний","Маржинальний","Сезонний","Стратегічний"},0),Settings!$F$78,Settings!$F$80,Settings!$F$82,Settings!$F$84,Settings!$F$86))/6,2)*6,"")</f>
        <v/>
      </c>
      <c r="W216" s="142">
        <f>IFERROR(CHOOSE(MATCH(IF($E216="","Основний",$E216),{"Трафіковий","Основний","Маржинальний","Сезонний","Стратегічний"},0),Settings!$F$78,Settings!$F$80,Settings!$F$82,Settings!$F$84,Settings!$F$86),"")</f>
        <v/>
      </c>
      <c r="X216" s="143">
        <f>IFERROR((V216*(1-Settings!$F$17)-C216)/(V216*(1-Settings!$F$17)),"")</f>
        <v/>
      </c>
      <c r="Y216" s="149">
        <f>IFERROR(IF(V216="","",IF(V216&gt;=C216/(1-SKU_Base!AD216)/(1-Settings!$F$17),"OK",IF(V216&gt;=C216/(1-SKU_Base!AK216)/(1-Settings!$F$17),"WARN","STOP"))),"")</f>
        <v/>
      </c>
      <c r="Z216" s="159">
        <f>IFERROR(ROUND(D216*(1-CHOOSE(MATCH(IF($E216="","Основний",$E216),{"Трафіковий","Основний","Маржинальний","Сезонний","Стратегічний"},0),Settings!$G$78,Settings!$G$80,Settings!$G$82,Settings!$G$84,Settings!$G$86))/6,2)*6,"")</f>
        <v/>
      </c>
      <c r="AA216" s="142">
        <f>IFERROR(CHOOSE(MATCH(IF($E216="","Основний",$E216),{"Трафіковий","Основний","Маржинальний","Сезонний","Стратегічний"},0),Settings!$G$78,Settings!$G$80,Settings!$G$82,Settings!$G$84,Settings!$G$86),"")</f>
        <v/>
      </c>
      <c r="AB216" s="143">
        <f>IFERROR((Z216*(1-Settings!$G$17)-C216)/(Z216*(1-Settings!$G$17)),"")</f>
        <v/>
      </c>
      <c r="AC216" s="149">
        <f>IFERROR(IF(Z216="","",IF(Z216&gt;=C216/(1-SKU_Base!AE216)/(1-Settings!$G$17),"OK",IF(Z216&gt;=C216/(1-SKU_Base!AL216)/(1-Settings!$G$17),"WARN","STOP"))),"")</f>
        <v/>
      </c>
      <c r="AD216" s="159">
        <f>IFERROR(ROUND(D216*(1-CHOOSE(MATCH(IF($E216="","Основний",$E216),{"Трафіковий","Основний","Маржинальний","Сезонний","Стратегічний"},0),Settings!$H$78,Settings!$H$80,Settings!$H$82,Settings!$H$84,Settings!$H$86))*(1-Settings!$H$68)/6,2)*6,"")</f>
        <v/>
      </c>
      <c r="AE216" s="142">
        <f>IFERROR(CHOOSE(MATCH(IF($E216="","Основний",$E216),{"Трафіковий","Основний","Маржинальний","Сезонний","Стратегічний"},0),Settings!$H$78,Settings!$H$80,Settings!$H$82,Settings!$H$84,Settings!$H$86)+(1-(CHOOSE(MATCH(IF($E216="","Основний",$E216),{"Трафіковий","Основний","Маржинальний","Сезонний","Стратегічний"},0),Settings!$H$78,Settings!$H$80,Settings!$H$82,Settings!$H$84,Settings!$H$86)))*Settings!$H$68,"")</f>
        <v/>
      </c>
      <c r="AF216" s="143">
        <f>IFERROR((AD216*(1-Settings!$H$17)-C216)/(AD216*(1-Settings!$H$17)),"")</f>
        <v/>
      </c>
      <c r="AG216" s="150">
        <f>IFERROR(IF(AD216="","",IF(AD216&gt;=C216/(1-SKU_Base!AF216)/(1-Settings!$H$17),"OK",IF(AD216&gt;=C216/(1-SKU_Base!AM216)/(1-Settings!$H$17),"WARN","STOP"))),"")</f>
        <v/>
      </c>
    </row>
    <row r="217" ht="17" customHeight="1" s="179">
      <c r="A217" s="146">
        <f>SKU_Base!B217</f>
        <v/>
      </c>
      <c r="B217" s="146">
        <f>SKU_Base!C217</f>
        <v/>
      </c>
      <c r="C217" s="147">
        <f>IFERROR(SKU_Base!I217,"")</f>
        <v/>
      </c>
      <c r="D217" s="164">
        <f>IFERROR(SKU_Base!T217,"")</f>
        <v/>
      </c>
      <c r="E217" s="141">
        <f>IFERROR(SKU_Base!$U217,"")</f>
        <v/>
      </c>
      <c r="F217" s="160">
        <f>IFERROR(ROUND(D217*(1-CHOOSE(MATCH(IF($E217="","Основний",$E217),{"Трафіковий","Основний","Маржинальний","Сезонний","Стратегічний"},0),Settings!$B$78,Settings!$B$80,Settings!$B$82,Settings!$B$84,Settings!$B$86))/6,2)*6,"")</f>
        <v/>
      </c>
      <c r="G217" s="142">
        <f>IFERROR(CHOOSE(MATCH(IF($E217="","Основний",$E217),{"Трафіковий","Основний","Маржинальний","Сезонний","Стратегічний"},0),Settings!$B$78,Settings!$B$80,Settings!$B$82,Settings!$B$84,Settings!$B$86),"")</f>
        <v/>
      </c>
      <c r="H217" s="148">
        <f>IFERROR((F217*(1-Settings!$B$17)-C217)/(F217*(1-Settings!$B$17)),"")</f>
        <v/>
      </c>
      <c r="I217" s="149">
        <f>IFERROR(IF(F217="","",IF(F217&gt;=C217/(1-SKU_Base!Z217)/(1-Settings!$B$17),"OK",IF(F217&gt;=C217/(1-SKU_Base!AG217)/(1-Settings!$B$17),"WARN","STOP"))),"")</f>
        <v/>
      </c>
      <c r="J217" s="160">
        <f>IFERROR(ROUND(D217*(1-CHOOSE(MATCH(IF($E217="","Основний",$E217),{"Трафіковий","Основний","Маржинальний","Сезонний","Стратегічний"},0),Settings!$C$78,Settings!$C$80,Settings!$C$82,Settings!$C$84,Settings!$C$86))/6,2)*6,"")</f>
        <v/>
      </c>
      <c r="K217" s="142">
        <f>IFERROR(CHOOSE(MATCH(IF($E217="","Основний",$E217),{"Трафіковий","Основний","Маржинальний","Сезонний","Стратегічний"},0),Settings!$C$78,Settings!$C$80,Settings!$C$82,Settings!$C$84,Settings!$C$86),"")</f>
        <v/>
      </c>
      <c r="L217" s="148">
        <f>IFERROR((J217*(1-Settings!$C$17)-C217)/(J217*(1-Settings!$C$17)),"")</f>
        <v/>
      </c>
      <c r="M217" s="149">
        <f>IFERROR(IF(J217="","",IF(J217&gt;=C217/(1-SKU_Base!AA217)/(1-Settings!$C$17),"OK",IF(J217&gt;=C217/(1-SKU_Base!AH217)/(1-Settings!$C$17),"WARN","STOP"))),"")</f>
        <v/>
      </c>
      <c r="N217" s="161">
        <f>IFERROR(ROUND(D217*(1-CHOOSE(MATCH(IF($E217="","Основний",$E217),{"Трафіковий","Основний","Маржинальний","Сезонний","Стратегічний"},0),Settings!$D$78,Settings!$D$80,Settings!$D$82,Settings!$D$84,Settings!$D$86))/6,2)*6,"")</f>
        <v/>
      </c>
      <c r="O217" s="142">
        <f>IFERROR(CHOOSE(MATCH(IF($E217="","Основний",$E217),{"Трафіковий","Основний","Маржинальний","Сезонний","Стратегічний"},0),Settings!$D$78,Settings!$D$80,Settings!$D$82,Settings!$D$84,Settings!$D$86),"")</f>
        <v/>
      </c>
      <c r="P217" s="148">
        <f>IFERROR((N217*(1-Settings!$D$17)-C217)/(N217*(1-Settings!$D$17)),"")</f>
        <v/>
      </c>
      <c r="Q217" s="149">
        <f>IFERROR(IF(N217="","",IF(N217&gt;=C217/(1-SKU_Base!AB217)/(1-Settings!$D$17),"OK",IF(N217&gt;=C217/(1-SKU_Base!AI217)/(1-Settings!$D$17),"WARN","STOP"))),"")</f>
        <v/>
      </c>
      <c r="R217" s="161">
        <f>IFERROR(ROUND(D217*(1-CHOOSE(MATCH(IF($E217="","Основний",$E217),{"Трафіковий","Основний","Маржинальний","Сезонний","Стратегічний"},0),Settings!$E$78,Settings!$E$80,Settings!$E$82,Settings!$E$84,Settings!$E$86))/6,2)*6,"")</f>
        <v/>
      </c>
      <c r="S217" s="142">
        <f>IFERROR(CHOOSE(MATCH(IF($E217="","Основний",$E217),{"Трафіковий","Основний","Маржинальний","Сезонний","Стратегічний"},0),Settings!$E$78,Settings!$E$80,Settings!$E$82,Settings!$E$84,Settings!$E$86),"")</f>
        <v/>
      </c>
      <c r="T217" s="148">
        <f>IFERROR((R217*(1-Settings!$E$17)-C217)/(R217*(1-Settings!$E$17)),"")</f>
        <v/>
      </c>
      <c r="U217" s="149">
        <f>IFERROR(IF(R217="","",IF(R217&gt;=C217/(1-SKU_Base!AC217)/(1-Settings!$E$17),"OK",IF(R217&gt;=C217/(1-SKU_Base!AJ217)/(1-Settings!$E$17),"WARN","STOP"))),"")</f>
        <v/>
      </c>
      <c r="V217" s="161">
        <f>IFERROR(ROUND(D217*(1-CHOOSE(MATCH(IF($E217="","Основний",$E217),{"Трафіковий","Основний","Маржинальний","Сезонний","Стратегічний"},0),Settings!$F$78,Settings!$F$80,Settings!$F$82,Settings!$F$84,Settings!$F$86))/6,2)*6,"")</f>
        <v/>
      </c>
      <c r="W217" s="142">
        <f>IFERROR(CHOOSE(MATCH(IF($E217="","Основний",$E217),{"Трафіковий","Основний","Маржинальний","Сезонний","Стратегічний"},0),Settings!$F$78,Settings!$F$80,Settings!$F$82,Settings!$F$84,Settings!$F$86),"")</f>
        <v/>
      </c>
      <c r="X217" s="148">
        <f>IFERROR((V217*(1-Settings!$F$17)-C217)/(V217*(1-Settings!$F$17)),"")</f>
        <v/>
      </c>
      <c r="Y217" s="149">
        <f>IFERROR(IF(V217="","",IF(V217&gt;=C217/(1-SKU_Base!AD217)/(1-Settings!$F$17),"OK",IF(V217&gt;=C217/(1-SKU_Base!AK217)/(1-Settings!$F$17),"WARN","STOP"))),"")</f>
        <v/>
      </c>
      <c r="Z217" s="161">
        <f>IFERROR(ROUND(D217*(1-CHOOSE(MATCH(IF($E217="","Основний",$E217),{"Трафіковий","Основний","Маржинальний","Сезонний","Стратегічний"},0),Settings!$G$78,Settings!$G$80,Settings!$G$82,Settings!$G$84,Settings!$G$86))/6,2)*6,"")</f>
        <v/>
      </c>
      <c r="AA217" s="142">
        <f>IFERROR(CHOOSE(MATCH(IF($E217="","Основний",$E217),{"Трафіковий","Основний","Маржинальний","Сезонний","Стратегічний"},0),Settings!$G$78,Settings!$G$80,Settings!$G$82,Settings!$G$84,Settings!$G$86),"")</f>
        <v/>
      </c>
      <c r="AB217" s="148">
        <f>IFERROR((Z217*(1-Settings!$G$17)-C217)/(Z217*(1-Settings!$G$17)),"")</f>
        <v/>
      </c>
      <c r="AC217" s="149">
        <f>IFERROR(IF(Z217="","",IF(Z217&gt;=C217/(1-SKU_Base!AE217)/(1-Settings!$G$17),"OK",IF(Z217&gt;=C217/(1-SKU_Base!AL217)/(1-Settings!$G$17),"WARN","STOP"))),"")</f>
        <v/>
      </c>
      <c r="AD217" s="161">
        <f>IFERROR(ROUND(D217*(1-CHOOSE(MATCH(IF($E217="","Основний",$E217),{"Трафіковий","Основний","Маржинальний","Сезонний","Стратегічний"},0),Settings!$H$78,Settings!$H$80,Settings!$H$82,Settings!$H$84,Settings!$H$86))*(1-Settings!$H$68)/6,2)*6,"")</f>
        <v/>
      </c>
      <c r="AE217" s="142">
        <f>IFERROR(CHOOSE(MATCH(IF($E217="","Основний",$E217),{"Трафіковий","Основний","Маржинальний","Сезонний","Стратегічний"},0),Settings!$H$78,Settings!$H$80,Settings!$H$82,Settings!$H$84,Settings!$H$86)+(1-(CHOOSE(MATCH(IF($E217="","Основний",$E217),{"Трафіковий","Основний","Маржинальний","Сезонний","Стратегічний"},0),Settings!$H$78,Settings!$H$80,Settings!$H$82,Settings!$H$84,Settings!$H$86)))*Settings!$H$68,"")</f>
        <v/>
      </c>
      <c r="AF217" s="148">
        <f>IFERROR((AD217*(1-Settings!$H$17)-C217)/(AD217*(1-Settings!$H$17)),"")</f>
        <v/>
      </c>
      <c r="AG217" s="149">
        <f>IFERROR(IF(AD217="","",IF(AD217&gt;=C217/(1-SKU_Base!AF217)/(1-Settings!$H$17),"OK",IF(AD217&gt;=C217/(1-SKU_Base!AM217)/(1-Settings!$H$17),"WARN","STOP"))),"")</f>
        <v/>
      </c>
    </row>
    <row r="218" ht="17" customHeight="1" s="179">
      <c r="A218" s="139">
        <f>SKU_Base!B218</f>
        <v/>
      </c>
      <c r="B218" s="139">
        <f>SKU_Base!C218</f>
        <v/>
      </c>
      <c r="C218" s="140">
        <f>IFERROR(SKU_Base!I218,"")</f>
        <v/>
      </c>
      <c r="D218" s="163">
        <f>IFERROR(SKU_Base!T218,"")</f>
        <v/>
      </c>
      <c r="E218" s="141">
        <f>IFERROR(SKU_Base!$U218,"")</f>
        <v/>
      </c>
      <c r="F218" s="158">
        <f>IFERROR(ROUND(D218*(1-CHOOSE(MATCH(IF($E218="","Основний",$E218),{"Трафіковий","Основний","Маржинальний","Сезонний","Стратегічний"},0),Settings!$B$78,Settings!$B$80,Settings!$B$82,Settings!$B$84,Settings!$B$86))/6,2)*6,"")</f>
        <v/>
      </c>
      <c r="G218" s="142">
        <f>IFERROR(CHOOSE(MATCH(IF($E218="","Основний",$E218),{"Трафіковий","Основний","Маржинальний","Сезонний","Стратегічний"},0),Settings!$B$78,Settings!$B$80,Settings!$B$82,Settings!$B$84,Settings!$B$86),"")</f>
        <v/>
      </c>
      <c r="H218" s="143">
        <f>IFERROR((F218*(1-Settings!$B$17)-C218)/(F218*(1-Settings!$B$17)),"")</f>
        <v/>
      </c>
      <c r="I218" s="149">
        <f>IFERROR(IF(F218="","",IF(F218&gt;=C218/(1-SKU_Base!Z218)/(1-Settings!$B$17),"OK",IF(F218&gt;=C218/(1-SKU_Base!AG218)/(1-Settings!$B$17),"WARN","STOP"))),"")</f>
        <v/>
      </c>
      <c r="J218" s="158">
        <f>IFERROR(ROUND(D218*(1-CHOOSE(MATCH(IF($E218="","Основний",$E218),{"Трафіковий","Основний","Маржинальний","Сезонний","Стратегічний"},0),Settings!$C$78,Settings!$C$80,Settings!$C$82,Settings!$C$84,Settings!$C$86))/6,2)*6,"")</f>
        <v/>
      </c>
      <c r="K218" s="142">
        <f>IFERROR(CHOOSE(MATCH(IF($E218="","Основний",$E218),{"Трафіковий","Основний","Маржинальний","Сезонний","Стратегічний"},0),Settings!$C$78,Settings!$C$80,Settings!$C$82,Settings!$C$84,Settings!$C$86),"")</f>
        <v/>
      </c>
      <c r="L218" s="143">
        <f>IFERROR((J218*(1-Settings!$C$17)-C218)/(J218*(1-Settings!$C$17)),"")</f>
        <v/>
      </c>
      <c r="M218" s="149">
        <f>IFERROR(IF(J218="","",IF(J218&gt;=C218/(1-SKU_Base!AA218)/(1-Settings!$C$17),"OK",IF(J218&gt;=C218/(1-SKU_Base!AH218)/(1-Settings!$C$17),"WARN","STOP"))),"")</f>
        <v/>
      </c>
      <c r="N218" s="159">
        <f>IFERROR(ROUND(D218*(1-CHOOSE(MATCH(IF($E218="","Основний",$E218),{"Трафіковий","Основний","Маржинальний","Сезонний","Стратегічний"},0),Settings!$D$78,Settings!$D$80,Settings!$D$82,Settings!$D$84,Settings!$D$86))/6,2)*6,"")</f>
        <v/>
      </c>
      <c r="O218" s="142">
        <f>IFERROR(CHOOSE(MATCH(IF($E218="","Основний",$E218),{"Трафіковий","Основний","Маржинальний","Сезонний","Стратегічний"},0),Settings!$D$78,Settings!$D$80,Settings!$D$82,Settings!$D$84,Settings!$D$86),"")</f>
        <v/>
      </c>
      <c r="P218" s="143">
        <f>IFERROR((N218*(1-Settings!$D$17)-C218)/(N218*(1-Settings!$D$17)),"")</f>
        <v/>
      </c>
      <c r="Q218" s="149">
        <f>IFERROR(IF(N218="","",IF(N218&gt;=C218/(1-SKU_Base!AB218)/(1-Settings!$D$17),"OK",IF(N218&gt;=C218/(1-SKU_Base!AI218)/(1-Settings!$D$17),"WARN","STOP"))),"")</f>
        <v/>
      </c>
      <c r="R218" s="159">
        <f>IFERROR(ROUND(D218*(1-CHOOSE(MATCH(IF($E218="","Основний",$E218),{"Трафіковий","Основний","Маржинальний","Сезонний","Стратегічний"},0),Settings!$E$78,Settings!$E$80,Settings!$E$82,Settings!$E$84,Settings!$E$86))/6,2)*6,"")</f>
        <v/>
      </c>
      <c r="S218" s="142">
        <f>IFERROR(CHOOSE(MATCH(IF($E218="","Основний",$E218),{"Трафіковий","Основний","Маржинальний","Сезонний","Стратегічний"},0),Settings!$E$78,Settings!$E$80,Settings!$E$82,Settings!$E$84,Settings!$E$86),"")</f>
        <v/>
      </c>
      <c r="T218" s="143">
        <f>IFERROR((R218*(1-Settings!$E$17)-C218)/(R218*(1-Settings!$E$17)),"")</f>
        <v/>
      </c>
      <c r="U218" s="149">
        <f>IFERROR(IF(R218="","",IF(R218&gt;=C218/(1-SKU_Base!AC218)/(1-Settings!$E$17),"OK",IF(R218&gt;=C218/(1-SKU_Base!AJ218)/(1-Settings!$E$17),"WARN","STOP"))),"")</f>
        <v/>
      </c>
      <c r="V218" s="159">
        <f>IFERROR(ROUND(D218*(1-CHOOSE(MATCH(IF($E218="","Основний",$E218),{"Трафіковий","Основний","Маржинальний","Сезонний","Стратегічний"},0),Settings!$F$78,Settings!$F$80,Settings!$F$82,Settings!$F$84,Settings!$F$86))/6,2)*6,"")</f>
        <v/>
      </c>
      <c r="W218" s="142">
        <f>IFERROR(CHOOSE(MATCH(IF($E218="","Основний",$E218),{"Трафіковий","Основний","Маржинальний","Сезонний","Стратегічний"},0),Settings!$F$78,Settings!$F$80,Settings!$F$82,Settings!$F$84,Settings!$F$86),"")</f>
        <v/>
      </c>
      <c r="X218" s="143">
        <f>IFERROR((V218*(1-Settings!$F$17)-C218)/(V218*(1-Settings!$F$17)),"")</f>
        <v/>
      </c>
      <c r="Y218" s="149">
        <f>IFERROR(IF(V218="","",IF(V218&gt;=C218/(1-SKU_Base!AD218)/(1-Settings!$F$17),"OK",IF(V218&gt;=C218/(1-SKU_Base!AK218)/(1-Settings!$F$17),"WARN","STOP"))),"")</f>
        <v/>
      </c>
      <c r="Z218" s="159">
        <f>IFERROR(ROUND(D218*(1-CHOOSE(MATCH(IF($E218="","Основний",$E218),{"Трафіковий","Основний","Маржинальний","Сезонний","Стратегічний"},0),Settings!$G$78,Settings!$G$80,Settings!$G$82,Settings!$G$84,Settings!$G$86))/6,2)*6,"")</f>
        <v/>
      </c>
      <c r="AA218" s="142">
        <f>IFERROR(CHOOSE(MATCH(IF($E218="","Основний",$E218),{"Трафіковий","Основний","Маржинальний","Сезонний","Стратегічний"},0),Settings!$G$78,Settings!$G$80,Settings!$G$82,Settings!$G$84,Settings!$G$86),"")</f>
        <v/>
      </c>
      <c r="AB218" s="143">
        <f>IFERROR((Z218*(1-Settings!$G$17)-C218)/(Z218*(1-Settings!$G$17)),"")</f>
        <v/>
      </c>
      <c r="AC218" s="149">
        <f>IFERROR(IF(Z218="","",IF(Z218&gt;=C218/(1-SKU_Base!AE218)/(1-Settings!$G$17),"OK",IF(Z218&gt;=C218/(1-SKU_Base!AL218)/(1-Settings!$G$17),"WARN","STOP"))),"")</f>
        <v/>
      </c>
      <c r="AD218" s="159">
        <f>IFERROR(ROUND(D218*(1-CHOOSE(MATCH(IF($E218="","Основний",$E218),{"Трафіковий","Основний","Маржинальний","Сезонний","Стратегічний"},0),Settings!$H$78,Settings!$H$80,Settings!$H$82,Settings!$H$84,Settings!$H$86))*(1-Settings!$H$68)/6,2)*6,"")</f>
        <v/>
      </c>
      <c r="AE218" s="142">
        <f>IFERROR(CHOOSE(MATCH(IF($E218="","Основний",$E218),{"Трафіковий","Основний","Маржинальний","Сезонний","Стратегічний"},0),Settings!$H$78,Settings!$H$80,Settings!$H$82,Settings!$H$84,Settings!$H$86)+(1-(CHOOSE(MATCH(IF($E218="","Основний",$E218),{"Трафіковий","Основний","Маржинальний","Сезонний","Стратегічний"},0),Settings!$H$78,Settings!$H$80,Settings!$H$82,Settings!$H$84,Settings!$H$86)))*Settings!$H$68,"")</f>
        <v/>
      </c>
      <c r="AF218" s="143">
        <f>IFERROR((AD218*(1-Settings!$H$17)-C218)/(AD218*(1-Settings!$H$17)),"")</f>
        <v/>
      </c>
      <c r="AG218" s="150">
        <f>IFERROR(IF(AD218="","",IF(AD218&gt;=C218/(1-SKU_Base!AF218)/(1-Settings!$H$17),"OK",IF(AD218&gt;=C218/(1-SKU_Base!AM218)/(1-Settings!$H$17),"WARN","STOP"))),"")</f>
        <v/>
      </c>
    </row>
    <row r="219" ht="17" customHeight="1" s="179">
      <c r="A219" s="146">
        <f>SKU_Base!B219</f>
        <v/>
      </c>
      <c r="B219" s="146">
        <f>SKU_Base!C219</f>
        <v/>
      </c>
      <c r="C219" s="147">
        <f>IFERROR(SKU_Base!I219,"")</f>
        <v/>
      </c>
      <c r="D219" s="164">
        <f>IFERROR(SKU_Base!T219,"")</f>
        <v/>
      </c>
      <c r="E219" s="141">
        <f>IFERROR(SKU_Base!$U219,"")</f>
        <v/>
      </c>
      <c r="F219" s="160">
        <f>IFERROR(ROUND(D219*(1-CHOOSE(MATCH(IF($E219="","Основний",$E219),{"Трафіковий","Основний","Маржинальний","Сезонний","Стратегічний"},0),Settings!$B$78,Settings!$B$80,Settings!$B$82,Settings!$B$84,Settings!$B$86))/6,2)*6,"")</f>
        <v/>
      </c>
      <c r="G219" s="142">
        <f>IFERROR(CHOOSE(MATCH(IF($E219="","Основний",$E219),{"Трафіковий","Основний","Маржинальний","Сезонний","Стратегічний"},0),Settings!$B$78,Settings!$B$80,Settings!$B$82,Settings!$B$84,Settings!$B$86),"")</f>
        <v/>
      </c>
      <c r="H219" s="148">
        <f>IFERROR((F219*(1-Settings!$B$17)-C219)/(F219*(1-Settings!$B$17)),"")</f>
        <v/>
      </c>
      <c r="I219" s="149">
        <f>IFERROR(IF(F219="","",IF(F219&gt;=C219/(1-SKU_Base!Z219)/(1-Settings!$B$17),"OK",IF(F219&gt;=C219/(1-SKU_Base!AG219)/(1-Settings!$B$17),"WARN","STOP"))),"")</f>
        <v/>
      </c>
      <c r="J219" s="160">
        <f>IFERROR(ROUND(D219*(1-CHOOSE(MATCH(IF($E219="","Основний",$E219),{"Трафіковий","Основний","Маржинальний","Сезонний","Стратегічний"},0),Settings!$C$78,Settings!$C$80,Settings!$C$82,Settings!$C$84,Settings!$C$86))/6,2)*6,"")</f>
        <v/>
      </c>
      <c r="K219" s="142">
        <f>IFERROR(CHOOSE(MATCH(IF($E219="","Основний",$E219),{"Трафіковий","Основний","Маржинальний","Сезонний","Стратегічний"},0),Settings!$C$78,Settings!$C$80,Settings!$C$82,Settings!$C$84,Settings!$C$86),"")</f>
        <v/>
      </c>
      <c r="L219" s="148">
        <f>IFERROR((J219*(1-Settings!$C$17)-C219)/(J219*(1-Settings!$C$17)),"")</f>
        <v/>
      </c>
      <c r="M219" s="149">
        <f>IFERROR(IF(J219="","",IF(J219&gt;=C219/(1-SKU_Base!AA219)/(1-Settings!$C$17),"OK",IF(J219&gt;=C219/(1-SKU_Base!AH219)/(1-Settings!$C$17),"WARN","STOP"))),"")</f>
        <v/>
      </c>
      <c r="N219" s="161">
        <f>IFERROR(ROUND(D219*(1-CHOOSE(MATCH(IF($E219="","Основний",$E219),{"Трафіковий","Основний","Маржинальний","Сезонний","Стратегічний"},0),Settings!$D$78,Settings!$D$80,Settings!$D$82,Settings!$D$84,Settings!$D$86))/6,2)*6,"")</f>
        <v/>
      </c>
      <c r="O219" s="142">
        <f>IFERROR(CHOOSE(MATCH(IF($E219="","Основний",$E219),{"Трафіковий","Основний","Маржинальний","Сезонний","Стратегічний"},0),Settings!$D$78,Settings!$D$80,Settings!$D$82,Settings!$D$84,Settings!$D$86),"")</f>
        <v/>
      </c>
      <c r="P219" s="148">
        <f>IFERROR((N219*(1-Settings!$D$17)-C219)/(N219*(1-Settings!$D$17)),"")</f>
        <v/>
      </c>
      <c r="Q219" s="149">
        <f>IFERROR(IF(N219="","",IF(N219&gt;=C219/(1-SKU_Base!AB219)/(1-Settings!$D$17),"OK",IF(N219&gt;=C219/(1-SKU_Base!AI219)/(1-Settings!$D$17),"WARN","STOP"))),"")</f>
        <v/>
      </c>
      <c r="R219" s="161">
        <f>IFERROR(ROUND(D219*(1-CHOOSE(MATCH(IF($E219="","Основний",$E219),{"Трафіковий","Основний","Маржинальний","Сезонний","Стратегічний"},0),Settings!$E$78,Settings!$E$80,Settings!$E$82,Settings!$E$84,Settings!$E$86))/6,2)*6,"")</f>
        <v/>
      </c>
      <c r="S219" s="142">
        <f>IFERROR(CHOOSE(MATCH(IF($E219="","Основний",$E219),{"Трафіковий","Основний","Маржинальний","Сезонний","Стратегічний"},0),Settings!$E$78,Settings!$E$80,Settings!$E$82,Settings!$E$84,Settings!$E$86),"")</f>
        <v/>
      </c>
      <c r="T219" s="148">
        <f>IFERROR((R219*(1-Settings!$E$17)-C219)/(R219*(1-Settings!$E$17)),"")</f>
        <v/>
      </c>
      <c r="U219" s="149">
        <f>IFERROR(IF(R219="","",IF(R219&gt;=C219/(1-SKU_Base!AC219)/(1-Settings!$E$17),"OK",IF(R219&gt;=C219/(1-SKU_Base!AJ219)/(1-Settings!$E$17),"WARN","STOP"))),"")</f>
        <v/>
      </c>
      <c r="V219" s="161">
        <f>IFERROR(ROUND(D219*(1-CHOOSE(MATCH(IF($E219="","Основний",$E219),{"Трафіковий","Основний","Маржинальний","Сезонний","Стратегічний"},0),Settings!$F$78,Settings!$F$80,Settings!$F$82,Settings!$F$84,Settings!$F$86))/6,2)*6,"")</f>
        <v/>
      </c>
      <c r="W219" s="142">
        <f>IFERROR(CHOOSE(MATCH(IF($E219="","Основний",$E219),{"Трафіковий","Основний","Маржинальний","Сезонний","Стратегічний"},0),Settings!$F$78,Settings!$F$80,Settings!$F$82,Settings!$F$84,Settings!$F$86),"")</f>
        <v/>
      </c>
      <c r="X219" s="148">
        <f>IFERROR((V219*(1-Settings!$F$17)-C219)/(V219*(1-Settings!$F$17)),"")</f>
        <v/>
      </c>
      <c r="Y219" s="149">
        <f>IFERROR(IF(V219="","",IF(V219&gt;=C219/(1-SKU_Base!AD219)/(1-Settings!$F$17),"OK",IF(V219&gt;=C219/(1-SKU_Base!AK219)/(1-Settings!$F$17),"WARN","STOP"))),"")</f>
        <v/>
      </c>
      <c r="Z219" s="161">
        <f>IFERROR(ROUND(D219*(1-CHOOSE(MATCH(IF($E219="","Основний",$E219),{"Трафіковий","Основний","Маржинальний","Сезонний","Стратегічний"},0),Settings!$G$78,Settings!$G$80,Settings!$G$82,Settings!$G$84,Settings!$G$86))/6,2)*6,"")</f>
        <v/>
      </c>
      <c r="AA219" s="142">
        <f>IFERROR(CHOOSE(MATCH(IF($E219="","Основний",$E219),{"Трафіковий","Основний","Маржинальний","Сезонний","Стратегічний"},0),Settings!$G$78,Settings!$G$80,Settings!$G$82,Settings!$G$84,Settings!$G$86),"")</f>
        <v/>
      </c>
      <c r="AB219" s="148">
        <f>IFERROR((Z219*(1-Settings!$G$17)-C219)/(Z219*(1-Settings!$G$17)),"")</f>
        <v/>
      </c>
      <c r="AC219" s="149">
        <f>IFERROR(IF(Z219="","",IF(Z219&gt;=C219/(1-SKU_Base!AE219)/(1-Settings!$G$17),"OK",IF(Z219&gt;=C219/(1-SKU_Base!AL219)/(1-Settings!$G$17),"WARN","STOP"))),"")</f>
        <v/>
      </c>
      <c r="AD219" s="161">
        <f>IFERROR(ROUND(D219*(1-CHOOSE(MATCH(IF($E219="","Основний",$E219),{"Трафіковий","Основний","Маржинальний","Сезонний","Стратегічний"},0),Settings!$H$78,Settings!$H$80,Settings!$H$82,Settings!$H$84,Settings!$H$86))*(1-Settings!$H$68)/6,2)*6,"")</f>
        <v/>
      </c>
      <c r="AE219" s="142">
        <f>IFERROR(CHOOSE(MATCH(IF($E219="","Основний",$E219),{"Трафіковий","Основний","Маржинальний","Сезонний","Стратегічний"},0),Settings!$H$78,Settings!$H$80,Settings!$H$82,Settings!$H$84,Settings!$H$86)+(1-(CHOOSE(MATCH(IF($E219="","Основний",$E219),{"Трафіковий","Основний","Маржинальний","Сезонний","Стратегічний"},0),Settings!$H$78,Settings!$H$80,Settings!$H$82,Settings!$H$84,Settings!$H$86)))*Settings!$H$68,"")</f>
        <v/>
      </c>
      <c r="AF219" s="148">
        <f>IFERROR((AD219*(1-Settings!$H$17)-C219)/(AD219*(1-Settings!$H$17)),"")</f>
        <v/>
      </c>
      <c r="AG219" s="150">
        <f>IFERROR(IF(AD219="","",IF(AD219&gt;=C219/(1-SKU_Base!AF219)/(1-Settings!$H$17),"OK",IF(AD219&gt;=C219/(1-SKU_Base!AM219)/(1-Settings!$H$17),"WARN","STOP"))),"")</f>
        <v/>
      </c>
    </row>
    <row r="220" ht="17" customHeight="1" s="179">
      <c r="A220" s="139">
        <f>SKU_Base!B220</f>
        <v/>
      </c>
      <c r="B220" s="139">
        <f>SKU_Base!C220</f>
        <v/>
      </c>
      <c r="C220" s="140">
        <f>IFERROR(SKU_Base!I220,"")</f>
        <v/>
      </c>
      <c r="D220" s="163">
        <f>IFERROR(SKU_Base!T220,"")</f>
        <v/>
      </c>
      <c r="E220" s="141">
        <f>IFERROR(SKU_Base!$U220,"")</f>
        <v/>
      </c>
      <c r="F220" s="158">
        <f>IFERROR(ROUND(D220*(1-CHOOSE(MATCH(IF($E220="","Основний",$E220),{"Трафіковий","Основний","Маржинальний","Сезонний","Стратегічний"},0),Settings!$B$78,Settings!$B$80,Settings!$B$82,Settings!$B$84,Settings!$B$86))/6,2)*6,"")</f>
        <v/>
      </c>
      <c r="G220" s="142">
        <f>IFERROR(CHOOSE(MATCH(IF($E220="","Основний",$E220),{"Трафіковий","Основний","Маржинальний","Сезонний","Стратегічний"},0),Settings!$B$78,Settings!$B$80,Settings!$B$82,Settings!$B$84,Settings!$B$86),"")</f>
        <v/>
      </c>
      <c r="H220" s="143">
        <f>IFERROR((F220*(1-Settings!$B$17)-C220)/(F220*(1-Settings!$B$17)),"")</f>
        <v/>
      </c>
      <c r="I220" s="149">
        <f>IFERROR(IF(F220="","",IF(F220&gt;=C220/(1-SKU_Base!Z220)/(1-Settings!$B$17),"OK",IF(F220&gt;=C220/(1-SKU_Base!AG220)/(1-Settings!$B$17),"WARN","STOP"))),"")</f>
        <v/>
      </c>
      <c r="J220" s="158">
        <f>IFERROR(ROUND(D220*(1-CHOOSE(MATCH(IF($E220="","Основний",$E220),{"Трафіковий","Основний","Маржинальний","Сезонний","Стратегічний"},0),Settings!$C$78,Settings!$C$80,Settings!$C$82,Settings!$C$84,Settings!$C$86))/6,2)*6,"")</f>
        <v/>
      </c>
      <c r="K220" s="142">
        <f>IFERROR(CHOOSE(MATCH(IF($E220="","Основний",$E220),{"Трафіковий","Основний","Маржинальний","Сезонний","Стратегічний"},0),Settings!$C$78,Settings!$C$80,Settings!$C$82,Settings!$C$84,Settings!$C$86),"")</f>
        <v/>
      </c>
      <c r="L220" s="143">
        <f>IFERROR((J220*(1-Settings!$C$17)-C220)/(J220*(1-Settings!$C$17)),"")</f>
        <v/>
      </c>
      <c r="M220" s="149">
        <f>IFERROR(IF(J220="","",IF(J220&gt;=C220/(1-SKU_Base!AA220)/(1-Settings!$C$17),"OK",IF(J220&gt;=C220/(1-SKU_Base!AH220)/(1-Settings!$C$17),"WARN","STOP"))),"")</f>
        <v/>
      </c>
      <c r="N220" s="159">
        <f>IFERROR(ROUND(D220*(1-CHOOSE(MATCH(IF($E220="","Основний",$E220),{"Трафіковий","Основний","Маржинальний","Сезонний","Стратегічний"},0),Settings!$D$78,Settings!$D$80,Settings!$D$82,Settings!$D$84,Settings!$D$86))/6,2)*6,"")</f>
        <v/>
      </c>
      <c r="O220" s="142">
        <f>IFERROR(CHOOSE(MATCH(IF($E220="","Основний",$E220),{"Трафіковий","Основний","Маржинальний","Сезонний","Стратегічний"},0),Settings!$D$78,Settings!$D$80,Settings!$D$82,Settings!$D$84,Settings!$D$86),"")</f>
        <v/>
      </c>
      <c r="P220" s="143">
        <f>IFERROR((N220*(1-Settings!$D$17)-C220)/(N220*(1-Settings!$D$17)),"")</f>
        <v/>
      </c>
      <c r="Q220" s="149">
        <f>IFERROR(IF(N220="","",IF(N220&gt;=C220/(1-SKU_Base!AB220)/(1-Settings!$D$17),"OK",IF(N220&gt;=C220/(1-SKU_Base!AI220)/(1-Settings!$D$17),"WARN","STOP"))),"")</f>
        <v/>
      </c>
      <c r="R220" s="159">
        <f>IFERROR(ROUND(D220*(1-CHOOSE(MATCH(IF($E220="","Основний",$E220),{"Трафіковий","Основний","Маржинальний","Сезонний","Стратегічний"},0),Settings!$E$78,Settings!$E$80,Settings!$E$82,Settings!$E$84,Settings!$E$86))/6,2)*6,"")</f>
        <v/>
      </c>
      <c r="S220" s="142">
        <f>IFERROR(CHOOSE(MATCH(IF($E220="","Основний",$E220),{"Трафіковий","Основний","Маржинальний","Сезонний","Стратегічний"},0),Settings!$E$78,Settings!$E$80,Settings!$E$82,Settings!$E$84,Settings!$E$86),"")</f>
        <v/>
      </c>
      <c r="T220" s="143">
        <f>IFERROR((R220*(1-Settings!$E$17)-C220)/(R220*(1-Settings!$E$17)),"")</f>
        <v/>
      </c>
      <c r="U220" s="149">
        <f>IFERROR(IF(R220="","",IF(R220&gt;=C220/(1-SKU_Base!AC220)/(1-Settings!$E$17),"OK",IF(R220&gt;=C220/(1-SKU_Base!AJ220)/(1-Settings!$E$17),"WARN","STOP"))),"")</f>
        <v/>
      </c>
      <c r="V220" s="159">
        <f>IFERROR(ROUND(D220*(1-CHOOSE(MATCH(IF($E220="","Основний",$E220),{"Трафіковий","Основний","Маржинальний","Сезонний","Стратегічний"},0),Settings!$F$78,Settings!$F$80,Settings!$F$82,Settings!$F$84,Settings!$F$86))/6,2)*6,"")</f>
        <v/>
      </c>
      <c r="W220" s="142">
        <f>IFERROR(CHOOSE(MATCH(IF($E220="","Основний",$E220),{"Трафіковий","Основний","Маржинальний","Сезонний","Стратегічний"},0),Settings!$F$78,Settings!$F$80,Settings!$F$82,Settings!$F$84,Settings!$F$86),"")</f>
        <v/>
      </c>
      <c r="X220" s="143">
        <f>IFERROR((V220*(1-Settings!$F$17)-C220)/(V220*(1-Settings!$F$17)),"")</f>
        <v/>
      </c>
      <c r="Y220" s="149">
        <f>IFERROR(IF(V220="","",IF(V220&gt;=C220/(1-SKU_Base!AD220)/(1-Settings!$F$17),"OK",IF(V220&gt;=C220/(1-SKU_Base!AK220)/(1-Settings!$F$17),"WARN","STOP"))),"")</f>
        <v/>
      </c>
      <c r="Z220" s="159">
        <f>IFERROR(ROUND(D220*(1-CHOOSE(MATCH(IF($E220="","Основний",$E220),{"Трафіковий","Основний","Маржинальний","Сезонний","Стратегічний"},0),Settings!$G$78,Settings!$G$80,Settings!$G$82,Settings!$G$84,Settings!$G$86))/6,2)*6,"")</f>
        <v/>
      </c>
      <c r="AA220" s="142">
        <f>IFERROR(CHOOSE(MATCH(IF($E220="","Основний",$E220),{"Трафіковий","Основний","Маржинальний","Сезонний","Стратегічний"},0),Settings!$G$78,Settings!$G$80,Settings!$G$82,Settings!$G$84,Settings!$G$86),"")</f>
        <v/>
      </c>
      <c r="AB220" s="143">
        <f>IFERROR((Z220*(1-Settings!$G$17)-C220)/(Z220*(1-Settings!$G$17)),"")</f>
        <v/>
      </c>
      <c r="AC220" s="149">
        <f>IFERROR(IF(Z220="","",IF(Z220&gt;=C220/(1-SKU_Base!AE220)/(1-Settings!$G$17),"OK",IF(Z220&gt;=C220/(1-SKU_Base!AL220)/(1-Settings!$G$17),"WARN","STOP"))),"")</f>
        <v/>
      </c>
      <c r="AD220" s="159">
        <f>IFERROR(ROUND(D220*(1-CHOOSE(MATCH(IF($E220="","Основний",$E220),{"Трафіковий","Основний","Маржинальний","Сезонний","Стратегічний"},0),Settings!$H$78,Settings!$H$80,Settings!$H$82,Settings!$H$84,Settings!$H$86))*(1-Settings!$H$68)/6,2)*6,"")</f>
        <v/>
      </c>
      <c r="AE220" s="142">
        <f>IFERROR(CHOOSE(MATCH(IF($E220="","Основний",$E220),{"Трафіковий","Основний","Маржинальний","Сезонний","Стратегічний"},0),Settings!$H$78,Settings!$H$80,Settings!$H$82,Settings!$H$84,Settings!$H$86)+(1-(CHOOSE(MATCH(IF($E220="","Основний",$E220),{"Трафіковий","Основний","Маржинальний","Сезонний","Стратегічний"},0),Settings!$H$78,Settings!$H$80,Settings!$H$82,Settings!$H$84,Settings!$H$86)))*Settings!$H$68,"")</f>
        <v/>
      </c>
      <c r="AF220" s="143">
        <f>IFERROR((AD220*(1-Settings!$H$17)-C220)/(AD220*(1-Settings!$H$17)),"")</f>
        <v/>
      </c>
      <c r="AG220" s="150">
        <f>IFERROR(IF(AD220="","",IF(AD220&gt;=C220/(1-SKU_Base!AF220)/(1-Settings!$H$17),"OK",IF(AD220&gt;=C220/(1-SKU_Base!AM220)/(1-Settings!$H$17),"WARN","STOP"))),"")</f>
        <v/>
      </c>
    </row>
    <row r="221" ht="17" customHeight="1" s="179">
      <c r="A221" s="146">
        <f>SKU_Base!B221</f>
        <v/>
      </c>
      <c r="B221" s="146">
        <f>SKU_Base!C221</f>
        <v/>
      </c>
      <c r="C221" s="147">
        <f>IFERROR(SKU_Base!I221,"")</f>
        <v/>
      </c>
      <c r="D221" s="164">
        <f>IFERROR(SKU_Base!T221,"")</f>
        <v/>
      </c>
      <c r="E221" s="141">
        <f>IFERROR(SKU_Base!$U221,"")</f>
        <v/>
      </c>
      <c r="F221" s="160">
        <f>IFERROR(ROUND(D221*(1-CHOOSE(MATCH(IF($E221="","Основний",$E221),{"Трафіковий","Основний","Маржинальний","Сезонний","Стратегічний"},0),Settings!$B$78,Settings!$B$80,Settings!$B$82,Settings!$B$84,Settings!$B$86))/6,2)*6,"")</f>
        <v/>
      </c>
      <c r="G221" s="142">
        <f>IFERROR(CHOOSE(MATCH(IF($E221="","Основний",$E221),{"Трафіковий","Основний","Маржинальний","Сезонний","Стратегічний"},0),Settings!$B$78,Settings!$B$80,Settings!$B$82,Settings!$B$84,Settings!$B$86),"")</f>
        <v/>
      </c>
      <c r="H221" s="148">
        <f>IFERROR((F221*(1-Settings!$B$17)-C221)/(F221*(1-Settings!$B$17)),"")</f>
        <v/>
      </c>
      <c r="I221" s="149">
        <f>IFERROR(IF(F221="","",IF(F221&gt;=C221/(1-SKU_Base!Z221)/(1-Settings!$B$17),"OK",IF(F221&gt;=C221/(1-SKU_Base!AG221)/(1-Settings!$B$17),"WARN","STOP"))),"")</f>
        <v/>
      </c>
      <c r="J221" s="160">
        <f>IFERROR(ROUND(D221*(1-CHOOSE(MATCH(IF($E221="","Основний",$E221),{"Трафіковий","Основний","Маржинальний","Сезонний","Стратегічний"},0),Settings!$C$78,Settings!$C$80,Settings!$C$82,Settings!$C$84,Settings!$C$86))/6,2)*6,"")</f>
        <v/>
      </c>
      <c r="K221" s="142">
        <f>IFERROR(CHOOSE(MATCH(IF($E221="","Основний",$E221),{"Трафіковий","Основний","Маржинальний","Сезонний","Стратегічний"},0),Settings!$C$78,Settings!$C$80,Settings!$C$82,Settings!$C$84,Settings!$C$86),"")</f>
        <v/>
      </c>
      <c r="L221" s="148">
        <f>IFERROR((J221*(1-Settings!$C$17)-C221)/(J221*(1-Settings!$C$17)),"")</f>
        <v/>
      </c>
      <c r="M221" s="149">
        <f>IFERROR(IF(J221="","",IF(J221&gt;=C221/(1-SKU_Base!AA221)/(1-Settings!$C$17),"OK",IF(J221&gt;=C221/(1-SKU_Base!AH221)/(1-Settings!$C$17),"WARN","STOP"))),"")</f>
        <v/>
      </c>
      <c r="N221" s="161">
        <f>IFERROR(ROUND(D221*(1-CHOOSE(MATCH(IF($E221="","Основний",$E221),{"Трафіковий","Основний","Маржинальний","Сезонний","Стратегічний"},0),Settings!$D$78,Settings!$D$80,Settings!$D$82,Settings!$D$84,Settings!$D$86))/6,2)*6,"")</f>
        <v/>
      </c>
      <c r="O221" s="142">
        <f>IFERROR(CHOOSE(MATCH(IF($E221="","Основний",$E221),{"Трафіковий","Основний","Маржинальний","Сезонний","Стратегічний"},0),Settings!$D$78,Settings!$D$80,Settings!$D$82,Settings!$D$84,Settings!$D$86),"")</f>
        <v/>
      </c>
      <c r="P221" s="148">
        <f>IFERROR((N221*(1-Settings!$D$17)-C221)/(N221*(1-Settings!$D$17)),"")</f>
        <v/>
      </c>
      <c r="Q221" s="149">
        <f>IFERROR(IF(N221="","",IF(N221&gt;=C221/(1-SKU_Base!AB221)/(1-Settings!$D$17),"OK",IF(N221&gt;=C221/(1-SKU_Base!AI221)/(1-Settings!$D$17),"WARN","STOP"))),"")</f>
        <v/>
      </c>
      <c r="R221" s="161">
        <f>IFERROR(ROUND(D221*(1-CHOOSE(MATCH(IF($E221="","Основний",$E221),{"Трафіковий","Основний","Маржинальний","Сезонний","Стратегічний"},0),Settings!$E$78,Settings!$E$80,Settings!$E$82,Settings!$E$84,Settings!$E$86))/6,2)*6,"")</f>
        <v/>
      </c>
      <c r="S221" s="142">
        <f>IFERROR(CHOOSE(MATCH(IF($E221="","Основний",$E221),{"Трафіковий","Основний","Маржинальний","Сезонний","Стратегічний"},0),Settings!$E$78,Settings!$E$80,Settings!$E$82,Settings!$E$84,Settings!$E$86),"")</f>
        <v/>
      </c>
      <c r="T221" s="148">
        <f>IFERROR((R221*(1-Settings!$E$17)-C221)/(R221*(1-Settings!$E$17)),"")</f>
        <v/>
      </c>
      <c r="U221" s="149">
        <f>IFERROR(IF(R221="","",IF(R221&gt;=C221/(1-SKU_Base!AC221)/(1-Settings!$E$17),"OK",IF(R221&gt;=C221/(1-SKU_Base!AJ221)/(1-Settings!$E$17),"WARN","STOP"))),"")</f>
        <v/>
      </c>
      <c r="V221" s="161">
        <f>IFERROR(ROUND(D221*(1-CHOOSE(MATCH(IF($E221="","Основний",$E221),{"Трафіковий","Основний","Маржинальний","Сезонний","Стратегічний"},0),Settings!$F$78,Settings!$F$80,Settings!$F$82,Settings!$F$84,Settings!$F$86))/6,2)*6,"")</f>
        <v/>
      </c>
      <c r="W221" s="142">
        <f>IFERROR(CHOOSE(MATCH(IF($E221="","Основний",$E221),{"Трафіковий","Основний","Маржинальний","Сезонний","Стратегічний"},0),Settings!$F$78,Settings!$F$80,Settings!$F$82,Settings!$F$84,Settings!$F$86),"")</f>
        <v/>
      </c>
      <c r="X221" s="148">
        <f>IFERROR((V221*(1-Settings!$F$17)-C221)/(V221*(1-Settings!$F$17)),"")</f>
        <v/>
      </c>
      <c r="Y221" s="149">
        <f>IFERROR(IF(V221="","",IF(V221&gt;=C221/(1-SKU_Base!AD221)/(1-Settings!$F$17),"OK",IF(V221&gt;=C221/(1-SKU_Base!AK221)/(1-Settings!$F$17),"WARN","STOP"))),"")</f>
        <v/>
      </c>
      <c r="Z221" s="161">
        <f>IFERROR(ROUND(D221*(1-CHOOSE(MATCH(IF($E221="","Основний",$E221),{"Трафіковий","Основний","Маржинальний","Сезонний","Стратегічний"},0),Settings!$G$78,Settings!$G$80,Settings!$G$82,Settings!$G$84,Settings!$G$86))/6,2)*6,"")</f>
        <v/>
      </c>
      <c r="AA221" s="142">
        <f>IFERROR(CHOOSE(MATCH(IF($E221="","Основний",$E221),{"Трафіковий","Основний","Маржинальний","Сезонний","Стратегічний"},0),Settings!$G$78,Settings!$G$80,Settings!$G$82,Settings!$G$84,Settings!$G$86),"")</f>
        <v/>
      </c>
      <c r="AB221" s="148">
        <f>IFERROR((Z221*(1-Settings!$G$17)-C221)/(Z221*(1-Settings!$G$17)),"")</f>
        <v/>
      </c>
      <c r="AC221" s="149">
        <f>IFERROR(IF(Z221="","",IF(Z221&gt;=C221/(1-SKU_Base!AE221)/(1-Settings!$G$17),"OK",IF(Z221&gt;=C221/(1-SKU_Base!AL221)/(1-Settings!$G$17),"WARN","STOP"))),"")</f>
        <v/>
      </c>
      <c r="AD221" s="161">
        <f>IFERROR(ROUND(D221*(1-CHOOSE(MATCH(IF($E221="","Основний",$E221),{"Трафіковий","Основний","Маржинальний","Сезонний","Стратегічний"},0),Settings!$H$78,Settings!$H$80,Settings!$H$82,Settings!$H$84,Settings!$H$86))*(1-Settings!$H$68)/6,2)*6,"")</f>
        <v/>
      </c>
      <c r="AE221" s="142">
        <f>IFERROR(CHOOSE(MATCH(IF($E221="","Основний",$E221),{"Трафіковий","Основний","Маржинальний","Сезонний","Стратегічний"},0),Settings!$H$78,Settings!$H$80,Settings!$H$82,Settings!$H$84,Settings!$H$86)+(1-(CHOOSE(MATCH(IF($E221="","Основний",$E221),{"Трафіковий","Основний","Маржинальний","Сезонний","Стратегічний"},0),Settings!$H$78,Settings!$H$80,Settings!$H$82,Settings!$H$84,Settings!$H$86)))*Settings!$H$68,"")</f>
        <v/>
      </c>
      <c r="AF221" s="148">
        <f>IFERROR((AD221*(1-Settings!$H$17)-C221)/(AD221*(1-Settings!$H$17)),"")</f>
        <v/>
      </c>
      <c r="AG221" s="150">
        <f>IFERROR(IF(AD221="","",IF(AD221&gt;=C221/(1-SKU_Base!AF221)/(1-Settings!$H$17),"OK",IF(AD221&gt;=C221/(1-SKU_Base!AM221)/(1-Settings!$H$17),"WARN","STOP"))),"")</f>
        <v/>
      </c>
    </row>
    <row r="222" ht="17" customHeight="1" s="179">
      <c r="A222" s="139">
        <f>SKU_Base!B222</f>
        <v/>
      </c>
      <c r="B222" s="139">
        <f>SKU_Base!C222</f>
        <v/>
      </c>
      <c r="C222" s="140">
        <f>IFERROR(SKU_Base!I222,"")</f>
        <v/>
      </c>
      <c r="D222" s="163">
        <f>IFERROR(SKU_Base!T222,"")</f>
        <v/>
      </c>
      <c r="E222" s="141">
        <f>IFERROR(SKU_Base!$U222,"")</f>
        <v/>
      </c>
      <c r="F222" s="158">
        <f>IFERROR(ROUND(D222*(1-CHOOSE(MATCH(IF($E222="","Основний",$E222),{"Трафіковий","Основний","Маржинальний","Сезонний","Стратегічний"},0),Settings!$B$78,Settings!$B$80,Settings!$B$82,Settings!$B$84,Settings!$B$86))/6,2)*6,"")</f>
        <v/>
      </c>
      <c r="G222" s="142">
        <f>IFERROR(CHOOSE(MATCH(IF($E222="","Основний",$E222),{"Трафіковий","Основний","Маржинальний","Сезонний","Стратегічний"},0),Settings!$B$78,Settings!$B$80,Settings!$B$82,Settings!$B$84,Settings!$B$86),"")</f>
        <v/>
      </c>
      <c r="H222" s="143">
        <f>IFERROR((F222*(1-Settings!$B$17)-C222)/(F222*(1-Settings!$B$17)),"")</f>
        <v/>
      </c>
      <c r="I222" s="149">
        <f>IFERROR(IF(F222="","",IF(F222&gt;=C222/(1-SKU_Base!Z222)/(1-Settings!$B$17),"OK",IF(F222&gt;=C222/(1-SKU_Base!AG222)/(1-Settings!$B$17),"WARN","STOP"))),"")</f>
        <v/>
      </c>
      <c r="J222" s="158">
        <f>IFERROR(ROUND(D222*(1-CHOOSE(MATCH(IF($E222="","Основний",$E222),{"Трафіковий","Основний","Маржинальний","Сезонний","Стратегічний"},0),Settings!$C$78,Settings!$C$80,Settings!$C$82,Settings!$C$84,Settings!$C$86))/6,2)*6,"")</f>
        <v/>
      </c>
      <c r="K222" s="142">
        <f>IFERROR(CHOOSE(MATCH(IF($E222="","Основний",$E222),{"Трафіковий","Основний","Маржинальний","Сезонний","Стратегічний"},0),Settings!$C$78,Settings!$C$80,Settings!$C$82,Settings!$C$84,Settings!$C$86),"")</f>
        <v/>
      </c>
      <c r="L222" s="143">
        <f>IFERROR((J222*(1-Settings!$C$17)-C222)/(J222*(1-Settings!$C$17)),"")</f>
        <v/>
      </c>
      <c r="M222" s="149">
        <f>IFERROR(IF(J222="","",IF(J222&gt;=C222/(1-SKU_Base!AA222)/(1-Settings!$C$17),"OK",IF(J222&gt;=C222/(1-SKU_Base!AH222)/(1-Settings!$C$17),"WARN","STOP"))),"")</f>
        <v/>
      </c>
      <c r="N222" s="159">
        <f>IFERROR(ROUND(D222*(1-CHOOSE(MATCH(IF($E222="","Основний",$E222),{"Трафіковий","Основний","Маржинальний","Сезонний","Стратегічний"},0),Settings!$D$78,Settings!$D$80,Settings!$D$82,Settings!$D$84,Settings!$D$86))/6,2)*6,"")</f>
        <v/>
      </c>
      <c r="O222" s="142">
        <f>IFERROR(CHOOSE(MATCH(IF($E222="","Основний",$E222),{"Трафіковий","Основний","Маржинальний","Сезонний","Стратегічний"},0),Settings!$D$78,Settings!$D$80,Settings!$D$82,Settings!$D$84,Settings!$D$86),"")</f>
        <v/>
      </c>
      <c r="P222" s="143">
        <f>IFERROR((N222*(1-Settings!$D$17)-C222)/(N222*(1-Settings!$D$17)),"")</f>
        <v/>
      </c>
      <c r="Q222" s="149">
        <f>IFERROR(IF(N222="","",IF(N222&gt;=C222/(1-SKU_Base!AB222)/(1-Settings!$D$17),"OK",IF(N222&gt;=C222/(1-SKU_Base!AI222)/(1-Settings!$D$17),"WARN","STOP"))),"")</f>
        <v/>
      </c>
      <c r="R222" s="159">
        <f>IFERROR(ROUND(D222*(1-CHOOSE(MATCH(IF($E222="","Основний",$E222),{"Трафіковий","Основний","Маржинальний","Сезонний","Стратегічний"},0),Settings!$E$78,Settings!$E$80,Settings!$E$82,Settings!$E$84,Settings!$E$86))/6,2)*6,"")</f>
        <v/>
      </c>
      <c r="S222" s="142">
        <f>IFERROR(CHOOSE(MATCH(IF($E222="","Основний",$E222),{"Трафіковий","Основний","Маржинальний","Сезонний","Стратегічний"},0),Settings!$E$78,Settings!$E$80,Settings!$E$82,Settings!$E$84,Settings!$E$86),"")</f>
        <v/>
      </c>
      <c r="T222" s="143">
        <f>IFERROR((R222*(1-Settings!$E$17)-C222)/(R222*(1-Settings!$E$17)),"")</f>
        <v/>
      </c>
      <c r="U222" s="149">
        <f>IFERROR(IF(R222="","",IF(R222&gt;=C222/(1-SKU_Base!AC222)/(1-Settings!$E$17),"OK",IF(R222&gt;=C222/(1-SKU_Base!AJ222)/(1-Settings!$E$17),"WARN","STOP"))),"")</f>
        <v/>
      </c>
      <c r="V222" s="159">
        <f>IFERROR(ROUND(D222*(1-CHOOSE(MATCH(IF($E222="","Основний",$E222),{"Трафіковий","Основний","Маржинальний","Сезонний","Стратегічний"},0),Settings!$F$78,Settings!$F$80,Settings!$F$82,Settings!$F$84,Settings!$F$86))/6,2)*6,"")</f>
        <v/>
      </c>
      <c r="W222" s="142">
        <f>IFERROR(CHOOSE(MATCH(IF($E222="","Основний",$E222),{"Трафіковий","Основний","Маржинальний","Сезонний","Стратегічний"},0),Settings!$F$78,Settings!$F$80,Settings!$F$82,Settings!$F$84,Settings!$F$86),"")</f>
        <v/>
      </c>
      <c r="X222" s="143">
        <f>IFERROR((V222*(1-Settings!$F$17)-C222)/(V222*(1-Settings!$F$17)),"")</f>
        <v/>
      </c>
      <c r="Y222" s="149">
        <f>IFERROR(IF(V222="","",IF(V222&gt;=C222/(1-SKU_Base!AD222)/(1-Settings!$F$17),"OK",IF(V222&gt;=C222/(1-SKU_Base!AK222)/(1-Settings!$F$17),"WARN","STOP"))),"")</f>
        <v/>
      </c>
      <c r="Z222" s="159">
        <f>IFERROR(ROUND(D222*(1-CHOOSE(MATCH(IF($E222="","Основний",$E222),{"Трафіковий","Основний","Маржинальний","Сезонний","Стратегічний"},0),Settings!$G$78,Settings!$G$80,Settings!$G$82,Settings!$G$84,Settings!$G$86))/6,2)*6,"")</f>
        <v/>
      </c>
      <c r="AA222" s="142">
        <f>IFERROR(CHOOSE(MATCH(IF($E222="","Основний",$E222),{"Трафіковий","Основний","Маржинальний","Сезонний","Стратегічний"},0),Settings!$G$78,Settings!$G$80,Settings!$G$82,Settings!$G$84,Settings!$G$86),"")</f>
        <v/>
      </c>
      <c r="AB222" s="143">
        <f>IFERROR((Z222*(1-Settings!$G$17)-C222)/(Z222*(1-Settings!$G$17)),"")</f>
        <v/>
      </c>
      <c r="AC222" s="149">
        <f>IFERROR(IF(Z222="","",IF(Z222&gt;=C222/(1-SKU_Base!AE222)/(1-Settings!$G$17),"OK",IF(Z222&gt;=C222/(1-SKU_Base!AL222)/(1-Settings!$G$17),"WARN","STOP"))),"")</f>
        <v/>
      </c>
      <c r="AD222" s="159">
        <f>IFERROR(ROUND(D222*(1-CHOOSE(MATCH(IF($E222="","Основний",$E222),{"Трафіковий","Основний","Маржинальний","Сезонний","Стратегічний"},0),Settings!$H$78,Settings!$H$80,Settings!$H$82,Settings!$H$84,Settings!$H$86))*(1-Settings!$H$68)/6,2)*6,"")</f>
        <v/>
      </c>
      <c r="AE222" s="142">
        <f>IFERROR(CHOOSE(MATCH(IF($E222="","Основний",$E222),{"Трафіковий","Основний","Маржинальний","Сезонний","Стратегічний"},0),Settings!$H$78,Settings!$H$80,Settings!$H$82,Settings!$H$84,Settings!$H$86)+(1-(CHOOSE(MATCH(IF($E222="","Основний",$E222),{"Трафіковий","Основний","Маржинальний","Сезонний","Стратегічний"},0),Settings!$H$78,Settings!$H$80,Settings!$H$82,Settings!$H$84,Settings!$H$86)))*Settings!$H$68,"")</f>
        <v/>
      </c>
      <c r="AF222" s="143">
        <f>IFERROR((AD222*(1-Settings!$H$17)-C222)/(AD222*(1-Settings!$H$17)),"")</f>
        <v/>
      </c>
      <c r="AG222" s="150">
        <f>IFERROR(IF(AD222="","",IF(AD222&gt;=C222/(1-SKU_Base!AF222)/(1-Settings!$H$17),"OK",IF(AD222&gt;=C222/(1-SKU_Base!AM222)/(1-Settings!$H$17),"WARN","STOP"))),"")</f>
        <v/>
      </c>
    </row>
    <row r="223" ht="17" customHeight="1" s="179">
      <c r="A223" s="146">
        <f>SKU_Base!B223</f>
        <v/>
      </c>
      <c r="B223" s="146">
        <f>SKU_Base!C223</f>
        <v/>
      </c>
      <c r="C223" s="147">
        <f>IFERROR(SKU_Base!I223,"")</f>
        <v/>
      </c>
      <c r="D223" s="164">
        <f>IFERROR(SKU_Base!T223,"")</f>
        <v/>
      </c>
      <c r="E223" s="141">
        <f>IFERROR(SKU_Base!$U223,"")</f>
        <v/>
      </c>
      <c r="F223" s="160">
        <f>IFERROR(ROUND(D223*(1-CHOOSE(MATCH(IF($E223="","Основний",$E223),{"Трафіковий","Основний","Маржинальний","Сезонний","Стратегічний"},0),Settings!$B$78,Settings!$B$80,Settings!$B$82,Settings!$B$84,Settings!$B$86))/6,2)*6,"")</f>
        <v/>
      </c>
      <c r="G223" s="142">
        <f>IFERROR(CHOOSE(MATCH(IF($E223="","Основний",$E223),{"Трафіковий","Основний","Маржинальний","Сезонний","Стратегічний"},0),Settings!$B$78,Settings!$B$80,Settings!$B$82,Settings!$B$84,Settings!$B$86),"")</f>
        <v/>
      </c>
      <c r="H223" s="148">
        <f>IFERROR((F223*(1-Settings!$B$17)-C223)/(F223*(1-Settings!$B$17)),"")</f>
        <v/>
      </c>
      <c r="I223" s="149">
        <f>IFERROR(IF(F223="","",IF(F223&gt;=C223/(1-SKU_Base!Z223)/(1-Settings!$B$17),"OK",IF(F223&gt;=C223/(1-SKU_Base!AG223)/(1-Settings!$B$17),"WARN","STOP"))),"")</f>
        <v/>
      </c>
      <c r="J223" s="160">
        <f>IFERROR(ROUND(D223*(1-CHOOSE(MATCH(IF($E223="","Основний",$E223),{"Трафіковий","Основний","Маржинальний","Сезонний","Стратегічний"},0),Settings!$C$78,Settings!$C$80,Settings!$C$82,Settings!$C$84,Settings!$C$86))/6,2)*6,"")</f>
        <v/>
      </c>
      <c r="K223" s="142">
        <f>IFERROR(CHOOSE(MATCH(IF($E223="","Основний",$E223),{"Трафіковий","Основний","Маржинальний","Сезонний","Стратегічний"},0),Settings!$C$78,Settings!$C$80,Settings!$C$82,Settings!$C$84,Settings!$C$86),"")</f>
        <v/>
      </c>
      <c r="L223" s="148">
        <f>IFERROR((J223*(1-Settings!$C$17)-C223)/(J223*(1-Settings!$C$17)),"")</f>
        <v/>
      </c>
      <c r="M223" s="149">
        <f>IFERROR(IF(J223="","",IF(J223&gt;=C223/(1-SKU_Base!AA223)/(1-Settings!$C$17),"OK",IF(J223&gt;=C223/(1-SKU_Base!AH223)/(1-Settings!$C$17),"WARN","STOP"))),"")</f>
        <v/>
      </c>
      <c r="N223" s="161">
        <f>IFERROR(ROUND(D223*(1-CHOOSE(MATCH(IF($E223="","Основний",$E223),{"Трафіковий","Основний","Маржинальний","Сезонний","Стратегічний"},0),Settings!$D$78,Settings!$D$80,Settings!$D$82,Settings!$D$84,Settings!$D$86))/6,2)*6,"")</f>
        <v/>
      </c>
      <c r="O223" s="142">
        <f>IFERROR(CHOOSE(MATCH(IF($E223="","Основний",$E223),{"Трафіковий","Основний","Маржинальний","Сезонний","Стратегічний"},0),Settings!$D$78,Settings!$D$80,Settings!$D$82,Settings!$D$84,Settings!$D$86),"")</f>
        <v/>
      </c>
      <c r="P223" s="148">
        <f>IFERROR((N223*(1-Settings!$D$17)-C223)/(N223*(1-Settings!$D$17)),"")</f>
        <v/>
      </c>
      <c r="Q223" s="149">
        <f>IFERROR(IF(N223="","",IF(N223&gt;=C223/(1-SKU_Base!AB223)/(1-Settings!$D$17),"OK",IF(N223&gt;=C223/(1-SKU_Base!AI223)/(1-Settings!$D$17),"WARN","STOP"))),"")</f>
        <v/>
      </c>
      <c r="R223" s="161">
        <f>IFERROR(ROUND(D223*(1-CHOOSE(MATCH(IF($E223="","Основний",$E223),{"Трафіковий","Основний","Маржинальний","Сезонний","Стратегічний"},0),Settings!$E$78,Settings!$E$80,Settings!$E$82,Settings!$E$84,Settings!$E$86))/6,2)*6,"")</f>
        <v/>
      </c>
      <c r="S223" s="142">
        <f>IFERROR(CHOOSE(MATCH(IF($E223="","Основний",$E223),{"Трафіковий","Основний","Маржинальний","Сезонний","Стратегічний"},0),Settings!$E$78,Settings!$E$80,Settings!$E$82,Settings!$E$84,Settings!$E$86),"")</f>
        <v/>
      </c>
      <c r="T223" s="148">
        <f>IFERROR((R223*(1-Settings!$E$17)-C223)/(R223*(1-Settings!$E$17)),"")</f>
        <v/>
      </c>
      <c r="U223" s="149">
        <f>IFERROR(IF(R223="","",IF(R223&gt;=C223/(1-SKU_Base!AC223)/(1-Settings!$E$17),"OK",IF(R223&gt;=C223/(1-SKU_Base!AJ223)/(1-Settings!$E$17),"WARN","STOP"))),"")</f>
        <v/>
      </c>
      <c r="V223" s="161">
        <f>IFERROR(ROUND(D223*(1-CHOOSE(MATCH(IF($E223="","Основний",$E223),{"Трафіковий","Основний","Маржинальний","Сезонний","Стратегічний"},0),Settings!$F$78,Settings!$F$80,Settings!$F$82,Settings!$F$84,Settings!$F$86))/6,2)*6,"")</f>
        <v/>
      </c>
      <c r="W223" s="142">
        <f>IFERROR(CHOOSE(MATCH(IF($E223="","Основний",$E223),{"Трафіковий","Основний","Маржинальний","Сезонний","Стратегічний"},0),Settings!$F$78,Settings!$F$80,Settings!$F$82,Settings!$F$84,Settings!$F$86),"")</f>
        <v/>
      </c>
      <c r="X223" s="148">
        <f>IFERROR((V223*(1-Settings!$F$17)-C223)/(V223*(1-Settings!$F$17)),"")</f>
        <v/>
      </c>
      <c r="Y223" s="149">
        <f>IFERROR(IF(V223="","",IF(V223&gt;=C223/(1-SKU_Base!AD223)/(1-Settings!$F$17),"OK",IF(V223&gt;=C223/(1-SKU_Base!AK223)/(1-Settings!$F$17),"WARN","STOP"))),"")</f>
        <v/>
      </c>
      <c r="Z223" s="161">
        <f>IFERROR(ROUND(D223*(1-CHOOSE(MATCH(IF($E223="","Основний",$E223),{"Трафіковий","Основний","Маржинальний","Сезонний","Стратегічний"},0),Settings!$G$78,Settings!$G$80,Settings!$G$82,Settings!$G$84,Settings!$G$86))/6,2)*6,"")</f>
        <v/>
      </c>
      <c r="AA223" s="142">
        <f>IFERROR(CHOOSE(MATCH(IF($E223="","Основний",$E223),{"Трафіковий","Основний","Маржинальний","Сезонний","Стратегічний"},0),Settings!$G$78,Settings!$G$80,Settings!$G$82,Settings!$G$84,Settings!$G$86),"")</f>
        <v/>
      </c>
      <c r="AB223" s="148">
        <f>IFERROR((Z223*(1-Settings!$G$17)-C223)/(Z223*(1-Settings!$G$17)),"")</f>
        <v/>
      </c>
      <c r="AC223" s="149">
        <f>IFERROR(IF(Z223="","",IF(Z223&gt;=C223/(1-SKU_Base!AE223)/(1-Settings!$G$17),"OK",IF(Z223&gt;=C223/(1-SKU_Base!AL223)/(1-Settings!$G$17),"WARN","STOP"))),"")</f>
        <v/>
      </c>
      <c r="AD223" s="161">
        <f>IFERROR(ROUND(D223*(1-CHOOSE(MATCH(IF($E223="","Основний",$E223),{"Трафіковий","Основний","Маржинальний","Сезонний","Стратегічний"},0),Settings!$H$78,Settings!$H$80,Settings!$H$82,Settings!$H$84,Settings!$H$86))*(1-Settings!$H$68)/6,2)*6,"")</f>
        <v/>
      </c>
      <c r="AE223" s="142">
        <f>IFERROR(CHOOSE(MATCH(IF($E223="","Основний",$E223),{"Трафіковий","Основний","Маржинальний","Сезонний","Стратегічний"},0),Settings!$H$78,Settings!$H$80,Settings!$H$82,Settings!$H$84,Settings!$H$86)+(1-(CHOOSE(MATCH(IF($E223="","Основний",$E223),{"Трафіковий","Основний","Маржинальний","Сезонний","Стратегічний"},0),Settings!$H$78,Settings!$H$80,Settings!$H$82,Settings!$H$84,Settings!$H$86)))*Settings!$H$68,"")</f>
        <v/>
      </c>
      <c r="AF223" s="148">
        <f>IFERROR((AD223*(1-Settings!$H$17)-C223)/(AD223*(1-Settings!$H$17)),"")</f>
        <v/>
      </c>
      <c r="AG223" s="149">
        <f>IFERROR(IF(AD223="","",IF(AD223&gt;=C223/(1-SKU_Base!AF223)/(1-Settings!$H$17),"OK",IF(AD223&gt;=C223/(1-SKU_Base!AM223)/(1-Settings!$H$17),"WARN","STOP"))),"")</f>
        <v/>
      </c>
    </row>
    <row r="224" ht="17" customHeight="1" s="179">
      <c r="A224" s="139">
        <f>SKU_Base!B224</f>
        <v/>
      </c>
      <c r="B224" s="139">
        <f>SKU_Base!C224</f>
        <v/>
      </c>
      <c r="C224" s="140">
        <f>IFERROR(SKU_Base!I224,"")</f>
        <v/>
      </c>
      <c r="D224" s="163">
        <f>IFERROR(SKU_Base!T224,"")</f>
        <v/>
      </c>
      <c r="E224" s="141">
        <f>IFERROR(SKU_Base!$U224,"")</f>
        <v/>
      </c>
      <c r="F224" s="158">
        <f>IFERROR(ROUND(D224*(1-CHOOSE(MATCH(IF($E224="","Основний",$E224),{"Трафіковий","Основний","Маржинальний","Сезонний","Стратегічний"},0),Settings!$B$78,Settings!$B$80,Settings!$B$82,Settings!$B$84,Settings!$B$86))/6,2)*6,"")</f>
        <v/>
      </c>
      <c r="G224" s="142">
        <f>IFERROR(CHOOSE(MATCH(IF($E224="","Основний",$E224),{"Трафіковий","Основний","Маржинальний","Сезонний","Стратегічний"},0),Settings!$B$78,Settings!$B$80,Settings!$B$82,Settings!$B$84,Settings!$B$86),"")</f>
        <v/>
      </c>
      <c r="H224" s="143">
        <f>IFERROR((F224*(1-Settings!$B$17)-C224)/(F224*(1-Settings!$B$17)),"")</f>
        <v/>
      </c>
      <c r="I224" s="149">
        <f>IFERROR(IF(F224="","",IF(F224&gt;=C224/(1-SKU_Base!Z224)/(1-Settings!$B$17),"OK",IF(F224&gt;=C224/(1-SKU_Base!AG224)/(1-Settings!$B$17),"WARN","STOP"))),"")</f>
        <v/>
      </c>
      <c r="J224" s="158">
        <f>IFERROR(ROUND(D224*(1-CHOOSE(MATCH(IF($E224="","Основний",$E224),{"Трафіковий","Основний","Маржинальний","Сезонний","Стратегічний"},0),Settings!$C$78,Settings!$C$80,Settings!$C$82,Settings!$C$84,Settings!$C$86))/6,2)*6,"")</f>
        <v/>
      </c>
      <c r="K224" s="142">
        <f>IFERROR(CHOOSE(MATCH(IF($E224="","Основний",$E224),{"Трафіковий","Основний","Маржинальний","Сезонний","Стратегічний"},0),Settings!$C$78,Settings!$C$80,Settings!$C$82,Settings!$C$84,Settings!$C$86),"")</f>
        <v/>
      </c>
      <c r="L224" s="143">
        <f>IFERROR((J224*(1-Settings!$C$17)-C224)/(J224*(1-Settings!$C$17)),"")</f>
        <v/>
      </c>
      <c r="M224" s="149">
        <f>IFERROR(IF(J224="","",IF(J224&gt;=C224/(1-SKU_Base!AA224)/(1-Settings!$C$17),"OK",IF(J224&gt;=C224/(1-SKU_Base!AH224)/(1-Settings!$C$17),"WARN","STOP"))),"")</f>
        <v/>
      </c>
      <c r="N224" s="159">
        <f>IFERROR(ROUND(D224*(1-CHOOSE(MATCH(IF($E224="","Основний",$E224),{"Трафіковий","Основний","Маржинальний","Сезонний","Стратегічний"},0),Settings!$D$78,Settings!$D$80,Settings!$D$82,Settings!$D$84,Settings!$D$86))/6,2)*6,"")</f>
        <v/>
      </c>
      <c r="O224" s="142">
        <f>IFERROR(CHOOSE(MATCH(IF($E224="","Основний",$E224),{"Трафіковий","Основний","Маржинальний","Сезонний","Стратегічний"},0),Settings!$D$78,Settings!$D$80,Settings!$D$82,Settings!$D$84,Settings!$D$86),"")</f>
        <v/>
      </c>
      <c r="P224" s="143">
        <f>IFERROR((N224*(1-Settings!$D$17)-C224)/(N224*(1-Settings!$D$17)),"")</f>
        <v/>
      </c>
      <c r="Q224" s="149">
        <f>IFERROR(IF(N224="","",IF(N224&gt;=C224/(1-SKU_Base!AB224)/(1-Settings!$D$17),"OK",IF(N224&gt;=C224/(1-SKU_Base!AI224)/(1-Settings!$D$17),"WARN","STOP"))),"")</f>
        <v/>
      </c>
      <c r="R224" s="159">
        <f>IFERROR(ROUND(D224*(1-CHOOSE(MATCH(IF($E224="","Основний",$E224),{"Трафіковий","Основний","Маржинальний","Сезонний","Стратегічний"},0),Settings!$E$78,Settings!$E$80,Settings!$E$82,Settings!$E$84,Settings!$E$86))/6,2)*6,"")</f>
        <v/>
      </c>
      <c r="S224" s="142">
        <f>IFERROR(CHOOSE(MATCH(IF($E224="","Основний",$E224),{"Трафіковий","Основний","Маржинальний","Сезонний","Стратегічний"},0),Settings!$E$78,Settings!$E$80,Settings!$E$82,Settings!$E$84,Settings!$E$86),"")</f>
        <v/>
      </c>
      <c r="T224" s="143">
        <f>IFERROR((R224*(1-Settings!$E$17)-C224)/(R224*(1-Settings!$E$17)),"")</f>
        <v/>
      </c>
      <c r="U224" s="149">
        <f>IFERROR(IF(R224="","",IF(R224&gt;=C224/(1-SKU_Base!AC224)/(1-Settings!$E$17),"OK",IF(R224&gt;=C224/(1-SKU_Base!AJ224)/(1-Settings!$E$17),"WARN","STOP"))),"")</f>
        <v/>
      </c>
      <c r="V224" s="159">
        <f>IFERROR(ROUND(D224*(1-CHOOSE(MATCH(IF($E224="","Основний",$E224),{"Трафіковий","Основний","Маржинальний","Сезонний","Стратегічний"},0),Settings!$F$78,Settings!$F$80,Settings!$F$82,Settings!$F$84,Settings!$F$86))/6,2)*6,"")</f>
        <v/>
      </c>
      <c r="W224" s="142">
        <f>IFERROR(CHOOSE(MATCH(IF($E224="","Основний",$E224),{"Трафіковий","Основний","Маржинальний","Сезонний","Стратегічний"},0),Settings!$F$78,Settings!$F$80,Settings!$F$82,Settings!$F$84,Settings!$F$86),"")</f>
        <v/>
      </c>
      <c r="X224" s="143">
        <f>IFERROR((V224*(1-Settings!$F$17)-C224)/(V224*(1-Settings!$F$17)),"")</f>
        <v/>
      </c>
      <c r="Y224" s="149">
        <f>IFERROR(IF(V224="","",IF(V224&gt;=C224/(1-SKU_Base!AD224)/(1-Settings!$F$17),"OK",IF(V224&gt;=C224/(1-SKU_Base!AK224)/(1-Settings!$F$17),"WARN","STOP"))),"")</f>
        <v/>
      </c>
      <c r="Z224" s="159">
        <f>IFERROR(ROUND(D224*(1-CHOOSE(MATCH(IF($E224="","Основний",$E224),{"Трафіковий","Основний","Маржинальний","Сезонний","Стратегічний"},0),Settings!$G$78,Settings!$G$80,Settings!$G$82,Settings!$G$84,Settings!$G$86))/6,2)*6,"")</f>
        <v/>
      </c>
      <c r="AA224" s="142">
        <f>IFERROR(CHOOSE(MATCH(IF($E224="","Основний",$E224),{"Трафіковий","Основний","Маржинальний","Сезонний","Стратегічний"},0),Settings!$G$78,Settings!$G$80,Settings!$G$82,Settings!$G$84,Settings!$G$86),"")</f>
        <v/>
      </c>
      <c r="AB224" s="143">
        <f>IFERROR((Z224*(1-Settings!$G$17)-C224)/(Z224*(1-Settings!$G$17)),"")</f>
        <v/>
      </c>
      <c r="AC224" s="149">
        <f>IFERROR(IF(Z224="","",IF(Z224&gt;=C224/(1-SKU_Base!AE224)/(1-Settings!$G$17),"OK",IF(Z224&gt;=C224/(1-SKU_Base!AL224)/(1-Settings!$G$17),"WARN","STOP"))),"")</f>
        <v/>
      </c>
      <c r="AD224" s="159">
        <f>IFERROR(ROUND(D224*(1-CHOOSE(MATCH(IF($E224="","Основний",$E224),{"Трафіковий","Основний","Маржинальний","Сезонний","Стратегічний"},0),Settings!$H$78,Settings!$H$80,Settings!$H$82,Settings!$H$84,Settings!$H$86))*(1-Settings!$H$68)/6,2)*6,"")</f>
        <v/>
      </c>
      <c r="AE224" s="142">
        <f>IFERROR(CHOOSE(MATCH(IF($E224="","Основний",$E224),{"Трафіковий","Основний","Маржинальний","Сезонний","Стратегічний"},0),Settings!$H$78,Settings!$H$80,Settings!$H$82,Settings!$H$84,Settings!$H$86)+(1-(CHOOSE(MATCH(IF($E224="","Основний",$E224),{"Трафіковий","Основний","Маржинальний","Сезонний","Стратегічний"},0),Settings!$H$78,Settings!$H$80,Settings!$H$82,Settings!$H$84,Settings!$H$86)))*Settings!$H$68,"")</f>
        <v/>
      </c>
      <c r="AF224" s="143">
        <f>IFERROR((AD224*(1-Settings!$H$17)-C224)/(AD224*(1-Settings!$H$17)),"")</f>
        <v/>
      </c>
      <c r="AG224" s="149">
        <f>IFERROR(IF(AD224="","",IF(AD224&gt;=C224/(1-SKU_Base!AF224)/(1-Settings!$H$17),"OK",IF(AD224&gt;=C224/(1-SKU_Base!AM224)/(1-Settings!$H$17),"WARN","STOP"))),"")</f>
        <v/>
      </c>
    </row>
    <row r="225" ht="17" customHeight="1" s="179">
      <c r="A225" s="146">
        <f>SKU_Base!B225</f>
        <v/>
      </c>
      <c r="B225" s="146">
        <f>SKU_Base!C225</f>
        <v/>
      </c>
      <c r="C225" s="147">
        <f>IFERROR(SKU_Base!I225,"")</f>
        <v/>
      </c>
      <c r="D225" s="164">
        <f>IFERROR(SKU_Base!T225,"")</f>
        <v/>
      </c>
      <c r="E225" s="141">
        <f>IFERROR(SKU_Base!$U225,"")</f>
        <v/>
      </c>
      <c r="F225" s="160">
        <f>IFERROR(ROUND(D225*(1-CHOOSE(MATCH(IF($E225="","Основний",$E225),{"Трафіковий","Основний","Маржинальний","Сезонний","Стратегічний"},0),Settings!$B$78,Settings!$B$80,Settings!$B$82,Settings!$B$84,Settings!$B$86))/6,2)*6,"")</f>
        <v/>
      </c>
      <c r="G225" s="142">
        <f>IFERROR(CHOOSE(MATCH(IF($E225="","Основний",$E225),{"Трафіковий","Основний","Маржинальний","Сезонний","Стратегічний"},0),Settings!$B$78,Settings!$B$80,Settings!$B$82,Settings!$B$84,Settings!$B$86),"")</f>
        <v/>
      </c>
      <c r="H225" s="148">
        <f>IFERROR((F225*(1-Settings!$B$17)-C225)/(F225*(1-Settings!$B$17)),"")</f>
        <v/>
      </c>
      <c r="I225" s="149">
        <f>IFERROR(IF(F225="","",IF(F225&gt;=C225/(1-SKU_Base!Z225)/(1-Settings!$B$17),"OK",IF(F225&gt;=C225/(1-SKU_Base!AG225)/(1-Settings!$B$17),"WARN","STOP"))),"")</f>
        <v/>
      </c>
      <c r="J225" s="160">
        <f>IFERROR(ROUND(D225*(1-CHOOSE(MATCH(IF($E225="","Основний",$E225),{"Трафіковий","Основний","Маржинальний","Сезонний","Стратегічний"},0),Settings!$C$78,Settings!$C$80,Settings!$C$82,Settings!$C$84,Settings!$C$86))/6,2)*6,"")</f>
        <v/>
      </c>
      <c r="K225" s="142">
        <f>IFERROR(CHOOSE(MATCH(IF($E225="","Основний",$E225),{"Трафіковий","Основний","Маржинальний","Сезонний","Стратегічний"},0),Settings!$C$78,Settings!$C$80,Settings!$C$82,Settings!$C$84,Settings!$C$86),"")</f>
        <v/>
      </c>
      <c r="L225" s="148">
        <f>IFERROR((J225*(1-Settings!$C$17)-C225)/(J225*(1-Settings!$C$17)),"")</f>
        <v/>
      </c>
      <c r="M225" s="149">
        <f>IFERROR(IF(J225="","",IF(J225&gt;=C225/(1-SKU_Base!AA225)/(1-Settings!$C$17),"OK",IF(J225&gt;=C225/(1-SKU_Base!AH225)/(1-Settings!$C$17),"WARN","STOP"))),"")</f>
        <v/>
      </c>
      <c r="N225" s="161">
        <f>IFERROR(ROUND(D225*(1-CHOOSE(MATCH(IF($E225="","Основний",$E225),{"Трафіковий","Основний","Маржинальний","Сезонний","Стратегічний"},0),Settings!$D$78,Settings!$D$80,Settings!$D$82,Settings!$D$84,Settings!$D$86))/6,2)*6,"")</f>
        <v/>
      </c>
      <c r="O225" s="142">
        <f>IFERROR(CHOOSE(MATCH(IF($E225="","Основний",$E225),{"Трафіковий","Основний","Маржинальний","Сезонний","Стратегічний"},0),Settings!$D$78,Settings!$D$80,Settings!$D$82,Settings!$D$84,Settings!$D$86),"")</f>
        <v/>
      </c>
      <c r="P225" s="148">
        <f>IFERROR((N225*(1-Settings!$D$17)-C225)/(N225*(1-Settings!$D$17)),"")</f>
        <v/>
      </c>
      <c r="Q225" s="149">
        <f>IFERROR(IF(N225="","",IF(N225&gt;=C225/(1-SKU_Base!AB225)/(1-Settings!$D$17),"OK",IF(N225&gt;=C225/(1-SKU_Base!AI225)/(1-Settings!$D$17),"WARN","STOP"))),"")</f>
        <v/>
      </c>
      <c r="R225" s="161">
        <f>IFERROR(ROUND(D225*(1-CHOOSE(MATCH(IF($E225="","Основний",$E225),{"Трафіковий","Основний","Маржинальний","Сезонний","Стратегічний"},0),Settings!$E$78,Settings!$E$80,Settings!$E$82,Settings!$E$84,Settings!$E$86))/6,2)*6,"")</f>
        <v/>
      </c>
      <c r="S225" s="142">
        <f>IFERROR(CHOOSE(MATCH(IF($E225="","Основний",$E225),{"Трафіковий","Основний","Маржинальний","Сезонний","Стратегічний"},0),Settings!$E$78,Settings!$E$80,Settings!$E$82,Settings!$E$84,Settings!$E$86),"")</f>
        <v/>
      </c>
      <c r="T225" s="148">
        <f>IFERROR((R225*(1-Settings!$E$17)-C225)/(R225*(1-Settings!$E$17)),"")</f>
        <v/>
      </c>
      <c r="U225" s="149">
        <f>IFERROR(IF(R225="","",IF(R225&gt;=C225/(1-SKU_Base!AC225)/(1-Settings!$E$17),"OK",IF(R225&gt;=C225/(1-SKU_Base!AJ225)/(1-Settings!$E$17),"WARN","STOP"))),"")</f>
        <v/>
      </c>
      <c r="V225" s="161">
        <f>IFERROR(ROUND(D225*(1-CHOOSE(MATCH(IF($E225="","Основний",$E225),{"Трафіковий","Основний","Маржинальний","Сезонний","Стратегічний"},0),Settings!$F$78,Settings!$F$80,Settings!$F$82,Settings!$F$84,Settings!$F$86))/6,2)*6,"")</f>
        <v/>
      </c>
      <c r="W225" s="142">
        <f>IFERROR(CHOOSE(MATCH(IF($E225="","Основний",$E225),{"Трафіковий","Основний","Маржинальний","Сезонний","Стратегічний"},0),Settings!$F$78,Settings!$F$80,Settings!$F$82,Settings!$F$84,Settings!$F$86),"")</f>
        <v/>
      </c>
      <c r="X225" s="148">
        <f>IFERROR((V225*(1-Settings!$F$17)-C225)/(V225*(1-Settings!$F$17)),"")</f>
        <v/>
      </c>
      <c r="Y225" s="149">
        <f>IFERROR(IF(V225="","",IF(V225&gt;=C225/(1-SKU_Base!AD225)/(1-Settings!$F$17),"OK",IF(V225&gt;=C225/(1-SKU_Base!AK225)/(1-Settings!$F$17),"WARN","STOP"))),"")</f>
        <v/>
      </c>
      <c r="Z225" s="161">
        <f>IFERROR(ROUND(D225*(1-CHOOSE(MATCH(IF($E225="","Основний",$E225),{"Трафіковий","Основний","Маржинальний","Сезонний","Стратегічний"},0),Settings!$G$78,Settings!$G$80,Settings!$G$82,Settings!$G$84,Settings!$G$86))/6,2)*6,"")</f>
        <v/>
      </c>
      <c r="AA225" s="142">
        <f>IFERROR(CHOOSE(MATCH(IF($E225="","Основний",$E225),{"Трафіковий","Основний","Маржинальний","Сезонний","Стратегічний"},0),Settings!$G$78,Settings!$G$80,Settings!$G$82,Settings!$G$84,Settings!$G$86),"")</f>
        <v/>
      </c>
      <c r="AB225" s="148">
        <f>IFERROR((Z225*(1-Settings!$G$17)-C225)/(Z225*(1-Settings!$G$17)),"")</f>
        <v/>
      </c>
      <c r="AC225" s="149">
        <f>IFERROR(IF(Z225="","",IF(Z225&gt;=C225/(1-SKU_Base!AE225)/(1-Settings!$G$17),"OK",IF(Z225&gt;=C225/(1-SKU_Base!AL225)/(1-Settings!$G$17),"WARN","STOP"))),"")</f>
        <v/>
      </c>
      <c r="AD225" s="161">
        <f>IFERROR(ROUND(D225*(1-CHOOSE(MATCH(IF($E225="","Основний",$E225),{"Трафіковий","Основний","Маржинальний","Сезонний","Стратегічний"},0),Settings!$H$78,Settings!$H$80,Settings!$H$82,Settings!$H$84,Settings!$H$86))*(1-Settings!$H$68)/6,2)*6,"")</f>
        <v/>
      </c>
      <c r="AE225" s="142">
        <f>IFERROR(CHOOSE(MATCH(IF($E225="","Основний",$E225),{"Трафіковий","Основний","Маржинальний","Сезонний","Стратегічний"},0),Settings!$H$78,Settings!$H$80,Settings!$H$82,Settings!$H$84,Settings!$H$86)+(1-(CHOOSE(MATCH(IF($E225="","Основний",$E225),{"Трафіковий","Основний","Маржинальний","Сезонний","Стратегічний"},0),Settings!$H$78,Settings!$H$80,Settings!$H$82,Settings!$H$84,Settings!$H$86)))*Settings!$H$68,"")</f>
        <v/>
      </c>
      <c r="AF225" s="148">
        <f>IFERROR((AD225*(1-Settings!$H$17)-C225)/(AD225*(1-Settings!$H$17)),"")</f>
        <v/>
      </c>
      <c r="AG225" s="150">
        <f>IFERROR(IF(AD225="","",IF(AD225&gt;=C225/(1-SKU_Base!AF225)/(1-Settings!$H$17),"OK",IF(AD225&gt;=C225/(1-SKU_Base!AM225)/(1-Settings!$H$17),"WARN","STOP"))),"")</f>
        <v/>
      </c>
    </row>
    <row r="226" ht="17" customHeight="1" s="179">
      <c r="A226" s="139">
        <f>SKU_Base!B226</f>
        <v/>
      </c>
      <c r="B226" s="139">
        <f>SKU_Base!C226</f>
        <v/>
      </c>
      <c r="C226" s="140">
        <f>IFERROR(SKU_Base!I226,"")</f>
        <v/>
      </c>
      <c r="D226" s="163">
        <f>IFERROR(SKU_Base!T226,"")</f>
        <v/>
      </c>
      <c r="E226" s="141">
        <f>IFERROR(SKU_Base!$U226,"")</f>
        <v/>
      </c>
      <c r="F226" s="158">
        <f>IFERROR(ROUND(D226*(1-CHOOSE(MATCH(IF($E226="","Основний",$E226),{"Трафіковий","Основний","Маржинальний","Сезонний","Стратегічний"},0),Settings!$B$78,Settings!$B$80,Settings!$B$82,Settings!$B$84,Settings!$B$86))/6,2)*6,"")</f>
        <v/>
      </c>
      <c r="G226" s="142">
        <f>IFERROR(CHOOSE(MATCH(IF($E226="","Основний",$E226),{"Трафіковий","Основний","Маржинальний","Сезонний","Стратегічний"},0),Settings!$B$78,Settings!$B$80,Settings!$B$82,Settings!$B$84,Settings!$B$86),"")</f>
        <v/>
      </c>
      <c r="H226" s="143">
        <f>IFERROR((F226*(1-Settings!$B$17)-C226)/(F226*(1-Settings!$B$17)),"")</f>
        <v/>
      </c>
      <c r="I226" s="149">
        <f>IFERROR(IF(F226="","",IF(F226&gt;=C226/(1-SKU_Base!Z226)/(1-Settings!$B$17),"OK",IF(F226&gt;=C226/(1-SKU_Base!AG226)/(1-Settings!$B$17),"WARN","STOP"))),"")</f>
        <v/>
      </c>
      <c r="J226" s="158">
        <f>IFERROR(ROUND(D226*(1-CHOOSE(MATCH(IF($E226="","Основний",$E226),{"Трафіковий","Основний","Маржинальний","Сезонний","Стратегічний"},0),Settings!$C$78,Settings!$C$80,Settings!$C$82,Settings!$C$84,Settings!$C$86))/6,2)*6,"")</f>
        <v/>
      </c>
      <c r="K226" s="142">
        <f>IFERROR(CHOOSE(MATCH(IF($E226="","Основний",$E226),{"Трафіковий","Основний","Маржинальний","Сезонний","Стратегічний"},0),Settings!$C$78,Settings!$C$80,Settings!$C$82,Settings!$C$84,Settings!$C$86),"")</f>
        <v/>
      </c>
      <c r="L226" s="143">
        <f>IFERROR((J226*(1-Settings!$C$17)-C226)/(J226*(1-Settings!$C$17)),"")</f>
        <v/>
      </c>
      <c r="M226" s="149">
        <f>IFERROR(IF(J226="","",IF(J226&gt;=C226/(1-SKU_Base!AA226)/(1-Settings!$C$17),"OK",IF(J226&gt;=C226/(1-SKU_Base!AH226)/(1-Settings!$C$17),"WARN","STOP"))),"")</f>
        <v/>
      </c>
      <c r="N226" s="159">
        <f>IFERROR(ROUND(D226*(1-CHOOSE(MATCH(IF($E226="","Основний",$E226),{"Трафіковий","Основний","Маржинальний","Сезонний","Стратегічний"},0),Settings!$D$78,Settings!$D$80,Settings!$D$82,Settings!$D$84,Settings!$D$86))/6,2)*6,"")</f>
        <v/>
      </c>
      <c r="O226" s="142">
        <f>IFERROR(CHOOSE(MATCH(IF($E226="","Основний",$E226),{"Трафіковий","Основний","Маржинальний","Сезонний","Стратегічний"},0),Settings!$D$78,Settings!$D$80,Settings!$D$82,Settings!$D$84,Settings!$D$86),"")</f>
        <v/>
      </c>
      <c r="P226" s="143">
        <f>IFERROR((N226*(1-Settings!$D$17)-C226)/(N226*(1-Settings!$D$17)),"")</f>
        <v/>
      </c>
      <c r="Q226" s="149">
        <f>IFERROR(IF(N226="","",IF(N226&gt;=C226/(1-SKU_Base!AB226)/(1-Settings!$D$17),"OK",IF(N226&gt;=C226/(1-SKU_Base!AI226)/(1-Settings!$D$17),"WARN","STOP"))),"")</f>
        <v/>
      </c>
      <c r="R226" s="159">
        <f>IFERROR(ROUND(D226*(1-CHOOSE(MATCH(IF($E226="","Основний",$E226),{"Трафіковий","Основний","Маржинальний","Сезонний","Стратегічний"},0),Settings!$E$78,Settings!$E$80,Settings!$E$82,Settings!$E$84,Settings!$E$86))/6,2)*6,"")</f>
        <v/>
      </c>
      <c r="S226" s="142">
        <f>IFERROR(CHOOSE(MATCH(IF($E226="","Основний",$E226),{"Трафіковий","Основний","Маржинальний","Сезонний","Стратегічний"},0),Settings!$E$78,Settings!$E$80,Settings!$E$82,Settings!$E$84,Settings!$E$86),"")</f>
        <v/>
      </c>
      <c r="T226" s="143">
        <f>IFERROR((R226*(1-Settings!$E$17)-C226)/(R226*(1-Settings!$E$17)),"")</f>
        <v/>
      </c>
      <c r="U226" s="149">
        <f>IFERROR(IF(R226="","",IF(R226&gt;=C226/(1-SKU_Base!AC226)/(1-Settings!$E$17),"OK",IF(R226&gt;=C226/(1-SKU_Base!AJ226)/(1-Settings!$E$17),"WARN","STOP"))),"")</f>
        <v/>
      </c>
      <c r="V226" s="159">
        <f>IFERROR(ROUND(D226*(1-CHOOSE(MATCH(IF($E226="","Основний",$E226),{"Трафіковий","Основний","Маржинальний","Сезонний","Стратегічний"},0),Settings!$F$78,Settings!$F$80,Settings!$F$82,Settings!$F$84,Settings!$F$86))/6,2)*6,"")</f>
        <v/>
      </c>
      <c r="W226" s="142">
        <f>IFERROR(CHOOSE(MATCH(IF($E226="","Основний",$E226),{"Трафіковий","Основний","Маржинальний","Сезонний","Стратегічний"},0),Settings!$F$78,Settings!$F$80,Settings!$F$82,Settings!$F$84,Settings!$F$86),"")</f>
        <v/>
      </c>
      <c r="X226" s="143">
        <f>IFERROR((V226*(1-Settings!$F$17)-C226)/(V226*(1-Settings!$F$17)),"")</f>
        <v/>
      </c>
      <c r="Y226" s="149">
        <f>IFERROR(IF(V226="","",IF(V226&gt;=C226/(1-SKU_Base!AD226)/(1-Settings!$F$17),"OK",IF(V226&gt;=C226/(1-SKU_Base!AK226)/(1-Settings!$F$17),"WARN","STOP"))),"")</f>
        <v/>
      </c>
      <c r="Z226" s="159">
        <f>IFERROR(ROUND(D226*(1-CHOOSE(MATCH(IF($E226="","Основний",$E226),{"Трафіковий","Основний","Маржинальний","Сезонний","Стратегічний"},0),Settings!$G$78,Settings!$G$80,Settings!$G$82,Settings!$G$84,Settings!$G$86))/6,2)*6,"")</f>
        <v/>
      </c>
      <c r="AA226" s="142">
        <f>IFERROR(CHOOSE(MATCH(IF($E226="","Основний",$E226),{"Трафіковий","Основний","Маржинальний","Сезонний","Стратегічний"},0),Settings!$G$78,Settings!$G$80,Settings!$G$82,Settings!$G$84,Settings!$G$86),"")</f>
        <v/>
      </c>
      <c r="AB226" s="143">
        <f>IFERROR((Z226*(1-Settings!$G$17)-C226)/(Z226*(1-Settings!$G$17)),"")</f>
        <v/>
      </c>
      <c r="AC226" s="149">
        <f>IFERROR(IF(Z226="","",IF(Z226&gt;=C226/(1-SKU_Base!AE226)/(1-Settings!$G$17),"OK",IF(Z226&gt;=C226/(1-SKU_Base!AL226)/(1-Settings!$G$17),"WARN","STOP"))),"")</f>
        <v/>
      </c>
      <c r="AD226" s="159">
        <f>IFERROR(ROUND(D226*(1-CHOOSE(MATCH(IF($E226="","Основний",$E226),{"Трафіковий","Основний","Маржинальний","Сезонний","Стратегічний"},0),Settings!$H$78,Settings!$H$80,Settings!$H$82,Settings!$H$84,Settings!$H$86))*(1-Settings!$H$68)/6,2)*6,"")</f>
        <v/>
      </c>
      <c r="AE226" s="142">
        <f>IFERROR(CHOOSE(MATCH(IF($E226="","Основний",$E226),{"Трафіковий","Основний","Маржинальний","Сезонний","Стратегічний"},0),Settings!$H$78,Settings!$H$80,Settings!$H$82,Settings!$H$84,Settings!$H$86)+(1-(CHOOSE(MATCH(IF($E226="","Основний",$E226),{"Трафіковий","Основний","Маржинальний","Сезонний","Стратегічний"},0),Settings!$H$78,Settings!$H$80,Settings!$H$82,Settings!$H$84,Settings!$H$86)))*Settings!$H$68,"")</f>
        <v/>
      </c>
      <c r="AF226" s="143">
        <f>IFERROR((AD226*(1-Settings!$H$17)-C226)/(AD226*(1-Settings!$H$17)),"")</f>
        <v/>
      </c>
      <c r="AG226" s="150">
        <f>IFERROR(IF(AD226="","",IF(AD226&gt;=C226/(1-SKU_Base!AF226)/(1-Settings!$H$17),"OK",IF(AD226&gt;=C226/(1-SKU_Base!AM226)/(1-Settings!$H$17),"WARN","STOP"))),"")</f>
        <v/>
      </c>
    </row>
    <row r="227" ht="17" customHeight="1" s="179">
      <c r="A227" s="146">
        <f>SKU_Base!B227</f>
        <v/>
      </c>
      <c r="B227" s="146">
        <f>SKU_Base!C227</f>
        <v/>
      </c>
      <c r="C227" s="147">
        <f>IFERROR(SKU_Base!I227,"")</f>
        <v/>
      </c>
      <c r="D227" s="164">
        <f>IFERROR(SKU_Base!T227,"")</f>
        <v/>
      </c>
      <c r="E227" s="141">
        <f>IFERROR(SKU_Base!$U227,"")</f>
        <v/>
      </c>
      <c r="F227" s="160">
        <f>IFERROR(ROUND(D227*(1-CHOOSE(MATCH(IF($E227="","Основний",$E227),{"Трафіковий","Основний","Маржинальний","Сезонний","Стратегічний"},0),Settings!$B$78,Settings!$B$80,Settings!$B$82,Settings!$B$84,Settings!$B$86))/6,2)*6,"")</f>
        <v/>
      </c>
      <c r="G227" s="142">
        <f>IFERROR(CHOOSE(MATCH(IF($E227="","Основний",$E227),{"Трафіковий","Основний","Маржинальний","Сезонний","Стратегічний"},0),Settings!$B$78,Settings!$B$80,Settings!$B$82,Settings!$B$84,Settings!$B$86),"")</f>
        <v/>
      </c>
      <c r="H227" s="148">
        <f>IFERROR((F227*(1-Settings!$B$17)-C227)/(F227*(1-Settings!$B$17)),"")</f>
        <v/>
      </c>
      <c r="I227" s="149">
        <f>IFERROR(IF(F227="","",IF(F227&gt;=C227/(1-SKU_Base!Z227)/(1-Settings!$B$17),"OK",IF(F227&gt;=C227/(1-SKU_Base!AG227)/(1-Settings!$B$17),"WARN","STOP"))),"")</f>
        <v/>
      </c>
      <c r="J227" s="160">
        <f>IFERROR(ROUND(D227*(1-CHOOSE(MATCH(IF($E227="","Основний",$E227),{"Трафіковий","Основний","Маржинальний","Сезонний","Стратегічний"},0),Settings!$C$78,Settings!$C$80,Settings!$C$82,Settings!$C$84,Settings!$C$86))/6,2)*6,"")</f>
        <v/>
      </c>
      <c r="K227" s="142">
        <f>IFERROR(CHOOSE(MATCH(IF($E227="","Основний",$E227),{"Трафіковий","Основний","Маржинальний","Сезонний","Стратегічний"},0),Settings!$C$78,Settings!$C$80,Settings!$C$82,Settings!$C$84,Settings!$C$86),"")</f>
        <v/>
      </c>
      <c r="L227" s="148">
        <f>IFERROR((J227*(1-Settings!$C$17)-C227)/(J227*(1-Settings!$C$17)),"")</f>
        <v/>
      </c>
      <c r="M227" s="149">
        <f>IFERROR(IF(J227="","",IF(J227&gt;=C227/(1-SKU_Base!AA227)/(1-Settings!$C$17),"OK",IF(J227&gt;=C227/(1-SKU_Base!AH227)/(1-Settings!$C$17),"WARN","STOP"))),"")</f>
        <v/>
      </c>
      <c r="N227" s="161">
        <f>IFERROR(ROUND(D227*(1-CHOOSE(MATCH(IF($E227="","Основний",$E227),{"Трафіковий","Основний","Маржинальний","Сезонний","Стратегічний"},0),Settings!$D$78,Settings!$D$80,Settings!$D$82,Settings!$D$84,Settings!$D$86))/6,2)*6,"")</f>
        <v/>
      </c>
      <c r="O227" s="142">
        <f>IFERROR(CHOOSE(MATCH(IF($E227="","Основний",$E227),{"Трафіковий","Основний","Маржинальний","Сезонний","Стратегічний"},0),Settings!$D$78,Settings!$D$80,Settings!$D$82,Settings!$D$84,Settings!$D$86),"")</f>
        <v/>
      </c>
      <c r="P227" s="148">
        <f>IFERROR((N227*(1-Settings!$D$17)-C227)/(N227*(1-Settings!$D$17)),"")</f>
        <v/>
      </c>
      <c r="Q227" s="149">
        <f>IFERROR(IF(N227="","",IF(N227&gt;=C227/(1-SKU_Base!AB227)/(1-Settings!$D$17),"OK",IF(N227&gt;=C227/(1-SKU_Base!AI227)/(1-Settings!$D$17),"WARN","STOP"))),"")</f>
        <v/>
      </c>
      <c r="R227" s="161">
        <f>IFERROR(ROUND(D227*(1-CHOOSE(MATCH(IF($E227="","Основний",$E227),{"Трафіковий","Основний","Маржинальний","Сезонний","Стратегічний"},0),Settings!$E$78,Settings!$E$80,Settings!$E$82,Settings!$E$84,Settings!$E$86))/6,2)*6,"")</f>
        <v/>
      </c>
      <c r="S227" s="142">
        <f>IFERROR(CHOOSE(MATCH(IF($E227="","Основний",$E227),{"Трафіковий","Основний","Маржинальний","Сезонний","Стратегічний"},0),Settings!$E$78,Settings!$E$80,Settings!$E$82,Settings!$E$84,Settings!$E$86),"")</f>
        <v/>
      </c>
      <c r="T227" s="148">
        <f>IFERROR((R227*(1-Settings!$E$17)-C227)/(R227*(1-Settings!$E$17)),"")</f>
        <v/>
      </c>
      <c r="U227" s="149">
        <f>IFERROR(IF(R227="","",IF(R227&gt;=C227/(1-SKU_Base!AC227)/(1-Settings!$E$17),"OK",IF(R227&gt;=C227/(1-SKU_Base!AJ227)/(1-Settings!$E$17),"WARN","STOP"))),"")</f>
        <v/>
      </c>
      <c r="V227" s="161">
        <f>IFERROR(ROUND(D227*(1-CHOOSE(MATCH(IF($E227="","Основний",$E227),{"Трафіковий","Основний","Маржинальний","Сезонний","Стратегічний"},0),Settings!$F$78,Settings!$F$80,Settings!$F$82,Settings!$F$84,Settings!$F$86))/6,2)*6,"")</f>
        <v/>
      </c>
      <c r="W227" s="142">
        <f>IFERROR(CHOOSE(MATCH(IF($E227="","Основний",$E227),{"Трафіковий","Основний","Маржинальний","Сезонний","Стратегічний"},0),Settings!$F$78,Settings!$F$80,Settings!$F$82,Settings!$F$84,Settings!$F$86),"")</f>
        <v/>
      </c>
      <c r="X227" s="148">
        <f>IFERROR((V227*(1-Settings!$F$17)-C227)/(V227*(1-Settings!$F$17)),"")</f>
        <v/>
      </c>
      <c r="Y227" s="149">
        <f>IFERROR(IF(V227="","",IF(V227&gt;=C227/(1-SKU_Base!AD227)/(1-Settings!$F$17),"OK",IF(V227&gt;=C227/(1-SKU_Base!AK227)/(1-Settings!$F$17),"WARN","STOP"))),"")</f>
        <v/>
      </c>
      <c r="Z227" s="161">
        <f>IFERROR(ROUND(D227*(1-CHOOSE(MATCH(IF($E227="","Основний",$E227),{"Трафіковий","Основний","Маржинальний","Сезонний","Стратегічний"},0),Settings!$G$78,Settings!$G$80,Settings!$G$82,Settings!$G$84,Settings!$G$86))/6,2)*6,"")</f>
        <v/>
      </c>
      <c r="AA227" s="142">
        <f>IFERROR(CHOOSE(MATCH(IF($E227="","Основний",$E227),{"Трафіковий","Основний","Маржинальний","Сезонний","Стратегічний"},0),Settings!$G$78,Settings!$G$80,Settings!$G$82,Settings!$G$84,Settings!$G$86),"")</f>
        <v/>
      </c>
      <c r="AB227" s="148">
        <f>IFERROR((Z227*(1-Settings!$G$17)-C227)/(Z227*(1-Settings!$G$17)),"")</f>
        <v/>
      </c>
      <c r="AC227" s="149">
        <f>IFERROR(IF(Z227="","",IF(Z227&gt;=C227/(1-SKU_Base!AE227)/(1-Settings!$G$17),"OK",IF(Z227&gt;=C227/(1-SKU_Base!AL227)/(1-Settings!$G$17),"WARN","STOP"))),"")</f>
        <v/>
      </c>
      <c r="AD227" s="161">
        <f>IFERROR(ROUND(D227*(1-CHOOSE(MATCH(IF($E227="","Основний",$E227),{"Трафіковий","Основний","Маржинальний","Сезонний","Стратегічний"},0),Settings!$H$78,Settings!$H$80,Settings!$H$82,Settings!$H$84,Settings!$H$86))*(1-Settings!$H$68)/6,2)*6,"")</f>
        <v/>
      </c>
      <c r="AE227" s="142">
        <f>IFERROR(CHOOSE(MATCH(IF($E227="","Основний",$E227),{"Трафіковий","Основний","Маржинальний","Сезонний","Стратегічний"},0),Settings!$H$78,Settings!$H$80,Settings!$H$82,Settings!$H$84,Settings!$H$86)+(1-(CHOOSE(MATCH(IF($E227="","Основний",$E227),{"Трафіковий","Основний","Маржинальний","Сезонний","Стратегічний"},0),Settings!$H$78,Settings!$H$80,Settings!$H$82,Settings!$H$84,Settings!$H$86)))*Settings!$H$68,"")</f>
        <v/>
      </c>
      <c r="AF227" s="148">
        <f>IFERROR((AD227*(1-Settings!$H$17)-C227)/(AD227*(1-Settings!$H$17)),"")</f>
        <v/>
      </c>
      <c r="AG227" s="149">
        <f>IFERROR(IF(AD227="","",IF(AD227&gt;=C227/(1-SKU_Base!AF227)/(1-Settings!$H$17),"OK",IF(AD227&gt;=C227/(1-SKU_Base!AM227)/(1-Settings!$H$17),"WARN","STOP"))),"")</f>
        <v/>
      </c>
    </row>
    <row r="228" ht="17" customHeight="1" s="179">
      <c r="A228" s="139">
        <f>SKU_Base!B228</f>
        <v/>
      </c>
      <c r="B228" s="139">
        <f>SKU_Base!C228</f>
        <v/>
      </c>
      <c r="C228" s="140">
        <f>IFERROR(SKU_Base!I228,"")</f>
        <v/>
      </c>
      <c r="D228" s="163">
        <f>IFERROR(SKU_Base!T228,"")</f>
        <v/>
      </c>
      <c r="E228" s="141">
        <f>IFERROR(SKU_Base!$U228,"")</f>
        <v/>
      </c>
      <c r="F228" s="158">
        <f>IFERROR(ROUND(D228*(1-CHOOSE(MATCH(IF($E228="","Основний",$E228),{"Трафіковий","Основний","Маржинальний","Сезонний","Стратегічний"},0),Settings!$B$78,Settings!$B$80,Settings!$B$82,Settings!$B$84,Settings!$B$86))/6,2)*6,"")</f>
        <v/>
      </c>
      <c r="G228" s="142">
        <f>IFERROR(CHOOSE(MATCH(IF($E228="","Основний",$E228),{"Трафіковий","Основний","Маржинальний","Сезонний","Стратегічний"},0),Settings!$B$78,Settings!$B$80,Settings!$B$82,Settings!$B$84,Settings!$B$86),"")</f>
        <v/>
      </c>
      <c r="H228" s="143">
        <f>IFERROR((F228*(1-Settings!$B$17)-C228)/(F228*(1-Settings!$B$17)),"")</f>
        <v/>
      </c>
      <c r="I228" s="149">
        <f>IFERROR(IF(F228="","",IF(F228&gt;=C228/(1-SKU_Base!Z228)/(1-Settings!$B$17),"OK",IF(F228&gt;=C228/(1-SKU_Base!AG228)/(1-Settings!$B$17),"WARN","STOP"))),"")</f>
        <v/>
      </c>
      <c r="J228" s="158">
        <f>IFERROR(ROUND(D228*(1-CHOOSE(MATCH(IF($E228="","Основний",$E228),{"Трафіковий","Основний","Маржинальний","Сезонний","Стратегічний"},0),Settings!$C$78,Settings!$C$80,Settings!$C$82,Settings!$C$84,Settings!$C$86))/6,2)*6,"")</f>
        <v/>
      </c>
      <c r="K228" s="142">
        <f>IFERROR(CHOOSE(MATCH(IF($E228="","Основний",$E228),{"Трафіковий","Основний","Маржинальний","Сезонний","Стратегічний"},0),Settings!$C$78,Settings!$C$80,Settings!$C$82,Settings!$C$84,Settings!$C$86),"")</f>
        <v/>
      </c>
      <c r="L228" s="143">
        <f>IFERROR((J228*(1-Settings!$C$17)-C228)/(J228*(1-Settings!$C$17)),"")</f>
        <v/>
      </c>
      <c r="M228" s="149">
        <f>IFERROR(IF(J228="","",IF(J228&gt;=C228/(1-SKU_Base!AA228)/(1-Settings!$C$17),"OK",IF(J228&gt;=C228/(1-SKU_Base!AH228)/(1-Settings!$C$17),"WARN","STOP"))),"")</f>
        <v/>
      </c>
      <c r="N228" s="159">
        <f>IFERROR(ROUND(D228*(1-CHOOSE(MATCH(IF($E228="","Основний",$E228),{"Трафіковий","Основний","Маржинальний","Сезонний","Стратегічний"},0),Settings!$D$78,Settings!$D$80,Settings!$D$82,Settings!$D$84,Settings!$D$86))/6,2)*6,"")</f>
        <v/>
      </c>
      <c r="O228" s="142">
        <f>IFERROR(CHOOSE(MATCH(IF($E228="","Основний",$E228),{"Трафіковий","Основний","Маржинальний","Сезонний","Стратегічний"},0),Settings!$D$78,Settings!$D$80,Settings!$D$82,Settings!$D$84,Settings!$D$86),"")</f>
        <v/>
      </c>
      <c r="P228" s="143">
        <f>IFERROR((N228*(1-Settings!$D$17)-C228)/(N228*(1-Settings!$D$17)),"")</f>
        <v/>
      </c>
      <c r="Q228" s="149">
        <f>IFERROR(IF(N228="","",IF(N228&gt;=C228/(1-SKU_Base!AB228)/(1-Settings!$D$17),"OK",IF(N228&gt;=C228/(1-SKU_Base!AI228)/(1-Settings!$D$17),"WARN","STOP"))),"")</f>
        <v/>
      </c>
      <c r="R228" s="159">
        <f>IFERROR(ROUND(D228*(1-CHOOSE(MATCH(IF($E228="","Основний",$E228),{"Трафіковий","Основний","Маржинальний","Сезонний","Стратегічний"},0),Settings!$E$78,Settings!$E$80,Settings!$E$82,Settings!$E$84,Settings!$E$86))/6,2)*6,"")</f>
        <v/>
      </c>
      <c r="S228" s="142">
        <f>IFERROR(CHOOSE(MATCH(IF($E228="","Основний",$E228),{"Трафіковий","Основний","Маржинальний","Сезонний","Стратегічний"},0),Settings!$E$78,Settings!$E$80,Settings!$E$82,Settings!$E$84,Settings!$E$86),"")</f>
        <v/>
      </c>
      <c r="T228" s="143">
        <f>IFERROR((R228*(1-Settings!$E$17)-C228)/(R228*(1-Settings!$E$17)),"")</f>
        <v/>
      </c>
      <c r="U228" s="149">
        <f>IFERROR(IF(R228="","",IF(R228&gt;=C228/(1-SKU_Base!AC228)/(1-Settings!$E$17),"OK",IF(R228&gt;=C228/(1-SKU_Base!AJ228)/(1-Settings!$E$17),"WARN","STOP"))),"")</f>
        <v/>
      </c>
      <c r="V228" s="159">
        <f>IFERROR(ROUND(D228*(1-CHOOSE(MATCH(IF($E228="","Основний",$E228),{"Трафіковий","Основний","Маржинальний","Сезонний","Стратегічний"},0),Settings!$F$78,Settings!$F$80,Settings!$F$82,Settings!$F$84,Settings!$F$86))/6,2)*6,"")</f>
        <v/>
      </c>
      <c r="W228" s="142">
        <f>IFERROR(CHOOSE(MATCH(IF($E228="","Основний",$E228),{"Трафіковий","Основний","Маржинальний","Сезонний","Стратегічний"},0),Settings!$F$78,Settings!$F$80,Settings!$F$82,Settings!$F$84,Settings!$F$86),"")</f>
        <v/>
      </c>
      <c r="X228" s="143">
        <f>IFERROR((V228*(1-Settings!$F$17)-C228)/(V228*(1-Settings!$F$17)),"")</f>
        <v/>
      </c>
      <c r="Y228" s="149">
        <f>IFERROR(IF(V228="","",IF(V228&gt;=C228/(1-SKU_Base!AD228)/(1-Settings!$F$17),"OK",IF(V228&gt;=C228/(1-SKU_Base!AK228)/(1-Settings!$F$17),"WARN","STOP"))),"")</f>
        <v/>
      </c>
      <c r="Z228" s="159">
        <f>IFERROR(ROUND(D228*(1-CHOOSE(MATCH(IF($E228="","Основний",$E228),{"Трафіковий","Основний","Маржинальний","Сезонний","Стратегічний"},0),Settings!$G$78,Settings!$G$80,Settings!$G$82,Settings!$G$84,Settings!$G$86))/6,2)*6,"")</f>
        <v/>
      </c>
      <c r="AA228" s="142">
        <f>IFERROR(CHOOSE(MATCH(IF($E228="","Основний",$E228),{"Трафіковий","Основний","Маржинальний","Сезонний","Стратегічний"},0),Settings!$G$78,Settings!$G$80,Settings!$G$82,Settings!$G$84,Settings!$G$86),"")</f>
        <v/>
      </c>
      <c r="AB228" s="143">
        <f>IFERROR((Z228*(1-Settings!$G$17)-C228)/(Z228*(1-Settings!$G$17)),"")</f>
        <v/>
      </c>
      <c r="AC228" s="149">
        <f>IFERROR(IF(Z228="","",IF(Z228&gt;=C228/(1-SKU_Base!AE228)/(1-Settings!$G$17),"OK",IF(Z228&gt;=C228/(1-SKU_Base!AL228)/(1-Settings!$G$17),"WARN","STOP"))),"")</f>
        <v/>
      </c>
      <c r="AD228" s="159">
        <f>IFERROR(ROUND(D228*(1-CHOOSE(MATCH(IF($E228="","Основний",$E228),{"Трафіковий","Основний","Маржинальний","Сезонний","Стратегічний"},0),Settings!$H$78,Settings!$H$80,Settings!$H$82,Settings!$H$84,Settings!$H$86))*(1-Settings!$H$68)/6,2)*6,"")</f>
        <v/>
      </c>
      <c r="AE228" s="142">
        <f>IFERROR(CHOOSE(MATCH(IF($E228="","Основний",$E228),{"Трафіковий","Основний","Маржинальний","Сезонний","Стратегічний"},0),Settings!$H$78,Settings!$H$80,Settings!$H$82,Settings!$H$84,Settings!$H$86)+(1-(CHOOSE(MATCH(IF($E228="","Основний",$E228),{"Трафіковий","Основний","Маржинальний","Сезонний","Стратегічний"},0),Settings!$H$78,Settings!$H$80,Settings!$H$82,Settings!$H$84,Settings!$H$86)))*Settings!$H$68,"")</f>
        <v/>
      </c>
      <c r="AF228" s="143">
        <f>IFERROR((AD228*(1-Settings!$H$17)-C228)/(AD228*(1-Settings!$H$17)),"")</f>
        <v/>
      </c>
      <c r="AG228" s="150">
        <f>IFERROR(IF(AD228="","",IF(AD228&gt;=C228/(1-SKU_Base!AF228)/(1-Settings!$H$17),"OK",IF(AD228&gt;=C228/(1-SKU_Base!AM228)/(1-Settings!$H$17),"WARN","STOP"))),"")</f>
        <v/>
      </c>
    </row>
    <row r="229" ht="17" customHeight="1" s="179">
      <c r="A229" s="146">
        <f>SKU_Base!B229</f>
        <v/>
      </c>
      <c r="B229" s="146">
        <f>SKU_Base!C229</f>
        <v/>
      </c>
      <c r="C229" s="147">
        <f>IFERROR(SKU_Base!I229,"")</f>
        <v/>
      </c>
      <c r="D229" s="164">
        <f>IFERROR(SKU_Base!T229,"")</f>
        <v/>
      </c>
      <c r="E229" s="141">
        <f>IFERROR(SKU_Base!$U229,"")</f>
        <v/>
      </c>
      <c r="F229" s="160">
        <f>IFERROR(ROUND(D229*(1-CHOOSE(MATCH(IF($E229="","Основний",$E229),{"Трафіковий","Основний","Маржинальний","Сезонний","Стратегічний"},0),Settings!$B$78,Settings!$B$80,Settings!$B$82,Settings!$B$84,Settings!$B$86))/6,2)*6,"")</f>
        <v/>
      </c>
      <c r="G229" s="142">
        <f>IFERROR(CHOOSE(MATCH(IF($E229="","Основний",$E229),{"Трафіковий","Основний","Маржинальний","Сезонний","Стратегічний"},0),Settings!$B$78,Settings!$B$80,Settings!$B$82,Settings!$B$84,Settings!$B$86),"")</f>
        <v/>
      </c>
      <c r="H229" s="148">
        <f>IFERROR((F229*(1-Settings!$B$17)-C229)/(F229*(1-Settings!$B$17)),"")</f>
        <v/>
      </c>
      <c r="I229" s="149">
        <f>IFERROR(IF(F229="","",IF(F229&gt;=C229/(1-SKU_Base!Z229)/(1-Settings!$B$17),"OK",IF(F229&gt;=C229/(1-SKU_Base!AG229)/(1-Settings!$B$17),"WARN","STOP"))),"")</f>
        <v/>
      </c>
      <c r="J229" s="160">
        <f>IFERROR(ROUND(D229*(1-CHOOSE(MATCH(IF($E229="","Основний",$E229),{"Трафіковий","Основний","Маржинальний","Сезонний","Стратегічний"},0),Settings!$C$78,Settings!$C$80,Settings!$C$82,Settings!$C$84,Settings!$C$86))/6,2)*6,"")</f>
        <v/>
      </c>
      <c r="K229" s="142">
        <f>IFERROR(CHOOSE(MATCH(IF($E229="","Основний",$E229),{"Трафіковий","Основний","Маржинальний","Сезонний","Стратегічний"},0),Settings!$C$78,Settings!$C$80,Settings!$C$82,Settings!$C$84,Settings!$C$86),"")</f>
        <v/>
      </c>
      <c r="L229" s="148">
        <f>IFERROR((J229*(1-Settings!$C$17)-C229)/(J229*(1-Settings!$C$17)),"")</f>
        <v/>
      </c>
      <c r="M229" s="149">
        <f>IFERROR(IF(J229="","",IF(J229&gt;=C229/(1-SKU_Base!AA229)/(1-Settings!$C$17),"OK",IF(J229&gt;=C229/(1-SKU_Base!AH229)/(1-Settings!$C$17),"WARN","STOP"))),"")</f>
        <v/>
      </c>
      <c r="N229" s="161">
        <f>IFERROR(ROUND(D229*(1-CHOOSE(MATCH(IF($E229="","Основний",$E229),{"Трафіковий","Основний","Маржинальний","Сезонний","Стратегічний"},0),Settings!$D$78,Settings!$D$80,Settings!$D$82,Settings!$D$84,Settings!$D$86))/6,2)*6,"")</f>
        <v/>
      </c>
      <c r="O229" s="142">
        <f>IFERROR(CHOOSE(MATCH(IF($E229="","Основний",$E229),{"Трафіковий","Основний","Маржинальний","Сезонний","Стратегічний"},0),Settings!$D$78,Settings!$D$80,Settings!$D$82,Settings!$D$84,Settings!$D$86),"")</f>
        <v/>
      </c>
      <c r="P229" s="148">
        <f>IFERROR((N229*(1-Settings!$D$17)-C229)/(N229*(1-Settings!$D$17)),"")</f>
        <v/>
      </c>
      <c r="Q229" s="149">
        <f>IFERROR(IF(N229="","",IF(N229&gt;=C229/(1-SKU_Base!AB229)/(1-Settings!$D$17),"OK",IF(N229&gt;=C229/(1-SKU_Base!AI229)/(1-Settings!$D$17),"WARN","STOP"))),"")</f>
        <v/>
      </c>
      <c r="R229" s="161">
        <f>IFERROR(ROUND(D229*(1-CHOOSE(MATCH(IF($E229="","Основний",$E229),{"Трафіковий","Основний","Маржинальний","Сезонний","Стратегічний"},0),Settings!$E$78,Settings!$E$80,Settings!$E$82,Settings!$E$84,Settings!$E$86))/6,2)*6,"")</f>
        <v/>
      </c>
      <c r="S229" s="142">
        <f>IFERROR(CHOOSE(MATCH(IF($E229="","Основний",$E229),{"Трафіковий","Основний","Маржинальний","Сезонний","Стратегічний"},0),Settings!$E$78,Settings!$E$80,Settings!$E$82,Settings!$E$84,Settings!$E$86),"")</f>
        <v/>
      </c>
      <c r="T229" s="148">
        <f>IFERROR((R229*(1-Settings!$E$17)-C229)/(R229*(1-Settings!$E$17)),"")</f>
        <v/>
      </c>
      <c r="U229" s="149">
        <f>IFERROR(IF(R229="","",IF(R229&gt;=C229/(1-SKU_Base!AC229)/(1-Settings!$E$17),"OK",IF(R229&gt;=C229/(1-SKU_Base!AJ229)/(1-Settings!$E$17),"WARN","STOP"))),"")</f>
        <v/>
      </c>
      <c r="V229" s="161">
        <f>IFERROR(ROUND(D229*(1-CHOOSE(MATCH(IF($E229="","Основний",$E229),{"Трафіковий","Основний","Маржинальний","Сезонний","Стратегічний"},0),Settings!$F$78,Settings!$F$80,Settings!$F$82,Settings!$F$84,Settings!$F$86))/6,2)*6,"")</f>
        <v/>
      </c>
      <c r="W229" s="142">
        <f>IFERROR(CHOOSE(MATCH(IF($E229="","Основний",$E229),{"Трафіковий","Основний","Маржинальний","Сезонний","Стратегічний"},0),Settings!$F$78,Settings!$F$80,Settings!$F$82,Settings!$F$84,Settings!$F$86),"")</f>
        <v/>
      </c>
      <c r="X229" s="148">
        <f>IFERROR((V229*(1-Settings!$F$17)-C229)/(V229*(1-Settings!$F$17)),"")</f>
        <v/>
      </c>
      <c r="Y229" s="149">
        <f>IFERROR(IF(V229="","",IF(V229&gt;=C229/(1-SKU_Base!AD229)/(1-Settings!$F$17),"OK",IF(V229&gt;=C229/(1-SKU_Base!AK229)/(1-Settings!$F$17),"WARN","STOP"))),"")</f>
        <v/>
      </c>
      <c r="Z229" s="161">
        <f>IFERROR(ROUND(D229*(1-CHOOSE(MATCH(IF($E229="","Основний",$E229),{"Трафіковий","Основний","Маржинальний","Сезонний","Стратегічний"},0),Settings!$G$78,Settings!$G$80,Settings!$G$82,Settings!$G$84,Settings!$G$86))/6,2)*6,"")</f>
        <v/>
      </c>
      <c r="AA229" s="142">
        <f>IFERROR(CHOOSE(MATCH(IF($E229="","Основний",$E229),{"Трафіковий","Основний","Маржинальний","Сезонний","Стратегічний"},0),Settings!$G$78,Settings!$G$80,Settings!$G$82,Settings!$G$84,Settings!$G$86),"")</f>
        <v/>
      </c>
      <c r="AB229" s="148">
        <f>IFERROR((Z229*(1-Settings!$G$17)-C229)/(Z229*(1-Settings!$G$17)),"")</f>
        <v/>
      </c>
      <c r="AC229" s="149">
        <f>IFERROR(IF(Z229="","",IF(Z229&gt;=C229/(1-SKU_Base!AE229)/(1-Settings!$G$17),"OK",IF(Z229&gt;=C229/(1-SKU_Base!AL229)/(1-Settings!$G$17),"WARN","STOP"))),"")</f>
        <v/>
      </c>
      <c r="AD229" s="161">
        <f>IFERROR(ROUND(D229*(1-CHOOSE(MATCH(IF($E229="","Основний",$E229),{"Трафіковий","Основний","Маржинальний","Сезонний","Стратегічний"},0),Settings!$H$78,Settings!$H$80,Settings!$H$82,Settings!$H$84,Settings!$H$86))*(1-Settings!$H$68)/6,2)*6,"")</f>
        <v/>
      </c>
      <c r="AE229" s="142">
        <f>IFERROR(CHOOSE(MATCH(IF($E229="","Основний",$E229),{"Трафіковий","Основний","Маржинальний","Сезонний","Стратегічний"},0),Settings!$H$78,Settings!$H$80,Settings!$H$82,Settings!$H$84,Settings!$H$86)+(1-(CHOOSE(MATCH(IF($E229="","Основний",$E229),{"Трафіковий","Основний","Маржинальний","Сезонний","Стратегічний"},0),Settings!$H$78,Settings!$H$80,Settings!$H$82,Settings!$H$84,Settings!$H$86)))*Settings!$H$68,"")</f>
        <v/>
      </c>
      <c r="AF229" s="148">
        <f>IFERROR((AD229*(1-Settings!$H$17)-C229)/(AD229*(1-Settings!$H$17)),"")</f>
        <v/>
      </c>
      <c r="AG229" s="150">
        <f>IFERROR(IF(AD229="","",IF(AD229&gt;=C229/(1-SKU_Base!AF229)/(1-Settings!$H$17),"OK",IF(AD229&gt;=C229/(1-SKU_Base!AM229)/(1-Settings!$H$17),"WARN","STOP"))),"")</f>
        <v/>
      </c>
    </row>
    <row r="230" ht="17" customHeight="1" s="179">
      <c r="A230" s="139">
        <f>SKU_Base!B230</f>
        <v/>
      </c>
      <c r="B230" s="139">
        <f>SKU_Base!C230</f>
        <v/>
      </c>
      <c r="C230" s="140">
        <f>IFERROR(SKU_Base!I230,"")</f>
        <v/>
      </c>
      <c r="D230" s="163">
        <f>IFERROR(SKU_Base!T230,"")</f>
        <v/>
      </c>
      <c r="E230" s="141">
        <f>IFERROR(SKU_Base!$U230,"")</f>
        <v/>
      </c>
      <c r="F230" s="158">
        <f>IFERROR(ROUND(D230*(1-CHOOSE(MATCH(IF($E230="","Основний",$E230),{"Трафіковий","Основний","Маржинальний","Сезонний","Стратегічний"},0),Settings!$B$78,Settings!$B$80,Settings!$B$82,Settings!$B$84,Settings!$B$86))/6,2)*6,"")</f>
        <v/>
      </c>
      <c r="G230" s="142">
        <f>IFERROR(CHOOSE(MATCH(IF($E230="","Основний",$E230),{"Трафіковий","Основний","Маржинальний","Сезонний","Стратегічний"},0),Settings!$B$78,Settings!$B$80,Settings!$B$82,Settings!$B$84,Settings!$B$86),"")</f>
        <v/>
      </c>
      <c r="H230" s="143">
        <f>IFERROR((F230*(1-Settings!$B$17)-C230)/(F230*(1-Settings!$B$17)),"")</f>
        <v/>
      </c>
      <c r="I230" s="149">
        <f>IFERROR(IF(F230="","",IF(F230&gt;=C230/(1-SKU_Base!Z230)/(1-Settings!$B$17),"OK",IF(F230&gt;=C230/(1-SKU_Base!AG230)/(1-Settings!$B$17),"WARN","STOP"))),"")</f>
        <v/>
      </c>
      <c r="J230" s="158">
        <f>IFERROR(ROUND(D230*(1-CHOOSE(MATCH(IF($E230="","Основний",$E230),{"Трафіковий","Основний","Маржинальний","Сезонний","Стратегічний"},0),Settings!$C$78,Settings!$C$80,Settings!$C$82,Settings!$C$84,Settings!$C$86))/6,2)*6,"")</f>
        <v/>
      </c>
      <c r="K230" s="142">
        <f>IFERROR(CHOOSE(MATCH(IF($E230="","Основний",$E230),{"Трафіковий","Основний","Маржинальний","Сезонний","Стратегічний"},0),Settings!$C$78,Settings!$C$80,Settings!$C$82,Settings!$C$84,Settings!$C$86),"")</f>
        <v/>
      </c>
      <c r="L230" s="143">
        <f>IFERROR((J230*(1-Settings!$C$17)-C230)/(J230*(1-Settings!$C$17)),"")</f>
        <v/>
      </c>
      <c r="M230" s="149">
        <f>IFERROR(IF(J230="","",IF(J230&gt;=C230/(1-SKU_Base!AA230)/(1-Settings!$C$17),"OK",IF(J230&gt;=C230/(1-SKU_Base!AH230)/(1-Settings!$C$17),"WARN","STOP"))),"")</f>
        <v/>
      </c>
      <c r="N230" s="159">
        <f>IFERROR(ROUND(D230*(1-CHOOSE(MATCH(IF($E230="","Основний",$E230),{"Трафіковий","Основний","Маржинальний","Сезонний","Стратегічний"},0),Settings!$D$78,Settings!$D$80,Settings!$D$82,Settings!$D$84,Settings!$D$86))/6,2)*6,"")</f>
        <v/>
      </c>
      <c r="O230" s="142">
        <f>IFERROR(CHOOSE(MATCH(IF($E230="","Основний",$E230),{"Трафіковий","Основний","Маржинальний","Сезонний","Стратегічний"},0),Settings!$D$78,Settings!$D$80,Settings!$D$82,Settings!$D$84,Settings!$D$86),"")</f>
        <v/>
      </c>
      <c r="P230" s="143">
        <f>IFERROR((N230*(1-Settings!$D$17)-C230)/(N230*(1-Settings!$D$17)),"")</f>
        <v/>
      </c>
      <c r="Q230" s="149">
        <f>IFERROR(IF(N230="","",IF(N230&gt;=C230/(1-SKU_Base!AB230)/(1-Settings!$D$17),"OK",IF(N230&gt;=C230/(1-SKU_Base!AI230)/(1-Settings!$D$17),"WARN","STOP"))),"")</f>
        <v/>
      </c>
      <c r="R230" s="159">
        <f>IFERROR(ROUND(D230*(1-CHOOSE(MATCH(IF($E230="","Основний",$E230),{"Трафіковий","Основний","Маржинальний","Сезонний","Стратегічний"},0),Settings!$E$78,Settings!$E$80,Settings!$E$82,Settings!$E$84,Settings!$E$86))/6,2)*6,"")</f>
        <v/>
      </c>
      <c r="S230" s="142">
        <f>IFERROR(CHOOSE(MATCH(IF($E230="","Основний",$E230),{"Трафіковий","Основний","Маржинальний","Сезонний","Стратегічний"},0),Settings!$E$78,Settings!$E$80,Settings!$E$82,Settings!$E$84,Settings!$E$86),"")</f>
        <v/>
      </c>
      <c r="T230" s="143">
        <f>IFERROR((R230*(1-Settings!$E$17)-C230)/(R230*(1-Settings!$E$17)),"")</f>
        <v/>
      </c>
      <c r="U230" s="149">
        <f>IFERROR(IF(R230="","",IF(R230&gt;=C230/(1-SKU_Base!AC230)/(1-Settings!$E$17),"OK",IF(R230&gt;=C230/(1-SKU_Base!AJ230)/(1-Settings!$E$17),"WARN","STOP"))),"")</f>
        <v/>
      </c>
      <c r="V230" s="159">
        <f>IFERROR(ROUND(D230*(1-CHOOSE(MATCH(IF($E230="","Основний",$E230),{"Трафіковий","Основний","Маржинальний","Сезонний","Стратегічний"},0),Settings!$F$78,Settings!$F$80,Settings!$F$82,Settings!$F$84,Settings!$F$86))/6,2)*6,"")</f>
        <v/>
      </c>
      <c r="W230" s="142">
        <f>IFERROR(CHOOSE(MATCH(IF($E230="","Основний",$E230),{"Трафіковий","Основний","Маржинальний","Сезонний","Стратегічний"},0),Settings!$F$78,Settings!$F$80,Settings!$F$82,Settings!$F$84,Settings!$F$86),"")</f>
        <v/>
      </c>
      <c r="X230" s="143">
        <f>IFERROR((V230*(1-Settings!$F$17)-C230)/(V230*(1-Settings!$F$17)),"")</f>
        <v/>
      </c>
      <c r="Y230" s="149">
        <f>IFERROR(IF(V230="","",IF(V230&gt;=C230/(1-SKU_Base!AD230)/(1-Settings!$F$17),"OK",IF(V230&gt;=C230/(1-SKU_Base!AK230)/(1-Settings!$F$17),"WARN","STOP"))),"")</f>
        <v/>
      </c>
      <c r="Z230" s="159">
        <f>IFERROR(ROUND(D230*(1-CHOOSE(MATCH(IF($E230="","Основний",$E230),{"Трафіковий","Основний","Маржинальний","Сезонний","Стратегічний"},0),Settings!$G$78,Settings!$G$80,Settings!$G$82,Settings!$G$84,Settings!$G$86))/6,2)*6,"")</f>
        <v/>
      </c>
      <c r="AA230" s="142">
        <f>IFERROR(CHOOSE(MATCH(IF($E230="","Основний",$E230),{"Трафіковий","Основний","Маржинальний","Сезонний","Стратегічний"},0),Settings!$G$78,Settings!$G$80,Settings!$G$82,Settings!$G$84,Settings!$G$86),"")</f>
        <v/>
      </c>
      <c r="AB230" s="143">
        <f>IFERROR((Z230*(1-Settings!$G$17)-C230)/(Z230*(1-Settings!$G$17)),"")</f>
        <v/>
      </c>
      <c r="AC230" s="149">
        <f>IFERROR(IF(Z230="","",IF(Z230&gt;=C230/(1-SKU_Base!AE230)/(1-Settings!$G$17),"OK",IF(Z230&gt;=C230/(1-SKU_Base!AL230)/(1-Settings!$G$17),"WARN","STOP"))),"")</f>
        <v/>
      </c>
      <c r="AD230" s="159">
        <f>IFERROR(ROUND(D230*(1-CHOOSE(MATCH(IF($E230="","Основний",$E230),{"Трафіковий","Основний","Маржинальний","Сезонний","Стратегічний"},0),Settings!$H$78,Settings!$H$80,Settings!$H$82,Settings!$H$84,Settings!$H$86))*(1-Settings!$H$68)/6,2)*6,"")</f>
        <v/>
      </c>
      <c r="AE230" s="142">
        <f>IFERROR(CHOOSE(MATCH(IF($E230="","Основний",$E230),{"Трафіковий","Основний","Маржинальний","Сезонний","Стратегічний"},0),Settings!$H$78,Settings!$H$80,Settings!$H$82,Settings!$H$84,Settings!$H$86)+(1-(CHOOSE(MATCH(IF($E230="","Основний",$E230),{"Трафіковий","Основний","Маржинальний","Сезонний","Стратегічний"},0),Settings!$H$78,Settings!$H$80,Settings!$H$82,Settings!$H$84,Settings!$H$86)))*Settings!$H$68,"")</f>
        <v/>
      </c>
      <c r="AF230" s="143">
        <f>IFERROR((AD230*(1-Settings!$H$17)-C230)/(AD230*(1-Settings!$H$17)),"")</f>
        <v/>
      </c>
      <c r="AG230" s="150">
        <f>IFERROR(IF(AD230="","",IF(AD230&gt;=C230/(1-SKU_Base!AF230)/(1-Settings!$H$17),"OK",IF(AD230&gt;=C230/(1-SKU_Base!AM230)/(1-Settings!$H$17),"WARN","STOP"))),"")</f>
        <v/>
      </c>
    </row>
    <row r="231" ht="17" customHeight="1" s="179">
      <c r="A231" s="146">
        <f>SKU_Base!B231</f>
        <v/>
      </c>
      <c r="B231" s="146">
        <f>SKU_Base!C231</f>
        <v/>
      </c>
      <c r="C231" s="147">
        <f>IFERROR(SKU_Base!I231,"")</f>
        <v/>
      </c>
      <c r="D231" s="164">
        <f>IFERROR(SKU_Base!T231,"")</f>
        <v/>
      </c>
      <c r="E231" s="141">
        <f>IFERROR(SKU_Base!$U231,"")</f>
        <v/>
      </c>
      <c r="F231" s="160">
        <f>IFERROR(ROUND(D231*(1-CHOOSE(MATCH(IF($E231="","Основний",$E231),{"Трафіковий","Основний","Маржинальний","Сезонний","Стратегічний"},0),Settings!$B$78,Settings!$B$80,Settings!$B$82,Settings!$B$84,Settings!$B$86))/6,2)*6,"")</f>
        <v/>
      </c>
      <c r="G231" s="142">
        <f>IFERROR(CHOOSE(MATCH(IF($E231="","Основний",$E231),{"Трафіковий","Основний","Маржинальний","Сезонний","Стратегічний"},0),Settings!$B$78,Settings!$B$80,Settings!$B$82,Settings!$B$84,Settings!$B$86),"")</f>
        <v/>
      </c>
      <c r="H231" s="148">
        <f>IFERROR((F231*(1-Settings!$B$17)-C231)/(F231*(1-Settings!$B$17)),"")</f>
        <v/>
      </c>
      <c r="I231" s="149">
        <f>IFERROR(IF(F231="","",IF(F231&gt;=C231/(1-SKU_Base!Z231)/(1-Settings!$B$17),"OK",IF(F231&gt;=C231/(1-SKU_Base!AG231)/(1-Settings!$B$17),"WARN","STOP"))),"")</f>
        <v/>
      </c>
      <c r="J231" s="160">
        <f>IFERROR(ROUND(D231*(1-CHOOSE(MATCH(IF($E231="","Основний",$E231),{"Трафіковий","Основний","Маржинальний","Сезонний","Стратегічний"},0),Settings!$C$78,Settings!$C$80,Settings!$C$82,Settings!$C$84,Settings!$C$86))/6,2)*6,"")</f>
        <v/>
      </c>
      <c r="K231" s="142">
        <f>IFERROR(CHOOSE(MATCH(IF($E231="","Основний",$E231),{"Трафіковий","Основний","Маржинальний","Сезонний","Стратегічний"},0),Settings!$C$78,Settings!$C$80,Settings!$C$82,Settings!$C$84,Settings!$C$86),"")</f>
        <v/>
      </c>
      <c r="L231" s="148">
        <f>IFERROR((J231*(1-Settings!$C$17)-C231)/(J231*(1-Settings!$C$17)),"")</f>
        <v/>
      </c>
      <c r="M231" s="149">
        <f>IFERROR(IF(J231="","",IF(J231&gt;=C231/(1-SKU_Base!AA231)/(1-Settings!$C$17),"OK",IF(J231&gt;=C231/(1-SKU_Base!AH231)/(1-Settings!$C$17),"WARN","STOP"))),"")</f>
        <v/>
      </c>
      <c r="N231" s="161">
        <f>IFERROR(ROUND(D231*(1-CHOOSE(MATCH(IF($E231="","Основний",$E231),{"Трафіковий","Основний","Маржинальний","Сезонний","Стратегічний"},0),Settings!$D$78,Settings!$D$80,Settings!$D$82,Settings!$D$84,Settings!$D$86))/6,2)*6,"")</f>
        <v/>
      </c>
      <c r="O231" s="142">
        <f>IFERROR(CHOOSE(MATCH(IF($E231="","Основний",$E231),{"Трафіковий","Основний","Маржинальний","Сезонний","Стратегічний"},0),Settings!$D$78,Settings!$D$80,Settings!$D$82,Settings!$D$84,Settings!$D$86),"")</f>
        <v/>
      </c>
      <c r="P231" s="148">
        <f>IFERROR((N231*(1-Settings!$D$17)-C231)/(N231*(1-Settings!$D$17)),"")</f>
        <v/>
      </c>
      <c r="Q231" s="149">
        <f>IFERROR(IF(N231="","",IF(N231&gt;=C231/(1-SKU_Base!AB231)/(1-Settings!$D$17),"OK",IF(N231&gt;=C231/(1-SKU_Base!AI231)/(1-Settings!$D$17),"WARN","STOP"))),"")</f>
        <v/>
      </c>
      <c r="R231" s="161">
        <f>IFERROR(ROUND(D231*(1-CHOOSE(MATCH(IF($E231="","Основний",$E231),{"Трафіковий","Основний","Маржинальний","Сезонний","Стратегічний"},0),Settings!$E$78,Settings!$E$80,Settings!$E$82,Settings!$E$84,Settings!$E$86))/6,2)*6,"")</f>
        <v/>
      </c>
      <c r="S231" s="142">
        <f>IFERROR(CHOOSE(MATCH(IF($E231="","Основний",$E231),{"Трафіковий","Основний","Маржинальний","Сезонний","Стратегічний"},0),Settings!$E$78,Settings!$E$80,Settings!$E$82,Settings!$E$84,Settings!$E$86),"")</f>
        <v/>
      </c>
      <c r="T231" s="148">
        <f>IFERROR((R231*(1-Settings!$E$17)-C231)/(R231*(1-Settings!$E$17)),"")</f>
        <v/>
      </c>
      <c r="U231" s="149">
        <f>IFERROR(IF(R231="","",IF(R231&gt;=C231/(1-SKU_Base!AC231)/(1-Settings!$E$17),"OK",IF(R231&gt;=C231/(1-SKU_Base!AJ231)/(1-Settings!$E$17),"WARN","STOP"))),"")</f>
        <v/>
      </c>
      <c r="V231" s="161">
        <f>IFERROR(ROUND(D231*(1-CHOOSE(MATCH(IF($E231="","Основний",$E231),{"Трафіковий","Основний","Маржинальний","Сезонний","Стратегічний"},0),Settings!$F$78,Settings!$F$80,Settings!$F$82,Settings!$F$84,Settings!$F$86))/6,2)*6,"")</f>
        <v/>
      </c>
      <c r="W231" s="142">
        <f>IFERROR(CHOOSE(MATCH(IF($E231="","Основний",$E231),{"Трафіковий","Основний","Маржинальний","Сезонний","Стратегічний"},0),Settings!$F$78,Settings!$F$80,Settings!$F$82,Settings!$F$84,Settings!$F$86),"")</f>
        <v/>
      </c>
      <c r="X231" s="148">
        <f>IFERROR((V231*(1-Settings!$F$17)-C231)/(V231*(1-Settings!$F$17)),"")</f>
        <v/>
      </c>
      <c r="Y231" s="149">
        <f>IFERROR(IF(V231="","",IF(V231&gt;=C231/(1-SKU_Base!AD231)/(1-Settings!$F$17),"OK",IF(V231&gt;=C231/(1-SKU_Base!AK231)/(1-Settings!$F$17),"WARN","STOP"))),"")</f>
        <v/>
      </c>
      <c r="Z231" s="161">
        <f>IFERROR(ROUND(D231*(1-CHOOSE(MATCH(IF($E231="","Основний",$E231),{"Трафіковий","Основний","Маржинальний","Сезонний","Стратегічний"},0),Settings!$G$78,Settings!$G$80,Settings!$G$82,Settings!$G$84,Settings!$G$86))/6,2)*6,"")</f>
        <v/>
      </c>
      <c r="AA231" s="142">
        <f>IFERROR(CHOOSE(MATCH(IF($E231="","Основний",$E231),{"Трафіковий","Основний","Маржинальний","Сезонний","Стратегічний"},0),Settings!$G$78,Settings!$G$80,Settings!$G$82,Settings!$G$84,Settings!$G$86),"")</f>
        <v/>
      </c>
      <c r="AB231" s="148">
        <f>IFERROR((Z231*(1-Settings!$G$17)-C231)/(Z231*(1-Settings!$G$17)),"")</f>
        <v/>
      </c>
      <c r="AC231" s="149">
        <f>IFERROR(IF(Z231="","",IF(Z231&gt;=C231/(1-SKU_Base!AE231)/(1-Settings!$G$17),"OK",IF(Z231&gt;=C231/(1-SKU_Base!AL231)/(1-Settings!$G$17),"WARN","STOP"))),"")</f>
        <v/>
      </c>
      <c r="AD231" s="161">
        <f>IFERROR(ROUND(D231*(1-CHOOSE(MATCH(IF($E231="","Основний",$E231),{"Трафіковий","Основний","Маржинальний","Сезонний","Стратегічний"},0),Settings!$H$78,Settings!$H$80,Settings!$H$82,Settings!$H$84,Settings!$H$86))*(1-Settings!$H$68)/6,2)*6,"")</f>
        <v/>
      </c>
      <c r="AE231" s="142">
        <f>IFERROR(CHOOSE(MATCH(IF($E231="","Основний",$E231),{"Трафіковий","Основний","Маржинальний","Сезонний","Стратегічний"},0),Settings!$H$78,Settings!$H$80,Settings!$H$82,Settings!$H$84,Settings!$H$86)+(1-(CHOOSE(MATCH(IF($E231="","Основний",$E231),{"Трафіковий","Основний","Маржинальний","Сезонний","Стратегічний"},0),Settings!$H$78,Settings!$H$80,Settings!$H$82,Settings!$H$84,Settings!$H$86)))*Settings!$H$68,"")</f>
        <v/>
      </c>
      <c r="AF231" s="148">
        <f>IFERROR((AD231*(1-Settings!$H$17)-C231)/(AD231*(1-Settings!$H$17)),"")</f>
        <v/>
      </c>
      <c r="AG231" s="150">
        <f>IFERROR(IF(AD231="","",IF(AD231&gt;=C231/(1-SKU_Base!AF231)/(1-Settings!$H$17),"OK",IF(AD231&gt;=C231/(1-SKU_Base!AM231)/(1-Settings!$H$17),"WARN","STOP"))),"")</f>
        <v/>
      </c>
    </row>
    <row r="232" ht="17" customHeight="1" s="179">
      <c r="A232" s="139">
        <f>SKU_Base!B232</f>
        <v/>
      </c>
      <c r="B232" s="139">
        <f>SKU_Base!C232</f>
        <v/>
      </c>
      <c r="C232" s="140">
        <f>IFERROR(SKU_Base!I232,"")</f>
        <v/>
      </c>
      <c r="D232" s="163">
        <f>IFERROR(SKU_Base!T232,"")</f>
        <v/>
      </c>
      <c r="E232" s="141">
        <f>IFERROR(SKU_Base!$U232,"")</f>
        <v/>
      </c>
      <c r="F232" s="158">
        <f>IFERROR(ROUND(D232*(1-CHOOSE(MATCH(IF($E232="","Основний",$E232),{"Трафіковий","Основний","Маржинальний","Сезонний","Стратегічний"},0),Settings!$B$78,Settings!$B$80,Settings!$B$82,Settings!$B$84,Settings!$B$86))/6,2)*6,"")</f>
        <v/>
      </c>
      <c r="G232" s="142">
        <f>IFERROR(CHOOSE(MATCH(IF($E232="","Основний",$E232),{"Трафіковий","Основний","Маржинальний","Сезонний","Стратегічний"},0),Settings!$B$78,Settings!$B$80,Settings!$B$82,Settings!$B$84,Settings!$B$86),"")</f>
        <v/>
      </c>
      <c r="H232" s="143">
        <f>IFERROR((F232*(1-Settings!$B$17)-C232)/(F232*(1-Settings!$B$17)),"")</f>
        <v/>
      </c>
      <c r="I232" s="149">
        <f>IFERROR(IF(F232="","",IF(F232&gt;=C232/(1-SKU_Base!Z232)/(1-Settings!$B$17),"OK",IF(F232&gt;=C232/(1-SKU_Base!AG232)/(1-Settings!$B$17),"WARN","STOP"))),"")</f>
        <v/>
      </c>
      <c r="J232" s="158">
        <f>IFERROR(ROUND(D232*(1-CHOOSE(MATCH(IF($E232="","Основний",$E232),{"Трафіковий","Основний","Маржинальний","Сезонний","Стратегічний"},0),Settings!$C$78,Settings!$C$80,Settings!$C$82,Settings!$C$84,Settings!$C$86))/6,2)*6,"")</f>
        <v/>
      </c>
      <c r="K232" s="142">
        <f>IFERROR(CHOOSE(MATCH(IF($E232="","Основний",$E232),{"Трафіковий","Основний","Маржинальний","Сезонний","Стратегічний"},0),Settings!$C$78,Settings!$C$80,Settings!$C$82,Settings!$C$84,Settings!$C$86),"")</f>
        <v/>
      </c>
      <c r="L232" s="143">
        <f>IFERROR((J232*(1-Settings!$C$17)-C232)/(J232*(1-Settings!$C$17)),"")</f>
        <v/>
      </c>
      <c r="M232" s="149">
        <f>IFERROR(IF(J232="","",IF(J232&gt;=C232/(1-SKU_Base!AA232)/(1-Settings!$C$17),"OK",IF(J232&gt;=C232/(1-SKU_Base!AH232)/(1-Settings!$C$17),"WARN","STOP"))),"")</f>
        <v/>
      </c>
      <c r="N232" s="159">
        <f>IFERROR(ROUND(D232*(1-CHOOSE(MATCH(IF($E232="","Основний",$E232),{"Трафіковий","Основний","Маржинальний","Сезонний","Стратегічний"},0),Settings!$D$78,Settings!$D$80,Settings!$D$82,Settings!$D$84,Settings!$D$86))/6,2)*6,"")</f>
        <v/>
      </c>
      <c r="O232" s="142">
        <f>IFERROR(CHOOSE(MATCH(IF($E232="","Основний",$E232),{"Трафіковий","Основний","Маржинальний","Сезонний","Стратегічний"},0),Settings!$D$78,Settings!$D$80,Settings!$D$82,Settings!$D$84,Settings!$D$86),"")</f>
        <v/>
      </c>
      <c r="P232" s="143">
        <f>IFERROR((N232*(1-Settings!$D$17)-C232)/(N232*(1-Settings!$D$17)),"")</f>
        <v/>
      </c>
      <c r="Q232" s="149">
        <f>IFERROR(IF(N232="","",IF(N232&gt;=C232/(1-SKU_Base!AB232)/(1-Settings!$D$17),"OK",IF(N232&gt;=C232/(1-SKU_Base!AI232)/(1-Settings!$D$17),"WARN","STOP"))),"")</f>
        <v/>
      </c>
      <c r="R232" s="159">
        <f>IFERROR(ROUND(D232*(1-CHOOSE(MATCH(IF($E232="","Основний",$E232),{"Трафіковий","Основний","Маржинальний","Сезонний","Стратегічний"},0),Settings!$E$78,Settings!$E$80,Settings!$E$82,Settings!$E$84,Settings!$E$86))/6,2)*6,"")</f>
        <v/>
      </c>
      <c r="S232" s="142">
        <f>IFERROR(CHOOSE(MATCH(IF($E232="","Основний",$E232),{"Трафіковий","Основний","Маржинальний","Сезонний","Стратегічний"},0),Settings!$E$78,Settings!$E$80,Settings!$E$82,Settings!$E$84,Settings!$E$86),"")</f>
        <v/>
      </c>
      <c r="T232" s="143">
        <f>IFERROR((R232*(1-Settings!$E$17)-C232)/(R232*(1-Settings!$E$17)),"")</f>
        <v/>
      </c>
      <c r="U232" s="149">
        <f>IFERROR(IF(R232="","",IF(R232&gt;=C232/(1-SKU_Base!AC232)/(1-Settings!$E$17),"OK",IF(R232&gt;=C232/(1-SKU_Base!AJ232)/(1-Settings!$E$17),"WARN","STOP"))),"")</f>
        <v/>
      </c>
      <c r="V232" s="159">
        <f>IFERROR(ROUND(D232*(1-CHOOSE(MATCH(IF($E232="","Основний",$E232),{"Трафіковий","Основний","Маржинальний","Сезонний","Стратегічний"},0),Settings!$F$78,Settings!$F$80,Settings!$F$82,Settings!$F$84,Settings!$F$86))/6,2)*6,"")</f>
        <v/>
      </c>
      <c r="W232" s="142">
        <f>IFERROR(CHOOSE(MATCH(IF($E232="","Основний",$E232),{"Трафіковий","Основний","Маржинальний","Сезонний","Стратегічний"},0),Settings!$F$78,Settings!$F$80,Settings!$F$82,Settings!$F$84,Settings!$F$86),"")</f>
        <v/>
      </c>
      <c r="X232" s="143">
        <f>IFERROR((V232*(1-Settings!$F$17)-C232)/(V232*(1-Settings!$F$17)),"")</f>
        <v/>
      </c>
      <c r="Y232" s="149">
        <f>IFERROR(IF(V232="","",IF(V232&gt;=C232/(1-SKU_Base!AD232)/(1-Settings!$F$17),"OK",IF(V232&gt;=C232/(1-SKU_Base!AK232)/(1-Settings!$F$17),"WARN","STOP"))),"")</f>
        <v/>
      </c>
      <c r="Z232" s="159">
        <f>IFERROR(ROUND(D232*(1-CHOOSE(MATCH(IF($E232="","Основний",$E232),{"Трафіковий","Основний","Маржинальний","Сезонний","Стратегічний"},0),Settings!$G$78,Settings!$G$80,Settings!$G$82,Settings!$G$84,Settings!$G$86))/6,2)*6,"")</f>
        <v/>
      </c>
      <c r="AA232" s="142">
        <f>IFERROR(CHOOSE(MATCH(IF($E232="","Основний",$E232),{"Трафіковий","Основний","Маржинальний","Сезонний","Стратегічний"},0),Settings!$G$78,Settings!$G$80,Settings!$G$82,Settings!$G$84,Settings!$G$86),"")</f>
        <v/>
      </c>
      <c r="AB232" s="143">
        <f>IFERROR((Z232*(1-Settings!$G$17)-C232)/(Z232*(1-Settings!$G$17)),"")</f>
        <v/>
      </c>
      <c r="AC232" s="149">
        <f>IFERROR(IF(Z232="","",IF(Z232&gt;=C232/(1-SKU_Base!AE232)/(1-Settings!$G$17),"OK",IF(Z232&gt;=C232/(1-SKU_Base!AL232)/(1-Settings!$G$17),"WARN","STOP"))),"")</f>
        <v/>
      </c>
      <c r="AD232" s="159">
        <f>IFERROR(ROUND(D232*(1-CHOOSE(MATCH(IF($E232="","Основний",$E232),{"Трафіковий","Основний","Маржинальний","Сезонний","Стратегічний"},0),Settings!$H$78,Settings!$H$80,Settings!$H$82,Settings!$H$84,Settings!$H$86))*(1-Settings!$H$68)/6,2)*6,"")</f>
        <v/>
      </c>
      <c r="AE232" s="142">
        <f>IFERROR(CHOOSE(MATCH(IF($E232="","Основний",$E232),{"Трафіковий","Основний","Маржинальний","Сезонний","Стратегічний"},0),Settings!$H$78,Settings!$H$80,Settings!$H$82,Settings!$H$84,Settings!$H$86)+(1-(CHOOSE(MATCH(IF($E232="","Основний",$E232),{"Трафіковий","Основний","Маржинальний","Сезонний","Стратегічний"},0),Settings!$H$78,Settings!$H$80,Settings!$H$82,Settings!$H$84,Settings!$H$86)))*Settings!$H$68,"")</f>
        <v/>
      </c>
      <c r="AF232" s="143">
        <f>IFERROR((AD232*(1-Settings!$H$17)-C232)/(AD232*(1-Settings!$H$17)),"")</f>
        <v/>
      </c>
      <c r="AG232" s="150">
        <f>IFERROR(IF(AD232="","",IF(AD232&gt;=C232/(1-SKU_Base!AF232)/(1-Settings!$H$17),"OK",IF(AD232&gt;=C232/(1-SKU_Base!AM232)/(1-Settings!$H$17),"WARN","STOP"))),"")</f>
        <v/>
      </c>
    </row>
    <row r="233" ht="17" customHeight="1" s="179">
      <c r="A233" s="146">
        <f>SKU_Base!B233</f>
        <v/>
      </c>
      <c r="B233" s="146">
        <f>SKU_Base!C233</f>
        <v/>
      </c>
      <c r="C233" s="147">
        <f>IFERROR(SKU_Base!I233,"")</f>
        <v/>
      </c>
      <c r="D233" s="164">
        <f>IFERROR(SKU_Base!T233,"")</f>
        <v/>
      </c>
      <c r="E233" s="141">
        <f>IFERROR(SKU_Base!$U233,"")</f>
        <v/>
      </c>
      <c r="F233" s="160">
        <f>IFERROR(ROUND(D233*(1-CHOOSE(MATCH(IF($E233="","Основний",$E233),{"Трафіковий","Основний","Маржинальний","Сезонний","Стратегічний"},0),Settings!$B$78,Settings!$B$80,Settings!$B$82,Settings!$B$84,Settings!$B$86))/6,2)*6,"")</f>
        <v/>
      </c>
      <c r="G233" s="142">
        <f>IFERROR(CHOOSE(MATCH(IF($E233="","Основний",$E233),{"Трафіковий","Основний","Маржинальний","Сезонний","Стратегічний"},0),Settings!$B$78,Settings!$B$80,Settings!$B$82,Settings!$B$84,Settings!$B$86),"")</f>
        <v/>
      </c>
      <c r="H233" s="148">
        <f>IFERROR((F233*(1-Settings!$B$17)-C233)/(F233*(1-Settings!$B$17)),"")</f>
        <v/>
      </c>
      <c r="I233" s="149">
        <f>IFERROR(IF(F233="","",IF(F233&gt;=C233/(1-SKU_Base!Z233)/(1-Settings!$B$17),"OK",IF(F233&gt;=C233/(1-SKU_Base!AG233)/(1-Settings!$B$17),"WARN","STOP"))),"")</f>
        <v/>
      </c>
      <c r="J233" s="160">
        <f>IFERROR(ROUND(D233*(1-CHOOSE(MATCH(IF($E233="","Основний",$E233),{"Трафіковий","Основний","Маржинальний","Сезонний","Стратегічний"},0),Settings!$C$78,Settings!$C$80,Settings!$C$82,Settings!$C$84,Settings!$C$86))/6,2)*6,"")</f>
        <v/>
      </c>
      <c r="K233" s="142">
        <f>IFERROR(CHOOSE(MATCH(IF($E233="","Основний",$E233),{"Трафіковий","Основний","Маржинальний","Сезонний","Стратегічний"},0),Settings!$C$78,Settings!$C$80,Settings!$C$82,Settings!$C$84,Settings!$C$86),"")</f>
        <v/>
      </c>
      <c r="L233" s="148">
        <f>IFERROR((J233*(1-Settings!$C$17)-C233)/(J233*(1-Settings!$C$17)),"")</f>
        <v/>
      </c>
      <c r="M233" s="149">
        <f>IFERROR(IF(J233="","",IF(J233&gt;=C233/(1-SKU_Base!AA233)/(1-Settings!$C$17),"OK",IF(J233&gt;=C233/(1-SKU_Base!AH233)/(1-Settings!$C$17),"WARN","STOP"))),"")</f>
        <v/>
      </c>
      <c r="N233" s="161">
        <f>IFERROR(ROUND(D233*(1-CHOOSE(MATCH(IF($E233="","Основний",$E233),{"Трафіковий","Основний","Маржинальний","Сезонний","Стратегічний"},0),Settings!$D$78,Settings!$D$80,Settings!$D$82,Settings!$D$84,Settings!$D$86))/6,2)*6,"")</f>
        <v/>
      </c>
      <c r="O233" s="142">
        <f>IFERROR(CHOOSE(MATCH(IF($E233="","Основний",$E233),{"Трафіковий","Основний","Маржинальний","Сезонний","Стратегічний"},0),Settings!$D$78,Settings!$D$80,Settings!$D$82,Settings!$D$84,Settings!$D$86),"")</f>
        <v/>
      </c>
      <c r="P233" s="148">
        <f>IFERROR((N233*(1-Settings!$D$17)-C233)/(N233*(1-Settings!$D$17)),"")</f>
        <v/>
      </c>
      <c r="Q233" s="149">
        <f>IFERROR(IF(N233="","",IF(N233&gt;=C233/(1-SKU_Base!AB233)/(1-Settings!$D$17),"OK",IF(N233&gt;=C233/(1-SKU_Base!AI233)/(1-Settings!$D$17),"WARN","STOP"))),"")</f>
        <v/>
      </c>
      <c r="R233" s="161">
        <f>IFERROR(ROUND(D233*(1-CHOOSE(MATCH(IF($E233="","Основний",$E233),{"Трафіковий","Основний","Маржинальний","Сезонний","Стратегічний"},0),Settings!$E$78,Settings!$E$80,Settings!$E$82,Settings!$E$84,Settings!$E$86))/6,2)*6,"")</f>
        <v/>
      </c>
      <c r="S233" s="142">
        <f>IFERROR(CHOOSE(MATCH(IF($E233="","Основний",$E233),{"Трафіковий","Основний","Маржинальний","Сезонний","Стратегічний"},0),Settings!$E$78,Settings!$E$80,Settings!$E$82,Settings!$E$84,Settings!$E$86),"")</f>
        <v/>
      </c>
      <c r="T233" s="148">
        <f>IFERROR((R233*(1-Settings!$E$17)-C233)/(R233*(1-Settings!$E$17)),"")</f>
        <v/>
      </c>
      <c r="U233" s="149">
        <f>IFERROR(IF(R233="","",IF(R233&gt;=C233/(1-SKU_Base!AC233)/(1-Settings!$E$17),"OK",IF(R233&gt;=C233/(1-SKU_Base!AJ233)/(1-Settings!$E$17),"WARN","STOP"))),"")</f>
        <v/>
      </c>
      <c r="V233" s="161">
        <f>IFERROR(ROUND(D233*(1-CHOOSE(MATCH(IF($E233="","Основний",$E233),{"Трафіковий","Основний","Маржинальний","Сезонний","Стратегічний"},0),Settings!$F$78,Settings!$F$80,Settings!$F$82,Settings!$F$84,Settings!$F$86))/6,2)*6,"")</f>
        <v/>
      </c>
      <c r="W233" s="142">
        <f>IFERROR(CHOOSE(MATCH(IF($E233="","Основний",$E233),{"Трафіковий","Основний","Маржинальний","Сезонний","Стратегічний"},0),Settings!$F$78,Settings!$F$80,Settings!$F$82,Settings!$F$84,Settings!$F$86),"")</f>
        <v/>
      </c>
      <c r="X233" s="148">
        <f>IFERROR((V233*(1-Settings!$F$17)-C233)/(V233*(1-Settings!$F$17)),"")</f>
        <v/>
      </c>
      <c r="Y233" s="149">
        <f>IFERROR(IF(V233="","",IF(V233&gt;=C233/(1-SKU_Base!AD233)/(1-Settings!$F$17),"OK",IF(V233&gt;=C233/(1-SKU_Base!AK233)/(1-Settings!$F$17),"WARN","STOP"))),"")</f>
        <v/>
      </c>
      <c r="Z233" s="161">
        <f>IFERROR(ROUND(D233*(1-CHOOSE(MATCH(IF($E233="","Основний",$E233),{"Трафіковий","Основний","Маржинальний","Сезонний","Стратегічний"},0),Settings!$G$78,Settings!$G$80,Settings!$G$82,Settings!$G$84,Settings!$G$86))/6,2)*6,"")</f>
        <v/>
      </c>
      <c r="AA233" s="142">
        <f>IFERROR(CHOOSE(MATCH(IF($E233="","Основний",$E233),{"Трафіковий","Основний","Маржинальний","Сезонний","Стратегічний"},0),Settings!$G$78,Settings!$G$80,Settings!$G$82,Settings!$G$84,Settings!$G$86),"")</f>
        <v/>
      </c>
      <c r="AB233" s="148">
        <f>IFERROR((Z233*(1-Settings!$G$17)-C233)/(Z233*(1-Settings!$G$17)),"")</f>
        <v/>
      </c>
      <c r="AC233" s="149">
        <f>IFERROR(IF(Z233="","",IF(Z233&gt;=C233/(1-SKU_Base!AE233)/(1-Settings!$G$17),"OK",IF(Z233&gt;=C233/(1-SKU_Base!AL233)/(1-Settings!$G$17),"WARN","STOP"))),"")</f>
        <v/>
      </c>
      <c r="AD233" s="161">
        <f>IFERROR(ROUND(D233*(1-CHOOSE(MATCH(IF($E233="","Основний",$E233),{"Трафіковий","Основний","Маржинальний","Сезонний","Стратегічний"},0),Settings!$H$78,Settings!$H$80,Settings!$H$82,Settings!$H$84,Settings!$H$86))*(1-Settings!$H$68)/6,2)*6,"")</f>
        <v/>
      </c>
      <c r="AE233" s="142">
        <f>IFERROR(CHOOSE(MATCH(IF($E233="","Основний",$E233),{"Трафіковий","Основний","Маржинальний","Сезонний","Стратегічний"},0),Settings!$H$78,Settings!$H$80,Settings!$H$82,Settings!$H$84,Settings!$H$86)+(1-(CHOOSE(MATCH(IF($E233="","Основний",$E233),{"Трафіковий","Основний","Маржинальний","Сезонний","Стратегічний"},0),Settings!$H$78,Settings!$H$80,Settings!$H$82,Settings!$H$84,Settings!$H$86)))*Settings!$H$68,"")</f>
        <v/>
      </c>
      <c r="AF233" s="148">
        <f>IFERROR((AD233*(1-Settings!$H$17)-C233)/(AD233*(1-Settings!$H$17)),"")</f>
        <v/>
      </c>
      <c r="AG233" s="150">
        <f>IFERROR(IF(AD233="","",IF(AD233&gt;=C233/(1-SKU_Base!AF233)/(1-Settings!$H$17),"OK",IF(AD233&gt;=C233/(1-SKU_Base!AM233)/(1-Settings!$H$17),"WARN","STOP"))),"")</f>
        <v/>
      </c>
    </row>
    <row r="234" ht="17" customHeight="1" s="179">
      <c r="A234" s="139">
        <f>SKU_Base!B234</f>
        <v/>
      </c>
      <c r="B234" s="139">
        <f>SKU_Base!C234</f>
        <v/>
      </c>
      <c r="C234" s="140">
        <f>IFERROR(SKU_Base!I234,"")</f>
        <v/>
      </c>
      <c r="D234" s="163">
        <f>IFERROR(SKU_Base!T234,"")</f>
        <v/>
      </c>
      <c r="E234" s="141">
        <f>IFERROR(SKU_Base!$U234,"")</f>
        <v/>
      </c>
      <c r="F234" s="158">
        <f>IFERROR(ROUND(D234*(1-CHOOSE(MATCH(IF($E234="","Основний",$E234),{"Трафіковий","Основний","Маржинальний","Сезонний","Стратегічний"},0),Settings!$B$78,Settings!$B$80,Settings!$B$82,Settings!$B$84,Settings!$B$86))/6,2)*6,"")</f>
        <v/>
      </c>
      <c r="G234" s="142">
        <f>IFERROR(CHOOSE(MATCH(IF($E234="","Основний",$E234),{"Трафіковий","Основний","Маржинальний","Сезонний","Стратегічний"},0),Settings!$B$78,Settings!$B$80,Settings!$B$82,Settings!$B$84,Settings!$B$86),"")</f>
        <v/>
      </c>
      <c r="H234" s="143">
        <f>IFERROR((F234*(1-Settings!$B$17)-C234)/(F234*(1-Settings!$B$17)),"")</f>
        <v/>
      </c>
      <c r="I234" s="149">
        <f>IFERROR(IF(F234="","",IF(F234&gt;=C234/(1-SKU_Base!Z234)/(1-Settings!$B$17),"OK",IF(F234&gt;=C234/(1-SKU_Base!AG234)/(1-Settings!$B$17),"WARN","STOP"))),"")</f>
        <v/>
      </c>
      <c r="J234" s="158">
        <f>IFERROR(ROUND(D234*(1-CHOOSE(MATCH(IF($E234="","Основний",$E234),{"Трафіковий","Основний","Маржинальний","Сезонний","Стратегічний"},0),Settings!$C$78,Settings!$C$80,Settings!$C$82,Settings!$C$84,Settings!$C$86))/6,2)*6,"")</f>
        <v/>
      </c>
      <c r="K234" s="142">
        <f>IFERROR(CHOOSE(MATCH(IF($E234="","Основний",$E234),{"Трафіковий","Основний","Маржинальний","Сезонний","Стратегічний"},0),Settings!$C$78,Settings!$C$80,Settings!$C$82,Settings!$C$84,Settings!$C$86),"")</f>
        <v/>
      </c>
      <c r="L234" s="143">
        <f>IFERROR((J234*(1-Settings!$C$17)-C234)/(J234*(1-Settings!$C$17)),"")</f>
        <v/>
      </c>
      <c r="M234" s="149">
        <f>IFERROR(IF(J234="","",IF(J234&gt;=C234/(1-SKU_Base!AA234)/(1-Settings!$C$17),"OK",IF(J234&gt;=C234/(1-SKU_Base!AH234)/(1-Settings!$C$17),"WARN","STOP"))),"")</f>
        <v/>
      </c>
      <c r="N234" s="159">
        <f>IFERROR(ROUND(D234*(1-CHOOSE(MATCH(IF($E234="","Основний",$E234),{"Трафіковий","Основний","Маржинальний","Сезонний","Стратегічний"},0),Settings!$D$78,Settings!$D$80,Settings!$D$82,Settings!$D$84,Settings!$D$86))/6,2)*6,"")</f>
        <v/>
      </c>
      <c r="O234" s="142">
        <f>IFERROR(CHOOSE(MATCH(IF($E234="","Основний",$E234),{"Трафіковий","Основний","Маржинальний","Сезонний","Стратегічний"},0),Settings!$D$78,Settings!$D$80,Settings!$D$82,Settings!$D$84,Settings!$D$86),"")</f>
        <v/>
      </c>
      <c r="P234" s="143">
        <f>IFERROR((N234*(1-Settings!$D$17)-C234)/(N234*(1-Settings!$D$17)),"")</f>
        <v/>
      </c>
      <c r="Q234" s="149">
        <f>IFERROR(IF(N234="","",IF(N234&gt;=C234/(1-SKU_Base!AB234)/(1-Settings!$D$17),"OK",IF(N234&gt;=C234/(1-SKU_Base!AI234)/(1-Settings!$D$17),"WARN","STOP"))),"")</f>
        <v/>
      </c>
      <c r="R234" s="159">
        <f>IFERROR(ROUND(D234*(1-CHOOSE(MATCH(IF($E234="","Основний",$E234),{"Трафіковий","Основний","Маржинальний","Сезонний","Стратегічний"},0),Settings!$E$78,Settings!$E$80,Settings!$E$82,Settings!$E$84,Settings!$E$86))/6,2)*6,"")</f>
        <v/>
      </c>
      <c r="S234" s="142">
        <f>IFERROR(CHOOSE(MATCH(IF($E234="","Основний",$E234),{"Трафіковий","Основний","Маржинальний","Сезонний","Стратегічний"},0),Settings!$E$78,Settings!$E$80,Settings!$E$82,Settings!$E$84,Settings!$E$86),"")</f>
        <v/>
      </c>
      <c r="T234" s="143">
        <f>IFERROR((R234*(1-Settings!$E$17)-C234)/(R234*(1-Settings!$E$17)),"")</f>
        <v/>
      </c>
      <c r="U234" s="149">
        <f>IFERROR(IF(R234="","",IF(R234&gt;=C234/(1-SKU_Base!AC234)/(1-Settings!$E$17),"OK",IF(R234&gt;=C234/(1-SKU_Base!AJ234)/(1-Settings!$E$17),"WARN","STOP"))),"")</f>
        <v/>
      </c>
      <c r="V234" s="159">
        <f>IFERROR(ROUND(D234*(1-CHOOSE(MATCH(IF($E234="","Основний",$E234),{"Трафіковий","Основний","Маржинальний","Сезонний","Стратегічний"},0),Settings!$F$78,Settings!$F$80,Settings!$F$82,Settings!$F$84,Settings!$F$86))/6,2)*6,"")</f>
        <v/>
      </c>
      <c r="W234" s="142">
        <f>IFERROR(CHOOSE(MATCH(IF($E234="","Основний",$E234),{"Трафіковий","Основний","Маржинальний","Сезонний","Стратегічний"},0),Settings!$F$78,Settings!$F$80,Settings!$F$82,Settings!$F$84,Settings!$F$86),"")</f>
        <v/>
      </c>
      <c r="X234" s="143">
        <f>IFERROR((V234*(1-Settings!$F$17)-C234)/(V234*(1-Settings!$F$17)),"")</f>
        <v/>
      </c>
      <c r="Y234" s="149">
        <f>IFERROR(IF(V234="","",IF(V234&gt;=C234/(1-SKU_Base!AD234)/(1-Settings!$F$17),"OK",IF(V234&gt;=C234/(1-SKU_Base!AK234)/(1-Settings!$F$17),"WARN","STOP"))),"")</f>
        <v/>
      </c>
      <c r="Z234" s="159">
        <f>IFERROR(ROUND(D234*(1-CHOOSE(MATCH(IF($E234="","Основний",$E234),{"Трафіковий","Основний","Маржинальний","Сезонний","Стратегічний"},0),Settings!$G$78,Settings!$G$80,Settings!$G$82,Settings!$G$84,Settings!$G$86))/6,2)*6,"")</f>
        <v/>
      </c>
      <c r="AA234" s="142">
        <f>IFERROR(CHOOSE(MATCH(IF($E234="","Основний",$E234),{"Трафіковий","Основний","Маржинальний","Сезонний","Стратегічний"},0),Settings!$G$78,Settings!$G$80,Settings!$G$82,Settings!$G$84,Settings!$G$86),"")</f>
        <v/>
      </c>
      <c r="AB234" s="143">
        <f>IFERROR((Z234*(1-Settings!$G$17)-C234)/(Z234*(1-Settings!$G$17)),"")</f>
        <v/>
      </c>
      <c r="AC234" s="149">
        <f>IFERROR(IF(Z234="","",IF(Z234&gt;=C234/(1-SKU_Base!AE234)/(1-Settings!$G$17),"OK",IF(Z234&gt;=C234/(1-SKU_Base!AL234)/(1-Settings!$G$17),"WARN","STOP"))),"")</f>
        <v/>
      </c>
      <c r="AD234" s="159">
        <f>IFERROR(ROUND(D234*(1-CHOOSE(MATCH(IF($E234="","Основний",$E234),{"Трафіковий","Основний","Маржинальний","Сезонний","Стратегічний"},0),Settings!$H$78,Settings!$H$80,Settings!$H$82,Settings!$H$84,Settings!$H$86))*(1-Settings!$H$68)/6,2)*6,"")</f>
        <v/>
      </c>
      <c r="AE234" s="142">
        <f>IFERROR(CHOOSE(MATCH(IF($E234="","Основний",$E234),{"Трафіковий","Основний","Маржинальний","Сезонний","Стратегічний"},0),Settings!$H$78,Settings!$H$80,Settings!$H$82,Settings!$H$84,Settings!$H$86)+(1-(CHOOSE(MATCH(IF($E234="","Основний",$E234),{"Трафіковий","Основний","Маржинальний","Сезонний","Стратегічний"},0),Settings!$H$78,Settings!$H$80,Settings!$H$82,Settings!$H$84,Settings!$H$86)))*Settings!$H$68,"")</f>
        <v/>
      </c>
      <c r="AF234" s="143">
        <f>IFERROR((AD234*(1-Settings!$H$17)-C234)/(AD234*(1-Settings!$H$17)),"")</f>
        <v/>
      </c>
      <c r="AG234" s="150">
        <f>IFERROR(IF(AD234="","",IF(AD234&gt;=C234/(1-SKU_Base!AF234)/(1-Settings!$H$17),"OK",IF(AD234&gt;=C234/(1-SKU_Base!AM234)/(1-Settings!$H$17),"WARN","STOP"))),"")</f>
        <v/>
      </c>
    </row>
    <row r="235" ht="17" customHeight="1" s="179">
      <c r="A235" s="146">
        <f>SKU_Base!B235</f>
        <v/>
      </c>
      <c r="B235" s="146">
        <f>SKU_Base!C235</f>
        <v/>
      </c>
      <c r="C235" s="147">
        <f>IFERROR(SKU_Base!I235,"")</f>
        <v/>
      </c>
      <c r="D235" s="164">
        <f>IFERROR(SKU_Base!T235,"")</f>
        <v/>
      </c>
      <c r="E235" s="141">
        <f>IFERROR(SKU_Base!$U235,"")</f>
        <v/>
      </c>
      <c r="F235" s="160">
        <f>IFERROR(ROUND(D235*(1-CHOOSE(MATCH(IF($E235="","Основний",$E235),{"Трафіковий","Основний","Маржинальний","Сезонний","Стратегічний"},0),Settings!$B$78,Settings!$B$80,Settings!$B$82,Settings!$B$84,Settings!$B$86))/6,2)*6,"")</f>
        <v/>
      </c>
      <c r="G235" s="142">
        <f>IFERROR(CHOOSE(MATCH(IF($E235="","Основний",$E235),{"Трафіковий","Основний","Маржинальний","Сезонний","Стратегічний"},0),Settings!$B$78,Settings!$B$80,Settings!$B$82,Settings!$B$84,Settings!$B$86),"")</f>
        <v/>
      </c>
      <c r="H235" s="148">
        <f>IFERROR((F235*(1-Settings!$B$17)-C235)/(F235*(1-Settings!$B$17)),"")</f>
        <v/>
      </c>
      <c r="I235" s="149">
        <f>IFERROR(IF(F235="","",IF(F235&gt;=C235/(1-SKU_Base!Z235)/(1-Settings!$B$17),"OK",IF(F235&gt;=C235/(1-SKU_Base!AG235)/(1-Settings!$B$17),"WARN","STOP"))),"")</f>
        <v/>
      </c>
      <c r="J235" s="160">
        <f>IFERROR(ROUND(D235*(1-CHOOSE(MATCH(IF($E235="","Основний",$E235),{"Трафіковий","Основний","Маржинальний","Сезонний","Стратегічний"},0),Settings!$C$78,Settings!$C$80,Settings!$C$82,Settings!$C$84,Settings!$C$86))/6,2)*6,"")</f>
        <v/>
      </c>
      <c r="K235" s="142">
        <f>IFERROR(CHOOSE(MATCH(IF($E235="","Основний",$E235),{"Трафіковий","Основний","Маржинальний","Сезонний","Стратегічний"},0),Settings!$C$78,Settings!$C$80,Settings!$C$82,Settings!$C$84,Settings!$C$86),"")</f>
        <v/>
      </c>
      <c r="L235" s="148">
        <f>IFERROR((J235*(1-Settings!$C$17)-C235)/(J235*(1-Settings!$C$17)),"")</f>
        <v/>
      </c>
      <c r="M235" s="149">
        <f>IFERROR(IF(J235="","",IF(J235&gt;=C235/(1-SKU_Base!AA235)/(1-Settings!$C$17),"OK",IF(J235&gt;=C235/(1-SKU_Base!AH235)/(1-Settings!$C$17),"WARN","STOP"))),"")</f>
        <v/>
      </c>
      <c r="N235" s="161">
        <f>IFERROR(ROUND(D235*(1-CHOOSE(MATCH(IF($E235="","Основний",$E235),{"Трафіковий","Основний","Маржинальний","Сезонний","Стратегічний"},0),Settings!$D$78,Settings!$D$80,Settings!$D$82,Settings!$D$84,Settings!$D$86))/6,2)*6,"")</f>
        <v/>
      </c>
      <c r="O235" s="142">
        <f>IFERROR(CHOOSE(MATCH(IF($E235="","Основний",$E235),{"Трафіковий","Основний","Маржинальний","Сезонний","Стратегічний"},0),Settings!$D$78,Settings!$D$80,Settings!$D$82,Settings!$D$84,Settings!$D$86),"")</f>
        <v/>
      </c>
      <c r="P235" s="148">
        <f>IFERROR((N235*(1-Settings!$D$17)-C235)/(N235*(1-Settings!$D$17)),"")</f>
        <v/>
      </c>
      <c r="Q235" s="149">
        <f>IFERROR(IF(N235="","",IF(N235&gt;=C235/(1-SKU_Base!AB235)/(1-Settings!$D$17),"OK",IF(N235&gt;=C235/(1-SKU_Base!AI235)/(1-Settings!$D$17),"WARN","STOP"))),"")</f>
        <v/>
      </c>
      <c r="R235" s="161">
        <f>IFERROR(ROUND(D235*(1-CHOOSE(MATCH(IF($E235="","Основний",$E235),{"Трафіковий","Основний","Маржинальний","Сезонний","Стратегічний"},0),Settings!$E$78,Settings!$E$80,Settings!$E$82,Settings!$E$84,Settings!$E$86))/6,2)*6,"")</f>
        <v/>
      </c>
      <c r="S235" s="142">
        <f>IFERROR(CHOOSE(MATCH(IF($E235="","Основний",$E235),{"Трафіковий","Основний","Маржинальний","Сезонний","Стратегічний"},0),Settings!$E$78,Settings!$E$80,Settings!$E$82,Settings!$E$84,Settings!$E$86),"")</f>
        <v/>
      </c>
      <c r="T235" s="148">
        <f>IFERROR((R235*(1-Settings!$E$17)-C235)/(R235*(1-Settings!$E$17)),"")</f>
        <v/>
      </c>
      <c r="U235" s="149">
        <f>IFERROR(IF(R235="","",IF(R235&gt;=C235/(1-SKU_Base!AC235)/(1-Settings!$E$17),"OK",IF(R235&gt;=C235/(1-SKU_Base!AJ235)/(1-Settings!$E$17),"WARN","STOP"))),"")</f>
        <v/>
      </c>
      <c r="V235" s="161">
        <f>IFERROR(ROUND(D235*(1-CHOOSE(MATCH(IF($E235="","Основний",$E235),{"Трафіковий","Основний","Маржинальний","Сезонний","Стратегічний"},0),Settings!$F$78,Settings!$F$80,Settings!$F$82,Settings!$F$84,Settings!$F$86))/6,2)*6,"")</f>
        <v/>
      </c>
      <c r="W235" s="142">
        <f>IFERROR(CHOOSE(MATCH(IF($E235="","Основний",$E235),{"Трафіковий","Основний","Маржинальний","Сезонний","Стратегічний"},0),Settings!$F$78,Settings!$F$80,Settings!$F$82,Settings!$F$84,Settings!$F$86),"")</f>
        <v/>
      </c>
      <c r="X235" s="148">
        <f>IFERROR((V235*(1-Settings!$F$17)-C235)/(V235*(1-Settings!$F$17)),"")</f>
        <v/>
      </c>
      <c r="Y235" s="149">
        <f>IFERROR(IF(V235="","",IF(V235&gt;=C235/(1-SKU_Base!AD235)/(1-Settings!$F$17),"OK",IF(V235&gt;=C235/(1-SKU_Base!AK235)/(1-Settings!$F$17),"WARN","STOP"))),"")</f>
        <v/>
      </c>
      <c r="Z235" s="161">
        <f>IFERROR(ROUND(D235*(1-CHOOSE(MATCH(IF($E235="","Основний",$E235),{"Трафіковий","Основний","Маржинальний","Сезонний","Стратегічний"},0),Settings!$G$78,Settings!$G$80,Settings!$G$82,Settings!$G$84,Settings!$G$86))/6,2)*6,"")</f>
        <v/>
      </c>
      <c r="AA235" s="142">
        <f>IFERROR(CHOOSE(MATCH(IF($E235="","Основний",$E235),{"Трафіковий","Основний","Маржинальний","Сезонний","Стратегічний"},0),Settings!$G$78,Settings!$G$80,Settings!$G$82,Settings!$G$84,Settings!$G$86),"")</f>
        <v/>
      </c>
      <c r="AB235" s="148">
        <f>IFERROR((Z235*(1-Settings!$G$17)-C235)/(Z235*(1-Settings!$G$17)),"")</f>
        <v/>
      </c>
      <c r="AC235" s="149">
        <f>IFERROR(IF(Z235="","",IF(Z235&gt;=C235/(1-SKU_Base!AE235)/(1-Settings!$G$17),"OK",IF(Z235&gt;=C235/(1-SKU_Base!AL235)/(1-Settings!$G$17),"WARN","STOP"))),"")</f>
        <v/>
      </c>
      <c r="AD235" s="161">
        <f>IFERROR(ROUND(D235*(1-CHOOSE(MATCH(IF($E235="","Основний",$E235),{"Трафіковий","Основний","Маржинальний","Сезонний","Стратегічний"},0),Settings!$H$78,Settings!$H$80,Settings!$H$82,Settings!$H$84,Settings!$H$86))*(1-Settings!$H$68)/6,2)*6,"")</f>
        <v/>
      </c>
      <c r="AE235" s="142">
        <f>IFERROR(CHOOSE(MATCH(IF($E235="","Основний",$E235),{"Трафіковий","Основний","Маржинальний","Сезонний","Стратегічний"},0),Settings!$H$78,Settings!$H$80,Settings!$H$82,Settings!$H$84,Settings!$H$86)+(1-(CHOOSE(MATCH(IF($E235="","Основний",$E235),{"Трафіковий","Основний","Маржинальний","Сезонний","Стратегічний"},0),Settings!$H$78,Settings!$H$80,Settings!$H$82,Settings!$H$84,Settings!$H$86)))*Settings!$H$68,"")</f>
        <v/>
      </c>
      <c r="AF235" s="148">
        <f>IFERROR((AD235*(1-Settings!$H$17)-C235)/(AD235*(1-Settings!$H$17)),"")</f>
        <v/>
      </c>
      <c r="AG235" s="150">
        <f>IFERROR(IF(AD235="","",IF(AD235&gt;=C235/(1-SKU_Base!AF235)/(1-Settings!$H$17),"OK",IF(AD235&gt;=C235/(1-SKU_Base!AM235)/(1-Settings!$H$17),"WARN","STOP"))),"")</f>
        <v/>
      </c>
    </row>
    <row r="236" ht="17" customHeight="1" s="179">
      <c r="A236" s="139">
        <f>SKU_Base!B236</f>
        <v/>
      </c>
      <c r="B236" s="139">
        <f>SKU_Base!C236</f>
        <v/>
      </c>
      <c r="C236" s="140">
        <f>IFERROR(SKU_Base!I236,"")</f>
        <v/>
      </c>
      <c r="D236" s="163">
        <f>IFERROR(SKU_Base!T236,"")</f>
        <v/>
      </c>
      <c r="E236" s="141">
        <f>IFERROR(SKU_Base!$U236,"")</f>
        <v/>
      </c>
      <c r="F236" s="158">
        <f>IFERROR(ROUND(D236*(1-CHOOSE(MATCH(IF($E236="","Основний",$E236),{"Трафіковий","Основний","Маржинальний","Сезонний","Стратегічний"},0),Settings!$B$78,Settings!$B$80,Settings!$B$82,Settings!$B$84,Settings!$B$86))/6,2)*6,"")</f>
        <v/>
      </c>
      <c r="G236" s="142">
        <f>IFERROR(CHOOSE(MATCH(IF($E236="","Основний",$E236),{"Трафіковий","Основний","Маржинальний","Сезонний","Стратегічний"},0),Settings!$B$78,Settings!$B$80,Settings!$B$82,Settings!$B$84,Settings!$B$86),"")</f>
        <v/>
      </c>
      <c r="H236" s="143">
        <f>IFERROR((F236*(1-Settings!$B$17)-C236)/(F236*(1-Settings!$B$17)),"")</f>
        <v/>
      </c>
      <c r="I236" s="149">
        <f>IFERROR(IF(F236="","",IF(F236&gt;=C236/(1-SKU_Base!Z236)/(1-Settings!$B$17),"OK",IF(F236&gt;=C236/(1-SKU_Base!AG236)/(1-Settings!$B$17),"WARN","STOP"))),"")</f>
        <v/>
      </c>
      <c r="J236" s="158">
        <f>IFERROR(ROUND(D236*(1-CHOOSE(MATCH(IF($E236="","Основний",$E236),{"Трафіковий","Основний","Маржинальний","Сезонний","Стратегічний"},0),Settings!$C$78,Settings!$C$80,Settings!$C$82,Settings!$C$84,Settings!$C$86))/6,2)*6,"")</f>
        <v/>
      </c>
      <c r="K236" s="142">
        <f>IFERROR(CHOOSE(MATCH(IF($E236="","Основний",$E236),{"Трафіковий","Основний","Маржинальний","Сезонний","Стратегічний"},0),Settings!$C$78,Settings!$C$80,Settings!$C$82,Settings!$C$84,Settings!$C$86),"")</f>
        <v/>
      </c>
      <c r="L236" s="143">
        <f>IFERROR((J236*(1-Settings!$C$17)-C236)/(J236*(1-Settings!$C$17)),"")</f>
        <v/>
      </c>
      <c r="M236" s="149">
        <f>IFERROR(IF(J236="","",IF(J236&gt;=C236/(1-SKU_Base!AA236)/(1-Settings!$C$17),"OK",IF(J236&gt;=C236/(1-SKU_Base!AH236)/(1-Settings!$C$17),"WARN","STOP"))),"")</f>
        <v/>
      </c>
      <c r="N236" s="159">
        <f>IFERROR(ROUND(D236*(1-CHOOSE(MATCH(IF($E236="","Основний",$E236),{"Трафіковий","Основний","Маржинальний","Сезонний","Стратегічний"},0),Settings!$D$78,Settings!$D$80,Settings!$D$82,Settings!$D$84,Settings!$D$86))/6,2)*6,"")</f>
        <v/>
      </c>
      <c r="O236" s="142">
        <f>IFERROR(CHOOSE(MATCH(IF($E236="","Основний",$E236),{"Трафіковий","Основний","Маржинальний","Сезонний","Стратегічний"},0),Settings!$D$78,Settings!$D$80,Settings!$D$82,Settings!$D$84,Settings!$D$86),"")</f>
        <v/>
      </c>
      <c r="P236" s="143">
        <f>IFERROR((N236*(1-Settings!$D$17)-C236)/(N236*(1-Settings!$D$17)),"")</f>
        <v/>
      </c>
      <c r="Q236" s="149">
        <f>IFERROR(IF(N236="","",IF(N236&gt;=C236/(1-SKU_Base!AB236)/(1-Settings!$D$17),"OK",IF(N236&gt;=C236/(1-SKU_Base!AI236)/(1-Settings!$D$17),"WARN","STOP"))),"")</f>
        <v/>
      </c>
      <c r="R236" s="159">
        <f>IFERROR(ROUND(D236*(1-CHOOSE(MATCH(IF($E236="","Основний",$E236),{"Трафіковий","Основний","Маржинальний","Сезонний","Стратегічний"},0),Settings!$E$78,Settings!$E$80,Settings!$E$82,Settings!$E$84,Settings!$E$86))/6,2)*6,"")</f>
        <v/>
      </c>
      <c r="S236" s="142">
        <f>IFERROR(CHOOSE(MATCH(IF($E236="","Основний",$E236),{"Трафіковий","Основний","Маржинальний","Сезонний","Стратегічний"},0),Settings!$E$78,Settings!$E$80,Settings!$E$82,Settings!$E$84,Settings!$E$86),"")</f>
        <v/>
      </c>
      <c r="T236" s="143">
        <f>IFERROR((R236*(1-Settings!$E$17)-C236)/(R236*(1-Settings!$E$17)),"")</f>
        <v/>
      </c>
      <c r="U236" s="149">
        <f>IFERROR(IF(R236="","",IF(R236&gt;=C236/(1-SKU_Base!AC236)/(1-Settings!$E$17),"OK",IF(R236&gt;=C236/(1-SKU_Base!AJ236)/(1-Settings!$E$17),"WARN","STOP"))),"")</f>
        <v/>
      </c>
      <c r="V236" s="159">
        <f>IFERROR(ROUND(D236*(1-CHOOSE(MATCH(IF($E236="","Основний",$E236),{"Трафіковий","Основний","Маржинальний","Сезонний","Стратегічний"},0),Settings!$F$78,Settings!$F$80,Settings!$F$82,Settings!$F$84,Settings!$F$86))/6,2)*6,"")</f>
        <v/>
      </c>
      <c r="W236" s="142">
        <f>IFERROR(CHOOSE(MATCH(IF($E236="","Основний",$E236),{"Трафіковий","Основний","Маржинальний","Сезонний","Стратегічний"},0),Settings!$F$78,Settings!$F$80,Settings!$F$82,Settings!$F$84,Settings!$F$86),"")</f>
        <v/>
      </c>
      <c r="X236" s="143">
        <f>IFERROR((V236*(1-Settings!$F$17)-C236)/(V236*(1-Settings!$F$17)),"")</f>
        <v/>
      </c>
      <c r="Y236" s="149">
        <f>IFERROR(IF(V236="","",IF(V236&gt;=C236/(1-SKU_Base!AD236)/(1-Settings!$F$17),"OK",IF(V236&gt;=C236/(1-SKU_Base!AK236)/(1-Settings!$F$17),"WARN","STOP"))),"")</f>
        <v/>
      </c>
      <c r="Z236" s="159">
        <f>IFERROR(ROUND(D236*(1-CHOOSE(MATCH(IF($E236="","Основний",$E236),{"Трафіковий","Основний","Маржинальний","Сезонний","Стратегічний"},0),Settings!$G$78,Settings!$G$80,Settings!$G$82,Settings!$G$84,Settings!$G$86))/6,2)*6,"")</f>
        <v/>
      </c>
      <c r="AA236" s="142">
        <f>IFERROR(CHOOSE(MATCH(IF($E236="","Основний",$E236),{"Трафіковий","Основний","Маржинальний","Сезонний","Стратегічний"},0),Settings!$G$78,Settings!$G$80,Settings!$G$82,Settings!$G$84,Settings!$G$86),"")</f>
        <v/>
      </c>
      <c r="AB236" s="143">
        <f>IFERROR((Z236*(1-Settings!$G$17)-C236)/(Z236*(1-Settings!$G$17)),"")</f>
        <v/>
      </c>
      <c r="AC236" s="149">
        <f>IFERROR(IF(Z236="","",IF(Z236&gt;=C236/(1-SKU_Base!AE236)/(1-Settings!$G$17),"OK",IF(Z236&gt;=C236/(1-SKU_Base!AL236)/(1-Settings!$G$17),"WARN","STOP"))),"")</f>
        <v/>
      </c>
      <c r="AD236" s="159">
        <f>IFERROR(ROUND(D236*(1-CHOOSE(MATCH(IF($E236="","Основний",$E236),{"Трафіковий","Основний","Маржинальний","Сезонний","Стратегічний"},0),Settings!$H$78,Settings!$H$80,Settings!$H$82,Settings!$H$84,Settings!$H$86))*(1-Settings!$H$68)/6,2)*6,"")</f>
        <v/>
      </c>
      <c r="AE236" s="142">
        <f>IFERROR(CHOOSE(MATCH(IF($E236="","Основний",$E236),{"Трафіковий","Основний","Маржинальний","Сезонний","Стратегічний"},0),Settings!$H$78,Settings!$H$80,Settings!$H$82,Settings!$H$84,Settings!$H$86)+(1-(CHOOSE(MATCH(IF($E236="","Основний",$E236),{"Трафіковий","Основний","Маржинальний","Сезонний","Стратегічний"},0),Settings!$H$78,Settings!$H$80,Settings!$H$82,Settings!$H$84,Settings!$H$86)))*Settings!$H$68,"")</f>
        <v/>
      </c>
      <c r="AF236" s="143">
        <f>IFERROR((AD236*(1-Settings!$H$17)-C236)/(AD236*(1-Settings!$H$17)),"")</f>
        <v/>
      </c>
      <c r="AG236" s="150">
        <f>IFERROR(IF(AD236="","",IF(AD236&gt;=C236/(1-SKU_Base!AF236)/(1-Settings!$H$17),"OK",IF(AD236&gt;=C236/(1-SKU_Base!AM236)/(1-Settings!$H$17),"WARN","STOP"))),"")</f>
        <v/>
      </c>
    </row>
    <row r="237" ht="17" customHeight="1" s="179">
      <c r="A237" s="146">
        <f>SKU_Base!B237</f>
        <v/>
      </c>
      <c r="B237" s="146">
        <f>SKU_Base!C237</f>
        <v/>
      </c>
      <c r="C237" s="147">
        <f>IFERROR(SKU_Base!I237,"")</f>
        <v/>
      </c>
      <c r="D237" s="164">
        <f>IFERROR(SKU_Base!T237,"")</f>
        <v/>
      </c>
      <c r="E237" s="141">
        <f>IFERROR(SKU_Base!$U237,"")</f>
        <v/>
      </c>
      <c r="F237" s="160">
        <f>IFERROR(ROUND(D237*(1-CHOOSE(MATCH(IF($E237="","Основний",$E237),{"Трафіковий","Основний","Маржинальний","Сезонний","Стратегічний"},0),Settings!$B$78,Settings!$B$80,Settings!$B$82,Settings!$B$84,Settings!$B$86))/6,2)*6,"")</f>
        <v/>
      </c>
      <c r="G237" s="142">
        <f>IFERROR(CHOOSE(MATCH(IF($E237="","Основний",$E237),{"Трафіковий","Основний","Маржинальний","Сезонний","Стратегічний"},0),Settings!$B$78,Settings!$B$80,Settings!$B$82,Settings!$B$84,Settings!$B$86),"")</f>
        <v/>
      </c>
      <c r="H237" s="148">
        <f>IFERROR((F237*(1-Settings!$B$17)-C237)/(F237*(1-Settings!$B$17)),"")</f>
        <v/>
      </c>
      <c r="I237" s="149">
        <f>IFERROR(IF(F237="","",IF(F237&gt;=C237/(1-SKU_Base!Z237)/(1-Settings!$B$17),"OK",IF(F237&gt;=C237/(1-SKU_Base!AG237)/(1-Settings!$B$17),"WARN","STOP"))),"")</f>
        <v/>
      </c>
      <c r="J237" s="160">
        <f>IFERROR(ROUND(D237*(1-CHOOSE(MATCH(IF($E237="","Основний",$E237),{"Трафіковий","Основний","Маржинальний","Сезонний","Стратегічний"},0),Settings!$C$78,Settings!$C$80,Settings!$C$82,Settings!$C$84,Settings!$C$86))/6,2)*6,"")</f>
        <v/>
      </c>
      <c r="K237" s="142">
        <f>IFERROR(CHOOSE(MATCH(IF($E237="","Основний",$E237),{"Трафіковий","Основний","Маржинальний","Сезонний","Стратегічний"},0),Settings!$C$78,Settings!$C$80,Settings!$C$82,Settings!$C$84,Settings!$C$86),"")</f>
        <v/>
      </c>
      <c r="L237" s="148">
        <f>IFERROR((J237*(1-Settings!$C$17)-C237)/(J237*(1-Settings!$C$17)),"")</f>
        <v/>
      </c>
      <c r="M237" s="149">
        <f>IFERROR(IF(J237="","",IF(J237&gt;=C237/(1-SKU_Base!AA237)/(1-Settings!$C$17),"OK",IF(J237&gt;=C237/(1-SKU_Base!AH237)/(1-Settings!$C$17),"WARN","STOP"))),"")</f>
        <v/>
      </c>
      <c r="N237" s="161">
        <f>IFERROR(ROUND(D237*(1-CHOOSE(MATCH(IF($E237="","Основний",$E237),{"Трафіковий","Основний","Маржинальний","Сезонний","Стратегічний"},0),Settings!$D$78,Settings!$D$80,Settings!$D$82,Settings!$D$84,Settings!$D$86))/6,2)*6,"")</f>
        <v/>
      </c>
      <c r="O237" s="142">
        <f>IFERROR(CHOOSE(MATCH(IF($E237="","Основний",$E237),{"Трафіковий","Основний","Маржинальний","Сезонний","Стратегічний"},0),Settings!$D$78,Settings!$D$80,Settings!$D$82,Settings!$D$84,Settings!$D$86),"")</f>
        <v/>
      </c>
      <c r="P237" s="148">
        <f>IFERROR((N237*(1-Settings!$D$17)-C237)/(N237*(1-Settings!$D$17)),"")</f>
        <v/>
      </c>
      <c r="Q237" s="149">
        <f>IFERROR(IF(N237="","",IF(N237&gt;=C237/(1-SKU_Base!AB237)/(1-Settings!$D$17),"OK",IF(N237&gt;=C237/(1-SKU_Base!AI237)/(1-Settings!$D$17),"WARN","STOP"))),"")</f>
        <v/>
      </c>
      <c r="R237" s="161">
        <f>IFERROR(ROUND(D237*(1-CHOOSE(MATCH(IF($E237="","Основний",$E237),{"Трафіковий","Основний","Маржинальний","Сезонний","Стратегічний"},0),Settings!$E$78,Settings!$E$80,Settings!$E$82,Settings!$E$84,Settings!$E$86))/6,2)*6,"")</f>
        <v/>
      </c>
      <c r="S237" s="142">
        <f>IFERROR(CHOOSE(MATCH(IF($E237="","Основний",$E237),{"Трафіковий","Основний","Маржинальний","Сезонний","Стратегічний"},0),Settings!$E$78,Settings!$E$80,Settings!$E$82,Settings!$E$84,Settings!$E$86),"")</f>
        <v/>
      </c>
      <c r="T237" s="148">
        <f>IFERROR((R237*(1-Settings!$E$17)-C237)/(R237*(1-Settings!$E$17)),"")</f>
        <v/>
      </c>
      <c r="U237" s="149">
        <f>IFERROR(IF(R237="","",IF(R237&gt;=C237/(1-SKU_Base!AC237)/(1-Settings!$E$17),"OK",IF(R237&gt;=C237/(1-SKU_Base!AJ237)/(1-Settings!$E$17),"WARN","STOP"))),"")</f>
        <v/>
      </c>
      <c r="V237" s="161">
        <f>IFERROR(ROUND(D237*(1-CHOOSE(MATCH(IF($E237="","Основний",$E237),{"Трафіковий","Основний","Маржинальний","Сезонний","Стратегічний"},0),Settings!$F$78,Settings!$F$80,Settings!$F$82,Settings!$F$84,Settings!$F$86))/6,2)*6,"")</f>
        <v/>
      </c>
      <c r="W237" s="142">
        <f>IFERROR(CHOOSE(MATCH(IF($E237="","Основний",$E237),{"Трафіковий","Основний","Маржинальний","Сезонний","Стратегічний"},0),Settings!$F$78,Settings!$F$80,Settings!$F$82,Settings!$F$84,Settings!$F$86),"")</f>
        <v/>
      </c>
      <c r="X237" s="148">
        <f>IFERROR((V237*(1-Settings!$F$17)-C237)/(V237*(1-Settings!$F$17)),"")</f>
        <v/>
      </c>
      <c r="Y237" s="149">
        <f>IFERROR(IF(V237="","",IF(V237&gt;=C237/(1-SKU_Base!AD237)/(1-Settings!$F$17),"OK",IF(V237&gt;=C237/(1-SKU_Base!AK237)/(1-Settings!$F$17),"WARN","STOP"))),"")</f>
        <v/>
      </c>
      <c r="Z237" s="161">
        <f>IFERROR(ROUND(D237*(1-CHOOSE(MATCH(IF($E237="","Основний",$E237),{"Трафіковий","Основний","Маржинальний","Сезонний","Стратегічний"},0),Settings!$G$78,Settings!$G$80,Settings!$G$82,Settings!$G$84,Settings!$G$86))/6,2)*6,"")</f>
        <v/>
      </c>
      <c r="AA237" s="142">
        <f>IFERROR(CHOOSE(MATCH(IF($E237="","Основний",$E237),{"Трафіковий","Основний","Маржинальний","Сезонний","Стратегічний"},0),Settings!$G$78,Settings!$G$80,Settings!$G$82,Settings!$G$84,Settings!$G$86),"")</f>
        <v/>
      </c>
      <c r="AB237" s="148">
        <f>IFERROR((Z237*(1-Settings!$G$17)-C237)/(Z237*(1-Settings!$G$17)),"")</f>
        <v/>
      </c>
      <c r="AC237" s="149">
        <f>IFERROR(IF(Z237="","",IF(Z237&gt;=C237/(1-SKU_Base!AE237)/(1-Settings!$G$17),"OK",IF(Z237&gt;=C237/(1-SKU_Base!AL237)/(1-Settings!$G$17),"WARN","STOP"))),"")</f>
        <v/>
      </c>
      <c r="AD237" s="161">
        <f>IFERROR(ROUND(D237*(1-CHOOSE(MATCH(IF($E237="","Основний",$E237),{"Трафіковий","Основний","Маржинальний","Сезонний","Стратегічний"},0),Settings!$H$78,Settings!$H$80,Settings!$H$82,Settings!$H$84,Settings!$H$86))*(1-Settings!$H$68)/6,2)*6,"")</f>
        <v/>
      </c>
      <c r="AE237" s="142">
        <f>IFERROR(CHOOSE(MATCH(IF($E237="","Основний",$E237),{"Трафіковий","Основний","Маржинальний","Сезонний","Стратегічний"},0),Settings!$H$78,Settings!$H$80,Settings!$H$82,Settings!$H$84,Settings!$H$86)+(1-(CHOOSE(MATCH(IF($E237="","Основний",$E237),{"Трафіковий","Основний","Маржинальний","Сезонний","Стратегічний"},0),Settings!$H$78,Settings!$H$80,Settings!$H$82,Settings!$H$84,Settings!$H$86)))*Settings!$H$68,"")</f>
        <v/>
      </c>
      <c r="AF237" s="148">
        <f>IFERROR((AD237*(1-Settings!$H$17)-C237)/(AD237*(1-Settings!$H$17)),"")</f>
        <v/>
      </c>
      <c r="AG237" s="150">
        <f>IFERROR(IF(AD237="","",IF(AD237&gt;=C237/(1-SKU_Base!AF237)/(1-Settings!$H$17),"OK",IF(AD237&gt;=C237/(1-SKU_Base!AM237)/(1-Settings!$H$17),"WARN","STOP"))),"")</f>
        <v/>
      </c>
    </row>
    <row r="238" ht="17" customHeight="1" s="179">
      <c r="A238" s="139">
        <f>SKU_Base!B238</f>
        <v/>
      </c>
      <c r="B238" s="139">
        <f>SKU_Base!C238</f>
        <v/>
      </c>
      <c r="C238" s="140">
        <f>IFERROR(SKU_Base!I238,"")</f>
        <v/>
      </c>
      <c r="D238" s="163">
        <f>IFERROR(SKU_Base!T238,"")</f>
        <v/>
      </c>
      <c r="E238" s="141">
        <f>IFERROR(SKU_Base!$U238,"")</f>
        <v/>
      </c>
      <c r="F238" s="158">
        <f>IFERROR(ROUND(D238*(1-CHOOSE(MATCH(IF($E238="","Основний",$E238),{"Трафіковий","Основний","Маржинальний","Сезонний","Стратегічний"},0),Settings!$B$78,Settings!$B$80,Settings!$B$82,Settings!$B$84,Settings!$B$86))/6,2)*6,"")</f>
        <v/>
      </c>
      <c r="G238" s="142">
        <f>IFERROR(CHOOSE(MATCH(IF($E238="","Основний",$E238),{"Трафіковий","Основний","Маржинальний","Сезонний","Стратегічний"},0),Settings!$B$78,Settings!$B$80,Settings!$B$82,Settings!$B$84,Settings!$B$86),"")</f>
        <v/>
      </c>
      <c r="H238" s="143">
        <f>IFERROR((F238*(1-Settings!$B$17)-C238)/(F238*(1-Settings!$B$17)),"")</f>
        <v/>
      </c>
      <c r="I238" s="150">
        <f>IFERROR(IF(F238="","",IF(F238&gt;=C238/(1-SKU_Base!Z238)/(1-Settings!$B$17),"OK",IF(F238&gt;=C238/(1-SKU_Base!AG238)/(1-Settings!$B$17),"WARN","STOP"))),"")</f>
        <v/>
      </c>
      <c r="J238" s="158">
        <f>IFERROR(ROUND(D238*(1-CHOOSE(MATCH(IF($E238="","Основний",$E238),{"Трафіковий","Основний","Маржинальний","Сезонний","Стратегічний"},0),Settings!$C$78,Settings!$C$80,Settings!$C$82,Settings!$C$84,Settings!$C$86))/6,2)*6,"")</f>
        <v/>
      </c>
      <c r="K238" s="142">
        <f>IFERROR(CHOOSE(MATCH(IF($E238="","Основний",$E238),{"Трафіковий","Основний","Маржинальний","Сезонний","Стратегічний"},0),Settings!$C$78,Settings!$C$80,Settings!$C$82,Settings!$C$84,Settings!$C$86),"")</f>
        <v/>
      </c>
      <c r="L238" s="143">
        <f>IFERROR((J238*(1-Settings!$C$17)-C238)/(J238*(1-Settings!$C$17)),"")</f>
        <v/>
      </c>
      <c r="M238" s="149">
        <f>IFERROR(IF(J238="","",IF(J238&gt;=C238/(1-SKU_Base!AA238)/(1-Settings!$C$17),"OK",IF(J238&gt;=C238/(1-SKU_Base!AH238)/(1-Settings!$C$17),"WARN","STOP"))),"")</f>
        <v/>
      </c>
      <c r="N238" s="159">
        <f>IFERROR(ROUND(D238*(1-CHOOSE(MATCH(IF($E238="","Основний",$E238),{"Трафіковий","Основний","Маржинальний","Сезонний","Стратегічний"},0),Settings!$D$78,Settings!$D$80,Settings!$D$82,Settings!$D$84,Settings!$D$86))/6,2)*6,"")</f>
        <v/>
      </c>
      <c r="O238" s="142">
        <f>IFERROR(CHOOSE(MATCH(IF($E238="","Основний",$E238),{"Трафіковий","Основний","Маржинальний","Сезонний","Стратегічний"},0),Settings!$D$78,Settings!$D$80,Settings!$D$82,Settings!$D$84,Settings!$D$86),"")</f>
        <v/>
      </c>
      <c r="P238" s="143">
        <f>IFERROR((N238*(1-Settings!$D$17)-C238)/(N238*(1-Settings!$D$17)),"")</f>
        <v/>
      </c>
      <c r="Q238" s="149">
        <f>IFERROR(IF(N238="","",IF(N238&gt;=C238/(1-SKU_Base!AB238)/(1-Settings!$D$17),"OK",IF(N238&gt;=C238/(1-SKU_Base!AI238)/(1-Settings!$D$17),"WARN","STOP"))),"")</f>
        <v/>
      </c>
      <c r="R238" s="159">
        <f>IFERROR(ROUND(D238*(1-CHOOSE(MATCH(IF($E238="","Основний",$E238),{"Трафіковий","Основний","Маржинальний","Сезонний","Стратегічний"},0),Settings!$E$78,Settings!$E$80,Settings!$E$82,Settings!$E$84,Settings!$E$86))/6,2)*6,"")</f>
        <v/>
      </c>
      <c r="S238" s="142">
        <f>IFERROR(CHOOSE(MATCH(IF($E238="","Основний",$E238),{"Трафіковий","Основний","Маржинальний","Сезонний","Стратегічний"},0),Settings!$E$78,Settings!$E$80,Settings!$E$82,Settings!$E$84,Settings!$E$86),"")</f>
        <v/>
      </c>
      <c r="T238" s="143">
        <f>IFERROR((R238*(1-Settings!$E$17)-C238)/(R238*(1-Settings!$E$17)),"")</f>
        <v/>
      </c>
      <c r="U238" s="149">
        <f>IFERROR(IF(R238="","",IF(R238&gt;=C238/(1-SKU_Base!AC238)/(1-Settings!$E$17),"OK",IF(R238&gt;=C238/(1-SKU_Base!AJ238)/(1-Settings!$E$17),"WARN","STOP"))),"")</f>
        <v/>
      </c>
      <c r="V238" s="159">
        <f>IFERROR(ROUND(D238*(1-CHOOSE(MATCH(IF($E238="","Основний",$E238),{"Трафіковий","Основний","Маржинальний","Сезонний","Стратегічний"},0),Settings!$F$78,Settings!$F$80,Settings!$F$82,Settings!$F$84,Settings!$F$86))/6,2)*6,"")</f>
        <v/>
      </c>
      <c r="W238" s="142">
        <f>IFERROR(CHOOSE(MATCH(IF($E238="","Основний",$E238),{"Трафіковий","Основний","Маржинальний","Сезонний","Стратегічний"},0),Settings!$F$78,Settings!$F$80,Settings!$F$82,Settings!$F$84,Settings!$F$86),"")</f>
        <v/>
      </c>
      <c r="X238" s="143">
        <f>IFERROR((V238*(1-Settings!$F$17)-C238)/(V238*(1-Settings!$F$17)),"")</f>
        <v/>
      </c>
      <c r="Y238" s="149">
        <f>IFERROR(IF(V238="","",IF(V238&gt;=C238/(1-SKU_Base!AD238)/(1-Settings!$F$17),"OK",IF(V238&gt;=C238/(1-SKU_Base!AK238)/(1-Settings!$F$17),"WARN","STOP"))),"")</f>
        <v/>
      </c>
      <c r="Z238" s="159">
        <f>IFERROR(ROUND(D238*(1-CHOOSE(MATCH(IF($E238="","Основний",$E238),{"Трафіковий","Основний","Маржинальний","Сезонний","Стратегічний"},0),Settings!$G$78,Settings!$G$80,Settings!$G$82,Settings!$G$84,Settings!$G$86))/6,2)*6,"")</f>
        <v/>
      </c>
      <c r="AA238" s="142">
        <f>IFERROR(CHOOSE(MATCH(IF($E238="","Основний",$E238),{"Трафіковий","Основний","Маржинальний","Сезонний","Стратегічний"},0),Settings!$G$78,Settings!$G$80,Settings!$G$82,Settings!$G$84,Settings!$G$86),"")</f>
        <v/>
      </c>
      <c r="AB238" s="143">
        <f>IFERROR((Z238*(1-Settings!$G$17)-C238)/(Z238*(1-Settings!$G$17)),"")</f>
        <v/>
      </c>
      <c r="AC238" s="149">
        <f>IFERROR(IF(Z238="","",IF(Z238&gt;=C238/(1-SKU_Base!AE238)/(1-Settings!$G$17),"OK",IF(Z238&gt;=C238/(1-SKU_Base!AL238)/(1-Settings!$G$17),"WARN","STOP"))),"")</f>
        <v/>
      </c>
      <c r="AD238" s="159">
        <f>IFERROR(ROUND(D238*(1-CHOOSE(MATCH(IF($E238="","Основний",$E238),{"Трафіковий","Основний","Маржинальний","Сезонний","Стратегічний"},0),Settings!$H$78,Settings!$H$80,Settings!$H$82,Settings!$H$84,Settings!$H$86))*(1-Settings!$H$68)/6,2)*6,"")</f>
        <v/>
      </c>
      <c r="AE238" s="142">
        <f>IFERROR(CHOOSE(MATCH(IF($E238="","Основний",$E238),{"Трафіковий","Основний","Маржинальний","Сезонний","Стратегічний"},0),Settings!$H$78,Settings!$H$80,Settings!$H$82,Settings!$H$84,Settings!$H$86)+(1-(CHOOSE(MATCH(IF($E238="","Основний",$E238),{"Трафіковий","Основний","Маржинальний","Сезонний","Стратегічний"},0),Settings!$H$78,Settings!$H$80,Settings!$H$82,Settings!$H$84,Settings!$H$86)))*Settings!$H$68,"")</f>
        <v/>
      </c>
      <c r="AF238" s="143">
        <f>IFERROR((AD238*(1-Settings!$H$17)-C238)/(AD238*(1-Settings!$H$17)),"")</f>
        <v/>
      </c>
      <c r="AG238" s="150">
        <f>IFERROR(IF(AD238="","",IF(AD238&gt;=C238/(1-SKU_Base!AF238)/(1-Settings!$H$17),"OK",IF(AD238&gt;=C238/(1-SKU_Base!AM238)/(1-Settings!$H$17),"WARN","STOP"))),"")</f>
        <v/>
      </c>
    </row>
    <row r="239" ht="17" customHeight="1" s="179">
      <c r="A239" s="146">
        <f>SKU_Base!B239</f>
        <v/>
      </c>
      <c r="B239" s="146">
        <f>SKU_Base!C239</f>
        <v/>
      </c>
      <c r="C239" s="147">
        <f>IFERROR(SKU_Base!I239,"")</f>
        <v/>
      </c>
      <c r="D239" s="164">
        <f>IFERROR(SKU_Base!T239,"")</f>
        <v/>
      </c>
      <c r="E239" s="141">
        <f>IFERROR(SKU_Base!$U239,"")</f>
        <v/>
      </c>
      <c r="F239" s="160">
        <f>IFERROR(ROUND(D239*(1-CHOOSE(MATCH(IF($E239="","Основний",$E239),{"Трафіковий","Основний","Маржинальний","Сезонний","Стратегічний"},0),Settings!$B$78,Settings!$B$80,Settings!$B$82,Settings!$B$84,Settings!$B$86))/6,2)*6,"")</f>
        <v/>
      </c>
      <c r="G239" s="142">
        <f>IFERROR(CHOOSE(MATCH(IF($E239="","Основний",$E239),{"Трафіковий","Основний","Маржинальний","Сезонний","Стратегічний"},0),Settings!$B$78,Settings!$B$80,Settings!$B$82,Settings!$B$84,Settings!$B$86),"")</f>
        <v/>
      </c>
      <c r="H239" s="148">
        <f>IFERROR((F239*(1-Settings!$B$17)-C239)/(F239*(1-Settings!$B$17)),"")</f>
        <v/>
      </c>
      <c r="I239" s="149">
        <f>IFERROR(IF(F239="","",IF(F239&gt;=C239/(1-SKU_Base!Z239)/(1-Settings!$B$17),"OK",IF(F239&gt;=C239/(1-SKU_Base!AG239)/(1-Settings!$B$17),"WARN","STOP"))),"")</f>
        <v/>
      </c>
      <c r="J239" s="160">
        <f>IFERROR(ROUND(D239*(1-CHOOSE(MATCH(IF($E239="","Основний",$E239),{"Трафіковий","Основний","Маржинальний","Сезонний","Стратегічний"},0),Settings!$C$78,Settings!$C$80,Settings!$C$82,Settings!$C$84,Settings!$C$86))/6,2)*6,"")</f>
        <v/>
      </c>
      <c r="K239" s="142">
        <f>IFERROR(CHOOSE(MATCH(IF($E239="","Основний",$E239),{"Трафіковий","Основний","Маржинальний","Сезонний","Стратегічний"},0),Settings!$C$78,Settings!$C$80,Settings!$C$82,Settings!$C$84,Settings!$C$86),"")</f>
        <v/>
      </c>
      <c r="L239" s="148">
        <f>IFERROR((J239*(1-Settings!$C$17)-C239)/(J239*(1-Settings!$C$17)),"")</f>
        <v/>
      </c>
      <c r="M239" s="149">
        <f>IFERROR(IF(J239="","",IF(J239&gt;=C239/(1-SKU_Base!AA239)/(1-Settings!$C$17),"OK",IF(J239&gt;=C239/(1-SKU_Base!AH239)/(1-Settings!$C$17),"WARN","STOP"))),"")</f>
        <v/>
      </c>
      <c r="N239" s="161">
        <f>IFERROR(ROUND(D239*(1-CHOOSE(MATCH(IF($E239="","Основний",$E239),{"Трафіковий","Основний","Маржинальний","Сезонний","Стратегічний"},0),Settings!$D$78,Settings!$D$80,Settings!$D$82,Settings!$D$84,Settings!$D$86))/6,2)*6,"")</f>
        <v/>
      </c>
      <c r="O239" s="142">
        <f>IFERROR(CHOOSE(MATCH(IF($E239="","Основний",$E239),{"Трафіковий","Основний","Маржинальний","Сезонний","Стратегічний"},0),Settings!$D$78,Settings!$D$80,Settings!$D$82,Settings!$D$84,Settings!$D$86),"")</f>
        <v/>
      </c>
      <c r="P239" s="148">
        <f>IFERROR((N239*(1-Settings!$D$17)-C239)/(N239*(1-Settings!$D$17)),"")</f>
        <v/>
      </c>
      <c r="Q239" s="149">
        <f>IFERROR(IF(N239="","",IF(N239&gt;=C239/(1-SKU_Base!AB239)/(1-Settings!$D$17),"OK",IF(N239&gt;=C239/(1-SKU_Base!AI239)/(1-Settings!$D$17),"WARN","STOP"))),"")</f>
        <v/>
      </c>
      <c r="R239" s="161">
        <f>IFERROR(ROUND(D239*(1-CHOOSE(MATCH(IF($E239="","Основний",$E239),{"Трафіковий","Основний","Маржинальний","Сезонний","Стратегічний"},0),Settings!$E$78,Settings!$E$80,Settings!$E$82,Settings!$E$84,Settings!$E$86))/6,2)*6,"")</f>
        <v/>
      </c>
      <c r="S239" s="142">
        <f>IFERROR(CHOOSE(MATCH(IF($E239="","Основний",$E239),{"Трафіковий","Основний","Маржинальний","Сезонний","Стратегічний"},0),Settings!$E$78,Settings!$E$80,Settings!$E$82,Settings!$E$84,Settings!$E$86),"")</f>
        <v/>
      </c>
      <c r="T239" s="148">
        <f>IFERROR((R239*(1-Settings!$E$17)-C239)/(R239*(1-Settings!$E$17)),"")</f>
        <v/>
      </c>
      <c r="U239" s="149">
        <f>IFERROR(IF(R239="","",IF(R239&gt;=C239/(1-SKU_Base!AC239)/(1-Settings!$E$17),"OK",IF(R239&gt;=C239/(1-SKU_Base!AJ239)/(1-Settings!$E$17),"WARN","STOP"))),"")</f>
        <v/>
      </c>
      <c r="V239" s="161">
        <f>IFERROR(ROUND(D239*(1-CHOOSE(MATCH(IF($E239="","Основний",$E239),{"Трафіковий","Основний","Маржинальний","Сезонний","Стратегічний"},0),Settings!$F$78,Settings!$F$80,Settings!$F$82,Settings!$F$84,Settings!$F$86))/6,2)*6,"")</f>
        <v/>
      </c>
      <c r="W239" s="142">
        <f>IFERROR(CHOOSE(MATCH(IF($E239="","Основний",$E239),{"Трафіковий","Основний","Маржинальний","Сезонний","Стратегічний"},0),Settings!$F$78,Settings!$F$80,Settings!$F$82,Settings!$F$84,Settings!$F$86),"")</f>
        <v/>
      </c>
      <c r="X239" s="148">
        <f>IFERROR((V239*(1-Settings!$F$17)-C239)/(V239*(1-Settings!$F$17)),"")</f>
        <v/>
      </c>
      <c r="Y239" s="149">
        <f>IFERROR(IF(V239="","",IF(V239&gt;=C239/(1-SKU_Base!AD239)/(1-Settings!$F$17),"OK",IF(V239&gt;=C239/(1-SKU_Base!AK239)/(1-Settings!$F$17),"WARN","STOP"))),"")</f>
        <v/>
      </c>
      <c r="Z239" s="161">
        <f>IFERROR(ROUND(D239*(1-CHOOSE(MATCH(IF($E239="","Основний",$E239),{"Трафіковий","Основний","Маржинальний","Сезонний","Стратегічний"},0),Settings!$G$78,Settings!$G$80,Settings!$G$82,Settings!$G$84,Settings!$G$86))/6,2)*6,"")</f>
        <v/>
      </c>
      <c r="AA239" s="142">
        <f>IFERROR(CHOOSE(MATCH(IF($E239="","Основний",$E239),{"Трафіковий","Основний","Маржинальний","Сезонний","Стратегічний"},0),Settings!$G$78,Settings!$G$80,Settings!$G$82,Settings!$G$84,Settings!$G$86),"")</f>
        <v/>
      </c>
      <c r="AB239" s="148">
        <f>IFERROR((Z239*(1-Settings!$G$17)-C239)/(Z239*(1-Settings!$G$17)),"")</f>
        <v/>
      </c>
      <c r="AC239" s="149">
        <f>IFERROR(IF(Z239="","",IF(Z239&gt;=C239/(1-SKU_Base!AE239)/(1-Settings!$G$17),"OK",IF(Z239&gt;=C239/(1-SKU_Base!AL239)/(1-Settings!$G$17),"WARN","STOP"))),"")</f>
        <v/>
      </c>
      <c r="AD239" s="161">
        <f>IFERROR(ROUND(D239*(1-CHOOSE(MATCH(IF($E239="","Основний",$E239),{"Трафіковий","Основний","Маржинальний","Сезонний","Стратегічний"},0),Settings!$H$78,Settings!$H$80,Settings!$H$82,Settings!$H$84,Settings!$H$86))*(1-Settings!$H$68)/6,2)*6,"")</f>
        <v/>
      </c>
      <c r="AE239" s="142">
        <f>IFERROR(CHOOSE(MATCH(IF($E239="","Основний",$E239),{"Трафіковий","Основний","Маржинальний","Сезонний","Стратегічний"},0),Settings!$H$78,Settings!$H$80,Settings!$H$82,Settings!$H$84,Settings!$H$86)+(1-(CHOOSE(MATCH(IF($E239="","Основний",$E239),{"Трафіковий","Основний","Маржинальний","Сезонний","Стратегічний"},0),Settings!$H$78,Settings!$H$80,Settings!$H$82,Settings!$H$84,Settings!$H$86)))*Settings!$H$68,"")</f>
        <v/>
      </c>
      <c r="AF239" s="148">
        <f>IFERROR((AD239*(1-Settings!$H$17)-C239)/(AD239*(1-Settings!$H$17)),"")</f>
        <v/>
      </c>
      <c r="AG239" s="150">
        <f>IFERROR(IF(AD239="","",IF(AD239&gt;=C239/(1-SKU_Base!AF239)/(1-Settings!$H$17),"OK",IF(AD239&gt;=C239/(1-SKU_Base!AM239)/(1-Settings!$H$17),"WARN","STOP"))),"")</f>
        <v/>
      </c>
    </row>
    <row r="240" ht="17" customHeight="1" s="179">
      <c r="A240" s="139">
        <f>SKU_Base!B240</f>
        <v/>
      </c>
      <c r="B240" s="139">
        <f>SKU_Base!C240</f>
        <v/>
      </c>
      <c r="C240" s="140">
        <f>IFERROR(SKU_Base!I240,"")</f>
        <v/>
      </c>
      <c r="D240" s="163">
        <f>IFERROR(SKU_Base!T240,"")</f>
        <v/>
      </c>
      <c r="E240" s="141">
        <f>IFERROR(SKU_Base!$U240,"")</f>
        <v/>
      </c>
      <c r="F240" s="158">
        <f>IFERROR(ROUND(D240*(1-CHOOSE(MATCH(IF($E240="","Основний",$E240),{"Трафіковий","Основний","Маржинальний","Сезонний","Стратегічний"},0),Settings!$B$78,Settings!$B$80,Settings!$B$82,Settings!$B$84,Settings!$B$86))/6,2)*6,"")</f>
        <v/>
      </c>
      <c r="G240" s="142">
        <f>IFERROR(CHOOSE(MATCH(IF($E240="","Основний",$E240),{"Трафіковий","Основний","Маржинальний","Сезонний","Стратегічний"},0),Settings!$B$78,Settings!$B$80,Settings!$B$82,Settings!$B$84,Settings!$B$86),"")</f>
        <v/>
      </c>
      <c r="H240" s="143">
        <f>IFERROR((F240*(1-Settings!$B$17)-C240)/(F240*(1-Settings!$B$17)),"")</f>
        <v/>
      </c>
      <c r="I240" s="149">
        <f>IFERROR(IF(F240="","",IF(F240&gt;=C240/(1-SKU_Base!Z240)/(1-Settings!$B$17),"OK",IF(F240&gt;=C240/(1-SKU_Base!AG240)/(1-Settings!$B$17),"WARN","STOP"))),"")</f>
        <v/>
      </c>
      <c r="J240" s="158">
        <f>IFERROR(ROUND(D240*(1-CHOOSE(MATCH(IF($E240="","Основний",$E240),{"Трафіковий","Основний","Маржинальний","Сезонний","Стратегічний"},0),Settings!$C$78,Settings!$C$80,Settings!$C$82,Settings!$C$84,Settings!$C$86))/6,2)*6,"")</f>
        <v/>
      </c>
      <c r="K240" s="142">
        <f>IFERROR(CHOOSE(MATCH(IF($E240="","Основний",$E240),{"Трафіковий","Основний","Маржинальний","Сезонний","Стратегічний"},0),Settings!$C$78,Settings!$C$80,Settings!$C$82,Settings!$C$84,Settings!$C$86),"")</f>
        <v/>
      </c>
      <c r="L240" s="143">
        <f>IFERROR((J240*(1-Settings!$C$17)-C240)/(J240*(1-Settings!$C$17)),"")</f>
        <v/>
      </c>
      <c r="M240" s="149">
        <f>IFERROR(IF(J240="","",IF(J240&gt;=C240/(1-SKU_Base!AA240)/(1-Settings!$C$17),"OK",IF(J240&gt;=C240/(1-SKU_Base!AH240)/(1-Settings!$C$17),"WARN","STOP"))),"")</f>
        <v/>
      </c>
      <c r="N240" s="159">
        <f>IFERROR(ROUND(D240*(1-CHOOSE(MATCH(IF($E240="","Основний",$E240),{"Трафіковий","Основний","Маржинальний","Сезонний","Стратегічний"},0),Settings!$D$78,Settings!$D$80,Settings!$D$82,Settings!$D$84,Settings!$D$86))/6,2)*6,"")</f>
        <v/>
      </c>
      <c r="O240" s="142">
        <f>IFERROR(CHOOSE(MATCH(IF($E240="","Основний",$E240),{"Трафіковий","Основний","Маржинальний","Сезонний","Стратегічний"},0),Settings!$D$78,Settings!$D$80,Settings!$D$82,Settings!$D$84,Settings!$D$86),"")</f>
        <v/>
      </c>
      <c r="P240" s="143">
        <f>IFERROR((N240*(1-Settings!$D$17)-C240)/(N240*(1-Settings!$D$17)),"")</f>
        <v/>
      </c>
      <c r="Q240" s="149">
        <f>IFERROR(IF(N240="","",IF(N240&gt;=C240/(1-SKU_Base!AB240)/(1-Settings!$D$17),"OK",IF(N240&gt;=C240/(1-SKU_Base!AI240)/(1-Settings!$D$17),"WARN","STOP"))),"")</f>
        <v/>
      </c>
      <c r="R240" s="159">
        <f>IFERROR(ROUND(D240*(1-CHOOSE(MATCH(IF($E240="","Основний",$E240),{"Трафіковий","Основний","Маржинальний","Сезонний","Стратегічний"},0),Settings!$E$78,Settings!$E$80,Settings!$E$82,Settings!$E$84,Settings!$E$86))/6,2)*6,"")</f>
        <v/>
      </c>
      <c r="S240" s="142">
        <f>IFERROR(CHOOSE(MATCH(IF($E240="","Основний",$E240),{"Трафіковий","Основний","Маржинальний","Сезонний","Стратегічний"},0),Settings!$E$78,Settings!$E$80,Settings!$E$82,Settings!$E$84,Settings!$E$86),"")</f>
        <v/>
      </c>
      <c r="T240" s="143">
        <f>IFERROR((R240*(1-Settings!$E$17)-C240)/(R240*(1-Settings!$E$17)),"")</f>
        <v/>
      </c>
      <c r="U240" s="149">
        <f>IFERROR(IF(R240="","",IF(R240&gt;=C240/(1-SKU_Base!AC240)/(1-Settings!$E$17),"OK",IF(R240&gt;=C240/(1-SKU_Base!AJ240)/(1-Settings!$E$17),"WARN","STOP"))),"")</f>
        <v/>
      </c>
      <c r="V240" s="159">
        <f>IFERROR(ROUND(D240*(1-CHOOSE(MATCH(IF($E240="","Основний",$E240),{"Трафіковий","Основний","Маржинальний","Сезонний","Стратегічний"},0),Settings!$F$78,Settings!$F$80,Settings!$F$82,Settings!$F$84,Settings!$F$86))/6,2)*6,"")</f>
        <v/>
      </c>
      <c r="W240" s="142">
        <f>IFERROR(CHOOSE(MATCH(IF($E240="","Основний",$E240),{"Трафіковий","Основний","Маржинальний","Сезонний","Стратегічний"},0),Settings!$F$78,Settings!$F$80,Settings!$F$82,Settings!$F$84,Settings!$F$86),"")</f>
        <v/>
      </c>
      <c r="X240" s="143">
        <f>IFERROR((V240*(1-Settings!$F$17)-C240)/(V240*(1-Settings!$F$17)),"")</f>
        <v/>
      </c>
      <c r="Y240" s="149">
        <f>IFERROR(IF(V240="","",IF(V240&gt;=C240/(1-SKU_Base!AD240)/(1-Settings!$F$17),"OK",IF(V240&gt;=C240/(1-SKU_Base!AK240)/(1-Settings!$F$17),"WARN","STOP"))),"")</f>
        <v/>
      </c>
      <c r="Z240" s="159">
        <f>IFERROR(ROUND(D240*(1-CHOOSE(MATCH(IF($E240="","Основний",$E240),{"Трафіковий","Основний","Маржинальний","Сезонний","Стратегічний"},0),Settings!$G$78,Settings!$G$80,Settings!$G$82,Settings!$G$84,Settings!$G$86))/6,2)*6,"")</f>
        <v/>
      </c>
      <c r="AA240" s="142">
        <f>IFERROR(CHOOSE(MATCH(IF($E240="","Основний",$E240),{"Трафіковий","Основний","Маржинальний","Сезонний","Стратегічний"},0),Settings!$G$78,Settings!$G$80,Settings!$G$82,Settings!$G$84,Settings!$G$86),"")</f>
        <v/>
      </c>
      <c r="AB240" s="143">
        <f>IFERROR((Z240*(1-Settings!$G$17)-C240)/(Z240*(1-Settings!$G$17)),"")</f>
        <v/>
      </c>
      <c r="AC240" s="149">
        <f>IFERROR(IF(Z240="","",IF(Z240&gt;=C240/(1-SKU_Base!AE240)/(1-Settings!$G$17),"OK",IF(Z240&gt;=C240/(1-SKU_Base!AL240)/(1-Settings!$G$17),"WARN","STOP"))),"")</f>
        <v/>
      </c>
      <c r="AD240" s="159">
        <f>IFERROR(ROUND(D240*(1-CHOOSE(MATCH(IF($E240="","Основний",$E240),{"Трафіковий","Основний","Маржинальний","Сезонний","Стратегічний"},0),Settings!$H$78,Settings!$H$80,Settings!$H$82,Settings!$H$84,Settings!$H$86))*(1-Settings!$H$68)/6,2)*6,"")</f>
        <v/>
      </c>
      <c r="AE240" s="142">
        <f>IFERROR(CHOOSE(MATCH(IF($E240="","Основний",$E240),{"Трафіковий","Основний","Маржинальний","Сезонний","Стратегічний"},0),Settings!$H$78,Settings!$H$80,Settings!$H$82,Settings!$H$84,Settings!$H$86)+(1-(CHOOSE(MATCH(IF($E240="","Основний",$E240),{"Трафіковий","Основний","Маржинальний","Сезонний","Стратегічний"},0),Settings!$H$78,Settings!$H$80,Settings!$H$82,Settings!$H$84,Settings!$H$86)))*Settings!$H$68,"")</f>
        <v/>
      </c>
      <c r="AF240" s="143">
        <f>IFERROR((AD240*(1-Settings!$H$17)-C240)/(AD240*(1-Settings!$H$17)),"")</f>
        <v/>
      </c>
      <c r="AG240" s="150">
        <f>IFERROR(IF(AD240="","",IF(AD240&gt;=C240/(1-SKU_Base!AF240)/(1-Settings!$H$17),"OK",IF(AD240&gt;=C240/(1-SKU_Base!AM240)/(1-Settings!$H$17),"WARN","STOP"))),"")</f>
        <v/>
      </c>
    </row>
    <row r="241" ht="17" customHeight="1" s="179">
      <c r="A241" s="146">
        <f>SKU_Base!B241</f>
        <v/>
      </c>
      <c r="B241" s="146">
        <f>SKU_Base!C241</f>
        <v/>
      </c>
      <c r="C241" s="147">
        <f>IFERROR(SKU_Base!I241,"")</f>
        <v/>
      </c>
      <c r="D241" s="164">
        <f>IFERROR(SKU_Base!T241,"")</f>
        <v/>
      </c>
      <c r="E241" s="141">
        <f>IFERROR(SKU_Base!$U241,"")</f>
        <v/>
      </c>
      <c r="F241" s="160">
        <f>IFERROR(ROUND(D241*(1-CHOOSE(MATCH(IF($E241="","Основний",$E241),{"Трафіковий","Основний","Маржинальний","Сезонний","Стратегічний"},0),Settings!$B$78,Settings!$B$80,Settings!$B$82,Settings!$B$84,Settings!$B$86))/6,2)*6,"")</f>
        <v/>
      </c>
      <c r="G241" s="142">
        <f>IFERROR(CHOOSE(MATCH(IF($E241="","Основний",$E241),{"Трафіковий","Основний","Маржинальний","Сезонний","Стратегічний"},0),Settings!$B$78,Settings!$B$80,Settings!$B$82,Settings!$B$84,Settings!$B$86),"")</f>
        <v/>
      </c>
      <c r="H241" s="148">
        <f>IFERROR((F241*(1-Settings!$B$17)-C241)/(F241*(1-Settings!$B$17)),"")</f>
        <v/>
      </c>
      <c r="I241" s="150">
        <f>IFERROR(IF(F241="","",IF(F241&gt;=C241/(1-SKU_Base!Z241)/(1-Settings!$B$17),"OK",IF(F241&gt;=C241/(1-SKU_Base!AG241)/(1-Settings!$B$17),"WARN","STOP"))),"")</f>
        <v/>
      </c>
      <c r="J241" s="160">
        <f>IFERROR(ROUND(D241*(1-CHOOSE(MATCH(IF($E241="","Основний",$E241),{"Трафіковий","Основний","Маржинальний","Сезонний","Стратегічний"},0),Settings!$C$78,Settings!$C$80,Settings!$C$82,Settings!$C$84,Settings!$C$86))/6,2)*6,"")</f>
        <v/>
      </c>
      <c r="K241" s="142">
        <f>IFERROR(CHOOSE(MATCH(IF($E241="","Основний",$E241),{"Трафіковий","Основний","Маржинальний","Сезонний","Стратегічний"},0),Settings!$C$78,Settings!$C$80,Settings!$C$82,Settings!$C$84,Settings!$C$86),"")</f>
        <v/>
      </c>
      <c r="L241" s="148">
        <f>IFERROR((J241*(1-Settings!$C$17)-C241)/(J241*(1-Settings!$C$17)),"")</f>
        <v/>
      </c>
      <c r="M241" s="149">
        <f>IFERROR(IF(J241="","",IF(J241&gt;=C241/(1-SKU_Base!AA241)/(1-Settings!$C$17),"OK",IF(J241&gt;=C241/(1-SKU_Base!AH241)/(1-Settings!$C$17),"WARN","STOP"))),"")</f>
        <v/>
      </c>
      <c r="N241" s="161">
        <f>IFERROR(ROUND(D241*(1-CHOOSE(MATCH(IF($E241="","Основний",$E241),{"Трафіковий","Основний","Маржинальний","Сезонний","Стратегічний"},0),Settings!$D$78,Settings!$D$80,Settings!$D$82,Settings!$D$84,Settings!$D$86))/6,2)*6,"")</f>
        <v/>
      </c>
      <c r="O241" s="142">
        <f>IFERROR(CHOOSE(MATCH(IF($E241="","Основний",$E241),{"Трафіковий","Основний","Маржинальний","Сезонний","Стратегічний"},0),Settings!$D$78,Settings!$D$80,Settings!$D$82,Settings!$D$84,Settings!$D$86),"")</f>
        <v/>
      </c>
      <c r="P241" s="148">
        <f>IFERROR((N241*(1-Settings!$D$17)-C241)/(N241*(1-Settings!$D$17)),"")</f>
        <v/>
      </c>
      <c r="Q241" s="149">
        <f>IFERROR(IF(N241="","",IF(N241&gt;=C241/(1-SKU_Base!AB241)/(1-Settings!$D$17),"OK",IF(N241&gt;=C241/(1-SKU_Base!AI241)/(1-Settings!$D$17),"WARN","STOP"))),"")</f>
        <v/>
      </c>
      <c r="R241" s="161">
        <f>IFERROR(ROUND(D241*(1-CHOOSE(MATCH(IF($E241="","Основний",$E241),{"Трафіковий","Основний","Маржинальний","Сезонний","Стратегічний"},0),Settings!$E$78,Settings!$E$80,Settings!$E$82,Settings!$E$84,Settings!$E$86))/6,2)*6,"")</f>
        <v/>
      </c>
      <c r="S241" s="142">
        <f>IFERROR(CHOOSE(MATCH(IF($E241="","Основний",$E241),{"Трафіковий","Основний","Маржинальний","Сезонний","Стратегічний"},0),Settings!$E$78,Settings!$E$80,Settings!$E$82,Settings!$E$84,Settings!$E$86),"")</f>
        <v/>
      </c>
      <c r="T241" s="148">
        <f>IFERROR((R241*(1-Settings!$E$17)-C241)/(R241*(1-Settings!$E$17)),"")</f>
        <v/>
      </c>
      <c r="U241" s="149">
        <f>IFERROR(IF(R241="","",IF(R241&gt;=C241/(1-SKU_Base!AC241)/(1-Settings!$E$17),"OK",IF(R241&gt;=C241/(1-SKU_Base!AJ241)/(1-Settings!$E$17),"WARN","STOP"))),"")</f>
        <v/>
      </c>
      <c r="V241" s="161">
        <f>IFERROR(ROUND(D241*(1-CHOOSE(MATCH(IF($E241="","Основний",$E241),{"Трафіковий","Основний","Маржинальний","Сезонний","Стратегічний"},0),Settings!$F$78,Settings!$F$80,Settings!$F$82,Settings!$F$84,Settings!$F$86))/6,2)*6,"")</f>
        <v/>
      </c>
      <c r="W241" s="142">
        <f>IFERROR(CHOOSE(MATCH(IF($E241="","Основний",$E241),{"Трафіковий","Основний","Маржинальний","Сезонний","Стратегічний"},0),Settings!$F$78,Settings!$F$80,Settings!$F$82,Settings!$F$84,Settings!$F$86),"")</f>
        <v/>
      </c>
      <c r="X241" s="148">
        <f>IFERROR((V241*(1-Settings!$F$17)-C241)/(V241*(1-Settings!$F$17)),"")</f>
        <v/>
      </c>
      <c r="Y241" s="149">
        <f>IFERROR(IF(V241="","",IF(V241&gt;=C241/(1-SKU_Base!AD241)/(1-Settings!$F$17),"OK",IF(V241&gt;=C241/(1-SKU_Base!AK241)/(1-Settings!$F$17),"WARN","STOP"))),"")</f>
        <v/>
      </c>
      <c r="Z241" s="161">
        <f>IFERROR(ROUND(D241*(1-CHOOSE(MATCH(IF($E241="","Основний",$E241),{"Трафіковий","Основний","Маржинальний","Сезонний","Стратегічний"},0),Settings!$G$78,Settings!$G$80,Settings!$G$82,Settings!$G$84,Settings!$G$86))/6,2)*6,"")</f>
        <v/>
      </c>
      <c r="AA241" s="142">
        <f>IFERROR(CHOOSE(MATCH(IF($E241="","Основний",$E241),{"Трафіковий","Основний","Маржинальний","Сезонний","Стратегічний"},0),Settings!$G$78,Settings!$G$80,Settings!$G$82,Settings!$G$84,Settings!$G$86),"")</f>
        <v/>
      </c>
      <c r="AB241" s="148">
        <f>IFERROR((Z241*(1-Settings!$G$17)-C241)/(Z241*(1-Settings!$G$17)),"")</f>
        <v/>
      </c>
      <c r="AC241" s="149">
        <f>IFERROR(IF(Z241="","",IF(Z241&gt;=C241/(1-SKU_Base!AE241)/(1-Settings!$G$17),"OK",IF(Z241&gt;=C241/(1-SKU_Base!AL241)/(1-Settings!$G$17),"WARN","STOP"))),"")</f>
        <v/>
      </c>
      <c r="AD241" s="161">
        <f>IFERROR(ROUND(D241*(1-CHOOSE(MATCH(IF($E241="","Основний",$E241),{"Трафіковий","Основний","Маржинальний","Сезонний","Стратегічний"},0),Settings!$H$78,Settings!$H$80,Settings!$H$82,Settings!$H$84,Settings!$H$86))*(1-Settings!$H$68)/6,2)*6,"")</f>
        <v/>
      </c>
      <c r="AE241" s="142">
        <f>IFERROR(CHOOSE(MATCH(IF($E241="","Основний",$E241),{"Трафіковий","Основний","Маржинальний","Сезонний","Стратегічний"},0),Settings!$H$78,Settings!$H$80,Settings!$H$82,Settings!$H$84,Settings!$H$86)+(1-(CHOOSE(MATCH(IF($E241="","Основний",$E241),{"Трафіковий","Основний","Маржинальний","Сезонний","Стратегічний"},0),Settings!$H$78,Settings!$H$80,Settings!$H$82,Settings!$H$84,Settings!$H$86)))*Settings!$H$68,"")</f>
        <v/>
      </c>
      <c r="AF241" s="148">
        <f>IFERROR((AD241*(1-Settings!$H$17)-C241)/(AD241*(1-Settings!$H$17)),"")</f>
        <v/>
      </c>
      <c r="AG241" s="150">
        <f>IFERROR(IF(AD241="","",IF(AD241&gt;=C241/(1-SKU_Base!AF241)/(1-Settings!$H$17),"OK",IF(AD241&gt;=C241/(1-SKU_Base!AM241)/(1-Settings!$H$17),"WARN","STOP"))),"")</f>
        <v/>
      </c>
    </row>
    <row r="242" ht="17" customHeight="1" s="179">
      <c r="A242" s="139">
        <f>SKU_Base!B242</f>
        <v/>
      </c>
      <c r="B242" s="139">
        <f>SKU_Base!C242</f>
        <v/>
      </c>
      <c r="C242" s="140">
        <f>IFERROR(SKU_Base!I242,"")</f>
        <v/>
      </c>
      <c r="D242" s="163">
        <f>IFERROR(SKU_Base!T242,"")</f>
        <v/>
      </c>
      <c r="E242" s="141">
        <f>IFERROR(SKU_Base!$U242,"")</f>
        <v/>
      </c>
      <c r="F242" s="158">
        <f>IFERROR(ROUND(D242*(1-CHOOSE(MATCH(IF($E242="","Основний",$E242),{"Трафіковий","Основний","Маржинальний","Сезонний","Стратегічний"},0),Settings!$B$78,Settings!$B$80,Settings!$B$82,Settings!$B$84,Settings!$B$86))/6,2)*6,"")</f>
        <v/>
      </c>
      <c r="G242" s="142">
        <f>IFERROR(CHOOSE(MATCH(IF($E242="","Основний",$E242),{"Трафіковий","Основний","Маржинальний","Сезонний","Стратегічний"},0),Settings!$B$78,Settings!$B$80,Settings!$B$82,Settings!$B$84,Settings!$B$86),"")</f>
        <v/>
      </c>
      <c r="H242" s="143">
        <f>IFERROR((F242*(1-Settings!$B$17)-C242)/(F242*(1-Settings!$B$17)),"")</f>
        <v/>
      </c>
      <c r="I242" s="150">
        <f>IFERROR(IF(F242="","",IF(F242&gt;=C242/(1-SKU_Base!Z242)/(1-Settings!$B$17),"OK",IF(F242&gt;=C242/(1-SKU_Base!AG242)/(1-Settings!$B$17),"WARN","STOP"))),"")</f>
        <v/>
      </c>
      <c r="J242" s="158">
        <f>IFERROR(ROUND(D242*(1-CHOOSE(MATCH(IF($E242="","Основний",$E242),{"Трафіковий","Основний","Маржинальний","Сезонний","Стратегічний"},0),Settings!$C$78,Settings!$C$80,Settings!$C$82,Settings!$C$84,Settings!$C$86))/6,2)*6,"")</f>
        <v/>
      </c>
      <c r="K242" s="142">
        <f>IFERROR(CHOOSE(MATCH(IF($E242="","Основний",$E242),{"Трафіковий","Основний","Маржинальний","Сезонний","Стратегічний"},0),Settings!$C$78,Settings!$C$80,Settings!$C$82,Settings!$C$84,Settings!$C$86),"")</f>
        <v/>
      </c>
      <c r="L242" s="143">
        <f>IFERROR((J242*(1-Settings!$C$17)-C242)/(J242*(1-Settings!$C$17)),"")</f>
        <v/>
      </c>
      <c r="M242" s="149">
        <f>IFERROR(IF(J242="","",IF(J242&gt;=C242/(1-SKU_Base!AA242)/(1-Settings!$C$17),"OK",IF(J242&gt;=C242/(1-SKU_Base!AH242)/(1-Settings!$C$17),"WARN","STOP"))),"")</f>
        <v/>
      </c>
      <c r="N242" s="159">
        <f>IFERROR(ROUND(D242*(1-CHOOSE(MATCH(IF($E242="","Основний",$E242),{"Трафіковий","Основний","Маржинальний","Сезонний","Стратегічний"},0),Settings!$D$78,Settings!$D$80,Settings!$D$82,Settings!$D$84,Settings!$D$86))/6,2)*6,"")</f>
        <v/>
      </c>
      <c r="O242" s="142">
        <f>IFERROR(CHOOSE(MATCH(IF($E242="","Основний",$E242),{"Трафіковий","Основний","Маржинальний","Сезонний","Стратегічний"},0),Settings!$D$78,Settings!$D$80,Settings!$D$82,Settings!$D$84,Settings!$D$86),"")</f>
        <v/>
      </c>
      <c r="P242" s="143">
        <f>IFERROR((N242*(1-Settings!$D$17)-C242)/(N242*(1-Settings!$D$17)),"")</f>
        <v/>
      </c>
      <c r="Q242" s="149">
        <f>IFERROR(IF(N242="","",IF(N242&gt;=C242/(1-SKU_Base!AB242)/(1-Settings!$D$17),"OK",IF(N242&gt;=C242/(1-SKU_Base!AI242)/(1-Settings!$D$17),"WARN","STOP"))),"")</f>
        <v/>
      </c>
      <c r="R242" s="159">
        <f>IFERROR(ROUND(D242*(1-CHOOSE(MATCH(IF($E242="","Основний",$E242),{"Трафіковий","Основний","Маржинальний","Сезонний","Стратегічний"},0),Settings!$E$78,Settings!$E$80,Settings!$E$82,Settings!$E$84,Settings!$E$86))/6,2)*6,"")</f>
        <v/>
      </c>
      <c r="S242" s="142">
        <f>IFERROR(CHOOSE(MATCH(IF($E242="","Основний",$E242),{"Трафіковий","Основний","Маржинальний","Сезонний","Стратегічний"},0),Settings!$E$78,Settings!$E$80,Settings!$E$82,Settings!$E$84,Settings!$E$86),"")</f>
        <v/>
      </c>
      <c r="T242" s="143">
        <f>IFERROR((R242*(1-Settings!$E$17)-C242)/(R242*(1-Settings!$E$17)),"")</f>
        <v/>
      </c>
      <c r="U242" s="149">
        <f>IFERROR(IF(R242="","",IF(R242&gt;=C242/(1-SKU_Base!AC242)/(1-Settings!$E$17),"OK",IF(R242&gt;=C242/(1-SKU_Base!AJ242)/(1-Settings!$E$17),"WARN","STOP"))),"")</f>
        <v/>
      </c>
      <c r="V242" s="159">
        <f>IFERROR(ROUND(D242*(1-CHOOSE(MATCH(IF($E242="","Основний",$E242),{"Трафіковий","Основний","Маржинальний","Сезонний","Стратегічний"},0),Settings!$F$78,Settings!$F$80,Settings!$F$82,Settings!$F$84,Settings!$F$86))/6,2)*6,"")</f>
        <v/>
      </c>
      <c r="W242" s="142">
        <f>IFERROR(CHOOSE(MATCH(IF($E242="","Основний",$E242),{"Трафіковий","Основний","Маржинальний","Сезонний","Стратегічний"},0),Settings!$F$78,Settings!$F$80,Settings!$F$82,Settings!$F$84,Settings!$F$86),"")</f>
        <v/>
      </c>
      <c r="X242" s="143">
        <f>IFERROR((V242*(1-Settings!$F$17)-C242)/(V242*(1-Settings!$F$17)),"")</f>
        <v/>
      </c>
      <c r="Y242" s="149">
        <f>IFERROR(IF(V242="","",IF(V242&gt;=C242/(1-SKU_Base!AD242)/(1-Settings!$F$17),"OK",IF(V242&gt;=C242/(1-SKU_Base!AK242)/(1-Settings!$F$17),"WARN","STOP"))),"")</f>
        <v/>
      </c>
      <c r="Z242" s="159">
        <f>IFERROR(ROUND(D242*(1-CHOOSE(MATCH(IF($E242="","Основний",$E242),{"Трафіковий","Основний","Маржинальний","Сезонний","Стратегічний"},0),Settings!$G$78,Settings!$G$80,Settings!$G$82,Settings!$G$84,Settings!$G$86))/6,2)*6,"")</f>
        <v/>
      </c>
      <c r="AA242" s="142">
        <f>IFERROR(CHOOSE(MATCH(IF($E242="","Основний",$E242),{"Трафіковий","Основний","Маржинальний","Сезонний","Стратегічний"},0),Settings!$G$78,Settings!$G$80,Settings!$G$82,Settings!$G$84,Settings!$G$86),"")</f>
        <v/>
      </c>
      <c r="AB242" s="143">
        <f>IFERROR((Z242*(1-Settings!$G$17)-C242)/(Z242*(1-Settings!$G$17)),"")</f>
        <v/>
      </c>
      <c r="AC242" s="149">
        <f>IFERROR(IF(Z242="","",IF(Z242&gt;=C242/(1-SKU_Base!AE242)/(1-Settings!$G$17),"OK",IF(Z242&gt;=C242/(1-SKU_Base!AL242)/(1-Settings!$G$17),"WARN","STOP"))),"")</f>
        <v/>
      </c>
      <c r="AD242" s="159">
        <f>IFERROR(ROUND(D242*(1-CHOOSE(MATCH(IF($E242="","Основний",$E242),{"Трафіковий","Основний","Маржинальний","Сезонний","Стратегічний"},0),Settings!$H$78,Settings!$H$80,Settings!$H$82,Settings!$H$84,Settings!$H$86))*(1-Settings!$H$68)/6,2)*6,"")</f>
        <v/>
      </c>
      <c r="AE242" s="142">
        <f>IFERROR(CHOOSE(MATCH(IF($E242="","Основний",$E242),{"Трафіковий","Основний","Маржинальний","Сезонний","Стратегічний"},0),Settings!$H$78,Settings!$H$80,Settings!$H$82,Settings!$H$84,Settings!$H$86)+(1-(CHOOSE(MATCH(IF($E242="","Основний",$E242),{"Трафіковий","Основний","Маржинальний","Сезонний","Стратегічний"},0),Settings!$H$78,Settings!$H$80,Settings!$H$82,Settings!$H$84,Settings!$H$86)))*Settings!$H$68,"")</f>
        <v/>
      </c>
      <c r="AF242" s="143">
        <f>IFERROR((AD242*(1-Settings!$H$17)-C242)/(AD242*(1-Settings!$H$17)),"")</f>
        <v/>
      </c>
      <c r="AG242" s="150">
        <f>IFERROR(IF(AD242="","",IF(AD242&gt;=C242/(1-SKU_Base!AF242)/(1-Settings!$H$17),"OK",IF(AD242&gt;=C242/(1-SKU_Base!AM242)/(1-Settings!$H$17),"WARN","STOP"))),"")</f>
        <v/>
      </c>
    </row>
    <row r="243" ht="17" customHeight="1" s="179">
      <c r="A243" s="146">
        <f>SKU_Base!B243</f>
        <v/>
      </c>
      <c r="B243" s="146">
        <f>SKU_Base!C243</f>
        <v/>
      </c>
      <c r="C243" s="147">
        <f>IFERROR(SKU_Base!I243,"")</f>
        <v/>
      </c>
      <c r="D243" s="164">
        <f>IFERROR(SKU_Base!T243,"")</f>
        <v/>
      </c>
      <c r="E243" s="141">
        <f>IFERROR(SKU_Base!$U243,"")</f>
        <v/>
      </c>
      <c r="F243" s="160">
        <f>IFERROR(ROUND(D243*(1-CHOOSE(MATCH(IF($E243="","Основний",$E243),{"Трафіковий","Основний","Маржинальний","Сезонний","Стратегічний"},0),Settings!$B$78,Settings!$B$80,Settings!$B$82,Settings!$B$84,Settings!$B$86))/6,2)*6,"")</f>
        <v/>
      </c>
      <c r="G243" s="142">
        <f>IFERROR(CHOOSE(MATCH(IF($E243="","Основний",$E243),{"Трафіковий","Основний","Маржинальний","Сезонний","Стратегічний"},0),Settings!$B$78,Settings!$B$80,Settings!$B$82,Settings!$B$84,Settings!$B$86),"")</f>
        <v/>
      </c>
      <c r="H243" s="148">
        <f>IFERROR((F243*(1-Settings!$B$17)-C243)/(F243*(1-Settings!$B$17)),"")</f>
        <v/>
      </c>
      <c r="I243" s="149">
        <f>IFERROR(IF(F243="","",IF(F243&gt;=C243/(1-SKU_Base!Z243)/(1-Settings!$B$17),"OK",IF(F243&gt;=C243/(1-SKU_Base!AG243)/(1-Settings!$B$17),"WARN","STOP"))),"")</f>
        <v/>
      </c>
      <c r="J243" s="160">
        <f>IFERROR(ROUND(D243*(1-CHOOSE(MATCH(IF($E243="","Основний",$E243),{"Трафіковий","Основний","Маржинальний","Сезонний","Стратегічний"},0),Settings!$C$78,Settings!$C$80,Settings!$C$82,Settings!$C$84,Settings!$C$86))/6,2)*6,"")</f>
        <v/>
      </c>
      <c r="K243" s="142">
        <f>IFERROR(CHOOSE(MATCH(IF($E243="","Основний",$E243),{"Трафіковий","Основний","Маржинальний","Сезонний","Стратегічний"},0),Settings!$C$78,Settings!$C$80,Settings!$C$82,Settings!$C$84,Settings!$C$86),"")</f>
        <v/>
      </c>
      <c r="L243" s="148">
        <f>IFERROR((J243*(1-Settings!$C$17)-C243)/(J243*(1-Settings!$C$17)),"")</f>
        <v/>
      </c>
      <c r="M243" s="149">
        <f>IFERROR(IF(J243="","",IF(J243&gt;=C243/(1-SKU_Base!AA243)/(1-Settings!$C$17),"OK",IF(J243&gt;=C243/(1-SKU_Base!AH243)/(1-Settings!$C$17),"WARN","STOP"))),"")</f>
        <v/>
      </c>
      <c r="N243" s="161">
        <f>IFERROR(ROUND(D243*(1-CHOOSE(MATCH(IF($E243="","Основний",$E243),{"Трафіковий","Основний","Маржинальний","Сезонний","Стратегічний"},0),Settings!$D$78,Settings!$D$80,Settings!$D$82,Settings!$D$84,Settings!$D$86))/6,2)*6,"")</f>
        <v/>
      </c>
      <c r="O243" s="142">
        <f>IFERROR(CHOOSE(MATCH(IF($E243="","Основний",$E243),{"Трафіковий","Основний","Маржинальний","Сезонний","Стратегічний"},0),Settings!$D$78,Settings!$D$80,Settings!$D$82,Settings!$D$84,Settings!$D$86),"")</f>
        <v/>
      </c>
      <c r="P243" s="148">
        <f>IFERROR((N243*(1-Settings!$D$17)-C243)/(N243*(1-Settings!$D$17)),"")</f>
        <v/>
      </c>
      <c r="Q243" s="149">
        <f>IFERROR(IF(N243="","",IF(N243&gt;=C243/(1-SKU_Base!AB243)/(1-Settings!$D$17),"OK",IF(N243&gt;=C243/(1-SKU_Base!AI243)/(1-Settings!$D$17),"WARN","STOP"))),"")</f>
        <v/>
      </c>
      <c r="R243" s="161">
        <f>IFERROR(ROUND(D243*(1-CHOOSE(MATCH(IF($E243="","Основний",$E243),{"Трафіковий","Основний","Маржинальний","Сезонний","Стратегічний"},0),Settings!$E$78,Settings!$E$80,Settings!$E$82,Settings!$E$84,Settings!$E$86))/6,2)*6,"")</f>
        <v/>
      </c>
      <c r="S243" s="142">
        <f>IFERROR(CHOOSE(MATCH(IF($E243="","Основний",$E243),{"Трафіковий","Основний","Маржинальний","Сезонний","Стратегічний"},0),Settings!$E$78,Settings!$E$80,Settings!$E$82,Settings!$E$84,Settings!$E$86),"")</f>
        <v/>
      </c>
      <c r="T243" s="148">
        <f>IFERROR((R243*(1-Settings!$E$17)-C243)/(R243*(1-Settings!$E$17)),"")</f>
        <v/>
      </c>
      <c r="U243" s="149">
        <f>IFERROR(IF(R243="","",IF(R243&gt;=C243/(1-SKU_Base!AC243)/(1-Settings!$E$17),"OK",IF(R243&gt;=C243/(1-SKU_Base!AJ243)/(1-Settings!$E$17),"WARN","STOP"))),"")</f>
        <v/>
      </c>
      <c r="V243" s="161">
        <f>IFERROR(ROUND(D243*(1-CHOOSE(MATCH(IF($E243="","Основний",$E243),{"Трафіковий","Основний","Маржинальний","Сезонний","Стратегічний"},0),Settings!$F$78,Settings!$F$80,Settings!$F$82,Settings!$F$84,Settings!$F$86))/6,2)*6,"")</f>
        <v/>
      </c>
      <c r="W243" s="142">
        <f>IFERROR(CHOOSE(MATCH(IF($E243="","Основний",$E243),{"Трафіковий","Основний","Маржинальний","Сезонний","Стратегічний"},0),Settings!$F$78,Settings!$F$80,Settings!$F$82,Settings!$F$84,Settings!$F$86),"")</f>
        <v/>
      </c>
      <c r="X243" s="148">
        <f>IFERROR((V243*(1-Settings!$F$17)-C243)/(V243*(1-Settings!$F$17)),"")</f>
        <v/>
      </c>
      <c r="Y243" s="149">
        <f>IFERROR(IF(V243="","",IF(V243&gt;=C243/(1-SKU_Base!AD243)/(1-Settings!$F$17),"OK",IF(V243&gt;=C243/(1-SKU_Base!AK243)/(1-Settings!$F$17),"WARN","STOP"))),"")</f>
        <v/>
      </c>
      <c r="Z243" s="161">
        <f>IFERROR(ROUND(D243*(1-CHOOSE(MATCH(IF($E243="","Основний",$E243),{"Трафіковий","Основний","Маржинальний","Сезонний","Стратегічний"},0),Settings!$G$78,Settings!$G$80,Settings!$G$82,Settings!$G$84,Settings!$G$86))/6,2)*6,"")</f>
        <v/>
      </c>
      <c r="AA243" s="142">
        <f>IFERROR(CHOOSE(MATCH(IF($E243="","Основний",$E243),{"Трафіковий","Основний","Маржинальний","Сезонний","Стратегічний"},0),Settings!$G$78,Settings!$G$80,Settings!$G$82,Settings!$G$84,Settings!$G$86),"")</f>
        <v/>
      </c>
      <c r="AB243" s="148">
        <f>IFERROR((Z243*(1-Settings!$G$17)-C243)/(Z243*(1-Settings!$G$17)),"")</f>
        <v/>
      </c>
      <c r="AC243" s="149">
        <f>IFERROR(IF(Z243="","",IF(Z243&gt;=C243/(1-SKU_Base!AE243)/(1-Settings!$G$17),"OK",IF(Z243&gt;=C243/(1-SKU_Base!AL243)/(1-Settings!$G$17),"WARN","STOP"))),"")</f>
        <v/>
      </c>
      <c r="AD243" s="161">
        <f>IFERROR(ROUND(D243*(1-CHOOSE(MATCH(IF($E243="","Основний",$E243),{"Трафіковий","Основний","Маржинальний","Сезонний","Стратегічний"},0),Settings!$H$78,Settings!$H$80,Settings!$H$82,Settings!$H$84,Settings!$H$86))*(1-Settings!$H$68)/6,2)*6,"")</f>
        <v/>
      </c>
      <c r="AE243" s="142">
        <f>IFERROR(CHOOSE(MATCH(IF($E243="","Основний",$E243),{"Трафіковий","Основний","Маржинальний","Сезонний","Стратегічний"},0),Settings!$H$78,Settings!$H$80,Settings!$H$82,Settings!$H$84,Settings!$H$86)+(1-(CHOOSE(MATCH(IF($E243="","Основний",$E243),{"Трафіковий","Основний","Маржинальний","Сезонний","Стратегічний"},0),Settings!$H$78,Settings!$H$80,Settings!$H$82,Settings!$H$84,Settings!$H$86)))*Settings!$H$68,"")</f>
        <v/>
      </c>
      <c r="AF243" s="148">
        <f>IFERROR((AD243*(1-Settings!$H$17)-C243)/(AD243*(1-Settings!$H$17)),"")</f>
        <v/>
      </c>
      <c r="AG243" s="150">
        <f>IFERROR(IF(AD243="","",IF(AD243&gt;=C243/(1-SKU_Base!AF243)/(1-Settings!$H$17),"OK",IF(AD243&gt;=C243/(1-SKU_Base!AM243)/(1-Settings!$H$17),"WARN","STOP"))),"")</f>
        <v/>
      </c>
    </row>
    <row r="244" ht="17" customHeight="1" s="179">
      <c r="A244" s="139">
        <f>SKU_Base!B244</f>
        <v/>
      </c>
      <c r="B244" s="139">
        <f>SKU_Base!C244</f>
        <v/>
      </c>
      <c r="C244" s="140">
        <f>IFERROR(SKU_Base!I244,"")</f>
        <v/>
      </c>
      <c r="D244" s="163">
        <f>IFERROR(SKU_Base!T244,"")</f>
        <v/>
      </c>
      <c r="E244" s="141">
        <f>IFERROR(SKU_Base!$U244,"")</f>
        <v/>
      </c>
      <c r="F244" s="158">
        <f>IFERROR(ROUND(D244*(1-CHOOSE(MATCH(IF($E244="","Основний",$E244),{"Трафіковий","Основний","Маржинальний","Сезонний","Стратегічний"},0),Settings!$B$78,Settings!$B$80,Settings!$B$82,Settings!$B$84,Settings!$B$86))/6,2)*6,"")</f>
        <v/>
      </c>
      <c r="G244" s="142">
        <f>IFERROR(CHOOSE(MATCH(IF($E244="","Основний",$E244),{"Трафіковий","Основний","Маржинальний","Сезонний","Стратегічний"},0),Settings!$B$78,Settings!$B$80,Settings!$B$82,Settings!$B$84,Settings!$B$86),"")</f>
        <v/>
      </c>
      <c r="H244" s="143">
        <f>IFERROR((F244*(1-Settings!$B$17)-C244)/(F244*(1-Settings!$B$17)),"")</f>
        <v/>
      </c>
      <c r="I244" s="149">
        <f>IFERROR(IF(F244="","",IF(F244&gt;=C244/(1-SKU_Base!Z244)/(1-Settings!$B$17),"OK",IF(F244&gt;=C244/(1-SKU_Base!AG244)/(1-Settings!$B$17),"WARN","STOP"))),"")</f>
        <v/>
      </c>
      <c r="J244" s="158">
        <f>IFERROR(ROUND(D244*(1-CHOOSE(MATCH(IF($E244="","Основний",$E244),{"Трафіковий","Основний","Маржинальний","Сезонний","Стратегічний"},0),Settings!$C$78,Settings!$C$80,Settings!$C$82,Settings!$C$84,Settings!$C$86))/6,2)*6,"")</f>
        <v/>
      </c>
      <c r="K244" s="142">
        <f>IFERROR(CHOOSE(MATCH(IF($E244="","Основний",$E244),{"Трафіковий","Основний","Маржинальний","Сезонний","Стратегічний"},0),Settings!$C$78,Settings!$C$80,Settings!$C$82,Settings!$C$84,Settings!$C$86),"")</f>
        <v/>
      </c>
      <c r="L244" s="143">
        <f>IFERROR((J244*(1-Settings!$C$17)-C244)/(J244*(1-Settings!$C$17)),"")</f>
        <v/>
      </c>
      <c r="M244" s="149">
        <f>IFERROR(IF(J244="","",IF(J244&gt;=C244/(1-SKU_Base!AA244)/(1-Settings!$C$17),"OK",IF(J244&gt;=C244/(1-SKU_Base!AH244)/(1-Settings!$C$17),"WARN","STOP"))),"")</f>
        <v/>
      </c>
      <c r="N244" s="159">
        <f>IFERROR(ROUND(D244*(1-CHOOSE(MATCH(IF($E244="","Основний",$E244),{"Трафіковий","Основний","Маржинальний","Сезонний","Стратегічний"},0),Settings!$D$78,Settings!$D$80,Settings!$D$82,Settings!$D$84,Settings!$D$86))/6,2)*6,"")</f>
        <v/>
      </c>
      <c r="O244" s="142">
        <f>IFERROR(CHOOSE(MATCH(IF($E244="","Основний",$E244),{"Трафіковий","Основний","Маржинальний","Сезонний","Стратегічний"},0),Settings!$D$78,Settings!$D$80,Settings!$D$82,Settings!$D$84,Settings!$D$86),"")</f>
        <v/>
      </c>
      <c r="P244" s="143">
        <f>IFERROR((N244*(1-Settings!$D$17)-C244)/(N244*(1-Settings!$D$17)),"")</f>
        <v/>
      </c>
      <c r="Q244" s="149">
        <f>IFERROR(IF(N244="","",IF(N244&gt;=C244/(1-SKU_Base!AB244)/(1-Settings!$D$17),"OK",IF(N244&gt;=C244/(1-SKU_Base!AI244)/(1-Settings!$D$17),"WARN","STOP"))),"")</f>
        <v/>
      </c>
      <c r="R244" s="159">
        <f>IFERROR(ROUND(D244*(1-CHOOSE(MATCH(IF($E244="","Основний",$E244),{"Трафіковий","Основний","Маржинальний","Сезонний","Стратегічний"},0),Settings!$E$78,Settings!$E$80,Settings!$E$82,Settings!$E$84,Settings!$E$86))/6,2)*6,"")</f>
        <v/>
      </c>
      <c r="S244" s="142">
        <f>IFERROR(CHOOSE(MATCH(IF($E244="","Основний",$E244),{"Трафіковий","Основний","Маржинальний","Сезонний","Стратегічний"},0),Settings!$E$78,Settings!$E$80,Settings!$E$82,Settings!$E$84,Settings!$E$86),"")</f>
        <v/>
      </c>
      <c r="T244" s="143">
        <f>IFERROR((R244*(1-Settings!$E$17)-C244)/(R244*(1-Settings!$E$17)),"")</f>
        <v/>
      </c>
      <c r="U244" s="149">
        <f>IFERROR(IF(R244="","",IF(R244&gt;=C244/(1-SKU_Base!AC244)/(1-Settings!$E$17),"OK",IF(R244&gt;=C244/(1-SKU_Base!AJ244)/(1-Settings!$E$17),"WARN","STOP"))),"")</f>
        <v/>
      </c>
      <c r="V244" s="159">
        <f>IFERROR(ROUND(D244*(1-CHOOSE(MATCH(IF($E244="","Основний",$E244),{"Трафіковий","Основний","Маржинальний","Сезонний","Стратегічний"},0),Settings!$F$78,Settings!$F$80,Settings!$F$82,Settings!$F$84,Settings!$F$86))/6,2)*6,"")</f>
        <v/>
      </c>
      <c r="W244" s="142">
        <f>IFERROR(CHOOSE(MATCH(IF($E244="","Основний",$E244),{"Трафіковий","Основний","Маржинальний","Сезонний","Стратегічний"},0),Settings!$F$78,Settings!$F$80,Settings!$F$82,Settings!$F$84,Settings!$F$86),"")</f>
        <v/>
      </c>
      <c r="X244" s="143">
        <f>IFERROR((V244*(1-Settings!$F$17)-C244)/(V244*(1-Settings!$F$17)),"")</f>
        <v/>
      </c>
      <c r="Y244" s="149">
        <f>IFERROR(IF(V244="","",IF(V244&gt;=C244/(1-SKU_Base!AD244)/(1-Settings!$F$17),"OK",IF(V244&gt;=C244/(1-SKU_Base!AK244)/(1-Settings!$F$17),"WARN","STOP"))),"")</f>
        <v/>
      </c>
      <c r="Z244" s="159">
        <f>IFERROR(ROUND(D244*(1-CHOOSE(MATCH(IF($E244="","Основний",$E244),{"Трафіковий","Основний","Маржинальний","Сезонний","Стратегічний"},0),Settings!$G$78,Settings!$G$80,Settings!$G$82,Settings!$G$84,Settings!$G$86))/6,2)*6,"")</f>
        <v/>
      </c>
      <c r="AA244" s="142">
        <f>IFERROR(CHOOSE(MATCH(IF($E244="","Основний",$E244),{"Трафіковий","Основний","Маржинальний","Сезонний","Стратегічний"},0),Settings!$G$78,Settings!$G$80,Settings!$G$82,Settings!$G$84,Settings!$G$86),"")</f>
        <v/>
      </c>
      <c r="AB244" s="143">
        <f>IFERROR((Z244*(1-Settings!$G$17)-C244)/(Z244*(1-Settings!$G$17)),"")</f>
        <v/>
      </c>
      <c r="AC244" s="149">
        <f>IFERROR(IF(Z244="","",IF(Z244&gt;=C244/(1-SKU_Base!AE244)/(1-Settings!$G$17),"OK",IF(Z244&gt;=C244/(1-SKU_Base!AL244)/(1-Settings!$G$17),"WARN","STOP"))),"")</f>
        <v/>
      </c>
      <c r="AD244" s="159">
        <f>IFERROR(ROUND(D244*(1-CHOOSE(MATCH(IF($E244="","Основний",$E244),{"Трафіковий","Основний","Маржинальний","Сезонний","Стратегічний"},0),Settings!$H$78,Settings!$H$80,Settings!$H$82,Settings!$H$84,Settings!$H$86))*(1-Settings!$H$68)/6,2)*6,"")</f>
        <v/>
      </c>
      <c r="AE244" s="142">
        <f>IFERROR(CHOOSE(MATCH(IF($E244="","Основний",$E244),{"Трафіковий","Основний","Маржинальний","Сезонний","Стратегічний"},0),Settings!$H$78,Settings!$H$80,Settings!$H$82,Settings!$H$84,Settings!$H$86)+(1-(CHOOSE(MATCH(IF($E244="","Основний",$E244),{"Трафіковий","Основний","Маржинальний","Сезонний","Стратегічний"},0),Settings!$H$78,Settings!$H$80,Settings!$H$82,Settings!$H$84,Settings!$H$86)))*Settings!$H$68,"")</f>
        <v/>
      </c>
      <c r="AF244" s="143">
        <f>IFERROR((AD244*(1-Settings!$H$17)-C244)/(AD244*(1-Settings!$H$17)),"")</f>
        <v/>
      </c>
      <c r="AG244" s="149">
        <f>IFERROR(IF(AD244="","",IF(AD244&gt;=C244/(1-SKU_Base!AF244)/(1-Settings!$H$17),"OK",IF(AD244&gt;=C244/(1-SKU_Base!AM244)/(1-Settings!$H$17),"WARN","STOP"))),"")</f>
        <v/>
      </c>
    </row>
    <row r="245" ht="17" customHeight="1" s="179">
      <c r="A245" s="146">
        <f>SKU_Base!B245</f>
        <v/>
      </c>
      <c r="B245" s="146">
        <f>SKU_Base!C245</f>
        <v/>
      </c>
      <c r="C245" s="147">
        <f>IFERROR(SKU_Base!I245,"")</f>
        <v/>
      </c>
      <c r="D245" s="164">
        <f>IFERROR(SKU_Base!T245,"")</f>
        <v/>
      </c>
      <c r="E245" s="141">
        <f>IFERROR(SKU_Base!$U245,"")</f>
        <v/>
      </c>
      <c r="F245" s="160">
        <f>IFERROR(ROUND(D245*(1-CHOOSE(MATCH(IF($E245="","Основний",$E245),{"Трафіковий","Основний","Маржинальний","Сезонний","Стратегічний"},0),Settings!$B$78,Settings!$B$80,Settings!$B$82,Settings!$B$84,Settings!$B$86))/6,2)*6,"")</f>
        <v/>
      </c>
      <c r="G245" s="142">
        <f>IFERROR(CHOOSE(MATCH(IF($E245="","Основний",$E245),{"Трафіковий","Основний","Маржинальний","Сезонний","Стратегічний"},0),Settings!$B$78,Settings!$B$80,Settings!$B$82,Settings!$B$84,Settings!$B$86),"")</f>
        <v/>
      </c>
      <c r="H245" s="148">
        <f>IFERROR((F245*(1-Settings!$B$17)-C245)/(F245*(1-Settings!$B$17)),"")</f>
        <v/>
      </c>
      <c r="I245" s="149">
        <f>IFERROR(IF(F245="","",IF(F245&gt;=C245/(1-SKU_Base!Z245)/(1-Settings!$B$17),"OK",IF(F245&gt;=C245/(1-SKU_Base!AG245)/(1-Settings!$B$17),"WARN","STOP"))),"")</f>
        <v/>
      </c>
      <c r="J245" s="160">
        <f>IFERROR(ROUND(D245*(1-CHOOSE(MATCH(IF($E245="","Основний",$E245),{"Трафіковий","Основний","Маржинальний","Сезонний","Стратегічний"},0),Settings!$C$78,Settings!$C$80,Settings!$C$82,Settings!$C$84,Settings!$C$86))/6,2)*6,"")</f>
        <v/>
      </c>
      <c r="K245" s="142">
        <f>IFERROR(CHOOSE(MATCH(IF($E245="","Основний",$E245),{"Трафіковий","Основний","Маржинальний","Сезонний","Стратегічний"},0),Settings!$C$78,Settings!$C$80,Settings!$C$82,Settings!$C$84,Settings!$C$86),"")</f>
        <v/>
      </c>
      <c r="L245" s="148">
        <f>IFERROR((J245*(1-Settings!$C$17)-C245)/(J245*(1-Settings!$C$17)),"")</f>
        <v/>
      </c>
      <c r="M245" s="149">
        <f>IFERROR(IF(J245="","",IF(J245&gt;=C245/(1-SKU_Base!AA245)/(1-Settings!$C$17),"OK",IF(J245&gt;=C245/(1-SKU_Base!AH245)/(1-Settings!$C$17),"WARN","STOP"))),"")</f>
        <v/>
      </c>
      <c r="N245" s="161">
        <f>IFERROR(ROUND(D245*(1-CHOOSE(MATCH(IF($E245="","Основний",$E245),{"Трафіковий","Основний","Маржинальний","Сезонний","Стратегічний"},0),Settings!$D$78,Settings!$D$80,Settings!$D$82,Settings!$D$84,Settings!$D$86))/6,2)*6,"")</f>
        <v/>
      </c>
      <c r="O245" s="142">
        <f>IFERROR(CHOOSE(MATCH(IF($E245="","Основний",$E245),{"Трафіковий","Основний","Маржинальний","Сезонний","Стратегічний"},0),Settings!$D$78,Settings!$D$80,Settings!$D$82,Settings!$D$84,Settings!$D$86),"")</f>
        <v/>
      </c>
      <c r="P245" s="148">
        <f>IFERROR((N245*(1-Settings!$D$17)-C245)/(N245*(1-Settings!$D$17)),"")</f>
        <v/>
      </c>
      <c r="Q245" s="149">
        <f>IFERROR(IF(N245="","",IF(N245&gt;=C245/(1-SKU_Base!AB245)/(1-Settings!$D$17),"OK",IF(N245&gt;=C245/(1-SKU_Base!AI245)/(1-Settings!$D$17),"WARN","STOP"))),"")</f>
        <v/>
      </c>
      <c r="R245" s="161">
        <f>IFERROR(ROUND(D245*(1-CHOOSE(MATCH(IF($E245="","Основний",$E245),{"Трафіковий","Основний","Маржинальний","Сезонний","Стратегічний"},0),Settings!$E$78,Settings!$E$80,Settings!$E$82,Settings!$E$84,Settings!$E$86))/6,2)*6,"")</f>
        <v/>
      </c>
      <c r="S245" s="142">
        <f>IFERROR(CHOOSE(MATCH(IF($E245="","Основний",$E245),{"Трафіковий","Основний","Маржинальний","Сезонний","Стратегічний"},0),Settings!$E$78,Settings!$E$80,Settings!$E$82,Settings!$E$84,Settings!$E$86),"")</f>
        <v/>
      </c>
      <c r="T245" s="148">
        <f>IFERROR((R245*(1-Settings!$E$17)-C245)/(R245*(1-Settings!$E$17)),"")</f>
        <v/>
      </c>
      <c r="U245" s="149">
        <f>IFERROR(IF(R245="","",IF(R245&gt;=C245/(1-SKU_Base!AC245)/(1-Settings!$E$17),"OK",IF(R245&gt;=C245/(1-SKU_Base!AJ245)/(1-Settings!$E$17),"WARN","STOP"))),"")</f>
        <v/>
      </c>
      <c r="V245" s="161">
        <f>IFERROR(ROUND(D245*(1-CHOOSE(MATCH(IF($E245="","Основний",$E245),{"Трафіковий","Основний","Маржинальний","Сезонний","Стратегічний"},0),Settings!$F$78,Settings!$F$80,Settings!$F$82,Settings!$F$84,Settings!$F$86))/6,2)*6,"")</f>
        <v/>
      </c>
      <c r="W245" s="142">
        <f>IFERROR(CHOOSE(MATCH(IF($E245="","Основний",$E245),{"Трафіковий","Основний","Маржинальний","Сезонний","Стратегічний"},0),Settings!$F$78,Settings!$F$80,Settings!$F$82,Settings!$F$84,Settings!$F$86),"")</f>
        <v/>
      </c>
      <c r="X245" s="148">
        <f>IFERROR((V245*(1-Settings!$F$17)-C245)/(V245*(1-Settings!$F$17)),"")</f>
        <v/>
      </c>
      <c r="Y245" s="149">
        <f>IFERROR(IF(V245="","",IF(V245&gt;=C245/(1-SKU_Base!AD245)/(1-Settings!$F$17),"OK",IF(V245&gt;=C245/(1-SKU_Base!AK245)/(1-Settings!$F$17),"WARN","STOP"))),"")</f>
        <v/>
      </c>
      <c r="Z245" s="161">
        <f>IFERROR(ROUND(D245*(1-CHOOSE(MATCH(IF($E245="","Основний",$E245),{"Трафіковий","Основний","Маржинальний","Сезонний","Стратегічний"},0),Settings!$G$78,Settings!$G$80,Settings!$G$82,Settings!$G$84,Settings!$G$86))/6,2)*6,"")</f>
        <v/>
      </c>
      <c r="AA245" s="142">
        <f>IFERROR(CHOOSE(MATCH(IF($E245="","Основний",$E245),{"Трафіковий","Основний","Маржинальний","Сезонний","Стратегічний"},0),Settings!$G$78,Settings!$G$80,Settings!$G$82,Settings!$G$84,Settings!$G$86),"")</f>
        <v/>
      </c>
      <c r="AB245" s="148">
        <f>IFERROR((Z245*(1-Settings!$G$17)-C245)/(Z245*(1-Settings!$G$17)),"")</f>
        <v/>
      </c>
      <c r="AC245" s="149">
        <f>IFERROR(IF(Z245="","",IF(Z245&gt;=C245/(1-SKU_Base!AE245)/(1-Settings!$G$17),"OK",IF(Z245&gt;=C245/(1-SKU_Base!AL245)/(1-Settings!$G$17),"WARN","STOP"))),"")</f>
        <v/>
      </c>
      <c r="AD245" s="161">
        <f>IFERROR(ROUND(D245*(1-CHOOSE(MATCH(IF($E245="","Основний",$E245),{"Трафіковий","Основний","Маржинальний","Сезонний","Стратегічний"},0),Settings!$H$78,Settings!$H$80,Settings!$H$82,Settings!$H$84,Settings!$H$86))*(1-Settings!$H$68)/6,2)*6,"")</f>
        <v/>
      </c>
      <c r="AE245" s="142">
        <f>IFERROR(CHOOSE(MATCH(IF($E245="","Основний",$E245),{"Трафіковий","Основний","Маржинальний","Сезонний","Стратегічний"},0),Settings!$H$78,Settings!$H$80,Settings!$H$82,Settings!$H$84,Settings!$H$86)+(1-(CHOOSE(MATCH(IF($E245="","Основний",$E245),{"Трафіковий","Основний","Маржинальний","Сезонний","Стратегічний"},0),Settings!$H$78,Settings!$H$80,Settings!$H$82,Settings!$H$84,Settings!$H$86)))*Settings!$H$68,"")</f>
        <v/>
      </c>
      <c r="AF245" s="148">
        <f>IFERROR((AD245*(1-Settings!$H$17)-C245)/(AD245*(1-Settings!$H$17)),"")</f>
        <v/>
      </c>
      <c r="AG245" s="150">
        <f>IFERROR(IF(AD245="","",IF(AD245&gt;=C245/(1-SKU_Base!AF245)/(1-Settings!$H$17),"OK",IF(AD245&gt;=C245/(1-SKU_Base!AM245)/(1-Settings!$H$17),"WARN","STOP"))),"")</f>
        <v/>
      </c>
    </row>
    <row r="246" ht="17" customHeight="1" s="179">
      <c r="A246" s="139">
        <f>SKU_Base!B246</f>
        <v/>
      </c>
      <c r="B246" s="139">
        <f>SKU_Base!C246</f>
        <v/>
      </c>
      <c r="C246" s="140">
        <f>IFERROR(SKU_Base!I246,"")</f>
        <v/>
      </c>
      <c r="D246" s="163">
        <f>IFERROR(SKU_Base!T246,"")</f>
        <v/>
      </c>
      <c r="E246" s="141">
        <f>IFERROR(SKU_Base!$U246,"")</f>
        <v/>
      </c>
      <c r="F246" s="158">
        <f>IFERROR(ROUND(D246*(1-CHOOSE(MATCH(IF($E246="","Основний",$E246),{"Трафіковий","Основний","Маржинальний","Сезонний","Стратегічний"},0),Settings!$B$78,Settings!$B$80,Settings!$B$82,Settings!$B$84,Settings!$B$86))/6,2)*6,"")</f>
        <v/>
      </c>
      <c r="G246" s="142">
        <f>IFERROR(CHOOSE(MATCH(IF($E246="","Основний",$E246),{"Трафіковий","Основний","Маржинальний","Сезонний","Стратегічний"},0),Settings!$B$78,Settings!$B$80,Settings!$B$82,Settings!$B$84,Settings!$B$86),"")</f>
        <v/>
      </c>
      <c r="H246" s="143">
        <f>IFERROR((F246*(1-Settings!$B$17)-C246)/(F246*(1-Settings!$B$17)),"")</f>
        <v/>
      </c>
      <c r="I246" s="149">
        <f>IFERROR(IF(F246="","",IF(F246&gt;=C246/(1-SKU_Base!Z246)/(1-Settings!$B$17),"OK",IF(F246&gt;=C246/(1-SKU_Base!AG246)/(1-Settings!$B$17),"WARN","STOP"))),"")</f>
        <v/>
      </c>
      <c r="J246" s="158">
        <f>IFERROR(ROUND(D246*(1-CHOOSE(MATCH(IF($E246="","Основний",$E246),{"Трафіковий","Основний","Маржинальний","Сезонний","Стратегічний"},0),Settings!$C$78,Settings!$C$80,Settings!$C$82,Settings!$C$84,Settings!$C$86))/6,2)*6,"")</f>
        <v/>
      </c>
      <c r="K246" s="142">
        <f>IFERROR(CHOOSE(MATCH(IF($E246="","Основний",$E246),{"Трафіковий","Основний","Маржинальний","Сезонний","Стратегічний"},0),Settings!$C$78,Settings!$C$80,Settings!$C$82,Settings!$C$84,Settings!$C$86),"")</f>
        <v/>
      </c>
      <c r="L246" s="143">
        <f>IFERROR((J246*(1-Settings!$C$17)-C246)/(J246*(1-Settings!$C$17)),"")</f>
        <v/>
      </c>
      <c r="M246" s="149">
        <f>IFERROR(IF(J246="","",IF(J246&gt;=C246/(1-SKU_Base!AA246)/(1-Settings!$C$17),"OK",IF(J246&gt;=C246/(1-SKU_Base!AH246)/(1-Settings!$C$17),"WARN","STOP"))),"")</f>
        <v/>
      </c>
      <c r="N246" s="159">
        <f>IFERROR(ROUND(D246*(1-CHOOSE(MATCH(IF($E246="","Основний",$E246),{"Трафіковий","Основний","Маржинальний","Сезонний","Стратегічний"},0),Settings!$D$78,Settings!$D$80,Settings!$D$82,Settings!$D$84,Settings!$D$86))/6,2)*6,"")</f>
        <v/>
      </c>
      <c r="O246" s="142">
        <f>IFERROR(CHOOSE(MATCH(IF($E246="","Основний",$E246),{"Трафіковий","Основний","Маржинальний","Сезонний","Стратегічний"},0),Settings!$D$78,Settings!$D$80,Settings!$D$82,Settings!$D$84,Settings!$D$86),"")</f>
        <v/>
      </c>
      <c r="P246" s="143">
        <f>IFERROR((N246*(1-Settings!$D$17)-C246)/(N246*(1-Settings!$D$17)),"")</f>
        <v/>
      </c>
      <c r="Q246" s="149">
        <f>IFERROR(IF(N246="","",IF(N246&gt;=C246/(1-SKU_Base!AB246)/(1-Settings!$D$17),"OK",IF(N246&gt;=C246/(1-SKU_Base!AI246)/(1-Settings!$D$17),"WARN","STOP"))),"")</f>
        <v/>
      </c>
      <c r="R246" s="159">
        <f>IFERROR(ROUND(D246*(1-CHOOSE(MATCH(IF($E246="","Основний",$E246),{"Трафіковий","Основний","Маржинальний","Сезонний","Стратегічний"},0),Settings!$E$78,Settings!$E$80,Settings!$E$82,Settings!$E$84,Settings!$E$86))/6,2)*6,"")</f>
        <v/>
      </c>
      <c r="S246" s="142">
        <f>IFERROR(CHOOSE(MATCH(IF($E246="","Основний",$E246),{"Трафіковий","Основний","Маржинальний","Сезонний","Стратегічний"},0),Settings!$E$78,Settings!$E$80,Settings!$E$82,Settings!$E$84,Settings!$E$86),"")</f>
        <v/>
      </c>
      <c r="T246" s="143">
        <f>IFERROR((R246*(1-Settings!$E$17)-C246)/(R246*(1-Settings!$E$17)),"")</f>
        <v/>
      </c>
      <c r="U246" s="149">
        <f>IFERROR(IF(R246="","",IF(R246&gt;=C246/(1-SKU_Base!AC246)/(1-Settings!$E$17),"OK",IF(R246&gt;=C246/(1-SKU_Base!AJ246)/(1-Settings!$E$17),"WARN","STOP"))),"")</f>
        <v/>
      </c>
      <c r="V246" s="159">
        <f>IFERROR(ROUND(D246*(1-CHOOSE(MATCH(IF($E246="","Основний",$E246),{"Трафіковий","Основний","Маржинальний","Сезонний","Стратегічний"},0),Settings!$F$78,Settings!$F$80,Settings!$F$82,Settings!$F$84,Settings!$F$86))/6,2)*6,"")</f>
        <v/>
      </c>
      <c r="W246" s="142">
        <f>IFERROR(CHOOSE(MATCH(IF($E246="","Основний",$E246),{"Трафіковий","Основний","Маржинальний","Сезонний","Стратегічний"},0),Settings!$F$78,Settings!$F$80,Settings!$F$82,Settings!$F$84,Settings!$F$86),"")</f>
        <v/>
      </c>
      <c r="X246" s="143">
        <f>IFERROR((V246*(1-Settings!$F$17)-C246)/(V246*(1-Settings!$F$17)),"")</f>
        <v/>
      </c>
      <c r="Y246" s="149">
        <f>IFERROR(IF(V246="","",IF(V246&gt;=C246/(1-SKU_Base!AD246)/(1-Settings!$F$17),"OK",IF(V246&gt;=C246/(1-SKU_Base!AK246)/(1-Settings!$F$17),"WARN","STOP"))),"")</f>
        <v/>
      </c>
      <c r="Z246" s="159">
        <f>IFERROR(ROUND(D246*(1-CHOOSE(MATCH(IF($E246="","Основний",$E246),{"Трафіковий","Основний","Маржинальний","Сезонний","Стратегічний"},0),Settings!$G$78,Settings!$G$80,Settings!$G$82,Settings!$G$84,Settings!$G$86))/6,2)*6,"")</f>
        <v/>
      </c>
      <c r="AA246" s="142">
        <f>IFERROR(CHOOSE(MATCH(IF($E246="","Основний",$E246),{"Трафіковий","Основний","Маржинальний","Сезонний","Стратегічний"},0),Settings!$G$78,Settings!$G$80,Settings!$G$82,Settings!$G$84,Settings!$G$86),"")</f>
        <v/>
      </c>
      <c r="AB246" s="143">
        <f>IFERROR((Z246*(1-Settings!$G$17)-C246)/(Z246*(1-Settings!$G$17)),"")</f>
        <v/>
      </c>
      <c r="AC246" s="149">
        <f>IFERROR(IF(Z246="","",IF(Z246&gt;=C246/(1-SKU_Base!AE246)/(1-Settings!$G$17),"OK",IF(Z246&gt;=C246/(1-SKU_Base!AL246)/(1-Settings!$G$17),"WARN","STOP"))),"")</f>
        <v/>
      </c>
      <c r="AD246" s="159">
        <f>IFERROR(ROUND(D246*(1-CHOOSE(MATCH(IF($E246="","Основний",$E246),{"Трафіковий","Основний","Маржинальний","Сезонний","Стратегічний"},0),Settings!$H$78,Settings!$H$80,Settings!$H$82,Settings!$H$84,Settings!$H$86))*(1-Settings!$H$68)/6,2)*6,"")</f>
        <v/>
      </c>
      <c r="AE246" s="142">
        <f>IFERROR(CHOOSE(MATCH(IF($E246="","Основний",$E246),{"Трафіковий","Основний","Маржинальний","Сезонний","Стратегічний"},0),Settings!$H$78,Settings!$H$80,Settings!$H$82,Settings!$H$84,Settings!$H$86)+(1-(CHOOSE(MATCH(IF($E246="","Основний",$E246),{"Трафіковий","Основний","Маржинальний","Сезонний","Стратегічний"},0),Settings!$H$78,Settings!$H$80,Settings!$H$82,Settings!$H$84,Settings!$H$86)))*Settings!$H$68,"")</f>
        <v/>
      </c>
      <c r="AF246" s="143">
        <f>IFERROR((AD246*(1-Settings!$H$17)-C246)/(AD246*(1-Settings!$H$17)),"")</f>
        <v/>
      </c>
      <c r="AG246" s="150">
        <f>IFERROR(IF(AD246="","",IF(AD246&gt;=C246/(1-SKU_Base!AF246)/(1-Settings!$H$17),"OK",IF(AD246&gt;=C246/(1-SKU_Base!AM246)/(1-Settings!$H$17),"WARN","STOP"))),"")</f>
        <v/>
      </c>
    </row>
    <row r="247" ht="17" customHeight="1" s="179">
      <c r="A247" s="146">
        <f>SKU_Base!B247</f>
        <v/>
      </c>
      <c r="B247" s="146">
        <f>SKU_Base!C247</f>
        <v/>
      </c>
      <c r="C247" s="147">
        <f>IFERROR(SKU_Base!I247,"")</f>
        <v/>
      </c>
      <c r="D247" s="164">
        <f>IFERROR(SKU_Base!T247,"")</f>
        <v/>
      </c>
      <c r="E247" s="141">
        <f>IFERROR(SKU_Base!$U247,"")</f>
        <v/>
      </c>
      <c r="F247" s="160">
        <f>IFERROR(ROUND(D247*(1-CHOOSE(MATCH(IF($E247="","Основний",$E247),{"Трафіковий","Основний","Маржинальний","Сезонний","Стратегічний"},0),Settings!$B$78,Settings!$B$80,Settings!$B$82,Settings!$B$84,Settings!$B$86))/6,2)*6,"")</f>
        <v/>
      </c>
      <c r="G247" s="142">
        <f>IFERROR(CHOOSE(MATCH(IF($E247="","Основний",$E247),{"Трафіковий","Основний","Маржинальний","Сезонний","Стратегічний"},0),Settings!$B$78,Settings!$B$80,Settings!$B$82,Settings!$B$84,Settings!$B$86),"")</f>
        <v/>
      </c>
      <c r="H247" s="148">
        <f>IFERROR((F247*(1-Settings!$B$17)-C247)/(F247*(1-Settings!$B$17)),"")</f>
        <v/>
      </c>
      <c r="I247" s="149">
        <f>IFERROR(IF(F247="","",IF(F247&gt;=C247/(1-SKU_Base!Z247)/(1-Settings!$B$17),"OK",IF(F247&gt;=C247/(1-SKU_Base!AG247)/(1-Settings!$B$17),"WARN","STOP"))),"")</f>
        <v/>
      </c>
      <c r="J247" s="160">
        <f>IFERROR(ROUND(D247*(1-CHOOSE(MATCH(IF($E247="","Основний",$E247),{"Трафіковий","Основний","Маржинальний","Сезонний","Стратегічний"},0),Settings!$C$78,Settings!$C$80,Settings!$C$82,Settings!$C$84,Settings!$C$86))/6,2)*6,"")</f>
        <v/>
      </c>
      <c r="K247" s="142">
        <f>IFERROR(CHOOSE(MATCH(IF($E247="","Основний",$E247),{"Трафіковий","Основний","Маржинальний","Сезонний","Стратегічний"},0),Settings!$C$78,Settings!$C$80,Settings!$C$82,Settings!$C$84,Settings!$C$86),"")</f>
        <v/>
      </c>
      <c r="L247" s="148">
        <f>IFERROR((J247*(1-Settings!$C$17)-C247)/(J247*(1-Settings!$C$17)),"")</f>
        <v/>
      </c>
      <c r="M247" s="149">
        <f>IFERROR(IF(J247="","",IF(J247&gt;=C247/(1-SKU_Base!AA247)/(1-Settings!$C$17),"OK",IF(J247&gt;=C247/(1-SKU_Base!AH247)/(1-Settings!$C$17),"WARN","STOP"))),"")</f>
        <v/>
      </c>
      <c r="N247" s="161">
        <f>IFERROR(ROUND(D247*(1-CHOOSE(MATCH(IF($E247="","Основний",$E247),{"Трафіковий","Основний","Маржинальний","Сезонний","Стратегічний"},0),Settings!$D$78,Settings!$D$80,Settings!$D$82,Settings!$D$84,Settings!$D$86))/6,2)*6,"")</f>
        <v/>
      </c>
      <c r="O247" s="142">
        <f>IFERROR(CHOOSE(MATCH(IF($E247="","Основний",$E247),{"Трафіковий","Основний","Маржинальний","Сезонний","Стратегічний"},0),Settings!$D$78,Settings!$D$80,Settings!$D$82,Settings!$D$84,Settings!$D$86),"")</f>
        <v/>
      </c>
      <c r="P247" s="148">
        <f>IFERROR((N247*(1-Settings!$D$17)-C247)/(N247*(1-Settings!$D$17)),"")</f>
        <v/>
      </c>
      <c r="Q247" s="149">
        <f>IFERROR(IF(N247="","",IF(N247&gt;=C247/(1-SKU_Base!AB247)/(1-Settings!$D$17),"OK",IF(N247&gt;=C247/(1-SKU_Base!AI247)/(1-Settings!$D$17),"WARN","STOP"))),"")</f>
        <v/>
      </c>
      <c r="R247" s="161">
        <f>IFERROR(ROUND(D247*(1-CHOOSE(MATCH(IF($E247="","Основний",$E247),{"Трафіковий","Основний","Маржинальний","Сезонний","Стратегічний"},0),Settings!$E$78,Settings!$E$80,Settings!$E$82,Settings!$E$84,Settings!$E$86))/6,2)*6,"")</f>
        <v/>
      </c>
      <c r="S247" s="142">
        <f>IFERROR(CHOOSE(MATCH(IF($E247="","Основний",$E247),{"Трафіковий","Основний","Маржинальний","Сезонний","Стратегічний"},0),Settings!$E$78,Settings!$E$80,Settings!$E$82,Settings!$E$84,Settings!$E$86),"")</f>
        <v/>
      </c>
      <c r="T247" s="148">
        <f>IFERROR((R247*(1-Settings!$E$17)-C247)/(R247*(1-Settings!$E$17)),"")</f>
        <v/>
      </c>
      <c r="U247" s="149">
        <f>IFERROR(IF(R247="","",IF(R247&gt;=C247/(1-SKU_Base!AC247)/(1-Settings!$E$17),"OK",IF(R247&gt;=C247/(1-SKU_Base!AJ247)/(1-Settings!$E$17),"WARN","STOP"))),"")</f>
        <v/>
      </c>
      <c r="V247" s="161">
        <f>IFERROR(ROUND(D247*(1-CHOOSE(MATCH(IF($E247="","Основний",$E247),{"Трафіковий","Основний","Маржинальний","Сезонний","Стратегічний"},0),Settings!$F$78,Settings!$F$80,Settings!$F$82,Settings!$F$84,Settings!$F$86))/6,2)*6,"")</f>
        <v/>
      </c>
      <c r="W247" s="142">
        <f>IFERROR(CHOOSE(MATCH(IF($E247="","Основний",$E247),{"Трафіковий","Основний","Маржинальний","Сезонний","Стратегічний"},0),Settings!$F$78,Settings!$F$80,Settings!$F$82,Settings!$F$84,Settings!$F$86),"")</f>
        <v/>
      </c>
      <c r="X247" s="148">
        <f>IFERROR((V247*(1-Settings!$F$17)-C247)/(V247*(1-Settings!$F$17)),"")</f>
        <v/>
      </c>
      <c r="Y247" s="149">
        <f>IFERROR(IF(V247="","",IF(V247&gt;=C247/(1-SKU_Base!AD247)/(1-Settings!$F$17),"OK",IF(V247&gt;=C247/(1-SKU_Base!AK247)/(1-Settings!$F$17),"WARN","STOP"))),"")</f>
        <v/>
      </c>
      <c r="Z247" s="161">
        <f>IFERROR(ROUND(D247*(1-CHOOSE(MATCH(IF($E247="","Основний",$E247),{"Трафіковий","Основний","Маржинальний","Сезонний","Стратегічний"},0),Settings!$G$78,Settings!$G$80,Settings!$G$82,Settings!$G$84,Settings!$G$86))/6,2)*6,"")</f>
        <v/>
      </c>
      <c r="AA247" s="142">
        <f>IFERROR(CHOOSE(MATCH(IF($E247="","Основний",$E247),{"Трафіковий","Основний","Маржинальний","Сезонний","Стратегічний"},0),Settings!$G$78,Settings!$G$80,Settings!$G$82,Settings!$G$84,Settings!$G$86),"")</f>
        <v/>
      </c>
      <c r="AB247" s="148">
        <f>IFERROR((Z247*(1-Settings!$G$17)-C247)/(Z247*(1-Settings!$G$17)),"")</f>
        <v/>
      </c>
      <c r="AC247" s="149">
        <f>IFERROR(IF(Z247="","",IF(Z247&gt;=C247/(1-SKU_Base!AE247)/(1-Settings!$G$17),"OK",IF(Z247&gt;=C247/(1-SKU_Base!AL247)/(1-Settings!$G$17),"WARN","STOP"))),"")</f>
        <v/>
      </c>
      <c r="AD247" s="161">
        <f>IFERROR(ROUND(D247*(1-CHOOSE(MATCH(IF($E247="","Основний",$E247),{"Трафіковий","Основний","Маржинальний","Сезонний","Стратегічний"},0),Settings!$H$78,Settings!$H$80,Settings!$H$82,Settings!$H$84,Settings!$H$86))*(1-Settings!$H$68)/6,2)*6,"")</f>
        <v/>
      </c>
      <c r="AE247" s="142">
        <f>IFERROR(CHOOSE(MATCH(IF($E247="","Основний",$E247),{"Трафіковий","Основний","Маржинальний","Сезонний","Стратегічний"},0),Settings!$H$78,Settings!$H$80,Settings!$H$82,Settings!$H$84,Settings!$H$86)+(1-(CHOOSE(MATCH(IF($E247="","Основний",$E247),{"Трафіковий","Основний","Маржинальний","Сезонний","Стратегічний"},0),Settings!$H$78,Settings!$H$80,Settings!$H$82,Settings!$H$84,Settings!$H$86)))*Settings!$H$68,"")</f>
        <v/>
      </c>
      <c r="AF247" s="148">
        <f>IFERROR((AD247*(1-Settings!$H$17)-C247)/(AD247*(1-Settings!$H$17)),"")</f>
        <v/>
      </c>
      <c r="AG247" s="149">
        <f>IFERROR(IF(AD247="","",IF(AD247&gt;=C247/(1-SKU_Base!AF247)/(1-Settings!$H$17),"OK",IF(AD247&gt;=C247/(1-SKU_Base!AM247)/(1-Settings!$H$17),"WARN","STOP"))),"")</f>
        <v/>
      </c>
    </row>
    <row r="248" ht="17" customHeight="1" s="179">
      <c r="A248" s="139">
        <f>SKU_Base!B248</f>
        <v/>
      </c>
      <c r="B248" s="139">
        <f>SKU_Base!C248</f>
        <v/>
      </c>
      <c r="C248" s="140">
        <f>IFERROR(SKU_Base!I248,"")</f>
        <v/>
      </c>
      <c r="D248" s="163">
        <f>IFERROR(SKU_Base!T248,"")</f>
        <v/>
      </c>
      <c r="E248" s="141">
        <f>IFERROR(SKU_Base!$U248,"")</f>
        <v/>
      </c>
      <c r="F248" s="158">
        <f>IFERROR(ROUND(D248*(1-CHOOSE(MATCH(IF($E248="","Основний",$E248),{"Трафіковий","Основний","Маржинальний","Сезонний","Стратегічний"},0),Settings!$B$78,Settings!$B$80,Settings!$B$82,Settings!$B$84,Settings!$B$86))/6,2)*6,"")</f>
        <v/>
      </c>
      <c r="G248" s="142">
        <f>IFERROR(CHOOSE(MATCH(IF($E248="","Основний",$E248),{"Трафіковий","Основний","Маржинальний","Сезонний","Стратегічний"},0),Settings!$B$78,Settings!$B$80,Settings!$B$82,Settings!$B$84,Settings!$B$86),"")</f>
        <v/>
      </c>
      <c r="H248" s="143">
        <f>IFERROR((F248*(1-Settings!$B$17)-C248)/(F248*(1-Settings!$B$17)),"")</f>
        <v/>
      </c>
      <c r="I248" s="149">
        <f>IFERROR(IF(F248="","",IF(F248&gt;=C248/(1-SKU_Base!Z248)/(1-Settings!$B$17),"OK",IF(F248&gt;=C248/(1-SKU_Base!AG248)/(1-Settings!$B$17),"WARN","STOP"))),"")</f>
        <v/>
      </c>
      <c r="J248" s="158">
        <f>IFERROR(ROUND(D248*(1-CHOOSE(MATCH(IF($E248="","Основний",$E248),{"Трафіковий","Основний","Маржинальний","Сезонний","Стратегічний"},0),Settings!$C$78,Settings!$C$80,Settings!$C$82,Settings!$C$84,Settings!$C$86))/6,2)*6,"")</f>
        <v/>
      </c>
      <c r="K248" s="142">
        <f>IFERROR(CHOOSE(MATCH(IF($E248="","Основний",$E248),{"Трафіковий","Основний","Маржинальний","Сезонний","Стратегічний"},0),Settings!$C$78,Settings!$C$80,Settings!$C$82,Settings!$C$84,Settings!$C$86),"")</f>
        <v/>
      </c>
      <c r="L248" s="143">
        <f>IFERROR((J248*(1-Settings!$C$17)-C248)/(J248*(1-Settings!$C$17)),"")</f>
        <v/>
      </c>
      <c r="M248" s="149">
        <f>IFERROR(IF(J248="","",IF(J248&gt;=C248/(1-SKU_Base!AA248)/(1-Settings!$C$17),"OK",IF(J248&gt;=C248/(1-SKU_Base!AH248)/(1-Settings!$C$17),"WARN","STOP"))),"")</f>
        <v/>
      </c>
      <c r="N248" s="159">
        <f>IFERROR(ROUND(D248*(1-CHOOSE(MATCH(IF($E248="","Основний",$E248),{"Трафіковий","Основний","Маржинальний","Сезонний","Стратегічний"},0),Settings!$D$78,Settings!$D$80,Settings!$D$82,Settings!$D$84,Settings!$D$86))/6,2)*6,"")</f>
        <v/>
      </c>
      <c r="O248" s="142">
        <f>IFERROR(CHOOSE(MATCH(IF($E248="","Основний",$E248),{"Трафіковий","Основний","Маржинальний","Сезонний","Стратегічний"},0),Settings!$D$78,Settings!$D$80,Settings!$D$82,Settings!$D$84,Settings!$D$86),"")</f>
        <v/>
      </c>
      <c r="P248" s="143">
        <f>IFERROR((N248*(1-Settings!$D$17)-C248)/(N248*(1-Settings!$D$17)),"")</f>
        <v/>
      </c>
      <c r="Q248" s="149">
        <f>IFERROR(IF(N248="","",IF(N248&gt;=C248/(1-SKU_Base!AB248)/(1-Settings!$D$17),"OK",IF(N248&gt;=C248/(1-SKU_Base!AI248)/(1-Settings!$D$17),"WARN","STOP"))),"")</f>
        <v/>
      </c>
      <c r="R248" s="159">
        <f>IFERROR(ROUND(D248*(1-CHOOSE(MATCH(IF($E248="","Основний",$E248),{"Трафіковий","Основний","Маржинальний","Сезонний","Стратегічний"},0),Settings!$E$78,Settings!$E$80,Settings!$E$82,Settings!$E$84,Settings!$E$86))/6,2)*6,"")</f>
        <v/>
      </c>
      <c r="S248" s="142">
        <f>IFERROR(CHOOSE(MATCH(IF($E248="","Основний",$E248),{"Трафіковий","Основний","Маржинальний","Сезонний","Стратегічний"},0),Settings!$E$78,Settings!$E$80,Settings!$E$82,Settings!$E$84,Settings!$E$86),"")</f>
        <v/>
      </c>
      <c r="T248" s="143">
        <f>IFERROR((R248*(1-Settings!$E$17)-C248)/(R248*(1-Settings!$E$17)),"")</f>
        <v/>
      </c>
      <c r="U248" s="149">
        <f>IFERROR(IF(R248="","",IF(R248&gt;=C248/(1-SKU_Base!AC248)/(1-Settings!$E$17),"OK",IF(R248&gt;=C248/(1-SKU_Base!AJ248)/(1-Settings!$E$17),"WARN","STOP"))),"")</f>
        <v/>
      </c>
      <c r="V248" s="159">
        <f>IFERROR(ROUND(D248*(1-CHOOSE(MATCH(IF($E248="","Основний",$E248),{"Трафіковий","Основний","Маржинальний","Сезонний","Стратегічний"},0),Settings!$F$78,Settings!$F$80,Settings!$F$82,Settings!$F$84,Settings!$F$86))/6,2)*6,"")</f>
        <v/>
      </c>
      <c r="W248" s="142">
        <f>IFERROR(CHOOSE(MATCH(IF($E248="","Основний",$E248),{"Трафіковий","Основний","Маржинальний","Сезонний","Стратегічний"},0),Settings!$F$78,Settings!$F$80,Settings!$F$82,Settings!$F$84,Settings!$F$86),"")</f>
        <v/>
      </c>
      <c r="X248" s="143">
        <f>IFERROR((V248*(1-Settings!$F$17)-C248)/(V248*(1-Settings!$F$17)),"")</f>
        <v/>
      </c>
      <c r="Y248" s="149">
        <f>IFERROR(IF(V248="","",IF(V248&gt;=C248/(1-SKU_Base!AD248)/(1-Settings!$F$17),"OK",IF(V248&gt;=C248/(1-SKU_Base!AK248)/(1-Settings!$F$17),"WARN","STOP"))),"")</f>
        <v/>
      </c>
      <c r="Z248" s="159">
        <f>IFERROR(ROUND(D248*(1-CHOOSE(MATCH(IF($E248="","Основний",$E248),{"Трафіковий","Основний","Маржинальний","Сезонний","Стратегічний"},0),Settings!$G$78,Settings!$G$80,Settings!$G$82,Settings!$G$84,Settings!$G$86))/6,2)*6,"")</f>
        <v/>
      </c>
      <c r="AA248" s="142">
        <f>IFERROR(CHOOSE(MATCH(IF($E248="","Основний",$E248),{"Трафіковий","Основний","Маржинальний","Сезонний","Стратегічний"},0),Settings!$G$78,Settings!$G$80,Settings!$G$82,Settings!$G$84,Settings!$G$86),"")</f>
        <v/>
      </c>
      <c r="AB248" s="143">
        <f>IFERROR((Z248*(1-Settings!$G$17)-C248)/(Z248*(1-Settings!$G$17)),"")</f>
        <v/>
      </c>
      <c r="AC248" s="149">
        <f>IFERROR(IF(Z248="","",IF(Z248&gt;=C248/(1-SKU_Base!AE248)/(1-Settings!$G$17),"OK",IF(Z248&gt;=C248/(1-SKU_Base!AL248)/(1-Settings!$G$17),"WARN","STOP"))),"")</f>
        <v/>
      </c>
      <c r="AD248" s="159">
        <f>IFERROR(ROUND(D248*(1-CHOOSE(MATCH(IF($E248="","Основний",$E248),{"Трафіковий","Основний","Маржинальний","Сезонний","Стратегічний"},0),Settings!$H$78,Settings!$H$80,Settings!$H$82,Settings!$H$84,Settings!$H$86))*(1-Settings!$H$68)/6,2)*6,"")</f>
        <v/>
      </c>
      <c r="AE248" s="142">
        <f>IFERROR(CHOOSE(MATCH(IF($E248="","Основний",$E248),{"Трафіковий","Основний","Маржинальний","Сезонний","Стратегічний"},0),Settings!$H$78,Settings!$H$80,Settings!$H$82,Settings!$H$84,Settings!$H$86)+(1-(CHOOSE(MATCH(IF($E248="","Основний",$E248),{"Трафіковий","Основний","Маржинальний","Сезонний","Стратегічний"},0),Settings!$H$78,Settings!$H$80,Settings!$H$82,Settings!$H$84,Settings!$H$86)))*Settings!$H$68,"")</f>
        <v/>
      </c>
      <c r="AF248" s="143">
        <f>IFERROR((AD248*(1-Settings!$H$17)-C248)/(AD248*(1-Settings!$H$17)),"")</f>
        <v/>
      </c>
      <c r="AG248" s="149">
        <f>IFERROR(IF(AD248="","",IF(AD248&gt;=C248/(1-SKU_Base!AF248)/(1-Settings!$H$17),"OK",IF(AD248&gt;=C248/(1-SKU_Base!AM248)/(1-Settings!$H$17),"WARN","STOP"))),"")</f>
        <v/>
      </c>
    </row>
    <row r="249" ht="17" customHeight="1" s="179">
      <c r="A249" s="146">
        <f>SKU_Base!B249</f>
        <v/>
      </c>
      <c r="B249" s="146">
        <f>SKU_Base!C249</f>
        <v/>
      </c>
      <c r="C249" s="147">
        <f>IFERROR(SKU_Base!I249,"")</f>
        <v/>
      </c>
      <c r="D249" s="164">
        <f>IFERROR(SKU_Base!T249,"")</f>
        <v/>
      </c>
      <c r="E249" s="141">
        <f>IFERROR(SKU_Base!$U249,"")</f>
        <v/>
      </c>
      <c r="F249" s="160">
        <f>IFERROR(ROUND(D249*(1-CHOOSE(MATCH(IF($E249="","Основний",$E249),{"Трафіковий","Основний","Маржинальний","Сезонний","Стратегічний"},0),Settings!$B$78,Settings!$B$80,Settings!$B$82,Settings!$B$84,Settings!$B$86))/6,2)*6,"")</f>
        <v/>
      </c>
      <c r="G249" s="142">
        <f>IFERROR(CHOOSE(MATCH(IF($E249="","Основний",$E249),{"Трафіковий","Основний","Маржинальний","Сезонний","Стратегічний"},0),Settings!$B$78,Settings!$B$80,Settings!$B$82,Settings!$B$84,Settings!$B$86),"")</f>
        <v/>
      </c>
      <c r="H249" s="148">
        <f>IFERROR((F249*(1-Settings!$B$17)-C249)/(F249*(1-Settings!$B$17)),"")</f>
        <v/>
      </c>
      <c r="I249" s="150">
        <f>IFERROR(IF(F249="","",IF(F249&gt;=C249/(1-SKU_Base!Z249)/(1-Settings!$B$17),"OK",IF(F249&gt;=C249/(1-SKU_Base!AG249)/(1-Settings!$B$17),"WARN","STOP"))),"")</f>
        <v/>
      </c>
      <c r="J249" s="160">
        <f>IFERROR(ROUND(D249*(1-CHOOSE(MATCH(IF($E249="","Основний",$E249),{"Трафіковий","Основний","Маржинальний","Сезонний","Стратегічний"},0),Settings!$C$78,Settings!$C$80,Settings!$C$82,Settings!$C$84,Settings!$C$86))/6,2)*6,"")</f>
        <v/>
      </c>
      <c r="K249" s="142">
        <f>IFERROR(CHOOSE(MATCH(IF($E249="","Основний",$E249),{"Трафіковий","Основний","Маржинальний","Сезонний","Стратегічний"},0),Settings!$C$78,Settings!$C$80,Settings!$C$82,Settings!$C$84,Settings!$C$86),"")</f>
        <v/>
      </c>
      <c r="L249" s="148">
        <f>IFERROR((J249*(1-Settings!$C$17)-C249)/(J249*(1-Settings!$C$17)),"")</f>
        <v/>
      </c>
      <c r="M249" s="149">
        <f>IFERROR(IF(J249="","",IF(J249&gt;=C249/(1-SKU_Base!AA249)/(1-Settings!$C$17),"OK",IF(J249&gt;=C249/(1-SKU_Base!AH249)/(1-Settings!$C$17),"WARN","STOP"))),"")</f>
        <v/>
      </c>
      <c r="N249" s="161">
        <f>IFERROR(ROUND(D249*(1-CHOOSE(MATCH(IF($E249="","Основний",$E249),{"Трафіковий","Основний","Маржинальний","Сезонний","Стратегічний"},0),Settings!$D$78,Settings!$D$80,Settings!$D$82,Settings!$D$84,Settings!$D$86))/6,2)*6,"")</f>
        <v/>
      </c>
      <c r="O249" s="142">
        <f>IFERROR(CHOOSE(MATCH(IF($E249="","Основний",$E249),{"Трафіковий","Основний","Маржинальний","Сезонний","Стратегічний"},0),Settings!$D$78,Settings!$D$80,Settings!$D$82,Settings!$D$84,Settings!$D$86),"")</f>
        <v/>
      </c>
      <c r="P249" s="148">
        <f>IFERROR((N249*(1-Settings!$D$17)-C249)/(N249*(1-Settings!$D$17)),"")</f>
        <v/>
      </c>
      <c r="Q249" s="149">
        <f>IFERROR(IF(N249="","",IF(N249&gt;=C249/(1-SKU_Base!AB249)/(1-Settings!$D$17),"OK",IF(N249&gt;=C249/(1-SKU_Base!AI249)/(1-Settings!$D$17),"WARN","STOP"))),"")</f>
        <v/>
      </c>
      <c r="R249" s="161">
        <f>IFERROR(ROUND(D249*(1-CHOOSE(MATCH(IF($E249="","Основний",$E249),{"Трафіковий","Основний","Маржинальний","Сезонний","Стратегічний"},0),Settings!$E$78,Settings!$E$80,Settings!$E$82,Settings!$E$84,Settings!$E$86))/6,2)*6,"")</f>
        <v/>
      </c>
      <c r="S249" s="142">
        <f>IFERROR(CHOOSE(MATCH(IF($E249="","Основний",$E249),{"Трафіковий","Основний","Маржинальний","Сезонний","Стратегічний"},0),Settings!$E$78,Settings!$E$80,Settings!$E$82,Settings!$E$84,Settings!$E$86),"")</f>
        <v/>
      </c>
      <c r="T249" s="148">
        <f>IFERROR((R249*(1-Settings!$E$17)-C249)/(R249*(1-Settings!$E$17)),"")</f>
        <v/>
      </c>
      <c r="U249" s="149">
        <f>IFERROR(IF(R249="","",IF(R249&gt;=C249/(1-SKU_Base!AC249)/(1-Settings!$E$17),"OK",IF(R249&gt;=C249/(1-SKU_Base!AJ249)/(1-Settings!$E$17),"WARN","STOP"))),"")</f>
        <v/>
      </c>
      <c r="V249" s="161">
        <f>IFERROR(ROUND(D249*(1-CHOOSE(MATCH(IF($E249="","Основний",$E249),{"Трафіковий","Основний","Маржинальний","Сезонний","Стратегічний"},0),Settings!$F$78,Settings!$F$80,Settings!$F$82,Settings!$F$84,Settings!$F$86))/6,2)*6,"")</f>
        <v/>
      </c>
      <c r="W249" s="142">
        <f>IFERROR(CHOOSE(MATCH(IF($E249="","Основний",$E249),{"Трафіковий","Основний","Маржинальний","Сезонний","Стратегічний"},0),Settings!$F$78,Settings!$F$80,Settings!$F$82,Settings!$F$84,Settings!$F$86),"")</f>
        <v/>
      </c>
      <c r="X249" s="148">
        <f>IFERROR((V249*(1-Settings!$F$17)-C249)/(V249*(1-Settings!$F$17)),"")</f>
        <v/>
      </c>
      <c r="Y249" s="149">
        <f>IFERROR(IF(V249="","",IF(V249&gt;=C249/(1-SKU_Base!AD249)/(1-Settings!$F$17),"OK",IF(V249&gt;=C249/(1-SKU_Base!AK249)/(1-Settings!$F$17),"WARN","STOP"))),"")</f>
        <v/>
      </c>
      <c r="Z249" s="161">
        <f>IFERROR(ROUND(D249*(1-CHOOSE(MATCH(IF($E249="","Основний",$E249),{"Трафіковий","Основний","Маржинальний","Сезонний","Стратегічний"},0),Settings!$G$78,Settings!$G$80,Settings!$G$82,Settings!$G$84,Settings!$G$86))/6,2)*6,"")</f>
        <v/>
      </c>
      <c r="AA249" s="142">
        <f>IFERROR(CHOOSE(MATCH(IF($E249="","Основний",$E249),{"Трафіковий","Основний","Маржинальний","Сезонний","Стратегічний"},0),Settings!$G$78,Settings!$G$80,Settings!$G$82,Settings!$G$84,Settings!$G$86),"")</f>
        <v/>
      </c>
      <c r="AB249" s="148">
        <f>IFERROR((Z249*(1-Settings!$G$17)-C249)/(Z249*(1-Settings!$G$17)),"")</f>
        <v/>
      </c>
      <c r="AC249" s="149">
        <f>IFERROR(IF(Z249="","",IF(Z249&gt;=C249/(1-SKU_Base!AE249)/(1-Settings!$G$17),"OK",IF(Z249&gt;=C249/(1-SKU_Base!AL249)/(1-Settings!$G$17),"WARN","STOP"))),"")</f>
        <v/>
      </c>
      <c r="AD249" s="161">
        <f>IFERROR(ROUND(D249*(1-CHOOSE(MATCH(IF($E249="","Основний",$E249),{"Трафіковий","Основний","Маржинальний","Сезонний","Стратегічний"},0),Settings!$H$78,Settings!$H$80,Settings!$H$82,Settings!$H$84,Settings!$H$86))*(1-Settings!$H$68)/6,2)*6,"")</f>
        <v/>
      </c>
      <c r="AE249" s="142">
        <f>IFERROR(CHOOSE(MATCH(IF($E249="","Основний",$E249),{"Трафіковий","Основний","Маржинальний","Сезонний","Стратегічний"},0),Settings!$H$78,Settings!$H$80,Settings!$H$82,Settings!$H$84,Settings!$H$86)+(1-(CHOOSE(MATCH(IF($E249="","Основний",$E249),{"Трафіковий","Основний","Маржинальний","Сезонний","Стратегічний"},0),Settings!$H$78,Settings!$H$80,Settings!$H$82,Settings!$H$84,Settings!$H$86)))*Settings!$H$68,"")</f>
        <v/>
      </c>
      <c r="AF249" s="148">
        <f>IFERROR((AD249*(1-Settings!$H$17)-C249)/(AD249*(1-Settings!$H$17)),"")</f>
        <v/>
      </c>
      <c r="AG249" s="150">
        <f>IFERROR(IF(AD249="","",IF(AD249&gt;=C249/(1-SKU_Base!AF249)/(1-Settings!$H$17),"OK",IF(AD249&gt;=C249/(1-SKU_Base!AM249)/(1-Settings!$H$17),"WARN","STOP"))),"")</f>
        <v/>
      </c>
    </row>
    <row r="250" ht="17" customHeight="1" s="179">
      <c r="A250" s="139">
        <f>SKU_Base!B250</f>
        <v/>
      </c>
      <c r="B250" s="139">
        <f>SKU_Base!C250</f>
        <v/>
      </c>
      <c r="C250" s="140">
        <f>IFERROR(SKU_Base!I250,"")</f>
        <v/>
      </c>
      <c r="D250" s="163">
        <f>IFERROR(SKU_Base!T250,"")</f>
        <v/>
      </c>
      <c r="E250" s="141">
        <f>IFERROR(SKU_Base!$U250,"")</f>
        <v/>
      </c>
      <c r="F250" s="158">
        <f>IFERROR(ROUND(D250*(1-CHOOSE(MATCH(IF($E250="","Основний",$E250),{"Трафіковий","Основний","Маржинальний","Сезонний","Стратегічний"},0),Settings!$B$78,Settings!$B$80,Settings!$B$82,Settings!$B$84,Settings!$B$86))/6,2)*6,"")</f>
        <v/>
      </c>
      <c r="G250" s="142">
        <f>IFERROR(CHOOSE(MATCH(IF($E250="","Основний",$E250),{"Трафіковий","Основний","Маржинальний","Сезонний","Стратегічний"},0),Settings!$B$78,Settings!$B$80,Settings!$B$82,Settings!$B$84,Settings!$B$86),"")</f>
        <v/>
      </c>
      <c r="H250" s="143">
        <f>IFERROR((F250*(1-Settings!$B$17)-C250)/(F250*(1-Settings!$B$17)),"")</f>
        <v/>
      </c>
      <c r="I250" s="149">
        <f>IFERROR(IF(F250="","",IF(F250&gt;=C250/(1-SKU_Base!Z250)/(1-Settings!$B$17),"OK",IF(F250&gt;=C250/(1-SKU_Base!AG250)/(1-Settings!$B$17),"WARN","STOP"))),"")</f>
        <v/>
      </c>
      <c r="J250" s="158">
        <f>IFERROR(ROUND(D250*(1-CHOOSE(MATCH(IF($E250="","Основний",$E250),{"Трафіковий","Основний","Маржинальний","Сезонний","Стратегічний"},0),Settings!$C$78,Settings!$C$80,Settings!$C$82,Settings!$C$84,Settings!$C$86))/6,2)*6,"")</f>
        <v/>
      </c>
      <c r="K250" s="142">
        <f>IFERROR(CHOOSE(MATCH(IF($E250="","Основний",$E250),{"Трафіковий","Основний","Маржинальний","Сезонний","Стратегічний"},0),Settings!$C$78,Settings!$C$80,Settings!$C$82,Settings!$C$84,Settings!$C$86),"")</f>
        <v/>
      </c>
      <c r="L250" s="143">
        <f>IFERROR((J250*(1-Settings!$C$17)-C250)/(J250*(1-Settings!$C$17)),"")</f>
        <v/>
      </c>
      <c r="M250" s="149">
        <f>IFERROR(IF(J250="","",IF(J250&gt;=C250/(1-SKU_Base!AA250)/(1-Settings!$C$17),"OK",IF(J250&gt;=C250/(1-SKU_Base!AH250)/(1-Settings!$C$17),"WARN","STOP"))),"")</f>
        <v/>
      </c>
      <c r="N250" s="159">
        <f>IFERROR(ROUND(D250*(1-CHOOSE(MATCH(IF($E250="","Основний",$E250),{"Трафіковий","Основний","Маржинальний","Сезонний","Стратегічний"},0),Settings!$D$78,Settings!$D$80,Settings!$D$82,Settings!$D$84,Settings!$D$86))/6,2)*6,"")</f>
        <v/>
      </c>
      <c r="O250" s="142">
        <f>IFERROR(CHOOSE(MATCH(IF($E250="","Основний",$E250),{"Трафіковий","Основний","Маржинальний","Сезонний","Стратегічний"},0),Settings!$D$78,Settings!$D$80,Settings!$D$82,Settings!$D$84,Settings!$D$86),"")</f>
        <v/>
      </c>
      <c r="P250" s="143">
        <f>IFERROR((N250*(1-Settings!$D$17)-C250)/(N250*(1-Settings!$D$17)),"")</f>
        <v/>
      </c>
      <c r="Q250" s="149">
        <f>IFERROR(IF(N250="","",IF(N250&gt;=C250/(1-SKU_Base!AB250)/(1-Settings!$D$17),"OK",IF(N250&gt;=C250/(1-SKU_Base!AI250)/(1-Settings!$D$17),"WARN","STOP"))),"")</f>
        <v/>
      </c>
      <c r="R250" s="159">
        <f>IFERROR(ROUND(D250*(1-CHOOSE(MATCH(IF($E250="","Основний",$E250),{"Трафіковий","Основний","Маржинальний","Сезонний","Стратегічний"},0),Settings!$E$78,Settings!$E$80,Settings!$E$82,Settings!$E$84,Settings!$E$86))/6,2)*6,"")</f>
        <v/>
      </c>
      <c r="S250" s="142">
        <f>IFERROR(CHOOSE(MATCH(IF($E250="","Основний",$E250),{"Трафіковий","Основний","Маржинальний","Сезонний","Стратегічний"},0),Settings!$E$78,Settings!$E$80,Settings!$E$82,Settings!$E$84,Settings!$E$86),"")</f>
        <v/>
      </c>
      <c r="T250" s="143">
        <f>IFERROR((R250*(1-Settings!$E$17)-C250)/(R250*(1-Settings!$E$17)),"")</f>
        <v/>
      </c>
      <c r="U250" s="149">
        <f>IFERROR(IF(R250="","",IF(R250&gt;=C250/(1-SKU_Base!AC250)/(1-Settings!$E$17),"OK",IF(R250&gt;=C250/(1-SKU_Base!AJ250)/(1-Settings!$E$17),"WARN","STOP"))),"")</f>
        <v/>
      </c>
      <c r="V250" s="159">
        <f>IFERROR(ROUND(D250*(1-CHOOSE(MATCH(IF($E250="","Основний",$E250),{"Трафіковий","Основний","Маржинальний","Сезонний","Стратегічний"},0),Settings!$F$78,Settings!$F$80,Settings!$F$82,Settings!$F$84,Settings!$F$86))/6,2)*6,"")</f>
        <v/>
      </c>
      <c r="W250" s="142">
        <f>IFERROR(CHOOSE(MATCH(IF($E250="","Основний",$E250),{"Трафіковий","Основний","Маржинальний","Сезонний","Стратегічний"},0),Settings!$F$78,Settings!$F$80,Settings!$F$82,Settings!$F$84,Settings!$F$86),"")</f>
        <v/>
      </c>
      <c r="X250" s="143">
        <f>IFERROR((V250*(1-Settings!$F$17)-C250)/(V250*(1-Settings!$F$17)),"")</f>
        <v/>
      </c>
      <c r="Y250" s="149">
        <f>IFERROR(IF(V250="","",IF(V250&gt;=C250/(1-SKU_Base!AD250)/(1-Settings!$F$17),"OK",IF(V250&gt;=C250/(1-SKU_Base!AK250)/(1-Settings!$F$17),"WARN","STOP"))),"")</f>
        <v/>
      </c>
      <c r="Z250" s="159">
        <f>IFERROR(ROUND(D250*(1-CHOOSE(MATCH(IF($E250="","Основний",$E250),{"Трафіковий","Основний","Маржинальний","Сезонний","Стратегічний"},0),Settings!$G$78,Settings!$G$80,Settings!$G$82,Settings!$G$84,Settings!$G$86))/6,2)*6,"")</f>
        <v/>
      </c>
      <c r="AA250" s="142">
        <f>IFERROR(CHOOSE(MATCH(IF($E250="","Основний",$E250),{"Трафіковий","Основний","Маржинальний","Сезонний","Стратегічний"},0),Settings!$G$78,Settings!$G$80,Settings!$G$82,Settings!$G$84,Settings!$G$86),"")</f>
        <v/>
      </c>
      <c r="AB250" s="143">
        <f>IFERROR((Z250*(1-Settings!$G$17)-C250)/(Z250*(1-Settings!$G$17)),"")</f>
        <v/>
      </c>
      <c r="AC250" s="149">
        <f>IFERROR(IF(Z250="","",IF(Z250&gt;=C250/(1-SKU_Base!AE250)/(1-Settings!$G$17),"OK",IF(Z250&gt;=C250/(1-SKU_Base!AL250)/(1-Settings!$G$17),"WARN","STOP"))),"")</f>
        <v/>
      </c>
      <c r="AD250" s="159">
        <f>IFERROR(ROUND(D250*(1-CHOOSE(MATCH(IF($E250="","Основний",$E250),{"Трафіковий","Основний","Маржинальний","Сезонний","Стратегічний"},0),Settings!$H$78,Settings!$H$80,Settings!$H$82,Settings!$H$84,Settings!$H$86))*(1-Settings!$H$68)/6,2)*6,"")</f>
        <v/>
      </c>
      <c r="AE250" s="142">
        <f>IFERROR(CHOOSE(MATCH(IF($E250="","Основний",$E250),{"Трафіковий","Основний","Маржинальний","Сезонний","Стратегічний"},0),Settings!$H$78,Settings!$H$80,Settings!$H$82,Settings!$H$84,Settings!$H$86)+(1-(CHOOSE(MATCH(IF($E250="","Основний",$E250),{"Трафіковий","Основний","Маржинальний","Сезонний","Стратегічний"},0),Settings!$H$78,Settings!$H$80,Settings!$H$82,Settings!$H$84,Settings!$H$86)))*Settings!$H$68,"")</f>
        <v/>
      </c>
      <c r="AF250" s="143">
        <f>IFERROR((AD250*(1-Settings!$H$17)-C250)/(AD250*(1-Settings!$H$17)),"")</f>
        <v/>
      </c>
      <c r="AG250" s="149">
        <f>IFERROR(IF(AD250="","",IF(AD250&gt;=C250/(1-SKU_Base!AF250)/(1-Settings!$H$17),"OK",IF(AD250&gt;=C250/(1-SKU_Base!AM250)/(1-Settings!$H$17),"WARN","STOP"))),"")</f>
        <v/>
      </c>
    </row>
    <row r="251" ht="17" customHeight="1" s="179">
      <c r="A251" s="146">
        <f>SKU_Base!B251</f>
        <v/>
      </c>
      <c r="B251" s="146">
        <f>SKU_Base!C251</f>
        <v/>
      </c>
      <c r="C251" s="147">
        <f>IFERROR(SKU_Base!I251,"")</f>
        <v/>
      </c>
      <c r="D251" s="164">
        <f>IFERROR(SKU_Base!T251,"")</f>
        <v/>
      </c>
      <c r="E251" s="141">
        <f>IFERROR(SKU_Base!$U251,"")</f>
        <v/>
      </c>
      <c r="F251" s="160">
        <f>IFERROR(ROUND(D251*(1-CHOOSE(MATCH(IF($E251="","Основний",$E251),{"Трафіковий","Основний","Маржинальний","Сезонний","Стратегічний"},0),Settings!$B$78,Settings!$B$80,Settings!$B$82,Settings!$B$84,Settings!$B$86))/6,2)*6,"")</f>
        <v/>
      </c>
      <c r="G251" s="142">
        <f>IFERROR(CHOOSE(MATCH(IF($E251="","Основний",$E251),{"Трафіковий","Основний","Маржинальний","Сезонний","Стратегічний"},0),Settings!$B$78,Settings!$B$80,Settings!$B$82,Settings!$B$84,Settings!$B$86),"")</f>
        <v/>
      </c>
      <c r="H251" s="148">
        <f>IFERROR((F251*(1-Settings!$B$17)-C251)/(F251*(1-Settings!$B$17)),"")</f>
        <v/>
      </c>
      <c r="I251" s="149">
        <f>IFERROR(IF(F251="","",IF(F251&gt;=C251/(1-SKU_Base!Z251)/(1-Settings!$B$17),"OK",IF(F251&gt;=C251/(1-SKU_Base!AG251)/(1-Settings!$B$17),"WARN","STOP"))),"")</f>
        <v/>
      </c>
      <c r="J251" s="160">
        <f>IFERROR(ROUND(D251*(1-CHOOSE(MATCH(IF($E251="","Основний",$E251),{"Трафіковий","Основний","Маржинальний","Сезонний","Стратегічний"},0),Settings!$C$78,Settings!$C$80,Settings!$C$82,Settings!$C$84,Settings!$C$86))/6,2)*6,"")</f>
        <v/>
      </c>
      <c r="K251" s="142">
        <f>IFERROR(CHOOSE(MATCH(IF($E251="","Основний",$E251),{"Трафіковий","Основний","Маржинальний","Сезонний","Стратегічний"},0),Settings!$C$78,Settings!$C$80,Settings!$C$82,Settings!$C$84,Settings!$C$86),"")</f>
        <v/>
      </c>
      <c r="L251" s="148">
        <f>IFERROR((J251*(1-Settings!$C$17)-C251)/(J251*(1-Settings!$C$17)),"")</f>
        <v/>
      </c>
      <c r="M251" s="149">
        <f>IFERROR(IF(J251="","",IF(J251&gt;=C251/(1-SKU_Base!AA251)/(1-Settings!$C$17),"OK",IF(J251&gt;=C251/(1-SKU_Base!AH251)/(1-Settings!$C$17),"WARN","STOP"))),"")</f>
        <v/>
      </c>
      <c r="N251" s="161">
        <f>IFERROR(ROUND(D251*(1-CHOOSE(MATCH(IF($E251="","Основний",$E251),{"Трафіковий","Основний","Маржинальний","Сезонний","Стратегічний"},0),Settings!$D$78,Settings!$D$80,Settings!$D$82,Settings!$D$84,Settings!$D$86))/6,2)*6,"")</f>
        <v/>
      </c>
      <c r="O251" s="142">
        <f>IFERROR(CHOOSE(MATCH(IF($E251="","Основний",$E251),{"Трафіковий","Основний","Маржинальний","Сезонний","Стратегічний"},0),Settings!$D$78,Settings!$D$80,Settings!$D$82,Settings!$D$84,Settings!$D$86),"")</f>
        <v/>
      </c>
      <c r="P251" s="148">
        <f>IFERROR((N251*(1-Settings!$D$17)-C251)/(N251*(1-Settings!$D$17)),"")</f>
        <v/>
      </c>
      <c r="Q251" s="149">
        <f>IFERROR(IF(N251="","",IF(N251&gt;=C251/(1-SKU_Base!AB251)/(1-Settings!$D$17),"OK",IF(N251&gt;=C251/(1-SKU_Base!AI251)/(1-Settings!$D$17),"WARN","STOP"))),"")</f>
        <v/>
      </c>
      <c r="R251" s="161">
        <f>IFERROR(ROUND(D251*(1-CHOOSE(MATCH(IF($E251="","Основний",$E251),{"Трафіковий","Основний","Маржинальний","Сезонний","Стратегічний"},0),Settings!$E$78,Settings!$E$80,Settings!$E$82,Settings!$E$84,Settings!$E$86))/6,2)*6,"")</f>
        <v/>
      </c>
      <c r="S251" s="142">
        <f>IFERROR(CHOOSE(MATCH(IF($E251="","Основний",$E251),{"Трафіковий","Основний","Маржинальний","Сезонний","Стратегічний"},0),Settings!$E$78,Settings!$E$80,Settings!$E$82,Settings!$E$84,Settings!$E$86),"")</f>
        <v/>
      </c>
      <c r="T251" s="148">
        <f>IFERROR((R251*(1-Settings!$E$17)-C251)/(R251*(1-Settings!$E$17)),"")</f>
        <v/>
      </c>
      <c r="U251" s="149">
        <f>IFERROR(IF(R251="","",IF(R251&gt;=C251/(1-SKU_Base!AC251)/(1-Settings!$E$17),"OK",IF(R251&gt;=C251/(1-SKU_Base!AJ251)/(1-Settings!$E$17),"WARN","STOP"))),"")</f>
        <v/>
      </c>
      <c r="V251" s="161">
        <f>IFERROR(ROUND(D251*(1-CHOOSE(MATCH(IF($E251="","Основний",$E251),{"Трафіковий","Основний","Маржинальний","Сезонний","Стратегічний"},0),Settings!$F$78,Settings!$F$80,Settings!$F$82,Settings!$F$84,Settings!$F$86))/6,2)*6,"")</f>
        <v/>
      </c>
      <c r="W251" s="142">
        <f>IFERROR(CHOOSE(MATCH(IF($E251="","Основний",$E251),{"Трафіковий","Основний","Маржинальний","Сезонний","Стратегічний"},0),Settings!$F$78,Settings!$F$80,Settings!$F$82,Settings!$F$84,Settings!$F$86),"")</f>
        <v/>
      </c>
      <c r="X251" s="148">
        <f>IFERROR((V251*(1-Settings!$F$17)-C251)/(V251*(1-Settings!$F$17)),"")</f>
        <v/>
      </c>
      <c r="Y251" s="149">
        <f>IFERROR(IF(V251="","",IF(V251&gt;=C251/(1-SKU_Base!AD251)/(1-Settings!$F$17),"OK",IF(V251&gt;=C251/(1-SKU_Base!AK251)/(1-Settings!$F$17),"WARN","STOP"))),"")</f>
        <v/>
      </c>
      <c r="Z251" s="161">
        <f>IFERROR(ROUND(D251*(1-CHOOSE(MATCH(IF($E251="","Основний",$E251),{"Трафіковий","Основний","Маржинальний","Сезонний","Стратегічний"},0),Settings!$G$78,Settings!$G$80,Settings!$G$82,Settings!$G$84,Settings!$G$86))/6,2)*6,"")</f>
        <v/>
      </c>
      <c r="AA251" s="142">
        <f>IFERROR(CHOOSE(MATCH(IF($E251="","Основний",$E251),{"Трафіковий","Основний","Маржинальний","Сезонний","Стратегічний"},0),Settings!$G$78,Settings!$G$80,Settings!$G$82,Settings!$G$84,Settings!$G$86),"")</f>
        <v/>
      </c>
      <c r="AB251" s="148">
        <f>IFERROR((Z251*(1-Settings!$G$17)-C251)/(Z251*(1-Settings!$G$17)),"")</f>
        <v/>
      </c>
      <c r="AC251" s="149">
        <f>IFERROR(IF(Z251="","",IF(Z251&gt;=C251/(1-SKU_Base!AE251)/(1-Settings!$G$17),"OK",IF(Z251&gt;=C251/(1-SKU_Base!AL251)/(1-Settings!$G$17),"WARN","STOP"))),"")</f>
        <v/>
      </c>
      <c r="AD251" s="161">
        <f>IFERROR(ROUND(D251*(1-CHOOSE(MATCH(IF($E251="","Основний",$E251),{"Трафіковий","Основний","Маржинальний","Сезонний","Стратегічний"},0),Settings!$H$78,Settings!$H$80,Settings!$H$82,Settings!$H$84,Settings!$H$86))*(1-Settings!$H$68)/6,2)*6,"")</f>
        <v/>
      </c>
      <c r="AE251" s="142">
        <f>IFERROR(CHOOSE(MATCH(IF($E251="","Основний",$E251),{"Трафіковий","Основний","Маржинальний","Сезонний","Стратегічний"},0),Settings!$H$78,Settings!$H$80,Settings!$H$82,Settings!$H$84,Settings!$H$86)+(1-(CHOOSE(MATCH(IF($E251="","Основний",$E251),{"Трафіковий","Основний","Маржинальний","Сезонний","Стратегічний"},0),Settings!$H$78,Settings!$H$80,Settings!$H$82,Settings!$H$84,Settings!$H$86)))*Settings!$H$68,"")</f>
        <v/>
      </c>
      <c r="AF251" s="148">
        <f>IFERROR((AD251*(1-Settings!$H$17)-C251)/(AD251*(1-Settings!$H$17)),"")</f>
        <v/>
      </c>
      <c r="AG251" s="149">
        <f>IFERROR(IF(AD251="","",IF(AD251&gt;=C251/(1-SKU_Base!AF251)/(1-Settings!$H$17),"OK",IF(AD251&gt;=C251/(1-SKU_Base!AM251)/(1-Settings!$H$17),"WARN","STOP"))),"")</f>
        <v/>
      </c>
    </row>
    <row r="252" ht="17" customHeight="1" s="179">
      <c r="A252" s="139">
        <f>SKU_Base!B252</f>
        <v/>
      </c>
      <c r="B252" s="139">
        <f>SKU_Base!C252</f>
        <v/>
      </c>
      <c r="C252" s="140">
        <f>IFERROR(SKU_Base!I252,"")</f>
        <v/>
      </c>
      <c r="D252" s="163">
        <f>IFERROR(SKU_Base!T252,"")</f>
        <v/>
      </c>
      <c r="E252" s="141">
        <f>IFERROR(SKU_Base!$U252,"")</f>
        <v/>
      </c>
      <c r="F252" s="158">
        <f>IFERROR(ROUND(D252*(1-CHOOSE(MATCH(IF($E252="","Основний",$E252),{"Трафіковий","Основний","Маржинальний","Сезонний","Стратегічний"},0),Settings!$B$78,Settings!$B$80,Settings!$B$82,Settings!$B$84,Settings!$B$86))/6,2)*6,"")</f>
        <v/>
      </c>
      <c r="G252" s="142">
        <f>IFERROR(CHOOSE(MATCH(IF($E252="","Основний",$E252),{"Трафіковий","Основний","Маржинальний","Сезонний","Стратегічний"},0),Settings!$B$78,Settings!$B$80,Settings!$B$82,Settings!$B$84,Settings!$B$86),"")</f>
        <v/>
      </c>
      <c r="H252" s="143">
        <f>IFERROR((F252*(1-Settings!$B$17)-C252)/(F252*(1-Settings!$B$17)),"")</f>
        <v/>
      </c>
      <c r="I252" s="150">
        <f>IFERROR(IF(F252="","",IF(F252&gt;=C252/(1-SKU_Base!Z252)/(1-Settings!$B$17),"OK",IF(F252&gt;=C252/(1-SKU_Base!AG252)/(1-Settings!$B$17),"WARN","STOP"))),"")</f>
        <v/>
      </c>
      <c r="J252" s="158">
        <f>IFERROR(ROUND(D252*(1-CHOOSE(MATCH(IF($E252="","Основний",$E252),{"Трафіковий","Основний","Маржинальний","Сезонний","Стратегічний"},0),Settings!$C$78,Settings!$C$80,Settings!$C$82,Settings!$C$84,Settings!$C$86))/6,2)*6,"")</f>
        <v/>
      </c>
      <c r="K252" s="142">
        <f>IFERROR(CHOOSE(MATCH(IF($E252="","Основний",$E252),{"Трафіковий","Основний","Маржинальний","Сезонний","Стратегічний"},0),Settings!$C$78,Settings!$C$80,Settings!$C$82,Settings!$C$84,Settings!$C$86),"")</f>
        <v/>
      </c>
      <c r="L252" s="143">
        <f>IFERROR((J252*(1-Settings!$C$17)-C252)/(J252*(1-Settings!$C$17)),"")</f>
        <v/>
      </c>
      <c r="M252" s="149">
        <f>IFERROR(IF(J252="","",IF(J252&gt;=C252/(1-SKU_Base!AA252)/(1-Settings!$C$17),"OK",IF(J252&gt;=C252/(1-SKU_Base!AH252)/(1-Settings!$C$17),"WARN","STOP"))),"")</f>
        <v/>
      </c>
      <c r="N252" s="159">
        <f>IFERROR(ROUND(D252*(1-CHOOSE(MATCH(IF($E252="","Основний",$E252),{"Трафіковий","Основний","Маржинальний","Сезонний","Стратегічний"},0),Settings!$D$78,Settings!$D$80,Settings!$D$82,Settings!$D$84,Settings!$D$86))/6,2)*6,"")</f>
        <v/>
      </c>
      <c r="O252" s="142">
        <f>IFERROR(CHOOSE(MATCH(IF($E252="","Основний",$E252),{"Трафіковий","Основний","Маржинальний","Сезонний","Стратегічний"},0),Settings!$D$78,Settings!$D$80,Settings!$D$82,Settings!$D$84,Settings!$D$86),"")</f>
        <v/>
      </c>
      <c r="P252" s="143">
        <f>IFERROR((N252*(1-Settings!$D$17)-C252)/(N252*(1-Settings!$D$17)),"")</f>
        <v/>
      </c>
      <c r="Q252" s="149">
        <f>IFERROR(IF(N252="","",IF(N252&gt;=C252/(1-SKU_Base!AB252)/(1-Settings!$D$17),"OK",IF(N252&gt;=C252/(1-SKU_Base!AI252)/(1-Settings!$D$17),"WARN","STOP"))),"")</f>
        <v/>
      </c>
      <c r="R252" s="159">
        <f>IFERROR(ROUND(D252*(1-CHOOSE(MATCH(IF($E252="","Основний",$E252),{"Трафіковий","Основний","Маржинальний","Сезонний","Стратегічний"},0),Settings!$E$78,Settings!$E$80,Settings!$E$82,Settings!$E$84,Settings!$E$86))/6,2)*6,"")</f>
        <v/>
      </c>
      <c r="S252" s="142">
        <f>IFERROR(CHOOSE(MATCH(IF($E252="","Основний",$E252),{"Трафіковий","Основний","Маржинальний","Сезонний","Стратегічний"},0),Settings!$E$78,Settings!$E$80,Settings!$E$82,Settings!$E$84,Settings!$E$86),"")</f>
        <v/>
      </c>
      <c r="T252" s="143">
        <f>IFERROR((R252*(1-Settings!$E$17)-C252)/(R252*(1-Settings!$E$17)),"")</f>
        <v/>
      </c>
      <c r="U252" s="149">
        <f>IFERROR(IF(R252="","",IF(R252&gt;=C252/(1-SKU_Base!AC252)/(1-Settings!$E$17),"OK",IF(R252&gt;=C252/(1-SKU_Base!AJ252)/(1-Settings!$E$17),"WARN","STOP"))),"")</f>
        <v/>
      </c>
      <c r="V252" s="159">
        <f>IFERROR(ROUND(D252*(1-CHOOSE(MATCH(IF($E252="","Основний",$E252),{"Трафіковий","Основний","Маржинальний","Сезонний","Стратегічний"},0),Settings!$F$78,Settings!$F$80,Settings!$F$82,Settings!$F$84,Settings!$F$86))/6,2)*6,"")</f>
        <v/>
      </c>
      <c r="W252" s="142">
        <f>IFERROR(CHOOSE(MATCH(IF($E252="","Основний",$E252),{"Трафіковий","Основний","Маржинальний","Сезонний","Стратегічний"},0),Settings!$F$78,Settings!$F$80,Settings!$F$82,Settings!$F$84,Settings!$F$86),"")</f>
        <v/>
      </c>
      <c r="X252" s="143">
        <f>IFERROR((V252*(1-Settings!$F$17)-C252)/(V252*(1-Settings!$F$17)),"")</f>
        <v/>
      </c>
      <c r="Y252" s="149">
        <f>IFERROR(IF(V252="","",IF(V252&gt;=C252/(1-SKU_Base!AD252)/(1-Settings!$F$17),"OK",IF(V252&gt;=C252/(1-SKU_Base!AK252)/(1-Settings!$F$17),"WARN","STOP"))),"")</f>
        <v/>
      </c>
      <c r="Z252" s="159">
        <f>IFERROR(ROUND(D252*(1-CHOOSE(MATCH(IF($E252="","Основний",$E252),{"Трафіковий","Основний","Маржинальний","Сезонний","Стратегічний"},0),Settings!$G$78,Settings!$G$80,Settings!$G$82,Settings!$G$84,Settings!$G$86))/6,2)*6,"")</f>
        <v/>
      </c>
      <c r="AA252" s="142">
        <f>IFERROR(CHOOSE(MATCH(IF($E252="","Основний",$E252),{"Трафіковий","Основний","Маржинальний","Сезонний","Стратегічний"},0),Settings!$G$78,Settings!$G$80,Settings!$G$82,Settings!$G$84,Settings!$G$86),"")</f>
        <v/>
      </c>
      <c r="AB252" s="143">
        <f>IFERROR((Z252*(1-Settings!$G$17)-C252)/(Z252*(1-Settings!$G$17)),"")</f>
        <v/>
      </c>
      <c r="AC252" s="149">
        <f>IFERROR(IF(Z252="","",IF(Z252&gt;=C252/(1-SKU_Base!AE252)/(1-Settings!$G$17),"OK",IF(Z252&gt;=C252/(1-SKU_Base!AL252)/(1-Settings!$G$17),"WARN","STOP"))),"")</f>
        <v/>
      </c>
      <c r="AD252" s="159">
        <f>IFERROR(ROUND(D252*(1-CHOOSE(MATCH(IF($E252="","Основний",$E252),{"Трафіковий","Основний","Маржинальний","Сезонний","Стратегічний"},0),Settings!$H$78,Settings!$H$80,Settings!$H$82,Settings!$H$84,Settings!$H$86))*(1-Settings!$H$68)/6,2)*6,"")</f>
        <v/>
      </c>
      <c r="AE252" s="142">
        <f>IFERROR(CHOOSE(MATCH(IF($E252="","Основний",$E252),{"Трафіковий","Основний","Маржинальний","Сезонний","Стратегічний"},0),Settings!$H$78,Settings!$H$80,Settings!$H$82,Settings!$H$84,Settings!$H$86)+(1-(CHOOSE(MATCH(IF($E252="","Основний",$E252),{"Трафіковий","Основний","Маржинальний","Сезонний","Стратегічний"},0),Settings!$H$78,Settings!$H$80,Settings!$H$82,Settings!$H$84,Settings!$H$86)))*Settings!$H$68,"")</f>
        <v/>
      </c>
      <c r="AF252" s="143">
        <f>IFERROR((AD252*(1-Settings!$H$17)-C252)/(AD252*(1-Settings!$H$17)),"")</f>
        <v/>
      </c>
      <c r="AG252" s="150">
        <f>IFERROR(IF(AD252="","",IF(AD252&gt;=C252/(1-SKU_Base!AF252)/(1-Settings!$H$17),"OK",IF(AD252&gt;=C252/(1-SKU_Base!AM252)/(1-Settings!$H$17),"WARN","STOP"))),"")</f>
        <v/>
      </c>
    </row>
    <row r="253" ht="17" customHeight="1" s="179">
      <c r="A253" s="146">
        <f>SKU_Base!B253</f>
        <v/>
      </c>
      <c r="B253" s="146">
        <f>SKU_Base!C253</f>
        <v/>
      </c>
      <c r="C253" s="147">
        <f>IFERROR(SKU_Base!I253,"")</f>
        <v/>
      </c>
      <c r="D253" s="164">
        <f>IFERROR(SKU_Base!T253,"")</f>
        <v/>
      </c>
      <c r="E253" s="141">
        <f>IFERROR(SKU_Base!$U253,"")</f>
        <v/>
      </c>
      <c r="F253" s="160">
        <f>IFERROR(ROUND(D253*(1-CHOOSE(MATCH(IF($E253="","Основний",$E253),{"Трафіковий","Основний","Маржинальний","Сезонний","Стратегічний"},0),Settings!$B$78,Settings!$B$80,Settings!$B$82,Settings!$B$84,Settings!$B$86))/6,2)*6,"")</f>
        <v/>
      </c>
      <c r="G253" s="142">
        <f>IFERROR(CHOOSE(MATCH(IF($E253="","Основний",$E253),{"Трафіковий","Основний","Маржинальний","Сезонний","Стратегічний"},0),Settings!$B$78,Settings!$B$80,Settings!$B$82,Settings!$B$84,Settings!$B$86),"")</f>
        <v/>
      </c>
      <c r="H253" s="148">
        <f>IFERROR((F253*(1-Settings!$B$17)-C253)/(F253*(1-Settings!$B$17)),"")</f>
        <v/>
      </c>
      <c r="I253" s="149">
        <f>IFERROR(IF(F253="","",IF(F253&gt;=C253/(1-SKU_Base!Z253)/(1-Settings!$B$17),"OK",IF(F253&gt;=C253/(1-SKU_Base!AG253)/(1-Settings!$B$17),"WARN","STOP"))),"")</f>
        <v/>
      </c>
      <c r="J253" s="160">
        <f>IFERROR(ROUND(D253*(1-CHOOSE(MATCH(IF($E253="","Основний",$E253),{"Трафіковий","Основний","Маржинальний","Сезонний","Стратегічний"},0),Settings!$C$78,Settings!$C$80,Settings!$C$82,Settings!$C$84,Settings!$C$86))/6,2)*6,"")</f>
        <v/>
      </c>
      <c r="K253" s="142">
        <f>IFERROR(CHOOSE(MATCH(IF($E253="","Основний",$E253),{"Трафіковий","Основний","Маржинальний","Сезонний","Стратегічний"},0),Settings!$C$78,Settings!$C$80,Settings!$C$82,Settings!$C$84,Settings!$C$86),"")</f>
        <v/>
      </c>
      <c r="L253" s="148">
        <f>IFERROR((J253*(1-Settings!$C$17)-C253)/(J253*(1-Settings!$C$17)),"")</f>
        <v/>
      </c>
      <c r="M253" s="149">
        <f>IFERROR(IF(J253="","",IF(J253&gt;=C253/(1-SKU_Base!AA253)/(1-Settings!$C$17),"OK",IF(J253&gt;=C253/(1-SKU_Base!AH253)/(1-Settings!$C$17),"WARN","STOP"))),"")</f>
        <v/>
      </c>
      <c r="N253" s="161">
        <f>IFERROR(ROUND(D253*(1-CHOOSE(MATCH(IF($E253="","Основний",$E253),{"Трафіковий","Основний","Маржинальний","Сезонний","Стратегічний"},0),Settings!$D$78,Settings!$D$80,Settings!$D$82,Settings!$D$84,Settings!$D$86))/6,2)*6,"")</f>
        <v/>
      </c>
      <c r="O253" s="142">
        <f>IFERROR(CHOOSE(MATCH(IF($E253="","Основний",$E253),{"Трафіковий","Основний","Маржинальний","Сезонний","Стратегічний"},0),Settings!$D$78,Settings!$D$80,Settings!$D$82,Settings!$D$84,Settings!$D$86),"")</f>
        <v/>
      </c>
      <c r="P253" s="148">
        <f>IFERROR((N253*(1-Settings!$D$17)-C253)/(N253*(1-Settings!$D$17)),"")</f>
        <v/>
      </c>
      <c r="Q253" s="149">
        <f>IFERROR(IF(N253="","",IF(N253&gt;=C253/(1-SKU_Base!AB253)/(1-Settings!$D$17),"OK",IF(N253&gt;=C253/(1-SKU_Base!AI253)/(1-Settings!$D$17),"WARN","STOP"))),"")</f>
        <v/>
      </c>
      <c r="R253" s="161">
        <f>IFERROR(ROUND(D253*(1-CHOOSE(MATCH(IF($E253="","Основний",$E253),{"Трафіковий","Основний","Маржинальний","Сезонний","Стратегічний"},0),Settings!$E$78,Settings!$E$80,Settings!$E$82,Settings!$E$84,Settings!$E$86))/6,2)*6,"")</f>
        <v/>
      </c>
      <c r="S253" s="142">
        <f>IFERROR(CHOOSE(MATCH(IF($E253="","Основний",$E253),{"Трафіковий","Основний","Маржинальний","Сезонний","Стратегічний"},0),Settings!$E$78,Settings!$E$80,Settings!$E$82,Settings!$E$84,Settings!$E$86),"")</f>
        <v/>
      </c>
      <c r="T253" s="148">
        <f>IFERROR((R253*(1-Settings!$E$17)-C253)/(R253*(1-Settings!$E$17)),"")</f>
        <v/>
      </c>
      <c r="U253" s="149">
        <f>IFERROR(IF(R253="","",IF(R253&gt;=C253/(1-SKU_Base!AC253)/(1-Settings!$E$17),"OK",IF(R253&gt;=C253/(1-SKU_Base!AJ253)/(1-Settings!$E$17),"WARN","STOP"))),"")</f>
        <v/>
      </c>
      <c r="V253" s="161">
        <f>IFERROR(ROUND(D253*(1-CHOOSE(MATCH(IF($E253="","Основний",$E253),{"Трафіковий","Основний","Маржинальний","Сезонний","Стратегічний"},0),Settings!$F$78,Settings!$F$80,Settings!$F$82,Settings!$F$84,Settings!$F$86))/6,2)*6,"")</f>
        <v/>
      </c>
      <c r="W253" s="142">
        <f>IFERROR(CHOOSE(MATCH(IF($E253="","Основний",$E253),{"Трафіковий","Основний","Маржинальний","Сезонний","Стратегічний"},0),Settings!$F$78,Settings!$F$80,Settings!$F$82,Settings!$F$84,Settings!$F$86),"")</f>
        <v/>
      </c>
      <c r="X253" s="148">
        <f>IFERROR((V253*(1-Settings!$F$17)-C253)/(V253*(1-Settings!$F$17)),"")</f>
        <v/>
      </c>
      <c r="Y253" s="149">
        <f>IFERROR(IF(V253="","",IF(V253&gt;=C253/(1-SKU_Base!AD253)/(1-Settings!$F$17),"OK",IF(V253&gt;=C253/(1-SKU_Base!AK253)/(1-Settings!$F$17),"WARN","STOP"))),"")</f>
        <v/>
      </c>
      <c r="Z253" s="161">
        <f>IFERROR(ROUND(D253*(1-CHOOSE(MATCH(IF($E253="","Основний",$E253),{"Трафіковий","Основний","Маржинальний","Сезонний","Стратегічний"},0),Settings!$G$78,Settings!$G$80,Settings!$G$82,Settings!$G$84,Settings!$G$86))/6,2)*6,"")</f>
        <v/>
      </c>
      <c r="AA253" s="142">
        <f>IFERROR(CHOOSE(MATCH(IF($E253="","Основний",$E253),{"Трафіковий","Основний","Маржинальний","Сезонний","Стратегічний"},0),Settings!$G$78,Settings!$G$80,Settings!$G$82,Settings!$G$84,Settings!$G$86),"")</f>
        <v/>
      </c>
      <c r="AB253" s="148">
        <f>IFERROR((Z253*(1-Settings!$G$17)-C253)/(Z253*(1-Settings!$G$17)),"")</f>
        <v/>
      </c>
      <c r="AC253" s="149">
        <f>IFERROR(IF(Z253="","",IF(Z253&gt;=C253/(1-SKU_Base!AE253)/(1-Settings!$G$17),"OK",IF(Z253&gt;=C253/(1-SKU_Base!AL253)/(1-Settings!$G$17),"WARN","STOP"))),"")</f>
        <v/>
      </c>
      <c r="AD253" s="161">
        <f>IFERROR(ROUND(D253*(1-CHOOSE(MATCH(IF($E253="","Основний",$E253),{"Трафіковий","Основний","Маржинальний","Сезонний","Стратегічний"},0),Settings!$H$78,Settings!$H$80,Settings!$H$82,Settings!$H$84,Settings!$H$86))*(1-Settings!$H$68)/6,2)*6,"")</f>
        <v/>
      </c>
      <c r="AE253" s="142">
        <f>IFERROR(CHOOSE(MATCH(IF($E253="","Основний",$E253),{"Трафіковий","Основний","Маржинальний","Сезонний","Стратегічний"},0),Settings!$H$78,Settings!$H$80,Settings!$H$82,Settings!$H$84,Settings!$H$86)+(1-(CHOOSE(MATCH(IF($E253="","Основний",$E253),{"Трафіковий","Основний","Маржинальний","Сезонний","Стратегічний"},0),Settings!$H$78,Settings!$H$80,Settings!$H$82,Settings!$H$84,Settings!$H$86)))*Settings!$H$68,"")</f>
        <v/>
      </c>
      <c r="AF253" s="148">
        <f>IFERROR((AD253*(1-Settings!$H$17)-C253)/(AD253*(1-Settings!$H$17)),"")</f>
        <v/>
      </c>
      <c r="AG253" s="149">
        <f>IFERROR(IF(AD253="","",IF(AD253&gt;=C253/(1-SKU_Base!AF253)/(1-Settings!$H$17),"OK",IF(AD253&gt;=C253/(1-SKU_Base!AM253)/(1-Settings!$H$17),"WARN","STOP"))),"")</f>
        <v/>
      </c>
    </row>
    <row r="254" ht="17" customHeight="1" s="179">
      <c r="A254" s="139">
        <f>SKU_Base!B254</f>
        <v/>
      </c>
      <c r="B254" s="139">
        <f>SKU_Base!C254</f>
        <v/>
      </c>
      <c r="C254" s="140">
        <f>IFERROR(SKU_Base!I254,"")</f>
        <v/>
      </c>
      <c r="D254" s="163">
        <f>IFERROR(SKU_Base!T254,"")</f>
        <v/>
      </c>
      <c r="E254" s="141">
        <f>IFERROR(SKU_Base!$U254,"")</f>
        <v/>
      </c>
      <c r="F254" s="158">
        <f>IFERROR(ROUND(D254*(1-CHOOSE(MATCH(IF($E254="","Основний",$E254),{"Трафіковий","Основний","Маржинальний","Сезонний","Стратегічний"},0),Settings!$B$78,Settings!$B$80,Settings!$B$82,Settings!$B$84,Settings!$B$86))/6,2)*6,"")</f>
        <v/>
      </c>
      <c r="G254" s="142">
        <f>IFERROR(CHOOSE(MATCH(IF($E254="","Основний",$E254),{"Трафіковий","Основний","Маржинальний","Сезонний","Стратегічний"},0),Settings!$B$78,Settings!$B$80,Settings!$B$82,Settings!$B$84,Settings!$B$86),"")</f>
        <v/>
      </c>
      <c r="H254" s="143">
        <f>IFERROR((F254*(1-Settings!$B$17)-C254)/(F254*(1-Settings!$B$17)),"")</f>
        <v/>
      </c>
      <c r="I254" s="149">
        <f>IFERROR(IF(F254="","",IF(F254&gt;=C254/(1-SKU_Base!Z254)/(1-Settings!$B$17),"OK",IF(F254&gt;=C254/(1-SKU_Base!AG254)/(1-Settings!$B$17),"WARN","STOP"))),"")</f>
        <v/>
      </c>
      <c r="J254" s="158">
        <f>IFERROR(ROUND(D254*(1-CHOOSE(MATCH(IF($E254="","Основний",$E254),{"Трафіковий","Основний","Маржинальний","Сезонний","Стратегічний"},0),Settings!$C$78,Settings!$C$80,Settings!$C$82,Settings!$C$84,Settings!$C$86))/6,2)*6,"")</f>
        <v/>
      </c>
      <c r="K254" s="142">
        <f>IFERROR(CHOOSE(MATCH(IF($E254="","Основний",$E254),{"Трафіковий","Основний","Маржинальний","Сезонний","Стратегічний"},0),Settings!$C$78,Settings!$C$80,Settings!$C$82,Settings!$C$84,Settings!$C$86),"")</f>
        <v/>
      </c>
      <c r="L254" s="143">
        <f>IFERROR((J254*(1-Settings!$C$17)-C254)/(J254*(1-Settings!$C$17)),"")</f>
        <v/>
      </c>
      <c r="M254" s="149">
        <f>IFERROR(IF(J254="","",IF(J254&gt;=C254/(1-SKU_Base!AA254)/(1-Settings!$C$17),"OK",IF(J254&gt;=C254/(1-SKU_Base!AH254)/(1-Settings!$C$17),"WARN","STOP"))),"")</f>
        <v/>
      </c>
      <c r="N254" s="159">
        <f>IFERROR(ROUND(D254*(1-CHOOSE(MATCH(IF($E254="","Основний",$E254),{"Трафіковий","Основний","Маржинальний","Сезонний","Стратегічний"},0),Settings!$D$78,Settings!$D$80,Settings!$D$82,Settings!$D$84,Settings!$D$86))/6,2)*6,"")</f>
        <v/>
      </c>
      <c r="O254" s="142">
        <f>IFERROR(CHOOSE(MATCH(IF($E254="","Основний",$E254),{"Трафіковий","Основний","Маржинальний","Сезонний","Стратегічний"},0),Settings!$D$78,Settings!$D$80,Settings!$D$82,Settings!$D$84,Settings!$D$86),"")</f>
        <v/>
      </c>
      <c r="P254" s="143">
        <f>IFERROR((N254*(1-Settings!$D$17)-C254)/(N254*(1-Settings!$D$17)),"")</f>
        <v/>
      </c>
      <c r="Q254" s="149">
        <f>IFERROR(IF(N254="","",IF(N254&gt;=C254/(1-SKU_Base!AB254)/(1-Settings!$D$17),"OK",IF(N254&gt;=C254/(1-SKU_Base!AI254)/(1-Settings!$D$17),"WARN","STOP"))),"")</f>
        <v/>
      </c>
      <c r="R254" s="159">
        <f>IFERROR(ROUND(D254*(1-CHOOSE(MATCH(IF($E254="","Основний",$E254),{"Трафіковий","Основний","Маржинальний","Сезонний","Стратегічний"},0),Settings!$E$78,Settings!$E$80,Settings!$E$82,Settings!$E$84,Settings!$E$86))/6,2)*6,"")</f>
        <v/>
      </c>
      <c r="S254" s="142">
        <f>IFERROR(CHOOSE(MATCH(IF($E254="","Основний",$E254),{"Трафіковий","Основний","Маржинальний","Сезонний","Стратегічний"},0),Settings!$E$78,Settings!$E$80,Settings!$E$82,Settings!$E$84,Settings!$E$86),"")</f>
        <v/>
      </c>
      <c r="T254" s="143">
        <f>IFERROR((R254*(1-Settings!$E$17)-C254)/(R254*(1-Settings!$E$17)),"")</f>
        <v/>
      </c>
      <c r="U254" s="149">
        <f>IFERROR(IF(R254="","",IF(R254&gt;=C254/(1-SKU_Base!AC254)/(1-Settings!$E$17),"OK",IF(R254&gt;=C254/(1-SKU_Base!AJ254)/(1-Settings!$E$17),"WARN","STOP"))),"")</f>
        <v/>
      </c>
      <c r="V254" s="159">
        <f>IFERROR(ROUND(D254*(1-CHOOSE(MATCH(IF($E254="","Основний",$E254),{"Трафіковий","Основний","Маржинальний","Сезонний","Стратегічний"},0),Settings!$F$78,Settings!$F$80,Settings!$F$82,Settings!$F$84,Settings!$F$86))/6,2)*6,"")</f>
        <v/>
      </c>
      <c r="W254" s="142">
        <f>IFERROR(CHOOSE(MATCH(IF($E254="","Основний",$E254),{"Трафіковий","Основний","Маржинальний","Сезонний","Стратегічний"},0),Settings!$F$78,Settings!$F$80,Settings!$F$82,Settings!$F$84,Settings!$F$86),"")</f>
        <v/>
      </c>
      <c r="X254" s="143">
        <f>IFERROR((V254*(1-Settings!$F$17)-C254)/(V254*(1-Settings!$F$17)),"")</f>
        <v/>
      </c>
      <c r="Y254" s="149">
        <f>IFERROR(IF(V254="","",IF(V254&gt;=C254/(1-SKU_Base!AD254)/(1-Settings!$F$17),"OK",IF(V254&gt;=C254/(1-SKU_Base!AK254)/(1-Settings!$F$17),"WARN","STOP"))),"")</f>
        <v/>
      </c>
      <c r="Z254" s="159">
        <f>IFERROR(ROUND(D254*(1-CHOOSE(MATCH(IF($E254="","Основний",$E254),{"Трафіковий","Основний","Маржинальний","Сезонний","Стратегічний"},0),Settings!$G$78,Settings!$G$80,Settings!$G$82,Settings!$G$84,Settings!$G$86))/6,2)*6,"")</f>
        <v/>
      </c>
      <c r="AA254" s="142">
        <f>IFERROR(CHOOSE(MATCH(IF($E254="","Основний",$E254),{"Трафіковий","Основний","Маржинальний","Сезонний","Стратегічний"},0),Settings!$G$78,Settings!$G$80,Settings!$G$82,Settings!$G$84,Settings!$G$86),"")</f>
        <v/>
      </c>
      <c r="AB254" s="143">
        <f>IFERROR((Z254*(1-Settings!$G$17)-C254)/(Z254*(1-Settings!$G$17)),"")</f>
        <v/>
      </c>
      <c r="AC254" s="149">
        <f>IFERROR(IF(Z254="","",IF(Z254&gt;=C254/(1-SKU_Base!AE254)/(1-Settings!$G$17),"OK",IF(Z254&gt;=C254/(1-SKU_Base!AL254)/(1-Settings!$G$17),"WARN","STOP"))),"")</f>
        <v/>
      </c>
      <c r="AD254" s="159">
        <f>IFERROR(ROUND(D254*(1-CHOOSE(MATCH(IF($E254="","Основний",$E254),{"Трафіковий","Основний","Маржинальний","Сезонний","Стратегічний"},0),Settings!$H$78,Settings!$H$80,Settings!$H$82,Settings!$H$84,Settings!$H$86))*(1-Settings!$H$68)/6,2)*6,"")</f>
        <v/>
      </c>
      <c r="AE254" s="142">
        <f>IFERROR(CHOOSE(MATCH(IF($E254="","Основний",$E254),{"Трафіковий","Основний","Маржинальний","Сезонний","Стратегічний"},0),Settings!$H$78,Settings!$H$80,Settings!$H$82,Settings!$H$84,Settings!$H$86)+(1-(CHOOSE(MATCH(IF($E254="","Основний",$E254),{"Трафіковий","Основний","Маржинальний","Сезонний","Стратегічний"},0),Settings!$H$78,Settings!$H$80,Settings!$H$82,Settings!$H$84,Settings!$H$86)))*Settings!$H$68,"")</f>
        <v/>
      </c>
      <c r="AF254" s="143">
        <f>IFERROR((AD254*(1-Settings!$H$17)-C254)/(AD254*(1-Settings!$H$17)),"")</f>
        <v/>
      </c>
      <c r="AG254" s="149">
        <f>IFERROR(IF(AD254="","",IF(AD254&gt;=C254/(1-SKU_Base!AF254)/(1-Settings!$H$17),"OK",IF(AD254&gt;=C254/(1-SKU_Base!AM254)/(1-Settings!$H$17),"WARN","STOP"))),"")</f>
        <v/>
      </c>
    </row>
    <row r="255" ht="17" customHeight="1" s="179">
      <c r="A255" s="146">
        <f>SKU_Base!B255</f>
        <v/>
      </c>
      <c r="B255" s="146">
        <f>SKU_Base!C255</f>
        <v/>
      </c>
      <c r="C255" s="147">
        <f>IFERROR(SKU_Base!I255,"")</f>
        <v/>
      </c>
      <c r="D255" s="164">
        <f>IFERROR(SKU_Base!T255,"")</f>
        <v/>
      </c>
      <c r="E255" s="141">
        <f>IFERROR(SKU_Base!$U255,"")</f>
        <v/>
      </c>
      <c r="F255" s="160">
        <f>IFERROR(ROUND(D255*(1-CHOOSE(MATCH(IF($E255="","Основний",$E255),{"Трафіковий","Основний","Маржинальний","Сезонний","Стратегічний"},0),Settings!$B$78,Settings!$B$80,Settings!$B$82,Settings!$B$84,Settings!$B$86))/6,2)*6,"")</f>
        <v/>
      </c>
      <c r="G255" s="142">
        <f>IFERROR(CHOOSE(MATCH(IF($E255="","Основний",$E255),{"Трафіковий","Основний","Маржинальний","Сезонний","Стратегічний"},0),Settings!$B$78,Settings!$B$80,Settings!$B$82,Settings!$B$84,Settings!$B$86),"")</f>
        <v/>
      </c>
      <c r="H255" s="148">
        <f>IFERROR((F255*(1-Settings!$B$17)-C255)/(F255*(1-Settings!$B$17)),"")</f>
        <v/>
      </c>
      <c r="I255" s="149">
        <f>IFERROR(IF(F255="","",IF(F255&gt;=C255/(1-SKU_Base!Z255)/(1-Settings!$B$17),"OK",IF(F255&gt;=C255/(1-SKU_Base!AG255)/(1-Settings!$B$17),"WARN","STOP"))),"")</f>
        <v/>
      </c>
      <c r="J255" s="160">
        <f>IFERROR(ROUND(D255*(1-CHOOSE(MATCH(IF($E255="","Основний",$E255),{"Трафіковий","Основний","Маржинальний","Сезонний","Стратегічний"},0),Settings!$C$78,Settings!$C$80,Settings!$C$82,Settings!$C$84,Settings!$C$86))/6,2)*6,"")</f>
        <v/>
      </c>
      <c r="K255" s="142">
        <f>IFERROR(CHOOSE(MATCH(IF($E255="","Основний",$E255),{"Трафіковий","Основний","Маржинальний","Сезонний","Стратегічний"},0),Settings!$C$78,Settings!$C$80,Settings!$C$82,Settings!$C$84,Settings!$C$86),"")</f>
        <v/>
      </c>
      <c r="L255" s="148">
        <f>IFERROR((J255*(1-Settings!$C$17)-C255)/(J255*(1-Settings!$C$17)),"")</f>
        <v/>
      </c>
      <c r="M255" s="149">
        <f>IFERROR(IF(J255="","",IF(J255&gt;=C255/(1-SKU_Base!AA255)/(1-Settings!$C$17),"OK",IF(J255&gt;=C255/(1-SKU_Base!AH255)/(1-Settings!$C$17),"WARN","STOP"))),"")</f>
        <v/>
      </c>
      <c r="N255" s="161">
        <f>IFERROR(ROUND(D255*(1-CHOOSE(MATCH(IF($E255="","Основний",$E255),{"Трафіковий","Основний","Маржинальний","Сезонний","Стратегічний"},0),Settings!$D$78,Settings!$D$80,Settings!$D$82,Settings!$D$84,Settings!$D$86))/6,2)*6,"")</f>
        <v/>
      </c>
      <c r="O255" s="142">
        <f>IFERROR(CHOOSE(MATCH(IF($E255="","Основний",$E255),{"Трафіковий","Основний","Маржинальний","Сезонний","Стратегічний"},0),Settings!$D$78,Settings!$D$80,Settings!$D$82,Settings!$D$84,Settings!$D$86),"")</f>
        <v/>
      </c>
      <c r="P255" s="148">
        <f>IFERROR((N255*(1-Settings!$D$17)-C255)/(N255*(1-Settings!$D$17)),"")</f>
        <v/>
      </c>
      <c r="Q255" s="149">
        <f>IFERROR(IF(N255="","",IF(N255&gt;=C255/(1-SKU_Base!AB255)/(1-Settings!$D$17),"OK",IF(N255&gt;=C255/(1-SKU_Base!AI255)/(1-Settings!$D$17),"WARN","STOP"))),"")</f>
        <v/>
      </c>
      <c r="R255" s="161">
        <f>IFERROR(ROUND(D255*(1-CHOOSE(MATCH(IF($E255="","Основний",$E255),{"Трафіковий","Основний","Маржинальний","Сезонний","Стратегічний"},0),Settings!$E$78,Settings!$E$80,Settings!$E$82,Settings!$E$84,Settings!$E$86))/6,2)*6,"")</f>
        <v/>
      </c>
      <c r="S255" s="142">
        <f>IFERROR(CHOOSE(MATCH(IF($E255="","Основний",$E255),{"Трафіковий","Основний","Маржинальний","Сезонний","Стратегічний"},0),Settings!$E$78,Settings!$E$80,Settings!$E$82,Settings!$E$84,Settings!$E$86),"")</f>
        <v/>
      </c>
      <c r="T255" s="148">
        <f>IFERROR((R255*(1-Settings!$E$17)-C255)/(R255*(1-Settings!$E$17)),"")</f>
        <v/>
      </c>
      <c r="U255" s="149">
        <f>IFERROR(IF(R255="","",IF(R255&gt;=C255/(1-SKU_Base!AC255)/(1-Settings!$E$17),"OK",IF(R255&gt;=C255/(1-SKU_Base!AJ255)/(1-Settings!$E$17),"WARN","STOP"))),"")</f>
        <v/>
      </c>
      <c r="V255" s="161">
        <f>IFERROR(ROUND(D255*(1-CHOOSE(MATCH(IF($E255="","Основний",$E255),{"Трафіковий","Основний","Маржинальний","Сезонний","Стратегічний"},0),Settings!$F$78,Settings!$F$80,Settings!$F$82,Settings!$F$84,Settings!$F$86))/6,2)*6,"")</f>
        <v/>
      </c>
      <c r="W255" s="142">
        <f>IFERROR(CHOOSE(MATCH(IF($E255="","Основний",$E255),{"Трафіковий","Основний","Маржинальний","Сезонний","Стратегічний"},0),Settings!$F$78,Settings!$F$80,Settings!$F$82,Settings!$F$84,Settings!$F$86),"")</f>
        <v/>
      </c>
      <c r="X255" s="148">
        <f>IFERROR((V255*(1-Settings!$F$17)-C255)/(V255*(1-Settings!$F$17)),"")</f>
        <v/>
      </c>
      <c r="Y255" s="149">
        <f>IFERROR(IF(V255="","",IF(V255&gt;=C255/(1-SKU_Base!AD255)/(1-Settings!$F$17),"OK",IF(V255&gt;=C255/(1-SKU_Base!AK255)/(1-Settings!$F$17),"WARN","STOP"))),"")</f>
        <v/>
      </c>
      <c r="Z255" s="161">
        <f>IFERROR(ROUND(D255*(1-CHOOSE(MATCH(IF($E255="","Основний",$E255),{"Трафіковий","Основний","Маржинальний","Сезонний","Стратегічний"},0),Settings!$G$78,Settings!$G$80,Settings!$G$82,Settings!$G$84,Settings!$G$86))/6,2)*6,"")</f>
        <v/>
      </c>
      <c r="AA255" s="142">
        <f>IFERROR(CHOOSE(MATCH(IF($E255="","Основний",$E255),{"Трафіковий","Основний","Маржинальний","Сезонний","Стратегічний"},0),Settings!$G$78,Settings!$G$80,Settings!$G$82,Settings!$G$84,Settings!$G$86),"")</f>
        <v/>
      </c>
      <c r="AB255" s="148">
        <f>IFERROR((Z255*(1-Settings!$G$17)-C255)/(Z255*(1-Settings!$G$17)),"")</f>
        <v/>
      </c>
      <c r="AC255" s="149">
        <f>IFERROR(IF(Z255="","",IF(Z255&gt;=C255/(1-SKU_Base!AE255)/(1-Settings!$G$17),"OK",IF(Z255&gt;=C255/(1-SKU_Base!AL255)/(1-Settings!$G$17),"WARN","STOP"))),"")</f>
        <v/>
      </c>
      <c r="AD255" s="161">
        <f>IFERROR(ROUND(D255*(1-CHOOSE(MATCH(IF($E255="","Основний",$E255),{"Трафіковий","Основний","Маржинальний","Сезонний","Стратегічний"},0),Settings!$H$78,Settings!$H$80,Settings!$H$82,Settings!$H$84,Settings!$H$86))*(1-Settings!$H$68)/6,2)*6,"")</f>
        <v/>
      </c>
      <c r="AE255" s="142">
        <f>IFERROR(CHOOSE(MATCH(IF($E255="","Основний",$E255),{"Трафіковий","Основний","Маржинальний","Сезонний","Стратегічний"},0),Settings!$H$78,Settings!$H$80,Settings!$H$82,Settings!$H$84,Settings!$H$86)+(1-(CHOOSE(MATCH(IF($E255="","Основний",$E255),{"Трафіковий","Основний","Маржинальний","Сезонний","Стратегічний"},0),Settings!$H$78,Settings!$H$80,Settings!$H$82,Settings!$H$84,Settings!$H$86)))*Settings!$H$68,"")</f>
        <v/>
      </c>
      <c r="AF255" s="148">
        <f>IFERROR((AD255*(1-Settings!$H$17)-C255)/(AD255*(1-Settings!$H$17)),"")</f>
        <v/>
      </c>
      <c r="AG255" s="150">
        <f>IFERROR(IF(AD255="","",IF(AD255&gt;=C255/(1-SKU_Base!AF255)/(1-Settings!$H$17),"OK",IF(AD255&gt;=C255/(1-SKU_Base!AM255)/(1-Settings!$H$17),"WARN","STOP"))),"")</f>
        <v/>
      </c>
    </row>
    <row r="256" ht="17" customHeight="1" s="179">
      <c r="A256" s="139">
        <f>SKU_Base!B256</f>
        <v/>
      </c>
      <c r="B256" s="139">
        <f>SKU_Base!C256</f>
        <v/>
      </c>
      <c r="C256" s="140">
        <f>IFERROR(SKU_Base!I256,"")</f>
        <v/>
      </c>
      <c r="D256" s="163">
        <f>IFERROR(SKU_Base!T256,"")</f>
        <v/>
      </c>
      <c r="E256" s="141">
        <f>IFERROR(SKU_Base!$U256,"")</f>
        <v/>
      </c>
      <c r="F256" s="158">
        <f>IFERROR(ROUND(D256*(1-CHOOSE(MATCH(IF($E256="","Основний",$E256),{"Трафіковий","Основний","Маржинальний","Сезонний","Стратегічний"},0),Settings!$B$78,Settings!$B$80,Settings!$B$82,Settings!$B$84,Settings!$B$86))/6,2)*6,"")</f>
        <v/>
      </c>
      <c r="G256" s="142">
        <f>IFERROR(CHOOSE(MATCH(IF($E256="","Основний",$E256),{"Трафіковий","Основний","Маржинальний","Сезонний","Стратегічний"},0),Settings!$B$78,Settings!$B$80,Settings!$B$82,Settings!$B$84,Settings!$B$86),"")</f>
        <v/>
      </c>
      <c r="H256" s="143">
        <f>IFERROR((F256*(1-Settings!$B$17)-C256)/(F256*(1-Settings!$B$17)),"")</f>
        <v/>
      </c>
      <c r="I256" s="149">
        <f>IFERROR(IF(F256="","",IF(F256&gt;=C256/(1-SKU_Base!Z256)/(1-Settings!$B$17),"OK",IF(F256&gt;=C256/(1-SKU_Base!AG256)/(1-Settings!$B$17),"WARN","STOP"))),"")</f>
        <v/>
      </c>
      <c r="J256" s="158">
        <f>IFERROR(ROUND(D256*(1-CHOOSE(MATCH(IF($E256="","Основний",$E256),{"Трафіковий","Основний","Маржинальний","Сезонний","Стратегічний"},0),Settings!$C$78,Settings!$C$80,Settings!$C$82,Settings!$C$84,Settings!$C$86))/6,2)*6,"")</f>
        <v/>
      </c>
      <c r="K256" s="142">
        <f>IFERROR(CHOOSE(MATCH(IF($E256="","Основний",$E256),{"Трафіковий","Основний","Маржинальний","Сезонний","Стратегічний"},0),Settings!$C$78,Settings!$C$80,Settings!$C$82,Settings!$C$84,Settings!$C$86),"")</f>
        <v/>
      </c>
      <c r="L256" s="143">
        <f>IFERROR((J256*(1-Settings!$C$17)-C256)/(J256*(1-Settings!$C$17)),"")</f>
        <v/>
      </c>
      <c r="M256" s="149">
        <f>IFERROR(IF(J256="","",IF(J256&gt;=C256/(1-SKU_Base!AA256)/(1-Settings!$C$17),"OK",IF(J256&gt;=C256/(1-SKU_Base!AH256)/(1-Settings!$C$17),"WARN","STOP"))),"")</f>
        <v/>
      </c>
      <c r="N256" s="159">
        <f>IFERROR(ROUND(D256*(1-CHOOSE(MATCH(IF($E256="","Основний",$E256),{"Трафіковий","Основний","Маржинальний","Сезонний","Стратегічний"},0),Settings!$D$78,Settings!$D$80,Settings!$D$82,Settings!$D$84,Settings!$D$86))/6,2)*6,"")</f>
        <v/>
      </c>
      <c r="O256" s="142">
        <f>IFERROR(CHOOSE(MATCH(IF($E256="","Основний",$E256),{"Трафіковий","Основний","Маржинальний","Сезонний","Стратегічний"},0),Settings!$D$78,Settings!$D$80,Settings!$D$82,Settings!$D$84,Settings!$D$86),"")</f>
        <v/>
      </c>
      <c r="P256" s="143">
        <f>IFERROR((N256*(1-Settings!$D$17)-C256)/(N256*(1-Settings!$D$17)),"")</f>
        <v/>
      </c>
      <c r="Q256" s="149">
        <f>IFERROR(IF(N256="","",IF(N256&gt;=C256/(1-SKU_Base!AB256)/(1-Settings!$D$17),"OK",IF(N256&gt;=C256/(1-SKU_Base!AI256)/(1-Settings!$D$17),"WARN","STOP"))),"")</f>
        <v/>
      </c>
      <c r="R256" s="159">
        <f>IFERROR(ROUND(D256*(1-CHOOSE(MATCH(IF($E256="","Основний",$E256),{"Трафіковий","Основний","Маржинальний","Сезонний","Стратегічний"},0),Settings!$E$78,Settings!$E$80,Settings!$E$82,Settings!$E$84,Settings!$E$86))/6,2)*6,"")</f>
        <v/>
      </c>
      <c r="S256" s="142">
        <f>IFERROR(CHOOSE(MATCH(IF($E256="","Основний",$E256),{"Трафіковий","Основний","Маржинальний","Сезонний","Стратегічний"},0),Settings!$E$78,Settings!$E$80,Settings!$E$82,Settings!$E$84,Settings!$E$86),"")</f>
        <v/>
      </c>
      <c r="T256" s="143">
        <f>IFERROR((R256*(1-Settings!$E$17)-C256)/(R256*(1-Settings!$E$17)),"")</f>
        <v/>
      </c>
      <c r="U256" s="149">
        <f>IFERROR(IF(R256="","",IF(R256&gt;=C256/(1-SKU_Base!AC256)/(1-Settings!$E$17),"OK",IF(R256&gt;=C256/(1-SKU_Base!AJ256)/(1-Settings!$E$17),"WARN","STOP"))),"")</f>
        <v/>
      </c>
      <c r="V256" s="159">
        <f>IFERROR(ROUND(D256*(1-CHOOSE(MATCH(IF($E256="","Основний",$E256),{"Трафіковий","Основний","Маржинальний","Сезонний","Стратегічний"},0),Settings!$F$78,Settings!$F$80,Settings!$F$82,Settings!$F$84,Settings!$F$86))/6,2)*6,"")</f>
        <v/>
      </c>
      <c r="W256" s="142">
        <f>IFERROR(CHOOSE(MATCH(IF($E256="","Основний",$E256),{"Трафіковий","Основний","Маржинальний","Сезонний","Стратегічний"},0),Settings!$F$78,Settings!$F$80,Settings!$F$82,Settings!$F$84,Settings!$F$86),"")</f>
        <v/>
      </c>
      <c r="X256" s="143">
        <f>IFERROR((V256*(1-Settings!$F$17)-C256)/(V256*(1-Settings!$F$17)),"")</f>
        <v/>
      </c>
      <c r="Y256" s="149">
        <f>IFERROR(IF(V256="","",IF(V256&gt;=C256/(1-SKU_Base!AD256)/(1-Settings!$F$17),"OK",IF(V256&gt;=C256/(1-SKU_Base!AK256)/(1-Settings!$F$17),"WARN","STOP"))),"")</f>
        <v/>
      </c>
      <c r="Z256" s="159">
        <f>IFERROR(ROUND(D256*(1-CHOOSE(MATCH(IF($E256="","Основний",$E256),{"Трафіковий","Основний","Маржинальний","Сезонний","Стратегічний"},0),Settings!$G$78,Settings!$G$80,Settings!$G$82,Settings!$G$84,Settings!$G$86))/6,2)*6,"")</f>
        <v/>
      </c>
      <c r="AA256" s="142">
        <f>IFERROR(CHOOSE(MATCH(IF($E256="","Основний",$E256),{"Трафіковий","Основний","Маржинальний","Сезонний","Стратегічний"},0),Settings!$G$78,Settings!$G$80,Settings!$G$82,Settings!$G$84,Settings!$G$86),"")</f>
        <v/>
      </c>
      <c r="AB256" s="143">
        <f>IFERROR((Z256*(1-Settings!$G$17)-C256)/(Z256*(1-Settings!$G$17)),"")</f>
        <v/>
      </c>
      <c r="AC256" s="149">
        <f>IFERROR(IF(Z256="","",IF(Z256&gt;=C256/(1-SKU_Base!AE256)/(1-Settings!$G$17),"OK",IF(Z256&gt;=C256/(1-SKU_Base!AL256)/(1-Settings!$G$17),"WARN","STOP"))),"")</f>
        <v/>
      </c>
      <c r="AD256" s="159">
        <f>IFERROR(ROUND(D256*(1-CHOOSE(MATCH(IF($E256="","Основний",$E256),{"Трафіковий","Основний","Маржинальний","Сезонний","Стратегічний"},0),Settings!$H$78,Settings!$H$80,Settings!$H$82,Settings!$H$84,Settings!$H$86))*(1-Settings!$H$68)/6,2)*6,"")</f>
        <v/>
      </c>
      <c r="AE256" s="142">
        <f>IFERROR(CHOOSE(MATCH(IF($E256="","Основний",$E256),{"Трафіковий","Основний","Маржинальний","Сезонний","Стратегічний"},0),Settings!$H$78,Settings!$H$80,Settings!$H$82,Settings!$H$84,Settings!$H$86)+(1-(CHOOSE(MATCH(IF($E256="","Основний",$E256),{"Трафіковий","Основний","Маржинальний","Сезонний","Стратегічний"},0),Settings!$H$78,Settings!$H$80,Settings!$H$82,Settings!$H$84,Settings!$H$86)))*Settings!$H$68,"")</f>
        <v/>
      </c>
      <c r="AF256" s="143">
        <f>IFERROR((AD256*(1-Settings!$H$17)-C256)/(AD256*(1-Settings!$H$17)),"")</f>
        <v/>
      </c>
      <c r="AG256" s="149">
        <f>IFERROR(IF(AD256="","",IF(AD256&gt;=C256/(1-SKU_Base!AF256)/(1-Settings!$H$17),"OK",IF(AD256&gt;=C256/(1-SKU_Base!AM256)/(1-Settings!$H$17),"WARN","STOP"))),"")</f>
        <v/>
      </c>
    </row>
    <row r="257" ht="17" customHeight="1" s="179">
      <c r="A257" s="146">
        <f>SKU_Base!B257</f>
        <v/>
      </c>
      <c r="B257" s="146">
        <f>SKU_Base!C257</f>
        <v/>
      </c>
      <c r="C257" s="147">
        <f>IFERROR(SKU_Base!I257,"")</f>
        <v/>
      </c>
      <c r="D257" s="164">
        <f>IFERROR(SKU_Base!T257,"")</f>
        <v/>
      </c>
      <c r="E257" s="141">
        <f>IFERROR(SKU_Base!$U257,"")</f>
        <v/>
      </c>
      <c r="F257" s="160">
        <f>IFERROR(ROUND(D257*(1-CHOOSE(MATCH(IF($E257="","Основний",$E257),{"Трафіковий","Основний","Маржинальний","Сезонний","Стратегічний"},0),Settings!$B$78,Settings!$B$80,Settings!$B$82,Settings!$B$84,Settings!$B$86))/6,2)*6,"")</f>
        <v/>
      </c>
      <c r="G257" s="142">
        <f>IFERROR(CHOOSE(MATCH(IF($E257="","Основний",$E257),{"Трафіковий","Основний","Маржинальний","Сезонний","Стратегічний"},0),Settings!$B$78,Settings!$B$80,Settings!$B$82,Settings!$B$84,Settings!$B$86),"")</f>
        <v/>
      </c>
      <c r="H257" s="148">
        <f>IFERROR((F257*(1-Settings!$B$17)-C257)/(F257*(1-Settings!$B$17)),"")</f>
        <v/>
      </c>
      <c r="I257" s="149">
        <f>IFERROR(IF(F257="","",IF(F257&gt;=C257/(1-SKU_Base!Z257)/(1-Settings!$B$17),"OK",IF(F257&gt;=C257/(1-SKU_Base!AG257)/(1-Settings!$B$17),"WARN","STOP"))),"")</f>
        <v/>
      </c>
      <c r="J257" s="160">
        <f>IFERROR(ROUND(D257*(1-CHOOSE(MATCH(IF($E257="","Основний",$E257),{"Трафіковий","Основний","Маржинальний","Сезонний","Стратегічний"},0),Settings!$C$78,Settings!$C$80,Settings!$C$82,Settings!$C$84,Settings!$C$86))/6,2)*6,"")</f>
        <v/>
      </c>
      <c r="K257" s="142">
        <f>IFERROR(CHOOSE(MATCH(IF($E257="","Основний",$E257),{"Трафіковий","Основний","Маржинальний","Сезонний","Стратегічний"},0),Settings!$C$78,Settings!$C$80,Settings!$C$82,Settings!$C$84,Settings!$C$86),"")</f>
        <v/>
      </c>
      <c r="L257" s="148">
        <f>IFERROR((J257*(1-Settings!$C$17)-C257)/(J257*(1-Settings!$C$17)),"")</f>
        <v/>
      </c>
      <c r="M257" s="149">
        <f>IFERROR(IF(J257="","",IF(J257&gt;=C257/(1-SKU_Base!AA257)/(1-Settings!$C$17),"OK",IF(J257&gt;=C257/(1-SKU_Base!AH257)/(1-Settings!$C$17),"WARN","STOP"))),"")</f>
        <v/>
      </c>
      <c r="N257" s="161">
        <f>IFERROR(ROUND(D257*(1-CHOOSE(MATCH(IF($E257="","Основний",$E257),{"Трафіковий","Основний","Маржинальний","Сезонний","Стратегічний"},0),Settings!$D$78,Settings!$D$80,Settings!$D$82,Settings!$D$84,Settings!$D$86))/6,2)*6,"")</f>
        <v/>
      </c>
      <c r="O257" s="142">
        <f>IFERROR(CHOOSE(MATCH(IF($E257="","Основний",$E257),{"Трафіковий","Основний","Маржинальний","Сезонний","Стратегічний"},0),Settings!$D$78,Settings!$D$80,Settings!$D$82,Settings!$D$84,Settings!$D$86),"")</f>
        <v/>
      </c>
      <c r="P257" s="148">
        <f>IFERROR((N257*(1-Settings!$D$17)-C257)/(N257*(1-Settings!$D$17)),"")</f>
        <v/>
      </c>
      <c r="Q257" s="149">
        <f>IFERROR(IF(N257="","",IF(N257&gt;=C257/(1-SKU_Base!AB257)/(1-Settings!$D$17),"OK",IF(N257&gt;=C257/(1-SKU_Base!AI257)/(1-Settings!$D$17),"WARN","STOP"))),"")</f>
        <v/>
      </c>
      <c r="R257" s="161">
        <f>IFERROR(ROUND(D257*(1-CHOOSE(MATCH(IF($E257="","Основний",$E257),{"Трафіковий","Основний","Маржинальний","Сезонний","Стратегічний"},0),Settings!$E$78,Settings!$E$80,Settings!$E$82,Settings!$E$84,Settings!$E$86))/6,2)*6,"")</f>
        <v/>
      </c>
      <c r="S257" s="142">
        <f>IFERROR(CHOOSE(MATCH(IF($E257="","Основний",$E257),{"Трафіковий","Основний","Маржинальний","Сезонний","Стратегічний"},0),Settings!$E$78,Settings!$E$80,Settings!$E$82,Settings!$E$84,Settings!$E$86),"")</f>
        <v/>
      </c>
      <c r="T257" s="148">
        <f>IFERROR((R257*(1-Settings!$E$17)-C257)/(R257*(1-Settings!$E$17)),"")</f>
        <v/>
      </c>
      <c r="U257" s="149">
        <f>IFERROR(IF(R257="","",IF(R257&gt;=C257/(1-SKU_Base!AC257)/(1-Settings!$E$17),"OK",IF(R257&gt;=C257/(1-SKU_Base!AJ257)/(1-Settings!$E$17),"WARN","STOP"))),"")</f>
        <v/>
      </c>
      <c r="V257" s="161">
        <f>IFERROR(ROUND(D257*(1-CHOOSE(MATCH(IF($E257="","Основний",$E257),{"Трафіковий","Основний","Маржинальний","Сезонний","Стратегічний"},0),Settings!$F$78,Settings!$F$80,Settings!$F$82,Settings!$F$84,Settings!$F$86))/6,2)*6,"")</f>
        <v/>
      </c>
      <c r="W257" s="142">
        <f>IFERROR(CHOOSE(MATCH(IF($E257="","Основний",$E257),{"Трафіковий","Основний","Маржинальний","Сезонний","Стратегічний"},0),Settings!$F$78,Settings!$F$80,Settings!$F$82,Settings!$F$84,Settings!$F$86),"")</f>
        <v/>
      </c>
      <c r="X257" s="148">
        <f>IFERROR((V257*(1-Settings!$F$17)-C257)/(V257*(1-Settings!$F$17)),"")</f>
        <v/>
      </c>
      <c r="Y257" s="149">
        <f>IFERROR(IF(V257="","",IF(V257&gt;=C257/(1-SKU_Base!AD257)/(1-Settings!$F$17),"OK",IF(V257&gt;=C257/(1-SKU_Base!AK257)/(1-Settings!$F$17),"WARN","STOP"))),"")</f>
        <v/>
      </c>
      <c r="Z257" s="161">
        <f>IFERROR(ROUND(D257*(1-CHOOSE(MATCH(IF($E257="","Основний",$E257),{"Трафіковий","Основний","Маржинальний","Сезонний","Стратегічний"},0),Settings!$G$78,Settings!$G$80,Settings!$G$82,Settings!$G$84,Settings!$G$86))/6,2)*6,"")</f>
        <v/>
      </c>
      <c r="AA257" s="142">
        <f>IFERROR(CHOOSE(MATCH(IF($E257="","Основний",$E257),{"Трафіковий","Основний","Маржинальний","Сезонний","Стратегічний"},0),Settings!$G$78,Settings!$G$80,Settings!$G$82,Settings!$G$84,Settings!$G$86),"")</f>
        <v/>
      </c>
      <c r="AB257" s="148">
        <f>IFERROR((Z257*(1-Settings!$G$17)-C257)/(Z257*(1-Settings!$G$17)),"")</f>
        <v/>
      </c>
      <c r="AC257" s="149">
        <f>IFERROR(IF(Z257="","",IF(Z257&gt;=C257/(1-SKU_Base!AE257)/(1-Settings!$G$17),"OK",IF(Z257&gt;=C257/(1-SKU_Base!AL257)/(1-Settings!$G$17),"WARN","STOP"))),"")</f>
        <v/>
      </c>
      <c r="AD257" s="161">
        <f>IFERROR(ROUND(D257*(1-CHOOSE(MATCH(IF($E257="","Основний",$E257),{"Трафіковий","Основний","Маржинальний","Сезонний","Стратегічний"},0),Settings!$H$78,Settings!$H$80,Settings!$H$82,Settings!$H$84,Settings!$H$86))*(1-Settings!$H$68)/6,2)*6,"")</f>
        <v/>
      </c>
      <c r="AE257" s="142">
        <f>IFERROR(CHOOSE(MATCH(IF($E257="","Основний",$E257),{"Трафіковий","Основний","Маржинальний","Сезонний","Стратегічний"},0),Settings!$H$78,Settings!$H$80,Settings!$H$82,Settings!$H$84,Settings!$H$86)+(1-(CHOOSE(MATCH(IF($E257="","Основний",$E257),{"Трафіковий","Основний","Маржинальний","Сезонний","Стратегічний"},0),Settings!$H$78,Settings!$H$80,Settings!$H$82,Settings!$H$84,Settings!$H$86)))*Settings!$H$68,"")</f>
        <v/>
      </c>
      <c r="AF257" s="148">
        <f>IFERROR((AD257*(1-Settings!$H$17)-C257)/(AD257*(1-Settings!$H$17)),"")</f>
        <v/>
      </c>
      <c r="AG257" s="150">
        <f>IFERROR(IF(AD257="","",IF(AD257&gt;=C257/(1-SKU_Base!AF257)/(1-Settings!$H$17),"OK",IF(AD257&gt;=C257/(1-SKU_Base!AM257)/(1-Settings!$H$17),"WARN","STOP"))),"")</f>
        <v/>
      </c>
    </row>
    <row r="258" ht="17" customHeight="1" s="179">
      <c r="A258" s="139">
        <f>SKU_Base!B258</f>
        <v/>
      </c>
      <c r="B258" s="139">
        <f>SKU_Base!C258</f>
        <v/>
      </c>
      <c r="C258" s="140">
        <f>IFERROR(SKU_Base!I258,"")</f>
        <v/>
      </c>
      <c r="D258" s="163">
        <f>IFERROR(SKU_Base!T258,"")</f>
        <v/>
      </c>
      <c r="E258" s="141">
        <f>IFERROR(SKU_Base!$U258,"")</f>
        <v/>
      </c>
      <c r="F258" s="158">
        <f>IFERROR(ROUND(D258*(1-CHOOSE(MATCH(IF($E258="","Основний",$E258),{"Трафіковий","Основний","Маржинальний","Сезонний","Стратегічний"},0),Settings!$B$78,Settings!$B$80,Settings!$B$82,Settings!$B$84,Settings!$B$86))/6,2)*6,"")</f>
        <v/>
      </c>
      <c r="G258" s="142">
        <f>IFERROR(CHOOSE(MATCH(IF($E258="","Основний",$E258),{"Трафіковий","Основний","Маржинальний","Сезонний","Стратегічний"},0),Settings!$B$78,Settings!$B$80,Settings!$B$82,Settings!$B$84,Settings!$B$86),"")</f>
        <v/>
      </c>
      <c r="H258" s="143">
        <f>IFERROR((F258*(1-Settings!$B$17)-C258)/(F258*(1-Settings!$B$17)),"")</f>
        <v/>
      </c>
      <c r="I258" s="149">
        <f>IFERROR(IF(F258="","",IF(F258&gt;=C258/(1-SKU_Base!Z258)/(1-Settings!$B$17),"OK",IF(F258&gt;=C258/(1-SKU_Base!AG258)/(1-Settings!$B$17),"WARN","STOP"))),"")</f>
        <v/>
      </c>
      <c r="J258" s="158">
        <f>IFERROR(ROUND(D258*(1-CHOOSE(MATCH(IF($E258="","Основний",$E258),{"Трафіковий","Основний","Маржинальний","Сезонний","Стратегічний"},0),Settings!$C$78,Settings!$C$80,Settings!$C$82,Settings!$C$84,Settings!$C$86))/6,2)*6,"")</f>
        <v/>
      </c>
      <c r="K258" s="142">
        <f>IFERROR(CHOOSE(MATCH(IF($E258="","Основний",$E258),{"Трафіковий","Основний","Маржинальний","Сезонний","Стратегічний"},0),Settings!$C$78,Settings!$C$80,Settings!$C$82,Settings!$C$84,Settings!$C$86),"")</f>
        <v/>
      </c>
      <c r="L258" s="143">
        <f>IFERROR((J258*(1-Settings!$C$17)-C258)/(J258*(1-Settings!$C$17)),"")</f>
        <v/>
      </c>
      <c r="M258" s="149">
        <f>IFERROR(IF(J258="","",IF(J258&gt;=C258/(1-SKU_Base!AA258)/(1-Settings!$C$17),"OK",IF(J258&gt;=C258/(1-SKU_Base!AH258)/(1-Settings!$C$17),"WARN","STOP"))),"")</f>
        <v/>
      </c>
      <c r="N258" s="159">
        <f>IFERROR(ROUND(D258*(1-CHOOSE(MATCH(IF($E258="","Основний",$E258),{"Трафіковий","Основний","Маржинальний","Сезонний","Стратегічний"},0),Settings!$D$78,Settings!$D$80,Settings!$D$82,Settings!$D$84,Settings!$D$86))/6,2)*6,"")</f>
        <v/>
      </c>
      <c r="O258" s="142">
        <f>IFERROR(CHOOSE(MATCH(IF($E258="","Основний",$E258),{"Трафіковий","Основний","Маржинальний","Сезонний","Стратегічний"},0),Settings!$D$78,Settings!$D$80,Settings!$D$82,Settings!$D$84,Settings!$D$86),"")</f>
        <v/>
      </c>
      <c r="P258" s="143">
        <f>IFERROR((N258*(1-Settings!$D$17)-C258)/(N258*(1-Settings!$D$17)),"")</f>
        <v/>
      </c>
      <c r="Q258" s="149">
        <f>IFERROR(IF(N258="","",IF(N258&gt;=C258/(1-SKU_Base!AB258)/(1-Settings!$D$17),"OK",IF(N258&gt;=C258/(1-SKU_Base!AI258)/(1-Settings!$D$17),"WARN","STOP"))),"")</f>
        <v/>
      </c>
      <c r="R258" s="159">
        <f>IFERROR(ROUND(D258*(1-CHOOSE(MATCH(IF($E258="","Основний",$E258),{"Трафіковий","Основний","Маржинальний","Сезонний","Стратегічний"},0),Settings!$E$78,Settings!$E$80,Settings!$E$82,Settings!$E$84,Settings!$E$86))/6,2)*6,"")</f>
        <v/>
      </c>
      <c r="S258" s="142">
        <f>IFERROR(CHOOSE(MATCH(IF($E258="","Основний",$E258),{"Трафіковий","Основний","Маржинальний","Сезонний","Стратегічний"},0),Settings!$E$78,Settings!$E$80,Settings!$E$82,Settings!$E$84,Settings!$E$86),"")</f>
        <v/>
      </c>
      <c r="T258" s="143">
        <f>IFERROR((R258*(1-Settings!$E$17)-C258)/(R258*(1-Settings!$E$17)),"")</f>
        <v/>
      </c>
      <c r="U258" s="149">
        <f>IFERROR(IF(R258="","",IF(R258&gt;=C258/(1-SKU_Base!AC258)/(1-Settings!$E$17),"OK",IF(R258&gt;=C258/(1-SKU_Base!AJ258)/(1-Settings!$E$17),"WARN","STOP"))),"")</f>
        <v/>
      </c>
      <c r="V258" s="159">
        <f>IFERROR(ROUND(D258*(1-CHOOSE(MATCH(IF($E258="","Основний",$E258),{"Трафіковий","Основний","Маржинальний","Сезонний","Стратегічний"},0),Settings!$F$78,Settings!$F$80,Settings!$F$82,Settings!$F$84,Settings!$F$86))/6,2)*6,"")</f>
        <v/>
      </c>
      <c r="W258" s="142">
        <f>IFERROR(CHOOSE(MATCH(IF($E258="","Основний",$E258),{"Трафіковий","Основний","Маржинальний","Сезонний","Стратегічний"},0),Settings!$F$78,Settings!$F$80,Settings!$F$82,Settings!$F$84,Settings!$F$86),"")</f>
        <v/>
      </c>
      <c r="X258" s="143">
        <f>IFERROR((V258*(1-Settings!$F$17)-C258)/(V258*(1-Settings!$F$17)),"")</f>
        <v/>
      </c>
      <c r="Y258" s="149">
        <f>IFERROR(IF(V258="","",IF(V258&gt;=C258/(1-SKU_Base!AD258)/(1-Settings!$F$17),"OK",IF(V258&gt;=C258/(1-SKU_Base!AK258)/(1-Settings!$F$17),"WARN","STOP"))),"")</f>
        <v/>
      </c>
      <c r="Z258" s="159">
        <f>IFERROR(ROUND(D258*(1-CHOOSE(MATCH(IF($E258="","Основний",$E258),{"Трафіковий","Основний","Маржинальний","Сезонний","Стратегічний"},0),Settings!$G$78,Settings!$G$80,Settings!$G$82,Settings!$G$84,Settings!$G$86))/6,2)*6,"")</f>
        <v/>
      </c>
      <c r="AA258" s="142">
        <f>IFERROR(CHOOSE(MATCH(IF($E258="","Основний",$E258),{"Трафіковий","Основний","Маржинальний","Сезонний","Стратегічний"},0),Settings!$G$78,Settings!$G$80,Settings!$G$82,Settings!$G$84,Settings!$G$86),"")</f>
        <v/>
      </c>
      <c r="AB258" s="143">
        <f>IFERROR((Z258*(1-Settings!$G$17)-C258)/(Z258*(1-Settings!$G$17)),"")</f>
        <v/>
      </c>
      <c r="AC258" s="149">
        <f>IFERROR(IF(Z258="","",IF(Z258&gt;=C258/(1-SKU_Base!AE258)/(1-Settings!$G$17),"OK",IF(Z258&gt;=C258/(1-SKU_Base!AL258)/(1-Settings!$G$17),"WARN","STOP"))),"")</f>
        <v/>
      </c>
      <c r="AD258" s="159">
        <f>IFERROR(ROUND(D258*(1-CHOOSE(MATCH(IF($E258="","Основний",$E258),{"Трафіковий","Основний","Маржинальний","Сезонний","Стратегічний"},0),Settings!$H$78,Settings!$H$80,Settings!$H$82,Settings!$H$84,Settings!$H$86))*(1-Settings!$H$68)/6,2)*6,"")</f>
        <v/>
      </c>
      <c r="AE258" s="142">
        <f>IFERROR(CHOOSE(MATCH(IF($E258="","Основний",$E258),{"Трафіковий","Основний","Маржинальний","Сезонний","Стратегічний"},0),Settings!$H$78,Settings!$H$80,Settings!$H$82,Settings!$H$84,Settings!$H$86)+(1-(CHOOSE(MATCH(IF($E258="","Основний",$E258),{"Трафіковий","Основний","Маржинальний","Сезонний","Стратегічний"},0),Settings!$H$78,Settings!$H$80,Settings!$H$82,Settings!$H$84,Settings!$H$86)))*Settings!$H$68,"")</f>
        <v/>
      </c>
      <c r="AF258" s="143">
        <f>IFERROR((AD258*(1-Settings!$H$17)-C258)/(AD258*(1-Settings!$H$17)),"")</f>
        <v/>
      </c>
      <c r="AG258" s="150">
        <f>IFERROR(IF(AD258="","",IF(AD258&gt;=C258/(1-SKU_Base!AF258)/(1-Settings!$H$17),"OK",IF(AD258&gt;=C258/(1-SKU_Base!AM258)/(1-Settings!$H$17),"WARN","STOP"))),"")</f>
        <v/>
      </c>
    </row>
    <row r="259" ht="17" customHeight="1" s="179">
      <c r="A259" s="146">
        <f>SKU_Base!B259</f>
        <v/>
      </c>
      <c r="B259" s="146">
        <f>SKU_Base!C259</f>
        <v/>
      </c>
      <c r="C259" s="147">
        <f>IFERROR(SKU_Base!I259,"")</f>
        <v/>
      </c>
      <c r="D259" s="164">
        <f>IFERROR(SKU_Base!T259,"")</f>
        <v/>
      </c>
      <c r="E259" s="141">
        <f>IFERROR(SKU_Base!$U259,"")</f>
        <v/>
      </c>
      <c r="F259" s="160">
        <f>IFERROR(ROUND(D259*(1-CHOOSE(MATCH(IF($E259="","Основний",$E259),{"Трафіковий","Основний","Маржинальний","Сезонний","Стратегічний"},0),Settings!$B$78,Settings!$B$80,Settings!$B$82,Settings!$B$84,Settings!$B$86))/6,2)*6,"")</f>
        <v/>
      </c>
      <c r="G259" s="142">
        <f>IFERROR(CHOOSE(MATCH(IF($E259="","Основний",$E259),{"Трафіковий","Основний","Маржинальний","Сезонний","Стратегічний"},0),Settings!$B$78,Settings!$B$80,Settings!$B$82,Settings!$B$84,Settings!$B$86),"")</f>
        <v/>
      </c>
      <c r="H259" s="148">
        <f>IFERROR((F259*(1-Settings!$B$17)-C259)/(F259*(1-Settings!$B$17)),"")</f>
        <v/>
      </c>
      <c r="I259" s="150">
        <f>IFERROR(IF(F259="","",IF(F259&gt;=C259/(1-SKU_Base!Z259)/(1-Settings!$B$17),"OK",IF(F259&gt;=C259/(1-SKU_Base!AG259)/(1-Settings!$B$17),"WARN","STOP"))),"")</f>
        <v/>
      </c>
      <c r="J259" s="160">
        <f>IFERROR(ROUND(D259*(1-CHOOSE(MATCH(IF($E259="","Основний",$E259),{"Трафіковий","Основний","Маржинальний","Сезонний","Стратегічний"},0),Settings!$C$78,Settings!$C$80,Settings!$C$82,Settings!$C$84,Settings!$C$86))/6,2)*6,"")</f>
        <v/>
      </c>
      <c r="K259" s="142">
        <f>IFERROR(CHOOSE(MATCH(IF($E259="","Основний",$E259),{"Трафіковий","Основний","Маржинальний","Сезонний","Стратегічний"},0),Settings!$C$78,Settings!$C$80,Settings!$C$82,Settings!$C$84,Settings!$C$86),"")</f>
        <v/>
      </c>
      <c r="L259" s="148">
        <f>IFERROR((J259*(1-Settings!$C$17)-C259)/(J259*(1-Settings!$C$17)),"")</f>
        <v/>
      </c>
      <c r="M259" s="149">
        <f>IFERROR(IF(J259="","",IF(J259&gt;=C259/(1-SKU_Base!AA259)/(1-Settings!$C$17),"OK",IF(J259&gt;=C259/(1-SKU_Base!AH259)/(1-Settings!$C$17),"WARN","STOP"))),"")</f>
        <v/>
      </c>
      <c r="N259" s="161">
        <f>IFERROR(ROUND(D259*(1-CHOOSE(MATCH(IF($E259="","Основний",$E259),{"Трафіковий","Основний","Маржинальний","Сезонний","Стратегічний"},0),Settings!$D$78,Settings!$D$80,Settings!$D$82,Settings!$D$84,Settings!$D$86))/6,2)*6,"")</f>
        <v/>
      </c>
      <c r="O259" s="142">
        <f>IFERROR(CHOOSE(MATCH(IF($E259="","Основний",$E259),{"Трафіковий","Основний","Маржинальний","Сезонний","Стратегічний"},0),Settings!$D$78,Settings!$D$80,Settings!$D$82,Settings!$D$84,Settings!$D$86),"")</f>
        <v/>
      </c>
      <c r="P259" s="148">
        <f>IFERROR((N259*(1-Settings!$D$17)-C259)/(N259*(1-Settings!$D$17)),"")</f>
        <v/>
      </c>
      <c r="Q259" s="149">
        <f>IFERROR(IF(N259="","",IF(N259&gt;=C259/(1-SKU_Base!AB259)/(1-Settings!$D$17),"OK",IF(N259&gt;=C259/(1-SKU_Base!AI259)/(1-Settings!$D$17),"WARN","STOP"))),"")</f>
        <v/>
      </c>
      <c r="R259" s="161">
        <f>IFERROR(ROUND(D259*(1-CHOOSE(MATCH(IF($E259="","Основний",$E259),{"Трафіковий","Основний","Маржинальний","Сезонний","Стратегічний"},0),Settings!$E$78,Settings!$E$80,Settings!$E$82,Settings!$E$84,Settings!$E$86))/6,2)*6,"")</f>
        <v/>
      </c>
      <c r="S259" s="142">
        <f>IFERROR(CHOOSE(MATCH(IF($E259="","Основний",$E259),{"Трафіковий","Основний","Маржинальний","Сезонний","Стратегічний"},0),Settings!$E$78,Settings!$E$80,Settings!$E$82,Settings!$E$84,Settings!$E$86),"")</f>
        <v/>
      </c>
      <c r="T259" s="148">
        <f>IFERROR((R259*(1-Settings!$E$17)-C259)/(R259*(1-Settings!$E$17)),"")</f>
        <v/>
      </c>
      <c r="U259" s="149">
        <f>IFERROR(IF(R259="","",IF(R259&gt;=C259/(1-SKU_Base!AC259)/(1-Settings!$E$17),"OK",IF(R259&gt;=C259/(1-SKU_Base!AJ259)/(1-Settings!$E$17),"WARN","STOP"))),"")</f>
        <v/>
      </c>
      <c r="V259" s="161">
        <f>IFERROR(ROUND(D259*(1-CHOOSE(MATCH(IF($E259="","Основний",$E259),{"Трафіковий","Основний","Маржинальний","Сезонний","Стратегічний"},0),Settings!$F$78,Settings!$F$80,Settings!$F$82,Settings!$F$84,Settings!$F$86))/6,2)*6,"")</f>
        <v/>
      </c>
      <c r="W259" s="142">
        <f>IFERROR(CHOOSE(MATCH(IF($E259="","Основний",$E259),{"Трафіковий","Основний","Маржинальний","Сезонний","Стратегічний"},0),Settings!$F$78,Settings!$F$80,Settings!$F$82,Settings!$F$84,Settings!$F$86),"")</f>
        <v/>
      </c>
      <c r="X259" s="148">
        <f>IFERROR((V259*(1-Settings!$F$17)-C259)/(V259*(1-Settings!$F$17)),"")</f>
        <v/>
      </c>
      <c r="Y259" s="149">
        <f>IFERROR(IF(V259="","",IF(V259&gt;=C259/(1-SKU_Base!AD259)/(1-Settings!$F$17),"OK",IF(V259&gt;=C259/(1-SKU_Base!AK259)/(1-Settings!$F$17),"WARN","STOP"))),"")</f>
        <v/>
      </c>
      <c r="Z259" s="161">
        <f>IFERROR(ROUND(D259*(1-CHOOSE(MATCH(IF($E259="","Основний",$E259),{"Трафіковий","Основний","Маржинальний","Сезонний","Стратегічний"},0),Settings!$G$78,Settings!$G$80,Settings!$G$82,Settings!$G$84,Settings!$G$86))/6,2)*6,"")</f>
        <v/>
      </c>
      <c r="AA259" s="142">
        <f>IFERROR(CHOOSE(MATCH(IF($E259="","Основний",$E259),{"Трафіковий","Основний","Маржинальний","Сезонний","Стратегічний"},0),Settings!$G$78,Settings!$G$80,Settings!$G$82,Settings!$G$84,Settings!$G$86),"")</f>
        <v/>
      </c>
      <c r="AB259" s="148">
        <f>IFERROR((Z259*(1-Settings!$G$17)-C259)/(Z259*(1-Settings!$G$17)),"")</f>
        <v/>
      </c>
      <c r="AC259" s="149">
        <f>IFERROR(IF(Z259="","",IF(Z259&gt;=C259/(1-SKU_Base!AE259)/(1-Settings!$G$17),"OK",IF(Z259&gt;=C259/(1-SKU_Base!AL259)/(1-Settings!$G$17),"WARN","STOP"))),"")</f>
        <v/>
      </c>
      <c r="AD259" s="161">
        <f>IFERROR(ROUND(D259*(1-CHOOSE(MATCH(IF($E259="","Основний",$E259),{"Трафіковий","Основний","Маржинальний","Сезонний","Стратегічний"},0),Settings!$H$78,Settings!$H$80,Settings!$H$82,Settings!$H$84,Settings!$H$86))*(1-Settings!$H$68)/6,2)*6,"")</f>
        <v/>
      </c>
      <c r="AE259" s="142">
        <f>IFERROR(CHOOSE(MATCH(IF($E259="","Основний",$E259),{"Трафіковий","Основний","Маржинальний","Сезонний","Стратегічний"},0),Settings!$H$78,Settings!$H$80,Settings!$H$82,Settings!$H$84,Settings!$H$86)+(1-(CHOOSE(MATCH(IF($E259="","Основний",$E259),{"Трафіковий","Основний","Маржинальний","Сезонний","Стратегічний"},0),Settings!$H$78,Settings!$H$80,Settings!$H$82,Settings!$H$84,Settings!$H$86)))*Settings!$H$68,"")</f>
        <v/>
      </c>
      <c r="AF259" s="148">
        <f>IFERROR((AD259*(1-Settings!$H$17)-C259)/(AD259*(1-Settings!$H$17)),"")</f>
        <v/>
      </c>
      <c r="AG259" s="150">
        <f>IFERROR(IF(AD259="","",IF(AD259&gt;=C259/(1-SKU_Base!AF259)/(1-Settings!$H$17),"OK",IF(AD259&gt;=C259/(1-SKU_Base!AM259)/(1-Settings!$H$17),"WARN","STOP"))),"")</f>
        <v/>
      </c>
    </row>
    <row r="260" ht="17" customHeight="1" s="179">
      <c r="A260" s="139">
        <f>SKU_Base!B260</f>
        <v/>
      </c>
      <c r="B260" s="139">
        <f>SKU_Base!C260</f>
        <v/>
      </c>
      <c r="C260" s="140">
        <f>IFERROR(SKU_Base!I260,"")</f>
        <v/>
      </c>
      <c r="D260" s="163">
        <f>IFERROR(SKU_Base!T260,"")</f>
        <v/>
      </c>
      <c r="E260" s="141">
        <f>IFERROR(SKU_Base!$U260,"")</f>
        <v/>
      </c>
      <c r="F260" s="158">
        <f>IFERROR(ROUND(D260*(1-CHOOSE(MATCH(IF($E260="","Основний",$E260),{"Трафіковий","Основний","Маржинальний","Сезонний","Стратегічний"},0),Settings!$B$78,Settings!$B$80,Settings!$B$82,Settings!$B$84,Settings!$B$86))/6,2)*6,"")</f>
        <v/>
      </c>
      <c r="G260" s="142">
        <f>IFERROR(CHOOSE(MATCH(IF($E260="","Основний",$E260),{"Трафіковий","Основний","Маржинальний","Сезонний","Стратегічний"},0),Settings!$B$78,Settings!$B$80,Settings!$B$82,Settings!$B$84,Settings!$B$86),"")</f>
        <v/>
      </c>
      <c r="H260" s="143">
        <f>IFERROR((F260*(1-Settings!$B$17)-C260)/(F260*(1-Settings!$B$17)),"")</f>
        <v/>
      </c>
      <c r="I260" s="149">
        <f>IFERROR(IF(F260="","",IF(F260&gt;=C260/(1-SKU_Base!Z260)/(1-Settings!$B$17),"OK",IF(F260&gt;=C260/(1-SKU_Base!AG260)/(1-Settings!$B$17),"WARN","STOP"))),"")</f>
        <v/>
      </c>
      <c r="J260" s="158">
        <f>IFERROR(ROUND(D260*(1-CHOOSE(MATCH(IF($E260="","Основний",$E260),{"Трафіковий","Основний","Маржинальний","Сезонний","Стратегічний"},0),Settings!$C$78,Settings!$C$80,Settings!$C$82,Settings!$C$84,Settings!$C$86))/6,2)*6,"")</f>
        <v/>
      </c>
      <c r="K260" s="142">
        <f>IFERROR(CHOOSE(MATCH(IF($E260="","Основний",$E260),{"Трафіковий","Основний","Маржинальний","Сезонний","Стратегічний"},0),Settings!$C$78,Settings!$C$80,Settings!$C$82,Settings!$C$84,Settings!$C$86),"")</f>
        <v/>
      </c>
      <c r="L260" s="143">
        <f>IFERROR((J260*(1-Settings!$C$17)-C260)/(J260*(1-Settings!$C$17)),"")</f>
        <v/>
      </c>
      <c r="M260" s="149">
        <f>IFERROR(IF(J260="","",IF(J260&gt;=C260/(1-SKU_Base!AA260)/(1-Settings!$C$17),"OK",IF(J260&gt;=C260/(1-SKU_Base!AH260)/(1-Settings!$C$17),"WARN","STOP"))),"")</f>
        <v/>
      </c>
      <c r="N260" s="159">
        <f>IFERROR(ROUND(D260*(1-CHOOSE(MATCH(IF($E260="","Основний",$E260),{"Трафіковий","Основний","Маржинальний","Сезонний","Стратегічний"},0),Settings!$D$78,Settings!$D$80,Settings!$D$82,Settings!$D$84,Settings!$D$86))/6,2)*6,"")</f>
        <v/>
      </c>
      <c r="O260" s="142">
        <f>IFERROR(CHOOSE(MATCH(IF($E260="","Основний",$E260),{"Трафіковий","Основний","Маржинальний","Сезонний","Стратегічний"},0),Settings!$D$78,Settings!$D$80,Settings!$D$82,Settings!$D$84,Settings!$D$86),"")</f>
        <v/>
      </c>
      <c r="P260" s="143">
        <f>IFERROR((N260*(1-Settings!$D$17)-C260)/(N260*(1-Settings!$D$17)),"")</f>
        <v/>
      </c>
      <c r="Q260" s="149">
        <f>IFERROR(IF(N260="","",IF(N260&gt;=C260/(1-SKU_Base!AB260)/(1-Settings!$D$17),"OK",IF(N260&gt;=C260/(1-SKU_Base!AI260)/(1-Settings!$D$17),"WARN","STOP"))),"")</f>
        <v/>
      </c>
      <c r="R260" s="159">
        <f>IFERROR(ROUND(D260*(1-CHOOSE(MATCH(IF($E260="","Основний",$E260),{"Трафіковий","Основний","Маржинальний","Сезонний","Стратегічний"},0),Settings!$E$78,Settings!$E$80,Settings!$E$82,Settings!$E$84,Settings!$E$86))/6,2)*6,"")</f>
        <v/>
      </c>
      <c r="S260" s="142">
        <f>IFERROR(CHOOSE(MATCH(IF($E260="","Основний",$E260),{"Трафіковий","Основний","Маржинальний","Сезонний","Стратегічний"},0),Settings!$E$78,Settings!$E$80,Settings!$E$82,Settings!$E$84,Settings!$E$86),"")</f>
        <v/>
      </c>
      <c r="T260" s="143">
        <f>IFERROR((R260*(1-Settings!$E$17)-C260)/(R260*(1-Settings!$E$17)),"")</f>
        <v/>
      </c>
      <c r="U260" s="149">
        <f>IFERROR(IF(R260="","",IF(R260&gt;=C260/(1-SKU_Base!AC260)/(1-Settings!$E$17),"OK",IF(R260&gt;=C260/(1-SKU_Base!AJ260)/(1-Settings!$E$17),"WARN","STOP"))),"")</f>
        <v/>
      </c>
      <c r="V260" s="159">
        <f>IFERROR(ROUND(D260*(1-CHOOSE(MATCH(IF($E260="","Основний",$E260),{"Трафіковий","Основний","Маржинальний","Сезонний","Стратегічний"},0),Settings!$F$78,Settings!$F$80,Settings!$F$82,Settings!$F$84,Settings!$F$86))/6,2)*6,"")</f>
        <v/>
      </c>
      <c r="W260" s="142">
        <f>IFERROR(CHOOSE(MATCH(IF($E260="","Основний",$E260),{"Трафіковий","Основний","Маржинальний","Сезонний","Стратегічний"},0),Settings!$F$78,Settings!$F$80,Settings!$F$82,Settings!$F$84,Settings!$F$86),"")</f>
        <v/>
      </c>
      <c r="X260" s="143">
        <f>IFERROR((V260*(1-Settings!$F$17)-C260)/(V260*(1-Settings!$F$17)),"")</f>
        <v/>
      </c>
      <c r="Y260" s="149">
        <f>IFERROR(IF(V260="","",IF(V260&gt;=C260/(1-SKU_Base!AD260)/(1-Settings!$F$17),"OK",IF(V260&gt;=C260/(1-SKU_Base!AK260)/(1-Settings!$F$17),"WARN","STOP"))),"")</f>
        <v/>
      </c>
      <c r="Z260" s="159">
        <f>IFERROR(ROUND(D260*(1-CHOOSE(MATCH(IF($E260="","Основний",$E260),{"Трафіковий","Основний","Маржинальний","Сезонний","Стратегічний"},0),Settings!$G$78,Settings!$G$80,Settings!$G$82,Settings!$G$84,Settings!$G$86))/6,2)*6,"")</f>
        <v/>
      </c>
      <c r="AA260" s="142">
        <f>IFERROR(CHOOSE(MATCH(IF($E260="","Основний",$E260),{"Трафіковий","Основний","Маржинальний","Сезонний","Стратегічний"},0),Settings!$G$78,Settings!$G$80,Settings!$G$82,Settings!$G$84,Settings!$G$86),"")</f>
        <v/>
      </c>
      <c r="AB260" s="143">
        <f>IFERROR((Z260*(1-Settings!$G$17)-C260)/(Z260*(1-Settings!$G$17)),"")</f>
        <v/>
      </c>
      <c r="AC260" s="149">
        <f>IFERROR(IF(Z260="","",IF(Z260&gt;=C260/(1-SKU_Base!AE260)/(1-Settings!$G$17),"OK",IF(Z260&gt;=C260/(1-SKU_Base!AL260)/(1-Settings!$G$17),"WARN","STOP"))),"")</f>
        <v/>
      </c>
      <c r="AD260" s="159">
        <f>IFERROR(ROUND(D260*(1-CHOOSE(MATCH(IF($E260="","Основний",$E260),{"Трафіковий","Основний","Маржинальний","Сезонний","Стратегічний"},0),Settings!$H$78,Settings!$H$80,Settings!$H$82,Settings!$H$84,Settings!$H$86))*(1-Settings!$H$68)/6,2)*6,"")</f>
        <v/>
      </c>
      <c r="AE260" s="142">
        <f>IFERROR(CHOOSE(MATCH(IF($E260="","Основний",$E260),{"Трафіковий","Основний","Маржинальний","Сезонний","Стратегічний"},0),Settings!$H$78,Settings!$H$80,Settings!$H$82,Settings!$H$84,Settings!$H$86)+(1-(CHOOSE(MATCH(IF($E260="","Основний",$E260),{"Трафіковий","Основний","Маржинальний","Сезонний","Стратегічний"},0),Settings!$H$78,Settings!$H$80,Settings!$H$82,Settings!$H$84,Settings!$H$86)))*Settings!$H$68,"")</f>
        <v/>
      </c>
      <c r="AF260" s="143">
        <f>IFERROR((AD260*(1-Settings!$H$17)-C260)/(AD260*(1-Settings!$H$17)),"")</f>
        <v/>
      </c>
      <c r="AG260" s="149">
        <f>IFERROR(IF(AD260="","",IF(AD260&gt;=C260/(1-SKU_Base!AF260)/(1-Settings!$H$17),"OK",IF(AD260&gt;=C260/(1-SKU_Base!AM260)/(1-Settings!$H$17),"WARN","STOP"))),"")</f>
        <v/>
      </c>
    </row>
    <row r="261" ht="17" customHeight="1" s="179">
      <c r="A261" s="146">
        <f>SKU_Base!B261</f>
        <v/>
      </c>
      <c r="B261" s="146">
        <f>SKU_Base!C261</f>
        <v/>
      </c>
      <c r="C261" s="147">
        <f>IFERROR(SKU_Base!I261,"")</f>
        <v/>
      </c>
      <c r="D261" s="164">
        <f>IFERROR(SKU_Base!T261,"")</f>
        <v/>
      </c>
      <c r="E261" s="141">
        <f>IFERROR(SKU_Base!$U261,"")</f>
        <v/>
      </c>
      <c r="F261" s="160">
        <f>IFERROR(ROUND(D261*(1-CHOOSE(MATCH(IF($E261="","Основний",$E261),{"Трафіковий","Основний","Маржинальний","Сезонний","Стратегічний"},0),Settings!$B$78,Settings!$B$80,Settings!$B$82,Settings!$B$84,Settings!$B$86))/6,2)*6,"")</f>
        <v/>
      </c>
      <c r="G261" s="142">
        <f>IFERROR(CHOOSE(MATCH(IF($E261="","Основний",$E261),{"Трафіковий","Основний","Маржинальний","Сезонний","Стратегічний"},0),Settings!$B$78,Settings!$B$80,Settings!$B$82,Settings!$B$84,Settings!$B$86),"")</f>
        <v/>
      </c>
      <c r="H261" s="148">
        <f>IFERROR((F261*(1-Settings!$B$17)-C261)/(F261*(1-Settings!$B$17)),"")</f>
        <v/>
      </c>
      <c r="I261" s="149">
        <f>IFERROR(IF(F261="","",IF(F261&gt;=C261/(1-SKU_Base!Z261)/(1-Settings!$B$17),"OK",IF(F261&gt;=C261/(1-SKU_Base!AG261)/(1-Settings!$B$17),"WARN","STOP"))),"")</f>
        <v/>
      </c>
      <c r="J261" s="160">
        <f>IFERROR(ROUND(D261*(1-CHOOSE(MATCH(IF($E261="","Основний",$E261),{"Трафіковий","Основний","Маржинальний","Сезонний","Стратегічний"},0),Settings!$C$78,Settings!$C$80,Settings!$C$82,Settings!$C$84,Settings!$C$86))/6,2)*6,"")</f>
        <v/>
      </c>
      <c r="K261" s="142">
        <f>IFERROR(CHOOSE(MATCH(IF($E261="","Основний",$E261),{"Трафіковий","Основний","Маржинальний","Сезонний","Стратегічний"},0),Settings!$C$78,Settings!$C$80,Settings!$C$82,Settings!$C$84,Settings!$C$86),"")</f>
        <v/>
      </c>
      <c r="L261" s="148">
        <f>IFERROR((J261*(1-Settings!$C$17)-C261)/(J261*(1-Settings!$C$17)),"")</f>
        <v/>
      </c>
      <c r="M261" s="149">
        <f>IFERROR(IF(J261="","",IF(J261&gt;=C261/(1-SKU_Base!AA261)/(1-Settings!$C$17),"OK",IF(J261&gt;=C261/(1-SKU_Base!AH261)/(1-Settings!$C$17),"WARN","STOP"))),"")</f>
        <v/>
      </c>
      <c r="N261" s="161">
        <f>IFERROR(ROUND(D261*(1-CHOOSE(MATCH(IF($E261="","Основний",$E261),{"Трафіковий","Основний","Маржинальний","Сезонний","Стратегічний"},0),Settings!$D$78,Settings!$D$80,Settings!$D$82,Settings!$D$84,Settings!$D$86))/6,2)*6,"")</f>
        <v/>
      </c>
      <c r="O261" s="142">
        <f>IFERROR(CHOOSE(MATCH(IF($E261="","Основний",$E261),{"Трафіковий","Основний","Маржинальний","Сезонний","Стратегічний"},0),Settings!$D$78,Settings!$D$80,Settings!$D$82,Settings!$D$84,Settings!$D$86),"")</f>
        <v/>
      </c>
      <c r="P261" s="148">
        <f>IFERROR((N261*(1-Settings!$D$17)-C261)/(N261*(1-Settings!$D$17)),"")</f>
        <v/>
      </c>
      <c r="Q261" s="149">
        <f>IFERROR(IF(N261="","",IF(N261&gt;=C261/(1-SKU_Base!AB261)/(1-Settings!$D$17),"OK",IF(N261&gt;=C261/(1-SKU_Base!AI261)/(1-Settings!$D$17),"WARN","STOP"))),"")</f>
        <v/>
      </c>
      <c r="R261" s="161">
        <f>IFERROR(ROUND(D261*(1-CHOOSE(MATCH(IF($E261="","Основний",$E261),{"Трафіковий","Основний","Маржинальний","Сезонний","Стратегічний"},0),Settings!$E$78,Settings!$E$80,Settings!$E$82,Settings!$E$84,Settings!$E$86))/6,2)*6,"")</f>
        <v/>
      </c>
      <c r="S261" s="142">
        <f>IFERROR(CHOOSE(MATCH(IF($E261="","Основний",$E261),{"Трафіковий","Основний","Маржинальний","Сезонний","Стратегічний"},0),Settings!$E$78,Settings!$E$80,Settings!$E$82,Settings!$E$84,Settings!$E$86),"")</f>
        <v/>
      </c>
      <c r="T261" s="148">
        <f>IFERROR((R261*(1-Settings!$E$17)-C261)/(R261*(1-Settings!$E$17)),"")</f>
        <v/>
      </c>
      <c r="U261" s="149">
        <f>IFERROR(IF(R261="","",IF(R261&gt;=C261/(1-SKU_Base!AC261)/(1-Settings!$E$17),"OK",IF(R261&gt;=C261/(1-SKU_Base!AJ261)/(1-Settings!$E$17),"WARN","STOP"))),"")</f>
        <v/>
      </c>
      <c r="V261" s="161">
        <f>IFERROR(ROUND(D261*(1-CHOOSE(MATCH(IF($E261="","Основний",$E261),{"Трафіковий","Основний","Маржинальний","Сезонний","Стратегічний"},0),Settings!$F$78,Settings!$F$80,Settings!$F$82,Settings!$F$84,Settings!$F$86))/6,2)*6,"")</f>
        <v/>
      </c>
      <c r="W261" s="142">
        <f>IFERROR(CHOOSE(MATCH(IF($E261="","Основний",$E261),{"Трафіковий","Основний","Маржинальний","Сезонний","Стратегічний"},0),Settings!$F$78,Settings!$F$80,Settings!$F$82,Settings!$F$84,Settings!$F$86),"")</f>
        <v/>
      </c>
      <c r="X261" s="148">
        <f>IFERROR((V261*(1-Settings!$F$17)-C261)/(V261*(1-Settings!$F$17)),"")</f>
        <v/>
      </c>
      <c r="Y261" s="149">
        <f>IFERROR(IF(V261="","",IF(V261&gt;=C261/(1-SKU_Base!AD261)/(1-Settings!$F$17),"OK",IF(V261&gt;=C261/(1-SKU_Base!AK261)/(1-Settings!$F$17),"WARN","STOP"))),"")</f>
        <v/>
      </c>
      <c r="Z261" s="161">
        <f>IFERROR(ROUND(D261*(1-CHOOSE(MATCH(IF($E261="","Основний",$E261),{"Трафіковий","Основний","Маржинальний","Сезонний","Стратегічний"},0),Settings!$G$78,Settings!$G$80,Settings!$G$82,Settings!$G$84,Settings!$G$86))/6,2)*6,"")</f>
        <v/>
      </c>
      <c r="AA261" s="142">
        <f>IFERROR(CHOOSE(MATCH(IF($E261="","Основний",$E261),{"Трафіковий","Основний","Маржинальний","Сезонний","Стратегічний"},0),Settings!$G$78,Settings!$G$80,Settings!$G$82,Settings!$G$84,Settings!$G$86),"")</f>
        <v/>
      </c>
      <c r="AB261" s="148">
        <f>IFERROR((Z261*(1-Settings!$G$17)-C261)/(Z261*(1-Settings!$G$17)),"")</f>
        <v/>
      </c>
      <c r="AC261" s="149">
        <f>IFERROR(IF(Z261="","",IF(Z261&gt;=C261/(1-SKU_Base!AE261)/(1-Settings!$G$17),"OK",IF(Z261&gt;=C261/(1-SKU_Base!AL261)/(1-Settings!$G$17),"WARN","STOP"))),"")</f>
        <v/>
      </c>
      <c r="AD261" s="161">
        <f>IFERROR(ROUND(D261*(1-CHOOSE(MATCH(IF($E261="","Основний",$E261),{"Трафіковий","Основний","Маржинальний","Сезонний","Стратегічний"},0),Settings!$H$78,Settings!$H$80,Settings!$H$82,Settings!$H$84,Settings!$H$86))*(1-Settings!$H$68)/6,2)*6,"")</f>
        <v/>
      </c>
      <c r="AE261" s="142">
        <f>IFERROR(CHOOSE(MATCH(IF($E261="","Основний",$E261),{"Трафіковий","Основний","Маржинальний","Сезонний","Стратегічний"},0),Settings!$H$78,Settings!$H$80,Settings!$H$82,Settings!$H$84,Settings!$H$86)+(1-(CHOOSE(MATCH(IF($E261="","Основний",$E261),{"Трафіковий","Основний","Маржинальний","Сезонний","Стратегічний"},0),Settings!$H$78,Settings!$H$80,Settings!$H$82,Settings!$H$84,Settings!$H$86)))*Settings!$H$68,"")</f>
        <v/>
      </c>
      <c r="AF261" s="148">
        <f>IFERROR((AD261*(1-Settings!$H$17)-C261)/(AD261*(1-Settings!$H$17)),"")</f>
        <v/>
      </c>
      <c r="AG261" s="150">
        <f>IFERROR(IF(AD261="","",IF(AD261&gt;=C261/(1-SKU_Base!AF261)/(1-Settings!$H$17),"OK",IF(AD261&gt;=C261/(1-SKU_Base!AM261)/(1-Settings!$H$17),"WARN","STOP"))),"")</f>
        <v/>
      </c>
    </row>
    <row r="262" ht="17" customHeight="1" s="179">
      <c r="A262" s="139">
        <f>SKU_Base!B262</f>
        <v/>
      </c>
      <c r="B262" s="139">
        <f>SKU_Base!C262</f>
        <v/>
      </c>
      <c r="C262" s="140">
        <f>IFERROR(SKU_Base!I262,"")</f>
        <v/>
      </c>
      <c r="D262" s="163">
        <f>IFERROR(SKU_Base!T262,"")</f>
        <v/>
      </c>
      <c r="E262" s="141">
        <f>IFERROR(SKU_Base!$U262,"")</f>
        <v/>
      </c>
      <c r="F262" s="158">
        <f>IFERROR(ROUND(D262*(1-CHOOSE(MATCH(IF($E262="","Основний",$E262),{"Трафіковий","Основний","Маржинальний","Сезонний","Стратегічний"},0),Settings!$B$78,Settings!$B$80,Settings!$B$82,Settings!$B$84,Settings!$B$86))/6,2)*6,"")</f>
        <v/>
      </c>
      <c r="G262" s="142">
        <f>IFERROR(CHOOSE(MATCH(IF($E262="","Основний",$E262),{"Трафіковий","Основний","Маржинальний","Сезонний","Стратегічний"},0),Settings!$B$78,Settings!$B$80,Settings!$B$82,Settings!$B$84,Settings!$B$86),"")</f>
        <v/>
      </c>
      <c r="H262" s="143">
        <f>IFERROR((F262*(1-Settings!$B$17)-C262)/(F262*(1-Settings!$B$17)),"")</f>
        <v/>
      </c>
      <c r="I262" s="149">
        <f>IFERROR(IF(F262="","",IF(F262&gt;=C262/(1-SKU_Base!Z262)/(1-Settings!$B$17),"OK",IF(F262&gt;=C262/(1-SKU_Base!AG262)/(1-Settings!$B$17),"WARN","STOP"))),"")</f>
        <v/>
      </c>
      <c r="J262" s="158">
        <f>IFERROR(ROUND(D262*(1-CHOOSE(MATCH(IF($E262="","Основний",$E262),{"Трафіковий","Основний","Маржинальний","Сезонний","Стратегічний"},0),Settings!$C$78,Settings!$C$80,Settings!$C$82,Settings!$C$84,Settings!$C$86))/6,2)*6,"")</f>
        <v/>
      </c>
      <c r="K262" s="142">
        <f>IFERROR(CHOOSE(MATCH(IF($E262="","Основний",$E262),{"Трафіковий","Основний","Маржинальний","Сезонний","Стратегічний"},0),Settings!$C$78,Settings!$C$80,Settings!$C$82,Settings!$C$84,Settings!$C$86),"")</f>
        <v/>
      </c>
      <c r="L262" s="143">
        <f>IFERROR((J262*(1-Settings!$C$17)-C262)/(J262*(1-Settings!$C$17)),"")</f>
        <v/>
      </c>
      <c r="M262" s="149">
        <f>IFERROR(IF(J262="","",IF(J262&gt;=C262/(1-SKU_Base!AA262)/(1-Settings!$C$17),"OK",IF(J262&gt;=C262/(1-SKU_Base!AH262)/(1-Settings!$C$17),"WARN","STOP"))),"")</f>
        <v/>
      </c>
      <c r="N262" s="159">
        <f>IFERROR(ROUND(D262*(1-CHOOSE(MATCH(IF($E262="","Основний",$E262),{"Трафіковий","Основний","Маржинальний","Сезонний","Стратегічний"},0),Settings!$D$78,Settings!$D$80,Settings!$D$82,Settings!$D$84,Settings!$D$86))/6,2)*6,"")</f>
        <v/>
      </c>
      <c r="O262" s="142">
        <f>IFERROR(CHOOSE(MATCH(IF($E262="","Основний",$E262),{"Трафіковий","Основний","Маржинальний","Сезонний","Стратегічний"},0),Settings!$D$78,Settings!$D$80,Settings!$D$82,Settings!$D$84,Settings!$D$86),"")</f>
        <v/>
      </c>
      <c r="P262" s="143">
        <f>IFERROR((N262*(1-Settings!$D$17)-C262)/(N262*(1-Settings!$D$17)),"")</f>
        <v/>
      </c>
      <c r="Q262" s="149">
        <f>IFERROR(IF(N262="","",IF(N262&gt;=C262/(1-SKU_Base!AB262)/(1-Settings!$D$17),"OK",IF(N262&gt;=C262/(1-SKU_Base!AI262)/(1-Settings!$D$17),"WARN","STOP"))),"")</f>
        <v/>
      </c>
      <c r="R262" s="159">
        <f>IFERROR(ROUND(D262*(1-CHOOSE(MATCH(IF($E262="","Основний",$E262),{"Трафіковий","Основний","Маржинальний","Сезонний","Стратегічний"},0),Settings!$E$78,Settings!$E$80,Settings!$E$82,Settings!$E$84,Settings!$E$86))/6,2)*6,"")</f>
        <v/>
      </c>
      <c r="S262" s="142">
        <f>IFERROR(CHOOSE(MATCH(IF($E262="","Основний",$E262),{"Трафіковий","Основний","Маржинальний","Сезонний","Стратегічний"},0),Settings!$E$78,Settings!$E$80,Settings!$E$82,Settings!$E$84,Settings!$E$86),"")</f>
        <v/>
      </c>
      <c r="T262" s="143">
        <f>IFERROR((R262*(1-Settings!$E$17)-C262)/(R262*(1-Settings!$E$17)),"")</f>
        <v/>
      </c>
      <c r="U262" s="149">
        <f>IFERROR(IF(R262="","",IF(R262&gt;=C262/(1-SKU_Base!AC262)/(1-Settings!$E$17),"OK",IF(R262&gt;=C262/(1-SKU_Base!AJ262)/(1-Settings!$E$17),"WARN","STOP"))),"")</f>
        <v/>
      </c>
      <c r="V262" s="159">
        <f>IFERROR(ROUND(D262*(1-CHOOSE(MATCH(IF($E262="","Основний",$E262),{"Трафіковий","Основний","Маржинальний","Сезонний","Стратегічний"},0),Settings!$F$78,Settings!$F$80,Settings!$F$82,Settings!$F$84,Settings!$F$86))/6,2)*6,"")</f>
        <v/>
      </c>
      <c r="W262" s="142">
        <f>IFERROR(CHOOSE(MATCH(IF($E262="","Основний",$E262),{"Трафіковий","Основний","Маржинальний","Сезонний","Стратегічний"},0),Settings!$F$78,Settings!$F$80,Settings!$F$82,Settings!$F$84,Settings!$F$86),"")</f>
        <v/>
      </c>
      <c r="X262" s="143">
        <f>IFERROR((V262*(1-Settings!$F$17)-C262)/(V262*(1-Settings!$F$17)),"")</f>
        <v/>
      </c>
      <c r="Y262" s="149">
        <f>IFERROR(IF(V262="","",IF(V262&gt;=C262/(1-SKU_Base!AD262)/(1-Settings!$F$17),"OK",IF(V262&gt;=C262/(1-SKU_Base!AK262)/(1-Settings!$F$17),"WARN","STOP"))),"")</f>
        <v/>
      </c>
      <c r="Z262" s="159">
        <f>IFERROR(ROUND(D262*(1-CHOOSE(MATCH(IF($E262="","Основний",$E262),{"Трафіковий","Основний","Маржинальний","Сезонний","Стратегічний"},0),Settings!$G$78,Settings!$G$80,Settings!$G$82,Settings!$G$84,Settings!$G$86))/6,2)*6,"")</f>
        <v/>
      </c>
      <c r="AA262" s="142">
        <f>IFERROR(CHOOSE(MATCH(IF($E262="","Основний",$E262),{"Трафіковий","Основний","Маржинальний","Сезонний","Стратегічний"},0),Settings!$G$78,Settings!$G$80,Settings!$G$82,Settings!$G$84,Settings!$G$86),"")</f>
        <v/>
      </c>
      <c r="AB262" s="143">
        <f>IFERROR((Z262*(1-Settings!$G$17)-C262)/(Z262*(1-Settings!$G$17)),"")</f>
        <v/>
      </c>
      <c r="AC262" s="149">
        <f>IFERROR(IF(Z262="","",IF(Z262&gt;=C262/(1-SKU_Base!AE262)/(1-Settings!$G$17),"OK",IF(Z262&gt;=C262/(1-SKU_Base!AL262)/(1-Settings!$G$17),"WARN","STOP"))),"")</f>
        <v/>
      </c>
      <c r="AD262" s="159">
        <f>IFERROR(ROUND(D262*(1-CHOOSE(MATCH(IF($E262="","Основний",$E262),{"Трафіковий","Основний","Маржинальний","Сезонний","Стратегічний"},0),Settings!$H$78,Settings!$H$80,Settings!$H$82,Settings!$H$84,Settings!$H$86))*(1-Settings!$H$68)/6,2)*6,"")</f>
        <v/>
      </c>
      <c r="AE262" s="142">
        <f>IFERROR(CHOOSE(MATCH(IF($E262="","Основний",$E262),{"Трафіковий","Основний","Маржинальний","Сезонний","Стратегічний"},0),Settings!$H$78,Settings!$H$80,Settings!$H$82,Settings!$H$84,Settings!$H$86)+(1-(CHOOSE(MATCH(IF($E262="","Основний",$E262),{"Трафіковий","Основний","Маржинальний","Сезонний","Стратегічний"},0),Settings!$H$78,Settings!$H$80,Settings!$H$82,Settings!$H$84,Settings!$H$86)))*Settings!$H$68,"")</f>
        <v/>
      </c>
      <c r="AF262" s="143">
        <f>IFERROR((AD262*(1-Settings!$H$17)-C262)/(AD262*(1-Settings!$H$17)),"")</f>
        <v/>
      </c>
      <c r="AG262" s="150">
        <f>IFERROR(IF(AD262="","",IF(AD262&gt;=C262/(1-SKU_Base!AF262)/(1-Settings!$H$17),"OK",IF(AD262&gt;=C262/(1-SKU_Base!AM262)/(1-Settings!$H$17),"WARN","STOP"))),"")</f>
        <v/>
      </c>
    </row>
    <row r="263" ht="17" customHeight="1" s="179">
      <c r="A263" s="146">
        <f>SKU_Base!B263</f>
        <v/>
      </c>
      <c r="B263" s="146">
        <f>SKU_Base!C263</f>
        <v/>
      </c>
      <c r="C263" s="147">
        <f>IFERROR(SKU_Base!I263,"")</f>
        <v/>
      </c>
      <c r="D263" s="164">
        <f>IFERROR(SKU_Base!T263,"")</f>
        <v/>
      </c>
      <c r="E263" s="141">
        <f>IFERROR(SKU_Base!$U263,"")</f>
        <v/>
      </c>
      <c r="F263" s="160">
        <f>IFERROR(ROUND(D263*(1-CHOOSE(MATCH(IF($E263="","Основний",$E263),{"Трафіковий","Основний","Маржинальний","Сезонний","Стратегічний"},0),Settings!$B$78,Settings!$B$80,Settings!$B$82,Settings!$B$84,Settings!$B$86))/6,2)*6,"")</f>
        <v/>
      </c>
      <c r="G263" s="142">
        <f>IFERROR(CHOOSE(MATCH(IF($E263="","Основний",$E263),{"Трафіковий","Основний","Маржинальний","Сезонний","Стратегічний"},0),Settings!$B$78,Settings!$B$80,Settings!$B$82,Settings!$B$84,Settings!$B$86),"")</f>
        <v/>
      </c>
      <c r="H263" s="148">
        <f>IFERROR((F263*(1-Settings!$B$17)-C263)/(F263*(1-Settings!$B$17)),"")</f>
        <v/>
      </c>
      <c r="I263" s="150">
        <f>IFERROR(IF(F263="","",IF(F263&gt;=C263/(1-SKU_Base!Z263)/(1-Settings!$B$17),"OK",IF(F263&gt;=C263/(1-SKU_Base!AG263)/(1-Settings!$B$17),"WARN","STOP"))),"")</f>
        <v/>
      </c>
      <c r="J263" s="160">
        <f>IFERROR(ROUND(D263*(1-CHOOSE(MATCH(IF($E263="","Основний",$E263),{"Трафіковий","Основний","Маржинальний","Сезонний","Стратегічний"},0),Settings!$C$78,Settings!$C$80,Settings!$C$82,Settings!$C$84,Settings!$C$86))/6,2)*6,"")</f>
        <v/>
      </c>
      <c r="K263" s="142">
        <f>IFERROR(CHOOSE(MATCH(IF($E263="","Основний",$E263),{"Трафіковий","Основний","Маржинальний","Сезонний","Стратегічний"},0),Settings!$C$78,Settings!$C$80,Settings!$C$82,Settings!$C$84,Settings!$C$86),"")</f>
        <v/>
      </c>
      <c r="L263" s="148">
        <f>IFERROR((J263*(1-Settings!$C$17)-C263)/(J263*(1-Settings!$C$17)),"")</f>
        <v/>
      </c>
      <c r="M263" s="149">
        <f>IFERROR(IF(J263="","",IF(J263&gt;=C263/(1-SKU_Base!AA263)/(1-Settings!$C$17),"OK",IF(J263&gt;=C263/(1-SKU_Base!AH263)/(1-Settings!$C$17),"WARN","STOP"))),"")</f>
        <v/>
      </c>
      <c r="N263" s="161">
        <f>IFERROR(ROUND(D263*(1-CHOOSE(MATCH(IF($E263="","Основний",$E263),{"Трафіковий","Основний","Маржинальний","Сезонний","Стратегічний"},0),Settings!$D$78,Settings!$D$80,Settings!$D$82,Settings!$D$84,Settings!$D$86))/6,2)*6,"")</f>
        <v/>
      </c>
      <c r="O263" s="142">
        <f>IFERROR(CHOOSE(MATCH(IF($E263="","Основний",$E263),{"Трафіковий","Основний","Маржинальний","Сезонний","Стратегічний"},0),Settings!$D$78,Settings!$D$80,Settings!$D$82,Settings!$D$84,Settings!$D$86),"")</f>
        <v/>
      </c>
      <c r="P263" s="148">
        <f>IFERROR((N263*(1-Settings!$D$17)-C263)/(N263*(1-Settings!$D$17)),"")</f>
        <v/>
      </c>
      <c r="Q263" s="149">
        <f>IFERROR(IF(N263="","",IF(N263&gt;=C263/(1-SKU_Base!AB263)/(1-Settings!$D$17),"OK",IF(N263&gt;=C263/(1-SKU_Base!AI263)/(1-Settings!$D$17),"WARN","STOP"))),"")</f>
        <v/>
      </c>
      <c r="R263" s="161">
        <f>IFERROR(ROUND(D263*(1-CHOOSE(MATCH(IF($E263="","Основний",$E263),{"Трафіковий","Основний","Маржинальний","Сезонний","Стратегічний"},0),Settings!$E$78,Settings!$E$80,Settings!$E$82,Settings!$E$84,Settings!$E$86))/6,2)*6,"")</f>
        <v/>
      </c>
      <c r="S263" s="142">
        <f>IFERROR(CHOOSE(MATCH(IF($E263="","Основний",$E263),{"Трафіковий","Основний","Маржинальний","Сезонний","Стратегічний"},0),Settings!$E$78,Settings!$E$80,Settings!$E$82,Settings!$E$84,Settings!$E$86),"")</f>
        <v/>
      </c>
      <c r="T263" s="148">
        <f>IFERROR((R263*(1-Settings!$E$17)-C263)/(R263*(1-Settings!$E$17)),"")</f>
        <v/>
      </c>
      <c r="U263" s="149">
        <f>IFERROR(IF(R263="","",IF(R263&gt;=C263/(1-SKU_Base!AC263)/(1-Settings!$E$17),"OK",IF(R263&gt;=C263/(1-SKU_Base!AJ263)/(1-Settings!$E$17),"WARN","STOP"))),"")</f>
        <v/>
      </c>
      <c r="V263" s="161">
        <f>IFERROR(ROUND(D263*(1-CHOOSE(MATCH(IF($E263="","Основний",$E263),{"Трафіковий","Основний","Маржинальний","Сезонний","Стратегічний"},0),Settings!$F$78,Settings!$F$80,Settings!$F$82,Settings!$F$84,Settings!$F$86))/6,2)*6,"")</f>
        <v/>
      </c>
      <c r="W263" s="142">
        <f>IFERROR(CHOOSE(MATCH(IF($E263="","Основний",$E263),{"Трафіковий","Основний","Маржинальний","Сезонний","Стратегічний"},0),Settings!$F$78,Settings!$F$80,Settings!$F$82,Settings!$F$84,Settings!$F$86),"")</f>
        <v/>
      </c>
      <c r="X263" s="148">
        <f>IFERROR((V263*(1-Settings!$F$17)-C263)/(V263*(1-Settings!$F$17)),"")</f>
        <v/>
      </c>
      <c r="Y263" s="149">
        <f>IFERROR(IF(V263="","",IF(V263&gt;=C263/(1-SKU_Base!AD263)/(1-Settings!$F$17),"OK",IF(V263&gt;=C263/(1-SKU_Base!AK263)/(1-Settings!$F$17),"WARN","STOP"))),"")</f>
        <v/>
      </c>
      <c r="Z263" s="161">
        <f>IFERROR(ROUND(D263*(1-CHOOSE(MATCH(IF($E263="","Основний",$E263),{"Трафіковий","Основний","Маржинальний","Сезонний","Стратегічний"},0),Settings!$G$78,Settings!$G$80,Settings!$G$82,Settings!$G$84,Settings!$G$86))/6,2)*6,"")</f>
        <v/>
      </c>
      <c r="AA263" s="142">
        <f>IFERROR(CHOOSE(MATCH(IF($E263="","Основний",$E263),{"Трафіковий","Основний","Маржинальний","Сезонний","Стратегічний"},0),Settings!$G$78,Settings!$G$80,Settings!$G$82,Settings!$G$84,Settings!$G$86),"")</f>
        <v/>
      </c>
      <c r="AB263" s="148">
        <f>IFERROR((Z263*(1-Settings!$G$17)-C263)/(Z263*(1-Settings!$G$17)),"")</f>
        <v/>
      </c>
      <c r="AC263" s="149">
        <f>IFERROR(IF(Z263="","",IF(Z263&gt;=C263/(1-SKU_Base!AE263)/(1-Settings!$G$17),"OK",IF(Z263&gt;=C263/(1-SKU_Base!AL263)/(1-Settings!$G$17),"WARN","STOP"))),"")</f>
        <v/>
      </c>
      <c r="AD263" s="161">
        <f>IFERROR(ROUND(D263*(1-CHOOSE(MATCH(IF($E263="","Основний",$E263),{"Трафіковий","Основний","Маржинальний","Сезонний","Стратегічний"},0),Settings!$H$78,Settings!$H$80,Settings!$H$82,Settings!$H$84,Settings!$H$86))*(1-Settings!$H$68)/6,2)*6,"")</f>
        <v/>
      </c>
      <c r="AE263" s="142">
        <f>IFERROR(CHOOSE(MATCH(IF($E263="","Основний",$E263),{"Трафіковий","Основний","Маржинальний","Сезонний","Стратегічний"},0),Settings!$H$78,Settings!$H$80,Settings!$H$82,Settings!$H$84,Settings!$H$86)+(1-(CHOOSE(MATCH(IF($E263="","Основний",$E263),{"Трафіковий","Основний","Маржинальний","Сезонний","Стратегічний"},0),Settings!$H$78,Settings!$H$80,Settings!$H$82,Settings!$H$84,Settings!$H$86)))*Settings!$H$68,"")</f>
        <v/>
      </c>
      <c r="AF263" s="148">
        <f>IFERROR((AD263*(1-Settings!$H$17)-C263)/(AD263*(1-Settings!$H$17)),"")</f>
        <v/>
      </c>
      <c r="AG263" s="150">
        <f>IFERROR(IF(AD263="","",IF(AD263&gt;=C263/(1-SKU_Base!AF263)/(1-Settings!$H$17),"OK",IF(AD263&gt;=C263/(1-SKU_Base!AM263)/(1-Settings!$H$17),"WARN","STOP"))),"")</f>
        <v/>
      </c>
    </row>
    <row r="264" ht="17" customHeight="1" s="179">
      <c r="A264" s="139">
        <f>SKU_Base!B264</f>
        <v/>
      </c>
      <c r="B264" s="139">
        <f>SKU_Base!C264</f>
        <v/>
      </c>
      <c r="C264" s="140">
        <f>IFERROR(SKU_Base!I264,"")</f>
        <v/>
      </c>
      <c r="D264" s="163">
        <f>IFERROR(SKU_Base!T264,"")</f>
        <v/>
      </c>
      <c r="E264" s="141">
        <f>IFERROR(SKU_Base!$U264,"")</f>
        <v/>
      </c>
      <c r="F264" s="158">
        <f>IFERROR(ROUND(D264*(1-CHOOSE(MATCH(IF($E264="","Основний",$E264),{"Трафіковий","Основний","Маржинальний","Сезонний","Стратегічний"},0),Settings!$B$78,Settings!$B$80,Settings!$B$82,Settings!$B$84,Settings!$B$86))/6,2)*6,"")</f>
        <v/>
      </c>
      <c r="G264" s="142">
        <f>IFERROR(CHOOSE(MATCH(IF($E264="","Основний",$E264),{"Трафіковий","Основний","Маржинальний","Сезонний","Стратегічний"},0),Settings!$B$78,Settings!$B$80,Settings!$B$82,Settings!$B$84,Settings!$B$86),"")</f>
        <v/>
      </c>
      <c r="H264" s="143">
        <f>IFERROR((F264*(1-Settings!$B$17)-C264)/(F264*(1-Settings!$B$17)),"")</f>
        <v/>
      </c>
      <c r="I264" s="149">
        <f>IFERROR(IF(F264="","",IF(F264&gt;=C264/(1-SKU_Base!Z264)/(1-Settings!$B$17),"OK",IF(F264&gt;=C264/(1-SKU_Base!AG264)/(1-Settings!$B$17),"WARN","STOP"))),"")</f>
        <v/>
      </c>
      <c r="J264" s="158">
        <f>IFERROR(ROUND(D264*(1-CHOOSE(MATCH(IF($E264="","Основний",$E264),{"Трафіковий","Основний","Маржинальний","Сезонний","Стратегічний"},0),Settings!$C$78,Settings!$C$80,Settings!$C$82,Settings!$C$84,Settings!$C$86))/6,2)*6,"")</f>
        <v/>
      </c>
      <c r="K264" s="142">
        <f>IFERROR(CHOOSE(MATCH(IF($E264="","Основний",$E264),{"Трафіковий","Основний","Маржинальний","Сезонний","Стратегічний"},0),Settings!$C$78,Settings!$C$80,Settings!$C$82,Settings!$C$84,Settings!$C$86),"")</f>
        <v/>
      </c>
      <c r="L264" s="143">
        <f>IFERROR((J264*(1-Settings!$C$17)-C264)/(J264*(1-Settings!$C$17)),"")</f>
        <v/>
      </c>
      <c r="M264" s="149">
        <f>IFERROR(IF(J264="","",IF(J264&gt;=C264/(1-SKU_Base!AA264)/(1-Settings!$C$17),"OK",IF(J264&gt;=C264/(1-SKU_Base!AH264)/(1-Settings!$C$17),"WARN","STOP"))),"")</f>
        <v/>
      </c>
      <c r="N264" s="159">
        <f>IFERROR(ROUND(D264*(1-CHOOSE(MATCH(IF($E264="","Основний",$E264),{"Трафіковий","Основний","Маржинальний","Сезонний","Стратегічний"},0),Settings!$D$78,Settings!$D$80,Settings!$D$82,Settings!$D$84,Settings!$D$86))/6,2)*6,"")</f>
        <v/>
      </c>
      <c r="O264" s="142">
        <f>IFERROR(CHOOSE(MATCH(IF($E264="","Основний",$E264),{"Трафіковий","Основний","Маржинальний","Сезонний","Стратегічний"},0),Settings!$D$78,Settings!$D$80,Settings!$D$82,Settings!$D$84,Settings!$D$86),"")</f>
        <v/>
      </c>
      <c r="P264" s="143">
        <f>IFERROR((N264*(1-Settings!$D$17)-C264)/(N264*(1-Settings!$D$17)),"")</f>
        <v/>
      </c>
      <c r="Q264" s="149">
        <f>IFERROR(IF(N264="","",IF(N264&gt;=C264/(1-SKU_Base!AB264)/(1-Settings!$D$17),"OK",IF(N264&gt;=C264/(1-SKU_Base!AI264)/(1-Settings!$D$17),"WARN","STOP"))),"")</f>
        <v/>
      </c>
      <c r="R264" s="159">
        <f>IFERROR(ROUND(D264*(1-CHOOSE(MATCH(IF($E264="","Основний",$E264),{"Трафіковий","Основний","Маржинальний","Сезонний","Стратегічний"},0),Settings!$E$78,Settings!$E$80,Settings!$E$82,Settings!$E$84,Settings!$E$86))/6,2)*6,"")</f>
        <v/>
      </c>
      <c r="S264" s="142">
        <f>IFERROR(CHOOSE(MATCH(IF($E264="","Основний",$E264),{"Трафіковий","Основний","Маржинальний","Сезонний","Стратегічний"},0),Settings!$E$78,Settings!$E$80,Settings!$E$82,Settings!$E$84,Settings!$E$86),"")</f>
        <v/>
      </c>
      <c r="T264" s="143">
        <f>IFERROR((R264*(1-Settings!$E$17)-C264)/(R264*(1-Settings!$E$17)),"")</f>
        <v/>
      </c>
      <c r="U264" s="149">
        <f>IFERROR(IF(R264="","",IF(R264&gt;=C264/(1-SKU_Base!AC264)/(1-Settings!$E$17),"OK",IF(R264&gt;=C264/(1-SKU_Base!AJ264)/(1-Settings!$E$17),"WARN","STOP"))),"")</f>
        <v/>
      </c>
      <c r="V264" s="159">
        <f>IFERROR(ROUND(D264*(1-CHOOSE(MATCH(IF($E264="","Основний",$E264),{"Трафіковий","Основний","Маржинальний","Сезонний","Стратегічний"},0),Settings!$F$78,Settings!$F$80,Settings!$F$82,Settings!$F$84,Settings!$F$86))/6,2)*6,"")</f>
        <v/>
      </c>
      <c r="W264" s="142">
        <f>IFERROR(CHOOSE(MATCH(IF($E264="","Основний",$E264),{"Трафіковий","Основний","Маржинальний","Сезонний","Стратегічний"},0),Settings!$F$78,Settings!$F$80,Settings!$F$82,Settings!$F$84,Settings!$F$86),"")</f>
        <v/>
      </c>
      <c r="X264" s="143">
        <f>IFERROR((V264*(1-Settings!$F$17)-C264)/(V264*(1-Settings!$F$17)),"")</f>
        <v/>
      </c>
      <c r="Y264" s="149">
        <f>IFERROR(IF(V264="","",IF(V264&gt;=C264/(1-SKU_Base!AD264)/(1-Settings!$F$17),"OK",IF(V264&gt;=C264/(1-SKU_Base!AK264)/(1-Settings!$F$17),"WARN","STOP"))),"")</f>
        <v/>
      </c>
      <c r="Z264" s="159">
        <f>IFERROR(ROUND(D264*(1-CHOOSE(MATCH(IF($E264="","Основний",$E264),{"Трафіковий","Основний","Маржинальний","Сезонний","Стратегічний"},0),Settings!$G$78,Settings!$G$80,Settings!$G$82,Settings!$G$84,Settings!$G$86))/6,2)*6,"")</f>
        <v/>
      </c>
      <c r="AA264" s="142">
        <f>IFERROR(CHOOSE(MATCH(IF($E264="","Основний",$E264),{"Трафіковий","Основний","Маржинальний","Сезонний","Стратегічний"},0),Settings!$G$78,Settings!$G$80,Settings!$G$82,Settings!$G$84,Settings!$G$86),"")</f>
        <v/>
      </c>
      <c r="AB264" s="143">
        <f>IFERROR((Z264*(1-Settings!$G$17)-C264)/(Z264*(1-Settings!$G$17)),"")</f>
        <v/>
      </c>
      <c r="AC264" s="149">
        <f>IFERROR(IF(Z264="","",IF(Z264&gt;=C264/(1-SKU_Base!AE264)/(1-Settings!$G$17),"OK",IF(Z264&gt;=C264/(1-SKU_Base!AL264)/(1-Settings!$G$17),"WARN","STOP"))),"")</f>
        <v/>
      </c>
      <c r="AD264" s="159">
        <f>IFERROR(ROUND(D264*(1-CHOOSE(MATCH(IF($E264="","Основний",$E264),{"Трафіковий","Основний","Маржинальний","Сезонний","Стратегічний"},0),Settings!$H$78,Settings!$H$80,Settings!$H$82,Settings!$H$84,Settings!$H$86))*(1-Settings!$H$68)/6,2)*6,"")</f>
        <v/>
      </c>
      <c r="AE264" s="142">
        <f>IFERROR(CHOOSE(MATCH(IF($E264="","Основний",$E264),{"Трафіковий","Основний","Маржинальний","Сезонний","Стратегічний"},0),Settings!$H$78,Settings!$H$80,Settings!$H$82,Settings!$H$84,Settings!$H$86)+(1-(CHOOSE(MATCH(IF($E264="","Основний",$E264),{"Трафіковий","Основний","Маржинальний","Сезонний","Стратегічний"},0),Settings!$H$78,Settings!$H$80,Settings!$H$82,Settings!$H$84,Settings!$H$86)))*Settings!$H$68,"")</f>
        <v/>
      </c>
      <c r="AF264" s="143">
        <f>IFERROR((AD264*(1-Settings!$H$17)-C264)/(AD264*(1-Settings!$H$17)),"")</f>
        <v/>
      </c>
      <c r="AG264" s="149">
        <f>IFERROR(IF(AD264="","",IF(AD264&gt;=C264/(1-SKU_Base!AF264)/(1-Settings!$H$17),"OK",IF(AD264&gt;=C264/(1-SKU_Base!AM264)/(1-Settings!$H$17),"WARN","STOP"))),"")</f>
        <v/>
      </c>
    </row>
    <row r="265" ht="17" customHeight="1" s="179">
      <c r="A265" s="146">
        <f>SKU_Base!B265</f>
        <v/>
      </c>
      <c r="B265" s="146">
        <f>SKU_Base!C265</f>
        <v/>
      </c>
      <c r="C265" s="147">
        <f>IFERROR(SKU_Base!I265,"")</f>
        <v/>
      </c>
      <c r="D265" s="164">
        <f>IFERROR(SKU_Base!T265,"")</f>
        <v/>
      </c>
      <c r="E265" s="141">
        <f>IFERROR(SKU_Base!$U265,"")</f>
        <v/>
      </c>
      <c r="F265" s="160">
        <f>IFERROR(ROUND(D265*(1-CHOOSE(MATCH(IF($E265="","Основний",$E265),{"Трафіковий","Основний","Маржинальний","Сезонний","Стратегічний"},0),Settings!$B$78,Settings!$B$80,Settings!$B$82,Settings!$B$84,Settings!$B$86))/6,2)*6,"")</f>
        <v/>
      </c>
      <c r="G265" s="142">
        <f>IFERROR(CHOOSE(MATCH(IF($E265="","Основний",$E265),{"Трафіковий","Основний","Маржинальний","Сезонний","Стратегічний"},0),Settings!$B$78,Settings!$B$80,Settings!$B$82,Settings!$B$84,Settings!$B$86),"")</f>
        <v/>
      </c>
      <c r="H265" s="148">
        <f>IFERROR((F265*(1-Settings!$B$17)-C265)/(F265*(1-Settings!$B$17)),"")</f>
        <v/>
      </c>
      <c r="I265" s="149">
        <f>IFERROR(IF(F265="","",IF(F265&gt;=C265/(1-SKU_Base!Z265)/(1-Settings!$B$17),"OK",IF(F265&gt;=C265/(1-SKU_Base!AG265)/(1-Settings!$B$17),"WARN","STOP"))),"")</f>
        <v/>
      </c>
      <c r="J265" s="160">
        <f>IFERROR(ROUND(D265*(1-CHOOSE(MATCH(IF($E265="","Основний",$E265),{"Трафіковий","Основний","Маржинальний","Сезонний","Стратегічний"},0),Settings!$C$78,Settings!$C$80,Settings!$C$82,Settings!$C$84,Settings!$C$86))/6,2)*6,"")</f>
        <v/>
      </c>
      <c r="K265" s="142">
        <f>IFERROR(CHOOSE(MATCH(IF($E265="","Основний",$E265),{"Трафіковий","Основний","Маржинальний","Сезонний","Стратегічний"},0),Settings!$C$78,Settings!$C$80,Settings!$C$82,Settings!$C$84,Settings!$C$86),"")</f>
        <v/>
      </c>
      <c r="L265" s="148">
        <f>IFERROR((J265*(1-Settings!$C$17)-C265)/(J265*(1-Settings!$C$17)),"")</f>
        <v/>
      </c>
      <c r="M265" s="149">
        <f>IFERROR(IF(J265="","",IF(J265&gt;=C265/(1-SKU_Base!AA265)/(1-Settings!$C$17),"OK",IF(J265&gt;=C265/(1-SKU_Base!AH265)/(1-Settings!$C$17),"WARN","STOP"))),"")</f>
        <v/>
      </c>
      <c r="N265" s="161">
        <f>IFERROR(ROUND(D265*(1-CHOOSE(MATCH(IF($E265="","Основний",$E265),{"Трафіковий","Основний","Маржинальний","Сезонний","Стратегічний"},0),Settings!$D$78,Settings!$D$80,Settings!$D$82,Settings!$D$84,Settings!$D$86))/6,2)*6,"")</f>
        <v/>
      </c>
      <c r="O265" s="142">
        <f>IFERROR(CHOOSE(MATCH(IF($E265="","Основний",$E265),{"Трафіковий","Основний","Маржинальний","Сезонний","Стратегічний"},0),Settings!$D$78,Settings!$D$80,Settings!$D$82,Settings!$D$84,Settings!$D$86),"")</f>
        <v/>
      </c>
      <c r="P265" s="148">
        <f>IFERROR((N265*(1-Settings!$D$17)-C265)/(N265*(1-Settings!$D$17)),"")</f>
        <v/>
      </c>
      <c r="Q265" s="149">
        <f>IFERROR(IF(N265="","",IF(N265&gt;=C265/(1-SKU_Base!AB265)/(1-Settings!$D$17),"OK",IF(N265&gt;=C265/(1-SKU_Base!AI265)/(1-Settings!$D$17),"WARN","STOP"))),"")</f>
        <v/>
      </c>
      <c r="R265" s="161">
        <f>IFERROR(ROUND(D265*(1-CHOOSE(MATCH(IF($E265="","Основний",$E265),{"Трафіковий","Основний","Маржинальний","Сезонний","Стратегічний"},0),Settings!$E$78,Settings!$E$80,Settings!$E$82,Settings!$E$84,Settings!$E$86))/6,2)*6,"")</f>
        <v/>
      </c>
      <c r="S265" s="142">
        <f>IFERROR(CHOOSE(MATCH(IF($E265="","Основний",$E265),{"Трафіковий","Основний","Маржинальний","Сезонний","Стратегічний"},0),Settings!$E$78,Settings!$E$80,Settings!$E$82,Settings!$E$84,Settings!$E$86),"")</f>
        <v/>
      </c>
      <c r="T265" s="148">
        <f>IFERROR((R265*(1-Settings!$E$17)-C265)/(R265*(1-Settings!$E$17)),"")</f>
        <v/>
      </c>
      <c r="U265" s="149">
        <f>IFERROR(IF(R265="","",IF(R265&gt;=C265/(1-SKU_Base!AC265)/(1-Settings!$E$17),"OK",IF(R265&gt;=C265/(1-SKU_Base!AJ265)/(1-Settings!$E$17),"WARN","STOP"))),"")</f>
        <v/>
      </c>
      <c r="V265" s="161">
        <f>IFERROR(ROUND(D265*(1-CHOOSE(MATCH(IF($E265="","Основний",$E265),{"Трафіковий","Основний","Маржинальний","Сезонний","Стратегічний"},0),Settings!$F$78,Settings!$F$80,Settings!$F$82,Settings!$F$84,Settings!$F$86))/6,2)*6,"")</f>
        <v/>
      </c>
      <c r="W265" s="142">
        <f>IFERROR(CHOOSE(MATCH(IF($E265="","Основний",$E265),{"Трафіковий","Основний","Маржинальний","Сезонний","Стратегічний"},0),Settings!$F$78,Settings!$F$80,Settings!$F$82,Settings!$F$84,Settings!$F$86),"")</f>
        <v/>
      </c>
      <c r="X265" s="148">
        <f>IFERROR((V265*(1-Settings!$F$17)-C265)/(V265*(1-Settings!$F$17)),"")</f>
        <v/>
      </c>
      <c r="Y265" s="149">
        <f>IFERROR(IF(V265="","",IF(V265&gt;=C265/(1-SKU_Base!AD265)/(1-Settings!$F$17),"OK",IF(V265&gt;=C265/(1-SKU_Base!AK265)/(1-Settings!$F$17),"WARN","STOP"))),"")</f>
        <v/>
      </c>
      <c r="Z265" s="161">
        <f>IFERROR(ROUND(D265*(1-CHOOSE(MATCH(IF($E265="","Основний",$E265),{"Трафіковий","Основний","Маржинальний","Сезонний","Стратегічний"},0),Settings!$G$78,Settings!$G$80,Settings!$G$82,Settings!$G$84,Settings!$G$86))/6,2)*6,"")</f>
        <v/>
      </c>
      <c r="AA265" s="142">
        <f>IFERROR(CHOOSE(MATCH(IF($E265="","Основний",$E265),{"Трафіковий","Основний","Маржинальний","Сезонний","Стратегічний"},0),Settings!$G$78,Settings!$G$80,Settings!$G$82,Settings!$G$84,Settings!$G$86),"")</f>
        <v/>
      </c>
      <c r="AB265" s="148">
        <f>IFERROR((Z265*(1-Settings!$G$17)-C265)/(Z265*(1-Settings!$G$17)),"")</f>
        <v/>
      </c>
      <c r="AC265" s="149">
        <f>IFERROR(IF(Z265="","",IF(Z265&gt;=C265/(1-SKU_Base!AE265)/(1-Settings!$G$17),"OK",IF(Z265&gt;=C265/(1-SKU_Base!AL265)/(1-Settings!$G$17),"WARN","STOP"))),"")</f>
        <v/>
      </c>
      <c r="AD265" s="161">
        <f>IFERROR(ROUND(D265*(1-CHOOSE(MATCH(IF($E265="","Основний",$E265),{"Трафіковий","Основний","Маржинальний","Сезонний","Стратегічний"},0),Settings!$H$78,Settings!$H$80,Settings!$H$82,Settings!$H$84,Settings!$H$86))*(1-Settings!$H$68)/6,2)*6,"")</f>
        <v/>
      </c>
      <c r="AE265" s="142">
        <f>IFERROR(CHOOSE(MATCH(IF($E265="","Основний",$E265),{"Трафіковий","Основний","Маржинальний","Сезонний","Стратегічний"},0),Settings!$H$78,Settings!$H$80,Settings!$H$82,Settings!$H$84,Settings!$H$86)+(1-(CHOOSE(MATCH(IF($E265="","Основний",$E265),{"Трафіковий","Основний","Маржинальний","Сезонний","Стратегічний"},0),Settings!$H$78,Settings!$H$80,Settings!$H$82,Settings!$H$84,Settings!$H$86)))*Settings!$H$68,"")</f>
        <v/>
      </c>
      <c r="AF265" s="148">
        <f>IFERROR((AD265*(1-Settings!$H$17)-C265)/(AD265*(1-Settings!$H$17)),"")</f>
        <v/>
      </c>
      <c r="AG265" s="150">
        <f>IFERROR(IF(AD265="","",IF(AD265&gt;=C265/(1-SKU_Base!AF265)/(1-Settings!$H$17),"OK",IF(AD265&gt;=C265/(1-SKU_Base!AM265)/(1-Settings!$H$17),"WARN","STOP"))),"")</f>
        <v/>
      </c>
    </row>
    <row r="266" ht="17" customHeight="1" s="179">
      <c r="A266" s="139">
        <f>SKU_Base!B266</f>
        <v/>
      </c>
      <c r="B266" s="139">
        <f>SKU_Base!C266</f>
        <v/>
      </c>
      <c r="C266" s="140">
        <f>IFERROR(SKU_Base!I266,"")</f>
        <v/>
      </c>
      <c r="D266" s="163">
        <f>IFERROR(SKU_Base!T266,"")</f>
        <v/>
      </c>
      <c r="E266" s="141">
        <f>IFERROR(SKU_Base!$U266,"")</f>
        <v/>
      </c>
      <c r="F266" s="158">
        <f>IFERROR(ROUND(D266*(1-CHOOSE(MATCH(IF($E266="","Основний",$E266),{"Трафіковий","Основний","Маржинальний","Сезонний","Стратегічний"},0),Settings!$B$78,Settings!$B$80,Settings!$B$82,Settings!$B$84,Settings!$B$86))/6,2)*6,"")</f>
        <v/>
      </c>
      <c r="G266" s="142">
        <f>IFERROR(CHOOSE(MATCH(IF($E266="","Основний",$E266),{"Трафіковий","Основний","Маржинальний","Сезонний","Стратегічний"},0),Settings!$B$78,Settings!$B$80,Settings!$B$82,Settings!$B$84,Settings!$B$86),"")</f>
        <v/>
      </c>
      <c r="H266" s="143">
        <f>IFERROR((F266*(1-Settings!$B$17)-C266)/(F266*(1-Settings!$B$17)),"")</f>
        <v/>
      </c>
      <c r="I266" s="149">
        <f>IFERROR(IF(F266="","",IF(F266&gt;=C266/(1-SKU_Base!Z266)/(1-Settings!$B$17),"OK",IF(F266&gt;=C266/(1-SKU_Base!AG266)/(1-Settings!$B$17),"WARN","STOP"))),"")</f>
        <v/>
      </c>
      <c r="J266" s="158">
        <f>IFERROR(ROUND(D266*(1-CHOOSE(MATCH(IF($E266="","Основний",$E266),{"Трафіковий","Основний","Маржинальний","Сезонний","Стратегічний"},0),Settings!$C$78,Settings!$C$80,Settings!$C$82,Settings!$C$84,Settings!$C$86))/6,2)*6,"")</f>
        <v/>
      </c>
      <c r="K266" s="142">
        <f>IFERROR(CHOOSE(MATCH(IF($E266="","Основний",$E266),{"Трафіковий","Основний","Маржинальний","Сезонний","Стратегічний"},0),Settings!$C$78,Settings!$C$80,Settings!$C$82,Settings!$C$84,Settings!$C$86),"")</f>
        <v/>
      </c>
      <c r="L266" s="143">
        <f>IFERROR((J266*(1-Settings!$C$17)-C266)/(J266*(1-Settings!$C$17)),"")</f>
        <v/>
      </c>
      <c r="M266" s="149">
        <f>IFERROR(IF(J266="","",IF(J266&gt;=C266/(1-SKU_Base!AA266)/(1-Settings!$C$17),"OK",IF(J266&gt;=C266/(1-SKU_Base!AH266)/(1-Settings!$C$17),"WARN","STOP"))),"")</f>
        <v/>
      </c>
      <c r="N266" s="159">
        <f>IFERROR(ROUND(D266*(1-CHOOSE(MATCH(IF($E266="","Основний",$E266),{"Трафіковий","Основний","Маржинальний","Сезонний","Стратегічний"},0),Settings!$D$78,Settings!$D$80,Settings!$D$82,Settings!$D$84,Settings!$D$86))/6,2)*6,"")</f>
        <v/>
      </c>
      <c r="O266" s="142">
        <f>IFERROR(CHOOSE(MATCH(IF($E266="","Основний",$E266),{"Трафіковий","Основний","Маржинальний","Сезонний","Стратегічний"},0),Settings!$D$78,Settings!$D$80,Settings!$D$82,Settings!$D$84,Settings!$D$86),"")</f>
        <v/>
      </c>
      <c r="P266" s="143">
        <f>IFERROR((N266*(1-Settings!$D$17)-C266)/(N266*(1-Settings!$D$17)),"")</f>
        <v/>
      </c>
      <c r="Q266" s="149">
        <f>IFERROR(IF(N266="","",IF(N266&gt;=C266/(1-SKU_Base!AB266)/(1-Settings!$D$17),"OK",IF(N266&gt;=C266/(1-SKU_Base!AI266)/(1-Settings!$D$17),"WARN","STOP"))),"")</f>
        <v/>
      </c>
      <c r="R266" s="159">
        <f>IFERROR(ROUND(D266*(1-CHOOSE(MATCH(IF($E266="","Основний",$E266),{"Трафіковий","Основний","Маржинальний","Сезонний","Стратегічний"},0),Settings!$E$78,Settings!$E$80,Settings!$E$82,Settings!$E$84,Settings!$E$86))/6,2)*6,"")</f>
        <v/>
      </c>
      <c r="S266" s="142">
        <f>IFERROR(CHOOSE(MATCH(IF($E266="","Основний",$E266),{"Трафіковий","Основний","Маржинальний","Сезонний","Стратегічний"},0),Settings!$E$78,Settings!$E$80,Settings!$E$82,Settings!$E$84,Settings!$E$86),"")</f>
        <v/>
      </c>
      <c r="T266" s="143">
        <f>IFERROR((R266*(1-Settings!$E$17)-C266)/(R266*(1-Settings!$E$17)),"")</f>
        <v/>
      </c>
      <c r="U266" s="149">
        <f>IFERROR(IF(R266="","",IF(R266&gt;=C266/(1-SKU_Base!AC266)/(1-Settings!$E$17),"OK",IF(R266&gt;=C266/(1-SKU_Base!AJ266)/(1-Settings!$E$17),"WARN","STOP"))),"")</f>
        <v/>
      </c>
      <c r="V266" s="159">
        <f>IFERROR(ROUND(D266*(1-CHOOSE(MATCH(IF($E266="","Основний",$E266),{"Трафіковий","Основний","Маржинальний","Сезонний","Стратегічний"},0),Settings!$F$78,Settings!$F$80,Settings!$F$82,Settings!$F$84,Settings!$F$86))/6,2)*6,"")</f>
        <v/>
      </c>
      <c r="W266" s="142">
        <f>IFERROR(CHOOSE(MATCH(IF($E266="","Основний",$E266),{"Трафіковий","Основний","Маржинальний","Сезонний","Стратегічний"},0),Settings!$F$78,Settings!$F$80,Settings!$F$82,Settings!$F$84,Settings!$F$86),"")</f>
        <v/>
      </c>
      <c r="X266" s="143">
        <f>IFERROR((V266*(1-Settings!$F$17)-C266)/(V266*(1-Settings!$F$17)),"")</f>
        <v/>
      </c>
      <c r="Y266" s="149">
        <f>IFERROR(IF(V266="","",IF(V266&gt;=C266/(1-SKU_Base!AD266)/(1-Settings!$F$17),"OK",IF(V266&gt;=C266/(1-SKU_Base!AK266)/(1-Settings!$F$17),"WARN","STOP"))),"")</f>
        <v/>
      </c>
      <c r="Z266" s="159">
        <f>IFERROR(ROUND(D266*(1-CHOOSE(MATCH(IF($E266="","Основний",$E266),{"Трафіковий","Основний","Маржинальний","Сезонний","Стратегічний"},0),Settings!$G$78,Settings!$G$80,Settings!$G$82,Settings!$G$84,Settings!$G$86))/6,2)*6,"")</f>
        <v/>
      </c>
      <c r="AA266" s="142">
        <f>IFERROR(CHOOSE(MATCH(IF($E266="","Основний",$E266),{"Трафіковий","Основний","Маржинальний","Сезонний","Стратегічний"},0),Settings!$G$78,Settings!$G$80,Settings!$G$82,Settings!$G$84,Settings!$G$86),"")</f>
        <v/>
      </c>
      <c r="AB266" s="143">
        <f>IFERROR((Z266*(1-Settings!$G$17)-C266)/(Z266*(1-Settings!$G$17)),"")</f>
        <v/>
      </c>
      <c r="AC266" s="149">
        <f>IFERROR(IF(Z266="","",IF(Z266&gt;=C266/(1-SKU_Base!AE266)/(1-Settings!$G$17),"OK",IF(Z266&gt;=C266/(1-SKU_Base!AL266)/(1-Settings!$G$17),"WARN","STOP"))),"")</f>
        <v/>
      </c>
      <c r="AD266" s="159">
        <f>IFERROR(ROUND(D266*(1-CHOOSE(MATCH(IF($E266="","Основний",$E266),{"Трафіковий","Основний","Маржинальний","Сезонний","Стратегічний"},0),Settings!$H$78,Settings!$H$80,Settings!$H$82,Settings!$H$84,Settings!$H$86))*(1-Settings!$H$68)/6,2)*6,"")</f>
        <v/>
      </c>
      <c r="AE266" s="142">
        <f>IFERROR(CHOOSE(MATCH(IF($E266="","Основний",$E266),{"Трафіковий","Основний","Маржинальний","Сезонний","Стратегічний"},0),Settings!$H$78,Settings!$H$80,Settings!$H$82,Settings!$H$84,Settings!$H$86)+(1-(CHOOSE(MATCH(IF($E266="","Основний",$E266),{"Трафіковий","Основний","Маржинальний","Сезонний","Стратегічний"},0),Settings!$H$78,Settings!$H$80,Settings!$H$82,Settings!$H$84,Settings!$H$86)))*Settings!$H$68,"")</f>
        <v/>
      </c>
      <c r="AF266" s="143">
        <f>IFERROR((AD266*(1-Settings!$H$17)-C266)/(AD266*(1-Settings!$H$17)),"")</f>
        <v/>
      </c>
      <c r="AG266" s="150">
        <f>IFERROR(IF(AD266="","",IF(AD266&gt;=C266/(1-SKU_Base!AF266)/(1-Settings!$H$17),"OK",IF(AD266&gt;=C266/(1-SKU_Base!AM266)/(1-Settings!$H$17),"WARN","STOP"))),"")</f>
        <v/>
      </c>
    </row>
    <row r="267" ht="17" customHeight="1" s="179">
      <c r="A267" s="146">
        <f>SKU_Base!B267</f>
        <v/>
      </c>
      <c r="B267" s="146">
        <f>SKU_Base!C267</f>
        <v/>
      </c>
      <c r="C267" s="147">
        <f>IFERROR(SKU_Base!I267,"")</f>
        <v/>
      </c>
      <c r="D267" s="164">
        <f>IFERROR(SKU_Base!T267,"")</f>
        <v/>
      </c>
      <c r="E267" s="141">
        <f>IFERROR(SKU_Base!$U267,"")</f>
        <v/>
      </c>
      <c r="F267" s="160">
        <f>IFERROR(ROUND(D267*(1-CHOOSE(MATCH(IF($E267="","Основний",$E267),{"Трафіковий","Основний","Маржинальний","Сезонний","Стратегічний"},0),Settings!$B$78,Settings!$B$80,Settings!$B$82,Settings!$B$84,Settings!$B$86))/6,2)*6,"")</f>
        <v/>
      </c>
      <c r="G267" s="142">
        <f>IFERROR(CHOOSE(MATCH(IF($E267="","Основний",$E267),{"Трафіковий","Основний","Маржинальний","Сезонний","Стратегічний"},0),Settings!$B$78,Settings!$B$80,Settings!$B$82,Settings!$B$84,Settings!$B$86),"")</f>
        <v/>
      </c>
      <c r="H267" s="148">
        <f>IFERROR((F267*(1-Settings!$B$17)-C267)/(F267*(1-Settings!$B$17)),"")</f>
        <v/>
      </c>
      <c r="I267" s="149">
        <f>IFERROR(IF(F267="","",IF(F267&gt;=C267/(1-SKU_Base!Z267)/(1-Settings!$B$17),"OK",IF(F267&gt;=C267/(1-SKU_Base!AG267)/(1-Settings!$B$17),"WARN","STOP"))),"")</f>
        <v/>
      </c>
      <c r="J267" s="160">
        <f>IFERROR(ROUND(D267*(1-CHOOSE(MATCH(IF($E267="","Основний",$E267),{"Трафіковий","Основний","Маржинальний","Сезонний","Стратегічний"},0),Settings!$C$78,Settings!$C$80,Settings!$C$82,Settings!$C$84,Settings!$C$86))/6,2)*6,"")</f>
        <v/>
      </c>
      <c r="K267" s="142">
        <f>IFERROR(CHOOSE(MATCH(IF($E267="","Основний",$E267),{"Трафіковий","Основний","Маржинальний","Сезонний","Стратегічний"},0),Settings!$C$78,Settings!$C$80,Settings!$C$82,Settings!$C$84,Settings!$C$86),"")</f>
        <v/>
      </c>
      <c r="L267" s="148">
        <f>IFERROR((J267*(1-Settings!$C$17)-C267)/(J267*(1-Settings!$C$17)),"")</f>
        <v/>
      </c>
      <c r="M267" s="149">
        <f>IFERROR(IF(J267="","",IF(J267&gt;=C267/(1-SKU_Base!AA267)/(1-Settings!$C$17),"OK",IF(J267&gt;=C267/(1-SKU_Base!AH267)/(1-Settings!$C$17),"WARN","STOP"))),"")</f>
        <v/>
      </c>
      <c r="N267" s="161">
        <f>IFERROR(ROUND(D267*(1-CHOOSE(MATCH(IF($E267="","Основний",$E267),{"Трафіковий","Основний","Маржинальний","Сезонний","Стратегічний"},0),Settings!$D$78,Settings!$D$80,Settings!$D$82,Settings!$D$84,Settings!$D$86))/6,2)*6,"")</f>
        <v/>
      </c>
      <c r="O267" s="142">
        <f>IFERROR(CHOOSE(MATCH(IF($E267="","Основний",$E267),{"Трафіковий","Основний","Маржинальний","Сезонний","Стратегічний"},0),Settings!$D$78,Settings!$D$80,Settings!$D$82,Settings!$D$84,Settings!$D$86),"")</f>
        <v/>
      </c>
      <c r="P267" s="148">
        <f>IFERROR((N267*(1-Settings!$D$17)-C267)/(N267*(1-Settings!$D$17)),"")</f>
        <v/>
      </c>
      <c r="Q267" s="149">
        <f>IFERROR(IF(N267="","",IF(N267&gt;=C267/(1-SKU_Base!AB267)/(1-Settings!$D$17),"OK",IF(N267&gt;=C267/(1-SKU_Base!AI267)/(1-Settings!$D$17),"WARN","STOP"))),"")</f>
        <v/>
      </c>
      <c r="R267" s="161">
        <f>IFERROR(ROUND(D267*(1-CHOOSE(MATCH(IF($E267="","Основний",$E267),{"Трафіковий","Основний","Маржинальний","Сезонний","Стратегічний"},0),Settings!$E$78,Settings!$E$80,Settings!$E$82,Settings!$E$84,Settings!$E$86))/6,2)*6,"")</f>
        <v/>
      </c>
      <c r="S267" s="142">
        <f>IFERROR(CHOOSE(MATCH(IF($E267="","Основний",$E267),{"Трафіковий","Основний","Маржинальний","Сезонний","Стратегічний"},0),Settings!$E$78,Settings!$E$80,Settings!$E$82,Settings!$E$84,Settings!$E$86),"")</f>
        <v/>
      </c>
      <c r="T267" s="148">
        <f>IFERROR((R267*(1-Settings!$E$17)-C267)/(R267*(1-Settings!$E$17)),"")</f>
        <v/>
      </c>
      <c r="U267" s="149">
        <f>IFERROR(IF(R267="","",IF(R267&gt;=C267/(1-SKU_Base!AC267)/(1-Settings!$E$17),"OK",IF(R267&gt;=C267/(1-SKU_Base!AJ267)/(1-Settings!$E$17),"WARN","STOP"))),"")</f>
        <v/>
      </c>
      <c r="V267" s="161">
        <f>IFERROR(ROUND(D267*(1-CHOOSE(MATCH(IF($E267="","Основний",$E267),{"Трафіковий","Основний","Маржинальний","Сезонний","Стратегічний"},0),Settings!$F$78,Settings!$F$80,Settings!$F$82,Settings!$F$84,Settings!$F$86))/6,2)*6,"")</f>
        <v/>
      </c>
      <c r="W267" s="142">
        <f>IFERROR(CHOOSE(MATCH(IF($E267="","Основний",$E267),{"Трафіковий","Основний","Маржинальний","Сезонний","Стратегічний"},0),Settings!$F$78,Settings!$F$80,Settings!$F$82,Settings!$F$84,Settings!$F$86),"")</f>
        <v/>
      </c>
      <c r="X267" s="148">
        <f>IFERROR((V267*(1-Settings!$F$17)-C267)/(V267*(1-Settings!$F$17)),"")</f>
        <v/>
      </c>
      <c r="Y267" s="149">
        <f>IFERROR(IF(V267="","",IF(V267&gt;=C267/(1-SKU_Base!AD267)/(1-Settings!$F$17),"OK",IF(V267&gt;=C267/(1-SKU_Base!AK267)/(1-Settings!$F$17),"WARN","STOP"))),"")</f>
        <v/>
      </c>
      <c r="Z267" s="161">
        <f>IFERROR(ROUND(D267*(1-CHOOSE(MATCH(IF($E267="","Основний",$E267),{"Трафіковий","Основний","Маржинальний","Сезонний","Стратегічний"},0),Settings!$G$78,Settings!$G$80,Settings!$G$82,Settings!$G$84,Settings!$G$86))/6,2)*6,"")</f>
        <v/>
      </c>
      <c r="AA267" s="142">
        <f>IFERROR(CHOOSE(MATCH(IF($E267="","Основний",$E267),{"Трафіковий","Основний","Маржинальний","Сезонний","Стратегічний"},0),Settings!$G$78,Settings!$G$80,Settings!$G$82,Settings!$G$84,Settings!$G$86),"")</f>
        <v/>
      </c>
      <c r="AB267" s="148">
        <f>IFERROR((Z267*(1-Settings!$G$17)-C267)/(Z267*(1-Settings!$G$17)),"")</f>
        <v/>
      </c>
      <c r="AC267" s="149">
        <f>IFERROR(IF(Z267="","",IF(Z267&gt;=C267/(1-SKU_Base!AE267)/(1-Settings!$G$17),"OK",IF(Z267&gt;=C267/(1-SKU_Base!AL267)/(1-Settings!$G$17),"WARN","STOP"))),"")</f>
        <v/>
      </c>
      <c r="AD267" s="161">
        <f>IFERROR(ROUND(D267*(1-CHOOSE(MATCH(IF($E267="","Основний",$E267),{"Трафіковий","Основний","Маржинальний","Сезонний","Стратегічний"},0),Settings!$H$78,Settings!$H$80,Settings!$H$82,Settings!$H$84,Settings!$H$86))*(1-Settings!$H$68)/6,2)*6,"")</f>
        <v/>
      </c>
      <c r="AE267" s="142">
        <f>IFERROR(CHOOSE(MATCH(IF($E267="","Основний",$E267),{"Трафіковий","Основний","Маржинальний","Сезонний","Стратегічний"},0),Settings!$H$78,Settings!$H$80,Settings!$H$82,Settings!$H$84,Settings!$H$86)+(1-(CHOOSE(MATCH(IF($E267="","Основний",$E267),{"Трафіковий","Основний","Маржинальний","Сезонний","Стратегічний"},0),Settings!$H$78,Settings!$H$80,Settings!$H$82,Settings!$H$84,Settings!$H$86)))*Settings!$H$68,"")</f>
        <v/>
      </c>
      <c r="AF267" s="148">
        <f>IFERROR((AD267*(1-Settings!$H$17)-C267)/(AD267*(1-Settings!$H$17)),"")</f>
        <v/>
      </c>
      <c r="AG267" s="150">
        <f>IFERROR(IF(AD267="","",IF(AD267&gt;=C267/(1-SKU_Base!AF267)/(1-Settings!$H$17),"OK",IF(AD267&gt;=C267/(1-SKU_Base!AM267)/(1-Settings!$H$17),"WARN","STOP"))),"")</f>
        <v/>
      </c>
    </row>
    <row r="268" ht="17" customHeight="1" s="179">
      <c r="A268" s="139">
        <f>SKU_Base!B268</f>
        <v/>
      </c>
      <c r="B268" s="139">
        <f>SKU_Base!C268</f>
        <v/>
      </c>
      <c r="C268" s="140">
        <f>IFERROR(SKU_Base!I268,"")</f>
        <v/>
      </c>
      <c r="D268" s="163">
        <f>IFERROR(SKU_Base!T268,"")</f>
        <v/>
      </c>
      <c r="E268" s="141">
        <f>IFERROR(SKU_Base!$U268,"")</f>
        <v/>
      </c>
      <c r="F268" s="158">
        <f>IFERROR(ROUND(D268*(1-CHOOSE(MATCH(IF($E268="","Основний",$E268),{"Трафіковий","Основний","Маржинальний","Сезонний","Стратегічний"},0),Settings!$B$78,Settings!$B$80,Settings!$B$82,Settings!$B$84,Settings!$B$86))/6,2)*6,"")</f>
        <v/>
      </c>
      <c r="G268" s="142">
        <f>IFERROR(CHOOSE(MATCH(IF($E268="","Основний",$E268),{"Трафіковий","Основний","Маржинальний","Сезонний","Стратегічний"},0),Settings!$B$78,Settings!$B$80,Settings!$B$82,Settings!$B$84,Settings!$B$86),"")</f>
        <v/>
      </c>
      <c r="H268" s="143">
        <f>IFERROR((F268*(1-Settings!$B$17)-C268)/(F268*(1-Settings!$B$17)),"")</f>
        <v/>
      </c>
      <c r="I268" s="149">
        <f>IFERROR(IF(F268="","",IF(F268&gt;=C268/(1-SKU_Base!Z268)/(1-Settings!$B$17),"OK",IF(F268&gt;=C268/(1-SKU_Base!AG268)/(1-Settings!$B$17),"WARN","STOP"))),"")</f>
        <v/>
      </c>
      <c r="J268" s="158">
        <f>IFERROR(ROUND(D268*(1-CHOOSE(MATCH(IF($E268="","Основний",$E268),{"Трафіковий","Основний","Маржинальний","Сезонний","Стратегічний"},0),Settings!$C$78,Settings!$C$80,Settings!$C$82,Settings!$C$84,Settings!$C$86))/6,2)*6,"")</f>
        <v/>
      </c>
      <c r="K268" s="142">
        <f>IFERROR(CHOOSE(MATCH(IF($E268="","Основний",$E268),{"Трафіковий","Основний","Маржинальний","Сезонний","Стратегічний"},0),Settings!$C$78,Settings!$C$80,Settings!$C$82,Settings!$C$84,Settings!$C$86),"")</f>
        <v/>
      </c>
      <c r="L268" s="143">
        <f>IFERROR((J268*(1-Settings!$C$17)-C268)/(J268*(1-Settings!$C$17)),"")</f>
        <v/>
      </c>
      <c r="M268" s="149">
        <f>IFERROR(IF(J268="","",IF(J268&gt;=C268/(1-SKU_Base!AA268)/(1-Settings!$C$17),"OK",IF(J268&gt;=C268/(1-SKU_Base!AH268)/(1-Settings!$C$17),"WARN","STOP"))),"")</f>
        <v/>
      </c>
      <c r="N268" s="159">
        <f>IFERROR(ROUND(D268*(1-CHOOSE(MATCH(IF($E268="","Основний",$E268),{"Трафіковий","Основний","Маржинальний","Сезонний","Стратегічний"},0),Settings!$D$78,Settings!$D$80,Settings!$D$82,Settings!$D$84,Settings!$D$86))/6,2)*6,"")</f>
        <v/>
      </c>
      <c r="O268" s="142">
        <f>IFERROR(CHOOSE(MATCH(IF($E268="","Основний",$E268),{"Трафіковий","Основний","Маржинальний","Сезонний","Стратегічний"},0),Settings!$D$78,Settings!$D$80,Settings!$D$82,Settings!$D$84,Settings!$D$86),"")</f>
        <v/>
      </c>
      <c r="P268" s="143">
        <f>IFERROR((N268*(1-Settings!$D$17)-C268)/(N268*(1-Settings!$D$17)),"")</f>
        <v/>
      </c>
      <c r="Q268" s="149">
        <f>IFERROR(IF(N268="","",IF(N268&gt;=C268/(1-SKU_Base!AB268)/(1-Settings!$D$17),"OK",IF(N268&gt;=C268/(1-SKU_Base!AI268)/(1-Settings!$D$17),"WARN","STOP"))),"")</f>
        <v/>
      </c>
      <c r="R268" s="159">
        <f>IFERROR(ROUND(D268*(1-CHOOSE(MATCH(IF($E268="","Основний",$E268),{"Трафіковий","Основний","Маржинальний","Сезонний","Стратегічний"},0),Settings!$E$78,Settings!$E$80,Settings!$E$82,Settings!$E$84,Settings!$E$86))/6,2)*6,"")</f>
        <v/>
      </c>
      <c r="S268" s="142">
        <f>IFERROR(CHOOSE(MATCH(IF($E268="","Основний",$E268),{"Трафіковий","Основний","Маржинальний","Сезонний","Стратегічний"},0),Settings!$E$78,Settings!$E$80,Settings!$E$82,Settings!$E$84,Settings!$E$86),"")</f>
        <v/>
      </c>
      <c r="T268" s="143">
        <f>IFERROR((R268*(1-Settings!$E$17)-C268)/(R268*(1-Settings!$E$17)),"")</f>
        <v/>
      </c>
      <c r="U268" s="149">
        <f>IFERROR(IF(R268="","",IF(R268&gt;=C268/(1-SKU_Base!AC268)/(1-Settings!$E$17),"OK",IF(R268&gt;=C268/(1-SKU_Base!AJ268)/(1-Settings!$E$17),"WARN","STOP"))),"")</f>
        <v/>
      </c>
      <c r="V268" s="159">
        <f>IFERROR(ROUND(D268*(1-CHOOSE(MATCH(IF($E268="","Основний",$E268),{"Трафіковий","Основний","Маржинальний","Сезонний","Стратегічний"},0),Settings!$F$78,Settings!$F$80,Settings!$F$82,Settings!$F$84,Settings!$F$86))/6,2)*6,"")</f>
        <v/>
      </c>
      <c r="W268" s="142">
        <f>IFERROR(CHOOSE(MATCH(IF($E268="","Основний",$E268),{"Трафіковий","Основний","Маржинальний","Сезонний","Стратегічний"},0),Settings!$F$78,Settings!$F$80,Settings!$F$82,Settings!$F$84,Settings!$F$86),"")</f>
        <v/>
      </c>
      <c r="X268" s="143">
        <f>IFERROR((V268*(1-Settings!$F$17)-C268)/(V268*(1-Settings!$F$17)),"")</f>
        <v/>
      </c>
      <c r="Y268" s="149">
        <f>IFERROR(IF(V268="","",IF(V268&gt;=C268/(1-SKU_Base!AD268)/(1-Settings!$F$17),"OK",IF(V268&gt;=C268/(1-SKU_Base!AK268)/(1-Settings!$F$17),"WARN","STOP"))),"")</f>
        <v/>
      </c>
      <c r="Z268" s="159">
        <f>IFERROR(ROUND(D268*(1-CHOOSE(MATCH(IF($E268="","Основний",$E268),{"Трафіковий","Основний","Маржинальний","Сезонний","Стратегічний"},0),Settings!$G$78,Settings!$G$80,Settings!$G$82,Settings!$G$84,Settings!$G$86))/6,2)*6,"")</f>
        <v/>
      </c>
      <c r="AA268" s="142">
        <f>IFERROR(CHOOSE(MATCH(IF($E268="","Основний",$E268),{"Трафіковий","Основний","Маржинальний","Сезонний","Стратегічний"},0),Settings!$G$78,Settings!$G$80,Settings!$G$82,Settings!$G$84,Settings!$G$86),"")</f>
        <v/>
      </c>
      <c r="AB268" s="143">
        <f>IFERROR((Z268*(1-Settings!$G$17)-C268)/(Z268*(1-Settings!$G$17)),"")</f>
        <v/>
      </c>
      <c r="AC268" s="149">
        <f>IFERROR(IF(Z268="","",IF(Z268&gt;=C268/(1-SKU_Base!AE268)/(1-Settings!$G$17),"OK",IF(Z268&gt;=C268/(1-SKU_Base!AL268)/(1-Settings!$G$17),"WARN","STOP"))),"")</f>
        <v/>
      </c>
      <c r="AD268" s="159">
        <f>IFERROR(ROUND(D268*(1-CHOOSE(MATCH(IF($E268="","Основний",$E268),{"Трафіковий","Основний","Маржинальний","Сезонний","Стратегічний"},0),Settings!$H$78,Settings!$H$80,Settings!$H$82,Settings!$H$84,Settings!$H$86))*(1-Settings!$H$68)/6,2)*6,"")</f>
        <v/>
      </c>
      <c r="AE268" s="142">
        <f>IFERROR(CHOOSE(MATCH(IF($E268="","Основний",$E268),{"Трафіковий","Основний","Маржинальний","Сезонний","Стратегічний"},0),Settings!$H$78,Settings!$H$80,Settings!$H$82,Settings!$H$84,Settings!$H$86)+(1-(CHOOSE(MATCH(IF($E268="","Основний",$E268),{"Трафіковий","Основний","Маржинальний","Сезонний","Стратегічний"},0),Settings!$H$78,Settings!$H$80,Settings!$H$82,Settings!$H$84,Settings!$H$86)))*Settings!$H$68,"")</f>
        <v/>
      </c>
      <c r="AF268" s="143">
        <f>IFERROR((AD268*(1-Settings!$H$17)-C268)/(AD268*(1-Settings!$H$17)),"")</f>
        <v/>
      </c>
      <c r="AG268" s="150">
        <f>IFERROR(IF(AD268="","",IF(AD268&gt;=C268/(1-SKU_Base!AF268)/(1-Settings!$H$17),"OK",IF(AD268&gt;=C268/(1-SKU_Base!AM268)/(1-Settings!$H$17),"WARN","STOP"))),"")</f>
        <v/>
      </c>
    </row>
    <row r="269" ht="17" customHeight="1" s="179">
      <c r="A269" s="146">
        <f>SKU_Base!B269</f>
        <v/>
      </c>
      <c r="B269" s="146">
        <f>SKU_Base!C269</f>
        <v/>
      </c>
      <c r="C269" s="147">
        <f>IFERROR(SKU_Base!I269,"")</f>
        <v/>
      </c>
      <c r="D269" s="164">
        <f>IFERROR(SKU_Base!T269,"")</f>
        <v/>
      </c>
      <c r="E269" s="141">
        <f>IFERROR(SKU_Base!$U269,"")</f>
        <v/>
      </c>
      <c r="F269" s="160">
        <f>IFERROR(ROUND(D269*(1-CHOOSE(MATCH(IF($E269="","Основний",$E269),{"Трафіковий","Основний","Маржинальний","Сезонний","Стратегічний"},0),Settings!$B$78,Settings!$B$80,Settings!$B$82,Settings!$B$84,Settings!$B$86))/6,2)*6,"")</f>
        <v/>
      </c>
      <c r="G269" s="142">
        <f>IFERROR(CHOOSE(MATCH(IF($E269="","Основний",$E269),{"Трафіковий","Основний","Маржинальний","Сезонний","Стратегічний"},0),Settings!$B$78,Settings!$B$80,Settings!$B$82,Settings!$B$84,Settings!$B$86),"")</f>
        <v/>
      </c>
      <c r="H269" s="148">
        <f>IFERROR((F269*(1-Settings!$B$17)-C269)/(F269*(1-Settings!$B$17)),"")</f>
        <v/>
      </c>
      <c r="I269" s="149">
        <f>IFERROR(IF(F269="","",IF(F269&gt;=C269/(1-SKU_Base!Z269)/(1-Settings!$B$17),"OK",IF(F269&gt;=C269/(1-SKU_Base!AG269)/(1-Settings!$B$17),"WARN","STOP"))),"")</f>
        <v/>
      </c>
      <c r="J269" s="160">
        <f>IFERROR(ROUND(D269*(1-CHOOSE(MATCH(IF($E269="","Основний",$E269),{"Трафіковий","Основний","Маржинальний","Сезонний","Стратегічний"},0),Settings!$C$78,Settings!$C$80,Settings!$C$82,Settings!$C$84,Settings!$C$86))/6,2)*6,"")</f>
        <v/>
      </c>
      <c r="K269" s="142">
        <f>IFERROR(CHOOSE(MATCH(IF($E269="","Основний",$E269),{"Трафіковий","Основний","Маржинальний","Сезонний","Стратегічний"},0),Settings!$C$78,Settings!$C$80,Settings!$C$82,Settings!$C$84,Settings!$C$86),"")</f>
        <v/>
      </c>
      <c r="L269" s="148">
        <f>IFERROR((J269*(1-Settings!$C$17)-C269)/(J269*(1-Settings!$C$17)),"")</f>
        <v/>
      </c>
      <c r="M269" s="149">
        <f>IFERROR(IF(J269="","",IF(J269&gt;=C269/(1-SKU_Base!AA269)/(1-Settings!$C$17),"OK",IF(J269&gt;=C269/(1-SKU_Base!AH269)/(1-Settings!$C$17),"WARN","STOP"))),"")</f>
        <v/>
      </c>
      <c r="N269" s="161">
        <f>IFERROR(ROUND(D269*(1-CHOOSE(MATCH(IF($E269="","Основний",$E269),{"Трафіковий","Основний","Маржинальний","Сезонний","Стратегічний"},0),Settings!$D$78,Settings!$D$80,Settings!$D$82,Settings!$D$84,Settings!$D$86))/6,2)*6,"")</f>
        <v/>
      </c>
      <c r="O269" s="142">
        <f>IFERROR(CHOOSE(MATCH(IF($E269="","Основний",$E269),{"Трафіковий","Основний","Маржинальний","Сезонний","Стратегічний"},0),Settings!$D$78,Settings!$D$80,Settings!$D$82,Settings!$D$84,Settings!$D$86),"")</f>
        <v/>
      </c>
      <c r="P269" s="148">
        <f>IFERROR((N269*(1-Settings!$D$17)-C269)/(N269*(1-Settings!$D$17)),"")</f>
        <v/>
      </c>
      <c r="Q269" s="149">
        <f>IFERROR(IF(N269="","",IF(N269&gt;=C269/(1-SKU_Base!AB269)/(1-Settings!$D$17),"OK",IF(N269&gt;=C269/(1-SKU_Base!AI269)/(1-Settings!$D$17),"WARN","STOP"))),"")</f>
        <v/>
      </c>
      <c r="R269" s="161">
        <f>IFERROR(ROUND(D269*(1-CHOOSE(MATCH(IF($E269="","Основний",$E269),{"Трафіковий","Основний","Маржинальний","Сезонний","Стратегічний"},0),Settings!$E$78,Settings!$E$80,Settings!$E$82,Settings!$E$84,Settings!$E$86))/6,2)*6,"")</f>
        <v/>
      </c>
      <c r="S269" s="142">
        <f>IFERROR(CHOOSE(MATCH(IF($E269="","Основний",$E269),{"Трафіковий","Основний","Маржинальний","Сезонний","Стратегічний"},0),Settings!$E$78,Settings!$E$80,Settings!$E$82,Settings!$E$84,Settings!$E$86),"")</f>
        <v/>
      </c>
      <c r="T269" s="148">
        <f>IFERROR((R269*(1-Settings!$E$17)-C269)/(R269*(1-Settings!$E$17)),"")</f>
        <v/>
      </c>
      <c r="U269" s="149">
        <f>IFERROR(IF(R269="","",IF(R269&gt;=C269/(1-SKU_Base!AC269)/(1-Settings!$E$17),"OK",IF(R269&gt;=C269/(1-SKU_Base!AJ269)/(1-Settings!$E$17),"WARN","STOP"))),"")</f>
        <v/>
      </c>
      <c r="V269" s="161">
        <f>IFERROR(ROUND(D269*(1-CHOOSE(MATCH(IF($E269="","Основний",$E269),{"Трафіковий","Основний","Маржинальний","Сезонний","Стратегічний"},0),Settings!$F$78,Settings!$F$80,Settings!$F$82,Settings!$F$84,Settings!$F$86))/6,2)*6,"")</f>
        <v/>
      </c>
      <c r="W269" s="142">
        <f>IFERROR(CHOOSE(MATCH(IF($E269="","Основний",$E269),{"Трафіковий","Основний","Маржинальний","Сезонний","Стратегічний"},0),Settings!$F$78,Settings!$F$80,Settings!$F$82,Settings!$F$84,Settings!$F$86),"")</f>
        <v/>
      </c>
      <c r="X269" s="148">
        <f>IFERROR((V269*(1-Settings!$F$17)-C269)/(V269*(1-Settings!$F$17)),"")</f>
        <v/>
      </c>
      <c r="Y269" s="149">
        <f>IFERROR(IF(V269="","",IF(V269&gt;=C269/(1-SKU_Base!AD269)/(1-Settings!$F$17),"OK",IF(V269&gt;=C269/(1-SKU_Base!AK269)/(1-Settings!$F$17),"WARN","STOP"))),"")</f>
        <v/>
      </c>
      <c r="Z269" s="161">
        <f>IFERROR(ROUND(D269*(1-CHOOSE(MATCH(IF($E269="","Основний",$E269),{"Трафіковий","Основний","Маржинальний","Сезонний","Стратегічний"},0),Settings!$G$78,Settings!$G$80,Settings!$G$82,Settings!$G$84,Settings!$G$86))/6,2)*6,"")</f>
        <v/>
      </c>
      <c r="AA269" s="142">
        <f>IFERROR(CHOOSE(MATCH(IF($E269="","Основний",$E269),{"Трафіковий","Основний","Маржинальний","Сезонний","Стратегічний"},0),Settings!$G$78,Settings!$G$80,Settings!$G$82,Settings!$G$84,Settings!$G$86),"")</f>
        <v/>
      </c>
      <c r="AB269" s="148">
        <f>IFERROR((Z269*(1-Settings!$G$17)-C269)/(Z269*(1-Settings!$G$17)),"")</f>
        <v/>
      </c>
      <c r="AC269" s="149">
        <f>IFERROR(IF(Z269="","",IF(Z269&gt;=C269/(1-SKU_Base!AE269)/(1-Settings!$G$17),"OK",IF(Z269&gt;=C269/(1-SKU_Base!AL269)/(1-Settings!$G$17),"WARN","STOP"))),"")</f>
        <v/>
      </c>
      <c r="AD269" s="161">
        <f>IFERROR(ROUND(D269*(1-CHOOSE(MATCH(IF($E269="","Основний",$E269),{"Трафіковий","Основний","Маржинальний","Сезонний","Стратегічний"},0),Settings!$H$78,Settings!$H$80,Settings!$H$82,Settings!$H$84,Settings!$H$86))*(1-Settings!$H$68)/6,2)*6,"")</f>
        <v/>
      </c>
      <c r="AE269" s="142">
        <f>IFERROR(CHOOSE(MATCH(IF($E269="","Основний",$E269),{"Трафіковий","Основний","Маржинальний","Сезонний","Стратегічний"},0),Settings!$H$78,Settings!$H$80,Settings!$H$82,Settings!$H$84,Settings!$H$86)+(1-(CHOOSE(MATCH(IF($E269="","Основний",$E269),{"Трафіковий","Основний","Маржинальний","Сезонний","Стратегічний"},0),Settings!$H$78,Settings!$H$80,Settings!$H$82,Settings!$H$84,Settings!$H$86)))*Settings!$H$68,"")</f>
        <v/>
      </c>
      <c r="AF269" s="148">
        <f>IFERROR((AD269*(1-Settings!$H$17)-C269)/(AD269*(1-Settings!$H$17)),"")</f>
        <v/>
      </c>
      <c r="AG269" s="150">
        <f>IFERROR(IF(AD269="","",IF(AD269&gt;=C269/(1-SKU_Base!AF269)/(1-Settings!$H$17),"OK",IF(AD269&gt;=C269/(1-SKU_Base!AM269)/(1-Settings!$H$17),"WARN","STOP"))),"")</f>
        <v/>
      </c>
    </row>
    <row r="270" ht="17" customHeight="1" s="179">
      <c r="A270" s="139">
        <f>SKU_Base!B270</f>
        <v/>
      </c>
      <c r="B270" s="139">
        <f>SKU_Base!C270</f>
        <v/>
      </c>
      <c r="C270" s="140">
        <f>IFERROR(SKU_Base!I270,"")</f>
        <v/>
      </c>
      <c r="D270" s="163">
        <f>IFERROR(SKU_Base!T270,"")</f>
        <v/>
      </c>
      <c r="E270" s="141">
        <f>IFERROR(SKU_Base!$U270,"")</f>
        <v/>
      </c>
      <c r="F270" s="158">
        <f>IFERROR(ROUND(D270*(1-CHOOSE(MATCH(IF($E270="","Основний",$E270),{"Трафіковий","Основний","Маржинальний","Сезонний","Стратегічний"},0),Settings!$B$78,Settings!$B$80,Settings!$B$82,Settings!$B$84,Settings!$B$86))/6,2)*6,"")</f>
        <v/>
      </c>
      <c r="G270" s="142">
        <f>IFERROR(CHOOSE(MATCH(IF($E270="","Основний",$E270),{"Трафіковий","Основний","Маржинальний","Сезонний","Стратегічний"},0),Settings!$B$78,Settings!$B$80,Settings!$B$82,Settings!$B$84,Settings!$B$86),"")</f>
        <v/>
      </c>
      <c r="H270" s="143">
        <f>IFERROR((F270*(1-Settings!$B$17)-C270)/(F270*(1-Settings!$B$17)),"")</f>
        <v/>
      </c>
      <c r="I270" s="150">
        <f>IFERROR(IF(F270="","",IF(F270&gt;=C270/(1-SKU_Base!Z270)/(1-Settings!$B$17),"OK",IF(F270&gt;=C270/(1-SKU_Base!AG270)/(1-Settings!$B$17),"WARN","STOP"))),"")</f>
        <v/>
      </c>
      <c r="J270" s="158">
        <f>IFERROR(ROUND(D270*(1-CHOOSE(MATCH(IF($E270="","Основний",$E270),{"Трафіковий","Основний","Маржинальний","Сезонний","Стратегічний"},0),Settings!$C$78,Settings!$C$80,Settings!$C$82,Settings!$C$84,Settings!$C$86))/6,2)*6,"")</f>
        <v/>
      </c>
      <c r="K270" s="142">
        <f>IFERROR(CHOOSE(MATCH(IF($E270="","Основний",$E270),{"Трафіковий","Основний","Маржинальний","Сезонний","Стратегічний"},0),Settings!$C$78,Settings!$C$80,Settings!$C$82,Settings!$C$84,Settings!$C$86),"")</f>
        <v/>
      </c>
      <c r="L270" s="143">
        <f>IFERROR((J270*(1-Settings!$C$17)-C270)/(J270*(1-Settings!$C$17)),"")</f>
        <v/>
      </c>
      <c r="M270" s="149">
        <f>IFERROR(IF(J270="","",IF(J270&gt;=C270/(1-SKU_Base!AA270)/(1-Settings!$C$17),"OK",IF(J270&gt;=C270/(1-SKU_Base!AH270)/(1-Settings!$C$17),"WARN","STOP"))),"")</f>
        <v/>
      </c>
      <c r="N270" s="159">
        <f>IFERROR(ROUND(D270*(1-CHOOSE(MATCH(IF($E270="","Основний",$E270),{"Трафіковий","Основний","Маржинальний","Сезонний","Стратегічний"},0),Settings!$D$78,Settings!$D$80,Settings!$D$82,Settings!$D$84,Settings!$D$86))/6,2)*6,"")</f>
        <v/>
      </c>
      <c r="O270" s="142">
        <f>IFERROR(CHOOSE(MATCH(IF($E270="","Основний",$E270),{"Трафіковий","Основний","Маржинальний","Сезонний","Стратегічний"},0),Settings!$D$78,Settings!$D$80,Settings!$D$82,Settings!$D$84,Settings!$D$86),"")</f>
        <v/>
      </c>
      <c r="P270" s="143">
        <f>IFERROR((N270*(1-Settings!$D$17)-C270)/(N270*(1-Settings!$D$17)),"")</f>
        <v/>
      </c>
      <c r="Q270" s="149">
        <f>IFERROR(IF(N270="","",IF(N270&gt;=C270/(1-SKU_Base!AB270)/(1-Settings!$D$17),"OK",IF(N270&gt;=C270/(1-SKU_Base!AI270)/(1-Settings!$D$17),"WARN","STOP"))),"")</f>
        <v/>
      </c>
      <c r="R270" s="159">
        <f>IFERROR(ROUND(D270*(1-CHOOSE(MATCH(IF($E270="","Основний",$E270),{"Трафіковий","Основний","Маржинальний","Сезонний","Стратегічний"},0),Settings!$E$78,Settings!$E$80,Settings!$E$82,Settings!$E$84,Settings!$E$86))/6,2)*6,"")</f>
        <v/>
      </c>
      <c r="S270" s="142">
        <f>IFERROR(CHOOSE(MATCH(IF($E270="","Основний",$E270),{"Трафіковий","Основний","Маржинальний","Сезонний","Стратегічний"},0),Settings!$E$78,Settings!$E$80,Settings!$E$82,Settings!$E$84,Settings!$E$86),"")</f>
        <v/>
      </c>
      <c r="T270" s="143">
        <f>IFERROR((R270*(1-Settings!$E$17)-C270)/(R270*(1-Settings!$E$17)),"")</f>
        <v/>
      </c>
      <c r="U270" s="149">
        <f>IFERROR(IF(R270="","",IF(R270&gt;=C270/(1-SKU_Base!AC270)/(1-Settings!$E$17),"OK",IF(R270&gt;=C270/(1-SKU_Base!AJ270)/(1-Settings!$E$17),"WARN","STOP"))),"")</f>
        <v/>
      </c>
      <c r="V270" s="159">
        <f>IFERROR(ROUND(D270*(1-CHOOSE(MATCH(IF($E270="","Основний",$E270),{"Трафіковий","Основний","Маржинальний","Сезонний","Стратегічний"},0),Settings!$F$78,Settings!$F$80,Settings!$F$82,Settings!$F$84,Settings!$F$86))/6,2)*6,"")</f>
        <v/>
      </c>
      <c r="W270" s="142">
        <f>IFERROR(CHOOSE(MATCH(IF($E270="","Основний",$E270),{"Трафіковий","Основний","Маржинальний","Сезонний","Стратегічний"},0),Settings!$F$78,Settings!$F$80,Settings!$F$82,Settings!$F$84,Settings!$F$86),"")</f>
        <v/>
      </c>
      <c r="X270" s="143">
        <f>IFERROR((V270*(1-Settings!$F$17)-C270)/(V270*(1-Settings!$F$17)),"")</f>
        <v/>
      </c>
      <c r="Y270" s="149">
        <f>IFERROR(IF(V270="","",IF(V270&gt;=C270/(1-SKU_Base!AD270)/(1-Settings!$F$17),"OK",IF(V270&gt;=C270/(1-SKU_Base!AK270)/(1-Settings!$F$17),"WARN","STOP"))),"")</f>
        <v/>
      </c>
      <c r="Z270" s="159">
        <f>IFERROR(ROUND(D270*(1-CHOOSE(MATCH(IF($E270="","Основний",$E270),{"Трафіковий","Основний","Маржинальний","Сезонний","Стратегічний"},0),Settings!$G$78,Settings!$G$80,Settings!$G$82,Settings!$G$84,Settings!$G$86))/6,2)*6,"")</f>
        <v/>
      </c>
      <c r="AA270" s="142">
        <f>IFERROR(CHOOSE(MATCH(IF($E270="","Основний",$E270),{"Трафіковий","Основний","Маржинальний","Сезонний","Стратегічний"},0),Settings!$G$78,Settings!$G$80,Settings!$G$82,Settings!$G$84,Settings!$G$86),"")</f>
        <v/>
      </c>
      <c r="AB270" s="143">
        <f>IFERROR((Z270*(1-Settings!$G$17)-C270)/(Z270*(1-Settings!$G$17)),"")</f>
        <v/>
      </c>
      <c r="AC270" s="149">
        <f>IFERROR(IF(Z270="","",IF(Z270&gt;=C270/(1-SKU_Base!AE270)/(1-Settings!$G$17),"OK",IF(Z270&gt;=C270/(1-SKU_Base!AL270)/(1-Settings!$G$17),"WARN","STOP"))),"")</f>
        <v/>
      </c>
      <c r="AD270" s="159">
        <f>IFERROR(ROUND(D270*(1-CHOOSE(MATCH(IF($E270="","Основний",$E270),{"Трафіковий","Основний","Маржинальний","Сезонний","Стратегічний"},0),Settings!$H$78,Settings!$H$80,Settings!$H$82,Settings!$H$84,Settings!$H$86))*(1-Settings!$H$68)/6,2)*6,"")</f>
        <v/>
      </c>
      <c r="AE270" s="142">
        <f>IFERROR(CHOOSE(MATCH(IF($E270="","Основний",$E270),{"Трафіковий","Основний","Маржинальний","Сезонний","Стратегічний"},0),Settings!$H$78,Settings!$H$80,Settings!$H$82,Settings!$H$84,Settings!$H$86)+(1-(CHOOSE(MATCH(IF($E270="","Основний",$E270),{"Трафіковий","Основний","Маржинальний","Сезонний","Стратегічний"},0),Settings!$H$78,Settings!$H$80,Settings!$H$82,Settings!$H$84,Settings!$H$86)))*Settings!$H$68,"")</f>
        <v/>
      </c>
      <c r="AF270" s="143">
        <f>IFERROR((AD270*(1-Settings!$H$17)-C270)/(AD270*(1-Settings!$H$17)),"")</f>
        <v/>
      </c>
      <c r="AG270" s="150">
        <f>IFERROR(IF(AD270="","",IF(AD270&gt;=C270/(1-SKU_Base!AF270)/(1-Settings!$H$17),"OK",IF(AD270&gt;=C270/(1-SKU_Base!AM270)/(1-Settings!$H$17),"WARN","STOP"))),"")</f>
        <v/>
      </c>
    </row>
    <row r="271" ht="17" customHeight="1" s="179">
      <c r="A271" s="146">
        <f>SKU_Base!B271</f>
        <v/>
      </c>
      <c r="B271" s="146">
        <f>SKU_Base!C271</f>
        <v/>
      </c>
      <c r="C271" s="147">
        <f>IFERROR(SKU_Base!I271,"")</f>
        <v/>
      </c>
      <c r="D271" s="164">
        <f>IFERROR(SKU_Base!T271,"")</f>
        <v/>
      </c>
      <c r="E271" s="141">
        <f>IFERROR(SKU_Base!$U271,"")</f>
        <v/>
      </c>
      <c r="F271" s="160">
        <f>IFERROR(ROUND(D271*(1-CHOOSE(MATCH(IF($E271="","Основний",$E271),{"Трафіковий","Основний","Маржинальний","Сезонний","Стратегічний"},0),Settings!$B$78,Settings!$B$80,Settings!$B$82,Settings!$B$84,Settings!$B$86))/6,2)*6,"")</f>
        <v/>
      </c>
      <c r="G271" s="142">
        <f>IFERROR(CHOOSE(MATCH(IF($E271="","Основний",$E271),{"Трафіковий","Основний","Маржинальний","Сезонний","Стратегічний"},0),Settings!$B$78,Settings!$B$80,Settings!$B$82,Settings!$B$84,Settings!$B$86),"")</f>
        <v/>
      </c>
      <c r="H271" s="148">
        <f>IFERROR((F271*(1-Settings!$B$17)-C271)/(F271*(1-Settings!$B$17)),"")</f>
        <v/>
      </c>
      <c r="I271" s="149">
        <f>IFERROR(IF(F271="","",IF(F271&gt;=C271/(1-SKU_Base!Z271)/(1-Settings!$B$17),"OK",IF(F271&gt;=C271/(1-SKU_Base!AG271)/(1-Settings!$B$17),"WARN","STOP"))),"")</f>
        <v/>
      </c>
      <c r="J271" s="160">
        <f>IFERROR(ROUND(D271*(1-CHOOSE(MATCH(IF($E271="","Основний",$E271),{"Трафіковий","Основний","Маржинальний","Сезонний","Стратегічний"},0),Settings!$C$78,Settings!$C$80,Settings!$C$82,Settings!$C$84,Settings!$C$86))/6,2)*6,"")</f>
        <v/>
      </c>
      <c r="K271" s="142">
        <f>IFERROR(CHOOSE(MATCH(IF($E271="","Основний",$E271),{"Трафіковий","Основний","Маржинальний","Сезонний","Стратегічний"},0),Settings!$C$78,Settings!$C$80,Settings!$C$82,Settings!$C$84,Settings!$C$86),"")</f>
        <v/>
      </c>
      <c r="L271" s="148">
        <f>IFERROR((J271*(1-Settings!$C$17)-C271)/(J271*(1-Settings!$C$17)),"")</f>
        <v/>
      </c>
      <c r="M271" s="149">
        <f>IFERROR(IF(J271="","",IF(J271&gt;=C271/(1-SKU_Base!AA271)/(1-Settings!$C$17),"OK",IF(J271&gt;=C271/(1-SKU_Base!AH271)/(1-Settings!$C$17),"WARN","STOP"))),"")</f>
        <v/>
      </c>
      <c r="N271" s="161">
        <f>IFERROR(ROUND(D271*(1-CHOOSE(MATCH(IF($E271="","Основний",$E271),{"Трафіковий","Основний","Маржинальний","Сезонний","Стратегічний"},0),Settings!$D$78,Settings!$D$80,Settings!$D$82,Settings!$D$84,Settings!$D$86))/6,2)*6,"")</f>
        <v/>
      </c>
      <c r="O271" s="142">
        <f>IFERROR(CHOOSE(MATCH(IF($E271="","Основний",$E271),{"Трафіковий","Основний","Маржинальний","Сезонний","Стратегічний"},0),Settings!$D$78,Settings!$D$80,Settings!$D$82,Settings!$D$84,Settings!$D$86),"")</f>
        <v/>
      </c>
      <c r="P271" s="148">
        <f>IFERROR((N271*(1-Settings!$D$17)-C271)/(N271*(1-Settings!$D$17)),"")</f>
        <v/>
      </c>
      <c r="Q271" s="149">
        <f>IFERROR(IF(N271="","",IF(N271&gt;=C271/(1-SKU_Base!AB271)/(1-Settings!$D$17),"OK",IF(N271&gt;=C271/(1-SKU_Base!AI271)/(1-Settings!$D$17),"WARN","STOP"))),"")</f>
        <v/>
      </c>
      <c r="R271" s="161">
        <f>IFERROR(ROUND(D271*(1-CHOOSE(MATCH(IF($E271="","Основний",$E271),{"Трафіковий","Основний","Маржинальний","Сезонний","Стратегічний"},0),Settings!$E$78,Settings!$E$80,Settings!$E$82,Settings!$E$84,Settings!$E$86))/6,2)*6,"")</f>
        <v/>
      </c>
      <c r="S271" s="142">
        <f>IFERROR(CHOOSE(MATCH(IF($E271="","Основний",$E271),{"Трафіковий","Основний","Маржинальний","Сезонний","Стратегічний"},0),Settings!$E$78,Settings!$E$80,Settings!$E$82,Settings!$E$84,Settings!$E$86),"")</f>
        <v/>
      </c>
      <c r="T271" s="148">
        <f>IFERROR((R271*(1-Settings!$E$17)-C271)/(R271*(1-Settings!$E$17)),"")</f>
        <v/>
      </c>
      <c r="U271" s="149">
        <f>IFERROR(IF(R271="","",IF(R271&gt;=C271/(1-SKU_Base!AC271)/(1-Settings!$E$17),"OK",IF(R271&gt;=C271/(1-SKU_Base!AJ271)/(1-Settings!$E$17),"WARN","STOP"))),"")</f>
        <v/>
      </c>
      <c r="V271" s="161">
        <f>IFERROR(ROUND(D271*(1-CHOOSE(MATCH(IF($E271="","Основний",$E271),{"Трафіковий","Основний","Маржинальний","Сезонний","Стратегічний"},0),Settings!$F$78,Settings!$F$80,Settings!$F$82,Settings!$F$84,Settings!$F$86))/6,2)*6,"")</f>
        <v/>
      </c>
      <c r="W271" s="142">
        <f>IFERROR(CHOOSE(MATCH(IF($E271="","Основний",$E271),{"Трафіковий","Основний","Маржинальний","Сезонний","Стратегічний"},0),Settings!$F$78,Settings!$F$80,Settings!$F$82,Settings!$F$84,Settings!$F$86),"")</f>
        <v/>
      </c>
      <c r="X271" s="148">
        <f>IFERROR((V271*(1-Settings!$F$17)-C271)/(V271*(1-Settings!$F$17)),"")</f>
        <v/>
      </c>
      <c r="Y271" s="149">
        <f>IFERROR(IF(V271="","",IF(V271&gt;=C271/(1-SKU_Base!AD271)/(1-Settings!$F$17),"OK",IF(V271&gt;=C271/(1-SKU_Base!AK271)/(1-Settings!$F$17),"WARN","STOP"))),"")</f>
        <v/>
      </c>
      <c r="Z271" s="161">
        <f>IFERROR(ROUND(D271*(1-CHOOSE(MATCH(IF($E271="","Основний",$E271),{"Трафіковий","Основний","Маржинальний","Сезонний","Стратегічний"},0),Settings!$G$78,Settings!$G$80,Settings!$G$82,Settings!$G$84,Settings!$G$86))/6,2)*6,"")</f>
        <v/>
      </c>
      <c r="AA271" s="142">
        <f>IFERROR(CHOOSE(MATCH(IF($E271="","Основний",$E271),{"Трафіковий","Основний","Маржинальний","Сезонний","Стратегічний"},0),Settings!$G$78,Settings!$G$80,Settings!$G$82,Settings!$G$84,Settings!$G$86),"")</f>
        <v/>
      </c>
      <c r="AB271" s="148">
        <f>IFERROR((Z271*(1-Settings!$G$17)-C271)/(Z271*(1-Settings!$G$17)),"")</f>
        <v/>
      </c>
      <c r="AC271" s="149">
        <f>IFERROR(IF(Z271="","",IF(Z271&gt;=C271/(1-SKU_Base!AE271)/(1-Settings!$G$17),"OK",IF(Z271&gt;=C271/(1-SKU_Base!AL271)/(1-Settings!$G$17),"WARN","STOP"))),"")</f>
        <v/>
      </c>
      <c r="AD271" s="161">
        <f>IFERROR(ROUND(D271*(1-CHOOSE(MATCH(IF($E271="","Основний",$E271),{"Трафіковий","Основний","Маржинальний","Сезонний","Стратегічний"},0),Settings!$H$78,Settings!$H$80,Settings!$H$82,Settings!$H$84,Settings!$H$86))*(1-Settings!$H$68)/6,2)*6,"")</f>
        <v/>
      </c>
      <c r="AE271" s="142">
        <f>IFERROR(CHOOSE(MATCH(IF($E271="","Основний",$E271),{"Трафіковий","Основний","Маржинальний","Сезонний","Стратегічний"},0),Settings!$H$78,Settings!$H$80,Settings!$H$82,Settings!$H$84,Settings!$H$86)+(1-(CHOOSE(MATCH(IF($E271="","Основний",$E271),{"Трафіковий","Основний","Маржинальний","Сезонний","Стратегічний"},0),Settings!$H$78,Settings!$H$80,Settings!$H$82,Settings!$H$84,Settings!$H$86)))*Settings!$H$68,"")</f>
        <v/>
      </c>
      <c r="AF271" s="148">
        <f>IFERROR((AD271*(1-Settings!$H$17)-C271)/(AD271*(1-Settings!$H$17)),"")</f>
        <v/>
      </c>
      <c r="AG271" s="150">
        <f>IFERROR(IF(AD271="","",IF(AD271&gt;=C271/(1-SKU_Base!AF271)/(1-Settings!$H$17),"OK",IF(AD271&gt;=C271/(1-SKU_Base!AM271)/(1-Settings!$H$17),"WARN","STOP"))),"")</f>
        <v/>
      </c>
    </row>
    <row r="272" ht="17" customHeight="1" s="179">
      <c r="A272" s="139">
        <f>SKU_Base!B272</f>
        <v/>
      </c>
      <c r="B272" s="139">
        <f>SKU_Base!C272</f>
        <v/>
      </c>
      <c r="C272" s="140">
        <f>IFERROR(SKU_Base!I272,"")</f>
        <v/>
      </c>
      <c r="D272" s="163">
        <f>IFERROR(SKU_Base!T272,"")</f>
        <v/>
      </c>
      <c r="E272" s="141">
        <f>IFERROR(SKU_Base!$U272,"")</f>
        <v/>
      </c>
      <c r="F272" s="158">
        <f>IFERROR(ROUND(D272*(1-CHOOSE(MATCH(IF($E272="","Основний",$E272),{"Трафіковий","Основний","Маржинальний","Сезонний","Стратегічний"},0),Settings!$B$78,Settings!$B$80,Settings!$B$82,Settings!$B$84,Settings!$B$86))/6,2)*6,"")</f>
        <v/>
      </c>
      <c r="G272" s="142">
        <f>IFERROR(CHOOSE(MATCH(IF($E272="","Основний",$E272),{"Трафіковий","Основний","Маржинальний","Сезонний","Стратегічний"},0),Settings!$B$78,Settings!$B$80,Settings!$B$82,Settings!$B$84,Settings!$B$86),"")</f>
        <v/>
      </c>
      <c r="H272" s="143">
        <f>IFERROR((F272*(1-Settings!$B$17)-C272)/(F272*(1-Settings!$B$17)),"")</f>
        <v/>
      </c>
      <c r="I272" s="149">
        <f>IFERROR(IF(F272="","",IF(F272&gt;=C272/(1-SKU_Base!Z272)/(1-Settings!$B$17),"OK",IF(F272&gt;=C272/(1-SKU_Base!AG272)/(1-Settings!$B$17),"WARN","STOP"))),"")</f>
        <v/>
      </c>
      <c r="J272" s="158">
        <f>IFERROR(ROUND(D272*(1-CHOOSE(MATCH(IF($E272="","Основний",$E272),{"Трафіковий","Основний","Маржинальний","Сезонний","Стратегічний"},0),Settings!$C$78,Settings!$C$80,Settings!$C$82,Settings!$C$84,Settings!$C$86))/6,2)*6,"")</f>
        <v/>
      </c>
      <c r="K272" s="142">
        <f>IFERROR(CHOOSE(MATCH(IF($E272="","Основний",$E272),{"Трафіковий","Основний","Маржинальний","Сезонний","Стратегічний"},0),Settings!$C$78,Settings!$C$80,Settings!$C$82,Settings!$C$84,Settings!$C$86),"")</f>
        <v/>
      </c>
      <c r="L272" s="143">
        <f>IFERROR((J272*(1-Settings!$C$17)-C272)/(J272*(1-Settings!$C$17)),"")</f>
        <v/>
      </c>
      <c r="M272" s="149">
        <f>IFERROR(IF(J272="","",IF(J272&gt;=C272/(1-SKU_Base!AA272)/(1-Settings!$C$17),"OK",IF(J272&gt;=C272/(1-SKU_Base!AH272)/(1-Settings!$C$17),"WARN","STOP"))),"")</f>
        <v/>
      </c>
      <c r="N272" s="159">
        <f>IFERROR(ROUND(D272*(1-CHOOSE(MATCH(IF($E272="","Основний",$E272),{"Трафіковий","Основний","Маржинальний","Сезонний","Стратегічний"},0),Settings!$D$78,Settings!$D$80,Settings!$D$82,Settings!$D$84,Settings!$D$86))/6,2)*6,"")</f>
        <v/>
      </c>
      <c r="O272" s="142">
        <f>IFERROR(CHOOSE(MATCH(IF($E272="","Основний",$E272),{"Трафіковий","Основний","Маржинальний","Сезонний","Стратегічний"},0),Settings!$D$78,Settings!$D$80,Settings!$D$82,Settings!$D$84,Settings!$D$86),"")</f>
        <v/>
      </c>
      <c r="P272" s="143">
        <f>IFERROR((N272*(1-Settings!$D$17)-C272)/(N272*(1-Settings!$D$17)),"")</f>
        <v/>
      </c>
      <c r="Q272" s="149">
        <f>IFERROR(IF(N272="","",IF(N272&gt;=C272/(1-SKU_Base!AB272)/(1-Settings!$D$17),"OK",IF(N272&gt;=C272/(1-SKU_Base!AI272)/(1-Settings!$D$17),"WARN","STOP"))),"")</f>
        <v/>
      </c>
      <c r="R272" s="159">
        <f>IFERROR(ROUND(D272*(1-CHOOSE(MATCH(IF($E272="","Основний",$E272),{"Трафіковий","Основний","Маржинальний","Сезонний","Стратегічний"},0),Settings!$E$78,Settings!$E$80,Settings!$E$82,Settings!$E$84,Settings!$E$86))/6,2)*6,"")</f>
        <v/>
      </c>
      <c r="S272" s="142">
        <f>IFERROR(CHOOSE(MATCH(IF($E272="","Основний",$E272),{"Трафіковий","Основний","Маржинальний","Сезонний","Стратегічний"},0),Settings!$E$78,Settings!$E$80,Settings!$E$82,Settings!$E$84,Settings!$E$86),"")</f>
        <v/>
      </c>
      <c r="T272" s="143">
        <f>IFERROR((R272*(1-Settings!$E$17)-C272)/(R272*(1-Settings!$E$17)),"")</f>
        <v/>
      </c>
      <c r="U272" s="149">
        <f>IFERROR(IF(R272="","",IF(R272&gt;=C272/(1-SKU_Base!AC272)/(1-Settings!$E$17),"OK",IF(R272&gt;=C272/(1-SKU_Base!AJ272)/(1-Settings!$E$17),"WARN","STOP"))),"")</f>
        <v/>
      </c>
      <c r="V272" s="159">
        <f>IFERROR(ROUND(D272*(1-CHOOSE(MATCH(IF($E272="","Основний",$E272),{"Трафіковий","Основний","Маржинальний","Сезонний","Стратегічний"},0),Settings!$F$78,Settings!$F$80,Settings!$F$82,Settings!$F$84,Settings!$F$86))/6,2)*6,"")</f>
        <v/>
      </c>
      <c r="W272" s="142">
        <f>IFERROR(CHOOSE(MATCH(IF($E272="","Основний",$E272),{"Трафіковий","Основний","Маржинальний","Сезонний","Стратегічний"},0),Settings!$F$78,Settings!$F$80,Settings!$F$82,Settings!$F$84,Settings!$F$86),"")</f>
        <v/>
      </c>
      <c r="X272" s="143">
        <f>IFERROR((V272*(1-Settings!$F$17)-C272)/(V272*(1-Settings!$F$17)),"")</f>
        <v/>
      </c>
      <c r="Y272" s="149">
        <f>IFERROR(IF(V272="","",IF(V272&gt;=C272/(1-SKU_Base!AD272)/(1-Settings!$F$17),"OK",IF(V272&gt;=C272/(1-SKU_Base!AK272)/(1-Settings!$F$17),"WARN","STOP"))),"")</f>
        <v/>
      </c>
      <c r="Z272" s="159">
        <f>IFERROR(ROUND(D272*(1-CHOOSE(MATCH(IF($E272="","Основний",$E272),{"Трафіковий","Основний","Маржинальний","Сезонний","Стратегічний"},0),Settings!$G$78,Settings!$G$80,Settings!$G$82,Settings!$G$84,Settings!$G$86))/6,2)*6,"")</f>
        <v/>
      </c>
      <c r="AA272" s="142">
        <f>IFERROR(CHOOSE(MATCH(IF($E272="","Основний",$E272),{"Трафіковий","Основний","Маржинальний","Сезонний","Стратегічний"},0),Settings!$G$78,Settings!$G$80,Settings!$G$82,Settings!$G$84,Settings!$G$86),"")</f>
        <v/>
      </c>
      <c r="AB272" s="143">
        <f>IFERROR((Z272*(1-Settings!$G$17)-C272)/(Z272*(1-Settings!$G$17)),"")</f>
        <v/>
      </c>
      <c r="AC272" s="149">
        <f>IFERROR(IF(Z272="","",IF(Z272&gt;=C272/(1-SKU_Base!AE272)/(1-Settings!$G$17),"OK",IF(Z272&gt;=C272/(1-SKU_Base!AL272)/(1-Settings!$G$17),"WARN","STOP"))),"")</f>
        <v/>
      </c>
      <c r="AD272" s="159">
        <f>IFERROR(ROUND(D272*(1-CHOOSE(MATCH(IF($E272="","Основний",$E272),{"Трафіковий","Основний","Маржинальний","Сезонний","Стратегічний"},0),Settings!$H$78,Settings!$H$80,Settings!$H$82,Settings!$H$84,Settings!$H$86))*(1-Settings!$H$68)/6,2)*6,"")</f>
        <v/>
      </c>
      <c r="AE272" s="142">
        <f>IFERROR(CHOOSE(MATCH(IF($E272="","Основний",$E272),{"Трафіковий","Основний","Маржинальний","Сезонний","Стратегічний"},0),Settings!$H$78,Settings!$H$80,Settings!$H$82,Settings!$H$84,Settings!$H$86)+(1-(CHOOSE(MATCH(IF($E272="","Основний",$E272),{"Трафіковий","Основний","Маржинальний","Сезонний","Стратегічний"},0),Settings!$H$78,Settings!$H$80,Settings!$H$82,Settings!$H$84,Settings!$H$86)))*Settings!$H$68,"")</f>
        <v/>
      </c>
      <c r="AF272" s="143">
        <f>IFERROR((AD272*(1-Settings!$H$17)-C272)/(AD272*(1-Settings!$H$17)),"")</f>
        <v/>
      </c>
      <c r="AG272" s="150">
        <f>IFERROR(IF(AD272="","",IF(AD272&gt;=C272/(1-SKU_Base!AF272)/(1-Settings!$H$17),"OK",IF(AD272&gt;=C272/(1-SKU_Base!AM272)/(1-Settings!$H$17),"WARN","STOP"))),"")</f>
        <v/>
      </c>
    </row>
    <row r="273" ht="17" customHeight="1" s="179">
      <c r="A273" s="146">
        <f>SKU_Base!B273</f>
        <v/>
      </c>
      <c r="B273" s="146">
        <f>SKU_Base!C273</f>
        <v/>
      </c>
      <c r="C273" s="147">
        <f>IFERROR(SKU_Base!I273,"")</f>
        <v/>
      </c>
      <c r="D273" s="164">
        <f>IFERROR(SKU_Base!T273,"")</f>
        <v/>
      </c>
      <c r="E273" s="141">
        <f>IFERROR(SKU_Base!$U273,"")</f>
        <v/>
      </c>
      <c r="F273" s="160">
        <f>IFERROR(ROUND(D273*(1-CHOOSE(MATCH(IF($E273="","Основний",$E273),{"Трафіковий","Основний","Маржинальний","Сезонний","Стратегічний"},0),Settings!$B$78,Settings!$B$80,Settings!$B$82,Settings!$B$84,Settings!$B$86))/6,2)*6,"")</f>
        <v/>
      </c>
      <c r="G273" s="142">
        <f>IFERROR(CHOOSE(MATCH(IF($E273="","Основний",$E273),{"Трафіковий","Основний","Маржинальний","Сезонний","Стратегічний"},0),Settings!$B$78,Settings!$B$80,Settings!$B$82,Settings!$B$84,Settings!$B$86),"")</f>
        <v/>
      </c>
      <c r="H273" s="148">
        <f>IFERROR((F273*(1-Settings!$B$17)-C273)/(F273*(1-Settings!$B$17)),"")</f>
        <v/>
      </c>
      <c r="I273" s="149">
        <f>IFERROR(IF(F273="","",IF(F273&gt;=C273/(1-SKU_Base!Z273)/(1-Settings!$B$17),"OK",IF(F273&gt;=C273/(1-SKU_Base!AG273)/(1-Settings!$B$17),"WARN","STOP"))),"")</f>
        <v/>
      </c>
      <c r="J273" s="160">
        <f>IFERROR(ROUND(D273*(1-CHOOSE(MATCH(IF($E273="","Основний",$E273),{"Трафіковий","Основний","Маржинальний","Сезонний","Стратегічний"},0),Settings!$C$78,Settings!$C$80,Settings!$C$82,Settings!$C$84,Settings!$C$86))/6,2)*6,"")</f>
        <v/>
      </c>
      <c r="K273" s="142">
        <f>IFERROR(CHOOSE(MATCH(IF($E273="","Основний",$E273),{"Трафіковий","Основний","Маржинальний","Сезонний","Стратегічний"},0),Settings!$C$78,Settings!$C$80,Settings!$C$82,Settings!$C$84,Settings!$C$86),"")</f>
        <v/>
      </c>
      <c r="L273" s="148">
        <f>IFERROR((J273*(1-Settings!$C$17)-C273)/(J273*(1-Settings!$C$17)),"")</f>
        <v/>
      </c>
      <c r="M273" s="149">
        <f>IFERROR(IF(J273="","",IF(J273&gt;=C273/(1-SKU_Base!AA273)/(1-Settings!$C$17),"OK",IF(J273&gt;=C273/(1-SKU_Base!AH273)/(1-Settings!$C$17),"WARN","STOP"))),"")</f>
        <v/>
      </c>
      <c r="N273" s="161">
        <f>IFERROR(ROUND(D273*(1-CHOOSE(MATCH(IF($E273="","Основний",$E273),{"Трафіковий","Основний","Маржинальний","Сезонний","Стратегічний"},0),Settings!$D$78,Settings!$D$80,Settings!$D$82,Settings!$D$84,Settings!$D$86))/6,2)*6,"")</f>
        <v/>
      </c>
      <c r="O273" s="142">
        <f>IFERROR(CHOOSE(MATCH(IF($E273="","Основний",$E273),{"Трафіковий","Основний","Маржинальний","Сезонний","Стратегічний"},0),Settings!$D$78,Settings!$D$80,Settings!$D$82,Settings!$D$84,Settings!$D$86),"")</f>
        <v/>
      </c>
      <c r="P273" s="148">
        <f>IFERROR((N273*(1-Settings!$D$17)-C273)/(N273*(1-Settings!$D$17)),"")</f>
        <v/>
      </c>
      <c r="Q273" s="149">
        <f>IFERROR(IF(N273="","",IF(N273&gt;=C273/(1-SKU_Base!AB273)/(1-Settings!$D$17),"OK",IF(N273&gt;=C273/(1-SKU_Base!AI273)/(1-Settings!$D$17),"WARN","STOP"))),"")</f>
        <v/>
      </c>
      <c r="R273" s="161">
        <f>IFERROR(ROUND(D273*(1-CHOOSE(MATCH(IF($E273="","Основний",$E273),{"Трафіковий","Основний","Маржинальний","Сезонний","Стратегічний"},0),Settings!$E$78,Settings!$E$80,Settings!$E$82,Settings!$E$84,Settings!$E$86))/6,2)*6,"")</f>
        <v/>
      </c>
      <c r="S273" s="142">
        <f>IFERROR(CHOOSE(MATCH(IF($E273="","Основний",$E273),{"Трафіковий","Основний","Маржинальний","Сезонний","Стратегічний"},0),Settings!$E$78,Settings!$E$80,Settings!$E$82,Settings!$E$84,Settings!$E$86),"")</f>
        <v/>
      </c>
      <c r="T273" s="148">
        <f>IFERROR((R273*(1-Settings!$E$17)-C273)/(R273*(1-Settings!$E$17)),"")</f>
        <v/>
      </c>
      <c r="U273" s="149">
        <f>IFERROR(IF(R273="","",IF(R273&gt;=C273/(1-SKU_Base!AC273)/(1-Settings!$E$17),"OK",IF(R273&gt;=C273/(1-SKU_Base!AJ273)/(1-Settings!$E$17),"WARN","STOP"))),"")</f>
        <v/>
      </c>
      <c r="V273" s="161">
        <f>IFERROR(ROUND(D273*(1-CHOOSE(MATCH(IF($E273="","Основний",$E273),{"Трафіковий","Основний","Маржинальний","Сезонний","Стратегічний"},0),Settings!$F$78,Settings!$F$80,Settings!$F$82,Settings!$F$84,Settings!$F$86))/6,2)*6,"")</f>
        <v/>
      </c>
      <c r="W273" s="142">
        <f>IFERROR(CHOOSE(MATCH(IF($E273="","Основний",$E273),{"Трафіковий","Основний","Маржинальний","Сезонний","Стратегічний"},0),Settings!$F$78,Settings!$F$80,Settings!$F$82,Settings!$F$84,Settings!$F$86),"")</f>
        <v/>
      </c>
      <c r="X273" s="148">
        <f>IFERROR((V273*(1-Settings!$F$17)-C273)/(V273*(1-Settings!$F$17)),"")</f>
        <v/>
      </c>
      <c r="Y273" s="149">
        <f>IFERROR(IF(V273="","",IF(V273&gt;=C273/(1-SKU_Base!AD273)/(1-Settings!$F$17),"OK",IF(V273&gt;=C273/(1-SKU_Base!AK273)/(1-Settings!$F$17),"WARN","STOP"))),"")</f>
        <v/>
      </c>
      <c r="Z273" s="161">
        <f>IFERROR(ROUND(D273*(1-CHOOSE(MATCH(IF($E273="","Основний",$E273),{"Трафіковий","Основний","Маржинальний","Сезонний","Стратегічний"},0),Settings!$G$78,Settings!$G$80,Settings!$G$82,Settings!$G$84,Settings!$G$86))/6,2)*6,"")</f>
        <v/>
      </c>
      <c r="AA273" s="142">
        <f>IFERROR(CHOOSE(MATCH(IF($E273="","Основний",$E273),{"Трафіковий","Основний","Маржинальний","Сезонний","Стратегічний"},0),Settings!$G$78,Settings!$G$80,Settings!$G$82,Settings!$G$84,Settings!$G$86),"")</f>
        <v/>
      </c>
      <c r="AB273" s="148">
        <f>IFERROR((Z273*(1-Settings!$G$17)-C273)/(Z273*(1-Settings!$G$17)),"")</f>
        <v/>
      </c>
      <c r="AC273" s="149">
        <f>IFERROR(IF(Z273="","",IF(Z273&gt;=C273/(1-SKU_Base!AE273)/(1-Settings!$G$17),"OK",IF(Z273&gt;=C273/(1-SKU_Base!AL273)/(1-Settings!$G$17),"WARN","STOP"))),"")</f>
        <v/>
      </c>
      <c r="AD273" s="161">
        <f>IFERROR(ROUND(D273*(1-CHOOSE(MATCH(IF($E273="","Основний",$E273),{"Трафіковий","Основний","Маржинальний","Сезонний","Стратегічний"},0),Settings!$H$78,Settings!$H$80,Settings!$H$82,Settings!$H$84,Settings!$H$86))*(1-Settings!$H$68)/6,2)*6,"")</f>
        <v/>
      </c>
      <c r="AE273" s="142">
        <f>IFERROR(CHOOSE(MATCH(IF($E273="","Основний",$E273),{"Трафіковий","Основний","Маржинальний","Сезонний","Стратегічний"},0),Settings!$H$78,Settings!$H$80,Settings!$H$82,Settings!$H$84,Settings!$H$86)+(1-(CHOOSE(MATCH(IF($E273="","Основний",$E273),{"Трафіковий","Основний","Маржинальний","Сезонний","Стратегічний"},0),Settings!$H$78,Settings!$H$80,Settings!$H$82,Settings!$H$84,Settings!$H$86)))*Settings!$H$68,"")</f>
        <v/>
      </c>
      <c r="AF273" s="148">
        <f>IFERROR((AD273*(1-Settings!$H$17)-C273)/(AD273*(1-Settings!$H$17)),"")</f>
        <v/>
      </c>
      <c r="AG273" s="150">
        <f>IFERROR(IF(AD273="","",IF(AD273&gt;=C273/(1-SKU_Base!AF273)/(1-Settings!$H$17),"OK",IF(AD273&gt;=C273/(1-SKU_Base!AM273)/(1-Settings!$H$17),"WARN","STOP"))),"")</f>
        <v/>
      </c>
    </row>
    <row r="274" ht="17" customHeight="1" s="179">
      <c r="A274" s="139">
        <f>SKU_Base!B274</f>
        <v/>
      </c>
      <c r="B274" s="139">
        <f>SKU_Base!C274</f>
        <v/>
      </c>
      <c r="C274" s="140">
        <f>IFERROR(SKU_Base!I274,"")</f>
        <v/>
      </c>
      <c r="D274" s="163">
        <f>IFERROR(SKU_Base!T274,"")</f>
        <v/>
      </c>
      <c r="E274" s="141">
        <f>IFERROR(SKU_Base!$U274,"")</f>
        <v/>
      </c>
      <c r="F274" s="158">
        <f>IFERROR(ROUND(D274*(1-CHOOSE(MATCH(IF($E274="","Основний",$E274),{"Трафіковий","Основний","Маржинальний","Сезонний","Стратегічний"},0),Settings!$B$78,Settings!$B$80,Settings!$B$82,Settings!$B$84,Settings!$B$86))/6,2)*6,"")</f>
        <v/>
      </c>
      <c r="G274" s="142">
        <f>IFERROR(CHOOSE(MATCH(IF($E274="","Основний",$E274),{"Трафіковий","Основний","Маржинальний","Сезонний","Стратегічний"},0),Settings!$B$78,Settings!$B$80,Settings!$B$82,Settings!$B$84,Settings!$B$86),"")</f>
        <v/>
      </c>
      <c r="H274" s="143">
        <f>IFERROR((F274*(1-Settings!$B$17)-C274)/(F274*(1-Settings!$B$17)),"")</f>
        <v/>
      </c>
      <c r="I274" s="149">
        <f>IFERROR(IF(F274="","",IF(F274&gt;=C274/(1-SKU_Base!Z274)/(1-Settings!$B$17),"OK",IF(F274&gt;=C274/(1-SKU_Base!AG274)/(1-Settings!$B$17),"WARN","STOP"))),"")</f>
        <v/>
      </c>
      <c r="J274" s="158">
        <f>IFERROR(ROUND(D274*(1-CHOOSE(MATCH(IF($E274="","Основний",$E274),{"Трафіковий","Основний","Маржинальний","Сезонний","Стратегічний"},0),Settings!$C$78,Settings!$C$80,Settings!$C$82,Settings!$C$84,Settings!$C$86))/6,2)*6,"")</f>
        <v/>
      </c>
      <c r="K274" s="142">
        <f>IFERROR(CHOOSE(MATCH(IF($E274="","Основний",$E274),{"Трафіковий","Основний","Маржинальний","Сезонний","Стратегічний"},0),Settings!$C$78,Settings!$C$80,Settings!$C$82,Settings!$C$84,Settings!$C$86),"")</f>
        <v/>
      </c>
      <c r="L274" s="143">
        <f>IFERROR((J274*(1-Settings!$C$17)-C274)/(J274*(1-Settings!$C$17)),"")</f>
        <v/>
      </c>
      <c r="M274" s="149">
        <f>IFERROR(IF(J274="","",IF(J274&gt;=C274/(1-SKU_Base!AA274)/(1-Settings!$C$17),"OK",IF(J274&gt;=C274/(1-SKU_Base!AH274)/(1-Settings!$C$17),"WARN","STOP"))),"")</f>
        <v/>
      </c>
      <c r="N274" s="159">
        <f>IFERROR(ROUND(D274*(1-CHOOSE(MATCH(IF($E274="","Основний",$E274),{"Трафіковий","Основний","Маржинальний","Сезонний","Стратегічний"},0),Settings!$D$78,Settings!$D$80,Settings!$D$82,Settings!$D$84,Settings!$D$86))/6,2)*6,"")</f>
        <v/>
      </c>
      <c r="O274" s="142">
        <f>IFERROR(CHOOSE(MATCH(IF($E274="","Основний",$E274),{"Трафіковий","Основний","Маржинальний","Сезонний","Стратегічний"},0),Settings!$D$78,Settings!$D$80,Settings!$D$82,Settings!$D$84,Settings!$D$86),"")</f>
        <v/>
      </c>
      <c r="P274" s="143">
        <f>IFERROR((N274*(1-Settings!$D$17)-C274)/(N274*(1-Settings!$D$17)),"")</f>
        <v/>
      </c>
      <c r="Q274" s="149">
        <f>IFERROR(IF(N274="","",IF(N274&gt;=C274/(1-SKU_Base!AB274)/(1-Settings!$D$17),"OK",IF(N274&gt;=C274/(1-SKU_Base!AI274)/(1-Settings!$D$17),"WARN","STOP"))),"")</f>
        <v/>
      </c>
      <c r="R274" s="159">
        <f>IFERROR(ROUND(D274*(1-CHOOSE(MATCH(IF($E274="","Основний",$E274),{"Трафіковий","Основний","Маржинальний","Сезонний","Стратегічний"},0),Settings!$E$78,Settings!$E$80,Settings!$E$82,Settings!$E$84,Settings!$E$86))/6,2)*6,"")</f>
        <v/>
      </c>
      <c r="S274" s="142">
        <f>IFERROR(CHOOSE(MATCH(IF($E274="","Основний",$E274),{"Трафіковий","Основний","Маржинальний","Сезонний","Стратегічний"},0),Settings!$E$78,Settings!$E$80,Settings!$E$82,Settings!$E$84,Settings!$E$86),"")</f>
        <v/>
      </c>
      <c r="T274" s="143">
        <f>IFERROR((R274*(1-Settings!$E$17)-C274)/(R274*(1-Settings!$E$17)),"")</f>
        <v/>
      </c>
      <c r="U274" s="149">
        <f>IFERROR(IF(R274="","",IF(R274&gt;=C274/(1-SKU_Base!AC274)/(1-Settings!$E$17),"OK",IF(R274&gt;=C274/(1-SKU_Base!AJ274)/(1-Settings!$E$17),"WARN","STOP"))),"")</f>
        <v/>
      </c>
      <c r="V274" s="159">
        <f>IFERROR(ROUND(D274*(1-CHOOSE(MATCH(IF($E274="","Основний",$E274),{"Трафіковий","Основний","Маржинальний","Сезонний","Стратегічний"},0),Settings!$F$78,Settings!$F$80,Settings!$F$82,Settings!$F$84,Settings!$F$86))/6,2)*6,"")</f>
        <v/>
      </c>
      <c r="W274" s="142">
        <f>IFERROR(CHOOSE(MATCH(IF($E274="","Основний",$E274),{"Трафіковий","Основний","Маржинальний","Сезонний","Стратегічний"},0),Settings!$F$78,Settings!$F$80,Settings!$F$82,Settings!$F$84,Settings!$F$86),"")</f>
        <v/>
      </c>
      <c r="X274" s="143">
        <f>IFERROR((V274*(1-Settings!$F$17)-C274)/(V274*(1-Settings!$F$17)),"")</f>
        <v/>
      </c>
      <c r="Y274" s="149">
        <f>IFERROR(IF(V274="","",IF(V274&gt;=C274/(1-SKU_Base!AD274)/(1-Settings!$F$17),"OK",IF(V274&gt;=C274/(1-SKU_Base!AK274)/(1-Settings!$F$17),"WARN","STOP"))),"")</f>
        <v/>
      </c>
      <c r="Z274" s="159">
        <f>IFERROR(ROUND(D274*(1-CHOOSE(MATCH(IF($E274="","Основний",$E274),{"Трафіковий","Основний","Маржинальний","Сезонний","Стратегічний"},0),Settings!$G$78,Settings!$G$80,Settings!$G$82,Settings!$G$84,Settings!$G$86))/6,2)*6,"")</f>
        <v/>
      </c>
      <c r="AA274" s="142">
        <f>IFERROR(CHOOSE(MATCH(IF($E274="","Основний",$E274),{"Трафіковий","Основний","Маржинальний","Сезонний","Стратегічний"},0),Settings!$G$78,Settings!$G$80,Settings!$G$82,Settings!$G$84,Settings!$G$86),"")</f>
        <v/>
      </c>
      <c r="AB274" s="143">
        <f>IFERROR((Z274*(1-Settings!$G$17)-C274)/(Z274*(1-Settings!$G$17)),"")</f>
        <v/>
      </c>
      <c r="AC274" s="149">
        <f>IFERROR(IF(Z274="","",IF(Z274&gt;=C274/(1-SKU_Base!AE274)/(1-Settings!$G$17),"OK",IF(Z274&gt;=C274/(1-SKU_Base!AL274)/(1-Settings!$G$17),"WARN","STOP"))),"")</f>
        <v/>
      </c>
      <c r="AD274" s="159">
        <f>IFERROR(ROUND(D274*(1-CHOOSE(MATCH(IF($E274="","Основний",$E274),{"Трафіковий","Основний","Маржинальний","Сезонний","Стратегічний"},0),Settings!$H$78,Settings!$H$80,Settings!$H$82,Settings!$H$84,Settings!$H$86))*(1-Settings!$H$68)/6,2)*6,"")</f>
        <v/>
      </c>
      <c r="AE274" s="142">
        <f>IFERROR(CHOOSE(MATCH(IF($E274="","Основний",$E274),{"Трафіковий","Основний","Маржинальний","Сезонний","Стратегічний"},0),Settings!$H$78,Settings!$H$80,Settings!$H$82,Settings!$H$84,Settings!$H$86)+(1-(CHOOSE(MATCH(IF($E274="","Основний",$E274),{"Трафіковий","Основний","Маржинальний","Сезонний","Стратегічний"},0),Settings!$H$78,Settings!$H$80,Settings!$H$82,Settings!$H$84,Settings!$H$86)))*Settings!$H$68,"")</f>
        <v/>
      </c>
      <c r="AF274" s="143">
        <f>IFERROR((AD274*(1-Settings!$H$17)-C274)/(AD274*(1-Settings!$H$17)),"")</f>
        <v/>
      </c>
      <c r="AG274" s="150">
        <f>IFERROR(IF(AD274="","",IF(AD274&gt;=C274/(1-SKU_Base!AF274)/(1-Settings!$H$17),"OK",IF(AD274&gt;=C274/(1-SKU_Base!AM274)/(1-Settings!$H$17),"WARN","STOP"))),"")</f>
        <v/>
      </c>
    </row>
    <row r="275" ht="17" customHeight="1" s="179">
      <c r="A275" s="146">
        <f>SKU_Base!B275</f>
        <v/>
      </c>
      <c r="B275" s="146">
        <f>SKU_Base!C275</f>
        <v/>
      </c>
      <c r="C275" s="147">
        <f>IFERROR(SKU_Base!I275,"")</f>
        <v/>
      </c>
      <c r="D275" s="164">
        <f>IFERROR(SKU_Base!T275,"")</f>
        <v/>
      </c>
      <c r="E275" s="141">
        <f>IFERROR(SKU_Base!$U275,"")</f>
        <v/>
      </c>
      <c r="F275" s="160">
        <f>IFERROR(ROUND(D275*(1-CHOOSE(MATCH(IF($E275="","Основний",$E275),{"Трафіковий","Основний","Маржинальний","Сезонний","Стратегічний"},0),Settings!$B$78,Settings!$B$80,Settings!$B$82,Settings!$B$84,Settings!$B$86))/6,2)*6,"")</f>
        <v/>
      </c>
      <c r="G275" s="142">
        <f>IFERROR(CHOOSE(MATCH(IF($E275="","Основний",$E275),{"Трафіковий","Основний","Маржинальний","Сезонний","Стратегічний"},0),Settings!$B$78,Settings!$B$80,Settings!$B$82,Settings!$B$84,Settings!$B$86),"")</f>
        <v/>
      </c>
      <c r="H275" s="148">
        <f>IFERROR((F275*(1-Settings!$B$17)-C275)/(F275*(1-Settings!$B$17)),"")</f>
        <v/>
      </c>
      <c r="I275" s="149">
        <f>IFERROR(IF(F275="","",IF(F275&gt;=C275/(1-SKU_Base!Z275)/(1-Settings!$B$17),"OK",IF(F275&gt;=C275/(1-SKU_Base!AG275)/(1-Settings!$B$17),"WARN","STOP"))),"")</f>
        <v/>
      </c>
      <c r="J275" s="160">
        <f>IFERROR(ROUND(D275*(1-CHOOSE(MATCH(IF($E275="","Основний",$E275),{"Трафіковий","Основний","Маржинальний","Сезонний","Стратегічний"},0),Settings!$C$78,Settings!$C$80,Settings!$C$82,Settings!$C$84,Settings!$C$86))/6,2)*6,"")</f>
        <v/>
      </c>
      <c r="K275" s="142">
        <f>IFERROR(CHOOSE(MATCH(IF($E275="","Основний",$E275),{"Трафіковий","Основний","Маржинальний","Сезонний","Стратегічний"},0),Settings!$C$78,Settings!$C$80,Settings!$C$82,Settings!$C$84,Settings!$C$86),"")</f>
        <v/>
      </c>
      <c r="L275" s="148">
        <f>IFERROR((J275*(1-Settings!$C$17)-C275)/(J275*(1-Settings!$C$17)),"")</f>
        <v/>
      </c>
      <c r="M275" s="149">
        <f>IFERROR(IF(J275="","",IF(J275&gt;=C275/(1-SKU_Base!AA275)/(1-Settings!$C$17),"OK",IF(J275&gt;=C275/(1-SKU_Base!AH275)/(1-Settings!$C$17),"WARN","STOP"))),"")</f>
        <v/>
      </c>
      <c r="N275" s="161">
        <f>IFERROR(ROUND(D275*(1-CHOOSE(MATCH(IF($E275="","Основний",$E275),{"Трафіковий","Основний","Маржинальний","Сезонний","Стратегічний"},0),Settings!$D$78,Settings!$D$80,Settings!$D$82,Settings!$D$84,Settings!$D$86))/6,2)*6,"")</f>
        <v/>
      </c>
      <c r="O275" s="142">
        <f>IFERROR(CHOOSE(MATCH(IF($E275="","Основний",$E275),{"Трафіковий","Основний","Маржинальний","Сезонний","Стратегічний"},0),Settings!$D$78,Settings!$D$80,Settings!$D$82,Settings!$D$84,Settings!$D$86),"")</f>
        <v/>
      </c>
      <c r="P275" s="148">
        <f>IFERROR((N275*(1-Settings!$D$17)-C275)/(N275*(1-Settings!$D$17)),"")</f>
        <v/>
      </c>
      <c r="Q275" s="149">
        <f>IFERROR(IF(N275="","",IF(N275&gt;=C275/(1-SKU_Base!AB275)/(1-Settings!$D$17),"OK",IF(N275&gt;=C275/(1-SKU_Base!AI275)/(1-Settings!$D$17),"WARN","STOP"))),"")</f>
        <v/>
      </c>
      <c r="R275" s="161">
        <f>IFERROR(ROUND(D275*(1-CHOOSE(MATCH(IF($E275="","Основний",$E275),{"Трафіковий","Основний","Маржинальний","Сезонний","Стратегічний"},0),Settings!$E$78,Settings!$E$80,Settings!$E$82,Settings!$E$84,Settings!$E$86))/6,2)*6,"")</f>
        <v/>
      </c>
      <c r="S275" s="142">
        <f>IFERROR(CHOOSE(MATCH(IF($E275="","Основний",$E275),{"Трафіковий","Основний","Маржинальний","Сезонний","Стратегічний"},0),Settings!$E$78,Settings!$E$80,Settings!$E$82,Settings!$E$84,Settings!$E$86),"")</f>
        <v/>
      </c>
      <c r="T275" s="148">
        <f>IFERROR((R275*(1-Settings!$E$17)-C275)/(R275*(1-Settings!$E$17)),"")</f>
        <v/>
      </c>
      <c r="U275" s="149">
        <f>IFERROR(IF(R275="","",IF(R275&gt;=C275/(1-SKU_Base!AC275)/(1-Settings!$E$17),"OK",IF(R275&gt;=C275/(1-SKU_Base!AJ275)/(1-Settings!$E$17),"WARN","STOP"))),"")</f>
        <v/>
      </c>
      <c r="V275" s="161">
        <f>IFERROR(ROUND(D275*(1-CHOOSE(MATCH(IF($E275="","Основний",$E275),{"Трафіковий","Основний","Маржинальний","Сезонний","Стратегічний"},0),Settings!$F$78,Settings!$F$80,Settings!$F$82,Settings!$F$84,Settings!$F$86))/6,2)*6,"")</f>
        <v/>
      </c>
      <c r="W275" s="142">
        <f>IFERROR(CHOOSE(MATCH(IF($E275="","Основний",$E275),{"Трафіковий","Основний","Маржинальний","Сезонний","Стратегічний"},0),Settings!$F$78,Settings!$F$80,Settings!$F$82,Settings!$F$84,Settings!$F$86),"")</f>
        <v/>
      </c>
      <c r="X275" s="148">
        <f>IFERROR((V275*(1-Settings!$F$17)-C275)/(V275*(1-Settings!$F$17)),"")</f>
        <v/>
      </c>
      <c r="Y275" s="149">
        <f>IFERROR(IF(V275="","",IF(V275&gt;=C275/(1-SKU_Base!AD275)/(1-Settings!$F$17),"OK",IF(V275&gt;=C275/(1-SKU_Base!AK275)/(1-Settings!$F$17),"WARN","STOP"))),"")</f>
        <v/>
      </c>
      <c r="Z275" s="161">
        <f>IFERROR(ROUND(D275*(1-CHOOSE(MATCH(IF($E275="","Основний",$E275),{"Трафіковий","Основний","Маржинальний","Сезонний","Стратегічний"},0),Settings!$G$78,Settings!$G$80,Settings!$G$82,Settings!$G$84,Settings!$G$86))/6,2)*6,"")</f>
        <v/>
      </c>
      <c r="AA275" s="142">
        <f>IFERROR(CHOOSE(MATCH(IF($E275="","Основний",$E275),{"Трафіковий","Основний","Маржинальний","Сезонний","Стратегічний"},0),Settings!$G$78,Settings!$G$80,Settings!$G$82,Settings!$G$84,Settings!$G$86),"")</f>
        <v/>
      </c>
      <c r="AB275" s="148">
        <f>IFERROR((Z275*(1-Settings!$G$17)-C275)/(Z275*(1-Settings!$G$17)),"")</f>
        <v/>
      </c>
      <c r="AC275" s="149">
        <f>IFERROR(IF(Z275="","",IF(Z275&gt;=C275/(1-SKU_Base!AE275)/(1-Settings!$G$17),"OK",IF(Z275&gt;=C275/(1-SKU_Base!AL275)/(1-Settings!$G$17),"WARN","STOP"))),"")</f>
        <v/>
      </c>
      <c r="AD275" s="161">
        <f>IFERROR(ROUND(D275*(1-CHOOSE(MATCH(IF($E275="","Основний",$E275),{"Трафіковий","Основний","Маржинальний","Сезонний","Стратегічний"},0),Settings!$H$78,Settings!$H$80,Settings!$H$82,Settings!$H$84,Settings!$H$86))*(1-Settings!$H$68)/6,2)*6,"")</f>
        <v/>
      </c>
      <c r="AE275" s="142">
        <f>IFERROR(CHOOSE(MATCH(IF($E275="","Основний",$E275),{"Трафіковий","Основний","Маржинальний","Сезонний","Стратегічний"},0),Settings!$H$78,Settings!$H$80,Settings!$H$82,Settings!$H$84,Settings!$H$86)+(1-(CHOOSE(MATCH(IF($E275="","Основний",$E275),{"Трафіковий","Основний","Маржинальний","Сезонний","Стратегічний"},0),Settings!$H$78,Settings!$H$80,Settings!$H$82,Settings!$H$84,Settings!$H$86)))*Settings!$H$68,"")</f>
        <v/>
      </c>
      <c r="AF275" s="148">
        <f>IFERROR((AD275*(1-Settings!$H$17)-C275)/(AD275*(1-Settings!$H$17)),"")</f>
        <v/>
      </c>
      <c r="AG275" s="150">
        <f>IFERROR(IF(AD275="","",IF(AD275&gt;=C275/(1-SKU_Base!AF275)/(1-Settings!$H$17),"OK",IF(AD275&gt;=C275/(1-SKU_Base!AM275)/(1-Settings!$H$17),"WARN","STOP"))),"")</f>
        <v/>
      </c>
    </row>
    <row r="276" ht="17" customHeight="1" s="179">
      <c r="A276" s="139">
        <f>SKU_Base!B276</f>
        <v/>
      </c>
      <c r="B276" s="139">
        <f>SKU_Base!C276</f>
        <v/>
      </c>
      <c r="C276" s="140">
        <f>IFERROR(SKU_Base!I276,"")</f>
        <v/>
      </c>
      <c r="D276" s="163">
        <f>IFERROR(SKU_Base!T276,"")</f>
        <v/>
      </c>
      <c r="E276" s="141">
        <f>IFERROR(SKU_Base!$U276,"")</f>
        <v/>
      </c>
      <c r="F276" s="158">
        <f>IFERROR(ROUND(D276*(1-CHOOSE(MATCH(IF($E276="","Основний",$E276),{"Трафіковий","Основний","Маржинальний","Сезонний","Стратегічний"},0),Settings!$B$78,Settings!$B$80,Settings!$B$82,Settings!$B$84,Settings!$B$86))/6,2)*6,"")</f>
        <v/>
      </c>
      <c r="G276" s="142">
        <f>IFERROR(CHOOSE(MATCH(IF($E276="","Основний",$E276),{"Трафіковий","Основний","Маржинальний","Сезонний","Стратегічний"},0),Settings!$B$78,Settings!$B$80,Settings!$B$82,Settings!$B$84,Settings!$B$86),"")</f>
        <v/>
      </c>
      <c r="H276" s="143">
        <f>IFERROR((F276*(1-Settings!$B$17)-C276)/(F276*(1-Settings!$B$17)),"")</f>
        <v/>
      </c>
      <c r="I276" s="149">
        <f>IFERROR(IF(F276="","",IF(F276&gt;=C276/(1-SKU_Base!Z276)/(1-Settings!$B$17),"OK",IF(F276&gt;=C276/(1-SKU_Base!AG276)/(1-Settings!$B$17),"WARN","STOP"))),"")</f>
        <v/>
      </c>
      <c r="J276" s="158">
        <f>IFERROR(ROUND(D276*(1-CHOOSE(MATCH(IF($E276="","Основний",$E276),{"Трафіковий","Основний","Маржинальний","Сезонний","Стратегічний"},0),Settings!$C$78,Settings!$C$80,Settings!$C$82,Settings!$C$84,Settings!$C$86))/6,2)*6,"")</f>
        <v/>
      </c>
      <c r="K276" s="142">
        <f>IFERROR(CHOOSE(MATCH(IF($E276="","Основний",$E276),{"Трафіковий","Основний","Маржинальний","Сезонний","Стратегічний"},0),Settings!$C$78,Settings!$C$80,Settings!$C$82,Settings!$C$84,Settings!$C$86),"")</f>
        <v/>
      </c>
      <c r="L276" s="143">
        <f>IFERROR((J276*(1-Settings!$C$17)-C276)/(J276*(1-Settings!$C$17)),"")</f>
        <v/>
      </c>
      <c r="M276" s="149">
        <f>IFERROR(IF(J276="","",IF(J276&gt;=C276/(1-SKU_Base!AA276)/(1-Settings!$C$17),"OK",IF(J276&gt;=C276/(1-SKU_Base!AH276)/(1-Settings!$C$17),"WARN","STOP"))),"")</f>
        <v/>
      </c>
      <c r="N276" s="159">
        <f>IFERROR(ROUND(D276*(1-CHOOSE(MATCH(IF($E276="","Основний",$E276),{"Трафіковий","Основний","Маржинальний","Сезонний","Стратегічний"},0),Settings!$D$78,Settings!$D$80,Settings!$D$82,Settings!$D$84,Settings!$D$86))/6,2)*6,"")</f>
        <v/>
      </c>
      <c r="O276" s="142">
        <f>IFERROR(CHOOSE(MATCH(IF($E276="","Основний",$E276),{"Трафіковий","Основний","Маржинальний","Сезонний","Стратегічний"},0),Settings!$D$78,Settings!$D$80,Settings!$D$82,Settings!$D$84,Settings!$D$86),"")</f>
        <v/>
      </c>
      <c r="P276" s="143">
        <f>IFERROR((N276*(1-Settings!$D$17)-C276)/(N276*(1-Settings!$D$17)),"")</f>
        <v/>
      </c>
      <c r="Q276" s="149">
        <f>IFERROR(IF(N276="","",IF(N276&gt;=C276/(1-SKU_Base!AB276)/(1-Settings!$D$17),"OK",IF(N276&gt;=C276/(1-SKU_Base!AI276)/(1-Settings!$D$17),"WARN","STOP"))),"")</f>
        <v/>
      </c>
      <c r="R276" s="159">
        <f>IFERROR(ROUND(D276*(1-CHOOSE(MATCH(IF($E276="","Основний",$E276),{"Трафіковий","Основний","Маржинальний","Сезонний","Стратегічний"},0),Settings!$E$78,Settings!$E$80,Settings!$E$82,Settings!$E$84,Settings!$E$86))/6,2)*6,"")</f>
        <v/>
      </c>
      <c r="S276" s="142">
        <f>IFERROR(CHOOSE(MATCH(IF($E276="","Основний",$E276),{"Трафіковий","Основний","Маржинальний","Сезонний","Стратегічний"},0),Settings!$E$78,Settings!$E$80,Settings!$E$82,Settings!$E$84,Settings!$E$86),"")</f>
        <v/>
      </c>
      <c r="T276" s="143">
        <f>IFERROR((R276*(1-Settings!$E$17)-C276)/(R276*(1-Settings!$E$17)),"")</f>
        <v/>
      </c>
      <c r="U276" s="149">
        <f>IFERROR(IF(R276="","",IF(R276&gt;=C276/(1-SKU_Base!AC276)/(1-Settings!$E$17),"OK",IF(R276&gt;=C276/(1-SKU_Base!AJ276)/(1-Settings!$E$17),"WARN","STOP"))),"")</f>
        <v/>
      </c>
      <c r="V276" s="159">
        <f>IFERROR(ROUND(D276*(1-CHOOSE(MATCH(IF($E276="","Основний",$E276),{"Трафіковий","Основний","Маржинальний","Сезонний","Стратегічний"},0),Settings!$F$78,Settings!$F$80,Settings!$F$82,Settings!$F$84,Settings!$F$86))/6,2)*6,"")</f>
        <v/>
      </c>
      <c r="W276" s="142">
        <f>IFERROR(CHOOSE(MATCH(IF($E276="","Основний",$E276),{"Трафіковий","Основний","Маржинальний","Сезонний","Стратегічний"},0),Settings!$F$78,Settings!$F$80,Settings!$F$82,Settings!$F$84,Settings!$F$86),"")</f>
        <v/>
      </c>
      <c r="X276" s="143">
        <f>IFERROR((V276*(1-Settings!$F$17)-C276)/(V276*(1-Settings!$F$17)),"")</f>
        <v/>
      </c>
      <c r="Y276" s="149">
        <f>IFERROR(IF(V276="","",IF(V276&gt;=C276/(1-SKU_Base!AD276)/(1-Settings!$F$17),"OK",IF(V276&gt;=C276/(1-SKU_Base!AK276)/(1-Settings!$F$17),"WARN","STOP"))),"")</f>
        <v/>
      </c>
      <c r="Z276" s="159">
        <f>IFERROR(ROUND(D276*(1-CHOOSE(MATCH(IF($E276="","Основний",$E276),{"Трафіковий","Основний","Маржинальний","Сезонний","Стратегічний"},0),Settings!$G$78,Settings!$G$80,Settings!$G$82,Settings!$G$84,Settings!$G$86))/6,2)*6,"")</f>
        <v/>
      </c>
      <c r="AA276" s="142">
        <f>IFERROR(CHOOSE(MATCH(IF($E276="","Основний",$E276),{"Трафіковий","Основний","Маржинальний","Сезонний","Стратегічний"},0),Settings!$G$78,Settings!$G$80,Settings!$G$82,Settings!$G$84,Settings!$G$86),"")</f>
        <v/>
      </c>
      <c r="AB276" s="143">
        <f>IFERROR((Z276*(1-Settings!$G$17)-C276)/(Z276*(1-Settings!$G$17)),"")</f>
        <v/>
      </c>
      <c r="AC276" s="149">
        <f>IFERROR(IF(Z276="","",IF(Z276&gt;=C276/(1-SKU_Base!AE276)/(1-Settings!$G$17),"OK",IF(Z276&gt;=C276/(1-SKU_Base!AL276)/(1-Settings!$G$17),"WARN","STOP"))),"")</f>
        <v/>
      </c>
      <c r="AD276" s="159">
        <f>IFERROR(ROUND(D276*(1-CHOOSE(MATCH(IF($E276="","Основний",$E276),{"Трафіковий","Основний","Маржинальний","Сезонний","Стратегічний"},0),Settings!$H$78,Settings!$H$80,Settings!$H$82,Settings!$H$84,Settings!$H$86))*(1-Settings!$H$68)/6,2)*6,"")</f>
        <v/>
      </c>
      <c r="AE276" s="142">
        <f>IFERROR(CHOOSE(MATCH(IF($E276="","Основний",$E276),{"Трафіковий","Основний","Маржинальний","Сезонний","Стратегічний"},0),Settings!$H$78,Settings!$H$80,Settings!$H$82,Settings!$H$84,Settings!$H$86)+(1-(CHOOSE(MATCH(IF($E276="","Основний",$E276),{"Трафіковий","Основний","Маржинальний","Сезонний","Стратегічний"},0),Settings!$H$78,Settings!$H$80,Settings!$H$82,Settings!$H$84,Settings!$H$86)))*Settings!$H$68,"")</f>
        <v/>
      </c>
      <c r="AF276" s="143">
        <f>IFERROR((AD276*(1-Settings!$H$17)-C276)/(AD276*(1-Settings!$H$17)),"")</f>
        <v/>
      </c>
      <c r="AG276" s="150">
        <f>IFERROR(IF(AD276="","",IF(AD276&gt;=C276/(1-SKU_Base!AF276)/(1-Settings!$H$17),"OK",IF(AD276&gt;=C276/(1-SKU_Base!AM276)/(1-Settings!$H$17),"WARN","STOP"))),"")</f>
        <v/>
      </c>
    </row>
    <row r="277" ht="17" customHeight="1" s="179">
      <c r="A277" s="146">
        <f>SKU_Base!B277</f>
        <v/>
      </c>
      <c r="B277" s="146">
        <f>SKU_Base!C277</f>
        <v/>
      </c>
      <c r="C277" s="147">
        <f>IFERROR(SKU_Base!I277,"")</f>
        <v/>
      </c>
      <c r="D277" s="164">
        <f>IFERROR(SKU_Base!T277,"")</f>
        <v/>
      </c>
      <c r="E277" s="141">
        <f>IFERROR(SKU_Base!$U277,"")</f>
        <v/>
      </c>
      <c r="F277" s="160">
        <f>IFERROR(ROUND(D277*(1-CHOOSE(MATCH(IF($E277="","Основний",$E277),{"Трафіковий","Основний","Маржинальний","Сезонний","Стратегічний"},0),Settings!$B$78,Settings!$B$80,Settings!$B$82,Settings!$B$84,Settings!$B$86))/6,2)*6,"")</f>
        <v/>
      </c>
      <c r="G277" s="142">
        <f>IFERROR(CHOOSE(MATCH(IF($E277="","Основний",$E277),{"Трафіковий","Основний","Маржинальний","Сезонний","Стратегічний"},0),Settings!$B$78,Settings!$B$80,Settings!$B$82,Settings!$B$84,Settings!$B$86),"")</f>
        <v/>
      </c>
      <c r="H277" s="148">
        <f>IFERROR((F277*(1-Settings!$B$17)-C277)/(F277*(1-Settings!$B$17)),"")</f>
        <v/>
      </c>
      <c r="I277" s="150">
        <f>IFERROR(IF(F277="","",IF(F277&gt;=C277/(1-SKU_Base!Z277)/(1-Settings!$B$17),"OK",IF(F277&gt;=C277/(1-SKU_Base!AG277)/(1-Settings!$B$17),"WARN","STOP"))),"")</f>
        <v/>
      </c>
      <c r="J277" s="160">
        <f>IFERROR(ROUND(D277*(1-CHOOSE(MATCH(IF($E277="","Основний",$E277),{"Трафіковий","Основний","Маржинальний","Сезонний","Стратегічний"},0),Settings!$C$78,Settings!$C$80,Settings!$C$82,Settings!$C$84,Settings!$C$86))/6,2)*6,"")</f>
        <v/>
      </c>
      <c r="K277" s="142">
        <f>IFERROR(CHOOSE(MATCH(IF($E277="","Основний",$E277),{"Трафіковий","Основний","Маржинальний","Сезонний","Стратегічний"},0),Settings!$C$78,Settings!$C$80,Settings!$C$82,Settings!$C$84,Settings!$C$86),"")</f>
        <v/>
      </c>
      <c r="L277" s="148">
        <f>IFERROR((J277*(1-Settings!$C$17)-C277)/(J277*(1-Settings!$C$17)),"")</f>
        <v/>
      </c>
      <c r="M277" s="149">
        <f>IFERROR(IF(J277="","",IF(J277&gt;=C277/(1-SKU_Base!AA277)/(1-Settings!$C$17),"OK",IF(J277&gt;=C277/(1-SKU_Base!AH277)/(1-Settings!$C$17),"WARN","STOP"))),"")</f>
        <v/>
      </c>
      <c r="N277" s="161">
        <f>IFERROR(ROUND(D277*(1-CHOOSE(MATCH(IF($E277="","Основний",$E277),{"Трафіковий","Основний","Маржинальний","Сезонний","Стратегічний"},0),Settings!$D$78,Settings!$D$80,Settings!$D$82,Settings!$D$84,Settings!$D$86))/6,2)*6,"")</f>
        <v/>
      </c>
      <c r="O277" s="142">
        <f>IFERROR(CHOOSE(MATCH(IF($E277="","Основний",$E277),{"Трафіковий","Основний","Маржинальний","Сезонний","Стратегічний"},0),Settings!$D$78,Settings!$D$80,Settings!$D$82,Settings!$D$84,Settings!$D$86),"")</f>
        <v/>
      </c>
      <c r="P277" s="148">
        <f>IFERROR((N277*(1-Settings!$D$17)-C277)/(N277*(1-Settings!$D$17)),"")</f>
        <v/>
      </c>
      <c r="Q277" s="149">
        <f>IFERROR(IF(N277="","",IF(N277&gt;=C277/(1-SKU_Base!AB277)/(1-Settings!$D$17),"OK",IF(N277&gt;=C277/(1-SKU_Base!AI277)/(1-Settings!$D$17),"WARN","STOP"))),"")</f>
        <v/>
      </c>
      <c r="R277" s="161">
        <f>IFERROR(ROUND(D277*(1-CHOOSE(MATCH(IF($E277="","Основний",$E277),{"Трафіковий","Основний","Маржинальний","Сезонний","Стратегічний"},0),Settings!$E$78,Settings!$E$80,Settings!$E$82,Settings!$E$84,Settings!$E$86))/6,2)*6,"")</f>
        <v/>
      </c>
      <c r="S277" s="142">
        <f>IFERROR(CHOOSE(MATCH(IF($E277="","Основний",$E277),{"Трафіковий","Основний","Маржинальний","Сезонний","Стратегічний"},0),Settings!$E$78,Settings!$E$80,Settings!$E$82,Settings!$E$84,Settings!$E$86),"")</f>
        <v/>
      </c>
      <c r="T277" s="148">
        <f>IFERROR((R277*(1-Settings!$E$17)-C277)/(R277*(1-Settings!$E$17)),"")</f>
        <v/>
      </c>
      <c r="U277" s="149">
        <f>IFERROR(IF(R277="","",IF(R277&gt;=C277/(1-SKU_Base!AC277)/(1-Settings!$E$17),"OK",IF(R277&gt;=C277/(1-SKU_Base!AJ277)/(1-Settings!$E$17),"WARN","STOP"))),"")</f>
        <v/>
      </c>
      <c r="V277" s="161">
        <f>IFERROR(ROUND(D277*(1-CHOOSE(MATCH(IF($E277="","Основний",$E277),{"Трафіковий","Основний","Маржинальний","Сезонний","Стратегічний"},0),Settings!$F$78,Settings!$F$80,Settings!$F$82,Settings!$F$84,Settings!$F$86))/6,2)*6,"")</f>
        <v/>
      </c>
      <c r="W277" s="142">
        <f>IFERROR(CHOOSE(MATCH(IF($E277="","Основний",$E277),{"Трафіковий","Основний","Маржинальний","Сезонний","Стратегічний"},0),Settings!$F$78,Settings!$F$80,Settings!$F$82,Settings!$F$84,Settings!$F$86),"")</f>
        <v/>
      </c>
      <c r="X277" s="148">
        <f>IFERROR((V277*(1-Settings!$F$17)-C277)/(V277*(1-Settings!$F$17)),"")</f>
        <v/>
      </c>
      <c r="Y277" s="149">
        <f>IFERROR(IF(V277="","",IF(V277&gt;=C277/(1-SKU_Base!AD277)/(1-Settings!$F$17),"OK",IF(V277&gt;=C277/(1-SKU_Base!AK277)/(1-Settings!$F$17),"WARN","STOP"))),"")</f>
        <v/>
      </c>
      <c r="Z277" s="161">
        <f>IFERROR(ROUND(D277*(1-CHOOSE(MATCH(IF($E277="","Основний",$E277),{"Трафіковий","Основний","Маржинальний","Сезонний","Стратегічний"},0),Settings!$G$78,Settings!$G$80,Settings!$G$82,Settings!$G$84,Settings!$G$86))/6,2)*6,"")</f>
        <v/>
      </c>
      <c r="AA277" s="142">
        <f>IFERROR(CHOOSE(MATCH(IF($E277="","Основний",$E277),{"Трафіковий","Основний","Маржинальний","Сезонний","Стратегічний"},0),Settings!$G$78,Settings!$G$80,Settings!$G$82,Settings!$G$84,Settings!$G$86),"")</f>
        <v/>
      </c>
      <c r="AB277" s="148">
        <f>IFERROR((Z277*(1-Settings!$G$17)-C277)/(Z277*(1-Settings!$G$17)),"")</f>
        <v/>
      </c>
      <c r="AC277" s="149">
        <f>IFERROR(IF(Z277="","",IF(Z277&gt;=C277/(1-SKU_Base!AE277)/(1-Settings!$G$17),"OK",IF(Z277&gt;=C277/(1-SKU_Base!AL277)/(1-Settings!$G$17),"WARN","STOP"))),"")</f>
        <v/>
      </c>
      <c r="AD277" s="161">
        <f>IFERROR(ROUND(D277*(1-CHOOSE(MATCH(IF($E277="","Основний",$E277),{"Трафіковий","Основний","Маржинальний","Сезонний","Стратегічний"},0),Settings!$H$78,Settings!$H$80,Settings!$H$82,Settings!$H$84,Settings!$H$86))*(1-Settings!$H$68)/6,2)*6,"")</f>
        <v/>
      </c>
      <c r="AE277" s="142">
        <f>IFERROR(CHOOSE(MATCH(IF($E277="","Основний",$E277),{"Трафіковий","Основний","Маржинальний","Сезонний","Стратегічний"},0),Settings!$H$78,Settings!$H$80,Settings!$H$82,Settings!$H$84,Settings!$H$86)+(1-(CHOOSE(MATCH(IF($E277="","Основний",$E277),{"Трафіковий","Основний","Маржинальний","Сезонний","Стратегічний"},0),Settings!$H$78,Settings!$H$80,Settings!$H$82,Settings!$H$84,Settings!$H$86)))*Settings!$H$68,"")</f>
        <v/>
      </c>
      <c r="AF277" s="148">
        <f>IFERROR((AD277*(1-Settings!$H$17)-C277)/(AD277*(1-Settings!$H$17)),"")</f>
        <v/>
      </c>
      <c r="AG277" s="150">
        <f>IFERROR(IF(AD277="","",IF(AD277&gt;=C277/(1-SKU_Base!AF277)/(1-Settings!$H$17),"OK",IF(AD277&gt;=C277/(1-SKU_Base!AM277)/(1-Settings!$H$17),"WARN","STOP"))),"")</f>
        <v/>
      </c>
    </row>
    <row r="278" ht="17" customHeight="1" s="179">
      <c r="A278" s="139">
        <f>SKU_Base!B278</f>
        <v/>
      </c>
      <c r="B278" s="139">
        <f>SKU_Base!C278</f>
        <v/>
      </c>
      <c r="C278" s="140">
        <f>IFERROR(SKU_Base!I278,"")</f>
        <v/>
      </c>
      <c r="D278" s="163">
        <f>IFERROR(SKU_Base!T278,"")</f>
        <v/>
      </c>
      <c r="E278" s="141">
        <f>IFERROR(SKU_Base!$U278,"")</f>
        <v/>
      </c>
      <c r="F278" s="158">
        <f>IFERROR(ROUND(D278*(1-CHOOSE(MATCH(IF($E278="","Основний",$E278),{"Трафіковий","Основний","Маржинальний","Сезонний","Стратегічний"},0),Settings!$B$78,Settings!$B$80,Settings!$B$82,Settings!$B$84,Settings!$B$86))/6,2)*6,"")</f>
        <v/>
      </c>
      <c r="G278" s="142">
        <f>IFERROR(CHOOSE(MATCH(IF($E278="","Основний",$E278),{"Трафіковий","Основний","Маржинальний","Сезонний","Стратегічний"},0),Settings!$B$78,Settings!$B$80,Settings!$B$82,Settings!$B$84,Settings!$B$86),"")</f>
        <v/>
      </c>
      <c r="H278" s="143">
        <f>IFERROR((F278*(1-Settings!$B$17)-C278)/(F278*(1-Settings!$B$17)),"")</f>
        <v/>
      </c>
      <c r="I278" s="149">
        <f>IFERROR(IF(F278="","",IF(F278&gt;=C278/(1-SKU_Base!Z278)/(1-Settings!$B$17),"OK",IF(F278&gt;=C278/(1-SKU_Base!AG278)/(1-Settings!$B$17),"WARN","STOP"))),"")</f>
        <v/>
      </c>
      <c r="J278" s="158">
        <f>IFERROR(ROUND(D278*(1-CHOOSE(MATCH(IF($E278="","Основний",$E278),{"Трафіковий","Основний","Маржинальний","Сезонний","Стратегічний"},0),Settings!$C$78,Settings!$C$80,Settings!$C$82,Settings!$C$84,Settings!$C$86))/6,2)*6,"")</f>
        <v/>
      </c>
      <c r="K278" s="142">
        <f>IFERROR(CHOOSE(MATCH(IF($E278="","Основний",$E278),{"Трафіковий","Основний","Маржинальний","Сезонний","Стратегічний"},0),Settings!$C$78,Settings!$C$80,Settings!$C$82,Settings!$C$84,Settings!$C$86),"")</f>
        <v/>
      </c>
      <c r="L278" s="143">
        <f>IFERROR((J278*(1-Settings!$C$17)-C278)/(J278*(1-Settings!$C$17)),"")</f>
        <v/>
      </c>
      <c r="M278" s="149">
        <f>IFERROR(IF(J278="","",IF(J278&gt;=C278/(1-SKU_Base!AA278)/(1-Settings!$C$17),"OK",IF(J278&gt;=C278/(1-SKU_Base!AH278)/(1-Settings!$C$17),"WARN","STOP"))),"")</f>
        <v/>
      </c>
      <c r="N278" s="159">
        <f>IFERROR(ROUND(D278*(1-CHOOSE(MATCH(IF($E278="","Основний",$E278),{"Трафіковий","Основний","Маржинальний","Сезонний","Стратегічний"},0),Settings!$D$78,Settings!$D$80,Settings!$D$82,Settings!$D$84,Settings!$D$86))/6,2)*6,"")</f>
        <v/>
      </c>
      <c r="O278" s="142">
        <f>IFERROR(CHOOSE(MATCH(IF($E278="","Основний",$E278),{"Трафіковий","Основний","Маржинальний","Сезонний","Стратегічний"},0),Settings!$D$78,Settings!$D$80,Settings!$D$82,Settings!$D$84,Settings!$D$86),"")</f>
        <v/>
      </c>
      <c r="P278" s="143">
        <f>IFERROR((N278*(1-Settings!$D$17)-C278)/(N278*(1-Settings!$D$17)),"")</f>
        <v/>
      </c>
      <c r="Q278" s="149">
        <f>IFERROR(IF(N278="","",IF(N278&gt;=C278/(1-SKU_Base!AB278)/(1-Settings!$D$17),"OK",IF(N278&gt;=C278/(1-SKU_Base!AI278)/(1-Settings!$D$17),"WARN","STOP"))),"")</f>
        <v/>
      </c>
      <c r="R278" s="159">
        <f>IFERROR(ROUND(D278*(1-CHOOSE(MATCH(IF($E278="","Основний",$E278),{"Трафіковий","Основний","Маржинальний","Сезонний","Стратегічний"},0),Settings!$E$78,Settings!$E$80,Settings!$E$82,Settings!$E$84,Settings!$E$86))/6,2)*6,"")</f>
        <v/>
      </c>
      <c r="S278" s="142">
        <f>IFERROR(CHOOSE(MATCH(IF($E278="","Основний",$E278),{"Трафіковий","Основний","Маржинальний","Сезонний","Стратегічний"},0),Settings!$E$78,Settings!$E$80,Settings!$E$82,Settings!$E$84,Settings!$E$86),"")</f>
        <v/>
      </c>
      <c r="T278" s="143">
        <f>IFERROR((R278*(1-Settings!$E$17)-C278)/(R278*(1-Settings!$E$17)),"")</f>
        <v/>
      </c>
      <c r="U278" s="149">
        <f>IFERROR(IF(R278="","",IF(R278&gt;=C278/(1-SKU_Base!AC278)/(1-Settings!$E$17),"OK",IF(R278&gt;=C278/(1-SKU_Base!AJ278)/(1-Settings!$E$17),"WARN","STOP"))),"")</f>
        <v/>
      </c>
      <c r="V278" s="159">
        <f>IFERROR(ROUND(D278*(1-CHOOSE(MATCH(IF($E278="","Основний",$E278),{"Трафіковий","Основний","Маржинальний","Сезонний","Стратегічний"},0),Settings!$F$78,Settings!$F$80,Settings!$F$82,Settings!$F$84,Settings!$F$86))/6,2)*6,"")</f>
        <v/>
      </c>
      <c r="W278" s="142">
        <f>IFERROR(CHOOSE(MATCH(IF($E278="","Основний",$E278),{"Трафіковий","Основний","Маржинальний","Сезонний","Стратегічний"},0),Settings!$F$78,Settings!$F$80,Settings!$F$82,Settings!$F$84,Settings!$F$86),"")</f>
        <v/>
      </c>
      <c r="X278" s="143">
        <f>IFERROR((V278*(1-Settings!$F$17)-C278)/(V278*(1-Settings!$F$17)),"")</f>
        <v/>
      </c>
      <c r="Y278" s="149">
        <f>IFERROR(IF(V278="","",IF(V278&gt;=C278/(1-SKU_Base!AD278)/(1-Settings!$F$17),"OK",IF(V278&gt;=C278/(1-SKU_Base!AK278)/(1-Settings!$F$17),"WARN","STOP"))),"")</f>
        <v/>
      </c>
      <c r="Z278" s="159">
        <f>IFERROR(ROUND(D278*(1-CHOOSE(MATCH(IF($E278="","Основний",$E278),{"Трафіковий","Основний","Маржинальний","Сезонний","Стратегічний"},0),Settings!$G$78,Settings!$G$80,Settings!$G$82,Settings!$G$84,Settings!$G$86))/6,2)*6,"")</f>
        <v/>
      </c>
      <c r="AA278" s="142">
        <f>IFERROR(CHOOSE(MATCH(IF($E278="","Основний",$E278),{"Трафіковий","Основний","Маржинальний","Сезонний","Стратегічний"},0),Settings!$G$78,Settings!$G$80,Settings!$G$82,Settings!$G$84,Settings!$G$86),"")</f>
        <v/>
      </c>
      <c r="AB278" s="143">
        <f>IFERROR((Z278*(1-Settings!$G$17)-C278)/(Z278*(1-Settings!$G$17)),"")</f>
        <v/>
      </c>
      <c r="AC278" s="149">
        <f>IFERROR(IF(Z278="","",IF(Z278&gt;=C278/(1-SKU_Base!AE278)/(1-Settings!$G$17),"OK",IF(Z278&gt;=C278/(1-SKU_Base!AL278)/(1-Settings!$G$17),"WARN","STOP"))),"")</f>
        <v/>
      </c>
      <c r="AD278" s="159">
        <f>IFERROR(ROUND(D278*(1-CHOOSE(MATCH(IF($E278="","Основний",$E278),{"Трафіковий","Основний","Маржинальний","Сезонний","Стратегічний"},0),Settings!$H$78,Settings!$H$80,Settings!$H$82,Settings!$H$84,Settings!$H$86))*(1-Settings!$H$68)/6,2)*6,"")</f>
        <v/>
      </c>
      <c r="AE278" s="142">
        <f>IFERROR(CHOOSE(MATCH(IF($E278="","Основний",$E278),{"Трафіковий","Основний","Маржинальний","Сезонний","Стратегічний"},0),Settings!$H$78,Settings!$H$80,Settings!$H$82,Settings!$H$84,Settings!$H$86)+(1-(CHOOSE(MATCH(IF($E278="","Основний",$E278),{"Трафіковий","Основний","Маржинальний","Сезонний","Стратегічний"},0),Settings!$H$78,Settings!$H$80,Settings!$H$82,Settings!$H$84,Settings!$H$86)))*Settings!$H$68,"")</f>
        <v/>
      </c>
      <c r="AF278" s="143">
        <f>IFERROR((AD278*(1-Settings!$H$17)-C278)/(AD278*(1-Settings!$H$17)),"")</f>
        <v/>
      </c>
      <c r="AG278" s="150">
        <f>IFERROR(IF(AD278="","",IF(AD278&gt;=C278/(1-SKU_Base!AF278)/(1-Settings!$H$17),"OK",IF(AD278&gt;=C278/(1-SKU_Base!AM278)/(1-Settings!$H$17),"WARN","STOP"))),"")</f>
        <v/>
      </c>
    </row>
    <row r="279" ht="17" customHeight="1" s="179">
      <c r="A279" s="146">
        <f>SKU_Base!B279</f>
        <v/>
      </c>
      <c r="B279" s="146">
        <f>SKU_Base!C279</f>
        <v/>
      </c>
      <c r="C279" s="147">
        <f>IFERROR(SKU_Base!I279,"")</f>
        <v/>
      </c>
      <c r="D279" s="164">
        <f>IFERROR(SKU_Base!T279,"")</f>
        <v/>
      </c>
      <c r="E279" s="141">
        <f>IFERROR(SKU_Base!$U279,"")</f>
        <v/>
      </c>
      <c r="F279" s="160">
        <f>IFERROR(ROUND(D279*(1-CHOOSE(MATCH(IF($E279="","Основний",$E279),{"Трафіковий","Основний","Маржинальний","Сезонний","Стратегічний"},0),Settings!$B$78,Settings!$B$80,Settings!$B$82,Settings!$B$84,Settings!$B$86))/6,2)*6,"")</f>
        <v/>
      </c>
      <c r="G279" s="142">
        <f>IFERROR(CHOOSE(MATCH(IF($E279="","Основний",$E279),{"Трафіковий","Основний","Маржинальний","Сезонний","Стратегічний"},0),Settings!$B$78,Settings!$B$80,Settings!$B$82,Settings!$B$84,Settings!$B$86),"")</f>
        <v/>
      </c>
      <c r="H279" s="148">
        <f>IFERROR((F279*(1-Settings!$B$17)-C279)/(F279*(1-Settings!$B$17)),"")</f>
        <v/>
      </c>
      <c r="I279" s="150">
        <f>IFERROR(IF(F279="","",IF(F279&gt;=C279/(1-SKU_Base!Z279)/(1-Settings!$B$17),"OK",IF(F279&gt;=C279/(1-SKU_Base!AG279)/(1-Settings!$B$17),"WARN","STOP"))),"")</f>
        <v/>
      </c>
      <c r="J279" s="160">
        <f>IFERROR(ROUND(D279*(1-CHOOSE(MATCH(IF($E279="","Основний",$E279),{"Трафіковий","Основний","Маржинальний","Сезонний","Стратегічний"},0),Settings!$C$78,Settings!$C$80,Settings!$C$82,Settings!$C$84,Settings!$C$86))/6,2)*6,"")</f>
        <v/>
      </c>
      <c r="K279" s="142">
        <f>IFERROR(CHOOSE(MATCH(IF($E279="","Основний",$E279),{"Трафіковий","Основний","Маржинальний","Сезонний","Стратегічний"},0),Settings!$C$78,Settings!$C$80,Settings!$C$82,Settings!$C$84,Settings!$C$86),"")</f>
        <v/>
      </c>
      <c r="L279" s="148">
        <f>IFERROR((J279*(1-Settings!$C$17)-C279)/(J279*(1-Settings!$C$17)),"")</f>
        <v/>
      </c>
      <c r="M279" s="149">
        <f>IFERROR(IF(J279="","",IF(J279&gt;=C279/(1-SKU_Base!AA279)/(1-Settings!$C$17),"OK",IF(J279&gt;=C279/(1-SKU_Base!AH279)/(1-Settings!$C$17),"WARN","STOP"))),"")</f>
        <v/>
      </c>
      <c r="N279" s="161">
        <f>IFERROR(ROUND(D279*(1-CHOOSE(MATCH(IF($E279="","Основний",$E279),{"Трафіковий","Основний","Маржинальний","Сезонний","Стратегічний"},0),Settings!$D$78,Settings!$D$80,Settings!$D$82,Settings!$D$84,Settings!$D$86))/6,2)*6,"")</f>
        <v/>
      </c>
      <c r="O279" s="142">
        <f>IFERROR(CHOOSE(MATCH(IF($E279="","Основний",$E279),{"Трафіковий","Основний","Маржинальний","Сезонний","Стратегічний"},0),Settings!$D$78,Settings!$D$80,Settings!$D$82,Settings!$D$84,Settings!$D$86),"")</f>
        <v/>
      </c>
      <c r="P279" s="148">
        <f>IFERROR((N279*(1-Settings!$D$17)-C279)/(N279*(1-Settings!$D$17)),"")</f>
        <v/>
      </c>
      <c r="Q279" s="149">
        <f>IFERROR(IF(N279="","",IF(N279&gt;=C279/(1-SKU_Base!AB279)/(1-Settings!$D$17),"OK",IF(N279&gt;=C279/(1-SKU_Base!AI279)/(1-Settings!$D$17),"WARN","STOP"))),"")</f>
        <v/>
      </c>
      <c r="R279" s="161">
        <f>IFERROR(ROUND(D279*(1-CHOOSE(MATCH(IF($E279="","Основний",$E279),{"Трафіковий","Основний","Маржинальний","Сезонний","Стратегічний"},0),Settings!$E$78,Settings!$E$80,Settings!$E$82,Settings!$E$84,Settings!$E$86))/6,2)*6,"")</f>
        <v/>
      </c>
      <c r="S279" s="142">
        <f>IFERROR(CHOOSE(MATCH(IF($E279="","Основний",$E279),{"Трафіковий","Основний","Маржинальний","Сезонний","Стратегічний"},0),Settings!$E$78,Settings!$E$80,Settings!$E$82,Settings!$E$84,Settings!$E$86),"")</f>
        <v/>
      </c>
      <c r="T279" s="148">
        <f>IFERROR((R279*(1-Settings!$E$17)-C279)/(R279*(1-Settings!$E$17)),"")</f>
        <v/>
      </c>
      <c r="U279" s="149">
        <f>IFERROR(IF(R279="","",IF(R279&gt;=C279/(1-SKU_Base!AC279)/(1-Settings!$E$17),"OK",IF(R279&gt;=C279/(1-SKU_Base!AJ279)/(1-Settings!$E$17),"WARN","STOP"))),"")</f>
        <v/>
      </c>
      <c r="V279" s="161">
        <f>IFERROR(ROUND(D279*(1-CHOOSE(MATCH(IF($E279="","Основний",$E279),{"Трафіковий","Основний","Маржинальний","Сезонний","Стратегічний"},0),Settings!$F$78,Settings!$F$80,Settings!$F$82,Settings!$F$84,Settings!$F$86))/6,2)*6,"")</f>
        <v/>
      </c>
      <c r="W279" s="142">
        <f>IFERROR(CHOOSE(MATCH(IF($E279="","Основний",$E279),{"Трафіковий","Основний","Маржинальний","Сезонний","Стратегічний"},0),Settings!$F$78,Settings!$F$80,Settings!$F$82,Settings!$F$84,Settings!$F$86),"")</f>
        <v/>
      </c>
      <c r="X279" s="148">
        <f>IFERROR((V279*(1-Settings!$F$17)-C279)/(V279*(1-Settings!$F$17)),"")</f>
        <v/>
      </c>
      <c r="Y279" s="149">
        <f>IFERROR(IF(V279="","",IF(V279&gt;=C279/(1-SKU_Base!AD279)/(1-Settings!$F$17),"OK",IF(V279&gt;=C279/(1-SKU_Base!AK279)/(1-Settings!$F$17),"WARN","STOP"))),"")</f>
        <v/>
      </c>
      <c r="Z279" s="161">
        <f>IFERROR(ROUND(D279*(1-CHOOSE(MATCH(IF($E279="","Основний",$E279),{"Трафіковий","Основний","Маржинальний","Сезонний","Стратегічний"},0),Settings!$G$78,Settings!$G$80,Settings!$G$82,Settings!$G$84,Settings!$G$86))/6,2)*6,"")</f>
        <v/>
      </c>
      <c r="AA279" s="142">
        <f>IFERROR(CHOOSE(MATCH(IF($E279="","Основний",$E279),{"Трафіковий","Основний","Маржинальний","Сезонний","Стратегічний"},0),Settings!$G$78,Settings!$G$80,Settings!$G$82,Settings!$G$84,Settings!$G$86),"")</f>
        <v/>
      </c>
      <c r="AB279" s="148">
        <f>IFERROR((Z279*(1-Settings!$G$17)-C279)/(Z279*(1-Settings!$G$17)),"")</f>
        <v/>
      </c>
      <c r="AC279" s="149">
        <f>IFERROR(IF(Z279="","",IF(Z279&gt;=C279/(1-SKU_Base!AE279)/(1-Settings!$G$17),"OK",IF(Z279&gt;=C279/(1-SKU_Base!AL279)/(1-Settings!$G$17),"WARN","STOP"))),"")</f>
        <v/>
      </c>
      <c r="AD279" s="161">
        <f>IFERROR(ROUND(D279*(1-CHOOSE(MATCH(IF($E279="","Основний",$E279),{"Трафіковий","Основний","Маржинальний","Сезонний","Стратегічний"},0),Settings!$H$78,Settings!$H$80,Settings!$H$82,Settings!$H$84,Settings!$H$86))*(1-Settings!$H$68)/6,2)*6,"")</f>
        <v/>
      </c>
      <c r="AE279" s="142">
        <f>IFERROR(CHOOSE(MATCH(IF($E279="","Основний",$E279),{"Трафіковий","Основний","Маржинальний","Сезонний","Стратегічний"},0),Settings!$H$78,Settings!$H$80,Settings!$H$82,Settings!$H$84,Settings!$H$86)+(1-(CHOOSE(MATCH(IF($E279="","Основний",$E279),{"Трафіковий","Основний","Маржинальний","Сезонний","Стратегічний"},0),Settings!$H$78,Settings!$H$80,Settings!$H$82,Settings!$H$84,Settings!$H$86)))*Settings!$H$68,"")</f>
        <v/>
      </c>
      <c r="AF279" s="148">
        <f>IFERROR((AD279*(1-Settings!$H$17)-C279)/(AD279*(1-Settings!$H$17)),"")</f>
        <v/>
      </c>
      <c r="AG279" s="150">
        <f>IFERROR(IF(AD279="","",IF(AD279&gt;=C279/(1-SKU_Base!AF279)/(1-Settings!$H$17),"OK",IF(AD279&gt;=C279/(1-SKU_Base!AM279)/(1-Settings!$H$17),"WARN","STOP"))),"")</f>
        <v/>
      </c>
    </row>
    <row r="280" ht="17" customHeight="1" s="179">
      <c r="A280" s="139">
        <f>SKU_Base!B280</f>
        <v/>
      </c>
      <c r="B280" s="139">
        <f>SKU_Base!C280</f>
        <v/>
      </c>
      <c r="C280" s="140">
        <f>IFERROR(SKU_Base!I280,"")</f>
        <v/>
      </c>
      <c r="D280" s="163">
        <f>IFERROR(SKU_Base!T280,"")</f>
        <v/>
      </c>
      <c r="E280" s="141">
        <f>IFERROR(SKU_Base!$U280,"")</f>
        <v/>
      </c>
      <c r="F280" s="158">
        <f>IFERROR(ROUND(D280*(1-CHOOSE(MATCH(IF($E280="","Основний",$E280),{"Трафіковий","Основний","Маржинальний","Сезонний","Стратегічний"},0),Settings!$B$78,Settings!$B$80,Settings!$B$82,Settings!$B$84,Settings!$B$86))/6,2)*6,"")</f>
        <v/>
      </c>
      <c r="G280" s="142">
        <f>IFERROR(CHOOSE(MATCH(IF($E280="","Основний",$E280),{"Трафіковий","Основний","Маржинальний","Сезонний","Стратегічний"},0),Settings!$B$78,Settings!$B$80,Settings!$B$82,Settings!$B$84,Settings!$B$86),"")</f>
        <v/>
      </c>
      <c r="H280" s="143">
        <f>IFERROR((F280*(1-Settings!$B$17)-C280)/(F280*(1-Settings!$B$17)),"")</f>
        <v/>
      </c>
      <c r="I280" s="149">
        <f>IFERROR(IF(F280="","",IF(F280&gt;=C280/(1-SKU_Base!Z280)/(1-Settings!$B$17),"OK",IF(F280&gt;=C280/(1-SKU_Base!AG280)/(1-Settings!$B$17),"WARN","STOP"))),"")</f>
        <v/>
      </c>
      <c r="J280" s="158">
        <f>IFERROR(ROUND(D280*(1-CHOOSE(MATCH(IF($E280="","Основний",$E280),{"Трафіковий","Основний","Маржинальний","Сезонний","Стратегічний"},0),Settings!$C$78,Settings!$C$80,Settings!$C$82,Settings!$C$84,Settings!$C$86))/6,2)*6,"")</f>
        <v/>
      </c>
      <c r="K280" s="142">
        <f>IFERROR(CHOOSE(MATCH(IF($E280="","Основний",$E280),{"Трафіковий","Основний","Маржинальний","Сезонний","Стратегічний"},0),Settings!$C$78,Settings!$C$80,Settings!$C$82,Settings!$C$84,Settings!$C$86),"")</f>
        <v/>
      </c>
      <c r="L280" s="143">
        <f>IFERROR((J280*(1-Settings!$C$17)-C280)/(J280*(1-Settings!$C$17)),"")</f>
        <v/>
      </c>
      <c r="M280" s="149">
        <f>IFERROR(IF(J280="","",IF(J280&gt;=C280/(1-SKU_Base!AA280)/(1-Settings!$C$17),"OK",IF(J280&gt;=C280/(1-SKU_Base!AH280)/(1-Settings!$C$17),"WARN","STOP"))),"")</f>
        <v/>
      </c>
      <c r="N280" s="159">
        <f>IFERROR(ROUND(D280*(1-CHOOSE(MATCH(IF($E280="","Основний",$E280),{"Трафіковий","Основний","Маржинальний","Сезонний","Стратегічний"},0),Settings!$D$78,Settings!$D$80,Settings!$D$82,Settings!$D$84,Settings!$D$86))/6,2)*6,"")</f>
        <v/>
      </c>
      <c r="O280" s="142">
        <f>IFERROR(CHOOSE(MATCH(IF($E280="","Основний",$E280),{"Трафіковий","Основний","Маржинальний","Сезонний","Стратегічний"},0),Settings!$D$78,Settings!$D$80,Settings!$D$82,Settings!$D$84,Settings!$D$86),"")</f>
        <v/>
      </c>
      <c r="P280" s="143">
        <f>IFERROR((N280*(1-Settings!$D$17)-C280)/(N280*(1-Settings!$D$17)),"")</f>
        <v/>
      </c>
      <c r="Q280" s="149">
        <f>IFERROR(IF(N280="","",IF(N280&gt;=C280/(1-SKU_Base!AB280)/(1-Settings!$D$17),"OK",IF(N280&gt;=C280/(1-SKU_Base!AI280)/(1-Settings!$D$17),"WARN","STOP"))),"")</f>
        <v/>
      </c>
      <c r="R280" s="159">
        <f>IFERROR(ROUND(D280*(1-CHOOSE(MATCH(IF($E280="","Основний",$E280),{"Трафіковий","Основний","Маржинальний","Сезонний","Стратегічний"},0),Settings!$E$78,Settings!$E$80,Settings!$E$82,Settings!$E$84,Settings!$E$86))/6,2)*6,"")</f>
        <v/>
      </c>
      <c r="S280" s="142">
        <f>IFERROR(CHOOSE(MATCH(IF($E280="","Основний",$E280),{"Трафіковий","Основний","Маржинальний","Сезонний","Стратегічний"},0),Settings!$E$78,Settings!$E$80,Settings!$E$82,Settings!$E$84,Settings!$E$86),"")</f>
        <v/>
      </c>
      <c r="T280" s="143">
        <f>IFERROR((R280*(1-Settings!$E$17)-C280)/(R280*(1-Settings!$E$17)),"")</f>
        <v/>
      </c>
      <c r="U280" s="149">
        <f>IFERROR(IF(R280="","",IF(R280&gt;=C280/(1-SKU_Base!AC280)/(1-Settings!$E$17),"OK",IF(R280&gt;=C280/(1-SKU_Base!AJ280)/(1-Settings!$E$17),"WARN","STOP"))),"")</f>
        <v/>
      </c>
      <c r="V280" s="159">
        <f>IFERROR(ROUND(D280*(1-CHOOSE(MATCH(IF($E280="","Основний",$E280),{"Трафіковий","Основний","Маржинальний","Сезонний","Стратегічний"},0),Settings!$F$78,Settings!$F$80,Settings!$F$82,Settings!$F$84,Settings!$F$86))/6,2)*6,"")</f>
        <v/>
      </c>
      <c r="W280" s="142">
        <f>IFERROR(CHOOSE(MATCH(IF($E280="","Основний",$E280),{"Трафіковий","Основний","Маржинальний","Сезонний","Стратегічний"},0),Settings!$F$78,Settings!$F$80,Settings!$F$82,Settings!$F$84,Settings!$F$86),"")</f>
        <v/>
      </c>
      <c r="X280" s="143">
        <f>IFERROR((V280*(1-Settings!$F$17)-C280)/(V280*(1-Settings!$F$17)),"")</f>
        <v/>
      </c>
      <c r="Y280" s="149">
        <f>IFERROR(IF(V280="","",IF(V280&gt;=C280/(1-SKU_Base!AD280)/(1-Settings!$F$17),"OK",IF(V280&gt;=C280/(1-SKU_Base!AK280)/(1-Settings!$F$17),"WARN","STOP"))),"")</f>
        <v/>
      </c>
      <c r="Z280" s="159">
        <f>IFERROR(ROUND(D280*(1-CHOOSE(MATCH(IF($E280="","Основний",$E280),{"Трафіковий","Основний","Маржинальний","Сезонний","Стратегічний"},0),Settings!$G$78,Settings!$G$80,Settings!$G$82,Settings!$G$84,Settings!$G$86))/6,2)*6,"")</f>
        <v/>
      </c>
      <c r="AA280" s="142">
        <f>IFERROR(CHOOSE(MATCH(IF($E280="","Основний",$E280),{"Трафіковий","Основний","Маржинальний","Сезонний","Стратегічний"},0),Settings!$G$78,Settings!$G$80,Settings!$G$82,Settings!$G$84,Settings!$G$86),"")</f>
        <v/>
      </c>
      <c r="AB280" s="143">
        <f>IFERROR((Z280*(1-Settings!$G$17)-C280)/(Z280*(1-Settings!$G$17)),"")</f>
        <v/>
      </c>
      <c r="AC280" s="149">
        <f>IFERROR(IF(Z280="","",IF(Z280&gt;=C280/(1-SKU_Base!AE280)/(1-Settings!$G$17),"OK",IF(Z280&gt;=C280/(1-SKU_Base!AL280)/(1-Settings!$G$17),"WARN","STOP"))),"")</f>
        <v/>
      </c>
      <c r="AD280" s="159">
        <f>IFERROR(ROUND(D280*(1-CHOOSE(MATCH(IF($E280="","Основний",$E280),{"Трафіковий","Основний","Маржинальний","Сезонний","Стратегічний"},0),Settings!$H$78,Settings!$H$80,Settings!$H$82,Settings!$H$84,Settings!$H$86))*(1-Settings!$H$68)/6,2)*6,"")</f>
        <v/>
      </c>
      <c r="AE280" s="142">
        <f>IFERROR(CHOOSE(MATCH(IF($E280="","Основний",$E280),{"Трафіковий","Основний","Маржинальний","Сезонний","Стратегічний"},0),Settings!$H$78,Settings!$H$80,Settings!$H$82,Settings!$H$84,Settings!$H$86)+(1-(CHOOSE(MATCH(IF($E280="","Основний",$E280),{"Трафіковий","Основний","Маржинальний","Сезонний","Стратегічний"},0),Settings!$H$78,Settings!$H$80,Settings!$H$82,Settings!$H$84,Settings!$H$86)))*Settings!$H$68,"")</f>
        <v/>
      </c>
      <c r="AF280" s="143">
        <f>IFERROR((AD280*(1-Settings!$H$17)-C280)/(AD280*(1-Settings!$H$17)),"")</f>
        <v/>
      </c>
      <c r="AG280" s="149">
        <f>IFERROR(IF(AD280="","",IF(AD280&gt;=C280/(1-SKU_Base!AF280)/(1-Settings!$H$17),"OK",IF(AD280&gt;=C280/(1-SKU_Base!AM280)/(1-Settings!$H$17),"WARN","STOP"))),"")</f>
        <v/>
      </c>
    </row>
    <row r="281" ht="17" customHeight="1" s="179">
      <c r="A281" s="146">
        <f>SKU_Base!B281</f>
        <v/>
      </c>
      <c r="B281" s="146">
        <f>SKU_Base!C281</f>
        <v/>
      </c>
      <c r="C281" s="147">
        <f>IFERROR(SKU_Base!I281,"")</f>
        <v/>
      </c>
      <c r="D281" s="164">
        <f>IFERROR(SKU_Base!T281,"")</f>
        <v/>
      </c>
      <c r="E281" s="141">
        <f>IFERROR(SKU_Base!$U281,"")</f>
        <v/>
      </c>
      <c r="F281" s="160">
        <f>IFERROR(ROUND(D281*(1-CHOOSE(MATCH(IF($E281="","Основний",$E281),{"Трафіковий","Основний","Маржинальний","Сезонний","Стратегічний"},0),Settings!$B$78,Settings!$B$80,Settings!$B$82,Settings!$B$84,Settings!$B$86))/6,2)*6,"")</f>
        <v/>
      </c>
      <c r="G281" s="142">
        <f>IFERROR(CHOOSE(MATCH(IF($E281="","Основний",$E281),{"Трафіковий","Основний","Маржинальний","Сезонний","Стратегічний"},0),Settings!$B$78,Settings!$B$80,Settings!$B$82,Settings!$B$84,Settings!$B$86),"")</f>
        <v/>
      </c>
      <c r="H281" s="148">
        <f>IFERROR((F281*(1-Settings!$B$17)-C281)/(F281*(1-Settings!$B$17)),"")</f>
        <v/>
      </c>
      <c r="I281" s="150">
        <f>IFERROR(IF(F281="","",IF(F281&gt;=C281/(1-SKU_Base!Z281)/(1-Settings!$B$17),"OK",IF(F281&gt;=C281/(1-SKU_Base!AG281)/(1-Settings!$B$17),"WARN","STOP"))),"")</f>
        <v/>
      </c>
      <c r="J281" s="160">
        <f>IFERROR(ROUND(D281*(1-CHOOSE(MATCH(IF($E281="","Основний",$E281),{"Трафіковий","Основний","Маржинальний","Сезонний","Стратегічний"},0),Settings!$C$78,Settings!$C$80,Settings!$C$82,Settings!$C$84,Settings!$C$86))/6,2)*6,"")</f>
        <v/>
      </c>
      <c r="K281" s="142">
        <f>IFERROR(CHOOSE(MATCH(IF($E281="","Основний",$E281),{"Трафіковий","Основний","Маржинальний","Сезонний","Стратегічний"},0),Settings!$C$78,Settings!$C$80,Settings!$C$82,Settings!$C$84,Settings!$C$86),"")</f>
        <v/>
      </c>
      <c r="L281" s="148">
        <f>IFERROR((J281*(1-Settings!$C$17)-C281)/(J281*(1-Settings!$C$17)),"")</f>
        <v/>
      </c>
      <c r="M281" s="149">
        <f>IFERROR(IF(J281="","",IF(J281&gt;=C281/(1-SKU_Base!AA281)/(1-Settings!$C$17),"OK",IF(J281&gt;=C281/(1-SKU_Base!AH281)/(1-Settings!$C$17),"WARN","STOP"))),"")</f>
        <v/>
      </c>
      <c r="N281" s="161">
        <f>IFERROR(ROUND(D281*(1-CHOOSE(MATCH(IF($E281="","Основний",$E281),{"Трафіковий","Основний","Маржинальний","Сезонний","Стратегічний"},0),Settings!$D$78,Settings!$D$80,Settings!$D$82,Settings!$D$84,Settings!$D$86))/6,2)*6,"")</f>
        <v/>
      </c>
      <c r="O281" s="142">
        <f>IFERROR(CHOOSE(MATCH(IF($E281="","Основний",$E281),{"Трафіковий","Основний","Маржинальний","Сезонний","Стратегічний"},0),Settings!$D$78,Settings!$D$80,Settings!$D$82,Settings!$D$84,Settings!$D$86),"")</f>
        <v/>
      </c>
      <c r="P281" s="148">
        <f>IFERROR((N281*(1-Settings!$D$17)-C281)/(N281*(1-Settings!$D$17)),"")</f>
        <v/>
      </c>
      <c r="Q281" s="149">
        <f>IFERROR(IF(N281="","",IF(N281&gt;=C281/(1-SKU_Base!AB281)/(1-Settings!$D$17),"OK",IF(N281&gt;=C281/(1-SKU_Base!AI281)/(1-Settings!$D$17),"WARN","STOP"))),"")</f>
        <v/>
      </c>
      <c r="R281" s="161">
        <f>IFERROR(ROUND(D281*(1-CHOOSE(MATCH(IF($E281="","Основний",$E281),{"Трафіковий","Основний","Маржинальний","Сезонний","Стратегічний"},0),Settings!$E$78,Settings!$E$80,Settings!$E$82,Settings!$E$84,Settings!$E$86))/6,2)*6,"")</f>
        <v/>
      </c>
      <c r="S281" s="142">
        <f>IFERROR(CHOOSE(MATCH(IF($E281="","Основний",$E281),{"Трафіковий","Основний","Маржинальний","Сезонний","Стратегічний"},0),Settings!$E$78,Settings!$E$80,Settings!$E$82,Settings!$E$84,Settings!$E$86),"")</f>
        <v/>
      </c>
      <c r="T281" s="148">
        <f>IFERROR((R281*(1-Settings!$E$17)-C281)/(R281*(1-Settings!$E$17)),"")</f>
        <v/>
      </c>
      <c r="U281" s="149">
        <f>IFERROR(IF(R281="","",IF(R281&gt;=C281/(1-SKU_Base!AC281)/(1-Settings!$E$17),"OK",IF(R281&gt;=C281/(1-SKU_Base!AJ281)/(1-Settings!$E$17),"WARN","STOP"))),"")</f>
        <v/>
      </c>
      <c r="V281" s="161">
        <f>IFERROR(ROUND(D281*(1-CHOOSE(MATCH(IF($E281="","Основний",$E281),{"Трафіковий","Основний","Маржинальний","Сезонний","Стратегічний"},0),Settings!$F$78,Settings!$F$80,Settings!$F$82,Settings!$F$84,Settings!$F$86))/6,2)*6,"")</f>
        <v/>
      </c>
      <c r="W281" s="142">
        <f>IFERROR(CHOOSE(MATCH(IF($E281="","Основний",$E281),{"Трафіковий","Основний","Маржинальний","Сезонний","Стратегічний"},0),Settings!$F$78,Settings!$F$80,Settings!$F$82,Settings!$F$84,Settings!$F$86),"")</f>
        <v/>
      </c>
      <c r="X281" s="148">
        <f>IFERROR((V281*(1-Settings!$F$17)-C281)/(V281*(1-Settings!$F$17)),"")</f>
        <v/>
      </c>
      <c r="Y281" s="149">
        <f>IFERROR(IF(V281="","",IF(V281&gt;=C281/(1-SKU_Base!AD281)/(1-Settings!$F$17),"OK",IF(V281&gt;=C281/(1-SKU_Base!AK281)/(1-Settings!$F$17),"WARN","STOP"))),"")</f>
        <v/>
      </c>
      <c r="Z281" s="161">
        <f>IFERROR(ROUND(D281*(1-CHOOSE(MATCH(IF($E281="","Основний",$E281),{"Трафіковий","Основний","Маржинальний","Сезонний","Стратегічний"},0),Settings!$G$78,Settings!$G$80,Settings!$G$82,Settings!$G$84,Settings!$G$86))/6,2)*6,"")</f>
        <v/>
      </c>
      <c r="AA281" s="142">
        <f>IFERROR(CHOOSE(MATCH(IF($E281="","Основний",$E281),{"Трафіковий","Основний","Маржинальний","Сезонний","Стратегічний"},0),Settings!$G$78,Settings!$G$80,Settings!$G$82,Settings!$G$84,Settings!$G$86),"")</f>
        <v/>
      </c>
      <c r="AB281" s="148">
        <f>IFERROR((Z281*(1-Settings!$G$17)-C281)/(Z281*(1-Settings!$G$17)),"")</f>
        <v/>
      </c>
      <c r="AC281" s="149">
        <f>IFERROR(IF(Z281="","",IF(Z281&gt;=C281/(1-SKU_Base!AE281)/(1-Settings!$G$17),"OK",IF(Z281&gt;=C281/(1-SKU_Base!AL281)/(1-Settings!$G$17),"WARN","STOP"))),"")</f>
        <v/>
      </c>
      <c r="AD281" s="161">
        <f>IFERROR(ROUND(D281*(1-CHOOSE(MATCH(IF($E281="","Основний",$E281),{"Трафіковий","Основний","Маржинальний","Сезонний","Стратегічний"},0),Settings!$H$78,Settings!$H$80,Settings!$H$82,Settings!$H$84,Settings!$H$86))*(1-Settings!$H$68)/6,2)*6,"")</f>
        <v/>
      </c>
      <c r="AE281" s="142">
        <f>IFERROR(CHOOSE(MATCH(IF($E281="","Основний",$E281),{"Трафіковий","Основний","Маржинальний","Сезонний","Стратегічний"},0),Settings!$H$78,Settings!$H$80,Settings!$H$82,Settings!$H$84,Settings!$H$86)+(1-(CHOOSE(MATCH(IF($E281="","Основний",$E281),{"Трафіковий","Основний","Маржинальний","Сезонний","Стратегічний"},0),Settings!$H$78,Settings!$H$80,Settings!$H$82,Settings!$H$84,Settings!$H$86)))*Settings!$H$68,"")</f>
        <v/>
      </c>
      <c r="AF281" s="148">
        <f>IFERROR((AD281*(1-Settings!$H$17)-C281)/(AD281*(1-Settings!$H$17)),"")</f>
        <v/>
      </c>
      <c r="AG281" s="150">
        <f>IFERROR(IF(AD281="","",IF(AD281&gt;=C281/(1-SKU_Base!AF281)/(1-Settings!$H$17),"OK",IF(AD281&gt;=C281/(1-SKU_Base!AM281)/(1-Settings!$H$17),"WARN","STOP"))),"")</f>
        <v/>
      </c>
    </row>
    <row r="282" ht="17" customHeight="1" s="179">
      <c r="A282" s="139">
        <f>SKU_Base!B282</f>
        <v/>
      </c>
      <c r="B282" s="139">
        <f>SKU_Base!C282</f>
        <v/>
      </c>
      <c r="C282" s="140">
        <f>IFERROR(SKU_Base!I282,"")</f>
        <v/>
      </c>
      <c r="D282" s="163">
        <f>IFERROR(SKU_Base!T282,"")</f>
        <v/>
      </c>
      <c r="E282" s="141">
        <f>IFERROR(SKU_Base!$U282,"")</f>
        <v/>
      </c>
      <c r="F282" s="158">
        <f>IFERROR(ROUND(D282*(1-CHOOSE(MATCH(IF($E282="","Основний",$E282),{"Трафіковий","Основний","Маржинальний","Сезонний","Стратегічний"},0),Settings!$B$78,Settings!$B$80,Settings!$B$82,Settings!$B$84,Settings!$B$86))/6,2)*6,"")</f>
        <v/>
      </c>
      <c r="G282" s="142">
        <f>IFERROR(CHOOSE(MATCH(IF($E282="","Основний",$E282),{"Трафіковий","Основний","Маржинальний","Сезонний","Стратегічний"},0),Settings!$B$78,Settings!$B$80,Settings!$B$82,Settings!$B$84,Settings!$B$86),"")</f>
        <v/>
      </c>
      <c r="H282" s="143">
        <f>IFERROR((F282*(1-Settings!$B$17)-C282)/(F282*(1-Settings!$B$17)),"")</f>
        <v/>
      </c>
      <c r="I282" s="149">
        <f>IFERROR(IF(F282="","",IF(F282&gt;=C282/(1-SKU_Base!Z282)/(1-Settings!$B$17),"OK",IF(F282&gt;=C282/(1-SKU_Base!AG282)/(1-Settings!$B$17),"WARN","STOP"))),"")</f>
        <v/>
      </c>
      <c r="J282" s="158">
        <f>IFERROR(ROUND(D282*(1-CHOOSE(MATCH(IF($E282="","Основний",$E282),{"Трафіковий","Основний","Маржинальний","Сезонний","Стратегічний"},0),Settings!$C$78,Settings!$C$80,Settings!$C$82,Settings!$C$84,Settings!$C$86))/6,2)*6,"")</f>
        <v/>
      </c>
      <c r="K282" s="142">
        <f>IFERROR(CHOOSE(MATCH(IF($E282="","Основний",$E282),{"Трафіковий","Основний","Маржинальний","Сезонний","Стратегічний"},0),Settings!$C$78,Settings!$C$80,Settings!$C$82,Settings!$C$84,Settings!$C$86),"")</f>
        <v/>
      </c>
      <c r="L282" s="143">
        <f>IFERROR((J282*(1-Settings!$C$17)-C282)/(J282*(1-Settings!$C$17)),"")</f>
        <v/>
      </c>
      <c r="M282" s="149">
        <f>IFERROR(IF(J282="","",IF(J282&gt;=C282/(1-SKU_Base!AA282)/(1-Settings!$C$17),"OK",IF(J282&gt;=C282/(1-SKU_Base!AH282)/(1-Settings!$C$17),"WARN","STOP"))),"")</f>
        <v/>
      </c>
      <c r="N282" s="159">
        <f>IFERROR(ROUND(D282*(1-CHOOSE(MATCH(IF($E282="","Основний",$E282),{"Трафіковий","Основний","Маржинальний","Сезонний","Стратегічний"},0),Settings!$D$78,Settings!$D$80,Settings!$D$82,Settings!$D$84,Settings!$D$86))/6,2)*6,"")</f>
        <v/>
      </c>
      <c r="O282" s="142">
        <f>IFERROR(CHOOSE(MATCH(IF($E282="","Основний",$E282),{"Трафіковий","Основний","Маржинальний","Сезонний","Стратегічний"},0),Settings!$D$78,Settings!$D$80,Settings!$D$82,Settings!$D$84,Settings!$D$86),"")</f>
        <v/>
      </c>
      <c r="P282" s="143">
        <f>IFERROR((N282*(1-Settings!$D$17)-C282)/(N282*(1-Settings!$D$17)),"")</f>
        <v/>
      </c>
      <c r="Q282" s="149">
        <f>IFERROR(IF(N282="","",IF(N282&gt;=C282/(1-SKU_Base!AB282)/(1-Settings!$D$17),"OK",IF(N282&gt;=C282/(1-SKU_Base!AI282)/(1-Settings!$D$17),"WARN","STOP"))),"")</f>
        <v/>
      </c>
      <c r="R282" s="159">
        <f>IFERROR(ROUND(D282*(1-CHOOSE(MATCH(IF($E282="","Основний",$E282),{"Трафіковий","Основний","Маржинальний","Сезонний","Стратегічний"},0),Settings!$E$78,Settings!$E$80,Settings!$E$82,Settings!$E$84,Settings!$E$86))/6,2)*6,"")</f>
        <v/>
      </c>
      <c r="S282" s="142">
        <f>IFERROR(CHOOSE(MATCH(IF($E282="","Основний",$E282),{"Трафіковий","Основний","Маржинальний","Сезонний","Стратегічний"},0),Settings!$E$78,Settings!$E$80,Settings!$E$82,Settings!$E$84,Settings!$E$86),"")</f>
        <v/>
      </c>
      <c r="T282" s="143">
        <f>IFERROR((R282*(1-Settings!$E$17)-C282)/(R282*(1-Settings!$E$17)),"")</f>
        <v/>
      </c>
      <c r="U282" s="149">
        <f>IFERROR(IF(R282="","",IF(R282&gt;=C282/(1-SKU_Base!AC282)/(1-Settings!$E$17),"OK",IF(R282&gt;=C282/(1-SKU_Base!AJ282)/(1-Settings!$E$17),"WARN","STOP"))),"")</f>
        <v/>
      </c>
      <c r="V282" s="159">
        <f>IFERROR(ROUND(D282*(1-CHOOSE(MATCH(IF($E282="","Основний",$E282),{"Трафіковий","Основний","Маржинальний","Сезонний","Стратегічний"},0),Settings!$F$78,Settings!$F$80,Settings!$F$82,Settings!$F$84,Settings!$F$86))/6,2)*6,"")</f>
        <v/>
      </c>
      <c r="W282" s="142">
        <f>IFERROR(CHOOSE(MATCH(IF($E282="","Основний",$E282),{"Трафіковий","Основний","Маржинальний","Сезонний","Стратегічний"},0),Settings!$F$78,Settings!$F$80,Settings!$F$82,Settings!$F$84,Settings!$F$86),"")</f>
        <v/>
      </c>
      <c r="X282" s="143">
        <f>IFERROR((V282*(1-Settings!$F$17)-C282)/(V282*(1-Settings!$F$17)),"")</f>
        <v/>
      </c>
      <c r="Y282" s="149">
        <f>IFERROR(IF(V282="","",IF(V282&gt;=C282/(1-SKU_Base!AD282)/(1-Settings!$F$17),"OK",IF(V282&gt;=C282/(1-SKU_Base!AK282)/(1-Settings!$F$17),"WARN","STOP"))),"")</f>
        <v/>
      </c>
      <c r="Z282" s="159">
        <f>IFERROR(ROUND(D282*(1-CHOOSE(MATCH(IF($E282="","Основний",$E282),{"Трафіковий","Основний","Маржинальний","Сезонний","Стратегічний"},0),Settings!$G$78,Settings!$G$80,Settings!$G$82,Settings!$G$84,Settings!$G$86))/6,2)*6,"")</f>
        <v/>
      </c>
      <c r="AA282" s="142">
        <f>IFERROR(CHOOSE(MATCH(IF($E282="","Основний",$E282),{"Трафіковий","Основний","Маржинальний","Сезонний","Стратегічний"},0),Settings!$G$78,Settings!$G$80,Settings!$G$82,Settings!$G$84,Settings!$G$86),"")</f>
        <v/>
      </c>
      <c r="AB282" s="143">
        <f>IFERROR((Z282*(1-Settings!$G$17)-C282)/(Z282*(1-Settings!$G$17)),"")</f>
        <v/>
      </c>
      <c r="AC282" s="149">
        <f>IFERROR(IF(Z282="","",IF(Z282&gt;=C282/(1-SKU_Base!AE282)/(1-Settings!$G$17),"OK",IF(Z282&gt;=C282/(1-SKU_Base!AL282)/(1-Settings!$G$17),"WARN","STOP"))),"")</f>
        <v/>
      </c>
      <c r="AD282" s="159">
        <f>IFERROR(ROUND(D282*(1-CHOOSE(MATCH(IF($E282="","Основний",$E282),{"Трафіковий","Основний","Маржинальний","Сезонний","Стратегічний"},0),Settings!$H$78,Settings!$H$80,Settings!$H$82,Settings!$H$84,Settings!$H$86))*(1-Settings!$H$68)/6,2)*6,"")</f>
        <v/>
      </c>
      <c r="AE282" s="142">
        <f>IFERROR(CHOOSE(MATCH(IF($E282="","Основний",$E282),{"Трафіковий","Основний","Маржинальний","Сезонний","Стратегічний"},0),Settings!$H$78,Settings!$H$80,Settings!$H$82,Settings!$H$84,Settings!$H$86)+(1-(CHOOSE(MATCH(IF($E282="","Основний",$E282),{"Трафіковий","Основний","Маржинальний","Сезонний","Стратегічний"},0),Settings!$H$78,Settings!$H$80,Settings!$H$82,Settings!$H$84,Settings!$H$86)))*Settings!$H$68,"")</f>
        <v/>
      </c>
      <c r="AF282" s="143">
        <f>IFERROR((AD282*(1-Settings!$H$17)-C282)/(AD282*(1-Settings!$H$17)),"")</f>
        <v/>
      </c>
      <c r="AG282" s="149">
        <f>IFERROR(IF(AD282="","",IF(AD282&gt;=C282/(1-SKU_Base!AF282)/(1-Settings!$H$17),"OK",IF(AD282&gt;=C282/(1-SKU_Base!AM282)/(1-Settings!$H$17),"WARN","STOP"))),"")</f>
        <v/>
      </c>
    </row>
    <row r="283" ht="17" customHeight="1" s="179">
      <c r="A283" s="146">
        <f>SKU_Base!B283</f>
        <v/>
      </c>
      <c r="B283" s="146">
        <f>SKU_Base!C283</f>
        <v/>
      </c>
      <c r="C283" s="147">
        <f>IFERROR(SKU_Base!I283,"")</f>
        <v/>
      </c>
      <c r="D283" s="164">
        <f>IFERROR(SKU_Base!T283,"")</f>
        <v/>
      </c>
      <c r="E283" s="141">
        <f>IFERROR(SKU_Base!$U283,"")</f>
        <v/>
      </c>
      <c r="F283" s="160">
        <f>IFERROR(ROUND(D283*(1-CHOOSE(MATCH(IF($E283="","Основний",$E283),{"Трафіковий","Основний","Маржинальний","Сезонний","Стратегічний"},0),Settings!$B$78,Settings!$B$80,Settings!$B$82,Settings!$B$84,Settings!$B$86))/6,2)*6,"")</f>
        <v/>
      </c>
      <c r="G283" s="142">
        <f>IFERROR(CHOOSE(MATCH(IF($E283="","Основний",$E283),{"Трафіковий","Основний","Маржинальний","Сезонний","Стратегічний"},0),Settings!$B$78,Settings!$B$80,Settings!$B$82,Settings!$B$84,Settings!$B$86),"")</f>
        <v/>
      </c>
      <c r="H283" s="148">
        <f>IFERROR((F283*(1-Settings!$B$17)-C283)/(F283*(1-Settings!$B$17)),"")</f>
        <v/>
      </c>
      <c r="I283" s="149">
        <f>IFERROR(IF(F283="","",IF(F283&gt;=C283/(1-SKU_Base!Z283)/(1-Settings!$B$17),"OK",IF(F283&gt;=C283/(1-SKU_Base!AG283)/(1-Settings!$B$17),"WARN","STOP"))),"")</f>
        <v/>
      </c>
      <c r="J283" s="160">
        <f>IFERROR(ROUND(D283*(1-CHOOSE(MATCH(IF($E283="","Основний",$E283),{"Трафіковий","Основний","Маржинальний","Сезонний","Стратегічний"},0),Settings!$C$78,Settings!$C$80,Settings!$C$82,Settings!$C$84,Settings!$C$86))/6,2)*6,"")</f>
        <v/>
      </c>
      <c r="K283" s="142">
        <f>IFERROR(CHOOSE(MATCH(IF($E283="","Основний",$E283),{"Трафіковий","Основний","Маржинальний","Сезонний","Стратегічний"},0),Settings!$C$78,Settings!$C$80,Settings!$C$82,Settings!$C$84,Settings!$C$86),"")</f>
        <v/>
      </c>
      <c r="L283" s="148">
        <f>IFERROR((J283*(1-Settings!$C$17)-C283)/(J283*(1-Settings!$C$17)),"")</f>
        <v/>
      </c>
      <c r="M283" s="149">
        <f>IFERROR(IF(J283="","",IF(J283&gt;=C283/(1-SKU_Base!AA283)/(1-Settings!$C$17),"OK",IF(J283&gt;=C283/(1-SKU_Base!AH283)/(1-Settings!$C$17),"WARN","STOP"))),"")</f>
        <v/>
      </c>
      <c r="N283" s="161">
        <f>IFERROR(ROUND(D283*(1-CHOOSE(MATCH(IF($E283="","Основний",$E283),{"Трафіковий","Основний","Маржинальний","Сезонний","Стратегічний"},0),Settings!$D$78,Settings!$D$80,Settings!$D$82,Settings!$D$84,Settings!$D$86))/6,2)*6,"")</f>
        <v/>
      </c>
      <c r="O283" s="142">
        <f>IFERROR(CHOOSE(MATCH(IF($E283="","Основний",$E283),{"Трафіковий","Основний","Маржинальний","Сезонний","Стратегічний"},0),Settings!$D$78,Settings!$D$80,Settings!$D$82,Settings!$D$84,Settings!$D$86),"")</f>
        <v/>
      </c>
      <c r="P283" s="148">
        <f>IFERROR((N283*(1-Settings!$D$17)-C283)/(N283*(1-Settings!$D$17)),"")</f>
        <v/>
      </c>
      <c r="Q283" s="149">
        <f>IFERROR(IF(N283="","",IF(N283&gt;=C283/(1-SKU_Base!AB283)/(1-Settings!$D$17),"OK",IF(N283&gt;=C283/(1-SKU_Base!AI283)/(1-Settings!$D$17),"WARN","STOP"))),"")</f>
        <v/>
      </c>
      <c r="R283" s="161">
        <f>IFERROR(ROUND(D283*(1-CHOOSE(MATCH(IF($E283="","Основний",$E283),{"Трафіковий","Основний","Маржинальний","Сезонний","Стратегічний"},0),Settings!$E$78,Settings!$E$80,Settings!$E$82,Settings!$E$84,Settings!$E$86))/6,2)*6,"")</f>
        <v/>
      </c>
      <c r="S283" s="142">
        <f>IFERROR(CHOOSE(MATCH(IF($E283="","Основний",$E283),{"Трафіковий","Основний","Маржинальний","Сезонний","Стратегічний"},0),Settings!$E$78,Settings!$E$80,Settings!$E$82,Settings!$E$84,Settings!$E$86),"")</f>
        <v/>
      </c>
      <c r="T283" s="148">
        <f>IFERROR((R283*(1-Settings!$E$17)-C283)/(R283*(1-Settings!$E$17)),"")</f>
        <v/>
      </c>
      <c r="U283" s="149">
        <f>IFERROR(IF(R283="","",IF(R283&gt;=C283/(1-SKU_Base!AC283)/(1-Settings!$E$17),"OK",IF(R283&gt;=C283/(1-SKU_Base!AJ283)/(1-Settings!$E$17),"WARN","STOP"))),"")</f>
        <v/>
      </c>
      <c r="V283" s="161">
        <f>IFERROR(ROUND(D283*(1-CHOOSE(MATCH(IF($E283="","Основний",$E283),{"Трафіковий","Основний","Маржинальний","Сезонний","Стратегічний"},0),Settings!$F$78,Settings!$F$80,Settings!$F$82,Settings!$F$84,Settings!$F$86))/6,2)*6,"")</f>
        <v/>
      </c>
      <c r="W283" s="142">
        <f>IFERROR(CHOOSE(MATCH(IF($E283="","Основний",$E283),{"Трафіковий","Основний","Маржинальний","Сезонний","Стратегічний"},0),Settings!$F$78,Settings!$F$80,Settings!$F$82,Settings!$F$84,Settings!$F$86),"")</f>
        <v/>
      </c>
      <c r="X283" s="148">
        <f>IFERROR((V283*(1-Settings!$F$17)-C283)/(V283*(1-Settings!$F$17)),"")</f>
        <v/>
      </c>
      <c r="Y283" s="149">
        <f>IFERROR(IF(V283="","",IF(V283&gt;=C283/(1-SKU_Base!AD283)/(1-Settings!$F$17),"OK",IF(V283&gt;=C283/(1-SKU_Base!AK283)/(1-Settings!$F$17),"WARN","STOP"))),"")</f>
        <v/>
      </c>
      <c r="Z283" s="161">
        <f>IFERROR(ROUND(D283*(1-CHOOSE(MATCH(IF($E283="","Основний",$E283),{"Трафіковий","Основний","Маржинальний","Сезонний","Стратегічний"},0),Settings!$G$78,Settings!$G$80,Settings!$G$82,Settings!$G$84,Settings!$G$86))/6,2)*6,"")</f>
        <v/>
      </c>
      <c r="AA283" s="142">
        <f>IFERROR(CHOOSE(MATCH(IF($E283="","Основний",$E283),{"Трафіковий","Основний","Маржинальний","Сезонний","Стратегічний"},0),Settings!$G$78,Settings!$G$80,Settings!$G$82,Settings!$G$84,Settings!$G$86),"")</f>
        <v/>
      </c>
      <c r="AB283" s="148">
        <f>IFERROR((Z283*(1-Settings!$G$17)-C283)/(Z283*(1-Settings!$G$17)),"")</f>
        <v/>
      </c>
      <c r="AC283" s="149">
        <f>IFERROR(IF(Z283="","",IF(Z283&gt;=C283/(1-SKU_Base!AE283)/(1-Settings!$G$17),"OK",IF(Z283&gt;=C283/(1-SKU_Base!AL283)/(1-Settings!$G$17),"WARN","STOP"))),"")</f>
        <v/>
      </c>
      <c r="AD283" s="161">
        <f>IFERROR(ROUND(D283*(1-CHOOSE(MATCH(IF($E283="","Основний",$E283),{"Трафіковий","Основний","Маржинальний","Сезонний","Стратегічний"},0),Settings!$H$78,Settings!$H$80,Settings!$H$82,Settings!$H$84,Settings!$H$86))*(1-Settings!$H$68)/6,2)*6,"")</f>
        <v/>
      </c>
      <c r="AE283" s="142">
        <f>IFERROR(CHOOSE(MATCH(IF($E283="","Основний",$E283),{"Трафіковий","Основний","Маржинальний","Сезонний","Стратегічний"},0),Settings!$H$78,Settings!$H$80,Settings!$H$82,Settings!$H$84,Settings!$H$86)+(1-(CHOOSE(MATCH(IF($E283="","Основний",$E283),{"Трафіковий","Основний","Маржинальний","Сезонний","Стратегічний"},0),Settings!$H$78,Settings!$H$80,Settings!$H$82,Settings!$H$84,Settings!$H$86)))*Settings!$H$68,"")</f>
        <v/>
      </c>
      <c r="AF283" s="148">
        <f>IFERROR((AD283*(1-Settings!$H$17)-C283)/(AD283*(1-Settings!$H$17)),"")</f>
        <v/>
      </c>
      <c r="AG283" s="150">
        <f>IFERROR(IF(AD283="","",IF(AD283&gt;=C283/(1-SKU_Base!AF283)/(1-Settings!$H$17),"OK",IF(AD283&gt;=C283/(1-SKU_Base!AM283)/(1-Settings!$H$17),"WARN","STOP"))),"")</f>
        <v/>
      </c>
    </row>
    <row r="284" ht="17" customHeight="1" s="179">
      <c r="A284" s="139">
        <f>SKU_Base!B284</f>
        <v/>
      </c>
      <c r="B284" s="139">
        <f>SKU_Base!C284</f>
        <v/>
      </c>
      <c r="C284" s="140">
        <f>IFERROR(SKU_Base!I284,"")</f>
        <v/>
      </c>
      <c r="D284" s="163">
        <f>IFERROR(SKU_Base!T284,"")</f>
        <v/>
      </c>
      <c r="E284" s="141">
        <f>IFERROR(SKU_Base!$U284,"")</f>
        <v/>
      </c>
      <c r="F284" s="158">
        <f>IFERROR(ROUND(D284*(1-CHOOSE(MATCH(IF($E284="","Основний",$E284),{"Трафіковий","Основний","Маржинальний","Сезонний","Стратегічний"},0),Settings!$B$78,Settings!$B$80,Settings!$B$82,Settings!$B$84,Settings!$B$86))/6,2)*6,"")</f>
        <v/>
      </c>
      <c r="G284" s="142">
        <f>IFERROR(CHOOSE(MATCH(IF($E284="","Основний",$E284),{"Трафіковий","Основний","Маржинальний","Сезонний","Стратегічний"},0),Settings!$B$78,Settings!$B$80,Settings!$B$82,Settings!$B$84,Settings!$B$86),"")</f>
        <v/>
      </c>
      <c r="H284" s="143">
        <f>IFERROR((F284*(1-Settings!$B$17)-C284)/(F284*(1-Settings!$B$17)),"")</f>
        <v/>
      </c>
      <c r="I284" s="149">
        <f>IFERROR(IF(F284="","",IF(F284&gt;=C284/(1-SKU_Base!Z284)/(1-Settings!$B$17),"OK",IF(F284&gt;=C284/(1-SKU_Base!AG284)/(1-Settings!$B$17),"WARN","STOP"))),"")</f>
        <v/>
      </c>
      <c r="J284" s="158">
        <f>IFERROR(ROUND(D284*(1-CHOOSE(MATCH(IF($E284="","Основний",$E284),{"Трафіковий","Основний","Маржинальний","Сезонний","Стратегічний"},0),Settings!$C$78,Settings!$C$80,Settings!$C$82,Settings!$C$84,Settings!$C$86))/6,2)*6,"")</f>
        <v/>
      </c>
      <c r="K284" s="142">
        <f>IFERROR(CHOOSE(MATCH(IF($E284="","Основний",$E284),{"Трафіковий","Основний","Маржинальний","Сезонний","Стратегічний"},0),Settings!$C$78,Settings!$C$80,Settings!$C$82,Settings!$C$84,Settings!$C$86),"")</f>
        <v/>
      </c>
      <c r="L284" s="143">
        <f>IFERROR((J284*(1-Settings!$C$17)-C284)/(J284*(1-Settings!$C$17)),"")</f>
        <v/>
      </c>
      <c r="M284" s="149">
        <f>IFERROR(IF(J284="","",IF(J284&gt;=C284/(1-SKU_Base!AA284)/(1-Settings!$C$17),"OK",IF(J284&gt;=C284/(1-SKU_Base!AH284)/(1-Settings!$C$17),"WARN","STOP"))),"")</f>
        <v/>
      </c>
      <c r="N284" s="159">
        <f>IFERROR(ROUND(D284*(1-CHOOSE(MATCH(IF($E284="","Основний",$E284),{"Трафіковий","Основний","Маржинальний","Сезонний","Стратегічний"},0),Settings!$D$78,Settings!$D$80,Settings!$D$82,Settings!$D$84,Settings!$D$86))/6,2)*6,"")</f>
        <v/>
      </c>
      <c r="O284" s="142">
        <f>IFERROR(CHOOSE(MATCH(IF($E284="","Основний",$E284),{"Трафіковий","Основний","Маржинальний","Сезонний","Стратегічний"},0),Settings!$D$78,Settings!$D$80,Settings!$D$82,Settings!$D$84,Settings!$D$86),"")</f>
        <v/>
      </c>
      <c r="P284" s="143">
        <f>IFERROR((N284*(1-Settings!$D$17)-C284)/(N284*(1-Settings!$D$17)),"")</f>
        <v/>
      </c>
      <c r="Q284" s="149">
        <f>IFERROR(IF(N284="","",IF(N284&gt;=C284/(1-SKU_Base!AB284)/(1-Settings!$D$17),"OK",IF(N284&gt;=C284/(1-SKU_Base!AI284)/(1-Settings!$D$17),"WARN","STOP"))),"")</f>
        <v/>
      </c>
      <c r="R284" s="159">
        <f>IFERROR(ROUND(D284*(1-CHOOSE(MATCH(IF($E284="","Основний",$E284),{"Трафіковий","Основний","Маржинальний","Сезонний","Стратегічний"},0),Settings!$E$78,Settings!$E$80,Settings!$E$82,Settings!$E$84,Settings!$E$86))/6,2)*6,"")</f>
        <v/>
      </c>
      <c r="S284" s="142">
        <f>IFERROR(CHOOSE(MATCH(IF($E284="","Основний",$E284),{"Трафіковий","Основний","Маржинальний","Сезонний","Стратегічний"},0),Settings!$E$78,Settings!$E$80,Settings!$E$82,Settings!$E$84,Settings!$E$86),"")</f>
        <v/>
      </c>
      <c r="T284" s="143">
        <f>IFERROR((R284*(1-Settings!$E$17)-C284)/(R284*(1-Settings!$E$17)),"")</f>
        <v/>
      </c>
      <c r="U284" s="149">
        <f>IFERROR(IF(R284="","",IF(R284&gt;=C284/(1-SKU_Base!AC284)/(1-Settings!$E$17),"OK",IF(R284&gt;=C284/(1-SKU_Base!AJ284)/(1-Settings!$E$17),"WARN","STOP"))),"")</f>
        <v/>
      </c>
      <c r="V284" s="159">
        <f>IFERROR(ROUND(D284*(1-CHOOSE(MATCH(IF($E284="","Основний",$E284),{"Трафіковий","Основний","Маржинальний","Сезонний","Стратегічний"},0),Settings!$F$78,Settings!$F$80,Settings!$F$82,Settings!$F$84,Settings!$F$86))/6,2)*6,"")</f>
        <v/>
      </c>
      <c r="W284" s="142">
        <f>IFERROR(CHOOSE(MATCH(IF($E284="","Основний",$E284),{"Трафіковий","Основний","Маржинальний","Сезонний","Стратегічний"},0),Settings!$F$78,Settings!$F$80,Settings!$F$82,Settings!$F$84,Settings!$F$86),"")</f>
        <v/>
      </c>
      <c r="X284" s="143">
        <f>IFERROR((V284*(1-Settings!$F$17)-C284)/(V284*(1-Settings!$F$17)),"")</f>
        <v/>
      </c>
      <c r="Y284" s="149">
        <f>IFERROR(IF(V284="","",IF(V284&gt;=C284/(1-SKU_Base!AD284)/(1-Settings!$F$17),"OK",IF(V284&gt;=C284/(1-SKU_Base!AK284)/(1-Settings!$F$17),"WARN","STOP"))),"")</f>
        <v/>
      </c>
      <c r="Z284" s="159">
        <f>IFERROR(ROUND(D284*(1-CHOOSE(MATCH(IF($E284="","Основний",$E284),{"Трафіковий","Основний","Маржинальний","Сезонний","Стратегічний"},0),Settings!$G$78,Settings!$G$80,Settings!$G$82,Settings!$G$84,Settings!$G$86))/6,2)*6,"")</f>
        <v/>
      </c>
      <c r="AA284" s="142">
        <f>IFERROR(CHOOSE(MATCH(IF($E284="","Основний",$E284),{"Трафіковий","Основний","Маржинальний","Сезонний","Стратегічний"},0),Settings!$G$78,Settings!$G$80,Settings!$G$82,Settings!$G$84,Settings!$G$86),"")</f>
        <v/>
      </c>
      <c r="AB284" s="143">
        <f>IFERROR((Z284*(1-Settings!$G$17)-C284)/(Z284*(1-Settings!$G$17)),"")</f>
        <v/>
      </c>
      <c r="AC284" s="149">
        <f>IFERROR(IF(Z284="","",IF(Z284&gt;=C284/(1-SKU_Base!AE284)/(1-Settings!$G$17),"OK",IF(Z284&gt;=C284/(1-SKU_Base!AL284)/(1-Settings!$G$17),"WARN","STOP"))),"")</f>
        <v/>
      </c>
      <c r="AD284" s="159">
        <f>IFERROR(ROUND(D284*(1-CHOOSE(MATCH(IF($E284="","Основний",$E284),{"Трафіковий","Основний","Маржинальний","Сезонний","Стратегічний"},0),Settings!$H$78,Settings!$H$80,Settings!$H$82,Settings!$H$84,Settings!$H$86))*(1-Settings!$H$68)/6,2)*6,"")</f>
        <v/>
      </c>
      <c r="AE284" s="142">
        <f>IFERROR(CHOOSE(MATCH(IF($E284="","Основний",$E284),{"Трафіковий","Основний","Маржинальний","Сезонний","Стратегічний"},0),Settings!$H$78,Settings!$H$80,Settings!$H$82,Settings!$H$84,Settings!$H$86)+(1-(CHOOSE(MATCH(IF($E284="","Основний",$E284),{"Трафіковий","Основний","Маржинальний","Сезонний","Стратегічний"},0),Settings!$H$78,Settings!$H$80,Settings!$H$82,Settings!$H$84,Settings!$H$86)))*Settings!$H$68,"")</f>
        <v/>
      </c>
      <c r="AF284" s="143">
        <f>IFERROR((AD284*(1-Settings!$H$17)-C284)/(AD284*(1-Settings!$H$17)),"")</f>
        <v/>
      </c>
      <c r="AG284" s="150">
        <f>IFERROR(IF(AD284="","",IF(AD284&gt;=C284/(1-SKU_Base!AF284)/(1-Settings!$H$17),"OK",IF(AD284&gt;=C284/(1-SKU_Base!AM284)/(1-Settings!$H$17),"WARN","STOP"))),"")</f>
        <v/>
      </c>
    </row>
    <row r="285" ht="17" customHeight="1" s="179">
      <c r="A285" s="146">
        <f>SKU_Base!B285</f>
        <v/>
      </c>
      <c r="B285" s="146">
        <f>SKU_Base!C285</f>
        <v/>
      </c>
      <c r="C285" s="147">
        <f>IFERROR(SKU_Base!I285,"")</f>
        <v/>
      </c>
      <c r="D285" s="164">
        <f>IFERROR(SKU_Base!T285,"")</f>
        <v/>
      </c>
      <c r="E285" s="141">
        <f>IFERROR(SKU_Base!$U285,"")</f>
        <v/>
      </c>
      <c r="F285" s="160">
        <f>IFERROR(ROUND(D285*(1-CHOOSE(MATCH(IF($E285="","Основний",$E285),{"Трафіковий","Основний","Маржинальний","Сезонний","Стратегічний"},0),Settings!$B$78,Settings!$B$80,Settings!$B$82,Settings!$B$84,Settings!$B$86))/6,2)*6,"")</f>
        <v/>
      </c>
      <c r="G285" s="142">
        <f>IFERROR(CHOOSE(MATCH(IF($E285="","Основний",$E285),{"Трафіковий","Основний","Маржинальний","Сезонний","Стратегічний"},0),Settings!$B$78,Settings!$B$80,Settings!$B$82,Settings!$B$84,Settings!$B$86),"")</f>
        <v/>
      </c>
      <c r="H285" s="148">
        <f>IFERROR((F285*(1-Settings!$B$17)-C285)/(F285*(1-Settings!$B$17)),"")</f>
        <v/>
      </c>
      <c r="I285" s="149">
        <f>IFERROR(IF(F285="","",IF(F285&gt;=C285/(1-SKU_Base!Z285)/(1-Settings!$B$17),"OK",IF(F285&gt;=C285/(1-SKU_Base!AG285)/(1-Settings!$B$17),"WARN","STOP"))),"")</f>
        <v/>
      </c>
      <c r="J285" s="160">
        <f>IFERROR(ROUND(D285*(1-CHOOSE(MATCH(IF($E285="","Основний",$E285),{"Трафіковий","Основний","Маржинальний","Сезонний","Стратегічний"},0),Settings!$C$78,Settings!$C$80,Settings!$C$82,Settings!$C$84,Settings!$C$86))/6,2)*6,"")</f>
        <v/>
      </c>
      <c r="K285" s="142">
        <f>IFERROR(CHOOSE(MATCH(IF($E285="","Основний",$E285),{"Трафіковий","Основний","Маржинальний","Сезонний","Стратегічний"},0),Settings!$C$78,Settings!$C$80,Settings!$C$82,Settings!$C$84,Settings!$C$86),"")</f>
        <v/>
      </c>
      <c r="L285" s="148">
        <f>IFERROR((J285*(1-Settings!$C$17)-C285)/(J285*(1-Settings!$C$17)),"")</f>
        <v/>
      </c>
      <c r="M285" s="149">
        <f>IFERROR(IF(J285="","",IF(J285&gt;=C285/(1-SKU_Base!AA285)/(1-Settings!$C$17),"OK",IF(J285&gt;=C285/(1-SKU_Base!AH285)/(1-Settings!$C$17),"WARN","STOP"))),"")</f>
        <v/>
      </c>
      <c r="N285" s="161">
        <f>IFERROR(ROUND(D285*(1-CHOOSE(MATCH(IF($E285="","Основний",$E285),{"Трафіковий","Основний","Маржинальний","Сезонний","Стратегічний"},0),Settings!$D$78,Settings!$D$80,Settings!$D$82,Settings!$D$84,Settings!$D$86))/6,2)*6,"")</f>
        <v/>
      </c>
      <c r="O285" s="142">
        <f>IFERROR(CHOOSE(MATCH(IF($E285="","Основний",$E285),{"Трафіковий","Основний","Маржинальний","Сезонний","Стратегічний"},0),Settings!$D$78,Settings!$D$80,Settings!$D$82,Settings!$D$84,Settings!$D$86),"")</f>
        <v/>
      </c>
      <c r="P285" s="148">
        <f>IFERROR((N285*(1-Settings!$D$17)-C285)/(N285*(1-Settings!$D$17)),"")</f>
        <v/>
      </c>
      <c r="Q285" s="149">
        <f>IFERROR(IF(N285="","",IF(N285&gt;=C285/(1-SKU_Base!AB285)/(1-Settings!$D$17),"OK",IF(N285&gt;=C285/(1-SKU_Base!AI285)/(1-Settings!$D$17),"WARN","STOP"))),"")</f>
        <v/>
      </c>
      <c r="R285" s="161">
        <f>IFERROR(ROUND(D285*(1-CHOOSE(MATCH(IF($E285="","Основний",$E285),{"Трафіковий","Основний","Маржинальний","Сезонний","Стратегічний"},0),Settings!$E$78,Settings!$E$80,Settings!$E$82,Settings!$E$84,Settings!$E$86))/6,2)*6,"")</f>
        <v/>
      </c>
      <c r="S285" s="142">
        <f>IFERROR(CHOOSE(MATCH(IF($E285="","Основний",$E285),{"Трафіковий","Основний","Маржинальний","Сезонний","Стратегічний"},0),Settings!$E$78,Settings!$E$80,Settings!$E$82,Settings!$E$84,Settings!$E$86),"")</f>
        <v/>
      </c>
      <c r="T285" s="148">
        <f>IFERROR((R285*(1-Settings!$E$17)-C285)/(R285*(1-Settings!$E$17)),"")</f>
        <v/>
      </c>
      <c r="U285" s="149">
        <f>IFERROR(IF(R285="","",IF(R285&gt;=C285/(1-SKU_Base!AC285)/(1-Settings!$E$17),"OK",IF(R285&gt;=C285/(1-SKU_Base!AJ285)/(1-Settings!$E$17),"WARN","STOP"))),"")</f>
        <v/>
      </c>
      <c r="V285" s="161">
        <f>IFERROR(ROUND(D285*(1-CHOOSE(MATCH(IF($E285="","Основний",$E285),{"Трафіковий","Основний","Маржинальний","Сезонний","Стратегічний"},0),Settings!$F$78,Settings!$F$80,Settings!$F$82,Settings!$F$84,Settings!$F$86))/6,2)*6,"")</f>
        <v/>
      </c>
      <c r="W285" s="142">
        <f>IFERROR(CHOOSE(MATCH(IF($E285="","Основний",$E285),{"Трафіковий","Основний","Маржинальний","Сезонний","Стратегічний"},0),Settings!$F$78,Settings!$F$80,Settings!$F$82,Settings!$F$84,Settings!$F$86),"")</f>
        <v/>
      </c>
      <c r="X285" s="148">
        <f>IFERROR((V285*(1-Settings!$F$17)-C285)/(V285*(1-Settings!$F$17)),"")</f>
        <v/>
      </c>
      <c r="Y285" s="149">
        <f>IFERROR(IF(V285="","",IF(V285&gt;=C285/(1-SKU_Base!AD285)/(1-Settings!$F$17),"OK",IF(V285&gt;=C285/(1-SKU_Base!AK285)/(1-Settings!$F$17),"WARN","STOP"))),"")</f>
        <v/>
      </c>
      <c r="Z285" s="161">
        <f>IFERROR(ROUND(D285*(1-CHOOSE(MATCH(IF($E285="","Основний",$E285),{"Трафіковий","Основний","Маржинальний","Сезонний","Стратегічний"},0),Settings!$G$78,Settings!$G$80,Settings!$G$82,Settings!$G$84,Settings!$G$86))/6,2)*6,"")</f>
        <v/>
      </c>
      <c r="AA285" s="142">
        <f>IFERROR(CHOOSE(MATCH(IF($E285="","Основний",$E285),{"Трафіковий","Основний","Маржинальний","Сезонний","Стратегічний"},0),Settings!$G$78,Settings!$G$80,Settings!$G$82,Settings!$G$84,Settings!$G$86),"")</f>
        <v/>
      </c>
      <c r="AB285" s="148">
        <f>IFERROR((Z285*(1-Settings!$G$17)-C285)/(Z285*(1-Settings!$G$17)),"")</f>
        <v/>
      </c>
      <c r="AC285" s="149">
        <f>IFERROR(IF(Z285="","",IF(Z285&gt;=C285/(1-SKU_Base!AE285)/(1-Settings!$G$17),"OK",IF(Z285&gt;=C285/(1-SKU_Base!AL285)/(1-Settings!$G$17),"WARN","STOP"))),"")</f>
        <v/>
      </c>
      <c r="AD285" s="161">
        <f>IFERROR(ROUND(D285*(1-CHOOSE(MATCH(IF($E285="","Основний",$E285),{"Трафіковий","Основний","Маржинальний","Сезонний","Стратегічний"},0),Settings!$H$78,Settings!$H$80,Settings!$H$82,Settings!$H$84,Settings!$H$86))*(1-Settings!$H$68)/6,2)*6,"")</f>
        <v/>
      </c>
      <c r="AE285" s="142">
        <f>IFERROR(CHOOSE(MATCH(IF($E285="","Основний",$E285),{"Трафіковий","Основний","Маржинальний","Сезонний","Стратегічний"},0),Settings!$H$78,Settings!$H$80,Settings!$H$82,Settings!$H$84,Settings!$H$86)+(1-(CHOOSE(MATCH(IF($E285="","Основний",$E285),{"Трафіковий","Основний","Маржинальний","Сезонний","Стратегічний"},0),Settings!$H$78,Settings!$H$80,Settings!$H$82,Settings!$H$84,Settings!$H$86)))*Settings!$H$68,"")</f>
        <v/>
      </c>
      <c r="AF285" s="148">
        <f>IFERROR((AD285*(1-Settings!$H$17)-C285)/(AD285*(1-Settings!$H$17)),"")</f>
        <v/>
      </c>
      <c r="AG285" s="149">
        <f>IFERROR(IF(AD285="","",IF(AD285&gt;=C285/(1-SKU_Base!AF285)/(1-Settings!$H$17),"OK",IF(AD285&gt;=C285/(1-SKU_Base!AM285)/(1-Settings!$H$17),"WARN","STOP"))),"")</f>
        <v/>
      </c>
    </row>
    <row r="286" ht="17" customHeight="1" s="179">
      <c r="A286" s="139">
        <f>SKU_Base!B286</f>
        <v/>
      </c>
      <c r="B286" s="139">
        <f>SKU_Base!C286</f>
        <v/>
      </c>
      <c r="C286" s="140">
        <f>IFERROR(SKU_Base!I286,"")</f>
        <v/>
      </c>
      <c r="D286" s="163">
        <f>IFERROR(SKU_Base!T286,"")</f>
        <v/>
      </c>
      <c r="E286" s="141">
        <f>IFERROR(SKU_Base!$U286,"")</f>
        <v/>
      </c>
      <c r="F286" s="158">
        <f>IFERROR(ROUND(D286*(1-CHOOSE(MATCH(IF($E286="","Основний",$E286),{"Трафіковий","Основний","Маржинальний","Сезонний","Стратегічний"},0),Settings!$B$78,Settings!$B$80,Settings!$B$82,Settings!$B$84,Settings!$B$86))/6,2)*6,"")</f>
        <v/>
      </c>
      <c r="G286" s="142">
        <f>IFERROR(CHOOSE(MATCH(IF($E286="","Основний",$E286),{"Трафіковий","Основний","Маржинальний","Сезонний","Стратегічний"},0),Settings!$B$78,Settings!$B$80,Settings!$B$82,Settings!$B$84,Settings!$B$86),"")</f>
        <v/>
      </c>
      <c r="H286" s="143">
        <f>IFERROR((F286*(1-Settings!$B$17)-C286)/(F286*(1-Settings!$B$17)),"")</f>
        <v/>
      </c>
      <c r="I286" s="149">
        <f>IFERROR(IF(F286="","",IF(F286&gt;=C286/(1-SKU_Base!Z286)/(1-Settings!$B$17),"OK",IF(F286&gt;=C286/(1-SKU_Base!AG286)/(1-Settings!$B$17),"WARN","STOP"))),"")</f>
        <v/>
      </c>
      <c r="J286" s="158">
        <f>IFERROR(ROUND(D286*(1-CHOOSE(MATCH(IF($E286="","Основний",$E286),{"Трафіковий","Основний","Маржинальний","Сезонний","Стратегічний"},0),Settings!$C$78,Settings!$C$80,Settings!$C$82,Settings!$C$84,Settings!$C$86))/6,2)*6,"")</f>
        <v/>
      </c>
      <c r="K286" s="142">
        <f>IFERROR(CHOOSE(MATCH(IF($E286="","Основний",$E286),{"Трафіковий","Основний","Маржинальний","Сезонний","Стратегічний"},0),Settings!$C$78,Settings!$C$80,Settings!$C$82,Settings!$C$84,Settings!$C$86),"")</f>
        <v/>
      </c>
      <c r="L286" s="143">
        <f>IFERROR((J286*(1-Settings!$C$17)-C286)/(J286*(1-Settings!$C$17)),"")</f>
        <v/>
      </c>
      <c r="M286" s="149">
        <f>IFERROR(IF(J286="","",IF(J286&gt;=C286/(1-SKU_Base!AA286)/(1-Settings!$C$17),"OK",IF(J286&gt;=C286/(1-SKU_Base!AH286)/(1-Settings!$C$17),"WARN","STOP"))),"")</f>
        <v/>
      </c>
      <c r="N286" s="159">
        <f>IFERROR(ROUND(D286*(1-CHOOSE(MATCH(IF($E286="","Основний",$E286),{"Трафіковий","Основний","Маржинальний","Сезонний","Стратегічний"},0),Settings!$D$78,Settings!$D$80,Settings!$D$82,Settings!$D$84,Settings!$D$86))/6,2)*6,"")</f>
        <v/>
      </c>
      <c r="O286" s="142">
        <f>IFERROR(CHOOSE(MATCH(IF($E286="","Основний",$E286),{"Трафіковий","Основний","Маржинальний","Сезонний","Стратегічний"},0),Settings!$D$78,Settings!$D$80,Settings!$D$82,Settings!$D$84,Settings!$D$86),"")</f>
        <v/>
      </c>
      <c r="P286" s="143">
        <f>IFERROR((N286*(1-Settings!$D$17)-C286)/(N286*(1-Settings!$D$17)),"")</f>
        <v/>
      </c>
      <c r="Q286" s="149">
        <f>IFERROR(IF(N286="","",IF(N286&gt;=C286/(1-SKU_Base!AB286)/(1-Settings!$D$17),"OK",IF(N286&gt;=C286/(1-SKU_Base!AI286)/(1-Settings!$D$17),"WARN","STOP"))),"")</f>
        <v/>
      </c>
      <c r="R286" s="159">
        <f>IFERROR(ROUND(D286*(1-CHOOSE(MATCH(IF($E286="","Основний",$E286),{"Трафіковий","Основний","Маржинальний","Сезонний","Стратегічний"},0),Settings!$E$78,Settings!$E$80,Settings!$E$82,Settings!$E$84,Settings!$E$86))/6,2)*6,"")</f>
        <v/>
      </c>
      <c r="S286" s="142">
        <f>IFERROR(CHOOSE(MATCH(IF($E286="","Основний",$E286),{"Трафіковий","Основний","Маржинальний","Сезонний","Стратегічний"},0),Settings!$E$78,Settings!$E$80,Settings!$E$82,Settings!$E$84,Settings!$E$86),"")</f>
        <v/>
      </c>
      <c r="T286" s="143">
        <f>IFERROR((R286*(1-Settings!$E$17)-C286)/(R286*(1-Settings!$E$17)),"")</f>
        <v/>
      </c>
      <c r="U286" s="149">
        <f>IFERROR(IF(R286="","",IF(R286&gt;=C286/(1-SKU_Base!AC286)/(1-Settings!$E$17),"OK",IF(R286&gt;=C286/(1-SKU_Base!AJ286)/(1-Settings!$E$17),"WARN","STOP"))),"")</f>
        <v/>
      </c>
      <c r="V286" s="159">
        <f>IFERROR(ROUND(D286*(1-CHOOSE(MATCH(IF($E286="","Основний",$E286),{"Трафіковий","Основний","Маржинальний","Сезонний","Стратегічний"},0),Settings!$F$78,Settings!$F$80,Settings!$F$82,Settings!$F$84,Settings!$F$86))/6,2)*6,"")</f>
        <v/>
      </c>
      <c r="W286" s="142">
        <f>IFERROR(CHOOSE(MATCH(IF($E286="","Основний",$E286),{"Трафіковий","Основний","Маржинальний","Сезонний","Стратегічний"},0),Settings!$F$78,Settings!$F$80,Settings!$F$82,Settings!$F$84,Settings!$F$86),"")</f>
        <v/>
      </c>
      <c r="X286" s="143">
        <f>IFERROR((V286*(1-Settings!$F$17)-C286)/(V286*(1-Settings!$F$17)),"")</f>
        <v/>
      </c>
      <c r="Y286" s="149">
        <f>IFERROR(IF(V286="","",IF(V286&gt;=C286/(1-SKU_Base!AD286)/(1-Settings!$F$17),"OK",IF(V286&gt;=C286/(1-SKU_Base!AK286)/(1-Settings!$F$17),"WARN","STOP"))),"")</f>
        <v/>
      </c>
      <c r="Z286" s="159">
        <f>IFERROR(ROUND(D286*(1-CHOOSE(MATCH(IF($E286="","Основний",$E286),{"Трафіковий","Основний","Маржинальний","Сезонний","Стратегічний"},0),Settings!$G$78,Settings!$G$80,Settings!$G$82,Settings!$G$84,Settings!$G$86))/6,2)*6,"")</f>
        <v/>
      </c>
      <c r="AA286" s="142">
        <f>IFERROR(CHOOSE(MATCH(IF($E286="","Основний",$E286),{"Трафіковий","Основний","Маржинальний","Сезонний","Стратегічний"},0),Settings!$G$78,Settings!$G$80,Settings!$G$82,Settings!$G$84,Settings!$G$86),"")</f>
        <v/>
      </c>
      <c r="AB286" s="143">
        <f>IFERROR((Z286*(1-Settings!$G$17)-C286)/(Z286*(1-Settings!$G$17)),"")</f>
        <v/>
      </c>
      <c r="AC286" s="149">
        <f>IFERROR(IF(Z286="","",IF(Z286&gt;=C286/(1-SKU_Base!AE286)/(1-Settings!$G$17),"OK",IF(Z286&gt;=C286/(1-SKU_Base!AL286)/(1-Settings!$G$17),"WARN","STOP"))),"")</f>
        <v/>
      </c>
      <c r="AD286" s="159">
        <f>IFERROR(ROUND(D286*(1-CHOOSE(MATCH(IF($E286="","Основний",$E286),{"Трафіковий","Основний","Маржинальний","Сезонний","Стратегічний"},0),Settings!$H$78,Settings!$H$80,Settings!$H$82,Settings!$H$84,Settings!$H$86))*(1-Settings!$H$68)/6,2)*6,"")</f>
        <v/>
      </c>
      <c r="AE286" s="142">
        <f>IFERROR(CHOOSE(MATCH(IF($E286="","Основний",$E286),{"Трафіковий","Основний","Маржинальний","Сезонний","Стратегічний"},0),Settings!$H$78,Settings!$H$80,Settings!$H$82,Settings!$H$84,Settings!$H$86)+(1-(CHOOSE(MATCH(IF($E286="","Основний",$E286),{"Трафіковий","Основний","Маржинальний","Сезонний","Стратегічний"},0),Settings!$H$78,Settings!$H$80,Settings!$H$82,Settings!$H$84,Settings!$H$86)))*Settings!$H$68,"")</f>
        <v/>
      </c>
      <c r="AF286" s="143">
        <f>IFERROR((AD286*(1-Settings!$H$17)-C286)/(AD286*(1-Settings!$H$17)),"")</f>
        <v/>
      </c>
      <c r="AG286" s="150">
        <f>IFERROR(IF(AD286="","",IF(AD286&gt;=C286/(1-SKU_Base!AF286)/(1-Settings!$H$17),"OK",IF(AD286&gt;=C286/(1-SKU_Base!AM286)/(1-Settings!$H$17),"WARN","STOP"))),"")</f>
        <v/>
      </c>
    </row>
    <row r="287" ht="17" customHeight="1" s="179">
      <c r="A287" s="146">
        <f>SKU_Base!B287</f>
        <v/>
      </c>
      <c r="B287" s="146">
        <f>SKU_Base!C287</f>
        <v/>
      </c>
      <c r="C287" s="147">
        <f>IFERROR(SKU_Base!I287,"")</f>
        <v/>
      </c>
      <c r="D287" s="164">
        <f>IFERROR(SKU_Base!T287,"")</f>
        <v/>
      </c>
      <c r="E287" s="141">
        <f>IFERROR(SKU_Base!$U287,"")</f>
        <v/>
      </c>
      <c r="F287" s="160">
        <f>IFERROR(ROUND(D287*(1-CHOOSE(MATCH(IF($E287="","Основний",$E287),{"Трафіковий","Основний","Маржинальний","Сезонний","Стратегічний"},0),Settings!$B$78,Settings!$B$80,Settings!$B$82,Settings!$B$84,Settings!$B$86))/6,2)*6,"")</f>
        <v/>
      </c>
      <c r="G287" s="142">
        <f>IFERROR(CHOOSE(MATCH(IF($E287="","Основний",$E287),{"Трафіковий","Основний","Маржинальний","Сезонний","Стратегічний"},0),Settings!$B$78,Settings!$B$80,Settings!$B$82,Settings!$B$84,Settings!$B$86),"")</f>
        <v/>
      </c>
      <c r="H287" s="148">
        <f>IFERROR((F287*(1-Settings!$B$17)-C287)/(F287*(1-Settings!$B$17)),"")</f>
        <v/>
      </c>
      <c r="I287" s="149">
        <f>IFERROR(IF(F287="","",IF(F287&gt;=C287/(1-SKU_Base!Z287)/(1-Settings!$B$17),"OK",IF(F287&gt;=C287/(1-SKU_Base!AG287)/(1-Settings!$B$17),"WARN","STOP"))),"")</f>
        <v/>
      </c>
      <c r="J287" s="160">
        <f>IFERROR(ROUND(D287*(1-CHOOSE(MATCH(IF($E287="","Основний",$E287),{"Трафіковий","Основний","Маржинальний","Сезонний","Стратегічний"},0),Settings!$C$78,Settings!$C$80,Settings!$C$82,Settings!$C$84,Settings!$C$86))/6,2)*6,"")</f>
        <v/>
      </c>
      <c r="K287" s="142">
        <f>IFERROR(CHOOSE(MATCH(IF($E287="","Основний",$E287),{"Трафіковий","Основний","Маржинальний","Сезонний","Стратегічний"},0),Settings!$C$78,Settings!$C$80,Settings!$C$82,Settings!$C$84,Settings!$C$86),"")</f>
        <v/>
      </c>
      <c r="L287" s="148">
        <f>IFERROR((J287*(1-Settings!$C$17)-C287)/(J287*(1-Settings!$C$17)),"")</f>
        <v/>
      </c>
      <c r="M287" s="149">
        <f>IFERROR(IF(J287="","",IF(J287&gt;=C287/(1-SKU_Base!AA287)/(1-Settings!$C$17),"OK",IF(J287&gt;=C287/(1-SKU_Base!AH287)/(1-Settings!$C$17),"WARN","STOP"))),"")</f>
        <v/>
      </c>
      <c r="N287" s="161">
        <f>IFERROR(ROUND(D287*(1-CHOOSE(MATCH(IF($E287="","Основний",$E287),{"Трафіковий","Основний","Маржинальний","Сезонний","Стратегічний"},0),Settings!$D$78,Settings!$D$80,Settings!$D$82,Settings!$D$84,Settings!$D$86))/6,2)*6,"")</f>
        <v/>
      </c>
      <c r="O287" s="142">
        <f>IFERROR(CHOOSE(MATCH(IF($E287="","Основний",$E287),{"Трафіковий","Основний","Маржинальний","Сезонний","Стратегічний"},0),Settings!$D$78,Settings!$D$80,Settings!$D$82,Settings!$D$84,Settings!$D$86),"")</f>
        <v/>
      </c>
      <c r="P287" s="148">
        <f>IFERROR((N287*(1-Settings!$D$17)-C287)/(N287*(1-Settings!$D$17)),"")</f>
        <v/>
      </c>
      <c r="Q287" s="149">
        <f>IFERROR(IF(N287="","",IF(N287&gt;=C287/(1-SKU_Base!AB287)/(1-Settings!$D$17),"OK",IF(N287&gt;=C287/(1-SKU_Base!AI287)/(1-Settings!$D$17),"WARN","STOP"))),"")</f>
        <v/>
      </c>
      <c r="R287" s="161">
        <f>IFERROR(ROUND(D287*(1-CHOOSE(MATCH(IF($E287="","Основний",$E287),{"Трафіковий","Основний","Маржинальний","Сезонний","Стратегічний"},0),Settings!$E$78,Settings!$E$80,Settings!$E$82,Settings!$E$84,Settings!$E$86))/6,2)*6,"")</f>
        <v/>
      </c>
      <c r="S287" s="142">
        <f>IFERROR(CHOOSE(MATCH(IF($E287="","Основний",$E287),{"Трафіковий","Основний","Маржинальний","Сезонний","Стратегічний"},0),Settings!$E$78,Settings!$E$80,Settings!$E$82,Settings!$E$84,Settings!$E$86),"")</f>
        <v/>
      </c>
      <c r="T287" s="148">
        <f>IFERROR((R287*(1-Settings!$E$17)-C287)/(R287*(1-Settings!$E$17)),"")</f>
        <v/>
      </c>
      <c r="U287" s="149">
        <f>IFERROR(IF(R287="","",IF(R287&gt;=C287/(1-SKU_Base!AC287)/(1-Settings!$E$17),"OK",IF(R287&gt;=C287/(1-SKU_Base!AJ287)/(1-Settings!$E$17),"WARN","STOP"))),"")</f>
        <v/>
      </c>
      <c r="V287" s="161">
        <f>IFERROR(ROUND(D287*(1-CHOOSE(MATCH(IF($E287="","Основний",$E287),{"Трафіковий","Основний","Маржинальний","Сезонний","Стратегічний"},0),Settings!$F$78,Settings!$F$80,Settings!$F$82,Settings!$F$84,Settings!$F$86))/6,2)*6,"")</f>
        <v/>
      </c>
      <c r="W287" s="142">
        <f>IFERROR(CHOOSE(MATCH(IF($E287="","Основний",$E287),{"Трафіковий","Основний","Маржинальний","Сезонний","Стратегічний"},0),Settings!$F$78,Settings!$F$80,Settings!$F$82,Settings!$F$84,Settings!$F$86),"")</f>
        <v/>
      </c>
      <c r="X287" s="148">
        <f>IFERROR((V287*(1-Settings!$F$17)-C287)/(V287*(1-Settings!$F$17)),"")</f>
        <v/>
      </c>
      <c r="Y287" s="149">
        <f>IFERROR(IF(V287="","",IF(V287&gt;=C287/(1-SKU_Base!AD287)/(1-Settings!$F$17),"OK",IF(V287&gt;=C287/(1-SKU_Base!AK287)/(1-Settings!$F$17),"WARN","STOP"))),"")</f>
        <v/>
      </c>
      <c r="Z287" s="161">
        <f>IFERROR(ROUND(D287*(1-CHOOSE(MATCH(IF($E287="","Основний",$E287),{"Трафіковий","Основний","Маржинальний","Сезонний","Стратегічний"},0),Settings!$G$78,Settings!$G$80,Settings!$G$82,Settings!$G$84,Settings!$G$86))/6,2)*6,"")</f>
        <v/>
      </c>
      <c r="AA287" s="142">
        <f>IFERROR(CHOOSE(MATCH(IF($E287="","Основний",$E287),{"Трафіковий","Основний","Маржинальний","Сезонний","Стратегічний"},0),Settings!$G$78,Settings!$G$80,Settings!$G$82,Settings!$G$84,Settings!$G$86),"")</f>
        <v/>
      </c>
      <c r="AB287" s="148">
        <f>IFERROR((Z287*(1-Settings!$G$17)-C287)/(Z287*(1-Settings!$G$17)),"")</f>
        <v/>
      </c>
      <c r="AC287" s="149">
        <f>IFERROR(IF(Z287="","",IF(Z287&gt;=C287/(1-SKU_Base!AE287)/(1-Settings!$G$17),"OK",IF(Z287&gt;=C287/(1-SKU_Base!AL287)/(1-Settings!$G$17),"WARN","STOP"))),"")</f>
        <v/>
      </c>
      <c r="AD287" s="161">
        <f>IFERROR(ROUND(D287*(1-CHOOSE(MATCH(IF($E287="","Основний",$E287),{"Трафіковий","Основний","Маржинальний","Сезонний","Стратегічний"},0),Settings!$H$78,Settings!$H$80,Settings!$H$82,Settings!$H$84,Settings!$H$86))*(1-Settings!$H$68)/6,2)*6,"")</f>
        <v/>
      </c>
      <c r="AE287" s="142">
        <f>IFERROR(CHOOSE(MATCH(IF($E287="","Основний",$E287),{"Трафіковий","Основний","Маржинальний","Сезонний","Стратегічний"},0),Settings!$H$78,Settings!$H$80,Settings!$H$82,Settings!$H$84,Settings!$H$86)+(1-(CHOOSE(MATCH(IF($E287="","Основний",$E287),{"Трафіковий","Основний","Маржинальний","Сезонний","Стратегічний"},0),Settings!$H$78,Settings!$H$80,Settings!$H$82,Settings!$H$84,Settings!$H$86)))*Settings!$H$68,"")</f>
        <v/>
      </c>
      <c r="AF287" s="148">
        <f>IFERROR((AD287*(1-Settings!$H$17)-C287)/(AD287*(1-Settings!$H$17)),"")</f>
        <v/>
      </c>
      <c r="AG287" s="150">
        <f>IFERROR(IF(AD287="","",IF(AD287&gt;=C287/(1-SKU_Base!AF287)/(1-Settings!$H$17),"OK",IF(AD287&gt;=C287/(1-SKU_Base!AM287)/(1-Settings!$H$17),"WARN","STOP"))),"")</f>
        <v/>
      </c>
    </row>
    <row r="288" ht="17" customHeight="1" s="179">
      <c r="A288" s="139">
        <f>SKU_Base!B288</f>
        <v/>
      </c>
      <c r="B288" s="139">
        <f>SKU_Base!C288</f>
        <v/>
      </c>
      <c r="C288" s="140">
        <f>IFERROR(SKU_Base!I288,"")</f>
        <v/>
      </c>
      <c r="D288" s="163">
        <f>IFERROR(SKU_Base!T288,"")</f>
        <v/>
      </c>
      <c r="E288" s="141">
        <f>IFERROR(SKU_Base!$U288,"")</f>
        <v/>
      </c>
      <c r="F288" s="158">
        <f>IFERROR(ROUND(D288*(1-CHOOSE(MATCH(IF($E288="","Основний",$E288),{"Трафіковий","Основний","Маржинальний","Сезонний","Стратегічний"},0),Settings!$B$78,Settings!$B$80,Settings!$B$82,Settings!$B$84,Settings!$B$86))/6,2)*6,"")</f>
        <v/>
      </c>
      <c r="G288" s="142">
        <f>IFERROR(CHOOSE(MATCH(IF($E288="","Основний",$E288),{"Трафіковий","Основний","Маржинальний","Сезонний","Стратегічний"},0),Settings!$B$78,Settings!$B$80,Settings!$B$82,Settings!$B$84,Settings!$B$86),"")</f>
        <v/>
      </c>
      <c r="H288" s="143">
        <f>IFERROR((F288*(1-Settings!$B$17)-C288)/(F288*(1-Settings!$B$17)),"")</f>
        <v/>
      </c>
      <c r="I288" s="149">
        <f>IFERROR(IF(F288="","",IF(F288&gt;=C288/(1-SKU_Base!Z288)/(1-Settings!$B$17),"OK",IF(F288&gt;=C288/(1-SKU_Base!AG288)/(1-Settings!$B$17),"WARN","STOP"))),"")</f>
        <v/>
      </c>
      <c r="J288" s="158">
        <f>IFERROR(ROUND(D288*(1-CHOOSE(MATCH(IF($E288="","Основний",$E288),{"Трафіковий","Основний","Маржинальний","Сезонний","Стратегічний"},0),Settings!$C$78,Settings!$C$80,Settings!$C$82,Settings!$C$84,Settings!$C$86))/6,2)*6,"")</f>
        <v/>
      </c>
      <c r="K288" s="142">
        <f>IFERROR(CHOOSE(MATCH(IF($E288="","Основний",$E288),{"Трафіковий","Основний","Маржинальний","Сезонний","Стратегічний"},0),Settings!$C$78,Settings!$C$80,Settings!$C$82,Settings!$C$84,Settings!$C$86),"")</f>
        <v/>
      </c>
      <c r="L288" s="143">
        <f>IFERROR((J288*(1-Settings!$C$17)-C288)/(J288*(1-Settings!$C$17)),"")</f>
        <v/>
      </c>
      <c r="M288" s="149">
        <f>IFERROR(IF(J288="","",IF(J288&gt;=C288/(1-SKU_Base!AA288)/(1-Settings!$C$17),"OK",IF(J288&gt;=C288/(1-SKU_Base!AH288)/(1-Settings!$C$17),"WARN","STOP"))),"")</f>
        <v/>
      </c>
      <c r="N288" s="159">
        <f>IFERROR(ROUND(D288*(1-CHOOSE(MATCH(IF($E288="","Основний",$E288),{"Трафіковий","Основний","Маржинальний","Сезонний","Стратегічний"},0),Settings!$D$78,Settings!$D$80,Settings!$D$82,Settings!$D$84,Settings!$D$86))/6,2)*6,"")</f>
        <v/>
      </c>
      <c r="O288" s="142">
        <f>IFERROR(CHOOSE(MATCH(IF($E288="","Основний",$E288),{"Трафіковий","Основний","Маржинальний","Сезонний","Стратегічний"},0),Settings!$D$78,Settings!$D$80,Settings!$D$82,Settings!$D$84,Settings!$D$86),"")</f>
        <v/>
      </c>
      <c r="P288" s="143">
        <f>IFERROR((N288*(1-Settings!$D$17)-C288)/(N288*(1-Settings!$D$17)),"")</f>
        <v/>
      </c>
      <c r="Q288" s="149">
        <f>IFERROR(IF(N288="","",IF(N288&gt;=C288/(1-SKU_Base!AB288)/(1-Settings!$D$17),"OK",IF(N288&gt;=C288/(1-SKU_Base!AI288)/(1-Settings!$D$17),"WARN","STOP"))),"")</f>
        <v/>
      </c>
      <c r="R288" s="159">
        <f>IFERROR(ROUND(D288*(1-CHOOSE(MATCH(IF($E288="","Основний",$E288),{"Трафіковий","Основний","Маржинальний","Сезонний","Стратегічний"},0),Settings!$E$78,Settings!$E$80,Settings!$E$82,Settings!$E$84,Settings!$E$86))/6,2)*6,"")</f>
        <v/>
      </c>
      <c r="S288" s="142">
        <f>IFERROR(CHOOSE(MATCH(IF($E288="","Основний",$E288),{"Трафіковий","Основний","Маржинальний","Сезонний","Стратегічний"},0),Settings!$E$78,Settings!$E$80,Settings!$E$82,Settings!$E$84,Settings!$E$86),"")</f>
        <v/>
      </c>
      <c r="T288" s="143">
        <f>IFERROR((R288*(1-Settings!$E$17)-C288)/(R288*(1-Settings!$E$17)),"")</f>
        <v/>
      </c>
      <c r="U288" s="149">
        <f>IFERROR(IF(R288="","",IF(R288&gt;=C288/(1-SKU_Base!AC288)/(1-Settings!$E$17),"OK",IF(R288&gt;=C288/(1-SKU_Base!AJ288)/(1-Settings!$E$17),"WARN","STOP"))),"")</f>
        <v/>
      </c>
      <c r="V288" s="159">
        <f>IFERROR(ROUND(D288*(1-CHOOSE(MATCH(IF($E288="","Основний",$E288),{"Трафіковий","Основний","Маржинальний","Сезонний","Стратегічний"},0),Settings!$F$78,Settings!$F$80,Settings!$F$82,Settings!$F$84,Settings!$F$86))/6,2)*6,"")</f>
        <v/>
      </c>
      <c r="W288" s="142">
        <f>IFERROR(CHOOSE(MATCH(IF($E288="","Основний",$E288),{"Трафіковий","Основний","Маржинальний","Сезонний","Стратегічний"},0),Settings!$F$78,Settings!$F$80,Settings!$F$82,Settings!$F$84,Settings!$F$86),"")</f>
        <v/>
      </c>
      <c r="X288" s="143">
        <f>IFERROR((V288*(1-Settings!$F$17)-C288)/(V288*(1-Settings!$F$17)),"")</f>
        <v/>
      </c>
      <c r="Y288" s="149">
        <f>IFERROR(IF(V288="","",IF(V288&gt;=C288/(1-SKU_Base!AD288)/(1-Settings!$F$17),"OK",IF(V288&gt;=C288/(1-SKU_Base!AK288)/(1-Settings!$F$17),"WARN","STOP"))),"")</f>
        <v/>
      </c>
      <c r="Z288" s="159">
        <f>IFERROR(ROUND(D288*(1-CHOOSE(MATCH(IF($E288="","Основний",$E288),{"Трафіковий","Основний","Маржинальний","Сезонний","Стратегічний"},0),Settings!$G$78,Settings!$G$80,Settings!$G$82,Settings!$G$84,Settings!$G$86))/6,2)*6,"")</f>
        <v/>
      </c>
      <c r="AA288" s="142">
        <f>IFERROR(CHOOSE(MATCH(IF($E288="","Основний",$E288),{"Трафіковий","Основний","Маржинальний","Сезонний","Стратегічний"},0),Settings!$G$78,Settings!$G$80,Settings!$G$82,Settings!$G$84,Settings!$G$86),"")</f>
        <v/>
      </c>
      <c r="AB288" s="143">
        <f>IFERROR((Z288*(1-Settings!$G$17)-C288)/(Z288*(1-Settings!$G$17)),"")</f>
        <v/>
      </c>
      <c r="AC288" s="149">
        <f>IFERROR(IF(Z288="","",IF(Z288&gt;=C288/(1-SKU_Base!AE288)/(1-Settings!$G$17),"OK",IF(Z288&gt;=C288/(1-SKU_Base!AL288)/(1-Settings!$G$17),"WARN","STOP"))),"")</f>
        <v/>
      </c>
      <c r="AD288" s="159">
        <f>IFERROR(ROUND(D288*(1-CHOOSE(MATCH(IF($E288="","Основний",$E288),{"Трафіковий","Основний","Маржинальний","Сезонний","Стратегічний"},0),Settings!$H$78,Settings!$H$80,Settings!$H$82,Settings!$H$84,Settings!$H$86))*(1-Settings!$H$68)/6,2)*6,"")</f>
        <v/>
      </c>
      <c r="AE288" s="142">
        <f>IFERROR(CHOOSE(MATCH(IF($E288="","Основний",$E288),{"Трафіковий","Основний","Маржинальний","Сезонний","Стратегічний"},0),Settings!$H$78,Settings!$H$80,Settings!$H$82,Settings!$H$84,Settings!$H$86)+(1-(CHOOSE(MATCH(IF($E288="","Основний",$E288),{"Трафіковий","Основний","Маржинальний","Сезонний","Стратегічний"},0),Settings!$H$78,Settings!$H$80,Settings!$H$82,Settings!$H$84,Settings!$H$86)))*Settings!$H$68,"")</f>
        <v/>
      </c>
      <c r="AF288" s="143">
        <f>IFERROR((AD288*(1-Settings!$H$17)-C288)/(AD288*(1-Settings!$H$17)),"")</f>
        <v/>
      </c>
      <c r="AG288" s="149">
        <f>IFERROR(IF(AD288="","",IF(AD288&gt;=C288/(1-SKU_Base!AF288)/(1-Settings!$H$17),"OK",IF(AD288&gt;=C288/(1-SKU_Base!AM288)/(1-Settings!$H$17),"WARN","STOP"))),"")</f>
        <v/>
      </c>
    </row>
    <row r="289" ht="17" customHeight="1" s="179">
      <c r="A289" s="146">
        <f>SKU_Base!B289</f>
        <v/>
      </c>
      <c r="B289" s="146">
        <f>SKU_Base!C289</f>
        <v/>
      </c>
      <c r="C289" s="147">
        <f>IFERROR(SKU_Base!I289,"")</f>
        <v/>
      </c>
      <c r="D289" s="164">
        <f>IFERROR(SKU_Base!T289,"")</f>
        <v/>
      </c>
      <c r="E289" s="141">
        <f>IFERROR(SKU_Base!$U289,"")</f>
        <v/>
      </c>
      <c r="F289" s="160">
        <f>IFERROR(ROUND(D289*(1-CHOOSE(MATCH(IF($E289="","Основний",$E289),{"Трафіковий","Основний","Маржинальний","Сезонний","Стратегічний"},0),Settings!$B$78,Settings!$B$80,Settings!$B$82,Settings!$B$84,Settings!$B$86))/6,2)*6,"")</f>
        <v/>
      </c>
      <c r="G289" s="142">
        <f>IFERROR(CHOOSE(MATCH(IF($E289="","Основний",$E289),{"Трафіковий","Основний","Маржинальний","Сезонний","Стратегічний"},0),Settings!$B$78,Settings!$B$80,Settings!$B$82,Settings!$B$84,Settings!$B$86),"")</f>
        <v/>
      </c>
      <c r="H289" s="148">
        <f>IFERROR((F289*(1-Settings!$B$17)-C289)/(F289*(1-Settings!$B$17)),"")</f>
        <v/>
      </c>
      <c r="I289" s="149">
        <f>IFERROR(IF(F289="","",IF(F289&gt;=C289/(1-SKU_Base!Z289)/(1-Settings!$B$17),"OK",IF(F289&gt;=C289/(1-SKU_Base!AG289)/(1-Settings!$B$17),"WARN","STOP"))),"")</f>
        <v/>
      </c>
      <c r="J289" s="160">
        <f>IFERROR(ROUND(D289*(1-CHOOSE(MATCH(IF($E289="","Основний",$E289),{"Трафіковий","Основний","Маржинальний","Сезонний","Стратегічний"},0),Settings!$C$78,Settings!$C$80,Settings!$C$82,Settings!$C$84,Settings!$C$86))/6,2)*6,"")</f>
        <v/>
      </c>
      <c r="K289" s="142">
        <f>IFERROR(CHOOSE(MATCH(IF($E289="","Основний",$E289),{"Трафіковий","Основний","Маржинальний","Сезонний","Стратегічний"},0),Settings!$C$78,Settings!$C$80,Settings!$C$82,Settings!$C$84,Settings!$C$86),"")</f>
        <v/>
      </c>
      <c r="L289" s="148">
        <f>IFERROR((J289*(1-Settings!$C$17)-C289)/(J289*(1-Settings!$C$17)),"")</f>
        <v/>
      </c>
      <c r="M289" s="149">
        <f>IFERROR(IF(J289="","",IF(J289&gt;=C289/(1-SKU_Base!AA289)/(1-Settings!$C$17),"OK",IF(J289&gt;=C289/(1-SKU_Base!AH289)/(1-Settings!$C$17),"WARN","STOP"))),"")</f>
        <v/>
      </c>
      <c r="N289" s="161">
        <f>IFERROR(ROUND(D289*(1-CHOOSE(MATCH(IF($E289="","Основний",$E289),{"Трафіковий","Основний","Маржинальний","Сезонний","Стратегічний"},0),Settings!$D$78,Settings!$D$80,Settings!$D$82,Settings!$D$84,Settings!$D$86))/6,2)*6,"")</f>
        <v/>
      </c>
      <c r="O289" s="142">
        <f>IFERROR(CHOOSE(MATCH(IF($E289="","Основний",$E289),{"Трафіковий","Основний","Маржинальний","Сезонний","Стратегічний"},0),Settings!$D$78,Settings!$D$80,Settings!$D$82,Settings!$D$84,Settings!$D$86),"")</f>
        <v/>
      </c>
      <c r="P289" s="148">
        <f>IFERROR((N289*(1-Settings!$D$17)-C289)/(N289*(1-Settings!$D$17)),"")</f>
        <v/>
      </c>
      <c r="Q289" s="149">
        <f>IFERROR(IF(N289="","",IF(N289&gt;=C289/(1-SKU_Base!AB289)/(1-Settings!$D$17),"OK",IF(N289&gt;=C289/(1-SKU_Base!AI289)/(1-Settings!$D$17),"WARN","STOP"))),"")</f>
        <v/>
      </c>
      <c r="R289" s="161">
        <f>IFERROR(ROUND(D289*(1-CHOOSE(MATCH(IF($E289="","Основний",$E289),{"Трафіковий","Основний","Маржинальний","Сезонний","Стратегічний"},0),Settings!$E$78,Settings!$E$80,Settings!$E$82,Settings!$E$84,Settings!$E$86))/6,2)*6,"")</f>
        <v/>
      </c>
      <c r="S289" s="142">
        <f>IFERROR(CHOOSE(MATCH(IF($E289="","Основний",$E289),{"Трафіковий","Основний","Маржинальний","Сезонний","Стратегічний"},0),Settings!$E$78,Settings!$E$80,Settings!$E$82,Settings!$E$84,Settings!$E$86),"")</f>
        <v/>
      </c>
      <c r="T289" s="148">
        <f>IFERROR((R289*(1-Settings!$E$17)-C289)/(R289*(1-Settings!$E$17)),"")</f>
        <v/>
      </c>
      <c r="U289" s="149">
        <f>IFERROR(IF(R289="","",IF(R289&gt;=C289/(1-SKU_Base!AC289)/(1-Settings!$E$17),"OK",IF(R289&gt;=C289/(1-SKU_Base!AJ289)/(1-Settings!$E$17),"WARN","STOP"))),"")</f>
        <v/>
      </c>
      <c r="V289" s="161">
        <f>IFERROR(ROUND(D289*(1-CHOOSE(MATCH(IF($E289="","Основний",$E289),{"Трафіковий","Основний","Маржинальний","Сезонний","Стратегічний"},0),Settings!$F$78,Settings!$F$80,Settings!$F$82,Settings!$F$84,Settings!$F$86))/6,2)*6,"")</f>
        <v/>
      </c>
      <c r="W289" s="142">
        <f>IFERROR(CHOOSE(MATCH(IF($E289="","Основний",$E289),{"Трафіковий","Основний","Маржинальний","Сезонний","Стратегічний"},0),Settings!$F$78,Settings!$F$80,Settings!$F$82,Settings!$F$84,Settings!$F$86),"")</f>
        <v/>
      </c>
      <c r="X289" s="148">
        <f>IFERROR((V289*(1-Settings!$F$17)-C289)/(V289*(1-Settings!$F$17)),"")</f>
        <v/>
      </c>
      <c r="Y289" s="149">
        <f>IFERROR(IF(V289="","",IF(V289&gt;=C289/(1-SKU_Base!AD289)/(1-Settings!$F$17),"OK",IF(V289&gt;=C289/(1-SKU_Base!AK289)/(1-Settings!$F$17),"WARN","STOP"))),"")</f>
        <v/>
      </c>
      <c r="Z289" s="161">
        <f>IFERROR(ROUND(D289*(1-CHOOSE(MATCH(IF($E289="","Основний",$E289),{"Трафіковий","Основний","Маржинальний","Сезонний","Стратегічний"},0),Settings!$G$78,Settings!$G$80,Settings!$G$82,Settings!$G$84,Settings!$G$86))/6,2)*6,"")</f>
        <v/>
      </c>
      <c r="AA289" s="142">
        <f>IFERROR(CHOOSE(MATCH(IF($E289="","Основний",$E289),{"Трафіковий","Основний","Маржинальний","Сезонний","Стратегічний"},0),Settings!$G$78,Settings!$G$80,Settings!$G$82,Settings!$G$84,Settings!$G$86),"")</f>
        <v/>
      </c>
      <c r="AB289" s="148">
        <f>IFERROR((Z289*(1-Settings!$G$17)-C289)/(Z289*(1-Settings!$G$17)),"")</f>
        <v/>
      </c>
      <c r="AC289" s="149">
        <f>IFERROR(IF(Z289="","",IF(Z289&gt;=C289/(1-SKU_Base!AE289)/(1-Settings!$G$17),"OK",IF(Z289&gt;=C289/(1-SKU_Base!AL289)/(1-Settings!$G$17),"WARN","STOP"))),"")</f>
        <v/>
      </c>
      <c r="AD289" s="161">
        <f>IFERROR(ROUND(D289*(1-CHOOSE(MATCH(IF($E289="","Основний",$E289),{"Трафіковий","Основний","Маржинальний","Сезонний","Стратегічний"},0),Settings!$H$78,Settings!$H$80,Settings!$H$82,Settings!$H$84,Settings!$H$86))*(1-Settings!$H$68)/6,2)*6,"")</f>
        <v/>
      </c>
      <c r="AE289" s="142">
        <f>IFERROR(CHOOSE(MATCH(IF($E289="","Основний",$E289),{"Трафіковий","Основний","Маржинальний","Сезонний","Стратегічний"},0),Settings!$H$78,Settings!$H$80,Settings!$H$82,Settings!$H$84,Settings!$H$86)+(1-(CHOOSE(MATCH(IF($E289="","Основний",$E289),{"Трафіковий","Основний","Маржинальний","Сезонний","Стратегічний"},0),Settings!$H$78,Settings!$H$80,Settings!$H$82,Settings!$H$84,Settings!$H$86)))*Settings!$H$68,"")</f>
        <v/>
      </c>
      <c r="AF289" s="148">
        <f>IFERROR((AD289*(1-Settings!$H$17)-C289)/(AD289*(1-Settings!$H$17)),"")</f>
        <v/>
      </c>
      <c r="AG289" s="150">
        <f>IFERROR(IF(AD289="","",IF(AD289&gt;=C289/(1-SKU_Base!AF289)/(1-Settings!$H$17),"OK",IF(AD289&gt;=C289/(1-SKU_Base!AM289)/(1-Settings!$H$17),"WARN","STOP"))),"")</f>
        <v/>
      </c>
    </row>
    <row r="290" ht="17" customHeight="1" s="179">
      <c r="A290" s="139">
        <f>SKU_Base!B290</f>
        <v/>
      </c>
      <c r="B290" s="139">
        <f>SKU_Base!C290</f>
        <v/>
      </c>
      <c r="C290" s="140">
        <f>IFERROR(SKU_Base!I290,"")</f>
        <v/>
      </c>
      <c r="D290" s="163">
        <f>IFERROR(SKU_Base!T290,"")</f>
        <v/>
      </c>
      <c r="E290" s="141">
        <f>IFERROR(SKU_Base!$U290,"")</f>
        <v/>
      </c>
      <c r="F290" s="158">
        <f>IFERROR(ROUND(D290*(1-CHOOSE(MATCH(IF($E290="","Основний",$E290),{"Трафіковий","Основний","Маржинальний","Сезонний","Стратегічний"},0),Settings!$B$78,Settings!$B$80,Settings!$B$82,Settings!$B$84,Settings!$B$86))/6,2)*6,"")</f>
        <v/>
      </c>
      <c r="G290" s="142">
        <f>IFERROR(CHOOSE(MATCH(IF($E290="","Основний",$E290),{"Трафіковий","Основний","Маржинальний","Сезонний","Стратегічний"},0),Settings!$B$78,Settings!$B$80,Settings!$B$82,Settings!$B$84,Settings!$B$86),"")</f>
        <v/>
      </c>
      <c r="H290" s="143">
        <f>IFERROR((F290*(1-Settings!$B$17)-C290)/(F290*(1-Settings!$B$17)),"")</f>
        <v/>
      </c>
      <c r="I290" s="149">
        <f>IFERROR(IF(F290="","",IF(F290&gt;=C290/(1-SKU_Base!Z290)/(1-Settings!$B$17),"OK",IF(F290&gt;=C290/(1-SKU_Base!AG290)/(1-Settings!$B$17),"WARN","STOP"))),"")</f>
        <v/>
      </c>
      <c r="J290" s="158">
        <f>IFERROR(ROUND(D290*(1-CHOOSE(MATCH(IF($E290="","Основний",$E290),{"Трафіковий","Основний","Маржинальний","Сезонний","Стратегічний"},0),Settings!$C$78,Settings!$C$80,Settings!$C$82,Settings!$C$84,Settings!$C$86))/6,2)*6,"")</f>
        <v/>
      </c>
      <c r="K290" s="142">
        <f>IFERROR(CHOOSE(MATCH(IF($E290="","Основний",$E290),{"Трафіковий","Основний","Маржинальний","Сезонний","Стратегічний"},0),Settings!$C$78,Settings!$C$80,Settings!$C$82,Settings!$C$84,Settings!$C$86),"")</f>
        <v/>
      </c>
      <c r="L290" s="143">
        <f>IFERROR((J290*(1-Settings!$C$17)-C290)/(J290*(1-Settings!$C$17)),"")</f>
        <v/>
      </c>
      <c r="M290" s="149">
        <f>IFERROR(IF(J290="","",IF(J290&gt;=C290/(1-SKU_Base!AA290)/(1-Settings!$C$17),"OK",IF(J290&gt;=C290/(1-SKU_Base!AH290)/(1-Settings!$C$17),"WARN","STOP"))),"")</f>
        <v/>
      </c>
      <c r="N290" s="159">
        <f>IFERROR(ROUND(D290*(1-CHOOSE(MATCH(IF($E290="","Основний",$E290),{"Трафіковий","Основний","Маржинальний","Сезонний","Стратегічний"},0),Settings!$D$78,Settings!$D$80,Settings!$D$82,Settings!$D$84,Settings!$D$86))/6,2)*6,"")</f>
        <v/>
      </c>
      <c r="O290" s="142">
        <f>IFERROR(CHOOSE(MATCH(IF($E290="","Основний",$E290),{"Трафіковий","Основний","Маржинальний","Сезонний","Стратегічний"},0),Settings!$D$78,Settings!$D$80,Settings!$D$82,Settings!$D$84,Settings!$D$86),"")</f>
        <v/>
      </c>
      <c r="P290" s="143">
        <f>IFERROR((N290*(1-Settings!$D$17)-C290)/(N290*(1-Settings!$D$17)),"")</f>
        <v/>
      </c>
      <c r="Q290" s="149">
        <f>IFERROR(IF(N290="","",IF(N290&gt;=C290/(1-SKU_Base!AB290)/(1-Settings!$D$17),"OK",IF(N290&gt;=C290/(1-SKU_Base!AI290)/(1-Settings!$D$17),"WARN","STOP"))),"")</f>
        <v/>
      </c>
      <c r="R290" s="159">
        <f>IFERROR(ROUND(D290*(1-CHOOSE(MATCH(IF($E290="","Основний",$E290),{"Трафіковий","Основний","Маржинальний","Сезонний","Стратегічний"},0),Settings!$E$78,Settings!$E$80,Settings!$E$82,Settings!$E$84,Settings!$E$86))/6,2)*6,"")</f>
        <v/>
      </c>
      <c r="S290" s="142">
        <f>IFERROR(CHOOSE(MATCH(IF($E290="","Основний",$E290),{"Трафіковий","Основний","Маржинальний","Сезонний","Стратегічний"},0),Settings!$E$78,Settings!$E$80,Settings!$E$82,Settings!$E$84,Settings!$E$86),"")</f>
        <v/>
      </c>
      <c r="T290" s="143">
        <f>IFERROR((R290*(1-Settings!$E$17)-C290)/(R290*(1-Settings!$E$17)),"")</f>
        <v/>
      </c>
      <c r="U290" s="149">
        <f>IFERROR(IF(R290="","",IF(R290&gt;=C290/(1-SKU_Base!AC290)/(1-Settings!$E$17),"OK",IF(R290&gt;=C290/(1-SKU_Base!AJ290)/(1-Settings!$E$17),"WARN","STOP"))),"")</f>
        <v/>
      </c>
      <c r="V290" s="159">
        <f>IFERROR(ROUND(D290*(1-CHOOSE(MATCH(IF($E290="","Основний",$E290),{"Трафіковий","Основний","Маржинальний","Сезонний","Стратегічний"},0),Settings!$F$78,Settings!$F$80,Settings!$F$82,Settings!$F$84,Settings!$F$86))/6,2)*6,"")</f>
        <v/>
      </c>
      <c r="W290" s="142">
        <f>IFERROR(CHOOSE(MATCH(IF($E290="","Основний",$E290),{"Трафіковий","Основний","Маржинальний","Сезонний","Стратегічний"},0),Settings!$F$78,Settings!$F$80,Settings!$F$82,Settings!$F$84,Settings!$F$86),"")</f>
        <v/>
      </c>
      <c r="X290" s="143">
        <f>IFERROR((V290*(1-Settings!$F$17)-C290)/(V290*(1-Settings!$F$17)),"")</f>
        <v/>
      </c>
      <c r="Y290" s="149">
        <f>IFERROR(IF(V290="","",IF(V290&gt;=C290/(1-SKU_Base!AD290)/(1-Settings!$F$17),"OK",IF(V290&gt;=C290/(1-SKU_Base!AK290)/(1-Settings!$F$17),"WARN","STOP"))),"")</f>
        <v/>
      </c>
      <c r="Z290" s="159">
        <f>IFERROR(ROUND(D290*(1-CHOOSE(MATCH(IF($E290="","Основний",$E290),{"Трафіковий","Основний","Маржинальний","Сезонний","Стратегічний"},0),Settings!$G$78,Settings!$G$80,Settings!$G$82,Settings!$G$84,Settings!$G$86))/6,2)*6,"")</f>
        <v/>
      </c>
      <c r="AA290" s="142">
        <f>IFERROR(CHOOSE(MATCH(IF($E290="","Основний",$E290),{"Трафіковий","Основний","Маржинальний","Сезонний","Стратегічний"},0),Settings!$G$78,Settings!$G$80,Settings!$G$82,Settings!$G$84,Settings!$G$86),"")</f>
        <v/>
      </c>
      <c r="AB290" s="143">
        <f>IFERROR((Z290*(1-Settings!$G$17)-C290)/(Z290*(1-Settings!$G$17)),"")</f>
        <v/>
      </c>
      <c r="AC290" s="149">
        <f>IFERROR(IF(Z290="","",IF(Z290&gt;=C290/(1-SKU_Base!AE290)/(1-Settings!$G$17),"OK",IF(Z290&gt;=C290/(1-SKU_Base!AL290)/(1-Settings!$G$17),"WARN","STOP"))),"")</f>
        <v/>
      </c>
      <c r="AD290" s="159">
        <f>IFERROR(ROUND(D290*(1-CHOOSE(MATCH(IF($E290="","Основний",$E290),{"Трафіковий","Основний","Маржинальний","Сезонний","Стратегічний"},0),Settings!$H$78,Settings!$H$80,Settings!$H$82,Settings!$H$84,Settings!$H$86))*(1-Settings!$H$68)/6,2)*6,"")</f>
        <v/>
      </c>
      <c r="AE290" s="142">
        <f>IFERROR(CHOOSE(MATCH(IF($E290="","Основний",$E290),{"Трафіковий","Основний","Маржинальний","Сезонний","Стратегічний"},0),Settings!$H$78,Settings!$H$80,Settings!$H$82,Settings!$H$84,Settings!$H$86)+(1-(CHOOSE(MATCH(IF($E290="","Основний",$E290),{"Трафіковий","Основний","Маржинальний","Сезонний","Стратегічний"},0),Settings!$H$78,Settings!$H$80,Settings!$H$82,Settings!$H$84,Settings!$H$86)))*Settings!$H$68,"")</f>
        <v/>
      </c>
      <c r="AF290" s="143">
        <f>IFERROR((AD290*(1-Settings!$H$17)-C290)/(AD290*(1-Settings!$H$17)),"")</f>
        <v/>
      </c>
      <c r="AG290" s="150">
        <f>IFERROR(IF(AD290="","",IF(AD290&gt;=C290/(1-SKU_Base!AF290)/(1-Settings!$H$17),"OK",IF(AD290&gt;=C290/(1-SKU_Base!AM290)/(1-Settings!$H$17),"WARN","STOP"))),"")</f>
        <v/>
      </c>
    </row>
    <row r="291" ht="17" customHeight="1" s="179">
      <c r="A291" s="146">
        <f>SKU_Base!B291</f>
        <v/>
      </c>
      <c r="B291" s="146">
        <f>SKU_Base!C291</f>
        <v/>
      </c>
      <c r="C291" s="147">
        <f>IFERROR(SKU_Base!I291,"")</f>
        <v/>
      </c>
      <c r="D291" s="164">
        <f>IFERROR(SKU_Base!T291,"")</f>
        <v/>
      </c>
      <c r="E291" s="141">
        <f>IFERROR(SKU_Base!$U291,"")</f>
        <v/>
      </c>
      <c r="F291" s="160">
        <f>IFERROR(ROUND(D291*(1-CHOOSE(MATCH(IF($E291="","Основний",$E291),{"Трафіковий","Основний","Маржинальний","Сезонний","Стратегічний"},0),Settings!$B$78,Settings!$B$80,Settings!$B$82,Settings!$B$84,Settings!$B$86))/6,2)*6,"")</f>
        <v/>
      </c>
      <c r="G291" s="142">
        <f>IFERROR(CHOOSE(MATCH(IF($E291="","Основний",$E291),{"Трафіковий","Основний","Маржинальний","Сезонний","Стратегічний"},0),Settings!$B$78,Settings!$B$80,Settings!$B$82,Settings!$B$84,Settings!$B$86),"")</f>
        <v/>
      </c>
      <c r="H291" s="148">
        <f>IFERROR((F291*(1-Settings!$B$17)-C291)/(F291*(1-Settings!$B$17)),"")</f>
        <v/>
      </c>
      <c r="I291" s="149">
        <f>IFERROR(IF(F291="","",IF(F291&gt;=C291/(1-SKU_Base!Z291)/(1-Settings!$B$17),"OK",IF(F291&gt;=C291/(1-SKU_Base!AG291)/(1-Settings!$B$17),"WARN","STOP"))),"")</f>
        <v/>
      </c>
      <c r="J291" s="160">
        <f>IFERROR(ROUND(D291*(1-CHOOSE(MATCH(IF($E291="","Основний",$E291),{"Трафіковий","Основний","Маржинальний","Сезонний","Стратегічний"},0),Settings!$C$78,Settings!$C$80,Settings!$C$82,Settings!$C$84,Settings!$C$86))/6,2)*6,"")</f>
        <v/>
      </c>
      <c r="K291" s="142">
        <f>IFERROR(CHOOSE(MATCH(IF($E291="","Основний",$E291),{"Трафіковий","Основний","Маржинальний","Сезонний","Стратегічний"},0),Settings!$C$78,Settings!$C$80,Settings!$C$82,Settings!$C$84,Settings!$C$86),"")</f>
        <v/>
      </c>
      <c r="L291" s="148">
        <f>IFERROR((J291*(1-Settings!$C$17)-C291)/(J291*(1-Settings!$C$17)),"")</f>
        <v/>
      </c>
      <c r="M291" s="149">
        <f>IFERROR(IF(J291="","",IF(J291&gt;=C291/(1-SKU_Base!AA291)/(1-Settings!$C$17),"OK",IF(J291&gt;=C291/(1-SKU_Base!AH291)/(1-Settings!$C$17),"WARN","STOP"))),"")</f>
        <v/>
      </c>
      <c r="N291" s="161">
        <f>IFERROR(ROUND(D291*(1-CHOOSE(MATCH(IF($E291="","Основний",$E291),{"Трафіковий","Основний","Маржинальний","Сезонний","Стратегічний"},0),Settings!$D$78,Settings!$D$80,Settings!$D$82,Settings!$D$84,Settings!$D$86))/6,2)*6,"")</f>
        <v/>
      </c>
      <c r="O291" s="142">
        <f>IFERROR(CHOOSE(MATCH(IF($E291="","Основний",$E291),{"Трафіковий","Основний","Маржинальний","Сезонний","Стратегічний"},0),Settings!$D$78,Settings!$D$80,Settings!$D$82,Settings!$D$84,Settings!$D$86),"")</f>
        <v/>
      </c>
      <c r="P291" s="148">
        <f>IFERROR((N291*(1-Settings!$D$17)-C291)/(N291*(1-Settings!$D$17)),"")</f>
        <v/>
      </c>
      <c r="Q291" s="149">
        <f>IFERROR(IF(N291="","",IF(N291&gt;=C291/(1-SKU_Base!AB291)/(1-Settings!$D$17),"OK",IF(N291&gt;=C291/(1-SKU_Base!AI291)/(1-Settings!$D$17),"WARN","STOP"))),"")</f>
        <v/>
      </c>
      <c r="R291" s="161">
        <f>IFERROR(ROUND(D291*(1-CHOOSE(MATCH(IF($E291="","Основний",$E291),{"Трафіковий","Основний","Маржинальний","Сезонний","Стратегічний"},0),Settings!$E$78,Settings!$E$80,Settings!$E$82,Settings!$E$84,Settings!$E$86))/6,2)*6,"")</f>
        <v/>
      </c>
      <c r="S291" s="142">
        <f>IFERROR(CHOOSE(MATCH(IF($E291="","Основний",$E291),{"Трафіковий","Основний","Маржинальний","Сезонний","Стратегічний"},0),Settings!$E$78,Settings!$E$80,Settings!$E$82,Settings!$E$84,Settings!$E$86),"")</f>
        <v/>
      </c>
      <c r="T291" s="148">
        <f>IFERROR((R291*(1-Settings!$E$17)-C291)/(R291*(1-Settings!$E$17)),"")</f>
        <v/>
      </c>
      <c r="U291" s="149">
        <f>IFERROR(IF(R291="","",IF(R291&gt;=C291/(1-SKU_Base!AC291)/(1-Settings!$E$17),"OK",IF(R291&gt;=C291/(1-SKU_Base!AJ291)/(1-Settings!$E$17),"WARN","STOP"))),"")</f>
        <v/>
      </c>
      <c r="V291" s="161">
        <f>IFERROR(ROUND(D291*(1-CHOOSE(MATCH(IF($E291="","Основний",$E291),{"Трафіковий","Основний","Маржинальний","Сезонний","Стратегічний"},0),Settings!$F$78,Settings!$F$80,Settings!$F$82,Settings!$F$84,Settings!$F$86))/6,2)*6,"")</f>
        <v/>
      </c>
      <c r="W291" s="142">
        <f>IFERROR(CHOOSE(MATCH(IF($E291="","Основний",$E291),{"Трафіковий","Основний","Маржинальний","Сезонний","Стратегічний"},0),Settings!$F$78,Settings!$F$80,Settings!$F$82,Settings!$F$84,Settings!$F$86),"")</f>
        <v/>
      </c>
      <c r="X291" s="148">
        <f>IFERROR((V291*(1-Settings!$F$17)-C291)/(V291*(1-Settings!$F$17)),"")</f>
        <v/>
      </c>
      <c r="Y291" s="149">
        <f>IFERROR(IF(V291="","",IF(V291&gt;=C291/(1-SKU_Base!AD291)/(1-Settings!$F$17),"OK",IF(V291&gt;=C291/(1-SKU_Base!AK291)/(1-Settings!$F$17),"WARN","STOP"))),"")</f>
        <v/>
      </c>
      <c r="Z291" s="161">
        <f>IFERROR(ROUND(D291*(1-CHOOSE(MATCH(IF($E291="","Основний",$E291),{"Трафіковий","Основний","Маржинальний","Сезонний","Стратегічний"},0),Settings!$G$78,Settings!$G$80,Settings!$G$82,Settings!$G$84,Settings!$G$86))/6,2)*6,"")</f>
        <v/>
      </c>
      <c r="AA291" s="142">
        <f>IFERROR(CHOOSE(MATCH(IF($E291="","Основний",$E291),{"Трафіковий","Основний","Маржинальний","Сезонний","Стратегічний"},0),Settings!$G$78,Settings!$G$80,Settings!$G$82,Settings!$G$84,Settings!$G$86),"")</f>
        <v/>
      </c>
      <c r="AB291" s="148">
        <f>IFERROR((Z291*(1-Settings!$G$17)-C291)/(Z291*(1-Settings!$G$17)),"")</f>
        <v/>
      </c>
      <c r="AC291" s="149">
        <f>IFERROR(IF(Z291="","",IF(Z291&gt;=C291/(1-SKU_Base!AE291)/(1-Settings!$G$17),"OK",IF(Z291&gt;=C291/(1-SKU_Base!AL291)/(1-Settings!$G$17),"WARN","STOP"))),"")</f>
        <v/>
      </c>
      <c r="AD291" s="161">
        <f>IFERROR(ROUND(D291*(1-CHOOSE(MATCH(IF($E291="","Основний",$E291),{"Трафіковий","Основний","Маржинальний","Сезонний","Стратегічний"},0),Settings!$H$78,Settings!$H$80,Settings!$H$82,Settings!$H$84,Settings!$H$86))*(1-Settings!$H$68)/6,2)*6,"")</f>
        <v/>
      </c>
      <c r="AE291" s="142">
        <f>IFERROR(CHOOSE(MATCH(IF($E291="","Основний",$E291),{"Трафіковий","Основний","Маржинальний","Сезонний","Стратегічний"},0),Settings!$H$78,Settings!$H$80,Settings!$H$82,Settings!$H$84,Settings!$H$86)+(1-(CHOOSE(MATCH(IF($E291="","Основний",$E291),{"Трафіковий","Основний","Маржинальний","Сезонний","Стратегічний"},0),Settings!$H$78,Settings!$H$80,Settings!$H$82,Settings!$H$84,Settings!$H$86)))*Settings!$H$68,"")</f>
        <v/>
      </c>
      <c r="AF291" s="148">
        <f>IFERROR((AD291*(1-Settings!$H$17)-C291)/(AD291*(1-Settings!$H$17)),"")</f>
        <v/>
      </c>
      <c r="AG291" s="150">
        <f>IFERROR(IF(AD291="","",IF(AD291&gt;=C291/(1-SKU_Base!AF291)/(1-Settings!$H$17),"OK",IF(AD291&gt;=C291/(1-SKU_Base!AM291)/(1-Settings!$H$17),"WARN","STOP"))),"")</f>
        <v/>
      </c>
    </row>
    <row r="292" ht="17" customHeight="1" s="179">
      <c r="A292" s="139">
        <f>SKU_Base!B292</f>
        <v/>
      </c>
      <c r="B292" s="139">
        <f>SKU_Base!C292</f>
        <v/>
      </c>
      <c r="C292" s="140">
        <f>IFERROR(SKU_Base!I292,"")</f>
        <v/>
      </c>
      <c r="D292" s="163">
        <f>IFERROR(SKU_Base!T292,"")</f>
        <v/>
      </c>
      <c r="E292" s="141">
        <f>IFERROR(SKU_Base!$U292,"")</f>
        <v/>
      </c>
      <c r="F292" s="158">
        <f>IFERROR(ROUND(D292*(1-CHOOSE(MATCH(IF($E292="","Основний",$E292),{"Трафіковий","Основний","Маржинальний","Сезонний","Стратегічний"},0),Settings!$B$78,Settings!$B$80,Settings!$B$82,Settings!$B$84,Settings!$B$86))/6,2)*6,"")</f>
        <v/>
      </c>
      <c r="G292" s="142">
        <f>IFERROR(CHOOSE(MATCH(IF($E292="","Основний",$E292),{"Трафіковий","Основний","Маржинальний","Сезонний","Стратегічний"},0),Settings!$B$78,Settings!$B$80,Settings!$B$82,Settings!$B$84,Settings!$B$86),"")</f>
        <v/>
      </c>
      <c r="H292" s="143">
        <f>IFERROR((F292*(1-Settings!$B$17)-C292)/(F292*(1-Settings!$B$17)),"")</f>
        <v/>
      </c>
      <c r="I292" s="149">
        <f>IFERROR(IF(F292="","",IF(F292&gt;=C292/(1-SKU_Base!Z292)/(1-Settings!$B$17),"OK",IF(F292&gt;=C292/(1-SKU_Base!AG292)/(1-Settings!$B$17),"WARN","STOP"))),"")</f>
        <v/>
      </c>
      <c r="J292" s="158">
        <f>IFERROR(ROUND(D292*(1-CHOOSE(MATCH(IF($E292="","Основний",$E292),{"Трафіковий","Основний","Маржинальний","Сезонний","Стратегічний"},0),Settings!$C$78,Settings!$C$80,Settings!$C$82,Settings!$C$84,Settings!$C$86))/6,2)*6,"")</f>
        <v/>
      </c>
      <c r="K292" s="142">
        <f>IFERROR(CHOOSE(MATCH(IF($E292="","Основний",$E292),{"Трафіковий","Основний","Маржинальний","Сезонний","Стратегічний"},0),Settings!$C$78,Settings!$C$80,Settings!$C$82,Settings!$C$84,Settings!$C$86),"")</f>
        <v/>
      </c>
      <c r="L292" s="143">
        <f>IFERROR((J292*(1-Settings!$C$17)-C292)/(J292*(1-Settings!$C$17)),"")</f>
        <v/>
      </c>
      <c r="M292" s="149">
        <f>IFERROR(IF(J292="","",IF(J292&gt;=C292/(1-SKU_Base!AA292)/(1-Settings!$C$17),"OK",IF(J292&gt;=C292/(1-SKU_Base!AH292)/(1-Settings!$C$17),"WARN","STOP"))),"")</f>
        <v/>
      </c>
      <c r="N292" s="159">
        <f>IFERROR(ROUND(D292*(1-CHOOSE(MATCH(IF($E292="","Основний",$E292),{"Трафіковий","Основний","Маржинальний","Сезонний","Стратегічний"},0),Settings!$D$78,Settings!$D$80,Settings!$D$82,Settings!$D$84,Settings!$D$86))/6,2)*6,"")</f>
        <v/>
      </c>
      <c r="O292" s="142">
        <f>IFERROR(CHOOSE(MATCH(IF($E292="","Основний",$E292),{"Трафіковий","Основний","Маржинальний","Сезонний","Стратегічний"},0),Settings!$D$78,Settings!$D$80,Settings!$D$82,Settings!$D$84,Settings!$D$86),"")</f>
        <v/>
      </c>
      <c r="P292" s="143">
        <f>IFERROR((N292*(1-Settings!$D$17)-C292)/(N292*(1-Settings!$D$17)),"")</f>
        <v/>
      </c>
      <c r="Q292" s="149">
        <f>IFERROR(IF(N292="","",IF(N292&gt;=C292/(1-SKU_Base!AB292)/(1-Settings!$D$17),"OK",IF(N292&gt;=C292/(1-SKU_Base!AI292)/(1-Settings!$D$17),"WARN","STOP"))),"")</f>
        <v/>
      </c>
      <c r="R292" s="159">
        <f>IFERROR(ROUND(D292*(1-CHOOSE(MATCH(IF($E292="","Основний",$E292),{"Трафіковий","Основний","Маржинальний","Сезонний","Стратегічний"},0),Settings!$E$78,Settings!$E$80,Settings!$E$82,Settings!$E$84,Settings!$E$86))/6,2)*6,"")</f>
        <v/>
      </c>
      <c r="S292" s="142">
        <f>IFERROR(CHOOSE(MATCH(IF($E292="","Основний",$E292),{"Трафіковий","Основний","Маржинальний","Сезонний","Стратегічний"},0),Settings!$E$78,Settings!$E$80,Settings!$E$82,Settings!$E$84,Settings!$E$86),"")</f>
        <v/>
      </c>
      <c r="T292" s="143">
        <f>IFERROR((R292*(1-Settings!$E$17)-C292)/(R292*(1-Settings!$E$17)),"")</f>
        <v/>
      </c>
      <c r="U292" s="149">
        <f>IFERROR(IF(R292="","",IF(R292&gt;=C292/(1-SKU_Base!AC292)/(1-Settings!$E$17),"OK",IF(R292&gt;=C292/(1-SKU_Base!AJ292)/(1-Settings!$E$17),"WARN","STOP"))),"")</f>
        <v/>
      </c>
      <c r="V292" s="159">
        <f>IFERROR(ROUND(D292*(1-CHOOSE(MATCH(IF($E292="","Основний",$E292),{"Трафіковий","Основний","Маржинальний","Сезонний","Стратегічний"},0),Settings!$F$78,Settings!$F$80,Settings!$F$82,Settings!$F$84,Settings!$F$86))/6,2)*6,"")</f>
        <v/>
      </c>
      <c r="W292" s="142">
        <f>IFERROR(CHOOSE(MATCH(IF($E292="","Основний",$E292),{"Трафіковий","Основний","Маржинальний","Сезонний","Стратегічний"},0),Settings!$F$78,Settings!$F$80,Settings!$F$82,Settings!$F$84,Settings!$F$86),"")</f>
        <v/>
      </c>
      <c r="X292" s="143">
        <f>IFERROR((V292*(1-Settings!$F$17)-C292)/(V292*(1-Settings!$F$17)),"")</f>
        <v/>
      </c>
      <c r="Y292" s="149">
        <f>IFERROR(IF(V292="","",IF(V292&gt;=C292/(1-SKU_Base!AD292)/(1-Settings!$F$17),"OK",IF(V292&gt;=C292/(1-SKU_Base!AK292)/(1-Settings!$F$17),"WARN","STOP"))),"")</f>
        <v/>
      </c>
      <c r="Z292" s="159">
        <f>IFERROR(ROUND(D292*(1-CHOOSE(MATCH(IF($E292="","Основний",$E292),{"Трафіковий","Основний","Маржинальний","Сезонний","Стратегічний"},0),Settings!$G$78,Settings!$G$80,Settings!$G$82,Settings!$G$84,Settings!$G$86))/6,2)*6,"")</f>
        <v/>
      </c>
      <c r="AA292" s="142">
        <f>IFERROR(CHOOSE(MATCH(IF($E292="","Основний",$E292),{"Трафіковий","Основний","Маржинальний","Сезонний","Стратегічний"},0),Settings!$G$78,Settings!$G$80,Settings!$G$82,Settings!$G$84,Settings!$G$86),"")</f>
        <v/>
      </c>
      <c r="AB292" s="143">
        <f>IFERROR((Z292*(1-Settings!$G$17)-C292)/(Z292*(1-Settings!$G$17)),"")</f>
        <v/>
      </c>
      <c r="AC292" s="149">
        <f>IFERROR(IF(Z292="","",IF(Z292&gt;=C292/(1-SKU_Base!AE292)/(1-Settings!$G$17),"OK",IF(Z292&gt;=C292/(1-SKU_Base!AL292)/(1-Settings!$G$17),"WARN","STOP"))),"")</f>
        <v/>
      </c>
      <c r="AD292" s="159">
        <f>IFERROR(ROUND(D292*(1-CHOOSE(MATCH(IF($E292="","Основний",$E292),{"Трафіковий","Основний","Маржинальний","Сезонний","Стратегічний"},0),Settings!$H$78,Settings!$H$80,Settings!$H$82,Settings!$H$84,Settings!$H$86))*(1-Settings!$H$68)/6,2)*6,"")</f>
        <v/>
      </c>
      <c r="AE292" s="142">
        <f>IFERROR(CHOOSE(MATCH(IF($E292="","Основний",$E292),{"Трафіковий","Основний","Маржинальний","Сезонний","Стратегічний"},0),Settings!$H$78,Settings!$H$80,Settings!$H$82,Settings!$H$84,Settings!$H$86)+(1-(CHOOSE(MATCH(IF($E292="","Основний",$E292),{"Трафіковий","Основний","Маржинальний","Сезонний","Стратегічний"},0),Settings!$H$78,Settings!$H$80,Settings!$H$82,Settings!$H$84,Settings!$H$86)))*Settings!$H$68,"")</f>
        <v/>
      </c>
      <c r="AF292" s="143">
        <f>IFERROR((AD292*(1-Settings!$H$17)-C292)/(AD292*(1-Settings!$H$17)),"")</f>
        <v/>
      </c>
      <c r="AG292" s="150">
        <f>IFERROR(IF(AD292="","",IF(AD292&gt;=C292/(1-SKU_Base!AF292)/(1-Settings!$H$17),"OK",IF(AD292&gt;=C292/(1-SKU_Base!AM292)/(1-Settings!$H$17),"WARN","STOP"))),"")</f>
        <v/>
      </c>
    </row>
    <row r="293" ht="17" customHeight="1" s="179">
      <c r="A293" s="146">
        <f>SKU_Base!B293</f>
        <v/>
      </c>
      <c r="B293" s="146">
        <f>SKU_Base!C293</f>
        <v/>
      </c>
      <c r="C293" s="147">
        <f>IFERROR(SKU_Base!I293,"")</f>
        <v/>
      </c>
      <c r="D293" s="164">
        <f>IFERROR(SKU_Base!T293,"")</f>
        <v/>
      </c>
      <c r="E293" s="141">
        <f>IFERROR(SKU_Base!$U293,"")</f>
        <v/>
      </c>
      <c r="F293" s="160">
        <f>IFERROR(ROUND(D293*(1-CHOOSE(MATCH(IF($E293="","Основний",$E293),{"Трафіковий","Основний","Маржинальний","Сезонний","Стратегічний"},0),Settings!$B$78,Settings!$B$80,Settings!$B$82,Settings!$B$84,Settings!$B$86))/6,2)*6,"")</f>
        <v/>
      </c>
      <c r="G293" s="142">
        <f>IFERROR(CHOOSE(MATCH(IF($E293="","Основний",$E293),{"Трафіковий","Основний","Маржинальний","Сезонний","Стратегічний"},0),Settings!$B$78,Settings!$B$80,Settings!$B$82,Settings!$B$84,Settings!$B$86),"")</f>
        <v/>
      </c>
      <c r="H293" s="148">
        <f>IFERROR((F293*(1-Settings!$B$17)-C293)/(F293*(1-Settings!$B$17)),"")</f>
        <v/>
      </c>
      <c r="I293" s="149">
        <f>IFERROR(IF(F293="","",IF(F293&gt;=C293/(1-SKU_Base!Z293)/(1-Settings!$B$17),"OK",IF(F293&gt;=C293/(1-SKU_Base!AG293)/(1-Settings!$B$17),"WARN","STOP"))),"")</f>
        <v/>
      </c>
      <c r="J293" s="160">
        <f>IFERROR(ROUND(D293*(1-CHOOSE(MATCH(IF($E293="","Основний",$E293),{"Трафіковий","Основний","Маржинальний","Сезонний","Стратегічний"},0),Settings!$C$78,Settings!$C$80,Settings!$C$82,Settings!$C$84,Settings!$C$86))/6,2)*6,"")</f>
        <v/>
      </c>
      <c r="K293" s="142">
        <f>IFERROR(CHOOSE(MATCH(IF($E293="","Основний",$E293),{"Трафіковий","Основний","Маржинальний","Сезонний","Стратегічний"},0),Settings!$C$78,Settings!$C$80,Settings!$C$82,Settings!$C$84,Settings!$C$86),"")</f>
        <v/>
      </c>
      <c r="L293" s="148">
        <f>IFERROR((J293*(1-Settings!$C$17)-C293)/(J293*(1-Settings!$C$17)),"")</f>
        <v/>
      </c>
      <c r="M293" s="149">
        <f>IFERROR(IF(J293="","",IF(J293&gt;=C293/(1-SKU_Base!AA293)/(1-Settings!$C$17),"OK",IF(J293&gt;=C293/(1-SKU_Base!AH293)/(1-Settings!$C$17),"WARN","STOP"))),"")</f>
        <v/>
      </c>
      <c r="N293" s="161">
        <f>IFERROR(ROUND(D293*(1-CHOOSE(MATCH(IF($E293="","Основний",$E293),{"Трафіковий","Основний","Маржинальний","Сезонний","Стратегічний"},0),Settings!$D$78,Settings!$D$80,Settings!$D$82,Settings!$D$84,Settings!$D$86))/6,2)*6,"")</f>
        <v/>
      </c>
      <c r="O293" s="142">
        <f>IFERROR(CHOOSE(MATCH(IF($E293="","Основний",$E293),{"Трафіковий","Основний","Маржинальний","Сезонний","Стратегічний"},0),Settings!$D$78,Settings!$D$80,Settings!$D$82,Settings!$D$84,Settings!$D$86),"")</f>
        <v/>
      </c>
      <c r="P293" s="148">
        <f>IFERROR((N293*(1-Settings!$D$17)-C293)/(N293*(1-Settings!$D$17)),"")</f>
        <v/>
      </c>
      <c r="Q293" s="149">
        <f>IFERROR(IF(N293="","",IF(N293&gt;=C293/(1-SKU_Base!AB293)/(1-Settings!$D$17),"OK",IF(N293&gt;=C293/(1-SKU_Base!AI293)/(1-Settings!$D$17),"WARN","STOP"))),"")</f>
        <v/>
      </c>
      <c r="R293" s="161">
        <f>IFERROR(ROUND(D293*(1-CHOOSE(MATCH(IF($E293="","Основний",$E293),{"Трафіковий","Основний","Маржинальний","Сезонний","Стратегічний"},0),Settings!$E$78,Settings!$E$80,Settings!$E$82,Settings!$E$84,Settings!$E$86))/6,2)*6,"")</f>
        <v/>
      </c>
      <c r="S293" s="142">
        <f>IFERROR(CHOOSE(MATCH(IF($E293="","Основний",$E293),{"Трафіковий","Основний","Маржинальний","Сезонний","Стратегічний"},0),Settings!$E$78,Settings!$E$80,Settings!$E$82,Settings!$E$84,Settings!$E$86),"")</f>
        <v/>
      </c>
      <c r="T293" s="148">
        <f>IFERROR((R293*(1-Settings!$E$17)-C293)/(R293*(1-Settings!$E$17)),"")</f>
        <v/>
      </c>
      <c r="U293" s="149">
        <f>IFERROR(IF(R293="","",IF(R293&gt;=C293/(1-SKU_Base!AC293)/(1-Settings!$E$17),"OK",IF(R293&gt;=C293/(1-SKU_Base!AJ293)/(1-Settings!$E$17),"WARN","STOP"))),"")</f>
        <v/>
      </c>
      <c r="V293" s="161">
        <f>IFERROR(ROUND(D293*(1-CHOOSE(MATCH(IF($E293="","Основний",$E293),{"Трафіковий","Основний","Маржинальний","Сезонний","Стратегічний"},0),Settings!$F$78,Settings!$F$80,Settings!$F$82,Settings!$F$84,Settings!$F$86))/6,2)*6,"")</f>
        <v/>
      </c>
      <c r="W293" s="142">
        <f>IFERROR(CHOOSE(MATCH(IF($E293="","Основний",$E293),{"Трафіковий","Основний","Маржинальний","Сезонний","Стратегічний"},0),Settings!$F$78,Settings!$F$80,Settings!$F$82,Settings!$F$84,Settings!$F$86),"")</f>
        <v/>
      </c>
      <c r="X293" s="148">
        <f>IFERROR((V293*(1-Settings!$F$17)-C293)/(V293*(1-Settings!$F$17)),"")</f>
        <v/>
      </c>
      <c r="Y293" s="149">
        <f>IFERROR(IF(V293="","",IF(V293&gt;=C293/(1-SKU_Base!AD293)/(1-Settings!$F$17),"OK",IF(V293&gt;=C293/(1-SKU_Base!AK293)/(1-Settings!$F$17),"WARN","STOP"))),"")</f>
        <v/>
      </c>
      <c r="Z293" s="161">
        <f>IFERROR(ROUND(D293*(1-CHOOSE(MATCH(IF($E293="","Основний",$E293),{"Трафіковий","Основний","Маржинальний","Сезонний","Стратегічний"},0),Settings!$G$78,Settings!$G$80,Settings!$G$82,Settings!$G$84,Settings!$G$86))/6,2)*6,"")</f>
        <v/>
      </c>
      <c r="AA293" s="142">
        <f>IFERROR(CHOOSE(MATCH(IF($E293="","Основний",$E293),{"Трафіковий","Основний","Маржинальний","Сезонний","Стратегічний"},0),Settings!$G$78,Settings!$G$80,Settings!$G$82,Settings!$G$84,Settings!$G$86),"")</f>
        <v/>
      </c>
      <c r="AB293" s="148">
        <f>IFERROR((Z293*(1-Settings!$G$17)-C293)/(Z293*(1-Settings!$G$17)),"")</f>
        <v/>
      </c>
      <c r="AC293" s="149">
        <f>IFERROR(IF(Z293="","",IF(Z293&gt;=C293/(1-SKU_Base!AE293)/(1-Settings!$G$17),"OK",IF(Z293&gt;=C293/(1-SKU_Base!AL293)/(1-Settings!$G$17),"WARN","STOP"))),"")</f>
        <v/>
      </c>
      <c r="AD293" s="161">
        <f>IFERROR(ROUND(D293*(1-CHOOSE(MATCH(IF($E293="","Основний",$E293),{"Трафіковий","Основний","Маржинальний","Сезонний","Стратегічний"},0),Settings!$H$78,Settings!$H$80,Settings!$H$82,Settings!$H$84,Settings!$H$86))*(1-Settings!$H$68)/6,2)*6,"")</f>
        <v/>
      </c>
      <c r="AE293" s="142">
        <f>IFERROR(CHOOSE(MATCH(IF($E293="","Основний",$E293),{"Трафіковий","Основний","Маржинальний","Сезонний","Стратегічний"},0),Settings!$H$78,Settings!$H$80,Settings!$H$82,Settings!$H$84,Settings!$H$86)+(1-(CHOOSE(MATCH(IF($E293="","Основний",$E293),{"Трафіковий","Основний","Маржинальний","Сезонний","Стратегічний"},0),Settings!$H$78,Settings!$H$80,Settings!$H$82,Settings!$H$84,Settings!$H$86)))*Settings!$H$68,"")</f>
        <v/>
      </c>
      <c r="AF293" s="148">
        <f>IFERROR((AD293*(1-Settings!$H$17)-C293)/(AD293*(1-Settings!$H$17)),"")</f>
        <v/>
      </c>
      <c r="AG293" s="149">
        <f>IFERROR(IF(AD293="","",IF(AD293&gt;=C293/(1-SKU_Base!AF293)/(1-Settings!$H$17),"OK",IF(AD293&gt;=C293/(1-SKU_Base!AM293)/(1-Settings!$H$17),"WARN","STOP"))),"")</f>
        <v/>
      </c>
    </row>
    <row r="294" ht="17" customHeight="1" s="179">
      <c r="A294" s="139">
        <f>SKU_Base!B294</f>
        <v/>
      </c>
      <c r="B294" s="139">
        <f>SKU_Base!C294</f>
        <v/>
      </c>
      <c r="C294" s="140">
        <f>IFERROR(SKU_Base!I294,"")</f>
        <v/>
      </c>
      <c r="D294" s="163">
        <f>IFERROR(SKU_Base!T294,"")</f>
        <v/>
      </c>
      <c r="E294" s="141">
        <f>IFERROR(SKU_Base!$U294,"")</f>
        <v/>
      </c>
      <c r="F294" s="158">
        <f>IFERROR(ROUND(D294*(1-CHOOSE(MATCH(IF($E294="","Основний",$E294),{"Трафіковий","Основний","Маржинальний","Сезонний","Стратегічний"},0),Settings!$B$78,Settings!$B$80,Settings!$B$82,Settings!$B$84,Settings!$B$86))/6,2)*6,"")</f>
        <v/>
      </c>
      <c r="G294" s="142">
        <f>IFERROR(CHOOSE(MATCH(IF($E294="","Основний",$E294),{"Трафіковий","Основний","Маржинальний","Сезонний","Стратегічний"},0),Settings!$B$78,Settings!$B$80,Settings!$B$82,Settings!$B$84,Settings!$B$86),"")</f>
        <v/>
      </c>
      <c r="H294" s="143">
        <f>IFERROR((F294*(1-Settings!$B$17)-C294)/(F294*(1-Settings!$B$17)),"")</f>
        <v/>
      </c>
      <c r="I294" s="149">
        <f>IFERROR(IF(F294="","",IF(F294&gt;=C294/(1-SKU_Base!Z294)/(1-Settings!$B$17),"OK",IF(F294&gt;=C294/(1-SKU_Base!AG294)/(1-Settings!$B$17),"WARN","STOP"))),"")</f>
        <v/>
      </c>
      <c r="J294" s="158">
        <f>IFERROR(ROUND(D294*(1-CHOOSE(MATCH(IF($E294="","Основний",$E294),{"Трафіковий","Основний","Маржинальний","Сезонний","Стратегічний"},0),Settings!$C$78,Settings!$C$80,Settings!$C$82,Settings!$C$84,Settings!$C$86))/6,2)*6,"")</f>
        <v/>
      </c>
      <c r="K294" s="142">
        <f>IFERROR(CHOOSE(MATCH(IF($E294="","Основний",$E294),{"Трафіковий","Основний","Маржинальний","Сезонний","Стратегічний"},0),Settings!$C$78,Settings!$C$80,Settings!$C$82,Settings!$C$84,Settings!$C$86),"")</f>
        <v/>
      </c>
      <c r="L294" s="143">
        <f>IFERROR((J294*(1-Settings!$C$17)-C294)/(J294*(1-Settings!$C$17)),"")</f>
        <v/>
      </c>
      <c r="M294" s="149">
        <f>IFERROR(IF(J294="","",IF(J294&gt;=C294/(1-SKU_Base!AA294)/(1-Settings!$C$17),"OK",IF(J294&gt;=C294/(1-SKU_Base!AH294)/(1-Settings!$C$17),"WARN","STOP"))),"")</f>
        <v/>
      </c>
      <c r="N294" s="159">
        <f>IFERROR(ROUND(D294*(1-CHOOSE(MATCH(IF($E294="","Основний",$E294),{"Трафіковий","Основний","Маржинальний","Сезонний","Стратегічний"},0),Settings!$D$78,Settings!$D$80,Settings!$D$82,Settings!$D$84,Settings!$D$86))/6,2)*6,"")</f>
        <v/>
      </c>
      <c r="O294" s="142">
        <f>IFERROR(CHOOSE(MATCH(IF($E294="","Основний",$E294),{"Трафіковий","Основний","Маржинальний","Сезонний","Стратегічний"},0),Settings!$D$78,Settings!$D$80,Settings!$D$82,Settings!$D$84,Settings!$D$86),"")</f>
        <v/>
      </c>
      <c r="P294" s="143">
        <f>IFERROR((N294*(1-Settings!$D$17)-C294)/(N294*(1-Settings!$D$17)),"")</f>
        <v/>
      </c>
      <c r="Q294" s="149">
        <f>IFERROR(IF(N294="","",IF(N294&gt;=C294/(1-SKU_Base!AB294)/(1-Settings!$D$17),"OK",IF(N294&gt;=C294/(1-SKU_Base!AI294)/(1-Settings!$D$17),"WARN","STOP"))),"")</f>
        <v/>
      </c>
      <c r="R294" s="159">
        <f>IFERROR(ROUND(D294*(1-CHOOSE(MATCH(IF($E294="","Основний",$E294),{"Трафіковий","Основний","Маржинальний","Сезонний","Стратегічний"},0),Settings!$E$78,Settings!$E$80,Settings!$E$82,Settings!$E$84,Settings!$E$86))/6,2)*6,"")</f>
        <v/>
      </c>
      <c r="S294" s="142">
        <f>IFERROR(CHOOSE(MATCH(IF($E294="","Основний",$E294),{"Трафіковий","Основний","Маржинальний","Сезонний","Стратегічний"},0),Settings!$E$78,Settings!$E$80,Settings!$E$82,Settings!$E$84,Settings!$E$86),"")</f>
        <v/>
      </c>
      <c r="T294" s="143">
        <f>IFERROR((R294*(1-Settings!$E$17)-C294)/(R294*(1-Settings!$E$17)),"")</f>
        <v/>
      </c>
      <c r="U294" s="149">
        <f>IFERROR(IF(R294="","",IF(R294&gt;=C294/(1-SKU_Base!AC294)/(1-Settings!$E$17),"OK",IF(R294&gt;=C294/(1-SKU_Base!AJ294)/(1-Settings!$E$17),"WARN","STOP"))),"")</f>
        <v/>
      </c>
      <c r="V294" s="159">
        <f>IFERROR(ROUND(D294*(1-CHOOSE(MATCH(IF($E294="","Основний",$E294),{"Трафіковий","Основний","Маржинальний","Сезонний","Стратегічний"},0),Settings!$F$78,Settings!$F$80,Settings!$F$82,Settings!$F$84,Settings!$F$86))/6,2)*6,"")</f>
        <v/>
      </c>
      <c r="W294" s="142">
        <f>IFERROR(CHOOSE(MATCH(IF($E294="","Основний",$E294),{"Трафіковий","Основний","Маржинальний","Сезонний","Стратегічний"},0),Settings!$F$78,Settings!$F$80,Settings!$F$82,Settings!$F$84,Settings!$F$86),"")</f>
        <v/>
      </c>
      <c r="X294" s="143">
        <f>IFERROR((V294*(1-Settings!$F$17)-C294)/(V294*(1-Settings!$F$17)),"")</f>
        <v/>
      </c>
      <c r="Y294" s="149">
        <f>IFERROR(IF(V294="","",IF(V294&gt;=C294/(1-SKU_Base!AD294)/(1-Settings!$F$17),"OK",IF(V294&gt;=C294/(1-SKU_Base!AK294)/(1-Settings!$F$17),"WARN","STOP"))),"")</f>
        <v/>
      </c>
      <c r="Z294" s="159">
        <f>IFERROR(ROUND(D294*(1-CHOOSE(MATCH(IF($E294="","Основний",$E294),{"Трафіковий","Основний","Маржинальний","Сезонний","Стратегічний"},0),Settings!$G$78,Settings!$G$80,Settings!$G$82,Settings!$G$84,Settings!$G$86))/6,2)*6,"")</f>
        <v/>
      </c>
      <c r="AA294" s="142">
        <f>IFERROR(CHOOSE(MATCH(IF($E294="","Основний",$E294),{"Трафіковий","Основний","Маржинальний","Сезонний","Стратегічний"},0),Settings!$G$78,Settings!$G$80,Settings!$G$82,Settings!$G$84,Settings!$G$86),"")</f>
        <v/>
      </c>
      <c r="AB294" s="143">
        <f>IFERROR((Z294*(1-Settings!$G$17)-C294)/(Z294*(1-Settings!$G$17)),"")</f>
        <v/>
      </c>
      <c r="AC294" s="149">
        <f>IFERROR(IF(Z294="","",IF(Z294&gt;=C294/(1-SKU_Base!AE294)/(1-Settings!$G$17),"OK",IF(Z294&gt;=C294/(1-SKU_Base!AL294)/(1-Settings!$G$17),"WARN","STOP"))),"")</f>
        <v/>
      </c>
      <c r="AD294" s="159">
        <f>IFERROR(ROUND(D294*(1-CHOOSE(MATCH(IF($E294="","Основний",$E294),{"Трафіковий","Основний","Маржинальний","Сезонний","Стратегічний"},0),Settings!$H$78,Settings!$H$80,Settings!$H$82,Settings!$H$84,Settings!$H$86))*(1-Settings!$H$68)/6,2)*6,"")</f>
        <v/>
      </c>
      <c r="AE294" s="142">
        <f>IFERROR(CHOOSE(MATCH(IF($E294="","Основний",$E294),{"Трафіковий","Основний","Маржинальний","Сезонний","Стратегічний"},0),Settings!$H$78,Settings!$H$80,Settings!$H$82,Settings!$H$84,Settings!$H$86)+(1-(CHOOSE(MATCH(IF($E294="","Основний",$E294),{"Трафіковий","Основний","Маржинальний","Сезонний","Стратегічний"},0),Settings!$H$78,Settings!$H$80,Settings!$H$82,Settings!$H$84,Settings!$H$86)))*Settings!$H$68,"")</f>
        <v/>
      </c>
      <c r="AF294" s="143">
        <f>IFERROR((AD294*(1-Settings!$H$17)-C294)/(AD294*(1-Settings!$H$17)),"")</f>
        <v/>
      </c>
      <c r="AG294" s="149">
        <f>IFERROR(IF(AD294="","",IF(AD294&gt;=C294/(1-SKU_Base!AF294)/(1-Settings!$H$17),"OK",IF(AD294&gt;=C294/(1-SKU_Base!AM294)/(1-Settings!$H$17),"WARN","STOP"))),"")</f>
        <v/>
      </c>
    </row>
    <row r="295" ht="17" customHeight="1" s="179">
      <c r="A295" s="146">
        <f>SKU_Base!B295</f>
        <v/>
      </c>
      <c r="B295" s="146">
        <f>SKU_Base!C295</f>
        <v/>
      </c>
      <c r="C295" s="147">
        <f>IFERROR(SKU_Base!I295,"")</f>
        <v/>
      </c>
      <c r="D295" s="164">
        <f>IFERROR(SKU_Base!T295,"")</f>
        <v/>
      </c>
      <c r="E295" s="141">
        <f>IFERROR(SKU_Base!$U295,"")</f>
        <v/>
      </c>
      <c r="F295" s="160">
        <f>IFERROR(ROUND(D295*(1-CHOOSE(MATCH(IF($E295="","Основний",$E295),{"Трафіковий","Основний","Маржинальний","Сезонний","Стратегічний"},0),Settings!$B$78,Settings!$B$80,Settings!$B$82,Settings!$B$84,Settings!$B$86))/6,2)*6,"")</f>
        <v/>
      </c>
      <c r="G295" s="142">
        <f>IFERROR(CHOOSE(MATCH(IF($E295="","Основний",$E295),{"Трафіковий","Основний","Маржинальний","Сезонний","Стратегічний"},0),Settings!$B$78,Settings!$B$80,Settings!$B$82,Settings!$B$84,Settings!$B$86),"")</f>
        <v/>
      </c>
      <c r="H295" s="148">
        <f>IFERROR((F295*(1-Settings!$B$17)-C295)/(F295*(1-Settings!$B$17)),"")</f>
        <v/>
      </c>
      <c r="I295" s="149">
        <f>IFERROR(IF(F295="","",IF(F295&gt;=C295/(1-SKU_Base!Z295)/(1-Settings!$B$17),"OK",IF(F295&gt;=C295/(1-SKU_Base!AG295)/(1-Settings!$B$17),"WARN","STOP"))),"")</f>
        <v/>
      </c>
      <c r="J295" s="160">
        <f>IFERROR(ROUND(D295*(1-CHOOSE(MATCH(IF($E295="","Основний",$E295),{"Трафіковий","Основний","Маржинальний","Сезонний","Стратегічний"},0),Settings!$C$78,Settings!$C$80,Settings!$C$82,Settings!$C$84,Settings!$C$86))/6,2)*6,"")</f>
        <v/>
      </c>
      <c r="K295" s="142">
        <f>IFERROR(CHOOSE(MATCH(IF($E295="","Основний",$E295),{"Трафіковий","Основний","Маржинальний","Сезонний","Стратегічний"},0),Settings!$C$78,Settings!$C$80,Settings!$C$82,Settings!$C$84,Settings!$C$86),"")</f>
        <v/>
      </c>
      <c r="L295" s="148">
        <f>IFERROR((J295*(1-Settings!$C$17)-C295)/(J295*(1-Settings!$C$17)),"")</f>
        <v/>
      </c>
      <c r="M295" s="149">
        <f>IFERROR(IF(J295="","",IF(J295&gt;=C295/(1-SKU_Base!AA295)/(1-Settings!$C$17),"OK",IF(J295&gt;=C295/(1-SKU_Base!AH295)/(1-Settings!$C$17),"WARN","STOP"))),"")</f>
        <v/>
      </c>
      <c r="N295" s="161">
        <f>IFERROR(ROUND(D295*(1-CHOOSE(MATCH(IF($E295="","Основний",$E295),{"Трафіковий","Основний","Маржинальний","Сезонний","Стратегічний"},0),Settings!$D$78,Settings!$D$80,Settings!$D$82,Settings!$D$84,Settings!$D$86))/6,2)*6,"")</f>
        <v/>
      </c>
      <c r="O295" s="142">
        <f>IFERROR(CHOOSE(MATCH(IF($E295="","Основний",$E295),{"Трафіковий","Основний","Маржинальний","Сезонний","Стратегічний"},0),Settings!$D$78,Settings!$D$80,Settings!$D$82,Settings!$D$84,Settings!$D$86),"")</f>
        <v/>
      </c>
      <c r="P295" s="148">
        <f>IFERROR((N295*(1-Settings!$D$17)-C295)/(N295*(1-Settings!$D$17)),"")</f>
        <v/>
      </c>
      <c r="Q295" s="149">
        <f>IFERROR(IF(N295="","",IF(N295&gt;=C295/(1-SKU_Base!AB295)/(1-Settings!$D$17),"OK",IF(N295&gt;=C295/(1-SKU_Base!AI295)/(1-Settings!$D$17),"WARN","STOP"))),"")</f>
        <v/>
      </c>
      <c r="R295" s="161">
        <f>IFERROR(ROUND(D295*(1-CHOOSE(MATCH(IF($E295="","Основний",$E295),{"Трафіковий","Основний","Маржинальний","Сезонний","Стратегічний"},0),Settings!$E$78,Settings!$E$80,Settings!$E$82,Settings!$E$84,Settings!$E$86))/6,2)*6,"")</f>
        <v/>
      </c>
      <c r="S295" s="142">
        <f>IFERROR(CHOOSE(MATCH(IF($E295="","Основний",$E295),{"Трафіковий","Основний","Маржинальний","Сезонний","Стратегічний"},0),Settings!$E$78,Settings!$E$80,Settings!$E$82,Settings!$E$84,Settings!$E$86),"")</f>
        <v/>
      </c>
      <c r="T295" s="148">
        <f>IFERROR((R295*(1-Settings!$E$17)-C295)/(R295*(1-Settings!$E$17)),"")</f>
        <v/>
      </c>
      <c r="U295" s="149">
        <f>IFERROR(IF(R295="","",IF(R295&gt;=C295/(1-SKU_Base!AC295)/(1-Settings!$E$17),"OK",IF(R295&gt;=C295/(1-SKU_Base!AJ295)/(1-Settings!$E$17),"WARN","STOP"))),"")</f>
        <v/>
      </c>
      <c r="V295" s="161">
        <f>IFERROR(ROUND(D295*(1-CHOOSE(MATCH(IF($E295="","Основний",$E295),{"Трафіковий","Основний","Маржинальний","Сезонний","Стратегічний"},0),Settings!$F$78,Settings!$F$80,Settings!$F$82,Settings!$F$84,Settings!$F$86))/6,2)*6,"")</f>
        <v/>
      </c>
      <c r="W295" s="142">
        <f>IFERROR(CHOOSE(MATCH(IF($E295="","Основний",$E295),{"Трафіковий","Основний","Маржинальний","Сезонний","Стратегічний"},0),Settings!$F$78,Settings!$F$80,Settings!$F$82,Settings!$F$84,Settings!$F$86),"")</f>
        <v/>
      </c>
      <c r="X295" s="148">
        <f>IFERROR((V295*(1-Settings!$F$17)-C295)/(V295*(1-Settings!$F$17)),"")</f>
        <v/>
      </c>
      <c r="Y295" s="149">
        <f>IFERROR(IF(V295="","",IF(V295&gt;=C295/(1-SKU_Base!AD295)/(1-Settings!$F$17),"OK",IF(V295&gt;=C295/(1-SKU_Base!AK295)/(1-Settings!$F$17),"WARN","STOP"))),"")</f>
        <v/>
      </c>
      <c r="Z295" s="161">
        <f>IFERROR(ROUND(D295*(1-CHOOSE(MATCH(IF($E295="","Основний",$E295),{"Трафіковий","Основний","Маржинальний","Сезонний","Стратегічний"},0),Settings!$G$78,Settings!$G$80,Settings!$G$82,Settings!$G$84,Settings!$G$86))/6,2)*6,"")</f>
        <v/>
      </c>
      <c r="AA295" s="142">
        <f>IFERROR(CHOOSE(MATCH(IF($E295="","Основний",$E295),{"Трафіковий","Основний","Маржинальний","Сезонний","Стратегічний"},0),Settings!$G$78,Settings!$G$80,Settings!$G$82,Settings!$G$84,Settings!$G$86),"")</f>
        <v/>
      </c>
      <c r="AB295" s="148">
        <f>IFERROR((Z295*(1-Settings!$G$17)-C295)/(Z295*(1-Settings!$G$17)),"")</f>
        <v/>
      </c>
      <c r="AC295" s="149">
        <f>IFERROR(IF(Z295="","",IF(Z295&gt;=C295/(1-SKU_Base!AE295)/(1-Settings!$G$17),"OK",IF(Z295&gt;=C295/(1-SKU_Base!AL295)/(1-Settings!$G$17),"WARN","STOP"))),"")</f>
        <v/>
      </c>
      <c r="AD295" s="161">
        <f>IFERROR(ROUND(D295*(1-CHOOSE(MATCH(IF($E295="","Основний",$E295),{"Трафіковий","Основний","Маржинальний","Сезонний","Стратегічний"},0),Settings!$H$78,Settings!$H$80,Settings!$H$82,Settings!$H$84,Settings!$H$86))*(1-Settings!$H$68)/6,2)*6,"")</f>
        <v/>
      </c>
      <c r="AE295" s="142">
        <f>IFERROR(CHOOSE(MATCH(IF($E295="","Основний",$E295),{"Трафіковий","Основний","Маржинальний","Сезонний","Стратегічний"},0),Settings!$H$78,Settings!$H$80,Settings!$H$82,Settings!$H$84,Settings!$H$86)+(1-(CHOOSE(MATCH(IF($E295="","Основний",$E295),{"Трафіковий","Основний","Маржинальний","Сезонний","Стратегічний"},0),Settings!$H$78,Settings!$H$80,Settings!$H$82,Settings!$H$84,Settings!$H$86)))*Settings!$H$68,"")</f>
        <v/>
      </c>
      <c r="AF295" s="148">
        <f>IFERROR((AD295*(1-Settings!$H$17)-C295)/(AD295*(1-Settings!$H$17)),"")</f>
        <v/>
      </c>
      <c r="AG295" s="149">
        <f>IFERROR(IF(AD295="","",IF(AD295&gt;=C295/(1-SKU_Base!AF295)/(1-Settings!$H$17),"OK",IF(AD295&gt;=C295/(1-SKU_Base!AM295)/(1-Settings!$H$17),"WARN","STOP"))),"")</f>
        <v/>
      </c>
    </row>
    <row r="296" ht="17" customHeight="1" s="179">
      <c r="A296" s="139">
        <f>SKU_Base!B296</f>
        <v/>
      </c>
      <c r="B296" s="139">
        <f>SKU_Base!C296</f>
        <v/>
      </c>
      <c r="C296" s="140">
        <f>IFERROR(SKU_Base!I296,"")</f>
        <v/>
      </c>
      <c r="D296" s="163">
        <f>IFERROR(SKU_Base!T296,"")</f>
        <v/>
      </c>
      <c r="E296" s="141">
        <f>IFERROR(SKU_Base!$U296,"")</f>
        <v/>
      </c>
      <c r="F296" s="158">
        <f>IFERROR(ROUND(D296*(1-CHOOSE(MATCH(IF($E296="","Основний",$E296),{"Трафіковий","Основний","Маржинальний","Сезонний","Стратегічний"},0),Settings!$B$78,Settings!$B$80,Settings!$B$82,Settings!$B$84,Settings!$B$86))/6,2)*6,"")</f>
        <v/>
      </c>
      <c r="G296" s="142">
        <f>IFERROR(CHOOSE(MATCH(IF($E296="","Основний",$E296),{"Трафіковий","Основний","Маржинальний","Сезонний","Стратегічний"},0),Settings!$B$78,Settings!$B$80,Settings!$B$82,Settings!$B$84,Settings!$B$86),"")</f>
        <v/>
      </c>
      <c r="H296" s="143">
        <f>IFERROR((F296*(1-Settings!$B$17)-C296)/(F296*(1-Settings!$B$17)),"")</f>
        <v/>
      </c>
      <c r="I296" s="149">
        <f>IFERROR(IF(F296="","",IF(F296&gt;=C296/(1-SKU_Base!Z296)/(1-Settings!$B$17),"OK",IF(F296&gt;=C296/(1-SKU_Base!AG296)/(1-Settings!$B$17),"WARN","STOP"))),"")</f>
        <v/>
      </c>
      <c r="J296" s="158">
        <f>IFERROR(ROUND(D296*(1-CHOOSE(MATCH(IF($E296="","Основний",$E296),{"Трафіковий","Основний","Маржинальний","Сезонний","Стратегічний"},0),Settings!$C$78,Settings!$C$80,Settings!$C$82,Settings!$C$84,Settings!$C$86))/6,2)*6,"")</f>
        <v/>
      </c>
      <c r="K296" s="142">
        <f>IFERROR(CHOOSE(MATCH(IF($E296="","Основний",$E296),{"Трафіковий","Основний","Маржинальний","Сезонний","Стратегічний"},0),Settings!$C$78,Settings!$C$80,Settings!$C$82,Settings!$C$84,Settings!$C$86),"")</f>
        <v/>
      </c>
      <c r="L296" s="143">
        <f>IFERROR((J296*(1-Settings!$C$17)-C296)/(J296*(1-Settings!$C$17)),"")</f>
        <v/>
      </c>
      <c r="M296" s="149">
        <f>IFERROR(IF(J296="","",IF(J296&gt;=C296/(1-SKU_Base!AA296)/(1-Settings!$C$17),"OK",IF(J296&gt;=C296/(1-SKU_Base!AH296)/(1-Settings!$C$17),"WARN","STOP"))),"")</f>
        <v/>
      </c>
      <c r="N296" s="159">
        <f>IFERROR(ROUND(D296*(1-CHOOSE(MATCH(IF($E296="","Основний",$E296),{"Трафіковий","Основний","Маржинальний","Сезонний","Стратегічний"},0),Settings!$D$78,Settings!$D$80,Settings!$D$82,Settings!$D$84,Settings!$D$86))/6,2)*6,"")</f>
        <v/>
      </c>
      <c r="O296" s="142">
        <f>IFERROR(CHOOSE(MATCH(IF($E296="","Основний",$E296),{"Трафіковий","Основний","Маржинальний","Сезонний","Стратегічний"},0),Settings!$D$78,Settings!$D$80,Settings!$D$82,Settings!$D$84,Settings!$D$86),"")</f>
        <v/>
      </c>
      <c r="P296" s="143">
        <f>IFERROR((N296*(1-Settings!$D$17)-C296)/(N296*(1-Settings!$D$17)),"")</f>
        <v/>
      </c>
      <c r="Q296" s="149">
        <f>IFERROR(IF(N296="","",IF(N296&gt;=C296/(1-SKU_Base!AB296)/(1-Settings!$D$17),"OK",IF(N296&gt;=C296/(1-SKU_Base!AI296)/(1-Settings!$D$17),"WARN","STOP"))),"")</f>
        <v/>
      </c>
      <c r="R296" s="159">
        <f>IFERROR(ROUND(D296*(1-CHOOSE(MATCH(IF($E296="","Основний",$E296),{"Трафіковий","Основний","Маржинальний","Сезонний","Стратегічний"},0),Settings!$E$78,Settings!$E$80,Settings!$E$82,Settings!$E$84,Settings!$E$86))/6,2)*6,"")</f>
        <v/>
      </c>
      <c r="S296" s="142">
        <f>IFERROR(CHOOSE(MATCH(IF($E296="","Основний",$E296),{"Трафіковий","Основний","Маржинальний","Сезонний","Стратегічний"},0),Settings!$E$78,Settings!$E$80,Settings!$E$82,Settings!$E$84,Settings!$E$86),"")</f>
        <v/>
      </c>
      <c r="T296" s="143">
        <f>IFERROR((R296*(1-Settings!$E$17)-C296)/(R296*(1-Settings!$E$17)),"")</f>
        <v/>
      </c>
      <c r="U296" s="149">
        <f>IFERROR(IF(R296="","",IF(R296&gt;=C296/(1-SKU_Base!AC296)/(1-Settings!$E$17),"OK",IF(R296&gt;=C296/(1-SKU_Base!AJ296)/(1-Settings!$E$17),"WARN","STOP"))),"")</f>
        <v/>
      </c>
      <c r="V296" s="159">
        <f>IFERROR(ROUND(D296*(1-CHOOSE(MATCH(IF($E296="","Основний",$E296),{"Трафіковий","Основний","Маржинальний","Сезонний","Стратегічний"},0),Settings!$F$78,Settings!$F$80,Settings!$F$82,Settings!$F$84,Settings!$F$86))/6,2)*6,"")</f>
        <v/>
      </c>
      <c r="W296" s="142">
        <f>IFERROR(CHOOSE(MATCH(IF($E296="","Основний",$E296),{"Трафіковий","Основний","Маржинальний","Сезонний","Стратегічний"},0),Settings!$F$78,Settings!$F$80,Settings!$F$82,Settings!$F$84,Settings!$F$86),"")</f>
        <v/>
      </c>
      <c r="X296" s="143">
        <f>IFERROR((V296*(1-Settings!$F$17)-C296)/(V296*(1-Settings!$F$17)),"")</f>
        <v/>
      </c>
      <c r="Y296" s="149">
        <f>IFERROR(IF(V296="","",IF(V296&gt;=C296/(1-SKU_Base!AD296)/(1-Settings!$F$17),"OK",IF(V296&gt;=C296/(1-SKU_Base!AK296)/(1-Settings!$F$17),"WARN","STOP"))),"")</f>
        <v/>
      </c>
      <c r="Z296" s="159">
        <f>IFERROR(ROUND(D296*(1-CHOOSE(MATCH(IF($E296="","Основний",$E296),{"Трафіковий","Основний","Маржинальний","Сезонний","Стратегічний"},0),Settings!$G$78,Settings!$G$80,Settings!$G$82,Settings!$G$84,Settings!$G$86))/6,2)*6,"")</f>
        <v/>
      </c>
      <c r="AA296" s="142">
        <f>IFERROR(CHOOSE(MATCH(IF($E296="","Основний",$E296),{"Трафіковий","Основний","Маржинальний","Сезонний","Стратегічний"},0),Settings!$G$78,Settings!$G$80,Settings!$G$82,Settings!$G$84,Settings!$G$86),"")</f>
        <v/>
      </c>
      <c r="AB296" s="143">
        <f>IFERROR((Z296*(1-Settings!$G$17)-C296)/(Z296*(1-Settings!$G$17)),"")</f>
        <v/>
      </c>
      <c r="AC296" s="149">
        <f>IFERROR(IF(Z296="","",IF(Z296&gt;=C296/(1-SKU_Base!AE296)/(1-Settings!$G$17),"OK",IF(Z296&gt;=C296/(1-SKU_Base!AL296)/(1-Settings!$G$17),"WARN","STOP"))),"")</f>
        <v/>
      </c>
      <c r="AD296" s="159">
        <f>IFERROR(ROUND(D296*(1-CHOOSE(MATCH(IF($E296="","Основний",$E296),{"Трафіковий","Основний","Маржинальний","Сезонний","Стратегічний"},0),Settings!$H$78,Settings!$H$80,Settings!$H$82,Settings!$H$84,Settings!$H$86))*(1-Settings!$H$68)/6,2)*6,"")</f>
        <v/>
      </c>
      <c r="AE296" s="142">
        <f>IFERROR(CHOOSE(MATCH(IF($E296="","Основний",$E296),{"Трафіковий","Основний","Маржинальний","Сезонний","Стратегічний"},0),Settings!$H$78,Settings!$H$80,Settings!$H$82,Settings!$H$84,Settings!$H$86)+(1-(CHOOSE(MATCH(IF($E296="","Основний",$E296),{"Трафіковий","Основний","Маржинальний","Сезонний","Стратегічний"},0),Settings!$H$78,Settings!$H$80,Settings!$H$82,Settings!$H$84,Settings!$H$86)))*Settings!$H$68,"")</f>
        <v/>
      </c>
      <c r="AF296" s="143">
        <f>IFERROR((AD296*(1-Settings!$H$17)-C296)/(AD296*(1-Settings!$H$17)),"")</f>
        <v/>
      </c>
      <c r="AG296" s="150">
        <f>IFERROR(IF(AD296="","",IF(AD296&gt;=C296/(1-SKU_Base!AF296)/(1-Settings!$H$17),"OK",IF(AD296&gt;=C296/(1-SKU_Base!AM296)/(1-Settings!$H$17),"WARN","STOP"))),"")</f>
        <v/>
      </c>
    </row>
    <row r="297" ht="17" customHeight="1" s="179">
      <c r="A297" s="146">
        <f>SKU_Base!B297</f>
        <v/>
      </c>
      <c r="B297" s="146">
        <f>SKU_Base!C297</f>
        <v/>
      </c>
      <c r="C297" s="147">
        <f>IFERROR(SKU_Base!I297,"")</f>
        <v/>
      </c>
      <c r="D297" s="164">
        <f>IFERROR(SKU_Base!T297,"")</f>
        <v/>
      </c>
      <c r="E297" s="141">
        <f>IFERROR(SKU_Base!$U297,"")</f>
        <v/>
      </c>
      <c r="F297" s="160">
        <f>IFERROR(ROUND(D297*(1-CHOOSE(MATCH(IF($E297="","Основний",$E297),{"Трафіковий","Основний","Маржинальний","Сезонний","Стратегічний"},0),Settings!$B$78,Settings!$B$80,Settings!$B$82,Settings!$B$84,Settings!$B$86))/6,2)*6,"")</f>
        <v/>
      </c>
      <c r="G297" s="142">
        <f>IFERROR(CHOOSE(MATCH(IF($E297="","Основний",$E297),{"Трафіковий","Основний","Маржинальний","Сезонний","Стратегічний"},0),Settings!$B$78,Settings!$B$80,Settings!$B$82,Settings!$B$84,Settings!$B$86),"")</f>
        <v/>
      </c>
      <c r="H297" s="148">
        <f>IFERROR((F297*(1-Settings!$B$17)-C297)/(F297*(1-Settings!$B$17)),"")</f>
        <v/>
      </c>
      <c r="I297" s="149">
        <f>IFERROR(IF(F297="","",IF(F297&gt;=C297/(1-SKU_Base!Z297)/(1-Settings!$B$17),"OK",IF(F297&gt;=C297/(1-SKU_Base!AG297)/(1-Settings!$B$17),"WARN","STOP"))),"")</f>
        <v/>
      </c>
      <c r="J297" s="160">
        <f>IFERROR(ROUND(D297*(1-CHOOSE(MATCH(IF($E297="","Основний",$E297),{"Трафіковий","Основний","Маржинальний","Сезонний","Стратегічний"},0),Settings!$C$78,Settings!$C$80,Settings!$C$82,Settings!$C$84,Settings!$C$86))/6,2)*6,"")</f>
        <v/>
      </c>
      <c r="K297" s="142">
        <f>IFERROR(CHOOSE(MATCH(IF($E297="","Основний",$E297),{"Трафіковий","Основний","Маржинальний","Сезонний","Стратегічний"},0),Settings!$C$78,Settings!$C$80,Settings!$C$82,Settings!$C$84,Settings!$C$86),"")</f>
        <v/>
      </c>
      <c r="L297" s="148">
        <f>IFERROR((J297*(1-Settings!$C$17)-C297)/(J297*(1-Settings!$C$17)),"")</f>
        <v/>
      </c>
      <c r="M297" s="149">
        <f>IFERROR(IF(J297="","",IF(J297&gt;=C297/(1-SKU_Base!AA297)/(1-Settings!$C$17),"OK",IF(J297&gt;=C297/(1-SKU_Base!AH297)/(1-Settings!$C$17),"WARN","STOP"))),"")</f>
        <v/>
      </c>
      <c r="N297" s="161">
        <f>IFERROR(ROUND(D297*(1-CHOOSE(MATCH(IF($E297="","Основний",$E297),{"Трафіковий","Основний","Маржинальний","Сезонний","Стратегічний"},0),Settings!$D$78,Settings!$D$80,Settings!$D$82,Settings!$D$84,Settings!$D$86))/6,2)*6,"")</f>
        <v/>
      </c>
      <c r="O297" s="142">
        <f>IFERROR(CHOOSE(MATCH(IF($E297="","Основний",$E297),{"Трафіковий","Основний","Маржинальний","Сезонний","Стратегічний"},0),Settings!$D$78,Settings!$D$80,Settings!$D$82,Settings!$D$84,Settings!$D$86),"")</f>
        <v/>
      </c>
      <c r="P297" s="148">
        <f>IFERROR((N297*(1-Settings!$D$17)-C297)/(N297*(1-Settings!$D$17)),"")</f>
        <v/>
      </c>
      <c r="Q297" s="149">
        <f>IFERROR(IF(N297="","",IF(N297&gt;=C297/(1-SKU_Base!AB297)/(1-Settings!$D$17),"OK",IF(N297&gt;=C297/(1-SKU_Base!AI297)/(1-Settings!$D$17),"WARN","STOP"))),"")</f>
        <v/>
      </c>
      <c r="R297" s="161">
        <f>IFERROR(ROUND(D297*(1-CHOOSE(MATCH(IF($E297="","Основний",$E297),{"Трафіковий","Основний","Маржинальний","Сезонний","Стратегічний"},0),Settings!$E$78,Settings!$E$80,Settings!$E$82,Settings!$E$84,Settings!$E$86))/6,2)*6,"")</f>
        <v/>
      </c>
      <c r="S297" s="142">
        <f>IFERROR(CHOOSE(MATCH(IF($E297="","Основний",$E297),{"Трафіковий","Основний","Маржинальний","Сезонний","Стратегічний"},0),Settings!$E$78,Settings!$E$80,Settings!$E$82,Settings!$E$84,Settings!$E$86),"")</f>
        <v/>
      </c>
      <c r="T297" s="148">
        <f>IFERROR((R297*(1-Settings!$E$17)-C297)/(R297*(1-Settings!$E$17)),"")</f>
        <v/>
      </c>
      <c r="U297" s="149">
        <f>IFERROR(IF(R297="","",IF(R297&gt;=C297/(1-SKU_Base!AC297)/(1-Settings!$E$17),"OK",IF(R297&gt;=C297/(1-SKU_Base!AJ297)/(1-Settings!$E$17),"WARN","STOP"))),"")</f>
        <v/>
      </c>
      <c r="V297" s="161">
        <f>IFERROR(ROUND(D297*(1-CHOOSE(MATCH(IF($E297="","Основний",$E297),{"Трафіковий","Основний","Маржинальний","Сезонний","Стратегічний"},0),Settings!$F$78,Settings!$F$80,Settings!$F$82,Settings!$F$84,Settings!$F$86))/6,2)*6,"")</f>
        <v/>
      </c>
      <c r="W297" s="142">
        <f>IFERROR(CHOOSE(MATCH(IF($E297="","Основний",$E297),{"Трафіковий","Основний","Маржинальний","Сезонний","Стратегічний"},0),Settings!$F$78,Settings!$F$80,Settings!$F$82,Settings!$F$84,Settings!$F$86),"")</f>
        <v/>
      </c>
      <c r="X297" s="148">
        <f>IFERROR((V297*(1-Settings!$F$17)-C297)/(V297*(1-Settings!$F$17)),"")</f>
        <v/>
      </c>
      <c r="Y297" s="149">
        <f>IFERROR(IF(V297="","",IF(V297&gt;=C297/(1-SKU_Base!AD297)/(1-Settings!$F$17),"OK",IF(V297&gt;=C297/(1-SKU_Base!AK297)/(1-Settings!$F$17),"WARN","STOP"))),"")</f>
        <v/>
      </c>
      <c r="Z297" s="161">
        <f>IFERROR(ROUND(D297*(1-CHOOSE(MATCH(IF($E297="","Основний",$E297),{"Трафіковий","Основний","Маржинальний","Сезонний","Стратегічний"},0),Settings!$G$78,Settings!$G$80,Settings!$G$82,Settings!$G$84,Settings!$G$86))/6,2)*6,"")</f>
        <v/>
      </c>
      <c r="AA297" s="142">
        <f>IFERROR(CHOOSE(MATCH(IF($E297="","Основний",$E297),{"Трафіковий","Основний","Маржинальний","Сезонний","Стратегічний"},0),Settings!$G$78,Settings!$G$80,Settings!$G$82,Settings!$G$84,Settings!$G$86),"")</f>
        <v/>
      </c>
      <c r="AB297" s="148">
        <f>IFERROR((Z297*(1-Settings!$G$17)-C297)/(Z297*(1-Settings!$G$17)),"")</f>
        <v/>
      </c>
      <c r="AC297" s="149">
        <f>IFERROR(IF(Z297="","",IF(Z297&gt;=C297/(1-SKU_Base!AE297)/(1-Settings!$G$17),"OK",IF(Z297&gt;=C297/(1-SKU_Base!AL297)/(1-Settings!$G$17),"WARN","STOP"))),"")</f>
        <v/>
      </c>
      <c r="AD297" s="161">
        <f>IFERROR(ROUND(D297*(1-CHOOSE(MATCH(IF($E297="","Основний",$E297),{"Трафіковий","Основний","Маржинальний","Сезонний","Стратегічний"},0),Settings!$H$78,Settings!$H$80,Settings!$H$82,Settings!$H$84,Settings!$H$86))*(1-Settings!$H$68)/6,2)*6,"")</f>
        <v/>
      </c>
      <c r="AE297" s="142">
        <f>IFERROR(CHOOSE(MATCH(IF($E297="","Основний",$E297),{"Трафіковий","Основний","Маржинальний","Сезонний","Стратегічний"},0),Settings!$H$78,Settings!$H$80,Settings!$H$82,Settings!$H$84,Settings!$H$86)+(1-(CHOOSE(MATCH(IF($E297="","Основний",$E297),{"Трафіковий","Основний","Маржинальний","Сезонний","Стратегічний"},0),Settings!$H$78,Settings!$H$80,Settings!$H$82,Settings!$H$84,Settings!$H$86)))*Settings!$H$68,"")</f>
        <v/>
      </c>
      <c r="AF297" s="148">
        <f>IFERROR((AD297*(1-Settings!$H$17)-C297)/(AD297*(1-Settings!$H$17)),"")</f>
        <v/>
      </c>
      <c r="AG297" s="150">
        <f>IFERROR(IF(AD297="","",IF(AD297&gt;=C297/(1-SKU_Base!AF297)/(1-Settings!$H$17),"OK",IF(AD297&gt;=C297/(1-SKU_Base!AM297)/(1-Settings!$H$17),"WARN","STOP"))),"")</f>
        <v/>
      </c>
    </row>
    <row r="298" ht="17" customHeight="1" s="179">
      <c r="A298" s="139">
        <f>SKU_Base!B298</f>
        <v/>
      </c>
      <c r="B298" s="139">
        <f>SKU_Base!C298</f>
        <v/>
      </c>
      <c r="C298" s="140">
        <f>IFERROR(SKU_Base!I298,"")</f>
        <v/>
      </c>
      <c r="D298" s="163">
        <f>IFERROR(SKU_Base!T298,"")</f>
        <v/>
      </c>
      <c r="E298" s="141">
        <f>IFERROR(SKU_Base!$U298,"")</f>
        <v/>
      </c>
      <c r="F298" s="158">
        <f>IFERROR(ROUND(D298*(1-CHOOSE(MATCH(IF($E298="","Основний",$E298),{"Трафіковий","Основний","Маржинальний","Сезонний","Стратегічний"},0),Settings!$B$78,Settings!$B$80,Settings!$B$82,Settings!$B$84,Settings!$B$86))/6,2)*6,"")</f>
        <v/>
      </c>
      <c r="G298" s="142">
        <f>IFERROR(CHOOSE(MATCH(IF($E298="","Основний",$E298),{"Трафіковий","Основний","Маржинальний","Сезонний","Стратегічний"},0),Settings!$B$78,Settings!$B$80,Settings!$B$82,Settings!$B$84,Settings!$B$86),"")</f>
        <v/>
      </c>
      <c r="H298" s="143">
        <f>IFERROR((F298*(1-Settings!$B$17)-C298)/(F298*(1-Settings!$B$17)),"")</f>
        <v/>
      </c>
      <c r="I298" s="149">
        <f>IFERROR(IF(F298="","",IF(F298&gt;=C298/(1-SKU_Base!Z298)/(1-Settings!$B$17),"OK",IF(F298&gt;=C298/(1-SKU_Base!AG298)/(1-Settings!$B$17),"WARN","STOP"))),"")</f>
        <v/>
      </c>
      <c r="J298" s="158">
        <f>IFERROR(ROUND(D298*(1-CHOOSE(MATCH(IF($E298="","Основний",$E298),{"Трафіковий","Основний","Маржинальний","Сезонний","Стратегічний"},0),Settings!$C$78,Settings!$C$80,Settings!$C$82,Settings!$C$84,Settings!$C$86))/6,2)*6,"")</f>
        <v/>
      </c>
      <c r="K298" s="142">
        <f>IFERROR(CHOOSE(MATCH(IF($E298="","Основний",$E298),{"Трафіковий","Основний","Маржинальний","Сезонний","Стратегічний"},0),Settings!$C$78,Settings!$C$80,Settings!$C$82,Settings!$C$84,Settings!$C$86),"")</f>
        <v/>
      </c>
      <c r="L298" s="143">
        <f>IFERROR((J298*(1-Settings!$C$17)-C298)/(J298*(1-Settings!$C$17)),"")</f>
        <v/>
      </c>
      <c r="M298" s="149">
        <f>IFERROR(IF(J298="","",IF(J298&gt;=C298/(1-SKU_Base!AA298)/(1-Settings!$C$17),"OK",IF(J298&gt;=C298/(1-SKU_Base!AH298)/(1-Settings!$C$17),"WARN","STOP"))),"")</f>
        <v/>
      </c>
      <c r="N298" s="159">
        <f>IFERROR(ROUND(D298*(1-CHOOSE(MATCH(IF($E298="","Основний",$E298),{"Трафіковий","Основний","Маржинальний","Сезонний","Стратегічний"},0),Settings!$D$78,Settings!$D$80,Settings!$D$82,Settings!$D$84,Settings!$D$86))/6,2)*6,"")</f>
        <v/>
      </c>
      <c r="O298" s="142">
        <f>IFERROR(CHOOSE(MATCH(IF($E298="","Основний",$E298),{"Трафіковий","Основний","Маржинальний","Сезонний","Стратегічний"},0),Settings!$D$78,Settings!$D$80,Settings!$D$82,Settings!$D$84,Settings!$D$86),"")</f>
        <v/>
      </c>
      <c r="P298" s="143">
        <f>IFERROR((N298*(1-Settings!$D$17)-C298)/(N298*(1-Settings!$D$17)),"")</f>
        <v/>
      </c>
      <c r="Q298" s="149">
        <f>IFERROR(IF(N298="","",IF(N298&gt;=C298/(1-SKU_Base!AB298)/(1-Settings!$D$17),"OK",IF(N298&gt;=C298/(1-SKU_Base!AI298)/(1-Settings!$D$17),"WARN","STOP"))),"")</f>
        <v/>
      </c>
      <c r="R298" s="159">
        <f>IFERROR(ROUND(D298*(1-CHOOSE(MATCH(IF($E298="","Основний",$E298),{"Трафіковий","Основний","Маржинальний","Сезонний","Стратегічний"},0),Settings!$E$78,Settings!$E$80,Settings!$E$82,Settings!$E$84,Settings!$E$86))/6,2)*6,"")</f>
        <v/>
      </c>
      <c r="S298" s="142">
        <f>IFERROR(CHOOSE(MATCH(IF($E298="","Основний",$E298),{"Трафіковий","Основний","Маржинальний","Сезонний","Стратегічний"},0),Settings!$E$78,Settings!$E$80,Settings!$E$82,Settings!$E$84,Settings!$E$86),"")</f>
        <v/>
      </c>
      <c r="T298" s="143">
        <f>IFERROR((R298*(1-Settings!$E$17)-C298)/(R298*(1-Settings!$E$17)),"")</f>
        <v/>
      </c>
      <c r="U298" s="149">
        <f>IFERROR(IF(R298="","",IF(R298&gt;=C298/(1-SKU_Base!AC298)/(1-Settings!$E$17),"OK",IF(R298&gt;=C298/(1-SKU_Base!AJ298)/(1-Settings!$E$17),"WARN","STOP"))),"")</f>
        <v/>
      </c>
      <c r="V298" s="159">
        <f>IFERROR(ROUND(D298*(1-CHOOSE(MATCH(IF($E298="","Основний",$E298),{"Трафіковий","Основний","Маржинальний","Сезонний","Стратегічний"},0),Settings!$F$78,Settings!$F$80,Settings!$F$82,Settings!$F$84,Settings!$F$86))/6,2)*6,"")</f>
        <v/>
      </c>
      <c r="W298" s="142">
        <f>IFERROR(CHOOSE(MATCH(IF($E298="","Основний",$E298),{"Трафіковий","Основний","Маржинальний","Сезонний","Стратегічний"},0),Settings!$F$78,Settings!$F$80,Settings!$F$82,Settings!$F$84,Settings!$F$86),"")</f>
        <v/>
      </c>
      <c r="X298" s="143">
        <f>IFERROR((V298*(1-Settings!$F$17)-C298)/(V298*(1-Settings!$F$17)),"")</f>
        <v/>
      </c>
      <c r="Y298" s="149">
        <f>IFERROR(IF(V298="","",IF(V298&gt;=C298/(1-SKU_Base!AD298)/(1-Settings!$F$17),"OK",IF(V298&gt;=C298/(1-SKU_Base!AK298)/(1-Settings!$F$17),"WARN","STOP"))),"")</f>
        <v/>
      </c>
      <c r="Z298" s="159">
        <f>IFERROR(ROUND(D298*(1-CHOOSE(MATCH(IF($E298="","Основний",$E298),{"Трафіковий","Основний","Маржинальний","Сезонний","Стратегічний"},0),Settings!$G$78,Settings!$G$80,Settings!$G$82,Settings!$G$84,Settings!$G$86))/6,2)*6,"")</f>
        <v/>
      </c>
      <c r="AA298" s="142">
        <f>IFERROR(CHOOSE(MATCH(IF($E298="","Основний",$E298),{"Трафіковий","Основний","Маржинальний","Сезонний","Стратегічний"},0),Settings!$G$78,Settings!$G$80,Settings!$G$82,Settings!$G$84,Settings!$G$86),"")</f>
        <v/>
      </c>
      <c r="AB298" s="143">
        <f>IFERROR((Z298*(1-Settings!$G$17)-C298)/(Z298*(1-Settings!$G$17)),"")</f>
        <v/>
      </c>
      <c r="AC298" s="149">
        <f>IFERROR(IF(Z298="","",IF(Z298&gt;=C298/(1-SKU_Base!AE298)/(1-Settings!$G$17),"OK",IF(Z298&gt;=C298/(1-SKU_Base!AL298)/(1-Settings!$G$17),"WARN","STOP"))),"")</f>
        <v/>
      </c>
      <c r="AD298" s="159">
        <f>IFERROR(ROUND(D298*(1-CHOOSE(MATCH(IF($E298="","Основний",$E298),{"Трафіковий","Основний","Маржинальний","Сезонний","Стратегічний"},0),Settings!$H$78,Settings!$H$80,Settings!$H$82,Settings!$H$84,Settings!$H$86))*(1-Settings!$H$68)/6,2)*6,"")</f>
        <v/>
      </c>
      <c r="AE298" s="142">
        <f>IFERROR(CHOOSE(MATCH(IF($E298="","Основний",$E298),{"Трафіковий","Основний","Маржинальний","Сезонний","Стратегічний"},0),Settings!$H$78,Settings!$H$80,Settings!$H$82,Settings!$H$84,Settings!$H$86)+(1-(CHOOSE(MATCH(IF($E298="","Основний",$E298),{"Трафіковий","Основний","Маржинальний","Сезонний","Стратегічний"},0),Settings!$H$78,Settings!$H$80,Settings!$H$82,Settings!$H$84,Settings!$H$86)))*Settings!$H$68,"")</f>
        <v/>
      </c>
      <c r="AF298" s="143">
        <f>IFERROR((AD298*(1-Settings!$H$17)-C298)/(AD298*(1-Settings!$H$17)),"")</f>
        <v/>
      </c>
      <c r="AG298" s="150">
        <f>IFERROR(IF(AD298="","",IF(AD298&gt;=C298/(1-SKU_Base!AF298)/(1-Settings!$H$17),"OK",IF(AD298&gt;=C298/(1-SKU_Base!AM298)/(1-Settings!$H$17),"WARN","STOP"))),"")</f>
        <v/>
      </c>
    </row>
    <row r="299" ht="17" customHeight="1" s="179">
      <c r="A299" s="146">
        <f>SKU_Base!B299</f>
        <v/>
      </c>
      <c r="B299" s="146">
        <f>SKU_Base!C299</f>
        <v/>
      </c>
      <c r="C299" s="147">
        <f>IFERROR(SKU_Base!I299,"")</f>
        <v/>
      </c>
      <c r="D299" s="164">
        <f>IFERROR(SKU_Base!T299,"")</f>
        <v/>
      </c>
      <c r="E299" s="141">
        <f>IFERROR(SKU_Base!$U299,"")</f>
        <v/>
      </c>
      <c r="F299" s="160">
        <f>IFERROR(ROUND(D299*(1-CHOOSE(MATCH(IF($E299="","Основний",$E299),{"Трафіковий","Основний","Маржинальний","Сезонний","Стратегічний"},0),Settings!$B$78,Settings!$B$80,Settings!$B$82,Settings!$B$84,Settings!$B$86))/6,2)*6,"")</f>
        <v/>
      </c>
      <c r="G299" s="142">
        <f>IFERROR(CHOOSE(MATCH(IF($E299="","Основний",$E299),{"Трафіковий","Основний","Маржинальний","Сезонний","Стратегічний"},0),Settings!$B$78,Settings!$B$80,Settings!$B$82,Settings!$B$84,Settings!$B$86),"")</f>
        <v/>
      </c>
      <c r="H299" s="148">
        <f>IFERROR((F299*(1-Settings!$B$17)-C299)/(F299*(1-Settings!$B$17)),"")</f>
        <v/>
      </c>
      <c r="I299" s="149">
        <f>IFERROR(IF(F299="","",IF(F299&gt;=C299/(1-SKU_Base!Z299)/(1-Settings!$B$17),"OK",IF(F299&gt;=C299/(1-SKU_Base!AG299)/(1-Settings!$B$17),"WARN","STOP"))),"")</f>
        <v/>
      </c>
      <c r="J299" s="160">
        <f>IFERROR(ROUND(D299*(1-CHOOSE(MATCH(IF($E299="","Основний",$E299),{"Трафіковий","Основний","Маржинальний","Сезонний","Стратегічний"},0),Settings!$C$78,Settings!$C$80,Settings!$C$82,Settings!$C$84,Settings!$C$86))/6,2)*6,"")</f>
        <v/>
      </c>
      <c r="K299" s="142">
        <f>IFERROR(CHOOSE(MATCH(IF($E299="","Основний",$E299),{"Трафіковий","Основний","Маржинальний","Сезонний","Стратегічний"},0),Settings!$C$78,Settings!$C$80,Settings!$C$82,Settings!$C$84,Settings!$C$86),"")</f>
        <v/>
      </c>
      <c r="L299" s="148">
        <f>IFERROR((J299*(1-Settings!$C$17)-C299)/(J299*(1-Settings!$C$17)),"")</f>
        <v/>
      </c>
      <c r="M299" s="149">
        <f>IFERROR(IF(J299="","",IF(J299&gt;=C299/(1-SKU_Base!AA299)/(1-Settings!$C$17),"OK",IF(J299&gt;=C299/(1-SKU_Base!AH299)/(1-Settings!$C$17),"WARN","STOP"))),"")</f>
        <v/>
      </c>
      <c r="N299" s="161">
        <f>IFERROR(ROUND(D299*(1-CHOOSE(MATCH(IF($E299="","Основний",$E299),{"Трафіковий","Основний","Маржинальний","Сезонний","Стратегічний"},0),Settings!$D$78,Settings!$D$80,Settings!$D$82,Settings!$D$84,Settings!$D$86))/6,2)*6,"")</f>
        <v/>
      </c>
      <c r="O299" s="142">
        <f>IFERROR(CHOOSE(MATCH(IF($E299="","Основний",$E299),{"Трафіковий","Основний","Маржинальний","Сезонний","Стратегічний"},0),Settings!$D$78,Settings!$D$80,Settings!$D$82,Settings!$D$84,Settings!$D$86),"")</f>
        <v/>
      </c>
      <c r="P299" s="148">
        <f>IFERROR((N299*(1-Settings!$D$17)-C299)/(N299*(1-Settings!$D$17)),"")</f>
        <v/>
      </c>
      <c r="Q299" s="149">
        <f>IFERROR(IF(N299="","",IF(N299&gt;=C299/(1-SKU_Base!AB299)/(1-Settings!$D$17),"OK",IF(N299&gt;=C299/(1-SKU_Base!AI299)/(1-Settings!$D$17),"WARN","STOP"))),"")</f>
        <v/>
      </c>
      <c r="R299" s="161">
        <f>IFERROR(ROUND(D299*(1-CHOOSE(MATCH(IF($E299="","Основний",$E299),{"Трафіковий","Основний","Маржинальний","Сезонний","Стратегічний"},0),Settings!$E$78,Settings!$E$80,Settings!$E$82,Settings!$E$84,Settings!$E$86))/6,2)*6,"")</f>
        <v/>
      </c>
      <c r="S299" s="142">
        <f>IFERROR(CHOOSE(MATCH(IF($E299="","Основний",$E299),{"Трафіковий","Основний","Маржинальний","Сезонний","Стратегічний"},0),Settings!$E$78,Settings!$E$80,Settings!$E$82,Settings!$E$84,Settings!$E$86),"")</f>
        <v/>
      </c>
      <c r="T299" s="148">
        <f>IFERROR((R299*(1-Settings!$E$17)-C299)/(R299*(1-Settings!$E$17)),"")</f>
        <v/>
      </c>
      <c r="U299" s="149">
        <f>IFERROR(IF(R299="","",IF(R299&gt;=C299/(1-SKU_Base!AC299)/(1-Settings!$E$17),"OK",IF(R299&gt;=C299/(1-SKU_Base!AJ299)/(1-Settings!$E$17),"WARN","STOP"))),"")</f>
        <v/>
      </c>
      <c r="V299" s="161">
        <f>IFERROR(ROUND(D299*(1-CHOOSE(MATCH(IF($E299="","Основний",$E299),{"Трафіковий","Основний","Маржинальний","Сезонний","Стратегічний"},0),Settings!$F$78,Settings!$F$80,Settings!$F$82,Settings!$F$84,Settings!$F$86))/6,2)*6,"")</f>
        <v/>
      </c>
      <c r="W299" s="142">
        <f>IFERROR(CHOOSE(MATCH(IF($E299="","Основний",$E299),{"Трафіковий","Основний","Маржинальний","Сезонний","Стратегічний"},0),Settings!$F$78,Settings!$F$80,Settings!$F$82,Settings!$F$84,Settings!$F$86),"")</f>
        <v/>
      </c>
      <c r="X299" s="148">
        <f>IFERROR((V299*(1-Settings!$F$17)-C299)/(V299*(1-Settings!$F$17)),"")</f>
        <v/>
      </c>
      <c r="Y299" s="149">
        <f>IFERROR(IF(V299="","",IF(V299&gt;=C299/(1-SKU_Base!AD299)/(1-Settings!$F$17),"OK",IF(V299&gt;=C299/(1-SKU_Base!AK299)/(1-Settings!$F$17),"WARN","STOP"))),"")</f>
        <v/>
      </c>
      <c r="Z299" s="161">
        <f>IFERROR(ROUND(D299*(1-CHOOSE(MATCH(IF($E299="","Основний",$E299),{"Трафіковий","Основний","Маржинальний","Сезонний","Стратегічний"},0),Settings!$G$78,Settings!$G$80,Settings!$G$82,Settings!$G$84,Settings!$G$86))/6,2)*6,"")</f>
        <v/>
      </c>
      <c r="AA299" s="142">
        <f>IFERROR(CHOOSE(MATCH(IF($E299="","Основний",$E299),{"Трафіковий","Основний","Маржинальний","Сезонний","Стратегічний"},0),Settings!$G$78,Settings!$G$80,Settings!$G$82,Settings!$G$84,Settings!$G$86),"")</f>
        <v/>
      </c>
      <c r="AB299" s="148">
        <f>IFERROR((Z299*(1-Settings!$G$17)-C299)/(Z299*(1-Settings!$G$17)),"")</f>
        <v/>
      </c>
      <c r="AC299" s="149">
        <f>IFERROR(IF(Z299="","",IF(Z299&gt;=C299/(1-SKU_Base!AE299)/(1-Settings!$G$17),"OK",IF(Z299&gt;=C299/(1-SKU_Base!AL299)/(1-Settings!$G$17),"WARN","STOP"))),"")</f>
        <v/>
      </c>
      <c r="AD299" s="161">
        <f>IFERROR(ROUND(D299*(1-CHOOSE(MATCH(IF($E299="","Основний",$E299),{"Трафіковий","Основний","Маржинальний","Сезонний","Стратегічний"},0),Settings!$H$78,Settings!$H$80,Settings!$H$82,Settings!$H$84,Settings!$H$86))*(1-Settings!$H$68)/6,2)*6,"")</f>
        <v/>
      </c>
      <c r="AE299" s="142">
        <f>IFERROR(CHOOSE(MATCH(IF($E299="","Основний",$E299),{"Трафіковий","Основний","Маржинальний","Сезонний","Стратегічний"},0),Settings!$H$78,Settings!$H$80,Settings!$H$82,Settings!$H$84,Settings!$H$86)+(1-(CHOOSE(MATCH(IF($E299="","Основний",$E299),{"Трафіковий","Основний","Маржинальний","Сезонний","Стратегічний"},0),Settings!$H$78,Settings!$H$80,Settings!$H$82,Settings!$H$84,Settings!$H$86)))*Settings!$H$68,"")</f>
        <v/>
      </c>
      <c r="AF299" s="148">
        <f>IFERROR((AD299*(1-Settings!$H$17)-C299)/(AD299*(1-Settings!$H$17)),"")</f>
        <v/>
      </c>
      <c r="AG299" s="150">
        <f>IFERROR(IF(AD299="","",IF(AD299&gt;=C299/(1-SKU_Base!AF299)/(1-Settings!$H$17),"OK",IF(AD299&gt;=C299/(1-SKU_Base!AM299)/(1-Settings!$H$17),"WARN","STOP"))),"")</f>
        <v/>
      </c>
    </row>
    <row r="300" ht="17" customHeight="1" s="179">
      <c r="A300" s="139">
        <f>SKU_Base!B300</f>
        <v/>
      </c>
      <c r="B300" s="139">
        <f>SKU_Base!C300</f>
        <v/>
      </c>
      <c r="C300" s="140">
        <f>IFERROR(SKU_Base!I300,"")</f>
        <v/>
      </c>
      <c r="D300" s="163">
        <f>IFERROR(SKU_Base!T300,"")</f>
        <v/>
      </c>
      <c r="E300" s="141">
        <f>IFERROR(SKU_Base!$U300,"")</f>
        <v/>
      </c>
      <c r="F300" s="158">
        <f>IFERROR(ROUND(D300*(1-CHOOSE(MATCH(IF($E300="","Основний",$E300),{"Трафіковий","Основний","Маржинальний","Сезонний","Стратегічний"},0),Settings!$B$78,Settings!$B$80,Settings!$B$82,Settings!$B$84,Settings!$B$86))/6,2)*6,"")</f>
        <v/>
      </c>
      <c r="G300" s="142">
        <f>IFERROR(CHOOSE(MATCH(IF($E300="","Основний",$E300),{"Трафіковий","Основний","Маржинальний","Сезонний","Стратегічний"},0),Settings!$B$78,Settings!$B$80,Settings!$B$82,Settings!$B$84,Settings!$B$86),"")</f>
        <v/>
      </c>
      <c r="H300" s="143">
        <f>IFERROR((F300*(1-Settings!$B$17)-C300)/(F300*(1-Settings!$B$17)),"")</f>
        <v/>
      </c>
      <c r="I300" s="149">
        <f>IFERROR(IF(F300="","",IF(F300&gt;=C300/(1-SKU_Base!Z300)/(1-Settings!$B$17),"OK",IF(F300&gt;=C300/(1-SKU_Base!AG300)/(1-Settings!$B$17),"WARN","STOP"))),"")</f>
        <v/>
      </c>
      <c r="J300" s="158">
        <f>IFERROR(ROUND(D300*(1-CHOOSE(MATCH(IF($E300="","Основний",$E300),{"Трафіковий","Основний","Маржинальний","Сезонний","Стратегічний"},0),Settings!$C$78,Settings!$C$80,Settings!$C$82,Settings!$C$84,Settings!$C$86))/6,2)*6,"")</f>
        <v/>
      </c>
      <c r="K300" s="142">
        <f>IFERROR(CHOOSE(MATCH(IF($E300="","Основний",$E300),{"Трафіковий","Основний","Маржинальний","Сезонний","Стратегічний"},0),Settings!$C$78,Settings!$C$80,Settings!$C$82,Settings!$C$84,Settings!$C$86),"")</f>
        <v/>
      </c>
      <c r="L300" s="143">
        <f>IFERROR((J300*(1-Settings!$C$17)-C300)/(J300*(1-Settings!$C$17)),"")</f>
        <v/>
      </c>
      <c r="M300" s="149">
        <f>IFERROR(IF(J300="","",IF(J300&gt;=C300/(1-SKU_Base!AA300)/(1-Settings!$C$17),"OK",IF(J300&gt;=C300/(1-SKU_Base!AH300)/(1-Settings!$C$17),"WARN","STOP"))),"")</f>
        <v/>
      </c>
      <c r="N300" s="159">
        <f>IFERROR(ROUND(D300*(1-CHOOSE(MATCH(IF($E300="","Основний",$E300),{"Трафіковий","Основний","Маржинальний","Сезонний","Стратегічний"},0),Settings!$D$78,Settings!$D$80,Settings!$D$82,Settings!$D$84,Settings!$D$86))/6,2)*6,"")</f>
        <v/>
      </c>
      <c r="O300" s="142">
        <f>IFERROR(CHOOSE(MATCH(IF($E300="","Основний",$E300),{"Трафіковий","Основний","Маржинальний","Сезонний","Стратегічний"},0),Settings!$D$78,Settings!$D$80,Settings!$D$82,Settings!$D$84,Settings!$D$86),"")</f>
        <v/>
      </c>
      <c r="P300" s="143">
        <f>IFERROR((N300*(1-Settings!$D$17)-C300)/(N300*(1-Settings!$D$17)),"")</f>
        <v/>
      </c>
      <c r="Q300" s="149">
        <f>IFERROR(IF(N300="","",IF(N300&gt;=C300/(1-SKU_Base!AB300)/(1-Settings!$D$17),"OK",IF(N300&gt;=C300/(1-SKU_Base!AI300)/(1-Settings!$D$17),"WARN","STOP"))),"")</f>
        <v/>
      </c>
      <c r="R300" s="159">
        <f>IFERROR(ROUND(D300*(1-CHOOSE(MATCH(IF($E300="","Основний",$E300),{"Трафіковий","Основний","Маржинальний","Сезонний","Стратегічний"},0),Settings!$E$78,Settings!$E$80,Settings!$E$82,Settings!$E$84,Settings!$E$86))/6,2)*6,"")</f>
        <v/>
      </c>
      <c r="S300" s="142">
        <f>IFERROR(CHOOSE(MATCH(IF($E300="","Основний",$E300),{"Трафіковий","Основний","Маржинальний","Сезонний","Стратегічний"},0),Settings!$E$78,Settings!$E$80,Settings!$E$82,Settings!$E$84,Settings!$E$86),"")</f>
        <v/>
      </c>
      <c r="T300" s="143">
        <f>IFERROR((R300*(1-Settings!$E$17)-C300)/(R300*(1-Settings!$E$17)),"")</f>
        <v/>
      </c>
      <c r="U300" s="149">
        <f>IFERROR(IF(R300="","",IF(R300&gt;=C300/(1-SKU_Base!AC300)/(1-Settings!$E$17),"OK",IF(R300&gt;=C300/(1-SKU_Base!AJ300)/(1-Settings!$E$17),"WARN","STOP"))),"")</f>
        <v/>
      </c>
      <c r="V300" s="159">
        <f>IFERROR(ROUND(D300*(1-CHOOSE(MATCH(IF($E300="","Основний",$E300),{"Трафіковий","Основний","Маржинальний","Сезонний","Стратегічний"},0),Settings!$F$78,Settings!$F$80,Settings!$F$82,Settings!$F$84,Settings!$F$86))/6,2)*6,"")</f>
        <v/>
      </c>
      <c r="W300" s="142">
        <f>IFERROR(CHOOSE(MATCH(IF($E300="","Основний",$E300),{"Трафіковий","Основний","Маржинальний","Сезонний","Стратегічний"},0),Settings!$F$78,Settings!$F$80,Settings!$F$82,Settings!$F$84,Settings!$F$86),"")</f>
        <v/>
      </c>
      <c r="X300" s="143">
        <f>IFERROR((V300*(1-Settings!$F$17)-C300)/(V300*(1-Settings!$F$17)),"")</f>
        <v/>
      </c>
      <c r="Y300" s="149">
        <f>IFERROR(IF(V300="","",IF(V300&gt;=C300/(1-SKU_Base!AD300)/(1-Settings!$F$17),"OK",IF(V300&gt;=C300/(1-SKU_Base!AK300)/(1-Settings!$F$17),"WARN","STOP"))),"")</f>
        <v/>
      </c>
      <c r="Z300" s="159">
        <f>IFERROR(ROUND(D300*(1-CHOOSE(MATCH(IF($E300="","Основний",$E300),{"Трафіковий","Основний","Маржинальний","Сезонний","Стратегічний"},0),Settings!$G$78,Settings!$G$80,Settings!$G$82,Settings!$G$84,Settings!$G$86))/6,2)*6,"")</f>
        <v/>
      </c>
      <c r="AA300" s="142">
        <f>IFERROR(CHOOSE(MATCH(IF($E300="","Основний",$E300),{"Трафіковий","Основний","Маржинальний","Сезонний","Стратегічний"},0),Settings!$G$78,Settings!$G$80,Settings!$G$82,Settings!$G$84,Settings!$G$86),"")</f>
        <v/>
      </c>
      <c r="AB300" s="143">
        <f>IFERROR((Z300*(1-Settings!$G$17)-C300)/(Z300*(1-Settings!$G$17)),"")</f>
        <v/>
      </c>
      <c r="AC300" s="149">
        <f>IFERROR(IF(Z300="","",IF(Z300&gt;=C300/(1-SKU_Base!AE300)/(1-Settings!$G$17),"OK",IF(Z300&gt;=C300/(1-SKU_Base!AL300)/(1-Settings!$G$17),"WARN","STOP"))),"")</f>
        <v/>
      </c>
      <c r="AD300" s="159">
        <f>IFERROR(ROUND(D300*(1-CHOOSE(MATCH(IF($E300="","Основний",$E300),{"Трафіковий","Основний","Маржинальний","Сезонний","Стратегічний"},0),Settings!$H$78,Settings!$H$80,Settings!$H$82,Settings!$H$84,Settings!$H$86))*(1-Settings!$H$68)/6,2)*6,"")</f>
        <v/>
      </c>
      <c r="AE300" s="142">
        <f>IFERROR(CHOOSE(MATCH(IF($E300="","Основний",$E300),{"Трафіковий","Основний","Маржинальний","Сезонний","Стратегічний"},0),Settings!$H$78,Settings!$H$80,Settings!$H$82,Settings!$H$84,Settings!$H$86)+(1-(CHOOSE(MATCH(IF($E300="","Основний",$E300),{"Трафіковий","Основний","Маржинальний","Сезонний","Стратегічний"},0),Settings!$H$78,Settings!$H$80,Settings!$H$82,Settings!$H$84,Settings!$H$86)))*Settings!$H$68,"")</f>
        <v/>
      </c>
      <c r="AF300" s="143">
        <f>IFERROR((AD300*(1-Settings!$H$17)-C300)/(AD300*(1-Settings!$H$17)),"")</f>
        <v/>
      </c>
      <c r="AG300" s="149">
        <f>IFERROR(IF(AD300="","",IF(AD300&gt;=C300/(1-SKU_Base!AF300)/(1-Settings!$H$17),"OK",IF(AD300&gt;=C300/(1-SKU_Base!AM300)/(1-Settings!$H$17),"WARN","STOP"))),"")</f>
        <v/>
      </c>
    </row>
    <row r="301" ht="17" customHeight="1" s="179">
      <c r="A301" s="146">
        <f>SKU_Base!B301</f>
        <v/>
      </c>
      <c r="B301" s="146">
        <f>SKU_Base!C301</f>
        <v/>
      </c>
      <c r="C301" s="147">
        <f>IFERROR(SKU_Base!I301,"")</f>
        <v/>
      </c>
      <c r="D301" s="164">
        <f>IFERROR(SKU_Base!T301,"")</f>
        <v/>
      </c>
      <c r="E301" s="141">
        <f>IFERROR(SKU_Base!$U301,"")</f>
        <v/>
      </c>
      <c r="F301" s="160">
        <f>IFERROR(ROUND(D301*(1-CHOOSE(MATCH(IF($E301="","Основний",$E301),{"Трафіковий","Основний","Маржинальний","Сезонний","Стратегічний"},0),Settings!$B$78,Settings!$B$80,Settings!$B$82,Settings!$B$84,Settings!$B$86))/6,2)*6,"")</f>
        <v/>
      </c>
      <c r="G301" s="142">
        <f>IFERROR(CHOOSE(MATCH(IF($E301="","Основний",$E301),{"Трафіковий","Основний","Маржинальний","Сезонний","Стратегічний"},0),Settings!$B$78,Settings!$B$80,Settings!$B$82,Settings!$B$84,Settings!$B$86),"")</f>
        <v/>
      </c>
      <c r="H301" s="148">
        <f>IFERROR((F301*(1-Settings!$B$17)-C301)/(F301*(1-Settings!$B$17)),"")</f>
        <v/>
      </c>
      <c r="I301" s="150">
        <f>IFERROR(IF(F301="","",IF(F301&gt;=C301/(1-SKU_Base!Z301)/(1-Settings!$B$17),"OK",IF(F301&gt;=C301/(1-SKU_Base!AG301)/(1-Settings!$B$17),"WARN","STOP"))),"")</f>
        <v/>
      </c>
      <c r="J301" s="160">
        <f>IFERROR(ROUND(D301*(1-CHOOSE(MATCH(IF($E301="","Основний",$E301),{"Трафіковий","Основний","Маржинальний","Сезонний","Стратегічний"},0),Settings!$C$78,Settings!$C$80,Settings!$C$82,Settings!$C$84,Settings!$C$86))/6,2)*6,"")</f>
        <v/>
      </c>
      <c r="K301" s="142">
        <f>IFERROR(CHOOSE(MATCH(IF($E301="","Основний",$E301),{"Трафіковий","Основний","Маржинальний","Сезонний","Стратегічний"},0),Settings!$C$78,Settings!$C$80,Settings!$C$82,Settings!$C$84,Settings!$C$86),"")</f>
        <v/>
      </c>
      <c r="L301" s="148">
        <f>IFERROR((J301*(1-Settings!$C$17)-C301)/(J301*(1-Settings!$C$17)),"")</f>
        <v/>
      </c>
      <c r="M301" s="149">
        <f>IFERROR(IF(J301="","",IF(J301&gt;=C301/(1-SKU_Base!AA301)/(1-Settings!$C$17),"OK",IF(J301&gt;=C301/(1-SKU_Base!AH301)/(1-Settings!$C$17),"WARN","STOP"))),"")</f>
        <v/>
      </c>
      <c r="N301" s="161">
        <f>IFERROR(ROUND(D301*(1-CHOOSE(MATCH(IF($E301="","Основний",$E301),{"Трафіковий","Основний","Маржинальний","Сезонний","Стратегічний"},0),Settings!$D$78,Settings!$D$80,Settings!$D$82,Settings!$D$84,Settings!$D$86))/6,2)*6,"")</f>
        <v/>
      </c>
      <c r="O301" s="142">
        <f>IFERROR(CHOOSE(MATCH(IF($E301="","Основний",$E301),{"Трафіковий","Основний","Маржинальний","Сезонний","Стратегічний"},0),Settings!$D$78,Settings!$D$80,Settings!$D$82,Settings!$D$84,Settings!$D$86),"")</f>
        <v/>
      </c>
      <c r="P301" s="148">
        <f>IFERROR((N301*(1-Settings!$D$17)-C301)/(N301*(1-Settings!$D$17)),"")</f>
        <v/>
      </c>
      <c r="Q301" s="149">
        <f>IFERROR(IF(N301="","",IF(N301&gt;=C301/(1-SKU_Base!AB301)/(1-Settings!$D$17),"OK",IF(N301&gt;=C301/(1-SKU_Base!AI301)/(1-Settings!$D$17),"WARN","STOP"))),"")</f>
        <v/>
      </c>
      <c r="R301" s="161">
        <f>IFERROR(ROUND(D301*(1-CHOOSE(MATCH(IF($E301="","Основний",$E301),{"Трафіковий","Основний","Маржинальний","Сезонний","Стратегічний"},0),Settings!$E$78,Settings!$E$80,Settings!$E$82,Settings!$E$84,Settings!$E$86))/6,2)*6,"")</f>
        <v/>
      </c>
      <c r="S301" s="142">
        <f>IFERROR(CHOOSE(MATCH(IF($E301="","Основний",$E301),{"Трафіковий","Основний","Маржинальний","Сезонний","Стратегічний"},0),Settings!$E$78,Settings!$E$80,Settings!$E$82,Settings!$E$84,Settings!$E$86),"")</f>
        <v/>
      </c>
      <c r="T301" s="148">
        <f>IFERROR((R301*(1-Settings!$E$17)-C301)/(R301*(1-Settings!$E$17)),"")</f>
        <v/>
      </c>
      <c r="U301" s="149">
        <f>IFERROR(IF(R301="","",IF(R301&gt;=C301/(1-SKU_Base!AC301)/(1-Settings!$E$17),"OK",IF(R301&gt;=C301/(1-SKU_Base!AJ301)/(1-Settings!$E$17),"WARN","STOP"))),"")</f>
        <v/>
      </c>
      <c r="V301" s="161">
        <f>IFERROR(ROUND(D301*(1-CHOOSE(MATCH(IF($E301="","Основний",$E301),{"Трафіковий","Основний","Маржинальний","Сезонний","Стратегічний"},0),Settings!$F$78,Settings!$F$80,Settings!$F$82,Settings!$F$84,Settings!$F$86))/6,2)*6,"")</f>
        <v/>
      </c>
      <c r="W301" s="142">
        <f>IFERROR(CHOOSE(MATCH(IF($E301="","Основний",$E301),{"Трафіковий","Основний","Маржинальний","Сезонний","Стратегічний"},0),Settings!$F$78,Settings!$F$80,Settings!$F$82,Settings!$F$84,Settings!$F$86),"")</f>
        <v/>
      </c>
      <c r="X301" s="148">
        <f>IFERROR((V301*(1-Settings!$F$17)-C301)/(V301*(1-Settings!$F$17)),"")</f>
        <v/>
      </c>
      <c r="Y301" s="149">
        <f>IFERROR(IF(V301="","",IF(V301&gt;=C301/(1-SKU_Base!AD301)/(1-Settings!$F$17),"OK",IF(V301&gt;=C301/(1-SKU_Base!AK301)/(1-Settings!$F$17),"WARN","STOP"))),"")</f>
        <v/>
      </c>
      <c r="Z301" s="161">
        <f>IFERROR(ROUND(D301*(1-CHOOSE(MATCH(IF($E301="","Основний",$E301),{"Трафіковий","Основний","Маржинальний","Сезонний","Стратегічний"},0),Settings!$G$78,Settings!$G$80,Settings!$G$82,Settings!$G$84,Settings!$G$86))/6,2)*6,"")</f>
        <v/>
      </c>
      <c r="AA301" s="142">
        <f>IFERROR(CHOOSE(MATCH(IF($E301="","Основний",$E301),{"Трафіковий","Основний","Маржинальний","Сезонний","Стратегічний"},0),Settings!$G$78,Settings!$G$80,Settings!$G$82,Settings!$G$84,Settings!$G$86),"")</f>
        <v/>
      </c>
      <c r="AB301" s="148">
        <f>IFERROR((Z301*(1-Settings!$G$17)-C301)/(Z301*(1-Settings!$G$17)),"")</f>
        <v/>
      </c>
      <c r="AC301" s="149">
        <f>IFERROR(IF(Z301="","",IF(Z301&gt;=C301/(1-SKU_Base!AE301)/(1-Settings!$G$17),"OK",IF(Z301&gt;=C301/(1-SKU_Base!AL301)/(1-Settings!$G$17),"WARN","STOP"))),"")</f>
        <v/>
      </c>
      <c r="AD301" s="161">
        <f>IFERROR(ROUND(D301*(1-CHOOSE(MATCH(IF($E301="","Основний",$E301),{"Трафіковий","Основний","Маржинальний","Сезонний","Стратегічний"},0),Settings!$H$78,Settings!$H$80,Settings!$H$82,Settings!$H$84,Settings!$H$86))*(1-Settings!$H$68)/6,2)*6,"")</f>
        <v/>
      </c>
      <c r="AE301" s="142">
        <f>IFERROR(CHOOSE(MATCH(IF($E301="","Основний",$E301),{"Трафіковий","Основний","Маржинальний","Сезонний","Стратегічний"},0),Settings!$H$78,Settings!$H$80,Settings!$H$82,Settings!$H$84,Settings!$H$86)+(1-(CHOOSE(MATCH(IF($E301="","Основний",$E301),{"Трафіковий","Основний","Маржинальний","Сезонний","Стратегічний"},0),Settings!$H$78,Settings!$H$80,Settings!$H$82,Settings!$H$84,Settings!$H$86)))*Settings!$H$68,"")</f>
        <v/>
      </c>
      <c r="AF301" s="148">
        <f>IFERROR((AD301*(1-Settings!$H$17)-C301)/(AD301*(1-Settings!$H$17)),"")</f>
        <v/>
      </c>
      <c r="AG301" s="150">
        <f>IFERROR(IF(AD301="","",IF(AD301&gt;=C301/(1-SKU_Base!AF301)/(1-Settings!$H$17),"OK",IF(AD301&gt;=C301/(1-SKU_Base!AM301)/(1-Settings!$H$17),"WARN","STOP"))),"")</f>
        <v/>
      </c>
    </row>
    <row r="302" ht="17" customHeight="1" s="179">
      <c r="A302" s="139">
        <f>SKU_Base!B302</f>
        <v/>
      </c>
      <c r="B302" s="139">
        <f>SKU_Base!C302</f>
        <v/>
      </c>
      <c r="C302" s="140">
        <f>IFERROR(SKU_Base!I302,"")</f>
        <v/>
      </c>
      <c r="D302" s="163">
        <f>IFERROR(SKU_Base!T302,"")</f>
        <v/>
      </c>
      <c r="E302" s="141">
        <f>IFERROR(SKU_Base!$U302,"")</f>
        <v/>
      </c>
      <c r="F302" s="158">
        <f>IFERROR(ROUND(D302*(1-CHOOSE(MATCH(IF($E302="","Основний",$E302),{"Трафіковий","Основний","Маржинальний","Сезонний","Стратегічний"},0),Settings!$B$78,Settings!$B$80,Settings!$B$82,Settings!$B$84,Settings!$B$86))/6,2)*6,"")</f>
        <v/>
      </c>
      <c r="G302" s="142">
        <f>IFERROR(CHOOSE(MATCH(IF($E302="","Основний",$E302),{"Трафіковий","Основний","Маржинальний","Сезонний","Стратегічний"},0),Settings!$B$78,Settings!$B$80,Settings!$B$82,Settings!$B$84,Settings!$B$86),"")</f>
        <v/>
      </c>
      <c r="H302" s="143">
        <f>IFERROR((F302*(1-Settings!$B$17)-C302)/(F302*(1-Settings!$B$17)),"")</f>
        <v/>
      </c>
      <c r="I302" s="149">
        <f>IFERROR(IF(F302="","",IF(F302&gt;=C302/(1-SKU_Base!Z302)/(1-Settings!$B$17),"OK",IF(F302&gt;=C302/(1-SKU_Base!AG302)/(1-Settings!$B$17),"WARN","STOP"))),"")</f>
        <v/>
      </c>
      <c r="J302" s="158">
        <f>IFERROR(ROUND(D302*(1-CHOOSE(MATCH(IF($E302="","Основний",$E302),{"Трафіковий","Основний","Маржинальний","Сезонний","Стратегічний"},0),Settings!$C$78,Settings!$C$80,Settings!$C$82,Settings!$C$84,Settings!$C$86))/6,2)*6,"")</f>
        <v/>
      </c>
      <c r="K302" s="142">
        <f>IFERROR(CHOOSE(MATCH(IF($E302="","Основний",$E302),{"Трафіковий","Основний","Маржинальний","Сезонний","Стратегічний"},0),Settings!$C$78,Settings!$C$80,Settings!$C$82,Settings!$C$84,Settings!$C$86),"")</f>
        <v/>
      </c>
      <c r="L302" s="143">
        <f>IFERROR((J302*(1-Settings!$C$17)-C302)/(J302*(1-Settings!$C$17)),"")</f>
        <v/>
      </c>
      <c r="M302" s="149">
        <f>IFERROR(IF(J302="","",IF(J302&gt;=C302/(1-SKU_Base!AA302)/(1-Settings!$C$17),"OK",IF(J302&gt;=C302/(1-SKU_Base!AH302)/(1-Settings!$C$17),"WARN","STOP"))),"")</f>
        <v/>
      </c>
      <c r="N302" s="159">
        <f>IFERROR(ROUND(D302*(1-CHOOSE(MATCH(IF($E302="","Основний",$E302),{"Трафіковий","Основний","Маржинальний","Сезонний","Стратегічний"},0),Settings!$D$78,Settings!$D$80,Settings!$D$82,Settings!$D$84,Settings!$D$86))/6,2)*6,"")</f>
        <v/>
      </c>
      <c r="O302" s="142">
        <f>IFERROR(CHOOSE(MATCH(IF($E302="","Основний",$E302),{"Трафіковий","Основний","Маржинальний","Сезонний","Стратегічний"},0),Settings!$D$78,Settings!$D$80,Settings!$D$82,Settings!$D$84,Settings!$D$86),"")</f>
        <v/>
      </c>
      <c r="P302" s="143">
        <f>IFERROR((N302*(1-Settings!$D$17)-C302)/(N302*(1-Settings!$D$17)),"")</f>
        <v/>
      </c>
      <c r="Q302" s="149">
        <f>IFERROR(IF(N302="","",IF(N302&gt;=C302/(1-SKU_Base!AB302)/(1-Settings!$D$17),"OK",IF(N302&gt;=C302/(1-SKU_Base!AI302)/(1-Settings!$D$17),"WARN","STOP"))),"")</f>
        <v/>
      </c>
      <c r="R302" s="159">
        <f>IFERROR(ROUND(D302*(1-CHOOSE(MATCH(IF($E302="","Основний",$E302),{"Трафіковий","Основний","Маржинальний","Сезонний","Стратегічний"},0),Settings!$E$78,Settings!$E$80,Settings!$E$82,Settings!$E$84,Settings!$E$86))/6,2)*6,"")</f>
        <v/>
      </c>
      <c r="S302" s="142">
        <f>IFERROR(CHOOSE(MATCH(IF($E302="","Основний",$E302),{"Трафіковий","Основний","Маржинальний","Сезонний","Стратегічний"},0),Settings!$E$78,Settings!$E$80,Settings!$E$82,Settings!$E$84,Settings!$E$86),"")</f>
        <v/>
      </c>
      <c r="T302" s="143">
        <f>IFERROR((R302*(1-Settings!$E$17)-C302)/(R302*(1-Settings!$E$17)),"")</f>
        <v/>
      </c>
      <c r="U302" s="149">
        <f>IFERROR(IF(R302="","",IF(R302&gt;=C302/(1-SKU_Base!AC302)/(1-Settings!$E$17),"OK",IF(R302&gt;=C302/(1-SKU_Base!AJ302)/(1-Settings!$E$17),"WARN","STOP"))),"")</f>
        <v/>
      </c>
      <c r="V302" s="159">
        <f>IFERROR(ROUND(D302*(1-CHOOSE(MATCH(IF($E302="","Основний",$E302),{"Трафіковий","Основний","Маржинальний","Сезонний","Стратегічний"},0),Settings!$F$78,Settings!$F$80,Settings!$F$82,Settings!$F$84,Settings!$F$86))/6,2)*6,"")</f>
        <v/>
      </c>
      <c r="W302" s="142">
        <f>IFERROR(CHOOSE(MATCH(IF($E302="","Основний",$E302),{"Трафіковий","Основний","Маржинальний","Сезонний","Стратегічний"},0),Settings!$F$78,Settings!$F$80,Settings!$F$82,Settings!$F$84,Settings!$F$86),"")</f>
        <v/>
      </c>
      <c r="X302" s="143">
        <f>IFERROR((V302*(1-Settings!$F$17)-C302)/(V302*(1-Settings!$F$17)),"")</f>
        <v/>
      </c>
      <c r="Y302" s="149">
        <f>IFERROR(IF(V302="","",IF(V302&gt;=C302/(1-SKU_Base!AD302)/(1-Settings!$F$17),"OK",IF(V302&gt;=C302/(1-SKU_Base!AK302)/(1-Settings!$F$17),"WARN","STOP"))),"")</f>
        <v/>
      </c>
      <c r="Z302" s="159">
        <f>IFERROR(ROUND(D302*(1-CHOOSE(MATCH(IF($E302="","Основний",$E302),{"Трафіковий","Основний","Маржинальний","Сезонний","Стратегічний"},0),Settings!$G$78,Settings!$G$80,Settings!$G$82,Settings!$G$84,Settings!$G$86))/6,2)*6,"")</f>
        <v/>
      </c>
      <c r="AA302" s="142">
        <f>IFERROR(CHOOSE(MATCH(IF($E302="","Основний",$E302),{"Трафіковий","Основний","Маржинальний","Сезонний","Стратегічний"},0),Settings!$G$78,Settings!$G$80,Settings!$G$82,Settings!$G$84,Settings!$G$86),"")</f>
        <v/>
      </c>
      <c r="AB302" s="143">
        <f>IFERROR((Z302*(1-Settings!$G$17)-C302)/(Z302*(1-Settings!$G$17)),"")</f>
        <v/>
      </c>
      <c r="AC302" s="149">
        <f>IFERROR(IF(Z302="","",IF(Z302&gt;=C302/(1-SKU_Base!AE302)/(1-Settings!$G$17),"OK",IF(Z302&gt;=C302/(1-SKU_Base!AL302)/(1-Settings!$G$17),"WARN","STOP"))),"")</f>
        <v/>
      </c>
      <c r="AD302" s="159">
        <f>IFERROR(ROUND(D302*(1-CHOOSE(MATCH(IF($E302="","Основний",$E302),{"Трафіковий","Основний","Маржинальний","Сезонний","Стратегічний"},0),Settings!$H$78,Settings!$H$80,Settings!$H$82,Settings!$H$84,Settings!$H$86))*(1-Settings!$H$68)/6,2)*6,"")</f>
        <v/>
      </c>
      <c r="AE302" s="142">
        <f>IFERROR(CHOOSE(MATCH(IF($E302="","Основний",$E302),{"Трафіковий","Основний","Маржинальний","Сезонний","Стратегічний"},0),Settings!$H$78,Settings!$H$80,Settings!$H$82,Settings!$H$84,Settings!$H$86)+(1-(CHOOSE(MATCH(IF($E302="","Основний",$E302),{"Трафіковий","Основний","Маржинальний","Сезонний","Стратегічний"},0),Settings!$H$78,Settings!$H$80,Settings!$H$82,Settings!$H$84,Settings!$H$86)))*Settings!$H$68,"")</f>
        <v/>
      </c>
      <c r="AF302" s="143">
        <f>IFERROR((AD302*(1-Settings!$H$17)-C302)/(AD302*(1-Settings!$H$17)),"")</f>
        <v/>
      </c>
      <c r="AG302" s="150">
        <f>IFERROR(IF(AD302="","",IF(AD302&gt;=C302/(1-SKU_Base!AF302)/(1-Settings!$H$17),"OK",IF(AD302&gt;=C302/(1-SKU_Base!AM302)/(1-Settings!$H$17),"WARN","STOP"))),"")</f>
        <v/>
      </c>
    </row>
    <row r="303" ht="17" customHeight="1" s="179">
      <c r="A303" s="146">
        <f>SKU_Base!B303</f>
        <v/>
      </c>
      <c r="B303" s="146">
        <f>SKU_Base!C303</f>
        <v/>
      </c>
      <c r="C303" s="147">
        <f>IFERROR(SKU_Base!I303,"")</f>
        <v/>
      </c>
      <c r="D303" s="164">
        <f>IFERROR(SKU_Base!T303,"")</f>
        <v/>
      </c>
      <c r="E303" s="141">
        <f>IFERROR(SKU_Base!$U303,"")</f>
        <v/>
      </c>
      <c r="F303" s="160">
        <f>IFERROR(ROUND(D303*(1-CHOOSE(MATCH(IF($E303="","Основний",$E303),{"Трафіковий","Основний","Маржинальний","Сезонний","Стратегічний"},0),Settings!$B$78,Settings!$B$80,Settings!$B$82,Settings!$B$84,Settings!$B$86))/6,2)*6,"")</f>
        <v/>
      </c>
      <c r="G303" s="142">
        <f>IFERROR(CHOOSE(MATCH(IF($E303="","Основний",$E303),{"Трафіковий","Основний","Маржинальний","Сезонний","Стратегічний"},0),Settings!$B$78,Settings!$B$80,Settings!$B$82,Settings!$B$84,Settings!$B$86),"")</f>
        <v/>
      </c>
      <c r="H303" s="148">
        <f>IFERROR((F303*(1-Settings!$B$17)-C303)/(F303*(1-Settings!$B$17)),"")</f>
        <v/>
      </c>
      <c r="I303" s="150">
        <f>IFERROR(IF(F303="","",IF(F303&gt;=C303/(1-SKU_Base!Z303)/(1-Settings!$B$17),"OK",IF(F303&gt;=C303/(1-SKU_Base!AG303)/(1-Settings!$B$17),"WARN","STOP"))),"")</f>
        <v/>
      </c>
      <c r="J303" s="160">
        <f>IFERROR(ROUND(D303*(1-CHOOSE(MATCH(IF($E303="","Основний",$E303),{"Трафіковий","Основний","Маржинальний","Сезонний","Стратегічний"},0),Settings!$C$78,Settings!$C$80,Settings!$C$82,Settings!$C$84,Settings!$C$86))/6,2)*6,"")</f>
        <v/>
      </c>
      <c r="K303" s="142">
        <f>IFERROR(CHOOSE(MATCH(IF($E303="","Основний",$E303),{"Трафіковий","Основний","Маржинальний","Сезонний","Стратегічний"},0),Settings!$C$78,Settings!$C$80,Settings!$C$82,Settings!$C$84,Settings!$C$86),"")</f>
        <v/>
      </c>
      <c r="L303" s="148">
        <f>IFERROR((J303*(1-Settings!$C$17)-C303)/(J303*(1-Settings!$C$17)),"")</f>
        <v/>
      </c>
      <c r="M303" s="149">
        <f>IFERROR(IF(J303="","",IF(J303&gt;=C303/(1-SKU_Base!AA303)/(1-Settings!$C$17),"OK",IF(J303&gt;=C303/(1-SKU_Base!AH303)/(1-Settings!$C$17),"WARN","STOP"))),"")</f>
        <v/>
      </c>
      <c r="N303" s="161">
        <f>IFERROR(ROUND(D303*(1-CHOOSE(MATCH(IF($E303="","Основний",$E303),{"Трафіковий","Основний","Маржинальний","Сезонний","Стратегічний"},0),Settings!$D$78,Settings!$D$80,Settings!$D$82,Settings!$D$84,Settings!$D$86))/6,2)*6,"")</f>
        <v/>
      </c>
      <c r="O303" s="142">
        <f>IFERROR(CHOOSE(MATCH(IF($E303="","Основний",$E303),{"Трафіковий","Основний","Маржинальний","Сезонний","Стратегічний"},0),Settings!$D$78,Settings!$D$80,Settings!$D$82,Settings!$D$84,Settings!$D$86),"")</f>
        <v/>
      </c>
      <c r="P303" s="148">
        <f>IFERROR((N303*(1-Settings!$D$17)-C303)/(N303*(1-Settings!$D$17)),"")</f>
        <v/>
      </c>
      <c r="Q303" s="149">
        <f>IFERROR(IF(N303="","",IF(N303&gt;=C303/(1-SKU_Base!AB303)/(1-Settings!$D$17),"OK",IF(N303&gt;=C303/(1-SKU_Base!AI303)/(1-Settings!$D$17),"WARN","STOP"))),"")</f>
        <v/>
      </c>
      <c r="R303" s="161">
        <f>IFERROR(ROUND(D303*(1-CHOOSE(MATCH(IF($E303="","Основний",$E303),{"Трафіковий","Основний","Маржинальний","Сезонний","Стратегічний"},0),Settings!$E$78,Settings!$E$80,Settings!$E$82,Settings!$E$84,Settings!$E$86))/6,2)*6,"")</f>
        <v/>
      </c>
      <c r="S303" s="142">
        <f>IFERROR(CHOOSE(MATCH(IF($E303="","Основний",$E303),{"Трафіковий","Основний","Маржинальний","Сезонний","Стратегічний"},0),Settings!$E$78,Settings!$E$80,Settings!$E$82,Settings!$E$84,Settings!$E$86),"")</f>
        <v/>
      </c>
      <c r="T303" s="148">
        <f>IFERROR((R303*(1-Settings!$E$17)-C303)/(R303*(1-Settings!$E$17)),"")</f>
        <v/>
      </c>
      <c r="U303" s="149">
        <f>IFERROR(IF(R303="","",IF(R303&gt;=C303/(1-SKU_Base!AC303)/(1-Settings!$E$17),"OK",IF(R303&gt;=C303/(1-SKU_Base!AJ303)/(1-Settings!$E$17),"WARN","STOP"))),"")</f>
        <v/>
      </c>
      <c r="V303" s="161">
        <f>IFERROR(ROUND(D303*(1-CHOOSE(MATCH(IF($E303="","Основний",$E303),{"Трафіковий","Основний","Маржинальний","Сезонний","Стратегічний"},0),Settings!$F$78,Settings!$F$80,Settings!$F$82,Settings!$F$84,Settings!$F$86))/6,2)*6,"")</f>
        <v/>
      </c>
      <c r="W303" s="142">
        <f>IFERROR(CHOOSE(MATCH(IF($E303="","Основний",$E303),{"Трафіковий","Основний","Маржинальний","Сезонний","Стратегічний"},0),Settings!$F$78,Settings!$F$80,Settings!$F$82,Settings!$F$84,Settings!$F$86),"")</f>
        <v/>
      </c>
      <c r="X303" s="148">
        <f>IFERROR((V303*(1-Settings!$F$17)-C303)/(V303*(1-Settings!$F$17)),"")</f>
        <v/>
      </c>
      <c r="Y303" s="149">
        <f>IFERROR(IF(V303="","",IF(V303&gt;=C303/(1-SKU_Base!AD303)/(1-Settings!$F$17),"OK",IF(V303&gt;=C303/(1-SKU_Base!AK303)/(1-Settings!$F$17),"WARN","STOP"))),"")</f>
        <v/>
      </c>
      <c r="Z303" s="161">
        <f>IFERROR(ROUND(D303*(1-CHOOSE(MATCH(IF($E303="","Основний",$E303),{"Трафіковий","Основний","Маржинальний","Сезонний","Стратегічний"},0),Settings!$G$78,Settings!$G$80,Settings!$G$82,Settings!$G$84,Settings!$G$86))/6,2)*6,"")</f>
        <v/>
      </c>
      <c r="AA303" s="142">
        <f>IFERROR(CHOOSE(MATCH(IF($E303="","Основний",$E303),{"Трафіковий","Основний","Маржинальний","Сезонний","Стратегічний"},0),Settings!$G$78,Settings!$G$80,Settings!$G$82,Settings!$G$84,Settings!$G$86),"")</f>
        <v/>
      </c>
      <c r="AB303" s="148">
        <f>IFERROR((Z303*(1-Settings!$G$17)-C303)/(Z303*(1-Settings!$G$17)),"")</f>
        <v/>
      </c>
      <c r="AC303" s="149">
        <f>IFERROR(IF(Z303="","",IF(Z303&gt;=C303/(1-SKU_Base!AE303)/(1-Settings!$G$17),"OK",IF(Z303&gt;=C303/(1-SKU_Base!AL303)/(1-Settings!$G$17),"WARN","STOP"))),"")</f>
        <v/>
      </c>
      <c r="AD303" s="161">
        <f>IFERROR(ROUND(D303*(1-CHOOSE(MATCH(IF($E303="","Основний",$E303),{"Трафіковий","Основний","Маржинальний","Сезонний","Стратегічний"},0),Settings!$H$78,Settings!$H$80,Settings!$H$82,Settings!$H$84,Settings!$H$86))*(1-Settings!$H$68)/6,2)*6,"")</f>
        <v/>
      </c>
      <c r="AE303" s="142">
        <f>IFERROR(CHOOSE(MATCH(IF($E303="","Основний",$E303),{"Трафіковий","Основний","Маржинальний","Сезонний","Стратегічний"},0),Settings!$H$78,Settings!$H$80,Settings!$H$82,Settings!$H$84,Settings!$H$86)+(1-(CHOOSE(MATCH(IF($E303="","Основний",$E303),{"Трафіковий","Основний","Маржинальний","Сезонний","Стратегічний"},0),Settings!$H$78,Settings!$H$80,Settings!$H$82,Settings!$H$84,Settings!$H$86)))*Settings!$H$68,"")</f>
        <v/>
      </c>
      <c r="AF303" s="148">
        <f>IFERROR((AD303*(1-Settings!$H$17)-C303)/(AD303*(1-Settings!$H$17)),"")</f>
        <v/>
      </c>
      <c r="AG303" s="150">
        <f>IFERROR(IF(AD303="","",IF(AD303&gt;=C303/(1-SKU_Base!AF303)/(1-Settings!$H$17),"OK",IF(AD303&gt;=C303/(1-SKU_Base!AM303)/(1-Settings!$H$17),"WARN","STOP"))),"")</f>
        <v/>
      </c>
    </row>
    <row r="304" ht="17" customHeight="1" s="179">
      <c r="A304" s="139">
        <f>SKU_Base!B304</f>
        <v/>
      </c>
      <c r="B304" s="139">
        <f>SKU_Base!C304</f>
        <v/>
      </c>
      <c r="C304" s="140">
        <f>IFERROR(SKU_Base!I304,"")</f>
        <v/>
      </c>
      <c r="D304" s="163">
        <f>IFERROR(SKU_Base!T304,"")</f>
        <v/>
      </c>
      <c r="E304" s="141">
        <f>IFERROR(SKU_Base!$U304,"")</f>
        <v/>
      </c>
      <c r="F304" s="158">
        <f>IFERROR(ROUND(D304*(1-CHOOSE(MATCH(IF($E304="","Основний",$E304),{"Трафіковий","Основний","Маржинальний","Сезонний","Стратегічний"},0),Settings!$B$78,Settings!$B$80,Settings!$B$82,Settings!$B$84,Settings!$B$86))/6,2)*6,"")</f>
        <v/>
      </c>
      <c r="G304" s="142">
        <f>IFERROR(CHOOSE(MATCH(IF($E304="","Основний",$E304),{"Трафіковий","Основний","Маржинальний","Сезонний","Стратегічний"},0),Settings!$B$78,Settings!$B$80,Settings!$B$82,Settings!$B$84,Settings!$B$86),"")</f>
        <v/>
      </c>
      <c r="H304" s="143">
        <f>IFERROR((F304*(1-Settings!$B$17)-C304)/(F304*(1-Settings!$B$17)),"")</f>
        <v/>
      </c>
      <c r="I304" s="149">
        <f>IFERROR(IF(F304="","",IF(F304&gt;=C304/(1-SKU_Base!Z304)/(1-Settings!$B$17),"OK",IF(F304&gt;=C304/(1-SKU_Base!AG304)/(1-Settings!$B$17),"WARN","STOP"))),"")</f>
        <v/>
      </c>
      <c r="J304" s="158">
        <f>IFERROR(ROUND(D304*(1-CHOOSE(MATCH(IF($E304="","Основний",$E304),{"Трафіковий","Основний","Маржинальний","Сезонний","Стратегічний"},0),Settings!$C$78,Settings!$C$80,Settings!$C$82,Settings!$C$84,Settings!$C$86))/6,2)*6,"")</f>
        <v/>
      </c>
      <c r="K304" s="142">
        <f>IFERROR(CHOOSE(MATCH(IF($E304="","Основний",$E304),{"Трафіковий","Основний","Маржинальний","Сезонний","Стратегічний"},0),Settings!$C$78,Settings!$C$80,Settings!$C$82,Settings!$C$84,Settings!$C$86),"")</f>
        <v/>
      </c>
      <c r="L304" s="143">
        <f>IFERROR((J304*(1-Settings!$C$17)-C304)/(J304*(1-Settings!$C$17)),"")</f>
        <v/>
      </c>
      <c r="M304" s="149">
        <f>IFERROR(IF(J304="","",IF(J304&gt;=C304/(1-SKU_Base!AA304)/(1-Settings!$C$17),"OK",IF(J304&gt;=C304/(1-SKU_Base!AH304)/(1-Settings!$C$17),"WARN","STOP"))),"")</f>
        <v/>
      </c>
      <c r="N304" s="159">
        <f>IFERROR(ROUND(D304*(1-CHOOSE(MATCH(IF($E304="","Основний",$E304),{"Трафіковий","Основний","Маржинальний","Сезонний","Стратегічний"},0),Settings!$D$78,Settings!$D$80,Settings!$D$82,Settings!$D$84,Settings!$D$86))/6,2)*6,"")</f>
        <v/>
      </c>
      <c r="O304" s="142">
        <f>IFERROR(CHOOSE(MATCH(IF($E304="","Основний",$E304),{"Трафіковий","Основний","Маржинальний","Сезонний","Стратегічний"},0),Settings!$D$78,Settings!$D$80,Settings!$D$82,Settings!$D$84,Settings!$D$86),"")</f>
        <v/>
      </c>
      <c r="P304" s="143">
        <f>IFERROR((N304*(1-Settings!$D$17)-C304)/(N304*(1-Settings!$D$17)),"")</f>
        <v/>
      </c>
      <c r="Q304" s="149">
        <f>IFERROR(IF(N304="","",IF(N304&gt;=C304/(1-SKU_Base!AB304)/(1-Settings!$D$17),"OK",IF(N304&gt;=C304/(1-SKU_Base!AI304)/(1-Settings!$D$17),"WARN","STOP"))),"")</f>
        <v/>
      </c>
      <c r="R304" s="159">
        <f>IFERROR(ROUND(D304*(1-CHOOSE(MATCH(IF($E304="","Основний",$E304),{"Трафіковий","Основний","Маржинальний","Сезонний","Стратегічний"},0),Settings!$E$78,Settings!$E$80,Settings!$E$82,Settings!$E$84,Settings!$E$86))/6,2)*6,"")</f>
        <v/>
      </c>
      <c r="S304" s="142">
        <f>IFERROR(CHOOSE(MATCH(IF($E304="","Основний",$E304),{"Трафіковий","Основний","Маржинальний","Сезонний","Стратегічний"},0),Settings!$E$78,Settings!$E$80,Settings!$E$82,Settings!$E$84,Settings!$E$86),"")</f>
        <v/>
      </c>
      <c r="T304" s="143">
        <f>IFERROR((R304*(1-Settings!$E$17)-C304)/(R304*(1-Settings!$E$17)),"")</f>
        <v/>
      </c>
      <c r="U304" s="149">
        <f>IFERROR(IF(R304="","",IF(R304&gt;=C304/(1-SKU_Base!AC304)/(1-Settings!$E$17),"OK",IF(R304&gt;=C304/(1-SKU_Base!AJ304)/(1-Settings!$E$17),"WARN","STOP"))),"")</f>
        <v/>
      </c>
      <c r="V304" s="159">
        <f>IFERROR(ROUND(D304*(1-CHOOSE(MATCH(IF($E304="","Основний",$E304),{"Трафіковий","Основний","Маржинальний","Сезонний","Стратегічний"},0),Settings!$F$78,Settings!$F$80,Settings!$F$82,Settings!$F$84,Settings!$F$86))/6,2)*6,"")</f>
        <v/>
      </c>
      <c r="W304" s="142">
        <f>IFERROR(CHOOSE(MATCH(IF($E304="","Основний",$E304),{"Трафіковий","Основний","Маржинальний","Сезонний","Стратегічний"},0),Settings!$F$78,Settings!$F$80,Settings!$F$82,Settings!$F$84,Settings!$F$86),"")</f>
        <v/>
      </c>
      <c r="X304" s="143">
        <f>IFERROR((V304*(1-Settings!$F$17)-C304)/(V304*(1-Settings!$F$17)),"")</f>
        <v/>
      </c>
      <c r="Y304" s="149">
        <f>IFERROR(IF(V304="","",IF(V304&gt;=C304/(1-SKU_Base!AD304)/(1-Settings!$F$17),"OK",IF(V304&gt;=C304/(1-SKU_Base!AK304)/(1-Settings!$F$17),"WARN","STOP"))),"")</f>
        <v/>
      </c>
      <c r="Z304" s="159">
        <f>IFERROR(ROUND(D304*(1-CHOOSE(MATCH(IF($E304="","Основний",$E304),{"Трафіковий","Основний","Маржинальний","Сезонний","Стратегічний"},0),Settings!$G$78,Settings!$G$80,Settings!$G$82,Settings!$G$84,Settings!$G$86))/6,2)*6,"")</f>
        <v/>
      </c>
      <c r="AA304" s="142">
        <f>IFERROR(CHOOSE(MATCH(IF($E304="","Основний",$E304),{"Трафіковий","Основний","Маржинальний","Сезонний","Стратегічний"},0),Settings!$G$78,Settings!$G$80,Settings!$G$82,Settings!$G$84,Settings!$G$86),"")</f>
        <v/>
      </c>
      <c r="AB304" s="143">
        <f>IFERROR((Z304*(1-Settings!$G$17)-C304)/(Z304*(1-Settings!$G$17)),"")</f>
        <v/>
      </c>
      <c r="AC304" s="149">
        <f>IFERROR(IF(Z304="","",IF(Z304&gt;=C304/(1-SKU_Base!AE304)/(1-Settings!$G$17),"OK",IF(Z304&gt;=C304/(1-SKU_Base!AL304)/(1-Settings!$G$17),"WARN","STOP"))),"")</f>
        <v/>
      </c>
      <c r="AD304" s="159">
        <f>IFERROR(ROUND(D304*(1-CHOOSE(MATCH(IF($E304="","Основний",$E304),{"Трафіковий","Основний","Маржинальний","Сезонний","Стратегічний"},0),Settings!$H$78,Settings!$H$80,Settings!$H$82,Settings!$H$84,Settings!$H$86))*(1-Settings!$H$68)/6,2)*6,"")</f>
        <v/>
      </c>
      <c r="AE304" s="142">
        <f>IFERROR(CHOOSE(MATCH(IF($E304="","Основний",$E304),{"Трафіковий","Основний","Маржинальний","Сезонний","Стратегічний"},0),Settings!$H$78,Settings!$H$80,Settings!$H$82,Settings!$H$84,Settings!$H$86)+(1-(CHOOSE(MATCH(IF($E304="","Основний",$E304),{"Трафіковий","Основний","Маржинальний","Сезонний","Стратегічний"},0),Settings!$H$78,Settings!$H$80,Settings!$H$82,Settings!$H$84,Settings!$H$86)))*Settings!$H$68,"")</f>
        <v/>
      </c>
      <c r="AF304" s="143">
        <f>IFERROR((AD304*(1-Settings!$H$17)-C304)/(AD304*(1-Settings!$H$17)),"")</f>
        <v/>
      </c>
      <c r="AG304" s="150">
        <f>IFERROR(IF(AD304="","",IF(AD304&gt;=C304/(1-SKU_Base!AF304)/(1-Settings!$H$17),"OK",IF(AD304&gt;=C304/(1-SKU_Base!AM304)/(1-Settings!$H$17),"WARN","STOP"))),"")</f>
        <v/>
      </c>
    </row>
    <row r="305" ht="17" customHeight="1" s="179">
      <c r="A305" s="146">
        <f>SKU_Base!B305</f>
        <v/>
      </c>
      <c r="B305" s="146">
        <f>SKU_Base!C305</f>
        <v/>
      </c>
      <c r="C305" s="147">
        <f>IFERROR(SKU_Base!I305,"")</f>
        <v/>
      </c>
      <c r="D305" s="164">
        <f>IFERROR(SKU_Base!T305,"")</f>
        <v/>
      </c>
      <c r="E305" s="141">
        <f>IFERROR(SKU_Base!$U305,"")</f>
        <v/>
      </c>
      <c r="F305" s="160">
        <f>IFERROR(ROUND(D305*(1-CHOOSE(MATCH(IF($E305="","Основний",$E305),{"Трафіковий","Основний","Маржинальний","Сезонний","Стратегічний"},0),Settings!$B$78,Settings!$B$80,Settings!$B$82,Settings!$B$84,Settings!$B$86))/6,2)*6,"")</f>
        <v/>
      </c>
      <c r="G305" s="142">
        <f>IFERROR(CHOOSE(MATCH(IF($E305="","Основний",$E305),{"Трафіковий","Основний","Маржинальний","Сезонний","Стратегічний"},0),Settings!$B$78,Settings!$B$80,Settings!$B$82,Settings!$B$84,Settings!$B$86),"")</f>
        <v/>
      </c>
      <c r="H305" s="148">
        <f>IFERROR((F305*(1-Settings!$B$17)-C305)/(F305*(1-Settings!$B$17)),"")</f>
        <v/>
      </c>
      <c r="I305" s="150">
        <f>IFERROR(IF(F305="","",IF(F305&gt;=C305/(1-SKU_Base!Z305)/(1-Settings!$B$17),"OK",IF(F305&gt;=C305/(1-SKU_Base!AG305)/(1-Settings!$B$17),"WARN","STOP"))),"")</f>
        <v/>
      </c>
      <c r="J305" s="160">
        <f>IFERROR(ROUND(D305*(1-CHOOSE(MATCH(IF($E305="","Основний",$E305),{"Трафіковий","Основний","Маржинальний","Сезонний","Стратегічний"},0),Settings!$C$78,Settings!$C$80,Settings!$C$82,Settings!$C$84,Settings!$C$86))/6,2)*6,"")</f>
        <v/>
      </c>
      <c r="K305" s="142">
        <f>IFERROR(CHOOSE(MATCH(IF($E305="","Основний",$E305),{"Трафіковий","Основний","Маржинальний","Сезонний","Стратегічний"},0),Settings!$C$78,Settings!$C$80,Settings!$C$82,Settings!$C$84,Settings!$C$86),"")</f>
        <v/>
      </c>
      <c r="L305" s="148">
        <f>IFERROR((J305*(1-Settings!$C$17)-C305)/(J305*(1-Settings!$C$17)),"")</f>
        <v/>
      </c>
      <c r="M305" s="149">
        <f>IFERROR(IF(J305="","",IF(J305&gt;=C305/(1-SKU_Base!AA305)/(1-Settings!$C$17),"OK",IF(J305&gt;=C305/(1-SKU_Base!AH305)/(1-Settings!$C$17),"WARN","STOP"))),"")</f>
        <v/>
      </c>
      <c r="N305" s="161">
        <f>IFERROR(ROUND(D305*(1-CHOOSE(MATCH(IF($E305="","Основний",$E305),{"Трафіковий","Основний","Маржинальний","Сезонний","Стратегічний"},0),Settings!$D$78,Settings!$D$80,Settings!$D$82,Settings!$D$84,Settings!$D$86))/6,2)*6,"")</f>
        <v/>
      </c>
      <c r="O305" s="142">
        <f>IFERROR(CHOOSE(MATCH(IF($E305="","Основний",$E305),{"Трафіковий","Основний","Маржинальний","Сезонний","Стратегічний"},0),Settings!$D$78,Settings!$D$80,Settings!$D$82,Settings!$D$84,Settings!$D$86),"")</f>
        <v/>
      </c>
      <c r="P305" s="148">
        <f>IFERROR((N305*(1-Settings!$D$17)-C305)/(N305*(1-Settings!$D$17)),"")</f>
        <v/>
      </c>
      <c r="Q305" s="149">
        <f>IFERROR(IF(N305="","",IF(N305&gt;=C305/(1-SKU_Base!AB305)/(1-Settings!$D$17),"OK",IF(N305&gt;=C305/(1-SKU_Base!AI305)/(1-Settings!$D$17),"WARN","STOP"))),"")</f>
        <v/>
      </c>
      <c r="R305" s="161">
        <f>IFERROR(ROUND(D305*(1-CHOOSE(MATCH(IF($E305="","Основний",$E305),{"Трафіковий","Основний","Маржинальний","Сезонний","Стратегічний"},0),Settings!$E$78,Settings!$E$80,Settings!$E$82,Settings!$E$84,Settings!$E$86))/6,2)*6,"")</f>
        <v/>
      </c>
      <c r="S305" s="142">
        <f>IFERROR(CHOOSE(MATCH(IF($E305="","Основний",$E305),{"Трафіковий","Основний","Маржинальний","Сезонний","Стратегічний"},0),Settings!$E$78,Settings!$E$80,Settings!$E$82,Settings!$E$84,Settings!$E$86),"")</f>
        <v/>
      </c>
      <c r="T305" s="148">
        <f>IFERROR((R305*(1-Settings!$E$17)-C305)/(R305*(1-Settings!$E$17)),"")</f>
        <v/>
      </c>
      <c r="U305" s="149">
        <f>IFERROR(IF(R305="","",IF(R305&gt;=C305/(1-SKU_Base!AC305)/(1-Settings!$E$17),"OK",IF(R305&gt;=C305/(1-SKU_Base!AJ305)/(1-Settings!$E$17),"WARN","STOP"))),"")</f>
        <v/>
      </c>
      <c r="V305" s="161">
        <f>IFERROR(ROUND(D305*(1-CHOOSE(MATCH(IF($E305="","Основний",$E305),{"Трафіковий","Основний","Маржинальний","Сезонний","Стратегічний"},0),Settings!$F$78,Settings!$F$80,Settings!$F$82,Settings!$F$84,Settings!$F$86))/6,2)*6,"")</f>
        <v/>
      </c>
      <c r="W305" s="142">
        <f>IFERROR(CHOOSE(MATCH(IF($E305="","Основний",$E305),{"Трафіковий","Основний","Маржинальний","Сезонний","Стратегічний"},0),Settings!$F$78,Settings!$F$80,Settings!$F$82,Settings!$F$84,Settings!$F$86),"")</f>
        <v/>
      </c>
      <c r="X305" s="148">
        <f>IFERROR((V305*(1-Settings!$F$17)-C305)/(V305*(1-Settings!$F$17)),"")</f>
        <v/>
      </c>
      <c r="Y305" s="149">
        <f>IFERROR(IF(V305="","",IF(V305&gt;=C305/(1-SKU_Base!AD305)/(1-Settings!$F$17),"OK",IF(V305&gt;=C305/(1-SKU_Base!AK305)/(1-Settings!$F$17),"WARN","STOP"))),"")</f>
        <v/>
      </c>
      <c r="Z305" s="161">
        <f>IFERROR(ROUND(D305*(1-CHOOSE(MATCH(IF($E305="","Основний",$E305),{"Трафіковий","Основний","Маржинальний","Сезонний","Стратегічний"},0),Settings!$G$78,Settings!$G$80,Settings!$G$82,Settings!$G$84,Settings!$G$86))/6,2)*6,"")</f>
        <v/>
      </c>
      <c r="AA305" s="142">
        <f>IFERROR(CHOOSE(MATCH(IF($E305="","Основний",$E305),{"Трафіковий","Основний","Маржинальний","Сезонний","Стратегічний"},0),Settings!$G$78,Settings!$G$80,Settings!$G$82,Settings!$G$84,Settings!$G$86),"")</f>
        <v/>
      </c>
      <c r="AB305" s="148">
        <f>IFERROR((Z305*(1-Settings!$G$17)-C305)/(Z305*(1-Settings!$G$17)),"")</f>
        <v/>
      </c>
      <c r="AC305" s="149">
        <f>IFERROR(IF(Z305="","",IF(Z305&gt;=C305/(1-SKU_Base!AE305)/(1-Settings!$G$17),"OK",IF(Z305&gt;=C305/(1-SKU_Base!AL305)/(1-Settings!$G$17),"WARN","STOP"))),"")</f>
        <v/>
      </c>
      <c r="AD305" s="161">
        <f>IFERROR(ROUND(D305*(1-CHOOSE(MATCH(IF($E305="","Основний",$E305),{"Трафіковий","Основний","Маржинальний","Сезонний","Стратегічний"},0),Settings!$H$78,Settings!$H$80,Settings!$H$82,Settings!$H$84,Settings!$H$86))*(1-Settings!$H$68)/6,2)*6,"")</f>
        <v/>
      </c>
      <c r="AE305" s="142">
        <f>IFERROR(CHOOSE(MATCH(IF($E305="","Основний",$E305),{"Трафіковий","Основний","Маржинальний","Сезонний","Стратегічний"},0),Settings!$H$78,Settings!$H$80,Settings!$H$82,Settings!$H$84,Settings!$H$86)+(1-(CHOOSE(MATCH(IF($E305="","Основний",$E305),{"Трафіковий","Основний","Маржинальний","Сезонний","Стратегічний"},0),Settings!$H$78,Settings!$H$80,Settings!$H$82,Settings!$H$84,Settings!$H$86)))*Settings!$H$68,"")</f>
        <v/>
      </c>
      <c r="AF305" s="148">
        <f>IFERROR((AD305*(1-Settings!$H$17)-C305)/(AD305*(1-Settings!$H$17)),"")</f>
        <v/>
      </c>
      <c r="AG305" s="150">
        <f>IFERROR(IF(AD305="","",IF(AD305&gt;=C305/(1-SKU_Base!AF305)/(1-Settings!$H$17),"OK",IF(AD305&gt;=C305/(1-SKU_Base!AM305)/(1-Settings!$H$17),"WARN","STOP"))),"")</f>
        <v/>
      </c>
    </row>
    <row r="306" ht="17" customHeight="1" s="179">
      <c r="A306" s="139">
        <f>SKU_Base!B306</f>
        <v/>
      </c>
      <c r="B306" s="139">
        <f>SKU_Base!C306</f>
        <v/>
      </c>
      <c r="C306" s="140">
        <f>IFERROR(SKU_Base!I306,"")</f>
        <v/>
      </c>
      <c r="D306" s="163">
        <f>IFERROR(SKU_Base!T306,"")</f>
        <v/>
      </c>
      <c r="E306" s="141">
        <f>IFERROR(SKU_Base!$U306,"")</f>
        <v/>
      </c>
      <c r="F306" s="158">
        <f>IFERROR(ROUND(D306*(1-CHOOSE(MATCH(IF($E306="","Основний",$E306),{"Трафіковий","Основний","Маржинальний","Сезонний","Стратегічний"},0),Settings!$B$78,Settings!$B$80,Settings!$B$82,Settings!$B$84,Settings!$B$86))/6,2)*6,"")</f>
        <v/>
      </c>
      <c r="G306" s="142">
        <f>IFERROR(CHOOSE(MATCH(IF($E306="","Основний",$E306),{"Трафіковий","Основний","Маржинальний","Сезонний","Стратегічний"},0),Settings!$B$78,Settings!$B$80,Settings!$B$82,Settings!$B$84,Settings!$B$86),"")</f>
        <v/>
      </c>
      <c r="H306" s="143">
        <f>IFERROR((F306*(1-Settings!$B$17)-C306)/(F306*(1-Settings!$B$17)),"")</f>
        <v/>
      </c>
      <c r="I306" s="149">
        <f>IFERROR(IF(F306="","",IF(F306&gt;=C306/(1-SKU_Base!Z306)/(1-Settings!$B$17),"OK",IF(F306&gt;=C306/(1-SKU_Base!AG306)/(1-Settings!$B$17),"WARN","STOP"))),"")</f>
        <v/>
      </c>
      <c r="J306" s="158">
        <f>IFERROR(ROUND(D306*(1-CHOOSE(MATCH(IF($E306="","Основний",$E306),{"Трафіковий","Основний","Маржинальний","Сезонний","Стратегічний"},0),Settings!$C$78,Settings!$C$80,Settings!$C$82,Settings!$C$84,Settings!$C$86))/6,2)*6,"")</f>
        <v/>
      </c>
      <c r="K306" s="142">
        <f>IFERROR(CHOOSE(MATCH(IF($E306="","Основний",$E306),{"Трафіковий","Основний","Маржинальний","Сезонний","Стратегічний"},0),Settings!$C$78,Settings!$C$80,Settings!$C$82,Settings!$C$84,Settings!$C$86),"")</f>
        <v/>
      </c>
      <c r="L306" s="143">
        <f>IFERROR((J306*(1-Settings!$C$17)-C306)/(J306*(1-Settings!$C$17)),"")</f>
        <v/>
      </c>
      <c r="M306" s="149">
        <f>IFERROR(IF(J306="","",IF(J306&gt;=C306/(1-SKU_Base!AA306)/(1-Settings!$C$17),"OK",IF(J306&gt;=C306/(1-SKU_Base!AH306)/(1-Settings!$C$17),"WARN","STOP"))),"")</f>
        <v/>
      </c>
      <c r="N306" s="159">
        <f>IFERROR(ROUND(D306*(1-CHOOSE(MATCH(IF($E306="","Основний",$E306),{"Трафіковий","Основний","Маржинальний","Сезонний","Стратегічний"},0),Settings!$D$78,Settings!$D$80,Settings!$D$82,Settings!$D$84,Settings!$D$86))/6,2)*6,"")</f>
        <v/>
      </c>
      <c r="O306" s="142">
        <f>IFERROR(CHOOSE(MATCH(IF($E306="","Основний",$E306),{"Трафіковий","Основний","Маржинальний","Сезонний","Стратегічний"},0),Settings!$D$78,Settings!$D$80,Settings!$D$82,Settings!$D$84,Settings!$D$86),"")</f>
        <v/>
      </c>
      <c r="P306" s="143">
        <f>IFERROR((N306*(1-Settings!$D$17)-C306)/(N306*(1-Settings!$D$17)),"")</f>
        <v/>
      </c>
      <c r="Q306" s="149">
        <f>IFERROR(IF(N306="","",IF(N306&gt;=C306/(1-SKU_Base!AB306)/(1-Settings!$D$17),"OK",IF(N306&gt;=C306/(1-SKU_Base!AI306)/(1-Settings!$D$17),"WARN","STOP"))),"")</f>
        <v/>
      </c>
      <c r="R306" s="159">
        <f>IFERROR(ROUND(D306*(1-CHOOSE(MATCH(IF($E306="","Основний",$E306),{"Трафіковий","Основний","Маржинальний","Сезонний","Стратегічний"},0),Settings!$E$78,Settings!$E$80,Settings!$E$82,Settings!$E$84,Settings!$E$86))/6,2)*6,"")</f>
        <v/>
      </c>
      <c r="S306" s="142">
        <f>IFERROR(CHOOSE(MATCH(IF($E306="","Основний",$E306),{"Трафіковий","Основний","Маржинальний","Сезонний","Стратегічний"},0),Settings!$E$78,Settings!$E$80,Settings!$E$82,Settings!$E$84,Settings!$E$86),"")</f>
        <v/>
      </c>
      <c r="T306" s="143">
        <f>IFERROR((R306*(1-Settings!$E$17)-C306)/(R306*(1-Settings!$E$17)),"")</f>
        <v/>
      </c>
      <c r="U306" s="149">
        <f>IFERROR(IF(R306="","",IF(R306&gt;=C306/(1-SKU_Base!AC306)/(1-Settings!$E$17),"OK",IF(R306&gt;=C306/(1-SKU_Base!AJ306)/(1-Settings!$E$17),"WARN","STOP"))),"")</f>
        <v/>
      </c>
      <c r="V306" s="159">
        <f>IFERROR(ROUND(D306*(1-CHOOSE(MATCH(IF($E306="","Основний",$E306),{"Трафіковий","Основний","Маржинальний","Сезонний","Стратегічний"},0),Settings!$F$78,Settings!$F$80,Settings!$F$82,Settings!$F$84,Settings!$F$86))/6,2)*6,"")</f>
        <v/>
      </c>
      <c r="W306" s="142">
        <f>IFERROR(CHOOSE(MATCH(IF($E306="","Основний",$E306),{"Трафіковий","Основний","Маржинальний","Сезонний","Стратегічний"},0),Settings!$F$78,Settings!$F$80,Settings!$F$82,Settings!$F$84,Settings!$F$86),"")</f>
        <v/>
      </c>
      <c r="X306" s="143">
        <f>IFERROR((V306*(1-Settings!$F$17)-C306)/(V306*(1-Settings!$F$17)),"")</f>
        <v/>
      </c>
      <c r="Y306" s="149">
        <f>IFERROR(IF(V306="","",IF(V306&gt;=C306/(1-SKU_Base!AD306)/(1-Settings!$F$17),"OK",IF(V306&gt;=C306/(1-SKU_Base!AK306)/(1-Settings!$F$17),"WARN","STOP"))),"")</f>
        <v/>
      </c>
      <c r="Z306" s="159">
        <f>IFERROR(ROUND(D306*(1-CHOOSE(MATCH(IF($E306="","Основний",$E306),{"Трафіковий","Основний","Маржинальний","Сезонний","Стратегічний"},0),Settings!$G$78,Settings!$G$80,Settings!$G$82,Settings!$G$84,Settings!$G$86))/6,2)*6,"")</f>
        <v/>
      </c>
      <c r="AA306" s="142">
        <f>IFERROR(CHOOSE(MATCH(IF($E306="","Основний",$E306),{"Трафіковий","Основний","Маржинальний","Сезонний","Стратегічний"},0),Settings!$G$78,Settings!$G$80,Settings!$G$82,Settings!$G$84,Settings!$G$86),"")</f>
        <v/>
      </c>
      <c r="AB306" s="143">
        <f>IFERROR((Z306*(1-Settings!$G$17)-C306)/(Z306*(1-Settings!$G$17)),"")</f>
        <v/>
      </c>
      <c r="AC306" s="149">
        <f>IFERROR(IF(Z306="","",IF(Z306&gt;=C306/(1-SKU_Base!AE306)/(1-Settings!$G$17),"OK",IF(Z306&gt;=C306/(1-SKU_Base!AL306)/(1-Settings!$G$17),"WARN","STOP"))),"")</f>
        <v/>
      </c>
      <c r="AD306" s="159">
        <f>IFERROR(ROUND(D306*(1-CHOOSE(MATCH(IF($E306="","Основний",$E306),{"Трафіковий","Основний","Маржинальний","Сезонний","Стратегічний"},0),Settings!$H$78,Settings!$H$80,Settings!$H$82,Settings!$H$84,Settings!$H$86))*(1-Settings!$H$68)/6,2)*6,"")</f>
        <v/>
      </c>
      <c r="AE306" s="142">
        <f>IFERROR(CHOOSE(MATCH(IF($E306="","Основний",$E306),{"Трафіковий","Основний","Маржинальний","Сезонний","Стратегічний"},0),Settings!$H$78,Settings!$H$80,Settings!$H$82,Settings!$H$84,Settings!$H$86)+(1-(CHOOSE(MATCH(IF($E306="","Основний",$E306),{"Трафіковий","Основний","Маржинальний","Сезонний","Стратегічний"},0),Settings!$H$78,Settings!$H$80,Settings!$H$82,Settings!$H$84,Settings!$H$86)))*Settings!$H$68,"")</f>
        <v/>
      </c>
      <c r="AF306" s="143">
        <f>IFERROR((AD306*(1-Settings!$H$17)-C306)/(AD306*(1-Settings!$H$17)),"")</f>
        <v/>
      </c>
      <c r="AG306" s="150">
        <f>IFERROR(IF(AD306="","",IF(AD306&gt;=C306/(1-SKU_Base!AF306)/(1-Settings!$H$17),"OK",IF(AD306&gt;=C306/(1-SKU_Base!AM306)/(1-Settings!$H$17),"WARN","STOP"))),"")</f>
        <v/>
      </c>
    </row>
    <row r="307" ht="17" customHeight="1" s="179">
      <c r="A307" s="146">
        <f>SKU_Base!B307</f>
        <v/>
      </c>
      <c r="B307" s="146">
        <f>SKU_Base!C307</f>
        <v/>
      </c>
      <c r="C307" s="147">
        <f>IFERROR(SKU_Base!I307,"")</f>
        <v/>
      </c>
      <c r="D307" s="164">
        <f>IFERROR(SKU_Base!T307,"")</f>
        <v/>
      </c>
      <c r="E307" s="141">
        <f>IFERROR(SKU_Base!$U307,"")</f>
        <v/>
      </c>
      <c r="F307" s="160">
        <f>IFERROR(ROUND(D307*(1-CHOOSE(MATCH(IF($E307="","Основний",$E307),{"Трафіковий","Основний","Маржинальний","Сезонний","Стратегічний"},0),Settings!$B$78,Settings!$B$80,Settings!$B$82,Settings!$B$84,Settings!$B$86))/6,2)*6,"")</f>
        <v/>
      </c>
      <c r="G307" s="142">
        <f>IFERROR(CHOOSE(MATCH(IF($E307="","Основний",$E307),{"Трафіковий","Основний","Маржинальний","Сезонний","Стратегічний"},0),Settings!$B$78,Settings!$B$80,Settings!$B$82,Settings!$B$84,Settings!$B$86),"")</f>
        <v/>
      </c>
      <c r="H307" s="148">
        <f>IFERROR((F307*(1-Settings!$B$17)-C307)/(F307*(1-Settings!$B$17)),"")</f>
        <v/>
      </c>
      <c r="I307" s="149">
        <f>IFERROR(IF(F307="","",IF(F307&gt;=C307/(1-SKU_Base!Z307)/(1-Settings!$B$17),"OK",IF(F307&gt;=C307/(1-SKU_Base!AG307)/(1-Settings!$B$17),"WARN","STOP"))),"")</f>
        <v/>
      </c>
      <c r="J307" s="160">
        <f>IFERROR(ROUND(D307*(1-CHOOSE(MATCH(IF($E307="","Основний",$E307),{"Трафіковий","Основний","Маржинальний","Сезонний","Стратегічний"},0),Settings!$C$78,Settings!$C$80,Settings!$C$82,Settings!$C$84,Settings!$C$86))/6,2)*6,"")</f>
        <v/>
      </c>
      <c r="K307" s="142">
        <f>IFERROR(CHOOSE(MATCH(IF($E307="","Основний",$E307),{"Трафіковий","Основний","Маржинальний","Сезонний","Стратегічний"},0),Settings!$C$78,Settings!$C$80,Settings!$C$82,Settings!$C$84,Settings!$C$86),"")</f>
        <v/>
      </c>
      <c r="L307" s="148">
        <f>IFERROR((J307*(1-Settings!$C$17)-C307)/(J307*(1-Settings!$C$17)),"")</f>
        <v/>
      </c>
      <c r="M307" s="149">
        <f>IFERROR(IF(J307="","",IF(J307&gt;=C307/(1-SKU_Base!AA307)/(1-Settings!$C$17),"OK",IF(J307&gt;=C307/(1-SKU_Base!AH307)/(1-Settings!$C$17),"WARN","STOP"))),"")</f>
        <v/>
      </c>
      <c r="N307" s="161">
        <f>IFERROR(ROUND(D307*(1-CHOOSE(MATCH(IF($E307="","Основний",$E307),{"Трафіковий","Основний","Маржинальний","Сезонний","Стратегічний"},0),Settings!$D$78,Settings!$D$80,Settings!$D$82,Settings!$D$84,Settings!$D$86))/6,2)*6,"")</f>
        <v/>
      </c>
      <c r="O307" s="142">
        <f>IFERROR(CHOOSE(MATCH(IF($E307="","Основний",$E307),{"Трафіковий","Основний","Маржинальний","Сезонний","Стратегічний"},0),Settings!$D$78,Settings!$D$80,Settings!$D$82,Settings!$D$84,Settings!$D$86),"")</f>
        <v/>
      </c>
      <c r="P307" s="148">
        <f>IFERROR((N307*(1-Settings!$D$17)-C307)/(N307*(1-Settings!$D$17)),"")</f>
        <v/>
      </c>
      <c r="Q307" s="149">
        <f>IFERROR(IF(N307="","",IF(N307&gt;=C307/(1-SKU_Base!AB307)/(1-Settings!$D$17),"OK",IF(N307&gt;=C307/(1-SKU_Base!AI307)/(1-Settings!$D$17),"WARN","STOP"))),"")</f>
        <v/>
      </c>
      <c r="R307" s="161">
        <f>IFERROR(ROUND(D307*(1-CHOOSE(MATCH(IF($E307="","Основний",$E307),{"Трафіковий","Основний","Маржинальний","Сезонний","Стратегічний"},0),Settings!$E$78,Settings!$E$80,Settings!$E$82,Settings!$E$84,Settings!$E$86))/6,2)*6,"")</f>
        <v/>
      </c>
      <c r="S307" s="142">
        <f>IFERROR(CHOOSE(MATCH(IF($E307="","Основний",$E307),{"Трафіковий","Основний","Маржинальний","Сезонний","Стратегічний"},0),Settings!$E$78,Settings!$E$80,Settings!$E$82,Settings!$E$84,Settings!$E$86),"")</f>
        <v/>
      </c>
      <c r="T307" s="148">
        <f>IFERROR((R307*(1-Settings!$E$17)-C307)/(R307*(1-Settings!$E$17)),"")</f>
        <v/>
      </c>
      <c r="U307" s="149">
        <f>IFERROR(IF(R307="","",IF(R307&gt;=C307/(1-SKU_Base!AC307)/(1-Settings!$E$17),"OK",IF(R307&gt;=C307/(1-SKU_Base!AJ307)/(1-Settings!$E$17),"WARN","STOP"))),"")</f>
        <v/>
      </c>
      <c r="V307" s="161">
        <f>IFERROR(ROUND(D307*(1-CHOOSE(MATCH(IF($E307="","Основний",$E307),{"Трафіковий","Основний","Маржинальний","Сезонний","Стратегічний"},0),Settings!$F$78,Settings!$F$80,Settings!$F$82,Settings!$F$84,Settings!$F$86))/6,2)*6,"")</f>
        <v/>
      </c>
      <c r="W307" s="142">
        <f>IFERROR(CHOOSE(MATCH(IF($E307="","Основний",$E307),{"Трафіковий","Основний","Маржинальний","Сезонний","Стратегічний"},0),Settings!$F$78,Settings!$F$80,Settings!$F$82,Settings!$F$84,Settings!$F$86),"")</f>
        <v/>
      </c>
      <c r="X307" s="148">
        <f>IFERROR((V307*(1-Settings!$F$17)-C307)/(V307*(1-Settings!$F$17)),"")</f>
        <v/>
      </c>
      <c r="Y307" s="149">
        <f>IFERROR(IF(V307="","",IF(V307&gt;=C307/(1-SKU_Base!AD307)/(1-Settings!$F$17),"OK",IF(V307&gt;=C307/(1-SKU_Base!AK307)/(1-Settings!$F$17),"WARN","STOP"))),"")</f>
        <v/>
      </c>
      <c r="Z307" s="161">
        <f>IFERROR(ROUND(D307*(1-CHOOSE(MATCH(IF($E307="","Основний",$E307),{"Трафіковий","Основний","Маржинальний","Сезонний","Стратегічний"},0),Settings!$G$78,Settings!$G$80,Settings!$G$82,Settings!$G$84,Settings!$G$86))/6,2)*6,"")</f>
        <v/>
      </c>
      <c r="AA307" s="142">
        <f>IFERROR(CHOOSE(MATCH(IF($E307="","Основний",$E307),{"Трафіковий","Основний","Маржинальний","Сезонний","Стратегічний"},0),Settings!$G$78,Settings!$G$80,Settings!$G$82,Settings!$G$84,Settings!$G$86),"")</f>
        <v/>
      </c>
      <c r="AB307" s="148">
        <f>IFERROR((Z307*(1-Settings!$G$17)-C307)/(Z307*(1-Settings!$G$17)),"")</f>
        <v/>
      </c>
      <c r="AC307" s="149">
        <f>IFERROR(IF(Z307="","",IF(Z307&gt;=C307/(1-SKU_Base!AE307)/(1-Settings!$G$17),"OK",IF(Z307&gt;=C307/(1-SKU_Base!AL307)/(1-Settings!$G$17),"WARN","STOP"))),"")</f>
        <v/>
      </c>
      <c r="AD307" s="161">
        <f>IFERROR(ROUND(D307*(1-CHOOSE(MATCH(IF($E307="","Основний",$E307),{"Трафіковий","Основний","Маржинальний","Сезонний","Стратегічний"},0),Settings!$H$78,Settings!$H$80,Settings!$H$82,Settings!$H$84,Settings!$H$86))*(1-Settings!$H$68)/6,2)*6,"")</f>
        <v/>
      </c>
      <c r="AE307" s="142">
        <f>IFERROR(CHOOSE(MATCH(IF($E307="","Основний",$E307),{"Трафіковий","Основний","Маржинальний","Сезонний","Стратегічний"},0),Settings!$H$78,Settings!$H$80,Settings!$H$82,Settings!$H$84,Settings!$H$86)+(1-(CHOOSE(MATCH(IF($E307="","Основний",$E307),{"Трафіковий","Основний","Маржинальний","Сезонний","Стратегічний"},0),Settings!$H$78,Settings!$H$80,Settings!$H$82,Settings!$H$84,Settings!$H$86)))*Settings!$H$68,"")</f>
        <v/>
      </c>
      <c r="AF307" s="148">
        <f>IFERROR((AD307*(1-Settings!$H$17)-C307)/(AD307*(1-Settings!$H$17)),"")</f>
        <v/>
      </c>
      <c r="AG307" s="150">
        <f>IFERROR(IF(AD307="","",IF(AD307&gt;=C307/(1-SKU_Base!AF307)/(1-Settings!$H$17),"OK",IF(AD307&gt;=C307/(1-SKU_Base!AM307)/(1-Settings!$H$17),"WARN","STOP"))),"")</f>
        <v/>
      </c>
    </row>
    <row r="308" ht="17" customHeight="1" s="179">
      <c r="A308" s="139">
        <f>SKU_Base!B308</f>
        <v/>
      </c>
      <c r="B308" s="139">
        <f>SKU_Base!C308</f>
        <v/>
      </c>
      <c r="C308" s="140">
        <f>IFERROR(SKU_Base!I308,"")</f>
        <v/>
      </c>
      <c r="D308" s="163">
        <f>IFERROR(SKU_Base!T308,"")</f>
        <v/>
      </c>
      <c r="E308" s="141">
        <f>IFERROR(SKU_Base!$U308,"")</f>
        <v/>
      </c>
      <c r="F308" s="158">
        <f>IFERROR(ROUND(D308*(1-CHOOSE(MATCH(IF($E308="","Основний",$E308),{"Трафіковий","Основний","Маржинальний","Сезонний","Стратегічний"},0),Settings!$B$78,Settings!$B$80,Settings!$B$82,Settings!$B$84,Settings!$B$86))/6,2)*6,"")</f>
        <v/>
      </c>
      <c r="G308" s="142">
        <f>IFERROR(CHOOSE(MATCH(IF($E308="","Основний",$E308),{"Трафіковий","Основний","Маржинальний","Сезонний","Стратегічний"},0),Settings!$B$78,Settings!$B$80,Settings!$B$82,Settings!$B$84,Settings!$B$86),"")</f>
        <v/>
      </c>
      <c r="H308" s="143">
        <f>IFERROR((F308*(1-Settings!$B$17)-C308)/(F308*(1-Settings!$B$17)),"")</f>
        <v/>
      </c>
      <c r="I308" s="149">
        <f>IFERROR(IF(F308="","",IF(F308&gt;=C308/(1-SKU_Base!Z308)/(1-Settings!$B$17),"OK",IF(F308&gt;=C308/(1-SKU_Base!AG308)/(1-Settings!$B$17),"WARN","STOP"))),"")</f>
        <v/>
      </c>
      <c r="J308" s="158">
        <f>IFERROR(ROUND(D308*(1-CHOOSE(MATCH(IF($E308="","Основний",$E308),{"Трафіковий","Основний","Маржинальний","Сезонний","Стратегічний"},0),Settings!$C$78,Settings!$C$80,Settings!$C$82,Settings!$C$84,Settings!$C$86))/6,2)*6,"")</f>
        <v/>
      </c>
      <c r="K308" s="142">
        <f>IFERROR(CHOOSE(MATCH(IF($E308="","Основний",$E308),{"Трафіковий","Основний","Маржинальний","Сезонний","Стратегічний"},0),Settings!$C$78,Settings!$C$80,Settings!$C$82,Settings!$C$84,Settings!$C$86),"")</f>
        <v/>
      </c>
      <c r="L308" s="143">
        <f>IFERROR((J308*(1-Settings!$C$17)-C308)/(J308*(1-Settings!$C$17)),"")</f>
        <v/>
      </c>
      <c r="M308" s="149">
        <f>IFERROR(IF(J308="","",IF(J308&gt;=C308/(1-SKU_Base!AA308)/(1-Settings!$C$17),"OK",IF(J308&gt;=C308/(1-SKU_Base!AH308)/(1-Settings!$C$17),"WARN","STOP"))),"")</f>
        <v/>
      </c>
      <c r="N308" s="159">
        <f>IFERROR(ROUND(D308*(1-CHOOSE(MATCH(IF($E308="","Основний",$E308),{"Трафіковий","Основний","Маржинальний","Сезонний","Стратегічний"},0),Settings!$D$78,Settings!$D$80,Settings!$D$82,Settings!$D$84,Settings!$D$86))/6,2)*6,"")</f>
        <v/>
      </c>
      <c r="O308" s="142">
        <f>IFERROR(CHOOSE(MATCH(IF($E308="","Основний",$E308),{"Трафіковий","Основний","Маржинальний","Сезонний","Стратегічний"},0),Settings!$D$78,Settings!$D$80,Settings!$D$82,Settings!$D$84,Settings!$D$86),"")</f>
        <v/>
      </c>
      <c r="P308" s="143">
        <f>IFERROR((N308*(1-Settings!$D$17)-C308)/(N308*(1-Settings!$D$17)),"")</f>
        <v/>
      </c>
      <c r="Q308" s="149">
        <f>IFERROR(IF(N308="","",IF(N308&gt;=C308/(1-SKU_Base!AB308)/(1-Settings!$D$17),"OK",IF(N308&gt;=C308/(1-SKU_Base!AI308)/(1-Settings!$D$17),"WARN","STOP"))),"")</f>
        <v/>
      </c>
      <c r="R308" s="159">
        <f>IFERROR(ROUND(D308*(1-CHOOSE(MATCH(IF($E308="","Основний",$E308),{"Трафіковий","Основний","Маржинальний","Сезонний","Стратегічний"},0),Settings!$E$78,Settings!$E$80,Settings!$E$82,Settings!$E$84,Settings!$E$86))/6,2)*6,"")</f>
        <v/>
      </c>
      <c r="S308" s="142">
        <f>IFERROR(CHOOSE(MATCH(IF($E308="","Основний",$E308),{"Трафіковий","Основний","Маржинальний","Сезонний","Стратегічний"},0),Settings!$E$78,Settings!$E$80,Settings!$E$82,Settings!$E$84,Settings!$E$86),"")</f>
        <v/>
      </c>
      <c r="T308" s="143">
        <f>IFERROR((R308*(1-Settings!$E$17)-C308)/(R308*(1-Settings!$E$17)),"")</f>
        <v/>
      </c>
      <c r="U308" s="149">
        <f>IFERROR(IF(R308="","",IF(R308&gt;=C308/(1-SKU_Base!AC308)/(1-Settings!$E$17),"OK",IF(R308&gt;=C308/(1-SKU_Base!AJ308)/(1-Settings!$E$17),"WARN","STOP"))),"")</f>
        <v/>
      </c>
      <c r="V308" s="159">
        <f>IFERROR(ROUND(D308*(1-CHOOSE(MATCH(IF($E308="","Основний",$E308),{"Трафіковий","Основний","Маржинальний","Сезонний","Стратегічний"},0),Settings!$F$78,Settings!$F$80,Settings!$F$82,Settings!$F$84,Settings!$F$86))/6,2)*6,"")</f>
        <v/>
      </c>
      <c r="W308" s="142">
        <f>IFERROR(CHOOSE(MATCH(IF($E308="","Основний",$E308),{"Трафіковий","Основний","Маржинальний","Сезонний","Стратегічний"},0),Settings!$F$78,Settings!$F$80,Settings!$F$82,Settings!$F$84,Settings!$F$86),"")</f>
        <v/>
      </c>
      <c r="X308" s="143">
        <f>IFERROR((V308*(1-Settings!$F$17)-C308)/(V308*(1-Settings!$F$17)),"")</f>
        <v/>
      </c>
      <c r="Y308" s="149">
        <f>IFERROR(IF(V308="","",IF(V308&gt;=C308/(1-SKU_Base!AD308)/(1-Settings!$F$17),"OK",IF(V308&gt;=C308/(1-SKU_Base!AK308)/(1-Settings!$F$17),"WARN","STOP"))),"")</f>
        <v/>
      </c>
      <c r="Z308" s="159">
        <f>IFERROR(ROUND(D308*(1-CHOOSE(MATCH(IF($E308="","Основний",$E308),{"Трафіковий","Основний","Маржинальний","Сезонний","Стратегічний"},0),Settings!$G$78,Settings!$G$80,Settings!$G$82,Settings!$G$84,Settings!$G$86))/6,2)*6,"")</f>
        <v/>
      </c>
      <c r="AA308" s="142">
        <f>IFERROR(CHOOSE(MATCH(IF($E308="","Основний",$E308),{"Трафіковий","Основний","Маржинальний","Сезонний","Стратегічний"},0),Settings!$G$78,Settings!$G$80,Settings!$G$82,Settings!$G$84,Settings!$G$86),"")</f>
        <v/>
      </c>
      <c r="AB308" s="143">
        <f>IFERROR((Z308*(1-Settings!$G$17)-C308)/(Z308*(1-Settings!$G$17)),"")</f>
        <v/>
      </c>
      <c r="AC308" s="149">
        <f>IFERROR(IF(Z308="","",IF(Z308&gt;=C308/(1-SKU_Base!AE308)/(1-Settings!$G$17),"OK",IF(Z308&gt;=C308/(1-SKU_Base!AL308)/(1-Settings!$G$17),"WARN","STOP"))),"")</f>
        <v/>
      </c>
      <c r="AD308" s="159">
        <f>IFERROR(ROUND(D308*(1-CHOOSE(MATCH(IF($E308="","Основний",$E308),{"Трафіковий","Основний","Маржинальний","Сезонний","Стратегічний"},0),Settings!$H$78,Settings!$H$80,Settings!$H$82,Settings!$H$84,Settings!$H$86))*(1-Settings!$H$68)/6,2)*6,"")</f>
        <v/>
      </c>
      <c r="AE308" s="142">
        <f>IFERROR(CHOOSE(MATCH(IF($E308="","Основний",$E308),{"Трафіковий","Основний","Маржинальний","Сезонний","Стратегічний"},0),Settings!$H$78,Settings!$H$80,Settings!$H$82,Settings!$H$84,Settings!$H$86)+(1-(CHOOSE(MATCH(IF($E308="","Основний",$E308),{"Трафіковий","Основний","Маржинальний","Сезонний","Стратегічний"},0),Settings!$H$78,Settings!$H$80,Settings!$H$82,Settings!$H$84,Settings!$H$86)))*Settings!$H$68,"")</f>
        <v/>
      </c>
      <c r="AF308" s="143">
        <f>IFERROR((AD308*(1-Settings!$H$17)-C308)/(AD308*(1-Settings!$H$17)),"")</f>
        <v/>
      </c>
      <c r="AG308" s="150">
        <f>IFERROR(IF(AD308="","",IF(AD308&gt;=C308/(1-SKU_Base!AF308)/(1-Settings!$H$17),"OK",IF(AD308&gt;=C308/(1-SKU_Base!AM308)/(1-Settings!$H$17),"WARN","STOP"))),"")</f>
        <v/>
      </c>
    </row>
    <row r="309" ht="17" customHeight="1" s="179">
      <c r="A309" s="146">
        <f>SKU_Base!B309</f>
        <v/>
      </c>
      <c r="B309" s="146">
        <f>SKU_Base!C309</f>
        <v/>
      </c>
      <c r="C309" s="147">
        <f>IFERROR(SKU_Base!I309,"")</f>
        <v/>
      </c>
      <c r="D309" s="164">
        <f>IFERROR(SKU_Base!T309,"")</f>
        <v/>
      </c>
      <c r="E309" s="141">
        <f>IFERROR(SKU_Base!$U309,"")</f>
        <v/>
      </c>
      <c r="F309" s="160">
        <f>IFERROR(ROUND(D309*(1-CHOOSE(MATCH(IF($E309="","Основний",$E309),{"Трафіковий","Основний","Маржинальний","Сезонний","Стратегічний"},0),Settings!$B$78,Settings!$B$80,Settings!$B$82,Settings!$B$84,Settings!$B$86))/6,2)*6,"")</f>
        <v/>
      </c>
      <c r="G309" s="142">
        <f>IFERROR(CHOOSE(MATCH(IF($E309="","Основний",$E309),{"Трафіковий","Основний","Маржинальний","Сезонний","Стратегічний"},0),Settings!$B$78,Settings!$B$80,Settings!$B$82,Settings!$B$84,Settings!$B$86),"")</f>
        <v/>
      </c>
      <c r="H309" s="148">
        <f>IFERROR((F309*(1-Settings!$B$17)-C309)/(F309*(1-Settings!$B$17)),"")</f>
        <v/>
      </c>
      <c r="I309" s="150">
        <f>IFERROR(IF(F309="","",IF(F309&gt;=C309/(1-SKU_Base!Z309)/(1-Settings!$B$17),"OK",IF(F309&gt;=C309/(1-SKU_Base!AG309)/(1-Settings!$B$17),"WARN","STOP"))),"")</f>
        <v/>
      </c>
      <c r="J309" s="160">
        <f>IFERROR(ROUND(D309*(1-CHOOSE(MATCH(IF($E309="","Основний",$E309),{"Трафіковий","Основний","Маржинальний","Сезонний","Стратегічний"},0),Settings!$C$78,Settings!$C$80,Settings!$C$82,Settings!$C$84,Settings!$C$86))/6,2)*6,"")</f>
        <v/>
      </c>
      <c r="K309" s="142">
        <f>IFERROR(CHOOSE(MATCH(IF($E309="","Основний",$E309),{"Трафіковий","Основний","Маржинальний","Сезонний","Стратегічний"},0),Settings!$C$78,Settings!$C$80,Settings!$C$82,Settings!$C$84,Settings!$C$86),"")</f>
        <v/>
      </c>
      <c r="L309" s="148">
        <f>IFERROR((J309*(1-Settings!$C$17)-C309)/(J309*(1-Settings!$C$17)),"")</f>
        <v/>
      </c>
      <c r="M309" s="149">
        <f>IFERROR(IF(J309="","",IF(J309&gt;=C309/(1-SKU_Base!AA309)/(1-Settings!$C$17),"OK",IF(J309&gt;=C309/(1-SKU_Base!AH309)/(1-Settings!$C$17),"WARN","STOP"))),"")</f>
        <v/>
      </c>
      <c r="N309" s="161">
        <f>IFERROR(ROUND(D309*(1-CHOOSE(MATCH(IF($E309="","Основний",$E309),{"Трафіковий","Основний","Маржинальний","Сезонний","Стратегічний"},0),Settings!$D$78,Settings!$D$80,Settings!$D$82,Settings!$D$84,Settings!$D$86))/6,2)*6,"")</f>
        <v/>
      </c>
      <c r="O309" s="142">
        <f>IFERROR(CHOOSE(MATCH(IF($E309="","Основний",$E309),{"Трафіковий","Основний","Маржинальний","Сезонний","Стратегічний"},0),Settings!$D$78,Settings!$D$80,Settings!$D$82,Settings!$D$84,Settings!$D$86),"")</f>
        <v/>
      </c>
      <c r="P309" s="148">
        <f>IFERROR((N309*(1-Settings!$D$17)-C309)/(N309*(1-Settings!$D$17)),"")</f>
        <v/>
      </c>
      <c r="Q309" s="149">
        <f>IFERROR(IF(N309="","",IF(N309&gt;=C309/(1-SKU_Base!AB309)/(1-Settings!$D$17),"OK",IF(N309&gt;=C309/(1-SKU_Base!AI309)/(1-Settings!$D$17),"WARN","STOP"))),"")</f>
        <v/>
      </c>
      <c r="R309" s="161">
        <f>IFERROR(ROUND(D309*(1-CHOOSE(MATCH(IF($E309="","Основний",$E309),{"Трафіковий","Основний","Маржинальний","Сезонний","Стратегічний"},0),Settings!$E$78,Settings!$E$80,Settings!$E$82,Settings!$E$84,Settings!$E$86))/6,2)*6,"")</f>
        <v/>
      </c>
      <c r="S309" s="142">
        <f>IFERROR(CHOOSE(MATCH(IF($E309="","Основний",$E309),{"Трафіковий","Основний","Маржинальний","Сезонний","Стратегічний"},0),Settings!$E$78,Settings!$E$80,Settings!$E$82,Settings!$E$84,Settings!$E$86),"")</f>
        <v/>
      </c>
      <c r="T309" s="148">
        <f>IFERROR((R309*(1-Settings!$E$17)-C309)/(R309*(1-Settings!$E$17)),"")</f>
        <v/>
      </c>
      <c r="U309" s="149">
        <f>IFERROR(IF(R309="","",IF(R309&gt;=C309/(1-SKU_Base!AC309)/(1-Settings!$E$17),"OK",IF(R309&gt;=C309/(1-SKU_Base!AJ309)/(1-Settings!$E$17),"WARN","STOP"))),"")</f>
        <v/>
      </c>
      <c r="V309" s="161">
        <f>IFERROR(ROUND(D309*(1-CHOOSE(MATCH(IF($E309="","Основний",$E309),{"Трафіковий","Основний","Маржинальний","Сезонний","Стратегічний"},0),Settings!$F$78,Settings!$F$80,Settings!$F$82,Settings!$F$84,Settings!$F$86))/6,2)*6,"")</f>
        <v/>
      </c>
      <c r="W309" s="142">
        <f>IFERROR(CHOOSE(MATCH(IF($E309="","Основний",$E309),{"Трафіковий","Основний","Маржинальний","Сезонний","Стратегічний"},0),Settings!$F$78,Settings!$F$80,Settings!$F$82,Settings!$F$84,Settings!$F$86),"")</f>
        <v/>
      </c>
      <c r="X309" s="148">
        <f>IFERROR((V309*(1-Settings!$F$17)-C309)/(V309*(1-Settings!$F$17)),"")</f>
        <v/>
      </c>
      <c r="Y309" s="149">
        <f>IFERROR(IF(V309="","",IF(V309&gt;=C309/(1-SKU_Base!AD309)/(1-Settings!$F$17),"OK",IF(V309&gt;=C309/(1-SKU_Base!AK309)/(1-Settings!$F$17),"WARN","STOP"))),"")</f>
        <v/>
      </c>
      <c r="Z309" s="161">
        <f>IFERROR(ROUND(D309*(1-CHOOSE(MATCH(IF($E309="","Основний",$E309),{"Трафіковий","Основний","Маржинальний","Сезонний","Стратегічний"},0),Settings!$G$78,Settings!$G$80,Settings!$G$82,Settings!$G$84,Settings!$G$86))/6,2)*6,"")</f>
        <v/>
      </c>
      <c r="AA309" s="142">
        <f>IFERROR(CHOOSE(MATCH(IF($E309="","Основний",$E309),{"Трафіковий","Основний","Маржинальний","Сезонний","Стратегічний"},0),Settings!$G$78,Settings!$G$80,Settings!$G$82,Settings!$G$84,Settings!$G$86),"")</f>
        <v/>
      </c>
      <c r="AB309" s="148">
        <f>IFERROR((Z309*(1-Settings!$G$17)-C309)/(Z309*(1-Settings!$G$17)),"")</f>
        <v/>
      </c>
      <c r="AC309" s="149">
        <f>IFERROR(IF(Z309="","",IF(Z309&gt;=C309/(1-SKU_Base!AE309)/(1-Settings!$G$17),"OK",IF(Z309&gt;=C309/(1-SKU_Base!AL309)/(1-Settings!$G$17),"WARN","STOP"))),"")</f>
        <v/>
      </c>
      <c r="AD309" s="161">
        <f>IFERROR(ROUND(D309*(1-CHOOSE(MATCH(IF($E309="","Основний",$E309),{"Трафіковий","Основний","Маржинальний","Сезонний","Стратегічний"},0),Settings!$H$78,Settings!$H$80,Settings!$H$82,Settings!$H$84,Settings!$H$86))*(1-Settings!$H$68)/6,2)*6,"")</f>
        <v/>
      </c>
      <c r="AE309" s="142">
        <f>IFERROR(CHOOSE(MATCH(IF($E309="","Основний",$E309),{"Трафіковий","Основний","Маржинальний","Сезонний","Стратегічний"},0),Settings!$H$78,Settings!$H$80,Settings!$H$82,Settings!$H$84,Settings!$H$86)+(1-(CHOOSE(MATCH(IF($E309="","Основний",$E309),{"Трафіковий","Основний","Маржинальний","Сезонний","Стратегічний"},0),Settings!$H$78,Settings!$H$80,Settings!$H$82,Settings!$H$84,Settings!$H$86)))*Settings!$H$68,"")</f>
        <v/>
      </c>
      <c r="AF309" s="148">
        <f>IFERROR((AD309*(1-Settings!$H$17)-C309)/(AD309*(1-Settings!$H$17)),"")</f>
        <v/>
      </c>
      <c r="AG309" s="150">
        <f>IFERROR(IF(AD309="","",IF(AD309&gt;=C309/(1-SKU_Base!AF309)/(1-Settings!$H$17),"OK",IF(AD309&gt;=C309/(1-SKU_Base!AM309)/(1-Settings!$H$17),"WARN","STOP"))),"")</f>
        <v/>
      </c>
    </row>
    <row r="310" ht="17" customHeight="1" s="179">
      <c r="A310" s="139">
        <f>SKU_Base!B310</f>
        <v/>
      </c>
      <c r="B310" s="139">
        <f>SKU_Base!C310</f>
        <v/>
      </c>
      <c r="C310" s="140">
        <f>IFERROR(SKU_Base!I310,"")</f>
        <v/>
      </c>
      <c r="D310" s="163">
        <f>IFERROR(SKU_Base!T310,"")</f>
        <v/>
      </c>
      <c r="E310" s="141">
        <f>IFERROR(SKU_Base!$U310,"")</f>
        <v/>
      </c>
      <c r="F310" s="158">
        <f>IFERROR(ROUND(D310*(1-CHOOSE(MATCH(IF($E310="","Основний",$E310),{"Трафіковий","Основний","Маржинальний","Сезонний","Стратегічний"},0),Settings!$B$78,Settings!$B$80,Settings!$B$82,Settings!$B$84,Settings!$B$86))/6,2)*6,"")</f>
        <v/>
      </c>
      <c r="G310" s="142">
        <f>IFERROR(CHOOSE(MATCH(IF($E310="","Основний",$E310),{"Трафіковий","Основний","Маржинальний","Сезонний","Стратегічний"},0),Settings!$B$78,Settings!$B$80,Settings!$B$82,Settings!$B$84,Settings!$B$86),"")</f>
        <v/>
      </c>
      <c r="H310" s="143">
        <f>IFERROR((F310*(1-Settings!$B$17)-C310)/(F310*(1-Settings!$B$17)),"")</f>
        <v/>
      </c>
      <c r="I310" s="150">
        <f>IFERROR(IF(F310="","",IF(F310&gt;=C310/(1-SKU_Base!Z310)/(1-Settings!$B$17),"OK",IF(F310&gt;=C310/(1-SKU_Base!AG310)/(1-Settings!$B$17),"WARN","STOP"))),"")</f>
        <v/>
      </c>
      <c r="J310" s="158">
        <f>IFERROR(ROUND(D310*(1-CHOOSE(MATCH(IF($E310="","Основний",$E310),{"Трафіковий","Основний","Маржинальний","Сезонний","Стратегічний"},0),Settings!$C$78,Settings!$C$80,Settings!$C$82,Settings!$C$84,Settings!$C$86))/6,2)*6,"")</f>
        <v/>
      </c>
      <c r="K310" s="142">
        <f>IFERROR(CHOOSE(MATCH(IF($E310="","Основний",$E310),{"Трафіковий","Основний","Маржинальний","Сезонний","Стратегічний"},0),Settings!$C$78,Settings!$C$80,Settings!$C$82,Settings!$C$84,Settings!$C$86),"")</f>
        <v/>
      </c>
      <c r="L310" s="143">
        <f>IFERROR((J310*(1-Settings!$C$17)-C310)/(J310*(1-Settings!$C$17)),"")</f>
        <v/>
      </c>
      <c r="M310" s="149">
        <f>IFERROR(IF(J310="","",IF(J310&gt;=C310/(1-SKU_Base!AA310)/(1-Settings!$C$17),"OK",IF(J310&gt;=C310/(1-SKU_Base!AH310)/(1-Settings!$C$17),"WARN","STOP"))),"")</f>
        <v/>
      </c>
      <c r="N310" s="159">
        <f>IFERROR(ROUND(D310*(1-CHOOSE(MATCH(IF($E310="","Основний",$E310),{"Трафіковий","Основний","Маржинальний","Сезонний","Стратегічний"},0),Settings!$D$78,Settings!$D$80,Settings!$D$82,Settings!$D$84,Settings!$D$86))/6,2)*6,"")</f>
        <v/>
      </c>
      <c r="O310" s="142">
        <f>IFERROR(CHOOSE(MATCH(IF($E310="","Основний",$E310),{"Трафіковий","Основний","Маржинальний","Сезонний","Стратегічний"},0),Settings!$D$78,Settings!$D$80,Settings!$D$82,Settings!$D$84,Settings!$D$86),"")</f>
        <v/>
      </c>
      <c r="P310" s="143">
        <f>IFERROR((N310*(1-Settings!$D$17)-C310)/(N310*(1-Settings!$D$17)),"")</f>
        <v/>
      </c>
      <c r="Q310" s="149">
        <f>IFERROR(IF(N310="","",IF(N310&gt;=C310/(1-SKU_Base!AB310)/(1-Settings!$D$17),"OK",IF(N310&gt;=C310/(1-SKU_Base!AI310)/(1-Settings!$D$17),"WARN","STOP"))),"")</f>
        <v/>
      </c>
      <c r="R310" s="159">
        <f>IFERROR(ROUND(D310*(1-CHOOSE(MATCH(IF($E310="","Основний",$E310),{"Трафіковий","Основний","Маржинальний","Сезонний","Стратегічний"},0),Settings!$E$78,Settings!$E$80,Settings!$E$82,Settings!$E$84,Settings!$E$86))/6,2)*6,"")</f>
        <v/>
      </c>
      <c r="S310" s="142">
        <f>IFERROR(CHOOSE(MATCH(IF($E310="","Основний",$E310),{"Трафіковий","Основний","Маржинальний","Сезонний","Стратегічний"},0),Settings!$E$78,Settings!$E$80,Settings!$E$82,Settings!$E$84,Settings!$E$86),"")</f>
        <v/>
      </c>
      <c r="T310" s="143">
        <f>IFERROR((R310*(1-Settings!$E$17)-C310)/(R310*(1-Settings!$E$17)),"")</f>
        <v/>
      </c>
      <c r="U310" s="149">
        <f>IFERROR(IF(R310="","",IF(R310&gt;=C310/(1-SKU_Base!AC310)/(1-Settings!$E$17),"OK",IF(R310&gt;=C310/(1-SKU_Base!AJ310)/(1-Settings!$E$17),"WARN","STOP"))),"")</f>
        <v/>
      </c>
      <c r="V310" s="159">
        <f>IFERROR(ROUND(D310*(1-CHOOSE(MATCH(IF($E310="","Основний",$E310),{"Трафіковий","Основний","Маржинальний","Сезонний","Стратегічний"},0),Settings!$F$78,Settings!$F$80,Settings!$F$82,Settings!$F$84,Settings!$F$86))/6,2)*6,"")</f>
        <v/>
      </c>
      <c r="W310" s="142">
        <f>IFERROR(CHOOSE(MATCH(IF($E310="","Основний",$E310),{"Трафіковий","Основний","Маржинальний","Сезонний","Стратегічний"},0),Settings!$F$78,Settings!$F$80,Settings!$F$82,Settings!$F$84,Settings!$F$86),"")</f>
        <v/>
      </c>
      <c r="X310" s="143">
        <f>IFERROR((V310*(1-Settings!$F$17)-C310)/(V310*(1-Settings!$F$17)),"")</f>
        <v/>
      </c>
      <c r="Y310" s="149">
        <f>IFERROR(IF(V310="","",IF(V310&gt;=C310/(1-SKU_Base!AD310)/(1-Settings!$F$17),"OK",IF(V310&gt;=C310/(1-SKU_Base!AK310)/(1-Settings!$F$17),"WARN","STOP"))),"")</f>
        <v/>
      </c>
      <c r="Z310" s="159">
        <f>IFERROR(ROUND(D310*(1-CHOOSE(MATCH(IF($E310="","Основний",$E310),{"Трафіковий","Основний","Маржинальний","Сезонний","Стратегічний"},0),Settings!$G$78,Settings!$G$80,Settings!$G$82,Settings!$G$84,Settings!$G$86))/6,2)*6,"")</f>
        <v/>
      </c>
      <c r="AA310" s="142">
        <f>IFERROR(CHOOSE(MATCH(IF($E310="","Основний",$E310),{"Трафіковий","Основний","Маржинальний","Сезонний","Стратегічний"},0),Settings!$G$78,Settings!$G$80,Settings!$G$82,Settings!$G$84,Settings!$G$86),"")</f>
        <v/>
      </c>
      <c r="AB310" s="143">
        <f>IFERROR((Z310*(1-Settings!$G$17)-C310)/(Z310*(1-Settings!$G$17)),"")</f>
        <v/>
      </c>
      <c r="AC310" s="149">
        <f>IFERROR(IF(Z310="","",IF(Z310&gt;=C310/(1-SKU_Base!AE310)/(1-Settings!$G$17),"OK",IF(Z310&gt;=C310/(1-SKU_Base!AL310)/(1-Settings!$G$17),"WARN","STOP"))),"")</f>
        <v/>
      </c>
      <c r="AD310" s="159">
        <f>IFERROR(ROUND(D310*(1-CHOOSE(MATCH(IF($E310="","Основний",$E310),{"Трафіковий","Основний","Маржинальний","Сезонний","Стратегічний"},0),Settings!$H$78,Settings!$H$80,Settings!$H$82,Settings!$H$84,Settings!$H$86))*(1-Settings!$H$68)/6,2)*6,"")</f>
        <v/>
      </c>
      <c r="AE310" s="142">
        <f>IFERROR(CHOOSE(MATCH(IF($E310="","Основний",$E310),{"Трафіковий","Основний","Маржинальний","Сезонний","Стратегічний"},0),Settings!$H$78,Settings!$H$80,Settings!$H$82,Settings!$H$84,Settings!$H$86)+(1-(CHOOSE(MATCH(IF($E310="","Основний",$E310),{"Трафіковий","Основний","Маржинальний","Сезонний","Стратегічний"},0),Settings!$H$78,Settings!$H$80,Settings!$H$82,Settings!$H$84,Settings!$H$86)))*Settings!$H$68,"")</f>
        <v/>
      </c>
      <c r="AF310" s="143">
        <f>IFERROR((AD310*(1-Settings!$H$17)-C310)/(AD310*(1-Settings!$H$17)),"")</f>
        <v/>
      </c>
      <c r="AG310" s="150">
        <f>IFERROR(IF(AD310="","",IF(AD310&gt;=C310/(1-SKU_Base!AF310)/(1-Settings!$H$17),"OK",IF(AD310&gt;=C310/(1-SKU_Base!AM310)/(1-Settings!$H$17),"WARN","STOP"))),"")</f>
        <v/>
      </c>
    </row>
    <row r="311" ht="17" customHeight="1" s="179">
      <c r="A311" s="146">
        <f>SKU_Base!B311</f>
        <v/>
      </c>
      <c r="B311" s="146">
        <f>SKU_Base!C311</f>
        <v/>
      </c>
      <c r="C311" s="147">
        <f>IFERROR(SKU_Base!I311,"")</f>
        <v/>
      </c>
      <c r="D311" s="164">
        <f>IFERROR(SKU_Base!T311,"")</f>
        <v/>
      </c>
      <c r="E311" s="141">
        <f>IFERROR(SKU_Base!$U311,"")</f>
        <v/>
      </c>
      <c r="F311" s="160">
        <f>IFERROR(ROUND(D311*(1-CHOOSE(MATCH(IF($E311="","Основний",$E311),{"Трафіковий","Основний","Маржинальний","Сезонний","Стратегічний"},0),Settings!$B$78,Settings!$B$80,Settings!$B$82,Settings!$B$84,Settings!$B$86))/6,2)*6,"")</f>
        <v/>
      </c>
      <c r="G311" s="142">
        <f>IFERROR(CHOOSE(MATCH(IF($E311="","Основний",$E311),{"Трафіковий","Основний","Маржинальний","Сезонний","Стратегічний"},0),Settings!$B$78,Settings!$B$80,Settings!$B$82,Settings!$B$84,Settings!$B$86),"")</f>
        <v/>
      </c>
      <c r="H311" s="148">
        <f>IFERROR((F311*(1-Settings!$B$17)-C311)/(F311*(1-Settings!$B$17)),"")</f>
        <v/>
      </c>
      <c r="I311" s="149">
        <f>IFERROR(IF(F311="","",IF(F311&gt;=C311/(1-SKU_Base!Z311)/(1-Settings!$B$17),"OK",IF(F311&gt;=C311/(1-SKU_Base!AG311)/(1-Settings!$B$17),"WARN","STOP"))),"")</f>
        <v/>
      </c>
      <c r="J311" s="160">
        <f>IFERROR(ROUND(D311*(1-CHOOSE(MATCH(IF($E311="","Основний",$E311),{"Трафіковий","Основний","Маржинальний","Сезонний","Стратегічний"},0),Settings!$C$78,Settings!$C$80,Settings!$C$82,Settings!$C$84,Settings!$C$86))/6,2)*6,"")</f>
        <v/>
      </c>
      <c r="K311" s="142">
        <f>IFERROR(CHOOSE(MATCH(IF($E311="","Основний",$E311),{"Трафіковий","Основний","Маржинальний","Сезонний","Стратегічний"},0),Settings!$C$78,Settings!$C$80,Settings!$C$82,Settings!$C$84,Settings!$C$86),"")</f>
        <v/>
      </c>
      <c r="L311" s="148">
        <f>IFERROR((J311*(1-Settings!$C$17)-C311)/(J311*(1-Settings!$C$17)),"")</f>
        <v/>
      </c>
      <c r="M311" s="149">
        <f>IFERROR(IF(J311="","",IF(J311&gt;=C311/(1-SKU_Base!AA311)/(1-Settings!$C$17),"OK",IF(J311&gt;=C311/(1-SKU_Base!AH311)/(1-Settings!$C$17),"WARN","STOP"))),"")</f>
        <v/>
      </c>
      <c r="N311" s="161">
        <f>IFERROR(ROUND(D311*(1-CHOOSE(MATCH(IF($E311="","Основний",$E311),{"Трафіковий","Основний","Маржинальний","Сезонний","Стратегічний"},0),Settings!$D$78,Settings!$D$80,Settings!$D$82,Settings!$D$84,Settings!$D$86))/6,2)*6,"")</f>
        <v/>
      </c>
      <c r="O311" s="142">
        <f>IFERROR(CHOOSE(MATCH(IF($E311="","Основний",$E311),{"Трафіковий","Основний","Маржинальний","Сезонний","Стратегічний"},0),Settings!$D$78,Settings!$D$80,Settings!$D$82,Settings!$D$84,Settings!$D$86),"")</f>
        <v/>
      </c>
      <c r="P311" s="148">
        <f>IFERROR((N311*(1-Settings!$D$17)-C311)/(N311*(1-Settings!$D$17)),"")</f>
        <v/>
      </c>
      <c r="Q311" s="149">
        <f>IFERROR(IF(N311="","",IF(N311&gt;=C311/(1-SKU_Base!AB311)/(1-Settings!$D$17),"OK",IF(N311&gt;=C311/(1-SKU_Base!AI311)/(1-Settings!$D$17),"WARN","STOP"))),"")</f>
        <v/>
      </c>
      <c r="R311" s="161">
        <f>IFERROR(ROUND(D311*(1-CHOOSE(MATCH(IF($E311="","Основний",$E311),{"Трафіковий","Основний","Маржинальний","Сезонний","Стратегічний"},0),Settings!$E$78,Settings!$E$80,Settings!$E$82,Settings!$E$84,Settings!$E$86))/6,2)*6,"")</f>
        <v/>
      </c>
      <c r="S311" s="142">
        <f>IFERROR(CHOOSE(MATCH(IF($E311="","Основний",$E311),{"Трафіковий","Основний","Маржинальний","Сезонний","Стратегічний"},0),Settings!$E$78,Settings!$E$80,Settings!$E$82,Settings!$E$84,Settings!$E$86),"")</f>
        <v/>
      </c>
      <c r="T311" s="148">
        <f>IFERROR((R311*(1-Settings!$E$17)-C311)/(R311*(1-Settings!$E$17)),"")</f>
        <v/>
      </c>
      <c r="U311" s="149">
        <f>IFERROR(IF(R311="","",IF(R311&gt;=C311/(1-SKU_Base!AC311)/(1-Settings!$E$17),"OK",IF(R311&gt;=C311/(1-SKU_Base!AJ311)/(1-Settings!$E$17),"WARN","STOP"))),"")</f>
        <v/>
      </c>
      <c r="V311" s="161">
        <f>IFERROR(ROUND(D311*(1-CHOOSE(MATCH(IF($E311="","Основний",$E311),{"Трафіковий","Основний","Маржинальний","Сезонний","Стратегічний"},0),Settings!$F$78,Settings!$F$80,Settings!$F$82,Settings!$F$84,Settings!$F$86))/6,2)*6,"")</f>
        <v/>
      </c>
      <c r="W311" s="142">
        <f>IFERROR(CHOOSE(MATCH(IF($E311="","Основний",$E311),{"Трафіковий","Основний","Маржинальний","Сезонний","Стратегічний"},0),Settings!$F$78,Settings!$F$80,Settings!$F$82,Settings!$F$84,Settings!$F$86),"")</f>
        <v/>
      </c>
      <c r="X311" s="148">
        <f>IFERROR((V311*(1-Settings!$F$17)-C311)/(V311*(1-Settings!$F$17)),"")</f>
        <v/>
      </c>
      <c r="Y311" s="149">
        <f>IFERROR(IF(V311="","",IF(V311&gt;=C311/(1-SKU_Base!AD311)/(1-Settings!$F$17),"OK",IF(V311&gt;=C311/(1-SKU_Base!AK311)/(1-Settings!$F$17),"WARN","STOP"))),"")</f>
        <v/>
      </c>
      <c r="Z311" s="161">
        <f>IFERROR(ROUND(D311*(1-CHOOSE(MATCH(IF($E311="","Основний",$E311),{"Трафіковий","Основний","Маржинальний","Сезонний","Стратегічний"},0),Settings!$G$78,Settings!$G$80,Settings!$G$82,Settings!$G$84,Settings!$G$86))/6,2)*6,"")</f>
        <v/>
      </c>
      <c r="AA311" s="142">
        <f>IFERROR(CHOOSE(MATCH(IF($E311="","Основний",$E311),{"Трафіковий","Основний","Маржинальний","Сезонний","Стратегічний"},0),Settings!$G$78,Settings!$G$80,Settings!$G$82,Settings!$G$84,Settings!$G$86),"")</f>
        <v/>
      </c>
      <c r="AB311" s="148">
        <f>IFERROR((Z311*(1-Settings!$G$17)-C311)/(Z311*(1-Settings!$G$17)),"")</f>
        <v/>
      </c>
      <c r="AC311" s="149">
        <f>IFERROR(IF(Z311="","",IF(Z311&gt;=C311/(1-SKU_Base!AE311)/(1-Settings!$G$17),"OK",IF(Z311&gt;=C311/(1-SKU_Base!AL311)/(1-Settings!$G$17),"WARN","STOP"))),"")</f>
        <v/>
      </c>
      <c r="AD311" s="161">
        <f>IFERROR(ROUND(D311*(1-CHOOSE(MATCH(IF($E311="","Основний",$E311),{"Трафіковий","Основний","Маржинальний","Сезонний","Стратегічний"},0),Settings!$H$78,Settings!$H$80,Settings!$H$82,Settings!$H$84,Settings!$H$86))*(1-Settings!$H$68)/6,2)*6,"")</f>
        <v/>
      </c>
      <c r="AE311" s="142">
        <f>IFERROR(CHOOSE(MATCH(IF($E311="","Основний",$E311),{"Трафіковий","Основний","Маржинальний","Сезонний","Стратегічний"},0),Settings!$H$78,Settings!$H$80,Settings!$H$82,Settings!$H$84,Settings!$H$86)+(1-(CHOOSE(MATCH(IF($E311="","Основний",$E311),{"Трафіковий","Основний","Маржинальний","Сезонний","Стратегічний"},0),Settings!$H$78,Settings!$H$80,Settings!$H$82,Settings!$H$84,Settings!$H$86)))*Settings!$H$68,"")</f>
        <v/>
      </c>
      <c r="AF311" s="148">
        <f>IFERROR((AD311*(1-Settings!$H$17)-C311)/(AD311*(1-Settings!$H$17)),"")</f>
        <v/>
      </c>
      <c r="AG311" s="150">
        <f>IFERROR(IF(AD311="","",IF(AD311&gt;=C311/(1-SKU_Base!AF311)/(1-Settings!$H$17),"OK",IF(AD311&gt;=C311/(1-SKU_Base!AM311)/(1-Settings!$H$17),"WARN","STOP"))),"")</f>
        <v/>
      </c>
    </row>
    <row r="312" ht="17" customHeight="1" s="179">
      <c r="A312" s="139">
        <f>SKU_Base!B312</f>
        <v/>
      </c>
      <c r="B312" s="139">
        <f>SKU_Base!C312</f>
        <v/>
      </c>
      <c r="C312" s="140">
        <f>IFERROR(SKU_Base!I312,"")</f>
        <v/>
      </c>
      <c r="D312" s="163">
        <f>IFERROR(SKU_Base!T312,"")</f>
        <v/>
      </c>
      <c r="E312" s="141">
        <f>IFERROR(SKU_Base!$U312,"")</f>
        <v/>
      </c>
      <c r="F312" s="158">
        <f>IFERROR(ROUND(D312*(1-CHOOSE(MATCH(IF($E312="","Основний",$E312),{"Трафіковий","Основний","Маржинальний","Сезонний","Стратегічний"},0),Settings!$B$78,Settings!$B$80,Settings!$B$82,Settings!$B$84,Settings!$B$86))/6,2)*6,"")</f>
        <v/>
      </c>
      <c r="G312" s="142">
        <f>IFERROR(CHOOSE(MATCH(IF($E312="","Основний",$E312),{"Трафіковий","Основний","Маржинальний","Сезонний","Стратегічний"},0),Settings!$B$78,Settings!$B$80,Settings!$B$82,Settings!$B$84,Settings!$B$86),"")</f>
        <v/>
      </c>
      <c r="H312" s="143">
        <f>IFERROR((F312*(1-Settings!$B$17)-C312)/(F312*(1-Settings!$B$17)),"")</f>
        <v/>
      </c>
      <c r="I312" s="149">
        <f>IFERROR(IF(F312="","",IF(F312&gt;=C312/(1-SKU_Base!Z312)/(1-Settings!$B$17),"OK",IF(F312&gt;=C312/(1-SKU_Base!AG312)/(1-Settings!$B$17),"WARN","STOP"))),"")</f>
        <v/>
      </c>
      <c r="J312" s="158">
        <f>IFERROR(ROUND(D312*(1-CHOOSE(MATCH(IF($E312="","Основний",$E312),{"Трафіковий","Основний","Маржинальний","Сезонний","Стратегічний"},0),Settings!$C$78,Settings!$C$80,Settings!$C$82,Settings!$C$84,Settings!$C$86))/6,2)*6,"")</f>
        <v/>
      </c>
      <c r="K312" s="142">
        <f>IFERROR(CHOOSE(MATCH(IF($E312="","Основний",$E312),{"Трафіковий","Основний","Маржинальний","Сезонний","Стратегічний"},0),Settings!$C$78,Settings!$C$80,Settings!$C$82,Settings!$C$84,Settings!$C$86),"")</f>
        <v/>
      </c>
      <c r="L312" s="143">
        <f>IFERROR((J312*(1-Settings!$C$17)-C312)/(J312*(1-Settings!$C$17)),"")</f>
        <v/>
      </c>
      <c r="M312" s="149">
        <f>IFERROR(IF(J312="","",IF(J312&gt;=C312/(1-SKU_Base!AA312)/(1-Settings!$C$17),"OK",IF(J312&gt;=C312/(1-SKU_Base!AH312)/(1-Settings!$C$17),"WARN","STOP"))),"")</f>
        <v/>
      </c>
      <c r="N312" s="159">
        <f>IFERROR(ROUND(D312*(1-CHOOSE(MATCH(IF($E312="","Основний",$E312),{"Трафіковий","Основний","Маржинальний","Сезонний","Стратегічний"},0),Settings!$D$78,Settings!$D$80,Settings!$D$82,Settings!$D$84,Settings!$D$86))/6,2)*6,"")</f>
        <v/>
      </c>
      <c r="O312" s="142">
        <f>IFERROR(CHOOSE(MATCH(IF($E312="","Основний",$E312),{"Трафіковий","Основний","Маржинальний","Сезонний","Стратегічний"},0),Settings!$D$78,Settings!$D$80,Settings!$D$82,Settings!$D$84,Settings!$D$86),"")</f>
        <v/>
      </c>
      <c r="P312" s="143">
        <f>IFERROR((N312*(1-Settings!$D$17)-C312)/(N312*(1-Settings!$D$17)),"")</f>
        <v/>
      </c>
      <c r="Q312" s="149">
        <f>IFERROR(IF(N312="","",IF(N312&gt;=C312/(1-SKU_Base!AB312)/(1-Settings!$D$17),"OK",IF(N312&gt;=C312/(1-SKU_Base!AI312)/(1-Settings!$D$17),"WARN","STOP"))),"")</f>
        <v/>
      </c>
      <c r="R312" s="159">
        <f>IFERROR(ROUND(D312*(1-CHOOSE(MATCH(IF($E312="","Основний",$E312),{"Трафіковий","Основний","Маржинальний","Сезонний","Стратегічний"},0),Settings!$E$78,Settings!$E$80,Settings!$E$82,Settings!$E$84,Settings!$E$86))/6,2)*6,"")</f>
        <v/>
      </c>
      <c r="S312" s="142">
        <f>IFERROR(CHOOSE(MATCH(IF($E312="","Основний",$E312),{"Трафіковий","Основний","Маржинальний","Сезонний","Стратегічний"},0),Settings!$E$78,Settings!$E$80,Settings!$E$82,Settings!$E$84,Settings!$E$86),"")</f>
        <v/>
      </c>
      <c r="T312" s="143">
        <f>IFERROR((R312*(1-Settings!$E$17)-C312)/(R312*(1-Settings!$E$17)),"")</f>
        <v/>
      </c>
      <c r="U312" s="149">
        <f>IFERROR(IF(R312="","",IF(R312&gt;=C312/(1-SKU_Base!AC312)/(1-Settings!$E$17),"OK",IF(R312&gt;=C312/(1-SKU_Base!AJ312)/(1-Settings!$E$17),"WARN","STOP"))),"")</f>
        <v/>
      </c>
      <c r="V312" s="159">
        <f>IFERROR(ROUND(D312*(1-CHOOSE(MATCH(IF($E312="","Основний",$E312),{"Трафіковий","Основний","Маржинальний","Сезонний","Стратегічний"},0),Settings!$F$78,Settings!$F$80,Settings!$F$82,Settings!$F$84,Settings!$F$86))/6,2)*6,"")</f>
        <v/>
      </c>
      <c r="W312" s="142">
        <f>IFERROR(CHOOSE(MATCH(IF($E312="","Основний",$E312),{"Трафіковий","Основний","Маржинальний","Сезонний","Стратегічний"},0),Settings!$F$78,Settings!$F$80,Settings!$F$82,Settings!$F$84,Settings!$F$86),"")</f>
        <v/>
      </c>
      <c r="X312" s="143">
        <f>IFERROR((V312*(1-Settings!$F$17)-C312)/(V312*(1-Settings!$F$17)),"")</f>
        <v/>
      </c>
      <c r="Y312" s="149">
        <f>IFERROR(IF(V312="","",IF(V312&gt;=C312/(1-SKU_Base!AD312)/(1-Settings!$F$17),"OK",IF(V312&gt;=C312/(1-SKU_Base!AK312)/(1-Settings!$F$17),"WARN","STOP"))),"")</f>
        <v/>
      </c>
      <c r="Z312" s="159">
        <f>IFERROR(ROUND(D312*(1-CHOOSE(MATCH(IF($E312="","Основний",$E312),{"Трафіковий","Основний","Маржинальний","Сезонний","Стратегічний"},0),Settings!$G$78,Settings!$G$80,Settings!$G$82,Settings!$G$84,Settings!$G$86))/6,2)*6,"")</f>
        <v/>
      </c>
      <c r="AA312" s="142">
        <f>IFERROR(CHOOSE(MATCH(IF($E312="","Основний",$E312),{"Трафіковий","Основний","Маржинальний","Сезонний","Стратегічний"},0),Settings!$G$78,Settings!$G$80,Settings!$G$82,Settings!$G$84,Settings!$G$86),"")</f>
        <v/>
      </c>
      <c r="AB312" s="143">
        <f>IFERROR((Z312*(1-Settings!$G$17)-C312)/(Z312*(1-Settings!$G$17)),"")</f>
        <v/>
      </c>
      <c r="AC312" s="149">
        <f>IFERROR(IF(Z312="","",IF(Z312&gt;=C312/(1-SKU_Base!AE312)/(1-Settings!$G$17),"OK",IF(Z312&gt;=C312/(1-SKU_Base!AL312)/(1-Settings!$G$17),"WARN","STOP"))),"")</f>
        <v/>
      </c>
      <c r="AD312" s="159">
        <f>IFERROR(ROUND(D312*(1-CHOOSE(MATCH(IF($E312="","Основний",$E312),{"Трафіковий","Основний","Маржинальний","Сезонний","Стратегічний"},0),Settings!$H$78,Settings!$H$80,Settings!$H$82,Settings!$H$84,Settings!$H$86))*(1-Settings!$H$68)/6,2)*6,"")</f>
        <v/>
      </c>
      <c r="AE312" s="142">
        <f>IFERROR(CHOOSE(MATCH(IF($E312="","Основний",$E312),{"Трафіковий","Основний","Маржинальний","Сезонний","Стратегічний"},0),Settings!$H$78,Settings!$H$80,Settings!$H$82,Settings!$H$84,Settings!$H$86)+(1-(CHOOSE(MATCH(IF($E312="","Основний",$E312),{"Трафіковий","Основний","Маржинальний","Сезонний","Стратегічний"},0),Settings!$H$78,Settings!$H$80,Settings!$H$82,Settings!$H$84,Settings!$H$86)))*Settings!$H$68,"")</f>
        <v/>
      </c>
      <c r="AF312" s="143">
        <f>IFERROR((AD312*(1-Settings!$H$17)-C312)/(AD312*(1-Settings!$H$17)),"")</f>
        <v/>
      </c>
      <c r="AG312" s="150">
        <f>IFERROR(IF(AD312="","",IF(AD312&gt;=C312/(1-SKU_Base!AF312)/(1-Settings!$H$17),"OK",IF(AD312&gt;=C312/(1-SKU_Base!AM312)/(1-Settings!$H$17),"WARN","STOP"))),"")</f>
        <v/>
      </c>
    </row>
    <row r="313" ht="17" customHeight="1" s="179">
      <c r="A313" s="146">
        <f>SKU_Base!B313</f>
        <v/>
      </c>
      <c r="B313" s="146">
        <f>SKU_Base!C313</f>
        <v/>
      </c>
      <c r="C313" s="147">
        <f>IFERROR(SKU_Base!I313,"")</f>
        <v/>
      </c>
      <c r="D313" s="164">
        <f>IFERROR(SKU_Base!T313,"")</f>
        <v/>
      </c>
      <c r="E313" s="141">
        <f>IFERROR(SKU_Base!$U313,"")</f>
        <v/>
      </c>
      <c r="F313" s="160">
        <f>IFERROR(ROUND(D313*(1-CHOOSE(MATCH(IF($E313="","Основний",$E313),{"Трафіковий","Основний","Маржинальний","Сезонний","Стратегічний"},0),Settings!$B$78,Settings!$B$80,Settings!$B$82,Settings!$B$84,Settings!$B$86))/6,2)*6,"")</f>
        <v/>
      </c>
      <c r="G313" s="142">
        <f>IFERROR(CHOOSE(MATCH(IF($E313="","Основний",$E313),{"Трафіковий","Основний","Маржинальний","Сезонний","Стратегічний"},0),Settings!$B$78,Settings!$B$80,Settings!$B$82,Settings!$B$84,Settings!$B$86),"")</f>
        <v/>
      </c>
      <c r="H313" s="148">
        <f>IFERROR((F313*(1-Settings!$B$17)-C313)/(F313*(1-Settings!$B$17)),"")</f>
        <v/>
      </c>
      <c r="I313" s="149">
        <f>IFERROR(IF(F313="","",IF(F313&gt;=C313/(1-SKU_Base!Z313)/(1-Settings!$B$17),"OK",IF(F313&gt;=C313/(1-SKU_Base!AG313)/(1-Settings!$B$17),"WARN","STOP"))),"")</f>
        <v/>
      </c>
      <c r="J313" s="160">
        <f>IFERROR(ROUND(D313*(1-CHOOSE(MATCH(IF($E313="","Основний",$E313),{"Трафіковий","Основний","Маржинальний","Сезонний","Стратегічний"},0),Settings!$C$78,Settings!$C$80,Settings!$C$82,Settings!$C$84,Settings!$C$86))/6,2)*6,"")</f>
        <v/>
      </c>
      <c r="K313" s="142">
        <f>IFERROR(CHOOSE(MATCH(IF($E313="","Основний",$E313),{"Трафіковий","Основний","Маржинальний","Сезонний","Стратегічний"},0),Settings!$C$78,Settings!$C$80,Settings!$C$82,Settings!$C$84,Settings!$C$86),"")</f>
        <v/>
      </c>
      <c r="L313" s="148">
        <f>IFERROR((J313*(1-Settings!$C$17)-C313)/(J313*(1-Settings!$C$17)),"")</f>
        <v/>
      </c>
      <c r="M313" s="149">
        <f>IFERROR(IF(J313="","",IF(J313&gt;=C313/(1-SKU_Base!AA313)/(1-Settings!$C$17),"OK",IF(J313&gt;=C313/(1-SKU_Base!AH313)/(1-Settings!$C$17),"WARN","STOP"))),"")</f>
        <v/>
      </c>
      <c r="N313" s="161">
        <f>IFERROR(ROUND(D313*(1-CHOOSE(MATCH(IF($E313="","Основний",$E313),{"Трафіковий","Основний","Маржинальний","Сезонний","Стратегічний"},0),Settings!$D$78,Settings!$D$80,Settings!$D$82,Settings!$D$84,Settings!$D$86))/6,2)*6,"")</f>
        <v/>
      </c>
      <c r="O313" s="142">
        <f>IFERROR(CHOOSE(MATCH(IF($E313="","Основний",$E313),{"Трафіковий","Основний","Маржинальний","Сезонний","Стратегічний"},0),Settings!$D$78,Settings!$D$80,Settings!$D$82,Settings!$D$84,Settings!$D$86),"")</f>
        <v/>
      </c>
      <c r="P313" s="148">
        <f>IFERROR((N313*(1-Settings!$D$17)-C313)/(N313*(1-Settings!$D$17)),"")</f>
        <v/>
      </c>
      <c r="Q313" s="149">
        <f>IFERROR(IF(N313="","",IF(N313&gt;=C313/(1-SKU_Base!AB313)/(1-Settings!$D$17),"OK",IF(N313&gt;=C313/(1-SKU_Base!AI313)/(1-Settings!$D$17),"WARN","STOP"))),"")</f>
        <v/>
      </c>
      <c r="R313" s="161">
        <f>IFERROR(ROUND(D313*(1-CHOOSE(MATCH(IF($E313="","Основний",$E313),{"Трафіковий","Основний","Маржинальний","Сезонний","Стратегічний"},0),Settings!$E$78,Settings!$E$80,Settings!$E$82,Settings!$E$84,Settings!$E$86))/6,2)*6,"")</f>
        <v/>
      </c>
      <c r="S313" s="142">
        <f>IFERROR(CHOOSE(MATCH(IF($E313="","Основний",$E313),{"Трафіковий","Основний","Маржинальний","Сезонний","Стратегічний"},0),Settings!$E$78,Settings!$E$80,Settings!$E$82,Settings!$E$84,Settings!$E$86),"")</f>
        <v/>
      </c>
      <c r="T313" s="148">
        <f>IFERROR((R313*(1-Settings!$E$17)-C313)/(R313*(1-Settings!$E$17)),"")</f>
        <v/>
      </c>
      <c r="U313" s="149">
        <f>IFERROR(IF(R313="","",IF(R313&gt;=C313/(1-SKU_Base!AC313)/(1-Settings!$E$17),"OK",IF(R313&gt;=C313/(1-SKU_Base!AJ313)/(1-Settings!$E$17),"WARN","STOP"))),"")</f>
        <v/>
      </c>
      <c r="V313" s="161">
        <f>IFERROR(ROUND(D313*(1-CHOOSE(MATCH(IF($E313="","Основний",$E313),{"Трафіковий","Основний","Маржинальний","Сезонний","Стратегічний"},0),Settings!$F$78,Settings!$F$80,Settings!$F$82,Settings!$F$84,Settings!$F$86))/6,2)*6,"")</f>
        <v/>
      </c>
      <c r="W313" s="142">
        <f>IFERROR(CHOOSE(MATCH(IF($E313="","Основний",$E313),{"Трафіковий","Основний","Маржинальний","Сезонний","Стратегічний"},0),Settings!$F$78,Settings!$F$80,Settings!$F$82,Settings!$F$84,Settings!$F$86),"")</f>
        <v/>
      </c>
      <c r="X313" s="148">
        <f>IFERROR((V313*(1-Settings!$F$17)-C313)/(V313*(1-Settings!$F$17)),"")</f>
        <v/>
      </c>
      <c r="Y313" s="149">
        <f>IFERROR(IF(V313="","",IF(V313&gt;=C313/(1-SKU_Base!AD313)/(1-Settings!$F$17),"OK",IF(V313&gt;=C313/(1-SKU_Base!AK313)/(1-Settings!$F$17),"WARN","STOP"))),"")</f>
        <v/>
      </c>
      <c r="Z313" s="161">
        <f>IFERROR(ROUND(D313*(1-CHOOSE(MATCH(IF($E313="","Основний",$E313),{"Трафіковий","Основний","Маржинальний","Сезонний","Стратегічний"},0),Settings!$G$78,Settings!$G$80,Settings!$G$82,Settings!$G$84,Settings!$G$86))/6,2)*6,"")</f>
        <v/>
      </c>
      <c r="AA313" s="142">
        <f>IFERROR(CHOOSE(MATCH(IF($E313="","Основний",$E313),{"Трафіковий","Основний","Маржинальний","Сезонний","Стратегічний"},0),Settings!$G$78,Settings!$G$80,Settings!$G$82,Settings!$G$84,Settings!$G$86),"")</f>
        <v/>
      </c>
      <c r="AB313" s="148">
        <f>IFERROR((Z313*(1-Settings!$G$17)-C313)/(Z313*(1-Settings!$G$17)),"")</f>
        <v/>
      </c>
      <c r="AC313" s="149">
        <f>IFERROR(IF(Z313="","",IF(Z313&gt;=C313/(1-SKU_Base!AE313)/(1-Settings!$G$17),"OK",IF(Z313&gt;=C313/(1-SKU_Base!AL313)/(1-Settings!$G$17),"WARN","STOP"))),"")</f>
        <v/>
      </c>
      <c r="AD313" s="161">
        <f>IFERROR(ROUND(D313*(1-CHOOSE(MATCH(IF($E313="","Основний",$E313),{"Трафіковий","Основний","Маржинальний","Сезонний","Стратегічний"},0),Settings!$H$78,Settings!$H$80,Settings!$H$82,Settings!$H$84,Settings!$H$86))*(1-Settings!$H$68)/6,2)*6,"")</f>
        <v/>
      </c>
      <c r="AE313" s="142">
        <f>IFERROR(CHOOSE(MATCH(IF($E313="","Основний",$E313),{"Трафіковий","Основний","Маржинальний","Сезонний","Стратегічний"},0),Settings!$H$78,Settings!$H$80,Settings!$H$82,Settings!$H$84,Settings!$H$86)+(1-(CHOOSE(MATCH(IF($E313="","Основний",$E313),{"Трафіковий","Основний","Маржинальний","Сезонний","Стратегічний"},0),Settings!$H$78,Settings!$H$80,Settings!$H$82,Settings!$H$84,Settings!$H$86)))*Settings!$H$68,"")</f>
        <v/>
      </c>
      <c r="AF313" s="148">
        <f>IFERROR((AD313*(1-Settings!$H$17)-C313)/(AD313*(1-Settings!$H$17)),"")</f>
        <v/>
      </c>
      <c r="AG313" s="150">
        <f>IFERROR(IF(AD313="","",IF(AD313&gt;=C313/(1-SKU_Base!AF313)/(1-Settings!$H$17),"OK",IF(AD313&gt;=C313/(1-SKU_Base!AM313)/(1-Settings!$H$17),"WARN","STOP"))),"")</f>
        <v/>
      </c>
    </row>
    <row r="314" ht="17" customHeight="1" s="179">
      <c r="A314" s="139">
        <f>SKU_Base!B314</f>
        <v/>
      </c>
      <c r="B314" s="139">
        <f>SKU_Base!C314</f>
        <v/>
      </c>
      <c r="C314" s="140">
        <f>IFERROR(SKU_Base!I314,"")</f>
        <v/>
      </c>
      <c r="D314" s="163">
        <f>IFERROR(SKU_Base!T314,"")</f>
        <v/>
      </c>
      <c r="E314" s="141">
        <f>IFERROR(SKU_Base!$U314,"")</f>
        <v/>
      </c>
      <c r="F314" s="158">
        <f>IFERROR(ROUND(D314*(1-CHOOSE(MATCH(IF($E314="","Основний",$E314),{"Трафіковий","Основний","Маржинальний","Сезонний","Стратегічний"},0),Settings!$B$78,Settings!$B$80,Settings!$B$82,Settings!$B$84,Settings!$B$86))/6,2)*6,"")</f>
        <v/>
      </c>
      <c r="G314" s="142">
        <f>IFERROR(CHOOSE(MATCH(IF($E314="","Основний",$E314),{"Трафіковий","Основний","Маржинальний","Сезонний","Стратегічний"},0),Settings!$B$78,Settings!$B$80,Settings!$B$82,Settings!$B$84,Settings!$B$86),"")</f>
        <v/>
      </c>
      <c r="H314" s="143">
        <f>IFERROR((F314*(1-Settings!$B$17)-C314)/(F314*(1-Settings!$B$17)),"")</f>
        <v/>
      </c>
      <c r="I314" s="149">
        <f>IFERROR(IF(F314="","",IF(F314&gt;=C314/(1-SKU_Base!Z314)/(1-Settings!$B$17),"OK",IF(F314&gt;=C314/(1-SKU_Base!AG314)/(1-Settings!$B$17),"WARN","STOP"))),"")</f>
        <v/>
      </c>
      <c r="J314" s="158">
        <f>IFERROR(ROUND(D314*(1-CHOOSE(MATCH(IF($E314="","Основний",$E314),{"Трафіковий","Основний","Маржинальний","Сезонний","Стратегічний"},0),Settings!$C$78,Settings!$C$80,Settings!$C$82,Settings!$C$84,Settings!$C$86))/6,2)*6,"")</f>
        <v/>
      </c>
      <c r="K314" s="142">
        <f>IFERROR(CHOOSE(MATCH(IF($E314="","Основний",$E314),{"Трафіковий","Основний","Маржинальний","Сезонний","Стратегічний"},0),Settings!$C$78,Settings!$C$80,Settings!$C$82,Settings!$C$84,Settings!$C$86),"")</f>
        <v/>
      </c>
      <c r="L314" s="143">
        <f>IFERROR((J314*(1-Settings!$C$17)-C314)/(J314*(1-Settings!$C$17)),"")</f>
        <v/>
      </c>
      <c r="M314" s="149">
        <f>IFERROR(IF(J314="","",IF(J314&gt;=C314/(1-SKU_Base!AA314)/(1-Settings!$C$17),"OK",IF(J314&gt;=C314/(1-SKU_Base!AH314)/(1-Settings!$C$17),"WARN","STOP"))),"")</f>
        <v/>
      </c>
      <c r="N314" s="159">
        <f>IFERROR(ROUND(D314*(1-CHOOSE(MATCH(IF($E314="","Основний",$E314),{"Трафіковий","Основний","Маржинальний","Сезонний","Стратегічний"},0),Settings!$D$78,Settings!$D$80,Settings!$D$82,Settings!$D$84,Settings!$D$86))/6,2)*6,"")</f>
        <v/>
      </c>
      <c r="O314" s="142">
        <f>IFERROR(CHOOSE(MATCH(IF($E314="","Основний",$E314),{"Трафіковий","Основний","Маржинальний","Сезонний","Стратегічний"},0),Settings!$D$78,Settings!$D$80,Settings!$D$82,Settings!$D$84,Settings!$D$86),"")</f>
        <v/>
      </c>
      <c r="P314" s="143">
        <f>IFERROR((N314*(1-Settings!$D$17)-C314)/(N314*(1-Settings!$D$17)),"")</f>
        <v/>
      </c>
      <c r="Q314" s="149">
        <f>IFERROR(IF(N314="","",IF(N314&gt;=C314/(1-SKU_Base!AB314)/(1-Settings!$D$17),"OK",IF(N314&gt;=C314/(1-SKU_Base!AI314)/(1-Settings!$D$17),"WARN","STOP"))),"")</f>
        <v/>
      </c>
      <c r="R314" s="159">
        <f>IFERROR(ROUND(D314*(1-CHOOSE(MATCH(IF($E314="","Основний",$E314),{"Трафіковий","Основний","Маржинальний","Сезонний","Стратегічний"},0),Settings!$E$78,Settings!$E$80,Settings!$E$82,Settings!$E$84,Settings!$E$86))/6,2)*6,"")</f>
        <v/>
      </c>
      <c r="S314" s="142">
        <f>IFERROR(CHOOSE(MATCH(IF($E314="","Основний",$E314),{"Трафіковий","Основний","Маржинальний","Сезонний","Стратегічний"},0),Settings!$E$78,Settings!$E$80,Settings!$E$82,Settings!$E$84,Settings!$E$86),"")</f>
        <v/>
      </c>
      <c r="T314" s="143">
        <f>IFERROR((R314*(1-Settings!$E$17)-C314)/(R314*(1-Settings!$E$17)),"")</f>
        <v/>
      </c>
      <c r="U314" s="149">
        <f>IFERROR(IF(R314="","",IF(R314&gt;=C314/(1-SKU_Base!AC314)/(1-Settings!$E$17),"OK",IF(R314&gt;=C314/(1-SKU_Base!AJ314)/(1-Settings!$E$17),"WARN","STOP"))),"")</f>
        <v/>
      </c>
      <c r="V314" s="159">
        <f>IFERROR(ROUND(D314*(1-CHOOSE(MATCH(IF($E314="","Основний",$E314),{"Трафіковий","Основний","Маржинальний","Сезонний","Стратегічний"},0),Settings!$F$78,Settings!$F$80,Settings!$F$82,Settings!$F$84,Settings!$F$86))/6,2)*6,"")</f>
        <v/>
      </c>
      <c r="W314" s="142">
        <f>IFERROR(CHOOSE(MATCH(IF($E314="","Основний",$E314),{"Трафіковий","Основний","Маржинальний","Сезонний","Стратегічний"},0),Settings!$F$78,Settings!$F$80,Settings!$F$82,Settings!$F$84,Settings!$F$86),"")</f>
        <v/>
      </c>
      <c r="X314" s="143">
        <f>IFERROR((V314*(1-Settings!$F$17)-C314)/(V314*(1-Settings!$F$17)),"")</f>
        <v/>
      </c>
      <c r="Y314" s="149">
        <f>IFERROR(IF(V314="","",IF(V314&gt;=C314/(1-SKU_Base!AD314)/(1-Settings!$F$17),"OK",IF(V314&gt;=C314/(1-SKU_Base!AK314)/(1-Settings!$F$17),"WARN","STOP"))),"")</f>
        <v/>
      </c>
      <c r="Z314" s="159">
        <f>IFERROR(ROUND(D314*(1-CHOOSE(MATCH(IF($E314="","Основний",$E314),{"Трафіковий","Основний","Маржинальний","Сезонний","Стратегічний"},0),Settings!$G$78,Settings!$G$80,Settings!$G$82,Settings!$G$84,Settings!$G$86))/6,2)*6,"")</f>
        <v/>
      </c>
      <c r="AA314" s="142">
        <f>IFERROR(CHOOSE(MATCH(IF($E314="","Основний",$E314),{"Трафіковий","Основний","Маржинальний","Сезонний","Стратегічний"},0),Settings!$G$78,Settings!$G$80,Settings!$G$82,Settings!$G$84,Settings!$G$86),"")</f>
        <v/>
      </c>
      <c r="AB314" s="143">
        <f>IFERROR((Z314*(1-Settings!$G$17)-C314)/(Z314*(1-Settings!$G$17)),"")</f>
        <v/>
      </c>
      <c r="AC314" s="149">
        <f>IFERROR(IF(Z314="","",IF(Z314&gt;=C314/(1-SKU_Base!AE314)/(1-Settings!$G$17),"OK",IF(Z314&gt;=C314/(1-SKU_Base!AL314)/(1-Settings!$G$17),"WARN","STOP"))),"")</f>
        <v/>
      </c>
      <c r="AD314" s="159">
        <f>IFERROR(ROUND(D314*(1-CHOOSE(MATCH(IF($E314="","Основний",$E314),{"Трафіковий","Основний","Маржинальний","Сезонний","Стратегічний"},0),Settings!$H$78,Settings!$H$80,Settings!$H$82,Settings!$H$84,Settings!$H$86))*(1-Settings!$H$68)/6,2)*6,"")</f>
        <v/>
      </c>
      <c r="AE314" s="142">
        <f>IFERROR(CHOOSE(MATCH(IF($E314="","Основний",$E314),{"Трафіковий","Основний","Маржинальний","Сезонний","Стратегічний"},0),Settings!$H$78,Settings!$H$80,Settings!$H$82,Settings!$H$84,Settings!$H$86)+(1-(CHOOSE(MATCH(IF($E314="","Основний",$E314),{"Трафіковий","Основний","Маржинальний","Сезонний","Стратегічний"},0),Settings!$H$78,Settings!$H$80,Settings!$H$82,Settings!$H$84,Settings!$H$86)))*Settings!$H$68,"")</f>
        <v/>
      </c>
      <c r="AF314" s="143">
        <f>IFERROR((AD314*(1-Settings!$H$17)-C314)/(AD314*(1-Settings!$H$17)),"")</f>
        <v/>
      </c>
      <c r="AG314" s="150">
        <f>IFERROR(IF(AD314="","",IF(AD314&gt;=C314/(1-SKU_Base!AF314)/(1-Settings!$H$17),"OK",IF(AD314&gt;=C314/(1-SKU_Base!AM314)/(1-Settings!$H$17),"WARN","STOP"))),"")</f>
        <v/>
      </c>
    </row>
    <row r="315" ht="17" customHeight="1" s="179">
      <c r="A315" s="146">
        <f>SKU_Base!B315</f>
        <v/>
      </c>
      <c r="B315" s="146">
        <f>SKU_Base!C315</f>
        <v/>
      </c>
      <c r="C315" s="147">
        <f>IFERROR(SKU_Base!I315,"")</f>
        <v/>
      </c>
      <c r="D315" s="164">
        <f>IFERROR(SKU_Base!T315,"")</f>
        <v/>
      </c>
      <c r="E315" s="141">
        <f>IFERROR(SKU_Base!$U315,"")</f>
        <v/>
      </c>
      <c r="F315" s="160">
        <f>IFERROR(ROUND(D315*(1-CHOOSE(MATCH(IF($E315="","Основний",$E315),{"Трафіковий","Основний","Маржинальний","Сезонний","Стратегічний"},0),Settings!$B$78,Settings!$B$80,Settings!$B$82,Settings!$B$84,Settings!$B$86))/6,2)*6,"")</f>
        <v/>
      </c>
      <c r="G315" s="142">
        <f>IFERROR(CHOOSE(MATCH(IF($E315="","Основний",$E315),{"Трафіковий","Основний","Маржинальний","Сезонний","Стратегічний"},0),Settings!$B$78,Settings!$B$80,Settings!$B$82,Settings!$B$84,Settings!$B$86),"")</f>
        <v/>
      </c>
      <c r="H315" s="148">
        <f>IFERROR((F315*(1-Settings!$B$17)-C315)/(F315*(1-Settings!$B$17)),"")</f>
        <v/>
      </c>
      <c r="I315" s="149">
        <f>IFERROR(IF(F315="","",IF(F315&gt;=C315/(1-SKU_Base!Z315)/(1-Settings!$B$17),"OK",IF(F315&gt;=C315/(1-SKU_Base!AG315)/(1-Settings!$B$17),"WARN","STOP"))),"")</f>
        <v/>
      </c>
      <c r="J315" s="160">
        <f>IFERROR(ROUND(D315*(1-CHOOSE(MATCH(IF($E315="","Основний",$E315),{"Трафіковий","Основний","Маржинальний","Сезонний","Стратегічний"},0),Settings!$C$78,Settings!$C$80,Settings!$C$82,Settings!$C$84,Settings!$C$86))/6,2)*6,"")</f>
        <v/>
      </c>
      <c r="K315" s="142">
        <f>IFERROR(CHOOSE(MATCH(IF($E315="","Основний",$E315),{"Трафіковий","Основний","Маржинальний","Сезонний","Стратегічний"},0),Settings!$C$78,Settings!$C$80,Settings!$C$82,Settings!$C$84,Settings!$C$86),"")</f>
        <v/>
      </c>
      <c r="L315" s="148">
        <f>IFERROR((J315*(1-Settings!$C$17)-C315)/(J315*(1-Settings!$C$17)),"")</f>
        <v/>
      </c>
      <c r="M315" s="149">
        <f>IFERROR(IF(J315="","",IF(J315&gt;=C315/(1-SKU_Base!AA315)/(1-Settings!$C$17),"OK",IF(J315&gt;=C315/(1-SKU_Base!AH315)/(1-Settings!$C$17),"WARN","STOP"))),"")</f>
        <v/>
      </c>
      <c r="N315" s="161">
        <f>IFERROR(ROUND(D315*(1-CHOOSE(MATCH(IF($E315="","Основний",$E315),{"Трафіковий","Основний","Маржинальний","Сезонний","Стратегічний"},0),Settings!$D$78,Settings!$D$80,Settings!$D$82,Settings!$D$84,Settings!$D$86))/6,2)*6,"")</f>
        <v/>
      </c>
      <c r="O315" s="142">
        <f>IFERROR(CHOOSE(MATCH(IF($E315="","Основний",$E315),{"Трафіковий","Основний","Маржинальний","Сезонний","Стратегічний"},0),Settings!$D$78,Settings!$D$80,Settings!$D$82,Settings!$D$84,Settings!$D$86),"")</f>
        <v/>
      </c>
      <c r="P315" s="148">
        <f>IFERROR((N315*(1-Settings!$D$17)-C315)/(N315*(1-Settings!$D$17)),"")</f>
        <v/>
      </c>
      <c r="Q315" s="149">
        <f>IFERROR(IF(N315="","",IF(N315&gt;=C315/(1-SKU_Base!AB315)/(1-Settings!$D$17),"OK",IF(N315&gt;=C315/(1-SKU_Base!AI315)/(1-Settings!$D$17),"WARN","STOP"))),"")</f>
        <v/>
      </c>
      <c r="R315" s="161">
        <f>IFERROR(ROUND(D315*(1-CHOOSE(MATCH(IF($E315="","Основний",$E315),{"Трафіковий","Основний","Маржинальний","Сезонний","Стратегічний"},0),Settings!$E$78,Settings!$E$80,Settings!$E$82,Settings!$E$84,Settings!$E$86))/6,2)*6,"")</f>
        <v/>
      </c>
      <c r="S315" s="142">
        <f>IFERROR(CHOOSE(MATCH(IF($E315="","Основний",$E315),{"Трафіковий","Основний","Маржинальний","Сезонний","Стратегічний"},0),Settings!$E$78,Settings!$E$80,Settings!$E$82,Settings!$E$84,Settings!$E$86),"")</f>
        <v/>
      </c>
      <c r="T315" s="148">
        <f>IFERROR((R315*(1-Settings!$E$17)-C315)/(R315*(1-Settings!$E$17)),"")</f>
        <v/>
      </c>
      <c r="U315" s="149">
        <f>IFERROR(IF(R315="","",IF(R315&gt;=C315/(1-SKU_Base!AC315)/(1-Settings!$E$17),"OK",IF(R315&gt;=C315/(1-SKU_Base!AJ315)/(1-Settings!$E$17),"WARN","STOP"))),"")</f>
        <v/>
      </c>
      <c r="V315" s="161">
        <f>IFERROR(ROUND(D315*(1-CHOOSE(MATCH(IF($E315="","Основний",$E315),{"Трафіковий","Основний","Маржинальний","Сезонний","Стратегічний"},0),Settings!$F$78,Settings!$F$80,Settings!$F$82,Settings!$F$84,Settings!$F$86))/6,2)*6,"")</f>
        <v/>
      </c>
      <c r="W315" s="142">
        <f>IFERROR(CHOOSE(MATCH(IF($E315="","Основний",$E315),{"Трафіковий","Основний","Маржинальний","Сезонний","Стратегічний"},0),Settings!$F$78,Settings!$F$80,Settings!$F$82,Settings!$F$84,Settings!$F$86),"")</f>
        <v/>
      </c>
      <c r="X315" s="148">
        <f>IFERROR((V315*(1-Settings!$F$17)-C315)/(V315*(1-Settings!$F$17)),"")</f>
        <v/>
      </c>
      <c r="Y315" s="149">
        <f>IFERROR(IF(V315="","",IF(V315&gt;=C315/(1-SKU_Base!AD315)/(1-Settings!$F$17),"OK",IF(V315&gt;=C315/(1-SKU_Base!AK315)/(1-Settings!$F$17),"WARN","STOP"))),"")</f>
        <v/>
      </c>
      <c r="Z315" s="161">
        <f>IFERROR(ROUND(D315*(1-CHOOSE(MATCH(IF($E315="","Основний",$E315),{"Трафіковий","Основний","Маржинальний","Сезонний","Стратегічний"},0),Settings!$G$78,Settings!$G$80,Settings!$G$82,Settings!$G$84,Settings!$G$86))/6,2)*6,"")</f>
        <v/>
      </c>
      <c r="AA315" s="142">
        <f>IFERROR(CHOOSE(MATCH(IF($E315="","Основний",$E315),{"Трафіковий","Основний","Маржинальний","Сезонний","Стратегічний"},0),Settings!$G$78,Settings!$G$80,Settings!$G$82,Settings!$G$84,Settings!$G$86),"")</f>
        <v/>
      </c>
      <c r="AB315" s="148">
        <f>IFERROR((Z315*(1-Settings!$G$17)-C315)/(Z315*(1-Settings!$G$17)),"")</f>
        <v/>
      </c>
      <c r="AC315" s="149">
        <f>IFERROR(IF(Z315="","",IF(Z315&gt;=C315/(1-SKU_Base!AE315)/(1-Settings!$G$17),"OK",IF(Z315&gt;=C315/(1-SKU_Base!AL315)/(1-Settings!$G$17),"WARN","STOP"))),"")</f>
        <v/>
      </c>
      <c r="AD315" s="161">
        <f>IFERROR(ROUND(D315*(1-CHOOSE(MATCH(IF($E315="","Основний",$E315),{"Трафіковий","Основний","Маржинальний","Сезонний","Стратегічний"},0),Settings!$H$78,Settings!$H$80,Settings!$H$82,Settings!$H$84,Settings!$H$86))*(1-Settings!$H$68)/6,2)*6,"")</f>
        <v/>
      </c>
      <c r="AE315" s="142">
        <f>IFERROR(CHOOSE(MATCH(IF($E315="","Основний",$E315),{"Трафіковий","Основний","Маржинальний","Сезонний","Стратегічний"},0),Settings!$H$78,Settings!$H$80,Settings!$H$82,Settings!$H$84,Settings!$H$86)+(1-(CHOOSE(MATCH(IF($E315="","Основний",$E315),{"Трафіковий","Основний","Маржинальний","Сезонний","Стратегічний"},0),Settings!$H$78,Settings!$H$80,Settings!$H$82,Settings!$H$84,Settings!$H$86)))*Settings!$H$68,"")</f>
        <v/>
      </c>
      <c r="AF315" s="148">
        <f>IFERROR((AD315*(1-Settings!$H$17)-C315)/(AD315*(1-Settings!$H$17)),"")</f>
        <v/>
      </c>
      <c r="AG315" s="150">
        <f>IFERROR(IF(AD315="","",IF(AD315&gt;=C315/(1-SKU_Base!AF315)/(1-Settings!$H$17),"OK",IF(AD315&gt;=C315/(1-SKU_Base!AM315)/(1-Settings!$H$17),"WARN","STOP"))),"")</f>
        <v/>
      </c>
    </row>
    <row r="316" ht="17" customHeight="1" s="179">
      <c r="A316" s="139">
        <f>SKU_Base!B316</f>
        <v/>
      </c>
      <c r="B316" s="139">
        <f>SKU_Base!C316</f>
        <v/>
      </c>
      <c r="C316" s="140">
        <f>IFERROR(SKU_Base!I316,"")</f>
        <v/>
      </c>
      <c r="D316" s="163">
        <f>IFERROR(SKU_Base!T316,"")</f>
        <v/>
      </c>
      <c r="E316" s="141">
        <f>IFERROR(SKU_Base!$U316,"")</f>
        <v/>
      </c>
      <c r="F316" s="158">
        <f>IFERROR(ROUND(D316*(1-CHOOSE(MATCH(IF($E316="","Основний",$E316),{"Трафіковий","Основний","Маржинальний","Сезонний","Стратегічний"},0),Settings!$B$78,Settings!$B$80,Settings!$B$82,Settings!$B$84,Settings!$B$86))/6,2)*6,"")</f>
        <v/>
      </c>
      <c r="G316" s="142">
        <f>IFERROR(CHOOSE(MATCH(IF($E316="","Основний",$E316),{"Трафіковий","Основний","Маржинальний","Сезонний","Стратегічний"},0),Settings!$B$78,Settings!$B$80,Settings!$B$82,Settings!$B$84,Settings!$B$86),"")</f>
        <v/>
      </c>
      <c r="H316" s="143">
        <f>IFERROR((F316*(1-Settings!$B$17)-C316)/(F316*(1-Settings!$B$17)),"")</f>
        <v/>
      </c>
      <c r="I316" s="149">
        <f>IFERROR(IF(F316="","",IF(F316&gt;=C316/(1-SKU_Base!Z316)/(1-Settings!$B$17),"OK",IF(F316&gt;=C316/(1-SKU_Base!AG316)/(1-Settings!$B$17),"WARN","STOP"))),"")</f>
        <v/>
      </c>
      <c r="J316" s="158">
        <f>IFERROR(ROUND(D316*(1-CHOOSE(MATCH(IF($E316="","Основний",$E316),{"Трафіковий","Основний","Маржинальний","Сезонний","Стратегічний"},0),Settings!$C$78,Settings!$C$80,Settings!$C$82,Settings!$C$84,Settings!$C$86))/6,2)*6,"")</f>
        <v/>
      </c>
      <c r="K316" s="142">
        <f>IFERROR(CHOOSE(MATCH(IF($E316="","Основний",$E316),{"Трафіковий","Основний","Маржинальний","Сезонний","Стратегічний"},0),Settings!$C$78,Settings!$C$80,Settings!$C$82,Settings!$C$84,Settings!$C$86),"")</f>
        <v/>
      </c>
      <c r="L316" s="143">
        <f>IFERROR((J316*(1-Settings!$C$17)-C316)/(J316*(1-Settings!$C$17)),"")</f>
        <v/>
      </c>
      <c r="M316" s="149">
        <f>IFERROR(IF(J316="","",IF(J316&gt;=C316/(1-SKU_Base!AA316)/(1-Settings!$C$17),"OK",IF(J316&gt;=C316/(1-SKU_Base!AH316)/(1-Settings!$C$17),"WARN","STOP"))),"")</f>
        <v/>
      </c>
      <c r="N316" s="159">
        <f>IFERROR(ROUND(D316*(1-CHOOSE(MATCH(IF($E316="","Основний",$E316),{"Трафіковий","Основний","Маржинальний","Сезонний","Стратегічний"},0),Settings!$D$78,Settings!$D$80,Settings!$D$82,Settings!$D$84,Settings!$D$86))/6,2)*6,"")</f>
        <v/>
      </c>
      <c r="O316" s="142">
        <f>IFERROR(CHOOSE(MATCH(IF($E316="","Основний",$E316),{"Трафіковий","Основний","Маржинальний","Сезонний","Стратегічний"},0),Settings!$D$78,Settings!$D$80,Settings!$D$82,Settings!$D$84,Settings!$D$86),"")</f>
        <v/>
      </c>
      <c r="P316" s="143">
        <f>IFERROR((N316*(1-Settings!$D$17)-C316)/(N316*(1-Settings!$D$17)),"")</f>
        <v/>
      </c>
      <c r="Q316" s="149">
        <f>IFERROR(IF(N316="","",IF(N316&gt;=C316/(1-SKU_Base!AB316)/(1-Settings!$D$17),"OK",IF(N316&gt;=C316/(1-SKU_Base!AI316)/(1-Settings!$D$17),"WARN","STOP"))),"")</f>
        <v/>
      </c>
      <c r="R316" s="159">
        <f>IFERROR(ROUND(D316*(1-CHOOSE(MATCH(IF($E316="","Основний",$E316),{"Трафіковий","Основний","Маржинальний","Сезонний","Стратегічний"},0),Settings!$E$78,Settings!$E$80,Settings!$E$82,Settings!$E$84,Settings!$E$86))/6,2)*6,"")</f>
        <v/>
      </c>
      <c r="S316" s="142">
        <f>IFERROR(CHOOSE(MATCH(IF($E316="","Основний",$E316),{"Трафіковий","Основний","Маржинальний","Сезонний","Стратегічний"},0),Settings!$E$78,Settings!$E$80,Settings!$E$82,Settings!$E$84,Settings!$E$86),"")</f>
        <v/>
      </c>
      <c r="T316" s="143">
        <f>IFERROR((R316*(1-Settings!$E$17)-C316)/(R316*(1-Settings!$E$17)),"")</f>
        <v/>
      </c>
      <c r="U316" s="149">
        <f>IFERROR(IF(R316="","",IF(R316&gt;=C316/(1-SKU_Base!AC316)/(1-Settings!$E$17),"OK",IF(R316&gt;=C316/(1-SKU_Base!AJ316)/(1-Settings!$E$17),"WARN","STOP"))),"")</f>
        <v/>
      </c>
      <c r="V316" s="159">
        <f>IFERROR(ROUND(D316*(1-CHOOSE(MATCH(IF($E316="","Основний",$E316),{"Трафіковий","Основний","Маржинальний","Сезонний","Стратегічний"},0),Settings!$F$78,Settings!$F$80,Settings!$F$82,Settings!$F$84,Settings!$F$86))/6,2)*6,"")</f>
        <v/>
      </c>
      <c r="W316" s="142">
        <f>IFERROR(CHOOSE(MATCH(IF($E316="","Основний",$E316),{"Трафіковий","Основний","Маржинальний","Сезонний","Стратегічний"},0),Settings!$F$78,Settings!$F$80,Settings!$F$82,Settings!$F$84,Settings!$F$86),"")</f>
        <v/>
      </c>
      <c r="X316" s="143">
        <f>IFERROR((V316*(1-Settings!$F$17)-C316)/(V316*(1-Settings!$F$17)),"")</f>
        <v/>
      </c>
      <c r="Y316" s="149">
        <f>IFERROR(IF(V316="","",IF(V316&gt;=C316/(1-SKU_Base!AD316)/(1-Settings!$F$17),"OK",IF(V316&gt;=C316/(1-SKU_Base!AK316)/(1-Settings!$F$17),"WARN","STOP"))),"")</f>
        <v/>
      </c>
      <c r="Z316" s="159">
        <f>IFERROR(ROUND(D316*(1-CHOOSE(MATCH(IF($E316="","Основний",$E316),{"Трафіковий","Основний","Маржинальний","Сезонний","Стратегічний"},0),Settings!$G$78,Settings!$G$80,Settings!$G$82,Settings!$G$84,Settings!$G$86))/6,2)*6,"")</f>
        <v/>
      </c>
      <c r="AA316" s="142">
        <f>IFERROR(CHOOSE(MATCH(IF($E316="","Основний",$E316),{"Трафіковий","Основний","Маржинальний","Сезонний","Стратегічний"},0),Settings!$G$78,Settings!$G$80,Settings!$G$82,Settings!$G$84,Settings!$G$86),"")</f>
        <v/>
      </c>
      <c r="AB316" s="143">
        <f>IFERROR((Z316*(1-Settings!$G$17)-C316)/(Z316*(1-Settings!$G$17)),"")</f>
        <v/>
      </c>
      <c r="AC316" s="149">
        <f>IFERROR(IF(Z316="","",IF(Z316&gt;=C316/(1-SKU_Base!AE316)/(1-Settings!$G$17),"OK",IF(Z316&gt;=C316/(1-SKU_Base!AL316)/(1-Settings!$G$17),"WARN","STOP"))),"")</f>
        <v/>
      </c>
      <c r="AD316" s="159">
        <f>IFERROR(ROUND(D316*(1-CHOOSE(MATCH(IF($E316="","Основний",$E316),{"Трафіковий","Основний","Маржинальний","Сезонний","Стратегічний"},0),Settings!$H$78,Settings!$H$80,Settings!$H$82,Settings!$H$84,Settings!$H$86))*(1-Settings!$H$68)/6,2)*6,"")</f>
        <v/>
      </c>
      <c r="AE316" s="142">
        <f>IFERROR(CHOOSE(MATCH(IF($E316="","Основний",$E316),{"Трафіковий","Основний","Маржинальний","Сезонний","Стратегічний"},0),Settings!$H$78,Settings!$H$80,Settings!$H$82,Settings!$H$84,Settings!$H$86)+(1-(CHOOSE(MATCH(IF($E316="","Основний",$E316),{"Трафіковий","Основний","Маржинальний","Сезонний","Стратегічний"},0),Settings!$H$78,Settings!$H$80,Settings!$H$82,Settings!$H$84,Settings!$H$86)))*Settings!$H$68,"")</f>
        <v/>
      </c>
      <c r="AF316" s="143">
        <f>IFERROR((AD316*(1-Settings!$H$17)-C316)/(AD316*(1-Settings!$H$17)),"")</f>
        <v/>
      </c>
      <c r="AG316" s="150">
        <f>IFERROR(IF(AD316="","",IF(AD316&gt;=C316/(1-SKU_Base!AF316)/(1-Settings!$H$17),"OK",IF(AD316&gt;=C316/(1-SKU_Base!AM316)/(1-Settings!$H$17),"WARN","STOP"))),"")</f>
        <v/>
      </c>
    </row>
    <row r="317" ht="17" customHeight="1" s="179">
      <c r="A317" s="146">
        <f>SKU_Base!B317</f>
        <v/>
      </c>
      <c r="B317" s="146">
        <f>SKU_Base!C317</f>
        <v/>
      </c>
      <c r="C317" s="147">
        <f>IFERROR(SKU_Base!I317,"")</f>
        <v/>
      </c>
      <c r="D317" s="164">
        <f>IFERROR(SKU_Base!T317,"")</f>
        <v/>
      </c>
      <c r="E317" s="141">
        <f>IFERROR(SKU_Base!$U317,"")</f>
        <v/>
      </c>
      <c r="F317" s="160">
        <f>IFERROR(ROUND(D317*(1-CHOOSE(MATCH(IF($E317="","Основний",$E317),{"Трафіковий","Основний","Маржинальний","Сезонний","Стратегічний"},0),Settings!$B$78,Settings!$B$80,Settings!$B$82,Settings!$B$84,Settings!$B$86))/6,2)*6,"")</f>
        <v/>
      </c>
      <c r="G317" s="142">
        <f>IFERROR(CHOOSE(MATCH(IF($E317="","Основний",$E317),{"Трафіковий","Основний","Маржинальний","Сезонний","Стратегічний"},0),Settings!$B$78,Settings!$B$80,Settings!$B$82,Settings!$B$84,Settings!$B$86),"")</f>
        <v/>
      </c>
      <c r="H317" s="148">
        <f>IFERROR((F317*(1-Settings!$B$17)-C317)/(F317*(1-Settings!$B$17)),"")</f>
        <v/>
      </c>
      <c r="I317" s="149">
        <f>IFERROR(IF(F317="","",IF(F317&gt;=C317/(1-SKU_Base!Z317)/(1-Settings!$B$17),"OK",IF(F317&gt;=C317/(1-SKU_Base!AG317)/(1-Settings!$B$17),"WARN","STOP"))),"")</f>
        <v/>
      </c>
      <c r="J317" s="160">
        <f>IFERROR(ROUND(D317*(1-CHOOSE(MATCH(IF($E317="","Основний",$E317),{"Трафіковий","Основний","Маржинальний","Сезонний","Стратегічний"},0),Settings!$C$78,Settings!$C$80,Settings!$C$82,Settings!$C$84,Settings!$C$86))/6,2)*6,"")</f>
        <v/>
      </c>
      <c r="K317" s="142">
        <f>IFERROR(CHOOSE(MATCH(IF($E317="","Основний",$E317),{"Трафіковий","Основний","Маржинальний","Сезонний","Стратегічний"},0),Settings!$C$78,Settings!$C$80,Settings!$C$82,Settings!$C$84,Settings!$C$86),"")</f>
        <v/>
      </c>
      <c r="L317" s="148">
        <f>IFERROR((J317*(1-Settings!$C$17)-C317)/(J317*(1-Settings!$C$17)),"")</f>
        <v/>
      </c>
      <c r="M317" s="149">
        <f>IFERROR(IF(J317="","",IF(J317&gt;=C317/(1-SKU_Base!AA317)/(1-Settings!$C$17),"OK",IF(J317&gt;=C317/(1-SKU_Base!AH317)/(1-Settings!$C$17),"WARN","STOP"))),"")</f>
        <v/>
      </c>
      <c r="N317" s="161">
        <f>IFERROR(ROUND(D317*(1-CHOOSE(MATCH(IF($E317="","Основний",$E317),{"Трафіковий","Основний","Маржинальний","Сезонний","Стратегічний"},0),Settings!$D$78,Settings!$D$80,Settings!$D$82,Settings!$D$84,Settings!$D$86))/6,2)*6,"")</f>
        <v/>
      </c>
      <c r="O317" s="142">
        <f>IFERROR(CHOOSE(MATCH(IF($E317="","Основний",$E317),{"Трафіковий","Основний","Маржинальний","Сезонний","Стратегічний"},0),Settings!$D$78,Settings!$D$80,Settings!$D$82,Settings!$D$84,Settings!$D$86),"")</f>
        <v/>
      </c>
      <c r="P317" s="148">
        <f>IFERROR((N317*(1-Settings!$D$17)-C317)/(N317*(1-Settings!$D$17)),"")</f>
        <v/>
      </c>
      <c r="Q317" s="149">
        <f>IFERROR(IF(N317="","",IF(N317&gt;=C317/(1-SKU_Base!AB317)/(1-Settings!$D$17),"OK",IF(N317&gt;=C317/(1-SKU_Base!AI317)/(1-Settings!$D$17),"WARN","STOP"))),"")</f>
        <v/>
      </c>
      <c r="R317" s="161">
        <f>IFERROR(ROUND(D317*(1-CHOOSE(MATCH(IF($E317="","Основний",$E317),{"Трафіковий","Основний","Маржинальний","Сезонний","Стратегічний"},0),Settings!$E$78,Settings!$E$80,Settings!$E$82,Settings!$E$84,Settings!$E$86))/6,2)*6,"")</f>
        <v/>
      </c>
      <c r="S317" s="142">
        <f>IFERROR(CHOOSE(MATCH(IF($E317="","Основний",$E317),{"Трафіковий","Основний","Маржинальний","Сезонний","Стратегічний"},0),Settings!$E$78,Settings!$E$80,Settings!$E$82,Settings!$E$84,Settings!$E$86),"")</f>
        <v/>
      </c>
      <c r="T317" s="148">
        <f>IFERROR((R317*(1-Settings!$E$17)-C317)/(R317*(1-Settings!$E$17)),"")</f>
        <v/>
      </c>
      <c r="U317" s="149">
        <f>IFERROR(IF(R317="","",IF(R317&gt;=C317/(1-SKU_Base!AC317)/(1-Settings!$E$17),"OK",IF(R317&gt;=C317/(1-SKU_Base!AJ317)/(1-Settings!$E$17),"WARN","STOP"))),"")</f>
        <v/>
      </c>
      <c r="V317" s="161">
        <f>IFERROR(ROUND(D317*(1-CHOOSE(MATCH(IF($E317="","Основний",$E317),{"Трафіковий","Основний","Маржинальний","Сезонний","Стратегічний"},0),Settings!$F$78,Settings!$F$80,Settings!$F$82,Settings!$F$84,Settings!$F$86))/6,2)*6,"")</f>
        <v/>
      </c>
      <c r="W317" s="142">
        <f>IFERROR(CHOOSE(MATCH(IF($E317="","Основний",$E317),{"Трафіковий","Основний","Маржинальний","Сезонний","Стратегічний"},0),Settings!$F$78,Settings!$F$80,Settings!$F$82,Settings!$F$84,Settings!$F$86),"")</f>
        <v/>
      </c>
      <c r="X317" s="148">
        <f>IFERROR((V317*(1-Settings!$F$17)-C317)/(V317*(1-Settings!$F$17)),"")</f>
        <v/>
      </c>
      <c r="Y317" s="149">
        <f>IFERROR(IF(V317="","",IF(V317&gt;=C317/(1-SKU_Base!AD317)/(1-Settings!$F$17),"OK",IF(V317&gt;=C317/(1-SKU_Base!AK317)/(1-Settings!$F$17),"WARN","STOP"))),"")</f>
        <v/>
      </c>
      <c r="Z317" s="161">
        <f>IFERROR(ROUND(D317*(1-CHOOSE(MATCH(IF($E317="","Основний",$E317),{"Трафіковий","Основний","Маржинальний","Сезонний","Стратегічний"},0),Settings!$G$78,Settings!$G$80,Settings!$G$82,Settings!$G$84,Settings!$G$86))/6,2)*6,"")</f>
        <v/>
      </c>
      <c r="AA317" s="142">
        <f>IFERROR(CHOOSE(MATCH(IF($E317="","Основний",$E317),{"Трафіковий","Основний","Маржинальний","Сезонний","Стратегічний"},0),Settings!$G$78,Settings!$G$80,Settings!$G$82,Settings!$G$84,Settings!$G$86),"")</f>
        <v/>
      </c>
      <c r="AB317" s="148">
        <f>IFERROR((Z317*(1-Settings!$G$17)-C317)/(Z317*(1-Settings!$G$17)),"")</f>
        <v/>
      </c>
      <c r="AC317" s="149">
        <f>IFERROR(IF(Z317="","",IF(Z317&gt;=C317/(1-SKU_Base!AE317)/(1-Settings!$G$17),"OK",IF(Z317&gt;=C317/(1-SKU_Base!AL317)/(1-Settings!$G$17),"WARN","STOP"))),"")</f>
        <v/>
      </c>
      <c r="AD317" s="161">
        <f>IFERROR(ROUND(D317*(1-CHOOSE(MATCH(IF($E317="","Основний",$E317),{"Трафіковий","Основний","Маржинальний","Сезонний","Стратегічний"},0),Settings!$H$78,Settings!$H$80,Settings!$H$82,Settings!$H$84,Settings!$H$86))*(1-Settings!$H$68)/6,2)*6,"")</f>
        <v/>
      </c>
      <c r="AE317" s="142">
        <f>IFERROR(CHOOSE(MATCH(IF($E317="","Основний",$E317),{"Трафіковий","Основний","Маржинальний","Сезонний","Стратегічний"},0),Settings!$H$78,Settings!$H$80,Settings!$H$82,Settings!$H$84,Settings!$H$86)+(1-(CHOOSE(MATCH(IF($E317="","Основний",$E317),{"Трафіковий","Основний","Маржинальний","Сезонний","Стратегічний"},0),Settings!$H$78,Settings!$H$80,Settings!$H$82,Settings!$H$84,Settings!$H$86)))*Settings!$H$68,"")</f>
        <v/>
      </c>
      <c r="AF317" s="148">
        <f>IFERROR((AD317*(1-Settings!$H$17)-C317)/(AD317*(1-Settings!$H$17)),"")</f>
        <v/>
      </c>
      <c r="AG317" s="150">
        <f>IFERROR(IF(AD317="","",IF(AD317&gt;=C317/(1-SKU_Base!AF317)/(1-Settings!$H$17),"OK",IF(AD317&gt;=C317/(1-SKU_Base!AM317)/(1-Settings!$H$17),"WARN","STOP"))),"")</f>
        <v/>
      </c>
    </row>
    <row r="318" ht="17" customHeight="1" s="179">
      <c r="A318" s="139">
        <f>SKU_Base!B318</f>
        <v/>
      </c>
      <c r="B318" s="139">
        <f>SKU_Base!C318</f>
        <v/>
      </c>
      <c r="C318" s="140">
        <f>IFERROR(SKU_Base!I318,"")</f>
        <v/>
      </c>
      <c r="D318" s="163">
        <f>IFERROR(SKU_Base!T318,"")</f>
        <v/>
      </c>
      <c r="E318" s="141">
        <f>IFERROR(SKU_Base!$U318,"")</f>
        <v/>
      </c>
      <c r="F318" s="158">
        <f>IFERROR(ROUND(D318*(1-CHOOSE(MATCH(IF($E318="","Основний",$E318),{"Трафіковий","Основний","Маржинальний","Сезонний","Стратегічний"},0),Settings!$B$78,Settings!$B$80,Settings!$B$82,Settings!$B$84,Settings!$B$86))/6,2)*6,"")</f>
        <v/>
      </c>
      <c r="G318" s="142">
        <f>IFERROR(CHOOSE(MATCH(IF($E318="","Основний",$E318),{"Трафіковий","Основний","Маржинальний","Сезонний","Стратегічний"},0),Settings!$B$78,Settings!$B$80,Settings!$B$82,Settings!$B$84,Settings!$B$86),"")</f>
        <v/>
      </c>
      <c r="H318" s="143">
        <f>IFERROR((F318*(1-Settings!$B$17)-C318)/(F318*(1-Settings!$B$17)),"")</f>
        <v/>
      </c>
      <c r="I318" s="149">
        <f>IFERROR(IF(F318="","",IF(F318&gt;=C318/(1-SKU_Base!Z318)/(1-Settings!$B$17),"OK",IF(F318&gt;=C318/(1-SKU_Base!AG318)/(1-Settings!$B$17),"WARN","STOP"))),"")</f>
        <v/>
      </c>
      <c r="J318" s="158">
        <f>IFERROR(ROUND(D318*(1-CHOOSE(MATCH(IF($E318="","Основний",$E318),{"Трафіковий","Основний","Маржинальний","Сезонний","Стратегічний"},0),Settings!$C$78,Settings!$C$80,Settings!$C$82,Settings!$C$84,Settings!$C$86))/6,2)*6,"")</f>
        <v/>
      </c>
      <c r="K318" s="142">
        <f>IFERROR(CHOOSE(MATCH(IF($E318="","Основний",$E318),{"Трафіковий","Основний","Маржинальний","Сезонний","Стратегічний"},0),Settings!$C$78,Settings!$C$80,Settings!$C$82,Settings!$C$84,Settings!$C$86),"")</f>
        <v/>
      </c>
      <c r="L318" s="143">
        <f>IFERROR((J318*(1-Settings!$C$17)-C318)/(J318*(1-Settings!$C$17)),"")</f>
        <v/>
      </c>
      <c r="M318" s="149">
        <f>IFERROR(IF(J318="","",IF(J318&gt;=C318/(1-SKU_Base!AA318)/(1-Settings!$C$17),"OK",IF(J318&gt;=C318/(1-SKU_Base!AH318)/(1-Settings!$C$17),"WARN","STOP"))),"")</f>
        <v/>
      </c>
      <c r="N318" s="159">
        <f>IFERROR(ROUND(D318*(1-CHOOSE(MATCH(IF($E318="","Основний",$E318),{"Трафіковий","Основний","Маржинальний","Сезонний","Стратегічний"},0),Settings!$D$78,Settings!$D$80,Settings!$D$82,Settings!$D$84,Settings!$D$86))/6,2)*6,"")</f>
        <v/>
      </c>
      <c r="O318" s="142">
        <f>IFERROR(CHOOSE(MATCH(IF($E318="","Основний",$E318),{"Трафіковий","Основний","Маржинальний","Сезонний","Стратегічний"},0),Settings!$D$78,Settings!$D$80,Settings!$D$82,Settings!$D$84,Settings!$D$86),"")</f>
        <v/>
      </c>
      <c r="P318" s="143">
        <f>IFERROR((N318*(1-Settings!$D$17)-C318)/(N318*(1-Settings!$D$17)),"")</f>
        <v/>
      </c>
      <c r="Q318" s="149">
        <f>IFERROR(IF(N318="","",IF(N318&gt;=C318/(1-SKU_Base!AB318)/(1-Settings!$D$17),"OK",IF(N318&gt;=C318/(1-SKU_Base!AI318)/(1-Settings!$D$17),"WARN","STOP"))),"")</f>
        <v/>
      </c>
      <c r="R318" s="159">
        <f>IFERROR(ROUND(D318*(1-CHOOSE(MATCH(IF($E318="","Основний",$E318),{"Трафіковий","Основний","Маржинальний","Сезонний","Стратегічний"},0),Settings!$E$78,Settings!$E$80,Settings!$E$82,Settings!$E$84,Settings!$E$86))/6,2)*6,"")</f>
        <v/>
      </c>
      <c r="S318" s="142">
        <f>IFERROR(CHOOSE(MATCH(IF($E318="","Основний",$E318),{"Трафіковий","Основний","Маржинальний","Сезонний","Стратегічний"},0),Settings!$E$78,Settings!$E$80,Settings!$E$82,Settings!$E$84,Settings!$E$86),"")</f>
        <v/>
      </c>
      <c r="T318" s="143">
        <f>IFERROR((R318*(1-Settings!$E$17)-C318)/(R318*(1-Settings!$E$17)),"")</f>
        <v/>
      </c>
      <c r="U318" s="149">
        <f>IFERROR(IF(R318="","",IF(R318&gt;=C318/(1-SKU_Base!AC318)/(1-Settings!$E$17),"OK",IF(R318&gt;=C318/(1-SKU_Base!AJ318)/(1-Settings!$E$17),"WARN","STOP"))),"")</f>
        <v/>
      </c>
      <c r="V318" s="159">
        <f>IFERROR(ROUND(D318*(1-CHOOSE(MATCH(IF($E318="","Основний",$E318),{"Трафіковий","Основний","Маржинальний","Сезонний","Стратегічний"},0),Settings!$F$78,Settings!$F$80,Settings!$F$82,Settings!$F$84,Settings!$F$86))/6,2)*6,"")</f>
        <v/>
      </c>
      <c r="W318" s="142">
        <f>IFERROR(CHOOSE(MATCH(IF($E318="","Основний",$E318),{"Трафіковий","Основний","Маржинальний","Сезонний","Стратегічний"},0),Settings!$F$78,Settings!$F$80,Settings!$F$82,Settings!$F$84,Settings!$F$86),"")</f>
        <v/>
      </c>
      <c r="X318" s="143">
        <f>IFERROR((V318*(1-Settings!$F$17)-C318)/(V318*(1-Settings!$F$17)),"")</f>
        <v/>
      </c>
      <c r="Y318" s="149">
        <f>IFERROR(IF(V318="","",IF(V318&gt;=C318/(1-SKU_Base!AD318)/(1-Settings!$F$17),"OK",IF(V318&gt;=C318/(1-SKU_Base!AK318)/(1-Settings!$F$17),"WARN","STOP"))),"")</f>
        <v/>
      </c>
      <c r="Z318" s="159">
        <f>IFERROR(ROUND(D318*(1-CHOOSE(MATCH(IF($E318="","Основний",$E318),{"Трафіковий","Основний","Маржинальний","Сезонний","Стратегічний"},0),Settings!$G$78,Settings!$G$80,Settings!$G$82,Settings!$G$84,Settings!$G$86))/6,2)*6,"")</f>
        <v/>
      </c>
      <c r="AA318" s="142">
        <f>IFERROR(CHOOSE(MATCH(IF($E318="","Основний",$E318),{"Трафіковий","Основний","Маржинальний","Сезонний","Стратегічний"},0),Settings!$G$78,Settings!$G$80,Settings!$G$82,Settings!$G$84,Settings!$G$86),"")</f>
        <v/>
      </c>
      <c r="AB318" s="143">
        <f>IFERROR((Z318*(1-Settings!$G$17)-C318)/(Z318*(1-Settings!$G$17)),"")</f>
        <v/>
      </c>
      <c r="AC318" s="149">
        <f>IFERROR(IF(Z318="","",IF(Z318&gt;=C318/(1-SKU_Base!AE318)/(1-Settings!$G$17),"OK",IF(Z318&gt;=C318/(1-SKU_Base!AL318)/(1-Settings!$G$17),"WARN","STOP"))),"")</f>
        <v/>
      </c>
      <c r="AD318" s="159">
        <f>IFERROR(ROUND(D318*(1-CHOOSE(MATCH(IF($E318="","Основний",$E318),{"Трафіковий","Основний","Маржинальний","Сезонний","Стратегічний"},0),Settings!$H$78,Settings!$H$80,Settings!$H$82,Settings!$H$84,Settings!$H$86))*(1-Settings!$H$68)/6,2)*6,"")</f>
        <v/>
      </c>
      <c r="AE318" s="142">
        <f>IFERROR(CHOOSE(MATCH(IF($E318="","Основний",$E318),{"Трафіковий","Основний","Маржинальний","Сезонний","Стратегічний"},0),Settings!$H$78,Settings!$H$80,Settings!$H$82,Settings!$H$84,Settings!$H$86)+(1-(CHOOSE(MATCH(IF($E318="","Основний",$E318),{"Трафіковий","Основний","Маржинальний","Сезонний","Стратегічний"},0),Settings!$H$78,Settings!$H$80,Settings!$H$82,Settings!$H$84,Settings!$H$86)))*Settings!$H$68,"")</f>
        <v/>
      </c>
      <c r="AF318" s="143">
        <f>IFERROR((AD318*(1-Settings!$H$17)-C318)/(AD318*(1-Settings!$H$17)),"")</f>
        <v/>
      </c>
      <c r="AG318" s="150">
        <f>IFERROR(IF(AD318="","",IF(AD318&gt;=C318/(1-SKU_Base!AF318)/(1-Settings!$H$17),"OK",IF(AD318&gt;=C318/(1-SKU_Base!AM318)/(1-Settings!$H$17),"WARN","STOP"))),"")</f>
        <v/>
      </c>
    </row>
    <row r="319" ht="17" customHeight="1" s="179">
      <c r="A319" s="146">
        <f>SKU_Base!B319</f>
        <v/>
      </c>
      <c r="B319" s="146">
        <f>SKU_Base!C319</f>
        <v/>
      </c>
      <c r="C319" s="147">
        <f>IFERROR(SKU_Base!I319,"")</f>
        <v/>
      </c>
      <c r="D319" s="164">
        <f>IFERROR(SKU_Base!T319,"")</f>
        <v/>
      </c>
      <c r="E319" s="141">
        <f>IFERROR(SKU_Base!$U319,"")</f>
        <v/>
      </c>
      <c r="F319" s="160">
        <f>IFERROR(ROUND(D319*(1-CHOOSE(MATCH(IF($E319="","Основний",$E319),{"Трафіковий","Основний","Маржинальний","Сезонний","Стратегічний"},0),Settings!$B$78,Settings!$B$80,Settings!$B$82,Settings!$B$84,Settings!$B$86))/6,2)*6,"")</f>
        <v/>
      </c>
      <c r="G319" s="142">
        <f>IFERROR(CHOOSE(MATCH(IF($E319="","Основний",$E319),{"Трафіковий","Основний","Маржинальний","Сезонний","Стратегічний"},0),Settings!$B$78,Settings!$B$80,Settings!$B$82,Settings!$B$84,Settings!$B$86),"")</f>
        <v/>
      </c>
      <c r="H319" s="148">
        <f>IFERROR((F319*(1-Settings!$B$17)-C319)/(F319*(1-Settings!$B$17)),"")</f>
        <v/>
      </c>
      <c r="I319" s="149">
        <f>IFERROR(IF(F319="","",IF(F319&gt;=C319/(1-SKU_Base!Z319)/(1-Settings!$B$17),"OK",IF(F319&gt;=C319/(1-SKU_Base!AG319)/(1-Settings!$B$17),"WARN","STOP"))),"")</f>
        <v/>
      </c>
      <c r="J319" s="160">
        <f>IFERROR(ROUND(D319*(1-CHOOSE(MATCH(IF($E319="","Основний",$E319),{"Трафіковий","Основний","Маржинальний","Сезонний","Стратегічний"},0),Settings!$C$78,Settings!$C$80,Settings!$C$82,Settings!$C$84,Settings!$C$86))/6,2)*6,"")</f>
        <v/>
      </c>
      <c r="K319" s="142">
        <f>IFERROR(CHOOSE(MATCH(IF($E319="","Основний",$E319),{"Трафіковий","Основний","Маржинальний","Сезонний","Стратегічний"},0),Settings!$C$78,Settings!$C$80,Settings!$C$82,Settings!$C$84,Settings!$C$86),"")</f>
        <v/>
      </c>
      <c r="L319" s="148">
        <f>IFERROR((J319*(1-Settings!$C$17)-C319)/(J319*(1-Settings!$C$17)),"")</f>
        <v/>
      </c>
      <c r="M319" s="149">
        <f>IFERROR(IF(J319="","",IF(J319&gt;=C319/(1-SKU_Base!AA319)/(1-Settings!$C$17),"OK",IF(J319&gt;=C319/(1-SKU_Base!AH319)/(1-Settings!$C$17),"WARN","STOP"))),"")</f>
        <v/>
      </c>
      <c r="N319" s="161">
        <f>IFERROR(ROUND(D319*(1-CHOOSE(MATCH(IF($E319="","Основний",$E319),{"Трафіковий","Основний","Маржинальний","Сезонний","Стратегічний"},0),Settings!$D$78,Settings!$D$80,Settings!$D$82,Settings!$D$84,Settings!$D$86))/6,2)*6,"")</f>
        <v/>
      </c>
      <c r="O319" s="142">
        <f>IFERROR(CHOOSE(MATCH(IF($E319="","Основний",$E319),{"Трафіковий","Основний","Маржинальний","Сезонний","Стратегічний"},0),Settings!$D$78,Settings!$D$80,Settings!$D$82,Settings!$D$84,Settings!$D$86),"")</f>
        <v/>
      </c>
      <c r="P319" s="148">
        <f>IFERROR((N319*(1-Settings!$D$17)-C319)/(N319*(1-Settings!$D$17)),"")</f>
        <v/>
      </c>
      <c r="Q319" s="149">
        <f>IFERROR(IF(N319="","",IF(N319&gt;=C319/(1-SKU_Base!AB319)/(1-Settings!$D$17),"OK",IF(N319&gt;=C319/(1-SKU_Base!AI319)/(1-Settings!$D$17),"WARN","STOP"))),"")</f>
        <v/>
      </c>
      <c r="R319" s="161">
        <f>IFERROR(ROUND(D319*(1-CHOOSE(MATCH(IF($E319="","Основний",$E319),{"Трафіковий","Основний","Маржинальний","Сезонний","Стратегічний"},0),Settings!$E$78,Settings!$E$80,Settings!$E$82,Settings!$E$84,Settings!$E$86))/6,2)*6,"")</f>
        <v/>
      </c>
      <c r="S319" s="142">
        <f>IFERROR(CHOOSE(MATCH(IF($E319="","Основний",$E319),{"Трафіковий","Основний","Маржинальний","Сезонний","Стратегічний"},0),Settings!$E$78,Settings!$E$80,Settings!$E$82,Settings!$E$84,Settings!$E$86),"")</f>
        <v/>
      </c>
      <c r="T319" s="148">
        <f>IFERROR((R319*(1-Settings!$E$17)-C319)/(R319*(1-Settings!$E$17)),"")</f>
        <v/>
      </c>
      <c r="U319" s="149">
        <f>IFERROR(IF(R319="","",IF(R319&gt;=C319/(1-SKU_Base!AC319)/(1-Settings!$E$17),"OK",IF(R319&gt;=C319/(1-SKU_Base!AJ319)/(1-Settings!$E$17),"WARN","STOP"))),"")</f>
        <v/>
      </c>
      <c r="V319" s="161">
        <f>IFERROR(ROUND(D319*(1-CHOOSE(MATCH(IF($E319="","Основний",$E319),{"Трафіковий","Основний","Маржинальний","Сезонний","Стратегічний"},0),Settings!$F$78,Settings!$F$80,Settings!$F$82,Settings!$F$84,Settings!$F$86))/6,2)*6,"")</f>
        <v/>
      </c>
      <c r="W319" s="142">
        <f>IFERROR(CHOOSE(MATCH(IF($E319="","Основний",$E319),{"Трафіковий","Основний","Маржинальний","Сезонний","Стратегічний"},0),Settings!$F$78,Settings!$F$80,Settings!$F$82,Settings!$F$84,Settings!$F$86),"")</f>
        <v/>
      </c>
      <c r="X319" s="148">
        <f>IFERROR((V319*(1-Settings!$F$17)-C319)/(V319*(1-Settings!$F$17)),"")</f>
        <v/>
      </c>
      <c r="Y319" s="149">
        <f>IFERROR(IF(V319="","",IF(V319&gt;=C319/(1-SKU_Base!AD319)/(1-Settings!$F$17),"OK",IF(V319&gt;=C319/(1-SKU_Base!AK319)/(1-Settings!$F$17),"WARN","STOP"))),"")</f>
        <v/>
      </c>
      <c r="Z319" s="161">
        <f>IFERROR(ROUND(D319*(1-CHOOSE(MATCH(IF($E319="","Основний",$E319),{"Трафіковий","Основний","Маржинальний","Сезонний","Стратегічний"},0),Settings!$G$78,Settings!$G$80,Settings!$G$82,Settings!$G$84,Settings!$G$86))/6,2)*6,"")</f>
        <v/>
      </c>
      <c r="AA319" s="142">
        <f>IFERROR(CHOOSE(MATCH(IF($E319="","Основний",$E319),{"Трафіковий","Основний","Маржинальний","Сезонний","Стратегічний"},0),Settings!$G$78,Settings!$G$80,Settings!$G$82,Settings!$G$84,Settings!$G$86),"")</f>
        <v/>
      </c>
      <c r="AB319" s="148">
        <f>IFERROR((Z319*(1-Settings!$G$17)-C319)/(Z319*(1-Settings!$G$17)),"")</f>
        <v/>
      </c>
      <c r="AC319" s="149">
        <f>IFERROR(IF(Z319="","",IF(Z319&gt;=C319/(1-SKU_Base!AE319)/(1-Settings!$G$17),"OK",IF(Z319&gt;=C319/(1-SKU_Base!AL319)/(1-Settings!$G$17),"WARN","STOP"))),"")</f>
        <v/>
      </c>
      <c r="AD319" s="161">
        <f>IFERROR(ROUND(D319*(1-CHOOSE(MATCH(IF($E319="","Основний",$E319),{"Трафіковий","Основний","Маржинальний","Сезонний","Стратегічний"},0),Settings!$H$78,Settings!$H$80,Settings!$H$82,Settings!$H$84,Settings!$H$86))*(1-Settings!$H$68)/6,2)*6,"")</f>
        <v/>
      </c>
      <c r="AE319" s="142">
        <f>IFERROR(CHOOSE(MATCH(IF($E319="","Основний",$E319),{"Трафіковий","Основний","Маржинальний","Сезонний","Стратегічний"},0),Settings!$H$78,Settings!$H$80,Settings!$H$82,Settings!$H$84,Settings!$H$86)+(1-(CHOOSE(MATCH(IF($E319="","Основний",$E319),{"Трафіковий","Основний","Маржинальний","Сезонний","Стратегічний"},0),Settings!$H$78,Settings!$H$80,Settings!$H$82,Settings!$H$84,Settings!$H$86)))*Settings!$H$68,"")</f>
        <v/>
      </c>
      <c r="AF319" s="148">
        <f>IFERROR((AD319*(1-Settings!$H$17)-C319)/(AD319*(1-Settings!$H$17)),"")</f>
        <v/>
      </c>
      <c r="AG319" s="150">
        <f>IFERROR(IF(AD319="","",IF(AD319&gt;=C319/(1-SKU_Base!AF319)/(1-Settings!$H$17),"OK",IF(AD319&gt;=C319/(1-SKU_Base!AM319)/(1-Settings!$H$17),"WARN","STOP"))),"")</f>
        <v/>
      </c>
    </row>
    <row r="320" ht="17" customHeight="1" s="179">
      <c r="A320" s="139">
        <f>SKU_Base!B320</f>
        <v/>
      </c>
      <c r="B320" s="139">
        <f>SKU_Base!C320</f>
        <v/>
      </c>
      <c r="C320" s="140">
        <f>IFERROR(SKU_Base!I320,"")</f>
        <v/>
      </c>
      <c r="D320" s="163">
        <f>IFERROR(SKU_Base!T320,"")</f>
        <v/>
      </c>
      <c r="E320" s="141">
        <f>IFERROR(SKU_Base!$U320,"")</f>
        <v/>
      </c>
      <c r="F320" s="158">
        <f>IFERROR(ROUND(D320*(1-CHOOSE(MATCH(IF($E320="","Основний",$E320),{"Трафіковий","Основний","Маржинальний","Сезонний","Стратегічний"},0),Settings!$B$78,Settings!$B$80,Settings!$B$82,Settings!$B$84,Settings!$B$86))/6,2)*6,"")</f>
        <v/>
      </c>
      <c r="G320" s="142">
        <f>IFERROR(CHOOSE(MATCH(IF($E320="","Основний",$E320),{"Трафіковий","Основний","Маржинальний","Сезонний","Стратегічний"},0),Settings!$B$78,Settings!$B$80,Settings!$B$82,Settings!$B$84,Settings!$B$86),"")</f>
        <v/>
      </c>
      <c r="H320" s="143">
        <f>IFERROR((F320*(1-Settings!$B$17)-C320)/(F320*(1-Settings!$B$17)),"")</f>
        <v/>
      </c>
      <c r="I320" s="149">
        <f>IFERROR(IF(F320="","",IF(F320&gt;=C320/(1-SKU_Base!Z320)/(1-Settings!$B$17),"OK",IF(F320&gt;=C320/(1-SKU_Base!AG320)/(1-Settings!$B$17),"WARN","STOP"))),"")</f>
        <v/>
      </c>
      <c r="J320" s="158">
        <f>IFERROR(ROUND(D320*(1-CHOOSE(MATCH(IF($E320="","Основний",$E320),{"Трафіковий","Основний","Маржинальний","Сезонний","Стратегічний"},0),Settings!$C$78,Settings!$C$80,Settings!$C$82,Settings!$C$84,Settings!$C$86))/6,2)*6,"")</f>
        <v/>
      </c>
      <c r="K320" s="142">
        <f>IFERROR(CHOOSE(MATCH(IF($E320="","Основний",$E320),{"Трафіковий","Основний","Маржинальний","Сезонний","Стратегічний"},0),Settings!$C$78,Settings!$C$80,Settings!$C$82,Settings!$C$84,Settings!$C$86),"")</f>
        <v/>
      </c>
      <c r="L320" s="143">
        <f>IFERROR((J320*(1-Settings!$C$17)-C320)/(J320*(1-Settings!$C$17)),"")</f>
        <v/>
      </c>
      <c r="M320" s="149">
        <f>IFERROR(IF(J320="","",IF(J320&gt;=C320/(1-SKU_Base!AA320)/(1-Settings!$C$17),"OK",IF(J320&gt;=C320/(1-SKU_Base!AH320)/(1-Settings!$C$17),"WARN","STOP"))),"")</f>
        <v/>
      </c>
      <c r="N320" s="159">
        <f>IFERROR(ROUND(D320*(1-CHOOSE(MATCH(IF($E320="","Основний",$E320),{"Трафіковий","Основний","Маржинальний","Сезонний","Стратегічний"},0),Settings!$D$78,Settings!$D$80,Settings!$D$82,Settings!$D$84,Settings!$D$86))/6,2)*6,"")</f>
        <v/>
      </c>
      <c r="O320" s="142">
        <f>IFERROR(CHOOSE(MATCH(IF($E320="","Основний",$E320),{"Трафіковий","Основний","Маржинальний","Сезонний","Стратегічний"},0),Settings!$D$78,Settings!$D$80,Settings!$D$82,Settings!$D$84,Settings!$D$86),"")</f>
        <v/>
      </c>
      <c r="P320" s="143">
        <f>IFERROR((N320*(1-Settings!$D$17)-C320)/(N320*(1-Settings!$D$17)),"")</f>
        <v/>
      </c>
      <c r="Q320" s="149">
        <f>IFERROR(IF(N320="","",IF(N320&gt;=C320/(1-SKU_Base!AB320)/(1-Settings!$D$17),"OK",IF(N320&gt;=C320/(1-SKU_Base!AI320)/(1-Settings!$D$17),"WARN","STOP"))),"")</f>
        <v/>
      </c>
      <c r="R320" s="159">
        <f>IFERROR(ROUND(D320*(1-CHOOSE(MATCH(IF($E320="","Основний",$E320),{"Трафіковий","Основний","Маржинальний","Сезонний","Стратегічний"},0),Settings!$E$78,Settings!$E$80,Settings!$E$82,Settings!$E$84,Settings!$E$86))/6,2)*6,"")</f>
        <v/>
      </c>
      <c r="S320" s="142">
        <f>IFERROR(CHOOSE(MATCH(IF($E320="","Основний",$E320),{"Трафіковий","Основний","Маржинальний","Сезонний","Стратегічний"},0),Settings!$E$78,Settings!$E$80,Settings!$E$82,Settings!$E$84,Settings!$E$86),"")</f>
        <v/>
      </c>
      <c r="T320" s="143">
        <f>IFERROR((R320*(1-Settings!$E$17)-C320)/(R320*(1-Settings!$E$17)),"")</f>
        <v/>
      </c>
      <c r="U320" s="149">
        <f>IFERROR(IF(R320="","",IF(R320&gt;=C320/(1-SKU_Base!AC320)/(1-Settings!$E$17),"OK",IF(R320&gt;=C320/(1-SKU_Base!AJ320)/(1-Settings!$E$17),"WARN","STOP"))),"")</f>
        <v/>
      </c>
      <c r="V320" s="159">
        <f>IFERROR(ROUND(D320*(1-CHOOSE(MATCH(IF($E320="","Основний",$E320),{"Трафіковий","Основний","Маржинальний","Сезонний","Стратегічний"},0),Settings!$F$78,Settings!$F$80,Settings!$F$82,Settings!$F$84,Settings!$F$86))/6,2)*6,"")</f>
        <v/>
      </c>
      <c r="W320" s="142">
        <f>IFERROR(CHOOSE(MATCH(IF($E320="","Основний",$E320),{"Трафіковий","Основний","Маржинальний","Сезонний","Стратегічний"},0),Settings!$F$78,Settings!$F$80,Settings!$F$82,Settings!$F$84,Settings!$F$86),"")</f>
        <v/>
      </c>
      <c r="X320" s="143">
        <f>IFERROR((V320*(1-Settings!$F$17)-C320)/(V320*(1-Settings!$F$17)),"")</f>
        <v/>
      </c>
      <c r="Y320" s="149">
        <f>IFERROR(IF(V320="","",IF(V320&gt;=C320/(1-SKU_Base!AD320)/(1-Settings!$F$17),"OK",IF(V320&gt;=C320/(1-SKU_Base!AK320)/(1-Settings!$F$17),"WARN","STOP"))),"")</f>
        <v/>
      </c>
      <c r="Z320" s="159">
        <f>IFERROR(ROUND(D320*(1-CHOOSE(MATCH(IF($E320="","Основний",$E320),{"Трафіковий","Основний","Маржинальний","Сезонний","Стратегічний"},0),Settings!$G$78,Settings!$G$80,Settings!$G$82,Settings!$G$84,Settings!$G$86))/6,2)*6,"")</f>
        <v/>
      </c>
      <c r="AA320" s="142">
        <f>IFERROR(CHOOSE(MATCH(IF($E320="","Основний",$E320),{"Трафіковий","Основний","Маржинальний","Сезонний","Стратегічний"},0),Settings!$G$78,Settings!$G$80,Settings!$G$82,Settings!$G$84,Settings!$G$86),"")</f>
        <v/>
      </c>
      <c r="AB320" s="143">
        <f>IFERROR((Z320*(1-Settings!$G$17)-C320)/(Z320*(1-Settings!$G$17)),"")</f>
        <v/>
      </c>
      <c r="AC320" s="149">
        <f>IFERROR(IF(Z320="","",IF(Z320&gt;=C320/(1-SKU_Base!AE320)/(1-Settings!$G$17),"OK",IF(Z320&gt;=C320/(1-SKU_Base!AL320)/(1-Settings!$G$17),"WARN","STOP"))),"")</f>
        <v/>
      </c>
      <c r="AD320" s="159">
        <f>IFERROR(ROUND(D320*(1-CHOOSE(MATCH(IF($E320="","Основний",$E320),{"Трафіковий","Основний","Маржинальний","Сезонний","Стратегічний"},0),Settings!$H$78,Settings!$H$80,Settings!$H$82,Settings!$H$84,Settings!$H$86))*(1-Settings!$H$68)/6,2)*6,"")</f>
        <v/>
      </c>
      <c r="AE320" s="142">
        <f>IFERROR(CHOOSE(MATCH(IF($E320="","Основний",$E320),{"Трафіковий","Основний","Маржинальний","Сезонний","Стратегічний"},0),Settings!$H$78,Settings!$H$80,Settings!$H$82,Settings!$H$84,Settings!$H$86)+(1-(CHOOSE(MATCH(IF($E320="","Основний",$E320),{"Трафіковий","Основний","Маржинальний","Сезонний","Стратегічний"},0),Settings!$H$78,Settings!$H$80,Settings!$H$82,Settings!$H$84,Settings!$H$86)))*Settings!$H$68,"")</f>
        <v/>
      </c>
      <c r="AF320" s="143">
        <f>IFERROR((AD320*(1-Settings!$H$17)-C320)/(AD320*(1-Settings!$H$17)),"")</f>
        <v/>
      </c>
      <c r="AG320" s="150">
        <f>IFERROR(IF(AD320="","",IF(AD320&gt;=C320/(1-SKU_Base!AF320)/(1-Settings!$H$17),"OK",IF(AD320&gt;=C320/(1-SKU_Base!AM320)/(1-Settings!$H$17),"WARN","STOP"))),"")</f>
        <v/>
      </c>
    </row>
    <row r="321" ht="17" customHeight="1" s="179">
      <c r="A321" s="146">
        <f>SKU_Base!B321</f>
        <v/>
      </c>
      <c r="B321" s="146">
        <f>SKU_Base!C321</f>
        <v/>
      </c>
      <c r="C321" s="147">
        <f>IFERROR(SKU_Base!I321,"")</f>
        <v/>
      </c>
      <c r="D321" s="164">
        <f>IFERROR(SKU_Base!T321,"")</f>
        <v/>
      </c>
      <c r="E321" s="141">
        <f>IFERROR(SKU_Base!$U321,"")</f>
        <v/>
      </c>
      <c r="F321" s="160">
        <f>IFERROR(ROUND(D321*(1-CHOOSE(MATCH(IF($E321="","Основний",$E321),{"Трафіковий","Основний","Маржинальний","Сезонний","Стратегічний"},0),Settings!$B$78,Settings!$B$80,Settings!$B$82,Settings!$B$84,Settings!$B$86))/6,2)*6,"")</f>
        <v/>
      </c>
      <c r="G321" s="142">
        <f>IFERROR(CHOOSE(MATCH(IF($E321="","Основний",$E321),{"Трафіковий","Основний","Маржинальний","Сезонний","Стратегічний"},0),Settings!$B$78,Settings!$B$80,Settings!$B$82,Settings!$B$84,Settings!$B$86),"")</f>
        <v/>
      </c>
      <c r="H321" s="148">
        <f>IFERROR((F321*(1-Settings!$B$17)-C321)/(F321*(1-Settings!$B$17)),"")</f>
        <v/>
      </c>
      <c r="I321" s="149">
        <f>IFERROR(IF(F321="","",IF(F321&gt;=C321/(1-SKU_Base!Z321)/(1-Settings!$B$17),"OK",IF(F321&gt;=C321/(1-SKU_Base!AG321)/(1-Settings!$B$17),"WARN","STOP"))),"")</f>
        <v/>
      </c>
      <c r="J321" s="160">
        <f>IFERROR(ROUND(D321*(1-CHOOSE(MATCH(IF($E321="","Основний",$E321),{"Трафіковий","Основний","Маржинальний","Сезонний","Стратегічний"},0),Settings!$C$78,Settings!$C$80,Settings!$C$82,Settings!$C$84,Settings!$C$86))/6,2)*6,"")</f>
        <v/>
      </c>
      <c r="K321" s="142">
        <f>IFERROR(CHOOSE(MATCH(IF($E321="","Основний",$E321),{"Трафіковий","Основний","Маржинальний","Сезонний","Стратегічний"},0),Settings!$C$78,Settings!$C$80,Settings!$C$82,Settings!$C$84,Settings!$C$86),"")</f>
        <v/>
      </c>
      <c r="L321" s="148">
        <f>IFERROR((J321*(1-Settings!$C$17)-C321)/(J321*(1-Settings!$C$17)),"")</f>
        <v/>
      </c>
      <c r="M321" s="149">
        <f>IFERROR(IF(J321="","",IF(J321&gt;=C321/(1-SKU_Base!AA321)/(1-Settings!$C$17),"OK",IF(J321&gt;=C321/(1-SKU_Base!AH321)/(1-Settings!$C$17),"WARN","STOP"))),"")</f>
        <v/>
      </c>
      <c r="N321" s="161">
        <f>IFERROR(ROUND(D321*(1-CHOOSE(MATCH(IF($E321="","Основний",$E321),{"Трафіковий","Основний","Маржинальний","Сезонний","Стратегічний"},0),Settings!$D$78,Settings!$D$80,Settings!$D$82,Settings!$D$84,Settings!$D$86))/6,2)*6,"")</f>
        <v/>
      </c>
      <c r="O321" s="142">
        <f>IFERROR(CHOOSE(MATCH(IF($E321="","Основний",$E321),{"Трафіковий","Основний","Маржинальний","Сезонний","Стратегічний"},0),Settings!$D$78,Settings!$D$80,Settings!$D$82,Settings!$D$84,Settings!$D$86),"")</f>
        <v/>
      </c>
      <c r="P321" s="148">
        <f>IFERROR((N321*(1-Settings!$D$17)-C321)/(N321*(1-Settings!$D$17)),"")</f>
        <v/>
      </c>
      <c r="Q321" s="149">
        <f>IFERROR(IF(N321="","",IF(N321&gt;=C321/(1-SKU_Base!AB321)/(1-Settings!$D$17),"OK",IF(N321&gt;=C321/(1-SKU_Base!AI321)/(1-Settings!$D$17),"WARN","STOP"))),"")</f>
        <v/>
      </c>
      <c r="R321" s="161">
        <f>IFERROR(ROUND(D321*(1-CHOOSE(MATCH(IF($E321="","Основний",$E321),{"Трафіковий","Основний","Маржинальний","Сезонний","Стратегічний"},0),Settings!$E$78,Settings!$E$80,Settings!$E$82,Settings!$E$84,Settings!$E$86))/6,2)*6,"")</f>
        <v/>
      </c>
      <c r="S321" s="142">
        <f>IFERROR(CHOOSE(MATCH(IF($E321="","Основний",$E321),{"Трафіковий","Основний","Маржинальний","Сезонний","Стратегічний"},0),Settings!$E$78,Settings!$E$80,Settings!$E$82,Settings!$E$84,Settings!$E$86),"")</f>
        <v/>
      </c>
      <c r="T321" s="148">
        <f>IFERROR((R321*(1-Settings!$E$17)-C321)/(R321*(1-Settings!$E$17)),"")</f>
        <v/>
      </c>
      <c r="U321" s="149">
        <f>IFERROR(IF(R321="","",IF(R321&gt;=C321/(1-SKU_Base!AC321)/(1-Settings!$E$17),"OK",IF(R321&gt;=C321/(1-SKU_Base!AJ321)/(1-Settings!$E$17),"WARN","STOP"))),"")</f>
        <v/>
      </c>
      <c r="V321" s="161">
        <f>IFERROR(ROUND(D321*(1-CHOOSE(MATCH(IF($E321="","Основний",$E321),{"Трафіковий","Основний","Маржинальний","Сезонний","Стратегічний"},0),Settings!$F$78,Settings!$F$80,Settings!$F$82,Settings!$F$84,Settings!$F$86))/6,2)*6,"")</f>
        <v/>
      </c>
      <c r="W321" s="142">
        <f>IFERROR(CHOOSE(MATCH(IF($E321="","Основний",$E321),{"Трафіковий","Основний","Маржинальний","Сезонний","Стратегічний"},0),Settings!$F$78,Settings!$F$80,Settings!$F$82,Settings!$F$84,Settings!$F$86),"")</f>
        <v/>
      </c>
      <c r="X321" s="148">
        <f>IFERROR((V321*(1-Settings!$F$17)-C321)/(V321*(1-Settings!$F$17)),"")</f>
        <v/>
      </c>
      <c r="Y321" s="149">
        <f>IFERROR(IF(V321="","",IF(V321&gt;=C321/(1-SKU_Base!AD321)/(1-Settings!$F$17),"OK",IF(V321&gt;=C321/(1-SKU_Base!AK321)/(1-Settings!$F$17),"WARN","STOP"))),"")</f>
        <v/>
      </c>
      <c r="Z321" s="161">
        <f>IFERROR(ROUND(D321*(1-CHOOSE(MATCH(IF($E321="","Основний",$E321),{"Трафіковий","Основний","Маржинальний","Сезонний","Стратегічний"},0),Settings!$G$78,Settings!$G$80,Settings!$G$82,Settings!$G$84,Settings!$G$86))/6,2)*6,"")</f>
        <v/>
      </c>
      <c r="AA321" s="142">
        <f>IFERROR(CHOOSE(MATCH(IF($E321="","Основний",$E321),{"Трафіковий","Основний","Маржинальний","Сезонний","Стратегічний"},0),Settings!$G$78,Settings!$G$80,Settings!$G$82,Settings!$G$84,Settings!$G$86),"")</f>
        <v/>
      </c>
      <c r="AB321" s="148">
        <f>IFERROR((Z321*(1-Settings!$G$17)-C321)/(Z321*(1-Settings!$G$17)),"")</f>
        <v/>
      </c>
      <c r="AC321" s="149">
        <f>IFERROR(IF(Z321="","",IF(Z321&gt;=C321/(1-SKU_Base!AE321)/(1-Settings!$G$17),"OK",IF(Z321&gt;=C321/(1-SKU_Base!AL321)/(1-Settings!$G$17),"WARN","STOP"))),"")</f>
        <v/>
      </c>
      <c r="AD321" s="161">
        <f>IFERROR(ROUND(D321*(1-CHOOSE(MATCH(IF($E321="","Основний",$E321),{"Трафіковий","Основний","Маржинальний","Сезонний","Стратегічний"},0),Settings!$H$78,Settings!$H$80,Settings!$H$82,Settings!$H$84,Settings!$H$86))*(1-Settings!$H$68)/6,2)*6,"")</f>
        <v/>
      </c>
      <c r="AE321" s="142">
        <f>IFERROR(CHOOSE(MATCH(IF($E321="","Основний",$E321),{"Трафіковий","Основний","Маржинальний","Сезонний","Стратегічний"},0),Settings!$H$78,Settings!$H$80,Settings!$H$82,Settings!$H$84,Settings!$H$86)+(1-(CHOOSE(MATCH(IF($E321="","Основний",$E321),{"Трафіковий","Основний","Маржинальний","Сезонний","Стратегічний"},0),Settings!$H$78,Settings!$H$80,Settings!$H$82,Settings!$H$84,Settings!$H$86)))*Settings!$H$68,"")</f>
        <v/>
      </c>
      <c r="AF321" s="148">
        <f>IFERROR((AD321*(1-Settings!$H$17)-C321)/(AD321*(1-Settings!$H$17)),"")</f>
        <v/>
      </c>
      <c r="AG321" s="150">
        <f>IFERROR(IF(AD321="","",IF(AD321&gt;=C321/(1-SKU_Base!AF321)/(1-Settings!$H$17),"OK",IF(AD321&gt;=C321/(1-SKU_Base!AM321)/(1-Settings!$H$17),"WARN","STOP"))),"")</f>
        <v/>
      </c>
    </row>
    <row r="322" ht="17" customHeight="1" s="179">
      <c r="A322" s="139">
        <f>SKU_Base!B322</f>
        <v/>
      </c>
      <c r="B322" s="139">
        <f>SKU_Base!C322</f>
        <v/>
      </c>
      <c r="C322" s="140">
        <f>IFERROR(SKU_Base!I322,"")</f>
        <v/>
      </c>
      <c r="D322" s="163">
        <f>IFERROR(SKU_Base!T322,"")</f>
        <v/>
      </c>
      <c r="E322" s="141">
        <f>IFERROR(SKU_Base!$U322,"")</f>
        <v/>
      </c>
      <c r="F322" s="158">
        <f>IFERROR(ROUND(D322*(1-CHOOSE(MATCH(IF($E322="","Основний",$E322),{"Трафіковий","Основний","Маржинальний","Сезонний","Стратегічний"},0),Settings!$B$78,Settings!$B$80,Settings!$B$82,Settings!$B$84,Settings!$B$86))/6,2)*6,"")</f>
        <v/>
      </c>
      <c r="G322" s="142">
        <f>IFERROR(CHOOSE(MATCH(IF($E322="","Основний",$E322),{"Трафіковий","Основний","Маржинальний","Сезонний","Стратегічний"},0),Settings!$B$78,Settings!$B$80,Settings!$B$82,Settings!$B$84,Settings!$B$86),"")</f>
        <v/>
      </c>
      <c r="H322" s="143">
        <f>IFERROR((F322*(1-Settings!$B$17)-C322)/(F322*(1-Settings!$B$17)),"")</f>
        <v/>
      </c>
      <c r="I322" s="149">
        <f>IFERROR(IF(F322="","",IF(F322&gt;=C322/(1-SKU_Base!Z322)/(1-Settings!$B$17),"OK",IF(F322&gt;=C322/(1-SKU_Base!AG322)/(1-Settings!$B$17),"WARN","STOP"))),"")</f>
        <v/>
      </c>
      <c r="J322" s="158">
        <f>IFERROR(ROUND(D322*(1-CHOOSE(MATCH(IF($E322="","Основний",$E322),{"Трафіковий","Основний","Маржинальний","Сезонний","Стратегічний"},0),Settings!$C$78,Settings!$C$80,Settings!$C$82,Settings!$C$84,Settings!$C$86))/6,2)*6,"")</f>
        <v/>
      </c>
      <c r="K322" s="142">
        <f>IFERROR(CHOOSE(MATCH(IF($E322="","Основний",$E322),{"Трафіковий","Основний","Маржинальний","Сезонний","Стратегічний"},0),Settings!$C$78,Settings!$C$80,Settings!$C$82,Settings!$C$84,Settings!$C$86),"")</f>
        <v/>
      </c>
      <c r="L322" s="143">
        <f>IFERROR((J322*(1-Settings!$C$17)-C322)/(J322*(1-Settings!$C$17)),"")</f>
        <v/>
      </c>
      <c r="M322" s="149">
        <f>IFERROR(IF(J322="","",IF(J322&gt;=C322/(1-SKU_Base!AA322)/(1-Settings!$C$17),"OK",IF(J322&gt;=C322/(1-SKU_Base!AH322)/(1-Settings!$C$17),"WARN","STOP"))),"")</f>
        <v/>
      </c>
      <c r="N322" s="159">
        <f>IFERROR(ROUND(D322*(1-CHOOSE(MATCH(IF($E322="","Основний",$E322),{"Трафіковий","Основний","Маржинальний","Сезонний","Стратегічний"},0),Settings!$D$78,Settings!$D$80,Settings!$D$82,Settings!$D$84,Settings!$D$86))/6,2)*6,"")</f>
        <v/>
      </c>
      <c r="O322" s="142">
        <f>IFERROR(CHOOSE(MATCH(IF($E322="","Основний",$E322),{"Трафіковий","Основний","Маржинальний","Сезонний","Стратегічний"},0),Settings!$D$78,Settings!$D$80,Settings!$D$82,Settings!$D$84,Settings!$D$86),"")</f>
        <v/>
      </c>
      <c r="P322" s="143">
        <f>IFERROR((N322*(1-Settings!$D$17)-C322)/(N322*(1-Settings!$D$17)),"")</f>
        <v/>
      </c>
      <c r="Q322" s="149">
        <f>IFERROR(IF(N322="","",IF(N322&gt;=C322/(1-SKU_Base!AB322)/(1-Settings!$D$17),"OK",IF(N322&gt;=C322/(1-SKU_Base!AI322)/(1-Settings!$D$17),"WARN","STOP"))),"")</f>
        <v/>
      </c>
      <c r="R322" s="159">
        <f>IFERROR(ROUND(D322*(1-CHOOSE(MATCH(IF($E322="","Основний",$E322),{"Трафіковий","Основний","Маржинальний","Сезонний","Стратегічний"},0),Settings!$E$78,Settings!$E$80,Settings!$E$82,Settings!$E$84,Settings!$E$86))/6,2)*6,"")</f>
        <v/>
      </c>
      <c r="S322" s="142">
        <f>IFERROR(CHOOSE(MATCH(IF($E322="","Основний",$E322),{"Трафіковий","Основний","Маржинальний","Сезонний","Стратегічний"},0),Settings!$E$78,Settings!$E$80,Settings!$E$82,Settings!$E$84,Settings!$E$86),"")</f>
        <v/>
      </c>
      <c r="T322" s="143">
        <f>IFERROR((R322*(1-Settings!$E$17)-C322)/(R322*(1-Settings!$E$17)),"")</f>
        <v/>
      </c>
      <c r="U322" s="149">
        <f>IFERROR(IF(R322="","",IF(R322&gt;=C322/(1-SKU_Base!AC322)/(1-Settings!$E$17),"OK",IF(R322&gt;=C322/(1-SKU_Base!AJ322)/(1-Settings!$E$17),"WARN","STOP"))),"")</f>
        <v/>
      </c>
      <c r="V322" s="159">
        <f>IFERROR(ROUND(D322*(1-CHOOSE(MATCH(IF($E322="","Основний",$E322),{"Трафіковий","Основний","Маржинальний","Сезонний","Стратегічний"},0),Settings!$F$78,Settings!$F$80,Settings!$F$82,Settings!$F$84,Settings!$F$86))/6,2)*6,"")</f>
        <v/>
      </c>
      <c r="W322" s="142">
        <f>IFERROR(CHOOSE(MATCH(IF($E322="","Основний",$E322),{"Трафіковий","Основний","Маржинальний","Сезонний","Стратегічний"},0),Settings!$F$78,Settings!$F$80,Settings!$F$82,Settings!$F$84,Settings!$F$86),"")</f>
        <v/>
      </c>
      <c r="X322" s="143">
        <f>IFERROR((V322*(1-Settings!$F$17)-C322)/(V322*(1-Settings!$F$17)),"")</f>
        <v/>
      </c>
      <c r="Y322" s="149">
        <f>IFERROR(IF(V322="","",IF(V322&gt;=C322/(1-SKU_Base!AD322)/(1-Settings!$F$17),"OK",IF(V322&gt;=C322/(1-SKU_Base!AK322)/(1-Settings!$F$17),"WARN","STOP"))),"")</f>
        <v/>
      </c>
      <c r="Z322" s="159">
        <f>IFERROR(ROUND(D322*(1-CHOOSE(MATCH(IF($E322="","Основний",$E322),{"Трафіковий","Основний","Маржинальний","Сезонний","Стратегічний"},0),Settings!$G$78,Settings!$G$80,Settings!$G$82,Settings!$G$84,Settings!$G$86))/6,2)*6,"")</f>
        <v/>
      </c>
      <c r="AA322" s="142">
        <f>IFERROR(CHOOSE(MATCH(IF($E322="","Основний",$E322),{"Трафіковий","Основний","Маржинальний","Сезонний","Стратегічний"},0),Settings!$G$78,Settings!$G$80,Settings!$G$82,Settings!$G$84,Settings!$G$86),"")</f>
        <v/>
      </c>
      <c r="AB322" s="143">
        <f>IFERROR((Z322*(1-Settings!$G$17)-C322)/(Z322*(1-Settings!$G$17)),"")</f>
        <v/>
      </c>
      <c r="AC322" s="149">
        <f>IFERROR(IF(Z322="","",IF(Z322&gt;=C322/(1-SKU_Base!AE322)/(1-Settings!$G$17),"OK",IF(Z322&gt;=C322/(1-SKU_Base!AL322)/(1-Settings!$G$17),"WARN","STOP"))),"")</f>
        <v/>
      </c>
      <c r="AD322" s="159">
        <f>IFERROR(ROUND(D322*(1-CHOOSE(MATCH(IF($E322="","Основний",$E322),{"Трафіковий","Основний","Маржинальний","Сезонний","Стратегічний"},0),Settings!$H$78,Settings!$H$80,Settings!$H$82,Settings!$H$84,Settings!$H$86))*(1-Settings!$H$68)/6,2)*6,"")</f>
        <v/>
      </c>
      <c r="AE322" s="142">
        <f>IFERROR(CHOOSE(MATCH(IF($E322="","Основний",$E322),{"Трафіковий","Основний","Маржинальний","Сезонний","Стратегічний"},0),Settings!$H$78,Settings!$H$80,Settings!$H$82,Settings!$H$84,Settings!$H$86)+(1-(CHOOSE(MATCH(IF($E322="","Основний",$E322),{"Трафіковий","Основний","Маржинальний","Сезонний","Стратегічний"},0),Settings!$H$78,Settings!$H$80,Settings!$H$82,Settings!$H$84,Settings!$H$86)))*Settings!$H$68,"")</f>
        <v/>
      </c>
      <c r="AF322" s="143">
        <f>IFERROR((AD322*(1-Settings!$H$17)-C322)/(AD322*(1-Settings!$H$17)),"")</f>
        <v/>
      </c>
      <c r="AG322" s="150">
        <f>IFERROR(IF(AD322="","",IF(AD322&gt;=C322/(1-SKU_Base!AF322)/(1-Settings!$H$17),"OK",IF(AD322&gt;=C322/(1-SKU_Base!AM322)/(1-Settings!$H$17),"WARN","STOP"))),"")</f>
        <v/>
      </c>
    </row>
    <row r="323" ht="17" customHeight="1" s="179">
      <c r="A323" s="146">
        <f>SKU_Base!B323</f>
        <v/>
      </c>
      <c r="B323" s="146">
        <f>SKU_Base!C323</f>
        <v/>
      </c>
      <c r="C323" s="147">
        <f>IFERROR(SKU_Base!I323,"")</f>
        <v/>
      </c>
      <c r="D323" s="164">
        <f>IFERROR(SKU_Base!T323,"")</f>
        <v/>
      </c>
      <c r="E323" s="141">
        <f>IFERROR(SKU_Base!$U323,"")</f>
        <v/>
      </c>
      <c r="F323" s="160">
        <f>IFERROR(ROUND(D323*(1-CHOOSE(MATCH(IF($E323="","Основний",$E323),{"Трафіковий","Основний","Маржинальний","Сезонний","Стратегічний"},0),Settings!$B$78,Settings!$B$80,Settings!$B$82,Settings!$B$84,Settings!$B$86))/6,2)*6,"")</f>
        <v/>
      </c>
      <c r="G323" s="142">
        <f>IFERROR(CHOOSE(MATCH(IF($E323="","Основний",$E323),{"Трафіковий","Основний","Маржинальний","Сезонний","Стратегічний"},0),Settings!$B$78,Settings!$B$80,Settings!$B$82,Settings!$B$84,Settings!$B$86),"")</f>
        <v/>
      </c>
      <c r="H323" s="148">
        <f>IFERROR((F323*(1-Settings!$B$17)-C323)/(F323*(1-Settings!$B$17)),"")</f>
        <v/>
      </c>
      <c r="I323" s="149">
        <f>IFERROR(IF(F323="","",IF(F323&gt;=C323/(1-SKU_Base!Z323)/(1-Settings!$B$17),"OK",IF(F323&gt;=C323/(1-SKU_Base!AG323)/(1-Settings!$B$17),"WARN","STOP"))),"")</f>
        <v/>
      </c>
      <c r="J323" s="160">
        <f>IFERROR(ROUND(D323*(1-CHOOSE(MATCH(IF($E323="","Основний",$E323),{"Трафіковий","Основний","Маржинальний","Сезонний","Стратегічний"},0),Settings!$C$78,Settings!$C$80,Settings!$C$82,Settings!$C$84,Settings!$C$86))/6,2)*6,"")</f>
        <v/>
      </c>
      <c r="K323" s="142">
        <f>IFERROR(CHOOSE(MATCH(IF($E323="","Основний",$E323),{"Трафіковий","Основний","Маржинальний","Сезонний","Стратегічний"},0),Settings!$C$78,Settings!$C$80,Settings!$C$82,Settings!$C$84,Settings!$C$86),"")</f>
        <v/>
      </c>
      <c r="L323" s="148">
        <f>IFERROR((J323*(1-Settings!$C$17)-C323)/(J323*(1-Settings!$C$17)),"")</f>
        <v/>
      </c>
      <c r="M323" s="149">
        <f>IFERROR(IF(J323="","",IF(J323&gt;=C323/(1-SKU_Base!AA323)/(1-Settings!$C$17),"OK",IF(J323&gt;=C323/(1-SKU_Base!AH323)/(1-Settings!$C$17),"WARN","STOP"))),"")</f>
        <v/>
      </c>
      <c r="N323" s="161">
        <f>IFERROR(ROUND(D323*(1-CHOOSE(MATCH(IF($E323="","Основний",$E323),{"Трафіковий","Основний","Маржинальний","Сезонний","Стратегічний"},0),Settings!$D$78,Settings!$D$80,Settings!$D$82,Settings!$D$84,Settings!$D$86))/6,2)*6,"")</f>
        <v/>
      </c>
      <c r="O323" s="142">
        <f>IFERROR(CHOOSE(MATCH(IF($E323="","Основний",$E323),{"Трафіковий","Основний","Маржинальний","Сезонний","Стратегічний"},0),Settings!$D$78,Settings!$D$80,Settings!$D$82,Settings!$D$84,Settings!$D$86),"")</f>
        <v/>
      </c>
      <c r="P323" s="148">
        <f>IFERROR((N323*(1-Settings!$D$17)-C323)/(N323*(1-Settings!$D$17)),"")</f>
        <v/>
      </c>
      <c r="Q323" s="149">
        <f>IFERROR(IF(N323="","",IF(N323&gt;=C323/(1-SKU_Base!AB323)/(1-Settings!$D$17),"OK",IF(N323&gt;=C323/(1-SKU_Base!AI323)/(1-Settings!$D$17),"WARN","STOP"))),"")</f>
        <v/>
      </c>
      <c r="R323" s="161">
        <f>IFERROR(ROUND(D323*(1-CHOOSE(MATCH(IF($E323="","Основний",$E323),{"Трафіковий","Основний","Маржинальний","Сезонний","Стратегічний"},0),Settings!$E$78,Settings!$E$80,Settings!$E$82,Settings!$E$84,Settings!$E$86))/6,2)*6,"")</f>
        <v/>
      </c>
      <c r="S323" s="142">
        <f>IFERROR(CHOOSE(MATCH(IF($E323="","Основний",$E323),{"Трафіковий","Основний","Маржинальний","Сезонний","Стратегічний"},0),Settings!$E$78,Settings!$E$80,Settings!$E$82,Settings!$E$84,Settings!$E$86),"")</f>
        <v/>
      </c>
      <c r="T323" s="148">
        <f>IFERROR((R323*(1-Settings!$E$17)-C323)/(R323*(1-Settings!$E$17)),"")</f>
        <v/>
      </c>
      <c r="U323" s="149">
        <f>IFERROR(IF(R323="","",IF(R323&gt;=C323/(1-SKU_Base!AC323)/(1-Settings!$E$17),"OK",IF(R323&gt;=C323/(1-SKU_Base!AJ323)/(1-Settings!$E$17),"WARN","STOP"))),"")</f>
        <v/>
      </c>
      <c r="V323" s="161">
        <f>IFERROR(ROUND(D323*(1-CHOOSE(MATCH(IF($E323="","Основний",$E323),{"Трафіковий","Основний","Маржинальний","Сезонний","Стратегічний"},0),Settings!$F$78,Settings!$F$80,Settings!$F$82,Settings!$F$84,Settings!$F$86))/6,2)*6,"")</f>
        <v/>
      </c>
      <c r="W323" s="142">
        <f>IFERROR(CHOOSE(MATCH(IF($E323="","Основний",$E323),{"Трафіковий","Основний","Маржинальний","Сезонний","Стратегічний"},0),Settings!$F$78,Settings!$F$80,Settings!$F$82,Settings!$F$84,Settings!$F$86),"")</f>
        <v/>
      </c>
      <c r="X323" s="148">
        <f>IFERROR((V323*(1-Settings!$F$17)-C323)/(V323*(1-Settings!$F$17)),"")</f>
        <v/>
      </c>
      <c r="Y323" s="149">
        <f>IFERROR(IF(V323="","",IF(V323&gt;=C323/(1-SKU_Base!AD323)/(1-Settings!$F$17),"OK",IF(V323&gt;=C323/(1-SKU_Base!AK323)/(1-Settings!$F$17),"WARN","STOP"))),"")</f>
        <v/>
      </c>
      <c r="Z323" s="161">
        <f>IFERROR(ROUND(D323*(1-CHOOSE(MATCH(IF($E323="","Основний",$E323),{"Трафіковий","Основний","Маржинальний","Сезонний","Стратегічний"},0),Settings!$G$78,Settings!$G$80,Settings!$G$82,Settings!$G$84,Settings!$G$86))/6,2)*6,"")</f>
        <v/>
      </c>
      <c r="AA323" s="142">
        <f>IFERROR(CHOOSE(MATCH(IF($E323="","Основний",$E323),{"Трафіковий","Основний","Маржинальний","Сезонний","Стратегічний"},0),Settings!$G$78,Settings!$G$80,Settings!$G$82,Settings!$G$84,Settings!$G$86),"")</f>
        <v/>
      </c>
      <c r="AB323" s="148">
        <f>IFERROR((Z323*(1-Settings!$G$17)-C323)/(Z323*(1-Settings!$G$17)),"")</f>
        <v/>
      </c>
      <c r="AC323" s="149">
        <f>IFERROR(IF(Z323="","",IF(Z323&gt;=C323/(1-SKU_Base!AE323)/(1-Settings!$G$17),"OK",IF(Z323&gt;=C323/(1-SKU_Base!AL323)/(1-Settings!$G$17),"WARN","STOP"))),"")</f>
        <v/>
      </c>
      <c r="AD323" s="161">
        <f>IFERROR(ROUND(D323*(1-CHOOSE(MATCH(IF($E323="","Основний",$E323),{"Трафіковий","Основний","Маржинальний","Сезонний","Стратегічний"},0),Settings!$H$78,Settings!$H$80,Settings!$H$82,Settings!$H$84,Settings!$H$86))*(1-Settings!$H$68)/6,2)*6,"")</f>
        <v/>
      </c>
      <c r="AE323" s="142">
        <f>IFERROR(CHOOSE(MATCH(IF($E323="","Основний",$E323),{"Трафіковий","Основний","Маржинальний","Сезонний","Стратегічний"},0),Settings!$H$78,Settings!$H$80,Settings!$H$82,Settings!$H$84,Settings!$H$86)+(1-(CHOOSE(MATCH(IF($E323="","Основний",$E323),{"Трафіковий","Основний","Маржинальний","Сезонний","Стратегічний"},0),Settings!$H$78,Settings!$H$80,Settings!$H$82,Settings!$H$84,Settings!$H$86)))*Settings!$H$68,"")</f>
        <v/>
      </c>
      <c r="AF323" s="148">
        <f>IFERROR((AD323*(1-Settings!$H$17)-C323)/(AD323*(1-Settings!$H$17)),"")</f>
        <v/>
      </c>
      <c r="AG323" s="150">
        <f>IFERROR(IF(AD323="","",IF(AD323&gt;=C323/(1-SKU_Base!AF323)/(1-Settings!$H$17),"OK",IF(AD323&gt;=C323/(1-SKU_Base!AM323)/(1-Settings!$H$17),"WARN","STOP"))),"")</f>
        <v/>
      </c>
    </row>
    <row r="324" ht="17" customHeight="1" s="179">
      <c r="A324" s="139">
        <f>SKU_Base!B324</f>
        <v/>
      </c>
      <c r="B324" s="139">
        <f>SKU_Base!C324</f>
        <v/>
      </c>
      <c r="C324" s="140">
        <f>IFERROR(SKU_Base!I324,"")</f>
        <v/>
      </c>
      <c r="D324" s="163">
        <f>IFERROR(SKU_Base!T324,"")</f>
        <v/>
      </c>
      <c r="E324" s="141">
        <f>IFERROR(SKU_Base!$U324,"")</f>
        <v/>
      </c>
      <c r="F324" s="158">
        <f>IFERROR(ROUND(D324*(1-CHOOSE(MATCH(IF($E324="","Основний",$E324),{"Трафіковий","Основний","Маржинальний","Сезонний","Стратегічний"},0),Settings!$B$78,Settings!$B$80,Settings!$B$82,Settings!$B$84,Settings!$B$86))/6,2)*6,"")</f>
        <v/>
      </c>
      <c r="G324" s="142">
        <f>IFERROR(CHOOSE(MATCH(IF($E324="","Основний",$E324),{"Трафіковий","Основний","Маржинальний","Сезонний","Стратегічний"},0),Settings!$B$78,Settings!$B$80,Settings!$B$82,Settings!$B$84,Settings!$B$86),"")</f>
        <v/>
      </c>
      <c r="H324" s="143">
        <f>IFERROR((F324*(1-Settings!$B$17)-C324)/(F324*(1-Settings!$B$17)),"")</f>
        <v/>
      </c>
      <c r="I324" s="149">
        <f>IFERROR(IF(F324="","",IF(F324&gt;=C324/(1-SKU_Base!Z324)/(1-Settings!$B$17),"OK",IF(F324&gt;=C324/(1-SKU_Base!AG324)/(1-Settings!$B$17),"WARN","STOP"))),"")</f>
        <v/>
      </c>
      <c r="J324" s="158">
        <f>IFERROR(ROUND(D324*(1-CHOOSE(MATCH(IF($E324="","Основний",$E324),{"Трафіковий","Основний","Маржинальний","Сезонний","Стратегічний"},0),Settings!$C$78,Settings!$C$80,Settings!$C$82,Settings!$C$84,Settings!$C$86))/6,2)*6,"")</f>
        <v/>
      </c>
      <c r="K324" s="142">
        <f>IFERROR(CHOOSE(MATCH(IF($E324="","Основний",$E324),{"Трафіковий","Основний","Маржинальний","Сезонний","Стратегічний"},0),Settings!$C$78,Settings!$C$80,Settings!$C$82,Settings!$C$84,Settings!$C$86),"")</f>
        <v/>
      </c>
      <c r="L324" s="143">
        <f>IFERROR((J324*(1-Settings!$C$17)-C324)/(J324*(1-Settings!$C$17)),"")</f>
        <v/>
      </c>
      <c r="M324" s="149">
        <f>IFERROR(IF(J324="","",IF(J324&gt;=C324/(1-SKU_Base!AA324)/(1-Settings!$C$17),"OK",IF(J324&gt;=C324/(1-SKU_Base!AH324)/(1-Settings!$C$17),"WARN","STOP"))),"")</f>
        <v/>
      </c>
      <c r="N324" s="159">
        <f>IFERROR(ROUND(D324*(1-CHOOSE(MATCH(IF($E324="","Основний",$E324),{"Трафіковий","Основний","Маржинальний","Сезонний","Стратегічний"},0),Settings!$D$78,Settings!$D$80,Settings!$D$82,Settings!$D$84,Settings!$D$86))/6,2)*6,"")</f>
        <v/>
      </c>
      <c r="O324" s="142">
        <f>IFERROR(CHOOSE(MATCH(IF($E324="","Основний",$E324),{"Трафіковий","Основний","Маржинальний","Сезонний","Стратегічний"},0),Settings!$D$78,Settings!$D$80,Settings!$D$82,Settings!$D$84,Settings!$D$86),"")</f>
        <v/>
      </c>
      <c r="P324" s="143">
        <f>IFERROR((N324*(1-Settings!$D$17)-C324)/(N324*(1-Settings!$D$17)),"")</f>
        <v/>
      </c>
      <c r="Q324" s="149">
        <f>IFERROR(IF(N324="","",IF(N324&gt;=C324/(1-SKU_Base!AB324)/(1-Settings!$D$17),"OK",IF(N324&gt;=C324/(1-SKU_Base!AI324)/(1-Settings!$D$17),"WARN","STOP"))),"")</f>
        <v/>
      </c>
      <c r="R324" s="159">
        <f>IFERROR(ROUND(D324*(1-CHOOSE(MATCH(IF($E324="","Основний",$E324),{"Трафіковий","Основний","Маржинальний","Сезонний","Стратегічний"},0),Settings!$E$78,Settings!$E$80,Settings!$E$82,Settings!$E$84,Settings!$E$86))/6,2)*6,"")</f>
        <v/>
      </c>
      <c r="S324" s="142">
        <f>IFERROR(CHOOSE(MATCH(IF($E324="","Основний",$E324),{"Трафіковий","Основний","Маржинальний","Сезонний","Стратегічний"},0),Settings!$E$78,Settings!$E$80,Settings!$E$82,Settings!$E$84,Settings!$E$86),"")</f>
        <v/>
      </c>
      <c r="T324" s="143">
        <f>IFERROR((R324*(1-Settings!$E$17)-C324)/(R324*(1-Settings!$E$17)),"")</f>
        <v/>
      </c>
      <c r="U324" s="149">
        <f>IFERROR(IF(R324="","",IF(R324&gt;=C324/(1-SKU_Base!AC324)/(1-Settings!$E$17),"OK",IF(R324&gt;=C324/(1-SKU_Base!AJ324)/(1-Settings!$E$17),"WARN","STOP"))),"")</f>
        <v/>
      </c>
      <c r="V324" s="159">
        <f>IFERROR(ROUND(D324*(1-CHOOSE(MATCH(IF($E324="","Основний",$E324),{"Трафіковий","Основний","Маржинальний","Сезонний","Стратегічний"},0),Settings!$F$78,Settings!$F$80,Settings!$F$82,Settings!$F$84,Settings!$F$86))/6,2)*6,"")</f>
        <v/>
      </c>
      <c r="W324" s="142">
        <f>IFERROR(CHOOSE(MATCH(IF($E324="","Основний",$E324),{"Трафіковий","Основний","Маржинальний","Сезонний","Стратегічний"},0),Settings!$F$78,Settings!$F$80,Settings!$F$82,Settings!$F$84,Settings!$F$86),"")</f>
        <v/>
      </c>
      <c r="X324" s="143">
        <f>IFERROR((V324*(1-Settings!$F$17)-C324)/(V324*(1-Settings!$F$17)),"")</f>
        <v/>
      </c>
      <c r="Y324" s="149">
        <f>IFERROR(IF(V324="","",IF(V324&gt;=C324/(1-SKU_Base!AD324)/(1-Settings!$F$17),"OK",IF(V324&gt;=C324/(1-SKU_Base!AK324)/(1-Settings!$F$17),"WARN","STOP"))),"")</f>
        <v/>
      </c>
      <c r="Z324" s="159">
        <f>IFERROR(ROUND(D324*(1-CHOOSE(MATCH(IF($E324="","Основний",$E324),{"Трафіковий","Основний","Маржинальний","Сезонний","Стратегічний"},0),Settings!$G$78,Settings!$G$80,Settings!$G$82,Settings!$G$84,Settings!$G$86))/6,2)*6,"")</f>
        <v/>
      </c>
      <c r="AA324" s="142">
        <f>IFERROR(CHOOSE(MATCH(IF($E324="","Основний",$E324),{"Трафіковий","Основний","Маржинальний","Сезонний","Стратегічний"},0),Settings!$G$78,Settings!$G$80,Settings!$G$82,Settings!$G$84,Settings!$G$86),"")</f>
        <v/>
      </c>
      <c r="AB324" s="143">
        <f>IFERROR((Z324*(1-Settings!$G$17)-C324)/(Z324*(1-Settings!$G$17)),"")</f>
        <v/>
      </c>
      <c r="AC324" s="149">
        <f>IFERROR(IF(Z324="","",IF(Z324&gt;=C324/(1-SKU_Base!AE324)/(1-Settings!$G$17),"OK",IF(Z324&gt;=C324/(1-SKU_Base!AL324)/(1-Settings!$G$17),"WARN","STOP"))),"")</f>
        <v/>
      </c>
      <c r="AD324" s="159">
        <f>IFERROR(ROUND(D324*(1-CHOOSE(MATCH(IF($E324="","Основний",$E324),{"Трафіковий","Основний","Маржинальний","Сезонний","Стратегічний"},0),Settings!$H$78,Settings!$H$80,Settings!$H$82,Settings!$H$84,Settings!$H$86))*(1-Settings!$H$68)/6,2)*6,"")</f>
        <v/>
      </c>
      <c r="AE324" s="142">
        <f>IFERROR(CHOOSE(MATCH(IF($E324="","Основний",$E324),{"Трафіковий","Основний","Маржинальний","Сезонний","Стратегічний"},0),Settings!$H$78,Settings!$H$80,Settings!$H$82,Settings!$H$84,Settings!$H$86)+(1-(CHOOSE(MATCH(IF($E324="","Основний",$E324),{"Трафіковий","Основний","Маржинальний","Сезонний","Стратегічний"},0),Settings!$H$78,Settings!$H$80,Settings!$H$82,Settings!$H$84,Settings!$H$86)))*Settings!$H$68,"")</f>
        <v/>
      </c>
      <c r="AF324" s="143">
        <f>IFERROR((AD324*(1-Settings!$H$17)-C324)/(AD324*(1-Settings!$H$17)),"")</f>
        <v/>
      </c>
      <c r="AG324" s="149">
        <f>IFERROR(IF(AD324="","",IF(AD324&gt;=C324/(1-SKU_Base!AF324)/(1-Settings!$H$17),"OK",IF(AD324&gt;=C324/(1-SKU_Base!AM324)/(1-Settings!$H$17),"WARN","STOP"))),"")</f>
        <v/>
      </c>
    </row>
    <row r="325" ht="17" customHeight="1" s="179">
      <c r="A325" s="146">
        <f>SKU_Base!B325</f>
        <v/>
      </c>
      <c r="B325" s="146">
        <f>SKU_Base!C325</f>
        <v/>
      </c>
      <c r="C325" s="147">
        <f>IFERROR(SKU_Base!I325,"")</f>
        <v/>
      </c>
      <c r="D325" s="164">
        <f>IFERROR(SKU_Base!T325,"")</f>
        <v/>
      </c>
      <c r="E325" s="141">
        <f>IFERROR(SKU_Base!$U325,"")</f>
        <v/>
      </c>
      <c r="F325" s="160">
        <f>IFERROR(ROUND(D325*(1-CHOOSE(MATCH(IF($E325="","Основний",$E325),{"Трафіковий","Основний","Маржинальний","Сезонний","Стратегічний"},0),Settings!$B$78,Settings!$B$80,Settings!$B$82,Settings!$B$84,Settings!$B$86))/6,2)*6,"")</f>
        <v/>
      </c>
      <c r="G325" s="142">
        <f>IFERROR(CHOOSE(MATCH(IF($E325="","Основний",$E325),{"Трафіковий","Основний","Маржинальний","Сезонний","Стратегічний"},0),Settings!$B$78,Settings!$B$80,Settings!$B$82,Settings!$B$84,Settings!$B$86),"")</f>
        <v/>
      </c>
      <c r="H325" s="148">
        <f>IFERROR((F325*(1-Settings!$B$17)-C325)/(F325*(1-Settings!$B$17)),"")</f>
        <v/>
      </c>
      <c r="I325" s="149">
        <f>IFERROR(IF(F325="","",IF(F325&gt;=C325/(1-SKU_Base!Z325)/(1-Settings!$B$17),"OK",IF(F325&gt;=C325/(1-SKU_Base!AG325)/(1-Settings!$B$17),"WARN","STOP"))),"")</f>
        <v/>
      </c>
      <c r="J325" s="160">
        <f>IFERROR(ROUND(D325*(1-CHOOSE(MATCH(IF($E325="","Основний",$E325),{"Трафіковий","Основний","Маржинальний","Сезонний","Стратегічний"},0),Settings!$C$78,Settings!$C$80,Settings!$C$82,Settings!$C$84,Settings!$C$86))/6,2)*6,"")</f>
        <v/>
      </c>
      <c r="K325" s="142">
        <f>IFERROR(CHOOSE(MATCH(IF($E325="","Основний",$E325),{"Трафіковий","Основний","Маржинальний","Сезонний","Стратегічний"},0),Settings!$C$78,Settings!$C$80,Settings!$C$82,Settings!$C$84,Settings!$C$86),"")</f>
        <v/>
      </c>
      <c r="L325" s="148">
        <f>IFERROR((J325*(1-Settings!$C$17)-C325)/(J325*(1-Settings!$C$17)),"")</f>
        <v/>
      </c>
      <c r="M325" s="149">
        <f>IFERROR(IF(J325="","",IF(J325&gt;=C325/(1-SKU_Base!AA325)/(1-Settings!$C$17),"OK",IF(J325&gt;=C325/(1-SKU_Base!AH325)/(1-Settings!$C$17),"WARN","STOP"))),"")</f>
        <v/>
      </c>
      <c r="N325" s="161">
        <f>IFERROR(ROUND(D325*(1-CHOOSE(MATCH(IF($E325="","Основний",$E325),{"Трафіковий","Основний","Маржинальний","Сезонний","Стратегічний"},0),Settings!$D$78,Settings!$D$80,Settings!$D$82,Settings!$D$84,Settings!$D$86))/6,2)*6,"")</f>
        <v/>
      </c>
      <c r="O325" s="142">
        <f>IFERROR(CHOOSE(MATCH(IF($E325="","Основний",$E325),{"Трафіковий","Основний","Маржинальний","Сезонний","Стратегічний"},0),Settings!$D$78,Settings!$D$80,Settings!$D$82,Settings!$D$84,Settings!$D$86),"")</f>
        <v/>
      </c>
      <c r="P325" s="148">
        <f>IFERROR((N325*(1-Settings!$D$17)-C325)/(N325*(1-Settings!$D$17)),"")</f>
        <v/>
      </c>
      <c r="Q325" s="149">
        <f>IFERROR(IF(N325="","",IF(N325&gt;=C325/(1-SKU_Base!AB325)/(1-Settings!$D$17),"OK",IF(N325&gt;=C325/(1-SKU_Base!AI325)/(1-Settings!$D$17),"WARN","STOP"))),"")</f>
        <v/>
      </c>
      <c r="R325" s="161">
        <f>IFERROR(ROUND(D325*(1-CHOOSE(MATCH(IF($E325="","Основний",$E325),{"Трафіковий","Основний","Маржинальний","Сезонний","Стратегічний"},0),Settings!$E$78,Settings!$E$80,Settings!$E$82,Settings!$E$84,Settings!$E$86))/6,2)*6,"")</f>
        <v/>
      </c>
      <c r="S325" s="142">
        <f>IFERROR(CHOOSE(MATCH(IF($E325="","Основний",$E325),{"Трафіковий","Основний","Маржинальний","Сезонний","Стратегічний"},0),Settings!$E$78,Settings!$E$80,Settings!$E$82,Settings!$E$84,Settings!$E$86),"")</f>
        <v/>
      </c>
      <c r="T325" s="148">
        <f>IFERROR((R325*(1-Settings!$E$17)-C325)/(R325*(1-Settings!$E$17)),"")</f>
        <v/>
      </c>
      <c r="U325" s="149">
        <f>IFERROR(IF(R325="","",IF(R325&gt;=C325/(1-SKU_Base!AC325)/(1-Settings!$E$17),"OK",IF(R325&gt;=C325/(1-SKU_Base!AJ325)/(1-Settings!$E$17),"WARN","STOP"))),"")</f>
        <v/>
      </c>
      <c r="V325" s="161">
        <f>IFERROR(ROUND(D325*(1-CHOOSE(MATCH(IF($E325="","Основний",$E325),{"Трафіковий","Основний","Маржинальний","Сезонний","Стратегічний"},0),Settings!$F$78,Settings!$F$80,Settings!$F$82,Settings!$F$84,Settings!$F$86))/6,2)*6,"")</f>
        <v/>
      </c>
      <c r="W325" s="142">
        <f>IFERROR(CHOOSE(MATCH(IF($E325="","Основний",$E325),{"Трафіковий","Основний","Маржинальний","Сезонний","Стратегічний"},0),Settings!$F$78,Settings!$F$80,Settings!$F$82,Settings!$F$84,Settings!$F$86),"")</f>
        <v/>
      </c>
      <c r="X325" s="148">
        <f>IFERROR((V325*(1-Settings!$F$17)-C325)/(V325*(1-Settings!$F$17)),"")</f>
        <v/>
      </c>
      <c r="Y325" s="149">
        <f>IFERROR(IF(V325="","",IF(V325&gt;=C325/(1-SKU_Base!AD325)/(1-Settings!$F$17),"OK",IF(V325&gt;=C325/(1-SKU_Base!AK325)/(1-Settings!$F$17),"WARN","STOP"))),"")</f>
        <v/>
      </c>
      <c r="Z325" s="161">
        <f>IFERROR(ROUND(D325*(1-CHOOSE(MATCH(IF($E325="","Основний",$E325),{"Трафіковий","Основний","Маржинальний","Сезонний","Стратегічний"},0),Settings!$G$78,Settings!$G$80,Settings!$G$82,Settings!$G$84,Settings!$G$86))/6,2)*6,"")</f>
        <v/>
      </c>
      <c r="AA325" s="142">
        <f>IFERROR(CHOOSE(MATCH(IF($E325="","Основний",$E325),{"Трафіковий","Основний","Маржинальний","Сезонний","Стратегічний"},0),Settings!$G$78,Settings!$G$80,Settings!$G$82,Settings!$G$84,Settings!$G$86),"")</f>
        <v/>
      </c>
      <c r="AB325" s="148">
        <f>IFERROR((Z325*(1-Settings!$G$17)-C325)/(Z325*(1-Settings!$G$17)),"")</f>
        <v/>
      </c>
      <c r="AC325" s="149">
        <f>IFERROR(IF(Z325="","",IF(Z325&gt;=C325/(1-SKU_Base!AE325)/(1-Settings!$G$17),"OK",IF(Z325&gt;=C325/(1-SKU_Base!AL325)/(1-Settings!$G$17),"WARN","STOP"))),"")</f>
        <v/>
      </c>
      <c r="AD325" s="161">
        <f>IFERROR(ROUND(D325*(1-CHOOSE(MATCH(IF($E325="","Основний",$E325),{"Трафіковий","Основний","Маржинальний","Сезонний","Стратегічний"},0),Settings!$H$78,Settings!$H$80,Settings!$H$82,Settings!$H$84,Settings!$H$86))*(1-Settings!$H$68)/6,2)*6,"")</f>
        <v/>
      </c>
      <c r="AE325" s="142">
        <f>IFERROR(CHOOSE(MATCH(IF($E325="","Основний",$E325),{"Трафіковий","Основний","Маржинальний","Сезонний","Стратегічний"},0),Settings!$H$78,Settings!$H$80,Settings!$H$82,Settings!$H$84,Settings!$H$86)+(1-(CHOOSE(MATCH(IF($E325="","Основний",$E325),{"Трафіковий","Основний","Маржинальний","Сезонний","Стратегічний"},0),Settings!$H$78,Settings!$H$80,Settings!$H$82,Settings!$H$84,Settings!$H$86)))*Settings!$H$68,"")</f>
        <v/>
      </c>
      <c r="AF325" s="148">
        <f>IFERROR((AD325*(1-Settings!$H$17)-C325)/(AD325*(1-Settings!$H$17)),"")</f>
        <v/>
      </c>
      <c r="AG325" s="150">
        <f>IFERROR(IF(AD325="","",IF(AD325&gt;=C325/(1-SKU_Base!AF325)/(1-Settings!$H$17),"OK",IF(AD325&gt;=C325/(1-SKU_Base!AM325)/(1-Settings!$H$17),"WARN","STOP"))),"")</f>
        <v/>
      </c>
    </row>
    <row r="326" ht="17" customHeight="1" s="179">
      <c r="A326" s="139">
        <f>SKU_Base!B326</f>
        <v/>
      </c>
      <c r="B326" s="139">
        <f>SKU_Base!C326</f>
        <v/>
      </c>
      <c r="C326" s="140">
        <f>IFERROR(SKU_Base!I326,"")</f>
        <v/>
      </c>
      <c r="D326" s="163">
        <f>IFERROR(SKU_Base!T326,"")</f>
        <v/>
      </c>
      <c r="E326" s="141">
        <f>IFERROR(SKU_Base!$U326,"")</f>
        <v/>
      </c>
      <c r="F326" s="158">
        <f>IFERROR(ROUND(D326*(1-CHOOSE(MATCH(IF($E326="","Основний",$E326),{"Трафіковий","Основний","Маржинальний","Сезонний","Стратегічний"},0),Settings!$B$78,Settings!$B$80,Settings!$B$82,Settings!$B$84,Settings!$B$86))/6,2)*6,"")</f>
        <v/>
      </c>
      <c r="G326" s="142">
        <f>IFERROR(CHOOSE(MATCH(IF($E326="","Основний",$E326),{"Трафіковий","Основний","Маржинальний","Сезонний","Стратегічний"},0),Settings!$B$78,Settings!$B$80,Settings!$B$82,Settings!$B$84,Settings!$B$86),"")</f>
        <v/>
      </c>
      <c r="H326" s="143">
        <f>IFERROR((F326*(1-Settings!$B$17)-C326)/(F326*(1-Settings!$B$17)),"")</f>
        <v/>
      </c>
      <c r="I326" s="149">
        <f>IFERROR(IF(F326="","",IF(F326&gt;=C326/(1-SKU_Base!Z326)/(1-Settings!$B$17),"OK",IF(F326&gt;=C326/(1-SKU_Base!AG326)/(1-Settings!$B$17),"WARN","STOP"))),"")</f>
        <v/>
      </c>
      <c r="J326" s="158">
        <f>IFERROR(ROUND(D326*(1-CHOOSE(MATCH(IF($E326="","Основний",$E326),{"Трафіковий","Основний","Маржинальний","Сезонний","Стратегічний"},0),Settings!$C$78,Settings!$C$80,Settings!$C$82,Settings!$C$84,Settings!$C$86))/6,2)*6,"")</f>
        <v/>
      </c>
      <c r="K326" s="142">
        <f>IFERROR(CHOOSE(MATCH(IF($E326="","Основний",$E326),{"Трафіковий","Основний","Маржинальний","Сезонний","Стратегічний"},0),Settings!$C$78,Settings!$C$80,Settings!$C$82,Settings!$C$84,Settings!$C$86),"")</f>
        <v/>
      </c>
      <c r="L326" s="143">
        <f>IFERROR((J326*(1-Settings!$C$17)-C326)/(J326*(1-Settings!$C$17)),"")</f>
        <v/>
      </c>
      <c r="M326" s="149">
        <f>IFERROR(IF(J326="","",IF(J326&gt;=C326/(1-SKU_Base!AA326)/(1-Settings!$C$17),"OK",IF(J326&gt;=C326/(1-SKU_Base!AH326)/(1-Settings!$C$17),"WARN","STOP"))),"")</f>
        <v/>
      </c>
      <c r="N326" s="159">
        <f>IFERROR(ROUND(D326*(1-CHOOSE(MATCH(IF($E326="","Основний",$E326),{"Трафіковий","Основний","Маржинальний","Сезонний","Стратегічний"},0),Settings!$D$78,Settings!$D$80,Settings!$D$82,Settings!$D$84,Settings!$D$86))/6,2)*6,"")</f>
        <v/>
      </c>
      <c r="O326" s="142">
        <f>IFERROR(CHOOSE(MATCH(IF($E326="","Основний",$E326),{"Трафіковий","Основний","Маржинальний","Сезонний","Стратегічний"},0),Settings!$D$78,Settings!$D$80,Settings!$D$82,Settings!$D$84,Settings!$D$86),"")</f>
        <v/>
      </c>
      <c r="P326" s="143">
        <f>IFERROR((N326*(1-Settings!$D$17)-C326)/(N326*(1-Settings!$D$17)),"")</f>
        <v/>
      </c>
      <c r="Q326" s="149">
        <f>IFERROR(IF(N326="","",IF(N326&gt;=C326/(1-SKU_Base!AB326)/(1-Settings!$D$17),"OK",IF(N326&gt;=C326/(1-SKU_Base!AI326)/(1-Settings!$D$17),"WARN","STOP"))),"")</f>
        <v/>
      </c>
      <c r="R326" s="159">
        <f>IFERROR(ROUND(D326*(1-CHOOSE(MATCH(IF($E326="","Основний",$E326),{"Трафіковий","Основний","Маржинальний","Сезонний","Стратегічний"},0),Settings!$E$78,Settings!$E$80,Settings!$E$82,Settings!$E$84,Settings!$E$86))/6,2)*6,"")</f>
        <v/>
      </c>
      <c r="S326" s="142">
        <f>IFERROR(CHOOSE(MATCH(IF($E326="","Основний",$E326),{"Трафіковий","Основний","Маржинальний","Сезонний","Стратегічний"},0),Settings!$E$78,Settings!$E$80,Settings!$E$82,Settings!$E$84,Settings!$E$86),"")</f>
        <v/>
      </c>
      <c r="T326" s="143">
        <f>IFERROR((R326*(1-Settings!$E$17)-C326)/(R326*(1-Settings!$E$17)),"")</f>
        <v/>
      </c>
      <c r="U326" s="149">
        <f>IFERROR(IF(R326="","",IF(R326&gt;=C326/(1-SKU_Base!AC326)/(1-Settings!$E$17),"OK",IF(R326&gt;=C326/(1-SKU_Base!AJ326)/(1-Settings!$E$17),"WARN","STOP"))),"")</f>
        <v/>
      </c>
      <c r="V326" s="159">
        <f>IFERROR(ROUND(D326*(1-CHOOSE(MATCH(IF($E326="","Основний",$E326),{"Трафіковий","Основний","Маржинальний","Сезонний","Стратегічний"},0),Settings!$F$78,Settings!$F$80,Settings!$F$82,Settings!$F$84,Settings!$F$86))/6,2)*6,"")</f>
        <v/>
      </c>
      <c r="W326" s="142">
        <f>IFERROR(CHOOSE(MATCH(IF($E326="","Основний",$E326),{"Трафіковий","Основний","Маржинальний","Сезонний","Стратегічний"},0),Settings!$F$78,Settings!$F$80,Settings!$F$82,Settings!$F$84,Settings!$F$86),"")</f>
        <v/>
      </c>
      <c r="X326" s="143">
        <f>IFERROR((V326*(1-Settings!$F$17)-C326)/(V326*(1-Settings!$F$17)),"")</f>
        <v/>
      </c>
      <c r="Y326" s="149">
        <f>IFERROR(IF(V326="","",IF(V326&gt;=C326/(1-SKU_Base!AD326)/(1-Settings!$F$17),"OK",IF(V326&gt;=C326/(1-SKU_Base!AK326)/(1-Settings!$F$17),"WARN","STOP"))),"")</f>
        <v/>
      </c>
      <c r="Z326" s="159">
        <f>IFERROR(ROUND(D326*(1-CHOOSE(MATCH(IF($E326="","Основний",$E326),{"Трафіковий","Основний","Маржинальний","Сезонний","Стратегічний"},0),Settings!$G$78,Settings!$G$80,Settings!$G$82,Settings!$G$84,Settings!$G$86))/6,2)*6,"")</f>
        <v/>
      </c>
      <c r="AA326" s="142">
        <f>IFERROR(CHOOSE(MATCH(IF($E326="","Основний",$E326),{"Трафіковий","Основний","Маржинальний","Сезонний","Стратегічний"},0),Settings!$G$78,Settings!$G$80,Settings!$G$82,Settings!$G$84,Settings!$G$86),"")</f>
        <v/>
      </c>
      <c r="AB326" s="143">
        <f>IFERROR((Z326*(1-Settings!$G$17)-C326)/(Z326*(1-Settings!$G$17)),"")</f>
        <v/>
      </c>
      <c r="AC326" s="149">
        <f>IFERROR(IF(Z326="","",IF(Z326&gt;=C326/(1-SKU_Base!AE326)/(1-Settings!$G$17),"OK",IF(Z326&gt;=C326/(1-SKU_Base!AL326)/(1-Settings!$G$17),"WARN","STOP"))),"")</f>
        <v/>
      </c>
      <c r="AD326" s="159">
        <f>IFERROR(ROUND(D326*(1-CHOOSE(MATCH(IF($E326="","Основний",$E326),{"Трафіковий","Основний","Маржинальний","Сезонний","Стратегічний"},0),Settings!$H$78,Settings!$H$80,Settings!$H$82,Settings!$H$84,Settings!$H$86))*(1-Settings!$H$68)/6,2)*6,"")</f>
        <v/>
      </c>
      <c r="AE326" s="142">
        <f>IFERROR(CHOOSE(MATCH(IF($E326="","Основний",$E326),{"Трафіковий","Основний","Маржинальний","Сезонний","Стратегічний"},0),Settings!$H$78,Settings!$H$80,Settings!$H$82,Settings!$H$84,Settings!$H$86)+(1-(CHOOSE(MATCH(IF($E326="","Основний",$E326),{"Трафіковий","Основний","Маржинальний","Сезонний","Стратегічний"},0),Settings!$H$78,Settings!$H$80,Settings!$H$82,Settings!$H$84,Settings!$H$86)))*Settings!$H$68,"")</f>
        <v/>
      </c>
      <c r="AF326" s="143">
        <f>IFERROR((AD326*(1-Settings!$H$17)-C326)/(AD326*(1-Settings!$H$17)),"")</f>
        <v/>
      </c>
      <c r="AG326" s="150">
        <f>IFERROR(IF(AD326="","",IF(AD326&gt;=C326/(1-SKU_Base!AF326)/(1-Settings!$H$17),"OK",IF(AD326&gt;=C326/(1-SKU_Base!AM326)/(1-Settings!$H$17),"WARN","STOP"))),"")</f>
        <v/>
      </c>
    </row>
    <row r="327" ht="17" customHeight="1" s="179">
      <c r="A327" s="146">
        <f>SKU_Base!B327</f>
        <v/>
      </c>
      <c r="B327" s="146">
        <f>SKU_Base!C327</f>
        <v/>
      </c>
      <c r="C327" s="147">
        <f>IFERROR(SKU_Base!I327,"")</f>
        <v/>
      </c>
      <c r="D327" s="164">
        <f>IFERROR(SKU_Base!T327,"")</f>
        <v/>
      </c>
      <c r="E327" s="141">
        <f>IFERROR(SKU_Base!$U327,"")</f>
        <v/>
      </c>
      <c r="F327" s="160">
        <f>IFERROR(ROUND(D327*(1-CHOOSE(MATCH(IF($E327="","Основний",$E327),{"Трафіковий","Основний","Маржинальний","Сезонний","Стратегічний"},0),Settings!$B$78,Settings!$B$80,Settings!$B$82,Settings!$B$84,Settings!$B$86))/6,2)*6,"")</f>
        <v/>
      </c>
      <c r="G327" s="142">
        <f>IFERROR(CHOOSE(MATCH(IF($E327="","Основний",$E327),{"Трафіковий","Основний","Маржинальний","Сезонний","Стратегічний"},0),Settings!$B$78,Settings!$B$80,Settings!$B$82,Settings!$B$84,Settings!$B$86),"")</f>
        <v/>
      </c>
      <c r="H327" s="148">
        <f>IFERROR((F327*(1-Settings!$B$17)-C327)/(F327*(1-Settings!$B$17)),"")</f>
        <v/>
      </c>
      <c r="I327" s="149">
        <f>IFERROR(IF(F327="","",IF(F327&gt;=C327/(1-SKU_Base!Z327)/(1-Settings!$B$17),"OK",IF(F327&gt;=C327/(1-SKU_Base!AG327)/(1-Settings!$B$17),"WARN","STOP"))),"")</f>
        <v/>
      </c>
      <c r="J327" s="160">
        <f>IFERROR(ROUND(D327*(1-CHOOSE(MATCH(IF($E327="","Основний",$E327),{"Трафіковий","Основний","Маржинальний","Сезонний","Стратегічний"},0),Settings!$C$78,Settings!$C$80,Settings!$C$82,Settings!$C$84,Settings!$C$86))/6,2)*6,"")</f>
        <v/>
      </c>
      <c r="K327" s="142">
        <f>IFERROR(CHOOSE(MATCH(IF($E327="","Основний",$E327),{"Трафіковий","Основний","Маржинальний","Сезонний","Стратегічний"},0),Settings!$C$78,Settings!$C$80,Settings!$C$82,Settings!$C$84,Settings!$C$86),"")</f>
        <v/>
      </c>
      <c r="L327" s="148">
        <f>IFERROR((J327*(1-Settings!$C$17)-C327)/(J327*(1-Settings!$C$17)),"")</f>
        <v/>
      </c>
      <c r="M327" s="149">
        <f>IFERROR(IF(J327="","",IF(J327&gt;=C327/(1-SKU_Base!AA327)/(1-Settings!$C$17),"OK",IF(J327&gt;=C327/(1-SKU_Base!AH327)/(1-Settings!$C$17),"WARN","STOP"))),"")</f>
        <v/>
      </c>
      <c r="N327" s="161">
        <f>IFERROR(ROUND(D327*(1-CHOOSE(MATCH(IF($E327="","Основний",$E327),{"Трафіковий","Основний","Маржинальний","Сезонний","Стратегічний"},0),Settings!$D$78,Settings!$D$80,Settings!$D$82,Settings!$D$84,Settings!$D$86))/6,2)*6,"")</f>
        <v/>
      </c>
      <c r="O327" s="142">
        <f>IFERROR(CHOOSE(MATCH(IF($E327="","Основний",$E327),{"Трафіковий","Основний","Маржинальний","Сезонний","Стратегічний"},0),Settings!$D$78,Settings!$D$80,Settings!$D$82,Settings!$D$84,Settings!$D$86),"")</f>
        <v/>
      </c>
      <c r="P327" s="148">
        <f>IFERROR((N327*(1-Settings!$D$17)-C327)/(N327*(1-Settings!$D$17)),"")</f>
        <v/>
      </c>
      <c r="Q327" s="149">
        <f>IFERROR(IF(N327="","",IF(N327&gt;=C327/(1-SKU_Base!AB327)/(1-Settings!$D$17),"OK",IF(N327&gt;=C327/(1-SKU_Base!AI327)/(1-Settings!$D$17),"WARN","STOP"))),"")</f>
        <v/>
      </c>
      <c r="R327" s="161">
        <f>IFERROR(ROUND(D327*(1-CHOOSE(MATCH(IF($E327="","Основний",$E327),{"Трафіковий","Основний","Маржинальний","Сезонний","Стратегічний"},0),Settings!$E$78,Settings!$E$80,Settings!$E$82,Settings!$E$84,Settings!$E$86))/6,2)*6,"")</f>
        <v/>
      </c>
      <c r="S327" s="142">
        <f>IFERROR(CHOOSE(MATCH(IF($E327="","Основний",$E327),{"Трафіковий","Основний","Маржинальний","Сезонний","Стратегічний"},0),Settings!$E$78,Settings!$E$80,Settings!$E$82,Settings!$E$84,Settings!$E$86),"")</f>
        <v/>
      </c>
      <c r="T327" s="148">
        <f>IFERROR((R327*(1-Settings!$E$17)-C327)/(R327*(1-Settings!$E$17)),"")</f>
        <v/>
      </c>
      <c r="U327" s="149">
        <f>IFERROR(IF(R327="","",IF(R327&gt;=C327/(1-SKU_Base!AC327)/(1-Settings!$E$17),"OK",IF(R327&gt;=C327/(1-SKU_Base!AJ327)/(1-Settings!$E$17),"WARN","STOP"))),"")</f>
        <v/>
      </c>
      <c r="V327" s="161">
        <f>IFERROR(ROUND(D327*(1-CHOOSE(MATCH(IF($E327="","Основний",$E327),{"Трафіковий","Основний","Маржинальний","Сезонний","Стратегічний"},0),Settings!$F$78,Settings!$F$80,Settings!$F$82,Settings!$F$84,Settings!$F$86))/6,2)*6,"")</f>
        <v/>
      </c>
      <c r="W327" s="142">
        <f>IFERROR(CHOOSE(MATCH(IF($E327="","Основний",$E327),{"Трафіковий","Основний","Маржинальний","Сезонний","Стратегічний"},0),Settings!$F$78,Settings!$F$80,Settings!$F$82,Settings!$F$84,Settings!$F$86),"")</f>
        <v/>
      </c>
      <c r="X327" s="148">
        <f>IFERROR((V327*(1-Settings!$F$17)-C327)/(V327*(1-Settings!$F$17)),"")</f>
        <v/>
      </c>
      <c r="Y327" s="149">
        <f>IFERROR(IF(V327="","",IF(V327&gt;=C327/(1-SKU_Base!AD327)/(1-Settings!$F$17),"OK",IF(V327&gt;=C327/(1-SKU_Base!AK327)/(1-Settings!$F$17),"WARN","STOP"))),"")</f>
        <v/>
      </c>
      <c r="Z327" s="161">
        <f>IFERROR(ROUND(D327*(1-CHOOSE(MATCH(IF($E327="","Основний",$E327),{"Трафіковий","Основний","Маржинальний","Сезонний","Стратегічний"},0),Settings!$G$78,Settings!$G$80,Settings!$G$82,Settings!$G$84,Settings!$G$86))/6,2)*6,"")</f>
        <v/>
      </c>
      <c r="AA327" s="142">
        <f>IFERROR(CHOOSE(MATCH(IF($E327="","Основний",$E327),{"Трафіковий","Основний","Маржинальний","Сезонний","Стратегічний"},0),Settings!$G$78,Settings!$G$80,Settings!$G$82,Settings!$G$84,Settings!$G$86),"")</f>
        <v/>
      </c>
      <c r="AB327" s="148">
        <f>IFERROR((Z327*(1-Settings!$G$17)-C327)/(Z327*(1-Settings!$G$17)),"")</f>
        <v/>
      </c>
      <c r="AC327" s="149">
        <f>IFERROR(IF(Z327="","",IF(Z327&gt;=C327/(1-SKU_Base!AE327)/(1-Settings!$G$17),"OK",IF(Z327&gt;=C327/(1-SKU_Base!AL327)/(1-Settings!$G$17),"WARN","STOP"))),"")</f>
        <v/>
      </c>
      <c r="AD327" s="161">
        <f>IFERROR(ROUND(D327*(1-CHOOSE(MATCH(IF($E327="","Основний",$E327),{"Трафіковий","Основний","Маржинальний","Сезонний","Стратегічний"},0),Settings!$H$78,Settings!$H$80,Settings!$H$82,Settings!$H$84,Settings!$H$86))*(1-Settings!$H$68)/6,2)*6,"")</f>
        <v/>
      </c>
      <c r="AE327" s="142">
        <f>IFERROR(CHOOSE(MATCH(IF($E327="","Основний",$E327),{"Трафіковий","Основний","Маржинальний","Сезонний","Стратегічний"},0),Settings!$H$78,Settings!$H$80,Settings!$H$82,Settings!$H$84,Settings!$H$86)+(1-(CHOOSE(MATCH(IF($E327="","Основний",$E327),{"Трафіковий","Основний","Маржинальний","Сезонний","Стратегічний"},0),Settings!$H$78,Settings!$H$80,Settings!$H$82,Settings!$H$84,Settings!$H$86)))*Settings!$H$68,"")</f>
        <v/>
      </c>
      <c r="AF327" s="148">
        <f>IFERROR((AD327*(1-Settings!$H$17)-C327)/(AD327*(1-Settings!$H$17)),"")</f>
        <v/>
      </c>
      <c r="AG327" s="149">
        <f>IFERROR(IF(AD327="","",IF(AD327&gt;=C327/(1-SKU_Base!AF327)/(1-Settings!$H$17),"OK",IF(AD327&gt;=C327/(1-SKU_Base!AM327)/(1-Settings!$H$17),"WARN","STOP"))),"")</f>
        <v/>
      </c>
    </row>
    <row r="328" ht="17" customHeight="1" s="179">
      <c r="A328" s="139">
        <f>SKU_Base!B328</f>
        <v/>
      </c>
      <c r="B328" s="139">
        <f>SKU_Base!C328</f>
        <v/>
      </c>
      <c r="C328" s="140">
        <f>IFERROR(SKU_Base!I328,"")</f>
        <v/>
      </c>
      <c r="D328" s="163">
        <f>IFERROR(SKU_Base!T328,"")</f>
        <v/>
      </c>
      <c r="E328" s="141">
        <f>IFERROR(SKU_Base!$U328,"")</f>
        <v/>
      </c>
      <c r="F328" s="158">
        <f>IFERROR(ROUND(D328*(1-CHOOSE(MATCH(IF($E328="","Основний",$E328),{"Трафіковий","Основний","Маржинальний","Сезонний","Стратегічний"},0),Settings!$B$78,Settings!$B$80,Settings!$B$82,Settings!$B$84,Settings!$B$86))/6,2)*6,"")</f>
        <v/>
      </c>
      <c r="G328" s="142">
        <f>IFERROR(CHOOSE(MATCH(IF($E328="","Основний",$E328),{"Трафіковий","Основний","Маржинальний","Сезонний","Стратегічний"},0),Settings!$B$78,Settings!$B$80,Settings!$B$82,Settings!$B$84,Settings!$B$86),"")</f>
        <v/>
      </c>
      <c r="H328" s="143">
        <f>IFERROR((F328*(1-Settings!$B$17)-C328)/(F328*(1-Settings!$B$17)),"")</f>
        <v/>
      </c>
      <c r="I328" s="149">
        <f>IFERROR(IF(F328="","",IF(F328&gt;=C328/(1-SKU_Base!Z328)/(1-Settings!$B$17),"OK",IF(F328&gt;=C328/(1-SKU_Base!AG328)/(1-Settings!$B$17),"WARN","STOP"))),"")</f>
        <v/>
      </c>
      <c r="J328" s="158">
        <f>IFERROR(ROUND(D328*(1-CHOOSE(MATCH(IF($E328="","Основний",$E328),{"Трафіковий","Основний","Маржинальний","Сезонний","Стратегічний"},0),Settings!$C$78,Settings!$C$80,Settings!$C$82,Settings!$C$84,Settings!$C$86))/6,2)*6,"")</f>
        <v/>
      </c>
      <c r="K328" s="142">
        <f>IFERROR(CHOOSE(MATCH(IF($E328="","Основний",$E328),{"Трафіковий","Основний","Маржинальний","Сезонний","Стратегічний"},0),Settings!$C$78,Settings!$C$80,Settings!$C$82,Settings!$C$84,Settings!$C$86),"")</f>
        <v/>
      </c>
      <c r="L328" s="143">
        <f>IFERROR((J328*(1-Settings!$C$17)-C328)/(J328*(1-Settings!$C$17)),"")</f>
        <v/>
      </c>
      <c r="M328" s="149">
        <f>IFERROR(IF(J328="","",IF(J328&gt;=C328/(1-SKU_Base!AA328)/(1-Settings!$C$17),"OK",IF(J328&gt;=C328/(1-SKU_Base!AH328)/(1-Settings!$C$17),"WARN","STOP"))),"")</f>
        <v/>
      </c>
      <c r="N328" s="159">
        <f>IFERROR(ROUND(D328*(1-CHOOSE(MATCH(IF($E328="","Основний",$E328),{"Трафіковий","Основний","Маржинальний","Сезонний","Стратегічний"},0),Settings!$D$78,Settings!$D$80,Settings!$D$82,Settings!$D$84,Settings!$D$86))/6,2)*6,"")</f>
        <v/>
      </c>
      <c r="O328" s="142">
        <f>IFERROR(CHOOSE(MATCH(IF($E328="","Основний",$E328),{"Трафіковий","Основний","Маржинальний","Сезонний","Стратегічний"},0),Settings!$D$78,Settings!$D$80,Settings!$D$82,Settings!$D$84,Settings!$D$86),"")</f>
        <v/>
      </c>
      <c r="P328" s="143">
        <f>IFERROR((N328*(1-Settings!$D$17)-C328)/(N328*(1-Settings!$D$17)),"")</f>
        <v/>
      </c>
      <c r="Q328" s="149">
        <f>IFERROR(IF(N328="","",IF(N328&gt;=C328/(1-SKU_Base!AB328)/(1-Settings!$D$17),"OK",IF(N328&gt;=C328/(1-SKU_Base!AI328)/(1-Settings!$D$17),"WARN","STOP"))),"")</f>
        <v/>
      </c>
      <c r="R328" s="159">
        <f>IFERROR(ROUND(D328*(1-CHOOSE(MATCH(IF($E328="","Основний",$E328),{"Трафіковий","Основний","Маржинальний","Сезонний","Стратегічний"},0),Settings!$E$78,Settings!$E$80,Settings!$E$82,Settings!$E$84,Settings!$E$86))/6,2)*6,"")</f>
        <v/>
      </c>
      <c r="S328" s="142">
        <f>IFERROR(CHOOSE(MATCH(IF($E328="","Основний",$E328),{"Трафіковий","Основний","Маржинальний","Сезонний","Стратегічний"},0),Settings!$E$78,Settings!$E$80,Settings!$E$82,Settings!$E$84,Settings!$E$86),"")</f>
        <v/>
      </c>
      <c r="T328" s="143">
        <f>IFERROR((R328*(1-Settings!$E$17)-C328)/(R328*(1-Settings!$E$17)),"")</f>
        <v/>
      </c>
      <c r="U328" s="149">
        <f>IFERROR(IF(R328="","",IF(R328&gt;=C328/(1-SKU_Base!AC328)/(1-Settings!$E$17),"OK",IF(R328&gt;=C328/(1-SKU_Base!AJ328)/(1-Settings!$E$17),"WARN","STOP"))),"")</f>
        <v/>
      </c>
      <c r="V328" s="159">
        <f>IFERROR(ROUND(D328*(1-CHOOSE(MATCH(IF($E328="","Основний",$E328),{"Трафіковий","Основний","Маржинальний","Сезонний","Стратегічний"},0),Settings!$F$78,Settings!$F$80,Settings!$F$82,Settings!$F$84,Settings!$F$86))/6,2)*6,"")</f>
        <v/>
      </c>
      <c r="W328" s="142">
        <f>IFERROR(CHOOSE(MATCH(IF($E328="","Основний",$E328),{"Трафіковий","Основний","Маржинальний","Сезонний","Стратегічний"},0),Settings!$F$78,Settings!$F$80,Settings!$F$82,Settings!$F$84,Settings!$F$86),"")</f>
        <v/>
      </c>
      <c r="X328" s="143">
        <f>IFERROR((V328*(1-Settings!$F$17)-C328)/(V328*(1-Settings!$F$17)),"")</f>
        <v/>
      </c>
      <c r="Y328" s="149">
        <f>IFERROR(IF(V328="","",IF(V328&gt;=C328/(1-SKU_Base!AD328)/(1-Settings!$F$17),"OK",IF(V328&gt;=C328/(1-SKU_Base!AK328)/(1-Settings!$F$17),"WARN","STOP"))),"")</f>
        <v/>
      </c>
      <c r="Z328" s="159">
        <f>IFERROR(ROUND(D328*(1-CHOOSE(MATCH(IF($E328="","Основний",$E328),{"Трафіковий","Основний","Маржинальний","Сезонний","Стратегічний"},0),Settings!$G$78,Settings!$G$80,Settings!$G$82,Settings!$G$84,Settings!$G$86))/6,2)*6,"")</f>
        <v/>
      </c>
      <c r="AA328" s="142">
        <f>IFERROR(CHOOSE(MATCH(IF($E328="","Основний",$E328),{"Трафіковий","Основний","Маржинальний","Сезонний","Стратегічний"},0),Settings!$G$78,Settings!$G$80,Settings!$G$82,Settings!$G$84,Settings!$G$86),"")</f>
        <v/>
      </c>
      <c r="AB328" s="143">
        <f>IFERROR((Z328*(1-Settings!$G$17)-C328)/(Z328*(1-Settings!$G$17)),"")</f>
        <v/>
      </c>
      <c r="AC328" s="149">
        <f>IFERROR(IF(Z328="","",IF(Z328&gt;=C328/(1-SKU_Base!AE328)/(1-Settings!$G$17),"OK",IF(Z328&gt;=C328/(1-SKU_Base!AL328)/(1-Settings!$G$17),"WARN","STOP"))),"")</f>
        <v/>
      </c>
      <c r="AD328" s="159">
        <f>IFERROR(ROUND(D328*(1-CHOOSE(MATCH(IF($E328="","Основний",$E328),{"Трафіковий","Основний","Маржинальний","Сезонний","Стратегічний"},0),Settings!$H$78,Settings!$H$80,Settings!$H$82,Settings!$H$84,Settings!$H$86))*(1-Settings!$H$68)/6,2)*6,"")</f>
        <v/>
      </c>
      <c r="AE328" s="142">
        <f>IFERROR(CHOOSE(MATCH(IF($E328="","Основний",$E328),{"Трафіковий","Основний","Маржинальний","Сезонний","Стратегічний"},0),Settings!$H$78,Settings!$H$80,Settings!$H$82,Settings!$H$84,Settings!$H$86)+(1-(CHOOSE(MATCH(IF($E328="","Основний",$E328),{"Трафіковий","Основний","Маржинальний","Сезонний","Стратегічний"},0),Settings!$H$78,Settings!$H$80,Settings!$H$82,Settings!$H$84,Settings!$H$86)))*Settings!$H$68,"")</f>
        <v/>
      </c>
      <c r="AF328" s="143">
        <f>IFERROR((AD328*(1-Settings!$H$17)-C328)/(AD328*(1-Settings!$H$17)),"")</f>
        <v/>
      </c>
      <c r="AG328" s="150">
        <f>IFERROR(IF(AD328="","",IF(AD328&gt;=C328/(1-SKU_Base!AF328)/(1-Settings!$H$17),"OK",IF(AD328&gt;=C328/(1-SKU_Base!AM328)/(1-Settings!$H$17),"WARN","STOP"))),"")</f>
        <v/>
      </c>
    </row>
    <row r="329" ht="17" customHeight="1" s="179">
      <c r="A329" s="146">
        <f>SKU_Base!B329</f>
        <v/>
      </c>
      <c r="B329" s="146">
        <f>SKU_Base!C329</f>
        <v/>
      </c>
      <c r="C329" s="147">
        <f>IFERROR(SKU_Base!I329,"")</f>
        <v/>
      </c>
      <c r="D329" s="164">
        <f>IFERROR(SKU_Base!T329,"")</f>
        <v/>
      </c>
      <c r="E329" s="141">
        <f>IFERROR(SKU_Base!$U329,"")</f>
        <v/>
      </c>
      <c r="F329" s="160">
        <f>IFERROR(ROUND(D329*(1-CHOOSE(MATCH(IF($E329="","Основний",$E329),{"Трафіковий","Основний","Маржинальний","Сезонний","Стратегічний"},0),Settings!$B$78,Settings!$B$80,Settings!$B$82,Settings!$B$84,Settings!$B$86))/6,2)*6,"")</f>
        <v/>
      </c>
      <c r="G329" s="142">
        <f>IFERROR(CHOOSE(MATCH(IF($E329="","Основний",$E329),{"Трафіковий","Основний","Маржинальний","Сезонний","Стратегічний"},0),Settings!$B$78,Settings!$B$80,Settings!$B$82,Settings!$B$84,Settings!$B$86),"")</f>
        <v/>
      </c>
      <c r="H329" s="148">
        <f>IFERROR((F329*(1-Settings!$B$17)-C329)/(F329*(1-Settings!$B$17)),"")</f>
        <v/>
      </c>
      <c r="I329" s="149">
        <f>IFERROR(IF(F329="","",IF(F329&gt;=C329/(1-SKU_Base!Z329)/(1-Settings!$B$17),"OK",IF(F329&gt;=C329/(1-SKU_Base!AG329)/(1-Settings!$B$17),"WARN","STOP"))),"")</f>
        <v/>
      </c>
      <c r="J329" s="160">
        <f>IFERROR(ROUND(D329*(1-CHOOSE(MATCH(IF($E329="","Основний",$E329),{"Трафіковий","Основний","Маржинальний","Сезонний","Стратегічний"},0),Settings!$C$78,Settings!$C$80,Settings!$C$82,Settings!$C$84,Settings!$C$86))/6,2)*6,"")</f>
        <v/>
      </c>
      <c r="K329" s="142">
        <f>IFERROR(CHOOSE(MATCH(IF($E329="","Основний",$E329),{"Трафіковий","Основний","Маржинальний","Сезонний","Стратегічний"},0),Settings!$C$78,Settings!$C$80,Settings!$C$82,Settings!$C$84,Settings!$C$86),"")</f>
        <v/>
      </c>
      <c r="L329" s="148">
        <f>IFERROR((J329*(1-Settings!$C$17)-C329)/(J329*(1-Settings!$C$17)),"")</f>
        <v/>
      </c>
      <c r="M329" s="149">
        <f>IFERROR(IF(J329="","",IF(J329&gt;=C329/(1-SKU_Base!AA329)/(1-Settings!$C$17),"OK",IF(J329&gt;=C329/(1-SKU_Base!AH329)/(1-Settings!$C$17),"WARN","STOP"))),"")</f>
        <v/>
      </c>
      <c r="N329" s="161">
        <f>IFERROR(ROUND(D329*(1-CHOOSE(MATCH(IF($E329="","Основний",$E329),{"Трафіковий","Основний","Маржинальний","Сезонний","Стратегічний"},0),Settings!$D$78,Settings!$D$80,Settings!$D$82,Settings!$D$84,Settings!$D$86))/6,2)*6,"")</f>
        <v/>
      </c>
      <c r="O329" s="142">
        <f>IFERROR(CHOOSE(MATCH(IF($E329="","Основний",$E329),{"Трафіковий","Основний","Маржинальний","Сезонний","Стратегічний"},0),Settings!$D$78,Settings!$D$80,Settings!$D$82,Settings!$D$84,Settings!$D$86),"")</f>
        <v/>
      </c>
      <c r="P329" s="148">
        <f>IFERROR((N329*(1-Settings!$D$17)-C329)/(N329*(1-Settings!$D$17)),"")</f>
        <v/>
      </c>
      <c r="Q329" s="149">
        <f>IFERROR(IF(N329="","",IF(N329&gt;=C329/(1-SKU_Base!AB329)/(1-Settings!$D$17),"OK",IF(N329&gt;=C329/(1-SKU_Base!AI329)/(1-Settings!$D$17),"WARN","STOP"))),"")</f>
        <v/>
      </c>
      <c r="R329" s="161">
        <f>IFERROR(ROUND(D329*(1-CHOOSE(MATCH(IF($E329="","Основний",$E329),{"Трафіковий","Основний","Маржинальний","Сезонний","Стратегічний"},0),Settings!$E$78,Settings!$E$80,Settings!$E$82,Settings!$E$84,Settings!$E$86))/6,2)*6,"")</f>
        <v/>
      </c>
      <c r="S329" s="142">
        <f>IFERROR(CHOOSE(MATCH(IF($E329="","Основний",$E329),{"Трафіковий","Основний","Маржинальний","Сезонний","Стратегічний"},0),Settings!$E$78,Settings!$E$80,Settings!$E$82,Settings!$E$84,Settings!$E$86),"")</f>
        <v/>
      </c>
      <c r="T329" s="148">
        <f>IFERROR((R329*(1-Settings!$E$17)-C329)/(R329*(1-Settings!$E$17)),"")</f>
        <v/>
      </c>
      <c r="U329" s="149">
        <f>IFERROR(IF(R329="","",IF(R329&gt;=C329/(1-SKU_Base!AC329)/(1-Settings!$E$17),"OK",IF(R329&gt;=C329/(1-SKU_Base!AJ329)/(1-Settings!$E$17),"WARN","STOP"))),"")</f>
        <v/>
      </c>
      <c r="V329" s="161">
        <f>IFERROR(ROUND(D329*(1-CHOOSE(MATCH(IF($E329="","Основний",$E329),{"Трафіковий","Основний","Маржинальний","Сезонний","Стратегічний"},0),Settings!$F$78,Settings!$F$80,Settings!$F$82,Settings!$F$84,Settings!$F$86))/6,2)*6,"")</f>
        <v/>
      </c>
      <c r="W329" s="142">
        <f>IFERROR(CHOOSE(MATCH(IF($E329="","Основний",$E329),{"Трафіковий","Основний","Маржинальний","Сезонний","Стратегічний"},0),Settings!$F$78,Settings!$F$80,Settings!$F$82,Settings!$F$84,Settings!$F$86),"")</f>
        <v/>
      </c>
      <c r="X329" s="148">
        <f>IFERROR((V329*(1-Settings!$F$17)-C329)/(V329*(1-Settings!$F$17)),"")</f>
        <v/>
      </c>
      <c r="Y329" s="149">
        <f>IFERROR(IF(V329="","",IF(V329&gt;=C329/(1-SKU_Base!AD329)/(1-Settings!$F$17),"OK",IF(V329&gt;=C329/(1-SKU_Base!AK329)/(1-Settings!$F$17),"WARN","STOP"))),"")</f>
        <v/>
      </c>
      <c r="Z329" s="161">
        <f>IFERROR(ROUND(D329*(1-CHOOSE(MATCH(IF($E329="","Основний",$E329),{"Трафіковий","Основний","Маржинальний","Сезонний","Стратегічний"},0),Settings!$G$78,Settings!$G$80,Settings!$G$82,Settings!$G$84,Settings!$G$86))/6,2)*6,"")</f>
        <v/>
      </c>
      <c r="AA329" s="142">
        <f>IFERROR(CHOOSE(MATCH(IF($E329="","Основний",$E329),{"Трафіковий","Основний","Маржинальний","Сезонний","Стратегічний"},0),Settings!$G$78,Settings!$G$80,Settings!$G$82,Settings!$G$84,Settings!$G$86),"")</f>
        <v/>
      </c>
      <c r="AB329" s="148">
        <f>IFERROR((Z329*(1-Settings!$G$17)-C329)/(Z329*(1-Settings!$G$17)),"")</f>
        <v/>
      </c>
      <c r="AC329" s="149">
        <f>IFERROR(IF(Z329="","",IF(Z329&gt;=C329/(1-SKU_Base!AE329)/(1-Settings!$G$17),"OK",IF(Z329&gt;=C329/(1-SKU_Base!AL329)/(1-Settings!$G$17),"WARN","STOP"))),"")</f>
        <v/>
      </c>
      <c r="AD329" s="161">
        <f>IFERROR(ROUND(D329*(1-CHOOSE(MATCH(IF($E329="","Основний",$E329),{"Трафіковий","Основний","Маржинальний","Сезонний","Стратегічний"},0),Settings!$H$78,Settings!$H$80,Settings!$H$82,Settings!$H$84,Settings!$H$86))*(1-Settings!$H$68)/6,2)*6,"")</f>
        <v/>
      </c>
      <c r="AE329" s="142">
        <f>IFERROR(CHOOSE(MATCH(IF($E329="","Основний",$E329),{"Трафіковий","Основний","Маржинальний","Сезонний","Стратегічний"},0),Settings!$H$78,Settings!$H$80,Settings!$H$82,Settings!$H$84,Settings!$H$86)+(1-(CHOOSE(MATCH(IF($E329="","Основний",$E329),{"Трафіковий","Основний","Маржинальний","Сезонний","Стратегічний"},0),Settings!$H$78,Settings!$H$80,Settings!$H$82,Settings!$H$84,Settings!$H$86)))*Settings!$H$68,"")</f>
        <v/>
      </c>
      <c r="AF329" s="148">
        <f>IFERROR((AD329*(1-Settings!$H$17)-C329)/(AD329*(1-Settings!$H$17)),"")</f>
        <v/>
      </c>
      <c r="AG329" s="150">
        <f>IFERROR(IF(AD329="","",IF(AD329&gt;=C329/(1-SKU_Base!AF329)/(1-Settings!$H$17),"OK",IF(AD329&gt;=C329/(1-SKU_Base!AM329)/(1-Settings!$H$17),"WARN","STOP"))),"")</f>
        <v/>
      </c>
    </row>
    <row r="330" ht="17" customHeight="1" s="179">
      <c r="A330" s="139">
        <f>SKU_Base!B330</f>
        <v/>
      </c>
      <c r="B330" s="139">
        <f>SKU_Base!C330</f>
        <v/>
      </c>
      <c r="C330" s="140">
        <f>IFERROR(SKU_Base!I330,"")</f>
        <v/>
      </c>
      <c r="D330" s="163">
        <f>IFERROR(SKU_Base!T330,"")</f>
        <v/>
      </c>
      <c r="E330" s="141">
        <f>IFERROR(SKU_Base!$U330,"")</f>
        <v/>
      </c>
      <c r="F330" s="158">
        <f>IFERROR(ROUND(D330*(1-CHOOSE(MATCH(IF($E330="","Основний",$E330),{"Трафіковий","Основний","Маржинальний","Сезонний","Стратегічний"},0),Settings!$B$78,Settings!$B$80,Settings!$B$82,Settings!$B$84,Settings!$B$86))/6,2)*6,"")</f>
        <v/>
      </c>
      <c r="G330" s="142">
        <f>IFERROR(CHOOSE(MATCH(IF($E330="","Основний",$E330),{"Трафіковий","Основний","Маржинальний","Сезонний","Стратегічний"},0),Settings!$B$78,Settings!$B$80,Settings!$B$82,Settings!$B$84,Settings!$B$86),"")</f>
        <v/>
      </c>
      <c r="H330" s="143">
        <f>IFERROR((F330*(1-Settings!$B$17)-C330)/(F330*(1-Settings!$B$17)),"")</f>
        <v/>
      </c>
      <c r="I330" s="149">
        <f>IFERROR(IF(F330="","",IF(F330&gt;=C330/(1-SKU_Base!Z330)/(1-Settings!$B$17),"OK",IF(F330&gt;=C330/(1-SKU_Base!AG330)/(1-Settings!$B$17),"WARN","STOP"))),"")</f>
        <v/>
      </c>
      <c r="J330" s="158">
        <f>IFERROR(ROUND(D330*(1-CHOOSE(MATCH(IF($E330="","Основний",$E330),{"Трафіковий","Основний","Маржинальний","Сезонний","Стратегічний"},0),Settings!$C$78,Settings!$C$80,Settings!$C$82,Settings!$C$84,Settings!$C$86))/6,2)*6,"")</f>
        <v/>
      </c>
      <c r="K330" s="142">
        <f>IFERROR(CHOOSE(MATCH(IF($E330="","Основний",$E330),{"Трафіковий","Основний","Маржинальний","Сезонний","Стратегічний"},0),Settings!$C$78,Settings!$C$80,Settings!$C$82,Settings!$C$84,Settings!$C$86),"")</f>
        <v/>
      </c>
      <c r="L330" s="143">
        <f>IFERROR((J330*(1-Settings!$C$17)-C330)/(J330*(1-Settings!$C$17)),"")</f>
        <v/>
      </c>
      <c r="M330" s="149">
        <f>IFERROR(IF(J330="","",IF(J330&gt;=C330/(1-SKU_Base!AA330)/(1-Settings!$C$17),"OK",IF(J330&gt;=C330/(1-SKU_Base!AH330)/(1-Settings!$C$17),"WARN","STOP"))),"")</f>
        <v/>
      </c>
      <c r="N330" s="159">
        <f>IFERROR(ROUND(D330*(1-CHOOSE(MATCH(IF($E330="","Основний",$E330),{"Трафіковий","Основний","Маржинальний","Сезонний","Стратегічний"},0),Settings!$D$78,Settings!$D$80,Settings!$D$82,Settings!$D$84,Settings!$D$86))/6,2)*6,"")</f>
        <v/>
      </c>
      <c r="O330" s="142">
        <f>IFERROR(CHOOSE(MATCH(IF($E330="","Основний",$E330),{"Трафіковий","Основний","Маржинальний","Сезонний","Стратегічний"},0),Settings!$D$78,Settings!$D$80,Settings!$D$82,Settings!$D$84,Settings!$D$86),"")</f>
        <v/>
      </c>
      <c r="P330" s="143">
        <f>IFERROR((N330*(1-Settings!$D$17)-C330)/(N330*(1-Settings!$D$17)),"")</f>
        <v/>
      </c>
      <c r="Q330" s="149">
        <f>IFERROR(IF(N330="","",IF(N330&gt;=C330/(1-SKU_Base!AB330)/(1-Settings!$D$17),"OK",IF(N330&gt;=C330/(1-SKU_Base!AI330)/(1-Settings!$D$17),"WARN","STOP"))),"")</f>
        <v/>
      </c>
      <c r="R330" s="159">
        <f>IFERROR(ROUND(D330*(1-CHOOSE(MATCH(IF($E330="","Основний",$E330),{"Трафіковий","Основний","Маржинальний","Сезонний","Стратегічний"},0),Settings!$E$78,Settings!$E$80,Settings!$E$82,Settings!$E$84,Settings!$E$86))/6,2)*6,"")</f>
        <v/>
      </c>
      <c r="S330" s="142">
        <f>IFERROR(CHOOSE(MATCH(IF($E330="","Основний",$E330),{"Трафіковий","Основний","Маржинальний","Сезонний","Стратегічний"},0),Settings!$E$78,Settings!$E$80,Settings!$E$82,Settings!$E$84,Settings!$E$86),"")</f>
        <v/>
      </c>
      <c r="T330" s="143">
        <f>IFERROR((R330*(1-Settings!$E$17)-C330)/(R330*(1-Settings!$E$17)),"")</f>
        <v/>
      </c>
      <c r="U330" s="149">
        <f>IFERROR(IF(R330="","",IF(R330&gt;=C330/(1-SKU_Base!AC330)/(1-Settings!$E$17),"OK",IF(R330&gt;=C330/(1-SKU_Base!AJ330)/(1-Settings!$E$17),"WARN","STOP"))),"")</f>
        <v/>
      </c>
      <c r="V330" s="159">
        <f>IFERROR(ROUND(D330*(1-CHOOSE(MATCH(IF($E330="","Основний",$E330),{"Трафіковий","Основний","Маржинальний","Сезонний","Стратегічний"},0),Settings!$F$78,Settings!$F$80,Settings!$F$82,Settings!$F$84,Settings!$F$86))/6,2)*6,"")</f>
        <v/>
      </c>
      <c r="W330" s="142">
        <f>IFERROR(CHOOSE(MATCH(IF($E330="","Основний",$E330),{"Трафіковий","Основний","Маржинальний","Сезонний","Стратегічний"},0),Settings!$F$78,Settings!$F$80,Settings!$F$82,Settings!$F$84,Settings!$F$86),"")</f>
        <v/>
      </c>
      <c r="X330" s="143">
        <f>IFERROR((V330*(1-Settings!$F$17)-C330)/(V330*(1-Settings!$F$17)),"")</f>
        <v/>
      </c>
      <c r="Y330" s="149">
        <f>IFERROR(IF(V330="","",IF(V330&gt;=C330/(1-SKU_Base!AD330)/(1-Settings!$F$17),"OK",IF(V330&gt;=C330/(1-SKU_Base!AK330)/(1-Settings!$F$17),"WARN","STOP"))),"")</f>
        <v/>
      </c>
      <c r="Z330" s="159">
        <f>IFERROR(ROUND(D330*(1-CHOOSE(MATCH(IF($E330="","Основний",$E330),{"Трафіковий","Основний","Маржинальний","Сезонний","Стратегічний"},0),Settings!$G$78,Settings!$G$80,Settings!$G$82,Settings!$G$84,Settings!$G$86))/6,2)*6,"")</f>
        <v/>
      </c>
      <c r="AA330" s="142">
        <f>IFERROR(CHOOSE(MATCH(IF($E330="","Основний",$E330),{"Трафіковий","Основний","Маржинальний","Сезонний","Стратегічний"},0),Settings!$G$78,Settings!$G$80,Settings!$G$82,Settings!$G$84,Settings!$G$86),"")</f>
        <v/>
      </c>
      <c r="AB330" s="143">
        <f>IFERROR((Z330*(1-Settings!$G$17)-C330)/(Z330*(1-Settings!$G$17)),"")</f>
        <v/>
      </c>
      <c r="AC330" s="149">
        <f>IFERROR(IF(Z330="","",IF(Z330&gt;=C330/(1-SKU_Base!AE330)/(1-Settings!$G$17),"OK",IF(Z330&gt;=C330/(1-SKU_Base!AL330)/(1-Settings!$G$17),"WARN","STOP"))),"")</f>
        <v/>
      </c>
      <c r="AD330" s="159">
        <f>IFERROR(ROUND(D330*(1-CHOOSE(MATCH(IF($E330="","Основний",$E330),{"Трафіковий","Основний","Маржинальний","Сезонний","Стратегічний"},0),Settings!$H$78,Settings!$H$80,Settings!$H$82,Settings!$H$84,Settings!$H$86))*(1-Settings!$H$68)/6,2)*6,"")</f>
        <v/>
      </c>
      <c r="AE330" s="142">
        <f>IFERROR(CHOOSE(MATCH(IF($E330="","Основний",$E330),{"Трафіковий","Основний","Маржинальний","Сезонний","Стратегічний"},0),Settings!$H$78,Settings!$H$80,Settings!$H$82,Settings!$H$84,Settings!$H$86)+(1-(CHOOSE(MATCH(IF($E330="","Основний",$E330),{"Трафіковий","Основний","Маржинальний","Сезонний","Стратегічний"},0),Settings!$H$78,Settings!$H$80,Settings!$H$82,Settings!$H$84,Settings!$H$86)))*Settings!$H$68,"")</f>
        <v/>
      </c>
      <c r="AF330" s="143">
        <f>IFERROR((AD330*(1-Settings!$H$17)-C330)/(AD330*(1-Settings!$H$17)),"")</f>
        <v/>
      </c>
      <c r="AG330" s="150">
        <f>IFERROR(IF(AD330="","",IF(AD330&gt;=C330/(1-SKU_Base!AF330)/(1-Settings!$H$17),"OK",IF(AD330&gt;=C330/(1-SKU_Base!AM330)/(1-Settings!$H$17),"WARN","STOP"))),"")</f>
        <v/>
      </c>
    </row>
    <row r="331" ht="17" customHeight="1" s="179">
      <c r="A331" s="146">
        <f>SKU_Base!B331</f>
        <v/>
      </c>
      <c r="B331" s="146">
        <f>SKU_Base!C331</f>
        <v/>
      </c>
      <c r="C331" s="147">
        <f>IFERROR(SKU_Base!I331,"")</f>
        <v/>
      </c>
      <c r="D331" s="164">
        <f>IFERROR(SKU_Base!T331,"")</f>
        <v/>
      </c>
      <c r="E331" s="141">
        <f>IFERROR(SKU_Base!$U331,"")</f>
        <v/>
      </c>
      <c r="F331" s="160">
        <f>IFERROR(ROUND(D331*(1-CHOOSE(MATCH(IF($E331="","Основний",$E331),{"Трафіковий","Основний","Маржинальний","Сезонний","Стратегічний"},0),Settings!$B$78,Settings!$B$80,Settings!$B$82,Settings!$B$84,Settings!$B$86))/6,2)*6,"")</f>
        <v/>
      </c>
      <c r="G331" s="142">
        <f>IFERROR(CHOOSE(MATCH(IF($E331="","Основний",$E331),{"Трафіковий","Основний","Маржинальний","Сезонний","Стратегічний"},0),Settings!$B$78,Settings!$B$80,Settings!$B$82,Settings!$B$84,Settings!$B$86),"")</f>
        <v/>
      </c>
      <c r="H331" s="148">
        <f>IFERROR((F331*(1-Settings!$B$17)-C331)/(F331*(1-Settings!$B$17)),"")</f>
        <v/>
      </c>
      <c r="I331" s="149">
        <f>IFERROR(IF(F331="","",IF(F331&gt;=C331/(1-SKU_Base!Z331)/(1-Settings!$B$17),"OK",IF(F331&gt;=C331/(1-SKU_Base!AG331)/(1-Settings!$B$17),"WARN","STOP"))),"")</f>
        <v/>
      </c>
      <c r="J331" s="160">
        <f>IFERROR(ROUND(D331*(1-CHOOSE(MATCH(IF($E331="","Основний",$E331),{"Трафіковий","Основний","Маржинальний","Сезонний","Стратегічний"},0),Settings!$C$78,Settings!$C$80,Settings!$C$82,Settings!$C$84,Settings!$C$86))/6,2)*6,"")</f>
        <v/>
      </c>
      <c r="K331" s="142">
        <f>IFERROR(CHOOSE(MATCH(IF($E331="","Основний",$E331),{"Трафіковий","Основний","Маржинальний","Сезонний","Стратегічний"},0),Settings!$C$78,Settings!$C$80,Settings!$C$82,Settings!$C$84,Settings!$C$86),"")</f>
        <v/>
      </c>
      <c r="L331" s="148">
        <f>IFERROR((J331*(1-Settings!$C$17)-C331)/(J331*(1-Settings!$C$17)),"")</f>
        <v/>
      </c>
      <c r="M331" s="149">
        <f>IFERROR(IF(J331="","",IF(J331&gt;=C331/(1-SKU_Base!AA331)/(1-Settings!$C$17),"OK",IF(J331&gt;=C331/(1-SKU_Base!AH331)/(1-Settings!$C$17),"WARN","STOP"))),"")</f>
        <v/>
      </c>
      <c r="N331" s="161">
        <f>IFERROR(ROUND(D331*(1-CHOOSE(MATCH(IF($E331="","Основний",$E331),{"Трафіковий","Основний","Маржинальний","Сезонний","Стратегічний"},0),Settings!$D$78,Settings!$D$80,Settings!$D$82,Settings!$D$84,Settings!$D$86))/6,2)*6,"")</f>
        <v/>
      </c>
      <c r="O331" s="142">
        <f>IFERROR(CHOOSE(MATCH(IF($E331="","Основний",$E331),{"Трафіковий","Основний","Маржинальний","Сезонний","Стратегічний"},0),Settings!$D$78,Settings!$D$80,Settings!$D$82,Settings!$D$84,Settings!$D$86),"")</f>
        <v/>
      </c>
      <c r="P331" s="148">
        <f>IFERROR((N331*(1-Settings!$D$17)-C331)/(N331*(1-Settings!$D$17)),"")</f>
        <v/>
      </c>
      <c r="Q331" s="149">
        <f>IFERROR(IF(N331="","",IF(N331&gt;=C331/(1-SKU_Base!AB331)/(1-Settings!$D$17),"OK",IF(N331&gt;=C331/(1-SKU_Base!AI331)/(1-Settings!$D$17),"WARN","STOP"))),"")</f>
        <v/>
      </c>
      <c r="R331" s="161">
        <f>IFERROR(ROUND(D331*(1-CHOOSE(MATCH(IF($E331="","Основний",$E331),{"Трафіковий","Основний","Маржинальний","Сезонний","Стратегічний"},0),Settings!$E$78,Settings!$E$80,Settings!$E$82,Settings!$E$84,Settings!$E$86))/6,2)*6,"")</f>
        <v/>
      </c>
      <c r="S331" s="142">
        <f>IFERROR(CHOOSE(MATCH(IF($E331="","Основний",$E331),{"Трафіковий","Основний","Маржинальний","Сезонний","Стратегічний"},0),Settings!$E$78,Settings!$E$80,Settings!$E$82,Settings!$E$84,Settings!$E$86),"")</f>
        <v/>
      </c>
      <c r="T331" s="148">
        <f>IFERROR((R331*(1-Settings!$E$17)-C331)/(R331*(1-Settings!$E$17)),"")</f>
        <v/>
      </c>
      <c r="U331" s="149">
        <f>IFERROR(IF(R331="","",IF(R331&gt;=C331/(1-SKU_Base!AC331)/(1-Settings!$E$17),"OK",IF(R331&gt;=C331/(1-SKU_Base!AJ331)/(1-Settings!$E$17),"WARN","STOP"))),"")</f>
        <v/>
      </c>
      <c r="V331" s="161">
        <f>IFERROR(ROUND(D331*(1-CHOOSE(MATCH(IF($E331="","Основний",$E331),{"Трафіковий","Основний","Маржинальний","Сезонний","Стратегічний"},0),Settings!$F$78,Settings!$F$80,Settings!$F$82,Settings!$F$84,Settings!$F$86))/6,2)*6,"")</f>
        <v/>
      </c>
      <c r="W331" s="142">
        <f>IFERROR(CHOOSE(MATCH(IF($E331="","Основний",$E331),{"Трафіковий","Основний","Маржинальний","Сезонний","Стратегічний"},0),Settings!$F$78,Settings!$F$80,Settings!$F$82,Settings!$F$84,Settings!$F$86),"")</f>
        <v/>
      </c>
      <c r="X331" s="148">
        <f>IFERROR((V331*(1-Settings!$F$17)-C331)/(V331*(1-Settings!$F$17)),"")</f>
        <v/>
      </c>
      <c r="Y331" s="149">
        <f>IFERROR(IF(V331="","",IF(V331&gt;=C331/(1-SKU_Base!AD331)/(1-Settings!$F$17),"OK",IF(V331&gt;=C331/(1-SKU_Base!AK331)/(1-Settings!$F$17),"WARN","STOP"))),"")</f>
        <v/>
      </c>
      <c r="Z331" s="161">
        <f>IFERROR(ROUND(D331*(1-CHOOSE(MATCH(IF($E331="","Основний",$E331),{"Трафіковий","Основний","Маржинальний","Сезонний","Стратегічний"},0),Settings!$G$78,Settings!$G$80,Settings!$G$82,Settings!$G$84,Settings!$G$86))/6,2)*6,"")</f>
        <v/>
      </c>
      <c r="AA331" s="142">
        <f>IFERROR(CHOOSE(MATCH(IF($E331="","Основний",$E331),{"Трафіковий","Основний","Маржинальний","Сезонний","Стратегічний"},0),Settings!$G$78,Settings!$G$80,Settings!$G$82,Settings!$G$84,Settings!$G$86),"")</f>
        <v/>
      </c>
      <c r="AB331" s="148">
        <f>IFERROR((Z331*(1-Settings!$G$17)-C331)/(Z331*(1-Settings!$G$17)),"")</f>
        <v/>
      </c>
      <c r="AC331" s="149">
        <f>IFERROR(IF(Z331="","",IF(Z331&gt;=C331/(1-SKU_Base!AE331)/(1-Settings!$G$17),"OK",IF(Z331&gt;=C331/(1-SKU_Base!AL331)/(1-Settings!$G$17),"WARN","STOP"))),"")</f>
        <v/>
      </c>
      <c r="AD331" s="161">
        <f>IFERROR(ROUND(D331*(1-CHOOSE(MATCH(IF($E331="","Основний",$E331),{"Трафіковий","Основний","Маржинальний","Сезонний","Стратегічний"},0),Settings!$H$78,Settings!$H$80,Settings!$H$82,Settings!$H$84,Settings!$H$86))*(1-Settings!$H$68)/6,2)*6,"")</f>
        <v/>
      </c>
      <c r="AE331" s="142">
        <f>IFERROR(CHOOSE(MATCH(IF($E331="","Основний",$E331),{"Трафіковий","Основний","Маржинальний","Сезонний","Стратегічний"},0),Settings!$H$78,Settings!$H$80,Settings!$H$82,Settings!$H$84,Settings!$H$86)+(1-(CHOOSE(MATCH(IF($E331="","Основний",$E331),{"Трафіковий","Основний","Маржинальний","Сезонний","Стратегічний"},0),Settings!$H$78,Settings!$H$80,Settings!$H$82,Settings!$H$84,Settings!$H$86)))*Settings!$H$68,"")</f>
        <v/>
      </c>
      <c r="AF331" s="148">
        <f>IFERROR((AD331*(1-Settings!$H$17)-C331)/(AD331*(1-Settings!$H$17)),"")</f>
        <v/>
      </c>
      <c r="AG331" s="150">
        <f>IFERROR(IF(AD331="","",IF(AD331&gt;=C331/(1-SKU_Base!AF331)/(1-Settings!$H$17),"OK",IF(AD331&gt;=C331/(1-SKU_Base!AM331)/(1-Settings!$H$17),"WARN","STOP"))),"")</f>
        <v/>
      </c>
    </row>
    <row r="332" ht="17" customHeight="1" s="179">
      <c r="A332" s="139">
        <f>SKU_Base!B332</f>
        <v/>
      </c>
      <c r="B332" s="139">
        <f>SKU_Base!C332</f>
        <v/>
      </c>
      <c r="C332" s="140">
        <f>IFERROR(SKU_Base!I332,"")</f>
        <v/>
      </c>
      <c r="D332" s="163">
        <f>IFERROR(SKU_Base!T332,"")</f>
        <v/>
      </c>
      <c r="E332" s="141">
        <f>IFERROR(SKU_Base!$U332,"")</f>
        <v/>
      </c>
      <c r="F332" s="158">
        <f>IFERROR(ROUND(D332*(1-CHOOSE(MATCH(IF($E332="","Основний",$E332),{"Трафіковий","Основний","Маржинальний","Сезонний","Стратегічний"},0),Settings!$B$78,Settings!$B$80,Settings!$B$82,Settings!$B$84,Settings!$B$86))/6,2)*6,"")</f>
        <v/>
      </c>
      <c r="G332" s="142">
        <f>IFERROR(CHOOSE(MATCH(IF($E332="","Основний",$E332),{"Трафіковий","Основний","Маржинальний","Сезонний","Стратегічний"},0),Settings!$B$78,Settings!$B$80,Settings!$B$82,Settings!$B$84,Settings!$B$86),"")</f>
        <v/>
      </c>
      <c r="H332" s="143">
        <f>IFERROR((F332*(1-Settings!$B$17)-C332)/(F332*(1-Settings!$B$17)),"")</f>
        <v/>
      </c>
      <c r="I332" s="149">
        <f>IFERROR(IF(F332="","",IF(F332&gt;=C332/(1-SKU_Base!Z332)/(1-Settings!$B$17),"OK",IF(F332&gt;=C332/(1-SKU_Base!AG332)/(1-Settings!$B$17),"WARN","STOP"))),"")</f>
        <v/>
      </c>
      <c r="J332" s="158">
        <f>IFERROR(ROUND(D332*(1-CHOOSE(MATCH(IF($E332="","Основний",$E332),{"Трафіковий","Основний","Маржинальний","Сезонний","Стратегічний"},0),Settings!$C$78,Settings!$C$80,Settings!$C$82,Settings!$C$84,Settings!$C$86))/6,2)*6,"")</f>
        <v/>
      </c>
      <c r="K332" s="142">
        <f>IFERROR(CHOOSE(MATCH(IF($E332="","Основний",$E332),{"Трафіковий","Основний","Маржинальний","Сезонний","Стратегічний"},0),Settings!$C$78,Settings!$C$80,Settings!$C$82,Settings!$C$84,Settings!$C$86),"")</f>
        <v/>
      </c>
      <c r="L332" s="143">
        <f>IFERROR((J332*(1-Settings!$C$17)-C332)/(J332*(1-Settings!$C$17)),"")</f>
        <v/>
      </c>
      <c r="M332" s="149">
        <f>IFERROR(IF(J332="","",IF(J332&gt;=C332/(1-SKU_Base!AA332)/(1-Settings!$C$17),"OK",IF(J332&gt;=C332/(1-SKU_Base!AH332)/(1-Settings!$C$17),"WARN","STOP"))),"")</f>
        <v/>
      </c>
      <c r="N332" s="159">
        <f>IFERROR(ROUND(D332*(1-CHOOSE(MATCH(IF($E332="","Основний",$E332),{"Трафіковий","Основний","Маржинальний","Сезонний","Стратегічний"},0),Settings!$D$78,Settings!$D$80,Settings!$D$82,Settings!$D$84,Settings!$D$86))/6,2)*6,"")</f>
        <v/>
      </c>
      <c r="O332" s="142">
        <f>IFERROR(CHOOSE(MATCH(IF($E332="","Основний",$E332),{"Трафіковий","Основний","Маржинальний","Сезонний","Стратегічний"},0),Settings!$D$78,Settings!$D$80,Settings!$D$82,Settings!$D$84,Settings!$D$86),"")</f>
        <v/>
      </c>
      <c r="P332" s="143">
        <f>IFERROR((N332*(1-Settings!$D$17)-C332)/(N332*(1-Settings!$D$17)),"")</f>
        <v/>
      </c>
      <c r="Q332" s="149">
        <f>IFERROR(IF(N332="","",IF(N332&gt;=C332/(1-SKU_Base!AB332)/(1-Settings!$D$17),"OK",IF(N332&gt;=C332/(1-SKU_Base!AI332)/(1-Settings!$D$17),"WARN","STOP"))),"")</f>
        <v/>
      </c>
      <c r="R332" s="159">
        <f>IFERROR(ROUND(D332*(1-CHOOSE(MATCH(IF($E332="","Основний",$E332),{"Трафіковий","Основний","Маржинальний","Сезонний","Стратегічний"},0),Settings!$E$78,Settings!$E$80,Settings!$E$82,Settings!$E$84,Settings!$E$86))/6,2)*6,"")</f>
        <v/>
      </c>
      <c r="S332" s="142">
        <f>IFERROR(CHOOSE(MATCH(IF($E332="","Основний",$E332),{"Трафіковий","Основний","Маржинальний","Сезонний","Стратегічний"},0),Settings!$E$78,Settings!$E$80,Settings!$E$82,Settings!$E$84,Settings!$E$86),"")</f>
        <v/>
      </c>
      <c r="T332" s="143">
        <f>IFERROR((R332*(1-Settings!$E$17)-C332)/(R332*(1-Settings!$E$17)),"")</f>
        <v/>
      </c>
      <c r="U332" s="149">
        <f>IFERROR(IF(R332="","",IF(R332&gt;=C332/(1-SKU_Base!AC332)/(1-Settings!$E$17),"OK",IF(R332&gt;=C332/(1-SKU_Base!AJ332)/(1-Settings!$E$17),"WARN","STOP"))),"")</f>
        <v/>
      </c>
      <c r="V332" s="159">
        <f>IFERROR(ROUND(D332*(1-CHOOSE(MATCH(IF($E332="","Основний",$E332),{"Трафіковий","Основний","Маржинальний","Сезонний","Стратегічний"},0),Settings!$F$78,Settings!$F$80,Settings!$F$82,Settings!$F$84,Settings!$F$86))/6,2)*6,"")</f>
        <v/>
      </c>
      <c r="W332" s="142">
        <f>IFERROR(CHOOSE(MATCH(IF($E332="","Основний",$E332),{"Трафіковий","Основний","Маржинальний","Сезонний","Стратегічний"},0),Settings!$F$78,Settings!$F$80,Settings!$F$82,Settings!$F$84,Settings!$F$86),"")</f>
        <v/>
      </c>
      <c r="X332" s="143">
        <f>IFERROR((V332*(1-Settings!$F$17)-C332)/(V332*(1-Settings!$F$17)),"")</f>
        <v/>
      </c>
      <c r="Y332" s="149">
        <f>IFERROR(IF(V332="","",IF(V332&gt;=C332/(1-SKU_Base!AD332)/(1-Settings!$F$17),"OK",IF(V332&gt;=C332/(1-SKU_Base!AK332)/(1-Settings!$F$17),"WARN","STOP"))),"")</f>
        <v/>
      </c>
      <c r="Z332" s="159">
        <f>IFERROR(ROUND(D332*(1-CHOOSE(MATCH(IF($E332="","Основний",$E332),{"Трафіковий","Основний","Маржинальний","Сезонний","Стратегічний"},0),Settings!$G$78,Settings!$G$80,Settings!$G$82,Settings!$G$84,Settings!$G$86))/6,2)*6,"")</f>
        <v/>
      </c>
      <c r="AA332" s="142">
        <f>IFERROR(CHOOSE(MATCH(IF($E332="","Основний",$E332),{"Трафіковий","Основний","Маржинальний","Сезонний","Стратегічний"},0),Settings!$G$78,Settings!$G$80,Settings!$G$82,Settings!$G$84,Settings!$G$86),"")</f>
        <v/>
      </c>
      <c r="AB332" s="143">
        <f>IFERROR((Z332*(1-Settings!$G$17)-C332)/(Z332*(1-Settings!$G$17)),"")</f>
        <v/>
      </c>
      <c r="AC332" s="149">
        <f>IFERROR(IF(Z332="","",IF(Z332&gt;=C332/(1-SKU_Base!AE332)/(1-Settings!$G$17),"OK",IF(Z332&gt;=C332/(1-SKU_Base!AL332)/(1-Settings!$G$17),"WARN","STOP"))),"")</f>
        <v/>
      </c>
      <c r="AD332" s="159">
        <f>IFERROR(ROUND(D332*(1-CHOOSE(MATCH(IF($E332="","Основний",$E332),{"Трафіковий","Основний","Маржинальний","Сезонний","Стратегічний"},0),Settings!$H$78,Settings!$H$80,Settings!$H$82,Settings!$H$84,Settings!$H$86))*(1-Settings!$H$68)/6,2)*6,"")</f>
        <v/>
      </c>
      <c r="AE332" s="142">
        <f>IFERROR(CHOOSE(MATCH(IF($E332="","Основний",$E332),{"Трафіковий","Основний","Маржинальний","Сезонний","Стратегічний"},0),Settings!$H$78,Settings!$H$80,Settings!$H$82,Settings!$H$84,Settings!$H$86)+(1-(CHOOSE(MATCH(IF($E332="","Основний",$E332),{"Трафіковий","Основний","Маржинальний","Сезонний","Стратегічний"},0),Settings!$H$78,Settings!$H$80,Settings!$H$82,Settings!$H$84,Settings!$H$86)))*Settings!$H$68,"")</f>
        <v/>
      </c>
      <c r="AF332" s="143">
        <f>IFERROR((AD332*(1-Settings!$H$17)-C332)/(AD332*(1-Settings!$H$17)),"")</f>
        <v/>
      </c>
      <c r="AG332" s="150">
        <f>IFERROR(IF(AD332="","",IF(AD332&gt;=C332/(1-SKU_Base!AF332)/(1-Settings!$H$17),"OK",IF(AD332&gt;=C332/(1-SKU_Base!AM332)/(1-Settings!$H$17),"WARN","STOP"))),"")</f>
        <v/>
      </c>
    </row>
    <row r="333" ht="17" customHeight="1" s="179">
      <c r="A333" s="146">
        <f>SKU_Base!B333</f>
        <v/>
      </c>
      <c r="B333" s="146">
        <f>SKU_Base!C333</f>
        <v/>
      </c>
      <c r="C333" s="147">
        <f>IFERROR(SKU_Base!I333,"")</f>
        <v/>
      </c>
      <c r="D333" s="164">
        <f>IFERROR(SKU_Base!T333,"")</f>
        <v/>
      </c>
      <c r="E333" s="141">
        <f>IFERROR(SKU_Base!$U333,"")</f>
        <v/>
      </c>
      <c r="F333" s="160">
        <f>IFERROR(ROUND(D333*(1-CHOOSE(MATCH(IF($E333="","Основний",$E333),{"Трафіковий","Основний","Маржинальний","Сезонний","Стратегічний"},0),Settings!$B$78,Settings!$B$80,Settings!$B$82,Settings!$B$84,Settings!$B$86))/6,2)*6,"")</f>
        <v/>
      </c>
      <c r="G333" s="142">
        <f>IFERROR(CHOOSE(MATCH(IF($E333="","Основний",$E333),{"Трафіковий","Основний","Маржинальний","Сезонний","Стратегічний"},0),Settings!$B$78,Settings!$B$80,Settings!$B$82,Settings!$B$84,Settings!$B$86),"")</f>
        <v/>
      </c>
      <c r="H333" s="148">
        <f>IFERROR((F333*(1-Settings!$B$17)-C333)/(F333*(1-Settings!$B$17)),"")</f>
        <v/>
      </c>
      <c r="I333" s="149">
        <f>IFERROR(IF(F333="","",IF(F333&gt;=C333/(1-SKU_Base!Z333)/(1-Settings!$B$17),"OK",IF(F333&gt;=C333/(1-SKU_Base!AG333)/(1-Settings!$B$17),"WARN","STOP"))),"")</f>
        <v/>
      </c>
      <c r="J333" s="160">
        <f>IFERROR(ROUND(D333*(1-CHOOSE(MATCH(IF($E333="","Основний",$E333),{"Трафіковий","Основний","Маржинальний","Сезонний","Стратегічний"},0),Settings!$C$78,Settings!$C$80,Settings!$C$82,Settings!$C$84,Settings!$C$86))/6,2)*6,"")</f>
        <v/>
      </c>
      <c r="K333" s="142">
        <f>IFERROR(CHOOSE(MATCH(IF($E333="","Основний",$E333),{"Трафіковий","Основний","Маржинальний","Сезонний","Стратегічний"},0),Settings!$C$78,Settings!$C$80,Settings!$C$82,Settings!$C$84,Settings!$C$86),"")</f>
        <v/>
      </c>
      <c r="L333" s="148">
        <f>IFERROR((J333*(1-Settings!$C$17)-C333)/(J333*(1-Settings!$C$17)),"")</f>
        <v/>
      </c>
      <c r="M333" s="149">
        <f>IFERROR(IF(J333="","",IF(J333&gt;=C333/(1-SKU_Base!AA333)/(1-Settings!$C$17),"OK",IF(J333&gt;=C333/(1-SKU_Base!AH333)/(1-Settings!$C$17),"WARN","STOP"))),"")</f>
        <v/>
      </c>
      <c r="N333" s="161">
        <f>IFERROR(ROUND(D333*(1-CHOOSE(MATCH(IF($E333="","Основний",$E333),{"Трафіковий","Основний","Маржинальний","Сезонний","Стратегічний"},0),Settings!$D$78,Settings!$D$80,Settings!$D$82,Settings!$D$84,Settings!$D$86))/6,2)*6,"")</f>
        <v/>
      </c>
      <c r="O333" s="142">
        <f>IFERROR(CHOOSE(MATCH(IF($E333="","Основний",$E333),{"Трафіковий","Основний","Маржинальний","Сезонний","Стратегічний"},0),Settings!$D$78,Settings!$D$80,Settings!$D$82,Settings!$D$84,Settings!$D$86),"")</f>
        <v/>
      </c>
      <c r="P333" s="148">
        <f>IFERROR((N333*(1-Settings!$D$17)-C333)/(N333*(1-Settings!$D$17)),"")</f>
        <v/>
      </c>
      <c r="Q333" s="149">
        <f>IFERROR(IF(N333="","",IF(N333&gt;=C333/(1-SKU_Base!AB333)/(1-Settings!$D$17),"OK",IF(N333&gt;=C333/(1-SKU_Base!AI333)/(1-Settings!$D$17),"WARN","STOP"))),"")</f>
        <v/>
      </c>
      <c r="R333" s="161">
        <f>IFERROR(ROUND(D333*(1-CHOOSE(MATCH(IF($E333="","Основний",$E333),{"Трафіковий","Основний","Маржинальний","Сезонний","Стратегічний"},0),Settings!$E$78,Settings!$E$80,Settings!$E$82,Settings!$E$84,Settings!$E$86))/6,2)*6,"")</f>
        <v/>
      </c>
      <c r="S333" s="142">
        <f>IFERROR(CHOOSE(MATCH(IF($E333="","Основний",$E333),{"Трафіковий","Основний","Маржинальний","Сезонний","Стратегічний"},0),Settings!$E$78,Settings!$E$80,Settings!$E$82,Settings!$E$84,Settings!$E$86),"")</f>
        <v/>
      </c>
      <c r="T333" s="148">
        <f>IFERROR((R333*(1-Settings!$E$17)-C333)/(R333*(1-Settings!$E$17)),"")</f>
        <v/>
      </c>
      <c r="U333" s="149">
        <f>IFERROR(IF(R333="","",IF(R333&gt;=C333/(1-SKU_Base!AC333)/(1-Settings!$E$17),"OK",IF(R333&gt;=C333/(1-SKU_Base!AJ333)/(1-Settings!$E$17),"WARN","STOP"))),"")</f>
        <v/>
      </c>
      <c r="V333" s="161">
        <f>IFERROR(ROUND(D333*(1-CHOOSE(MATCH(IF($E333="","Основний",$E333),{"Трафіковий","Основний","Маржинальний","Сезонний","Стратегічний"},0),Settings!$F$78,Settings!$F$80,Settings!$F$82,Settings!$F$84,Settings!$F$86))/6,2)*6,"")</f>
        <v/>
      </c>
      <c r="W333" s="142">
        <f>IFERROR(CHOOSE(MATCH(IF($E333="","Основний",$E333),{"Трафіковий","Основний","Маржинальний","Сезонний","Стратегічний"},0),Settings!$F$78,Settings!$F$80,Settings!$F$82,Settings!$F$84,Settings!$F$86),"")</f>
        <v/>
      </c>
      <c r="X333" s="148">
        <f>IFERROR((V333*(1-Settings!$F$17)-C333)/(V333*(1-Settings!$F$17)),"")</f>
        <v/>
      </c>
      <c r="Y333" s="149">
        <f>IFERROR(IF(V333="","",IF(V333&gt;=C333/(1-SKU_Base!AD333)/(1-Settings!$F$17),"OK",IF(V333&gt;=C333/(1-SKU_Base!AK333)/(1-Settings!$F$17),"WARN","STOP"))),"")</f>
        <v/>
      </c>
      <c r="Z333" s="161">
        <f>IFERROR(ROUND(D333*(1-CHOOSE(MATCH(IF($E333="","Основний",$E333),{"Трафіковий","Основний","Маржинальний","Сезонний","Стратегічний"},0),Settings!$G$78,Settings!$G$80,Settings!$G$82,Settings!$G$84,Settings!$G$86))/6,2)*6,"")</f>
        <v/>
      </c>
      <c r="AA333" s="142">
        <f>IFERROR(CHOOSE(MATCH(IF($E333="","Основний",$E333),{"Трафіковий","Основний","Маржинальний","Сезонний","Стратегічний"},0),Settings!$G$78,Settings!$G$80,Settings!$G$82,Settings!$G$84,Settings!$G$86),"")</f>
        <v/>
      </c>
      <c r="AB333" s="148">
        <f>IFERROR((Z333*(1-Settings!$G$17)-C333)/(Z333*(1-Settings!$G$17)),"")</f>
        <v/>
      </c>
      <c r="AC333" s="149">
        <f>IFERROR(IF(Z333="","",IF(Z333&gt;=C333/(1-SKU_Base!AE333)/(1-Settings!$G$17),"OK",IF(Z333&gt;=C333/(1-SKU_Base!AL333)/(1-Settings!$G$17),"WARN","STOP"))),"")</f>
        <v/>
      </c>
      <c r="AD333" s="161">
        <f>IFERROR(ROUND(D333*(1-CHOOSE(MATCH(IF($E333="","Основний",$E333),{"Трафіковий","Основний","Маржинальний","Сезонний","Стратегічний"},0),Settings!$H$78,Settings!$H$80,Settings!$H$82,Settings!$H$84,Settings!$H$86))*(1-Settings!$H$68)/6,2)*6,"")</f>
        <v/>
      </c>
      <c r="AE333" s="142">
        <f>IFERROR(CHOOSE(MATCH(IF($E333="","Основний",$E333),{"Трафіковий","Основний","Маржинальний","Сезонний","Стратегічний"},0),Settings!$H$78,Settings!$H$80,Settings!$H$82,Settings!$H$84,Settings!$H$86)+(1-(CHOOSE(MATCH(IF($E333="","Основний",$E333),{"Трафіковий","Основний","Маржинальний","Сезонний","Стратегічний"},0),Settings!$H$78,Settings!$H$80,Settings!$H$82,Settings!$H$84,Settings!$H$86)))*Settings!$H$68,"")</f>
        <v/>
      </c>
      <c r="AF333" s="148">
        <f>IFERROR((AD333*(1-Settings!$H$17)-C333)/(AD333*(1-Settings!$H$17)),"")</f>
        <v/>
      </c>
      <c r="AG333" s="150">
        <f>IFERROR(IF(AD333="","",IF(AD333&gt;=C333/(1-SKU_Base!AF333)/(1-Settings!$H$17),"OK",IF(AD333&gt;=C333/(1-SKU_Base!AM333)/(1-Settings!$H$17),"WARN","STOP"))),"")</f>
        <v/>
      </c>
    </row>
    <row r="334" ht="17" customHeight="1" s="179">
      <c r="A334" s="139">
        <f>SKU_Base!B334</f>
        <v/>
      </c>
      <c r="B334" s="139">
        <f>SKU_Base!C334</f>
        <v/>
      </c>
      <c r="C334" s="140">
        <f>IFERROR(SKU_Base!I334,"")</f>
        <v/>
      </c>
      <c r="D334" s="163">
        <f>IFERROR(SKU_Base!T334,"")</f>
        <v/>
      </c>
      <c r="E334" s="141">
        <f>IFERROR(SKU_Base!$U334,"")</f>
        <v/>
      </c>
      <c r="F334" s="158">
        <f>IFERROR(ROUND(D334*(1-CHOOSE(MATCH(IF($E334="","Основний",$E334),{"Трафіковий","Основний","Маржинальний","Сезонний","Стратегічний"},0),Settings!$B$78,Settings!$B$80,Settings!$B$82,Settings!$B$84,Settings!$B$86))/6,2)*6,"")</f>
        <v/>
      </c>
      <c r="G334" s="142">
        <f>IFERROR(CHOOSE(MATCH(IF($E334="","Основний",$E334),{"Трафіковий","Основний","Маржинальний","Сезонний","Стратегічний"},0),Settings!$B$78,Settings!$B$80,Settings!$B$82,Settings!$B$84,Settings!$B$86),"")</f>
        <v/>
      </c>
      <c r="H334" s="143">
        <f>IFERROR((F334*(1-Settings!$B$17)-C334)/(F334*(1-Settings!$B$17)),"")</f>
        <v/>
      </c>
      <c r="I334" s="149">
        <f>IFERROR(IF(F334="","",IF(F334&gt;=C334/(1-SKU_Base!Z334)/(1-Settings!$B$17),"OK",IF(F334&gt;=C334/(1-SKU_Base!AG334)/(1-Settings!$B$17),"WARN","STOP"))),"")</f>
        <v/>
      </c>
      <c r="J334" s="158">
        <f>IFERROR(ROUND(D334*(1-CHOOSE(MATCH(IF($E334="","Основний",$E334),{"Трафіковий","Основний","Маржинальний","Сезонний","Стратегічний"},0),Settings!$C$78,Settings!$C$80,Settings!$C$82,Settings!$C$84,Settings!$C$86))/6,2)*6,"")</f>
        <v/>
      </c>
      <c r="K334" s="142">
        <f>IFERROR(CHOOSE(MATCH(IF($E334="","Основний",$E334),{"Трафіковий","Основний","Маржинальний","Сезонний","Стратегічний"},0),Settings!$C$78,Settings!$C$80,Settings!$C$82,Settings!$C$84,Settings!$C$86),"")</f>
        <v/>
      </c>
      <c r="L334" s="143">
        <f>IFERROR((J334*(1-Settings!$C$17)-C334)/(J334*(1-Settings!$C$17)),"")</f>
        <v/>
      </c>
      <c r="M334" s="149">
        <f>IFERROR(IF(J334="","",IF(J334&gt;=C334/(1-SKU_Base!AA334)/(1-Settings!$C$17),"OK",IF(J334&gt;=C334/(1-SKU_Base!AH334)/(1-Settings!$C$17),"WARN","STOP"))),"")</f>
        <v/>
      </c>
      <c r="N334" s="159">
        <f>IFERROR(ROUND(D334*(1-CHOOSE(MATCH(IF($E334="","Основний",$E334),{"Трафіковий","Основний","Маржинальний","Сезонний","Стратегічний"},0),Settings!$D$78,Settings!$D$80,Settings!$D$82,Settings!$D$84,Settings!$D$86))/6,2)*6,"")</f>
        <v/>
      </c>
      <c r="O334" s="142">
        <f>IFERROR(CHOOSE(MATCH(IF($E334="","Основний",$E334),{"Трафіковий","Основний","Маржинальний","Сезонний","Стратегічний"},0),Settings!$D$78,Settings!$D$80,Settings!$D$82,Settings!$D$84,Settings!$D$86),"")</f>
        <v/>
      </c>
      <c r="P334" s="143">
        <f>IFERROR((N334*(1-Settings!$D$17)-C334)/(N334*(1-Settings!$D$17)),"")</f>
        <v/>
      </c>
      <c r="Q334" s="149">
        <f>IFERROR(IF(N334="","",IF(N334&gt;=C334/(1-SKU_Base!AB334)/(1-Settings!$D$17),"OK",IF(N334&gt;=C334/(1-SKU_Base!AI334)/(1-Settings!$D$17),"WARN","STOP"))),"")</f>
        <v/>
      </c>
      <c r="R334" s="159">
        <f>IFERROR(ROUND(D334*(1-CHOOSE(MATCH(IF($E334="","Основний",$E334),{"Трафіковий","Основний","Маржинальний","Сезонний","Стратегічний"},0),Settings!$E$78,Settings!$E$80,Settings!$E$82,Settings!$E$84,Settings!$E$86))/6,2)*6,"")</f>
        <v/>
      </c>
      <c r="S334" s="142">
        <f>IFERROR(CHOOSE(MATCH(IF($E334="","Основний",$E334),{"Трафіковий","Основний","Маржинальний","Сезонний","Стратегічний"},0),Settings!$E$78,Settings!$E$80,Settings!$E$82,Settings!$E$84,Settings!$E$86),"")</f>
        <v/>
      </c>
      <c r="T334" s="143">
        <f>IFERROR((R334*(1-Settings!$E$17)-C334)/(R334*(1-Settings!$E$17)),"")</f>
        <v/>
      </c>
      <c r="U334" s="149">
        <f>IFERROR(IF(R334="","",IF(R334&gt;=C334/(1-SKU_Base!AC334)/(1-Settings!$E$17),"OK",IF(R334&gt;=C334/(1-SKU_Base!AJ334)/(1-Settings!$E$17),"WARN","STOP"))),"")</f>
        <v/>
      </c>
      <c r="V334" s="159">
        <f>IFERROR(ROUND(D334*(1-CHOOSE(MATCH(IF($E334="","Основний",$E334),{"Трафіковий","Основний","Маржинальний","Сезонний","Стратегічний"},0),Settings!$F$78,Settings!$F$80,Settings!$F$82,Settings!$F$84,Settings!$F$86))/6,2)*6,"")</f>
        <v/>
      </c>
      <c r="W334" s="142">
        <f>IFERROR(CHOOSE(MATCH(IF($E334="","Основний",$E334),{"Трафіковий","Основний","Маржинальний","Сезонний","Стратегічний"},0),Settings!$F$78,Settings!$F$80,Settings!$F$82,Settings!$F$84,Settings!$F$86),"")</f>
        <v/>
      </c>
      <c r="X334" s="143">
        <f>IFERROR((V334*(1-Settings!$F$17)-C334)/(V334*(1-Settings!$F$17)),"")</f>
        <v/>
      </c>
      <c r="Y334" s="149">
        <f>IFERROR(IF(V334="","",IF(V334&gt;=C334/(1-SKU_Base!AD334)/(1-Settings!$F$17),"OK",IF(V334&gt;=C334/(1-SKU_Base!AK334)/(1-Settings!$F$17),"WARN","STOP"))),"")</f>
        <v/>
      </c>
      <c r="Z334" s="159">
        <f>IFERROR(ROUND(D334*(1-CHOOSE(MATCH(IF($E334="","Основний",$E334),{"Трафіковий","Основний","Маржинальний","Сезонний","Стратегічний"},0),Settings!$G$78,Settings!$G$80,Settings!$G$82,Settings!$G$84,Settings!$G$86))/6,2)*6,"")</f>
        <v/>
      </c>
      <c r="AA334" s="142">
        <f>IFERROR(CHOOSE(MATCH(IF($E334="","Основний",$E334),{"Трафіковий","Основний","Маржинальний","Сезонний","Стратегічний"},0),Settings!$G$78,Settings!$G$80,Settings!$G$82,Settings!$G$84,Settings!$G$86),"")</f>
        <v/>
      </c>
      <c r="AB334" s="143">
        <f>IFERROR((Z334*(1-Settings!$G$17)-C334)/(Z334*(1-Settings!$G$17)),"")</f>
        <v/>
      </c>
      <c r="AC334" s="149">
        <f>IFERROR(IF(Z334="","",IF(Z334&gt;=C334/(1-SKU_Base!AE334)/(1-Settings!$G$17),"OK",IF(Z334&gt;=C334/(1-SKU_Base!AL334)/(1-Settings!$G$17),"WARN","STOP"))),"")</f>
        <v/>
      </c>
      <c r="AD334" s="159">
        <f>IFERROR(ROUND(D334*(1-CHOOSE(MATCH(IF($E334="","Основний",$E334),{"Трафіковий","Основний","Маржинальний","Сезонний","Стратегічний"},0),Settings!$H$78,Settings!$H$80,Settings!$H$82,Settings!$H$84,Settings!$H$86))*(1-Settings!$H$68)/6,2)*6,"")</f>
        <v/>
      </c>
      <c r="AE334" s="142">
        <f>IFERROR(CHOOSE(MATCH(IF($E334="","Основний",$E334),{"Трафіковий","Основний","Маржинальний","Сезонний","Стратегічний"},0),Settings!$H$78,Settings!$H$80,Settings!$H$82,Settings!$H$84,Settings!$H$86)+(1-(CHOOSE(MATCH(IF($E334="","Основний",$E334),{"Трафіковий","Основний","Маржинальний","Сезонний","Стратегічний"},0),Settings!$H$78,Settings!$H$80,Settings!$H$82,Settings!$H$84,Settings!$H$86)))*Settings!$H$68,"")</f>
        <v/>
      </c>
      <c r="AF334" s="143">
        <f>IFERROR((AD334*(1-Settings!$H$17)-C334)/(AD334*(1-Settings!$H$17)),"")</f>
        <v/>
      </c>
      <c r="AG334" s="150">
        <f>IFERROR(IF(AD334="","",IF(AD334&gt;=C334/(1-SKU_Base!AF334)/(1-Settings!$H$17),"OK",IF(AD334&gt;=C334/(1-SKU_Base!AM334)/(1-Settings!$H$17),"WARN","STOP"))),"")</f>
        <v/>
      </c>
    </row>
    <row r="335" ht="17" customHeight="1" s="179">
      <c r="A335" s="146">
        <f>SKU_Base!B335</f>
        <v/>
      </c>
      <c r="B335" s="146">
        <f>SKU_Base!C335</f>
        <v/>
      </c>
      <c r="C335" s="147">
        <f>IFERROR(SKU_Base!I335,"")</f>
        <v/>
      </c>
      <c r="D335" s="164">
        <f>IFERROR(SKU_Base!T335,"")</f>
        <v/>
      </c>
      <c r="E335" s="141">
        <f>IFERROR(SKU_Base!$U335,"")</f>
        <v/>
      </c>
      <c r="F335" s="160">
        <f>IFERROR(ROUND(D335*(1-CHOOSE(MATCH(IF($E335="","Основний",$E335),{"Трафіковий","Основний","Маржинальний","Сезонний","Стратегічний"},0),Settings!$B$78,Settings!$B$80,Settings!$B$82,Settings!$B$84,Settings!$B$86))/6,2)*6,"")</f>
        <v/>
      </c>
      <c r="G335" s="142">
        <f>IFERROR(CHOOSE(MATCH(IF($E335="","Основний",$E335),{"Трафіковий","Основний","Маржинальний","Сезонний","Стратегічний"},0),Settings!$B$78,Settings!$B$80,Settings!$B$82,Settings!$B$84,Settings!$B$86),"")</f>
        <v/>
      </c>
      <c r="H335" s="148">
        <f>IFERROR((F335*(1-Settings!$B$17)-C335)/(F335*(1-Settings!$B$17)),"")</f>
        <v/>
      </c>
      <c r="I335" s="149">
        <f>IFERROR(IF(F335="","",IF(F335&gt;=C335/(1-SKU_Base!Z335)/(1-Settings!$B$17),"OK",IF(F335&gt;=C335/(1-SKU_Base!AG335)/(1-Settings!$B$17),"WARN","STOP"))),"")</f>
        <v/>
      </c>
      <c r="J335" s="160">
        <f>IFERROR(ROUND(D335*(1-CHOOSE(MATCH(IF($E335="","Основний",$E335),{"Трафіковий","Основний","Маржинальний","Сезонний","Стратегічний"},0),Settings!$C$78,Settings!$C$80,Settings!$C$82,Settings!$C$84,Settings!$C$86))/6,2)*6,"")</f>
        <v/>
      </c>
      <c r="K335" s="142">
        <f>IFERROR(CHOOSE(MATCH(IF($E335="","Основний",$E335),{"Трафіковий","Основний","Маржинальний","Сезонний","Стратегічний"},0),Settings!$C$78,Settings!$C$80,Settings!$C$82,Settings!$C$84,Settings!$C$86),"")</f>
        <v/>
      </c>
      <c r="L335" s="148">
        <f>IFERROR((J335*(1-Settings!$C$17)-C335)/(J335*(1-Settings!$C$17)),"")</f>
        <v/>
      </c>
      <c r="M335" s="149">
        <f>IFERROR(IF(J335="","",IF(J335&gt;=C335/(1-SKU_Base!AA335)/(1-Settings!$C$17),"OK",IF(J335&gt;=C335/(1-SKU_Base!AH335)/(1-Settings!$C$17),"WARN","STOP"))),"")</f>
        <v/>
      </c>
      <c r="N335" s="161">
        <f>IFERROR(ROUND(D335*(1-CHOOSE(MATCH(IF($E335="","Основний",$E335),{"Трафіковий","Основний","Маржинальний","Сезонний","Стратегічний"},0),Settings!$D$78,Settings!$D$80,Settings!$D$82,Settings!$D$84,Settings!$D$86))/6,2)*6,"")</f>
        <v/>
      </c>
      <c r="O335" s="142">
        <f>IFERROR(CHOOSE(MATCH(IF($E335="","Основний",$E335),{"Трафіковий","Основний","Маржинальний","Сезонний","Стратегічний"},0),Settings!$D$78,Settings!$D$80,Settings!$D$82,Settings!$D$84,Settings!$D$86),"")</f>
        <v/>
      </c>
      <c r="P335" s="148">
        <f>IFERROR((N335*(1-Settings!$D$17)-C335)/(N335*(1-Settings!$D$17)),"")</f>
        <v/>
      </c>
      <c r="Q335" s="149">
        <f>IFERROR(IF(N335="","",IF(N335&gt;=C335/(1-SKU_Base!AB335)/(1-Settings!$D$17),"OK",IF(N335&gt;=C335/(1-SKU_Base!AI335)/(1-Settings!$D$17),"WARN","STOP"))),"")</f>
        <v/>
      </c>
      <c r="R335" s="161">
        <f>IFERROR(ROUND(D335*(1-CHOOSE(MATCH(IF($E335="","Основний",$E335),{"Трафіковий","Основний","Маржинальний","Сезонний","Стратегічний"},0),Settings!$E$78,Settings!$E$80,Settings!$E$82,Settings!$E$84,Settings!$E$86))/6,2)*6,"")</f>
        <v/>
      </c>
      <c r="S335" s="142">
        <f>IFERROR(CHOOSE(MATCH(IF($E335="","Основний",$E335),{"Трафіковий","Основний","Маржинальний","Сезонний","Стратегічний"},0),Settings!$E$78,Settings!$E$80,Settings!$E$82,Settings!$E$84,Settings!$E$86),"")</f>
        <v/>
      </c>
      <c r="T335" s="148">
        <f>IFERROR((R335*(1-Settings!$E$17)-C335)/(R335*(1-Settings!$E$17)),"")</f>
        <v/>
      </c>
      <c r="U335" s="149">
        <f>IFERROR(IF(R335="","",IF(R335&gt;=C335/(1-SKU_Base!AC335)/(1-Settings!$E$17),"OK",IF(R335&gt;=C335/(1-SKU_Base!AJ335)/(1-Settings!$E$17),"WARN","STOP"))),"")</f>
        <v/>
      </c>
      <c r="V335" s="161">
        <f>IFERROR(ROUND(D335*(1-CHOOSE(MATCH(IF($E335="","Основний",$E335),{"Трафіковий","Основний","Маржинальний","Сезонний","Стратегічний"},0),Settings!$F$78,Settings!$F$80,Settings!$F$82,Settings!$F$84,Settings!$F$86))/6,2)*6,"")</f>
        <v/>
      </c>
      <c r="W335" s="142">
        <f>IFERROR(CHOOSE(MATCH(IF($E335="","Основний",$E335),{"Трафіковий","Основний","Маржинальний","Сезонний","Стратегічний"},0),Settings!$F$78,Settings!$F$80,Settings!$F$82,Settings!$F$84,Settings!$F$86),"")</f>
        <v/>
      </c>
      <c r="X335" s="148">
        <f>IFERROR((V335*(1-Settings!$F$17)-C335)/(V335*(1-Settings!$F$17)),"")</f>
        <v/>
      </c>
      <c r="Y335" s="149">
        <f>IFERROR(IF(V335="","",IF(V335&gt;=C335/(1-SKU_Base!AD335)/(1-Settings!$F$17),"OK",IF(V335&gt;=C335/(1-SKU_Base!AK335)/(1-Settings!$F$17),"WARN","STOP"))),"")</f>
        <v/>
      </c>
      <c r="Z335" s="161">
        <f>IFERROR(ROUND(D335*(1-CHOOSE(MATCH(IF($E335="","Основний",$E335),{"Трафіковий","Основний","Маржинальний","Сезонний","Стратегічний"},0),Settings!$G$78,Settings!$G$80,Settings!$G$82,Settings!$G$84,Settings!$G$86))/6,2)*6,"")</f>
        <v/>
      </c>
      <c r="AA335" s="142">
        <f>IFERROR(CHOOSE(MATCH(IF($E335="","Основний",$E335),{"Трафіковий","Основний","Маржинальний","Сезонний","Стратегічний"},0),Settings!$G$78,Settings!$G$80,Settings!$G$82,Settings!$G$84,Settings!$G$86),"")</f>
        <v/>
      </c>
      <c r="AB335" s="148">
        <f>IFERROR((Z335*(1-Settings!$G$17)-C335)/(Z335*(1-Settings!$G$17)),"")</f>
        <v/>
      </c>
      <c r="AC335" s="149">
        <f>IFERROR(IF(Z335="","",IF(Z335&gt;=C335/(1-SKU_Base!AE335)/(1-Settings!$G$17),"OK",IF(Z335&gt;=C335/(1-SKU_Base!AL335)/(1-Settings!$G$17),"WARN","STOP"))),"")</f>
        <v/>
      </c>
      <c r="AD335" s="161">
        <f>IFERROR(ROUND(D335*(1-CHOOSE(MATCH(IF($E335="","Основний",$E335),{"Трафіковий","Основний","Маржинальний","Сезонний","Стратегічний"},0),Settings!$H$78,Settings!$H$80,Settings!$H$82,Settings!$H$84,Settings!$H$86))*(1-Settings!$H$68)/6,2)*6,"")</f>
        <v/>
      </c>
      <c r="AE335" s="142">
        <f>IFERROR(CHOOSE(MATCH(IF($E335="","Основний",$E335),{"Трафіковий","Основний","Маржинальний","Сезонний","Стратегічний"},0),Settings!$H$78,Settings!$H$80,Settings!$H$82,Settings!$H$84,Settings!$H$86)+(1-(CHOOSE(MATCH(IF($E335="","Основний",$E335),{"Трафіковий","Основний","Маржинальний","Сезонний","Стратегічний"},0),Settings!$H$78,Settings!$H$80,Settings!$H$82,Settings!$H$84,Settings!$H$86)))*Settings!$H$68,"")</f>
        <v/>
      </c>
      <c r="AF335" s="148">
        <f>IFERROR((AD335*(1-Settings!$H$17)-C335)/(AD335*(1-Settings!$H$17)),"")</f>
        <v/>
      </c>
      <c r="AG335" s="150">
        <f>IFERROR(IF(AD335="","",IF(AD335&gt;=C335/(1-SKU_Base!AF335)/(1-Settings!$H$17),"OK",IF(AD335&gt;=C335/(1-SKU_Base!AM335)/(1-Settings!$H$17),"WARN","STOP"))),"")</f>
        <v/>
      </c>
    </row>
    <row r="336" ht="17" customHeight="1" s="179">
      <c r="A336" s="139">
        <f>SKU_Base!B336</f>
        <v/>
      </c>
      <c r="B336" s="139">
        <f>SKU_Base!C336</f>
        <v/>
      </c>
      <c r="C336" s="140">
        <f>IFERROR(SKU_Base!I336,"")</f>
        <v/>
      </c>
      <c r="D336" s="163">
        <f>IFERROR(SKU_Base!T336,"")</f>
        <v/>
      </c>
      <c r="E336" s="141">
        <f>IFERROR(SKU_Base!$U336,"")</f>
        <v/>
      </c>
      <c r="F336" s="158">
        <f>IFERROR(ROUND(D336*(1-CHOOSE(MATCH(IF($E336="","Основний",$E336),{"Трафіковий","Основний","Маржинальний","Сезонний","Стратегічний"},0),Settings!$B$78,Settings!$B$80,Settings!$B$82,Settings!$B$84,Settings!$B$86))/6,2)*6,"")</f>
        <v/>
      </c>
      <c r="G336" s="142">
        <f>IFERROR(CHOOSE(MATCH(IF($E336="","Основний",$E336),{"Трафіковий","Основний","Маржинальний","Сезонний","Стратегічний"},0),Settings!$B$78,Settings!$B$80,Settings!$B$82,Settings!$B$84,Settings!$B$86),"")</f>
        <v/>
      </c>
      <c r="H336" s="143">
        <f>IFERROR((F336*(1-Settings!$B$17)-C336)/(F336*(1-Settings!$B$17)),"")</f>
        <v/>
      </c>
      <c r="I336" s="150">
        <f>IFERROR(IF(F336="","",IF(F336&gt;=C336/(1-SKU_Base!Z336)/(1-Settings!$B$17),"OK",IF(F336&gt;=C336/(1-SKU_Base!AG336)/(1-Settings!$B$17),"WARN","STOP"))),"")</f>
        <v/>
      </c>
      <c r="J336" s="158">
        <f>IFERROR(ROUND(D336*(1-CHOOSE(MATCH(IF($E336="","Основний",$E336),{"Трафіковий","Основний","Маржинальний","Сезонний","Стратегічний"},0),Settings!$C$78,Settings!$C$80,Settings!$C$82,Settings!$C$84,Settings!$C$86))/6,2)*6,"")</f>
        <v/>
      </c>
      <c r="K336" s="142">
        <f>IFERROR(CHOOSE(MATCH(IF($E336="","Основний",$E336),{"Трафіковий","Основний","Маржинальний","Сезонний","Стратегічний"},0),Settings!$C$78,Settings!$C$80,Settings!$C$82,Settings!$C$84,Settings!$C$86),"")</f>
        <v/>
      </c>
      <c r="L336" s="143">
        <f>IFERROR((J336*(1-Settings!$C$17)-C336)/(J336*(1-Settings!$C$17)),"")</f>
        <v/>
      </c>
      <c r="M336" s="149">
        <f>IFERROR(IF(J336="","",IF(J336&gt;=C336/(1-SKU_Base!AA336)/(1-Settings!$C$17),"OK",IF(J336&gt;=C336/(1-SKU_Base!AH336)/(1-Settings!$C$17),"WARN","STOP"))),"")</f>
        <v/>
      </c>
      <c r="N336" s="159">
        <f>IFERROR(ROUND(D336*(1-CHOOSE(MATCH(IF($E336="","Основний",$E336),{"Трафіковий","Основний","Маржинальний","Сезонний","Стратегічний"},0),Settings!$D$78,Settings!$D$80,Settings!$D$82,Settings!$D$84,Settings!$D$86))/6,2)*6,"")</f>
        <v/>
      </c>
      <c r="O336" s="142">
        <f>IFERROR(CHOOSE(MATCH(IF($E336="","Основний",$E336),{"Трафіковий","Основний","Маржинальний","Сезонний","Стратегічний"},0),Settings!$D$78,Settings!$D$80,Settings!$D$82,Settings!$D$84,Settings!$D$86),"")</f>
        <v/>
      </c>
      <c r="P336" s="143">
        <f>IFERROR((N336*(1-Settings!$D$17)-C336)/(N336*(1-Settings!$D$17)),"")</f>
        <v/>
      </c>
      <c r="Q336" s="149">
        <f>IFERROR(IF(N336="","",IF(N336&gt;=C336/(1-SKU_Base!AB336)/(1-Settings!$D$17),"OK",IF(N336&gt;=C336/(1-SKU_Base!AI336)/(1-Settings!$D$17),"WARN","STOP"))),"")</f>
        <v/>
      </c>
      <c r="R336" s="159">
        <f>IFERROR(ROUND(D336*(1-CHOOSE(MATCH(IF($E336="","Основний",$E336),{"Трафіковий","Основний","Маржинальний","Сезонний","Стратегічний"},0),Settings!$E$78,Settings!$E$80,Settings!$E$82,Settings!$E$84,Settings!$E$86))/6,2)*6,"")</f>
        <v/>
      </c>
      <c r="S336" s="142">
        <f>IFERROR(CHOOSE(MATCH(IF($E336="","Основний",$E336),{"Трафіковий","Основний","Маржинальний","Сезонний","Стратегічний"},0),Settings!$E$78,Settings!$E$80,Settings!$E$82,Settings!$E$84,Settings!$E$86),"")</f>
        <v/>
      </c>
      <c r="T336" s="143">
        <f>IFERROR((R336*(1-Settings!$E$17)-C336)/(R336*(1-Settings!$E$17)),"")</f>
        <v/>
      </c>
      <c r="U336" s="149">
        <f>IFERROR(IF(R336="","",IF(R336&gt;=C336/(1-SKU_Base!AC336)/(1-Settings!$E$17),"OK",IF(R336&gt;=C336/(1-SKU_Base!AJ336)/(1-Settings!$E$17),"WARN","STOP"))),"")</f>
        <v/>
      </c>
      <c r="V336" s="159">
        <f>IFERROR(ROUND(D336*(1-CHOOSE(MATCH(IF($E336="","Основний",$E336),{"Трафіковий","Основний","Маржинальний","Сезонний","Стратегічний"},0),Settings!$F$78,Settings!$F$80,Settings!$F$82,Settings!$F$84,Settings!$F$86))/6,2)*6,"")</f>
        <v/>
      </c>
      <c r="W336" s="142">
        <f>IFERROR(CHOOSE(MATCH(IF($E336="","Основний",$E336),{"Трафіковий","Основний","Маржинальний","Сезонний","Стратегічний"},0),Settings!$F$78,Settings!$F$80,Settings!$F$82,Settings!$F$84,Settings!$F$86),"")</f>
        <v/>
      </c>
      <c r="X336" s="143">
        <f>IFERROR((V336*(1-Settings!$F$17)-C336)/(V336*(1-Settings!$F$17)),"")</f>
        <v/>
      </c>
      <c r="Y336" s="149">
        <f>IFERROR(IF(V336="","",IF(V336&gt;=C336/(1-SKU_Base!AD336)/(1-Settings!$F$17),"OK",IF(V336&gt;=C336/(1-SKU_Base!AK336)/(1-Settings!$F$17),"WARN","STOP"))),"")</f>
        <v/>
      </c>
      <c r="Z336" s="159">
        <f>IFERROR(ROUND(D336*(1-CHOOSE(MATCH(IF($E336="","Основний",$E336),{"Трафіковий","Основний","Маржинальний","Сезонний","Стратегічний"},0),Settings!$G$78,Settings!$G$80,Settings!$G$82,Settings!$G$84,Settings!$G$86))/6,2)*6,"")</f>
        <v/>
      </c>
      <c r="AA336" s="142">
        <f>IFERROR(CHOOSE(MATCH(IF($E336="","Основний",$E336),{"Трафіковий","Основний","Маржинальний","Сезонний","Стратегічний"},0),Settings!$G$78,Settings!$G$80,Settings!$G$82,Settings!$G$84,Settings!$G$86),"")</f>
        <v/>
      </c>
      <c r="AB336" s="143">
        <f>IFERROR((Z336*(1-Settings!$G$17)-C336)/(Z336*(1-Settings!$G$17)),"")</f>
        <v/>
      </c>
      <c r="AC336" s="149">
        <f>IFERROR(IF(Z336="","",IF(Z336&gt;=C336/(1-SKU_Base!AE336)/(1-Settings!$G$17),"OK",IF(Z336&gt;=C336/(1-SKU_Base!AL336)/(1-Settings!$G$17),"WARN","STOP"))),"")</f>
        <v/>
      </c>
      <c r="AD336" s="159">
        <f>IFERROR(ROUND(D336*(1-CHOOSE(MATCH(IF($E336="","Основний",$E336),{"Трафіковий","Основний","Маржинальний","Сезонний","Стратегічний"},0),Settings!$H$78,Settings!$H$80,Settings!$H$82,Settings!$H$84,Settings!$H$86))*(1-Settings!$H$68)/6,2)*6,"")</f>
        <v/>
      </c>
      <c r="AE336" s="142">
        <f>IFERROR(CHOOSE(MATCH(IF($E336="","Основний",$E336),{"Трафіковий","Основний","Маржинальний","Сезонний","Стратегічний"},0),Settings!$H$78,Settings!$H$80,Settings!$H$82,Settings!$H$84,Settings!$H$86)+(1-(CHOOSE(MATCH(IF($E336="","Основний",$E336),{"Трафіковий","Основний","Маржинальний","Сезонний","Стратегічний"},0),Settings!$H$78,Settings!$H$80,Settings!$H$82,Settings!$H$84,Settings!$H$86)))*Settings!$H$68,"")</f>
        <v/>
      </c>
      <c r="AF336" s="143">
        <f>IFERROR((AD336*(1-Settings!$H$17)-C336)/(AD336*(1-Settings!$H$17)),"")</f>
        <v/>
      </c>
      <c r="AG336" s="150">
        <f>IFERROR(IF(AD336="","",IF(AD336&gt;=C336/(1-SKU_Base!AF336)/(1-Settings!$H$17),"OK",IF(AD336&gt;=C336/(1-SKU_Base!AM336)/(1-Settings!$H$17),"WARN","STOP"))),"")</f>
        <v/>
      </c>
    </row>
    <row r="337" ht="17" customHeight="1" s="179">
      <c r="A337" s="146">
        <f>SKU_Base!B337</f>
        <v/>
      </c>
      <c r="B337" s="146">
        <f>SKU_Base!C337</f>
        <v/>
      </c>
      <c r="C337" s="147">
        <f>IFERROR(SKU_Base!I337,"")</f>
        <v/>
      </c>
      <c r="D337" s="164">
        <f>IFERROR(SKU_Base!T337,"")</f>
        <v/>
      </c>
      <c r="E337" s="141">
        <f>IFERROR(SKU_Base!$U337,"")</f>
        <v/>
      </c>
      <c r="F337" s="160">
        <f>IFERROR(ROUND(D337*(1-CHOOSE(MATCH(IF($E337="","Основний",$E337),{"Трафіковий","Основний","Маржинальний","Сезонний","Стратегічний"},0),Settings!$B$78,Settings!$B$80,Settings!$B$82,Settings!$B$84,Settings!$B$86))/6,2)*6,"")</f>
        <v/>
      </c>
      <c r="G337" s="142">
        <f>IFERROR(CHOOSE(MATCH(IF($E337="","Основний",$E337),{"Трафіковий","Основний","Маржинальний","Сезонний","Стратегічний"},0),Settings!$B$78,Settings!$B$80,Settings!$B$82,Settings!$B$84,Settings!$B$86),"")</f>
        <v/>
      </c>
      <c r="H337" s="148">
        <f>IFERROR((F337*(1-Settings!$B$17)-C337)/(F337*(1-Settings!$B$17)),"")</f>
        <v/>
      </c>
      <c r="I337" s="149">
        <f>IFERROR(IF(F337="","",IF(F337&gt;=C337/(1-SKU_Base!Z337)/(1-Settings!$B$17),"OK",IF(F337&gt;=C337/(1-SKU_Base!AG337)/(1-Settings!$B$17),"WARN","STOP"))),"")</f>
        <v/>
      </c>
      <c r="J337" s="160">
        <f>IFERROR(ROUND(D337*(1-CHOOSE(MATCH(IF($E337="","Основний",$E337),{"Трафіковий","Основний","Маржинальний","Сезонний","Стратегічний"},0),Settings!$C$78,Settings!$C$80,Settings!$C$82,Settings!$C$84,Settings!$C$86))/6,2)*6,"")</f>
        <v/>
      </c>
      <c r="K337" s="142">
        <f>IFERROR(CHOOSE(MATCH(IF($E337="","Основний",$E337),{"Трафіковий","Основний","Маржинальний","Сезонний","Стратегічний"},0),Settings!$C$78,Settings!$C$80,Settings!$C$82,Settings!$C$84,Settings!$C$86),"")</f>
        <v/>
      </c>
      <c r="L337" s="148">
        <f>IFERROR((J337*(1-Settings!$C$17)-C337)/(J337*(1-Settings!$C$17)),"")</f>
        <v/>
      </c>
      <c r="M337" s="149">
        <f>IFERROR(IF(J337="","",IF(J337&gt;=C337/(1-SKU_Base!AA337)/(1-Settings!$C$17),"OK",IF(J337&gt;=C337/(1-SKU_Base!AH337)/(1-Settings!$C$17),"WARN","STOP"))),"")</f>
        <v/>
      </c>
      <c r="N337" s="161">
        <f>IFERROR(ROUND(D337*(1-CHOOSE(MATCH(IF($E337="","Основний",$E337),{"Трафіковий","Основний","Маржинальний","Сезонний","Стратегічний"},0),Settings!$D$78,Settings!$D$80,Settings!$D$82,Settings!$D$84,Settings!$D$86))/6,2)*6,"")</f>
        <v/>
      </c>
      <c r="O337" s="142">
        <f>IFERROR(CHOOSE(MATCH(IF($E337="","Основний",$E337),{"Трафіковий","Основний","Маржинальний","Сезонний","Стратегічний"},0),Settings!$D$78,Settings!$D$80,Settings!$D$82,Settings!$D$84,Settings!$D$86),"")</f>
        <v/>
      </c>
      <c r="P337" s="148">
        <f>IFERROR((N337*(1-Settings!$D$17)-C337)/(N337*(1-Settings!$D$17)),"")</f>
        <v/>
      </c>
      <c r="Q337" s="149">
        <f>IFERROR(IF(N337="","",IF(N337&gt;=C337/(1-SKU_Base!AB337)/(1-Settings!$D$17),"OK",IF(N337&gt;=C337/(1-SKU_Base!AI337)/(1-Settings!$D$17),"WARN","STOP"))),"")</f>
        <v/>
      </c>
      <c r="R337" s="161">
        <f>IFERROR(ROUND(D337*(1-CHOOSE(MATCH(IF($E337="","Основний",$E337),{"Трафіковий","Основний","Маржинальний","Сезонний","Стратегічний"},0),Settings!$E$78,Settings!$E$80,Settings!$E$82,Settings!$E$84,Settings!$E$86))/6,2)*6,"")</f>
        <v/>
      </c>
      <c r="S337" s="142">
        <f>IFERROR(CHOOSE(MATCH(IF($E337="","Основний",$E337),{"Трафіковий","Основний","Маржинальний","Сезонний","Стратегічний"},0),Settings!$E$78,Settings!$E$80,Settings!$E$82,Settings!$E$84,Settings!$E$86),"")</f>
        <v/>
      </c>
      <c r="T337" s="148">
        <f>IFERROR((R337*(1-Settings!$E$17)-C337)/(R337*(1-Settings!$E$17)),"")</f>
        <v/>
      </c>
      <c r="U337" s="149">
        <f>IFERROR(IF(R337="","",IF(R337&gt;=C337/(1-SKU_Base!AC337)/(1-Settings!$E$17),"OK",IF(R337&gt;=C337/(1-SKU_Base!AJ337)/(1-Settings!$E$17),"WARN","STOP"))),"")</f>
        <v/>
      </c>
      <c r="V337" s="161">
        <f>IFERROR(ROUND(D337*(1-CHOOSE(MATCH(IF($E337="","Основний",$E337),{"Трафіковий","Основний","Маржинальний","Сезонний","Стратегічний"},0),Settings!$F$78,Settings!$F$80,Settings!$F$82,Settings!$F$84,Settings!$F$86))/6,2)*6,"")</f>
        <v/>
      </c>
      <c r="W337" s="142">
        <f>IFERROR(CHOOSE(MATCH(IF($E337="","Основний",$E337),{"Трафіковий","Основний","Маржинальний","Сезонний","Стратегічний"},0),Settings!$F$78,Settings!$F$80,Settings!$F$82,Settings!$F$84,Settings!$F$86),"")</f>
        <v/>
      </c>
      <c r="X337" s="148">
        <f>IFERROR((V337*(1-Settings!$F$17)-C337)/(V337*(1-Settings!$F$17)),"")</f>
        <v/>
      </c>
      <c r="Y337" s="149">
        <f>IFERROR(IF(V337="","",IF(V337&gt;=C337/(1-SKU_Base!AD337)/(1-Settings!$F$17),"OK",IF(V337&gt;=C337/(1-SKU_Base!AK337)/(1-Settings!$F$17),"WARN","STOP"))),"")</f>
        <v/>
      </c>
      <c r="Z337" s="161">
        <f>IFERROR(ROUND(D337*(1-CHOOSE(MATCH(IF($E337="","Основний",$E337),{"Трафіковий","Основний","Маржинальний","Сезонний","Стратегічний"},0),Settings!$G$78,Settings!$G$80,Settings!$G$82,Settings!$G$84,Settings!$G$86))/6,2)*6,"")</f>
        <v/>
      </c>
      <c r="AA337" s="142">
        <f>IFERROR(CHOOSE(MATCH(IF($E337="","Основний",$E337),{"Трафіковий","Основний","Маржинальний","Сезонний","Стратегічний"},0),Settings!$G$78,Settings!$G$80,Settings!$G$82,Settings!$G$84,Settings!$G$86),"")</f>
        <v/>
      </c>
      <c r="AB337" s="148">
        <f>IFERROR((Z337*(1-Settings!$G$17)-C337)/(Z337*(1-Settings!$G$17)),"")</f>
        <v/>
      </c>
      <c r="AC337" s="149">
        <f>IFERROR(IF(Z337="","",IF(Z337&gt;=C337/(1-SKU_Base!AE337)/(1-Settings!$G$17),"OK",IF(Z337&gt;=C337/(1-SKU_Base!AL337)/(1-Settings!$G$17),"WARN","STOP"))),"")</f>
        <v/>
      </c>
      <c r="AD337" s="161">
        <f>IFERROR(ROUND(D337*(1-CHOOSE(MATCH(IF($E337="","Основний",$E337),{"Трафіковий","Основний","Маржинальний","Сезонний","Стратегічний"},0),Settings!$H$78,Settings!$H$80,Settings!$H$82,Settings!$H$84,Settings!$H$86))*(1-Settings!$H$68)/6,2)*6,"")</f>
        <v/>
      </c>
      <c r="AE337" s="142">
        <f>IFERROR(CHOOSE(MATCH(IF($E337="","Основний",$E337),{"Трафіковий","Основний","Маржинальний","Сезонний","Стратегічний"},0),Settings!$H$78,Settings!$H$80,Settings!$H$82,Settings!$H$84,Settings!$H$86)+(1-(CHOOSE(MATCH(IF($E337="","Основний",$E337),{"Трафіковий","Основний","Маржинальний","Сезонний","Стратегічний"},0),Settings!$H$78,Settings!$H$80,Settings!$H$82,Settings!$H$84,Settings!$H$86)))*Settings!$H$68,"")</f>
        <v/>
      </c>
      <c r="AF337" s="148">
        <f>IFERROR((AD337*(1-Settings!$H$17)-C337)/(AD337*(1-Settings!$H$17)),"")</f>
        <v/>
      </c>
      <c r="AG337" s="149">
        <f>IFERROR(IF(AD337="","",IF(AD337&gt;=C337/(1-SKU_Base!AF337)/(1-Settings!$H$17),"OK",IF(AD337&gt;=C337/(1-SKU_Base!AM337)/(1-Settings!$H$17),"WARN","STOP"))),"")</f>
        <v/>
      </c>
    </row>
    <row r="338" ht="17" customHeight="1" s="179">
      <c r="A338" s="139">
        <f>SKU_Base!B338</f>
        <v/>
      </c>
      <c r="B338" s="139">
        <f>SKU_Base!C338</f>
        <v/>
      </c>
      <c r="C338" s="140">
        <f>IFERROR(SKU_Base!I338,"")</f>
        <v/>
      </c>
      <c r="D338" s="163">
        <f>IFERROR(SKU_Base!T338,"")</f>
        <v/>
      </c>
      <c r="E338" s="141">
        <f>IFERROR(SKU_Base!$U338,"")</f>
        <v/>
      </c>
      <c r="F338" s="158">
        <f>IFERROR(ROUND(D338*(1-CHOOSE(MATCH(IF($E338="","Основний",$E338),{"Трафіковий","Основний","Маржинальний","Сезонний","Стратегічний"},0),Settings!$B$78,Settings!$B$80,Settings!$B$82,Settings!$B$84,Settings!$B$86))/6,2)*6,"")</f>
        <v/>
      </c>
      <c r="G338" s="142">
        <f>IFERROR(CHOOSE(MATCH(IF($E338="","Основний",$E338),{"Трафіковий","Основний","Маржинальний","Сезонний","Стратегічний"},0),Settings!$B$78,Settings!$B$80,Settings!$B$82,Settings!$B$84,Settings!$B$86),"")</f>
        <v/>
      </c>
      <c r="H338" s="143">
        <f>IFERROR((F338*(1-Settings!$B$17)-C338)/(F338*(1-Settings!$B$17)),"")</f>
        <v/>
      </c>
      <c r="I338" s="149">
        <f>IFERROR(IF(F338="","",IF(F338&gt;=C338/(1-SKU_Base!Z338)/(1-Settings!$B$17),"OK",IF(F338&gt;=C338/(1-SKU_Base!AG338)/(1-Settings!$B$17),"WARN","STOP"))),"")</f>
        <v/>
      </c>
      <c r="J338" s="158">
        <f>IFERROR(ROUND(D338*(1-CHOOSE(MATCH(IF($E338="","Основний",$E338),{"Трафіковий","Основний","Маржинальний","Сезонний","Стратегічний"},0),Settings!$C$78,Settings!$C$80,Settings!$C$82,Settings!$C$84,Settings!$C$86))/6,2)*6,"")</f>
        <v/>
      </c>
      <c r="K338" s="142">
        <f>IFERROR(CHOOSE(MATCH(IF($E338="","Основний",$E338),{"Трафіковий","Основний","Маржинальний","Сезонний","Стратегічний"},0),Settings!$C$78,Settings!$C$80,Settings!$C$82,Settings!$C$84,Settings!$C$86),"")</f>
        <v/>
      </c>
      <c r="L338" s="143">
        <f>IFERROR((J338*(1-Settings!$C$17)-C338)/(J338*(1-Settings!$C$17)),"")</f>
        <v/>
      </c>
      <c r="M338" s="149">
        <f>IFERROR(IF(J338="","",IF(J338&gt;=C338/(1-SKU_Base!AA338)/(1-Settings!$C$17),"OK",IF(J338&gt;=C338/(1-SKU_Base!AH338)/(1-Settings!$C$17),"WARN","STOP"))),"")</f>
        <v/>
      </c>
      <c r="N338" s="159">
        <f>IFERROR(ROUND(D338*(1-CHOOSE(MATCH(IF($E338="","Основний",$E338),{"Трафіковий","Основний","Маржинальний","Сезонний","Стратегічний"},0),Settings!$D$78,Settings!$D$80,Settings!$D$82,Settings!$D$84,Settings!$D$86))/6,2)*6,"")</f>
        <v/>
      </c>
      <c r="O338" s="142">
        <f>IFERROR(CHOOSE(MATCH(IF($E338="","Основний",$E338),{"Трафіковий","Основний","Маржинальний","Сезонний","Стратегічний"},0),Settings!$D$78,Settings!$D$80,Settings!$D$82,Settings!$D$84,Settings!$D$86),"")</f>
        <v/>
      </c>
      <c r="P338" s="143">
        <f>IFERROR((N338*(1-Settings!$D$17)-C338)/(N338*(1-Settings!$D$17)),"")</f>
        <v/>
      </c>
      <c r="Q338" s="149">
        <f>IFERROR(IF(N338="","",IF(N338&gt;=C338/(1-SKU_Base!AB338)/(1-Settings!$D$17),"OK",IF(N338&gt;=C338/(1-SKU_Base!AI338)/(1-Settings!$D$17),"WARN","STOP"))),"")</f>
        <v/>
      </c>
      <c r="R338" s="159">
        <f>IFERROR(ROUND(D338*(1-CHOOSE(MATCH(IF($E338="","Основний",$E338),{"Трафіковий","Основний","Маржинальний","Сезонний","Стратегічний"},0),Settings!$E$78,Settings!$E$80,Settings!$E$82,Settings!$E$84,Settings!$E$86))/6,2)*6,"")</f>
        <v/>
      </c>
      <c r="S338" s="142">
        <f>IFERROR(CHOOSE(MATCH(IF($E338="","Основний",$E338),{"Трафіковий","Основний","Маржинальний","Сезонний","Стратегічний"},0),Settings!$E$78,Settings!$E$80,Settings!$E$82,Settings!$E$84,Settings!$E$86),"")</f>
        <v/>
      </c>
      <c r="T338" s="143">
        <f>IFERROR((R338*(1-Settings!$E$17)-C338)/(R338*(1-Settings!$E$17)),"")</f>
        <v/>
      </c>
      <c r="U338" s="149">
        <f>IFERROR(IF(R338="","",IF(R338&gt;=C338/(1-SKU_Base!AC338)/(1-Settings!$E$17),"OK",IF(R338&gt;=C338/(1-SKU_Base!AJ338)/(1-Settings!$E$17),"WARN","STOP"))),"")</f>
        <v/>
      </c>
      <c r="V338" s="159">
        <f>IFERROR(ROUND(D338*(1-CHOOSE(MATCH(IF($E338="","Основний",$E338),{"Трафіковий","Основний","Маржинальний","Сезонний","Стратегічний"},0),Settings!$F$78,Settings!$F$80,Settings!$F$82,Settings!$F$84,Settings!$F$86))/6,2)*6,"")</f>
        <v/>
      </c>
      <c r="W338" s="142">
        <f>IFERROR(CHOOSE(MATCH(IF($E338="","Основний",$E338),{"Трафіковий","Основний","Маржинальний","Сезонний","Стратегічний"},0),Settings!$F$78,Settings!$F$80,Settings!$F$82,Settings!$F$84,Settings!$F$86),"")</f>
        <v/>
      </c>
      <c r="X338" s="143">
        <f>IFERROR((V338*(1-Settings!$F$17)-C338)/(V338*(1-Settings!$F$17)),"")</f>
        <v/>
      </c>
      <c r="Y338" s="149">
        <f>IFERROR(IF(V338="","",IF(V338&gt;=C338/(1-SKU_Base!AD338)/(1-Settings!$F$17),"OK",IF(V338&gt;=C338/(1-SKU_Base!AK338)/(1-Settings!$F$17),"WARN","STOP"))),"")</f>
        <v/>
      </c>
      <c r="Z338" s="159">
        <f>IFERROR(ROUND(D338*(1-CHOOSE(MATCH(IF($E338="","Основний",$E338),{"Трафіковий","Основний","Маржинальний","Сезонний","Стратегічний"},0),Settings!$G$78,Settings!$G$80,Settings!$G$82,Settings!$G$84,Settings!$G$86))/6,2)*6,"")</f>
        <v/>
      </c>
      <c r="AA338" s="142">
        <f>IFERROR(CHOOSE(MATCH(IF($E338="","Основний",$E338),{"Трафіковий","Основний","Маржинальний","Сезонний","Стратегічний"},0),Settings!$G$78,Settings!$G$80,Settings!$G$82,Settings!$G$84,Settings!$G$86),"")</f>
        <v/>
      </c>
      <c r="AB338" s="143">
        <f>IFERROR((Z338*(1-Settings!$G$17)-C338)/(Z338*(1-Settings!$G$17)),"")</f>
        <v/>
      </c>
      <c r="AC338" s="149">
        <f>IFERROR(IF(Z338="","",IF(Z338&gt;=C338/(1-SKU_Base!AE338)/(1-Settings!$G$17),"OK",IF(Z338&gt;=C338/(1-SKU_Base!AL338)/(1-Settings!$G$17),"WARN","STOP"))),"")</f>
        <v/>
      </c>
      <c r="AD338" s="159">
        <f>IFERROR(ROUND(D338*(1-CHOOSE(MATCH(IF($E338="","Основний",$E338),{"Трафіковий","Основний","Маржинальний","Сезонний","Стратегічний"},0),Settings!$H$78,Settings!$H$80,Settings!$H$82,Settings!$H$84,Settings!$H$86))*(1-Settings!$H$68)/6,2)*6,"")</f>
        <v/>
      </c>
      <c r="AE338" s="142">
        <f>IFERROR(CHOOSE(MATCH(IF($E338="","Основний",$E338),{"Трафіковий","Основний","Маржинальний","Сезонний","Стратегічний"},0),Settings!$H$78,Settings!$H$80,Settings!$H$82,Settings!$H$84,Settings!$H$86)+(1-(CHOOSE(MATCH(IF($E338="","Основний",$E338),{"Трафіковий","Основний","Маржинальний","Сезонний","Стратегічний"},0),Settings!$H$78,Settings!$H$80,Settings!$H$82,Settings!$H$84,Settings!$H$86)))*Settings!$H$68,"")</f>
        <v/>
      </c>
      <c r="AF338" s="143">
        <f>IFERROR((AD338*(1-Settings!$H$17)-C338)/(AD338*(1-Settings!$H$17)),"")</f>
        <v/>
      </c>
      <c r="AG338" s="150">
        <f>IFERROR(IF(AD338="","",IF(AD338&gt;=C338/(1-SKU_Base!AF338)/(1-Settings!$H$17),"OK",IF(AD338&gt;=C338/(1-SKU_Base!AM338)/(1-Settings!$H$17),"WARN","STOP"))),"")</f>
        <v/>
      </c>
    </row>
    <row r="339" ht="17" customHeight="1" s="179">
      <c r="A339" s="146">
        <f>SKU_Base!B339</f>
        <v/>
      </c>
      <c r="B339" s="146">
        <f>SKU_Base!C339</f>
        <v/>
      </c>
      <c r="C339" s="147">
        <f>IFERROR(SKU_Base!I339,"")</f>
        <v/>
      </c>
      <c r="D339" s="164">
        <f>IFERROR(SKU_Base!T339,"")</f>
        <v/>
      </c>
      <c r="E339" s="141">
        <f>IFERROR(SKU_Base!$U339,"")</f>
        <v/>
      </c>
      <c r="F339" s="160">
        <f>IFERROR(ROUND(D339*(1-CHOOSE(MATCH(IF($E339="","Основний",$E339),{"Трафіковий","Основний","Маржинальний","Сезонний","Стратегічний"},0),Settings!$B$78,Settings!$B$80,Settings!$B$82,Settings!$B$84,Settings!$B$86))/6,2)*6,"")</f>
        <v/>
      </c>
      <c r="G339" s="142">
        <f>IFERROR(CHOOSE(MATCH(IF($E339="","Основний",$E339),{"Трафіковий","Основний","Маржинальний","Сезонний","Стратегічний"},0),Settings!$B$78,Settings!$B$80,Settings!$B$82,Settings!$B$84,Settings!$B$86),"")</f>
        <v/>
      </c>
      <c r="H339" s="148">
        <f>IFERROR((F339*(1-Settings!$B$17)-C339)/(F339*(1-Settings!$B$17)),"")</f>
        <v/>
      </c>
      <c r="I339" s="149">
        <f>IFERROR(IF(F339="","",IF(F339&gt;=C339/(1-SKU_Base!Z339)/(1-Settings!$B$17),"OK",IF(F339&gt;=C339/(1-SKU_Base!AG339)/(1-Settings!$B$17),"WARN","STOP"))),"")</f>
        <v/>
      </c>
      <c r="J339" s="160">
        <f>IFERROR(ROUND(D339*(1-CHOOSE(MATCH(IF($E339="","Основний",$E339),{"Трафіковий","Основний","Маржинальний","Сезонний","Стратегічний"},0),Settings!$C$78,Settings!$C$80,Settings!$C$82,Settings!$C$84,Settings!$C$86))/6,2)*6,"")</f>
        <v/>
      </c>
      <c r="K339" s="142">
        <f>IFERROR(CHOOSE(MATCH(IF($E339="","Основний",$E339),{"Трафіковий","Основний","Маржинальний","Сезонний","Стратегічний"},0),Settings!$C$78,Settings!$C$80,Settings!$C$82,Settings!$C$84,Settings!$C$86),"")</f>
        <v/>
      </c>
      <c r="L339" s="148">
        <f>IFERROR((J339*(1-Settings!$C$17)-C339)/(J339*(1-Settings!$C$17)),"")</f>
        <v/>
      </c>
      <c r="M339" s="149">
        <f>IFERROR(IF(J339="","",IF(J339&gt;=C339/(1-SKU_Base!AA339)/(1-Settings!$C$17),"OK",IF(J339&gt;=C339/(1-SKU_Base!AH339)/(1-Settings!$C$17),"WARN","STOP"))),"")</f>
        <v/>
      </c>
      <c r="N339" s="161">
        <f>IFERROR(ROUND(D339*(1-CHOOSE(MATCH(IF($E339="","Основний",$E339),{"Трафіковий","Основний","Маржинальний","Сезонний","Стратегічний"},0),Settings!$D$78,Settings!$D$80,Settings!$D$82,Settings!$D$84,Settings!$D$86))/6,2)*6,"")</f>
        <v/>
      </c>
      <c r="O339" s="142">
        <f>IFERROR(CHOOSE(MATCH(IF($E339="","Основний",$E339),{"Трафіковий","Основний","Маржинальний","Сезонний","Стратегічний"},0),Settings!$D$78,Settings!$D$80,Settings!$D$82,Settings!$D$84,Settings!$D$86),"")</f>
        <v/>
      </c>
      <c r="P339" s="148">
        <f>IFERROR((N339*(1-Settings!$D$17)-C339)/(N339*(1-Settings!$D$17)),"")</f>
        <v/>
      </c>
      <c r="Q339" s="149">
        <f>IFERROR(IF(N339="","",IF(N339&gt;=C339/(1-SKU_Base!AB339)/(1-Settings!$D$17),"OK",IF(N339&gt;=C339/(1-SKU_Base!AI339)/(1-Settings!$D$17),"WARN","STOP"))),"")</f>
        <v/>
      </c>
      <c r="R339" s="161">
        <f>IFERROR(ROUND(D339*(1-CHOOSE(MATCH(IF($E339="","Основний",$E339),{"Трафіковий","Основний","Маржинальний","Сезонний","Стратегічний"},0),Settings!$E$78,Settings!$E$80,Settings!$E$82,Settings!$E$84,Settings!$E$86))/6,2)*6,"")</f>
        <v/>
      </c>
      <c r="S339" s="142">
        <f>IFERROR(CHOOSE(MATCH(IF($E339="","Основний",$E339),{"Трафіковий","Основний","Маржинальний","Сезонний","Стратегічний"},0),Settings!$E$78,Settings!$E$80,Settings!$E$82,Settings!$E$84,Settings!$E$86),"")</f>
        <v/>
      </c>
      <c r="T339" s="148">
        <f>IFERROR((R339*(1-Settings!$E$17)-C339)/(R339*(1-Settings!$E$17)),"")</f>
        <v/>
      </c>
      <c r="U339" s="149">
        <f>IFERROR(IF(R339="","",IF(R339&gt;=C339/(1-SKU_Base!AC339)/(1-Settings!$E$17),"OK",IF(R339&gt;=C339/(1-SKU_Base!AJ339)/(1-Settings!$E$17),"WARN","STOP"))),"")</f>
        <v/>
      </c>
      <c r="V339" s="161">
        <f>IFERROR(ROUND(D339*(1-CHOOSE(MATCH(IF($E339="","Основний",$E339),{"Трафіковий","Основний","Маржинальний","Сезонний","Стратегічний"},0),Settings!$F$78,Settings!$F$80,Settings!$F$82,Settings!$F$84,Settings!$F$86))/6,2)*6,"")</f>
        <v/>
      </c>
      <c r="W339" s="142">
        <f>IFERROR(CHOOSE(MATCH(IF($E339="","Основний",$E339),{"Трафіковий","Основний","Маржинальний","Сезонний","Стратегічний"},0),Settings!$F$78,Settings!$F$80,Settings!$F$82,Settings!$F$84,Settings!$F$86),"")</f>
        <v/>
      </c>
      <c r="X339" s="148">
        <f>IFERROR((V339*(1-Settings!$F$17)-C339)/(V339*(1-Settings!$F$17)),"")</f>
        <v/>
      </c>
      <c r="Y339" s="149">
        <f>IFERROR(IF(V339="","",IF(V339&gt;=C339/(1-SKU_Base!AD339)/(1-Settings!$F$17),"OK",IF(V339&gt;=C339/(1-SKU_Base!AK339)/(1-Settings!$F$17),"WARN","STOP"))),"")</f>
        <v/>
      </c>
      <c r="Z339" s="161">
        <f>IFERROR(ROUND(D339*(1-CHOOSE(MATCH(IF($E339="","Основний",$E339),{"Трафіковий","Основний","Маржинальний","Сезонний","Стратегічний"},0),Settings!$G$78,Settings!$G$80,Settings!$G$82,Settings!$G$84,Settings!$G$86))/6,2)*6,"")</f>
        <v/>
      </c>
      <c r="AA339" s="142">
        <f>IFERROR(CHOOSE(MATCH(IF($E339="","Основний",$E339),{"Трафіковий","Основний","Маржинальний","Сезонний","Стратегічний"},0),Settings!$G$78,Settings!$G$80,Settings!$G$82,Settings!$G$84,Settings!$G$86),"")</f>
        <v/>
      </c>
      <c r="AB339" s="148">
        <f>IFERROR((Z339*(1-Settings!$G$17)-C339)/(Z339*(1-Settings!$G$17)),"")</f>
        <v/>
      </c>
      <c r="AC339" s="149">
        <f>IFERROR(IF(Z339="","",IF(Z339&gt;=C339/(1-SKU_Base!AE339)/(1-Settings!$G$17),"OK",IF(Z339&gt;=C339/(1-SKU_Base!AL339)/(1-Settings!$G$17),"WARN","STOP"))),"")</f>
        <v/>
      </c>
      <c r="AD339" s="161">
        <f>IFERROR(ROUND(D339*(1-CHOOSE(MATCH(IF($E339="","Основний",$E339),{"Трафіковий","Основний","Маржинальний","Сезонний","Стратегічний"},0),Settings!$H$78,Settings!$H$80,Settings!$H$82,Settings!$H$84,Settings!$H$86))*(1-Settings!$H$68)/6,2)*6,"")</f>
        <v/>
      </c>
      <c r="AE339" s="142">
        <f>IFERROR(CHOOSE(MATCH(IF($E339="","Основний",$E339),{"Трафіковий","Основний","Маржинальний","Сезонний","Стратегічний"},0),Settings!$H$78,Settings!$H$80,Settings!$H$82,Settings!$H$84,Settings!$H$86)+(1-(CHOOSE(MATCH(IF($E339="","Основний",$E339),{"Трафіковий","Основний","Маржинальний","Сезонний","Стратегічний"},0),Settings!$H$78,Settings!$H$80,Settings!$H$82,Settings!$H$84,Settings!$H$86)))*Settings!$H$68,"")</f>
        <v/>
      </c>
      <c r="AF339" s="148">
        <f>IFERROR((AD339*(1-Settings!$H$17)-C339)/(AD339*(1-Settings!$H$17)),"")</f>
        <v/>
      </c>
      <c r="AG339" s="149">
        <f>IFERROR(IF(AD339="","",IF(AD339&gt;=C339/(1-SKU_Base!AF339)/(1-Settings!$H$17),"OK",IF(AD339&gt;=C339/(1-SKU_Base!AM339)/(1-Settings!$H$17),"WARN","STOP"))),"")</f>
        <v/>
      </c>
    </row>
    <row r="340" ht="17" customHeight="1" s="179">
      <c r="A340" s="139">
        <f>SKU_Base!B340</f>
        <v/>
      </c>
      <c r="B340" s="139">
        <f>SKU_Base!C340</f>
        <v/>
      </c>
      <c r="C340" s="140">
        <f>IFERROR(SKU_Base!I340,"")</f>
        <v/>
      </c>
      <c r="D340" s="163">
        <f>IFERROR(SKU_Base!T340,"")</f>
        <v/>
      </c>
      <c r="E340" s="141">
        <f>IFERROR(SKU_Base!$U340,"")</f>
        <v/>
      </c>
      <c r="F340" s="158">
        <f>IFERROR(ROUND(D340*(1-CHOOSE(MATCH(IF($E340="","Основний",$E340),{"Трафіковий","Основний","Маржинальний","Сезонний","Стратегічний"},0),Settings!$B$78,Settings!$B$80,Settings!$B$82,Settings!$B$84,Settings!$B$86))/6,2)*6,"")</f>
        <v/>
      </c>
      <c r="G340" s="142">
        <f>IFERROR(CHOOSE(MATCH(IF($E340="","Основний",$E340),{"Трафіковий","Основний","Маржинальний","Сезонний","Стратегічний"},0),Settings!$B$78,Settings!$B$80,Settings!$B$82,Settings!$B$84,Settings!$B$86),"")</f>
        <v/>
      </c>
      <c r="H340" s="143">
        <f>IFERROR((F340*(1-Settings!$B$17)-C340)/(F340*(1-Settings!$B$17)),"")</f>
        <v/>
      </c>
      <c r="I340" s="149">
        <f>IFERROR(IF(F340="","",IF(F340&gt;=C340/(1-SKU_Base!Z340)/(1-Settings!$B$17),"OK",IF(F340&gt;=C340/(1-SKU_Base!AG340)/(1-Settings!$B$17),"WARN","STOP"))),"")</f>
        <v/>
      </c>
      <c r="J340" s="158">
        <f>IFERROR(ROUND(D340*(1-CHOOSE(MATCH(IF($E340="","Основний",$E340),{"Трафіковий","Основний","Маржинальний","Сезонний","Стратегічний"},0),Settings!$C$78,Settings!$C$80,Settings!$C$82,Settings!$C$84,Settings!$C$86))/6,2)*6,"")</f>
        <v/>
      </c>
      <c r="K340" s="142">
        <f>IFERROR(CHOOSE(MATCH(IF($E340="","Основний",$E340),{"Трафіковий","Основний","Маржинальний","Сезонний","Стратегічний"},0),Settings!$C$78,Settings!$C$80,Settings!$C$82,Settings!$C$84,Settings!$C$86),"")</f>
        <v/>
      </c>
      <c r="L340" s="143">
        <f>IFERROR((J340*(1-Settings!$C$17)-C340)/(J340*(1-Settings!$C$17)),"")</f>
        <v/>
      </c>
      <c r="M340" s="149">
        <f>IFERROR(IF(J340="","",IF(J340&gt;=C340/(1-SKU_Base!AA340)/(1-Settings!$C$17),"OK",IF(J340&gt;=C340/(1-SKU_Base!AH340)/(1-Settings!$C$17),"WARN","STOP"))),"")</f>
        <v/>
      </c>
      <c r="N340" s="159">
        <f>IFERROR(ROUND(D340*(1-CHOOSE(MATCH(IF($E340="","Основний",$E340),{"Трафіковий","Основний","Маржинальний","Сезонний","Стратегічний"},0),Settings!$D$78,Settings!$D$80,Settings!$D$82,Settings!$D$84,Settings!$D$86))/6,2)*6,"")</f>
        <v/>
      </c>
      <c r="O340" s="142">
        <f>IFERROR(CHOOSE(MATCH(IF($E340="","Основний",$E340),{"Трафіковий","Основний","Маржинальний","Сезонний","Стратегічний"},0),Settings!$D$78,Settings!$D$80,Settings!$D$82,Settings!$D$84,Settings!$D$86),"")</f>
        <v/>
      </c>
      <c r="P340" s="143">
        <f>IFERROR((N340*(1-Settings!$D$17)-C340)/(N340*(1-Settings!$D$17)),"")</f>
        <v/>
      </c>
      <c r="Q340" s="149">
        <f>IFERROR(IF(N340="","",IF(N340&gt;=C340/(1-SKU_Base!AB340)/(1-Settings!$D$17),"OK",IF(N340&gt;=C340/(1-SKU_Base!AI340)/(1-Settings!$D$17),"WARN","STOP"))),"")</f>
        <v/>
      </c>
      <c r="R340" s="159">
        <f>IFERROR(ROUND(D340*(1-CHOOSE(MATCH(IF($E340="","Основний",$E340),{"Трафіковий","Основний","Маржинальний","Сезонний","Стратегічний"},0),Settings!$E$78,Settings!$E$80,Settings!$E$82,Settings!$E$84,Settings!$E$86))/6,2)*6,"")</f>
        <v/>
      </c>
      <c r="S340" s="142">
        <f>IFERROR(CHOOSE(MATCH(IF($E340="","Основний",$E340),{"Трафіковий","Основний","Маржинальний","Сезонний","Стратегічний"},0),Settings!$E$78,Settings!$E$80,Settings!$E$82,Settings!$E$84,Settings!$E$86),"")</f>
        <v/>
      </c>
      <c r="T340" s="143">
        <f>IFERROR((R340*(1-Settings!$E$17)-C340)/(R340*(1-Settings!$E$17)),"")</f>
        <v/>
      </c>
      <c r="U340" s="149">
        <f>IFERROR(IF(R340="","",IF(R340&gt;=C340/(1-SKU_Base!AC340)/(1-Settings!$E$17),"OK",IF(R340&gt;=C340/(1-SKU_Base!AJ340)/(1-Settings!$E$17),"WARN","STOP"))),"")</f>
        <v/>
      </c>
      <c r="V340" s="159">
        <f>IFERROR(ROUND(D340*(1-CHOOSE(MATCH(IF($E340="","Основний",$E340),{"Трафіковий","Основний","Маржинальний","Сезонний","Стратегічний"},0),Settings!$F$78,Settings!$F$80,Settings!$F$82,Settings!$F$84,Settings!$F$86))/6,2)*6,"")</f>
        <v/>
      </c>
      <c r="W340" s="142">
        <f>IFERROR(CHOOSE(MATCH(IF($E340="","Основний",$E340),{"Трафіковий","Основний","Маржинальний","Сезонний","Стратегічний"},0),Settings!$F$78,Settings!$F$80,Settings!$F$82,Settings!$F$84,Settings!$F$86),"")</f>
        <v/>
      </c>
      <c r="X340" s="143">
        <f>IFERROR((V340*(1-Settings!$F$17)-C340)/(V340*(1-Settings!$F$17)),"")</f>
        <v/>
      </c>
      <c r="Y340" s="149">
        <f>IFERROR(IF(V340="","",IF(V340&gt;=C340/(1-SKU_Base!AD340)/(1-Settings!$F$17),"OK",IF(V340&gt;=C340/(1-SKU_Base!AK340)/(1-Settings!$F$17),"WARN","STOP"))),"")</f>
        <v/>
      </c>
      <c r="Z340" s="159">
        <f>IFERROR(ROUND(D340*(1-CHOOSE(MATCH(IF($E340="","Основний",$E340),{"Трафіковий","Основний","Маржинальний","Сезонний","Стратегічний"},0),Settings!$G$78,Settings!$G$80,Settings!$G$82,Settings!$G$84,Settings!$G$86))/6,2)*6,"")</f>
        <v/>
      </c>
      <c r="AA340" s="142">
        <f>IFERROR(CHOOSE(MATCH(IF($E340="","Основний",$E340),{"Трафіковий","Основний","Маржинальний","Сезонний","Стратегічний"},0),Settings!$G$78,Settings!$G$80,Settings!$G$82,Settings!$G$84,Settings!$G$86),"")</f>
        <v/>
      </c>
      <c r="AB340" s="143">
        <f>IFERROR((Z340*(1-Settings!$G$17)-C340)/(Z340*(1-Settings!$G$17)),"")</f>
        <v/>
      </c>
      <c r="AC340" s="149">
        <f>IFERROR(IF(Z340="","",IF(Z340&gt;=C340/(1-SKU_Base!AE340)/(1-Settings!$G$17),"OK",IF(Z340&gt;=C340/(1-SKU_Base!AL340)/(1-Settings!$G$17),"WARN","STOP"))),"")</f>
        <v/>
      </c>
      <c r="AD340" s="159">
        <f>IFERROR(ROUND(D340*(1-CHOOSE(MATCH(IF($E340="","Основний",$E340),{"Трафіковий","Основний","Маржинальний","Сезонний","Стратегічний"},0),Settings!$H$78,Settings!$H$80,Settings!$H$82,Settings!$H$84,Settings!$H$86))*(1-Settings!$H$68)/6,2)*6,"")</f>
        <v/>
      </c>
      <c r="AE340" s="142">
        <f>IFERROR(CHOOSE(MATCH(IF($E340="","Основний",$E340),{"Трафіковий","Основний","Маржинальний","Сезонний","Стратегічний"},0),Settings!$H$78,Settings!$H$80,Settings!$H$82,Settings!$H$84,Settings!$H$86)+(1-(CHOOSE(MATCH(IF($E340="","Основний",$E340),{"Трафіковий","Основний","Маржинальний","Сезонний","Стратегічний"},0),Settings!$H$78,Settings!$H$80,Settings!$H$82,Settings!$H$84,Settings!$H$86)))*Settings!$H$68,"")</f>
        <v/>
      </c>
      <c r="AF340" s="143">
        <f>IFERROR((AD340*(1-Settings!$H$17)-C340)/(AD340*(1-Settings!$H$17)),"")</f>
        <v/>
      </c>
      <c r="AG340" s="150">
        <f>IFERROR(IF(AD340="","",IF(AD340&gt;=C340/(1-SKU_Base!AF340)/(1-Settings!$H$17),"OK",IF(AD340&gt;=C340/(1-SKU_Base!AM340)/(1-Settings!$H$17),"WARN","STOP"))),"")</f>
        <v/>
      </c>
    </row>
    <row r="341" ht="17" customHeight="1" s="179">
      <c r="A341" s="146">
        <f>SKU_Base!B341</f>
        <v/>
      </c>
      <c r="B341" s="146">
        <f>SKU_Base!C341</f>
        <v/>
      </c>
      <c r="C341" s="147">
        <f>IFERROR(SKU_Base!I341,"")</f>
        <v/>
      </c>
      <c r="D341" s="164">
        <f>IFERROR(SKU_Base!T341,"")</f>
        <v/>
      </c>
      <c r="E341" s="141">
        <f>IFERROR(SKU_Base!$U341,"")</f>
        <v/>
      </c>
      <c r="F341" s="160">
        <f>IFERROR(ROUND(D341*(1-CHOOSE(MATCH(IF($E341="","Основний",$E341),{"Трафіковий","Основний","Маржинальний","Сезонний","Стратегічний"},0),Settings!$B$78,Settings!$B$80,Settings!$B$82,Settings!$B$84,Settings!$B$86))/6,2)*6,"")</f>
        <v/>
      </c>
      <c r="G341" s="142">
        <f>IFERROR(CHOOSE(MATCH(IF($E341="","Основний",$E341),{"Трафіковий","Основний","Маржинальний","Сезонний","Стратегічний"},0),Settings!$B$78,Settings!$B$80,Settings!$B$82,Settings!$B$84,Settings!$B$86),"")</f>
        <v/>
      </c>
      <c r="H341" s="148">
        <f>IFERROR((F341*(1-Settings!$B$17)-C341)/(F341*(1-Settings!$B$17)),"")</f>
        <v/>
      </c>
      <c r="I341" s="149">
        <f>IFERROR(IF(F341="","",IF(F341&gt;=C341/(1-SKU_Base!Z341)/(1-Settings!$B$17),"OK",IF(F341&gt;=C341/(1-SKU_Base!AG341)/(1-Settings!$B$17),"WARN","STOP"))),"")</f>
        <v/>
      </c>
      <c r="J341" s="160">
        <f>IFERROR(ROUND(D341*(1-CHOOSE(MATCH(IF($E341="","Основний",$E341),{"Трафіковий","Основний","Маржинальний","Сезонний","Стратегічний"},0),Settings!$C$78,Settings!$C$80,Settings!$C$82,Settings!$C$84,Settings!$C$86))/6,2)*6,"")</f>
        <v/>
      </c>
      <c r="K341" s="142">
        <f>IFERROR(CHOOSE(MATCH(IF($E341="","Основний",$E341),{"Трафіковий","Основний","Маржинальний","Сезонний","Стратегічний"},0),Settings!$C$78,Settings!$C$80,Settings!$C$82,Settings!$C$84,Settings!$C$86),"")</f>
        <v/>
      </c>
      <c r="L341" s="148">
        <f>IFERROR((J341*(1-Settings!$C$17)-C341)/(J341*(1-Settings!$C$17)),"")</f>
        <v/>
      </c>
      <c r="M341" s="149">
        <f>IFERROR(IF(J341="","",IF(J341&gt;=C341/(1-SKU_Base!AA341)/(1-Settings!$C$17),"OK",IF(J341&gt;=C341/(1-SKU_Base!AH341)/(1-Settings!$C$17),"WARN","STOP"))),"")</f>
        <v/>
      </c>
      <c r="N341" s="161">
        <f>IFERROR(ROUND(D341*(1-CHOOSE(MATCH(IF($E341="","Основний",$E341),{"Трафіковий","Основний","Маржинальний","Сезонний","Стратегічний"},0),Settings!$D$78,Settings!$D$80,Settings!$D$82,Settings!$D$84,Settings!$D$86))/6,2)*6,"")</f>
        <v/>
      </c>
      <c r="O341" s="142">
        <f>IFERROR(CHOOSE(MATCH(IF($E341="","Основний",$E341),{"Трафіковий","Основний","Маржинальний","Сезонний","Стратегічний"},0),Settings!$D$78,Settings!$D$80,Settings!$D$82,Settings!$D$84,Settings!$D$86),"")</f>
        <v/>
      </c>
      <c r="P341" s="148">
        <f>IFERROR((N341*(1-Settings!$D$17)-C341)/(N341*(1-Settings!$D$17)),"")</f>
        <v/>
      </c>
      <c r="Q341" s="149">
        <f>IFERROR(IF(N341="","",IF(N341&gt;=C341/(1-SKU_Base!AB341)/(1-Settings!$D$17),"OK",IF(N341&gt;=C341/(1-SKU_Base!AI341)/(1-Settings!$D$17),"WARN","STOP"))),"")</f>
        <v/>
      </c>
      <c r="R341" s="161">
        <f>IFERROR(ROUND(D341*(1-CHOOSE(MATCH(IF($E341="","Основний",$E341),{"Трафіковий","Основний","Маржинальний","Сезонний","Стратегічний"},0),Settings!$E$78,Settings!$E$80,Settings!$E$82,Settings!$E$84,Settings!$E$86))/6,2)*6,"")</f>
        <v/>
      </c>
      <c r="S341" s="142">
        <f>IFERROR(CHOOSE(MATCH(IF($E341="","Основний",$E341),{"Трафіковий","Основний","Маржинальний","Сезонний","Стратегічний"},0),Settings!$E$78,Settings!$E$80,Settings!$E$82,Settings!$E$84,Settings!$E$86),"")</f>
        <v/>
      </c>
      <c r="T341" s="148">
        <f>IFERROR((R341*(1-Settings!$E$17)-C341)/(R341*(1-Settings!$E$17)),"")</f>
        <v/>
      </c>
      <c r="U341" s="149">
        <f>IFERROR(IF(R341="","",IF(R341&gt;=C341/(1-SKU_Base!AC341)/(1-Settings!$E$17),"OK",IF(R341&gt;=C341/(1-SKU_Base!AJ341)/(1-Settings!$E$17),"WARN","STOP"))),"")</f>
        <v/>
      </c>
      <c r="V341" s="161">
        <f>IFERROR(ROUND(D341*(1-CHOOSE(MATCH(IF($E341="","Основний",$E341),{"Трафіковий","Основний","Маржинальний","Сезонний","Стратегічний"},0),Settings!$F$78,Settings!$F$80,Settings!$F$82,Settings!$F$84,Settings!$F$86))/6,2)*6,"")</f>
        <v/>
      </c>
      <c r="W341" s="142">
        <f>IFERROR(CHOOSE(MATCH(IF($E341="","Основний",$E341),{"Трафіковий","Основний","Маржинальний","Сезонний","Стратегічний"},0),Settings!$F$78,Settings!$F$80,Settings!$F$82,Settings!$F$84,Settings!$F$86),"")</f>
        <v/>
      </c>
      <c r="X341" s="148">
        <f>IFERROR((V341*(1-Settings!$F$17)-C341)/(V341*(1-Settings!$F$17)),"")</f>
        <v/>
      </c>
      <c r="Y341" s="149">
        <f>IFERROR(IF(V341="","",IF(V341&gt;=C341/(1-SKU_Base!AD341)/(1-Settings!$F$17),"OK",IF(V341&gt;=C341/(1-SKU_Base!AK341)/(1-Settings!$F$17),"WARN","STOP"))),"")</f>
        <v/>
      </c>
      <c r="Z341" s="161">
        <f>IFERROR(ROUND(D341*(1-CHOOSE(MATCH(IF($E341="","Основний",$E341),{"Трафіковий","Основний","Маржинальний","Сезонний","Стратегічний"},0),Settings!$G$78,Settings!$G$80,Settings!$G$82,Settings!$G$84,Settings!$G$86))/6,2)*6,"")</f>
        <v/>
      </c>
      <c r="AA341" s="142">
        <f>IFERROR(CHOOSE(MATCH(IF($E341="","Основний",$E341),{"Трафіковий","Основний","Маржинальний","Сезонний","Стратегічний"},0),Settings!$G$78,Settings!$G$80,Settings!$G$82,Settings!$G$84,Settings!$G$86),"")</f>
        <v/>
      </c>
      <c r="AB341" s="148">
        <f>IFERROR((Z341*(1-Settings!$G$17)-C341)/(Z341*(1-Settings!$G$17)),"")</f>
        <v/>
      </c>
      <c r="AC341" s="149">
        <f>IFERROR(IF(Z341="","",IF(Z341&gt;=C341/(1-SKU_Base!AE341)/(1-Settings!$G$17),"OK",IF(Z341&gt;=C341/(1-SKU_Base!AL341)/(1-Settings!$G$17),"WARN","STOP"))),"")</f>
        <v/>
      </c>
      <c r="AD341" s="161">
        <f>IFERROR(ROUND(D341*(1-CHOOSE(MATCH(IF($E341="","Основний",$E341),{"Трафіковий","Основний","Маржинальний","Сезонний","Стратегічний"},0),Settings!$H$78,Settings!$H$80,Settings!$H$82,Settings!$H$84,Settings!$H$86))*(1-Settings!$H$68)/6,2)*6,"")</f>
        <v/>
      </c>
      <c r="AE341" s="142">
        <f>IFERROR(CHOOSE(MATCH(IF($E341="","Основний",$E341),{"Трафіковий","Основний","Маржинальний","Сезонний","Стратегічний"},0),Settings!$H$78,Settings!$H$80,Settings!$H$82,Settings!$H$84,Settings!$H$86)+(1-(CHOOSE(MATCH(IF($E341="","Основний",$E341),{"Трафіковий","Основний","Маржинальний","Сезонний","Стратегічний"},0),Settings!$H$78,Settings!$H$80,Settings!$H$82,Settings!$H$84,Settings!$H$86)))*Settings!$H$68,"")</f>
        <v/>
      </c>
      <c r="AF341" s="148">
        <f>IFERROR((AD341*(1-Settings!$H$17)-C341)/(AD341*(1-Settings!$H$17)),"")</f>
        <v/>
      </c>
      <c r="AG341" s="150">
        <f>IFERROR(IF(AD341="","",IF(AD341&gt;=C341/(1-SKU_Base!AF341)/(1-Settings!$H$17),"OK",IF(AD341&gt;=C341/(1-SKU_Base!AM341)/(1-Settings!$H$17),"WARN","STOP"))),"")</f>
        <v/>
      </c>
    </row>
    <row r="342" ht="17" customHeight="1" s="179">
      <c r="A342" s="139">
        <f>SKU_Base!B342</f>
        <v/>
      </c>
      <c r="B342" s="139">
        <f>SKU_Base!C342</f>
        <v/>
      </c>
      <c r="C342" s="140">
        <f>IFERROR(SKU_Base!I342,"")</f>
        <v/>
      </c>
      <c r="D342" s="163">
        <f>IFERROR(SKU_Base!T342,"")</f>
        <v/>
      </c>
      <c r="E342" s="141">
        <f>IFERROR(SKU_Base!$U342,"")</f>
        <v/>
      </c>
      <c r="F342" s="158">
        <f>IFERROR(ROUND(D342*(1-CHOOSE(MATCH(IF($E342="","Основний",$E342),{"Трафіковий","Основний","Маржинальний","Сезонний","Стратегічний"},0),Settings!$B$78,Settings!$B$80,Settings!$B$82,Settings!$B$84,Settings!$B$86))/6,2)*6,"")</f>
        <v/>
      </c>
      <c r="G342" s="142">
        <f>IFERROR(CHOOSE(MATCH(IF($E342="","Основний",$E342),{"Трафіковий","Основний","Маржинальний","Сезонний","Стратегічний"},0),Settings!$B$78,Settings!$B$80,Settings!$B$82,Settings!$B$84,Settings!$B$86),"")</f>
        <v/>
      </c>
      <c r="H342" s="143">
        <f>IFERROR((F342*(1-Settings!$B$17)-C342)/(F342*(1-Settings!$B$17)),"")</f>
        <v/>
      </c>
      <c r="I342" s="149">
        <f>IFERROR(IF(F342="","",IF(F342&gt;=C342/(1-SKU_Base!Z342)/(1-Settings!$B$17),"OK",IF(F342&gt;=C342/(1-SKU_Base!AG342)/(1-Settings!$B$17),"WARN","STOP"))),"")</f>
        <v/>
      </c>
      <c r="J342" s="158">
        <f>IFERROR(ROUND(D342*(1-CHOOSE(MATCH(IF($E342="","Основний",$E342),{"Трафіковий","Основний","Маржинальний","Сезонний","Стратегічний"},0),Settings!$C$78,Settings!$C$80,Settings!$C$82,Settings!$C$84,Settings!$C$86))/6,2)*6,"")</f>
        <v/>
      </c>
      <c r="K342" s="142">
        <f>IFERROR(CHOOSE(MATCH(IF($E342="","Основний",$E342),{"Трафіковий","Основний","Маржинальний","Сезонний","Стратегічний"},0),Settings!$C$78,Settings!$C$80,Settings!$C$82,Settings!$C$84,Settings!$C$86),"")</f>
        <v/>
      </c>
      <c r="L342" s="143">
        <f>IFERROR((J342*(1-Settings!$C$17)-C342)/(J342*(1-Settings!$C$17)),"")</f>
        <v/>
      </c>
      <c r="M342" s="149">
        <f>IFERROR(IF(J342="","",IF(J342&gt;=C342/(1-SKU_Base!AA342)/(1-Settings!$C$17),"OK",IF(J342&gt;=C342/(1-SKU_Base!AH342)/(1-Settings!$C$17),"WARN","STOP"))),"")</f>
        <v/>
      </c>
      <c r="N342" s="159">
        <f>IFERROR(ROUND(D342*(1-CHOOSE(MATCH(IF($E342="","Основний",$E342),{"Трафіковий","Основний","Маржинальний","Сезонний","Стратегічний"},0),Settings!$D$78,Settings!$D$80,Settings!$D$82,Settings!$D$84,Settings!$D$86))/6,2)*6,"")</f>
        <v/>
      </c>
      <c r="O342" s="142">
        <f>IFERROR(CHOOSE(MATCH(IF($E342="","Основний",$E342),{"Трафіковий","Основний","Маржинальний","Сезонний","Стратегічний"},0),Settings!$D$78,Settings!$D$80,Settings!$D$82,Settings!$D$84,Settings!$D$86),"")</f>
        <v/>
      </c>
      <c r="P342" s="143">
        <f>IFERROR((N342*(1-Settings!$D$17)-C342)/(N342*(1-Settings!$D$17)),"")</f>
        <v/>
      </c>
      <c r="Q342" s="149">
        <f>IFERROR(IF(N342="","",IF(N342&gt;=C342/(1-SKU_Base!AB342)/(1-Settings!$D$17),"OK",IF(N342&gt;=C342/(1-SKU_Base!AI342)/(1-Settings!$D$17),"WARN","STOP"))),"")</f>
        <v/>
      </c>
      <c r="R342" s="159">
        <f>IFERROR(ROUND(D342*(1-CHOOSE(MATCH(IF($E342="","Основний",$E342),{"Трафіковий","Основний","Маржинальний","Сезонний","Стратегічний"},0),Settings!$E$78,Settings!$E$80,Settings!$E$82,Settings!$E$84,Settings!$E$86))/6,2)*6,"")</f>
        <v/>
      </c>
      <c r="S342" s="142">
        <f>IFERROR(CHOOSE(MATCH(IF($E342="","Основний",$E342),{"Трафіковий","Основний","Маржинальний","Сезонний","Стратегічний"},0),Settings!$E$78,Settings!$E$80,Settings!$E$82,Settings!$E$84,Settings!$E$86),"")</f>
        <v/>
      </c>
      <c r="T342" s="143">
        <f>IFERROR((R342*(1-Settings!$E$17)-C342)/(R342*(1-Settings!$E$17)),"")</f>
        <v/>
      </c>
      <c r="U342" s="149">
        <f>IFERROR(IF(R342="","",IF(R342&gt;=C342/(1-SKU_Base!AC342)/(1-Settings!$E$17),"OK",IF(R342&gt;=C342/(1-SKU_Base!AJ342)/(1-Settings!$E$17),"WARN","STOP"))),"")</f>
        <v/>
      </c>
      <c r="V342" s="159">
        <f>IFERROR(ROUND(D342*(1-CHOOSE(MATCH(IF($E342="","Основний",$E342),{"Трафіковий","Основний","Маржинальний","Сезонний","Стратегічний"},0),Settings!$F$78,Settings!$F$80,Settings!$F$82,Settings!$F$84,Settings!$F$86))/6,2)*6,"")</f>
        <v/>
      </c>
      <c r="W342" s="142">
        <f>IFERROR(CHOOSE(MATCH(IF($E342="","Основний",$E342),{"Трафіковий","Основний","Маржинальний","Сезонний","Стратегічний"},0),Settings!$F$78,Settings!$F$80,Settings!$F$82,Settings!$F$84,Settings!$F$86),"")</f>
        <v/>
      </c>
      <c r="X342" s="143">
        <f>IFERROR((V342*(1-Settings!$F$17)-C342)/(V342*(1-Settings!$F$17)),"")</f>
        <v/>
      </c>
      <c r="Y342" s="149">
        <f>IFERROR(IF(V342="","",IF(V342&gt;=C342/(1-SKU_Base!AD342)/(1-Settings!$F$17),"OK",IF(V342&gt;=C342/(1-SKU_Base!AK342)/(1-Settings!$F$17),"WARN","STOP"))),"")</f>
        <v/>
      </c>
      <c r="Z342" s="159">
        <f>IFERROR(ROUND(D342*(1-CHOOSE(MATCH(IF($E342="","Основний",$E342),{"Трафіковий","Основний","Маржинальний","Сезонний","Стратегічний"},0),Settings!$G$78,Settings!$G$80,Settings!$G$82,Settings!$G$84,Settings!$G$86))/6,2)*6,"")</f>
        <v/>
      </c>
      <c r="AA342" s="142">
        <f>IFERROR(CHOOSE(MATCH(IF($E342="","Основний",$E342),{"Трафіковий","Основний","Маржинальний","Сезонний","Стратегічний"},0),Settings!$G$78,Settings!$G$80,Settings!$G$82,Settings!$G$84,Settings!$G$86),"")</f>
        <v/>
      </c>
      <c r="AB342" s="143">
        <f>IFERROR((Z342*(1-Settings!$G$17)-C342)/(Z342*(1-Settings!$G$17)),"")</f>
        <v/>
      </c>
      <c r="AC342" s="149">
        <f>IFERROR(IF(Z342="","",IF(Z342&gt;=C342/(1-SKU_Base!AE342)/(1-Settings!$G$17),"OK",IF(Z342&gt;=C342/(1-SKU_Base!AL342)/(1-Settings!$G$17),"WARN","STOP"))),"")</f>
        <v/>
      </c>
      <c r="AD342" s="159">
        <f>IFERROR(ROUND(D342*(1-CHOOSE(MATCH(IF($E342="","Основний",$E342),{"Трафіковий","Основний","Маржинальний","Сезонний","Стратегічний"},0),Settings!$H$78,Settings!$H$80,Settings!$H$82,Settings!$H$84,Settings!$H$86))*(1-Settings!$H$68)/6,2)*6,"")</f>
        <v/>
      </c>
      <c r="AE342" s="142">
        <f>IFERROR(CHOOSE(MATCH(IF($E342="","Основний",$E342),{"Трафіковий","Основний","Маржинальний","Сезонний","Стратегічний"},0),Settings!$H$78,Settings!$H$80,Settings!$H$82,Settings!$H$84,Settings!$H$86)+(1-(CHOOSE(MATCH(IF($E342="","Основний",$E342),{"Трафіковий","Основний","Маржинальний","Сезонний","Стратегічний"},0),Settings!$H$78,Settings!$H$80,Settings!$H$82,Settings!$H$84,Settings!$H$86)))*Settings!$H$68,"")</f>
        <v/>
      </c>
      <c r="AF342" s="143">
        <f>IFERROR((AD342*(1-Settings!$H$17)-C342)/(AD342*(1-Settings!$H$17)),"")</f>
        <v/>
      </c>
      <c r="AG342" s="150">
        <f>IFERROR(IF(AD342="","",IF(AD342&gt;=C342/(1-SKU_Base!AF342)/(1-Settings!$H$17),"OK",IF(AD342&gt;=C342/(1-SKU_Base!AM342)/(1-Settings!$H$17),"WARN","STOP"))),"")</f>
        <v/>
      </c>
    </row>
    <row r="343" ht="17" customHeight="1" s="179">
      <c r="A343" s="146">
        <f>SKU_Base!B343</f>
        <v/>
      </c>
      <c r="B343" s="146">
        <f>SKU_Base!C343</f>
        <v/>
      </c>
      <c r="C343" s="147">
        <f>IFERROR(SKU_Base!I343,"")</f>
        <v/>
      </c>
      <c r="D343" s="164">
        <f>IFERROR(SKU_Base!T343,"")</f>
        <v/>
      </c>
      <c r="E343" s="141">
        <f>IFERROR(SKU_Base!$U343,"")</f>
        <v/>
      </c>
      <c r="F343" s="160">
        <f>IFERROR(ROUND(D343*(1-CHOOSE(MATCH(IF($E343="","Основний",$E343),{"Трафіковий","Основний","Маржинальний","Сезонний","Стратегічний"},0),Settings!$B$78,Settings!$B$80,Settings!$B$82,Settings!$B$84,Settings!$B$86))/6,2)*6,"")</f>
        <v/>
      </c>
      <c r="G343" s="142">
        <f>IFERROR(CHOOSE(MATCH(IF($E343="","Основний",$E343),{"Трафіковий","Основний","Маржинальний","Сезонний","Стратегічний"},0),Settings!$B$78,Settings!$B$80,Settings!$B$82,Settings!$B$84,Settings!$B$86),"")</f>
        <v/>
      </c>
      <c r="H343" s="148">
        <f>IFERROR((F343*(1-Settings!$B$17)-C343)/(F343*(1-Settings!$B$17)),"")</f>
        <v/>
      </c>
      <c r="I343" s="149">
        <f>IFERROR(IF(F343="","",IF(F343&gt;=C343/(1-SKU_Base!Z343)/(1-Settings!$B$17),"OK",IF(F343&gt;=C343/(1-SKU_Base!AG343)/(1-Settings!$B$17),"WARN","STOP"))),"")</f>
        <v/>
      </c>
      <c r="J343" s="160">
        <f>IFERROR(ROUND(D343*(1-CHOOSE(MATCH(IF($E343="","Основний",$E343),{"Трафіковий","Основний","Маржинальний","Сезонний","Стратегічний"},0),Settings!$C$78,Settings!$C$80,Settings!$C$82,Settings!$C$84,Settings!$C$86))/6,2)*6,"")</f>
        <v/>
      </c>
      <c r="K343" s="142">
        <f>IFERROR(CHOOSE(MATCH(IF($E343="","Основний",$E343),{"Трафіковий","Основний","Маржинальний","Сезонний","Стратегічний"},0),Settings!$C$78,Settings!$C$80,Settings!$C$82,Settings!$C$84,Settings!$C$86),"")</f>
        <v/>
      </c>
      <c r="L343" s="148">
        <f>IFERROR((J343*(1-Settings!$C$17)-C343)/(J343*(1-Settings!$C$17)),"")</f>
        <v/>
      </c>
      <c r="M343" s="149">
        <f>IFERROR(IF(J343="","",IF(J343&gt;=C343/(1-SKU_Base!AA343)/(1-Settings!$C$17),"OK",IF(J343&gt;=C343/(1-SKU_Base!AH343)/(1-Settings!$C$17),"WARN","STOP"))),"")</f>
        <v/>
      </c>
      <c r="N343" s="161">
        <f>IFERROR(ROUND(D343*(1-CHOOSE(MATCH(IF($E343="","Основний",$E343),{"Трафіковий","Основний","Маржинальний","Сезонний","Стратегічний"},0),Settings!$D$78,Settings!$D$80,Settings!$D$82,Settings!$D$84,Settings!$D$86))/6,2)*6,"")</f>
        <v/>
      </c>
      <c r="O343" s="142">
        <f>IFERROR(CHOOSE(MATCH(IF($E343="","Основний",$E343),{"Трафіковий","Основний","Маржинальний","Сезонний","Стратегічний"},0),Settings!$D$78,Settings!$D$80,Settings!$D$82,Settings!$D$84,Settings!$D$86),"")</f>
        <v/>
      </c>
      <c r="P343" s="148">
        <f>IFERROR((N343*(1-Settings!$D$17)-C343)/(N343*(1-Settings!$D$17)),"")</f>
        <v/>
      </c>
      <c r="Q343" s="149">
        <f>IFERROR(IF(N343="","",IF(N343&gt;=C343/(1-SKU_Base!AB343)/(1-Settings!$D$17),"OK",IF(N343&gt;=C343/(1-SKU_Base!AI343)/(1-Settings!$D$17),"WARN","STOP"))),"")</f>
        <v/>
      </c>
      <c r="R343" s="161">
        <f>IFERROR(ROUND(D343*(1-CHOOSE(MATCH(IF($E343="","Основний",$E343),{"Трафіковий","Основний","Маржинальний","Сезонний","Стратегічний"},0),Settings!$E$78,Settings!$E$80,Settings!$E$82,Settings!$E$84,Settings!$E$86))/6,2)*6,"")</f>
        <v/>
      </c>
      <c r="S343" s="142">
        <f>IFERROR(CHOOSE(MATCH(IF($E343="","Основний",$E343),{"Трафіковий","Основний","Маржинальний","Сезонний","Стратегічний"},0),Settings!$E$78,Settings!$E$80,Settings!$E$82,Settings!$E$84,Settings!$E$86),"")</f>
        <v/>
      </c>
      <c r="T343" s="148">
        <f>IFERROR((R343*(1-Settings!$E$17)-C343)/(R343*(1-Settings!$E$17)),"")</f>
        <v/>
      </c>
      <c r="U343" s="149">
        <f>IFERROR(IF(R343="","",IF(R343&gt;=C343/(1-SKU_Base!AC343)/(1-Settings!$E$17),"OK",IF(R343&gt;=C343/(1-SKU_Base!AJ343)/(1-Settings!$E$17),"WARN","STOP"))),"")</f>
        <v/>
      </c>
      <c r="V343" s="161">
        <f>IFERROR(ROUND(D343*(1-CHOOSE(MATCH(IF($E343="","Основний",$E343),{"Трафіковий","Основний","Маржинальний","Сезонний","Стратегічний"},0),Settings!$F$78,Settings!$F$80,Settings!$F$82,Settings!$F$84,Settings!$F$86))/6,2)*6,"")</f>
        <v/>
      </c>
      <c r="W343" s="142">
        <f>IFERROR(CHOOSE(MATCH(IF($E343="","Основний",$E343),{"Трафіковий","Основний","Маржинальний","Сезонний","Стратегічний"},0),Settings!$F$78,Settings!$F$80,Settings!$F$82,Settings!$F$84,Settings!$F$86),"")</f>
        <v/>
      </c>
      <c r="X343" s="148">
        <f>IFERROR((V343*(1-Settings!$F$17)-C343)/(V343*(1-Settings!$F$17)),"")</f>
        <v/>
      </c>
      <c r="Y343" s="149">
        <f>IFERROR(IF(V343="","",IF(V343&gt;=C343/(1-SKU_Base!AD343)/(1-Settings!$F$17),"OK",IF(V343&gt;=C343/(1-SKU_Base!AK343)/(1-Settings!$F$17),"WARN","STOP"))),"")</f>
        <v/>
      </c>
      <c r="Z343" s="161">
        <f>IFERROR(ROUND(D343*(1-CHOOSE(MATCH(IF($E343="","Основний",$E343),{"Трафіковий","Основний","Маржинальний","Сезонний","Стратегічний"},0),Settings!$G$78,Settings!$G$80,Settings!$G$82,Settings!$G$84,Settings!$G$86))/6,2)*6,"")</f>
        <v/>
      </c>
      <c r="AA343" s="142">
        <f>IFERROR(CHOOSE(MATCH(IF($E343="","Основний",$E343),{"Трафіковий","Основний","Маржинальний","Сезонний","Стратегічний"},0),Settings!$G$78,Settings!$G$80,Settings!$G$82,Settings!$G$84,Settings!$G$86),"")</f>
        <v/>
      </c>
      <c r="AB343" s="148">
        <f>IFERROR((Z343*(1-Settings!$G$17)-C343)/(Z343*(1-Settings!$G$17)),"")</f>
        <v/>
      </c>
      <c r="AC343" s="149">
        <f>IFERROR(IF(Z343="","",IF(Z343&gt;=C343/(1-SKU_Base!AE343)/(1-Settings!$G$17),"OK",IF(Z343&gt;=C343/(1-SKU_Base!AL343)/(1-Settings!$G$17),"WARN","STOP"))),"")</f>
        <v/>
      </c>
      <c r="AD343" s="161">
        <f>IFERROR(ROUND(D343*(1-CHOOSE(MATCH(IF($E343="","Основний",$E343),{"Трафіковий","Основний","Маржинальний","Сезонний","Стратегічний"},0),Settings!$H$78,Settings!$H$80,Settings!$H$82,Settings!$H$84,Settings!$H$86))*(1-Settings!$H$68)/6,2)*6,"")</f>
        <v/>
      </c>
      <c r="AE343" s="142">
        <f>IFERROR(CHOOSE(MATCH(IF($E343="","Основний",$E343),{"Трафіковий","Основний","Маржинальний","Сезонний","Стратегічний"},0),Settings!$H$78,Settings!$H$80,Settings!$H$82,Settings!$H$84,Settings!$H$86)+(1-(CHOOSE(MATCH(IF($E343="","Основний",$E343),{"Трафіковий","Основний","Маржинальний","Сезонний","Стратегічний"},0),Settings!$H$78,Settings!$H$80,Settings!$H$82,Settings!$H$84,Settings!$H$86)))*Settings!$H$68,"")</f>
        <v/>
      </c>
      <c r="AF343" s="148">
        <f>IFERROR((AD343*(1-Settings!$H$17)-C343)/(AD343*(1-Settings!$H$17)),"")</f>
        <v/>
      </c>
      <c r="AG343" s="150">
        <f>IFERROR(IF(AD343="","",IF(AD343&gt;=C343/(1-SKU_Base!AF343)/(1-Settings!$H$17),"OK",IF(AD343&gt;=C343/(1-SKU_Base!AM343)/(1-Settings!$H$17),"WARN","STOP"))),"")</f>
        <v/>
      </c>
    </row>
    <row r="344" ht="17" customHeight="1" s="179">
      <c r="A344" s="139">
        <f>SKU_Base!B344</f>
        <v/>
      </c>
      <c r="B344" s="139">
        <f>SKU_Base!C344</f>
        <v/>
      </c>
      <c r="C344" s="140">
        <f>IFERROR(SKU_Base!I344,"")</f>
        <v/>
      </c>
      <c r="D344" s="163">
        <f>IFERROR(SKU_Base!T344,"")</f>
        <v/>
      </c>
      <c r="E344" s="141">
        <f>IFERROR(SKU_Base!$U344,"")</f>
        <v/>
      </c>
      <c r="F344" s="158">
        <f>IFERROR(ROUND(D344*(1-CHOOSE(MATCH(IF($E344="","Основний",$E344),{"Трафіковий","Основний","Маржинальний","Сезонний","Стратегічний"},0),Settings!$B$78,Settings!$B$80,Settings!$B$82,Settings!$B$84,Settings!$B$86))/6,2)*6,"")</f>
        <v/>
      </c>
      <c r="G344" s="142">
        <f>IFERROR(CHOOSE(MATCH(IF($E344="","Основний",$E344),{"Трафіковий","Основний","Маржинальний","Сезонний","Стратегічний"},0),Settings!$B$78,Settings!$B$80,Settings!$B$82,Settings!$B$84,Settings!$B$86),"")</f>
        <v/>
      </c>
      <c r="H344" s="143">
        <f>IFERROR((F344*(1-Settings!$B$17)-C344)/(F344*(1-Settings!$B$17)),"")</f>
        <v/>
      </c>
      <c r="I344" s="149">
        <f>IFERROR(IF(F344="","",IF(F344&gt;=C344/(1-SKU_Base!Z344)/(1-Settings!$B$17),"OK",IF(F344&gt;=C344/(1-SKU_Base!AG344)/(1-Settings!$B$17),"WARN","STOP"))),"")</f>
        <v/>
      </c>
      <c r="J344" s="158">
        <f>IFERROR(ROUND(D344*(1-CHOOSE(MATCH(IF($E344="","Основний",$E344),{"Трафіковий","Основний","Маржинальний","Сезонний","Стратегічний"},0),Settings!$C$78,Settings!$C$80,Settings!$C$82,Settings!$C$84,Settings!$C$86))/6,2)*6,"")</f>
        <v/>
      </c>
      <c r="K344" s="142">
        <f>IFERROR(CHOOSE(MATCH(IF($E344="","Основний",$E344),{"Трафіковий","Основний","Маржинальний","Сезонний","Стратегічний"},0),Settings!$C$78,Settings!$C$80,Settings!$C$82,Settings!$C$84,Settings!$C$86),"")</f>
        <v/>
      </c>
      <c r="L344" s="143">
        <f>IFERROR((J344*(1-Settings!$C$17)-C344)/(J344*(1-Settings!$C$17)),"")</f>
        <v/>
      </c>
      <c r="M344" s="149">
        <f>IFERROR(IF(J344="","",IF(J344&gt;=C344/(1-SKU_Base!AA344)/(1-Settings!$C$17),"OK",IF(J344&gt;=C344/(1-SKU_Base!AH344)/(1-Settings!$C$17),"WARN","STOP"))),"")</f>
        <v/>
      </c>
      <c r="N344" s="159">
        <f>IFERROR(ROUND(D344*(1-CHOOSE(MATCH(IF($E344="","Основний",$E344),{"Трафіковий","Основний","Маржинальний","Сезонний","Стратегічний"},0),Settings!$D$78,Settings!$D$80,Settings!$D$82,Settings!$D$84,Settings!$D$86))/6,2)*6,"")</f>
        <v/>
      </c>
      <c r="O344" s="142">
        <f>IFERROR(CHOOSE(MATCH(IF($E344="","Основний",$E344),{"Трафіковий","Основний","Маржинальний","Сезонний","Стратегічний"},0),Settings!$D$78,Settings!$D$80,Settings!$D$82,Settings!$D$84,Settings!$D$86),"")</f>
        <v/>
      </c>
      <c r="P344" s="143">
        <f>IFERROR((N344*(1-Settings!$D$17)-C344)/(N344*(1-Settings!$D$17)),"")</f>
        <v/>
      </c>
      <c r="Q344" s="149">
        <f>IFERROR(IF(N344="","",IF(N344&gt;=C344/(1-SKU_Base!AB344)/(1-Settings!$D$17),"OK",IF(N344&gt;=C344/(1-SKU_Base!AI344)/(1-Settings!$D$17),"WARN","STOP"))),"")</f>
        <v/>
      </c>
      <c r="R344" s="159">
        <f>IFERROR(ROUND(D344*(1-CHOOSE(MATCH(IF($E344="","Основний",$E344),{"Трафіковий","Основний","Маржинальний","Сезонний","Стратегічний"},0),Settings!$E$78,Settings!$E$80,Settings!$E$82,Settings!$E$84,Settings!$E$86))/6,2)*6,"")</f>
        <v/>
      </c>
      <c r="S344" s="142">
        <f>IFERROR(CHOOSE(MATCH(IF($E344="","Основний",$E344),{"Трафіковий","Основний","Маржинальний","Сезонний","Стратегічний"},0),Settings!$E$78,Settings!$E$80,Settings!$E$82,Settings!$E$84,Settings!$E$86),"")</f>
        <v/>
      </c>
      <c r="T344" s="143">
        <f>IFERROR((R344*(1-Settings!$E$17)-C344)/(R344*(1-Settings!$E$17)),"")</f>
        <v/>
      </c>
      <c r="U344" s="149">
        <f>IFERROR(IF(R344="","",IF(R344&gt;=C344/(1-SKU_Base!AC344)/(1-Settings!$E$17),"OK",IF(R344&gt;=C344/(1-SKU_Base!AJ344)/(1-Settings!$E$17),"WARN","STOP"))),"")</f>
        <v/>
      </c>
      <c r="V344" s="159">
        <f>IFERROR(ROUND(D344*(1-CHOOSE(MATCH(IF($E344="","Основний",$E344),{"Трафіковий","Основний","Маржинальний","Сезонний","Стратегічний"},0),Settings!$F$78,Settings!$F$80,Settings!$F$82,Settings!$F$84,Settings!$F$86))/6,2)*6,"")</f>
        <v/>
      </c>
      <c r="W344" s="142">
        <f>IFERROR(CHOOSE(MATCH(IF($E344="","Основний",$E344),{"Трафіковий","Основний","Маржинальний","Сезонний","Стратегічний"},0),Settings!$F$78,Settings!$F$80,Settings!$F$82,Settings!$F$84,Settings!$F$86),"")</f>
        <v/>
      </c>
      <c r="X344" s="143">
        <f>IFERROR((V344*(1-Settings!$F$17)-C344)/(V344*(1-Settings!$F$17)),"")</f>
        <v/>
      </c>
      <c r="Y344" s="149">
        <f>IFERROR(IF(V344="","",IF(V344&gt;=C344/(1-SKU_Base!AD344)/(1-Settings!$F$17),"OK",IF(V344&gt;=C344/(1-SKU_Base!AK344)/(1-Settings!$F$17),"WARN","STOP"))),"")</f>
        <v/>
      </c>
      <c r="Z344" s="159">
        <f>IFERROR(ROUND(D344*(1-CHOOSE(MATCH(IF($E344="","Основний",$E344),{"Трафіковий","Основний","Маржинальний","Сезонний","Стратегічний"},0),Settings!$G$78,Settings!$G$80,Settings!$G$82,Settings!$G$84,Settings!$G$86))/6,2)*6,"")</f>
        <v/>
      </c>
      <c r="AA344" s="142">
        <f>IFERROR(CHOOSE(MATCH(IF($E344="","Основний",$E344),{"Трафіковий","Основний","Маржинальний","Сезонний","Стратегічний"},0),Settings!$G$78,Settings!$G$80,Settings!$G$82,Settings!$G$84,Settings!$G$86),"")</f>
        <v/>
      </c>
      <c r="AB344" s="143">
        <f>IFERROR((Z344*(1-Settings!$G$17)-C344)/(Z344*(1-Settings!$G$17)),"")</f>
        <v/>
      </c>
      <c r="AC344" s="149">
        <f>IFERROR(IF(Z344="","",IF(Z344&gt;=C344/(1-SKU_Base!AE344)/(1-Settings!$G$17),"OK",IF(Z344&gt;=C344/(1-SKU_Base!AL344)/(1-Settings!$G$17),"WARN","STOP"))),"")</f>
        <v/>
      </c>
      <c r="AD344" s="159">
        <f>IFERROR(ROUND(D344*(1-CHOOSE(MATCH(IF($E344="","Основний",$E344),{"Трафіковий","Основний","Маржинальний","Сезонний","Стратегічний"},0),Settings!$H$78,Settings!$H$80,Settings!$H$82,Settings!$H$84,Settings!$H$86))*(1-Settings!$H$68)/6,2)*6,"")</f>
        <v/>
      </c>
      <c r="AE344" s="142">
        <f>IFERROR(CHOOSE(MATCH(IF($E344="","Основний",$E344),{"Трафіковий","Основний","Маржинальний","Сезонний","Стратегічний"},0),Settings!$H$78,Settings!$H$80,Settings!$H$82,Settings!$H$84,Settings!$H$86)+(1-(CHOOSE(MATCH(IF($E344="","Основний",$E344),{"Трафіковий","Основний","Маржинальний","Сезонний","Стратегічний"},0),Settings!$H$78,Settings!$H$80,Settings!$H$82,Settings!$H$84,Settings!$H$86)))*Settings!$H$68,"")</f>
        <v/>
      </c>
      <c r="AF344" s="143">
        <f>IFERROR((AD344*(1-Settings!$H$17)-C344)/(AD344*(1-Settings!$H$17)),"")</f>
        <v/>
      </c>
      <c r="AG344" s="150">
        <f>IFERROR(IF(AD344="","",IF(AD344&gt;=C344/(1-SKU_Base!AF344)/(1-Settings!$H$17),"OK",IF(AD344&gt;=C344/(1-SKU_Base!AM344)/(1-Settings!$H$17),"WARN","STOP"))),"")</f>
        <v/>
      </c>
    </row>
    <row r="345" ht="17" customHeight="1" s="179">
      <c r="A345" s="146">
        <f>SKU_Base!B345</f>
        <v/>
      </c>
      <c r="B345" s="146">
        <f>SKU_Base!C345</f>
        <v/>
      </c>
      <c r="C345" s="147">
        <f>IFERROR(SKU_Base!I345,"")</f>
        <v/>
      </c>
      <c r="D345" s="164">
        <f>IFERROR(SKU_Base!T345,"")</f>
        <v/>
      </c>
      <c r="E345" s="141">
        <f>IFERROR(SKU_Base!$U345,"")</f>
        <v/>
      </c>
      <c r="F345" s="160">
        <f>IFERROR(ROUND(D345*(1-CHOOSE(MATCH(IF($E345="","Основний",$E345),{"Трафіковий","Основний","Маржинальний","Сезонний","Стратегічний"},0),Settings!$B$78,Settings!$B$80,Settings!$B$82,Settings!$B$84,Settings!$B$86))/6,2)*6,"")</f>
        <v/>
      </c>
      <c r="G345" s="142">
        <f>IFERROR(CHOOSE(MATCH(IF($E345="","Основний",$E345),{"Трафіковий","Основний","Маржинальний","Сезонний","Стратегічний"},0),Settings!$B$78,Settings!$B$80,Settings!$B$82,Settings!$B$84,Settings!$B$86),"")</f>
        <v/>
      </c>
      <c r="H345" s="148">
        <f>IFERROR((F345*(1-Settings!$B$17)-C345)/(F345*(1-Settings!$B$17)),"")</f>
        <v/>
      </c>
      <c r="I345" s="149">
        <f>IFERROR(IF(F345="","",IF(F345&gt;=C345/(1-SKU_Base!Z345)/(1-Settings!$B$17),"OK",IF(F345&gt;=C345/(1-SKU_Base!AG345)/(1-Settings!$B$17),"WARN","STOP"))),"")</f>
        <v/>
      </c>
      <c r="J345" s="160">
        <f>IFERROR(ROUND(D345*(1-CHOOSE(MATCH(IF($E345="","Основний",$E345),{"Трафіковий","Основний","Маржинальний","Сезонний","Стратегічний"},0),Settings!$C$78,Settings!$C$80,Settings!$C$82,Settings!$C$84,Settings!$C$86))/6,2)*6,"")</f>
        <v/>
      </c>
      <c r="K345" s="142">
        <f>IFERROR(CHOOSE(MATCH(IF($E345="","Основний",$E345),{"Трафіковий","Основний","Маржинальний","Сезонний","Стратегічний"},0),Settings!$C$78,Settings!$C$80,Settings!$C$82,Settings!$C$84,Settings!$C$86),"")</f>
        <v/>
      </c>
      <c r="L345" s="148">
        <f>IFERROR((J345*(1-Settings!$C$17)-C345)/(J345*(1-Settings!$C$17)),"")</f>
        <v/>
      </c>
      <c r="M345" s="149">
        <f>IFERROR(IF(J345="","",IF(J345&gt;=C345/(1-SKU_Base!AA345)/(1-Settings!$C$17),"OK",IF(J345&gt;=C345/(1-SKU_Base!AH345)/(1-Settings!$C$17),"WARN","STOP"))),"")</f>
        <v/>
      </c>
      <c r="N345" s="161">
        <f>IFERROR(ROUND(D345*(1-CHOOSE(MATCH(IF($E345="","Основний",$E345),{"Трафіковий","Основний","Маржинальний","Сезонний","Стратегічний"},0),Settings!$D$78,Settings!$D$80,Settings!$D$82,Settings!$D$84,Settings!$D$86))/6,2)*6,"")</f>
        <v/>
      </c>
      <c r="O345" s="142">
        <f>IFERROR(CHOOSE(MATCH(IF($E345="","Основний",$E345),{"Трафіковий","Основний","Маржинальний","Сезонний","Стратегічний"},0),Settings!$D$78,Settings!$D$80,Settings!$D$82,Settings!$D$84,Settings!$D$86),"")</f>
        <v/>
      </c>
      <c r="P345" s="148">
        <f>IFERROR((N345*(1-Settings!$D$17)-C345)/(N345*(1-Settings!$D$17)),"")</f>
        <v/>
      </c>
      <c r="Q345" s="149">
        <f>IFERROR(IF(N345="","",IF(N345&gt;=C345/(1-SKU_Base!AB345)/(1-Settings!$D$17),"OK",IF(N345&gt;=C345/(1-SKU_Base!AI345)/(1-Settings!$D$17),"WARN","STOP"))),"")</f>
        <v/>
      </c>
      <c r="R345" s="161">
        <f>IFERROR(ROUND(D345*(1-CHOOSE(MATCH(IF($E345="","Основний",$E345),{"Трафіковий","Основний","Маржинальний","Сезонний","Стратегічний"},0),Settings!$E$78,Settings!$E$80,Settings!$E$82,Settings!$E$84,Settings!$E$86))/6,2)*6,"")</f>
        <v/>
      </c>
      <c r="S345" s="142">
        <f>IFERROR(CHOOSE(MATCH(IF($E345="","Основний",$E345),{"Трафіковий","Основний","Маржинальний","Сезонний","Стратегічний"},0),Settings!$E$78,Settings!$E$80,Settings!$E$82,Settings!$E$84,Settings!$E$86),"")</f>
        <v/>
      </c>
      <c r="T345" s="148">
        <f>IFERROR((R345*(1-Settings!$E$17)-C345)/(R345*(1-Settings!$E$17)),"")</f>
        <v/>
      </c>
      <c r="U345" s="149">
        <f>IFERROR(IF(R345="","",IF(R345&gt;=C345/(1-SKU_Base!AC345)/(1-Settings!$E$17),"OK",IF(R345&gt;=C345/(1-SKU_Base!AJ345)/(1-Settings!$E$17),"WARN","STOP"))),"")</f>
        <v/>
      </c>
      <c r="V345" s="161">
        <f>IFERROR(ROUND(D345*(1-CHOOSE(MATCH(IF($E345="","Основний",$E345),{"Трафіковий","Основний","Маржинальний","Сезонний","Стратегічний"},0),Settings!$F$78,Settings!$F$80,Settings!$F$82,Settings!$F$84,Settings!$F$86))/6,2)*6,"")</f>
        <v/>
      </c>
      <c r="W345" s="142">
        <f>IFERROR(CHOOSE(MATCH(IF($E345="","Основний",$E345),{"Трафіковий","Основний","Маржинальний","Сезонний","Стратегічний"},0),Settings!$F$78,Settings!$F$80,Settings!$F$82,Settings!$F$84,Settings!$F$86),"")</f>
        <v/>
      </c>
      <c r="X345" s="148">
        <f>IFERROR((V345*(1-Settings!$F$17)-C345)/(V345*(1-Settings!$F$17)),"")</f>
        <v/>
      </c>
      <c r="Y345" s="149">
        <f>IFERROR(IF(V345="","",IF(V345&gt;=C345/(1-SKU_Base!AD345)/(1-Settings!$F$17),"OK",IF(V345&gt;=C345/(1-SKU_Base!AK345)/(1-Settings!$F$17),"WARN","STOP"))),"")</f>
        <v/>
      </c>
      <c r="Z345" s="161">
        <f>IFERROR(ROUND(D345*(1-CHOOSE(MATCH(IF($E345="","Основний",$E345),{"Трафіковий","Основний","Маржинальний","Сезонний","Стратегічний"},0),Settings!$G$78,Settings!$G$80,Settings!$G$82,Settings!$G$84,Settings!$G$86))/6,2)*6,"")</f>
        <v/>
      </c>
      <c r="AA345" s="142">
        <f>IFERROR(CHOOSE(MATCH(IF($E345="","Основний",$E345),{"Трафіковий","Основний","Маржинальний","Сезонний","Стратегічний"},0),Settings!$G$78,Settings!$G$80,Settings!$G$82,Settings!$G$84,Settings!$G$86),"")</f>
        <v/>
      </c>
      <c r="AB345" s="148">
        <f>IFERROR((Z345*(1-Settings!$G$17)-C345)/(Z345*(1-Settings!$G$17)),"")</f>
        <v/>
      </c>
      <c r="AC345" s="149">
        <f>IFERROR(IF(Z345="","",IF(Z345&gt;=C345/(1-SKU_Base!AE345)/(1-Settings!$G$17),"OK",IF(Z345&gt;=C345/(1-SKU_Base!AL345)/(1-Settings!$G$17),"WARN","STOP"))),"")</f>
        <v/>
      </c>
      <c r="AD345" s="161">
        <f>IFERROR(ROUND(D345*(1-CHOOSE(MATCH(IF($E345="","Основний",$E345),{"Трафіковий","Основний","Маржинальний","Сезонний","Стратегічний"},0),Settings!$H$78,Settings!$H$80,Settings!$H$82,Settings!$H$84,Settings!$H$86))*(1-Settings!$H$68)/6,2)*6,"")</f>
        <v/>
      </c>
      <c r="AE345" s="142">
        <f>IFERROR(CHOOSE(MATCH(IF($E345="","Основний",$E345),{"Трафіковий","Основний","Маржинальний","Сезонний","Стратегічний"},0),Settings!$H$78,Settings!$H$80,Settings!$H$82,Settings!$H$84,Settings!$H$86)+(1-(CHOOSE(MATCH(IF($E345="","Основний",$E345),{"Трафіковий","Основний","Маржинальний","Сезонний","Стратегічний"},0),Settings!$H$78,Settings!$H$80,Settings!$H$82,Settings!$H$84,Settings!$H$86)))*Settings!$H$68,"")</f>
        <v/>
      </c>
      <c r="AF345" s="148">
        <f>IFERROR((AD345*(1-Settings!$H$17)-C345)/(AD345*(1-Settings!$H$17)),"")</f>
        <v/>
      </c>
      <c r="AG345" s="150">
        <f>IFERROR(IF(AD345="","",IF(AD345&gt;=C345/(1-SKU_Base!AF345)/(1-Settings!$H$17),"OK",IF(AD345&gt;=C345/(1-SKU_Base!AM345)/(1-Settings!$H$17),"WARN","STOP"))),"")</f>
        <v/>
      </c>
    </row>
    <row r="346" ht="17" customHeight="1" s="179">
      <c r="A346" s="139">
        <f>SKU_Base!B346</f>
        <v/>
      </c>
      <c r="B346" s="139">
        <f>SKU_Base!C346</f>
        <v/>
      </c>
      <c r="C346" s="140">
        <f>IFERROR(SKU_Base!I346,"")</f>
        <v/>
      </c>
      <c r="D346" s="163">
        <f>IFERROR(SKU_Base!T346,"")</f>
        <v/>
      </c>
      <c r="E346" s="141">
        <f>IFERROR(SKU_Base!$U346,"")</f>
        <v/>
      </c>
      <c r="F346" s="158">
        <f>IFERROR(ROUND(D346*(1-CHOOSE(MATCH(IF($E346="","Основний",$E346),{"Трафіковий","Основний","Маржинальний","Сезонний","Стратегічний"},0),Settings!$B$78,Settings!$B$80,Settings!$B$82,Settings!$B$84,Settings!$B$86))/6,2)*6,"")</f>
        <v/>
      </c>
      <c r="G346" s="142">
        <f>IFERROR(CHOOSE(MATCH(IF($E346="","Основний",$E346),{"Трафіковий","Основний","Маржинальний","Сезонний","Стратегічний"},0),Settings!$B$78,Settings!$B$80,Settings!$B$82,Settings!$B$84,Settings!$B$86),"")</f>
        <v/>
      </c>
      <c r="H346" s="143">
        <f>IFERROR((F346*(1-Settings!$B$17)-C346)/(F346*(1-Settings!$B$17)),"")</f>
        <v/>
      </c>
      <c r="I346" s="149">
        <f>IFERROR(IF(F346="","",IF(F346&gt;=C346/(1-SKU_Base!Z346)/(1-Settings!$B$17),"OK",IF(F346&gt;=C346/(1-SKU_Base!AG346)/(1-Settings!$B$17),"WARN","STOP"))),"")</f>
        <v/>
      </c>
      <c r="J346" s="158">
        <f>IFERROR(ROUND(D346*(1-CHOOSE(MATCH(IF($E346="","Основний",$E346),{"Трафіковий","Основний","Маржинальний","Сезонний","Стратегічний"},0),Settings!$C$78,Settings!$C$80,Settings!$C$82,Settings!$C$84,Settings!$C$86))/6,2)*6,"")</f>
        <v/>
      </c>
      <c r="K346" s="142">
        <f>IFERROR(CHOOSE(MATCH(IF($E346="","Основний",$E346),{"Трафіковий","Основний","Маржинальний","Сезонний","Стратегічний"},0),Settings!$C$78,Settings!$C$80,Settings!$C$82,Settings!$C$84,Settings!$C$86),"")</f>
        <v/>
      </c>
      <c r="L346" s="143">
        <f>IFERROR((J346*(1-Settings!$C$17)-C346)/(J346*(1-Settings!$C$17)),"")</f>
        <v/>
      </c>
      <c r="M346" s="149">
        <f>IFERROR(IF(J346="","",IF(J346&gt;=C346/(1-SKU_Base!AA346)/(1-Settings!$C$17),"OK",IF(J346&gt;=C346/(1-SKU_Base!AH346)/(1-Settings!$C$17),"WARN","STOP"))),"")</f>
        <v/>
      </c>
      <c r="N346" s="159">
        <f>IFERROR(ROUND(D346*(1-CHOOSE(MATCH(IF($E346="","Основний",$E346),{"Трафіковий","Основний","Маржинальний","Сезонний","Стратегічний"},0),Settings!$D$78,Settings!$D$80,Settings!$D$82,Settings!$D$84,Settings!$D$86))/6,2)*6,"")</f>
        <v/>
      </c>
      <c r="O346" s="142">
        <f>IFERROR(CHOOSE(MATCH(IF($E346="","Основний",$E346),{"Трафіковий","Основний","Маржинальний","Сезонний","Стратегічний"},0),Settings!$D$78,Settings!$D$80,Settings!$D$82,Settings!$D$84,Settings!$D$86),"")</f>
        <v/>
      </c>
      <c r="P346" s="143">
        <f>IFERROR((N346*(1-Settings!$D$17)-C346)/(N346*(1-Settings!$D$17)),"")</f>
        <v/>
      </c>
      <c r="Q346" s="149">
        <f>IFERROR(IF(N346="","",IF(N346&gt;=C346/(1-SKU_Base!AB346)/(1-Settings!$D$17),"OK",IF(N346&gt;=C346/(1-SKU_Base!AI346)/(1-Settings!$D$17),"WARN","STOP"))),"")</f>
        <v/>
      </c>
      <c r="R346" s="159">
        <f>IFERROR(ROUND(D346*(1-CHOOSE(MATCH(IF($E346="","Основний",$E346),{"Трафіковий","Основний","Маржинальний","Сезонний","Стратегічний"},0),Settings!$E$78,Settings!$E$80,Settings!$E$82,Settings!$E$84,Settings!$E$86))/6,2)*6,"")</f>
        <v/>
      </c>
      <c r="S346" s="142">
        <f>IFERROR(CHOOSE(MATCH(IF($E346="","Основний",$E346),{"Трафіковий","Основний","Маржинальний","Сезонний","Стратегічний"},0),Settings!$E$78,Settings!$E$80,Settings!$E$82,Settings!$E$84,Settings!$E$86),"")</f>
        <v/>
      </c>
      <c r="T346" s="143">
        <f>IFERROR((R346*(1-Settings!$E$17)-C346)/(R346*(1-Settings!$E$17)),"")</f>
        <v/>
      </c>
      <c r="U346" s="149">
        <f>IFERROR(IF(R346="","",IF(R346&gt;=C346/(1-SKU_Base!AC346)/(1-Settings!$E$17),"OK",IF(R346&gt;=C346/(1-SKU_Base!AJ346)/(1-Settings!$E$17),"WARN","STOP"))),"")</f>
        <v/>
      </c>
      <c r="V346" s="159">
        <f>IFERROR(ROUND(D346*(1-CHOOSE(MATCH(IF($E346="","Основний",$E346),{"Трафіковий","Основний","Маржинальний","Сезонний","Стратегічний"},0),Settings!$F$78,Settings!$F$80,Settings!$F$82,Settings!$F$84,Settings!$F$86))/6,2)*6,"")</f>
        <v/>
      </c>
      <c r="W346" s="142">
        <f>IFERROR(CHOOSE(MATCH(IF($E346="","Основний",$E346),{"Трафіковий","Основний","Маржинальний","Сезонний","Стратегічний"},0),Settings!$F$78,Settings!$F$80,Settings!$F$82,Settings!$F$84,Settings!$F$86),"")</f>
        <v/>
      </c>
      <c r="X346" s="143">
        <f>IFERROR((V346*(1-Settings!$F$17)-C346)/(V346*(1-Settings!$F$17)),"")</f>
        <v/>
      </c>
      <c r="Y346" s="149">
        <f>IFERROR(IF(V346="","",IF(V346&gt;=C346/(1-SKU_Base!AD346)/(1-Settings!$F$17),"OK",IF(V346&gt;=C346/(1-SKU_Base!AK346)/(1-Settings!$F$17),"WARN","STOP"))),"")</f>
        <v/>
      </c>
      <c r="Z346" s="159">
        <f>IFERROR(ROUND(D346*(1-CHOOSE(MATCH(IF($E346="","Основний",$E346),{"Трафіковий","Основний","Маржинальний","Сезонний","Стратегічний"},0),Settings!$G$78,Settings!$G$80,Settings!$G$82,Settings!$G$84,Settings!$G$86))/6,2)*6,"")</f>
        <v/>
      </c>
      <c r="AA346" s="142">
        <f>IFERROR(CHOOSE(MATCH(IF($E346="","Основний",$E346),{"Трафіковий","Основний","Маржинальний","Сезонний","Стратегічний"},0),Settings!$G$78,Settings!$G$80,Settings!$G$82,Settings!$G$84,Settings!$G$86),"")</f>
        <v/>
      </c>
      <c r="AB346" s="143">
        <f>IFERROR((Z346*(1-Settings!$G$17)-C346)/(Z346*(1-Settings!$G$17)),"")</f>
        <v/>
      </c>
      <c r="AC346" s="149">
        <f>IFERROR(IF(Z346="","",IF(Z346&gt;=C346/(1-SKU_Base!AE346)/(1-Settings!$G$17),"OK",IF(Z346&gt;=C346/(1-SKU_Base!AL346)/(1-Settings!$G$17),"WARN","STOP"))),"")</f>
        <v/>
      </c>
      <c r="AD346" s="159">
        <f>IFERROR(ROUND(D346*(1-CHOOSE(MATCH(IF($E346="","Основний",$E346),{"Трафіковий","Основний","Маржинальний","Сезонний","Стратегічний"},0),Settings!$H$78,Settings!$H$80,Settings!$H$82,Settings!$H$84,Settings!$H$86))*(1-Settings!$H$68)/6,2)*6,"")</f>
        <v/>
      </c>
      <c r="AE346" s="142">
        <f>IFERROR(CHOOSE(MATCH(IF($E346="","Основний",$E346),{"Трафіковий","Основний","Маржинальний","Сезонний","Стратегічний"},0),Settings!$H$78,Settings!$H$80,Settings!$H$82,Settings!$H$84,Settings!$H$86)+(1-(CHOOSE(MATCH(IF($E346="","Основний",$E346),{"Трафіковий","Основний","Маржинальний","Сезонний","Стратегічний"},0),Settings!$H$78,Settings!$H$80,Settings!$H$82,Settings!$H$84,Settings!$H$86)))*Settings!$H$68,"")</f>
        <v/>
      </c>
      <c r="AF346" s="143">
        <f>IFERROR((AD346*(1-Settings!$H$17)-C346)/(AD346*(1-Settings!$H$17)),"")</f>
        <v/>
      </c>
      <c r="AG346" s="150">
        <f>IFERROR(IF(AD346="","",IF(AD346&gt;=C346/(1-SKU_Base!AF346)/(1-Settings!$H$17),"OK",IF(AD346&gt;=C346/(1-SKU_Base!AM346)/(1-Settings!$H$17),"WARN","STOP"))),"")</f>
        <v/>
      </c>
    </row>
    <row r="347" ht="17" customHeight="1" s="179">
      <c r="A347" s="146">
        <f>SKU_Base!B347</f>
        <v/>
      </c>
      <c r="B347" s="146">
        <f>SKU_Base!C347</f>
        <v/>
      </c>
      <c r="C347" s="147">
        <f>IFERROR(SKU_Base!I347,"")</f>
        <v/>
      </c>
      <c r="D347" s="164">
        <f>IFERROR(SKU_Base!T347,"")</f>
        <v/>
      </c>
      <c r="E347" s="141">
        <f>IFERROR(SKU_Base!$U347,"")</f>
        <v/>
      </c>
      <c r="F347" s="160">
        <f>IFERROR(ROUND(D347*(1-CHOOSE(MATCH(IF($E347="","Основний",$E347),{"Трафіковий","Основний","Маржинальний","Сезонний","Стратегічний"},0),Settings!$B$78,Settings!$B$80,Settings!$B$82,Settings!$B$84,Settings!$B$86))/6,2)*6,"")</f>
        <v/>
      </c>
      <c r="G347" s="142">
        <f>IFERROR(CHOOSE(MATCH(IF($E347="","Основний",$E347),{"Трафіковий","Основний","Маржинальний","Сезонний","Стратегічний"},0),Settings!$B$78,Settings!$B$80,Settings!$B$82,Settings!$B$84,Settings!$B$86),"")</f>
        <v/>
      </c>
      <c r="H347" s="148">
        <f>IFERROR((F347*(1-Settings!$B$17)-C347)/(F347*(1-Settings!$B$17)),"")</f>
        <v/>
      </c>
      <c r="I347" s="149">
        <f>IFERROR(IF(F347="","",IF(F347&gt;=C347/(1-SKU_Base!Z347)/(1-Settings!$B$17),"OK",IF(F347&gt;=C347/(1-SKU_Base!AG347)/(1-Settings!$B$17),"WARN","STOP"))),"")</f>
        <v/>
      </c>
      <c r="J347" s="160">
        <f>IFERROR(ROUND(D347*(1-CHOOSE(MATCH(IF($E347="","Основний",$E347),{"Трафіковий","Основний","Маржинальний","Сезонний","Стратегічний"},0),Settings!$C$78,Settings!$C$80,Settings!$C$82,Settings!$C$84,Settings!$C$86))/6,2)*6,"")</f>
        <v/>
      </c>
      <c r="K347" s="142">
        <f>IFERROR(CHOOSE(MATCH(IF($E347="","Основний",$E347),{"Трафіковий","Основний","Маржинальний","Сезонний","Стратегічний"},0),Settings!$C$78,Settings!$C$80,Settings!$C$82,Settings!$C$84,Settings!$C$86),"")</f>
        <v/>
      </c>
      <c r="L347" s="148">
        <f>IFERROR((J347*(1-Settings!$C$17)-C347)/(J347*(1-Settings!$C$17)),"")</f>
        <v/>
      </c>
      <c r="M347" s="149">
        <f>IFERROR(IF(J347="","",IF(J347&gt;=C347/(1-SKU_Base!AA347)/(1-Settings!$C$17),"OK",IF(J347&gt;=C347/(1-SKU_Base!AH347)/(1-Settings!$C$17),"WARN","STOP"))),"")</f>
        <v/>
      </c>
      <c r="N347" s="161">
        <f>IFERROR(ROUND(D347*(1-CHOOSE(MATCH(IF($E347="","Основний",$E347),{"Трафіковий","Основний","Маржинальний","Сезонний","Стратегічний"},0),Settings!$D$78,Settings!$D$80,Settings!$D$82,Settings!$D$84,Settings!$D$86))/6,2)*6,"")</f>
        <v/>
      </c>
      <c r="O347" s="142">
        <f>IFERROR(CHOOSE(MATCH(IF($E347="","Основний",$E347),{"Трафіковий","Основний","Маржинальний","Сезонний","Стратегічний"},0),Settings!$D$78,Settings!$D$80,Settings!$D$82,Settings!$D$84,Settings!$D$86),"")</f>
        <v/>
      </c>
      <c r="P347" s="148">
        <f>IFERROR((N347*(1-Settings!$D$17)-C347)/(N347*(1-Settings!$D$17)),"")</f>
        <v/>
      </c>
      <c r="Q347" s="149">
        <f>IFERROR(IF(N347="","",IF(N347&gt;=C347/(1-SKU_Base!AB347)/(1-Settings!$D$17),"OK",IF(N347&gt;=C347/(1-SKU_Base!AI347)/(1-Settings!$D$17),"WARN","STOP"))),"")</f>
        <v/>
      </c>
      <c r="R347" s="161">
        <f>IFERROR(ROUND(D347*(1-CHOOSE(MATCH(IF($E347="","Основний",$E347),{"Трафіковий","Основний","Маржинальний","Сезонний","Стратегічний"},0),Settings!$E$78,Settings!$E$80,Settings!$E$82,Settings!$E$84,Settings!$E$86))/6,2)*6,"")</f>
        <v/>
      </c>
      <c r="S347" s="142">
        <f>IFERROR(CHOOSE(MATCH(IF($E347="","Основний",$E347),{"Трафіковий","Основний","Маржинальний","Сезонний","Стратегічний"},0),Settings!$E$78,Settings!$E$80,Settings!$E$82,Settings!$E$84,Settings!$E$86),"")</f>
        <v/>
      </c>
      <c r="T347" s="148">
        <f>IFERROR((R347*(1-Settings!$E$17)-C347)/(R347*(1-Settings!$E$17)),"")</f>
        <v/>
      </c>
      <c r="U347" s="149">
        <f>IFERROR(IF(R347="","",IF(R347&gt;=C347/(1-SKU_Base!AC347)/(1-Settings!$E$17),"OK",IF(R347&gt;=C347/(1-SKU_Base!AJ347)/(1-Settings!$E$17),"WARN","STOP"))),"")</f>
        <v/>
      </c>
      <c r="V347" s="161">
        <f>IFERROR(ROUND(D347*(1-CHOOSE(MATCH(IF($E347="","Основний",$E347),{"Трафіковий","Основний","Маржинальний","Сезонний","Стратегічний"},0),Settings!$F$78,Settings!$F$80,Settings!$F$82,Settings!$F$84,Settings!$F$86))/6,2)*6,"")</f>
        <v/>
      </c>
      <c r="W347" s="142">
        <f>IFERROR(CHOOSE(MATCH(IF($E347="","Основний",$E347),{"Трафіковий","Основний","Маржинальний","Сезонний","Стратегічний"},0),Settings!$F$78,Settings!$F$80,Settings!$F$82,Settings!$F$84,Settings!$F$86),"")</f>
        <v/>
      </c>
      <c r="X347" s="148">
        <f>IFERROR((V347*(1-Settings!$F$17)-C347)/(V347*(1-Settings!$F$17)),"")</f>
        <v/>
      </c>
      <c r="Y347" s="149">
        <f>IFERROR(IF(V347="","",IF(V347&gt;=C347/(1-SKU_Base!AD347)/(1-Settings!$F$17),"OK",IF(V347&gt;=C347/(1-SKU_Base!AK347)/(1-Settings!$F$17),"WARN","STOP"))),"")</f>
        <v/>
      </c>
      <c r="Z347" s="161">
        <f>IFERROR(ROUND(D347*(1-CHOOSE(MATCH(IF($E347="","Основний",$E347),{"Трафіковий","Основний","Маржинальний","Сезонний","Стратегічний"},0),Settings!$G$78,Settings!$G$80,Settings!$G$82,Settings!$G$84,Settings!$G$86))/6,2)*6,"")</f>
        <v/>
      </c>
      <c r="AA347" s="142">
        <f>IFERROR(CHOOSE(MATCH(IF($E347="","Основний",$E347),{"Трафіковий","Основний","Маржинальний","Сезонний","Стратегічний"},0),Settings!$G$78,Settings!$G$80,Settings!$G$82,Settings!$G$84,Settings!$G$86),"")</f>
        <v/>
      </c>
      <c r="AB347" s="148">
        <f>IFERROR((Z347*(1-Settings!$G$17)-C347)/(Z347*(1-Settings!$G$17)),"")</f>
        <v/>
      </c>
      <c r="AC347" s="149">
        <f>IFERROR(IF(Z347="","",IF(Z347&gt;=C347/(1-SKU_Base!AE347)/(1-Settings!$G$17),"OK",IF(Z347&gt;=C347/(1-SKU_Base!AL347)/(1-Settings!$G$17),"WARN","STOP"))),"")</f>
        <v/>
      </c>
      <c r="AD347" s="161">
        <f>IFERROR(ROUND(D347*(1-CHOOSE(MATCH(IF($E347="","Основний",$E347),{"Трафіковий","Основний","Маржинальний","Сезонний","Стратегічний"},0),Settings!$H$78,Settings!$H$80,Settings!$H$82,Settings!$H$84,Settings!$H$86))*(1-Settings!$H$68)/6,2)*6,"")</f>
        <v/>
      </c>
      <c r="AE347" s="142">
        <f>IFERROR(CHOOSE(MATCH(IF($E347="","Основний",$E347),{"Трафіковий","Основний","Маржинальний","Сезонний","Стратегічний"},0),Settings!$H$78,Settings!$H$80,Settings!$H$82,Settings!$H$84,Settings!$H$86)+(1-(CHOOSE(MATCH(IF($E347="","Основний",$E347),{"Трафіковий","Основний","Маржинальний","Сезонний","Стратегічний"},0),Settings!$H$78,Settings!$H$80,Settings!$H$82,Settings!$H$84,Settings!$H$86)))*Settings!$H$68,"")</f>
        <v/>
      </c>
      <c r="AF347" s="148">
        <f>IFERROR((AD347*(1-Settings!$H$17)-C347)/(AD347*(1-Settings!$H$17)),"")</f>
        <v/>
      </c>
      <c r="AG347" s="150">
        <f>IFERROR(IF(AD347="","",IF(AD347&gt;=C347/(1-SKU_Base!AF347)/(1-Settings!$H$17),"OK",IF(AD347&gt;=C347/(1-SKU_Base!AM347)/(1-Settings!$H$17),"WARN","STOP"))),"")</f>
        <v/>
      </c>
    </row>
    <row r="348" ht="17" customHeight="1" s="179">
      <c r="A348" s="139">
        <f>SKU_Base!B348</f>
        <v/>
      </c>
      <c r="B348" s="139">
        <f>SKU_Base!C348</f>
        <v/>
      </c>
      <c r="C348" s="140">
        <f>IFERROR(SKU_Base!I348,"")</f>
        <v/>
      </c>
      <c r="D348" s="163">
        <f>IFERROR(SKU_Base!T348,"")</f>
        <v/>
      </c>
      <c r="E348" s="141">
        <f>IFERROR(SKU_Base!$U348,"")</f>
        <v/>
      </c>
      <c r="F348" s="158">
        <f>IFERROR(ROUND(D348*(1-CHOOSE(MATCH(IF($E348="","Основний",$E348),{"Трафіковий","Основний","Маржинальний","Сезонний","Стратегічний"},0),Settings!$B$78,Settings!$B$80,Settings!$B$82,Settings!$B$84,Settings!$B$86))/6,2)*6,"")</f>
        <v/>
      </c>
      <c r="G348" s="142">
        <f>IFERROR(CHOOSE(MATCH(IF($E348="","Основний",$E348),{"Трафіковий","Основний","Маржинальний","Сезонний","Стратегічний"},0),Settings!$B$78,Settings!$B$80,Settings!$B$82,Settings!$B$84,Settings!$B$86),"")</f>
        <v/>
      </c>
      <c r="H348" s="143">
        <f>IFERROR((F348*(1-Settings!$B$17)-C348)/(F348*(1-Settings!$B$17)),"")</f>
        <v/>
      </c>
      <c r="I348" s="150">
        <f>IFERROR(IF(F348="","",IF(F348&gt;=C348/(1-SKU_Base!Z348)/(1-Settings!$B$17),"OK",IF(F348&gt;=C348/(1-SKU_Base!AG348)/(1-Settings!$B$17),"WARN","STOP"))),"")</f>
        <v/>
      </c>
      <c r="J348" s="158">
        <f>IFERROR(ROUND(D348*(1-CHOOSE(MATCH(IF($E348="","Основний",$E348),{"Трафіковий","Основний","Маржинальний","Сезонний","Стратегічний"},0),Settings!$C$78,Settings!$C$80,Settings!$C$82,Settings!$C$84,Settings!$C$86))/6,2)*6,"")</f>
        <v/>
      </c>
      <c r="K348" s="142">
        <f>IFERROR(CHOOSE(MATCH(IF($E348="","Основний",$E348),{"Трафіковий","Основний","Маржинальний","Сезонний","Стратегічний"},0),Settings!$C$78,Settings!$C$80,Settings!$C$82,Settings!$C$84,Settings!$C$86),"")</f>
        <v/>
      </c>
      <c r="L348" s="143">
        <f>IFERROR((J348*(1-Settings!$C$17)-C348)/(J348*(1-Settings!$C$17)),"")</f>
        <v/>
      </c>
      <c r="M348" s="149">
        <f>IFERROR(IF(J348="","",IF(J348&gt;=C348/(1-SKU_Base!AA348)/(1-Settings!$C$17),"OK",IF(J348&gt;=C348/(1-SKU_Base!AH348)/(1-Settings!$C$17),"WARN","STOP"))),"")</f>
        <v/>
      </c>
      <c r="N348" s="159">
        <f>IFERROR(ROUND(D348*(1-CHOOSE(MATCH(IF($E348="","Основний",$E348),{"Трафіковий","Основний","Маржинальний","Сезонний","Стратегічний"},0),Settings!$D$78,Settings!$D$80,Settings!$D$82,Settings!$D$84,Settings!$D$86))/6,2)*6,"")</f>
        <v/>
      </c>
      <c r="O348" s="142">
        <f>IFERROR(CHOOSE(MATCH(IF($E348="","Основний",$E348),{"Трафіковий","Основний","Маржинальний","Сезонний","Стратегічний"},0),Settings!$D$78,Settings!$D$80,Settings!$D$82,Settings!$D$84,Settings!$D$86),"")</f>
        <v/>
      </c>
      <c r="P348" s="143">
        <f>IFERROR((N348*(1-Settings!$D$17)-C348)/(N348*(1-Settings!$D$17)),"")</f>
        <v/>
      </c>
      <c r="Q348" s="149">
        <f>IFERROR(IF(N348="","",IF(N348&gt;=C348/(1-SKU_Base!AB348)/(1-Settings!$D$17),"OK",IF(N348&gt;=C348/(1-SKU_Base!AI348)/(1-Settings!$D$17),"WARN","STOP"))),"")</f>
        <v/>
      </c>
      <c r="R348" s="159">
        <f>IFERROR(ROUND(D348*(1-CHOOSE(MATCH(IF($E348="","Основний",$E348),{"Трафіковий","Основний","Маржинальний","Сезонний","Стратегічний"},0),Settings!$E$78,Settings!$E$80,Settings!$E$82,Settings!$E$84,Settings!$E$86))/6,2)*6,"")</f>
        <v/>
      </c>
      <c r="S348" s="142">
        <f>IFERROR(CHOOSE(MATCH(IF($E348="","Основний",$E348),{"Трафіковий","Основний","Маржинальний","Сезонний","Стратегічний"},0),Settings!$E$78,Settings!$E$80,Settings!$E$82,Settings!$E$84,Settings!$E$86),"")</f>
        <v/>
      </c>
      <c r="T348" s="143">
        <f>IFERROR((R348*(1-Settings!$E$17)-C348)/(R348*(1-Settings!$E$17)),"")</f>
        <v/>
      </c>
      <c r="U348" s="149">
        <f>IFERROR(IF(R348="","",IF(R348&gt;=C348/(1-SKU_Base!AC348)/(1-Settings!$E$17),"OK",IF(R348&gt;=C348/(1-SKU_Base!AJ348)/(1-Settings!$E$17),"WARN","STOP"))),"")</f>
        <v/>
      </c>
      <c r="V348" s="159">
        <f>IFERROR(ROUND(D348*(1-CHOOSE(MATCH(IF($E348="","Основний",$E348),{"Трафіковий","Основний","Маржинальний","Сезонний","Стратегічний"},0),Settings!$F$78,Settings!$F$80,Settings!$F$82,Settings!$F$84,Settings!$F$86))/6,2)*6,"")</f>
        <v/>
      </c>
      <c r="W348" s="142">
        <f>IFERROR(CHOOSE(MATCH(IF($E348="","Основний",$E348),{"Трафіковий","Основний","Маржинальний","Сезонний","Стратегічний"},0),Settings!$F$78,Settings!$F$80,Settings!$F$82,Settings!$F$84,Settings!$F$86),"")</f>
        <v/>
      </c>
      <c r="X348" s="143">
        <f>IFERROR((V348*(1-Settings!$F$17)-C348)/(V348*(1-Settings!$F$17)),"")</f>
        <v/>
      </c>
      <c r="Y348" s="149">
        <f>IFERROR(IF(V348="","",IF(V348&gt;=C348/(1-SKU_Base!AD348)/(1-Settings!$F$17),"OK",IF(V348&gt;=C348/(1-SKU_Base!AK348)/(1-Settings!$F$17),"WARN","STOP"))),"")</f>
        <v/>
      </c>
      <c r="Z348" s="159">
        <f>IFERROR(ROUND(D348*(1-CHOOSE(MATCH(IF($E348="","Основний",$E348),{"Трафіковий","Основний","Маржинальний","Сезонний","Стратегічний"},0),Settings!$G$78,Settings!$G$80,Settings!$G$82,Settings!$G$84,Settings!$G$86))/6,2)*6,"")</f>
        <v/>
      </c>
      <c r="AA348" s="142">
        <f>IFERROR(CHOOSE(MATCH(IF($E348="","Основний",$E348),{"Трафіковий","Основний","Маржинальний","Сезонний","Стратегічний"},0),Settings!$G$78,Settings!$G$80,Settings!$G$82,Settings!$G$84,Settings!$G$86),"")</f>
        <v/>
      </c>
      <c r="AB348" s="143">
        <f>IFERROR((Z348*(1-Settings!$G$17)-C348)/(Z348*(1-Settings!$G$17)),"")</f>
        <v/>
      </c>
      <c r="AC348" s="149">
        <f>IFERROR(IF(Z348="","",IF(Z348&gt;=C348/(1-SKU_Base!AE348)/(1-Settings!$G$17),"OK",IF(Z348&gt;=C348/(1-SKU_Base!AL348)/(1-Settings!$G$17),"WARN","STOP"))),"")</f>
        <v/>
      </c>
      <c r="AD348" s="159">
        <f>IFERROR(ROUND(D348*(1-CHOOSE(MATCH(IF($E348="","Основний",$E348),{"Трафіковий","Основний","Маржинальний","Сезонний","Стратегічний"},0),Settings!$H$78,Settings!$H$80,Settings!$H$82,Settings!$H$84,Settings!$H$86))*(1-Settings!$H$68)/6,2)*6,"")</f>
        <v/>
      </c>
      <c r="AE348" s="142">
        <f>IFERROR(CHOOSE(MATCH(IF($E348="","Основний",$E348),{"Трафіковий","Основний","Маржинальний","Сезонний","Стратегічний"},0),Settings!$H$78,Settings!$H$80,Settings!$H$82,Settings!$H$84,Settings!$H$86)+(1-(CHOOSE(MATCH(IF($E348="","Основний",$E348),{"Трафіковий","Основний","Маржинальний","Сезонний","Стратегічний"},0),Settings!$H$78,Settings!$H$80,Settings!$H$82,Settings!$H$84,Settings!$H$86)))*Settings!$H$68,"")</f>
        <v/>
      </c>
      <c r="AF348" s="143">
        <f>IFERROR((AD348*(1-Settings!$H$17)-C348)/(AD348*(1-Settings!$H$17)),"")</f>
        <v/>
      </c>
      <c r="AG348" s="150">
        <f>IFERROR(IF(AD348="","",IF(AD348&gt;=C348/(1-SKU_Base!AF348)/(1-Settings!$H$17),"OK",IF(AD348&gt;=C348/(1-SKU_Base!AM348)/(1-Settings!$H$17),"WARN","STOP"))),"")</f>
        <v/>
      </c>
    </row>
    <row r="349" ht="17" customHeight="1" s="179">
      <c r="A349" s="146">
        <f>SKU_Base!B349</f>
        <v/>
      </c>
      <c r="B349" s="146">
        <f>SKU_Base!C349</f>
        <v/>
      </c>
      <c r="C349" s="147">
        <f>IFERROR(SKU_Base!I349,"")</f>
        <v/>
      </c>
      <c r="D349" s="164">
        <f>IFERROR(SKU_Base!T349,"")</f>
        <v/>
      </c>
      <c r="E349" s="141">
        <f>IFERROR(SKU_Base!$U349,"")</f>
        <v/>
      </c>
      <c r="F349" s="160">
        <f>IFERROR(ROUND(D349*(1-CHOOSE(MATCH(IF($E349="","Основний",$E349),{"Трафіковий","Основний","Маржинальний","Сезонний","Стратегічний"},0),Settings!$B$78,Settings!$B$80,Settings!$B$82,Settings!$B$84,Settings!$B$86))/6,2)*6,"")</f>
        <v/>
      </c>
      <c r="G349" s="142">
        <f>IFERROR(CHOOSE(MATCH(IF($E349="","Основний",$E349),{"Трафіковий","Основний","Маржинальний","Сезонний","Стратегічний"},0),Settings!$B$78,Settings!$B$80,Settings!$B$82,Settings!$B$84,Settings!$B$86),"")</f>
        <v/>
      </c>
      <c r="H349" s="148">
        <f>IFERROR((F349*(1-Settings!$B$17)-C349)/(F349*(1-Settings!$B$17)),"")</f>
        <v/>
      </c>
      <c r="I349" s="149">
        <f>IFERROR(IF(F349="","",IF(F349&gt;=C349/(1-SKU_Base!Z349)/(1-Settings!$B$17),"OK",IF(F349&gt;=C349/(1-SKU_Base!AG349)/(1-Settings!$B$17),"WARN","STOP"))),"")</f>
        <v/>
      </c>
      <c r="J349" s="160">
        <f>IFERROR(ROUND(D349*(1-CHOOSE(MATCH(IF($E349="","Основний",$E349),{"Трафіковий","Основний","Маржинальний","Сезонний","Стратегічний"},0),Settings!$C$78,Settings!$C$80,Settings!$C$82,Settings!$C$84,Settings!$C$86))/6,2)*6,"")</f>
        <v/>
      </c>
      <c r="K349" s="142">
        <f>IFERROR(CHOOSE(MATCH(IF($E349="","Основний",$E349),{"Трафіковий","Основний","Маржинальний","Сезонний","Стратегічний"},0),Settings!$C$78,Settings!$C$80,Settings!$C$82,Settings!$C$84,Settings!$C$86),"")</f>
        <v/>
      </c>
      <c r="L349" s="148">
        <f>IFERROR((J349*(1-Settings!$C$17)-C349)/(J349*(1-Settings!$C$17)),"")</f>
        <v/>
      </c>
      <c r="M349" s="149">
        <f>IFERROR(IF(J349="","",IF(J349&gt;=C349/(1-SKU_Base!AA349)/(1-Settings!$C$17),"OK",IF(J349&gt;=C349/(1-SKU_Base!AH349)/(1-Settings!$C$17),"WARN","STOP"))),"")</f>
        <v/>
      </c>
      <c r="N349" s="161">
        <f>IFERROR(ROUND(D349*(1-CHOOSE(MATCH(IF($E349="","Основний",$E349),{"Трафіковий","Основний","Маржинальний","Сезонний","Стратегічний"},0),Settings!$D$78,Settings!$D$80,Settings!$D$82,Settings!$D$84,Settings!$D$86))/6,2)*6,"")</f>
        <v/>
      </c>
      <c r="O349" s="142">
        <f>IFERROR(CHOOSE(MATCH(IF($E349="","Основний",$E349),{"Трафіковий","Основний","Маржинальний","Сезонний","Стратегічний"},0),Settings!$D$78,Settings!$D$80,Settings!$D$82,Settings!$D$84,Settings!$D$86),"")</f>
        <v/>
      </c>
      <c r="P349" s="148">
        <f>IFERROR((N349*(1-Settings!$D$17)-C349)/(N349*(1-Settings!$D$17)),"")</f>
        <v/>
      </c>
      <c r="Q349" s="149">
        <f>IFERROR(IF(N349="","",IF(N349&gt;=C349/(1-SKU_Base!AB349)/(1-Settings!$D$17),"OK",IF(N349&gt;=C349/(1-SKU_Base!AI349)/(1-Settings!$D$17),"WARN","STOP"))),"")</f>
        <v/>
      </c>
      <c r="R349" s="161">
        <f>IFERROR(ROUND(D349*(1-CHOOSE(MATCH(IF($E349="","Основний",$E349),{"Трафіковий","Основний","Маржинальний","Сезонний","Стратегічний"},0),Settings!$E$78,Settings!$E$80,Settings!$E$82,Settings!$E$84,Settings!$E$86))/6,2)*6,"")</f>
        <v/>
      </c>
      <c r="S349" s="142">
        <f>IFERROR(CHOOSE(MATCH(IF($E349="","Основний",$E349),{"Трафіковий","Основний","Маржинальний","Сезонний","Стратегічний"},0),Settings!$E$78,Settings!$E$80,Settings!$E$82,Settings!$E$84,Settings!$E$86),"")</f>
        <v/>
      </c>
      <c r="T349" s="148">
        <f>IFERROR((R349*(1-Settings!$E$17)-C349)/(R349*(1-Settings!$E$17)),"")</f>
        <v/>
      </c>
      <c r="U349" s="149">
        <f>IFERROR(IF(R349="","",IF(R349&gt;=C349/(1-SKU_Base!AC349)/(1-Settings!$E$17),"OK",IF(R349&gt;=C349/(1-SKU_Base!AJ349)/(1-Settings!$E$17),"WARN","STOP"))),"")</f>
        <v/>
      </c>
      <c r="V349" s="161">
        <f>IFERROR(ROUND(D349*(1-CHOOSE(MATCH(IF($E349="","Основний",$E349),{"Трафіковий","Основний","Маржинальний","Сезонний","Стратегічний"},0),Settings!$F$78,Settings!$F$80,Settings!$F$82,Settings!$F$84,Settings!$F$86))/6,2)*6,"")</f>
        <v/>
      </c>
      <c r="W349" s="142">
        <f>IFERROR(CHOOSE(MATCH(IF($E349="","Основний",$E349),{"Трафіковий","Основний","Маржинальний","Сезонний","Стратегічний"},0),Settings!$F$78,Settings!$F$80,Settings!$F$82,Settings!$F$84,Settings!$F$86),"")</f>
        <v/>
      </c>
      <c r="X349" s="148">
        <f>IFERROR((V349*(1-Settings!$F$17)-C349)/(V349*(1-Settings!$F$17)),"")</f>
        <v/>
      </c>
      <c r="Y349" s="149">
        <f>IFERROR(IF(V349="","",IF(V349&gt;=C349/(1-SKU_Base!AD349)/(1-Settings!$F$17),"OK",IF(V349&gt;=C349/(1-SKU_Base!AK349)/(1-Settings!$F$17),"WARN","STOP"))),"")</f>
        <v/>
      </c>
      <c r="Z349" s="161">
        <f>IFERROR(ROUND(D349*(1-CHOOSE(MATCH(IF($E349="","Основний",$E349),{"Трафіковий","Основний","Маржинальний","Сезонний","Стратегічний"},0),Settings!$G$78,Settings!$G$80,Settings!$G$82,Settings!$G$84,Settings!$G$86))/6,2)*6,"")</f>
        <v/>
      </c>
      <c r="AA349" s="142">
        <f>IFERROR(CHOOSE(MATCH(IF($E349="","Основний",$E349),{"Трафіковий","Основний","Маржинальний","Сезонний","Стратегічний"},0),Settings!$G$78,Settings!$G$80,Settings!$G$82,Settings!$G$84,Settings!$G$86),"")</f>
        <v/>
      </c>
      <c r="AB349" s="148">
        <f>IFERROR((Z349*(1-Settings!$G$17)-C349)/(Z349*(1-Settings!$G$17)),"")</f>
        <v/>
      </c>
      <c r="AC349" s="149">
        <f>IFERROR(IF(Z349="","",IF(Z349&gt;=C349/(1-SKU_Base!AE349)/(1-Settings!$G$17),"OK",IF(Z349&gt;=C349/(1-SKU_Base!AL349)/(1-Settings!$G$17),"WARN","STOP"))),"")</f>
        <v/>
      </c>
      <c r="AD349" s="161">
        <f>IFERROR(ROUND(D349*(1-CHOOSE(MATCH(IF($E349="","Основний",$E349),{"Трафіковий","Основний","Маржинальний","Сезонний","Стратегічний"},0),Settings!$H$78,Settings!$H$80,Settings!$H$82,Settings!$H$84,Settings!$H$86))*(1-Settings!$H$68)/6,2)*6,"")</f>
        <v/>
      </c>
      <c r="AE349" s="142">
        <f>IFERROR(CHOOSE(MATCH(IF($E349="","Основний",$E349),{"Трафіковий","Основний","Маржинальний","Сезонний","Стратегічний"},0),Settings!$H$78,Settings!$H$80,Settings!$H$82,Settings!$H$84,Settings!$H$86)+(1-(CHOOSE(MATCH(IF($E349="","Основний",$E349),{"Трафіковий","Основний","Маржинальний","Сезонний","Стратегічний"},0),Settings!$H$78,Settings!$H$80,Settings!$H$82,Settings!$H$84,Settings!$H$86)))*Settings!$H$68,"")</f>
        <v/>
      </c>
      <c r="AF349" s="148">
        <f>IFERROR((AD349*(1-Settings!$H$17)-C349)/(AD349*(1-Settings!$H$17)),"")</f>
        <v/>
      </c>
      <c r="AG349" s="150">
        <f>IFERROR(IF(AD349="","",IF(AD349&gt;=C349/(1-SKU_Base!AF349)/(1-Settings!$H$17),"OK",IF(AD349&gt;=C349/(1-SKU_Base!AM349)/(1-Settings!$H$17),"WARN","STOP"))),"")</f>
        <v/>
      </c>
    </row>
    <row r="350" ht="17" customHeight="1" s="179">
      <c r="A350" s="139">
        <f>SKU_Base!B350</f>
        <v/>
      </c>
      <c r="B350" s="139">
        <f>SKU_Base!C350</f>
        <v/>
      </c>
      <c r="C350" s="140">
        <f>IFERROR(SKU_Base!I350,"")</f>
        <v/>
      </c>
      <c r="D350" s="163">
        <f>IFERROR(SKU_Base!T350,"")</f>
        <v/>
      </c>
      <c r="E350" s="141">
        <f>IFERROR(SKU_Base!$U350,"")</f>
        <v/>
      </c>
      <c r="F350" s="158">
        <f>IFERROR(ROUND(D350*(1-CHOOSE(MATCH(IF($E350="","Основний",$E350),{"Трафіковий","Основний","Маржинальний","Сезонний","Стратегічний"},0),Settings!$B$78,Settings!$B$80,Settings!$B$82,Settings!$B$84,Settings!$B$86))/6,2)*6,"")</f>
        <v/>
      </c>
      <c r="G350" s="142">
        <f>IFERROR(CHOOSE(MATCH(IF($E350="","Основний",$E350),{"Трафіковий","Основний","Маржинальний","Сезонний","Стратегічний"},0),Settings!$B$78,Settings!$B$80,Settings!$B$82,Settings!$B$84,Settings!$B$86),"")</f>
        <v/>
      </c>
      <c r="H350" s="143">
        <f>IFERROR((F350*(1-Settings!$B$17)-C350)/(F350*(1-Settings!$B$17)),"")</f>
        <v/>
      </c>
      <c r="I350" s="149">
        <f>IFERROR(IF(F350="","",IF(F350&gt;=C350/(1-SKU_Base!Z350)/(1-Settings!$B$17),"OK",IF(F350&gt;=C350/(1-SKU_Base!AG350)/(1-Settings!$B$17),"WARN","STOP"))),"")</f>
        <v/>
      </c>
      <c r="J350" s="158">
        <f>IFERROR(ROUND(D350*(1-CHOOSE(MATCH(IF($E350="","Основний",$E350),{"Трафіковий","Основний","Маржинальний","Сезонний","Стратегічний"},0),Settings!$C$78,Settings!$C$80,Settings!$C$82,Settings!$C$84,Settings!$C$86))/6,2)*6,"")</f>
        <v/>
      </c>
      <c r="K350" s="142">
        <f>IFERROR(CHOOSE(MATCH(IF($E350="","Основний",$E350),{"Трафіковий","Основний","Маржинальний","Сезонний","Стратегічний"},0),Settings!$C$78,Settings!$C$80,Settings!$C$82,Settings!$C$84,Settings!$C$86),"")</f>
        <v/>
      </c>
      <c r="L350" s="143">
        <f>IFERROR((J350*(1-Settings!$C$17)-C350)/(J350*(1-Settings!$C$17)),"")</f>
        <v/>
      </c>
      <c r="M350" s="149">
        <f>IFERROR(IF(J350="","",IF(J350&gt;=C350/(1-SKU_Base!AA350)/(1-Settings!$C$17),"OK",IF(J350&gt;=C350/(1-SKU_Base!AH350)/(1-Settings!$C$17),"WARN","STOP"))),"")</f>
        <v/>
      </c>
      <c r="N350" s="159">
        <f>IFERROR(ROUND(D350*(1-CHOOSE(MATCH(IF($E350="","Основний",$E350),{"Трафіковий","Основний","Маржинальний","Сезонний","Стратегічний"},0),Settings!$D$78,Settings!$D$80,Settings!$D$82,Settings!$D$84,Settings!$D$86))/6,2)*6,"")</f>
        <v/>
      </c>
      <c r="O350" s="142">
        <f>IFERROR(CHOOSE(MATCH(IF($E350="","Основний",$E350),{"Трафіковий","Основний","Маржинальний","Сезонний","Стратегічний"},0),Settings!$D$78,Settings!$D$80,Settings!$D$82,Settings!$D$84,Settings!$D$86),"")</f>
        <v/>
      </c>
      <c r="P350" s="143">
        <f>IFERROR((N350*(1-Settings!$D$17)-C350)/(N350*(1-Settings!$D$17)),"")</f>
        <v/>
      </c>
      <c r="Q350" s="149">
        <f>IFERROR(IF(N350="","",IF(N350&gt;=C350/(1-SKU_Base!AB350)/(1-Settings!$D$17),"OK",IF(N350&gt;=C350/(1-SKU_Base!AI350)/(1-Settings!$D$17),"WARN","STOP"))),"")</f>
        <v/>
      </c>
      <c r="R350" s="159">
        <f>IFERROR(ROUND(D350*(1-CHOOSE(MATCH(IF($E350="","Основний",$E350),{"Трафіковий","Основний","Маржинальний","Сезонний","Стратегічний"},0),Settings!$E$78,Settings!$E$80,Settings!$E$82,Settings!$E$84,Settings!$E$86))/6,2)*6,"")</f>
        <v/>
      </c>
      <c r="S350" s="142">
        <f>IFERROR(CHOOSE(MATCH(IF($E350="","Основний",$E350),{"Трафіковий","Основний","Маржинальний","Сезонний","Стратегічний"},0),Settings!$E$78,Settings!$E$80,Settings!$E$82,Settings!$E$84,Settings!$E$86),"")</f>
        <v/>
      </c>
      <c r="T350" s="143">
        <f>IFERROR((R350*(1-Settings!$E$17)-C350)/(R350*(1-Settings!$E$17)),"")</f>
        <v/>
      </c>
      <c r="U350" s="149">
        <f>IFERROR(IF(R350="","",IF(R350&gt;=C350/(1-SKU_Base!AC350)/(1-Settings!$E$17),"OK",IF(R350&gt;=C350/(1-SKU_Base!AJ350)/(1-Settings!$E$17),"WARN","STOP"))),"")</f>
        <v/>
      </c>
      <c r="V350" s="159">
        <f>IFERROR(ROUND(D350*(1-CHOOSE(MATCH(IF($E350="","Основний",$E350),{"Трафіковий","Основний","Маржинальний","Сезонний","Стратегічний"},0),Settings!$F$78,Settings!$F$80,Settings!$F$82,Settings!$F$84,Settings!$F$86))/6,2)*6,"")</f>
        <v/>
      </c>
      <c r="W350" s="142">
        <f>IFERROR(CHOOSE(MATCH(IF($E350="","Основний",$E350),{"Трафіковий","Основний","Маржинальний","Сезонний","Стратегічний"},0),Settings!$F$78,Settings!$F$80,Settings!$F$82,Settings!$F$84,Settings!$F$86),"")</f>
        <v/>
      </c>
      <c r="X350" s="143">
        <f>IFERROR((V350*(1-Settings!$F$17)-C350)/(V350*(1-Settings!$F$17)),"")</f>
        <v/>
      </c>
      <c r="Y350" s="149">
        <f>IFERROR(IF(V350="","",IF(V350&gt;=C350/(1-SKU_Base!AD350)/(1-Settings!$F$17),"OK",IF(V350&gt;=C350/(1-SKU_Base!AK350)/(1-Settings!$F$17),"WARN","STOP"))),"")</f>
        <v/>
      </c>
      <c r="Z350" s="159">
        <f>IFERROR(ROUND(D350*(1-CHOOSE(MATCH(IF($E350="","Основний",$E350),{"Трафіковий","Основний","Маржинальний","Сезонний","Стратегічний"},0),Settings!$G$78,Settings!$G$80,Settings!$G$82,Settings!$G$84,Settings!$G$86))/6,2)*6,"")</f>
        <v/>
      </c>
      <c r="AA350" s="142">
        <f>IFERROR(CHOOSE(MATCH(IF($E350="","Основний",$E350),{"Трафіковий","Основний","Маржинальний","Сезонний","Стратегічний"},0),Settings!$G$78,Settings!$G$80,Settings!$G$82,Settings!$G$84,Settings!$G$86),"")</f>
        <v/>
      </c>
      <c r="AB350" s="143">
        <f>IFERROR((Z350*(1-Settings!$G$17)-C350)/(Z350*(1-Settings!$G$17)),"")</f>
        <v/>
      </c>
      <c r="AC350" s="149">
        <f>IFERROR(IF(Z350="","",IF(Z350&gt;=C350/(1-SKU_Base!AE350)/(1-Settings!$G$17),"OK",IF(Z350&gt;=C350/(1-SKU_Base!AL350)/(1-Settings!$G$17),"WARN","STOP"))),"")</f>
        <v/>
      </c>
      <c r="AD350" s="159">
        <f>IFERROR(ROUND(D350*(1-CHOOSE(MATCH(IF($E350="","Основний",$E350),{"Трафіковий","Основний","Маржинальний","Сезонний","Стратегічний"},0),Settings!$H$78,Settings!$H$80,Settings!$H$82,Settings!$H$84,Settings!$H$86))*(1-Settings!$H$68)/6,2)*6,"")</f>
        <v/>
      </c>
      <c r="AE350" s="142">
        <f>IFERROR(CHOOSE(MATCH(IF($E350="","Основний",$E350),{"Трафіковий","Основний","Маржинальний","Сезонний","Стратегічний"},0),Settings!$H$78,Settings!$H$80,Settings!$H$82,Settings!$H$84,Settings!$H$86)+(1-(CHOOSE(MATCH(IF($E350="","Основний",$E350),{"Трафіковий","Основний","Маржинальний","Сезонний","Стратегічний"},0),Settings!$H$78,Settings!$H$80,Settings!$H$82,Settings!$H$84,Settings!$H$86)))*Settings!$H$68,"")</f>
        <v/>
      </c>
      <c r="AF350" s="143">
        <f>IFERROR((AD350*(1-Settings!$H$17)-C350)/(AD350*(1-Settings!$H$17)),"")</f>
        <v/>
      </c>
      <c r="AG350" s="150">
        <f>IFERROR(IF(AD350="","",IF(AD350&gt;=C350/(1-SKU_Base!AF350)/(1-Settings!$H$17),"OK",IF(AD350&gt;=C350/(1-SKU_Base!AM350)/(1-Settings!$H$17),"WARN","STOP"))),"")</f>
        <v/>
      </c>
    </row>
    <row r="351" ht="17" customHeight="1" s="179">
      <c r="A351" s="146">
        <f>SKU_Base!B351</f>
        <v/>
      </c>
      <c r="B351" s="146">
        <f>SKU_Base!C351</f>
        <v/>
      </c>
      <c r="C351" s="147">
        <f>IFERROR(SKU_Base!I351,"")</f>
        <v/>
      </c>
      <c r="D351" s="164">
        <f>IFERROR(SKU_Base!T351,"")</f>
        <v/>
      </c>
      <c r="E351" s="141">
        <f>IFERROR(SKU_Base!$U351,"")</f>
        <v/>
      </c>
      <c r="F351" s="160">
        <f>IFERROR(ROUND(D351*(1-CHOOSE(MATCH(IF($E351="","Основний",$E351),{"Трафіковий","Основний","Маржинальний","Сезонний","Стратегічний"},0),Settings!$B$78,Settings!$B$80,Settings!$B$82,Settings!$B$84,Settings!$B$86))/6,2)*6,"")</f>
        <v/>
      </c>
      <c r="G351" s="142">
        <f>IFERROR(CHOOSE(MATCH(IF($E351="","Основний",$E351),{"Трафіковий","Основний","Маржинальний","Сезонний","Стратегічний"},0),Settings!$B$78,Settings!$B$80,Settings!$B$82,Settings!$B$84,Settings!$B$86),"")</f>
        <v/>
      </c>
      <c r="H351" s="148">
        <f>IFERROR((F351*(1-Settings!$B$17)-C351)/(F351*(1-Settings!$B$17)),"")</f>
        <v/>
      </c>
      <c r="I351" s="149">
        <f>IFERROR(IF(F351="","",IF(F351&gt;=C351/(1-SKU_Base!Z351)/(1-Settings!$B$17),"OK",IF(F351&gt;=C351/(1-SKU_Base!AG351)/(1-Settings!$B$17),"WARN","STOP"))),"")</f>
        <v/>
      </c>
      <c r="J351" s="160">
        <f>IFERROR(ROUND(D351*(1-CHOOSE(MATCH(IF($E351="","Основний",$E351),{"Трафіковий","Основний","Маржинальний","Сезонний","Стратегічний"},0),Settings!$C$78,Settings!$C$80,Settings!$C$82,Settings!$C$84,Settings!$C$86))/6,2)*6,"")</f>
        <v/>
      </c>
      <c r="K351" s="142">
        <f>IFERROR(CHOOSE(MATCH(IF($E351="","Основний",$E351),{"Трафіковий","Основний","Маржинальний","Сезонний","Стратегічний"},0),Settings!$C$78,Settings!$C$80,Settings!$C$82,Settings!$C$84,Settings!$C$86),"")</f>
        <v/>
      </c>
      <c r="L351" s="148">
        <f>IFERROR((J351*(1-Settings!$C$17)-C351)/(J351*(1-Settings!$C$17)),"")</f>
        <v/>
      </c>
      <c r="M351" s="149">
        <f>IFERROR(IF(J351="","",IF(J351&gt;=C351/(1-SKU_Base!AA351)/(1-Settings!$C$17),"OK",IF(J351&gt;=C351/(1-SKU_Base!AH351)/(1-Settings!$C$17),"WARN","STOP"))),"")</f>
        <v/>
      </c>
      <c r="N351" s="161">
        <f>IFERROR(ROUND(D351*(1-CHOOSE(MATCH(IF($E351="","Основний",$E351),{"Трафіковий","Основний","Маржинальний","Сезонний","Стратегічний"},0),Settings!$D$78,Settings!$D$80,Settings!$D$82,Settings!$D$84,Settings!$D$86))/6,2)*6,"")</f>
        <v/>
      </c>
      <c r="O351" s="142">
        <f>IFERROR(CHOOSE(MATCH(IF($E351="","Основний",$E351),{"Трафіковий","Основний","Маржинальний","Сезонний","Стратегічний"},0),Settings!$D$78,Settings!$D$80,Settings!$D$82,Settings!$D$84,Settings!$D$86),"")</f>
        <v/>
      </c>
      <c r="P351" s="148">
        <f>IFERROR((N351*(1-Settings!$D$17)-C351)/(N351*(1-Settings!$D$17)),"")</f>
        <v/>
      </c>
      <c r="Q351" s="149">
        <f>IFERROR(IF(N351="","",IF(N351&gt;=C351/(1-SKU_Base!AB351)/(1-Settings!$D$17),"OK",IF(N351&gt;=C351/(1-SKU_Base!AI351)/(1-Settings!$D$17),"WARN","STOP"))),"")</f>
        <v/>
      </c>
      <c r="R351" s="161">
        <f>IFERROR(ROUND(D351*(1-CHOOSE(MATCH(IF($E351="","Основний",$E351),{"Трафіковий","Основний","Маржинальний","Сезонний","Стратегічний"},0),Settings!$E$78,Settings!$E$80,Settings!$E$82,Settings!$E$84,Settings!$E$86))/6,2)*6,"")</f>
        <v/>
      </c>
      <c r="S351" s="142">
        <f>IFERROR(CHOOSE(MATCH(IF($E351="","Основний",$E351),{"Трафіковий","Основний","Маржинальний","Сезонний","Стратегічний"},0),Settings!$E$78,Settings!$E$80,Settings!$E$82,Settings!$E$84,Settings!$E$86),"")</f>
        <v/>
      </c>
      <c r="T351" s="148">
        <f>IFERROR((R351*(1-Settings!$E$17)-C351)/(R351*(1-Settings!$E$17)),"")</f>
        <v/>
      </c>
      <c r="U351" s="149">
        <f>IFERROR(IF(R351="","",IF(R351&gt;=C351/(1-SKU_Base!AC351)/(1-Settings!$E$17),"OK",IF(R351&gt;=C351/(1-SKU_Base!AJ351)/(1-Settings!$E$17),"WARN","STOP"))),"")</f>
        <v/>
      </c>
      <c r="V351" s="161">
        <f>IFERROR(ROUND(D351*(1-CHOOSE(MATCH(IF($E351="","Основний",$E351),{"Трафіковий","Основний","Маржинальний","Сезонний","Стратегічний"},0),Settings!$F$78,Settings!$F$80,Settings!$F$82,Settings!$F$84,Settings!$F$86))/6,2)*6,"")</f>
        <v/>
      </c>
      <c r="W351" s="142">
        <f>IFERROR(CHOOSE(MATCH(IF($E351="","Основний",$E351),{"Трафіковий","Основний","Маржинальний","Сезонний","Стратегічний"},0),Settings!$F$78,Settings!$F$80,Settings!$F$82,Settings!$F$84,Settings!$F$86),"")</f>
        <v/>
      </c>
      <c r="X351" s="148">
        <f>IFERROR((V351*(1-Settings!$F$17)-C351)/(V351*(1-Settings!$F$17)),"")</f>
        <v/>
      </c>
      <c r="Y351" s="149">
        <f>IFERROR(IF(V351="","",IF(V351&gt;=C351/(1-SKU_Base!AD351)/(1-Settings!$F$17),"OK",IF(V351&gt;=C351/(1-SKU_Base!AK351)/(1-Settings!$F$17),"WARN","STOP"))),"")</f>
        <v/>
      </c>
      <c r="Z351" s="161">
        <f>IFERROR(ROUND(D351*(1-CHOOSE(MATCH(IF($E351="","Основний",$E351),{"Трафіковий","Основний","Маржинальний","Сезонний","Стратегічний"},0),Settings!$G$78,Settings!$G$80,Settings!$G$82,Settings!$G$84,Settings!$G$86))/6,2)*6,"")</f>
        <v/>
      </c>
      <c r="AA351" s="142">
        <f>IFERROR(CHOOSE(MATCH(IF($E351="","Основний",$E351),{"Трафіковий","Основний","Маржинальний","Сезонний","Стратегічний"},0),Settings!$G$78,Settings!$G$80,Settings!$G$82,Settings!$G$84,Settings!$G$86),"")</f>
        <v/>
      </c>
      <c r="AB351" s="148">
        <f>IFERROR((Z351*(1-Settings!$G$17)-C351)/(Z351*(1-Settings!$G$17)),"")</f>
        <v/>
      </c>
      <c r="AC351" s="149">
        <f>IFERROR(IF(Z351="","",IF(Z351&gt;=C351/(1-SKU_Base!AE351)/(1-Settings!$G$17),"OK",IF(Z351&gt;=C351/(1-SKU_Base!AL351)/(1-Settings!$G$17),"WARN","STOP"))),"")</f>
        <v/>
      </c>
      <c r="AD351" s="161">
        <f>IFERROR(ROUND(D351*(1-CHOOSE(MATCH(IF($E351="","Основний",$E351),{"Трафіковий","Основний","Маржинальний","Сезонний","Стратегічний"},0),Settings!$H$78,Settings!$H$80,Settings!$H$82,Settings!$H$84,Settings!$H$86))*(1-Settings!$H$68)/6,2)*6,"")</f>
        <v/>
      </c>
      <c r="AE351" s="142">
        <f>IFERROR(CHOOSE(MATCH(IF($E351="","Основний",$E351),{"Трафіковий","Основний","Маржинальний","Сезонний","Стратегічний"},0),Settings!$H$78,Settings!$H$80,Settings!$H$82,Settings!$H$84,Settings!$H$86)+(1-(CHOOSE(MATCH(IF($E351="","Основний",$E351),{"Трафіковий","Основний","Маржинальний","Сезонний","Стратегічний"},0),Settings!$H$78,Settings!$H$80,Settings!$H$82,Settings!$H$84,Settings!$H$86)))*Settings!$H$68,"")</f>
        <v/>
      </c>
      <c r="AF351" s="148">
        <f>IFERROR((AD351*(1-Settings!$H$17)-C351)/(AD351*(1-Settings!$H$17)),"")</f>
        <v/>
      </c>
      <c r="AG351" s="150">
        <f>IFERROR(IF(AD351="","",IF(AD351&gt;=C351/(1-SKU_Base!AF351)/(1-Settings!$H$17),"OK",IF(AD351&gt;=C351/(1-SKU_Base!AM351)/(1-Settings!$H$17),"WARN","STOP"))),"")</f>
        <v/>
      </c>
    </row>
    <row r="352" ht="17" customHeight="1" s="179">
      <c r="A352" s="139">
        <f>SKU_Base!B352</f>
        <v/>
      </c>
      <c r="B352" s="139">
        <f>SKU_Base!C352</f>
        <v/>
      </c>
      <c r="C352" s="140">
        <f>IFERROR(SKU_Base!I352,"")</f>
        <v/>
      </c>
      <c r="D352" s="163">
        <f>IFERROR(SKU_Base!T352,"")</f>
        <v/>
      </c>
      <c r="E352" s="141">
        <f>IFERROR(SKU_Base!$U352,"")</f>
        <v/>
      </c>
      <c r="F352" s="158">
        <f>IFERROR(ROUND(D352*(1-CHOOSE(MATCH(IF($E352="","Основний",$E352),{"Трафіковий","Основний","Маржинальний","Сезонний","Стратегічний"},0),Settings!$B$78,Settings!$B$80,Settings!$B$82,Settings!$B$84,Settings!$B$86))/6,2)*6,"")</f>
        <v/>
      </c>
      <c r="G352" s="142">
        <f>IFERROR(CHOOSE(MATCH(IF($E352="","Основний",$E352),{"Трафіковий","Основний","Маржинальний","Сезонний","Стратегічний"},0),Settings!$B$78,Settings!$B$80,Settings!$B$82,Settings!$B$84,Settings!$B$86),"")</f>
        <v/>
      </c>
      <c r="H352" s="143">
        <f>IFERROR((F352*(1-Settings!$B$17)-C352)/(F352*(1-Settings!$B$17)),"")</f>
        <v/>
      </c>
      <c r="I352" s="149">
        <f>IFERROR(IF(F352="","",IF(F352&gt;=C352/(1-SKU_Base!Z352)/(1-Settings!$B$17),"OK",IF(F352&gt;=C352/(1-SKU_Base!AG352)/(1-Settings!$B$17),"WARN","STOP"))),"")</f>
        <v/>
      </c>
      <c r="J352" s="158">
        <f>IFERROR(ROUND(D352*(1-CHOOSE(MATCH(IF($E352="","Основний",$E352),{"Трафіковий","Основний","Маржинальний","Сезонний","Стратегічний"},0),Settings!$C$78,Settings!$C$80,Settings!$C$82,Settings!$C$84,Settings!$C$86))/6,2)*6,"")</f>
        <v/>
      </c>
      <c r="K352" s="142">
        <f>IFERROR(CHOOSE(MATCH(IF($E352="","Основний",$E352),{"Трафіковий","Основний","Маржинальний","Сезонний","Стратегічний"},0),Settings!$C$78,Settings!$C$80,Settings!$C$82,Settings!$C$84,Settings!$C$86),"")</f>
        <v/>
      </c>
      <c r="L352" s="143">
        <f>IFERROR((J352*(1-Settings!$C$17)-C352)/(J352*(1-Settings!$C$17)),"")</f>
        <v/>
      </c>
      <c r="M352" s="149">
        <f>IFERROR(IF(J352="","",IF(J352&gt;=C352/(1-SKU_Base!AA352)/(1-Settings!$C$17),"OK",IF(J352&gt;=C352/(1-SKU_Base!AH352)/(1-Settings!$C$17),"WARN","STOP"))),"")</f>
        <v/>
      </c>
      <c r="N352" s="159">
        <f>IFERROR(ROUND(D352*(1-CHOOSE(MATCH(IF($E352="","Основний",$E352),{"Трафіковий","Основний","Маржинальний","Сезонний","Стратегічний"},0),Settings!$D$78,Settings!$D$80,Settings!$D$82,Settings!$D$84,Settings!$D$86))/6,2)*6,"")</f>
        <v/>
      </c>
      <c r="O352" s="142">
        <f>IFERROR(CHOOSE(MATCH(IF($E352="","Основний",$E352),{"Трафіковий","Основний","Маржинальний","Сезонний","Стратегічний"},0),Settings!$D$78,Settings!$D$80,Settings!$D$82,Settings!$D$84,Settings!$D$86),"")</f>
        <v/>
      </c>
      <c r="P352" s="143">
        <f>IFERROR((N352*(1-Settings!$D$17)-C352)/(N352*(1-Settings!$D$17)),"")</f>
        <v/>
      </c>
      <c r="Q352" s="149">
        <f>IFERROR(IF(N352="","",IF(N352&gt;=C352/(1-SKU_Base!AB352)/(1-Settings!$D$17),"OK",IF(N352&gt;=C352/(1-SKU_Base!AI352)/(1-Settings!$D$17),"WARN","STOP"))),"")</f>
        <v/>
      </c>
      <c r="R352" s="159">
        <f>IFERROR(ROUND(D352*(1-CHOOSE(MATCH(IF($E352="","Основний",$E352),{"Трафіковий","Основний","Маржинальний","Сезонний","Стратегічний"},0),Settings!$E$78,Settings!$E$80,Settings!$E$82,Settings!$E$84,Settings!$E$86))/6,2)*6,"")</f>
        <v/>
      </c>
      <c r="S352" s="142">
        <f>IFERROR(CHOOSE(MATCH(IF($E352="","Основний",$E352),{"Трафіковий","Основний","Маржинальний","Сезонний","Стратегічний"},0),Settings!$E$78,Settings!$E$80,Settings!$E$82,Settings!$E$84,Settings!$E$86),"")</f>
        <v/>
      </c>
      <c r="T352" s="143">
        <f>IFERROR((R352*(1-Settings!$E$17)-C352)/(R352*(1-Settings!$E$17)),"")</f>
        <v/>
      </c>
      <c r="U352" s="149">
        <f>IFERROR(IF(R352="","",IF(R352&gt;=C352/(1-SKU_Base!AC352)/(1-Settings!$E$17),"OK",IF(R352&gt;=C352/(1-SKU_Base!AJ352)/(1-Settings!$E$17),"WARN","STOP"))),"")</f>
        <v/>
      </c>
      <c r="V352" s="159">
        <f>IFERROR(ROUND(D352*(1-CHOOSE(MATCH(IF($E352="","Основний",$E352),{"Трафіковий","Основний","Маржинальний","Сезонний","Стратегічний"},0),Settings!$F$78,Settings!$F$80,Settings!$F$82,Settings!$F$84,Settings!$F$86))/6,2)*6,"")</f>
        <v/>
      </c>
      <c r="W352" s="142">
        <f>IFERROR(CHOOSE(MATCH(IF($E352="","Основний",$E352),{"Трафіковий","Основний","Маржинальний","Сезонний","Стратегічний"},0),Settings!$F$78,Settings!$F$80,Settings!$F$82,Settings!$F$84,Settings!$F$86),"")</f>
        <v/>
      </c>
      <c r="X352" s="143">
        <f>IFERROR((V352*(1-Settings!$F$17)-C352)/(V352*(1-Settings!$F$17)),"")</f>
        <v/>
      </c>
      <c r="Y352" s="149">
        <f>IFERROR(IF(V352="","",IF(V352&gt;=C352/(1-SKU_Base!AD352)/(1-Settings!$F$17),"OK",IF(V352&gt;=C352/(1-SKU_Base!AK352)/(1-Settings!$F$17),"WARN","STOP"))),"")</f>
        <v/>
      </c>
      <c r="Z352" s="159">
        <f>IFERROR(ROUND(D352*(1-CHOOSE(MATCH(IF($E352="","Основний",$E352),{"Трафіковий","Основний","Маржинальний","Сезонний","Стратегічний"},0),Settings!$G$78,Settings!$G$80,Settings!$G$82,Settings!$G$84,Settings!$G$86))/6,2)*6,"")</f>
        <v/>
      </c>
      <c r="AA352" s="142">
        <f>IFERROR(CHOOSE(MATCH(IF($E352="","Основний",$E352),{"Трафіковий","Основний","Маржинальний","Сезонний","Стратегічний"},0),Settings!$G$78,Settings!$G$80,Settings!$G$82,Settings!$G$84,Settings!$G$86),"")</f>
        <v/>
      </c>
      <c r="AB352" s="143">
        <f>IFERROR((Z352*(1-Settings!$G$17)-C352)/(Z352*(1-Settings!$G$17)),"")</f>
        <v/>
      </c>
      <c r="AC352" s="149">
        <f>IFERROR(IF(Z352="","",IF(Z352&gt;=C352/(1-SKU_Base!AE352)/(1-Settings!$G$17),"OK",IF(Z352&gt;=C352/(1-SKU_Base!AL352)/(1-Settings!$G$17),"WARN","STOP"))),"")</f>
        <v/>
      </c>
      <c r="AD352" s="159">
        <f>IFERROR(ROUND(D352*(1-CHOOSE(MATCH(IF($E352="","Основний",$E352),{"Трафіковий","Основний","Маржинальний","Сезонний","Стратегічний"},0),Settings!$H$78,Settings!$H$80,Settings!$H$82,Settings!$H$84,Settings!$H$86))*(1-Settings!$H$68)/6,2)*6,"")</f>
        <v/>
      </c>
      <c r="AE352" s="142">
        <f>IFERROR(CHOOSE(MATCH(IF($E352="","Основний",$E352),{"Трафіковий","Основний","Маржинальний","Сезонний","Стратегічний"},0),Settings!$H$78,Settings!$H$80,Settings!$H$82,Settings!$H$84,Settings!$H$86)+(1-(CHOOSE(MATCH(IF($E352="","Основний",$E352),{"Трафіковий","Основний","Маржинальний","Сезонний","Стратегічний"},0),Settings!$H$78,Settings!$H$80,Settings!$H$82,Settings!$H$84,Settings!$H$86)))*Settings!$H$68,"")</f>
        <v/>
      </c>
      <c r="AF352" s="143">
        <f>IFERROR((AD352*(1-Settings!$H$17)-C352)/(AD352*(1-Settings!$H$17)),"")</f>
        <v/>
      </c>
      <c r="AG352" s="150">
        <f>IFERROR(IF(AD352="","",IF(AD352&gt;=C352/(1-SKU_Base!AF352)/(1-Settings!$H$17),"OK",IF(AD352&gt;=C352/(1-SKU_Base!AM352)/(1-Settings!$H$17),"WARN","STOP"))),"")</f>
        <v/>
      </c>
    </row>
    <row r="353" ht="17" customHeight="1" s="179">
      <c r="A353" s="146">
        <f>SKU_Base!B353</f>
        <v/>
      </c>
      <c r="B353" s="146">
        <f>SKU_Base!C353</f>
        <v/>
      </c>
      <c r="C353" s="147">
        <f>IFERROR(SKU_Base!I353,"")</f>
        <v/>
      </c>
      <c r="D353" s="164">
        <f>IFERROR(SKU_Base!T353,"")</f>
        <v/>
      </c>
      <c r="E353" s="141">
        <f>IFERROR(SKU_Base!$U353,"")</f>
        <v/>
      </c>
      <c r="F353" s="160">
        <f>IFERROR(ROUND(D353*(1-CHOOSE(MATCH(IF($E353="","Основний",$E353),{"Трафіковий","Основний","Маржинальний","Сезонний","Стратегічний"},0),Settings!$B$78,Settings!$B$80,Settings!$B$82,Settings!$B$84,Settings!$B$86))/6,2)*6,"")</f>
        <v/>
      </c>
      <c r="G353" s="142">
        <f>IFERROR(CHOOSE(MATCH(IF($E353="","Основний",$E353),{"Трафіковий","Основний","Маржинальний","Сезонний","Стратегічний"},0),Settings!$B$78,Settings!$B$80,Settings!$B$82,Settings!$B$84,Settings!$B$86),"")</f>
        <v/>
      </c>
      <c r="H353" s="148">
        <f>IFERROR((F353*(1-Settings!$B$17)-C353)/(F353*(1-Settings!$B$17)),"")</f>
        <v/>
      </c>
      <c r="I353" s="149">
        <f>IFERROR(IF(F353="","",IF(F353&gt;=C353/(1-SKU_Base!Z353)/(1-Settings!$B$17),"OK",IF(F353&gt;=C353/(1-SKU_Base!AG353)/(1-Settings!$B$17),"WARN","STOP"))),"")</f>
        <v/>
      </c>
      <c r="J353" s="160">
        <f>IFERROR(ROUND(D353*(1-CHOOSE(MATCH(IF($E353="","Основний",$E353),{"Трафіковий","Основний","Маржинальний","Сезонний","Стратегічний"},0),Settings!$C$78,Settings!$C$80,Settings!$C$82,Settings!$C$84,Settings!$C$86))/6,2)*6,"")</f>
        <v/>
      </c>
      <c r="K353" s="142">
        <f>IFERROR(CHOOSE(MATCH(IF($E353="","Основний",$E353),{"Трафіковий","Основний","Маржинальний","Сезонний","Стратегічний"},0),Settings!$C$78,Settings!$C$80,Settings!$C$82,Settings!$C$84,Settings!$C$86),"")</f>
        <v/>
      </c>
      <c r="L353" s="148">
        <f>IFERROR((J353*(1-Settings!$C$17)-C353)/(J353*(1-Settings!$C$17)),"")</f>
        <v/>
      </c>
      <c r="M353" s="149">
        <f>IFERROR(IF(J353="","",IF(J353&gt;=C353/(1-SKU_Base!AA353)/(1-Settings!$C$17),"OK",IF(J353&gt;=C353/(1-SKU_Base!AH353)/(1-Settings!$C$17),"WARN","STOP"))),"")</f>
        <v/>
      </c>
      <c r="N353" s="161">
        <f>IFERROR(ROUND(D353*(1-CHOOSE(MATCH(IF($E353="","Основний",$E353),{"Трафіковий","Основний","Маржинальний","Сезонний","Стратегічний"},0),Settings!$D$78,Settings!$D$80,Settings!$D$82,Settings!$D$84,Settings!$D$86))/6,2)*6,"")</f>
        <v/>
      </c>
      <c r="O353" s="142">
        <f>IFERROR(CHOOSE(MATCH(IF($E353="","Основний",$E353),{"Трафіковий","Основний","Маржинальний","Сезонний","Стратегічний"},0),Settings!$D$78,Settings!$D$80,Settings!$D$82,Settings!$D$84,Settings!$D$86),"")</f>
        <v/>
      </c>
      <c r="P353" s="148">
        <f>IFERROR((N353*(1-Settings!$D$17)-C353)/(N353*(1-Settings!$D$17)),"")</f>
        <v/>
      </c>
      <c r="Q353" s="149">
        <f>IFERROR(IF(N353="","",IF(N353&gt;=C353/(1-SKU_Base!AB353)/(1-Settings!$D$17),"OK",IF(N353&gt;=C353/(1-SKU_Base!AI353)/(1-Settings!$D$17),"WARN","STOP"))),"")</f>
        <v/>
      </c>
      <c r="R353" s="161">
        <f>IFERROR(ROUND(D353*(1-CHOOSE(MATCH(IF($E353="","Основний",$E353),{"Трафіковий","Основний","Маржинальний","Сезонний","Стратегічний"},0),Settings!$E$78,Settings!$E$80,Settings!$E$82,Settings!$E$84,Settings!$E$86))/6,2)*6,"")</f>
        <v/>
      </c>
      <c r="S353" s="142">
        <f>IFERROR(CHOOSE(MATCH(IF($E353="","Основний",$E353),{"Трафіковий","Основний","Маржинальний","Сезонний","Стратегічний"},0),Settings!$E$78,Settings!$E$80,Settings!$E$82,Settings!$E$84,Settings!$E$86),"")</f>
        <v/>
      </c>
      <c r="T353" s="148">
        <f>IFERROR((R353*(1-Settings!$E$17)-C353)/(R353*(1-Settings!$E$17)),"")</f>
        <v/>
      </c>
      <c r="U353" s="149">
        <f>IFERROR(IF(R353="","",IF(R353&gt;=C353/(1-SKU_Base!AC353)/(1-Settings!$E$17),"OK",IF(R353&gt;=C353/(1-SKU_Base!AJ353)/(1-Settings!$E$17),"WARN","STOP"))),"")</f>
        <v/>
      </c>
      <c r="V353" s="161">
        <f>IFERROR(ROUND(D353*(1-CHOOSE(MATCH(IF($E353="","Основний",$E353),{"Трафіковий","Основний","Маржинальний","Сезонний","Стратегічний"},0),Settings!$F$78,Settings!$F$80,Settings!$F$82,Settings!$F$84,Settings!$F$86))/6,2)*6,"")</f>
        <v/>
      </c>
      <c r="W353" s="142">
        <f>IFERROR(CHOOSE(MATCH(IF($E353="","Основний",$E353),{"Трафіковий","Основний","Маржинальний","Сезонний","Стратегічний"},0),Settings!$F$78,Settings!$F$80,Settings!$F$82,Settings!$F$84,Settings!$F$86),"")</f>
        <v/>
      </c>
      <c r="X353" s="148">
        <f>IFERROR((V353*(1-Settings!$F$17)-C353)/(V353*(1-Settings!$F$17)),"")</f>
        <v/>
      </c>
      <c r="Y353" s="149">
        <f>IFERROR(IF(V353="","",IF(V353&gt;=C353/(1-SKU_Base!AD353)/(1-Settings!$F$17),"OK",IF(V353&gt;=C353/(1-SKU_Base!AK353)/(1-Settings!$F$17),"WARN","STOP"))),"")</f>
        <v/>
      </c>
      <c r="Z353" s="161">
        <f>IFERROR(ROUND(D353*(1-CHOOSE(MATCH(IF($E353="","Основний",$E353),{"Трафіковий","Основний","Маржинальний","Сезонний","Стратегічний"},0),Settings!$G$78,Settings!$G$80,Settings!$G$82,Settings!$G$84,Settings!$G$86))/6,2)*6,"")</f>
        <v/>
      </c>
      <c r="AA353" s="142">
        <f>IFERROR(CHOOSE(MATCH(IF($E353="","Основний",$E353),{"Трафіковий","Основний","Маржинальний","Сезонний","Стратегічний"},0),Settings!$G$78,Settings!$G$80,Settings!$G$82,Settings!$G$84,Settings!$G$86),"")</f>
        <v/>
      </c>
      <c r="AB353" s="148">
        <f>IFERROR((Z353*(1-Settings!$G$17)-C353)/(Z353*(1-Settings!$G$17)),"")</f>
        <v/>
      </c>
      <c r="AC353" s="149">
        <f>IFERROR(IF(Z353="","",IF(Z353&gt;=C353/(1-SKU_Base!AE353)/(1-Settings!$G$17),"OK",IF(Z353&gt;=C353/(1-SKU_Base!AL353)/(1-Settings!$G$17),"WARN","STOP"))),"")</f>
        <v/>
      </c>
      <c r="AD353" s="161">
        <f>IFERROR(ROUND(D353*(1-CHOOSE(MATCH(IF($E353="","Основний",$E353),{"Трафіковий","Основний","Маржинальний","Сезонний","Стратегічний"},0),Settings!$H$78,Settings!$H$80,Settings!$H$82,Settings!$H$84,Settings!$H$86))*(1-Settings!$H$68)/6,2)*6,"")</f>
        <v/>
      </c>
      <c r="AE353" s="142">
        <f>IFERROR(CHOOSE(MATCH(IF($E353="","Основний",$E353),{"Трафіковий","Основний","Маржинальний","Сезонний","Стратегічний"},0),Settings!$H$78,Settings!$H$80,Settings!$H$82,Settings!$H$84,Settings!$H$86)+(1-(CHOOSE(MATCH(IF($E353="","Основний",$E353),{"Трафіковий","Основний","Маржинальний","Сезонний","Стратегічний"},0),Settings!$H$78,Settings!$H$80,Settings!$H$82,Settings!$H$84,Settings!$H$86)))*Settings!$H$68,"")</f>
        <v/>
      </c>
      <c r="AF353" s="148">
        <f>IFERROR((AD353*(1-Settings!$H$17)-C353)/(AD353*(1-Settings!$H$17)),"")</f>
        <v/>
      </c>
      <c r="AG353" s="150">
        <f>IFERROR(IF(AD353="","",IF(AD353&gt;=C353/(1-SKU_Base!AF353)/(1-Settings!$H$17),"OK",IF(AD353&gt;=C353/(1-SKU_Base!AM353)/(1-Settings!$H$17),"WARN","STOP"))),"")</f>
        <v/>
      </c>
    </row>
    <row r="354" ht="17" customHeight="1" s="179">
      <c r="A354" s="139">
        <f>SKU_Base!B354</f>
        <v/>
      </c>
      <c r="B354" s="139">
        <f>SKU_Base!C354</f>
        <v/>
      </c>
      <c r="C354" s="140">
        <f>IFERROR(SKU_Base!I354,"")</f>
        <v/>
      </c>
      <c r="D354" s="163">
        <f>IFERROR(SKU_Base!T354,"")</f>
        <v/>
      </c>
      <c r="E354" s="141">
        <f>IFERROR(SKU_Base!$U354,"")</f>
        <v/>
      </c>
      <c r="F354" s="158">
        <f>IFERROR(ROUND(D354*(1-CHOOSE(MATCH(IF($E354="","Основний",$E354),{"Трафіковий","Основний","Маржинальний","Сезонний","Стратегічний"},0),Settings!$B$78,Settings!$B$80,Settings!$B$82,Settings!$B$84,Settings!$B$86))/6,2)*6,"")</f>
        <v/>
      </c>
      <c r="G354" s="142">
        <f>IFERROR(CHOOSE(MATCH(IF($E354="","Основний",$E354),{"Трафіковий","Основний","Маржинальний","Сезонний","Стратегічний"},0),Settings!$B$78,Settings!$B$80,Settings!$B$82,Settings!$B$84,Settings!$B$86),"")</f>
        <v/>
      </c>
      <c r="H354" s="143">
        <f>IFERROR((F354*(1-Settings!$B$17)-C354)/(F354*(1-Settings!$B$17)),"")</f>
        <v/>
      </c>
      <c r="I354" s="149">
        <f>IFERROR(IF(F354="","",IF(F354&gt;=C354/(1-SKU_Base!Z354)/(1-Settings!$B$17),"OK",IF(F354&gt;=C354/(1-SKU_Base!AG354)/(1-Settings!$B$17),"WARN","STOP"))),"")</f>
        <v/>
      </c>
      <c r="J354" s="158">
        <f>IFERROR(ROUND(D354*(1-CHOOSE(MATCH(IF($E354="","Основний",$E354),{"Трафіковий","Основний","Маржинальний","Сезонний","Стратегічний"},0),Settings!$C$78,Settings!$C$80,Settings!$C$82,Settings!$C$84,Settings!$C$86))/6,2)*6,"")</f>
        <v/>
      </c>
      <c r="K354" s="142">
        <f>IFERROR(CHOOSE(MATCH(IF($E354="","Основний",$E354),{"Трафіковий","Основний","Маржинальний","Сезонний","Стратегічний"},0),Settings!$C$78,Settings!$C$80,Settings!$C$82,Settings!$C$84,Settings!$C$86),"")</f>
        <v/>
      </c>
      <c r="L354" s="143">
        <f>IFERROR((J354*(1-Settings!$C$17)-C354)/(J354*(1-Settings!$C$17)),"")</f>
        <v/>
      </c>
      <c r="M354" s="149">
        <f>IFERROR(IF(J354="","",IF(J354&gt;=C354/(1-SKU_Base!AA354)/(1-Settings!$C$17),"OK",IF(J354&gt;=C354/(1-SKU_Base!AH354)/(1-Settings!$C$17),"WARN","STOP"))),"")</f>
        <v/>
      </c>
      <c r="N354" s="159">
        <f>IFERROR(ROUND(D354*(1-CHOOSE(MATCH(IF($E354="","Основний",$E354),{"Трафіковий","Основний","Маржинальний","Сезонний","Стратегічний"},0),Settings!$D$78,Settings!$D$80,Settings!$D$82,Settings!$D$84,Settings!$D$86))/6,2)*6,"")</f>
        <v/>
      </c>
      <c r="O354" s="142">
        <f>IFERROR(CHOOSE(MATCH(IF($E354="","Основний",$E354),{"Трафіковий","Основний","Маржинальний","Сезонний","Стратегічний"},0),Settings!$D$78,Settings!$D$80,Settings!$D$82,Settings!$D$84,Settings!$D$86),"")</f>
        <v/>
      </c>
      <c r="P354" s="143">
        <f>IFERROR((N354*(1-Settings!$D$17)-C354)/(N354*(1-Settings!$D$17)),"")</f>
        <v/>
      </c>
      <c r="Q354" s="149">
        <f>IFERROR(IF(N354="","",IF(N354&gt;=C354/(1-SKU_Base!AB354)/(1-Settings!$D$17),"OK",IF(N354&gt;=C354/(1-SKU_Base!AI354)/(1-Settings!$D$17),"WARN","STOP"))),"")</f>
        <v/>
      </c>
      <c r="R354" s="159">
        <f>IFERROR(ROUND(D354*(1-CHOOSE(MATCH(IF($E354="","Основний",$E354),{"Трафіковий","Основний","Маржинальний","Сезонний","Стратегічний"},0),Settings!$E$78,Settings!$E$80,Settings!$E$82,Settings!$E$84,Settings!$E$86))/6,2)*6,"")</f>
        <v/>
      </c>
      <c r="S354" s="142">
        <f>IFERROR(CHOOSE(MATCH(IF($E354="","Основний",$E354),{"Трафіковий","Основний","Маржинальний","Сезонний","Стратегічний"},0),Settings!$E$78,Settings!$E$80,Settings!$E$82,Settings!$E$84,Settings!$E$86),"")</f>
        <v/>
      </c>
      <c r="T354" s="143">
        <f>IFERROR((R354*(1-Settings!$E$17)-C354)/(R354*(1-Settings!$E$17)),"")</f>
        <v/>
      </c>
      <c r="U354" s="149">
        <f>IFERROR(IF(R354="","",IF(R354&gt;=C354/(1-SKU_Base!AC354)/(1-Settings!$E$17),"OK",IF(R354&gt;=C354/(1-SKU_Base!AJ354)/(1-Settings!$E$17),"WARN","STOP"))),"")</f>
        <v/>
      </c>
      <c r="V354" s="159">
        <f>IFERROR(ROUND(D354*(1-CHOOSE(MATCH(IF($E354="","Основний",$E354),{"Трафіковий","Основний","Маржинальний","Сезонний","Стратегічний"},0),Settings!$F$78,Settings!$F$80,Settings!$F$82,Settings!$F$84,Settings!$F$86))/6,2)*6,"")</f>
        <v/>
      </c>
      <c r="W354" s="142">
        <f>IFERROR(CHOOSE(MATCH(IF($E354="","Основний",$E354),{"Трафіковий","Основний","Маржинальний","Сезонний","Стратегічний"},0),Settings!$F$78,Settings!$F$80,Settings!$F$82,Settings!$F$84,Settings!$F$86),"")</f>
        <v/>
      </c>
      <c r="X354" s="143">
        <f>IFERROR((V354*(1-Settings!$F$17)-C354)/(V354*(1-Settings!$F$17)),"")</f>
        <v/>
      </c>
      <c r="Y354" s="149">
        <f>IFERROR(IF(V354="","",IF(V354&gt;=C354/(1-SKU_Base!AD354)/(1-Settings!$F$17),"OK",IF(V354&gt;=C354/(1-SKU_Base!AK354)/(1-Settings!$F$17),"WARN","STOP"))),"")</f>
        <v/>
      </c>
      <c r="Z354" s="159">
        <f>IFERROR(ROUND(D354*(1-CHOOSE(MATCH(IF($E354="","Основний",$E354),{"Трафіковий","Основний","Маржинальний","Сезонний","Стратегічний"},0),Settings!$G$78,Settings!$G$80,Settings!$G$82,Settings!$G$84,Settings!$G$86))/6,2)*6,"")</f>
        <v/>
      </c>
      <c r="AA354" s="142">
        <f>IFERROR(CHOOSE(MATCH(IF($E354="","Основний",$E354),{"Трафіковий","Основний","Маржинальний","Сезонний","Стратегічний"},0),Settings!$G$78,Settings!$G$80,Settings!$G$82,Settings!$G$84,Settings!$G$86),"")</f>
        <v/>
      </c>
      <c r="AB354" s="143">
        <f>IFERROR((Z354*(1-Settings!$G$17)-C354)/(Z354*(1-Settings!$G$17)),"")</f>
        <v/>
      </c>
      <c r="AC354" s="149">
        <f>IFERROR(IF(Z354="","",IF(Z354&gt;=C354/(1-SKU_Base!AE354)/(1-Settings!$G$17),"OK",IF(Z354&gt;=C354/(1-SKU_Base!AL354)/(1-Settings!$G$17),"WARN","STOP"))),"")</f>
        <v/>
      </c>
      <c r="AD354" s="159">
        <f>IFERROR(ROUND(D354*(1-CHOOSE(MATCH(IF($E354="","Основний",$E354),{"Трафіковий","Основний","Маржинальний","Сезонний","Стратегічний"},0),Settings!$H$78,Settings!$H$80,Settings!$H$82,Settings!$H$84,Settings!$H$86))*(1-Settings!$H$68)/6,2)*6,"")</f>
        <v/>
      </c>
      <c r="AE354" s="142">
        <f>IFERROR(CHOOSE(MATCH(IF($E354="","Основний",$E354),{"Трафіковий","Основний","Маржинальний","Сезонний","Стратегічний"},0),Settings!$H$78,Settings!$H$80,Settings!$H$82,Settings!$H$84,Settings!$H$86)+(1-(CHOOSE(MATCH(IF($E354="","Основний",$E354),{"Трафіковий","Основний","Маржинальний","Сезонний","Стратегічний"},0),Settings!$H$78,Settings!$H$80,Settings!$H$82,Settings!$H$84,Settings!$H$86)))*Settings!$H$68,"")</f>
        <v/>
      </c>
      <c r="AF354" s="143">
        <f>IFERROR((AD354*(1-Settings!$H$17)-C354)/(AD354*(1-Settings!$H$17)),"")</f>
        <v/>
      </c>
      <c r="AG354" s="150">
        <f>IFERROR(IF(AD354="","",IF(AD354&gt;=C354/(1-SKU_Base!AF354)/(1-Settings!$H$17),"OK",IF(AD354&gt;=C354/(1-SKU_Base!AM354)/(1-Settings!$H$17),"WARN","STOP"))),"")</f>
        <v/>
      </c>
    </row>
    <row r="355" ht="17" customHeight="1" s="179">
      <c r="A355" s="146">
        <f>SKU_Base!B355</f>
        <v/>
      </c>
      <c r="B355" s="146">
        <f>SKU_Base!C355</f>
        <v/>
      </c>
      <c r="C355" s="147">
        <f>IFERROR(SKU_Base!I355,"")</f>
        <v/>
      </c>
      <c r="D355" s="164">
        <f>IFERROR(SKU_Base!T355,"")</f>
        <v/>
      </c>
      <c r="E355" s="141">
        <f>IFERROR(SKU_Base!$U355,"")</f>
        <v/>
      </c>
      <c r="F355" s="160">
        <f>IFERROR(ROUND(D355*(1-CHOOSE(MATCH(IF($E355="","Основний",$E355),{"Трафіковий","Основний","Маржинальний","Сезонний","Стратегічний"},0),Settings!$B$78,Settings!$B$80,Settings!$B$82,Settings!$B$84,Settings!$B$86))/6,2)*6,"")</f>
        <v/>
      </c>
      <c r="G355" s="142">
        <f>IFERROR(CHOOSE(MATCH(IF($E355="","Основний",$E355),{"Трафіковий","Основний","Маржинальний","Сезонний","Стратегічний"},0),Settings!$B$78,Settings!$B$80,Settings!$B$82,Settings!$B$84,Settings!$B$86),"")</f>
        <v/>
      </c>
      <c r="H355" s="148">
        <f>IFERROR((F355*(1-Settings!$B$17)-C355)/(F355*(1-Settings!$B$17)),"")</f>
        <v/>
      </c>
      <c r="I355" s="149">
        <f>IFERROR(IF(F355="","",IF(F355&gt;=C355/(1-SKU_Base!Z355)/(1-Settings!$B$17),"OK",IF(F355&gt;=C355/(1-SKU_Base!AG355)/(1-Settings!$B$17),"WARN","STOP"))),"")</f>
        <v/>
      </c>
      <c r="J355" s="160">
        <f>IFERROR(ROUND(D355*(1-CHOOSE(MATCH(IF($E355="","Основний",$E355),{"Трафіковий","Основний","Маржинальний","Сезонний","Стратегічний"},0),Settings!$C$78,Settings!$C$80,Settings!$C$82,Settings!$C$84,Settings!$C$86))/6,2)*6,"")</f>
        <v/>
      </c>
      <c r="K355" s="142">
        <f>IFERROR(CHOOSE(MATCH(IF($E355="","Основний",$E355),{"Трафіковий","Основний","Маржинальний","Сезонний","Стратегічний"},0),Settings!$C$78,Settings!$C$80,Settings!$C$82,Settings!$C$84,Settings!$C$86),"")</f>
        <v/>
      </c>
      <c r="L355" s="148">
        <f>IFERROR((J355*(1-Settings!$C$17)-C355)/(J355*(1-Settings!$C$17)),"")</f>
        <v/>
      </c>
      <c r="M355" s="149">
        <f>IFERROR(IF(J355="","",IF(J355&gt;=C355/(1-SKU_Base!AA355)/(1-Settings!$C$17),"OK",IF(J355&gt;=C355/(1-SKU_Base!AH355)/(1-Settings!$C$17),"WARN","STOP"))),"")</f>
        <v/>
      </c>
      <c r="N355" s="161">
        <f>IFERROR(ROUND(D355*(1-CHOOSE(MATCH(IF($E355="","Основний",$E355),{"Трафіковий","Основний","Маржинальний","Сезонний","Стратегічний"},0),Settings!$D$78,Settings!$D$80,Settings!$D$82,Settings!$D$84,Settings!$D$86))/6,2)*6,"")</f>
        <v/>
      </c>
      <c r="O355" s="142">
        <f>IFERROR(CHOOSE(MATCH(IF($E355="","Основний",$E355),{"Трафіковий","Основний","Маржинальний","Сезонний","Стратегічний"},0),Settings!$D$78,Settings!$D$80,Settings!$D$82,Settings!$D$84,Settings!$D$86),"")</f>
        <v/>
      </c>
      <c r="P355" s="148">
        <f>IFERROR((N355*(1-Settings!$D$17)-C355)/(N355*(1-Settings!$D$17)),"")</f>
        <v/>
      </c>
      <c r="Q355" s="149">
        <f>IFERROR(IF(N355="","",IF(N355&gt;=C355/(1-SKU_Base!AB355)/(1-Settings!$D$17),"OK",IF(N355&gt;=C355/(1-SKU_Base!AI355)/(1-Settings!$D$17),"WARN","STOP"))),"")</f>
        <v/>
      </c>
      <c r="R355" s="161">
        <f>IFERROR(ROUND(D355*(1-CHOOSE(MATCH(IF($E355="","Основний",$E355),{"Трафіковий","Основний","Маржинальний","Сезонний","Стратегічний"},0),Settings!$E$78,Settings!$E$80,Settings!$E$82,Settings!$E$84,Settings!$E$86))/6,2)*6,"")</f>
        <v/>
      </c>
      <c r="S355" s="142">
        <f>IFERROR(CHOOSE(MATCH(IF($E355="","Основний",$E355),{"Трафіковий","Основний","Маржинальний","Сезонний","Стратегічний"},0),Settings!$E$78,Settings!$E$80,Settings!$E$82,Settings!$E$84,Settings!$E$86),"")</f>
        <v/>
      </c>
      <c r="T355" s="148">
        <f>IFERROR((R355*(1-Settings!$E$17)-C355)/(R355*(1-Settings!$E$17)),"")</f>
        <v/>
      </c>
      <c r="U355" s="149">
        <f>IFERROR(IF(R355="","",IF(R355&gt;=C355/(1-SKU_Base!AC355)/(1-Settings!$E$17),"OK",IF(R355&gt;=C355/(1-SKU_Base!AJ355)/(1-Settings!$E$17),"WARN","STOP"))),"")</f>
        <v/>
      </c>
      <c r="V355" s="161">
        <f>IFERROR(ROUND(D355*(1-CHOOSE(MATCH(IF($E355="","Основний",$E355),{"Трафіковий","Основний","Маржинальний","Сезонний","Стратегічний"},0),Settings!$F$78,Settings!$F$80,Settings!$F$82,Settings!$F$84,Settings!$F$86))/6,2)*6,"")</f>
        <v/>
      </c>
      <c r="W355" s="142">
        <f>IFERROR(CHOOSE(MATCH(IF($E355="","Основний",$E355),{"Трафіковий","Основний","Маржинальний","Сезонний","Стратегічний"},0),Settings!$F$78,Settings!$F$80,Settings!$F$82,Settings!$F$84,Settings!$F$86),"")</f>
        <v/>
      </c>
      <c r="X355" s="148">
        <f>IFERROR((V355*(1-Settings!$F$17)-C355)/(V355*(1-Settings!$F$17)),"")</f>
        <v/>
      </c>
      <c r="Y355" s="149">
        <f>IFERROR(IF(V355="","",IF(V355&gt;=C355/(1-SKU_Base!AD355)/(1-Settings!$F$17),"OK",IF(V355&gt;=C355/(1-SKU_Base!AK355)/(1-Settings!$F$17),"WARN","STOP"))),"")</f>
        <v/>
      </c>
      <c r="Z355" s="161">
        <f>IFERROR(ROUND(D355*(1-CHOOSE(MATCH(IF($E355="","Основний",$E355),{"Трафіковий","Основний","Маржинальний","Сезонний","Стратегічний"},0),Settings!$G$78,Settings!$G$80,Settings!$G$82,Settings!$G$84,Settings!$G$86))/6,2)*6,"")</f>
        <v/>
      </c>
      <c r="AA355" s="142">
        <f>IFERROR(CHOOSE(MATCH(IF($E355="","Основний",$E355),{"Трафіковий","Основний","Маржинальний","Сезонний","Стратегічний"},0),Settings!$G$78,Settings!$G$80,Settings!$G$82,Settings!$G$84,Settings!$G$86),"")</f>
        <v/>
      </c>
      <c r="AB355" s="148">
        <f>IFERROR((Z355*(1-Settings!$G$17)-C355)/(Z355*(1-Settings!$G$17)),"")</f>
        <v/>
      </c>
      <c r="AC355" s="149">
        <f>IFERROR(IF(Z355="","",IF(Z355&gt;=C355/(1-SKU_Base!AE355)/(1-Settings!$G$17),"OK",IF(Z355&gt;=C355/(1-SKU_Base!AL355)/(1-Settings!$G$17),"WARN","STOP"))),"")</f>
        <v/>
      </c>
      <c r="AD355" s="161">
        <f>IFERROR(ROUND(D355*(1-CHOOSE(MATCH(IF($E355="","Основний",$E355),{"Трафіковий","Основний","Маржинальний","Сезонний","Стратегічний"},0),Settings!$H$78,Settings!$H$80,Settings!$H$82,Settings!$H$84,Settings!$H$86))*(1-Settings!$H$68)/6,2)*6,"")</f>
        <v/>
      </c>
      <c r="AE355" s="142">
        <f>IFERROR(CHOOSE(MATCH(IF($E355="","Основний",$E355),{"Трафіковий","Основний","Маржинальний","Сезонний","Стратегічний"},0),Settings!$H$78,Settings!$H$80,Settings!$H$82,Settings!$H$84,Settings!$H$86)+(1-(CHOOSE(MATCH(IF($E355="","Основний",$E355),{"Трафіковий","Основний","Маржинальний","Сезонний","Стратегічний"},0),Settings!$H$78,Settings!$H$80,Settings!$H$82,Settings!$H$84,Settings!$H$86)))*Settings!$H$68,"")</f>
        <v/>
      </c>
      <c r="AF355" s="148">
        <f>IFERROR((AD355*(1-Settings!$H$17)-C355)/(AD355*(1-Settings!$H$17)),"")</f>
        <v/>
      </c>
      <c r="AG355" s="150">
        <f>IFERROR(IF(AD355="","",IF(AD355&gt;=C355/(1-SKU_Base!AF355)/(1-Settings!$H$17),"OK",IF(AD355&gt;=C355/(1-SKU_Base!AM355)/(1-Settings!$H$17),"WARN","STOP"))),"")</f>
        <v/>
      </c>
    </row>
    <row r="356" ht="17" customHeight="1" s="179">
      <c r="A356" s="139">
        <f>SKU_Base!B356</f>
        <v/>
      </c>
      <c r="B356" s="139">
        <f>SKU_Base!C356</f>
        <v/>
      </c>
      <c r="C356" s="140">
        <f>IFERROR(SKU_Base!I356,"")</f>
        <v/>
      </c>
      <c r="D356" s="163">
        <f>IFERROR(SKU_Base!T356,"")</f>
        <v/>
      </c>
      <c r="E356" s="141">
        <f>IFERROR(SKU_Base!$U356,"")</f>
        <v/>
      </c>
      <c r="F356" s="158">
        <f>IFERROR(ROUND(D356*(1-CHOOSE(MATCH(IF($E356="","Основний",$E356),{"Трафіковий","Основний","Маржинальний","Сезонний","Стратегічний"},0),Settings!$B$78,Settings!$B$80,Settings!$B$82,Settings!$B$84,Settings!$B$86))/6,2)*6,"")</f>
        <v/>
      </c>
      <c r="G356" s="142">
        <f>IFERROR(CHOOSE(MATCH(IF($E356="","Основний",$E356),{"Трафіковий","Основний","Маржинальний","Сезонний","Стратегічний"},0),Settings!$B$78,Settings!$B$80,Settings!$B$82,Settings!$B$84,Settings!$B$86),"")</f>
        <v/>
      </c>
      <c r="H356" s="143">
        <f>IFERROR((F356*(1-Settings!$B$17)-C356)/(F356*(1-Settings!$B$17)),"")</f>
        <v/>
      </c>
      <c r="I356" s="150">
        <f>IFERROR(IF(F356="","",IF(F356&gt;=C356/(1-SKU_Base!Z356)/(1-Settings!$B$17),"OK",IF(F356&gt;=C356/(1-SKU_Base!AG356)/(1-Settings!$B$17),"WARN","STOP"))),"")</f>
        <v/>
      </c>
      <c r="J356" s="158">
        <f>IFERROR(ROUND(D356*(1-CHOOSE(MATCH(IF($E356="","Основний",$E356),{"Трафіковий","Основний","Маржинальний","Сезонний","Стратегічний"},0),Settings!$C$78,Settings!$C$80,Settings!$C$82,Settings!$C$84,Settings!$C$86))/6,2)*6,"")</f>
        <v/>
      </c>
      <c r="K356" s="142">
        <f>IFERROR(CHOOSE(MATCH(IF($E356="","Основний",$E356),{"Трафіковий","Основний","Маржинальний","Сезонний","Стратегічний"},0),Settings!$C$78,Settings!$C$80,Settings!$C$82,Settings!$C$84,Settings!$C$86),"")</f>
        <v/>
      </c>
      <c r="L356" s="143">
        <f>IFERROR((J356*(1-Settings!$C$17)-C356)/(J356*(1-Settings!$C$17)),"")</f>
        <v/>
      </c>
      <c r="M356" s="149">
        <f>IFERROR(IF(J356="","",IF(J356&gt;=C356/(1-SKU_Base!AA356)/(1-Settings!$C$17),"OK",IF(J356&gt;=C356/(1-SKU_Base!AH356)/(1-Settings!$C$17),"WARN","STOP"))),"")</f>
        <v/>
      </c>
      <c r="N356" s="159">
        <f>IFERROR(ROUND(D356*(1-CHOOSE(MATCH(IF($E356="","Основний",$E356),{"Трафіковий","Основний","Маржинальний","Сезонний","Стратегічний"},0),Settings!$D$78,Settings!$D$80,Settings!$D$82,Settings!$D$84,Settings!$D$86))/6,2)*6,"")</f>
        <v/>
      </c>
      <c r="O356" s="142">
        <f>IFERROR(CHOOSE(MATCH(IF($E356="","Основний",$E356),{"Трафіковий","Основний","Маржинальний","Сезонний","Стратегічний"},0),Settings!$D$78,Settings!$D$80,Settings!$D$82,Settings!$D$84,Settings!$D$86),"")</f>
        <v/>
      </c>
      <c r="P356" s="143">
        <f>IFERROR((N356*(1-Settings!$D$17)-C356)/(N356*(1-Settings!$D$17)),"")</f>
        <v/>
      </c>
      <c r="Q356" s="149">
        <f>IFERROR(IF(N356="","",IF(N356&gt;=C356/(1-SKU_Base!AB356)/(1-Settings!$D$17),"OK",IF(N356&gt;=C356/(1-SKU_Base!AI356)/(1-Settings!$D$17),"WARN","STOP"))),"")</f>
        <v/>
      </c>
      <c r="R356" s="159">
        <f>IFERROR(ROUND(D356*(1-CHOOSE(MATCH(IF($E356="","Основний",$E356),{"Трафіковий","Основний","Маржинальний","Сезонний","Стратегічний"},0),Settings!$E$78,Settings!$E$80,Settings!$E$82,Settings!$E$84,Settings!$E$86))/6,2)*6,"")</f>
        <v/>
      </c>
      <c r="S356" s="142">
        <f>IFERROR(CHOOSE(MATCH(IF($E356="","Основний",$E356),{"Трафіковий","Основний","Маржинальний","Сезонний","Стратегічний"},0),Settings!$E$78,Settings!$E$80,Settings!$E$82,Settings!$E$84,Settings!$E$86),"")</f>
        <v/>
      </c>
      <c r="T356" s="143">
        <f>IFERROR((R356*(1-Settings!$E$17)-C356)/(R356*(1-Settings!$E$17)),"")</f>
        <v/>
      </c>
      <c r="U356" s="149">
        <f>IFERROR(IF(R356="","",IF(R356&gt;=C356/(1-SKU_Base!AC356)/(1-Settings!$E$17),"OK",IF(R356&gt;=C356/(1-SKU_Base!AJ356)/(1-Settings!$E$17),"WARN","STOP"))),"")</f>
        <v/>
      </c>
      <c r="V356" s="159">
        <f>IFERROR(ROUND(D356*(1-CHOOSE(MATCH(IF($E356="","Основний",$E356),{"Трафіковий","Основний","Маржинальний","Сезонний","Стратегічний"},0),Settings!$F$78,Settings!$F$80,Settings!$F$82,Settings!$F$84,Settings!$F$86))/6,2)*6,"")</f>
        <v/>
      </c>
      <c r="W356" s="142">
        <f>IFERROR(CHOOSE(MATCH(IF($E356="","Основний",$E356),{"Трафіковий","Основний","Маржинальний","Сезонний","Стратегічний"},0),Settings!$F$78,Settings!$F$80,Settings!$F$82,Settings!$F$84,Settings!$F$86),"")</f>
        <v/>
      </c>
      <c r="X356" s="143">
        <f>IFERROR((V356*(1-Settings!$F$17)-C356)/(V356*(1-Settings!$F$17)),"")</f>
        <v/>
      </c>
      <c r="Y356" s="149">
        <f>IFERROR(IF(V356="","",IF(V356&gt;=C356/(1-SKU_Base!AD356)/(1-Settings!$F$17),"OK",IF(V356&gt;=C356/(1-SKU_Base!AK356)/(1-Settings!$F$17),"WARN","STOP"))),"")</f>
        <v/>
      </c>
      <c r="Z356" s="159">
        <f>IFERROR(ROUND(D356*(1-CHOOSE(MATCH(IF($E356="","Основний",$E356),{"Трафіковий","Основний","Маржинальний","Сезонний","Стратегічний"},0),Settings!$G$78,Settings!$G$80,Settings!$G$82,Settings!$G$84,Settings!$G$86))/6,2)*6,"")</f>
        <v/>
      </c>
      <c r="AA356" s="142">
        <f>IFERROR(CHOOSE(MATCH(IF($E356="","Основний",$E356),{"Трафіковий","Основний","Маржинальний","Сезонний","Стратегічний"},0),Settings!$G$78,Settings!$G$80,Settings!$G$82,Settings!$G$84,Settings!$G$86),"")</f>
        <v/>
      </c>
      <c r="AB356" s="143">
        <f>IFERROR((Z356*(1-Settings!$G$17)-C356)/(Z356*(1-Settings!$G$17)),"")</f>
        <v/>
      </c>
      <c r="AC356" s="149">
        <f>IFERROR(IF(Z356="","",IF(Z356&gt;=C356/(1-SKU_Base!AE356)/(1-Settings!$G$17),"OK",IF(Z356&gt;=C356/(1-SKU_Base!AL356)/(1-Settings!$G$17),"WARN","STOP"))),"")</f>
        <v/>
      </c>
      <c r="AD356" s="159">
        <f>IFERROR(ROUND(D356*(1-CHOOSE(MATCH(IF($E356="","Основний",$E356),{"Трафіковий","Основний","Маржинальний","Сезонний","Стратегічний"},0),Settings!$H$78,Settings!$H$80,Settings!$H$82,Settings!$H$84,Settings!$H$86))*(1-Settings!$H$68)/6,2)*6,"")</f>
        <v/>
      </c>
      <c r="AE356" s="142">
        <f>IFERROR(CHOOSE(MATCH(IF($E356="","Основний",$E356),{"Трафіковий","Основний","Маржинальний","Сезонний","Стратегічний"},0),Settings!$H$78,Settings!$H$80,Settings!$H$82,Settings!$H$84,Settings!$H$86)+(1-(CHOOSE(MATCH(IF($E356="","Основний",$E356),{"Трафіковий","Основний","Маржинальний","Сезонний","Стратегічний"},0),Settings!$H$78,Settings!$H$80,Settings!$H$82,Settings!$H$84,Settings!$H$86)))*Settings!$H$68,"")</f>
        <v/>
      </c>
      <c r="AF356" s="143">
        <f>IFERROR((AD356*(1-Settings!$H$17)-C356)/(AD356*(1-Settings!$H$17)),"")</f>
        <v/>
      </c>
      <c r="AG356" s="150">
        <f>IFERROR(IF(AD356="","",IF(AD356&gt;=C356/(1-SKU_Base!AF356)/(1-Settings!$H$17),"OK",IF(AD356&gt;=C356/(1-SKU_Base!AM356)/(1-Settings!$H$17),"WARN","STOP"))),"")</f>
        <v/>
      </c>
    </row>
    <row r="357" ht="17" customHeight="1" s="179">
      <c r="A357" s="146">
        <f>SKU_Base!B357</f>
        <v/>
      </c>
      <c r="B357" s="146">
        <f>SKU_Base!C357</f>
        <v/>
      </c>
      <c r="C357" s="147">
        <f>IFERROR(SKU_Base!I357,"")</f>
        <v/>
      </c>
      <c r="D357" s="164">
        <f>IFERROR(SKU_Base!T357,"")</f>
        <v/>
      </c>
      <c r="E357" s="141">
        <f>IFERROR(SKU_Base!$U357,"")</f>
        <v/>
      </c>
      <c r="F357" s="160">
        <f>IFERROR(ROUND(D357*(1-CHOOSE(MATCH(IF($E357="","Основний",$E357),{"Трафіковий","Основний","Маржинальний","Сезонний","Стратегічний"},0),Settings!$B$78,Settings!$B$80,Settings!$B$82,Settings!$B$84,Settings!$B$86))/6,2)*6,"")</f>
        <v/>
      </c>
      <c r="G357" s="142">
        <f>IFERROR(CHOOSE(MATCH(IF($E357="","Основний",$E357),{"Трафіковий","Основний","Маржинальний","Сезонний","Стратегічний"},0),Settings!$B$78,Settings!$B$80,Settings!$B$82,Settings!$B$84,Settings!$B$86),"")</f>
        <v/>
      </c>
      <c r="H357" s="148">
        <f>IFERROR((F357*(1-Settings!$B$17)-C357)/(F357*(1-Settings!$B$17)),"")</f>
        <v/>
      </c>
      <c r="I357" s="150">
        <f>IFERROR(IF(F357="","",IF(F357&gt;=C357/(1-SKU_Base!Z357)/(1-Settings!$B$17),"OK",IF(F357&gt;=C357/(1-SKU_Base!AG357)/(1-Settings!$B$17),"WARN","STOP"))),"")</f>
        <v/>
      </c>
      <c r="J357" s="160">
        <f>IFERROR(ROUND(D357*(1-CHOOSE(MATCH(IF($E357="","Основний",$E357),{"Трафіковий","Основний","Маржинальний","Сезонний","Стратегічний"},0),Settings!$C$78,Settings!$C$80,Settings!$C$82,Settings!$C$84,Settings!$C$86))/6,2)*6,"")</f>
        <v/>
      </c>
      <c r="K357" s="142">
        <f>IFERROR(CHOOSE(MATCH(IF($E357="","Основний",$E357),{"Трафіковий","Основний","Маржинальний","Сезонний","Стратегічний"},0),Settings!$C$78,Settings!$C$80,Settings!$C$82,Settings!$C$84,Settings!$C$86),"")</f>
        <v/>
      </c>
      <c r="L357" s="148">
        <f>IFERROR((J357*(1-Settings!$C$17)-C357)/(J357*(1-Settings!$C$17)),"")</f>
        <v/>
      </c>
      <c r="M357" s="149">
        <f>IFERROR(IF(J357="","",IF(J357&gt;=C357/(1-SKU_Base!AA357)/(1-Settings!$C$17),"OK",IF(J357&gt;=C357/(1-SKU_Base!AH357)/(1-Settings!$C$17),"WARN","STOP"))),"")</f>
        <v/>
      </c>
      <c r="N357" s="161">
        <f>IFERROR(ROUND(D357*(1-CHOOSE(MATCH(IF($E357="","Основний",$E357),{"Трафіковий","Основний","Маржинальний","Сезонний","Стратегічний"},0),Settings!$D$78,Settings!$D$80,Settings!$D$82,Settings!$D$84,Settings!$D$86))/6,2)*6,"")</f>
        <v/>
      </c>
      <c r="O357" s="142">
        <f>IFERROR(CHOOSE(MATCH(IF($E357="","Основний",$E357),{"Трафіковий","Основний","Маржинальний","Сезонний","Стратегічний"},0),Settings!$D$78,Settings!$D$80,Settings!$D$82,Settings!$D$84,Settings!$D$86),"")</f>
        <v/>
      </c>
      <c r="P357" s="148">
        <f>IFERROR((N357*(1-Settings!$D$17)-C357)/(N357*(1-Settings!$D$17)),"")</f>
        <v/>
      </c>
      <c r="Q357" s="149">
        <f>IFERROR(IF(N357="","",IF(N357&gt;=C357/(1-SKU_Base!AB357)/(1-Settings!$D$17),"OK",IF(N357&gt;=C357/(1-SKU_Base!AI357)/(1-Settings!$D$17),"WARN","STOP"))),"")</f>
        <v/>
      </c>
      <c r="R357" s="161">
        <f>IFERROR(ROUND(D357*(1-CHOOSE(MATCH(IF($E357="","Основний",$E357),{"Трафіковий","Основний","Маржинальний","Сезонний","Стратегічний"},0),Settings!$E$78,Settings!$E$80,Settings!$E$82,Settings!$E$84,Settings!$E$86))/6,2)*6,"")</f>
        <v/>
      </c>
      <c r="S357" s="142">
        <f>IFERROR(CHOOSE(MATCH(IF($E357="","Основний",$E357),{"Трафіковий","Основний","Маржинальний","Сезонний","Стратегічний"},0),Settings!$E$78,Settings!$E$80,Settings!$E$82,Settings!$E$84,Settings!$E$86),"")</f>
        <v/>
      </c>
      <c r="T357" s="148">
        <f>IFERROR((R357*(1-Settings!$E$17)-C357)/(R357*(1-Settings!$E$17)),"")</f>
        <v/>
      </c>
      <c r="U357" s="149">
        <f>IFERROR(IF(R357="","",IF(R357&gt;=C357/(1-SKU_Base!AC357)/(1-Settings!$E$17),"OK",IF(R357&gt;=C357/(1-SKU_Base!AJ357)/(1-Settings!$E$17),"WARN","STOP"))),"")</f>
        <v/>
      </c>
      <c r="V357" s="161">
        <f>IFERROR(ROUND(D357*(1-CHOOSE(MATCH(IF($E357="","Основний",$E357),{"Трафіковий","Основний","Маржинальний","Сезонний","Стратегічний"},0),Settings!$F$78,Settings!$F$80,Settings!$F$82,Settings!$F$84,Settings!$F$86))/6,2)*6,"")</f>
        <v/>
      </c>
      <c r="W357" s="142">
        <f>IFERROR(CHOOSE(MATCH(IF($E357="","Основний",$E357),{"Трафіковий","Основний","Маржинальний","Сезонний","Стратегічний"},0),Settings!$F$78,Settings!$F$80,Settings!$F$82,Settings!$F$84,Settings!$F$86),"")</f>
        <v/>
      </c>
      <c r="X357" s="148">
        <f>IFERROR((V357*(1-Settings!$F$17)-C357)/(V357*(1-Settings!$F$17)),"")</f>
        <v/>
      </c>
      <c r="Y357" s="149">
        <f>IFERROR(IF(V357="","",IF(V357&gt;=C357/(1-SKU_Base!AD357)/(1-Settings!$F$17),"OK",IF(V357&gt;=C357/(1-SKU_Base!AK357)/(1-Settings!$F$17),"WARN","STOP"))),"")</f>
        <v/>
      </c>
      <c r="Z357" s="161">
        <f>IFERROR(ROUND(D357*(1-CHOOSE(MATCH(IF($E357="","Основний",$E357),{"Трафіковий","Основний","Маржинальний","Сезонний","Стратегічний"},0),Settings!$G$78,Settings!$G$80,Settings!$G$82,Settings!$G$84,Settings!$G$86))/6,2)*6,"")</f>
        <v/>
      </c>
      <c r="AA357" s="142">
        <f>IFERROR(CHOOSE(MATCH(IF($E357="","Основний",$E357),{"Трафіковий","Основний","Маржинальний","Сезонний","Стратегічний"},0),Settings!$G$78,Settings!$G$80,Settings!$G$82,Settings!$G$84,Settings!$G$86),"")</f>
        <v/>
      </c>
      <c r="AB357" s="148">
        <f>IFERROR((Z357*(1-Settings!$G$17)-C357)/(Z357*(1-Settings!$G$17)),"")</f>
        <v/>
      </c>
      <c r="AC357" s="149">
        <f>IFERROR(IF(Z357="","",IF(Z357&gt;=C357/(1-SKU_Base!AE357)/(1-Settings!$G$17),"OK",IF(Z357&gt;=C357/(1-SKU_Base!AL357)/(1-Settings!$G$17),"WARN","STOP"))),"")</f>
        <v/>
      </c>
      <c r="AD357" s="161">
        <f>IFERROR(ROUND(D357*(1-CHOOSE(MATCH(IF($E357="","Основний",$E357),{"Трафіковий","Основний","Маржинальний","Сезонний","Стратегічний"},0),Settings!$H$78,Settings!$H$80,Settings!$H$82,Settings!$H$84,Settings!$H$86))*(1-Settings!$H$68)/6,2)*6,"")</f>
        <v/>
      </c>
      <c r="AE357" s="142">
        <f>IFERROR(CHOOSE(MATCH(IF($E357="","Основний",$E357),{"Трафіковий","Основний","Маржинальний","Сезонний","Стратегічний"},0),Settings!$H$78,Settings!$H$80,Settings!$H$82,Settings!$H$84,Settings!$H$86)+(1-(CHOOSE(MATCH(IF($E357="","Основний",$E357),{"Трафіковий","Основний","Маржинальний","Сезонний","Стратегічний"},0),Settings!$H$78,Settings!$H$80,Settings!$H$82,Settings!$H$84,Settings!$H$86)))*Settings!$H$68,"")</f>
        <v/>
      </c>
      <c r="AF357" s="148">
        <f>IFERROR((AD357*(1-Settings!$H$17)-C357)/(AD357*(1-Settings!$H$17)),"")</f>
        <v/>
      </c>
      <c r="AG357" s="150">
        <f>IFERROR(IF(AD357="","",IF(AD357&gt;=C357/(1-SKU_Base!AF357)/(1-Settings!$H$17),"OK",IF(AD357&gt;=C357/(1-SKU_Base!AM357)/(1-Settings!$H$17),"WARN","STOP"))),"")</f>
        <v/>
      </c>
    </row>
    <row r="358" ht="17" customHeight="1" s="179">
      <c r="A358" s="139">
        <f>SKU_Base!B358</f>
        <v/>
      </c>
      <c r="B358" s="139">
        <f>SKU_Base!C358</f>
        <v/>
      </c>
      <c r="C358" s="140">
        <f>IFERROR(SKU_Base!I358,"")</f>
        <v/>
      </c>
      <c r="D358" s="163">
        <f>IFERROR(SKU_Base!T358,"")</f>
        <v/>
      </c>
      <c r="E358" s="141">
        <f>IFERROR(SKU_Base!$U358,"")</f>
        <v/>
      </c>
      <c r="F358" s="158">
        <f>IFERROR(ROUND(D358*(1-CHOOSE(MATCH(IF($E358="","Основний",$E358),{"Трафіковий","Основний","Маржинальний","Сезонний","Стратегічний"},0),Settings!$B$78,Settings!$B$80,Settings!$B$82,Settings!$B$84,Settings!$B$86))/6,2)*6,"")</f>
        <v/>
      </c>
      <c r="G358" s="142">
        <f>IFERROR(CHOOSE(MATCH(IF($E358="","Основний",$E358),{"Трафіковий","Основний","Маржинальний","Сезонний","Стратегічний"},0),Settings!$B$78,Settings!$B$80,Settings!$B$82,Settings!$B$84,Settings!$B$86),"")</f>
        <v/>
      </c>
      <c r="H358" s="143">
        <f>IFERROR((F358*(1-Settings!$B$17)-C358)/(F358*(1-Settings!$B$17)),"")</f>
        <v/>
      </c>
      <c r="I358" s="149">
        <f>IFERROR(IF(F358="","",IF(F358&gt;=C358/(1-SKU_Base!Z358)/(1-Settings!$B$17),"OK",IF(F358&gt;=C358/(1-SKU_Base!AG358)/(1-Settings!$B$17),"WARN","STOP"))),"")</f>
        <v/>
      </c>
      <c r="J358" s="158">
        <f>IFERROR(ROUND(D358*(1-CHOOSE(MATCH(IF($E358="","Основний",$E358),{"Трафіковий","Основний","Маржинальний","Сезонний","Стратегічний"},0),Settings!$C$78,Settings!$C$80,Settings!$C$82,Settings!$C$84,Settings!$C$86))/6,2)*6,"")</f>
        <v/>
      </c>
      <c r="K358" s="142">
        <f>IFERROR(CHOOSE(MATCH(IF($E358="","Основний",$E358),{"Трафіковий","Основний","Маржинальний","Сезонний","Стратегічний"},0),Settings!$C$78,Settings!$C$80,Settings!$C$82,Settings!$C$84,Settings!$C$86),"")</f>
        <v/>
      </c>
      <c r="L358" s="143">
        <f>IFERROR((J358*(1-Settings!$C$17)-C358)/(J358*(1-Settings!$C$17)),"")</f>
        <v/>
      </c>
      <c r="M358" s="149">
        <f>IFERROR(IF(J358="","",IF(J358&gt;=C358/(1-SKU_Base!AA358)/(1-Settings!$C$17),"OK",IF(J358&gt;=C358/(1-SKU_Base!AH358)/(1-Settings!$C$17),"WARN","STOP"))),"")</f>
        <v/>
      </c>
      <c r="N358" s="159">
        <f>IFERROR(ROUND(D358*(1-CHOOSE(MATCH(IF($E358="","Основний",$E358),{"Трафіковий","Основний","Маржинальний","Сезонний","Стратегічний"},0),Settings!$D$78,Settings!$D$80,Settings!$D$82,Settings!$D$84,Settings!$D$86))/6,2)*6,"")</f>
        <v/>
      </c>
      <c r="O358" s="142">
        <f>IFERROR(CHOOSE(MATCH(IF($E358="","Основний",$E358),{"Трафіковий","Основний","Маржинальний","Сезонний","Стратегічний"},0),Settings!$D$78,Settings!$D$80,Settings!$D$82,Settings!$D$84,Settings!$D$86),"")</f>
        <v/>
      </c>
      <c r="P358" s="143">
        <f>IFERROR((N358*(1-Settings!$D$17)-C358)/(N358*(1-Settings!$D$17)),"")</f>
        <v/>
      </c>
      <c r="Q358" s="149">
        <f>IFERROR(IF(N358="","",IF(N358&gt;=C358/(1-SKU_Base!AB358)/(1-Settings!$D$17),"OK",IF(N358&gt;=C358/(1-SKU_Base!AI358)/(1-Settings!$D$17),"WARN","STOP"))),"")</f>
        <v/>
      </c>
      <c r="R358" s="159">
        <f>IFERROR(ROUND(D358*(1-CHOOSE(MATCH(IF($E358="","Основний",$E358),{"Трафіковий","Основний","Маржинальний","Сезонний","Стратегічний"},0),Settings!$E$78,Settings!$E$80,Settings!$E$82,Settings!$E$84,Settings!$E$86))/6,2)*6,"")</f>
        <v/>
      </c>
      <c r="S358" s="142">
        <f>IFERROR(CHOOSE(MATCH(IF($E358="","Основний",$E358),{"Трафіковий","Основний","Маржинальний","Сезонний","Стратегічний"},0),Settings!$E$78,Settings!$E$80,Settings!$E$82,Settings!$E$84,Settings!$E$86),"")</f>
        <v/>
      </c>
      <c r="T358" s="143">
        <f>IFERROR((R358*(1-Settings!$E$17)-C358)/(R358*(1-Settings!$E$17)),"")</f>
        <v/>
      </c>
      <c r="U358" s="149">
        <f>IFERROR(IF(R358="","",IF(R358&gt;=C358/(1-SKU_Base!AC358)/(1-Settings!$E$17),"OK",IF(R358&gt;=C358/(1-SKU_Base!AJ358)/(1-Settings!$E$17),"WARN","STOP"))),"")</f>
        <v/>
      </c>
      <c r="V358" s="159">
        <f>IFERROR(ROUND(D358*(1-CHOOSE(MATCH(IF($E358="","Основний",$E358),{"Трафіковий","Основний","Маржинальний","Сезонний","Стратегічний"},0),Settings!$F$78,Settings!$F$80,Settings!$F$82,Settings!$F$84,Settings!$F$86))/6,2)*6,"")</f>
        <v/>
      </c>
      <c r="W358" s="142">
        <f>IFERROR(CHOOSE(MATCH(IF($E358="","Основний",$E358),{"Трафіковий","Основний","Маржинальний","Сезонний","Стратегічний"},0),Settings!$F$78,Settings!$F$80,Settings!$F$82,Settings!$F$84,Settings!$F$86),"")</f>
        <v/>
      </c>
      <c r="X358" s="143">
        <f>IFERROR((V358*(1-Settings!$F$17)-C358)/(V358*(1-Settings!$F$17)),"")</f>
        <v/>
      </c>
      <c r="Y358" s="149">
        <f>IFERROR(IF(V358="","",IF(V358&gt;=C358/(1-SKU_Base!AD358)/(1-Settings!$F$17),"OK",IF(V358&gt;=C358/(1-SKU_Base!AK358)/(1-Settings!$F$17),"WARN","STOP"))),"")</f>
        <v/>
      </c>
      <c r="Z358" s="159">
        <f>IFERROR(ROUND(D358*(1-CHOOSE(MATCH(IF($E358="","Основний",$E358),{"Трафіковий","Основний","Маржинальний","Сезонний","Стратегічний"},0),Settings!$G$78,Settings!$G$80,Settings!$G$82,Settings!$G$84,Settings!$G$86))/6,2)*6,"")</f>
        <v/>
      </c>
      <c r="AA358" s="142">
        <f>IFERROR(CHOOSE(MATCH(IF($E358="","Основний",$E358),{"Трафіковий","Основний","Маржинальний","Сезонний","Стратегічний"},0),Settings!$G$78,Settings!$G$80,Settings!$G$82,Settings!$G$84,Settings!$G$86),"")</f>
        <v/>
      </c>
      <c r="AB358" s="143">
        <f>IFERROR((Z358*(1-Settings!$G$17)-C358)/(Z358*(1-Settings!$G$17)),"")</f>
        <v/>
      </c>
      <c r="AC358" s="149">
        <f>IFERROR(IF(Z358="","",IF(Z358&gt;=C358/(1-SKU_Base!AE358)/(1-Settings!$G$17),"OK",IF(Z358&gt;=C358/(1-SKU_Base!AL358)/(1-Settings!$G$17),"WARN","STOP"))),"")</f>
        <v/>
      </c>
      <c r="AD358" s="159">
        <f>IFERROR(ROUND(D358*(1-CHOOSE(MATCH(IF($E358="","Основний",$E358),{"Трафіковий","Основний","Маржинальний","Сезонний","Стратегічний"},0),Settings!$H$78,Settings!$H$80,Settings!$H$82,Settings!$H$84,Settings!$H$86))*(1-Settings!$H$68)/6,2)*6,"")</f>
        <v/>
      </c>
      <c r="AE358" s="142">
        <f>IFERROR(CHOOSE(MATCH(IF($E358="","Основний",$E358),{"Трафіковий","Основний","Маржинальний","Сезонний","Стратегічний"},0),Settings!$H$78,Settings!$H$80,Settings!$H$82,Settings!$H$84,Settings!$H$86)+(1-(CHOOSE(MATCH(IF($E358="","Основний",$E358),{"Трафіковий","Основний","Маржинальний","Сезонний","Стратегічний"},0),Settings!$H$78,Settings!$H$80,Settings!$H$82,Settings!$H$84,Settings!$H$86)))*Settings!$H$68,"")</f>
        <v/>
      </c>
      <c r="AF358" s="143">
        <f>IFERROR((AD358*(1-Settings!$H$17)-C358)/(AD358*(1-Settings!$H$17)),"")</f>
        <v/>
      </c>
      <c r="AG358" s="150">
        <f>IFERROR(IF(AD358="","",IF(AD358&gt;=C358/(1-SKU_Base!AF358)/(1-Settings!$H$17),"OK",IF(AD358&gt;=C358/(1-SKU_Base!AM358)/(1-Settings!$H$17),"WARN","STOP"))),"")</f>
        <v/>
      </c>
    </row>
    <row r="359" ht="17" customHeight="1" s="179">
      <c r="A359" s="146">
        <f>SKU_Base!B359</f>
        <v/>
      </c>
      <c r="B359" s="146">
        <f>SKU_Base!C359</f>
        <v/>
      </c>
      <c r="C359" s="147">
        <f>IFERROR(SKU_Base!I359,"")</f>
        <v/>
      </c>
      <c r="D359" s="164">
        <f>IFERROR(SKU_Base!T359,"")</f>
        <v/>
      </c>
      <c r="E359" s="141">
        <f>IFERROR(SKU_Base!$U359,"")</f>
        <v/>
      </c>
      <c r="F359" s="160">
        <f>IFERROR(ROUND(D359*(1-CHOOSE(MATCH(IF($E359="","Основний",$E359),{"Трафіковий","Основний","Маржинальний","Сезонний","Стратегічний"},0),Settings!$B$78,Settings!$B$80,Settings!$B$82,Settings!$B$84,Settings!$B$86))/6,2)*6,"")</f>
        <v/>
      </c>
      <c r="G359" s="142">
        <f>IFERROR(CHOOSE(MATCH(IF($E359="","Основний",$E359),{"Трафіковий","Основний","Маржинальний","Сезонний","Стратегічний"},0),Settings!$B$78,Settings!$B$80,Settings!$B$82,Settings!$B$84,Settings!$B$86),"")</f>
        <v/>
      </c>
      <c r="H359" s="148">
        <f>IFERROR((F359*(1-Settings!$B$17)-C359)/(F359*(1-Settings!$B$17)),"")</f>
        <v/>
      </c>
      <c r="I359" s="150">
        <f>IFERROR(IF(F359="","",IF(F359&gt;=C359/(1-SKU_Base!Z359)/(1-Settings!$B$17),"OK",IF(F359&gt;=C359/(1-SKU_Base!AG359)/(1-Settings!$B$17),"WARN","STOP"))),"")</f>
        <v/>
      </c>
      <c r="J359" s="160">
        <f>IFERROR(ROUND(D359*(1-CHOOSE(MATCH(IF($E359="","Основний",$E359),{"Трафіковий","Основний","Маржинальний","Сезонний","Стратегічний"},0),Settings!$C$78,Settings!$C$80,Settings!$C$82,Settings!$C$84,Settings!$C$86))/6,2)*6,"")</f>
        <v/>
      </c>
      <c r="K359" s="142">
        <f>IFERROR(CHOOSE(MATCH(IF($E359="","Основний",$E359),{"Трафіковий","Основний","Маржинальний","Сезонний","Стратегічний"},0),Settings!$C$78,Settings!$C$80,Settings!$C$82,Settings!$C$84,Settings!$C$86),"")</f>
        <v/>
      </c>
      <c r="L359" s="148">
        <f>IFERROR((J359*(1-Settings!$C$17)-C359)/(J359*(1-Settings!$C$17)),"")</f>
        <v/>
      </c>
      <c r="M359" s="149">
        <f>IFERROR(IF(J359="","",IF(J359&gt;=C359/(1-SKU_Base!AA359)/(1-Settings!$C$17),"OK",IF(J359&gt;=C359/(1-SKU_Base!AH359)/(1-Settings!$C$17),"WARN","STOP"))),"")</f>
        <v/>
      </c>
      <c r="N359" s="161">
        <f>IFERROR(ROUND(D359*(1-CHOOSE(MATCH(IF($E359="","Основний",$E359),{"Трафіковий","Основний","Маржинальний","Сезонний","Стратегічний"},0),Settings!$D$78,Settings!$D$80,Settings!$D$82,Settings!$D$84,Settings!$D$86))/6,2)*6,"")</f>
        <v/>
      </c>
      <c r="O359" s="142">
        <f>IFERROR(CHOOSE(MATCH(IF($E359="","Основний",$E359),{"Трафіковий","Основний","Маржинальний","Сезонний","Стратегічний"},0),Settings!$D$78,Settings!$D$80,Settings!$D$82,Settings!$D$84,Settings!$D$86),"")</f>
        <v/>
      </c>
      <c r="P359" s="148">
        <f>IFERROR((N359*(1-Settings!$D$17)-C359)/(N359*(1-Settings!$D$17)),"")</f>
        <v/>
      </c>
      <c r="Q359" s="149">
        <f>IFERROR(IF(N359="","",IF(N359&gt;=C359/(1-SKU_Base!AB359)/(1-Settings!$D$17),"OK",IF(N359&gt;=C359/(1-SKU_Base!AI359)/(1-Settings!$D$17),"WARN","STOP"))),"")</f>
        <v/>
      </c>
      <c r="R359" s="161">
        <f>IFERROR(ROUND(D359*(1-CHOOSE(MATCH(IF($E359="","Основний",$E359),{"Трафіковий","Основний","Маржинальний","Сезонний","Стратегічний"},0),Settings!$E$78,Settings!$E$80,Settings!$E$82,Settings!$E$84,Settings!$E$86))/6,2)*6,"")</f>
        <v/>
      </c>
      <c r="S359" s="142">
        <f>IFERROR(CHOOSE(MATCH(IF($E359="","Основний",$E359),{"Трафіковий","Основний","Маржинальний","Сезонний","Стратегічний"},0),Settings!$E$78,Settings!$E$80,Settings!$E$82,Settings!$E$84,Settings!$E$86),"")</f>
        <v/>
      </c>
      <c r="T359" s="148">
        <f>IFERROR((R359*(1-Settings!$E$17)-C359)/(R359*(1-Settings!$E$17)),"")</f>
        <v/>
      </c>
      <c r="U359" s="149">
        <f>IFERROR(IF(R359="","",IF(R359&gt;=C359/(1-SKU_Base!AC359)/(1-Settings!$E$17),"OK",IF(R359&gt;=C359/(1-SKU_Base!AJ359)/(1-Settings!$E$17),"WARN","STOP"))),"")</f>
        <v/>
      </c>
      <c r="V359" s="161">
        <f>IFERROR(ROUND(D359*(1-CHOOSE(MATCH(IF($E359="","Основний",$E359),{"Трафіковий","Основний","Маржинальний","Сезонний","Стратегічний"},0),Settings!$F$78,Settings!$F$80,Settings!$F$82,Settings!$F$84,Settings!$F$86))/6,2)*6,"")</f>
        <v/>
      </c>
      <c r="W359" s="142">
        <f>IFERROR(CHOOSE(MATCH(IF($E359="","Основний",$E359),{"Трафіковий","Основний","Маржинальний","Сезонний","Стратегічний"},0),Settings!$F$78,Settings!$F$80,Settings!$F$82,Settings!$F$84,Settings!$F$86),"")</f>
        <v/>
      </c>
      <c r="X359" s="148">
        <f>IFERROR((V359*(1-Settings!$F$17)-C359)/(V359*(1-Settings!$F$17)),"")</f>
        <v/>
      </c>
      <c r="Y359" s="149">
        <f>IFERROR(IF(V359="","",IF(V359&gt;=C359/(1-SKU_Base!AD359)/(1-Settings!$F$17),"OK",IF(V359&gt;=C359/(1-SKU_Base!AK359)/(1-Settings!$F$17),"WARN","STOP"))),"")</f>
        <v/>
      </c>
      <c r="Z359" s="161">
        <f>IFERROR(ROUND(D359*(1-CHOOSE(MATCH(IF($E359="","Основний",$E359),{"Трафіковий","Основний","Маржинальний","Сезонний","Стратегічний"},0),Settings!$G$78,Settings!$G$80,Settings!$G$82,Settings!$G$84,Settings!$G$86))/6,2)*6,"")</f>
        <v/>
      </c>
      <c r="AA359" s="142">
        <f>IFERROR(CHOOSE(MATCH(IF($E359="","Основний",$E359),{"Трафіковий","Основний","Маржинальний","Сезонний","Стратегічний"},0),Settings!$G$78,Settings!$G$80,Settings!$G$82,Settings!$G$84,Settings!$G$86),"")</f>
        <v/>
      </c>
      <c r="AB359" s="148">
        <f>IFERROR((Z359*(1-Settings!$G$17)-C359)/(Z359*(1-Settings!$G$17)),"")</f>
        <v/>
      </c>
      <c r="AC359" s="149">
        <f>IFERROR(IF(Z359="","",IF(Z359&gt;=C359/(1-SKU_Base!AE359)/(1-Settings!$G$17),"OK",IF(Z359&gt;=C359/(1-SKU_Base!AL359)/(1-Settings!$G$17),"WARN","STOP"))),"")</f>
        <v/>
      </c>
      <c r="AD359" s="161">
        <f>IFERROR(ROUND(D359*(1-CHOOSE(MATCH(IF($E359="","Основний",$E359),{"Трафіковий","Основний","Маржинальний","Сезонний","Стратегічний"},0),Settings!$H$78,Settings!$H$80,Settings!$H$82,Settings!$H$84,Settings!$H$86))*(1-Settings!$H$68)/6,2)*6,"")</f>
        <v/>
      </c>
      <c r="AE359" s="142">
        <f>IFERROR(CHOOSE(MATCH(IF($E359="","Основний",$E359),{"Трафіковий","Основний","Маржинальний","Сезонний","Стратегічний"},0),Settings!$H$78,Settings!$H$80,Settings!$H$82,Settings!$H$84,Settings!$H$86)+(1-(CHOOSE(MATCH(IF($E359="","Основний",$E359),{"Трафіковий","Основний","Маржинальний","Сезонний","Стратегічний"},0),Settings!$H$78,Settings!$H$80,Settings!$H$82,Settings!$H$84,Settings!$H$86)))*Settings!$H$68,"")</f>
        <v/>
      </c>
      <c r="AF359" s="148">
        <f>IFERROR((AD359*(1-Settings!$H$17)-C359)/(AD359*(1-Settings!$H$17)),"")</f>
        <v/>
      </c>
      <c r="AG359" s="150">
        <f>IFERROR(IF(AD359="","",IF(AD359&gt;=C359/(1-SKU_Base!AF359)/(1-Settings!$H$17),"OK",IF(AD359&gt;=C359/(1-SKU_Base!AM359)/(1-Settings!$H$17),"WARN","STOP"))),"")</f>
        <v/>
      </c>
    </row>
    <row r="360" ht="17" customHeight="1" s="179">
      <c r="A360" s="139">
        <f>SKU_Base!B360</f>
        <v/>
      </c>
      <c r="B360" s="139">
        <f>SKU_Base!C360</f>
        <v/>
      </c>
      <c r="C360" s="140">
        <f>IFERROR(SKU_Base!I360,"")</f>
        <v/>
      </c>
      <c r="D360" s="163">
        <f>IFERROR(SKU_Base!T360,"")</f>
        <v/>
      </c>
      <c r="E360" s="141">
        <f>IFERROR(SKU_Base!$U360,"")</f>
        <v/>
      </c>
      <c r="F360" s="158">
        <f>IFERROR(ROUND(D360*(1-CHOOSE(MATCH(IF($E360="","Основний",$E360),{"Трафіковий","Основний","Маржинальний","Сезонний","Стратегічний"},0),Settings!$B$78,Settings!$B$80,Settings!$B$82,Settings!$B$84,Settings!$B$86))/6,2)*6,"")</f>
        <v/>
      </c>
      <c r="G360" s="142">
        <f>IFERROR(CHOOSE(MATCH(IF($E360="","Основний",$E360),{"Трафіковий","Основний","Маржинальний","Сезонний","Стратегічний"},0),Settings!$B$78,Settings!$B$80,Settings!$B$82,Settings!$B$84,Settings!$B$86),"")</f>
        <v/>
      </c>
      <c r="H360" s="143">
        <f>IFERROR((F360*(1-Settings!$B$17)-C360)/(F360*(1-Settings!$B$17)),"")</f>
        <v/>
      </c>
      <c r="I360" s="149">
        <f>IFERROR(IF(F360="","",IF(F360&gt;=C360/(1-SKU_Base!Z360)/(1-Settings!$B$17),"OK",IF(F360&gt;=C360/(1-SKU_Base!AG360)/(1-Settings!$B$17),"WARN","STOP"))),"")</f>
        <v/>
      </c>
      <c r="J360" s="158">
        <f>IFERROR(ROUND(D360*(1-CHOOSE(MATCH(IF($E360="","Основний",$E360),{"Трафіковий","Основний","Маржинальний","Сезонний","Стратегічний"},0),Settings!$C$78,Settings!$C$80,Settings!$C$82,Settings!$C$84,Settings!$C$86))/6,2)*6,"")</f>
        <v/>
      </c>
      <c r="K360" s="142">
        <f>IFERROR(CHOOSE(MATCH(IF($E360="","Основний",$E360),{"Трафіковий","Основний","Маржинальний","Сезонний","Стратегічний"},0),Settings!$C$78,Settings!$C$80,Settings!$C$82,Settings!$C$84,Settings!$C$86),"")</f>
        <v/>
      </c>
      <c r="L360" s="143">
        <f>IFERROR((J360*(1-Settings!$C$17)-C360)/(J360*(1-Settings!$C$17)),"")</f>
        <v/>
      </c>
      <c r="M360" s="149">
        <f>IFERROR(IF(J360="","",IF(J360&gt;=C360/(1-SKU_Base!AA360)/(1-Settings!$C$17),"OK",IF(J360&gt;=C360/(1-SKU_Base!AH360)/(1-Settings!$C$17),"WARN","STOP"))),"")</f>
        <v/>
      </c>
      <c r="N360" s="159">
        <f>IFERROR(ROUND(D360*(1-CHOOSE(MATCH(IF($E360="","Основний",$E360),{"Трафіковий","Основний","Маржинальний","Сезонний","Стратегічний"},0),Settings!$D$78,Settings!$D$80,Settings!$D$82,Settings!$D$84,Settings!$D$86))/6,2)*6,"")</f>
        <v/>
      </c>
      <c r="O360" s="142">
        <f>IFERROR(CHOOSE(MATCH(IF($E360="","Основний",$E360),{"Трафіковий","Основний","Маржинальний","Сезонний","Стратегічний"},0),Settings!$D$78,Settings!$D$80,Settings!$D$82,Settings!$D$84,Settings!$D$86),"")</f>
        <v/>
      </c>
      <c r="P360" s="143">
        <f>IFERROR((N360*(1-Settings!$D$17)-C360)/(N360*(1-Settings!$D$17)),"")</f>
        <v/>
      </c>
      <c r="Q360" s="149">
        <f>IFERROR(IF(N360="","",IF(N360&gt;=C360/(1-SKU_Base!AB360)/(1-Settings!$D$17),"OK",IF(N360&gt;=C360/(1-SKU_Base!AI360)/(1-Settings!$D$17),"WARN","STOP"))),"")</f>
        <v/>
      </c>
      <c r="R360" s="159">
        <f>IFERROR(ROUND(D360*(1-CHOOSE(MATCH(IF($E360="","Основний",$E360),{"Трафіковий","Основний","Маржинальний","Сезонний","Стратегічний"},0),Settings!$E$78,Settings!$E$80,Settings!$E$82,Settings!$E$84,Settings!$E$86))/6,2)*6,"")</f>
        <v/>
      </c>
      <c r="S360" s="142">
        <f>IFERROR(CHOOSE(MATCH(IF($E360="","Основний",$E360),{"Трафіковий","Основний","Маржинальний","Сезонний","Стратегічний"},0),Settings!$E$78,Settings!$E$80,Settings!$E$82,Settings!$E$84,Settings!$E$86),"")</f>
        <v/>
      </c>
      <c r="T360" s="143">
        <f>IFERROR((R360*(1-Settings!$E$17)-C360)/(R360*(1-Settings!$E$17)),"")</f>
        <v/>
      </c>
      <c r="U360" s="149">
        <f>IFERROR(IF(R360="","",IF(R360&gt;=C360/(1-SKU_Base!AC360)/(1-Settings!$E$17),"OK",IF(R360&gt;=C360/(1-SKU_Base!AJ360)/(1-Settings!$E$17),"WARN","STOP"))),"")</f>
        <v/>
      </c>
      <c r="V360" s="159">
        <f>IFERROR(ROUND(D360*(1-CHOOSE(MATCH(IF($E360="","Основний",$E360),{"Трафіковий","Основний","Маржинальний","Сезонний","Стратегічний"},0),Settings!$F$78,Settings!$F$80,Settings!$F$82,Settings!$F$84,Settings!$F$86))/6,2)*6,"")</f>
        <v/>
      </c>
      <c r="W360" s="142">
        <f>IFERROR(CHOOSE(MATCH(IF($E360="","Основний",$E360),{"Трафіковий","Основний","Маржинальний","Сезонний","Стратегічний"},0),Settings!$F$78,Settings!$F$80,Settings!$F$82,Settings!$F$84,Settings!$F$86),"")</f>
        <v/>
      </c>
      <c r="X360" s="143">
        <f>IFERROR((V360*(1-Settings!$F$17)-C360)/(V360*(1-Settings!$F$17)),"")</f>
        <v/>
      </c>
      <c r="Y360" s="149">
        <f>IFERROR(IF(V360="","",IF(V360&gt;=C360/(1-SKU_Base!AD360)/(1-Settings!$F$17),"OK",IF(V360&gt;=C360/(1-SKU_Base!AK360)/(1-Settings!$F$17),"WARN","STOP"))),"")</f>
        <v/>
      </c>
      <c r="Z360" s="159">
        <f>IFERROR(ROUND(D360*(1-CHOOSE(MATCH(IF($E360="","Основний",$E360),{"Трафіковий","Основний","Маржинальний","Сезонний","Стратегічний"},0),Settings!$G$78,Settings!$G$80,Settings!$G$82,Settings!$G$84,Settings!$G$86))/6,2)*6,"")</f>
        <v/>
      </c>
      <c r="AA360" s="142">
        <f>IFERROR(CHOOSE(MATCH(IF($E360="","Основний",$E360),{"Трафіковий","Основний","Маржинальний","Сезонний","Стратегічний"},0),Settings!$G$78,Settings!$G$80,Settings!$G$82,Settings!$G$84,Settings!$G$86),"")</f>
        <v/>
      </c>
      <c r="AB360" s="143">
        <f>IFERROR((Z360*(1-Settings!$G$17)-C360)/(Z360*(1-Settings!$G$17)),"")</f>
        <v/>
      </c>
      <c r="AC360" s="149">
        <f>IFERROR(IF(Z360="","",IF(Z360&gt;=C360/(1-SKU_Base!AE360)/(1-Settings!$G$17),"OK",IF(Z360&gt;=C360/(1-SKU_Base!AL360)/(1-Settings!$G$17),"WARN","STOP"))),"")</f>
        <v/>
      </c>
      <c r="AD360" s="159">
        <f>IFERROR(ROUND(D360*(1-CHOOSE(MATCH(IF($E360="","Основний",$E360),{"Трафіковий","Основний","Маржинальний","Сезонний","Стратегічний"},0),Settings!$H$78,Settings!$H$80,Settings!$H$82,Settings!$H$84,Settings!$H$86))*(1-Settings!$H$68)/6,2)*6,"")</f>
        <v/>
      </c>
      <c r="AE360" s="142">
        <f>IFERROR(CHOOSE(MATCH(IF($E360="","Основний",$E360),{"Трафіковий","Основний","Маржинальний","Сезонний","Стратегічний"},0),Settings!$H$78,Settings!$H$80,Settings!$H$82,Settings!$H$84,Settings!$H$86)+(1-(CHOOSE(MATCH(IF($E360="","Основний",$E360),{"Трафіковий","Основний","Маржинальний","Сезонний","Стратегічний"},0),Settings!$H$78,Settings!$H$80,Settings!$H$82,Settings!$H$84,Settings!$H$86)))*Settings!$H$68,"")</f>
        <v/>
      </c>
      <c r="AF360" s="143">
        <f>IFERROR((AD360*(1-Settings!$H$17)-C360)/(AD360*(1-Settings!$H$17)),"")</f>
        <v/>
      </c>
      <c r="AG360" s="150">
        <f>IFERROR(IF(AD360="","",IF(AD360&gt;=C360/(1-SKU_Base!AF360)/(1-Settings!$H$17),"OK",IF(AD360&gt;=C360/(1-SKU_Base!AM360)/(1-Settings!$H$17),"WARN","STOP"))),"")</f>
        <v/>
      </c>
    </row>
    <row r="361" ht="17" customHeight="1" s="179">
      <c r="A361" s="146">
        <f>SKU_Base!B361</f>
        <v/>
      </c>
      <c r="B361" s="146">
        <f>SKU_Base!C361</f>
        <v/>
      </c>
      <c r="C361" s="147">
        <f>IFERROR(SKU_Base!I361,"")</f>
        <v/>
      </c>
      <c r="D361" s="164">
        <f>IFERROR(SKU_Base!T361,"")</f>
        <v/>
      </c>
      <c r="E361" s="141">
        <f>IFERROR(SKU_Base!$U361,"")</f>
        <v/>
      </c>
      <c r="F361" s="160">
        <f>IFERROR(ROUND(D361*(1-CHOOSE(MATCH(IF($E361="","Основний",$E361),{"Трафіковий","Основний","Маржинальний","Сезонний","Стратегічний"},0),Settings!$B$78,Settings!$B$80,Settings!$B$82,Settings!$B$84,Settings!$B$86))/6,2)*6,"")</f>
        <v/>
      </c>
      <c r="G361" s="142">
        <f>IFERROR(CHOOSE(MATCH(IF($E361="","Основний",$E361),{"Трафіковий","Основний","Маржинальний","Сезонний","Стратегічний"},0),Settings!$B$78,Settings!$B$80,Settings!$B$82,Settings!$B$84,Settings!$B$86),"")</f>
        <v/>
      </c>
      <c r="H361" s="148">
        <f>IFERROR((F361*(1-Settings!$B$17)-C361)/(F361*(1-Settings!$B$17)),"")</f>
        <v/>
      </c>
      <c r="I361" s="149">
        <f>IFERROR(IF(F361="","",IF(F361&gt;=C361/(1-SKU_Base!Z361)/(1-Settings!$B$17),"OK",IF(F361&gt;=C361/(1-SKU_Base!AG361)/(1-Settings!$B$17),"WARN","STOP"))),"")</f>
        <v/>
      </c>
      <c r="J361" s="160">
        <f>IFERROR(ROUND(D361*(1-CHOOSE(MATCH(IF($E361="","Основний",$E361),{"Трафіковий","Основний","Маржинальний","Сезонний","Стратегічний"},0),Settings!$C$78,Settings!$C$80,Settings!$C$82,Settings!$C$84,Settings!$C$86))/6,2)*6,"")</f>
        <v/>
      </c>
      <c r="K361" s="142">
        <f>IFERROR(CHOOSE(MATCH(IF($E361="","Основний",$E361),{"Трафіковий","Основний","Маржинальний","Сезонний","Стратегічний"},0),Settings!$C$78,Settings!$C$80,Settings!$C$82,Settings!$C$84,Settings!$C$86),"")</f>
        <v/>
      </c>
      <c r="L361" s="148">
        <f>IFERROR((J361*(1-Settings!$C$17)-C361)/(J361*(1-Settings!$C$17)),"")</f>
        <v/>
      </c>
      <c r="M361" s="149">
        <f>IFERROR(IF(J361="","",IF(J361&gt;=C361/(1-SKU_Base!AA361)/(1-Settings!$C$17),"OK",IF(J361&gt;=C361/(1-SKU_Base!AH361)/(1-Settings!$C$17),"WARN","STOP"))),"")</f>
        <v/>
      </c>
      <c r="N361" s="161">
        <f>IFERROR(ROUND(D361*(1-CHOOSE(MATCH(IF($E361="","Основний",$E361),{"Трафіковий","Основний","Маржинальний","Сезонний","Стратегічний"},0),Settings!$D$78,Settings!$D$80,Settings!$D$82,Settings!$D$84,Settings!$D$86))/6,2)*6,"")</f>
        <v/>
      </c>
      <c r="O361" s="142">
        <f>IFERROR(CHOOSE(MATCH(IF($E361="","Основний",$E361),{"Трафіковий","Основний","Маржинальний","Сезонний","Стратегічний"},0),Settings!$D$78,Settings!$D$80,Settings!$D$82,Settings!$D$84,Settings!$D$86),"")</f>
        <v/>
      </c>
      <c r="P361" s="148">
        <f>IFERROR((N361*(1-Settings!$D$17)-C361)/(N361*(1-Settings!$D$17)),"")</f>
        <v/>
      </c>
      <c r="Q361" s="149">
        <f>IFERROR(IF(N361="","",IF(N361&gt;=C361/(1-SKU_Base!AB361)/(1-Settings!$D$17),"OK",IF(N361&gt;=C361/(1-SKU_Base!AI361)/(1-Settings!$D$17),"WARN","STOP"))),"")</f>
        <v/>
      </c>
      <c r="R361" s="161">
        <f>IFERROR(ROUND(D361*(1-CHOOSE(MATCH(IF($E361="","Основний",$E361),{"Трафіковий","Основний","Маржинальний","Сезонний","Стратегічний"},0),Settings!$E$78,Settings!$E$80,Settings!$E$82,Settings!$E$84,Settings!$E$86))/6,2)*6,"")</f>
        <v/>
      </c>
      <c r="S361" s="142">
        <f>IFERROR(CHOOSE(MATCH(IF($E361="","Основний",$E361),{"Трафіковий","Основний","Маржинальний","Сезонний","Стратегічний"},0),Settings!$E$78,Settings!$E$80,Settings!$E$82,Settings!$E$84,Settings!$E$86),"")</f>
        <v/>
      </c>
      <c r="T361" s="148">
        <f>IFERROR((R361*(1-Settings!$E$17)-C361)/(R361*(1-Settings!$E$17)),"")</f>
        <v/>
      </c>
      <c r="U361" s="149">
        <f>IFERROR(IF(R361="","",IF(R361&gt;=C361/(1-SKU_Base!AC361)/(1-Settings!$E$17),"OK",IF(R361&gt;=C361/(1-SKU_Base!AJ361)/(1-Settings!$E$17),"WARN","STOP"))),"")</f>
        <v/>
      </c>
      <c r="V361" s="161">
        <f>IFERROR(ROUND(D361*(1-CHOOSE(MATCH(IF($E361="","Основний",$E361),{"Трафіковий","Основний","Маржинальний","Сезонний","Стратегічний"},0),Settings!$F$78,Settings!$F$80,Settings!$F$82,Settings!$F$84,Settings!$F$86))/6,2)*6,"")</f>
        <v/>
      </c>
      <c r="W361" s="142">
        <f>IFERROR(CHOOSE(MATCH(IF($E361="","Основний",$E361),{"Трафіковий","Основний","Маржинальний","Сезонний","Стратегічний"},0),Settings!$F$78,Settings!$F$80,Settings!$F$82,Settings!$F$84,Settings!$F$86),"")</f>
        <v/>
      </c>
      <c r="X361" s="148">
        <f>IFERROR((V361*(1-Settings!$F$17)-C361)/(V361*(1-Settings!$F$17)),"")</f>
        <v/>
      </c>
      <c r="Y361" s="149">
        <f>IFERROR(IF(V361="","",IF(V361&gt;=C361/(1-SKU_Base!AD361)/(1-Settings!$F$17),"OK",IF(V361&gt;=C361/(1-SKU_Base!AK361)/(1-Settings!$F$17),"WARN","STOP"))),"")</f>
        <v/>
      </c>
      <c r="Z361" s="161">
        <f>IFERROR(ROUND(D361*(1-CHOOSE(MATCH(IF($E361="","Основний",$E361),{"Трафіковий","Основний","Маржинальний","Сезонний","Стратегічний"},0),Settings!$G$78,Settings!$G$80,Settings!$G$82,Settings!$G$84,Settings!$G$86))/6,2)*6,"")</f>
        <v/>
      </c>
      <c r="AA361" s="142">
        <f>IFERROR(CHOOSE(MATCH(IF($E361="","Основний",$E361),{"Трафіковий","Основний","Маржинальний","Сезонний","Стратегічний"},0),Settings!$G$78,Settings!$G$80,Settings!$G$82,Settings!$G$84,Settings!$G$86),"")</f>
        <v/>
      </c>
      <c r="AB361" s="148">
        <f>IFERROR((Z361*(1-Settings!$G$17)-C361)/(Z361*(1-Settings!$G$17)),"")</f>
        <v/>
      </c>
      <c r="AC361" s="149">
        <f>IFERROR(IF(Z361="","",IF(Z361&gt;=C361/(1-SKU_Base!AE361)/(1-Settings!$G$17),"OK",IF(Z361&gt;=C361/(1-SKU_Base!AL361)/(1-Settings!$G$17),"WARN","STOP"))),"")</f>
        <v/>
      </c>
      <c r="AD361" s="161">
        <f>IFERROR(ROUND(D361*(1-CHOOSE(MATCH(IF($E361="","Основний",$E361),{"Трафіковий","Основний","Маржинальний","Сезонний","Стратегічний"},0),Settings!$H$78,Settings!$H$80,Settings!$H$82,Settings!$H$84,Settings!$H$86))*(1-Settings!$H$68)/6,2)*6,"")</f>
        <v/>
      </c>
      <c r="AE361" s="142">
        <f>IFERROR(CHOOSE(MATCH(IF($E361="","Основний",$E361),{"Трафіковий","Основний","Маржинальний","Сезонний","Стратегічний"},0),Settings!$H$78,Settings!$H$80,Settings!$H$82,Settings!$H$84,Settings!$H$86)+(1-(CHOOSE(MATCH(IF($E361="","Основний",$E361),{"Трафіковий","Основний","Маржинальний","Сезонний","Стратегічний"},0),Settings!$H$78,Settings!$H$80,Settings!$H$82,Settings!$H$84,Settings!$H$86)))*Settings!$H$68,"")</f>
        <v/>
      </c>
      <c r="AF361" s="148">
        <f>IFERROR((AD361*(1-Settings!$H$17)-C361)/(AD361*(1-Settings!$H$17)),"")</f>
        <v/>
      </c>
      <c r="AG361" s="150">
        <f>IFERROR(IF(AD361="","",IF(AD361&gt;=C361/(1-SKU_Base!AF361)/(1-Settings!$H$17),"OK",IF(AD361&gt;=C361/(1-SKU_Base!AM361)/(1-Settings!$H$17),"WARN","STOP"))),"")</f>
        <v/>
      </c>
    </row>
    <row r="362" ht="17" customHeight="1" s="179">
      <c r="A362" s="139">
        <f>SKU_Base!B362</f>
        <v/>
      </c>
      <c r="B362" s="139">
        <f>SKU_Base!C362</f>
        <v/>
      </c>
      <c r="C362" s="140">
        <f>IFERROR(SKU_Base!I362,"")</f>
        <v/>
      </c>
      <c r="D362" s="163">
        <f>IFERROR(SKU_Base!T362,"")</f>
        <v/>
      </c>
      <c r="E362" s="141">
        <f>IFERROR(SKU_Base!$U362,"")</f>
        <v/>
      </c>
      <c r="F362" s="158">
        <f>IFERROR(ROUND(D362*(1-CHOOSE(MATCH(IF($E362="","Основний",$E362),{"Трафіковий","Основний","Маржинальний","Сезонний","Стратегічний"},0),Settings!$B$78,Settings!$B$80,Settings!$B$82,Settings!$B$84,Settings!$B$86))/6,2)*6,"")</f>
        <v/>
      </c>
      <c r="G362" s="142">
        <f>IFERROR(CHOOSE(MATCH(IF($E362="","Основний",$E362),{"Трафіковий","Основний","Маржинальний","Сезонний","Стратегічний"},0),Settings!$B$78,Settings!$B$80,Settings!$B$82,Settings!$B$84,Settings!$B$86),"")</f>
        <v/>
      </c>
      <c r="H362" s="143">
        <f>IFERROR((F362*(1-Settings!$B$17)-C362)/(F362*(1-Settings!$B$17)),"")</f>
        <v/>
      </c>
      <c r="I362" s="149">
        <f>IFERROR(IF(F362="","",IF(F362&gt;=C362/(1-SKU_Base!Z362)/(1-Settings!$B$17),"OK",IF(F362&gt;=C362/(1-SKU_Base!AG362)/(1-Settings!$B$17),"WARN","STOP"))),"")</f>
        <v/>
      </c>
      <c r="J362" s="158">
        <f>IFERROR(ROUND(D362*(1-CHOOSE(MATCH(IF($E362="","Основний",$E362),{"Трафіковий","Основний","Маржинальний","Сезонний","Стратегічний"},0),Settings!$C$78,Settings!$C$80,Settings!$C$82,Settings!$C$84,Settings!$C$86))/6,2)*6,"")</f>
        <v/>
      </c>
      <c r="K362" s="142">
        <f>IFERROR(CHOOSE(MATCH(IF($E362="","Основний",$E362),{"Трафіковий","Основний","Маржинальний","Сезонний","Стратегічний"},0),Settings!$C$78,Settings!$C$80,Settings!$C$82,Settings!$C$84,Settings!$C$86),"")</f>
        <v/>
      </c>
      <c r="L362" s="143">
        <f>IFERROR((J362*(1-Settings!$C$17)-C362)/(J362*(1-Settings!$C$17)),"")</f>
        <v/>
      </c>
      <c r="M362" s="149">
        <f>IFERROR(IF(J362="","",IF(J362&gt;=C362/(1-SKU_Base!AA362)/(1-Settings!$C$17),"OK",IF(J362&gt;=C362/(1-SKU_Base!AH362)/(1-Settings!$C$17),"WARN","STOP"))),"")</f>
        <v/>
      </c>
      <c r="N362" s="159">
        <f>IFERROR(ROUND(D362*(1-CHOOSE(MATCH(IF($E362="","Основний",$E362),{"Трафіковий","Основний","Маржинальний","Сезонний","Стратегічний"},0),Settings!$D$78,Settings!$D$80,Settings!$D$82,Settings!$D$84,Settings!$D$86))/6,2)*6,"")</f>
        <v/>
      </c>
      <c r="O362" s="142">
        <f>IFERROR(CHOOSE(MATCH(IF($E362="","Основний",$E362),{"Трафіковий","Основний","Маржинальний","Сезонний","Стратегічний"},0),Settings!$D$78,Settings!$D$80,Settings!$D$82,Settings!$D$84,Settings!$D$86),"")</f>
        <v/>
      </c>
      <c r="P362" s="143">
        <f>IFERROR((N362*(1-Settings!$D$17)-C362)/(N362*(1-Settings!$D$17)),"")</f>
        <v/>
      </c>
      <c r="Q362" s="149">
        <f>IFERROR(IF(N362="","",IF(N362&gt;=C362/(1-SKU_Base!AB362)/(1-Settings!$D$17),"OK",IF(N362&gt;=C362/(1-SKU_Base!AI362)/(1-Settings!$D$17),"WARN","STOP"))),"")</f>
        <v/>
      </c>
      <c r="R362" s="159">
        <f>IFERROR(ROUND(D362*(1-CHOOSE(MATCH(IF($E362="","Основний",$E362),{"Трафіковий","Основний","Маржинальний","Сезонний","Стратегічний"},0),Settings!$E$78,Settings!$E$80,Settings!$E$82,Settings!$E$84,Settings!$E$86))/6,2)*6,"")</f>
        <v/>
      </c>
      <c r="S362" s="142">
        <f>IFERROR(CHOOSE(MATCH(IF($E362="","Основний",$E362),{"Трафіковий","Основний","Маржинальний","Сезонний","Стратегічний"},0),Settings!$E$78,Settings!$E$80,Settings!$E$82,Settings!$E$84,Settings!$E$86),"")</f>
        <v/>
      </c>
      <c r="T362" s="143">
        <f>IFERROR((R362*(1-Settings!$E$17)-C362)/(R362*(1-Settings!$E$17)),"")</f>
        <v/>
      </c>
      <c r="U362" s="149">
        <f>IFERROR(IF(R362="","",IF(R362&gt;=C362/(1-SKU_Base!AC362)/(1-Settings!$E$17),"OK",IF(R362&gt;=C362/(1-SKU_Base!AJ362)/(1-Settings!$E$17),"WARN","STOP"))),"")</f>
        <v/>
      </c>
      <c r="V362" s="159">
        <f>IFERROR(ROUND(D362*(1-CHOOSE(MATCH(IF($E362="","Основний",$E362),{"Трафіковий","Основний","Маржинальний","Сезонний","Стратегічний"},0),Settings!$F$78,Settings!$F$80,Settings!$F$82,Settings!$F$84,Settings!$F$86))/6,2)*6,"")</f>
        <v/>
      </c>
      <c r="W362" s="142">
        <f>IFERROR(CHOOSE(MATCH(IF($E362="","Основний",$E362),{"Трафіковий","Основний","Маржинальний","Сезонний","Стратегічний"},0),Settings!$F$78,Settings!$F$80,Settings!$F$82,Settings!$F$84,Settings!$F$86),"")</f>
        <v/>
      </c>
      <c r="X362" s="143">
        <f>IFERROR((V362*(1-Settings!$F$17)-C362)/(V362*(1-Settings!$F$17)),"")</f>
        <v/>
      </c>
      <c r="Y362" s="149">
        <f>IFERROR(IF(V362="","",IF(V362&gt;=C362/(1-SKU_Base!AD362)/(1-Settings!$F$17),"OK",IF(V362&gt;=C362/(1-SKU_Base!AK362)/(1-Settings!$F$17),"WARN","STOP"))),"")</f>
        <v/>
      </c>
      <c r="Z362" s="159">
        <f>IFERROR(ROUND(D362*(1-CHOOSE(MATCH(IF($E362="","Основний",$E362),{"Трафіковий","Основний","Маржинальний","Сезонний","Стратегічний"},0),Settings!$G$78,Settings!$G$80,Settings!$G$82,Settings!$G$84,Settings!$G$86))/6,2)*6,"")</f>
        <v/>
      </c>
      <c r="AA362" s="142">
        <f>IFERROR(CHOOSE(MATCH(IF($E362="","Основний",$E362),{"Трафіковий","Основний","Маржинальний","Сезонний","Стратегічний"},0),Settings!$G$78,Settings!$G$80,Settings!$G$82,Settings!$G$84,Settings!$G$86),"")</f>
        <v/>
      </c>
      <c r="AB362" s="143">
        <f>IFERROR((Z362*(1-Settings!$G$17)-C362)/(Z362*(1-Settings!$G$17)),"")</f>
        <v/>
      </c>
      <c r="AC362" s="149">
        <f>IFERROR(IF(Z362="","",IF(Z362&gt;=C362/(1-SKU_Base!AE362)/(1-Settings!$G$17),"OK",IF(Z362&gt;=C362/(1-SKU_Base!AL362)/(1-Settings!$G$17),"WARN","STOP"))),"")</f>
        <v/>
      </c>
      <c r="AD362" s="159">
        <f>IFERROR(ROUND(D362*(1-CHOOSE(MATCH(IF($E362="","Основний",$E362),{"Трафіковий","Основний","Маржинальний","Сезонний","Стратегічний"},0),Settings!$H$78,Settings!$H$80,Settings!$H$82,Settings!$H$84,Settings!$H$86))*(1-Settings!$H$68)/6,2)*6,"")</f>
        <v/>
      </c>
      <c r="AE362" s="142">
        <f>IFERROR(CHOOSE(MATCH(IF($E362="","Основний",$E362),{"Трафіковий","Основний","Маржинальний","Сезонний","Стратегічний"},0),Settings!$H$78,Settings!$H$80,Settings!$H$82,Settings!$H$84,Settings!$H$86)+(1-(CHOOSE(MATCH(IF($E362="","Основний",$E362),{"Трафіковий","Основний","Маржинальний","Сезонний","Стратегічний"},0),Settings!$H$78,Settings!$H$80,Settings!$H$82,Settings!$H$84,Settings!$H$86)))*Settings!$H$68,"")</f>
        <v/>
      </c>
      <c r="AF362" s="143">
        <f>IFERROR((AD362*(1-Settings!$H$17)-C362)/(AD362*(1-Settings!$H$17)),"")</f>
        <v/>
      </c>
      <c r="AG362" s="150">
        <f>IFERROR(IF(AD362="","",IF(AD362&gt;=C362/(1-SKU_Base!AF362)/(1-Settings!$H$17),"OK",IF(AD362&gt;=C362/(1-SKU_Base!AM362)/(1-Settings!$H$17),"WARN","STOP"))),"")</f>
        <v/>
      </c>
    </row>
    <row r="363" ht="17" customHeight="1" s="179">
      <c r="A363" s="146">
        <f>SKU_Base!B363</f>
        <v/>
      </c>
      <c r="B363" s="146">
        <f>SKU_Base!C363</f>
        <v/>
      </c>
      <c r="C363" s="147">
        <f>IFERROR(SKU_Base!I363,"")</f>
        <v/>
      </c>
      <c r="D363" s="164">
        <f>IFERROR(SKU_Base!T363,"")</f>
        <v/>
      </c>
      <c r="E363" s="141">
        <f>IFERROR(SKU_Base!$U363,"")</f>
        <v/>
      </c>
      <c r="F363" s="160">
        <f>IFERROR(ROUND(D363*(1-CHOOSE(MATCH(IF($E363="","Основний",$E363),{"Трафіковий","Основний","Маржинальний","Сезонний","Стратегічний"},0),Settings!$B$78,Settings!$B$80,Settings!$B$82,Settings!$B$84,Settings!$B$86))/6,2)*6,"")</f>
        <v/>
      </c>
      <c r="G363" s="142">
        <f>IFERROR(CHOOSE(MATCH(IF($E363="","Основний",$E363),{"Трафіковий","Основний","Маржинальний","Сезонний","Стратегічний"},0),Settings!$B$78,Settings!$B$80,Settings!$B$82,Settings!$B$84,Settings!$B$86),"")</f>
        <v/>
      </c>
      <c r="H363" s="148">
        <f>IFERROR((F363*(1-Settings!$B$17)-C363)/(F363*(1-Settings!$B$17)),"")</f>
        <v/>
      </c>
      <c r="I363" s="150">
        <f>IFERROR(IF(F363="","",IF(F363&gt;=C363/(1-SKU_Base!Z363)/(1-Settings!$B$17),"OK",IF(F363&gt;=C363/(1-SKU_Base!AG363)/(1-Settings!$B$17),"WARN","STOP"))),"")</f>
        <v/>
      </c>
      <c r="J363" s="160">
        <f>IFERROR(ROUND(D363*(1-CHOOSE(MATCH(IF($E363="","Основний",$E363),{"Трафіковий","Основний","Маржинальний","Сезонний","Стратегічний"},0),Settings!$C$78,Settings!$C$80,Settings!$C$82,Settings!$C$84,Settings!$C$86))/6,2)*6,"")</f>
        <v/>
      </c>
      <c r="K363" s="142">
        <f>IFERROR(CHOOSE(MATCH(IF($E363="","Основний",$E363),{"Трафіковий","Основний","Маржинальний","Сезонний","Стратегічний"},0),Settings!$C$78,Settings!$C$80,Settings!$C$82,Settings!$C$84,Settings!$C$86),"")</f>
        <v/>
      </c>
      <c r="L363" s="148">
        <f>IFERROR((J363*(1-Settings!$C$17)-C363)/(J363*(1-Settings!$C$17)),"")</f>
        <v/>
      </c>
      <c r="M363" s="149">
        <f>IFERROR(IF(J363="","",IF(J363&gt;=C363/(1-SKU_Base!AA363)/(1-Settings!$C$17),"OK",IF(J363&gt;=C363/(1-SKU_Base!AH363)/(1-Settings!$C$17),"WARN","STOP"))),"")</f>
        <v/>
      </c>
      <c r="N363" s="161">
        <f>IFERROR(ROUND(D363*(1-CHOOSE(MATCH(IF($E363="","Основний",$E363),{"Трафіковий","Основний","Маржинальний","Сезонний","Стратегічний"},0),Settings!$D$78,Settings!$D$80,Settings!$D$82,Settings!$D$84,Settings!$D$86))/6,2)*6,"")</f>
        <v/>
      </c>
      <c r="O363" s="142">
        <f>IFERROR(CHOOSE(MATCH(IF($E363="","Основний",$E363),{"Трафіковий","Основний","Маржинальний","Сезонний","Стратегічний"},0),Settings!$D$78,Settings!$D$80,Settings!$D$82,Settings!$D$84,Settings!$D$86),"")</f>
        <v/>
      </c>
      <c r="P363" s="148">
        <f>IFERROR((N363*(1-Settings!$D$17)-C363)/(N363*(1-Settings!$D$17)),"")</f>
        <v/>
      </c>
      <c r="Q363" s="149">
        <f>IFERROR(IF(N363="","",IF(N363&gt;=C363/(1-SKU_Base!AB363)/(1-Settings!$D$17),"OK",IF(N363&gt;=C363/(1-SKU_Base!AI363)/(1-Settings!$D$17),"WARN","STOP"))),"")</f>
        <v/>
      </c>
      <c r="R363" s="161">
        <f>IFERROR(ROUND(D363*(1-CHOOSE(MATCH(IF($E363="","Основний",$E363),{"Трафіковий","Основний","Маржинальний","Сезонний","Стратегічний"},0),Settings!$E$78,Settings!$E$80,Settings!$E$82,Settings!$E$84,Settings!$E$86))/6,2)*6,"")</f>
        <v/>
      </c>
      <c r="S363" s="142">
        <f>IFERROR(CHOOSE(MATCH(IF($E363="","Основний",$E363),{"Трафіковий","Основний","Маржинальний","Сезонний","Стратегічний"},0),Settings!$E$78,Settings!$E$80,Settings!$E$82,Settings!$E$84,Settings!$E$86),"")</f>
        <v/>
      </c>
      <c r="T363" s="148">
        <f>IFERROR((R363*(1-Settings!$E$17)-C363)/(R363*(1-Settings!$E$17)),"")</f>
        <v/>
      </c>
      <c r="U363" s="149">
        <f>IFERROR(IF(R363="","",IF(R363&gt;=C363/(1-SKU_Base!AC363)/(1-Settings!$E$17),"OK",IF(R363&gt;=C363/(1-SKU_Base!AJ363)/(1-Settings!$E$17),"WARN","STOP"))),"")</f>
        <v/>
      </c>
      <c r="V363" s="161">
        <f>IFERROR(ROUND(D363*(1-CHOOSE(MATCH(IF($E363="","Основний",$E363),{"Трафіковий","Основний","Маржинальний","Сезонний","Стратегічний"},0),Settings!$F$78,Settings!$F$80,Settings!$F$82,Settings!$F$84,Settings!$F$86))/6,2)*6,"")</f>
        <v/>
      </c>
      <c r="W363" s="142">
        <f>IFERROR(CHOOSE(MATCH(IF($E363="","Основний",$E363),{"Трафіковий","Основний","Маржинальний","Сезонний","Стратегічний"},0),Settings!$F$78,Settings!$F$80,Settings!$F$82,Settings!$F$84,Settings!$F$86),"")</f>
        <v/>
      </c>
      <c r="X363" s="148">
        <f>IFERROR((V363*(1-Settings!$F$17)-C363)/(V363*(1-Settings!$F$17)),"")</f>
        <v/>
      </c>
      <c r="Y363" s="149">
        <f>IFERROR(IF(V363="","",IF(V363&gt;=C363/(1-SKU_Base!AD363)/(1-Settings!$F$17),"OK",IF(V363&gt;=C363/(1-SKU_Base!AK363)/(1-Settings!$F$17),"WARN","STOP"))),"")</f>
        <v/>
      </c>
      <c r="Z363" s="161">
        <f>IFERROR(ROUND(D363*(1-CHOOSE(MATCH(IF($E363="","Основний",$E363),{"Трафіковий","Основний","Маржинальний","Сезонний","Стратегічний"},0),Settings!$G$78,Settings!$G$80,Settings!$G$82,Settings!$G$84,Settings!$G$86))/6,2)*6,"")</f>
        <v/>
      </c>
      <c r="AA363" s="142">
        <f>IFERROR(CHOOSE(MATCH(IF($E363="","Основний",$E363),{"Трафіковий","Основний","Маржинальний","Сезонний","Стратегічний"},0),Settings!$G$78,Settings!$G$80,Settings!$G$82,Settings!$G$84,Settings!$G$86),"")</f>
        <v/>
      </c>
      <c r="AB363" s="148">
        <f>IFERROR((Z363*(1-Settings!$G$17)-C363)/(Z363*(1-Settings!$G$17)),"")</f>
        <v/>
      </c>
      <c r="AC363" s="149">
        <f>IFERROR(IF(Z363="","",IF(Z363&gt;=C363/(1-SKU_Base!AE363)/(1-Settings!$G$17),"OK",IF(Z363&gt;=C363/(1-SKU_Base!AL363)/(1-Settings!$G$17),"WARN","STOP"))),"")</f>
        <v/>
      </c>
      <c r="AD363" s="161">
        <f>IFERROR(ROUND(D363*(1-CHOOSE(MATCH(IF($E363="","Основний",$E363),{"Трафіковий","Основний","Маржинальний","Сезонний","Стратегічний"},0),Settings!$H$78,Settings!$H$80,Settings!$H$82,Settings!$H$84,Settings!$H$86))*(1-Settings!$H$68)/6,2)*6,"")</f>
        <v/>
      </c>
      <c r="AE363" s="142">
        <f>IFERROR(CHOOSE(MATCH(IF($E363="","Основний",$E363),{"Трафіковий","Основний","Маржинальний","Сезонний","Стратегічний"},0),Settings!$H$78,Settings!$H$80,Settings!$H$82,Settings!$H$84,Settings!$H$86)+(1-(CHOOSE(MATCH(IF($E363="","Основний",$E363),{"Трафіковий","Основний","Маржинальний","Сезонний","Стратегічний"},0),Settings!$H$78,Settings!$H$80,Settings!$H$82,Settings!$H$84,Settings!$H$86)))*Settings!$H$68,"")</f>
        <v/>
      </c>
      <c r="AF363" s="148">
        <f>IFERROR((AD363*(1-Settings!$H$17)-C363)/(AD363*(1-Settings!$H$17)),"")</f>
        <v/>
      </c>
      <c r="AG363" s="150">
        <f>IFERROR(IF(AD363="","",IF(AD363&gt;=C363/(1-SKU_Base!AF363)/(1-Settings!$H$17),"OK",IF(AD363&gt;=C363/(1-SKU_Base!AM363)/(1-Settings!$H$17),"WARN","STOP"))),"")</f>
        <v/>
      </c>
    </row>
    <row r="364" ht="17" customHeight="1" s="179">
      <c r="A364" s="139">
        <f>SKU_Base!B364</f>
        <v/>
      </c>
      <c r="B364" s="139">
        <f>SKU_Base!C364</f>
        <v/>
      </c>
      <c r="C364" s="140">
        <f>IFERROR(SKU_Base!I364,"")</f>
        <v/>
      </c>
      <c r="D364" s="163">
        <f>IFERROR(SKU_Base!T364,"")</f>
        <v/>
      </c>
      <c r="E364" s="141">
        <f>IFERROR(SKU_Base!$U364,"")</f>
        <v/>
      </c>
      <c r="F364" s="158">
        <f>IFERROR(ROUND(D364*(1-CHOOSE(MATCH(IF($E364="","Основний",$E364),{"Трафіковий","Основний","Маржинальний","Сезонний","Стратегічний"},0),Settings!$B$78,Settings!$B$80,Settings!$B$82,Settings!$B$84,Settings!$B$86))/6,2)*6,"")</f>
        <v/>
      </c>
      <c r="G364" s="142">
        <f>IFERROR(CHOOSE(MATCH(IF($E364="","Основний",$E364),{"Трафіковий","Основний","Маржинальний","Сезонний","Стратегічний"},0),Settings!$B$78,Settings!$B$80,Settings!$B$82,Settings!$B$84,Settings!$B$86),"")</f>
        <v/>
      </c>
      <c r="H364" s="143">
        <f>IFERROR((F364*(1-Settings!$B$17)-C364)/(F364*(1-Settings!$B$17)),"")</f>
        <v/>
      </c>
      <c r="I364" s="150">
        <f>IFERROR(IF(F364="","",IF(F364&gt;=C364/(1-SKU_Base!Z364)/(1-Settings!$B$17),"OK",IF(F364&gt;=C364/(1-SKU_Base!AG364)/(1-Settings!$B$17),"WARN","STOP"))),"")</f>
        <v/>
      </c>
      <c r="J364" s="158">
        <f>IFERROR(ROUND(D364*(1-CHOOSE(MATCH(IF($E364="","Основний",$E364),{"Трафіковий","Основний","Маржинальний","Сезонний","Стратегічний"},0),Settings!$C$78,Settings!$C$80,Settings!$C$82,Settings!$C$84,Settings!$C$86))/6,2)*6,"")</f>
        <v/>
      </c>
      <c r="K364" s="142">
        <f>IFERROR(CHOOSE(MATCH(IF($E364="","Основний",$E364),{"Трафіковий","Основний","Маржинальний","Сезонний","Стратегічний"},0),Settings!$C$78,Settings!$C$80,Settings!$C$82,Settings!$C$84,Settings!$C$86),"")</f>
        <v/>
      </c>
      <c r="L364" s="143">
        <f>IFERROR((J364*(1-Settings!$C$17)-C364)/(J364*(1-Settings!$C$17)),"")</f>
        <v/>
      </c>
      <c r="M364" s="149">
        <f>IFERROR(IF(J364="","",IF(J364&gt;=C364/(1-SKU_Base!AA364)/(1-Settings!$C$17),"OK",IF(J364&gt;=C364/(1-SKU_Base!AH364)/(1-Settings!$C$17),"WARN","STOP"))),"")</f>
        <v/>
      </c>
      <c r="N364" s="159">
        <f>IFERROR(ROUND(D364*(1-CHOOSE(MATCH(IF($E364="","Основний",$E364),{"Трафіковий","Основний","Маржинальний","Сезонний","Стратегічний"},0),Settings!$D$78,Settings!$D$80,Settings!$D$82,Settings!$D$84,Settings!$D$86))/6,2)*6,"")</f>
        <v/>
      </c>
      <c r="O364" s="142">
        <f>IFERROR(CHOOSE(MATCH(IF($E364="","Основний",$E364),{"Трафіковий","Основний","Маржинальний","Сезонний","Стратегічний"},0),Settings!$D$78,Settings!$D$80,Settings!$D$82,Settings!$D$84,Settings!$D$86),"")</f>
        <v/>
      </c>
      <c r="P364" s="143">
        <f>IFERROR((N364*(1-Settings!$D$17)-C364)/(N364*(1-Settings!$D$17)),"")</f>
        <v/>
      </c>
      <c r="Q364" s="149">
        <f>IFERROR(IF(N364="","",IF(N364&gt;=C364/(1-SKU_Base!AB364)/(1-Settings!$D$17),"OK",IF(N364&gt;=C364/(1-SKU_Base!AI364)/(1-Settings!$D$17),"WARN","STOP"))),"")</f>
        <v/>
      </c>
      <c r="R364" s="159">
        <f>IFERROR(ROUND(D364*(1-CHOOSE(MATCH(IF($E364="","Основний",$E364),{"Трафіковий","Основний","Маржинальний","Сезонний","Стратегічний"},0),Settings!$E$78,Settings!$E$80,Settings!$E$82,Settings!$E$84,Settings!$E$86))/6,2)*6,"")</f>
        <v/>
      </c>
      <c r="S364" s="142">
        <f>IFERROR(CHOOSE(MATCH(IF($E364="","Основний",$E364),{"Трафіковий","Основний","Маржинальний","Сезонний","Стратегічний"},0),Settings!$E$78,Settings!$E$80,Settings!$E$82,Settings!$E$84,Settings!$E$86),"")</f>
        <v/>
      </c>
      <c r="T364" s="143">
        <f>IFERROR((R364*(1-Settings!$E$17)-C364)/(R364*(1-Settings!$E$17)),"")</f>
        <v/>
      </c>
      <c r="U364" s="149">
        <f>IFERROR(IF(R364="","",IF(R364&gt;=C364/(1-SKU_Base!AC364)/(1-Settings!$E$17),"OK",IF(R364&gt;=C364/(1-SKU_Base!AJ364)/(1-Settings!$E$17),"WARN","STOP"))),"")</f>
        <v/>
      </c>
      <c r="V364" s="159">
        <f>IFERROR(ROUND(D364*(1-CHOOSE(MATCH(IF($E364="","Основний",$E364),{"Трафіковий","Основний","Маржинальний","Сезонний","Стратегічний"},0),Settings!$F$78,Settings!$F$80,Settings!$F$82,Settings!$F$84,Settings!$F$86))/6,2)*6,"")</f>
        <v/>
      </c>
      <c r="W364" s="142">
        <f>IFERROR(CHOOSE(MATCH(IF($E364="","Основний",$E364),{"Трафіковий","Основний","Маржинальний","Сезонний","Стратегічний"},0),Settings!$F$78,Settings!$F$80,Settings!$F$82,Settings!$F$84,Settings!$F$86),"")</f>
        <v/>
      </c>
      <c r="X364" s="143">
        <f>IFERROR((V364*(1-Settings!$F$17)-C364)/(V364*(1-Settings!$F$17)),"")</f>
        <v/>
      </c>
      <c r="Y364" s="149">
        <f>IFERROR(IF(V364="","",IF(V364&gt;=C364/(1-SKU_Base!AD364)/(1-Settings!$F$17),"OK",IF(V364&gt;=C364/(1-SKU_Base!AK364)/(1-Settings!$F$17),"WARN","STOP"))),"")</f>
        <v/>
      </c>
      <c r="Z364" s="159">
        <f>IFERROR(ROUND(D364*(1-CHOOSE(MATCH(IF($E364="","Основний",$E364),{"Трафіковий","Основний","Маржинальний","Сезонний","Стратегічний"},0),Settings!$G$78,Settings!$G$80,Settings!$G$82,Settings!$G$84,Settings!$G$86))/6,2)*6,"")</f>
        <v/>
      </c>
      <c r="AA364" s="142">
        <f>IFERROR(CHOOSE(MATCH(IF($E364="","Основний",$E364),{"Трафіковий","Основний","Маржинальний","Сезонний","Стратегічний"},0),Settings!$G$78,Settings!$G$80,Settings!$G$82,Settings!$G$84,Settings!$G$86),"")</f>
        <v/>
      </c>
      <c r="AB364" s="143">
        <f>IFERROR((Z364*(1-Settings!$G$17)-C364)/(Z364*(1-Settings!$G$17)),"")</f>
        <v/>
      </c>
      <c r="AC364" s="149">
        <f>IFERROR(IF(Z364="","",IF(Z364&gt;=C364/(1-SKU_Base!AE364)/(1-Settings!$G$17),"OK",IF(Z364&gt;=C364/(1-SKU_Base!AL364)/(1-Settings!$G$17),"WARN","STOP"))),"")</f>
        <v/>
      </c>
      <c r="AD364" s="159">
        <f>IFERROR(ROUND(D364*(1-CHOOSE(MATCH(IF($E364="","Основний",$E364),{"Трафіковий","Основний","Маржинальний","Сезонний","Стратегічний"},0),Settings!$H$78,Settings!$H$80,Settings!$H$82,Settings!$H$84,Settings!$H$86))*(1-Settings!$H$68)/6,2)*6,"")</f>
        <v/>
      </c>
      <c r="AE364" s="142">
        <f>IFERROR(CHOOSE(MATCH(IF($E364="","Основний",$E364),{"Трафіковий","Основний","Маржинальний","Сезонний","Стратегічний"},0),Settings!$H$78,Settings!$H$80,Settings!$H$82,Settings!$H$84,Settings!$H$86)+(1-(CHOOSE(MATCH(IF($E364="","Основний",$E364),{"Трафіковий","Основний","Маржинальний","Сезонний","Стратегічний"},0),Settings!$H$78,Settings!$H$80,Settings!$H$82,Settings!$H$84,Settings!$H$86)))*Settings!$H$68,"")</f>
        <v/>
      </c>
      <c r="AF364" s="143">
        <f>IFERROR((AD364*(1-Settings!$H$17)-C364)/(AD364*(1-Settings!$H$17)),"")</f>
        <v/>
      </c>
      <c r="AG364" s="150">
        <f>IFERROR(IF(AD364="","",IF(AD364&gt;=C364/(1-SKU_Base!AF364)/(1-Settings!$H$17),"OK",IF(AD364&gt;=C364/(1-SKU_Base!AM364)/(1-Settings!$H$17),"WARN","STOP"))),"")</f>
        <v/>
      </c>
    </row>
    <row r="365" ht="17" customHeight="1" s="179">
      <c r="A365" s="146">
        <f>SKU_Base!B365</f>
        <v/>
      </c>
      <c r="B365" s="146">
        <f>SKU_Base!C365</f>
        <v/>
      </c>
      <c r="C365" s="147">
        <f>IFERROR(SKU_Base!I365,"")</f>
        <v/>
      </c>
      <c r="D365" s="164">
        <f>IFERROR(SKU_Base!T365,"")</f>
        <v/>
      </c>
      <c r="E365" s="141">
        <f>IFERROR(SKU_Base!$U365,"")</f>
        <v/>
      </c>
      <c r="F365" s="160">
        <f>IFERROR(ROUND(D365*(1-CHOOSE(MATCH(IF($E365="","Основний",$E365),{"Трафіковий","Основний","Маржинальний","Сезонний","Стратегічний"},0),Settings!$B$78,Settings!$B$80,Settings!$B$82,Settings!$B$84,Settings!$B$86))/6,2)*6,"")</f>
        <v/>
      </c>
      <c r="G365" s="142">
        <f>IFERROR(CHOOSE(MATCH(IF($E365="","Основний",$E365),{"Трафіковий","Основний","Маржинальний","Сезонний","Стратегічний"},0),Settings!$B$78,Settings!$B$80,Settings!$B$82,Settings!$B$84,Settings!$B$86),"")</f>
        <v/>
      </c>
      <c r="H365" s="148">
        <f>IFERROR((F365*(1-Settings!$B$17)-C365)/(F365*(1-Settings!$B$17)),"")</f>
        <v/>
      </c>
      <c r="I365" s="149">
        <f>IFERROR(IF(F365="","",IF(F365&gt;=C365/(1-SKU_Base!Z365)/(1-Settings!$B$17),"OK",IF(F365&gt;=C365/(1-SKU_Base!AG365)/(1-Settings!$B$17),"WARN","STOP"))),"")</f>
        <v/>
      </c>
      <c r="J365" s="160">
        <f>IFERROR(ROUND(D365*(1-CHOOSE(MATCH(IF($E365="","Основний",$E365),{"Трафіковий","Основний","Маржинальний","Сезонний","Стратегічний"},0),Settings!$C$78,Settings!$C$80,Settings!$C$82,Settings!$C$84,Settings!$C$86))/6,2)*6,"")</f>
        <v/>
      </c>
      <c r="K365" s="142">
        <f>IFERROR(CHOOSE(MATCH(IF($E365="","Основний",$E365),{"Трафіковий","Основний","Маржинальний","Сезонний","Стратегічний"},0),Settings!$C$78,Settings!$C$80,Settings!$C$82,Settings!$C$84,Settings!$C$86),"")</f>
        <v/>
      </c>
      <c r="L365" s="148">
        <f>IFERROR((J365*(1-Settings!$C$17)-C365)/(J365*(1-Settings!$C$17)),"")</f>
        <v/>
      </c>
      <c r="M365" s="149">
        <f>IFERROR(IF(J365="","",IF(J365&gt;=C365/(1-SKU_Base!AA365)/(1-Settings!$C$17),"OK",IF(J365&gt;=C365/(1-SKU_Base!AH365)/(1-Settings!$C$17),"WARN","STOP"))),"")</f>
        <v/>
      </c>
      <c r="N365" s="161">
        <f>IFERROR(ROUND(D365*(1-CHOOSE(MATCH(IF($E365="","Основний",$E365),{"Трафіковий","Основний","Маржинальний","Сезонний","Стратегічний"},0),Settings!$D$78,Settings!$D$80,Settings!$D$82,Settings!$D$84,Settings!$D$86))/6,2)*6,"")</f>
        <v/>
      </c>
      <c r="O365" s="142">
        <f>IFERROR(CHOOSE(MATCH(IF($E365="","Основний",$E365),{"Трафіковий","Основний","Маржинальний","Сезонний","Стратегічний"},0),Settings!$D$78,Settings!$D$80,Settings!$D$82,Settings!$D$84,Settings!$D$86),"")</f>
        <v/>
      </c>
      <c r="P365" s="148">
        <f>IFERROR((N365*(1-Settings!$D$17)-C365)/(N365*(1-Settings!$D$17)),"")</f>
        <v/>
      </c>
      <c r="Q365" s="149">
        <f>IFERROR(IF(N365="","",IF(N365&gt;=C365/(1-SKU_Base!AB365)/(1-Settings!$D$17),"OK",IF(N365&gt;=C365/(1-SKU_Base!AI365)/(1-Settings!$D$17),"WARN","STOP"))),"")</f>
        <v/>
      </c>
      <c r="R365" s="161">
        <f>IFERROR(ROUND(D365*(1-CHOOSE(MATCH(IF($E365="","Основний",$E365),{"Трафіковий","Основний","Маржинальний","Сезонний","Стратегічний"},0),Settings!$E$78,Settings!$E$80,Settings!$E$82,Settings!$E$84,Settings!$E$86))/6,2)*6,"")</f>
        <v/>
      </c>
      <c r="S365" s="142">
        <f>IFERROR(CHOOSE(MATCH(IF($E365="","Основний",$E365),{"Трафіковий","Основний","Маржинальний","Сезонний","Стратегічний"},0),Settings!$E$78,Settings!$E$80,Settings!$E$82,Settings!$E$84,Settings!$E$86),"")</f>
        <v/>
      </c>
      <c r="T365" s="148">
        <f>IFERROR((R365*(1-Settings!$E$17)-C365)/(R365*(1-Settings!$E$17)),"")</f>
        <v/>
      </c>
      <c r="U365" s="149">
        <f>IFERROR(IF(R365="","",IF(R365&gt;=C365/(1-SKU_Base!AC365)/(1-Settings!$E$17),"OK",IF(R365&gt;=C365/(1-SKU_Base!AJ365)/(1-Settings!$E$17),"WARN","STOP"))),"")</f>
        <v/>
      </c>
      <c r="V365" s="161">
        <f>IFERROR(ROUND(D365*(1-CHOOSE(MATCH(IF($E365="","Основний",$E365),{"Трафіковий","Основний","Маржинальний","Сезонний","Стратегічний"},0),Settings!$F$78,Settings!$F$80,Settings!$F$82,Settings!$F$84,Settings!$F$86))/6,2)*6,"")</f>
        <v/>
      </c>
      <c r="W365" s="142">
        <f>IFERROR(CHOOSE(MATCH(IF($E365="","Основний",$E365),{"Трафіковий","Основний","Маржинальний","Сезонний","Стратегічний"},0),Settings!$F$78,Settings!$F$80,Settings!$F$82,Settings!$F$84,Settings!$F$86),"")</f>
        <v/>
      </c>
      <c r="X365" s="148">
        <f>IFERROR((V365*(1-Settings!$F$17)-C365)/(V365*(1-Settings!$F$17)),"")</f>
        <v/>
      </c>
      <c r="Y365" s="149">
        <f>IFERROR(IF(V365="","",IF(V365&gt;=C365/(1-SKU_Base!AD365)/(1-Settings!$F$17),"OK",IF(V365&gt;=C365/(1-SKU_Base!AK365)/(1-Settings!$F$17),"WARN","STOP"))),"")</f>
        <v/>
      </c>
      <c r="Z365" s="161">
        <f>IFERROR(ROUND(D365*(1-CHOOSE(MATCH(IF($E365="","Основний",$E365),{"Трафіковий","Основний","Маржинальний","Сезонний","Стратегічний"},0),Settings!$G$78,Settings!$G$80,Settings!$G$82,Settings!$G$84,Settings!$G$86))/6,2)*6,"")</f>
        <v/>
      </c>
      <c r="AA365" s="142">
        <f>IFERROR(CHOOSE(MATCH(IF($E365="","Основний",$E365),{"Трафіковий","Основний","Маржинальний","Сезонний","Стратегічний"},0),Settings!$G$78,Settings!$G$80,Settings!$G$82,Settings!$G$84,Settings!$G$86),"")</f>
        <v/>
      </c>
      <c r="AB365" s="148">
        <f>IFERROR((Z365*(1-Settings!$G$17)-C365)/(Z365*(1-Settings!$G$17)),"")</f>
        <v/>
      </c>
      <c r="AC365" s="149">
        <f>IFERROR(IF(Z365="","",IF(Z365&gt;=C365/(1-SKU_Base!AE365)/(1-Settings!$G$17),"OK",IF(Z365&gt;=C365/(1-SKU_Base!AL365)/(1-Settings!$G$17),"WARN","STOP"))),"")</f>
        <v/>
      </c>
      <c r="AD365" s="161">
        <f>IFERROR(ROUND(D365*(1-CHOOSE(MATCH(IF($E365="","Основний",$E365),{"Трафіковий","Основний","Маржинальний","Сезонний","Стратегічний"},0),Settings!$H$78,Settings!$H$80,Settings!$H$82,Settings!$H$84,Settings!$H$86))*(1-Settings!$H$68)/6,2)*6,"")</f>
        <v/>
      </c>
      <c r="AE365" s="142">
        <f>IFERROR(CHOOSE(MATCH(IF($E365="","Основний",$E365),{"Трафіковий","Основний","Маржинальний","Сезонний","Стратегічний"},0),Settings!$H$78,Settings!$H$80,Settings!$H$82,Settings!$H$84,Settings!$H$86)+(1-(CHOOSE(MATCH(IF($E365="","Основний",$E365),{"Трафіковий","Основний","Маржинальний","Сезонний","Стратегічний"},0),Settings!$H$78,Settings!$H$80,Settings!$H$82,Settings!$H$84,Settings!$H$86)))*Settings!$H$68,"")</f>
        <v/>
      </c>
      <c r="AF365" s="148">
        <f>IFERROR((AD365*(1-Settings!$H$17)-C365)/(AD365*(1-Settings!$H$17)),"")</f>
        <v/>
      </c>
      <c r="AG365" s="150">
        <f>IFERROR(IF(AD365="","",IF(AD365&gt;=C365/(1-SKU_Base!AF365)/(1-Settings!$H$17),"OK",IF(AD365&gt;=C365/(1-SKU_Base!AM365)/(1-Settings!$H$17),"WARN","STOP"))),"")</f>
        <v/>
      </c>
    </row>
    <row r="366" ht="17" customHeight="1" s="179">
      <c r="A366" s="139">
        <f>SKU_Base!B366</f>
        <v/>
      </c>
      <c r="B366" s="139">
        <f>SKU_Base!C366</f>
        <v/>
      </c>
      <c r="C366" s="140">
        <f>IFERROR(SKU_Base!I366,"")</f>
        <v/>
      </c>
      <c r="D366" s="163">
        <f>IFERROR(SKU_Base!T366,"")</f>
        <v/>
      </c>
      <c r="E366" s="141">
        <f>IFERROR(SKU_Base!$U366,"")</f>
        <v/>
      </c>
      <c r="F366" s="158">
        <f>IFERROR(ROUND(D366*(1-CHOOSE(MATCH(IF($E366="","Основний",$E366),{"Трафіковий","Основний","Маржинальний","Сезонний","Стратегічний"},0),Settings!$B$78,Settings!$B$80,Settings!$B$82,Settings!$B$84,Settings!$B$86))/6,2)*6,"")</f>
        <v/>
      </c>
      <c r="G366" s="142">
        <f>IFERROR(CHOOSE(MATCH(IF($E366="","Основний",$E366),{"Трафіковий","Основний","Маржинальний","Сезонний","Стратегічний"},0),Settings!$B$78,Settings!$B$80,Settings!$B$82,Settings!$B$84,Settings!$B$86),"")</f>
        <v/>
      </c>
      <c r="H366" s="143">
        <f>IFERROR((F366*(1-Settings!$B$17)-C366)/(F366*(1-Settings!$B$17)),"")</f>
        <v/>
      </c>
      <c r="I366" s="149">
        <f>IFERROR(IF(F366="","",IF(F366&gt;=C366/(1-SKU_Base!Z366)/(1-Settings!$B$17),"OK",IF(F366&gt;=C366/(1-SKU_Base!AG366)/(1-Settings!$B$17),"WARN","STOP"))),"")</f>
        <v/>
      </c>
      <c r="J366" s="158">
        <f>IFERROR(ROUND(D366*(1-CHOOSE(MATCH(IF($E366="","Основний",$E366),{"Трафіковий","Основний","Маржинальний","Сезонний","Стратегічний"},0),Settings!$C$78,Settings!$C$80,Settings!$C$82,Settings!$C$84,Settings!$C$86))/6,2)*6,"")</f>
        <v/>
      </c>
      <c r="K366" s="142">
        <f>IFERROR(CHOOSE(MATCH(IF($E366="","Основний",$E366),{"Трафіковий","Основний","Маржинальний","Сезонний","Стратегічний"},0),Settings!$C$78,Settings!$C$80,Settings!$C$82,Settings!$C$84,Settings!$C$86),"")</f>
        <v/>
      </c>
      <c r="L366" s="143">
        <f>IFERROR((J366*(1-Settings!$C$17)-C366)/(J366*(1-Settings!$C$17)),"")</f>
        <v/>
      </c>
      <c r="M366" s="149">
        <f>IFERROR(IF(J366="","",IF(J366&gt;=C366/(1-SKU_Base!AA366)/(1-Settings!$C$17),"OK",IF(J366&gt;=C366/(1-SKU_Base!AH366)/(1-Settings!$C$17),"WARN","STOP"))),"")</f>
        <v/>
      </c>
      <c r="N366" s="159">
        <f>IFERROR(ROUND(D366*(1-CHOOSE(MATCH(IF($E366="","Основний",$E366),{"Трафіковий","Основний","Маржинальний","Сезонний","Стратегічний"},0),Settings!$D$78,Settings!$D$80,Settings!$D$82,Settings!$D$84,Settings!$D$86))/6,2)*6,"")</f>
        <v/>
      </c>
      <c r="O366" s="142">
        <f>IFERROR(CHOOSE(MATCH(IF($E366="","Основний",$E366),{"Трафіковий","Основний","Маржинальний","Сезонний","Стратегічний"},0),Settings!$D$78,Settings!$D$80,Settings!$D$82,Settings!$D$84,Settings!$D$86),"")</f>
        <v/>
      </c>
      <c r="P366" s="143">
        <f>IFERROR((N366*(1-Settings!$D$17)-C366)/(N366*(1-Settings!$D$17)),"")</f>
        <v/>
      </c>
      <c r="Q366" s="149">
        <f>IFERROR(IF(N366="","",IF(N366&gt;=C366/(1-SKU_Base!AB366)/(1-Settings!$D$17),"OK",IF(N366&gt;=C366/(1-SKU_Base!AI366)/(1-Settings!$D$17),"WARN","STOP"))),"")</f>
        <v/>
      </c>
      <c r="R366" s="159">
        <f>IFERROR(ROUND(D366*(1-CHOOSE(MATCH(IF($E366="","Основний",$E366),{"Трафіковий","Основний","Маржинальний","Сезонний","Стратегічний"},0),Settings!$E$78,Settings!$E$80,Settings!$E$82,Settings!$E$84,Settings!$E$86))/6,2)*6,"")</f>
        <v/>
      </c>
      <c r="S366" s="142">
        <f>IFERROR(CHOOSE(MATCH(IF($E366="","Основний",$E366),{"Трафіковий","Основний","Маржинальний","Сезонний","Стратегічний"},0),Settings!$E$78,Settings!$E$80,Settings!$E$82,Settings!$E$84,Settings!$E$86),"")</f>
        <v/>
      </c>
      <c r="T366" s="143">
        <f>IFERROR((R366*(1-Settings!$E$17)-C366)/(R366*(1-Settings!$E$17)),"")</f>
        <v/>
      </c>
      <c r="U366" s="149">
        <f>IFERROR(IF(R366="","",IF(R366&gt;=C366/(1-SKU_Base!AC366)/(1-Settings!$E$17),"OK",IF(R366&gt;=C366/(1-SKU_Base!AJ366)/(1-Settings!$E$17),"WARN","STOP"))),"")</f>
        <v/>
      </c>
      <c r="V366" s="159">
        <f>IFERROR(ROUND(D366*(1-CHOOSE(MATCH(IF($E366="","Основний",$E366),{"Трафіковий","Основний","Маржинальний","Сезонний","Стратегічний"},0),Settings!$F$78,Settings!$F$80,Settings!$F$82,Settings!$F$84,Settings!$F$86))/6,2)*6,"")</f>
        <v/>
      </c>
      <c r="W366" s="142">
        <f>IFERROR(CHOOSE(MATCH(IF($E366="","Основний",$E366),{"Трафіковий","Основний","Маржинальний","Сезонний","Стратегічний"},0),Settings!$F$78,Settings!$F$80,Settings!$F$82,Settings!$F$84,Settings!$F$86),"")</f>
        <v/>
      </c>
      <c r="X366" s="143">
        <f>IFERROR((V366*(1-Settings!$F$17)-C366)/(V366*(1-Settings!$F$17)),"")</f>
        <v/>
      </c>
      <c r="Y366" s="149">
        <f>IFERROR(IF(V366="","",IF(V366&gt;=C366/(1-SKU_Base!AD366)/(1-Settings!$F$17),"OK",IF(V366&gt;=C366/(1-SKU_Base!AK366)/(1-Settings!$F$17),"WARN","STOP"))),"")</f>
        <v/>
      </c>
      <c r="Z366" s="159">
        <f>IFERROR(ROUND(D366*(1-CHOOSE(MATCH(IF($E366="","Основний",$E366),{"Трафіковий","Основний","Маржинальний","Сезонний","Стратегічний"},0),Settings!$G$78,Settings!$G$80,Settings!$G$82,Settings!$G$84,Settings!$G$86))/6,2)*6,"")</f>
        <v/>
      </c>
      <c r="AA366" s="142">
        <f>IFERROR(CHOOSE(MATCH(IF($E366="","Основний",$E366),{"Трафіковий","Основний","Маржинальний","Сезонний","Стратегічний"},0),Settings!$G$78,Settings!$G$80,Settings!$G$82,Settings!$G$84,Settings!$G$86),"")</f>
        <v/>
      </c>
      <c r="AB366" s="143">
        <f>IFERROR((Z366*(1-Settings!$G$17)-C366)/(Z366*(1-Settings!$G$17)),"")</f>
        <v/>
      </c>
      <c r="AC366" s="149">
        <f>IFERROR(IF(Z366="","",IF(Z366&gt;=C366/(1-SKU_Base!AE366)/(1-Settings!$G$17),"OK",IF(Z366&gt;=C366/(1-SKU_Base!AL366)/(1-Settings!$G$17),"WARN","STOP"))),"")</f>
        <v/>
      </c>
      <c r="AD366" s="159">
        <f>IFERROR(ROUND(D366*(1-CHOOSE(MATCH(IF($E366="","Основний",$E366),{"Трафіковий","Основний","Маржинальний","Сезонний","Стратегічний"},0),Settings!$H$78,Settings!$H$80,Settings!$H$82,Settings!$H$84,Settings!$H$86))*(1-Settings!$H$68)/6,2)*6,"")</f>
        <v/>
      </c>
      <c r="AE366" s="142">
        <f>IFERROR(CHOOSE(MATCH(IF($E366="","Основний",$E366),{"Трафіковий","Основний","Маржинальний","Сезонний","Стратегічний"},0),Settings!$H$78,Settings!$H$80,Settings!$H$82,Settings!$H$84,Settings!$H$86)+(1-(CHOOSE(MATCH(IF($E366="","Основний",$E366),{"Трафіковий","Основний","Маржинальний","Сезонний","Стратегічний"},0),Settings!$H$78,Settings!$H$80,Settings!$H$82,Settings!$H$84,Settings!$H$86)))*Settings!$H$68,"")</f>
        <v/>
      </c>
      <c r="AF366" s="143">
        <f>IFERROR((AD366*(1-Settings!$H$17)-C366)/(AD366*(1-Settings!$H$17)),"")</f>
        <v/>
      </c>
      <c r="AG366" s="150">
        <f>IFERROR(IF(AD366="","",IF(AD366&gt;=C366/(1-SKU_Base!AF366)/(1-Settings!$H$17),"OK",IF(AD366&gt;=C366/(1-SKU_Base!AM366)/(1-Settings!$H$17),"WARN","STOP"))),"")</f>
        <v/>
      </c>
    </row>
    <row r="367" ht="17" customHeight="1" s="179">
      <c r="A367" s="146">
        <f>SKU_Base!B367</f>
        <v/>
      </c>
      <c r="B367" s="146">
        <f>SKU_Base!C367</f>
        <v/>
      </c>
      <c r="C367" s="147">
        <f>IFERROR(SKU_Base!I367,"")</f>
        <v/>
      </c>
      <c r="D367" s="164">
        <f>IFERROR(SKU_Base!T367,"")</f>
        <v/>
      </c>
      <c r="E367" s="141">
        <f>IFERROR(SKU_Base!$U367,"")</f>
        <v/>
      </c>
      <c r="F367" s="160">
        <f>IFERROR(ROUND(D367*(1-CHOOSE(MATCH(IF($E367="","Основний",$E367),{"Трафіковий","Основний","Маржинальний","Сезонний","Стратегічний"},0),Settings!$B$78,Settings!$B$80,Settings!$B$82,Settings!$B$84,Settings!$B$86))/6,2)*6,"")</f>
        <v/>
      </c>
      <c r="G367" s="142">
        <f>IFERROR(CHOOSE(MATCH(IF($E367="","Основний",$E367),{"Трафіковий","Основний","Маржинальний","Сезонний","Стратегічний"},0),Settings!$B$78,Settings!$B$80,Settings!$B$82,Settings!$B$84,Settings!$B$86),"")</f>
        <v/>
      </c>
      <c r="H367" s="148">
        <f>IFERROR((F367*(1-Settings!$B$17)-C367)/(F367*(1-Settings!$B$17)),"")</f>
        <v/>
      </c>
      <c r="I367" s="149">
        <f>IFERROR(IF(F367="","",IF(F367&gt;=C367/(1-SKU_Base!Z367)/(1-Settings!$B$17),"OK",IF(F367&gt;=C367/(1-SKU_Base!AG367)/(1-Settings!$B$17),"WARN","STOP"))),"")</f>
        <v/>
      </c>
      <c r="J367" s="160">
        <f>IFERROR(ROUND(D367*(1-CHOOSE(MATCH(IF($E367="","Основний",$E367),{"Трафіковий","Основний","Маржинальний","Сезонний","Стратегічний"},0),Settings!$C$78,Settings!$C$80,Settings!$C$82,Settings!$C$84,Settings!$C$86))/6,2)*6,"")</f>
        <v/>
      </c>
      <c r="K367" s="142">
        <f>IFERROR(CHOOSE(MATCH(IF($E367="","Основний",$E367),{"Трафіковий","Основний","Маржинальний","Сезонний","Стратегічний"},0),Settings!$C$78,Settings!$C$80,Settings!$C$82,Settings!$C$84,Settings!$C$86),"")</f>
        <v/>
      </c>
      <c r="L367" s="148">
        <f>IFERROR((J367*(1-Settings!$C$17)-C367)/(J367*(1-Settings!$C$17)),"")</f>
        <v/>
      </c>
      <c r="M367" s="149">
        <f>IFERROR(IF(J367="","",IF(J367&gt;=C367/(1-SKU_Base!AA367)/(1-Settings!$C$17),"OK",IF(J367&gt;=C367/(1-SKU_Base!AH367)/(1-Settings!$C$17),"WARN","STOP"))),"")</f>
        <v/>
      </c>
      <c r="N367" s="161">
        <f>IFERROR(ROUND(D367*(1-CHOOSE(MATCH(IF($E367="","Основний",$E367),{"Трафіковий","Основний","Маржинальний","Сезонний","Стратегічний"},0),Settings!$D$78,Settings!$D$80,Settings!$D$82,Settings!$D$84,Settings!$D$86))/6,2)*6,"")</f>
        <v/>
      </c>
      <c r="O367" s="142">
        <f>IFERROR(CHOOSE(MATCH(IF($E367="","Основний",$E367),{"Трафіковий","Основний","Маржинальний","Сезонний","Стратегічний"},0),Settings!$D$78,Settings!$D$80,Settings!$D$82,Settings!$D$84,Settings!$D$86),"")</f>
        <v/>
      </c>
      <c r="P367" s="148">
        <f>IFERROR((N367*(1-Settings!$D$17)-C367)/(N367*(1-Settings!$D$17)),"")</f>
        <v/>
      </c>
      <c r="Q367" s="149">
        <f>IFERROR(IF(N367="","",IF(N367&gt;=C367/(1-SKU_Base!AB367)/(1-Settings!$D$17),"OK",IF(N367&gt;=C367/(1-SKU_Base!AI367)/(1-Settings!$D$17),"WARN","STOP"))),"")</f>
        <v/>
      </c>
      <c r="R367" s="161">
        <f>IFERROR(ROUND(D367*(1-CHOOSE(MATCH(IF($E367="","Основний",$E367),{"Трафіковий","Основний","Маржинальний","Сезонний","Стратегічний"},0),Settings!$E$78,Settings!$E$80,Settings!$E$82,Settings!$E$84,Settings!$E$86))/6,2)*6,"")</f>
        <v/>
      </c>
      <c r="S367" s="142">
        <f>IFERROR(CHOOSE(MATCH(IF($E367="","Основний",$E367),{"Трафіковий","Основний","Маржинальний","Сезонний","Стратегічний"},0),Settings!$E$78,Settings!$E$80,Settings!$E$82,Settings!$E$84,Settings!$E$86),"")</f>
        <v/>
      </c>
      <c r="T367" s="148">
        <f>IFERROR((R367*(1-Settings!$E$17)-C367)/(R367*(1-Settings!$E$17)),"")</f>
        <v/>
      </c>
      <c r="U367" s="149">
        <f>IFERROR(IF(R367="","",IF(R367&gt;=C367/(1-SKU_Base!AC367)/(1-Settings!$E$17),"OK",IF(R367&gt;=C367/(1-SKU_Base!AJ367)/(1-Settings!$E$17),"WARN","STOP"))),"")</f>
        <v/>
      </c>
      <c r="V367" s="161">
        <f>IFERROR(ROUND(D367*(1-CHOOSE(MATCH(IF($E367="","Основний",$E367),{"Трафіковий","Основний","Маржинальний","Сезонний","Стратегічний"},0),Settings!$F$78,Settings!$F$80,Settings!$F$82,Settings!$F$84,Settings!$F$86))/6,2)*6,"")</f>
        <v/>
      </c>
      <c r="W367" s="142">
        <f>IFERROR(CHOOSE(MATCH(IF($E367="","Основний",$E367),{"Трафіковий","Основний","Маржинальний","Сезонний","Стратегічний"},0),Settings!$F$78,Settings!$F$80,Settings!$F$82,Settings!$F$84,Settings!$F$86),"")</f>
        <v/>
      </c>
      <c r="X367" s="148">
        <f>IFERROR((V367*(1-Settings!$F$17)-C367)/(V367*(1-Settings!$F$17)),"")</f>
        <v/>
      </c>
      <c r="Y367" s="149">
        <f>IFERROR(IF(V367="","",IF(V367&gt;=C367/(1-SKU_Base!AD367)/(1-Settings!$F$17),"OK",IF(V367&gt;=C367/(1-SKU_Base!AK367)/(1-Settings!$F$17),"WARN","STOP"))),"")</f>
        <v/>
      </c>
      <c r="Z367" s="161">
        <f>IFERROR(ROUND(D367*(1-CHOOSE(MATCH(IF($E367="","Основний",$E367),{"Трафіковий","Основний","Маржинальний","Сезонний","Стратегічний"},0),Settings!$G$78,Settings!$G$80,Settings!$G$82,Settings!$G$84,Settings!$G$86))/6,2)*6,"")</f>
        <v/>
      </c>
      <c r="AA367" s="142">
        <f>IFERROR(CHOOSE(MATCH(IF($E367="","Основний",$E367),{"Трафіковий","Основний","Маржинальний","Сезонний","Стратегічний"},0),Settings!$G$78,Settings!$G$80,Settings!$G$82,Settings!$G$84,Settings!$G$86),"")</f>
        <v/>
      </c>
      <c r="AB367" s="148">
        <f>IFERROR((Z367*(1-Settings!$G$17)-C367)/(Z367*(1-Settings!$G$17)),"")</f>
        <v/>
      </c>
      <c r="AC367" s="149">
        <f>IFERROR(IF(Z367="","",IF(Z367&gt;=C367/(1-SKU_Base!AE367)/(1-Settings!$G$17),"OK",IF(Z367&gt;=C367/(1-SKU_Base!AL367)/(1-Settings!$G$17),"WARN","STOP"))),"")</f>
        <v/>
      </c>
      <c r="AD367" s="161">
        <f>IFERROR(ROUND(D367*(1-CHOOSE(MATCH(IF($E367="","Основний",$E367),{"Трафіковий","Основний","Маржинальний","Сезонний","Стратегічний"},0),Settings!$H$78,Settings!$H$80,Settings!$H$82,Settings!$H$84,Settings!$H$86))*(1-Settings!$H$68)/6,2)*6,"")</f>
        <v/>
      </c>
      <c r="AE367" s="142">
        <f>IFERROR(CHOOSE(MATCH(IF($E367="","Основний",$E367),{"Трафіковий","Основний","Маржинальний","Сезонний","Стратегічний"},0),Settings!$H$78,Settings!$H$80,Settings!$H$82,Settings!$H$84,Settings!$H$86)+(1-(CHOOSE(MATCH(IF($E367="","Основний",$E367),{"Трафіковий","Основний","Маржинальний","Сезонний","Стратегічний"},0),Settings!$H$78,Settings!$H$80,Settings!$H$82,Settings!$H$84,Settings!$H$86)))*Settings!$H$68,"")</f>
        <v/>
      </c>
      <c r="AF367" s="148">
        <f>IFERROR((AD367*(1-Settings!$H$17)-C367)/(AD367*(1-Settings!$H$17)),"")</f>
        <v/>
      </c>
      <c r="AG367" s="150">
        <f>IFERROR(IF(AD367="","",IF(AD367&gt;=C367/(1-SKU_Base!AF367)/(1-Settings!$H$17),"OK",IF(AD367&gt;=C367/(1-SKU_Base!AM367)/(1-Settings!$H$17),"WARN","STOP"))),"")</f>
        <v/>
      </c>
    </row>
    <row r="368" ht="17" customHeight="1" s="179">
      <c r="A368" s="139">
        <f>SKU_Base!B368</f>
        <v/>
      </c>
      <c r="B368" s="139">
        <f>SKU_Base!C368</f>
        <v/>
      </c>
      <c r="C368" s="140">
        <f>IFERROR(SKU_Base!I368,"")</f>
        <v/>
      </c>
      <c r="D368" s="163">
        <f>IFERROR(SKU_Base!T368,"")</f>
        <v/>
      </c>
      <c r="E368" s="141">
        <f>IFERROR(SKU_Base!$U368,"")</f>
        <v/>
      </c>
      <c r="F368" s="158">
        <f>IFERROR(ROUND(D368*(1-CHOOSE(MATCH(IF($E368="","Основний",$E368),{"Трафіковий","Основний","Маржинальний","Сезонний","Стратегічний"},0),Settings!$B$78,Settings!$B$80,Settings!$B$82,Settings!$B$84,Settings!$B$86))/6,2)*6,"")</f>
        <v/>
      </c>
      <c r="G368" s="142">
        <f>IFERROR(CHOOSE(MATCH(IF($E368="","Основний",$E368),{"Трафіковий","Основний","Маржинальний","Сезонний","Стратегічний"},0),Settings!$B$78,Settings!$B$80,Settings!$B$82,Settings!$B$84,Settings!$B$86),"")</f>
        <v/>
      </c>
      <c r="H368" s="143">
        <f>IFERROR((F368*(1-Settings!$B$17)-C368)/(F368*(1-Settings!$B$17)),"")</f>
        <v/>
      </c>
      <c r="I368" s="149">
        <f>IFERROR(IF(F368="","",IF(F368&gt;=C368/(1-SKU_Base!Z368)/(1-Settings!$B$17),"OK",IF(F368&gt;=C368/(1-SKU_Base!AG368)/(1-Settings!$B$17),"WARN","STOP"))),"")</f>
        <v/>
      </c>
      <c r="J368" s="158">
        <f>IFERROR(ROUND(D368*(1-CHOOSE(MATCH(IF($E368="","Основний",$E368),{"Трафіковий","Основний","Маржинальний","Сезонний","Стратегічний"},0),Settings!$C$78,Settings!$C$80,Settings!$C$82,Settings!$C$84,Settings!$C$86))/6,2)*6,"")</f>
        <v/>
      </c>
      <c r="K368" s="142">
        <f>IFERROR(CHOOSE(MATCH(IF($E368="","Основний",$E368),{"Трафіковий","Основний","Маржинальний","Сезонний","Стратегічний"},0),Settings!$C$78,Settings!$C$80,Settings!$C$82,Settings!$C$84,Settings!$C$86),"")</f>
        <v/>
      </c>
      <c r="L368" s="143">
        <f>IFERROR((J368*(1-Settings!$C$17)-C368)/(J368*(1-Settings!$C$17)),"")</f>
        <v/>
      </c>
      <c r="M368" s="149">
        <f>IFERROR(IF(J368="","",IF(J368&gt;=C368/(1-SKU_Base!AA368)/(1-Settings!$C$17),"OK",IF(J368&gt;=C368/(1-SKU_Base!AH368)/(1-Settings!$C$17),"WARN","STOP"))),"")</f>
        <v/>
      </c>
      <c r="N368" s="159">
        <f>IFERROR(ROUND(D368*(1-CHOOSE(MATCH(IF($E368="","Основний",$E368),{"Трафіковий","Основний","Маржинальний","Сезонний","Стратегічний"},0),Settings!$D$78,Settings!$D$80,Settings!$D$82,Settings!$D$84,Settings!$D$86))/6,2)*6,"")</f>
        <v/>
      </c>
      <c r="O368" s="142">
        <f>IFERROR(CHOOSE(MATCH(IF($E368="","Основний",$E368),{"Трафіковий","Основний","Маржинальний","Сезонний","Стратегічний"},0),Settings!$D$78,Settings!$D$80,Settings!$D$82,Settings!$D$84,Settings!$D$86),"")</f>
        <v/>
      </c>
      <c r="P368" s="143">
        <f>IFERROR((N368*(1-Settings!$D$17)-C368)/(N368*(1-Settings!$D$17)),"")</f>
        <v/>
      </c>
      <c r="Q368" s="149">
        <f>IFERROR(IF(N368="","",IF(N368&gt;=C368/(1-SKU_Base!AB368)/(1-Settings!$D$17),"OK",IF(N368&gt;=C368/(1-SKU_Base!AI368)/(1-Settings!$D$17),"WARN","STOP"))),"")</f>
        <v/>
      </c>
      <c r="R368" s="159">
        <f>IFERROR(ROUND(D368*(1-CHOOSE(MATCH(IF($E368="","Основний",$E368),{"Трафіковий","Основний","Маржинальний","Сезонний","Стратегічний"},0),Settings!$E$78,Settings!$E$80,Settings!$E$82,Settings!$E$84,Settings!$E$86))/6,2)*6,"")</f>
        <v/>
      </c>
      <c r="S368" s="142">
        <f>IFERROR(CHOOSE(MATCH(IF($E368="","Основний",$E368),{"Трафіковий","Основний","Маржинальний","Сезонний","Стратегічний"},0),Settings!$E$78,Settings!$E$80,Settings!$E$82,Settings!$E$84,Settings!$E$86),"")</f>
        <v/>
      </c>
      <c r="T368" s="143">
        <f>IFERROR((R368*(1-Settings!$E$17)-C368)/(R368*(1-Settings!$E$17)),"")</f>
        <v/>
      </c>
      <c r="U368" s="149">
        <f>IFERROR(IF(R368="","",IF(R368&gt;=C368/(1-SKU_Base!AC368)/(1-Settings!$E$17),"OK",IF(R368&gt;=C368/(1-SKU_Base!AJ368)/(1-Settings!$E$17),"WARN","STOP"))),"")</f>
        <v/>
      </c>
      <c r="V368" s="159">
        <f>IFERROR(ROUND(D368*(1-CHOOSE(MATCH(IF($E368="","Основний",$E368),{"Трафіковий","Основний","Маржинальний","Сезонний","Стратегічний"},0),Settings!$F$78,Settings!$F$80,Settings!$F$82,Settings!$F$84,Settings!$F$86))/6,2)*6,"")</f>
        <v/>
      </c>
      <c r="W368" s="142">
        <f>IFERROR(CHOOSE(MATCH(IF($E368="","Основний",$E368),{"Трафіковий","Основний","Маржинальний","Сезонний","Стратегічний"},0),Settings!$F$78,Settings!$F$80,Settings!$F$82,Settings!$F$84,Settings!$F$86),"")</f>
        <v/>
      </c>
      <c r="X368" s="143">
        <f>IFERROR((V368*(1-Settings!$F$17)-C368)/(V368*(1-Settings!$F$17)),"")</f>
        <v/>
      </c>
      <c r="Y368" s="149">
        <f>IFERROR(IF(V368="","",IF(V368&gt;=C368/(1-SKU_Base!AD368)/(1-Settings!$F$17),"OK",IF(V368&gt;=C368/(1-SKU_Base!AK368)/(1-Settings!$F$17),"WARN","STOP"))),"")</f>
        <v/>
      </c>
      <c r="Z368" s="159">
        <f>IFERROR(ROUND(D368*(1-CHOOSE(MATCH(IF($E368="","Основний",$E368),{"Трафіковий","Основний","Маржинальний","Сезонний","Стратегічний"},0),Settings!$G$78,Settings!$G$80,Settings!$G$82,Settings!$G$84,Settings!$G$86))/6,2)*6,"")</f>
        <v/>
      </c>
      <c r="AA368" s="142">
        <f>IFERROR(CHOOSE(MATCH(IF($E368="","Основний",$E368),{"Трафіковий","Основний","Маржинальний","Сезонний","Стратегічний"},0),Settings!$G$78,Settings!$G$80,Settings!$G$82,Settings!$G$84,Settings!$G$86),"")</f>
        <v/>
      </c>
      <c r="AB368" s="143">
        <f>IFERROR((Z368*(1-Settings!$G$17)-C368)/(Z368*(1-Settings!$G$17)),"")</f>
        <v/>
      </c>
      <c r="AC368" s="149">
        <f>IFERROR(IF(Z368="","",IF(Z368&gt;=C368/(1-SKU_Base!AE368)/(1-Settings!$G$17),"OK",IF(Z368&gt;=C368/(1-SKU_Base!AL368)/(1-Settings!$G$17),"WARN","STOP"))),"")</f>
        <v/>
      </c>
      <c r="AD368" s="159">
        <f>IFERROR(ROUND(D368*(1-CHOOSE(MATCH(IF($E368="","Основний",$E368),{"Трафіковий","Основний","Маржинальний","Сезонний","Стратегічний"},0),Settings!$H$78,Settings!$H$80,Settings!$H$82,Settings!$H$84,Settings!$H$86))*(1-Settings!$H$68)/6,2)*6,"")</f>
        <v/>
      </c>
      <c r="AE368" s="142">
        <f>IFERROR(CHOOSE(MATCH(IF($E368="","Основний",$E368),{"Трафіковий","Основний","Маржинальний","Сезонний","Стратегічний"},0),Settings!$H$78,Settings!$H$80,Settings!$H$82,Settings!$H$84,Settings!$H$86)+(1-(CHOOSE(MATCH(IF($E368="","Основний",$E368),{"Трафіковий","Основний","Маржинальний","Сезонний","Стратегічний"},0),Settings!$H$78,Settings!$H$80,Settings!$H$82,Settings!$H$84,Settings!$H$86)))*Settings!$H$68,"")</f>
        <v/>
      </c>
      <c r="AF368" s="143">
        <f>IFERROR((AD368*(1-Settings!$H$17)-C368)/(AD368*(1-Settings!$H$17)),"")</f>
        <v/>
      </c>
      <c r="AG368" s="150">
        <f>IFERROR(IF(AD368="","",IF(AD368&gt;=C368/(1-SKU_Base!AF368)/(1-Settings!$H$17),"OK",IF(AD368&gt;=C368/(1-SKU_Base!AM368)/(1-Settings!$H$17),"WARN","STOP"))),"")</f>
        <v/>
      </c>
    </row>
    <row r="369" ht="17" customHeight="1" s="179">
      <c r="A369" s="146">
        <f>SKU_Base!B369</f>
        <v/>
      </c>
      <c r="B369" s="146">
        <f>SKU_Base!C369</f>
        <v/>
      </c>
      <c r="C369" s="147">
        <f>IFERROR(SKU_Base!I369,"")</f>
        <v/>
      </c>
      <c r="D369" s="164">
        <f>IFERROR(SKU_Base!T369,"")</f>
        <v/>
      </c>
      <c r="E369" s="141">
        <f>IFERROR(SKU_Base!$U369,"")</f>
        <v/>
      </c>
      <c r="F369" s="160">
        <f>IFERROR(ROUND(D369*(1-CHOOSE(MATCH(IF($E369="","Основний",$E369),{"Трафіковий","Основний","Маржинальний","Сезонний","Стратегічний"},0),Settings!$B$78,Settings!$B$80,Settings!$B$82,Settings!$B$84,Settings!$B$86))/6,2)*6,"")</f>
        <v/>
      </c>
      <c r="G369" s="142">
        <f>IFERROR(CHOOSE(MATCH(IF($E369="","Основний",$E369),{"Трафіковий","Основний","Маржинальний","Сезонний","Стратегічний"},0),Settings!$B$78,Settings!$B$80,Settings!$B$82,Settings!$B$84,Settings!$B$86),"")</f>
        <v/>
      </c>
      <c r="H369" s="148">
        <f>IFERROR((F369*(1-Settings!$B$17)-C369)/(F369*(1-Settings!$B$17)),"")</f>
        <v/>
      </c>
      <c r="I369" s="149">
        <f>IFERROR(IF(F369="","",IF(F369&gt;=C369/(1-SKU_Base!Z369)/(1-Settings!$B$17),"OK",IF(F369&gt;=C369/(1-SKU_Base!AG369)/(1-Settings!$B$17),"WARN","STOP"))),"")</f>
        <v/>
      </c>
      <c r="J369" s="160">
        <f>IFERROR(ROUND(D369*(1-CHOOSE(MATCH(IF($E369="","Основний",$E369),{"Трафіковий","Основний","Маржинальний","Сезонний","Стратегічний"},0),Settings!$C$78,Settings!$C$80,Settings!$C$82,Settings!$C$84,Settings!$C$86))/6,2)*6,"")</f>
        <v/>
      </c>
      <c r="K369" s="142">
        <f>IFERROR(CHOOSE(MATCH(IF($E369="","Основний",$E369),{"Трафіковий","Основний","Маржинальний","Сезонний","Стратегічний"},0),Settings!$C$78,Settings!$C$80,Settings!$C$82,Settings!$C$84,Settings!$C$86),"")</f>
        <v/>
      </c>
      <c r="L369" s="148">
        <f>IFERROR((J369*(1-Settings!$C$17)-C369)/(J369*(1-Settings!$C$17)),"")</f>
        <v/>
      </c>
      <c r="M369" s="149">
        <f>IFERROR(IF(J369="","",IF(J369&gt;=C369/(1-SKU_Base!AA369)/(1-Settings!$C$17),"OK",IF(J369&gt;=C369/(1-SKU_Base!AH369)/(1-Settings!$C$17),"WARN","STOP"))),"")</f>
        <v/>
      </c>
      <c r="N369" s="161">
        <f>IFERROR(ROUND(D369*(1-CHOOSE(MATCH(IF($E369="","Основний",$E369),{"Трафіковий","Основний","Маржинальний","Сезонний","Стратегічний"},0),Settings!$D$78,Settings!$D$80,Settings!$D$82,Settings!$D$84,Settings!$D$86))/6,2)*6,"")</f>
        <v/>
      </c>
      <c r="O369" s="142">
        <f>IFERROR(CHOOSE(MATCH(IF($E369="","Основний",$E369),{"Трафіковий","Основний","Маржинальний","Сезонний","Стратегічний"},0),Settings!$D$78,Settings!$D$80,Settings!$D$82,Settings!$D$84,Settings!$D$86),"")</f>
        <v/>
      </c>
      <c r="P369" s="148">
        <f>IFERROR((N369*(1-Settings!$D$17)-C369)/(N369*(1-Settings!$D$17)),"")</f>
        <v/>
      </c>
      <c r="Q369" s="149">
        <f>IFERROR(IF(N369="","",IF(N369&gt;=C369/(1-SKU_Base!AB369)/(1-Settings!$D$17),"OK",IF(N369&gt;=C369/(1-SKU_Base!AI369)/(1-Settings!$D$17),"WARN","STOP"))),"")</f>
        <v/>
      </c>
      <c r="R369" s="161">
        <f>IFERROR(ROUND(D369*(1-CHOOSE(MATCH(IF($E369="","Основний",$E369),{"Трафіковий","Основний","Маржинальний","Сезонний","Стратегічний"},0),Settings!$E$78,Settings!$E$80,Settings!$E$82,Settings!$E$84,Settings!$E$86))/6,2)*6,"")</f>
        <v/>
      </c>
      <c r="S369" s="142">
        <f>IFERROR(CHOOSE(MATCH(IF($E369="","Основний",$E369),{"Трафіковий","Основний","Маржинальний","Сезонний","Стратегічний"},0),Settings!$E$78,Settings!$E$80,Settings!$E$82,Settings!$E$84,Settings!$E$86),"")</f>
        <v/>
      </c>
      <c r="T369" s="148">
        <f>IFERROR((R369*(1-Settings!$E$17)-C369)/(R369*(1-Settings!$E$17)),"")</f>
        <v/>
      </c>
      <c r="U369" s="149">
        <f>IFERROR(IF(R369="","",IF(R369&gt;=C369/(1-SKU_Base!AC369)/(1-Settings!$E$17),"OK",IF(R369&gt;=C369/(1-SKU_Base!AJ369)/(1-Settings!$E$17),"WARN","STOP"))),"")</f>
        <v/>
      </c>
      <c r="V369" s="161">
        <f>IFERROR(ROUND(D369*(1-CHOOSE(MATCH(IF($E369="","Основний",$E369),{"Трафіковий","Основний","Маржинальний","Сезонний","Стратегічний"},0),Settings!$F$78,Settings!$F$80,Settings!$F$82,Settings!$F$84,Settings!$F$86))/6,2)*6,"")</f>
        <v/>
      </c>
      <c r="W369" s="142">
        <f>IFERROR(CHOOSE(MATCH(IF($E369="","Основний",$E369),{"Трафіковий","Основний","Маржинальний","Сезонний","Стратегічний"},0),Settings!$F$78,Settings!$F$80,Settings!$F$82,Settings!$F$84,Settings!$F$86),"")</f>
        <v/>
      </c>
      <c r="X369" s="148">
        <f>IFERROR((V369*(1-Settings!$F$17)-C369)/(V369*(1-Settings!$F$17)),"")</f>
        <v/>
      </c>
      <c r="Y369" s="149">
        <f>IFERROR(IF(V369="","",IF(V369&gt;=C369/(1-SKU_Base!AD369)/(1-Settings!$F$17),"OK",IF(V369&gt;=C369/(1-SKU_Base!AK369)/(1-Settings!$F$17),"WARN","STOP"))),"")</f>
        <v/>
      </c>
      <c r="Z369" s="161">
        <f>IFERROR(ROUND(D369*(1-CHOOSE(MATCH(IF($E369="","Основний",$E369),{"Трафіковий","Основний","Маржинальний","Сезонний","Стратегічний"},0),Settings!$G$78,Settings!$G$80,Settings!$G$82,Settings!$G$84,Settings!$G$86))/6,2)*6,"")</f>
        <v/>
      </c>
      <c r="AA369" s="142">
        <f>IFERROR(CHOOSE(MATCH(IF($E369="","Основний",$E369),{"Трафіковий","Основний","Маржинальний","Сезонний","Стратегічний"},0),Settings!$G$78,Settings!$G$80,Settings!$G$82,Settings!$G$84,Settings!$G$86),"")</f>
        <v/>
      </c>
      <c r="AB369" s="148">
        <f>IFERROR((Z369*(1-Settings!$G$17)-C369)/(Z369*(1-Settings!$G$17)),"")</f>
        <v/>
      </c>
      <c r="AC369" s="149">
        <f>IFERROR(IF(Z369="","",IF(Z369&gt;=C369/(1-SKU_Base!AE369)/(1-Settings!$G$17),"OK",IF(Z369&gt;=C369/(1-SKU_Base!AL369)/(1-Settings!$G$17),"WARN","STOP"))),"")</f>
        <v/>
      </c>
      <c r="AD369" s="161">
        <f>IFERROR(ROUND(D369*(1-CHOOSE(MATCH(IF($E369="","Основний",$E369),{"Трафіковий","Основний","Маржинальний","Сезонний","Стратегічний"},0),Settings!$H$78,Settings!$H$80,Settings!$H$82,Settings!$H$84,Settings!$H$86))*(1-Settings!$H$68)/6,2)*6,"")</f>
        <v/>
      </c>
      <c r="AE369" s="142">
        <f>IFERROR(CHOOSE(MATCH(IF($E369="","Основний",$E369),{"Трафіковий","Основний","Маржинальний","Сезонний","Стратегічний"},0),Settings!$H$78,Settings!$H$80,Settings!$H$82,Settings!$H$84,Settings!$H$86)+(1-(CHOOSE(MATCH(IF($E369="","Основний",$E369),{"Трафіковий","Основний","Маржинальний","Сезонний","Стратегічний"},0),Settings!$H$78,Settings!$H$80,Settings!$H$82,Settings!$H$84,Settings!$H$86)))*Settings!$H$68,"")</f>
        <v/>
      </c>
      <c r="AF369" s="148">
        <f>IFERROR((AD369*(1-Settings!$H$17)-C369)/(AD369*(1-Settings!$H$17)),"")</f>
        <v/>
      </c>
      <c r="AG369" s="150">
        <f>IFERROR(IF(AD369="","",IF(AD369&gt;=C369/(1-SKU_Base!AF369)/(1-Settings!$H$17),"OK",IF(AD369&gt;=C369/(1-SKU_Base!AM369)/(1-Settings!$H$17),"WARN","STOP"))),"")</f>
        <v/>
      </c>
    </row>
    <row r="370" ht="17" customHeight="1" s="179">
      <c r="A370" s="139">
        <f>SKU_Base!B370</f>
        <v/>
      </c>
      <c r="B370" s="139">
        <f>SKU_Base!C370</f>
        <v/>
      </c>
      <c r="C370" s="140">
        <f>IFERROR(SKU_Base!I370,"")</f>
        <v/>
      </c>
      <c r="D370" s="163">
        <f>IFERROR(SKU_Base!T370,"")</f>
        <v/>
      </c>
      <c r="E370" s="141">
        <f>IFERROR(SKU_Base!$U370,"")</f>
        <v/>
      </c>
      <c r="F370" s="158">
        <f>IFERROR(ROUND(D370*(1-CHOOSE(MATCH(IF($E370="","Основний",$E370),{"Трафіковий","Основний","Маржинальний","Сезонний","Стратегічний"},0),Settings!$B$78,Settings!$B$80,Settings!$B$82,Settings!$B$84,Settings!$B$86))/6,2)*6,"")</f>
        <v/>
      </c>
      <c r="G370" s="142">
        <f>IFERROR(CHOOSE(MATCH(IF($E370="","Основний",$E370),{"Трафіковий","Основний","Маржинальний","Сезонний","Стратегічний"},0),Settings!$B$78,Settings!$B$80,Settings!$B$82,Settings!$B$84,Settings!$B$86),"")</f>
        <v/>
      </c>
      <c r="H370" s="143">
        <f>IFERROR((F370*(1-Settings!$B$17)-C370)/(F370*(1-Settings!$B$17)),"")</f>
        <v/>
      </c>
      <c r="I370" s="149">
        <f>IFERROR(IF(F370="","",IF(F370&gt;=C370/(1-SKU_Base!Z370)/(1-Settings!$B$17),"OK",IF(F370&gt;=C370/(1-SKU_Base!AG370)/(1-Settings!$B$17),"WARN","STOP"))),"")</f>
        <v/>
      </c>
      <c r="J370" s="158">
        <f>IFERROR(ROUND(D370*(1-CHOOSE(MATCH(IF($E370="","Основний",$E370),{"Трафіковий","Основний","Маржинальний","Сезонний","Стратегічний"},0),Settings!$C$78,Settings!$C$80,Settings!$C$82,Settings!$C$84,Settings!$C$86))/6,2)*6,"")</f>
        <v/>
      </c>
      <c r="K370" s="142">
        <f>IFERROR(CHOOSE(MATCH(IF($E370="","Основний",$E370),{"Трафіковий","Основний","Маржинальний","Сезонний","Стратегічний"},0),Settings!$C$78,Settings!$C$80,Settings!$C$82,Settings!$C$84,Settings!$C$86),"")</f>
        <v/>
      </c>
      <c r="L370" s="143">
        <f>IFERROR((J370*(1-Settings!$C$17)-C370)/(J370*(1-Settings!$C$17)),"")</f>
        <v/>
      </c>
      <c r="M370" s="149">
        <f>IFERROR(IF(J370="","",IF(J370&gt;=C370/(1-SKU_Base!AA370)/(1-Settings!$C$17),"OK",IF(J370&gt;=C370/(1-SKU_Base!AH370)/(1-Settings!$C$17),"WARN","STOP"))),"")</f>
        <v/>
      </c>
      <c r="N370" s="159">
        <f>IFERROR(ROUND(D370*(1-CHOOSE(MATCH(IF($E370="","Основний",$E370),{"Трафіковий","Основний","Маржинальний","Сезонний","Стратегічний"},0),Settings!$D$78,Settings!$D$80,Settings!$D$82,Settings!$D$84,Settings!$D$86))/6,2)*6,"")</f>
        <v/>
      </c>
      <c r="O370" s="142">
        <f>IFERROR(CHOOSE(MATCH(IF($E370="","Основний",$E370),{"Трафіковий","Основний","Маржинальний","Сезонний","Стратегічний"},0),Settings!$D$78,Settings!$D$80,Settings!$D$82,Settings!$D$84,Settings!$D$86),"")</f>
        <v/>
      </c>
      <c r="P370" s="143">
        <f>IFERROR((N370*(1-Settings!$D$17)-C370)/(N370*(1-Settings!$D$17)),"")</f>
        <v/>
      </c>
      <c r="Q370" s="149">
        <f>IFERROR(IF(N370="","",IF(N370&gt;=C370/(1-SKU_Base!AB370)/(1-Settings!$D$17),"OK",IF(N370&gt;=C370/(1-SKU_Base!AI370)/(1-Settings!$D$17),"WARN","STOP"))),"")</f>
        <v/>
      </c>
      <c r="R370" s="159">
        <f>IFERROR(ROUND(D370*(1-CHOOSE(MATCH(IF($E370="","Основний",$E370),{"Трафіковий","Основний","Маржинальний","Сезонний","Стратегічний"},0),Settings!$E$78,Settings!$E$80,Settings!$E$82,Settings!$E$84,Settings!$E$86))/6,2)*6,"")</f>
        <v/>
      </c>
      <c r="S370" s="142">
        <f>IFERROR(CHOOSE(MATCH(IF($E370="","Основний",$E370),{"Трафіковий","Основний","Маржинальний","Сезонний","Стратегічний"},0),Settings!$E$78,Settings!$E$80,Settings!$E$82,Settings!$E$84,Settings!$E$86),"")</f>
        <v/>
      </c>
      <c r="T370" s="143">
        <f>IFERROR((R370*(1-Settings!$E$17)-C370)/(R370*(1-Settings!$E$17)),"")</f>
        <v/>
      </c>
      <c r="U370" s="149">
        <f>IFERROR(IF(R370="","",IF(R370&gt;=C370/(1-SKU_Base!AC370)/(1-Settings!$E$17),"OK",IF(R370&gt;=C370/(1-SKU_Base!AJ370)/(1-Settings!$E$17),"WARN","STOP"))),"")</f>
        <v/>
      </c>
      <c r="V370" s="159">
        <f>IFERROR(ROUND(D370*(1-CHOOSE(MATCH(IF($E370="","Основний",$E370),{"Трафіковий","Основний","Маржинальний","Сезонний","Стратегічний"},0),Settings!$F$78,Settings!$F$80,Settings!$F$82,Settings!$F$84,Settings!$F$86))/6,2)*6,"")</f>
        <v/>
      </c>
      <c r="W370" s="142">
        <f>IFERROR(CHOOSE(MATCH(IF($E370="","Основний",$E370),{"Трафіковий","Основний","Маржинальний","Сезонний","Стратегічний"},0),Settings!$F$78,Settings!$F$80,Settings!$F$82,Settings!$F$84,Settings!$F$86),"")</f>
        <v/>
      </c>
      <c r="X370" s="143">
        <f>IFERROR((V370*(1-Settings!$F$17)-C370)/(V370*(1-Settings!$F$17)),"")</f>
        <v/>
      </c>
      <c r="Y370" s="149">
        <f>IFERROR(IF(V370="","",IF(V370&gt;=C370/(1-SKU_Base!AD370)/(1-Settings!$F$17),"OK",IF(V370&gt;=C370/(1-SKU_Base!AK370)/(1-Settings!$F$17),"WARN","STOP"))),"")</f>
        <v/>
      </c>
      <c r="Z370" s="159">
        <f>IFERROR(ROUND(D370*(1-CHOOSE(MATCH(IF($E370="","Основний",$E370),{"Трафіковий","Основний","Маржинальний","Сезонний","Стратегічний"},0),Settings!$G$78,Settings!$G$80,Settings!$G$82,Settings!$G$84,Settings!$G$86))/6,2)*6,"")</f>
        <v/>
      </c>
      <c r="AA370" s="142">
        <f>IFERROR(CHOOSE(MATCH(IF($E370="","Основний",$E370),{"Трафіковий","Основний","Маржинальний","Сезонний","Стратегічний"},0),Settings!$G$78,Settings!$G$80,Settings!$G$82,Settings!$G$84,Settings!$G$86),"")</f>
        <v/>
      </c>
      <c r="AB370" s="143">
        <f>IFERROR((Z370*(1-Settings!$G$17)-C370)/(Z370*(1-Settings!$G$17)),"")</f>
        <v/>
      </c>
      <c r="AC370" s="149">
        <f>IFERROR(IF(Z370="","",IF(Z370&gt;=C370/(1-SKU_Base!AE370)/(1-Settings!$G$17),"OK",IF(Z370&gt;=C370/(1-SKU_Base!AL370)/(1-Settings!$G$17),"WARN","STOP"))),"")</f>
        <v/>
      </c>
      <c r="AD370" s="159">
        <f>IFERROR(ROUND(D370*(1-CHOOSE(MATCH(IF($E370="","Основний",$E370),{"Трафіковий","Основний","Маржинальний","Сезонний","Стратегічний"},0),Settings!$H$78,Settings!$H$80,Settings!$H$82,Settings!$H$84,Settings!$H$86))*(1-Settings!$H$68)/6,2)*6,"")</f>
        <v/>
      </c>
      <c r="AE370" s="142">
        <f>IFERROR(CHOOSE(MATCH(IF($E370="","Основний",$E370),{"Трафіковий","Основний","Маржинальний","Сезонний","Стратегічний"},0),Settings!$H$78,Settings!$H$80,Settings!$H$82,Settings!$H$84,Settings!$H$86)+(1-(CHOOSE(MATCH(IF($E370="","Основний",$E370),{"Трафіковий","Основний","Маржинальний","Сезонний","Стратегічний"},0),Settings!$H$78,Settings!$H$80,Settings!$H$82,Settings!$H$84,Settings!$H$86)))*Settings!$H$68,"")</f>
        <v/>
      </c>
      <c r="AF370" s="143">
        <f>IFERROR((AD370*(1-Settings!$H$17)-C370)/(AD370*(1-Settings!$H$17)),"")</f>
        <v/>
      </c>
      <c r="AG370" s="150">
        <f>IFERROR(IF(AD370="","",IF(AD370&gt;=C370/(1-SKU_Base!AF370)/(1-Settings!$H$17),"OK",IF(AD370&gt;=C370/(1-SKU_Base!AM370)/(1-Settings!$H$17),"WARN","STOP"))),"")</f>
        <v/>
      </c>
    </row>
    <row r="371" ht="17" customHeight="1" s="179">
      <c r="A371" s="146">
        <f>SKU_Base!B371</f>
        <v/>
      </c>
      <c r="B371" s="146">
        <f>SKU_Base!C371</f>
        <v/>
      </c>
      <c r="C371" s="147">
        <f>IFERROR(SKU_Base!I371,"")</f>
        <v/>
      </c>
      <c r="D371" s="164">
        <f>IFERROR(SKU_Base!T371,"")</f>
        <v/>
      </c>
      <c r="E371" s="141">
        <f>IFERROR(SKU_Base!$U371,"")</f>
        <v/>
      </c>
      <c r="F371" s="160">
        <f>IFERROR(ROUND(D371*(1-CHOOSE(MATCH(IF($E371="","Основний",$E371),{"Трафіковий","Основний","Маржинальний","Сезонний","Стратегічний"},0),Settings!$B$78,Settings!$B$80,Settings!$B$82,Settings!$B$84,Settings!$B$86))/6,2)*6,"")</f>
        <v/>
      </c>
      <c r="G371" s="142">
        <f>IFERROR(CHOOSE(MATCH(IF($E371="","Основний",$E371),{"Трафіковий","Основний","Маржинальний","Сезонний","Стратегічний"},0),Settings!$B$78,Settings!$B$80,Settings!$B$82,Settings!$B$84,Settings!$B$86),"")</f>
        <v/>
      </c>
      <c r="H371" s="148">
        <f>IFERROR((F371*(1-Settings!$B$17)-C371)/(F371*(1-Settings!$B$17)),"")</f>
        <v/>
      </c>
      <c r="I371" s="149">
        <f>IFERROR(IF(F371="","",IF(F371&gt;=C371/(1-SKU_Base!Z371)/(1-Settings!$B$17),"OK",IF(F371&gt;=C371/(1-SKU_Base!AG371)/(1-Settings!$B$17),"WARN","STOP"))),"")</f>
        <v/>
      </c>
      <c r="J371" s="160">
        <f>IFERROR(ROUND(D371*(1-CHOOSE(MATCH(IF($E371="","Основний",$E371),{"Трафіковий","Основний","Маржинальний","Сезонний","Стратегічний"},0),Settings!$C$78,Settings!$C$80,Settings!$C$82,Settings!$C$84,Settings!$C$86))/6,2)*6,"")</f>
        <v/>
      </c>
      <c r="K371" s="142">
        <f>IFERROR(CHOOSE(MATCH(IF($E371="","Основний",$E371),{"Трафіковий","Основний","Маржинальний","Сезонний","Стратегічний"},0),Settings!$C$78,Settings!$C$80,Settings!$C$82,Settings!$C$84,Settings!$C$86),"")</f>
        <v/>
      </c>
      <c r="L371" s="148">
        <f>IFERROR((J371*(1-Settings!$C$17)-C371)/(J371*(1-Settings!$C$17)),"")</f>
        <v/>
      </c>
      <c r="M371" s="149">
        <f>IFERROR(IF(J371="","",IF(J371&gt;=C371/(1-SKU_Base!AA371)/(1-Settings!$C$17),"OK",IF(J371&gt;=C371/(1-SKU_Base!AH371)/(1-Settings!$C$17),"WARN","STOP"))),"")</f>
        <v/>
      </c>
      <c r="N371" s="161">
        <f>IFERROR(ROUND(D371*(1-CHOOSE(MATCH(IF($E371="","Основний",$E371),{"Трафіковий","Основний","Маржинальний","Сезонний","Стратегічний"},0),Settings!$D$78,Settings!$D$80,Settings!$D$82,Settings!$D$84,Settings!$D$86))/6,2)*6,"")</f>
        <v/>
      </c>
      <c r="O371" s="142">
        <f>IFERROR(CHOOSE(MATCH(IF($E371="","Основний",$E371),{"Трафіковий","Основний","Маржинальний","Сезонний","Стратегічний"},0),Settings!$D$78,Settings!$D$80,Settings!$D$82,Settings!$D$84,Settings!$D$86),"")</f>
        <v/>
      </c>
      <c r="P371" s="148">
        <f>IFERROR((N371*(1-Settings!$D$17)-C371)/(N371*(1-Settings!$D$17)),"")</f>
        <v/>
      </c>
      <c r="Q371" s="149">
        <f>IFERROR(IF(N371="","",IF(N371&gt;=C371/(1-SKU_Base!AB371)/(1-Settings!$D$17),"OK",IF(N371&gt;=C371/(1-SKU_Base!AI371)/(1-Settings!$D$17),"WARN","STOP"))),"")</f>
        <v/>
      </c>
      <c r="R371" s="161">
        <f>IFERROR(ROUND(D371*(1-CHOOSE(MATCH(IF($E371="","Основний",$E371),{"Трафіковий","Основний","Маржинальний","Сезонний","Стратегічний"},0),Settings!$E$78,Settings!$E$80,Settings!$E$82,Settings!$E$84,Settings!$E$86))/6,2)*6,"")</f>
        <v/>
      </c>
      <c r="S371" s="142">
        <f>IFERROR(CHOOSE(MATCH(IF($E371="","Основний",$E371),{"Трафіковий","Основний","Маржинальний","Сезонний","Стратегічний"},0),Settings!$E$78,Settings!$E$80,Settings!$E$82,Settings!$E$84,Settings!$E$86),"")</f>
        <v/>
      </c>
      <c r="T371" s="148">
        <f>IFERROR((R371*(1-Settings!$E$17)-C371)/(R371*(1-Settings!$E$17)),"")</f>
        <v/>
      </c>
      <c r="U371" s="149">
        <f>IFERROR(IF(R371="","",IF(R371&gt;=C371/(1-SKU_Base!AC371)/(1-Settings!$E$17),"OK",IF(R371&gt;=C371/(1-SKU_Base!AJ371)/(1-Settings!$E$17),"WARN","STOP"))),"")</f>
        <v/>
      </c>
      <c r="V371" s="161">
        <f>IFERROR(ROUND(D371*(1-CHOOSE(MATCH(IF($E371="","Основний",$E371),{"Трафіковий","Основний","Маржинальний","Сезонний","Стратегічний"},0),Settings!$F$78,Settings!$F$80,Settings!$F$82,Settings!$F$84,Settings!$F$86))/6,2)*6,"")</f>
        <v/>
      </c>
      <c r="W371" s="142">
        <f>IFERROR(CHOOSE(MATCH(IF($E371="","Основний",$E371),{"Трафіковий","Основний","Маржинальний","Сезонний","Стратегічний"},0),Settings!$F$78,Settings!$F$80,Settings!$F$82,Settings!$F$84,Settings!$F$86),"")</f>
        <v/>
      </c>
      <c r="X371" s="148">
        <f>IFERROR((V371*(1-Settings!$F$17)-C371)/(V371*(1-Settings!$F$17)),"")</f>
        <v/>
      </c>
      <c r="Y371" s="149">
        <f>IFERROR(IF(V371="","",IF(V371&gt;=C371/(1-SKU_Base!AD371)/(1-Settings!$F$17),"OK",IF(V371&gt;=C371/(1-SKU_Base!AK371)/(1-Settings!$F$17),"WARN","STOP"))),"")</f>
        <v/>
      </c>
      <c r="Z371" s="161">
        <f>IFERROR(ROUND(D371*(1-CHOOSE(MATCH(IF($E371="","Основний",$E371),{"Трафіковий","Основний","Маржинальний","Сезонний","Стратегічний"},0),Settings!$G$78,Settings!$G$80,Settings!$G$82,Settings!$G$84,Settings!$G$86))/6,2)*6,"")</f>
        <v/>
      </c>
      <c r="AA371" s="142">
        <f>IFERROR(CHOOSE(MATCH(IF($E371="","Основний",$E371),{"Трафіковий","Основний","Маржинальний","Сезонний","Стратегічний"},0),Settings!$G$78,Settings!$G$80,Settings!$G$82,Settings!$G$84,Settings!$G$86),"")</f>
        <v/>
      </c>
      <c r="AB371" s="148">
        <f>IFERROR((Z371*(1-Settings!$G$17)-C371)/(Z371*(1-Settings!$G$17)),"")</f>
        <v/>
      </c>
      <c r="AC371" s="149">
        <f>IFERROR(IF(Z371="","",IF(Z371&gt;=C371/(1-SKU_Base!AE371)/(1-Settings!$G$17),"OK",IF(Z371&gt;=C371/(1-SKU_Base!AL371)/(1-Settings!$G$17),"WARN","STOP"))),"")</f>
        <v/>
      </c>
      <c r="AD371" s="161">
        <f>IFERROR(ROUND(D371*(1-CHOOSE(MATCH(IF($E371="","Основний",$E371),{"Трафіковий","Основний","Маржинальний","Сезонний","Стратегічний"},0),Settings!$H$78,Settings!$H$80,Settings!$H$82,Settings!$H$84,Settings!$H$86))*(1-Settings!$H$68)/6,2)*6,"")</f>
        <v/>
      </c>
      <c r="AE371" s="142">
        <f>IFERROR(CHOOSE(MATCH(IF($E371="","Основний",$E371),{"Трафіковий","Основний","Маржинальний","Сезонний","Стратегічний"},0),Settings!$H$78,Settings!$H$80,Settings!$H$82,Settings!$H$84,Settings!$H$86)+(1-(CHOOSE(MATCH(IF($E371="","Основний",$E371),{"Трафіковий","Основний","Маржинальний","Сезонний","Стратегічний"},0),Settings!$H$78,Settings!$H$80,Settings!$H$82,Settings!$H$84,Settings!$H$86)))*Settings!$H$68,"")</f>
        <v/>
      </c>
      <c r="AF371" s="148">
        <f>IFERROR((AD371*(1-Settings!$H$17)-C371)/(AD371*(1-Settings!$H$17)),"")</f>
        <v/>
      </c>
      <c r="AG371" s="150">
        <f>IFERROR(IF(AD371="","",IF(AD371&gt;=C371/(1-SKU_Base!AF371)/(1-Settings!$H$17),"OK",IF(AD371&gt;=C371/(1-SKU_Base!AM371)/(1-Settings!$H$17),"WARN","STOP"))),"")</f>
        <v/>
      </c>
    </row>
    <row r="372" ht="17" customHeight="1" s="179">
      <c r="A372" s="139">
        <f>SKU_Base!B372</f>
        <v/>
      </c>
      <c r="B372" s="139">
        <f>SKU_Base!C372</f>
        <v/>
      </c>
      <c r="C372" s="140">
        <f>IFERROR(SKU_Base!I372,"")</f>
        <v/>
      </c>
      <c r="D372" s="163">
        <f>IFERROR(SKU_Base!T372,"")</f>
        <v/>
      </c>
      <c r="E372" s="141">
        <f>IFERROR(SKU_Base!$U372,"")</f>
        <v/>
      </c>
      <c r="F372" s="158">
        <f>IFERROR(ROUND(D372*(1-CHOOSE(MATCH(IF($E372="","Основний",$E372),{"Трафіковий","Основний","Маржинальний","Сезонний","Стратегічний"},0),Settings!$B$78,Settings!$B$80,Settings!$B$82,Settings!$B$84,Settings!$B$86))/6,2)*6,"")</f>
        <v/>
      </c>
      <c r="G372" s="142">
        <f>IFERROR(CHOOSE(MATCH(IF($E372="","Основний",$E372),{"Трафіковий","Основний","Маржинальний","Сезонний","Стратегічний"},0),Settings!$B$78,Settings!$B$80,Settings!$B$82,Settings!$B$84,Settings!$B$86),"")</f>
        <v/>
      </c>
      <c r="H372" s="143">
        <f>IFERROR((F372*(1-Settings!$B$17)-C372)/(F372*(1-Settings!$B$17)),"")</f>
        <v/>
      </c>
      <c r="I372" s="149">
        <f>IFERROR(IF(F372="","",IF(F372&gt;=C372/(1-SKU_Base!Z372)/(1-Settings!$B$17),"OK",IF(F372&gt;=C372/(1-SKU_Base!AG372)/(1-Settings!$B$17),"WARN","STOP"))),"")</f>
        <v/>
      </c>
      <c r="J372" s="158">
        <f>IFERROR(ROUND(D372*(1-CHOOSE(MATCH(IF($E372="","Основний",$E372),{"Трафіковий","Основний","Маржинальний","Сезонний","Стратегічний"},0),Settings!$C$78,Settings!$C$80,Settings!$C$82,Settings!$C$84,Settings!$C$86))/6,2)*6,"")</f>
        <v/>
      </c>
      <c r="K372" s="142">
        <f>IFERROR(CHOOSE(MATCH(IF($E372="","Основний",$E372),{"Трафіковий","Основний","Маржинальний","Сезонний","Стратегічний"},0),Settings!$C$78,Settings!$C$80,Settings!$C$82,Settings!$C$84,Settings!$C$86),"")</f>
        <v/>
      </c>
      <c r="L372" s="143">
        <f>IFERROR((J372*(1-Settings!$C$17)-C372)/(J372*(1-Settings!$C$17)),"")</f>
        <v/>
      </c>
      <c r="M372" s="149">
        <f>IFERROR(IF(J372="","",IF(J372&gt;=C372/(1-SKU_Base!AA372)/(1-Settings!$C$17),"OK",IF(J372&gt;=C372/(1-SKU_Base!AH372)/(1-Settings!$C$17),"WARN","STOP"))),"")</f>
        <v/>
      </c>
      <c r="N372" s="159">
        <f>IFERROR(ROUND(D372*(1-CHOOSE(MATCH(IF($E372="","Основний",$E372),{"Трафіковий","Основний","Маржинальний","Сезонний","Стратегічний"},0),Settings!$D$78,Settings!$D$80,Settings!$D$82,Settings!$D$84,Settings!$D$86))/6,2)*6,"")</f>
        <v/>
      </c>
      <c r="O372" s="142">
        <f>IFERROR(CHOOSE(MATCH(IF($E372="","Основний",$E372),{"Трафіковий","Основний","Маржинальний","Сезонний","Стратегічний"},0),Settings!$D$78,Settings!$D$80,Settings!$D$82,Settings!$D$84,Settings!$D$86),"")</f>
        <v/>
      </c>
      <c r="P372" s="143">
        <f>IFERROR((N372*(1-Settings!$D$17)-C372)/(N372*(1-Settings!$D$17)),"")</f>
        <v/>
      </c>
      <c r="Q372" s="149">
        <f>IFERROR(IF(N372="","",IF(N372&gt;=C372/(1-SKU_Base!AB372)/(1-Settings!$D$17),"OK",IF(N372&gt;=C372/(1-SKU_Base!AI372)/(1-Settings!$D$17),"WARN","STOP"))),"")</f>
        <v/>
      </c>
      <c r="R372" s="159">
        <f>IFERROR(ROUND(D372*(1-CHOOSE(MATCH(IF($E372="","Основний",$E372),{"Трафіковий","Основний","Маржинальний","Сезонний","Стратегічний"},0),Settings!$E$78,Settings!$E$80,Settings!$E$82,Settings!$E$84,Settings!$E$86))/6,2)*6,"")</f>
        <v/>
      </c>
      <c r="S372" s="142">
        <f>IFERROR(CHOOSE(MATCH(IF($E372="","Основний",$E372),{"Трафіковий","Основний","Маржинальний","Сезонний","Стратегічний"},0),Settings!$E$78,Settings!$E$80,Settings!$E$82,Settings!$E$84,Settings!$E$86),"")</f>
        <v/>
      </c>
      <c r="T372" s="143">
        <f>IFERROR((R372*(1-Settings!$E$17)-C372)/(R372*(1-Settings!$E$17)),"")</f>
        <v/>
      </c>
      <c r="U372" s="149">
        <f>IFERROR(IF(R372="","",IF(R372&gt;=C372/(1-SKU_Base!AC372)/(1-Settings!$E$17),"OK",IF(R372&gt;=C372/(1-SKU_Base!AJ372)/(1-Settings!$E$17),"WARN","STOP"))),"")</f>
        <v/>
      </c>
      <c r="V372" s="159">
        <f>IFERROR(ROUND(D372*(1-CHOOSE(MATCH(IF($E372="","Основний",$E372),{"Трафіковий","Основний","Маржинальний","Сезонний","Стратегічний"},0),Settings!$F$78,Settings!$F$80,Settings!$F$82,Settings!$F$84,Settings!$F$86))/6,2)*6,"")</f>
        <v/>
      </c>
      <c r="W372" s="142">
        <f>IFERROR(CHOOSE(MATCH(IF($E372="","Основний",$E372),{"Трафіковий","Основний","Маржинальний","Сезонний","Стратегічний"},0),Settings!$F$78,Settings!$F$80,Settings!$F$82,Settings!$F$84,Settings!$F$86),"")</f>
        <v/>
      </c>
      <c r="X372" s="143">
        <f>IFERROR((V372*(1-Settings!$F$17)-C372)/(V372*(1-Settings!$F$17)),"")</f>
        <v/>
      </c>
      <c r="Y372" s="149">
        <f>IFERROR(IF(V372="","",IF(V372&gt;=C372/(1-SKU_Base!AD372)/(1-Settings!$F$17),"OK",IF(V372&gt;=C372/(1-SKU_Base!AK372)/(1-Settings!$F$17),"WARN","STOP"))),"")</f>
        <v/>
      </c>
      <c r="Z372" s="159">
        <f>IFERROR(ROUND(D372*(1-CHOOSE(MATCH(IF($E372="","Основний",$E372),{"Трафіковий","Основний","Маржинальний","Сезонний","Стратегічний"},0),Settings!$G$78,Settings!$G$80,Settings!$G$82,Settings!$G$84,Settings!$G$86))/6,2)*6,"")</f>
        <v/>
      </c>
      <c r="AA372" s="142">
        <f>IFERROR(CHOOSE(MATCH(IF($E372="","Основний",$E372),{"Трафіковий","Основний","Маржинальний","Сезонний","Стратегічний"},0),Settings!$G$78,Settings!$G$80,Settings!$G$82,Settings!$G$84,Settings!$G$86),"")</f>
        <v/>
      </c>
      <c r="AB372" s="143">
        <f>IFERROR((Z372*(1-Settings!$G$17)-C372)/(Z372*(1-Settings!$G$17)),"")</f>
        <v/>
      </c>
      <c r="AC372" s="149">
        <f>IFERROR(IF(Z372="","",IF(Z372&gt;=C372/(1-SKU_Base!AE372)/(1-Settings!$G$17),"OK",IF(Z372&gt;=C372/(1-SKU_Base!AL372)/(1-Settings!$G$17),"WARN","STOP"))),"")</f>
        <v/>
      </c>
      <c r="AD372" s="159">
        <f>IFERROR(ROUND(D372*(1-CHOOSE(MATCH(IF($E372="","Основний",$E372),{"Трафіковий","Основний","Маржинальний","Сезонний","Стратегічний"},0),Settings!$H$78,Settings!$H$80,Settings!$H$82,Settings!$H$84,Settings!$H$86))*(1-Settings!$H$68)/6,2)*6,"")</f>
        <v/>
      </c>
      <c r="AE372" s="142">
        <f>IFERROR(CHOOSE(MATCH(IF($E372="","Основний",$E372),{"Трафіковий","Основний","Маржинальний","Сезонний","Стратегічний"},0),Settings!$H$78,Settings!$H$80,Settings!$H$82,Settings!$H$84,Settings!$H$86)+(1-(CHOOSE(MATCH(IF($E372="","Основний",$E372),{"Трафіковий","Основний","Маржинальний","Сезонний","Стратегічний"},0),Settings!$H$78,Settings!$H$80,Settings!$H$82,Settings!$H$84,Settings!$H$86)))*Settings!$H$68,"")</f>
        <v/>
      </c>
      <c r="AF372" s="143">
        <f>IFERROR((AD372*(1-Settings!$H$17)-C372)/(AD372*(1-Settings!$H$17)),"")</f>
        <v/>
      </c>
      <c r="AG372" s="150">
        <f>IFERROR(IF(AD372="","",IF(AD372&gt;=C372/(1-SKU_Base!AF372)/(1-Settings!$H$17),"OK",IF(AD372&gt;=C372/(1-SKU_Base!AM372)/(1-Settings!$H$17),"WARN","STOP"))),"")</f>
        <v/>
      </c>
    </row>
    <row r="373" ht="17" customHeight="1" s="179">
      <c r="A373" s="146">
        <f>SKU_Base!B373</f>
        <v/>
      </c>
      <c r="B373" s="146">
        <f>SKU_Base!C373</f>
        <v/>
      </c>
      <c r="C373" s="147">
        <f>IFERROR(SKU_Base!I373,"")</f>
        <v/>
      </c>
      <c r="D373" s="164">
        <f>IFERROR(SKU_Base!T373,"")</f>
        <v/>
      </c>
      <c r="E373" s="141">
        <f>IFERROR(SKU_Base!$U373,"")</f>
        <v/>
      </c>
      <c r="F373" s="160">
        <f>IFERROR(ROUND(D373*(1-CHOOSE(MATCH(IF($E373="","Основний",$E373),{"Трафіковий","Основний","Маржинальний","Сезонний","Стратегічний"},0),Settings!$B$78,Settings!$B$80,Settings!$B$82,Settings!$B$84,Settings!$B$86))/6,2)*6,"")</f>
        <v/>
      </c>
      <c r="G373" s="142">
        <f>IFERROR(CHOOSE(MATCH(IF($E373="","Основний",$E373),{"Трафіковий","Основний","Маржинальний","Сезонний","Стратегічний"},0),Settings!$B$78,Settings!$B$80,Settings!$B$82,Settings!$B$84,Settings!$B$86),"")</f>
        <v/>
      </c>
      <c r="H373" s="148">
        <f>IFERROR((F373*(1-Settings!$B$17)-C373)/(F373*(1-Settings!$B$17)),"")</f>
        <v/>
      </c>
      <c r="I373" s="149">
        <f>IFERROR(IF(F373="","",IF(F373&gt;=C373/(1-SKU_Base!Z373)/(1-Settings!$B$17),"OK",IF(F373&gt;=C373/(1-SKU_Base!AG373)/(1-Settings!$B$17),"WARN","STOP"))),"")</f>
        <v/>
      </c>
      <c r="J373" s="160">
        <f>IFERROR(ROUND(D373*(1-CHOOSE(MATCH(IF($E373="","Основний",$E373),{"Трафіковий","Основний","Маржинальний","Сезонний","Стратегічний"},0),Settings!$C$78,Settings!$C$80,Settings!$C$82,Settings!$C$84,Settings!$C$86))/6,2)*6,"")</f>
        <v/>
      </c>
      <c r="K373" s="142">
        <f>IFERROR(CHOOSE(MATCH(IF($E373="","Основний",$E373),{"Трафіковий","Основний","Маржинальний","Сезонний","Стратегічний"},0),Settings!$C$78,Settings!$C$80,Settings!$C$82,Settings!$C$84,Settings!$C$86),"")</f>
        <v/>
      </c>
      <c r="L373" s="148">
        <f>IFERROR((J373*(1-Settings!$C$17)-C373)/(J373*(1-Settings!$C$17)),"")</f>
        <v/>
      </c>
      <c r="M373" s="149">
        <f>IFERROR(IF(J373="","",IF(J373&gt;=C373/(1-SKU_Base!AA373)/(1-Settings!$C$17),"OK",IF(J373&gt;=C373/(1-SKU_Base!AH373)/(1-Settings!$C$17),"WARN","STOP"))),"")</f>
        <v/>
      </c>
      <c r="N373" s="161">
        <f>IFERROR(ROUND(D373*(1-CHOOSE(MATCH(IF($E373="","Основний",$E373),{"Трафіковий","Основний","Маржинальний","Сезонний","Стратегічний"},0),Settings!$D$78,Settings!$D$80,Settings!$D$82,Settings!$D$84,Settings!$D$86))/6,2)*6,"")</f>
        <v/>
      </c>
      <c r="O373" s="142">
        <f>IFERROR(CHOOSE(MATCH(IF($E373="","Основний",$E373),{"Трафіковий","Основний","Маржинальний","Сезонний","Стратегічний"},0),Settings!$D$78,Settings!$D$80,Settings!$D$82,Settings!$D$84,Settings!$D$86),"")</f>
        <v/>
      </c>
      <c r="P373" s="148">
        <f>IFERROR((N373*(1-Settings!$D$17)-C373)/(N373*(1-Settings!$D$17)),"")</f>
        <v/>
      </c>
      <c r="Q373" s="149">
        <f>IFERROR(IF(N373="","",IF(N373&gt;=C373/(1-SKU_Base!AB373)/(1-Settings!$D$17),"OK",IF(N373&gt;=C373/(1-SKU_Base!AI373)/(1-Settings!$D$17),"WARN","STOP"))),"")</f>
        <v/>
      </c>
      <c r="R373" s="161">
        <f>IFERROR(ROUND(D373*(1-CHOOSE(MATCH(IF($E373="","Основний",$E373),{"Трафіковий","Основний","Маржинальний","Сезонний","Стратегічний"},0),Settings!$E$78,Settings!$E$80,Settings!$E$82,Settings!$E$84,Settings!$E$86))/6,2)*6,"")</f>
        <v/>
      </c>
      <c r="S373" s="142">
        <f>IFERROR(CHOOSE(MATCH(IF($E373="","Основний",$E373),{"Трафіковий","Основний","Маржинальний","Сезонний","Стратегічний"},0),Settings!$E$78,Settings!$E$80,Settings!$E$82,Settings!$E$84,Settings!$E$86),"")</f>
        <v/>
      </c>
      <c r="T373" s="148">
        <f>IFERROR((R373*(1-Settings!$E$17)-C373)/(R373*(1-Settings!$E$17)),"")</f>
        <v/>
      </c>
      <c r="U373" s="149">
        <f>IFERROR(IF(R373="","",IF(R373&gt;=C373/(1-SKU_Base!AC373)/(1-Settings!$E$17),"OK",IF(R373&gt;=C373/(1-SKU_Base!AJ373)/(1-Settings!$E$17),"WARN","STOP"))),"")</f>
        <v/>
      </c>
      <c r="V373" s="161">
        <f>IFERROR(ROUND(D373*(1-CHOOSE(MATCH(IF($E373="","Основний",$E373),{"Трафіковий","Основний","Маржинальний","Сезонний","Стратегічний"},0),Settings!$F$78,Settings!$F$80,Settings!$F$82,Settings!$F$84,Settings!$F$86))/6,2)*6,"")</f>
        <v/>
      </c>
      <c r="W373" s="142">
        <f>IFERROR(CHOOSE(MATCH(IF($E373="","Основний",$E373),{"Трафіковий","Основний","Маржинальний","Сезонний","Стратегічний"},0),Settings!$F$78,Settings!$F$80,Settings!$F$82,Settings!$F$84,Settings!$F$86),"")</f>
        <v/>
      </c>
      <c r="X373" s="148">
        <f>IFERROR((V373*(1-Settings!$F$17)-C373)/(V373*(1-Settings!$F$17)),"")</f>
        <v/>
      </c>
      <c r="Y373" s="149">
        <f>IFERROR(IF(V373="","",IF(V373&gt;=C373/(1-SKU_Base!AD373)/(1-Settings!$F$17),"OK",IF(V373&gt;=C373/(1-SKU_Base!AK373)/(1-Settings!$F$17),"WARN","STOP"))),"")</f>
        <v/>
      </c>
      <c r="Z373" s="161">
        <f>IFERROR(ROUND(D373*(1-CHOOSE(MATCH(IF($E373="","Основний",$E373),{"Трафіковий","Основний","Маржинальний","Сезонний","Стратегічний"},0),Settings!$G$78,Settings!$G$80,Settings!$G$82,Settings!$G$84,Settings!$G$86))/6,2)*6,"")</f>
        <v/>
      </c>
      <c r="AA373" s="142">
        <f>IFERROR(CHOOSE(MATCH(IF($E373="","Основний",$E373),{"Трафіковий","Основний","Маржинальний","Сезонний","Стратегічний"},0),Settings!$G$78,Settings!$G$80,Settings!$G$82,Settings!$G$84,Settings!$G$86),"")</f>
        <v/>
      </c>
      <c r="AB373" s="148">
        <f>IFERROR((Z373*(1-Settings!$G$17)-C373)/(Z373*(1-Settings!$G$17)),"")</f>
        <v/>
      </c>
      <c r="AC373" s="149">
        <f>IFERROR(IF(Z373="","",IF(Z373&gt;=C373/(1-SKU_Base!AE373)/(1-Settings!$G$17),"OK",IF(Z373&gt;=C373/(1-SKU_Base!AL373)/(1-Settings!$G$17),"WARN","STOP"))),"")</f>
        <v/>
      </c>
      <c r="AD373" s="161">
        <f>IFERROR(ROUND(D373*(1-CHOOSE(MATCH(IF($E373="","Основний",$E373),{"Трафіковий","Основний","Маржинальний","Сезонний","Стратегічний"},0),Settings!$H$78,Settings!$H$80,Settings!$H$82,Settings!$H$84,Settings!$H$86))*(1-Settings!$H$68)/6,2)*6,"")</f>
        <v/>
      </c>
      <c r="AE373" s="142">
        <f>IFERROR(CHOOSE(MATCH(IF($E373="","Основний",$E373),{"Трафіковий","Основний","Маржинальний","Сезонний","Стратегічний"},0),Settings!$H$78,Settings!$H$80,Settings!$H$82,Settings!$H$84,Settings!$H$86)+(1-(CHOOSE(MATCH(IF($E373="","Основний",$E373),{"Трафіковий","Основний","Маржинальний","Сезонний","Стратегічний"},0),Settings!$H$78,Settings!$H$80,Settings!$H$82,Settings!$H$84,Settings!$H$86)))*Settings!$H$68,"")</f>
        <v/>
      </c>
      <c r="AF373" s="148">
        <f>IFERROR((AD373*(1-Settings!$H$17)-C373)/(AD373*(1-Settings!$H$17)),"")</f>
        <v/>
      </c>
      <c r="AG373" s="149">
        <f>IFERROR(IF(AD373="","",IF(AD373&gt;=C373/(1-SKU_Base!AF373)/(1-Settings!$H$17),"OK",IF(AD373&gt;=C373/(1-SKU_Base!AM373)/(1-Settings!$H$17),"WARN","STOP"))),"")</f>
        <v/>
      </c>
    </row>
    <row r="374" ht="17" customHeight="1" s="179">
      <c r="A374" s="139">
        <f>SKU_Base!B374</f>
        <v/>
      </c>
      <c r="B374" s="139">
        <f>SKU_Base!C374</f>
        <v/>
      </c>
      <c r="C374" s="140">
        <f>IFERROR(SKU_Base!I374,"")</f>
        <v/>
      </c>
      <c r="D374" s="163">
        <f>IFERROR(SKU_Base!T374,"")</f>
        <v/>
      </c>
      <c r="E374" s="141">
        <f>IFERROR(SKU_Base!$U374,"")</f>
        <v/>
      </c>
      <c r="F374" s="158">
        <f>IFERROR(ROUND(D374*(1-CHOOSE(MATCH(IF($E374="","Основний",$E374),{"Трафіковий","Основний","Маржинальний","Сезонний","Стратегічний"},0),Settings!$B$78,Settings!$B$80,Settings!$B$82,Settings!$B$84,Settings!$B$86))/6,2)*6,"")</f>
        <v/>
      </c>
      <c r="G374" s="142">
        <f>IFERROR(CHOOSE(MATCH(IF($E374="","Основний",$E374),{"Трафіковий","Основний","Маржинальний","Сезонний","Стратегічний"},0),Settings!$B$78,Settings!$B$80,Settings!$B$82,Settings!$B$84,Settings!$B$86),"")</f>
        <v/>
      </c>
      <c r="H374" s="143">
        <f>IFERROR((F374*(1-Settings!$B$17)-C374)/(F374*(1-Settings!$B$17)),"")</f>
        <v/>
      </c>
      <c r="I374" s="149">
        <f>IFERROR(IF(F374="","",IF(F374&gt;=C374/(1-SKU_Base!Z374)/(1-Settings!$B$17),"OK",IF(F374&gt;=C374/(1-SKU_Base!AG374)/(1-Settings!$B$17),"WARN","STOP"))),"")</f>
        <v/>
      </c>
      <c r="J374" s="158">
        <f>IFERROR(ROUND(D374*(1-CHOOSE(MATCH(IF($E374="","Основний",$E374),{"Трафіковий","Основний","Маржинальний","Сезонний","Стратегічний"},0),Settings!$C$78,Settings!$C$80,Settings!$C$82,Settings!$C$84,Settings!$C$86))/6,2)*6,"")</f>
        <v/>
      </c>
      <c r="K374" s="142">
        <f>IFERROR(CHOOSE(MATCH(IF($E374="","Основний",$E374),{"Трафіковий","Основний","Маржинальний","Сезонний","Стратегічний"},0),Settings!$C$78,Settings!$C$80,Settings!$C$82,Settings!$C$84,Settings!$C$86),"")</f>
        <v/>
      </c>
      <c r="L374" s="143">
        <f>IFERROR((J374*(1-Settings!$C$17)-C374)/(J374*(1-Settings!$C$17)),"")</f>
        <v/>
      </c>
      <c r="M374" s="149">
        <f>IFERROR(IF(J374="","",IF(J374&gt;=C374/(1-SKU_Base!AA374)/(1-Settings!$C$17),"OK",IF(J374&gt;=C374/(1-SKU_Base!AH374)/(1-Settings!$C$17),"WARN","STOP"))),"")</f>
        <v/>
      </c>
      <c r="N374" s="159">
        <f>IFERROR(ROUND(D374*(1-CHOOSE(MATCH(IF($E374="","Основний",$E374),{"Трафіковий","Основний","Маржинальний","Сезонний","Стратегічний"},0),Settings!$D$78,Settings!$D$80,Settings!$D$82,Settings!$D$84,Settings!$D$86))/6,2)*6,"")</f>
        <v/>
      </c>
      <c r="O374" s="142">
        <f>IFERROR(CHOOSE(MATCH(IF($E374="","Основний",$E374),{"Трафіковий","Основний","Маржинальний","Сезонний","Стратегічний"},0),Settings!$D$78,Settings!$D$80,Settings!$D$82,Settings!$D$84,Settings!$D$86),"")</f>
        <v/>
      </c>
      <c r="P374" s="143">
        <f>IFERROR((N374*(1-Settings!$D$17)-C374)/(N374*(1-Settings!$D$17)),"")</f>
        <v/>
      </c>
      <c r="Q374" s="149">
        <f>IFERROR(IF(N374="","",IF(N374&gt;=C374/(1-SKU_Base!AB374)/(1-Settings!$D$17),"OK",IF(N374&gt;=C374/(1-SKU_Base!AI374)/(1-Settings!$D$17),"WARN","STOP"))),"")</f>
        <v/>
      </c>
      <c r="R374" s="159">
        <f>IFERROR(ROUND(D374*(1-CHOOSE(MATCH(IF($E374="","Основний",$E374),{"Трафіковий","Основний","Маржинальний","Сезонний","Стратегічний"},0),Settings!$E$78,Settings!$E$80,Settings!$E$82,Settings!$E$84,Settings!$E$86))/6,2)*6,"")</f>
        <v/>
      </c>
      <c r="S374" s="142">
        <f>IFERROR(CHOOSE(MATCH(IF($E374="","Основний",$E374),{"Трафіковий","Основний","Маржинальний","Сезонний","Стратегічний"},0),Settings!$E$78,Settings!$E$80,Settings!$E$82,Settings!$E$84,Settings!$E$86),"")</f>
        <v/>
      </c>
      <c r="T374" s="143">
        <f>IFERROR((R374*(1-Settings!$E$17)-C374)/(R374*(1-Settings!$E$17)),"")</f>
        <v/>
      </c>
      <c r="U374" s="149">
        <f>IFERROR(IF(R374="","",IF(R374&gt;=C374/(1-SKU_Base!AC374)/(1-Settings!$E$17),"OK",IF(R374&gt;=C374/(1-SKU_Base!AJ374)/(1-Settings!$E$17),"WARN","STOP"))),"")</f>
        <v/>
      </c>
      <c r="V374" s="159">
        <f>IFERROR(ROUND(D374*(1-CHOOSE(MATCH(IF($E374="","Основний",$E374),{"Трафіковий","Основний","Маржинальний","Сезонний","Стратегічний"},0),Settings!$F$78,Settings!$F$80,Settings!$F$82,Settings!$F$84,Settings!$F$86))/6,2)*6,"")</f>
        <v/>
      </c>
      <c r="W374" s="142">
        <f>IFERROR(CHOOSE(MATCH(IF($E374="","Основний",$E374),{"Трафіковий","Основний","Маржинальний","Сезонний","Стратегічний"},0),Settings!$F$78,Settings!$F$80,Settings!$F$82,Settings!$F$84,Settings!$F$86),"")</f>
        <v/>
      </c>
      <c r="X374" s="143">
        <f>IFERROR((V374*(1-Settings!$F$17)-C374)/(V374*(1-Settings!$F$17)),"")</f>
        <v/>
      </c>
      <c r="Y374" s="149">
        <f>IFERROR(IF(V374="","",IF(V374&gt;=C374/(1-SKU_Base!AD374)/(1-Settings!$F$17),"OK",IF(V374&gt;=C374/(1-SKU_Base!AK374)/(1-Settings!$F$17),"WARN","STOP"))),"")</f>
        <v/>
      </c>
      <c r="Z374" s="159">
        <f>IFERROR(ROUND(D374*(1-CHOOSE(MATCH(IF($E374="","Основний",$E374),{"Трафіковий","Основний","Маржинальний","Сезонний","Стратегічний"},0),Settings!$G$78,Settings!$G$80,Settings!$G$82,Settings!$G$84,Settings!$G$86))/6,2)*6,"")</f>
        <v/>
      </c>
      <c r="AA374" s="142">
        <f>IFERROR(CHOOSE(MATCH(IF($E374="","Основний",$E374),{"Трафіковий","Основний","Маржинальний","Сезонний","Стратегічний"},0),Settings!$G$78,Settings!$G$80,Settings!$G$82,Settings!$G$84,Settings!$G$86),"")</f>
        <v/>
      </c>
      <c r="AB374" s="143">
        <f>IFERROR((Z374*(1-Settings!$G$17)-C374)/(Z374*(1-Settings!$G$17)),"")</f>
        <v/>
      </c>
      <c r="AC374" s="149">
        <f>IFERROR(IF(Z374="","",IF(Z374&gt;=C374/(1-SKU_Base!AE374)/(1-Settings!$G$17),"OK",IF(Z374&gt;=C374/(1-SKU_Base!AL374)/(1-Settings!$G$17),"WARN","STOP"))),"")</f>
        <v/>
      </c>
      <c r="AD374" s="159">
        <f>IFERROR(ROUND(D374*(1-CHOOSE(MATCH(IF($E374="","Основний",$E374),{"Трафіковий","Основний","Маржинальний","Сезонний","Стратегічний"},0),Settings!$H$78,Settings!$H$80,Settings!$H$82,Settings!$H$84,Settings!$H$86))*(1-Settings!$H$68)/6,2)*6,"")</f>
        <v/>
      </c>
      <c r="AE374" s="142">
        <f>IFERROR(CHOOSE(MATCH(IF($E374="","Основний",$E374),{"Трафіковий","Основний","Маржинальний","Сезонний","Стратегічний"},0),Settings!$H$78,Settings!$H$80,Settings!$H$82,Settings!$H$84,Settings!$H$86)+(1-(CHOOSE(MATCH(IF($E374="","Основний",$E374),{"Трафіковий","Основний","Маржинальний","Сезонний","Стратегічний"},0),Settings!$H$78,Settings!$H$80,Settings!$H$82,Settings!$H$84,Settings!$H$86)))*Settings!$H$68,"")</f>
        <v/>
      </c>
      <c r="AF374" s="143">
        <f>IFERROR((AD374*(1-Settings!$H$17)-C374)/(AD374*(1-Settings!$H$17)),"")</f>
        <v/>
      </c>
      <c r="AG374" s="150">
        <f>IFERROR(IF(AD374="","",IF(AD374&gt;=C374/(1-SKU_Base!AF374)/(1-Settings!$H$17),"OK",IF(AD374&gt;=C374/(1-SKU_Base!AM374)/(1-Settings!$H$17),"WARN","STOP"))),"")</f>
        <v/>
      </c>
    </row>
    <row r="375" ht="17" customHeight="1" s="179">
      <c r="A375" s="146">
        <f>SKU_Base!B375</f>
        <v/>
      </c>
      <c r="B375" s="146">
        <f>SKU_Base!C375</f>
        <v/>
      </c>
      <c r="C375" s="147">
        <f>IFERROR(SKU_Base!I375,"")</f>
        <v/>
      </c>
      <c r="D375" s="164">
        <f>IFERROR(SKU_Base!T375,"")</f>
        <v/>
      </c>
      <c r="E375" s="141">
        <f>IFERROR(SKU_Base!$U375,"")</f>
        <v/>
      </c>
      <c r="F375" s="160">
        <f>IFERROR(ROUND(D375*(1-CHOOSE(MATCH(IF($E375="","Основний",$E375),{"Трафіковий","Основний","Маржинальний","Сезонний","Стратегічний"},0),Settings!$B$78,Settings!$B$80,Settings!$B$82,Settings!$B$84,Settings!$B$86))/6,2)*6,"")</f>
        <v/>
      </c>
      <c r="G375" s="142">
        <f>IFERROR(CHOOSE(MATCH(IF($E375="","Основний",$E375),{"Трафіковий","Основний","Маржинальний","Сезонний","Стратегічний"},0),Settings!$B$78,Settings!$B$80,Settings!$B$82,Settings!$B$84,Settings!$B$86),"")</f>
        <v/>
      </c>
      <c r="H375" s="148">
        <f>IFERROR((F375*(1-Settings!$B$17)-C375)/(F375*(1-Settings!$B$17)),"")</f>
        <v/>
      </c>
      <c r="I375" s="150">
        <f>IFERROR(IF(F375="","",IF(F375&gt;=C375/(1-SKU_Base!Z375)/(1-Settings!$B$17),"OK",IF(F375&gt;=C375/(1-SKU_Base!AG375)/(1-Settings!$B$17),"WARN","STOP"))),"")</f>
        <v/>
      </c>
      <c r="J375" s="160">
        <f>IFERROR(ROUND(D375*(1-CHOOSE(MATCH(IF($E375="","Основний",$E375),{"Трафіковий","Основний","Маржинальний","Сезонний","Стратегічний"},0),Settings!$C$78,Settings!$C$80,Settings!$C$82,Settings!$C$84,Settings!$C$86))/6,2)*6,"")</f>
        <v/>
      </c>
      <c r="K375" s="142">
        <f>IFERROR(CHOOSE(MATCH(IF($E375="","Основний",$E375),{"Трафіковий","Основний","Маржинальний","Сезонний","Стратегічний"},0),Settings!$C$78,Settings!$C$80,Settings!$C$82,Settings!$C$84,Settings!$C$86),"")</f>
        <v/>
      </c>
      <c r="L375" s="148">
        <f>IFERROR((J375*(1-Settings!$C$17)-C375)/(J375*(1-Settings!$C$17)),"")</f>
        <v/>
      </c>
      <c r="M375" s="149">
        <f>IFERROR(IF(J375="","",IF(J375&gt;=C375/(1-SKU_Base!AA375)/(1-Settings!$C$17),"OK",IF(J375&gt;=C375/(1-SKU_Base!AH375)/(1-Settings!$C$17),"WARN","STOP"))),"")</f>
        <v/>
      </c>
      <c r="N375" s="161">
        <f>IFERROR(ROUND(D375*(1-CHOOSE(MATCH(IF($E375="","Основний",$E375),{"Трафіковий","Основний","Маржинальний","Сезонний","Стратегічний"},0),Settings!$D$78,Settings!$D$80,Settings!$D$82,Settings!$D$84,Settings!$D$86))/6,2)*6,"")</f>
        <v/>
      </c>
      <c r="O375" s="142">
        <f>IFERROR(CHOOSE(MATCH(IF($E375="","Основний",$E375),{"Трафіковий","Основний","Маржинальний","Сезонний","Стратегічний"},0),Settings!$D$78,Settings!$D$80,Settings!$D$82,Settings!$D$84,Settings!$D$86),"")</f>
        <v/>
      </c>
      <c r="P375" s="148">
        <f>IFERROR((N375*(1-Settings!$D$17)-C375)/(N375*(1-Settings!$D$17)),"")</f>
        <v/>
      </c>
      <c r="Q375" s="149">
        <f>IFERROR(IF(N375="","",IF(N375&gt;=C375/(1-SKU_Base!AB375)/(1-Settings!$D$17),"OK",IF(N375&gt;=C375/(1-SKU_Base!AI375)/(1-Settings!$D$17),"WARN","STOP"))),"")</f>
        <v/>
      </c>
      <c r="R375" s="161">
        <f>IFERROR(ROUND(D375*(1-CHOOSE(MATCH(IF($E375="","Основний",$E375),{"Трафіковий","Основний","Маржинальний","Сезонний","Стратегічний"},0),Settings!$E$78,Settings!$E$80,Settings!$E$82,Settings!$E$84,Settings!$E$86))/6,2)*6,"")</f>
        <v/>
      </c>
      <c r="S375" s="142">
        <f>IFERROR(CHOOSE(MATCH(IF($E375="","Основний",$E375),{"Трафіковий","Основний","Маржинальний","Сезонний","Стратегічний"},0),Settings!$E$78,Settings!$E$80,Settings!$E$82,Settings!$E$84,Settings!$E$86),"")</f>
        <v/>
      </c>
      <c r="T375" s="148">
        <f>IFERROR((R375*(1-Settings!$E$17)-C375)/(R375*(1-Settings!$E$17)),"")</f>
        <v/>
      </c>
      <c r="U375" s="149">
        <f>IFERROR(IF(R375="","",IF(R375&gt;=C375/(1-SKU_Base!AC375)/(1-Settings!$E$17),"OK",IF(R375&gt;=C375/(1-SKU_Base!AJ375)/(1-Settings!$E$17),"WARN","STOP"))),"")</f>
        <v/>
      </c>
      <c r="V375" s="161">
        <f>IFERROR(ROUND(D375*(1-CHOOSE(MATCH(IF($E375="","Основний",$E375),{"Трафіковий","Основний","Маржинальний","Сезонний","Стратегічний"},0),Settings!$F$78,Settings!$F$80,Settings!$F$82,Settings!$F$84,Settings!$F$86))/6,2)*6,"")</f>
        <v/>
      </c>
      <c r="W375" s="142">
        <f>IFERROR(CHOOSE(MATCH(IF($E375="","Основний",$E375),{"Трафіковий","Основний","Маржинальний","Сезонний","Стратегічний"},0),Settings!$F$78,Settings!$F$80,Settings!$F$82,Settings!$F$84,Settings!$F$86),"")</f>
        <v/>
      </c>
      <c r="X375" s="148">
        <f>IFERROR((V375*(1-Settings!$F$17)-C375)/(V375*(1-Settings!$F$17)),"")</f>
        <v/>
      </c>
      <c r="Y375" s="149">
        <f>IFERROR(IF(V375="","",IF(V375&gt;=C375/(1-SKU_Base!AD375)/(1-Settings!$F$17),"OK",IF(V375&gt;=C375/(1-SKU_Base!AK375)/(1-Settings!$F$17),"WARN","STOP"))),"")</f>
        <v/>
      </c>
      <c r="Z375" s="161">
        <f>IFERROR(ROUND(D375*(1-CHOOSE(MATCH(IF($E375="","Основний",$E375),{"Трафіковий","Основний","Маржинальний","Сезонний","Стратегічний"},0),Settings!$G$78,Settings!$G$80,Settings!$G$82,Settings!$G$84,Settings!$G$86))/6,2)*6,"")</f>
        <v/>
      </c>
      <c r="AA375" s="142">
        <f>IFERROR(CHOOSE(MATCH(IF($E375="","Основний",$E375),{"Трафіковий","Основний","Маржинальний","Сезонний","Стратегічний"},0),Settings!$G$78,Settings!$G$80,Settings!$G$82,Settings!$G$84,Settings!$G$86),"")</f>
        <v/>
      </c>
      <c r="AB375" s="148">
        <f>IFERROR((Z375*(1-Settings!$G$17)-C375)/(Z375*(1-Settings!$G$17)),"")</f>
        <v/>
      </c>
      <c r="AC375" s="149">
        <f>IFERROR(IF(Z375="","",IF(Z375&gt;=C375/(1-SKU_Base!AE375)/(1-Settings!$G$17),"OK",IF(Z375&gt;=C375/(1-SKU_Base!AL375)/(1-Settings!$G$17),"WARN","STOP"))),"")</f>
        <v/>
      </c>
      <c r="AD375" s="161">
        <f>IFERROR(ROUND(D375*(1-CHOOSE(MATCH(IF($E375="","Основний",$E375),{"Трафіковий","Основний","Маржинальний","Сезонний","Стратегічний"},0),Settings!$H$78,Settings!$H$80,Settings!$H$82,Settings!$H$84,Settings!$H$86))*(1-Settings!$H$68)/6,2)*6,"")</f>
        <v/>
      </c>
      <c r="AE375" s="142">
        <f>IFERROR(CHOOSE(MATCH(IF($E375="","Основний",$E375),{"Трафіковий","Основний","Маржинальний","Сезонний","Стратегічний"},0),Settings!$H$78,Settings!$H$80,Settings!$H$82,Settings!$H$84,Settings!$H$86)+(1-(CHOOSE(MATCH(IF($E375="","Основний",$E375),{"Трафіковий","Основний","Маржинальний","Сезонний","Стратегічний"},0),Settings!$H$78,Settings!$H$80,Settings!$H$82,Settings!$H$84,Settings!$H$86)))*Settings!$H$68,"")</f>
        <v/>
      </c>
      <c r="AF375" s="148">
        <f>IFERROR((AD375*(1-Settings!$H$17)-C375)/(AD375*(1-Settings!$H$17)),"")</f>
        <v/>
      </c>
      <c r="AG375" s="150">
        <f>IFERROR(IF(AD375="","",IF(AD375&gt;=C375/(1-SKU_Base!AF375)/(1-Settings!$H$17),"OK",IF(AD375&gt;=C375/(1-SKU_Base!AM375)/(1-Settings!$H$17),"WARN","STOP"))),"")</f>
        <v/>
      </c>
    </row>
    <row r="376" ht="17" customHeight="1" s="179">
      <c r="A376" s="139">
        <f>SKU_Base!B376</f>
        <v/>
      </c>
      <c r="B376" s="139">
        <f>SKU_Base!C376</f>
        <v/>
      </c>
      <c r="C376" s="140">
        <f>IFERROR(SKU_Base!I376,"")</f>
        <v/>
      </c>
      <c r="D376" s="163">
        <f>IFERROR(SKU_Base!T376,"")</f>
        <v/>
      </c>
      <c r="E376" s="141">
        <f>IFERROR(SKU_Base!$U376,"")</f>
        <v/>
      </c>
      <c r="F376" s="158">
        <f>IFERROR(ROUND(D376*(1-CHOOSE(MATCH(IF($E376="","Основний",$E376),{"Трафіковий","Основний","Маржинальний","Сезонний","Стратегічний"},0),Settings!$B$78,Settings!$B$80,Settings!$B$82,Settings!$B$84,Settings!$B$86))/6,2)*6,"")</f>
        <v/>
      </c>
      <c r="G376" s="142">
        <f>IFERROR(CHOOSE(MATCH(IF($E376="","Основний",$E376),{"Трафіковий","Основний","Маржинальний","Сезонний","Стратегічний"},0),Settings!$B$78,Settings!$B$80,Settings!$B$82,Settings!$B$84,Settings!$B$86),"")</f>
        <v/>
      </c>
      <c r="H376" s="143">
        <f>IFERROR((F376*(1-Settings!$B$17)-C376)/(F376*(1-Settings!$B$17)),"")</f>
        <v/>
      </c>
      <c r="I376" s="149">
        <f>IFERROR(IF(F376="","",IF(F376&gt;=C376/(1-SKU_Base!Z376)/(1-Settings!$B$17),"OK",IF(F376&gt;=C376/(1-SKU_Base!AG376)/(1-Settings!$B$17),"WARN","STOP"))),"")</f>
        <v/>
      </c>
      <c r="J376" s="158">
        <f>IFERROR(ROUND(D376*(1-CHOOSE(MATCH(IF($E376="","Основний",$E376),{"Трафіковий","Основний","Маржинальний","Сезонний","Стратегічний"},0),Settings!$C$78,Settings!$C$80,Settings!$C$82,Settings!$C$84,Settings!$C$86))/6,2)*6,"")</f>
        <v/>
      </c>
      <c r="K376" s="142">
        <f>IFERROR(CHOOSE(MATCH(IF($E376="","Основний",$E376),{"Трафіковий","Основний","Маржинальний","Сезонний","Стратегічний"},0),Settings!$C$78,Settings!$C$80,Settings!$C$82,Settings!$C$84,Settings!$C$86),"")</f>
        <v/>
      </c>
      <c r="L376" s="143">
        <f>IFERROR((J376*(1-Settings!$C$17)-C376)/(J376*(1-Settings!$C$17)),"")</f>
        <v/>
      </c>
      <c r="M376" s="149">
        <f>IFERROR(IF(J376="","",IF(J376&gt;=C376/(1-SKU_Base!AA376)/(1-Settings!$C$17),"OK",IF(J376&gt;=C376/(1-SKU_Base!AH376)/(1-Settings!$C$17),"WARN","STOP"))),"")</f>
        <v/>
      </c>
      <c r="N376" s="159">
        <f>IFERROR(ROUND(D376*(1-CHOOSE(MATCH(IF($E376="","Основний",$E376),{"Трафіковий","Основний","Маржинальний","Сезонний","Стратегічний"},0),Settings!$D$78,Settings!$D$80,Settings!$D$82,Settings!$D$84,Settings!$D$86))/6,2)*6,"")</f>
        <v/>
      </c>
      <c r="O376" s="142">
        <f>IFERROR(CHOOSE(MATCH(IF($E376="","Основний",$E376),{"Трафіковий","Основний","Маржинальний","Сезонний","Стратегічний"},0),Settings!$D$78,Settings!$D$80,Settings!$D$82,Settings!$D$84,Settings!$D$86),"")</f>
        <v/>
      </c>
      <c r="P376" s="143">
        <f>IFERROR((N376*(1-Settings!$D$17)-C376)/(N376*(1-Settings!$D$17)),"")</f>
        <v/>
      </c>
      <c r="Q376" s="149">
        <f>IFERROR(IF(N376="","",IF(N376&gt;=C376/(1-SKU_Base!AB376)/(1-Settings!$D$17),"OK",IF(N376&gt;=C376/(1-SKU_Base!AI376)/(1-Settings!$D$17),"WARN","STOP"))),"")</f>
        <v/>
      </c>
      <c r="R376" s="159">
        <f>IFERROR(ROUND(D376*(1-CHOOSE(MATCH(IF($E376="","Основний",$E376),{"Трафіковий","Основний","Маржинальний","Сезонний","Стратегічний"},0),Settings!$E$78,Settings!$E$80,Settings!$E$82,Settings!$E$84,Settings!$E$86))/6,2)*6,"")</f>
        <v/>
      </c>
      <c r="S376" s="142">
        <f>IFERROR(CHOOSE(MATCH(IF($E376="","Основний",$E376),{"Трафіковий","Основний","Маржинальний","Сезонний","Стратегічний"},0),Settings!$E$78,Settings!$E$80,Settings!$E$82,Settings!$E$84,Settings!$E$86),"")</f>
        <v/>
      </c>
      <c r="T376" s="143">
        <f>IFERROR((R376*(1-Settings!$E$17)-C376)/(R376*(1-Settings!$E$17)),"")</f>
        <v/>
      </c>
      <c r="U376" s="149">
        <f>IFERROR(IF(R376="","",IF(R376&gt;=C376/(1-SKU_Base!AC376)/(1-Settings!$E$17),"OK",IF(R376&gt;=C376/(1-SKU_Base!AJ376)/(1-Settings!$E$17),"WARN","STOP"))),"")</f>
        <v/>
      </c>
      <c r="V376" s="159">
        <f>IFERROR(ROUND(D376*(1-CHOOSE(MATCH(IF($E376="","Основний",$E376),{"Трафіковий","Основний","Маржинальний","Сезонний","Стратегічний"},0),Settings!$F$78,Settings!$F$80,Settings!$F$82,Settings!$F$84,Settings!$F$86))/6,2)*6,"")</f>
        <v/>
      </c>
      <c r="W376" s="142">
        <f>IFERROR(CHOOSE(MATCH(IF($E376="","Основний",$E376),{"Трафіковий","Основний","Маржинальний","Сезонний","Стратегічний"},0),Settings!$F$78,Settings!$F$80,Settings!$F$82,Settings!$F$84,Settings!$F$86),"")</f>
        <v/>
      </c>
      <c r="X376" s="143">
        <f>IFERROR((V376*(1-Settings!$F$17)-C376)/(V376*(1-Settings!$F$17)),"")</f>
        <v/>
      </c>
      <c r="Y376" s="149">
        <f>IFERROR(IF(V376="","",IF(V376&gt;=C376/(1-SKU_Base!AD376)/(1-Settings!$F$17),"OK",IF(V376&gt;=C376/(1-SKU_Base!AK376)/(1-Settings!$F$17),"WARN","STOP"))),"")</f>
        <v/>
      </c>
      <c r="Z376" s="159">
        <f>IFERROR(ROUND(D376*(1-CHOOSE(MATCH(IF($E376="","Основний",$E376),{"Трафіковий","Основний","Маржинальний","Сезонний","Стратегічний"},0),Settings!$G$78,Settings!$G$80,Settings!$G$82,Settings!$G$84,Settings!$G$86))/6,2)*6,"")</f>
        <v/>
      </c>
      <c r="AA376" s="142">
        <f>IFERROR(CHOOSE(MATCH(IF($E376="","Основний",$E376),{"Трафіковий","Основний","Маржинальний","Сезонний","Стратегічний"},0),Settings!$G$78,Settings!$G$80,Settings!$G$82,Settings!$G$84,Settings!$G$86),"")</f>
        <v/>
      </c>
      <c r="AB376" s="143">
        <f>IFERROR((Z376*(1-Settings!$G$17)-C376)/(Z376*(1-Settings!$G$17)),"")</f>
        <v/>
      </c>
      <c r="AC376" s="149">
        <f>IFERROR(IF(Z376="","",IF(Z376&gt;=C376/(1-SKU_Base!AE376)/(1-Settings!$G$17),"OK",IF(Z376&gt;=C376/(1-SKU_Base!AL376)/(1-Settings!$G$17),"WARN","STOP"))),"")</f>
        <v/>
      </c>
      <c r="AD376" s="159">
        <f>IFERROR(ROUND(D376*(1-CHOOSE(MATCH(IF($E376="","Основний",$E376),{"Трафіковий","Основний","Маржинальний","Сезонний","Стратегічний"},0),Settings!$H$78,Settings!$H$80,Settings!$H$82,Settings!$H$84,Settings!$H$86))*(1-Settings!$H$68)/6,2)*6,"")</f>
        <v/>
      </c>
      <c r="AE376" s="142">
        <f>IFERROR(CHOOSE(MATCH(IF($E376="","Основний",$E376),{"Трафіковий","Основний","Маржинальний","Сезонний","Стратегічний"},0),Settings!$H$78,Settings!$H$80,Settings!$H$82,Settings!$H$84,Settings!$H$86)+(1-(CHOOSE(MATCH(IF($E376="","Основний",$E376),{"Трафіковий","Основний","Маржинальний","Сезонний","Стратегічний"},0),Settings!$H$78,Settings!$H$80,Settings!$H$82,Settings!$H$84,Settings!$H$86)))*Settings!$H$68,"")</f>
        <v/>
      </c>
      <c r="AF376" s="143">
        <f>IFERROR((AD376*(1-Settings!$H$17)-C376)/(AD376*(1-Settings!$H$17)),"")</f>
        <v/>
      </c>
      <c r="AG376" s="150">
        <f>IFERROR(IF(AD376="","",IF(AD376&gt;=C376/(1-SKU_Base!AF376)/(1-Settings!$H$17),"OK",IF(AD376&gt;=C376/(1-SKU_Base!AM376)/(1-Settings!$H$17),"WARN","STOP"))),"")</f>
        <v/>
      </c>
    </row>
    <row r="377" ht="17" customHeight="1" s="179">
      <c r="A377" s="146">
        <f>SKU_Base!B377</f>
        <v/>
      </c>
      <c r="B377" s="146">
        <f>SKU_Base!C377</f>
        <v/>
      </c>
      <c r="C377" s="147">
        <f>IFERROR(SKU_Base!I377,"")</f>
        <v/>
      </c>
      <c r="D377" s="164">
        <f>IFERROR(SKU_Base!T377,"")</f>
        <v/>
      </c>
      <c r="E377" s="141">
        <f>IFERROR(SKU_Base!$U377,"")</f>
        <v/>
      </c>
      <c r="F377" s="160">
        <f>IFERROR(ROUND(D377*(1-CHOOSE(MATCH(IF($E377="","Основний",$E377),{"Трафіковий","Основний","Маржинальний","Сезонний","Стратегічний"},0),Settings!$B$78,Settings!$B$80,Settings!$B$82,Settings!$B$84,Settings!$B$86))/6,2)*6,"")</f>
        <v/>
      </c>
      <c r="G377" s="142">
        <f>IFERROR(CHOOSE(MATCH(IF($E377="","Основний",$E377),{"Трафіковий","Основний","Маржинальний","Сезонний","Стратегічний"},0),Settings!$B$78,Settings!$B$80,Settings!$B$82,Settings!$B$84,Settings!$B$86),"")</f>
        <v/>
      </c>
      <c r="H377" s="148">
        <f>IFERROR((F377*(1-Settings!$B$17)-C377)/(F377*(1-Settings!$B$17)),"")</f>
        <v/>
      </c>
      <c r="I377" s="149">
        <f>IFERROR(IF(F377="","",IF(F377&gt;=C377/(1-SKU_Base!Z377)/(1-Settings!$B$17),"OK",IF(F377&gt;=C377/(1-SKU_Base!AG377)/(1-Settings!$B$17),"WARN","STOP"))),"")</f>
        <v/>
      </c>
      <c r="J377" s="160">
        <f>IFERROR(ROUND(D377*(1-CHOOSE(MATCH(IF($E377="","Основний",$E377),{"Трафіковий","Основний","Маржинальний","Сезонний","Стратегічний"},0),Settings!$C$78,Settings!$C$80,Settings!$C$82,Settings!$C$84,Settings!$C$86))/6,2)*6,"")</f>
        <v/>
      </c>
      <c r="K377" s="142">
        <f>IFERROR(CHOOSE(MATCH(IF($E377="","Основний",$E377),{"Трафіковий","Основний","Маржинальний","Сезонний","Стратегічний"},0),Settings!$C$78,Settings!$C$80,Settings!$C$82,Settings!$C$84,Settings!$C$86),"")</f>
        <v/>
      </c>
      <c r="L377" s="148">
        <f>IFERROR((J377*(1-Settings!$C$17)-C377)/(J377*(1-Settings!$C$17)),"")</f>
        <v/>
      </c>
      <c r="M377" s="149">
        <f>IFERROR(IF(J377="","",IF(J377&gt;=C377/(1-SKU_Base!AA377)/(1-Settings!$C$17),"OK",IF(J377&gt;=C377/(1-SKU_Base!AH377)/(1-Settings!$C$17),"WARN","STOP"))),"")</f>
        <v/>
      </c>
      <c r="N377" s="161">
        <f>IFERROR(ROUND(D377*(1-CHOOSE(MATCH(IF($E377="","Основний",$E377),{"Трафіковий","Основний","Маржинальний","Сезонний","Стратегічний"},0),Settings!$D$78,Settings!$D$80,Settings!$D$82,Settings!$D$84,Settings!$D$86))/6,2)*6,"")</f>
        <v/>
      </c>
      <c r="O377" s="142">
        <f>IFERROR(CHOOSE(MATCH(IF($E377="","Основний",$E377),{"Трафіковий","Основний","Маржинальний","Сезонний","Стратегічний"},0),Settings!$D$78,Settings!$D$80,Settings!$D$82,Settings!$D$84,Settings!$D$86),"")</f>
        <v/>
      </c>
      <c r="P377" s="148">
        <f>IFERROR((N377*(1-Settings!$D$17)-C377)/(N377*(1-Settings!$D$17)),"")</f>
        <v/>
      </c>
      <c r="Q377" s="149">
        <f>IFERROR(IF(N377="","",IF(N377&gt;=C377/(1-SKU_Base!AB377)/(1-Settings!$D$17),"OK",IF(N377&gt;=C377/(1-SKU_Base!AI377)/(1-Settings!$D$17),"WARN","STOP"))),"")</f>
        <v/>
      </c>
      <c r="R377" s="161">
        <f>IFERROR(ROUND(D377*(1-CHOOSE(MATCH(IF($E377="","Основний",$E377),{"Трафіковий","Основний","Маржинальний","Сезонний","Стратегічний"},0),Settings!$E$78,Settings!$E$80,Settings!$E$82,Settings!$E$84,Settings!$E$86))/6,2)*6,"")</f>
        <v/>
      </c>
      <c r="S377" s="142">
        <f>IFERROR(CHOOSE(MATCH(IF($E377="","Основний",$E377),{"Трафіковий","Основний","Маржинальний","Сезонний","Стратегічний"},0),Settings!$E$78,Settings!$E$80,Settings!$E$82,Settings!$E$84,Settings!$E$86),"")</f>
        <v/>
      </c>
      <c r="T377" s="148">
        <f>IFERROR((R377*(1-Settings!$E$17)-C377)/(R377*(1-Settings!$E$17)),"")</f>
        <v/>
      </c>
      <c r="U377" s="149">
        <f>IFERROR(IF(R377="","",IF(R377&gt;=C377/(1-SKU_Base!AC377)/(1-Settings!$E$17),"OK",IF(R377&gt;=C377/(1-SKU_Base!AJ377)/(1-Settings!$E$17),"WARN","STOP"))),"")</f>
        <v/>
      </c>
      <c r="V377" s="161">
        <f>IFERROR(ROUND(D377*(1-CHOOSE(MATCH(IF($E377="","Основний",$E377),{"Трафіковий","Основний","Маржинальний","Сезонний","Стратегічний"},0),Settings!$F$78,Settings!$F$80,Settings!$F$82,Settings!$F$84,Settings!$F$86))/6,2)*6,"")</f>
        <v/>
      </c>
      <c r="W377" s="142">
        <f>IFERROR(CHOOSE(MATCH(IF($E377="","Основний",$E377),{"Трафіковий","Основний","Маржинальний","Сезонний","Стратегічний"},0),Settings!$F$78,Settings!$F$80,Settings!$F$82,Settings!$F$84,Settings!$F$86),"")</f>
        <v/>
      </c>
      <c r="X377" s="148">
        <f>IFERROR((V377*(1-Settings!$F$17)-C377)/(V377*(1-Settings!$F$17)),"")</f>
        <v/>
      </c>
      <c r="Y377" s="149">
        <f>IFERROR(IF(V377="","",IF(V377&gt;=C377/(1-SKU_Base!AD377)/(1-Settings!$F$17),"OK",IF(V377&gt;=C377/(1-SKU_Base!AK377)/(1-Settings!$F$17),"WARN","STOP"))),"")</f>
        <v/>
      </c>
      <c r="Z377" s="161">
        <f>IFERROR(ROUND(D377*(1-CHOOSE(MATCH(IF($E377="","Основний",$E377),{"Трафіковий","Основний","Маржинальний","Сезонний","Стратегічний"},0),Settings!$G$78,Settings!$G$80,Settings!$G$82,Settings!$G$84,Settings!$G$86))/6,2)*6,"")</f>
        <v/>
      </c>
      <c r="AA377" s="142">
        <f>IFERROR(CHOOSE(MATCH(IF($E377="","Основний",$E377),{"Трафіковий","Основний","Маржинальний","Сезонний","Стратегічний"},0),Settings!$G$78,Settings!$G$80,Settings!$G$82,Settings!$G$84,Settings!$G$86),"")</f>
        <v/>
      </c>
      <c r="AB377" s="148">
        <f>IFERROR((Z377*(1-Settings!$G$17)-C377)/(Z377*(1-Settings!$G$17)),"")</f>
        <v/>
      </c>
      <c r="AC377" s="149">
        <f>IFERROR(IF(Z377="","",IF(Z377&gt;=C377/(1-SKU_Base!AE377)/(1-Settings!$G$17),"OK",IF(Z377&gt;=C377/(1-SKU_Base!AL377)/(1-Settings!$G$17),"WARN","STOP"))),"")</f>
        <v/>
      </c>
      <c r="AD377" s="161">
        <f>IFERROR(ROUND(D377*(1-CHOOSE(MATCH(IF($E377="","Основний",$E377),{"Трафіковий","Основний","Маржинальний","Сезонний","Стратегічний"},0),Settings!$H$78,Settings!$H$80,Settings!$H$82,Settings!$H$84,Settings!$H$86))*(1-Settings!$H$68)/6,2)*6,"")</f>
        <v/>
      </c>
      <c r="AE377" s="142">
        <f>IFERROR(CHOOSE(MATCH(IF($E377="","Основний",$E377),{"Трафіковий","Основний","Маржинальний","Сезонний","Стратегічний"},0),Settings!$H$78,Settings!$H$80,Settings!$H$82,Settings!$H$84,Settings!$H$86)+(1-(CHOOSE(MATCH(IF($E377="","Основний",$E377),{"Трафіковий","Основний","Маржинальний","Сезонний","Стратегічний"},0),Settings!$H$78,Settings!$H$80,Settings!$H$82,Settings!$H$84,Settings!$H$86)))*Settings!$H$68,"")</f>
        <v/>
      </c>
      <c r="AF377" s="148">
        <f>IFERROR((AD377*(1-Settings!$H$17)-C377)/(AD377*(1-Settings!$H$17)),"")</f>
        <v/>
      </c>
      <c r="AG377" s="150">
        <f>IFERROR(IF(AD377="","",IF(AD377&gt;=C377/(1-SKU_Base!AF377)/(1-Settings!$H$17),"OK",IF(AD377&gt;=C377/(1-SKU_Base!AM377)/(1-Settings!$H$17),"WARN","STOP"))),"")</f>
        <v/>
      </c>
    </row>
    <row r="378" ht="17" customHeight="1" s="179">
      <c r="A378" s="139">
        <f>SKU_Base!B378</f>
        <v/>
      </c>
      <c r="B378" s="139">
        <f>SKU_Base!C378</f>
        <v/>
      </c>
      <c r="C378" s="140">
        <f>IFERROR(SKU_Base!I378,"")</f>
        <v/>
      </c>
      <c r="D378" s="163">
        <f>IFERROR(SKU_Base!T378,"")</f>
        <v/>
      </c>
      <c r="E378" s="141">
        <f>IFERROR(SKU_Base!$U378,"")</f>
        <v/>
      </c>
      <c r="F378" s="158">
        <f>IFERROR(ROUND(D378*(1-CHOOSE(MATCH(IF($E378="","Основний",$E378),{"Трафіковий","Основний","Маржинальний","Сезонний","Стратегічний"},0),Settings!$B$78,Settings!$B$80,Settings!$B$82,Settings!$B$84,Settings!$B$86))/6,2)*6,"")</f>
        <v/>
      </c>
      <c r="G378" s="142">
        <f>IFERROR(CHOOSE(MATCH(IF($E378="","Основний",$E378),{"Трафіковий","Основний","Маржинальний","Сезонний","Стратегічний"},0),Settings!$B$78,Settings!$B$80,Settings!$B$82,Settings!$B$84,Settings!$B$86),"")</f>
        <v/>
      </c>
      <c r="H378" s="143">
        <f>IFERROR((F378*(1-Settings!$B$17)-C378)/(F378*(1-Settings!$B$17)),"")</f>
        <v/>
      </c>
      <c r="I378" s="149">
        <f>IFERROR(IF(F378="","",IF(F378&gt;=C378/(1-SKU_Base!Z378)/(1-Settings!$B$17),"OK",IF(F378&gt;=C378/(1-SKU_Base!AG378)/(1-Settings!$B$17),"WARN","STOP"))),"")</f>
        <v/>
      </c>
      <c r="J378" s="158">
        <f>IFERROR(ROUND(D378*(1-CHOOSE(MATCH(IF($E378="","Основний",$E378),{"Трафіковий","Основний","Маржинальний","Сезонний","Стратегічний"},0),Settings!$C$78,Settings!$C$80,Settings!$C$82,Settings!$C$84,Settings!$C$86))/6,2)*6,"")</f>
        <v/>
      </c>
      <c r="K378" s="142">
        <f>IFERROR(CHOOSE(MATCH(IF($E378="","Основний",$E378),{"Трафіковий","Основний","Маржинальний","Сезонний","Стратегічний"},0),Settings!$C$78,Settings!$C$80,Settings!$C$82,Settings!$C$84,Settings!$C$86),"")</f>
        <v/>
      </c>
      <c r="L378" s="143">
        <f>IFERROR((J378*(1-Settings!$C$17)-C378)/(J378*(1-Settings!$C$17)),"")</f>
        <v/>
      </c>
      <c r="M378" s="149">
        <f>IFERROR(IF(J378="","",IF(J378&gt;=C378/(1-SKU_Base!AA378)/(1-Settings!$C$17),"OK",IF(J378&gt;=C378/(1-SKU_Base!AH378)/(1-Settings!$C$17),"WARN","STOP"))),"")</f>
        <v/>
      </c>
      <c r="N378" s="159">
        <f>IFERROR(ROUND(D378*(1-CHOOSE(MATCH(IF($E378="","Основний",$E378),{"Трафіковий","Основний","Маржинальний","Сезонний","Стратегічний"},0),Settings!$D$78,Settings!$D$80,Settings!$D$82,Settings!$D$84,Settings!$D$86))/6,2)*6,"")</f>
        <v/>
      </c>
      <c r="O378" s="142">
        <f>IFERROR(CHOOSE(MATCH(IF($E378="","Основний",$E378),{"Трафіковий","Основний","Маржинальний","Сезонний","Стратегічний"},0),Settings!$D$78,Settings!$D$80,Settings!$D$82,Settings!$D$84,Settings!$D$86),"")</f>
        <v/>
      </c>
      <c r="P378" s="143">
        <f>IFERROR((N378*(1-Settings!$D$17)-C378)/(N378*(1-Settings!$D$17)),"")</f>
        <v/>
      </c>
      <c r="Q378" s="149">
        <f>IFERROR(IF(N378="","",IF(N378&gt;=C378/(1-SKU_Base!AB378)/(1-Settings!$D$17),"OK",IF(N378&gt;=C378/(1-SKU_Base!AI378)/(1-Settings!$D$17),"WARN","STOP"))),"")</f>
        <v/>
      </c>
      <c r="R378" s="159">
        <f>IFERROR(ROUND(D378*(1-CHOOSE(MATCH(IF($E378="","Основний",$E378),{"Трафіковий","Основний","Маржинальний","Сезонний","Стратегічний"},0),Settings!$E$78,Settings!$E$80,Settings!$E$82,Settings!$E$84,Settings!$E$86))/6,2)*6,"")</f>
        <v/>
      </c>
      <c r="S378" s="142">
        <f>IFERROR(CHOOSE(MATCH(IF($E378="","Основний",$E378),{"Трафіковий","Основний","Маржинальний","Сезонний","Стратегічний"},0),Settings!$E$78,Settings!$E$80,Settings!$E$82,Settings!$E$84,Settings!$E$86),"")</f>
        <v/>
      </c>
      <c r="T378" s="143">
        <f>IFERROR((R378*(1-Settings!$E$17)-C378)/(R378*(1-Settings!$E$17)),"")</f>
        <v/>
      </c>
      <c r="U378" s="149">
        <f>IFERROR(IF(R378="","",IF(R378&gt;=C378/(1-SKU_Base!AC378)/(1-Settings!$E$17),"OK",IF(R378&gt;=C378/(1-SKU_Base!AJ378)/(1-Settings!$E$17),"WARN","STOP"))),"")</f>
        <v/>
      </c>
      <c r="V378" s="159">
        <f>IFERROR(ROUND(D378*(1-CHOOSE(MATCH(IF($E378="","Основний",$E378),{"Трафіковий","Основний","Маржинальний","Сезонний","Стратегічний"},0),Settings!$F$78,Settings!$F$80,Settings!$F$82,Settings!$F$84,Settings!$F$86))/6,2)*6,"")</f>
        <v/>
      </c>
      <c r="W378" s="142">
        <f>IFERROR(CHOOSE(MATCH(IF($E378="","Основний",$E378),{"Трафіковий","Основний","Маржинальний","Сезонний","Стратегічний"},0),Settings!$F$78,Settings!$F$80,Settings!$F$82,Settings!$F$84,Settings!$F$86),"")</f>
        <v/>
      </c>
      <c r="X378" s="143">
        <f>IFERROR((V378*(1-Settings!$F$17)-C378)/(V378*(1-Settings!$F$17)),"")</f>
        <v/>
      </c>
      <c r="Y378" s="149">
        <f>IFERROR(IF(V378="","",IF(V378&gt;=C378/(1-SKU_Base!AD378)/(1-Settings!$F$17),"OK",IF(V378&gt;=C378/(1-SKU_Base!AK378)/(1-Settings!$F$17),"WARN","STOP"))),"")</f>
        <v/>
      </c>
      <c r="Z378" s="159">
        <f>IFERROR(ROUND(D378*(1-CHOOSE(MATCH(IF($E378="","Основний",$E378),{"Трафіковий","Основний","Маржинальний","Сезонний","Стратегічний"},0),Settings!$G$78,Settings!$G$80,Settings!$G$82,Settings!$G$84,Settings!$G$86))/6,2)*6,"")</f>
        <v/>
      </c>
      <c r="AA378" s="142">
        <f>IFERROR(CHOOSE(MATCH(IF($E378="","Основний",$E378),{"Трафіковий","Основний","Маржинальний","Сезонний","Стратегічний"},0),Settings!$G$78,Settings!$G$80,Settings!$G$82,Settings!$G$84,Settings!$G$86),"")</f>
        <v/>
      </c>
      <c r="AB378" s="143">
        <f>IFERROR((Z378*(1-Settings!$G$17)-C378)/(Z378*(1-Settings!$G$17)),"")</f>
        <v/>
      </c>
      <c r="AC378" s="149">
        <f>IFERROR(IF(Z378="","",IF(Z378&gt;=C378/(1-SKU_Base!AE378)/(1-Settings!$G$17),"OK",IF(Z378&gt;=C378/(1-SKU_Base!AL378)/(1-Settings!$G$17),"WARN","STOP"))),"")</f>
        <v/>
      </c>
      <c r="AD378" s="159">
        <f>IFERROR(ROUND(D378*(1-CHOOSE(MATCH(IF($E378="","Основний",$E378),{"Трафіковий","Основний","Маржинальний","Сезонний","Стратегічний"},0),Settings!$H$78,Settings!$H$80,Settings!$H$82,Settings!$H$84,Settings!$H$86))*(1-Settings!$H$68)/6,2)*6,"")</f>
        <v/>
      </c>
      <c r="AE378" s="142">
        <f>IFERROR(CHOOSE(MATCH(IF($E378="","Основний",$E378),{"Трафіковий","Основний","Маржинальний","Сезонний","Стратегічний"},0),Settings!$H$78,Settings!$H$80,Settings!$H$82,Settings!$H$84,Settings!$H$86)+(1-(CHOOSE(MATCH(IF($E378="","Основний",$E378),{"Трафіковий","Основний","Маржинальний","Сезонний","Стратегічний"},0),Settings!$H$78,Settings!$H$80,Settings!$H$82,Settings!$H$84,Settings!$H$86)))*Settings!$H$68,"")</f>
        <v/>
      </c>
      <c r="AF378" s="143">
        <f>IFERROR((AD378*(1-Settings!$H$17)-C378)/(AD378*(1-Settings!$H$17)),"")</f>
        <v/>
      </c>
      <c r="AG378" s="149">
        <f>IFERROR(IF(AD378="","",IF(AD378&gt;=C378/(1-SKU_Base!AF378)/(1-Settings!$H$17),"OK",IF(AD378&gt;=C378/(1-SKU_Base!AM378)/(1-Settings!$H$17),"WARN","STOP"))),"")</f>
        <v/>
      </c>
    </row>
    <row r="379" ht="17" customHeight="1" s="179">
      <c r="A379" s="146">
        <f>SKU_Base!B379</f>
        <v/>
      </c>
      <c r="B379" s="146">
        <f>SKU_Base!C379</f>
        <v/>
      </c>
      <c r="C379" s="147">
        <f>IFERROR(SKU_Base!I379,"")</f>
        <v/>
      </c>
      <c r="D379" s="164">
        <f>IFERROR(SKU_Base!T379,"")</f>
        <v/>
      </c>
      <c r="E379" s="141">
        <f>IFERROR(SKU_Base!$U379,"")</f>
        <v/>
      </c>
      <c r="F379" s="160">
        <f>IFERROR(ROUND(D379*(1-CHOOSE(MATCH(IF($E379="","Основний",$E379),{"Трафіковий","Основний","Маржинальний","Сезонний","Стратегічний"},0),Settings!$B$78,Settings!$B$80,Settings!$B$82,Settings!$B$84,Settings!$B$86))/6,2)*6,"")</f>
        <v/>
      </c>
      <c r="G379" s="142">
        <f>IFERROR(CHOOSE(MATCH(IF($E379="","Основний",$E379),{"Трафіковий","Основний","Маржинальний","Сезонний","Стратегічний"},0),Settings!$B$78,Settings!$B$80,Settings!$B$82,Settings!$B$84,Settings!$B$86),"")</f>
        <v/>
      </c>
      <c r="H379" s="148">
        <f>IFERROR((F379*(1-Settings!$B$17)-C379)/(F379*(1-Settings!$B$17)),"")</f>
        <v/>
      </c>
      <c r="I379" s="150">
        <f>IFERROR(IF(F379="","",IF(F379&gt;=C379/(1-SKU_Base!Z379)/(1-Settings!$B$17),"OK",IF(F379&gt;=C379/(1-SKU_Base!AG379)/(1-Settings!$B$17),"WARN","STOP"))),"")</f>
        <v/>
      </c>
      <c r="J379" s="160">
        <f>IFERROR(ROUND(D379*(1-CHOOSE(MATCH(IF($E379="","Основний",$E379),{"Трафіковий","Основний","Маржинальний","Сезонний","Стратегічний"},0),Settings!$C$78,Settings!$C$80,Settings!$C$82,Settings!$C$84,Settings!$C$86))/6,2)*6,"")</f>
        <v/>
      </c>
      <c r="K379" s="142">
        <f>IFERROR(CHOOSE(MATCH(IF($E379="","Основний",$E379),{"Трафіковий","Основний","Маржинальний","Сезонний","Стратегічний"},0),Settings!$C$78,Settings!$C$80,Settings!$C$82,Settings!$C$84,Settings!$C$86),"")</f>
        <v/>
      </c>
      <c r="L379" s="148">
        <f>IFERROR((J379*(1-Settings!$C$17)-C379)/(J379*(1-Settings!$C$17)),"")</f>
        <v/>
      </c>
      <c r="M379" s="149">
        <f>IFERROR(IF(J379="","",IF(J379&gt;=C379/(1-SKU_Base!AA379)/(1-Settings!$C$17),"OK",IF(J379&gt;=C379/(1-SKU_Base!AH379)/(1-Settings!$C$17),"WARN","STOP"))),"")</f>
        <v/>
      </c>
      <c r="N379" s="161">
        <f>IFERROR(ROUND(D379*(1-CHOOSE(MATCH(IF($E379="","Основний",$E379),{"Трафіковий","Основний","Маржинальний","Сезонний","Стратегічний"},0),Settings!$D$78,Settings!$D$80,Settings!$D$82,Settings!$D$84,Settings!$D$86))/6,2)*6,"")</f>
        <v/>
      </c>
      <c r="O379" s="142">
        <f>IFERROR(CHOOSE(MATCH(IF($E379="","Основний",$E379),{"Трафіковий","Основний","Маржинальний","Сезонний","Стратегічний"},0),Settings!$D$78,Settings!$D$80,Settings!$D$82,Settings!$D$84,Settings!$D$86),"")</f>
        <v/>
      </c>
      <c r="P379" s="148">
        <f>IFERROR((N379*(1-Settings!$D$17)-C379)/(N379*(1-Settings!$D$17)),"")</f>
        <v/>
      </c>
      <c r="Q379" s="149">
        <f>IFERROR(IF(N379="","",IF(N379&gt;=C379/(1-SKU_Base!AB379)/(1-Settings!$D$17),"OK",IF(N379&gt;=C379/(1-SKU_Base!AI379)/(1-Settings!$D$17),"WARN","STOP"))),"")</f>
        <v/>
      </c>
      <c r="R379" s="161">
        <f>IFERROR(ROUND(D379*(1-CHOOSE(MATCH(IF($E379="","Основний",$E379),{"Трафіковий","Основний","Маржинальний","Сезонний","Стратегічний"},0),Settings!$E$78,Settings!$E$80,Settings!$E$82,Settings!$E$84,Settings!$E$86))/6,2)*6,"")</f>
        <v/>
      </c>
      <c r="S379" s="142">
        <f>IFERROR(CHOOSE(MATCH(IF($E379="","Основний",$E379),{"Трафіковий","Основний","Маржинальний","Сезонний","Стратегічний"},0),Settings!$E$78,Settings!$E$80,Settings!$E$82,Settings!$E$84,Settings!$E$86),"")</f>
        <v/>
      </c>
      <c r="T379" s="148">
        <f>IFERROR((R379*(1-Settings!$E$17)-C379)/(R379*(1-Settings!$E$17)),"")</f>
        <v/>
      </c>
      <c r="U379" s="149">
        <f>IFERROR(IF(R379="","",IF(R379&gt;=C379/(1-SKU_Base!AC379)/(1-Settings!$E$17),"OK",IF(R379&gt;=C379/(1-SKU_Base!AJ379)/(1-Settings!$E$17),"WARN","STOP"))),"")</f>
        <v/>
      </c>
      <c r="V379" s="161">
        <f>IFERROR(ROUND(D379*(1-CHOOSE(MATCH(IF($E379="","Основний",$E379),{"Трафіковий","Основний","Маржинальний","Сезонний","Стратегічний"},0),Settings!$F$78,Settings!$F$80,Settings!$F$82,Settings!$F$84,Settings!$F$86))/6,2)*6,"")</f>
        <v/>
      </c>
      <c r="W379" s="142">
        <f>IFERROR(CHOOSE(MATCH(IF($E379="","Основний",$E379),{"Трафіковий","Основний","Маржинальний","Сезонний","Стратегічний"},0),Settings!$F$78,Settings!$F$80,Settings!$F$82,Settings!$F$84,Settings!$F$86),"")</f>
        <v/>
      </c>
      <c r="X379" s="148">
        <f>IFERROR((V379*(1-Settings!$F$17)-C379)/(V379*(1-Settings!$F$17)),"")</f>
        <v/>
      </c>
      <c r="Y379" s="149">
        <f>IFERROR(IF(V379="","",IF(V379&gt;=C379/(1-SKU_Base!AD379)/(1-Settings!$F$17),"OK",IF(V379&gt;=C379/(1-SKU_Base!AK379)/(1-Settings!$F$17),"WARN","STOP"))),"")</f>
        <v/>
      </c>
      <c r="Z379" s="161">
        <f>IFERROR(ROUND(D379*(1-CHOOSE(MATCH(IF($E379="","Основний",$E379),{"Трафіковий","Основний","Маржинальний","Сезонний","Стратегічний"},0),Settings!$G$78,Settings!$G$80,Settings!$G$82,Settings!$G$84,Settings!$G$86))/6,2)*6,"")</f>
        <v/>
      </c>
      <c r="AA379" s="142">
        <f>IFERROR(CHOOSE(MATCH(IF($E379="","Основний",$E379),{"Трафіковий","Основний","Маржинальний","Сезонний","Стратегічний"},0),Settings!$G$78,Settings!$G$80,Settings!$G$82,Settings!$G$84,Settings!$G$86),"")</f>
        <v/>
      </c>
      <c r="AB379" s="148">
        <f>IFERROR((Z379*(1-Settings!$G$17)-C379)/(Z379*(1-Settings!$G$17)),"")</f>
        <v/>
      </c>
      <c r="AC379" s="149">
        <f>IFERROR(IF(Z379="","",IF(Z379&gt;=C379/(1-SKU_Base!AE379)/(1-Settings!$G$17),"OK",IF(Z379&gt;=C379/(1-SKU_Base!AL379)/(1-Settings!$G$17),"WARN","STOP"))),"")</f>
        <v/>
      </c>
      <c r="AD379" s="161">
        <f>IFERROR(ROUND(D379*(1-CHOOSE(MATCH(IF($E379="","Основний",$E379),{"Трафіковий","Основний","Маржинальний","Сезонний","Стратегічний"},0),Settings!$H$78,Settings!$H$80,Settings!$H$82,Settings!$H$84,Settings!$H$86))*(1-Settings!$H$68)/6,2)*6,"")</f>
        <v/>
      </c>
      <c r="AE379" s="142">
        <f>IFERROR(CHOOSE(MATCH(IF($E379="","Основний",$E379),{"Трафіковий","Основний","Маржинальний","Сезонний","Стратегічний"},0),Settings!$H$78,Settings!$H$80,Settings!$H$82,Settings!$H$84,Settings!$H$86)+(1-(CHOOSE(MATCH(IF($E379="","Основний",$E379),{"Трафіковий","Основний","Маржинальний","Сезонний","Стратегічний"},0),Settings!$H$78,Settings!$H$80,Settings!$H$82,Settings!$H$84,Settings!$H$86)))*Settings!$H$68,"")</f>
        <v/>
      </c>
      <c r="AF379" s="148">
        <f>IFERROR((AD379*(1-Settings!$H$17)-C379)/(AD379*(1-Settings!$H$17)),"")</f>
        <v/>
      </c>
      <c r="AG379" s="150">
        <f>IFERROR(IF(AD379="","",IF(AD379&gt;=C379/(1-SKU_Base!AF379)/(1-Settings!$H$17),"OK",IF(AD379&gt;=C379/(1-SKU_Base!AM379)/(1-Settings!$H$17),"WARN","STOP"))),"")</f>
        <v/>
      </c>
    </row>
    <row r="380" ht="17" customHeight="1" s="179">
      <c r="A380" s="139">
        <f>SKU_Base!B380</f>
        <v/>
      </c>
      <c r="B380" s="139">
        <f>SKU_Base!C380</f>
        <v/>
      </c>
      <c r="C380" s="140">
        <f>IFERROR(SKU_Base!I380,"")</f>
        <v/>
      </c>
      <c r="D380" s="163">
        <f>IFERROR(SKU_Base!T380,"")</f>
        <v/>
      </c>
      <c r="E380" s="141">
        <f>IFERROR(SKU_Base!$U380,"")</f>
        <v/>
      </c>
      <c r="F380" s="158">
        <f>IFERROR(ROUND(D380*(1-CHOOSE(MATCH(IF($E380="","Основний",$E380),{"Трафіковий","Основний","Маржинальний","Сезонний","Стратегічний"},0),Settings!$B$78,Settings!$B$80,Settings!$B$82,Settings!$B$84,Settings!$B$86))/6,2)*6,"")</f>
        <v/>
      </c>
      <c r="G380" s="142">
        <f>IFERROR(CHOOSE(MATCH(IF($E380="","Основний",$E380),{"Трафіковий","Основний","Маржинальний","Сезонний","Стратегічний"},0),Settings!$B$78,Settings!$B$80,Settings!$B$82,Settings!$B$84,Settings!$B$86),"")</f>
        <v/>
      </c>
      <c r="H380" s="143">
        <f>IFERROR((F380*(1-Settings!$B$17)-C380)/(F380*(1-Settings!$B$17)),"")</f>
        <v/>
      </c>
      <c r="I380" s="149">
        <f>IFERROR(IF(F380="","",IF(F380&gt;=C380/(1-SKU_Base!Z380)/(1-Settings!$B$17),"OK",IF(F380&gt;=C380/(1-SKU_Base!AG380)/(1-Settings!$B$17),"WARN","STOP"))),"")</f>
        <v/>
      </c>
      <c r="J380" s="158">
        <f>IFERROR(ROUND(D380*(1-CHOOSE(MATCH(IF($E380="","Основний",$E380),{"Трафіковий","Основний","Маржинальний","Сезонний","Стратегічний"},0),Settings!$C$78,Settings!$C$80,Settings!$C$82,Settings!$C$84,Settings!$C$86))/6,2)*6,"")</f>
        <v/>
      </c>
      <c r="K380" s="142">
        <f>IFERROR(CHOOSE(MATCH(IF($E380="","Основний",$E380),{"Трафіковий","Основний","Маржинальний","Сезонний","Стратегічний"},0),Settings!$C$78,Settings!$C$80,Settings!$C$82,Settings!$C$84,Settings!$C$86),"")</f>
        <v/>
      </c>
      <c r="L380" s="143">
        <f>IFERROR((J380*(1-Settings!$C$17)-C380)/(J380*(1-Settings!$C$17)),"")</f>
        <v/>
      </c>
      <c r="M380" s="149">
        <f>IFERROR(IF(J380="","",IF(J380&gt;=C380/(1-SKU_Base!AA380)/(1-Settings!$C$17),"OK",IF(J380&gt;=C380/(1-SKU_Base!AH380)/(1-Settings!$C$17),"WARN","STOP"))),"")</f>
        <v/>
      </c>
      <c r="N380" s="159">
        <f>IFERROR(ROUND(D380*(1-CHOOSE(MATCH(IF($E380="","Основний",$E380),{"Трафіковий","Основний","Маржинальний","Сезонний","Стратегічний"},0),Settings!$D$78,Settings!$D$80,Settings!$D$82,Settings!$D$84,Settings!$D$86))/6,2)*6,"")</f>
        <v/>
      </c>
      <c r="O380" s="142">
        <f>IFERROR(CHOOSE(MATCH(IF($E380="","Основний",$E380),{"Трафіковий","Основний","Маржинальний","Сезонний","Стратегічний"},0),Settings!$D$78,Settings!$D$80,Settings!$D$82,Settings!$D$84,Settings!$D$86),"")</f>
        <v/>
      </c>
      <c r="P380" s="143">
        <f>IFERROR((N380*(1-Settings!$D$17)-C380)/(N380*(1-Settings!$D$17)),"")</f>
        <v/>
      </c>
      <c r="Q380" s="149">
        <f>IFERROR(IF(N380="","",IF(N380&gt;=C380/(1-SKU_Base!AB380)/(1-Settings!$D$17),"OK",IF(N380&gt;=C380/(1-SKU_Base!AI380)/(1-Settings!$D$17),"WARN","STOP"))),"")</f>
        <v/>
      </c>
      <c r="R380" s="159">
        <f>IFERROR(ROUND(D380*(1-CHOOSE(MATCH(IF($E380="","Основний",$E380),{"Трафіковий","Основний","Маржинальний","Сезонний","Стратегічний"},0),Settings!$E$78,Settings!$E$80,Settings!$E$82,Settings!$E$84,Settings!$E$86))/6,2)*6,"")</f>
        <v/>
      </c>
      <c r="S380" s="142">
        <f>IFERROR(CHOOSE(MATCH(IF($E380="","Основний",$E380),{"Трафіковий","Основний","Маржинальний","Сезонний","Стратегічний"},0),Settings!$E$78,Settings!$E$80,Settings!$E$82,Settings!$E$84,Settings!$E$86),"")</f>
        <v/>
      </c>
      <c r="T380" s="143">
        <f>IFERROR((R380*(1-Settings!$E$17)-C380)/(R380*(1-Settings!$E$17)),"")</f>
        <v/>
      </c>
      <c r="U380" s="149">
        <f>IFERROR(IF(R380="","",IF(R380&gt;=C380/(1-SKU_Base!AC380)/(1-Settings!$E$17),"OK",IF(R380&gt;=C380/(1-SKU_Base!AJ380)/(1-Settings!$E$17),"WARN","STOP"))),"")</f>
        <v/>
      </c>
      <c r="V380" s="159">
        <f>IFERROR(ROUND(D380*(1-CHOOSE(MATCH(IF($E380="","Основний",$E380),{"Трафіковий","Основний","Маржинальний","Сезонний","Стратегічний"},0),Settings!$F$78,Settings!$F$80,Settings!$F$82,Settings!$F$84,Settings!$F$86))/6,2)*6,"")</f>
        <v/>
      </c>
      <c r="W380" s="142">
        <f>IFERROR(CHOOSE(MATCH(IF($E380="","Основний",$E380),{"Трафіковий","Основний","Маржинальний","Сезонний","Стратегічний"},0),Settings!$F$78,Settings!$F$80,Settings!$F$82,Settings!$F$84,Settings!$F$86),"")</f>
        <v/>
      </c>
      <c r="X380" s="143">
        <f>IFERROR((V380*(1-Settings!$F$17)-C380)/(V380*(1-Settings!$F$17)),"")</f>
        <v/>
      </c>
      <c r="Y380" s="149">
        <f>IFERROR(IF(V380="","",IF(V380&gt;=C380/(1-SKU_Base!AD380)/(1-Settings!$F$17),"OK",IF(V380&gt;=C380/(1-SKU_Base!AK380)/(1-Settings!$F$17),"WARN","STOP"))),"")</f>
        <v/>
      </c>
      <c r="Z380" s="159">
        <f>IFERROR(ROUND(D380*(1-CHOOSE(MATCH(IF($E380="","Основний",$E380),{"Трафіковий","Основний","Маржинальний","Сезонний","Стратегічний"},0),Settings!$G$78,Settings!$G$80,Settings!$G$82,Settings!$G$84,Settings!$G$86))/6,2)*6,"")</f>
        <v/>
      </c>
      <c r="AA380" s="142">
        <f>IFERROR(CHOOSE(MATCH(IF($E380="","Основний",$E380),{"Трафіковий","Основний","Маржинальний","Сезонний","Стратегічний"},0),Settings!$G$78,Settings!$G$80,Settings!$G$82,Settings!$G$84,Settings!$G$86),"")</f>
        <v/>
      </c>
      <c r="AB380" s="143">
        <f>IFERROR((Z380*(1-Settings!$G$17)-C380)/(Z380*(1-Settings!$G$17)),"")</f>
        <v/>
      </c>
      <c r="AC380" s="149">
        <f>IFERROR(IF(Z380="","",IF(Z380&gt;=C380/(1-SKU_Base!AE380)/(1-Settings!$G$17),"OK",IF(Z380&gt;=C380/(1-SKU_Base!AL380)/(1-Settings!$G$17),"WARN","STOP"))),"")</f>
        <v/>
      </c>
      <c r="AD380" s="159">
        <f>IFERROR(ROUND(D380*(1-CHOOSE(MATCH(IF($E380="","Основний",$E380),{"Трафіковий","Основний","Маржинальний","Сезонний","Стратегічний"},0),Settings!$H$78,Settings!$H$80,Settings!$H$82,Settings!$H$84,Settings!$H$86))*(1-Settings!$H$68)/6,2)*6,"")</f>
        <v/>
      </c>
      <c r="AE380" s="142">
        <f>IFERROR(CHOOSE(MATCH(IF($E380="","Основний",$E380),{"Трафіковий","Основний","Маржинальний","Сезонний","Стратегічний"},0),Settings!$H$78,Settings!$H$80,Settings!$H$82,Settings!$H$84,Settings!$H$86)+(1-(CHOOSE(MATCH(IF($E380="","Основний",$E380),{"Трафіковий","Основний","Маржинальний","Сезонний","Стратегічний"},0),Settings!$H$78,Settings!$H$80,Settings!$H$82,Settings!$H$84,Settings!$H$86)))*Settings!$H$68,"")</f>
        <v/>
      </c>
      <c r="AF380" s="143">
        <f>IFERROR((AD380*(1-Settings!$H$17)-C380)/(AD380*(1-Settings!$H$17)),"")</f>
        <v/>
      </c>
      <c r="AG380" s="150">
        <f>IFERROR(IF(AD380="","",IF(AD380&gt;=C380/(1-SKU_Base!AF380)/(1-Settings!$H$17),"OK",IF(AD380&gt;=C380/(1-SKU_Base!AM380)/(1-Settings!$H$17),"WARN","STOP"))),"")</f>
        <v/>
      </c>
    </row>
    <row r="381" ht="17" customHeight="1" s="179">
      <c r="A381" s="146">
        <f>SKU_Base!B381</f>
        <v/>
      </c>
      <c r="B381" s="146">
        <f>SKU_Base!C381</f>
        <v/>
      </c>
      <c r="C381" s="147">
        <f>IFERROR(SKU_Base!I381,"")</f>
        <v/>
      </c>
      <c r="D381" s="164">
        <f>IFERROR(SKU_Base!T381,"")</f>
        <v/>
      </c>
      <c r="E381" s="141">
        <f>IFERROR(SKU_Base!$U381,"")</f>
        <v/>
      </c>
      <c r="F381" s="160">
        <f>IFERROR(ROUND(D381*(1-CHOOSE(MATCH(IF($E381="","Основний",$E381),{"Трафіковий","Основний","Маржинальний","Сезонний","Стратегічний"},0),Settings!$B$78,Settings!$B$80,Settings!$B$82,Settings!$B$84,Settings!$B$86))/6,2)*6,"")</f>
        <v/>
      </c>
      <c r="G381" s="142">
        <f>IFERROR(CHOOSE(MATCH(IF($E381="","Основний",$E381),{"Трафіковий","Основний","Маржинальний","Сезонний","Стратегічний"},0),Settings!$B$78,Settings!$B$80,Settings!$B$82,Settings!$B$84,Settings!$B$86),"")</f>
        <v/>
      </c>
      <c r="H381" s="148">
        <f>IFERROR((F381*(1-Settings!$B$17)-C381)/(F381*(1-Settings!$B$17)),"")</f>
        <v/>
      </c>
      <c r="I381" s="149">
        <f>IFERROR(IF(F381="","",IF(F381&gt;=C381/(1-SKU_Base!Z381)/(1-Settings!$B$17),"OK",IF(F381&gt;=C381/(1-SKU_Base!AG381)/(1-Settings!$B$17),"WARN","STOP"))),"")</f>
        <v/>
      </c>
      <c r="J381" s="160">
        <f>IFERROR(ROUND(D381*(1-CHOOSE(MATCH(IF($E381="","Основний",$E381),{"Трафіковий","Основний","Маржинальний","Сезонний","Стратегічний"},0),Settings!$C$78,Settings!$C$80,Settings!$C$82,Settings!$C$84,Settings!$C$86))/6,2)*6,"")</f>
        <v/>
      </c>
      <c r="K381" s="142">
        <f>IFERROR(CHOOSE(MATCH(IF($E381="","Основний",$E381),{"Трафіковий","Основний","Маржинальний","Сезонний","Стратегічний"},0),Settings!$C$78,Settings!$C$80,Settings!$C$82,Settings!$C$84,Settings!$C$86),"")</f>
        <v/>
      </c>
      <c r="L381" s="148">
        <f>IFERROR((J381*(1-Settings!$C$17)-C381)/(J381*(1-Settings!$C$17)),"")</f>
        <v/>
      </c>
      <c r="M381" s="149">
        <f>IFERROR(IF(J381="","",IF(J381&gt;=C381/(1-SKU_Base!AA381)/(1-Settings!$C$17),"OK",IF(J381&gt;=C381/(1-SKU_Base!AH381)/(1-Settings!$C$17),"WARN","STOP"))),"")</f>
        <v/>
      </c>
      <c r="N381" s="161">
        <f>IFERROR(ROUND(D381*(1-CHOOSE(MATCH(IF($E381="","Основний",$E381),{"Трафіковий","Основний","Маржинальний","Сезонний","Стратегічний"},0),Settings!$D$78,Settings!$D$80,Settings!$D$82,Settings!$D$84,Settings!$D$86))/6,2)*6,"")</f>
        <v/>
      </c>
      <c r="O381" s="142">
        <f>IFERROR(CHOOSE(MATCH(IF($E381="","Основний",$E381),{"Трафіковий","Основний","Маржинальний","Сезонний","Стратегічний"},0),Settings!$D$78,Settings!$D$80,Settings!$D$82,Settings!$D$84,Settings!$D$86),"")</f>
        <v/>
      </c>
      <c r="P381" s="148">
        <f>IFERROR((N381*(1-Settings!$D$17)-C381)/(N381*(1-Settings!$D$17)),"")</f>
        <v/>
      </c>
      <c r="Q381" s="149">
        <f>IFERROR(IF(N381="","",IF(N381&gt;=C381/(1-SKU_Base!AB381)/(1-Settings!$D$17),"OK",IF(N381&gt;=C381/(1-SKU_Base!AI381)/(1-Settings!$D$17),"WARN","STOP"))),"")</f>
        <v/>
      </c>
      <c r="R381" s="161">
        <f>IFERROR(ROUND(D381*(1-CHOOSE(MATCH(IF($E381="","Основний",$E381),{"Трафіковий","Основний","Маржинальний","Сезонний","Стратегічний"},0),Settings!$E$78,Settings!$E$80,Settings!$E$82,Settings!$E$84,Settings!$E$86))/6,2)*6,"")</f>
        <v/>
      </c>
      <c r="S381" s="142">
        <f>IFERROR(CHOOSE(MATCH(IF($E381="","Основний",$E381),{"Трафіковий","Основний","Маржинальний","Сезонний","Стратегічний"},0),Settings!$E$78,Settings!$E$80,Settings!$E$82,Settings!$E$84,Settings!$E$86),"")</f>
        <v/>
      </c>
      <c r="T381" s="148">
        <f>IFERROR((R381*(1-Settings!$E$17)-C381)/(R381*(1-Settings!$E$17)),"")</f>
        <v/>
      </c>
      <c r="U381" s="149">
        <f>IFERROR(IF(R381="","",IF(R381&gt;=C381/(1-SKU_Base!AC381)/(1-Settings!$E$17),"OK",IF(R381&gt;=C381/(1-SKU_Base!AJ381)/(1-Settings!$E$17),"WARN","STOP"))),"")</f>
        <v/>
      </c>
      <c r="V381" s="161">
        <f>IFERROR(ROUND(D381*(1-CHOOSE(MATCH(IF($E381="","Основний",$E381),{"Трафіковий","Основний","Маржинальний","Сезонний","Стратегічний"},0),Settings!$F$78,Settings!$F$80,Settings!$F$82,Settings!$F$84,Settings!$F$86))/6,2)*6,"")</f>
        <v/>
      </c>
      <c r="W381" s="142">
        <f>IFERROR(CHOOSE(MATCH(IF($E381="","Основний",$E381),{"Трафіковий","Основний","Маржинальний","Сезонний","Стратегічний"},0),Settings!$F$78,Settings!$F$80,Settings!$F$82,Settings!$F$84,Settings!$F$86),"")</f>
        <v/>
      </c>
      <c r="X381" s="148">
        <f>IFERROR((V381*(1-Settings!$F$17)-C381)/(V381*(1-Settings!$F$17)),"")</f>
        <v/>
      </c>
      <c r="Y381" s="149">
        <f>IFERROR(IF(V381="","",IF(V381&gt;=C381/(1-SKU_Base!AD381)/(1-Settings!$F$17),"OK",IF(V381&gt;=C381/(1-SKU_Base!AK381)/(1-Settings!$F$17),"WARN","STOP"))),"")</f>
        <v/>
      </c>
      <c r="Z381" s="161">
        <f>IFERROR(ROUND(D381*(1-CHOOSE(MATCH(IF($E381="","Основний",$E381),{"Трафіковий","Основний","Маржинальний","Сезонний","Стратегічний"},0),Settings!$G$78,Settings!$G$80,Settings!$G$82,Settings!$G$84,Settings!$G$86))/6,2)*6,"")</f>
        <v/>
      </c>
      <c r="AA381" s="142">
        <f>IFERROR(CHOOSE(MATCH(IF($E381="","Основний",$E381),{"Трафіковий","Основний","Маржинальний","Сезонний","Стратегічний"},0),Settings!$G$78,Settings!$G$80,Settings!$G$82,Settings!$G$84,Settings!$G$86),"")</f>
        <v/>
      </c>
      <c r="AB381" s="148">
        <f>IFERROR((Z381*(1-Settings!$G$17)-C381)/(Z381*(1-Settings!$G$17)),"")</f>
        <v/>
      </c>
      <c r="AC381" s="149">
        <f>IFERROR(IF(Z381="","",IF(Z381&gt;=C381/(1-SKU_Base!AE381)/(1-Settings!$G$17),"OK",IF(Z381&gt;=C381/(1-SKU_Base!AL381)/(1-Settings!$G$17),"WARN","STOP"))),"")</f>
        <v/>
      </c>
      <c r="AD381" s="161">
        <f>IFERROR(ROUND(D381*(1-CHOOSE(MATCH(IF($E381="","Основний",$E381),{"Трафіковий","Основний","Маржинальний","Сезонний","Стратегічний"},0),Settings!$H$78,Settings!$H$80,Settings!$H$82,Settings!$H$84,Settings!$H$86))*(1-Settings!$H$68)/6,2)*6,"")</f>
        <v/>
      </c>
      <c r="AE381" s="142">
        <f>IFERROR(CHOOSE(MATCH(IF($E381="","Основний",$E381),{"Трафіковий","Основний","Маржинальний","Сезонний","Стратегічний"},0),Settings!$H$78,Settings!$H$80,Settings!$H$82,Settings!$H$84,Settings!$H$86)+(1-(CHOOSE(MATCH(IF($E381="","Основний",$E381),{"Трафіковий","Основний","Маржинальний","Сезонний","Стратегічний"},0),Settings!$H$78,Settings!$H$80,Settings!$H$82,Settings!$H$84,Settings!$H$86)))*Settings!$H$68,"")</f>
        <v/>
      </c>
      <c r="AF381" s="148">
        <f>IFERROR((AD381*(1-Settings!$H$17)-C381)/(AD381*(1-Settings!$H$17)),"")</f>
        <v/>
      </c>
      <c r="AG381" s="149">
        <f>IFERROR(IF(AD381="","",IF(AD381&gt;=C381/(1-SKU_Base!AF381)/(1-Settings!$H$17),"OK",IF(AD381&gt;=C381/(1-SKU_Base!AM381)/(1-Settings!$H$17),"WARN","STOP"))),"")</f>
        <v/>
      </c>
    </row>
    <row r="382" ht="17" customHeight="1" s="179">
      <c r="A382" s="139">
        <f>SKU_Base!B382</f>
        <v/>
      </c>
      <c r="B382" s="139">
        <f>SKU_Base!C382</f>
        <v/>
      </c>
      <c r="C382" s="140">
        <f>IFERROR(SKU_Base!I382,"")</f>
        <v/>
      </c>
      <c r="D382" s="163">
        <f>IFERROR(SKU_Base!T382,"")</f>
        <v/>
      </c>
      <c r="E382" s="141">
        <f>IFERROR(SKU_Base!$U382,"")</f>
        <v/>
      </c>
      <c r="F382" s="158">
        <f>IFERROR(ROUND(D382*(1-CHOOSE(MATCH(IF($E382="","Основний",$E382),{"Трафіковий","Основний","Маржинальний","Сезонний","Стратегічний"},0),Settings!$B$78,Settings!$B$80,Settings!$B$82,Settings!$B$84,Settings!$B$86))/6,2)*6,"")</f>
        <v/>
      </c>
      <c r="G382" s="142">
        <f>IFERROR(CHOOSE(MATCH(IF($E382="","Основний",$E382),{"Трафіковий","Основний","Маржинальний","Сезонний","Стратегічний"},0),Settings!$B$78,Settings!$B$80,Settings!$B$82,Settings!$B$84,Settings!$B$86),"")</f>
        <v/>
      </c>
      <c r="H382" s="143">
        <f>IFERROR((F382*(1-Settings!$B$17)-C382)/(F382*(1-Settings!$B$17)),"")</f>
        <v/>
      </c>
      <c r="I382" s="150">
        <f>IFERROR(IF(F382="","",IF(F382&gt;=C382/(1-SKU_Base!Z382)/(1-Settings!$B$17),"OK",IF(F382&gt;=C382/(1-SKU_Base!AG382)/(1-Settings!$B$17),"WARN","STOP"))),"")</f>
        <v/>
      </c>
      <c r="J382" s="158">
        <f>IFERROR(ROUND(D382*(1-CHOOSE(MATCH(IF($E382="","Основний",$E382),{"Трафіковий","Основний","Маржинальний","Сезонний","Стратегічний"},0),Settings!$C$78,Settings!$C$80,Settings!$C$82,Settings!$C$84,Settings!$C$86))/6,2)*6,"")</f>
        <v/>
      </c>
      <c r="K382" s="142">
        <f>IFERROR(CHOOSE(MATCH(IF($E382="","Основний",$E382),{"Трафіковий","Основний","Маржинальний","Сезонний","Стратегічний"},0),Settings!$C$78,Settings!$C$80,Settings!$C$82,Settings!$C$84,Settings!$C$86),"")</f>
        <v/>
      </c>
      <c r="L382" s="143">
        <f>IFERROR((J382*(1-Settings!$C$17)-C382)/(J382*(1-Settings!$C$17)),"")</f>
        <v/>
      </c>
      <c r="M382" s="149">
        <f>IFERROR(IF(J382="","",IF(J382&gt;=C382/(1-SKU_Base!AA382)/(1-Settings!$C$17),"OK",IF(J382&gt;=C382/(1-SKU_Base!AH382)/(1-Settings!$C$17),"WARN","STOP"))),"")</f>
        <v/>
      </c>
      <c r="N382" s="159">
        <f>IFERROR(ROUND(D382*(1-CHOOSE(MATCH(IF($E382="","Основний",$E382),{"Трафіковий","Основний","Маржинальний","Сезонний","Стратегічний"},0),Settings!$D$78,Settings!$D$80,Settings!$D$82,Settings!$D$84,Settings!$D$86))/6,2)*6,"")</f>
        <v/>
      </c>
      <c r="O382" s="142">
        <f>IFERROR(CHOOSE(MATCH(IF($E382="","Основний",$E382),{"Трафіковий","Основний","Маржинальний","Сезонний","Стратегічний"},0),Settings!$D$78,Settings!$D$80,Settings!$D$82,Settings!$D$84,Settings!$D$86),"")</f>
        <v/>
      </c>
      <c r="P382" s="143">
        <f>IFERROR((N382*(1-Settings!$D$17)-C382)/(N382*(1-Settings!$D$17)),"")</f>
        <v/>
      </c>
      <c r="Q382" s="149">
        <f>IFERROR(IF(N382="","",IF(N382&gt;=C382/(1-SKU_Base!AB382)/(1-Settings!$D$17),"OK",IF(N382&gt;=C382/(1-SKU_Base!AI382)/(1-Settings!$D$17),"WARN","STOP"))),"")</f>
        <v/>
      </c>
      <c r="R382" s="159">
        <f>IFERROR(ROUND(D382*(1-CHOOSE(MATCH(IF($E382="","Основний",$E382),{"Трафіковий","Основний","Маржинальний","Сезонний","Стратегічний"},0),Settings!$E$78,Settings!$E$80,Settings!$E$82,Settings!$E$84,Settings!$E$86))/6,2)*6,"")</f>
        <v/>
      </c>
      <c r="S382" s="142">
        <f>IFERROR(CHOOSE(MATCH(IF($E382="","Основний",$E382),{"Трафіковий","Основний","Маржинальний","Сезонний","Стратегічний"},0),Settings!$E$78,Settings!$E$80,Settings!$E$82,Settings!$E$84,Settings!$E$86),"")</f>
        <v/>
      </c>
      <c r="T382" s="143">
        <f>IFERROR((R382*(1-Settings!$E$17)-C382)/(R382*(1-Settings!$E$17)),"")</f>
        <v/>
      </c>
      <c r="U382" s="149">
        <f>IFERROR(IF(R382="","",IF(R382&gt;=C382/(1-SKU_Base!AC382)/(1-Settings!$E$17),"OK",IF(R382&gt;=C382/(1-SKU_Base!AJ382)/(1-Settings!$E$17),"WARN","STOP"))),"")</f>
        <v/>
      </c>
      <c r="V382" s="159">
        <f>IFERROR(ROUND(D382*(1-CHOOSE(MATCH(IF($E382="","Основний",$E382),{"Трафіковий","Основний","Маржинальний","Сезонний","Стратегічний"},0),Settings!$F$78,Settings!$F$80,Settings!$F$82,Settings!$F$84,Settings!$F$86))/6,2)*6,"")</f>
        <v/>
      </c>
      <c r="W382" s="142">
        <f>IFERROR(CHOOSE(MATCH(IF($E382="","Основний",$E382),{"Трафіковий","Основний","Маржинальний","Сезонний","Стратегічний"},0),Settings!$F$78,Settings!$F$80,Settings!$F$82,Settings!$F$84,Settings!$F$86),"")</f>
        <v/>
      </c>
      <c r="X382" s="143">
        <f>IFERROR((V382*(1-Settings!$F$17)-C382)/(V382*(1-Settings!$F$17)),"")</f>
        <v/>
      </c>
      <c r="Y382" s="149">
        <f>IFERROR(IF(V382="","",IF(V382&gt;=C382/(1-SKU_Base!AD382)/(1-Settings!$F$17),"OK",IF(V382&gt;=C382/(1-SKU_Base!AK382)/(1-Settings!$F$17),"WARN","STOP"))),"")</f>
        <v/>
      </c>
      <c r="Z382" s="159">
        <f>IFERROR(ROUND(D382*(1-CHOOSE(MATCH(IF($E382="","Основний",$E382),{"Трафіковий","Основний","Маржинальний","Сезонний","Стратегічний"},0),Settings!$G$78,Settings!$G$80,Settings!$G$82,Settings!$G$84,Settings!$G$86))/6,2)*6,"")</f>
        <v/>
      </c>
      <c r="AA382" s="142">
        <f>IFERROR(CHOOSE(MATCH(IF($E382="","Основний",$E382),{"Трафіковий","Основний","Маржинальний","Сезонний","Стратегічний"},0),Settings!$G$78,Settings!$G$80,Settings!$G$82,Settings!$G$84,Settings!$G$86),"")</f>
        <v/>
      </c>
      <c r="AB382" s="143">
        <f>IFERROR((Z382*(1-Settings!$G$17)-C382)/(Z382*(1-Settings!$G$17)),"")</f>
        <v/>
      </c>
      <c r="AC382" s="149">
        <f>IFERROR(IF(Z382="","",IF(Z382&gt;=C382/(1-SKU_Base!AE382)/(1-Settings!$G$17),"OK",IF(Z382&gt;=C382/(1-SKU_Base!AL382)/(1-Settings!$G$17),"WARN","STOP"))),"")</f>
        <v/>
      </c>
      <c r="AD382" s="159">
        <f>IFERROR(ROUND(D382*(1-CHOOSE(MATCH(IF($E382="","Основний",$E382),{"Трафіковий","Основний","Маржинальний","Сезонний","Стратегічний"},0),Settings!$H$78,Settings!$H$80,Settings!$H$82,Settings!$H$84,Settings!$H$86))*(1-Settings!$H$68)/6,2)*6,"")</f>
        <v/>
      </c>
      <c r="AE382" s="142">
        <f>IFERROR(CHOOSE(MATCH(IF($E382="","Основний",$E382),{"Трафіковий","Основний","Маржинальний","Сезонний","Стратегічний"},0),Settings!$H$78,Settings!$H$80,Settings!$H$82,Settings!$H$84,Settings!$H$86)+(1-(CHOOSE(MATCH(IF($E382="","Основний",$E382),{"Трафіковий","Основний","Маржинальний","Сезонний","Стратегічний"},0),Settings!$H$78,Settings!$H$80,Settings!$H$82,Settings!$H$84,Settings!$H$86)))*Settings!$H$68,"")</f>
        <v/>
      </c>
      <c r="AF382" s="143">
        <f>IFERROR((AD382*(1-Settings!$H$17)-C382)/(AD382*(1-Settings!$H$17)),"")</f>
        <v/>
      </c>
      <c r="AG382" s="150">
        <f>IFERROR(IF(AD382="","",IF(AD382&gt;=C382/(1-SKU_Base!AF382)/(1-Settings!$H$17),"OK",IF(AD382&gt;=C382/(1-SKU_Base!AM382)/(1-Settings!$H$17),"WARN","STOP"))),"")</f>
        <v/>
      </c>
    </row>
    <row r="383" ht="17" customHeight="1" s="179">
      <c r="A383" s="146">
        <f>SKU_Base!B383</f>
        <v/>
      </c>
      <c r="B383" s="146">
        <f>SKU_Base!C383</f>
        <v/>
      </c>
      <c r="C383" s="147">
        <f>IFERROR(SKU_Base!I383,"")</f>
        <v/>
      </c>
      <c r="D383" s="164">
        <f>IFERROR(SKU_Base!T383,"")</f>
        <v/>
      </c>
      <c r="E383" s="141">
        <f>IFERROR(SKU_Base!$U383,"")</f>
        <v/>
      </c>
      <c r="F383" s="160">
        <f>IFERROR(ROUND(D383*(1-CHOOSE(MATCH(IF($E383="","Основний",$E383),{"Трафіковий","Основний","Маржинальний","Сезонний","Стратегічний"},0),Settings!$B$78,Settings!$B$80,Settings!$B$82,Settings!$B$84,Settings!$B$86))/6,2)*6,"")</f>
        <v/>
      </c>
      <c r="G383" s="142">
        <f>IFERROR(CHOOSE(MATCH(IF($E383="","Основний",$E383),{"Трафіковий","Основний","Маржинальний","Сезонний","Стратегічний"},0),Settings!$B$78,Settings!$B$80,Settings!$B$82,Settings!$B$84,Settings!$B$86),"")</f>
        <v/>
      </c>
      <c r="H383" s="148">
        <f>IFERROR((F383*(1-Settings!$B$17)-C383)/(F383*(1-Settings!$B$17)),"")</f>
        <v/>
      </c>
      <c r="I383" s="150">
        <f>IFERROR(IF(F383="","",IF(F383&gt;=C383/(1-SKU_Base!Z383)/(1-Settings!$B$17),"OK",IF(F383&gt;=C383/(1-SKU_Base!AG383)/(1-Settings!$B$17),"WARN","STOP"))),"")</f>
        <v/>
      </c>
      <c r="J383" s="160">
        <f>IFERROR(ROUND(D383*(1-CHOOSE(MATCH(IF($E383="","Основний",$E383),{"Трафіковий","Основний","Маржинальний","Сезонний","Стратегічний"},0),Settings!$C$78,Settings!$C$80,Settings!$C$82,Settings!$C$84,Settings!$C$86))/6,2)*6,"")</f>
        <v/>
      </c>
      <c r="K383" s="142">
        <f>IFERROR(CHOOSE(MATCH(IF($E383="","Основний",$E383),{"Трафіковий","Основний","Маржинальний","Сезонний","Стратегічний"},0),Settings!$C$78,Settings!$C$80,Settings!$C$82,Settings!$C$84,Settings!$C$86),"")</f>
        <v/>
      </c>
      <c r="L383" s="148">
        <f>IFERROR((J383*(1-Settings!$C$17)-C383)/(J383*(1-Settings!$C$17)),"")</f>
        <v/>
      </c>
      <c r="M383" s="149">
        <f>IFERROR(IF(J383="","",IF(J383&gt;=C383/(1-SKU_Base!AA383)/(1-Settings!$C$17),"OK",IF(J383&gt;=C383/(1-SKU_Base!AH383)/(1-Settings!$C$17),"WARN","STOP"))),"")</f>
        <v/>
      </c>
      <c r="N383" s="161">
        <f>IFERROR(ROUND(D383*(1-CHOOSE(MATCH(IF($E383="","Основний",$E383),{"Трафіковий","Основний","Маржинальний","Сезонний","Стратегічний"},0),Settings!$D$78,Settings!$D$80,Settings!$D$82,Settings!$D$84,Settings!$D$86))/6,2)*6,"")</f>
        <v/>
      </c>
      <c r="O383" s="142">
        <f>IFERROR(CHOOSE(MATCH(IF($E383="","Основний",$E383),{"Трафіковий","Основний","Маржинальний","Сезонний","Стратегічний"},0),Settings!$D$78,Settings!$D$80,Settings!$D$82,Settings!$D$84,Settings!$D$86),"")</f>
        <v/>
      </c>
      <c r="P383" s="148">
        <f>IFERROR((N383*(1-Settings!$D$17)-C383)/(N383*(1-Settings!$D$17)),"")</f>
        <v/>
      </c>
      <c r="Q383" s="149">
        <f>IFERROR(IF(N383="","",IF(N383&gt;=C383/(1-SKU_Base!AB383)/(1-Settings!$D$17),"OK",IF(N383&gt;=C383/(1-SKU_Base!AI383)/(1-Settings!$D$17),"WARN","STOP"))),"")</f>
        <v/>
      </c>
      <c r="R383" s="161">
        <f>IFERROR(ROUND(D383*(1-CHOOSE(MATCH(IF($E383="","Основний",$E383),{"Трафіковий","Основний","Маржинальний","Сезонний","Стратегічний"},0),Settings!$E$78,Settings!$E$80,Settings!$E$82,Settings!$E$84,Settings!$E$86))/6,2)*6,"")</f>
        <v/>
      </c>
      <c r="S383" s="142">
        <f>IFERROR(CHOOSE(MATCH(IF($E383="","Основний",$E383),{"Трафіковий","Основний","Маржинальний","Сезонний","Стратегічний"},0),Settings!$E$78,Settings!$E$80,Settings!$E$82,Settings!$E$84,Settings!$E$86),"")</f>
        <v/>
      </c>
      <c r="T383" s="148">
        <f>IFERROR((R383*(1-Settings!$E$17)-C383)/(R383*(1-Settings!$E$17)),"")</f>
        <v/>
      </c>
      <c r="U383" s="149">
        <f>IFERROR(IF(R383="","",IF(R383&gt;=C383/(1-SKU_Base!AC383)/(1-Settings!$E$17),"OK",IF(R383&gt;=C383/(1-SKU_Base!AJ383)/(1-Settings!$E$17),"WARN","STOP"))),"")</f>
        <v/>
      </c>
      <c r="V383" s="161">
        <f>IFERROR(ROUND(D383*(1-CHOOSE(MATCH(IF($E383="","Основний",$E383),{"Трафіковий","Основний","Маржинальний","Сезонний","Стратегічний"},0),Settings!$F$78,Settings!$F$80,Settings!$F$82,Settings!$F$84,Settings!$F$86))/6,2)*6,"")</f>
        <v/>
      </c>
      <c r="W383" s="142">
        <f>IFERROR(CHOOSE(MATCH(IF($E383="","Основний",$E383),{"Трафіковий","Основний","Маржинальний","Сезонний","Стратегічний"},0),Settings!$F$78,Settings!$F$80,Settings!$F$82,Settings!$F$84,Settings!$F$86),"")</f>
        <v/>
      </c>
      <c r="X383" s="148">
        <f>IFERROR((V383*(1-Settings!$F$17)-C383)/(V383*(1-Settings!$F$17)),"")</f>
        <v/>
      </c>
      <c r="Y383" s="149">
        <f>IFERROR(IF(V383="","",IF(V383&gt;=C383/(1-SKU_Base!AD383)/(1-Settings!$F$17),"OK",IF(V383&gt;=C383/(1-SKU_Base!AK383)/(1-Settings!$F$17),"WARN","STOP"))),"")</f>
        <v/>
      </c>
      <c r="Z383" s="161">
        <f>IFERROR(ROUND(D383*(1-CHOOSE(MATCH(IF($E383="","Основний",$E383),{"Трафіковий","Основний","Маржинальний","Сезонний","Стратегічний"},0),Settings!$G$78,Settings!$G$80,Settings!$G$82,Settings!$G$84,Settings!$G$86))/6,2)*6,"")</f>
        <v/>
      </c>
      <c r="AA383" s="142">
        <f>IFERROR(CHOOSE(MATCH(IF($E383="","Основний",$E383),{"Трафіковий","Основний","Маржинальний","Сезонний","Стратегічний"},0),Settings!$G$78,Settings!$G$80,Settings!$G$82,Settings!$G$84,Settings!$G$86),"")</f>
        <v/>
      </c>
      <c r="AB383" s="148">
        <f>IFERROR((Z383*(1-Settings!$G$17)-C383)/(Z383*(1-Settings!$G$17)),"")</f>
        <v/>
      </c>
      <c r="AC383" s="149">
        <f>IFERROR(IF(Z383="","",IF(Z383&gt;=C383/(1-SKU_Base!AE383)/(1-Settings!$G$17),"OK",IF(Z383&gt;=C383/(1-SKU_Base!AL383)/(1-Settings!$G$17),"WARN","STOP"))),"")</f>
        <v/>
      </c>
      <c r="AD383" s="161">
        <f>IFERROR(ROUND(D383*(1-CHOOSE(MATCH(IF($E383="","Основний",$E383),{"Трафіковий","Основний","Маржинальний","Сезонний","Стратегічний"},0),Settings!$H$78,Settings!$H$80,Settings!$H$82,Settings!$H$84,Settings!$H$86))*(1-Settings!$H$68)/6,2)*6,"")</f>
        <v/>
      </c>
      <c r="AE383" s="142">
        <f>IFERROR(CHOOSE(MATCH(IF($E383="","Основний",$E383),{"Трафіковий","Основний","Маржинальний","Сезонний","Стратегічний"},0),Settings!$H$78,Settings!$H$80,Settings!$H$82,Settings!$H$84,Settings!$H$86)+(1-(CHOOSE(MATCH(IF($E383="","Основний",$E383),{"Трафіковий","Основний","Маржинальний","Сезонний","Стратегічний"},0),Settings!$H$78,Settings!$H$80,Settings!$H$82,Settings!$H$84,Settings!$H$86)))*Settings!$H$68,"")</f>
        <v/>
      </c>
      <c r="AF383" s="148">
        <f>IFERROR((AD383*(1-Settings!$H$17)-C383)/(AD383*(1-Settings!$H$17)),"")</f>
        <v/>
      </c>
      <c r="AG383" s="150">
        <f>IFERROR(IF(AD383="","",IF(AD383&gt;=C383/(1-SKU_Base!AF383)/(1-Settings!$H$17),"OK",IF(AD383&gt;=C383/(1-SKU_Base!AM383)/(1-Settings!$H$17),"WARN","STOP"))),"")</f>
        <v/>
      </c>
    </row>
    <row r="384" ht="17" customHeight="1" s="179">
      <c r="A384" s="139">
        <f>SKU_Base!B384</f>
        <v/>
      </c>
      <c r="B384" s="139">
        <f>SKU_Base!C384</f>
        <v/>
      </c>
      <c r="C384" s="140">
        <f>IFERROR(SKU_Base!I384,"")</f>
        <v/>
      </c>
      <c r="D384" s="163">
        <f>IFERROR(SKU_Base!T384,"")</f>
        <v/>
      </c>
      <c r="E384" s="141">
        <f>IFERROR(SKU_Base!$U384,"")</f>
        <v/>
      </c>
      <c r="F384" s="158">
        <f>IFERROR(ROUND(D384*(1-CHOOSE(MATCH(IF($E384="","Основний",$E384),{"Трафіковий","Основний","Маржинальний","Сезонний","Стратегічний"},0),Settings!$B$78,Settings!$B$80,Settings!$B$82,Settings!$B$84,Settings!$B$86))/6,2)*6,"")</f>
        <v/>
      </c>
      <c r="G384" s="142">
        <f>IFERROR(CHOOSE(MATCH(IF($E384="","Основний",$E384),{"Трафіковий","Основний","Маржинальний","Сезонний","Стратегічний"},0),Settings!$B$78,Settings!$B$80,Settings!$B$82,Settings!$B$84,Settings!$B$86),"")</f>
        <v/>
      </c>
      <c r="H384" s="143">
        <f>IFERROR((F384*(1-Settings!$B$17)-C384)/(F384*(1-Settings!$B$17)),"")</f>
        <v/>
      </c>
      <c r="I384" s="149">
        <f>IFERROR(IF(F384="","",IF(F384&gt;=C384/(1-SKU_Base!Z384)/(1-Settings!$B$17),"OK",IF(F384&gt;=C384/(1-SKU_Base!AG384)/(1-Settings!$B$17),"WARN","STOP"))),"")</f>
        <v/>
      </c>
      <c r="J384" s="158">
        <f>IFERROR(ROUND(D384*(1-CHOOSE(MATCH(IF($E384="","Основний",$E384),{"Трафіковий","Основний","Маржинальний","Сезонний","Стратегічний"},0),Settings!$C$78,Settings!$C$80,Settings!$C$82,Settings!$C$84,Settings!$C$86))/6,2)*6,"")</f>
        <v/>
      </c>
      <c r="K384" s="142">
        <f>IFERROR(CHOOSE(MATCH(IF($E384="","Основний",$E384),{"Трафіковий","Основний","Маржинальний","Сезонний","Стратегічний"},0),Settings!$C$78,Settings!$C$80,Settings!$C$82,Settings!$C$84,Settings!$C$86),"")</f>
        <v/>
      </c>
      <c r="L384" s="143">
        <f>IFERROR((J384*(1-Settings!$C$17)-C384)/(J384*(1-Settings!$C$17)),"")</f>
        <v/>
      </c>
      <c r="M384" s="149">
        <f>IFERROR(IF(J384="","",IF(J384&gt;=C384/(1-SKU_Base!AA384)/(1-Settings!$C$17),"OK",IF(J384&gt;=C384/(1-SKU_Base!AH384)/(1-Settings!$C$17),"WARN","STOP"))),"")</f>
        <v/>
      </c>
      <c r="N384" s="159">
        <f>IFERROR(ROUND(D384*(1-CHOOSE(MATCH(IF($E384="","Основний",$E384),{"Трафіковий","Основний","Маржинальний","Сезонний","Стратегічний"},0),Settings!$D$78,Settings!$D$80,Settings!$D$82,Settings!$D$84,Settings!$D$86))/6,2)*6,"")</f>
        <v/>
      </c>
      <c r="O384" s="142">
        <f>IFERROR(CHOOSE(MATCH(IF($E384="","Основний",$E384),{"Трафіковий","Основний","Маржинальний","Сезонний","Стратегічний"},0),Settings!$D$78,Settings!$D$80,Settings!$D$82,Settings!$D$84,Settings!$D$86),"")</f>
        <v/>
      </c>
      <c r="P384" s="143">
        <f>IFERROR((N384*(1-Settings!$D$17)-C384)/(N384*(1-Settings!$D$17)),"")</f>
        <v/>
      </c>
      <c r="Q384" s="149">
        <f>IFERROR(IF(N384="","",IF(N384&gt;=C384/(1-SKU_Base!AB384)/(1-Settings!$D$17),"OK",IF(N384&gt;=C384/(1-SKU_Base!AI384)/(1-Settings!$D$17),"WARN","STOP"))),"")</f>
        <v/>
      </c>
      <c r="R384" s="159">
        <f>IFERROR(ROUND(D384*(1-CHOOSE(MATCH(IF($E384="","Основний",$E384),{"Трафіковий","Основний","Маржинальний","Сезонний","Стратегічний"},0),Settings!$E$78,Settings!$E$80,Settings!$E$82,Settings!$E$84,Settings!$E$86))/6,2)*6,"")</f>
        <v/>
      </c>
      <c r="S384" s="142">
        <f>IFERROR(CHOOSE(MATCH(IF($E384="","Основний",$E384),{"Трафіковий","Основний","Маржинальний","Сезонний","Стратегічний"},0),Settings!$E$78,Settings!$E$80,Settings!$E$82,Settings!$E$84,Settings!$E$86),"")</f>
        <v/>
      </c>
      <c r="T384" s="143">
        <f>IFERROR((R384*(1-Settings!$E$17)-C384)/(R384*(1-Settings!$E$17)),"")</f>
        <v/>
      </c>
      <c r="U384" s="149">
        <f>IFERROR(IF(R384="","",IF(R384&gt;=C384/(1-SKU_Base!AC384)/(1-Settings!$E$17),"OK",IF(R384&gt;=C384/(1-SKU_Base!AJ384)/(1-Settings!$E$17),"WARN","STOP"))),"")</f>
        <v/>
      </c>
      <c r="V384" s="159">
        <f>IFERROR(ROUND(D384*(1-CHOOSE(MATCH(IF($E384="","Основний",$E384),{"Трафіковий","Основний","Маржинальний","Сезонний","Стратегічний"},0),Settings!$F$78,Settings!$F$80,Settings!$F$82,Settings!$F$84,Settings!$F$86))/6,2)*6,"")</f>
        <v/>
      </c>
      <c r="W384" s="142">
        <f>IFERROR(CHOOSE(MATCH(IF($E384="","Основний",$E384),{"Трафіковий","Основний","Маржинальний","Сезонний","Стратегічний"},0),Settings!$F$78,Settings!$F$80,Settings!$F$82,Settings!$F$84,Settings!$F$86),"")</f>
        <v/>
      </c>
      <c r="X384" s="143">
        <f>IFERROR((V384*(1-Settings!$F$17)-C384)/(V384*(1-Settings!$F$17)),"")</f>
        <v/>
      </c>
      <c r="Y384" s="149">
        <f>IFERROR(IF(V384="","",IF(V384&gt;=C384/(1-SKU_Base!AD384)/(1-Settings!$F$17),"OK",IF(V384&gt;=C384/(1-SKU_Base!AK384)/(1-Settings!$F$17),"WARN","STOP"))),"")</f>
        <v/>
      </c>
      <c r="Z384" s="159">
        <f>IFERROR(ROUND(D384*(1-CHOOSE(MATCH(IF($E384="","Основний",$E384),{"Трафіковий","Основний","Маржинальний","Сезонний","Стратегічний"},0),Settings!$G$78,Settings!$G$80,Settings!$G$82,Settings!$G$84,Settings!$G$86))/6,2)*6,"")</f>
        <v/>
      </c>
      <c r="AA384" s="142">
        <f>IFERROR(CHOOSE(MATCH(IF($E384="","Основний",$E384),{"Трафіковий","Основний","Маржинальний","Сезонний","Стратегічний"},0),Settings!$G$78,Settings!$G$80,Settings!$G$82,Settings!$G$84,Settings!$G$86),"")</f>
        <v/>
      </c>
      <c r="AB384" s="143">
        <f>IFERROR((Z384*(1-Settings!$G$17)-C384)/(Z384*(1-Settings!$G$17)),"")</f>
        <v/>
      </c>
      <c r="AC384" s="149">
        <f>IFERROR(IF(Z384="","",IF(Z384&gt;=C384/(1-SKU_Base!AE384)/(1-Settings!$G$17),"OK",IF(Z384&gt;=C384/(1-SKU_Base!AL384)/(1-Settings!$G$17),"WARN","STOP"))),"")</f>
        <v/>
      </c>
      <c r="AD384" s="159">
        <f>IFERROR(ROUND(D384*(1-CHOOSE(MATCH(IF($E384="","Основний",$E384),{"Трафіковий","Основний","Маржинальний","Сезонний","Стратегічний"},0),Settings!$H$78,Settings!$H$80,Settings!$H$82,Settings!$H$84,Settings!$H$86))*(1-Settings!$H$68)/6,2)*6,"")</f>
        <v/>
      </c>
      <c r="AE384" s="142">
        <f>IFERROR(CHOOSE(MATCH(IF($E384="","Основний",$E384),{"Трафіковий","Основний","Маржинальний","Сезонний","Стратегічний"},0),Settings!$H$78,Settings!$H$80,Settings!$H$82,Settings!$H$84,Settings!$H$86)+(1-(CHOOSE(MATCH(IF($E384="","Основний",$E384),{"Трафіковий","Основний","Маржинальний","Сезонний","Стратегічний"},0),Settings!$H$78,Settings!$H$80,Settings!$H$82,Settings!$H$84,Settings!$H$86)))*Settings!$H$68,"")</f>
        <v/>
      </c>
      <c r="AF384" s="143">
        <f>IFERROR((AD384*(1-Settings!$H$17)-C384)/(AD384*(1-Settings!$H$17)),"")</f>
        <v/>
      </c>
      <c r="AG384" s="150">
        <f>IFERROR(IF(AD384="","",IF(AD384&gt;=C384/(1-SKU_Base!AF384)/(1-Settings!$H$17),"OK",IF(AD384&gt;=C384/(1-SKU_Base!AM384)/(1-Settings!$H$17),"WARN","STOP"))),"")</f>
        <v/>
      </c>
    </row>
    <row r="385" ht="17" customHeight="1" s="179">
      <c r="A385" s="146">
        <f>SKU_Base!B385</f>
        <v/>
      </c>
      <c r="B385" s="146">
        <f>SKU_Base!C385</f>
        <v/>
      </c>
      <c r="C385" s="147">
        <f>IFERROR(SKU_Base!I385,"")</f>
        <v/>
      </c>
      <c r="D385" s="164">
        <f>IFERROR(SKU_Base!T385,"")</f>
        <v/>
      </c>
      <c r="E385" s="141">
        <f>IFERROR(SKU_Base!$U385,"")</f>
        <v/>
      </c>
      <c r="F385" s="160">
        <f>IFERROR(ROUND(D385*(1-CHOOSE(MATCH(IF($E385="","Основний",$E385),{"Трафіковий","Основний","Маржинальний","Сезонний","Стратегічний"},0),Settings!$B$78,Settings!$B$80,Settings!$B$82,Settings!$B$84,Settings!$B$86))/6,2)*6,"")</f>
        <v/>
      </c>
      <c r="G385" s="142">
        <f>IFERROR(CHOOSE(MATCH(IF($E385="","Основний",$E385),{"Трафіковий","Основний","Маржинальний","Сезонний","Стратегічний"},0),Settings!$B$78,Settings!$B$80,Settings!$B$82,Settings!$B$84,Settings!$B$86),"")</f>
        <v/>
      </c>
      <c r="H385" s="148">
        <f>IFERROR((F385*(1-Settings!$B$17)-C385)/(F385*(1-Settings!$B$17)),"")</f>
        <v/>
      </c>
      <c r="I385" s="149">
        <f>IFERROR(IF(F385="","",IF(F385&gt;=C385/(1-SKU_Base!Z385)/(1-Settings!$B$17),"OK",IF(F385&gt;=C385/(1-SKU_Base!AG385)/(1-Settings!$B$17),"WARN","STOP"))),"")</f>
        <v/>
      </c>
      <c r="J385" s="160">
        <f>IFERROR(ROUND(D385*(1-CHOOSE(MATCH(IF($E385="","Основний",$E385),{"Трафіковий","Основний","Маржинальний","Сезонний","Стратегічний"},0),Settings!$C$78,Settings!$C$80,Settings!$C$82,Settings!$C$84,Settings!$C$86))/6,2)*6,"")</f>
        <v/>
      </c>
      <c r="K385" s="142">
        <f>IFERROR(CHOOSE(MATCH(IF($E385="","Основний",$E385),{"Трафіковий","Основний","Маржинальний","Сезонний","Стратегічний"},0),Settings!$C$78,Settings!$C$80,Settings!$C$82,Settings!$C$84,Settings!$C$86),"")</f>
        <v/>
      </c>
      <c r="L385" s="148">
        <f>IFERROR((J385*(1-Settings!$C$17)-C385)/(J385*(1-Settings!$C$17)),"")</f>
        <v/>
      </c>
      <c r="M385" s="149">
        <f>IFERROR(IF(J385="","",IF(J385&gt;=C385/(1-SKU_Base!AA385)/(1-Settings!$C$17),"OK",IF(J385&gt;=C385/(1-SKU_Base!AH385)/(1-Settings!$C$17),"WARN","STOP"))),"")</f>
        <v/>
      </c>
      <c r="N385" s="161">
        <f>IFERROR(ROUND(D385*(1-CHOOSE(MATCH(IF($E385="","Основний",$E385),{"Трафіковий","Основний","Маржинальний","Сезонний","Стратегічний"},0),Settings!$D$78,Settings!$D$80,Settings!$D$82,Settings!$D$84,Settings!$D$86))/6,2)*6,"")</f>
        <v/>
      </c>
      <c r="O385" s="142">
        <f>IFERROR(CHOOSE(MATCH(IF($E385="","Основний",$E385),{"Трафіковий","Основний","Маржинальний","Сезонний","Стратегічний"},0),Settings!$D$78,Settings!$D$80,Settings!$D$82,Settings!$D$84,Settings!$D$86),"")</f>
        <v/>
      </c>
      <c r="P385" s="148">
        <f>IFERROR((N385*(1-Settings!$D$17)-C385)/(N385*(1-Settings!$D$17)),"")</f>
        <v/>
      </c>
      <c r="Q385" s="149">
        <f>IFERROR(IF(N385="","",IF(N385&gt;=C385/(1-SKU_Base!AB385)/(1-Settings!$D$17),"OK",IF(N385&gt;=C385/(1-SKU_Base!AI385)/(1-Settings!$D$17),"WARN","STOP"))),"")</f>
        <v/>
      </c>
      <c r="R385" s="161">
        <f>IFERROR(ROUND(D385*(1-CHOOSE(MATCH(IF($E385="","Основний",$E385),{"Трафіковий","Основний","Маржинальний","Сезонний","Стратегічний"},0),Settings!$E$78,Settings!$E$80,Settings!$E$82,Settings!$E$84,Settings!$E$86))/6,2)*6,"")</f>
        <v/>
      </c>
      <c r="S385" s="142">
        <f>IFERROR(CHOOSE(MATCH(IF($E385="","Основний",$E385),{"Трафіковий","Основний","Маржинальний","Сезонний","Стратегічний"},0),Settings!$E$78,Settings!$E$80,Settings!$E$82,Settings!$E$84,Settings!$E$86),"")</f>
        <v/>
      </c>
      <c r="T385" s="148">
        <f>IFERROR((R385*(1-Settings!$E$17)-C385)/(R385*(1-Settings!$E$17)),"")</f>
        <v/>
      </c>
      <c r="U385" s="149">
        <f>IFERROR(IF(R385="","",IF(R385&gt;=C385/(1-SKU_Base!AC385)/(1-Settings!$E$17),"OK",IF(R385&gt;=C385/(1-SKU_Base!AJ385)/(1-Settings!$E$17),"WARN","STOP"))),"")</f>
        <v/>
      </c>
      <c r="V385" s="161">
        <f>IFERROR(ROUND(D385*(1-CHOOSE(MATCH(IF($E385="","Основний",$E385),{"Трафіковий","Основний","Маржинальний","Сезонний","Стратегічний"},0),Settings!$F$78,Settings!$F$80,Settings!$F$82,Settings!$F$84,Settings!$F$86))/6,2)*6,"")</f>
        <v/>
      </c>
      <c r="W385" s="142">
        <f>IFERROR(CHOOSE(MATCH(IF($E385="","Основний",$E385),{"Трафіковий","Основний","Маржинальний","Сезонний","Стратегічний"},0),Settings!$F$78,Settings!$F$80,Settings!$F$82,Settings!$F$84,Settings!$F$86),"")</f>
        <v/>
      </c>
      <c r="X385" s="148">
        <f>IFERROR((V385*(1-Settings!$F$17)-C385)/(V385*(1-Settings!$F$17)),"")</f>
        <v/>
      </c>
      <c r="Y385" s="149">
        <f>IFERROR(IF(V385="","",IF(V385&gt;=C385/(1-SKU_Base!AD385)/(1-Settings!$F$17),"OK",IF(V385&gt;=C385/(1-SKU_Base!AK385)/(1-Settings!$F$17),"WARN","STOP"))),"")</f>
        <v/>
      </c>
      <c r="Z385" s="161">
        <f>IFERROR(ROUND(D385*(1-CHOOSE(MATCH(IF($E385="","Основний",$E385),{"Трафіковий","Основний","Маржинальний","Сезонний","Стратегічний"},0),Settings!$G$78,Settings!$G$80,Settings!$G$82,Settings!$G$84,Settings!$G$86))/6,2)*6,"")</f>
        <v/>
      </c>
      <c r="AA385" s="142">
        <f>IFERROR(CHOOSE(MATCH(IF($E385="","Основний",$E385),{"Трафіковий","Основний","Маржинальний","Сезонний","Стратегічний"},0),Settings!$G$78,Settings!$G$80,Settings!$G$82,Settings!$G$84,Settings!$G$86),"")</f>
        <v/>
      </c>
      <c r="AB385" s="148">
        <f>IFERROR((Z385*(1-Settings!$G$17)-C385)/(Z385*(1-Settings!$G$17)),"")</f>
        <v/>
      </c>
      <c r="AC385" s="149">
        <f>IFERROR(IF(Z385="","",IF(Z385&gt;=C385/(1-SKU_Base!AE385)/(1-Settings!$G$17),"OK",IF(Z385&gt;=C385/(1-SKU_Base!AL385)/(1-Settings!$G$17),"WARN","STOP"))),"")</f>
        <v/>
      </c>
      <c r="AD385" s="161">
        <f>IFERROR(ROUND(D385*(1-CHOOSE(MATCH(IF($E385="","Основний",$E385),{"Трафіковий","Основний","Маржинальний","Сезонний","Стратегічний"},0),Settings!$H$78,Settings!$H$80,Settings!$H$82,Settings!$H$84,Settings!$H$86))*(1-Settings!$H$68)/6,2)*6,"")</f>
        <v/>
      </c>
      <c r="AE385" s="142">
        <f>IFERROR(CHOOSE(MATCH(IF($E385="","Основний",$E385),{"Трафіковий","Основний","Маржинальний","Сезонний","Стратегічний"},0),Settings!$H$78,Settings!$H$80,Settings!$H$82,Settings!$H$84,Settings!$H$86)+(1-(CHOOSE(MATCH(IF($E385="","Основний",$E385),{"Трафіковий","Основний","Маржинальний","Сезонний","Стратегічний"},0),Settings!$H$78,Settings!$H$80,Settings!$H$82,Settings!$H$84,Settings!$H$86)))*Settings!$H$68,"")</f>
        <v/>
      </c>
      <c r="AF385" s="148">
        <f>IFERROR((AD385*(1-Settings!$H$17)-C385)/(AD385*(1-Settings!$H$17)),"")</f>
        <v/>
      </c>
      <c r="AG385" s="149">
        <f>IFERROR(IF(AD385="","",IF(AD385&gt;=C385/(1-SKU_Base!AF385)/(1-Settings!$H$17),"OK",IF(AD385&gt;=C385/(1-SKU_Base!AM385)/(1-Settings!$H$17),"WARN","STOP"))),"")</f>
        <v/>
      </c>
    </row>
    <row r="386" ht="17" customHeight="1" s="179">
      <c r="A386" s="139">
        <f>SKU_Base!B386</f>
        <v/>
      </c>
      <c r="B386" s="139">
        <f>SKU_Base!C386</f>
        <v/>
      </c>
      <c r="C386" s="140">
        <f>IFERROR(SKU_Base!I386,"")</f>
        <v/>
      </c>
      <c r="D386" s="163">
        <f>IFERROR(SKU_Base!T386,"")</f>
        <v/>
      </c>
      <c r="E386" s="141">
        <f>IFERROR(SKU_Base!$U386,"")</f>
        <v/>
      </c>
      <c r="F386" s="158">
        <f>IFERROR(ROUND(D386*(1-CHOOSE(MATCH(IF($E386="","Основний",$E386),{"Трафіковий","Основний","Маржинальний","Сезонний","Стратегічний"},0),Settings!$B$78,Settings!$B$80,Settings!$B$82,Settings!$B$84,Settings!$B$86))/6,2)*6,"")</f>
        <v/>
      </c>
      <c r="G386" s="142">
        <f>IFERROR(CHOOSE(MATCH(IF($E386="","Основний",$E386),{"Трафіковий","Основний","Маржинальний","Сезонний","Стратегічний"},0),Settings!$B$78,Settings!$B$80,Settings!$B$82,Settings!$B$84,Settings!$B$86),"")</f>
        <v/>
      </c>
      <c r="H386" s="143">
        <f>IFERROR((F386*(1-Settings!$B$17)-C386)/(F386*(1-Settings!$B$17)),"")</f>
        <v/>
      </c>
      <c r="I386" s="149">
        <f>IFERROR(IF(F386="","",IF(F386&gt;=C386/(1-SKU_Base!Z386)/(1-Settings!$B$17),"OK",IF(F386&gt;=C386/(1-SKU_Base!AG386)/(1-Settings!$B$17),"WARN","STOP"))),"")</f>
        <v/>
      </c>
      <c r="J386" s="158">
        <f>IFERROR(ROUND(D386*(1-CHOOSE(MATCH(IF($E386="","Основний",$E386),{"Трафіковий","Основний","Маржинальний","Сезонний","Стратегічний"},0),Settings!$C$78,Settings!$C$80,Settings!$C$82,Settings!$C$84,Settings!$C$86))/6,2)*6,"")</f>
        <v/>
      </c>
      <c r="K386" s="142">
        <f>IFERROR(CHOOSE(MATCH(IF($E386="","Основний",$E386),{"Трафіковий","Основний","Маржинальний","Сезонний","Стратегічний"},0),Settings!$C$78,Settings!$C$80,Settings!$C$82,Settings!$C$84,Settings!$C$86),"")</f>
        <v/>
      </c>
      <c r="L386" s="143">
        <f>IFERROR((J386*(1-Settings!$C$17)-C386)/(J386*(1-Settings!$C$17)),"")</f>
        <v/>
      </c>
      <c r="M386" s="149">
        <f>IFERROR(IF(J386="","",IF(J386&gt;=C386/(1-SKU_Base!AA386)/(1-Settings!$C$17),"OK",IF(J386&gt;=C386/(1-SKU_Base!AH386)/(1-Settings!$C$17),"WARN","STOP"))),"")</f>
        <v/>
      </c>
      <c r="N386" s="159">
        <f>IFERROR(ROUND(D386*(1-CHOOSE(MATCH(IF($E386="","Основний",$E386),{"Трафіковий","Основний","Маржинальний","Сезонний","Стратегічний"},0),Settings!$D$78,Settings!$D$80,Settings!$D$82,Settings!$D$84,Settings!$D$86))/6,2)*6,"")</f>
        <v/>
      </c>
      <c r="O386" s="142">
        <f>IFERROR(CHOOSE(MATCH(IF($E386="","Основний",$E386),{"Трафіковий","Основний","Маржинальний","Сезонний","Стратегічний"},0),Settings!$D$78,Settings!$D$80,Settings!$D$82,Settings!$D$84,Settings!$D$86),"")</f>
        <v/>
      </c>
      <c r="P386" s="143">
        <f>IFERROR((N386*(1-Settings!$D$17)-C386)/(N386*(1-Settings!$D$17)),"")</f>
        <v/>
      </c>
      <c r="Q386" s="149">
        <f>IFERROR(IF(N386="","",IF(N386&gt;=C386/(1-SKU_Base!AB386)/(1-Settings!$D$17),"OK",IF(N386&gt;=C386/(1-SKU_Base!AI386)/(1-Settings!$D$17),"WARN","STOP"))),"")</f>
        <v/>
      </c>
      <c r="R386" s="159">
        <f>IFERROR(ROUND(D386*(1-CHOOSE(MATCH(IF($E386="","Основний",$E386),{"Трафіковий","Основний","Маржинальний","Сезонний","Стратегічний"},0),Settings!$E$78,Settings!$E$80,Settings!$E$82,Settings!$E$84,Settings!$E$86))/6,2)*6,"")</f>
        <v/>
      </c>
      <c r="S386" s="142">
        <f>IFERROR(CHOOSE(MATCH(IF($E386="","Основний",$E386),{"Трафіковий","Основний","Маржинальний","Сезонний","Стратегічний"},0),Settings!$E$78,Settings!$E$80,Settings!$E$82,Settings!$E$84,Settings!$E$86),"")</f>
        <v/>
      </c>
      <c r="T386" s="143">
        <f>IFERROR((R386*(1-Settings!$E$17)-C386)/(R386*(1-Settings!$E$17)),"")</f>
        <v/>
      </c>
      <c r="U386" s="149">
        <f>IFERROR(IF(R386="","",IF(R386&gt;=C386/(1-SKU_Base!AC386)/(1-Settings!$E$17),"OK",IF(R386&gt;=C386/(1-SKU_Base!AJ386)/(1-Settings!$E$17),"WARN","STOP"))),"")</f>
        <v/>
      </c>
      <c r="V386" s="159">
        <f>IFERROR(ROUND(D386*(1-CHOOSE(MATCH(IF($E386="","Основний",$E386),{"Трафіковий","Основний","Маржинальний","Сезонний","Стратегічний"},0),Settings!$F$78,Settings!$F$80,Settings!$F$82,Settings!$F$84,Settings!$F$86))/6,2)*6,"")</f>
        <v/>
      </c>
      <c r="W386" s="142">
        <f>IFERROR(CHOOSE(MATCH(IF($E386="","Основний",$E386),{"Трафіковий","Основний","Маржинальний","Сезонний","Стратегічний"},0),Settings!$F$78,Settings!$F$80,Settings!$F$82,Settings!$F$84,Settings!$F$86),"")</f>
        <v/>
      </c>
      <c r="X386" s="143">
        <f>IFERROR((V386*(1-Settings!$F$17)-C386)/(V386*(1-Settings!$F$17)),"")</f>
        <v/>
      </c>
      <c r="Y386" s="149">
        <f>IFERROR(IF(V386="","",IF(V386&gt;=C386/(1-SKU_Base!AD386)/(1-Settings!$F$17),"OK",IF(V386&gt;=C386/(1-SKU_Base!AK386)/(1-Settings!$F$17),"WARN","STOP"))),"")</f>
        <v/>
      </c>
      <c r="Z386" s="159">
        <f>IFERROR(ROUND(D386*(1-CHOOSE(MATCH(IF($E386="","Основний",$E386),{"Трафіковий","Основний","Маржинальний","Сезонний","Стратегічний"},0),Settings!$G$78,Settings!$G$80,Settings!$G$82,Settings!$G$84,Settings!$G$86))/6,2)*6,"")</f>
        <v/>
      </c>
      <c r="AA386" s="142">
        <f>IFERROR(CHOOSE(MATCH(IF($E386="","Основний",$E386),{"Трафіковий","Основний","Маржинальний","Сезонний","Стратегічний"},0),Settings!$G$78,Settings!$G$80,Settings!$G$82,Settings!$G$84,Settings!$G$86),"")</f>
        <v/>
      </c>
      <c r="AB386" s="143">
        <f>IFERROR((Z386*(1-Settings!$G$17)-C386)/(Z386*(1-Settings!$G$17)),"")</f>
        <v/>
      </c>
      <c r="AC386" s="149">
        <f>IFERROR(IF(Z386="","",IF(Z386&gt;=C386/(1-SKU_Base!AE386)/(1-Settings!$G$17),"OK",IF(Z386&gt;=C386/(1-SKU_Base!AL386)/(1-Settings!$G$17),"WARN","STOP"))),"")</f>
        <v/>
      </c>
      <c r="AD386" s="159">
        <f>IFERROR(ROUND(D386*(1-CHOOSE(MATCH(IF($E386="","Основний",$E386),{"Трафіковий","Основний","Маржинальний","Сезонний","Стратегічний"},0),Settings!$H$78,Settings!$H$80,Settings!$H$82,Settings!$H$84,Settings!$H$86))*(1-Settings!$H$68)/6,2)*6,"")</f>
        <v/>
      </c>
      <c r="AE386" s="142">
        <f>IFERROR(CHOOSE(MATCH(IF($E386="","Основний",$E386),{"Трафіковий","Основний","Маржинальний","Сезонний","Стратегічний"},0),Settings!$H$78,Settings!$H$80,Settings!$H$82,Settings!$H$84,Settings!$H$86)+(1-(CHOOSE(MATCH(IF($E386="","Основний",$E386),{"Трафіковий","Основний","Маржинальний","Сезонний","Стратегічний"},0),Settings!$H$78,Settings!$H$80,Settings!$H$82,Settings!$H$84,Settings!$H$86)))*Settings!$H$68,"")</f>
        <v/>
      </c>
      <c r="AF386" s="143">
        <f>IFERROR((AD386*(1-Settings!$H$17)-C386)/(AD386*(1-Settings!$H$17)),"")</f>
        <v/>
      </c>
      <c r="AG386" s="150">
        <f>IFERROR(IF(AD386="","",IF(AD386&gt;=C386/(1-SKU_Base!AF386)/(1-Settings!$H$17),"OK",IF(AD386&gt;=C386/(1-SKU_Base!AM386)/(1-Settings!$H$17),"WARN","STOP"))),"")</f>
        <v/>
      </c>
    </row>
    <row r="387" ht="17" customHeight="1" s="179">
      <c r="A387" s="146">
        <f>SKU_Base!B387</f>
        <v/>
      </c>
      <c r="B387" s="146">
        <f>SKU_Base!C387</f>
        <v/>
      </c>
      <c r="C387" s="147">
        <f>IFERROR(SKU_Base!I387,"")</f>
        <v/>
      </c>
      <c r="D387" s="164">
        <f>IFERROR(SKU_Base!T387,"")</f>
        <v/>
      </c>
      <c r="E387" s="141">
        <f>IFERROR(SKU_Base!$U387,"")</f>
        <v/>
      </c>
      <c r="F387" s="160">
        <f>IFERROR(ROUND(D387*(1-CHOOSE(MATCH(IF($E387="","Основний",$E387),{"Трафіковий","Основний","Маржинальний","Сезонний","Стратегічний"},0),Settings!$B$78,Settings!$B$80,Settings!$B$82,Settings!$B$84,Settings!$B$86))/6,2)*6,"")</f>
        <v/>
      </c>
      <c r="G387" s="142">
        <f>IFERROR(CHOOSE(MATCH(IF($E387="","Основний",$E387),{"Трафіковий","Основний","Маржинальний","Сезонний","Стратегічний"},0),Settings!$B$78,Settings!$B$80,Settings!$B$82,Settings!$B$84,Settings!$B$86),"")</f>
        <v/>
      </c>
      <c r="H387" s="148">
        <f>IFERROR((F387*(1-Settings!$B$17)-C387)/(F387*(1-Settings!$B$17)),"")</f>
        <v/>
      </c>
      <c r="I387" s="150">
        <f>IFERROR(IF(F387="","",IF(F387&gt;=C387/(1-SKU_Base!Z387)/(1-Settings!$B$17),"OK",IF(F387&gt;=C387/(1-SKU_Base!AG387)/(1-Settings!$B$17),"WARN","STOP"))),"")</f>
        <v/>
      </c>
      <c r="J387" s="160">
        <f>IFERROR(ROUND(D387*(1-CHOOSE(MATCH(IF($E387="","Основний",$E387),{"Трафіковий","Основний","Маржинальний","Сезонний","Стратегічний"},0),Settings!$C$78,Settings!$C$80,Settings!$C$82,Settings!$C$84,Settings!$C$86))/6,2)*6,"")</f>
        <v/>
      </c>
      <c r="K387" s="142">
        <f>IFERROR(CHOOSE(MATCH(IF($E387="","Основний",$E387),{"Трафіковий","Основний","Маржинальний","Сезонний","Стратегічний"},0),Settings!$C$78,Settings!$C$80,Settings!$C$82,Settings!$C$84,Settings!$C$86),"")</f>
        <v/>
      </c>
      <c r="L387" s="148">
        <f>IFERROR((J387*(1-Settings!$C$17)-C387)/(J387*(1-Settings!$C$17)),"")</f>
        <v/>
      </c>
      <c r="M387" s="149">
        <f>IFERROR(IF(J387="","",IF(J387&gt;=C387/(1-SKU_Base!AA387)/(1-Settings!$C$17),"OK",IF(J387&gt;=C387/(1-SKU_Base!AH387)/(1-Settings!$C$17),"WARN","STOP"))),"")</f>
        <v/>
      </c>
      <c r="N387" s="161">
        <f>IFERROR(ROUND(D387*(1-CHOOSE(MATCH(IF($E387="","Основний",$E387),{"Трафіковий","Основний","Маржинальний","Сезонний","Стратегічний"},0),Settings!$D$78,Settings!$D$80,Settings!$D$82,Settings!$D$84,Settings!$D$86))/6,2)*6,"")</f>
        <v/>
      </c>
      <c r="O387" s="142">
        <f>IFERROR(CHOOSE(MATCH(IF($E387="","Основний",$E387),{"Трафіковий","Основний","Маржинальний","Сезонний","Стратегічний"},0),Settings!$D$78,Settings!$D$80,Settings!$D$82,Settings!$D$84,Settings!$D$86),"")</f>
        <v/>
      </c>
      <c r="P387" s="148">
        <f>IFERROR((N387*(1-Settings!$D$17)-C387)/(N387*(1-Settings!$D$17)),"")</f>
        <v/>
      </c>
      <c r="Q387" s="149">
        <f>IFERROR(IF(N387="","",IF(N387&gt;=C387/(1-SKU_Base!AB387)/(1-Settings!$D$17),"OK",IF(N387&gt;=C387/(1-SKU_Base!AI387)/(1-Settings!$D$17),"WARN","STOP"))),"")</f>
        <v/>
      </c>
      <c r="R387" s="161">
        <f>IFERROR(ROUND(D387*(1-CHOOSE(MATCH(IF($E387="","Основний",$E387),{"Трафіковий","Основний","Маржинальний","Сезонний","Стратегічний"},0),Settings!$E$78,Settings!$E$80,Settings!$E$82,Settings!$E$84,Settings!$E$86))/6,2)*6,"")</f>
        <v/>
      </c>
      <c r="S387" s="142">
        <f>IFERROR(CHOOSE(MATCH(IF($E387="","Основний",$E387),{"Трафіковий","Основний","Маржинальний","Сезонний","Стратегічний"},0),Settings!$E$78,Settings!$E$80,Settings!$E$82,Settings!$E$84,Settings!$E$86),"")</f>
        <v/>
      </c>
      <c r="T387" s="148">
        <f>IFERROR((R387*(1-Settings!$E$17)-C387)/(R387*(1-Settings!$E$17)),"")</f>
        <v/>
      </c>
      <c r="U387" s="149">
        <f>IFERROR(IF(R387="","",IF(R387&gt;=C387/(1-SKU_Base!AC387)/(1-Settings!$E$17),"OK",IF(R387&gt;=C387/(1-SKU_Base!AJ387)/(1-Settings!$E$17),"WARN","STOP"))),"")</f>
        <v/>
      </c>
      <c r="V387" s="161">
        <f>IFERROR(ROUND(D387*(1-CHOOSE(MATCH(IF($E387="","Основний",$E387),{"Трафіковий","Основний","Маржинальний","Сезонний","Стратегічний"},0),Settings!$F$78,Settings!$F$80,Settings!$F$82,Settings!$F$84,Settings!$F$86))/6,2)*6,"")</f>
        <v/>
      </c>
      <c r="W387" s="142">
        <f>IFERROR(CHOOSE(MATCH(IF($E387="","Основний",$E387),{"Трафіковий","Основний","Маржинальний","Сезонний","Стратегічний"},0),Settings!$F$78,Settings!$F$80,Settings!$F$82,Settings!$F$84,Settings!$F$86),"")</f>
        <v/>
      </c>
      <c r="X387" s="148">
        <f>IFERROR((V387*(1-Settings!$F$17)-C387)/(V387*(1-Settings!$F$17)),"")</f>
        <v/>
      </c>
      <c r="Y387" s="149">
        <f>IFERROR(IF(V387="","",IF(V387&gt;=C387/(1-SKU_Base!AD387)/(1-Settings!$F$17),"OK",IF(V387&gt;=C387/(1-SKU_Base!AK387)/(1-Settings!$F$17),"WARN","STOP"))),"")</f>
        <v/>
      </c>
      <c r="Z387" s="161">
        <f>IFERROR(ROUND(D387*(1-CHOOSE(MATCH(IF($E387="","Основний",$E387),{"Трафіковий","Основний","Маржинальний","Сезонний","Стратегічний"},0),Settings!$G$78,Settings!$G$80,Settings!$G$82,Settings!$G$84,Settings!$G$86))/6,2)*6,"")</f>
        <v/>
      </c>
      <c r="AA387" s="142">
        <f>IFERROR(CHOOSE(MATCH(IF($E387="","Основний",$E387),{"Трафіковий","Основний","Маржинальний","Сезонний","Стратегічний"},0),Settings!$G$78,Settings!$G$80,Settings!$G$82,Settings!$G$84,Settings!$G$86),"")</f>
        <v/>
      </c>
      <c r="AB387" s="148">
        <f>IFERROR((Z387*(1-Settings!$G$17)-C387)/(Z387*(1-Settings!$G$17)),"")</f>
        <v/>
      </c>
      <c r="AC387" s="149">
        <f>IFERROR(IF(Z387="","",IF(Z387&gt;=C387/(1-SKU_Base!AE387)/(1-Settings!$G$17),"OK",IF(Z387&gt;=C387/(1-SKU_Base!AL387)/(1-Settings!$G$17),"WARN","STOP"))),"")</f>
        <v/>
      </c>
      <c r="AD387" s="161">
        <f>IFERROR(ROUND(D387*(1-CHOOSE(MATCH(IF($E387="","Основний",$E387),{"Трафіковий","Основний","Маржинальний","Сезонний","Стратегічний"},0),Settings!$H$78,Settings!$H$80,Settings!$H$82,Settings!$H$84,Settings!$H$86))*(1-Settings!$H$68)/6,2)*6,"")</f>
        <v/>
      </c>
      <c r="AE387" s="142">
        <f>IFERROR(CHOOSE(MATCH(IF($E387="","Основний",$E387),{"Трафіковий","Основний","Маржинальний","Сезонний","Стратегічний"},0),Settings!$H$78,Settings!$H$80,Settings!$H$82,Settings!$H$84,Settings!$H$86)+(1-(CHOOSE(MATCH(IF($E387="","Основний",$E387),{"Трафіковий","Основний","Маржинальний","Сезонний","Стратегічний"},0),Settings!$H$78,Settings!$H$80,Settings!$H$82,Settings!$H$84,Settings!$H$86)))*Settings!$H$68,"")</f>
        <v/>
      </c>
      <c r="AF387" s="148">
        <f>IFERROR((AD387*(1-Settings!$H$17)-C387)/(AD387*(1-Settings!$H$17)),"")</f>
        <v/>
      </c>
      <c r="AG387" s="150">
        <f>IFERROR(IF(AD387="","",IF(AD387&gt;=C387/(1-SKU_Base!AF387)/(1-Settings!$H$17),"OK",IF(AD387&gt;=C387/(1-SKU_Base!AM387)/(1-Settings!$H$17),"WARN","STOP"))),"")</f>
        <v/>
      </c>
    </row>
    <row r="388" ht="17" customHeight="1" s="179">
      <c r="A388" s="139">
        <f>SKU_Base!B388</f>
        <v/>
      </c>
      <c r="B388" s="139">
        <f>SKU_Base!C388</f>
        <v/>
      </c>
      <c r="C388" s="140">
        <f>IFERROR(SKU_Base!I388,"")</f>
        <v/>
      </c>
      <c r="D388" s="163">
        <f>IFERROR(SKU_Base!T388,"")</f>
        <v/>
      </c>
      <c r="E388" s="141">
        <f>IFERROR(SKU_Base!$U388,"")</f>
        <v/>
      </c>
      <c r="F388" s="158">
        <f>IFERROR(ROUND(D388*(1-CHOOSE(MATCH(IF($E388="","Основний",$E388),{"Трафіковий","Основний","Маржинальний","Сезонний","Стратегічний"},0),Settings!$B$78,Settings!$B$80,Settings!$B$82,Settings!$B$84,Settings!$B$86))/6,2)*6,"")</f>
        <v/>
      </c>
      <c r="G388" s="142">
        <f>IFERROR(CHOOSE(MATCH(IF($E388="","Основний",$E388),{"Трафіковий","Основний","Маржинальний","Сезонний","Стратегічний"},0),Settings!$B$78,Settings!$B$80,Settings!$B$82,Settings!$B$84,Settings!$B$86),"")</f>
        <v/>
      </c>
      <c r="H388" s="143">
        <f>IFERROR((F388*(1-Settings!$B$17)-C388)/(F388*(1-Settings!$B$17)),"")</f>
        <v/>
      </c>
      <c r="I388" s="150">
        <f>IFERROR(IF(F388="","",IF(F388&gt;=C388/(1-SKU_Base!Z388)/(1-Settings!$B$17),"OK",IF(F388&gt;=C388/(1-SKU_Base!AG388)/(1-Settings!$B$17),"WARN","STOP"))),"")</f>
        <v/>
      </c>
      <c r="J388" s="158">
        <f>IFERROR(ROUND(D388*(1-CHOOSE(MATCH(IF($E388="","Основний",$E388),{"Трафіковий","Основний","Маржинальний","Сезонний","Стратегічний"},0),Settings!$C$78,Settings!$C$80,Settings!$C$82,Settings!$C$84,Settings!$C$86))/6,2)*6,"")</f>
        <v/>
      </c>
      <c r="K388" s="142">
        <f>IFERROR(CHOOSE(MATCH(IF($E388="","Основний",$E388),{"Трафіковий","Основний","Маржинальний","Сезонний","Стратегічний"},0),Settings!$C$78,Settings!$C$80,Settings!$C$82,Settings!$C$84,Settings!$C$86),"")</f>
        <v/>
      </c>
      <c r="L388" s="143">
        <f>IFERROR((J388*(1-Settings!$C$17)-C388)/(J388*(1-Settings!$C$17)),"")</f>
        <v/>
      </c>
      <c r="M388" s="149">
        <f>IFERROR(IF(J388="","",IF(J388&gt;=C388/(1-SKU_Base!AA388)/(1-Settings!$C$17),"OK",IF(J388&gt;=C388/(1-SKU_Base!AH388)/(1-Settings!$C$17),"WARN","STOP"))),"")</f>
        <v/>
      </c>
      <c r="N388" s="159">
        <f>IFERROR(ROUND(D388*(1-CHOOSE(MATCH(IF($E388="","Основний",$E388),{"Трафіковий","Основний","Маржинальний","Сезонний","Стратегічний"},0),Settings!$D$78,Settings!$D$80,Settings!$D$82,Settings!$D$84,Settings!$D$86))/6,2)*6,"")</f>
        <v/>
      </c>
      <c r="O388" s="142">
        <f>IFERROR(CHOOSE(MATCH(IF($E388="","Основний",$E388),{"Трафіковий","Основний","Маржинальний","Сезонний","Стратегічний"},0),Settings!$D$78,Settings!$D$80,Settings!$D$82,Settings!$D$84,Settings!$D$86),"")</f>
        <v/>
      </c>
      <c r="P388" s="143">
        <f>IFERROR((N388*(1-Settings!$D$17)-C388)/(N388*(1-Settings!$D$17)),"")</f>
        <v/>
      </c>
      <c r="Q388" s="149">
        <f>IFERROR(IF(N388="","",IF(N388&gt;=C388/(1-SKU_Base!AB388)/(1-Settings!$D$17),"OK",IF(N388&gt;=C388/(1-SKU_Base!AI388)/(1-Settings!$D$17),"WARN","STOP"))),"")</f>
        <v/>
      </c>
      <c r="R388" s="159">
        <f>IFERROR(ROUND(D388*(1-CHOOSE(MATCH(IF($E388="","Основний",$E388),{"Трафіковий","Основний","Маржинальний","Сезонний","Стратегічний"},0),Settings!$E$78,Settings!$E$80,Settings!$E$82,Settings!$E$84,Settings!$E$86))/6,2)*6,"")</f>
        <v/>
      </c>
      <c r="S388" s="142">
        <f>IFERROR(CHOOSE(MATCH(IF($E388="","Основний",$E388),{"Трафіковий","Основний","Маржинальний","Сезонний","Стратегічний"},0),Settings!$E$78,Settings!$E$80,Settings!$E$82,Settings!$E$84,Settings!$E$86),"")</f>
        <v/>
      </c>
      <c r="T388" s="143">
        <f>IFERROR((R388*(1-Settings!$E$17)-C388)/(R388*(1-Settings!$E$17)),"")</f>
        <v/>
      </c>
      <c r="U388" s="149">
        <f>IFERROR(IF(R388="","",IF(R388&gt;=C388/(1-SKU_Base!AC388)/(1-Settings!$E$17),"OK",IF(R388&gt;=C388/(1-SKU_Base!AJ388)/(1-Settings!$E$17),"WARN","STOP"))),"")</f>
        <v/>
      </c>
      <c r="V388" s="159">
        <f>IFERROR(ROUND(D388*(1-CHOOSE(MATCH(IF($E388="","Основний",$E388),{"Трафіковий","Основний","Маржинальний","Сезонний","Стратегічний"},0),Settings!$F$78,Settings!$F$80,Settings!$F$82,Settings!$F$84,Settings!$F$86))/6,2)*6,"")</f>
        <v/>
      </c>
      <c r="W388" s="142">
        <f>IFERROR(CHOOSE(MATCH(IF($E388="","Основний",$E388),{"Трафіковий","Основний","Маржинальний","Сезонний","Стратегічний"},0),Settings!$F$78,Settings!$F$80,Settings!$F$82,Settings!$F$84,Settings!$F$86),"")</f>
        <v/>
      </c>
      <c r="X388" s="143">
        <f>IFERROR((V388*(1-Settings!$F$17)-C388)/(V388*(1-Settings!$F$17)),"")</f>
        <v/>
      </c>
      <c r="Y388" s="149">
        <f>IFERROR(IF(V388="","",IF(V388&gt;=C388/(1-SKU_Base!AD388)/(1-Settings!$F$17),"OK",IF(V388&gt;=C388/(1-SKU_Base!AK388)/(1-Settings!$F$17),"WARN","STOP"))),"")</f>
        <v/>
      </c>
      <c r="Z388" s="159">
        <f>IFERROR(ROUND(D388*(1-CHOOSE(MATCH(IF($E388="","Основний",$E388),{"Трафіковий","Основний","Маржинальний","Сезонний","Стратегічний"},0),Settings!$G$78,Settings!$G$80,Settings!$G$82,Settings!$G$84,Settings!$G$86))/6,2)*6,"")</f>
        <v/>
      </c>
      <c r="AA388" s="142">
        <f>IFERROR(CHOOSE(MATCH(IF($E388="","Основний",$E388),{"Трафіковий","Основний","Маржинальний","Сезонний","Стратегічний"},0),Settings!$G$78,Settings!$G$80,Settings!$G$82,Settings!$G$84,Settings!$G$86),"")</f>
        <v/>
      </c>
      <c r="AB388" s="143">
        <f>IFERROR((Z388*(1-Settings!$G$17)-C388)/(Z388*(1-Settings!$G$17)),"")</f>
        <v/>
      </c>
      <c r="AC388" s="149">
        <f>IFERROR(IF(Z388="","",IF(Z388&gt;=C388/(1-SKU_Base!AE388)/(1-Settings!$G$17),"OK",IF(Z388&gt;=C388/(1-SKU_Base!AL388)/(1-Settings!$G$17),"WARN","STOP"))),"")</f>
        <v/>
      </c>
      <c r="AD388" s="159">
        <f>IFERROR(ROUND(D388*(1-CHOOSE(MATCH(IF($E388="","Основний",$E388),{"Трафіковий","Основний","Маржинальний","Сезонний","Стратегічний"},0),Settings!$H$78,Settings!$H$80,Settings!$H$82,Settings!$H$84,Settings!$H$86))*(1-Settings!$H$68)/6,2)*6,"")</f>
        <v/>
      </c>
      <c r="AE388" s="142">
        <f>IFERROR(CHOOSE(MATCH(IF($E388="","Основний",$E388),{"Трафіковий","Основний","Маржинальний","Сезонний","Стратегічний"},0),Settings!$H$78,Settings!$H$80,Settings!$H$82,Settings!$H$84,Settings!$H$86)+(1-(CHOOSE(MATCH(IF($E388="","Основний",$E388),{"Трафіковий","Основний","Маржинальний","Сезонний","Стратегічний"},0),Settings!$H$78,Settings!$H$80,Settings!$H$82,Settings!$H$84,Settings!$H$86)))*Settings!$H$68,"")</f>
        <v/>
      </c>
      <c r="AF388" s="143">
        <f>IFERROR((AD388*(1-Settings!$H$17)-C388)/(AD388*(1-Settings!$H$17)),"")</f>
        <v/>
      </c>
      <c r="AG388" s="150">
        <f>IFERROR(IF(AD388="","",IF(AD388&gt;=C388/(1-SKU_Base!AF388)/(1-Settings!$H$17),"OK",IF(AD388&gt;=C388/(1-SKU_Base!AM388)/(1-Settings!$H$17),"WARN","STOP"))),"")</f>
        <v/>
      </c>
    </row>
    <row r="389" ht="17" customHeight="1" s="179">
      <c r="A389" s="146">
        <f>SKU_Base!B389</f>
        <v/>
      </c>
      <c r="B389" s="146">
        <f>SKU_Base!C389</f>
        <v/>
      </c>
      <c r="C389" s="147">
        <f>IFERROR(SKU_Base!I389,"")</f>
        <v/>
      </c>
      <c r="D389" s="164">
        <f>IFERROR(SKU_Base!T389,"")</f>
        <v/>
      </c>
      <c r="E389" s="141">
        <f>IFERROR(SKU_Base!$U389,"")</f>
        <v/>
      </c>
      <c r="F389" s="160">
        <f>IFERROR(ROUND(D389*(1-CHOOSE(MATCH(IF($E389="","Основний",$E389),{"Трафіковий","Основний","Маржинальний","Сезонний","Стратегічний"},0),Settings!$B$78,Settings!$B$80,Settings!$B$82,Settings!$B$84,Settings!$B$86))/6,2)*6,"")</f>
        <v/>
      </c>
      <c r="G389" s="142">
        <f>IFERROR(CHOOSE(MATCH(IF($E389="","Основний",$E389),{"Трафіковий","Основний","Маржинальний","Сезонний","Стратегічний"},0),Settings!$B$78,Settings!$B$80,Settings!$B$82,Settings!$B$84,Settings!$B$86),"")</f>
        <v/>
      </c>
      <c r="H389" s="148">
        <f>IFERROR((F389*(1-Settings!$B$17)-C389)/(F389*(1-Settings!$B$17)),"")</f>
        <v/>
      </c>
      <c r="I389" s="149">
        <f>IFERROR(IF(F389="","",IF(F389&gt;=C389/(1-SKU_Base!Z389)/(1-Settings!$B$17),"OK",IF(F389&gt;=C389/(1-SKU_Base!AG389)/(1-Settings!$B$17),"WARN","STOP"))),"")</f>
        <v/>
      </c>
      <c r="J389" s="160">
        <f>IFERROR(ROUND(D389*(1-CHOOSE(MATCH(IF($E389="","Основний",$E389),{"Трафіковий","Основний","Маржинальний","Сезонний","Стратегічний"},0),Settings!$C$78,Settings!$C$80,Settings!$C$82,Settings!$C$84,Settings!$C$86))/6,2)*6,"")</f>
        <v/>
      </c>
      <c r="K389" s="142">
        <f>IFERROR(CHOOSE(MATCH(IF($E389="","Основний",$E389),{"Трафіковий","Основний","Маржинальний","Сезонний","Стратегічний"},0),Settings!$C$78,Settings!$C$80,Settings!$C$82,Settings!$C$84,Settings!$C$86),"")</f>
        <v/>
      </c>
      <c r="L389" s="148">
        <f>IFERROR((J389*(1-Settings!$C$17)-C389)/(J389*(1-Settings!$C$17)),"")</f>
        <v/>
      </c>
      <c r="M389" s="149">
        <f>IFERROR(IF(J389="","",IF(J389&gt;=C389/(1-SKU_Base!AA389)/(1-Settings!$C$17),"OK",IF(J389&gt;=C389/(1-SKU_Base!AH389)/(1-Settings!$C$17),"WARN","STOP"))),"")</f>
        <v/>
      </c>
      <c r="N389" s="161">
        <f>IFERROR(ROUND(D389*(1-CHOOSE(MATCH(IF($E389="","Основний",$E389),{"Трафіковий","Основний","Маржинальний","Сезонний","Стратегічний"},0),Settings!$D$78,Settings!$D$80,Settings!$D$82,Settings!$D$84,Settings!$D$86))/6,2)*6,"")</f>
        <v/>
      </c>
      <c r="O389" s="142">
        <f>IFERROR(CHOOSE(MATCH(IF($E389="","Основний",$E389),{"Трафіковий","Основний","Маржинальний","Сезонний","Стратегічний"},0),Settings!$D$78,Settings!$D$80,Settings!$D$82,Settings!$D$84,Settings!$D$86),"")</f>
        <v/>
      </c>
      <c r="P389" s="148">
        <f>IFERROR((N389*(1-Settings!$D$17)-C389)/(N389*(1-Settings!$D$17)),"")</f>
        <v/>
      </c>
      <c r="Q389" s="149">
        <f>IFERROR(IF(N389="","",IF(N389&gt;=C389/(1-SKU_Base!AB389)/(1-Settings!$D$17),"OK",IF(N389&gt;=C389/(1-SKU_Base!AI389)/(1-Settings!$D$17),"WARN","STOP"))),"")</f>
        <v/>
      </c>
      <c r="R389" s="161">
        <f>IFERROR(ROUND(D389*(1-CHOOSE(MATCH(IF($E389="","Основний",$E389),{"Трафіковий","Основний","Маржинальний","Сезонний","Стратегічний"},0),Settings!$E$78,Settings!$E$80,Settings!$E$82,Settings!$E$84,Settings!$E$86))/6,2)*6,"")</f>
        <v/>
      </c>
      <c r="S389" s="142">
        <f>IFERROR(CHOOSE(MATCH(IF($E389="","Основний",$E389),{"Трафіковий","Основний","Маржинальний","Сезонний","Стратегічний"},0),Settings!$E$78,Settings!$E$80,Settings!$E$82,Settings!$E$84,Settings!$E$86),"")</f>
        <v/>
      </c>
      <c r="T389" s="148">
        <f>IFERROR((R389*(1-Settings!$E$17)-C389)/(R389*(1-Settings!$E$17)),"")</f>
        <v/>
      </c>
      <c r="U389" s="149">
        <f>IFERROR(IF(R389="","",IF(R389&gt;=C389/(1-SKU_Base!AC389)/(1-Settings!$E$17),"OK",IF(R389&gt;=C389/(1-SKU_Base!AJ389)/(1-Settings!$E$17),"WARN","STOP"))),"")</f>
        <v/>
      </c>
      <c r="V389" s="161">
        <f>IFERROR(ROUND(D389*(1-CHOOSE(MATCH(IF($E389="","Основний",$E389),{"Трафіковий","Основний","Маржинальний","Сезонний","Стратегічний"},0),Settings!$F$78,Settings!$F$80,Settings!$F$82,Settings!$F$84,Settings!$F$86))/6,2)*6,"")</f>
        <v/>
      </c>
      <c r="W389" s="142">
        <f>IFERROR(CHOOSE(MATCH(IF($E389="","Основний",$E389),{"Трафіковий","Основний","Маржинальний","Сезонний","Стратегічний"},0),Settings!$F$78,Settings!$F$80,Settings!$F$82,Settings!$F$84,Settings!$F$86),"")</f>
        <v/>
      </c>
      <c r="X389" s="148">
        <f>IFERROR((V389*(1-Settings!$F$17)-C389)/(V389*(1-Settings!$F$17)),"")</f>
        <v/>
      </c>
      <c r="Y389" s="149">
        <f>IFERROR(IF(V389="","",IF(V389&gt;=C389/(1-SKU_Base!AD389)/(1-Settings!$F$17),"OK",IF(V389&gt;=C389/(1-SKU_Base!AK389)/(1-Settings!$F$17),"WARN","STOP"))),"")</f>
        <v/>
      </c>
      <c r="Z389" s="161">
        <f>IFERROR(ROUND(D389*(1-CHOOSE(MATCH(IF($E389="","Основний",$E389),{"Трафіковий","Основний","Маржинальний","Сезонний","Стратегічний"},0),Settings!$G$78,Settings!$G$80,Settings!$G$82,Settings!$G$84,Settings!$G$86))/6,2)*6,"")</f>
        <v/>
      </c>
      <c r="AA389" s="142">
        <f>IFERROR(CHOOSE(MATCH(IF($E389="","Основний",$E389),{"Трафіковий","Основний","Маржинальний","Сезонний","Стратегічний"},0),Settings!$G$78,Settings!$G$80,Settings!$G$82,Settings!$G$84,Settings!$G$86),"")</f>
        <v/>
      </c>
      <c r="AB389" s="148">
        <f>IFERROR((Z389*(1-Settings!$G$17)-C389)/(Z389*(1-Settings!$G$17)),"")</f>
        <v/>
      </c>
      <c r="AC389" s="149">
        <f>IFERROR(IF(Z389="","",IF(Z389&gt;=C389/(1-SKU_Base!AE389)/(1-Settings!$G$17),"OK",IF(Z389&gt;=C389/(1-SKU_Base!AL389)/(1-Settings!$G$17),"WARN","STOP"))),"")</f>
        <v/>
      </c>
      <c r="AD389" s="161">
        <f>IFERROR(ROUND(D389*(1-CHOOSE(MATCH(IF($E389="","Основний",$E389),{"Трафіковий","Основний","Маржинальний","Сезонний","Стратегічний"},0),Settings!$H$78,Settings!$H$80,Settings!$H$82,Settings!$H$84,Settings!$H$86))*(1-Settings!$H$68)/6,2)*6,"")</f>
        <v/>
      </c>
      <c r="AE389" s="142">
        <f>IFERROR(CHOOSE(MATCH(IF($E389="","Основний",$E389),{"Трафіковий","Основний","Маржинальний","Сезонний","Стратегічний"},0),Settings!$H$78,Settings!$H$80,Settings!$H$82,Settings!$H$84,Settings!$H$86)+(1-(CHOOSE(MATCH(IF($E389="","Основний",$E389),{"Трафіковий","Основний","Маржинальний","Сезонний","Стратегічний"},0),Settings!$H$78,Settings!$H$80,Settings!$H$82,Settings!$H$84,Settings!$H$86)))*Settings!$H$68,"")</f>
        <v/>
      </c>
      <c r="AF389" s="148">
        <f>IFERROR((AD389*(1-Settings!$H$17)-C389)/(AD389*(1-Settings!$H$17)),"")</f>
        <v/>
      </c>
      <c r="AG389" s="149">
        <f>IFERROR(IF(AD389="","",IF(AD389&gt;=C389/(1-SKU_Base!AF389)/(1-Settings!$H$17),"OK",IF(AD389&gt;=C389/(1-SKU_Base!AM389)/(1-Settings!$H$17),"WARN","STOP"))),"")</f>
        <v/>
      </c>
    </row>
    <row r="390" ht="17" customHeight="1" s="179">
      <c r="A390" s="139">
        <f>SKU_Base!B390</f>
        <v/>
      </c>
      <c r="B390" s="139">
        <f>SKU_Base!C390</f>
        <v/>
      </c>
      <c r="C390" s="140">
        <f>IFERROR(SKU_Base!I390,"")</f>
        <v/>
      </c>
      <c r="D390" s="163">
        <f>IFERROR(SKU_Base!T390,"")</f>
        <v/>
      </c>
      <c r="E390" s="141">
        <f>IFERROR(SKU_Base!$U390,"")</f>
        <v/>
      </c>
      <c r="F390" s="158">
        <f>IFERROR(ROUND(D390*(1-CHOOSE(MATCH(IF($E390="","Основний",$E390),{"Трафіковий","Основний","Маржинальний","Сезонний","Стратегічний"},0),Settings!$B$78,Settings!$B$80,Settings!$B$82,Settings!$B$84,Settings!$B$86))/6,2)*6,"")</f>
        <v/>
      </c>
      <c r="G390" s="142">
        <f>IFERROR(CHOOSE(MATCH(IF($E390="","Основний",$E390),{"Трафіковий","Основний","Маржинальний","Сезонний","Стратегічний"},0),Settings!$B$78,Settings!$B$80,Settings!$B$82,Settings!$B$84,Settings!$B$86),"")</f>
        <v/>
      </c>
      <c r="H390" s="143">
        <f>IFERROR((F390*(1-Settings!$B$17)-C390)/(F390*(1-Settings!$B$17)),"")</f>
        <v/>
      </c>
      <c r="I390" s="149">
        <f>IFERROR(IF(F390="","",IF(F390&gt;=C390/(1-SKU_Base!Z390)/(1-Settings!$B$17),"OK",IF(F390&gt;=C390/(1-SKU_Base!AG390)/(1-Settings!$B$17),"WARN","STOP"))),"")</f>
        <v/>
      </c>
      <c r="J390" s="158">
        <f>IFERROR(ROUND(D390*(1-CHOOSE(MATCH(IF($E390="","Основний",$E390),{"Трафіковий","Основний","Маржинальний","Сезонний","Стратегічний"},0),Settings!$C$78,Settings!$C$80,Settings!$C$82,Settings!$C$84,Settings!$C$86))/6,2)*6,"")</f>
        <v/>
      </c>
      <c r="K390" s="142">
        <f>IFERROR(CHOOSE(MATCH(IF($E390="","Основний",$E390),{"Трафіковий","Основний","Маржинальний","Сезонний","Стратегічний"},0),Settings!$C$78,Settings!$C$80,Settings!$C$82,Settings!$C$84,Settings!$C$86),"")</f>
        <v/>
      </c>
      <c r="L390" s="143">
        <f>IFERROR((J390*(1-Settings!$C$17)-C390)/(J390*(1-Settings!$C$17)),"")</f>
        <v/>
      </c>
      <c r="M390" s="149">
        <f>IFERROR(IF(J390="","",IF(J390&gt;=C390/(1-SKU_Base!AA390)/(1-Settings!$C$17),"OK",IF(J390&gt;=C390/(1-SKU_Base!AH390)/(1-Settings!$C$17),"WARN","STOP"))),"")</f>
        <v/>
      </c>
      <c r="N390" s="159">
        <f>IFERROR(ROUND(D390*(1-CHOOSE(MATCH(IF($E390="","Основний",$E390),{"Трафіковий","Основний","Маржинальний","Сезонний","Стратегічний"},0),Settings!$D$78,Settings!$D$80,Settings!$D$82,Settings!$D$84,Settings!$D$86))/6,2)*6,"")</f>
        <v/>
      </c>
      <c r="O390" s="142">
        <f>IFERROR(CHOOSE(MATCH(IF($E390="","Основний",$E390),{"Трафіковий","Основний","Маржинальний","Сезонний","Стратегічний"},0),Settings!$D$78,Settings!$D$80,Settings!$D$82,Settings!$D$84,Settings!$D$86),"")</f>
        <v/>
      </c>
      <c r="P390" s="143">
        <f>IFERROR((N390*(1-Settings!$D$17)-C390)/(N390*(1-Settings!$D$17)),"")</f>
        <v/>
      </c>
      <c r="Q390" s="149">
        <f>IFERROR(IF(N390="","",IF(N390&gt;=C390/(1-SKU_Base!AB390)/(1-Settings!$D$17),"OK",IF(N390&gt;=C390/(1-SKU_Base!AI390)/(1-Settings!$D$17),"WARN","STOP"))),"")</f>
        <v/>
      </c>
      <c r="R390" s="159">
        <f>IFERROR(ROUND(D390*(1-CHOOSE(MATCH(IF($E390="","Основний",$E390),{"Трафіковий","Основний","Маржинальний","Сезонний","Стратегічний"},0),Settings!$E$78,Settings!$E$80,Settings!$E$82,Settings!$E$84,Settings!$E$86))/6,2)*6,"")</f>
        <v/>
      </c>
      <c r="S390" s="142">
        <f>IFERROR(CHOOSE(MATCH(IF($E390="","Основний",$E390),{"Трафіковий","Основний","Маржинальний","Сезонний","Стратегічний"},0),Settings!$E$78,Settings!$E$80,Settings!$E$82,Settings!$E$84,Settings!$E$86),"")</f>
        <v/>
      </c>
      <c r="T390" s="143">
        <f>IFERROR((R390*(1-Settings!$E$17)-C390)/(R390*(1-Settings!$E$17)),"")</f>
        <v/>
      </c>
      <c r="U390" s="149">
        <f>IFERROR(IF(R390="","",IF(R390&gt;=C390/(1-SKU_Base!AC390)/(1-Settings!$E$17),"OK",IF(R390&gt;=C390/(1-SKU_Base!AJ390)/(1-Settings!$E$17),"WARN","STOP"))),"")</f>
        <v/>
      </c>
      <c r="V390" s="159">
        <f>IFERROR(ROUND(D390*(1-CHOOSE(MATCH(IF($E390="","Основний",$E390),{"Трафіковий","Основний","Маржинальний","Сезонний","Стратегічний"},0),Settings!$F$78,Settings!$F$80,Settings!$F$82,Settings!$F$84,Settings!$F$86))/6,2)*6,"")</f>
        <v/>
      </c>
      <c r="W390" s="142">
        <f>IFERROR(CHOOSE(MATCH(IF($E390="","Основний",$E390),{"Трафіковий","Основний","Маржинальний","Сезонний","Стратегічний"},0),Settings!$F$78,Settings!$F$80,Settings!$F$82,Settings!$F$84,Settings!$F$86),"")</f>
        <v/>
      </c>
      <c r="X390" s="143">
        <f>IFERROR((V390*(1-Settings!$F$17)-C390)/(V390*(1-Settings!$F$17)),"")</f>
        <v/>
      </c>
      <c r="Y390" s="149">
        <f>IFERROR(IF(V390="","",IF(V390&gt;=C390/(1-SKU_Base!AD390)/(1-Settings!$F$17),"OK",IF(V390&gt;=C390/(1-SKU_Base!AK390)/(1-Settings!$F$17),"WARN","STOP"))),"")</f>
        <v/>
      </c>
      <c r="Z390" s="159">
        <f>IFERROR(ROUND(D390*(1-CHOOSE(MATCH(IF($E390="","Основний",$E390),{"Трафіковий","Основний","Маржинальний","Сезонний","Стратегічний"},0),Settings!$G$78,Settings!$G$80,Settings!$G$82,Settings!$G$84,Settings!$G$86))/6,2)*6,"")</f>
        <v/>
      </c>
      <c r="AA390" s="142">
        <f>IFERROR(CHOOSE(MATCH(IF($E390="","Основний",$E390),{"Трафіковий","Основний","Маржинальний","Сезонний","Стратегічний"},0),Settings!$G$78,Settings!$G$80,Settings!$G$82,Settings!$G$84,Settings!$G$86),"")</f>
        <v/>
      </c>
      <c r="AB390" s="143">
        <f>IFERROR((Z390*(1-Settings!$G$17)-C390)/(Z390*(1-Settings!$G$17)),"")</f>
        <v/>
      </c>
      <c r="AC390" s="149">
        <f>IFERROR(IF(Z390="","",IF(Z390&gt;=C390/(1-SKU_Base!AE390)/(1-Settings!$G$17),"OK",IF(Z390&gt;=C390/(1-SKU_Base!AL390)/(1-Settings!$G$17),"WARN","STOP"))),"")</f>
        <v/>
      </c>
      <c r="AD390" s="159">
        <f>IFERROR(ROUND(D390*(1-CHOOSE(MATCH(IF($E390="","Основний",$E390),{"Трафіковий","Основний","Маржинальний","Сезонний","Стратегічний"},0),Settings!$H$78,Settings!$H$80,Settings!$H$82,Settings!$H$84,Settings!$H$86))*(1-Settings!$H$68)/6,2)*6,"")</f>
        <v/>
      </c>
      <c r="AE390" s="142">
        <f>IFERROR(CHOOSE(MATCH(IF($E390="","Основний",$E390),{"Трафіковий","Основний","Маржинальний","Сезонний","Стратегічний"},0),Settings!$H$78,Settings!$H$80,Settings!$H$82,Settings!$H$84,Settings!$H$86)+(1-(CHOOSE(MATCH(IF($E390="","Основний",$E390),{"Трафіковий","Основний","Маржинальний","Сезонний","Стратегічний"},0),Settings!$H$78,Settings!$H$80,Settings!$H$82,Settings!$H$84,Settings!$H$86)))*Settings!$H$68,"")</f>
        <v/>
      </c>
      <c r="AF390" s="143">
        <f>IFERROR((AD390*(1-Settings!$H$17)-C390)/(AD390*(1-Settings!$H$17)),"")</f>
        <v/>
      </c>
      <c r="AG390" s="149">
        <f>IFERROR(IF(AD390="","",IF(AD390&gt;=C390/(1-SKU_Base!AF390)/(1-Settings!$H$17),"OK",IF(AD390&gt;=C390/(1-SKU_Base!AM390)/(1-Settings!$H$17),"WARN","STOP"))),"")</f>
        <v/>
      </c>
    </row>
    <row r="391" ht="17" customHeight="1" s="179">
      <c r="A391" s="146">
        <f>SKU_Base!B391</f>
        <v/>
      </c>
      <c r="B391" s="146">
        <f>SKU_Base!C391</f>
        <v/>
      </c>
      <c r="C391" s="147">
        <f>IFERROR(SKU_Base!I391,"")</f>
        <v/>
      </c>
      <c r="D391" s="164">
        <f>IFERROR(SKU_Base!T391,"")</f>
        <v/>
      </c>
      <c r="E391" s="141">
        <f>IFERROR(SKU_Base!$U391,"")</f>
        <v/>
      </c>
      <c r="F391" s="160">
        <f>IFERROR(ROUND(D391*(1-CHOOSE(MATCH(IF($E391="","Основний",$E391),{"Трафіковий","Основний","Маржинальний","Сезонний","Стратегічний"},0),Settings!$B$78,Settings!$B$80,Settings!$B$82,Settings!$B$84,Settings!$B$86))/6,2)*6,"")</f>
        <v/>
      </c>
      <c r="G391" s="142">
        <f>IFERROR(CHOOSE(MATCH(IF($E391="","Основний",$E391),{"Трафіковий","Основний","Маржинальний","Сезонний","Стратегічний"},0),Settings!$B$78,Settings!$B$80,Settings!$B$82,Settings!$B$84,Settings!$B$86),"")</f>
        <v/>
      </c>
      <c r="H391" s="148">
        <f>IFERROR((F391*(1-Settings!$B$17)-C391)/(F391*(1-Settings!$B$17)),"")</f>
        <v/>
      </c>
      <c r="I391" s="149">
        <f>IFERROR(IF(F391="","",IF(F391&gt;=C391/(1-SKU_Base!Z391)/(1-Settings!$B$17),"OK",IF(F391&gt;=C391/(1-SKU_Base!AG391)/(1-Settings!$B$17),"WARN","STOP"))),"")</f>
        <v/>
      </c>
      <c r="J391" s="160">
        <f>IFERROR(ROUND(D391*(1-CHOOSE(MATCH(IF($E391="","Основний",$E391),{"Трафіковий","Основний","Маржинальний","Сезонний","Стратегічний"},0),Settings!$C$78,Settings!$C$80,Settings!$C$82,Settings!$C$84,Settings!$C$86))/6,2)*6,"")</f>
        <v/>
      </c>
      <c r="K391" s="142">
        <f>IFERROR(CHOOSE(MATCH(IF($E391="","Основний",$E391),{"Трафіковий","Основний","Маржинальний","Сезонний","Стратегічний"},0),Settings!$C$78,Settings!$C$80,Settings!$C$82,Settings!$C$84,Settings!$C$86),"")</f>
        <v/>
      </c>
      <c r="L391" s="148">
        <f>IFERROR((J391*(1-Settings!$C$17)-C391)/(J391*(1-Settings!$C$17)),"")</f>
        <v/>
      </c>
      <c r="M391" s="149">
        <f>IFERROR(IF(J391="","",IF(J391&gt;=C391/(1-SKU_Base!AA391)/(1-Settings!$C$17),"OK",IF(J391&gt;=C391/(1-SKU_Base!AH391)/(1-Settings!$C$17),"WARN","STOP"))),"")</f>
        <v/>
      </c>
      <c r="N391" s="161">
        <f>IFERROR(ROUND(D391*(1-CHOOSE(MATCH(IF($E391="","Основний",$E391),{"Трафіковий","Основний","Маржинальний","Сезонний","Стратегічний"},0),Settings!$D$78,Settings!$D$80,Settings!$D$82,Settings!$D$84,Settings!$D$86))/6,2)*6,"")</f>
        <v/>
      </c>
      <c r="O391" s="142">
        <f>IFERROR(CHOOSE(MATCH(IF($E391="","Основний",$E391),{"Трафіковий","Основний","Маржинальний","Сезонний","Стратегічний"},0),Settings!$D$78,Settings!$D$80,Settings!$D$82,Settings!$D$84,Settings!$D$86),"")</f>
        <v/>
      </c>
      <c r="P391" s="148">
        <f>IFERROR((N391*(1-Settings!$D$17)-C391)/(N391*(1-Settings!$D$17)),"")</f>
        <v/>
      </c>
      <c r="Q391" s="149">
        <f>IFERROR(IF(N391="","",IF(N391&gt;=C391/(1-SKU_Base!AB391)/(1-Settings!$D$17),"OK",IF(N391&gt;=C391/(1-SKU_Base!AI391)/(1-Settings!$D$17),"WARN","STOP"))),"")</f>
        <v/>
      </c>
      <c r="R391" s="161">
        <f>IFERROR(ROUND(D391*(1-CHOOSE(MATCH(IF($E391="","Основний",$E391),{"Трафіковий","Основний","Маржинальний","Сезонний","Стратегічний"},0),Settings!$E$78,Settings!$E$80,Settings!$E$82,Settings!$E$84,Settings!$E$86))/6,2)*6,"")</f>
        <v/>
      </c>
      <c r="S391" s="142">
        <f>IFERROR(CHOOSE(MATCH(IF($E391="","Основний",$E391),{"Трафіковий","Основний","Маржинальний","Сезонний","Стратегічний"},0),Settings!$E$78,Settings!$E$80,Settings!$E$82,Settings!$E$84,Settings!$E$86),"")</f>
        <v/>
      </c>
      <c r="T391" s="148">
        <f>IFERROR((R391*(1-Settings!$E$17)-C391)/(R391*(1-Settings!$E$17)),"")</f>
        <v/>
      </c>
      <c r="U391" s="149">
        <f>IFERROR(IF(R391="","",IF(R391&gt;=C391/(1-SKU_Base!AC391)/(1-Settings!$E$17),"OK",IF(R391&gt;=C391/(1-SKU_Base!AJ391)/(1-Settings!$E$17),"WARN","STOP"))),"")</f>
        <v/>
      </c>
      <c r="V391" s="161">
        <f>IFERROR(ROUND(D391*(1-CHOOSE(MATCH(IF($E391="","Основний",$E391),{"Трафіковий","Основний","Маржинальний","Сезонний","Стратегічний"},0),Settings!$F$78,Settings!$F$80,Settings!$F$82,Settings!$F$84,Settings!$F$86))/6,2)*6,"")</f>
        <v/>
      </c>
      <c r="W391" s="142">
        <f>IFERROR(CHOOSE(MATCH(IF($E391="","Основний",$E391),{"Трафіковий","Основний","Маржинальний","Сезонний","Стратегічний"},0),Settings!$F$78,Settings!$F$80,Settings!$F$82,Settings!$F$84,Settings!$F$86),"")</f>
        <v/>
      </c>
      <c r="X391" s="148">
        <f>IFERROR((V391*(1-Settings!$F$17)-C391)/(V391*(1-Settings!$F$17)),"")</f>
        <v/>
      </c>
      <c r="Y391" s="149">
        <f>IFERROR(IF(V391="","",IF(V391&gt;=C391/(1-SKU_Base!AD391)/(1-Settings!$F$17),"OK",IF(V391&gt;=C391/(1-SKU_Base!AK391)/(1-Settings!$F$17),"WARN","STOP"))),"")</f>
        <v/>
      </c>
      <c r="Z391" s="161">
        <f>IFERROR(ROUND(D391*(1-CHOOSE(MATCH(IF($E391="","Основний",$E391),{"Трафіковий","Основний","Маржинальний","Сезонний","Стратегічний"},0),Settings!$G$78,Settings!$G$80,Settings!$G$82,Settings!$G$84,Settings!$G$86))/6,2)*6,"")</f>
        <v/>
      </c>
      <c r="AA391" s="142">
        <f>IFERROR(CHOOSE(MATCH(IF($E391="","Основний",$E391),{"Трафіковий","Основний","Маржинальний","Сезонний","Стратегічний"},0),Settings!$G$78,Settings!$G$80,Settings!$G$82,Settings!$G$84,Settings!$G$86),"")</f>
        <v/>
      </c>
      <c r="AB391" s="148">
        <f>IFERROR((Z391*(1-Settings!$G$17)-C391)/(Z391*(1-Settings!$G$17)),"")</f>
        <v/>
      </c>
      <c r="AC391" s="149">
        <f>IFERROR(IF(Z391="","",IF(Z391&gt;=C391/(1-SKU_Base!AE391)/(1-Settings!$G$17),"OK",IF(Z391&gt;=C391/(1-SKU_Base!AL391)/(1-Settings!$G$17),"WARN","STOP"))),"")</f>
        <v/>
      </c>
      <c r="AD391" s="161">
        <f>IFERROR(ROUND(D391*(1-CHOOSE(MATCH(IF($E391="","Основний",$E391),{"Трафіковий","Основний","Маржинальний","Сезонний","Стратегічний"},0),Settings!$H$78,Settings!$H$80,Settings!$H$82,Settings!$H$84,Settings!$H$86))*(1-Settings!$H$68)/6,2)*6,"")</f>
        <v/>
      </c>
      <c r="AE391" s="142">
        <f>IFERROR(CHOOSE(MATCH(IF($E391="","Основний",$E391),{"Трафіковий","Основний","Маржинальний","Сезонний","Стратегічний"},0),Settings!$H$78,Settings!$H$80,Settings!$H$82,Settings!$H$84,Settings!$H$86)+(1-(CHOOSE(MATCH(IF($E391="","Основний",$E391),{"Трафіковий","Основний","Маржинальний","Сезонний","Стратегічний"},0),Settings!$H$78,Settings!$H$80,Settings!$H$82,Settings!$H$84,Settings!$H$86)))*Settings!$H$68,"")</f>
        <v/>
      </c>
      <c r="AF391" s="148">
        <f>IFERROR((AD391*(1-Settings!$H$17)-C391)/(AD391*(1-Settings!$H$17)),"")</f>
        <v/>
      </c>
      <c r="AG391" s="149">
        <f>IFERROR(IF(AD391="","",IF(AD391&gt;=C391/(1-SKU_Base!AF391)/(1-Settings!$H$17),"OK",IF(AD391&gt;=C391/(1-SKU_Base!AM391)/(1-Settings!$H$17),"WARN","STOP"))),"")</f>
        <v/>
      </c>
    </row>
    <row r="392" ht="17" customHeight="1" s="179">
      <c r="A392" s="139">
        <f>SKU_Base!B392</f>
        <v/>
      </c>
      <c r="B392" s="139">
        <f>SKU_Base!C392</f>
        <v/>
      </c>
      <c r="C392" s="140">
        <f>IFERROR(SKU_Base!I392,"")</f>
        <v/>
      </c>
      <c r="D392" s="163">
        <f>IFERROR(SKU_Base!T392,"")</f>
        <v/>
      </c>
      <c r="E392" s="141">
        <f>IFERROR(SKU_Base!$U392,"")</f>
        <v/>
      </c>
      <c r="F392" s="158">
        <f>IFERROR(ROUND(D392*(1-CHOOSE(MATCH(IF($E392="","Основний",$E392),{"Трафіковий","Основний","Маржинальний","Сезонний","Стратегічний"},0),Settings!$B$78,Settings!$B$80,Settings!$B$82,Settings!$B$84,Settings!$B$86))/6,2)*6,"")</f>
        <v/>
      </c>
      <c r="G392" s="142">
        <f>IFERROR(CHOOSE(MATCH(IF($E392="","Основний",$E392),{"Трафіковий","Основний","Маржинальний","Сезонний","Стратегічний"},0),Settings!$B$78,Settings!$B$80,Settings!$B$82,Settings!$B$84,Settings!$B$86),"")</f>
        <v/>
      </c>
      <c r="H392" s="143">
        <f>IFERROR((F392*(1-Settings!$B$17)-C392)/(F392*(1-Settings!$B$17)),"")</f>
        <v/>
      </c>
      <c r="I392" s="149">
        <f>IFERROR(IF(F392="","",IF(F392&gt;=C392/(1-SKU_Base!Z392)/(1-Settings!$B$17),"OK",IF(F392&gt;=C392/(1-SKU_Base!AG392)/(1-Settings!$B$17),"WARN","STOP"))),"")</f>
        <v/>
      </c>
      <c r="J392" s="158">
        <f>IFERROR(ROUND(D392*(1-CHOOSE(MATCH(IF($E392="","Основний",$E392),{"Трафіковий","Основний","Маржинальний","Сезонний","Стратегічний"},0),Settings!$C$78,Settings!$C$80,Settings!$C$82,Settings!$C$84,Settings!$C$86))/6,2)*6,"")</f>
        <v/>
      </c>
      <c r="K392" s="142">
        <f>IFERROR(CHOOSE(MATCH(IF($E392="","Основний",$E392),{"Трафіковий","Основний","Маржинальний","Сезонний","Стратегічний"},0),Settings!$C$78,Settings!$C$80,Settings!$C$82,Settings!$C$84,Settings!$C$86),"")</f>
        <v/>
      </c>
      <c r="L392" s="143">
        <f>IFERROR((J392*(1-Settings!$C$17)-C392)/(J392*(1-Settings!$C$17)),"")</f>
        <v/>
      </c>
      <c r="M392" s="149">
        <f>IFERROR(IF(J392="","",IF(J392&gt;=C392/(1-SKU_Base!AA392)/(1-Settings!$C$17),"OK",IF(J392&gt;=C392/(1-SKU_Base!AH392)/(1-Settings!$C$17),"WARN","STOP"))),"")</f>
        <v/>
      </c>
      <c r="N392" s="159">
        <f>IFERROR(ROUND(D392*(1-CHOOSE(MATCH(IF($E392="","Основний",$E392),{"Трафіковий","Основний","Маржинальний","Сезонний","Стратегічний"},0),Settings!$D$78,Settings!$D$80,Settings!$D$82,Settings!$D$84,Settings!$D$86))/6,2)*6,"")</f>
        <v/>
      </c>
      <c r="O392" s="142">
        <f>IFERROR(CHOOSE(MATCH(IF($E392="","Основний",$E392),{"Трафіковий","Основний","Маржинальний","Сезонний","Стратегічний"},0),Settings!$D$78,Settings!$D$80,Settings!$D$82,Settings!$D$84,Settings!$D$86),"")</f>
        <v/>
      </c>
      <c r="P392" s="143">
        <f>IFERROR((N392*(1-Settings!$D$17)-C392)/(N392*(1-Settings!$D$17)),"")</f>
        <v/>
      </c>
      <c r="Q392" s="149">
        <f>IFERROR(IF(N392="","",IF(N392&gt;=C392/(1-SKU_Base!AB392)/(1-Settings!$D$17),"OK",IF(N392&gt;=C392/(1-SKU_Base!AI392)/(1-Settings!$D$17),"WARN","STOP"))),"")</f>
        <v/>
      </c>
      <c r="R392" s="159">
        <f>IFERROR(ROUND(D392*(1-CHOOSE(MATCH(IF($E392="","Основний",$E392),{"Трафіковий","Основний","Маржинальний","Сезонний","Стратегічний"},0),Settings!$E$78,Settings!$E$80,Settings!$E$82,Settings!$E$84,Settings!$E$86))/6,2)*6,"")</f>
        <v/>
      </c>
      <c r="S392" s="142">
        <f>IFERROR(CHOOSE(MATCH(IF($E392="","Основний",$E392),{"Трафіковий","Основний","Маржинальний","Сезонний","Стратегічний"},0),Settings!$E$78,Settings!$E$80,Settings!$E$82,Settings!$E$84,Settings!$E$86),"")</f>
        <v/>
      </c>
      <c r="T392" s="143">
        <f>IFERROR((R392*(1-Settings!$E$17)-C392)/(R392*(1-Settings!$E$17)),"")</f>
        <v/>
      </c>
      <c r="U392" s="149">
        <f>IFERROR(IF(R392="","",IF(R392&gt;=C392/(1-SKU_Base!AC392)/(1-Settings!$E$17),"OK",IF(R392&gt;=C392/(1-SKU_Base!AJ392)/(1-Settings!$E$17),"WARN","STOP"))),"")</f>
        <v/>
      </c>
      <c r="V392" s="159">
        <f>IFERROR(ROUND(D392*(1-CHOOSE(MATCH(IF($E392="","Основний",$E392),{"Трафіковий","Основний","Маржинальний","Сезонний","Стратегічний"},0),Settings!$F$78,Settings!$F$80,Settings!$F$82,Settings!$F$84,Settings!$F$86))/6,2)*6,"")</f>
        <v/>
      </c>
      <c r="W392" s="142">
        <f>IFERROR(CHOOSE(MATCH(IF($E392="","Основний",$E392),{"Трафіковий","Основний","Маржинальний","Сезонний","Стратегічний"},0),Settings!$F$78,Settings!$F$80,Settings!$F$82,Settings!$F$84,Settings!$F$86),"")</f>
        <v/>
      </c>
      <c r="X392" s="143">
        <f>IFERROR((V392*(1-Settings!$F$17)-C392)/(V392*(1-Settings!$F$17)),"")</f>
        <v/>
      </c>
      <c r="Y392" s="149">
        <f>IFERROR(IF(V392="","",IF(V392&gt;=C392/(1-SKU_Base!AD392)/(1-Settings!$F$17),"OK",IF(V392&gt;=C392/(1-SKU_Base!AK392)/(1-Settings!$F$17),"WARN","STOP"))),"")</f>
        <v/>
      </c>
      <c r="Z392" s="159">
        <f>IFERROR(ROUND(D392*(1-CHOOSE(MATCH(IF($E392="","Основний",$E392),{"Трафіковий","Основний","Маржинальний","Сезонний","Стратегічний"},0),Settings!$G$78,Settings!$G$80,Settings!$G$82,Settings!$G$84,Settings!$G$86))/6,2)*6,"")</f>
        <v/>
      </c>
      <c r="AA392" s="142">
        <f>IFERROR(CHOOSE(MATCH(IF($E392="","Основний",$E392),{"Трафіковий","Основний","Маржинальний","Сезонний","Стратегічний"},0),Settings!$G$78,Settings!$G$80,Settings!$G$82,Settings!$G$84,Settings!$G$86),"")</f>
        <v/>
      </c>
      <c r="AB392" s="143">
        <f>IFERROR((Z392*(1-Settings!$G$17)-C392)/(Z392*(1-Settings!$G$17)),"")</f>
        <v/>
      </c>
      <c r="AC392" s="149">
        <f>IFERROR(IF(Z392="","",IF(Z392&gt;=C392/(1-SKU_Base!AE392)/(1-Settings!$G$17),"OK",IF(Z392&gt;=C392/(1-SKU_Base!AL392)/(1-Settings!$G$17),"WARN","STOP"))),"")</f>
        <v/>
      </c>
      <c r="AD392" s="159">
        <f>IFERROR(ROUND(D392*(1-CHOOSE(MATCH(IF($E392="","Основний",$E392),{"Трафіковий","Основний","Маржинальний","Сезонний","Стратегічний"},0),Settings!$H$78,Settings!$H$80,Settings!$H$82,Settings!$H$84,Settings!$H$86))*(1-Settings!$H$68)/6,2)*6,"")</f>
        <v/>
      </c>
      <c r="AE392" s="142">
        <f>IFERROR(CHOOSE(MATCH(IF($E392="","Основний",$E392),{"Трафіковий","Основний","Маржинальний","Сезонний","Стратегічний"},0),Settings!$H$78,Settings!$H$80,Settings!$H$82,Settings!$H$84,Settings!$H$86)+(1-(CHOOSE(MATCH(IF($E392="","Основний",$E392),{"Трафіковий","Основний","Маржинальний","Сезонний","Стратегічний"},0),Settings!$H$78,Settings!$H$80,Settings!$H$82,Settings!$H$84,Settings!$H$86)))*Settings!$H$68,"")</f>
        <v/>
      </c>
      <c r="AF392" s="143">
        <f>IFERROR((AD392*(1-Settings!$H$17)-C392)/(AD392*(1-Settings!$H$17)),"")</f>
        <v/>
      </c>
      <c r="AG392" s="149">
        <f>IFERROR(IF(AD392="","",IF(AD392&gt;=C392/(1-SKU_Base!AF392)/(1-Settings!$H$17),"OK",IF(AD392&gt;=C392/(1-SKU_Base!AM392)/(1-Settings!$H$17),"WARN","STOP"))),"")</f>
        <v/>
      </c>
    </row>
    <row r="393" ht="17" customHeight="1" s="179">
      <c r="A393" s="146">
        <f>SKU_Base!B393</f>
        <v/>
      </c>
      <c r="B393" s="146">
        <f>SKU_Base!C393</f>
        <v/>
      </c>
      <c r="C393" s="147">
        <f>IFERROR(SKU_Base!I393,"")</f>
        <v/>
      </c>
      <c r="D393" s="164">
        <f>IFERROR(SKU_Base!T393,"")</f>
        <v/>
      </c>
      <c r="E393" s="141">
        <f>IFERROR(SKU_Base!$U393,"")</f>
        <v/>
      </c>
      <c r="F393" s="160">
        <f>IFERROR(ROUND(D393*(1-CHOOSE(MATCH(IF($E393="","Основний",$E393),{"Трафіковий","Основний","Маржинальний","Сезонний","Стратегічний"},0),Settings!$B$78,Settings!$B$80,Settings!$B$82,Settings!$B$84,Settings!$B$86))/6,2)*6,"")</f>
        <v/>
      </c>
      <c r="G393" s="142">
        <f>IFERROR(CHOOSE(MATCH(IF($E393="","Основний",$E393),{"Трафіковий","Основний","Маржинальний","Сезонний","Стратегічний"},0),Settings!$B$78,Settings!$B$80,Settings!$B$82,Settings!$B$84,Settings!$B$86),"")</f>
        <v/>
      </c>
      <c r="H393" s="148">
        <f>IFERROR((F393*(1-Settings!$B$17)-C393)/(F393*(1-Settings!$B$17)),"")</f>
        <v/>
      </c>
      <c r="I393" s="149">
        <f>IFERROR(IF(F393="","",IF(F393&gt;=C393/(1-SKU_Base!Z393)/(1-Settings!$B$17),"OK",IF(F393&gt;=C393/(1-SKU_Base!AG393)/(1-Settings!$B$17),"WARN","STOP"))),"")</f>
        <v/>
      </c>
      <c r="J393" s="160">
        <f>IFERROR(ROUND(D393*(1-CHOOSE(MATCH(IF($E393="","Основний",$E393),{"Трафіковий","Основний","Маржинальний","Сезонний","Стратегічний"},0),Settings!$C$78,Settings!$C$80,Settings!$C$82,Settings!$C$84,Settings!$C$86))/6,2)*6,"")</f>
        <v/>
      </c>
      <c r="K393" s="142">
        <f>IFERROR(CHOOSE(MATCH(IF($E393="","Основний",$E393),{"Трафіковий","Основний","Маржинальний","Сезонний","Стратегічний"},0),Settings!$C$78,Settings!$C$80,Settings!$C$82,Settings!$C$84,Settings!$C$86),"")</f>
        <v/>
      </c>
      <c r="L393" s="148">
        <f>IFERROR((J393*(1-Settings!$C$17)-C393)/(J393*(1-Settings!$C$17)),"")</f>
        <v/>
      </c>
      <c r="M393" s="149">
        <f>IFERROR(IF(J393="","",IF(J393&gt;=C393/(1-SKU_Base!AA393)/(1-Settings!$C$17),"OK",IF(J393&gt;=C393/(1-SKU_Base!AH393)/(1-Settings!$C$17),"WARN","STOP"))),"")</f>
        <v/>
      </c>
      <c r="N393" s="161">
        <f>IFERROR(ROUND(D393*(1-CHOOSE(MATCH(IF($E393="","Основний",$E393),{"Трафіковий","Основний","Маржинальний","Сезонний","Стратегічний"},0),Settings!$D$78,Settings!$D$80,Settings!$D$82,Settings!$D$84,Settings!$D$86))/6,2)*6,"")</f>
        <v/>
      </c>
      <c r="O393" s="142">
        <f>IFERROR(CHOOSE(MATCH(IF($E393="","Основний",$E393),{"Трафіковий","Основний","Маржинальний","Сезонний","Стратегічний"},0),Settings!$D$78,Settings!$D$80,Settings!$D$82,Settings!$D$84,Settings!$D$86),"")</f>
        <v/>
      </c>
      <c r="P393" s="148">
        <f>IFERROR((N393*(1-Settings!$D$17)-C393)/(N393*(1-Settings!$D$17)),"")</f>
        <v/>
      </c>
      <c r="Q393" s="149">
        <f>IFERROR(IF(N393="","",IF(N393&gt;=C393/(1-SKU_Base!AB393)/(1-Settings!$D$17),"OK",IF(N393&gt;=C393/(1-SKU_Base!AI393)/(1-Settings!$D$17),"WARN","STOP"))),"")</f>
        <v/>
      </c>
      <c r="R393" s="161">
        <f>IFERROR(ROUND(D393*(1-CHOOSE(MATCH(IF($E393="","Основний",$E393),{"Трафіковий","Основний","Маржинальний","Сезонний","Стратегічний"},0),Settings!$E$78,Settings!$E$80,Settings!$E$82,Settings!$E$84,Settings!$E$86))/6,2)*6,"")</f>
        <v/>
      </c>
      <c r="S393" s="142">
        <f>IFERROR(CHOOSE(MATCH(IF($E393="","Основний",$E393),{"Трафіковий","Основний","Маржинальний","Сезонний","Стратегічний"},0),Settings!$E$78,Settings!$E$80,Settings!$E$82,Settings!$E$84,Settings!$E$86),"")</f>
        <v/>
      </c>
      <c r="T393" s="148">
        <f>IFERROR((R393*(1-Settings!$E$17)-C393)/(R393*(1-Settings!$E$17)),"")</f>
        <v/>
      </c>
      <c r="U393" s="149">
        <f>IFERROR(IF(R393="","",IF(R393&gt;=C393/(1-SKU_Base!AC393)/(1-Settings!$E$17),"OK",IF(R393&gt;=C393/(1-SKU_Base!AJ393)/(1-Settings!$E$17),"WARN","STOP"))),"")</f>
        <v/>
      </c>
      <c r="V393" s="161">
        <f>IFERROR(ROUND(D393*(1-CHOOSE(MATCH(IF($E393="","Основний",$E393),{"Трафіковий","Основний","Маржинальний","Сезонний","Стратегічний"},0),Settings!$F$78,Settings!$F$80,Settings!$F$82,Settings!$F$84,Settings!$F$86))/6,2)*6,"")</f>
        <v/>
      </c>
      <c r="W393" s="142">
        <f>IFERROR(CHOOSE(MATCH(IF($E393="","Основний",$E393),{"Трафіковий","Основний","Маржинальний","Сезонний","Стратегічний"},0),Settings!$F$78,Settings!$F$80,Settings!$F$82,Settings!$F$84,Settings!$F$86),"")</f>
        <v/>
      </c>
      <c r="X393" s="148">
        <f>IFERROR((V393*(1-Settings!$F$17)-C393)/(V393*(1-Settings!$F$17)),"")</f>
        <v/>
      </c>
      <c r="Y393" s="149">
        <f>IFERROR(IF(V393="","",IF(V393&gt;=C393/(1-SKU_Base!AD393)/(1-Settings!$F$17),"OK",IF(V393&gt;=C393/(1-SKU_Base!AK393)/(1-Settings!$F$17),"WARN","STOP"))),"")</f>
        <v/>
      </c>
      <c r="Z393" s="161">
        <f>IFERROR(ROUND(D393*(1-CHOOSE(MATCH(IF($E393="","Основний",$E393),{"Трафіковий","Основний","Маржинальний","Сезонний","Стратегічний"},0),Settings!$G$78,Settings!$G$80,Settings!$G$82,Settings!$G$84,Settings!$G$86))/6,2)*6,"")</f>
        <v/>
      </c>
      <c r="AA393" s="142">
        <f>IFERROR(CHOOSE(MATCH(IF($E393="","Основний",$E393),{"Трафіковий","Основний","Маржинальний","Сезонний","Стратегічний"},0),Settings!$G$78,Settings!$G$80,Settings!$G$82,Settings!$G$84,Settings!$G$86),"")</f>
        <v/>
      </c>
      <c r="AB393" s="148">
        <f>IFERROR((Z393*(1-Settings!$G$17)-C393)/(Z393*(1-Settings!$G$17)),"")</f>
        <v/>
      </c>
      <c r="AC393" s="149">
        <f>IFERROR(IF(Z393="","",IF(Z393&gt;=C393/(1-SKU_Base!AE393)/(1-Settings!$G$17),"OK",IF(Z393&gt;=C393/(1-SKU_Base!AL393)/(1-Settings!$G$17),"WARN","STOP"))),"")</f>
        <v/>
      </c>
      <c r="AD393" s="161">
        <f>IFERROR(ROUND(D393*(1-CHOOSE(MATCH(IF($E393="","Основний",$E393),{"Трафіковий","Основний","Маржинальний","Сезонний","Стратегічний"},0),Settings!$H$78,Settings!$H$80,Settings!$H$82,Settings!$H$84,Settings!$H$86))*(1-Settings!$H$68)/6,2)*6,"")</f>
        <v/>
      </c>
      <c r="AE393" s="142">
        <f>IFERROR(CHOOSE(MATCH(IF($E393="","Основний",$E393),{"Трафіковий","Основний","Маржинальний","Сезонний","Стратегічний"},0),Settings!$H$78,Settings!$H$80,Settings!$H$82,Settings!$H$84,Settings!$H$86)+(1-(CHOOSE(MATCH(IF($E393="","Основний",$E393),{"Трафіковий","Основний","Маржинальний","Сезонний","Стратегічний"},0),Settings!$H$78,Settings!$H$80,Settings!$H$82,Settings!$H$84,Settings!$H$86)))*Settings!$H$68,"")</f>
        <v/>
      </c>
      <c r="AF393" s="148">
        <f>IFERROR((AD393*(1-Settings!$H$17)-C393)/(AD393*(1-Settings!$H$17)),"")</f>
        <v/>
      </c>
      <c r="AG393" s="149">
        <f>IFERROR(IF(AD393="","",IF(AD393&gt;=C393/(1-SKU_Base!AF393)/(1-Settings!$H$17),"OK",IF(AD393&gt;=C393/(1-SKU_Base!AM393)/(1-Settings!$H$17),"WARN","STOP"))),"")</f>
        <v/>
      </c>
    </row>
    <row r="394" ht="17" customHeight="1" s="179">
      <c r="A394" s="139">
        <f>SKU_Base!B394</f>
        <v/>
      </c>
      <c r="B394" s="139">
        <f>SKU_Base!C394</f>
        <v/>
      </c>
      <c r="C394" s="140">
        <f>IFERROR(SKU_Base!I394,"")</f>
        <v/>
      </c>
      <c r="D394" s="163">
        <f>IFERROR(SKU_Base!T394,"")</f>
        <v/>
      </c>
      <c r="E394" s="141">
        <f>IFERROR(SKU_Base!$U394,"")</f>
        <v/>
      </c>
      <c r="F394" s="158">
        <f>IFERROR(ROUND(D394*(1-CHOOSE(MATCH(IF($E394="","Основний",$E394),{"Трафіковий","Основний","Маржинальний","Сезонний","Стратегічний"},0),Settings!$B$78,Settings!$B$80,Settings!$B$82,Settings!$B$84,Settings!$B$86))/6,2)*6,"")</f>
        <v/>
      </c>
      <c r="G394" s="142">
        <f>IFERROR(CHOOSE(MATCH(IF($E394="","Основний",$E394),{"Трафіковий","Основний","Маржинальний","Сезонний","Стратегічний"},0),Settings!$B$78,Settings!$B$80,Settings!$B$82,Settings!$B$84,Settings!$B$86),"")</f>
        <v/>
      </c>
      <c r="H394" s="143">
        <f>IFERROR((F394*(1-Settings!$B$17)-C394)/(F394*(1-Settings!$B$17)),"")</f>
        <v/>
      </c>
      <c r="I394" s="149">
        <f>IFERROR(IF(F394="","",IF(F394&gt;=C394/(1-SKU_Base!Z394)/(1-Settings!$B$17),"OK",IF(F394&gt;=C394/(1-SKU_Base!AG394)/(1-Settings!$B$17),"WARN","STOP"))),"")</f>
        <v/>
      </c>
      <c r="J394" s="158">
        <f>IFERROR(ROUND(D394*(1-CHOOSE(MATCH(IF($E394="","Основний",$E394),{"Трафіковий","Основний","Маржинальний","Сезонний","Стратегічний"},0),Settings!$C$78,Settings!$C$80,Settings!$C$82,Settings!$C$84,Settings!$C$86))/6,2)*6,"")</f>
        <v/>
      </c>
      <c r="K394" s="142">
        <f>IFERROR(CHOOSE(MATCH(IF($E394="","Основний",$E394),{"Трафіковий","Основний","Маржинальний","Сезонний","Стратегічний"},0),Settings!$C$78,Settings!$C$80,Settings!$C$82,Settings!$C$84,Settings!$C$86),"")</f>
        <v/>
      </c>
      <c r="L394" s="143">
        <f>IFERROR((J394*(1-Settings!$C$17)-C394)/(J394*(1-Settings!$C$17)),"")</f>
        <v/>
      </c>
      <c r="M394" s="149">
        <f>IFERROR(IF(J394="","",IF(J394&gt;=C394/(1-SKU_Base!AA394)/(1-Settings!$C$17),"OK",IF(J394&gt;=C394/(1-SKU_Base!AH394)/(1-Settings!$C$17),"WARN","STOP"))),"")</f>
        <v/>
      </c>
      <c r="N394" s="159">
        <f>IFERROR(ROUND(D394*(1-CHOOSE(MATCH(IF($E394="","Основний",$E394),{"Трафіковий","Основний","Маржинальний","Сезонний","Стратегічний"},0),Settings!$D$78,Settings!$D$80,Settings!$D$82,Settings!$D$84,Settings!$D$86))/6,2)*6,"")</f>
        <v/>
      </c>
      <c r="O394" s="142">
        <f>IFERROR(CHOOSE(MATCH(IF($E394="","Основний",$E394),{"Трафіковий","Основний","Маржинальний","Сезонний","Стратегічний"},0),Settings!$D$78,Settings!$D$80,Settings!$D$82,Settings!$D$84,Settings!$D$86),"")</f>
        <v/>
      </c>
      <c r="P394" s="143">
        <f>IFERROR((N394*(1-Settings!$D$17)-C394)/(N394*(1-Settings!$D$17)),"")</f>
        <v/>
      </c>
      <c r="Q394" s="149">
        <f>IFERROR(IF(N394="","",IF(N394&gt;=C394/(1-SKU_Base!AB394)/(1-Settings!$D$17),"OK",IF(N394&gt;=C394/(1-SKU_Base!AI394)/(1-Settings!$D$17),"WARN","STOP"))),"")</f>
        <v/>
      </c>
      <c r="R394" s="159">
        <f>IFERROR(ROUND(D394*(1-CHOOSE(MATCH(IF($E394="","Основний",$E394),{"Трафіковий","Основний","Маржинальний","Сезонний","Стратегічний"},0),Settings!$E$78,Settings!$E$80,Settings!$E$82,Settings!$E$84,Settings!$E$86))/6,2)*6,"")</f>
        <v/>
      </c>
      <c r="S394" s="142">
        <f>IFERROR(CHOOSE(MATCH(IF($E394="","Основний",$E394),{"Трафіковий","Основний","Маржинальний","Сезонний","Стратегічний"},0),Settings!$E$78,Settings!$E$80,Settings!$E$82,Settings!$E$84,Settings!$E$86),"")</f>
        <v/>
      </c>
      <c r="T394" s="143">
        <f>IFERROR((R394*(1-Settings!$E$17)-C394)/(R394*(1-Settings!$E$17)),"")</f>
        <v/>
      </c>
      <c r="U394" s="149">
        <f>IFERROR(IF(R394="","",IF(R394&gt;=C394/(1-SKU_Base!AC394)/(1-Settings!$E$17),"OK",IF(R394&gt;=C394/(1-SKU_Base!AJ394)/(1-Settings!$E$17),"WARN","STOP"))),"")</f>
        <v/>
      </c>
      <c r="V394" s="159">
        <f>IFERROR(ROUND(D394*(1-CHOOSE(MATCH(IF($E394="","Основний",$E394),{"Трафіковий","Основний","Маржинальний","Сезонний","Стратегічний"},0),Settings!$F$78,Settings!$F$80,Settings!$F$82,Settings!$F$84,Settings!$F$86))/6,2)*6,"")</f>
        <v/>
      </c>
      <c r="W394" s="142">
        <f>IFERROR(CHOOSE(MATCH(IF($E394="","Основний",$E394),{"Трафіковий","Основний","Маржинальний","Сезонний","Стратегічний"},0),Settings!$F$78,Settings!$F$80,Settings!$F$82,Settings!$F$84,Settings!$F$86),"")</f>
        <v/>
      </c>
      <c r="X394" s="143">
        <f>IFERROR((V394*(1-Settings!$F$17)-C394)/(V394*(1-Settings!$F$17)),"")</f>
        <v/>
      </c>
      <c r="Y394" s="149">
        <f>IFERROR(IF(V394="","",IF(V394&gt;=C394/(1-SKU_Base!AD394)/(1-Settings!$F$17),"OK",IF(V394&gt;=C394/(1-SKU_Base!AK394)/(1-Settings!$F$17),"WARN","STOP"))),"")</f>
        <v/>
      </c>
      <c r="Z394" s="159">
        <f>IFERROR(ROUND(D394*(1-CHOOSE(MATCH(IF($E394="","Основний",$E394),{"Трафіковий","Основний","Маржинальний","Сезонний","Стратегічний"},0),Settings!$G$78,Settings!$G$80,Settings!$G$82,Settings!$G$84,Settings!$G$86))/6,2)*6,"")</f>
        <v/>
      </c>
      <c r="AA394" s="142">
        <f>IFERROR(CHOOSE(MATCH(IF($E394="","Основний",$E394),{"Трафіковий","Основний","Маржинальний","Сезонний","Стратегічний"},0),Settings!$G$78,Settings!$G$80,Settings!$G$82,Settings!$G$84,Settings!$G$86),"")</f>
        <v/>
      </c>
      <c r="AB394" s="143">
        <f>IFERROR((Z394*(1-Settings!$G$17)-C394)/(Z394*(1-Settings!$G$17)),"")</f>
        <v/>
      </c>
      <c r="AC394" s="149">
        <f>IFERROR(IF(Z394="","",IF(Z394&gt;=C394/(1-SKU_Base!AE394)/(1-Settings!$G$17),"OK",IF(Z394&gt;=C394/(1-SKU_Base!AL394)/(1-Settings!$G$17),"WARN","STOP"))),"")</f>
        <v/>
      </c>
      <c r="AD394" s="159">
        <f>IFERROR(ROUND(D394*(1-CHOOSE(MATCH(IF($E394="","Основний",$E394),{"Трафіковий","Основний","Маржинальний","Сезонний","Стратегічний"},0),Settings!$H$78,Settings!$H$80,Settings!$H$82,Settings!$H$84,Settings!$H$86))*(1-Settings!$H$68)/6,2)*6,"")</f>
        <v/>
      </c>
      <c r="AE394" s="142">
        <f>IFERROR(CHOOSE(MATCH(IF($E394="","Основний",$E394),{"Трафіковий","Основний","Маржинальний","Сезонний","Стратегічний"},0),Settings!$H$78,Settings!$H$80,Settings!$H$82,Settings!$H$84,Settings!$H$86)+(1-(CHOOSE(MATCH(IF($E394="","Основний",$E394),{"Трафіковий","Основний","Маржинальний","Сезонний","Стратегічний"},0),Settings!$H$78,Settings!$H$80,Settings!$H$82,Settings!$H$84,Settings!$H$86)))*Settings!$H$68,"")</f>
        <v/>
      </c>
      <c r="AF394" s="143">
        <f>IFERROR((AD394*(1-Settings!$H$17)-C394)/(AD394*(1-Settings!$H$17)),"")</f>
        <v/>
      </c>
      <c r="AG394" s="150">
        <f>IFERROR(IF(AD394="","",IF(AD394&gt;=C394/(1-SKU_Base!AF394)/(1-Settings!$H$17),"OK",IF(AD394&gt;=C394/(1-SKU_Base!AM394)/(1-Settings!$H$17),"WARN","STOP"))),"")</f>
        <v/>
      </c>
    </row>
    <row r="395" ht="17" customHeight="1" s="179">
      <c r="A395" s="146">
        <f>SKU_Base!B395</f>
        <v/>
      </c>
      <c r="B395" s="146">
        <f>SKU_Base!C395</f>
        <v/>
      </c>
      <c r="C395" s="147">
        <f>IFERROR(SKU_Base!I395,"")</f>
        <v/>
      </c>
      <c r="D395" s="164">
        <f>IFERROR(SKU_Base!T395,"")</f>
        <v/>
      </c>
      <c r="E395" s="141">
        <f>IFERROR(SKU_Base!$U395,"")</f>
        <v/>
      </c>
      <c r="F395" s="160">
        <f>IFERROR(ROUND(D395*(1-CHOOSE(MATCH(IF($E395="","Основний",$E395),{"Трафіковий","Основний","Маржинальний","Сезонний","Стратегічний"},0),Settings!$B$78,Settings!$B$80,Settings!$B$82,Settings!$B$84,Settings!$B$86))/6,2)*6,"")</f>
        <v/>
      </c>
      <c r="G395" s="142">
        <f>IFERROR(CHOOSE(MATCH(IF($E395="","Основний",$E395),{"Трафіковий","Основний","Маржинальний","Сезонний","Стратегічний"},0),Settings!$B$78,Settings!$B$80,Settings!$B$82,Settings!$B$84,Settings!$B$86),"")</f>
        <v/>
      </c>
      <c r="H395" s="148">
        <f>IFERROR((F395*(1-Settings!$B$17)-C395)/(F395*(1-Settings!$B$17)),"")</f>
        <v/>
      </c>
      <c r="I395" s="149">
        <f>IFERROR(IF(F395="","",IF(F395&gt;=C395/(1-SKU_Base!Z395)/(1-Settings!$B$17),"OK",IF(F395&gt;=C395/(1-SKU_Base!AG395)/(1-Settings!$B$17),"WARN","STOP"))),"")</f>
        <v/>
      </c>
      <c r="J395" s="160">
        <f>IFERROR(ROUND(D395*(1-CHOOSE(MATCH(IF($E395="","Основний",$E395),{"Трафіковий","Основний","Маржинальний","Сезонний","Стратегічний"},0),Settings!$C$78,Settings!$C$80,Settings!$C$82,Settings!$C$84,Settings!$C$86))/6,2)*6,"")</f>
        <v/>
      </c>
      <c r="K395" s="142">
        <f>IFERROR(CHOOSE(MATCH(IF($E395="","Основний",$E395),{"Трафіковий","Основний","Маржинальний","Сезонний","Стратегічний"},0),Settings!$C$78,Settings!$C$80,Settings!$C$82,Settings!$C$84,Settings!$C$86),"")</f>
        <v/>
      </c>
      <c r="L395" s="148">
        <f>IFERROR((J395*(1-Settings!$C$17)-C395)/(J395*(1-Settings!$C$17)),"")</f>
        <v/>
      </c>
      <c r="M395" s="149">
        <f>IFERROR(IF(J395="","",IF(J395&gt;=C395/(1-SKU_Base!AA395)/(1-Settings!$C$17),"OK",IF(J395&gt;=C395/(1-SKU_Base!AH395)/(1-Settings!$C$17),"WARN","STOP"))),"")</f>
        <v/>
      </c>
      <c r="N395" s="161">
        <f>IFERROR(ROUND(D395*(1-CHOOSE(MATCH(IF($E395="","Основний",$E395),{"Трафіковий","Основний","Маржинальний","Сезонний","Стратегічний"},0),Settings!$D$78,Settings!$D$80,Settings!$D$82,Settings!$D$84,Settings!$D$86))/6,2)*6,"")</f>
        <v/>
      </c>
      <c r="O395" s="142">
        <f>IFERROR(CHOOSE(MATCH(IF($E395="","Основний",$E395),{"Трафіковий","Основний","Маржинальний","Сезонний","Стратегічний"},0),Settings!$D$78,Settings!$D$80,Settings!$D$82,Settings!$D$84,Settings!$D$86),"")</f>
        <v/>
      </c>
      <c r="P395" s="148">
        <f>IFERROR((N395*(1-Settings!$D$17)-C395)/(N395*(1-Settings!$D$17)),"")</f>
        <v/>
      </c>
      <c r="Q395" s="149">
        <f>IFERROR(IF(N395="","",IF(N395&gt;=C395/(1-SKU_Base!AB395)/(1-Settings!$D$17),"OK",IF(N395&gt;=C395/(1-SKU_Base!AI395)/(1-Settings!$D$17),"WARN","STOP"))),"")</f>
        <v/>
      </c>
      <c r="R395" s="161">
        <f>IFERROR(ROUND(D395*(1-CHOOSE(MATCH(IF($E395="","Основний",$E395),{"Трафіковий","Основний","Маржинальний","Сезонний","Стратегічний"},0),Settings!$E$78,Settings!$E$80,Settings!$E$82,Settings!$E$84,Settings!$E$86))/6,2)*6,"")</f>
        <v/>
      </c>
      <c r="S395" s="142">
        <f>IFERROR(CHOOSE(MATCH(IF($E395="","Основний",$E395),{"Трафіковий","Основний","Маржинальний","Сезонний","Стратегічний"},0),Settings!$E$78,Settings!$E$80,Settings!$E$82,Settings!$E$84,Settings!$E$86),"")</f>
        <v/>
      </c>
      <c r="T395" s="148">
        <f>IFERROR((R395*(1-Settings!$E$17)-C395)/(R395*(1-Settings!$E$17)),"")</f>
        <v/>
      </c>
      <c r="U395" s="149">
        <f>IFERROR(IF(R395="","",IF(R395&gt;=C395/(1-SKU_Base!AC395)/(1-Settings!$E$17),"OK",IF(R395&gt;=C395/(1-SKU_Base!AJ395)/(1-Settings!$E$17),"WARN","STOP"))),"")</f>
        <v/>
      </c>
      <c r="V395" s="161">
        <f>IFERROR(ROUND(D395*(1-CHOOSE(MATCH(IF($E395="","Основний",$E395),{"Трафіковий","Основний","Маржинальний","Сезонний","Стратегічний"},0),Settings!$F$78,Settings!$F$80,Settings!$F$82,Settings!$F$84,Settings!$F$86))/6,2)*6,"")</f>
        <v/>
      </c>
      <c r="W395" s="142">
        <f>IFERROR(CHOOSE(MATCH(IF($E395="","Основний",$E395),{"Трафіковий","Основний","Маржинальний","Сезонний","Стратегічний"},0),Settings!$F$78,Settings!$F$80,Settings!$F$82,Settings!$F$84,Settings!$F$86),"")</f>
        <v/>
      </c>
      <c r="X395" s="148">
        <f>IFERROR((V395*(1-Settings!$F$17)-C395)/(V395*(1-Settings!$F$17)),"")</f>
        <v/>
      </c>
      <c r="Y395" s="149">
        <f>IFERROR(IF(V395="","",IF(V395&gt;=C395/(1-SKU_Base!AD395)/(1-Settings!$F$17),"OK",IF(V395&gt;=C395/(1-SKU_Base!AK395)/(1-Settings!$F$17),"WARN","STOP"))),"")</f>
        <v/>
      </c>
      <c r="Z395" s="161">
        <f>IFERROR(ROUND(D395*(1-CHOOSE(MATCH(IF($E395="","Основний",$E395),{"Трафіковий","Основний","Маржинальний","Сезонний","Стратегічний"},0),Settings!$G$78,Settings!$G$80,Settings!$G$82,Settings!$G$84,Settings!$G$86))/6,2)*6,"")</f>
        <v/>
      </c>
      <c r="AA395" s="142">
        <f>IFERROR(CHOOSE(MATCH(IF($E395="","Основний",$E395),{"Трафіковий","Основний","Маржинальний","Сезонний","Стратегічний"},0),Settings!$G$78,Settings!$G$80,Settings!$G$82,Settings!$G$84,Settings!$G$86),"")</f>
        <v/>
      </c>
      <c r="AB395" s="148">
        <f>IFERROR((Z395*(1-Settings!$G$17)-C395)/(Z395*(1-Settings!$G$17)),"")</f>
        <v/>
      </c>
      <c r="AC395" s="149">
        <f>IFERROR(IF(Z395="","",IF(Z395&gt;=C395/(1-SKU_Base!AE395)/(1-Settings!$G$17),"OK",IF(Z395&gt;=C395/(1-SKU_Base!AL395)/(1-Settings!$G$17),"WARN","STOP"))),"")</f>
        <v/>
      </c>
      <c r="AD395" s="161">
        <f>IFERROR(ROUND(D395*(1-CHOOSE(MATCH(IF($E395="","Основний",$E395),{"Трафіковий","Основний","Маржинальний","Сезонний","Стратегічний"},0),Settings!$H$78,Settings!$H$80,Settings!$H$82,Settings!$H$84,Settings!$H$86))*(1-Settings!$H$68)/6,2)*6,"")</f>
        <v/>
      </c>
      <c r="AE395" s="142">
        <f>IFERROR(CHOOSE(MATCH(IF($E395="","Основний",$E395),{"Трафіковий","Основний","Маржинальний","Сезонний","Стратегічний"},0),Settings!$H$78,Settings!$H$80,Settings!$H$82,Settings!$H$84,Settings!$H$86)+(1-(CHOOSE(MATCH(IF($E395="","Основний",$E395),{"Трафіковий","Основний","Маржинальний","Сезонний","Стратегічний"},0),Settings!$H$78,Settings!$H$80,Settings!$H$82,Settings!$H$84,Settings!$H$86)))*Settings!$H$68,"")</f>
        <v/>
      </c>
      <c r="AF395" s="148">
        <f>IFERROR((AD395*(1-Settings!$H$17)-C395)/(AD395*(1-Settings!$H$17)),"")</f>
        <v/>
      </c>
      <c r="AG395" s="150">
        <f>IFERROR(IF(AD395="","",IF(AD395&gt;=C395/(1-SKU_Base!AF395)/(1-Settings!$H$17),"OK",IF(AD395&gt;=C395/(1-SKU_Base!AM395)/(1-Settings!$H$17),"WARN","STOP"))),"")</f>
        <v/>
      </c>
    </row>
    <row r="396" ht="17" customHeight="1" s="179">
      <c r="A396" s="139">
        <f>SKU_Base!B396</f>
        <v/>
      </c>
      <c r="B396" s="139">
        <f>SKU_Base!C396</f>
        <v/>
      </c>
      <c r="C396" s="140">
        <f>IFERROR(SKU_Base!I396,"")</f>
        <v/>
      </c>
      <c r="D396" s="163">
        <f>IFERROR(SKU_Base!T396,"")</f>
        <v/>
      </c>
      <c r="E396" s="141">
        <f>IFERROR(SKU_Base!$U396,"")</f>
        <v/>
      </c>
      <c r="F396" s="158">
        <f>IFERROR(ROUND(D396*(1-CHOOSE(MATCH(IF($E396="","Основний",$E396),{"Трафіковий","Основний","Маржинальний","Сезонний","Стратегічний"},0),Settings!$B$78,Settings!$B$80,Settings!$B$82,Settings!$B$84,Settings!$B$86))/6,2)*6,"")</f>
        <v/>
      </c>
      <c r="G396" s="142">
        <f>IFERROR(CHOOSE(MATCH(IF($E396="","Основний",$E396),{"Трафіковий","Основний","Маржинальний","Сезонний","Стратегічний"},0),Settings!$B$78,Settings!$B$80,Settings!$B$82,Settings!$B$84,Settings!$B$86),"")</f>
        <v/>
      </c>
      <c r="H396" s="143">
        <f>IFERROR((F396*(1-Settings!$B$17)-C396)/(F396*(1-Settings!$B$17)),"")</f>
        <v/>
      </c>
      <c r="I396" s="149">
        <f>IFERROR(IF(F396="","",IF(F396&gt;=C396/(1-SKU_Base!Z396)/(1-Settings!$B$17),"OK",IF(F396&gt;=C396/(1-SKU_Base!AG396)/(1-Settings!$B$17),"WARN","STOP"))),"")</f>
        <v/>
      </c>
      <c r="J396" s="158">
        <f>IFERROR(ROUND(D396*(1-CHOOSE(MATCH(IF($E396="","Основний",$E396),{"Трафіковий","Основний","Маржинальний","Сезонний","Стратегічний"},0),Settings!$C$78,Settings!$C$80,Settings!$C$82,Settings!$C$84,Settings!$C$86))/6,2)*6,"")</f>
        <v/>
      </c>
      <c r="K396" s="142">
        <f>IFERROR(CHOOSE(MATCH(IF($E396="","Основний",$E396),{"Трафіковий","Основний","Маржинальний","Сезонний","Стратегічний"},0),Settings!$C$78,Settings!$C$80,Settings!$C$82,Settings!$C$84,Settings!$C$86),"")</f>
        <v/>
      </c>
      <c r="L396" s="143">
        <f>IFERROR((J396*(1-Settings!$C$17)-C396)/(J396*(1-Settings!$C$17)),"")</f>
        <v/>
      </c>
      <c r="M396" s="149">
        <f>IFERROR(IF(J396="","",IF(J396&gt;=C396/(1-SKU_Base!AA396)/(1-Settings!$C$17),"OK",IF(J396&gt;=C396/(1-SKU_Base!AH396)/(1-Settings!$C$17),"WARN","STOP"))),"")</f>
        <v/>
      </c>
      <c r="N396" s="159">
        <f>IFERROR(ROUND(D396*(1-CHOOSE(MATCH(IF($E396="","Основний",$E396),{"Трафіковий","Основний","Маржинальний","Сезонний","Стратегічний"},0),Settings!$D$78,Settings!$D$80,Settings!$D$82,Settings!$D$84,Settings!$D$86))/6,2)*6,"")</f>
        <v/>
      </c>
      <c r="O396" s="142">
        <f>IFERROR(CHOOSE(MATCH(IF($E396="","Основний",$E396),{"Трафіковий","Основний","Маржинальний","Сезонний","Стратегічний"},0),Settings!$D$78,Settings!$D$80,Settings!$D$82,Settings!$D$84,Settings!$D$86),"")</f>
        <v/>
      </c>
      <c r="P396" s="143">
        <f>IFERROR((N396*(1-Settings!$D$17)-C396)/(N396*(1-Settings!$D$17)),"")</f>
        <v/>
      </c>
      <c r="Q396" s="149">
        <f>IFERROR(IF(N396="","",IF(N396&gt;=C396/(1-SKU_Base!AB396)/(1-Settings!$D$17),"OK",IF(N396&gt;=C396/(1-SKU_Base!AI396)/(1-Settings!$D$17),"WARN","STOP"))),"")</f>
        <v/>
      </c>
      <c r="R396" s="159">
        <f>IFERROR(ROUND(D396*(1-CHOOSE(MATCH(IF($E396="","Основний",$E396),{"Трафіковий","Основний","Маржинальний","Сезонний","Стратегічний"},0),Settings!$E$78,Settings!$E$80,Settings!$E$82,Settings!$E$84,Settings!$E$86))/6,2)*6,"")</f>
        <v/>
      </c>
      <c r="S396" s="142">
        <f>IFERROR(CHOOSE(MATCH(IF($E396="","Основний",$E396),{"Трафіковий","Основний","Маржинальний","Сезонний","Стратегічний"},0),Settings!$E$78,Settings!$E$80,Settings!$E$82,Settings!$E$84,Settings!$E$86),"")</f>
        <v/>
      </c>
      <c r="T396" s="143">
        <f>IFERROR((R396*(1-Settings!$E$17)-C396)/(R396*(1-Settings!$E$17)),"")</f>
        <v/>
      </c>
      <c r="U396" s="149">
        <f>IFERROR(IF(R396="","",IF(R396&gt;=C396/(1-SKU_Base!AC396)/(1-Settings!$E$17),"OK",IF(R396&gt;=C396/(1-SKU_Base!AJ396)/(1-Settings!$E$17),"WARN","STOP"))),"")</f>
        <v/>
      </c>
      <c r="V396" s="159">
        <f>IFERROR(ROUND(D396*(1-CHOOSE(MATCH(IF($E396="","Основний",$E396),{"Трафіковий","Основний","Маржинальний","Сезонний","Стратегічний"},0),Settings!$F$78,Settings!$F$80,Settings!$F$82,Settings!$F$84,Settings!$F$86))/6,2)*6,"")</f>
        <v/>
      </c>
      <c r="W396" s="142">
        <f>IFERROR(CHOOSE(MATCH(IF($E396="","Основний",$E396),{"Трафіковий","Основний","Маржинальний","Сезонний","Стратегічний"},0),Settings!$F$78,Settings!$F$80,Settings!$F$82,Settings!$F$84,Settings!$F$86),"")</f>
        <v/>
      </c>
      <c r="X396" s="143">
        <f>IFERROR((V396*(1-Settings!$F$17)-C396)/(V396*(1-Settings!$F$17)),"")</f>
        <v/>
      </c>
      <c r="Y396" s="149">
        <f>IFERROR(IF(V396="","",IF(V396&gt;=C396/(1-SKU_Base!AD396)/(1-Settings!$F$17),"OK",IF(V396&gt;=C396/(1-SKU_Base!AK396)/(1-Settings!$F$17),"WARN","STOP"))),"")</f>
        <v/>
      </c>
      <c r="Z396" s="159">
        <f>IFERROR(ROUND(D396*(1-CHOOSE(MATCH(IF($E396="","Основний",$E396),{"Трафіковий","Основний","Маржинальний","Сезонний","Стратегічний"},0),Settings!$G$78,Settings!$G$80,Settings!$G$82,Settings!$G$84,Settings!$G$86))/6,2)*6,"")</f>
        <v/>
      </c>
      <c r="AA396" s="142">
        <f>IFERROR(CHOOSE(MATCH(IF($E396="","Основний",$E396),{"Трафіковий","Основний","Маржинальний","Сезонний","Стратегічний"},0),Settings!$G$78,Settings!$G$80,Settings!$G$82,Settings!$G$84,Settings!$G$86),"")</f>
        <v/>
      </c>
      <c r="AB396" s="143">
        <f>IFERROR((Z396*(1-Settings!$G$17)-C396)/(Z396*(1-Settings!$G$17)),"")</f>
        <v/>
      </c>
      <c r="AC396" s="149">
        <f>IFERROR(IF(Z396="","",IF(Z396&gt;=C396/(1-SKU_Base!AE396)/(1-Settings!$G$17),"OK",IF(Z396&gt;=C396/(1-SKU_Base!AL396)/(1-Settings!$G$17),"WARN","STOP"))),"")</f>
        <v/>
      </c>
      <c r="AD396" s="159">
        <f>IFERROR(ROUND(D396*(1-CHOOSE(MATCH(IF($E396="","Основний",$E396),{"Трафіковий","Основний","Маржинальний","Сезонний","Стратегічний"},0),Settings!$H$78,Settings!$H$80,Settings!$H$82,Settings!$H$84,Settings!$H$86))*(1-Settings!$H$68)/6,2)*6,"")</f>
        <v/>
      </c>
      <c r="AE396" s="142">
        <f>IFERROR(CHOOSE(MATCH(IF($E396="","Основний",$E396),{"Трафіковий","Основний","Маржинальний","Сезонний","Стратегічний"},0),Settings!$H$78,Settings!$H$80,Settings!$H$82,Settings!$H$84,Settings!$H$86)+(1-(CHOOSE(MATCH(IF($E396="","Основний",$E396),{"Трафіковий","Основний","Маржинальний","Сезонний","Стратегічний"},0),Settings!$H$78,Settings!$H$80,Settings!$H$82,Settings!$H$84,Settings!$H$86)))*Settings!$H$68,"")</f>
        <v/>
      </c>
      <c r="AF396" s="143">
        <f>IFERROR((AD396*(1-Settings!$H$17)-C396)/(AD396*(1-Settings!$H$17)),"")</f>
        <v/>
      </c>
      <c r="AG396" s="150">
        <f>IFERROR(IF(AD396="","",IF(AD396&gt;=C396/(1-SKU_Base!AF396)/(1-Settings!$H$17),"OK",IF(AD396&gt;=C396/(1-SKU_Base!AM396)/(1-Settings!$H$17),"WARN","STOP"))),"")</f>
        <v/>
      </c>
    </row>
    <row r="397" ht="17" customHeight="1" s="179">
      <c r="A397" s="146">
        <f>SKU_Base!B397</f>
        <v/>
      </c>
      <c r="B397" s="146">
        <f>SKU_Base!C397</f>
        <v/>
      </c>
      <c r="C397" s="147">
        <f>IFERROR(SKU_Base!I397,"")</f>
        <v/>
      </c>
      <c r="D397" s="164">
        <f>IFERROR(SKU_Base!T397,"")</f>
        <v/>
      </c>
      <c r="E397" s="141">
        <f>IFERROR(SKU_Base!$U397,"")</f>
        <v/>
      </c>
      <c r="F397" s="160">
        <f>IFERROR(ROUND(D397*(1-CHOOSE(MATCH(IF($E397="","Основний",$E397),{"Трафіковий","Основний","Маржинальний","Сезонний","Стратегічний"},0),Settings!$B$78,Settings!$B$80,Settings!$B$82,Settings!$B$84,Settings!$B$86))/6,2)*6,"")</f>
        <v/>
      </c>
      <c r="G397" s="142">
        <f>IFERROR(CHOOSE(MATCH(IF($E397="","Основний",$E397),{"Трафіковий","Основний","Маржинальний","Сезонний","Стратегічний"},0),Settings!$B$78,Settings!$B$80,Settings!$B$82,Settings!$B$84,Settings!$B$86),"")</f>
        <v/>
      </c>
      <c r="H397" s="148">
        <f>IFERROR((F397*(1-Settings!$B$17)-C397)/(F397*(1-Settings!$B$17)),"")</f>
        <v/>
      </c>
      <c r="I397" s="149">
        <f>IFERROR(IF(F397="","",IF(F397&gt;=C397/(1-SKU_Base!Z397)/(1-Settings!$B$17),"OK",IF(F397&gt;=C397/(1-SKU_Base!AG397)/(1-Settings!$B$17),"WARN","STOP"))),"")</f>
        <v/>
      </c>
      <c r="J397" s="160">
        <f>IFERROR(ROUND(D397*(1-CHOOSE(MATCH(IF($E397="","Основний",$E397),{"Трафіковий","Основний","Маржинальний","Сезонний","Стратегічний"},0),Settings!$C$78,Settings!$C$80,Settings!$C$82,Settings!$C$84,Settings!$C$86))/6,2)*6,"")</f>
        <v/>
      </c>
      <c r="K397" s="142">
        <f>IFERROR(CHOOSE(MATCH(IF($E397="","Основний",$E397),{"Трафіковий","Основний","Маржинальний","Сезонний","Стратегічний"},0),Settings!$C$78,Settings!$C$80,Settings!$C$82,Settings!$C$84,Settings!$C$86),"")</f>
        <v/>
      </c>
      <c r="L397" s="148">
        <f>IFERROR((J397*(1-Settings!$C$17)-C397)/(J397*(1-Settings!$C$17)),"")</f>
        <v/>
      </c>
      <c r="M397" s="149">
        <f>IFERROR(IF(J397="","",IF(J397&gt;=C397/(1-SKU_Base!AA397)/(1-Settings!$C$17),"OK",IF(J397&gt;=C397/(1-SKU_Base!AH397)/(1-Settings!$C$17),"WARN","STOP"))),"")</f>
        <v/>
      </c>
      <c r="N397" s="161">
        <f>IFERROR(ROUND(D397*(1-CHOOSE(MATCH(IF($E397="","Основний",$E397),{"Трафіковий","Основний","Маржинальний","Сезонний","Стратегічний"},0),Settings!$D$78,Settings!$D$80,Settings!$D$82,Settings!$D$84,Settings!$D$86))/6,2)*6,"")</f>
        <v/>
      </c>
      <c r="O397" s="142">
        <f>IFERROR(CHOOSE(MATCH(IF($E397="","Основний",$E397),{"Трафіковий","Основний","Маржинальний","Сезонний","Стратегічний"},0),Settings!$D$78,Settings!$D$80,Settings!$D$82,Settings!$D$84,Settings!$D$86),"")</f>
        <v/>
      </c>
      <c r="P397" s="148">
        <f>IFERROR((N397*(1-Settings!$D$17)-C397)/(N397*(1-Settings!$D$17)),"")</f>
        <v/>
      </c>
      <c r="Q397" s="149">
        <f>IFERROR(IF(N397="","",IF(N397&gt;=C397/(1-SKU_Base!AB397)/(1-Settings!$D$17),"OK",IF(N397&gt;=C397/(1-SKU_Base!AI397)/(1-Settings!$D$17),"WARN","STOP"))),"")</f>
        <v/>
      </c>
      <c r="R397" s="161">
        <f>IFERROR(ROUND(D397*(1-CHOOSE(MATCH(IF($E397="","Основний",$E397),{"Трафіковий","Основний","Маржинальний","Сезонний","Стратегічний"},0),Settings!$E$78,Settings!$E$80,Settings!$E$82,Settings!$E$84,Settings!$E$86))/6,2)*6,"")</f>
        <v/>
      </c>
      <c r="S397" s="142">
        <f>IFERROR(CHOOSE(MATCH(IF($E397="","Основний",$E397),{"Трафіковий","Основний","Маржинальний","Сезонний","Стратегічний"},0),Settings!$E$78,Settings!$E$80,Settings!$E$82,Settings!$E$84,Settings!$E$86),"")</f>
        <v/>
      </c>
      <c r="T397" s="148">
        <f>IFERROR((R397*(1-Settings!$E$17)-C397)/(R397*(1-Settings!$E$17)),"")</f>
        <v/>
      </c>
      <c r="U397" s="149">
        <f>IFERROR(IF(R397="","",IF(R397&gt;=C397/(1-SKU_Base!AC397)/(1-Settings!$E$17),"OK",IF(R397&gt;=C397/(1-SKU_Base!AJ397)/(1-Settings!$E$17),"WARN","STOP"))),"")</f>
        <v/>
      </c>
      <c r="V397" s="161">
        <f>IFERROR(ROUND(D397*(1-CHOOSE(MATCH(IF($E397="","Основний",$E397),{"Трафіковий","Основний","Маржинальний","Сезонний","Стратегічний"},0),Settings!$F$78,Settings!$F$80,Settings!$F$82,Settings!$F$84,Settings!$F$86))/6,2)*6,"")</f>
        <v/>
      </c>
      <c r="W397" s="142">
        <f>IFERROR(CHOOSE(MATCH(IF($E397="","Основний",$E397),{"Трафіковий","Основний","Маржинальний","Сезонний","Стратегічний"},0),Settings!$F$78,Settings!$F$80,Settings!$F$82,Settings!$F$84,Settings!$F$86),"")</f>
        <v/>
      </c>
      <c r="X397" s="148">
        <f>IFERROR((V397*(1-Settings!$F$17)-C397)/(V397*(1-Settings!$F$17)),"")</f>
        <v/>
      </c>
      <c r="Y397" s="149">
        <f>IFERROR(IF(V397="","",IF(V397&gt;=C397/(1-SKU_Base!AD397)/(1-Settings!$F$17),"OK",IF(V397&gt;=C397/(1-SKU_Base!AK397)/(1-Settings!$F$17),"WARN","STOP"))),"")</f>
        <v/>
      </c>
      <c r="Z397" s="161">
        <f>IFERROR(ROUND(D397*(1-CHOOSE(MATCH(IF($E397="","Основний",$E397),{"Трафіковий","Основний","Маржинальний","Сезонний","Стратегічний"},0),Settings!$G$78,Settings!$G$80,Settings!$G$82,Settings!$G$84,Settings!$G$86))/6,2)*6,"")</f>
        <v/>
      </c>
      <c r="AA397" s="142">
        <f>IFERROR(CHOOSE(MATCH(IF($E397="","Основний",$E397),{"Трафіковий","Основний","Маржинальний","Сезонний","Стратегічний"},0),Settings!$G$78,Settings!$G$80,Settings!$G$82,Settings!$G$84,Settings!$G$86),"")</f>
        <v/>
      </c>
      <c r="AB397" s="148">
        <f>IFERROR((Z397*(1-Settings!$G$17)-C397)/(Z397*(1-Settings!$G$17)),"")</f>
        <v/>
      </c>
      <c r="AC397" s="149">
        <f>IFERROR(IF(Z397="","",IF(Z397&gt;=C397/(1-SKU_Base!AE397)/(1-Settings!$G$17),"OK",IF(Z397&gt;=C397/(1-SKU_Base!AL397)/(1-Settings!$G$17),"WARN","STOP"))),"")</f>
        <v/>
      </c>
      <c r="AD397" s="161">
        <f>IFERROR(ROUND(D397*(1-CHOOSE(MATCH(IF($E397="","Основний",$E397),{"Трафіковий","Основний","Маржинальний","Сезонний","Стратегічний"},0),Settings!$H$78,Settings!$H$80,Settings!$H$82,Settings!$H$84,Settings!$H$86))*(1-Settings!$H$68)/6,2)*6,"")</f>
        <v/>
      </c>
      <c r="AE397" s="142">
        <f>IFERROR(CHOOSE(MATCH(IF($E397="","Основний",$E397),{"Трафіковий","Основний","Маржинальний","Сезонний","Стратегічний"},0),Settings!$H$78,Settings!$H$80,Settings!$H$82,Settings!$H$84,Settings!$H$86)+(1-(CHOOSE(MATCH(IF($E397="","Основний",$E397),{"Трафіковий","Основний","Маржинальний","Сезонний","Стратегічний"},0),Settings!$H$78,Settings!$H$80,Settings!$H$82,Settings!$H$84,Settings!$H$86)))*Settings!$H$68,"")</f>
        <v/>
      </c>
      <c r="AF397" s="148">
        <f>IFERROR((AD397*(1-Settings!$H$17)-C397)/(AD397*(1-Settings!$H$17)),"")</f>
        <v/>
      </c>
      <c r="AG397" s="149">
        <f>IFERROR(IF(AD397="","",IF(AD397&gt;=C397/(1-SKU_Base!AF397)/(1-Settings!$H$17),"OK",IF(AD397&gt;=C397/(1-SKU_Base!AM397)/(1-Settings!$H$17),"WARN","STOP"))),"")</f>
        <v/>
      </c>
    </row>
    <row r="398" ht="17" customHeight="1" s="179">
      <c r="A398" s="139">
        <f>SKU_Base!B398</f>
        <v/>
      </c>
      <c r="B398" s="139">
        <f>SKU_Base!C398</f>
        <v/>
      </c>
      <c r="C398" s="140">
        <f>IFERROR(SKU_Base!I398,"")</f>
        <v/>
      </c>
      <c r="D398" s="163">
        <f>IFERROR(SKU_Base!T398,"")</f>
        <v/>
      </c>
      <c r="E398" s="141">
        <f>IFERROR(SKU_Base!$U398,"")</f>
        <v/>
      </c>
      <c r="F398" s="158">
        <f>IFERROR(ROUND(D398*(1-CHOOSE(MATCH(IF($E398="","Основний",$E398),{"Трафіковий","Основний","Маржинальний","Сезонний","Стратегічний"},0),Settings!$B$78,Settings!$B$80,Settings!$B$82,Settings!$B$84,Settings!$B$86))/6,2)*6,"")</f>
        <v/>
      </c>
      <c r="G398" s="142">
        <f>IFERROR(CHOOSE(MATCH(IF($E398="","Основний",$E398),{"Трафіковий","Основний","Маржинальний","Сезонний","Стратегічний"},0),Settings!$B$78,Settings!$B$80,Settings!$B$82,Settings!$B$84,Settings!$B$86),"")</f>
        <v/>
      </c>
      <c r="H398" s="143">
        <f>IFERROR((F398*(1-Settings!$B$17)-C398)/(F398*(1-Settings!$B$17)),"")</f>
        <v/>
      </c>
      <c r="I398" s="150">
        <f>IFERROR(IF(F398="","",IF(F398&gt;=C398/(1-SKU_Base!Z398)/(1-Settings!$B$17),"OK",IF(F398&gt;=C398/(1-SKU_Base!AG398)/(1-Settings!$B$17),"WARN","STOP"))),"")</f>
        <v/>
      </c>
      <c r="J398" s="158">
        <f>IFERROR(ROUND(D398*(1-CHOOSE(MATCH(IF($E398="","Основний",$E398),{"Трафіковий","Основний","Маржинальний","Сезонний","Стратегічний"},0),Settings!$C$78,Settings!$C$80,Settings!$C$82,Settings!$C$84,Settings!$C$86))/6,2)*6,"")</f>
        <v/>
      </c>
      <c r="K398" s="142">
        <f>IFERROR(CHOOSE(MATCH(IF($E398="","Основний",$E398),{"Трафіковий","Основний","Маржинальний","Сезонний","Стратегічний"},0),Settings!$C$78,Settings!$C$80,Settings!$C$82,Settings!$C$84,Settings!$C$86),"")</f>
        <v/>
      </c>
      <c r="L398" s="143">
        <f>IFERROR((J398*(1-Settings!$C$17)-C398)/(J398*(1-Settings!$C$17)),"")</f>
        <v/>
      </c>
      <c r="M398" s="149">
        <f>IFERROR(IF(J398="","",IF(J398&gt;=C398/(1-SKU_Base!AA398)/(1-Settings!$C$17),"OK",IF(J398&gt;=C398/(1-SKU_Base!AH398)/(1-Settings!$C$17),"WARN","STOP"))),"")</f>
        <v/>
      </c>
      <c r="N398" s="159">
        <f>IFERROR(ROUND(D398*(1-CHOOSE(MATCH(IF($E398="","Основний",$E398),{"Трафіковий","Основний","Маржинальний","Сезонний","Стратегічний"},0),Settings!$D$78,Settings!$D$80,Settings!$D$82,Settings!$D$84,Settings!$D$86))/6,2)*6,"")</f>
        <v/>
      </c>
      <c r="O398" s="142">
        <f>IFERROR(CHOOSE(MATCH(IF($E398="","Основний",$E398),{"Трафіковий","Основний","Маржинальний","Сезонний","Стратегічний"},0),Settings!$D$78,Settings!$D$80,Settings!$D$82,Settings!$D$84,Settings!$D$86),"")</f>
        <v/>
      </c>
      <c r="P398" s="143">
        <f>IFERROR((N398*(1-Settings!$D$17)-C398)/(N398*(1-Settings!$D$17)),"")</f>
        <v/>
      </c>
      <c r="Q398" s="149">
        <f>IFERROR(IF(N398="","",IF(N398&gt;=C398/(1-SKU_Base!AB398)/(1-Settings!$D$17),"OK",IF(N398&gt;=C398/(1-SKU_Base!AI398)/(1-Settings!$D$17),"WARN","STOP"))),"")</f>
        <v/>
      </c>
      <c r="R398" s="159">
        <f>IFERROR(ROUND(D398*(1-CHOOSE(MATCH(IF($E398="","Основний",$E398),{"Трафіковий","Основний","Маржинальний","Сезонний","Стратегічний"},0),Settings!$E$78,Settings!$E$80,Settings!$E$82,Settings!$E$84,Settings!$E$86))/6,2)*6,"")</f>
        <v/>
      </c>
      <c r="S398" s="142">
        <f>IFERROR(CHOOSE(MATCH(IF($E398="","Основний",$E398),{"Трафіковий","Основний","Маржинальний","Сезонний","Стратегічний"},0),Settings!$E$78,Settings!$E$80,Settings!$E$82,Settings!$E$84,Settings!$E$86),"")</f>
        <v/>
      </c>
      <c r="T398" s="143">
        <f>IFERROR((R398*(1-Settings!$E$17)-C398)/(R398*(1-Settings!$E$17)),"")</f>
        <v/>
      </c>
      <c r="U398" s="149">
        <f>IFERROR(IF(R398="","",IF(R398&gt;=C398/(1-SKU_Base!AC398)/(1-Settings!$E$17),"OK",IF(R398&gt;=C398/(1-SKU_Base!AJ398)/(1-Settings!$E$17),"WARN","STOP"))),"")</f>
        <v/>
      </c>
      <c r="V398" s="159">
        <f>IFERROR(ROUND(D398*(1-CHOOSE(MATCH(IF($E398="","Основний",$E398),{"Трафіковий","Основний","Маржинальний","Сезонний","Стратегічний"},0),Settings!$F$78,Settings!$F$80,Settings!$F$82,Settings!$F$84,Settings!$F$86))/6,2)*6,"")</f>
        <v/>
      </c>
      <c r="W398" s="142">
        <f>IFERROR(CHOOSE(MATCH(IF($E398="","Основний",$E398),{"Трафіковий","Основний","Маржинальний","Сезонний","Стратегічний"},0),Settings!$F$78,Settings!$F$80,Settings!$F$82,Settings!$F$84,Settings!$F$86),"")</f>
        <v/>
      </c>
      <c r="X398" s="143">
        <f>IFERROR((V398*(1-Settings!$F$17)-C398)/(V398*(1-Settings!$F$17)),"")</f>
        <v/>
      </c>
      <c r="Y398" s="149">
        <f>IFERROR(IF(V398="","",IF(V398&gt;=C398/(1-SKU_Base!AD398)/(1-Settings!$F$17),"OK",IF(V398&gt;=C398/(1-SKU_Base!AK398)/(1-Settings!$F$17),"WARN","STOP"))),"")</f>
        <v/>
      </c>
      <c r="Z398" s="159">
        <f>IFERROR(ROUND(D398*(1-CHOOSE(MATCH(IF($E398="","Основний",$E398),{"Трафіковий","Основний","Маржинальний","Сезонний","Стратегічний"},0),Settings!$G$78,Settings!$G$80,Settings!$G$82,Settings!$G$84,Settings!$G$86))/6,2)*6,"")</f>
        <v/>
      </c>
      <c r="AA398" s="142">
        <f>IFERROR(CHOOSE(MATCH(IF($E398="","Основний",$E398),{"Трафіковий","Основний","Маржинальний","Сезонний","Стратегічний"},0),Settings!$G$78,Settings!$G$80,Settings!$G$82,Settings!$G$84,Settings!$G$86),"")</f>
        <v/>
      </c>
      <c r="AB398" s="143">
        <f>IFERROR((Z398*(1-Settings!$G$17)-C398)/(Z398*(1-Settings!$G$17)),"")</f>
        <v/>
      </c>
      <c r="AC398" s="149">
        <f>IFERROR(IF(Z398="","",IF(Z398&gt;=C398/(1-SKU_Base!AE398)/(1-Settings!$G$17),"OK",IF(Z398&gt;=C398/(1-SKU_Base!AL398)/(1-Settings!$G$17),"WARN","STOP"))),"")</f>
        <v/>
      </c>
      <c r="AD398" s="159">
        <f>IFERROR(ROUND(D398*(1-CHOOSE(MATCH(IF($E398="","Основний",$E398),{"Трафіковий","Основний","Маржинальний","Сезонний","Стратегічний"},0),Settings!$H$78,Settings!$H$80,Settings!$H$82,Settings!$H$84,Settings!$H$86))*(1-Settings!$H$68)/6,2)*6,"")</f>
        <v/>
      </c>
      <c r="AE398" s="142">
        <f>IFERROR(CHOOSE(MATCH(IF($E398="","Основний",$E398),{"Трафіковий","Основний","Маржинальний","Сезонний","Стратегічний"},0),Settings!$H$78,Settings!$H$80,Settings!$H$82,Settings!$H$84,Settings!$H$86)+(1-(CHOOSE(MATCH(IF($E398="","Основний",$E398),{"Трафіковий","Основний","Маржинальний","Сезонний","Стратегічний"},0),Settings!$H$78,Settings!$H$80,Settings!$H$82,Settings!$H$84,Settings!$H$86)))*Settings!$H$68,"")</f>
        <v/>
      </c>
      <c r="AF398" s="143">
        <f>IFERROR((AD398*(1-Settings!$H$17)-C398)/(AD398*(1-Settings!$H$17)),"")</f>
        <v/>
      </c>
      <c r="AG398" s="150">
        <f>IFERROR(IF(AD398="","",IF(AD398&gt;=C398/(1-SKU_Base!AF398)/(1-Settings!$H$17),"OK",IF(AD398&gt;=C398/(1-SKU_Base!AM398)/(1-Settings!$H$17),"WARN","STOP"))),"")</f>
        <v/>
      </c>
    </row>
    <row r="399" ht="17" customHeight="1" s="179">
      <c r="A399" s="146">
        <f>SKU_Base!B399</f>
        <v/>
      </c>
      <c r="B399" s="146">
        <f>SKU_Base!C399</f>
        <v/>
      </c>
      <c r="C399" s="147">
        <f>IFERROR(SKU_Base!I399,"")</f>
        <v/>
      </c>
      <c r="D399" s="164">
        <f>IFERROR(SKU_Base!T399,"")</f>
        <v/>
      </c>
      <c r="E399" s="141">
        <f>IFERROR(SKU_Base!$U399,"")</f>
        <v/>
      </c>
      <c r="F399" s="160">
        <f>IFERROR(ROUND(D399*(1-CHOOSE(MATCH(IF($E399="","Основний",$E399),{"Трафіковий","Основний","Маржинальний","Сезонний","Стратегічний"},0),Settings!$B$78,Settings!$B$80,Settings!$B$82,Settings!$B$84,Settings!$B$86))/6,2)*6,"")</f>
        <v/>
      </c>
      <c r="G399" s="142">
        <f>IFERROR(CHOOSE(MATCH(IF($E399="","Основний",$E399),{"Трафіковий","Основний","Маржинальний","Сезонний","Стратегічний"},0),Settings!$B$78,Settings!$B$80,Settings!$B$82,Settings!$B$84,Settings!$B$86),"")</f>
        <v/>
      </c>
      <c r="H399" s="148">
        <f>IFERROR((F399*(1-Settings!$B$17)-C399)/(F399*(1-Settings!$B$17)),"")</f>
        <v/>
      </c>
      <c r="I399" s="149">
        <f>IFERROR(IF(F399="","",IF(F399&gt;=C399/(1-SKU_Base!Z399)/(1-Settings!$B$17),"OK",IF(F399&gt;=C399/(1-SKU_Base!AG399)/(1-Settings!$B$17),"WARN","STOP"))),"")</f>
        <v/>
      </c>
      <c r="J399" s="160">
        <f>IFERROR(ROUND(D399*(1-CHOOSE(MATCH(IF($E399="","Основний",$E399),{"Трафіковий","Основний","Маржинальний","Сезонний","Стратегічний"},0),Settings!$C$78,Settings!$C$80,Settings!$C$82,Settings!$C$84,Settings!$C$86))/6,2)*6,"")</f>
        <v/>
      </c>
      <c r="K399" s="142">
        <f>IFERROR(CHOOSE(MATCH(IF($E399="","Основний",$E399),{"Трафіковий","Основний","Маржинальний","Сезонний","Стратегічний"},0),Settings!$C$78,Settings!$C$80,Settings!$C$82,Settings!$C$84,Settings!$C$86),"")</f>
        <v/>
      </c>
      <c r="L399" s="148">
        <f>IFERROR((J399*(1-Settings!$C$17)-C399)/(J399*(1-Settings!$C$17)),"")</f>
        <v/>
      </c>
      <c r="M399" s="149">
        <f>IFERROR(IF(J399="","",IF(J399&gt;=C399/(1-SKU_Base!AA399)/(1-Settings!$C$17),"OK",IF(J399&gt;=C399/(1-SKU_Base!AH399)/(1-Settings!$C$17),"WARN","STOP"))),"")</f>
        <v/>
      </c>
      <c r="N399" s="161">
        <f>IFERROR(ROUND(D399*(1-CHOOSE(MATCH(IF($E399="","Основний",$E399),{"Трафіковий","Основний","Маржинальний","Сезонний","Стратегічний"},0),Settings!$D$78,Settings!$D$80,Settings!$D$82,Settings!$D$84,Settings!$D$86))/6,2)*6,"")</f>
        <v/>
      </c>
      <c r="O399" s="142">
        <f>IFERROR(CHOOSE(MATCH(IF($E399="","Основний",$E399),{"Трафіковий","Основний","Маржинальний","Сезонний","Стратегічний"},0),Settings!$D$78,Settings!$D$80,Settings!$D$82,Settings!$D$84,Settings!$D$86),"")</f>
        <v/>
      </c>
      <c r="P399" s="148">
        <f>IFERROR((N399*(1-Settings!$D$17)-C399)/(N399*(1-Settings!$D$17)),"")</f>
        <v/>
      </c>
      <c r="Q399" s="149">
        <f>IFERROR(IF(N399="","",IF(N399&gt;=C399/(1-SKU_Base!AB399)/(1-Settings!$D$17),"OK",IF(N399&gt;=C399/(1-SKU_Base!AI399)/(1-Settings!$D$17),"WARN","STOP"))),"")</f>
        <v/>
      </c>
      <c r="R399" s="161">
        <f>IFERROR(ROUND(D399*(1-CHOOSE(MATCH(IF($E399="","Основний",$E399),{"Трафіковий","Основний","Маржинальний","Сезонний","Стратегічний"},0),Settings!$E$78,Settings!$E$80,Settings!$E$82,Settings!$E$84,Settings!$E$86))/6,2)*6,"")</f>
        <v/>
      </c>
      <c r="S399" s="142">
        <f>IFERROR(CHOOSE(MATCH(IF($E399="","Основний",$E399),{"Трафіковий","Основний","Маржинальний","Сезонний","Стратегічний"},0),Settings!$E$78,Settings!$E$80,Settings!$E$82,Settings!$E$84,Settings!$E$86),"")</f>
        <v/>
      </c>
      <c r="T399" s="148">
        <f>IFERROR((R399*(1-Settings!$E$17)-C399)/(R399*(1-Settings!$E$17)),"")</f>
        <v/>
      </c>
      <c r="U399" s="149">
        <f>IFERROR(IF(R399="","",IF(R399&gt;=C399/(1-SKU_Base!AC399)/(1-Settings!$E$17),"OK",IF(R399&gt;=C399/(1-SKU_Base!AJ399)/(1-Settings!$E$17),"WARN","STOP"))),"")</f>
        <v/>
      </c>
      <c r="V399" s="161">
        <f>IFERROR(ROUND(D399*(1-CHOOSE(MATCH(IF($E399="","Основний",$E399),{"Трафіковий","Основний","Маржинальний","Сезонний","Стратегічний"},0),Settings!$F$78,Settings!$F$80,Settings!$F$82,Settings!$F$84,Settings!$F$86))/6,2)*6,"")</f>
        <v/>
      </c>
      <c r="W399" s="142">
        <f>IFERROR(CHOOSE(MATCH(IF($E399="","Основний",$E399),{"Трафіковий","Основний","Маржинальний","Сезонний","Стратегічний"},0),Settings!$F$78,Settings!$F$80,Settings!$F$82,Settings!$F$84,Settings!$F$86),"")</f>
        <v/>
      </c>
      <c r="X399" s="148">
        <f>IFERROR((V399*(1-Settings!$F$17)-C399)/(V399*(1-Settings!$F$17)),"")</f>
        <v/>
      </c>
      <c r="Y399" s="149">
        <f>IFERROR(IF(V399="","",IF(V399&gt;=C399/(1-SKU_Base!AD399)/(1-Settings!$F$17),"OK",IF(V399&gt;=C399/(1-SKU_Base!AK399)/(1-Settings!$F$17),"WARN","STOP"))),"")</f>
        <v/>
      </c>
      <c r="Z399" s="161">
        <f>IFERROR(ROUND(D399*(1-CHOOSE(MATCH(IF($E399="","Основний",$E399),{"Трафіковий","Основний","Маржинальний","Сезонний","Стратегічний"},0),Settings!$G$78,Settings!$G$80,Settings!$G$82,Settings!$G$84,Settings!$G$86))/6,2)*6,"")</f>
        <v/>
      </c>
      <c r="AA399" s="142">
        <f>IFERROR(CHOOSE(MATCH(IF($E399="","Основний",$E399),{"Трафіковий","Основний","Маржинальний","Сезонний","Стратегічний"},0),Settings!$G$78,Settings!$G$80,Settings!$G$82,Settings!$G$84,Settings!$G$86),"")</f>
        <v/>
      </c>
      <c r="AB399" s="148">
        <f>IFERROR((Z399*(1-Settings!$G$17)-C399)/(Z399*(1-Settings!$G$17)),"")</f>
        <v/>
      </c>
      <c r="AC399" s="149">
        <f>IFERROR(IF(Z399="","",IF(Z399&gt;=C399/(1-SKU_Base!AE399)/(1-Settings!$G$17),"OK",IF(Z399&gt;=C399/(1-SKU_Base!AL399)/(1-Settings!$G$17),"WARN","STOP"))),"")</f>
        <v/>
      </c>
      <c r="AD399" s="161">
        <f>IFERROR(ROUND(D399*(1-CHOOSE(MATCH(IF($E399="","Основний",$E399),{"Трафіковий","Основний","Маржинальний","Сезонний","Стратегічний"},0),Settings!$H$78,Settings!$H$80,Settings!$H$82,Settings!$H$84,Settings!$H$86))*(1-Settings!$H$68)/6,2)*6,"")</f>
        <v/>
      </c>
      <c r="AE399" s="142">
        <f>IFERROR(CHOOSE(MATCH(IF($E399="","Основний",$E399),{"Трафіковий","Основний","Маржинальний","Сезонний","Стратегічний"},0),Settings!$H$78,Settings!$H$80,Settings!$H$82,Settings!$H$84,Settings!$H$86)+(1-(CHOOSE(MATCH(IF($E399="","Основний",$E399),{"Трафіковий","Основний","Маржинальний","Сезонний","Стратегічний"},0),Settings!$H$78,Settings!$H$80,Settings!$H$82,Settings!$H$84,Settings!$H$86)))*Settings!$H$68,"")</f>
        <v/>
      </c>
      <c r="AF399" s="148">
        <f>IFERROR((AD399*(1-Settings!$H$17)-C399)/(AD399*(1-Settings!$H$17)),"")</f>
        <v/>
      </c>
      <c r="AG399" s="150">
        <f>IFERROR(IF(AD399="","",IF(AD399&gt;=C399/(1-SKU_Base!AF399)/(1-Settings!$H$17),"OK",IF(AD399&gt;=C399/(1-SKU_Base!AM399)/(1-Settings!$H$17),"WARN","STOP"))),"")</f>
        <v/>
      </c>
    </row>
    <row r="400" ht="17" customHeight="1" s="179">
      <c r="A400" s="139">
        <f>SKU_Base!B400</f>
        <v/>
      </c>
      <c r="B400" s="139">
        <f>SKU_Base!C400</f>
        <v/>
      </c>
      <c r="C400" s="140">
        <f>IFERROR(SKU_Base!I400,"")</f>
        <v/>
      </c>
      <c r="D400" s="163">
        <f>IFERROR(SKU_Base!T400,"")</f>
        <v/>
      </c>
      <c r="E400" s="141">
        <f>IFERROR(SKU_Base!$U400,"")</f>
        <v/>
      </c>
      <c r="F400" s="158">
        <f>IFERROR(ROUND(D400*(1-CHOOSE(MATCH(IF($E400="","Основний",$E400),{"Трафіковий","Основний","Маржинальний","Сезонний","Стратегічний"},0),Settings!$B$78,Settings!$B$80,Settings!$B$82,Settings!$B$84,Settings!$B$86))/6,2)*6,"")</f>
        <v/>
      </c>
      <c r="G400" s="142">
        <f>IFERROR(CHOOSE(MATCH(IF($E400="","Основний",$E400),{"Трафіковий","Основний","Маржинальний","Сезонний","Стратегічний"},0),Settings!$B$78,Settings!$B$80,Settings!$B$82,Settings!$B$84,Settings!$B$86),"")</f>
        <v/>
      </c>
      <c r="H400" s="143">
        <f>IFERROR((F400*(1-Settings!$B$17)-C400)/(F400*(1-Settings!$B$17)),"")</f>
        <v/>
      </c>
      <c r="I400" s="149">
        <f>IFERROR(IF(F400="","",IF(F400&gt;=C400/(1-SKU_Base!Z400)/(1-Settings!$B$17),"OK",IF(F400&gt;=C400/(1-SKU_Base!AG400)/(1-Settings!$B$17),"WARN","STOP"))),"")</f>
        <v/>
      </c>
      <c r="J400" s="158">
        <f>IFERROR(ROUND(D400*(1-CHOOSE(MATCH(IF($E400="","Основний",$E400),{"Трафіковий","Основний","Маржинальний","Сезонний","Стратегічний"},0),Settings!$C$78,Settings!$C$80,Settings!$C$82,Settings!$C$84,Settings!$C$86))/6,2)*6,"")</f>
        <v/>
      </c>
      <c r="K400" s="142">
        <f>IFERROR(CHOOSE(MATCH(IF($E400="","Основний",$E400),{"Трафіковий","Основний","Маржинальний","Сезонний","Стратегічний"},0),Settings!$C$78,Settings!$C$80,Settings!$C$82,Settings!$C$84,Settings!$C$86),"")</f>
        <v/>
      </c>
      <c r="L400" s="143">
        <f>IFERROR((J400*(1-Settings!$C$17)-C400)/(J400*(1-Settings!$C$17)),"")</f>
        <v/>
      </c>
      <c r="M400" s="149">
        <f>IFERROR(IF(J400="","",IF(J400&gt;=C400/(1-SKU_Base!AA400)/(1-Settings!$C$17),"OK",IF(J400&gt;=C400/(1-SKU_Base!AH400)/(1-Settings!$C$17),"WARN","STOP"))),"")</f>
        <v/>
      </c>
      <c r="N400" s="159">
        <f>IFERROR(ROUND(D400*(1-CHOOSE(MATCH(IF($E400="","Основний",$E400),{"Трафіковий","Основний","Маржинальний","Сезонний","Стратегічний"},0),Settings!$D$78,Settings!$D$80,Settings!$D$82,Settings!$D$84,Settings!$D$86))/6,2)*6,"")</f>
        <v/>
      </c>
      <c r="O400" s="142">
        <f>IFERROR(CHOOSE(MATCH(IF($E400="","Основний",$E400),{"Трафіковий","Основний","Маржинальний","Сезонний","Стратегічний"},0),Settings!$D$78,Settings!$D$80,Settings!$D$82,Settings!$D$84,Settings!$D$86),"")</f>
        <v/>
      </c>
      <c r="P400" s="143">
        <f>IFERROR((N400*(1-Settings!$D$17)-C400)/(N400*(1-Settings!$D$17)),"")</f>
        <v/>
      </c>
      <c r="Q400" s="149">
        <f>IFERROR(IF(N400="","",IF(N400&gt;=C400/(1-SKU_Base!AB400)/(1-Settings!$D$17),"OK",IF(N400&gt;=C400/(1-SKU_Base!AI400)/(1-Settings!$D$17),"WARN","STOP"))),"")</f>
        <v/>
      </c>
      <c r="R400" s="159">
        <f>IFERROR(ROUND(D400*(1-CHOOSE(MATCH(IF($E400="","Основний",$E400),{"Трафіковий","Основний","Маржинальний","Сезонний","Стратегічний"},0),Settings!$E$78,Settings!$E$80,Settings!$E$82,Settings!$E$84,Settings!$E$86))/6,2)*6,"")</f>
        <v/>
      </c>
      <c r="S400" s="142">
        <f>IFERROR(CHOOSE(MATCH(IF($E400="","Основний",$E400),{"Трафіковий","Основний","Маржинальний","Сезонний","Стратегічний"},0),Settings!$E$78,Settings!$E$80,Settings!$E$82,Settings!$E$84,Settings!$E$86),"")</f>
        <v/>
      </c>
      <c r="T400" s="143">
        <f>IFERROR((R400*(1-Settings!$E$17)-C400)/(R400*(1-Settings!$E$17)),"")</f>
        <v/>
      </c>
      <c r="U400" s="149">
        <f>IFERROR(IF(R400="","",IF(R400&gt;=C400/(1-SKU_Base!AC400)/(1-Settings!$E$17),"OK",IF(R400&gt;=C400/(1-SKU_Base!AJ400)/(1-Settings!$E$17),"WARN","STOP"))),"")</f>
        <v/>
      </c>
      <c r="V400" s="159">
        <f>IFERROR(ROUND(D400*(1-CHOOSE(MATCH(IF($E400="","Основний",$E400),{"Трафіковий","Основний","Маржинальний","Сезонний","Стратегічний"},0),Settings!$F$78,Settings!$F$80,Settings!$F$82,Settings!$F$84,Settings!$F$86))/6,2)*6,"")</f>
        <v/>
      </c>
      <c r="W400" s="142">
        <f>IFERROR(CHOOSE(MATCH(IF($E400="","Основний",$E400),{"Трафіковий","Основний","Маржинальний","Сезонний","Стратегічний"},0),Settings!$F$78,Settings!$F$80,Settings!$F$82,Settings!$F$84,Settings!$F$86),"")</f>
        <v/>
      </c>
      <c r="X400" s="143">
        <f>IFERROR((V400*(1-Settings!$F$17)-C400)/(V400*(1-Settings!$F$17)),"")</f>
        <v/>
      </c>
      <c r="Y400" s="149">
        <f>IFERROR(IF(V400="","",IF(V400&gt;=C400/(1-SKU_Base!AD400)/(1-Settings!$F$17),"OK",IF(V400&gt;=C400/(1-SKU_Base!AK400)/(1-Settings!$F$17),"WARN","STOP"))),"")</f>
        <v/>
      </c>
      <c r="Z400" s="159">
        <f>IFERROR(ROUND(D400*(1-CHOOSE(MATCH(IF($E400="","Основний",$E400),{"Трафіковий","Основний","Маржинальний","Сезонний","Стратегічний"},0),Settings!$G$78,Settings!$G$80,Settings!$G$82,Settings!$G$84,Settings!$G$86))/6,2)*6,"")</f>
        <v/>
      </c>
      <c r="AA400" s="142">
        <f>IFERROR(CHOOSE(MATCH(IF($E400="","Основний",$E400),{"Трафіковий","Основний","Маржинальний","Сезонний","Стратегічний"},0),Settings!$G$78,Settings!$G$80,Settings!$G$82,Settings!$G$84,Settings!$G$86),"")</f>
        <v/>
      </c>
      <c r="AB400" s="143">
        <f>IFERROR((Z400*(1-Settings!$G$17)-C400)/(Z400*(1-Settings!$G$17)),"")</f>
        <v/>
      </c>
      <c r="AC400" s="149">
        <f>IFERROR(IF(Z400="","",IF(Z400&gt;=C400/(1-SKU_Base!AE400)/(1-Settings!$G$17),"OK",IF(Z400&gt;=C400/(1-SKU_Base!AL400)/(1-Settings!$G$17),"WARN","STOP"))),"")</f>
        <v/>
      </c>
      <c r="AD400" s="159">
        <f>IFERROR(ROUND(D400*(1-CHOOSE(MATCH(IF($E400="","Основний",$E400),{"Трафіковий","Основний","Маржинальний","Сезонний","Стратегічний"},0),Settings!$H$78,Settings!$H$80,Settings!$H$82,Settings!$H$84,Settings!$H$86))*(1-Settings!$H$68)/6,2)*6,"")</f>
        <v/>
      </c>
      <c r="AE400" s="142">
        <f>IFERROR(CHOOSE(MATCH(IF($E400="","Основний",$E400),{"Трафіковий","Основний","Маржинальний","Сезонний","Стратегічний"},0),Settings!$H$78,Settings!$H$80,Settings!$H$82,Settings!$H$84,Settings!$H$86)+(1-(CHOOSE(MATCH(IF($E400="","Основний",$E400),{"Трафіковий","Основний","Маржинальний","Сезонний","Стратегічний"},0),Settings!$H$78,Settings!$H$80,Settings!$H$82,Settings!$H$84,Settings!$H$86)))*Settings!$H$68,"")</f>
        <v/>
      </c>
      <c r="AF400" s="143">
        <f>IFERROR((AD400*(1-Settings!$H$17)-C400)/(AD400*(1-Settings!$H$17)),"")</f>
        <v/>
      </c>
      <c r="AG400" s="150">
        <f>IFERROR(IF(AD400="","",IF(AD400&gt;=C400/(1-SKU_Base!AF400)/(1-Settings!$H$17),"OK",IF(AD400&gt;=C400/(1-SKU_Base!AM400)/(1-Settings!$H$17),"WARN","STOP"))),"")</f>
        <v/>
      </c>
    </row>
    <row r="401" ht="17" customHeight="1" s="179">
      <c r="A401" s="146">
        <f>SKU_Base!B401</f>
        <v/>
      </c>
      <c r="B401" s="146">
        <f>SKU_Base!C401</f>
        <v/>
      </c>
      <c r="C401" s="147">
        <f>IFERROR(SKU_Base!I401,"")</f>
        <v/>
      </c>
      <c r="D401" s="164">
        <f>IFERROR(SKU_Base!T401,"")</f>
        <v/>
      </c>
      <c r="E401" s="141">
        <f>IFERROR(SKU_Base!$U401,"")</f>
        <v/>
      </c>
      <c r="F401" s="160">
        <f>IFERROR(ROUND(D401*(1-CHOOSE(MATCH(IF($E401="","Основний",$E401),{"Трафіковий","Основний","Маржинальний","Сезонний","Стратегічний"},0),Settings!$B$78,Settings!$B$80,Settings!$B$82,Settings!$B$84,Settings!$B$86))/6,2)*6,"")</f>
        <v/>
      </c>
      <c r="G401" s="142">
        <f>IFERROR(CHOOSE(MATCH(IF($E401="","Основний",$E401),{"Трафіковий","Основний","Маржинальний","Сезонний","Стратегічний"},0),Settings!$B$78,Settings!$B$80,Settings!$B$82,Settings!$B$84,Settings!$B$86),"")</f>
        <v/>
      </c>
      <c r="H401" s="148">
        <f>IFERROR((F401*(1-Settings!$B$17)-C401)/(F401*(1-Settings!$B$17)),"")</f>
        <v/>
      </c>
      <c r="I401" s="150">
        <f>IFERROR(IF(F401="","",IF(F401&gt;=C401/(1-SKU_Base!Z401)/(1-Settings!$B$17),"OK",IF(F401&gt;=C401/(1-SKU_Base!AG401)/(1-Settings!$B$17),"WARN","STOP"))),"")</f>
        <v/>
      </c>
      <c r="J401" s="160">
        <f>IFERROR(ROUND(D401*(1-CHOOSE(MATCH(IF($E401="","Основний",$E401),{"Трафіковий","Основний","Маржинальний","Сезонний","Стратегічний"},0),Settings!$C$78,Settings!$C$80,Settings!$C$82,Settings!$C$84,Settings!$C$86))/6,2)*6,"")</f>
        <v/>
      </c>
      <c r="K401" s="142">
        <f>IFERROR(CHOOSE(MATCH(IF($E401="","Основний",$E401),{"Трафіковий","Основний","Маржинальний","Сезонний","Стратегічний"},0),Settings!$C$78,Settings!$C$80,Settings!$C$82,Settings!$C$84,Settings!$C$86),"")</f>
        <v/>
      </c>
      <c r="L401" s="148">
        <f>IFERROR((J401*(1-Settings!$C$17)-C401)/(J401*(1-Settings!$C$17)),"")</f>
        <v/>
      </c>
      <c r="M401" s="149">
        <f>IFERROR(IF(J401="","",IF(J401&gt;=C401/(1-SKU_Base!AA401)/(1-Settings!$C$17),"OK",IF(J401&gt;=C401/(1-SKU_Base!AH401)/(1-Settings!$C$17),"WARN","STOP"))),"")</f>
        <v/>
      </c>
      <c r="N401" s="161">
        <f>IFERROR(ROUND(D401*(1-CHOOSE(MATCH(IF($E401="","Основний",$E401),{"Трафіковий","Основний","Маржинальний","Сезонний","Стратегічний"},0),Settings!$D$78,Settings!$D$80,Settings!$D$82,Settings!$D$84,Settings!$D$86))/6,2)*6,"")</f>
        <v/>
      </c>
      <c r="O401" s="142">
        <f>IFERROR(CHOOSE(MATCH(IF($E401="","Основний",$E401),{"Трафіковий","Основний","Маржинальний","Сезонний","Стратегічний"},0),Settings!$D$78,Settings!$D$80,Settings!$D$82,Settings!$D$84,Settings!$D$86),"")</f>
        <v/>
      </c>
      <c r="P401" s="148">
        <f>IFERROR((N401*(1-Settings!$D$17)-C401)/(N401*(1-Settings!$D$17)),"")</f>
        <v/>
      </c>
      <c r="Q401" s="149">
        <f>IFERROR(IF(N401="","",IF(N401&gt;=C401/(1-SKU_Base!AB401)/(1-Settings!$D$17),"OK",IF(N401&gt;=C401/(1-SKU_Base!AI401)/(1-Settings!$D$17),"WARN","STOP"))),"")</f>
        <v/>
      </c>
      <c r="R401" s="161">
        <f>IFERROR(ROUND(D401*(1-CHOOSE(MATCH(IF($E401="","Основний",$E401),{"Трафіковий","Основний","Маржинальний","Сезонний","Стратегічний"},0),Settings!$E$78,Settings!$E$80,Settings!$E$82,Settings!$E$84,Settings!$E$86))/6,2)*6,"")</f>
        <v/>
      </c>
      <c r="S401" s="142">
        <f>IFERROR(CHOOSE(MATCH(IF($E401="","Основний",$E401),{"Трафіковий","Основний","Маржинальний","Сезонний","Стратегічний"},0),Settings!$E$78,Settings!$E$80,Settings!$E$82,Settings!$E$84,Settings!$E$86),"")</f>
        <v/>
      </c>
      <c r="T401" s="148">
        <f>IFERROR((R401*(1-Settings!$E$17)-C401)/(R401*(1-Settings!$E$17)),"")</f>
        <v/>
      </c>
      <c r="U401" s="149">
        <f>IFERROR(IF(R401="","",IF(R401&gt;=C401/(1-SKU_Base!AC401)/(1-Settings!$E$17),"OK",IF(R401&gt;=C401/(1-SKU_Base!AJ401)/(1-Settings!$E$17),"WARN","STOP"))),"")</f>
        <v/>
      </c>
      <c r="V401" s="161">
        <f>IFERROR(ROUND(D401*(1-CHOOSE(MATCH(IF($E401="","Основний",$E401),{"Трафіковий","Основний","Маржинальний","Сезонний","Стратегічний"},0),Settings!$F$78,Settings!$F$80,Settings!$F$82,Settings!$F$84,Settings!$F$86))/6,2)*6,"")</f>
        <v/>
      </c>
      <c r="W401" s="142">
        <f>IFERROR(CHOOSE(MATCH(IF($E401="","Основний",$E401),{"Трафіковий","Основний","Маржинальний","Сезонний","Стратегічний"},0),Settings!$F$78,Settings!$F$80,Settings!$F$82,Settings!$F$84,Settings!$F$86),"")</f>
        <v/>
      </c>
      <c r="X401" s="148">
        <f>IFERROR((V401*(1-Settings!$F$17)-C401)/(V401*(1-Settings!$F$17)),"")</f>
        <v/>
      </c>
      <c r="Y401" s="149">
        <f>IFERROR(IF(V401="","",IF(V401&gt;=C401/(1-SKU_Base!AD401)/(1-Settings!$F$17),"OK",IF(V401&gt;=C401/(1-SKU_Base!AK401)/(1-Settings!$F$17),"WARN","STOP"))),"")</f>
        <v/>
      </c>
      <c r="Z401" s="161">
        <f>IFERROR(ROUND(D401*(1-CHOOSE(MATCH(IF($E401="","Основний",$E401),{"Трафіковий","Основний","Маржинальний","Сезонний","Стратегічний"},0),Settings!$G$78,Settings!$G$80,Settings!$G$82,Settings!$G$84,Settings!$G$86))/6,2)*6,"")</f>
        <v/>
      </c>
      <c r="AA401" s="142">
        <f>IFERROR(CHOOSE(MATCH(IF($E401="","Основний",$E401),{"Трафіковий","Основний","Маржинальний","Сезонний","Стратегічний"},0),Settings!$G$78,Settings!$G$80,Settings!$G$82,Settings!$G$84,Settings!$G$86),"")</f>
        <v/>
      </c>
      <c r="AB401" s="148">
        <f>IFERROR((Z401*(1-Settings!$G$17)-C401)/(Z401*(1-Settings!$G$17)),"")</f>
        <v/>
      </c>
      <c r="AC401" s="149">
        <f>IFERROR(IF(Z401="","",IF(Z401&gt;=C401/(1-SKU_Base!AE401)/(1-Settings!$G$17),"OK",IF(Z401&gt;=C401/(1-SKU_Base!AL401)/(1-Settings!$G$17),"WARN","STOP"))),"")</f>
        <v/>
      </c>
      <c r="AD401" s="161">
        <f>IFERROR(ROUND(D401*(1-CHOOSE(MATCH(IF($E401="","Основний",$E401),{"Трафіковий","Основний","Маржинальний","Сезонний","Стратегічний"},0),Settings!$H$78,Settings!$H$80,Settings!$H$82,Settings!$H$84,Settings!$H$86))*(1-Settings!$H$68)/6,2)*6,"")</f>
        <v/>
      </c>
      <c r="AE401" s="142">
        <f>IFERROR(CHOOSE(MATCH(IF($E401="","Основний",$E401),{"Трафіковий","Основний","Маржинальний","Сезонний","Стратегічний"},0),Settings!$H$78,Settings!$H$80,Settings!$H$82,Settings!$H$84,Settings!$H$86)+(1-(CHOOSE(MATCH(IF($E401="","Основний",$E401),{"Трафіковий","Основний","Маржинальний","Сезонний","Стратегічний"},0),Settings!$H$78,Settings!$H$80,Settings!$H$82,Settings!$H$84,Settings!$H$86)))*Settings!$H$68,"")</f>
        <v/>
      </c>
      <c r="AF401" s="148">
        <f>IFERROR((AD401*(1-Settings!$H$17)-C401)/(AD401*(1-Settings!$H$17)),"")</f>
        <v/>
      </c>
      <c r="AG401" s="150">
        <f>IFERROR(IF(AD401="","",IF(AD401&gt;=C401/(1-SKU_Base!AF401)/(1-Settings!$H$17),"OK",IF(AD401&gt;=C401/(1-SKU_Base!AM401)/(1-Settings!$H$17),"WARN","STOP"))),"")</f>
        <v/>
      </c>
    </row>
    <row r="402" ht="17" customHeight="1" s="179">
      <c r="A402" s="139">
        <f>SKU_Base!B402</f>
        <v/>
      </c>
      <c r="B402" s="139">
        <f>SKU_Base!C402</f>
        <v/>
      </c>
      <c r="C402" s="140">
        <f>IFERROR(SKU_Base!I402,"")</f>
        <v/>
      </c>
      <c r="D402" s="163">
        <f>IFERROR(SKU_Base!T402,"")</f>
        <v/>
      </c>
      <c r="E402" s="141">
        <f>IFERROR(SKU_Base!$U402,"")</f>
        <v/>
      </c>
      <c r="F402" s="158">
        <f>IFERROR(ROUND(D402*(1-CHOOSE(MATCH(IF($E402="","Основний",$E402),{"Трафіковий","Основний","Маржинальний","Сезонний","Стратегічний"},0),Settings!$B$78,Settings!$B$80,Settings!$B$82,Settings!$B$84,Settings!$B$86))/6,2)*6,"")</f>
        <v/>
      </c>
      <c r="G402" s="142">
        <f>IFERROR(CHOOSE(MATCH(IF($E402="","Основний",$E402),{"Трафіковий","Основний","Маржинальний","Сезонний","Стратегічний"},0),Settings!$B$78,Settings!$B$80,Settings!$B$82,Settings!$B$84,Settings!$B$86),"")</f>
        <v/>
      </c>
      <c r="H402" s="143">
        <f>IFERROR((F402*(1-Settings!$B$17)-C402)/(F402*(1-Settings!$B$17)),"")</f>
        <v/>
      </c>
      <c r="I402" s="149">
        <f>IFERROR(IF(F402="","",IF(F402&gt;=C402/(1-SKU_Base!Z402)/(1-Settings!$B$17),"OK",IF(F402&gt;=C402/(1-SKU_Base!AG402)/(1-Settings!$B$17),"WARN","STOP"))),"")</f>
        <v/>
      </c>
      <c r="J402" s="158">
        <f>IFERROR(ROUND(D402*(1-CHOOSE(MATCH(IF($E402="","Основний",$E402),{"Трафіковий","Основний","Маржинальний","Сезонний","Стратегічний"},0),Settings!$C$78,Settings!$C$80,Settings!$C$82,Settings!$C$84,Settings!$C$86))/6,2)*6,"")</f>
        <v/>
      </c>
      <c r="K402" s="142">
        <f>IFERROR(CHOOSE(MATCH(IF($E402="","Основний",$E402),{"Трафіковий","Основний","Маржинальний","Сезонний","Стратегічний"},0),Settings!$C$78,Settings!$C$80,Settings!$C$82,Settings!$C$84,Settings!$C$86),"")</f>
        <v/>
      </c>
      <c r="L402" s="143">
        <f>IFERROR((J402*(1-Settings!$C$17)-C402)/(J402*(1-Settings!$C$17)),"")</f>
        <v/>
      </c>
      <c r="M402" s="149">
        <f>IFERROR(IF(J402="","",IF(J402&gt;=C402/(1-SKU_Base!AA402)/(1-Settings!$C$17),"OK",IF(J402&gt;=C402/(1-SKU_Base!AH402)/(1-Settings!$C$17),"WARN","STOP"))),"")</f>
        <v/>
      </c>
      <c r="N402" s="159">
        <f>IFERROR(ROUND(D402*(1-CHOOSE(MATCH(IF($E402="","Основний",$E402),{"Трафіковий","Основний","Маржинальний","Сезонний","Стратегічний"},0),Settings!$D$78,Settings!$D$80,Settings!$D$82,Settings!$D$84,Settings!$D$86))/6,2)*6,"")</f>
        <v/>
      </c>
      <c r="O402" s="142">
        <f>IFERROR(CHOOSE(MATCH(IF($E402="","Основний",$E402),{"Трафіковий","Основний","Маржинальний","Сезонний","Стратегічний"},0),Settings!$D$78,Settings!$D$80,Settings!$D$82,Settings!$D$84,Settings!$D$86),"")</f>
        <v/>
      </c>
      <c r="P402" s="143">
        <f>IFERROR((N402*(1-Settings!$D$17)-C402)/(N402*(1-Settings!$D$17)),"")</f>
        <v/>
      </c>
      <c r="Q402" s="149">
        <f>IFERROR(IF(N402="","",IF(N402&gt;=C402/(1-SKU_Base!AB402)/(1-Settings!$D$17),"OK",IF(N402&gt;=C402/(1-SKU_Base!AI402)/(1-Settings!$D$17),"WARN","STOP"))),"")</f>
        <v/>
      </c>
      <c r="R402" s="159">
        <f>IFERROR(ROUND(D402*(1-CHOOSE(MATCH(IF($E402="","Основний",$E402),{"Трафіковий","Основний","Маржинальний","Сезонний","Стратегічний"},0),Settings!$E$78,Settings!$E$80,Settings!$E$82,Settings!$E$84,Settings!$E$86))/6,2)*6,"")</f>
        <v/>
      </c>
      <c r="S402" s="142">
        <f>IFERROR(CHOOSE(MATCH(IF($E402="","Основний",$E402),{"Трафіковий","Основний","Маржинальний","Сезонний","Стратегічний"},0),Settings!$E$78,Settings!$E$80,Settings!$E$82,Settings!$E$84,Settings!$E$86),"")</f>
        <v/>
      </c>
      <c r="T402" s="143">
        <f>IFERROR((R402*(1-Settings!$E$17)-C402)/(R402*(1-Settings!$E$17)),"")</f>
        <v/>
      </c>
      <c r="U402" s="149">
        <f>IFERROR(IF(R402="","",IF(R402&gt;=C402/(1-SKU_Base!AC402)/(1-Settings!$E$17),"OK",IF(R402&gt;=C402/(1-SKU_Base!AJ402)/(1-Settings!$E$17),"WARN","STOP"))),"")</f>
        <v/>
      </c>
      <c r="V402" s="159">
        <f>IFERROR(ROUND(D402*(1-CHOOSE(MATCH(IF($E402="","Основний",$E402),{"Трафіковий","Основний","Маржинальний","Сезонний","Стратегічний"},0),Settings!$F$78,Settings!$F$80,Settings!$F$82,Settings!$F$84,Settings!$F$86))/6,2)*6,"")</f>
        <v/>
      </c>
      <c r="W402" s="142">
        <f>IFERROR(CHOOSE(MATCH(IF($E402="","Основний",$E402),{"Трафіковий","Основний","Маржинальний","Сезонний","Стратегічний"},0),Settings!$F$78,Settings!$F$80,Settings!$F$82,Settings!$F$84,Settings!$F$86),"")</f>
        <v/>
      </c>
      <c r="X402" s="143">
        <f>IFERROR((V402*(1-Settings!$F$17)-C402)/(V402*(1-Settings!$F$17)),"")</f>
        <v/>
      </c>
      <c r="Y402" s="149">
        <f>IFERROR(IF(V402="","",IF(V402&gt;=C402/(1-SKU_Base!AD402)/(1-Settings!$F$17),"OK",IF(V402&gt;=C402/(1-SKU_Base!AK402)/(1-Settings!$F$17),"WARN","STOP"))),"")</f>
        <v/>
      </c>
      <c r="Z402" s="159">
        <f>IFERROR(ROUND(D402*(1-CHOOSE(MATCH(IF($E402="","Основний",$E402),{"Трафіковий","Основний","Маржинальний","Сезонний","Стратегічний"},0),Settings!$G$78,Settings!$G$80,Settings!$G$82,Settings!$G$84,Settings!$G$86))/6,2)*6,"")</f>
        <v/>
      </c>
      <c r="AA402" s="142">
        <f>IFERROR(CHOOSE(MATCH(IF($E402="","Основний",$E402),{"Трафіковий","Основний","Маржинальний","Сезонний","Стратегічний"},0),Settings!$G$78,Settings!$G$80,Settings!$G$82,Settings!$G$84,Settings!$G$86),"")</f>
        <v/>
      </c>
      <c r="AB402" s="143">
        <f>IFERROR((Z402*(1-Settings!$G$17)-C402)/(Z402*(1-Settings!$G$17)),"")</f>
        <v/>
      </c>
      <c r="AC402" s="149">
        <f>IFERROR(IF(Z402="","",IF(Z402&gt;=C402/(1-SKU_Base!AE402)/(1-Settings!$G$17),"OK",IF(Z402&gt;=C402/(1-SKU_Base!AL402)/(1-Settings!$G$17),"WARN","STOP"))),"")</f>
        <v/>
      </c>
      <c r="AD402" s="159">
        <f>IFERROR(ROUND(D402*(1-CHOOSE(MATCH(IF($E402="","Основний",$E402),{"Трафіковий","Основний","Маржинальний","Сезонний","Стратегічний"},0),Settings!$H$78,Settings!$H$80,Settings!$H$82,Settings!$H$84,Settings!$H$86))*(1-Settings!$H$68)/6,2)*6,"")</f>
        <v/>
      </c>
      <c r="AE402" s="142">
        <f>IFERROR(CHOOSE(MATCH(IF($E402="","Основний",$E402),{"Трафіковий","Основний","Маржинальний","Сезонний","Стратегічний"},0),Settings!$H$78,Settings!$H$80,Settings!$H$82,Settings!$H$84,Settings!$H$86)+(1-(CHOOSE(MATCH(IF($E402="","Основний",$E402),{"Трафіковий","Основний","Маржинальний","Сезонний","Стратегічний"},0),Settings!$H$78,Settings!$H$80,Settings!$H$82,Settings!$H$84,Settings!$H$86)))*Settings!$H$68,"")</f>
        <v/>
      </c>
      <c r="AF402" s="143">
        <f>IFERROR((AD402*(1-Settings!$H$17)-C402)/(AD402*(1-Settings!$H$17)),"")</f>
        <v/>
      </c>
      <c r="AG402" s="150">
        <f>IFERROR(IF(AD402="","",IF(AD402&gt;=C402/(1-SKU_Base!AF402)/(1-Settings!$H$17),"OK",IF(AD402&gt;=C402/(1-SKU_Base!AM402)/(1-Settings!$H$17),"WARN","STOP"))),"")</f>
        <v/>
      </c>
    </row>
    <row r="403" ht="17" customHeight="1" s="179">
      <c r="A403" s="146">
        <f>SKU_Base!B403</f>
        <v/>
      </c>
      <c r="B403" s="146">
        <f>SKU_Base!C403</f>
        <v/>
      </c>
      <c r="C403" s="147">
        <f>IFERROR(SKU_Base!I403,"")</f>
        <v/>
      </c>
      <c r="D403" s="164">
        <f>IFERROR(SKU_Base!T403,"")</f>
        <v/>
      </c>
      <c r="E403" s="141">
        <f>IFERROR(SKU_Base!$U403,"")</f>
        <v/>
      </c>
      <c r="F403" s="160">
        <f>IFERROR(ROUND(D403*(1-CHOOSE(MATCH(IF($E403="","Основний",$E403),{"Трафіковий","Основний","Маржинальний","Сезонний","Стратегічний"},0),Settings!$B$78,Settings!$B$80,Settings!$B$82,Settings!$B$84,Settings!$B$86))/6,2)*6,"")</f>
        <v/>
      </c>
      <c r="G403" s="142">
        <f>IFERROR(CHOOSE(MATCH(IF($E403="","Основний",$E403),{"Трафіковий","Основний","Маржинальний","Сезонний","Стратегічний"},0),Settings!$B$78,Settings!$B$80,Settings!$B$82,Settings!$B$84,Settings!$B$86),"")</f>
        <v/>
      </c>
      <c r="H403" s="148">
        <f>IFERROR((F403*(1-Settings!$B$17)-C403)/(F403*(1-Settings!$B$17)),"")</f>
        <v/>
      </c>
      <c r="I403" s="149">
        <f>IFERROR(IF(F403="","",IF(F403&gt;=C403/(1-SKU_Base!Z403)/(1-Settings!$B$17),"OK",IF(F403&gt;=C403/(1-SKU_Base!AG403)/(1-Settings!$B$17),"WARN","STOP"))),"")</f>
        <v/>
      </c>
      <c r="J403" s="160">
        <f>IFERROR(ROUND(D403*(1-CHOOSE(MATCH(IF($E403="","Основний",$E403),{"Трафіковий","Основний","Маржинальний","Сезонний","Стратегічний"},0),Settings!$C$78,Settings!$C$80,Settings!$C$82,Settings!$C$84,Settings!$C$86))/6,2)*6,"")</f>
        <v/>
      </c>
      <c r="K403" s="142">
        <f>IFERROR(CHOOSE(MATCH(IF($E403="","Основний",$E403),{"Трафіковий","Основний","Маржинальний","Сезонний","Стратегічний"},0),Settings!$C$78,Settings!$C$80,Settings!$C$82,Settings!$C$84,Settings!$C$86),"")</f>
        <v/>
      </c>
      <c r="L403" s="148">
        <f>IFERROR((J403*(1-Settings!$C$17)-C403)/(J403*(1-Settings!$C$17)),"")</f>
        <v/>
      </c>
      <c r="M403" s="149">
        <f>IFERROR(IF(J403="","",IF(J403&gt;=C403/(1-SKU_Base!AA403)/(1-Settings!$C$17),"OK",IF(J403&gt;=C403/(1-SKU_Base!AH403)/(1-Settings!$C$17),"WARN","STOP"))),"")</f>
        <v/>
      </c>
      <c r="N403" s="161">
        <f>IFERROR(ROUND(D403*(1-CHOOSE(MATCH(IF($E403="","Основний",$E403),{"Трафіковий","Основний","Маржинальний","Сезонний","Стратегічний"},0),Settings!$D$78,Settings!$D$80,Settings!$D$82,Settings!$D$84,Settings!$D$86))/6,2)*6,"")</f>
        <v/>
      </c>
      <c r="O403" s="142">
        <f>IFERROR(CHOOSE(MATCH(IF($E403="","Основний",$E403),{"Трафіковий","Основний","Маржинальний","Сезонний","Стратегічний"},0),Settings!$D$78,Settings!$D$80,Settings!$D$82,Settings!$D$84,Settings!$D$86),"")</f>
        <v/>
      </c>
      <c r="P403" s="148">
        <f>IFERROR((N403*(1-Settings!$D$17)-C403)/(N403*(1-Settings!$D$17)),"")</f>
        <v/>
      </c>
      <c r="Q403" s="149">
        <f>IFERROR(IF(N403="","",IF(N403&gt;=C403/(1-SKU_Base!AB403)/(1-Settings!$D$17),"OK",IF(N403&gt;=C403/(1-SKU_Base!AI403)/(1-Settings!$D$17),"WARN","STOP"))),"")</f>
        <v/>
      </c>
      <c r="R403" s="161">
        <f>IFERROR(ROUND(D403*(1-CHOOSE(MATCH(IF($E403="","Основний",$E403),{"Трафіковий","Основний","Маржинальний","Сезонний","Стратегічний"},0),Settings!$E$78,Settings!$E$80,Settings!$E$82,Settings!$E$84,Settings!$E$86))/6,2)*6,"")</f>
        <v/>
      </c>
      <c r="S403" s="142">
        <f>IFERROR(CHOOSE(MATCH(IF($E403="","Основний",$E403),{"Трафіковий","Основний","Маржинальний","Сезонний","Стратегічний"},0),Settings!$E$78,Settings!$E$80,Settings!$E$82,Settings!$E$84,Settings!$E$86),"")</f>
        <v/>
      </c>
      <c r="T403" s="148">
        <f>IFERROR((R403*(1-Settings!$E$17)-C403)/(R403*(1-Settings!$E$17)),"")</f>
        <v/>
      </c>
      <c r="U403" s="149">
        <f>IFERROR(IF(R403="","",IF(R403&gt;=C403/(1-SKU_Base!AC403)/(1-Settings!$E$17),"OK",IF(R403&gt;=C403/(1-SKU_Base!AJ403)/(1-Settings!$E$17),"WARN","STOP"))),"")</f>
        <v/>
      </c>
      <c r="V403" s="161">
        <f>IFERROR(ROUND(D403*(1-CHOOSE(MATCH(IF($E403="","Основний",$E403),{"Трафіковий","Основний","Маржинальний","Сезонний","Стратегічний"},0),Settings!$F$78,Settings!$F$80,Settings!$F$82,Settings!$F$84,Settings!$F$86))/6,2)*6,"")</f>
        <v/>
      </c>
      <c r="W403" s="142">
        <f>IFERROR(CHOOSE(MATCH(IF($E403="","Основний",$E403),{"Трафіковий","Основний","Маржинальний","Сезонний","Стратегічний"},0),Settings!$F$78,Settings!$F$80,Settings!$F$82,Settings!$F$84,Settings!$F$86),"")</f>
        <v/>
      </c>
      <c r="X403" s="148">
        <f>IFERROR((V403*(1-Settings!$F$17)-C403)/(V403*(1-Settings!$F$17)),"")</f>
        <v/>
      </c>
      <c r="Y403" s="149">
        <f>IFERROR(IF(V403="","",IF(V403&gt;=C403/(1-SKU_Base!AD403)/(1-Settings!$F$17),"OK",IF(V403&gt;=C403/(1-SKU_Base!AK403)/(1-Settings!$F$17),"WARN","STOP"))),"")</f>
        <v/>
      </c>
      <c r="Z403" s="161">
        <f>IFERROR(ROUND(D403*(1-CHOOSE(MATCH(IF($E403="","Основний",$E403),{"Трафіковий","Основний","Маржинальний","Сезонний","Стратегічний"},0),Settings!$G$78,Settings!$G$80,Settings!$G$82,Settings!$G$84,Settings!$G$86))/6,2)*6,"")</f>
        <v/>
      </c>
      <c r="AA403" s="142">
        <f>IFERROR(CHOOSE(MATCH(IF($E403="","Основний",$E403),{"Трафіковий","Основний","Маржинальний","Сезонний","Стратегічний"},0),Settings!$G$78,Settings!$G$80,Settings!$G$82,Settings!$G$84,Settings!$G$86),"")</f>
        <v/>
      </c>
      <c r="AB403" s="148">
        <f>IFERROR((Z403*(1-Settings!$G$17)-C403)/(Z403*(1-Settings!$G$17)),"")</f>
        <v/>
      </c>
      <c r="AC403" s="149">
        <f>IFERROR(IF(Z403="","",IF(Z403&gt;=C403/(1-SKU_Base!AE403)/(1-Settings!$G$17),"OK",IF(Z403&gt;=C403/(1-SKU_Base!AL403)/(1-Settings!$G$17),"WARN","STOP"))),"")</f>
        <v/>
      </c>
      <c r="AD403" s="161">
        <f>IFERROR(ROUND(D403*(1-CHOOSE(MATCH(IF($E403="","Основний",$E403),{"Трафіковий","Основний","Маржинальний","Сезонний","Стратегічний"},0),Settings!$H$78,Settings!$H$80,Settings!$H$82,Settings!$H$84,Settings!$H$86))*(1-Settings!$H$68)/6,2)*6,"")</f>
        <v/>
      </c>
      <c r="AE403" s="142">
        <f>IFERROR(CHOOSE(MATCH(IF($E403="","Основний",$E403),{"Трафіковий","Основний","Маржинальний","Сезонний","Стратегічний"},0),Settings!$H$78,Settings!$H$80,Settings!$H$82,Settings!$H$84,Settings!$H$86)+(1-(CHOOSE(MATCH(IF($E403="","Основний",$E403),{"Трафіковий","Основний","Маржинальний","Сезонний","Стратегічний"},0),Settings!$H$78,Settings!$H$80,Settings!$H$82,Settings!$H$84,Settings!$H$86)))*Settings!$H$68,"")</f>
        <v/>
      </c>
      <c r="AF403" s="148">
        <f>IFERROR((AD403*(1-Settings!$H$17)-C403)/(AD403*(1-Settings!$H$17)),"")</f>
        <v/>
      </c>
      <c r="AG403" s="150">
        <f>IFERROR(IF(AD403="","",IF(AD403&gt;=C403/(1-SKU_Base!AF403)/(1-Settings!$H$17),"OK",IF(AD403&gt;=C403/(1-SKU_Base!AM403)/(1-Settings!$H$17),"WARN","STOP"))),"")</f>
        <v/>
      </c>
    </row>
    <row r="404" ht="17" customHeight="1" s="179">
      <c r="A404" s="139">
        <f>SKU_Base!B404</f>
        <v/>
      </c>
      <c r="B404" s="139">
        <f>SKU_Base!C404</f>
        <v/>
      </c>
      <c r="C404" s="140">
        <f>IFERROR(SKU_Base!I404,"")</f>
        <v/>
      </c>
      <c r="D404" s="163">
        <f>IFERROR(SKU_Base!T404,"")</f>
        <v/>
      </c>
      <c r="E404" s="141">
        <f>IFERROR(SKU_Base!$U404,"")</f>
        <v/>
      </c>
      <c r="F404" s="158">
        <f>IFERROR(ROUND(D404*(1-CHOOSE(MATCH(IF($E404="","Основний",$E404),{"Трафіковий","Основний","Маржинальний","Сезонний","Стратегічний"},0),Settings!$B$78,Settings!$B$80,Settings!$B$82,Settings!$B$84,Settings!$B$86))/6,2)*6,"")</f>
        <v/>
      </c>
      <c r="G404" s="142">
        <f>IFERROR(CHOOSE(MATCH(IF($E404="","Основний",$E404),{"Трафіковий","Основний","Маржинальний","Сезонний","Стратегічний"},0),Settings!$B$78,Settings!$B$80,Settings!$B$82,Settings!$B$84,Settings!$B$86),"")</f>
        <v/>
      </c>
      <c r="H404" s="143">
        <f>IFERROR((F404*(1-Settings!$B$17)-C404)/(F404*(1-Settings!$B$17)),"")</f>
        <v/>
      </c>
      <c r="I404" s="149">
        <f>IFERROR(IF(F404="","",IF(F404&gt;=C404/(1-SKU_Base!Z404)/(1-Settings!$B$17),"OK",IF(F404&gt;=C404/(1-SKU_Base!AG404)/(1-Settings!$B$17),"WARN","STOP"))),"")</f>
        <v/>
      </c>
      <c r="J404" s="158">
        <f>IFERROR(ROUND(D404*(1-CHOOSE(MATCH(IF($E404="","Основний",$E404),{"Трафіковий","Основний","Маржинальний","Сезонний","Стратегічний"},0),Settings!$C$78,Settings!$C$80,Settings!$C$82,Settings!$C$84,Settings!$C$86))/6,2)*6,"")</f>
        <v/>
      </c>
      <c r="K404" s="142">
        <f>IFERROR(CHOOSE(MATCH(IF($E404="","Основний",$E404),{"Трафіковий","Основний","Маржинальний","Сезонний","Стратегічний"},0),Settings!$C$78,Settings!$C$80,Settings!$C$82,Settings!$C$84,Settings!$C$86),"")</f>
        <v/>
      </c>
      <c r="L404" s="143">
        <f>IFERROR((J404*(1-Settings!$C$17)-C404)/(J404*(1-Settings!$C$17)),"")</f>
        <v/>
      </c>
      <c r="M404" s="149">
        <f>IFERROR(IF(J404="","",IF(J404&gt;=C404/(1-SKU_Base!AA404)/(1-Settings!$C$17),"OK",IF(J404&gt;=C404/(1-SKU_Base!AH404)/(1-Settings!$C$17),"WARN","STOP"))),"")</f>
        <v/>
      </c>
      <c r="N404" s="159">
        <f>IFERROR(ROUND(D404*(1-CHOOSE(MATCH(IF($E404="","Основний",$E404),{"Трафіковий","Основний","Маржинальний","Сезонний","Стратегічний"},0),Settings!$D$78,Settings!$D$80,Settings!$D$82,Settings!$D$84,Settings!$D$86))/6,2)*6,"")</f>
        <v/>
      </c>
      <c r="O404" s="142">
        <f>IFERROR(CHOOSE(MATCH(IF($E404="","Основний",$E404),{"Трафіковий","Основний","Маржинальний","Сезонний","Стратегічний"},0),Settings!$D$78,Settings!$D$80,Settings!$D$82,Settings!$D$84,Settings!$D$86),"")</f>
        <v/>
      </c>
      <c r="P404" s="143">
        <f>IFERROR((N404*(1-Settings!$D$17)-C404)/(N404*(1-Settings!$D$17)),"")</f>
        <v/>
      </c>
      <c r="Q404" s="149">
        <f>IFERROR(IF(N404="","",IF(N404&gt;=C404/(1-SKU_Base!AB404)/(1-Settings!$D$17),"OK",IF(N404&gt;=C404/(1-SKU_Base!AI404)/(1-Settings!$D$17),"WARN","STOP"))),"")</f>
        <v/>
      </c>
      <c r="R404" s="159">
        <f>IFERROR(ROUND(D404*(1-CHOOSE(MATCH(IF($E404="","Основний",$E404),{"Трафіковий","Основний","Маржинальний","Сезонний","Стратегічний"},0),Settings!$E$78,Settings!$E$80,Settings!$E$82,Settings!$E$84,Settings!$E$86))/6,2)*6,"")</f>
        <v/>
      </c>
      <c r="S404" s="142">
        <f>IFERROR(CHOOSE(MATCH(IF($E404="","Основний",$E404),{"Трафіковий","Основний","Маржинальний","Сезонний","Стратегічний"},0),Settings!$E$78,Settings!$E$80,Settings!$E$82,Settings!$E$84,Settings!$E$86),"")</f>
        <v/>
      </c>
      <c r="T404" s="143">
        <f>IFERROR((R404*(1-Settings!$E$17)-C404)/(R404*(1-Settings!$E$17)),"")</f>
        <v/>
      </c>
      <c r="U404" s="149">
        <f>IFERROR(IF(R404="","",IF(R404&gt;=C404/(1-SKU_Base!AC404)/(1-Settings!$E$17),"OK",IF(R404&gt;=C404/(1-SKU_Base!AJ404)/(1-Settings!$E$17),"WARN","STOP"))),"")</f>
        <v/>
      </c>
      <c r="V404" s="159">
        <f>IFERROR(ROUND(D404*(1-CHOOSE(MATCH(IF($E404="","Основний",$E404),{"Трафіковий","Основний","Маржинальний","Сезонний","Стратегічний"},0),Settings!$F$78,Settings!$F$80,Settings!$F$82,Settings!$F$84,Settings!$F$86))/6,2)*6,"")</f>
        <v/>
      </c>
      <c r="W404" s="142">
        <f>IFERROR(CHOOSE(MATCH(IF($E404="","Основний",$E404),{"Трафіковий","Основний","Маржинальний","Сезонний","Стратегічний"},0),Settings!$F$78,Settings!$F$80,Settings!$F$82,Settings!$F$84,Settings!$F$86),"")</f>
        <v/>
      </c>
      <c r="X404" s="143">
        <f>IFERROR((V404*(1-Settings!$F$17)-C404)/(V404*(1-Settings!$F$17)),"")</f>
        <v/>
      </c>
      <c r="Y404" s="149">
        <f>IFERROR(IF(V404="","",IF(V404&gt;=C404/(1-SKU_Base!AD404)/(1-Settings!$F$17),"OK",IF(V404&gt;=C404/(1-SKU_Base!AK404)/(1-Settings!$F$17),"WARN","STOP"))),"")</f>
        <v/>
      </c>
      <c r="Z404" s="159">
        <f>IFERROR(ROUND(D404*(1-CHOOSE(MATCH(IF($E404="","Основний",$E404),{"Трафіковий","Основний","Маржинальний","Сезонний","Стратегічний"},0),Settings!$G$78,Settings!$G$80,Settings!$G$82,Settings!$G$84,Settings!$G$86))/6,2)*6,"")</f>
        <v/>
      </c>
      <c r="AA404" s="142">
        <f>IFERROR(CHOOSE(MATCH(IF($E404="","Основний",$E404),{"Трафіковий","Основний","Маржинальний","Сезонний","Стратегічний"},0),Settings!$G$78,Settings!$G$80,Settings!$G$82,Settings!$G$84,Settings!$G$86),"")</f>
        <v/>
      </c>
      <c r="AB404" s="143">
        <f>IFERROR((Z404*(1-Settings!$G$17)-C404)/(Z404*(1-Settings!$G$17)),"")</f>
        <v/>
      </c>
      <c r="AC404" s="149">
        <f>IFERROR(IF(Z404="","",IF(Z404&gt;=C404/(1-SKU_Base!AE404)/(1-Settings!$G$17),"OK",IF(Z404&gt;=C404/(1-SKU_Base!AL404)/(1-Settings!$G$17),"WARN","STOP"))),"")</f>
        <v/>
      </c>
      <c r="AD404" s="159">
        <f>IFERROR(ROUND(D404*(1-CHOOSE(MATCH(IF($E404="","Основний",$E404),{"Трафіковий","Основний","Маржинальний","Сезонний","Стратегічний"},0),Settings!$H$78,Settings!$H$80,Settings!$H$82,Settings!$H$84,Settings!$H$86))*(1-Settings!$H$68)/6,2)*6,"")</f>
        <v/>
      </c>
      <c r="AE404" s="142">
        <f>IFERROR(CHOOSE(MATCH(IF($E404="","Основний",$E404),{"Трафіковий","Основний","Маржинальний","Сезонний","Стратегічний"},0),Settings!$H$78,Settings!$H$80,Settings!$H$82,Settings!$H$84,Settings!$H$86)+(1-(CHOOSE(MATCH(IF($E404="","Основний",$E404),{"Трафіковий","Основний","Маржинальний","Сезонний","Стратегічний"},0),Settings!$H$78,Settings!$H$80,Settings!$H$82,Settings!$H$84,Settings!$H$86)))*Settings!$H$68,"")</f>
        <v/>
      </c>
      <c r="AF404" s="143">
        <f>IFERROR((AD404*(1-Settings!$H$17)-C404)/(AD404*(1-Settings!$H$17)),"")</f>
        <v/>
      </c>
      <c r="AG404" s="150">
        <f>IFERROR(IF(AD404="","",IF(AD404&gt;=C404/(1-SKU_Base!AF404)/(1-Settings!$H$17),"OK",IF(AD404&gt;=C404/(1-SKU_Base!AM404)/(1-Settings!$H$17),"WARN","STOP"))),"")</f>
        <v/>
      </c>
    </row>
    <row r="405" ht="17" customHeight="1" s="179">
      <c r="A405" s="146">
        <f>SKU_Base!B405</f>
        <v/>
      </c>
      <c r="B405" s="146">
        <f>SKU_Base!C405</f>
        <v/>
      </c>
      <c r="C405" s="147">
        <f>IFERROR(SKU_Base!I405,"")</f>
        <v/>
      </c>
      <c r="D405" s="164">
        <f>IFERROR(SKU_Base!T405,"")</f>
        <v/>
      </c>
      <c r="E405" s="141">
        <f>IFERROR(SKU_Base!$U405,"")</f>
        <v/>
      </c>
      <c r="F405" s="160">
        <f>IFERROR(ROUND(D405*(1-CHOOSE(MATCH(IF($E405="","Основний",$E405),{"Трафіковий","Основний","Маржинальний","Сезонний","Стратегічний"},0),Settings!$B$78,Settings!$B$80,Settings!$B$82,Settings!$B$84,Settings!$B$86))/6,2)*6,"")</f>
        <v/>
      </c>
      <c r="G405" s="142">
        <f>IFERROR(CHOOSE(MATCH(IF($E405="","Основний",$E405),{"Трафіковий","Основний","Маржинальний","Сезонний","Стратегічний"},0),Settings!$B$78,Settings!$B$80,Settings!$B$82,Settings!$B$84,Settings!$B$86),"")</f>
        <v/>
      </c>
      <c r="H405" s="148">
        <f>IFERROR((F405*(1-Settings!$B$17)-C405)/(F405*(1-Settings!$B$17)),"")</f>
        <v/>
      </c>
      <c r="I405" s="149">
        <f>IFERROR(IF(F405="","",IF(F405&gt;=C405/(1-SKU_Base!Z405)/(1-Settings!$B$17),"OK",IF(F405&gt;=C405/(1-SKU_Base!AG405)/(1-Settings!$B$17),"WARN","STOP"))),"")</f>
        <v/>
      </c>
      <c r="J405" s="160">
        <f>IFERROR(ROUND(D405*(1-CHOOSE(MATCH(IF($E405="","Основний",$E405),{"Трафіковий","Основний","Маржинальний","Сезонний","Стратегічний"},0),Settings!$C$78,Settings!$C$80,Settings!$C$82,Settings!$C$84,Settings!$C$86))/6,2)*6,"")</f>
        <v/>
      </c>
      <c r="K405" s="142">
        <f>IFERROR(CHOOSE(MATCH(IF($E405="","Основний",$E405),{"Трафіковий","Основний","Маржинальний","Сезонний","Стратегічний"},0),Settings!$C$78,Settings!$C$80,Settings!$C$82,Settings!$C$84,Settings!$C$86),"")</f>
        <v/>
      </c>
      <c r="L405" s="148">
        <f>IFERROR((J405*(1-Settings!$C$17)-C405)/(J405*(1-Settings!$C$17)),"")</f>
        <v/>
      </c>
      <c r="M405" s="149">
        <f>IFERROR(IF(J405="","",IF(J405&gt;=C405/(1-SKU_Base!AA405)/(1-Settings!$C$17),"OK",IF(J405&gt;=C405/(1-SKU_Base!AH405)/(1-Settings!$C$17),"WARN","STOP"))),"")</f>
        <v/>
      </c>
      <c r="N405" s="161">
        <f>IFERROR(ROUND(D405*(1-CHOOSE(MATCH(IF($E405="","Основний",$E405),{"Трафіковий","Основний","Маржинальний","Сезонний","Стратегічний"},0),Settings!$D$78,Settings!$D$80,Settings!$D$82,Settings!$D$84,Settings!$D$86))/6,2)*6,"")</f>
        <v/>
      </c>
      <c r="O405" s="142">
        <f>IFERROR(CHOOSE(MATCH(IF($E405="","Основний",$E405),{"Трафіковий","Основний","Маржинальний","Сезонний","Стратегічний"},0),Settings!$D$78,Settings!$D$80,Settings!$D$82,Settings!$D$84,Settings!$D$86),"")</f>
        <v/>
      </c>
      <c r="P405" s="148">
        <f>IFERROR((N405*(1-Settings!$D$17)-C405)/(N405*(1-Settings!$D$17)),"")</f>
        <v/>
      </c>
      <c r="Q405" s="149">
        <f>IFERROR(IF(N405="","",IF(N405&gt;=C405/(1-SKU_Base!AB405)/(1-Settings!$D$17),"OK",IF(N405&gt;=C405/(1-SKU_Base!AI405)/(1-Settings!$D$17),"WARN","STOP"))),"")</f>
        <v/>
      </c>
      <c r="R405" s="161">
        <f>IFERROR(ROUND(D405*(1-CHOOSE(MATCH(IF($E405="","Основний",$E405),{"Трафіковий","Основний","Маржинальний","Сезонний","Стратегічний"},0),Settings!$E$78,Settings!$E$80,Settings!$E$82,Settings!$E$84,Settings!$E$86))/6,2)*6,"")</f>
        <v/>
      </c>
      <c r="S405" s="142">
        <f>IFERROR(CHOOSE(MATCH(IF($E405="","Основний",$E405),{"Трафіковий","Основний","Маржинальний","Сезонний","Стратегічний"},0),Settings!$E$78,Settings!$E$80,Settings!$E$82,Settings!$E$84,Settings!$E$86),"")</f>
        <v/>
      </c>
      <c r="T405" s="148">
        <f>IFERROR((R405*(1-Settings!$E$17)-C405)/(R405*(1-Settings!$E$17)),"")</f>
        <v/>
      </c>
      <c r="U405" s="149">
        <f>IFERROR(IF(R405="","",IF(R405&gt;=C405/(1-SKU_Base!AC405)/(1-Settings!$E$17),"OK",IF(R405&gt;=C405/(1-SKU_Base!AJ405)/(1-Settings!$E$17),"WARN","STOP"))),"")</f>
        <v/>
      </c>
      <c r="V405" s="161">
        <f>IFERROR(ROUND(D405*(1-CHOOSE(MATCH(IF($E405="","Основний",$E405),{"Трафіковий","Основний","Маржинальний","Сезонний","Стратегічний"},0),Settings!$F$78,Settings!$F$80,Settings!$F$82,Settings!$F$84,Settings!$F$86))/6,2)*6,"")</f>
        <v/>
      </c>
      <c r="W405" s="142">
        <f>IFERROR(CHOOSE(MATCH(IF($E405="","Основний",$E405),{"Трафіковий","Основний","Маржинальний","Сезонний","Стратегічний"},0),Settings!$F$78,Settings!$F$80,Settings!$F$82,Settings!$F$84,Settings!$F$86),"")</f>
        <v/>
      </c>
      <c r="X405" s="148">
        <f>IFERROR((V405*(1-Settings!$F$17)-C405)/(V405*(1-Settings!$F$17)),"")</f>
        <v/>
      </c>
      <c r="Y405" s="149">
        <f>IFERROR(IF(V405="","",IF(V405&gt;=C405/(1-SKU_Base!AD405)/(1-Settings!$F$17),"OK",IF(V405&gt;=C405/(1-SKU_Base!AK405)/(1-Settings!$F$17),"WARN","STOP"))),"")</f>
        <v/>
      </c>
      <c r="Z405" s="161">
        <f>IFERROR(ROUND(D405*(1-CHOOSE(MATCH(IF($E405="","Основний",$E405),{"Трафіковий","Основний","Маржинальний","Сезонний","Стратегічний"},0),Settings!$G$78,Settings!$G$80,Settings!$G$82,Settings!$G$84,Settings!$G$86))/6,2)*6,"")</f>
        <v/>
      </c>
      <c r="AA405" s="142">
        <f>IFERROR(CHOOSE(MATCH(IF($E405="","Основний",$E405),{"Трафіковий","Основний","Маржинальний","Сезонний","Стратегічний"},0),Settings!$G$78,Settings!$G$80,Settings!$G$82,Settings!$G$84,Settings!$G$86),"")</f>
        <v/>
      </c>
      <c r="AB405" s="148">
        <f>IFERROR((Z405*(1-Settings!$G$17)-C405)/(Z405*(1-Settings!$G$17)),"")</f>
        <v/>
      </c>
      <c r="AC405" s="149">
        <f>IFERROR(IF(Z405="","",IF(Z405&gt;=C405/(1-SKU_Base!AE405)/(1-Settings!$G$17),"OK",IF(Z405&gt;=C405/(1-SKU_Base!AL405)/(1-Settings!$G$17),"WARN","STOP"))),"")</f>
        <v/>
      </c>
      <c r="AD405" s="161">
        <f>IFERROR(ROUND(D405*(1-CHOOSE(MATCH(IF($E405="","Основний",$E405),{"Трафіковий","Основний","Маржинальний","Сезонний","Стратегічний"},0),Settings!$H$78,Settings!$H$80,Settings!$H$82,Settings!$H$84,Settings!$H$86))*(1-Settings!$H$68)/6,2)*6,"")</f>
        <v/>
      </c>
      <c r="AE405" s="142">
        <f>IFERROR(CHOOSE(MATCH(IF($E405="","Основний",$E405),{"Трафіковий","Основний","Маржинальний","Сезонний","Стратегічний"},0),Settings!$H$78,Settings!$H$80,Settings!$H$82,Settings!$H$84,Settings!$H$86)+(1-(CHOOSE(MATCH(IF($E405="","Основний",$E405),{"Трафіковий","Основний","Маржинальний","Сезонний","Стратегічний"},0),Settings!$H$78,Settings!$H$80,Settings!$H$82,Settings!$H$84,Settings!$H$86)))*Settings!$H$68,"")</f>
        <v/>
      </c>
      <c r="AF405" s="148">
        <f>IFERROR((AD405*(1-Settings!$H$17)-C405)/(AD405*(1-Settings!$H$17)),"")</f>
        <v/>
      </c>
      <c r="AG405" s="150">
        <f>IFERROR(IF(AD405="","",IF(AD405&gt;=C405/(1-SKU_Base!AF405)/(1-Settings!$H$17),"OK",IF(AD405&gt;=C405/(1-SKU_Base!AM405)/(1-Settings!$H$17),"WARN","STOP"))),"")</f>
        <v/>
      </c>
    </row>
    <row r="406" ht="17" customHeight="1" s="179">
      <c r="A406" s="139">
        <f>SKU_Base!B406</f>
        <v/>
      </c>
      <c r="B406" s="139">
        <f>SKU_Base!C406</f>
        <v/>
      </c>
      <c r="C406" s="140">
        <f>IFERROR(SKU_Base!I406,"")</f>
        <v/>
      </c>
      <c r="D406" s="163">
        <f>IFERROR(SKU_Base!T406,"")</f>
        <v/>
      </c>
      <c r="E406" s="141">
        <f>IFERROR(SKU_Base!$U406,"")</f>
        <v/>
      </c>
      <c r="F406" s="158">
        <f>IFERROR(ROUND(D406*(1-CHOOSE(MATCH(IF($E406="","Основний",$E406),{"Трафіковий","Основний","Маржинальний","Сезонний","Стратегічний"},0),Settings!$B$78,Settings!$B$80,Settings!$B$82,Settings!$B$84,Settings!$B$86))/6,2)*6,"")</f>
        <v/>
      </c>
      <c r="G406" s="142">
        <f>IFERROR(CHOOSE(MATCH(IF($E406="","Основний",$E406),{"Трафіковий","Основний","Маржинальний","Сезонний","Стратегічний"},0),Settings!$B$78,Settings!$B$80,Settings!$B$82,Settings!$B$84,Settings!$B$86),"")</f>
        <v/>
      </c>
      <c r="H406" s="143">
        <f>IFERROR((F406*(1-Settings!$B$17)-C406)/(F406*(1-Settings!$B$17)),"")</f>
        <v/>
      </c>
      <c r="I406" s="149">
        <f>IFERROR(IF(F406="","",IF(F406&gt;=C406/(1-SKU_Base!Z406)/(1-Settings!$B$17),"OK",IF(F406&gt;=C406/(1-SKU_Base!AG406)/(1-Settings!$B$17),"WARN","STOP"))),"")</f>
        <v/>
      </c>
      <c r="J406" s="158">
        <f>IFERROR(ROUND(D406*(1-CHOOSE(MATCH(IF($E406="","Основний",$E406),{"Трафіковий","Основний","Маржинальний","Сезонний","Стратегічний"},0),Settings!$C$78,Settings!$C$80,Settings!$C$82,Settings!$C$84,Settings!$C$86))/6,2)*6,"")</f>
        <v/>
      </c>
      <c r="K406" s="142">
        <f>IFERROR(CHOOSE(MATCH(IF($E406="","Основний",$E406),{"Трафіковий","Основний","Маржинальний","Сезонний","Стратегічний"},0),Settings!$C$78,Settings!$C$80,Settings!$C$82,Settings!$C$84,Settings!$C$86),"")</f>
        <v/>
      </c>
      <c r="L406" s="143">
        <f>IFERROR((J406*(1-Settings!$C$17)-C406)/(J406*(1-Settings!$C$17)),"")</f>
        <v/>
      </c>
      <c r="M406" s="149">
        <f>IFERROR(IF(J406="","",IF(J406&gt;=C406/(1-SKU_Base!AA406)/(1-Settings!$C$17),"OK",IF(J406&gt;=C406/(1-SKU_Base!AH406)/(1-Settings!$C$17),"WARN","STOP"))),"")</f>
        <v/>
      </c>
      <c r="N406" s="159">
        <f>IFERROR(ROUND(D406*(1-CHOOSE(MATCH(IF($E406="","Основний",$E406),{"Трафіковий","Основний","Маржинальний","Сезонний","Стратегічний"},0),Settings!$D$78,Settings!$D$80,Settings!$D$82,Settings!$D$84,Settings!$D$86))/6,2)*6,"")</f>
        <v/>
      </c>
      <c r="O406" s="142">
        <f>IFERROR(CHOOSE(MATCH(IF($E406="","Основний",$E406),{"Трафіковий","Основний","Маржинальний","Сезонний","Стратегічний"},0),Settings!$D$78,Settings!$D$80,Settings!$D$82,Settings!$D$84,Settings!$D$86),"")</f>
        <v/>
      </c>
      <c r="P406" s="143">
        <f>IFERROR((N406*(1-Settings!$D$17)-C406)/(N406*(1-Settings!$D$17)),"")</f>
        <v/>
      </c>
      <c r="Q406" s="149">
        <f>IFERROR(IF(N406="","",IF(N406&gt;=C406/(1-SKU_Base!AB406)/(1-Settings!$D$17),"OK",IF(N406&gt;=C406/(1-SKU_Base!AI406)/(1-Settings!$D$17),"WARN","STOP"))),"")</f>
        <v/>
      </c>
      <c r="R406" s="159">
        <f>IFERROR(ROUND(D406*(1-CHOOSE(MATCH(IF($E406="","Основний",$E406),{"Трафіковий","Основний","Маржинальний","Сезонний","Стратегічний"},0),Settings!$E$78,Settings!$E$80,Settings!$E$82,Settings!$E$84,Settings!$E$86))/6,2)*6,"")</f>
        <v/>
      </c>
      <c r="S406" s="142">
        <f>IFERROR(CHOOSE(MATCH(IF($E406="","Основний",$E406),{"Трафіковий","Основний","Маржинальний","Сезонний","Стратегічний"},0),Settings!$E$78,Settings!$E$80,Settings!$E$82,Settings!$E$84,Settings!$E$86),"")</f>
        <v/>
      </c>
      <c r="T406" s="143">
        <f>IFERROR((R406*(1-Settings!$E$17)-C406)/(R406*(1-Settings!$E$17)),"")</f>
        <v/>
      </c>
      <c r="U406" s="149">
        <f>IFERROR(IF(R406="","",IF(R406&gt;=C406/(1-SKU_Base!AC406)/(1-Settings!$E$17),"OK",IF(R406&gt;=C406/(1-SKU_Base!AJ406)/(1-Settings!$E$17),"WARN","STOP"))),"")</f>
        <v/>
      </c>
      <c r="V406" s="159">
        <f>IFERROR(ROUND(D406*(1-CHOOSE(MATCH(IF($E406="","Основний",$E406),{"Трафіковий","Основний","Маржинальний","Сезонний","Стратегічний"},0),Settings!$F$78,Settings!$F$80,Settings!$F$82,Settings!$F$84,Settings!$F$86))/6,2)*6,"")</f>
        <v/>
      </c>
      <c r="W406" s="142">
        <f>IFERROR(CHOOSE(MATCH(IF($E406="","Основний",$E406),{"Трафіковий","Основний","Маржинальний","Сезонний","Стратегічний"},0),Settings!$F$78,Settings!$F$80,Settings!$F$82,Settings!$F$84,Settings!$F$86),"")</f>
        <v/>
      </c>
      <c r="X406" s="143">
        <f>IFERROR((V406*(1-Settings!$F$17)-C406)/(V406*(1-Settings!$F$17)),"")</f>
        <v/>
      </c>
      <c r="Y406" s="149">
        <f>IFERROR(IF(V406="","",IF(V406&gt;=C406/(1-SKU_Base!AD406)/(1-Settings!$F$17),"OK",IF(V406&gt;=C406/(1-SKU_Base!AK406)/(1-Settings!$F$17),"WARN","STOP"))),"")</f>
        <v/>
      </c>
      <c r="Z406" s="159">
        <f>IFERROR(ROUND(D406*(1-CHOOSE(MATCH(IF($E406="","Основний",$E406),{"Трафіковий","Основний","Маржинальний","Сезонний","Стратегічний"},0),Settings!$G$78,Settings!$G$80,Settings!$G$82,Settings!$G$84,Settings!$G$86))/6,2)*6,"")</f>
        <v/>
      </c>
      <c r="AA406" s="142">
        <f>IFERROR(CHOOSE(MATCH(IF($E406="","Основний",$E406),{"Трафіковий","Основний","Маржинальний","Сезонний","Стратегічний"},0),Settings!$G$78,Settings!$G$80,Settings!$G$82,Settings!$G$84,Settings!$G$86),"")</f>
        <v/>
      </c>
      <c r="AB406" s="143">
        <f>IFERROR((Z406*(1-Settings!$G$17)-C406)/(Z406*(1-Settings!$G$17)),"")</f>
        <v/>
      </c>
      <c r="AC406" s="149">
        <f>IFERROR(IF(Z406="","",IF(Z406&gt;=C406/(1-SKU_Base!AE406)/(1-Settings!$G$17),"OK",IF(Z406&gt;=C406/(1-SKU_Base!AL406)/(1-Settings!$G$17),"WARN","STOP"))),"")</f>
        <v/>
      </c>
      <c r="AD406" s="159">
        <f>IFERROR(ROUND(D406*(1-CHOOSE(MATCH(IF($E406="","Основний",$E406),{"Трафіковий","Основний","Маржинальний","Сезонний","Стратегічний"},0),Settings!$H$78,Settings!$H$80,Settings!$H$82,Settings!$H$84,Settings!$H$86))*(1-Settings!$H$68)/6,2)*6,"")</f>
        <v/>
      </c>
      <c r="AE406" s="142">
        <f>IFERROR(CHOOSE(MATCH(IF($E406="","Основний",$E406),{"Трафіковий","Основний","Маржинальний","Сезонний","Стратегічний"},0),Settings!$H$78,Settings!$H$80,Settings!$H$82,Settings!$H$84,Settings!$H$86)+(1-(CHOOSE(MATCH(IF($E406="","Основний",$E406),{"Трафіковий","Основний","Маржинальний","Сезонний","Стратегічний"},0),Settings!$H$78,Settings!$H$80,Settings!$H$82,Settings!$H$84,Settings!$H$86)))*Settings!$H$68,"")</f>
        <v/>
      </c>
      <c r="AF406" s="143">
        <f>IFERROR((AD406*(1-Settings!$H$17)-C406)/(AD406*(1-Settings!$H$17)),"")</f>
        <v/>
      </c>
      <c r="AG406" s="150">
        <f>IFERROR(IF(AD406="","",IF(AD406&gt;=C406/(1-SKU_Base!AF406)/(1-Settings!$H$17),"OK",IF(AD406&gt;=C406/(1-SKU_Base!AM406)/(1-Settings!$H$17),"WARN","STOP"))),"")</f>
        <v/>
      </c>
    </row>
    <row r="407" ht="17" customHeight="1" s="179">
      <c r="A407" s="146">
        <f>SKU_Base!B407</f>
        <v/>
      </c>
      <c r="B407" s="146">
        <f>SKU_Base!C407</f>
        <v/>
      </c>
      <c r="C407" s="147">
        <f>IFERROR(SKU_Base!I407,"")</f>
        <v/>
      </c>
      <c r="D407" s="164">
        <f>IFERROR(SKU_Base!T407,"")</f>
        <v/>
      </c>
      <c r="E407" s="141">
        <f>IFERROR(SKU_Base!$U407,"")</f>
        <v/>
      </c>
      <c r="F407" s="160">
        <f>IFERROR(ROUND(D407*(1-CHOOSE(MATCH(IF($E407="","Основний",$E407),{"Трафіковий","Основний","Маржинальний","Сезонний","Стратегічний"},0),Settings!$B$78,Settings!$B$80,Settings!$B$82,Settings!$B$84,Settings!$B$86))/6,2)*6,"")</f>
        <v/>
      </c>
      <c r="G407" s="142">
        <f>IFERROR(CHOOSE(MATCH(IF($E407="","Основний",$E407),{"Трафіковий","Основний","Маржинальний","Сезонний","Стратегічний"},0),Settings!$B$78,Settings!$B$80,Settings!$B$82,Settings!$B$84,Settings!$B$86),"")</f>
        <v/>
      </c>
      <c r="H407" s="148">
        <f>IFERROR((F407*(1-Settings!$B$17)-C407)/(F407*(1-Settings!$B$17)),"")</f>
        <v/>
      </c>
      <c r="I407" s="150">
        <f>IFERROR(IF(F407="","",IF(F407&gt;=C407/(1-SKU_Base!Z407)/(1-Settings!$B$17),"OK",IF(F407&gt;=C407/(1-SKU_Base!AG407)/(1-Settings!$B$17),"WARN","STOP"))),"")</f>
        <v/>
      </c>
      <c r="J407" s="160">
        <f>IFERROR(ROUND(D407*(1-CHOOSE(MATCH(IF($E407="","Основний",$E407),{"Трафіковий","Основний","Маржинальний","Сезонний","Стратегічний"},0),Settings!$C$78,Settings!$C$80,Settings!$C$82,Settings!$C$84,Settings!$C$86))/6,2)*6,"")</f>
        <v/>
      </c>
      <c r="K407" s="142">
        <f>IFERROR(CHOOSE(MATCH(IF($E407="","Основний",$E407),{"Трафіковий","Основний","Маржинальний","Сезонний","Стратегічний"},0),Settings!$C$78,Settings!$C$80,Settings!$C$82,Settings!$C$84,Settings!$C$86),"")</f>
        <v/>
      </c>
      <c r="L407" s="148">
        <f>IFERROR((J407*(1-Settings!$C$17)-C407)/(J407*(1-Settings!$C$17)),"")</f>
        <v/>
      </c>
      <c r="M407" s="149">
        <f>IFERROR(IF(J407="","",IF(J407&gt;=C407/(1-SKU_Base!AA407)/(1-Settings!$C$17),"OK",IF(J407&gt;=C407/(1-SKU_Base!AH407)/(1-Settings!$C$17),"WARN","STOP"))),"")</f>
        <v/>
      </c>
      <c r="N407" s="161">
        <f>IFERROR(ROUND(D407*(1-CHOOSE(MATCH(IF($E407="","Основний",$E407),{"Трафіковий","Основний","Маржинальний","Сезонний","Стратегічний"},0),Settings!$D$78,Settings!$D$80,Settings!$D$82,Settings!$D$84,Settings!$D$86))/6,2)*6,"")</f>
        <v/>
      </c>
      <c r="O407" s="142">
        <f>IFERROR(CHOOSE(MATCH(IF($E407="","Основний",$E407),{"Трафіковий","Основний","Маржинальний","Сезонний","Стратегічний"},0),Settings!$D$78,Settings!$D$80,Settings!$D$82,Settings!$D$84,Settings!$D$86),"")</f>
        <v/>
      </c>
      <c r="P407" s="148">
        <f>IFERROR((N407*(1-Settings!$D$17)-C407)/(N407*(1-Settings!$D$17)),"")</f>
        <v/>
      </c>
      <c r="Q407" s="149">
        <f>IFERROR(IF(N407="","",IF(N407&gt;=C407/(1-SKU_Base!AB407)/(1-Settings!$D$17),"OK",IF(N407&gt;=C407/(1-SKU_Base!AI407)/(1-Settings!$D$17),"WARN","STOP"))),"")</f>
        <v/>
      </c>
      <c r="R407" s="161">
        <f>IFERROR(ROUND(D407*(1-CHOOSE(MATCH(IF($E407="","Основний",$E407),{"Трафіковий","Основний","Маржинальний","Сезонний","Стратегічний"},0),Settings!$E$78,Settings!$E$80,Settings!$E$82,Settings!$E$84,Settings!$E$86))/6,2)*6,"")</f>
        <v/>
      </c>
      <c r="S407" s="142">
        <f>IFERROR(CHOOSE(MATCH(IF($E407="","Основний",$E407),{"Трафіковий","Основний","Маржинальний","Сезонний","Стратегічний"},0),Settings!$E$78,Settings!$E$80,Settings!$E$82,Settings!$E$84,Settings!$E$86),"")</f>
        <v/>
      </c>
      <c r="T407" s="148">
        <f>IFERROR((R407*(1-Settings!$E$17)-C407)/(R407*(1-Settings!$E$17)),"")</f>
        <v/>
      </c>
      <c r="U407" s="149">
        <f>IFERROR(IF(R407="","",IF(R407&gt;=C407/(1-SKU_Base!AC407)/(1-Settings!$E$17),"OK",IF(R407&gt;=C407/(1-SKU_Base!AJ407)/(1-Settings!$E$17),"WARN","STOP"))),"")</f>
        <v/>
      </c>
      <c r="V407" s="161">
        <f>IFERROR(ROUND(D407*(1-CHOOSE(MATCH(IF($E407="","Основний",$E407),{"Трафіковий","Основний","Маржинальний","Сезонний","Стратегічний"},0),Settings!$F$78,Settings!$F$80,Settings!$F$82,Settings!$F$84,Settings!$F$86))/6,2)*6,"")</f>
        <v/>
      </c>
      <c r="W407" s="142">
        <f>IFERROR(CHOOSE(MATCH(IF($E407="","Основний",$E407),{"Трафіковий","Основний","Маржинальний","Сезонний","Стратегічний"},0),Settings!$F$78,Settings!$F$80,Settings!$F$82,Settings!$F$84,Settings!$F$86),"")</f>
        <v/>
      </c>
      <c r="X407" s="148">
        <f>IFERROR((V407*(1-Settings!$F$17)-C407)/(V407*(1-Settings!$F$17)),"")</f>
        <v/>
      </c>
      <c r="Y407" s="149">
        <f>IFERROR(IF(V407="","",IF(V407&gt;=C407/(1-SKU_Base!AD407)/(1-Settings!$F$17),"OK",IF(V407&gt;=C407/(1-SKU_Base!AK407)/(1-Settings!$F$17),"WARN","STOP"))),"")</f>
        <v/>
      </c>
      <c r="Z407" s="161">
        <f>IFERROR(ROUND(D407*(1-CHOOSE(MATCH(IF($E407="","Основний",$E407),{"Трафіковий","Основний","Маржинальний","Сезонний","Стратегічний"},0),Settings!$G$78,Settings!$G$80,Settings!$G$82,Settings!$G$84,Settings!$G$86))/6,2)*6,"")</f>
        <v/>
      </c>
      <c r="AA407" s="142">
        <f>IFERROR(CHOOSE(MATCH(IF($E407="","Основний",$E407),{"Трафіковий","Основний","Маржинальний","Сезонний","Стратегічний"},0),Settings!$G$78,Settings!$G$80,Settings!$G$82,Settings!$G$84,Settings!$G$86),"")</f>
        <v/>
      </c>
      <c r="AB407" s="148">
        <f>IFERROR((Z407*(1-Settings!$G$17)-C407)/(Z407*(1-Settings!$G$17)),"")</f>
        <v/>
      </c>
      <c r="AC407" s="149">
        <f>IFERROR(IF(Z407="","",IF(Z407&gt;=C407/(1-SKU_Base!AE407)/(1-Settings!$G$17),"OK",IF(Z407&gt;=C407/(1-SKU_Base!AL407)/(1-Settings!$G$17),"WARN","STOP"))),"")</f>
        <v/>
      </c>
      <c r="AD407" s="161">
        <f>IFERROR(ROUND(D407*(1-CHOOSE(MATCH(IF($E407="","Основний",$E407),{"Трафіковий","Основний","Маржинальний","Сезонний","Стратегічний"},0),Settings!$H$78,Settings!$H$80,Settings!$H$82,Settings!$H$84,Settings!$H$86))*(1-Settings!$H$68)/6,2)*6,"")</f>
        <v/>
      </c>
      <c r="AE407" s="142">
        <f>IFERROR(CHOOSE(MATCH(IF($E407="","Основний",$E407),{"Трафіковий","Основний","Маржинальний","Сезонний","Стратегічний"},0),Settings!$H$78,Settings!$H$80,Settings!$H$82,Settings!$H$84,Settings!$H$86)+(1-(CHOOSE(MATCH(IF($E407="","Основний",$E407),{"Трафіковий","Основний","Маржинальний","Сезонний","Стратегічний"},0),Settings!$H$78,Settings!$H$80,Settings!$H$82,Settings!$H$84,Settings!$H$86)))*Settings!$H$68,"")</f>
        <v/>
      </c>
      <c r="AF407" s="148">
        <f>IFERROR((AD407*(1-Settings!$H$17)-C407)/(AD407*(1-Settings!$H$17)),"")</f>
        <v/>
      </c>
      <c r="AG407" s="150">
        <f>IFERROR(IF(AD407="","",IF(AD407&gt;=C407/(1-SKU_Base!AF407)/(1-Settings!$H$17),"OK",IF(AD407&gt;=C407/(1-SKU_Base!AM407)/(1-Settings!$H$17),"WARN","STOP"))),"")</f>
        <v/>
      </c>
    </row>
    <row r="408" ht="17" customHeight="1" s="179">
      <c r="A408" s="139">
        <f>SKU_Base!B408</f>
        <v/>
      </c>
      <c r="B408" s="139">
        <f>SKU_Base!C408</f>
        <v/>
      </c>
      <c r="C408" s="140">
        <f>IFERROR(SKU_Base!I408,"")</f>
        <v/>
      </c>
      <c r="D408" s="163">
        <f>IFERROR(SKU_Base!T408,"")</f>
        <v/>
      </c>
      <c r="E408" s="141">
        <f>IFERROR(SKU_Base!$U408,"")</f>
        <v/>
      </c>
      <c r="F408" s="158">
        <f>IFERROR(ROUND(D408*(1-CHOOSE(MATCH(IF($E408="","Основний",$E408),{"Трафіковий","Основний","Маржинальний","Сезонний","Стратегічний"},0),Settings!$B$78,Settings!$B$80,Settings!$B$82,Settings!$B$84,Settings!$B$86))/6,2)*6,"")</f>
        <v/>
      </c>
      <c r="G408" s="142">
        <f>IFERROR(CHOOSE(MATCH(IF($E408="","Основний",$E408),{"Трафіковий","Основний","Маржинальний","Сезонний","Стратегічний"},0),Settings!$B$78,Settings!$B$80,Settings!$B$82,Settings!$B$84,Settings!$B$86),"")</f>
        <v/>
      </c>
      <c r="H408" s="143">
        <f>IFERROR((F408*(1-Settings!$B$17)-C408)/(F408*(1-Settings!$B$17)),"")</f>
        <v/>
      </c>
      <c r="I408" s="149">
        <f>IFERROR(IF(F408="","",IF(F408&gt;=C408/(1-SKU_Base!Z408)/(1-Settings!$B$17),"OK",IF(F408&gt;=C408/(1-SKU_Base!AG408)/(1-Settings!$B$17),"WARN","STOP"))),"")</f>
        <v/>
      </c>
      <c r="J408" s="158">
        <f>IFERROR(ROUND(D408*(1-CHOOSE(MATCH(IF($E408="","Основний",$E408),{"Трафіковий","Основний","Маржинальний","Сезонний","Стратегічний"},0),Settings!$C$78,Settings!$C$80,Settings!$C$82,Settings!$C$84,Settings!$C$86))/6,2)*6,"")</f>
        <v/>
      </c>
      <c r="K408" s="142">
        <f>IFERROR(CHOOSE(MATCH(IF($E408="","Основний",$E408),{"Трафіковий","Основний","Маржинальний","Сезонний","Стратегічний"},0),Settings!$C$78,Settings!$C$80,Settings!$C$82,Settings!$C$84,Settings!$C$86),"")</f>
        <v/>
      </c>
      <c r="L408" s="143">
        <f>IFERROR((J408*(1-Settings!$C$17)-C408)/(J408*(1-Settings!$C$17)),"")</f>
        <v/>
      </c>
      <c r="M408" s="149">
        <f>IFERROR(IF(J408="","",IF(J408&gt;=C408/(1-SKU_Base!AA408)/(1-Settings!$C$17),"OK",IF(J408&gt;=C408/(1-SKU_Base!AH408)/(1-Settings!$C$17),"WARN","STOP"))),"")</f>
        <v/>
      </c>
      <c r="N408" s="159">
        <f>IFERROR(ROUND(D408*(1-CHOOSE(MATCH(IF($E408="","Основний",$E408),{"Трафіковий","Основний","Маржинальний","Сезонний","Стратегічний"},0),Settings!$D$78,Settings!$D$80,Settings!$D$82,Settings!$D$84,Settings!$D$86))/6,2)*6,"")</f>
        <v/>
      </c>
      <c r="O408" s="142">
        <f>IFERROR(CHOOSE(MATCH(IF($E408="","Основний",$E408),{"Трафіковий","Основний","Маржинальний","Сезонний","Стратегічний"},0),Settings!$D$78,Settings!$D$80,Settings!$D$82,Settings!$D$84,Settings!$D$86),"")</f>
        <v/>
      </c>
      <c r="P408" s="143">
        <f>IFERROR((N408*(1-Settings!$D$17)-C408)/(N408*(1-Settings!$D$17)),"")</f>
        <v/>
      </c>
      <c r="Q408" s="149">
        <f>IFERROR(IF(N408="","",IF(N408&gt;=C408/(1-SKU_Base!AB408)/(1-Settings!$D$17),"OK",IF(N408&gt;=C408/(1-SKU_Base!AI408)/(1-Settings!$D$17),"WARN","STOP"))),"")</f>
        <v/>
      </c>
      <c r="R408" s="159">
        <f>IFERROR(ROUND(D408*(1-CHOOSE(MATCH(IF($E408="","Основний",$E408),{"Трафіковий","Основний","Маржинальний","Сезонний","Стратегічний"},0),Settings!$E$78,Settings!$E$80,Settings!$E$82,Settings!$E$84,Settings!$E$86))/6,2)*6,"")</f>
        <v/>
      </c>
      <c r="S408" s="142">
        <f>IFERROR(CHOOSE(MATCH(IF($E408="","Основний",$E408),{"Трафіковий","Основний","Маржинальний","Сезонний","Стратегічний"},0),Settings!$E$78,Settings!$E$80,Settings!$E$82,Settings!$E$84,Settings!$E$86),"")</f>
        <v/>
      </c>
      <c r="T408" s="143">
        <f>IFERROR((R408*(1-Settings!$E$17)-C408)/(R408*(1-Settings!$E$17)),"")</f>
        <v/>
      </c>
      <c r="U408" s="149">
        <f>IFERROR(IF(R408="","",IF(R408&gt;=C408/(1-SKU_Base!AC408)/(1-Settings!$E$17),"OK",IF(R408&gt;=C408/(1-SKU_Base!AJ408)/(1-Settings!$E$17),"WARN","STOP"))),"")</f>
        <v/>
      </c>
      <c r="V408" s="159">
        <f>IFERROR(ROUND(D408*(1-CHOOSE(MATCH(IF($E408="","Основний",$E408),{"Трафіковий","Основний","Маржинальний","Сезонний","Стратегічний"},0),Settings!$F$78,Settings!$F$80,Settings!$F$82,Settings!$F$84,Settings!$F$86))/6,2)*6,"")</f>
        <v/>
      </c>
      <c r="W408" s="142">
        <f>IFERROR(CHOOSE(MATCH(IF($E408="","Основний",$E408),{"Трафіковий","Основний","Маржинальний","Сезонний","Стратегічний"},0),Settings!$F$78,Settings!$F$80,Settings!$F$82,Settings!$F$84,Settings!$F$86),"")</f>
        <v/>
      </c>
      <c r="X408" s="143">
        <f>IFERROR((V408*(1-Settings!$F$17)-C408)/(V408*(1-Settings!$F$17)),"")</f>
        <v/>
      </c>
      <c r="Y408" s="149">
        <f>IFERROR(IF(V408="","",IF(V408&gt;=C408/(1-SKU_Base!AD408)/(1-Settings!$F$17),"OK",IF(V408&gt;=C408/(1-SKU_Base!AK408)/(1-Settings!$F$17),"WARN","STOP"))),"")</f>
        <v/>
      </c>
      <c r="Z408" s="159">
        <f>IFERROR(ROUND(D408*(1-CHOOSE(MATCH(IF($E408="","Основний",$E408),{"Трафіковий","Основний","Маржинальний","Сезонний","Стратегічний"},0),Settings!$G$78,Settings!$G$80,Settings!$G$82,Settings!$G$84,Settings!$G$86))/6,2)*6,"")</f>
        <v/>
      </c>
      <c r="AA408" s="142">
        <f>IFERROR(CHOOSE(MATCH(IF($E408="","Основний",$E408),{"Трафіковий","Основний","Маржинальний","Сезонний","Стратегічний"},0),Settings!$G$78,Settings!$G$80,Settings!$G$82,Settings!$G$84,Settings!$G$86),"")</f>
        <v/>
      </c>
      <c r="AB408" s="143">
        <f>IFERROR((Z408*(1-Settings!$G$17)-C408)/(Z408*(1-Settings!$G$17)),"")</f>
        <v/>
      </c>
      <c r="AC408" s="149">
        <f>IFERROR(IF(Z408="","",IF(Z408&gt;=C408/(1-SKU_Base!AE408)/(1-Settings!$G$17),"OK",IF(Z408&gt;=C408/(1-SKU_Base!AL408)/(1-Settings!$G$17),"WARN","STOP"))),"")</f>
        <v/>
      </c>
      <c r="AD408" s="159">
        <f>IFERROR(ROUND(D408*(1-CHOOSE(MATCH(IF($E408="","Основний",$E408),{"Трафіковий","Основний","Маржинальний","Сезонний","Стратегічний"},0),Settings!$H$78,Settings!$H$80,Settings!$H$82,Settings!$H$84,Settings!$H$86))*(1-Settings!$H$68)/6,2)*6,"")</f>
        <v/>
      </c>
      <c r="AE408" s="142">
        <f>IFERROR(CHOOSE(MATCH(IF($E408="","Основний",$E408),{"Трафіковий","Основний","Маржинальний","Сезонний","Стратегічний"},0),Settings!$H$78,Settings!$H$80,Settings!$H$82,Settings!$H$84,Settings!$H$86)+(1-(CHOOSE(MATCH(IF($E408="","Основний",$E408),{"Трафіковий","Основний","Маржинальний","Сезонний","Стратегічний"},0),Settings!$H$78,Settings!$H$80,Settings!$H$82,Settings!$H$84,Settings!$H$86)))*Settings!$H$68,"")</f>
        <v/>
      </c>
      <c r="AF408" s="143">
        <f>IFERROR((AD408*(1-Settings!$H$17)-C408)/(AD408*(1-Settings!$H$17)),"")</f>
        <v/>
      </c>
      <c r="AG408" s="149">
        <f>IFERROR(IF(AD408="","",IF(AD408&gt;=C408/(1-SKU_Base!AF408)/(1-Settings!$H$17),"OK",IF(AD408&gt;=C408/(1-SKU_Base!AM408)/(1-Settings!$H$17),"WARN","STOP"))),"")</f>
        <v/>
      </c>
    </row>
    <row r="409" ht="17" customHeight="1" s="179">
      <c r="A409" s="146">
        <f>SKU_Base!B409</f>
        <v/>
      </c>
      <c r="B409" s="146">
        <f>SKU_Base!C409</f>
        <v/>
      </c>
      <c r="C409" s="147">
        <f>IFERROR(SKU_Base!I409,"")</f>
        <v/>
      </c>
      <c r="D409" s="164">
        <f>IFERROR(SKU_Base!T409,"")</f>
        <v/>
      </c>
      <c r="E409" s="141">
        <f>IFERROR(SKU_Base!$U409,"")</f>
        <v/>
      </c>
      <c r="F409" s="160">
        <f>IFERROR(ROUND(D409*(1-CHOOSE(MATCH(IF($E409="","Основний",$E409),{"Трафіковий","Основний","Маржинальний","Сезонний","Стратегічний"},0),Settings!$B$78,Settings!$B$80,Settings!$B$82,Settings!$B$84,Settings!$B$86))/6,2)*6,"")</f>
        <v/>
      </c>
      <c r="G409" s="142">
        <f>IFERROR(CHOOSE(MATCH(IF($E409="","Основний",$E409),{"Трафіковий","Основний","Маржинальний","Сезонний","Стратегічний"},0),Settings!$B$78,Settings!$B$80,Settings!$B$82,Settings!$B$84,Settings!$B$86),"")</f>
        <v/>
      </c>
      <c r="H409" s="148">
        <f>IFERROR((F409*(1-Settings!$B$17)-C409)/(F409*(1-Settings!$B$17)),"")</f>
        <v/>
      </c>
      <c r="I409" s="149">
        <f>IFERROR(IF(F409="","",IF(F409&gt;=C409/(1-SKU_Base!Z409)/(1-Settings!$B$17),"OK",IF(F409&gt;=C409/(1-SKU_Base!AG409)/(1-Settings!$B$17),"WARN","STOP"))),"")</f>
        <v/>
      </c>
      <c r="J409" s="160">
        <f>IFERROR(ROUND(D409*(1-CHOOSE(MATCH(IF($E409="","Основний",$E409),{"Трафіковий","Основний","Маржинальний","Сезонний","Стратегічний"},0),Settings!$C$78,Settings!$C$80,Settings!$C$82,Settings!$C$84,Settings!$C$86))/6,2)*6,"")</f>
        <v/>
      </c>
      <c r="K409" s="142">
        <f>IFERROR(CHOOSE(MATCH(IF($E409="","Основний",$E409),{"Трафіковий","Основний","Маржинальний","Сезонний","Стратегічний"},0),Settings!$C$78,Settings!$C$80,Settings!$C$82,Settings!$C$84,Settings!$C$86),"")</f>
        <v/>
      </c>
      <c r="L409" s="148">
        <f>IFERROR((J409*(1-Settings!$C$17)-C409)/(J409*(1-Settings!$C$17)),"")</f>
        <v/>
      </c>
      <c r="M409" s="149">
        <f>IFERROR(IF(J409="","",IF(J409&gt;=C409/(1-SKU_Base!AA409)/(1-Settings!$C$17),"OK",IF(J409&gt;=C409/(1-SKU_Base!AH409)/(1-Settings!$C$17),"WARN","STOP"))),"")</f>
        <v/>
      </c>
      <c r="N409" s="161">
        <f>IFERROR(ROUND(D409*(1-CHOOSE(MATCH(IF($E409="","Основний",$E409),{"Трафіковий","Основний","Маржинальний","Сезонний","Стратегічний"},0),Settings!$D$78,Settings!$D$80,Settings!$D$82,Settings!$D$84,Settings!$D$86))/6,2)*6,"")</f>
        <v/>
      </c>
      <c r="O409" s="142">
        <f>IFERROR(CHOOSE(MATCH(IF($E409="","Основний",$E409),{"Трафіковий","Основний","Маржинальний","Сезонний","Стратегічний"},0),Settings!$D$78,Settings!$D$80,Settings!$D$82,Settings!$D$84,Settings!$D$86),"")</f>
        <v/>
      </c>
      <c r="P409" s="148">
        <f>IFERROR((N409*(1-Settings!$D$17)-C409)/(N409*(1-Settings!$D$17)),"")</f>
        <v/>
      </c>
      <c r="Q409" s="149">
        <f>IFERROR(IF(N409="","",IF(N409&gt;=C409/(1-SKU_Base!AB409)/(1-Settings!$D$17),"OK",IF(N409&gt;=C409/(1-SKU_Base!AI409)/(1-Settings!$D$17),"WARN","STOP"))),"")</f>
        <v/>
      </c>
      <c r="R409" s="161">
        <f>IFERROR(ROUND(D409*(1-CHOOSE(MATCH(IF($E409="","Основний",$E409),{"Трафіковий","Основний","Маржинальний","Сезонний","Стратегічний"},0),Settings!$E$78,Settings!$E$80,Settings!$E$82,Settings!$E$84,Settings!$E$86))/6,2)*6,"")</f>
        <v/>
      </c>
      <c r="S409" s="142">
        <f>IFERROR(CHOOSE(MATCH(IF($E409="","Основний",$E409),{"Трафіковий","Основний","Маржинальний","Сезонний","Стратегічний"},0),Settings!$E$78,Settings!$E$80,Settings!$E$82,Settings!$E$84,Settings!$E$86),"")</f>
        <v/>
      </c>
      <c r="T409" s="148">
        <f>IFERROR((R409*(1-Settings!$E$17)-C409)/(R409*(1-Settings!$E$17)),"")</f>
        <v/>
      </c>
      <c r="U409" s="149">
        <f>IFERROR(IF(R409="","",IF(R409&gt;=C409/(1-SKU_Base!AC409)/(1-Settings!$E$17),"OK",IF(R409&gt;=C409/(1-SKU_Base!AJ409)/(1-Settings!$E$17),"WARN","STOP"))),"")</f>
        <v/>
      </c>
      <c r="V409" s="161">
        <f>IFERROR(ROUND(D409*(1-CHOOSE(MATCH(IF($E409="","Основний",$E409),{"Трафіковий","Основний","Маржинальний","Сезонний","Стратегічний"},0),Settings!$F$78,Settings!$F$80,Settings!$F$82,Settings!$F$84,Settings!$F$86))/6,2)*6,"")</f>
        <v/>
      </c>
      <c r="W409" s="142">
        <f>IFERROR(CHOOSE(MATCH(IF($E409="","Основний",$E409),{"Трафіковий","Основний","Маржинальний","Сезонний","Стратегічний"},0),Settings!$F$78,Settings!$F$80,Settings!$F$82,Settings!$F$84,Settings!$F$86),"")</f>
        <v/>
      </c>
      <c r="X409" s="148">
        <f>IFERROR((V409*(1-Settings!$F$17)-C409)/(V409*(1-Settings!$F$17)),"")</f>
        <v/>
      </c>
      <c r="Y409" s="149">
        <f>IFERROR(IF(V409="","",IF(V409&gt;=C409/(1-SKU_Base!AD409)/(1-Settings!$F$17),"OK",IF(V409&gt;=C409/(1-SKU_Base!AK409)/(1-Settings!$F$17),"WARN","STOP"))),"")</f>
        <v/>
      </c>
      <c r="Z409" s="161">
        <f>IFERROR(ROUND(D409*(1-CHOOSE(MATCH(IF($E409="","Основний",$E409),{"Трафіковий","Основний","Маржинальний","Сезонний","Стратегічний"},0),Settings!$G$78,Settings!$G$80,Settings!$G$82,Settings!$G$84,Settings!$G$86))/6,2)*6,"")</f>
        <v/>
      </c>
      <c r="AA409" s="142">
        <f>IFERROR(CHOOSE(MATCH(IF($E409="","Основний",$E409),{"Трафіковий","Основний","Маржинальний","Сезонний","Стратегічний"},0),Settings!$G$78,Settings!$G$80,Settings!$G$82,Settings!$G$84,Settings!$G$86),"")</f>
        <v/>
      </c>
      <c r="AB409" s="148">
        <f>IFERROR((Z409*(1-Settings!$G$17)-C409)/(Z409*(1-Settings!$G$17)),"")</f>
        <v/>
      </c>
      <c r="AC409" s="149">
        <f>IFERROR(IF(Z409="","",IF(Z409&gt;=C409/(1-SKU_Base!AE409)/(1-Settings!$G$17),"OK",IF(Z409&gt;=C409/(1-SKU_Base!AL409)/(1-Settings!$G$17),"WARN","STOP"))),"")</f>
        <v/>
      </c>
      <c r="AD409" s="161">
        <f>IFERROR(ROUND(D409*(1-CHOOSE(MATCH(IF($E409="","Основний",$E409),{"Трафіковий","Основний","Маржинальний","Сезонний","Стратегічний"},0),Settings!$H$78,Settings!$H$80,Settings!$H$82,Settings!$H$84,Settings!$H$86))*(1-Settings!$H$68)/6,2)*6,"")</f>
        <v/>
      </c>
      <c r="AE409" s="142">
        <f>IFERROR(CHOOSE(MATCH(IF($E409="","Основний",$E409),{"Трафіковий","Основний","Маржинальний","Сезонний","Стратегічний"},0),Settings!$H$78,Settings!$H$80,Settings!$H$82,Settings!$H$84,Settings!$H$86)+(1-(CHOOSE(MATCH(IF($E409="","Основний",$E409),{"Трафіковий","Основний","Маржинальний","Сезонний","Стратегічний"},0),Settings!$H$78,Settings!$H$80,Settings!$H$82,Settings!$H$84,Settings!$H$86)))*Settings!$H$68,"")</f>
        <v/>
      </c>
      <c r="AF409" s="148">
        <f>IFERROR((AD409*(1-Settings!$H$17)-C409)/(AD409*(1-Settings!$H$17)),"")</f>
        <v/>
      </c>
      <c r="AG409" s="149">
        <f>IFERROR(IF(AD409="","",IF(AD409&gt;=C409/(1-SKU_Base!AF409)/(1-Settings!$H$17),"OK",IF(AD409&gt;=C409/(1-SKU_Base!AM409)/(1-Settings!$H$17),"WARN","STOP"))),"")</f>
        <v/>
      </c>
    </row>
    <row r="410" ht="17" customHeight="1" s="179">
      <c r="A410" s="139">
        <f>SKU_Base!B410</f>
        <v/>
      </c>
      <c r="B410" s="139">
        <f>SKU_Base!C410</f>
        <v/>
      </c>
      <c r="C410" s="140">
        <f>IFERROR(SKU_Base!I410,"")</f>
        <v/>
      </c>
      <c r="D410" s="163">
        <f>IFERROR(SKU_Base!T410,"")</f>
        <v/>
      </c>
      <c r="E410" s="141">
        <f>IFERROR(SKU_Base!$U410,"")</f>
        <v/>
      </c>
      <c r="F410" s="158">
        <f>IFERROR(ROUND(D410*(1-CHOOSE(MATCH(IF($E410="","Основний",$E410),{"Трафіковий","Основний","Маржинальний","Сезонний","Стратегічний"},0),Settings!$B$78,Settings!$B$80,Settings!$B$82,Settings!$B$84,Settings!$B$86))/6,2)*6,"")</f>
        <v/>
      </c>
      <c r="G410" s="142">
        <f>IFERROR(CHOOSE(MATCH(IF($E410="","Основний",$E410),{"Трафіковий","Основний","Маржинальний","Сезонний","Стратегічний"},0),Settings!$B$78,Settings!$B$80,Settings!$B$82,Settings!$B$84,Settings!$B$86),"")</f>
        <v/>
      </c>
      <c r="H410" s="143">
        <f>IFERROR((F410*(1-Settings!$B$17)-C410)/(F410*(1-Settings!$B$17)),"")</f>
        <v/>
      </c>
      <c r="I410" s="149">
        <f>IFERROR(IF(F410="","",IF(F410&gt;=C410/(1-SKU_Base!Z410)/(1-Settings!$B$17),"OK",IF(F410&gt;=C410/(1-SKU_Base!AG410)/(1-Settings!$B$17),"WARN","STOP"))),"")</f>
        <v/>
      </c>
      <c r="J410" s="158">
        <f>IFERROR(ROUND(D410*(1-CHOOSE(MATCH(IF($E410="","Основний",$E410),{"Трафіковий","Основний","Маржинальний","Сезонний","Стратегічний"},0),Settings!$C$78,Settings!$C$80,Settings!$C$82,Settings!$C$84,Settings!$C$86))/6,2)*6,"")</f>
        <v/>
      </c>
      <c r="K410" s="142">
        <f>IFERROR(CHOOSE(MATCH(IF($E410="","Основний",$E410),{"Трафіковий","Основний","Маржинальний","Сезонний","Стратегічний"},0),Settings!$C$78,Settings!$C$80,Settings!$C$82,Settings!$C$84,Settings!$C$86),"")</f>
        <v/>
      </c>
      <c r="L410" s="143">
        <f>IFERROR((J410*(1-Settings!$C$17)-C410)/(J410*(1-Settings!$C$17)),"")</f>
        <v/>
      </c>
      <c r="M410" s="149">
        <f>IFERROR(IF(J410="","",IF(J410&gt;=C410/(1-SKU_Base!AA410)/(1-Settings!$C$17),"OK",IF(J410&gt;=C410/(1-SKU_Base!AH410)/(1-Settings!$C$17),"WARN","STOP"))),"")</f>
        <v/>
      </c>
      <c r="N410" s="159">
        <f>IFERROR(ROUND(D410*(1-CHOOSE(MATCH(IF($E410="","Основний",$E410),{"Трафіковий","Основний","Маржинальний","Сезонний","Стратегічний"},0),Settings!$D$78,Settings!$D$80,Settings!$D$82,Settings!$D$84,Settings!$D$86))/6,2)*6,"")</f>
        <v/>
      </c>
      <c r="O410" s="142">
        <f>IFERROR(CHOOSE(MATCH(IF($E410="","Основний",$E410),{"Трафіковий","Основний","Маржинальний","Сезонний","Стратегічний"},0),Settings!$D$78,Settings!$D$80,Settings!$D$82,Settings!$D$84,Settings!$D$86),"")</f>
        <v/>
      </c>
      <c r="P410" s="143">
        <f>IFERROR((N410*(1-Settings!$D$17)-C410)/(N410*(1-Settings!$D$17)),"")</f>
        <v/>
      </c>
      <c r="Q410" s="149">
        <f>IFERROR(IF(N410="","",IF(N410&gt;=C410/(1-SKU_Base!AB410)/(1-Settings!$D$17),"OK",IF(N410&gt;=C410/(1-SKU_Base!AI410)/(1-Settings!$D$17),"WARN","STOP"))),"")</f>
        <v/>
      </c>
      <c r="R410" s="159">
        <f>IFERROR(ROUND(D410*(1-CHOOSE(MATCH(IF($E410="","Основний",$E410),{"Трафіковий","Основний","Маржинальний","Сезонний","Стратегічний"},0),Settings!$E$78,Settings!$E$80,Settings!$E$82,Settings!$E$84,Settings!$E$86))/6,2)*6,"")</f>
        <v/>
      </c>
      <c r="S410" s="142">
        <f>IFERROR(CHOOSE(MATCH(IF($E410="","Основний",$E410),{"Трафіковий","Основний","Маржинальний","Сезонний","Стратегічний"},0),Settings!$E$78,Settings!$E$80,Settings!$E$82,Settings!$E$84,Settings!$E$86),"")</f>
        <v/>
      </c>
      <c r="T410" s="143">
        <f>IFERROR((R410*(1-Settings!$E$17)-C410)/(R410*(1-Settings!$E$17)),"")</f>
        <v/>
      </c>
      <c r="U410" s="149">
        <f>IFERROR(IF(R410="","",IF(R410&gt;=C410/(1-SKU_Base!AC410)/(1-Settings!$E$17),"OK",IF(R410&gt;=C410/(1-SKU_Base!AJ410)/(1-Settings!$E$17),"WARN","STOP"))),"")</f>
        <v/>
      </c>
      <c r="V410" s="159">
        <f>IFERROR(ROUND(D410*(1-CHOOSE(MATCH(IF($E410="","Основний",$E410),{"Трафіковий","Основний","Маржинальний","Сезонний","Стратегічний"},0),Settings!$F$78,Settings!$F$80,Settings!$F$82,Settings!$F$84,Settings!$F$86))/6,2)*6,"")</f>
        <v/>
      </c>
      <c r="W410" s="142">
        <f>IFERROR(CHOOSE(MATCH(IF($E410="","Основний",$E410),{"Трафіковий","Основний","Маржинальний","Сезонний","Стратегічний"},0),Settings!$F$78,Settings!$F$80,Settings!$F$82,Settings!$F$84,Settings!$F$86),"")</f>
        <v/>
      </c>
      <c r="X410" s="143">
        <f>IFERROR((V410*(1-Settings!$F$17)-C410)/(V410*(1-Settings!$F$17)),"")</f>
        <v/>
      </c>
      <c r="Y410" s="149">
        <f>IFERROR(IF(V410="","",IF(V410&gt;=C410/(1-SKU_Base!AD410)/(1-Settings!$F$17),"OK",IF(V410&gt;=C410/(1-SKU_Base!AK410)/(1-Settings!$F$17),"WARN","STOP"))),"")</f>
        <v/>
      </c>
      <c r="Z410" s="159">
        <f>IFERROR(ROUND(D410*(1-CHOOSE(MATCH(IF($E410="","Основний",$E410),{"Трафіковий","Основний","Маржинальний","Сезонний","Стратегічний"},0),Settings!$G$78,Settings!$G$80,Settings!$G$82,Settings!$G$84,Settings!$G$86))/6,2)*6,"")</f>
        <v/>
      </c>
      <c r="AA410" s="142">
        <f>IFERROR(CHOOSE(MATCH(IF($E410="","Основний",$E410),{"Трафіковий","Основний","Маржинальний","Сезонний","Стратегічний"},0),Settings!$G$78,Settings!$G$80,Settings!$G$82,Settings!$G$84,Settings!$G$86),"")</f>
        <v/>
      </c>
      <c r="AB410" s="143">
        <f>IFERROR((Z410*(1-Settings!$G$17)-C410)/(Z410*(1-Settings!$G$17)),"")</f>
        <v/>
      </c>
      <c r="AC410" s="149">
        <f>IFERROR(IF(Z410="","",IF(Z410&gt;=C410/(1-SKU_Base!AE410)/(1-Settings!$G$17),"OK",IF(Z410&gt;=C410/(1-SKU_Base!AL410)/(1-Settings!$G$17),"WARN","STOP"))),"")</f>
        <v/>
      </c>
      <c r="AD410" s="159">
        <f>IFERROR(ROUND(D410*(1-CHOOSE(MATCH(IF($E410="","Основний",$E410),{"Трафіковий","Основний","Маржинальний","Сезонний","Стратегічний"},0),Settings!$H$78,Settings!$H$80,Settings!$H$82,Settings!$H$84,Settings!$H$86))*(1-Settings!$H$68)/6,2)*6,"")</f>
        <v/>
      </c>
      <c r="AE410" s="142">
        <f>IFERROR(CHOOSE(MATCH(IF($E410="","Основний",$E410),{"Трафіковий","Основний","Маржинальний","Сезонний","Стратегічний"},0),Settings!$H$78,Settings!$H$80,Settings!$H$82,Settings!$H$84,Settings!$H$86)+(1-(CHOOSE(MATCH(IF($E410="","Основний",$E410),{"Трафіковий","Основний","Маржинальний","Сезонний","Стратегічний"},0),Settings!$H$78,Settings!$H$80,Settings!$H$82,Settings!$H$84,Settings!$H$86)))*Settings!$H$68,"")</f>
        <v/>
      </c>
      <c r="AF410" s="143">
        <f>IFERROR((AD410*(1-Settings!$H$17)-C410)/(AD410*(1-Settings!$H$17)),"")</f>
        <v/>
      </c>
      <c r="AG410" s="149">
        <f>IFERROR(IF(AD410="","",IF(AD410&gt;=C410/(1-SKU_Base!AF410)/(1-Settings!$H$17),"OK",IF(AD410&gt;=C410/(1-SKU_Base!AM410)/(1-Settings!$H$17),"WARN","STOP"))),"")</f>
        <v/>
      </c>
    </row>
    <row r="411" ht="17" customHeight="1" s="179">
      <c r="A411" s="146">
        <f>SKU_Base!B411</f>
        <v/>
      </c>
      <c r="B411" s="146">
        <f>SKU_Base!C411</f>
        <v/>
      </c>
      <c r="C411" s="147">
        <f>IFERROR(SKU_Base!I411,"")</f>
        <v/>
      </c>
      <c r="D411" s="164">
        <f>IFERROR(SKU_Base!T411,"")</f>
        <v/>
      </c>
      <c r="E411" s="141">
        <f>IFERROR(SKU_Base!$U411,"")</f>
        <v/>
      </c>
      <c r="F411" s="160">
        <f>IFERROR(ROUND(D411*(1-CHOOSE(MATCH(IF($E411="","Основний",$E411),{"Трафіковий","Основний","Маржинальний","Сезонний","Стратегічний"},0),Settings!$B$78,Settings!$B$80,Settings!$B$82,Settings!$B$84,Settings!$B$86))/6,2)*6,"")</f>
        <v/>
      </c>
      <c r="G411" s="142">
        <f>IFERROR(CHOOSE(MATCH(IF($E411="","Основний",$E411),{"Трафіковий","Основний","Маржинальний","Сезонний","Стратегічний"},0),Settings!$B$78,Settings!$B$80,Settings!$B$82,Settings!$B$84,Settings!$B$86),"")</f>
        <v/>
      </c>
      <c r="H411" s="148">
        <f>IFERROR((F411*(1-Settings!$B$17)-C411)/(F411*(1-Settings!$B$17)),"")</f>
        <v/>
      </c>
      <c r="I411" s="150">
        <f>IFERROR(IF(F411="","",IF(F411&gt;=C411/(1-SKU_Base!Z411)/(1-Settings!$B$17),"OK",IF(F411&gt;=C411/(1-SKU_Base!AG411)/(1-Settings!$B$17),"WARN","STOP"))),"")</f>
        <v/>
      </c>
      <c r="J411" s="160">
        <f>IFERROR(ROUND(D411*(1-CHOOSE(MATCH(IF($E411="","Основний",$E411),{"Трафіковий","Основний","Маржинальний","Сезонний","Стратегічний"},0),Settings!$C$78,Settings!$C$80,Settings!$C$82,Settings!$C$84,Settings!$C$86))/6,2)*6,"")</f>
        <v/>
      </c>
      <c r="K411" s="142">
        <f>IFERROR(CHOOSE(MATCH(IF($E411="","Основний",$E411),{"Трафіковий","Основний","Маржинальний","Сезонний","Стратегічний"},0),Settings!$C$78,Settings!$C$80,Settings!$C$82,Settings!$C$84,Settings!$C$86),"")</f>
        <v/>
      </c>
      <c r="L411" s="148">
        <f>IFERROR((J411*(1-Settings!$C$17)-C411)/(J411*(1-Settings!$C$17)),"")</f>
        <v/>
      </c>
      <c r="M411" s="149">
        <f>IFERROR(IF(J411="","",IF(J411&gt;=C411/(1-SKU_Base!AA411)/(1-Settings!$C$17),"OK",IF(J411&gt;=C411/(1-SKU_Base!AH411)/(1-Settings!$C$17),"WARN","STOP"))),"")</f>
        <v/>
      </c>
      <c r="N411" s="161">
        <f>IFERROR(ROUND(D411*(1-CHOOSE(MATCH(IF($E411="","Основний",$E411),{"Трафіковий","Основний","Маржинальний","Сезонний","Стратегічний"},0),Settings!$D$78,Settings!$D$80,Settings!$D$82,Settings!$D$84,Settings!$D$86))/6,2)*6,"")</f>
        <v/>
      </c>
      <c r="O411" s="142">
        <f>IFERROR(CHOOSE(MATCH(IF($E411="","Основний",$E411),{"Трафіковий","Основний","Маржинальний","Сезонний","Стратегічний"},0),Settings!$D$78,Settings!$D$80,Settings!$D$82,Settings!$D$84,Settings!$D$86),"")</f>
        <v/>
      </c>
      <c r="P411" s="148">
        <f>IFERROR((N411*(1-Settings!$D$17)-C411)/(N411*(1-Settings!$D$17)),"")</f>
        <v/>
      </c>
      <c r="Q411" s="149">
        <f>IFERROR(IF(N411="","",IF(N411&gt;=C411/(1-SKU_Base!AB411)/(1-Settings!$D$17),"OK",IF(N411&gt;=C411/(1-SKU_Base!AI411)/(1-Settings!$D$17),"WARN","STOP"))),"")</f>
        <v/>
      </c>
      <c r="R411" s="161">
        <f>IFERROR(ROUND(D411*(1-CHOOSE(MATCH(IF($E411="","Основний",$E411),{"Трафіковий","Основний","Маржинальний","Сезонний","Стратегічний"},0),Settings!$E$78,Settings!$E$80,Settings!$E$82,Settings!$E$84,Settings!$E$86))/6,2)*6,"")</f>
        <v/>
      </c>
      <c r="S411" s="142">
        <f>IFERROR(CHOOSE(MATCH(IF($E411="","Основний",$E411),{"Трафіковий","Основний","Маржинальний","Сезонний","Стратегічний"},0),Settings!$E$78,Settings!$E$80,Settings!$E$82,Settings!$E$84,Settings!$E$86),"")</f>
        <v/>
      </c>
      <c r="T411" s="148">
        <f>IFERROR((R411*(1-Settings!$E$17)-C411)/(R411*(1-Settings!$E$17)),"")</f>
        <v/>
      </c>
      <c r="U411" s="149">
        <f>IFERROR(IF(R411="","",IF(R411&gt;=C411/(1-SKU_Base!AC411)/(1-Settings!$E$17),"OK",IF(R411&gt;=C411/(1-SKU_Base!AJ411)/(1-Settings!$E$17),"WARN","STOP"))),"")</f>
        <v/>
      </c>
      <c r="V411" s="161">
        <f>IFERROR(ROUND(D411*(1-CHOOSE(MATCH(IF($E411="","Основний",$E411),{"Трафіковий","Основний","Маржинальний","Сезонний","Стратегічний"},0),Settings!$F$78,Settings!$F$80,Settings!$F$82,Settings!$F$84,Settings!$F$86))/6,2)*6,"")</f>
        <v/>
      </c>
      <c r="W411" s="142">
        <f>IFERROR(CHOOSE(MATCH(IF($E411="","Основний",$E411),{"Трафіковий","Основний","Маржинальний","Сезонний","Стратегічний"},0),Settings!$F$78,Settings!$F$80,Settings!$F$82,Settings!$F$84,Settings!$F$86),"")</f>
        <v/>
      </c>
      <c r="X411" s="148">
        <f>IFERROR((V411*(1-Settings!$F$17)-C411)/(V411*(1-Settings!$F$17)),"")</f>
        <v/>
      </c>
      <c r="Y411" s="149">
        <f>IFERROR(IF(V411="","",IF(V411&gt;=C411/(1-SKU_Base!AD411)/(1-Settings!$F$17),"OK",IF(V411&gt;=C411/(1-SKU_Base!AK411)/(1-Settings!$F$17),"WARN","STOP"))),"")</f>
        <v/>
      </c>
      <c r="Z411" s="161">
        <f>IFERROR(ROUND(D411*(1-CHOOSE(MATCH(IF($E411="","Основний",$E411),{"Трафіковий","Основний","Маржинальний","Сезонний","Стратегічний"},0),Settings!$G$78,Settings!$G$80,Settings!$G$82,Settings!$G$84,Settings!$G$86))/6,2)*6,"")</f>
        <v/>
      </c>
      <c r="AA411" s="142">
        <f>IFERROR(CHOOSE(MATCH(IF($E411="","Основний",$E411),{"Трафіковий","Основний","Маржинальний","Сезонний","Стратегічний"},0),Settings!$G$78,Settings!$G$80,Settings!$G$82,Settings!$G$84,Settings!$G$86),"")</f>
        <v/>
      </c>
      <c r="AB411" s="148">
        <f>IFERROR((Z411*(1-Settings!$G$17)-C411)/(Z411*(1-Settings!$G$17)),"")</f>
        <v/>
      </c>
      <c r="AC411" s="149">
        <f>IFERROR(IF(Z411="","",IF(Z411&gt;=C411/(1-SKU_Base!AE411)/(1-Settings!$G$17),"OK",IF(Z411&gt;=C411/(1-SKU_Base!AL411)/(1-Settings!$G$17),"WARN","STOP"))),"")</f>
        <v/>
      </c>
      <c r="AD411" s="161">
        <f>IFERROR(ROUND(D411*(1-CHOOSE(MATCH(IF($E411="","Основний",$E411),{"Трафіковий","Основний","Маржинальний","Сезонний","Стратегічний"},0),Settings!$H$78,Settings!$H$80,Settings!$H$82,Settings!$H$84,Settings!$H$86))*(1-Settings!$H$68)/6,2)*6,"")</f>
        <v/>
      </c>
      <c r="AE411" s="142">
        <f>IFERROR(CHOOSE(MATCH(IF($E411="","Основний",$E411),{"Трафіковий","Основний","Маржинальний","Сезонний","Стратегічний"},0),Settings!$H$78,Settings!$H$80,Settings!$H$82,Settings!$H$84,Settings!$H$86)+(1-(CHOOSE(MATCH(IF($E411="","Основний",$E411),{"Трафіковий","Основний","Маржинальний","Сезонний","Стратегічний"},0),Settings!$H$78,Settings!$H$80,Settings!$H$82,Settings!$H$84,Settings!$H$86)))*Settings!$H$68,"")</f>
        <v/>
      </c>
      <c r="AF411" s="148">
        <f>IFERROR((AD411*(1-Settings!$H$17)-C411)/(AD411*(1-Settings!$H$17)),"")</f>
        <v/>
      </c>
      <c r="AG411" s="150">
        <f>IFERROR(IF(AD411="","",IF(AD411&gt;=C411/(1-SKU_Base!AF411)/(1-Settings!$H$17),"OK",IF(AD411&gt;=C411/(1-SKU_Base!AM411)/(1-Settings!$H$17),"WARN","STOP"))),"")</f>
        <v/>
      </c>
    </row>
    <row r="412" ht="17" customHeight="1" s="179">
      <c r="A412" s="139">
        <f>SKU_Base!B412</f>
        <v/>
      </c>
      <c r="B412" s="139">
        <f>SKU_Base!C412</f>
        <v/>
      </c>
      <c r="C412" s="140">
        <f>IFERROR(SKU_Base!I412,"")</f>
        <v/>
      </c>
      <c r="D412" s="163">
        <f>IFERROR(SKU_Base!T412,"")</f>
        <v/>
      </c>
      <c r="E412" s="141">
        <f>IFERROR(SKU_Base!$U412,"")</f>
        <v/>
      </c>
      <c r="F412" s="158">
        <f>IFERROR(ROUND(D412*(1-CHOOSE(MATCH(IF($E412="","Основний",$E412),{"Трафіковий","Основний","Маржинальний","Сезонний","Стратегічний"},0),Settings!$B$78,Settings!$B$80,Settings!$B$82,Settings!$B$84,Settings!$B$86))/6,2)*6,"")</f>
        <v/>
      </c>
      <c r="G412" s="142">
        <f>IFERROR(CHOOSE(MATCH(IF($E412="","Основний",$E412),{"Трафіковий","Основний","Маржинальний","Сезонний","Стратегічний"},0),Settings!$B$78,Settings!$B$80,Settings!$B$82,Settings!$B$84,Settings!$B$86),"")</f>
        <v/>
      </c>
      <c r="H412" s="143">
        <f>IFERROR((F412*(1-Settings!$B$17)-C412)/(F412*(1-Settings!$B$17)),"")</f>
        <v/>
      </c>
      <c r="I412" s="150">
        <f>IFERROR(IF(F412="","",IF(F412&gt;=C412/(1-SKU_Base!Z412)/(1-Settings!$B$17),"OK",IF(F412&gt;=C412/(1-SKU_Base!AG412)/(1-Settings!$B$17),"WARN","STOP"))),"")</f>
        <v/>
      </c>
      <c r="J412" s="158">
        <f>IFERROR(ROUND(D412*(1-CHOOSE(MATCH(IF($E412="","Основний",$E412),{"Трафіковий","Основний","Маржинальний","Сезонний","Стратегічний"},0),Settings!$C$78,Settings!$C$80,Settings!$C$82,Settings!$C$84,Settings!$C$86))/6,2)*6,"")</f>
        <v/>
      </c>
      <c r="K412" s="142">
        <f>IFERROR(CHOOSE(MATCH(IF($E412="","Основний",$E412),{"Трафіковий","Основний","Маржинальний","Сезонний","Стратегічний"},0),Settings!$C$78,Settings!$C$80,Settings!$C$82,Settings!$C$84,Settings!$C$86),"")</f>
        <v/>
      </c>
      <c r="L412" s="143">
        <f>IFERROR((J412*(1-Settings!$C$17)-C412)/(J412*(1-Settings!$C$17)),"")</f>
        <v/>
      </c>
      <c r="M412" s="149">
        <f>IFERROR(IF(J412="","",IF(J412&gt;=C412/(1-SKU_Base!AA412)/(1-Settings!$C$17),"OK",IF(J412&gt;=C412/(1-SKU_Base!AH412)/(1-Settings!$C$17),"WARN","STOP"))),"")</f>
        <v/>
      </c>
      <c r="N412" s="159">
        <f>IFERROR(ROUND(D412*(1-CHOOSE(MATCH(IF($E412="","Основний",$E412),{"Трафіковий","Основний","Маржинальний","Сезонний","Стратегічний"},0),Settings!$D$78,Settings!$D$80,Settings!$D$82,Settings!$D$84,Settings!$D$86))/6,2)*6,"")</f>
        <v/>
      </c>
      <c r="O412" s="142">
        <f>IFERROR(CHOOSE(MATCH(IF($E412="","Основний",$E412),{"Трафіковий","Основний","Маржинальний","Сезонний","Стратегічний"},0),Settings!$D$78,Settings!$D$80,Settings!$D$82,Settings!$D$84,Settings!$D$86),"")</f>
        <v/>
      </c>
      <c r="P412" s="143">
        <f>IFERROR((N412*(1-Settings!$D$17)-C412)/(N412*(1-Settings!$D$17)),"")</f>
        <v/>
      </c>
      <c r="Q412" s="149">
        <f>IFERROR(IF(N412="","",IF(N412&gt;=C412/(1-SKU_Base!AB412)/(1-Settings!$D$17),"OK",IF(N412&gt;=C412/(1-SKU_Base!AI412)/(1-Settings!$D$17),"WARN","STOP"))),"")</f>
        <v/>
      </c>
      <c r="R412" s="159">
        <f>IFERROR(ROUND(D412*(1-CHOOSE(MATCH(IF($E412="","Основний",$E412),{"Трафіковий","Основний","Маржинальний","Сезонний","Стратегічний"},0),Settings!$E$78,Settings!$E$80,Settings!$E$82,Settings!$E$84,Settings!$E$86))/6,2)*6,"")</f>
        <v/>
      </c>
      <c r="S412" s="142">
        <f>IFERROR(CHOOSE(MATCH(IF($E412="","Основний",$E412),{"Трафіковий","Основний","Маржинальний","Сезонний","Стратегічний"},0),Settings!$E$78,Settings!$E$80,Settings!$E$82,Settings!$E$84,Settings!$E$86),"")</f>
        <v/>
      </c>
      <c r="T412" s="143">
        <f>IFERROR((R412*(1-Settings!$E$17)-C412)/(R412*(1-Settings!$E$17)),"")</f>
        <v/>
      </c>
      <c r="U412" s="149">
        <f>IFERROR(IF(R412="","",IF(R412&gt;=C412/(1-SKU_Base!AC412)/(1-Settings!$E$17),"OK",IF(R412&gt;=C412/(1-SKU_Base!AJ412)/(1-Settings!$E$17),"WARN","STOP"))),"")</f>
        <v/>
      </c>
      <c r="V412" s="159">
        <f>IFERROR(ROUND(D412*(1-CHOOSE(MATCH(IF($E412="","Основний",$E412),{"Трафіковий","Основний","Маржинальний","Сезонний","Стратегічний"},0),Settings!$F$78,Settings!$F$80,Settings!$F$82,Settings!$F$84,Settings!$F$86))/6,2)*6,"")</f>
        <v/>
      </c>
      <c r="W412" s="142">
        <f>IFERROR(CHOOSE(MATCH(IF($E412="","Основний",$E412),{"Трафіковий","Основний","Маржинальний","Сезонний","Стратегічний"},0),Settings!$F$78,Settings!$F$80,Settings!$F$82,Settings!$F$84,Settings!$F$86),"")</f>
        <v/>
      </c>
      <c r="X412" s="143">
        <f>IFERROR((V412*(1-Settings!$F$17)-C412)/(V412*(1-Settings!$F$17)),"")</f>
        <v/>
      </c>
      <c r="Y412" s="149">
        <f>IFERROR(IF(V412="","",IF(V412&gt;=C412/(1-SKU_Base!AD412)/(1-Settings!$F$17),"OK",IF(V412&gt;=C412/(1-SKU_Base!AK412)/(1-Settings!$F$17),"WARN","STOP"))),"")</f>
        <v/>
      </c>
      <c r="Z412" s="159">
        <f>IFERROR(ROUND(D412*(1-CHOOSE(MATCH(IF($E412="","Основний",$E412),{"Трафіковий","Основний","Маржинальний","Сезонний","Стратегічний"},0),Settings!$G$78,Settings!$G$80,Settings!$G$82,Settings!$G$84,Settings!$G$86))/6,2)*6,"")</f>
        <v/>
      </c>
      <c r="AA412" s="142">
        <f>IFERROR(CHOOSE(MATCH(IF($E412="","Основний",$E412),{"Трафіковий","Основний","Маржинальний","Сезонний","Стратегічний"},0),Settings!$G$78,Settings!$G$80,Settings!$G$82,Settings!$G$84,Settings!$G$86),"")</f>
        <v/>
      </c>
      <c r="AB412" s="143">
        <f>IFERROR((Z412*(1-Settings!$G$17)-C412)/(Z412*(1-Settings!$G$17)),"")</f>
        <v/>
      </c>
      <c r="AC412" s="149">
        <f>IFERROR(IF(Z412="","",IF(Z412&gt;=C412/(1-SKU_Base!AE412)/(1-Settings!$G$17),"OK",IF(Z412&gt;=C412/(1-SKU_Base!AL412)/(1-Settings!$G$17),"WARN","STOP"))),"")</f>
        <v/>
      </c>
      <c r="AD412" s="159">
        <f>IFERROR(ROUND(D412*(1-CHOOSE(MATCH(IF($E412="","Основний",$E412),{"Трафіковий","Основний","Маржинальний","Сезонний","Стратегічний"},0),Settings!$H$78,Settings!$H$80,Settings!$H$82,Settings!$H$84,Settings!$H$86))*(1-Settings!$H$68)/6,2)*6,"")</f>
        <v/>
      </c>
      <c r="AE412" s="142">
        <f>IFERROR(CHOOSE(MATCH(IF($E412="","Основний",$E412),{"Трафіковий","Основний","Маржинальний","Сезонний","Стратегічний"},0),Settings!$H$78,Settings!$H$80,Settings!$H$82,Settings!$H$84,Settings!$H$86)+(1-(CHOOSE(MATCH(IF($E412="","Основний",$E412),{"Трафіковий","Основний","Маржинальний","Сезонний","Стратегічний"},0),Settings!$H$78,Settings!$H$80,Settings!$H$82,Settings!$H$84,Settings!$H$86)))*Settings!$H$68,"")</f>
        <v/>
      </c>
      <c r="AF412" s="143">
        <f>IFERROR((AD412*(1-Settings!$H$17)-C412)/(AD412*(1-Settings!$H$17)),"")</f>
        <v/>
      </c>
      <c r="AG412" s="150">
        <f>IFERROR(IF(AD412="","",IF(AD412&gt;=C412/(1-SKU_Base!AF412)/(1-Settings!$H$17),"OK",IF(AD412&gt;=C412/(1-SKU_Base!AM412)/(1-Settings!$H$17),"WARN","STOP"))),"")</f>
        <v/>
      </c>
    </row>
    <row r="413" ht="17" customHeight="1" s="179">
      <c r="A413" s="146">
        <f>SKU_Base!B413</f>
        <v/>
      </c>
      <c r="B413" s="146">
        <f>SKU_Base!C413</f>
        <v/>
      </c>
      <c r="C413" s="147">
        <f>IFERROR(SKU_Base!I413,"")</f>
        <v/>
      </c>
      <c r="D413" s="164">
        <f>IFERROR(SKU_Base!T413,"")</f>
        <v/>
      </c>
      <c r="E413" s="141">
        <f>IFERROR(SKU_Base!$U413,"")</f>
        <v/>
      </c>
      <c r="F413" s="160">
        <f>IFERROR(ROUND(D413*(1-CHOOSE(MATCH(IF($E413="","Основний",$E413),{"Трафіковий","Основний","Маржинальний","Сезонний","Стратегічний"},0),Settings!$B$78,Settings!$B$80,Settings!$B$82,Settings!$B$84,Settings!$B$86))/6,2)*6,"")</f>
        <v/>
      </c>
      <c r="G413" s="142">
        <f>IFERROR(CHOOSE(MATCH(IF($E413="","Основний",$E413),{"Трафіковий","Основний","Маржинальний","Сезонний","Стратегічний"},0),Settings!$B$78,Settings!$B$80,Settings!$B$82,Settings!$B$84,Settings!$B$86),"")</f>
        <v/>
      </c>
      <c r="H413" s="148">
        <f>IFERROR((F413*(1-Settings!$B$17)-C413)/(F413*(1-Settings!$B$17)),"")</f>
        <v/>
      </c>
      <c r="I413" s="149">
        <f>IFERROR(IF(F413="","",IF(F413&gt;=C413/(1-SKU_Base!Z413)/(1-Settings!$B$17),"OK",IF(F413&gt;=C413/(1-SKU_Base!AG413)/(1-Settings!$B$17),"WARN","STOP"))),"")</f>
        <v/>
      </c>
      <c r="J413" s="160">
        <f>IFERROR(ROUND(D413*(1-CHOOSE(MATCH(IF($E413="","Основний",$E413),{"Трафіковий","Основний","Маржинальний","Сезонний","Стратегічний"},0),Settings!$C$78,Settings!$C$80,Settings!$C$82,Settings!$C$84,Settings!$C$86))/6,2)*6,"")</f>
        <v/>
      </c>
      <c r="K413" s="142">
        <f>IFERROR(CHOOSE(MATCH(IF($E413="","Основний",$E413),{"Трафіковий","Основний","Маржинальний","Сезонний","Стратегічний"},0),Settings!$C$78,Settings!$C$80,Settings!$C$82,Settings!$C$84,Settings!$C$86),"")</f>
        <v/>
      </c>
      <c r="L413" s="148">
        <f>IFERROR((J413*(1-Settings!$C$17)-C413)/(J413*(1-Settings!$C$17)),"")</f>
        <v/>
      </c>
      <c r="M413" s="149">
        <f>IFERROR(IF(J413="","",IF(J413&gt;=C413/(1-SKU_Base!AA413)/(1-Settings!$C$17),"OK",IF(J413&gt;=C413/(1-SKU_Base!AH413)/(1-Settings!$C$17),"WARN","STOP"))),"")</f>
        <v/>
      </c>
      <c r="N413" s="161">
        <f>IFERROR(ROUND(D413*(1-CHOOSE(MATCH(IF($E413="","Основний",$E413),{"Трафіковий","Основний","Маржинальний","Сезонний","Стратегічний"},0),Settings!$D$78,Settings!$D$80,Settings!$D$82,Settings!$D$84,Settings!$D$86))/6,2)*6,"")</f>
        <v/>
      </c>
      <c r="O413" s="142">
        <f>IFERROR(CHOOSE(MATCH(IF($E413="","Основний",$E413),{"Трафіковий","Основний","Маржинальний","Сезонний","Стратегічний"},0),Settings!$D$78,Settings!$D$80,Settings!$D$82,Settings!$D$84,Settings!$D$86),"")</f>
        <v/>
      </c>
      <c r="P413" s="148">
        <f>IFERROR((N413*(1-Settings!$D$17)-C413)/(N413*(1-Settings!$D$17)),"")</f>
        <v/>
      </c>
      <c r="Q413" s="149">
        <f>IFERROR(IF(N413="","",IF(N413&gt;=C413/(1-SKU_Base!AB413)/(1-Settings!$D$17),"OK",IF(N413&gt;=C413/(1-SKU_Base!AI413)/(1-Settings!$D$17),"WARN","STOP"))),"")</f>
        <v/>
      </c>
      <c r="R413" s="161">
        <f>IFERROR(ROUND(D413*(1-CHOOSE(MATCH(IF($E413="","Основний",$E413),{"Трафіковий","Основний","Маржинальний","Сезонний","Стратегічний"},0),Settings!$E$78,Settings!$E$80,Settings!$E$82,Settings!$E$84,Settings!$E$86))/6,2)*6,"")</f>
        <v/>
      </c>
      <c r="S413" s="142">
        <f>IFERROR(CHOOSE(MATCH(IF($E413="","Основний",$E413),{"Трафіковий","Основний","Маржинальний","Сезонний","Стратегічний"},0),Settings!$E$78,Settings!$E$80,Settings!$E$82,Settings!$E$84,Settings!$E$86),"")</f>
        <v/>
      </c>
      <c r="T413" s="148">
        <f>IFERROR((R413*(1-Settings!$E$17)-C413)/(R413*(1-Settings!$E$17)),"")</f>
        <v/>
      </c>
      <c r="U413" s="149">
        <f>IFERROR(IF(R413="","",IF(R413&gt;=C413/(1-SKU_Base!AC413)/(1-Settings!$E$17),"OK",IF(R413&gt;=C413/(1-SKU_Base!AJ413)/(1-Settings!$E$17),"WARN","STOP"))),"")</f>
        <v/>
      </c>
      <c r="V413" s="161">
        <f>IFERROR(ROUND(D413*(1-CHOOSE(MATCH(IF($E413="","Основний",$E413),{"Трафіковий","Основний","Маржинальний","Сезонний","Стратегічний"},0),Settings!$F$78,Settings!$F$80,Settings!$F$82,Settings!$F$84,Settings!$F$86))/6,2)*6,"")</f>
        <v/>
      </c>
      <c r="W413" s="142">
        <f>IFERROR(CHOOSE(MATCH(IF($E413="","Основний",$E413),{"Трафіковий","Основний","Маржинальний","Сезонний","Стратегічний"},0),Settings!$F$78,Settings!$F$80,Settings!$F$82,Settings!$F$84,Settings!$F$86),"")</f>
        <v/>
      </c>
      <c r="X413" s="148">
        <f>IFERROR((V413*(1-Settings!$F$17)-C413)/(V413*(1-Settings!$F$17)),"")</f>
        <v/>
      </c>
      <c r="Y413" s="149">
        <f>IFERROR(IF(V413="","",IF(V413&gt;=C413/(1-SKU_Base!AD413)/(1-Settings!$F$17),"OK",IF(V413&gt;=C413/(1-SKU_Base!AK413)/(1-Settings!$F$17),"WARN","STOP"))),"")</f>
        <v/>
      </c>
      <c r="Z413" s="161">
        <f>IFERROR(ROUND(D413*(1-CHOOSE(MATCH(IF($E413="","Основний",$E413),{"Трафіковий","Основний","Маржинальний","Сезонний","Стратегічний"},0),Settings!$G$78,Settings!$G$80,Settings!$G$82,Settings!$G$84,Settings!$G$86))/6,2)*6,"")</f>
        <v/>
      </c>
      <c r="AA413" s="142">
        <f>IFERROR(CHOOSE(MATCH(IF($E413="","Основний",$E413),{"Трафіковий","Основний","Маржинальний","Сезонний","Стратегічний"},0),Settings!$G$78,Settings!$G$80,Settings!$G$82,Settings!$G$84,Settings!$G$86),"")</f>
        <v/>
      </c>
      <c r="AB413" s="148">
        <f>IFERROR((Z413*(1-Settings!$G$17)-C413)/(Z413*(1-Settings!$G$17)),"")</f>
        <v/>
      </c>
      <c r="AC413" s="149">
        <f>IFERROR(IF(Z413="","",IF(Z413&gt;=C413/(1-SKU_Base!AE413)/(1-Settings!$G$17),"OK",IF(Z413&gt;=C413/(1-SKU_Base!AL413)/(1-Settings!$G$17),"WARN","STOP"))),"")</f>
        <v/>
      </c>
      <c r="AD413" s="161">
        <f>IFERROR(ROUND(D413*(1-CHOOSE(MATCH(IF($E413="","Основний",$E413),{"Трафіковий","Основний","Маржинальний","Сезонний","Стратегічний"},0),Settings!$H$78,Settings!$H$80,Settings!$H$82,Settings!$H$84,Settings!$H$86))*(1-Settings!$H$68)/6,2)*6,"")</f>
        <v/>
      </c>
      <c r="AE413" s="142">
        <f>IFERROR(CHOOSE(MATCH(IF($E413="","Основний",$E413),{"Трафіковий","Основний","Маржинальний","Сезонний","Стратегічний"},0),Settings!$H$78,Settings!$H$80,Settings!$H$82,Settings!$H$84,Settings!$H$86)+(1-(CHOOSE(MATCH(IF($E413="","Основний",$E413),{"Трафіковий","Основний","Маржинальний","Сезонний","Стратегічний"},0),Settings!$H$78,Settings!$H$80,Settings!$H$82,Settings!$H$84,Settings!$H$86)))*Settings!$H$68,"")</f>
        <v/>
      </c>
      <c r="AF413" s="148">
        <f>IFERROR((AD413*(1-Settings!$H$17)-C413)/(AD413*(1-Settings!$H$17)),"")</f>
        <v/>
      </c>
      <c r="AG413" s="149">
        <f>IFERROR(IF(AD413="","",IF(AD413&gt;=C413/(1-SKU_Base!AF413)/(1-Settings!$H$17),"OK",IF(AD413&gt;=C413/(1-SKU_Base!AM413)/(1-Settings!$H$17),"WARN","STOP"))),"")</f>
        <v/>
      </c>
    </row>
    <row r="414" ht="17" customHeight="1" s="179">
      <c r="A414" s="139">
        <f>SKU_Base!B414</f>
        <v/>
      </c>
      <c r="B414" s="139">
        <f>SKU_Base!C414</f>
        <v/>
      </c>
      <c r="C414" s="140">
        <f>IFERROR(SKU_Base!I414,"")</f>
        <v/>
      </c>
      <c r="D414" s="163">
        <f>IFERROR(SKU_Base!T414,"")</f>
        <v/>
      </c>
      <c r="E414" s="141">
        <f>IFERROR(SKU_Base!$U414,"")</f>
        <v/>
      </c>
      <c r="F414" s="158">
        <f>IFERROR(ROUND(D414*(1-CHOOSE(MATCH(IF($E414="","Основний",$E414),{"Трафіковий","Основний","Маржинальний","Сезонний","Стратегічний"},0),Settings!$B$78,Settings!$B$80,Settings!$B$82,Settings!$B$84,Settings!$B$86))/6,2)*6,"")</f>
        <v/>
      </c>
      <c r="G414" s="142">
        <f>IFERROR(CHOOSE(MATCH(IF($E414="","Основний",$E414),{"Трафіковий","Основний","Маржинальний","Сезонний","Стратегічний"},0),Settings!$B$78,Settings!$B$80,Settings!$B$82,Settings!$B$84,Settings!$B$86),"")</f>
        <v/>
      </c>
      <c r="H414" s="143">
        <f>IFERROR((F414*(1-Settings!$B$17)-C414)/(F414*(1-Settings!$B$17)),"")</f>
        <v/>
      </c>
      <c r="I414" s="149">
        <f>IFERROR(IF(F414="","",IF(F414&gt;=C414/(1-SKU_Base!Z414)/(1-Settings!$B$17),"OK",IF(F414&gt;=C414/(1-SKU_Base!AG414)/(1-Settings!$B$17),"WARN","STOP"))),"")</f>
        <v/>
      </c>
      <c r="J414" s="158">
        <f>IFERROR(ROUND(D414*(1-CHOOSE(MATCH(IF($E414="","Основний",$E414),{"Трафіковий","Основний","Маржинальний","Сезонний","Стратегічний"},0),Settings!$C$78,Settings!$C$80,Settings!$C$82,Settings!$C$84,Settings!$C$86))/6,2)*6,"")</f>
        <v/>
      </c>
      <c r="K414" s="142">
        <f>IFERROR(CHOOSE(MATCH(IF($E414="","Основний",$E414),{"Трафіковий","Основний","Маржинальний","Сезонний","Стратегічний"},0),Settings!$C$78,Settings!$C$80,Settings!$C$82,Settings!$C$84,Settings!$C$86),"")</f>
        <v/>
      </c>
      <c r="L414" s="143">
        <f>IFERROR((J414*(1-Settings!$C$17)-C414)/(J414*(1-Settings!$C$17)),"")</f>
        <v/>
      </c>
      <c r="M414" s="149">
        <f>IFERROR(IF(J414="","",IF(J414&gt;=C414/(1-SKU_Base!AA414)/(1-Settings!$C$17),"OK",IF(J414&gt;=C414/(1-SKU_Base!AH414)/(1-Settings!$C$17),"WARN","STOP"))),"")</f>
        <v/>
      </c>
      <c r="N414" s="159">
        <f>IFERROR(ROUND(D414*(1-CHOOSE(MATCH(IF($E414="","Основний",$E414),{"Трафіковий","Основний","Маржинальний","Сезонний","Стратегічний"},0),Settings!$D$78,Settings!$D$80,Settings!$D$82,Settings!$D$84,Settings!$D$86))/6,2)*6,"")</f>
        <v/>
      </c>
      <c r="O414" s="142">
        <f>IFERROR(CHOOSE(MATCH(IF($E414="","Основний",$E414),{"Трафіковий","Основний","Маржинальний","Сезонний","Стратегічний"},0),Settings!$D$78,Settings!$D$80,Settings!$D$82,Settings!$D$84,Settings!$D$86),"")</f>
        <v/>
      </c>
      <c r="P414" s="143">
        <f>IFERROR((N414*(1-Settings!$D$17)-C414)/(N414*(1-Settings!$D$17)),"")</f>
        <v/>
      </c>
      <c r="Q414" s="149">
        <f>IFERROR(IF(N414="","",IF(N414&gt;=C414/(1-SKU_Base!AB414)/(1-Settings!$D$17),"OK",IF(N414&gt;=C414/(1-SKU_Base!AI414)/(1-Settings!$D$17),"WARN","STOP"))),"")</f>
        <v/>
      </c>
      <c r="R414" s="159">
        <f>IFERROR(ROUND(D414*(1-CHOOSE(MATCH(IF($E414="","Основний",$E414),{"Трафіковий","Основний","Маржинальний","Сезонний","Стратегічний"},0),Settings!$E$78,Settings!$E$80,Settings!$E$82,Settings!$E$84,Settings!$E$86))/6,2)*6,"")</f>
        <v/>
      </c>
      <c r="S414" s="142">
        <f>IFERROR(CHOOSE(MATCH(IF($E414="","Основний",$E414),{"Трафіковий","Основний","Маржинальний","Сезонний","Стратегічний"},0),Settings!$E$78,Settings!$E$80,Settings!$E$82,Settings!$E$84,Settings!$E$86),"")</f>
        <v/>
      </c>
      <c r="T414" s="143">
        <f>IFERROR((R414*(1-Settings!$E$17)-C414)/(R414*(1-Settings!$E$17)),"")</f>
        <v/>
      </c>
      <c r="U414" s="149">
        <f>IFERROR(IF(R414="","",IF(R414&gt;=C414/(1-SKU_Base!AC414)/(1-Settings!$E$17),"OK",IF(R414&gt;=C414/(1-SKU_Base!AJ414)/(1-Settings!$E$17),"WARN","STOP"))),"")</f>
        <v/>
      </c>
      <c r="V414" s="159">
        <f>IFERROR(ROUND(D414*(1-CHOOSE(MATCH(IF($E414="","Основний",$E414),{"Трафіковий","Основний","Маржинальний","Сезонний","Стратегічний"},0),Settings!$F$78,Settings!$F$80,Settings!$F$82,Settings!$F$84,Settings!$F$86))/6,2)*6,"")</f>
        <v/>
      </c>
      <c r="W414" s="142">
        <f>IFERROR(CHOOSE(MATCH(IF($E414="","Основний",$E414),{"Трафіковий","Основний","Маржинальний","Сезонний","Стратегічний"},0),Settings!$F$78,Settings!$F$80,Settings!$F$82,Settings!$F$84,Settings!$F$86),"")</f>
        <v/>
      </c>
      <c r="X414" s="143">
        <f>IFERROR((V414*(1-Settings!$F$17)-C414)/(V414*(1-Settings!$F$17)),"")</f>
        <v/>
      </c>
      <c r="Y414" s="149">
        <f>IFERROR(IF(V414="","",IF(V414&gt;=C414/(1-SKU_Base!AD414)/(1-Settings!$F$17),"OK",IF(V414&gt;=C414/(1-SKU_Base!AK414)/(1-Settings!$F$17),"WARN","STOP"))),"")</f>
        <v/>
      </c>
      <c r="Z414" s="159">
        <f>IFERROR(ROUND(D414*(1-CHOOSE(MATCH(IF($E414="","Основний",$E414),{"Трафіковий","Основний","Маржинальний","Сезонний","Стратегічний"},0),Settings!$G$78,Settings!$G$80,Settings!$G$82,Settings!$G$84,Settings!$G$86))/6,2)*6,"")</f>
        <v/>
      </c>
      <c r="AA414" s="142">
        <f>IFERROR(CHOOSE(MATCH(IF($E414="","Основний",$E414),{"Трафіковий","Основний","Маржинальний","Сезонний","Стратегічний"},0),Settings!$G$78,Settings!$G$80,Settings!$G$82,Settings!$G$84,Settings!$G$86),"")</f>
        <v/>
      </c>
      <c r="AB414" s="143">
        <f>IFERROR((Z414*(1-Settings!$G$17)-C414)/(Z414*(1-Settings!$G$17)),"")</f>
        <v/>
      </c>
      <c r="AC414" s="149">
        <f>IFERROR(IF(Z414="","",IF(Z414&gt;=C414/(1-SKU_Base!AE414)/(1-Settings!$G$17),"OK",IF(Z414&gt;=C414/(1-SKU_Base!AL414)/(1-Settings!$G$17),"WARN","STOP"))),"")</f>
        <v/>
      </c>
      <c r="AD414" s="159">
        <f>IFERROR(ROUND(D414*(1-CHOOSE(MATCH(IF($E414="","Основний",$E414),{"Трафіковий","Основний","Маржинальний","Сезонний","Стратегічний"},0),Settings!$H$78,Settings!$H$80,Settings!$H$82,Settings!$H$84,Settings!$H$86))*(1-Settings!$H$68)/6,2)*6,"")</f>
        <v/>
      </c>
      <c r="AE414" s="142">
        <f>IFERROR(CHOOSE(MATCH(IF($E414="","Основний",$E414),{"Трафіковий","Основний","Маржинальний","Сезонний","Стратегічний"},0),Settings!$H$78,Settings!$H$80,Settings!$H$82,Settings!$H$84,Settings!$H$86)+(1-(CHOOSE(MATCH(IF($E414="","Основний",$E414),{"Трафіковий","Основний","Маржинальний","Сезонний","Стратегічний"},0),Settings!$H$78,Settings!$H$80,Settings!$H$82,Settings!$H$84,Settings!$H$86)))*Settings!$H$68,"")</f>
        <v/>
      </c>
      <c r="AF414" s="143">
        <f>IFERROR((AD414*(1-Settings!$H$17)-C414)/(AD414*(1-Settings!$H$17)),"")</f>
        <v/>
      </c>
      <c r="AG414" s="149">
        <f>IFERROR(IF(AD414="","",IF(AD414&gt;=C414/(1-SKU_Base!AF414)/(1-Settings!$H$17),"OK",IF(AD414&gt;=C414/(1-SKU_Base!AM414)/(1-Settings!$H$17),"WARN","STOP"))),"")</f>
        <v/>
      </c>
    </row>
    <row r="415" ht="17" customHeight="1" s="179">
      <c r="A415" s="146">
        <f>SKU_Base!B415</f>
        <v/>
      </c>
      <c r="B415" s="146">
        <f>SKU_Base!C415</f>
        <v/>
      </c>
      <c r="C415" s="147">
        <f>IFERROR(SKU_Base!I415,"")</f>
        <v/>
      </c>
      <c r="D415" s="164">
        <f>IFERROR(SKU_Base!T415,"")</f>
        <v/>
      </c>
      <c r="E415" s="141">
        <f>IFERROR(SKU_Base!$U415,"")</f>
        <v/>
      </c>
      <c r="F415" s="160">
        <f>IFERROR(ROUND(D415*(1-CHOOSE(MATCH(IF($E415="","Основний",$E415),{"Трафіковий","Основний","Маржинальний","Сезонний","Стратегічний"},0),Settings!$B$78,Settings!$B$80,Settings!$B$82,Settings!$B$84,Settings!$B$86))/6,2)*6,"")</f>
        <v/>
      </c>
      <c r="G415" s="142">
        <f>IFERROR(CHOOSE(MATCH(IF($E415="","Основний",$E415),{"Трафіковий","Основний","Маржинальний","Сезонний","Стратегічний"},0),Settings!$B$78,Settings!$B$80,Settings!$B$82,Settings!$B$84,Settings!$B$86),"")</f>
        <v/>
      </c>
      <c r="H415" s="148">
        <f>IFERROR((F415*(1-Settings!$B$17)-C415)/(F415*(1-Settings!$B$17)),"")</f>
        <v/>
      </c>
      <c r="I415" s="149">
        <f>IFERROR(IF(F415="","",IF(F415&gt;=C415/(1-SKU_Base!Z415)/(1-Settings!$B$17),"OK",IF(F415&gt;=C415/(1-SKU_Base!AG415)/(1-Settings!$B$17),"WARN","STOP"))),"")</f>
        <v/>
      </c>
      <c r="J415" s="160">
        <f>IFERROR(ROUND(D415*(1-CHOOSE(MATCH(IF($E415="","Основний",$E415),{"Трафіковий","Основний","Маржинальний","Сезонний","Стратегічний"},0),Settings!$C$78,Settings!$C$80,Settings!$C$82,Settings!$C$84,Settings!$C$86))/6,2)*6,"")</f>
        <v/>
      </c>
      <c r="K415" s="142">
        <f>IFERROR(CHOOSE(MATCH(IF($E415="","Основний",$E415),{"Трафіковий","Основний","Маржинальний","Сезонний","Стратегічний"},0),Settings!$C$78,Settings!$C$80,Settings!$C$82,Settings!$C$84,Settings!$C$86),"")</f>
        <v/>
      </c>
      <c r="L415" s="148">
        <f>IFERROR((J415*(1-Settings!$C$17)-C415)/(J415*(1-Settings!$C$17)),"")</f>
        <v/>
      </c>
      <c r="M415" s="149">
        <f>IFERROR(IF(J415="","",IF(J415&gt;=C415/(1-SKU_Base!AA415)/(1-Settings!$C$17),"OK",IF(J415&gt;=C415/(1-SKU_Base!AH415)/(1-Settings!$C$17),"WARN","STOP"))),"")</f>
        <v/>
      </c>
      <c r="N415" s="161">
        <f>IFERROR(ROUND(D415*(1-CHOOSE(MATCH(IF($E415="","Основний",$E415),{"Трафіковий","Основний","Маржинальний","Сезонний","Стратегічний"},0),Settings!$D$78,Settings!$D$80,Settings!$D$82,Settings!$D$84,Settings!$D$86))/6,2)*6,"")</f>
        <v/>
      </c>
      <c r="O415" s="142">
        <f>IFERROR(CHOOSE(MATCH(IF($E415="","Основний",$E415),{"Трафіковий","Основний","Маржинальний","Сезонний","Стратегічний"},0),Settings!$D$78,Settings!$D$80,Settings!$D$82,Settings!$D$84,Settings!$D$86),"")</f>
        <v/>
      </c>
      <c r="P415" s="148">
        <f>IFERROR((N415*(1-Settings!$D$17)-C415)/(N415*(1-Settings!$D$17)),"")</f>
        <v/>
      </c>
      <c r="Q415" s="149">
        <f>IFERROR(IF(N415="","",IF(N415&gt;=C415/(1-SKU_Base!AB415)/(1-Settings!$D$17),"OK",IF(N415&gt;=C415/(1-SKU_Base!AI415)/(1-Settings!$D$17),"WARN","STOP"))),"")</f>
        <v/>
      </c>
      <c r="R415" s="161">
        <f>IFERROR(ROUND(D415*(1-CHOOSE(MATCH(IF($E415="","Основний",$E415),{"Трафіковий","Основний","Маржинальний","Сезонний","Стратегічний"},0),Settings!$E$78,Settings!$E$80,Settings!$E$82,Settings!$E$84,Settings!$E$86))/6,2)*6,"")</f>
        <v/>
      </c>
      <c r="S415" s="142">
        <f>IFERROR(CHOOSE(MATCH(IF($E415="","Основний",$E415),{"Трафіковий","Основний","Маржинальний","Сезонний","Стратегічний"},0),Settings!$E$78,Settings!$E$80,Settings!$E$82,Settings!$E$84,Settings!$E$86),"")</f>
        <v/>
      </c>
      <c r="T415" s="148">
        <f>IFERROR((R415*(1-Settings!$E$17)-C415)/(R415*(1-Settings!$E$17)),"")</f>
        <v/>
      </c>
      <c r="U415" s="149">
        <f>IFERROR(IF(R415="","",IF(R415&gt;=C415/(1-SKU_Base!AC415)/(1-Settings!$E$17),"OK",IF(R415&gt;=C415/(1-SKU_Base!AJ415)/(1-Settings!$E$17),"WARN","STOP"))),"")</f>
        <v/>
      </c>
      <c r="V415" s="161">
        <f>IFERROR(ROUND(D415*(1-CHOOSE(MATCH(IF($E415="","Основний",$E415),{"Трафіковий","Основний","Маржинальний","Сезонний","Стратегічний"},0),Settings!$F$78,Settings!$F$80,Settings!$F$82,Settings!$F$84,Settings!$F$86))/6,2)*6,"")</f>
        <v/>
      </c>
      <c r="W415" s="142">
        <f>IFERROR(CHOOSE(MATCH(IF($E415="","Основний",$E415),{"Трафіковий","Основний","Маржинальний","Сезонний","Стратегічний"},0),Settings!$F$78,Settings!$F$80,Settings!$F$82,Settings!$F$84,Settings!$F$86),"")</f>
        <v/>
      </c>
      <c r="X415" s="148">
        <f>IFERROR((V415*(1-Settings!$F$17)-C415)/(V415*(1-Settings!$F$17)),"")</f>
        <v/>
      </c>
      <c r="Y415" s="149">
        <f>IFERROR(IF(V415="","",IF(V415&gt;=C415/(1-SKU_Base!AD415)/(1-Settings!$F$17),"OK",IF(V415&gt;=C415/(1-SKU_Base!AK415)/(1-Settings!$F$17),"WARN","STOP"))),"")</f>
        <v/>
      </c>
      <c r="Z415" s="161">
        <f>IFERROR(ROUND(D415*(1-CHOOSE(MATCH(IF($E415="","Основний",$E415),{"Трафіковий","Основний","Маржинальний","Сезонний","Стратегічний"},0),Settings!$G$78,Settings!$G$80,Settings!$G$82,Settings!$G$84,Settings!$G$86))/6,2)*6,"")</f>
        <v/>
      </c>
      <c r="AA415" s="142">
        <f>IFERROR(CHOOSE(MATCH(IF($E415="","Основний",$E415),{"Трафіковий","Основний","Маржинальний","Сезонний","Стратегічний"},0),Settings!$G$78,Settings!$G$80,Settings!$G$82,Settings!$G$84,Settings!$G$86),"")</f>
        <v/>
      </c>
      <c r="AB415" s="148">
        <f>IFERROR((Z415*(1-Settings!$G$17)-C415)/(Z415*(1-Settings!$G$17)),"")</f>
        <v/>
      </c>
      <c r="AC415" s="149">
        <f>IFERROR(IF(Z415="","",IF(Z415&gt;=C415/(1-SKU_Base!AE415)/(1-Settings!$G$17),"OK",IF(Z415&gt;=C415/(1-SKU_Base!AL415)/(1-Settings!$G$17),"WARN","STOP"))),"")</f>
        <v/>
      </c>
      <c r="AD415" s="161">
        <f>IFERROR(ROUND(D415*(1-CHOOSE(MATCH(IF($E415="","Основний",$E415),{"Трафіковий","Основний","Маржинальний","Сезонний","Стратегічний"},0),Settings!$H$78,Settings!$H$80,Settings!$H$82,Settings!$H$84,Settings!$H$86))*(1-Settings!$H$68)/6,2)*6,"")</f>
        <v/>
      </c>
      <c r="AE415" s="142">
        <f>IFERROR(CHOOSE(MATCH(IF($E415="","Основний",$E415),{"Трафіковий","Основний","Маржинальний","Сезонний","Стратегічний"},0),Settings!$H$78,Settings!$H$80,Settings!$H$82,Settings!$H$84,Settings!$H$86)+(1-(CHOOSE(MATCH(IF($E415="","Основний",$E415),{"Трафіковий","Основний","Маржинальний","Сезонний","Стратегічний"},0),Settings!$H$78,Settings!$H$80,Settings!$H$82,Settings!$H$84,Settings!$H$86)))*Settings!$H$68,"")</f>
        <v/>
      </c>
      <c r="AF415" s="148">
        <f>IFERROR((AD415*(1-Settings!$H$17)-C415)/(AD415*(1-Settings!$H$17)),"")</f>
        <v/>
      </c>
      <c r="AG415" s="149">
        <f>IFERROR(IF(AD415="","",IF(AD415&gt;=C415/(1-SKU_Base!AF415)/(1-Settings!$H$17),"OK",IF(AD415&gt;=C415/(1-SKU_Base!AM415)/(1-Settings!$H$17),"WARN","STOP"))),"")</f>
        <v/>
      </c>
    </row>
    <row r="416" ht="17" customHeight="1" s="179">
      <c r="A416" s="139">
        <f>SKU_Base!B416</f>
        <v/>
      </c>
      <c r="B416" s="139">
        <f>SKU_Base!C416</f>
        <v/>
      </c>
      <c r="C416" s="140">
        <f>IFERROR(SKU_Base!I416,"")</f>
        <v/>
      </c>
      <c r="D416" s="163">
        <f>IFERROR(SKU_Base!T416,"")</f>
        <v/>
      </c>
      <c r="E416" s="141">
        <f>IFERROR(SKU_Base!$U416,"")</f>
        <v/>
      </c>
      <c r="F416" s="158">
        <f>IFERROR(ROUND(D416*(1-CHOOSE(MATCH(IF($E416="","Основний",$E416),{"Трафіковий","Основний","Маржинальний","Сезонний","Стратегічний"},0),Settings!$B$78,Settings!$B$80,Settings!$B$82,Settings!$B$84,Settings!$B$86))/6,2)*6,"")</f>
        <v/>
      </c>
      <c r="G416" s="142">
        <f>IFERROR(CHOOSE(MATCH(IF($E416="","Основний",$E416),{"Трафіковий","Основний","Маржинальний","Сезонний","Стратегічний"},0),Settings!$B$78,Settings!$B$80,Settings!$B$82,Settings!$B$84,Settings!$B$86),"")</f>
        <v/>
      </c>
      <c r="H416" s="143">
        <f>IFERROR((F416*(1-Settings!$B$17)-C416)/(F416*(1-Settings!$B$17)),"")</f>
        <v/>
      </c>
      <c r="I416" s="150">
        <f>IFERROR(IF(F416="","",IF(F416&gt;=C416/(1-SKU_Base!Z416)/(1-Settings!$B$17),"OK",IF(F416&gt;=C416/(1-SKU_Base!AG416)/(1-Settings!$B$17),"WARN","STOP"))),"")</f>
        <v/>
      </c>
      <c r="J416" s="158">
        <f>IFERROR(ROUND(D416*(1-CHOOSE(MATCH(IF($E416="","Основний",$E416),{"Трафіковий","Основний","Маржинальний","Сезонний","Стратегічний"},0),Settings!$C$78,Settings!$C$80,Settings!$C$82,Settings!$C$84,Settings!$C$86))/6,2)*6,"")</f>
        <v/>
      </c>
      <c r="K416" s="142">
        <f>IFERROR(CHOOSE(MATCH(IF($E416="","Основний",$E416),{"Трафіковий","Основний","Маржинальний","Сезонний","Стратегічний"},0),Settings!$C$78,Settings!$C$80,Settings!$C$82,Settings!$C$84,Settings!$C$86),"")</f>
        <v/>
      </c>
      <c r="L416" s="143">
        <f>IFERROR((J416*(1-Settings!$C$17)-C416)/(J416*(1-Settings!$C$17)),"")</f>
        <v/>
      </c>
      <c r="M416" s="149">
        <f>IFERROR(IF(J416="","",IF(J416&gt;=C416/(1-SKU_Base!AA416)/(1-Settings!$C$17),"OK",IF(J416&gt;=C416/(1-SKU_Base!AH416)/(1-Settings!$C$17),"WARN","STOP"))),"")</f>
        <v/>
      </c>
      <c r="N416" s="159">
        <f>IFERROR(ROUND(D416*(1-CHOOSE(MATCH(IF($E416="","Основний",$E416),{"Трафіковий","Основний","Маржинальний","Сезонний","Стратегічний"},0),Settings!$D$78,Settings!$D$80,Settings!$D$82,Settings!$D$84,Settings!$D$86))/6,2)*6,"")</f>
        <v/>
      </c>
      <c r="O416" s="142">
        <f>IFERROR(CHOOSE(MATCH(IF($E416="","Основний",$E416),{"Трафіковий","Основний","Маржинальний","Сезонний","Стратегічний"},0),Settings!$D$78,Settings!$D$80,Settings!$D$82,Settings!$D$84,Settings!$D$86),"")</f>
        <v/>
      </c>
      <c r="P416" s="143">
        <f>IFERROR((N416*(1-Settings!$D$17)-C416)/(N416*(1-Settings!$D$17)),"")</f>
        <v/>
      </c>
      <c r="Q416" s="149">
        <f>IFERROR(IF(N416="","",IF(N416&gt;=C416/(1-SKU_Base!AB416)/(1-Settings!$D$17),"OK",IF(N416&gt;=C416/(1-SKU_Base!AI416)/(1-Settings!$D$17),"WARN","STOP"))),"")</f>
        <v/>
      </c>
      <c r="R416" s="159">
        <f>IFERROR(ROUND(D416*(1-CHOOSE(MATCH(IF($E416="","Основний",$E416),{"Трафіковий","Основний","Маржинальний","Сезонний","Стратегічний"},0),Settings!$E$78,Settings!$E$80,Settings!$E$82,Settings!$E$84,Settings!$E$86))/6,2)*6,"")</f>
        <v/>
      </c>
      <c r="S416" s="142">
        <f>IFERROR(CHOOSE(MATCH(IF($E416="","Основний",$E416),{"Трафіковий","Основний","Маржинальний","Сезонний","Стратегічний"},0),Settings!$E$78,Settings!$E$80,Settings!$E$82,Settings!$E$84,Settings!$E$86),"")</f>
        <v/>
      </c>
      <c r="T416" s="143">
        <f>IFERROR((R416*(1-Settings!$E$17)-C416)/(R416*(1-Settings!$E$17)),"")</f>
        <v/>
      </c>
      <c r="U416" s="149">
        <f>IFERROR(IF(R416="","",IF(R416&gt;=C416/(1-SKU_Base!AC416)/(1-Settings!$E$17),"OK",IF(R416&gt;=C416/(1-SKU_Base!AJ416)/(1-Settings!$E$17),"WARN","STOP"))),"")</f>
        <v/>
      </c>
      <c r="V416" s="159">
        <f>IFERROR(ROUND(D416*(1-CHOOSE(MATCH(IF($E416="","Основний",$E416),{"Трафіковий","Основний","Маржинальний","Сезонний","Стратегічний"},0),Settings!$F$78,Settings!$F$80,Settings!$F$82,Settings!$F$84,Settings!$F$86))/6,2)*6,"")</f>
        <v/>
      </c>
      <c r="W416" s="142">
        <f>IFERROR(CHOOSE(MATCH(IF($E416="","Основний",$E416),{"Трафіковий","Основний","Маржинальний","Сезонний","Стратегічний"},0),Settings!$F$78,Settings!$F$80,Settings!$F$82,Settings!$F$84,Settings!$F$86),"")</f>
        <v/>
      </c>
      <c r="X416" s="143">
        <f>IFERROR((V416*(1-Settings!$F$17)-C416)/(V416*(1-Settings!$F$17)),"")</f>
        <v/>
      </c>
      <c r="Y416" s="149">
        <f>IFERROR(IF(V416="","",IF(V416&gt;=C416/(1-SKU_Base!AD416)/(1-Settings!$F$17),"OK",IF(V416&gt;=C416/(1-SKU_Base!AK416)/(1-Settings!$F$17),"WARN","STOP"))),"")</f>
        <v/>
      </c>
      <c r="Z416" s="159">
        <f>IFERROR(ROUND(D416*(1-CHOOSE(MATCH(IF($E416="","Основний",$E416),{"Трафіковий","Основний","Маржинальний","Сезонний","Стратегічний"},0),Settings!$G$78,Settings!$G$80,Settings!$G$82,Settings!$G$84,Settings!$G$86))/6,2)*6,"")</f>
        <v/>
      </c>
      <c r="AA416" s="142">
        <f>IFERROR(CHOOSE(MATCH(IF($E416="","Основний",$E416),{"Трафіковий","Основний","Маржинальний","Сезонний","Стратегічний"},0),Settings!$G$78,Settings!$G$80,Settings!$G$82,Settings!$G$84,Settings!$G$86),"")</f>
        <v/>
      </c>
      <c r="AB416" s="143">
        <f>IFERROR((Z416*(1-Settings!$G$17)-C416)/(Z416*(1-Settings!$G$17)),"")</f>
        <v/>
      </c>
      <c r="AC416" s="149">
        <f>IFERROR(IF(Z416="","",IF(Z416&gt;=C416/(1-SKU_Base!AE416)/(1-Settings!$G$17),"OK",IF(Z416&gt;=C416/(1-SKU_Base!AL416)/(1-Settings!$G$17),"WARN","STOP"))),"")</f>
        <v/>
      </c>
      <c r="AD416" s="159">
        <f>IFERROR(ROUND(D416*(1-CHOOSE(MATCH(IF($E416="","Основний",$E416),{"Трафіковий","Основний","Маржинальний","Сезонний","Стратегічний"},0),Settings!$H$78,Settings!$H$80,Settings!$H$82,Settings!$H$84,Settings!$H$86))*(1-Settings!$H$68)/6,2)*6,"")</f>
        <v/>
      </c>
      <c r="AE416" s="142">
        <f>IFERROR(CHOOSE(MATCH(IF($E416="","Основний",$E416),{"Трафіковий","Основний","Маржинальний","Сезонний","Стратегічний"},0),Settings!$H$78,Settings!$H$80,Settings!$H$82,Settings!$H$84,Settings!$H$86)+(1-(CHOOSE(MATCH(IF($E416="","Основний",$E416),{"Трафіковий","Основний","Маржинальний","Сезонний","Стратегічний"},0),Settings!$H$78,Settings!$H$80,Settings!$H$82,Settings!$H$84,Settings!$H$86)))*Settings!$H$68,"")</f>
        <v/>
      </c>
      <c r="AF416" s="143">
        <f>IFERROR((AD416*(1-Settings!$H$17)-C416)/(AD416*(1-Settings!$H$17)),"")</f>
        <v/>
      </c>
      <c r="AG416" s="150">
        <f>IFERROR(IF(AD416="","",IF(AD416&gt;=C416/(1-SKU_Base!AF416)/(1-Settings!$H$17),"OK",IF(AD416&gt;=C416/(1-SKU_Base!AM416)/(1-Settings!$H$17),"WARN","STOP"))),"")</f>
        <v/>
      </c>
    </row>
    <row r="417" ht="17" customHeight="1" s="179">
      <c r="A417" s="146">
        <f>SKU_Base!B417</f>
        <v/>
      </c>
      <c r="B417" s="146">
        <f>SKU_Base!C417</f>
        <v/>
      </c>
      <c r="C417" s="147">
        <f>IFERROR(SKU_Base!I417,"")</f>
        <v/>
      </c>
      <c r="D417" s="164">
        <f>IFERROR(SKU_Base!T417,"")</f>
        <v/>
      </c>
      <c r="E417" s="141">
        <f>IFERROR(SKU_Base!$U417,"")</f>
        <v/>
      </c>
      <c r="F417" s="160">
        <f>IFERROR(ROUND(D417*(1-CHOOSE(MATCH(IF($E417="","Основний",$E417),{"Трафіковий","Основний","Маржинальний","Сезонний","Стратегічний"},0),Settings!$B$78,Settings!$B$80,Settings!$B$82,Settings!$B$84,Settings!$B$86))/6,2)*6,"")</f>
        <v/>
      </c>
      <c r="G417" s="142">
        <f>IFERROR(CHOOSE(MATCH(IF($E417="","Основний",$E417),{"Трафіковий","Основний","Маржинальний","Сезонний","Стратегічний"},0),Settings!$B$78,Settings!$B$80,Settings!$B$82,Settings!$B$84,Settings!$B$86),"")</f>
        <v/>
      </c>
      <c r="H417" s="148">
        <f>IFERROR((F417*(1-Settings!$B$17)-C417)/(F417*(1-Settings!$B$17)),"")</f>
        <v/>
      </c>
      <c r="I417" s="149">
        <f>IFERROR(IF(F417="","",IF(F417&gt;=C417/(1-SKU_Base!Z417)/(1-Settings!$B$17),"OK",IF(F417&gt;=C417/(1-SKU_Base!AG417)/(1-Settings!$B$17),"WARN","STOP"))),"")</f>
        <v/>
      </c>
      <c r="J417" s="160">
        <f>IFERROR(ROUND(D417*(1-CHOOSE(MATCH(IF($E417="","Основний",$E417),{"Трафіковий","Основний","Маржинальний","Сезонний","Стратегічний"},0),Settings!$C$78,Settings!$C$80,Settings!$C$82,Settings!$C$84,Settings!$C$86))/6,2)*6,"")</f>
        <v/>
      </c>
      <c r="K417" s="142">
        <f>IFERROR(CHOOSE(MATCH(IF($E417="","Основний",$E417),{"Трафіковий","Основний","Маржинальний","Сезонний","Стратегічний"},0),Settings!$C$78,Settings!$C$80,Settings!$C$82,Settings!$C$84,Settings!$C$86),"")</f>
        <v/>
      </c>
      <c r="L417" s="148">
        <f>IFERROR((J417*(1-Settings!$C$17)-C417)/(J417*(1-Settings!$C$17)),"")</f>
        <v/>
      </c>
      <c r="M417" s="149">
        <f>IFERROR(IF(J417="","",IF(J417&gt;=C417/(1-SKU_Base!AA417)/(1-Settings!$C$17),"OK",IF(J417&gt;=C417/(1-SKU_Base!AH417)/(1-Settings!$C$17),"WARN","STOP"))),"")</f>
        <v/>
      </c>
      <c r="N417" s="161">
        <f>IFERROR(ROUND(D417*(1-CHOOSE(MATCH(IF($E417="","Основний",$E417),{"Трафіковий","Основний","Маржинальний","Сезонний","Стратегічний"},0),Settings!$D$78,Settings!$D$80,Settings!$D$82,Settings!$D$84,Settings!$D$86))/6,2)*6,"")</f>
        <v/>
      </c>
      <c r="O417" s="142">
        <f>IFERROR(CHOOSE(MATCH(IF($E417="","Основний",$E417),{"Трафіковий","Основний","Маржинальний","Сезонний","Стратегічний"},0),Settings!$D$78,Settings!$D$80,Settings!$D$82,Settings!$D$84,Settings!$D$86),"")</f>
        <v/>
      </c>
      <c r="P417" s="148">
        <f>IFERROR((N417*(1-Settings!$D$17)-C417)/(N417*(1-Settings!$D$17)),"")</f>
        <v/>
      </c>
      <c r="Q417" s="149">
        <f>IFERROR(IF(N417="","",IF(N417&gt;=C417/(1-SKU_Base!AB417)/(1-Settings!$D$17),"OK",IF(N417&gt;=C417/(1-SKU_Base!AI417)/(1-Settings!$D$17),"WARN","STOP"))),"")</f>
        <v/>
      </c>
      <c r="R417" s="161">
        <f>IFERROR(ROUND(D417*(1-CHOOSE(MATCH(IF($E417="","Основний",$E417),{"Трафіковий","Основний","Маржинальний","Сезонний","Стратегічний"},0),Settings!$E$78,Settings!$E$80,Settings!$E$82,Settings!$E$84,Settings!$E$86))/6,2)*6,"")</f>
        <v/>
      </c>
      <c r="S417" s="142">
        <f>IFERROR(CHOOSE(MATCH(IF($E417="","Основний",$E417),{"Трафіковий","Основний","Маржинальний","Сезонний","Стратегічний"},0),Settings!$E$78,Settings!$E$80,Settings!$E$82,Settings!$E$84,Settings!$E$86),"")</f>
        <v/>
      </c>
      <c r="T417" s="148">
        <f>IFERROR((R417*(1-Settings!$E$17)-C417)/(R417*(1-Settings!$E$17)),"")</f>
        <v/>
      </c>
      <c r="U417" s="149">
        <f>IFERROR(IF(R417="","",IF(R417&gt;=C417/(1-SKU_Base!AC417)/(1-Settings!$E$17),"OK",IF(R417&gt;=C417/(1-SKU_Base!AJ417)/(1-Settings!$E$17),"WARN","STOP"))),"")</f>
        <v/>
      </c>
      <c r="V417" s="161">
        <f>IFERROR(ROUND(D417*(1-CHOOSE(MATCH(IF($E417="","Основний",$E417),{"Трафіковий","Основний","Маржинальний","Сезонний","Стратегічний"},0),Settings!$F$78,Settings!$F$80,Settings!$F$82,Settings!$F$84,Settings!$F$86))/6,2)*6,"")</f>
        <v/>
      </c>
      <c r="W417" s="142">
        <f>IFERROR(CHOOSE(MATCH(IF($E417="","Основний",$E417),{"Трафіковий","Основний","Маржинальний","Сезонний","Стратегічний"},0),Settings!$F$78,Settings!$F$80,Settings!$F$82,Settings!$F$84,Settings!$F$86),"")</f>
        <v/>
      </c>
      <c r="X417" s="148">
        <f>IFERROR((V417*(1-Settings!$F$17)-C417)/(V417*(1-Settings!$F$17)),"")</f>
        <v/>
      </c>
      <c r="Y417" s="149">
        <f>IFERROR(IF(V417="","",IF(V417&gt;=C417/(1-SKU_Base!AD417)/(1-Settings!$F$17),"OK",IF(V417&gt;=C417/(1-SKU_Base!AK417)/(1-Settings!$F$17),"WARN","STOP"))),"")</f>
        <v/>
      </c>
      <c r="Z417" s="161">
        <f>IFERROR(ROUND(D417*(1-CHOOSE(MATCH(IF($E417="","Основний",$E417),{"Трафіковий","Основний","Маржинальний","Сезонний","Стратегічний"},0),Settings!$G$78,Settings!$G$80,Settings!$G$82,Settings!$G$84,Settings!$G$86))/6,2)*6,"")</f>
        <v/>
      </c>
      <c r="AA417" s="142">
        <f>IFERROR(CHOOSE(MATCH(IF($E417="","Основний",$E417),{"Трафіковий","Основний","Маржинальний","Сезонний","Стратегічний"},0),Settings!$G$78,Settings!$G$80,Settings!$G$82,Settings!$G$84,Settings!$G$86),"")</f>
        <v/>
      </c>
      <c r="AB417" s="148">
        <f>IFERROR((Z417*(1-Settings!$G$17)-C417)/(Z417*(1-Settings!$G$17)),"")</f>
        <v/>
      </c>
      <c r="AC417" s="149">
        <f>IFERROR(IF(Z417="","",IF(Z417&gt;=C417/(1-SKU_Base!AE417)/(1-Settings!$G$17),"OK",IF(Z417&gt;=C417/(1-SKU_Base!AL417)/(1-Settings!$G$17),"WARN","STOP"))),"")</f>
        <v/>
      </c>
      <c r="AD417" s="161">
        <f>IFERROR(ROUND(D417*(1-CHOOSE(MATCH(IF($E417="","Основний",$E417),{"Трафіковий","Основний","Маржинальний","Сезонний","Стратегічний"},0),Settings!$H$78,Settings!$H$80,Settings!$H$82,Settings!$H$84,Settings!$H$86))*(1-Settings!$H$68)/6,2)*6,"")</f>
        <v/>
      </c>
      <c r="AE417" s="142">
        <f>IFERROR(CHOOSE(MATCH(IF($E417="","Основний",$E417),{"Трафіковий","Основний","Маржинальний","Сезонний","Стратегічний"},0),Settings!$H$78,Settings!$H$80,Settings!$H$82,Settings!$H$84,Settings!$H$86)+(1-(CHOOSE(MATCH(IF($E417="","Основний",$E417),{"Трафіковий","Основний","Маржинальний","Сезонний","Стратегічний"},0),Settings!$H$78,Settings!$H$80,Settings!$H$82,Settings!$H$84,Settings!$H$86)))*Settings!$H$68,"")</f>
        <v/>
      </c>
      <c r="AF417" s="148">
        <f>IFERROR((AD417*(1-Settings!$H$17)-C417)/(AD417*(1-Settings!$H$17)),"")</f>
        <v/>
      </c>
      <c r="AG417" s="150">
        <f>IFERROR(IF(AD417="","",IF(AD417&gt;=C417/(1-SKU_Base!AF417)/(1-Settings!$H$17),"OK",IF(AD417&gt;=C417/(1-SKU_Base!AM417)/(1-Settings!$H$17),"WARN","STOP"))),"")</f>
        <v/>
      </c>
    </row>
    <row r="418" ht="17" customHeight="1" s="179">
      <c r="A418" s="139">
        <f>SKU_Base!B418</f>
        <v/>
      </c>
      <c r="B418" s="139">
        <f>SKU_Base!C418</f>
        <v/>
      </c>
      <c r="C418" s="140">
        <f>IFERROR(SKU_Base!I418,"")</f>
        <v/>
      </c>
      <c r="D418" s="163">
        <f>IFERROR(SKU_Base!T418,"")</f>
        <v/>
      </c>
      <c r="E418" s="141">
        <f>IFERROR(SKU_Base!$U418,"")</f>
        <v/>
      </c>
      <c r="F418" s="158">
        <f>IFERROR(ROUND(D418*(1-CHOOSE(MATCH(IF($E418="","Основний",$E418),{"Трафіковий","Основний","Маржинальний","Сезонний","Стратегічний"},0),Settings!$B$78,Settings!$B$80,Settings!$B$82,Settings!$B$84,Settings!$B$86))/6,2)*6,"")</f>
        <v/>
      </c>
      <c r="G418" s="142">
        <f>IFERROR(CHOOSE(MATCH(IF($E418="","Основний",$E418),{"Трафіковий","Основний","Маржинальний","Сезонний","Стратегічний"},0),Settings!$B$78,Settings!$B$80,Settings!$B$82,Settings!$B$84,Settings!$B$86),"")</f>
        <v/>
      </c>
      <c r="H418" s="143">
        <f>IFERROR((F418*(1-Settings!$B$17)-C418)/(F418*(1-Settings!$B$17)),"")</f>
        <v/>
      </c>
      <c r="I418" s="149">
        <f>IFERROR(IF(F418="","",IF(F418&gt;=C418/(1-SKU_Base!Z418)/(1-Settings!$B$17),"OK",IF(F418&gt;=C418/(1-SKU_Base!AG418)/(1-Settings!$B$17),"WARN","STOP"))),"")</f>
        <v/>
      </c>
      <c r="J418" s="158">
        <f>IFERROR(ROUND(D418*(1-CHOOSE(MATCH(IF($E418="","Основний",$E418),{"Трафіковий","Основний","Маржинальний","Сезонний","Стратегічний"},0),Settings!$C$78,Settings!$C$80,Settings!$C$82,Settings!$C$84,Settings!$C$86))/6,2)*6,"")</f>
        <v/>
      </c>
      <c r="K418" s="142">
        <f>IFERROR(CHOOSE(MATCH(IF($E418="","Основний",$E418),{"Трафіковий","Основний","Маржинальний","Сезонний","Стратегічний"},0),Settings!$C$78,Settings!$C$80,Settings!$C$82,Settings!$C$84,Settings!$C$86),"")</f>
        <v/>
      </c>
      <c r="L418" s="143">
        <f>IFERROR((J418*(1-Settings!$C$17)-C418)/(J418*(1-Settings!$C$17)),"")</f>
        <v/>
      </c>
      <c r="M418" s="149">
        <f>IFERROR(IF(J418="","",IF(J418&gt;=C418/(1-SKU_Base!AA418)/(1-Settings!$C$17),"OK",IF(J418&gt;=C418/(1-SKU_Base!AH418)/(1-Settings!$C$17),"WARN","STOP"))),"")</f>
        <v/>
      </c>
      <c r="N418" s="159">
        <f>IFERROR(ROUND(D418*(1-CHOOSE(MATCH(IF($E418="","Основний",$E418),{"Трафіковий","Основний","Маржинальний","Сезонний","Стратегічний"},0),Settings!$D$78,Settings!$D$80,Settings!$D$82,Settings!$D$84,Settings!$D$86))/6,2)*6,"")</f>
        <v/>
      </c>
      <c r="O418" s="142">
        <f>IFERROR(CHOOSE(MATCH(IF($E418="","Основний",$E418),{"Трафіковий","Основний","Маржинальний","Сезонний","Стратегічний"},0),Settings!$D$78,Settings!$D$80,Settings!$D$82,Settings!$D$84,Settings!$D$86),"")</f>
        <v/>
      </c>
      <c r="P418" s="143">
        <f>IFERROR((N418*(1-Settings!$D$17)-C418)/(N418*(1-Settings!$D$17)),"")</f>
        <v/>
      </c>
      <c r="Q418" s="149">
        <f>IFERROR(IF(N418="","",IF(N418&gt;=C418/(1-SKU_Base!AB418)/(1-Settings!$D$17),"OK",IF(N418&gt;=C418/(1-SKU_Base!AI418)/(1-Settings!$D$17),"WARN","STOP"))),"")</f>
        <v/>
      </c>
      <c r="R418" s="159">
        <f>IFERROR(ROUND(D418*(1-CHOOSE(MATCH(IF($E418="","Основний",$E418),{"Трафіковий","Основний","Маржинальний","Сезонний","Стратегічний"},0),Settings!$E$78,Settings!$E$80,Settings!$E$82,Settings!$E$84,Settings!$E$86))/6,2)*6,"")</f>
        <v/>
      </c>
      <c r="S418" s="142">
        <f>IFERROR(CHOOSE(MATCH(IF($E418="","Основний",$E418),{"Трафіковий","Основний","Маржинальний","Сезонний","Стратегічний"},0),Settings!$E$78,Settings!$E$80,Settings!$E$82,Settings!$E$84,Settings!$E$86),"")</f>
        <v/>
      </c>
      <c r="T418" s="143">
        <f>IFERROR((R418*(1-Settings!$E$17)-C418)/(R418*(1-Settings!$E$17)),"")</f>
        <v/>
      </c>
      <c r="U418" s="149">
        <f>IFERROR(IF(R418="","",IF(R418&gt;=C418/(1-SKU_Base!AC418)/(1-Settings!$E$17),"OK",IF(R418&gt;=C418/(1-SKU_Base!AJ418)/(1-Settings!$E$17),"WARN","STOP"))),"")</f>
        <v/>
      </c>
      <c r="V418" s="159">
        <f>IFERROR(ROUND(D418*(1-CHOOSE(MATCH(IF($E418="","Основний",$E418),{"Трафіковий","Основний","Маржинальний","Сезонний","Стратегічний"},0),Settings!$F$78,Settings!$F$80,Settings!$F$82,Settings!$F$84,Settings!$F$86))/6,2)*6,"")</f>
        <v/>
      </c>
      <c r="W418" s="142">
        <f>IFERROR(CHOOSE(MATCH(IF($E418="","Основний",$E418),{"Трафіковий","Основний","Маржинальний","Сезонний","Стратегічний"},0),Settings!$F$78,Settings!$F$80,Settings!$F$82,Settings!$F$84,Settings!$F$86),"")</f>
        <v/>
      </c>
      <c r="X418" s="143">
        <f>IFERROR((V418*(1-Settings!$F$17)-C418)/(V418*(1-Settings!$F$17)),"")</f>
        <v/>
      </c>
      <c r="Y418" s="149">
        <f>IFERROR(IF(V418="","",IF(V418&gt;=C418/(1-SKU_Base!AD418)/(1-Settings!$F$17),"OK",IF(V418&gt;=C418/(1-SKU_Base!AK418)/(1-Settings!$F$17),"WARN","STOP"))),"")</f>
        <v/>
      </c>
      <c r="Z418" s="159">
        <f>IFERROR(ROUND(D418*(1-CHOOSE(MATCH(IF($E418="","Основний",$E418),{"Трафіковий","Основний","Маржинальний","Сезонний","Стратегічний"},0),Settings!$G$78,Settings!$G$80,Settings!$G$82,Settings!$G$84,Settings!$G$86))/6,2)*6,"")</f>
        <v/>
      </c>
      <c r="AA418" s="142">
        <f>IFERROR(CHOOSE(MATCH(IF($E418="","Основний",$E418),{"Трафіковий","Основний","Маржинальний","Сезонний","Стратегічний"},0),Settings!$G$78,Settings!$G$80,Settings!$G$82,Settings!$G$84,Settings!$G$86),"")</f>
        <v/>
      </c>
      <c r="AB418" s="143">
        <f>IFERROR((Z418*(1-Settings!$G$17)-C418)/(Z418*(1-Settings!$G$17)),"")</f>
        <v/>
      </c>
      <c r="AC418" s="149">
        <f>IFERROR(IF(Z418="","",IF(Z418&gt;=C418/(1-SKU_Base!AE418)/(1-Settings!$G$17),"OK",IF(Z418&gt;=C418/(1-SKU_Base!AL418)/(1-Settings!$G$17),"WARN","STOP"))),"")</f>
        <v/>
      </c>
      <c r="AD418" s="159">
        <f>IFERROR(ROUND(D418*(1-CHOOSE(MATCH(IF($E418="","Основний",$E418),{"Трафіковий","Основний","Маржинальний","Сезонний","Стратегічний"},0),Settings!$H$78,Settings!$H$80,Settings!$H$82,Settings!$H$84,Settings!$H$86))*(1-Settings!$H$68)/6,2)*6,"")</f>
        <v/>
      </c>
      <c r="AE418" s="142">
        <f>IFERROR(CHOOSE(MATCH(IF($E418="","Основний",$E418),{"Трафіковий","Основний","Маржинальний","Сезонний","Стратегічний"},0),Settings!$H$78,Settings!$H$80,Settings!$H$82,Settings!$H$84,Settings!$H$86)+(1-(CHOOSE(MATCH(IF($E418="","Основний",$E418),{"Трафіковий","Основний","Маржинальний","Сезонний","Стратегічний"},0),Settings!$H$78,Settings!$H$80,Settings!$H$82,Settings!$H$84,Settings!$H$86)))*Settings!$H$68,"")</f>
        <v/>
      </c>
      <c r="AF418" s="143">
        <f>IFERROR((AD418*(1-Settings!$H$17)-C418)/(AD418*(1-Settings!$H$17)),"")</f>
        <v/>
      </c>
      <c r="AG418" s="150">
        <f>IFERROR(IF(AD418="","",IF(AD418&gt;=C418/(1-SKU_Base!AF418)/(1-Settings!$H$17),"OK",IF(AD418&gt;=C418/(1-SKU_Base!AM418)/(1-Settings!$H$17),"WARN","STOP"))),"")</f>
        <v/>
      </c>
    </row>
    <row r="419" ht="17" customHeight="1" s="179">
      <c r="A419" s="146">
        <f>SKU_Base!B419</f>
        <v/>
      </c>
      <c r="B419" s="146">
        <f>SKU_Base!C419</f>
        <v/>
      </c>
      <c r="C419" s="147">
        <f>IFERROR(SKU_Base!I419,"")</f>
        <v/>
      </c>
      <c r="D419" s="164">
        <f>IFERROR(SKU_Base!T419,"")</f>
        <v/>
      </c>
      <c r="E419" s="141">
        <f>IFERROR(SKU_Base!$U419,"")</f>
        <v/>
      </c>
      <c r="F419" s="160">
        <f>IFERROR(ROUND(D419*(1-CHOOSE(MATCH(IF($E419="","Основний",$E419),{"Трафіковий","Основний","Маржинальний","Сезонний","Стратегічний"},0),Settings!$B$78,Settings!$B$80,Settings!$B$82,Settings!$B$84,Settings!$B$86))/6,2)*6,"")</f>
        <v/>
      </c>
      <c r="G419" s="142">
        <f>IFERROR(CHOOSE(MATCH(IF($E419="","Основний",$E419),{"Трафіковий","Основний","Маржинальний","Сезонний","Стратегічний"},0),Settings!$B$78,Settings!$B$80,Settings!$B$82,Settings!$B$84,Settings!$B$86),"")</f>
        <v/>
      </c>
      <c r="H419" s="148">
        <f>IFERROR((F419*(1-Settings!$B$17)-C419)/(F419*(1-Settings!$B$17)),"")</f>
        <v/>
      </c>
      <c r="I419" s="149">
        <f>IFERROR(IF(F419="","",IF(F419&gt;=C419/(1-SKU_Base!Z419)/(1-Settings!$B$17),"OK",IF(F419&gt;=C419/(1-SKU_Base!AG419)/(1-Settings!$B$17),"WARN","STOP"))),"")</f>
        <v/>
      </c>
      <c r="J419" s="160">
        <f>IFERROR(ROUND(D419*(1-CHOOSE(MATCH(IF($E419="","Основний",$E419),{"Трафіковий","Основний","Маржинальний","Сезонний","Стратегічний"},0),Settings!$C$78,Settings!$C$80,Settings!$C$82,Settings!$C$84,Settings!$C$86))/6,2)*6,"")</f>
        <v/>
      </c>
      <c r="K419" s="142">
        <f>IFERROR(CHOOSE(MATCH(IF($E419="","Основний",$E419),{"Трафіковий","Основний","Маржинальний","Сезонний","Стратегічний"},0),Settings!$C$78,Settings!$C$80,Settings!$C$82,Settings!$C$84,Settings!$C$86),"")</f>
        <v/>
      </c>
      <c r="L419" s="148">
        <f>IFERROR((J419*(1-Settings!$C$17)-C419)/(J419*(1-Settings!$C$17)),"")</f>
        <v/>
      </c>
      <c r="M419" s="149">
        <f>IFERROR(IF(J419="","",IF(J419&gt;=C419/(1-SKU_Base!AA419)/(1-Settings!$C$17),"OK",IF(J419&gt;=C419/(1-SKU_Base!AH419)/(1-Settings!$C$17),"WARN","STOP"))),"")</f>
        <v/>
      </c>
      <c r="N419" s="161">
        <f>IFERROR(ROUND(D419*(1-CHOOSE(MATCH(IF($E419="","Основний",$E419),{"Трафіковий","Основний","Маржинальний","Сезонний","Стратегічний"},0),Settings!$D$78,Settings!$D$80,Settings!$D$82,Settings!$D$84,Settings!$D$86))/6,2)*6,"")</f>
        <v/>
      </c>
      <c r="O419" s="142">
        <f>IFERROR(CHOOSE(MATCH(IF($E419="","Основний",$E419),{"Трафіковий","Основний","Маржинальний","Сезонний","Стратегічний"},0),Settings!$D$78,Settings!$D$80,Settings!$D$82,Settings!$D$84,Settings!$D$86),"")</f>
        <v/>
      </c>
      <c r="P419" s="148">
        <f>IFERROR((N419*(1-Settings!$D$17)-C419)/(N419*(1-Settings!$D$17)),"")</f>
        <v/>
      </c>
      <c r="Q419" s="149">
        <f>IFERROR(IF(N419="","",IF(N419&gt;=C419/(1-SKU_Base!AB419)/(1-Settings!$D$17),"OK",IF(N419&gt;=C419/(1-SKU_Base!AI419)/(1-Settings!$D$17),"WARN","STOP"))),"")</f>
        <v/>
      </c>
      <c r="R419" s="161">
        <f>IFERROR(ROUND(D419*(1-CHOOSE(MATCH(IF($E419="","Основний",$E419),{"Трафіковий","Основний","Маржинальний","Сезонний","Стратегічний"},0),Settings!$E$78,Settings!$E$80,Settings!$E$82,Settings!$E$84,Settings!$E$86))/6,2)*6,"")</f>
        <v/>
      </c>
      <c r="S419" s="142">
        <f>IFERROR(CHOOSE(MATCH(IF($E419="","Основний",$E419),{"Трафіковий","Основний","Маржинальний","Сезонний","Стратегічний"},0),Settings!$E$78,Settings!$E$80,Settings!$E$82,Settings!$E$84,Settings!$E$86),"")</f>
        <v/>
      </c>
      <c r="T419" s="148">
        <f>IFERROR((R419*(1-Settings!$E$17)-C419)/(R419*(1-Settings!$E$17)),"")</f>
        <v/>
      </c>
      <c r="U419" s="149">
        <f>IFERROR(IF(R419="","",IF(R419&gt;=C419/(1-SKU_Base!AC419)/(1-Settings!$E$17),"OK",IF(R419&gt;=C419/(1-SKU_Base!AJ419)/(1-Settings!$E$17),"WARN","STOP"))),"")</f>
        <v/>
      </c>
      <c r="V419" s="161">
        <f>IFERROR(ROUND(D419*(1-CHOOSE(MATCH(IF($E419="","Основний",$E419),{"Трафіковий","Основний","Маржинальний","Сезонний","Стратегічний"},0),Settings!$F$78,Settings!$F$80,Settings!$F$82,Settings!$F$84,Settings!$F$86))/6,2)*6,"")</f>
        <v/>
      </c>
      <c r="W419" s="142">
        <f>IFERROR(CHOOSE(MATCH(IF($E419="","Основний",$E419),{"Трафіковий","Основний","Маржинальний","Сезонний","Стратегічний"},0),Settings!$F$78,Settings!$F$80,Settings!$F$82,Settings!$F$84,Settings!$F$86),"")</f>
        <v/>
      </c>
      <c r="X419" s="148">
        <f>IFERROR((V419*(1-Settings!$F$17)-C419)/(V419*(1-Settings!$F$17)),"")</f>
        <v/>
      </c>
      <c r="Y419" s="149">
        <f>IFERROR(IF(V419="","",IF(V419&gt;=C419/(1-SKU_Base!AD419)/(1-Settings!$F$17),"OK",IF(V419&gt;=C419/(1-SKU_Base!AK419)/(1-Settings!$F$17),"WARN","STOP"))),"")</f>
        <v/>
      </c>
      <c r="Z419" s="161">
        <f>IFERROR(ROUND(D419*(1-CHOOSE(MATCH(IF($E419="","Основний",$E419),{"Трафіковий","Основний","Маржинальний","Сезонний","Стратегічний"},0),Settings!$G$78,Settings!$G$80,Settings!$G$82,Settings!$G$84,Settings!$G$86))/6,2)*6,"")</f>
        <v/>
      </c>
      <c r="AA419" s="142">
        <f>IFERROR(CHOOSE(MATCH(IF($E419="","Основний",$E419),{"Трафіковий","Основний","Маржинальний","Сезонний","Стратегічний"},0),Settings!$G$78,Settings!$G$80,Settings!$G$82,Settings!$G$84,Settings!$G$86),"")</f>
        <v/>
      </c>
      <c r="AB419" s="148">
        <f>IFERROR((Z419*(1-Settings!$G$17)-C419)/(Z419*(1-Settings!$G$17)),"")</f>
        <v/>
      </c>
      <c r="AC419" s="149">
        <f>IFERROR(IF(Z419="","",IF(Z419&gt;=C419/(1-SKU_Base!AE419)/(1-Settings!$G$17),"OK",IF(Z419&gt;=C419/(1-SKU_Base!AL419)/(1-Settings!$G$17),"WARN","STOP"))),"")</f>
        <v/>
      </c>
      <c r="AD419" s="161">
        <f>IFERROR(ROUND(D419*(1-CHOOSE(MATCH(IF($E419="","Основний",$E419),{"Трафіковий","Основний","Маржинальний","Сезонний","Стратегічний"},0),Settings!$H$78,Settings!$H$80,Settings!$H$82,Settings!$H$84,Settings!$H$86))*(1-Settings!$H$68)/6,2)*6,"")</f>
        <v/>
      </c>
      <c r="AE419" s="142">
        <f>IFERROR(CHOOSE(MATCH(IF($E419="","Основний",$E419),{"Трафіковий","Основний","Маржинальний","Сезонний","Стратегічний"},0),Settings!$H$78,Settings!$H$80,Settings!$H$82,Settings!$H$84,Settings!$H$86)+(1-(CHOOSE(MATCH(IF($E419="","Основний",$E419),{"Трафіковий","Основний","Маржинальний","Сезонний","Стратегічний"},0),Settings!$H$78,Settings!$H$80,Settings!$H$82,Settings!$H$84,Settings!$H$86)))*Settings!$H$68,"")</f>
        <v/>
      </c>
      <c r="AF419" s="148">
        <f>IFERROR((AD419*(1-Settings!$H$17)-C419)/(AD419*(1-Settings!$H$17)),"")</f>
        <v/>
      </c>
      <c r="AG419" s="150">
        <f>IFERROR(IF(AD419="","",IF(AD419&gt;=C419/(1-SKU_Base!AF419)/(1-Settings!$H$17),"OK",IF(AD419&gt;=C419/(1-SKU_Base!AM419)/(1-Settings!$H$17),"WARN","STOP"))),"")</f>
        <v/>
      </c>
    </row>
    <row r="420" ht="17" customHeight="1" s="179">
      <c r="A420" s="139">
        <f>SKU_Base!B420</f>
        <v/>
      </c>
      <c r="B420" s="139">
        <f>SKU_Base!C420</f>
        <v/>
      </c>
      <c r="C420" s="140">
        <f>IFERROR(SKU_Base!I420,"")</f>
        <v/>
      </c>
      <c r="D420" s="163">
        <f>IFERROR(SKU_Base!T420,"")</f>
        <v/>
      </c>
      <c r="E420" s="141">
        <f>IFERROR(SKU_Base!$U420,"")</f>
        <v/>
      </c>
      <c r="F420" s="158">
        <f>IFERROR(ROUND(D420*(1-CHOOSE(MATCH(IF($E420="","Основний",$E420),{"Трафіковий","Основний","Маржинальний","Сезонний","Стратегічний"},0),Settings!$B$78,Settings!$B$80,Settings!$B$82,Settings!$B$84,Settings!$B$86))/6,2)*6,"")</f>
        <v/>
      </c>
      <c r="G420" s="142">
        <f>IFERROR(CHOOSE(MATCH(IF($E420="","Основний",$E420),{"Трафіковий","Основний","Маржинальний","Сезонний","Стратегічний"},0),Settings!$B$78,Settings!$B$80,Settings!$B$82,Settings!$B$84,Settings!$B$86),"")</f>
        <v/>
      </c>
      <c r="H420" s="143">
        <f>IFERROR((F420*(1-Settings!$B$17)-C420)/(F420*(1-Settings!$B$17)),"")</f>
        <v/>
      </c>
      <c r="I420" s="149">
        <f>IFERROR(IF(F420="","",IF(F420&gt;=C420/(1-SKU_Base!Z420)/(1-Settings!$B$17),"OK",IF(F420&gt;=C420/(1-SKU_Base!AG420)/(1-Settings!$B$17),"WARN","STOP"))),"")</f>
        <v/>
      </c>
      <c r="J420" s="158">
        <f>IFERROR(ROUND(D420*(1-CHOOSE(MATCH(IF($E420="","Основний",$E420),{"Трафіковий","Основний","Маржинальний","Сезонний","Стратегічний"},0),Settings!$C$78,Settings!$C$80,Settings!$C$82,Settings!$C$84,Settings!$C$86))/6,2)*6,"")</f>
        <v/>
      </c>
      <c r="K420" s="142">
        <f>IFERROR(CHOOSE(MATCH(IF($E420="","Основний",$E420),{"Трафіковий","Основний","Маржинальний","Сезонний","Стратегічний"},0),Settings!$C$78,Settings!$C$80,Settings!$C$82,Settings!$C$84,Settings!$C$86),"")</f>
        <v/>
      </c>
      <c r="L420" s="143">
        <f>IFERROR((J420*(1-Settings!$C$17)-C420)/(J420*(1-Settings!$C$17)),"")</f>
        <v/>
      </c>
      <c r="M420" s="149">
        <f>IFERROR(IF(J420="","",IF(J420&gt;=C420/(1-SKU_Base!AA420)/(1-Settings!$C$17),"OK",IF(J420&gt;=C420/(1-SKU_Base!AH420)/(1-Settings!$C$17),"WARN","STOP"))),"")</f>
        <v/>
      </c>
      <c r="N420" s="159">
        <f>IFERROR(ROUND(D420*(1-CHOOSE(MATCH(IF($E420="","Основний",$E420),{"Трафіковий","Основний","Маржинальний","Сезонний","Стратегічний"},0),Settings!$D$78,Settings!$D$80,Settings!$D$82,Settings!$D$84,Settings!$D$86))/6,2)*6,"")</f>
        <v/>
      </c>
      <c r="O420" s="142">
        <f>IFERROR(CHOOSE(MATCH(IF($E420="","Основний",$E420),{"Трафіковий","Основний","Маржинальний","Сезонний","Стратегічний"},0),Settings!$D$78,Settings!$D$80,Settings!$D$82,Settings!$D$84,Settings!$D$86),"")</f>
        <v/>
      </c>
      <c r="P420" s="143">
        <f>IFERROR((N420*(1-Settings!$D$17)-C420)/(N420*(1-Settings!$D$17)),"")</f>
        <v/>
      </c>
      <c r="Q420" s="149">
        <f>IFERROR(IF(N420="","",IF(N420&gt;=C420/(1-SKU_Base!AB420)/(1-Settings!$D$17),"OK",IF(N420&gt;=C420/(1-SKU_Base!AI420)/(1-Settings!$D$17),"WARN","STOP"))),"")</f>
        <v/>
      </c>
      <c r="R420" s="159">
        <f>IFERROR(ROUND(D420*(1-CHOOSE(MATCH(IF($E420="","Основний",$E420),{"Трафіковий","Основний","Маржинальний","Сезонний","Стратегічний"},0),Settings!$E$78,Settings!$E$80,Settings!$E$82,Settings!$E$84,Settings!$E$86))/6,2)*6,"")</f>
        <v/>
      </c>
      <c r="S420" s="142">
        <f>IFERROR(CHOOSE(MATCH(IF($E420="","Основний",$E420),{"Трафіковий","Основний","Маржинальний","Сезонний","Стратегічний"},0),Settings!$E$78,Settings!$E$80,Settings!$E$82,Settings!$E$84,Settings!$E$86),"")</f>
        <v/>
      </c>
      <c r="T420" s="143">
        <f>IFERROR((R420*(1-Settings!$E$17)-C420)/(R420*(1-Settings!$E$17)),"")</f>
        <v/>
      </c>
      <c r="U420" s="149">
        <f>IFERROR(IF(R420="","",IF(R420&gt;=C420/(1-SKU_Base!AC420)/(1-Settings!$E$17),"OK",IF(R420&gt;=C420/(1-SKU_Base!AJ420)/(1-Settings!$E$17),"WARN","STOP"))),"")</f>
        <v/>
      </c>
      <c r="V420" s="159">
        <f>IFERROR(ROUND(D420*(1-CHOOSE(MATCH(IF($E420="","Основний",$E420),{"Трафіковий","Основний","Маржинальний","Сезонний","Стратегічний"},0),Settings!$F$78,Settings!$F$80,Settings!$F$82,Settings!$F$84,Settings!$F$86))/6,2)*6,"")</f>
        <v/>
      </c>
      <c r="W420" s="142">
        <f>IFERROR(CHOOSE(MATCH(IF($E420="","Основний",$E420),{"Трафіковий","Основний","Маржинальний","Сезонний","Стратегічний"},0),Settings!$F$78,Settings!$F$80,Settings!$F$82,Settings!$F$84,Settings!$F$86),"")</f>
        <v/>
      </c>
      <c r="X420" s="143">
        <f>IFERROR((V420*(1-Settings!$F$17)-C420)/(V420*(1-Settings!$F$17)),"")</f>
        <v/>
      </c>
      <c r="Y420" s="149">
        <f>IFERROR(IF(V420="","",IF(V420&gt;=C420/(1-SKU_Base!AD420)/(1-Settings!$F$17),"OK",IF(V420&gt;=C420/(1-SKU_Base!AK420)/(1-Settings!$F$17),"WARN","STOP"))),"")</f>
        <v/>
      </c>
      <c r="Z420" s="159">
        <f>IFERROR(ROUND(D420*(1-CHOOSE(MATCH(IF($E420="","Основний",$E420),{"Трафіковий","Основний","Маржинальний","Сезонний","Стратегічний"},0),Settings!$G$78,Settings!$G$80,Settings!$G$82,Settings!$G$84,Settings!$G$86))/6,2)*6,"")</f>
        <v/>
      </c>
      <c r="AA420" s="142">
        <f>IFERROR(CHOOSE(MATCH(IF($E420="","Основний",$E420),{"Трафіковий","Основний","Маржинальний","Сезонний","Стратегічний"},0),Settings!$G$78,Settings!$G$80,Settings!$G$82,Settings!$G$84,Settings!$G$86),"")</f>
        <v/>
      </c>
      <c r="AB420" s="143">
        <f>IFERROR((Z420*(1-Settings!$G$17)-C420)/(Z420*(1-Settings!$G$17)),"")</f>
        <v/>
      </c>
      <c r="AC420" s="149">
        <f>IFERROR(IF(Z420="","",IF(Z420&gt;=C420/(1-SKU_Base!AE420)/(1-Settings!$G$17),"OK",IF(Z420&gt;=C420/(1-SKU_Base!AL420)/(1-Settings!$G$17),"WARN","STOP"))),"")</f>
        <v/>
      </c>
      <c r="AD420" s="159">
        <f>IFERROR(ROUND(D420*(1-CHOOSE(MATCH(IF($E420="","Основний",$E420),{"Трафіковий","Основний","Маржинальний","Сезонний","Стратегічний"},0),Settings!$H$78,Settings!$H$80,Settings!$H$82,Settings!$H$84,Settings!$H$86))*(1-Settings!$H$68)/6,2)*6,"")</f>
        <v/>
      </c>
      <c r="AE420" s="142">
        <f>IFERROR(CHOOSE(MATCH(IF($E420="","Основний",$E420),{"Трафіковий","Основний","Маржинальний","Сезонний","Стратегічний"},0),Settings!$H$78,Settings!$H$80,Settings!$H$82,Settings!$H$84,Settings!$H$86)+(1-(CHOOSE(MATCH(IF($E420="","Основний",$E420),{"Трафіковий","Основний","Маржинальний","Сезонний","Стратегічний"},0),Settings!$H$78,Settings!$H$80,Settings!$H$82,Settings!$H$84,Settings!$H$86)))*Settings!$H$68,"")</f>
        <v/>
      </c>
      <c r="AF420" s="143">
        <f>IFERROR((AD420*(1-Settings!$H$17)-C420)/(AD420*(1-Settings!$H$17)),"")</f>
        <v/>
      </c>
      <c r="AG420" s="150">
        <f>IFERROR(IF(AD420="","",IF(AD420&gt;=C420/(1-SKU_Base!AF420)/(1-Settings!$H$17),"OK",IF(AD420&gt;=C420/(1-SKU_Base!AM420)/(1-Settings!$H$17),"WARN","STOP"))),"")</f>
        <v/>
      </c>
    </row>
    <row r="421" ht="17" customHeight="1" s="179">
      <c r="A421" s="146">
        <f>SKU_Base!B421</f>
        <v/>
      </c>
      <c r="B421" s="146">
        <f>SKU_Base!C421</f>
        <v/>
      </c>
      <c r="C421" s="147">
        <f>IFERROR(SKU_Base!I421,"")</f>
        <v/>
      </c>
      <c r="D421" s="164">
        <f>IFERROR(SKU_Base!T421,"")</f>
        <v/>
      </c>
      <c r="E421" s="141">
        <f>IFERROR(SKU_Base!$U421,"")</f>
        <v/>
      </c>
      <c r="F421" s="160">
        <f>IFERROR(ROUND(D421*(1-CHOOSE(MATCH(IF($E421="","Основний",$E421),{"Трафіковий","Основний","Маржинальний","Сезонний","Стратегічний"},0),Settings!$B$78,Settings!$B$80,Settings!$B$82,Settings!$B$84,Settings!$B$86))/6,2)*6,"")</f>
        <v/>
      </c>
      <c r="G421" s="142">
        <f>IFERROR(CHOOSE(MATCH(IF($E421="","Основний",$E421),{"Трафіковий","Основний","Маржинальний","Сезонний","Стратегічний"},0),Settings!$B$78,Settings!$B$80,Settings!$B$82,Settings!$B$84,Settings!$B$86),"")</f>
        <v/>
      </c>
      <c r="H421" s="148">
        <f>IFERROR((F421*(1-Settings!$B$17)-C421)/(F421*(1-Settings!$B$17)),"")</f>
        <v/>
      </c>
      <c r="I421" s="150">
        <f>IFERROR(IF(F421="","",IF(F421&gt;=C421/(1-SKU_Base!Z421)/(1-Settings!$B$17),"OK",IF(F421&gt;=C421/(1-SKU_Base!AG421)/(1-Settings!$B$17),"WARN","STOP"))),"")</f>
        <v/>
      </c>
      <c r="J421" s="160">
        <f>IFERROR(ROUND(D421*(1-CHOOSE(MATCH(IF($E421="","Основний",$E421),{"Трафіковий","Основний","Маржинальний","Сезонний","Стратегічний"},0),Settings!$C$78,Settings!$C$80,Settings!$C$82,Settings!$C$84,Settings!$C$86))/6,2)*6,"")</f>
        <v/>
      </c>
      <c r="K421" s="142">
        <f>IFERROR(CHOOSE(MATCH(IF($E421="","Основний",$E421),{"Трафіковий","Основний","Маржинальний","Сезонний","Стратегічний"},0),Settings!$C$78,Settings!$C$80,Settings!$C$82,Settings!$C$84,Settings!$C$86),"")</f>
        <v/>
      </c>
      <c r="L421" s="148">
        <f>IFERROR((J421*(1-Settings!$C$17)-C421)/(J421*(1-Settings!$C$17)),"")</f>
        <v/>
      </c>
      <c r="M421" s="149">
        <f>IFERROR(IF(J421="","",IF(J421&gt;=C421/(1-SKU_Base!AA421)/(1-Settings!$C$17),"OK",IF(J421&gt;=C421/(1-SKU_Base!AH421)/(1-Settings!$C$17),"WARN","STOP"))),"")</f>
        <v/>
      </c>
      <c r="N421" s="161">
        <f>IFERROR(ROUND(D421*(1-CHOOSE(MATCH(IF($E421="","Основний",$E421),{"Трафіковий","Основний","Маржинальний","Сезонний","Стратегічний"},0),Settings!$D$78,Settings!$D$80,Settings!$D$82,Settings!$D$84,Settings!$D$86))/6,2)*6,"")</f>
        <v/>
      </c>
      <c r="O421" s="142">
        <f>IFERROR(CHOOSE(MATCH(IF($E421="","Основний",$E421),{"Трафіковий","Основний","Маржинальний","Сезонний","Стратегічний"},0),Settings!$D$78,Settings!$D$80,Settings!$D$82,Settings!$D$84,Settings!$D$86),"")</f>
        <v/>
      </c>
      <c r="P421" s="148">
        <f>IFERROR((N421*(1-Settings!$D$17)-C421)/(N421*(1-Settings!$D$17)),"")</f>
        <v/>
      </c>
      <c r="Q421" s="149">
        <f>IFERROR(IF(N421="","",IF(N421&gt;=C421/(1-SKU_Base!AB421)/(1-Settings!$D$17),"OK",IF(N421&gt;=C421/(1-SKU_Base!AI421)/(1-Settings!$D$17),"WARN","STOP"))),"")</f>
        <v/>
      </c>
      <c r="R421" s="161">
        <f>IFERROR(ROUND(D421*(1-CHOOSE(MATCH(IF($E421="","Основний",$E421),{"Трафіковий","Основний","Маржинальний","Сезонний","Стратегічний"},0),Settings!$E$78,Settings!$E$80,Settings!$E$82,Settings!$E$84,Settings!$E$86))/6,2)*6,"")</f>
        <v/>
      </c>
      <c r="S421" s="142">
        <f>IFERROR(CHOOSE(MATCH(IF($E421="","Основний",$E421),{"Трафіковий","Основний","Маржинальний","Сезонний","Стратегічний"},0),Settings!$E$78,Settings!$E$80,Settings!$E$82,Settings!$E$84,Settings!$E$86),"")</f>
        <v/>
      </c>
      <c r="T421" s="148">
        <f>IFERROR((R421*(1-Settings!$E$17)-C421)/(R421*(1-Settings!$E$17)),"")</f>
        <v/>
      </c>
      <c r="U421" s="149">
        <f>IFERROR(IF(R421="","",IF(R421&gt;=C421/(1-SKU_Base!AC421)/(1-Settings!$E$17),"OK",IF(R421&gt;=C421/(1-SKU_Base!AJ421)/(1-Settings!$E$17),"WARN","STOP"))),"")</f>
        <v/>
      </c>
      <c r="V421" s="161">
        <f>IFERROR(ROUND(D421*(1-CHOOSE(MATCH(IF($E421="","Основний",$E421),{"Трафіковий","Основний","Маржинальний","Сезонний","Стратегічний"},0),Settings!$F$78,Settings!$F$80,Settings!$F$82,Settings!$F$84,Settings!$F$86))/6,2)*6,"")</f>
        <v/>
      </c>
      <c r="W421" s="142">
        <f>IFERROR(CHOOSE(MATCH(IF($E421="","Основний",$E421),{"Трафіковий","Основний","Маржинальний","Сезонний","Стратегічний"},0),Settings!$F$78,Settings!$F$80,Settings!$F$82,Settings!$F$84,Settings!$F$86),"")</f>
        <v/>
      </c>
      <c r="X421" s="148">
        <f>IFERROR((V421*(1-Settings!$F$17)-C421)/(V421*(1-Settings!$F$17)),"")</f>
        <v/>
      </c>
      <c r="Y421" s="149">
        <f>IFERROR(IF(V421="","",IF(V421&gt;=C421/(1-SKU_Base!AD421)/(1-Settings!$F$17),"OK",IF(V421&gt;=C421/(1-SKU_Base!AK421)/(1-Settings!$F$17),"WARN","STOP"))),"")</f>
        <v/>
      </c>
      <c r="Z421" s="161">
        <f>IFERROR(ROUND(D421*(1-CHOOSE(MATCH(IF($E421="","Основний",$E421),{"Трафіковий","Основний","Маржинальний","Сезонний","Стратегічний"},0),Settings!$G$78,Settings!$G$80,Settings!$G$82,Settings!$G$84,Settings!$G$86))/6,2)*6,"")</f>
        <v/>
      </c>
      <c r="AA421" s="142">
        <f>IFERROR(CHOOSE(MATCH(IF($E421="","Основний",$E421),{"Трафіковий","Основний","Маржинальний","Сезонний","Стратегічний"},0),Settings!$G$78,Settings!$G$80,Settings!$G$82,Settings!$G$84,Settings!$G$86),"")</f>
        <v/>
      </c>
      <c r="AB421" s="148">
        <f>IFERROR((Z421*(1-Settings!$G$17)-C421)/(Z421*(1-Settings!$G$17)),"")</f>
        <v/>
      </c>
      <c r="AC421" s="149">
        <f>IFERROR(IF(Z421="","",IF(Z421&gt;=C421/(1-SKU_Base!AE421)/(1-Settings!$G$17),"OK",IF(Z421&gt;=C421/(1-SKU_Base!AL421)/(1-Settings!$G$17),"WARN","STOP"))),"")</f>
        <v/>
      </c>
      <c r="AD421" s="161">
        <f>IFERROR(ROUND(D421*(1-CHOOSE(MATCH(IF($E421="","Основний",$E421),{"Трафіковий","Основний","Маржинальний","Сезонний","Стратегічний"},0),Settings!$H$78,Settings!$H$80,Settings!$H$82,Settings!$H$84,Settings!$H$86))*(1-Settings!$H$68)/6,2)*6,"")</f>
        <v/>
      </c>
      <c r="AE421" s="142">
        <f>IFERROR(CHOOSE(MATCH(IF($E421="","Основний",$E421),{"Трафіковий","Основний","Маржинальний","Сезонний","Стратегічний"},0),Settings!$H$78,Settings!$H$80,Settings!$H$82,Settings!$H$84,Settings!$H$86)+(1-(CHOOSE(MATCH(IF($E421="","Основний",$E421),{"Трафіковий","Основний","Маржинальний","Сезонний","Стратегічний"},0),Settings!$H$78,Settings!$H$80,Settings!$H$82,Settings!$H$84,Settings!$H$86)))*Settings!$H$68,"")</f>
        <v/>
      </c>
      <c r="AF421" s="148">
        <f>IFERROR((AD421*(1-Settings!$H$17)-C421)/(AD421*(1-Settings!$H$17)),"")</f>
        <v/>
      </c>
      <c r="AG421" s="150">
        <f>IFERROR(IF(AD421="","",IF(AD421&gt;=C421/(1-SKU_Base!AF421)/(1-Settings!$H$17),"OK",IF(AD421&gt;=C421/(1-SKU_Base!AM421)/(1-Settings!$H$17),"WARN","STOP"))),"")</f>
        <v/>
      </c>
    </row>
    <row r="422" ht="17" customHeight="1" s="179">
      <c r="A422" s="139">
        <f>SKU_Base!B422</f>
        <v/>
      </c>
      <c r="B422" s="139">
        <f>SKU_Base!C422</f>
        <v/>
      </c>
      <c r="C422" s="140">
        <f>IFERROR(SKU_Base!I422,"")</f>
        <v/>
      </c>
      <c r="D422" s="163">
        <f>IFERROR(SKU_Base!T422,"")</f>
        <v/>
      </c>
      <c r="E422" s="141">
        <f>IFERROR(SKU_Base!$U422,"")</f>
        <v/>
      </c>
      <c r="F422" s="158">
        <f>IFERROR(ROUND(D422*(1-CHOOSE(MATCH(IF($E422="","Основний",$E422),{"Трафіковий","Основний","Маржинальний","Сезонний","Стратегічний"},0),Settings!$B$78,Settings!$B$80,Settings!$B$82,Settings!$B$84,Settings!$B$86))/6,2)*6,"")</f>
        <v/>
      </c>
      <c r="G422" s="142">
        <f>IFERROR(CHOOSE(MATCH(IF($E422="","Основний",$E422),{"Трафіковий","Основний","Маржинальний","Сезонний","Стратегічний"},0),Settings!$B$78,Settings!$B$80,Settings!$B$82,Settings!$B$84,Settings!$B$86),"")</f>
        <v/>
      </c>
      <c r="H422" s="143">
        <f>IFERROR((F422*(1-Settings!$B$17)-C422)/(F422*(1-Settings!$B$17)),"")</f>
        <v/>
      </c>
      <c r="I422" s="150">
        <f>IFERROR(IF(F422="","",IF(F422&gt;=C422/(1-SKU_Base!Z422)/(1-Settings!$B$17),"OK",IF(F422&gt;=C422/(1-SKU_Base!AG422)/(1-Settings!$B$17),"WARN","STOP"))),"")</f>
        <v/>
      </c>
      <c r="J422" s="158">
        <f>IFERROR(ROUND(D422*(1-CHOOSE(MATCH(IF($E422="","Основний",$E422),{"Трафіковий","Основний","Маржинальний","Сезонний","Стратегічний"},0),Settings!$C$78,Settings!$C$80,Settings!$C$82,Settings!$C$84,Settings!$C$86))/6,2)*6,"")</f>
        <v/>
      </c>
      <c r="K422" s="142">
        <f>IFERROR(CHOOSE(MATCH(IF($E422="","Основний",$E422),{"Трафіковий","Основний","Маржинальний","Сезонний","Стратегічний"},0),Settings!$C$78,Settings!$C$80,Settings!$C$82,Settings!$C$84,Settings!$C$86),"")</f>
        <v/>
      </c>
      <c r="L422" s="143">
        <f>IFERROR((J422*(1-Settings!$C$17)-C422)/(J422*(1-Settings!$C$17)),"")</f>
        <v/>
      </c>
      <c r="M422" s="149">
        <f>IFERROR(IF(J422="","",IF(J422&gt;=C422/(1-SKU_Base!AA422)/(1-Settings!$C$17),"OK",IF(J422&gt;=C422/(1-SKU_Base!AH422)/(1-Settings!$C$17),"WARN","STOP"))),"")</f>
        <v/>
      </c>
      <c r="N422" s="159">
        <f>IFERROR(ROUND(D422*(1-CHOOSE(MATCH(IF($E422="","Основний",$E422),{"Трафіковий","Основний","Маржинальний","Сезонний","Стратегічний"},0),Settings!$D$78,Settings!$D$80,Settings!$D$82,Settings!$D$84,Settings!$D$86))/6,2)*6,"")</f>
        <v/>
      </c>
      <c r="O422" s="142">
        <f>IFERROR(CHOOSE(MATCH(IF($E422="","Основний",$E422),{"Трафіковий","Основний","Маржинальний","Сезонний","Стратегічний"},0),Settings!$D$78,Settings!$D$80,Settings!$D$82,Settings!$D$84,Settings!$D$86),"")</f>
        <v/>
      </c>
      <c r="P422" s="143">
        <f>IFERROR((N422*(1-Settings!$D$17)-C422)/(N422*(1-Settings!$D$17)),"")</f>
        <v/>
      </c>
      <c r="Q422" s="149">
        <f>IFERROR(IF(N422="","",IF(N422&gt;=C422/(1-SKU_Base!AB422)/(1-Settings!$D$17),"OK",IF(N422&gt;=C422/(1-SKU_Base!AI422)/(1-Settings!$D$17),"WARN","STOP"))),"")</f>
        <v/>
      </c>
      <c r="R422" s="159">
        <f>IFERROR(ROUND(D422*(1-CHOOSE(MATCH(IF($E422="","Основний",$E422),{"Трафіковий","Основний","Маржинальний","Сезонний","Стратегічний"},0),Settings!$E$78,Settings!$E$80,Settings!$E$82,Settings!$E$84,Settings!$E$86))/6,2)*6,"")</f>
        <v/>
      </c>
      <c r="S422" s="142">
        <f>IFERROR(CHOOSE(MATCH(IF($E422="","Основний",$E422),{"Трафіковий","Основний","Маржинальний","Сезонний","Стратегічний"},0),Settings!$E$78,Settings!$E$80,Settings!$E$82,Settings!$E$84,Settings!$E$86),"")</f>
        <v/>
      </c>
      <c r="T422" s="143">
        <f>IFERROR((R422*(1-Settings!$E$17)-C422)/(R422*(1-Settings!$E$17)),"")</f>
        <v/>
      </c>
      <c r="U422" s="149">
        <f>IFERROR(IF(R422="","",IF(R422&gt;=C422/(1-SKU_Base!AC422)/(1-Settings!$E$17),"OK",IF(R422&gt;=C422/(1-SKU_Base!AJ422)/(1-Settings!$E$17),"WARN","STOP"))),"")</f>
        <v/>
      </c>
      <c r="V422" s="159">
        <f>IFERROR(ROUND(D422*(1-CHOOSE(MATCH(IF($E422="","Основний",$E422),{"Трафіковий","Основний","Маржинальний","Сезонний","Стратегічний"},0),Settings!$F$78,Settings!$F$80,Settings!$F$82,Settings!$F$84,Settings!$F$86))/6,2)*6,"")</f>
        <v/>
      </c>
      <c r="W422" s="142">
        <f>IFERROR(CHOOSE(MATCH(IF($E422="","Основний",$E422),{"Трафіковий","Основний","Маржинальний","Сезонний","Стратегічний"},0),Settings!$F$78,Settings!$F$80,Settings!$F$82,Settings!$F$84,Settings!$F$86),"")</f>
        <v/>
      </c>
      <c r="X422" s="143">
        <f>IFERROR((V422*(1-Settings!$F$17)-C422)/(V422*(1-Settings!$F$17)),"")</f>
        <v/>
      </c>
      <c r="Y422" s="149">
        <f>IFERROR(IF(V422="","",IF(V422&gt;=C422/(1-SKU_Base!AD422)/(1-Settings!$F$17),"OK",IF(V422&gt;=C422/(1-SKU_Base!AK422)/(1-Settings!$F$17),"WARN","STOP"))),"")</f>
        <v/>
      </c>
      <c r="Z422" s="159">
        <f>IFERROR(ROUND(D422*(1-CHOOSE(MATCH(IF($E422="","Основний",$E422),{"Трафіковий","Основний","Маржинальний","Сезонний","Стратегічний"},0),Settings!$G$78,Settings!$G$80,Settings!$G$82,Settings!$G$84,Settings!$G$86))/6,2)*6,"")</f>
        <v/>
      </c>
      <c r="AA422" s="142">
        <f>IFERROR(CHOOSE(MATCH(IF($E422="","Основний",$E422),{"Трафіковий","Основний","Маржинальний","Сезонний","Стратегічний"},0),Settings!$G$78,Settings!$G$80,Settings!$G$82,Settings!$G$84,Settings!$G$86),"")</f>
        <v/>
      </c>
      <c r="AB422" s="143">
        <f>IFERROR((Z422*(1-Settings!$G$17)-C422)/(Z422*(1-Settings!$G$17)),"")</f>
        <v/>
      </c>
      <c r="AC422" s="149">
        <f>IFERROR(IF(Z422="","",IF(Z422&gt;=C422/(1-SKU_Base!AE422)/(1-Settings!$G$17),"OK",IF(Z422&gt;=C422/(1-SKU_Base!AL422)/(1-Settings!$G$17),"WARN","STOP"))),"")</f>
        <v/>
      </c>
      <c r="AD422" s="159">
        <f>IFERROR(ROUND(D422*(1-CHOOSE(MATCH(IF($E422="","Основний",$E422),{"Трафіковий","Основний","Маржинальний","Сезонний","Стратегічний"},0),Settings!$H$78,Settings!$H$80,Settings!$H$82,Settings!$H$84,Settings!$H$86))*(1-Settings!$H$68)/6,2)*6,"")</f>
        <v/>
      </c>
      <c r="AE422" s="142">
        <f>IFERROR(CHOOSE(MATCH(IF($E422="","Основний",$E422),{"Трафіковий","Основний","Маржинальний","Сезонний","Стратегічний"},0),Settings!$H$78,Settings!$H$80,Settings!$H$82,Settings!$H$84,Settings!$H$86)+(1-(CHOOSE(MATCH(IF($E422="","Основний",$E422),{"Трафіковий","Основний","Маржинальний","Сезонний","Стратегічний"},0),Settings!$H$78,Settings!$H$80,Settings!$H$82,Settings!$H$84,Settings!$H$86)))*Settings!$H$68,"")</f>
        <v/>
      </c>
      <c r="AF422" s="143">
        <f>IFERROR((AD422*(1-Settings!$H$17)-C422)/(AD422*(1-Settings!$H$17)),"")</f>
        <v/>
      </c>
      <c r="AG422" s="150">
        <f>IFERROR(IF(AD422="","",IF(AD422&gt;=C422/(1-SKU_Base!AF422)/(1-Settings!$H$17),"OK",IF(AD422&gt;=C422/(1-SKU_Base!AM422)/(1-Settings!$H$17),"WARN","STOP"))),"")</f>
        <v/>
      </c>
    </row>
    <row r="423" ht="17" customHeight="1" s="179">
      <c r="A423" s="146">
        <f>SKU_Base!B423</f>
        <v/>
      </c>
      <c r="B423" s="146">
        <f>SKU_Base!C423</f>
        <v/>
      </c>
      <c r="C423" s="147">
        <f>IFERROR(SKU_Base!I423,"")</f>
        <v/>
      </c>
      <c r="D423" s="164">
        <f>IFERROR(SKU_Base!T423,"")</f>
        <v/>
      </c>
      <c r="E423" s="141">
        <f>IFERROR(SKU_Base!$U423,"")</f>
        <v/>
      </c>
      <c r="F423" s="160">
        <f>IFERROR(ROUND(D423*(1-CHOOSE(MATCH(IF($E423="","Основний",$E423),{"Трафіковий","Основний","Маржинальний","Сезонний","Стратегічний"},0),Settings!$B$78,Settings!$B$80,Settings!$B$82,Settings!$B$84,Settings!$B$86))/6,2)*6,"")</f>
        <v/>
      </c>
      <c r="G423" s="142">
        <f>IFERROR(CHOOSE(MATCH(IF($E423="","Основний",$E423),{"Трафіковий","Основний","Маржинальний","Сезонний","Стратегічний"},0),Settings!$B$78,Settings!$B$80,Settings!$B$82,Settings!$B$84,Settings!$B$86),"")</f>
        <v/>
      </c>
      <c r="H423" s="148">
        <f>IFERROR((F423*(1-Settings!$B$17)-C423)/(F423*(1-Settings!$B$17)),"")</f>
        <v/>
      </c>
      <c r="I423" s="149">
        <f>IFERROR(IF(F423="","",IF(F423&gt;=C423/(1-SKU_Base!Z423)/(1-Settings!$B$17),"OK",IF(F423&gt;=C423/(1-SKU_Base!AG423)/(1-Settings!$B$17),"WARN","STOP"))),"")</f>
        <v/>
      </c>
      <c r="J423" s="160">
        <f>IFERROR(ROUND(D423*(1-CHOOSE(MATCH(IF($E423="","Основний",$E423),{"Трафіковий","Основний","Маржинальний","Сезонний","Стратегічний"},0),Settings!$C$78,Settings!$C$80,Settings!$C$82,Settings!$C$84,Settings!$C$86))/6,2)*6,"")</f>
        <v/>
      </c>
      <c r="K423" s="142">
        <f>IFERROR(CHOOSE(MATCH(IF($E423="","Основний",$E423),{"Трафіковий","Основний","Маржинальний","Сезонний","Стратегічний"},0),Settings!$C$78,Settings!$C$80,Settings!$C$82,Settings!$C$84,Settings!$C$86),"")</f>
        <v/>
      </c>
      <c r="L423" s="148">
        <f>IFERROR((J423*(1-Settings!$C$17)-C423)/(J423*(1-Settings!$C$17)),"")</f>
        <v/>
      </c>
      <c r="M423" s="149">
        <f>IFERROR(IF(J423="","",IF(J423&gt;=C423/(1-SKU_Base!AA423)/(1-Settings!$C$17),"OK",IF(J423&gt;=C423/(1-SKU_Base!AH423)/(1-Settings!$C$17),"WARN","STOP"))),"")</f>
        <v/>
      </c>
      <c r="N423" s="161">
        <f>IFERROR(ROUND(D423*(1-CHOOSE(MATCH(IF($E423="","Основний",$E423),{"Трафіковий","Основний","Маржинальний","Сезонний","Стратегічний"},0),Settings!$D$78,Settings!$D$80,Settings!$D$82,Settings!$D$84,Settings!$D$86))/6,2)*6,"")</f>
        <v/>
      </c>
      <c r="O423" s="142">
        <f>IFERROR(CHOOSE(MATCH(IF($E423="","Основний",$E423),{"Трафіковий","Основний","Маржинальний","Сезонний","Стратегічний"},0),Settings!$D$78,Settings!$D$80,Settings!$D$82,Settings!$D$84,Settings!$D$86),"")</f>
        <v/>
      </c>
      <c r="P423" s="148">
        <f>IFERROR((N423*(1-Settings!$D$17)-C423)/(N423*(1-Settings!$D$17)),"")</f>
        <v/>
      </c>
      <c r="Q423" s="149">
        <f>IFERROR(IF(N423="","",IF(N423&gt;=C423/(1-SKU_Base!AB423)/(1-Settings!$D$17),"OK",IF(N423&gt;=C423/(1-SKU_Base!AI423)/(1-Settings!$D$17),"WARN","STOP"))),"")</f>
        <v/>
      </c>
      <c r="R423" s="161">
        <f>IFERROR(ROUND(D423*(1-CHOOSE(MATCH(IF($E423="","Основний",$E423),{"Трафіковий","Основний","Маржинальний","Сезонний","Стратегічний"},0),Settings!$E$78,Settings!$E$80,Settings!$E$82,Settings!$E$84,Settings!$E$86))/6,2)*6,"")</f>
        <v/>
      </c>
      <c r="S423" s="142">
        <f>IFERROR(CHOOSE(MATCH(IF($E423="","Основний",$E423),{"Трафіковий","Основний","Маржинальний","Сезонний","Стратегічний"},0),Settings!$E$78,Settings!$E$80,Settings!$E$82,Settings!$E$84,Settings!$E$86),"")</f>
        <v/>
      </c>
      <c r="T423" s="148">
        <f>IFERROR((R423*(1-Settings!$E$17)-C423)/(R423*(1-Settings!$E$17)),"")</f>
        <v/>
      </c>
      <c r="U423" s="149">
        <f>IFERROR(IF(R423="","",IF(R423&gt;=C423/(1-SKU_Base!AC423)/(1-Settings!$E$17),"OK",IF(R423&gt;=C423/(1-SKU_Base!AJ423)/(1-Settings!$E$17),"WARN","STOP"))),"")</f>
        <v/>
      </c>
      <c r="V423" s="161">
        <f>IFERROR(ROUND(D423*(1-CHOOSE(MATCH(IF($E423="","Основний",$E423),{"Трафіковий","Основний","Маржинальний","Сезонний","Стратегічний"},0),Settings!$F$78,Settings!$F$80,Settings!$F$82,Settings!$F$84,Settings!$F$86))/6,2)*6,"")</f>
        <v/>
      </c>
      <c r="W423" s="142">
        <f>IFERROR(CHOOSE(MATCH(IF($E423="","Основний",$E423),{"Трафіковий","Основний","Маржинальний","Сезонний","Стратегічний"},0),Settings!$F$78,Settings!$F$80,Settings!$F$82,Settings!$F$84,Settings!$F$86),"")</f>
        <v/>
      </c>
      <c r="X423" s="148">
        <f>IFERROR((V423*(1-Settings!$F$17)-C423)/(V423*(1-Settings!$F$17)),"")</f>
        <v/>
      </c>
      <c r="Y423" s="149">
        <f>IFERROR(IF(V423="","",IF(V423&gt;=C423/(1-SKU_Base!AD423)/(1-Settings!$F$17),"OK",IF(V423&gt;=C423/(1-SKU_Base!AK423)/(1-Settings!$F$17),"WARN","STOP"))),"")</f>
        <v/>
      </c>
      <c r="Z423" s="161">
        <f>IFERROR(ROUND(D423*(1-CHOOSE(MATCH(IF($E423="","Основний",$E423),{"Трафіковий","Основний","Маржинальний","Сезонний","Стратегічний"},0),Settings!$G$78,Settings!$G$80,Settings!$G$82,Settings!$G$84,Settings!$G$86))/6,2)*6,"")</f>
        <v/>
      </c>
      <c r="AA423" s="142">
        <f>IFERROR(CHOOSE(MATCH(IF($E423="","Основний",$E423),{"Трафіковий","Основний","Маржинальний","Сезонний","Стратегічний"},0),Settings!$G$78,Settings!$G$80,Settings!$G$82,Settings!$G$84,Settings!$G$86),"")</f>
        <v/>
      </c>
      <c r="AB423" s="148">
        <f>IFERROR((Z423*(1-Settings!$G$17)-C423)/(Z423*(1-Settings!$G$17)),"")</f>
        <v/>
      </c>
      <c r="AC423" s="149">
        <f>IFERROR(IF(Z423="","",IF(Z423&gt;=C423/(1-SKU_Base!AE423)/(1-Settings!$G$17),"OK",IF(Z423&gt;=C423/(1-SKU_Base!AL423)/(1-Settings!$G$17),"WARN","STOP"))),"")</f>
        <v/>
      </c>
      <c r="AD423" s="161">
        <f>IFERROR(ROUND(D423*(1-CHOOSE(MATCH(IF($E423="","Основний",$E423),{"Трафіковий","Основний","Маржинальний","Сезонний","Стратегічний"},0),Settings!$H$78,Settings!$H$80,Settings!$H$82,Settings!$H$84,Settings!$H$86))*(1-Settings!$H$68)/6,2)*6,"")</f>
        <v/>
      </c>
      <c r="AE423" s="142">
        <f>IFERROR(CHOOSE(MATCH(IF($E423="","Основний",$E423),{"Трафіковий","Основний","Маржинальний","Сезонний","Стратегічний"},0),Settings!$H$78,Settings!$H$80,Settings!$H$82,Settings!$H$84,Settings!$H$86)+(1-(CHOOSE(MATCH(IF($E423="","Основний",$E423),{"Трафіковий","Основний","Маржинальний","Сезонний","Стратегічний"},0),Settings!$H$78,Settings!$H$80,Settings!$H$82,Settings!$H$84,Settings!$H$86)))*Settings!$H$68,"")</f>
        <v/>
      </c>
      <c r="AF423" s="148">
        <f>IFERROR((AD423*(1-Settings!$H$17)-C423)/(AD423*(1-Settings!$H$17)),"")</f>
        <v/>
      </c>
      <c r="AG423" s="149">
        <f>IFERROR(IF(AD423="","",IF(AD423&gt;=C423/(1-SKU_Base!AF423)/(1-Settings!$H$17),"OK",IF(AD423&gt;=C423/(1-SKU_Base!AM423)/(1-Settings!$H$17),"WARN","STOP"))),"")</f>
        <v/>
      </c>
    </row>
    <row r="424" ht="17" customHeight="1" s="179">
      <c r="A424" s="139">
        <f>SKU_Base!B424</f>
        <v/>
      </c>
      <c r="B424" s="139">
        <f>SKU_Base!C424</f>
        <v/>
      </c>
      <c r="C424" s="140">
        <f>IFERROR(SKU_Base!I424,"")</f>
        <v/>
      </c>
      <c r="D424" s="163">
        <f>IFERROR(SKU_Base!T424,"")</f>
        <v/>
      </c>
      <c r="E424" s="141">
        <f>IFERROR(SKU_Base!$U424,"")</f>
        <v/>
      </c>
      <c r="F424" s="158">
        <f>IFERROR(ROUND(D424*(1-CHOOSE(MATCH(IF($E424="","Основний",$E424),{"Трафіковий","Основний","Маржинальний","Сезонний","Стратегічний"},0),Settings!$B$78,Settings!$B$80,Settings!$B$82,Settings!$B$84,Settings!$B$86))/6,2)*6,"")</f>
        <v/>
      </c>
      <c r="G424" s="142">
        <f>IFERROR(CHOOSE(MATCH(IF($E424="","Основний",$E424),{"Трафіковий","Основний","Маржинальний","Сезонний","Стратегічний"},0),Settings!$B$78,Settings!$B$80,Settings!$B$82,Settings!$B$84,Settings!$B$86),"")</f>
        <v/>
      </c>
      <c r="H424" s="143">
        <f>IFERROR((F424*(1-Settings!$B$17)-C424)/(F424*(1-Settings!$B$17)),"")</f>
        <v/>
      </c>
      <c r="I424" s="149">
        <f>IFERROR(IF(F424="","",IF(F424&gt;=C424/(1-SKU_Base!Z424)/(1-Settings!$B$17),"OK",IF(F424&gt;=C424/(1-SKU_Base!AG424)/(1-Settings!$B$17),"WARN","STOP"))),"")</f>
        <v/>
      </c>
      <c r="J424" s="158">
        <f>IFERROR(ROUND(D424*(1-CHOOSE(MATCH(IF($E424="","Основний",$E424),{"Трафіковий","Основний","Маржинальний","Сезонний","Стратегічний"},0),Settings!$C$78,Settings!$C$80,Settings!$C$82,Settings!$C$84,Settings!$C$86))/6,2)*6,"")</f>
        <v/>
      </c>
      <c r="K424" s="142">
        <f>IFERROR(CHOOSE(MATCH(IF($E424="","Основний",$E424),{"Трафіковий","Основний","Маржинальний","Сезонний","Стратегічний"},0),Settings!$C$78,Settings!$C$80,Settings!$C$82,Settings!$C$84,Settings!$C$86),"")</f>
        <v/>
      </c>
      <c r="L424" s="143">
        <f>IFERROR((J424*(1-Settings!$C$17)-C424)/(J424*(1-Settings!$C$17)),"")</f>
        <v/>
      </c>
      <c r="M424" s="149">
        <f>IFERROR(IF(J424="","",IF(J424&gt;=C424/(1-SKU_Base!AA424)/(1-Settings!$C$17),"OK",IF(J424&gt;=C424/(1-SKU_Base!AH424)/(1-Settings!$C$17),"WARN","STOP"))),"")</f>
        <v/>
      </c>
      <c r="N424" s="159">
        <f>IFERROR(ROUND(D424*(1-CHOOSE(MATCH(IF($E424="","Основний",$E424),{"Трафіковий","Основний","Маржинальний","Сезонний","Стратегічний"},0),Settings!$D$78,Settings!$D$80,Settings!$D$82,Settings!$D$84,Settings!$D$86))/6,2)*6,"")</f>
        <v/>
      </c>
      <c r="O424" s="142">
        <f>IFERROR(CHOOSE(MATCH(IF($E424="","Основний",$E424),{"Трафіковий","Основний","Маржинальний","Сезонний","Стратегічний"},0),Settings!$D$78,Settings!$D$80,Settings!$D$82,Settings!$D$84,Settings!$D$86),"")</f>
        <v/>
      </c>
      <c r="P424" s="143">
        <f>IFERROR((N424*(1-Settings!$D$17)-C424)/(N424*(1-Settings!$D$17)),"")</f>
        <v/>
      </c>
      <c r="Q424" s="149">
        <f>IFERROR(IF(N424="","",IF(N424&gt;=C424/(1-SKU_Base!AB424)/(1-Settings!$D$17),"OK",IF(N424&gt;=C424/(1-SKU_Base!AI424)/(1-Settings!$D$17),"WARN","STOP"))),"")</f>
        <v/>
      </c>
      <c r="R424" s="159">
        <f>IFERROR(ROUND(D424*(1-CHOOSE(MATCH(IF($E424="","Основний",$E424),{"Трафіковий","Основний","Маржинальний","Сезонний","Стратегічний"},0),Settings!$E$78,Settings!$E$80,Settings!$E$82,Settings!$E$84,Settings!$E$86))/6,2)*6,"")</f>
        <v/>
      </c>
      <c r="S424" s="142">
        <f>IFERROR(CHOOSE(MATCH(IF($E424="","Основний",$E424),{"Трафіковий","Основний","Маржинальний","Сезонний","Стратегічний"},0),Settings!$E$78,Settings!$E$80,Settings!$E$82,Settings!$E$84,Settings!$E$86),"")</f>
        <v/>
      </c>
      <c r="T424" s="143">
        <f>IFERROR((R424*(1-Settings!$E$17)-C424)/(R424*(1-Settings!$E$17)),"")</f>
        <v/>
      </c>
      <c r="U424" s="149">
        <f>IFERROR(IF(R424="","",IF(R424&gt;=C424/(1-SKU_Base!AC424)/(1-Settings!$E$17),"OK",IF(R424&gt;=C424/(1-SKU_Base!AJ424)/(1-Settings!$E$17),"WARN","STOP"))),"")</f>
        <v/>
      </c>
      <c r="V424" s="159">
        <f>IFERROR(ROUND(D424*(1-CHOOSE(MATCH(IF($E424="","Основний",$E424),{"Трафіковий","Основний","Маржинальний","Сезонний","Стратегічний"},0),Settings!$F$78,Settings!$F$80,Settings!$F$82,Settings!$F$84,Settings!$F$86))/6,2)*6,"")</f>
        <v/>
      </c>
      <c r="W424" s="142">
        <f>IFERROR(CHOOSE(MATCH(IF($E424="","Основний",$E424),{"Трафіковий","Основний","Маржинальний","Сезонний","Стратегічний"},0),Settings!$F$78,Settings!$F$80,Settings!$F$82,Settings!$F$84,Settings!$F$86),"")</f>
        <v/>
      </c>
      <c r="X424" s="143">
        <f>IFERROR((V424*(1-Settings!$F$17)-C424)/(V424*(1-Settings!$F$17)),"")</f>
        <v/>
      </c>
      <c r="Y424" s="149">
        <f>IFERROR(IF(V424="","",IF(V424&gt;=C424/(1-SKU_Base!AD424)/(1-Settings!$F$17),"OK",IF(V424&gt;=C424/(1-SKU_Base!AK424)/(1-Settings!$F$17),"WARN","STOP"))),"")</f>
        <v/>
      </c>
      <c r="Z424" s="159">
        <f>IFERROR(ROUND(D424*(1-CHOOSE(MATCH(IF($E424="","Основний",$E424),{"Трафіковий","Основний","Маржинальний","Сезонний","Стратегічний"},0),Settings!$G$78,Settings!$G$80,Settings!$G$82,Settings!$G$84,Settings!$G$86))/6,2)*6,"")</f>
        <v/>
      </c>
      <c r="AA424" s="142">
        <f>IFERROR(CHOOSE(MATCH(IF($E424="","Основний",$E424),{"Трафіковий","Основний","Маржинальний","Сезонний","Стратегічний"},0),Settings!$G$78,Settings!$G$80,Settings!$G$82,Settings!$G$84,Settings!$G$86),"")</f>
        <v/>
      </c>
      <c r="AB424" s="143">
        <f>IFERROR((Z424*(1-Settings!$G$17)-C424)/(Z424*(1-Settings!$G$17)),"")</f>
        <v/>
      </c>
      <c r="AC424" s="149">
        <f>IFERROR(IF(Z424="","",IF(Z424&gt;=C424/(1-SKU_Base!AE424)/(1-Settings!$G$17),"OK",IF(Z424&gt;=C424/(1-SKU_Base!AL424)/(1-Settings!$G$17),"WARN","STOP"))),"")</f>
        <v/>
      </c>
      <c r="AD424" s="159">
        <f>IFERROR(ROUND(D424*(1-CHOOSE(MATCH(IF($E424="","Основний",$E424),{"Трафіковий","Основний","Маржинальний","Сезонний","Стратегічний"},0),Settings!$H$78,Settings!$H$80,Settings!$H$82,Settings!$H$84,Settings!$H$86))*(1-Settings!$H$68)/6,2)*6,"")</f>
        <v/>
      </c>
      <c r="AE424" s="142">
        <f>IFERROR(CHOOSE(MATCH(IF($E424="","Основний",$E424),{"Трафіковий","Основний","Маржинальний","Сезонний","Стратегічний"},0),Settings!$H$78,Settings!$H$80,Settings!$H$82,Settings!$H$84,Settings!$H$86)+(1-(CHOOSE(MATCH(IF($E424="","Основний",$E424),{"Трафіковий","Основний","Маржинальний","Сезонний","Стратегічний"},0),Settings!$H$78,Settings!$H$80,Settings!$H$82,Settings!$H$84,Settings!$H$86)))*Settings!$H$68,"")</f>
        <v/>
      </c>
      <c r="AF424" s="143">
        <f>IFERROR((AD424*(1-Settings!$H$17)-C424)/(AD424*(1-Settings!$H$17)),"")</f>
        <v/>
      </c>
      <c r="AG424" s="149">
        <f>IFERROR(IF(AD424="","",IF(AD424&gt;=C424/(1-SKU_Base!AF424)/(1-Settings!$H$17),"OK",IF(AD424&gt;=C424/(1-SKU_Base!AM424)/(1-Settings!$H$17),"WARN","STOP"))),"")</f>
        <v/>
      </c>
    </row>
    <row r="425" ht="17" customHeight="1" s="179">
      <c r="A425" s="146">
        <f>SKU_Base!B425</f>
        <v/>
      </c>
      <c r="B425" s="146">
        <f>SKU_Base!C425</f>
        <v/>
      </c>
      <c r="C425" s="147">
        <f>IFERROR(SKU_Base!I425,"")</f>
        <v/>
      </c>
      <c r="D425" s="164">
        <f>IFERROR(SKU_Base!T425,"")</f>
        <v/>
      </c>
      <c r="E425" s="141">
        <f>IFERROR(SKU_Base!$U425,"")</f>
        <v/>
      </c>
      <c r="F425" s="160">
        <f>IFERROR(ROUND(D425*(1-CHOOSE(MATCH(IF($E425="","Основний",$E425),{"Трафіковий","Основний","Маржинальний","Сезонний","Стратегічний"},0),Settings!$B$78,Settings!$B$80,Settings!$B$82,Settings!$B$84,Settings!$B$86))/6,2)*6,"")</f>
        <v/>
      </c>
      <c r="G425" s="142">
        <f>IFERROR(CHOOSE(MATCH(IF($E425="","Основний",$E425),{"Трафіковий","Основний","Маржинальний","Сезонний","Стратегічний"},0),Settings!$B$78,Settings!$B$80,Settings!$B$82,Settings!$B$84,Settings!$B$86),"")</f>
        <v/>
      </c>
      <c r="H425" s="148">
        <f>IFERROR((F425*(1-Settings!$B$17)-C425)/(F425*(1-Settings!$B$17)),"")</f>
        <v/>
      </c>
      <c r="I425" s="150">
        <f>IFERROR(IF(F425="","",IF(F425&gt;=C425/(1-SKU_Base!Z425)/(1-Settings!$B$17),"OK",IF(F425&gt;=C425/(1-SKU_Base!AG425)/(1-Settings!$B$17),"WARN","STOP"))),"")</f>
        <v/>
      </c>
      <c r="J425" s="160">
        <f>IFERROR(ROUND(D425*(1-CHOOSE(MATCH(IF($E425="","Основний",$E425),{"Трафіковий","Основний","Маржинальний","Сезонний","Стратегічний"},0),Settings!$C$78,Settings!$C$80,Settings!$C$82,Settings!$C$84,Settings!$C$86))/6,2)*6,"")</f>
        <v/>
      </c>
      <c r="K425" s="142">
        <f>IFERROR(CHOOSE(MATCH(IF($E425="","Основний",$E425),{"Трафіковий","Основний","Маржинальний","Сезонний","Стратегічний"},0),Settings!$C$78,Settings!$C$80,Settings!$C$82,Settings!$C$84,Settings!$C$86),"")</f>
        <v/>
      </c>
      <c r="L425" s="148">
        <f>IFERROR((J425*(1-Settings!$C$17)-C425)/(J425*(1-Settings!$C$17)),"")</f>
        <v/>
      </c>
      <c r="M425" s="149">
        <f>IFERROR(IF(J425="","",IF(J425&gt;=C425/(1-SKU_Base!AA425)/(1-Settings!$C$17),"OK",IF(J425&gt;=C425/(1-SKU_Base!AH425)/(1-Settings!$C$17),"WARN","STOP"))),"")</f>
        <v/>
      </c>
      <c r="N425" s="161">
        <f>IFERROR(ROUND(D425*(1-CHOOSE(MATCH(IF($E425="","Основний",$E425),{"Трафіковий","Основний","Маржинальний","Сезонний","Стратегічний"},0),Settings!$D$78,Settings!$D$80,Settings!$D$82,Settings!$D$84,Settings!$D$86))/6,2)*6,"")</f>
        <v/>
      </c>
      <c r="O425" s="142">
        <f>IFERROR(CHOOSE(MATCH(IF($E425="","Основний",$E425),{"Трафіковий","Основний","Маржинальний","Сезонний","Стратегічний"},0),Settings!$D$78,Settings!$D$80,Settings!$D$82,Settings!$D$84,Settings!$D$86),"")</f>
        <v/>
      </c>
      <c r="P425" s="148">
        <f>IFERROR((N425*(1-Settings!$D$17)-C425)/(N425*(1-Settings!$D$17)),"")</f>
        <v/>
      </c>
      <c r="Q425" s="149">
        <f>IFERROR(IF(N425="","",IF(N425&gt;=C425/(1-SKU_Base!AB425)/(1-Settings!$D$17),"OK",IF(N425&gt;=C425/(1-SKU_Base!AI425)/(1-Settings!$D$17),"WARN","STOP"))),"")</f>
        <v/>
      </c>
      <c r="R425" s="161">
        <f>IFERROR(ROUND(D425*(1-CHOOSE(MATCH(IF($E425="","Основний",$E425),{"Трафіковий","Основний","Маржинальний","Сезонний","Стратегічний"},0),Settings!$E$78,Settings!$E$80,Settings!$E$82,Settings!$E$84,Settings!$E$86))/6,2)*6,"")</f>
        <v/>
      </c>
      <c r="S425" s="142">
        <f>IFERROR(CHOOSE(MATCH(IF($E425="","Основний",$E425),{"Трафіковий","Основний","Маржинальний","Сезонний","Стратегічний"},0),Settings!$E$78,Settings!$E$80,Settings!$E$82,Settings!$E$84,Settings!$E$86),"")</f>
        <v/>
      </c>
      <c r="T425" s="148">
        <f>IFERROR((R425*(1-Settings!$E$17)-C425)/(R425*(1-Settings!$E$17)),"")</f>
        <v/>
      </c>
      <c r="U425" s="149">
        <f>IFERROR(IF(R425="","",IF(R425&gt;=C425/(1-SKU_Base!AC425)/(1-Settings!$E$17),"OK",IF(R425&gt;=C425/(1-SKU_Base!AJ425)/(1-Settings!$E$17),"WARN","STOP"))),"")</f>
        <v/>
      </c>
      <c r="V425" s="161">
        <f>IFERROR(ROUND(D425*(1-CHOOSE(MATCH(IF($E425="","Основний",$E425),{"Трафіковий","Основний","Маржинальний","Сезонний","Стратегічний"},0),Settings!$F$78,Settings!$F$80,Settings!$F$82,Settings!$F$84,Settings!$F$86))/6,2)*6,"")</f>
        <v/>
      </c>
      <c r="W425" s="142">
        <f>IFERROR(CHOOSE(MATCH(IF($E425="","Основний",$E425),{"Трафіковий","Основний","Маржинальний","Сезонний","Стратегічний"},0),Settings!$F$78,Settings!$F$80,Settings!$F$82,Settings!$F$84,Settings!$F$86),"")</f>
        <v/>
      </c>
      <c r="X425" s="148">
        <f>IFERROR((V425*(1-Settings!$F$17)-C425)/(V425*(1-Settings!$F$17)),"")</f>
        <v/>
      </c>
      <c r="Y425" s="149">
        <f>IFERROR(IF(V425="","",IF(V425&gt;=C425/(1-SKU_Base!AD425)/(1-Settings!$F$17),"OK",IF(V425&gt;=C425/(1-SKU_Base!AK425)/(1-Settings!$F$17),"WARN","STOP"))),"")</f>
        <v/>
      </c>
      <c r="Z425" s="161">
        <f>IFERROR(ROUND(D425*(1-CHOOSE(MATCH(IF($E425="","Основний",$E425),{"Трафіковий","Основний","Маржинальний","Сезонний","Стратегічний"},0),Settings!$G$78,Settings!$G$80,Settings!$G$82,Settings!$G$84,Settings!$G$86))/6,2)*6,"")</f>
        <v/>
      </c>
      <c r="AA425" s="142">
        <f>IFERROR(CHOOSE(MATCH(IF($E425="","Основний",$E425),{"Трафіковий","Основний","Маржинальний","Сезонний","Стратегічний"},0),Settings!$G$78,Settings!$G$80,Settings!$G$82,Settings!$G$84,Settings!$G$86),"")</f>
        <v/>
      </c>
      <c r="AB425" s="148">
        <f>IFERROR((Z425*(1-Settings!$G$17)-C425)/(Z425*(1-Settings!$G$17)),"")</f>
        <v/>
      </c>
      <c r="AC425" s="149">
        <f>IFERROR(IF(Z425="","",IF(Z425&gt;=C425/(1-SKU_Base!AE425)/(1-Settings!$G$17),"OK",IF(Z425&gt;=C425/(1-SKU_Base!AL425)/(1-Settings!$G$17),"WARN","STOP"))),"")</f>
        <v/>
      </c>
      <c r="AD425" s="161">
        <f>IFERROR(ROUND(D425*(1-CHOOSE(MATCH(IF($E425="","Основний",$E425),{"Трафіковий","Основний","Маржинальний","Сезонний","Стратегічний"},0),Settings!$H$78,Settings!$H$80,Settings!$H$82,Settings!$H$84,Settings!$H$86))*(1-Settings!$H$68)/6,2)*6,"")</f>
        <v/>
      </c>
      <c r="AE425" s="142">
        <f>IFERROR(CHOOSE(MATCH(IF($E425="","Основний",$E425),{"Трафіковий","Основний","Маржинальний","Сезонний","Стратегічний"},0),Settings!$H$78,Settings!$H$80,Settings!$H$82,Settings!$H$84,Settings!$H$86)+(1-(CHOOSE(MATCH(IF($E425="","Основний",$E425),{"Трафіковий","Основний","Маржинальний","Сезонний","Стратегічний"},0),Settings!$H$78,Settings!$H$80,Settings!$H$82,Settings!$H$84,Settings!$H$86)))*Settings!$H$68,"")</f>
        <v/>
      </c>
      <c r="AF425" s="148">
        <f>IFERROR((AD425*(1-Settings!$H$17)-C425)/(AD425*(1-Settings!$H$17)),"")</f>
        <v/>
      </c>
      <c r="AG425" s="150">
        <f>IFERROR(IF(AD425="","",IF(AD425&gt;=C425/(1-SKU_Base!AF425)/(1-Settings!$H$17),"OK",IF(AD425&gt;=C425/(1-SKU_Base!AM425)/(1-Settings!$H$17),"WARN","STOP"))),"")</f>
        <v/>
      </c>
    </row>
    <row r="426" ht="17" customHeight="1" s="179">
      <c r="A426" s="139">
        <f>SKU_Base!B426</f>
        <v/>
      </c>
      <c r="B426" s="139">
        <f>SKU_Base!C426</f>
        <v/>
      </c>
      <c r="C426" s="140">
        <f>IFERROR(SKU_Base!I426,"")</f>
        <v/>
      </c>
      <c r="D426" s="163">
        <f>IFERROR(SKU_Base!T426,"")</f>
        <v/>
      </c>
      <c r="E426" s="141">
        <f>IFERROR(SKU_Base!$U426,"")</f>
        <v/>
      </c>
      <c r="F426" s="158">
        <f>IFERROR(ROUND(D426*(1-CHOOSE(MATCH(IF($E426="","Основний",$E426),{"Трафіковий","Основний","Маржинальний","Сезонний","Стратегічний"},0),Settings!$B$78,Settings!$B$80,Settings!$B$82,Settings!$B$84,Settings!$B$86))/6,2)*6,"")</f>
        <v/>
      </c>
      <c r="G426" s="142">
        <f>IFERROR(CHOOSE(MATCH(IF($E426="","Основний",$E426),{"Трафіковий","Основний","Маржинальний","Сезонний","Стратегічний"},0),Settings!$B$78,Settings!$B$80,Settings!$B$82,Settings!$B$84,Settings!$B$86),"")</f>
        <v/>
      </c>
      <c r="H426" s="143">
        <f>IFERROR((F426*(1-Settings!$B$17)-C426)/(F426*(1-Settings!$B$17)),"")</f>
        <v/>
      </c>
      <c r="I426" s="149">
        <f>IFERROR(IF(F426="","",IF(F426&gt;=C426/(1-SKU_Base!Z426)/(1-Settings!$B$17),"OK",IF(F426&gt;=C426/(1-SKU_Base!AG426)/(1-Settings!$B$17),"WARN","STOP"))),"")</f>
        <v/>
      </c>
      <c r="J426" s="158">
        <f>IFERROR(ROUND(D426*(1-CHOOSE(MATCH(IF($E426="","Основний",$E426),{"Трафіковий","Основний","Маржинальний","Сезонний","Стратегічний"},0),Settings!$C$78,Settings!$C$80,Settings!$C$82,Settings!$C$84,Settings!$C$86))/6,2)*6,"")</f>
        <v/>
      </c>
      <c r="K426" s="142">
        <f>IFERROR(CHOOSE(MATCH(IF($E426="","Основний",$E426),{"Трафіковий","Основний","Маржинальний","Сезонний","Стратегічний"},0),Settings!$C$78,Settings!$C$80,Settings!$C$82,Settings!$C$84,Settings!$C$86),"")</f>
        <v/>
      </c>
      <c r="L426" s="143">
        <f>IFERROR((J426*(1-Settings!$C$17)-C426)/(J426*(1-Settings!$C$17)),"")</f>
        <v/>
      </c>
      <c r="M426" s="149">
        <f>IFERROR(IF(J426="","",IF(J426&gt;=C426/(1-SKU_Base!AA426)/(1-Settings!$C$17),"OK",IF(J426&gt;=C426/(1-SKU_Base!AH426)/(1-Settings!$C$17),"WARN","STOP"))),"")</f>
        <v/>
      </c>
      <c r="N426" s="159">
        <f>IFERROR(ROUND(D426*(1-CHOOSE(MATCH(IF($E426="","Основний",$E426),{"Трафіковий","Основний","Маржинальний","Сезонний","Стратегічний"},0),Settings!$D$78,Settings!$D$80,Settings!$D$82,Settings!$D$84,Settings!$D$86))/6,2)*6,"")</f>
        <v/>
      </c>
      <c r="O426" s="142">
        <f>IFERROR(CHOOSE(MATCH(IF($E426="","Основний",$E426),{"Трафіковий","Основний","Маржинальний","Сезонний","Стратегічний"},0),Settings!$D$78,Settings!$D$80,Settings!$D$82,Settings!$D$84,Settings!$D$86),"")</f>
        <v/>
      </c>
      <c r="P426" s="143">
        <f>IFERROR((N426*(1-Settings!$D$17)-C426)/(N426*(1-Settings!$D$17)),"")</f>
        <v/>
      </c>
      <c r="Q426" s="149">
        <f>IFERROR(IF(N426="","",IF(N426&gt;=C426/(1-SKU_Base!AB426)/(1-Settings!$D$17),"OK",IF(N426&gt;=C426/(1-SKU_Base!AI426)/(1-Settings!$D$17),"WARN","STOP"))),"")</f>
        <v/>
      </c>
      <c r="R426" s="159">
        <f>IFERROR(ROUND(D426*(1-CHOOSE(MATCH(IF($E426="","Основний",$E426),{"Трафіковий","Основний","Маржинальний","Сезонний","Стратегічний"},0),Settings!$E$78,Settings!$E$80,Settings!$E$82,Settings!$E$84,Settings!$E$86))/6,2)*6,"")</f>
        <v/>
      </c>
      <c r="S426" s="142">
        <f>IFERROR(CHOOSE(MATCH(IF($E426="","Основний",$E426),{"Трафіковий","Основний","Маржинальний","Сезонний","Стратегічний"},0),Settings!$E$78,Settings!$E$80,Settings!$E$82,Settings!$E$84,Settings!$E$86),"")</f>
        <v/>
      </c>
      <c r="T426" s="143">
        <f>IFERROR((R426*(1-Settings!$E$17)-C426)/(R426*(1-Settings!$E$17)),"")</f>
        <v/>
      </c>
      <c r="U426" s="149">
        <f>IFERROR(IF(R426="","",IF(R426&gt;=C426/(1-SKU_Base!AC426)/(1-Settings!$E$17),"OK",IF(R426&gt;=C426/(1-SKU_Base!AJ426)/(1-Settings!$E$17),"WARN","STOP"))),"")</f>
        <v/>
      </c>
      <c r="V426" s="159">
        <f>IFERROR(ROUND(D426*(1-CHOOSE(MATCH(IF($E426="","Основний",$E426),{"Трафіковий","Основний","Маржинальний","Сезонний","Стратегічний"},0),Settings!$F$78,Settings!$F$80,Settings!$F$82,Settings!$F$84,Settings!$F$86))/6,2)*6,"")</f>
        <v/>
      </c>
      <c r="W426" s="142">
        <f>IFERROR(CHOOSE(MATCH(IF($E426="","Основний",$E426),{"Трафіковий","Основний","Маржинальний","Сезонний","Стратегічний"},0),Settings!$F$78,Settings!$F$80,Settings!$F$82,Settings!$F$84,Settings!$F$86),"")</f>
        <v/>
      </c>
      <c r="X426" s="143">
        <f>IFERROR((V426*(1-Settings!$F$17)-C426)/(V426*(1-Settings!$F$17)),"")</f>
        <v/>
      </c>
      <c r="Y426" s="149">
        <f>IFERROR(IF(V426="","",IF(V426&gt;=C426/(1-SKU_Base!AD426)/(1-Settings!$F$17),"OK",IF(V426&gt;=C426/(1-SKU_Base!AK426)/(1-Settings!$F$17),"WARN","STOP"))),"")</f>
        <v/>
      </c>
      <c r="Z426" s="159">
        <f>IFERROR(ROUND(D426*(1-CHOOSE(MATCH(IF($E426="","Основний",$E426),{"Трафіковий","Основний","Маржинальний","Сезонний","Стратегічний"},0),Settings!$G$78,Settings!$G$80,Settings!$G$82,Settings!$G$84,Settings!$G$86))/6,2)*6,"")</f>
        <v/>
      </c>
      <c r="AA426" s="142">
        <f>IFERROR(CHOOSE(MATCH(IF($E426="","Основний",$E426),{"Трафіковий","Основний","Маржинальний","Сезонний","Стратегічний"},0),Settings!$G$78,Settings!$G$80,Settings!$G$82,Settings!$G$84,Settings!$G$86),"")</f>
        <v/>
      </c>
      <c r="AB426" s="143">
        <f>IFERROR((Z426*(1-Settings!$G$17)-C426)/(Z426*(1-Settings!$G$17)),"")</f>
        <v/>
      </c>
      <c r="AC426" s="149">
        <f>IFERROR(IF(Z426="","",IF(Z426&gt;=C426/(1-SKU_Base!AE426)/(1-Settings!$G$17),"OK",IF(Z426&gt;=C426/(1-SKU_Base!AL426)/(1-Settings!$G$17),"WARN","STOP"))),"")</f>
        <v/>
      </c>
      <c r="AD426" s="159">
        <f>IFERROR(ROUND(D426*(1-CHOOSE(MATCH(IF($E426="","Основний",$E426),{"Трафіковий","Основний","Маржинальний","Сезонний","Стратегічний"},0),Settings!$H$78,Settings!$H$80,Settings!$H$82,Settings!$H$84,Settings!$H$86))*(1-Settings!$H$68)/6,2)*6,"")</f>
        <v/>
      </c>
      <c r="AE426" s="142">
        <f>IFERROR(CHOOSE(MATCH(IF($E426="","Основний",$E426),{"Трафіковий","Основний","Маржинальний","Сезонний","Стратегічний"},0),Settings!$H$78,Settings!$H$80,Settings!$H$82,Settings!$H$84,Settings!$H$86)+(1-(CHOOSE(MATCH(IF($E426="","Основний",$E426),{"Трафіковий","Основний","Маржинальний","Сезонний","Стратегічний"},0),Settings!$H$78,Settings!$H$80,Settings!$H$82,Settings!$H$84,Settings!$H$86)))*Settings!$H$68,"")</f>
        <v/>
      </c>
      <c r="AF426" s="143">
        <f>IFERROR((AD426*(1-Settings!$H$17)-C426)/(AD426*(1-Settings!$H$17)),"")</f>
        <v/>
      </c>
      <c r="AG426" s="150">
        <f>IFERROR(IF(AD426="","",IF(AD426&gt;=C426/(1-SKU_Base!AF426)/(1-Settings!$H$17),"OK",IF(AD426&gt;=C426/(1-SKU_Base!AM426)/(1-Settings!$H$17),"WARN","STOP"))),"")</f>
        <v/>
      </c>
    </row>
    <row r="427" ht="17" customHeight="1" s="179">
      <c r="A427" s="146">
        <f>SKU_Base!B427</f>
        <v/>
      </c>
      <c r="B427" s="146">
        <f>SKU_Base!C427</f>
        <v/>
      </c>
      <c r="C427" s="147">
        <f>IFERROR(SKU_Base!I427,"")</f>
        <v/>
      </c>
      <c r="D427" s="164">
        <f>IFERROR(SKU_Base!T427,"")</f>
        <v/>
      </c>
      <c r="E427" s="141">
        <f>IFERROR(SKU_Base!$U427,"")</f>
        <v/>
      </c>
      <c r="F427" s="160">
        <f>IFERROR(ROUND(D427*(1-CHOOSE(MATCH(IF($E427="","Основний",$E427),{"Трафіковий","Основний","Маржинальний","Сезонний","Стратегічний"},0),Settings!$B$78,Settings!$B$80,Settings!$B$82,Settings!$B$84,Settings!$B$86))/6,2)*6,"")</f>
        <v/>
      </c>
      <c r="G427" s="142">
        <f>IFERROR(CHOOSE(MATCH(IF($E427="","Основний",$E427),{"Трафіковий","Основний","Маржинальний","Сезонний","Стратегічний"},0),Settings!$B$78,Settings!$B$80,Settings!$B$82,Settings!$B$84,Settings!$B$86),"")</f>
        <v/>
      </c>
      <c r="H427" s="148">
        <f>IFERROR((F427*(1-Settings!$B$17)-C427)/(F427*(1-Settings!$B$17)),"")</f>
        <v/>
      </c>
      <c r="I427" s="149">
        <f>IFERROR(IF(F427="","",IF(F427&gt;=C427/(1-SKU_Base!Z427)/(1-Settings!$B$17),"OK",IF(F427&gt;=C427/(1-SKU_Base!AG427)/(1-Settings!$B$17),"WARN","STOP"))),"")</f>
        <v/>
      </c>
      <c r="J427" s="160">
        <f>IFERROR(ROUND(D427*(1-CHOOSE(MATCH(IF($E427="","Основний",$E427),{"Трафіковий","Основний","Маржинальний","Сезонний","Стратегічний"},0),Settings!$C$78,Settings!$C$80,Settings!$C$82,Settings!$C$84,Settings!$C$86))/6,2)*6,"")</f>
        <v/>
      </c>
      <c r="K427" s="142">
        <f>IFERROR(CHOOSE(MATCH(IF($E427="","Основний",$E427),{"Трафіковий","Основний","Маржинальний","Сезонний","Стратегічний"},0),Settings!$C$78,Settings!$C$80,Settings!$C$82,Settings!$C$84,Settings!$C$86),"")</f>
        <v/>
      </c>
      <c r="L427" s="148">
        <f>IFERROR((J427*(1-Settings!$C$17)-C427)/(J427*(1-Settings!$C$17)),"")</f>
        <v/>
      </c>
      <c r="M427" s="149">
        <f>IFERROR(IF(J427="","",IF(J427&gt;=C427/(1-SKU_Base!AA427)/(1-Settings!$C$17),"OK",IF(J427&gt;=C427/(1-SKU_Base!AH427)/(1-Settings!$C$17),"WARN","STOP"))),"")</f>
        <v/>
      </c>
      <c r="N427" s="161">
        <f>IFERROR(ROUND(D427*(1-CHOOSE(MATCH(IF($E427="","Основний",$E427),{"Трафіковий","Основний","Маржинальний","Сезонний","Стратегічний"},0),Settings!$D$78,Settings!$D$80,Settings!$D$82,Settings!$D$84,Settings!$D$86))/6,2)*6,"")</f>
        <v/>
      </c>
      <c r="O427" s="142">
        <f>IFERROR(CHOOSE(MATCH(IF($E427="","Основний",$E427),{"Трафіковий","Основний","Маржинальний","Сезонний","Стратегічний"},0),Settings!$D$78,Settings!$D$80,Settings!$D$82,Settings!$D$84,Settings!$D$86),"")</f>
        <v/>
      </c>
      <c r="P427" s="148">
        <f>IFERROR((N427*(1-Settings!$D$17)-C427)/(N427*(1-Settings!$D$17)),"")</f>
        <v/>
      </c>
      <c r="Q427" s="149">
        <f>IFERROR(IF(N427="","",IF(N427&gt;=C427/(1-SKU_Base!AB427)/(1-Settings!$D$17),"OK",IF(N427&gt;=C427/(1-SKU_Base!AI427)/(1-Settings!$D$17),"WARN","STOP"))),"")</f>
        <v/>
      </c>
      <c r="R427" s="161">
        <f>IFERROR(ROUND(D427*(1-CHOOSE(MATCH(IF($E427="","Основний",$E427),{"Трафіковий","Основний","Маржинальний","Сезонний","Стратегічний"},0),Settings!$E$78,Settings!$E$80,Settings!$E$82,Settings!$E$84,Settings!$E$86))/6,2)*6,"")</f>
        <v/>
      </c>
      <c r="S427" s="142">
        <f>IFERROR(CHOOSE(MATCH(IF($E427="","Основний",$E427),{"Трафіковий","Основний","Маржинальний","Сезонний","Стратегічний"},0),Settings!$E$78,Settings!$E$80,Settings!$E$82,Settings!$E$84,Settings!$E$86),"")</f>
        <v/>
      </c>
      <c r="T427" s="148">
        <f>IFERROR((R427*(1-Settings!$E$17)-C427)/(R427*(1-Settings!$E$17)),"")</f>
        <v/>
      </c>
      <c r="U427" s="149">
        <f>IFERROR(IF(R427="","",IF(R427&gt;=C427/(1-SKU_Base!AC427)/(1-Settings!$E$17),"OK",IF(R427&gt;=C427/(1-SKU_Base!AJ427)/(1-Settings!$E$17),"WARN","STOP"))),"")</f>
        <v/>
      </c>
      <c r="V427" s="161">
        <f>IFERROR(ROUND(D427*(1-CHOOSE(MATCH(IF($E427="","Основний",$E427),{"Трафіковий","Основний","Маржинальний","Сезонний","Стратегічний"},0),Settings!$F$78,Settings!$F$80,Settings!$F$82,Settings!$F$84,Settings!$F$86))/6,2)*6,"")</f>
        <v/>
      </c>
      <c r="W427" s="142">
        <f>IFERROR(CHOOSE(MATCH(IF($E427="","Основний",$E427),{"Трафіковий","Основний","Маржинальний","Сезонний","Стратегічний"},0),Settings!$F$78,Settings!$F$80,Settings!$F$82,Settings!$F$84,Settings!$F$86),"")</f>
        <v/>
      </c>
      <c r="X427" s="148">
        <f>IFERROR((V427*(1-Settings!$F$17)-C427)/(V427*(1-Settings!$F$17)),"")</f>
        <v/>
      </c>
      <c r="Y427" s="149">
        <f>IFERROR(IF(V427="","",IF(V427&gt;=C427/(1-SKU_Base!AD427)/(1-Settings!$F$17),"OK",IF(V427&gt;=C427/(1-SKU_Base!AK427)/(1-Settings!$F$17),"WARN","STOP"))),"")</f>
        <v/>
      </c>
      <c r="Z427" s="161">
        <f>IFERROR(ROUND(D427*(1-CHOOSE(MATCH(IF($E427="","Основний",$E427),{"Трафіковий","Основний","Маржинальний","Сезонний","Стратегічний"},0),Settings!$G$78,Settings!$G$80,Settings!$G$82,Settings!$G$84,Settings!$G$86))/6,2)*6,"")</f>
        <v/>
      </c>
      <c r="AA427" s="142">
        <f>IFERROR(CHOOSE(MATCH(IF($E427="","Основний",$E427),{"Трафіковий","Основний","Маржинальний","Сезонний","Стратегічний"},0),Settings!$G$78,Settings!$G$80,Settings!$G$82,Settings!$G$84,Settings!$G$86),"")</f>
        <v/>
      </c>
      <c r="AB427" s="148">
        <f>IFERROR((Z427*(1-Settings!$G$17)-C427)/(Z427*(1-Settings!$G$17)),"")</f>
        <v/>
      </c>
      <c r="AC427" s="149">
        <f>IFERROR(IF(Z427="","",IF(Z427&gt;=C427/(1-SKU_Base!AE427)/(1-Settings!$G$17),"OK",IF(Z427&gt;=C427/(1-SKU_Base!AL427)/(1-Settings!$G$17),"WARN","STOP"))),"")</f>
        <v/>
      </c>
      <c r="AD427" s="161">
        <f>IFERROR(ROUND(D427*(1-CHOOSE(MATCH(IF($E427="","Основний",$E427),{"Трафіковий","Основний","Маржинальний","Сезонний","Стратегічний"},0),Settings!$H$78,Settings!$H$80,Settings!$H$82,Settings!$H$84,Settings!$H$86))*(1-Settings!$H$68)/6,2)*6,"")</f>
        <v/>
      </c>
      <c r="AE427" s="142">
        <f>IFERROR(CHOOSE(MATCH(IF($E427="","Основний",$E427),{"Трафіковий","Основний","Маржинальний","Сезонний","Стратегічний"},0),Settings!$H$78,Settings!$H$80,Settings!$H$82,Settings!$H$84,Settings!$H$86)+(1-(CHOOSE(MATCH(IF($E427="","Основний",$E427),{"Трафіковий","Основний","Маржинальний","Сезонний","Стратегічний"},0),Settings!$H$78,Settings!$H$80,Settings!$H$82,Settings!$H$84,Settings!$H$86)))*Settings!$H$68,"")</f>
        <v/>
      </c>
      <c r="AF427" s="148">
        <f>IFERROR((AD427*(1-Settings!$H$17)-C427)/(AD427*(1-Settings!$H$17)),"")</f>
        <v/>
      </c>
      <c r="AG427" s="150">
        <f>IFERROR(IF(AD427="","",IF(AD427&gt;=C427/(1-SKU_Base!AF427)/(1-Settings!$H$17),"OK",IF(AD427&gt;=C427/(1-SKU_Base!AM427)/(1-Settings!$H$17),"WARN","STOP"))),"")</f>
        <v/>
      </c>
    </row>
    <row r="428" ht="17" customHeight="1" s="179">
      <c r="A428" s="139">
        <f>SKU_Base!B428</f>
        <v/>
      </c>
      <c r="B428" s="139">
        <f>SKU_Base!C428</f>
        <v/>
      </c>
      <c r="C428" s="140">
        <f>IFERROR(SKU_Base!I428,"")</f>
        <v/>
      </c>
      <c r="D428" s="163">
        <f>IFERROR(SKU_Base!T428,"")</f>
        <v/>
      </c>
      <c r="E428" s="141">
        <f>IFERROR(SKU_Base!$U428,"")</f>
        <v/>
      </c>
      <c r="F428" s="158">
        <f>IFERROR(ROUND(D428*(1-CHOOSE(MATCH(IF($E428="","Основний",$E428),{"Трафіковий","Основний","Маржинальний","Сезонний","Стратегічний"},0),Settings!$B$78,Settings!$B$80,Settings!$B$82,Settings!$B$84,Settings!$B$86))/6,2)*6,"")</f>
        <v/>
      </c>
      <c r="G428" s="142">
        <f>IFERROR(CHOOSE(MATCH(IF($E428="","Основний",$E428),{"Трафіковий","Основний","Маржинальний","Сезонний","Стратегічний"},0),Settings!$B$78,Settings!$B$80,Settings!$B$82,Settings!$B$84,Settings!$B$86),"")</f>
        <v/>
      </c>
      <c r="H428" s="143">
        <f>IFERROR((F428*(1-Settings!$B$17)-C428)/(F428*(1-Settings!$B$17)),"")</f>
        <v/>
      </c>
      <c r="I428" s="149">
        <f>IFERROR(IF(F428="","",IF(F428&gt;=C428/(1-SKU_Base!Z428)/(1-Settings!$B$17),"OK",IF(F428&gt;=C428/(1-SKU_Base!AG428)/(1-Settings!$B$17),"WARN","STOP"))),"")</f>
        <v/>
      </c>
      <c r="J428" s="158">
        <f>IFERROR(ROUND(D428*(1-CHOOSE(MATCH(IF($E428="","Основний",$E428),{"Трафіковий","Основний","Маржинальний","Сезонний","Стратегічний"},0),Settings!$C$78,Settings!$C$80,Settings!$C$82,Settings!$C$84,Settings!$C$86))/6,2)*6,"")</f>
        <v/>
      </c>
      <c r="K428" s="142">
        <f>IFERROR(CHOOSE(MATCH(IF($E428="","Основний",$E428),{"Трафіковий","Основний","Маржинальний","Сезонний","Стратегічний"},0),Settings!$C$78,Settings!$C$80,Settings!$C$82,Settings!$C$84,Settings!$C$86),"")</f>
        <v/>
      </c>
      <c r="L428" s="143">
        <f>IFERROR((J428*(1-Settings!$C$17)-C428)/(J428*(1-Settings!$C$17)),"")</f>
        <v/>
      </c>
      <c r="M428" s="149">
        <f>IFERROR(IF(J428="","",IF(J428&gt;=C428/(1-SKU_Base!AA428)/(1-Settings!$C$17),"OK",IF(J428&gt;=C428/(1-SKU_Base!AH428)/(1-Settings!$C$17),"WARN","STOP"))),"")</f>
        <v/>
      </c>
      <c r="N428" s="159">
        <f>IFERROR(ROUND(D428*(1-CHOOSE(MATCH(IF($E428="","Основний",$E428),{"Трафіковий","Основний","Маржинальний","Сезонний","Стратегічний"},0),Settings!$D$78,Settings!$D$80,Settings!$D$82,Settings!$D$84,Settings!$D$86))/6,2)*6,"")</f>
        <v/>
      </c>
      <c r="O428" s="142">
        <f>IFERROR(CHOOSE(MATCH(IF($E428="","Основний",$E428),{"Трафіковий","Основний","Маржинальний","Сезонний","Стратегічний"},0),Settings!$D$78,Settings!$D$80,Settings!$D$82,Settings!$D$84,Settings!$D$86),"")</f>
        <v/>
      </c>
      <c r="P428" s="143">
        <f>IFERROR((N428*(1-Settings!$D$17)-C428)/(N428*(1-Settings!$D$17)),"")</f>
        <v/>
      </c>
      <c r="Q428" s="149">
        <f>IFERROR(IF(N428="","",IF(N428&gt;=C428/(1-SKU_Base!AB428)/(1-Settings!$D$17),"OK",IF(N428&gt;=C428/(1-SKU_Base!AI428)/(1-Settings!$D$17),"WARN","STOP"))),"")</f>
        <v/>
      </c>
      <c r="R428" s="159">
        <f>IFERROR(ROUND(D428*(1-CHOOSE(MATCH(IF($E428="","Основний",$E428),{"Трафіковий","Основний","Маржинальний","Сезонний","Стратегічний"},0),Settings!$E$78,Settings!$E$80,Settings!$E$82,Settings!$E$84,Settings!$E$86))/6,2)*6,"")</f>
        <v/>
      </c>
      <c r="S428" s="142">
        <f>IFERROR(CHOOSE(MATCH(IF($E428="","Основний",$E428),{"Трафіковий","Основний","Маржинальний","Сезонний","Стратегічний"},0),Settings!$E$78,Settings!$E$80,Settings!$E$82,Settings!$E$84,Settings!$E$86),"")</f>
        <v/>
      </c>
      <c r="T428" s="143">
        <f>IFERROR((R428*(1-Settings!$E$17)-C428)/(R428*(1-Settings!$E$17)),"")</f>
        <v/>
      </c>
      <c r="U428" s="149">
        <f>IFERROR(IF(R428="","",IF(R428&gt;=C428/(1-SKU_Base!AC428)/(1-Settings!$E$17),"OK",IF(R428&gt;=C428/(1-SKU_Base!AJ428)/(1-Settings!$E$17),"WARN","STOP"))),"")</f>
        <v/>
      </c>
      <c r="V428" s="159">
        <f>IFERROR(ROUND(D428*(1-CHOOSE(MATCH(IF($E428="","Основний",$E428),{"Трафіковий","Основний","Маржинальний","Сезонний","Стратегічний"},0),Settings!$F$78,Settings!$F$80,Settings!$F$82,Settings!$F$84,Settings!$F$86))/6,2)*6,"")</f>
        <v/>
      </c>
      <c r="W428" s="142">
        <f>IFERROR(CHOOSE(MATCH(IF($E428="","Основний",$E428),{"Трафіковий","Основний","Маржинальний","Сезонний","Стратегічний"},0),Settings!$F$78,Settings!$F$80,Settings!$F$82,Settings!$F$84,Settings!$F$86),"")</f>
        <v/>
      </c>
      <c r="X428" s="143">
        <f>IFERROR((V428*(1-Settings!$F$17)-C428)/(V428*(1-Settings!$F$17)),"")</f>
        <v/>
      </c>
      <c r="Y428" s="149">
        <f>IFERROR(IF(V428="","",IF(V428&gt;=C428/(1-SKU_Base!AD428)/(1-Settings!$F$17),"OK",IF(V428&gt;=C428/(1-SKU_Base!AK428)/(1-Settings!$F$17),"WARN","STOP"))),"")</f>
        <v/>
      </c>
      <c r="Z428" s="159">
        <f>IFERROR(ROUND(D428*(1-CHOOSE(MATCH(IF($E428="","Основний",$E428),{"Трафіковий","Основний","Маржинальний","Сезонний","Стратегічний"},0),Settings!$G$78,Settings!$G$80,Settings!$G$82,Settings!$G$84,Settings!$G$86))/6,2)*6,"")</f>
        <v/>
      </c>
      <c r="AA428" s="142">
        <f>IFERROR(CHOOSE(MATCH(IF($E428="","Основний",$E428),{"Трафіковий","Основний","Маржинальний","Сезонний","Стратегічний"},0),Settings!$G$78,Settings!$G$80,Settings!$G$82,Settings!$G$84,Settings!$G$86),"")</f>
        <v/>
      </c>
      <c r="AB428" s="143">
        <f>IFERROR((Z428*(1-Settings!$G$17)-C428)/(Z428*(1-Settings!$G$17)),"")</f>
        <v/>
      </c>
      <c r="AC428" s="149">
        <f>IFERROR(IF(Z428="","",IF(Z428&gt;=C428/(1-SKU_Base!AE428)/(1-Settings!$G$17),"OK",IF(Z428&gt;=C428/(1-SKU_Base!AL428)/(1-Settings!$G$17),"WARN","STOP"))),"")</f>
        <v/>
      </c>
      <c r="AD428" s="159">
        <f>IFERROR(ROUND(D428*(1-CHOOSE(MATCH(IF($E428="","Основний",$E428),{"Трафіковий","Основний","Маржинальний","Сезонний","Стратегічний"},0),Settings!$H$78,Settings!$H$80,Settings!$H$82,Settings!$H$84,Settings!$H$86))*(1-Settings!$H$68)/6,2)*6,"")</f>
        <v/>
      </c>
      <c r="AE428" s="142">
        <f>IFERROR(CHOOSE(MATCH(IF($E428="","Основний",$E428),{"Трафіковий","Основний","Маржинальний","Сезонний","Стратегічний"},0),Settings!$H$78,Settings!$H$80,Settings!$H$82,Settings!$H$84,Settings!$H$86)+(1-(CHOOSE(MATCH(IF($E428="","Основний",$E428),{"Трафіковий","Основний","Маржинальний","Сезонний","Стратегічний"},0),Settings!$H$78,Settings!$H$80,Settings!$H$82,Settings!$H$84,Settings!$H$86)))*Settings!$H$68,"")</f>
        <v/>
      </c>
      <c r="AF428" s="143">
        <f>IFERROR((AD428*(1-Settings!$H$17)-C428)/(AD428*(1-Settings!$H$17)),"")</f>
        <v/>
      </c>
      <c r="AG428" s="150">
        <f>IFERROR(IF(AD428="","",IF(AD428&gt;=C428/(1-SKU_Base!AF428)/(1-Settings!$H$17),"OK",IF(AD428&gt;=C428/(1-SKU_Base!AM428)/(1-Settings!$H$17),"WARN","STOP"))),"")</f>
        <v/>
      </c>
    </row>
    <row r="429" ht="17" customHeight="1" s="179">
      <c r="A429" s="146">
        <f>SKU_Base!B429</f>
        <v/>
      </c>
      <c r="B429" s="146">
        <f>SKU_Base!C429</f>
        <v/>
      </c>
      <c r="C429" s="147">
        <f>IFERROR(SKU_Base!I429,"")</f>
        <v/>
      </c>
      <c r="D429" s="164">
        <f>IFERROR(SKU_Base!T429,"")</f>
        <v/>
      </c>
      <c r="E429" s="141">
        <f>IFERROR(SKU_Base!$U429,"")</f>
        <v/>
      </c>
      <c r="F429" s="160">
        <f>IFERROR(ROUND(D429*(1-CHOOSE(MATCH(IF($E429="","Основний",$E429),{"Трафіковий","Основний","Маржинальний","Сезонний","Стратегічний"},0),Settings!$B$78,Settings!$B$80,Settings!$B$82,Settings!$B$84,Settings!$B$86))/6,2)*6,"")</f>
        <v/>
      </c>
      <c r="G429" s="142">
        <f>IFERROR(CHOOSE(MATCH(IF($E429="","Основний",$E429),{"Трафіковий","Основний","Маржинальний","Сезонний","Стратегічний"},0),Settings!$B$78,Settings!$B$80,Settings!$B$82,Settings!$B$84,Settings!$B$86),"")</f>
        <v/>
      </c>
      <c r="H429" s="148">
        <f>IFERROR((F429*(1-Settings!$B$17)-C429)/(F429*(1-Settings!$B$17)),"")</f>
        <v/>
      </c>
      <c r="I429" s="149">
        <f>IFERROR(IF(F429="","",IF(F429&gt;=C429/(1-SKU_Base!Z429)/(1-Settings!$B$17),"OK",IF(F429&gt;=C429/(1-SKU_Base!AG429)/(1-Settings!$B$17),"WARN","STOP"))),"")</f>
        <v/>
      </c>
      <c r="J429" s="160">
        <f>IFERROR(ROUND(D429*(1-CHOOSE(MATCH(IF($E429="","Основний",$E429),{"Трафіковий","Основний","Маржинальний","Сезонний","Стратегічний"},0),Settings!$C$78,Settings!$C$80,Settings!$C$82,Settings!$C$84,Settings!$C$86))/6,2)*6,"")</f>
        <v/>
      </c>
      <c r="K429" s="142">
        <f>IFERROR(CHOOSE(MATCH(IF($E429="","Основний",$E429),{"Трафіковий","Основний","Маржинальний","Сезонний","Стратегічний"},0),Settings!$C$78,Settings!$C$80,Settings!$C$82,Settings!$C$84,Settings!$C$86),"")</f>
        <v/>
      </c>
      <c r="L429" s="148">
        <f>IFERROR((J429*(1-Settings!$C$17)-C429)/(J429*(1-Settings!$C$17)),"")</f>
        <v/>
      </c>
      <c r="M429" s="149">
        <f>IFERROR(IF(J429="","",IF(J429&gt;=C429/(1-SKU_Base!AA429)/(1-Settings!$C$17),"OK",IF(J429&gt;=C429/(1-SKU_Base!AH429)/(1-Settings!$C$17),"WARN","STOP"))),"")</f>
        <v/>
      </c>
      <c r="N429" s="161">
        <f>IFERROR(ROUND(D429*(1-CHOOSE(MATCH(IF($E429="","Основний",$E429),{"Трафіковий","Основний","Маржинальний","Сезонний","Стратегічний"},0),Settings!$D$78,Settings!$D$80,Settings!$D$82,Settings!$D$84,Settings!$D$86))/6,2)*6,"")</f>
        <v/>
      </c>
      <c r="O429" s="142">
        <f>IFERROR(CHOOSE(MATCH(IF($E429="","Основний",$E429),{"Трафіковий","Основний","Маржинальний","Сезонний","Стратегічний"},0),Settings!$D$78,Settings!$D$80,Settings!$D$82,Settings!$D$84,Settings!$D$86),"")</f>
        <v/>
      </c>
      <c r="P429" s="148">
        <f>IFERROR((N429*(1-Settings!$D$17)-C429)/(N429*(1-Settings!$D$17)),"")</f>
        <v/>
      </c>
      <c r="Q429" s="149">
        <f>IFERROR(IF(N429="","",IF(N429&gt;=C429/(1-SKU_Base!AB429)/(1-Settings!$D$17),"OK",IF(N429&gt;=C429/(1-SKU_Base!AI429)/(1-Settings!$D$17),"WARN","STOP"))),"")</f>
        <v/>
      </c>
      <c r="R429" s="161">
        <f>IFERROR(ROUND(D429*(1-CHOOSE(MATCH(IF($E429="","Основний",$E429),{"Трафіковий","Основний","Маржинальний","Сезонний","Стратегічний"},0),Settings!$E$78,Settings!$E$80,Settings!$E$82,Settings!$E$84,Settings!$E$86))/6,2)*6,"")</f>
        <v/>
      </c>
      <c r="S429" s="142">
        <f>IFERROR(CHOOSE(MATCH(IF($E429="","Основний",$E429),{"Трафіковий","Основний","Маржинальний","Сезонний","Стратегічний"},0),Settings!$E$78,Settings!$E$80,Settings!$E$82,Settings!$E$84,Settings!$E$86),"")</f>
        <v/>
      </c>
      <c r="T429" s="148">
        <f>IFERROR((R429*(1-Settings!$E$17)-C429)/(R429*(1-Settings!$E$17)),"")</f>
        <v/>
      </c>
      <c r="U429" s="149">
        <f>IFERROR(IF(R429="","",IF(R429&gt;=C429/(1-SKU_Base!AC429)/(1-Settings!$E$17),"OK",IF(R429&gt;=C429/(1-SKU_Base!AJ429)/(1-Settings!$E$17),"WARN","STOP"))),"")</f>
        <v/>
      </c>
      <c r="V429" s="161">
        <f>IFERROR(ROUND(D429*(1-CHOOSE(MATCH(IF($E429="","Основний",$E429),{"Трафіковий","Основний","Маржинальний","Сезонний","Стратегічний"},0),Settings!$F$78,Settings!$F$80,Settings!$F$82,Settings!$F$84,Settings!$F$86))/6,2)*6,"")</f>
        <v/>
      </c>
      <c r="W429" s="142">
        <f>IFERROR(CHOOSE(MATCH(IF($E429="","Основний",$E429),{"Трафіковий","Основний","Маржинальний","Сезонний","Стратегічний"},0),Settings!$F$78,Settings!$F$80,Settings!$F$82,Settings!$F$84,Settings!$F$86),"")</f>
        <v/>
      </c>
      <c r="X429" s="148">
        <f>IFERROR((V429*(1-Settings!$F$17)-C429)/(V429*(1-Settings!$F$17)),"")</f>
        <v/>
      </c>
      <c r="Y429" s="149">
        <f>IFERROR(IF(V429="","",IF(V429&gt;=C429/(1-SKU_Base!AD429)/(1-Settings!$F$17),"OK",IF(V429&gt;=C429/(1-SKU_Base!AK429)/(1-Settings!$F$17),"WARN","STOP"))),"")</f>
        <v/>
      </c>
      <c r="Z429" s="161">
        <f>IFERROR(ROUND(D429*(1-CHOOSE(MATCH(IF($E429="","Основний",$E429),{"Трафіковий","Основний","Маржинальний","Сезонний","Стратегічний"},0),Settings!$G$78,Settings!$G$80,Settings!$G$82,Settings!$G$84,Settings!$G$86))/6,2)*6,"")</f>
        <v/>
      </c>
      <c r="AA429" s="142">
        <f>IFERROR(CHOOSE(MATCH(IF($E429="","Основний",$E429),{"Трафіковий","Основний","Маржинальний","Сезонний","Стратегічний"},0),Settings!$G$78,Settings!$G$80,Settings!$G$82,Settings!$G$84,Settings!$G$86),"")</f>
        <v/>
      </c>
      <c r="AB429" s="148">
        <f>IFERROR((Z429*(1-Settings!$G$17)-C429)/(Z429*(1-Settings!$G$17)),"")</f>
        <v/>
      </c>
      <c r="AC429" s="149">
        <f>IFERROR(IF(Z429="","",IF(Z429&gt;=C429/(1-SKU_Base!AE429)/(1-Settings!$G$17),"OK",IF(Z429&gt;=C429/(1-SKU_Base!AL429)/(1-Settings!$G$17),"WARN","STOP"))),"")</f>
        <v/>
      </c>
      <c r="AD429" s="161">
        <f>IFERROR(ROUND(D429*(1-CHOOSE(MATCH(IF($E429="","Основний",$E429),{"Трафіковий","Основний","Маржинальний","Сезонний","Стратегічний"},0),Settings!$H$78,Settings!$H$80,Settings!$H$82,Settings!$H$84,Settings!$H$86))*(1-Settings!$H$68)/6,2)*6,"")</f>
        <v/>
      </c>
      <c r="AE429" s="142">
        <f>IFERROR(CHOOSE(MATCH(IF($E429="","Основний",$E429),{"Трафіковий","Основний","Маржинальний","Сезонний","Стратегічний"},0),Settings!$H$78,Settings!$H$80,Settings!$H$82,Settings!$H$84,Settings!$H$86)+(1-(CHOOSE(MATCH(IF($E429="","Основний",$E429),{"Трафіковий","Основний","Маржинальний","Сезонний","Стратегічний"},0),Settings!$H$78,Settings!$H$80,Settings!$H$82,Settings!$H$84,Settings!$H$86)))*Settings!$H$68,"")</f>
        <v/>
      </c>
      <c r="AF429" s="148">
        <f>IFERROR((AD429*(1-Settings!$H$17)-C429)/(AD429*(1-Settings!$H$17)),"")</f>
        <v/>
      </c>
      <c r="AG429" s="150">
        <f>IFERROR(IF(AD429="","",IF(AD429&gt;=C429/(1-SKU_Base!AF429)/(1-Settings!$H$17),"OK",IF(AD429&gt;=C429/(1-SKU_Base!AM429)/(1-Settings!$H$17),"WARN","STOP"))),"")</f>
        <v/>
      </c>
    </row>
    <row r="430" ht="17" customHeight="1" s="179">
      <c r="A430" s="139">
        <f>SKU_Base!B430</f>
        <v/>
      </c>
      <c r="B430" s="139">
        <f>SKU_Base!C430</f>
        <v/>
      </c>
      <c r="C430" s="140">
        <f>IFERROR(SKU_Base!I430,"")</f>
        <v/>
      </c>
      <c r="D430" s="163">
        <f>IFERROR(SKU_Base!T430,"")</f>
        <v/>
      </c>
      <c r="E430" s="141">
        <f>IFERROR(SKU_Base!$U430,"")</f>
        <v/>
      </c>
      <c r="F430" s="158">
        <f>IFERROR(ROUND(D430*(1-CHOOSE(MATCH(IF($E430="","Основний",$E430),{"Трафіковий","Основний","Маржинальний","Сезонний","Стратегічний"},0),Settings!$B$78,Settings!$B$80,Settings!$B$82,Settings!$B$84,Settings!$B$86))/6,2)*6,"")</f>
        <v/>
      </c>
      <c r="G430" s="142">
        <f>IFERROR(CHOOSE(MATCH(IF($E430="","Основний",$E430),{"Трафіковий","Основний","Маржинальний","Сезонний","Стратегічний"},0),Settings!$B$78,Settings!$B$80,Settings!$B$82,Settings!$B$84,Settings!$B$86),"")</f>
        <v/>
      </c>
      <c r="H430" s="143">
        <f>IFERROR((F430*(1-Settings!$B$17)-C430)/(F430*(1-Settings!$B$17)),"")</f>
        <v/>
      </c>
      <c r="I430" s="149">
        <f>IFERROR(IF(F430="","",IF(F430&gt;=C430/(1-SKU_Base!Z430)/(1-Settings!$B$17),"OK",IF(F430&gt;=C430/(1-SKU_Base!AG430)/(1-Settings!$B$17),"WARN","STOP"))),"")</f>
        <v/>
      </c>
      <c r="J430" s="158">
        <f>IFERROR(ROUND(D430*(1-CHOOSE(MATCH(IF($E430="","Основний",$E430),{"Трафіковий","Основний","Маржинальний","Сезонний","Стратегічний"},0),Settings!$C$78,Settings!$C$80,Settings!$C$82,Settings!$C$84,Settings!$C$86))/6,2)*6,"")</f>
        <v/>
      </c>
      <c r="K430" s="142">
        <f>IFERROR(CHOOSE(MATCH(IF($E430="","Основний",$E430),{"Трафіковий","Основний","Маржинальний","Сезонний","Стратегічний"},0),Settings!$C$78,Settings!$C$80,Settings!$C$82,Settings!$C$84,Settings!$C$86),"")</f>
        <v/>
      </c>
      <c r="L430" s="143">
        <f>IFERROR((J430*(1-Settings!$C$17)-C430)/(J430*(1-Settings!$C$17)),"")</f>
        <v/>
      </c>
      <c r="M430" s="149">
        <f>IFERROR(IF(J430="","",IF(J430&gt;=C430/(1-SKU_Base!AA430)/(1-Settings!$C$17),"OK",IF(J430&gt;=C430/(1-SKU_Base!AH430)/(1-Settings!$C$17),"WARN","STOP"))),"")</f>
        <v/>
      </c>
      <c r="N430" s="159">
        <f>IFERROR(ROUND(D430*(1-CHOOSE(MATCH(IF($E430="","Основний",$E430),{"Трафіковий","Основний","Маржинальний","Сезонний","Стратегічний"},0),Settings!$D$78,Settings!$D$80,Settings!$D$82,Settings!$D$84,Settings!$D$86))/6,2)*6,"")</f>
        <v/>
      </c>
      <c r="O430" s="142">
        <f>IFERROR(CHOOSE(MATCH(IF($E430="","Основний",$E430),{"Трафіковий","Основний","Маржинальний","Сезонний","Стратегічний"},0),Settings!$D$78,Settings!$D$80,Settings!$D$82,Settings!$D$84,Settings!$D$86),"")</f>
        <v/>
      </c>
      <c r="P430" s="143">
        <f>IFERROR((N430*(1-Settings!$D$17)-C430)/(N430*(1-Settings!$D$17)),"")</f>
        <v/>
      </c>
      <c r="Q430" s="149">
        <f>IFERROR(IF(N430="","",IF(N430&gt;=C430/(1-SKU_Base!AB430)/(1-Settings!$D$17),"OK",IF(N430&gt;=C430/(1-SKU_Base!AI430)/(1-Settings!$D$17),"WARN","STOP"))),"")</f>
        <v/>
      </c>
      <c r="R430" s="159">
        <f>IFERROR(ROUND(D430*(1-CHOOSE(MATCH(IF($E430="","Основний",$E430),{"Трафіковий","Основний","Маржинальний","Сезонний","Стратегічний"},0),Settings!$E$78,Settings!$E$80,Settings!$E$82,Settings!$E$84,Settings!$E$86))/6,2)*6,"")</f>
        <v/>
      </c>
      <c r="S430" s="142">
        <f>IFERROR(CHOOSE(MATCH(IF($E430="","Основний",$E430),{"Трафіковий","Основний","Маржинальний","Сезонний","Стратегічний"},0),Settings!$E$78,Settings!$E$80,Settings!$E$82,Settings!$E$84,Settings!$E$86),"")</f>
        <v/>
      </c>
      <c r="T430" s="143">
        <f>IFERROR((R430*(1-Settings!$E$17)-C430)/(R430*(1-Settings!$E$17)),"")</f>
        <v/>
      </c>
      <c r="U430" s="149">
        <f>IFERROR(IF(R430="","",IF(R430&gt;=C430/(1-SKU_Base!AC430)/(1-Settings!$E$17),"OK",IF(R430&gt;=C430/(1-SKU_Base!AJ430)/(1-Settings!$E$17),"WARN","STOP"))),"")</f>
        <v/>
      </c>
      <c r="V430" s="159">
        <f>IFERROR(ROUND(D430*(1-CHOOSE(MATCH(IF($E430="","Основний",$E430),{"Трафіковий","Основний","Маржинальний","Сезонний","Стратегічний"},0),Settings!$F$78,Settings!$F$80,Settings!$F$82,Settings!$F$84,Settings!$F$86))/6,2)*6,"")</f>
        <v/>
      </c>
      <c r="W430" s="142">
        <f>IFERROR(CHOOSE(MATCH(IF($E430="","Основний",$E430),{"Трафіковий","Основний","Маржинальний","Сезонний","Стратегічний"},0),Settings!$F$78,Settings!$F$80,Settings!$F$82,Settings!$F$84,Settings!$F$86),"")</f>
        <v/>
      </c>
      <c r="X430" s="143">
        <f>IFERROR((V430*(1-Settings!$F$17)-C430)/(V430*(1-Settings!$F$17)),"")</f>
        <v/>
      </c>
      <c r="Y430" s="149">
        <f>IFERROR(IF(V430="","",IF(V430&gt;=C430/(1-SKU_Base!AD430)/(1-Settings!$F$17),"OK",IF(V430&gt;=C430/(1-SKU_Base!AK430)/(1-Settings!$F$17),"WARN","STOP"))),"")</f>
        <v/>
      </c>
      <c r="Z430" s="159">
        <f>IFERROR(ROUND(D430*(1-CHOOSE(MATCH(IF($E430="","Основний",$E430),{"Трафіковий","Основний","Маржинальний","Сезонний","Стратегічний"},0),Settings!$G$78,Settings!$G$80,Settings!$G$82,Settings!$G$84,Settings!$G$86))/6,2)*6,"")</f>
        <v/>
      </c>
      <c r="AA430" s="142">
        <f>IFERROR(CHOOSE(MATCH(IF($E430="","Основний",$E430),{"Трафіковий","Основний","Маржинальний","Сезонний","Стратегічний"},0),Settings!$G$78,Settings!$G$80,Settings!$G$82,Settings!$G$84,Settings!$G$86),"")</f>
        <v/>
      </c>
      <c r="AB430" s="143">
        <f>IFERROR((Z430*(1-Settings!$G$17)-C430)/(Z430*(1-Settings!$G$17)),"")</f>
        <v/>
      </c>
      <c r="AC430" s="149">
        <f>IFERROR(IF(Z430="","",IF(Z430&gt;=C430/(1-SKU_Base!AE430)/(1-Settings!$G$17),"OK",IF(Z430&gt;=C430/(1-SKU_Base!AL430)/(1-Settings!$G$17),"WARN","STOP"))),"")</f>
        <v/>
      </c>
      <c r="AD430" s="159">
        <f>IFERROR(ROUND(D430*(1-CHOOSE(MATCH(IF($E430="","Основний",$E430),{"Трафіковий","Основний","Маржинальний","Сезонний","Стратегічний"},0),Settings!$H$78,Settings!$H$80,Settings!$H$82,Settings!$H$84,Settings!$H$86))*(1-Settings!$H$68)/6,2)*6,"")</f>
        <v/>
      </c>
      <c r="AE430" s="142">
        <f>IFERROR(CHOOSE(MATCH(IF($E430="","Основний",$E430),{"Трафіковий","Основний","Маржинальний","Сезонний","Стратегічний"},0),Settings!$H$78,Settings!$H$80,Settings!$H$82,Settings!$H$84,Settings!$H$86)+(1-(CHOOSE(MATCH(IF($E430="","Основний",$E430),{"Трафіковий","Основний","Маржинальний","Сезонний","Стратегічний"},0),Settings!$H$78,Settings!$H$80,Settings!$H$82,Settings!$H$84,Settings!$H$86)))*Settings!$H$68,"")</f>
        <v/>
      </c>
      <c r="AF430" s="143">
        <f>IFERROR((AD430*(1-Settings!$H$17)-C430)/(AD430*(1-Settings!$H$17)),"")</f>
        <v/>
      </c>
      <c r="AG430" s="150">
        <f>IFERROR(IF(AD430="","",IF(AD430&gt;=C430/(1-SKU_Base!AF430)/(1-Settings!$H$17),"OK",IF(AD430&gt;=C430/(1-SKU_Base!AM430)/(1-Settings!$H$17),"WARN","STOP"))),"")</f>
        <v/>
      </c>
    </row>
    <row r="431" ht="17" customHeight="1" s="179">
      <c r="A431" s="146">
        <f>SKU_Base!B431</f>
        <v/>
      </c>
      <c r="B431" s="146">
        <f>SKU_Base!C431</f>
        <v/>
      </c>
      <c r="C431" s="147">
        <f>IFERROR(SKU_Base!I431,"")</f>
        <v/>
      </c>
      <c r="D431" s="164">
        <f>IFERROR(SKU_Base!T431,"")</f>
        <v/>
      </c>
      <c r="E431" s="141">
        <f>IFERROR(SKU_Base!$U431,"")</f>
        <v/>
      </c>
      <c r="F431" s="160">
        <f>IFERROR(ROUND(D431*(1-CHOOSE(MATCH(IF($E431="","Основний",$E431),{"Трафіковий","Основний","Маржинальний","Сезонний","Стратегічний"},0),Settings!$B$78,Settings!$B$80,Settings!$B$82,Settings!$B$84,Settings!$B$86))/6,2)*6,"")</f>
        <v/>
      </c>
      <c r="G431" s="142">
        <f>IFERROR(CHOOSE(MATCH(IF($E431="","Основний",$E431),{"Трафіковий","Основний","Маржинальний","Сезонний","Стратегічний"},0),Settings!$B$78,Settings!$B$80,Settings!$B$82,Settings!$B$84,Settings!$B$86),"")</f>
        <v/>
      </c>
      <c r="H431" s="148">
        <f>IFERROR((F431*(1-Settings!$B$17)-C431)/(F431*(1-Settings!$B$17)),"")</f>
        <v/>
      </c>
      <c r="I431" s="149">
        <f>IFERROR(IF(F431="","",IF(F431&gt;=C431/(1-SKU_Base!Z431)/(1-Settings!$B$17),"OK",IF(F431&gt;=C431/(1-SKU_Base!AG431)/(1-Settings!$B$17),"WARN","STOP"))),"")</f>
        <v/>
      </c>
      <c r="J431" s="160">
        <f>IFERROR(ROUND(D431*(1-CHOOSE(MATCH(IF($E431="","Основний",$E431),{"Трафіковий","Основний","Маржинальний","Сезонний","Стратегічний"},0),Settings!$C$78,Settings!$C$80,Settings!$C$82,Settings!$C$84,Settings!$C$86))/6,2)*6,"")</f>
        <v/>
      </c>
      <c r="K431" s="142">
        <f>IFERROR(CHOOSE(MATCH(IF($E431="","Основний",$E431),{"Трафіковий","Основний","Маржинальний","Сезонний","Стратегічний"},0),Settings!$C$78,Settings!$C$80,Settings!$C$82,Settings!$C$84,Settings!$C$86),"")</f>
        <v/>
      </c>
      <c r="L431" s="148">
        <f>IFERROR((J431*(1-Settings!$C$17)-C431)/(J431*(1-Settings!$C$17)),"")</f>
        <v/>
      </c>
      <c r="M431" s="149">
        <f>IFERROR(IF(J431="","",IF(J431&gt;=C431/(1-SKU_Base!AA431)/(1-Settings!$C$17),"OK",IF(J431&gt;=C431/(1-SKU_Base!AH431)/(1-Settings!$C$17),"WARN","STOP"))),"")</f>
        <v/>
      </c>
      <c r="N431" s="161">
        <f>IFERROR(ROUND(D431*(1-CHOOSE(MATCH(IF($E431="","Основний",$E431),{"Трафіковий","Основний","Маржинальний","Сезонний","Стратегічний"},0),Settings!$D$78,Settings!$D$80,Settings!$D$82,Settings!$D$84,Settings!$D$86))/6,2)*6,"")</f>
        <v/>
      </c>
      <c r="O431" s="142">
        <f>IFERROR(CHOOSE(MATCH(IF($E431="","Основний",$E431),{"Трафіковий","Основний","Маржинальний","Сезонний","Стратегічний"},0),Settings!$D$78,Settings!$D$80,Settings!$D$82,Settings!$D$84,Settings!$D$86),"")</f>
        <v/>
      </c>
      <c r="P431" s="148">
        <f>IFERROR((N431*(1-Settings!$D$17)-C431)/(N431*(1-Settings!$D$17)),"")</f>
        <v/>
      </c>
      <c r="Q431" s="149">
        <f>IFERROR(IF(N431="","",IF(N431&gt;=C431/(1-SKU_Base!AB431)/(1-Settings!$D$17),"OK",IF(N431&gt;=C431/(1-SKU_Base!AI431)/(1-Settings!$D$17),"WARN","STOP"))),"")</f>
        <v/>
      </c>
      <c r="R431" s="161">
        <f>IFERROR(ROUND(D431*(1-CHOOSE(MATCH(IF($E431="","Основний",$E431),{"Трафіковий","Основний","Маржинальний","Сезонний","Стратегічний"},0),Settings!$E$78,Settings!$E$80,Settings!$E$82,Settings!$E$84,Settings!$E$86))/6,2)*6,"")</f>
        <v/>
      </c>
      <c r="S431" s="142">
        <f>IFERROR(CHOOSE(MATCH(IF($E431="","Основний",$E431),{"Трафіковий","Основний","Маржинальний","Сезонний","Стратегічний"},0),Settings!$E$78,Settings!$E$80,Settings!$E$82,Settings!$E$84,Settings!$E$86),"")</f>
        <v/>
      </c>
      <c r="T431" s="148">
        <f>IFERROR((R431*(1-Settings!$E$17)-C431)/(R431*(1-Settings!$E$17)),"")</f>
        <v/>
      </c>
      <c r="U431" s="149">
        <f>IFERROR(IF(R431="","",IF(R431&gt;=C431/(1-SKU_Base!AC431)/(1-Settings!$E$17),"OK",IF(R431&gt;=C431/(1-SKU_Base!AJ431)/(1-Settings!$E$17),"WARN","STOP"))),"")</f>
        <v/>
      </c>
      <c r="V431" s="161">
        <f>IFERROR(ROUND(D431*(1-CHOOSE(MATCH(IF($E431="","Основний",$E431),{"Трафіковий","Основний","Маржинальний","Сезонний","Стратегічний"},0),Settings!$F$78,Settings!$F$80,Settings!$F$82,Settings!$F$84,Settings!$F$86))/6,2)*6,"")</f>
        <v/>
      </c>
      <c r="W431" s="142">
        <f>IFERROR(CHOOSE(MATCH(IF($E431="","Основний",$E431),{"Трафіковий","Основний","Маржинальний","Сезонний","Стратегічний"},0),Settings!$F$78,Settings!$F$80,Settings!$F$82,Settings!$F$84,Settings!$F$86),"")</f>
        <v/>
      </c>
      <c r="X431" s="148">
        <f>IFERROR((V431*(1-Settings!$F$17)-C431)/(V431*(1-Settings!$F$17)),"")</f>
        <v/>
      </c>
      <c r="Y431" s="149">
        <f>IFERROR(IF(V431="","",IF(V431&gt;=C431/(1-SKU_Base!AD431)/(1-Settings!$F$17),"OK",IF(V431&gt;=C431/(1-SKU_Base!AK431)/(1-Settings!$F$17),"WARN","STOP"))),"")</f>
        <v/>
      </c>
      <c r="Z431" s="161">
        <f>IFERROR(ROUND(D431*(1-CHOOSE(MATCH(IF($E431="","Основний",$E431),{"Трафіковий","Основний","Маржинальний","Сезонний","Стратегічний"},0),Settings!$G$78,Settings!$G$80,Settings!$G$82,Settings!$G$84,Settings!$G$86))/6,2)*6,"")</f>
        <v/>
      </c>
      <c r="AA431" s="142">
        <f>IFERROR(CHOOSE(MATCH(IF($E431="","Основний",$E431),{"Трафіковий","Основний","Маржинальний","Сезонний","Стратегічний"},0),Settings!$G$78,Settings!$G$80,Settings!$G$82,Settings!$G$84,Settings!$G$86),"")</f>
        <v/>
      </c>
      <c r="AB431" s="148">
        <f>IFERROR((Z431*(1-Settings!$G$17)-C431)/(Z431*(1-Settings!$G$17)),"")</f>
        <v/>
      </c>
      <c r="AC431" s="149">
        <f>IFERROR(IF(Z431="","",IF(Z431&gt;=C431/(1-SKU_Base!AE431)/(1-Settings!$G$17),"OK",IF(Z431&gt;=C431/(1-SKU_Base!AL431)/(1-Settings!$G$17),"WARN","STOP"))),"")</f>
        <v/>
      </c>
      <c r="AD431" s="161">
        <f>IFERROR(ROUND(D431*(1-CHOOSE(MATCH(IF($E431="","Основний",$E431),{"Трафіковий","Основний","Маржинальний","Сезонний","Стратегічний"},0),Settings!$H$78,Settings!$H$80,Settings!$H$82,Settings!$H$84,Settings!$H$86))*(1-Settings!$H$68)/6,2)*6,"")</f>
        <v/>
      </c>
      <c r="AE431" s="142">
        <f>IFERROR(CHOOSE(MATCH(IF($E431="","Основний",$E431),{"Трафіковий","Основний","Маржинальний","Сезонний","Стратегічний"},0),Settings!$H$78,Settings!$H$80,Settings!$H$82,Settings!$H$84,Settings!$H$86)+(1-(CHOOSE(MATCH(IF($E431="","Основний",$E431),{"Трафіковий","Основний","Маржинальний","Сезонний","Стратегічний"},0),Settings!$H$78,Settings!$H$80,Settings!$H$82,Settings!$H$84,Settings!$H$86)))*Settings!$H$68,"")</f>
        <v/>
      </c>
      <c r="AF431" s="148">
        <f>IFERROR((AD431*(1-Settings!$H$17)-C431)/(AD431*(1-Settings!$H$17)),"")</f>
        <v/>
      </c>
      <c r="AG431" s="150">
        <f>IFERROR(IF(AD431="","",IF(AD431&gt;=C431/(1-SKU_Base!AF431)/(1-Settings!$H$17),"OK",IF(AD431&gt;=C431/(1-SKU_Base!AM431)/(1-Settings!$H$17),"WARN","STOP"))),"")</f>
        <v/>
      </c>
    </row>
    <row r="432" ht="17" customHeight="1" s="179">
      <c r="A432" s="139">
        <f>SKU_Base!B432</f>
        <v/>
      </c>
      <c r="B432" s="139">
        <f>SKU_Base!C432</f>
        <v/>
      </c>
      <c r="C432" s="140">
        <f>IFERROR(SKU_Base!I432,"")</f>
        <v/>
      </c>
      <c r="D432" s="163">
        <f>IFERROR(SKU_Base!T432,"")</f>
        <v/>
      </c>
      <c r="E432" s="141">
        <f>IFERROR(SKU_Base!$U432,"")</f>
        <v/>
      </c>
      <c r="F432" s="158">
        <f>IFERROR(ROUND(D432*(1-CHOOSE(MATCH(IF($E432="","Основний",$E432),{"Трафіковий","Основний","Маржинальний","Сезонний","Стратегічний"},0),Settings!$B$78,Settings!$B$80,Settings!$B$82,Settings!$B$84,Settings!$B$86))/6,2)*6,"")</f>
        <v/>
      </c>
      <c r="G432" s="142">
        <f>IFERROR(CHOOSE(MATCH(IF($E432="","Основний",$E432),{"Трафіковий","Основний","Маржинальний","Сезонний","Стратегічний"},0),Settings!$B$78,Settings!$B$80,Settings!$B$82,Settings!$B$84,Settings!$B$86),"")</f>
        <v/>
      </c>
      <c r="H432" s="143">
        <f>IFERROR((F432*(1-Settings!$B$17)-C432)/(F432*(1-Settings!$B$17)),"")</f>
        <v/>
      </c>
      <c r="I432" s="149">
        <f>IFERROR(IF(F432="","",IF(F432&gt;=C432/(1-SKU_Base!Z432)/(1-Settings!$B$17),"OK",IF(F432&gt;=C432/(1-SKU_Base!AG432)/(1-Settings!$B$17),"WARN","STOP"))),"")</f>
        <v/>
      </c>
      <c r="J432" s="158">
        <f>IFERROR(ROUND(D432*(1-CHOOSE(MATCH(IF($E432="","Основний",$E432),{"Трафіковий","Основний","Маржинальний","Сезонний","Стратегічний"},0),Settings!$C$78,Settings!$C$80,Settings!$C$82,Settings!$C$84,Settings!$C$86))/6,2)*6,"")</f>
        <v/>
      </c>
      <c r="K432" s="142">
        <f>IFERROR(CHOOSE(MATCH(IF($E432="","Основний",$E432),{"Трафіковий","Основний","Маржинальний","Сезонний","Стратегічний"},0),Settings!$C$78,Settings!$C$80,Settings!$C$82,Settings!$C$84,Settings!$C$86),"")</f>
        <v/>
      </c>
      <c r="L432" s="143">
        <f>IFERROR((J432*(1-Settings!$C$17)-C432)/(J432*(1-Settings!$C$17)),"")</f>
        <v/>
      </c>
      <c r="M432" s="149">
        <f>IFERROR(IF(J432="","",IF(J432&gt;=C432/(1-SKU_Base!AA432)/(1-Settings!$C$17),"OK",IF(J432&gt;=C432/(1-SKU_Base!AH432)/(1-Settings!$C$17),"WARN","STOP"))),"")</f>
        <v/>
      </c>
      <c r="N432" s="159">
        <f>IFERROR(ROUND(D432*(1-CHOOSE(MATCH(IF($E432="","Основний",$E432),{"Трафіковий","Основний","Маржинальний","Сезонний","Стратегічний"},0),Settings!$D$78,Settings!$D$80,Settings!$D$82,Settings!$D$84,Settings!$D$86))/6,2)*6,"")</f>
        <v/>
      </c>
      <c r="O432" s="142">
        <f>IFERROR(CHOOSE(MATCH(IF($E432="","Основний",$E432),{"Трафіковий","Основний","Маржинальний","Сезонний","Стратегічний"},0),Settings!$D$78,Settings!$D$80,Settings!$D$82,Settings!$D$84,Settings!$D$86),"")</f>
        <v/>
      </c>
      <c r="P432" s="143">
        <f>IFERROR((N432*(1-Settings!$D$17)-C432)/(N432*(1-Settings!$D$17)),"")</f>
        <v/>
      </c>
      <c r="Q432" s="149">
        <f>IFERROR(IF(N432="","",IF(N432&gt;=C432/(1-SKU_Base!AB432)/(1-Settings!$D$17),"OK",IF(N432&gt;=C432/(1-SKU_Base!AI432)/(1-Settings!$D$17),"WARN","STOP"))),"")</f>
        <v/>
      </c>
      <c r="R432" s="159">
        <f>IFERROR(ROUND(D432*(1-CHOOSE(MATCH(IF($E432="","Основний",$E432),{"Трафіковий","Основний","Маржинальний","Сезонний","Стратегічний"},0),Settings!$E$78,Settings!$E$80,Settings!$E$82,Settings!$E$84,Settings!$E$86))/6,2)*6,"")</f>
        <v/>
      </c>
      <c r="S432" s="142">
        <f>IFERROR(CHOOSE(MATCH(IF($E432="","Основний",$E432),{"Трафіковий","Основний","Маржинальний","Сезонний","Стратегічний"},0),Settings!$E$78,Settings!$E$80,Settings!$E$82,Settings!$E$84,Settings!$E$86),"")</f>
        <v/>
      </c>
      <c r="T432" s="143">
        <f>IFERROR((R432*(1-Settings!$E$17)-C432)/(R432*(1-Settings!$E$17)),"")</f>
        <v/>
      </c>
      <c r="U432" s="149">
        <f>IFERROR(IF(R432="","",IF(R432&gt;=C432/(1-SKU_Base!AC432)/(1-Settings!$E$17),"OK",IF(R432&gt;=C432/(1-SKU_Base!AJ432)/(1-Settings!$E$17),"WARN","STOP"))),"")</f>
        <v/>
      </c>
      <c r="V432" s="159">
        <f>IFERROR(ROUND(D432*(1-CHOOSE(MATCH(IF($E432="","Основний",$E432),{"Трафіковий","Основний","Маржинальний","Сезонний","Стратегічний"},0),Settings!$F$78,Settings!$F$80,Settings!$F$82,Settings!$F$84,Settings!$F$86))/6,2)*6,"")</f>
        <v/>
      </c>
      <c r="W432" s="142">
        <f>IFERROR(CHOOSE(MATCH(IF($E432="","Основний",$E432),{"Трафіковий","Основний","Маржинальний","Сезонний","Стратегічний"},0),Settings!$F$78,Settings!$F$80,Settings!$F$82,Settings!$F$84,Settings!$F$86),"")</f>
        <v/>
      </c>
      <c r="X432" s="143">
        <f>IFERROR((V432*(1-Settings!$F$17)-C432)/(V432*(1-Settings!$F$17)),"")</f>
        <v/>
      </c>
      <c r="Y432" s="149">
        <f>IFERROR(IF(V432="","",IF(V432&gt;=C432/(1-SKU_Base!AD432)/(1-Settings!$F$17),"OK",IF(V432&gt;=C432/(1-SKU_Base!AK432)/(1-Settings!$F$17),"WARN","STOP"))),"")</f>
        <v/>
      </c>
      <c r="Z432" s="159">
        <f>IFERROR(ROUND(D432*(1-CHOOSE(MATCH(IF($E432="","Основний",$E432),{"Трафіковий","Основний","Маржинальний","Сезонний","Стратегічний"},0),Settings!$G$78,Settings!$G$80,Settings!$G$82,Settings!$G$84,Settings!$G$86))/6,2)*6,"")</f>
        <v/>
      </c>
      <c r="AA432" s="142">
        <f>IFERROR(CHOOSE(MATCH(IF($E432="","Основний",$E432),{"Трафіковий","Основний","Маржинальний","Сезонний","Стратегічний"},0),Settings!$G$78,Settings!$G$80,Settings!$G$82,Settings!$G$84,Settings!$G$86),"")</f>
        <v/>
      </c>
      <c r="AB432" s="143">
        <f>IFERROR((Z432*(1-Settings!$G$17)-C432)/(Z432*(1-Settings!$G$17)),"")</f>
        <v/>
      </c>
      <c r="AC432" s="149">
        <f>IFERROR(IF(Z432="","",IF(Z432&gt;=C432/(1-SKU_Base!AE432)/(1-Settings!$G$17),"OK",IF(Z432&gt;=C432/(1-SKU_Base!AL432)/(1-Settings!$G$17),"WARN","STOP"))),"")</f>
        <v/>
      </c>
      <c r="AD432" s="159">
        <f>IFERROR(ROUND(D432*(1-CHOOSE(MATCH(IF($E432="","Основний",$E432),{"Трафіковий","Основний","Маржинальний","Сезонний","Стратегічний"},0),Settings!$H$78,Settings!$H$80,Settings!$H$82,Settings!$H$84,Settings!$H$86))*(1-Settings!$H$68)/6,2)*6,"")</f>
        <v/>
      </c>
      <c r="AE432" s="142">
        <f>IFERROR(CHOOSE(MATCH(IF($E432="","Основний",$E432),{"Трафіковий","Основний","Маржинальний","Сезонний","Стратегічний"},0),Settings!$H$78,Settings!$H$80,Settings!$H$82,Settings!$H$84,Settings!$H$86)+(1-(CHOOSE(MATCH(IF($E432="","Основний",$E432),{"Трафіковий","Основний","Маржинальний","Сезонний","Стратегічний"},0),Settings!$H$78,Settings!$H$80,Settings!$H$82,Settings!$H$84,Settings!$H$86)))*Settings!$H$68,"")</f>
        <v/>
      </c>
      <c r="AF432" s="143">
        <f>IFERROR((AD432*(1-Settings!$H$17)-C432)/(AD432*(1-Settings!$H$17)),"")</f>
        <v/>
      </c>
      <c r="AG432" s="150">
        <f>IFERROR(IF(AD432="","",IF(AD432&gt;=C432/(1-SKU_Base!AF432)/(1-Settings!$H$17),"OK",IF(AD432&gt;=C432/(1-SKU_Base!AM432)/(1-Settings!$H$17),"WARN","STOP"))),"")</f>
        <v/>
      </c>
    </row>
    <row r="433" ht="17" customHeight="1" s="179">
      <c r="A433" s="146">
        <f>SKU_Base!B433</f>
        <v/>
      </c>
      <c r="B433" s="146">
        <f>SKU_Base!C433</f>
        <v/>
      </c>
      <c r="C433" s="147">
        <f>IFERROR(SKU_Base!I433,"")</f>
        <v/>
      </c>
      <c r="D433" s="164">
        <f>IFERROR(SKU_Base!T433,"")</f>
        <v/>
      </c>
      <c r="E433" s="141">
        <f>IFERROR(SKU_Base!$U433,"")</f>
        <v/>
      </c>
      <c r="F433" s="160">
        <f>IFERROR(ROUND(D433*(1-CHOOSE(MATCH(IF($E433="","Основний",$E433),{"Трафіковий","Основний","Маржинальний","Сезонний","Стратегічний"},0),Settings!$B$78,Settings!$B$80,Settings!$B$82,Settings!$B$84,Settings!$B$86))/6,2)*6,"")</f>
        <v/>
      </c>
      <c r="G433" s="142">
        <f>IFERROR(CHOOSE(MATCH(IF($E433="","Основний",$E433),{"Трафіковий","Основний","Маржинальний","Сезонний","Стратегічний"},0),Settings!$B$78,Settings!$B$80,Settings!$B$82,Settings!$B$84,Settings!$B$86),"")</f>
        <v/>
      </c>
      <c r="H433" s="148">
        <f>IFERROR((F433*(1-Settings!$B$17)-C433)/(F433*(1-Settings!$B$17)),"")</f>
        <v/>
      </c>
      <c r="I433" s="149">
        <f>IFERROR(IF(F433="","",IF(F433&gt;=C433/(1-SKU_Base!Z433)/(1-Settings!$B$17),"OK",IF(F433&gt;=C433/(1-SKU_Base!AG433)/(1-Settings!$B$17),"WARN","STOP"))),"")</f>
        <v/>
      </c>
      <c r="J433" s="160">
        <f>IFERROR(ROUND(D433*(1-CHOOSE(MATCH(IF($E433="","Основний",$E433),{"Трафіковий","Основний","Маржинальний","Сезонний","Стратегічний"},0),Settings!$C$78,Settings!$C$80,Settings!$C$82,Settings!$C$84,Settings!$C$86))/6,2)*6,"")</f>
        <v/>
      </c>
      <c r="K433" s="142">
        <f>IFERROR(CHOOSE(MATCH(IF($E433="","Основний",$E433),{"Трафіковий","Основний","Маржинальний","Сезонний","Стратегічний"},0),Settings!$C$78,Settings!$C$80,Settings!$C$82,Settings!$C$84,Settings!$C$86),"")</f>
        <v/>
      </c>
      <c r="L433" s="148">
        <f>IFERROR((J433*(1-Settings!$C$17)-C433)/(J433*(1-Settings!$C$17)),"")</f>
        <v/>
      </c>
      <c r="M433" s="149">
        <f>IFERROR(IF(J433="","",IF(J433&gt;=C433/(1-SKU_Base!AA433)/(1-Settings!$C$17),"OK",IF(J433&gt;=C433/(1-SKU_Base!AH433)/(1-Settings!$C$17),"WARN","STOP"))),"")</f>
        <v/>
      </c>
      <c r="N433" s="161">
        <f>IFERROR(ROUND(D433*(1-CHOOSE(MATCH(IF($E433="","Основний",$E433),{"Трафіковий","Основний","Маржинальний","Сезонний","Стратегічний"},0),Settings!$D$78,Settings!$D$80,Settings!$D$82,Settings!$D$84,Settings!$D$86))/6,2)*6,"")</f>
        <v/>
      </c>
      <c r="O433" s="142">
        <f>IFERROR(CHOOSE(MATCH(IF($E433="","Основний",$E433),{"Трафіковий","Основний","Маржинальний","Сезонний","Стратегічний"},0),Settings!$D$78,Settings!$D$80,Settings!$D$82,Settings!$D$84,Settings!$D$86),"")</f>
        <v/>
      </c>
      <c r="P433" s="148">
        <f>IFERROR((N433*(1-Settings!$D$17)-C433)/(N433*(1-Settings!$D$17)),"")</f>
        <v/>
      </c>
      <c r="Q433" s="149">
        <f>IFERROR(IF(N433="","",IF(N433&gt;=C433/(1-SKU_Base!AB433)/(1-Settings!$D$17),"OK",IF(N433&gt;=C433/(1-SKU_Base!AI433)/(1-Settings!$D$17),"WARN","STOP"))),"")</f>
        <v/>
      </c>
      <c r="R433" s="161">
        <f>IFERROR(ROUND(D433*(1-CHOOSE(MATCH(IF($E433="","Основний",$E433),{"Трафіковий","Основний","Маржинальний","Сезонний","Стратегічний"},0),Settings!$E$78,Settings!$E$80,Settings!$E$82,Settings!$E$84,Settings!$E$86))/6,2)*6,"")</f>
        <v/>
      </c>
      <c r="S433" s="142">
        <f>IFERROR(CHOOSE(MATCH(IF($E433="","Основний",$E433),{"Трафіковий","Основний","Маржинальний","Сезонний","Стратегічний"},0),Settings!$E$78,Settings!$E$80,Settings!$E$82,Settings!$E$84,Settings!$E$86),"")</f>
        <v/>
      </c>
      <c r="T433" s="148">
        <f>IFERROR((R433*(1-Settings!$E$17)-C433)/(R433*(1-Settings!$E$17)),"")</f>
        <v/>
      </c>
      <c r="U433" s="149">
        <f>IFERROR(IF(R433="","",IF(R433&gt;=C433/(1-SKU_Base!AC433)/(1-Settings!$E$17),"OK",IF(R433&gt;=C433/(1-SKU_Base!AJ433)/(1-Settings!$E$17),"WARN","STOP"))),"")</f>
        <v/>
      </c>
      <c r="V433" s="161">
        <f>IFERROR(ROUND(D433*(1-CHOOSE(MATCH(IF($E433="","Основний",$E433),{"Трафіковий","Основний","Маржинальний","Сезонний","Стратегічний"},0),Settings!$F$78,Settings!$F$80,Settings!$F$82,Settings!$F$84,Settings!$F$86))/6,2)*6,"")</f>
        <v/>
      </c>
      <c r="W433" s="142">
        <f>IFERROR(CHOOSE(MATCH(IF($E433="","Основний",$E433),{"Трафіковий","Основний","Маржинальний","Сезонний","Стратегічний"},0),Settings!$F$78,Settings!$F$80,Settings!$F$82,Settings!$F$84,Settings!$F$86),"")</f>
        <v/>
      </c>
      <c r="X433" s="148">
        <f>IFERROR((V433*(1-Settings!$F$17)-C433)/(V433*(1-Settings!$F$17)),"")</f>
        <v/>
      </c>
      <c r="Y433" s="149">
        <f>IFERROR(IF(V433="","",IF(V433&gt;=C433/(1-SKU_Base!AD433)/(1-Settings!$F$17),"OK",IF(V433&gt;=C433/(1-SKU_Base!AK433)/(1-Settings!$F$17),"WARN","STOP"))),"")</f>
        <v/>
      </c>
      <c r="Z433" s="161">
        <f>IFERROR(ROUND(D433*(1-CHOOSE(MATCH(IF($E433="","Основний",$E433),{"Трафіковий","Основний","Маржинальний","Сезонний","Стратегічний"},0),Settings!$G$78,Settings!$G$80,Settings!$G$82,Settings!$G$84,Settings!$G$86))/6,2)*6,"")</f>
        <v/>
      </c>
      <c r="AA433" s="142">
        <f>IFERROR(CHOOSE(MATCH(IF($E433="","Основний",$E433),{"Трафіковий","Основний","Маржинальний","Сезонний","Стратегічний"},0),Settings!$G$78,Settings!$G$80,Settings!$G$82,Settings!$G$84,Settings!$G$86),"")</f>
        <v/>
      </c>
      <c r="AB433" s="148">
        <f>IFERROR((Z433*(1-Settings!$G$17)-C433)/(Z433*(1-Settings!$G$17)),"")</f>
        <v/>
      </c>
      <c r="AC433" s="149">
        <f>IFERROR(IF(Z433="","",IF(Z433&gt;=C433/(1-SKU_Base!AE433)/(1-Settings!$G$17),"OK",IF(Z433&gt;=C433/(1-SKU_Base!AL433)/(1-Settings!$G$17),"WARN","STOP"))),"")</f>
        <v/>
      </c>
      <c r="AD433" s="161">
        <f>IFERROR(ROUND(D433*(1-CHOOSE(MATCH(IF($E433="","Основний",$E433),{"Трафіковий","Основний","Маржинальний","Сезонний","Стратегічний"},0),Settings!$H$78,Settings!$H$80,Settings!$H$82,Settings!$H$84,Settings!$H$86))*(1-Settings!$H$68)/6,2)*6,"")</f>
        <v/>
      </c>
      <c r="AE433" s="142">
        <f>IFERROR(CHOOSE(MATCH(IF($E433="","Основний",$E433),{"Трафіковий","Основний","Маржинальний","Сезонний","Стратегічний"},0),Settings!$H$78,Settings!$H$80,Settings!$H$82,Settings!$H$84,Settings!$H$86)+(1-(CHOOSE(MATCH(IF($E433="","Основний",$E433),{"Трафіковий","Основний","Маржинальний","Сезонний","Стратегічний"},0),Settings!$H$78,Settings!$H$80,Settings!$H$82,Settings!$H$84,Settings!$H$86)))*Settings!$H$68,"")</f>
        <v/>
      </c>
      <c r="AF433" s="148">
        <f>IFERROR((AD433*(1-Settings!$H$17)-C433)/(AD433*(1-Settings!$H$17)),"")</f>
        <v/>
      </c>
      <c r="AG433" s="150">
        <f>IFERROR(IF(AD433="","",IF(AD433&gt;=C433/(1-SKU_Base!AF433)/(1-Settings!$H$17),"OK",IF(AD433&gt;=C433/(1-SKU_Base!AM433)/(1-Settings!$H$17),"WARN","STOP"))),"")</f>
        <v/>
      </c>
    </row>
    <row r="434" ht="17" customHeight="1" s="179">
      <c r="A434" s="139">
        <f>SKU_Base!B434</f>
        <v/>
      </c>
      <c r="B434" s="139">
        <f>SKU_Base!C434</f>
        <v/>
      </c>
      <c r="C434" s="140">
        <f>IFERROR(SKU_Base!I434,"")</f>
        <v/>
      </c>
      <c r="D434" s="163">
        <f>IFERROR(SKU_Base!T434,"")</f>
        <v/>
      </c>
      <c r="E434" s="141">
        <f>IFERROR(SKU_Base!$U434,"")</f>
        <v/>
      </c>
      <c r="F434" s="158">
        <f>IFERROR(ROUND(D434*(1-CHOOSE(MATCH(IF($E434="","Основний",$E434),{"Трафіковий","Основний","Маржинальний","Сезонний","Стратегічний"},0),Settings!$B$78,Settings!$B$80,Settings!$B$82,Settings!$B$84,Settings!$B$86))/6,2)*6,"")</f>
        <v/>
      </c>
      <c r="G434" s="142">
        <f>IFERROR(CHOOSE(MATCH(IF($E434="","Основний",$E434),{"Трафіковий","Основний","Маржинальний","Сезонний","Стратегічний"},0),Settings!$B$78,Settings!$B$80,Settings!$B$82,Settings!$B$84,Settings!$B$86),"")</f>
        <v/>
      </c>
      <c r="H434" s="143">
        <f>IFERROR((F434*(1-Settings!$B$17)-C434)/(F434*(1-Settings!$B$17)),"")</f>
        <v/>
      </c>
      <c r="I434" s="149">
        <f>IFERROR(IF(F434="","",IF(F434&gt;=C434/(1-SKU_Base!Z434)/(1-Settings!$B$17),"OK",IF(F434&gt;=C434/(1-SKU_Base!AG434)/(1-Settings!$B$17),"WARN","STOP"))),"")</f>
        <v/>
      </c>
      <c r="J434" s="158">
        <f>IFERROR(ROUND(D434*(1-CHOOSE(MATCH(IF($E434="","Основний",$E434),{"Трафіковий","Основний","Маржинальний","Сезонний","Стратегічний"},0),Settings!$C$78,Settings!$C$80,Settings!$C$82,Settings!$C$84,Settings!$C$86))/6,2)*6,"")</f>
        <v/>
      </c>
      <c r="K434" s="142">
        <f>IFERROR(CHOOSE(MATCH(IF($E434="","Основний",$E434),{"Трафіковий","Основний","Маржинальний","Сезонний","Стратегічний"},0),Settings!$C$78,Settings!$C$80,Settings!$C$82,Settings!$C$84,Settings!$C$86),"")</f>
        <v/>
      </c>
      <c r="L434" s="143">
        <f>IFERROR((J434*(1-Settings!$C$17)-C434)/(J434*(1-Settings!$C$17)),"")</f>
        <v/>
      </c>
      <c r="M434" s="149">
        <f>IFERROR(IF(J434="","",IF(J434&gt;=C434/(1-SKU_Base!AA434)/(1-Settings!$C$17),"OK",IF(J434&gt;=C434/(1-SKU_Base!AH434)/(1-Settings!$C$17),"WARN","STOP"))),"")</f>
        <v/>
      </c>
      <c r="N434" s="159">
        <f>IFERROR(ROUND(D434*(1-CHOOSE(MATCH(IF($E434="","Основний",$E434),{"Трафіковий","Основний","Маржинальний","Сезонний","Стратегічний"},0),Settings!$D$78,Settings!$D$80,Settings!$D$82,Settings!$D$84,Settings!$D$86))/6,2)*6,"")</f>
        <v/>
      </c>
      <c r="O434" s="142">
        <f>IFERROR(CHOOSE(MATCH(IF($E434="","Основний",$E434),{"Трафіковий","Основний","Маржинальний","Сезонний","Стратегічний"},0),Settings!$D$78,Settings!$D$80,Settings!$D$82,Settings!$D$84,Settings!$D$86),"")</f>
        <v/>
      </c>
      <c r="P434" s="143">
        <f>IFERROR((N434*(1-Settings!$D$17)-C434)/(N434*(1-Settings!$D$17)),"")</f>
        <v/>
      </c>
      <c r="Q434" s="149">
        <f>IFERROR(IF(N434="","",IF(N434&gt;=C434/(1-SKU_Base!AB434)/(1-Settings!$D$17),"OK",IF(N434&gt;=C434/(1-SKU_Base!AI434)/(1-Settings!$D$17),"WARN","STOP"))),"")</f>
        <v/>
      </c>
      <c r="R434" s="159">
        <f>IFERROR(ROUND(D434*(1-CHOOSE(MATCH(IF($E434="","Основний",$E434),{"Трафіковий","Основний","Маржинальний","Сезонний","Стратегічний"},0),Settings!$E$78,Settings!$E$80,Settings!$E$82,Settings!$E$84,Settings!$E$86))/6,2)*6,"")</f>
        <v/>
      </c>
      <c r="S434" s="142">
        <f>IFERROR(CHOOSE(MATCH(IF($E434="","Основний",$E434),{"Трафіковий","Основний","Маржинальний","Сезонний","Стратегічний"},0),Settings!$E$78,Settings!$E$80,Settings!$E$82,Settings!$E$84,Settings!$E$86),"")</f>
        <v/>
      </c>
      <c r="T434" s="143">
        <f>IFERROR((R434*(1-Settings!$E$17)-C434)/(R434*(1-Settings!$E$17)),"")</f>
        <v/>
      </c>
      <c r="U434" s="149">
        <f>IFERROR(IF(R434="","",IF(R434&gt;=C434/(1-SKU_Base!AC434)/(1-Settings!$E$17),"OK",IF(R434&gt;=C434/(1-SKU_Base!AJ434)/(1-Settings!$E$17),"WARN","STOP"))),"")</f>
        <v/>
      </c>
      <c r="V434" s="159">
        <f>IFERROR(ROUND(D434*(1-CHOOSE(MATCH(IF($E434="","Основний",$E434),{"Трафіковий","Основний","Маржинальний","Сезонний","Стратегічний"},0),Settings!$F$78,Settings!$F$80,Settings!$F$82,Settings!$F$84,Settings!$F$86))/6,2)*6,"")</f>
        <v/>
      </c>
      <c r="W434" s="142">
        <f>IFERROR(CHOOSE(MATCH(IF($E434="","Основний",$E434),{"Трафіковий","Основний","Маржинальний","Сезонний","Стратегічний"},0),Settings!$F$78,Settings!$F$80,Settings!$F$82,Settings!$F$84,Settings!$F$86),"")</f>
        <v/>
      </c>
      <c r="X434" s="143">
        <f>IFERROR((V434*(1-Settings!$F$17)-C434)/(V434*(1-Settings!$F$17)),"")</f>
        <v/>
      </c>
      <c r="Y434" s="149">
        <f>IFERROR(IF(V434="","",IF(V434&gt;=C434/(1-SKU_Base!AD434)/(1-Settings!$F$17),"OK",IF(V434&gt;=C434/(1-SKU_Base!AK434)/(1-Settings!$F$17),"WARN","STOP"))),"")</f>
        <v/>
      </c>
      <c r="Z434" s="159">
        <f>IFERROR(ROUND(D434*(1-CHOOSE(MATCH(IF($E434="","Основний",$E434),{"Трафіковий","Основний","Маржинальний","Сезонний","Стратегічний"},0),Settings!$G$78,Settings!$G$80,Settings!$G$82,Settings!$G$84,Settings!$G$86))/6,2)*6,"")</f>
        <v/>
      </c>
      <c r="AA434" s="142">
        <f>IFERROR(CHOOSE(MATCH(IF($E434="","Основний",$E434),{"Трафіковий","Основний","Маржинальний","Сезонний","Стратегічний"},0),Settings!$G$78,Settings!$G$80,Settings!$G$82,Settings!$G$84,Settings!$G$86),"")</f>
        <v/>
      </c>
      <c r="AB434" s="143">
        <f>IFERROR((Z434*(1-Settings!$G$17)-C434)/(Z434*(1-Settings!$G$17)),"")</f>
        <v/>
      </c>
      <c r="AC434" s="149">
        <f>IFERROR(IF(Z434="","",IF(Z434&gt;=C434/(1-SKU_Base!AE434)/(1-Settings!$G$17),"OK",IF(Z434&gt;=C434/(1-SKU_Base!AL434)/(1-Settings!$G$17),"WARN","STOP"))),"")</f>
        <v/>
      </c>
      <c r="AD434" s="159">
        <f>IFERROR(ROUND(D434*(1-CHOOSE(MATCH(IF($E434="","Основний",$E434),{"Трафіковий","Основний","Маржинальний","Сезонний","Стратегічний"},0),Settings!$H$78,Settings!$H$80,Settings!$H$82,Settings!$H$84,Settings!$H$86))*(1-Settings!$H$68)/6,2)*6,"")</f>
        <v/>
      </c>
      <c r="AE434" s="142">
        <f>IFERROR(CHOOSE(MATCH(IF($E434="","Основний",$E434),{"Трафіковий","Основний","Маржинальний","Сезонний","Стратегічний"},0),Settings!$H$78,Settings!$H$80,Settings!$H$82,Settings!$H$84,Settings!$H$86)+(1-(CHOOSE(MATCH(IF($E434="","Основний",$E434),{"Трафіковий","Основний","Маржинальний","Сезонний","Стратегічний"},0),Settings!$H$78,Settings!$H$80,Settings!$H$82,Settings!$H$84,Settings!$H$86)))*Settings!$H$68,"")</f>
        <v/>
      </c>
      <c r="AF434" s="143">
        <f>IFERROR((AD434*(1-Settings!$H$17)-C434)/(AD434*(1-Settings!$H$17)),"")</f>
        <v/>
      </c>
      <c r="AG434" s="150">
        <f>IFERROR(IF(AD434="","",IF(AD434&gt;=C434/(1-SKU_Base!AF434)/(1-Settings!$H$17),"OK",IF(AD434&gt;=C434/(1-SKU_Base!AM434)/(1-Settings!$H$17),"WARN","STOP"))),"")</f>
        <v/>
      </c>
    </row>
    <row r="435" ht="17" customHeight="1" s="179">
      <c r="A435" s="146">
        <f>SKU_Base!B435</f>
        <v/>
      </c>
      <c r="B435" s="146">
        <f>SKU_Base!C435</f>
        <v/>
      </c>
      <c r="C435" s="147">
        <f>IFERROR(SKU_Base!I435,"")</f>
        <v/>
      </c>
      <c r="D435" s="164">
        <f>IFERROR(SKU_Base!T435,"")</f>
        <v/>
      </c>
      <c r="E435" s="141">
        <f>IFERROR(SKU_Base!$U435,"")</f>
        <v/>
      </c>
      <c r="F435" s="160">
        <f>IFERROR(ROUND(D435*(1-CHOOSE(MATCH(IF($E435="","Основний",$E435),{"Трафіковий","Основний","Маржинальний","Сезонний","Стратегічний"},0),Settings!$B$78,Settings!$B$80,Settings!$B$82,Settings!$B$84,Settings!$B$86))/6,2)*6,"")</f>
        <v/>
      </c>
      <c r="G435" s="142">
        <f>IFERROR(CHOOSE(MATCH(IF($E435="","Основний",$E435),{"Трафіковий","Основний","Маржинальний","Сезонний","Стратегічний"},0),Settings!$B$78,Settings!$B$80,Settings!$B$82,Settings!$B$84,Settings!$B$86),"")</f>
        <v/>
      </c>
      <c r="H435" s="148">
        <f>IFERROR((F435*(1-Settings!$B$17)-C435)/(F435*(1-Settings!$B$17)),"")</f>
        <v/>
      </c>
      <c r="I435" s="150">
        <f>IFERROR(IF(F435="","",IF(F435&gt;=C435/(1-SKU_Base!Z435)/(1-Settings!$B$17),"OK",IF(F435&gt;=C435/(1-SKU_Base!AG435)/(1-Settings!$B$17),"WARN","STOP"))),"")</f>
        <v/>
      </c>
      <c r="J435" s="160">
        <f>IFERROR(ROUND(D435*(1-CHOOSE(MATCH(IF($E435="","Основний",$E435),{"Трафіковий","Основний","Маржинальний","Сезонний","Стратегічний"},0),Settings!$C$78,Settings!$C$80,Settings!$C$82,Settings!$C$84,Settings!$C$86))/6,2)*6,"")</f>
        <v/>
      </c>
      <c r="K435" s="142">
        <f>IFERROR(CHOOSE(MATCH(IF($E435="","Основний",$E435),{"Трафіковий","Основний","Маржинальний","Сезонний","Стратегічний"},0),Settings!$C$78,Settings!$C$80,Settings!$C$82,Settings!$C$84,Settings!$C$86),"")</f>
        <v/>
      </c>
      <c r="L435" s="148">
        <f>IFERROR((J435*(1-Settings!$C$17)-C435)/(J435*(1-Settings!$C$17)),"")</f>
        <v/>
      </c>
      <c r="M435" s="149">
        <f>IFERROR(IF(J435="","",IF(J435&gt;=C435/(1-SKU_Base!AA435)/(1-Settings!$C$17),"OK",IF(J435&gt;=C435/(1-SKU_Base!AH435)/(1-Settings!$C$17),"WARN","STOP"))),"")</f>
        <v/>
      </c>
      <c r="N435" s="161">
        <f>IFERROR(ROUND(D435*(1-CHOOSE(MATCH(IF($E435="","Основний",$E435),{"Трафіковий","Основний","Маржинальний","Сезонний","Стратегічний"},0),Settings!$D$78,Settings!$D$80,Settings!$D$82,Settings!$D$84,Settings!$D$86))/6,2)*6,"")</f>
        <v/>
      </c>
      <c r="O435" s="142">
        <f>IFERROR(CHOOSE(MATCH(IF($E435="","Основний",$E435),{"Трафіковий","Основний","Маржинальний","Сезонний","Стратегічний"},0),Settings!$D$78,Settings!$D$80,Settings!$D$82,Settings!$D$84,Settings!$D$86),"")</f>
        <v/>
      </c>
      <c r="P435" s="148">
        <f>IFERROR((N435*(1-Settings!$D$17)-C435)/(N435*(1-Settings!$D$17)),"")</f>
        <v/>
      </c>
      <c r="Q435" s="149">
        <f>IFERROR(IF(N435="","",IF(N435&gt;=C435/(1-SKU_Base!AB435)/(1-Settings!$D$17),"OK",IF(N435&gt;=C435/(1-SKU_Base!AI435)/(1-Settings!$D$17),"WARN","STOP"))),"")</f>
        <v/>
      </c>
      <c r="R435" s="161">
        <f>IFERROR(ROUND(D435*(1-CHOOSE(MATCH(IF($E435="","Основний",$E435),{"Трафіковий","Основний","Маржинальний","Сезонний","Стратегічний"},0),Settings!$E$78,Settings!$E$80,Settings!$E$82,Settings!$E$84,Settings!$E$86))/6,2)*6,"")</f>
        <v/>
      </c>
      <c r="S435" s="142">
        <f>IFERROR(CHOOSE(MATCH(IF($E435="","Основний",$E435),{"Трафіковий","Основний","Маржинальний","Сезонний","Стратегічний"},0),Settings!$E$78,Settings!$E$80,Settings!$E$82,Settings!$E$84,Settings!$E$86),"")</f>
        <v/>
      </c>
      <c r="T435" s="148">
        <f>IFERROR((R435*(1-Settings!$E$17)-C435)/(R435*(1-Settings!$E$17)),"")</f>
        <v/>
      </c>
      <c r="U435" s="149">
        <f>IFERROR(IF(R435="","",IF(R435&gt;=C435/(1-SKU_Base!AC435)/(1-Settings!$E$17),"OK",IF(R435&gt;=C435/(1-SKU_Base!AJ435)/(1-Settings!$E$17),"WARN","STOP"))),"")</f>
        <v/>
      </c>
      <c r="V435" s="161">
        <f>IFERROR(ROUND(D435*(1-CHOOSE(MATCH(IF($E435="","Основний",$E435),{"Трафіковий","Основний","Маржинальний","Сезонний","Стратегічний"},0),Settings!$F$78,Settings!$F$80,Settings!$F$82,Settings!$F$84,Settings!$F$86))/6,2)*6,"")</f>
        <v/>
      </c>
      <c r="W435" s="142">
        <f>IFERROR(CHOOSE(MATCH(IF($E435="","Основний",$E435),{"Трафіковий","Основний","Маржинальний","Сезонний","Стратегічний"},0),Settings!$F$78,Settings!$F$80,Settings!$F$82,Settings!$F$84,Settings!$F$86),"")</f>
        <v/>
      </c>
      <c r="X435" s="148">
        <f>IFERROR((V435*(1-Settings!$F$17)-C435)/(V435*(1-Settings!$F$17)),"")</f>
        <v/>
      </c>
      <c r="Y435" s="149">
        <f>IFERROR(IF(V435="","",IF(V435&gt;=C435/(1-SKU_Base!AD435)/(1-Settings!$F$17),"OK",IF(V435&gt;=C435/(1-SKU_Base!AK435)/(1-Settings!$F$17),"WARN","STOP"))),"")</f>
        <v/>
      </c>
      <c r="Z435" s="161">
        <f>IFERROR(ROUND(D435*(1-CHOOSE(MATCH(IF($E435="","Основний",$E435),{"Трафіковий","Основний","Маржинальний","Сезонний","Стратегічний"},0),Settings!$G$78,Settings!$G$80,Settings!$G$82,Settings!$G$84,Settings!$G$86))/6,2)*6,"")</f>
        <v/>
      </c>
      <c r="AA435" s="142">
        <f>IFERROR(CHOOSE(MATCH(IF($E435="","Основний",$E435),{"Трафіковий","Основний","Маржинальний","Сезонний","Стратегічний"},0),Settings!$G$78,Settings!$G$80,Settings!$G$82,Settings!$G$84,Settings!$G$86),"")</f>
        <v/>
      </c>
      <c r="AB435" s="148">
        <f>IFERROR((Z435*(1-Settings!$G$17)-C435)/(Z435*(1-Settings!$G$17)),"")</f>
        <v/>
      </c>
      <c r="AC435" s="149">
        <f>IFERROR(IF(Z435="","",IF(Z435&gt;=C435/(1-SKU_Base!AE435)/(1-Settings!$G$17),"OK",IF(Z435&gt;=C435/(1-SKU_Base!AL435)/(1-Settings!$G$17),"WARN","STOP"))),"")</f>
        <v/>
      </c>
      <c r="AD435" s="161">
        <f>IFERROR(ROUND(D435*(1-CHOOSE(MATCH(IF($E435="","Основний",$E435),{"Трафіковий","Основний","Маржинальний","Сезонний","Стратегічний"},0),Settings!$H$78,Settings!$H$80,Settings!$H$82,Settings!$H$84,Settings!$H$86))*(1-Settings!$H$68)/6,2)*6,"")</f>
        <v/>
      </c>
      <c r="AE435" s="142">
        <f>IFERROR(CHOOSE(MATCH(IF($E435="","Основний",$E435),{"Трафіковий","Основний","Маржинальний","Сезонний","Стратегічний"},0),Settings!$H$78,Settings!$H$80,Settings!$H$82,Settings!$H$84,Settings!$H$86)+(1-(CHOOSE(MATCH(IF($E435="","Основний",$E435),{"Трафіковий","Основний","Маржинальний","Сезонний","Стратегічний"},0),Settings!$H$78,Settings!$H$80,Settings!$H$82,Settings!$H$84,Settings!$H$86)))*Settings!$H$68,"")</f>
        <v/>
      </c>
      <c r="AF435" s="148">
        <f>IFERROR((AD435*(1-Settings!$H$17)-C435)/(AD435*(1-Settings!$H$17)),"")</f>
        <v/>
      </c>
      <c r="AG435" s="150">
        <f>IFERROR(IF(AD435="","",IF(AD435&gt;=C435/(1-SKU_Base!AF435)/(1-Settings!$H$17),"OK",IF(AD435&gt;=C435/(1-SKU_Base!AM435)/(1-Settings!$H$17),"WARN","STOP"))),"")</f>
        <v/>
      </c>
    </row>
    <row r="436" ht="17" customHeight="1" s="179">
      <c r="A436" s="139">
        <f>SKU_Base!B436</f>
        <v/>
      </c>
      <c r="B436" s="139">
        <f>SKU_Base!C436</f>
        <v/>
      </c>
      <c r="C436" s="140">
        <f>IFERROR(SKU_Base!I436,"")</f>
        <v/>
      </c>
      <c r="D436" s="163">
        <f>IFERROR(SKU_Base!T436,"")</f>
        <v/>
      </c>
      <c r="E436" s="141">
        <f>IFERROR(SKU_Base!$U436,"")</f>
        <v/>
      </c>
      <c r="F436" s="158">
        <f>IFERROR(ROUND(D436*(1-CHOOSE(MATCH(IF($E436="","Основний",$E436),{"Трафіковий","Основний","Маржинальний","Сезонний","Стратегічний"},0),Settings!$B$78,Settings!$B$80,Settings!$B$82,Settings!$B$84,Settings!$B$86))/6,2)*6,"")</f>
        <v/>
      </c>
      <c r="G436" s="142">
        <f>IFERROR(CHOOSE(MATCH(IF($E436="","Основний",$E436),{"Трафіковий","Основний","Маржинальний","Сезонний","Стратегічний"},0),Settings!$B$78,Settings!$B$80,Settings!$B$82,Settings!$B$84,Settings!$B$86),"")</f>
        <v/>
      </c>
      <c r="H436" s="143">
        <f>IFERROR((F436*(1-Settings!$B$17)-C436)/(F436*(1-Settings!$B$17)),"")</f>
        <v/>
      </c>
      <c r="I436" s="149">
        <f>IFERROR(IF(F436="","",IF(F436&gt;=C436/(1-SKU_Base!Z436)/(1-Settings!$B$17),"OK",IF(F436&gt;=C436/(1-SKU_Base!AG436)/(1-Settings!$B$17),"WARN","STOP"))),"")</f>
        <v/>
      </c>
      <c r="J436" s="158">
        <f>IFERROR(ROUND(D436*(1-CHOOSE(MATCH(IF($E436="","Основний",$E436),{"Трафіковий","Основний","Маржинальний","Сезонний","Стратегічний"},0),Settings!$C$78,Settings!$C$80,Settings!$C$82,Settings!$C$84,Settings!$C$86))/6,2)*6,"")</f>
        <v/>
      </c>
      <c r="K436" s="142">
        <f>IFERROR(CHOOSE(MATCH(IF($E436="","Основний",$E436),{"Трафіковий","Основний","Маржинальний","Сезонний","Стратегічний"},0),Settings!$C$78,Settings!$C$80,Settings!$C$82,Settings!$C$84,Settings!$C$86),"")</f>
        <v/>
      </c>
      <c r="L436" s="143">
        <f>IFERROR((J436*(1-Settings!$C$17)-C436)/(J436*(1-Settings!$C$17)),"")</f>
        <v/>
      </c>
      <c r="M436" s="149">
        <f>IFERROR(IF(J436="","",IF(J436&gt;=C436/(1-SKU_Base!AA436)/(1-Settings!$C$17),"OK",IF(J436&gt;=C436/(1-SKU_Base!AH436)/(1-Settings!$C$17),"WARN","STOP"))),"")</f>
        <v/>
      </c>
      <c r="N436" s="159">
        <f>IFERROR(ROUND(D436*(1-CHOOSE(MATCH(IF($E436="","Основний",$E436),{"Трафіковий","Основний","Маржинальний","Сезонний","Стратегічний"},0),Settings!$D$78,Settings!$D$80,Settings!$D$82,Settings!$D$84,Settings!$D$86))/6,2)*6,"")</f>
        <v/>
      </c>
      <c r="O436" s="142">
        <f>IFERROR(CHOOSE(MATCH(IF($E436="","Основний",$E436),{"Трафіковий","Основний","Маржинальний","Сезонний","Стратегічний"},0),Settings!$D$78,Settings!$D$80,Settings!$D$82,Settings!$D$84,Settings!$D$86),"")</f>
        <v/>
      </c>
      <c r="P436" s="143">
        <f>IFERROR((N436*(1-Settings!$D$17)-C436)/(N436*(1-Settings!$D$17)),"")</f>
        <v/>
      </c>
      <c r="Q436" s="149">
        <f>IFERROR(IF(N436="","",IF(N436&gt;=C436/(1-SKU_Base!AB436)/(1-Settings!$D$17),"OK",IF(N436&gt;=C436/(1-SKU_Base!AI436)/(1-Settings!$D$17),"WARN","STOP"))),"")</f>
        <v/>
      </c>
      <c r="R436" s="159">
        <f>IFERROR(ROUND(D436*(1-CHOOSE(MATCH(IF($E436="","Основний",$E436),{"Трафіковий","Основний","Маржинальний","Сезонний","Стратегічний"},0),Settings!$E$78,Settings!$E$80,Settings!$E$82,Settings!$E$84,Settings!$E$86))/6,2)*6,"")</f>
        <v/>
      </c>
      <c r="S436" s="142">
        <f>IFERROR(CHOOSE(MATCH(IF($E436="","Основний",$E436),{"Трафіковий","Основний","Маржинальний","Сезонний","Стратегічний"},0),Settings!$E$78,Settings!$E$80,Settings!$E$82,Settings!$E$84,Settings!$E$86),"")</f>
        <v/>
      </c>
      <c r="T436" s="143">
        <f>IFERROR((R436*(1-Settings!$E$17)-C436)/(R436*(1-Settings!$E$17)),"")</f>
        <v/>
      </c>
      <c r="U436" s="149">
        <f>IFERROR(IF(R436="","",IF(R436&gt;=C436/(1-SKU_Base!AC436)/(1-Settings!$E$17),"OK",IF(R436&gt;=C436/(1-SKU_Base!AJ436)/(1-Settings!$E$17),"WARN","STOP"))),"")</f>
        <v/>
      </c>
      <c r="V436" s="159">
        <f>IFERROR(ROUND(D436*(1-CHOOSE(MATCH(IF($E436="","Основний",$E436),{"Трафіковий","Основний","Маржинальний","Сезонний","Стратегічний"},0),Settings!$F$78,Settings!$F$80,Settings!$F$82,Settings!$F$84,Settings!$F$86))/6,2)*6,"")</f>
        <v/>
      </c>
      <c r="W436" s="142">
        <f>IFERROR(CHOOSE(MATCH(IF($E436="","Основний",$E436),{"Трафіковий","Основний","Маржинальний","Сезонний","Стратегічний"},0),Settings!$F$78,Settings!$F$80,Settings!$F$82,Settings!$F$84,Settings!$F$86),"")</f>
        <v/>
      </c>
      <c r="X436" s="143">
        <f>IFERROR((V436*(1-Settings!$F$17)-C436)/(V436*(1-Settings!$F$17)),"")</f>
        <v/>
      </c>
      <c r="Y436" s="149">
        <f>IFERROR(IF(V436="","",IF(V436&gt;=C436/(1-SKU_Base!AD436)/(1-Settings!$F$17),"OK",IF(V436&gt;=C436/(1-SKU_Base!AK436)/(1-Settings!$F$17),"WARN","STOP"))),"")</f>
        <v/>
      </c>
      <c r="Z436" s="159">
        <f>IFERROR(ROUND(D436*(1-CHOOSE(MATCH(IF($E436="","Основний",$E436),{"Трафіковий","Основний","Маржинальний","Сезонний","Стратегічний"},0),Settings!$G$78,Settings!$G$80,Settings!$G$82,Settings!$G$84,Settings!$G$86))/6,2)*6,"")</f>
        <v/>
      </c>
      <c r="AA436" s="142">
        <f>IFERROR(CHOOSE(MATCH(IF($E436="","Основний",$E436),{"Трафіковий","Основний","Маржинальний","Сезонний","Стратегічний"},0),Settings!$G$78,Settings!$G$80,Settings!$G$82,Settings!$G$84,Settings!$G$86),"")</f>
        <v/>
      </c>
      <c r="AB436" s="143">
        <f>IFERROR((Z436*(1-Settings!$G$17)-C436)/(Z436*(1-Settings!$G$17)),"")</f>
        <v/>
      </c>
      <c r="AC436" s="149">
        <f>IFERROR(IF(Z436="","",IF(Z436&gt;=C436/(1-SKU_Base!AE436)/(1-Settings!$G$17),"OK",IF(Z436&gt;=C436/(1-SKU_Base!AL436)/(1-Settings!$G$17),"WARN","STOP"))),"")</f>
        <v/>
      </c>
      <c r="AD436" s="159">
        <f>IFERROR(ROUND(D436*(1-CHOOSE(MATCH(IF($E436="","Основний",$E436),{"Трафіковий","Основний","Маржинальний","Сезонний","Стратегічний"},0),Settings!$H$78,Settings!$H$80,Settings!$H$82,Settings!$H$84,Settings!$H$86))*(1-Settings!$H$68)/6,2)*6,"")</f>
        <v/>
      </c>
      <c r="AE436" s="142">
        <f>IFERROR(CHOOSE(MATCH(IF($E436="","Основний",$E436),{"Трафіковий","Основний","Маржинальний","Сезонний","Стратегічний"},0),Settings!$H$78,Settings!$H$80,Settings!$H$82,Settings!$H$84,Settings!$H$86)+(1-(CHOOSE(MATCH(IF($E436="","Основний",$E436),{"Трафіковий","Основний","Маржинальний","Сезонний","Стратегічний"},0),Settings!$H$78,Settings!$H$80,Settings!$H$82,Settings!$H$84,Settings!$H$86)))*Settings!$H$68,"")</f>
        <v/>
      </c>
      <c r="AF436" s="143">
        <f>IFERROR((AD436*(1-Settings!$H$17)-C436)/(AD436*(1-Settings!$H$17)),"")</f>
        <v/>
      </c>
      <c r="AG436" s="150">
        <f>IFERROR(IF(AD436="","",IF(AD436&gt;=C436/(1-SKU_Base!AF436)/(1-Settings!$H$17),"OK",IF(AD436&gt;=C436/(1-SKU_Base!AM436)/(1-Settings!$H$17),"WARN","STOP"))),"")</f>
        <v/>
      </c>
    </row>
    <row r="437" ht="17" customHeight="1" s="179">
      <c r="A437" s="146">
        <f>SKU_Base!B437</f>
        <v/>
      </c>
      <c r="B437" s="146">
        <f>SKU_Base!C437</f>
        <v/>
      </c>
      <c r="C437" s="147">
        <f>IFERROR(SKU_Base!I437,"")</f>
        <v/>
      </c>
      <c r="D437" s="164">
        <f>IFERROR(SKU_Base!T437,"")</f>
        <v/>
      </c>
      <c r="E437" s="141">
        <f>IFERROR(SKU_Base!$U437,"")</f>
        <v/>
      </c>
      <c r="F437" s="160">
        <f>IFERROR(ROUND(D437*(1-CHOOSE(MATCH(IF($E437="","Основний",$E437),{"Трафіковий","Основний","Маржинальний","Сезонний","Стратегічний"},0),Settings!$B$78,Settings!$B$80,Settings!$B$82,Settings!$B$84,Settings!$B$86))/6,2)*6,"")</f>
        <v/>
      </c>
      <c r="G437" s="142">
        <f>IFERROR(CHOOSE(MATCH(IF($E437="","Основний",$E437),{"Трафіковий","Основний","Маржинальний","Сезонний","Стратегічний"},0),Settings!$B$78,Settings!$B$80,Settings!$B$82,Settings!$B$84,Settings!$B$86),"")</f>
        <v/>
      </c>
      <c r="H437" s="148">
        <f>IFERROR((F437*(1-Settings!$B$17)-C437)/(F437*(1-Settings!$B$17)),"")</f>
        <v/>
      </c>
      <c r="I437" s="149">
        <f>IFERROR(IF(F437="","",IF(F437&gt;=C437/(1-SKU_Base!Z437)/(1-Settings!$B$17),"OK",IF(F437&gt;=C437/(1-SKU_Base!AG437)/(1-Settings!$B$17),"WARN","STOP"))),"")</f>
        <v/>
      </c>
      <c r="J437" s="160">
        <f>IFERROR(ROUND(D437*(1-CHOOSE(MATCH(IF($E437="","Основний",$E437),{"Трафіковий","Основний","Маржинальний","Сезонний","Стратегічний"},0),Settings!$C$78,Settings!$C$80,Settings!$C$82,Settings!$C$84,Settings!$C$86))/6,2)*6,"")</f>
        <v/>
      </c>
      <c r="K437" s="142">
        <f>IFERROR(CHOOSE(MATCH(IF($E437="","Основний",$E437),{"Трафіковий","Основний","Маржинальний","Сезонний","Стратегічний"},0),Settings!$C$78,Settings!$C$80,Settings!$C$82,Settings!$C$84,Settings!$C$86),"")</f>
        <v/>
      </c>
      <c r="L437" s="148">
        <f>IFERROR((J437*(1-Settings!$C$17)-C437)/(J437*(1-Settings!$C$17)),"")</f>
        <v/>
      </c>
      <c r="M437" s="149">
        <f>IFERROR(IF(J437="","",IF(J437&gt;=C437/(1-SKU_Base!AA437)/(1-Settings!$C$17),"OK",IF(J437&gt;=C437/(1-SKU_Base!AH437)/(1-Settings!$C$17),"WARN","STOP"))),"")</f>
        <v/>
      </c>
      <c r="N437" s="161">
        <f>IFERROR(ROUND(D437*(1-CHOOSE(MATCH(IF($E437="","Основний",$E437),{"Трафіковий","Основний","Маржинальний","Сезонний","Стратегічний"},0),Settings!$D$78,Settings!$D$80,Settings!$D$82,Settings!$D$84,Settings!$D$86))/6,2)*6,"")</f>
        <v/>
      </c>
      <c r="O437" s="142">
        <f>IFERROR(CHOOSE(MATCH(IF($E437="","Основний",$E437),{"Трафіковий","Основний","Маржинальний","Сезонний","Стратегічний"},0),Settings!$D$78,Settings!$D$80,Settings!$D$82,Settings!$D$84,Settings!$D$86),"")</f>
        <v/>
      </c>
      <c r="P437" s="148">
        <f>IFERROR((N437*(1-Settings!$D$17)-C437)/(N437*(1-Settings!$D$17)),"")</f>
        <v/>
      </c>
      <c r="Q437" s="149">
        <f>IFERROR(IF(N437="","",IF(N437&gt;=C437/(1-SKU_Base!AB437)/(1-Settings!$D$17),"OK",IF(N437&gt;=C437/(1-SKU_Base!AI437)/(1-Settings!$D$17),"WARN","STOP"))),"")</f>
        <v/>
      </c>
      <c r="R437" s="161">
        <f>IFERROR(ROUND(D437*(1-CHOOSE(MATCH(IF($E437="","Основний",$E437),{"Трафіковий","Основний","Маржинальний","Сезонний","Стратегічний"},0),Settings!$E$78,Settings!$E$80,Settings!$E$82,Settings!$E$84,Settings!$E$86))/6,2)*6,"")</f>
        <v/>
      </c>
      <c r="S437" s="142">
        <f>IFERROR(CHOOSE(MATCH(IF($E437="","Основний",$E437),{"Трафіковий","Основний","Маржинальний","Сезонний","Стратегічний"},0),Settings!$E$78,Settings!$E$80,Settings!$E$82,Settings!$E$84,Settings!$E$86),"")</f>
        <v/>
      </c>
      <c r="T437" s="148">
        <f>IFERROR((R437*(1-Settings!$E$17)-C437)/(R437*(1-Settings!$E$17)),"")</f>
        <v/>
      </c>
      <c r="U437" s="149">
        <f>IFERROR(IF(R437="","",IF(R437&gt;=C437/(1-SKU_Base!AC437)/(1-Settings!$E$17),"OK",IF(R437&gt;=C437/(1-SKU_Base!AJ437)/(1-Settings!$E$17),"WARN","STOP"))),"")</f>
        <v/>
      </c>
      <c r="V437" s="161">
        <f>IFERROR(ROUND(D437*(1-CHOOSE(MATCH(IF($E437="","Основний",$E437),{"Трафіковий","Основний","Маржинальний","Сезонний","Стратегічний"},0),Settings!$F$78,Settings!$F$80,Settings!$F$82,Settings!$F$84,Settings!$F$86))/6,2)*6,"")</f>
        <v/>
      </c>
      <c r="W437" s="142">
        <f>IFERROR(CHOOSE(MATCH(IF($E437="","Основний",$E437),{"Трафіковий","Основний","Маржинальний","Сезонний","Стратегічний"},0),Settings!$F$78,Settings!$F$80,Settings!$F$82,Settings!$F$84,Settings!$F$86),"")</f>
        <v/>
      </c>
      <c r="X437" s="148">
        <f>IFERROR((V437*(1-Settings!$F$17)-C437)/(V437*(1-Settings!$F$17)),"")</f>
        <v/>
      </c>
      <c r="Y437" s="149">
        <f>IFERROR(IF(V437="","",IF(V437&gt;=C437/(1-SKU_Base!AD437)/(1-Settings!$F$17),"OK",IF(V437&gt;=C437/(1-SKU_Base!AK437)/(1-Settings!$F$17),"WARN","STOP"))),"")</f>
        <v/>
      </c>
      <c r="Z437" s="161">
        <f>IFERROR(ROUND(D437*(1-CHOOSE(MATCH(IF($E437="","Основний",$E437),{"Трафіковий","Основний","Маржинальний","Сезонний","Стратегічний"},0),Settings!$G$78,Settings!$G$80,Settings!$G$82,Settings!$G$84,Settings!$G$86))/6,2)*6,"")</f>
        <v/>
      </c>
      <c r="AA437" s="142">
        <f>IFERROR(CHOOSE(MATCH(IF($E437="","Основний",$E437),{"Трафіковий","Основний","Маржинальний","Сезонний","Стратегічний"},0),Settings!$G$78,Settings!$G$80,Settings!$G$82,Settings!$G$84,Settings!$G$86),"")</f>
        <v/>
      </c>
      <c r="AB437" s="148">
        <f>IFERROR((Z437*(1-Settings!$G$17)-C437)/(Z437*(1-Settings!$G$17)),"")</f>
        <v/>
      </c>
      <c r="AC437" s="149">
        <f>IFERROR(IF(Z437="","",IF(Z437&gt;=C437/(1-SKU_Base!AE437)/(1-Settings!$G$17),"OK",IF(Z437&gt;=C437/(1-SKU_Base!AL437)/(1-Settings!$G$17),"WARN","STOP"))),"")</f>
        <v/>
      </c>
      <c r="AD437" s="161">
        <f>IFERROR(ROUND(D437*(1-CHOOSE(MATCH(IF($E437="","Основний",$E437),{"Трафіковий","Основний","Маржинальний","Сезонний","Стратегічний"},0),Settings!$H$78,Settings!$H$80,Settings!$H$82,Settings!$H$84,Settings!$H$86))*(1-Settings!$H$68)/6,2)*6,"")</f>
        <v/>
      </c>
      <c r="AE437" s="142">
        <f>IFERROR(CHOOSE(MATCH(IF($E437="","Основний",$E437),{"Трафіковий","Основний","Маржинальний","Сезонний","Стратегічний"},0),Settings!$H$78,Settings!$H$80,Settings!$H$82,Settings!$H$84,Settings!$H$86)+(1-(CHOOSE(MATCH(IF($E437="","Основний",$E437),{"Трафіковий","Основний","Маржинальний","Сезонний","Стратегічний"},0),Settings!$H$78,Settings!$H$80,Settings!$H$82,Settings!$H$84,Settings!$H$86)))*Settings!$H$68,"")</f>
        <v/>
      </c>
      <c r="AF437" s="148">
        <f>IFERROR((AD437*(1-Settings!$H$17)-C437)/(AD437*(1-Settings!$H$17)),"")</f>
        <v/>
      </c>
      <c r="AG437" s="150">
        <f>IFERROR(IF(AD437="","",IF(AD437&gt;=C437/(1-SKU_Base!AF437)/(1-Settings!$H$17),"OK",IF(AD437&gt;=C437/(1-SKU_Base!AM437)/(1-Settings!$H$17),"WARN","STOP"))),"")</f>
        <v/>
      </c>
    </row>
    <row r="438" ht="17" customHeight="1" s="179">
      <c r="A438" s="139">
        <f>SKU_Base!B438</f>
        <v/>
      </c>
      <c r="B438" s="139">
        <f>SKU_Base!C438</f>
        <v/>
      </c>
      <c r="C438" s="140">
        <f>IFERROR(SKU_Base!I438,"")</f>
        <v/>
      </c>
      <c r="D438" s="163">
        <f>IFERROR(SKU_Base!T438,"")</f>
        <v/>
      </c>
      <c r="E438" s="141">
        <f>IFERROR(SKU_Base!$U438,"")</f>
        <v/>
      </c>
      <c r="F438" s="158">
        <f>IFERROR(ROUND(D438*(1-CHOOSE(MATCH(IF($E438="","Основний",$E438),{"Трафіковий","Основний","Маржинальний","Сезонний","Стратегічний"},0),Settings!$B$78,Settings!$B$80,Settings!$B$82,Settings!$B$84,Settings!$B$86))/6,2)*6,"")</f>
        <v/>
      </c>
      <c r="G438" s="142">
        <f>IFERROR(CHOOSE(MATCH(IF($E438="","Основний",$E438),{"Трафіковий","Основний","Маржинальний","Сезонний","Стратегічний"},0),Settings!$B$78,Settings!$B$80,Settings!$B$82,Settings!$B$84,Settings!$B$86),"")</f>
        <v/>
      </c>
      <c r="H438" s="143">
        <f>IFERROR((F438*(1-Settings!$B$17)-C438)/(F438*(1-Settings!$B$17)),"")</f>
        <v/>
      </c>
      <c r="I438" s="149">
        <f>IFERROR(IF(F438="","",IF(F438&gt;=C438/(1-SKU_Base!Z438)/(1-Settings!$B$17),"OK",IF(F438&gt;=C438/(1-SKU_Base!AG438)/(1-Settings!$B$17),"WARN","STOP"))),"")</f>
        <v/>
      </c>
      <c r="J438" s="158">
        <f>IFERROR(ROUND(D438*(1-CHOOSE(MATCH(IF($E438="","Основний",$E438),{"Трафіковий","Основний","Маржинальний","Сезонний","Стратегічний"},0),Settings!$C$78,Settings!$C$80,Settings!$C$82,Settings!$C$84,Settings!$C$86))/6,2)*6,"")</f>
        <v/>
      </c>
      <c r="K438" s="142">
        <f>IFERROR(CHOOSE(MATCH(IF($E438="","Основний",$E438),{"Трафіковий","Основний","Маржинальний","Сезонний","Стратегічний"},0),Settings!$C$78,Settings!$C$80,Settings!$C$82,Settings!$C$84,Settings!$C$86),"")</f>
        <v/>
      </c>
      <c r="L438" s="143">
        <f>IFERROR((J438*(1-Settings!$C$17)-C438)/(J438*(1-Settings!$C$17)),"")</f>
        <v/>
      </c>
      <c r="M438" s="149">
        <f>IFERROR(IF(J438="","",IF(J438&gt;=C438/(1-SKU_Base!AA438)/(1-Settings!$C$17),"OK",IF(J438&gt;=C438/(1-SKU_Base!AH438)/(1-Settings!$C$17),"WARN","STOP"))),"")</f>
        <v/>
      </c>
      <c r="N438" s="159">
        <f>IFERROR(ROUND(D438*(1-CHOOSE(MATCH(IF($E438="","Основний",$E438),{"Трафіковий","Основний","Маржинальний","Сезонний","Стратегічний"},0),Settings!$D$78,Settings!$D$80,Settings!$D$82,Settings!$D$84,Settings!$D$86))/6,2)*6,"")</f>
        <v/>
      </c>
      <c r="O438" s="142">
        <f>IFERROR(CHOOSE(MATCH(IF($E438="","Основний",$E438),{"Трафіковий","Основний","Маржинальний","Сезонний","Стратегічний"},0),Settings!$D$78,Settings!$D$80,Settings!$D$82,Settings!$D$84,Settings!$D$86),"")</f>
        <v/>
      </c>
      <c r="P438" s="143">
        <f>IFERROR((N438*(1-Settings!$D$17)-C438)/(N438*(1-Settings!$D$17)),"")</f>
        <v/>
      </c>
      <c r="Q438" s="149">
        <f>IFERROR(IF(N438="","",IF(N438&gt;=C438/(1-SKU_Base!AB438)/(1-Settings!$D$17),"OK",IF(N438&gt;=C438/(1-SKU_Base!AI438)/(1-Settings!$D$17),"WARN","STOP"))),"")</f>
        <v/>
      </c>
      <c r="R438" s="159">
        <f>IFERROR(ROUND(D438*(1-CHOOSE(MATCH(IF($E438="","Основний",$E438),{"Трафіковий","Основний","Маржинальний","Сезонний","Стратегічний"},0),Settings!$E$78,Settings!$E$80,Settings!$E$82,Settings!$E$84,Settings!$E$86))/6,2)*6,"")</f>
        <v/>
      </c>
      <c r="S438" s="142">
        <f>IFERROR(CHOOSE(MATCH(IF($E438="","Основний",$E438),{"Трафіковий","Основний","Маржинальний","Сезонний","Стратегічний"},0),Settings!$E$78,Settings!$E$80,Settings!$E$82,Settings!$E$84,Settings!$E$86),"")</f>
        <v/>
      </c>
      <c r="T438" s="143">
        <f>IFERROR((R438*(1-Settings!$E$17)-C438)/(R438*(1-Settings!$E$17)),"")</f>
        <v/>
      </c>
      <c r="U438" s="149">
        <f>IFERROR(IF(R438="","",IF(R438&gt;=C438/(1-SKU_Base!AC438)/(1-Settings!$E$17),"OK",IF(R438&gt;=C438/(1-SKU_Base!AJ438)/(1-Settings!$E$17),"WARN","STOP"))),"")</f>
        <v/>
      </c>
      <c r="V438" s="159">
        <f>IFERROR(ROUND(D438*(1-CHOOSE(MATCH(IF($E438="","Основний",$E438),{"Трафіковий","Основний","Маржинальний","Сезонний","Стратегічний"},0),Settings!$F$78,Settings!$F$80,Settings!$F$82,Settings!$F$84,Settings!$F$86))/6,2)*6,"")</f>
        <v/>
      </c>
      <c r="W438" s="142">
        <f>IFERROR(CHOOSE(MATCH(IF($E438="","Основний",$E438),{"Трафіковий","Основний","Маржинальний","Сезонний","Стратегічний"},0),Settings!$F$78,Settings!$F$80,Settings!$F$82,Settings!$F$84,Settings!$F$86),"")</f>
        <v/>
      </c>
      <c r="X438" s="143">
        <f>IFERROR((V438*(1-Settings!$F$17)-C438)/(V438*(1-Settings!$F$17)),"")</f>
        <v/>
      </c>
      <c r="Y438" s="149">
        <f>IFERROR(IF(V438="","",IF(V438&gt;=C438/(1-SKU_Base!AD438)/(1-Settings!$F$17),"OK",IF(V438&gt;=C438/(1-SKU_Base!AK438)/(1-Settings!$F$17),"WARN","STOP"))),"")</f>
        <v/>
      </c>
      <c r="Z438" s="159">
        <f>IFERROR(ROUND(D438*(1-CHOOSE(MATCH(IF($E438="","Основний",$E438),{"Трафіковий","Основний","Маржинальний","Сезонний","Стратегічний"},0),Settings!$G$78,Settings!$G$80,Settings!$G$82,Settings!$G$84,Settings!$G$86))/6,2)*6,"")</f>
        <v/>
      </c>
      <c r="AA438" s="142">
        <f>IFERROR(CHOOSE(MATCH(IF($E438="","Основний",$E438),{"Трафіковий","Основний","Маржинальний","Сезонний","Стратегічний"},0),Settings!$G$78,Settings!$G$80,Settings!$G$82,Settings!$G$84,Settings!$G$86),"")</f>
        <v/>
      </c>
      <c r="AB438" s="143">
        <f>IFERROR((Z438*(1-Settings!$G$17)-C438)/(Z438*(1-Settings!$G$17)),"")</f>
        <v/>
      </c>
      <c r="AC438" s="149">
        <f>IFERROR(IF(Z438="","",IF(Z438&gt;=C438/(1-SKU_Base!AE438)/(1-Settings!$G$17),"OK",IF(Z438&gt;=C438/(1-SKU_Base!AL438)/(1-Settings!$G$17),"WARN","STOP"))),"")</f>
        <v/>
      </c>
      <c r="AD438" s="159">
        <f>IFERROR(ROUND(D438*(1-CHOOSE(MATCH(IF($E438="","Основний",$E438),{"Трафіковий","Основний","Маржинальний","Сезонний","Стратегічний"},0),Settings!$H$78,Settings!$H$80,Settings!$H$82,Settings!$H$84,Settings!$H$86))*(1-Settings!$H$68)/6,2)*6,"")</f>
        <v/>
      </c>
      <c r="AE438" s="142">
        <f>IFERROR(CHOOSE(MATCH(IF($E438="","Основний",$E438),{"Трафіковий","Основний","Маржинальний","Сезонний","Стратегічний"},0),Settings!$H$78,Settings!$H$80,Settings!$H$82,Settings!$H$84,Settings!$H$86)+(1-(CHOOSE(MATCH(IF($E438="","Основний",$E438),{"Трафіковий","Основний","Маржинальний","Сезонний","Стратегічний"},0),Settings!$H$78,Settings!$H$80,Settings!$H$82,Settings!$H$84,Settings!$H$86)))*Settings!$H$68,"")</f>
        <v/>
      </c>
      <c r="AF438" s="143">
        <f>IFERROR((AD438*(1-Settings!$H$17)-C438)/(AD438*(1-Settings!$H$17)),"")</f>
        <v/>
      </c>
      <c r="AG438" s="150">
        <f>IFERROR(IF(AD438="","",IF(AD438&gt;=C438/(1-SKU_Base!AF438)/(1-Settings!$H$17),"OK",IF(AD438&gt;=C438/(1-SKU_Base!AM438)/(1-Settings!$H$17),"WARN","STOP"))),"")</f>
        <v/>
      </c>
    </row>
    <row r="439" ht="17" customHeight="1" s="179">
      <c r="A439" s="146">
        <f>SKU_Base!B439</f>
        <v/>
      </c>
      <c r="B439" s="146">
        <f>SKU_Base!C439</f>
        <v/>
      </c>
      <c r="C439" s="147">
        <f>IFERROR(SKU_Base!I439,"")</f>
        <v/>
      </c>
      <c r="D439" s="164">
        <f>IFERROR(SKU_Base!T439,"")</f>
        <v/>
      </c>
      <c r="E439" s="141">
        <f>IFERROR(SKU_Base!$U439,"")</f>
        <v/>
      </c>
      <c r="F439" s="160">
        <f>IFERROR(ROUND(D439*(1-CHOOSE(MATCH(IF($E439="","Основний",$E439),{"Трафіковий","Основний","Маржинальний","Сезонний","Стратегічний"},0),Settings!$B$78,Settings!$B$80,Settings!$B$82,Settings!$B$84,Settings!$B$86))/6,2)*6,"")</f>
        <v/>
      </c>
      <c r="G439" s="142">
        <f>IFERROR(CHOOSE(MATCH(IF($E439="","Основний",$E439),{"Трафіковий","Основний","Маржинальний","Сезонний","Стратегічний"},0),Settings!$B$78,Settings!$B$80,Settings!$B$82,Settings!$B$84,Settings!$B$86),"")</f>
        <v/>
      </c>
      <c r="H439" s="148">
        <f>IFERROR((F439*(1-Settings!$B$17)-C439)/(F439*(1-Settings!$B$17)),"")</f>
        <v/>
      </c>
      <c r="I439" s="149">
        <f>IFERROR(IF(F439="","",IF(F439&gt;=C439/(1-SKU_Base!Z439)/(1-Settings!$B$17),"OK",IF(F439&gt;=C439/(1-SKU_Base!AG439)/(1-Settings!$B$17),"WARN","STOP"))),"")</f>
        <v/>
      </c>
      <c r="J439" s="160">
        <f>IFERROR(ROUND(D439*(1-CHOOSE(MATCH(IF($E439="","Основний",$E439),{"Трафіковий","Основний","Маржинальний","Сезонний","Стратегічний"},0),Settings!$C$78,Settings!$C$80,Settings!$C$82,Settings!$C$84,Settings!$C$86))/6,2)*6,"")</f>
        <v/>
      </c>
      <c r="K439" s="142">
        <f>IFERROR(CHOOSE(MATCH(IF($E439="","Основний",$E439),{"Трафіковий","Основний","Маржинальний","Сезонний","Стратегічний"},0),Settings!$C$78,Settings!$C$80,Settings!$C$82,Settings!$C$84,Settings!$C$86),"")</f>
        <v/>
      </c>
      <c r="L439" s="148">
        <f>IFERROR((J439*(1-Settings!$C$17)-C439)/(J439*(1-Settings!$C$17)),"")</f>
        <v/>
      </c>
      <c r="M439" s="149">
        <f>IFERROR(IF(J439="","",IF(J439&gt;=C439/(1-SKU_Base!AA439)/(1-Settings!$C$17),"OK",IF(J439&gt;=C439/(1-SKU_Base!AH439)/(1-Settings!$C$17),"WARN","STOP"))),"")</f>
        <v/>
      </c>
      <c r="N439" s="161">
        <f>IFERROR(ROUND(D439*(1-CHOOSE(MATCH(IF($E439="","Основний",$E439),{"Трафіковий","Основний","Маржинальний","Сезонний","Стратегічний"},0),Settings!$D$78,Settings!$D$80,Settings!$D$82,Settings!$D$84,Settings!$D$86))/6,2)*6,"")</f>
        <v/>
      </c>
      <c r="O439" s="142">
        <f>IFERROR(CHOOSE(MATCH(IF($E439="","Основний",$E439),{"Трафіковий","Основний","Маржинальний","Сезонний","Стратегічний"},0),Settings!$D$78,Settings!$D$80,Settings!$D$82,Settings!$D$84,Settings!$D$86),"")</f>
        <v/>
      </c>
      <c r="P439" s="148">
        <f>IFERROR((N439*(1-Settings!$D$17)-C439)/(N439*(1-Settings!$D$17)),"")</f>
        <v/>
      </c>
      <c r="Q439" s="149">
        <f>IFERROR(IF(N439="","",IF(N439&gt;=C439/(1-SKU_Base!AB439)/(1-Settings!$D$17),"OK",IF(N439&gt;=C439/(1-SKU_Base!AI439)/(1-Settings!$D$17),"WARN","STOP"))),"")</f>
        <v/>
      </c>
      <c r="R439" s="161">
        <f>IFERROR(ROUND(D439*(1-CHOOSE(MATCH(IF($E439="","Основний",$E439),{"Трафіковий","Основний","Маржинальний","Сезонний","Стратегічний"},0),Settings!$E$78,Settings!$E$80,Settings!$E$82,Settings!$E$84,Settings!$E$86))/6,2)*6,"")</f>
        <v/>
      </c>
      <c r="S439" s="142">
        <f>IFERROR(CHOOSE(MATCH(IF($E439="","Основний",$E439),{"Трафіковий","Основний","Маржинальний","Сезонний","Стратегічний"},0),Settings!$E$78,Settings!$E$80,Settings!$E$82,Settings!$E$84,Settings!$E$86),"")</f>
        <v/>
      </c>
      <c r="T439" s="148">
        <f>IFERROR((R439*(1-Settings!$E$17)-C439)/(R439*(1-Settings!$E$17)),"")</f>
        <v/>
      </c>
      <c r="U439" s="149">
        <f>IFERROR(IF(R439="","",IF(R439&gt;=C439/(1-SKU_Base!AC439)/(1-Settings!$E$17),"OK",IF(R439&gt;=C439/(1-SKU_Base!AJ439)/(1-Settings!$E$17),"WARN","STOP"))),"")</f>
        <v/>
      </c>
      <c r="V439" s="161">
        <f>IFERROR(ROUND(D439*(1-CHOOSE(MATCH(IF($E439="","Основний",$E439),{"Трафіковий","Основний","Маржинальний","Сезонний","Стратегічний"},0),Settings!$F$78,Settings!$F$80,Settings!$F$82,Settings!$F$84,Settings!$F$86))/6,2)*6,"")</f>
        <v/>
      </c>
      <c r="W439" s="142">
        <f>IFERROR(CHOOSE(MATCH(IF($E439="","Основний",$E439),{"Трафіковий","Основний","Маржинальний","Сезонний","Стратегічний"},0),Settings!$F$78,Settings!$F$80,Settings!$F$82,Settings!$F$84,Settings!$F$86),"")</f>
        <v/>
      </c>
      <c r="X439" s="148">
        <f>IFERROR((V439*(1-Settings!$F$17)-C439)/(V439*(1-Settings!$F$17)),"")</f>
        <v/>
      </c>
      <c r="Y439" s="149">
        <f>IFERROR(IF(V439="","",IF(V439&gt;=C439/(1-SKU_Base!AD439)/(1-Settings!$F$17),"OK",IF(V439&gt;=C439/(1-SKU_Base!AK439)/(1-Settings!$F$17),"WARN","STOP"))),"")</f>
        <v/>
      </c>
      <c r="Z439" s="161">
        <f>IFERROR(ROUND(D439*(1-CHOOSE(MATCH(IF($E439="","Основний",$E439),{"Трафіковий","Основний","Маржинальний","Сезонний","Стратегічний"},0),Settings!$G$78,Settings!$G$80,Settings!$G$82,Settings!$G$84,Settings!$G$86))/6,2)*6,"")</f>
        <v/>
      </c>
      <c r="AA439" s="142">
        <f>IFERROR(CHOOSE(MATCH(IF($E439="","Основний",$E439),{"Трафіковий","Основний","Маржинальний","Сезонний","Стратегічний"},0),Settings!$G$78,Settings!$G$80,Settings!$G$82,Settings!$G$84,Settings!$G$86),"")</f>
        <v/>
      </c>
      <c r="AB439" s="148">
        <f>IFERROR((Z439*(1-Settings!$G$17)-C439)/(Z439*(1-Settings!$G$17)),"")</f>
        <v/>
      </c>
      <c r="AC439" s="149">
        <f>IFERROR(IF(Z439="","",IF(Z439&gt;=C439/(1-SKU_Base!AE439)/(1-Settings!$G$17),"OK",IF(Z439&gt;=C439/(1-SKU_Base!AL439)/(1-Settings!$G$17),"WARN","STOP"))),"")</f>
        <v/>
      </c>
      <c r="AD439" s="161">
        <f>IFERROR(ROUND(D439*(1-CHOOSE(MATCH(IF($E439="","Основний",$E439),{"Трафіковий","Основний","Маржинальний","Сезонний","Стратегічний"},0),Settings!$H$78,Settings!$H$80,Settings!$H$82,Settings!$H$84,Settings!$H$86))*(1-Settings!$H$68)/6,2)*6,"")</f>
        <v/>
      </c>
      <c r="AE439" s="142">
        <f>IFERROR(CHOOSE(MATCH(IF($E439="","Основний",$E439),{"Трафіковий","Основний","Маржинальний","Сезонний","Стратегічний"},0),Settings!$H$78,Settings!$H$80,Settings!$H$82,Settings!$H$84,Settings!$H$86)+(1-(CHOOSE(MATCH(IF($E439="","Основний",$E439),{"Трафіковий","Основний","Маржинальний","Сезонний","Стратегічний"},0),Settings!$H$78,Settings!$H$80,Settings!$H$82,Settings!$H$84,Settings!$H$86)))*Settings!$H$68,"")</f>
        <v/>
      </c>
      <c r="AF439" s="148">
        <f>IFERROR((AD439*(1-Settings!$H$17)-C439)/(AD439*(1-Settings!$H$17)),"")</f>
        <v/>
      </c>
      <c r="AG439" s="150">
        <f>IFERROR(IF(AD439="","",IF(AD439&gt;=C439/(1-SKU_Base!AF439)/(1-Settings!$H$17),"OK",IF(AD439&gt;=C439/(1-SKU_Base!AM439)/(1-Settings!$H$17),"WARN","STOP"))),"")</f>
        <v/>
      </c>
    </row>
    <row r="440" ht="17" customHeight="1" s="179">
      <c r="A440" s="139">
        <f>SKU_Base!B440</f>
        <v/>
      </c>
      <c r="B440" s="139">
        <f>SKU_Base!C440</f>
        <v/>
      </c>
      <c r="C440" s="140">
        <f>IFERROR(SKU_Base!I440,"")</f>
        <v/>
      </c>
      <c r="D440" s="163">
        <f>IFERROR(SKU_Base!T440,"")</f>
        <v/>
      </c>
      <c r="E440" s="141">
        <f>IFERROR(SKU_Base!$U440,"")</f>
        <v/>
      </c>
      <c r="F440" s="158">
        <f>IFERROR(ROUND(D440*(1-CHOOSE(MATCH(IF($E440="","Основний",$E440),{"Трафіковий","Основний","Маржинальний","Сезонний","Стратегічний"},0),Settings!$B$78,Settings!$B$80,Settings!$B$82,Settings!$B$84,Settings!$B$86))/6,2)*6,"")</f>
        <v/>
      </c>
      <c r="G440" s="142">
        <f>IFERROR(CHOOSE(MATCH(IF($E440="","Основний",$E440),{"Трафіковий","Основний","Маржинальний","Сезонний","Стратегічний"},0),Settings!$B$78,Settings!$B$80,Settings!$B$82,Settings!$B$84,Settings!$B$86),"")</f>
        <v/>
      </c>
      <c r="H440" s="143">
        <f>IFERROR((F440*(1-Settings!$B$17)-C440)/(F440*(1-Settings!$B$17)),"")</f>
        <v/>
      </c>
      <c r="I440" s="149">
        <f>IFERROR(IF(F440="","",IF(F440&gt;=C440/(1-SKU_Base!Z440)/(1-Settings!$B$17),"OK",IF(F440&gt;=C440/(1-SKU_Base!AG440)/(1-Settings!$B$17),"WARN","STOP"))),"")</f>
        <v/>
      </c>
      <c r="J440" s="158">
        <f>IFERROR(ROUND(D440*(1-CHOOSE(MATCH(IF($E440="","Основний",$E440),{"Трафіковий","Основний","Маржинальний","Сезонний","Стратегічний"},0),Settings!$C$78,Settings!$C$80,Settings!$C$82,Settings!$C$84,Settings!$C$86))/6,2)*6,"")</f>
        <v/>
      </c>
      <c r="K440" s="142">
        <f>IFERROR(CHOOSE(MATCH(IF($E440="","Основний",$E440),{"Трафіковий","Основний","Маржинальний","Сезонний","Стратегічний"},0),Settings!$C$78,Settings!$C$80,Settings!$C$82,Settings!$C$84,Settings!$C$86),"")</f>
        <v/>
      </c>
      <c r="L440" s="143">
        <f>IFERROR((J440*(1-Settings!$C$17)-C440)/(J440*(1-Settings!$C$17)),"")</f>
        <v/>
      </c>
      <c r="M440" s="149">
        <f>IFERROR(IF(J440="","",IF(J440&gt;=C440/(1-SKU_Base!AA440)/(1-Settings!$C$17),"OK",IF(J440&gt;=C440/(1-SKU_Base!AH440)/(1-Settings!$C$17),"WARN","STOP"))),"")</f>
        <v/>
      </c>
      <c r="N440" s="159">
        <f>IFERROR(ROUND(D440*(1-CHOOSE(MATCH(IF($E440="","Основний",$E440),{"Трафіковий","Основний","Маржинальний","Сезонний","Стратегічний"},0),Settings!$D$78,Settings!$D$80,Settings!$D$82,Settings!$D$84,Settings!$D$86))/6,2)*6,"")</f>
        <v/>
      </c>
      <c r="O440" s="142">
        <f>IFERROR(CHOOSE(MATCH(IF($E440="","Основний",$E440),{"Трафіковий","Основний","Маржинальний","Сезонний","Стратегічний"},0),Settings!$D$78,Settings!$D$80,Settings!$D$82,Settings!$D$84,Settings!$D$86),"")</f>
        <v/>
      </c>
      <c r="P440" s="143">
        <f>IFERROR((N440*(1-Settings!$D$17)-C440)/(N440*(1-Settings!$D$17)),"")</f>
        <v/>
      </c>
      <c r="Q440" s="149">
        <f>IFERROR(IF(N440="","",IF(N440&gt;=C440/(1-SKU_Base!AB440)/(1-Settings!$D$17),"OK",IF(N440&gt;=C440/(1-SKU_Base!AI440)/(1-Settings!$D$17),"WARN","STOP"))),"")</f>
        <v/>
      </c>
      <c r="R440" s="159">
        <f>IFERROR(ROUND(D440*(1-CHOOSE(MATCH(IF($E440="","Основний",$E440),{"Трафіковий","Основний","Маржинальний","Сезонний","Стратегічний"},0),Settings!$E$78,Settings!$E$80,Settings!$E$82,Settings!$E$84,Settings!$E$86))/6,2)*6,"")</f>
        <v/>
      </c>
      <c r="S440" s="142">
        <f>IFERROR(CHOOSE(MATCH(IF($E440="","Основний",$E440),{"Трафіковий","Основний","Маржинальний","Сезонний","Стратегічний"},0),Settings!$E$78,Settings!$E$80,Settings!$E$82,Settings!$E$84,Settings!$E$86),"")</f>
        <v/>
      </c>
      <c r="T440" s="143">
        <f>IFERROR((R440*(1-Settings!$E$17)-C440)/(R440*(1-Settings!$E$17)),"")</f>
        <v/>
      </c>
      <c r="U440" s="149">
        <f>IFERROR(IF(R440="","",IF(R440&gt;=C440/(1-SKU_Base!AC440)/(1-Settings!$E$17),"OK",IF(R440&gt;=C440/(1-SKU_Base!AJ440)/(1-Settings!$E$17),"WARN","STOP"))),"")</f>
        <v/>
      </c>
      <c r="V440" s="159">
        <f>IFERROR(ROUND(D440*(1-CHOOSE(MATCH(IF($E440="","Основний",$E440),{"Трафіковий","Основний","Маржинальний","Сезонний","Стратегічний"},0),Settings!$F$78,Settings!$F$80,Settings!$F$82,Settings!$F$84,Settings!$F$86))/6,2)*6,"")</f>
        <v/>
      </c>
      <c r="W440" s="142">
        <f>IFERROR(CHOOSE(MATCH(IF($E440="","Основний",$E440),{"Трафіковий","Основний","Маржинальний","Сезонний","Стратегічний"},0),Settings!$F$78,Settings!$F$80,Settings!$F$82,Settings!$F$84,Settings!$F$86),"")</f>
        <v/>
      </c>
      <c r="X440" s="143">
        <f>IFERROR((V440*(1-Settings!$F$17)-C440)/(V440*(1-Settings!$F$17)),"")</f>
        <v/>
      </c>
      <c r="Y440" s="149">
        <f>IFERROR(IF(V440="","",IF(V440&gt;=C440/(1-SKU_Base!AD440)/(1-Settings!$F$17),"OK",IF(V440&gt;=C440/(1-SKU_Base!AK440)/(1-Settings!$F$17),"WARN","STOP"))),"")</f>
        <v/>
      </c>
      <c r="Z440" s="159">
        <f>IFERROR(ROUND(D440*(1-CHOOSE(MATCH(IF($E440="","Основний",$E440),{"Трафіковий","Основний","Маржинальний","Сезонний","Стратегічний"},0),Settings!$G$78,Settings!$G$80,Settings!$G$82,Settings!$G$84,Settings!$G$86))/6,2)*6,"")</f>
        <v/>
      </c>
      <c r="AA440" s="142">
        <f>IFERROR(CHOOSE(MATCH(IF($E440="","Основний",$E440),{"Трафіковий","Основний","Маржинальний","Сезонний","Стратегічний"},0),Settings!$G$78,Settings!$G$80,Settings!$G$82,Settings!$G$84,Settings!$G$86),"")</f>
        <v/>
      </c>
      <c r="AB440" s="143">
        <f>IFERROR((Z440*(1-Settings!$G$17)-C440)/(Z440*(1-Settings!$G$17)),"")</f>
        <v/>
      </c>
      <c r="AC440" s="149">
        <f>IFERROR(IF(Z440="","",IF(Z440&gt;=C440/(1-SKU_Base!AE440)/(1-Settings!$G$17),"OK",IF(Z440&gt;=C440/(1-SKU_Base!AL440)/(1-Settings!$G$17),"WARN","STOP"))),"")</f>
        <v/>
      </c>
      <c r="AD440" s="159">
        <f>IFERROR(ROUND(D440*(1-CHOOSE(MATCH(IF($E440="","Основний",$E440),{"Трафіковий","Основний","Маржинальний","Сезонний","Стратегічний"},0),Settings!$H$78,Settings!$H$80,Settings!$H$82,Settings!$H$84,Settings!$H$86))*(1-Settings!$H$68)/6,2)*6,"")</f>
        <v/>
      </c>
      <c r="AE440" s="142">
        <f>IFERROR(CHOOSE(MATCH(IF($E440="","Основний",$E440),{"Трафіковий","Основний","Маржинальний","Сезонний","Стратегічний"},0),Settings!$H$78,Settings!$H$80,Settings!$H$82,Settings!$H$84,Settings!$H$86)+(1-(CHOOSE(MATCH(IF($E440="","Основний",$E440),{"Трафіковий","Основний","Маржинальний","Сезонний","Стратегічний"},0),Settings!$H$78,Settings!$H$80,Settings!$H$82,Settings!$H$84,Settings!$H$86)))*Settings!$H$68,"")</f>
        <v/>
      </c>
      <c r="AF440" s="143">
        <f>IFERROR((AD440*(1-Settings!$H$17)-C440)/(AD440*(1-Settings!$H$17)),"")</f>
        <v/>
      </c>
      <c r="AG440" s="150">
        <f>IFERROR(IF(AD440="","",IF(AD440&gt;=C440/(1-SKU_Base!AF440)/(1-Settings!$H$17),"OK",IF(AD440&gt;=C440/(1-SKU_Base!AM440)/(1-Settings!$H$17),"WARN","STOP"))),"")</f>
        <v/>
      </c>
    </row>
    <row r="441" ht="17" customHeight="1" s="179">
      <c r="A441" s="146">
        <f>SKU_Base!B441</f>
        <v/>
      </c>
      <c r="B441" s="146">
        <f>SKU_Base!C441</f>
        <v/>
      </c>
      <c r="C441" s="147">
        <f>IFERROR(SKU_Base!I441,"")</f>
        <v/>
      </c>
      <c r="D441" s="164">
        <f>IFERROR(SKU_Base!T441,"")</f>
        <v/>
      </c>
      <c r="E441" s="141">
        <f>IFERROR(SKU_Base!$U441,"")</f>
        <v/>
      </c>
      <c r="F441" s="160">
        <f>IFERROR(ROUND(D441*(1-CHOOSE(MATCH(IF($E441="","Основний",$E441),{"Трафіковий","Основний","Маржинальний","Сезонний","Стратегічний"},0),Settings!$B$78,Settings!$B$80,Settings!$B$82,Settings!$B$84,Settings!$B$86))/6,2)*6,"")</f>
        <v/>
      </c>
      <c r="G441" s="142">
        <f>IFERROR(CHOOSE(MATCH(IF($E441="","Основний",$E441),{"Трафіковий","Основний","Маржинальний","Сезонний","Стратегічний"},0),Settings!$B$78,Settings!$B$80,Settings!$B$82,Settings!$B$84,Settings!$B$86),"")</f>
        <v/>
      </c>
      <c r="H441" s="148">
        <f>IFERROR((F441*(1-Settings!$B$17)-C441)/(F441*(1-Settings!$B$17)),"")</f>
        <v/>
      </c>
      <c r="I441" s="149">
        <f>IFERROR(IF(F441="","",IF(F441&gt;=C441/(1-SKU_Base!Z441)/(1-Settings!$B$17),"OK",IF(F441&gt;=C441/(1-SKU_Base!AG441)/(1-Settings!$B$17),"WARN","STOP"))),"")</f>
        <v/>
      </c>
      <c r="J441" s="160">
        <f>IFERROR(ROUND(D441*(1-CHOOSE(MATCH(IF($E441="","Основний",$E441),{"Трафіковий","Основний","Маржинальний","Сезонний","Стратегічний"},0),Settings!$C$78,Settings!$C$80,Settings!$C$82,Settings!$C$84,Settings!$C$86))/6,2)*6,"")</f>
        <v/>
      </c>
      <c r="K441" s="142">
        <f>IFERROR(CHOOSE(MATCH(IF($E441="","Основний",$E441),{"Трафіковий","Основний","Маржинальний","Сезонний","Стратегічний"},0),Settings!$C$78,Settings!$C$80,Settings!$C$82,Settings!$C$84,Settings!$C$86),"")</f>
        <v/>
      </c>
      <c r="L441" s="148">
        <f>IFERROR((J441*(1-Settings!$C$17)-C441)/(J441*(1-Settings!$C$17)),"")</f>
        <v/>
      </c>
      <c r="M441" s="149">
        <f>IFERROR(IF(J441="","",IF(J441&gt;=C441/(1-SKU_Base!AA441)/(1-Settings!$C$17),"OK",IF(J441&gt;=C441/(1-SKU_Base!AH441)/(1-Settings!$C$17),"WARN","STOP"))),"")</f>
        <v/>
      </c>
      <c r="N441" s="161">
        <f>IFERROR(ROUND(D441*(1-CHOOSE(MATCH(IF($E441="","Основний",$E441),{"Трафіковий","Основний","Маржинальний","Сезонний","Стратегічний"},0),Settings!$D$78,Settings!$D$80,Settings!$D$82,Settings!$D$84,Settings!$D$86))/6,2)*6,"")</f>
        <v/>
      </c>
      <c r="O441" s="142">
        <f>IFERROR(CHOOSE(MATCH(IF($E441="","Основний",$E441),{"Трафіковий","Основний","Маржинальний","Сезонний","Стратегічний"},0),Settings!$D$78,Settings!$D$80,Settings!$D$82,Settings!$D$84,Settings!$D$86),"")</f>
        <v/>
      </c>
      <c r="P441" s="148">
        <f>IFERROR((N441*(1-Settings!$D$17)-C441)/(N441*(1-Settings!$D$17)),"")</f>
        <v/>
      </c>
      <c r="Q441" s="149">
        <f>IFERROR(IF(N441="","",IF(N441&gt;=C441/(1-SKU_Base!AB441)/(1-Settings!$D$17),"OK",IF(N441&gt;=C441/(1-SKU_Base!AI441)/(1-Settings!$D$17),"WARN","STOP"))),"")</f>
        <v/>
      </c>
      <c r="R441" s="161">
        <f>IFERROR(ROUND(D441*(1-CHOOSE(MATCH(IF($E441="","Основний",$E441),{"Трафіковий","Основний","Маржинальний","Сезонний","Стратегічний"},0),Settings!$E$78,Settings!$E$80,Settings!$E$82,Settings!$E$84,Settings!$E$86))/6,2)*6,"")</f>
        <v/>
      </c>
      <c r="S441" s="142">
        <f>IFERROR(CHOOSE(MATCH(IF($E441="","Основний",$E441),{"Трафіковий","Основний","Маржинальний","Сезонний","Стратегічний"},0),Settings!$E$78,Settings!$E$80,Settings!$E$82,Settings!$E$84,Settings!$E$86),"")</f>
        <v/>
      </c>
      <c r="T441" s="148">
        <f>IFERROR((R441*(1-Settings!$E$17)-C441)/(R441*(1-Settings!$E$17)),"")</f>
        <v/>
      </c>
      <c r="U441" s="149">
        <f>IFERROR(IF(R441="","",IF(R441&gt;=C441/(1-SKU_Base!AC441)/(1-Settings!$E$17),"OK",IF(R441&gt;=C441/(1-SKU_Base!AJ441)/(1-Settings!$E$17),"WARN","STOP"))),"")</f>
        <v/>
      </c>
      <c r="V441" s="161">
        <f>IFERROR(ROUND(D441*(1-CHOOSE(MATCH(IF($E441="","Основний",$E441),{"Трафіковий","Основний","Маржинальний","Сезонний","Стратегічний"},0),Settings!$F$78,Settings!$F$80,Settings!$F$82,Settings!$F$84,Settings!$F$86))/6,2)*6,"")</f>
        <v/>
      </c>
      <c r="W441" s="142">
        <f>IFERROR(CHOOSE(MATCH(IF($E441="","Основний",$E441),{"Трафіковий","Основний","Маржинальний","Сезонний","Стратегічний"},0),Settings!$F$78,Settings!$F$80,Settings!$F$82,Settings!$F$84,Settings!$F$86),"")</f>
        <v/>
      </c>
      <c r="X441" s="148">
        <f>IFERROR((V441*(1-Settings!$F$17)-C441)/(V441*(1-Settings!$F$17)),"")</f>
        <v/>
      </c>
      <c r="Y441" s="149">
        <f>IFERROR(IF(V441="","",IF(V441&gt;=C441/(1-SKU_Base!AD441)/(1-Settings!$F$17),"OK",IF(V441&gt;=C441/(1-SKU_Base!AK441)/(1-Settings!$F$17),"WARN","STOP"))),"")</f>
        <v/>
      </c>
      <c r="Z441" s="161">
        <f>IFERROR(ROUND(D441*(1-CHOOSE(MATCH(IF($E441="","Основний",$E441),{"Трафіковий","Основний","Маржинальний","Сезонний","Стратегічний"},0),Settings!$G$78,Settings!$G$80,Settings!$G$82,Settings!$G$84,Settings!$G$86))/6,2)*6,"")</f>
        <v/>
      </c>
      <c r="AA441" s="142">
        <f>IFERROR(CHOOSE(MATCH(IF($E441="","Основний",$E441),{"Трафіковий","Основний","Маржинальний","Сезонний","Стратегічний"},0),Settings!$G$78,Settings!$G$80,Settings!$G$82,Settings!$G$84,Settings!$G$86),"")</f>
        <v/>
      </c>
      <c r="AB441" s="148">
        <f>IFERROR((Z441*(1-Settings!$G$17)-C441)/(Z441*(1-Settings!$G$17)),"")</f>
        <v/>
      </c>
      <c r="AC441" s="149">
        <f>IFERROR(IF(Z441="","",IF(Z441&gt;=C441/(1-SKU_Base!AE441)/(1-Settings!$G$17),"OK",IF(Z441&gt;=C441/(1-SKU_Base!AL441)/(1-Settings!$G$17),"WARN","STOP"))),"")</f>
        <v/>
      </c>
      <c r="AD441" s="161">
        <f>IFERROR(ROUND(D441*(1-CHOOSE(MATCH(IF($E441="","Основний",$E441),{"Трафіковий","Основний","Маржинальний","Сезонний","Стратегічний"},0),Settings!$H$78,Settings!$H$80,Settings!$H$82,Settings!$H$84,Settings!$H$86))*(1-Settings!$H$68)/6,2)*6,"")</f>
        <v/>
      </c>
      <c r="AE441" s="142">
        <f>IFERROR(CHOOSE(MATCH(IF($E441="","Основний",$E441),{"Трафіковий","Основний","Маржинальний","Сезонний","Стратегічний"},0),Settings!$H$78,Settings!$H$80,Settings!$H$82,Settings!$H$84,Settings!$H$86)+(1-(CHOOSE(MATCH(IF($E441="","Основний",$E441),{"Трафіковий","Основний","Маржинальний","Сезонний","Стратегічний"},0),Settings!$H$78,Settings!$H$80,Settings!$H$82,Settings!$H$84,Settings!$H$86)))*Settings!$H$68,"")</f>
        <v/>
      </c>
      <c r="AF441" s="148">
        <f>IFERROR((AD441*(1-Settings!$H$17)-C441)/(AD441*(1-Settings!$H$17)),"")</f>
        <v/>
      </c>
      <c r="AG441" s="150">
        <f>IFERROR(IF(AD441="","",IF(AD441&gt;=C441/(1-SKU_Base!AF441)/(1-Settings!$H$17),"OK",IF(AD441&gt;=C441/(1-SKU_Base!AM441)/(1-Settings!$H$17),"WARN","STOP"))),"")</f>
        <v/>
      </c>
    </row>
    <row r="442" ht="17" customHeight="1" s="179">
      <c r="A442" s="139">
        <f>SKU_Base!B442</f>
        <v/>
      </c>
      <c r="B442" s="139">
        <f>SKU_Base!C442</f>
        <v/>
      </c>
      <c r="C442" s="140">
        <f>IFERROR(SKU_Base!I442,"")</f>
        <v/>
      </c>
      <c r="D442" s="163">
        <f>IFERROR(SKU_Base!T442,"")</f>
        <v/>
      </c>
      <c r="E442" s="141">
        <f>IFERROR(SKU_Base!$U442,"")</f>
        <v/>
      </c>
      <c r="F442" s="158">
        <f>IFERROR(ROUND(D442*(1-CHOOSE(MATCH(IF($E442="","Основний",$E442),{"Трафіковий","Основний","Маржинальний","Сезонний","Стратегічний"},0),Settings!$B$78,Settings!$B$80,Settings!$B$82,Settings!$B$84,Settings!$B$86))/6,2)*6,"")</f>
        <v/>
      </c>
      <c r="G442" s="142">
        <f>IFERROR(CHOOSE(MATCH(IF($E442="","Основний",$E442),{"Трафіковий","Основний","Маржинальний","Сезонний","Стратегічний"},0),Settings!$B$78,Settings!$B$80,Settings!$B$82,Settings!$B$84,Settings!$B$86),"")</f>
        <v/>
      </c>
      <c r="H442" s="143">
        <f>IFERROR((F442*(1-Settings!$B$17)-C442)/(F442*(1-Settings!$B$17)),"")</f>
        <v/>
      </c>
      <c r="I442" s="149">
        <f>IFERROR(IF(F442="","",IF(F442&gt;=C442/(1-SKU_Base!Z442)/(1-Settings!$B$17),"OK",IF(F442&gt;=C442/(1-SKU_Base!AG442)/(1-Settings!$B$17),"WARN","STOP"))),"")</f>
        <v/>
      </c>
      <c r="J442" s="158">
        <f>IFERROR(ROUND(D442*(1-CHOOSE(MATCH(IF($E442="","Основний",$E442),{"Трафіковий","Основний","Маржинальний","Сезонний","Стратегічний"},0),Settings!$C$78,Settings!$C$80,Settings!$C$82,Settings!$C$84,Settings!$C$86))/6,2)*6,"")</f>
        <v/>
      </c>
      <c r="K442" s="142">
        <f>IFERROR(CHOOSE(MATCH(IF($E442="","Основний",$E442),{"Трафіковий","Основний","Маржинальний","Сезонний","Стратегічний"},0),Settings!$C$78,Settings!$C$80,Settings!$C$82,Settings!$C$84,Settings!$C$86),"")</f>
        <v/>
      </c>
      <c r="L442" s="143">
        <f>IFERROR((J442*(1-Settings!$C$17)-C442)/(J442*(1-Settings!$C$17)),"")</f>
        <v/>
      </c>
      <c r="M442" s="149">
        <f>IFERROR(IF(J442="","",IF(J442&gt;=C442/(1-SKU_Base!AA442)/(1-Settings!$C$17),"OK",IF(J442&gt;=C442/(1-SKU_Base!AH442)/(1-Settings!$C$17),"WARN","STOP"))),"")</f>
        <v/>
      </c>
      <c r="N442" s="159">
        <f>IFERROR(ROUND(D442*(1-CHOOSE(MATCH(IF($E442="","Основний",$E442),{"Трафіковий","Основний","Маржинальний","Сезонний","Стратегічний"},0),Settings!$D$78,Settings!$D$80,Settings!$D$82,Settings!$D$84,Settings!$D$86))/6,2)*6,"")</f>
        <v/>
      </c>
      <c r="O442" s="142">
        <f>IFERROR(CHOOSE(MATCH(IF($E442="","Основний",$E442),{"Трафіковий","Основний","Маржинальний","Сезонний","Стратегічний"},0),Settings!$D$78,Settings!$D$80,Settings!$D$82,Settings!$D$84,Settings!$D$86),"")</f>
        <v/>
      </c>
      <c r="P442" s="143">
        <f>IFERROR((N442*(1-Settings!$D$17)-C442)/(N442*(1-Settings!$D$17)),"")</f>
        <v/>
      </c>
      <c r="Q442" s="149">
        <f>IFERROR(IF(N442="","",IF(N442&gt;=C442/(1-SKU_Base!AB442)/(1-Settings!$D$17),"OK",IF(N442&gt;=C442/(1-SKU_Base!AI442)/(1-Settings!$D$17),"WARN","STOP"))),"")</f>
        <v/>
      </c>
      <c r="R442" s="159">
        <f>IFERROR(ROUND(D442*(1-CHOOSE(MATCH(IF($E442="","Основний",$E442),{"Трафіковий","Основний","Маржинальний","Сезонний","Стратегічний"},0),Settings!$E$78,Settings!$E$80,Settings!$E$82,Settings!$E$84,Settings!$E$86))/6,2)*6,"")</f>
        <v/>
      </c>
      <c r="S442" s="142">
        <f>IFERROR(CHOOSE(MATCH(IF($E442="","Основний",$E442),{"Трафіковий","Основний","Маржинальний","Сезонний","Стратегічний"},0),Settings!$E$78,Settings!$E$80,Settings!$E$82,Settings!$E$84,Settings!$E$86),"")</f>
        <v/>
      </c>
      <c r="T442" s="143">
        <f>IFERROR((R442*(1-Settings!$E$17)-C442)/(R442*(1-Settings!$E$17)),"")</f>
        <v/>
      </c>
      <c r="U442" s="149">
        <f>IFERROR(IF(R442="","",IF(R442&gt;=C442/(1-SKU_Base!AC442)/(1-Settings!$E$17),"OK",IF(R442&gt;=C442/(1-SKU_Base!AJ442)/(1-Settings!$E$17),"WARN","STOP"))),"")</f>
        <v/>
      </c>
      <c r="V442" s="159">
        <f>IFERROR(ROUND(D442*(1-CHOOSE(MATCH(IF($E442="","Основний",$E442),{"Трафіковий","Основний","Маржинальний","Сезонний","Стратегічний"},0),Settings!$F$78,Settings!$F$80,Settings!$F$82,Settings!$F$84,Settings!$F$86))/6,2)*6,"")</f>
        <v/>
      </c>
      <c r="W442" s="142">
        <f>IFERROR(CHOOSE(MATCH(IF($E442="","Основний",$E442),{"Трафіковий","Основний","Маржинальний","Сезонний","Стратегічний"},0),Settings!$F$78,Settings!$F$80,Settings!$F$82,Settings!$F$84,Settings!$F$86),"")</f>
        <v/>
      </c>
      <c r="X442" s="143">
        <f>IFERROR((V442*(1-Settings!$F$17)-C442)/(V442*(1-Settings!$F$17)),"")</f>
        <v/>
      </c>
      <c r="Y442" s="149">
        <f>IFERROR(IF(V442="","",IF(V442&gt;=C442/(1-SKU_Base!AD442)/(1-Settings!$F$17),"OK",IF(V442&gt;=C442/(1-SKU_Base!AK442)/(1-Settings!$F$17),"WARN","STOP"))),"")</f>
        <v/>
      </c>
      <c r="Z442" s="159">
        <f>IFERROR(ROUND(D442*(1-CHOOSE(MATCH(IF($E442="","Основний",$E442),{"Трафіковий","Основний","Маржинальний","Сезонний","Стратегічний"},0),Settings!$G$78,Settings!$G$80,Settings!$G$82,Settings!$G$84,Settings!$G$86))/6,2)*6,"")</f>
        <v/>
      </c>
      <c r="AA442" s="142">
        <f>IFERROR(CHOOSE(MATCH(IF($E442="","Основний",$E442),{"Трафіковий","Основний","Маржинальний","Сезонний","Стратегічний"},0),Settings!$G$78,Settings!$G$80,Settings!$G$82,Settings!$G$84,Settings!$G$86),"")</f>
        <v/>
      </c>
      <c r="AB442" s="143">
        <f>IFERROR((Z442*(1-Settings!$G$17)-C442)/(Z442*(1-Settings!$G$17)),"")</f>
        <v/>
      </c>
      <c r="AC442" s="149">
        <f>IFERROR(IF(Z442="","",IF(Z442&gt;=C442/(1-SKU_Base!AE442)/(1-Settings!$G$17),"OK",IF(Z442&gt;=C442/(1-SKU_Base!AL442)/(1-Settings!$G$17),"WARN","STOP"))),"")</f>
        <v/>
      </c>
      <c r="AD442" s="159">
        <f>IFERROR(ROUND(D442*(1-CHOOSE(MATCH(IF($E442="","Основний",$E442),{"Трафіковий","Основний","Маржинальний","Сезонний","Стратегічний"},0),Settings!$H$78,Settings!$H$80,Settings!$H$82,Settings!$H$84,Settings!$H$86))*(1-Settings!$H$68)/6,2)*6,"")</f>
        <v/>
      </c>
      <c r="AE442" s="142">
        <f>IFERROR(CHOOSE(MATCH(IF($E442="","Основний",$E442),{"Трафіковий","Основний","Маржинальний","Сезонний","Стратегічний"},0),Settings!$H$78,Settings!$H$80,Settings!$H$82,Settings!$H$84,Settings!$H$86)+(1-(CHOOSE(MATCH(IF($E442="","Основний",$E442),{"Трафіковий","Основний","Маржинальний","Сезонний","Стратегічний"},0),Settings!$H$78,Settings!$H$80,Settings!$H$82,Settings!$H$84,Settings!$H$86)))*Settings!$H$68,"")</f>
        <v/>
      </c>
      <c r="AF442" s="143">
        <f>IFERROR((AD442*(1-Settings!$H$17)-C442)/(AD442*(1-Settings!$H$17)),"")</f>
        <v/>
      </c>
      <c r="AG442" s="150">
        <f>IFERROR(IF(AD442="","",IF(AD442&gt;=C442/(1-SKU_Base!AF442)/(1-Settings!$H$17),"OK",IF(AD442&gt;=C442/(1-SKU_Base!AM442)/(1-Settings!$H$17),"WARN","STOP"))),"")</f>
        <v/>
      </c>
    </row>
    <row r="443" ht="17" customHeight="1" s="179">
      <c r="A443" s="146">
        <f>SKU_Base!B443</f>
        <v/>
      </c>
      <c r="B443" s="146">
        <f>SKU_Base!C443</f>
        <v/>
      </c>
      <c r="C443" s="147">
        <f>IFERROR(SKU_Base!I443,"")</f>
        <v/>
      </c>
      <c r="D443" s="164">
        <f>IFERROR(SKU_Base!T443,"")</f>
        <v/>
      </c>
      <c r="E443" s="141">
        <f>IFERROR(SKU_Base!$U443,"")</f>
        <v/>
      </c>
      <c r="F443" s="160">
        <f>IFERROR(ROUND(D443*(1-CHOOSE(MATCH(IF($E443="","Основний",$E443),{"Трафіковий","Основний","Маржинальний","Сезонний","Стратегічний"},0),Settings!$B$78,Settings!$B$80,Settings!$B$82,Settings!$B$84,Settings!$B$86))/6,2)*6,"")</f>
        <v/>
      </c>
      <c r="G443" s="142">
        <f>IFERROR(CHOOSE(MATCH(IF($E443="","Основний",$E443),{"Трафіковий","Основний","Маржинальний","Сезонний","Стратегічний"},0),Settings!$B$78,Settings!$B$80,Settings!$B$82,Settings!$B$84,Settings!$B$86),"")</f>
        <v/>
      </c>
      <c r="H443" s="148">
        <f>IFERROR((F443*(1-Settings!$B$17)-C443)/(F443*(1-Settings!$B$17)),"")</f>
        <v/>
      </c>
      <c r="I443" s="150">
        <f>IFERROR(IF(F443="","",IF(F443&gt;=C443/(1-SKU_Base!Z443)/(1-Settings!$B$17),"OK",IF(F443&gt;=C443/(1-SKU_Base!AG443)/(1-Settings!$B$17),"WARN","STOP"))),"")</f>
        <v/>
      </c>
      <c r="J443" s="160">
        <f>IFERROR(ROUND(D443*(1-CHOOSE(MATCH(IF($E443="","Основний",$E443),{"Трафіковий","Основний","Маржинальний","Сезонний","Стратегічний"},0),Settings!$C$78,Settings!$C$80,Settings!$C$82,Settings!$C$84,Settings!$C$86))/6,2)*6,"")</f>
        <v/>
      </c>
      <c r="K443" s="142">
        <f>IFERROR(CHOOSE(MATCH(IF($E443="","Основний",$E443),{"Трафіковий","Основний","Маржинальний","Сезонний","Стратегічний"},0),Settings!$C$78,Settings!$C$80,Settings!$C$82,Settings!$C$84,Settings!$C$86),"")</f>
        <v/>
      </c>
      <c r="L443" s="148">
        <f>IFERROR((J443*(1-Settings!$C$17)-C443)/(J443*(1-Settings!$C$17)),"")</f>
        <v/>
      </c>
      <c r="M443" s="149">
        <f>IFERROR(IF(J443="","",IF(J443&gt;=C443/(1-SKU_Base!AA443)/(1-Settings!$C$17),"OK",IF(J443&gt;=C443/(1-SKU_Base!AH443)/(1-Settings!$C$17),"WARN","STOP"))),"")</f>
        <v/>
      </c>
      <c r="N443" s="161">
        <f>IFERROR(ROUND(D443*(1-CHOOSE(MATCH(IF($E443="","Основний",$E443),{"Трафіковий","Основний","Маржинальний","Сезонний","Стратегічний"},0),Settings!$D$78,Settings!$D$80,Settings!$D$82,Settings!$D$84,Settings!$D$86))/6,2)*6,"")</f>
        <v/>
      </c>
      <c r="O443" s="142">
        <f>IFERROR(CHOOSE(MATCH(IF($E443="","Основний",$E443),{"Трафіковий","Основний","Маржинальний","Сезонний","Стратегічний"},0),Settings!$D$78,Settings!$D$80,Settings!$D$82,Settings!$D$84,Settings!$D$86),"")</f>
        <v/>
      </c>
      <c r="P443" s="148">
        <f>IFERROR((N443*(1-Settings!$D$17)-C443)/(N443*(1-Settings!$D$17)),"")</f>
        <v/>
      </c>
      <c r="Q443" s="149">
        <f>IFERROR(IF(N443="","",IF(N443&gt;=C443/(1-SKU_Base!AB443)/(1-Settings!$D$17),"OK",IF(N443&gt;=C443/(1-SKU_Base!AI443)/(1-Settings!$D$17),"WARN","STOP"))),"")</f>
        <v/>
      </c>
      <c r="R443" s="161">
        <f>IFERROR(ROUND(D443*(1-CHOOSE(MATCH(IF($E443="","Основний",$E443),{"Трафіковий","Основний","Маржинальний","Сезонний","Стратегічний"},0),Settings!$E$78,Settings!$E$80,Settings!$E$82,Settings!$E$84,Settings!$E$86))/6,2)*6,"")</f>
        <v/>
      </c>
      <c r="S443" s="142">
        <f>IFERROR(CHOOSE(MATCH(IF($E443="","Основний",$E443),{"Трафіковий","Основний","Маржинальний","Сезонний","Стратегічний"},0),Settings!$E$78,Settings!$E$80,Settings!$E$82,Settings!$E$84,Settings!$E$86),"")</f>
        <v/>
      </c>
      <c r="T443" s="148">
        <f>IFERROR((R443*(1-Settings!$E$17)-C443)/(R443*(1-Settings!$E$17)),"")</f>
        <v/>
      </c>
      <c r="U443" s="149">
        <f>IFERROR(IF(R443="","",IF(R443&gt;=C443/(1-SKU_Base!AC443)/(1-Settings!$E$17),"OK",IF(R443&gt;=C443/(1-SKU_Base!AJ443)/(1-Settings!$E$17),"WARN","STOP"))),"")</f>
        <v/>
      </c>
      <c r="V443" s="161">
        <f>IFERROR(ROUND(D443*(1-CHOOSE(MATCH(IF($E443="","Основний",$E443),{"Трафіковий","Основний","Маржинальний","Сезонний","Стратегічний"},0),Settings!$F$78,Settings!$F$80,Settings!$F$82,Settings!$F$84,Settings!$F$86))/6,2)*6,"")</f>
        <v/>
      </c>
      <c r="W443" s="142">
        <f>IFERROR(CHOOSE(MATCH(IF($E443="","Основний",$E443),{"Трафіковий","Основний","Маржинальний","Сезонний","Стратегічний"},0),Settings!$F$78,Settings!$F$80,Settings!$F$82,Settings!$F$84,Settings!$F$86),"")</f>
        <v/>
      </c>
      <c r="X443" s="148">
        <f>IFERROR((V443*(1-Settings!$F$17)-C443)/(V443*(1-Settings!$F$17)),"")</f>
        <v/>
      </c>
      <c r="Y443" s="149">
        <f>IFERROR(IF(V443="","",IF(V443&gt;=C443/(1-SKU_Base!AD443)/(1-Settings!$F$17),"OK",IF(V443&gt;=C443/(1-SKU_Base!AK443)/(1-Settings!$F$17),"WARN","STOP"))),"")</f>
        <v/>
      </c>
      <c r="Z443" s="161">
        <f>IFERROR(ROUND(D443*(1-CHOOSE(MATCH(IF($E443="","Основний",$E443),{"Трафіковий","Основний","Маржинальний","Сезонний","Стратегічний"},0),Settings!$G$78,Settings!$G$80,Settings!$G$82,Settings!$G$84,Settings!$G$86))/6,2)*6,"")</f>
        <v/>
      </c>
      <c r="AA443" s="142">
        <f>IFERROR(CHOOSE(MATCH(IF($E443="","Основний",$E443),{"Трафіковий","Основний","Маржинальний","Сезонний","Стратегічний"},0),Settings!$G$78,Settings!$G$80,Settings!$G$82,Settings!$G$84,Settings!$G$86),"")</f>
        <v/>
      </c>
      <c r="AB443" s="148">
        <f>IFERROR((Z443*(1-Settings!$G$17)-C443)/(Z443*(1-Settings!$G$17)),"")</f>
        <v/>
      </c>
      <c r="AC443" s="149">
        <f>IFERROR(IF(Z443="","",IF(Z443&gt;=C443/(1-SKU_Base!AE443)/(1-Settings!$G$17),"OK",IF(Z443&gt;=C443/(1-SKU_Base!AL443)/(1-Settings!$G$17),"WARN","STOP"))),"")</f>
        <v/>
      </c>
      <c r="AD443" s="161">
        <f>IFERROR(ROUND(D443*(1-CHOOSE(MATCH(IF($E443="","Основний",$E443),{"Трафіковий","Основний","Маржинальний","Сезонний","Стратегічний"},0),Settings!$H$78,Settings!$H$80,Settings!$H$82,Settings!$H$84,Settings!$H$86))*(1-Settings!$H$68)/6,2)*6,"")</f>
        <v/>
      </c>
      <c r="AE443" s="142">
        <f>IFERROR(CHOOSE(MATCH(IF($E443="","Основний",$E443),{"Трафіковий","Основний","Маржинальний","Сезонний","Стратегічний"},0),Settings!$H$78,Settings!$H$80,Settings!$H$82,Settings!$H$84,Settings!$H$86)+(1-(CHOOSE(MATCH(IF($E443="","Основний",$E443),{"Трафіковий","Основний","Маржинальний","Сезонний","Стратегічний"},0),Settings!$H$78,Settings!$H$80,Settings!$H$82,Settings!$H$84,Settings!$H$86)))*Settings!$H$68,"")</f>
        <v/>
      </c>
      <c r="AF443" s="148">
        <f>IFERROR((AD443*(1-Settings!$H$17)-C443)/(AD443*(1-Settings!$H$17)),"")</f>
        <v/>
      </c>
      <c r="AG443" s="150">
        <f>IFERROR(IF(AD443="","",IF(AD443&gt;=C443/(1-SKU_Base!AF443)/(1-Settings!$H$17),"OK",IF(AD443&gt;=C443/(1-SKU_Base!AM443)/(1-Settings!$H$17),"WARN","STOP"))),"")</f>
        <v/>
      </c>
    </row>
    <row r="444" ht="17" customHeight="1" s="179">
      <c r="A444" s="139">
        <f>SKU_Base!B444</f>
        <v/>
      </c>
      <c r="B444" s="139">
        <f>SKU_Base!C444</f>
        <v/>
      </c>
      <c r="C444" s="140">
        <f>IFERROR(SKU_Base!I444,"")</f>
        <v/>
      </c>
      <c r="D444" s="163">
        <f>IFERROR(SKU_Base!T444,"")</f>
        <v/>
      </c>
      <c r="E444" s="141">
        <f>IFERROR(SKU_Base!$U444,"")</f>
        <v/>
      </c>
      <c r="F444" s="158">
        <f>IFERROR(ROUND(D444*(1-CHOOSE(MATCH(IF($E444="","Основний",$E444),{"Трафіковий","Основний","Маржинальний","Сезонний","Стратегічний"},0),Settings!$B$78,Settings!$B$80,Settings!$B$82,Settings!$B$84,Settings!$B$86))/6,2)*6,"")</f>
        <v/>
      </c>
      <c r="G444" s="142">
        <f>IFERROR(CHOOSE(MATCH(IF($E444="","Основний",$E444),{"Трафіковий","Основний","Маржинальний","Сезонний","Стратегічний"},0),Settings!$B$78,Settings!$B$80,Settings!$B$82,Settings!$B$84,Settings!$B$86),"")</f>
        <v/>
      </c>
      <c r="H444" s="143">
        <f>IFERROR((F444*(1-Settings!$B$17)-C444)/(F444*(1-Settings!$B$17)),"")</f>
        <v/>
      </c>
      <c r="I444" s="149">
        <f>IFERROR(IF(F444="","",IF(F444&gt;=C444/(1-SKU_Base!Z444)/(1-Settings!$B$17),"OK",IF(F444&gt;=C444/(1-SKU_Base!AG444)/(1-Settings!$B$17),"WARN","STOP"))),"")</f>
        <v/>
      </c>
      <c r="J444" s="158">
        <f>IFERROR(ROUND(D444*(1-CHOOSE(MATCH(IF($E444="","Основний",$E444),{"Трафіковий","Основний","Маржинальний","Сезонний","Стратегічний"},0),Settings!$C$78,Settings!$C$80,Settings!$C$82,Settings!$C$84,Settings!$C$86))/6,2)*6,"")</f>
        <v/>
      </c>
      <c r="K444" s="142">
        <f>IFERROR(CHOOSE(MATCH(IF($E444="","Основний",$E444),{"Трафіковий","Основний","Маржинальний","Сезонний","Стратегічний"},0),Settings!$C$78,Settings!$C$80,Settings!$C$82,Settings!$C$84,Settings!$C$86),"")</f>
        <v/>
      </c>
      <c r="L444" s="143">
        <f>IFERROR((J444*(1-Settings!$C$17)-C444)/(J444*(1-Settings!$C$17)),"")</f>
        <v/>
      </c>
      <c r="M444" s="149">
        <f>IFERROR(IF(J444="","",IF(J444&gt;=C444/(1-SKU_Base!AA444)/(1-Settings!$C$17),"OK",IF(J444&gt;=C444/(1-SKU_Base!AH444)/(1-Settings!$C$17),"WARN","STOP"))),"")</f>
        <v/>
      </c>
      <c r="N444" s="159">
        <f>IFERROR(ROUND(D444*(1-CHOOSE(MATCH(IF($E444="","Основний",$E444),{"Трафіковий","Основний","Маржинальний","Сезонний","Стратегічний"},0),Settings!$D$78,Settings!$D$80,Settings!$D$82,Settings!$D$84,Settings!$D$86))/6,2)*6,"")</f>
        <v/>
      </c>
      <c r="O444" s="142">
        <f>IFERROR(CHOOSE(MATCH(IF($E444="","Основний",$E444),{"Трафіковий","Основний","Маржинальний","Сезонний","Стратегічний"},0),Settings!$D$78,Settings!$D$80,Settings!$D$82,Settings!$D$84,Settings!$D$86),"")</f>
        <v/>
      </c>
      <c r="P444" s="143">
        <f>IFERROR((N444*(1-Settings!$D$17)-C444)/(N444*(1-Settings!$D$17)),"")</f>
        <v/>
      </c>
      <c r="Q444" s="149">
        <f>IFERROR(IF(N444="","",IF(N444&gt;=C444/(1-SKU_Base!AB444)/(1-Settings!$D$17),"OK",IF(N444&gt;=C444/(1-SKU_Base!AI444)/(1-Settings!$D$17),"WARN","STOP"))),"")</f>
        <v/>
      </c>
      <c r="R444" s="159">
        <f>IFERROR(ROUND(D444*(1-CHOOSE(MATCH(IF($E444="","Основний",$E444),{"Трафіковий","Основний","Маржинальний","Сезонний","Стратегічний"},0),Settings!$E$78,Settings!$E$80,Settings!$E$82,Settings!$E$84,Settings!$E$86))/6,2)*6,"")</f>
        <v/>
      </c>
      <c r="S444" s="142">
        <f>IFERROR(CHOOSE(MATCH(IF($E444="","Основний",$E444),{"Трафіковий","Основний","Маржинальний","Сезонний","Стратегічний"},0),Settings!$E$78,Settings!$E$80,Settings!$E$82,Settings!$E$84,Settings!$E$86),"")</f>
        <v/>
      </c>
      <c r="T444" s="143">
        <f>IFERROR((R444*(1-Settings!$E$17)-C444)/(R444*(1-Settings!$E$17)),"")</f>
        <v/>
      </c>
      <c r="U444" s="149">
        <f>IFERROR(IF(R444="","",IF(R444&gt;=C444/(1-SKU_Base!AC444)/(1-Settings!$E$17),"OK",IF(R444&gt;=C444/(1-SKU_Base!AJ444)/(1-Settings!$E$17),"WARN","STOP"))),"")</f>
        <v/>
      </c>
      <c r="V444" s="159">
        <f>IFERROR(ROUND(D444*(1-CHOOSE(MATCH(IF($E444="","Основний",$E444),{"Трафіковий","Основний","Маржинальний","Сезонний","Стратегічний"},0),Settings!$F$78,Settings!$F$80,Settings!$F$82,Settings!$F$84,Settings!$F$86))/6,2)*6,"")</f>
        <v/>
      </c>
      <c r="W444" s="142">
        <f>IFERROR(CHOOSE(MATCH(IF($E444="","Основний",$E444),{"Трафіковий","Основний","Маржинальний","Сезонний","Стратегічний"},0),Settings!$F$78,Settings!$F$80,Settings!$F$82,Settings!$F$84,Settings!$F$86),"")</f>
        <v/>
      </c>
      <c r="X444" s="143">
        <f>IFERROR((V444*(1-Settings!$F$17)-C444)/(V444*(1-Settings!$F$17)),"")</f>
        <v/>
      </c>
      <c r="Y444" s="149">
        <f>IFERROR(IF(V444="","",IF(V444&gt;=C444/(1-SKU_Base!AD444)/(1-Settings!$F$17),"OK",IF(V444&gt;=C444/(1-SKU_Base!AK444)/(1-Settings!$F$17),"WARN","STOP"))),"")</f>
        <v/>
      </c>
      <c r="Z444" s="159">
        <f>IFERROR(ROUND(D444*(1-CHOOSE(MATCH(IF($E444="","Основний",$E444),{"Трафіковий","Основний","Маржинальний","Сезонний","Стратегічний"},0),Settings!$G$78,Settings!$G$80,Settings!$G$82,Settings!$G$84,Settings!$G$86))/6,2)*6,"")</f>
        <v/>
      </c>
      <c r="AA444" s="142">
        <f>IFERROR(CHOOSE(MATCH(IF($E444="","Основний",$E444),{"Трафіковий","Основний","Маржинальний","Сезонний","Стратегічний"},0),Settings!$G$78,Settings!$G$80,Settings!$G$82,Settings!$G$84,Settings!$G$86),"")</f>
        <v/>
      </c>
      <c r="AB444" s="143">
        <f>IFERROR((Z444*(1-Settings!$G$17)-C444)/(Z444*(1-Settings!$G$17)),"")</f>
        <v/>
      </c>
      <c r="AC444" s="149">
        <f>IFERROR(IF(Z444="","",IF(Z444&gt;=C444/(1-SKU_Base!AE444)/(1-Settings!$G$17),"OK",IF(Z444&gt;=C444/(1-SKU_Base!AL444)/(1-Settings!$G$17),"WARN","STOP"))),"")</f>
        <v/>
      </c>
      <c r="AD444" s="159">
        <f>IFERROR(ROUND(D444*(1-CHOOSE(MATCH(IF($E444="","Основний",$E444),{"Трафіковий","Основний","Маржинальний","Сезонний","Стратегічний"},0),Settings!$H$78,Settings!$H$80,Settings!$H$82,Settings!$H$84,Settings!$H$86))*(1-Settings!$H$68)/6,2)*6,"")</f>
        <v/>
      </c>
      <c r="AE444" s="142">
        <f>IFERROR(CHOOSE(MATCH(IF($E444="","Основний",$E444),{"Трафіковий","Основний","Маржинальний","Сезонний","Стратегічний"},0),Settings!$H$78,Settings!$H$80,Settings!$H$82,Settings!$H$84,Settings!$H$86)+(1-(CHOOSE(MATCH(IF($E444="","Основний",$E444),{"Трафіковий","Основний","Маржинальний","Сезонний","Стратегічний"},0),Settings!$H$78,Settings!$H$80,Settings!$H$82,Settings!$H$84,Settings!$H$86)))*Settings!$H$68,"")</f>
        <v/>
      </c>
      <c r="AF444" s="143">
        <f>IFERROR((AD444*(1-Settings!$H$17)-C444)/(AD444*(1-Settings!$H$17)),"")</f>
        <v/>
      </c>
      <c r="AG444" s="150">
        <f>IFERROR(IF(AD444="","",IF(AD444&gt;=C444/(1-SKU_Base!AF444)/(1-Settings!$H$17),"OK",IF(AD444&gt;=C444/(1-SKU_Base!AM444)/(1-Settings!$H$17),"WARN","STOP"))),"")</f>
        <v/>
      </c>
    </row>
    <row r="445" ht="17" customHeight="1" s="179">
      <c r="A445" s="146">
        <f>SKU_Base!B445</f>
        <v/>
      </c>
      <c r="B445" s="146">
        <f>SKU_Base!C445</f>
        <v/>
      </c>
      <c r="C445" s="147">
        <f>IFERROR(SKU_Base!I445,"")</f>
        <v/>
      </c>
      <c r="D445" s="164">
        <f>IFERROR(SKU_Base!T445,"")</f>
        <v/>
      </c>
      <c r="E445" s="141">
        <f>IFERROR(SKU_Base!$U445,"")</f>
        <v/>
      </c>
      <c r="F445" s="160">
        <f>IFERROR(ROUND(D445*(1-CHOOSE(MATCH(IF($E445="","Основний",$E445),{"Трафіковий","Основний","Маржинальний","Сезонний","Стратегічний"},0),Settings!$B$78,Settings!$B$80,Settings!$B$82,Settings!$B$84,Settings!$B$86))/6,2)*6,"")</f>
        <v/>
      </c>
      <c r="G445" s="142">
        <f>IFERROR(CHOOSE(MATCH(IF($E445="","Основний",$E445),{"Трафіковий","Основний","Маржинальний","Сезонний","Стратегічний"},0),Settings!$B$78,Settings!$B$80,Settings!$B$82,Settings!$B$84,Settings!$B$86),"")</f>
        <v/>
      </c>
      <c r="H445" s="148">
        <f>IFERROR((F445*(1-Settings!$B$17)-C445)/(F445*(1-Settings!$B$17)),"")</f>
        <v/>
      </c>
      <c r="I445" s="149">
        <f>IFERROR(IF(F445="","",IF(F445&gt;=C445/(1-SKU_Base!Z445)/(1-Settings!$B$17),"OK",IF(F445&gt;=C445/(1-SKU_Base!AG445)/(1-Settings!$B$17),"WARN","STOP"))),"")</f>
        <v/>
      </c>
      <c r="J445" s="160">
        <f>IFERROR(ROUND(D445*(1-CHOOSE(MATCH(IF($E445="","Основний",$E445),{"Трафіковий","Основний","Маржинальний","Сезонний","Стратегічний"},0),Settings!$C$78,Settings!$C$80,Settings!$C$82,Settings!$C$84,Settings!$C$86))/6,2)*6,"")</f>
        <v/>
      </c>
      <c r="K445" s="142">
        <f>IFERROR(CHOOSE(MATCH(IF($E445="","Основний",$E445),{"Трафіковий","Основний","Маржинальний","Сезонний","Стратегічний"},0),Settings!$C$78,Settings!$C$80,Settings!$C$82,Settings!$C$84,Settings!$C$86),"")</f>
        <v/>
      </c>
      <c r="L445" s="148">
        <f>IFERROR((J445*(1-Settings!$C$17)-C445)/(J445*(1-Settings!$C$17)),"")</f>
        <v/>
      </c>
      <c r="M445" s="149">
        <f>IFERROR(IF(J445="","",IF(J445&gt;=C445/(1-SKU_Base!AA445)/(1-Settings!$C$17),"OK",IF(J445&gt;=C445/(1-SKU_Base!AH445)/(1-Settings!$C$17),"WARN","STOP"))),"")</f>
        <v/>
      </c>
      <c r="N445" s="161">
        <f>IFERROR(ROUND(D445*(1-CHOOSE(MATCH(IF($E445="","Основний",$E445),{"Трафіковий","Основний","Маржинальний","Сезонний","Стратегічний"},0),Settings!$D$78,Settings!$D$80,Settings!$D$82,Settings!$D$84,Settings!$D$86))/6,2)*6,"")</f>
        <v/>
      </c>
      <c r="O445" s="142">
        <f>IFERROR(CHOOSE(MATCH(IF($E445="","Основний",$E445),{"Трафіковий","Основний","Маржинальний","Сезонний","Стратегічний"},0),Settings!$D$78,Settings!$D$80,Settings!$D$82,Settings!$D$84,Settings!$D$86),"")</f>
        <v/>
      </c>
      <c r="P445" s="148">
        <f>IFERROR((N445*(1-Settings!$D$17)-C445)/(N445*(1-Settings!$D$17)),"")</f>
        <v/>
      </c>
      <c r="Q445" s="149">
        <f>IFERROR(IF(N445="","",IF(N445&gt;=C445/(1-SKU_Base!AB445)/(1-Settings!$D$17),"OK",IF(N445&gt;=C445/(1-SKU_Base!AI445)/(1-Settings!$D$17),"WARN","STOP"))),"")</f>
        <v/>
      </c>
      <c r="R445" s="161">
        <f>IFERROR(ROUND(D445*(1-CHOOSE(MATCH(IF($E445="","Основний",$E445),{"Трафіковий","Основний","Маржинальний","Сезонний","Стратегічний"},0),Settings!$E$78,Settings!$E$80,Settings!$E$82,Settings!$E$84,Settings!$E$86))/6,2)*6,"")</f>
        <v/>
      </c>
      <c r="S445" s="142">
        <f>IFERROR(CHOOSE(MATCH(IF($E445="","Основний",$E445),{"Трафіковий","Основний","Маржинальний","Сезонний","Стратегічний"},0),Settings!$E$78,Settings!$E$80,Settings!$E$82,Settings!$E$84,Settings!$E$86),"")</f>
        <v/>
      </c>
      <c r="T445" s="148">
        <f>IFERROR((R445*(1-Settings!$E$17)-C445)/(R445*(1-Settings!$E$17)),"")</f>
        <v/>
      </c>
      <c r="U445" s="149">
        <f>IFERROR(IF(R445="","",IF(R445&gt;=C445/(1-SKU_Base!AC445)/(1-Settings!$E$17),"OK",IF(R445&gt;=C445/(1-SKU_Base!AJ445)/(1-Settings!$E$17),"WARN","STOP"))),"")</f>
        <v/>
      </c>
      <c r="V445" s="161">
        <f>IFERROR(ROUND(D445*(1-CHOOSE(MATCH(IF($E445="","Основний",$E445),{"Трафіковий","Основний","Маржинальний","Сезонний","Стратегічний"},0),Settings!$F$78,Settings!$F$80,Settings!$F$82,Settings!$F$84,Settings!$F$86))/6,2)*6,"")</f>
        <v/>
      </c>
      <c r="W445" s="142">
        <f>IFERROR(CHOOSE(MATCH(IF($E445="","Основний",$E445),{"Трафіковий","Основний","Маржинальний","Сезонний","Стратегічний"},0),Settings!$F$78,Settings!$F$80,Settings!$F$82,Settings!$F$84,Settings!$F$86),"")</f>
        <v/>
      </c>
      <c r="X445" s="148">
        <f>IFERROR((V445*(1-Settings!$F$17)-C445)/(V445*(1-Settings!$F$17)),"")</f>
        <v/>
      </c>
      <c r="Y445" s="149">
        <f>IFERROR(IF(V445="","",IF(V445&gt;=C445/(1-SKU_Base!AD445)/(1-Settings!$F$17),"OK",IF(V445&gt;=C445/(1-SKU_Base!AK445)/(1-Settings!$F$17),"WARN","STOP"))),"")</f>
        <v/>
      </c>
      <c r="Z445" s="161">
        <f>IFERROR(ROUND(D445*(1-CHOOSE(MATCH(IF($E445="","Основний",$E445),{"Трафіковий","Основний","Маржинальний","Сезонний","Стратегічний"},0),Settings!$G$78,Settings!$G$80,Settings!$G$82,Settings!$G$84,Settings!$G$86))/6,2)*6,"")</f>
        <v/>
      </c>
      <c r="AA445" s="142">
        <f>IFERROR(CHOOSE(MATCH(IF($E445="","Основний",$E445),{"Трафіковий","Основний","Маржинальний","Сезонний","Стратегічний"},0),Settings!$G$78,Settings!$G$80,Settings!$G$82,Settings!$G$84,Settings!$G$86),"")</f>
        <v/>
      </c>
      <c r="AB445" s="148">
        <f>IFERROR((Z445*(1-Settings!$G$17)-C445)/(Z445*(1-Settings!$G$17)),"")</f>
        <v/>
      </c>
      <c r="AC445" s="149">
        <f>IFERROR(IF(Z445="","",IF(Z445&gt;=C445/(1-SKU_Base!AE445)/(1-Settings!$G$17),"OK",IF(Z445&gt;=C445/(1-SKU_Base!AL445)/(1-Settings!$G$17),"WARN","STOP"))),"")</f>
        <v/>
      </c>
      <c r="AD445" s="161">
        <f>IFERROR(ROUND(D445*(1-CHOOSE(MATCH(IF($E445="","Основний",$E445),{"Трафіковий","Основний","Маржинальний","Сезонний","Стратегічний"},0),Settings!$H$78,Settings!$H$80,Settings!$H$82,Settings!$H$84,Settings!$H$86))*(1-Settings!$H$68)/6,2)*6,"")</f>
        <v/>
      </c>
      <c r="AE445" s="142">
        <f>IFERROR(CHOOSE(MATCH(IF($E445="","Основний",$E445),{"Трафіковий","Основний","Маржинальний","Сезонний","Стратегічний"},0),Settings!$H$78,Settings!$H$80,Settings!$H$82,Settings!$H$84,Settings!$H$86)+(1-(CHOOSE(MATCH(IF($E445="","Основний",$E445),{"Трафіковий","Основний","Маржинальний","Сезонний","Стратегічний"},0),Settings!$H$78,Settings!$H$80,Settings!$H$82,Settings!$H$84,Settings!$H$86)))*Settings!$H$68,"")</f>
        <v/>
      </c>
      <c r="AF445" s="148">
        <f>IFERROR((AD445*(1-Settings!$H$17)-C445)/(AD445*(1-Settings!$H$17)),"")</f>
        <v/>
      </c>
      <c r="AG445" s="150">
        <f>IFERROR(IF(AD445="","",IF(AD445&gt;=C445/(1-SKU_Base!AF445)/(1-Settings!$H$17),"OK",IF(AD445&gt;=C445/(1-SKU_Base!AM445)/(1-Settings!$H$17),"WARN","STOP"))),"")</f>
        <v/>
      </c>
    </row>
    <row r="446" ht="17" customHeight="1" s="179">
      <c r="A446" s="139">
        <f>SKU_Base!B446</f>
        <v/>
      </c>
      <c r="B446" s="139">
        <f>SKU_Base!C446</f>
        <v/>
      </c>
      <c r="C446" s="140">
        <f>IFERROR(SKU_Base!I446,"")</f>
        <v/>
      </c>
      <c r="D446" s="163">
        <f>IFERROR(SKU_Base!T446,"")</f>
        <v/>
      </c>
      <c r="E446" s="141">
        <f>IFERROR(SKU_Base!$U446,"")</f>
        <v/>
      </c>
      <c r="F446" s="158">
        <f>IFERROR(ROUND(D446*(1-CHOOSE(MATCH(IF($E446="","Основний",$E446),{"Трафіковий","Основний","Маржинальний","Сезонний","Стратегічний"},0),Settings!$B$78,Settings!$B$80,Settings!$B$82,Settings!$B$84,Settings!$B$86))/6,2)*6,"")</f>
        <v/>
      </c>
      <c r="G446" s="142">
        <f>IFERROR(CHOOSE(MATCH(IF($E446="","Основний",$E446),{"Трафіковий","Основний","Маржинальний","Сезонний","Стратегічний"},0),Settings!$B$78,Settings!$B$80,Settings!$B$82,Settings!$B$84,Settings!$B$86),"")</f>
        <v/>
      </c>
      <c r="H446" s="143">
        <f>IFERROR((F446*(1-Settings!$B$17)-C446)/(F446*(1-Settings!$B$17)),"")</f>
        <v/>
      </c>
      <c r="I446" s="149">
        <f>IFERROR(IF(F446="","",IF(F446&gt;=C446/(1-SKU_Base!Z446)/(1-Settings!$B$17),"OK",IF(F446&gt;=C446/(1-SKU_Base!AG446)/(1-Settings!$B$17),"WARN","STOP"))),"")</f>
        <v/>
      </c>
      <c r="J446" s="158">
        <f>IFERROR(ROUND(D446*(1-CHOOSE(MATCH(IF($E446="","Основний",$E446),{"Трафіковий","Основний","Маржинальний","Сезонний","Стратегічний"},0),Settings!$C$78,Settings!$C$80,Settings!$C$82,Settings!$C$84,Settings!$C$86))/6,2)*6,"")</f>
        <v/>
      </c>
      <c r="K446" s="142">
        <f>IFERROR(CHOOSE(MATCH(IF($E446="","Основний",$E446),{"Трафіковий","Основний","Маржинальний","Сезонний","Стратегічний"},0),Settings!$C$78,Settings!$C$80,Settings!$C$82,Settings!$C$84,Settings!$C$86),"")</f>
        <v/>
      </c>
      <c r="L446" s="143">
        <f>IFERROR((J446*(1-Settings!$C$17)-C446)/(J446*(1-Settings!$C$17)),"")</f>
        <v/>
      </c>
      <c r="M446" s="149">
        <f>IFERROR(IF(J446="","",IF(J446&gt;=C446/(1-SKU_Base!AA446)/(1-Settings!$C$17),"OK",IF(J446&gt;=C446/(1-SKU_Base!AH446)/(1-Settings!$C$17),"WARN","STOP"))),"")</f>
        <v/>
      </c>
      <c r="N446" s="159">
        <f>IFERROR(ROUND(D446*(1-CHOOSE(MATCH(IF($E446="","Основний",$E446),{"Трафіковий","Основний","Маржинальний","Сезонний","Стратегічний"},0),Settings!$D$78,Settings!$D$80,Settings!$D$82,Settings!$D$84,Settings!$D$86))/6,2)*6,"")</f>
        <v/>
      </c>
      <c r="O446" s="142">
        <f>IFERROR(CHOOSE(MATCH(IF($E446="","Основний",$E446),{"Трафіковий","Основний","Маржинальний","Сезонний","Стратегічний"},0),Settings!$D$78,Settings!$D$80,Settings!$D$82,Settings!$D$84,Settings!$D$86),"")</f>
        <v/>
      </c>
      <c r="P446" s="143">
        <f>IFERROR((N446*(1-Settings!$D$17)-C446)/(N446*(1-Settings!$D$17)),"")</f>
        <v/>
      </c>
      <c r="Q446" s="149">
        <f>IFERROR(IF(N446="","",IF(N446&gt;=C446/(1-SKU_Base!AB446)/(1-Settings!$D$17),"OK",IF(N446&gt;=C446/(1-SKU_Base!AI446)/(1-Settings!$D$17),"WARN","STOP"))),"")</f>
        <v/>
      </c>
      <c r="R446" s="159">
        <f>IFERROR(ROUND(D446*(1-CHOOSE(MATCH(IF($E446="","Основний",$E446),{"Трафіковий","Основний","Маржинальний","Сезонний","Стратегічний"},0),Settings!$E$78,Settings!$E$80,Settings!$E$82,Settings!$E$84,Settings!$E$86))/6,2)*6,"")</f>
        <v/>
      </c>
      <c r="S446" s="142">
        <f>IFERROR(CHOOSE(MATCH(IF($E446="","Основний",$E446),{"Трафіковий","Основний","Маржинальний","Сезонний","Стратегічний"},0),Settings!$E$78,Settings!$E$80,Settings!$E$82,Settings!$E$84,Settings!$E$86),"")</f>
        <v/>
      </c>
      <c r="T446" s="143">
        <f>IFERROR((R446*(1-Settings!$E$17)-C446)/(R446*(1-Settings!$E$17)),"")</f>
        <v/>
      </c>
      <c r="U446" s="149">
        <f>IFERROR(IF(R446="","",IF(R446&gt;=C446/(1-SKU_Base!AC446)/(1-Settings!$E$17),"OK",IF(R446&gt;=C446/(1-SKU_Base!AJ446)/(1-Settings!$E$17),"WARN","STOP"))),"")</f>
        <v/>
      </c>
      <c r="V446" s="159">
        <f>IFERROR(ROUND(D446*(1-CHOOSE(MATCH(IF($E446="","Основний",$E446),{"Трафіковий","Основний","Маржинальний","Сезонний","Стратегічний"},0),Settings!$F$78,Settings!$F$80,Settings!$F$82,Settings!$F$84,Settings!$F$86))/6,2)*6,"")</f>
        <v/>
      </c>
      <c r="W446" s="142">
        <f>IFERROR(CHOOSE(MATCH(IF($E446="","Основний",$E446),{"Трафіковий","Основний","Маржинальний","Сезонний","Стратегічний"},0),Settings!$F$78,Settings!$F$80,Settings!$F$82,Settings!$F$84,Settings!$F$86),"")</f>
        <v/>
      </c>
      <c r="X446" s="143">
        <f>IFERROR((V446*(1-Settings!$F$17)-C446)/(V446*(1-Settings!$F$17)),"")</f>
        <v/>
      </c>
      <c r="Y446" s="149">
        <f>IFERROR(IF(V446="","",IF(V446&gt;=C446/(1-SKU_Base!AD446)/(1-Settings!$F$17),"OK",IF(V446&gt;=C446/(1-SKU_Base!AK446)/(1-Settings!$F$17),"WARN","STOP"))),"")</f>
        <v/>
      </c>
      <c r="Z446" s="159">
        <f>IFERROR(ROUND(D446*(1-CHOOSE(MATCH(IF($E446="","Основний",$E446),{"Трафіковий","Основний","Маржинальний","Сезонний","Стратегічний"},0),Settings!$G$78,Settings!$G$80,Settings!$G$82,Settings!$G$84,Settings!$G$86))/6,2)*6,"")</f>
        <v/>
      </c>
      <c r="AA446" s="142">
        <f>IFERROR(CHOOSE(MATCH(IF($E446="","Основний",$E446),{"Трафіковий","Основний","Маржинальний","Сезонний","Стратегічний"},0),Settings!$G$78,Settings!$G$80,Settings!$G$82,Settings!$G$84,Settings!$G$86),"")</f>
        <v/>
      </c>
      <c r="AB446" s="143">
        <f>IFERROR((Z446*(1-Settings!$G$17)-C446)/(Z446*(1-Settings!$G$17)),"")</f>
        <v/>
      </c>
      <c r="AC446" s="149">
        <f>IFERROR(IF(Z446="","",IF(Z446&gt;=C446/(1-SKU_Base!AE446)/(1-Settings!$G$17),"OK",IF(Z446&gt;=C446/(1-SKU_Base!AL446)/(1-Settings!$G$17),"WARN","STOP"))),"")</f>
        <v/>
      </c>
      <c r="AD446" s="159">
        <f>IFERROR(ROUND(D446*(1-CHOOSE(MATCH(IF($E446="","Основний",$E446),{"Трафіковий","Основний","Маржинальний","Сезонний","Стратегічний"},0),Settings!$H$78,Settings!$H$80,Settings!$H$82,Settings!$H$84,Settings!$H$86))*(1-Settings!$H$68)/6,2)*6,"")</f>
        <v/>
      </c>
      <c r="AE446" s="142">
        <f>IFERROR(CHOOSE(MATCH(IF($E446="","Основний",$E446),{"Трафіковий","Основний","Маржинальний","Сезонний","Стратегічний"},0),Settings!$H$78,Settings!$H$80,Settings!$H$82,Settings!$H$84,Settings!$H$86)+(1-(CHOOSE(MATCH(IF($E446="","Основний",$E446),{"Трафіковий","Основний","Маржинальний","Сезонний","Стратегічний"},0),Settings!$H$78,Settings!$H$80,Settings!$H$82,Settings!$H$84,Settings!$H$86)))*Settings!$H$68,"")</f>
        <v/>
      </c>
      <c r="AF446" s="143">
        <f>IFERROR((AD446*(1-Settings!$H$17)-C446)/(AD446*(1-Settings!$H$17)),"")</f>
        <v/>
      </c>
      <c r="AG446" s="150">
        <f>IFERROR(IF(AD446="","",IF(AD446&gt;=C446/(1-SKU_Base!AF446)/(1-Settings!$H$17),"OK",IF(AD446&gt;=C446/(1-SKU_Base!AM446)/(1-Settings!$H$17),"WARN","STOP"))),"")</f>
        <v/>
      </c>
    </row>
    <row r="447" ht="17" customHeight="1" s="179">
      <c r="A447" s="146">
        <f>SKU_Base!B447</f>
        <v/>
      </c>
      <c r="B447" s="146">
        <f>SKU_Base!C447</f>
        <v/>
      </c>
      <c r="C447" s="147">
        <f>IFERROR(SKU_Base!I447,"")</f>
        <v/>
      </c>
      <c r="D447" s="164">
        <f>IFERROR(SKU_Base!T447,"")</f>
        <v/>
      </c>
      <c r="E447" s="141">
        <f>IFERROR(SKU_Base!$U447,"")</f>
        <v/>
      </c>
      <c r="F447" s="160">
        <f>IFERROR(ROUND(D447*(1-CHOOSE(MATCH(IF($E447="","Основний",$E447),{"Трафіковий","Основний","Маржинальний","Сезонний","Стратегічний"},0),Settings!$B$78,Settings!$B$80,Settings!$B$82,Settings!$B$84,Settings!$B$86))/6,2)*6,"")</f>
        <v/>
      </c>
      <c r="G447" s="142">
        <f>IFERROR(CHOOSE(MATCH(IF($E447="","Основний",$E447),{"Трафіковий","Основний","Маржинальний","Сезонний","Стратегічний"},0),Settings!$B$78,Settings!$B$80,Settings!$B$82,Settings!$B$84,Settings!$B$86),"")</f>
        <v/>
      </c>
      <c r="H447" s="148">
        <f>IFERROR((F447*(1-Settings!$B$17)-C447)/(F447*(1-Settings!$B$17)),"")</f>
        <v/>
      </c>
      <c r="I447" s="149">
        <f>IFERROR(IF(F447="","",IF(F447&gt;=C447/(1-SKU_Base!Z447)/(1-Settings!$B$17),"OK",IF(F447&gt;=C447/(1-SKU_Base!AG447)/(1-Settings!$B$17),"WARN","STOP"))),"")</f>
        <v/>
      </c>
      <c r="J447" s="160">
        <f>IFERROR(ROUND(D447*(1-CHOOSE(MATCH(IF($E447="","Основний",$E447),{"Трафіковий","Основний","Маржинальний","Сезонний","Стратегічний"},0),Settings!$C$78,Settings!$C$80,Settings!$C$82,Settings!$C$84,Settings!$C$86))/6,2)*6,"")</f>
        <v/>
      </c>
      <c r="K447" s="142">
        <f>IFERROR(CHOOSE(MATCH(IF($E447="","Основний",$E447),{"Трафіковий","Основний","Маржинальний","Сезонний","Стратегічний"},0),Settings!$C$78,Settings!$C$80,Settings!$C$82,Settings!$C$84,Settings!$C$86),"")</f>
        <v/>
      </c>
      <c r="L447" s="148">
        <f>IFERROR((J447*(1-Settings!$C$17)-C447)/(J447*(1-Settings!$C$17)),"")</f>
        <v/>
      </c>
      <c r="M447" s="149">
        <f>IFERROR(IF(J447="","",IF(J447&gt;=C447/(1-SKU_Base!AA447)/(1-Settings!$C$17),"OK",IF(J447&gt;=C447/(1-SKU_Base!AH447)/(1-Settings!$C$17),"WARN","STOP"))),"")</f>
        <v/>
      </c>
      <c r="N447" s="161">
        <f>IFERROR(ROUND(D447*(1-CHOOSE(MATCH(IF($E447="","Основний",$E447),{"Трафіковий","Основний","Маржинальний","Сезонний","Стратегічний"},0),Settings!$D$78,Settings!$D$80,Settings!$D$82,Settings!$D$84,Settings!$D$86))/6,2)*6,"")</f>
        <v/>
      </c>
      <c r="O447" s="142">
        <f>IFERROR(CHOOSE(MATCH(IF($E447="","Основний",$E447),{"Трафіковий","Основний","Маржинальний","Сезонний","Стратегічний"},0),Settings!$D$78,Settings!$D$80,Settings!$D$82,Settings!$D$84,Settings!$D$86),"")</f>
        <v/>
      </c>
      <c r="P447" s="148">
        <f>IFERROR((N447*(1-Settings!$D$17)-C447)/(N447*(1-Settings!$D$17)),"")</f>
        <v/>
      </c>
      <c r="Q447" s="149">
        <f>IFERROR(IF(N447="","",IF(N447&gt;=C447/(1-SKU_Base!AB447)/(1-Settings!$D$17),"OK",IF(N447&gt;=C447/(1-SKU_Base!AI447)/(1-Settings!$D$17),"WARN","STOP"))),"")</f>
        <v/>
      </c>
      <c r="R447" s="161">
        <f>IFERROR(ROUND(D447*(1-CHOOSE(MATCH(IF($E447="","Основний",$E447),{"Трафіковий","Основний","Маржинальний","Сезонний","Стратегічний"},0),Settings!$E$78,Settings!$E$80,Settings!$E$82,Settings!$E$84,Settings!$E$86))/6,2)*6,"")</f>
        <v/>
      </c>
      <c r="S447" s="142">
        <f>IFERROR(CHOOSE(MATCH(IF($E447="","Основний",$E447),{"Трафіковий","Основний","Маржинальний","Сезонний","Стратегічний"},0),Settings!$E$78,Settings!$E$80,Settings!$E$82,Settings!$E$84,Settings!$E$86),"")</f>
        <v/>
      </c>
      <c r="T447" s="148">
        <f>IFERROR((R447*(1-Settings!$E$17)-C447)/(R447*(1-Settings!$E$17)),"")</f>
        <v/>
      </c>
      <c r="U447" s="149">
        <f>IFERROR(IF(R447="","",IF(R447&gt;=C447/(1-SKU_Base!AC447)/(1-Settings!$E$17),"OK",IF(R447&gt;=C447/(1-SKU_Base!AJ447)/(1-Settings!$E$17),"WARN","STOP"))),"")</f>
        <v/>
      </c>
      <c r="V447" s="161">
        <f>IFERROR(ROUND(D447*(1-CHOOSE(MATCH(IF($E447="","Основний",$E447),{"Трафіковий","Основний","Маржинальний","Сезонний","Стратегічний"},0),Settings!$F$78,Settings!$F$80,Settings!$F$82,Settings!$F$84,Settings!$F$86))/6,2)*6,"")</f>
        <v/>
      </c>
      <c r="W447" s="142">
        <f>IFERROR(CHOOSE(MATCH(IF($E447="","Основний",$E447),{"Трафіковий","Основний","Маржинальний","Сезонний","Стратегічний"},0),Settings!$F$78,Settings!$F$80,Settings!$F$82,Settings!$F$84,Settings!$F$86),"")</f>
        <v/>
      </c>
      <c r="X447" s="148">
        <f>IFERROR((V447*(1-Settings!$F$17)-C447)/(V447*(1-Settings!$F$17)),"")</f>
        <v/>
      </c>
      <c r="Y447" s="149">
        <f>IFERROR(IF(V447="","",IF(V447&gt;=C447/(1-SKU_Base!AD447)/(1-Settings!$F$17),"OK",IF(V447&gt;=C447/(1-SKU_Base!AK447)/(1-Settings!$F$17),"WARN","STOP"))),"")</f>
        <v/>
      </c>
      <c r="Z447" s="161">
        <f>IFERROR(ROUND(D447*(1-CHOOSE(MATCH(IF($E447="","Основний",$E447),{"Трафіковий","Основний","Маржинальний","Сезонний","Стратегічний"},0),Settings!$G$78,Settings!$G$80,Settings!$G$82,Settings!$G$84,Settings!$G$86))/6,2)*6,"")</f>
        <v/>
      </c>
      <c r="AA447" s="142">
        <f>IFERROR(CHOOSE(MATCH(IF($E447="","Основний",$E447),{"Трафіковий","Основний","Маржинальний","Сезонний","Стратегічний"},0),Settings!$G$78,Settings!$G$80,Settings!$G$82,Settings!$G$84,Settings!$G$86),"")</f>
        <v/>
      </c>
      <c r="AB447" s="148">
        <f>IFERROR((Z447*(1-Settings!$G$17)-C447)/(Z447*(1-Settings!$G$17)),"")</f>
        <v/>
      </c>
      <c r="AC447" s="149">
        <f>IFERROR(IF(Z447="","",IF(Z447&gt;=C447/(1-SKU_Base!AE447)/(1-Settings!$G$17),"OK",IF(Z447&gt;=C447/(1-SKU_Base!AL447)/(1-Settings!$G$17),"WARN","STOP"))),"")</f>
        <v/>
      </c>
      <c r="AD447" s="161">
        <f>IFERROR(ROUND(D447*(1-CHOOSE(MATCH(IF($E447="","Основний",$E447),{"Трафіковий","Основний","Маржинальний","Сезонний","Стратегічний"},0),Settings!$H$78,Settings!$H$80,Settings!$H$82,Settings!$H$84,Settings!$H$86))*(1-Settings!$H$68)/6,2)*6,"")</f>
        <v/>
      </c>
      <c r="AE447" s="142">
        <f>IFERROR(CHOOSE(MATCH(IF($E447="","Основний",$E447),{"Трафіковий","Основний","Маржинальний","Сезонний","Стратегічний"},0),Settings!$H$78,Settings!$H$80,Settings!$H$82,Settings!$H$84,Settings!$H$86)+(1-(CHOOSE(MATCH(IF($E447="","Основний",$E447),{"Трафіковий","Основний","Маржинальний","Сезонний","Стратегічний"},0),Settings!$H$78,Settings!$H$80,Settings!$H$82,Settings!$H$84,Settings!$H$86)))*Settings!$H$68,"")</f>
        <v/>
      </c>
      <c r="AF447" s="148">
        <f>IFERROR((AD447*(1-Settings!$H$17)-C447)/(AD447*(1-Settings!$H$17)),"")</f>
        <v/>
      </c>
      <c r="AG447" s="150">
        <f>IFERROR(IF(AD447="","",IF(AD447&gt;=C447/(1-SKU_Base!AF447)/(1-Settings!$H$17),"OK",IF(AD447&gt;=C447/(1-SKU_Base!AM447)/(1-Settings!$H$17),"WARN","STOP"))),"")</f>
        <v/>
      </c>
    </row>
    <row r="448" ht="17" customHeight="1" s="179">
      <c r="A448" s="139">
        <f>SKU_Base!B448</f>
        <v/>
      </c>
      <c r="B448" s="139">
        <f>SKU_Base!C448</f>
        <v/>
      </c>
      <c r="C448" s="140">
        <f>IFERROR(SKU_Base!I448,"")</f>
        <v/>
      </c>
      <c r="D448" s="163">
        <f>IFERROR(SKU_Base!T448,"")</f>
        <v/>
      </c>
      <c r="E448" s="141">
        <f>IFERROR(SKU_Base!$U448,"")</f>
        <v/>
      </c>
      <c r="F448" s="158">
        <f>IFERROR(ROUND(D448*(1-CHOOSE(MATCH(IF($E448="","Основний",$E448),{"Трафіковий","Основний","Маржинальний","Сезонний","Стратегічний"},0),Settings!$B$78,Settings!$B$80,Settings!$B$82,Settings!$B$84,Settings!$B$86))/6,2)*6,"")</f>
        <v/>
      </c>
      <c r="G448" s="142">
        <f>IFERROR(CHOOSE(MATCH(IF($E448="","Основний",$E448),{"Трафіковий","Основний","Маржинальний","Сезонний","Стратегічний"},0),Settings!$B$78,Settings!$B$80,Settings!$B$82,Settings!$B$84,Settings!$B$86),"")</f>
        <v/>
      </c>
      <c r="H448" s="143">
        <f>IFERROR((F448*(1-Settings!$B$17)-C448)/(F448*(1-Settings!$B$17)),"")</f>
        <v/>
      </c>
      <c r="I448" s="150">
        <f>IFERROR(IF(F448="","",IF(F448&gt;=C448/(1-SKU_Base!Z448)/(1-Settings!$B$17),"OK",IF(F448&gt;=C448/(1-SKU_Base!AG448)/(1-Settings!$B$17),"WARN","STOP"))),"")</f>
        <v/>
      </c>
      <c r="J448" s="158">
        <f>IFERROR(ROUND(D448*(1-CHOOSE(MATCH(IF($E448="","Основний",$E448),{"Трафіковий","Основний","Маржинальний","Сезонний","Стратегічний"},0),Settings!$C$78,Settings!$C$80,Settings!$C$82,Settings!$C$84,Settings!$C$86))/6,2)*6,"")</f>
        <v/>
      </c>
      <c r="K448" s="142">
        <f>IFERROR(CHOOSE(MATCH(IF($E448="","Основний",$E448),{"Трафіковий","Основний","Маржинальний","Сезонний","Стратегічний"},0),Settings!$C$78,Settings!$C$80,Settings!$C$82,Settings!$C$84,Settings!$C$86),"")</f>
        <v/>
      </c>
      <c r="L448" s="143">
        <f>IFERROR((J448*(1-Settings!$C$17)-C448)/(J448*(1-Settings!$C$17)),"")</f>
        <v/>
      </c>
      <c r="M448" s="149">
        <f>IFERROR(IF(J448="","",IF(J448&gt;=C448/(1-SKU_Base!AA448)/(1-Settings!$C$17),"OK",IF(J448&gt;=C448/(1-SKU_Base!AH448)/(1-Settings!$C$17),"WARN","STOP"))),"")</f>
        <v/>
      </c>
      <c r="N448" s="159">
        <f>IFERROR(ROUND(D448*(1-CHOOSE(MATCH(IF($E448="","Основний",$E448),{"Трафіковий","Основний","Маржинальний","Сезонний","Стратегічний"},0),Settings!$D$78,Settings!$D$80,Settings!$D$82,Settings!$D$84,Settings!$D$86))/6,2)*6,"")</f>
        <v/>
      </c>
      <c r="O448" s="142">
        <f>IFERROR(CHOOSE(MATCH(IF($E448="","Основний",$E448),{"Трафіковий","Основний","Маржинальний","Сезонний","Стратегічний"},0),Settings!$D$78,Settings!$D$80,Settings!$D$82,Settings!$D$84,Settings!$D$86),"")</f>
        <v/>
      </c>
      <c r="P448" s="143">
        <f>IFERROR((N448*(1-Settings!$D$17)-C448)/(N448*(1-Settings!$D$17)),"")</f>
        <v/>
      </c>
      <c r="Q448" s="149">
        <f>IFERROR(IF(N448="","",IF(N448&gt;=C448/(1-SKU_Base!AB448)/(1-Settings!$D$17),"OK",IF(N448&gt;=C448/(1-SKU_Base!AI448)/(1-Settings!$D$17),"WARN","STOP"))),"")</f>
        <v/>
      </c>
      <c r="R448" s="159">
        <f>IFERROR(ROUND(D448*(1-CHOOSE(MATCH(IF($E448="","Основний",$E448),{"Трафіковий","Основний","Маржинальний","Сезонний","Стратегічний"},0),Settings!$E$78,Settings!$E$80,Settings!$E$82,Settings!$E$84,Settings!$E$86))/6,2)*6,"")</f>
        <v/>
      </c>
      <c r="S448" s="142">
        <f>IFERROR(CHOOSE(MATCH(IF($E448="","Основний",$E448),{"Трафіковий","Основний","Маржинальний","Сезонний","Стратегічний"},0),Settings!$E$78,Settings!$E$80,Settings!$E$82,Settings!$E$84,Settings!$E$86),"")</f>
        <v/>
      </c>
      <c r="T448" s="143">
        <f>IFERROR((R448*(1-Settings!$E$17)-C448)/(R448*(1-Settings!$E$17)),"")</f>
        <v/>
      </c>
      <c r="U448" s="149">
        <f>IFERROR(IF(R448="","",IF(R448&gt;=C448/(1-SKU_Base!AC448)/(1-Settings!$E$17),"OK",IF(R448&gt;=C448/(1-SKU_Base!AJ448)/(1-Settings!$E$17),"WARN","STOP"))),"")</f>
        <v/>
      </c>
      <c r="V448" s="159">
        <f>IFERROR(ROUND(D448*(1-CHOOSE(MATCH(IF($E448="","Основний",$E448),{"Трафіковий","Основний","Маржинальний","Сезонний","Стратегічний"},0),Settings!$F$78,Settings!$F$80,Settings!$F$82,Settings!$F$84,Settings!$F$86))/6,2)*6,"")</f>
        <v/>
      </c>
      <c r="W448" s="142">
        <f>IFERROR(CHOOSE(MATCH(IF($E448="","Основний",$E448),{"Трафіковий","Основний","Маржинальний","Сезонний","Стратегічний"},0),Settings!$F$78,Settings!$F$80,Settings!$F$82,Settings!$F$84,Settings!$F$86),"")</f>
        <v/>
      </c>
      <c r="X448" s="143">
        <f>IFERROR((V448*(1-Settings!$F$17)-C448)/(V448*(1-Settings!$F$17)),"")</f>
        <v/>
      </c>
      <c r="Y448" s="149">
        <f>IFERROR(IF(V448="","",IF(V448&gt;=C448/(1-SKU_Base!AD448)/(1-Settings!$F$17),"OK",IF(V448&gt;=C448/(1-SKU_Base!AK448)/(1-Settings!$F$17),"WARN","STOP"))),"")</f>
        <v/>
      </c>
      <c r="Z448" s="159">
        <f>IFERROR(ROUND(D448*(1-CHOOSE(MATCH(IF($E448="","Основний",$E448),{"Трафіковий","Основний","Маржинальний","Сезонний","Стратегічний"},0),Settings!$G$78,Settings!$G$80,Settings!$G$82,Settings!$G$84,Settings!$G$86))/6,2)*6,"")</f>
        <v/>
      </c>
      <c r="AA448" s="142">
        <f>IFERROR(CHOOSE(MATCH(IF($E448="","Основний",$E448),{"Трафіковий","Основний","Маржинальний","Сезонний","Стратегічний"},0),Settings!$G$78,Settings!$G$80,Settings!$G$82,Settings!$G$84,Settings!$G$86),"")</f>
        <v/>
      </c>
      <c r="AB448" s="143">
        <f>IFERROR((Z448*(1-Settings!$G$17)-C448)/(Z448*(1-Settings!$G$17)),"")</f>
        <v/>
      </c>
      <c r="AC448" s="149">
        <f>IFERROR(IF(Z448="","",IF(Z448&gt;=C448/(1-SKU_Base!AE448)/(1-Settings!$G$17),"OK",IF(Z448&gt;=C448/(1-SKU_Base!AL448)/(1-Settings!$G$17),"WARN","STOP"))),"")</f>
        <v/>
      </c>
      <c r="AD448" s="159">
        <f>IFERROR(ROUND(D448*(1-CHOOSE(MATCH(IF($E448="","Основний",$E448),{"Трафіковий","Основний","Маржинальний","Сезонний","Стратегічний"},0),Settings!$H$78,Settings!$H$80,Settings!$H$82,Settings!$H$84,Settings!$H$86))*(1-Settings!$H$68)/6,2)*6,"")</f>
        <v/>
      </c>
      <c r="AE448" s="142">
        <f>IFERROR(CHOOSE(MATCH(IF($E448="","Основний",$E448),{"Трафіковий","Основний","Маржинальний","Сезонний","Стратегічний"},0),Settings!$H$78,Settings!$H$80,Settings!$H$82,Settings!$H$84,Settings!$H$86)+(1-(CHOOSE(MATCH(IF($E448="","Основний",$E448),{"Трафіковий","Основний","Маржинальний","Сезонний","Стратегічний"},0),Settings!$H$78,Settings!$H$80,Settings!$H$82,Settings!$H$84,Settings!$H$86)))*Settings!$H$68,"")</f>
        <v/>
      </c>
      <c r="AF448" s="143">
        <f>IFERROR((AD448*(1-Settings!$H$17)-C448)/(AD448*(1-Settings!$H$17)),"")</f>
        <v/>
      </c>
      <c r="AG448" s="150">
        <f>IFERROR(IF(AD448="","",IF(AD448&gt;=C448/(1-SKU_Base!AF448)/(1-Settings!$H$17),"OK",IF(AD448&gt;=C448/(1-SKU_Base!AM448)/(1-Settings!$H$17),"WARN","STOP"))),"")</f>
        <v/>
      </c>
    </row>
    <row r="449" ht="17" customHeight="1" s="179">
      <c r="A449" s="146">
        <f>SKU_Base!B449</f>
        <v/>
      </c>
      <c r="B449" s="146">
        <f>SKU_Base!C449</f>
        <v/>
      </c>
      <c r="C449" s="147">
        <f>IFERROR(SKU_Base!I449,"")</f>
        <v/>
      </c>
      <c r="D449" s="164">
        <f>IFERROR(SKU_Base!T449,"")</f>
        <v/>
      </c>
      <c r="E449" s="141">
        <f>IFERROR(SKU_Base!$U449,"")</f>
        <v/>
      </c>
      <c r="F449" s="160">
        <f>IFERROR(ROUND(D449*(1-CHOOSE(MATCH(IF($E449="","Основний",$E449),{"Трафіковий","Основний","Маржинальний","Сезонний","Стратегічний"},0),Settings!$B$78,Settings!$B$80,Settings!$B$82,Settings!$B$84,Settings!$B$86))/6,2)*6,"")</f>
        <v/>
      </c>
      <c r="G449" s="142">
        <f>IFERROR(CHOOSE(MATCH(IF($E449="","Основний",$E449),{"Трафіковий","Основний","Маржинальний","Сезонний","Стратегічний"},0),Settings!$B$78,Settings!$B$80,Settings!$B$82,Settings!$B$84,Settings!$B$86),"")</f>
        <v/>
      </c>
      <c r="H449" s="148">
        <f>IFERROR((F449*(1-Settings!$B$17)-C449)/(F449*(1-Settings!$B$17)),"")</f>
        <v/>
      </c>
      <c r="I449" s="149">
        <f>IFERROR(IF(F449="","",IF(F449&gt;=C449/(1-SKU_Base!Z449)/(1-Settings!$B$17),"OK",IF(F449&gt;=C449/(1-SKU_Base!AG449)/(1-Settings!$B$17),"WARN","STOP"))),"")</f>
        <v/>
      </c>
      <c r="J449" s="160">
        <f>IFERROR(ROUND(D449*(1-CHOOSE(MATCH(IF($E449="","Основний",$E449),{"Трафіковий","Основний","Маржинальний","Сезонний","Стратегічний"},0),Settings!$C$78,Settings!$C$80,Settings!$C$82,Settings!$C$84,Settings!$C$86))/6,2)*6,"")</f>
        <v/>
      </c>
      <c r="K449" s="142">
        <f>IFERROR(CHOOSE(MATCH(IF($E449="","Основний",$E449),{"Трафіковий","Основний","Маржинальний","Сезонний","Стратегічний"},0),Settings!$C$78,Settings!$C$80,Settings!$C$82,Settings!$C$84,Settings!$C$86),"")</f>
        <v/>
      </c>
      <c r="L449" s="148">
        <f>IFERROR((J449*(1-Settings!$C$17)-C449)/(J449*(1-Settings!$C$17)),"")</f>
        <v/>
      </c>
      <c r="M449" s="149">
        <f>IFERROR(IF(J449="","",IF(J449&gt;=C449/(1-SKU_Base!AA449)/(1-Settings!$C$17),"OK",IF(J449&gt;=C449/(1-SKU_Base!AH449)/(1-Settings!$C$17),"WARN","STOP"))),"")</f>
        <v/>
      </c>
      <c r="N449" s="161">
        <f>IFERROR(ROUND(D449*(1-CHOOSE(MATCH(IF($E449="","Основний",$E449),{"Трафіковий","Основний","Маржинальний","Сезонний","Стратегічний"},0),Settings!$D$78,Settings!$D$80,Settings!$D$82,Settings!$D$84,Settings!$D$86))/6,2)*6,"")</f>
        <v/>
      </c>
      <c r="O449" s="142">
        <f>IFERROR(CHOOSE(MATCH(IF($E449="","Основний",$E449),{"Трафіковий","Основний","Маржинальний","Сезонний","Стратегічний"},0),Settings!$D$78,Settings!$D$80,Settings!$D$82,Settings!$D$84,Settings!$D$86),"")</f>
        <v/>
      </c>
      <c r="P449" s="148">
        <f>IFERROR((N449*(1-Settings!$D$17)-C449)/(N449*(1-Settings!$D$17)),"")</f>
        <v/>
      </c>
      <c r="Q449" s="149">
        <f>IFERROR(IF(N449="","",IF(N449&gt;=C449/(1-SKU_Base!AB449)/(1-Settings!$D$17),"OK",IF(N449&gt;=C449/(1-SKU_Base!AI449)/(1-Settings!$D$17),"WARN","STOP"))),"")</f>
        <v/>
      </c>
      <c r="R449" s="161">
        <f>IFERROR(ROUND(D449*(1-CHOOSE(MATCH(IF($E449="","Основний",$E449),{"Трафіковий","Основний","Маржинальний","Сезонний","Стратегічний"},0),Settings!$E$78,Settings!$E$80,Settings!$E$82,Settings!$E$84,Settings!$E$86))/6,2)*6,"")</f>
        <v/>
      </c>
      <c r="S449" s="142">
        <f>IFERROR(CHOOSE(MATCH(IF($E449="","Основний",$E449),{"Трафіковий","Основний","Маржинальний","Сезонний","Стратегічний"},0),Settings!$E$78,Settings!$E$80,Settings!$E$82,Settings!$E$84,Settings!$E$86),"")</f>
        <v/>
      </c>
      <c r="T449" s="148">
        <f>IFERROR((R449*(1-Settings!$E$17)-C449)/(R449*(1-Settings!$E$17)),"")</f>
        <v/>
      </c>
      <c r="U449" s="149">
        <f>IFERROR(IF(R449="","",IF(R449&gt;=C449/(1-SKU_Base!AC449)/(1-Settings!$E$17),"OK",IF(R449&gt;=C449/(1-SKU_Base!AJ449)/(1-Settings!$E$17),"WARN","STOP"))),"")</f>
        <v/>
      </c>
      <c r="V449" s="161">
        <f>IFERROR(ROUND(D449*(1-CHOOSE(MATCH(IF($E449="","Основний",$E449),{"Трафіковий","Основний","Маржинальний","Сезонний","Стратегічний"},0),Settings!$F$78,Settings!$F$80,Settings!$F$82,Settings!$F$84,Settings!$F$86))/6,2)*6,"")</f>
        <v/>
      </c>
      <c r="W449" s="142">
        <f>IFERROR(CHOOSE(MATCH(IF($E449="","Основний",$E449),{"Трафіковий","Основний","Маржинальний","Сезонний","Стратегічний"},0),Settings!$F$78,Settings!$F$80,Settings!$F$82,Settings!$F$84,Settings!$F$86),"")</f>
        <v/>
      </c>
      <c r="X449" s="148">
        <f>IFERROR((V449*(1-Settings!$F$17)-C449)/(V449*(1-Settings!$F$17)),"")</f>
        <v/>
      </c>
      <c r="Y449" s="149">
        <f>IFERROR(IF(V449="","",IF(V449&gt;=C449/(1-SKU_Base!AD449)/(1-Settings!$F$17),"OK",IF(V449&gt;=C449/(1-SKU_Base!AK449)/(1-Settings!$F$17),"WARN","STOP"))),"")</f>
        <v/>
      </c>
      <c r="Z449" s="161">
        <f>IFERROR(ROUND(D449*(1-CHOOSE(MATCH(IF($E449="","Основний",$E449),{"Трафіковий","Основний","Маржинальний","Сезонний","Стратегічний"},0),Settings!$G$78,Settings!$G$80,Settings!$G$82,Settings!$G$84,Settings!$G$86))/6,2)*6,"")</f>
        <v/>
      </c>
      <c r="AA449" s="142">
        <f>IFERROR(CHOOSE(MATCH(IF($E449="","Основний",$E449),{"Трафіковий","Основний","Маржинальний","Сезонний","Стратегічний"},0),Settings!$G$78,Settings!$G$80,Settings!$G$82,Settings!$G$84,Settings!$G$86),"")</f>
        <v/>
      </c>
      <c r="AB449" s="148">
        <f>IFERROR((Z449*(1-Settings!$G$17)-C449)/(Z449*(1-Settings!$G$17)),"")</f>
        <v/>
      </c>
      <c r="AC449" s="149">
        <f>IFERROR(IF(Z449="","",IF(Z449&gt;=C449/(1-SKU_Base!AE449)/(1-Settings!$G$17),"OK",IF(Z449&gt;=C449/(1-SKU_Base!AL449)/(1-Settings!$G$17),"WARN","STOP"))),"")</f>
        <v/>
      </c>
      <c r="AD449" s="161">
        <f>IFERROR(ROUND(D449*(1-CHOOSE(MATCH(IF($E449="","Основний",$E449),{"Трафіковий","Основний","Маржинальний","Сезонний","Стратегічний"},0),Settings!$H$78,Settings!$H$80,Settings!$H$82,Settings!$H$84,Settings!$H$86))*(1-Settings!$H$68)/6,2)*6,"")</f>
        <v/>
      </c>
      <c r="AE449" s="142">
        <f>IFERROR(CHOOSE(MATCH(IF($E449="","Основний",$E449),{"Трафіковий","Основний","Маржинальний","Сезонний","Стратегічний"},0),Settings!$H$78,Settings!$H$80,Settings!$H$82,Settings!$H$84,Settings!$H$86)+(1-(CHOOSE(MATCH(IF($E449="","Основний",$E449),{"Трафіковий","Основний","Маржинальний","Сезонний","Стратегічний"},0),Settings!$H$78,Settings!$H$80,Settings!$H$82,Settings!$H$84,Settings!$H$86)))*Settings!$H$68,"")</f>
        <v/>
      </c>
      <c r="AF449" s="148">
        <f>IFERROR((AD449*(1-Settings!$H$17)-C449)/(AD449*(1-Settings!$H$17)),"")</f>
        <v/>
      </c>
      <c r="AG449" s="150">
        <f>IFERROR(IF(AD449="","",IF(AD449&gt;=C449/(1-SKU_Base!AF449)/(1-Settings!$H$17),"OK",IF(AD449&gt;=C449/(1-SKU_Base!AM449)/(1-Settings!$H$17),"WARN","STOP"))),"")</f>
        <v/>
      </c>
    </row>
    <row r="450" ht="17" customHeight="1" s="179">
      <c r="A450" s="139">
        <f>SKU_Base!B450</f>
        <v/>
      </c>
      <c r="B450" s="139">
        <f>SKU_Base!C450</f>
        <v/>
      </c>
      <c r="C450" s="140">
        <f>IFERROR(SKU_Base!I450,"")</f>
        <v/>
      </c>
      <c r="D450" s="163">
        <f>IFERROR(SKU_Base!T450,"")</f>
        <v/>
      </c>
      <c r="E450" s="141">
        <f>IFERROR(SKU_Base!$U450,"")</f>
        <v/>
      </c>
      <c r="F450" s="158">
        <f>IFERROR(ROUND(D450*(1-CHOOSE(MATCH(IF($E450="","Основний",$E450),{"Трафіковий","Основний","Маржинальний","Сезонний","Стратегічний"},0),Settings!$B$78,Settings!$B$80,Settings!$B$82,Settings!$B$84,Settings!$B$86))/6,2)*6,"")</f>
        <v/>
      </c>
      <c r="G450" s="142">
        <f>IFERROR(CHOOSE(MATCH(IF($E450="","Основний",$E450),{"Трафіковий","Основний","Маржинальний","Сезонний","Стратегічний"},0),Settings!$B$78,Settings!$B$80,Settings!$B$82,Settings!$B$84,Settings!$B$86),"")</f>
        <v/>
      </c>
      <c r="H450" s="143">
        <f>IFERROR((F450*(1-Settings!$B$17)-C450)/(F450*(1-Settings!$B$17)),"")</f>
        <v/>
      </c>
      <c r="I450" s="149">
        <f>IFERROR(IF(F450="","",IF(F450&gt;=C450/(1-SKU_Base!Z450)/(1-Settings!$B$17),"OK",IF(F450&gt;=C450/(1-SKU_Base!AG450)/(1-Settings!$B$17),"WARN","STOP"))),"")</f>
        <v/>
      </c>
      <c r="J450" s="158">
        <f>IFERROR(ROUND(D450*(1-CHOOSE(MATCH(IF($E450="","Основний",$E450),{"Трафіковий","Основний","Маржинальний","Сезонний","Стратегічний"},0),Settings!$C$78,Settings!$C$80,Settings!$C$82,Settings!$C$84,Settings!$C$86))/6,2)*6,"")</f>
        <v/>
      </c>
      <c r="K450" s="142">
        <f>IFERROR(CHOOSE(MATCH(IF($E450="","Основний",$E450),{"Трафіковий","Основний","Маржинальний","Сезонний","Стратегічний"},0),Settings!$C$78,Settings!$C$80,Settings!$C$82,Settings!$C$84,Settings!$C$86),"")</f>
        <v/>
      </c>
      <c r="L450" s="143">
        <f>IFERROR((J450*(1-Settings!$C$17)-C450)/(J450*(1-Settings!$C$17)),"")</f>
        <v/>
      </c>
      <c r="M450" s="149">
        <f>IFERROR(IF(J450="","",IF(J450&gt;=C450/(1-SKU_Base!AA450)/(1-Settings!$C$17),"OK",IF(J450&gt;=C450/(1-SKU_Base!AH450)/(1-Settings!$C$17),"WARN","STOP"))),"")</f>
        <v/>
      </c>
      <c r="N450" s="159">
        <f>IFERROR(ROUND(D450*(1-CHOOSE(MATCH(IF($E450="","Основний",$E450),{"Трафіковий","Основний","Маржинальний","Сезонний","Стратегічний"},0),Settings!$D$78,Settings!$D$80,Settings!$D$82,Settings!$D$84,Settings!$D$86))/6,2)*6,"")</f>
        <v/>
      </c>
      <c r="O450" s="142">
        <f>IFERROR(CHOOSE(MATCH(IF($E450="","Основний",$E450),{"Трафіковий","Основний","Маржинальний","Сезонний","Стратегічний"},0),Settings!$D$78,Settings!$D$80,Settings!$D$82,Settings!$D$84,Settings!$D$86),"")</f>
        <v/>
      </c>
      <c r="P450" s="143">
        <f>IFERROR((N450*(1-Settings!$D$17)-C450)/(N450*(1-Settings!$D$17)),"")</f>
        <v/>
      </c>
      <c r="Q450" s="149">
        <f>IFERROR(IF(N450="","",IF(N450&gt;=C450/(1-SKU_Base!AB450)/(1-Settings!$D$17),"OK",IF(N450&gt;=C450/(1-SKU_Base!AI450)/(1-Settings!$D$17),"WARN","STOP"))),"")</f>
        <v/>
      </c>
      <c r="R450" s="159">
        <f>IFERROR(ROUND(D450*(1-CHOOSE(MATCH(IF($E450="","Основний",$E450),{"Трафіковий","Основний","Маржинальний","Сезонний","Стратегічний"},0),Settings!$E$78,Settings!$E$80,Settings!$E$82,Settings!$E$84,Settings!$E$86))/6,2)*6,"")</f>
        <v/>
      </c>
      <c r="S450" s="142">
        <f>IFERROR(CHOOSE(MATCH(IF($E450="","Основний",$E450),{"Трафіковий","Основний","Маржинальний","Сезонний","Стратегічний"},0),Settings!$E$78,Settings!$E$80,Settings!$E$82,Settings!$E$84,Settings!$E$86),"")</f>
        <v/>
      </c>
      <c r="T450" s="143">
        <f>IFERROR((R450*(1-Settings!$E$17)-C450)/(R450*(1-Settings!$E$17)),"")</f>
        <v/>
      </c>
      <c r="U450" s="149">
        <f>IFERROR(IF(R450="","",IF(R450&gt;=C450/(1-SKU_Base!AC450)/(1-Settings!$E$17),"OK",IF(R450&gt;=C450/(1-SKU_Base!AJ450)/(1-Settings!$E$17),"WARN","STOP"))),"")</f>
        <v/>
      </c>
      <c r="V450" s="159">
        <f>IFERROR(ROUND(D450*(1-CHOOSE(MATCH(IF($E450="","Основний",$E450),{"Трафіковий","Основний","Маржинальний","Сезонний","Стратегічний"},0),Settings!$F$78,Settings!$F$80,Settings!$F$82,Settings!$F$84,Settings!$F$86))/6,2)*6,"")</f>
        <v/>
      </c>
      <c r="W450" s="142">
        <f>IFERROR(CHOOSE(MATCH(IF($E450="","Основний",$E450),{"Трафіковий","Основний","Маржинальний","Сезонний","Стратегічний"},0),Settings!$F$78,Settings!$F$80,Settings!$F$82,Settings!$F$84,Settings!$F$86),"")</f>
        <v/>
      </c>
      <c r="X450" s="143">
        <f>IFERROR((V450*(1-Settings!$F$17)-C450)/(V450*(1-Settings!$F$17)),"")</f>
        <v/>
      </c>
      <c r="Y450" s="149">
        <f>IFERROR(IF(V450="","",IF(V450&gt;=C450/(1-SKU_Base!AD450)/(1-Settings!$F$17),"OK",IF(V450&gt;=C450/(1-SKU_Base!AK450)/(1-Settings!$F$17),"WARN","STOP"))),"")</f>
        <v/>
      </c>
      <c r="Z450" s="159">
        <f>IFERROR(ROUND(D450*(1-CHOOSE(MATCH(IF($E450="","Основний",$E450),{"Трафіковий","Основний","Маржинальний","Сезонний","Стратегічний"},0),Settings!$G$78,Settings!$G$80,Settings!$G$82,Settings!$G$84,Settings!$G$86))/6,2)*6,"")</f>
        <v/>
      </c>
      <c r="AA450" s="142">
        <f>IFERROR(CHOOSE(MATCH(IF($E450="","Основний",$E450),{"Трафіковий","Основний","Маржинальний","Сезонний","Стратегічний"},0),Settings!$G$78,Settings!$G$80,Settings!$G$82,Settings!$G$84,Settings!$G$86),"")</f>
        <v/>
      </c>
      <c r="AB450" s="143">
        <f>IFERROR((Z450*(1-Settings!$G$17)-C450)/(Z450*(1-Settings!$G$17)),"")</f>
        <v/>
      </c>
      <c r="AC450" s="149">
        <f>IFERROR(IF(Z450="","",IF(Z450&gt;=C450/(1-SKU_Base!AE450)/(1-Settings!$G$17),"OK",IF(Z450&gt;=C450/(1-SKU_Base!AL450)/(1-Settings!$G$17),"WARN","STOP"))),"")</f>
        <v/>
      </c>
      <c r="AD450" s="159">
        <f>IFERROR(ROUND(D450*(1-CHOOSE(MATCH(IF($E450="","Основний",$E450),{"Трафіковий","Основний","Маржинальний","Сезонний","Стратегічний"},0),Settings!$H$78,Settings!$H$80,Settings!$H$82,Settings!$H$84,Settings!$H$86))*(1-Settings!$H$68)/6,2)*6,"")</f>
        <v/>
      </c>
      <c r="AE450" s="142">
        <f>IFERROR(CHOOSE(MATCH(IF($E450="","Основний",$E450),{"Трафіковий","Основний","Маржинальний","Сезонний","Стратегічний"},0),Settings!$H$78,Settings!$H$80,Settings!$H$82,Settings!$H$84,Settings!$H$86)+(1-(CHOOSE(MATCH(IF($E450="","Основний",$E450),{"Трафіковий","Основний","Маржинальний","Сезонний","Стратегічний"},0),Settings!$H$78,Settings!$H$80,Settings!$H$82,Settings!$H$84,Settings!$H$86)))*Settings!$H$68,"")</f>
        <v/>
      </c>
      <c r="AF450" s="143">
        <f>IFERROR((AD450*(1-Settings!$H$17)-C450)/(AD450*(1-Settings!$H$17)),"")</f>
        <v/>
      </c>
      <c r="AG450" s="150">
        <f>IFERROR(IF(AD450="","",IF(AD450&gt;=C450/(1-SKU_Base!AF450)/(1-Settings!$H$17),"OK",IF(AD450&gt;=C450/(1-SKU_Base!AM450)/(1-Settings!$H$17),"WARN","STOP"))),"")</f>
        <v/>
      </c>
    </row>
    <row r="451" ht="17" customHeight="1" s="179">
      <c r="A451" s="146">
        <f>SKU_Base!B451</f>
        <v/>
      </c>
      <c r="B451" s="146">
        <f>SKU_Base!C451</f>
        <v/>
      </c>
      <c r="C451" s="147">
        <f>IFERROR(SKU_Base!I451,"")</f>
        <v/>
      </c>
      <c r="D451" s="164">
        <f>IFERROR(SKU_Base!T451,"")</f>
        <v/>
      </c>
      <c r="E451" s="141">
        <f>IFERROR(SKU_Base!$U451,"")</f>
        <v/>
      </c>
      <c r="F451" s="160">
        <f>IFERROR(ROUND(D451*(1-CHOOSE(MATCH(IF($E451="","Основний",$E451),{"Трафіковий","Основний","Маржинальний","Сезонний","Стратегічний"},0),Settings!$B$78,Settings!$B$80,Settings!$B$82,Settings!$B$84,Settings!$B$86))/6,2)*6,"")</f>
        <v/>
      </c>
      <c r="G451" s="142">
        <f>IFERROR(CHOOSE(MATCH(IF($E451="","Основний",$E451),{"Трафіковий","Основний","Маржинальний","Сезонний","Стратегічний"},0),Settings!$B$78,Settings!$B$80,Settings!$B$82,Settings!$B$84,Settings!$B$86),"")</f>
        <v/>
      </c>
      <c r="H451" s="148">
        <f>IFERROR((F451*(1-Settings!$B$17)-C451)/(F451*(1-Settings!$B$17)),"")</f>
        <v/>
      </c>
      <c r="I451" s="149">
        <f>IFERROR(IF(F451="","",IF(F451&gt;=C451/(1-SKU_Base!Z451)/(1-Settings!$B$17),"OK",IF(F451&gt;=C451/(1-SKU_Base!AG451)/(1-Settings!$B$17),"WARN","STOP"))),"")</f>
        <v/>
      </c>
      <c r="J451" s="160">
        <f>IFERROR(ROUND(D451*(1-CHOOSE(MATCH(IF($E451="","Основний",$E451),{"Трафіковий","Основний","Маржинальний","Сезонний","Стратегічний"},0),Settings!$C$78,Settings!$C$80,Settings!$C$82,Settings!$C$84,Settings!$C$86))/6,2)*6,"")</f>
        <v/>
      </c>
      <c r="K451" s="142">
        <f>IFERROR(CHOOSE(MATCH(IF($E451="","Основний",$E451),{"Трафіковий","Основний","Маржинальний","Сезонний","Стратегічний"},0),Settings!$C$78,Settings!$C$80,Settings!$C$82,Settings!$C$84,Settings!$C$86),"")</f>
        <v/>
      </c>
      <c r="L451" s="148">
        <f>IFERROR((J451*(1-Settings!$C$17)-C451)/(J451*(1-Settings!$C$17)),"")</f>
        <v/>
      </c>
      <c r="M451" s="149">
        <f>IFERROR(IF(J451="","",IF(J451&gt;=C451/(1-SKU_Base!AA451)/(1-Settings!$C$17),"OK",IF(J451&gt;=C451/(1-SKU_Base!AH451)/(1-Settings!$C$17),"WARN","STOP"))),"")</f>
        <v/>
      </c>
      <c r="N451" s="161">
        <f>IFERROR(ROUND(D451*(1-CHOOSE(MATCH(IF($E451="","Основний",$E451),{"Трафіковий","Основний","Маржинальний","Сезонний","Стратегічний"},0),Settings!$D$78,Settings!$D$80,Settings!$D$82,Settings!$D$84,Settings!$D$86))/6,2)*6,"")</f>
        <v/>
      </c>
      <c r="O451" s="142">
        <f>IFERROR(CHOOSE(MATCH(IF($E451="","Основний",$E451),{"Трафіковий","Основний","Маржинальний","Сезонний","Стратегічний"},0),Settings!$D$78,Settings!$D$80,Settings!$D$82,Settings!$D$84,Settings!$D$86),"")</f>
        <v/>
      </c>
      <c r="P451" s="148">
        <f>IFERROR((N451*(1-Settings!$D$17)-C451)/(N451*(1-Settings!$D$17)),"")</f>
        <v/>
      </c>
      <c r="Q451" s="149">
        <f>IFERROR(IF(N451="","",IF(N451&gt;=C451/(1-SKU_Base!AB451)/(1-Settings!$D$17),"OK",IF(N451&gt;=C451/(1-SKU_Base!AI451)/(1-Settings!$D$17),"WARN","STOP"))),"")</f>
        <v/>
      </c>
      <c r="R451" s="161">
        <f>IFERROR(ROUND(D451*(1-CHOOSE(MATCH(IF($E451="","Основний",$E451),{"Трафіковий","Основний","Маржинальний","Сезонний","Стратегічний"},0),Settings!$E$78,Settings!$E$80,Settings!$E$82,Settings!$E$84,Settings!$E$86))/6,2)*6,"")</f>
        <v/>
      </c>
      <c r="S451" s="142">
        <f>IFERROR(CHOOSE(MATCH(IF($E451="","Основний",$E451),{"Трафіковий","Основний","Маржинальний","Сезонний","Стратегічний"},0),Settings!$E$78,Settings!$E$80,Settings!$E$82,Settings!$E$84,Settings!$E$86),"")</f>
        <v/>
      </c>
      <c r="T451" s="148">
        <f>IFERROR((R451*(1-Settings!$E$17)-C451)/(R451*(1-Settings!$E$17)),"")</f>
        <v/>
      </c>
      <c r="U451" s="149">
        <f>IFERROR(IF(R451="","",IF(R451&gt;=C451/(1-SKU_Base!AC451)/(1-Settings!$E$17),"OK",IF(R451&gt;=C451/(1-SKU_Base!AJ451)/(1-Settings!$E$17),"WARN","STOP"))),"")</f>
        <v/>
      </c>
      <c r="V451" s="161">
        <f>IFERROR(ROUND(D451*(1-CHOOSE(MATCH(IF($E451="","Основний",$E451),{"Трафіковий","Основний","Маржинальний","Сезонний","Стратегічний"},0),Settings!$F$78,Settings!$F$80,Settings!$F$82,Settings!$F$84,Settings!$F$86))/6,2)*6,"")</f>
        <v/>
      </c>
      <c r="W451" s="142">
        <f>IFERROR(CHOOSE(MATCH(IF($E451="","Основний",$E451),{"Трафіковий","Основний","Маржинальний","Сезонний","Стратегічний"},0),Settings!$F$78,Settings!$F$80,Settings!$F$82,Settings!$F$84,Settings!$F$86),"")</f>
        <v/>
      </c>
      <c r="X451" s="148">
        <f>IFERROR((V451*(1-Settings!$F$17)-C451)/(V451*(1-Settings!$F$17)),"")</f>
        <v/>
      </c>
      <c r="Y451" s="149">
        <f>IFERROR(IF(V451="","",IF(V451&gt;=C451/(1-SKU_Base!AD451)/(1-Settings!$F$17),"OK",IF(V451&gt;=C451/(1-SKU_Base!AK451)/(1-Settings!$F$17),"WARN","STOP"))),"")</f>
        <v/>
      </c>
      <c r="Z451" s="161">
        <f>IFERROR(ROUND(D451*(1-CHOOSE(MATCH(IF($E451="","Основний",$E451),{"Трафіковий","Основний","Маржинальний","Сезонний","Стратегічний"},0),Settings!$G$78,Settings!$G$80,Settings!$G$82,Settings!$G$84,Settings!$G$86))/6,2)*6,"")</f>
        <v/>
      </c>
      <c r="AA451" s="142">
        <f>IFERROR(CHOOSE(MATCH(IF($E451="","Основний",$E451),{"Трафіковий","Основний","Маржинальний","Сезонний","Стратегічний"},0),Settings!$G$78,Settings!$G$80,Settings!$G$82,Settings!$G$84,Settings!$G$86),"")</f>
        <v/>
      </c>
      <c r="AB451" s="148">
        <f>IFERROR((Z451*(1-Settings!$G$17)-C451)/(Z451*(1-Settings!$G$17)),"")</f>
        <v/>
      </c>
      <c r="AC451" s="149">
        <f>IFERROR(IF(Z451="","",IF(Z451&gt;=C451/(1-SKU_Base!AE451)/(1-Settings!$G$17),"OK",IF(Z451&gt;=C451/(1-SKU_Base!AL451)/(1-Settings!$G$17),"WARN","STOP"))),"")</f>
        <v/>
      </c>
      <c r="AD451" s="161">
        <f>IFERROR(ROUND(D451*(1-CHOOSE(MATCH(IF($E451="","Основний",$E451),{"Трафіковий","Основний","Маржинальний","Сезонний","Стратегічний"},0),Settings!$H$78,Settings!$H$80,Settings!$H$82,Settings!$H$84,Settings!$H$86))*(1-Settings!$H$68)/6,2)*6,"")</f>
        <v/>
      </c>
      <c r="AE451" s="142">
        <f>IFERROR(CHOOSE(MATCH(IF($E451="","Основний",$E451),{"Трафіковий","Основний","Маржинальний","Сезонний","Стратегічний"},0),Settings!$H$78,Settings!$H$80,Settings!$H$82,Settings!$H$84,Settings!$H$86)+(1-(CHOOSE(MATCH(IF($E451="","Основний",$E451),{"Трафіковий","Основний","Маржинальний","Сезонний","Стратегічний"},0),Settings!$H$78,Settings!$H$80,Settings!$H$82,Settings!$H$84,Settings!$H$86)))*Settings!$H$68,"")</f>
        <v/>
      </c>
      <c r="AF451" s="148">
        <f>IFERROR((AD451*(1-Settings!$H$17)-C451)/(AD451*(1-Settings!$H$17)),"")</f>
        <v/>
      </c>
      <c r="AG451" s="150">
        <f>IFERROR(IF(AD451="","",IF(AD451&gt;=C451/(1-SKU_Base!AF451)/(1-Settings!$H$17),"OK",IF(AD451&gt;=C451/(1-SKU_Base!AM451)/(1-Settings!$H$17),"WARN","STOP"))),"")</f>
        <v/>
      </c>
    </row>
    <row r="452" ht="17" customHeight="1" s="179">
      <c r="A452" s="139">
        <f>SKU_Base!B452</f>
        <v/>
      </c>
      <c r="B452" s="139">
        <f>SKU_Base!C452</f>
        <v/>
      </c>
      <c r="C452" s="140">
        <f>IFERROR(SKU_Base!I452,"")</f>
        <v/>
      </c>
      <c r="D452" s="163">
        <f>IFERROR(SKU_Base!T452,"")</f>
        <v/>
      </c>
      <c r="E452" s="141">
        <f>IFERROR(SKU_Base!$U452,"")</f>
        <v/>
      </c>
      <c r="F452" s="158">
        <f>IFERROR(ROUND(D452*(1-CHOOSE(MATCH(IF($E452="","Основний",$E452),{"Трафіковий","Основний","Маржинальний","Сезонний","Стратегічний"},0),Settings!$B$78,Settings!$B$80,Settings!$B$82,Settings!$B$84,Settings!$B$86))/6,2)*6,"")</f>
        <v/>
      </c>
      <c r="G452" s="142">
        <f>IFERROR(CHOOSE(MATCH(IF($E452="","Основний",$E452),{"Трафіковий","Основний","Маржинальний","Сезонний","Стратегічний"},0),Settings!$B$78,Settings!$B$80,Settings!$B$82,Settings!$B$84,Settings!$B$86),"")</f>
        <v/>
      </c>
      <c r="H452" s="143">
        <f>IFERROR((F452*(1-Settings!$B$17)-C452)/(F452*(1-Settings!$B$17)),"")</f>
        <v/>
      </c>
      <c r="I452" s="149">
        <f>IFERROR(IF(F452="","",IF(F452&gt;=C452/(1-SKU_Base!Z452)/(1-Settings!$B$17),"OK",IF(F452&gt;=C452/(1-SKU_Base!AG452)/(1-Settings!$B$17),"WARN","STOP"))),"")</f>
        <v/>
      </c>
      <c r="J452" s="158">
        <f>IFERROR(ROUND(D452*(1-CHOOSE(MATCH(IF($E452="","Основний",$E452),{"Трафіковий","Основний","Маржинальний","Сезонний","Стратегічний"},0),Settings!$C$78,Settings!$C$80,Settings!$C$82,Settings!$C$84,Settings!$C$86))/6,2)*6,"")</f>
        <v/>
      </c>
      <c r="K452" s="142">
        <f>IFERROR(CHOOSE(MATCH(IF($E452="","Основний",$E452),{"Трафіковий","Основний","Маржинальний","Сезонний","Стратегічний"},0),Settings!$C$78,Settings!$C$80,Settings!$C$82,Settings!$C$84,Settings!$C$86),"")</f>
        <v/>
      </c>
      <c r="L452" s="143">
        <f>IFERROR((J452*(1-Settings!$C$17)-C452)/(J452*(1-Settings!$C$17)),"")</f>
        <v/>
      </c>
      <c r="M452" s="149">
        <f>IFERROR(IF(J452="","",IF(J452&gt;=C452/(1-SKU_Base!AA452)/(1-Settings!$C$17),"OK",IF(J452&gt;=C452/(1-SKU_Base!AH452)/(1-Settings!$C$17),"WARN","STOP"))),"")</f>
        <v/>
      </c>
      <c r="N452" s="159">
        <f>IFERROR(ROUND(D452*(1-CHOOSE(MATCH(IF($E452="","Основний",$E452),{"Трафіковий","Основний","Маржинальний","Сезонний","Стратегічний"},0),Settings!$D$78,Settings!$D$80,Settings!$D$82,Settings!$D$84,Settings!$D$86))/6,2)*6,"")</f>
        <v/>
      </c>
      <c r="O452" s="142">
        <f>IFERROR(CHOOSE(MATCH(IF($E452="","Основний",$E452),{"Трафіковий","Основний","Маржинальний","Сезонний","Стратегічний"},0),Settings!$D$78,Settings!$D$80,Settings!$D$82,Settings!$D$84,Settings!$D$86),"")</f>
        <v/>
      </c>
      <c r="P452" s="143">
        <f>IFERROR((N452*(1-Settings!$D$17)-C452)/(N452*(1-Settings!$D$17)),"")</f>
        <v/>
      </c>
      <c r="Q452" s="149">
        <f>IFERROR(IF(N452="","",IF(N452&gt;=C452/(1-SKU_Base!AB452)/(1-Settings!$D$17),"OK",IF(N452&gt;=C452/(1-SKU_Base!AI452)/(1-Settings!$D$17),"WARN","STOP"))),"")</f>
        <v/>
      </c>
      <c r="R452" s="159">
        <f>IFERROR(ROUND(D452*(1-CHOOSE(MATCH(IF($E452="","Основний",$E452),{"Трафіковий","Основний","Маржинальний","Сезонний","Стратегічний"},0),Settings!$E$78,Settings!$E$80,Settings!$E$82,Settings!$E$84,Settings!$E$86))/6,2)*6,"")</f>
        <v/>
      </c>
      <c r="S452" s="142">
        <f>IFERROR(CHOOSE(MATCH(IF($E452="","Основний",$E452),{"Трафіковий","Основний","Маржинальний","Сезонний","Стратегічний"},0),Settings!$E$78,Settings!$E$80,Settings!$E$82,Settings!$E$84,Settings!$E$86),"")</f>
        <v/>
      </c>
      <c r="T452" s="143">
        <f>IFERROR((R452*(1-Settings!$E$17)-C452)/(R452*(1-Settings!$E$17)),"")</f>
        <v/>
      </c>
      <c r="U452" s="149">
        <f>IFERROR(IF(R452="","",IF(R452&gt;=C452/(1-SKU_Base!AC452)/(1-Settings!$E$17),"OK",IF(R452&gt;=C452/(1-SKU_Base!AJ452)/(1-Settings!$E$17),"WARN","STOP"))),"")</f>
        <v/>
      </c>
      <c r="V452" s="159">
        <f>IFERROR(ROUND(D452*(1-CHOOSE(MATCH(IF($E452="","Основний",$E452),{"Трафіковий","Основний","Маржинальний","Сезонний","Стратегічний"},0),Settings!$F$78,Settings!$F$80,Settings!$F$82,Settings!$F$84,Settings!$F$86))/6,2)*6,"")</f>
        <v/>
      </c>
      <c r="W452" s="142">
        <f>IFERROR(CHOOSE(MATCH(IF($E452="","Основний",$E452),{"Трафіковий","Основний","Маржинальний","Сезонний","Стратегічний"},0),Settings!$F$78,Settings!$F$80,Settings!$F$82,Settings!$F$84,Settings!$F$86),"")</f>
        <v/>
      </c>
      <c r="X452" s="143">
        <f>IFERROR((V452*(1-Settings!$F$17)-C452)/(V452*(1-Settings!$F$17)),"")</f>
        <v/>
      </c>
      <c r="Y452" s="149">
        <f>IFERROR(IF(V452="","",IF(V452&gt;=C452/(1-SKU_Base!AD452)/(1-Settings!$F$17),"OK",IF(V452&gt;=C452/(1-SKU_Base!AK452)/(1-Settings!$F$17),"WARN","STOP"))),"")</f>
        <v/>
      </c>
      <c r="Z452" s="159">
        <f>IFERROR(ROUND(D452*(1-CHOOSE(MATCH(IF($E452="","Основний",$E452),{"Трафіковий","Основний","Маржинальний","Сезонний","Стратегічний"},0),Settings!$G$78,Settings!$G$80,Settings!$G$82,Settings!$G$84,Settings!$G$86))/6,2)*6,"")</f>
        <v/>
      </c>
      <c r="AA452" s="142">
        <f>IFERROR(CHOOSE(MATCH(IF($E452="","Основний",$E452),{"Трафіковий","Основний","Маржинальний","Сезонний","Стратегічний"},0),Settings!$G$78,Settings!$G$80,Settings!$G$82,Settings!$G$84,Settings!$G$86),"")</f>
        <v/>
      </c>
      <c r="AB452" s="143">
        <f>IFERROR((Z452*(1-Settings!$G$17)-C452)/(Z452*(1-Settings!$G$17)),"")</f>
        <v/>
      </c>
      <c r="AC452" s="149">
        <f>IFERROR(IF(Z452="","",IF(Z452&gt;=C452/(1-SKU_Base!AE452)/(1-Settings!$G$17),"OK",IF(Z452&gt;=C452/(1-SKU_Base!AL452)/(1-Settings!$G$17),"WARN","STOP"))),"")</f>
        <v/>
      </c>
      <c r="AD452" s="159">
        <f>IFERROR(ROUND(D452*(1-CHOOSE(MATCH(IF($E452="","Основний",$E452),{"Трафіковий","Основний","Маржинальний","Сезонний","Стратегічний"},0),Settings!$H$78,Settings!$H$80,Settings!$H$82,Settings!$H$84,Settings!$H$86))*(1-Settings!$H$68)/6,2)*6,"")</f>
        <v/>
      </c>
      <c r="AE452" s="142">
        <f>IFERROR(CHOOSE(MATCH(IF($E452="","Основний",$E452),{"Трафіковий","Основний","Маржинальний","Сезонний","Стратегічний"},0),Settings!$H$78,Settings!$H$80,Settings!$H$82,Settings!$H$84,Settings!$H$86)+(1-(CHOOSE(MATCH(IF($E452="","Основний",$E452),{"Трафіковий","Основний","Маржинальний","Сезонний","Стратегічний"},0),Settings!$H$78,Settings!$H$80,Settings!$H$82,Settings!$H$84,Settings!$H$86)))*Settings!$H$68,"")</f>
        <v/>
      </c>
      <c r="AF452" s="143">
        <f>IFERROR((AD452*(1-Settings!$H$17)-C452)/(AD452*(1-Settings!$H$17)),"")</f>
        <v/>
      </c>
      <c r="AG452" s="150">
        <f>IFERROR(IF(AD452="","",IF(AD452&gt;=C452/(1-SKU_Base!AF452)/(1-Settings!$H$17),"OK",IF(AD452&gt;=C452/(1-SKU_Base!AM452)/(1-Settings!$H$17),"WARN","STOP"))),"")</f>
        <v/>
      </c>
    </row>
    <row r="453" ht="17" customHeight="1" s="179">
      <c r="A453" s="146">
        <f>SKU_Base!B453</f>
        <v/>
      </c>
      <c r="B453" s="146">
        <f>SKU_Base!C453</f>
        <v/>
      </c>
      <c r="C453" s="147">
        <f>IFERROR(SKU_Base!I453,"")</f>
        <v/>
      </c>
      <c r="D453" s="164">
        <f>IFERROR(SKU_Base!T453,"")</f>
        <v/>
      </c>
      <c r="E453" s="141">
        <f>IFERROR(SKU_Base!$U453,"")</f>
        <v/>
      </c>
      <c r="F453" s="160">
        <f>IFERROR(ROUND(D453*(1-CHOOSE(MATCH(IF($E453="","Основний",$E453),{"Трафіковий","Основний","Маржинальний","Сезонний","Стратегічний"},0),Settings!$B$78,Settings!$B$80,Settings!$B$82,Settings!$B$84,Settings!$B$86))/6,2)*6,"")</f>
        <v/>
      </c>
      <c r="G453" s="142">
        <f>IFERROR(CHOOSE(MATCH(IF($E453="","Основний",$E453),{"Трафіковий","Основний","Маржинальний","Сезонний","Стратегічний"},0),Settings!$B$78,Settings!$B$80,Settings!$B$82,Settings!$B$84,Settings!$B$86),"")</f>
        <v/>
      </c>
      <c r="H453" s="148">
        <f>IFERROR((F453*(1-Settings!$B$17)-C453)/(F453*(1-Settings!$B$17)),"")</f>
        <v/>
      </c>
      <c r="I453" s="150">
        <f>IFERROR(IF(F453="","",IF(F453&gt;=C453/(1-SKU_Base!Z453)/(1-Settings!$B$17),"OK",IF(F453&gt;=C453/(1-SKU_Base!AG453)/(1-Settings!$B$17),"WARN","STOP"))),"")</f>
        <v/>
      </c>
      <c r="J453" s="160">
        <f>IFERROR(ROUND(D453*(1-CHOOSE(MATCH(IF($E453="","Основний",$E453),{"Трафіковий","Основний","Маржинальний","Сезонний","Стратегічний"},0),Settings!$C$78,Settings!$C$80,Settings!$C$82,Settings!$C$84,Settings!$C$86))/6,2)*6,"")</f>
        <v/>
      </c>
      <c r="K453" s="142">
        <f>IFERROR(CHOOSE(MATCH(IF($E453="","Основний",$E453),{"Трафіковий","Основний","Маржинальний","Сезонний","Стратегічний"},0),Settings!$C$78,Settings!$C$80,Settings!$C$82,Settings!$C$84,Settings!$C$86),"")</f>
        <v/>
      </c>
      <c r="L453" s="148">
        <f>IFERROR((J453*(1-Settings!$C$17)-C453)/(J453*(1-Settings!$C$17)),"")</f>
        <v/>
      </c>
      <c r="M453" s="149">
        <f>IFERROR(IF(J453="","",IF(J453&gt;=C453/(1-SKU_Base!AA453)/(1-Settings!$C$17),"OK",IF(J453&gt;=C453/(1-SKU_Base!AH453)/(1-Settings!$C$17),"WARN","STOP"))),"")</f>
        <v/>
      </c>
      <c r="N453" s="161">
        <f>IFERROR(ROUND(D453*(1-CHOOSE(MATCH(IF($E453="","Основний",$E453),{"Трафіковий","Основний","Маржинальний","Сезонний","Стратегічний"},0),Settings!$D$78,Settings!$D$80,Settings!$D$82,Settings!$D$84,Settings!$D$86))/6,2)*6,"")</f>
        <v/>
      </c>
      <c r="O453" s="142">
        <f>IFERROR(CHOOSE(MATCH(IF($E453="","Основний",$E453),{"Трафіковий","Основний","Маржинальний","Сезонний","Стратегічний"},0),Settings!$D$78,Settings!$D$80,Settings!$D$82,Settings!$D$84,Settings!$D$86),"")</f>
        <v/>
      </c>
      <c r="P453" s="148">
        <f>IFERROR((N453*(1-Settings!$D$17)-C453)/(N453*(1-Settings!$D$17)),"")</f>
        <v/>
      </c>
      <c r="Q453" s="149">
        <f>IFERROR(IF(N453="","",IF(N453&gt;=C453/(1-SKU_Base!AB453)/(1-Settings!$D$17),"OK",IF(N453&gt;=C453/(1-SKU_Base!AI453)/(1-Settings!$D$17),"WARN","STOP"))),"")</f>
        <v/>
      </c>
      <c r="R453" s="161">
        <f>IFERROR(ROUND(D453*(1-CHOOSE(MATCH(IF($E453="","Основний",$E453),{"Трафіковий","Основний","Маржинальний","Сезонний","Стратегічний"},0),Settings!$E$78,Settings!$E$80,Settings!$E$82,Settings!$E$84,Settings!$E$86))/6,2)*6,"")</f>
        <v/>
      </c>
      <c r="S453" s="142">
        <f>IFERROR(CHOOSE(MATCH(IF($E453="","Основний",$E453),{"Трафіковий","Основний","Маржинальний","Сезонний","Стратегічний"},0),Settings!$E$78,Settings!$E$80,Settings!$E$82,Settings!$E$84,Settings!$E$86),"")</f>
        <v/>
      </c>
      <c r="T453" s="148">
        <f>IFERROR((R453*(1-Settings!$E$17)-C453)/(R453*(1-Settings!$E$17)),"")</f>
        <v/>
      </c>
      <c r="U453" s="149">
        <f>IFERROR(IF(R453="","",IF(R453&gt;=C453/(1-SKU_Base!AC453)/(1-Settings!$E$17),"OK",IF(R453&gt;=C453/(1-SKU_Base!AJ453)/(1-Settings!$E$17),"WARN","STOP"))),"")</f>
        <v/>
      </c>
      <c r="V453" s="161">
        <f>IFERROR(ROUND(D453*(1-CHOOSE(MATCH(IF($E453="","Основний",$E453),{"Трафіковий","Основний","Маржинальний","Сезонний","Стратегічний"},0),Settings!$F$78,Settings!$F$80,Settings!$F$82,Settings!$F$84,Settings!$F$86))/6,2)*6,"")</f>
        <v/>
      </c>
      <c r="W453" s="142">
        <f>IFERROR(CHOOSE(MATCH(IF($E453="","Основний",$E453),{"Трафіковий","Основний","Маржинальний","Сезонний","Стратегічний"},0),Settings!$F$78,Settings!$F$80,Settings!$F$82,Settings!$F$84,Settings!$F$86),"")</f>
        <v/>
      </c>
      <c r="X453" s="148">
        <f>IFERROR((V453*(1-Settings!$F$17)-C453)/(V453*(1-Settings!$F$17)),"")</f>
        <v/>
      </c>
      <c r="Y453" s="149">
        <f>IFERROR(IF(V453="","",IF(V453&gt;=C453/(1-SKU_Base!AD453)/(1-Settings!$F$17),"OK",IF(V453&gt;=C453/(1-SKU_Base!AK453)/(1-Settings!$F$17),"WARN","STOP"))),"")</f>
        <v/>
      </c>
      <c r="Z453" s="161">
        <f>IFERROR(ROUND(D453*(1-CHOOSE(MATCH(IF($E453="","Основний",$E453),{"Трафіковий","Основний","Маржинальний","Сезонний","Стратегічний"},0),Settings!$G$78,Settings!$G$80,Settings!$G$82,Settings!$G$84,Settings!$G$86))/6,2)*6,"")</f>
        <v/>
      </c>
      <c r="AA453" s="142">
        <f>IFERROR(CHOOSE(MATCH(IF($E453="","Основний",$E453),{"Трафіковий","Основний","Маржинальний","Сезонний","Стратегічний"},0),Settings!$G$78,Settings!$G$80,Settings!$G$82,Settings!$G$84,Settings!$G$86),"")</f>
        <v/>
      </c>
      <c r="AB453" s="148">
        <f>IFERROR((Z453*(1-Settings!$G$17)-C453)/(Z453*(1-Settings!$G$17)),"")</f>
        <v/>
      </c>
      <c r="AC453" s="149">
        <f>IFERROR(IF(Z453="","",IF(Z453&gt;=C453/(1-SKU_Base!AE453)/(1-Settings!$G$17),"OK",IF(Z453&gt;=C453/(1-SKU_Base!AL453)/(1-Settings!$G$17),"WARN","STOP"))),"")</f>
        <v/>
      </c>
      <c r="AD453" s="161">
        <f>IFERROR(ROUND(D453*(1-CHOOSE(MATCH(IF($E453="","Основний",$E453),{"Трафіковий","Основний","Маржинальний","Сезонний","Стратегічний"},0),Settings!$H$78,Settings!$H$80,Settings!$H$82,Settings!$H$84,Settings!$H$86))*(1-Settings!$H$68)/6,2)*6,"")</f>
        <v/>
      </c>
      <c r="AE453" s="142">
        <f>IFERROR(CHOOSE(MATCH(IF($E453="","Основний",$E453),{"Трафіковий","Основний","Маржинальний","Сезонний","Стратегічний"},0),Settings!$H$78,Settings!$H$80,Settings!$H$82,Settings!$H$84,Settings!$H$86)+(1-(CHOOSE(MATCH(IF($E453="","Основний",$E453),{"Трафіковий","Основний","Маржинальний","Сезонний","Стратегічний"},0),Settings!$H$78,Settings!$H$80,Settings!$H$82,Settings!$H$84,Settings!$H$86)))*Settings!$H$68,"")</f>
        <v/>
      </c>
      <c r="AF453" s="148">
        <f>IFERROR((AD453*(1-Settings!$H$17)-C453)/(AD453*(1-Settings!$H$17)),"")</f>
        <v/>
      </c>
      <c r="AG453" s="150">
        <f>IFERROR(IF(AD453="","",IF(AD453&gt;=C453/(1-SKU_Base!AF453)/(1-Settings!$H$17),"OK",IF(AD453&gt;=C453/(1-SKU_Base!AM453)/(1-Settings!$H$17),"WARN","STOP"))),"")</f>
        <v/>
      </c>
    </row>
    <row r="454" ht="17" customHeight="1" s="179">
      <c r="A454" s="139">
        <f>SKU_Base!B454</f>
        <v/>
      </c>
      <c r="B454" s="139">
        <f>SKU_Base!C454</f>
        <v/>
      </c>
      <c r="C454" s="140">
        <f>IFERROR(SKU_Base!I454,"")</f>
        <v/>
      </c>
      <c r="D454" s="163">
        <f>IFERROR(SKU_Base!T454,"")</f>
        <v/>
      </c>
      <c r="E454" s="141">
        <f>IFERROR(SKU_Base!$U454,"")</f>
        <v/>
      </c>
      <c r="F454" s="158">
        <f>IFERROR(ROUND(D454*(1-CHOOSE(MATCH(IF($E454="","Основний",$E454),{"Трафіковий","Основний","Маржинальний","Сезонний","Стратегічний"},0),Settings!$B$78,Settings!$B$80,Settings!$B$82,Settings!$B$84,Settings!$B$86))/6,2)*6,"")</f>
        <v/>
      </c>
      <c r="G454" s="142">
        <f>IFERROR(CHOOSE(MATCH(IF($E454="","Основний",$E454),{"Трафіковий","Основний","Маржинальний","Сезонний","Стратегічний"},0),Settings!$B$78,Settings!$B$80,Settings!$B$82,Settings!$B$84,Settings!$B$86),"")</f>
        <v/>
      </c>
      <c r="H454" s="143">
        <f>IFERROR((F454*(1-Settings!$B$17)-C454)/(F454*(1-Settings!$B$17)),"")</f>
        <v/>
      </c>
      <c r="I454" s="149">
        <f>IFERROR(IF(F454="","",IF(F454&gt;=C454/(1-SKU_Base!Z454)/(1-Settings!$B$17),"OK",IF(F454&gt;=C454/(1-SKU_Base!AG454)/(1-Settings!$B$17),"WARN","STOP"))),"")</f>
        <v/>
      </c>
      <c r="J454" s="158">
        <f>IFERROR(ROUND(D454*(1-CHOOSE(MATCH(IF($E454="","Основний",$E454),{"Трафіковий","Основний","Маржинальний","Сезонний","Стратегічний"},0),Settings!$C$78,Settings!$C$80,Settings!$C$82,Settings!$C$84,Settings!$C$86))/6,2)*6,"")</f>
        <v/>
      </c>
      <c r="K454" s="142">
        <f>IFERROR(CHOOSE(MATCH(IF($E454="","Основний",$E454),{"Трафіковий","Основний","Маржинальний","Сезонний","Стратегічний"},0),Settings!$C$78,Settings!$C$80,Settings!$C$82,Settings!$C$84,Settings!$C$86),"")</f>
        <v/>
      </c>
      <c r="L454" s="143">
        <f>IFERROR((J454*(1-Settings!$C$17)-C454)/(J454*(1-Settings!$C$17)),"")</f>
        <v/>
      </c>
      <c r="M454" s="149">
        <f>IFERROR(IF(J454="","",IF(J454&gt;=C454/(1-SKU_Base!AA454)/(1-Settings!$C$17),"OK",IF(J454&gt;=C454/(1-SKU_Base!AH454)/(1-Settings!$C$17),"WARN","STOP"))),"")</f>
        <v/>
      </c>
      <c r="N454" s="159">
        <f>IFERROR(ROUND(D454*(1-CHOOSE(MATCH(IF($E454="","Основний",$E454),{"Трафіковий","Основний","Маржинальний","Сезонний","Стратегічний"},0),Settings!$D$78,Settings!$D$80,Settings!$D$82,Settings!$D$84,Settings!$D$86))/6,2)*6,"")</f>
        <v/>
      </c>
      <c r="O454" s="142">
        <f>IFERROR(CHOOSE(MATCH(IF($E454="","Основний",$E454),{"Трафіковий","Основний","Маржинальний","Сезонний","Стратегічний"},0),Settings!$D$78,Settings!$D$80,Settings!$D$82,Settings!$D$84,Settings!$D$86),"")</f>
        <v/>
      </c>
      <c r="P454" s="143">
        <f>IFERROR((N454*(1-Settings!$D$17)-C454)/(N454*(1-Settings!$D$17)),"")</f>
        <v/>
      </c>
      <c r="Q454" s="149">
        <f>IFERROR(IF(N454="","",IF(N454&gt;=C454/(1-SKU_Base!AB454)/(1-Settings!$D$17),"OK",IF(N454&gt;=C454/(1-SKU_Base!AI454)/(1-Settings!$D$17),"WARN","STOP"))),"")</f>
        <v/>
      </c>
      <c r="R454" s="159">
        <f>IFERROR(ROUND(D454*(1-CHOOSE(MATCH(IF($E454="","Основний",$E454),{"Трафіковий","Основний","Маржинальний","Сезонний","Стратегічний"},0),Settings!$E$78,Settings!$E$80,Settings!$E$82,Settings!$E$84,Settings!$E$86))/6,2)*6,"")</f>
        <v/>
      </c>
      <c r="S454" s="142">
        <f>IFERROR(CHOOSE(MATCH(IF($E454="","Основний",$E454),{"Трафіковий","Основний","Маржинальний","Сезонний","Стратегічний"},0),Settings!$E$78,Settings!$E$80,Settings!$E$82,Settings!$E$84,Settings!$E$86),"")</f>
        <v/>
      </c>
      <c r="T454" s="143">
        <f>IFERROR((R454*(1-Settings!$E$17)-C454)/(R454*(1-Settings!$E$17)),"")</f>
        <v/>
      </c>
      <c r="U454" s="149">
        <f>IFERROR(IF(R454="","",IF(R454&gt;=C454/(1-SKU_Base!AC454)/(1-Settings!$E$17),"OK",IF(R454&gt;=C454/(1-SKU_Base!AJ454)/(1-Settings!$E$17),"WARN","STOP"))),"")</f>
        <v/>
      </c>
      <c r="V454" s="159">
        <f>IFERROR(ROUND(D454*(1-CHOOSE(MATCH(IF($E454="","Основний",$E454),{"Трафіковий","Основний","Маржинальний","Сезонний","Стратегічний"},0),Settings!$F$78,Settings!$F$80,Settings!$F$82,Settings!$F$84,Settings!$F$86))/6,2)*6,"")</f>
        <v/>
      </c>
      <c r="W454" s="142">
        <f>IFERROR(CHOOSE(MATCH(IF($E454="","Основний",$E454),{"Трафіковий","Основний","Маржинальний","Сезонний","Стратегічний"},0),Settings!$F$78,Settings!$F$80,Settings!$F$82,Settings!$F$84,Settings!$F$86),"")</f>
        <v/>
      </c>
      <c r="X454" s="143">
        <f>IFERROR((V454*(1-Settings!$F$17)-C454)/(V454*(1-Settings!$F$17)),"")</f>
        <v/>
      </c>
      <c r="Y454" s="149">
        <f>IFERROR(IF(V454="","",IF(V454&gt;=C454/(1-SKU_Base!AD454)/(1-Settings!$F$17),"OK",IF(V454&gt;=C454/(1-SKU_Base!AK454)/(1-Settings!$F$17),"WARN","STOP"))),"")</f>
        <v/>
      </c>
      <c r="Z454" s="159">
        <f>IFERROR(ROUND(D454*(1-CHOOSE(MATCH(IF($E454="","Основний",$E454),{"Трафіковий","Основний","Маржинальний","Сезонний","Стратегічний"},0),Settings!$G$78,Settings!$G$80,Settings!$G$82,Settings!$G$84,Settings!$G$86))/6,2)*6,"")</f>
        <v/>
      </c>
      <c r="AA454" s="142">
        <f>IFERROR(CHOOSE(MATCH(IF($E454="","Основний",$E454),{"Трафіковий","Основний","Маржинальний","Сезонний","Стратегічний"},0),Settings!$G$78,Settings!$G$80,Settings!$G$82,Settings!$G$84,Settings!$G$86),"")</f>
        <v/>
      </c>
      <c r="AB454" s="143">
        <f>IFERROR((Z454*(1-Settings!$G$17)-C454)/(Z454*(1-Settings!$G$17)),"")</f>
        <v/>
      </c>
      <c r="AC454" s="149">
        <f>IFERROR(IF(Z454="","",IF(Z454&gt;=C454/(1-SKU_Base!AE454)/(1-Settings!$G$17),"OK",IF(Z454&gt;=C454/(1-SKU_Base!AL454)/(1-Settings!$G$17),"WARN","STOP"))),"")</f>
        <v/>
      </c>
      <c r="AD454" s="159">
        <f>IFERROR(ROUND(D454*(1-CHOOSE(MATCH(IF($E454="","Основний",$E454),{"Трафіковий","Основний","Маржинальний","Сезонний","Стратегічний"},0),Settings!$H$78,Settings!$H$80,Settings!$H$82,Settings!$H$84,Settings!$H$86))*(1-Settings!$H$68)/6,2)*6,"")</f>
        <v/>
      </c>
      <c r="AE454" s="142">
        <f>IFERROR(CHOOSE(MATCH(IF($E454="","Основний",$E454),{"Трафіковий","Основний","Маржинальний","Сезонний","Стратегічний"},0),Settings!$H$78,Settings!$H$80,Settings!$H$82,Settings!$H$84,Settings!$H$86)+(1-(CHOOSE(MATCH(IF($E454="","Основний",$E454),{"Трафіковий","Основний","Маржинальний","Сезонний","Стратегічний"},0),Settings!$H$78,Settings!$H$80,Settings!$H$82,Settings!$H$84,Settings!$H$86)))*Settings!$H$68,"")</f>
        <v/>
      </c>
      <c r="AF454" s="143">
        <f>IFERROR((AD454*(1-Settings!$H$17)-C454)/(AD454*(1-Settings!$H$17)),"")</f>
        <v/>
      </c>
      <c r="AG454" s="150">
        <f>IFERROR(IF(AD454="","",IF(AD454&gt;=C454/(1-SKU_Base!AF454)/(1-Settings!$H$17),"OK",IF(AD454&gt;=C454/(1-SKU_Base!AM454)/(1-Settings!$H$17),"WARN","STOP"))),"")</f>
        <v/>
      </c>
    </row>
    <row r="455" ht="17" customHeight="1" s="179">
      <c r="A455" s="146">
        <f>SKU_Base!B455</f>
        <v/>
      </c>
      <c r="B455" s="146">
        <f>SKU_Base!C455</f>
        <v/>
      </c>
      <c r="C455" s="147">
        <f>IFERROR(SKU_Base!I455,"")</f>
        <v/>
      </c>
      <c r="D455" s="164">
        <f>IFERROR(SKU_Base!T455,"")</f>
        <v/>
      </c>
      <c r="E455" s="141">
        <f>IFERROR(SKU_Base!$U455,"")</f>
        <v/>
      </c>
      <c r="F455" s="160">
        <f>IFERROR(ROUND(D455*(1-CHOOSE(MATCH(IF($E455="","Основний",$E455),{"Трафіковий","Основний","Маржинальний","Сезонний","Стратегічний"},0),Settings!$B$78,Settings!$B$80,Settings!$B$82,Settings!$B$84,Settings!$B$86))/6,2)*6,"")</f>
        <v/>
      </c>
      <c r="G455" s="142">
        <f>IFERROR(CHOOSE(MATCH(IF($E455="","Основний",$E455),{"Трафіковий","Основний","Маржинальний","Сезонний","Стратегічний"},0),Settings!$B$78,Settings!$B$80,Settings!$B$82,Settings!$B$84,Settings!$B$86),"")</f>
        <v/>
      </c>
      <c r="H455" s="148">
        <f>IFERROR((F455*(1-Settings!$B$17)-C455)/(F455*(1-Settings!$B$17)),"")</f>
        <v/>
      </c>
      <c r="I455" s="150">
        <f>IFERROR(IF(F455="","",IF(F455&gt;=C455/(1-SKU_Base!Z455)/(1-Settings!$B$17),"OK",IF(F455&gt;=C455/(1-SKU_Base!AG455)/(1-Settings!$B$17),"WARN","STOP"))),"")</f>
        <v/>
      </c>
      <c r="J455" s="160">
        <f>IFERROR(ROUND(D455*(1-CHOOSE(MATCH(IF($E455="","Основний",$E455),{"Трафіковий","Основний","Маржинальний","Сезонний","Стратегічний"},0),Settings!$C$78,Settings!$C$80,Settings!$C$82,Settings!$C$84,Settings!$C$86))/6,2)*6,"")</f>
        <v/>
      </c>
      <c r="K455" s="142">
        <f>IFERROR(CHOOSE(MATCH(IF($E455="","Основний",$E455),{"Трафіковий","Основний","Маржинальний","Сезонний","Стратегічний"},0),Settings!$C$78,Settings!$C$80,Settings!$C$82,Settings!$C$84,Settings!$C$86),"")</f>
        <v/>
      </c>
      <c r="L455" s="148">
        <f>IFERROR((J455*(1-Settings!$C$17)-C455)/(J455*(1-Settings!$C$17)),"")</f>
        <v/>
      </c>
      <c r="M455" s="149">
        <f>IFERROR(IF(J455="","",IF(J455&gt;=C455/(1-SKU_Base!AA455)/(1-Settings!$C$17),"OK",IF(J455&gt;=C455/(1-SKU_Base!AH455)/(1-Settings!$C$17),"WARN","STOP"))),"")</f>
        <v/>
      </c>
      <c r="N455" s="161">
        <f>IFERROR(ROUND(D455*(1-CHOOSE(MATCH(IF($E455="","Основний",$E455),{"Трафіковий","Основний","Маржинальний","Сезонний","Стратегічний"},0),Settings!$D$78,Settings!$D$80,Settings!$D$82,Settings!$D$84,Settings!$D$86))/6,2)*6,"")</f>
        <v/>
      </c>
      <c r="O455" s="142">
        <f>IFERROR(CHOOSE(MATCH(IF($E455="","Основний",$E455),{"Трафіковий","Основний","Маржинальний","Сезонний","Стратегічний"},0),Settings!$D$78,Settings!$D$80,Settings!$D$82,Settings!$D$84,Settings!$D$86),"")</f>
        <v/>
      </c>
      <c r="P455" s="148">
        <f>IFERROR((N455*(1-Settings!$D$17)-C455)/(N455*(1-Settings!$D$17)),"")</f>
        <v/>
      </c>
      <c r="Q455" s="149">
        <f>IFERROR(IF(N455="","",IF(N455&gt;=C455/(1-SKU_Base!AB455)/(1-Settings!$D$17),"OK",IF(N455&gt;=C455/(1-SKU_Base!AI455)/(1-Settings!$D$17),"WARN","STOP"))),"")</f>
        <v/>
      </c>
      <c r="R455" s="161">
        <f>IFERROR(ROUND(D455*(1-CHOOSE(MATCH(IF($E455="","Основний",$E455),{"Трафіковий","Основний","Маржинальний","Сезонний","Стратегічний"},0),Settings!$E$78,Settings!$E$80,Settings!$E$82,Settings!$E$84,Settings!$E$86))/6,2)*6,"")</f>
        <v/>
      </c>
      <c r="S455" s="142">
        <f>IFERROR(CHOOSE(MATCH(IF($E455="","Основний",$E455),{"Трафіковий","Основний","Маржинальний","Сезонний","Стратегічний"},0),Settings!$E$78,Settings!$E$80,Settings!$E$82,Settings!$E$84,Settings!$E$86),"")</f>
        <v/>
      </c>
      <c r="T455" s="148">
        <f>IFERROR((R455*(1-Settings!$E$17)-C455)/(R455*(1-Settings!$E$17)),"")</f>
        <v/>
      </c>
      <c r="U455" s="149">
        <f>IFERROR(IF(R455="","",IF(R455&gt;=C455/(1-SKU_Base!AC455)/(1-Settings!$E$17),"OK",IF(R455&gt;=C455/(1-SKU_Base!AJ455)/(1-Settings!$E$17),"WARN","STOP"))),"")</f>
        <v/>
      </c>
      <c r="V455" s="161">
        <f>IFERROR(ROUND(D455*(1-CHOOSE(MATCH(IF($E455="","Основний",$E455),{"Трафіковий","Основний","Маржинальний","Сезонний","Стратегічний"},0),Settings!$F$78,Settings!$F$80,Settings!$F$82,Settings!$F$84,Settings!$F$86))/6,2)*6,"")</f>
        <v/>
      </c>
      <c r="W455" s="142">
        <f>IFERROR(CHOOSE(MATCH(IF($E455="","Основний",$E455),{"Трафіковий","Основний","Маржинальний","Сезонний","Стратегічний"},0),Settings!$F$78,Settings!$F$80,Settings!$F$82,Settings!$F$84,Settings!$F$86),"")</f>
        <v/>
      </c>
      <c r="X455" s="148">
        <f>IFERROR((V455*(1-Settings!$F$17)-C455)/(V455*(1-Settings!$F$17)),"")</f>
        <v/>
      </c>
      <c r="Y455" s="149">
        <f>IFERROR(IF(V455="","",IF(V455&gt;=C455/(1-SKU_Base!AD455)/(1-Settings!$F$17),"OK",IF(V455&gt;=C455/(1-SKU_Base!AK455)/(1-Settings!$F$17),"WARN","STOP"))),"")</f>
        <v/>
      </c>
      <c r="Z455" s="161">
        <f>IFERROR(ROUND(D455*(1-CHOOSE(MATCH(IF($E455="","Основний",$E455),{"Трафіковий","Основний","Маржинальний","Сезонний","Стратегічний"},0),Settings!$G$78,Settings!$G$80,Settings!$G$82,Settings!$G$84,Settings!$G$86))/6,2)*6,"")</f>
        <v/>
      </c>
      <c r="AA455" s="142">
        <f>IFERROR(CHOOSE(MATCH(IF($E455="","Основний",$E455),{"Трафіковий","Основний","Маржинальний","Сезонний","Стратегічний"},0),Settings!$G$78,Settings!$G$80,Settings!$G$82,Settings!$G$84,Settings!$G$86),"")</f>
        <v/>
      </c>
      <c r="AB455" s="148">
        <f>IFERROR((Z455*(1-Settings!$G$17)-C455)/(Z455*(1-Settings!$G$17)),"")</f>
        <v/>
      </c>
      <c r="AC455" s="149">
        <f>IFERROR(IF(Z455="","",IF(Z455&gt;=C455/(1-SKU_Base!AE455)/(1-Settings!$G$17),"OK",IF(Z455&gt;=C455/(1-SKU_Base!AL455)/(1-Settings!$G$17),"WARN","STOP"))),"")</f>
        <v/>
      </c>
      <c r="AD455" s="161">
        <f>IFERROR(ROUND(D455*(1-CHOOSE(MATCH(IF($E455="","Основний",$E455),{"Трафіковий","Основний","Маржинальний","Сезонний","Стратегічний"},0),Settings!$H$78,Settings!$H$80,Settings!$H$82,Settings!$H$84,Settings!$H$86))*(1-Settings!$H$68)/6,2)*6,"")</f>
        <v/>
      </c>
      <c r="AE455" s="142">
        <f>IFERROR(CHOOSE(MATCH(IF($E455="","Основний",$E455),{"Трафіковий","Основний","Маржинальний","Сезонний","Стратегічний"},0),Settings!$H$78,Settings!$H$80,Settings!$H$82,Settings!$H$84,Settings!$H$86)+(1-(CHOOSE(MATCH(IF($E455="","Основний",$E455),{"Трафіковий","Основний","Маржинальний","Сезонний","Стратегічний"},0),Settings!$H$78,Settings!$H$80,Settings!$H$82,Settings!$H$84,Settings!$H$86)))*Settings!$H$68,"")</f>
        <v/>
      </c>
      <c r="AF455" s="148">
        <f>IFERROR((AD455*(1-Settings!$H$17)-C455)/(AD455*(1-Settings!$H$17)),"")</f>
        <v/>
      </c>
      <c r="AG455" s="150">
        <f>IFERROR(IF(AD455="","",IF(AD455&gt;=C455/(1-SKU_Base!AF455)/(1-Settings!$H$17),"OK",IF(AD455&gt;=C455/(1-SKU_Base!AM455)/(1-Settings!$H$17),"WARN","STOP"))),"")</f>
        <v/>
      </c>
    </row>
    <row r="456" ht="17" customHeight="1" s="179">
      <c r="A456" s="139">
        <f>SKU_Base!B456</f>
        <v/>
      </c>
      <c r="B456" s="139">
        <f>SKU_Base!C456</f>
        <v/>
      </c>
      <c r="C456" s="140">
        <f>IFERROR(SKU_Base!I456,"")</f>
        <v/>
      </c>
      <c r="D456" s="163">
        <f>IFERROR(SKU_Base!T456,"")</f>
        <v/>
      </c>
      <c r="E456" s="141">
        <f>IFERROR(SKU_Base!$U456,"")</f>
        <v/>
      </c>
      <c r="F456" s="158">
        <f>IFERROR(ROUND(D456*(1-CHOOSE(MATCH(IF($E456="","Основний",$E456),{"Трафіковий","Основний","Маржинальний","Сезонний","Стратегічний"},0),Settings!$B$78,Settings!$B$80,Settings!$B$82,Settings!$B$84,Settings!$B$86))/6,2)*6,"")</f>
        <v/>
      </c>
      <c r="G456" s="142">
        <f>IFERROR(CHOOSE(MATCH(IF($E456="","Основний",$E456),{"Трафіковий","Основний","Маржинальний","Сезонний","Стратегічний"},0),Settings!$B$78,Settings!$B$80,Settings!$B$82,Settings!$B$84,Settings!$B$86),"")</f>
        <v/>
      </c>
      <c r="H456" s="143">
        <f>IFERROR((F456*(1-Settings!$B$17)-C456)/(F456*(1-Settings!$B$17)),"")</f>
        <v/>
      </c>
      <c r="I456" s="149">
        <f>IFERROR(IF(F456="","",IF(F456&gt;=C456/(1-SKU_Base!Z456)/(1-Settings!$B$17),"OK",IF(F456&gt;=C456/(1-SKU_Base!AG456)/(1-Settings!$B$17),"WARN","STOP"))),"")</f>
        <v/>
      </c>
      <c r="J456" s="158">
        <f>IFERROR(ROUND(D456*(1-CHOOSE(MATCH(IF($E456="","Основний",$E456),{"Трафіковий","Основний","Маржинальний","Сезонний","Стратегічний"},0),Settings!$C$78,Settings!$C$80,Settings!$C$82,Settings!$C$84,Settings!$C$86))/6,2)*6,"")</f>
        <v/>
      </c>
      <c r="K456" s="142">
        <f>IFERROR(CHOOSE(MATCH(IF($E456="","Основний",$E456),{"Трафіковий","Основний","Маржинальний","Сезонний","Стратегічний"},0),Settings!$C$78,Settings!$C$80,Settings!$C$82,Settings!$C$84,Settings!$C$86),"")</f>
        <v/>
      </c>
      <c r="L456" s="143">
        <f>IFERROR((J456*(1-Settings!$C$17)-C456)/(J456*(1-Settings!$C$17)),"")</f>
        <v/>
      </c>
      <c r="M456" s="149">
        <f>IFERROR(IF(J456="","",IF(J456&gt;=C456/(1-SKU_Base!AA456)/(1-Settings!$C$17),"OK",IF(J456&gt;=C456/(1-SKU_Base!AH456)/(1-Settings!$C$17),"WARN","STOP"))),"")</f>
        <v/>
      </c>
      <c r="N456" s="159">
        <f>IFERROR(ROUND(D456*(1-CHOOSE(MATCH(IF($E456="","Основний",$E456),{"Трафіковий","Основний","Маржинальний","Сезонний","Стратегічний"},0),Settings!$D$78,Settings!$D$80,Settings!$D$82,Settings!$D$84,Settings!$D$86))/6,2)*6,"")</f>
        <v/>
      </c>
      <c r="O456" s="142">
        <f>IFERROR(CHOOSE(MATCH(IF($E456="","Основний",$E456),{"Трафіковий","Основний","Маржинальний","Сезонний","Стратегічний"},0),Settings!$D$78,Settings!$D$80,Settings!$D$82,Settings!$D$84,Settings!$D$86),"")</f>
        <v/>
      </c>
      <c r="P456" s="143">
        <f>IFERROR((N456*(1-Settings!$D$17)-C456)/(N456*(1-Settings!$D$17)),"")</f>
        <v/>
      </c>
      <c r="Q456" s="149">
        <f>IFERROR(IF(N456="","",IF(N456&gt;=C456/(1-SKU_Base!AB456)/(1-Settings!$D$17),"OK",IF(N456&gt;=C456/(1-SKU_Base!AI456)/(1-Settings!$D$17),"WARN","STOP"))),"")</f>
        <v/>
      </c>
      <c r="R456" s="159">
        <f>IFERROR(ROUND(D456*(1-CHOOSE(MATCH(IF($E456="","Основний",$E456),{"Трафіковий","Основний","Маржинальний","Сезонний","Стратегічний"},0),Settings!$E$78,Settings!$E$80,Settings!$E$82,Settings!$E$84,Settings!$E$86))/6,2)*6,"")</f>
        <v/>
      </c>
      <c r="S456" s="142">
        <f>IFERROR(CHOOSE(MATCH(IF($E456="","Основний",$E456),{"Трафіковий","Основний","Маржинальний","Сезонний","Стратегічний"},0),Settings!$E$78,Settings!$E$80,Settings!$E$82,Settings!$E$84,Settings!$E$86),"")</f>
        <v/>
      </c>
      <c r="T456" s="143">
        <f>IFERROR((R456*(1-Settings!$E$17)-C456)/(R456*(1-Settings!$E$17)),"")</f>
        <v/>
      </c>
      <c r="U456" s="149">
        <f>IFERROR(IF(R456="","",IF(R456&gt;=C456/(1-SKU_Base!AC456)/(1-Settings!$E$17),"OK",IF(R456&gt;=C456/(1-SKU_Base!AJ456)/(1-Settings!$E$17),"WARN","STOP"))),"")</f>
        <v/>
      </c>
      <c r="V456" s="159">
        <f>IFERROR(ROUND(D456*(1-CHOOSE(MATCH(IF($E456="","Основний",$E456),{"Трафіковий","Основний","Маржинальний","Сезонний","Стратегічний"},0),Settings!$F$78,Settings!$F$80,Settings!$F$82,Settings!$F$84,Settings!$F$86))/6,2)*6,"")</f>
        <v/>
      </c>
      <c r="W456" s="142">
        <f>IFERROR(CHOOSE(MATCH(IF($E456="","Основний",$E456),{"Трафіковий","Основний","Маржинальний","Сезонний","Стратегічний"},0),Settings!$F$78,Settings!$F$80,Settings!$F$82,Settings!$F$84,Settings!$F$86),"")</f>
        <v/>
      </c>
      <c r="X456" s="143">
        <f>IFERROR((V456*(1-Settings!$F$17)-C456)/(V456*(1-Settings!$F$17)),"")</f>
        <v/>
      </c>
      <c r="Y456" s="149">
        <f>IFERROR(IF(V456="","",IF(V456&gt;=C456/(1-SKU_Base!AD456)/(1-Settings!$F$17),"OK",IF(V456&gt;=C456/(1-SKU_Base!AK456)/(1-Settings!$F$17),"WARN","STOP"))),"")</f>
        <v/>
      </c>
      <c r="Z456" s="159">
        <f>IFERROR(ROUND(D456*(1-CHOOSE(MATCH(IF($E456="","Основний",$E456),{"Трафіковий","Основний","Маржинальний","Сезонний","Стратегічний"},0),Settings!$G$78,Settings!$G$80,Settings!$G$82,Settings!$G$84,Settings!$G$86))/6,2)*6,"")</f>
        <v/>
      </c>
      <c r="AA456" s="142">
        <f>IFERROR(CHOOSE(MATCH(IF($E456="","Основний",$E456),{"Трафіковий","Основний","Маржинальний","Сезонний","Стратегічний"},0),Settings!$G$78,Settings!$G$80,Settings!$G$82,Settings!$G$84,Settings!$G$86),"")</f>
        <v/>
      </c>
      <c r="AB456" s="143">
        <f>IFERROR((Z456*(1-Settings!$G$17)-C456)/(Z456*(1-Settings!$G$17)),"")</f>
        <v/>
      </c>
      <c r="AC456" s="149">
        <f>IFERROR(IF(Z456="","",IF(Z456&gt;=C456/(1-SKU_Base!AE456)/(1-Settings!$G$17),"OK",IF(Z456&gt;=C456/(1-SKU_Base!AL456)/(1-Settings!$G$17),"WARN","STOP"))),"")</f>
        <v/>
      </c>
      <c r="AD456" s="159">
        <f>IFERROR(ROUND(D456*(1-CHOOSE(MATCH(IF($E456="","Основний",$E456),{"Трафіковий","Основний","Маржинальний","Сезонний","Стратегічний"},0),Settings!$H$78,Settings!$H$80,Settings!$H$82,Settings!$H$84,Settings!$H$86))*(1-Settings!$H$68)/6,2)*6,"")</f>
        <v/>
      </c>
      <c r="AE456" s="142">
        <f>IFERROR(CHOOSE(MATCH(IF($E456="","Основний",$E456),{"Трафіковий","Основний","Маржинальний","Сезонний","Стратегічний"},0),Settings!$H$78,Settings!$H$80,Settings!$H$82,Settings!$H$84,Settings!$H$86)+(1-(CHOOSE(MATCH(IF($E456="","Основний",$E456),{"Трафіковий","Основний","Маржинальний","Сезонний","Стратегічний"},0),Settings!$H$78,Settings!$H$80,Settings!$H$82,Settings!$H$84,Settings!$H$86)))*Settings!$H$68,"")</f>
        <v/>
      </c>
      <c r="AF456" s="143">
        <f>IFERROR((AD456*(1-Settings!$H$17)-C456)/(AD456*(1-Settings!$H$17)),"")</f>
        <v/>
      </c>
      <c r="AG456" s="150">
        <f>IFERROR(IF(AD456="","",IF(AD456&gt;=C456/(1-SKU_Base!AF456)/(1-Settings!$H$17),"OK",IF(AD456&gt;=C456/(1-SKU_Base!AM456)/(1-Settings!$H$17),"WARN","STOP"))),"")</f>
        <v/>
      </c>
    </row>
    <row r="457" ht="17" customHeight="1" s="179">
      <c r="A457" s="146">
        <f>SKU_Base!B457</f>
        <v/>
      </c>
      <c r="B457" s="146">
        <f>SKU_Base!C457</f>
        <v/>
      </c>
      <c r="C457" s="147">
        <f>IFERROR(SKU_Base!I457,"")</f>
        <v/>
      </c>
      <c r="D457" s="164">
        <f>IFERROR(SKU_Base!T457,"")</f>
        <v/>
      </c>
      <c r="E457" s="141">
        <f>IFERROR(SKU_Base!$U457,"")</f>
        <v/>
      </c>
      <c r="F457" s="160">
        <f>IFERROR(ROUND(D457*(1-CHOOSE(MATCH(IF($E457="","Основний",$E457),{"Трафіковий","Основний","Маржинальний","Сезонний","Стратегічний"},0),Settings!$B$78,Settings!$B$80,Settings!$B$82,Settings!$B$84,Settings!$B$86))/6,2)*6,"")</f>
        <v/>
      </c>
      <c r="G457" s="142">
        <f>IFERROR(CHOOSE(MATCH(IF($E457="","Основний",$E457),{"Трафіковий","Основний","Маржинальний","Сезонний","Стратегічний"},0),Settings!$B$78,Settings!$B$80,Settings!$B$82,Settings!$B$84,Settings!$B$86),"")</f>
        <v/>
      </c>
      <c r="H457" s="148">
        <f>IFERROR((F457*(1-Settings!$B$17)-C457)/(F457*(1-Settings!$B$17)),"")</f>
        <v/>
      </c>
      <c r="I457" s="149">
        <f>IFERROR(IF(F457="","",IF(F457&gt;=C457/(1-SKU_Base!Z457)/(1-Settings!$B$17),"OK",IF(F457&gt;=C457/(1-SKU_Base!AG457)/(1-Settings!$B$17),"WARN","STOP"))),"")</f>
        <v/>
      </c>
      <c r="J457" s="160">
        <f>IFERROR(ROUND(D457*(1-CHOOSE(MATCH(IF($E457="","Основний",$E457),{"Трафіковий","Основний","Маржинальний","Сезонний","Стратегічний"},0),Settings!$C$78,Settings!$C$80,Settings!$C$82,Settings!$C$84,Settings!$C$86))/6,2)*6,"")</f>
        <v/>
      </c>
      <c r="K457" s="142">
        <f>IFERROR(CHOOSE(MATCH(IF($E457="","Основний",$E457),{"Трафіковий","Основний","Маржинальний","Сезонний","Стратегічний"},0),Settings!$C$78,Settings!$C$80,Settings!$C$82,Settings!$C$84,Settings!$C$86),"")</f>
        <v/>
      </c>
      <c r="L457" s="148">
        <f>IFERROR((J457*(1-Settings!$C$17)-C457)/(J457*(1-Settings!$C$17)),"")</f>
        <v/>
      </c>
      <c r="M457" s="149">
        <f>IFERROR(IF(J457="","",IF(J457&gt;=C457/(1-SKU_Base!AA457)/(1-Settings!$C$17),"OK",IF(J457&gt;=C457/(1-SKU_Base!AH457)/(1-Settings!$C$17),"WARN","STOP"))),"")</f>
        <v/>
      </c>
      <c r="N457" s="161">
        <f>IFERROR(ROUND(D457*(1-CHOOSE(MATCH(IF($E457="","Основний",$E457),{"Трафіковий","Основний","Маржинальний","Сезонний","Стратегічний"},0),Settings!$D$78,Settings!$D$80,Settings!$D$82,Settings!$D$84,Settings!$D$86))/6,2)*6,"")</f>
        <v/>
      </c>
      <c r="O457" s="142">
        <f>IFERROR(CHOOSE(MATCH(IF($E457="","Основний",$E457),{"Трафіковий","Основний","Маржинальний","Сезонний","Стратегічний"},0),Settings!$D$78,Settings!$D$80,Settings!$D$82,Settings!$D$84,Settings!$D$86),"")</f>
        <v/>
      </c>
      <c r="P457" s="148">
        <f>IFERROR((N457*(1-Settings!$D$17)-C457)/(N457*(1-Settings!$D$17)),"")</f>
        <v/>
      </c>
      <c r="Q457" s="149">
        <f>IFERROR(IF(N457="","",IF(N457&gt;=C457/(1-SKU_Base!AB457)/(1-Settings!$D$17),"OK",IF(N457&gt;=C457/(1-SKU_Base!AI457)/(1-Settings!$D$17),"WARN","STOP"))),"")</f>
        <v/>
      </c>
      <c r="R457" s="161">
        <f>IFERROR(ROUND(D457*(1-CHOOSE(MATCH(IF($E457="","Основний",$E457),{"Трафіковий","Основний","Маржинальний","Сезонний","Стратегічний"},0),Settings!$E$78,Settings!$E$80,Settings!$E$82,Settings!$E$84,Settings!$E$86))/6,2)*6,"")</f>
        <v/>
      </c>
      <c r="S457" s="142">
        <f>IFERROR(CHOOSE(MATCH(IF($E457="","Основний",$E457),{"Трафіковий","Основний","Маржинальний","Сезонний","Стратегічний"},0),Settings!$E$78,Settings!$E$80,Settings!$E$82,Settings!$E$84,Settings!$E$86),"")</f>
        <v/>
      </c>
      <c r="T457" s="148">
        <f>IFERROR((R457*(1-Settings!$E$17)-C457)/(R457*(1-Settings!$E$17)),"")</f>
        <v/>
      </c>
      <c r="U457" s="149">
        <f>IFERROR(IF(R457="","",IF(R457&gt;=C457/(1-SKU_Base!AC457)/(1-Settings!$E$17),"OK",IF(R457&gt;=C457/(1-SKU_Base!AJ457)/(1-Settings!$E$17),"WARN","STOP"))),"")</f>
        <v/>
      </c>
      <c r="V457" s="161">
        <f>IFERROR(ROUND(D457*(1-CHOOSE(MATCH(IF($E457="","Основний",$E457),{"Трафіковий","Основний","Маржинальний","Сезонний","Стратегічний"},0),Settings!$F$78,Settings!$F$80,Settings!$F$82,Settings!$F$84,Settings!$F$86))/6,2)*6,"")</f>
        <v/>
      </c>
      <c r="W457" s="142">
        <f>IFERROR(CHOOSE(MATCH(IF($E457="","Основний",$E457),{"Трафіковий","Основний","Маржинальний","Сезонний","Стратегічний"},0),Settings!$F$78,Settings!$F$80,Settings!$F$82,Settings!$F$84,Settings!$F$86),"")</f>
        <v/>
      </c>
      <c r="X457" s="148">
        <f>IFERROR((V457*(1-Settings!$F$17)-C457)/(V457*(1-Settings!$F$17)),"")</f>
        <v/>
      </c>
      <c r="Y457" s="149">
        <f>IFERROR(IF(V457="","",IF(V457&gt;=C457/(1-SKU_Base!AD457)/(1-Settings!$F$17),"OK",IF(V457&gt;=C457/(1-SKU_Base!AK457)/(1-Settings!$F$17),"WARN","STOP"))),"")</f>
        <v/>
      </c>
      <c r="Z457" s="161">
        <f>IFERROR(ROUND(D457*(1-CHOOSE(MATCH(IF($E457="","Основний",$E457),{"Трафіковий","Основний","Маржинальний","Сезонний","Стратегічний"},0),Settings!$G$78,Settings!$G$80,Settings!$G$82,Settings!$G$84,Settings!$G$86))/6,2)*6,"")</f>
        <v/>
      </c>
      <c r="AA457" s="142">
        <f>IFERROR(CHOOSE(MATCH(IF($E457="","Основний",$E457),{"Трафіковий","Основний","Маржинальний","Сезонний","Стратегічний"},0),Settings!$G$78,Settings!$G$80,Settings!$G$82,Settings!$G$84,Settings!$G$86),"")</f>
        <v/>
      </c>
      <c r="AB457" s="148">
        <f>IFERROR((Z457*(1-Settings!$G$17)-C457)/(Z457*(1-Settings!$G$17)),"")</f>
        <v/>
      </c>
      <c r="AC457" s="149">
        <f>IFERROR(IF(Z457="","",IF(Z457&gt;=C457/(1-SKU_Base!AE457)/(1-Settings!$G$17),"OK",IF(Z457&gt;=C457/(1-SKU_Base!AL457)/(1-Settings!$G$17),"WARN","STOP"))),"")</f>
        <v/>
      </c>
      <c r="AD457" s="161">
        <f>IFERROR(ROUND(D457*(1-CHOOSE(MATCH(IF($E457="","Основний",$E457),{"Трафіковий","Основний","Маржинальний","Сезонний","Стратегічний"},0),Settings!$H$78,Settings!$H$80,Settings!$H$82,Settings!$H$84,Settings!$H$86))*(1-Settings!$H$68)/6,2)*6,"")</f>
        <v/>
      </c>
      <c r="AE457" s="142">
        <f>IFERROR(CHOOSE(MATCH(IF($E457="","Основний",$E457),{"Трафіковий","Основний","Маржинальний","Сезонний","Стратегічний"},0),Settings!$H$78,Settings!$H$80,Settings!$H$82,Settings!$H$84,Settings!$H$86)+(1-(CHOOSE(MATCH(IF($E457="","Основний",$E457),{"Трафіковий","Основний","Маржинальний","Сезонний","Стратегічний"},0),Settings!$H$78,Settings!$H$80,Settings!$H$82,Settings!$H$84,Settings!$H$86)))*Settings!$H$68,"")</f>
        <v/>
      </c>
      <c r="AF457" s="148">
        <f>IFERROR((AD457*(1-Settings!$H$17)-C457)/(AD457*(1-Settings!$H$17)),"")</f>
        <v/>
      </c>
      <c r="AG457" s="150">
        <f>IFERROR(IF(AD457="","",IF(AD457&gt;=C457/(1-SKU_Base!AF457)/(1-Settings!$H$17),"OK",IF(AD457&gt;=C457/(1-SKU_Base!AM457)/(1-Settings!$H$17),"WARN","STOP"))),"")</f>
        <v/>
      </c>
    </row>
    <row r="458" ht="17" customHeight="1" s="179">
      <c r="A458" s="139">
        <f>SKU_Base!B458</f>
        <v/>
      </c>
      <c r="B458" s="139">
        <f>SKU_Base!C458</f>
        <v/>
      </c>
      <c r="C458" s="140">
        <f>IFERROR(SKU_Base!I458,"")</f>
        <v/>
      </c>
      <c r="D458" s="163">
        <f>IFERROR(SKU_Base!T458,"")</f>
        <v/>
      </c>
      <c r="E458" s="141">
        <f>IFERROR(SKU_Base!$U458,"")</f>
        <v/>
      </c>
      <c r="F458" s="158">
        <f>IFERROR(ROUND(D458*(1-CHOOSE(MATCH(IF($E458="","Основний",$E458),{"Трафіковий","Основний","Маржинальний","Сезонний","Стратегічний"},0),Settings!$B$78,Settings!$B$80,Settings!$B$82,Settings!$B$84,Settings!$B$86))/6,2)*6,"")</f>
        <v/>
      </c>
      <c r="G458" s="142">
        <f>IFERROR(CHOOSE(MATCH(IF($E458="","Основний",$E458),{"Трафіковий","Основний","Маржинальний","Сезонний","Стратегічний"},0),Settings!$B$78,Settings!$B$80,Settings!$B$82,Settings!$B$84,Settings!$B$86),"")</f>
        <v/>
      </c>
      <c r="H458" s="143">
        <f>IFERROR((F458*(1-Settings!$B$17)-C458)/(F458*(1-Settings!$B$17)),"")</f>
        <v/>
      </c>
      <c r="I458" s="149">
        <f>IFERROR(IF(F458="","",IF(F458&gt;=C458/(1-SKU_Base!Z458)/(1-Settings!$B$17),"OK",IF(F458&gt;=C458/(1-SKU_Base!AG458)/(1-Settings!$B$17),"WARN","STOP"))),"")</f>
        <v/>
      </c>
      <c r="J458" s="158">
        <f>IFERROR(ROUND(D458*(1-CHOOSE(MATCH(IF($E458="","Основний",$E458),{"Трафіковий","Основний","Маржинальний","Сезонний","Стратегічний"},0),Settings!$C$78,Settings!$C$80,Settings!$C$82,Settings!$C$84,Settings!$C$86))/6,2)*6,"")</f>
        <v/>
      </c>
      <c r="K458" s="142">
        <f>IFERROR(CHOOSE(MATCH(IF($E458="","Основний",$E458),{"Трафіковий","Основний","Маржинальний","Сезонний","Стратегічний"},0),Settings!$C$78,Settings!$C$80,Settings!$C$82,Settings!$C$84,Settings!$C$86),"")</f>
        <v/>
      </c>
      <c r="L458" s="143">
        <f>IFERROR((J458*(1-Settings!$C$17)-C458)/(J458*(1-Settings!$C$17)),"")</f>
        <v/>
      </c>
      <c r="M458" s="149">
        <f>IFERROR(IF(J458="","",IF(J458&gt;=C458/(1-SKU_Base!AA458)/(1-Settings!$C$17),"OK",IF(J458&gt;=C458/(1-SKU_Base!AH458)/(1-Settings!$C$17),"WARN","STOP"))),"")</f>
        <v/>
      </c>
      <c r="N458" s="159">
        <f>IFERROR(ROUND(D458*(1-CHOOSE(MATCH(IF($E458="","Основний",$E458),{"Трафіковий","Основний","Маржинальний","Сезонний","Стратегічний"},0),Settings!$D$78,Settings!$D$80,Settings!$D$82,Settings!$D$84,Settings!$D$86))/6,2)*6,"")</f>
        <v/>
      </c>
      <c r="O458" s="142">
        <f>IFERROR(CHOOSE(MATCH(IF($E458="","Основний",$E458),{"Трафіковий","Основний","Маржинальний","Сезонний","Стратегічний"},0),Settings!$D$78,Settings!$D$80,Settings!$D$82,Settings!$D$84,Settings!$D$86),"")</f>
        <v/>
      </c>
      <c r="P458" s="143">
        <f>IFERROR((N458*(1-Settings!$D$17)-C458)/(N458*(1-Settings!$D$17)),"")</f>
        <v/>
      </c>
      <c r="Q458" s="149">
        <f>IFERROR(IF(N458="","",IF(N458&gt;=C458/(1-SKU_Base!AB458)/(1-Settings!$D$17),"OK",IF(N458&gt;=C458/(1-SKU_Base!AI458)/(1-Settings!$D$17),"WARN","STOP"))),"")</f>
        <v/>
      </c>
      <c r="R458" s="159">
        <f>IFERROR(ROUND(D458*(1-CHOOSE(MATCH(IF($E458="","Основний",$E458),{"Трафіковий","Основний","Маржинальний","Сезонний","Стратегічний"},0),Settings!$E$78,Settings!$E$80,Settings!$E$82,Settings!$E$84,Settings!$E$86))/6,2)*6,"")</f>
        <v/>
      </c>
      <c r="S458" s="142">
        <f>IFERROR(CHOOSE(MATCH(IF($E458="","Основний",$E458),{"Трафіковий","Основний","Маржинальний","Сезонний","Стратегічний"},0),Settings!$E$78,Settings!$E$80,Settings!$E$82,Settings!$E$84,Settings!$E$86),"")</f>
        <v/>
      </c>
      <c r="T458" s="143">
        <f>IFERROR((R458*(1-Settings!$E$17)-C458)/(R458*(1-Settings!$E$17)),"")</f>
        <v/>
      </c>
      <c r="U458" s="149">
        <f>IFERROR(IF(R458="","",IF(R458&gt;=C458/(1-SKU_Base!AC458)/(1-Settings!$E$17),"OK",IF(R458&gt;=C458/(1-SKU_Base!AJ458)/(1-Settings!$E$17),"WARN","STOP"))),"")</f>
        <v/>
      </c>
      <c r="V458" s="159">
        <f>IFERROR(ROUND(D458*(1-CHOOSE(MATCH(IF($E458="","Основний",$E458),{"Трафіковий","Основний","Маржинальний","Сезонний","Стратегічний"},0),Settings!$F$78,Settings!$F$80,Settings!$F$82,Settings!$F$84,Settings!$F$86))/6,2)*6,"")</f>
        <v/>
      </c>
      <c r="W458" s="142">
        <f>IFERROR(CHOOSE(MATCH(IF($E458="","Основний",$E458),{"Трафіковий","Основний","Маржинальний","Сезонний","Стратегічний"},0),Settings!$F$78,Settings!$F$80,Settings!$F$82,Settings!$F$84,Settings!$F$86),"")</f>
        <v/>
      </c>
      <c r="X458" s="143">
        <f>IFERROR((V458*(1-Settings!$F$17)-C458)/(V458*(1-Settings!$F$17)),"")</f>
        <v/>
      </c>
      <c r="Y458" s="149">
        <f>IFERROR(IF(V458="","",IF(V458&gt;=C458/(1-SKU_Base!AD458)/(1-Settings!$F$17),"OK",IF(V458&gt;=C458/(1-SKU_Base!AK458)/(1-Settings!$F$17),"WARN","STOP"))),"")</f>
        <v/>
      </c>
      <c r="Z458" s="159">
        <f>IFERROR(ROUND(D458*(1-CHOOSE(MATCH(IF($E458="","Основний",$E458),{"Трафіковий","Основний","Маржинальний","Сезонний","Стратегічний"},0),Settings!$G$78,Settings!$G$80,Settings!$G$82,Settings!$G$84,Settings!$G$86))/6,2)*6,"")</f>
        <v/>
      </c>
      <c r="AA458" s="142">
        <f>IFERROR(CHOOSE(MATCH(IF($E458="","Основний",$E458),{"Трафіковий","Основний","Маржинальний","Сезонний","Стратегічний"},0),Settings!$G$78,Settings!$G$80,Settings!$G$82,Settings!$G$84,Settings!$G$86),"")</f>
        <v/>
      </c>
      <c r="AB458" s="143">
        <f>IFERROR((Z458*(1-Settings!$G$17)-C458)/(Z458*(1-Settings!$G$17)),"")</f>
        <v/>
      </c>
      <c r="AC458" s="149">
        <f>IFERROR(IF(Z458="","",IF(Z458&gt;=C458/(1-SKU_Base!AE458)/(1-Settings!$G$17),"OK",IF(Z458&gt;=C458/(1-SKU_Base!AL458)/(1-Settings!$G$17),"WARN","STOP"))),"")</f>
        <v/>
      </c>
      <c r="AD458" s="159">
        <f>IFERROR(ROUND(D458*(1-CHOOSE(MATCH(IF($E458="","Основний",$E458),{"Трафіковий","Основний","Маржинальний","Сезонний","Стратегічний"},0),Settings!$H$78,Settings!$H$80,Settings!$H$82,Settings!$H$84,Settings!$H$86))*(1-Settings!$H$68)/6,2)*6,"")</f>
        <v/>
      </c>
      <c r="AE458" s="142">
        <f>IFERROR(CHOOSE(MATCH(IF($E458="","Основний",$E458),{"Трафіковий","Основний","Маржинальний","Сезонний","Стратегічний"},0),Settings!$H$78,Settings!$H$80,Settings!$H$82,Settings!$H$84,Settings!$H$86)+(1-(CHOOSE(MATCH(IF($E458="","Основний",$E458),{"Трафіковий","Основний","Маржинальний","Сезонний","Стратегічний"},0),Settings!$H$78,Settings!$H$80,Settings!$H$82,Settings!$H$84,Settings!$H$86)))*Settings!$H$68,"")</f>
        <v/>
      </c>
      <c r="AF458" s="143">
        <f>IFERROR((AD458*(1-Settings!$H$17)-C458)/(AD458*(1-Settings!$H$17)),"")</f>
        <v/>
      </c>
      <c r="AG458" s="150">
        <f>IFERROR(IF(AD458="","",IF(AD458&gt;=C458/(1-SKU_Base!AF458)/(1-Settings!$H$17),"OK",IF(AD458&gt;=C458/(1-SKU_Base!AM458)/(1-Settings!$H$17),"WARN","STOP"))),"")</f>
        <v/>
      </c>
    </row>
    <row r="459" ht="17" customHeight="1" s="179">
      <c r="A459" s="146">
        <f>SKU_Base!B459</f>
        <v/>
      </c>
      <c r="B459" s="146">
        <f>SKU_Base!C459</f>
        <v/>
      </c>
      <c r="C459" s="147">
        <f>IFERROR(SKU_Base!I459,"")</f>
        <v/>
      </c>
      <c r="D459" s="164">
        <f>IFERROR(SKU_Base!T459,"")</f>
        <v/>
      </c>
      <c r="E459" s="141">
        <f>IFERROR(SKU_Base!$U459,"")</f>
        <v/>
      </c>
      <c r="F459" s="160">
        <f>IFERROR(ROUND(D459*(1-CHOOSE(MATCH(IF($E459="","Основний",$E459),{"Трафіковий","Основний","Маржинальний","Сезонний","Стратегічний"},0),Settings!$B$78,Settings!$B$80,Settings!$B$82,Settings!$B$84,Settings!$B$86))/6,2)*6,"")</f>
        <v/>
      </c>
      <c r="G459" s="142">
        <f>IFERROR(CHOOSE(MATCH(IF($E459="","Основний",$E459),{"Трафіковий","Основний","Маржинальний","Сезонний","Стратегічний"},0),Settings!$B$78,Settings!$B$80,Settings!$B$82,Settings!$B$84,Settings!$B$86),"")</f>
        <v/>
      </c>
      <c r="H459" s="148">
        <f>IFERROR((F459*(1-Settings!$B$17)-C459)/(F459*(1-Settings!$B$17)),"")</f>
        <v/>
      </c>
      <c r="I459" s="149">
        <f>IFERROR(IF(F459="","",IF(F459&gt;=C459/(1-SKU_Base!Z459)/(1-Settings!$B$17),"OK",IF(F459&gt;=C459/(1-SKU_Base!AG459)/(1-Settings!$B$17),"WARN","STOP"))),"")</f>
        <v/>
      </c>
      <c r="J459" s="160">
        <f>IFERROR(ROUND(D459*(1-CHOOSE(MATCH(IF($E459="","Основний",$E459),{"Трафіковий","Основний","Маржинальний","Сезонний","Стратегічний"},0),Settings!$C$78,Settings!$C$80,Settings!$C$82,Settings!$C$84,Settings!$C$86))/6,2)*6,"")</f>
        <v/>
      </c>
      <c r="K459" s="142">
        <f>IFERROR(CHOOSE(MATCH(IF($E459="","Основний",$E459),{"Трафіковий","Основний","Маржинальний","Сезонний","Стратегічний"},0),Settings!$C$78,Settings!$C$80,Settings!$C$82,Settings!$C$84,Settings!$C$86),"")</f>
        <v/>
      </c>
      <c r="L459" s="148">
        <f>IFERROR((J459*(1-Settings!$C$17)-C459)/(J459*(1-Settings!$C$17)),"")</f>
        <v/>
      </c>
      <c r="M459" s="149">
        <f>IFERROR(IF(J459="","",IF(J459&gt;=C459/(1-SKU_Base!AA459)/(1-Settings!$C$17),"OK",IF(J459&gt;=C459/(1-SKU_Base!AH459)/(1-Settings!$C$17),"WARN","STOP"))),"")</f>
        <v/>
      </c>
      <c r="N459" s="161">
        <f>IFERROR(ROUND(D459*(1-CHOOSE(MATCH(IF($E459="","Основний",$E459),{"Трафіковий","Основний","Маржинальний","Сезонний","Стратегічний"},0),Settings!$D$78,Settings!$D$80,Settings!$D$82,Settings!$D$84,Settings!$D$86))/6,2)*6,"")</f>
        <v/>
      </c>
      <c r="O459" s="142">
        <f>IFERROR(CHOOSE(MATCH(IF($E459="","Основний",$E459),{"Трафіковий","Основний","Маржинальний","Сезонний","Стратегічний"},0),Settings!$D$78,Settings!$D$80,Settings!$D$82,Settings!$D$84,Settings!$D$86),"")</f>
        <v/>
      </c>
      <c r="P459" s="148">
        <f>IFERROR((N459*(1-Settings!$D$17)-C459)/(N459*(1-Settings!$D$17)),"")</f>
        <v/>
      </c>
      <c r="Q459" s="149">
        <f>IFERROR(IF(N459="","",IF(N459&gt;=C459/(1-SKU_Base!AB459)/(1-Settings!$D$17),"OK",IF(N459&gt;=C459/(1-SKU_Base!AI459)/(1-Settings!$D$17),"WARN","STOP"))),"")</f>
        <v/>
      </c>
      <c r="R459" s="161">
        <f>IFERROR(ROUND(D459*(1-CHOOSE(MATCH(IF($E459="","Основний",$E459),{"Трафіковий","Основний","Маржинальний","Сезонний","Стратегічний"},0),Settings!$E$78,Settings!$E$80,Settings!$E$82,Settings!$E$84,Settings!$E$86))/6,2)*6,"")</f>
        <v/>
      </c>
      <c r="S459" s="142">
        <f>IFERROR(CHOOSE(MATCH(IF($E459="","Основний",$E459),{"Трафіковий","Основний","Маржинальний","Сезонний","Стратегічний"},0),Settings!$E$78,Settings!$E$80,Settings!$E$82,Settings!$E$84,Settings!$E$86),"")</f>
        <v/>
      </c>
      <c r="T459" s="148">
        <f>IFERROR((R459*(1-Settings!$E$17)-C459)/(R459*(1-Settings!$E$17)),"")</f>
        <v/>
      </c>
      <c r="U459" s="149">
        <f>IFERROR(IF(R459="","",IF(R459&gt;=C459/(1-SKU_Base!AC459)/(1-Settings!$E$17),"OK",IF(R459&gt;=C459/(1-SKU_Base!AJ459)/(1-Settings!$E$17),"WARN","STOP"))),"")</f>
        <v/>
      </c>
      <c r="V459" s="161">
        <f>IFERROR(ROUND(D459*(1-CHOOSE(MATCH(IF($E459="","Основний",$E459),{"Трафіковий","Основний","Маржинальний","Сезонний","Стратегічний"},0),Settings!$F$78,Settings!$F$80,Settings!$F$82,Settings!$F$84,Settings!$F$86))/6,2)*6,"")</f>
        <v/>
      </c>
      <c r="W459" s="142">
        <f>IFERROR(CHOOSE(MATCH(IF($E459="","Основний",$E459),{"Трафіковий","Основний","Маржинальний","Сезонний","Стратегічний"},0),Settings!$F$78,Settings!$F$80,Settings!$F$82,Settings!$F$84,Settings!$F$86),"")</f>
        <v/>
      </c>
      <c r="X459" s="148">
        <f>IFERROR((V459*(1-Settings!$F$17)-C459)/(V459*(1-Settings!$F$17)),"")</f>
        <v/>
      </c>
      <c r="Y459" s="149">
        <f>IFERROR(IF(V459="","",IF(V459&gt;=C459/(1-SKU_Base!AD459)/(1-Settings!$F$17),"OK",IF(V459&gt;=C459/(1-SKU_Base!AK459)/(1-Settings!$F$17),"WARN","STOP"))),"")</f>
        <v/>
      </c>
      <c r="Z459" s="161">
        <f>IFERROR(ROUND(D459*(1-CHOOSE(MATCH(IF($E459="","Основний",$E459),{"Трафіковий","Основний","Маржинальний","Сезонний","Стратегічний"},0),Settings!$G$78,Settings!$G$80,Settings!$G$82,Settings!$G$84,Settings!$G$86))/6,2)*6,"")</f>
        <v/>
      </c>
      <c r="AA459" s="142">
        <f>IFERROR(CHOOSE(MATCH(IF($E459="","Основний",$E459),{"Трафіковий","Основний","Маржинальний","Сезонний","Стратегічний"},0),Settings!$G$78,Settings!$G$80,Settings!$G$82,Settings!$G$84,Settings!$G$86),"")</f>
        <v/>
      </c>
      <c r="AB459" s="148">
        <f>IFERROR((Z459*(1-Settings!$G$17)-C459)/(Z459*(1-Settings!$G$17)),"")</f>
        <v/>
      </c>
      <c r="AC459" s="149">
        <f>IFERROR(IF(Z459="","",IF(Z459&gt;=C459/(1-SKU_Base!AE459)/(1-Settings!$G$17),"OK",IF(Z459&gt;=C459/(1-SKU_Base!AL459)/(1-Settings!$G$17),"WARN","STOP"))),"")</f>
        <v/>
      </c>
      <c r="AD459" s="161">
        <f>IFERROR(ROUND(D459*(1-CHOOSE(MATCH(IF($E459="","Основний",$E459),{"Трафіковий","Основний","Маржинальний","Сезонний","Стратегічний"},0),Settings!$H$78,Settings!$H$80,Settings!$H$82,Settings!$H$84,Settings!$H$86))*(1-Settings!$H$68)/6,2)*6,"")</f>
        <v/>
      </c>
      <c r="AE459" s="142">
        <f>IFERROR(CHOOSE(MATCH(IF($E459="","Основний",$E459),{"Трафіковий","Основний","Маржинальний","Сезонний","Стратегічний"},0),Settings!$H$78,Settings!$H$80,Settings!$H$82,Settings!$H$84,Settings!$H$86)+(1-(CHOOSE(MATCH(IF($E459="","Основний",$E459),{"Трафіковий","Основний","Маржинальний","Сезонний","Стратегічний"},0),Settings!$H$78,Settings!$H$80,Settings!$H$82,Settings!$H$84,Settings!$H$86)))*Settings!$H$68,"")</f>
        <v/>
      </c>
      <c r="AF459" s="148">
        <f>IFERROR((AD459*(1-Settings!$H$17)-C459)/(AD459*(1-Settings!$H$17)),"")</f>
        <v/>
      </c>
      <c r="AG459" s="150">
        <f>IFERROR(IF(AD459="","",IF(AD459&gt;=C459/(1-SKU_Base!AF459)/(1-Settings!$H$17),"OK",IF(AD459&gt;=C459/(1-SKU_Base!AM459)/(1-Settings!$H$17),"WARN","STOP"))),"")</f>
        <v/>
      </c>
    </row>
    <row r="460" ht="17" customHeight="1" s="179">
      <c r="A460" s="139">
        <f>SKU_Base!B460</f>
        <v/>
      </c>
      <c r="B460" s="139">
        <f>SKU_Base!C460</f>
        <v/>
      </c>
      <c r="C460" s="140">
        <f>IFERROR(SKU_Base!I460,"")</f>
        <v/>
      </c>
      <c r="D460" s="163">
        <f>IFERROR(SKU_Base!T460,"")</f>
        <v/>
      </c>
      <c r="E460" s="141">
        <f>IFERROR(SKU_Base!$U460,"")</f>
        <v/>
      </c>
      <c r="F460" s="158">
        <f>IFERROR(ROUND(D460*(1-CHOOSE(MATCH(IF($E460="","Основний",$E460),{"Трафіковий","Основний","Маржинальний","Сезонний","Стратегічний"},0),Settings!$B$78,Settings!$B$80,Settings!$B$82,Settings!$B$84,Settings!$B$86))/6,2)*6,"")</f>
        <v/>
      </c>
      <c r="G460" s="142">
        <f>IFERROR(CHOOSE(MATCH(IF($E460="","Основний",$E460),{"Трафіковий","Основний","Маржинальний","Сезонний","Стратегічний"},0),Settings!$B$78,Settings!$B$80,Settings!$B$82,Settings!$B$84,Settings!$B$86),"")</f>
        <v/>
      </c>
      <c r="H460" s="143">
        <f>IFERROR((F460*(1-Settings!$B$17)-C460)/(F460*(1-Settings!$B$17)),"")</f>
        <v/>
      </c>
      <c r="I460" s="149">
        <f>IFERROR(IF(F460="","",IF(F460&gt;=C460/(1-SKU_Base!Z460)/(1-Settings!$B$17),"OK",IF(F460&gt;=C460/(1-SKU_Base!AG460)/(1-Settings!$B$17),"WARN","STOP"))),"")</f>
        <v/>
      </c>
      <c r="J460" s="158">
        <f>IFERROR(ROUND(D460*(1-CHOOSE(MATCH(IF($E460="","Основний",$E460),{"Трафіковий","Основний","Маржинальний","Сезонний","Стратегічний"},0),Settings!$C$78,Settings!$C$80,Settings!$C$82,Settings!$C$84,Settings!$C$86))/6,2)*6,"")</f>
        <v/>
      </c>
      <c r="K460" s="142">
        <f>IFERROR(CHOOSE(MATCH(IF($E460="","Основний",$E460),{"Трафіковий","Основний","Маржинальний","Сезонний","Стратегічний"},0),Settings!$C$78,Settings!$C$80,Settings!$C$82,Settings!$C$84,Settings!$C$86),"")</f>
        <v/>
      </c>
      <c r="L460" s="143">
        <f>IFERROR((J460*(1-Settings!$C$17)-C460)/(J460*(1-Settings!$C$17)),"")</f>
        <v/>
      </c>
      <c r="M460" s="149">
        <f>IFERROR(IF(J460="","",IF(J460&gt;=C460/(1-SKU_Base!AA460)/(1-Settings!$C$17),"OK",IF(J460&gt;=C460/(1-SKU_Base!AH460)/(1-Settings!$C$17),"WARN","STOP"))),"")</f>
        <v/>
      </c>
      <c r="N460" s="159">
        <f>IFERROR(ROUND(D460*(1-CHOOSE(MATCH(IF($E460="","Основний",$E460),{"Трафіковий","Основний","Маржинальний","Сезонний","Стратегічний"},0),Settings!$D$78,Settings!$D$80,Settings!$D$82,Settings!$D$84,Settings!$D$86))/6,2)*6,"")</f>
        <v/>
      </c>
      <c r="O460" s="142">
        <f>IFERROR(CHOOSE(MATCH(IF($E460="","Основний",$E460),{"Трафіковий","Основний","Маржинальний","Сезонний","Стратегічний"},0),Settings!$D$78,Settings!$D$80,Settings!$D$82,Settings!$D$84,Settings!$D$86),"")</f>
        <v/>
      </c>
      <c r="P460" s="143">
        <f>IFERROR((N460*(1-Settings!$D$17)-C460)/(N460*(1-Settings!$D$17)),"")</f>
        <v/>
      </c>
      <c r="Q460" s="149">
        <f>IFERROR(IF(N460="","",IF(N460&gt;=C460/(1-SKU_Base!AB460)/(1-Settings!$D$17),"OK",IF(N460&gt;=C460/(1-SKU_Base!AI460)/(1-Settings!$D$17),"WARN","STOP"))),"")</f>
        <v/>
      </c>
      <c r="R460" s="159">
        <f>IFERROR(ROUND(D460*(1-CHOOSE(MATCH(IF($E460="","Основний",$E460),{"Трафіковий","Основний","Маржинальний","Сезонний","Стратегічний"},0),Settings!$E$78,Settings!$E$80,Settings!$E$82,Settings!$E$84,Settings!$E$86))/6,2)*6,"")</f>
        <v/>
      </c>
      <c r="S460" s="142">
        <f>IFERROR(CHOOSE(MATCH(IF($E460="","Основний",$E460),{"Трафіковий","Основний","Маржинальний","Сезонний","Стратегічний"},0),Settings!$E$78,Settings!$E$80,Settings!$E$82,Settings!$E$84,Settings!$E$86),"")</f>
        <v/>
      </c>
      <c r="T460" s="143">
        <f>IFERROR((R460*(1-Settings!$E$17)-C460)/(R460*(1-Settings!$E$17)),"")</f>
        <v/>
      </c>
      <c r="U460" s="149">
        <f>IFERROR(IF(R460="","",IF(R460&gt;=C460/(1-SKU_Base!AC460)/(1-Settings!$E$17),"OK",IF(R460&gt;=C460/(1-SKU_Base!AJ460)/(1-Settings!$E$17),"WARN","STOP"))),"")</f>
        <v/>
      </c>
      <c r="V460" s="159">
        <f>IFERROR(ROUND(D460*(1-CHOOSE(MATCH(IF($E460="","Основний",$E460),{"Трафіковий","Основний","Маржинальний","Сезонний","Стратегічний"},0),Settings!$F$78,Settings!$F$80,Settings!$F$82,Settings!$F$84,Settings!$F$86))/6,2)*6,"")</f>
        <v/>
      </c>
      <c r="W460" s="142">
        <f>IFERROR(CHOOSE(MATCH(IF($E460="","Основний",$E460),{"Трафіковий","Основний","Маржинальний","Сезонний","Стратегічний"},0),Settings!$F$78,Settings!$F$80,Settings!$F$82,Settings!$F$84,Settings!$F$86),"")</f>
        <v/>
      </c>
      <c r="X460" s="143">
        <f>IFERROR((V460*(1-Settings!$F$17)-C460)/(V460*(1-Settings!$F$17)),"")</f>
        <v/>
      </c>
      <c r="Y460" s="149">
        <f>IFERROR(IF(V460="","",IF(V460&gt;=C460/(1-SKU_Base!AD460)/(1-Settings!$F$17),"OK",IF(V460&gt;=C460/(1-SKU_Base!AK460)/(1-Settings!$F$17),"WARN","STOP"))),"")</f>
        <v/>
      </c>
      <c r="Z460" s="159">
        <f>IFERROR(ROUND(D460*(1-CHOOSE(MATCH(IF($E460="","Основний",$E460),{"Трафіковий","Основний","Маржинальний","Сезонний","Стратегічний"},0),Settings!$G$78,Settings!$G$80,Settings!$G$82,Settings!$G$84,Settings!$G$86))/6,2)*6,"")</f>
        <v/>
      </c>
      <c r="AA460" s="142">
        <f>IFERROR(CHOOSE(MATCH(IF($E460="","Основний",$E460),{"Трафіковий","Основний","Маржинальний","Сезонний","Стратегічний"},0),Settings!$G$78,Settings!$G$80,Settings!$G$82,Settings!$G$84,Settings!$G$86),"")</f>
        <v/>
      </c>
      <c r="AB460" s="143">
        <f>IFERROR((Z460*(1-Settings!$G$17)-C460)/(Z460*(1-Settings!$G$17)),"")</f>
        <v/>
      </c>
      <c r="AC460" s="149">
        <f>IFERROR(IF(Z460="","",IF(Z460&gt;=C460/(1-SKU_Base!AE460)/(1-Settings!$G$17),"OK",IF(Z460&gt;=C460/(1-SKU_Base!AL460)/(1-Settings!$G$17),"WARN","STOP"))),"")</f>
        <v/>
      </c>
      <c r="AD460" s="159">
        <f>IFERROR(ROUND(D460*(1-CHOOSE(MATCH(IF($E460="","Основний",$E460),{"Трафіковий","Основний","Маржинальний","Сезонний","Стратегічний"},0),Settings!$H$78,Settings!$H$80,Settings!$H$82,Settings!$H$84,Settings!$H$86))*(1-Settings!$H$68)/6,2)*6,"")</f>
        <v/>
      </c>
      <c r="AE460" s="142">
        <f>IFERROR(CHOOSE(MATCH(IF($E460="","Основний",$E460),{"Трафіковий","Основний","Маржинальний","Сезонний","Стратегічний"},0),Settings!$H$78,Settings!$H$80,Settings!$H$82,Settings!$H$84,Settings!$H$86)+(1-(CHOOSE(MATCH(IF($E460="","Основний",$E460),{"Трафіковий","Основний","Маржинальний","Сезонний","Стратегічний"},0),Settings!$H$78,Settings!$H$80,Settings!$H$82,Settings!$H$84,Settings!$H$86)))*Settings!$H$68,"")</f>
        <v/>
      </c>
      <c r="AF460" s="143">
        <f>IFERROR((AD460*(1-Settings!$H$17)-C460)/(AD460*(1-Settings!$H$17)),"")</f>
        <v/>
      </c>
      <c r="AG460" s="150">
        <f>IFERROR(IF(AD460="","",IF(AD460&gt;=C460/(1-SKU_Base!AF460)/(1-Settings!$H$17),"OK",IF(AD460&gt;=C460/(1-SKU_Base!AM460)/(1-Settings!$H$17),"WARN","STOP"))),"")</f>
        <v/>
      </c>
    </row>
    <row r="461" ht="17" customHeight="1" s="179">
      <c r="A461" s="146">
        <f>SKU_Base!B461</f>
        <v/>
      </c>
      <c r="B461" s="146">
        <f>SKU_Base!C461</f>
        <v/>
      </c>
      <c r="C461" s="147">
        <f>IFERROR(SKU_Base!I461,"")</f>
        <v/>
      </c>
      <c r="D461" s="164">
        <f>IFERROR(SKU_Base!T461,"")</f>
        <v/>
      </c>
      <c r="E461" s="141">
        <f>IFERROR(SKU_Base!$U461,"")</f>
        <v/>
      </c>
      <c r="F461" s="160">
        <f>IFERROR(ROUND(D461*(1-CHOOSE(MATCH(IF($E461="","Основний",$E461),{"Трафіковий","Основний","Маржинальний","Сезонний","Стратегічний"},0),Settings!$B$78,Settings!$B$80,Settings!$B$82,Settings!$B$84,Settings!$B$86))/6,2)*6,"")</f>
        <v/>
      </c>
      <c r="G461" s="142">
        <f>IFERROR(CHOOSE(MATCH(IF($E461="","Основний",$E461),{"Трафіковий","Основний","Маржинальний","Сезонний","Стратегічний"},0),Settings!$B$78,Settings!$B$80,Settings!$B$82,Settings!$B$84,Settings!$B$86),"")</f>
        <v/>
      </c>
      <c r="H461" s="148">
        <f>IFERROR((F461*(1-Settings!$B$17)-C461)/(F461*(1-Settings!$B$17)),"")</f>
        <v/>
      </c>
      <c r="I461" s="149">
        <f>IFERROR(IF(F461="","",IF(F461&gt;=C461/(1-SKU_Base!Z461)/(1-Settings!$B$17),"OK",IF(F461&gt;=C461/(1-SKU_Base!AG461)/(1-Settings!$B$17),"WARN","STOP"))),"")</f>
        <v/>
      </c>
      <c r="J461" s="160">
        <f>IFERROR(ROUND(D461*(1-CHOOSE(MATCH(IF($E461="","Основний",$E461),{"Трафіковий","Основний","Маржинальний","Сезонний","Стратегічний"},0),Settings!$C$78,Settings!$C$80,Settings!$C$82,Settings!$C$84,Settings!$C$86))/6,2)*6,"")</f>
        <v/>
      </c>
      <c r="K461" s="142">
        <f>IFERROR(CHOOSE(MATCH(IF($E461="","Основний",$E461),{"Трафіковий","Основний","Маржинальний","Сезонний","Стратегічний"},0),Settings!$C$78,Settings!$C$80,Settings!$C$82,Settings!$C$84,Settings!$C$86),"")</f>
        <v/>
      </c>
      <c r="L461" s="148">
        <f>IFERROR((J461*(1-Settings!$C$17)-C461)/(J461*(1-Settings!$C$17)),"")</f>
        <v/>
      </c>
      <c r="M461" s="149">
        <f>IFERROR(IF(J461="","",IF(J461&gt;=C461/(1-SKU_Base!AA461)/(1-Settings!$C$17),"OK",IF(J461&gt;=C461/(1-SKU_Base!AH461)/(1-Settings!$C$17),"WARN","STOP"))),"")</f>
        <v/>
      </c>
      <c r="N461" s="161">
        <f>IFERROR(ROUND(D461*(1-CHOOSE(MATCH(IF($E461="","Основний",$E461),{"Трафіковий","Основний","Маржинальний","Сезонний","Стратегічний"},0),Settings!$D$78,Settings!$D$80,Settings!$D$82,Settings!$D$84,Settings!$D$86))/6,2)*6,"")</f>
        <v/>
      </c>
      <c r="O461" s="142">
        <f>IFERROR(CHOOSE(MATCH(IF($E461="","Основний",$E461),{"Трафіковий","Основний","Маржинальний","Сезонний","Стратегічний"},0),Settings!$D$78,Settings!$D$80,Settings!$D$82,Settings!$D$84,Settings!$D$86),"")</f>
        <v/>
      </c>
      <c r="P461" s="148">
        <f>IFERROR((N461*(1-Settings!$D$17)-C461)/(N461*(1-Settings!$D$17)),"")</f>
        <v/>
      </c>
      <c r="Q461" s="149">
        <f>IFERROR(IF(N461="","",IF(N461&gt;=C461/(1-SKU_Base!AB461)/(1-Settings!$D$17),"OK",IF(N461&gt;=C461/(1-SKU_Base!AI461)/(1-Settings!$D$17),"WARN","STOP"))),"")</f>
        <v/>
      </c>
      <c r="R461" s="161">
        <f>IFERROR(ROUND(D461*(1-CHOOSE(MATCH(IF($E461="","Основний",$E461),{"Трафіковий","Основний","Маржинальний","Сезонний","Стратегічний"},0),Settings!$E$78,Settings!$E$80,Settings!$E$82,Settings!$E$84,Settings!$E$86))/6,2)*6,"")</f>
        <v/>
      </c>
      <c r="S461" s="142">
        <f>IFERROR(CHOOSE(MATCH(IF($E461="","Основний",$E461),{"Трафіковий","Основний","Маржинальний","Сезонний","Стратегічний"},0),Settings!$E$78,Settings!$E$80,Settings!$E$82,Settings!$E$84,Settings!$E$86),"")</f>
        <v/>
      </c>
      <c r="T461" s="148">
        <f>IFERROR((R461*(1-Settings!$E$17)-C461)/(R461*(1-Settings!$E$17)),"")</f>
        <v/>
      </c>
      <c r="U461" s="149">
        <f>IFERROR(IF(R461="","",IF(R461&gt;=C461/(1-SKU_Base!AC461)/(1-Settings!$E$17),"OK",IF(R461&gt;=C461/(1-SKU_Base!AJ461)/(1-Settings!$E$17),"WARN","STOP"))),"")</f>
        <v/>
      </c>
      <c r="V461" s="161">
        <f>IFERROR(ROUND(D461*(1-CHOOSE(MATCH(IF($E461="","Основний",$E461),{"Трафіковий","Основний","Маржинальний","Сезонний","Стратегічний"},0),Settings!$F$78,Settings!$F$80,Settings!$F$82,Settings!$F$84,Settings!$F$86))/6,2)*6,"")</f>
        <v/>
      </c>
      <c r="W461" s="142">
        <f>IFERROR(CHOOSE(MATCH(IF($E461="","Основний",$E461),{"Трафіковий","Основний","Маржинальний","Сезонний","Стратегічний"},0),Settings!$F$78,Settings!$F$80,Settings!$F$82,Settings!$F$84,Settings!$F$86),"")</f>
        <v/>
      </c>
      <c r="X461" s="148">
        <f>IFERROR((V461*(1-Settings!$F$17)-C461)/(V461*(1-Settings!$F$17)),"")</f>
        <v/>
      </c>
      <c r="Y461" s="149">
        <f>IFERROR(IF(V461="","",IF(V461&gt;=C461/(1-SKU_Base!AD461)/(1-Settings!$F$17),"OK",IF(V461&gt;=C461/(1-SKU_Base!AK461)/(1-Settings!$F$17),"WARN","STOP"))),"")</f>
        <v/>
      </c>
      <c r="Z461" s="161">
        <f>IFERROR(ROUND(D461*(1-CHOOSE(MATCH(IF($E461="","Основний",$E461),{"Трафіковий","Основний","Маржинальний","Сезонний","Стратегічний"},0),Settings!$G$78,Settings!$G$80,Settings!$G$82,Settings!$G$84,Settings!$G$86))/6,2)*6,"")</f>
        <v/>
      </c>
      <c r="AA461" s="142">
        <f>IFERROR(CHOOSE(MATCH(IF($E461="","Основний",$E461),{"Трафіковий","Основний","Маржинальний","Сезонний","Стратегічний"},0),Settings!$G$78,Settings!$G$80,Settings!$G$82,Settings!$G$84,Settings!$G$86),"")</f>
        <v/>
      </c>
      <c r="AB461" s="148">
        <f>IFERROR((Z461*(1-Settings!$G$17)-C461)/(Z461*(1-Settings!$G$17)),"")</f>
        <v/>
      </c>
      <c r="AC461" s="149">
        <f>IFERROR(IF(Z461="","",IF(Z461&gt;=C461/(1-SKU_Base!AE461)/(1-Settings!$G$17),"OK",IF(Z461&gt;=C461/(1-SKU_Base!AL461)/(1-Settings!$G$17),"WARN","STOP"))),"")</f>
        <v/>
      </c>
      <c r="AD461" s="161">
        <f>IFERROR(ROUND(D461*(1-CHOOSE(MATCH(IF($E461="","Основний",$E461),{"Трафіковий","Основний","Маржинальний","Сезонний","Стратегічний"},0),Settings!$H$78,Settings!$H$80,Settings!$H$82,Settings!$H$84,Settings!$H$86))*(1-Settings!$H$68)/6,2)*6,"")</f>
        <v/>
      </c>
      <c r="AE461" s="142">
        <f>IFERROR(CHOOSE(MATCH(IF($E461="","Основний",$E461),{"Трафіковий","Основний","Маржинальний","Сезонний","Стратегічний"},0),Settings!$H$78,Settings!$H$80,Settings!$H$82,Settings!$H$84,Settings!$H$86)+(1-(CHOOSE(MATCH(IF($E461="","Основний",$E461),{"Трафіковий","Основний","Маржинальний","Сезонний","Стратегічний"},0),Settings!$H$78,Settings!$H$80,Settings!$H$82,Settings!$H$84,Settings!$H$86)))*Settings!$H$68,"")</f>
        <v/>
      </c>
      <c r="AF461" s="148">
        <f>IFERROR((AD461*(1-Settings!$H$17)-C461)/(AD461*(1-Settings!$H$17)),"")</f>
        <v/>
      </c>
      <c r="AG461" s="149">
        <f>IFERROR(IF(AD461="","",IF(AD461&gt;=C461/(1-SKU_Base!AF461)/(1-Settings!$H$17),"OK",IF(AD461&gt;=C461/(1-SKU_Base!AM461)/(1-Settings!$H$17),"WARN","STOP"))),"")</f>
        <v/>
      </c>
    </row>
    <row r="462" ht="17" customHeight="1" s="179">
      <c r="A462" s="139">
        <f>SKU_Base!B462</f>
        <v/>
      </c>
      <c r="B462" s="139">
        <f>SKU_Base!C462</f>
        <v/>
      </c>
      <c r="C462" s="140">
        <f>IFERROR(SKU_Base!I462,"")</f>
        <v/>
      </c>
      <c r="D462" s="163">
        <f>IFERROR(SKU_Base!T462,"")</f>
        <v/>
      </c>
      <c r="E462" s="141">
        <f>IFERROR(SKU_Base!$U462,"")</f>
        <v/>
      </c>
      <c r="F462" s="158">
        <f>IFERROR(ROUND(D462*(1-CHOOSE(MATCH(IF($E462="","Основний",$E462),{"Трафіковий","Основний","Маржинальний","Сезонний","Стратегічний"},0),Settings!$B$78,Settings!$B$80,Settings!$B$82,Settings!$B$84,Settings!$B$86))/6,2)*6,"")</f>
        <v/>
      </c>
      <c r="G462" s="142">
        <f>IFERROR(CHOOSE(MATCH(IF($E462="","Основний",$E462),{"Трафіковий","Основний","Маржинальний","Сезонний","Стратегічний"},0),Settings!$B$78,Settings!$B$80,Settings!$B$82,Settings!$B$84,Settings!$B$86),"")</f>
        <v/>
      </c>
      <c r="H462" s="143">
        <f>IFERROR((F462*(1-Settings!$B$17)-C462)/(F462*(1-Settings!$B$17)),"")</f>
        <v/>
      </c>
      <c r="I462" s="149">
        <f>IFERROR(IF(F462="","",IF(F462&gt;=C462/(1-SKU_Base!Z462)/(1-Settings!$B$17),"OK",IF(F462&gt;=C462/(1-SKU_Base!AG462)/(1-Settings!$B$17),"WARN","STOP"))),"")</f>
        <v/>
      </c>
      <c r="J462" s="158">
        <f>IFERROR(ROUND(D462*(1-CHOOSE(MATCH(IF($E462="","Основний",$E462),{"Трафіковий","Основний","Маржинальний","Сезонний","Стратегічний"},0),Settings!$C$78,Settings!$C$80,Settings!$C$82,Settings!$C$84,Settings!$C$86))/6,2)*6,"")</f>
        <v/>
      </c>
      <c r="K462" s="142">
        <f>IFERROR(CHOOSE(MATCH(IF($E462="","Основний",$E462),{"Трафіковий","Основний","Маржинальний","Сезонний","Стратегічний"},0),Settings!$C$78,Settings!$C$80,Settings!$C$82,Settings!$C$84,Settings!$C$86),"")</f>
        <v/>
      </c>
      <c r="L462" s="143">
        <f>IFERROR((J462*(1-Settings!$C$17)-C462)/(J462*(1-Settings!$C$17)),"")</f>
        <v/>
      </c>
      <c r="M462" s="149">
        <f>IFERROR(IF(J462="","",IF(J462&gt;=C462/(1-SKU_Base!AA462)/(1-Settings!$C$17),"OK",IF(J462&gt;=C462/(1-SKU_Base!AH462)/(1-Settings!$C$17),"WARN","STOP"))),"")</f>
        <v/>
      </c>
      <c r="N462" s="159">
        <f>IFERROR(ROUND(D462*(1-CHOOSE(MATCH(IF($E462="","Основний",$E462),{"Трафіковий","Основний","Маржинальний","Сезонний","Стратегічний"},0),Settings!$D$78,Settings!$D$80,Settings!$D$82,Settings!$D$84,Settings!$D$86))/6,2)*6,"")</f>
        <v/>
      </c>
      <c r="O462" s="142">
        <f>IFERROR(CHOOSE(MATCH(IF($E462="","Основний",$E462),{"Трафіковий","Основний","Маржинальний","Сезонний","Стратегічний"},0),Settings!$D$78,Settings!$D$80,Settings!$D$82,Settings!$D$84,Settings!$D$86),"")</f>
        <v/>
      </c>
      <c r="P462" s="143">
        <f>IFERROR((N462*(1-Settings!$D$17)-C462)/(N462*(1-Settings!$D$17)),"")</f>
        <v/>
      </c>
      <c r="Q462" s="149">
        <f>IFERROR(IF(N462="","",IF(N462&gt;=C462/(1-SKU_Base!AB462)/(1-Settings!$D$17),"OK",IF(N462&gt;=C462/(1-SKU_Base!AI462)/(1-Settings!$D$17),"WARN","STOP"))),"")</f>
        <v/>
      </c>
      <c r="R462" s="159">
        <f>IFERROR(ROUND(D462*(1-CHOOSE(MATCH(IF($E462="","Основний",$E462),{"Трафіковий","Основний","Маржинальний","Сезонний","Стратегічний"},0),Settings!$E$78,Settings!$E$80,Settings!$E$82,Settings!$E$84,Settings!$E$86))/6,2)*6,"")</f>
        <v/>
      </c>
      <c r="S462" s="142">
        <f>IFERROR(CHOOSE(MATCH(IF($E462="","Основний",$E462),{"Трафіковий","Основний","Маржинальний","Сезонний","Стратегічний"},0),Settings!$E$78,Settings!$E$80,Settings!$E$82,Settings!$E$84,Settings!$E$86),"")</f>
        <v/>
      </c>
      <c r="T462" s="143">
        <f>IFERROR((R462*(1-Settings!$E$17)-C462)/(R462*(1-Settings!$E$17)),"")</f>
        <v/>
      </c>
      <c r="U462" s="149">
        <f>IFERROR(IF(R462="","",IF(R462&gt;=C462/(1-SKU_Base!AC462)/(1-Settings!$E$17),"OK",IF(R462&gt;=C462/(1-SKU_Base!AJ462)/(1-Settings!$E$17),"WARN","STOP"))),"")</f>
        <v/>
      </c>
      <c r="V462" s="159">
        <f>IFERROR(ROUND(D462*(1-CHOOSE(MATCH(IF($E462="","Основний",$E462),{"Трафіковий","Основний","Маржинальний","Сезонний","Стратегічний"},0),Settings!$F$78,Settings!$F$80,Settings!$F$82,Settings!$F$84,Settings!$F$86))/6,2)*6,"")</f>
        <v/>
      </c>
      <c r="W462" s="142">
        <f>IFERROR(CHOOSE(MATCH(IF($E462="","Основний",$E462),{"Трафіковий","Основний","Маржинальний","Сезонний","Стратегічний"},0),Settings!$F$78,Settings!$F$80,Settings!$F$82,Settings!$F$84,Settings!$F$86),"")</f>
        <v/>
      </c>
      <c r="X462" s="143">
        <f>IFERROR((V462*(1-Settings!$F$17)-C462)/(V462*(1-Settings!$F$17)),"")</f>
        <v/>
      </c>
      <c r="Y462" s="149">
        <f>IFERROR(IF(V462="","",IF(V462&gt;=C462/(1-SKU_Base!AD462)/(1-Settings!$F$17),"OK",IF(V462&gt;=C462/(1-SKU_Base!AK462)/(1-Settings!$F$17),"WARN","STOP"))),"")</f>
        <v/>
      </c>
      <c r="Z462" s="159">
        <f>IFERROR(ROUND(D462*(1-CHOOSE(MATCH(IF($E462="","Основний",$E462),{"Трафіковий","Основний","Маржинальний","Сезонний","Стратегічний"},0),Settings!$G$78,Settings!$G$80,Settings!$G$82,Settings!$G$84,Settings!$G$86))/6,2)*6,"")</f>
        <v/>
      </c>
      <c r="AA462" s="142">
        <f>IFERROR(CHOOSE(MATCH(IF($E462="","Основний",$E462),{"Трафіковий","Основний","Маржинальний","Сезонний","Стратегічний"},0),Settings!$G$78,Settings!$G$80,Settings!$G$82,Settings!$G$84,Settings!$G$86),"")</f>
        <v/>
      </c>
      <c r="AB462" s="143">
        <f>IFERROR((Z462*(1-Settings!$G$17)-C462)/(Z462*(1-Settings!$G$17)),"")</f>
        <v/>
      </c>
      <c r="AC462" s="149">
        <f>IFERROR(IF(Z462="","",IF(Z462&gt;=C462/(1-SKU_Base!AE462)/(1-Settings!$G$17),"OK",IF(Z462&gt;=C462/(1-SKU_Base!AL462)/(1-Settings!$G$17),"WARN","STOP"))),"")</f>
        <v/>
      </c>
      <c r="AD462" s="159">
        <f>IFERROR(ROUND(D462*(1-CHOOSE(MATCH(IF($E462="","Основний",$E462),{"Трафіковий","Основний","Маржинальний","Сезонний","Стратегічний"},0),Settings!$H$78,Settings!$H$80,Settings!$H$82,Settings!$H$84,Settings!$H$86))*(1-Settings!$H$68)/6,2)*6,"")</f>
        <v/>
      </c>
      <c r="AE462" s="142">
        <f>IFERROR(CHOOSE(MATCH(IF($E462="","Основний",$E462),{"Трафіковий","Основний","Маржинальний","Сезонний","Стратегічний"},0),Settings!$H$78,Settings!$H$80,Settings!$H$82,Settings!$H$84,Settings!$H$86)+(1-(CHOOSE(MATCH(IF($E462="","Основний",$E462),{"Трафіковий","Основний","Маржинальний","Сезонний","Стратегічний"},0),Settings!$H$78,Settings!$H$80,Settings!$H$82,Settings!$H$84,Settings!$H$86)))*Settings!$H$68,"")</f>
        <v/>
      </c>
      <c r="AF462" s="143">
        <f>IFERROR((AD462*(1-Settings!$H$17)-C462)/(AD462*(1-Settings!$H$17)),"")</f>
        <v/>
      </c>
      <c r="AG462" s="150">
        <f>IFERROR(IF(AD462="","",IF(AD462&gt;=C462/(1-SKU_Base!AF462)/(1-Settings!$H$17),"OK",IF(AD462&gt;=C462/(1-SKU_Base!AM462)/(1-Settings!$H$17),"WARN","STOP"))),"")</f>
        <v/>
      </c>
    </row>
    <row r="463" ht="17" customHeight="1" s="179">
      <c r="A463" s="146">
        <f>SKU_Base!B463</f>
        <v/>
      </c>
      <c r="B463" s="146">
        <f>SKU_Base!C463</f>
        <v/>
      </c>
      <c r="C463" s="147">
        <f>IFERROR(SKU_Base!I463,"")</f>
        <v/>
      </c>
      <c r="D463" s="164">
        <f>IFERROR(SKU_Base!T463,"")</f>
        <v/>
      </c>
      <c r="E463" s="141">
        <f>IFERROR(SKU_Base!$U463,"")</f>
        <v/>
      </c>
      <c r="F463" s="160">
        <f>IFERROR(ROUND(D463*(1-CHOOSE(MATCH(IF($E463="","Основний",$E463),{"Трафіковий","Основний","Маржинальний","Сезонний","Стратегічний"},0),Settings!$B$78,Settings!$B$80,Settings!$B$82,Settings!$B$84,Settings!$B$86))/6,2)*6,"")</f>
        <v/>
      </c>
      <c r="G463" s="142">
        <f>IFERROR(CHOOSE(MATCH(IF($E463="","Основний",$E463),{"Трафіковий","Основний","Маржинальний","Сезонний","Стратегічний"},0),Settings!$B$78,Settings!$B$80,Settings!$B$82,Settings!$B$84,Settings!$B$86),"")</f>
        <v/>
      </c>
      <c r="H463" s="148">
        <f>IFERROR((F463*(1-Settings!$B$17)-C463)/(F463*(1-Settings!$B$17)),"")</f>
        <v/>
      </c>
      <c r="I463" s="149">
        <f>IFERROR(IF(F463="","",IF(F463&gt;=C463/(1-SKU_Base!Z463)/(1-Settings!$B$17),"OK",IF(F463&gt;=C463/(1-SKU_Base!AG463)/(1-Settings!$B$17),"WARN","STOP"))),"")</f>
        <v/>
      </c>
      <c r="J463" s="160">
        <f>IFERROR(ROUND(D463*(1-CHOOSE(MATCH(IF($E463="","Основний",$E463),{"Трафіковий","Основний","Маржинальний","Сезонний","Стратегічний"},0),Settings!$C$78,Settings!$C$80,Settings!$C$82,Settings!$C$84,Settings!$C$86))/6,2)*6,"")</f>
        <v/>
      </c>
      <c r="K463" s="142">
        <f>IFERROR(CHOOSE(MATCH(IF($E463="","Основний",$E463),{"Трафіковий","Основний","Маржинальний","Сезонний","Стратегічний"},0),Settings!$C$78,Settings!$C$80,Settings!$C$82,Settings!$C$84,Settings!$C$86),"")</f>
        <v/>
      </c>
      <c r="L463" s="148">
        <f>IFERROR((J463*(1-Settings!$C$17)-C463)/(J463*(1-Settings!$C$17)),"")</f>
        <v/>
      </c>
      <c r="M463" s="149">
        <f>IFERROR(IF(J463="","",IF(J463&gt;=C463/(1-SKU_Base!AA463)/(1-Settings!$C$17),"OK",IF(J463&gt;=C463/(1-SKU_Base!AH463)/(1-Settings!$C$17),"WARN","STOP"))),"")</f>
        <v/>
      </c>
      <c r="N463" s="161">
        <f>IFERROR(ROUND(D463*(1-CHOOSE(MATCH(IF($E463="","Основний",$E463),{"Трафіковий","Основний","Маржинальний","Сезонний","Стратегічний"},0),Settings!$D$78,Settings!$D$80,Settings!$D$82,Settings!$D$84,Settings!$D$86))/6,2)*6,"")</f>
        <v/>
      </c>
      <c r="O463" s="142">
        <f>IFERROR(CHOOSE(MATCH(IF($E463="","Основний",$E463),{"Трафіковий","Основний","Маржинальний","Сезонний","Стратегічний"},0),Settings!$D$78,Settings!$D$80,Settings!$D$82,Settings!$D$84,Settings!$D$86),"")</f>
        <v/>
      </c>
      <c r="P463" s="148">
        <f>IFERROR((N463*(1-Settings!$D$17)-C463)/(N463*(1-Settings!$D$17)),"")</f>
        <v/>
      </c>
      <c r="Q463" s="149">
        <f>IFERROR(IF(N463="","",IF(N463&gt;=C463/(1-SKU_Base!AB463)/(1-Settings!$D$17),"OK",IF(N463&gt;=C463/(1-SKU_Base!AI463)/(1-Settings!$D$17),"WARN","STOP"))),"")</f>
        <v/>
      </c>
      <c r="R463" s="161">
        <f>IFERROR(ROUND(D463*(1-CHOOSE(MATCH(IF($E463="","Основний",$E463),{"Трафіковий","Основний","Маржинальний","Сезонний","Стратегічний"},0),Settings!$E$78,Settings!$E$80,Settings!$E$82,Settings!$E$84,Settings!$E$86))/6,2)*6,"")</f>
        <v/>
      </c>
      <c r="S463" s="142">
        <f>IFERROR(CHOOSE(MATCH(IF($E463="","Основний",$E463),{"Трафіковий","Основний","Маржинальний","Сезонний","Стратегічний"},0),Settings!$E$78,Settings!$E$80,Settings!$E$82,Settings!$E$84,Settings!$E$86),"")</f>
        <v/>
      </c>
      <c r="T463" s="148">
        <f>IFERROR((R463*(1-Settings!$E$17)-C463)/(R463*(1-Settings!$E$17)),"")</f>
        <v/>
      </c>
      <c r="U463" s="149">
        <f>IFERROR(IF(R463="","",IF(R463&gt;=C463/(1-SKU_Base!AC463)/(1-Settings!$E$17),"OK",IF(R463&gt;=C463/(1-SKU_Base!AJ463)/(1-Settings!$E$17),"WARN","STOP"))),"")</f>
        <v/>
      </c>
      <c r="V463" s="161">
        <f>IFERROR(ROUND(D463*(1-CHOOSE(MATCH(IF($E463="","Основний",$E463),{"Трафіковий","Основний","Маржинальний","Сезонний","Стратегічний"},0),Settings!$F$78,Settings!$F$80,Settings!$F$82,Settings!$F$84,Settings!$F$86))/6,2)*6,"")</f>
        <v/>
      </c>
      <c r="W463" s="142">
        <f>IFERROR(CHOOSE(MATCH(IF($E463="","Основний",$E463),{"Трафіковий","Основний","Маржинальний","Сезонний","Стратегічний"},0),Settings!$F$78,Settings!$F$80,Settings!$F$82,Settings!$F$84,Settings!$F$86),"")</f>
        <v/>
      </c>
      <c r="X463" s="148">
        <f>IFERROR((V463*(1-Settings!$F$17)-C463)/(V463*(1-Settings!$F$17)),"")</f>
        <v/>
      </c>
      <c r="Y463" s="149">
        <f>IFERROR(IF(V463="","",IF(V463&gt;=C463/(1-SKU_Base!AD463)/(1-Settings!$F$17),"OK",IF(V463&gt;=C463/(1-SKU_Base!AK463)/(1-Settings!$F$17),"WARN","STOP"))),"")</f>
        <v/>
      </c>
      <c r="Z463" s="161">
        <f>IFERROR(ROUND(D463*(1-CHOOSE(MATCH(IF($E463="","Основний",$E463),{"Трафіковий","Основний","Маржинальний","Сезонний","Стратегічний"},0),Settings!$G$78,Settings!$G$80,Settings!$G$82,Settings!$G$84,Settings!$G$86))/6,2)*6,"")</f>
        <v/>
      </c>
      <c r="AA463" s="142">
        <f>IFERROR(CHOOSE(MATCH(IF($E463="","Основний",$E463),{"Трафіковий","Основний","Маржинальний","Сезонний","Стратегічний"},0),Settings!$G$78,Settings!$G$80,Settings!$G$82,Settings!$G$84,Settings!$G$86),"")</f>
        <v/>
      </c>
      <c r="AB463" s="148">
        <f>IFERROR((Z463*(1-Settings!$G$17)-C463)/(Z463*(1-Settings!$G$17)),"")</f>
        <v/>
      </c>
      <c r="AC463" s="149">
        <f>IFERROR(IF(Z463="","",IF(Z463&gt;=C463/(1-SKU_Base!AE463)/(1-Settings!$G$17),"OK",IF(Z463&gt;=C463/(1-SKU_Base!AL463)/(1-Settings!$G$17),"WARN","STOP"))),"")</f>
        <v/>
      </c>
      <c r="AD463" s="161">
        <f>IFERROR(ROUND(D463*(1-CHOOSE(MATCH(IF($E463="","Основний",$E463),{"Трафіковий","Основний","Маржинальний","Сезонний","Стратегічний"},0),Settings!$H$78,Settings!$H$80,Settings!$H$82,Settings!$H$84,Settings!$H$86))*(1-Settings!$H$68)/6,2)*6,"")</f>
        <v/>
      </c>
      <c r="AE463" s="142">
        <f>IFERROR(CHOOSE(MATCH(IF($E463="","Основний",$E463),{"Трафіковий","Основний","Маржинальний","Сезонний","Стратегічний"},0),Settings!$H$78,Settings!$H$80,Settings!$H$82,Settings!$H$84,Settings!$H$86)+(1-(CHOOSE(MATCH(IF($E463="","Основний",$E463),{"Трафіковий","Основний","Маржинальний","Сезонний","Стратегічний"},0),Settings!$H$78,Settings!$H$80,Settings!$H$82,Settings!$H$84,Settings!$H$86)))*Settings!$H$68,"")</f>
        <v/>
      </c>
      <c r="AF463" s="148">
        <f>IFERROR((AD463*(1-Settings!$H$17)-C463)/(AD463*(1-Settings!$H$17)),"")</f>
        <v/>
      </c>
      <c r="AG463" s="149">
        <f>IFERROR(IF(AD463="","",IF(AD463&gt;=C463/(1-SKU_Base!AF463)/(1-Settings!$H$17),"OK",IF(AD463&gt;=C463/(1-SKU_Base!AM463)/(1-Settings!$H$17),"WARN","STOP"))),"")</f>
        <v/>
      </c>
    </row>
    <row r="464" ht="17" customHeight="1" s="179">
      <c r="A464" s="139">
        <f>SKU_Base!B464</f>
        <v/>
      </c>
      <c r="B464" s="139">
        <f>SKU_Base!C464</f>
        <v/>
      </c>
      <c r="C464" s="140">
        <f>IFERROR(SKU_Base!I464,"")</f>
        <v/>
      </c>
      <c r="D464" s="163">
        <f>IFERROR(SKU_Base!T464,"")</f>
        <v/>
      </c>
      <c r="E464" s="141">
        <f>IFERROR(SKU_Base!$U464,"")</f>
        <v/>
      </c>
      <c r="F464" s="158">
        <f>IFERROR(ROUND(D464*(1-CHOOSE(MATCH(IF($E464="","Основний",$E464),{"Трафіковий","Основний","Маржинальний","Сезонний","Стратегічний"},0),Settings!$B$78,Settings!$B$80,Settings!$B$82,Settings!$B$84,Settings!$B$86))/6,2)*6,"")</f>
        <v/>
      </c>
      <c r="G464" s="142">
        <f>IFERROR(CHOOSE(MATCH(IF($E464="","Основний",$E464),{"Трафіковий","Основний","Маржинальний","Сезонний","Стратегічний"},0),Settings!$B$78,Settings!$B$80,Settings!$B$82,Settings!$B$84,Settings!$B$86),"")</f>
        <v/>
      </c>
      <c r="H464" s="143">
        <f>IFERROR((F464*(1-Settings!$B$17)-C464)/(F464*(1-Settings!$B$17)),"")</f>
        <v/>
      </c>
      <c r="I464" s="149">
        <f>IFERROR(IF(F464="","",IF(F464&gt;=C464/(1-SKU_Base!Z464)/(1-Settings!$B$17),"OK",IF(F464&gt;=C464/(1-SKU_Base!AG464)/(1-Settings!$B$17),"WARN","STOP"))),"")</f>
        <v/>
      </c>
      <c r="J464" s="158">
        <f>IFERROR(ROUND(D464*(1-CHOOSE(MATCH(IF($E464="","Основний",$E464),{"Трафіковий","Основний","Маржинальний","Сезонний","Стратегічний"},0),Settings!$C$78,Settings!$C$80,Settings!$C$82,Settings!$C$84,Settings!$C$86))/6,2)*6,"")</f>
        <v/>
      </c>
      <c r="K464" s="142">
        <f>IFERROR(CHOOSE(MATCH(IF($E464="","Основний",$E464),{"Трафіковий","Основний","Маржинальний","Сезонний","Стратегічний"},0),Settings!$C$78,Settings!$C$80,Settings!$C$82,Settings!$C$84,Settings!$C$86),"")</f>
        <v/>
      </c>
      <c r="L464" s="143">
        <f>IFERROR((J464*(1-Settings!$C$17)-C464)/(J464*(1-Settings!$C$17)),"")</f>
        <v/>
      </c>
      <c r="M464" s="149">
        <f>IFERROR(IF(J464="","",IF(J464&gt;=C464/(1-SKU_Base!AA464)/(1-Settings!$C$17),"OK",IF(J464&gt;=C464/(1-SKU_Base!AH464)/(1-Settings!$C$17),"WARN","STOP"))),"")</f>
        <v/>
      </c>
      <c r="N464" s="159">
        <f>IFERROR(ROUND(D464*(1-CHOOSE(MATCH(IF($E464="","Основний",$E464),{"Трафіковий","Основний","Маржинальний","Сезонний","Стратегічний"},0),Settings!$D$78,Settings!$D$80,Settings!$D$82,Settings!$D$84,Settings!$D$86))/6,2)*6,"")</f>
        <v/>
      </c>
      <c r="O464" s="142">
        <f>IFERROR(CHOOSE(MATCH(IF($E464="","Основний",$E464),{"Трафіковий","Основний","Маржинальний","Сезонний","Стратегічний"},0),Settings!$D$78,Settings!$D$80,Settings!$D$82,Settings!$D$84,Settings!$D$86),"")</f>
        <v/>
      </c>
      <c r="P464" s="143">
        <f>IFERROR((N464*(1-Settings!$D$17)-C464)/(N464*(1-Settings!$D$17)),"")</f>
        <v/>
      </c>
      <c r="Q464" s="149">
        <f>IFERROR(IF(N464="","",IF(N464&gt;=C464/(1-SKU_Base!AB464)/(1-Settings!$D$17),"OK",IF(N464&gt;=C464/(1-SKU_Base!AI464)/(1-Settings!$D$17),"WARN","STOP"))),"")</f>
        <v/>
      </c>
      <c r="R464" s="159">
        <f>IFERROR(ROUND(D464*(1-CHOOSE(MATCH(IF($E464="","Основний",$E464),{"Трафіковий","Основний","Маржинальний","Сезонний","Стратегічний"},0),Settings!$E$78,Settings!$E$80,Settings!$E$82,Settings!$E$84,Settings!$E$86))/6,2)*6,"")</f>
        <v/>
      </c>
      <c r="S464" s="142">
        <f>IFERROR(CHOOSE(MATCH(IF($E464="","Основний",$E464),{"Трафіковий","Основний","Маржинальний","Сезонний","Стратегічний"},0),Settings!$E$78,Settings!$E$80,Settings!$E$82,Settings!$E$84,Settings!$E$86),"")</f>
        <v/>
      </c>
      <c r="T464" s="143">
        <f>IFERROR((R464*(1-Settings!$E$17)-C464)/(R464*(1-Settings!$E$17)),"")</f>
        <v/>
      </c>
      <c r="U464" s="149">
        <f>IFERROR(IF(R464="","",IF(R464&gt;=C464/(1-SKU_Base!AC464)/(1-Settings!$E$17),"OK",IF(R464&gt;=C464/(1-SKU_Base!AJ464)/(1-Settings!$E$17),"WARN","STOP"))),"")</f>
        <v/>
      </c>
      <c r="V464" s="159">
        <f>IFERROR(ROUND(D464*(1-CHOOSE(MATCH(IF($E464="","Основний",$E464),{"Трафіковий","Основний","Маржинальний","Сезонний","Стратегічний"},0),Settings!$F$78,Settings!$F$80,Settings!$F$82,Settings!$F$84,Settings!$F$86))/6,2)*6,"")</f>
        <v/>
      </c>
      <c r="W464" s="142">
        <f>IFERROR(CHOOSE(MATCH(IF($E464="","Основний",$E464),{"Трафіковий","Основний","Маржинальний","Сезонний","Стратегічний"},0),Settings!$F$78,Settings!$F$80,Settings!$F$82,Settings!$F$84,Settings!$F$86),"")</f>
        <v/>
      </c>
      <c r="X464" s="143">
        <f>IFERROR((V464*(1-Settings!$F$17)-C464)/(V464*(1-Settings!$F$17)),"")</f>
        <v/>
      </c>
      <c r="Y464" s="149">
        <f>IFERROR(IF(V464="","",IF(V464&gt;=C464/(1-SKU_Base!AD464)/(1-Settings!$F$17),"OK",IF(V464&gt;=C464/(1-SKU_Base!AK464)/(1-Settings!$F$17),"WARN","STOP"))),"")</f>
        <v/>
      </c>
      <c r="Z464" s="159">
        <f>IFERROR(ROUND(D464*(1-CHOOSE(MATCH(IF($E464="","Основний",$E464),{"Трафіковий","Основний","Маржинальний","Сезонний","Стратегічний"},0),Settings!$G$78,Settings!$G$80,Settings!$G$82,Settings!$G$84,Settings!$G$86))/6,2)*6,"")</f>
        <v/>
      </c>
      <c r="AA464" s="142">
        <f>IFERROR(CHOOSE(MATCH(IF($E464="","Основний",$E464),{"Трафіковий","Основний","Маржинальний","Сезонний","Стратегічний"},0),Settings!$G$78,Settings!$G$80,Settings!$G$82,Settings!$G$84,Settings!$G$86),"")</f>
        <v/>
      </c>
      <c r="AB464" s="143">
        <f>IFERROR((Z464*(1-Settings!$G$17)-C464)/(Z464*(1-Settings!$G$17)),"")</f>
        <v/>
      </c>
      <c r="AC464" s="149">
        <f>IFERROR(IF(Z464="","",IF(Z464&gt;=C464/(1-SKU_Base!AE464)/(1-Settings!$G$17),"OK",IF(Z464&gt;=C464/(1-SKU_Base!AL464)/(1-Settings!$G$17),"WARN","STOP"))),"")</f>
        <v/>
      </c>
      <c r="AD464" s="159">
        <f>IFERROR(ROUND(D464*(1-CHOOSE(MATCH(IF($E464="","Основний",$E464),{"Трафіковий","Основний","Маржинальний","Сезонний","Стратегічний"},0),Settings!$H$78,Settings!$H$80,Settings!$H$82,Settings!$H$84,Settings!$H$86))*(1-Settings!$H$68)/6,2)*6,"")</f>
        <v/>
      </c>
      <c r="AE464" s="142">
        <f>IFERROR(CHOOSE(MATCH(IF($E464="","Основний",$E464),{"Трафіковий","Основний","Маржинальний","Сезонний","Стратегічний"},0),Settings!$H$78,Settings!$H$80,Settings!$H$82,Settings!$H$84,Settings!$H$86)+(1-(CHOOSE(MATCH(IF($E464="","Основний",$E464),{"Трафіковий","Основний","Маржинальний","Сезонний","Стратегічний"},0),Settings!$H$78,Settings!$H$80,Settings!$H$82,Settings!$H$84,Settings!$H$86)))*Settings!$H$68,"")</f>
        <v/>
      </c>
      <c r="AF464" s="143">
        <f>IFERROR((AD464*(1-Settings!$H$17)-C464)/(AD464*(1-Settings!$H$17)),"")</f>
        <v/>
      </c>
      <c r="AG464" s="149">
        <f>IFERROR(IF(AD464="","",IF(AD464&gt;=C464/(1-SKU_Base!AF464)/(1-Settings!$H$17),"OK",IF(AD464&gt;=C464/(1-SKU_Base!AM464)/(1-Settings!$H$17),"WARN","STOP"))),"")</f>
        <v/>
      </c>
    </row>
    <row r="465" ht="17" customHeight="1" s="179">
      <c r="A465" s="146">
        <f>SKU_Base!B465</f>
        <v/>
      </c>
      <c r="B465" s="146">
        <f>SKU_Base!C465</f>
        <v/>
      </c>
      <c r="C465" s="147">
        <f>IFERROR(SKU_Base!I465,"")</f>
        <v/>
      </c>
      <c r="D465" s="164">
        <f>IFERROR(SKU_Base!T465,"")</f>
        <v/>
      </c>
      <c r="E465" s="141">
        <f>IFERROR(SKU_Base!$U465,"")</f>
        <v/>
      </c>
      <c r="F465" s="160">
        <f>IFERROR(ROUND(D465*(1-CHOOSE(MATCH(IF($E465="","Основний",$E465),{"Трафіковий","Основний","Маржинальний","Сезонний","Стратегічний"},0),Settings!$B$78,Settings!$B$80,Settings!$B$82,Settings!$B$84,Settings!$B$86))/6,2)*6,"")</f>
        <v/>
      </c>
      <c r="G465" s="142">
        <f>IFERROR(CHOOSE(MATCH(IF($E465="","Основний",$E465),{"Трафіковий","Основний","Маржинальний","Сезонний","Стратегічний"},0),Settings!$B$78,Settings!$B$80,Settings!$B$82,Settings!$B$84,Settings!$B$86),"")</f>
        <v/>
      </c>
      <c r="H465" s="148">
        <f>IFERROR((F465*(1-Settings!$B$17)-C465)/(F465*(1-Settings!$B$17)),"")</f>
        <v/>
      </c>
      <c r="I465" s="149">
        <f>IFERROR(IF(F465="","",IF(F465&gt;=C465/(1-SKU_Base!Z465)/(1-Settings!$B$17),"OK",IF(F465&gt;=C465/(1-SKU_Base!AG465)/(1-Settings!$B$17),"WARN","STOP"))),"")</f>
        <v/>
      </c>
      <c r="J465" s="160">
        <f>IFERROR(ROUND(D465*(1-CHOOSE(MATCH(IF($E465="","Основний",$E465),{"Трафіковий","Основний","Маржинальний","Сезонний","Стратегічний"},0),Settings!$C$78,Settings!$C$80,Settings!$C$82,Settings!$C$84,Settings!$C$86))/6,2)*6,"")</f>
        <v/>
      </c>
      <c r="K465" s="142">
        <f>IFERROR(CHOOSE(MATCH(IF($E465="","Основний",$E465),{"Трафіковий","Основний","Маржинальний","Сезонний","Стратегічний"},0),Settings!$C$78,Settings!$C$80,Settings!$C$82,Settings!$C$84,Settings!$C$86),"")</f>
        <v/>
      </c>
      <c r="L465" s="148">
        <f>IFERROR((J465*(1-Settings!$C$17)-C465)/(J465*(1-Settings!$C$17)),"")</f>
        <v/>
      </c>
      <c r="M465" s="149">
        <f>IFERROR(IF(J465="","",IF(J465&gt;=C465/(1-SKU_Base!AA465)/(1-Settings!$C$17),"OK",IF(J465&gt;=C465/(1-SKU_Base!AH465)/(1-Settings!$C$17),"WARN","STOP"))),"")</f>
        <v/>
      </c>
      <c r="N465" s="161">
        <f>IFERROR(ROUND(D465*(1-CHOOSE(MATCH(IF($E465="","Основний",$E465),{"Трафіковий","Основний","Маржинальний","Сезонний","Стратегічний"},0),Settings!$D$78,Settings!$D$80,Settings!$D$82,Settings!$D$84,Settings!$D$86))/6,2)*6,"")</f>
        <v/>
      </c>
      <c r="O465" s="142">
        <f>IFERROR(CHOOSE(MATCH(IF($E465="","Основний",$E465),{"Трафіковий","Основний","Маржинальний","Сезонний","Стратегічний"},0),Settings!$D$78,Settings!$D$80,Settings!$D$82,Settings!$D$84,Settings!$D$86),"")</f>
        <v/>
      </c>
      <c r="P465" s="148">
        <f>IFERROR((N465*(1-Settings!$D$17)-C465)/(N465*(1-Settings!$D$17)),"")</f>
        <v/>
      </c>
      <c r="Q465" s="149">
        <f>IFERROR(IF(N465="","",IF(N465&gt;=C465/(1-SKU_Base!AB465)/(1-Settings!$D$17),"OK",IF(N465&gt;=C465/(1-SKU_Base!AI465)/(1-Settings!$D$17),"WARN","STOP"))),"")</f>
        <v/>
      </c>
      <c r="R465" s="161">
        <f>IFERROR(ROUND(D465*(1-CHOOSE(MATCH(IF($E465="","Основний",$E465),{"Трафіковий","Основний","Маржинальний","Сезонний","Стратегічний"},0),Settings!$E$78,Settings!$E$80,Settings!$E$82,Settings!$E$84,Settings!$E$86))/6,2)*6,"")</f>
        <v/>
      </c>
      <c r="S465" s="142">
        <f>IFERROR(CHOOSE(MATCH(IF($E465="","Основний",$E465),{"Трафіковий","Основний","Маржинальний","Сезонний","Стратегічний"},0),Settings!$E$78,Settings!$E$80,Settings!$E$82,Settings!$E$84,Settings!$E$86),"")</f>
        <v/>
      </c>
      <c r="T465" s="148">
        <f>IFERROR((R465*(1-Settings!$E$17)-C465)/(R465*(1-Settings!$E$17)),"")</f>
        <v/>
      </c>
      <c r="U465" s="149">
        <f>IFERROR(IF(R465="","",IF(R465&gt;=C465/(1-SKU_Base!AC465)/(1-Settings!$E$17),"OK",IF(R465&gt;=C465/(1-SKU_Base!AJ465)/(1-Settings!$E$17),"WARN","STOP"))),"")</f>
        <v/>
      </c>
      <c r="V465" s="161">
        <f>IFERROR(ROUND(D465*(1-CHOOSE(MATCH(IF($E465="","Основний",$E465),{"Трафіковий","Основний","Маржинальний","Сезонний","Стратегічний"},0),Settings!$F$78,Settings!$F$80,Settings!$F$82,Settings!$F$84,Settings!$F$86))/6,2)*6,"")</f>
        <v/>
      </c>
      <c r="W465" s="142">
        <f>IFERROR(CHOOSE(MATCH(IF($E465="","Основний",$E465),{"Трафіковий","Основний","Маржинальний","Сезонний","Стратегічний"},0),Settings!$F$78,Settings!$F$80,Settings!$F$82,Settings!$F$84,Settings!$F$86),"")</f>
        <v/>
      </c>
      <c r="X465" s="148">
        <f>IFERROR((V465*(1-Settings!$F$17)-C465)/(V465*(1-Settings!$F$17)),"")</f>
        <v/>
      </c>
      <c r="Y465" s="149">
        <f>IFERROR(IF(V465="","",IF(V465&gt;=C465/(1-SKU_Base!AD465)/(1-Settings!$F$17),"OK",IF(V465&gt;=C465/(1-SKU_Base!AK465)/(1-Settings!$F$17),"WARN","STOP"))),"")</f>
        <v/>
      </c>
      <c r="Z465" s="161">
        <f>IFERROR(ROUND(D465*(1-CHOOSE(MATCH(IF($E465="","Основний",$E465),{"Трафіковий","Основний","Маржинальний","Сезонний","Стратегічний"},0),Settings!$G$78,Settings!$G$80,Settings!$G$82,Settings!$G$84,Settings!$G$86))/6,2)*6,"")</f>
        <v/>
      </c>
      <c r="AA465" s="142">
        <f>IFERROR(CHOOSE(MATCH(IF($E465="","Основний",$E465),{"Трафіковий","Основний","Маржинальний","Сезонний","Стратегічний"},0),Settings!$G$78,Settings!$G$80,Settings!$G$82,Settings!$G$84,Settings!$G$86),"")</f>
        <v/>
      </c>
      <c r="AB465" s="148">
        <f>IFERROR((Z465*(1-Settings!$G$17)-C465)/(Z465*(1-Settings!$G$17)),"")</f>
        <v/>
      </c>
      <c r="AC465" s="149">
        <f>IFERROR(IF(Z465="","",IF(Z465&gt;=C465/(1-SKU_Base!AE465)/(1-Settings!$G$17),"OK",IF(Z465&gt;=C465/(1-SKU_Base!AL465)/(1-Settings!$G$17),"WARN","STOP"))),"")</f>
        <v/>
      </c>
      <c r="AD465" s="161">
        <f>IFERROR(ROUND(D465*(1-CHOOSE(MATCH(IF($E465="","Основний",$E465),{"Трафіковий","Основний","Маржинальний","Сезонний","Стратегічний"},0),Settings!$H$78,Settings!$H$80,Settings!$H$82,Settings!$H$84,Settings!$H$86))*(1-Settings!$H$68)/6,2)*6,"")</f>
        <v/>
      </c>
      <c r="AE465" s="142">
        <f>IFERROR(CHOOSE(MATCH(IF($E465="","Основний",$E465),{"Трафіковий","Основний","Маржинальний","Сезонний","Стратегічний"},0),Settings!$H$78,Settings!$H$80,Settings!$H$82,Settings!$H$84,Settings!$H$86)+(1-(CHOOSE(MATCH(IF($E465="","Основний",$E465),{"Трафіковий","Основний","Маржинальний","Сезонний","Стратегічний"},0),Settings!$H$78,Settings!$H$80,Settings!$H$82,Settings!$H$84,Settings!$H$86)))*Settings!$H$68,"")</f>
        <v/>
      </c>
      <c r="AF465" s="148">
        <f>IFERROR((AD465*(1-Settings!$H$17)-C465)/(AD465*(1-Settings!$H$17)),"")</f>
        <v/>
      </c>
      <c r="AG465" s="149">
        <f>IFERROR(IF(AD465="","",IF(AD465&gt;=C465/(1-SKU_Base!AF465)/(1-Settings!$H$17),"OK",IF(AD465&gt;=C465/(1-SKU_Base!AM465)/(1-Settings!$H$17),"WARN","STOP"))),"")</f>
        <v/>
      </c>
    </row>
    <row r="466" ht="17" customHeight="1" s="179">
      <c r="A466" s="139">
        <f>SKU_Base!B466</f>
        <v/>
      </c>
      <c r="B466" s="139">
        <f>SKU_Base!C466</f>
        <v/>
      </c>
      <c r="C466" s="140">
        <f>IFERROR(SKU_Base!I466,"")</f>
        <v/>
      </c>
      <c r="D466" s="163">
        <f>IFERROR(SKU_Base!T466,"")</f>
        <v/>
      </c>
      <c r="E466" s="141">
        <f>IFERROR(SKU_Base!$U466,"")</f>
        <v/>
      </c>
      <c r="F466" s="158">
        <f>IFERROR(ROUND(D466*(1-CHOOSE(MATCH(IF($E466="","Основний",$E466),{"Трафіковий","Основний","Маржинальний","Сезонний","Стратегічний"},0),Settings!$B$78,Settings!$B$80,Settings!$B$82,Settings!$B$84,Settings!$B$86))/6,2)*6,"")</f>
        <v/>
      </c>
      <c r="G466" s="142">
        <f>IFERROR(CHOOSE(MATCH(IF($E466="","Основний",$E466),{"Трафіковий","Основний","Маржинальний","Сезонний","Стратегічний"},0),Settings!$B$78,Settings!$B$80,Settings!$B$82,Settings!$B$84,Settings!$B$86),"")</f>
        <v/>
      </c>
      <c r="H466" s="143">
        <f>IFERROR((F466*(1-Settings!$B$17)-C466)/(F466*(1-Settings!$B$17)),"")</f>
        <v/>
      </c>
      <c r="I466" s="149">
        <f>IFERROR(IF(F466="","",IF(F466&gt;=C466/(1-SKU_Base!Z466)/(1-Settings!$B$17),"OK",IF(F466&gt;=C466/(1-SKU_Base!AG466)/(1-Settings!$B$17),"WARN","STOP"))),"")</f>
        <v/>
      </c>
      <c r="J466" s="158">
        <f>IFERROR(ROUND(D466*(1-CHOOSE(MATCH(IF($E466="","Основний",$E466),{"Трафіковий","Основний","Маржинальний","Сезонний","Стратегічний"},0),Settings!$C$78,Settings!$C$80,Settings!$C$82,Settings!$C$84,Settings!$C$86))/6,2)*6,"")</f>
        <v/>
      </c>
      <c r="K466" s="142">
        <f>IFERROR(CHOOSE(MATCH(IF($E466="","Основний",$E466),{"Трафіковий","Основний","Маржинальний","Сезонний","Стратегічний"},0),Settings!$C$78,Settings!$C$80,Settings!$C$82,Settings!$C$84,Settings!$C$86),"")</f>
        <v/>
      </c>
      <c r="L466" s="143">
        <f>IFERROR((J466*(1-Settings!$C$17)-C466)/(J466*(1-Settings!$C$17)),"")</f>
        <v/>
      </c>
      <c r="M466" s="149">
        <f>IFERROR(IF(J466="","",IF(J466&gt;=C466/(1-SKU_Base!AA466)/(1-Settings!$C$17),"OK",IF(J466&gt;=C466/(1-SKU_Base!AH466)/(1-Settings!$C$17),"WARN","STOP"))),"")</f>
        <v/>
      </c>
      <c r="N466" s="159">
        <f>IFERROR(ROUND(D466*(1-CHOOSE(MATCH(IF($E466="","Основний",$E466),{"Трафіковий","Основний","Маржинальний","Сезонний","Стратегічний"},0),Settings!$D$78,Settings!$D$80,Settings!$D$82,Settings!$D$84,Settings!$D$86))/6,2)*6,"")</f>
        <v/>
      </c>
      <c r="O466" s="142">
        <f>IFERROR(CHOOSE(MATCH(IF($E466="","Основний",$E466),{"Трафіковий","Основний","Маржинальний","Сезонний","Стратегічний"},0),Settings!$D$78,Settings!$D$80,Settings!$D$82,Settings!$D$84,Settings!$D$86),"")</f>
        <v/>
      </c>
      <c r="P466" s="143">
        <f>IFERROR((N466*(1-Settings!$D$17)-C466)/(N466*(1-Settings!$D$17)),"")</f>
        <v/>
      </c>
      <c r="Q466" s="149">
        <f>IFERROR(IF(N466="","",IF(N466&gt;=C466/(1-SKU_Base!AB466)/(1-Settings!$D$17),"OK",IF(N466&gt;=C466/(1-SKU_Base!AI466)/(1-Settings!$D$17),"WARN","STOP"))),"")</f>
        <v/>
      </c>
      <c r="R466" s="159">
        <f>IFERROR(ROUND(D466*(1-CHOOSE(MATCH(IF($E466="","Основний",$E466),{"Трафіковий","Основний","Маржинальний","Сезонний","Стратегічний"},0),Settings!$E$78,Settings!$E$80,Settings!$E$82,Settings!$E$84,Settings!$E$86))/6,2)*6,"")</f>
        <v/>
      </c>
      <c r="S466" s="142">
        <f>IFERROR(CHOOSE(MATCH(IF($E466="","Основний",$E466),{"Трафіковий","Основний","Маржинальний","Сезонний","Стратегічний"},0),Settings!$E$78,Settings!$E$80,Settings!$E$82,Settings!$E$84,Settings!$E$86),"")</f>
        <v/>
      </c>
      <c r="T466" s="143">
        <f>IFERROR((R466*(1-Settings!$E$17)-C466)/(R466*(1-Settings!$E$17)),"")</f>
        <v/>
      </c>
      <c r="U466" s="149">
        <f>IFERROR(IF(R466="","",IF(R466&gt;=C466/(1-SKU_Base!AC466)/(1-Settings!$E$17),"OK",IF(R466&gt;=C466/(1-SKU_Base!AJ466)/(1-Settings!$E$17),"WARN","STOP"))),"")</f>
        <v/>
      </c>
      <c r="V466" s="159">
        <f>IFERROR(ROUND(D466*(1-CHOOSE(MATCH(IF($E466="","Основний",$E466),{"Трафіковий","Основний","Маржинальний","Сезонний","Стратегічний"},0),Settings!$F$78,Settings!$F$80,Settings!$F$82,Settings!$F$84,Settings!$F$86))/6,2)*6,"")</f>
        <v/>
      </c>
      <c r="W466" s="142">
        <f>IFERROR(CHOOSE(MATCH(IF($E466="","Основний",$E466),{"Трафіковий","Основний","Маржинальний","Сезонний","Стратегічний"},0),Settings!$F$78,Settings!$F$80,Settings!$F$82,Settings!$F$84,Settings!$F$86),"")</f>
        <v/>
      </c>
      <c r="X466" s="143">
        <f>IFERROR((V466*(1-Settings!$F$17)-C466)/(V466*(1-Settings!$F$17)),"")</f>
        <v/>
      </c>
      <c r="Y466" s="149">
        <f>IFERROR(IF(V466="","",IF(V466&gt;=C466/(1-SKU_Base!AD466)/(1-Settings!$F$17),"OK",IF(V466&gt;=C466/(1-SKU_Base!AK466)/(1-Settings!$F$17),"WARN","STOP"))),"")</f>
        <v/>
      </c>
      <c r="Z466" s="159">
        <f>IFERROR(ROUND(D466*(1-CHOOSE(MATCH(IF($E466="","Основний",$E466),{"Трафіковий","Основний","Маржинальний","Сезонний","Стратегічний"},0),Settings!$G$78,Settings!$G$80,Settings!$G$82,Settings!$G$84,Settings!$G$86))/6,2)*6,"")</f>
        <v/>
      </c>
      <c r="AA466" s="142">
        <f>IFERROR(CHOOSE(MATCH(IF($E466="","Основний",$E466),{"Трафіковий","Основний","Маржинальний","Сезонний","Стратегічний"},0),Settings!$G$78,Settings!$G$80,Settings!$G$82,Settings!$G$84,Settings!$G$86),"")</f>
        <v/>
      </c>
      <c r="AB466" s="143">
        <f>IFERROR((Z466*(1-Settings!$G$17)-C466)/(Z466*(1-Settings!$G$17)),"")</f>
        <v/>
      </c>
      <c r="AC466" s="149">
        <f>IFERROR(IF(Z466="","",IF(Z466&gt;=C466/(1-SKU_Base!AE466)/(1-Settings!$G$17),"OK",IF(Z466&gt;=C466/(1-SKU_Base!AL466)/(1-Settings!$G$17),"WARN","STOP"))),"")</f>
        <v/>
      </c>
      <c r="AD466" s="159">
        <f>IFERROR(ROUND(D466*(1-CHOOSE(MATCH(IF($E466="","Основний",$E466),{"Трафіковий","Основний","Маржинальний","Сезонний","Стратегічний"},0),Settings!$H$78,Settings!$H$80,Settings!$H$82,Settings!$H$84,Settings!$H$86))*(1-Settings!$H$68)/6,2)*6,"")</f>
        <v/>
      </c>
      <c r="AE466" s="142">
        <f>IFERROR(CHOOSE(MATCH(IF($E466="","Основний",$E466),{"Трафіковий","Основний","Маржинальний","Сезонний","Стратегічний"},0),Settings!$H$78,Settings!$H$80,Settings!$H$82,Settings!$H$84,Settings!$H$86)+(1-(CHOOSE(MATCH(IF($E466="","Основний",$E466),{"Трафіковий","Основний","Маржинальний","Сезонний","Стратегічний"},0),Settings!$H$78,Settings!$H$80,Settings!$H$82,Settings!$H$84,Settings!$H$86)))*Settings!$H$68,"")</f>
        <v/>
      </c>
      <c r="AF466" s="143">
        <f>IFERROR((AD466*(1-Settings!$H$17)-C466)/(AD466*(1-Settings!$H$17)),"")</f>
        <v/>
      </c>
      <c r="AG466" s="150">
        <f>IFERROR(IF(AD466="","",IF(AD466&gt;=C466/(1-SKU_Base!AF466)/(1-Settings!$H$17),"OK",IF(AD466&gt;=C466/(1-SKU_Base!AM466)/(1-Settings!$H$17),"WARN","STOP"))),"")</f>
        <v/>
      </c>
    </row>
    <row r="467" ht="17" customHeight="1" s="179">
      <c r="A467" s="146">
        <f>SKU_Base!B467</f>
        <v/>
      </c>
      <c r="B467" s="146">
        <f>SKU_Base!C467</f>
        <v/>
      </c>
      <c r="C467" s="147">
        <f>IFERROR(SKU_Base!I467,"")</f>
        <v/>
      </c>
      <c r="D467" s="164">
        <f>IFERROR(SKU_Base!T467,"")</f>
        <v/>
      </c>
      <c r="E467" s="141">
        <f>IFERROR(SKU_Base!$U467,"")</f>
        <v/>
      </c>
      <c r="F467" s="160">
        <f>IFERROR(ROUND(D467*(1-CHOOSE(MATCH(IF($E467="","Основний",$E467),{"Трафіковий","Основний","Маржинальний","Сезонний","Стратегічний"},0),Settings!$B$78,Settings!$B$80,Settings!$B$82,Settings!$B$84,Settings!$B$86))/6,2)*6,"")</f>
        <v/>
      </c>
      <c r="G467" s="142">
        <f>IFERROR(CHOOSE(MATCH(IF($E467="","Основний",$E467),{"Трафіковий","Основний","Маржинальний","Сезонний","Стратегічний"},0),Settings!$B$78,Settings!$B$80,Settings!$B$82,Settings!$B$84,Settings!$B$86),"")</f>
        <v/>
      </c>
      <c r="H467" s="148">
        <f>IFERROR((F467*(1-Settings!$B$17)-C467)/(F467*(1-Settings!$B$17)),"")</f>
        <v/>
      </c>
      <c r="I467" s="150">
        <f>IFERROR(IF(F467="","",IF(F467&gt;=C467/(1-SKU_Base!Z467)/(1-Settings!$B$17),"OK",IF(F467&gt;=C467/(1-SKU_Base!AG467)/(1-Settings!$B$17),"WARN","STOP"))),"")</f>
        <v/>
      </c>
      <c r="J467" s="160">
        <f>IFERROR(ROUND(D467*(1-CHOOSE(MATCH(IF($E467="","Основний",$E467),{"Трафіковий","Основний","Маржинальний","Сезонний","Стратегічний"},0),Settings!$C$78,Settings!$C$80,Settings!$C$82,Settings!$C$84,Settings!$C$86))/6,2)*6,"")</f>
        <v/>
      </c>
      <c r="K467" s="142">
        <f>IFERROR(CHOOSE(MATCH(IF($E467="","Основний",$E467),{"Трафіковий","Основний","Маржинальний","Сезонний","Стратегічний"},0),Settings!$C$78,Settings!$C$80,Settings!$C$82,Settings!$C$84,Settings!$C$86),"")</f>
        <v/>
      </c>
      <c r="L467" s="148">
        <f>IFERROR((J467*(1-Settings!$C$17)-C467)/(J467*(1-Settings!$C$17)),"")</f>
        <v/>
      </c>
      <c r="M467" s="149">
        <f>IFERROR(IF(J467="","",IF(J467&gt;=C467/(1-SKU_Base!AA467)/(1-Settings!$C$17),"OK",IF(J467&gt;=C467/(1-SKU_Base!AH467)/(1-Settings!$C$17),"WARN","STOP"))),"")</f>
        <v/>
      </c>
      <c r="N467" s="161">
        <f>IFERROR(ROUND(D467*(1-CHOOSE(MATCH(IF($E467="","Основний",$E467),{"Трафіковий","Основний","Маржинальний","Сезонний","Стратегічний"},0),Settings!$D$78,Settings!$D$80,Settings!$D$82,Settings!$D$84,Settings!$D$86))/6,2)*6,"")</f>
        <v/>
      </c>
      <c r="O467" s="142">
        <f>IFERROR(CHOOSE(MATCH(IF($E467="","Основний",$E467),{"Трафіковий","Основний","Маржинальний","Сезонний","Стратегічний"},0),Settings!$D$78,Settings!$D$80,Settings!$D$82,Settings!$D$84,Settings!$D$86),"")</f>
        <v/>
      </c>
      <c r="P467" s="148">
        <f>IFERROR((N467*(1-Settings!$D$17)-C467)/(N467*(1-Settings!$D$17)),"")</f>
        <v/>
      </c>
      <c r="Q467" s="149">
        <f>IFERROR(IF(N467="","",IF(N467&gt;=C467/(1-SKU_Base!AB467)/(1-Settings!$D$17),"OK",IF(N467&gt;=C467/(1-SKU_Base!AI467)/(1-Settings!$D$17),"WARN","STOP"))),"")</f>
        <v/>
      </c>
      <c r="R467" s="161">
        <f>IFERROR(ROUND(D467*(1-CHOOSE(MATCH(IF($E467="","Основний",$E467),{"Трафіковий","Основний","Маржинальний","Сезонний","Стратегічний"},0),Settings!$E$78,Settings!$E$80,Settings!$E$82,Settings!$E$84,Settings!$E$86))/6,2)*6,"")</f>
        <v/>
      </c>
      <c r="S467" s="142">
        <f>IFERROR(CHOOSE(MATCH(IF($E467="","Основний",$E467),{"Трафіковий","Основний","Маржинальний","Сезонний","Стратегічний"},0),Settings!$E$78,Settings!$E$80,Settings!$E$82,Settings!$E$84,Settings!$E$86),"")</f>
        <v/>
      </c>
      <c r="T467" s="148">
        <f>IFERROR((R467*(1-Settings!$E$17)-C467)/(R467*(1-Settings!$E$17)),"")</f>
        <v/>
      </c>
      <c r="U467" s="149">
        <f>IFERROR(IF(R467="","",IF(R467&gt;=C467/(1-SKU_Base!AC467)/(1-Settings!$E$17),"OK",IF(R467&gt;=C467/(1-SKU_Base!AJ467)/(1-Settings!$E$17),"WARN","STOP"))),"")</f>
        <v/>
      </c>
      <c r="V467" s="161">
        <f>IFERROR(ROUND(D467*(1-CHOOSE(MATCH(IF($E467="","Основний",$E467),{"Трафіковий","Основний","Маржинальний","Сезонний","Стратегічний"},0),Settings!$F$78,Settings!$F$80,Settings!$F$82,Settings!$F$84,Settings!$F$86))/6,2)*6,"")</f>
        <v/>
      </c>
      <c r="W467" s="142">
        <f>IFERROR(CHOOSE(MATCH(IF($E467="","Основний",$E467),{"Трафіковий","Основний","Маржинальний","Сезонний","Стратегічний"},0),Settings!$F$78,Settings!$F$80,Settings!$F$82,Settings!$F$84,Settings!$F$86),"")</f>
        <v/>
      </c>
      <c r="X467" s="148">
        <f>IFERROR((V467*(1-Settings!$F$17)-C467)/(V467*(1-Settings!$F$17)),"")</f>
        <v/>
      </c>
      <c r="Y467" s="149">
        <f>IFERROR(IF(V467="","",IF(V467&gt;=C467/(1-SKU_Base!AD467)/(1-Settings!$F$17),"OK",IF(V467&gt;=C467/(1-SKU_Base!AK467)/(1-Settings!$F$17),"WARN","STOP"))),"")</f>
        <v/>
      </c>
      <c r="Z467" s="161">
        <f>IFERROR(ROUND(D467*(1-CHOOSE(MATCH(IF($E467="","Основний",$E467),{"Трафіковий","Основний","Маржинальний","Сезонний","Стратегічний"},0),Settings!$G$78,Settings!$G$80,Settings!$G$82,Settings!$G$84,Settings!$G$86))/6,2)*6,"")</f>
        <v/>
      </c>
      <c r="AA467" s="142">
        <f>IFERROR(CHOOSE(MATCH(IF($E467="","Основний",$E467),{"Трафіковий","Основний","Маржинальний","Сезонний","Стратегічний"},0),Settings!$G$78,Settings!$G$80,Settings!$G$82,Settings!$G$84,Settings!$G$86),"")</f>
        <v/>
      </c>
      <c r="AB467" s="148">
        <f>IFERROR((Z467*(1-Settings!$G$17)-C467)/(Z467*(1-Settings!$G$17)),"")</f>
        <v/>
      </c>
      <c r="AC467" s="149">
        <f>IFERROR(IF(Z467="","",IF(Z467&gt;=C467/(1-SKU_Base!AE467)/(1-Settings!$G$17),"OK",IF(Z467&gt;=C467/(1-SKU_Base!AL467)/(1-Settings!$G$17),"WARN","STOP"))),"")</f>
        <v/>
      </c>
      <c r="AD467" s="161">
        <f>IFERROR(ROUND(D467*(1-CHOOSE(MATCH(IF($E467="","Основний",$E467),{"Трафіковий","Основний","Маржинальний","Сезонний","Стратегічний"},0),Settings!$H$78,Settings!$H$80,Settings!$H$82,Settings!$H$84,Settings!$H$86))*(1-Settings!$H$68)/6,2)*6,"")</f>
        <v/>
      </c>
      <c r="AE467" s="142">
        <f>IFERROR(CHOOSE(MATCH(IF($E467="","Основний",$E467),{"Трафіковий","Основний","Маржинальний","Сезонний","Стратегічний"},0),Settings!$H$78,Settings!$H$80,Settings!$H$82,Settings!$H$84,Settings!$H$86)+(1-(CHOOSE(MATCH(IF($E467="","Основний",$E467),{"Трафіковий","Основний","Маржинальний","Сезонний","Стратегічний"},0),Settings!$H$78,Settings!$H$80,Settings!$H$82,Settings!$H$84,Settings!$H$86)))*Settings!$H$68,"")</f>
        <v/>
      </c>
      <c r="AF467" s="148">
        <f>IFERROR((AD467*(1-Settings!$H$17)-C467)/(AD467*(1-Settings!$H$17)),"")</f>
        <v/>
      </c>
      <c r="AG467" s="150">
        <f>IFERROR(IF(AD467="","",IF(AD467&gt;=C467/(1-SKU_Base!AF467)/(1-Settings!$H$17),"OK",IF(AD467&gt;=C467/(1-SKU_Base!AM467)/(1-Settings!$H$17),"WARN","STOP"))),"")</f>
        <v/>
      </c>
    </row>
    <row r="468" ht="17" customHeight="1" s="179">
      <c r="A468" s="139">
        <f>SKU_Base!B468</f>
        <v/>
      </c>
      <c r="B468" s="139">
        <f>SKU_Base!C468</f>
        <v/>
      </c>
      <c r="C468" s="140">
        <f>IFERROR(SKU_Base!I468,"")</f>
        <v/>
      </c>
      <c r="D468" s="163">
        <f>IFERROR(SKU_Base!T468,"")</f>
        <v/>
      </c>
      <c r="E468" s="141">
        <f>IFERROR(SKU_Base!$U468,"")</f>
        <v/>
      </c>
      <c r="F468" s="158">
        <f>IFERROR(ROUND(D468*(1-CHOOSE(MATCH(IF($E468="","Основний",$E468),{"Трафіковий","Основний","Маржинальний","Сезонний","Стратегічний"},0),Settings!$B$78,Settings!$B$80,Settings!$B$82,Settings!$B$84,Settings!$B$86))/6,2)*6,"")</f>
        <v/>
      </c>
      <c r="G468" s="142">
        <f>IFERROR(CHOOSE(MATCH(IF($E468="","Основний",$E468),{"Трафіковий","Основний","Маржинальний","Сезонний","Стратегічний"},0),Settings!$B$78,Settings!$B$80,Settings!$B$82,Settings!$B$84,Settings!$B$86),"")</f>
        <v/>
      </c>
      <c r="H468" s="143">
        <f>IFERROR((F468*(1-Settings!$B$17)-C468)/(F468*(1-Settings!$B$17)),"")</f>
        <v/>
      </c>
      <c r="I468" s="150">
        <f>IFERROR(IF(F468="","",IF(F468&gt;=C468/(1-SKU_Base!Z468)/(1-Settings!$B$17),"OK",IF(F468&gt;=C468/(1-SKU_Base!AG468)/(1-Settings!$B$17),"WARN","STOP"))),"")</f>
        <v/>
      </c>
      <c r="J468" s="158">
        <f>IFERROR(ROUND(D468*(1-CHOOSE(MATCH(IF($E468="","Основний",$E468),{"Трафіковий","Основний","Маржинальний","Сезонний","Стратегічний"},0),Settings!$C$78,Settings!$C$80,Settings!$C$82,Settings!$C$84,Settings!$C$86))/6,2)*6,"")</f>
        <v/>
      </c>
      <c r="K468" s="142">
        <f>IFERROR(CHOOSE(MATCH(IF($E468="","Основний",$E468),{"Трафіковий","Основний","Маржинальний","Сезонний","Стратегічний"},0),Settings!$C$78,Settings!$C$80,Settings!$C$82,Settings!$C$84,Settings!$C$86),"")</f>
        <v/>
      </c>
      <c r="L468" s="143">
        <f>IFERROR((J468*(1-Settings!$C$17)-C468)/(J468*(1-Settings!$C$17)),"")</f>
        <v/>
      </c>
      <c r="M468" s="149">
        <f>IFERROR(IF(J468="","",IF(J468&gt;=C468/(1-SKU_Base!AA468)/(1-Settings!$C$17),"OK",IF(J468&gt;=C468/(1-SKU_Base!AH468)/(1-Settings!$C$17),"WARN","STOP"))),"")</f>
        <v/>
      </c>
      <c r="N468" s="159">
        <f>IFERROR(ROUND(D468*(1-CHOOSE(MATCH(IF($E468="","Основний",$E468),{"Трафіковий","Основний","Маржинальний","Сезонний","Стратегічний"},0),Settings!$D$78,Settings!$D$80,Settings!$D$82,Settings!$D$84,Settings!$D$86))/6,2)*6,"")</f>
        <v/>
      </c>
      <c r="O468" s="142">
        <f>IFERROR(CHOOSE(MATCH(IF($E468="","Основний",$E468),{"Трафіковий","Основний","Маржинальний","Сезонний","Стратегічний"},0),Settings!$D$78,Settings!$D$80,Settings!$D$82,Settings!$D$84,Settings!$D$86),"")</f>
        <v/>
      </c>
      <c r="P468" s="143">
        <f>IFERROR((N468*(1-Settings!$D$17)-C468)/(N468*(1-Settings!$D$17)),"")</f>
        <v/>
      </c>
      <c r="Q468" s="149">
        <f>IFERROR(IF(N468="","",IF(N468&gt;=C468/(1-SKU_Base!AB468)/(1-Settings!$D$17),"OK",IF(N468&gt;=C468/(1-SKU_Base!AI468)/(1-Settings!$D$17),"WARN","STOP"))),"")</f>
        <v/>
      </c>
      <c r="R468" s="159">
        <f>IFERROR(ROUND(D468*(1-CHOOSE(MATCH(IF($E468="","Основний",$E468),{"Трафіковий","Основний","Маржинальний","Сезонний","Стратегічний"},0),Settings!$E$78,Settings!$E$80,Settings!$E$82,Settings!$E$84,Settings!$E$86))/6,2)*6,"")</f>
        <v/>
      </c>
      <c r="S468" s="142">
        <f>IFERROR(CHOOSE(MATCH(IF($E468="","Основний",$E468),{"Трафіковий","Основний","Маржинальний","Сезонний","Стратегічний"},0),Settings!$E$78,Settings!$E$80,Settings!$E$82,Settings!$E$84,Settings!$E$86),"")</f>
        <v/>
      </c>
      <c r="T468" s="143">
        <f>IFERROR((R468*(1-Settings!$E$17)-C468)/(R468*(1-Settings!$E$17)),"")</f>
        <v/>
      </c>
      <c r="U468" s="149">
        <f>IFERROR(IF(R468="","",IF(R468&gt;=C468/(1-SKU_Base!AC468)/(1-Settings!$E$17),"OK",IF(R468&gt;=C468/(1-SKU_Base!AJ468)/(1-Settings!$E$17),"WARN","STOP"))),"")</f>
        <v/>
      </c>
      <c r="V468" s="159">
        <f>IFERROR(ROUND(D468*(1-CHOOSE(MATCH(IF($E468="","Основний",$E468),{"Трафіковий","Основний","Маржинальний","Сезонний","Стратегічний"},0),Settings!$F$78,Settings!$F$80,Settings!$F$82,Settings!$F$84,Settings!$F$86))/6,2)*6,"")</f>
        <v/>
      </c>
      <c r="W468" s="142">
        <f>IFERROR(CHOOSE(MATCH(IF($E468="","Основний",$E468),{"Трафіковий","Основний","Маржинальний","Сезонний","Стратегічний"},0),Settings!$F$78,Settings!$F$80,Settings!$F$82,Settings!$F$84,Settings!$F$86),"")</f>
        <v/>
      </c>
      <c r="X468" s="143">
        <f>IFERROR((V468*(1-Settings!$F$17)-C468)/(V468*(1-Settings!$F$17)),"")</f>
        <v/>
      </c>
      <c r="Y468" s="149">
        <f>IFERROR(IF(V468="","",IF(V468&gt;=C468/(1-SKU_Base!AD468)/(1-Settings!$F$17),"OK",IF(V468&gt;=C468/(1-SKU_Base!AK468)/(1-Settings!$F$17),"WARN","STOP"))),"")</f>
        <v/>
      </c>
      <c r="Z468" s="159">
        <f>IFERROR(ROUND(D468*(1-CHOOSE(MATCH(IF($E468="","Основний",$E468),{"Трафіковий","Основний","Маржинальний","Сезонний","Стратегічний"},0),Settings!$G$78,Settings!$G$80,Settings!$G$82,Settings!$G$84,Settings!$G$86))/6,2)*6,"")</f>
        <v/>
      </c>
      <c r="AA468" s="142">
        <f>IFERROR(CHOOSE(MATCH(IF($E468="","Основний",$E468),{"Трафіковий","Основний","Маржинальний","Сезонний","Стратегічний"},0),Settings!$G$78,Settings!$G$80,Settings!$G$82,Settings!$G$84,Settings!$G$86),"")</f>
        <v/>
      </c>
      <c r="AB468" s="143">
        <f>IFERROR((Z468*(1-Settings!$G$17)-C468)/(Z468*(1-Settings!$G$17)),"")</f>
        <v/>
      </c>
      <c r="AC468" s="149">
        <f>IFERROR(IF(Z468="","",IF(Z468&gt;=C468/(1-SKU_Base!AE468)/(1-Settings!$G$17),"OK",IF(Z468&gt;=C468/(1-SKU_Base!AL468)/(1-Settings!$G$17),"WARN","STOP"))),"")</f>
        <v/>
      </c>
      <c r="AD468" s="159">
        <f>IFERROR(ROUND(D468*(1-CHOOSE(MATCH(IF($E468="","Основний",$E468),{"Трафіковий","Основний","Маржинальний","Сезонний","Стратегічний"},0),Settings!$H$78,Settings!$H$80,Settings!$H$82,Settings!$H$84,Settings!$H$86))*(1-Settings!$H$68)/6,2)*6,"")</f>
        <v/>
      </c>
      <c r="AE468" s="142">
        <f>IFERROR(CHOOSE(MATCH(IF($E468="","Основний",$E468),{"Трафіковий","Основний","Маржинальний","Сезонний","Стратегічний"},0),Settings!$H$78,Settings!$H$80,Settings!$H$82,Settings!$H$84,Settings!$H$86)+(1-(CHOOSE(MATCH(IF($E468="","Основний",$E468),{"Трафіковий","Основний","Маржинальний","Сезонний","Стратегічний"},0),Settings!$H$78,Settings!$H$80,Settings!$H$82,Settings!$H$84,Settings!$H$86)))*Settings!$H$68,"")</f>
        <v/>
      </c>
      <c r="AF468" s="143">
        <f>IFERROR((AD468*(1-Settings!$H$17)-C468)/(AD468*(1-Settings!$H$17)),"")</f>
        <v/>
      </c>
      <c r="AG468" s="150">
        <f>IFERROR(IF(AD468="","",IF(AD468&gt;=C468/(1-SKU_Base!AF468)/(1-Settings!$H$17),"OK",IF(AD468&gt;=C468/(1-SKU_Base!AM468)/(1-Settings!$H$17),"WARN","STOP"))),"")</f>
        <v/>
      </c>
    </row>
    <row r="469" ht="17" customHeight="1" s="179">
      <c r="A469" s="146">
        <f>SKU_Base!B469</f>
        <v/>
      </c>
      <c r="B469" s="146">
        <f>SKU_Base!C469</f>
        <v/>
      </c>
      <c r="C469" s="147">
        <f>IFERROR(SKU_Base!I469,"")</f>
        <v/>
      </c>
      <c r="D469" s="164">
        <f>IFERROR(SKU_Base!T469,"")</f>
        <v/>
      </c>
      <c r="E469" s="141">
        <f>IFERROR(SKU_Base!$U469,"")</f>
        <v/>
      </c>
      <c r="F469" s="160">
        <f>IFERROR(ROUND(D469*(1-CHOOSE(MATCH(IF($E469="","Основний",$E469),{"Трафіковий","Основний","Маржинальний","Сезонний","Стратегічний"},0),Settings!$B$78,Settings!$B$80,Settings!$B$82,Settings!$B$84,Settings!$B$86))/6,2)*6,"")</f>
        <v/>
      </c>
      <c r="G469" s="142">
        <f>IFERROR(CHOOSE(MATCH(IF($E469="","Основний",$E469),{"Трафіковий","Основний","Маржинальний","Сезонний","Стратегічний"},0),Settings!$B$78,Settings!$B$80,Settings!$B$82,Settings!$B$84,Settings!$B$86),"")</f>
        <v/>
      </c>
      <c r="H469" s="148">
        <f>IFERROR((F469*(1-Settings!$B$17)-C469)/(F469*(1-Settings!$B$17)),"")</f>
        <v/>
      </c>
      <c r="I469" s="150">
        <f>IFERROR(IF(F469="","",IF(F469&gt;=C469/(1-SKU_Base!Z469)/(1-Settings!$B$17),"OK",IF(F469&gt;=C469/(1-SKU_Base!AG469)/(1-Settings!$B$17),"WARN","STOP"))),"")</f>
        <v/>
      </c>
      <c r="J469" s="160">
        <f>IFERROR(ROUND(D469*(1-CHOOSE(MATCH(IF($E469="","Основний",$E469),{"Трафіковий","Основний","Маржинальний","Сезонний","Стратегічний"},0),Settings!$C$78,Settings!$C$80,Settings!$C$82,Settings!$C$84,Settings!$C$86))/6,2)*6,"")</f>
        <v/>
      </c>
      <c r="K469" s="142">
        <f>IFERROR(CHOOSE(MATCH(IF($E469="","Основний",$E469),{"Трафіковий","Основний","Маржинальний","Сезонний","Стратегічний"},0),Settings!$C$78,Settings!$C$80,Settings!$C$82,Settings!$C$84,Settings!$C$86),"")</f>
        <v/>
      </c>
      <c r="L469" s="148">
        <f>IFERROR((J469*(1-Settings!$C$17)-C469)/(J469*(1-Settings!$C$17)),"")</f>
        <v/>
      </c>
      <c r="M469" s="149">
        <f>IFERROR(IF(J469="","",IF(J469&gt;=C469/(1-SKU_Base!AA469)/(1-Settings!$C$17),"OK",IF(J469&gt;=C469/(1-SKU_Base!AH469)/(1-Settings!$C$17),"WARN","STOP"))),"")</f>
        <v/>
      </c>
      <c r="N469" s="161">
        <f>IFERROR(ROUND(D469*(1-CHOOSE(MATCH(IF($E469="","Основний",$E469),{"Трафіковий","Основний","Маржинальний","Сезонний","Стратегічний"},0),Settings!$D$78,Settings!$D$80,Settings!$D$82,Settings!$D$84,Settings!$D$86))/6,2)*6,"")</f>
        <v/>
      </c>
      <c r="O469" s="142">
        <f>IFERROR(CHOOSE(MATCH(IF($E469="","Основний",$E469),{"Трафіковий","Основний","Маржинальний","Сезонний","Стратегічний"},0),Settings!$D$78,Settings!$D$80,Settings!$D$82,Settings!$D$84,Settings!$D$86),"")</f>
        <v/>
      </c>
      <c r="P469" s="148">
        <f>IFERROR((N469*(1-Settings!$D$17)-C469)/(N469*(1-Settings!$D$17)),"")</f>
        <v/>
      </c>
      <c r="Q469" s="149">
        <f>IFERROR(IF(N469="","",IF(N469&gt;=C469/(1-SKU_Base!AB469)/(1-Settings!$D$17),"OK",IF(N469&gt;=C469/(1-SKU_Base!AI469)/(1-Settings!$D$17),"WARN","STOP"))),"")</f>
        <v/>
      </c>
      <c r="R469" s="161">
        <f>IFERROR(ROUND(D469*(1-CHOOSE(MATCH(IF($E469="","Основний",$E469),{"Трафіковий","Основний","Маржинальний","Сезонний","Стратегічний"},0),Settings!$E$78,Settings!$E$80,Settings!$E$82,Settings!$E$84,Settings!$E$86))/6,2)*6,"")</f>
        <v/>
      </c>
      <c r="S469" s="142">
        <f>IFERROR(CHOOSE(MATCH(IF($E469="","Основний",$E469),{"Трафіковий","Основний","Маржинальний","Сезонний","Стратегічний"},0),Settings!$E$78,Settings!$E$80,Settings!$E$82,Settings!$E$84,Settings!$E$86),"")</f>
        <v/>
      </c>
      <c r="T469" s="148">
        <f>IFERROR((R469*(1-Settings!$E$17)-C469)/(R469*(1-Settings!$E$17)),"")</f>
        <v/>
      </c>
      <c r="U469" s="149">
        <f>IFERROR(IF(R469="","",IF(R469&gt;=C469/(1-SKU_Base!AC469)/(1-Settings!$E$17),"OK",IF(R469&gt;=C469/(1-SKU_Base!AJ469)/(1-Settings!$E$17),"WARN","STOP"))),"")</f>
        <v/>
      </c>
      <c r="V469" s="161">
        <f>IFERROR(ROUND(D469*(1-CHOOSE(MATCH(IF($E469="","Основний",$E469),{"Трафіковий","Основний","Маржинальний","Сезонний","Стратегічний"},0),Settings!$F$78,Settings!$F$80,Settings!$F$82,Settings!$F$84,Settings!$F$86))/6,2)*6,"")</f>
        <v/>
      </c>
      <c r="W469" s="142">
        <f>IFERROR(CHOOSE(MATCH(IF($E469="","Основний",$E469),{"Трафіковий","Основний","Маржинальний","Сезонний","Стратегічний"},0),Settings!$F$78,Settings!$F$80,Settings!$F$82,Settings!$F$84,Settings!$F$86),"")</f>
        <v/>
      </c>
      <c r="X469" s="148">
        <f>IFERROR((V469*(1-Settings!$F$17)-C469)/(V469*(1-Settings!$F$17)),"")</f>
        <v/>
      </c>
      <c r="Y469" s="149">
        <f>IFERROR(IF(V469="","",IF(V469&gt;=C469/(1-SKU_Base!AD469)/(1-Settings!$F$17),"OK",IF(V469&gt;=C469/(1-SKU_Base!AK469)/(1-Settings!$F$17),"WARN","STOP"))),"")</f>
        <v/>
      </c>
      <c r="Z469" s="161">
        <f>IFERROR(ROUND(D469*(1-CHOOSE(MATCH(IF($E469="","Основний",$E469),{"Трафіковий","Основний","Маржинальний","Сезонний","Стратегічний"},0),Settings!$G$78,Settings!$G$80,Settings!$G$82,Settings!$G$84,Settings!$G$86))/6,2)*6,"")</f>
        <v/>
      </c>
      <c r="AA469" s="142">
        <f>IFERROR(CHOOSE(MATCH(IF($E469="","Основний",$E469),{"Трафіковий","Основний","Маржинальний","Сезонний","Стратегічний"},0),Settings!$G$78,Settings!$G$80,Settings!$G$82,Settings!$G$84,Settings!$G$86),"")</f>
        <v/>
      </c>
      <c r="AB469" s="148">
        <f>IFERROR((Z469*(1-Settings!$G$17)-C469)/(Z469*(1-Settings!$G$17)),"")</f>
        <v/>
      </c>
      <c r="AC469" s="149">
        <f>IFERROR(IF(Z469="","",IF(Z469&gt;=C469/(1-SKU_Base!AE469)/(1-Settings!$G$17),"OK",IF(Z469&gt;=C469/(1-SKU_Base!AL469)/(1-Settings!$G$17),"WARN","STOP"))),"")</f>
        <v/>
      </c>
      <c r="AD469" s="161">
        <f>IFERROR(ROUND(D469*(1-CHOOSE(MATCH(IF($E469="","Основний",$E469),{"Трафіковий","Основний","Маржинальний","Сезонний","Стратегічний"},0),Settings!$H$78,Settings!$H$80,Settings!$H$82,Settings!$H$84,Settings!$H$86))*(1-Settings!$H$68)/6,2)*6,"")</f>
        <v/>
      </c>
      <c r="AE469" s="142">
        <f>IFERROR(CHOOSE(MATCH(IF($E469="","Основний",$E469),{"Трафіковий","Основний","Маржинальний","Сезонний","Стратегічний"},0),Settings!$H$78,Settings!$H$80,Settings!$H$82,Settings!$H$84,Settings!$H$86)+(1-(CHOOSE(MATCH(IF($E469="","Основний",$E469),{"Трафіковий","Основний","Маржинальний","Сезонний","Стратегічний"},0),Settings!$H$78,Settings!$H$80,Settings!$H$82,Settings!$H$84,Settings!$H$86)))*Settings!$H$68,"")</f>
        <v/>
      </c>
      <c r="AF469" s="148">
        <f>IFERROR((AD469*(1-Settings!$H$17)-C469)/(AD469*(1-Settings!$H$17)),"")</f>
        <v/>
      </c>
      <c r="AG469" s="150">
        <f>IFERROR(IF(AD469="","",IF(AD469&gt;=C469/(1-SKU_Base!AF469)/(1-Settings!$H$17),"OK",IF(AD469&gt;=C469/(1-SKU_Base!AM469)/(1-Settings!$H$17),"WARN","STOP"))),"")</f>
        <v/>
      </c>
    </row>
    <row r="470" ht="17" customHeight="1" s="179">
      <c r="A470" s="139">
        <f>SKU_Base!B470</f>
        <v/>
      </c>
      <c r="B470" s="139">
        <f>SKU_Base!C470</f>
        <v/>
      </c>
      <c r="C470" s="140">
        <f>IFERROR(SKU_Base!I470,"")</f>
        <v/>
      </c>
      <c r="D470" s="163">
        <f>IFERROR(SKU_Base!T470,"")</f>
        <v/>
      </c>
      <c r="E470" s="141">
        <f>IFERROR(SKU_Base!$U470,"")</f>
        <v/>
      </c>
      <c r="F470" s="158">
        <f>IFERROR(ROUND(D470*(1-CHOOSE(MATCH(IF($E470="","Основний",$E470),{"Трафіковий","Основний","Маржинальний","Сезонний","Стратегічний"},0),Settings!$B$78,Settings!$B$80,Settings!$B$82,Settings!$B$84,Settings!$B$86))/6,2)*6,"")</f>
        <v/>
      </c>
      <c r="G470" s="142">
        <f>IFERROR(CHOOSE(MATCH(IF($E470="","Основний",$E470),{"Трафіковий","Основний","Маржинальний","Сезонний","Стратегічний"},0),Settings!$B$78,Settings!$B$80,Settings!$B$82,Settings!$B$84,Settings!$B$86),"")</f>
        <v/>
      </c>
      <c r="H470" s="143">
        <f>IFERROR((F470*(1-Settings!$B$17)-C470)/(F470*(1-Settings!$B$17)),"")</f>
        <v/>
      </c>
      <c r="I470" s="149">
        <f>IFERROR(IF(F470="","",IF(F470&gt;=C470/(1-SKU_Base!Z470)/(1-Settings!$B$17),"OK",IF(F470&gt;=C470/(1-SKU_Base!AG470)/(1-Settings!$B$17),"WARN","STOP"))),"")</f>
        <v/>
      </c>
      <c r="J470" s="158">
        <f>IFERROR(ROUND(D470*(1-CHOOSE(MATCH(IF($E470="","Основний",$E470),{"Трафіковий","Основний","Маржинальний","Сезонний","Стратегічний"},0),Settings!$C$78,Settings!$C$80,Settings!$C$82,Settings!$C$84,Settings!$C$86))/6,2)*6,"")</f>
        <v/>
      </c>
      <c r="K470" s="142">
        <f>IFERROR(CHOOSE(MATCH(IF($E470="","Основний",$E470),{"Трафіковий","Основний","Маржинальний","Сезонний","Стратегічний"},0),Settings!$C$78,Settings!$C$80,Settings!$C$82,Settings!$C$84,Settings!$C$86),"")</f>
        <v/>
      </c>
      <c r="L470" s="143">
        <f>IFERROR((J470*(1-Settings!$C$17)-C470)/(J470*(1-Settings!$C$17)),"")</f>
        <v/>
      </c>
      <c r="M470" s="149">
        <f>IFERROR(IF(J470="","",IF(J470&gt;=C470/(1-SKU_Base!AA470)/(1-Settings!$C$17),"OK",IF(J470&gt;=C470/(1-SKU_Base!AH470)/(1-Settings!$C$17),"WARN","STOP"))),"")</f>
        <v/>
      </c>
      <c r="N470" s="159">
        <f>IFERROR(ROUND(D470*(1-CHOOSE(MATCH(IF($E470="","Основний",$E470),{"Трафіковий","Основний","Маржинальний","Сезонний","Стратегічний"},0),Settings!$D$78,Settings!$D$80,Settings!$D$82,Settings!$D$84,Settings!$D$86))/6,2)*6,"")</f>
        <v/>
      </c>
      <c r="O470" s="142">
        <f>IFERROR(CHOOSE(MATCH(IF($E470="","Основний",$E470),{"Трафіковий","Основний","Маржинальний","Сезонний","Стратегічний"},0),Settings!$D$78,Settings!$D$80,Settings!$D$82,Settings!$D$84,Settings!$D$86),"")</f>
        <v/>
      </c>
      <c r="P470" s="143">
        <f>IFERROR((N470*(1-Settings!$D$17)-C470)/(N470*(1-Settings!$D$17)),"")</f>
        <v/>
      </c>
      <c r="Q470" s="149">
        <f>IFERROR(IF(N470="","",IF(N470&gt;=C470/(1-SKU_Base!AB470)/(1-Settings!$D$17),"OK",IF(N470&gt;=C470/(1-SKU_Base!AI470)/(1-Settings!$D$17),"WARN","STOP"))),"")</f>
        <v/>
      </c>
      <c r="R470" s="159">
        <f>IFERROR(ROUND(D470*(1-CHOOSE(MATCH(IF($E470="","Основний",$E470),{"Трафіковий","Основний","Маржинальний","Сезонний","Стратегічний"},0),Settings!$E$78,Settings!$E$80,Settings!$E$82,Settings!$E$84,Settings!$E$86))/6,2)*6,"")</f>
        <v/>
      </c>
      <c r="S470" s="142">
        <f>IFERROR(CHOOSE(MATCH(IF($E470="","Основний",$E470),{"Трафіковий","Основний","Маржинальний","Сезонний","Стратегічний"},0),Settings!$E$78,Settings!$E$80,Settings!$E$82,Settings!$E$84,Settings!$E$86),"")</f>
        <v/>
      </c>
      <c r="T470" s="143">
        <f>IFERROR((R470*(1-Settings!$E$17)-C470)/(R470*(1-Settings!$E$17)),"")</f>
        <v/>
      </c>
      <c r="U470" s="149">
        <f>IFERROR(IF(R470="","",IF(R470&gt;=C470/(1-SKU_Base!AC470)/(1-Settings!$E$17),"OK",IF(R470&gt;=C470/(1-SKU_Base!AJ470)/(1-Settings!$E$17),"WARN","STOP"))),"")</f>
        <v/>
      </c>
      <c r="V470" s="159">
        <f>IFERROR(ROUND(D470*(1-CHOOSE(MATCH(IF($E470="","Основний",$E470),{"Трафіковий","Основний","Маржинальний","Сезонний","Стратегічний"},0),Settings!$F$78,Settings!$F$80,Settings!$F$82,Settings!$F$84,Settings!$F$86))/6,2)*6,"")</f>
        <v/>
      </c>
      <c r="W470" s="142">
        <f>IFERROR(CHOOSE(MATCH(IF($E470="","Основний",$E470),{"Трафіковий","Основний","Маржинальний","Сезонний","Стратегічний"},0),Settings!$F$78,Settings!$F$80,Settings!$F$82,Settings!$F$84,Settings!$F$86),"")</f>
        <v/>
      </c>
      <c r="X470" s="143">
        <f>IFERROR((V470*(1-Settings!$F$17)-C470)/(V470*(1-Settings!$F$17)),"")</f>
        <v/>
      </c>
      <c r="Y470" s="149">
        <f>IFERROR(IF(V470="","",IF(V470&gt;=C470/(1-SKU_Base!AD470)/(1-Settings!$F$17),"OK",IF(V470&gt;=C470/(1-SKU_Base!AK470)/(1-Settings!$F$17),"WARN","STOP"))),"")</f>
        <v/>
      </c>
      <c r="Z470" s="159">
        <f>IFERROR(ROUND(D470*(1-CHOOSE(MATCH(IF($E470="","Основний",$E470),{"Трафіковий","Основний","Маржинальний","Сезонний","Стратегічний"},0),Settings!$G$78,Settings!$G$80,Settings!$G$82,Settings!$G$84,Settings!$G$86))/6,2)*6,"")</f>
        <v/>
      </c>
      <c r="AA470" s="142">
        <f>IFERROR(CHOOSE(MATCH(IF($E470="","Основний",$E470),{"Трафіковий","Основний","Маржинальний","Сезонний","Стратегічний"},0),Settings!$G$78,Settings!$G$80,Settings!$G$82,Settings!$G$84,Settings!$G$86),"")</f>
        <v/>
      </c>
      <c r="AB470" s="143">
        <f>IFERROR((Z470*(1-Settings!$G$17)-C470)/(Z470*(1-Settings!$G$17)),"")</f>
        <v/>
      </c>
      <c r="AC470" s="149">
        <f>IFERROR(IF(Z470="","",IF(Z470&gt;=C470/(1-SKU_Base!AE470)/(1-Settings!$G$17),"OK",IF(Z470&gt;=C470/(1-SKU_Base!AL470)/(1-Settings!$G$17),"WARN","STOP"))),"")</f>
        <v/>
      </c>
      <c r="AD470" s="159">
        <f>IFERROR(ROUND(D470*(1-CHOOSE(MATCH(IF($E470="","Основний",$E470),{"Трафіковий","Основний","Маржинальний","Сезонний","Стратегічний"},0),Settings!$H$78,Settings!$H$80,Settings!$H$82,Settings!$H$84,Settings!$H$86))*(1-Settings!$H$68)/6,2)*6,"")</f>
        <v/>
      </c>
      <c r="AE470" s="142">
        <f>IFERROR(CHOOSE(MATCH(IF($E470="","Основний",$E470),{"Трафіковий","Основний","Маржинальний","Сезонний","Стратегічний"},0),Settings!$H$78,Settings!$H$80,Settings!$H$82,Settings!$H$84,Settings!$H$86)+(1-(CHOOSE(MATCH(IF($E470="","Основний",$E470),{"Трафіковий","Основний","Маржинальний","Сезонний","Стратегічний"},0),Settings!$H$78,Settings!$H$80,Settings!$H$82,Settings!$H$84,Settings!$H$86)))*Settings!$H$68,"")</f>
        <v/>
      </c>
      <c r="AF470" s="143">
        <f>IFERROR((AD470*(1-Settings!$H$17)-C470)/(AD470*(1-Settings!$H$17)),"")</f>
        <v/>
      </c>
      <c r="AG470" s="150">
        <f>IFERROR(IF(AD470="","",IF(AD470&gt;=C470/(1-SKU_Base!AF470)/(1-Settings!$H$17),"OK",IF(AD470&gt;=C470/(1-SKU_Base!AM470)/(1-Settings!$H$17),"WARN","STOP"))),"")</f>
        <v/>
      </c>
    </row>
    <row r="471" ht="17" customHeight="1" s="179">
      <c r="A471" s="146">
        <f>SKU_Base!B471</f>
        <v/>
      </c>
      <c r="B471" s="146">
        <f>SKU_Base!C471</f>
        <v/>
      </c>
      <c r="C471" s="147">
        <f>IFERROR(SKU_Base!I471,"")</f>
        <v/>
      </c>
      <c r="D471" s="164">
        <f>IFERROR(SKU_Base!T471,"")</f>
        <v/>
      </c>
      <c r="E471" s="141">
        <f>IFERROR(SKU_Base!$U471,"")</f>
        <v/>
      </c>
      <c r="F471" s="160">
        <f>IFERROR(ROUND(D471*(1-CHOOSE(MATCH(IF($E471="","Основний",$E471),{"Трафіковий","Основний","Маржинальний","Сезонний","Стратегічний"},0),Settings!$B$78,Settings!$B$80,Settings!$B$82,Settings!$B$84,Settings!$B$86))/6,2)*6,"")</f>
        <v/>
      </c>
      <c r="G471" s="142">
        <f>IFERROR(CHOOSE(MATCH(IF($E471="","Основний",$E471),{"Трафіковий","Основний","Маржинальний","Сезонний","Стратегічний"},0),Settings!$B$78,Settings!$B$80,Settings!$B$82,Settings!$B$84,Settings!$B$86),"")</f>
        <v/>
      </c>
      <c r="H471" s="148">
        <f>IFERROR((F471*(1-Settings!$B$17)-C471)/(F471*(1-Settings!$B$17)),"")</f>
        <v/>
      </c>
      <c r="I471" s="149">
        <f>IFERROR(IF(F471="","",IF(F471&gt;=C471/(1-SKU_Base!Z471)/(1-Settings!$B$17),"OK",IF(F471&gt;=C471/(1-SKU_Base!AG471)/(1-Settings!$B$17),"WARN","STOP"))),"")</f>
        <v/>
      </c>
      <c r="J471" s="160">
        <f>IFERROR(ROUND(D471*(1-CHOOSE(MATCH(IF($E471="","Основний",$E471),{"Трафіковий","Основний","Маржинальний","Сезонний","Стратегічний"},0),Settings!$C$78,Settings!$C$80,Settings!$C$82,Settings!$C$84,Settings!$C$86))/6,2)*6,"")</f>
        <v/>
      </c>
      <c r="K471" s="142">
        <f>IFERROR(CHOOSE(MATCH(IF($E471="","Основний",$E471),{"Трафіковий","Основний","Маржинальний","Сезонний","Стратегічний"},0),Settings!$C$78,Settings!$C$80,Settings!$C$82,Settings!$C$84,Settings!$C$86),"")</f>
        <v/>
      </c>
      <c r="L471" s="148">
        <f>IFERROR((J471*(1-Settings!$C$17)-C471)/(J471*(1-Settings!$C$17)),"")</f>
        <v/>
      </c>
      <c r="M471" s="149">
        <f>IFERROR(IF(J471="","",IF(J471&gt;=C471/(1-SKU_Base!AA471)/(1-Settings!$C$17),"OK",IF(J471&gt;=C471/(1-SKU_Base!AH471)/(1-Settings!$C$17),"WARN","STOP"))),"")</f>
        <v/>
      </c>
      <c r="N471" s="161">
        <f>IFERROR(ROUND(D471*(1-CHOOSE(MATCH(IF($E471="","Основний",$E471),{"Трафіковий","Основний","Маржинальний","Сезонний","Стратегічний"},0),Settings!$D$78,Settings!$D$80,Settings!$D$82,Settings!$D$84,Settings!$D$86))/6,2)*6,"")</f>
        <v/>
      </c>
      <c r="O471" s="142">
        <f>IFERROR(CHOOSE(MATCH(IF($E471="","Основний",$E471),{"Трафіковий","Основний","Маржинальний","Сезонний","Стратегічний"},0),Settings!$D$78,Settings!$D$80,Settings!$D$82,Settings!$D$84,Settings!$D$86),"")</f>
        <v/>
      </c>
      <c r="P471" s="148">
        <f>IFERROR((N471*(1-Settings!$D$17)-C471)/(N471*(1-Settings!$D$17)),"")</f>
        <v/>
      </c>
      <c r="Q471" s="149">
        <f>IFERROR(IF(N471="","",IF(N471&gt;=C471/(1-SKU_Base!AB471)/(1-Settings!$D$17),"OK",IF(N471&gt;=C471/(1-SKU_Base!AI471)/(1-Settings!$D$17),"WARN","STOP"))),"")</f>
        <v/>
      </c>
      <c r="R471" s="161">
        <f>IFERROR(ROUND(D471*(1-CHOOSE(MATCH(IF($E471="","Основний",$E471),{"Трафіковий","Основний","Маржинальний","Сезонний","Стратегічний"},0),Settings!$E$78,Settings!$E$80,Settings!$E$82,Settings!$E$84,Settings!$E$86))/6,2)*6,"")</f>
        <v/>
      </c>
      <c r="S471" s="142">
        <f>IFERROR(CHOOSE(MATCH(IF($E471="","Основний",$E471),{"Трафіковий","Основний","Маржинальний","Сезонний","Стратегічний"},0),Settings!$E$78,Settings!$E$80,Settings!$E$82,Settings!$E$84,Settings!$E$86),"")</f>
        <v/>
      </c>
      <c r="T471" s="148">
        <f>IFERROR((R471*(1-Settings!$E$17)-C471)/(R471*(1-Settings!$E$17)),"")</f>
        <v/>
      </c>
      <c r="U471" s="149">
        <f>IFERROR(IF(R471="","",IF(R471&gt;=C471/(1-SKU_Base!AC471)/(1-Settings!$E$17),"OK",IF(R471&gt;=C471/(1-SKU_Base!AJ471)/(1-Settings!$E$17),"WARN","STOP"))),"")</f>
        <v/>
      </c>
      <c r="V471" s="161">
        <f>IFERROR(ROUND(D471*(1-CHOOSE(MATCH(IF($E471="","Основний",$E471),{"Трафіковий","Основний","Маржинальний","Сезонний","Стратегічний"},0),Settings!$F$78,Settings!$F$80,Settings!$F$82,Settings!$F$84,Settings!$F$86))/6,2)*6,"")</f>
        <v/>
      </c>
      <c r="W471" s="142">
        <f>IFERROR(CHOOSE(MATCH(IF($E471="","Основний",$E471),{"Трафіковий","Основний","Маржинальний","Сезонний","Стратегічний"},0),Settings!$F$78,Settings!$F$80,Settings!$F$82,Settings!$F$84,Settings!$F$86),"")</f>
        <v/>
      </c>
      <c r="X471" s="148">
        <f>IFERROR((V471*(1-Settings!$F$17)-C471)/(V471*(1-Settings!$F$17)),"")</f>
        <v/>
      </c>
      <c r="Y471" s="149">
        <f>IFERROR(IF(V471="","",IF(V471&gt;=C471/(1-SKU_Base!AD471)/(1-Settings!$F$17),"OK",IF(V471&gt;=C471/(1-SKU_Base!AK471)/(1-Settings!$F$17),"WARN","STOP"))),"")</f>
        <v/>
      </c>
      <c r="Z471" s="161">
        <f>IFERROR(ROUND(D471*(1-CHOOSE(MATCH(IF($E471="","Основний",$E471),{"Трафіковий","Основний","Маржинальний","Сезонний","Стратегічний"},0),Settings!$G$78,Settings!$G$80,Settings!$G$82,Settings!$G$84,Settings!$G$86))/6,2)*6,"")</f>
        <v/>
      </c>
      <c r="AA471" s="142">
        <f>IFERROR(CHOOSE(MATCH(IF($E471="","Основний",$E471),{"Трафіковий","Основний","Маржинальний","Сезонний","Стратегічний"},0),Settings!$G$78,Settings!$G$80,Settings!$G$82,Settings!$G$84,Settings!$G$86),"")</f>
        <v/>
      </c>
      <c r="AB471" s="148">
        <f>IFERROR((Z471*(1-Settings!$G$17)-C471)/(Z471*(1-Settings!$G$17)),"")</f>
        <v/>
      </c>
      <c r="AC471" s="149">
        <f>IFERROR(IF(Z471="","",IF(Z471&gt;=C471/(1-SKU_Base!AE471)/(1-Settings!$G$17),"OK",IF(Z471&gt;=C471/(1-SKU_Base!AL471)/(1-Settings!$G$17),"WARN","STOP"))),"")</f>
        <v/>
      </c>
      <c r="AD471" s="161">
        <f>IFERROR(ROUND(D471*(1-CHOOSE(MATCH(IF($E471="","Основний",$E471),{"Трафіковий","Основний","Маржинальний","Сезонний","Стратегічний"},0),Settings!$H$78,Settings!$H$80,Settings!$H$82,Settings!$H$84,Settings!$H$86))*(1-Settings!$H$68)/6,2)*6,"")</f>
        <v/>
      </c>
      <c r="AE471" s="142">
        <f>IFERROR(CHOOSE(MATCH(IF($E471="","Основний",$E471),{"Трафіковий","Основний","Маржинальний","Сезонний","Стратегічний"},0),Settings!$H$78,Settings!$H$80,Settings!$H$82,Settings!$H$84,Settings!$H$86)+(1-(CHOOSE(MATCH(IF($E471="","Основний",$E471),{"Трафіковий","Основний","Маржинальний","Сезонний","Стратегічний"},0),Settings!$H$78,Settings!$H$80,Settings!$H$82,Settings!$H$84,Settings!$H$86)))*Settings!$H$68,"")</f>
        <v/>
      </c>
      <c r="AF471" s="148">
        <f>IFERROR((AD471*(1-Settings!$H$17)-C471)/(AD471*(1-Settings!$H$17)),"")</f>
        <v/>
      </c>
      <c r="AG471" s="150">
        <f>IFERROR(IF(AD471="","",IF(AD471&gt;=C471/(1-SKU_Base!AF471)/(1-Settings!$H$17),"OK",IF(AD471&gt;=C471/(1-SKU_Base!AM471)/(1-Settings!$H$17),"WARN","STOP"))),"")</f>
        <v/>
      </c>
    </row>
    <row r="472" ht="17" customHeight="1" s="179">
      <c r="A472" s="139">
        <f>SKU_Base!B472</f>
        <v/>
      </c>
      <c r="B472" s="139">
        <f>SKU_Base!C472</f>
        <v/>
      </c>
      <c r="C472" s="140">
        <f>IFERROR(SKU_Base!I472,"")</f>
        <v/>
      </c>
      <c r="D472" s="163">
        <f>IFERROR(SKU_Base!T472,"")</f>
        <v/>
      </c>
      <c r="E472" s="141">
        <f>IFERROR(SKU_Base!$U472,"")</f>
        <v/>
      </c>
      <c r="F472" s="158">
        <f>IFERROR(ROUND(D472*(1-CHOOSE(MATCH(IF($E472="","Основний",$E472),{"Трафіковий","Основний","Маржинальний","Сезонний","Стратегічний"},0),Settings!$B$78,Settings!$B$80,Settings!$B$82,Settings!$B$84,Settings!$B$86))/6,2)*6,"")</f>
        <v/>
      </c>
      <c r="G472" s="142">
        <f>IFERROR(CHOOSE(MATCH(IF($E472="","Основний",$E472),{"Трафіковий","Основний","Маржинальний","Сезонний","Стратегічний"},0),Settings!$B$78,Settings!$B$80,Settings!$B$82,Settings!$B$84,Settings!$B$86),"")</f>
        <v/>
      </c>
      <c r="H472" s="143">
        <f>IFERROR((F472*(1-Settings!$B$17)-C472)/(F472*(1-Settings!$B$17)),"")</f>
        <v/>
      </c>
      <c r="I472" s="149">
        <f>IFERROR(IF(F472="","",IF(F472&gt;=C472/(1-SKU_Base!Z472)/(1-Settings!$B$17),"OK",IF(F472&gt;=C472/(1-SKU_Base!AG472)/(1-Settings!$B$17),"WARN","STOP"))),"")</f>
        <v/>
      </c>
      <c r="J472" s="158">
        <f>IFERROR(ROUND(D472*(1-CHOOSE(MATCH(IF($E472="","Основний",$E472),{"Трафіковий","Основний","Маржинальний","Сезонний","Стратегічний"},0),Settings!$C$78,Settings!$C$80,Settings!$C$82,Settings!$C$84,Settings!$C$86))/6,2)*6,"")</f>
        <v/>
      </c>
      <c r="K472" s="142">
        <f>IFERROR(CHOOSE(MATCH(IF($E472="","Основний",$E472),{"Трафіковий","Основний","Маржинальний","Сезонний","Стратегічний"},0),Settings!$C$78,Settings!$C$80,Settings!$C$82,Settings!$C$84,Settings!$C$86),"")</f>
        <v/>
      </c>
      <c r="L472" s="143">
        <f>IFERROR((J472*(1-Settings!$C$17)-C472)/(J472*(1-Settings!$C$17)),"")</f>
        <v/>
      </c>
      <c r="M472" s="149">
        <f>IFERROR(IF(J472="","",IF(J472&gt;=C472/(1-SKU_Base!AA472)/(1-Settings!$C$17),"OK",IF(J472&gt;=C472/(1-SKU_Base!AH472)/(1-Settings!$C$17),"WARN","STOP"))),"")</f>
        <v/>
      </c>
      <c r="N472" s="159">
        <f>IFERROR(ROUND(D472*(1-CHOOSE(MATCH(IF($E472="","Основний",$E472),{"Трафіковий","Основний","Маржинальний","Сезонний","Стратегічний"},0),Settings!$D$78,Settings!$D$80,Settings!$D$82,Settings!$D$84,Settings!$D$86))/6,2)*6,"")</f>
        <v/>
      </c>
      <c r="O472" s="142">
        <f>IFERROR(CHOOSE(MATCH(IF($E472="","Основний",$E472),{"Трафіковий","Основний","Маржинальний","Сезонний","Стратегічний"},0),Settings!$D$78,Settings!$D$80,Settings!$D$82,Settings!$D$84,Settings!$D$86),"")</f>
        <v/>
      </c>
      <c r="P472" s="143">
        <f>IFERROR((N472*(1-Settings!$D$17)-C472)/(N472*(1-Settings!$D$17)),"")</f>
        <v/>
      </c>
      <c r="Q472" s="149">
        <f>IFERROR(IF(N472="","",IF(N472&gt;=C472/(1-SKU_Base!AB472)/(1-Settings!$D$17),"OK",IF(N472&gt;=C472/(1-SKU_Base!AI472)/(1-Settings!$D$17),"WARN","STOP"))),"")</f>
        <v/>
      </c>
      <c r="R472" s="159">
        <f>IFERROR(ROUND(D472*(1-CHOOSE(MATCH(IF($E472="","Основний",$E472),{"Трафіковий","Основний","Маржинальний","Сезонний","Стратегічний"},0),Settings!$E$78,Settings!$E$80,Settings!$E$82,Settings!$E$84,Settings!$E$86))/6,2)*6,"")</f>
        <v/>
      </c>
      <c r="S472" s="142">
        <f>IFERROR(CHOOSE(MATCH(IF($E472="","Основний",$E472),{"Трафіковий","Основний","Маржинальний","Сезонний","Стратегічний"},0),Settings!$E$78,Settings!$E$80,Settings!$E$82,Settings!$E$84,Settings!$E$86),"")</f>
        <v/>
      </c>
      <c r="T472" s="143">
        <f>IFERROR((R472*(1-Settings!$E$17)-C472)/(R472*(1-Settings!$E$17)),"")</f>
        <v/>
      </c>
      <c r="U472" s="149">
        <f>IFERROR(IF(R472="","",IF(R472&gt;=C472/(1-SKU_Base!AC472)/(1-Settings!$E$17),"OK",IF(R472&gt;=C472/(1-SKU_Base!AJ472)/(1-Settings!$E$17),"WARN","STOP"))),"")</f>
        <v/>
      </c>
      <c r="V472" s="159">
        <f>IFERROR(ROUND(D472*(1-CHOOSE(MATCH(IF($E472="","Основний",$E472),{"Трафіковий","Основний","Маржинальний","Сезонний","Стратегічний"},0),Settings!$F$78,Settings!$F$80,Settings!$F$82,Settings!$F$84,Settings!$F$86))/6,2)*6,"")</f>
        <v/>
      </c>
      <c r="W472" s="142">
        <f>IFERROR(CHOOSE(MATCH(IF($E472="","Основний",$E472),{"Трафіковий","Основний","Маржинальний","Сезонний","Стратегічний"},0),Settings!$F$78,Settings!$F$80,Settings!$F$82,Settings!$F$84,Settings!$F$86),"")</f>
        <v/>
      </c>
      <c r="X472" s="143">
        <f>IFERROR((V472*(1-Settings!$F$17)-C472)/(V472*(1-Settings!$F$17)),"")</f>
        <v/>
      </c>
      <c r="Y472" s="149">
        <f>IFERROR(IF(V472="","",IF(V472&gt;=C472/(1-SKU_Base!AD472)/(1-Settings!$F$17),"OK",IF(V472&gt;=C472/(1-SKU_Base!AK472)/(1-Settings!$F$17),"WARN","STOP"))),"")</f>
        <v/>
      </c>
      <c r="Z472" s="159">
        <f>IFERROR(ROUND(D472*(1-CHOOSE(MATCH(IF($E472="","Основний",$E472),{"Трафіковий","Основний","Маржинальний","Сезонний","Стратегічний"},0),Settings!$G$78,Settings!$G$80,Settings!$G$82,Settings!$G$84,Settings!$G$86))/6,2)*6,"")</f>
        <v/>
      </c>
      <c r="AA472" s="142">
        <f>IFERROR(CHOOSE(MATCH(IF($E472="","Основний",$E472),{"Трафіковий","Основний","Маржинальний","Сезонний","Стратегічний"},0),Settings!$G$78,Settings!$G$80,Settings!$G$82,Settings!$G$84,Settings!$G$86),"")</f>
        <v/>
      </c>
      <c r="AB472" s="143">
        <f>IFERROR((Z472*(1-Settings!$G$17)-C472)/(Z472*(1-Settings!$G$17)),"")</f>
        <v/>
      </c>
      <c r="AC472" s="149">
        <f>IFERROR(IF(Z472="","",IF(Z472&gt;=C472/(1-SKU_Base!AE472)/(1-Settings!$G$17),"OK",IF(Z472&gt;=C472/(1-SKU_Base!AL472)/(1-Settings!$G$17),"WARN","STOP"))),"")</f>
        <v/>
      </c>
      <c r="AD472" s="159">
        <f>IFERROR(ROUND(D472*(1-CHOOSE(MATCH(IF($E472="","Основний",$E472),{"Трафіковий","Основний","Маржинальний","Сезонний","Стратегічний"},0),Settings!$H$78,Settings!$H$80,Settings!$H$82,Settings!$H$84,Settings!$H$86))*(1-Settings!$H$68)/6,2)*6,"")</f>
        <v/>
      </c>
      <c r="AE472" s="142">
        <f>IFERROR(CHOOSE(MATCH(IF($E472="","Основний",$E472),{"Трафіковий","Основний","Маржинальний","Сезонний","Стратегічний"},0),Settings!$H$78,Settings!$H$80,Settings!$H$82,Settings!$H$84,Settings!$H$86)+(1-(CHOOSE(MATCH(IF($E472="","Основний",$E472),{"Трафіковий","Основний","Маржинальний","Сезонний","Стратегічний"},0),Settings!$H$78,Settings!$H$80,Settings!$H$82,Settings!$H$84,Settings!$H$86)))*Settings!$H$68,"")</f>
        <v/>
      </c>
      <c r="AF472" s="143">
        <f>IFERROR((AD472*(1-Settings!$H$17)-C472)/(AD472*(1-Settings!$H$17)),"")</f>
        <v/>
      </c>
      <c r="AG472" s="150">
        <f>IFERROR(IF(AD472="","",IF(AD472&gt;=C472/(1-SKU_Base!AF472)/(1-Settings!$H$17),"OK",IF(AD472&gt;=C472/(1-SKU_Base!AM472)/(1-Settings!$H$17),"WARN","STOP"))),"")</f>
        <v/>
      </c>
    </row>
    <row r="473" ht="17" customHeight="1" s="179">
      <c r="A473" s="146">
        <f>SKU_Base!B473</f>
        <v/>
      </c>
      <c r="B473" s="146">
        <f>SKU_Base!C473</f>
        <v/>
      </c>
      <c r="C473" s="147">
        <f>IFERROR(SKU_Base!I473,"")</f>
        <v/>
      </c>
      <c r="D473" s="164">
        <f>IFERROR(SKU_Base!T473,"")</f>
        <v/>
      </c>
      <c r="E473" s="141">
        <f>IFERROR(SKU_Base!$U473,"")</f>
        <v/>
      </c>
      <c r="F473" s="160">
        <f>IFERROR(ROUND(D473*(1-CHOOSE(MATCH(IF($E473="","Основний",$E473),{"Трафіковий","Основний","Маржинальний","Сезонний","Стратегічний"},0),Settings!$B$78,Settings!$B$80,Settings!$B$82,Settings!$B$84,Settings!$B$86))/6,2)*6,"")</f>
        <v/>
      </c>
      <c r="G473" s="142">
        <f>IFERROR(CHOOSE(MATCH(IF($E473="","Основний",$E473),{"Трафіковий","Основний","Маржинальний","Сезонний","Стратегічний"},0),Settings!$B$78,Settings!$B$80,Settings!$B$82,Settings!$B$84,Settings!$B$86),"")</f>
        <v/>
      </c>
      <c r="H473" s="148">
        <f>IFERROR((F473*(1-Settings!$B$17)-C473)/(F473*(1-Settings!$B$17)),"")</f>
        <v/>
      </c>
      <c r="I473" s="149">
        <f>IFERROR(IF(F473="","",IF(F473&gt;=C473/(1-SKU_Base!Z473)/(1-Settings!$B$17),"OK",IF(F473&gt;=C473/(1-SKU_Base!AG473)/(1-Settings!$B$17),"WARN","STOP"))),"")</f>
        <v/>
      </c>
      <c r="J473" s="160">
        <f>IFERROR(ROUND(D473*(1-CHOOSE(MATCH(IF($E473="","Основний",$E473),{"Трафіковий","Основний","Маржинальний","Сезонний","Стратегічний"},0),Settings!$C$78,Settings!$C$80,Settings!$C$82,Settings!$C$84,Settings!$C$86))/6,2)*6,"")</f>
        <v/>
      </c>
      <c r="K473" s="142">
        <f>IFERROR(CHOOSE(MATCH(IF($E473="","Основний",$E473),{"Трафіковий","Основний","Маржинальний","Сезонний","Стратегічний"},0),Settings!$C$78,Settings!$C$80,Settings!$C$82,Settings!$C$84,Settings!$C$86),"")</f>
        <v/>
      </c>
      <c r="L473" s="148">
        <f>IFERROR((J473*(1-Settings!$C$17)-C473)/(J473*(1-Settings!$C$17)),"")</f>
        <v/>
      </c>
      <c r="M473" s="149">
        <f>IFERROR(IF(J473="","",IF(J473&gt;=C473/(1-SKU_Base!AA473)/(1-Settings!$C$17),"OK",IF(J473&gt;=C473/(1-SKU_Base!AH473)/(1-Settings!$C$17),"WARN","STOP"))),"")</f>
        <v/>
      </c>
      <c r="N473" s="161">
        <f>IFERROR(ROUND(D473*(1-CHOOSE(MATCH(IF($E473="","Основний",$E473),{"Трафіковий","Основний","Маржинальний","Сезонний","Стратегічний"},0),Settings!$D$78,Settings!$D$80,Settings!$D$82,Settings!$D$84,Settings!$D$86))/6,2)*6,"")</f>
        <v/>
      </c>
      <c r="O473" s="142">
        <f>IFERROR(CHOOSE(MATCH(IF($E473="","Основний",$E473),{"Трафіковий","Основний","Маржинальний","Сезонний","Стратегічний"},0),Settings!$D$78,Settings!$D$80,Settings!$D$82,Settings!$D$84,Settings!$D$86),"")</f>
        <v/>
      </c>
      <c r="P473" s="148">
        <f>IFERROR((N473*(1-Settings!$D$17)-C473)/(N473*(1-Settings!$D$17)),"")</f>
        <v/>
      </c>
      <c r="Q473" s="149">
        <f>IFERROR(IF(N473="","",IF(N473&gt;=C473/(1-SKU_Base!AB473)/(1-Settings!$D$17),"OK",IF(N473&gt;=C473/(1-SKU_Base!AI473)/(1-Settings!$D$17),"WARN","STOP"))),"")</f>
        <v/>
      </c>
      <c r="R473" s="161">
        <f>IFERROR(ROUND(D473*(1-CHOOSE(MATCH(IF($E473="","Основний",$E473),{"Трафіковий","Основний","Маржинальний","Сезонний","Стратегічний"},0),Settings!$E$78,Settings!$E$80,Settings!$E$82,Settings!$E$84,Settings!$E$86))/6,2)*6,"")</f>
        <v/>
      </c>
      <c r="S473" s="142">
        <f>IFERROR(CHOOSE(MATCH(IF($E473="","Основний",$E473),{"Трафіковий","Основний","Маржинальний","Сезонний","Стратегічний"},0),Settings!$E$78,Settings!$E$80,Settings!$E$82,Settings!$E$84,Settings!$E$86),"")</f>
        <v/>
      </c>
      <c r="T473" s="148">
        <f>IFERROR((R473*(1-Settings!$E$17)-C473)/(R473*(1-Settings!$E$17)),"")</f>
        <v/>
      </c>
      <c r="U473" s="149">
        <f>IFERROR(IF(R473="","",IF(R473&gt;=C473/(1-SKU_Base!AC473)/(1-Settings!$E$17),"OK",IF(R473&gt;=C473/(1-SKU_Base!AJ473)/(1-Settings!$E$17),"WARN","STOP"))),"")</f>
        <v/>
      </c>
      <c r="V473" s="161">
        <f>IFERROR(ROUND(D473*(1-CHOOSE(MATCH(IF($E473="","Основний",$E473),{"Трафіковий","Основний","Маржинальний","Сезонний","Стратегічний"},0),Settings!$F$78,Settings!$F$80,Settings!$F$82,Settings!$F$84,Settings!$F$86))/6,2)*6,"")</f>
        <v/>
      </c>
      <c r="W473" s="142">
        <f>IFERROR(CHOOSE(MATCH(IF($E473="","Основний",$E473),{"Трафіковий","Основний","Маржинальний","Сезонний","Стратегічний"},0),Settings!$F$78,Settings!$F$80,Settings!$F$82,Settings!$F$84,Settings!$F$86),"")</f>
        <v/>
      </c>
      <c r="X473" s="148">
        <f>IFERROR((V473*(1-Settings!$F$17)-C473)/(V473*(1-Settings!$F$17)),"")</f>
        <v/>
      </c>
      <c r="Y473" s="149">
        <f>IFERROR(IF(V473="","",IF(V473&gt;=C473/(1-SKU_Base!AD473)/(1-Settings!$F$17),"OK",IF(V473&gt;=C473/(1-SKU_Base!AK473)/(1-Settings!$F$17),"WARN","STOP"))),"")</f>
        <v/>
      </c>
      <c r="Z473" s="161">
        <f>IFERROR(ROUND(D473*(1-CHOOSE(MATCH(IF($E473="","Основний",$E473),{"Трафіковий","Основний","Маржинальний","Сезонний","Стратегічний"},0),Settings!$G$78,Settings!$G$80,Settings!$G$82,Settings!$G$84,Settings!$G$86))/6,2)*6,"")</f>
        <v/>
      </c>
      <c r="AA473" s="142">
        <f>IFERROR(CHOOSE(MATCH(IF($E473="","Основний",$E473),{"Трафіковий","Основний","Маржинальний","Сезонний","Стратегічний"},0),Settings!$G$78,Settings!$G$80,Settings!$G$82,Settings!$G$84,Settings!$G$86),"")</f>
        <v/>
      </c>
      <c r="AB473" s="148">
        <f>IFERROR((Z473*(1-Settings!$G$17)-C473)/(Z473*(1-Settings!$G$17)),"")</f>
        <v/>
      </c>
      <c r="AC473" s="149">
        <f>IFERROR(IF(Z473="","",IF(Z473&gt;=C473/(1-SKU_Base!AE473)/(1-Settings!$G$17),"OK",IF(Z473&gt;=C473/(1-SKU_Base!AL473)/(1-Settings!$G$17),"WARN","STOP"))),"")</f>
        <v/>
      </c>
      <c r="AD473" s="161">
        <f>IFERROR(ROUND(D473*(1-CHOOSE(MATCH(IF($E473="","Основний",$E473),{"Трафіковий","Основний","Маржинальний","Сезонний","Стратегічний"},0),Settings!$H$78,Settings!$H$80,Settings!$H$82,Settings!$H$84,Settings!$H$86))*(1-Settings!$H$68)/6,2)*6,"")</f>
        <v/>
      </c>
      <c r="AE473" s="142">
        <f>IFERROR(CHOOSE(MATCH(IF($E473="","Основний",$E473),{"Трафіковий","Основний","Маржинальний","Сезонний","Стратегічний"},0),Settings!$H$78,Settings!$H$80,Settings!$H$82,Settings!$H$84,Settings!$H$86)+(1-(CHOOSE(MATCH(IF($E473="","Основний",$E473),{"Трафіковий","Основний","Маржинальний","Сезонний","Стратегічний"},0),Settings!$H$78,Settings!$H$80,Settings!$H$82,Settings!$H$84,Settings!$H$86)))*Settings!$H$68,"")</f>
        <v/>
      </c>
      <c r="AF473" s="148">
        <f>IFERROR((AD473*(1-Settings!$H$17)-C473)/(AD473*(1-Settings!$H$17)),"")</f>
        <v/>
      </c>
      <c r="AG473" s="150">
        <f>IFERROR(IF(AD473="","",IF(AD473&gt;=C473/(1-SKU_Base!AF473)/(1-Settings!$H$17),"OK",IF(AD473&gt;=C473/(1-SKU_Base!AM473)/(1-Settings!$H$17),"WARN","STOP"))),"")</f>
        <v/>
      </c>
    </row>
    <row r="474" ht="17" customHeight="1" s="179">
      <c r="A474" s="139">
        <f>SKU_Base!B474</f>
        <v/>
      </c>
      <c r="B474" s="139">
        <f>SKU_Base!C474</f>
        <v/>
      </c>
      <c r="C474" s="140">
        <f>IFERROR(SKU_Base!I474,"")</f>
        <v/>
      </c>
      <c r="D474" s="163">
        <f>IFERROR(SKU_Base!T474,"")</f>
        <v/>
      </c>
      <c r="E474" s="141">
        <f>IFERROR(SKU_Base!$U474,"")</f>
        <v/>
      </c>
      <c r="F474" s="158">
        <f>IFERROR(ROUND(D474*(1-CHOOSE(MATCH(IF($E474="","Основний",$E474),{"Трафіковий","Основний","Маржинальний","Сезонний","Стратегічний"},0),Settings!$B$78,Settings!$B$80,Settings!$B$82,Settings!$B$84,Settings!$B$86))/6,2)*6,"")</f>
        <v/>
      </c>
      <c r="G474" s="142">
        <f>IFERROR(CHOOSE(MATCH(IF($E474="","Основний",$E474),{"Трафіковий","Основний","Маржинальний","Сезонний","Стратегічний"},0),Settings!$B$78,Settings!$B$80,Settings!$B$82,Settings!$B$84,Settings!$B$86),"")</f>
        <v/>
      </c>
      <c r="H474" s="143">
        <f>IFERROR((F474*(1-Settings!$B$17)-C474)/(F474*(1-Settings!$B$17)),"")</f>
        <v/>
      </c>
      <c r="I474" s="149">
        <f>IFERROR(IF(F474="","",IF(F474&gt;=C474/(1-SKU_Base!Z474)/(1-Settings!$B$17),"OK",IF(F474&gt;=C474/(1-SKU_Base!AG474)/(1-Settings!$B$17),"WARN","STOP"))),"")</f>
        <v/>
      </c>
      <c r="J474" s="158">
        <f>IFERROR(ROUND(D474*(1-CHOOSE(MATCH(IF($E474="","Основний",$E474),{"Трафіковий","Основний","Маржинальний","Сезонний","Стратегічний"},0),Settings!$C$78,Settings!$C$80,Settings!$C$82,Settings!$C$84,Settings!$C$86))/6,2)*6,"")</f>
        <v/>
      </c>
      <c r="K474" s="142">
        <f>IFERROR(CHOOSE(MATCH(IF($E474="","Основний",$E474),{"Трафіковий","Основний","Маржинальний","Сезонний","Стратегічний"},0),Settings!$C$78,Settings!$C$80,Settings!$C$82,Settings!$C$84,Settings!$C$86),"")</f>
        <v/>
      </c>
      <c r="L474" s="143">
        <f>IFERROR((J474*(1-Settings!$C$17)-C474)/(J474*(1-Settings!$C$17)),"")</f>
        <v/>
      </c>
      <c r="M474" s="149">
        <f>IFERROR(IF(J474="","",IF(J474&gt;=C474/(1-SKU_Base!AA474)/(1-Settings!$C$17),"OK",IF(J474&gt;=C474/(1-SKU_Base!AH474)/(1-Settings!$C$17),"WARN","STOP"))),"")</f>
        <v/>
      </c>
      <c r="N474" s="159">
        <f>IFERROR(ROUND(D474*(1-CHOOSE(MATCH(IF($E474="","Основний",$E474),{"Трафіковий","Основний","Маржинальний","Сезонний","Стратегічний"},0),Settings!$D$78,Settings!$D$80,Settings!$D$82,Settings!$D$84,Settings!$D$86))/6,2)*6,"")</f>
        <v/>
      </c>
      <c r="O474" s="142">
        <f>IFERROR(CHOOSE(MATCH(IF($E474="","Основний",$E474),{"Трафіковий","Основний","Маржинальний","Сезонний","Стратегічний"},0),Settings!$D$78,Settings!$D$80,Settings!$D$82,Settings!$D$84,Settings!$D$86),"")</f>
        <v/>
      </c>
      <c r="P474" s="143">
        <f>IFERROR((N474*(1-Settings!$D$17)-C474)/(N474*(1-Settings!$D$17)),"")</f>
        <v/>
      </c>
      <c r="Q474" s="149">
        <f>IFERROR(IF(N474="","",IF(N474&gt;=C474/(1-SKU_Base!AB474)/(1-Settings!$D$17),"OK",IF(N474&gt;=C474/(1-SKU_Base!AI474)/(1-Settings!$D$17),"WARN","STOP"))),"")</f>
        <v/>
      </c>
      <c r="R474" s="159">
        <f>IFERROR(ROUND(D474*(1-CHOOSE(MATCH(IF($E474="","Основний",$E474),{"Трафіковий","Основний","Маржинальний","Сезонний","Стратегічний"},0),Settings!$E$78,Settings!$E$80,Settings!$E$82,Settings!$E$84,Settings!$E$86))/6,2)*6,"")</f>
        <v/>
      </c>
      <c r="S474" s="142">
        <f>IFERROR(CHOOSE(MATCH(IF($E474="","Основний",$E474),{"Трафіковий","Основний","Маржинальний","Сезонний","Стратегічний"},0),Settings!$E$78,Settings!$E$80,Settings!$E$82,Settings!$E$84,Settings!$E$86),"")</f>
        <v/>
      </c>
      <c r="T474" s="143">
        <f>IFERROR((R474*(1-Settings!$E$17)-C474)/(R474*(1-Settings!$E$17)),"")</f>
        <v/>
      </c>
      <c r="U474" s="149">
        <f>IFERROR(IF(R474="","",IF(R474&gt;=C474/(1-SKU_Base!AC474)/(1-Settings!$E$17),"OK",IF(R474&gt;=C474/(1-SKU_Base!AJ474)/(1-Settings!$E$17),"WARN","STOP"))),"")</f>
        <v/>
      </c>
      <c r="V474" s="159">
        <f>IFERROR(ROUND(D474*(1-CHOOSE(MATCH(IF($E474="","Основний",$E474),{"Трафіковий","Основний","Маржинальний","Сезонний","Стратегічний"},0),Settings!$F$78,Settings!$F$80,Settings!$F$82,Settings!$F$84,Settings!$F$86))/6,2)*6,"")</f>
        <v/>
      </c>
      <c r="W474" s="142">
        <f>IFERROR(CHOOSE(MATCH(IF($E474="","Основний",$E474),{"Трафіковий","Основний","Маржинальний","Сезонний","Стратегічний"},0),Settings!$F$78,Settings!$F$80,Settings!$F$82,Settings!$F$84,Settings!$F$86),"")</f>
        <v/>
      </c>
      <c r="X474" s="143">
        <f>IFERROR((V474*(1-Settings!$F$17)-C474)/(V474*(1-Settings!$F$17)),"")</f>
        <v/>
      </c>
      <c r="Y474" s="149">
        <f>IFERROR(IF(V474="","",IF(V474&gt;=C474/(1-SKU_Base!AD474)/(1-Settings!$F$17),"OK",IF(V474&gt;=C474/(1-SKU_Base!AK474)/(1-Settings!$F$17),"WARN","STOP"))),"")</f>
        <v/>
      </c>
      <c r="Z474" s="159">
        <f>IFERROR(ROUND(D474*(1-CHOOSE(MATCH(IF($E474="","Основний",$E474),{"Трафіковий","Основний","Маржинальний","Сезонний","Стратегічний"},0),Settings!$G$78,Settings!$G$80,Settings!$G$82,Settings!$G$84,Settings!$G$86))/6,2)*6,"")</f>
        <v/>
      </c>
      <c r="AA474" s="142">
        <f>IFERROR(CHOOSE(MATCH(IF($E474="","Основний",$E474),{"Трафіковий","Основний","Маржинальний","Сезонний","Стратегічний"},0),Settings!$G$78,Settings!$G$80,Settings!$G$82,Settings!$G$84,Settings!$G$86),"")</f>
        <v/>
      </c>
      <c r="AB474" s="143">
        <f>IFERROR((Z474*(1-Settings!$G$17)-C474)/(Z474*(1-Settings!$G$17)),"")</f>
        <v/>
      </c>
      <c r="AC474" s="149">
        <f>IFERROR(IF(Z474="","",IF(Z474&gt;=C474/(1-SKU_Base!AE474)/(1-Settings!$G$17),"OK",IF(Z474&gt;=C474/(1-SKU_Base!AL474)/(1-Settings!$G$17),"WARN","STOP"))),"")</f>
        <v/>
      </c>
      <c r="AD474" s="159">
        <f>IFERROR(ROUND(D474*(1-CHOOSE(MATCH(IF($E474="","Основний",$E474),{"Трафіковий","Основний","Маржинальний","Сезонний","Стратегічний"},0),Settings!$H$78,Settings!$H$80,Settings!$H$82,Settings!$H$84,Settings!$H$86))*(1-Settings!$H$68)/6,2)*6,"")</f>
        <v/>
      </c>
      <c r="AE474" s="142">
        <f>IFERROR(CHOOSE(MATCH(IF($E474="","Основний",$E474),{"Трафіковий","Основний","Маржинальний","Сезонний","Стратегічний"},0),Settings!$H$78,Settings!$H$80,Settings!$H$82,Settings!$H$84,Settings!$H$86)+(1-(CHOOSE(MATCH(IF($E474="","Основний",$E474),{"Трафіковий","Основний","Маржинальний","Сезонний","Стратегічний"},0),Settings!$H$78,Settings!$H$80,Settings!$H$82,Settings!$H$84,Settings!$H$86)))*Settings!$H$68,"")</f>
        <v/>
      </c>
      <c r="AF474" s="143">
        <f>IFERROR((AD474*(1-Settings!$H$17)-C474)/(AD474*(1-Settings!$H$17)),"")</f>
        <v/>
      </c>
      <c r="AG474" s="150">
        <f>IFERROR(IF(AD474="","",IF(AD474&gt;=C474/(1-SKU_Base!AF474)/(1-Settings!$H$17),"OK",IF(AD474&gt;=C474/(1-SKU_Base!AM474)/(1-Settings!$H$17),"WARN","STOP"))),"")</f>
        <v/>
      </c>
    </row>
    <row r="475" ht="17" customHeight="1" s="179">
      <c r="A475" s="146">
        <f>SKU_Base!B475</f>
        <v/>
      </c>
      <c r="B475" s="146">
        <f>SKU_Base!C475</f>
        <v/>
      </c>
      <c r="C475" s="147">
        <f>IFERROR(SKU_Base!I475,"")</f>
        <v/>
      </c>
      <c r="D475" s="164">
        <f>IFERROR(SKU_Base!T475,"")</f>
        <v/>
      </c>
      <c r="E475" s="141">
        <f>IFERROR(SKU_Base!$U475,"")</f>
        <v/>
      </c>
      <c r="F475" s="160">
        <f>IFERROR(ROUND(D475*(1-CHOOSE(MATCH(IF($E475="","Основний",$E475),{"Трафіковий","Основний","Маржинальний","Сезонний","Стратегічний"},0),Settings!$B$78,Settings!$B$80,Settings!$B$82,Settings!$B$84,Settings!$B$86))/6,2)*6,"")</f>
        <v/>
      </c>
      <c r="G475" s="142">
        <f>IFERROR(CHOOSE(MATCH(IF($E475="","Основний",$E475),{"Трафіковий","Основний","Маржинальний","Сезонний","Стратегічний"},0),Settings!$B$78,Settings!$B$80,Settings!$B$82,Settings!$B$84,Settings!$B$86),"")</f>
        <v/>
      </c>
      <c r="H475" s="148">
        <f>IFERROR((F475*(1-Settings!$B$17)-C475)/(F475*(1-Settings!$B$17)),"")</f>
        <v/>
      </c>
      <c r="I475" s="149">
        <f>IFERROR(IF(F475="","",IF(F475&gt;=C475/(1-SKU_Base!Z475)/(1-Settings!$B$17),"OK",IF(F475&gt;=C475/(1-SKU_Base!AG475)/(1-Settings!$B$17),"WARN","STOP"))),"")</f>
        <v/>
      </c>
      <c r="J475" s="160">
        <f>IFERROR(ROUND(D475*(1-CHOOSE(MATCH(IF($E475="","Основний",$E475),{"Трафіковий","Основний","Маржинальний","Сезонний","Стратегічний"},0),Settings!$C$78,Settings!$C$80,Settings!$C$82,Settings!$C$84,Settings!$C$86))/6,2)*6,"")</f>
        <v/>
      </c>
      <c r="K475" s="142">
        <f>IFERROR(CHOOSE(MATCH(IF($E475="","Основний",$E475),{"Трафіковий","Основний","Маржинальний","Сезонний","Стратегічний"},0),Settings!$C$78,Settings!$C$80,Settings!$C$82,Settings!$C$84,Settings!$C$86),"")</f>
        <v/>
      </c>
      <c r="L475" s="148">
        <f>IFERROR((J475*(1-Settings!$C$17)-C475)/(J475*(1-Settings!$C$17)),"")</f>
        <v/>
      </c>
      <c r="M475" s="149">
        <f>IFERROR(IF(J475="","",IF(J475&gt;=C475/(1-SKU_Base!AA475)/(1-Settings!$C$17),"OK",IF(J475&gt;=C475/(1-SKU_Base!AH475)/(1-Settings!$C$17),"WARN","STOP"))),"")</f>
        <v/>
      </c>
      <c r="N475" s="161">
        <f>IFERROR(ROUND(D475*(1-CHOOSE(MATCH(IF($E475="","Основний",$E475),{"Трафіковий","Основний","Маржинальний","Сезонний","Стратегічний"},0),Settings!$D$78,Settings!$D$80,Settings!$D$82,Settings!$D$84,Settings!$D$86))/6,2)*6,"")</f>
        <v/>
      </c>
      <c r="O475" s="142">
        <f>IFERROR(CHOOSE(MATCH(IF($E475="","Основний",$E475),{"Трафіковий","Основний","Маржинальний","Сезонний","Стратегічний"},0),Settings!$D$78,Settings!$D$80,Settings!$D$82,Settings!$D$84,Settings!$D$86),"")</f>
        <v/>
      </c>
      <c r="P475" s="148">
        <f>IFERROR((N475*(1-Settings!$D$17)-C475)/(N475*(1-Settings!$D$17)),"")</f>
        <v/>
      </c>
      <c r="Q475" s="149">
        <f>IFERROR(IF(N475="","",IF(N475&gt;=C475/(1-SKU_Base!AB475)/(1-Settings!$D$17),"OK",IF(N475&gt;=C475/(1-SKU_Base!AI475)/(1-Settings!$D$17),"WARN","STOP"))),"")</f>
        <v/>
      </c>
      <c r="R475" s="161">
        <f>IFERROR(ROUND(D475*(1-CHOOSE(MATCH(IF($E475="","Основний",$E475),{"Трафіковий","Основний","Маржинальний","Сезонний","Стратегічний"},0),Settings!$E$78,Settings!$E$80,Settings!$E$82,Settings!$E$84,Settings!$E$86))/6,2)*6,"")</f>
        <v/>
      </c>
      <c r="S475" s="142">
        <f>IFERROR(CHOOSE(MATCH(IF($E475="","Основний",$E475),{"Трафіковий","Основний","Маржинальний","Сезонний","Стратегічний"},0),Settings!$E$78,Settings!$E$80,Settings!$E$82,Settings!$E$84,Settings!$E$86),"")</f>
        <v/>
      </c>
      <c r="T475" s="148">
        <f>IFERROR((R475*(1-Settings!$E$17)-C475)/(R475*(1-Settings!$E$17)),"")</f>
        <v/>
      </c>
      <c r="U475" s="149">
        <f>IFERROR(IF(R475="","",IF(R475&gt;=C475/(1-SKU_Base!AC475)/(1-Settings!$E$17),"OK",IF(R475&gt;=C475/(1-SKU_Base!AJ475)/(1-Settings!$E$17),"WARN","STOP"))),"")</f>
        <v/>
      </c>
      <c r="V475" s="161">
        <f>IFERROR(ROUND(D475*(1-CHOOSE(MATCH(IF($E475="","Основний",$E475),{"Трафіковий","Основний","Маржинальний","Сезонний","Стратегічний"},0),Settings!$F$78,Settings!$F$80,Settings!$F$82,Settings!$F$84,Settings!$F$86))/6,2)*6,"")</f>
        <v/>
      </c>
      <c r="W475" s="142">
        <f>IFERROR(CHOOSE(MATCH(IF($E475="","Основний",$E475),{"Трафіковий","Основний","Маржинальний","Сезонний","Стратегічний"},0),Settings!$F$78,Settings!$F$80,Settings!$F$82,Settings!$F$84,Settings!$F$86),"")</f>
        <v/>
      </c>
      <c r="X475" s="148">
        <f>IFERROR((V475*(1-Settings!$F$17)-C475)/(V475*(1-Settings!$F$17)),"")</f>
        <v/>
      </c>
      <c r="Y475" s="149">
        <f>IFERROR(IF(V475="","",IF(V475&gt;=C475/(1-SKU_Base!AD475)/(1-Settings!$F$17),"OK",IF(V475&gt;=C475/(1-SKU_Base!AK475)/(1-Settings!$F$17),"WARN","STOP"))),"")</f>
        <v/>
      </c>
      <c r="Z475" s="161">
        <f>IFERROR(ROUND(D475*(1-CHOOSE(MATCH(IF($E475="","Основний",$E475),{"Трафіковий","Основний","Маржинальний","Сезонний","Стратегічний"},0),Settings!$G$78,Settings!$G$80,Settings!$G$82,Settings!$G$84,Settings!$G$86))/6,2)*6,"")</f>
        <v/>
      </c>
      <c r="AA475" s="142">
        <f>IFERROR(CHOOSE(MATCH(IF($E475="","Основний",$E475),{"Трафіковий","Основний","Маржинальний","Сезонний","Стратегічний"},0),Settings!$G$78,Settings!$G$80,Settings!$G$82,Settings!$G$84,Settings!$G$86),"")</f>
        <v/>
      </c>
      <c r="AB475" s="148">
        <f>IFERROR((Z475*(1-Settings!$G$17)-C475)/(Z475*(1-Settings!$G$17)),"")</f>
        <v/>
      </c>
      <c r="AC475" s="149">
        <f>IFERROR(IF(Z475="","",IF(Z475&gt;=C475/(1-SKU_Base!AE475)/(1-Settings!$G$17),"OK",IF(Z475&gt;=C475/(1-SKU_Base!AL475)/(1-Settings!$G$17),"WARN","STOP"))),"")</f>
        <v/>
      </c>
      <c r="AD475" s="161">
        <f>IFERROR(ROUND(D475*(1-CHOOSE(MATCH(IF($E475="","Основний",$E475),{"Трафіковий","Основний","Маржинальний","Сезонний","Стратегічний"},0),Settings!$H$78,Settings!$H$80,Settings!$H$82,Settings!$H$84,Settings!$H$86))*(1-Settings!$H$68)/6,2)*6,"")</f>
        <v/>
      </c>
      <c r="AE475" s="142">
        <f>IFERROR(CHOOSE(MATCH(IF($E475="","Основний",$E475),{"Трафіковий","Основний","Маржинальний","Сезонний","Стратегічний"},0),Settings!$H$78,Settings!$H$80,Settings!$H$82,Settings!$H$84,Settings!$H$86)+(1-(CHOOSE(MATCH(IF($E475="","Основний",$E475),{"Трафіковий","Основний","Маржинальний","Сезонний","Стратегічний"},0),Settings!$H$78,Settings!$H$80,Settings!$H$82,Settings!$H$84,Settings!$H$86)))*Settings!$H$68,"")</f>
        <v/>
      </c>
      <c r="AF475" s="148">
        <f>IFERROR((AD475*(1-Settings!$H$17)-C475)/(AD475*(1-Settings!$H$17)),"")</f>
        <v/>
      </c>
      <c r="AG475" s="150">
        <f>IFERROR(IF(AD475="","",IF(AD475&gt;=C475/(1-SKU_Base!AF475)/(1-Settings!$H$17),"OK",IF(AD475&gt;=C475/(1-SKU_Base!AM475)/(1-Settings!$H$17),"WARN","STOP"))),"")</f>
        <v/>
      </c>
    </row>
    <row r="476" ht="17" customHeight="1" s="179">
      <c r="A476" s="139">
        <f>SKU_Base!B476</f>
        <v/>
      </c>
      <c r="B476" s="139">
        <f>SKU_Base!C476</f>
        <v/>
      </c>
      <c r="C476" s="140">
        <f>IFERROR(SKU_Base!I476,"")</f>
        <v/>
      </c>
      <c r="D476" s="163">
        <f>IFERROR(SKU_Base!T476,"")</f>
        <v/>
      </c>
      <c r="E476" s="141">
        <f>IFERROR(SKU_Base!$U476,"")</f>
        <v/>
      </c>
      <c r="F476" s="158">
        <f>IFERROR(ROUND(D476*(1-CHOOSE(MATCH(IF($E476="","Основний",$E476),{"Трафіковий","Основний","Маржинальний","Сезонний","Стратегічний"},0),Settings!$B$78,Settings!$B$80,Settings!$B$82,Settings!$B$84,Settings!$B$86))/6,2)*6,"")</f>
        <v/>
      </c>
      <c r="G476" s="142">
        <f>IFERROR(CHOOSE(MATCH(IF($E476="","Основний",$E476),{"Трафіковий","Основний","Маржинальний","Сезонний","Стратегічний"},0),Settings!$B$78,Settings!$B$80,Settings!$B$82,Settings!$B$84,Settings!$B$86),"")</f>
        <v/>
      </c>
      <c r="H476" s="143">
        <f>IFERROR((F476*(1-Settings!$B$17)-C476)/(F476*(1-Settings!$B$17)),"")</f>
        <v/>
      </c>
      <c r="I476" s="149">
        <f>IFERROR(IF(F476="","",IF(F476&gt;=C476/(1-SKU_Base!Z476)/(1-Settings!$B$17),"OK",IF(F476&gt;=C476/(1-SKU_Base!AG476)/(1-Settings!$B$17),"WARN","STOP"))),"")</f>
        <v/>
      </c>
      <c r="J476" s="158">
        <f>IFERROR(ROUND(D476*(1-CHOOSE(MATCH(IF($E476="","Основний",$E476),{"Трафіковий","Основний","Маржинальний","Сезонний","Стратегічний"},0),Settings!$C$78,Settings!$C$80,Settings!$C$82,Settings!$C$84,Settings!$C$86))/6,2)*6,"")</f>
        <v/>
      </c>
      <c r="K476" s="142">
        <f>IFERROR(CHOOSE(MATCH(IF($E476="","Основний",$E476),{"Трафіковий","Основний","Маржинальний","Сезонний","Стратегічний"},0),Settings!$C$78,Settings!$C$80,Settings!$C$82,Settings!$C$84,Settings!$C$86),"")</f>
        <v/>
      </c>
      <c r="L476" s="143">
        <f>IFERROR((J476*(1-Settings!$C$17)-C476)/(J476*(1-Settings!$C$17)),"")</f>
        <v/>
      </c>
      <c r="M476" s="149">
        <f>IFERROR(IF(J476="","",IF(J476&gt;=C476/(1-SKU_Base!AA476)/(1-Settings!$C$17),"OK",IF(J476&gt;=C476/(1-SKU_Base!AH476)/(1-Settings!$C$17),"WARN","STOP"))),"")</f>
        <v/>
      </c>
      <c r="N476" s="159">
        <f>IFERROR(ROUND(D476*(1-CHOOSE(MATCH(IF($E476="","Основний",$E476),{"Трафіковий","Основний","Маржинальний","Сезонний","Стратегічний"},0),Settings!$D$78,Settings!$D$80,Settings!$D$82,Settings!$D$84,Settings!$D$86))/6,2)*6,"")</f>
        <v/>
      </c>
      <c r="O476" s="142">
        <f>IFERROR(CHOOSE(MATCH(IF($E476="","Основний",$E476),{"Трафіковий","Основний","Маржинальний","Сезонний","Стратегічний"},0),Settings!$D$78,Settings!$D$80,Settings!$D$82,Settings!$D$84,Settings!$D$86),"")</f>
        <v/>
      </c>
      <c r="P476" s="143">
        <f>IFERROR((N476*(1-Settings!$D$17)-C476)/(N476*(1-Settings!$D$17)),"")</f>
        <v/>
      </c>
      <c r="Q476" s="149">
        <f>IFERROR(IF(N476="","",IF(N476&gt;=C476/(1-SKU_Base!AB476)/(1-Settings!$D$17),"OK",IF(N476&gt;=C476/(1-SKU_Base!AI476)/(1-Settings!$D$17),"WARN","STOP"))),"")</f>
        <v/>
      </c>
      <c r="R476" s="159">
        <f>IFERROR(ROUND(D476*(1-CHOOSE(MATCH(IF($E476="","Основний",$E476),{"Трафіковий","Основний","Маржинальний","Сезонний","Стратегічний"},0),Settings!$E$78,Settings!$E$80,Settings!$E$82,Settings!$E$84,Settings!$E$86))/6,2)*6,"")</f>
        <v/>
      </c>
      <c r="S476" s="142">
        <f>IFERROR(CHOOSE(MATCH(IF($E476="","Основний",$E476),{"Трафіковий","Основний","Маржинальний","Сезонний","Стратегічний"},0),Settings!$E$78,Settings!$E$80,Settings!$E$82,Settings!$E$84,Settings!$E$86),"")</f>
        <v/>
      </c>
      <c r="T476" s="143">
        <f>IFERROR((R476*(1-Settings!$E$17)-C476)/(R476*(1-Settings!$E$17)),"")</f>
        <v/>
      </c>
      <c r="U476" s="149">
        <f>IFERROR(IF(R476="","",IF(R476&gt;=C476/(1-SKU_Base!AC476)/(1-Settings!$E$17),"OK",IF(R476&gt;=C476/(1-SKU_Base!AJ476)/(1-Settings!$E$17),"WARN","STOP"))),"")</f>
        <v/>
      </c>
      <c r="V476" s="159">
        <f>IFERROR(ROUND(D476*(1-CHOOSE(MATCH(IF($E476="","Основний",$E476),{"Трафіковий","Основний","Маржинальний","Сезонний","Стратегічний"},0),Settings!$F$78,Settings!$F$80,Settings!$F$82,Settings!$F$84,Settings!$F$86))/6,2)*6,"")</f>
        <v/>
      </c>
      <c r="W476" s="142">
        <f>IFERROR(CHOOSE(MATCH(IF($E476="","Основний",$E476),{"Трафіковий","Основний","Маржинальний","Сезонний","Стратегічний"},0),Settings!$F$78,Settings!$F$80,Settings!$F$82,Settings!$F$84,Settings!$F$86),"")</f>
        <v/>
      </c>
      <c r="X476" s="143">
        <f>IFERROR((V476*(1-Settings!$F$17)-C476)/(V476*(1-Settings!$F$17)),"")</f>
        <v/>
      </c>
      <c r="Y476" s="149">
        <f>IFERROR(IF(V476="","",IF(V476&gt;=C476/(1-SKU_Base!AD476)/(1-Settings!$F$17),"OK",IF(V476&gt;=C476/(1-SKU_Base!AK476)/(1-Settings!$F$17),"WARN","STOP"))),"")</f>
        <v/>
      </c>
      <c r="Z476" s="159">
        <f>IFERROR(ROUND(D476*(1-CHOOSE(MATCH(IF($E476="","Основний",$E476),{"Трафіковий","Основний","Маржинальний","Сезонний","Стратегічний"},0),Settings!$G$78,Settings!$G$80,Settings!$G$82,Settings!$G$84,Settings!$G$86))/6,2)*6,"")</f>
        <v/>
      </c>
      <c r="AA476" s="142">
        <f>IFERROR(CHOOSE(MATCH(IF($E476="","Основний",$E476),{"Трафіковий","Основний","Маржинальний","Сезонний","Стратегічний"},0),Settings!$G$78,Settings!$G$80,Settings!$G$82,Settings!$G$84,Settings!$G$86),"")</f>
        <v/>
      </c>
      <c r="AB476" s="143">
        <f>IFERROR((Z476*(1-Settings!$G$17)-C476)/(Z476*(1-Settings!$G$17)),"")</f>
        <v/>
      </c>
      <c r="AC476" s="149">
        <f>IFERROR(IF(Z476="","",IF(Z476&gt;=C476/(1-SKU_Base!AE476)/(1-Settings!$G$17),"OK",IF(Z476&gt;=C476/(1-SKU_Base!AL476)/(1-Settings!$G$17),"WARN","STOP"))),"")</f>
        <v/>
      </c>
      <c r="AD476" s="159">
        <f>IFERROR(ROUND(D476*(1-CHOOSE(MATCH(IF($E476="","Основний",$E476),{"Трафіковий","Основний","Маржинальний","Сезонний","Стратегічний"},0),Settings!$H$78,Settings!$H$80,Settings!$H$82,Settings!$H$84,Settings!$H$86))*(1-Settings!$H$68)/6,2)*6,"")</f>
        <v/>
      </c>
      <c r="AE476" s="142">
        <f>IFERROR(CHOOSE(MATCH(IF($E476="","Основний",$E476),{"Трафіковий","Основний","Маржинальний","Сезонний","Стратегічний"},0),Settings!$H$78,Settings!$H$80,Settings!$H$82,Settings!$H$84,Settings!$H$86)+(1-(CHOOSE(MATCH(IF($E476="","Основний",$E476),{"Трафіковий","Основний","Маржинальний","Сезонний","Стратегічний"},0),Settings!$H$78,Settings!$H$80,Settings!$H$82,Settings!$H$84,Settings!$H$86)))*Settings!$H$68,"")</f>
        <v/>
      </c>
      <c r="AF476" s="143">
        <f>IFERROR((AD476*(1-Settings!$H$17)-C476)/(AD476*(1-Settings!$H$17)),"")</f>
        <v/>
      </c>
      <c r="AG476" s="150">
        <f>IFERROR(IF(AD476="","",IF(AD476&gt;=C476/(1-SKU_Base!AF476)/(1-Settings!$H$17),"OK",IF(AD476&gt;=C476/(1-SKU_Base!AM476)/(1-Settings!$H$17),"WARN","STOP"))),"")</f>
        <v/>
      </c>
    </row>
    <row r="477" ht="17" customHeight="1" s="179">
      <c r="A477" s="146">
        <f>SKU_Base!B477</f>
        <v/>
      </c>
      <c r="B477" s="146">
        <f>SKU_Base!C477</f>
        <v/>
      </c>
      <c r="C477" s="147">
        <f>IFERROR(SKU_Base!I477,"")</f>
        <v/>
      </c>
      <c r="D477" s="164">
        <f>IFERROR(SKU_Base!T477,"")</f>
        <v/>
      </c>
      <c r="E477" s="141">
        <f>IFERROR(SKU_Base!$U477,"")</f>
        <v/>
      </c>
      <c r="F477" s="160">
        <f>IFERROR(ROUND(D477*(1-CHOOSE(MATCH(IF($E477="","Основний",$E477),{"Трафіковий","Основний","Маржинальний","Сезонний","Стратегічний"},0),Settings!$B$78,Settings!$B$80,Settings!$B$82,Settings!$B$84,Settings!$B$86))/6,2)*6,"")</f>
        <v/>
      </c>
      <c r="G477" s="142">
        <f>IFERROR(CHOOSE(MATCH(IF($E477="","Основний",$E477),{"Трафіковий","Основний","Маржинальний","Сезонний","Стратегічний"},0),Settings!$B$78,Settings!$B$80,Settings!$B$82,Settings!$B$84,Settings!$B$86),"")</f>
        <v/>
      </c>
      <c r="H477" s="148">
        <f>IFERROR((F477*(1-Settings!$B$17)-C477)/(F477*(1-Settings!$B$17)),"")</f>
        <v/>
      </c>
      <c r="I477" s="150">
        <f>IFERROR(IF(F477="","",IF(F477&gt;=C477/(1-SKU_Base!Z477)/(1-Settings!$B$17),"OK",IF(F477&gt;=C477/(1-SKU_Base!AG477)/(1-Settings!$B$17),"WARN","STOP"))),"")</f>
        <v/>
      </c>
      <c r="J477" s="160">
        <f>IFERROR(ROUND(D477*(1-CHOOSE(MATCH(IF($E477="","Основний",$E477),{"Трафіковий","Основний","Маржинальний","Сезонний","Стратегічний"},0),Settings!$C$78,Settings!$C$80,Settings!$C$82,Settings!$C$84,Settings!$C$86))/6,2)*6,"")</f>
        <v/>
      </c>
      <c r="K477" s="142">
        <f>IFERROR(CHOOSE(MATCH(IF($E477="","Основний",$E477),{"Трафіковий","Основний","Маржинальний","Сезонний","Стратегічний"},0),Settings!$C$78,Settings!$C$80,Settings!$C$82,Settings!$C$84,Settings!$C$86),"")</f>
        <v/>
      </c>
      <c r="L477" s="148">
        <f>IFERROR((J477*(1-Settings!$C$17)-C477)/(J477*(1-Settings!$C$17)),"")</f>
        <v/>
      </c>
      <c r="M477" s="149">
        <f>IFERROR(IF(J477="","",IF(J477&gt;=C477/(1-SKU_Base!AA477)/(1-Settings!$C$17),"OK",IF(J477&gt;=C477/(1-SKU_Base!AH477)/(1-Settings!$C$17),"WARN","STOP"))),"")</f>
        <v/>
      </c>
      <c r="N477" s="161">
        <f>IFERROR(ROUND(D477*(1-CHOOSE(MATCH(IF($E477="","Основний",$E477),{"Трафіковий","Основний","Маржинальний","Сезонний","Стратегічний"},0),Settings!$D$78,Settings!$D$80,Settings!$D$82,Settings!$D$84,Settings!$D$86))/6,2)*6,"")</f>
        <v/>
      </c>
      <c r="O477" s="142">
        <f>IFERROR(CHOOSE(MATCH(IF($E477="","Основний",$E477),{"Трафіковий","Основний","Маржинальний","Сезонний","Стратегічний"},0),Settings!$D$78,Settings!$D$80,Settings!$D$82,Settings!$D$84,Settings!$D$86),"")</f>
        <v/>
      </c>
      <c r="P477" s="148">
        <f>IFERROR((N477*(1-Settings!$D$17)-C477)/(N477*(1-Settings!$D$17)),"")</f>
        <v/>
      </c>
      <c r="Q477" s="149">
        <f>IFERROR(IF(N477="","",IF(N477&gt;=C477/(1-SKU_Base!AB477)/(1-Settings!$D$17),"OK",IF(N477&gt;=C477/(1-SKU_Base!AI477)/(1-Settings!$D$17),"WARN","STOP"))),"")</f>
        <v/>
      </c>
      <c r="R477" s="161">
        <f>IFERROR(ROUND(D477*(1-CHOOSE(MATCH(IF($E477="","Основний",$E477),{"Трафіковий","Основний","Маржинальний","Сезонний","Стратегічний"},0),Settings!$E$78,Settings!$E$80,Settings!$E$82,Settings!$E$84,Settings!$E$86))/6,2)*6,"")</f>
        <v/>
      </c>
      <c r="S477" s="142">
        <f>IFERROR(CHOOSE(MATCH(IF($E477="","Основний",$E477),{"Трафіковий","Основний","Маржинальний","Сезонний","Стратегічний"},0),Settings!$E$78,Settings!$E$80,Settings!$E$82,Settings!$E$84,Settings!$E$86),"")</f>
        <v/>
      </c>
      <c r="T477" s="148">
        <f>IFERROR((R477*(1-Settings!$E$17)-C477)/(R477*(1-Settings!$E$17)),"")</f>
        <v/>
      </c>
      <c r="U477" s="149">
        <f>IFERROR(IF(R477="","",IF(R477&gt;=C477/(1-SKU_Base!AC477)/(1-Settings!$E$17),"OK",IF(R477&gt;=C477/(1-SKU_Base!AJ477)/(1-Settings!$E$17),"WARN","STOP"))),"")</f>
        <v/>
      </c>
      <c r="V477" s="161">
        <f>IFERROR(ROUND(D477*(1-CHOOSE(MATCH(IF($E477="","Основний",$E477),{"Трафіковий","Основний","Маржинальний","Сезонний","Стратегічний"},0),Settings!$F$78,Settings!$F$80,Settings!$F$82,Settings!$F$84,Settings!$F$86))/6,2)*6,"")</f>
        <v/>
      </c>
      <c r="W477" s="142">
        <f>IFERROR(CHOOSE(MATCH(IF($E477="","Основний",$E477),{"Трафіковий","Основний","Маржинальний","Сезонний","Стратегічний"},0),Settings!$F$78,Settings!$F$80,Settings!$F$82,Settings!$F$84,Settings!$F$86),"")</f>
        <v/>
      </c>
      <c r="X477" s="148">
        <f>IFERROR((V477*(1-Settings!$F$17)-C477)/(V477*(1-Settings!$F$17)),"")</f>
        <v/>
      </c>
      <c r="Y477" s="149">
        <f>IFERROR(IF(V477="","",IF(V477&gt;=C477/(1-SKU_Base!AD477)/(1-Settings!$F$17),"OK",IF(V477&gt;=C477/(1-SKU_Base!AK477)/(1-Settings!$F$17),"WARN","STOP"))),"")</f>
        <v/>
      </c>
      <c r="Z477" s="161">
        <f>IFERROR(ROUND(D477*(1-CHOOSE(MATCH(IF($E477="","Основний",$E477),{"Трафіковий","Основний","Маржинальний","Сезонний","Стратегічний"},0),Settings!$G$78,Settings!$G$80,Settings!$G$82,Settings!$G$84,Settings!$G$86))/6,2)*6,"")</f>
        <v/>
      </c>
      <c r="AA477" s="142">
        <f>IFERROR(CHOOSE(MATCH(IF($E477="","Основний",$E477),{"Трафіковий","Основний","Маржинальний","Сезонний","Стратегічний"},0),Settings!$G$78,Settings!$G$80,Settings!$G$82,Settings!$G$84,Settings!$G$86),"")</f>
        <v/>
      </c>
      <c r="AB477" s="148">
        <f>IFERROR((Z477*(1-Settings!$G$17)-C477)/(Z477*(1-Settings!$G$17)),"")</f>
        <v/>
      </c>
      <c r="AC477" s="149">
        <f>IFERROR(IF(Z477="","",IF(Z477&gt;=C477/(1-SKU_Base!AE477)/(1-Settings!$G$17),"OK",IF(Z477&gt;=C477/(1-SKU_Base!AL477)/(1-Settings!$G$17),"WARN","STOP"))),"")</f>
        <v/>
      </c>
      <c r="AD477" s="161">
        <f>IFERROR(ROUND(D477*(1-CHOOSE(MATCH(IF($E477="","Основний",$E477),{"Трафіковий","Основний","Маржинальний","Сезонний","Стратегічний"},0),Settings!$H$78,Settings!$H$80,Settings!$H$82,Settings!$H$84,Settings!$H$86))*(1-Settings!$H$68)/6,2)*6,"")</f>
        <v/>
      </c>
      <c r="AE477" s="142">
        <f>IFERROR(CHOOSE(MATCH(IF($E477="","Основний",$E477),{"Трафіковий","Основний","Маржинальний","Сезонний","Стратегічний"},0),Settings!$H$78,Settings!$H$80,Settings!$H$82,Settings!$H$84,Settings!$H$86)+(1-(CHOOSE(MATCH(IF($E477="","Основний",$E477),{"Трафіковий","Основний","Маржинальний","Сезонний","Стратегічний"},0),Settings!$H$78,Settings!$H$80,Settings!$H$82,Settings!$H$84,Settings!$H$86)))*Settings!$H$68,"")</f>
        <v/>
      </c>
      <c r="AF477" s="148">
        <f>IFERROR((AD477*(1-Settings!$H$17)-C477)/(AD477*(1-Settings!$H$17)),"")</f>
        <v/>
      </c>
      <c r="AG477" s="150">
        <f>IFERROR(IF(AD477="","",IF(AD477&gt;=C477/(1-SKU_Base!AF477)/(1-Settings!$H$17),"OK",IF(AD477&gt;=C477/(1-SKU_Base!AM477)/(1-Settings!$H$17),"WARN","STOP"))),"")</f>
        <v/>
      </c>
    </row>
    <row r="478" ht="17" customHeight="1" s="179">
      <c r="A478" s="139">
        <f>SKU_Base!B478</f>
        <v/>
      </c>
      <c r="B478" s="139">
        <f>SKU_Base!C478</f>
        <v/>
      </c>
      <c r="C478" s="140">
        <f>IFERROR(SKU_Base!I478,"")</f>
        <v/>
      </c>
      <c r="D478" s="163">
        <f>IFERROR(SKU_Base!T478,"")</f>
        <v/>
      </c>
      <c r="E478" s="141">
        <f>IFERROR(SKU_Base!$U478,"")</f>
        <v/>
      </c>
      <c r="F478" s="158">
        <f>IFERROR(ROUND(D478*(1-CHOOSE(MATCH(IF($E478="","Основний",$E478),{"Трафіковий","Основний","Маржинальний","Сезонний","Стратегічний"},0),Settings!$B$78,Settings!$B$80,Settings!$B$82,Settings!$B$84,Settings!$B$86))/6,2)*6,"")</f>
        <v/>
      </c>
      <c r="G478" s="142">
        <f>IFERROR(CHOOSE(MATCH(IF($E478="","Основний",$E478),{"Трафіковий","Основний","Маржинальний","Сезонний","Стратегічний"},0),Settings!$B$78,Settings!$B$80,Settings!$B$82,Settings!$B$84,Settings!$B$86),"")</f>
        <v/>
      </c>
      <c r="H478" s="143">
        <f>IFERROR((F478*(1-Settings!$B$17)-C478)/(F478*(1-Settings!$B$17)),"")</f>
        <v/>
      </c>
      <c r="I478" s="149">
        <f>IFERROR(IF(F478="","",IF(F478&gt;=C478/(1-SKU_Base!Z478)/(1-Settings!$B$17),"OK",IF(F478&gt;=C478/(1-SKU_Base!AG478)/(1-Settings!$B$17),"WARN","STOP"))),"")</f>
        <v/>
      </c>
      <c r="J478" s="158">
        <f>IFERROR(ROUND(D478*(1-CHOOSE(MATCH(IF($E478="","Основний",$E478),{"Трафіковий","Основний","Маржинальний","Сезонний","Стратегічний"},0),Settings!$C$78,Settings!$C$80,Settings!$C$82,Settings!$C$84,Settings!$C$86))/6,2)*6,"")</f>
        <v/>
      </c>
      <c r="K478" s="142">
        <f>IFERROR(CHOOSE(MATCH(IF($E478="","Основний",$E478),{"Трафіковий","Основний","Маржинальний","Сезонний","Стратегічний"},0),Settings!$C$78,Settings!$C$80,Settings!$C$82,Settings!$C$84,Settings!$C$86),"")</f>
        <v/>
      </c>
      <c r="L478" s="143">
        <f>IFERROR((J478*(1-Settings!$C$17)-C478)/(J478*(1-Settings!$C$17)),"")</f>
        <v/>
      </c>
      <c r="M478" s="149">
        <f>IFERROR(IF(J478="","",IF(J478&gt;=C478/(1-SKU_Base!AA478)/(1-Settings!$C$17),"OK",IF(J478&gt;=C478/(1-SKU_Base!AH478)/(1-Settings!$C$17),"WARN","STOP"))),"")</f>
        <v/>
      </c>
      <c r="N478" s="159">
        <f>IFERROR(ROUND(D478*(1-CHOOSE(MATCH(IF($E478="","Основний",$E478),{"Трафіковий","Основний","Маржинальний","Сезонний","Стратегічний"},0),Settings!$D$78,Settings!$D$80,Settings!$D$82,Settings!$D$84,Settings!$D$86))/6,2)*6,"")</f>
        <v/>
      </c>
      <c r="O478" s="142">
        <f>IFERROR(CHOOSE(MATCH(IF($E478="","Основний",$E478),{"Трафіковий","Основний","Маржинальний","Сезонний","Стратегічний"},0),Settings!$D$78,Settings!$D$80,Settings!$D$82,Settings!$D$84,Settings!$D$86),"")</f>
        <v/>
      </c>
      <c r="P478" s="143">
        <f>IFERROR((N478*(1-Settings!$D$17)-C478)/(N478*(1-Settings!$D$17)),"")</f>
        <v/>
      </c>
      <c r="Q478" s="149">
        <f>IFERROR(IF(N478="","",IF(N478&gt;=C478/(1-SKU_Base!AB478)/(1-Settings!$D$17),"OK",IF(N478&gt;=C478/(1-SKU_Base!AI478)/(1-Settings!$D$17),"WARN","STOP"))),"")</f>
        <v/>
      </c>
      <c r="R478" s="159">
        <f>IFERROR(ROUND(D478*(1-CHOOSE(MATCH(IF($E478="","Основний",$E478),{"Трафіковий","Основний","Маржинальний","Сезонний","Стратегічний"},0),Settings!$E$78,Settings!$E$80,Settings!$E$82,Settings!$E$84,Settings!$E$86))/6,2)*6,"")</f>
        <v/>
      </c>
      <c r="S478" s="142">
        <f>IFERROR(CHOOSE(MATCH(IF($E478="","Основний",$E478),{"Трафіковий","Основний","Маржинальний","Сезонний","Стратегічний"},0),Settings!$E$78,Settings!$E$80,Settings!$E$82,Settings!$E$84,Settings!$E$86),"")</f>
        <v/>
      </c>
      <c r="T478" s="143">
        <f>IFERROR((R478*(1-Settings!$E$17)-C478)/(R478*(1-Settings!$E$17)),"")</f>
        <v/>
      </c>
      <c r="U478" s="149">
        <f>IFERROR(IF(R478="","",IF(R478&gt;=C478/(1-SKU_Base!AC478)/(1-Settings!$E$17),"OK",IF(R478&gt;=C478/(1-SKU_Base!AJ478)/(1-Settings!$E$17),"WARN","STOP"))),"")</f>
        <v/>
      </c>
      <c r="V478" s="159">
        <f>IFERROR(ROUND(D478*(1-CHOOSE(MATCH(IF($E478="","Основний",$E478),{"Трафіковий","Основний","Маржинальний","Сезонний","Стратегічний"},0),Settings!$F$78,Settings!$F$80,Settings!$F$82,Settings!$F$84,Settings!$F$86))/6,2)*6,"")</f>
        <v/>
      </c>
      <c r="W478" s="142">
        <f>IFERROR(CHOOSE(MATCH(IF($E478="","Основний",$E478),{"Трафіковий","Основний","Маржинальний","Сезонний","Стратегічний"},0),Settings!$F$78,Settings!$F$80,Settings!$F$82,Settings!$F$84,Settings!$F$86),"")</f>
        <v/>
      </c>
      <c r="X478" s="143">
        <f>IFERROR((V478*(1-Settings!$F$17)-C478)/(V478*(1-Settings!$F$17)),"")</f>
        <v/>
      </c>
      <c r="Y478" s="149">
        <f>IFERROR(IF(V478="","",IF(V478&gt;=C478/(1-SKU_Base!AD478)/(1-Settings!$F$17),"OK",IF(V478&gt;=C478/(1-SKU_Base!AK478)/(1-Settings!$F$17),"WARN","STOP"))),"")</f>
        <v/>
      </c>
      <c r="Z478" s="159">
        <f>IFERROR(ROUND(D478*(1-CHOOSE(MATCH(IF($E478="","Основний",$E478),{"Трафіковий","Основний","Маржинальний","Сезонний","Стратегічний"},0),Settings!$G$78,Settings!$G$80,Settings!$G$82,Settings!$G$84,Settings!$G$86))/6,2)*6,"")</f>
        <v/>
      </c>
      <c r="AA478" s="142">
        <f>IFERROR(CHOOSE(MATCH(IF($E478="","Основний",$E478),{"Трафіковий","Основний","Маржинальний","Сезонний","Стратегічний"},0),Settings!$G$78,Settings!$G$80,Settings!$G$82,Settings!$G$84,Settings!$G$86),"")</f>
        <v/>
      </c>
      <c r="AB478" s="143">
        <f>IFERROR((Z478*(1-Settings!$G$17)-C478)/(Z478*(1-Settings!$G$17)),"")</f>
        <v/>
      </c>
      <c r="AC478" s="149">
        <f>IFERROR(IF(Z478="","",IF(Z478&gt;=C478/(1-SKU_Base!AE478)/(1-Settings!$G$17),"OK",IF(Z478&gt;=C478/(1-SKU_Base!AL478)/(1-Settings!$G$17),"WARN","STOP"))),"")</f>
        <v/>
      </c>
      <c r="AD478" s="159">
        <f>IFERROR(ROUND(D478*(1-CHOOSE(MATCH(IF($E478="","Основний",$E478),{"Трафіковий","Основний","Маржинальний","Сезонний","Стратегічний"},0),Settings!$H$78,Settings!$H$80,Settings!$H$82,Settings!$H$84,Settings!$H$86))*(1-Settings!$H$68)/6,2)*6,"")</f>
        <v/>
      </c>
      <c r="AE478" s="142">
        <f>IFERROR(CHOOSE(MATCH(IF($E478="","Основний",$E478),{"Трафіковий","Основний","Маржинальний","Сезонний","Стратегічний"},0),Settings!$H$78,Settings!$H$80,Settings!$H$82,Settings!$H$84,Settings!$H$86)+(1-(CHOOSE(MATCH(IF($E478="","Основний",$E478),{"Трафіковий","Основний","Маржинальний","Сезонний","Стратегічний"},0),Settings!$H$78,Settings!$H$80,Settings!$H$82,Settings!$H$84,Settings!$H$86)))*Settings!$H$68,"")</f>
        <v/>
      </c>
      <c r="AF478" s="143">
        <f>IFERROR((AD478*(1-Settings!$H$17)-C478)/(AD478*(1-Settings!$H$17)),"")</f>
        <v/>
      </c>
      <c r="AG478" s="150">
        <f>IFERROR(IF(AD478="","",IF(AD478&gt;=C478/(1-SKU_Base!AF478)/(1-Settings!$H$17),"OK",IF(AD478&gt;=C478/(1-SKU_Base!AM478)/(1-Settings!$H$17),"WARN","STOP"))),"")</f>
        <v/>
      </c>
    </row>
    <row r="479" ht="17" customHeight="1" s="179">
      <c r="A479" s="146">
        <f>SKU_Base!B479</f>
        <v/>
      </c>
      <c r="B479" s="146">
        <f>SKU_Base!C479</f>
        <v/>
      </c>
      <c r="C479" s="147">
        <f>IFERROR(SKU_Base!I479,"")</f>
        <v/>
      </c>
      <c r="D479" s="164">
        <f>IFERROR(SKU_Base!T479,"")</f>
        <v/>
      </c>
      <c r="E479" s="141">
        <f>IFERROR(SKU_Base!$U479,"")</f>
        <v/>
      </c>
      <c r="F479" s="160">
        <f>IFERROR(ROUND(D479*(1-CHOOSE(MATCH(IF($E479="","Основний",$E479),{"Трафіковий","Основний","Маржинальний","Сезонний","Стратегічний"},0),Settings!$B$78,Settings!$B$80,Settings!$B$82,Settings!$B$84,Settings!$B$86))/6,2)*6,"")</f>
        <v/>
      </c>
      <c r="G479" s="142">
        <f>IFERROR(CHOOSE(MATCH(IF($E479="","Основний",$E479),{"Трафіковий","Основний","Маржинальний","Сезонний","Стратегічний"},0),Settings!$B$78,Settings!$B$80,Settings!$B$82,Settings!$B$84,Settings!$B$86),"")</f>
        <v/>
      </c>
      <c r="H479" s="148">
        <f>IFERROR((F479*(1-Settings!$B$17)-C479)/(F479*(1-Settings!$B$17)),"")</f>
        <v/>
      </c>
      <c r="I479" s="149">
        <f>IFERROR(IF(F479="","",IF(F479&gt;=C479/(1-SKU_Base!Z479)/(1-Settings!$B$17),"OK",IF(F479&gt;=C479/(1-SKU_Base!AG479)/(1-Settings!$B$17),"WARN","STOP"))),"")</f>
        <v/>
      </c>
      <c r="J479" s="160">
        <f>IFERROR(ROUND(D479*(1-CHOOSE(MATCH(IF($E479="","Основний",$E479),{"Трафіковий","Основний","Маржинальний","Сезонний","Стратегічний"},0),Settings!$C$78,Settings!$C$80,Settings!$C$82,Settings!$C$84,Settings!$C$86))/6,2)*6,"")</f>
        <v/>
      </c>
      <c r="K479" s="142">
        <f>IFERROR(CHOOSE(MATCH(IF($E479="","Основний",$E479),{"Трафіковий","Основний","Маржинальний","Сезонний","Стратегічний"},0),Settings!$C$78,Settings!$C$80,Settings!$C$82,Settings!$C$84,Settings!$C$86),"")</f>
        <v/>
      </c>
      <c r="L479" s="148">
        <f>IFERROR((J479*(1-Settings!$C$17)-C479)/(J479*(1-Settings!$C$17)),"")</f>
        <v/>
      </c>
      <c r="M479" s="149">
        <f>IFERROR(IF(J479="","",IF(J479&gt;=C479/(1-SKU_Base!AA479)/(1-Settings!$C$17),"OK",IF(J479&gt;=C479/(1-SKU_Base!AH479)/(1-Settings!$C$17),"WARN","STOP"))),"")</f>
        <v/>
      </c>
      <c r="N479" s="161">
        <f>IFERROR(ROUND(D479*(1-CHOOSE(MATCH(IF($E479="","Основний",$E479),{"Трафіковий","Основний","Маржинальний","Сезонний","Стратегічний"},0),Settings!$D$78,Settings!$D$80,Settings!$D$82,Settings!$D$84,Settings!$D$86))/6,2)*6,"")</f>
        <v/>
      </c>
      <c r="O479" s="142">
        <f>IFERROR(CHOOSE(MATCH(IF($E479="","Основний",$E479),{"Трафіковий","Основний","Маржинальний","Сезонний","Стратегічний"},0),Settings!$D$78,Settings!$D$80,Settings!$D$82,Settings!$D$84,Settings!$D$86),"")</f>
        <v/>
      </c>
      <c r="P479" s="148">
        <f>IFERROR((N479*(1-Settings!$D$17)-C479)/(N479*(1-Settings!$D$17)),"")</f>
        <v/>
      </c>
      <c r="Q479" s="149">
        <f>IFERROR(IF(N479="","",IF(N479&gt;=C479/(1-SKU_Base!AB479)/(1-Settings!$D$17),"OK",IF(N479&gt;=C479/(1-SKU_Base!AI479)/(1-Settings!$D$17),"WARN","STOP"))),"")</f>
        <v/>
      </c>
      <c r="R479" s="161">
        <f>IFERROR(ROUND(D479*(1-CHOOSE(MATCH(IF($E479="","Основний",$E479),{"Трафіковий","Основний","Маржинальний","Сезонний","Стратегічний"},0),Settings!$E$78,Settings!$E$80,Settings!$E$82,Settings!$E$84,Settings!$E$86))/6,2)*6,"")</f>
        <v/>
      </c>
      <c r="S479" s="142">
        <f>IFERROR(CHOOSE(MATCH(IF($E479="","Основний",$E479),{"Трафіковий","Основний","Маржинальний","Сезонний","Стратегічний"},0),Settings!$E$78,Settings!$E$80,Settings!$E$82,Settings!$E$84,Settings!$E$86),"")</f>
        <v/>
      </c>
      <c r="T479" s="148">
        <f>IFERROR((R479*(1-Settings!$E$17)-C479)/(R479*(1-Settings!$E$17)),"")</f>
        <v/>
      </c>
      <c r="U479" s="149">
        <f>IFERROR(IF(R479="","",IF(R479&gt;=C479/(1-SKU_Base!AC479)/(1-Settings!$E$17),"OK",IF(R479&gt;=C479/(1-SKU_Base!AJ479)/(1-Settings!$E$17),"WARN","STOP"))),"")</f>
        <v/>
      </c>
      <c r="V479" s="161">
        <f>IFERROR(ROUND(D479*(1-CHOOSE(MATCH(IF($E479="","Основний",$E479),{"Трафіковий","Основний","Маржинальний","Сезонний","Стратегічний"},0),Settings!$F$78,Settings!$F$80,Settings!$F$82,Settings!$F$84,Settings!$F$86))/6,2)*6,"")</f>
        <v/>
      </c>
      <c r="W479" s="142">
        <f>IFERROR(CHOOSE(MATCH(IF($E479="","Основний",$E479),{"Трафіковий","Основний","Маржинальний","Сезонний","Стратегічний"},0),Settings!$F$78,Settings!$F$80,Settings!$F$82,Settings!$F$84,Settings!$F$86),"")</f>
        <v/>
      </c>
      <c r="X479" s="148">
        <f>IFERROR((V479*(1-Settings!$F$17)-C479)/(V479*(1-Settings!$F$17)),"")</f>
        <v/>
      </c>
      <c r="Y479" s="149">
        <f>IFERROR(IF(V479="","",IF(V479&gt;=C479/(1-SKU_Base!AD479)/(1-Settings!$F$17),"OK",IF(V479&gt;=C479/(1-SKU_Base!AK479)/(1-Settings!$F$17),"WARN","STOP"))),"")</f>
        <v/>
      </c>
      <c r="Z479" s="161">
        <f>IFERROR(ROUND(D479*(1-CHOOSE(MATCH(IF($E479="","Основний",$E479),{"Трафіковий","Основний","Маржинальний","Сезонний","Стратегічний"},0),Settings!$G$78,Settings!$G$80,Settings!$G$82,Settings!$G$84,Settings!$G$86))/6,2)*6,"")</f>
        <v/>
      </c>
      <c r="AA479" s="142">
        <f>IFERROR(CHOOSE(MATCH(IF($E479="","Основний",$E479),{"Трафіковий","Основний","Маржинальний","Сезонний","Стратегічний"},0),Settings!$G$78,Settings!$G$80,Settings!$G$82,Settings!$G$84,Settings!$G$86),"")</f>
        <v/>
      </c>
      <c r="AB479" s="148">
        <f>IFERROR((Z479*(1-Settings!$G$17)-C479)/(Z479*(1-Settings!$G$17)),"")</f>
        <v/>
      </c>
      <c r="AC479" s="149">
        <f>IFERROR(IF(Z479="","",IF(Z479&gt;=C479/(1-SKU_Base!AE479)/(1-Settings!$G$17),"OK",IF(Z479&gt;=C479/(1-SKU_Base!AL479)/(1-Settings!$G$17),"WARN","STOP"))),"")</f>
        <v/>
      </c>
      <c r="AD479" s="161">
        <f>IFERROR(ROUND(D479*(1-CHOOSE(MATCH(IF($E479="","Основний",$E479),{"Трафіковий","Основний","Маржинальний","Сезонний","Стратегічний"},0),Settings!$H$78,Settings!$H$80,Settings!$H$82,Settings!$H$84,Settings!$H$86))*(1-Settings!$H$68)/6,2)*6,"")</f>
        <v/>
      </c>
      <c r="AE479" s="142">
        <f>IFERROR(CHOOSE(MATCH(IF($E479="","Основний",$E479),{"Трафіковий","Основний","Маржинальний","Сезонний","Стратегічний"},0),Settings!$H$78,Settings!$H$80,Settings!$H$82,Settings!$H$84,Settings!$H$86)+(1-(CHOOSE(MATCH(IF($E479="","Основний",$E479),{"Трафіковий","Основний","Маржинальний","Сезонний","Стратегічний"},0),Settings!$H$78,Settings!$H$80,Settings!$H$82,Settings!$H$84,Settings!$H$86)))*Settings!$H$68,"")</f>
        <v/>
      </c>
      <c r="AF479" s="148">
        <f>IFERROR((AD479*(1-Settings!$H$17)-C479)/(AD479*(1-Settings!$H$17)),"")</f>
        <v/>
      </c>
      <c r="AG479" s="150">
        <f>IFERROR(IF(AD479="","",IF(AD479&gt;=C479/(1-SKU_Base!AF479)/(1-Settings!$H$17),"OK",IF(AD479&gt;=C479/(1-SKU_Base!AM479)/(1-Settings!$H$17),"WARN","STOP"))),"")</f>
        <v/>
      </c>
    </row>
    <row r="480" ht="17" customHeight="1" s="179">
      <c r="A480" s="139">
        <f>SKU_Base!B480</f>
        <v/>
      </c>
      <c r="B480" s="139">
        <f>SKU_Base!C480</f>
        <v/>
      </c>
      <c r="C480" s="140">
        <f>IFERROR(SKU_Base!I480,"")</f>
        <v/>
      </c>
      <c r="D480" s="163">
        <f>IFERROR(SKU_Base!T480,"")</f>
        <v/>
      </c>
      <c r="E480" s="141">
        <f>IFERROR(SKU_Base!$U480,"")</f>
        <v/>
      </c>
      <c r="F480" s="158">
        <f>IFERROR(ROUND(D480*(1-CHOOSE(MATCH(IF($E480="","Основний",$E480),{"Трафіковий","Основний","Маржинальний","Сезонний","Стратегічний"},0),Settings!$B$78,Settings!$B$80,Settings!$B$82,Settings!$B$84,Settings!$B$86))/6,2)*6,"")</f>
        <v/>
      </c>
      <c r="G480" s="142">
        <f>IFERROR(CHOOSE(MATCH(IF($E480="","Основний",$E480),{"Трафіковий","Основний","Маржинальний","Сезонний","Стратегічний"},0),Settings!$B$78,Settings!$B$80,Settings!$B$82,Settings!$B$84,Settings!$B$86),"")</f>
        <v/>
      </c>
      <c r="H480" s="143">
        <f>IFERROR((F480*(1-Settings!$B$17)-C480)/(F480*(1-Settings!$B$17)),"")</f>
        <v/>
      </c>
      <c r="I480" s="149">
        <f>IFERROR(IF(F480="","",IF(F480&gt;=C480/(1-SKU_Base!Z480)/(1-Settings!$B$17),"OK",IF(F480&gt;=C480/(1-SKU_Base!AG480)/(1-Settings!$B$17),"WARN","STOP"))),"")</f>
        <v/>
      </c>
      <c r="J480" s="158">
        <f>IFERROR(ROUND(D480*(1-CHOOSE(MATCH(IF($E480="","Основний",$E480),{"Трафіковий","Основний","Маржинальний","Сезонний","Стратегічний"},0),Settings!$C$78,Settings!$C$80,Settings!$C$82,Settings!$C$84,Settings!$C$86))/6,2)*6,"")</f>
        <v/>
      </c>
      <c r="K480" s="142">
        <f>IFERROR(CHOOSE(MATCH(IF($E480="","Основний",$E480),{"Трафіковий","Основний","Маржинальний","Сезонний","Стратегічний"},0),Settings!$C$78,Settings!$C$80,Settings!$C$82,Settings!$C$84,Settings!$C$86),"")</f>
        <v/>
      </c>
      <c r="L480" s="143">
        <f>IFERROR((J480*(1-Settings!$C$17)-C480)/(J480*(1-Settings!$C$17)),"")</f>
        <v/>
      </c>
      <c r="M480" s="149">
        <f>IFERROR(IF(J480="","",IF(J480&gt;=C480/(1-SKU_Base!AA480)/(1-Settings!$C$17),"OK",IF(J480&gt;=C480/(1-SKU_Base!AH480)/(1-Settings!$C$17),"WARN","STOP"))),"")</f>
        <v/>
      </c>
      <c r="N480" s="159">
        <f>IFERROR(ROUND(D480*(1-CHOOSE(MATCH(IF($E480="","Основний",$E480),{"Трафіковий","Основний","Маржинальний","Сезонний","Стратегічний"},0),Settings!$D$78,Settings!$D$80,Settings!$D$82,Settings!$D$84,Settings!$D$86))/6,2)*6,"")</f>
        <v/>
      </c>
      <c r="O480" s="142">
        <f>IFERROR(CHOOSE(MATCH(IF($E480="","Основний",$E480),{"Трафіковий","Основний","Маржинальний","Сезонний","Стратегічний"},0),Settings!$D$78,Settings!$D$80,Settings!$D$82,Settings!$D$84,Settings!$D$86),"")</f>
        <v/>
      </c>
      <c r="P480" s="143">
        <f>IFERROR((N480*(1-Settings!$D$17)-C480)/(N480*(1-Settings!$D$17)),"")</f>
        <v/>
      </c>
      <c r="Q480" s="149">
        <f>IFERROR(IF(N480="","",IF(N480&gt;=C480/(1-SKU_Base!AB480)/(1-Settings!$D$17),"OK",IF(N480&gt;=C480/(1-SKU_Base!AI480)/(1-Settings!$D$17),"WARN","STOP"))),"")</f>
        <v/>
      </c>
      <c r="R480" s="159">
        <f>IFERROR(ROUND(D480*(1-CHOOSE(MATCH(IF($E480="","Основний",$E480),{"Трафіковий","Основний","Маржинальний","Сезонний","Стратегічний"},0),Settings!$E$78,Settings!$E$80,Settings!$E$82,Settings!$E$84,Settings!$E$86))/6,2)*6,"")</f>
        <v/>
      </c>
      <c r="S480" s="142">
        <f>IFERROR(CHOOSE(MATCH(IF($E480="","Основний",$E480),{"Трафіковий","Основний","Маржинальний","Сезонний","Стратегічний"},0),Settings!$E$78,Settings!$E$80,Settings!$E$82,Settings!$E$84,Settings!$E$86),"")</f>
        <v/>
      </c>
      <c r="T480" s="143">
        <f>IFERROR((R480*(1-Settings!$E$17)-C480)/(R480*(1-Settings!$E$17)),"")</f>
        <v/>
      </c>
      <c r="U480" s="149">
        <f>IFERROR(IF(R480="","",IF(R480&gt;=C480/(1-SKU_Base!AC480)/(1-Settings!$E$17),"OK",IF(R480&gt;=C480/(1-SKU_Base!AJ480)/(1-Settings!$E$17),"WARN","STOP"))),"")</f>
        <v/>
      </c>
      <c r="V480" s="159">
        <f>IFERROR(ROUND(D480*(1-CHOOSE(MATCH(IF($E480="","Основний",$E480),{"Трафіковий","Основний","Маржинальний","Сезонний","Стратегічний"},0),Settings!$F$78,Settings!$F$80,Settings!$F$82,Settings!$F$84,Settings!$F$86))/6,2)*6,"")</f>
        <v/>
      </c>
      <c r="W480" s="142">
        <f>IFERROR(CHOOSE(MATCH(IF($E480="","Основний",$E480),{"Трафіковий","Основний","Маржинальний","Сезонний","Стратегічний"},0),Settings!$F$78,Settings!$F$80,Settings!$F$82,Settings!$F$84,Settings!$F$86),"")</f>
        <v/>
      </c>
      <c r="X480" s="143">
        <f>IFERROR((V480*(1-Settings!$F$17)-C480)/(V480*(1-Settings!$F$17)),"")</f>
        <v/>
      </c>
      <c r="Y480" s="149">
        <f>IFERROR(IF(V480="","",IF(V480&gt;=C480/(1-SKU_Base!AD480)/(1-Settings!$F$17),"OK",IF(V480&gt;=C480/(1-SKU_Base!AK480)/(1-Settings!$F$17),"WARN","STOP"))),"")</f>
        <v/>
      </c>
      <c r="Z480" s="159">
        <f>IFERROR(ROUND(D480*(1-CHOOSE(MATCH(IF($E480="","Основний",$E480),{"Трафіковий","Основний","Маржинальний","Сезонний","Стратегічний"},0),Settings!$G$78,Settings!$G$80,Settings!$G$82,Settings!$G$84,Settings!$G$86))/6,2)*6,"")</f>
        <v/>
      </c>
      <c r="AA480" s="142">
        <f>IFERROR(CHOOSE(MATCH(IF($E480="","Основний",$E480),{"Трафіковий","Основний","Маржинальний","Сезонний","Стратегічний"},0),Settings!$G$78,Settings!$G$80,Settings!$G$82,Settings!$G$84,Settings!$G$86),"")</f>
        <v/>
      </c>
      <c r="AB480" s="143">
        <f>IFERROR((Z480*(1-Settings!$G$17)-C480)/(Z480*(1-Settings!$G$17)),"")</f>
        <v/>
      </c>
      <c r="AC480" s="149">
        <f>IFERROR(IF(Z480="","",IF(Z480&gt;=C480/(1-SKU_Base!AE480)/(1-Settings!$G$17),"OK",IF(Z480&gt;=C480/(1-SKU_Base!AL480)/(1-Settings!$G$17),"WARN","STOP"))),"")</f>
        <v/>
      </c>
      <c r="AD480" s="159">
        <f>IFERROR(ROUND(D480*(1-CHOOSE(MATCH(IF($E480="","Основний",$E480),{"Трафіковий","Основний","Маржинальний","Сезонний","Стратегічний"},0),Settings!$H$78,Settings!$H$80,Settings!$H$82,Settings!$H$84,Settings!$H$86))*(1-Settings!$H$68)/6,2)*6,"")</f>
        <v/>
      </c>
      <c r="AE480" s="142">
        <f>IFERROR(CHOOSE(MATCH(IF($E480="","Основний",$E480),{"Трафіковий","Основний","Маржинальний","Сезонний","Стратегічний"},0),Settings!$H$78,Settings!$H$80,Settings!$H$82,Settings!$H$84,Settings!$H$86)+(1-(CHOOSE(MATCH(IF($E480="","Основний",$E480),{"Трафіковий","Основний","Маржинальний","Сезонний","Стратегічний"},0),Settings!$H$78,Settings!$H$80,Settings!$H$82,Settings!$H$84,Settings!$H$86)))*Settings!$H$68,"")</f>
        <v/>
      </c>
      <c r="AF480" s="143">
        <f>IFERROR((AD480*(1-Settings!$H$17)-C480)/(AD480*(1-Settings!$H$17)),"")</f>
        <v/>
      </c>
      <c r="AG480" s="150">
        <f>IFERROR(IF(AD480="","",IF(AD480&gt;=C480/(1-SKU_Base!AF480)/(1-Settings!$H$17),"OK",IF(AD480&gt;=C480/(1-SKU_Base!AM480)/(1-Settings!$H$17),"WARN","STOP"))),"")</f>
        <v/>
      </c>
    </row>
    <row r="481" ht="17" customHeight="1" s="179">
      <c r="A481" s="146">
        <f>SKU_Base!B481</f>
        <v/>
      </c>
      <c r="B481" s="146">
        <f>SKU_Base!C481</f>
        <v/>
      </c>
      <c r="C481" s="147">
        <f>IFERROR(SKU_Base!I481,"")</f>
        <v/>
      </c>
      <c r="D481" s="164">
        <f>IFERROR(SKU_Base!T481,"")</f>
        <v/>
      </c>
      <c r="E481" s="141">
        <f>IFERROR(SKU_Base!$U481,"")</f>
        <v/>
      </c>
      <c r="F481" s="160">
        <f>IFERROR(ROUND(D481*(1-CHOOSE(MATCH(IF($E481="","Основний",$E481),{"Трафіковий","Основний","Маржинальний","Сезонний","Стратегічний"},0),Settings!$B$78,Settings!$B$80,Settings!$B$82,Settings!$B$84,Settings!$B$86))/6,2)*6,"")</f>
        <v/>
      </c>
      <c r="G481" s="142">
        <f>IFERROR(CHOOSE(MATCH(IF($E481="","Основний",$E481),{"Трафіковий","Основний","Маржинальний","Сезонний","Стратегічний"},0),Settings!$B$78,Settings!$B$80,Settings!$B$82,Settings!$B$84,Settings!$B$86),"")</f>
        <v/>
      </c>
      <c r="H481" s="148">
        <f>IFERROR((F481*(1-Settings!$B$17)-C481)/(F481*(1-Settings!$B$17)),"")</f>
        <v/>
      </c>
      <c r="I481" s="149">
        <f>IFERROR(IF(F481="","",IF(F481&gt;=C481/(1-SKU_Base!Z481)/(1-Settings!$B$17),"OK",IF(F481&gt;=C481/(1-SKU_Base!AG481)/(1-Settings!$B$17),"WARN","STOP"))),"")</f>
        <v/>
      </c>
      <c r="J481" s="160">
        <f>IFERROR(ROUND(D481*(1-CHOOSE(MATCH(IF($E481="","Основний",$E481),{"Трафіковий","Основний","Маржинальний","Сезонний","Стратегічний"},0),Settings!$C$78,Settings!$C$80,Settings!$C$82,Settings!$C$84,Settings!$C$86))/6,2)*6,"")</f>
        <v/>
      </c>
      <c r="K481" s="142">
        <f>IFERROR(CHOOSE(MATCH(IF($E481="","Основний",$E481),{"Трафіковий","Основний","Маржинальний","Сезонний","Стратегічний"},0),Settings!$C$78,Settings!$C$80,Settings!$C$82,Settings!$C$84,Settings!$C$86),"")</f>
        <v/>
      </c>
      <c r="L481" s="148">
        <f>IFERROR((J481*(1-Settings!$C$17)-C481)/(J481*(1-Settings!$C$17)),"")</f>
        <v/>
      </c>
      <c r="M481" s="149">
        <f>IFERROR(IF(J481="","",IF(J481&gt;=C481/(1-SKU_Base!AA481)/(1-Settings!$C$17),"OK",IF(J481&gt;=C481/(1-SKU_Base!AH481)/(1-Settings!$C$17),"WARN","STOP"))),"")</f>
        <v/>
      </c>
      <c r="N481" s="161">
        <f>IFERROR(ROUND(D481*(1-CHOOSE(MATCH(IF($E481="","Основний",$E481),{"Трафіковий","Основний","Маржинальний","Сезонний","Стратегічний"},0),Settings!$D$78,Settings!$D$80,Settings!$D$82,Settings!$D$84,Settings!$D$86))/6,2)*6,"")</f>
        <v/>
      </c>
      <c r="O481" s="142">
        <f>IFERROR(CHOOSE(MATCH(IF($E481="","Основний",$E481),{"Трафіковий","Основний","Маржинальний","Сезонний","Стратегічний"},0),Settings!$D$78,Settings!$D$80,Settings!$D$82,Settings!$D$84,Settings!$D$86),"")</f>
        <v/>
      </c>
      <c r="P481" s="148">
        <f>IFERROR((N481*(1-Settings!$D$17)-C481)/(N481*(1-Settings!$D$17)),"")</f>
        <v/>
      </c>
      <c r="Q481" s="149">
        <f>IFERROR(IF(N481="","",IF(N481&gt;=C481/(1-SKU_Base!AB481)/(1-Settings!$D$17),"OK",IF(N481&gt;=C481/(1-SKU_Base!AI481)/(1-Settings!$D$17),"WARN","STOP"))),"")</f>
        <v/>
      </c>
      <c r="R481" s="161">
        <f>IFERROR(ROUND(D481*(1-CHOOSE(MATCH(IF($E481="","Основний",$E481),{"Трафіковий","Основний","Маржинальний","Сезонний","Стратегічний"},0),Settings!$E$78,Settings!$E$80,Settings!$E$82,Settings!$E$84,Settings!$E$86))/6,2)*6,"")</f>
        <v/>
      </c>
      <c r="S481" s="142">
        <f>IFERROR(CHOOSE(MATCH(IF($E481="","Основний",$E481),{"Трафіковий","Основний","Маржинальний","Сезонний","Стратегічний"},0),Settings!$E$78,Settings!$E$80,Settings!$E$82,Settings!$E$84,Settings!$E$86),"")</f>
        <v/>
      </c>
      <c r="T481" s="148">
        <f>IFERROR((R481*(1-Settings!$E$17)-C481)/(R481*(1-Settings!$E$17)),"")</f>
        <v/>
      </c>
      <c r="U481" s="149">
        <f>IFERROR(IF(R481="","",IF(R481&gt;=C481/(1-SKU_Base!AC481)/(1-Settings!$E$17),"OK",IF(R481&gt;=C481/(1-SKU_Base!AJ481)/(1-Settings!$E$17),"WARN","STOP"))),"")</f>
        <v/>
      </c>
      <c r="V481" s="161">
        <f>IFERROR(ROUND(D481*(1-CHOOSE(MATCH(IF($E481="","Основний",$E481),{"Трафіковий","Основний","Маржинальний","Сезонний","Стратегічний"},0),Settings!$F$78,Settings!$F$80,Settings!$F$82,Settings!$F$84,Settings!$F$86))/6,2)*6,"")</f>
        <v/>
      </c>
      <c r="W481" s="142">
        <f>IFERROR(CHOOSE(MATCH(IF($E481="","Основний",$E481),{"Трафіковий","Основний","Маржинальний","Сезонний","Стратегічний"},0),Settings!$F$78,Settings!$F$80,Settings!$F$82,Settings!$F$84,Settings!$F$86),"")</f>
        <v/>
      </c>
      <c r="X481" s="148">
        <f>IFERROR((V481*(1-Settings!$F$17)-C481)/(V481*(1-Settings!$F$17)),"")</f>
        <v/>
      </c>
      <c r="Y481" s="149">
        <f>IFERROR(IF(V481="","",IF(V481&gt;=C481/(1-SKU_Base!AD481)/(1-Settings!$F$17),"OK",IF(V481&gt;=C481/(1-SKU_Base!AK481)/(1-Settings!$F$17),"WARN","STOP"))),"")</f>
        <v/>
      </c>
      <c r="Z481" s="161">
        <f>IFERROR(ROUND(D481*(1-CHOOSE(MATCH(IF($E481="","Основний",$E481),{"Трафіковий","Основний","Маржинальний","Сезонний","Стратегічний"},0),Settings!$G$78,Settings!$G$80,Settings!$G$82,Settings!$G$84,Settings!$G$86))/6,2)*6,"")</f>
        <v/>
      </c>
      <c r="AA481" s="142">
        <f>IFERROR(CHOOSE(MATCH(IF($E481="","Основний",$E481),{"Трафіковий","Основний","Маржинальний","Сезонний","Стратегічний"},0),Settings!$G$78,Settings!$G$80,Settings!$G$82,Settings!$G$84,Settings!$G$86),"")</f>
        <v/>
      </c>
      <c r="AB481" s="148">
        <f>IFERROR((Z481*(1-Settings!$G$17)-C481)/(Z481*(1-Settings!$G$17)),"")</f>
        <v/>
      </c>
      <c r="AC481" s="149">
        <f>IFERROR(IF(Z481="","",IF(Z481&gt;=C481/(1-SKU_Base!AE481)/(1-Settings!$G$17),"OK",IF(Z481&gt;=C481/(1-SKU_Base!AL481)/(1-Settings!$G$17),"WARN","STOP"))),"")</f>
        <v/>
      </c>
      <c r="AD481" s="161">
        <f>IFERROR(ROUND(D481*(1-CHOOSE(MATCH(IF($E481="","Основний",$E481),{"Трафіковий","Основний","Маржинальний","Сезонний","Стратегічний"},0),Settings!$H$78,Settings!$H$80,Settings!$H$82,Settings!$H$84,Settings!$H$86))*(1-Settings!$H$68)/6,2)*6,"")</f>
        <v/>
      </c>
      <c r="AE481" s="142">
        <f>IFERROR(CHOOSE(MATCH(IF($E481="","Основний",$E481),{"Трафіковий","Основний","Маржинальний","Сезонний","Стратегічний"},0),Settings!$H$78,Settings!$H$80,Settings!$H$82,Settings!$H$84,Settings!$H$86)+(1-(CHOOSE(MATCH(IF($E481="","Основний",$E481),{"Трафіковий","Основний","Маржинальний","Сезонний","Стратегічний"},0),Settings!$H$78,Settings!$H$80,Settings!$H$82,Settings!$H$84,Settings!$H$86)))*Settings!$H$68,"")</f>
        <v/>
      </c>
      <c r="AF481" s="148">
        <f>IFERROR((AD481*(1-Settings!$H$17)-C481)/(AD481*(1-Settings!$H$17)),"")</f>
        <v/>
      </c>
      <c r="AG481" s="150">
        <f>IFERROR(IF(AD481="","",IF(AD481&gt;=C481/(1-SKU_Base!AF481)/(1-Settings!$H$17),"OK",IF(AD481&gt;=C481/(1-SKU_Base!AM481)/(1-Settings!$H$17),"WARN","STOP"))),"")</f>
        <v/>
      </c>
    </row>
    <row r="482" ht="17" customHeight="1" s="179">
      <c r="A482" s="139">
        <f>SKU_Base!B482</f>
        <v/>
      </c>
      <c r="B482" s="139">
        <f>SKU_Base!C482</f>
        <v/>
      </c>
      <c r="C482" s="140">
        <f>IFERROR(SKU_Base!I482,"")</f>
        <v/>
      </c>
      <c r="D482" s="163">
        <f>IFERROR(SKU_Base!T482,"")</f>
        <v/>
      </c>
      <c r="E482" s="141">
        <f>IFERROR(SKU_Base!$U482,"")</f>
        <v/>
      </c>
      <c r="F482" s="158">
        <f>IFERROR(ROUND(D482*(1-CHOOSE(MATCH(IF($E482="","Основний",$E482),{"Трафіковий","Основний","Маржинальний","Сезонний","Стратегічний"},0),Settings!$B$78,Settings!$B$80,Settings!$B$82,Settings!$B$84,Settings!$B$86))/6,2)*6,"")</f>
        <v/>
      </c>
      <c r="G482" s="142">
        <f>IFERROR(CHOOSE(MATCH(IF($E482="","Основний",$E482),{"Трафіковий","Основний","Маржинальний","Сезонний","Стратегічний"},0),Settings!$B$78,Settings!$B$80,Settings!$B$82,Settings!$B$84,Settings!$B$86),"")</f>
        <v/>
      </c>
      <c r="H482" s="143">
        <f>IFERROR((F482*(1-Settings!$B$17)-C482)/(F482*(1-Settings!$B$17)),"")</f>
        <v/>
      </c>
      <c r="I482" s="149">
        <f>IFERROR(IF(F482="","",IF(F482&gt;=C482/(1-SKU_Base!Z482)/(1-Settings!$B$17),"OK",IF(F482&gt;=C482/(1-SKU_Base!AG482)/(1-Settings!$B$17),"WARN","STOP"))),"")</f>
        <v/>
      </c>
      <c r="J482" s="158">
        <f>IFERROR(ROUND(D482*(1-CHOOSE(MATCH(IF($E482="","Основний",$E482),{"Трафіковий","Основний","Маржинальний","Сезонний","Стратегічний"},0),Settings!$C$78,Settings!$C$80,Settings!$C$82,Settings!$C$84,Settings!$C$86))/6,2)*6,"")</f>
        <v/>
      </c>
      <c r="K482" s="142">
        <f>IFERROR(CHOOSE(MATCH(IF($E482="","Основний",$E482),{"Трафіковий","Основний","Маржинальний","Сезонний","Стратегічний"},0),Settings!$C$78,Settings!$C$80,Settings!$C$82,Settings!$C$84,Settings!$C$86),"")</f>
        <v/>
      </c>
      <c r="L482" s="143">
        <f>IFERROR((J482*(1-Settings!$C$17)-C482)/(J482*(1-Settings!$C$17)),"")</f>
        <v/>
      </c>
      <c r="M482" s="149">
        <f>IFERROR(IF(J482="","",IF(J482&gt;=C482/(1-SKU_Base!AA482)/(1-Settings!$C$17),"OK",IF(J482&gt;=C482/(1-SKU_Base!AH482)/(1-Settings!$C$17),"WARN","STOP"))),"")</f>
        <v/>
      </c>
      <c r="N482" s="159">
        <f>IFERROR(ROUND(D482*(1-CHOOSE(MATCH(IF($E482="","Основний",$E482),{"Трафіковий","Основний","Маржинальний","Сезонний","Стратегічний"},0),Settings!$D$78,Settings!$D$80,Settings!$D$82,Settings!$D$84,Settings!$D$86))/6,2)*6,"")</f>
        <v/>
      </c>
      <c r="O482" s="142">
        <f>IFERROR(CHOOSE(MATCH(IF($E482="","Основний",$E482),{"Трафіковий","Основний","Маржинальний","Сезонний","Стратегічний"},0),Settings!$D$78,Settings!$D$80,Settings!$D$82,Settings!$D$84,Settings!$D$86),"")</f>
        <v/>
      </c>
      <c r="P482" s="143">
        <f>IFERROR((N482*(1-Settings!$D$17)-C482)/(N482*(1-Settings!$D$17)),"")</f>
        <v/>
      </c>
      <c r="Q482" s="149">
        <f>IFERROR(IF(N482="","",IF(N482&gt;=C482/(1-SKU_Base!AB482)/(1-Settings!$D$17),"OK",IF(N482&gt;=C482/(1-SKU_Base!AI482)/(1-Settings!$D$17),"WARN","STOP"))),"")</f>
        <v/>
      </c>
      <c r="R482" s="159">
        <f>IFERROR(ROUND(D482*(1-CHOOSE(MATCH(IF($E482="","Основний",$E482),{"Трафіковий","Основний","Маржинальний","Сезонний","Стратегічний"},0),Settings!$E$78,Settings!$E$80,Settings!$E$82,Settings!$E$84,Settings!$E$86))/6,2)*6,"")</f>
        <v/>
      </c>
      <c r="S482" s="142">
        <f>IFERROR(CHOOSE(MATCH(IF($E482="","Основний",$E482),{"Трафіковий","Основний","Маржинальний","Сезонний","Стратегічний"},0),Settings!$E$78,Settings!$E$80,Settings!$E$82,Settings!$E$84,Settings!$E$86),"")</f>
        <v/>
      </c>
      <c r="T482" s="143">
        <f>IFERROR((R482*(1-Settings!$E$17)-C482)/(R482*(1-Settings!$E$17)),"")</f>
        <v/>
      </c>
      <c r="U482" s="149">
        <f>IFERROR(IF(R482="","",IF(R482&gt;=C482/(1-SKU_Base!AC482)/(1-Settings!$E$17),"OK",IF(R482&gt;=C482/(1-SKU_Base!AJ482)/(1-Settings!$E$17),"WARN","STOP"))),"")</f>
        <v/>
      </c>
      <c r="V482" s="159">
        <f>IFERROR(ROUND(D482*(1-CHOOSE(MATCH(IF($E482="","Основний",$E482),{"Трафіковий","Основний","Маржинальний","Сезонний","Стратегічний"},0),Settings!$F$78,Settings!$F$80,Settings!$F$82,Settings!$F$84,Settings!$F$86))/6,2)*6,"")</f>
        <v/>
      </c>
      <c r="W482" s="142">
        <f>IFERROR(CHOOSE(MATCH(IF($E482="","Основний",$E482),{"Трафіковий","Основний","Маржинальний","Сезонний","Стратегічний"},0),Settings!$F$78,Settings!$F$80,Settings!$F$82,Settings!$F$84,Settings!$F$86),"")</f>
        <v/>
      </c>
      <c r="X482" s="143">
        <f>IFERROR((V482*(1-Settings!$F$17)-C482)/(V482*(1-Settings!$F$17)),"")</f>
        <v/>
      </c>
      <c r="Y482" s="149">
        <f>IFERROR(IF(V482="","",IF(V482&gt;=C482/(1-SKU_Base!AD482)/(1-Settings!$F$17),"OK",IF(V482&gt;=C482/(1-SKU_Base!AK482)/(1-Settings!$F$17),"WARN","STOP"))),"")</f>
        <v/>
      </c>
      <c r="Z482" s="159">
        <f>IFERROR(ROUND(D482*(1-CHOOSE(MATCH(IF($E482="","Основний",$E482),{"Трафіковий","Основний","Маржинальний","Сезонний","Стратегічний"},0),Settings!$G$78,Settings!$G$80,Settings!$G$82,Settings!$G$84,Settings!$G$86))/6,2)*6,"")</f>
        <v/>
      </c>
      <c r="AA482" s="142">
        <f>IFERROR(CHOOSE(MATCH(IF($E482="","Основний",$E482),{"Трафіковий","Основний","Маржинальний","Сезонний","Стратегічний"},0),Settings!$G$78,Settings!$G$80,Settings!$G$82,Settings!$G$84,Settings!$G$86),"")</f>
        <v/>
      </c>
      <c r="AB482" s="143">
        <f>IFERROR((Z482*(1-Settings!$G$17)-C482)/(Z482*(1-Settings!$G$17)),"")</f>
        <v/>
      </c>
      <c r="AC482" s="149">
        <f>IFERROR(IF(Z482="","",IF(Z482&gt;=C482/(1-SKU_Base!AE482)/(1-Settings!$G$17),"OK",IF(Z482&gt;=C482/(1-SKU_Base!AL482)/(1-Settings!$G$17),"WARN","STOP"))),"")</f>
        <v/>
      </c>
      <c r="AD482" s="159">
        <f>IFERROR(ROUND(D482*(1-CHOOSE(MATCH(IF($E482="","Основний",$E482),{"Трафіковий","Основний","Маржинальний","Сезонний","Стратегічний"},0),Settings!$H$78,Settings!$H$80,Settings!$H$82,Settings!$H$84,Settings!$H$86))*(1-Settings!$H$68)/6,2)*6,"")</f>
        <v/>
      </c>
      <c r="AE482" s="142">
        <f>IFERROR(CHOOSE(MATCH(IF($E482="","Основний",$E482),{"Трафіковий","Основний","Маржинальний","Сезонний","Стратегічний"},0),Settings!$H$78,Settings!$H$80,Settings!$H$82,Settings!$H$84,Settings!$H$86)+(1-(CHOOSE(MATCH(IF($E482="","Основний",$E482),{"Трафіковий","Основний","Маржинальний","Сезонний","Стратегічний"},0),Settings!$H$78,Settings!$H$80,Settings!$H$82,Settings!$H$84,Settings!$H$86)))*Settings!$H$68,"")</f>
        <v/>
      </c>
      <c r="AF482" s="143">
        <f>IFERROR((AD482*(1-Settings!$H$17)-C482)/(AD482*(1-Settings!$H$17)),"")</f>
        <v/>
      </c>
      <c r="AG482" s="150">
        <f>IFERROR(IF(AD482="","",IF(AD482&gt;=C482/(1-SKU_Base!AF482)/(1-Settings!$H$17),"OK",IF(AD482&gt;=C482/(1-SKU_Base!AM482)/(1-Settings!$H$17),"WARN","STOP"))),"")</f>
        <v/>
      </c>
    </row>
    <row r="483" ht="17" customHeight="1" s="179">
      <c r="A483" s="146">
        <f>SKU_Base!B483</f>
        <v/>
      </c>
      <c r="B483" s="146">
        <f>SKU_Base!C483</f>
        <v/>
      </c>
      <c r="C483" s="147">
        <f>IFERROR(SKU_Base!I483,"")</f>
        <v/>
      </c>
      <c r="D483" s="164">
        <f>IFERROR(SKU_Base!T483,"")</f>
        <v/>
      </c>
      <c r="E483" s="141">
        <f>IFERROR(SKU_Base!$U483,"")</f>
        <v/>
      </c>
      <c r="F483" s="160">
        <f>IFERROR(ROUND(D483*(1-CHOOSE(MATCH(IF($E483="","Основний",$E483),{"Трафіковий","Основний","Маржинальний","Сезонний","Стратегічний"},0),Settings!$B$78,Settings!$B$80,Settings!$B$82,Settings!$B$84,Settings!$B$86))/6,2)*6,"")</f>
        <v/>
      </c>
      <c r="G483" s="142">
        <f>IFERROR(CHOOSE(MATCH(IF($E483="","Основний",$E483),{"Трафіковий","Основний","Маржинальний","Сезонний","Стратегічний"},0),Settings!$B$78,Settings!$B$80,Settings!$B$82,Settings!$B$84,Settings!$B$86),"")</f>
        <v/>
      </c>
      <c r="H483" s="148">
        <f>IFERROR((F483*(1-Settings!$B$17)-C483)/(F483*(1-Settings!$B$17)),"")</f>
        <v/>
      </c>
      <c r="I483" s="149">
        <f>IFERROR(IF(F483="","",IF(F483&gt;=C483/(1-SKU_Base!Z483)/(1-Settings!$B$17),"OK",IF(F483&gt;=C483/(1-SKU_Base!AG483)/(1-Settings!$B$17),"WARN","STOP"))),"")</f>
        <v/>
      </c>
      <c r="J483" s="160">
        <f>IFERROR(ROUND(D483*(1-CHOOSE(MATCH(IF($E483="","Основний",$E483),{"Трафіковий","Основний","Маржинальний","Сезонний","Стратегічний"},0),Settings!$C$78,Settings!$C$80,Settings!$C$82,Settings!$C$84,Settings!$C$86))/6,2)*6,"")</f>
        <v/>
      </c>
      <c r="K483" s="142">
        <f>IFERROR(CHOOSE(MATCH(IF($E483="","Основний",$E483),{"Трафіковий","Основний","Маржинальний","Сезонний","Стратегічний"},0),Settings!$C$78,Settings!$C$80,Settings!$C$82,Settings!$C$84,Settings!$C$86),"")</f>
        <v/>
      </c>
      <c r="L483" s="148">
        <f>IFERROR((J483*(1-Settings!$C$17)-C483)/(J483*(1-Settings!$C$17)),"")</f>
        <v/>
      </c>
      <c r="M483" s="149">
        <f>IFERROR(IF(J483="","",IF(J483&gt;=C483/(1-SKU_Base!AA483)/(1-Settings!$C$17),"OK",IF(J483&gt;=C483/(1-SKU_Base!AH483)/(1-Settings!$C$17),"WARN","STOP"))),"")</f>
        <v/>
      </c>
      <c r="N483" s="161">
        <f>IFERROR(ROUND(D483*(1-CHOOSE(MATCH(IF($E483="","Основний",$E483),{"Трафіковий","Основний","Маржинальний","Сезонний","Стратегічний"},0),Settings!$D$78,Settings!$D$80,Settings!$D$82,Settings!$D$84,Settings!$D$86))/6,2)*6,"")</f>
        <v/>
      </c>
      <c r="O483" s="142">
        <f>IFERROR(CHOOSE(MATCH(IF($E483="","Основний",$E483),{"Трафіковий","Основний","Маржинальний","Сезонний","Стратегічний"},0),Settings!$D$78,Settings!$D$80,Settings!$D$82,Settings!$D$84,Settings!$D$86),"")</f>
        <v/>
      </c>
      <c r="P483" s="148">
        <f>IFERROR((N483*(1-Settings!$D$17)-C483)/(N483*(1-Settings!$D$17)),"")</f>
        <v/>
      </c>
      <c r="Q483" s="149">
        <f>IFERROR(IF(N483="","",IF(N483&gt;=C483/(1-SKU_Base!AB483)/(1-Settings!$D$17),"OK",IF(N483&gt;=C483/(1-SKU_Base!AI483)/(1-Settings!$D$17),"WARN","STOP"))),"")</f>
        <v/>
      </c>
      <c r="R483" s="161">
        <f>IFERROR(ROUND(D483*(1-CHOOSE(MATCH(IF($E483="","Основний",$E483),{"Трафіковий","Основний","Маржинальний","Сезонний","Стратегічний"},0),Settings!$E$78,Settings!$E$80,Settings!$E$82,Settings!$E$84,Settings!$E$86))/6,2)*6,"")</f>
        <v/>
      </c>
      <c r="S483" s="142">
        <f>IFERROR(CHOOSE(MATCH(IF($E483="","Основний",$E483),{"Трафіковий","Основний","Маржинальний","Сезонний","Стратегічний"},0),Settings!$E$78,Settings!$E$80,Settings!$E$82,Settings!$E$84,Settings!$E$86),"")</f>
        <v/>
      </c>
      <c r="T483" s="148">
        <f>IFERROR((R483*(1-Settings!$E$17)-C483)/(R483*(1-Settings!$E$17)),"")</f>
        <v/>
      </c>
      <c r="U483" s="149">
        <f>IFERROR(IF(R483="","",IF(R483&gt;=C483/(1-SKU_Base!AC483)/(1-Settings!$E$17),"OK",IF(R483&gt;=C483/(1-SKU_Base!AJ483)/(1-Settings!$E$17),"WARN","STOP"))),"")</f>
        <v/>
      </c>
      <c r="V483" s="161">
        <f>IFERROR(ROUND(D483*(1-CHOOSE(MATCH(IF($E483="","Основний",$E483),{"Трафіковий","Основний","Маржинальний","Сезонний","Стратегічний"},0),Settings!$F$78,Settings!$F$80,Settings!$F$82,Settings!$F$84,Settings!$F$86))/6,2)*6,"")</f>
        <v/>
      </c>
      <c r="W483" s="142">
        <f>IFERROR(CHOOSE(MATCH(IF($E483="","Основний",$E483),{"Трафіковий","Основний","Маржинальний","Сезонний","Стратегічний"},0),Settings!$F$78,Settings!$F$80,Settings!$F$82,Settings!$F$84,Settings!$F$86),"")</f>
        <v/>
      </c>
      <c r="X483" s="148">
        <f>IFERROR((V483*(1-Settings!$F$17)-C483)/(V483*(1-Settings!$F$17)),"")</f>
        <v/>
      </c>
      <c r="Y483" s="149">
        <f>IFERROR(IF(V483="","",IF(V483&gt;=C483/(1-SKU_Base!AD483)/(1-Settings!$F$17),"OK",IF(V483&gt;=C483/(1-SKU_Base!AK483)/(1-Settings!$F$17),"WARN","STOP"))),"")</f>
        <v/>
      </c>
      <c r="Z483" s="161">
        <f>IFERROR(ROUND(D483*(1-CHOOSE(MATCH(IF($E483="","Основний",$E483),{"Трафіковий","Основний","Маржинальний","Сезонний","Стратегічний"},0),Settings!$G$78,Settings!$G$80,Settings!$G$82,Settings!$G$84,Settings!$G$86))/6,2)*6,"")</f>
        <v/>
      </c>
      <c r="AA483" s="142">
        <f>IFERROR(CHOOSE(MATCH(IF($E483="","Основний",$E483),{"Трафіковий","Основний","Маржинальний","Сезонний","Стратегічний"},0),Settings!$G$78,Settings!$G$80,Settings!$G$82,Settings!$G$84,Settings!$G$86),"")</f>
        <v/>
      </c>
      <c r="AB483" s="148">
        <f>IFERROR((Z483*(1-Settings!$G$17)-C483)/(Z483*(1-Settings!$G$17)),"")</f>
        <v/>
      </c>
      <c r="AC483" s="149">
        <f>IFERROR(IF(Z483="","",IF(Z483&gt;=C483/(1-SKU_Base!AE483)/(1-Settings!$G$17),"OK",IF(Z483&gt;=C483/(1-SKU_Base!AL483)/(1-Settings!$G$17),"WARN","STOP"))),"")</f>
        <v/>
      </c>
      <c r="AD483" s="161">
        <f>IFERROR(ROUND(D483*(1-CHOOSE(MATCH(IF($E483="","Основний",$E483),{"Трафіковий","Основний","Маржинальний","Сезонний","Стратегічний"},0),Settings!$H$78,Settings!$H$80,Settings!$H$82,Settings!$H$84,Settings!$H$86))*(1-Settings!$H$68)/6,2)*6,"")</f>
        <v/>
      </c>
      <c r="AE483" s="142">
        <f>IFERROR(CHOOSE(MATCH(IF($E483="","Основний",$E483),{"Трафіковий","Основний","Маржинальний","Сезонний","Стратегічний"},0),Settings!$H$78,Settings!$H$80,Settings!$H$82,Settings!$H$84,Settings!$H$86)+(1-(CHOOSE(MATCH(IF($E483="","Основний",$E483),{"Трафіковий","Основний","Маржинальний","Сезонний","Стратегічний"},0),Settings!$H$78,Settings!$H$80,Settings!$H$82,Settings!$H$84,Settings!$H$86)))*Settings!$H$68,"")</f>
        <v/>
      </c>
      <c r="AF483" s="148">
        <f>IFERROR((AD483*(1-Settings!$H$17)-C483)/(AD483*(1-Settings!$H$17)),"")</f>
        <v/>
      </c>
      <c r="AG483" s="150">
        <f>IFERROR(IF(AD483="","",IF(AD483&gt;=C483/(1-SKU_Base!AF483)/(1-Settings!$H$17),"OK",IF(AD483&gt;=C483/(1-SKU_Base!AM483)/(1-Settings!$H$17),"WARN","STOP"))),"")</f>
        <v/>
      </c>
    </row>
    <row r="484" ht="17" customHeight="1" s="179">
      <c r="A484" s="139">
        <f>SKU_Base!B484</f>
        <v/>
      </c>
      <c r="B484" s="139">
        <f>SKU_Base!C484</f>
        <v/>
      </c>
      <c r="C484" s="140">
        <f>IFERROR(SKU_Base!I484,"")</f>
        <v/>
      </c>
      <c r="D484" s="163">
        <f>IFERROR(SKU_Base!T484,"")</f>
        <v/>
      </c>
      <c r="E484" s="141">
        <f>IFERROR(SKU_Base!$U484,"")</f>
        <v/>
      </c>
      <c r="F484" s="158">
        <f>IFERROR(ROUND(D484*(1-CHOOSE(MATCH(IF($E484="","Основний",$E484),{"Трафіковий","Основний","Маржинальний","Сезонний","Стратегічний"},0),Settings!$B$78,Settings!$B$80,Settings!$B$82,Settings!$B$84,Settings!$B$86))/6,2)*6,"")</f>
        <v/>
      </c>
      <c r="G484" s="142">
        <f>IFERROR(CHOOSE(MATCH(IF($E484="","Основний",$E484),{"Трафіковий","Основний","Маржинальний","Сезонний","Стратегічний"},0),Settings!$B$78,Settings!$B$80,Settings!$B$82,Settings!$B$84,Settings!$B$86),"")</f>
        <v/>
      </c>
      <c r="H484" s="143">
        <f>IFERROR((F484*(1-Settings!$B$17)-C484)/(F484*(1-Settings!$B$17)),"")</f>
        <v/>
      </c>
      <c r="I484" s="150">
        <f>IFERROR(IF(F484="","",IF(F484&gt;=C484/(1-SKU_Base!Z484)/(1-Settings!$B$17),"OK",IF(F484&gt;=C484/(1-SKU_Base!AG484)/(1-Settings!$B$17),"WARN","STOP"))),"")</f>
        <v/>
      </c>
      <c r="J484" s="158">
        <f>IFERROR(ROUND(D484*(1-CHOOSE(MATCH(IF($E484="","Основний",$E484),{"Трафіковий","Основний","Маржинальний","Сезонний","Стратегічний"},0),Settings!$C$78,Settings!$C$80,Settings!$C$82,Settings!$C$84,Settings!$C$86))/6,2)*6,"")</f>
        <v/>
      </c>
      <c r="K484" s="142">
        <f>IFERROR(CHOOSE(MATCH(IF($E484="","Основний",$E484),{"Трафіковий","Основний","Маржинальний","Сезонний","Стратегічний"},0),Settings!$C$78,Settings!$C$80,Settings!$C$82,Settings!$C$84,Settings!$C$86),"")</f>
        <v/>
      </c>
      <c r="L484" s="143">
        <f>IFERROR((J484*(1-Settings!$C$17)-C484)/(J484*(1-Settings!$C$17)),"")</f>
        <v/>
      </c>
      <c r="M484" s="149">
        <f>IFERROR(IF(J484="","",IF(J484&gt;=C484/(1-SKU_Base!AA484)/(1-Settings!$C$17),"OK",IF(J484&gt;=C484/(1-SKU_Base!AH484)/(1-Settings!$C$17),"WARN","STOP"))),"")</f>
        <v/>
      </c>
      <c r="N484" s="159">
        <f>IFERROR(ROUND(D484*(1-CHOOSE(MATCH(IF($E484="","Основний",$E484),{"Трафіковий","Основний","Маржинальний","Сезонний","Стратегічний"},0),Settings!$D$78,Settings!$D$80,Settings!$D$82,Settings!$D$84,Settings!$D$86))/6,2)*6,"")</f>
        <v/>
      </c>
      <c r="O484" s="142">
        <f>IFERROR(CHOOSE(MATCH(IF($E484="","Основний",$E484),{"Трафіковий","Основний","Маржинальний","Сезонний","Стратегічний"},0),Settings!$D$78,Settings!$D$80,Settings!$D$82,Settings!$D$84,Settings!$D$86),"")</f>
        <v/>
      </c>
      <c r="P484" s="143">
        <f>IFERROR((N484*(1-Settings!$D$17)-C484)/(N484*(1-Settings!$D$17)),"")</f>
        <v/>
      </c>
      <c r="Q484" s="149">
        <f>IFERROR(IF(N484="","",IF(N484&gt;=C484/(1-SKU_Base!AB484)/(1-Settings!$D$17),"OK",IF(N484&gt;=C484/(1-SKU_Base!AI484)/(1-Settings!$D$17),"WARN","STOP"))),"")</f>
        <v/>
      </c>
      <c r="R484" s="159">
        <f>IFERROR(ROUND(D484*(1-CHOOSE(MATCH(IF($E484="","Основний",$E484),{"Трафіковий","Основний","Маржинальний","Сезонний","Стратегічний"},0),Settings!$E$78,Settings!$E$80,Settings!$E$82,Settings!$E$84,Settings!$E$86))/6,2)*6,"")</f>
        <v/>
      </c>
      <c r="S484" s="142">
        <f>IFERROR(CHOOSE(MATCH(IF($E484="","Основний",$E484),{"Трафіковий","Основний","Маржинальний","Сезонний","Стратегічний"},0),Settings!$E$78,Settings!$E$80,Settings!$E$82,Settings!$E$84,Settings!$E$86),"")</f>
        <v/>
      </c>
      <c r="T484" s="143">
        <f>IFERROR((R484*(1-Settings!$E$17)-C484)/(R484*(1-Settings!$E$17)),"")</f>
        <v/>
      </c>
      <c r="U484" s="149">
        <f>IFERROR(IF(R484="","",IF(R484&gt;=C484/(1-SKU_Base!AC484)/(1-Settings!$E$17),"OK",IF(R484&gt;=C484/(1-SKU_Base!AJ484)/(1-Settings!$E$17),"WARN","STOP"))),"")</f>
        <v/>
      </c>
      <c r="V484" s="159">
        <f>IFERROR(ROUND(D484*(1-CHOOSE(MATCH(IF($E484="","Основний",$E484),{"Трафіковий","Основний","Маржинальний","Сезонний","Стратегічний"},0),Settings!$F$78,Settings!$F$80,Settings!$F$82,Settings!$F$84,Settings!$F$86))/6,2)*6,"")</f>
        <v/>
      </c>
      <c r="W484" s="142">
        <f>IFERROR(CHOOSE(MATCH(IF($E484="","Основний",$E484),{"Трафіковий","Основний","Маржинальний","Сезонний","Стратегічний"},0),Settings!$F$78,Settings!$F$80,Settings!$F$82,Settings!$F$84,Settings!$F$86),"")</f>
        <v/>
      </c>
      <c r="X484" s="143">
        <f>IFERROR((V484*(1-Settings!$F$17)-C484)/(V484*(1-Settings!$F$17)),"")</f>
        <v/>
      </c>
      <c r="Y484" s="149">
        <f>IFERROR(IF(V484="","",IF(V484&gt;=C484/(1-SKU_Base!AD484)/(1-Settings!$F$17),"OK",IF(V484&gt;=C484/(1-SKU_Base!AK484)/(1-Settings!$F$17),"WARN","STOP"))),"")</f>
        <v/>
      </c>
      <c r="Z484" s="159">
        <f>IFERROR(ROUND(D484*(1-CHOOSE(MATCH(IF($E484="","Основний",$E484),{"Трафіковий","Основний","Маржинальний","Сезонний","Стратегічний"},0),Settings!$G$78,Settings!$G$80,Settings!$G$82,Settings!$G$84,Settings!$G$86))/6,2)*6,"")</f>
        <v/>
      </c>
      <c r="AA484" s="142">
        <f>IFERROR(CHOOSE(MATCH(IF($E484="","Основний",$E484),{"Трафіковий","Основний","Маржинальний","Сезонний","Стратегічний"},0),Settings!$G$78,Settings!$G$80,Settings!$G$82,Settings!$G$84,Settings!$G$86),"")</f>
        <v/>
      </c>
      <c r="AB484" s="143">
        <f>IFERROR((Z484*(1-Settings!$G$17)-C484)/(Z484*(1-Settings!$G$17)),"")</f>
        <v/>
      </c>
      <c r="AC484" s="149">
        <f>IFERROR(IF(Z484="","",IF(Z484&gt;=C484/(1-SKU_Base!AE484)/(1-Settings!$G$17),"OK",IF(Z484&gt;=C484/(1-SKU_Base!AL484)/(1-Settings!$G$17),"WARN","STOP"))),"")</f>
        <v/>
      </c>
      <c r="AD484" s="159">
        <f>IFERROR(ROUND(D484*(1-CHOOSE(MATCH(IF($E484="","Основний",$E484),{"Трафіковий","Основний","Маржинальний","Сезонний","Стратегічний"},0),Settings!$H$78,Settings!$H$80,Settings!$H$82,Settings!$H$84,Settings!$H$86))*(1-Settings!$H$68)/6,2)*6,"")</f>
        <v/>
      </c>
      <c r="AE484" s="142">
        <f>IFERROR(CHOOSE(MATCH(IF($E484="","Основний",$E484),{"Трафіковий","Основний","Маржинальний","Сезонний","Стратегічний"},0),Settings!$H$78,Settings!$H$80,Settings!$H$82,Settings!$H$84,Settings!$H$86)+(1-(CHOOSE(MATCH(IF($E484="","Основний",$E484),{"Трафіковий","Основний","Маржинальний","Сезонний","Стратегічний"},0),Settings!$H$78,Settings!$H$80,Settings!$H$82,Settings!$H$84,Settings!$H$86)))*Settings!$H$68,"")</f>
        <v/>
      </c>
      <c r="AF484" s="143">
        <f>IFERROR((AD484*(1-Settings!$H$17)-C484)/(AD484*(1-Settings!$H$17)),"")</f>
        <v/>
      </c>
      <c r="AG484" s="150">
        <f>IFERROR(IF(AD484="","",IF(AD484&gt;=C484/(1-SKU_Base!AF484)/(1-Settings!$H$17),"OK",IF(AD484&gt;=C484/(1-SKU_Base!AM484)/(1-Settings!$H$17),"WARN","STOP"))),"")</f>
        <v/>
      </c>
    </row>
    <row r="485" ht="17" customHeight="1" s="179">
      <c r="A485" s="146">
        <f>SKU_Base!B485</f>
        <v/>
      </c>
      <c r="B485" s="146">
        <f>SKU_Base!C485</f>
        <v/>
      </c>
      <c r="C485" s="147">
        <f>IFERROR(SKU_Base!I485,"")</f>
        <v/>
      </c>
      <c r="D485" s="164">
        <f>IFERROR(SKU_Base!T485,"")</f>
        <v/>
      </c>
      <c r="E485" s="141">
        <f>IFERROR(SKU_Base!$U485,"")</f>
        <v/>
      </c>
      <c r="F485" s="160">
        <f>IFERROR(ROUND(D485*(1-CHOOSE(MATCH(IF($E485="","Основний",$E485),{"Трафіковий","Основний","Маржинальний","Сезонний","Стратегічний"},0),Settings!$B$78,Settings!$B$80,Settings!$B$82,Settings!$B$84,Settings!$B$86))/6,2)*6,"")</f>
        <v/>
      </c>
      <c r="G485" s="142">
        <f>IFERROR(CHOOSE(MATCH(IF($E485="","Основний",$E485),{"Трафіковий","Основний","Маржинальний","Сезонний","Стратегічний"},0),Settings!$B$78,Settings!$B$80,Settings!$B$82,Settings!$B$84,Settings!$B$86),"")</f>
        <v/>
      </c>
      <c r="H485" s="148">
        <f>IFERROR((F485*(1-Settings!$B$17)-C485)/(F485*(1-Settings!$B$17)),"")</f>
        <v/>
      </c>
      <c r="I485" s="150">
        <f>IFERROR(IF(F485="","",IF(F485&gt;=C485/(1-SKU_Base!Z485)/(1-Settings!$B$17),"OK",IF(F485&gt;=C485/(1-SKU_Base!AG485)/(1-Settings!$B$17),"WARN","STOP"))),"")</f>
        <v/>
      </c>
      <c r="J485" s="160">
        <f>IFERROR(ROUND(D485*(1-CHOOSE(MATCH(IF($E485="","Основний",$E485),{"Трафіковий","Основний","Маржинальний","Сезонний","Стратегічний"},0),Settings!$C$78,Settings!$C$80,Settings!$C$82,Settings!$C$84,Settings!$C$86))/6,2)*6,"")</f>
        <v/>
      </c>
      <c r="K485" s="142">
        <f>IFERROR(CHOOSE(MATCH(IF($E485="","Основний",$E485),{"Трафіковий","Основний","Маржинальний","Сезонний","Стратегічний"},0),Settings!$C$78,Settings!$C$80,Settings!$C$82,Settings!$C$84,Settings!$C$86),"")</f>
        <v/>
      </c>
      <c r="L485" s="148">
        <f>IFERROR((J485*(1-Settings!$C$17)-C485)/(J485*(1-Settings!$C$17)),"")</f>
        <v/>
      </c>
      <c r="M485" s="149">
        <f>IFERROR(IF(J485="","",IF(J485&gt;=C485/(1-SKU_Base!AA485)/(1-Settings!$C$17),"OK",IF(J485&gt;=C485/(1-SKU_Base!AH485)/(1-Settings!$C$17),"WARN","STOP"))),"")</f>
        <v/>
      </c>
      <c r="N485" s="161">
        <f>IFERROR(ROUND(D485*(1-CHOOSE(MATCH(IF($E485="","Основний",$E485),{"Трафіковий","Основний","Маржинальний","Сезонний","Стратегічний"},0),Settings!$D$78,Settings!$D$80,Settings!$D$82,Settings!$D$84,Settings!$D$86))/6,2)*6,"")</f>
        <v/>
      </c>
      <c r="O485" s="142">
        <f>IFERROR(CHOOSE(MATCH(IF($E485="","Основний",$E485),{"Трафіковий","Основний","Маржинальний","Сезонний","Стратегічний"},0),Settings!$D$78,Settings!$D$80,Settings!$D$82,Settings!$D$84,Settings!$D$86),"")</f>
        <v/>
      </c>
      <c r="P485" s="148">
        <f>IFERROR((N485*(1-Settings!$D$17)-C485)/(N485*(1-Settings!$D$17)),"")</f>
        <v/>
      </c>
      <c r="Q485" s="149">
        <f>IFERROR(IF(N485="","",IF(N485&gt;=C485/(1-SKU_Base!AB485)/(1-Settings!$D$17),"OK",IF(N485&gt;=C485/(1-SKU_Base!AI485)/(1-Settings!$D$17),"WARN","STOP"))),"")</f>
        <v/>
      </c>
      <c r="R485" s="161">
        <f>IFERROR(ROUND(D485*(1-CHOOSE(MATCH(IF($E485="","Основний",$E485),{"Трафіковий","Основний","Маржинальний","Сезонний","Стратегічний"},0),Settings!$E$78,Settings!$E$80,Settings!$E$82,Settings!$E$84,Settings!$E$86))/6,2)*6,"")</f>
        <v/>
      </c>
      <c r="S485" s="142">
        <f>IFERROR(CHOOSE(MATCH(IF($E485="","Основний",$E485),{"Трафіковий","Основний","Маржинальний","Сезонний","Стратегічний"},0),Settings!$E$78,Settings!$E$80,Settings!$E$82,Settings!$E$84,Settings!$E$86),"")</f>
        <v/>
      </c>
      <c r="T485" s="148">
        <f>IFERROR((R485*(1-Settings!$E$17)-C485)/(R485*(1-Settings!$E$17)),"")</f>
        <v/>
      </c>
      <c r="U485" s="149">
        <f>IFERROR(IF(R485="","",IF(R485&gt;=C485/(1-SKU_Base!AC485)/(1-Settings!$E$17),"OK",IF(R485&gt;=C485/(1-SKU_Base!AJ485)/(1-Settings!$E$17),"WARN","STOP"))),"")</f>
        <v/>
      </c>
      <c r="V485" s="161">
        <f>IFERROR(ROUND(D485*(1-CHOOSE(MATCH(IF($E485="","Основний",$E485),{"Трафіковий","Основний","Маржинальний","Сезонний","Стратегічний"},0),Settings!$F$78,Settings!$F$80,Settings!$F$82,Settings!$F$84,Settings!$F$86))/6,2)*6,"")</f>
        <v/>
      </c>
      <c r="W485" s="142">
        <f>IFERROR(CHOOSE(MATCH(IF($E485="","Основний",$E485),{"Трафіковий","Основний","Маржинальний","Сезонний","Стратегічний"},0),Settings!$F$78,Settings!$F$80,Settings!$F$82,Settings!$F$84,Settings!$F$86),"")</f>
        <v/>
      </c>
      <c r="X485" s="148">
        <f>IFERROR((V485*(1-Settings!$F$17)-C485)/(V485*(1-Settings!$F$17)),"")</f>
        <v/>
      </c>
      <c r="Y485" s="149">
        <f>IFERROR(IF(V485="","",IF(V485&gt;=C485/(1-SKU_Base!AD485)/(1-Settings!$F$17),"OK",IF(V485&gt;=C485/(1-SKU_Base!AK485)/(1-Settings!$F$17),"WARN","STOP"))),"")</f>
        <v/>
      </c>
      <c r="Z485" s="161">
        <f>IFERROR(ROUND(D485*(1-CHOOSE(MATCH(IF($E485="","Основний",$E485),{"Трафіковий","Основний","Маржинальний","Сезонний","Стратегічний"},0),Settings!$G$78,Settings!$G$80,Settings!$G$82,Settings!$G$84,Settings!$G$86))/6,2)*6,"")</f>
        <v/>
      </c>
      <c r="AA485" s="142">
        <f>IFERROR(CHOOSE(MATCH(IF($E485="","Основний",$E485),{"Трафіковий","Основний","Маржинальний","Сезонний","Стратегічний"},0),Settings!$G$78,Settings!$G$80,Settings!$G$82,Settings!$G$84,Settings!$G$86),"")</f>
        <v/>
      </c>
      <c r="AB485" s="148">
        <f>IFERROR((Z485*(1-Settings!$G$17)-C485)/(Z485*(1-Settings!$G$17)),"")</f>
        <v/>
      </c>
      <c r="AC485" s="149">
        <f>IFERROR(IF(Z485="","",IF(Z485&gt;=C485/(1-SKU_Base!AE485)/(1-Settings!$G$17),"OK",IF(Z485&gt;=C485/(1-SKU_Base!AL485)/(1-Settings!$G$17),"WARN","STOP"))),"")</f>
        <v/>
      </c>
      <c r="AD485" s="161">
        <f>IFERROR(ROUND(D485*(1-CHOOSE(MATCH(IF($E485="","Основний",$E485),{"Трафіковий","Основний","Маржинальний","Сезонний","Стратегічний"},0),Settings!$H$78,Settings!$H$80,Settings!$H$82,Settings!$H$84,Settings!$H$86))*(1-Settings!$H$68)/6,2)*6,"")</f>
        <v/>
      </c>
      <c r="AE485" s="142">
        <f>IFERROR(CHOOSE(MATCH(IF($E485="","Основний",$E485),{"Трафіковий","Основний","Маржинальний","Сезонний","Стратегічний"},0),Settings!$H$78,Settings!$H$80,Settings!$H$82,Settings!$H$84,Settings!$H$86)+(1-(CHOOSE(MATCH(IF($E485="","Основний",$E485),{"Трафіковий","Основний","Маржинальний","Сезонний","Стратегічний"},0),Settings!$H$78,Settings!$H$80,Settings!$H$82,Settings!$H$84,Settings!$H$86)))*Settings!$H$68,"")</f>
        <v/>
      </c>
      <c r="AF485" s="148">
        <f>IFERROR((AD485*(1-Settings!$H$17)-C485)/(AD485*(1-Settings!$H$17)),"")</f>
        <v/>
      </c>
      <c r="AG485" s="150">
        <f>IFERROR(IF(AD485="","",IF(AD485&gt;=C485/(1-SKU_Base!AF485)/(1-Settings!$H$17),"OK",IF(AD485&gt;=C485/(1-SKU_Base!AM485)/(1-Settings!$H$17),"WARN","STOP"))),"")</f>
        <v/>
      </c>
    </row>
    <row r="486" ht="17" customHeight="1" s="179">
      <c r="A486" s="139">
        <f>SKU_Base!B486</f>
        <v/>
      </c>
      <c r="B486" s="139">
        <f>SKU_Base!C486</f>
        <v/>
      </c>
      <c r="C486" s="140">
        <f>IFERROR(SKU_Base!I486,"")</f>
        <v/>
      </c>
      <c r="D486" s="163">
        <f>IFERROR(SKU_Base!T486,"")</f>
        <v/>
      </c>
      <c r="E486" s="141">
        <f>IFERROR(SKU_Base!$U486,"")</f>
        <v/>
      </c>
      <c r="F486" s="158">
        <f>IFERROR(ROUND(D486*(1-CHOOSE(MATCH(IF($E486="","Основний",$E486),{"Трафіковий","Основний","Маржинальний","Сезонний","Стратегічний"},0),Settings!$B$78,Settings!$B$80,Settings!$B$82,Settings!$B$84,Settings!$B$86))/6,2)*6,"")</f>
        <v/>
      </c>
      <c r="G486" s="142">
        <f>IFERROR(CHOOSE(MATCH(IF($E486="","Основний",$E486),{"Трафіковий","Основний","Маржинальний","Сезонний","Стратегічний"},0),Settings!$B$78,Settings!$B$80,Settings!$B$82,Settings!$B$84,Settings!$B$86),"")</f>
        <v/>
      </c>
      <c r="H486" s="143">
        <f>IFERROR((F486*(1-Settings!$B$17)-C486)/(F486*(1-Settings!$B$17)),"")</f>
        <v/>
      </c>
      <c r="I486" s="149">
        <f>IFERROR(IF(F486="","",IF(F486&gt;=C486/(1-SKU_Base!Z486)/(1-Settings!$B$17),"OK",IF(F486&gt;=C486/(1-SKU_Base!AG486)/(1-Settings!$B$17),"WARN","STOP"))),"")</f>
        <v/>
      </c>
      <c r="J486" s="158">
        <f>IFERROR(ROUND(D486*(1-CHOOSE(MATCH(IF($E486="","Основний",$E486),{"Трафіковий","Основний","Маржинальний","Сезонний","Стратегічний"},0),Settings!$C$78,Settings!$C$80,Settings!$C$82,Settings!$C$84,Settings!$C$86))/6,2)*6,"")</f>
        <v/>
      </c>
      <c r="K486" s="142">
        <f>IFERROR(CHOOSE(MATCH(IF($E486="","Основний",$E486),{"Трафіковий","Основний","Маржинальний","Сезонний","Стратегічний"},0),Settings!$C$78,Settings!$C$80,Settings!$C$82,Settings!$C$84,Settings!$C$86),"")</f>
        <v/>
      </c>
      <c r="L486" s="143">
        <f>IFERROR((J486*(1-Settings!$C$17)-C486)/(J486*(1-Settings!$C$17)),"")</f>
        <v/>
      </c>
      <c r="M486" s="149">
        <f>IFERROR(IF(J486="","",IF(J486&gt;=C486/(1-SKU_Base!AA486)/(1-Settings!$C$17),"OK",IF(J486&gt;=C486/(1-SKU_Base!AH486)/(1-Settings!$C$17),"WARN","STOP"))),"")</f>
        <v/>
      </c>
      <c r="N486" s="159">
        <f>IFERROR(ROUND(D486*(1-CHOOSE(MATCH(IF($E486="","Основний",$E486),{"Трафіковий","Основний","Маржинальний","Сезонний","Стратегічний"},0),Settings!$D$78,Settings!$D$80,Settings!$D$82,Settings!$D$84,Settings!$D$86))/6,2)*6,"")</f>
        <v/>
      </c>
      <c r="O486" s="142">
        <f>IFERROR(CHOOSE(MATCH(IF($E486="","Основний",$E486),{"Трафіковий","Основний","Маржинальний","Сезонний","Стратегічний"},0),Settings!$D$78,Settings!$D$80,Settings!$D$82,Settings!$D$84,Settings!$D$86),"")</f>
        <v/>
      </c>
      <c r="P486" s="143">
        <f>IFERROR((N486*(1-Settings!$D$17)-C486)/(N486*(1-Settings!$D$17)),"")</f>
        <v/>
      </c>
      <c r="Q486" s="149">
        <f>IFERROR(IF(N486="","",IF(N486&gt;=C486/(1-SKU_Base!AB486)/(1-Settings!$D$17),"OK",IF(N486&gt;=C486/(1-SKU_Base!AI486)/(1-Settings!$D$17),"WARN","STOP"))),"")</f>
        <v/>
      </c>
      <c r="R486" s="159">
        <f>IFERROR(ROUND(D486*(1-CHOOSE(MATCH(IF($E486="","Основний",$E486),{"Трафіковий","Основний","Маржинальний","Сезонний","Стратегічний"},0),Settings!$E$78,Settings!$E$80,Settings!$E$82,Settings!$E$84,Settings!$E$86))/6,2)*6,"")</f>
        <v/>
      </c>
      <c r="S486" s="142">
        <f>IFERROR(CHOOSE(MATCH(IF($E486="","Основний",$E486),{"Трафіковий","Основний","Маржинальний","Сезонний","Стратегічний"},0),Settings!$E$78,Settings!$E$80,Settings!$E$82,Settings!$E$84,Settings!$E$86),"")</f>
        <v/>
      </c>
      <c r="T486" s="143">
        <f>IFERROR((R486*(1-Settings!$E$17)-C486)/(R486*(1-Settings!$E$17)),"")</f>
        <v/>
      </c>
      <c r="U486" s="149">
        <f>IFERROR(IF(R486="","",IF(R486&gt;=C486/(1-SKU_Base!AC486)/(1-Settings!$E$17),"OK",IF(R486&gt;=C486/(1-SKU_Base!AJ486)/(1-Settings!$E$17),"WARN","STOP"))),"")</f>
        <v/>
      </c>
      <c r="V486" s="159">
        <f>IFERROR(ROUND(D486*(1-CHOOSE(MATCH(IF($E486="","Основний",$E486),{"Трафіковий","Основний","Маржинальний","Сезонний","Стратегічний"},0),Settings!$F$78,Settings!$F$80,Settings!$F$82,Settings!$F$84,Settings!$F$86))/6,2)*6,"")</f>
        <v/>
      </c>
      <c r="W486" s="142">
        <f>IFERROR(CHOOSE(MATCH(IF($E486="","Основний",$E486),{"Трафіковий","Основний","Маржинальний","Сезонний","Стратегічний"},0),Settings!$F$78,Settings!$F$80,Settings!$F$82,Settings!$F$84,Settings!$F$86),"")</f>
        <v/>
      </c>
      <c r="X486" s="143">
        <f>IFERROR((V486*(1-Settings!$F$17)-C486)/(V486*(1-Settings!$F$17)),"")</f>
        <v/>
      </c>
      <c r="Y486" s="149">
        <f>IFERROR(IF(V486="","",IF(V486&gt;=C486/(1-SKU_Base!AD486)/(1-Settings!$F$17),"OK",IF(V486&gt;=C486/(1-SKU_Base!AK486)/(1-Settings!$F$17),"WARN","STOP"))),"")</f>
        <v/>
      </c>
      <c r="Z486" s="159">
        <f>IFERROR(ROUND(D486*(1-CHOOSE(MATCH(IF($E486="","Основний",$E486),{"Трафіковий","Основний","Маржинальний","Сезонний","Стратегічний"},0),Settings!$G$78,Settings!$G$80,Settings!$G$82,Settings!$G$84,Settings!$G$86))/6,2)*6,"")</f>
        <v/>
      </c>
      <c r="AA486" s="142">
        <f>IFERROR(CHOOSE(MATCH(IF($E486="","Основний",$E486),{"Трафіковий","Основний","Маржинальний","Сезонний","Стратегічний"},0),Settings!$G$78,Settings!$G$80,Settings!$G$82,Settings!$G$84,Settings!$G$86),"")</f>
        <v/>
      </c>
      <c r="AB486" s="143">
        <f>IFERROR((Z486*(1-Settings!$G$17)-C486)/(Z486*(1-Settings!$G$17)),"")</f>
        <v/>
      </c>
      <c r="AC486" s="149">
        <f>IFERROR(IF(Z486="","",IF(Z486&gt;=C486/(1-SKU_Base!AE486)/(1-Settings!$G$17),"OK",IF(Z486&gt;=C486/(1-SKU_Base!AL486)/(1-Settings!$G$17),"WARN","STOP"))),"")</f>
        <v/>
      </c>
      <c r="AD486" s="159">
        <f>IFERROR(ROUND(D486*(1-CHOOSE(MATCH(IF($E486="","Основний",$E486),{"Трафіковий","Основний","Маржинальний","Сезонний","Стратегічний"},0),Settings!$H$78,Settings!$H$80,Settings!$H$82,Settings!$H$84,Settings!$H$86))*(1-Settings!$H$68)/6,2)*6,"")</f>
        <v/>
      </c>
      <c r="AE486" s="142">
        <f>IFERROR(CHOOSE(MATCH(IF($E486="","Основний",$E486),{"Трафіковий","Основний","Маржинальний","Сезонний","Стратегічний"},0),Settings!$H$78,Settings!$H$80,Settings!$H$82,Settings!$H$84,Settings!$H$86)+(1-(CHOOSE(MATCH(IF($E486="","Основний",$E486),{"Трафіковий","Основний","Маржинальний","Сезонний","Стратегічний"},0),Settings!$H$78,Settings!$H$80,Settings!$H$82,Settings!$H$84,Settings!$H$86)))*Settings!$H$68,"")</f>
        <v/>
      </c>
      <c r="AF486" s="143">
        <f>IFERROR((AD486*(1-Settings!$H$17)-C486)/(AD486*(1-Settings!$H$17)),"")</f>
        <v/>
      </c>
      <c r="AG486" s="149">
        <f>IFERROR(IF(AD486="","",IF(AD486&gt;=C486/(1-SKU_Base!AF486)/(1-Settings!$H$17),"OK",IF(AD486&gt;=C486/(1-SKU_Base!AM486)/(1-Settings!$H$17),"WARN","STOP"))),"")</f>
        <v/>
      </c>
    </row>
    <row r="487" ht="17" customHeight="1" s="179">
      <c r="A487" s="146">
        <f>SKU_Base!B487</f>
        <v/>
      </c>
      <c r="B487" s="146">
        <f>SKU_Base!C487</f>
        <v/>
      </c>
      <c r="C487" s="147">
        <f>IFERROR(SKU_Base!I487,"")</f>
        <v/>
      </c>
      <c r="D487" s="164">
        <f>IFERROR(SKU_Base!T487,"")</f>
        <v/>
      </c>
      <c r="E487" s="141">
        <f>IFERROR(SKU_Base!$U487,"")</f>
        <v/>
      </c>
      <c r="F487" s="160">
        <f>IFERROR(ROUND(D487*(1-CHOOSE(MATCH(IF($E487="","Основний",$E487),{"Трафіковий","Основний","Маржинальний","Сезонний","Стратегічний"},0),Settings!$B$78,Settings!$B$80,Settings!$B$82,Settings!$B$84,Settings!$B$86))/6,2)*6,"")</f>
        <v/>
      </c>
      <c r="G487" s="142">
        <f>IFERROR(CHOOSE(MATCH(IF($E487="","Основний",$E487),{"Трафіковий","Основний","Маржинальний","Сезонний","Стратегічний"},0),Settings!$B$78,Settings!$B$80,Settings!$B$82,Settings!$B$84,Settings!$B$86),"")</f>
        <v/>
      </c>
      <c r="H487" s="148">
        <f>IFERROR((F487*(1-Settings!$B$17)-C487)/(F487*(1-Settings!$B$17)),"")</f>
        <v/>
      </c>
      <c r="I487" s="150">
        <f>IFERROR(IF(F487="","",IF(F487&gt;=C487/(1-SKU_Base!Z487)/(1-Settings!$B$17),"OK",IF(F487&gt;=C487/(1-SKU_Base!AG487)/(1-Settings!$B$17),"WARN","STOP"))),"")</f>
        <v/>
      </c>
      <c r="J487" s="160">
        <f>IFERROR(ROUND(D487*(1-CHOOSE(MATCH(IF($E487="","Основний",$E487),{"Трафіковий","Основний","Маржинальний","Сезонний","Стратегічний"},0),Settings!$C$78,Settings!$C$80,Settings!$C$82,Settings!$C$84,Settings!$C$86))/6,2)*6,"")</f>
        <v/>
      </c>
      <c r="K487" s="142">
        <f>IFERROR(CHOOSE(MATCH(IF($E487="","Основний",$E487),{"Трафіковий","Основний","Маржинальний","Сезонний","Стратегічний"},0),Settings!$C$78,Settings!$C$80,Settings!$C$82,Settings!$C$84,Settings!$C$86),"")</f>
        <v/>
      </c>
      <c r="L487" s="148">
        <f>IFERROR((J487*(1-Settings!$C$17)-C487)/(J487*(1-Settings!$C$17)),"")</f>
        <v/>
      </c>
      <c r="M487" s="149">
        <f>IFERROR(IF(J487="","",IF(J487&gt;=C487/(1-SKU_Base!AA487)/(1-Settings!$C$17),"OK",IF(J487&gt;=C487/(1-SKU_Base!AH487)/(1-Settings!$C$17),"WARN","STOP"))),"")</f>
        <v/>
      </c>
      <c r="N487" s="161">
        <f>IFERROR(ROUND(D487*(1-CHOOSE(MATCH(IF($E487="","Основний",$E487),{"Трафіковий","Основний","Маржинальний","Сезонний","Стратегічний"},0),Settings!$D$78,Settings!$D$80,Settings!$D$82,Settings!$D$84,Settings!$D$86))/6,2)*6,"")</f>
        <v/>
      </c>
      <c r="O487" s="142">
        <f>IFERROR(CHOOSE(MATCH(IF($E487="","Основний",$E487),{"Трафіковий","Основний","Маржинальний","Сезонний","Стратегічний"},0),Settings!$D$78,Settings!$D$80,Settings!$D$82,Settings!$D$84,Settings!$D$86),"")</f>
        <v/>
      </c>
      <c r="P487" s="148">
        <f>IFERROR((N487*(1-Settings!$D$17)-C487)/(N487*(1-Settings!$D$17)),"")</f>
        <v/>
      </c>
      <c r="Q487" s="149">
        <f>IFERROR(IF(N487="","",IF(N487&gt;=C487/(1-SKU_Base!AB487)/(1-Settings!$D$17),"OK",IF(N487&gt;=C487/(1-SKU_Base!AI487)/(1-Settings!$D$17),"WARN","STOP"))),"")</f>
        <v/>
      </c>
      <c r="R487" s="161">
        <f>IFERROR(ROUND(D487*(1-CHOOSE(MATCH(IF($E487="","Основний",$E487),{"Трафіковий","Основний","Маржинальний","Сезонний","Стратегічний"},0),Settings!$E$78,Settings!$E$80,Settings!$E$82,Settings!$E$84,Settings!$E$86))/6,2)*6,"")</f>
        <v/>
      </c>
      <c r="S487" s="142">
        <f>IFERROR(CHOOSE(MATCH(IF($E487="","Основний",$E487),{"Трафіковий","Основний","Маржинальний","Сезонний","Стратегічний"},0),Settings!$E$78,Settings!$E$80,Settings!$E$82,Settings!$E$84,Settings!$E$86),"")</f>
        <v/>
      </c>
      <c r="T487" s="148">
        <f>IFERROR((R487*(1-Settings!$E$17)-C487)/(R487*(1-Settings!$E$17)),"")</f>
        <v/>
      </c>
      <c r="U487" s="149">
        <f>IFERROR(IF(R487="","",IF(R487&gt;=C487/(1-SKU_Base!AC487)/(1-Settings!$E$17),"OK",IF(R487&gt;=C487/(1-SKU_Base!AJ487)/(1-Settings!$E$17),"WARN","STOP"))),"")</f>
        <v/>
      </c>
      <c r="V487" s="161">
        <f>IFERROR(ROUND(D487*(1-CHOOSE(MATCH(IF($E487="","Основний",$E487),{"Трафіковий","Основний","Маржинальний","Сезонний","Стратегічний"},0),Settings!$F$78,Settings!$F$80,Settings!$F$82,Settings!$F$84,Settings!$F$86))/6,2)*6,"")</f>
        <v/>
      </c>
      <c r="W487" s="142">
        <f>IFERROR(CHOOSE(MATCH(IF($E487="","Основний",$E487),{"Трафіковий","Основний","Маржинальний","Сезонний","Стратегічний"},0),Settings!$F$78,Settings!$F$80,Settings!$F$82,Settings!$F$84,Settings!$F$86),"")</f>
        <v/>
      </c>
      <c r="X487" s="148">
        <f>IFERROR((V487*(1-Settings!$F$17)-C487)/(V487*(1-Settings!$F$17)),"")</f>
        <v/>
      </c>
      <c r="Y487" s="149">
        <f>IFERROR(IF(V487="","",IF(V487&gt;=C487/(1-SKU_Base!AD487)/(1-Settings!$F$17),"OK",IF(V487&gt;=C487/(1-SKU_Base!AK487)/(1-Settings!$F$17),"WARN","STOP"))),"")</f>
        <v/>
      </c>
      <c r="Z487" s="161">
        <f>IFERROR(ROUND(D487*(1-CHOOSE(MATCH(IF($E487="","Основний",$E487),{"Трафіковий","Основний","Маржинальний","Сезонний","Стратегічний"},0),Settings!$G$78,Settings!$G$80,Settings!$G$82,Settings!$G$84,Settings!$G$86))/6,2)*6,"")</f>
        <v/>
      </c>
      <c r="AA487" s="142">
        <f>IFERROR(CHOOSE(MATCH(IF($E487="","Основний",$E487),{"Трафіковий","Основний","Маржинальний","Сезонний","Стратегічний"},0),Settings!$G$78,Settings!$G$80,Settings!$G$82,Settings!$G$84,Settings!$G$86),"")</f>
        <v/>
      </c>
      <c r="AB487" s="148">
        <f>IFERROR((Z487*(1-Settings!$G$17)-C487)/(Z487*(1-Settings!$G$17)),"")</f>
        <v/>
      </c>
      <c r="AC487" s="149">
        <f>IFERROR(IF(Z487="","",IF(Z487&gt;=C487/(1-SKU_Base!AE487)/(1-Settings!$G$17),"OK",IF(Z487&gt;=C487/(1-SKU_Base!AL487)/(1-Settings!$G$17),"WARN","STOP"))),"")</f>
        <v/>
      </c>
      <c r="AD487" s="161">
        <f>IFERROR(ROUND(D487*(1-CHOOSE(MATCH(IF($E487="","Основний",$E487),{"Трафіковий","Основний","Маржинальний","Сезонний","Стратегічний"},0),Settings!$H$78,Settings!$H$80,Settings!$H$82,Settings!$H$84,Settings!$H$86))*(1-Settings!$H$68)/6,2)*6,"")</f>
        <v/>
      </c>
      <c r="AE487" s="142">
        <f>IFERROR(CHOOSE(MATCH(IF($E487="","Основний",$E487),{"Трафіковий","Основний","Маржинальний","Сезонний","Стратегічний"},0),Settings!$H$78,Settings!$H$80,Settings!$H$82,Settings!$H$84,Settings!$H$86)+(1-(CHOOSE(MATCH(IF($E487="","Основний",$E487),{"Трафіковий","Основний","Маржинальний","Сезонний","Стратегічний"},0),Settings!$H$78,Settings!$H$80,Settings!$H$82,Settings!$H$84,Settings!$H$86)))*Settings!$H$68,"")</f>
        <v/>
      </c>
      <c r="AF487" s="148">
        <f>IFERROR((AD487*(1-Settings!$H$17)-C487)/(AD487*(1-Settings!$H$17)),"")</f>
        <v/>
      </c>
      <c r="AG487" s="150">
        <f>IFERROR(IF(AD487="","",IF(AD487&gt;=C487/(1-SKU_Base!AF487)/(1-Settings!$H$17),"OK",IF(AD487&gt;=C487/(1-SKU_Base!AM487)/(1-Settings!$H$17),"WARN","STOP"))),"")</f>
        <v/>
      </c>
    </row>
    <row r="488" ht="17" customHeight="1" s="179">
      <c r="A488" s="139">
        <f>SKU_Base!B488</f>
        <v/>
      </c>
      <c r="B488" s="139">
        <f>SKU_Base!C488</f>
        <v/>
      </c>
      <c r="C488" s="140">
        <f>IFERROR(SKU_Base!I488,"")</f>
        <v/>
      </c>
      <c r="D488" s="163">
        <f>IFERROR(SKU_Base!T488,"")</f>
        <v/>
      </c>
      <c r="E488" s="141">
        <f>IFERROR(SKU_Base!$U488,"")</f>
        <v/>
      </c>
      <c r="F488" s="158">
        <f>IFERROR(ROUND(D488*(1-CHOOSE(MATCH(IF($E488="","Основний",$E488),{"Трафіковий","Основний","Маржинальний","Сезонний","Стратегічний"},0),Settings!$B$78,Settings!$B$80,Settings!$B$82,Settings!$B$84,Settings!$B$86))/6,2)*6,"")</f>
        <v/>
      </c>
      <c r="G488" s="142">
        <f>IFERROR(CHOOSE(MATCH(IF($E488="","Основний",$E488),{"Трафіковий","Основний","Маржинальний","Сезонний","Стратегічний"},0),Settings!$B$78,Settings!$B$80,Settings!$B$82,Settings!$B$84,Settings!$B$86),"")</f>
        <v/>
      </c>
      <c r="H488" s="143">
        <f>IFERROR((F488*(1-Settings!$B$17)-C488)/(F488*(1-Settings!$B$17)),"")</f>
        <v/>
      </c>
      <c r="I488" s="149">
        <f>IFERROR(IF(F488="","",IF(F488&gt;=C488/(1-SKU_Base!Z488)/(1-Settings!$B$17),"OK",IF(F488&gt;=C488/(1-SKU_Base!AG488)/(1-Settings!$B$17),"WARN","STOP"))),"")</f>
        <v/>
      </c>
      <c r="J488" s="158">
        <f>IFERROR(ROUND(D488*(1-CHOOSE(MATCH(IF($E488="","Основний",$E488),{"Трафіковий","Основний","Маржинальний","Сезонний","Стратегічний"},0),Settings!$C$78,Settings!$C$80,Settings!$C$82,Settings!$C$84,Settings!$C$86))/6,2)*6,"")</f>
        <v/>
      </c>
      <c r="K488" s="142">
        <f>IFERROR(CHOOSE(MATCH(IF($E488="","Основний",$E488),{"Трафіковий","Основний","Маржинальний","Сезонний","Стратегічний"},0),Settings!$C$78,Settings!$C$80,Settings!$C$82,Settings!$C$84,Settings!$C$86),"")</f>
        <v/>
      </c>
      <c r="L488" s="143">
        <f>IFERROR((J488*(1-Settings!$C$17)-C488)/(J488*(1-Settings!$C$17)),"")</f>
        <v/>
      </c>
      <c r="M488" s="149">
        <f>IFERROR(IF(J488="","",IF(J488&gt;=C488/(1-SKU_Base!AA488)/(1-Settings!$C$17),"OK",IF(J488&gt;=C488/(1-SKU_Base!AH488)/(1-Settings!$C$17),"WARN","STOP"))),"")</f>
        <v/>
      </c>
      <c r="N488" s="159">
        <f>IFERROR(ROUND(D488*(1-CHOOSE(MATCH(IF($E488="","Основний",$E488),{"Трафіковий","Основний","Маржинальний","Сезонний","Стратегічний"},0),Settings!$D$78,Settings!$D$80,Settings!$D$82,Settings!$D$84,Settings!$D$86))/6,2)*6,"")</f>
        <v/>
      </c>
      <c r="O488" s="142">
        <f>IFERROR(CHOOSE(MATCH(IF($E488="","Основний",$E488),{"Трафіковий","Основний","Маржинальний","Сезонний","Стратегічний"},0),Settings!$D$78,Settings!$D$80,Settings!$D$82,Settings!$D$84,Settings!$D$86),"")</f>
        <v/>
      </c>
      <c r="P488" s="143">
        <f>IFERROR((N488*(1-Settings!$D$17)-C488)/(N488*(1-Settings!$D$17)),"")</f>
        <v/>
      </c>
      <c r="Q488" s="149">
        <f>IFERROR(IF(N488="","",IF(N488&gt;=C488/(1-SKU_Base!AB488)/(1-Settings!$D$17),"OK",IF(N488&gt;=C488/(1-SKU_Base!AI488)/(1-Settings!$D$17),"WARN","STOP"))),"")</f>
        <v/>
      </c>
      <c r="R488" s="159">
        <f>IFERROR(ROUND(D488*(1-CHOOSE(MATCH(IF($E488="","Основний",$E488),{"Трафіковий","Основний","Маржинальний","Сезонний","Стратегічний"},0),Settings!$E$78,Settings!$E$80,Settings!$E$82,Settings!$E$84,Settings!$E$86))/6,2)*6,"")</f>
        <v/>
      </c>
      <c r="S488" s="142">
        <f>IFERROR(CHOOSE(MATCH(IF($E488="","Основний",$E488),{"Трафіковий","Основний","Маржинальний","Сезонний","Стратегічний"},0),Settings!$E$78,Settings!$E$80,Settings!$E$82,Settings!$E$84,Settings!$E$86),"")</f>
        <v/>
      </c>
      <c r="T488" s="143">
        <f>IFERROR((R488*(1-Settings!$E$17)-C488)/(R488*(1-Settings!$E$17)),"")</f>
        <v/>
      </c>
      <c r="U488" s="149">
        <f>IFERROR(IF(R488="","",IF(R488&gt;=C488/(1-SKU_Base!AC488)/(1-Settings!$E$17),"OK",IF(R488&gt;=C488/(1-SKU_Base!AJ488)/(1-Settings!$E$17),"WARN","STOP"))),"")</f>
        <v/>
      </c>
      <c r="V488" s="159">
        <f>IFERROR(ROUND(D488*(1-CHOOSE(MATCH(IF($E488="","Основний",$E488),{"Трафіковий","Основний","Маржинальний","Сезонний","Стратегічний"},0),Settings!$F$78,Settings!$F$80,Settings!$F$82,Settings!$F$84,Settings!$F$86))/6,2)*6,"")</f>
        <v/>
      </c>
      <c r="W488" s="142">
        <f>IFERROR(CHOOSE(MATCH(IF($E488="","Основний",$E488),{"Трафіковий","Основний","Маржинальний","Сезонний","Стратегічний"},0),Settings!$F$78,Settings!$F$80,Settings!$F$82,Settings!$F$84,Settings!$F$86),"")</f>
        <v/>
      </c>
      <c r="X488" s="143">
        <f>IFERROR((V488*(1-Settings!$F$17)-C488)/(V488*(1-Settings!$F$17)),"")</f>
        <v/>
      </c>
      <c r="Y488" s="149">
        <f>IFERROR(IF(V488="","",IF(V488&gt;=C488/(1-SKU_Base!AD488)/(1-Settings!$F$17),"OK",IF(V488&gt;=C488/(1-SKU_Base!AK488)/(1-Settings!$F$17),"WARN","STOP"))),"")</f>
        <v/>
      </c>
      <c r="Z488" s="159">
        <f>IFERROR(ROUND(D488*(1-CHOOSE(MATCH(IF($E488="","Основний",$E488),{"Трафіковий","Основний","Маржинальний","Сезонний","Стратегічний"},0),Settings!$G$78,Settings!$G$80,Settings!$G$82,Settings!$G$84,Settings!$G$86))/6,2)*6,"")</f>
        <v/>
      </c>
      <c r="AA488" s="142">
        <f>IFERROR(CHOOSE(MATCH(IF($E488="","Основний",$E488),{"Трафіковий","Основний","Маржинальний","Сезонний","Стратегічний"},0),Settings!$G$78,Settings!$G$80,Settings!$G$82,Settings!$G$84,Settings!$G$86),"")</f>
        <v/>
      </c>
      <c r="AB488" s="143">
        <f>IFERROR((Z488*(1-Settings!$G$17)-C488)/(Z488*(1-Settings!$G$17)),"")</f>
        <v/>
      </c>
      <c r="AC488" s="149">
        <f>IFERROR(IF(Z488="","",IF(Z488&gt;=C488/(1-SKU_Base!AE488)/(1-Settings!$G$17),"OK",IF(Z488&gt;=C488/(1-SKU_Base!AL488)/(1-Settings!$G$17),"WARN","STOP"))),"")</f>
        <v/>
      </c>
      <c r="AD488" s="159">
        <f>IFERROR(ROUND(D488*(1-CHOOSE(MATCH(IF($E488="","Основний",$E488),{"Трафіковий","Основний","Маржинальний","Сезонний","Стратегічний"},0),Settings!$H$78,Settings!$H$80,Settings!$H$82,Settings!$H$84,Settings!$H$86))*(1-Settings!$H$68)/6,2)*6,"")</f>
        <v/>
      </c>
      <c r="AE488" s="142">
        <f>IFERROR(CHOOSE(MATCH(IF($E488="","Основний",$E488),{"Трафіковий","Основний","Маржинальний","Сезонний","Стратегічний"},0),Settings!$H$78,Settings!$H$80,Settings!$H$82,Settings!$H$84,Settings!$H$86)+(1-(CHOOSE(MATCH(IF($E488="","Основний",$E488),{"Трафіковий","Основний","Маржинальний","Сезонний","Стратегічний"},0),Settings!$H$78,Settings!$H$80,Settings!$H$82,Settings!$H$84,Settings!$H$86)))*Settings!$H$68,"")</f>
        <v/>
      </c>
      <c r="AF488" s="143">
        <f>IFERROR((AD488*(1-Settings!$H$17)-C488)/(AD488*(1-Settings!$H$17)),"")</f>
        <v/>
      </c>
      <c r="AG488" s="149">
        <f>IFERROR(IF(AD488="","",IF(AD488&gt;=C488/(1-SKU_Base!AF488)/(1-Settings!$H$17),"OK",IF(AD488&gt;=C488/(1-SKU_Base!AM488)/(1-Settings!$H$17),"WARN","STOP"))),"")</f>
        <v/>
      </c>
    </row>
    <row r="489" ht="17" customHeight="1" s="179">
      <c r="A489" s="146">
        <f>SKU_Base!B489</f>
        <v/>
      </c>
      <c r="B489" s="146">
        <f>SKU_Base!C489</f>
        <v/>
      </c>
      <c r="C489" s="147">
        <f>IFERROR(SKU_Base!I489,"")</f>
        <v/>
      </c>
      <c r="D489" s="164">
        <f>IFERROR(SKU_Base!T489,"")</f>
        <v/>
      </c>
      <c r="E489" s="141">
        <f>IFERROR(SKU_Base!$U489,"")</f>
        <v/>
      </c>
      <c r="F489" s="160">
        <f>IFERROR(ROUND(D489*(1-CHOOSE(MATCH(IF($E489="","Основний",$E489),{"Трафіковий","Основний","Маржинальний","Сезонний","Стратегічний"},0),Settings!$B$78,Settings!$B$80,Settings!$B$82,Settings!$B$84,Settings!$B$86))/6,2)*6,"")</f>
        <v/>
      </c>
      <c r="G489" s="142">
        <f>IFERROR(CHOOSE(MATCH(IF($E489="","Основний",$E489),{"Трафіковий","Основний","Маржинальний","Сезонний","Стратегічний"},0),Settings!$B$78,Settings!$B$80,Settings!$B$82,Settings!$B$84,Settings!$B$86),"")</f>
        <v/>
      </c>
      <c r="H489" s="148">
        <f>IFERROR((F489*(1-Settings!$B$17)-C489)/(F489*(1-Settings!$B$17)),"")</f>
        <v/>
      </c>
      <c r="I489" s="149">
        <f>IFERROR(IF(F489="","",IF(F489&gt;=C489/(1-SKU_Base!Z489)/(1-Settings!$B$17),"OK",IF(F489&gt;=C489/(1-SKU_Base!AG489)/(1-Settings!$B$17),"WARN","STOP"))),"")</f>
        <v/>
      </c>
      <c r="J489" s="160">
        <f>IFERROR(ROUND(D489*(1-CHOOSE(MATCH(IF($E489="","Основний",$E489),{"Трафіковий","Основний","Маржинальний","Сезонний","Стратегічний"},0),Settings!$C$78,Settings!$C$80,Settings!$C$82,Settings!$C$84,Settings!$C$86))/6,2)*6,"")</f>
        <v/>
      </c>
      <c r="K489" s="142">
        <f>IFERROR(CHOOSE(MATCH(IF($E489="","Основний",$E489),{"Трафіковий","Основний","Маржинальний","Сезонний","Стратегічний"},0),Settings!$C$78,Settings!$C$80,Settings!$C$82,Settings!$C$84,Settings!$C$86),"")</f>
        <v/>
      </c>
      <c r="L489" s="148">
        <f>IFERROR((J489*(1-Settings!$C$17)-C489)/(J489*(1-Settings!$C$17)),"")</f>
        <v/>
      </c>
      <c r="M489" s="149">
        <f>IFERROR(IF(J489="","",IF(J489&gt;=C489/(1-SKU_Base!AA489)/(1-Settings!$C$17),"OK",IF(J489&gt;=C489/(1-SKU_Base!AH489)/(1-Settings!$C$17),"WARN","STOP"))),"")</f>
        <v/>
      </c>
      <c r="N489" s="161">
        <f>IFERROR(ROUND(D489*(1-CHOOSE(MATCH(IF($E489="","Основний",$E489),{"Трафіковий","Основний","Маржинальний","Сезонний","Стратегічний"},0),Settings!$D$78,Settings!$D$80,Settings!$D$82,Settings!$D$84,Settings!$D$86))/6,2)*6,"")</f>
        <v/>
      </c>
      <c r="O489" s="142">
        <f>IFERROR(CHOOSE(MATCH(IF($E489="","Основний",$E489),{"Трафіковий","Основний","Маржинальний","Сезонний","Стратегічний"},0),Settings!$D$78,Settings!$D$80,Settings!$D$82,Settings!$D$84,Settings!$D$86),"")</f>
        <v/>
      </c>
      <c r="P489" s="148">
        <f>IFERROR((N489*(1-Settings!$D$17)-C489)/(N489*(1-Settings!$D$17)),"")</f>
        <v/>
      </c>
      <c r="Q489" s="149">
        <f>IFERROR(IF(N489="","",IF(N489&gt;=C489/(1-SKU_Base!AB489)/(1-Settings!$D$17),"OK",IF(N489&gt;=C489/(1-SKU_Base!AI489)/(1-Settings!$D$17),"WARN","STOP"))),"")</f>
        <v/>
      </c>
      <c r="R489" s="161">
        <f>IFERROR(ROUND(D489*(1-CHOOSE(MATCH(IF($E489="","Основний",$E489),{"Трафіковий","Основний","Маржинальний","Сезонний","Стратегічний"},0),Settings!$E$78,Settings!$E$80,Settings!$E$82,Settings!$E$84,Settings!$E$86))/6,2)*6,"")</f>
        <v/>
      </c>
      <c r="S489" s="142">
        <f>IFERROR(CHOOSE(MATCH(IF($E489="","Основний",$E489),{"Трафіковий","Основний","Маржинальний","Сезонний","Стратегічний"},0),Settings!$E$78,Settings!$E$80,Settings!$E$82,Settings!$E$84,Settings!$E$86),"")</f>
        <v/>
      </c>
      <c r="T489" s="148">
        <f>IFERROR((R489*(1-Settings!$E$17)-C489)/(R489*(1-Settings!$E$17)),"")</f>
        <v/>
      </c>
      <c r="U489" s="149">
        <f>IFERROR(IF(R489="","",IF(R489&gt;=C489/(1-SKU_Base!AC489)/(1-Settings!$E$17),"OK",IF(R489&gt;=C489/(1-SKU_Base!AJ489)/(1-Settings!$E$17),"WARN","STOP"))),"")</f>
        <v/>
      </c>
      <c r="V489" s="161">
        <f>IFERROR(ROUND(D489*(1-CHOOSE(MATCH(IF($E489="","Основний",$E489),{"Трафіковий","Основний","Маржинальний","Сезонний","Стратегічний"},0),Settings!$F$78,Settings!$F$80,Settings!$F$82,Settings!$F$84,Settings!$F$86))/6,2)*6,"")</f>
        <v/>
      </c>
      <c r="W489" s="142">
        <f>IFERROR(CHOOSE(MATCH(IF($E489="","Основний",$E489),{"Трафіковий","Основний","Маржинальний","Сезонний","Стратегічний"},0),Settings!$F$78,Settings!$F$80,Settings!$F$82,Settings!$F$84,Settings!$F$86),"")</f>
        <v/>
      </c>
      <c r="X489" s="148">
        <f>IFERROR((V489*(1-Settings!$F$17)-C489)/(V489*(1-Settings!$F$17)),"")</f>
        <v/>
      </c>
      <c r="Y489" s="149">
        <f>IFERROR(IF(V489="","",IF(V489&gt;=C489/(1-SKU_Base!AD489)/(1-Settings!$F$17),"OK",IF(V489&gt;=C489/(1-SKU_Base!AK489)/(1-Settings!$F$17),"WARN","STOP"))),"")</f>
        <v/>
      </c>
      <c r="Z489" s="161">
        <f>IFERROR(ROUND(D489*(1-CHOOSE(MATCH(IF($E489="","Основний",$E489),{"Трафіковий","Основний","Маржинальний","Сезонний","Стратегічний"},0),Settings!$G$78,Settings!$G$80,Settings!$G$82,Settings!$G$84,Settings!$G$86))/6,2)*6,"")</f>
        <v/>
      </c>
      <c r="AA489" s="142">
        <f>IFERROR(CHOOSE(MATCH(IF($E489="","Основний",$E489),{"Трафіковий","Основний","Маржинальний","Сезонний","Стратегічний"},0),Settings!$G$78,Settings!$G$80,Settings!$G$82,Settings!$G$84,Settings!$G$86),"")</f>
        <v/>
      </c>
      <c r="AB489" s="148">
        <f>IFERROR((Z489*(1-Settings!$G$17)-C489)/(Z489*(1-Settings!$G$17)),"")</f>
        <v/>
      </c>
      <c r="AC489" s="149">
        <f>IFERROR(IF(Z489="","",IF(Z489&gt;=C489/(1-SKU_Base!AE489)/(1-Settings!$G$17),"OK",IF(Z489&gt;=C489/(1-SKU_Base!AL489)/(1-Settings!$G$17),"WARN","STOP"))),"")</f>
        <v/>
      </c>
      <c r="AD489" s="161">
        <f>IFERROR(ROUND(D489*(1-CHOOSE(MATCH(IF($E489="","Основний",$E489),{"Трафіковий","Основний","Маржинальний","Сезонний","Стратегічний"},0),Settings!$H$78,Settings!$H$80,Settings!$H$82,Settings!$H$84,Settings!$H$86))*(1-Settings!$H$68)/6,2)*6,"")</f>
        <v/>
      </c>
      <c r="AE489" s="142">
        <f>IFERROR(CHOOSE(MATCH(IF($E489="","Основний",$E489),{"Трафіковий","Основний","Маржинальний","Сезонний","Стратегічний"},0),Settings!$H$78,Settings!$H$80,Settings!$H$82,Settings!$H$84,Settings!$H$86)+(1-(CHOOSE(MATCH(IF($E489="","Основний",$E489),{"Трафіковий","Основний","Маржинальний","Сезонний","Стратегічний"},0),Settings!$H$78,Settings!$H$80,Settings!$H$82,Settings!$H$84,Settings!$H$86)))*Settings!$H$68,"")</f>
        <v/>
      </c>
      <c r="AF489" s="148">
        <f>IFERROR((AD489*(1-Settings!$H$17)-C489)/(AD489*(1-Settings!$H$17)),"")</f>
        <v/>
      </c>
      <c r="AG489" s="149">
        <f>IFERROR(IF(AD489="","",IF(AD489&gt;=C489/(1-SKU_Base!AF489)/(1-Settings!$H$17),"OK",IF(AD489&gt;=C489/(1-SKU_Base!AM489)/(1-Settings!$H$17),"WARN","STOP"))),"")</f>
        <v/>
      </c>
    </row>
    <row r="490" ht="17" customHeight="1" s="179">
      <c r="A490" s="139">
        <f>SKU_Base!B490</f>
        <v/>
      </c>
      <c r="B490" s="139">
        <f>SKU_Base!C490</f>
        <v/>
      </c>
      <c r="C490" s="140">
        <f>IFERROR(SKU_Base!I490,"")</f>
        <v/>
      </c>
      <c r="D490" s="163">
        <f>IFERROR(SKU_Base!T490,"")</f>
        <v/>
      </c>
      <c r="E490" s="141">
        <f>IFERROR(SKU_Base!$U490,"")</f>
        <v/>
      </c>
      <c r="F490" s="158">
        <f>IFERROR(ROUND(D490*(1-CHOOSE(MATCH(IF($E490="","Основний",$E490),{"Трафіковий","Основний","Маржинальний","Сезонний","Стратегічний"},0),Settings!$B$78,Settings!$B$80,Settings!$B$82,Settings!$B$84,Settings!$B$86))/6,2)*6,"")</f>
        <v/>
      </c>
      <c r="G490" s="142">
        <f>IFERROR(CHOOSE(MATCH(IF($E490="","Основний",$E490),{"Трафіковий","Основний","Маржинальний","Сезонний","Стратегічний"},0),Settings!$B$78,Settings!$B$80,Settings!$B$82,Settings!$B$84,Settings!$B$86),"")</f>
        <v/>
      </c>
      <c r="H490" s="143">
        <f>IFERROR((F490*(1-Settings!$B$17)-C490)/(F490*(1-Settings!$B$17)),"")</f>
        <v/>
      </c>
      <c r="I490" s="149">
        <f>IFERROR(IF(F490="","",IF(F490&gt;=C490/(1-SKU_Base!Z490)/(1-Settings!$B$17),"OK",IF(F490&gt;=C490/(1-SKU_Base!AG490)/(1-Settings!$B$17),"WARN","STOP"))),"")</f>
        <v/>
      </c>
      <c r="J490" s="158">
        <f>IFERROR(ROUND(D490*(1-CHOOSE(MATCH(IF($E490="","Основний",$E490),{"Трафіковий","Основний","Маржинальний","Сезонний","Стратегічний"},0),Settings!$C$78,Settings!$C$80,Settings!$C$82,Settings!$C$84,Settings!$C$86))/6,2)*6,"")</f>
        <v/>
      </c>
      <c r="K490" s="142">
        <f>IFERROR(CHOOSE(MATCH(IF($E490="","Основний",$E490),{"Трафіковий","Основний","Маржинальний","Сезонний","Стратегічний"},0),Settings!$C$78,Settings!$C$80,Settings!$C$82,Settings!$C$84,Settings!$C$86),"")</f>
        <v/>
      </c>
      <c r="L490" s="143">
        <f>IFERROR((J490*(1-Settings!$C$17)-C490)/(J490*(1-Settings!$C$17)),"")</f>
        <v/>
      </c>
      <c r="M490" s="149">
        <f>IFERROR(IF(J490="","",IF(J490&gt;=C490/(1-SKU_Base!AA490)/(1-Settings!$C$17),"OK",IF(J490&gt;=C490/(1-SKU_Base!AH490)/(1-Settings!$C$17),"WARN","STOP"))),"")</f>
        <v/>
      </c>
      <c r="N490" s="159">
        <f>IFERROR(ROUND(D490*(1-CHOOSE(MATCH(IF($E490="","Основний",$E490),{"Трафіковий","Основний","Маржинальний","Сезонний","Стратегічний"},0),Settings!$D$78,Settings!$D$80,Settings!$D$82,Settings!$D$84,Settings!$D$86))/6,2)*6,"")</f>
        <v/>
      </c>
      <c r="O490" s="142">
        <f>IFERROR(CHOOSE(MATCH(IF($E490="","Основний",$E490),{"Трафіковий","Основний","Маржинальний","Сезонний","Стратегічний"},0),Settings!$D$78,Settings!$D$80,Settings!$D$82,Settings!$D$84,Settings!$D$86),"")</f>
        <v/>
      </c>
      <c r="P490" s="143">
        <f>IFERROR((N490*(1-Settings!$D$17)-C490)/(N490*(1-Settings!$D$17)),"")</f>
        <v/>
      </c>
      <c r="Q490" s="149">
        <f>IFERROR(IF(N490="","",IF(N490&gt;=C490/(1-SKU_Base!AB490)/(1-Settings!$D$17),"OK",IF(N490&gt;=C490/(1-SKU_Base!AI490)/(1-Settings!$D$17),"WARN","STOP"))),"")</f>
        <v/>
      </c>
      <c r="R490" s="159">
        <f>IFERROR(ROUND(D490*(1-CHOOSE(MATCH(IF($E490="","Основний",$E490),{"Трафіковий","Основний","Маржинальний","Сезонний","Стратегічний"},0),Settings!$E$78,Settings!$E$80,Settings!$E$82,Settings!$E$84,Settings!$E$86))/6,2)*6,"")</f>
        <v/>
      </c>
      <c r="S490" s="142">
        <f>IFERROR(CHOOSE(MATCH(IF($E490="","Основний",$E490),{"Трафіковий","Основний","Маржинальний","Сезонний","Стратегічний"},0),Settings!$E$78,Settings!$E$80,Settings!$E$82,Settings!$E$84,Settings!$E$86),"")</f>
        <v/>
      </c>
      <c r="T490" s="143">
        <f>IFERROR((R490*(1-Settings!$E$17)-C490)/(R490*(1-Settings!$E$17)),"")</f>
        <v/>
      </c>
      <c r="U490" s="149">
        <f>IFERROR(IF(R490="","",IF(R490&gt;=C490/(1-SKU_Base!AC490)/(1-Settings!$E$17),"OK",IF(R490&gt;=C490/(1-SKU_Base!AJ490)/(1-Settings!$E$17),"WARN","STOP"))),"")</f>
        <v/>
      </c>
      <c r="V490" s="159">
        <f>IFERROR(ROUND(D490*(1-CHOOSE(MATCH(IF($E490="","Основний",$E490),{"Трафіковий","Основний","Маржинальний","Сезонний","Стратегічний"},0),Settings!$F$78,Settings!$F$80,Settings!$F$82,Settings!$F$84,Settings!$F$86))/6,2)*6,"")</f>
        <v/>
      </c>
      <c r="W490" s="142">
        <f>IFERROR(CHOOSE(MATCH(IF($E490="","Основний",$E490),{"Трафіковий","Основний","Маржинальний","Сезонний","Стратегічний"},0),Settings!$F$78,Settings!$F$80,Settings!$F$82,Settings!$F$84,Settings!$F$86),"")</f>
        <v/>
      </c>
      <c r="X490" s="143">
        <f>IFERROR((V490*(1-Settings!$F$17)-C490)/(V490*(1-Settings!$F$17)),"")</f>
        <v/>
      </c>
      <c r="Y490" s="149">
        <f>IFERROR(IF(V490="","",IF(V490&gt;=C490/(1-SKU_Base!AD490)/(1-Settings!$F$17),"OK",IF(V490&gt;=C490/(1-SKU_Base!AK490)/(1-Settings!$F$17),"WARN","STOP"))),"")</f>
        <v/>
      </c>
      <c r="Z490" s="159">
        <f>IFERROR(ROUND(D490*(1-CHOOSE(MATCH(IF($E490="","Основний",$E490),{"Трафіковий","Основний","Маржинальний","Сезонний","Стратегічний"},0),Settings!$G$78,Settings!$G$80,Settings!$G$82,Settings!$G$84,Settings!$G$86))/6,2)*6,"")</f>
        <v/>
      </c>
      <c r="AA490" s="142">
        <f>IFERROR(CHOOSE(MATCH(IF($E490="","Основний",$E490),{"Трафіковий","Основний","Маржинальний","Сезонний","Стратегічний"},0),Settings!$G$78,Settings!$G$80,Settings!$G$82,Settings!$G$84,Settings!$G$86),"")</f>
        <v/>
      </c>
      <c r="AB490" s="143">
        <f>IFERROR((Z490*(1-Settings!$G$17)-C490)/(Z490*(1-Settings!$G$17)),"")</f>
        <v/>
      </c>
      <c r="AC490" s="149">
        <f>IFERROR(IF(Z490="","",IF(Z490&gt;=C490/(1-SKU_Base!AE490)/(1-Settings!$G$17),"OK",IF(Z490&gt;=C490/(1-SKU_Base!AL490)/(1-Settings!$G$17),"WARN","STOP"))),"")</f>
        <v/>
      </c>
      <c r="AD490" s="159">
        <f>IFERROR(ROUND(D490*(1-CHOOSE(MATCH(IF($E490="","Основний",$E490),{"Трафіковий","Основний","Маржинальний","Сезонний","Стратегічний"},0),Settings!$H$78,Settings!$H$80,Settings!$H$82,Settings!$H$84,Settings!$H$86))*(1-Settings!$H$68)/6,2)*6,"")</f>
        <v/>
      </c>
      <c r="AE490" s="142">
        <f>IFERROR(CHOOSE(MATCH(IF($E490="","Основний",$E490),{"Трафіковий","Основний","Маржинальний","Сезонний","Стратегічний"},0),Settings!$H$78,Settings!$H$80,Settings!$H$82,Settings!$H$84,Settings!$H$86)+(1-(CHOOSE(MATCH(IF($E490="","Основний",$E490),{"Трафіковий","Основний","Маржинальний","Сезонний","Стратегічний"},0),Settings!$H$78,Settings!$H$80,Settings!$H$82,Settings!$H$84,Settings!$H$86)))*Settings!$H$68,"")</f>
        <v/>
      </c>
      <c r="AF490" s="143">
        <f>IFERROR((AD490*(1-Settings!$H$17)-C490)/(AD490*(1-Settings!$H$17)),"")</f>
        <v/>
      </c>
      <c r="AG490" s="149">
        <f>IFERROR(IF(AD490="","",IF(AD490&gt;=C490/(1-SKU_Base!AF490)/(1-Settings!$H$17),"OK",IF(AD490&gt;=C490/(1-SKU_Base!AM490)/(1-Settings!$H$17),"WARN","STOP"))),"")</f>
        <v/>
      </c>
    </row>
    <row r="491" ht="17" customHeight="1" s="179">
      <c r="A491" s="146">
        <f>SKU_Base!B491</f>
        <v/>
      </c>
      <c r="B491" s="146">
        <f>SKU_Base!C491</f>
        <v/>
      </c>
      <c r="C491" s="147">
        <f>IFERROR(SKU_Base!I491,"")</f>
        <v/>
      </c>
      <c r="D491" s="164">
        <f>IFERROR(SKU_Base!T491,"")</f>
        <v/>
      </c>
      <c r="E491" s="141">
        <f>IFERROR(SKU_Base!$U491,"")</f>
        <v/>
      </c>
      <c r="F491" s="160">
        <f>IFERROR(ROUND(D491*(1-CHOOSE(MATCH(IF($E491="","Основний",$E491),{"Трафіковий","Основний","Маржинальний","Сезонний","Стратегічний"},0),Settings!$B$78,Settings!$B$80,Settings!$B$82,Settings!$B$84,Settings!$B$86))/6,2)*6,"")</f>
        <v/>
      </c>
      <c r="G491" s="142">
        <f>IFERROR(CHOOSE(MATCH(IF($E491="","Основний",$E491),{"Трафіковий","Основний","Маржинальний","Сезонний","Стратегічний"},0),Settings!$B$78,Settings!$B$80,Settings!$B$82,Settings!$B$84,Settings!$B$86),"")</f>
        <v/>
      </c>
      <c r="H491" s="148">
        <f>IFERROR((F491*(1-Settings!$B$17)-C491)/(F491*(1-Settings!$B$17)),"")</f>
        <v/>
      </c>
      <c r="I491" s="149">
        <f>IFERROR(IF(F491="","",IF(F491&gt;=C491/(1-SKU_Base!Z491)/(1-Settings!$B$17),"OK",IF(F491&gt;=C491/(1-SKU_Base!AG491)/(1-Settings!$B$17),"WARN","STOP"))),"")</f>
        <v/>
      </c>
      <c r="J491" s="160">
        <f>IFERROR(ROUND(D491*(1-CHOOSE(MATCH(IF($E491="","Основний",$E491),{"Трафіковий","Основний","Маржинальний","Сезонний","Стратегічний"},0),Settings!$C$78,Settings!$C$80,Settings!$C$82,Settings!$C$84,Settings!$C$86))/6,2)*6,"")</f>
        <v/>
      </c>
      <c r="K491" s="142">
        <f>IFERROR(CHOOSE(MATCH(IF($E491="","Основний",$E491),{"Трафіковий","Основний","Маржинальний","Сезонний","Стратегічний"},0),Settings!$C$78,Settings!$C$80,Settings!$C$82,Settings!$C$84,Settings!$C$86),"")</f>
        <v/>
      </c>
      <c r="L491" s="148">
        <f>IFERROR((J491*(1-Settings!$C$17)-C491)/(J491*(1-Settings!$C$17)),"")</f>
        <v/>
      </c>
      <c r="M491" s="149">
        <f>IFERROR(IF(J491="","",IF(J491&gt;=C491/(1-SKU_Base!AA491)/(1-Settings!$C$17),"OK",IF(J491&gt;=C491/(1-SKU_Base!AH491)/(1-Settings!$C$17),"WARN","STOP"))),"")</f>
        <v/>
      </c>
      <c r="N491" s="161">
        <f>IFERROR(ROUND(D491*(1-CHOOSE(MATCH(IF($E491="","Основний",$E491),{"Трафіковий","Основний","Маржинальний","Сезонний","Стратегічний"},0),Settings!$D$78,Settings!$D$80,Settings!$D$82,Settings!$D$84,Settings!$D$86))/6,2)*6,"")</f>
        <v/>
      </c>
      <c r="O491" s="142">
        <f>IFERROR(CHOOSE(MATCH(IF($E491="","Основний",$E491),{"Трафіковий","Основний","Маржинальний","Сезонний","Стратегічний"},0),Settings!$D$78,Settings!$D$80,Settings!$D$82,Settings!$D$84,Settings!$D$86),"")</f>
        <v/>
      </c>
      <c r="P491" s="148">
        <f>IFERROR((N491*(1-Settings!$D$17)-C491)/(N491*(1-Settings!$D$17)),"")</f>
        <v/>
      </c>
      <c r="Q491" s="149">
        <f>IFERROR(IF(N491="","",IF(N491&gt;=C491/(1-SKU_Base!AB491)/(1-Settings!$D$17),"OK",IF(N491&gt;=C491/(1-SKU_Base!AI491)/(1-Settings!$D$17),"WARN","STOP"))),"")</f>
        <v/>
      </c>
      <c r="R491" s="161">
        <f>IFERROR(ROUND(D491*(1-CHOOSE(MATCH(IF($E491="","Основний",$E491),{"Трафіковий","Основний","Маржинальний","Сезонний","Стратегічний"},0),Settings!$E$78,Settings!$E$80,Settings!$E$82,Settings!$E$84,Settings!$E$86))/6,2)*6,"")</f>
        <v/>
      </c>
      <c r="S491" s="142">
        <f>IFERROR(CHOOSE(MATCH(IF($E491="","Основний",$E491),{"Трафіковий","Основний","Маржинальний","Сезонний","Стратегічний"},0),Settings!$E$78,Settings!$E$80,Settings!$E$82,Settings!$E$84,Settings!$E$86),"")</f>
        <v/>
      </c>
      <c r="T491" s="148">
        <f>IFERROR((R491*(1-Settings!$E$17)-C491)/(R491*(1-Settings!$E$17)),"")</f>
        <v/>
      </c>
      <c r="U491" s="149">
        <f>IFERROR(IF(R491="","",IF(R491&gt;=C491/(1-SKU_Base!AC491)/(1-Settings!$E$17),"OK",IF(R491&gt;=C491/(1-SKU_Base!AJ491)/(1-Settings!$E$17),"WARN","STOP"))),"")</f>
        <v/>
      </c>
      <c r="V491" s="161">
        <f>IFERROR(ROUND(D491*(1-CHOOSE(MATCH(IF($E491="","Основний",$E491),{"Трафіковий","Основний","Маржинальний","Сезонний","Стратегічний"},0),Settings!$F$78,Settings!$F$80,Settings!$F$82,Settings!$F$84,Settings!$F$86))/6,2)*6,"")</f>
        <v/>
      </c>
      <c r="W491" s="142">
        <f>IFERROR(CHOOSE(MATCH(IF($E491="","Основний",$E491),{"Трафіковий","Основний","Маржинальний","Сезонний","Стратегічний"},0),Settings!$F$78,Settings!$F$80,Settings!$F$82,Settings!$F$84,Settings!$F$86),"")</f>
        <v/>
      </c>
      <c r="X491" s="148">
        <f>IFERROR((V491*(1-Settings!$F$17)-C491)/(V491*(1-Settings!$F$17)),"")</f>
        <v/>
      </c>
      <c r="Y491" s="149">
        <f>IFERROR(IF(V491="","",IF(V491&gt;=C491/(1-SKU_Base!AD491)/(1-Settings!$F$17),"OK",IF(V491&gt;=C491/(1-SKU_Base!AK491)/(1-Settings!$F$17),"WARN","STOP"))),"")</f>
        <v/>
      </c>
      <c r="Z491" s="161">
        <f>IFERROR(ROUND(D491*(1-CHOOSE(MATCH(IF($E491="","Основний",$E491),{"Трафіковий","Основний","Маржинальний","Сезонний","Стратегічний"},0),Settings!$G$78,Settings!$G$80,Settings!$G$82,Settings!$G$84,Settings!$G$86))/6,2)*6,"")</f>
        <v/>
      </c>
      <c r="AA491" s="142">
        <f>IFERROR(CHOOSE(MATCH(IF($E491="","Основний",$E491),{"Трафіковий","Основний","Маржинальний","Сезонний","Стратегічний"},0),Settings!$G$78,Settings!$G$80,Settings!$G$82,Settings!$G$84,Settings!$G$86),"")</f>
        <v/>
      </c>
      <c r="AB491" s="148">
        <f>IFERROR((Z491*(1-Settings!$G$17)-C491)/(Z491*(1-Settings!$G$17)),"")</f>
        <v/>
      </c>
      <c r="AC491" s="149">
        <f>IFERROR(IF(Z491="","",IF(Z491&gt;=C491/(1-SKU_Base!AE491)/(1-Settings!$G$17),"OK",IF(Z491&gt;=C491/(1-SKU_Base!AL491)/(1-Settings!$G$17),"WARN","STOP"))),"")</f>
        <v/>
      </c>
      <c r="AD491" s="161">
        <f>IFERROR(ROUND(D491*(1-CHOOSE(MATCH(IF($E491="","Основний",$E491),{"Трафіковий","Основний","Маржинальний","Сезонний","Стратегічний"},0),Settings!$H$78,Settings!$H$80,Settings!$H$82,Settings!$H$84,Settings!$H$86))*(1-Settings!$H$68)/6,2)*6,"")</f>
        <v/>
      </c>
      <c r="AE491" s="142">
        <f>IFERROR(CHOOSE(MATCH(IF($E491="","Основний",$E491),{"Трафіковий","Основний","Маржинальний","Сезонний","Стратегічний"},0),Settings!$H$78,Settings!$H$80,Settings!$H$82,Settings!$H$84,Settings!$H$86)+(1-(CHOOSE(MATCH(IF($E491="","Основний",$E491),{"Трафіковий","Основний","Маржинальний","Сезонний","Стратегічний"},0),Settings!$H$78,Settings!$H$80,Settings!$H$82,Settings!$H$84,Settings!$H$86)))*Settings!$H$68,"")</f>
        <v/>
      </c>
      <c r="AF491" s="148">
        <f>IFERROR((AD491*(1-Settings!$H$17)-C491)/(AD491*(1-Settings!$H$17)),"")</f>
        <v/>
      </c>
      <c r="AG491" s="149">
        <f>IFERROR(IF(AD491="","",IF(AD491&gt;=C491/(1-SKU_Base!AF491)/(1-Settings!$H$17),"OK",IF(AD491&gt;=C491/(1-SKU_Base!AM491)/(1-Settings!$H$17),"WARN","STOP"))),"")</f>
        <v/>
      </c>
    </row>
    <row r="492" ht="17" customHeight="1" s="179">
      <c r="A492" s="139">
        <f>SKU_Base!B492</f>
        <v/>
      </c>
      <c r="B492" s="139">
        <f>SKU_Base!C492</f>
        <v/>
      </c>
      <c r="C492" s="140">
        <f>IFERROR(SKU_Base!I492,"")</f>
        <v/>
      </c>
      <c r="D492" s="163">
        <f>IFERROR(SKU_Base!T492,"")</f>
        <v/>
      </c>
      <c r="E492" s="141">
        <f>IFERROR(SKU_Base!$U492,"")</f>
        <v/>
      </c>
      <c r="F492" s="158">
        <f>IFERROR(ROUND(D492*(1-CHOOSE(MATCH(IF($E492="","Основний",$E492),{"Трафіковий","Основний","Маржинальний","Сезонний","Стратегічний"},0),Settings!$B$78,Settings!$B$80,Settings!$B$82,Settings!$B$84,Settings!$B$86))/6,2)*6,"")</f>
        <v/>
      </c>
      <c r="G492" s="142">
        <f>IFERROR(CHOOSE(MATCH(IF($E492="","Основний",$E492),{"Трафіковий","Основний","Маржинальний","Сезонний","Стратегічний"},0),Settings!$B$78,Settings!$B$80,Settings!$B$82,Settings!$B$84,Settings!$B$86),"")</f>
        <v/>
      </c>
      <c r="H492" s="143">
        <f>IFERROR((F492*(1-Settings!$B$17)-C492)/(F492*(1-Settings!$B$17)),"")</f>
        <v/>
      </c>
      <c r="I492" s="151">
        <f>IFERROR(IF(F492="","",IF(F492&gt;=C492/(1-SKU_Base!Z492)/(1-Settings!$B$17),"OK",IF(F492&gt;=C492/(1-SKU_Base!AG492)/(1-Settings!$B$17),"WARN","STOP"))),"")</f>
        <v/>
      </c>
      <c r="J492" s="158">
        <f>IFERROR(ROUND(D492*(1-CHOOSE(MATCH(IF($E492="","Основний",$E492),{"Трафіковий","Основний","Маржинальний","Сезонний","Стратегічний"},0),Settings!$C$78,Settings!$C$80,Settings!$C$82,Settings!$C$84,Settings!$C$86))/6,2)*6,"")</f>
        <v/>
      </c>
      <c r="K492" s="142">
        <f>IFERROR(CHOOSE(MATCH(IF($E492="","Основний",$E492),{"Трафіковий","Основний","Маржинальний","Сезонний","Стратегічний"},0),Settings!$C$78,Settings!$C$80,Settings!$C$82,Settings!$C$84,Settings!$C$86),"")</f>
        <v/>
      </c>
      <c r="L492" s="143">
        <f>IFERROR((J492*(1-Settings!$C$17)-C492)/(J492*(1-Settings!$C$17)),"")</f>
        <v/>
      </c>
      <c r="M492" s="149">
        <f>IFERROR(IF(J492="","",IF(J492&gt;=C492/(1-SKU_Base!AA492)/(1-Settings!$C$17),"OK",IF(J492&gt;=C492/(1-SKU_Base!AH492)/(1-Settings!$C$17),"WARN","STOP"))),"")</f>
        <v/>
      </c>
      <c r="N492" s="159">
        <f>IFERROR(ROUND(D492*(1-CHOOSE(MATCH(IF($E492="","Основний",$E492),{"Трафіковий","Основний","Маржинальний","Сезонний","Стратегічний"},0),Settings!$D$78,Settings!$D$80,Settings!$D$82,Settings!$D$84,Settings!$D$86))/6,2)*6,"")</f>
        <v/>
      </c>
      <c r="O492" s="142">
        <f>IFERROR(CHOOSE(MATCH(IF($E492="","Основний",$E492),{"Трафіковий","Основний","Маржинальний","Сезонний","Стратегічний"},0),Settings!$D$78,Settings!$D$80,Settings!$D$82,Settings!$D$84,Settings!$D$86),"")</f>
        <v/>
      </c>
      <c r="P492" s="143">
        <f>IFERROR((N492*(1-Settings!$D$17)-C492)/(N492*(1-Settings!$D$17)),"")</f>
        <v/>
      </c>
      <c r="Q492" s="150">
        <f>IFERROR(IF(N492="","",IF(N492&gt;=C492/(1-SKU_Base!AB492)/(1-Settings!$D$17),"OK",IF(N492&gt;=C492/(1-SKU_Base!AI492)/(1-Settings!$D$17),"WARN","STOP"))),"")</f>
        <v/>
      </c>
      <c r="R492" s="159">
        <f>IFERROR(ROUND(D492*(1-CHOOSE(MATCH(IF($E492="","Основний",$E492),{"Трафіковий","Основний","Маржинальний","Сезонний","Стратегічний"},0),Settings!$E$78,Settings!$E$80,Settings!$E$82,Settings!$E$84,Settings!$E$86))/6,2)*6,"")</f>
        <v/>
      </c>
      <c r="S492" s="142">
        <f>IFERROR(CHOOSE(MATCH(IF($E492="","Основний",$E492),{"Трафіковий","Основний","Маржинальний","Сезонний","Стратегічний"},0),Settings!$E$78,Settings!$E$80,Settings!$E$82,Settings!$E$84,Settings!$E$86),"")</f>
        <v/>
      </c>
      <c r="T492" s="143">
        <f>IFERROR((R492*(1-Settings!$E$17)-C492)/(R492*(1-Settings!$E$17)),"")</f>
        <v/>
      </c>
      <c r="U492" s="149">
        <f>IFERROR(IF(R492="","",IF(R492&gt;=C492/(1-SKU_Base!AC492)/(1-Settings!$E$17),"OK",IF(R492&gt;=C492/(1-SKU_Base!AJ492)/(1-Settings!$E$17),"WARN","STOP"))),"")</f>
        <v/>
      </c>
      <c r="V492" s="159">
        <f>IFERROR(ROUND(D492*(1-CHOOSE(MATCH(IF($E492="","Основний",$E492),{"Трафіковий","Основний","Маржинальний","Сезонний","Стратегічний"},0),Settings!$F$78,Settings!$F$80,Settings!$F$82,Settings!$F$84,Settings!$F$86))/6,2)*6,"")</f>
        <v/>
      </c>
      <c r="W492" s="142">
        <f>IFERROR(CHOOSE(MATCH(IF($E492="","Основний",$E492),{"Трафіковий","Основний","Маржинальний","Сезонний","Стратегічний"},0),Settings!$F$78,Settings!$F$80,Settings!$F$82,Settings!$F$84,Settings!$F$86),"")</f>
        <v/>
      </c>
      <c r="X492" s="143">
        <f>IFERROR((V492*(1-Settings!$F$17)-C492)/(V492*(1-Settings!$F$17)),"")</f>
        <v/>
      </c>
      <c r="Y492" s="149">
        <f>IFERROR(IF(V492="","",IF(V492&gt;=C492/(1-SKU_Base!AD492)/(1-Settings!$F$17),"OK",IF(V492&gt;=C492/(1-SKU_Base!AK492)/(1-Settings!$F$17),"WARN","STOP"))),"")</f>
        <v/>
      </c>
      <c r="Z492" s="159">
        <f>IFERROR(ROUND(D492*(1-CHOOSE(MATCH(IF($E492="","Основний",$E492),{"Трафіковий","Основний","Маржинальний","Сезонний","Стратегічний"},0),Settings!$G$78,Settings!$G$80,Settings!$G$82,Settings!$G$84,Settings!$G$86))/6,2)*6,"")</f>
        <v/>
      </c>
      <c r="AA492" s="142">
        <f>IFERROR(CHOOSE(MATCH(IF($E492="","Основний",$E492),{"Трафіковий","Основний","Маржинальний","Сезонний","Стратегічний"},0),Settings!$G$78,Settings!$G$80,Settings!$G$82,Settings!$G$84,Settings!$G$86),"")</f>
        <v/>
      </c>
      <c r="AB492" s="143">
        <f>IFERROR((Z492*(1-Settings!$G$17)-C492)/(Z492*(1-Settings!$G$17)),"")</f>
        <v/>
      </c>
      <c r="AC492" s="149">
        <f>IFERROR(IF(Z492="","",IF(Z492&gt;=C492/(1-SKU_Base!AE492)/(1-Settings!$G$17),"OK",IF(Z492&gt;=C492/(1-SKU_Base!AL492)/(1-Settings!$G$17),"WARN","STOP"))),"")</f>
        <v/>
      </c>
      <c r="AD492" s="159">
        <f>IFERROR(ROUND(D492*(1-CHOOSE(MATCH(IF($E492="","Основний",$E492),{"Трафіковий","Основний","Маржинальний","Сезонний","Стратегічний"},0),Settings!$H$78,Settings!$H$80,Settings!$H$82,Settings!$H$84,Settings!$H$86))*(1-Settings!$H$68)/6,2)*6,"")</f>
        <v/>
      </c>
      <c r="AE492" s="142">
        <f>IFERROR(CHOOSE(MATCH(IF($E492="","Основний",$E492),{"Трафіковий","Основний","Маржинальний","Сезонний","Стратегічний"},0),Settings!$H$78,Settings!$H$80,Settings!$H$82,Settings!$H$84,Settings!$H$86)+(1-(CHOOSE(MATCH(IF($E492="","Основний",$E492),{"Трафіковий","Основний","Маржинальний","Сезонний","Стратегічний"},0),Settings!$H$78,Settings!$H$80,Settings!$H$82,Settings!$H$84,Settings!$H$86)))*Settings!$H$68,"")</f>
        <v/>
      </c>
      <c r="AF492" s="143">
        <f>IFERROR((AD492*(1-Settings!$H$17)-C492)/(AD492*(1-Settings!$H$17)),"")</f>
        <v/>
      </c>
      <c r="AG492" s="151">
        <f>IFERROR(IF(AD492="","",IF(AD492&gt;=C492/(1-SKU_Base!AF492)/(1-Settings!$H$17),"OK",IF(AD492&gt;=C492/(1-SKU_Base!AM492)/(1-Settings!$H$17),"WARN","STOP"))),"")</f>
        <v/>
      </c>
    </row>
    <row r="493" ht="17" customHeight="1" s="179">
      <c r="A493" s="146">
        <f>SKU_Base!B493</f>
        <v/>
      </c>
      <c r="B493" s="146">
        <f>SKU_Base!C493</f>
        <v/>
      </c>
      <c r="C493" s="147">
        <f>IFERROR(SKU_Base!I493,"")</f>
        <v/>
      </c>
      <c r="D493" s="164">
        <f>IFERROR(SKU_Base!T493,"")</f>
        <v/>
      </c>
      <c r="E493" s="141">
        <f>IFERROR(SKU_Base!$U493,"")</f>
        <v/>
      </c>
      <c r="F493" s="160">
        <f>IFERROR(ROUND(D493*(1-CHOOSE(MATCH(IF($E493="","Основний",$E493),{"Трафіковий","Основний","Маржинальний","Сезонний","Стратегічний"},0),Settings!$B$78,Settings!$B$80,Settings!$B$82,Settings!$B$84,Settings!$B$86))/6,2)*6,"")</f>
        <v/>
      </c>
      <c r="G493" s="142">
        <f>IFERROR(CHOOSE(MATCH(IF($E493="","Основний",$E493),{"Трафіковий","Основний","Маржинальний","Сезонний","Стратегічний"},0),Settings!$B$78,Settings!$B$80,Settings!$B$82,Settings!$B$84,Settings!$B$86),"")</f>
        <v/>
      </c>
      <c r="H493" s="148">
        <f>IFERROR((F493*(1-Settings!$B$17)-C493)/(F493*(1-Settings!$B$17)),"")</f>
        <v/>
      </c>
      <c r="I493" s="149">
        <f>IFERROR(IF(F493="","",IF(F493&gt;=C493/(1-SKU_Base!Z493)/(1-Settings!$B$17),"OK",IF(F493&gt;=C493/(1-SKU_Base!AG493)/(1-Settings!$B$17),"WARN","STOP"))),"")</f>
        <v/>
      </c>
      <c r="J493" s="160">
        <f>IFERROR(ROUND(D493*(1-CHOOSE(MATCH(IF($E493="","Основний",$E493),{"Трафіковий","Основний","Маржинальний","Сезонний","Стратегічний"},0),Settings!$C$78,Settings!$C$80,Settings!$C$82,Settings!$C$84,Settings!$C$86))/6,2)*6,"")</f>
        <v/>
      </c>
      <c r="K493" s="142">
        <f>IFERROR(CHOOSE(MATCH(IF($E493="","Основний",$E493),{"Трафіковий","Основний","Маржинальний","Сезонний","Стратегічний"},0),Settings!$C$78,Settings!$C$80,Settings!$C$82,Settings!$C$84,Settings!$C$86),"")</f>
        <v/>
      </c>
      <c r="L493" s="148">
        <f>IFERROR((J493*(1-Settings!$C$17)-C493)/(J493*(1-Settings!$C$17)),"")</f>
        <v/>
      </c>
      <c r="M493" s="149">
        <f>IFERROR(IF(J493="","",IF(J493&gt;=C493/(1-SKU_Base!AA493)/(1-Settings!$C$17),"OK",IF(J493&gt;=C493/(1-SKU_Base!AH493)/(1-Settings!$C$17),"WARN","STOP"))),"")</f>
        <v/>
      </c>
      <c r="N493" s="161">
        <f>IFERROR(ROUND(D493*(1-CHOOSE(MATCH(IF($E493="","Основний",$E493),{"Трафіковий","Основний","Маржинальний","Сезонний","Стратегічний"},0),Settings!$D$78,Settings!$D$80,Settings!$D$82,Settings!$D$84,Settings!$D$86))/6,2)*6,"")</f>
        <v/>
      </c>
      <c r="O493" s="142">
        <f>IFERROR(CHOOSE(MATCH(IF($E493="","Основний",$E493),{"Трафіковий","Основний","Маржинальний","Сезонний","Стратегічний"},0),Settings!$D$78,Settings!$D$80,Settings!$D$82,Settings!$D$84,Settings!$D$86),"")</f>
        <v/>
      </c>
      <c r="P493" s="148">
        <f>IFERROR((N493*(1-Settings!$D$17)-C493)/(N493*(1-Settings!$D$17)),"")</f>
        <v/>
      </c>
      <c r="Q493" s="149">
        <f>IFERROR(IF(N493="","",IF(N493&gt;=C493/(1-SKU_Base!AB493)/(1-Settings!$D$17),"OK",IF(N493&gt;=C493/(1-SKU_Base!AI493)/(1-Settings!$D$17),"WARN","STOP"))),"")</f>
        <v/>
      </c>
      <c r="R493" s="161">
        <f>IFERROR(ROUND(D493*(1-CHOOSE(MATCH(IF($E493="","Основний",$E493),{"Трафіковий","Основний","Маржинальний","Сезонний","Стратегічний"},0),Settings!$E$78,Settings!$E$80,Settings!$E$82,Settings!$E$84,Settings!$E$86))/6,2)*6,"")</f>
        <v/>
      </c>
      <c r="S493" s="142">
        <f>IFERROR(CHOOSE(MATCH(IF($E493="","Основний",$E493),{"Трафіковий","Основний","Маржинальний","Сезонний","Стратегічний"},0),Settings!$E$78,Settings!$E$80,Settings!$E$82,Settings!$E$84,Settings!$E$86),"")</f>
        <v/>
      </c>
      <c r="T493" s="148">
        <f>IFERROR((R493*(1-Settings!$E$17)-C493)/(R493*(1-Settings!$E$17)),"")</f>
        <v/>
      </c>
      <c r="U493" s="149">
        <f>IFERROR(IF(R493="","",IF(R493&gt;=C493/(1-SKU_Base!AC493)/(1-Settings!$E$17),"OK",IF(R493&gt;=C493/(1-SKU_Base!AJ493)/(1-Settings!$E$17),"WARN","STOP"))),"")</f>
        <v/>
      </c>
      <c r="V493" s="161">
        <f>IFERROR(ROUND(D493*(1-CHOOSE(MATCH(IF($E493="","Основний",$E493),{"Трафіковий","Основний","Маржинальний","Сезонний","Стратегічний"},0),Settings!$F$78,Settings!$F$80,Settings!$F$82,Settings!$F$84,Settings!$F$86))/6,2)*6,"")</f>
        <v/>
      </c>
      <c r="W493" s="142">
        <f>IFERROR(CHOOSE(MATCH(IF($E493="","Основний",$E493),{"Трафіковий","Основний","Маржинальний","Сезонний","Стратегічний"},0),Settings!$F$78,Settings!$F$80,Settings!$F$82,Settings!$F$84,Settings!$F$86),"")</f>
        <v/>
      </c>
      <c r="X493" s="148">
        <f>IFERROR((V493*(1-Settings!$F$17)-C493)/(V493*(1-Settings!$F$17)),"")</f>
        <v/>
      </c>
      <c r="Y493" s="149">
        <f>IFERROR(IF(V493="","",IF(V493&gt;=C493/(1-SKU_Base!AD493)/(1-Settings!$F$17),"OK",IF(V493&gt;=C493/(1-SKU_Base!AK493)/(1-Settings!$F$17),"WARN","STOP"))),"")</f>
        <v/>
      </c>
      <c r="Z493" s="161">
        <f>IFERROR(ROUND(D493*(1-CHOOSE(MATCH(IF($E493="","Основний",$E493),{"Трафіковий","Основний","Маржинальний","Сезонний","Стратегічний"},0),Settings!$G$78,Settings!$G$80,Settings!$G$82,Settings!$G$84,Settings!$G$86))/6,2)*6,"")</f>
        <v/>
      </c>
      <c r="AA493" s="142">
        <f>IFERROR(CHOOSE(MATCH(IF($E493="","Основний",$E493),{"Трафіковий","Основний","Маржинальний","Сезонний","Стратегічний"},0),Settings!$G$78,Settings!$G$80,Settings!$G$82,Settings!$G$84,Settings!$G$86),"")</f>
        <v/>
      </c>
      <c r="AB493" s="148">
        <f>IFERROR((Z493*(1-Settings!$G$17)-C493)/(Z493*(1-Settings!$G$17)),"")</f>
        <v/>
      </c>
      <c r="AC493" s="149">
        <f>IFERROR(IF(Z493="","",IF(Z493&gt;=C493/(1-SKU_Base!AE493)/(1-Settings!$G$17),"OK",IF(Z493&gt;=C493/(1-SKU_Base!AL493)/(1-Settings!$G$17),"WARN","STOP"))),"")</f>
        <v/>
      </c>
      <c r="AD493" s="161">
        <f>IFERROR(ROUND(D493*(1-CHOOSE(MATCH(IF($E493="","Основний",$E493),{"Трафіковий","Основний","Маржинальний","Сезонний","Стратегічний"},0),Settings!$H$78,Settings!$H$80,Settings!$H$82,Settings!$H$84,Settings!$H$86))*(1-Settings!$H$68)/6,2)*6,"")</f>
        <v/>
      </c>
      <c r="AE493" s="142">
        <f>IFERROR(CHOOSE(MATCH(IF($E493="","Основний",$E493),{"Трафіковий","Основний","Маржинальний","Сезонний","Стратегічний"},0),Settings!$H$78,Settings!$H$80,Settings!$H$82,Settings!$H$84,Settings!$H$86)+(1-(CHOOSE(MATCH(IF($E493="","Основний",$E493),{"Трафіковий","Основний","Маржинальний","Сезонний","Стратегічний"},0),Settings!$H$78,Settings!$H$80,Settings!$H$82,Settings!$H$84,Settings!$H$86)))*Settings!$H$68,"")</f>
        <v/>
      </c>
      <c r="AF493" s="148">
        <f>IFERROR((AD493*(1-Settings!$H$17)-C493)/(AD493*(1-Settings!$H$17)),"")</f>
        <v/>
      </c>
      <c r="AG493" s="149">
        <f>IFERROR(IF(AD493="","",IF(AD493&gt;=C493/(1-SKU_Base!AF493)/(1-Settings!$H$17),"OK",IF(AD493&gt;=C493/(1-SKU_Base!AM493)/(1-Settings!$H$17),"WARN","STOP"))),"")</f>
        <v/>
      </c>
    </row>
    <row r="494" ht="17" customHeight="1" s="179">
      <c r="A494" s="139">
        <f>SKU_Base!B494</f>
        <v/>
      </c>
      <c r="B494" s="139">
        <f>SKU_Base!C494</f>
        <v/>
      </c>
      <c r="C494" s="140">
        <f>IFERROR(SKU_Base!I494,"")</f>
        <v/>
      </c>
      <c r="D494" s="163">
        <f>IFERROR(SKU_Base!T494,"")</f>
        <v/>
      </c>
      <c r="E494" s="141">
        <f>IFERROR(SKU_Base!$U494,"")</f>
        <v/>
      </c>
      <c r="F494" s="158">
        <f>IFERROR(ROUND(D494*(1-CHOOSE(MATCH(IF($E494="","Основний",$E494),{"Трафіковий","Основний","Маржинальний","Сезонний","Стратегічний"},0),Settings!$B$78,Settings!$B$80,Settings!$B$82,Settings!$B$84,Settings!$B$86))/6,2)*6,"")</f>
        <v/>
      </c>
      <c r="G494" s="142">
        <f>IFERROR(CHOOSE(MATCH(IF($E494="","Основний",$E494),{"Трафіковий","Основний","Маржинальний","Сезонний","Стратегічний"},0),Settings!$B$78,Settings!$B$80,Settings!$B$82,Settings!$B$84,Settings!$B$86),"")</f>
        <v/>
      </c>
      <c r="H494" s="143">
        <f>IFERROR((F494*(1-Settings!$B$17)-C494)/(F494*(1-Settings!$B$17)),"")</f>
        <v/>
      </c>
      <c r="I494" s="149">
        <f>IFERROR(IF(F494="","",IF(F494&gt;=C494/(1-SKU_Base!Z494)/(1-Settings!$B$17),"OK",IF(F494&gt;=C494/(1-SKU_Base!AG494)/(1-Settings!$B$17),"WARN","STOP"))),"")</f>
        <v/>
      </c>
      <c r="J494" s="158">
        <f>IFERROR(ROUND(D494*(1-CHOOSE(MATCH(IF($E494="","Основний",$E494),{"Трафіковий","Основний","Маржинальний","Сезонний","Стратегічний"},0),Settings!$C$78,Settings!$C$80,Settings!$C$82,Settings!$C$84,Settings!$C$86))/6,2)*6,"")</f>
        <v/>
      </c>
      <c r="K494" s="142">
        <f>IFERROR(CHOOSE(MATCH(IF($E494="","Основний",$E494),{"Трафіковий","Основний","Маржинальний","Сезонний","Стратегічний"},0),Settings!$C$78,Settings!$C$80,Settings!$C$82,Settings!$C$84,Settings!$C$86),"")</f>
        <v/>
      </c>
      <c r="L494" s="143">
        <f>IFERROR((J494*(1-Settings!$C$17)-C494)/(J494*(1-Settings!$C$17)),"")</f>
        <v/>
      </c>
      <c r="M494" s="149">
        <f>IFERROR(IF(J494="","",IF(J494&gt;=C494/(1-SKU_Base!AA494)/(1-Settings!$C$17),"OK",IF(J494&gt;=C494/(1-SKU_Base!AH494)/(1-Settings!$C$17),"WARN","STOP"))),"")</f>
        <v/>
      </c>
      <c r="N494" s="159">
        <f>IFERROR(ROUND(D494*(1-CHOOSE(MATCH(IF($E494="","Основний",$E494),{"Трафіковий","Основний","Маржинальний","Сезонний","Стратегічний"},0),Settings!$D$78,Settings!$D$80,Settings!$D$82,Settings!$D$84,Settings!$D$86))/6,2)*6,"")</f>
        <v/>
      </c>
      <c r="O494" s="142">
        <f>IFERROR(CHOOSE(MATCH(IF($E494="","Основний",$E494),{"Трафіковий","Основний","Маржинальний","Сезонний","Стратегічний"},0),Settings!$D$78,Settings!$D$80,Settings!$D$82,Settings!$D$84,Settings!$D$86),"")</f>
        <v/>
      </c>
      <c r="P494" s="143">
        <f>IFERROR((N494*(1-Settings!$D$17)-C494)/(N494*(1-Settings!$D$17)),"")</f>
        <v/>
      </c>
      <c r="Q494" s="149">
        <f>IFERROR(IF(N494="","",IF(N494&gt;=C494/(1-SKU_Base!AB494)/(1-Settings!$D$17),"OK",IF(N494&gt;=C494/(1-SKU_Base!AI494)/(1-Settings!$D$17),"WARN","STOP"))),"")</f>
        <v/>
      </c>
      <c r="R494" s="159">
        <f>IFERROR(ROUND(D494*(1-CHOOSE(MATCH(IF($E494="","Основний",$E494),{"Трафіковий","Основний","Маржинальний","Сезонний","Стратегічний"},0),Settings!$E$78,Settings!$E$80,Settings!$E$82,Settings!$E$84,Settings!$E$86))/6,2)*6,"")</f>
        <v/>
      </c>
      <c r="S494" s="142">
        <f>IFERROR(CHOOSE(MATCH(IF($E494="","Основний",$E494),{"Трафіковий","Основний","Маржинальний","Сезонний","Стратегічний"},0),Settings!$E$78,Settings!$E$80,Settings!$E$82,Settings!$E$84,Settings!$E$86),"")</f>
        <v/>
      </c>
      <c r="T494" s="143">
        <f>IFERROR((R494*(1-Settings!$E$17)-C494)/(R494*(1-Settings!$E$17)),"")</f>
        <v/>
      </c>
      <c r="U494" s="149">
        <f>IFERROR(IF(R494="","",IF(R494&gt;=C494/(1-SKU_Base!AC494)/(1-Settings!$E$17),"OK",IF(R494&gt;=C494/(1-SKU_Base!AJ494)/(1-Settings!$E$17),"WARN","STOP"))),"")</f>
        <v/>
      </c>
      <c r="V494" s="159">
        <f>IFERROR(ROUND(D494*(1-CHOOSE(MATCH(IF($E494="","Основний",$E494),{"Трафіковий","Основний","Маржинальний","Сезонний","Стратегічний"},0),Settings!$F$78,Settings!$F$80,Settings!$F$82,Settings!$F$84,Settings!$F$86))/6,2)*6,"")</f>
        <v/>
      </c>
      <c r="W494" s="142">
        <f>IFERROR(CHOOSE(MATCH(IF($E494="","Основний",$E494),{"Трафіковий","Основний","Маржинальний","Сезонний","Стратегічний"},0),Settings!$F$78,Settings!$F$80,Settings!$F$82,Settings!$F$84,Settings!$F$86),"")</f>
        <v/>
      </c>
      <c r="X494" s="143">
        <f>IFERROR((V494*(1-Settings!$F$17)-C494)/(V494*(1-Settings!$F$17)),"")</f>
        <v/>
      </c>
      <c r="Y494" s="149">
        <f>IFERROR(IF(V494="","",IF(V494&gt;=C494/(1-SKU_Base!AD494)/(1-Settings!$F$17),"OK",IF(V494&gt;=C494/(1-SKU_Base!AK494)/(1-Settings!$F$17),"WARN","STOP"))),"")</f>
        <v/>
      </c>
      <c r="Z494" s="159">
        <f>IFERROR(ROUND(D494*(1-CHOOSE(MATCH(IF($E494="","Основний",$E494),{"Трафіковий","Основний","Маржинальний","Сезонний","Стратегічний"},0),Settings!$G$78,Settings!$G$80,Settings!$G$82,Settings!$G$84,Settings!$G$86))/6,2)*6,"")</f>
        <v/>
      </c>
      <c r="AA494" s="142">
        <f>IFERROR(CHOOSE(MATCH(IF($E494="","Основний",$E494),{"Трафіковий","Основний","Маржинальний","Сезонний","Стратегічний"},0),Settings!$G$78,Settings!$G$80,Settings!$G$82,Settings!$G$84,Settings!$G$86),"")</f>
        <v/>
      </c>
      <c r="AB494" s="143">
        <f>IFERROR((Z494*(1-Settings!$G$17)-C494)/(Z494*(1-Settings!$G$17)),"")</f>
        <v/>
      </c>
      <c r="AC494" s="149">
        <f>IFERROR(IF(Z494="","",IF(Z494&gt;=C494/(1-SKU_Base!AE494)/(1-Settings!$G$17),"OK",IF(Z494&gt;=C494/(1-SKU_Base!AL494)/(1-Settings!$G$17),"WARN","STOP"))),"")</f>
        <v/>
      </c>
      <c r="AD494" s="159">
        <f>IFERROR(ROUND(D494*(1-CHOOSE(MATCH(IF($E494="","Основний",$E494),{"Трафіковий","Основний","Маржинальний","Сезонний","Стратегічний"},0),Settings!$H$78,Settings!$H$80,Settings!$H$82,Settings!$H$84,Settings!$H$86))*(1-Settings!$H$68)/6,2)*6,"")</f>
        <v/>
      </c>
      <c r="AE494" s="142">
        <f>IFERROR(CHOOSE(MATCH(IF($E494="","Основний",$E494),{"Трафіковий","Основний","Маржинальний","Сезонний","Стратегічний"},0),Settings!$H$78,Settings!$H$80,Settings!$H$82,Settings!$H$84,Settings!$H$86)+(1-(CHOOSE(MATCH(IF($E494="","Основний",$E494),{"Трафіковий","Основний","Маржинальний","Сезонний","Стратегічний"},0),Settings!$H$78,Settings!$H$80,Settings!$H$82,Settings!$H$84,Settings!$H$86)))*Settings!$H$68,"")</f>
        <v/>
      </c>
      <c r="AF494" s="143">
        <f>IFERROR((AD494*(1-Settings!$H$17)-C494)/(AD494*(1-Settings!$H$17)),"")</f>
        <v/>
      </c>
      <c r="AG494" s="149">
        <f>IFERROR(IF(AD494="","",IF(AD494&gt;=C494/(1-SKU_Base!AF494)/(1-Settings!$H$17),"OK",IF(AD494&gt;=C494/(1-SKU_Base!AM494)/(1-Settings!$H$17),"WARN","STOP"))),"")</f>
        <v/>
      </c>
    </row>
    <row r="495" ht="17" customHeight="1" s="179">
      <c r="A495" s="146">
        <f>SKU_Base!B495</f>
        <v/>
      </c>
      <c r="B495" s="146">
        <f>SKU_Base!C495</f>
        <v/>
      </c>
      <c r="C495" s="147">
        <f>IFERROR(SKU_Base!I495,"")</f>
        <v/>
      </c>
      <c r="D495" s="164">
        <f>IFERROR(SKU_Base!T495,"")</f>
        <v/>
      </c>
      <c r="E495" s="141">
        <f>IFERROR(SKU_Base!$U495,"")</f>
        <v/>
      </c>
      <c r="F495" s="160">
        <f>IFERROR(ROUND(D495*(1-CHOOSE(MATCH(IF($E495="","Основний",$E495),{"Трафіковий","Основний","Маржинальний","Сезонний","Стратегічний"},0),Settings!$B$78,Settings!$B$80,Settings!$B$82,Settings!$B$84,Settings!$B$86))/6,2)*6,"")</f>
        <v/>
      </c>
      <c r="G495" s="142">
        <f>IFERROR(CHOOSE(MATCH(IF($E495="","Основний",$E495),{"Трафіковий","Основний","Маржинальний","Сезонний","Стратегічний"},0),Settings!$B$78,Settings!$B$80,Settings!$B$82,Settings!$B$84,Settings!$B$86),"")</f>
        <v/>
      </c>
      <c r="H495" s="148">
        <f>IFERROR((F495*(1-Settings!$B$17)-C495)/(F495*(1-Settings!$B$17)),"")</f>
        <v/>
      </c>
      <c r="I495" s="149">
        <f>IFERROR(IF(F495="","",IF(F495&gt;=C495/(1-SKU_Base!Z495)/(1-Settings!$B$17),"OK",IF(F495&gt;=C495/(1-SKU_Base!AG495)/(1-Settings!$B$17),"WARN","STOP"))),"")</f>
        <v/>
      </c>
      <c r="J495" s="160">
        <f>IFERROR(ROUND(D495*(1-CHOOSE(MATCH(IF($E495="","Основний",$E495),{"Трафіковий","Основний","Маржинальний","Сезонний","Стратегічний"},0),Settings!$C$78,Settings!$C$80,Settings!$C$82,Settings!$C$84,Settings!$C$86))/6,2)*6,"")</f>
        <v/>
      </c>
      <c r="K495" s="142">
        <f>IFERROR(CHOOSE(MATCH(IF($E495="","Основний",$E495),{"Трафіковий","Основний","Маржинальний","Сезонний","Стратегічний"},0),Settings!$C$78,Settings!$C$80,Settings!$C$82,Settings!$C$84,Settings!$C$86),"")</f>
        <v/>
      </c>
      <c r="L495" s="148">
        <f>IFERROR((J495*(1-Settings!$C$17)-C495)/(J495*(1-Settings!$C$17)),"")</f>
        <v/>
      </c>
      <c r="M495" s="149">
        <f>IFERROR(IF(J495="","",IF(J495&gt;=C495/(1-SKU_Base!AA495)/(1-Settings!$C$17),"OK",IF(J495&gt;=C495/(1-SKU_Base!AH495)/(1-Settings!$C$17),"WARN","STOP"))),"")</f>
        <v/>
      </c>
      <c r="N495" s="161">
        <f>IFERROR(ROUND(D495*(1-CHOOSE(MATCH(IF($E495="","Основний",$E495),{"Трафіковий","Основний","Маржинальний","Сезонний","Стратегічний"},0),Settings!$D$78,Settings!$D$80,Settings!$D$82,Settings!$D$84,Settings!$D$86))/6,2)*6,"")</f>
        <v/>
      </c>
      <c r="O495" s="142">
        <f>IFERROR(CHOOSE(MATCH(IF($E495="","Основний",$E495),{"Трафіковий","Основний","Маржинальний","Сезонний","Стратегічний"},0),Settings!$D$78,Settings!$D$80,Settings!$D$82,Settings!$D$84,Settings!$D$86),"")</f>
        <v/>
      </c>
      <c r="P495" s="148">
        <f>IFERROR((N495*(1-Settings!$D$17)-C495)/(N495*(1-Settings!$D$17)),"")</f>
        <v/>
      </c>
      <c r="Q495" s="149">
        <f>IFERROR(IF(N495="","",IF(N495&gt;=C495/(1-SKU_Base!AB495)/(1-Settings!$D$17),"OK",IF(N495&gt;=C495/(1-SKU_Base!AI495)/(1-Settings!$D$17),"WARN","STOP"))),"")</f>
        <v/>
      </c>
      <c r="R495" s="161">
        <f>IFERROR(ROUND(D495*(1-CHOOSE(MATCH(IF($E495="","Основний",$E495),{"Трафіковий","Основний","Маржинальний","Сезонний","Стратегічний"},0),Settings!$E$78,Settings!$E$80,Settings!$E$82,Settings!$E$84,Settings!$E$86))/6,2)*6,"")</f>
        <v/>
      </c>
      <c r="S495" s="142">
        <f>IFERROR(CHOOSE(MATCH(IF($E495="","Основний",$E495),{"Трафіковий","Основний","Маржинальний","Сезонний","Стратегічний"},0),Settings!$E$78,Settings!$E$80,Settings!$E$82,Settings!$E$84,Settings!$E$86),"")</f>
        <v/>
      </c>
      <c r="T495" s="148">
        <f>IFERROR((R495*(1-Settings!$E$17)-C495)/(R495*(1-Settings!$E$17)),"")</f>
        <v/>
      </c>
      <c r="U495" s="149">
        <f>IFERROR(IF(R495="","",IF(R495&gt;=C495/(1-SKU_Base!AC495)/(1-Settings!$E$17),"OK",IF(R495&gt;=C495/(1-SKU_Base!AJ495)/(1-Settings!$E$17),"WARN","STOP"))),"")</f>
        <v/>
      </c>
      <c r="V495" s="161">
        <f>IFERROR(ROUND(D495*(1-CHOOSE(MATCH(IF($E495="","Основний",$E495),{"Трафіковий","Основний","Маржинальний","Сезонний","Стратегічний"},0),Settings!$F$78,Settings!$F$80,Settings!$F$82,Settings!$F$84,Settings!$F$86))/6,2)*6,"")</f>
        <v/>
      </c>
      <c r="W495" s="142">
        <f>IFERROR(CHOOSE(MATCH(IF($E495="","Основний",$E495),{"Трафіковий","Основний","Маржинальний","Сезонний","Стратегічний"},0),Settings!$F$78,Settings!$F$80,Settings!$F$82,Settings!$F$84,Settings!$F$86),"")</f>
        <v/>
      </c>
      <c r="X495" s="148">
        <f>IFERROR((V495*(1-Settings!$F$17)-C495)/(V495*(1-Settings!$F$17)),"")</f>
        <v/>
      </c>
      <c r="Y495" s="149">
        <f>IFERROR(IF(V495="","",IF(V495&gt;=C495/(1-SKU_Base!AD495)/(1-Settings!$F$17),"OK",IF(V495&gt;=C495/(1-SKU_Base!AK495)/(1-Settings!$F$17),"WARN","STOP"))),"")</f>
        <v/>
      </c>
      <c r="Z495" s="161">
        <f>IFERROR(ROUND(D495*(1-CHOOSE(MATCH(IF($E495="","Основний",$E495),{"Трафіковий","Основний","Маржинальний","Сезонний","Стратегічний"},0),Settings!$G$78,Settings!$G$80,Settings!$G$82,Settings!$G$84,Settings!$G$86))/6,2)*6,"")</f>
        <v/>
      </c>
      <c r="AA495" s="142">
        <f>IFERROR(CHOOSE(MATCH(IF($E495="","Основний",$E495),{"Трафіковий","Основний","Маржинальний","Сезонний","Стратегічний"},0),Settings!$G$78,Settings!$G$80,Settings!$G$82,Settings!$G$84,Settings!$G$86),"")</f>
        <v/>
      </c>
      <c r="AB495" s="148">
        <f>IFERROR((Z495*(1-Settings!$G$17)-C495)/(Z495*(1-Settings!$G$17)),"")</f>
        <v/>
      </c>
      <c r="AC495" s="149">
        <f>IFERROR(IF(Z495="","",IF(Z495&gt;=C495/(1-SKU_Base!AE495)/(1-Settings!$G$17),"OK",IF(Z495&gt;=C495/(1-SKU_Base!AL495)/(1-Settings!$G$17),"WARN","STOP"))),"")</f>
        <v/>
      </c>
      <c r="AD495" s="161">
        <f>IFERROR(ROUND(D495*(1-CHOOSE(MATCH(IF($E495="","Основний",$E495),{"Трафіковий","Основний","Маржинальний","Сезонний","Стратегічний"},0),Settings!$H$78,Settings!$H$80,Settings!$H$82,Settings!$H$84,Settings!$H$86))*(1-Settings!$H$68)/6,2)*6,"")</f>
        <v/>
      </c>
      <c r="AE495" s="142">
        <f>IFERROR(CHOOSE(MATCH(IF($E495="","Основний",$E495),{"Трафіковий","Основний","Маржинальний","Сезонний","Стратегічний"},0),Settings!$H$78,Settings!$H$80,Settings!$H$82,Settings!$H$84,Settings!$H$86)+(1-(CHOOSE(MATCH(IF($E495="","Основний",$E495),{"Трафіковий","Основний","Маржинальний","Сезонний","Стратегічний"},0),Settings!$H$78,Settings!$H$80,Settings!$H$82,Settings!$H$84,Settings!$H$86)))*Settings!$H$68,"")</f>
        <v/>
      </c>
      <c r="AF495" s="148">
        <f>IFERROR((AD495*(1-Settings!$H$17)-C495)/(AD495*(1-Settings!$H$17)),"")</f>
        <v/>
      </c>
      <c r="AG495" s="149">
        <f>IFERROR(IF(AD495="","",IF(AD495&gt;=C495/(1-SKU_Base!AF495)/(1-Settings!$H$17),"OK",IF(AD495&gt;=C495/(1-SKU_Base!AM495)/(1-Settings!$H$17),"WARN","STOP"))),"")</f>
        <v/>
      </c>
    </row>
    <row r="496" ht="17" customHeight="1" s="179">
      <c r="A496" s="139">
        <f>SKU_Base!B496</f>
        <v/>
      </c>
      <c r="B496" s="139">
        <f>SKU_Base!C496</f>
        <v/>
      </c>
      <c r="C496" s="140">
        <f>IFERROR(SKU_Base!I496,"")</f>
        <v/>
      </c>
      <c r="D496" s="163">
        <f>IFERROR(SKU_Base!T496,"")</f>
        <v/>
      </c>
      <c r="E496" s="141">
        <f>IFERROR(SKU_Base!$U496,"")</f>
        <v/>
      </c>
      <c r="F496" s="158">
        <f>IFERROR(ROUND(D496*(1-CHOOSE(MATCH(IF($E496="","Основний",$E496),{"Трафіковий","Основний","Маржинальний","Сезонний","Стратегічний"},0),Settings!$B$78,Settings!$B$80,Settings!$B$82,Settings!$B$84,Settings!$B$86))/6,2)*6,"")</f>
        <v/>
      </c>
      <c r="G496" s="142">
        <f>IFERROR(CHOOSE(MATCH(IF($E496="","Основний",$E496),{"Трафіковий","Основний","Маржинальний","Сезонний","Стратегічний"},0),Settings!$B$78,Settings!$B$80,Settings!$B$82,Settings!$B$84,Settings!$B$86),"")</f>
        <v/>
      </c>
      <c r="H496" s="143">
        <f>IFERROR((F496*(1-Settings!$B$17)-C496)/(F496*(1-Settings!$B$17)),"")</f>
        <v/>
      </c>
      <c r="I496" s="150">
        <f>IFERROR(IF(F496="","",IF(F496&gt;=C496/(1-SKU_Base!Z496)/(1-Settings!$B$17),"OK",IF(F496&gt;=C496/(1-SKU_Base!AG496)/(1-Settings!$B$17),"WARN","STOP"))),"")</f>
        <v/>
      </c>
      <c r="J496" s="158">
        <f>IFERROR(ROUND(D496*(1-CHOOSE(MATCH(IF($E496="","Основний",$E496),{"Трафіковий","Основний","Маржинальний","Сезонний","Стратегічний"},0),Settings!$C$78,Settings!$C$80,Settings!$C$82,Settings!$C$84,Settings!$C$86))/6,2)*6,"")</f>
        <v/>
      </c>
      <c r="K496" s="142">
        <f>IFERROR(CHOOSE(MATCH(IF($E496="","Основний",$E496),{"Трафіковий","Основний","Маржинальний","Сезонний","Стратегічний"},0),Settings!$C$78,Settings!$C$80,Settings!$C$82,Settings!$C$84,Settings!$C$86),"")</f>
        <v/>
      </c>
      <c r="L496" s="143">
        <f>IFERROR((J496*(1-Settings!$C$17)-C496)/(J496*(1-Settings!$C$17)),"")</f>
        <v/>
      </c>
      <c r="M496" s="149">
        <f>IFERROR(IF(J496="","",IF(J496&gt;=C496/(1-SKU_Base!AA496)/(1-Settings!$C$17),"OK",IF(J496&gt;=C496/(1-SKU_Base!AH496)/(1-Settings!$C$17),"WARN","STOP"))),"")</f>
        <v/>
      </c>
      <c r="N496" s="159">
        <f>IFERROR(ROUND(D496*(1-CHOOSE(MATCH(IF($E496="","Основний",$E496),{"Трафіковий","Основний","Маржинальний","Сезонний","Стратегічний"},0),Settings!$D$78,Settings!$D$80,Settings!$D$82,Settings!$D$84,Settings!$D$86))/6,2)*6,"")</f>
        <v/>
      </c>
      <c r="O496" s="142">
        <f>IFERROR(CHOOSE(MATCH(IF($E496="","Основний",$E496),{"Трафіковий","Основний","Маржинальний","Сезонний","Стратегічний"},0),Settings!$D$78,Settings!$D$80,Settings!$D$82,Settings!$D$84,Settings!$D$86),"")</f>
        <v/>
      </c>
      <c r="P496" s="143">
        <f>IFERROR((N496*(1-Settings!$D$17)-C496)/(N496*(1-Settings!$D$17)),"")</f>
        <v/>
      </c>
      <c r="Q496" s="149">
        <f>IFERROR(IF(N496="","",IF(N496&gt;=C496/(1-SKU_Base!AB496)/(1-Settings!$D$17),"OK",IF(N496&gt;=C496/(1-SKU_Base!AI496)/(1-Settings!$D$17),"WARN","STOP"))),"")</f>
        <v/>
      </c>
      <c r="R496" s="159">
        <f>IFERROR(ROUND(D496*(1-CHOOSE(MATCH(IF($E496="","Основний",$E496),{"Трафіковий","Основний","Маржинальний","Сезонний","Стратегічний"},0),Settings!$E$78,Settings!$E$80,Settings!$E$82,Settings!$E$84,Settings!$E$86))/6,2)*6,"")</f>
        <v/>
      </c>
      <c r="S496" s="142">
        <f>IFERROR(CHOOSE(MATCH(IF($E496="","Основний",$E496),{"Трафіковий","Основний","Маржинальний","Сезонний","Стратегічний"},0),Settings!$E$78,Settings!$E$80,Settings!$E$82,Settings!$E$84,Settings!$E$86),"")</f>
        <v/>
      </c>
      <c r="T496" s="143">
        <f>IFERROR((R496*(1-Settings!$E$17)-C496)/(R496*(1-Settings!$E$17)),"")</f>
        <v/>
      </c>
      <c r="U496" s="149">
        <f>IFERROR(IF(R496="","",IF(R496&gt;=C496/(1-SKU_Base!AC496)/(1-Settings!$E$17),"OK",IF(R496&gt;=C496/(1-SKU_Base!AJ496)/(1-Settings!$E$17),"WARN","STOP"))),"")</f>
        <v/>
      </c>
      <c r="V496" s="159">
        <f>IFERROR(ROUND(D496*(1-CHOOSE(MATCH(IF($E496="","Основний",$E496),{"Трафіковий","Основний","Маржинальний","Сезонний","Стратегічний"},0),Settings!$F$78,Settings!$F$80,Settings!$F$82,Settings!$F$84,Settings!$F$86))/6,2)*6,"")</f>
        <v/>
      </c>
      <c r="W496" s="142">
        <f>IFERROR(CHOOSE(MATCH(IF($E496="","Основний",$E496),{"Трафіковий","Основний","Маржинальний","Сезонний","Стратегічний"},0),Settings!$F$78,Settings!$F$80,Settings!$F$82,Settings!$F$84,Settings!$F$86),"")</f>
        <v/>
      </c>
      <c r="X496" s="143">
        <f>IFERROR((V496*(1-Settings!$F$17)-C496)/(V496*(1-Settings!$F$17)),"")</f>
        <v/>
      </c>
      <c r="Y496" s="149">
        <f>IFERROR(IF(V496="","",IF(V496&gt;=C496/(1-SKU_Base!AD496)/(1-Settings!$F$17),"OK",IF(V496&gt;=C496/(1-SKU_Base!AK496)/(1-Settings!$F$17),"WARN","STOP"))),"")</f>
        <v/>
      </c>
      <c r="Z496" s="159">
        <f>IFERROR(ROUND(D496*(1-CHOOSE(MATCH(IF($E496="","Основний",$E496),{"Трафіковий","Основний","Маржинальний","Сезонний","Стратегічний"},0),Settings!$G$78,Settings!$G$80,Settings!$G$82,Settings!$G$84,Settings!$G$86))/6,2)*6,"")</f>
        <v/>
      </c>
      <c r="AA496" s="142">
        <f>IFERROR(CHOOSE(MATCH(IF($E496="","Основний",$E496),{"Трафіковий","Основний","Маржинальний","Сезонний","Стратегічний"},0),Settings!$G$78,Settings!$G$80,Settings!$G$82,Settings!$G$84,Settings!$G$86),"")</f>
        <v/>
      </c>
      <c r="AB496" s="143">
        <f>IFERROR((Z496*(1-Settings!$G$17)-C496)/(Z496*(1-Settings!$G$17)),"")</f>
        <v/>
      </c>
      <c r="AC496" s="149">
        <f>IFERROR(IF(Z496="","",IF(Z496&gt;=C496/(1-SKU_Base!AE496)/(1-Settings!$G$17),"OK",IF(Z496&gt;=C496/(1-SKU_Base!AL496)/(1-Settings!$G$17),"WARN","STOP"))),"")</f>
        <v/>
      </c>
      <c r="AD496" s="159">
        <f>IFERROR(ROUND(D496*(1-CHOOSE(MATCH(IF($E496="","Основний",$E496),{"Трафіковий","Основний","Маржинальний","Сезонний","Стратегічний"},0),Settings!$H$78,Settings!$H$80,Settings!$H$82,Settings!$H$84,Settings!$H$86))*(1-Settings!$H$68)/6,2)*6,"")</f>
        <v/>
      </c>
      <c r="AE496" s="142">
        <f>IFERROR(CHOOSE(MATCH(IF($E496="","Основний",$E496),{"Трафіковий","Основний","Маржинальний","Сезонний","Стратегічний"},0),Settings!$H$78,Settings!$H$80,Settings!$H$82,Settings!$H$84,Settings!$H$86)+(1-(CHOOSE(MATCH(IF($E496="","Основний",$E496),{"Трафіковий","Основний","Маржинальний","Сезонний","Стратегічний"},0),Settings!$H$78,Settings!$H$80,Settings!$H$82,Settings!$H$84,Settings!$H$86)))*Settings!$H$68,"")</f>
        <v/>
      </c>
      <c r="AF496" s="143">
        <f>IFERROR((AD496*(1-Settings!$H$17)-C496)/(AD496*(1-Settings!$H$17)),"")</f>
        <v/>
      </c>
      <c r="AG496" s="151">
        <f>IFERROR(IF(AD496="","",IF(AD496&gt;=C496/(1-SKU_Base!AF496)/(1-Settings!$H$17),"OK",IF(AD496&gt;=C496/(1-SKU_Base!AM496)/(1-Settings!$H$17),"WARN","STOP"))),"")</f>
        <v/>
      </c>
    </row>
    <row r="497" ht="17" customHeight="1" s="179">
      <c r="A497" s="146">
        <f>SKU_Base!B497</f>
        <v/>
      </c>
      <c r="B497" s="146">
        <f>SKU_Base!C497</f>
        <v/>
      </c>
      <c r="C497" s="147">
        <f>IFERROR(SKU_Base!I497,"")</f>
        <v/>
      </c>
      <c r="D497" s="164">
        <f>IFERROR(SKU_Base!T497,"")</f>
        <v/>
      </c>
      <c r="E497" s="141">
        <f>IFERROR(SKU_Base!$U497,"")</f>
        <v/>
      </c>
      <c r="F497" s="160">
        <f>IFERROR(ROUND(D497*(1-CHOOSE(MATCH(IF($E497="","Основний",$E497),{"Трафіковий","Основний","Маржинальний","Сезонний","Стратегічний"},0),Settings!$B$78,Settings!$B$80,Settings!$B$82,Settings!$B$84,Settings!$B$86))/6,2)*6,"")</f>
        <v/>
      </c>
      <c r="G497" s="142">
        <f>IFERROR(CHOOSE(MATCH(IF($E497="","Основний",$E497),{"Трафіковий","Основний","Маржинальний","Сезонний","Стратегічний"},0),Settings!$B$78,Settings!$B$80,Settings!$B$82,Settings!$B$84,Settings!$B$86),"")</f>
        <v/>
      </c>
      <c r="H497" s="148">
        <f>IFERROR((F497*(1-Settings!$B$17)-C497)/(F497*(1-Settings!$B$17)),"")</f>
        <v/>
      </c>
      <c r="I497" s="149">
        <f>IFERROR(IF(F497="","",IF(F497&gt;=C497/(1-SKU_Base!Z497)/(1-Settings!$B$17),"OK",IF(F497&gt;=C497/(1-SKU_Base!AG497)/(1-Settings!$B$17),"WARN","STOP"))),"")</f>
        <v/>
      </c>
      <c r="J497" s="160">
        <f>IFERROR(ROUND(D497*(1-CHOOSE(MATCH(IF($E497="","Основний",$E497),{"Трафіковий","Основний","Маржинальний","Сезонний","Стратегічний"},0),Settings!$C$78,Settings!$C$80,Settings!$C$82,Settings!$C$84,Settings!$C$86))/6,2)*6,"")</f>
        <v/>
      </c>
      <c r="K497" s="142">
        <f>IFERROR(CHOOSE(MATCH(IF($E497="","Основний",$E497),{"Трафіковий","Основний","Маржинальний","Сезонний","Стратегічний"},0),Settings!$C$78,Settings!$C$80,Settings!$C$82,Settings!$C$84,Settings!$C$86),"")</f>
        <v/>
      </c>
      <c r="L497" s="148">
        <f>IFERROR((J497*(1-Settings!$C$17)-C497)/(J497*(1-Settings!$C$17)),"")</f>
        <v/>
      </c>
      <c r="M497" s="149">
        <f>IFERROR(IF(J497="","",IF(J497&gt;=C497/(1-SKU_Base!AA497)/(1-Settings!$C$17),"OK",IF(J497&gt;=C497/(1-SKU_Base!AH497)/(1-Settings!$C$17),"WARN","STOP"))),"")</f>
        <v/>
      </c>
      <c r="N497" s="161">
        <f>IFERROR(ROUND(D497*(1-CHOOSE(MATCH(IF($E497="","Основний",$E497),{"Трафіковий","Основний","Маржинальний","Сезонний","Стратегічний"},0),Settings!$D$78,Settings!$D$80,Settings!$D$82,Settings!$D$84,Settings!$D$86))/6,2)*6,"")</f>
        <v/>
      </c>
      <c r="O497" s="142">
        <f>IFERROR(CHOOSE(MATCH(IF($E497="","Основний",$E497),{"Трафіковий","Основний","Маржинальний","Сезонний","Стратегічний"},0),Settings!$D$78,Settings!$D$80,Settings!$D$82,Settings!$D$84,Settings!$D$86),"")</f>
        <v/>
      </c>
      <c r="P497" s="148">
        <f>IFERROR((N497*(1-Settings!$D$17)-C497)/(N497*(1-Settings!$D$17)),"")</f>
        <v/>
      </c>
      <c r="Q497" s="149">
        <f>IFERROR(IF(N497="","",IF(N497&gt;=C497/(1-SKU_Base!AB497)/(1-Settings!$D$17),"OK",IF(N497&gt;=C497/(1-SKU_Base!AI497)/(1-Settings!$D$17),"WARN","STOP"))),"")</f>
        <v/>
      </c>
      <c r="R497" s="161">
        <f>IFERROR(ROUND(D497*(1-CHOOSE(MATCH(IF($E497="","Основний",$E497),{"Трафіковий","Основний","Маржинальний","Сезонний","Стратегічний"},0),Settings!$E$78,Settings!$E$80,Settings!$E$82,Settings!$E$84,Settings!$E$86))/6,2)*6,"")</f>
        <v/>
      </c>
      <c r="S497" s="142">
        <f>IFERROR(CHOOSE(MATCH(IF($E497="","Основний",$E497),{"Трафіковий","Основний","Маржинальний","Сезонний","Стратегічний"},0),Settings!$E$78,Settings!$E$80,Settings!$E$82,Settings!$E$84,Settings!$E$86),"")</f>
        <v/>
      </c>
      <c r="T497" s="148">
        <f>IFERROR((R497*(1-Settings!$E$17)-C497)/(R497*(1-Settings!$E$17)),"")</f>
        <v/>
      </c>
      <c r="U497" s="149">
        <f>IFERROR(IF(R497="","",IF(R497&gt;=C497/(1-SKU_Base!AC497)/(1-Settings!$E$17),"OK",IF(R497&gt;=C497/(1-SKU_Base!AJ497)/(1-Settings!$E$17),"WARN","STOP"))),"")</f>
        <v/>
      </c>
      <c r="V497" s="161">
        <f>IFERROR(ROUND(D497*(1-CHOOSE(MATCH(IF($E497="","Основний",$E497),{"Трафіковий","Основний","Маржинальний","Сезонний","Стратегічний"},0),Settings!$F$78,Settings!$F$80,Settings!$F$82,Settings!$F$84,Settings!$F$86))/6,2)*6,"")</f>
        <v/>
      </c>
      <c r="W497" s="142">
        <f>IFERROR(CHOOSE(MATCH(IF($E497="","Основний",$E497),{"Трафіковий","Основний","Маржинальний","Сезонний","Стратегічний"},0),Settings!$F$78,Settings!$F$80,Settings!$F$82,Settings!$F$84,Settings!$F$86),"")</f>
        <v/>
      </c>
      <c r="X497" s="148">
        <f>IFERROR((V497*(1-Settings!$F$17)-C497)/(V497*(1-Settings!$F$17)),"")</f>
        <v/>
      </c>
      <c r="Y497" s="149">
        <f>IFERROR(IF(V497="","",IF(V497&gt;=C497/(1-SKU_Base!AD497)/(1-Settings!$F$17),"OK",IF(V497&gt;=C497/(1-SKU_Base!AK497)/(1-Settings!$F$17),"WARN","STOP"))),"")</f>
        <v/>
      </c>
      <c r="Z497" s="161">
        <f>IFERROR(ROUND(D497*(1-CHOOSE(MATCH(IF($E497="","Основний",$E497),{"Трафіковий","Основний","Маржинальний","Сезонний","Стратегічний"},0),Settings!$G$78,Settings!$G$80,Settings!$G$82,Settings!$G$84,Settings!$G$86))/6,2)*6,"")</f>
        <v/>
      </c>
      <c r="AA497" s="142">
        <f>IFERROR(CHOOSE(MATCH(IF($E497="","Основний",$E497),{"Трафіковий","Основний","Маржинальний","Сезонний","Стратегічний"},0),Settings!$G$78,Settings!$G$80,Settings!$G$82,Settings!$G$84,Settings!$G$86),"")</f>
        <v/>
      </c>
      <c r="AB497" s="148">
        <f>IFERROR((Z497*(1-Settings!$G$17)-C497)/(Z497*(1-Settings!$G$17)),"")</f>
        <v/>
      </c>
      <c r="AC497" s="149">
        <f>IFERROR(IF(Z497="","",IF(Z497&gt;=C497/(1-SKU_Base!AE497)/(1-Settings!$G$17),"OK",IF(Z497&gt;=C497/(1-SKU_Base!AL497)/(1-Settings!$G$17),"WARN","STOP"))),"")</f>
        <v/>
      </c>
      <c r="AD497" s="161">
        <f>IFERROR(ROUND(D497*(1-CHOOSE(MATCH(IF($E497="","Основний",$E497),{"Трафіковий","Основний","Маржинальний","Сезонний","Стратегічний"},0),Settings!$H$78,Settings!$H$80,Settings!$H$82,Settings!$H$84,Settings!$H$86))*(1-Settings!$H$68)/6,2)*6,"")</f>
        <v/>
      </c>
      <c r="AE497" s="142">
        <f>IFERROR(CHOOSE(MATCH(IF($E497="","Основний",$E497),{"Трафіковий","Основний","Маржинальний","Сезонний","Стратегічний"},0),Settings!$H$78,Settings!$H$80,Settings!$H$82,Settings!$H$84,Settings!$H$86)+(1-(CHOOSE(MATCH(IF($E497="","Основний",$E497),{"Трафіковий","Основний","Маржинальний","Сезонний","Стратегічний"},0),Settings!$H$78,Settings!$H$80,Settings!$H$82,Settings!$H$84,Settings!$H$86)))*Settings!$H$68,"")</f>
        <v/>
      </c>
      <c r="AF497" s="148">
        <f>IFERROR((AD497*(1-Settings!$H$17)-C497)/(AD497*(1-Settings!$H$17)),"")</f>
        <v/>
      </c>
      <c r="AG497" s="149">
        <f>IFERROR(IF(AD497="","",IF(AD497&gt;=C497/(1-SKU_Base!AF497)/(1-Settings!$H$17),"OK",IF(AD497&gt;=C497/(1-SKU_Base!AM497)/(1-Settings!$H$17),"WARN","STOP"))),"")</f>
        <v/>
      </c>
    </row>
    <row r="498" ht="17" customHeight="1" s="179">
      <c r="A498" s="139">
        <f>SKU_Base!B498</f>
        <v/>
      </c>
      <c r="B498" s="139">
        <f>SKU_Base!C498</f>
        <v/>
      </c>
      <c r="C498" s="140">
        <f>IFERROR(SKU_Base!I498,"")</f>
        <v/>
      </c>
      <c r="D498" s="163">
        <f>IFERROR(SKU_Base!T498,"")</f>
        <v/>
      </c>
      <c r="E498" s="141">
        <f>IFERROR(SKU_Base!$U498,"")</f>
        <v/>
      </c>
      <c r="F498" s="158">
        <f>IFERROR(ROUND(D498*(1-CHOOSE(MATCH(IF($E498="","Основний",$E498),{"Трафіковий","Основний","Маржинальний","Сезонний","Стратегічний"},0),Settings!$B$78,Settings!$B$80,Settings!$B$82,Settings!$B$84,Settings!$B$86))/6,2)*6,"")</f>
        <v/>
      </c>
      <c r="G498" s="142">
        <f>IFERROR(CHOOSE(MATCH(IF($E498="","Основний",$E498),{"Трафіковий","Основний","Маржинальний","Сезонний","Стратегічний"},0),Settings!$B$78,Settings!$B$80,Settings!$B$82,Settings!$B$84,Settings!$B$86),"")</f>
        <v/>
      </c>
      <c r="H498" s="143">
        <f>IFERROR((F498*(1-Settings!$B$17)-C498)/(F498*(1-Settings!$B$17)),"")</f>
        <v/>
      </c>
      <c r="I498" s="149">
        <f>IFERROR(IF(F498="","",IF(F498&gt;=C498/(1-SKU_Base!Z498)/(1-Settings!$B$17),"OK",IF(F498&gt;=C498/(1-SKU_Base!AG498)/(1-Settings!$B$17),"WARN","STOP"))),"")</f>
        <v/>
      </c>
      <c r="J498" s="158">
        <f>IFERROR(ROUND(D498*(1-CHOOSE(MATCH(IF($E498="","Основний",$E498),{"Трафіковий","Основний","Маржинальний","Сезонний","Стратегічний"},0),Settings!$C$78,Settings!$C$80,Settings!$C$82,Settings!$C$84,Settings!$C$86))/6,2)*6,"")</f>
        <v/>
      </c>
      <c r="K498" s="142">
        <f>IFERROR(CHOOSE(MATCH(IF($E498="","Основний",$E498),{"Трафіковий","Основний","Маржинальний","Сезонний","Стратегічний"},0),Settings!$C$78,Settings!$C$80,Settings!$C$82,Settings!$C$84,Settings!$C$86),"")</f>
        <v/>
      </c>
      <c r="L498" s="143">
        <f>IFERROR((J498*(1-Settings!$C$17)-C498)/(J498*(1-Settings!$C$17)),"")</f>
        <v/>
      </c>
      <c r="M498" s="149">
        <f>IFERROR(IF(J498="","",IF(J498&gt;=C498/(1-SKU_Base!AA498)/(1-Settings!$C$17),"OK",IF(J498&gt;=C498/(1-SKU_Base!AH498)/(1-Settings!$C$17),"WARN","STOP"))),"")</f>
        <v/>
      </c>
      <c r="N498" s="159">
        <f>IFERROR(ROUND(D498*(1-CHOOSE(MATCH(IF($E498="","Основний",$E498),{"Трафіковий","Основний","Маржинальний","Сезонний","Стратегічний"},0),Settings!$D$78,Settings!$D$80,Settings!$D$82,Settings!$D$84,Settings!$D$86))/6,2)*6,"")</f>
        <v/>
      </c>
      <c r="O498" s="142">
        <f>IFERROR(CHOOSE(MATCH(IF($E498="","Основний",$E498),{"Трафіковий","Основний","Маржинальний","Сезонний","Стратегічний"},0),Settings!$D$78,Settings!$D$80,Settings!$D$82,Settings!$D$84,Settings!$D$86),"")</f>
        <v/>
      </c>
      <c r="P498" s="143">
        <f>IFERROR((N498*(1-Settings!$D$17)-C498)/(N498*(1-Settings!$D$17)),"")</f>
        <v/>
      </c>
      <c r="Q498" s="149">
        <f>IFERROR(IF(N498="","",IF(N498&gt;=C498/(1-SKU_Base!AB498)/(1-Settings!$D$17),"OK",IF(N498&gt;=C498/(1-SKU_Base!AI498)/(1-Settings!$D$17),"WARN","STOP"))),"")</f>
        <v/>
      </c>
      <c r="R498" s="159">
        <f>IFERROR(ROUND(D498*(1-CHOOSE(MATCH(IF($E498="","Основний",$E498),{"Трафіковий","Основний","Маржинальний","Сезонний","Стратегічний"},0),Settings!$E$78,Settings!$E$80,Settings!$E$82,Settings!$E$84,Settings!$E$86))/6,2)*6,"")</f>
        <v/>
      </c>
      <c r="S498" s="142">
        <f>IFERROR(CHOOSE(MATCH(IF($E498="","Основний",$E498),{"Трафіковий","Основний","Маржинальний","Сезонний","Стратегічний"},0),Settings!$E$78,Settings!$E$80,Settings!$E$82,Settings!$E$84,Settings!$E$86),"")</f>
        <v/>
      </c>
      <c r="T498" s="143">
        <f>IFERROR((R498*(1-Settings!$E$17)-C498)/(R498*(1-Settings!$E$17)),"")</f>
        <v/>
      </c>
      <c r="U498" s="149">
        <f>IFERROR(IF(R498="","",IF(R498&gt;=C498/(1-SKU_Base!AC498)/(1-Settings!$E$17),"OK",IF(R498&gt;=C498/(1-SKU_Base!AJ498)/(1-Settings!$E$17),"WARN","STOP"))),"")</f>
        <v/>
      </c>
      <c r="V498" s="159">
        <f>IFERROR(ROUND(D498*(1-CHOOSE(MATCH(IF($E498="","Основний",$E498),{"Трафіковий","Основний","Маржинальний","Сезонний","Стратегічний"},0),Settings!$F$78,Settings!$F$80,Settings!$F$82,Settings!$F$84,Settings!$F$86))/6,2)*6,"")</f>
        <v/>
      </c>
      <c r="W498" s="142">
        <f>IFERROR(CHOOSE(MATCH(IF($E498="","Основний",$E498),{"Трафіковий","Основний","Маржинальний","Сезонний","Стратегічний"},0),Settings!$F$78,Settings!$F$80,Settings!$F$82,Settings!$F$84,Settings!$F$86),"")</f>
        <v/>
      </c>
      <c r="X498" s="143">
        <f>IFERROR((V498*(1-Settings!$F$17)-C498)/(V498*(1-Settings!$F$17)),"")</f>
        <v/>
      </c>
      <c r="Y498" s="149">
        <f>IFERROR(IF(V498="","",IF(V498&gt;=C498/(1-SKU_Base!AD498)/(1-Settings!$F$17),"OK",IF(V498&gt;=C498/(1-SKU_Base!AK498)/(1-Settings!$F$17),"WARN","STOP"))),"")</f>
        <v/>
      </c>
      <c r="Z498" s="159">
        <f>IFERROR(ROUND(D498*(1-CHOOSE(MATCH(IF($E498="","Основний",$E498),{"Трафіковий","Основний","Маржинальний","Сезонний","Стратегічний"},0),Settings!$G$78,Settings!$G$80,Settings!$G$82,Settings!$G$84,Settings!$G$86))/6,2)*6,"")</f>
        <v/>
      </c>
      <c r="AA498" s="142">
        <f>IFERROR(CHOOSE(MATCH(IF($E498="","Основний",$E498),{"Трафіковий","Основний","Маржинальний","Сезонний","Стратегічний"},0),Settings!$G$78,Settings!$G$80,Settings!$G$82,Settings!$G$84,Settings!$G$86),"")</f>
        <v/>
      </c>
      <c r="AB498" s="143">
        <f>IFERROR((Z498*(1-Settings!$G$17)-C498)/(Z498*(1-Settings!$G$17)),"")</f>
        <v/>
      </c>
      <c r="AC498" s="149">
        <f>IFERROR(IF(Z498="","",IF(Z498&gt;=C498/(1-SKU_Base!AE498)/(1-Settings!$G$17),"OK",IF(Z498&gt;=C498/(1-SKU_Base!AL498)/(1-Settings!$G$17),"WARN","STOP"))),"")</f>
        <v/>
      </c>
      <c r="AD498" s="159">
        <f>IFERROR(ROUND(D498*(1-CHOOSE(MATCH(IF($E498="","Основний",$E498),{"Трафіковий","Основний","Маржинальний","Сезонний","Стратегічний"},0),Settings!$H$78,Settings!$H$80,Settings!$H$82,Settings!$H$84,Settings!$H$86))*(1-Settings!$H$68)/6,2)*6,"")</f>
        <v/>
      </c>
      <c r="AE498" s="142">
        <f>IFERROR(CHOOSE(MATCH(IF($E498="","Основний",$E498),{"Трафіковий","Основний","Маржинальний","Сезонний","Стратегічний"},0),Settings!$H$78,Settings!$H$80,Settings!$H$82,Settings!$H$84,Settings!$H$86)+(1-(CHOOSE(MATCH(IF($E498="","Основний",$E498),{"Трафіковий","Основний","Маржинальний","Сезонний","Стратегічний"},0),Settings!$H$78,Settings!$H$80,Settings!$H$82,Settings!$H$84,Settings!$H$86)))*Settings!$H$68,"")</f>
        <v/>
      </c>
      <c r="AF498" s="143">
        <f>IFERROR((AD498*(1-Settings!$H$17)-C498)/(AD498*(1-Settings!$H$17)),"")</f>
        <v/>
      </c>
      <c r="AG498" s="149">
        <f>IFERROR(IF(AD498="","",IF(AD498&gt;=C498/(1-SKU_Base!AF498)/(1-Settings!$H$17),"OK",IF(AD498&gt;=C498/(1-SKU_Base!AM498)/(1-Settings!$H$17),"WARN","STOP"))),"")</f>
        <v/>
      </c>
    </row>
    <row r="499" ht="17" customHeight="1" s="179">
      <c r="A499" s="146">
        <f>SKU_Base!B499</f>
        <v/>
      </c>
      <c r="B499" s="146">
        <f>SKU_Base!C499</f>
        <v/>
      </c>
      <c r="C499" s="147">
        <f>IFERROR(SKU_Base!I499,"")</f>
        <v/>
      </c>
      <c r="D499" s="164">
        <f>IFERROR(SKU_Base!T499,"")</f>
        <v/>
      </c>
      <c r="E499" s="141">
        <f>IFERROR(SKU_Base!$U499,"")</f>
        <v/>
      </c>
      <c r="F499" s="160">
        <f>IFERROR(ROUND(D499*(1-CHOOSE(MATCH(IF($E499="","Основний",$E499),{"Трафіковий","Основний","Маржинальний","Сезонний","Стратегічний"},0),Settings!$B$78,Settings!$B$80,Settings!$B$82,Settings!$B$84,Settings!$B$86))/6,2)*6,"")</f>
        <v/>
      </c>
      <c r="G499" s="142">
        <f>IFERROR(CHOOSE(MATCH(IF($E499="","Основний",$E499),{"Трафіковий","Основний","Маржинальний","Сезонний","Стратегічний"},0),Settings!$B$78,Settings!$B$80,Settings!$B$82,Settings!$B$84,Settings!$B$86),"")</f>
        <v/>
      </c>
      <c r="H499" s="148">
        <f>IFERROR((F499*(1-Settings!$B$17)-C499)/(F499*(1-Settings!$B$17)),"")</f>
        <v/>
      </c>
      <c r="I499" s="149">
        <f>IFERROR(IF(F499="","",IF(F499&gt;=C499/(1-SKU_Base!Z499)/(1-Settings!$B$17),"OK",IF(F499&gt;=C499/(1-SKU_Base!AG499)/(1-Settings!$B$17),"WARN","STOP"))),"")</f>
        <v/>
      </c>
      <c r="J499" s="160">
        <f>IFERROR(ROUND(D499*(1-CHOOSE(MATCH(IF($E499="","Основний",$E499),{"Трафіковий","Основний","Маржинальний","Сезонний","Стратегічний"},0),Settings!$C$78,Settings!$C$80,Settings!$C$82,Settings!$C$84,Settings!$C$86))/6,2)*6,"")</f>
        <v/>
      </c>
      <c r="K499" s="142">
        <f>IFERROR(CHOOSE(MATCH(IF($E499="","Основний",$E499),{"Трафіковий","Основний","Маржинальний","Сезонний","Стратегічний"},0),Settings!$C$78,Settings!$C$80,Settings!$C$82,Settings!$C$84,Settings!$C$86),"")</f>
        <v/>
      </c>
      <c r="L499" s="148">
        <f>IFERROR((J499*(1-Settings!$C$17)-C499)/(J499*(1-Settings!$C$17)),"")</f>
        <v/>
      </c>
      <c r="M499" s="149">
        <f>IFERROR(IF(J499="","",IF(J499&gt;=C499/(1-SKU_Base!AA499)/(1-Settings!$C$17),"OK",IF(J499&gt;=C499/(1-SKU_Base!AH499)/(1-Settings!$C$17),"WARN","STOP"))),"")</f>
        <v/>
      </c>
      <c r="N499" s="161">
        <f>IFERROR(ROUND(D499*(1-CHOOSE(MATCH(IF($E499="","Основний",$E499),{"Трафіковий","Основний","Маржинальний","Сезонний","Стратегічний"},0),Settings!$D$78,Settings!$D$80,Settings!$D$82,Settings!$D$84,Settings!$D$86))/6,2)*6,"")</f>
        <v/>
      </c>
      <c r="O499" s="142">
        <f>IFERROR(CHOOSE(MATCH(IF($E499="","Основний",$E499),{"Трафіковий","Основний","Маржинальний","Сезонний","Стратегічний"},0),Settings!$D$78,Settings!$D$80,Settings!$D$82,Settings!$D$84,Settings!$D$86),"")</f>
        <v/>
      </c>
      <c r="P499" s="148">
        <f>IFERROR((N499*(1-Settings!$D$17)-C499)/(N499*(1-Settings!$D$17)),"")</f>
        <v/>
      </c>
      <c r="Q499" s="149">
        <f>IFERROR(IF(N499="","",IF(N499&gt;=C499/(1-SKU_Base!AB499)/(1-Settings!$D$17),"OK",IF(N499&gt;=C499/(1-SKU_Base!AI499)/(1-Settings!$D$17),"WARN","STOP"))),"")</f>
        <v/>
      </c>
      <c r="R499" s="161">
        <f>IFERROR(ROUND(D499*(1-CHOOSE(MATCH(IF($E499="","Основний",$E499),{"Трафіковий","Основний","Маржинальний","Сезонний","Стратегічний"},0),Settings!$E$78,Settings!$E$80,Settings!$E$82,Settings!$E$84,Settings!$E$86))/6,2)*6,"")</f>
        <v/>
      </c>
      <c r="S499" s="142">
        <f>IFERROR(CHOOSE(MATCH(IF($E499="","Основний",$E499),{"Трафіковий","Основний","Маржинальний","Сезонний","Стратегічний"},0),Settings!$E$78,Settings!$E$80,Settings!$E$82,Settings!$E$84,Settings!$E$86),"")</f>
        <v/>
      </c>
      <c r="T499" s="148">
        <f>IFERROR((R499*(1-Settings!$E$17)-C499)/(R499*(1-Settings!$E$17)),"")</f>
        <v/>
      </c>
      <c r="U499" s="149">
        <f>IFERROR(IF(R499="","",IF(R499&gt;=C499/(1-SKU_Base!AC499)/(1-Settings!$E$17),"OK",IF(R499&gt;=C499/(1-SKU_Base!AJ499)/(1-Settings!$E$17),"WARN","STOP"))),"")</f>
        <v/>
      </c>
      <c r="V499" s="161">
        <f>IFERROR(ROUND(D499*(1-CHOOSE(MATCH(IF($E499="","Основний",$E499),{"Трафіковий","Основний","Маржинальний","Сезонний","Стратегічний"},0),Settings!$F$78,Settings!$F$80,Settings!$F$82,Settings!$F$84,Settings!$F$86))/6,2)*6,"")</f>
        <v/>
      </c>
      <c r="W499" s="142">
        <f>IFERROR(CHOOSE(MATCH(IF($E499="","Основний",$E499),{"Трафіковий","Основний","Маржинальний","Сезонний","Стратегічний"},0),Settings!$F$78,Settings!$F$80,Settings!$F$82,Settings!$F$84,Settings!$F$86),"")</f>
        <v/>
      </c>
      <c r="X499" s="148">
        <f>IFERROR((V499*(1-Settings!$F$17)-C499)/(V499*(1-Settings!$F$17)),"")</f>
        <v/>
      </c>
      <c r="Y499" s="149">
        <f>IFERROR(IF(V499="","",IF(V499&gt;=C499/(1-SKU_Base!AD499)/(1-Settings!$F$17),"OK",IF(V499&gt;=C499/(1-SKU_Base!AK499)/(1-Settings!$F$17),"WARN","STOP"))),"")</f>
        <v/>
      </c>
      <c r="Z499" s="161">
        <f>IFERROR(ROUND(D499*(1-CHOOSE(MATCH(IF($E499="","Основний",$E499),{"Трафіковий","Основний","Маржинальний","Сезонний","Стратегічний"},0),Settings!$G$78,Settings!$G$80,Settings!$G$82,Settings!$G$84,Settings!$G$86))/6,2)*6,"")</f>
        <v/>
      </c>
      <c r="AA499" s="142">
        <f>IFERROR(CHOOSE(MATCH(IF($E499="","Основний",$E499),{"Трафіковий","Основний","Маржинальний","Сезонний","Стратегічний"},0),Settings!$G$78,Settings!$G$80,Settings!$G$82,Settings!$G$84,Settings!$G$86),"")</f>
        <v/>
      </c>
      <c r="AB499" s="148">
        <f>IFERROR((Z499*(1-Settings!$G$17)-C499)/(Z499*(1-Settings!$G$17)),"")</f>
        <v/>
      </c>
      <c r="AC499" s="149">
        <f>IFERROR(IF(Z499="","",IF(Z499&gt;=C499/(1-SKU_Base!AE499)/(1-Settings!$G$17),"OK",IF(Z499&gt;=C499/(1-SKU_Base!AL499)/(1-Settings!$G$17),"WARN","STOP"))),"")</f>
        <v/>
      </c>
      <c r="AD499" s="161">
        <f>IFERROR(ROUND(D499*(1-CHOOSE(MATCH(IF($E499="","Основний",$E499),{"Трафіковий","Основний","Маржинальний","Сезонний","Стратегічний"},0),Settings!$H$78,Settings!$H$80,Settings!$H$82,Settings!$H$84,Settings!$H$86))*(1-Settings!$H$68)/6,2)*6,"")</f>
        <v/>
      </c>
      <c r="AE499" s="142">
        <f>IFERROR(CHOOSE(MATCH(IF($E499="","Основний",$E499),{"Трафіковий","Основний","Маржинальний","Сезонний","Стратегічний"},0),Settings!$H$78,Settings!$H$80,Settings!$H$82,Settings!$H$84,Settings!$H$86)+(1-(CHOOSE(MATCH(IF($E499="","Основний",$E499),{"Трафіковий","Основний","Маржинальний","Сезонний","Стратегічний"},0),Settings!$H$78,Settings!$H$80,Settings!$H$82,Settings!$H$84,Settings!$H$86)))*Settings!$H$68,"")</f>
        <v/>
      </c>
      <c r="AF499" s="148">
        <f>IFERROR((AD499*(1-Settings!$H$17)-C499)/(AD499*(1-Settings!$H$17)),"")</f>
        <v/>
      </c>
      <c r="AG499" s="149">
        <f>IFERROR(IF(AD499="","",IF(AD499&gt;=C499/(1-SKU_Base!AF499)/(1-Settings!$H$17),"OK",IF(AD499&gt;=C499/(1-SKU_Base!AM499)/(1-Settings!$H$17),"WARN","STOP"))),"")</f>
        <v/>
      </c>
    </row>
    <row r="500" ht="17" customHeight="1" s="179">
      <c r="A500" s="139">
        <f>SKU_Base!B500</f>
        <v/>
      </c>
      <c r="B500" s="139">
        <f>SKU_Base!C500</f>
        <v/>
      </c>
      <c r="C500" s="140">
        <f>IFERROR(SKU_Base!I500,"")</f>
        <v/>
      </c>
      <c r="D500" s="163">
        <f>IFERROR(SKU_Base!T500,"")</f>
        <v/>
      </c>
      <c r="E500" s="141">
        <f>IFERROR(SKU_Base!$U500,"")</f>
        <v/>
      </c>
      <c r="F500" s="158">
        <f>IFERROR(ROUND(D500*(1-CHOOSE(MATCH(IF($E500="","Основний",$E500),{"Трафіковий","Основний","Маржинальний","Сезонний","Стратегічний"},0),Settings!$B$78,Settings!$B$80,Settings!$B$82,Settings!$B$84,Settings!$B$86))/6,2)*6,"")</f>
        <v/>
      </c>
      <c r="G500" s="142">
        <f>IFERROR(CHOOSE(MATCH(IF($E500="","Основний",$E500),{"Трафіковий","Основний","Маржинальний","Сезонний","Стратегічний"},0),Settings!$B$78,Settings!$B$80,Settings!$B$82,Settings!$B$84,Settings!$B$86),"")</f>
        <v/>
      </c>
      <c r="H500" s="143">
        <f>IFERROR((F500*(1-Settings!$B$17)-C500)/(F500*(1-Settings!$B$17)),"")</f>
        <v/>
      </c>
      <c r="I500" s="149">
        <f>IFERROR(IF(F500="","",IF(F500&gt;=C500/(1-SKU_Base!Z500)/(1-Settings!$B$17),"OK",IF(F500&gt;=C500/(1-SKU_Base!AG500)/(1-Settings!$B$17),"WARN","STOP"))),"")</f>
        <v/>
      </c>
      <c r="J500" s="158">
        <f>IFERROR(ROUND(D500*(1-CHOOSE(MATCH(IF($E500="","Основний",$E500),{"Трафіковий","Основний","Маржинальний","Сезонний","Стратегічний"},0),Settings!$C$78,Settings!$C$80,Settings!$C$82,Settings!$C$84,Settings!$C$86))/6,2)*6,"")</f>
        <v/>
      </c>
      <c r="K500" s="142">
        <f>IFERROR(CHOOSE(MATCH(IF($E500="","Основний",$E500),{"Трафіковий","Основний","Маржинальний","Сезонний","Стратегічний"},0),Settings!$C$78,Settings!$C$80,Settings!$C$82,Settings!$C$84,Settings!$C$86),"")</f>
        <v/>
      </c>
      <c r="L500" s="143">
        <f>IFERROR((J500*(1-Settings!$C$17)-C500)/(J500*(1-Settings!$C$17)),"")</f>
        <v/>
      </c>
      <c r="M500" s="149">
        <f>IFERROR(IF(J500="","",IF(J500&gt;=C500/(1-SKU_Base!AA500)/(1-Settings!$C$17),"OK",IF(J500&gt;=C500/(1-SKU_Base!AH500)/(1-Settings!$C$17),"WARN","STOP"))),"")</f>
        <v/>
      </c>
      <c r="N500" s="159">
        <f>IFERROR(ROUND(D500*(1-CHOOSE(MATCH(IF($E500="","Основний",$E500),{"Трафіковий","Основний","Маржинальний","Сезонний","Стратегічний"},0),Settings!$D$78,Settings!$D$80,Settings!$D$82,Settings!$D$84,Settings!$D$86))/6,2)*6,"")</f>
        <v/>
      </c>
      <c r="O500" s="142">
        <f>IFERROR(CHOOSE(MATCH(IF($E500="","Основний",$E500),{"Трафіковий","Основний","Маржинальний","Сезонний","Стратегічний"},0),Settings!$D$78,Settings!$D$80,Settings!$D$82,Settings!$D$84,Settings!$D$86),"")</f>
        <v/>
      </c>
      <c r="P500" s="143">
        <f>IFERROR((N500*(1-Settings!$D$17)-C500)/(N500*(1-Settings!$D$17)),"")</f>
        <v/>
      </c>
      <c r="Q500" s="149">
        <f>IFERROR(IF(N500="","",IF(N500&gt;=C500/(1-SKU_Base!AB500)/(1-Settings!$D$17),"OK",IF(N500&gt;=C500/(1-SKU_Base!AI500)/(1-Settings!$D$17),"WARN","STOP"))),"")</f>
        <v/>
      </c>
      <c r="R500" s="159">
        <f>IFERROR(ROUND(D500*(1-CHOOSE(MATCH(IF($E500="","Основний",$E500),{"Трафіковий","Основний","Маржинальний","Сезонний","Стратегічний"},0),Settings!$E$78,Settings!$E$80,Settings!$E$82,Settings!$E$84,Settings!$E$86))/6,2)*6,"")</f>
        <v/>
      </c>
      <c r="S500" s="142">
        <f>IFERROR(CHOOSE(MATCH(IF($E500="","Основний",$E500),{"Трафіковий","Основний","Маржинальний","Сезонний","Стратегічний"},0),Settings!$E$78,Settings!$E$80,Settings!$E$82,Settings!$E$84,Settings!$E$86),"")</f>
        <v/>
      </c>
      <c r="T500" s="143">
        <f>IFERROR((R500*(1-Settings!$E$17)-C500)/(R500*(1-Settings!$E$17)),"")</f>
        <v/>
      </c>
      <c r="U500" s="149">
        <f>IFERROR(IF(R500="","",IF(R500&gt;=C500/(1-SKU_Base!AC500)/(1-Settings!$E$17),"OK",IF(R500&gt;=C500/(1-SKU_Base!AJ500)/(1-Settings!$E$17),"WARN","STOP"))),"")</f>
        <v/>
      </c>
      <c r="V500" s="159">
        <f>IFERROR(ROUND(D500*(1-CHOOSE(MATCH(IF($E500="","Основний",$E500),{"Трафіковий","Основний","Маржинальний","Сезонний","Стратегічний"},0),Settings!$F$78,Settings!$F$80,Settings!$F$82,Settings!$F$84,Settings!$F$86))/6,2)*6,"")</f>
        <v/>
      </c>
      <c r="W500" s="142">
        <f>IFERROR(CHOOSE(MATCH(IF($E500="","Основний",$E500),{"Трафіковий","Основний","Маржинальний","Сезонний","Стратегічний"},0),Settings!$F$78,Settings!$F$80,Settings!$F$82,Settings!$F$84,Settings!$F$86),"")</f>
        <v/>
      </c>
      <c r="X500" s="143">
        <f>IFERROR((V500*(1-Settings!$F$17)-C500)/(V500*(1-Settings!$F$17)),"")</f>
        <v/>
      </c>
      <c r="Y500" s="149">
        <f>IFERROR(IF(V500="","",IF(V500&gt;=C500/(1-SKU_Base!AD500)/(1-Settings!$F$17),"OK",IF(V500&gt;=C500/(1-SKU_Base!AK500)/(1-Settings!$F$17),"WARN","STOP"))),"")</f>
        <v/>
      </c>
      <c r="Z500" s="159">
        <f>IFERROR(ROUND(D500*(1-CHOOSE(MATCH(IF($E500="","Основний",$E500),{"Трафіковий","Основний","Маржинальний","Сезонний","Стратегічний"},0),Settings!$G$78,Settings!$G$80,Settings!$G$82,Settings!$G$84,Settings!$G$86))/6,2)*6,"")</f>
        <v/>
      </c>
      <c r="AA500" s="142">
        <f>IFERROR(CHOOSE(MATCH(IF($E500="","Основний",$E500),{"Трафіковий","Основний","Маржинальний","Сезонний","Стратегічний"},0),Settings!$G$78,Settings!$G$80,Settings!$G$82,Settings!$G$84,Settings!$G$86),"")</f>
        <v/>
      </c>
      <c r="AB500" s="143">
        <f>IFERROR((Z500*(1-Settings!$G$17)-C500)/(Z500*(1-Settings!$G$17)),"")</f>
        <v/>
      </c>
      <c r="AC500" s="149">
        <f>IFERROR(IF(Z500="","",IF(Z500&gt;=C500/(1-SKU_Base!AE500)/(1-Settings!$G$17),"OK",IF(Z500&gt;=C500/(1-SKU_Base!AL500)/(1-Settings!$G$17),"WARN","STOP"))),"")</f>
        <v/>
      </c>
      <c r="AD500" s="159">
        <f>IFERROR(ROUND(D500*(1-CHOOSE(MATCH(IF($E500="","Основний",$E500),{"Трафіковий","Основний","Маржинальний","Сезонний","Стратегічний"},0),Settings!$H$78,Settings!$H$80,Settings!$H$82,Settings!$H$84,Settings!$H$86))*(1-Settings!$H$68)/6,2)*6,"")</f>
        <v/>
      </c>
      <c r="AE500" s="142">
        <f>IFERROR(CHOOSE(MATCH(IF($E500="","Основний",$E500),{"Трафіковий","Основний","Маржинальний","Сезонний","Стратегічний"},0),Settings!$H$78,Settings!$H$80,Settings!$H$82,Settings!$H$84,Settings!$H$86)+(1-(CHOOSE(MATCH(IF($E500="","Основний",$E500),{"Трафіковий","Основний","Маржинальний","Сезонний","Стратегічний"},0),Settings!$H$78,Settings!$H$80,Settings!$H$82,Settings!$H$84,Settings!$H$86)))*Settings!$H$68,"")</f>
        <v/>
      </c>
      <c r="AF500" s="143">
        <f>IFERROR((AD500*(1-Settings!$H$17)-C500)/(AD500*(1-Settings!$H$17)),"")</f>
        <v/>
      </c>
      <c r="AG500" s="149">
        <f>IFERROR(IF(AD500="","",IF(AD500&gt;=C500/(1-SKU_Base!AF500)/(1-Settings!$H$17),"OK",IF(AD500&gt;=C500/(1-SKU_Base!AM500)/(1-Settings!$H$17),"WARN","STOP"))),"")</f>
        <v/>
      </c>
    </row>
    <row r="501" ht="17" customHeight="1" s="179">
      <c r="A501" s="146">
        <f>SKU_Base!B501</f>
        <v/>
      </c>
      <c r="B501" s="146">
        <f>SKU_Base!C501</f>
        <v/>
      </c>
      <c r="C501" s="147">
        <f>IFERROR(SKU_Base!I501,"")</f>
        <v/>
      </c>
      <c r="D501" s="164">
        <f>IFERROR(SKU_Base!T501,"")</f>
        <v/>
      </c>
      <c r="E501" s="141">
        <f>IFERROR(SKU_Base!$U501,"")</f>
        <v/>
      </c>
      <c r="F501" s="160">
        <f>IFERROR(ROUND(D501*(1-CHOOSE(MATCH(IF($E501="","Основний",$E501),{"Трафіковий","Основний","Маржинальний","Сезонний","Стратегічний"},0),Settings!$B$78,Settings!$B$80,Settings!$B$82,Settings!$B$84,Settings!$B$86))/6,2)*6,"")</f>
        <v/>
      </c>
      <c r="G501" s="142">
        <f>IFERROR(CHOOSE(MATCH(IF($E501="","Основний",$E501),{"Трафіковий","Основний","Маржинальний","Сезонний","Стратегічний"},0),Settings!$B$78,Settings!$B$80,Settings!$B$82,Settings!$B$84,Settings!$B$86),"")</f>
        <v/>
      </c>
      <c r="H501" s="148">
        <f>IFERROR((F501*(1-Settings!$B$17)-C501)/(F501*(1-Settings!$B$17)),"")</f>
        <v/>
      </c>
      <c r="I501" s="149">
        <f>IFERROR(IF(F501="","",IF(F501&gt;=C501/(1-SKU_Base!Z501)/(1-Settings!$B$17),"OK",IF(F501&gt;=C501/(1-SKU_Base!AG501)/(1-Settings!$B$17),"WARN","STOP"))),"")</f>
        <v/>
      </c>
      <c r="J501" s="160">
        <f>IFERROR(ROUND(D501*(1-CHOOSE(MATCH(IF($E501="","Основний",$E501),{"Трафіковий","Основний","Маржинальний","Сезонний","Стратегічний"},0),Settings!$C$78,Settings!$C$80,Settings!$C$82,Settings!$C$84,Settings!$C$86))/6,2)*6,"")</f>
        <v/>
      </c>
      <c r="K501" s="142">
        <f>IFERROR(CHOOSE(MATCH(IF($E501="","Основний",$E501),{"Трафіковий","Основний","Маржинальний","Сезонний","Стратегічний"},0),Settings!$C$78,Settings!$C$80,Settings!$C$82,Settings!$C$84,Settings!$C$86),"")</f>
        <v/>
      </c>
      <c r="L501" s="148">
        <f>IFERROR((J501*(1-Settings!$C$17)-C501)/(J501*(1-Settings!$C$17)),"")</f>
        <v/>
      </c>
      <c r="M501" s="149">
        <f>IFERROR(IF(J501="","",IF(J501&gt;=C501/(1-SKU_Base!AA501)/(1-Settings!$C$17),"OK",IF(J501&gt;=C501/(1-SKU_Base!AH501)/(1-Settings!$C$17),"WARN","STOP"))),"")</f>
        <v/>
      </c>
      <c r="N501" s="161">
        <f>IFERROR(ROUND(D501*(1-CHOOSE(MATCH(IF($E501="","Основний",$E501),{"Трафіковий","Основний","Маржинальний","Сезонний","Стратегічний"},0),Settings!$D$78,Settings!$D$80,Settings!$D$82,Settings!$D$84,Settings!$D$86))/6,2)*6,"")</f>
        <v/>
      </c>
      <c r="O501" s="142">
        <f>IFERROR(CHOOSE(MATCH(IF($E501="","Основний",$E501),{"Трафіковий","Основний","Маржинальний","Сезонний","Стратегічний"},0),Settings!$D$78,Settings!$D$80,Settings!$D$82,Settings!$D$84,Settings!$D$86),"")</f>
        <v/>
      </c>
      <c r="P501" s="148">
        <f>IFERROR((N501*(1-Settings!$D$17)-C501)/(N501*(1-Settings!$D$17)),"")</f>
        <v/>
      </c>
      <c r="Q501" s="149">
        <f>IFERROR(IF(N501="","",IF(N501&gt;=C501/(1-SKU_Base!AB501)/(1-Settings!$D$17),"OK",IF(N501&gt;=C501/(1-SKU_Base!AI501)/(1-Settings!$D$17),"WARN","STOP"))),"")</f>
        <v/>
      </c>
      <c r="R501" s="161">
        <f>IFERROR(ROUND(D501*(1-CHOOSE(MATCH(IF($E501="","Основний",$E501),{"Трафіковий","Основний","Маржинальний","Сезонний","Стратегічний"},0),Settings!$E$78,Settings!$E$80,Settings!$E$82,Settings!$E$84,Settings!$E$86))/6,2)*6,"")</f>
        <v/>
      </c>
      <c r="S501" s="142">
        <f>IFERROR(CHOOSE(MATCH(IF($E501="","Основний",$E501),{"Трафіковий","Основний","Маржинальний","Сезонний","Стратегічний"},0),Settings!$E$78,Settings!$E$80,Settings!$E$82,Settings!$E$84,Settings!$E$86),"")</f>
        <v/>
      </c>
      <c r="T501" s="148">
        <f>IFERROR((R501*(1-Settings!$E$17)-C501)/(R501*(1-Settings!$E$17)),"")</f>
        <v/>
      </c>
      <c r="U501" s="149">
        <f>IFERROR(IF(R501="","",IF(R501&gt;=C501/(1-SKU_Base!AC501)/(1-Settings!$E$17),"OK",IF(R501&gt;=C501/(1-SKU_Base!AJ501)/(1-Settings!$E$17),"WARN","STOP"))),"")</f>
        <v/>
      </c>
      <c r="V501" s="161">
        <f>IFERROR(ROUND(D501*(1-CHOOSE(MATCH(IF($E501="","Основний",$E501),{"Трафіковий","Основний","Маржинальний","Сезонний","Стратегічний"},0),Settings!$F$78,Settings!$F$80,Settings!$F$82,Settings!$F$84,Settings!$F$86))/6,2)*6,"")</f>
        <v/>
      </c>
      <c r="W501" s="142">
        <f>IFERROR(CHOOSE(MATCH(IF($E501="","Основний",$E501),{"Трафіковий","Основний","Маржинальний","Сезонний","Стратегічний"},0),Settings!$F$78,Settings!$F$80,Settings!$F$82,Settings!$F$84,Settings!$F$86),"")</f>
        <v/>
      </c>
      <c r="X501" s="148">
        <f>IFERROR((V501*(1-Settings!$F$17)-C501)/(V501*(1-Settings!$F$17)),"")</f>
        <v/>
      </c>
      <c r="Y501" s="149">
        <f>IFERROR(IF(V501="","",IF(V501&gt;=C501/(1-SKU_Base!AD501)/(1-Settings!$F$17),"OK",IF(V501&gt;=C501/(1-SKU_Base!AK501)/(1-Settings!$F$17),"WARN","STOP"))),"")</f>
        <v/>
      </c>
      <c r="Z501" s="161">
        <f>IFERROR(ROUND(D501*(1-CHOOSE(MATCH(IF($E501="","Основний",$E501),{"Трафіковий","Основний","Маржинальний","Сезонний","Стратегічний"},0),Settings!$G$78,Settings!$G$80,Settings!$G$82,Settings!$G$84,Settings!$G$86))/6,2)*6,"")</f>
        <v/>
      </c>
      <c r="AA501" s="142">
        <f>IFERROR(CHOOSE(MATCH(IF($E501="","Основний",$E501),{"Трафіковий","Основний","Маржинальний","Сезонний","Стратегічний"},0),Settings!$G$78,Settings!$G$80,Settings!$G$82,Settings!$G$84,Settings!$G$86),"")</f>
        <v/>
      </c>
      <c r="AB501" s="148">
        <f>IFERROR((Z501*(1-Settings!$G$17)-C501)/(Z501*(1-Settings!$G$17)),"")</f>
        <v/>
      </c>
      <c r="AC501" s="149">
        <f>IFERROR(IF(Z501="","",IF(Z501&gt;=C501/(1-SKU_Base!AE501)/(1-Settings!$G$17),"OK",IF(Z501&gt;=C501/(1-SKU_Base!AL501)/(1-Settings!$G$17),"WARN","STOP"))),"")</f>
        <v/>
      </c>
      <c r="AD501" s="161">
        <f>IFERROR(ROUND(D501*(1-CHOOSE(MATCH(IF($E501="","Основний",$E501),{"Трафіковий","Основний","Маржинальний","Сезонний","Стратегічний"},0),Settings!$H$78,Settings!$H$80,Settings!$H$82,Settings!$H$84,Settings!$H$86))*(1-Settings!$H$68)/6,2)*6,"")</f>
        <v/>
      </c>
      <c r="AE501" s="142">
        <f>IFERROR(CHOOSE(MATCH(IF($E501="","Основний",$E501),{"Трафіковий","Основний","Маржинальний","Сезонний","Стратегічний"},0),Settings!$H$78,Settings!$H$80,Settings!$H$82,Settings!$H$84,Settings!$H$86)+(1-(CHOOSE(MATCH(IF($E501="","Основний",$E501),{"Трафіковий","Основний","Маржинальний","Сезонний","Стратегічний"},0),Settings!$H$78,Settings!$H$80,Settings!$H$82,Settings!$H$84,Settings!$H$86)))*Settings!$H$68,"")</f>
        <v/>
      </c>
      <c r="AF501" s="148">
        <f>IFERROR((AD501*(1-Settings!$H$17)-C501)/(AD501*(1-Settings!$H$17)),"")</f>
        <v/>
      </c>
      <c r="AG501" s="149">
        <f>IFERROR(IF(AD501="","",IF(AD501&gt;=C501/(1-SKU_Base!AF501)/(1-Settings!$H$17),"OK",IF(AD501&gt;=C501/(1-SKU_Base!AM501)/(1-Settings!$H$17),"WARN","STOP"))),"")</f>
        <v/>
      </c>
    </row>
    <row r="502" ht="17" customHeight="1" s="179">
      <c r="A502" s="139">
        <f>SKU_Base!B502</f>
        <v/>
      </c>
      <c r="B502" s="139">
        <f>SKU_Base!C502</f>
        <v/>
      </c>
      <c r="C502" s="140">
        <f>IFERROR(SKU_Base!I502,"")</f>
        <v/>
      </c>
      <c r="D502" s="163">
        <f>IFERROR(SKU_Base!T502,"")</f>
        <v/>
      </c>
      <c r="E502" s="141">
        <f>IFERROR(SKU_Base!$U502,"")</f>
        <v/>
      </c>
      <c r="F502" s="158">
        <f>IFERROR(ROUND(D502*(1-CHOOSE(MATCH(IF($E502="","Основний",$E502),{"Трафіковий","Основний","Маржинальний","Сезонний","Стратегічний"},0),Settings!$B$78,Settings!$B$80,Settings!$B$82,Settings!$B$84,Settings!$B$86))/6,2)*6,"")</f>
        <v/>
      </c>
      <c r="G502" s="142">
        <f>IFERROR(CHOOSE(MATCH(IF($E502="","Основний",$E502),{"Трафіковий","Основний","Маржинальний","Сезонний","Стратегічний"},0),Settings!$B$78,Settings!$B$80,Settings!$B$82,Settings!$B$84,Settings!$B$86),"")</f>
        <v/>
      </c>
      <c r="H502" s="143">
        <f>IFERROR((F502*(1-Settings!$B$17)-C502)/(F502*(1-Settings!$B$17)),"")</f>
        <v/>
      </c>
      <c r="I502" s="149">
        <f>IFERROR(IF(F502="","",IF(F502&gt;=C502/(1-SKU_Base!Z502)/(1-Settings!$B$17),"OK",IF(F502&gt;=C502/(1-SKU_Base!AG502)/(1-Settings!$B$17),"WARN","STOP"))),"")</f>
        <v/>
      </c>
      <c r="J502" s="158">
        <f>IFERROR(ROUND(D502*(1-CHOOSE(MATCH(IF($E502="","Основний",$E502),{"Трафіковий","Основний","Маржинальний","Сезонний","Стратегічний"},0),Settings!$C$78,Settings!$C$80,Settings!$C$82,Settings!$C$84,Settings!$C$86))/6,2)*6,"")</f>
        <v/>
      </c>
      <c r="K502" s="142">
        <f>IFERROR(CHOOSE(MATCH(IF($E502="","Основний",$E502),{"Трафіковий","Основний","Маржинальний","Сезонний","Стратегічний"},0),Settings!$C$78,Settings!$C$80,Settings!$C$82,Settings!$C$84,Settings!$C$86),"")</f>
        <v/>
      </c>
      <c r="L502" s="143">
        <f>IFERROR((J502*(1-Settings!$C$17)-C502)/(J502*(1-Settings!$C$17)),"")</f>
        <v/>
      </c>
      <c r="M502" s="149">
        <f>IFERROR(IF(J502="","",IF(J502&gt;=C502/(1-SKU_Base!AA502)/(1-Settings!$C$17),"OK",IF(J502&gt;=C502/(1-SKU_Base!AH502)/(1-Settings!$C$17),"WARN","STOP"))),"")</f>
        <v/>
      </c>
      <c r="N502" s="159">
        <f>IFERROR(ROUND(D502*(1-CHOOSE(MATCH(IF($E502="","Основний",$E502),{"Трафіковий","Основний","Маржинальний","Сезонний","Стратегічний"},0),Settings!$D$78,Settings!$D$80,Settings!$D$82,Settings!$D$84,Settings!$D$86))/6,2)*6,"")</f>
        <v/>
      </c>
      <c r="O502" s="142">
        <f>IFERROR(CHOOSE(MATCH(IF($E502="","Основний",$E502),{"Трафіковий","Основний","Маржинальний","Сезонний","Стратегічний"},0),Settings!$D$78,Settings!$D$80,Settings!$D$82,Settings!$D$84,Settings!$D$86),"")</f>
        <v/>
      </c>
      <c r="P502" s="143">
        <f>IFERROR((N502*(1-Settings!$D$17)-C502)/(N502*(1-Settings!$D$17)),"")</f>
        <v/>
      </c>
      <c r="Q502" s="149">
        <f>IFERROR(IF(N502="","",IF(N502&gt;=C502/(1-SKU_Base!AB502)/(1-Settings!$D$17),"OK",IF(N502&gt;=C502/(1-SKU_Base!AI502)/(1-Settings!$D$17),"WARN","STOP"))),"")</f>
        <v/>
      </c>
      <c r="R502" s="159">
        <f>IFERROR(ROUND(D502*(1-CHOOSE(MATCH(IF($E502="","Основний",$E502),{"Трафіковий","Основний","Маржинальний","Сезонний","Стратегічний"},0),Settings!$E$78,Settings!$E$80,Settings!$E$82,Settings!$E$84,Settings!$E$86))/6,2)*6,"")</f>
        <v/>
      </c>
      <c r="S502" s="142">
        <f>IFERROR(CHOOSE(MATCH(IF($E502="","Основний",$E502),{"Трафіковий","Основний","Маржинальний","Сезонний","Стратегічний"},0),Settings!$E$78,Settings!$E$80,Settings!$E$82,Settings!$E$84,Settings!$E$86),"")</f>
        <v/>
      </c>
      <c r="T502" s="143">
        <f>IFERROR((R502*(1-Settings!$E$17)-C502)/(R502*(1-Settings!$E$17)),"")</f>
        <v/>
      </c>
      <c r="U502" s="149">
        <f>IFERROR(IF(R502="","",IF(R502&gt;=C502/(1-SKU_Base!AC502)/(1-Settings!$E$17),"OK",IF(R502&gt;=C502/(1-SKU_Base!AJ502)/(1-Settings!$E$17),"WARN","STOP"))),"")</f>
        <v/>
      </c>
      <c r="V502" s="159">
        <f>IFERROR(ROUND(D502*(1-CHOOSE(MATCH(IF($E502="","Основний",$E502),{"Трафіковий","Основний","Маржинальний","Сезонний","Стратегічний"},0),Settings!$F$78,Settings!$F$80,Settings!$F$82,Settings!$F$84,Settings!$F$86))/6,2)*6,"")</f>
        <v/>
      </c>
      <c r="W502" s="142">
        <f>IFERROR(CHOOSE(MATCH(IF($E502="","Основний",$E502),{"Трафіковий","Основний","Маржинальний","Сезонний","Стратегічний"},0),Settings!$F$78,Settings!$F$80,Settings!$F$82,Settings!$F$84,Settings!$F$86),"")</f>
        <v/>
      </c>
      <c r="X502" s="143">
        <f>IFERROR((V502*(1-Settings!$F$17)-C502)/(V502*(1-Settings!$F$17)),"")</f>
        <v/>
      </c>
      <c r="Y502" s="149">
        <f>IFERROR(IF(V502="","",IF(V502&gt;=C502/(1-SKU_Base!AD502)/(1-Settings!$F$17),"OK",IF(V502&gt;=C502/(1-SKU_Base!AK502)/(1-Settings!$F$17),"WARN","STOP"))),"")</f>
        <v/>
      </c>
      <c r="Z502" s="159">
        <f>IFERROR(ROUND(D502*(1-CHOOSE(MATCH(IF($E502="","Основний",$E502),{"Трафіковий","Основний","Маржинальний","Сезонний","Стратегічний"},0),Settings!$G$78,Settings!$G$80,Settings!$G$82,Settings!$G$84,Settings!$G$86))/6,2)*6,"")</f>
        <v/>
      </c>
      <c r="AA502" s="142">
        <f>IFERROR(CHOOSE(MATCH(IF($E502="","Основний",$E502),{"Трафіковий","Основний","Маржинальний","Сезонний","Стратегічний"},0),Settings!$G$78,Settings!$G$80,Settings!$G$82,Settings!$G$84,Settings!$G$86),"")</f>
        <v/>
      </c>
      <c r="AB502" s="143">
        <f>IFERROR((Z502*(1-Settings!$G$17)-C502)/(Z502*(1-Settings!$G$17)),"")</f>
        <v/>
      </c>
      <c r="AC502" s="149">
        <f>IFERROR(IF(Z502="","",IF(Z502&gt;=C502/(1-SKU_Base!AE502)/(1-Settings!$G$17),"OK",IF(Z502&gt;=C502/(1-SKU_Base!AL502)/(1-Settings!$G$17),"WARN","STOP"))),"")</f>
        <v/>
      </c>
      <c r="AD502" s="159">
        <f>IFERROR(ROUND(D502*(1-CHOOSE(MATCH(IF($E502="","Основний",$E502),{"Трафіковий","Основний","Маржинальний","Сезонний","Стратегічний"},0),Settings!$H$78,Settings!$H$80,Settings!$H$82,Settings!$H$84,Settings!$H$86))*(1-Settings!$H$68)/6,2)*6,"")</f>
        <v/>
      </c>
      <c r="AE502" s="142">
        <f>IFERROR(CHOOSE(MATCH(IF($E502="","Основний",$E502),{"Трафіковий","Основний","Маржинальний","Сезонний","Стратегічний"},0),Settings!$H$78,Settings!$H$80,Settings!$H$82,Settings!$H$84,Settings!$H$86)+(1-(CHOOSE(MATCH(IF($E502="","Основний",$E502),{"Трафіковий","Основний","Маржинальний","Сезонний","Стратегічний"},0),Settings!$H$78,Settings!$H$80,Settings!$H$82,Settings!$H$84,Settings!$H$86)))*Settings!$H$68,"")</f>
        <v/>
      </c>
      <c r="AF502" s="143">
        <f>IFERROR((AD502*(1-Settings!$H$17)-C502)/(AD502*(1-Settings!$H$17)),"")</f>
        <v/>
      </c>
      <c r="AG502" s="150">
        <f>IFERROR(IF(AD502="","",IF(AD502&gt;=C502/(1-SKU_Base!AF502)/(1-Settings!$H$17),"OK",IF(AD502&gt;=C502/(1-SKU_Base!AM502)/(1-Settings!$H$17),"WARN","STOP"))),"")</f>
        <v/>
      </c>
    </row>
    <row r="503" ht="17" customHeight="1" s="179">
      <c r="A503" s="146">
        <f>SKU_Base!B503</f>
        <v/>
      </c>
      <c r="B503" s="146">
        <f>SKU_Base!C503</f>
        <v/>
      </c>
      <c r="C503" s="147">
        <f>IFERROR(SKU_Base!I503,"")</f>
        <v/>
      </c>
      <c r="D503" s="164">
        <f>IFERROR(SKU_Base!T503,"")</f>
        <v/>
      </c>
      <c r="E503" s="141">
        <f>IFERROR(SKU_Base!$U503,"")</f>
        <v/>
      </c>
      <c r="F503" s="160">
        <f>IFERROR(ROUND(D503*(1-CHOOSE(MATCH(IF($E503="","Основний",$E503),{"Трафіковий","Основний","Маржинальний","Сезонний","Стратегічний"},0),Settings!$B$78,Settings!$B$80,Settings!$B$82,Settings!$B$84,Settings!$B$86))/6,2)*6,"")</f>
        <v/>
      </c>
      <c r="G503" s="142">
        <f>IFERROR(CHOOSE(MATCH(IF($E503="","Основний",$E503),{"Трафіковий","Основний","Маржинальний","Сезонний","Стратегічний"},0),Settings!$B$78,Settings!$B$80,Settings!$B$82,Settings!$B$84,Settings!$B$86),"")</f>
        <v/>
      </c>
      <c r="H503" s="148">
        <f>IFERROR((F503*(1-Settings!$B$17)-C503)/(F503*(1-Settings!$B$17)),"")</f>
        <v/>
      </c>
      <c r="I503" s="149">
        <f>IFERROR(IF(F503="","",IF(F503&gt;=C503/(1-SKU_Base!Z503)/(1-Settings!$B$17),"OK",IF(F503&gt;=C503/(1-SKU_Base!AG503)/(1-Settings!$B$17),"WARN","STOP"))),"")</f>
        <v/>
      </c>
      <c r="J503" s="160">
        <f>IFERROR(ROUND(D503*(1-CHOOSE(MATCH(IF($E503="","Основний",$E503),{"Трафіковий","Основний","Маржинальний","Сезонний","Стратегічний"},0),Settings!$C$78,Settings!$C$80,Settings!$C$82,Settings!$C$84,Settings!$C$86))/6,2)*6,"")</f>
        <v/>
      </c>
      <c r="K503" s="142">
        <f>IFERROR(CHOOSE(MATCH(IF($E503="","Основний",$E503),{"Трафіковий","Основний","Маржинальний","Сезонний","Стратегічний"},0),Settings!$C$78,Settings!$C$80,Settings!$C$82,Settings!$C$84,Settings!$C$86),"")</f>
        <v/>
      </c>
      <c r="L503" s="148">
        <f>IFERROR((J503*(1-Settings!$C$17)-C503)/(J503*(1-Settings!$C$17)),"")</f>
        <v/>
      </c>
      <c r="M503" s="149">
        <f>IFERROR(IF(J503="","",IF(J503&gt;=C503/(1-SKU_Base!AA503)/(1-Settings!$C$17),"OK",IF(J503&gt;=C503/(1-SKU_Base!AH503)/(1-Settings!$C$17),"WARN","STOP"))),"")</f>
        <v/>
      </c>
      <c r="N503" s="161">
        <f>IFERROR(ROUND(D503*(1-CHOOSE(MATCH(IF($E503="","Основний",$E503),{"Трафіковий","Основний","Маржинальний","Сезонний","Стратегічний"},0),Settings!$D$78,Settings!$D$80,Settings!$D$82,Settings!$D$84,Settings!$D$86))/6,2)*6,"")</f>
        <v/>
      </c>
      <c r="O503" s="142">
        <f>IFERROR(CHOOSE(MATCH(IF($E503="","Основний",$E503),{"Трафіковий","Основний","Маржинальний","Сезонний","Стратегічний"},0),Settings!$D$78,Settings!$D$80,Settings!$D$82,Settings!$D$84,Settings!$D$86),"")</f>
        <v/>
      </c>
      <c r="P503" s="148">
        <f>IFERROR((N503*(1-Settings!$D$17)-C503)/(N503*(1-Settings!$D$17)),"")</f>
        <v/>
      </c>
      <c r="Q503" s="149">
        <f>IFERROR(IF(N503="","",IF(N503&gt;=C503/(1-SKU_Base!AB503)/(1-Settings!$D$17),"OK",IF(N503&gt;=C503/(1-SKU_Base!AI503)/(1-Settings!$D$17),"WARN","STOP"))),"")</f>
        <v/>
      </c>
      <c r="R503" s="161">
        <f>IFERROR(ROUND(D503*(1-CHOOSE(MATCH(IF($E503="","Основний",$E503),{"Трафіковий","Основний","Маржинальний","Сезонний","Стратегічний"},0),Settings!$E$78,Settings!$E$80,Settings!$E$82,Settings!$E$84,Settings!$E$86))/6,2)*6,"")</f>
        <v/>
      </c>
      <c r="S503" s="142">
        <f>IFERROR(CHOOSE(MATCH(IF($E503="","Основний",$E503),{"Трафіковий","Основний","Маржинальний","Сезонний","Стратегічний"},0),Settings!$E$78,Settings!$E$80,Settings!$E$82,Settings!$E$84,Settings!$E$86),"")</f>
        <v/>
      </c>
      <c r="T503" s="148">
        <f>IFERROR((R503*(1-Settings!$E$17)-C503)/(R503*(1-Settings!$E$17)),"")</f>
        <v/>
      </c>
      <c r="U503" s="149">
        <f>IFERROR(IF(R503="","",IF(R503&gt;=C503/(1-SKU_Base!AC503)/(1-Settings!$E$17),"OK",IF(R503&gt;=C503/(1-SKU_Base!AJ503)/(1-Settings!$E$17),"WARN","STOP"))),"")</f>
        <v/>
      </c>
      <c r="V503" s="161">
        <f>IFERROR(ROUND(D503*(1-CHOOSE(MATCH(IF($E503="","Основний",$E503),{"Трафіковий","Основний","Маржинальний","Сезонний","Стратегічний"},0),Settings!$F$78,Settings!$F$80,Settings!$F$82,Settings!$F$84,Settings!$F$86))/6,2)*6,"")</f>
        <v/>
      </c>
      <c r="W503" s="142">
        <f>IFERROR(CHOOSE(MATCH(IF($E503="","Основний",$E503),{"Трафіковий","Основний","Маржинальний","Сезонний","Стратегічний"},0),Settings!$F$78,Settings!$F$80,Settings!$F$82,Settings!$F$84,Settings!$F$86),"")</f>
        <v/>
      </c>
      <c r="X503" s="148">
        <f>IFERROR((V503*(1-Settings!$F$17)-C503)/(V503*(1-Settings!$F$17)),"")</f>
        <v/>
      </c>
      <c r="Y503" s="149">
        <f>IFERROR(IF(V503="","",IF(V503&gt;=C503/(1-SKU_Base!AD503)/(1-Settings!$F$17),"OK",IF(V503&gt;=C503/(1-SKU_Base!AK503)/(1-Settings!$F$17),"WARN","STOP"))),"")</f>
        <v/>
      </c>
      <c r="Z503" s="161">
        <f>IFERROR(ROUND(D503*(1-CHOOSE(MATCH(IF($E503="","Основний",$E503),{"Трафіковий","Основний","Маржинальний","Сезонний","Стратегічний"},0),Settings!$G$78,Settings!$G$80,Settings!$G$82,Settings!$G$84,Settings!$G$86))/6,2)*6,"")</f>
        <v/>
      </c>
      <c r="AA503" s="142">
        <f>IFERROR(CHOOSE(MATCH(IF($E503="","Основний",$E503),{"Трафіковий","Основний","Маржинальний","Сезонний","Стратегічний"},0),Settings!$G$78,Settings!$G$80,Settings!$G$82,Settings!$G$84,Settings!$G$86),"")</f>
        <v/>
      </c>
      <c r="AB503" s="148">
        <f>IFERROR((Z503*(1-Settings!$G$17)-C503)/(Z503*(1-Settings!$G$17)),"")</f>
        <v/>
      </c>
      <c r="AC503" s="149">
        <f>IFERROR(IF(Z503="","",IF(Z503&gt;=C503/(1-SKU_Base!AE503)/(1-Settings!$G$17),"OK",IF(Z503&gt;=C503/(1-SKU_Base!AL503)/(1-Settings!$G$17),"WARN","STOP"))),"")</f>
        <v/>
      </c>
      <c r="AD503" s="161">
        <f>IFERROR(ROUND(D503*(1-CHOOSE(MATCH(IF($E503="","Основний",$E503),{"Трафіковий","Основний","Маржинальний","Сезонний","Стратегічний"},0),Settings!$H$78,Settings!$H$80,Settings!$H$82,Settings!$H$84,Settings!$H$86))*(1-Settings!$H$68)/6,2)*6,"")</f>
        <v/>
      </c>
      <c r="AE503" s="142">
        <f>IFERROR(CHOOSE(MATCH(IF($E503="","Основний",$E503),{"Трафіковий","Основний","Маржинальний","Сезонний","Стратегічний"},0),Settings!$H$78,Settings!$H$80,Settings!$H$82,Settings!$H$84,Settings!$H$86)+(1-(CHOOSE(MATCH(IF($E503="","Основний",$E503),{"Трафіковий","Основний","Маржинальний","Сезонний","Стратегічний"},0),Settings!$H$78,Settings!$H$80,Settings!$H$82,Settings!$H$84,Settings!$H$86)))*Settings!$H$68,"")</f>
        <v/>
      </c>
      <c r="AF503" s="148">
        <f>IFERROR((AD503*(1-Settings!$H$17)-C503)/(AD503*(1-Settings!$H$17)),"")</f>
        <v/>
      </c>
      <c r="AG503" s="149">
        <f>IFERROR(IF(AD503="","",IF(AD503&gt;=C503/(1-SKU_Base!AF503)/(1-Settings!$H$17),"OK",IF(AD503&gt;=C503/(1-SKU_Base!AM503)/(1-Settings!$H$17),"WARN","STOP"))),"")</f>
        <v/>
      </c>
    </row>
    <row r="504" ht="17" customHeight="1" s="179">
      <c r="A504" s="139">
        <f>SKU_Base!B504</f>
        <v/>
      </c>
      <c r="B504" s="139">
        <f>SKU_Base!C504</f>
        <v/>
      </c>
      <c r="C504" s="140">
        <f>IFERROR(SKU_Base!I504,"")</f>
        <v/>
      </c>
      <c r="D504" s="163">
        <f>IFERROR(SKU_Base!T504,"")</f>
        <v/>
      </c>
      <c r="E504" s="141">
        <f>IFERROR(SKU_Base!$U504,"")</f>
        <v/>
      </c>
      <c r="F504" s="158">
        <f>IFERROR(ROUND(D504*(1-CHOOSE(MATCH(IF($E504="","Основний",$E504),{"Трафіковий","Основний","Маржинальний","Сезонний","Стратегічний"},0),Settings!$B$78,Settings!$B$80,Settings!$B$82,Settings!$B$84,Settings!$B$86))/6,2)*6,"")</f>
        <v/>
      </c>
      <c r="G504" s="142">
        <f>IFERROR(CHOOSE(MATCH(IF($E504="","Основний",$E504),{"Трафіковий","Основний","Маржинальний","Сезонний","Стратегічний"},0),Settings!$B$78,Settings!$B$80,Settings!$B$82,Settings!$B$84,Settings!$B$86),"")</f>
        <v/>
      </c>
      <c r="H504" s="143">
        <f>IFERROR((F504*(1-Settings!$B$17)-C504)/(F504*(1-Settings!$B$17)),"")</f>
        <v/>
      </c>
      <c r="I504" s="149">
        <f>IFERROR(IF(F504="","",IF(F504&gt;=C504/(1-SKU_Base!Z504)/(1-Settings!$B$17),"OK",IF(F504&gt;=C504/(1-SKU_Base!AG504)/(1-Settings!$B$17),"WARN","STOP"))),"")</f>
        <v/>
      </c>
      <c r="J504" s="158">
        <f>IFERROR(ROUND(D504*(1-CHOOSE(MATCH(IF($E504="","Основний",$E504),{"Трафіковий","Основний","Маржинальний","Сезонний","Стратегічний"},0),Settings!$C$78,Settings!$C$80,Settings!$C$82,Settings!$C$84,Settings!$C$86))/6,2)*6,"")</f>
        <v/>
      </c>
      <c r="K504" s="142">
        <f>IFERROR(CHOOSE(MATCH(IF($E504="","Основний",$E504),{"Трафіковий","Основний","Маржинальний","Сезонний","Стратегічний"},0),Settings!$C$78,Settings!$C$80,Settings!$C$82,Settings!$C$84,Settings!$C$86),"")</f>
        <v/>
      </c>
      <c r="L504" s="143">
        <f>IFERROR((J504*(1-Settings!$C$17)-C504)/(J504*(1-Settings!$C$17)),"")</f>
        <v/>
      </c>
      <c r="M504" s="149">
        <f>IFERROR(IF(J504="","",IF(J504&gt;=C504/(1-SKU_Base!AA504)/(1-Settings!$C$17),"OK",IF(J504&gt;=C504/(1-SKU_Base!AH504)/(1-Settings!$C$17),"WARN","STOP"))),"")</f>
        <v/>
      </c>
      <c r="N504" s="159">
        <f>IFERROR(ROUND(D504*(1-CHOOSE(MATCH(IF($E504="","Основний",$E504),{"Трафіковий","Основний","Маржинальний","Сезонний","Стратегічний"},0),Settings!$D$78,Settings!$D$80,Settings!$D$82,Settings!$D$84,Settings!$D$86))/6,2)*6,"")</f>
        <v/>
      </c>
      <c r="O504" s="142">
        <f>IFERROR(CHOOSE(MATCH(IF($E504="","Основний",$E504),{"Трафіковий","Основний","Маржинальний","Сезонний","Стратегічний"},0),Settings!$D$78,Settings!$D$80,Settings!$D$82,Settings!$D$84,Settings!$D$86),"")</f>
        <v/>
      </c>
      <c r="P504" s="143">
        <f>IFERROR((N504*(1-Settings!$D$17)-C504)/(N504*(1-Settings!$D$17)),"")</f>
        <v/>
      </c>
      <c r="Q504" s="149">
        <f>IFERROR(IF(N504="","",IF(N504&gt;=C504/(1-SKU_Base!AB504)/(1-Settings!$D$17),"OK",IF(N504&gt;=C504/(1-SKU_Base!AI504)/(1-Settings!$D$17),"WARN","STOP"))),"")</f>
        <v/>
      </c>
      <c r="R504" s="159">
        <f>IFERROR(ROUND(D504*(1-CHOOSE(MATCH(IF($E504="","Основний",$E504),{"Трафіковий","Основний","Маржинальний","Сезонний","Стратегічний"},0),Settings!$E$78,Settings!$E$80,Settings!$E$82,Settings!$E$84,Settings!$E$86))/6,2)*6,"")</f>
        <v/>
      </c>
      <c r="S504" s="142">
        <f>IFERROR(CHOOSE(MATCH(IF($E504="","Основний",$E504),{"Трафіковий","Основний","Маржинальний","Сезонний","Стратегічний"},0),Settings!$E$78,Settings!$E$80,Settings!$E$82,Settings!$E$84,Settings!$E$86),"")</f>
        <v/>
      </c>
      <c r="T504" s="143">
        <f>IFERROR((R504*(1-Settings!$E$17)-C504)/(R504*(1-Settings!$E$17)),"")</f>
        <v/>
      </c>
      <c r="U504" s="149">
        <f>IFERROR(IF(R504="","",IF(R504&gt;=C504/(1-SKU_Base!AC504)/(1-Settings!$E$17),"OK",IF(R504&gt;=C504/(1-SKU_Base!AJ504)/(1-Settings!$E$17),"WARN","STOP"))),"")</f>
        <v/>
      </c>
      <c r="V504" s="159">
        <f>IFERROR(ROUND(D504*(1-CHOOSE(MATCH(IF($E504="","Основний",$E504),{"Трафіковий","Основний","Маржинальний","Сезонний","Стратегічний"},0),Settings!$F$78,Settings!$F$80,Settings!$F$82,Settings!$F$84,Settings!$F$86))/6,2)*6,"")</f>
        <v/>
      </c>
      <c r="W504" s="142">
        <f>IFERROR(CHOOSE(MATCH(IF($E504="","Основний",$E504),{"Трафіковий","Основний","Маржинальний","Сезонний","Стратегічний"},0),Settings!$F$78,Settings!$F$80,Settings!$F$82,Settings!$F$84,Settings!$F$86),"")</f>
        <v/>
      </c>
      <c r="X504" s="143">
        <f>IFERROR((V504*(1-Settings!$F$17)-C504)/(V504*(1-Settings!$F$17)),"")</f>
        <v/>
      </c>
      <c r="Y504" s="149">
        <f>IFERROR(IF(V504="","",IF(V504&gt;=C504/(1-SKU_Base!AD504)/(1-Settings!$F$17),"OK",IF(V504&gt;=C504/(1-SKU_Base!AK504)/(1-Settings!$F$17),"WARN","STOP"))),"")</f>
        <v/>
      </c>
      <c r="Z504" s="159">
        <f>IFERROR(ROUND(D504*(1-CHOOSE(MATCH(IF($E504="","Основний",$E504),{"Трафіковий","Основний","Маржинальний","Сезонний","Стратегічний"},0),Settings!$G$78,Settings!$G$80,Settings!$G$82,Settings!$G$84,Settings!$G$86))/6,2)*6,"")</f>
        <v/>
      </c>
      <c r="AA504" s="142">
        <f>IFERROR(CHOOSE(MATCH(IF($E504="","Основний",$E504),{"Трафіковий","Основний","Маржинальний","Сезонний","Стратегічний"},0),Settings!$G$78,Settings!$G$80,Settings!$G$82,Settings!$G$84,Settings!$G$86),"")</f>
        <v/>
      </c>
      <c r="AB504" s="143">
        <f>IFERROR((Z504*(1-Settings!$G$17)-C504)/(Z504*(1-Settings!$G$17)),"")</f>
        <v/>
      </c>
      <c r="AC504" s="149">
        <f>IFERROR(IF(Z504="","",IF(Z504&gt;=C504/(1-SKU_Base!AE504)/(1-Settings!$G$17),"OK",IF(Z504&gt;=C504/(1-SKU_Base!AL504)/(1-Settings!$G$17),"WARN","STOP"))),"")</f>
        <v/>
      </c>
      <c r="AD504" s="159">
        <f>IFERROR(ROUND(D504*(1-CHOOSE(MATCH(IF($E504="","Основний",$E504),{"Трафіковий","Основний","Маржинальний","Сезонний","Стратегічний"},0),Settings!$H$78,Settings!$H$80,Settings!$H$82,Settings!$H$84,Settings!$H$86))*(1-Settings!$H$68)/6,2)*6,"")</f>
        <v/>
      </c>
      <c r="AE504" s="142">
        <f>IFERROR(CHOOSE(MATCH(IF($E504="","Основний",$E504),{"Трафіковий","Основний","Маржинальний","Сезонний","Стратегічний"},0),Settings!$H$78,Settings!$H$80,Settings!$H$82,Settings!$H$84,Settings!$H$86)+(1-(CHOOSE(MATCH(IF($E504="","Основний",$E504),{"Трафіковий","Основний","Маржинальний","Сезонний","Стратегічний"},0),Settings!$H$78,Settings!$H$80,Settings!$H$82,Settings!$H$84,Settings!$H$86)))*Settings!$H$68,"")</f>
        <v/>
      </c>
      <c r="AF504" s="143">
        <f>IFERROR((AD504*(1-Settings!$H$17)-C504)/(AD504*(1-Settings!$H$17)),"")</f>
        <v/>
      </c>
      <c r="AG504" s="149">
        <f>IFERROR(IF(AD504="","",IF(AD504&gt;=C504/(1-SKU_Base!AF504)/(1-Settings!$H$17),"OK",IF(AD504&gt;=C504/(1-SKU_Base!AM504)/(1-Settings!$H$17),"WARN","STOP"))),"")</f>
        <v/>
      </c>
    </row>
    <row r="505" ht="17" customHeight="1" s="179">
      <c r="A505" s="146">
        <f>SKU_Base!B505</f>
        <v/>
      </c>
      <c r="B505" s="146">
        <f>SKU_Base!C505</f>
        <v/>
      </c>
      <c r="C505" s="147">
        <f>IFERROR(SKU_Base!I505,"")</f>
        <v/>
      </c>
      <c r="D505" s="164">
        <f>IFERROR(SKU_Base!T505,"")</f>
        <v/>
      </c>
      <c r="E505" s="141">
        <f>IFERROR(SKU_Base!$U505,"")</f>
        <v/>
      </c>
      <c r="F505" s="160">
        <f>IFERROR(ROUND(D505*(1-CHOOSE(MATCH(IF($E505="","Основний",$E505),{"Трафіковий","Основний","Маржинальний","Сезонний","Стратегічний"},0),Settings!$B$78,Settings!$B$80,Settings!$B$82,Settings!$B$84,Settings!$B$86))/6,2)*6,"")</f>
        <v/>
      </c>
      <c r="G505" s="142">
        <f>IFERROR(CHOOSE(MATCH(IF($E505="","Основний",$E505),{"Трафіковий","Основний","Маржинальний","Сезонний","Стратегічний"},0),Settings!$B$78,Settings!$B$80,Settings!$B$82,Settings!$B$84,Settings!$B$86),"")</f>
        <v/>
      </c>
      <c r="H505" s="148">
        <f>IFERROR((F505*(1-Settings!$B$17)-C505)/(F505*(1-Settings!$B$17)),"")</f>
        <v/>
      </c>
      <c r="I505" s="149">
        <f>IFERROR(IF(F505="","",IF(F505&gt;=C505/(1-SKU_Base!Z505)/(1-Settings!$B$17),"OK",IF(F505&gt;=C505/(1-SKU_Base!AG505)/(1-Settings!$B$17),"WARN","STOP"))),"")</f>
        <v/>
      </c>
      <c r="J505" s="160">
        <f>IFERROR(ROUND(D505*(1-CHOOSE(MATCH(IF($E505="","Основний",$E505),{"Трафіковий","Основний","Маржинальний","Сезонний","Стратегічний"},0),Settings!$C$78,Settings!$C$80,Settings!$C$82,Settings!$C$84,Settings!$C$86))/6,2)*6,"")</f>
        <v/>
      </c>
      <c r="K505" s="142">
        <f>IFERROR(CHOOSE(MATCH(IF($E505="","Основний",$E505),{"Трафіковий","Основний","Маржинальний","Сезонний","Стратегічний"},0),Settings!$C$78,Settings!$C$80,Settings!$C$82,Settings!$C$84,Settings!$C$86),"")</f>
        <v/>
      </c>
      <c r="L505" s="148">
        <f>IFERROR((J505*(1-Settings!$C$17)-C505)/(J505*(1-Settings!$C$17)),"")</f>
        <v/>
      </c>
      <c r="M505" s="149">
        <f>IFERROR(IF(J505="","",IF(J505&gt;=C505/(1-SKU_Base!AA505)/(1-Settings!$C$17),"OK",IF(J505&gt;=C505/(1-SKU_Base!AH505)/(1-Settings!$C$17),"WARN","STOP"))),"")</f>
        <v/>
      </c>
      <c r="N505" s="161">
        <f>IFERROR(ROUND(D505*(1-CHOOSE(MATCH(IF($E505="","Основний",$E505),{"Трафіковий","Основний","Маржинальний","Сезонний","Стратегічний"},0),Settings!$D$78,Settings!$D$80,Settings!$D$82,Settings!$D$84,Settings!$D$86))/6,2)*6,"")</f>
        <v/>
      </c>
      <c r="O505" s="142">
        <f>IFERROR(CHOOSE(MATCH(IF($E505="","Основний",$E505),{"Трафіковий","Основний","Маржинальний","Сезонний","Стратегічний"},0),Settings!$D$78,Settings!$D$80,Settings!$D$82,Settings!$D$84,Settings!$D$86),"")</f>
        <v/>
      </c>
      <c r="P505" s="148">
        <f>IFERROR((N505*(1-Settings!$D$17)-C505)/(N505*(1-Settings!$D$17)),"")</f>
        <v/>
      </c>
      <c r="Q505" s="149">
        <f>IFERROR(IF(N505="","",IF(N505&gt;=C505/(1-SKU_Base!AB505)/(1-Settings!$D$17),"OK",IF(N505&gt;=C505/(1-SKU_Base!AI505)/(1-Settings!$D$17),"WARN","STOP"))),"")</f>
        <v/>
      </c>
      <c r="R505" s="161">
        <f>IFERROR(ROUND(D505*(1-CHOOSE(MATCH(IF($E505="","Основний",$E505),{"Трафіковий","Основний","Маржинальний","Сезонний","Стратегічний"},0),Settings!$E$78,Settings!$E$80,Settings!$E$82,Settings!$E$84,Settings!$E$86))/6,2)*6,"")</f>
        <v/>
      </c>
      <c r="S505" s="142">
        <f>IFERROR(CHOOSE(MATCH(IF($E505="","Основний",$E505),{"Трафіковий","Основний","Маржинальний","Сезонний","Стратегічний"},0),Settings!$E$78,Settings!$E$80,Settings!$E$82,Settings!$E$84,Settings!$E$86),"")</f>
        <v/>
      </c>
      <c r="T505" s="148">
        <f>IFERROR((R505*(1-Settings!$E$17)-C505)/(R505*(1-Settings!$E$17)),"")</f>
        <v/>
      </c>
      <c r="U505" s="149">
        <f>IFERROR(IF(R505="","",IF(R505&gt;=C505/(1-SKU_Base!AC505)/(1-Settings!$E$17),"OK",IF(R505&gt;=C505/(1-SKU_Base!AJ505)/(1-Settings!$E$17),"WARN","STOP"))),"")</f>
        <v/>
      </c>
      <c r="V505" s="161">
        <f>IFERROR(ROUND(D505*(1-CHOOSE(MATCH(IF($E505="","Основний",$E505),{"Трафіковий","Основний","Маржинальний","Сезонний","Стратегічний"},0),Settings!$F$78,Settings!$F$80,Settings!$F$82,Settings!$F$84,Settings!$F$86))/6,2)*6,"")</f>
        <v/>
      </c>
      <c r="W505" s="142">
        <f>IFERROR(CHOOSE(MATCH(IF($E505="","Основний",$E505),{"Трафіковий","Основний","Маржинальний","Сезонний","Стратегічний"},0),Settings!$F$78,Settings!$F$80,Settings!$F$82,Settings!$F$84,Settings!$F$86),"")</f>
        <v/>
      </c>
      <c r="X505" s="148">
        <f>IFERROR((V505*(1-Settings!$F$17)-C505)/(V505*(1-Settings!$F$17)),"")</f>
        <v/>
      </c>
      <c r="Y505" s="149">
        <f>IFERROR(IF(V505="","",IF(V505&gt;=C505/(1-SKU_Base!AD505)/(1-Settings!$F$17),"OK",IF(V505&gt;=C505/(1-SKU_Base!AK505)/(1-Settings!$F$17),"WARN","STOP"))),"")</f>
        <v/>
      </c>
      <c r="Z505" s="161">
        <f>IFERROR(ROUND(D505*(1-CHOOSE(MATCH(IF($E505="","Основний",$E505),{"Трафіковий","Основний","Маржинальний","Сезонний","Стратегічний"},0),Settings!$G$78,Settings!$G$80,Settings!$G$82,Settings!$G$84,Settings!$G$86))/6,2)*6,"")</f>
        <v/>
      </c>
      <c r="AA505" s="142">
        <f>IFERROR(CHOOSE(MATCH(IF($E505="","Основний",$E505),{"Трафіковий","Основний","Маржинальний","Сезонний","Стратегічний"},0),Settings!$G$78,Settings!$G$80,Settings!$G$82,Settings!$G$84,Settings!$G$86),"")</f>
        <v/>
      </c>
      <c r="AB505" s="148">
        <f>IFERROR((Z505*(1-Settings!$G$17)-C505)/(Z505*(1-Settings!$G$17)),"")</f>
        <v/>
      </c>
      <c r="AC505" s="149">
        <f>IFERROR(IF(Z505="","",IF(Z505&gt;=C505/(1-SKU_Base!AE505)/(1-Settings!$G$17),"OK",IF(Z505&gt;=C505/(1-SKU_Base!AL505)/(1-Settings!$G$17),"WARN","STOP"))),"")</f>
        <v/>
      </c>
      <c r="AD505" s="161">
        <f>IFERROR(ROUND(D505*(1-CHOOSE(MATCH(IF($E505="","Основний",$E505),{"Трафіковий","Основний","Маржинальний","Сезонний","Стратегічний"},0),Settings!$H$78,Settings!$H$80,Settings!$H$82,Settings!$H$84,Settings!$H$86))*(1-Settings!$H$68)/6,2)*6,"")</f>
        <v/>
      </c>
      <c r="AE505" s="142">
        <f>IFERROR(CHOOSE(MATCH(IF($E505="","Основний",$E505),{"Трафіковий","Основний","Маржинальний","Сезонний","Стратегічний"},0),Settings!$H$78,Settings!$H$80,Settings!$H$82,Settings!$H$84,Settings!$H$86)+(1-(CHOOSE(MATCH(IF($E505="","Основний",$E505),{"Трафіковий","Основний","Маржинальний","Сезонний","Стратегічний"},0),Settings!$H$78,Settings!$H$80,Settings!$H$82,Settings!$H$84,Settings!$H$86)))*Settings!$H$68,"")</f>
        <v/>
      </c>
      <c r="AF505" s="148">
        <f>IFERROR((AD505*(1-Settings!$H$17)-C505)/(AD505*(1-Settings!$H$17)),"")</f>
        <v/>
      </c>
      <c r="AG505" s="149">
        <f>IFERROR(IF(AD505="","",IF(AD505&gt;=C505/(1-SKU_Base!AF505)/(1-Settings!$H$17),"OK",IF(AD505&gt;=C505/(1-SKU_Base!AM505)/(1-Settings!$H$17),"WARN","STOP"))),"")</f>
        <v/>
      </c>
    </row>
    <row r="506" ht="17" customHeight="1" s="179">
      <c r="A506" s="139">
        <f>SKU_Base!B506</f>
        <v/>
      </c>
      <c r="B506" s="139">
        <f>SKU_Base!C506</f>
        <v/>
      </c>
      <c r="C506" s="140">
        <f>IFERROR(SKU_Base!I506,"")</f>
        <v/>
      </c>
      <c r="D506" s="163">
        <f>IFERROR(SKU_Base!T506,"")</f>
        <v/>
      </c>
      <c r="E506" s="141">
        <f>IFERROR(SKU_Base!$U506,"")</f>
        <v/>
      </c>
      <c r="F506" s="158">
        <f>IFERROR(ROUND(D506*(1-CHOOSE(MATCH(IF($E506="","Основний",$E506),{"Трафіковий","Основний","Маржинальний","Сезонний","Стратегічний"},0),Settings!$B$78,Settings!$B$80,Settings!$B$82,Settings!$B$84,Settings!$B$86))/6,2)*6,"")</f>
        <v/>
      </c>
      <c r="G506" s="142">
        <f>IFERROR(CHOOSE(MATCH(IF($E506="","Основний",$E506),{"Трафіковий","Основний","Маржинальний","Сезонний","Стратегічний"},0),Settings!$B$78,Settings!$B$80,Settings!$B$82,Settings!$B$84,Settings!$B$86),"")</f>
        <v/>
      </c>
      <c r="H506" s="143">
        <f>IFERROR((F506*(1-Settings!$B$17)-C506)/(F506*(1-Settings!$B$17)),"")</f>
        <v/>
      </c>
      <c r="I506" s="149">
        <f>IFERROR(IF(F506="","",IF(F506&gt;=C506/(1-SKU_Base!Z506)/(1-Settings!$B$17),"OK",IF(F506&gt;=C506/(1-SKU_Base!AG506)/(1-Settings!$B$17),"WARN","STOP"))),"")</f>
        <v/>
      </c>
      <c r="J506" s="158">
        <f>IFERROR(ROUND(D506*(1-CHOOSE(MATCH(IF($E506="","Основний",$E506),{"Трафіковий","Основний","Маржинальний","Сезонний","Стратегічний"},0),Settings!$C$78,Settings!$C$80,Settings!$C$82,Settings!$C$84,Settings!$C$86))/6,2)*6,"")</f>
        <v/>
      </c>
      <c r="K506" s="142">
        <f>IFERROR(CHOOSE(MATCH(IF($E506="","Основний",$E506),{"Трафіковий","Основний","Маржинальний","Сезонний","Стратегічний"},0),Settings!$C$78,Settings!$C$80,Settings!$C$82,Settings!$C$84,Settings!$C$86),"")</f>
        <v/>
      </c>
      <c r="L506" s="143">
        <f>IFERROR((J506*(1-Settings!$C$17)-C506)/(J506*(1-Settings!$C$17)),"")</f>
        <v/>
      </c>
      <c r="M506" s="149">
        <f>IFERROR(IF(J506="","",IF(J506&gt;=C506/(1-SKU_Base!AA506)/(1-Settings!$C$17),"OK",IF(J506&gt;=C506/(1-SKU_Base!AH506)/(1-Settings!$C$17),"WARN","STOP"))),"")</f>
        <v/>
      </c>
      <c r="N506" s="159">
        <f>IFERROR(ROUND(D506*(1-CHOOSE(MATCH(IF($E506="","Основний",$E506),{"Трафіковий","Основний","Маржинальний","Сезонний","Стратегічний"},0),Settings!$D$78,Settings!$D$80,Settings!$D$82,Settings!$D$84,Settings!$D$86))/6,2)*6,"")</f>
        <v/>
      </c>
      <c r="O506" s="142">
        <f>IFERROR(CHOOSE(MATCH(IF($E506="","Основний",$E506),{"Трафіковий","Основний","Маржинальний","Сезонний","Стратегічний"},0),Settings!$D$78,Settings!$D$80,Settings!$D$82,Settings!$D$84,Settings!$D$86),"")</f>
        <v/>
      </c>
      <c r="P506" s="143">
        <f>IFERROR((N506*(1-Settings!$D$17)-C506)/(N506*(1-Settings!$D$17)),"")</f>
        <v/>
      </c>
      <c r="Q506" s="149">
        <f>IFERROR(IF(N506="","",IF(N506&gt;=C506/(1-SKU_Base!AB506)/(1-Settings!$D$17),"OK",IF(N506&gt;=C506/(1-SKU_Base!AI506)/(1-Settings!$D$17),"WARN","STOP"))),"")</f>
        <v/>
      </c>
      <c r="R506" s="159">
        <f>IFERROR(ROUND(D506*(1-CHOOSE(MATCH(IF($E506="","Основний",$E506),{"Трафіковий","Основний","Маржинальний","Сезонний","Стратегічний"},0),Settings!$E$78,Settings!$E$80,Settings!$E$82,Settings!$E$84,Settings!$E$86))/6,2)*6,"")</f>
        <v/>
      </c>
      <c r="S506" s="142">
        <f>IFERROR(CHOOSE(MATCH(IF($E506="","Основний",$E506),{"Трафіковий","Основний","Маржинальний","Сезонний","Стратегічний"},0),Settings!$E$78,Settings!$E$80,Settings!$E$82,Settings!$E$84,Settings!$E$86),"")</f>
        <v/>
      </c>
      <c r="T506" s="143">
        <f>IFERROR((R506*(1-Settings!$E$17)-C506)/(R506*(1-Settings!$E$17)),"")</f>
        <v/>
      </c>
      <c r="U506" s="149">
        <f>IFERROR(IF(R506="","",IF(R506&gt;=C506/(1-SKU_Base!AC506)/(1-Settings!$E$17),"OK",IF(R506&gt;=C506/(1-SKU_Base!AJ506)/(1-Settings!$E$17),"WARN","STOP"))),"")</f>
        <v/>
      </c>
      <c r="V506" s="159">
        <f>IFERROR(ROUND(D506*(1-CHOOSE(MATCH(IF($E506="","Основний",$E506),{"Трафіковий","Основний","Маржинальний","Сезонний","Стратегічний"},0),Settings!$F$78,Settings!$F$80,Settings!$F$82,Settings!$F$84,Settings!$F$86))/6,2)*6,"")</f>
        <v/>
      </c>
      <c r="W506" s="142">
        <f>IFERROR(CHOOSE(MATCH(IF($E506="","Основний",$E506),{"Трафіковий","Основний","Маржинальний","Сезонний","Стратегічний"},0),Settings!$F$78,Settings!$F$80,Settings!$F$82,Settings!$F$84,Settings!$F$86),"")</f>
        <v/>
      </c>
      <c r="X506" s="143">
        <f>IFERROR((V506*(1-Settings!$F$17)-C506)/(V506*(1-Settings!$F$17)),"")</f>
        <v/>
      </c>
      <c r="Y506" s="149">
        <f>IFERROR(IF(V506="","",IF(V506&gt;=C506/(1-SKU_Base!AD506)/(1-Settings!$F$17),"OK",IF(V506&gt;=C506/(1-SKU_Base!AK506)/(1-Settings!$F$17),"WARN","STOP"))),"")</f>
        <v/>
      </c>
      <c r="Z506" s="159">
        <f>IFERROR(ROUND(D506*(1-CHOOSE(MATCH(IF($E506="","Основний",$E506),{"Трафіковий","Основний","Маржинальний","Сезонний","Стратегічний"},0),Settings!$G$78,Settings!$G$80,Settings!$G$82,Settings!$G$84,Settings!$G$86))/6,2)*6,"")</f>
        <v/>
      </c>
      <c r="AA506" s="142">
        <f>IFERROR(CHOOSE(MATCH(IF($E506="","Основний",$E506),{"Трафіковий","Основний","Маржинальний","Сезонний","Стратегічний"},0),Settings!$G$78,Settings!$G$80,Settings!$G$82,Settings!$G$84,Settings!$G$86),"")</f>
        <v/>
      </c>
      <c r="AB506" s="143">
        <f>IFERROR((Z506*(1-Settings!$G$17)-C506)/(Z506*(1-Settings!$G$17)),"")</f>
        <v/>
      </c>
      <c r="AC506" s="149">
        <f>IFERROR(IF(Z506="","",IF(Z506&gt;=C506/(1-SKU_Base!AE506)/(1-Settings!$G$17),"OK",IF(Z506&gt;=C506/(1-SKU_Base!AL506)/(1-Settings!$G$17),"WARN","STOP"))),"")</f>
        <v/>
      </c>
      <c r="AD506" s="159">
        <f>IFERROR(ROUND(D506*(1-CHOOSE(MATCH(IF($E506="","Основний",$E506),{"Трафіковий","Основний","Маржинальний","Сезонний","Стратегічний"},0),Settings!$H$78,Settings!$H$80,Settings!$H$82,Settings!$H$84,Settings!$H$86))*(1-Settings!$H$68)/6,2)*6,"")</f>
        <v/>
      </c>
      <c r="AE506" s="142">
        <f>IFERROR(CHOOSE(MATCH(IF($E506="","Основний",$E506),{"Трафіковий","Основний","Маржинальний","Сезонний","Стратегічний"},0),Settings!$H$78,Settings!$H$80,Settings!$H$82,Settings!$H$84,Settings!$H$86)+(1-(CHOOSE(MATCH(IF($E506="","Основний",$E506),{"Трафіковий","Основний","Маржинальний","Сезонний","Стратегічний"},0),Settings!$H$78,Settings!$H$80,Settings!$H$82,Settings!$H$84,Settings!$H$86)))*Settings!$H$68,"")</f>
        <v/>
      </c>
      <c r="AF506" s="143">
        <f>IFERROR((AD506*(1-Settings!$H$17)-C506)/(AD506*(1-Settings!$H$17)),"")</f>
        <v/>
      </c>
      <c r="AG506" s="149">
        <f>IFERROR(IF(AD506="","",IF(AD506&gt;=C506/(1-SKU_Base!AF506)/(1-Settings!$H$17),"OK",IF(AD506&gt;=C506/(1-SKU_Base!AM506)/(1-Settings!$H$17),"WARN","STOP"))),"")</f>
        <v/>
      </c>
    </row>
    <row r="507" ht="17" customHeight="1" s="179">
      <c r="A507" s="146">
        <f>SKU_Base!B507</f>
        <v/>
      </c>
      <c r="B507" s="146">
        <f>SKU_Base!C507</f>
        <v/>
      </c>
      <c r="C507" s="147">
        <f>IFERROR(SKU_Base!I507,"")</f>
        <v/>
      </c>
      <c r="D507" s="164">
        <f>IFERROR(SKU_Base!T507,"")</f>
        <v/>
      </c>
      <c r="E507" s="141">
        <f>IFERROR(SKU_Base!$U507,"")</f>
        <v/>
      </c>
      <c r="F507" s="160">
        <f>IFERROR(ROUND(D507*(1-CHOOSE(MATCH(IF($E507="","Основний",$E507),{"Трафіковий","Основний","Маржинальний","Сезонний","Стратегічний"},0),Settings!$B$78,Settings!$B$80,Settings!$B$82,Settings!$B$84,Settings!$B$86))/6,2)*6,"")</f>
        <v/>
      </c>
      <c r="G507" s="142">
        <f>IFERROR(CHOOSE(MATCH(IF($E507="","Основний",$E507),{"Трафіковий","Основний","Маржинальний","Сезонний","Стратегічний"},0),Settings!$B$78,Settings!$B$80,Settings!$B$82,Settings!$B$84,Settings!$B$86),"")</f>
        <v/>
      </c>
      <c r="H507" s="148">
        <f>IFERROR((F507*(1-Settings!$B$17)-C507)/(F507*(1-Settings!$B$17)),"")</f>
        <v/>
      </c>
      <c r="I507" s="149">
        <f>IFERROR(IF(F507="","",IF(F507&gt;=C507/(1-SKU_Base!Z507)/(1-Settings!$B$17),"OK",IF(F507&gt;=C507/(1-SKU_Base!AG507)/(1-Settings!$B$17),"WARN","STOP"))),"")</f>
        <v/>
      </c>
      <c r="J507" s="160">
        <f>IFERROR(ROUND(D507*(1-CHOOSE(MATCH(IF($E507="","Основний",$E507),{"Трафіковий","Основний","Маржинальний","Сезонний","Стратегічний"},0),Settings!$C$78,Settings!$C$80,Settings!$C$82,Settings!$C$84,Settings!$C$86))/6,2)*6,"")</f>
        <v/>
      </c>
      <c r="K507" s="142">
        <f>IFERROR(CHOOSE(MATCH(IF($E507="","Основний",$E507),{"Трафіковий","Основний","Маржинальний","Сезонний","Стратегічний"},0),Settings!$C$78,Settings!$C$80,Settings!$C$82,Settings!$C$84,Settings!$C$86),"")</f>
        <v/>
      </c>
      <c r="L507" s="148">
        <f>IFERROR((J507*(1-Settings!$C$17)-C507)/(J507*(1-Settings!$C$17)),"")</f>
        <v/>
      </c>
      <c r="M507" s="149">
        <f>IFERROR(IF(J507="","",IF(J507&gt;=C507/(1-SKU_Base!AA507)/(1-Settings!$C$17),"OK",IF(J507&gt;=C507/(1-SKU_Base!AH507)/(1-Settings!$C$17),"WARN","STOP"))),"")</f>
        <v/>
      </c>
      <c r="N507" s="161">
        <f>IFERROR(ROUND(D507*(1-CHOOSE(MATCH(IF($E507="","Основний",$E507),{"Трафіковий","Основний","Маржинальний","Сезонний","Стратегічний"},0),Settings!$D$78,Settings!$D$80,Settings!$D$82,Settings!$D$84,Settings!$D$86))/6,2)*6,"")</f>
        <v/>
      </c>
      <c r="O507" s="142">
        <f>IFERROR(CHOOSE(MATCH(IF($E507="","Основний",$E507),{"Трафіковий","Основний","Маржинальний","Сезонний","Стратегічний"},0),Settings!$D$78,Settings!$D$80,Settings!$D$82,Settings!$D$84,Settings!$D$86),"")</f>
        <v/>
      </c>
      <c r="P507" s="148">
        <f>IFERROR((N507*(1-Settings!$D$17)-C507)/(N507*(1-Settings!$D$17)),"")</f>
        <v/>
      </c>
      <c r="Q507" s="149">
        <f>IFERROR(IF(N507="","",IF(N507&gt;=C507/(1-SKU_Base!AB507)/(1-Settings!$D$17),"OK",IF(N507&gt;=C507/(1-SKU_Base!AI507)/(1-Settings!$D$17),"WARN","STOP"))),"")</f>
        <v/>
      </c>
      <c r="R507" s="161">
        <f>IFERROR(ROUND(D507*(1-CHOOSE(MATCH(IF($E507="","Основний",$E507),{"Трафіковий","Основний","Маржинальний","Сезонний","Стратегічний"},0),Settings!$E$78,Settings!$E$80,Settings!$E$82,Settings!$E$84,Settings!$E$86))/6,2)*6,"")</f>
        <v/>
      </c>
      <c r="S507" s="142">
        <f>IFERROR(CHOOSE(MATCH(IF($E507="","Основний",$E507),{"Трафіковий","Основний","Маржинальний","Сезонний","Стратегічний"},0),Settings!$E$78,Settings!$E$80,Settings!$E$82,Settings!$E$84,Settings!$E$86),"")</f>
        <v/>
      </c>
      <c r="T507" s="148">
        <f>IFERROR((R507*(1-Settings!$E$17)-C507)/(R507*(1-Settings!$E$17)),"")</f>
        <v/>
      </c>
      <c r="U507" s="149">
        <f>IFERROR(IF(R507="","",IF(R507&gt;=C507/(1-SKU_Base!AC507)/(1-Settings!$E$17),"OK",IF(R507&gt;=C507/(1-SKU_Base!AJ507)/(1-Settings!$E$17),"WARN","STOP"))),"")</f>
        <v/>
      </c>
      <c r="V507" s="161">
        <f>IFERROR(ROUND(D507*(1-CHOOSE(MATCH(IF($E507="","Основний",$E507),{"Трафіковий","Основний","Маржинальний","Сезонний","Стратегічний"},0),Settings!$F$78,Settings!$F$80,Settings!$F$82,Settings!$F$84,Settings!$F$86))/6,2)*6,"")</f>
        <v/>
      </c>
      <c r="W507" s="142">
        <f>IFERROR(CHOOSE(MATCH(IF($E507="","Основний",$E507),{"Трафіковий","Основний","Маржинальний","Сезонний","Стратегічний"},0),Settings!$F$78,Settings!$F$80,Settings!$F$82,Settings!$F$84,Settings!$F$86),"")</f>
        <v/>
      </c>
      <c r="X507" s="148">
        <f>IFERROR((V507*(1-Settings!$F$17)-C507)/(V507*(1-Settings!$F$17)),"")</f>
        <v/>
      </c>
      <c r="Y507" s="149">
        <f>IFERROR(IF(V507="","",IF(V507&gt;=C507/(1-SKU_Base!AD507)/(1-Settings!$F$17),"OK",IF(V507&gt;=C507/(1-SKU_Base!AK507)/(1-Settings!$F$17),"WARN","STOP"))),"")</f>
        <v/>
      </c>
      <c r="Z507" s="161">
        <f>IFERROR(ROUND(D507*(1-CHOOSE(MATCH(IF($E507="","Основний",$E507),{"Трафіковий","Основний","Маржинальний","Сезонний","Стратегічний"},0),Settings!$G$78,Settings!$G$80,Settings!$G$82,Settings!$G$84,Settings!$G$86))/6,2)*6,"")</f>
        <v/>
      </c>
      <c r="AA507" s="142">
        <f>IFERROR(CHOOSE(MATCH(IF($E507="","Основний",$E507),{"Трафіковий","Основний","Маржинальний","Сезонний","Стратегічний"},0),Settings!$G$78,Settings!$G$80,Settings!$G$82,Settings!$G$84,Settings!$G$86),"")</f>
        <v/>
      </c>
      <c r="AB507" s="148">
        <f>IFERROR((Z507*(1-Settings!$G$17)-C507)/(Z507*(1-Settings!$G$17)),"")</f>
        <v/>
      </c>
      <c r="AC507" s="149">
        <f>IFERROR(IF(Z507="","",IF(Z507&gt;=C507/(1-SKU_Base!AE507)/(1-Settings!$G$17),"OK",IF(Z507&gt;=C507/(1-SKU_Base!AL507)/(1-Settings!$G$17),"WARN","STOP"))),"")</f>
        <v/>
      </c>
      <c r="AD507" s="161">
        <f>IFERROR(ROUND(D507*(1-CHOOSE(MATCH(IF($E507="","Основний",$E507),{"Трафіковий","Основний","Маржинальний","Сезонний","Стратегічний"},0),Settings!$H$78,Settings!$H$80,Settings!$H$82,Settings!$H$84,Settings!$H$86))*(1-Settings!$H$68)/6,2)*6,"")</f>
        <v/>
      </c>
      <c r="AE507" s="142">
        <f>IFERROR(CHOOSE(MATCH(IF($E507="","Основний",$E507),{"Трафіковий","Основний","Маржинальний","Сезонний","Стратегічний"},0),Settings!$H$78,Settings!$H$80,Settings!$H$82,Settings!$H$84,Settings!$H$86)+(1-(CHOOSE(MATCH(IF($E507="","Основний",$E507),{"Трафіковий","Основний","Маржинальний","Сезонний","Стратегічний"},0),Settings!$H$78,Settings!$H$80,Settings!$H$82,Settings!$H$84,Settings!$H$86)))*Settings!$H$68,"")</f>
        <v/>
      </c>
      <c r="AF507" s="148">
        <f>IFERROR((AD507*(1-Settings!$H$17)-C507)/(AD507*(1-Settings!$H$17)),"")</f>
        <v/>
      </c>
      <c r="AG507" s="149">
        <f>IFERROR(IF(AD507="","",IF(AD507&gt;=C507/(1-SKU_Base!AF507)/(1-Settings!$H$17),"OK",IF(AD507&gt;=C507/(1-SKU_Base!AM507)/(1-Settings!$H$17),"WARN","STOP"))),"")</f>
        <v/>
      </c>
    </row>
    <row r="508" ht="17" customHeight="1" s="179">
      <c r="A508" s="139">
        <f>SKU_Base!B508</f>
        <v/>
      </c>
      <c r="B508" s="139">
        <f>SKU_Base!C508</f>
        <v/>
      </c>
      <c r="C508" s="140">
        <f>IFERROR(SKU_Base!I508,"")</f>
        <v/>
      </c>
      <c r="D508" s="163">
        <f>IFERROR(SKU_Base!T508,"")</f>
        <v/>
      </c>
      <c r="E508" s="141">
        <f>IFERROR(SKU_Base!$U508,"")</f>
        <v/>
      </c>
      <c r="F508" s="158">
        <f>IFERROR(ROUND(D508*(1-CHOOSE(MATCH(IF($E508="","Основний",$E508),{"Трафіковий","Основний","Маржинальний","Сезонний","Стратегічний"},0),Settings!$B$78,Settings!$B$80,Settings!$B$82,Settings!$B$84,Settings!$B$86))/6,2)*6,"")</f>
        <v/>
      </c>
      <c r="G508" s="142">
        <f>IFERROR(CHOOSE(MATCH(IF($E508="","Основний",$E508),{"Трафіковий","Основний","Маржинальний","Сезонний","Стратегічний"},0),Settings!$B$78,Settings!$B$80,Settings!$B$82,Settings!$B$84,Settings!$B$86),"")</f>
        <v/>
      </c>
      <c r="H508" s="143">
        <f>IFERROR((F508*(1-Settings!$B$17)-C508)/(F508*(1-Settings!$B$17)),"")</f>
        <v/>
      </c>
      <c r="I508" s="150">
        <f>IFERROR(IF(F508="","",IF(F508&gt;=C508/(1-SKU_Base!Z508)/(1-Settings!$B$17),"OK",IF(F508&gt;=C508/(1-SKU_Base!AG508)/(1-Settings!$B$17),"WARN","STOP"))),"")</f>
        <v/>
      </c>
      <c r="J508" s="158">
        <f>IFERROR(ROUND(D508*(1-CHOOSE(MATCH(IF($E508="","Основний",$E508),{"Трафіковий","Основний","Маржинальний","Сезонний","Стратегічний"},0),Settings!$C$78,Settings!$C$80,Settings!$C$82,Settings!$C$84,Settings!$C$86))/6,2)*6,"")</f>
        <v/>
      </c>
      <c r="K508" s="142">
        <f>IFERROR(CHOOSE(MATCH(IF($E508="","Основний",$E508),{"Трафіковий","Основний","Маржинальний","Сезонний","Стратегічний"},0),Settings!$C$78,Settings!$C$80,Settings!$C$82,Settings!$C$84,Settings!$C$86),"")</f>
        <v/>
      </c>
      <c r="L508" s="143">
        <f>IFERROR((J508*(1-Settings!$C$17)-C508)/(J508*(1-Settings!$C$17)),"")</f>
        <v/>
      </c>
      <c r="M508" s="149">
        <f>IFERROR(IF(J508="","",IF(J508&gt;=C508/(1-SKU_Base!AA508)/(1-Settings!$C$17),"OK",IF(J508&gt;=C508/(1-SKU_Base!AH508)/(1-Settings!$C$17),"WARN","STOP"))),"")</f>
        <v/>
      </c>
      <c r="N508" s="159">
        <f>IFERROR(ROUND(D508*(1-CHOOSE(MATCH(IF($E508="","Основний",$E508),{"Трафіковий","Основний","Маржинальний","Сезонний","Стратегічний"},0),Settings!$D$78,Settings!$D$80,Settings!$D$82,Settings!$D$84,Settings!$D$86))/6,2)*6,"")</f>
        <v/>
      </c>
      <c r="O508" s="142">
        <f>IFERROR(CHOOSE(MATCH(IF($E508="","Основний",$E508),{"Трафіковий","Основний","Маржинальний","Сезонний","Стратегічний"},0),Settings!$D$78,Settings!$D$80,Settings!$D$82,Settings!$D$84,Settings!$D$86),"")</f>
        <v/>
      </c>
      <c r="P508" s="143">
        <f>IFERROR((N508*(1-Settings!$D$17)-C508)/(N508*(1-Settings!$D$17)),"")</f>
        <v/>
      </c>
      <c r="Q508" s="149">
        <f>IFERROR(IF(N508="","",IF(N508&gt;=C508/(1-SKU_Base!AB508)/(1-Settings!$D$17),"OK",IF(N508&gt;=C508/(1-SKU_Base!AI508)/(1-Settings!$D$17),"WARN","STOP"))),"")</f>
        <v/>
      </c>
      <c r="R508" s="159">
        <f>IFERROR(ROUND(D508*(1-CHOOSE(MATCH(IF($E508="","Основний",$E508),{"Трафіковий","Основний","Маржинальний","Сезонний","Стратегічний"},0),Settings!$E$78,Settings!$E$80,Settings!$E$82,Settings!$E$84,Settings!$E$86))/6,2)*6,"")</f>
        <v/>
      </c>
      <c r="S508" s="142">
        <f>IFERROR(CHOOSE(MATCH(IF($E508="","Основний",$E508),{"Трафіковий","Основний","Маржинальний","Сезонний","Стратегічний"},0),Settings!$E$78,Settings!$E$80,Settings!$E$82,Settings!$E$84,Settings!$E$86),"")</f>
        <v/>
      </c>
      <c r="T508" s="143">
        <f>IFERROR((R508*(1-Settings!$E$17)-C508)/(R508*(1-Settings!$E$17)),"")</f>
        <v/>
      </c>
      <c r="U508" s="149">
        <f>IFERROR(IF(R508="","",IF(R508&gt;=C508/(1-SKU_Base!AC508)/(1-Settings!$E$17),"OK",IF(R508&gt;=C508/(1-SKU_Base!AJ508)/(1-Settings!$E$17),"WARN","STOP"))),"")</f>
        <v/>
      </c>
      <c r="V508" s="159">
        <f>IFERROR(ROUND(D508*(1-CHOOSE(MATCH(IF($E508="","Основний",$E508),{"Трафіковий","Основний","Маржинальний","Сезонний","Стратегічний"},0),Settings!$F$78,Settings!$F$80,Settings!$F$82,Settings!$F$84,Settings!$F$86))/6,2)*6,"")</f>
        <v/>
      </c>
      <c r="W508" s="142">
        <f>IFERROR(CHOOSE(MATCH(IF($E508="","Основний",$E508),{"Трафіковий","Основний","Маржинальний","Сезонний","Стратегічний"},0),Settings!$F$78,Settings!$F$80,Settings!$F$82,Settings!$F$84,Settings!$F$86),"")</f>
        <v/>
      </c>
      <c r="X508" s="143">
        <f>IFERROR((V508*(1-Settings!$F$17)-C508)/(V508*(1-Settings!$F$17)),"")</f>
        <v/>
      </c>
      <c r="Y508" s="149">
        <f>IFERROR(IF(V508="","",IF(V508&gt;=C508/(1-SKU_Base!AD508)/(1-Settings!$F$17),"OK",IF(V508&gt;=C508/(1-SKU_Base!AK508)/(1-Settings!$F$17),"WARN","STOP"))),"")</f>
        <v/>
      </c>
      <c r="Z508" s="159">
        <f>IFERROR(ROUND(D508*(1-CHOOSE(MATCH(IF($E508="","Основний",$E508),{"Трафіковий","Основний","Маржинальний","Сезонний","Стратегічний"},0),Settings!$G$78,Settings!$G$80,Settings!$G$82,Settings!$G$84,Settings!$G$86))/6,2)*6,"")</f>
        <v/>
      </c>
      <c r="AA508" s="142">
        <f>IFERROR(CHOOSE(MATCH(IF($E508="","Основний",$E508),{"Трафіковий","Основний","Маржинальний","Сезонний","Стратегічний"},0),Settings!$G$78,Settings!$G$80,Settings!$G$82,Settings!$G$84,Settings!$G$86),"")</f>
        <v/>
      </c>
      <c r="AB508" s="143">
        <f>IFERROR((Z508*(1-Settings!$G$17)-C508)/(Z508*(1-Settings!$G$17)),"")</f>
        <v/>
      </c>
      <c r="AC508" s="149">
        <f>IFERROR(IF(Z508="","",IF(Z508&gt;=C508/(1-SKU_Base!AE508)/(1-Settings!$G$17),"OK",IF(Z508&gt;=C508/(1-SKU_Base!AL508)/(1-Settings!$G$17),"WARN","STOP"))),"")</f>
        <v/>
      </c>
      <c r="AD508" s="159">
        <f>IFERROR(ROUND(D508*(1-CHOOSE(MATCH(IF($E508="","Основний",$E508),{"Трафіковий","Основний","Маржинальний","Сезонний","Стратегічний"},0),Settings!$H$78,Settings!$H$80,Settings!$H$82,Settings!$H$84,Settings!$H$86))*(1-Settings!$H$68)/6,2)*6,"")</f>
        <v/>
      </c>
      <c r="AE508" s="142">
        <f>IFERROR(CHOOSE(MATCH(IF($E508="","Основний",$E508),{"Трафіковий","Основний","Маржинальний","Сезонний","Стратегічний"},0),Settings!$H$78,Settings!$H$80,Settings!$H$82,Settings!$H$84,Settings!$H$86)+(1-(CHOOSE(MATCH(IF($E508="","Основний",$E508),{"Трафіковий","Основний","Маржинальний","Сезонний","Стратегічний"},0),Settings!$H$78,Settings!$H$80,Settings!$H$82,Settings!$H$84,Settings!$H$86)))*Settings!$H$68,"")</f>
        <v/>
      </c>
      <c r="AF508" s="143">
        <f>IFERROR((AD508*(1-Settings!$H$17)-C508)/(AD508*(1-Settings!$H$17)),"")</f>
        <v/>
      </c>
      <c r="AG508" s="150">
        <f>IFERROR(IF(AD508="","",IF(AD508&gt;=C508/(1-SKU_Base!AF508)/(1-Settings!$H$17),"OK",IF(AD508&gt;=C508/(1-SKU_Base!AM508)/(1-Settings!$H$17),"WARN","STOP"))),"")</f>
        <v/>
      </c>
    </row>
    <row r="509" ht="17" customHeight="1" s="179">
      <c r="A509" s="146">
        <f>SKU_Base!B509</f>
        <v/>
      </c>
      <c r="B509" s="146">
        <f>SKU_Base!C509</f>
        <v/>
      </c>
      <c r="C509" s="147">
        <f>IFERROR(SKU_Base!I509,"")</f>
        <v/>
      </c>
      <c r="D509" s="164">
        <f>IFERROR(SKU_Base!T509,"")</f>
        <v/>
      </c>
      <c r="E509" s="141">
        <f>IFERROR(SKU_Base!$U509,"")</f>
        <v/>
      </c>
      <c r="F509" s="160">
        <f>IFERROR(ROUND(D509*(1-CHOOSE(MATCH(IF($E509="","Основний",$E509),{"Трафіковий","Основний","Маржинальний","Сезонний","Стратегічний"},0),Settings!$B$78,Settings!$B$80,Settings!$B$82,Settings!$B$84,Settings!$B$86))/6,2)*6,"")</f>
        <v/>
      </c>
      <c r="G509" s="142">
        <f>IFERROR(CHOOSE(MATCH(IF($E509="","Основний",$E509),{"Трафіковий","Основний","Маржинальний","Сезонний","Стратегічний"},0),Settings!$B$78,Settings!$B$80,Settings!$B$82,Settings!$B$84,Settings!$B$86),"")</f>
        <v/>
      </c>
      <c r="H509" s="148">
        <f>IFERROR((F509*(1-Settings!$B$17)-C509)/(F509*(1-Settings!$B$17)),"")</f>
        <v/>
      </c>
      <c r="I509" s="149">
        <f>IFERROR(IF(F509="","",IF(F509&gt;=C509/(1-SKU_Base!Z509)/(1-Settings!$B$17),"OK",IF(F509&gt;=C509/(1-SKU_Base!AG509)/(1-Settings!$B$17),"WARN","STOP"))),"")</f>
        <v/>
      </c>
      <c r="J509" s="160">
        <f>IFERROR(ROUND(D509*(1-CHOOSE(MATCH(IF($E509="","Основний",$E509),{"Трафіковий","Основний","Маржинальний","Сезонний","Стратегічний"},0),Settings!$C$78,Settings!$C$80,Settings!$C$82,Settings!$C$84,Settings!$C$86))/6,2)*6,"")</f>
        <v/>
      </c>
      <c r="K509" s="142">
        <f>IFERROR(CHOOSE(MATCH(IF($E509="","Основний",$E509),{"Трафіковий","Основний","Маржинальний","Сезонний","Стратегічний"},0),Settings!$C$78,Settings!$C$80,Settings!$C$82,Settings!$C$84,Settings!$C$86),"")</f>
        <v/>
      </c>
      <c r="L509" s="148">
        <f>IFERROR((J509*(1-Settings!$C$17)-C509)/(J509*(1-Settings!$C$17)),"")</f>
        <v/>
      </c>
      <c r="M509" s="149">
        <f>IFERROR(IF(J509="","",IF(J509&gt;=C509/(1-SKU_Base!AA509)/(1-Settings!$C$17),"OK",IF(J509&gt;=C509/(1-SKU_Base!AH509)/(1-Settings!$C$17),"WARN","STOP"))),"")</f>
        <v/>
      </c>
      <c r="N509" s="161">
        <f>IFERROR(ROUND(D509*(1-CHOOSE(MATCH(IF($E509="","Основний",$E509),{"Трафіковий","Основний","Маржинальний","Сезонний","Стратегічний"},0),Settings!$D$78,Settings!$D$80,Settings!$D$82,Settings!$D$84,Settings!$D$86))/6,2)*6,"")</f>
        <v/>
      </c>
      <c r="O509" s="142">
        <f>IFERROR(CHOOSE(MATCH(IF($E509="","Основний",$E509),{"Трафіковий","Основний","Маржинальний","Сезонний","Стратегічний"},0),Settings!$D$78,Settings!$D$80,Settings!$D$82,Settings!$D$84,Settings!$D$86),"")</f>
        <v/>
      </c>
      <c r="P509" s="148">
        <f>IFERROR((N509*(1-Settings!$D$17)-C509)/(N509*(1-Settings!$D$17)),"")</f>
        <v/>
      </c>
      <c r="Q509" s="149">
        <f>IFERROR(IF(N509="","",IF(N509&gt;=C509/(1-SKU_Base!AB509)/(1-Settings!$D$17),"OK",IF(N509&gt;=C509/(1-SKU_Base!AI509)/(1-Settings!$D$17),"WARN","STOP"))),"")</f>
        <v/>
      </c>
      <c r="R509" s="161">
        <f>IFERROR(ROUND(D509*(1-CHOOSE(MATCH(IF($E509="","Основний",$E509),{"Трафіковий","Основний","Маржинальний","Сезонний","Стратегічний"},0),Settings!$E$78,Settings!$E$80,Settings!$E$82,Settings!$E$84,Settings!$E$86))/6,2)*6,"")</f>
        <v/>
      </c>
      <c r="S509" s="142">
        <f>IFERROR(CHOOSE(MATCH(IF($E509="","Основний",$E509),{"Трафіковий","Основний","Маржинальний","Сезонний","Стратегічний"},0),Settings!$E$78,Settings!$E$80,Settings!$E$82,Settings!$E$84,Settings!$E$86),"")</f>
        <v/>
      </c>
      <c r="T509" s="148">
        <f>IFERROR((R509*(1-Settings!$E$17)-C509)/(R509*(1-Settings!$E$17)),"")</f>
        <v/>
      </c>
      <c r="U509" s="149">
        <f>IFERROR(IF(R509="","",IF(R509&gt;=C509/(1-SKU_Base!AC509)/(1-Settings!$E$17),"OK",IF(R509&gt;=C509/(1-SKU_Base!AJ509)/(1-Settings!$E$17),"WARN","STOP"))),"")</f>
        <v/>
      </c>
      <c r="V509" s="161">
        <f>IFERROR(ROUND(D509*(1-CHOOSE(MATCH(IF($E509="","Основний",$E509),{"Трафіковий","Основний","Маржинальний","Сезонний","Стратегічний"},0),Settings!$F$78,Settings!$F$80,Settings!$F$82,Settings!$F$84,Settings!$F$86))/6,2)*6,"")</f>
        <v/>
      </c>
      <c r="W509" s="142">
        <f>IFERROR(CHOOSE(MATCH(IF($E509="","Основний",$E509),{"Трафіковий","Основний","Маржинальний","Сезонний","Стратегічний"},0),Settings!$F$78,Settings!$F$80,Settings!$F$82,Settings!$F$84,Settings!$F$86),"")</f>
        <v/>
      </c>
      <c r="X509" s="148">
        <f>IFERROR((V509*(1-Settings!$F$17)-C509)/(V509*(1-Settings!$F$17)),"")</f>
        <v/>
      </c>
      <c r="Y509" s="149">
        <f>IFERROR(IF(V509="","",IF(V509&gt;=C509/(1-SKU_Base!AD509)/(1-Settings!$F$17),"OK",IF(V509&gt;=C509/(1-SKU_Base!AK509)/(1-Settings!$F$17),"WARN","STOP"))),"")</f>
        <v/>
      </c>
      <c r="Z509" s="161">
        <f>IFERROR(ROUND(D509*(1-CHOOSE(MATCH(IF($E509="","Основний",$E509),{"Трафіковий","Основний","Маржинальний","Сезонний","Стратегічний"},0),Settings!$G$78,Settings!$G$80,Settings!$G$82,Settings!$G$84,Settings!$G$86))/6,2)*6,"")</f>
        <v/>
      </c>
      <c r="AA509" s="142">
        <f>IFERROR(CHOOSE(MATCH(IF($E509="","Основний",$E509),{"Трафіковий","Основний","Маржинальний","Сезонний","Стратегічний"},0),Settings!$G$78,Settings!$G$80,Settings!$G$82,Settings!$G$84,Settings!$G$86),"")</f>
        <v/>
      </c>
      <c r="AB509" s="148">
        <f>IFERROR((Z509*(1-Settings!$G$17)-C509)/(Z509*(1-Settings!$G$17)),"")</f>
        <v/>
      </c>
      <c r="AC509" s="149">
        <f>IFERROR(IF(Z509="","",IF(Z509&gt;=C509/(1-SKU_Base!AE509)/(1-Settings!$G$17),"OK",IF(Z509&gt;=C509/(1-SKU_Base!AL509)/(1-Settings!$G$17),"WARN","STOP"))),"")</f>
        <v/>
      </c>
      <c r="AD509" s="161">
        <f>IFERROR(ROUND(D509*(1-CHOOSE(MATCH(IF($E509="","Основний",$E509),{"Трафіковий","Основний","Маржинальний","Сезонний","Стратегічний"},0),Settings!$H$78,Settings!$H$80,Settings!$H$82,Settings!$H$84,Settings!$H$86))*(1-Settings!$H$68)/6,2)*6,"")</f>
        <v/>
      </c>
      <c r="AE509" s="142">
        <f>IFERROR(CHOOSE(MATCH(IF($E509="","Основний",$E509),{"Трафіковий","Основний","Маржинальний","Сезонний","Стратегічний"},0),Settings!$H$78,Settings!$H$80,Settings!$H$82,Settings!$H$84,Settings!$H$86)+(1-(CHOOSE(MATCH(IF($E509="","Основний",$E509),{"Трафіковий","Основний","Маржинальний","Сезонний","Стратегічний"},0),Settings!$H$78,Settings!$H$80,Settings!$H$82,Settings!$H$84,Settings!$H$86)))*Settings!$H$68,"")</f>
        <v/>
      </c>
      <c r="AF509" s="148">
        <f>IFERROR((AD509*(1-Settings!$H$17)-C509)/(AD509*(1-Settings!$H$17)),"")</f>
        <v/>
      </c>
      <c r="AG509" s="149">
        <f>IFERROR(IF(AD509="","",IF(AD509&gt;=C509/(1-SKU_Base!AF509)/(1-Settings!$H$17),"OK",IF(AD509&gt;=C509/(1-SKU_Base!AM509)/(1-Settings!$H$17),"WARN","STOP"))),"")</f>
        <v/>
      </c>
    </row>
    <row r="510" ht="17" customHeight="1" s="179">
      <c r="A510" s="139">
        <f>SKU_Base!B510</f>
        <v/>
      </c>
      <c r="B510" s="139">
        <f>SKU_Base!C510</f>
        <v/>
      </c>
      <c r="C510" s="140">
        <f>IFERROR(SKU_Base!I510,"")</f>
        <v/>
      </c>
      <c r="D510" s="163">
        <f>IFERROR(SKU_Base!T510,"")</f>
        <v/>
      </c>
      <c r="E510" s="141">
        <f>IFERROR(SKU_Base!$U510,"")</f>
        <v/>
      </c>
      <c r="F510" s="158">
        <f>IFERROR(ROUND(D510*(1-CHOOSE(MATCH(IF($E510="","Основний",$E510),{"Трафіковий","Основний","Маржинальний","Сезонний","Стратегічний"},0),Settings!$B$78,Settings!$B$80,Settings!$B$82,Settings!$B$84,Settings!$B$86))/6,2)*6,"")</f>
        <v/>
      </c>
      <c r="G510" s="142">
        <f>IFERROR(CHOOSE(MATCH(IF($E510="","Основний",$E510),{"Трафіковий","Основний","Маржинальний","Сезонний","Стратегічний"},0),Settings!$B$78,Settings!$B$80,Settings!$B$82,Settings!$B$84,Settings!$B$86),"")</f>
        <v/>
      </c>
      <c r="H510" s="143">
        <f>IFERROR((F510*(1-Settings!$B$17)-C510)/(F510*(1-Settings!$B$17)),"")</f>
        <v/>
      </c>
      <c r="I510" s="149">
        <f>IFERROR(IF(F510="","",IF(F510&gt;=C510/(1-SKU_Base!Z510)/(1-Settings!$B$17),"OK",IF(F510&gt;=C510/(1-SKU_Base!AG510)/(1-Settings!$B$17),"WARN","STOP"))),"")</f>
        <v/>
      </c>
      <c r="J510" s="158">
        <f>IFERROR(ROUND(D510*(1-CHOOSE(MATCH(IF($E510="","Основний",$E510),{"Трафіковий","Основний","Маржинальний","Сезонний","Стратегічний"},0),Settings!$C$78,Settings!$C$80,Settings!$C$82,Settings!$C$84,Settings!$C$86))/6,2)*6,"")</f>
        <v/>
      </c>
      <c r="K510" s="142">
        <f>IFERROR(CHOOSE(MATCH(IF($E510="","Основний",$E510),{"Трафіковий","Основний","Маржинальний","Сезонний","Стратегічний"},0),Settings!$C$78,Settings!$C$80,Settings!$C$82,Settings!$C$84,Settings!$C$86),"")</f>
        <v/>
      </c>
      <c r="L510" s="143">
        <f>IFERROR((J510*(1-Settings!$C$17)-C510)/(J510*(1-Settings!$C$17)),"")</f>
        <v/>
      </c>
      <c r="M510" s="149">
        <f>IFERROR(IF(J510="","",IF(J510&gt;=C510/(1-SKU_Base!AA510)/(1-Settings!$C$17),"OK",IF(J510&gt;=C510/(1-SKU_Base!AH510)/(1-Settings!$C$17),"WARN","STOP"))),"")</f>
        <v/>
      </c>
      <c r="N510" s="159">
        <f>IFERROR(ROUND(D510*(1-CHOOSE(MATCH(IF($E510="","Основний",$E510),{"Трафіковий","Основний","Маржинальний","Сезонний","Стратегічний"},0),Settings!$D$78,Settings!$D$80,Settings!$D$82,Settings!$D$84,Settings!$D$86))/6,2)*6,"")</f>
        <v/>
      </c>
      <c r="O510" s="142">
        <f>IFERROR(CHOOSE(MATCH(IF($E510="","Основний",$E510),{"Трафіковий","Основний","Маржинальний","Сезонний","Стратегічний"},0),Settings!$D$78,Settings!$D$80,Settings!$D$82,Settings!$D$84,Settings!$D$86),"")</f>
        <v/>
      </c>
      <c r="P510" s="143">
        <f>IFERROR((N510*(1-Settings!$D$17)-C510)/(N510*(1-Settings!$D$17)),"")</f>
        <v/>
      </c>
      <c r="Q510" s="149">
        <f>IFERROR(IF(N510="","",IF(N510&gt;=C510/(1-SKU_Base!AB510)/(1-Settings!$D$17),"OK",IF(N510&gt;=C510/(1-SKU_Base!AI510)/(1-Settings!$D$17),"WARN","STOP"))),"")</f>
        <v/>
      </c>
      <c r="R510" s="159">
        <f>IFERROR(ROUND(D510*(1-CHOOSE(MATCH(IF($E510="","Основний",$E510),{"Трафіковий","Основний","Маржинальний","Сезонний","Стратегічний"},0),Settings!$E$78,Settings!$E$80,Settings!$E$82,Settings!$E$84,Settings!$E$86))/6,2)*6,"")</f>
        <v/>
      </c>
      <c r="S510" s="142">
        <f>IFERROR(CHOOSE(MATCH(IF($E510="","Основний",$E510),{"Трафіковий","Основний","Маржинальний","Сезонний","Стратегічний"},0),Settings!$E$78,Settings!$E$80,Settings!$E$82,Settings!$E$84,Settings!$E$86),"")</f>
        <v/>
      </c>
      <c r="T510" s="143">
        <f>IFERROR((R510*(1-Settings!$E$17)-C510)/(R510*(1-Settings!$E$17)),"")</f>
        <v/>
      </c>
      <c r="U510" s="149">
        <f>IFERROR(IF(R510="","",IF(R510&gt;=C510/(1-SKU_Base!AC510)/(1-Settings!$E$17),"OK",IF(R510&gt;=C510/(1-SKU_Base!AJ510)/(1-Settings!$E$17),"WARN","STOP"))),"")</f>
        <v/>
      </c>
      <c r="V510" s="159">
        <f>IFERROR(ROUND(D510*(1-CHOOSE(MATCH(IF($E510="","Основний",$E510),{"Трафіковий","Основний","Маржинальний","Сезонний","Стратегічний"},0),Settings!$F$78,Settings!$F$80,Settings!$F$82,Settings!$F$84,Settings!$F$86))/6,2)*6,"")</f>
        <v/>
      </c>
      <c r="W510" s="142">
        <f>IFERROR(CHOOSE(MATCH(IF($E510="","Основний",$E510),{"Трафіковий","Основний","Маржинальний","Сезонний","Стратегічний"},0),Settings!$F$78,Settings!$F$80,Settings!$F$82,Settings!$F$84,Settings!$F$86),"")</f>
        <v/>
      </c>
      <c r="X510" s="143">
        <f>IFERROR((V510*(1-Settings!$F$17)-C510)/(V510*(1-Settings!$F$17)),"")</f>
        <v/>
      </c>
      <c r="Y510" s="149">
        <f>IFERROR(IF(V510="","",IF(V510&gt;=C510/(1-SKU_Base!AD510)/(1-Settings!$F$17),"OK",IF(V510&gt;=C510/(1-SKU_Base!AK510)/(1-Settings!$F$17),"WARN","STOP"))),"")</f>
        <v/>
      </c>
      <c r="Z510" s="159">
        <f>IFERROR(ROUND(D510*(1-CHOOSE(MATCH(IF($E510="","Основний",$E510),{"Трафіковий","Основний","Маржинальний","Сезонний","Стратегічний"},0),Settings!$G$78,Settings!$G$80,Settings!$G$82,Settings!$G$84,Settings!$G$86))/6,2)*6,"")</f>
        <v/>
      </c>
      <c r="AA510" s="142">
        <f>IFERROR(CHOOSE(MATCH(IF($E510="","Основний",$E510),{"Трафіковий","Основний","Маржинальний","Сезонний","Стратегічний"},0),Settings!$G$78,Settings!$G$80,Settings!$G$82,Settings!$G$84,Settings!$G$86),"")</f>
        <v/>
      </c>
      <c r="AB510" s="143">
        <f>IFERROR((Z510*(1-Settings!$G$17)-C510)/(Z510*(1-Settings!$G$17)),"")</f>
        <v/>
      </c>
      <c r="AC510" s="149">
        <f>IFERROR(IF(Z510="","",IF(Z510&gt;=C510/(1-SKU_Base!AE510)/(1-Settings!$G$17),"OK",IF(Z510&gt;=C510/(1-SKU_Base!AL510)/(1-Settings!$G$17),"WARN","STOP"))),"")</f>
        <v/>
      </c>
      <c r="AD510" s="159">
        <f>IFERROR(ROUND(D510*(1-CHOOSE(MATCH(IF($E510="","Основний",$E510),{"Трафіковий","Основний","Маржинальний","Сезонний","Стратегічний"},0),Settings!$H$78,Settings!$H$80,Settings!$H$82,Settings!$H$84,Settings!$H$86))*(1-Settings!$H$68)/6,2)*6,"")</f>
        <v/>
      </c>
      <c r="AE510" s="142">
        <f>IFERROR(CHOOSE(MATCH(IF($E510="","Основний",$E510),{"Трафіковий","Основний","Маржинальний","Сезонний","Стратегічний"},0),Settings!$H$78,Settings!$H$80,Settings!$H$82,Settings!$H$84,Settings!$H$86)+(1-(CHOOSE(MATCH(IF($E510="","Основний",$E510),{"Трафіковий","Основний","Маржинальний","Сезонний","Стратегічний"},0),Settings!$H$78,Settings!$H$80,Settings!$H$82,Settings!$H$84,Settings!$H$86)))*Settings!$H$68,"")</f>
        <v/>
      </c>
      <c r="AF510" s="143">
        <f>IFERROR((AD510*(1-Settings!$H$17)-C510)/(AD510*(1-Settings!$H$17)),"")</f>
        <v/>
      </c>
      <c r="AG510" s="149">
        <f>IFERROR(IF(AD510="","",IF(AD510&gt;=C510/(1-SKU_Base!AF510)/(1-Settings!$H$17),"OK",IF(AD510&gt;=C510/(1-SKU_Base!AM510)/(1-Settings!$H$17),"WARN","STOP"))),"")</f>
        <v/>
      </c>
    </row>
    <row r="511" ht="17" customHeight="1" s="179">
      <c r="A511" s="146">
        <f>SKU_Base!B511</f>
        <v/>
      </c>
      <c r="B511" s="146">
        <f>SKU_Base!C511</f>
        <v/>
      </c>
      <c r="C511" s="147">
        <f>IFERROR(SKU_Base!I511,"")</f>
        <v/>
      </c>
      <c r="D511" s="164">
        <f>IFERROR(SKU_Base!T511,"")</f>
        <v/>
      </c>
      <c r="E511" s="141">
        <f>IFERROR(SKU_Base!$U511,"")</f>
        <v/>
      </c>
      <c r="F511" s="160">
        <f>IFERROR(ROUND(D511*(1-CHOOSE(MATCH(IF($E511="","Основний",$E511),{"Трафіковий","Основний","Маржинальний","Сезонний","Стратегічний"},0),Settings!$B$78,Settings!$B$80,Settings!$B$82,Settings!$B$84,Settings!$B$86))/6,2)*6,"")</f>
        <v/>
      </c>
      <c r="G511" s="142">
        <f>IFERROR(CHOOSE(MATCH(IF($E511="","Основний",$E511),{"Трафіковий","Основний","Маржинальний","Сезонний","Стратегічний"},0),Settings!$B$78,Settings!$B$80,Settings!$B$82,Settings!$B$84,Settings!$B$86),"")</f>
        <v/>
      </c>
      <c r="H511" s="148">
        <f>IFERROR((F511*(1-Settings!$B$17)-C511)/(F511*(1-Settings!$B$17)),"")</f>
        <v/>
      </c>
      <c r="I511" s="149">
        <f>IFERROR(IF(F511="","",IF(F511&gt;=C511/(1-SKU_Base!Z511)/(1-Settings!$B$17),"OK",IF(F511&gt;=C511/(1-SKU_Base!AG511)/(1-Settings!$B$17),"WARN","STOP"))),"")</f>
        <v/>
      </c>
      <c r="J511" s="160">
        <f>IFERROR(ROUND(D511*(1-CHOOSE(MATCH(IF($E511="","Основний",$E511),{"Трафіковий","Основний","Маржинальний","Сезонний","Стратегічний"},0),Settings!$C$78,Settings!$C$80,Settings!$C$82,Settings!$C$84,Settings!$C$86))/6,2)*6,"")</f>
        <v/>
      </c>
      <c r="K511" s="142">
        <f>IFERROR(CHOOSE(MATCH(IF($E511="","Основний",$E511),{"Трафіковий","Основний","Маржинальний","Сезонний","Стратегічний"},0),Settings!$C$78,Settings!$C$80,Settings!$C$82,Settings!$C$84,Settings!$C$86),"")</f>
        <v/>
      </c>
      <c r="L511" s="148">
        <f>IFERROR((J511*(1-Settings!$C$17)-C511)/(J511*(1-Settings!$C$17)),"")</f>
        <v/>
      </c>
      <c r="M511" s="149">
        <f>IFERROR(IF(J511="","",IF(J511&gt;=C511/(1-SKU_Base!AA511)/(1-Settings!$C$17),"OK",IF(J511&gt;=C511/(1-SKU_Base!AH511)/(1-Settings!$C$17),"WARN","STOP"))),"")</f>
        <v/>
      </c>
      <c r="N511" s="161">
        <f>IFERROR(ROUND(D511*(1-CHOOSE(MATCH(IF($E511="","Основний",$E511),{"Трафіковий","Основний","Маржинальний","Сезонний","Стратегічний"},0),Settings!$D$78,Settings!$D$80,Settings!$D$82,Settings!$D$84,Settings!$D$86))/6,2)*6,"")</f>
        <v/>
      </c>
      <c r="O511" s="142">
        <f>IFERROR(CHOOSE(MATCH(IF($E511="","Основний",$E511),{"Трафіковий","Основний","Маржинальний","Сезонний","Стратегічний"},0),Settings!$D$78,Settings!$D$80,Settings!$D$82,Settings!$D$84,Settings!$D$86),"")</f>
        <v/>
      </c>
      <c r="P511" s="148">
        <f>IFERROR((N511*(1-Settings!$D$17)-C511)/(N511*(1-Settings!$D$17)),"")</f>
        <v/>
      </c>
      <c r="Q511" s="149">
        <f>IFERROR(IF(N511="","",IF(N511&gt;=C511/(1-SKU_Base!AB511)/(1-Settings!$D$17),"OK",IF(N511&gt;=C511/(1-SKU_Base!AI511)/(1-Settings!$D$17),"WARN","STOP"))),"")</f>
        <v/>
      </c>
      <c r="R511" s="161">
        <f>IFERROR(ROUND(D511*(1-CHOOSE(MATCH(IF($E511="","Основний",$E511),{"Трафіковий","Основний","Маржинальний","Сезонний","Стратегічний"},0),Settings!$E$78,Settings!$E$80,Settings!$E$82,Settings!$E$84,Settings!$E$86))/6,2)*6,"")</f>
        <v/>
      </c>
      <c r="S511" s="142">
        <f>IFERROR(CHOOSE(MATCH(IF($E511="","Основний",$E511),{"Трафіковий","Основний","Маржинальний","Сезонний","Стратегічний"},0),Settings!$E$78,Settings!$E$80,Settings!$E$82,Settings!$E$84,Settings!$E$86),"")</f>
        <v/>
      </c>
      <c r="T511" s="148">
        <f>IFERROR((R511*(1-Settings!$E$17)-C511)/(R511*(1-Settings!$E$17)),"")</f>
        <v/>
      </c>
      <c r="U511" s="149">
        <f>IFERROR(IF(R511="","",IF(R511&gt;=C511/(1-SKU_Base!AC511)/(1-Settings!$E$17),"OK",IF(R511&gt;=C511/(1-SKU_Base!AJ511)/(1-Settings!$E$17),"WARN","STOP"))),"")</f>
        <v/>
      </c>
      <c r="V511" s="161">
        <f>IFERROR(ROUND(D511*(1-CHOOSE(MATCH(IF($E511="","Основний",$E511),{"Трафіковий","Основний","Маржинальний","Сезонний","Стратегічний"},0),Settings!$F$78,Settings!$F$80,Settings!$F$82,Settings!$F$84,Settings!$F$86))/6,2)*6,"")</f>
        <v/>
      </c>
      <c r="W511" s="142">
        <f>IFERROR(CHOOSE(MATCH(IF($E511="","Основний",$E511),{"Трафіковий","Основний","Маржинальний","Сезонний","Стратегічний"},0),Settings!$F$78,Settings!$F$80,Settings!$F$82,Settings!$F$84,Settings!$F$86),"")</f>
        <v/>
      </c>
      <c r="X511" s="148">
        <f>IFERROR((V511*(1-Settings!$F$17)-C511)/(V511*(1-Settings!$F$17)),"")</f>
        <v/>
      </c>
      <c r="Y511" s="149">
        <f>IFERROR(IF(V511="","",IF(V511&gt;=C511/(1-SKU_Base!AD511)/(1-Settings!$F$17),"OK",IF(V511&gt;=C511/(1-SKU_Base!AK511)/(1-Settings!$F$17),"WARN","STOP"))),"")</f>
        <v/>
      </c>
      <c r="Z511" s="161">
        <f>IFERROR(ROUND(D511*(1-CHOOSE(MATCH(IF($E511="","Основний",$E511),{"Трафіковий","Основний","Маржинальний","Сезонний","Стратегічний"},0),Settings!$G$78,Settings!$G$80,Settings!$G$82,Settings!$G$84,Settings!$G$86))/6,2)*6,"")</f>
        <v/>
      </c>
      <c r="AA511" s="142">
        <f>IFERROR(CHOOSE(MATCH(IF($E511="","Основний",$E511),{"Трафіковий","Основний","Маржинальний","Сезонний","Стратегічний"},0),Settings!$G$78,Settings!$G$80,Settings!$G$82,Settings!$G$84,Settings!$G$86),"")</f>
        <v/>
      </c>
      <c r="AB511" s="148">
        <f>IFERROR((Z511*(1-Settings!$G$17)-C511)/(Z511*(1-Settings!$G$17)),"")</f>
        <v/>
      </c>
      <c r="AC511" s="149">
        <f>IFERROR(IF(Z511="","",IF(Z511&gt;=C511/(1-SKU_Base!AE511)/(1-Settings!$G$17),"OK",IF(Z511&gt;=C511/(1-SKU_Base!AL511)/(1-Settings!$G$17),"WARN","STOP"))),"")</f>
        <v/>
      </c>
      <c r="AD511" s="161">
        <f>IFERROR(ROUND(D511*(1-CHOOSE(MATCH(IF($E511="","Основний",$E511),{"Трафіковий","Основний","Маржинальний","Сезонний","Стратегічний"},0),Settings!$H$78,Settings!$H$80,Settings!$H$82,Settings!$H$84,Settings!$H$86))*(1-Settings!$H$68)/6,2)*6,"")</f>
        <v/>
      </c>
      <c r="AE511" s="142">
        <f>IFERROR(CHOOSE(MATCH(IF($E511="","Основний",$E511),{"Трафіковий","Основний","Маржинальний","Сезонний","Стратегічний"},0),Settings!$H$78,Settings!$H$80,Settings!$H$82,Settings!$H$84,Settings!$H$86)+(1-(CHOOSE(MATCH(IF($E511="","Основний",$E511),{"Трафіковий","Основний","Маржинальний","Сезонний","Стратегічний"},0),Settings!$H$78,Settings!$H$80,Settings!$H$82,Settings!$H$84,Settings!$H$86)))*Settings!$H$68,"")</f>
        <v/>
      </c>
      <c r="AF511" s="148">
        <f>IFERROR((AD511*(1-Settings!$H$17)-C511)/(AD511*(1-Settings!$H$17)),"")</f>
        <v/>
      </c>
      <c r="AG511" s="149">
        <f>IFERROR(IF(AD511="","",IF(AD511&gt;=C511/(1-SKU_Base!AF511)/(1-Settings!$H$17),"OK",IF(AD511&gt;=C511/(1-SKU_Base!AM511)/(1-Settings!$H$17),"WARN","STOP"))),"")</f>
        <v/>
      </c>
    </row>
    <row r="512" ht="17" customHeight="1" s="179">
      <c r="A512" s="139">
        <f>SKU_Base!B512</f>
        <v/>
      </c>
      <c r="B512" s="139">
        <f>SKU_Base!C512</f>
        <v/>
      </c>
      <c r="C512" s="140">
        <f>IFERROR(SKU_Base!I512,"")</f>
        <v/>
      </c>
      <c r="D512" s="163">
        <f>IFERROR(SKU_Base!T512,"")</f>
        <v/>
      </c>
      <c r="E512" s="141">
        <f>IFERROR(SKU_Base!$U512,"")</f>
        <v/>
      </c>
      <c r="F512" s="158">
        <f>IFERROR(ROUND(D512*(1-CHOOSE(MATCH(IF($E512="","Основний",$E512),{"Трафіковий","Основний","Маржинальний","Сезонний","Стратегічний"},0),Settings!$B$78,Settings!$B$80,Settings!$B$82,Settings!$B$84,Settings!$B$86))/6,2)*6,"")</f>
        <v/>
      </c>
      <c r="G512" s="142">
        <f>IFERROR(CHOOSE(MATCH(IF($E512="","Основний",$E512),{"Трафіковий","Основний","Маржинальний","Сезонний","Стратегічний"},0),Settings!$B$78,Settings!$B$80,Settings!$B$82,Settings!$B$84,Settings!$B$86),"")</f>
        <v/>
      </c>
      <c r="H512" s="143">
        <f>IFERROR((F512*(1-Settings!$B$17)-C512)/(F512*(1-Settings!$B$17)),"")</f>
        <v/>
      </c>
      <c r="I512" s="149">
        <f>IFERROR(IF(F512="","",IF(F512&gt;=C512/(1-SKU_Base!Z512)/(1-Settings!$B$17),"OK",IF(F512&gt;=C512/(1-SKU_Base!AG512)/(1-Settings!$B$17),"WARN","STOP"))),"")</f>
        <v/>
      </c>
      <c r="J512" s="158">
        <f>IFERROR(ROUND(D512*(1-CHOOSE(MATCH(IF($E512="","Основний",$E512),{"Трафіковий","Основний","Маржинальний","Сезонний","Стратегічний"},0),Settings!$C$78,Settings!$C$80,Settings!$C$82,Settings!$C$84,Settings!$C$86))/6,2)*6,"")</f>
        <v/>
      </c>
      <c r="K512" s="142">
        <f>IFERROR(CHOOSE(MATCH(IF($E512="","Основний",$E512),{"Трафіковий","Основний","Маржинальний","Сезонний","Стратегічний"},0),Settings!$C$78,Settings!$C$80,Settings!$C$82,Settings!$C$84,Settings!$C$86),"")</f>
        <v/>
      </c>
      <c r="L512" s="143">
        <f>IFERROR((J512*(1-Settings!$C$17)-C512)/(J512*(1-Settings!$C$17)),"")</f>
        <v/>
      </c>
      <c r="M512" s="149">
        <f>IFERROR(IF(J512="","",IF(J512&gt;=C512/(1-SKU_Base!AA512)/(1-Settings!$C$17),"OK",IF(J512&gt;=C512/(1-SKU_Base!AH512)/(1-Settings!$C$17),"WARN","STOP"))),"")</f>
        <v/>
      </c>
      <c r="N512" s="159">
        <f>IFERROR(ROUND(D512*(1-CHOOSE(MATCH(IF($E512="","Основний",$E512),{"Трафіковий","Основний","Маржинальний","Сезонний","Стратегічний"},0),Settings!$D$78,Settings!$D$80,Settings!$D$82,Settings!$D$84,Settings!$D$86))/6,2)*6,"")</f>
        <v/>
      </c>
      <c r="O512" s="142">
        <f>IFERROR(CHOOSE(MATCH(IF($E512="","Основний",$E512),{"Трафіковий","Основний","Маржинальний","Сезонний","Стратегічний"},0),Settings!$D$78,Settings!$D$80,Settings!$D$82,Settings!$D$84,Settings!$D$86),"")</f>
        <v/>
      </c>
      <c r="P512" s="143">
        <f>IFERROR((N512*(1-Settings!$D$17)-C512)/(N512*(1-Settings!$D$17)),"")</f>
        <v/>
      </c>
      <c r="Q512" s="149">
        <f>IFERROR(IF(N512="","",IF(N512&gt;=C512/(1-SKU_Base!AB512)/(1-Settings!$D$17),"OK",IF(N512&gt;=C512/(1-SKU_Base!AI512)/(1-Settings!$D$17),"WARN","STOP"))),"")</f>
        <v/>
      </c>
      <c r="R512" s="159">
        <f>IFERROR(ROUND(D512*(1-CHOOSE(MATCH(IF($E512="","Основний",$E512),{"Трафіковий","Основний","Маржинальний","Сезонний","Стратегічний"},0),Settings!$E$78,Settings!$E$80,Settings!$E$82,Settings!$E$84,Settings!$E$86))/6,2)*6,"")</f>
        <v/>
      </c>
      <c r="S512" s="142">
        <f>IFERROR(CHOOSE(MATCH(IF($E512="","Основний",$E512),{"Трафіковий","Основний","Маржинальний","Сезонний","Стратегічний"},0),Settings!$E$78,Settings!$E$80,Settings!$E$82,Settings!$E$84,Settings!$E$86),"")</f>
        <v/>
      </c>
      <c r="T512" s="143">
        <f>IFERROR((R512*(1-Settings!$E$17)-C512)/(R512*(1-Settings!$E$17)),"")</f>
        <v/>
      </c>
      <c r="U512" s="149">
        <f>IFERROR(IF(R512="","",IF(R512&gt;=C512/(1-SKU_Base!AC512)/(1-Settings!$E$17),"OK",IF(R512&gt;=C512/(1-SKU_Base!AJ512)/(1-Settings!$E$17),"WARN","STOP"))),"")</f>
        <v/>
      </c>
      <c r="V512" s="159">
        <f>IFERROR(ROUND(D512*(1-CHOOSE(MATCH(IF($E512="","Основний",$E512),{"Трафіковий","Основний","Маржинальний","Сезонний","Стратегічний"},0),Settings!$F$78,Settings!$F$80,Settings!$F$82,Settings!$F$84,Settings!$F$86))/6,2)*6,"")</f>
        <v/>
      </c>
      <c r="W512" s="142">
        <f>IFERROR(CHOOSE(MATCH(IF($E512="","Основний",$E512),{"Трафіковий","Основний","Маржинальний","Сезонний","Стратегічний"},0),Settings!$F$78,Settings!$F$80,Settings!$F$82,Settings!$F$84,Settings!$F$86),"")</f>
        <v/>
      </c>
      <c r="X512" s="143">
        <f>IFERROR((V512*(1-Settings!$F$17)-C512)/(V512*(1-Settings!$F$17)),"")</f>
        <v/>
      </c>
      <c r="Y512" s="149">
        <f>IFERROR(IF(V512="","",IF(V512&gt;=C512/(1-SKU_Base!AD512)/(1-Settings!$F$17),"OK",IF(V512&gt;=C512/(1-SKU_Base!AK512)/(1-Settings!$F$17),"WARN","STOP"))),"")</f>
        <v/>
      </c>
      <c r="Z512" s="159">
        <f>IFERROR(ROUND(D512*(1-CHOOSE(MATCH(IF($E512="","Основний",$E512),{"Трафіковий","Основний","Маржинальний","Сезонний","Стратегічний"},0),Settings!$G$78,Settings!$G$80,Settings!$G$82,Settings!$G$84,Settings!$G$86))/6,2)*6,"")</f>
        <v/>
      </c>
      <c r="AA512" s="142">
        <f>IFERROR(CHOOSE(MATCH(IF($E512="","Основний",$E512),{"Трафіковий","Основний","Маржинальний","Сезонний","Стратегічний"},0),Settings!$G$78,Settings!$G$80,Settings!$G$82,Settings!$G$84,Settings!$G$86),"")</f>
        <v/>
      </c>
      <c r="AB512" s="143">
        <f>IFERROR((Z512*(1-Settings!$G$17)-C512)/(Z512*(1-Settings!$G$17)),"")</f>
        <v/>
      </c>
      <c r="AC512" s="149">
        <f>IFERROR(IF(Z512="","",IF(Z512&gt;=C512/(1-SKU_Base!AE512)/(1-Settings!$G$17),"OK",IF(Z512&gt;=C512/(1-SKU_Base!AL512)/(1-Settings!$G$17),"WARN","STOP"))),"")</f>
        <v/>
      </c>
      <c r="AD512" s="159">
        <f>IFERROR(ROUND(D512*(1-CHOOSE(MATCH(IF($E512="","Основний",$E512),{"Трафіковий","Основний","Маржинальний","Сезонний","Стратегічний"},0),Settings!$H$78,Settings!$H$80,Settings!$H$82,Settings!$H$84,Settings!$H$86))*(1-Settings!$H$68)/6,2)*6,"")</f>
        <v/>
      </c>
      <c r="AE512" s="142">
        <f>IFERROR(CHOOSE(MATCH(IF($E512="","Основний",$E512),{"Трафіковий","Основний","Маржинальний","Сезонний","Стратегічний"},0),Settings!$H$78,Settings!$H$80,Settings!$H$82,Settings!$H$84,Settings!$H$86)+(1-(CHOOSE(MATCH(IF($E512="","Основний",$E512),{"Трафіковий","Основний","Маржинальний","Сезонний","Стратегічний"},0),Settings!$H$78,Settings!$H$80,Settings!$H$82,Settings!$H$84,Settings!$H$86)))*Settings!$H$68,"")</f>
        <v/>
      </c>
      <c r="AF512" s="143">
        <f>IFERROR((AD512*(1-Settings!$H$17)-C512)/(AD512*(1-Settings!$H$17)),"")</f>
        <v/>
      </c>
      <c r="AG512" s="149">
        <f>IFERROR(IF(AD512="","",IF(AD512&gt;=C512/(1-SKU_Base!AF512)/(1-Settings!$H$17),"OK",IF(AD512&gt;=C512/(1-SKU_Base!AM512)/(1-Settings!$H$17),"WARN","STOP"))),"")</f>
        <v/>
      </c>
    </row>
    <row r="513" ht="17" customHeight="1" s="179">
      <c r="A513" s="146">
        <f>SKU_Base!B513</f>
        <v/>
      </c>
      <c r="B513" s="146">
        <f>SKU_Base!C513</f>
        <v/>
      </c>
      <c r="C513" s="147">
        <f>IFERROR(SKU_Base!I513,"")</f>
        <v/>
      </c>
      <c r="D513" s="164">
        <f>IFERROR(SKU_Base!T513,"")</f>
        <v/>
      </c>
      <c r="E513" s="141">
        <f>IFERROR(SKU_Base!$U513,"")</f>
        <v/>
      </c>
      <c r="F513" s="160">
        <f>IFERROR(ROUND(D513*(1-CHOOSE(MATCH(IF($E513="","Основний",$E513),{"Трафіковий","Основний","Маржинальний","Сезонний","Стратегічний"},0),Settings!$B$78,Settings!$B$80,Settings!$B$82,Settings!$B$84,Settings!$B$86))/6,2)*6,"")</f>
        <v/>
      </c>
      <c r="G513" s="142">
        <f>IFERROR(CHOOSE(MATCH(IF($E513="","Основний",$E513),{"Трафіковий","Основний","Маржинальний","Сезонний","Стратегічний"},0),Settings!$B$78,Settings!$B$80,Settings!$B$82,Settings!$B$84,Settings!$B$86),"")</f>
        <v/>
      </c>
      <c r="H513" s="148">
        <f>IFERROR((F513*(1-Settings!$B$17)-C513)/(F513*(1-Settings!$B$17)),"")</f>
        <v/>
      </c>
      <c r="I513" s="149">
        <f>IFERROR(IF(F513="","",IF(F513&gt;=C513/(1-SKU_Base!Z513)/(1-Settings!$B$17),"OK",IF(F513&gt;=C513/(1-SKU_Base!AG513)/(1-Settings!$B$17),"WARN","STOP"))),"")</f>
        <v/>
      </c>
      <c r="J513" s="160">
        <f>IFERROR(ROUND(D513*(1-CHOOSE(MATCH(IF($E513="","Основний",$E513),{"Трафіковий","Основний","Маржинальний","Сезонний","Стратегічний"},0),Settings!$C$78,Settings!$C$80,Settings!$C$82,Settings!$C$84,Settings!$C$86))/6,2)*6,"")</f>
        <v/>
      </c>
      <c r="K513" s="142">
        <f>IFERROR(CHOOSE(MATCH(IF($E513="","Основний",$E513),{"Трафіковий","Основний","Маржинальний","Сезонний","Стратегічний"},0),Settings!$C$78,Settings!$C$80,Settings!$C$82,Settings!$C$84,Settings!$C$86),"")</f>
        <v/>
      </c>
      <c r="L513" s="148">
        <f>IFERROR((J513*(1-Settings!$C$17)-C513)/(J513*(1-Settings!$C$17)),"")</f>
        <v/>
      </c>
      <c r="M513" s="149">
        <f>IFERROR(IF(J513="","",IF(J513&gt;=C513/(1-SKU_Base!AA513)/(1-Settings!$C$17),"OK",IF(J513&gt;=C513/(1-SKU_Base!AH513)/(1-Settings!$C$17),"WARN","STOP"))),"")</f>
        <v/>
      </c>
      <c r="N513" s="161">
        <f>IFERROR(ROUND(D513*(1-CHOOSE(MATCH(IF($E513="","Основний",$E513),{"Трафіковий","Основний","Маржинальний","Сезонний","Стратегічний"},0),Settings!$D$78,Settings!$D$80,Settings!$D$82,Settings!$D$84,Settings!$D$86))/6,2)*6,"")</f>
        <v/>
      </c>
      <c r="O513" s="142">
        <f>IFERROR(CHOOSE(MATCH(IF($E513="","Основний",$E513),{"Трафіковий","Основний","Маржинальний","Сезонний","Стратегічний"},0),Settings!$D$78,Settings!$D$80,Settings!$D$82,Settings!$D$84,Settings!$D$86),"")</f>
        <v/>
      </c>
      <c r="P513" s="148">
        <f>IFERROR((N513*(1-Settings!$D$17)-C513)/(N513*(1-Settings!$D$17)),"")</f>
        <v/>
      </c>
      <c r="Q513" s="149">
        <f>IFERROR(IF(N513="","",IF(N513&gt;=C513/(1-SKU_Base!AB513)/(1-Settings!$D$17),"OK",IF(N513&gt;=C513/(1-SKU_Base!AI513)/(1-Settings!$D$17),"WARN","STOP"))),"")</f>
        <v/>
      </c>
      <c r="R513" s="161">
        <f>IFERROR(ROUND(D513*(1-CHOOSE(MATCH(IF($E513="","Основний",$E513),{"Трафіковий","Основний","Маржинальний","Сезонний","Стратегічний"},0),Settings!$E$78,Settings!$E$80,Settings!$E$82,Settings!$E$84,Settings!$E$86))/6,2)*6,"")</f>
        <v/>
      </c>
      <c r="S513" s="142">
        <f>IFERROR(CHOOSE(MATCH(IF($E513="","Основний",$E513),{"Трафіковий","Основний","Маржинальний","Сезонний","Стратегічний"},0),Settings!$E$78,Settings!$E$80,Settings!$E$82,Settings!$E$84,Settings!$E$86),"")</f>
        <v/>
      </c>
      <c r="T513" s="148">
        <f>IFERROR((R513*(1-Settings!$E$17)-C513)/(R513*(1-Settings!$E$17)),"")</f>
        <v/>
      </c>
      <c r="U513" s="149">
        <f>IFERROR(IF(R513="","",IF(R513&gt;=C513/(1-SKU_Base!AC513)/(1-Settings!$E$17),"OK",IF(R513&gt;=C513/(1-SKU_Base!AJ513)/(1-Settings!$E$17),"WARN","STOP"))),"")</f>
        <v/>
      </c>
      <c r="V513" s="161">
        <f>IFERROR(ROUND(D513*(1-CHOOSE(MATCH(IF($E513="","Основний",$E513),{"Трафіковий","Основний","Маржинальний","Сезонний","Стратегічний"},0),Settings!$F$78,Settings!$F$80,Settings!$F$82,Settings!$F$84,Settings!$F$86))/6,2)*6,"")</f>
        <v/>
      </c>
      <c r="W513" s="142">
        <f>IFERROR(CHOOSE(MATCH(IF($E513="","Основний",$E513),{"Трафіковий","Основний","Маржинальний","Сезонний","Стратегічний"},0),Settings!$F$78,Settings!$F$80,Settings!$F$82,Settings!$F$84,Settings!$F$86),"")</f>
        <v/>
      </c>
      <c r="X513" s="148">
        <f>IFERROR((V513*(1-Settings!$F$17)-C513)/(V513*(1-Settings!$F$17)),"")</f>
        <v/>
      </c>
      <c r="Y513" s="149">
        <f>IFERROR(IF(V513="","",IF(V513&gt;=C513/(1-SKU_Base!AD513)/(1-Settings!$F$17),"OK",IF(V513&gt;=C513/(1-SKU_Base!AK513)/(1-Settings!$F$17),"WARN","STOP"))),"")</f>
        <v/>
      </c>
      <c r="Z513" s="161">
        <f>IFERROR(ROUND(D513*(1-CHOOSE(MATCH(IF($E513="","Основний",$E513),{"Трафіковий","Основний","Маржинальний","Сезонний","Стратегічний"},0),Settings!$G$78,Settings!$G$80,Settings!$G$82,Settings!$G$84,Settings!$G$86))/6,2)*6,"")</f>
        <v/>
      </c>
      <c r="AA513" s="142">
        <f>IFERROR(CHOOSE(MATCH(IF($E513="","Основний",$E513),{"Трафіковий","Основний","Маржинальний","Сезонний","Стратегічний"},0),Settings!$G$78,Settings!$G$80,Settings!$G$82,Settings!$G$84,Settings!$G$86),"")</f>
        <v/>
      </c>
      <c r="AB513" s="148">
        <f>IFERROR((Z513*(1-Settings!$G$17)-C513)/(Z513*(1-Settings!$G$17)),"")</f>
        <v/>
      </c>
      <c r="AC513" s="149">
        <f>IFERROR(IF(Z513="","",IF(Z513&gt;=C513/(1-SKU_Base!AE513)/(1-Settings!$G$17),"OK",IF(Z513&gt;=C513/(1-SKU_Base!AL513)/(1-Settings!$G$17),"WARN","STOP"))),"")</f>
        <v/>
      </c>
      <c r="AD513" s="161">
        <f>IFERROR(ROUND(D513*(1-CHOOSE(MATCH(IF($E513="","Основний",$E513),{"Трафіковий","Основний","Маржинальний","Сезонний","Стратегічний"},0),Settings!$H$78,Settings!$H$80,Settings!$H$82,Settings!$H$84,Settings!$H$86))*(1-Settings!$H$68)/6,2)*6,"")</f>
        <v/>
      </c>
      <c r="AE513" s="142">
        <f>IFERROR(CHOOSE(MATCH(IF($E513="","Основний",$E513),{"Трафіковий","Основний","Маржинальний","Сезонний","Стратегічний"},0),Settings!$H$78,Settings!$H$80,Settings!$H$82,Settings!$H$84,Settings!$H$86)+(1-(CHOOSE(MATCH(IF($E513="","Основний",$E513),{"Трафіковий","Основний","Маржинальний","Сезонний","Стратегічний"},0),Settings!$H$78,Settings!$H$80,Settings!$H$82,Settings!$H$84,Settings!$H$86)))*Settings!$H$68,"")</f>
        <v/>
      </c>
      <c r="AF513" s="148">
        <f>IFERROR((AD513*(1-Settings!$H$17)-C513)/(AD513*(1-Settings!$H$17)),"")</f>
        <v/>
      </c>
      <c r="AG513" s="150">
        <f>IFERROR(IF(AD513="","",IF(AD513&gt;=C513/(1-SKU_Base!AF513)/(1-Settings!$H$17),"OK",IF(AD513&gt;=C513/(1-SKU_Base!AM513)/(1-Settings!$H$17),"WARN","STOP"))),"")</f>
        <v/>
      </c>
    </row>
    <row r="514" ht="17" customHeight="1" s="179">
      <c r="A514" s="139">
        <f>SKU_Base!B514</f>
        <v/>
      </c>
      <c r="B514" s="139">
        <f>SKU_Base!C514</f>
        <v/>
      </c>
      <c r="C514" s="140">
        <f>IFERROR(SKU_Base!I514,"")</f>
        <v/>
      </c>
      <c r="D514" s="163">
        <f>IFERROR(SKU_Base!T514,"")</f>
        <v/>
      </c>
      <c r="E514" s="141">
        <f>IFERROR(SKU_Base!$U514,"")</f>
        <v/>
      </c>
      <c r="F514" s="158">
        <f>IFERROR(ROUND(D514*(1-CHOOSE(MATCH(IF($E514="","Основний",$E514),{"Трафіковий","Основний","Маржинальний","Сезонний","Стратегічний"},0),Settings!$B$78,Settings!$B$80,Settings!$B$82,Settings!$B$84,Settings!$B$86))/6,2)*6,"")</f>
        <v/>
      </c>
      <c r="G514" s="142">
        <f>IFERROR(CHOOSE(MATCH(IF($E514="","Основний",$E514),{"Трафіковий","Основний","Маржинальний","Сезонний","Стратегічний"},0),Settings!$B$78,Settings!$B$80,Settings!$B$82,Settings!$B$84,Settings!$B$86),"")</f>
        <v/>
      </c>
      <c r="H514" s="143">
        <f>IFERROR((F514*(1-Settings!$B$17)-C514)/(F514*(1-Settings!$B$17)),"")</f>
        <v/>
      </c>
      <c r="I514" s="149">
        <f>IFERROR(IF(F514="","",IF(F514&gt;=C514/(1-SKU_Base!Z514)/(1-Settings!$B$17),"OK",IF(F514&gt;=C514/(1-SKU_Base!AG514)/(1-Settings!$B$17),"WARN","STOP"))),"")</f>
        <v/>
      </c>
      <c r="J514" s="158">
        <f>IFERROR(ROUND(D514*(1-CHOOSE(MATCH(IF($E514="","Основний",$E514),{"Трафіковий","Основний","Маржинальний","Сезонний","Стратегічний"},0),Settings!$C$78,Settings!$C$80,Settings!$C$82,Settings!$C$84,Settings!$C$86))/6,2)*6,"")</f>
        <v/>
      </c>
      <c r="K514" s="142">
        <f>IFERROR(CHOOSE(MATCH(IF($E514="","Основний",$E514),{"Трафіковий","Основний","Маржинальний","Сезонний","Стратегічний"},0),Settings!$C$78,Settings!$C$80,Settings!$C$82,Settings!$C$84,Settings!$C$86),"")</f>
        <v/>
      </c>
      <c r="L514" s="143">
        <f>IFERROR((J514*(1-Settings!$C$17)-C514)/(J514*(1-Settings!$C$17)),"")</f>
        <v/>
      </c>
      <c r="M514" s="149">
        <f>IFERROR(IF(J514="","",IF(J514&gt;=C514/(1-SKU_Base!AA514)/(1-Settings!$C$17),"OK",IF(J514&gt;=C514/(1-SKU_Base!AH514)/(1-Settings!$C$17),"WARN","STOP"))),"")</f>
        <v/>
      </c>
      <c r="N514" s="159">
        <f>IFERROR(ROUND(D514*(1-CHOOSE(MATCH(IF($E514="","Основний",$E514),{"Трафіковий","Основний","Маржинальний","Сезонний","Стратегічний"},0),Settings!$D$78,Settings!$D$80,Settings!$D$82,Settings!$D$84,Settings!$D$86))/6,2)*6,"")</f>
        <v/>
      </c>
      <c r="O514" s="142">
        <f>IFERROR(CHOOSE(MATCH(IF($E514="","Основний",$E514),{"Трафіковий","Основний","Маржинальний","Сезонний","Стратегічний"},0),Settings!$D$78,Settings!$D$80,Settings!$D$82,Settings!$D$84,Settings!$D$86),"")</f>
        <v/>
      </c>
      <c r="P514" s="143">
        <f>IFERROR((N514*(1-Settings!$D$17)-C514)/(N514*(1-Settings!$D$17)),"")</f>
        <v/>
      </c>
      <c r="Q514" s="149">
        <f>IFERROR(IF(N514="","",IF(N514&gt;=C514/(1-SKU_Base!AB514)/(1-Settings!$D$17),"OK",IF(N514&gt;=C514/(1-SKU_Base!AI514)/(1-Settings!$D$17),"WARN","STOP"))),"")</f>
        <v/>
      </c>
      <c r="R514" s="159">
        <f>IFERROR(ROUND(D514*(1-CHOOSE(MATCH(IF($E514="","Основний",$E514),{"Трафіковий","Основний","Маржинальний","Сезонний","Стратегічний"},0),Settings!$E$78,Settings!$E$80,Settings!$E$82,Settings!$E$84,Settings!$E$86))/6,2)*6,"")</f>
        <v/>
      </c>
      <c r="S514" s="142">
        <f>IFERROR(CHOOSE(MATCH(IF($E514="","Основний",$E514),{"Трафіковий","Основний","Маржинальний","Сезонний","Стратегічний"},0),Settings!$E$78,Settings!$E$80,Settings!$E$82,Settings!$E$84,Settings!$E$86),"")</f>
        <v/>
      </c>
      <c r="T514" s="143">
        <f>IFERROR((R514*(1-Settings!$E$17)-C514)/(R514*(1-Settings!$E$17)),"")</f>
        <v/>
      </c>
      <c r="U514" s="149">
        <f>IFERROR(IF(R514="","",IF(R514&gt;=C514/(1-SKU_Base!AC514)/(1-Settings!$E$17),"OK",IF(R514&gt;=C514/(1-SKU_Base!AJ514)/(1-Settings!$E$17),"WARN","STOP"))),"")</f>
        <v/>
      </c>
      <c r="V514" s="159">
        <f>IFERROR(ROUND(D514*(1-CHOOSE(MATCH(IF($E514="","Основний",$E514),{"Трафіковий","Основний","Маржинальний","Сезонний","Стратегічний"},0),Settings!$F$78,Settings!$F$80,Settings!$F$82,Settings!$F$84,Settings!$F$86))/6,2)*6,"")</f>
        <v/>
      </c>
      <c r="W514" s="142">
        <f>IFERROR(CHOOSE(MATCH(IF($E514="","Основний",$E514),{"Трафіковий","Основний","Маржинальний","Сезонний","Стратегічний"},0),Settings!$F$78,Settings!$F$80,Settings!$F$82,Settings!$F$84,Settings!$F$86),"")</f>
        <v/>
      </c>
      <c r="X514" s="143">
        <f>IFERROR((V514*(1-Settings!$F$17)-C514)/(V514*(1-Settings!$F$17)),"")</f>
        <v/>
      </c>
      <c r="Y514" s="149">
        <f>IFERROR(IF(V514="","",IF(V514&gt;=C514/(1-SKU_Base!AD514)/(1-Settings!$F$17),"OK",IF(V514&gt;=C514/(1-SKU_Base!AK514)/(1-Settings!$F$17),"WARN","STOP"))),"")</f>
        <v/>
      </c>
      <c r="Z514" s="159">
        <f>IFERROR(ROUND(D514*(1-CHOOSE(MATCH(IF($E514="","Основний",$E514),{"Трафіковий","Основний","Маржинальний","Сезонний","Стратегічний"},0),Settings!$G$78,Settings!$G$80,Settings!$G$82,Settings!$G$84,Settings!$G$86))/6,2)*6,"")</f>
        <v/>
      </c>
      <c r="AA514" s="142">
        <f>IFERROR(CHOOSE(MATCH(IF($E514="","Основний",$E514),{"Трафіковий","Основний","Маржинальний","Сезонний","Стратегічний"},0),Settings!$G$78,Settings!$G$80,Settings!$G$82,Settings!$G$84,Settings!$G$86),"")</f>
        <v/>
      </c>
      <c r="AB514" s="143">
        <f>IFERROR((Z514*(1-Settings!$G$17)-C514)/(Z514*(1-Settings!$G$17)),"")</f>
        <v/>
      </c>
      <c r="AC514" s="149">
        <f>IFERROR(IF(Z514="","",IF(Z514&gt;=C514/(1-SKU_Base!AE514)/(1-Settings!$G$17),"OK",IF(Z514&gt;=C514/(1-SKU_Base!AL514)/(1-Settings!$G$17),"WARN","STOP"))),"")</f>
        <v/>
      </c>
      <c r="AD514" s="159">
        <f>IFERROR(ROUND(D514*(1-CHOOSE(MATCH(IF($E514="","Основний",$E514),{"Трафіковий","Основний","Маржинальний","Сезонний","Стратегічний"},0),Settings!$H$78,Settings!$H$80,Settings!$H$82,Settings!$H$84,Settings!$H$86))*(1-Settings!$H$68)/6,2)*6,"")</f>
        <v/>
      </c>
      <c r="AE514" s="142">
        <f>IFERROR(CHOOSE(MATCH(IF($E514="","Основний",$E514),{"Трафіковий","Основний","Маржинальний","Сезонний","Стратегічний"},0),Settings!$H$78,Settings!$H$80,Settings!$H$82,Settings!$H$84,Settings!$H$86)+(1-(CHOOSE(MATCH(IF($E514="","Основний",$E514),{"Трафіковий","Основний","Маржинальний","Сезонний","Стратегічний"},0),Settings!$H$78,Settings!$H$80,Settings!$H$82,Settings!$H$84,Settings!$H$86)))*Settings!$H$68,"")</f>
        <v/>
      </c>
      <c r="AF514" s="143">
        <f>IFERROR((AD514*(1-Settings!$H$17)-C514)/(AD514*(1-Settings!$H$17)),"")</f>
        <v/>
      </c>
      <c r="AG514" s="149">
        <f>IFERROR(IF(AD514="","",IF(AD514&gt;=C514/(1-SKU_Base!AF514)/(1-Settings!$H$17),"OK",IF(AD514&gt;=C514/(1-SKU_Base!AM514)/(1-Settings!$H$17),"WARN","STOP"))),"")</f>
        <v/>
      </c>
    </row>
    <row r="515" ht="17" customHeight="1" s="179">
      <c r="A515" s="146">
        <f>SKU_Base!B515</f>
        <v/>
      </c>
      <c r="B515" s="146">
        <f>SKU_Base!C515</f>
        <v/>
      </c>
      <c r="C515" s="147">
        <f>IFERROR(SKU_Base!I515,"")</f>
        <v/>
      </c>
      <c r="D515" s="164">
        <f>IFERROR(SKU_Base!T515,"")</f>
        <v/>
      </c>
      <c r="E515" s="141">
        <f>IFERROR(SKU_Base!$U515,"")</f>
        <v/>
      </c>
      <c r="F515" s="160">
        <f>IFERROR(ROUND(D515*(1-CHOOSE(MATCH(IF($E515="","Основний",$E515),{"Трафіковий","Основний","Маржинальний","Сезонний","Стратегічний"},0),Settings!$B$78,Settings!$B$80,Settings!$B$82,Settings!$B$84,Settings!$B$86))/6,2)*6,"")</f>
        <v/>
      </c>
      <c r="G515" s="142">
        <f>IFERROR(CHOOSE(MATCH(IF($E515="","Основний",$E515),{"Трафіковий","Основний","Маржинальний","Сезонний","Стратегічний"},0),Settings!$B$78,Settings!$B$80,Settings!$B$82,Settings!$B$84,Settings!$B$86),"")</f>
        <v/>
      </c>
      <c r="H515" s="148">
        <f>IFERROR((F515*(1-Settings!$B$17)-C515)/(F515*(1-Settings!$B$17)),"")</f>
        <v/>
      </c>
      <c r="I515" s="149">
        <f>IFERROR(IF(F515="","",IF(F515&gt;=C515/(1-SKU_Base!Z515)/(1-Settings!$B$17),"OK",IF(F515&gt;=C515/(1-SKU_Base!AG515)/(1-Settings!$B$17),"WARN","STOP"))),"")</f>
        <v/>
      </c>
      <c r="J515" s="160">
        <f>IFERROR(ROUND(D515*(1-CHOOSE(MATCH(IF($E515="","Основний",$E515),{"Трафіковий","Основний","Маржинальний","Сезонний","Стратегічний"},0),Settings!$C$78,Settings!$C$80,Settings!$C$82,Settings!$C$84,Settings!$C$86))/6,2)*6,"")</f>
        <v/>
      </c>
      <c r="K515" s="142">
        <f>IFERROR(CHOOSE(MATCH(IF($E515="","Основний",$E515),{"Трафіковий","Основний","Маржинальний","Сезонний","Стратегічний"},0),Settings!$C$78,Settings!$C$80,Settings!$C$82,Settings!$C$84,Settings!$C$86),"")</f>
        <v/>
      </c>
      <c r="L515" s="148">
        <f>IFERROR((J515*(1-Settings!$C$17)-C515)/(J515*(1-Settings!$C$17)),"")</f>
        <v/>
      </c>
      <c r="M515" s="149">
        <f>IFERROR(IF(J515="","",IF(J515&gt;=C515/(1-SKU_Base!AA515)/(1-Settings!$C$17),"OK",IF(J515&gt;=C515/(1-SKU_Base!AH515)/(1-Settings!$C$17),"WARN","STOP"))),"")</f>
        <v/>
      </c>
      <c r="N515" s="161">
        <f>IFERROR(ROUND(D515*(1-CHOOSE(MATCH(IF($E515="","Основний",$E515),{"Трафіковий","Основний","Маржинальний","Сезонний","Стратегічний"},0),Settings!$D$78,Settings!$D$80,Settings!$D$82,Settings!$D$84,Settings!$D$86))/6,2)*6,"")</f>
        <v/>
      </c>
      <c r="O515" s="142">
        <f>IFERROR(CHOOSE(MATCH(IF($E515="","Основний",$E515),{"Трафіковий","Основний","Маржинальний","Сезонний","Стратегічний"},0),Settings!$D$78,Settings!$D$80,Settings!$D$82,Settings!$D$84,Settings!$D$86),"")</f>
        <v/>
      </c>
      <c r="P515" s="148">
        <f>IFERROR((N515*(1-Settings!$D$17)-C515)/(N515*(1-Settings!$D$17)),"")</f>
        <v/>
      </c>
      <c r="Q515" s="149">
        <f>IFERROR(IF(N515="","",IF(N515&gt;=C515/(1-SKU_Base!AB515)/(1-Settings!$D$17),"OK",IF(N515&gt;=C515/(1-SKU_Base!AI515)/(1-Settings!$D$17),"WARN","STOP"))),"")</f>
        <v/>
      </c>
      <c r="R515" s="161">
        <f>IFERROR(ROUND(D515*(1-CHOOSE(MATCH(IF($E515="","Основний",$E515),{"Трафіковий","Основний","Маржинальний","Сезонний","Стратегічний"},0),Settings!$E$78,Settings!$E$80,Settings!$E$82,Settings!$E$84,Settings!$E$86))/6,2)*6,"")</f>
        <v/>
      </c>
      <c r="S515" s="142">
        <f>IFERROR(CHOOSE(MATCH(IF($E515="","Основний",$E515),{"Трафіковий","Основний","Маржинальний","Сезонний","Стратегічний"},0),Settings!$E$78,Settings!$E$80,Settings!$E$82,Settings!$E$84,Settings!$E$86),"")</f>
        <v/>
      </c>
      <c r="T515" s="148">
        <f>IFERROR((R515*(1-Settings!$E$17)-C515)/(R515*(1-Settings!$E$17)),"")</f>
        <v/>
      </c>
      <c r="U515" s="149">
        <f>IFERROR(IF(R515="","",IF(R515&gt;=C515/(1-SKU_Base!AC515)/(1-Settings!$E$17),"OK",IF(R515&gt;=C515/(1-SKU_Base!AJ515)/(1-Settings!$E$17),"WARN","STOP"))),"")</f>
        <v/>
      </c>
      <c r="V515" s="161">
        <f>IFERROR(ROUND(D515*(1-CHOOSE(MATCH(IF($E515="","Основний",$E515),{"Трафіковий","Основний","Маржинальний","Сезонний","Стратегічний"},0),Settings!$F$78,Settings!$F$80,Settings!$F$82,Settings!$F$84,Settings!$F$86))/6,2)*6,"")</f>
        <v/>
      </c>
      <c r="W515" s="142">
        <f>IFERROR(CHOOSE(MATCH(IF($E515="","Основний",$E515),{"Трафіковий","Основний","Маржинальний","Сезонний","Стратегічний"},0),Settings!$F$78,Settings!$F$80,Settings!$F$82,Settings!$F$84,Settings!$F$86),"")</f>
        <v/>
      </c>
      <c r="X515" s="148">
        <f>IFERROR((V515*(1-Settings!$F$17)-C515)/(V515*(1-Settings!$F$17)),"")</f>
        <v/>
      </c>
      <c r="Y515" s="149">
        <f>IFERROR(IF(V515="","",IF(V515&gt;=C515/(1-SKU_Base!AD515)/(1-Settings!$F$17),"OK",IF(V515&gt;=C515/(1-SKU_Base!AK515)/(1-Settings!$F$17),"WARN","STOP"))),"")</f>
        <v/>
      </c>
      <c r="Z515" s="161">
        <f>IFERROR(ROUND(D515*(1-CHOOSE(MATCH(IF($E515="","Основний",$E515),{"Трафіковий","Основний","Маржинальний","Сезонний","Стратегічний"},0),Settings!$G$78,Settings!$G$80,Settings!$G$82,Settings!$G$84,Settings!$G$86))/6,2)*6,"")</f>
        <v/>
      </c>
      <c r="AA515" s="142">
        <f>IFERROR(CHOOSE(MATCH(IF($E515="","Основний",$E515),{"Трафіковий","Основний","Маржинальний","Сезонний","Стратегічний"},0),Settings!$G$78,Settings!$G$80,Settings!$G$82,Settings!$G$84,Settings!$G$86),"")</f>
        <v/>
      </c>
      <c r="AB515" s="148">
        <f>IFERROR((Z515*(1-Settings!$G$17)-C515)/(Z515*(1-Settings!$G$17)),"")</f>
        <v/>
      </c>
      <c r="AC515" s="149">
        <f>IFERROR(IF(Z515="","",IF(Z515&gt;=C515/(1-SKU_Base!AE515)/(1-Settings!$G$17),"OK",IF(Z515&gt;=C515/(1-SKU_Base!AL515)/(1-Settings!$G$17),"WARN","STOP"))),"")</f>
        <v/>
      </c>
      <c r="AD515" s="161">
        <f>IFERROR(ROUND(D515*(1-CHOOSE(MATCH(IF($E515="","Основний",$E515),{"Трафіковий","Основний","Маржинальний","Сезонний","Стратегічний"},0),Settings!$H$78,Settings!$H$80,Settings!$H$82,Settings!$H$84,Settings!$H$86))*(1-Settings!$H$68)/6,2)*6,"")</f>
        <v/>
      </c>
      <c r="AE515" s="142">
        <f>IFERROR(CHOOSE(MATCH(IF($E515="","Основний",$E515),{"Трафіковий","Основний","Маржинальний","Сезонний","Стратегічний"},0),Settings!$H$78,Settings!$H$80,Settings!$H$82,Settings!$H$84,Settings!$H$86)+(1-(CHOOSE(MATCH(IF($E515="","Основний",$E515),{"Трафіковий","Основний","Маржинальний","Сезонний","Стратегічний"},0),Settings!$H$78,Settings!$H$80,Settings!$H$82,Settings!$H$84,Settings!$H$86)))*Settings!$H$68,"")</f>
        <v/>
      </c>
      <c r="AF515" s="148">
        <f>IFERROR((AD515*(1-Settings!$H$17)-C515)/(AD515*(1-Settings!$H$17)),"")</f>
        <v/>
      </c>
      <c r="AG515" s="149">
        <f>IFERROR(IF(AD515="","",IF(AD515&gt;=C515/(1-SKU_Base!AF515)/(1-Settings!$H$17),"OK",IF(AD515&gt;=C515/(1-SKU_Base!AM515)/(1-Settings!$H$17),"WARN","STOP"))),"")</f>
        <v/>
      </c>
    </row>
    <row r="516" ht="17" customHeight="1" s="179">
      <c r="A516" s="139">
        <f>SKU_Base!B516</f>
        <v/>
      </c>
      <c r="B516" s="139">
        <f>SKU_Base!C516</f>
        <v/>
      </c>
      <c r="C516" s="140">
        <f>IFERROR(SKU_Base!I516,"")</f>
        <v/>
      </c>
      <c r="D516" s="163">
        <f>IFERROR(SKU_Base!T516,"")</f>
        <v/>
      </c>
      <c r="E516" s="141">
        <f>IFERROR(SKU_Base!$U516,"")</f>
        <v/>
      </c>
      <c r="F516" s="158">
        <f>IFERROR(ROUND(D516*(1-CHOOSE(MATCH(IF($E516="","Основний",$E516),{"Трафіковий","Основний","Маржинальний","Сезонний","Стратегічний"},0),Settings!$B$78,Settings!$B$80,Settings!$B$82,Settings!$B$84,Settings!$B$86))/6,2)*6,"")</f>
        <v/>
      </c>
      <c r="G516" s="142">
        <f>IFERROR(CHOOSE(MATCH(IF($E516="","Основний",$E516),{"Трафіковий","Основний","Маржинальний","Сезонний","Стратегічний"},0),Settings!$B$78,Settings!$B$80,Settings!$B$82,Settings!$B$84,Settings!$B$86),"")</f>
        <v/>
      </c>
      <c r="H516" s="143">
        <f>IFERROR((F516*(1-Settings!$B$17)-C516)/(F516*(1-Settings!$B$17)),"")</f>
        <v/>
      </c>
      <c r="I516" s="149">
        <f>IFERROR(IF(F516="","",IF(F516&gt;=C516/(1-SKU_Base!Z516)/(1-Settings!$B$17),"OK",IF(F516&gt;=C516/(1-SKU_Base!AG516)/(1-Settings!$B$17),"WARN","STOP"))),"")</f>
        <v/>
      </c>
      <c r="J516" s="158">
        <f>IFERROR(ROUND(D516*(1-CHOOSE(MATCH(IF($E516="","Основний",$E516),{"Трафіковий","Основний","Маржинальний","Сезонний","Стратегічний"},0),Settings!$C$78,Settings!$C$80,Settings!$C$82,Settings!$C$84,Settings!$C$86))/6,2)*6,"")</f>
        <v/>
      </c>
      <c r="K516" s="142">
        <f>IFERROR(CHOOSE(MATCH(IF($E516="","Основний",$E516),{"Трафіковий","Основний","Маржинальний","Сезонний","Стратегічний"},0),Settings!$C$78,Settings!$C$80,Settings!$C$82,Settings!$C$84,Settings!$C$86),"")</f>
        <v/>
      </c>
      <c r="L516" s="143">
        <f>IFERROR((J516*(1-Settings!$C$17)-C516)/(J516*(1-Settings!$C$17)),"")</f>
        <v/>
      </c>
      <c r="M516" s="149">
        <f>IFERROR(IF(J516="","",IF(J516&gt;=C516/(1-SKU_Base!AA516)/(1-Settings!$C$17),"OK",IF(J516&gt;=C516/(1-SKU_Base!AH516)/(1-Settings!$C$17),"WARN","STOP"))),"")</f>
        <v/>
      </c>
      <c r="N516" s="159">
        <f>IFERROR(ROUND(D516*(1-CHOOSE(MATCH(IF($E516="","Основний",$E516),{"Трафіковий","Основний","Маржинальний","Сезонний","Стратегічний"},0),Settings!$D$78,Settings!$D$80,Settings!$D$82,Settings!$D$84,Settings!$D$86))/6,2)*6,"")</f>
        <v/>
      </c>
      <c r="O516" s="142">
        <f>IFERROR(CHOOSE(MATCH(IF($E516="","Основний",$E516),{"Трафіковий","Основний","Маржинальний","Сезонний","Стратегічний"},0),Settings!$D$78,Settings!$D$80,Settings!$D$82,Settings!$D$84,Settings!$D$86),"")</f>
        <v/>
      </c>
      <c r="P516" s="143">
        <f>IFERROR((N516*(1-Settings!$D$17)-C516)/(N516*(1-Settings!$D$17)),"")</f>
        <v/>
      </c>
      <c r="Q516" s="149">
        <f>IFERROR(IF(N516="","",IF(N516&gt;=C516/(1-SKU_Base!AB516)/(1-Settings!$D$17),"OK",IF(N516&gt;=C516/(1-SKU_Base!AI516)/(1-Settings!$D$17),"WARN","STOP"))),"")</f>
        <v/>
      </c>
      <c r="R516" s="159">
        <f>IFERROR(ROUND(D516*(1-CHOOSE(MATCH(IF($E516="","Основний",$E516),{"Трафіковий","Основний","Маржинальний","Сезонний","Стратегічний"},0),Settings!$E$78,Settings!$E$80,Settings!$E$82,Settings!$E$84,Settings!$E$86))/6,2)*6,"")</f>
        <v/>
      </c>
      <c r="S516" s="142">
        <f>IFERROR(CHOOSE(MATCH(IF($E516="","Основний",$E516),{"Трафіковий","Основний","Маржинальний","Сезонний","Стратегічний"},0),Settings!$E$78,Settings!$E$80,Settings!$E$82,Settings!$E$84,Settings!$E$86),"")</f>
        <v/>
      </c>
      <c r="T516" s="143">
        <f>IFERROR((R516*(1-Settings!$E$17)-C516)/(R516*(1-Settings!$E$17)),"")</f>
        <v/>
      </c>
      <c r="U516" s="149">
        <f>IFERROR(IF(R516="","",IF(R516&gt;=C516/(1-SKU_Base!AC516)/(1-Settings!$E$17),"OK",IF(R516&gt;=C516/(1-SKU_Base!AJ516)/(1-Settings!$E$17),"WARN","STOP"))),"")</f>
        <v/>
      </c>
      <c r="V516" s="159">
        <f>IFERROR(ROUND(D516*(1-CHOOSE(MATCH(IF($E516="","Основний",$E516),{"Трафіковий","Основний","Маржинальний","Сезонний","Стратегічний"},0),Settings!$F$78,Settings!$F$80,Settings!$F$82,Settings!$F$84,Settings!$F$86))/6,2)*6,"")</f>
        <v/>
      </c>
      <c r="W516" s="142">
        <f>IFERROR(CHOOSE(MATCH(IF($E516="","Основний",$E516),{"Трафіковий","Основний","Маржинальний","Сезонний","Стратегічний"},0),Settings!$F$78,Settings!$F$80,Settings!$F$82,Settings!$F$84,Settings!$F$86),"")</f>
        <v/>
      </c>
      <c r="X516" s="143">
        <f>IFERROR((V516*(1-Settings!$F$17)-C516)/(V516*(1-Settings!$F$17)),"")</f>
        <v/>
      </c>
      <c r="Y516" s="149">
        <f>IFERROR(IF(V516="","",IF(V516&gt;=C516/(1-SKU_Base!AD516)/(1-Settings!$F$17),"OK",IF(V516&gt;=C516/(1-SKU_Base!AK516)/(1-Settings!$F$17),"WARN","STOP"))),"")</f>
        <v/>
      </c>
      <c r="Z516" s="159">
        <f>IFERROR(ROUND(D516*(1-CHOOSE(MATCH(IF($E516="","Основний",$E516),{"Трафіковий","Основний","Маржинальний","Сезонний","Стратегічний"},0),Settings!$G$78,Settings!$G$80,Settings!$G$82,Settings!$G$84,Settings!$G$86))/6,2)*6,"")</f>
        <v/>
      </c>
      <c r="AA516" s="142">
        <f>IFERROR(CHOOSE(MATCH(IF($E516="","Основний",$E516),{"Трафіковий","Основний","Маржинальний","Сезонний","Стратегічний"},0),Settings!$G$78,Settings!$G$80,Settings!$G$82,Settings!$G$84,Settings!$G$86),"")</f>
        <v/>
      </c>
      <c r="AB516" s="143">
        <f>IFERROR((Z516*(1-Settings!$G$17)-C516)/(Z516*(1-Settings!$G$17)),"")</f>
        <v/>
      </c>
      <c r="AC516" s="149">
        <f>IFERROR(IF(Z516="","",IF(Z516&gt;=C516/(1-SKU_Base!AE516)/(1-Settings!$G$17),"OK",IF(Z516&gt;=C516/(1-SKU_Base!AL516)/(1-Settings!$G$17),"WARN","STOP"))),"")</f>
        <v/>
      </c>
      <c r="AD516" s="159">
        <f>IFERROR(ROUND(D516*(1-CHOOSE(MATCH(IF($E516="","Основний",$E516),{"Трафіковий","Основний","Маржинальний","Сезонний","Стратегічний"},0),Settings!$H$78,Settings!$H$80,Settings!$H$82,Settings!$H$84,Settings!$H$86))*(1-Settings!$H$68)/6,2)*6,"")</f>
        <v/>
      </c>
      <c r="AE516" s="142">
        <f>IFERROR(CHOOSE(MATCH(IF($E516="","Основний",$E516),{"Трафіковий","Основний","Маржинальний","Сезонний","Стратегічний"},0),Settings!$H$78,Settings!$H$80,Settings!$H$82,Settings!$H$84,Settings!$H$86)+(1-(CHOOSE(MATCH(IF($E516="","Основний",$E516),{"Трафіковий","Основний","Маржинальний","Сезонний","Стратегічний"},0),Settings!$H$78,Settings!$H$80,Settings!$H$82,Settings!$H$84,Settings!$H$86)))*Settings!$H$68,"")</f>
        <v/>
      </c>
      <c r="AF516" s="143">
        <f>IFERROR((AD516*(1-Settings!$H$17)-C516)/(AD516*(1-Settings!$H$17)),"")</f>
        <v/>
      </c>
      <c r="AG516" s="149">
        <f>IFERROR(IF(AD516="","",IF(AD516&gt;=C516/(1-SKU_Base!AF516)/(1-Settings!$H$17),"OK",IF(AD516&gt;=C516/(1-SKU_Base!AM516)/(1-Settings!$H$17),"WARN","STOP"))),"")</f>
        <v/>
      </c>
    </row>
    <row r="517" ht="17" customHeight="1" s="179">
      <c r="A517" s="146">
        <f>SKU_Base!B517</f>
        <v/>
      </c>
      <c r="B517" s="146">
        <f>SKU_Base!C517</f>
        <v/>
      </c>
      <c r="C517" s="147">
        <f>IFERROR(SKU_Base!I517,"")</f>
        <v/>
      </c>
      <c r="D517" s="164">
        <f>IFERROR(SKU_Base!T517,"")</f>
        <v/>
      </c>
      <c r="E517" s="141">
        <f>IFERROR(SKU_Base!$U517,"")</f>
        <v/>
      </c>
      <c r="F517" s="160">
        <f>IFERROR(ROUND(D517*(1-CHOOSE(MATCH(IF($E517="","Основний",$E517),{"Трафіковий","Основний","Маржинальний","Сезонний","Стратегічний"},0),Settings!$B$78,Settings!$B$80,Settings!$B$82,Settings!$B$84,Settings!$B$86))/6,2)*6,"")</f>
        <v/>
      </c>
      <c r="G517" s="142">
        <f>IFERROR(CHOOSE(MATCH(IF($E517="","Основний",$E517),{"Трафіковий","Основний","Маржинальний","Сезонний","Стратегічний"},0),Settings!$B$78,Settings!$B$80,Settings!$B$82,Settings!$B$84,Settings!$B$86),"")</f>
        <v/>
      </c>
      <c r="H517" s="148">
        <f>IFERROR((F517*(1-Settings!$B$17)-C517)/(F517*(1-Settings!$B$17)),"")</f>
        <v/>
      </c>
      <c r="I517" s="149">
        <f>IFERROR(IF(F517="","",IF(F517&gt;=C517/(1-SKU_Base!Z517)/(1-Settings!$B$17),"OK",IF(F517&gt;=C517/(1-SKU_Base!AG517)/(1-Settings!$B$17),"WARN","STOP"))),"")</f>
        <v/>
      </c>
      <c r="J517" s="160">
        <f>IFERROR(ROUND(D517*(1-CHOOSE(MATCH(IF($E517="","Основний",$E517),{"Трафіковий","Основний","Маржинальний","Сезонний","Стратегічний"},0),Settings!$C$78,Settings!$C$80,Settings!$C$82,Settings!$C$84,Settings!$C$86))/6,2)*6,"")</f>
        <v/>
      </c>
      <c r="K517" s="142">
        <f>IFERROR(CHOOSE(MATCH(IF($E517="","Основний",$E517),{"Трафіковий","Основний","Маржинальний","Сезонний","Стратегічний"},0),Settings!$C$78,Settings!$C$80,Settings!$C$82,Settings!$C$84,Settings!$C$86),"")</f>
        <v/>
      </c>
      <c r="L517" s="148">
        <f>IFERROR((J517*(1-Settings!$C$17)-C517)/(J517*(1-Settings!$C$17)),"")</f>
        <v/>
      </c>
      <c r="M517" s="149">
        <f>IFERROR(IF(J517="","",IF(J517&gt;=C517/(1-SKU_Base!AA517)/(1-Settings!$C$17),"OK",IF(J517&gt;=C517/(1-SKU_Base!AH517)/(1-Settings!$C$17),"WARN","STOP"))),"")</f>
        <v/>
      </c>
      <c r="N517" s="161">
        <f>IFERROR(ROUND(D517*(1-CHOOSE(MATCH(IF($E517="","Основний",$E517),{"Трафіковий","Основний","Маржинальний","Сезонний","Стратегічний"},0),Settings!$D$78,Settings!$D$80,Settings!$D$82,Settings!$D$84,Settings!$D$86))/6,2)*6,"")</f>
        <v/>
      </c>
      <c r="O517" s="142">
        <f>IFERROR(CHOOSE(MATCH(IF($E517="","Основний",$E517),{"Трафіковий","Основний","Маржинальний","Сезонний","Стратегічний"},0),Settings!$D$78,Settings!$D$80,Settings!$D$82,Settings!$D$84,Settings!$D$86),"")</f>
        <v/>
      </c>
      <c r="P517" s="148">
        <f>IFERROR((N517*(1-Settings!$D$17)-C517)/(N517*(1-Settings!$D$17)),"")</f>
        <v/>
      </c>
      <c r="Q517" s="149">
        <f>IFERROR(IF(N517="","",IF(N517&gt;=C517/(1-SKU_Base!AB517)/(1-Settings!$D$17),"OK",IF(N517&gt;=C517/(1-SKU_Base!AI517)/(1-Settings!$D$17),"WARN","STOP"))),"")</f>
        <v/>
      </c>
      <c r="R517" s="161">
        <f>IFERROR(ROUND(D517*(1-CHOOSE(MATCH(IF($E517="","Основний",$E517),{"Трафіковий","Основний","Маржинальний","Сезонний","Стратегічний"},0),Settings!$E$78,Settings!$E$80,Settings!$E$82,Settings!$E$84,Settings!$E$86))/6,2)*6,"")</f>
        <v/>
      </c>
      <c r="S517" s="142">
        <f>IFERROR(CHOOSE(MATCH(IF($E517="","Основний",$E517),{"Трафіковий","Основний","Маржинальний","Сезонний","Стратегічний"},0),Settings!$E$78,Settings!$E$80,Settings!$E$82,Settings!$E$84,Settings!$E$86),"")</f>
        <v/>
      </c>
      <c r="T517" s="148">
        <f>IFERROR((R517*(1-Settings!$E$17)-C517)/(R517*(1-Settings!$E$17)),"")</f>
        <v/>
      </c>
      <c r="U517" s="149">
        <f>IFERROR(IF(R517="","",IF(R517&gt;=C517/(1-SKU_Base!AC517)/(1-Settings!$E$17),"OK",IF(R517&gt;=C517/(1-SKU_Base!AJ517)/(1-Settings!$E$17),"WARN","STOP"))),"")</f>
        <v/>
      </c>
      <c r="V517" s="161">
        <f>IFERROR(ROUND(D517*(1-CHOOSE(MATCH(IF($E517="","Основний",$E517),{"Трафіковий","Основний","Маржинальний","Сезонний","Стратегічний"},0),Settings!$F$78,Settings!$F$80,Settings!$F$82,Settings!$F$84,Settings!$F$86))/6,2)*6,"")</f>
        <v/>
      </c>
      <c r="W517" s="142">
        <f>IFERROR(CHOOSE(MATCH(IF($E517="","Основний",$E517),{"Трафіковий","Основний","Маржинальний","Сезонний","Стратегічний"},0),Settings!$F$78,Settings!$F$80,Settings!$F$82,Settings!$F$84,Settings!$F$86),"")</f>
        <v/>
      </c>
      <c r="X517" s="148">
        <f>IFERROR((V517*(1-Settings!$F$17)-C517)/(V517*(1-Settings!$F$17)),"")</f>
        <v/>
      </c>
      <c r="Y517" s="149">
        <f>IFERROR(IF(V517="","",IF(V517&gt;=C517/(1-SKU_Base!AD517)/(1-Settings!$F$17),"OK",IF(V517&gt;=C517/(1-SKU_Base!AK517)/(1-Settings!$F$17),"WARN","STOP"))),"")</f>
        <v/>
      </c>
      <c r="Z517" s="161">
        <f>IFERROR(ROUND(D517*(1-CHOOSE(MATCH(IF($E517="","Основний",$E517),{"Трафіковий","Основний","Маржинальний","Сезонний","Стратегічний"},0),Settings!$G$78,Settings!$G$80,Settings!$G$82,Settings!$G$84,Settings!$G$86))/6,2)*6,"")</f>
        <v/>
      </c>
      <c r="AA517" s="142">
        <f>IFERROR(CHOOSE(MATCH(IF($E517="","Основний",$E517),{"Трафіковий","Основний","Маржинальний","Сезонний","Стратегічний"},0),Settings!$G$78,Settings!$G$80,Settings!$G$82,Settings!$G$84,Settings!$G$86),"")</f>
        <v/>
      </c>
      <c r="AB517" s="148">
        <f>IFERROR((Z517*(1-Settings!$G$17)-C517)/(Z517*(1-Settings!$G$17)),"")</f>
        <v/>
      </c>
      <c r="AC517" s="149">
        <f>IFERROR(IF(Z517="","",IF(Z517&gt;=C517/(1-SKU_Base!AE517)/(1-Settings!$G$17),"OK",IF(Z517&gt;=C517/(1-SKU_Base!AL517)/(1-Settings!$G$17),"WARN","STOP"))),"")</f>
        <v/>
      </c>
      <c r="AD517" s="161">
        <f>IFERROR(ROUND(D517*(1-CHOOSE(MATCH(IF($E517="","Основний",$E517),{"Трафіковий","Основний","Маржинальний","Сезонний","Стратегічний"},0),Settings!$H$78,Settings!$H$80,Settings!$H$82,Settings!$H$84,Settings!$H$86))*(1-Settings!$H$68)/6,2)*6,"")</f>
        <v/>
      </c>
      <c r="AE517" s="142">
        <f>IFERROR(CHOOSE(MATCH(IF($E517="","Основний",$E517),{"Трафіковий","Основний","Маржинальний","Сезонний","Стратегічний"},0),Settings!$H$78,Settings!$H$80,Settings!$H$82,Settings!$H$84,Settings!$H$86)+(1-(CHOOSE(MATCH(IF($E517="","Основний",$E517),{"Трафіковий","Основний","Маржинальний","Сезонний","Стратегічний"},0),Settings!$H$78,Settings!$H$80,Settings!$H$82,Settings!$H$84,Settings!$H$86)))*Settings!$H$68,"")</f>
        <v/>
      </c>
      <c r="AF517" s="148">
        <f>IFERROR((AD517*(1-Settings!$H$17)-C517)/(AD517*(1-Settings!$H$17)),"")</f>
        <v/>
      </c>
      <c r="AG517" s="149">
        <f>IFERROR(IF(AD517="","",IF(AD517&gt;=C517/(1-SKU_Base!AF517)/(1-Settings!$H$17),"OK",IF(AD517&gt;=C517/(1-SKU_Base!AM517)/(1-Settings!$H$17),"WARN","STOP"))),"")</f>
        <v/>
      </c>
    </row>
    <row r="518" ht="17" customHeight="1" s="179">
      <c r="A518" s="139">
        <f>SKU_Base!B518</f>
        <v/>
      </c>
      <c r="B518" s="139">
        <f>SKU_Base!C518</f>
        <v/>
      </c>
      <c r="C518" s="140">
        <f>IFERROR(SKU_Base!I518,"")</f>
        <v/>
      </c>
      <c r="D518" s="163">
        <f>IFERROR(SKU_Base!T518,"")</f>
        <v/>
      </c>
      <c r="E518" s="141">
        <f>IFERROR(SKU_Base!$U518,"")</f>
        <v/>
      </c>
      <c r="F518" s="158">
        <f>IFERROR(ROUND(D518*(1-CHOOSE(MATCH(IF($E518="","Основний",$E518),{"Трафіковий","Основний","Маржинальний","Сезонний","Стратегічний"},0),Settings!$B$78,Settings!$B$80,Settings!$B$82,Settings!$B$84,Settings!$B$86))/6,2)*6,"")</f>
        <v/>
      </c>
      <c r="G518" s="142">
        <f>IFERROR(CHOOSE(MATCH(IF($E518="","Основний",$E518),{"Трафіковий","Основний","Маржинальний","Сезонний","Стратегічний"},0),Settings!$B$78,Settings!$B$80,Settings!$B$82,Settings!$B$84,Settings!$B$86),"")</f>
        <v/>
      </c>
      <c r="H518" s="143">
        <f>IFERROR((F518*(1-Settings!$B$17)-C518)/(F518*(1-Settings!$B$17)),"")</f>
        <v/>
      </c>
      <c r="I518" s="149">
        <f>IFERROR(IF(F518="","",IF(F518&gt;=C518/(1-SKU_Base!Z518)/(1-Settings!$B$17),"OK",IF(F518&gt;=C518/(1-SKU_Base!AG518)/(1-Settings!$B$17),"WARN","STOP"))),"")</f>
        <v/>
      </c>
      <c r="J518" s="158">
        <f>IFERROR(ROUND(D518*(1-CHOOSE(MATCH(IF($E518="","Основний",$E518),{"Трафіковий","Основний","Маржинальний","Сезонний","Стратегічний"},0),Settings!$C$78,Settings!$C$80,Settings!$C$82,Settings!$C$84,Settings!$C$86))/6,2)*6,"")</f>
        <v/>
      </c>
      <c r="K518" s="142">
        <f>IFERROR(CHOOSE(MATCH(IF($E518="","Основний",$E518),{"Трафіковий","Основний","Маржинальний","Сезонний","Стратегічний"},0),Settings!$C$78,Settings!$C$80,Settings!$C$82,Settings!$C$84,Settings!$C$86),"")</f>
        <v/>
      </c>
      <c r="L518" s="143">
        <f>IFERROR((J518*(1-Settings!$C$17)-C518)/(J518*(1-Settings!$C$17)),"")</f>
        <v/>
      </c>
      <c r="M518" s="149">
        <f>IFERROR(IF(J518="","",IF(J518&gt;=C518/(1-SKU_Base!AA518)/(1-Settings!$C$17),"OK",IF(J518&gt;=C518/(1-SKU_Base!AH518)/(1-Settings!$C$17),"WARN","STOP"))),"")</f>
        <v/>
      </c>
      <c r="N518" s="159">
        <f>IFERROR(ROUND(D518*(1-CHOOSE(MATCH(IF($E518="","Основний",$E518),{"Трафіковий","Основний","Маржинальний","Сезонний","Стратегічний"},0),Settings!$D$78,Settings!$D$80,Settings!$D$82,Settings!$D$84,Settings!$D$86))/6,2)*6,"")</f>
        <v/>
      </c>
      <c r="O518" s="142">
        <f>IFERROR(CHOOSE(MATCH(IF($E518="","Основний",$E518),{"Трафіковий","Основний","Маржинальний","Сезонний","Стратегічний"},0),Settings!$D$78,Settings!$D$80,Settings!$D$82,Settings!$D$84,Settings!$D$86),"")</f>
        <v/>
      </c>
      <c r="P518" s="143">
        <f>IFERROR((N518*(1-Settings!$D$17)-C518)/(N518*(1-Settings!$D$17)),"")</f>
        <v/>
      </c>
      <c r="Q518" s="149">
        <f>IFERROR(IF(N518="","",IF(N518&gt;=C518/(1-SKU_Base!AB518)/(1-Settings!$D$17),"OK",IF(N518&gt;=C518/(1-SKU_Base!AI518)/(1-Settings!$D$17),"WARN","STOP"))),"")</f>
        <v/>
      </c>
      <c r="R518" s="159">
        <f>IFERROR(ROUND(D518*(1-CHOOSE(MATCH(IF($E518="","Основний",$E518),{"Трафіковий","Основний","Маржинальний","Сезонний","Стратегічний"},0),Settings!$E$78,Settings!$E$80,Settings!$E$82,Settings!$E$84,Settings!$E$86))/6,2)*6,"")</f>
        <v/>
      </c>
      <c r="S518" s="142">
        <f>IFERROR(CHOOSE(MATCH(IF($E518="","Основний",$E518),{"Трафіковий","Основний","Маржинальний","Сезонний","Стратегічний"},0),Settings!$E$78,Settings!$E$80,Settings!$E$82,Settings!$E$84,Settings!$E$86),"")</f>
        <v/>
      </c>
      <c r="T518" s="143">
        <f>IFERROR((R518*(1-Settings!$E$17)-C518)/(R518*(1-Settings!$E$17)),"")</f>
        <v/>
      </c>
      <c r="U518" s="149">
        <f>IFERROR(IF(R518="","",IF(R518&gt;=C518/(1-SKU_Base!AC518)/(1-Settings!$E$17),"OK",IF(R518&gt;=C518/(1-SKU_Base!AJ518)/(1-Settings!$E$17),"WARN","STOP"))),"")</f>
        <v/>
      </c>
      <c r="V518" s="159">
        <f>IFERROR(ROUND(D518*(1-CHOOSE(MATCH(IF($E518="","Основний",$E518),{"Трафіковий","Основний","Маржинальний","Сезонний","Стратегічний"},0),Settings!$F$78,Settings!$F$80,Settings!$F$82,Settings!$F$84,Settings!$F$86))/6,2)*6,"")</f>
        <v/>
      </c>
      <c r="W518" s="142">
        <f>IFERROR(CHOOSE(MATCH(IF($E518="","Основний",$E518),{"Трафіковий","Основний","Маржинальний","Сезонний","Стратегічний"},0),Settings!$F$78,Settings!$F$80,Settings!$F$82,Settings!$F$84,Settings!$F$86),"")</f>
        <v/>
      </c>
      <c r="X518" s="143">
        <f>IFERROR((V518*(1-Settings!$F$17)-C518)/(V518*(1-Settings!$F$17)),"")</f>
        <v/>
      </c>
      <c r="Y518" s="149">
        <f>IFERROR(IF(V518="","",IF(V518&gt;=C518/(1-SKU_Base!AD518)/(1-Settings!$F$17),"OK",IF(V518&gt;=C518/(1-SKU_Base!AK518)/(1-Settings!$F$17),"WARN","STOP"))),"")</f>
        <v/>
      </c>
      <c r="Z518" s="159">
        <f>IFERROR(ROUND(D518*(1-CHOOSE(MATCH(IF($E518="","Основний",$E518),{"Трафіковий","Основний","Маржинальний","Сезонний","Стратегічний"},0),Settings!$G$78,Settings!$G$80,Settings!$G$82,Settings!$G$84,Settings!$G$86))/6,2)*6,"")</f>
        <v/>
      </c>
      <c r="AA518" s="142">
        <f>IFERROR(CHOOSE(MATCH(IF($E518="","Основний",$E518),{"Трафіковий","Основний","Маржинальний","Сезонний","Стратегічний"},0),Settings!$G$78,Settings!$G$80,Settings!$G$82,Settings!$G$84,Settings!$G$86),"")</f>
        <v/>
      </c>
      <c r="AB518" s="143">
        <f>IFERROR((Z518*(1-Settings!$G$17)-C518)/(Z518*(1-Settings!$G$17)),"")</f>
        <v/>
      </c>
      <c r="AC518" s="149">
        <f>IFERROR(IF(Z518="","",IF(Z518&gt;=C518/(1-SKU_Base!AE518)/(1-Settings!$G$17),"OK",IF(Z518&gt;=C518/(1-SKU_Base!AL518)/(1-Settings!$G$17),"WARN","STOP"))),"")</f>
        <v/>
      </c>
      <c r="AD518" s="159">
        <f>IFERROR(ROUND(D518*(1-CHOOSE(MATCH(IF($E518="","Основний",$E518),{"Трафіковий","Основний","Маржинальний","Сезонний","Стратегічний"},0),Settings!$H$78,Settings!$H$80,Settings!$H$82,Settings!$H$84,Settings!$H$86))*(1-Settings!$H$68)/6,2)*6,"")</f>
        <v/>
      </c>
      <c r="AE518" s="142">
        <f>IFERROR(CHOOSE(MATCH(IF($E518="","Основний",$E518),{"Трафіковий","Основний","Маржинальний","Сезонний","Стратегічний"},0),Settings!$H$78,Settings!$H$80,Settings!$H$82,Settings!$H$84,Settings!$H$86)+(1-(CHOOSE(MATCH(IF($E518="","Основний",$E518),{"Трафіковий","Основний","Маржинальний","Сезонний","Стратегічний"},0),Settings!$H$78,Settings!$H$80,Settings!$H$82,Settings!$H$84,Settings!$H$86)))*Settings!$H$68,"")</f>
        <v/>
      </c>
      <c r="AF518" s="143">
        <f>IFERROR((AD518*(1-Settings!$H$17)-C518)/(AD518*(1-Settings!$H$17)),"")</f>
        <v/>
      </c>
      <c r="AG518" s="149">
        <f>IFERROR(IF(AD518="","",IF(AD518&gt;=C518/(1-SKU_Base!AF518)/(1-Settings!$H$17),"OK",IF(AD518&gt;=C518/(1-SKU_Base!AM518)/(1-Settings!$H$17),"WARN","STOP"))),"")</f>
        <v/>
      </c>
    </row>
    <row r="519" ht="17" customHeight="1" s="179">
      <c r="A519" s="146">
        <f>SKU_Base!B519</f>
        <v/>
      </c>
      <c r="B519" s="146">
        <f>SKU_Base!C519</f>
        <v/>
      </c>
      <c r="C519" s="147">
        <f>IFERROR(SKU_Base!I519,"")</f>
        <v/>
      </c>
      <c r="D519" s="164">
        <f>IFERROR(SKU_Base!T519,"")</f>
        <v/>
      </c>
      <c r="E519" s="141">
        <f>IFERROR(SKU_Base!$U519,"")</f>
        <v/>
      </c>
      <c r="F519" s="160">
        <f>IFERROR(ROUND(D519*(1-CHOOSE(MATCH(IF($E519="","Основний",$E519),{"Трафіковий","Основний","Маржинальний","Сезонний","Стратегічний"},0),Settings!$B$78,Settings!$B$80,Settings!$B$82,Settings!$B$84,Settings!$B$86))/6,2)*6,"")</f>
        <v/>
      </c>
      <c r="G519" s="142">
        <f>IFERROR(CHOOSE(MATCH(IF($E519="","Основний",$E519),{"Трафіковий","Основний","Маржинальний","Сезонний","Стратегічний"},0),Settings!$B$78,Settings!$B$80,Settings!$B$82,Settings!$B$84,Settings!$B$86),"")</f>
        <v/>
      </c>
      <c r="H519" s="148">
        <f>IFERROR((F519*(1-Settings!$B$17)-C519)/(F519*(1-Settings!$B$17)),"")</f>
        <v/>
      </c>
      <c r="I519" s="149">
        <f>IFERROR(IF(F519="","",IF(F519&gt;=C519/(1-SKU_Base!Z519)/(1-Settings!$B$17),"OK",IF(F519&gt;=C519/(1-SKU_Base!AG519)/(1-Settings!$B$17),"WARN","STOP"))),"")</f>
        <v/>
      </c>
      <c r="J519" s="160">
        <f>IFERROR(ROUND(D519*(1-CHOOSE(MATCH(IF($E519="","Основний",$E519),{"Трафіковий","Основний","Маржинальний","Сезонний","Стратегічний"},0),Settings!$C$78,Settings!$C$80,Settings!$C$82,Settings!$C$84,Settings!$C$86))/6,2)*6,"")</f>
        <v/>
      </c>
      <c r="K519" s="142">
        <f>IFERROR(CHOOSE(MATCH(IF($E519="","Основний",$E519),{"Трафіковий","Основний","Маржинальний","Сезонний","Стратегічний"},0),Settings!$C$78,Settings!$C$80,Settings!$C$82,Settings!$C$84,Settings!$C$86),"")</f>
        <v/>
      </c>
      <c r="L519" s="148">
        <f>IFERROR((J519*(1-Settings!$C$17)-C519)/(J519*(1-Settings!$C$17)),"")</f>
        <v/>
      </c>
      <c r="M519" s="149">
        <f>IFERROR(IF(J519="","",IF(J519&gt;=C519/(1-SKU_Base!AA519)/(1-Settings!$C$17),"OK",IF(J519&gt;=C519/(1-SKU_Base!AH519)/(1-Settings!$C$17),"WARN","STOP"))),"")</f>
        <v/>
      </c>
      <c r="N519" s="161">
        <f>IFERROR(ROUND(D519*(1-CHOOSE(MATCH(IF($E519="","Основний",$E519),{"Трафіковий","Основний","Маржинальний","Сезонний","Стратегічний"},0),Settings!$D$78,Settings!$D$80,Settings!$D$82,Settings!$D$84,Settings!$D$86))/6,2)*6,"")</f>
        <v/>
      </c>
      <c r="O519" s="142">
        <f>IFERROR(CHOOSE(MATCH(IF($E519="","Основний",$E519),{"Трафіковий","Основний","Маржинальний","Сезонний","Стратегічний"},0),Settings!$D$78,Settings!$D$80,Settings!$D$82,Settings!$D$84,Settings!$D$86),"")</f>
        <v/>
      </c>
      <c r="P519" s="148">
        <f>IFERROR((N519*(1-Settings!$D$17)-C519)/(N519*(1-Settings!$D$17)),"")</f>
        <v/>
      </c>
      <c r="Q519" s="149">
        <f>IFERROR(IF(N519="","",IF(N519&gt;=C519/(1-SKU_Base!AB519)/(1-Settings!$D$17),"OK",IF(N519&gt;=C519/(1-SKU_Base!AI519)/(1-Settings!$D$17),"WARN","STOP"))),"")</f>
        <v/>
      </c>
      <c r="R519" s="161">
        <f>IFERROR(ROUND(D519*(1-CHOOSE(MATCH(IF($E519="","Основний",$E519),{"Трафіковий","Основний","Маржинальний","Сезонний","Стратегічний"},0),Settings!$E$78,Settings!$E$80,Settings!$E$82,Settings!$E$84,Settings!$E$86))/6,2)*6,"")</f>
        <v/>
      </c>
      <c r="S519" s="142">
        <f>IFERROR(CHOOSE(MATCH(IF($E519="","Основний",$E519),{"Трафіковий","Основний","Маржинальний","Сезонний","Стратегічний"},0),Settings!$E$78,Settings!$E$80,Settings!$E$82,Settings!$E$84,Settings!$E$86),"")</f>
        <v/>
      </c>
      <c r="T519" s="148">
        <f>IFERROR((R519*(1-Settings!$E$17)-C519)/(R519*(1-Settings!$E$17)),"")</f>
        <v/>
      </c>
      <c r="U519" s="149">
        <f>IFERROR(IF(R519="","",IF(R519&gt;=C519/(1-SKU_Base!AC519)/(1-Settings!$E$17),"OK",IF(R519&gt;=C519/(1-SKU_Base!AJ519)/(1-Settings!$E$17),"WARN","STOP"))),"")</f>
        <v/>
      </c>
      <c r="V519" s="161">
        <f>IFERROR(ROUND(D519*(1-CHOOSE(MATCH(IF($E519="","Основний",$E519),{"Трафіковий","Основний","Маржинальний","Сезонний","Стратегічний"},0),Settings!$F$78,Settings!$F$80,Settings!$F$82,Settings!$F$84,Settings!$F$86))/6,2)*6,"")</f>
        <v/>
      </c>
      <c r="W519" s="142">
        <f>IFERROR(CHOOSE(MATCH(IF($E519="","Основний",$E519),{"Трафіковий","Основний","Маржинальний","Сезонний","Стратегічний"},0),Settings!$F$78,Settings!$F$80,Settings!$F$82,Settings!$F$84,Settings!$F$86),"")</f>
        <v/>
      </c>
      <c r="X519" s="148">
        <f>IFERROR((V519*(1-Settings!$F$17)-C519)/(V519*(1-Settings!$F$17)),"")</f>
        <v/>
      </c>
      <c r="Y519" s="149">
        <f>IFERROR(IF(V519="","",IF(V519&gt;=C519/(1-SKU_Base!AD519)/(1-Settings!$F$17),"OK",IF(V519&gt;=C519/(1-SKU_Base!AK519)/(1-Settings!$F$17),"WARN","STOP"))),"")</f>
        <v/>
      </c>
      <c r="Z519" s="161">
        <f>IFERROR(ROUND(D519*(1-CHOOSE(MATCH(IF($E519="","Основний",$E519),{"Трафіковий","Основний","Маржинальний","Сезонний","Стратегічний"},0),Settings!$G$78,Settings!$G$80,Settings!$G$82,Settings!$G$84,Settings!$G$86))/6,2)*6,"")</f>
        <v/>
      </c>
      <c r="AA519" s="142">
        <f>IFERROR(CHOOSE(MATCH(IF($E519="","Основний",$E519),{"Трафіковий","Основний","Маржинальний","Сезонний","Стратегічний"},0),Settings!$G$78,Settings!$G$80,Settings!$G$82,Settings!$G$84,Settings!$G$86),"")</f>
        <v/>
      </c>
      <c r="AB519" s="148">
        <f>IFERROR((Z519*(1-Settings!$G$17)-C519)/(Z519*(1-Settings!$G$17)),"")</f>
        <v/>
      </c>
      <c r="AC519" s="149">
        <f>IFERROR(IF(Z519="","",IF(Z519&gt;=C519/(1-SKU_Base!AE519)/(1-Settings!$G$17),"OK",IF(Z519&gt;=C519/(1-SKU_Base!AL519)/(1-Settings!$G$17),"WARN","STOP"))),"")</f>
        <v/>
      </c>
      <c r="AD519" s="161">
        <f>IFERROR(ROUND(D519*(1-CHOOSE(MATCH(IF($E519="","Основний",$E519),{"Трафіковий","Основний","Маржинальний","Сезонний","Стратегічний"},0),Settings!$H$78,Settings!$H$80,Settings!$H$82,Settings!$H$84,Settings!$H$86))*(1-Settings!$H$68)/6,2)*6,"")</f>
        <v/>
      </c>
      <c r="AE519" s="142">
        <f>IFERROR(CHOOSE(MATCH(IF($E519="","Основний",$E519),{"Трафіковий","Основний","Маржинальний","Сезонний","Стратегічний"},0),Settings!$H$78,Settings!$H$80,Settings!$H$82,Settings!$H$84,Settings!$H$86)+(1-(CHOOSE(MATCH(IF($E519="","Основний",$E519),{"Трафіковий","Основний","Маржинальний","Сезонний","Стратегічний"},0),Settings!$H$78,Settings!$H$80,Settings!$H$82,Settings!$H$84,Settings!$H$86)))*Settings!$H$68,"")</f>
        <v/>
      </c>
      <c r="AF519" s="148">
        <f>IFERROR((AD519*(1-Settings!$H$17)-C519)/(AD519*(1-Settings!$H$17)),"")</f>
        <v/>
      </c>
      <c r="AG519" s="149">
        <f>IFERROR(IF(AD519="","",IF(AD519&gt;=C519/(1-SKU_Base!AF519)/(1-Settings!$H$17),"OK",IF(AD519&gt;=C519/(1-SKU_Base!AM519)/(1-Settings!$H$17),"WARN","STOP"))),"")</f>
        <v/>
      </c>
    </row>
    <row r="520" ht="17" customHeight="1" s="179">
      <c r="A520" s="139">
        <f>SKU_Base!B520</f>
        <v/>
      </c>
      <c r="B520" s="139">
        <f>SKU_Base!C520</f>
        <v/>
      </c>
      <c r="C520" s="140">
        <f>IFERROR(SKU_Base!I520,"")</f>
        <v/>
      </c>
      <c r="D520" s="163">
        <f>IFERROR(SKU_Base!T520,"")</f>
        <v/>
      </c>
      <c r="E520" s="141">
        <f>IFERROR(SKU_Base!$U520,"")</f>
        <v/>
      </c>
      <c r="F520" s="158">
        <f>IFERROR(ROUND(D520*(1-CHOOSE(MATCH(IF($E520="","Основний",$E520),{"Трафіковий","Основний","Маржинальний","Сезонний","Стратегічний"},0),Settings!$B$78,Settings!$B$80,Settings!$B$82,Settings!$B$84,Settings!$B$86))/6,2)*6,"")</f>
        <v/>
      </c>
      <c r="G520" s="142">
        <f>IFERROR(CHOOSE(MATCH(IF($E520="","Основний",$E520),{"Трафіковий","Основний","Маржинальний","Сезонний","Стратегічний"},0),Settings!$B$78,Settings!$B$80,Settings!$B$82,Settings!$B$84,Settings!$B$86),"")</f>
        <v/>
      </c>
      <c r="H520" s="143">
        <f>IFERROR((F520*(1-Settings!$B$17)-C520)/(F520*(1-Settings!$B$17)),"")</f>
        <v/>
      </c>
      <c r="I520" s="149">
        <f>IFERROR(IF(F520="","",IF(F520&gt;=C520/(1-SKU_Base!Z520)/(1-Settings!$B$17),"OK",IF(F520&gt;=C520/(1-SKU_Base!AG520)/(1-Settings!$B$17),"WARN","STOP"))),"")</f>
        <v/>
      </c>
      <c r="J520" s="158">
        <f>IFERROR(ROUND(D520*(1-CHOOSE(MATCH(IF($E520="","Основний",$E520),{"Трафіковий","Основний","Маржинальний","Сезонний","Стратегічний"},0),Settings!$C$78,Settings!$C$80,Settings!$C$82,Settings!$C$84,Settings!$C$86))/6,2)*6,"")</f>
        <v/>
      </c>
      <c r="K520" s="142">
        <f>IFERROR(CHOOSE(MATCH(IF($E520="","Основний",$E520),{"Трафіковий","Основний","Маржинальний","Сезонний","Стратегічний"},0),Settings!$C$78,Settings!$C$80,Settings!$C$82,Settings!$C$84,Settings!$C$86),"")</f>
        <v/>
      </c>
      <c r="L520" s="143">
        <f>IFERROR((J520*(1-Settings!$C$17)-C520)/(J520*(1-Settings!$C$17)),"")</f>
        <v/>
      </c>
      <c r="M520" s="149">
        <f>IFERROR(IF(J520="","",IF(J520&gt;=C520/(1-SKU_Base!AA520)/(1-Settings!$C$17),"OK",IF(J520&gt;=C520/(1-SKU_Base!AH520)/(1-Settings!$C$17),"WARN","STOP"))),"")</f>
        <v/>
      </c>
      <c r="N520" s="159">
        <f>IFERROR(ROUND(D520*(1-CHOOSE(MATCH(IF($E520="","Основний",$E520),{"Трафіковий","Основний","Маржинальний","Сезонний","Стратегічний"},0),Settings!$D$78,Settings!$D$80,Settings!$D$82,Settings!$D$84,Settings!$D$86))/6,2)*6,"")</f>
        <v/>
      </c>
      <c r="O520" s="142">
        <f>IFERROR(CHOOSE(MATCH(IF($E520="","Основний",$E520),{"Трафіковий","Основний","Маржинальний","Сезонний","Стратегічний"},0),Settings!$D$78,Settings!$D$80,Settings!$D$82,Settings!$D$84,Settings!$D$86),"")</f>
        <v/>
      </c>
      <c r="P520" s="143">
        <f>IFERROR((N520*(1-Settings!$D$17)-C520)/(N520*(1-Settings!$D$17)),"")</f>
        <v/>
      </c>
      <c r="Q520" s="149">
        <f>IFERROR(IF(N520="","",IF(N520&gt;=C520/(1-SKU_Base!AB520)/(1-Settings!$D$17),"OK",IF(N520&gt;=C520/(1-SKU_Base!AI520)/(1-Settings!$D$17),"WARN","STOP"))),"")</f>
        <v/>
      </c>
      <c r="R520" s="159">
        <f>IFERROR(ROUND(D520*(1-CHOOSE(MATCH(IF($E520="","Основний",$E520),{"Трафіковий","Основний","Маржинальний","Сезонний","Стратегічний"},0),Settings!$E$78,Settings!$E$80,Settings!$E$82,Settings!$E$84,Settings!$E$86))/6,2)*6,"")</f>
        <v/>
      </c>
      <c r="S520" s="142">
        <f>IFERROR(CHOOSE(MATCH(IF($E520="","Основний",$E520),{"Трафіковий","Основний","Маржинальний","Сезонний","Стратегічний"},0),Settings!$E$78,Settings!$E$80,Settings!$E$82,Settings!$E$84,Settings!$E$86),"")</f>
        <v/>
      </c>
      <c r="T520" s="143">
        <f>IFERROR((R520*(1-Settings!$E$17)-C520)/(R520*(1-Settings!$E$17)),"")</f>
        <v/>
      </c>
      <c r="U520" s="149">
        <f>IFERROR(IF(R520="","",IF(R520&gt;=C520/(1-SKU_Base!AC520)/(1-Settings!$E$17),"OK",IF(R520&gt;=C520/(1-SKU_Base!AJ520)/(1-Settings!$E$17),"WARN","STOP"))),"")</f>
        <v/>
      </c>
      <c r="V520" s="159">
        <f>IFERROR(ROUND(D520*(1-CHOOSE(MATCH(IF($E520="","Основний",$E520),{"Трафіковий","Основний","Маржинальний","Сезонний","Стратегічний"},0),Settings!$F$78,Settings!$F$80,Settings!$F$82,Settings!$F$84,Settings!$F$86))/6,2)*6,"")</f>
        <v/>
      </c>
      <c r="W520" s="142">
        <f>IFERROR(CHOOSE(MATCH(IF($E520="","Основний",$E520),{"Трафіковий","Основний","Маржинальний","Сезонний","Стратегічний"},0),Settings!$F$78,Settings!$F$80,Settings!$F$82,Settings!$F$84,Settings!$F$86),"")</f>
        <v/>
      </c>
      <c r="X520" s="143">
        <f>IFERROR((V520*(1-Settings!$F$17)-C520)/(V520*(1-Settings!$F$17)),"")</f>
        <v/>
      </c>
      <c r="Y520" s="149">
        <f>IFERROR(IF(V520="","",IF(V520&gt;=C520/(1-SKU_Base!AD520)/(1-Settings!$F$17),"OK",IF(V520&gt;=C520/(1-SKU_Base!AK520)/(1-Settings!$F$17),"WARN","STOP"))),"")</f>
        <v/>
      </c>
      <c r="Z520" s="159">
        <f>IFERROR(ROUND(D520*(1-CHOOSE(MATCH(IF($E520="","Основний",$E520),{"Трафіковий","Основний","Маржинальний","Сезонний","Стратегічний"},0),Settings!$G$78,Settings!$G$80,Settings!$G$82,Settings!$G$84,Settings!$G$86))/6,2)*6,"")</f>
        <v/>
      </c>
      <c r="AA520" s="142">
        <f>IFERROR(CHOOSE(MATCH(IF($E520="","Основний",$E520),{"Трафіковий","Основний","Маржинальний","Сезонний","Стратегічний"},0),Settings!$G$78,Settings!$G$80,Settings!$G$82,Settings!$G$84,Settings!$G$86),"")</f>
        <v/>
      </c>
      <c r="AB520" s="143">
        <f>IFERROR((Z520*(1-Settings!$G$17)-C520)/(Z520*(1-Settings!$G$17)),"")</f>
        <v/>
      </c>
      <c r="AC520" s="149">
        <f>IFERROR(IF(Z520="","",IF(Z520&gt;=C520/(1-SKU_Base!AE520)/(1-Settings!$G$17),"OK",IF(Z520&gt;=C520/(1-SKU_Base!AL520)/(1-Settings!$G$17),"WARN","STOP"))),"")</f>
        <v/>
      </c>
      <c r="AD520" s="159">
        <f>IFERROR(ROUND(D520*(1-CHOOSE(MATCH(IF($E520="","Основний",$E520),{"Трафіковий","Основний","Маржинальний","Сезонний","Стратегічний"},0),Settings!$H$78,Settings!$H$80,Settings!$H$82,Settings!$H$84,Settings!$H$86))*(1-Settings!$H$68)/6,2)*6,"")</f>
        <v/>
      </c>
      <c r="AE520" s="142">
        <f>IFERROR(CHOOSE(MATCH(IF($E520="","Основний",$E520),{"Трафіковий","Основний","Маржинальний","Сезонний","Стратегічний"},0),Settings!$H$78,Settings!$H$80,Settings!$H$82,Settings!$H$84,Settings!$H$86)+(1-(CHOOSE(MATCH(IF($E520="","Основний",$E520),{"Трафіковий","Основний","Маржинальний","Сезонний","Стратегічний"},0),Settings!$H$78,Settings!$H$80,Settings!$H$82,Settings!$H$84,Settings!$H$86)))*Settings!$H$68,"")</f>
        <v/>
      </c>
      <c r="AF520" s="143">
        <f>IFERROR((AD520*(1-Settings!$H$17)-C520)/(AD520*(1-Settings!$H$17)),"")</f>
        <v/>
      </c>
      <c r="AG520" s="149">
        <f>IFERROR(IF(AD520="","",IF(AD520&gt;=C520/(1-SKU_Base!AF520)/(1-Settings!$H$17),"OK",IF(AD520&gt;=C520/(1-SKU_Base!AM520)/(1-Settings!$H$17),"WARN","STOP"))),"")</f>
        <v/>
      </c>
    </row>
    <row r="521" ht="17" customHeight="1" s="179">
      <c r="A521" s="146">
        <f>SKU_Base!B521</f>
        <v/>
      </c>
      <c r="B521" s="146">
        <f>SKU_Base!C521</f>
        <v/>
      </c>
      <c r="C521" s="147">
        <f>IFERROR(SKU_Base!I521,"")</f>
        <v/>
      </c>
      <c r="D521" s="164">
        <f>IFERROR(SKU_Base!T521,"")</f>
        <v/>
      </c>
      <c r="E521" s="141">
        <f>IFERROR(SKU_Base!$U521,"")</f>
        <v/>
      </c>
      <c r="F521" s="160">
        <f>IFERROR(ROUND(D521*(1-CHOOSE(MATCH(IF($E521="","Основний",$E521),{"Трафіковий","Основний","Маржинальний","Сезонний","Стратегічний"},0),Settings!$B$78,Settings!$B$80,Settings!$B$82,Settings!$B$84,Settings!$B$86))/6,2)*6,"")</f>
        <v/>
      </c>
      <c r="G521" s="142">
        <f>IFERROR(CHOOSE(MATCH(IF($E521="","Основний",$E521),{"Трафіковий","Основний","Маржинальний","Сезонний","Стратегічний"},0),Settings!$B$78,Settings!$B$80,Settings!$B$82,Settings!$B$84,Settings!$B$86),"")</f>
        <v/>
      </c>
      <c r="H521" s="148">
        <f>IFERROR((F521*(1-Settings!$B$17)-C521)/(F521*(1-Settings!$B$17)),"")</f>
        <v/>
      </c>
      <c r="I521" s="149">
        <f>IFERROR(IF(F521="","",IF(F521&gt;=C521/(1-SKU_Base!Z521)/(1-Settings!$B$17),"OK",IF(F521&gt;=C521/(1-SKU_Base!AG521)/(1-Settings!$B$17),"WARN","STOP"))),"")</f>
        <v/>
      </c>
      <c r="J521" s="160">
        <f>IFERROR(ROUND(D521*(1-CHOOSE(MATCH(IF($E521="","Основний",$E521),{"Трафіковий","Основний","Маржинальний","Сезонний","Стратегічний"},0),Settings!$C$78,Settings!$C$80,Settings!$C$82,Settings!$C$84,Settings!$C$86))/6,2)*6,"")</f>
        <v/>
      </c>
      <c r="K521" s="142">
        <f>IFERROR(CHOOSE(MATCH(IF($E521="","Основний",$E521),{"Трафіковий","Основний","Маржинальний","Сезонний","Стратегічний"},0),Settings!$C$78,Settings!$C$80,Settings!$C$82,Settings!$C$84,Settings!$C$86),"")</f>
        <v/>
      </c>
      <c r="L521" s="148">
        <f>IFERROR((J521*(1-Settings!$C$17)-C521)/(J521*(1-Settings!$C$17)),"")</f>
        <v/>
      </c>
      <c r="M521" s="149">
        <f>IFERROR(IF(J521="","",IF(J521&gt;=C521/(1-SKU_Base!AA521)/(1-Settings!$C$17),"OK",IF(J521&gt;=C521/(1-SKU_Base!AH521)/(1-Settings!$C$17),"WARN","STOP"))),"")</f>
        <v/>
      </c>
      <c r="N521" s="161">
        <f>IFERROR(ROUND(D521*(1-CHOOSE(MATCH(IF($E521="","Основний",$E521),{"Трафіковий","Основний","Маржинальний","Сезонний","Стратегічний"},0),Settings!$D$78,Settings!$D$80,Settings!$D$82,Settings!$D$84,Settings!$D$86))/6,2)*6,"")</f>
        <v/>
      </c>
      <c r="O521" s="142">
        <f>IFERROR(CHOOSE(MATCH(IF($E521="","Основний",$E521),{"Трафіковий","Основний","Маржинальний","Сезонний","Стратегічний"},0),Settings!$D$78,Settings!$D$80,Settings!$D$82,Settings!$D$84,Settings!$D$86),"")</f>
        <v/>
      </c>
      <c r="P521" s="148">
        <f>IFERROR((N521*(1-Settings!$D$17)-C521)/(N521*(1-Settings!$D$17)),"")</f>
        <v/>
      </c>
      <c r="Q521" s="149">
        <f>IFERROR(IF(N521="","",IF(N521&gt;=C521/(1-SKU_Base!AB521)/(1-Settings!$D$17),"OK",IF(N521&gt;=C521/(1-SKU_Base!AI521)/(1-Settings!$D$17),"WARN","STOP"))),"")</f>
        <v/>
      </c>
      <c r="R521" s="161">
        <f>IFERROR(ROUND(D521*(1-CHOOSE(MATCH(IF($E521="","Основний",$E521),{"Трафіковий","Основний","Маржинальний","Сезонний","Стратегічний"},0),Settings!$E$78,Settings!$E$80,Settings!$E$82,Settings!$E$84,Settings!$E$86))/6,2)*6,"")</f>
        <v/>
      </c>
      <c r="S521" s="142">
        <f>IFERROR(CHOOSE(MATCH(IF($E521="","Основний",$E521),{"Трафіковий","Основний","Маржинальний","Сезонний","Стратегічний"},0),Settings!$E$78,Settings!$E$80,Settings!$E$82,Settings!$E$84,Settings!$E$86),"")</f>
        <v/>
      </c>
      <c r="T521" s="148">
        <f>IFERROR((R521*(1-Settings!$E$17)-C521)/(R521*(1-Settings!$E$17)),"")</f>
        <v/>
      </c>
      <c r="U521" s="149">
        <f>IFERROR(IF(R521="","",IF(R521&gt;=C521/(1-SKU_Base!AC521)/(1-Settings!$E$17),"OK",IF(R521&gt;=C521/(1-SKU_Base!AJ521)/(1-Settings!$E$17),"WARN","STOP"))),"")</f>
        <v/>
      </c>
      <c r="V521" s="161">
        <f>IFERROR(ROUND(D521*(1-CHOOSE(MATCH(IF($E521="","Основний",$E521),{"Трафіковий","Основний","Маржинальний","Сезонний","Стратегічний"},0),Settings!$F$78,Settings!$F$80,Settings!$F$82,Settings!$F$84,Settings!$F$86))/6,2)*6,"")</f>
        <v/>
      </c>
      <c r="W521" s="142">
        <f>IFERROR(CHOOSE(MATCH(IF($E521="","Основний",$E521),{"Трафіковий","Основний","Маржинальний","Сезонний","Стратегічний"},0),Settings!$F$78,Settings!$F$80,Settings!$F$82,Settings!$F$84,Settings!$F$86),"")</f>
        <v/>
      </c>
      <c r="X521" s="148">
        <f>IFERROR((V521*(1-Settings!$F$17)-C521)/(V521*(1-Settings!$F$17)),"")</f>
        <v/>
      </c>
      <c r="Y521" s="149">
        <f>IFERROR(IF(V521="","",IF(V521&gt;=C521/(1-SKU_Base!AD521)/(1-Settings!$F$17),"OK",IF(V521&gt;=C521/(1-SKU_Base!AK521)/(1-Settings!$F$17),"WARN","STOP"))),"")</f>
        <v/>
      </c>
      <c r="Z521" s="161">
        <f>IFERROR(ROUND(D521*(1-CHOOSE(MATCH(IF($E521="","Основний",$E521),{"Трафіковий","Основний","Маржинальний","Сезонний","Стратегічний"},0),Settings!$G$78,Settings!$G$80,Settings!$G$82,Settings!$G$84,Settings!$G$86))/6,2)*6,"")</f>
        <v/>
      </c>
      <c r="AA521" s="142">
        <f>IFERROR(CHOOSE(MATCH(IF($E521="","Основний",$E521),{"Трафіковий","Основний","Маржинальний","Сезонний","Стратегічний"},0),Settings!$G$78,Settings!$G$80,Settings!$G$82,Settings!$G$84,Settings!$G$86),"")</f>
        <v/>
      </c>
      <c r="AB521" s="148">
        <f>IFERROR((Z521*(1-Settings!$G$17)-C521)/(Z521*(1-Settings!$G$17)),"")</f>
        <v/>
      </c>
      <c r="AC521" s="149">
        <f>IFERROR(IF(Z521="","",IF(Z521&gt;=C521/(1-SKU_Base!AE521)/(1-Settings!$G$17),"OK",IF(Z521&gt;=C521/(1-SKU_Base!AL521)/(1-Settings!$G$17),"WARN","STOP"))),"")</f>
        <v/>
      </c>
      <c r="AD521" s="161">
        <f>IFERROR(ROUND(D521*(1-CHOOSE(MATCH(IF($E521="","Основний",$E521),{"Трафіковий","Основний","Маржинальний","Сезонний","Стратегічний"},0),Settings!$H$78,Settings!$H$80,Settings!$H$82,Settings!$H$84,Settings!$H$86))*(1-Settings!$H$68)/6,2)*6,"")</f>
        <v/>
      </c>
      <c r="AE521" s="142">
        <f>IFERROR(CHOOSE(MATCH(IF($E521="","Основний",$E521),{"Трафіковий","Основний","Маржинальний","Сезонний","Стратегічний"},0),Settings!$H$78,Settings!$H$80,Settings!$H$82,Settings!$H$84,Settings!$H$86)+(1-(CHOOSE(MATCH(IF($E521="","Основний",$E521),{"Трафіковий","Основний","Маржинальний","Сезонний","Стратегічний"},0),Settings!$H$78,Settings!$H$80,Settings!$H$82,Settings!$H$84,Settings!$H$86)))*Settings!$H$68,"")</f>
        <v/>
      </c>
      <c r="AF521" s="148">
        <f>IFERROR((AD521*(1-Settings!$H$17)-C521)/(AD521*(1-Settings!$H$17)),"")</f>
        <v/>
      </c>
      <c r="AG521" s="149">
        <f>IFERROR(IF(AD521="","",IF(AD521&gt;=C521/(1-SKU_Base!AF521)/(1-Settings!$H$17),"OK",IF(AD521&gt;=C521/(1-SKU_Base!AM521)/(1-Settings!$H$17),"WARN","STOP"))),"")</f>
        <v/>
      </c>
    </row>
    <row r="522" ht="17" customHeight="1" s="179">
      <c r="A522" s="139">
        <f>SKU_Base!B522</f>
        <v/>
      </c>
      <c r="B522" s="139">
        <f>SKU_Base!C522</f>
        <v/>
      </c>
      <c r="C522" s="140">
        <f>IFERROR(SKU_Base!I522,"")</f>
        <v/>
      </c>
      <c r="D522" s="163">
        <f>IFERROR(SKU_Base!T522,"")</f>
        <v/>
      </c>
      <c r="E522" s="141">
        <f>IFERROR(SKU_Base!$U522,"")</f>
        <v/>
      </c>
      <c r="F522" s="158">
        <f>IFERROR(ROUND(D522*(1-CHOOSE(MATCH(IF($E522="","Основний",$E522),{"Трафіковий","Основний","Маржинальний","Сезонний","Стратегічний"},0),Settings!$B$78,Settings!$B$80,Settings!$B$82,Settings!$B$84,Settings!$B$86))/6,2)*6,"")</f>
        <v/>
      </c>
      <c r="G522" s="142">
        <f>IFERROR(CHOOSE(MATCH(IF($E522="","Основний",$E522),{"Трафіковий","Основний","Маржинальний","Сезонний","Стратегічний"},0),Settings!$B$78,Settings!$B$80,Settings!$B$82,Settings!$B$84,Settings!$B$86),"")</f>
        <v/>
      </c>
      <c r="H522" s="143">
        <f>IFERROR((F522*(1-Settings!$B$17)-C522)/(F522*(1-Settings!$B$17)),"")</f>
        <v/>
      </c>
      <c r="I522" s="149">
        <f>IFERROR(IF(F522="","",IF(F522&gt;=C522/(1-SKU_Base!Z522)/(1-Settings!$B$17),"OK",IF(F522&gt;=C522/(1-SKU_Base!AG522)/(1-Settings!$B$17),"WARN","STOP"))),"")</f>
        <v/>
      </c>
      <c r="J522" s="158">
        <f>IFERROR(ROUND(D522*(1-CHOOSE(MATCH(IF($E522="","Основний",$E522),{"Трафіковий","Основний","Маржинальний","Сезонний","Стратегічний"},0),Settings!$C$78,Settings!$C$80,Settings!$C$82,Settings!$C$84,Settings!$C$86))/6,2)*6,"")</f>
        <v/>
      </c>
      <c r="K522" s="142">
        <f>IFERROR(CHOOSE(MATCH(IF($E522="","Основний",$E522),{"Трафіковий","Основний","Маржинальний","Сезонний","Стратегічний"},0),Settings!$C$78,Settings!$C$80,Settings!$C$82,Settings!$C$84,Settings!$C$86),"")</f>
        <v/>
      </c>
      <c r="L522" s="143">
        <f>IFERROR((J522*(1-Settings!$C$17)-C522)/(J522*(1-Settings!$C$17)),"")</f>
        <v/>
      </c>
      <c r="M522" s="149">
        <f>IFERROR(IF(J522="","",IF(J522&gt;=C522/(1-SKU_Base!AA522)/(1-Settings!$C$17),"OK",IF(J522&gt;=C522/(1-SKU_Base!AH522)/(1-Settings!$C$17),"WARN","STOP"))),"")</f>
        <v/>
      </c>
      <c r="N522" s="159">
        <f>IFERROR(ROUND(D522*(1-CHOOSE(MATCH(IF($E522="","Основний",$E522),{"Трафіковий","Основний","Маржинальний","Сезонний","Стратегічний"},0),Settings!$D$78,Settings!$D$80,Settings!$D$82,Settings!$D$84,Settings!$D$86))/6,2)*6,"")</f>
        <v/>
      </c>
      <c r="O522" s="142">
        <f>IFERROR(CHOOSE(MATCH(IF($E522="","Основний",$E522),{"Трафіковий","Основний","Маржинальний","Сезонний","Стратегічний"},0),Settings!$D$78,Settings!$D$80,Settings!$D$82,Settings!$D$84,Settings!$D$86),"")</f>
        <v/>
      </c>
      <c r="P522" s="143">
        <f>IFERROR((N522*(1-Settings!$D$17)-C522)/(N522*(1-Settings!$D$17)),"")</f>
        <v/>
      </c>
      <c r="Q522" s="149">
        <f>IFERROR(IF(N522="","",IF(N522&gt;=C522/(1-SKU_Base!AB522)/(1-Settings!$D$17),"OK",IF(N522&gt;=C522/(1-SKU_Base!AI522)/(1-Settings!$D$17),"WARN","STOP"))),"")</f>
        <v/>
      </c>
      <c r="R522" s="159">
        <f>IFERROR(ROUND(D522*(1-CHOOSE(MATCH(IF($E522="","Основний",$E522),{"Трафіковий","Основний","Маржинальний","Сезонний","Стратегічний"},0),Settings!$E$78,Settings!$E$80,Settings!$E$82,Settings!$E$84,Settings!$E$86))/6,2)*6,"")</f>
        <v/>
      </c>
      <c r="S522" s="142">
        <f>IFERROR(CHOOSE(MATCH(IF($E522="","Основний",$E522),{"Трафіковий","Основний","Маржинальний","Сезонний","Стратегічний"},0),Settings!$E$78,Settings!$E$80,Settings!$E$82,Settings!$E$84,Settings!$E$86),"")</f>
        <v/>
      </c>
      <c r="T522" s="143">
        <f>IFERROR((R522*(1-Settings!$E$17)-C522)/(R522*(1-Settings!$E$17)),"")</f>
        <v/>
      </c>
      <c r="U522" s="149">
        <f>IFERROR(IF(R522="","",IF(R522&gt;=C522/(1-SKU_Base!AC522)/(1-Settings!$E$17),"OK",IF(R522&gt;=C522/(1-SKU_Base!AJ522)/(1-Settings!$E$17),"WARN","STOP"))),"")</f>
        <v/>
      </c>
      <c r="V522" s="159">
        <f>IFERROR(ROUND(D522*(1-CHOOSE(MATCH(IF($E522="","Основний",$E522),{"Трафіковий","Основний","Маржинальний","Сезонний","Стратегічний"},0),Settings!$F$78,Settings!$F$80,Settings!$F$82,Settings!$F$84,Settings!$F$86))/6,2)*6,"")</f>
        <v/>
      </c>
      <c r="W522" s="142">
        <f>IFERROR(CHOOSE(MATCH(IF($E522="","Основний",$E522),{"Трафіковий","Основний","Маржинальний","Сезонний","Стратегічний"},0),Settings!$F$78,Settings!$F$80,Settings!$F$82,Settings!$F$84,Settings!$F$86),"")</f>
        <v/>
      </c>
      <c r="X522" s="143">
        <f>IFERROR((V522*(1-Settings!$F$17)-C522)/(V522*(1-Settings!$F$17)),"")</f>
        <v/>
      </c>
      <c r="Y522" s="149">
        <f>IFERROR(IF(V522="","",IF(V522&gt;=C522/(1-SKU_Base!AD522)/(1-Settings!$F$17),"OK",IF(V522&gt;=C522/(1-SKU_Base!AK522)/(1-Settings!$F$17),"WARN","STOP"))),"")</f>
        <v/>
      </c>
      <c r="Z522" s="159">
        <f>IFERROR(ROUND(D522*(1-CHOOSE(MATCH(IF($E522="","Основний",$E522),{"Трафіковий","Основний","Маржинальний","Сезонний","Стратегічний"},0),Settings!$G$78,Settings!$G$80,Settings!$G$82,Settings!$G$84,Settings!$G$86))/6,2)*6,"")</f>
        <v/>
      </c>
      <c r="AA522" s="142">
        <f>IFERROR(CHOOSE(MATCH(IF($E522="","Основний",$E522),{"Трафіковий","Основний","Маржинальний","Сезонний","Стратегічний"},0),Settings!$G$78,Settings!$G$80,Settings!$G$82,Settings!$G$84,Settings!$G$86),"")</f>
        <v/>
      </c>
      <c r="AB522" s="143">
        <f>IFERROR((Z522*(1-Settings!$G$17)-C522)/(Z522*(1-Settings!$G$17)),"")</f>
        <v/>
      </c>
      <c r="AC522" s="149">
        <f>IFERROR(IF(Z522="","",IF(Z522&gt;=C522/(1-SKU_Base!AE522)/(1-Settings!$G$17),"OK",IF(Z522&gt;=C522/(1-SKU_Base!AL522)/(1-Settings!$G$17),"WARN","STOP"))),"")</f>
        <v/>
      </c>
      <c r="AD522" s="159">
        <f>IFERROR(ROUND(D522*(1-CHOOSE(MATCH(IF($E522="","Основний",$E522),{"Трафіковий","Основний","Маржинальний","Сезонний","Стратегічний"},0),Settings!$H$78,Settings!$H$80,Settings!$H$82,Settings!$H$84,Settings!$H$86))*(1-Settings!$H$68)/6,2)*6,"")</f>
        <v/>
      </c>
      <c r="AE522" s="142">
        <f>IFERROR(CHOOSE(MATCH(IF($E522="","Основний",$E522),{"Трафіковий","Основний","Маржинальний","Сезонний","Стратегічний"},0),Settings!$H$78,Settings!$H$80,Settings!$H$82,Settings!$H$84,Settings!$H$86)+(1-(CHOOSE(MATCH(IF($E522="","Основний",$E522),{"Трафіковий","Основний","Маржинальний","Сезонний","Стратегічний"},0),Settings!$H$78,Settings!$H$80,Settings!$H$82,Settings!$H$84,Settings!$H$86)))*Settings!$H$68,"")</f>
        <v/>
      </c>
      <c r="AF522" s="143">
        <f>IFERROR((AD522*(1-Settings!$H$17)-C522)/(AD522*(1-Settings!$H$17)),"")</f>
        <v/>
      </c>
      <c r="AG522" s="149">
        <f>IFERROR(IF(AD522="","",IF(AD522&gt;=C522/(1-SKU_Base!AF522)/(1-Settings!$H$17),"OK",IF(AD522&gt;=C522/(1-SKU_Base!AM522)/(1-Settings!$H$17),"WARN","STOP"))),"")</f>
        <v/>
      </c>
    </row>
    <row r="523" ht="17" customHeight="1" s="179">
      <c r="A523" s="146">
        <f>SKU_Base!B523</f>
        <v/>
      </c>
      <c r="B523" s="146">
        <f>SKU_Base!C523</f>
        <v/>
      </c>
      <c r="C523" s="147">
        <f>IFERROR(SKU_Base!I523,"")</f>
        <v/>
      </c>
      <c r="D523" s="164">
        <f>IFERROR(SKU_Base!T523,"")</f>
        <v/>
      </c>
      <c r="E523" s="141">
        <f>IFERROR(SKU_Base!$U523,"")</f>
        <v/>
      </c>
      <c r="F523" s="160">
        <f>IFERROR(ROUND(D523*(1-CHOOSE(MATCH(IF($E523="","Основний",$E523),{"Трафіковий","Основний","Маржинальний","Сезонний","Стратегічний"},0),Settings!$B$78,Settings!$B$80,Settings!$B$82,Settings!$B$84,Settings!$B$86))/6,2)*6,"")</f>
        <v/>
      </c>
      <c r="G523" s="142">
        <f>IFERROR(CHOOSE(MATCH(IF($E523="","Основний",$E523),{"Трафіковий","Основний","Маржинальний","Сезонний","Стратегічний"},0),Settings!$B$78,Settings!$B$80,Settings!$B$82,Settings!$B$84,Settings!$B$86),"")</f>
        <v/>
      </c>
      <c r="H523" s="148">
        <f>IFERROR((F523*(1-Settings!$B$17)-C523)/(F523*(1-Settings!$B$17)),"")</f>
        <v/>
      </c>
      <c r="I523" s="150">
        <f>IFERROR(IF(F523="","",IF(F523&gt;=C523/(1-SKU_Base!Z523)/(1-Settings!$B$17),"OK",IF(F523&gt;=C523/(1-SKU_Base!AG523)/(1-Settings!$B$17),"WARN","STOP"))),"")</f>
        <v/>
      </c>
      <c r="J523" s="160">
        <f>IFERROR(ROUND(D523*(1-CHOOSE(MATCH(IF($E523="","Основний",$E523),{"Трафіковий","Основний","Маржинальний","Сезонний","Стратегічний"},0),Settings!$C$78,Settings!$C$80,Settings!$C$82,Settings!$C$84,Settings!$C$86))/6,2)*6,"")</f>
        <v/>
      </c>
      <c r="K523" s="142">
        <f>IFERROR(CHOOSE(MATCH(IF($E523="","Основний",$E523),{"Трафіковий","Основний","Маржинальний","Сезонний","Стратегічний"},0),Settings!$C$78,Settings!$C$80,Settings!$C$82,Settings!$C$84,Settings!$C$86),"")</f>
        <v/>
      </c>
      <c r="L523" s="148">
        <f>IFERROR((J523*(1-Settings!$C$17)-C523)/(J523*(1-Settings!$C$17)),"")</f>
        <v/>
      </c>
      <c r="M523" s="149">
        <f>IFERROR(IF(J523="","",IF(J523&gt;=C523/(1-SKU_Base!AA523)/(1-Settings!$C$17),"OK",IF(J523&gt;=C523/(1-SKU_Base!AH523)/(1-Settings!$C$17),"WARN","STOP"))),"")</f>
        <v/>
      </c>
      <c r="N523" s="161">
        <f>IFERROR(ROUND(D523*(1-CHOOSE(MATCH(IF($E523="","Основний",$E523),{"Трафіковий","Основний","Маржинальний","Сезонний","Стратегічний"},0),Settings!$D$78,Settings!$D$80,Settings!$D$82,Settings!$D$84,Settings!$D$86))/6,2)*6,"")</f>
        <v/>
      </c>
      <c r="O523" s="142">
        <f>IFERROR(CHOOSE(MATCH(IF($E523="","Основний",$E523),{"Трафіковий","Основний","Маржинальний","Сезонний","Стратегічний"},0),Settings!$D$78,Settings!$D$80,Settings!$D$82,Settings!$D$84,Settings!$D$86),"")</f>
        <v/>
      </c>
      <c r="P523" s="148">
        <f>IFERROR((N523*(1-Settings!$D$17)-C523)/(N523*(1-Settings!$D$17)),"")</f>
        <v/>
      </c>
      <c r="Q523" s="149">
        <f>IFERROR(IF(N523="","",IF(N523&gt;=C523/(1-SKU_Base!AB523)/(1-Settings!$D$17),"OK",IF(N523&gt;=C523/(1-SKU_Base!AI523)/(1-Settings!$D$17),"WARN","STOP"))),"")</f>
        <v/>
      </c>
      <c r="R523" s="161">
        <f>IFERROR(ROUND(D523*(1-CHOOSE(MATCH(IF($E523="","Основний",$E523),{"Трафіковий","Основний","Маржинальний","Сезонний","Стратегічний"},0),Settings!$E$78,Settings!$E$80,Settings!$E$82,Settings!$E$84,Settings!$E$86))/6,2)*6,"")</f>
        <v/>
      </c>
      <c r="S523" s="142">
        <f>IFERROR(CHOOSE(MATCH(IF($E523="","Основний",$E523),{"Трафіковий","Основний","Маржинальний","Сезонний","Стратегічний"},0),Settings!$E$78,Settings!$E$80,Settings!$E$82,Settings!$E$84,Settings!$E$86),"")</f>
        <v/>
      </c>
      <c r="T523" s="148">
        <f>IFERROR((R523*(1-Settings!$E$17)-C523)/(R523*(1-Settings!$E$17)),"")</f>
        <v/>
      </c>
      <c r="U523" s="149">
        <f>IFERROR(IF(R523="","",IF(R523&gt;=C523/(1-SKU_Base!AC523)/(1-Settings!$E$17),"OK",IF(R523&gt;=C523/(1-SKU_Base!AJ523)/(1-Settings!$E$17),"WARN","STOP"))),"")</f>
        <v/>
      </c>
      <c r="V523" s="161">
        <f>IFERROR(ROUND(D523*(1-CHOOSE(MATCH(IF($E523="","Основний",$E523),{"Трафіковий","Основний","Маржинальний","Сезонний","Стратегічний"},0),Settings!$F$78,Settings!$F$80,Settings!$F$82,Settings!$F$84,Settings!$F$86))/6,2)*6,"")</f>
        <v/>
      </c>
      <c r="W523" s="142">
        <f>IFERROR(CHOOSE(MATCH(IF($E523="","Основний",$E523),{"Трафіковий","Основний","Маржинальний","Сезонний","Стратегічний"},0),Settings!$F$78,Settings!$F$80,Settings!$F$82,Settings!$F$84,Settings!$F$86),"")</f>
        <v/>
      </c>
      <c r="X523" s="148">
        <f>IFERROR((V523*(1-Settings!$F$17)-C523)/(V523*(1-Settings!$F$17)),"")</f>
        <v/>
      </c>
      <c r="Y523" s="149">
        <f>IFERROR(IF(V523="","",IF(V523&gt;=C523/(1-SKU_Base!AD523)/(1-Settings!$F$17),"OK",IF(V523&gt;=C523/(1-SKU_Base!AK523)/(1-Settings!$F$17),"WARN","STOP"))),"")</f>
        <v/>
      </c>
      <c r="Z523" s="161">
        <f>IFERROR(ROUND(D523*(1-CHOOSE(MATCH(IF($E523="","Основний",$E523),{"Трафіковий","Основний","Маржинальний","Сезонний","Стратегічний"},0),Settings!$G$78,Settings!$G$80,Settings!$G$82,Settings!$G$84,Settings!$G$86))/6,2)*6,"")</f>
        <v/>
      </c>
      <c r="AA523" s="142">
        <f>IFERROR(CHOOSE(MATCH(IF($E523="","Основний",$E523),{"Трафіковий","Основний","Маржинальний","Сезонний","Стратегічний"},0),Settings!$G$78,Settings!$G$80,Settings!$G$82,Settings!$G$84,Settings!$G$86),"")</f>
        <v/>
      </c>
      <c r="AB523" s="148">
        <f>IFERROR((Z523*(1-Settings!$G$17)-C523)/(Z523*(1-Settings!$G$17)),"")</f>
        <v/>
      </c>
      <c r="AC523" s="149">
        <f>IFERROR(IF(Z523="","",IF(Z523&gt;=C523/(1-SKU_Base!AE523)/(1-Settings!$G$17),"OK",IF(Z523&gt;=C523/(1-SKU_Base!AL523)/(1-Settings!$G$17),"WARN","STOP"))),"")</f>
        <v/>
      </c>
      <c r="AD523" s="161">
        <f>IFERROR(ROUND(D523*(1-CHOOSE(MATCH(IF($E523="","Основний",$E523),{"Трафіковий","Основний","Маржинальний","Сезонний","Стратегічний"},0),Settings!$H$78,Settings!$H$80,Settings!$H$82,Settings!$H$84,Settings!$H$86))*(1-Settings!$H$68)/6,2)*6,"")</f>
        <v/>
      </c>
      <c r="AE523" s="142">
        <f>IFERROR(CHOOSE(MATCH(IF($E523="","Основний",$E523),{"Трафіковий","Основний","Маржинальний","Сезонний","Стратегічний"},0),Settings!$H$78,Settings!$H$80,Settings!$H$82,Settings!$H$84,Settings!$H$86)+(1-(CHOOSE(MATCH(IF($E523="","Основний",$E523),{"Трафіковий","Основний","Маржинальний","Сезонний","Стратегічний"},0),Settings!$H$78,Settings!$H$80,Settings!$H$82,Settings!$H$84,Settings!$H$86)))*Settings!$H$68,"")</f>
        <v/>
      </c>
      <c r="AF523" s="148">
        <f>IFERROR((AD523*(1-Settings!$H$17)-C523)/(AD523*(1-Settings!$H$17)),"")</f>
        <v/>
      </c>
      <c r="AG523" s="151">
        <f>IFERROR(IF(AD523="","",IF(AD523&gt;=C523/(1-SKU_Base!AF523)/(1-Settings!$H$17),"OK",IF(AD523&gt;=C523/(1-SKU_Base!AM523)/(1-Settings!$H$17),"WARN","STOP"))),"")</f>
        <v/>
      </c>
    </row>
    <row r="524" ht="17" customHeight="1" s="179">
      <c r="A524" s="139">
        <f>SKU_Base!B524</f>
        <v/>
      </c>
      <c r="B524" s="139">
        <f>SKU_Base!C524</f>
        <v/>
      </c>
      <c r="C524" s="140">
        <f>IFERROR(SKU_Base!I524,"")</f>
        <v/>
      </c>
      <c r="D524" s="163">
        <f>IFERROR(SKU_Base!T524,"")</f>
        <v/>
      </c>
      <c r="E524" s="141">
        <f>IFERROR(SKU_Base!$U524,"")</f>
        <v/>
      </c>
      <c r="F524" s="158">
        <f>IFERROR(ROUND(D524*(1-CHOOSE(MATCH(IF($E524="","Основний",$E524),{"Трафіковий","Основний","Маржинальний","Сезонний","Стратегічний"},0),Settings!$B$78,Settings!$B$80,Settings!$B$82,Settings!$B$84,Settings!$B$86))/6,2)*6,"")</f>
        <v/>
      </c>
      <c r="G524" s="142">
        <f>IFERROR(CHOOSE(MATCH(IF($E524="","Основний",$E524),{"Трафіковий","Основний","Маржинальний","Сезонний","Стратегічний"},0),Settings!$B$78,Settings!$B$80,Settings!$B$82,Settings!$B$84,Settings!$B$86),"")</f>
        <v/>
      </c>
      <c r="H524" s="143">
        <f>IFERROR((F524*(1-Settings!$B$17)-C524)/(F524*(1-Settings!$B$17)),"")</f>
        <v/>
      </c>
      <c r="I524" s="149">
        <f>IFERROR(IF(F524="","",IF(F524&gt;=C524/(1-SKU_Base!Z524)/(1-Settings!$B$17),"OK",IF(F524&gt;=C524/(1-SKU_Base!AG524)/(1-Settings!$B$17),"WARN","STOP"))),"")</f>
        <v/>
      </c>
      <c r="J524" s="158">
        <f>IFERROR(ROUND(D524*(1-CHOOSE(MATCH(IF($E524="","Основний",$E524),{"Трафіковий","Основний","Маржинальний","Сезонний","Стратегічний"},0),Settings!$C$78,Settings!$C$80,Settings!$C$82,Settings!$C$84,Settings!$C$86))/6,2)*6,"")</f>
        <v/>
      </c>
      <c r="K524" s="142">
        <f>IFERROR(CHOOSE(MATCH(IF($E524="","Основний",$E524),{"Трафіковий","Основний","Маржинальний","Сезонний","Стратегічний"},0),Settings!$C$78,Settings!$C$80,Settings!$C$82,Settings!$C$84,Settings!$C$86),"")</f>
        <v/>
      </c>
      <c r="L524" s="143">
        <f>IFERROR((J524*(1-Settings!$C$17)-C524)/(J524*(1-Settings!$C$17)),"")</f>
        <v/>
      </c>
      <c r="M524" s="149">
        <f>IFERROR(IF(J524="","",IF(J524&gt;=C524/(1-SKU_Base!AA524)/(1-Settings!$C$17),"OK",IF(J524&gt;=C524/(1-SKU_Base!AH524)/(1-Settings!$C$17),"WARN","STOP"))),"")</f>
        <v/>
      </c>
      <c r="N524" s="159">
        <f>IFERROR(ROUND(D524*(1-CHOOSE(MATCH(IF($E524="","Основний",$E524),{"Трафіковий","Основний","Маржинальний","Сезонний","Стратегічний"},0),Settings!$D$78,Settings!$D$80,Settings!$D$82,Settings!$D$84,Settings!$D$86))/6,2)*6,"")</f>
        <v/>
      </c>
      <c r="O524" s="142">
        <f>IFERROR(CHOOSE(MATCH(IF($E524="","Основний",$E524),{"Трафіковий","Основний","Маржинальний","Сезонний","Стратегічний"},0),Settings!$D$78,Settings!$D$80,Settings!$D$82,Settings!$D$84,Settings!$D$86),"")</f>
        <v/>
      </c>
      <c r="P524" s="143">
        <f>IFERROR((N524*(1-Settings!$D$17)-C524)/(N524*(1-Settings!$D$17)),"")</f>
        <v/>
      </c>
      <c r="Q524" s="149">
        <f>IFERROR(IF(N524="","",IF(N524&gt;=C524/(1-SKU_Base!AB524)/(1-Settings!$D$17),"OK",IF(N524&gt;=C524/(1-SKU_Base!AI524)/(1-Settings!$D$17),"WARN","STOP"))),"")</f>
        <v/>
      </c>
      <c r="R524" s="159">
        <f>IFERROR(ROUND(D524*(1-CHOOSE(MATCH(IF($E524="","Основний",$E524),{"Трафіковий","Основний","Маржинальний","Сезонний","Стратегічний"},0),Settings!$E$78,Settings!$E$80,Settings!$E$82,Settings!$E$84,Settings!$E$86))/6,2)*6,"")</f>
        <v/>
      </c>
      <c r="S524" s="142">
        <f>IFERROR(CHOOSE(MATCH(IF($E524="","Основний",$E524),{"Трафіковий","Основний","Маржинальний","Сезонний","Стратегічний"},0),Settings!$E$78,Settings!$E$80,Settings!$E$82,Settings!$E$84,Settings!$E$86),"")</f>
        <v/>
      </c>
      <c r="T524" s="143">
        <f>IFERROR((R524*(1-Settings!$E$17)-C524)/(R524*(1-Settings!$E$17)),"")</f>
        <v/>
      </c>
      <c r="U524" s="149">
        <f>IFERROR(IF(R524="","",IF(R524&gt;=C524/(1-SKU_Base!AC524)/(1-Settings!$E$17),"OK",IF(R524&gt;=C524/(1-SKU_Base!AJ524)/(1-Settings!$E$17),"WARN","STOP"))),"")</f>
        <v/>
      </c>
      <c r="V524" s="159">
        <f>IFERROR(ROUND(D524*(1-CHOOSE(MATCH(IF($E524="","Основний",$E524),{"Трафіковий","Основний","Маржинальний","Сезонний","Стратегічний"},0),Settings!$F$78,Settings!$F$80,Settings!$F$82,Settings!$F$84,Settings!$F$86))/6,2)*6,"")</f>
        <v/>
      </c>
      <c r="W524" s="142">
        <f>IFERROR(CHOOSE(MATCH(IF($E524="","Основний",$E524),{"Трафіковий","Основний","Маржинальний","Сезонний","Стратегічний"},0),Settings!$F$78,Settings!$F$80,Settings!$F$82,Settings!$F$84,Settings!$F$86),"")</f>
        <v/>
      </c>
      <c r="X524" s="143">
        <f>IFERROR((V524*(1-Settings!$F$17)-C524)/(V524*(1-Settings!$F$17)),"")</f>
        <v/>
      </c>
      <c r="Y524" s="149">
        <f>IFERROR(IF(V524="","",IF(V524&gt;=C524/(1-SKU_Base!AD524)/(1-Settings!$F$17),"OK",IF(V524&gt;=C524/(1-SKU_Base!AK524)/(1-Settings!$F$17),"WARN","STOP"))),"")</f>
        <v/>
      </c>
      <c r="Z524" s="159">
        <f>IFERROR(ROUND(D524*(1-CHOOSE(MATCH(IF($E524="","Основний",$E524),{"Трафіковий","Основний","Маржинальний","Сезонний","Стратегічний"},0),Settings!$G$78,Settings!$G$80,Settings!$G$82,Settings!$G$84,Settings!$G$86))/6,2)*6,"")</f>
        <v/>
      </c>
      <c r="AA524" s="142">
        <f>IFERROR(CHOOSE(MATCH(IF($E524="","Основний",$E524),{"Трафіковий","Основний","Маржинальний","Сезонний","Стратегічний"},0),Settings!$G$78,Settings!$G$80,Settings!$G$82,Settings!$G$84,Settings!$G$86),"")</f>
        <v/>
      </c>
      <c r="AB524" s="143">
        <f>IFERROR((Z524*(1-Settings!$G$17)-C524)/(Z524*(1-Settings!$G$17)),"")</f>
        <v/>
      </c>
      <c r="AC524" s="149">
        <f>IFERROR(IF(Z524="","",IF(Z524&gt;=C524/(1-SKU_Base!AE524)/(1-Settings!$G$17),"OK",IF(Z524&gt;=C524/(1-SKU_Base!AL524)/(1-Settings!$G$17),"WARN","STOP"))),"")</f>
        <v/>
      </c>
      <c r="AD524" s="159">
        <f>IFERROR(ROUND(D524*(1-CHOOSE(MATCH(IF($E524="","Основний",$E524),{"Трафіковий","Основний","Маржинальний","Сезонний","Стратегічний"},0),Settings!$H$78,Settings!$H$80,Settings!$H$82,Settings!$H$84,Settings!$H$86))*(1-Settings!$H$68)/6,2)*6,"")</f>
        <v/>
      </c>
      <c r="AE524" s="142">
        <f>IFERROR(CHOOSE(MATCH(IF($E524="","Основний",$E524),{"Трафіковий","Основний","Маржинальний","Сезонний","Стратегічний"},0),Settings!$H$78,Settings!$H$80,Settings!$H$82,Settings!$H$84,Settings!$H$86)+(1-(CHOOSE(MATCH(IF($E524="","Основний",$E524),{"Трафіковий","Основний","Маржинальний","Сезонний","Стратегічний"},0),Settings!$H$78,Settings!$H$80,Settings!$H$82,Settings!$H$84,Settings!$H$86)))*Settings!$H$68,"")</f>
        <v/>
      </c>
      <c r="AF524" s="143">
        <f>IFERROR((AD524*(1-Settings!$H$17)-C524)/(AD524*(1-Settings!$H$17)),"")</f>
        <v/>
      </c>
      <c r="AG524" s="150">
        <f>IFERROR(IF(AD524="","",IF(AD524&gt;=C524/(1-SKU_Base!AF524)/(1-Settings!$H$17),"OK",IF(AD524&gt;=C524/(1-SKU_Base!AM524)/(1-Settings!$H$17),"WARN","STOP"))),"")</f>
        <v/>
      </c>
    </row>
    <row r="525" ht="17" customHeight="1" s="179">
      <c r="A525" s="146">
        <f>SKU_Base!B525</f>
        <v/>
      </c>
      <c r="B525" s="146">
        <f>SKU_Base!C525</f>
        <v/>
      </c>
      <c r="C525" s="147">
        <f>IFERROR(SKU_Base!I525,"")</f>
        <v/>
      </c>
      <c r="D525" s="164">
        <f>IFERROR(SKU_Base!T525,"")</f>
        <v/>
      </c>
      <c r="E525" s="141">
        <f>IFERROR(SKU_Base!$U525,"")</f>
        <v/>
      </c>
      <c r="F525" s="160">
        <f>IFERROR(ROUND(D525*(1-CHOOSE(MATCH(IF($E525="","Основний",$E525),{"Трафіковий","Основний","Маржинальний","Сезонний","Стратегічний"},0),Settings!$B$78,Settings!$B$80,Settings!$B$82,Settings!$B$84,Settings!$B$86))/6,2)*6,"")</f>
        <v/>
      </c>
      <c r="G525" s="142">
        <f>IFERROR(CHOOSE(MATCH(IF($E525="","Основний",$E525),{"Трафіковий","Основний","Маржинальний","Сезонний","Стратегічний"},0),Settings!$B$78,Settings!$B$80,Settings!$B$82,Settings!$B$84,Settings!$B$86),"")</f>
        <v/>
      </c>
      <c r="H525" s="148">
        <f>IFERROR((F525*(1-Settings!$B$17)-C525)/(F525*(1-Settings!$B$17)),"")</f>
        <v/>
      </c>
      <c r="I525" s="149">
        <f>IFERROR(IF(F525="","",IF(F525&gt;=C525/(1-SKU_Base!Z525)/(1-Settings!$B$17),"OK",IF(F525&gt;=C525/(1-SKU_Base!AG525)/(1-Settings!$B$17),"WARN","STOP"))),"")</f>
        <v/>
      </c>
      <c r="J525" s="160">
        <f>IFERROR(ROUND(D525*(1-CHOOSE(MATCH(IF($E525="","Основний",$E525),{"Трафіковий","Основний","Маржинальний","Сезонний","Стратегічний"},0),Settings!$C$78,Settings!$C$80,Settings!$C$82,Settings!$C$84,Settings!$C$86))/6,2)*6,"")</f>
        <v/>
      </c>
      <c r="K525" s="142">
        <f>IFERROR(CHOOSE(MATCH(IF($E525="","Основний",$E525),{"Трафіковий","Основний","Маржинальний","Сезонний","Стратегічний"},0),Settings!$C$78,Settings!$C$80,Settings!$C$82,Settings!$C$84,Settings!$C$86),"")</f>
        <v/>
      </c>
      <c r="L525" s="148">
        <f>IFERROR((J525*(1-Settings!$C$17)-C525)/(J525*(1-Settings!$C$17)),"")</f>
        <v/>
      </c>
      <c r="M525" s="149">
        <f>IFERROR(IF(J525="","",IF(J525&gt;=C525/(1-SKU_Base!AA525)/(1-Settings!$C$17),"OK",IF(J525&gt;=C525/(1-SKU_Base!AH525)/(1-Settings!$C$17),"WARN","STOP"))),"")</f>
        <v/>
      </c>
      <c r="N525" s="161">
        <f>IFERROR(ROUND(D525*(1-CHOOSE(MATCH(IF($E525="","Основний",$E525),{"Трафіковий","Основний","Маржинальний","Сезонний","Стратегічний"},0),Settings!$D$78,Settings!$D$80,Settings!$D$82,Settings!$D$84,Settings!$D$86))/6,2)*6,"")</f>
        <v/>
      </c>
      <c r="O525" s="142">
        <f>IFERROR(CHOOSE(MATCH(IF($E525="","Основний",$E525),{"Трафіковий","Основний","Маржинальний","Сезонний","Стратегічний"},0),Settings!$D$78,Settings!$D$80,Settings!$D$82,Settings!$D$84,Settings!$D$86),"")</f>
        <v/>
      </c>
      <c r="P525" s="148">
        <f>IFERROR((N525*(1-Settings!$D$17)-C525)/(N525*(1-Settings!$D$17)),"")</f>
        <v/>
      </c>
      <c r="Q525" s="149">
        <f>IFERROR(IF(N525="","",IF(N525&gt;=C525/(1-SKU_Base!AB525)/(1-Settings!$D$17),"OK",IF(N525&gt;=C525/(1-SKU_Base!AI525)/(1-Settings!$D$17),"WARN","STOP"))),"")</f>
        <v/>
      </c>
      <c r="R525" s="161">
        <f>IFERROR(ROUND(D525*(1-CHOOSE(MATCH(IF($E525="","Основний",$E525),{"Трафіковий","Основний","Маржинальний","Сезонний","Стратегічний"},0),Settings!$E$78,Settings!$E$80,Settings!$E$82,Settings!$E$84,Settings!$E$86))/6,2)*6,"")</f>
        <v/>
      </c>
      <c r="S525" s="142">
        <f>IFERROR(CHOOSE(MATCH(IF($E525="","Основний",$E525),{"Трафіковий","Основний","Маржинальний","Сезонний","Стратегічний"},0),Settings!$E$78,Settings!$E$80,Settings!$E$82,Settings!$E$84,Settings!$E$86),"")</f>
        <v/>
      </c>
      <c r="T525" s="148">
        <f>IFERROR((R525*(1-Settings!$E$17)-C525)/(R525*(1-Settings!$E$17)),"")</f>
        <v/>
      </c>
      <c r="U525" s="149">
        <f>IFERROR(IF(R525="","",IF(R525&gt;=C525/(1-SKU_Base!AC525)/(1-Settings!$E$17),"OK",IF(R525&gt;=C525/(1-SKU_Base!AJ525)/(1-Settings!$E$17),"WARN","STOP"))),"")</f>
        <v/>
      </c>
      <c r="V525" s="161">
        <f>IFERROR(ROUND(D525*(1-CHOOSE(MATCH(IF($E525="","Основний",$E525),{"Трафіковий","Основний","Маржинальний","Сезонний","Стратегічний"},0),Settings!$F$78,Settings!$F$80,Settings!$F$82,Settings!$F$84,Settings!$F$86))/6,2)*6,"")</f>
        <v/>
      </c>
      <c r="W525" s="142">
        <f>IFERROR(CHOOSE(MATCH(IF($E525="","Основний",$E525),{"Трафіковий","Основний","Маржинальний","Сезонний","Стратегічний"},0),Settings!$F$78,Settings!$F$80,Settings!$F$82,Settings!$F$84,Settings!$F$86),"")</f>
        <v/>
      </c>
      <c r="X525" s="148">
        <f>IFERROR((V525*(1-Settings!$F$17)-C525)/(V525*(1-Settings!$F$17)),"")</f>
        <v/>
      </c>
      <c r="Y525" s="149">
        <f>IFERROR(IF(V525="","",IF(V525&gt;=C525/(1-SKU_Base!AD525)/(1-Settings!$F$17),"OK",IF(V525&gt;=C525/(1-SKU_Base!AK525)/(1-Settings!$F$17),"WARN","STOP"))),"")</f>
        <v/>
      </c>
      <c r="Z525" s="161">
        <f>IFERROR(ROUND(D525*(1-CHOOSE(MATCH(IF($E525="","Основний",$E525),{"Трафіковий","Основний","Маржинальний","Сезонний","Стратегічний"},0),Settings!$G$78,Settings!$G$80,Settings!$G$82,Settings!$G$84,Settings!$G$86))/6,2)*6,"")</f>
        <v/>
      </c>
      <c r="AA525" s="142">
        <f>IFERROR(CHOOSE(MATCH(IF($E525="","Основний",$E525),{"Трафіковий","Основний","Маржинальний","Сезонний","Стратегічний"},0),Settings!$G$78,Settings!$G$80,Settings!$G$82,Settings!$G$84,Settings!$G$86),"")</f>
        <v/>
      </c>
      <c r="AB525" s="148">
        <f>IFERROR((Z525*(1-Settings!$G$17)-C525)/(Z525*(1-Settings!$G$17)),"")</f>
        <v/>
      </c>
      <c r="AC525" s="149">
        <f>IFERROR(IF(Z525="","",IF(Z525&gt;=C525/(1-SKU_Base!AE525)/(1-Settings!$G$17),"OK",IF(Z525&gt;=C525/(1-SKU_Base!AL525)/(1-Settings!$G$17),"WARN","STOP"))),"")</f>
        <v/>
      </c>
      <c r="AD525" s="161">
        <f>IFERROR(ROUND(D525*(1-CHOOSE(MATCH(IF($E525="","Основний",$E525),{"Трафіковий","Основний","Маржинальний","Сезонний","Стратегічний"},0),Settings!$H$78,Settings!$H$80,Settings!$H$82,Settings!$H$84,Settings!$H$86))*(1-Settings!$H$68)/6,2)*6,"")</f>
        <v/>
      </c>
      <c r="AE525" s="142">
        <f>IFERROR(CHOOSE(MATCH(IF($E525="","Основний",$E525),{"Трафіковий","Основний","Маржинальний","Сезонний","Стратегічний"},0),Settings!$H$78,Settings!$H$80,Settings!$H$82,Settings!$H$84,Settings!$H$86)+(1-(CHOOSE(MATCH(IF($E525="","Основний",$E525),{"Трафіковий","Основний","Маржинальний","Сезонний","Стратегічний"},0),Settings!$H$78,Settings!$H$80,Settings!$H$82,Settings!$H$84,Settings!$H$86)))*Settings!$H$68,"")</f>
        <v/>
      </c>
      <c r="AF525" s="148">
        <f>IFERROR((AD525*(1-Settings!$H$17)-C525)/(AD525*(1-Settings!$H$17)),"")</f>
        <v/>
      </c>
      <c r="AG525" s="150">
        <f>IFERROR(IF(AD525="","",IF(AD525&gt;=C525/(1-SKU_Base!AF525)/(1-Settings!$H$17),"OK",IF(AD525&gt;=C525/(1-SKU_Base!AM525)/(1-Settings!$H$17),"WARN","STOP"))),"")</f>
        <v/>
      </c>
    </row>
    <row r="526" ht="17" customHeight="1" s="179">
      <c r="A526" s="139">
        <f>SKU_Base!B526</f>
        <v/>
      </c>
      <c r="B526" s="139">
        <f>SKU_Base!C526</f>
        <v/>
      </c>
      <c r="C526" s="140">
        <f>IFERROR(SKU_Base!I526,"")</f>
        <v/>
      </c>
      <c r="D526" s="163">
        <f>IFERROR(SKU_Base!T526,"")</f>
        <v/>
      </c>
      <c r="E526" s="141">
        <f>IFERROR(SKU_Base!$U526,"")</f>
        <v/>
      </c>
      <c r="F526" s="158">
        <f>IFERROR(ROUND(D526*(1-CHOOSE(MATCH(IF($E526="","Основний",$E526),{"Трафіковий","Основний","Маржинальний","Сезонний","Стратегічний"},0),Settings!$B$78,Settings!$B$80,Settings!$B$82,Settings!$B$84,Settings!$B$86))/6,2)*6,"")</f>
        <v/>
      </c>
      <c r="G526" s="142">
        <f>IFERROR(CHOOSE(MATCH(IF($E526="","Основний",$E526),{"Трафіковий","Основний","Маржинальний","Сезонний","Стратегічний"},0),Settings!$B$78,Settings!$B$80,Settings!$B$82,Settings!$B$84,Settings!$B$86),"")</f>
        <v/>
      </c>
      <c r="H526" s="143">
        <f>IFERROR((F526*(1-Settings!$B$17)-C526)/(F526*(1-Settings!$B$17)),"")</f>
        <v/>
      </c>
      <c r="I526" s="149">
        <f>IFERROR(IF(F526="","",IF(F526&gt;=C526/(1-SKU_Base!Z526)/(1-Settings!$B$17),"OK",IF(F526&gt;=C526/(1-SKU_Base!AG526)/(1-Settings!$B$17),"WARN","STOP"))),"")</f>
        <v/>
      </c>
      <c r="J526" s="158">
        <f>IFERROR(ROUND(D526*(1-CHOOSE(MATCH(IF($E526="","Основний",$E526),{"Трафіковий","Основний","Маржинальний","Сезонний","Стратегічний"},0),Settings!$C$78,Settings!$C$80,Settings!$C$82,Settings!$C$84,Settings!$C$86))/6,2)*6,"")</f>
        <v/>
      </c>
      <c r="K526" s="142">
        <f>IFERROR(CHOOSE(MATCH(IF($E526="","Основний",$E526),{"Трафіковий","Основний","Маржинальний","Сезонний","Стратегічний"},0),Settings!$C$78,Settings!$C$80,Settings!$C$82,Settings!$C$84,Settings!$C$86),"")</f>
        <v/>
      </c>
      <c r="L526" s="143">
        <f>IFERROR((J526*(1-Settings!$C$17)-C526)/(J526*(1-Settings!$C$17)),"")</f>
        <v/>
      </c>
      <c r="M526" s="149">
        <f>IFERROR(IF(J526="","",IF(J526&gt;=C526/(1-SKU_Base!AA526)/(1-Settings!$C$17),"OK",IF(J526&gt;=C526/(1-SKU_Base!AH526)/(1-Settings!$C$17),"WARN","STOP"))),"")</f>
        <v/>
      </c>
      <c r="N526" s="159">
        <f>IFERROR(ROUND(D526*(1-CHOOSE(MATCH(IF($E526="","Основний",$E526),{"Трафіковий","Основний","Маржинальний","Сезонний","Стратегічний"},0),Settings!$D$78,Settings!$D$80,Settings!$D$82,Settings!$D$84,Settings!$D$86))/6,2)*6,"")</f>
        <v/>
      </c>
      <c r="O526" s="142">
        <f>IFERROR(CHOOSE(MATCH(IF($E526="","Основний",$E526),{"Трафіковий","Основний","Маржинальний","Сезонний","Стратегічний"},0),Settings!$D$78,Settings!$D$80,Settings!$D$82,Settings!$D$84,Settings!$D$86),"")</f>
        <v/>
      </c>
      <c r="P526" s="143">
        <f>IFERROR((N526*(1-Settings!$D$17)-C526)/(N526*(1-Settings!$D$17)),"")</f>
        <v/>
      </c>
      <c r="Q526" s="149">
        <f>IFERROR(IF(N526="","",IF(N526&gt;=C526/(1-SKU_Base!AB526)/(1-Settings!$D$17),"OK",IF(N526&gt;=C526/(1-SKU_Base!AI526)/(1-Settings!$D$17),"WARN","STOP"))),"")</f>
        <v/>
      </c>
      <c r="R526" s="159">
        <f>IFERROR(ROUND(D526*(1-CHOOSE(MATCH(IF($E526="","Основний",$E526),{"Трафіковий","Основний","Маржинальний","Сезонний","Стратегічний"},0),Settings!$E$78,Settings!$E$80,Settings!$E$82,Settings!$E$84,Settings!$E$86))/6,2)*6,"")</f>
        <v/>
      </c>
      <c r="S526" s="142">
        <f>IFERROR(CHOOSE(MATCH(IF($E526="","Основний",$E526),{"Трафіковий","Основний","Маржинальний","Сезонний","Стратегічний"},0),Settings!$E$78,Settings!$E$80,Settings!$E$82,Settings!$E$84,Settings!$E$86),"")</f>
        <v/>
      </c>
      <c r="T526" s="143">
        <f>IFERROR((R526*(1-Settings!$E$17)-C526)/(R526*(1-Settings!$E$17)),"")</f>
        <v/>
      </c>
      <c r="U526" s="149">
        <f>IFERROR(IF(R526="","",IF(R526&gt;=C526/(1-SKU_Base!AC526)/(1-Settings!$E$17),"OK",IF(R526&gt;=C526/(1-SKU_Base!AJ526)/(1-Settings!$E$17),"WARN","STOP"))),"")</f>
        <v/>
      </c>
      <c r="V526" s="159">
        <f>IFERROR(ROUND(D526*(1-CHOOSE(MATCH(IF($E526="","Основний",$E526),{"Трафіковий","Основний","Маржинальний","Сезонний","Стратегічний"},0),Settings!$F$78,Settings!$F$80,Settings!$F$82,Settings!$F$84,Settings!$F$86))/6,2)*6,"")</f>
        <v/>
      </c>
      <c r="W526" s="142">
        <f>IFERROR(CHOOSE(MATCH(IF($E526="","Основний",$E526),{"Трафіковий","Основний","Маржинальний","Сезонний","Стратегічний"},0),Settings!$F$78,Settings!$F$80,Settings!$F$82,Settings!$F$84,Settings!$F$86),"")</f>
        <v/>
      </c>
      <c r="X526" s="143">
        <f>IFERROR((V526*(1-Settings!$F$17)-C526)/(V526*(1-Settings!$F$17)),"")</f>
        <v/>
      </c>
      <c r="Y526" s="149">
        <f>IFERROR(IF(V526="","",IF(V526&gt;=C526/(1-SKU_Base!AD526)/(1-Settings!$F$17),"OK",IF(V526&gt;=C526/(1-SKU_Base!AK526)/(1-Settings!$F$17),"WARN","STOP"))),"")</f>
        <v/>
      </c>
      <c r="Z526" s="159">
        <f>IFERROR(ROUND(D526*(1-CHOOSE(MATCH(IF($E526="","Основний",$E526),{"Трафіковий","Основний","Маржинальний","Сезонний","Стратегічний"},0),Settings!$G$78,Settings!$G$80,Settings!$G$82,Settings!$G$84,Settings!$G$86))/6,2)*6,"")</f>
        <v/>
      </c>
      <c r="AA526" s="142">
        <f>IFERROR(CHOOSE(MATCH(IF($E526="","Основний",$E526),{"Трафіковий","Основний","Маржинальний","Сезонний","Стратегічний"},0),Settings!$G$78,Settings!$G$80,Settings!$G$82,Settings!$G$84,Settings!$G$86),"")</f>
        <v/>
      </c>
      <c r="AB526" s="143">
        <f>IFERROR((Z526*(1-Settings!$G$17)-C526)/(Z526*(1-Settings!$G$17)),"")</f>
        <v/>
      </c>
      <c r="AC526" s="149">
        <f>IFERROR(IF(Z526="","",IF(Z526&gt;=C526/(1-SKU_Base!AE526)/(1-Settings!$G$17),"OK",IF(Z526&gt;=C526/(1-SKU_Base!AL526)/(1-Settings!$G$17),"WARN","STOP"))),"")</f>
        <v/>
      </c>
      <c r="AD526" s="159">
        <f>IFERROR(ROUND(D526*(1-CHOOSE(MATCH(IF($E526="","Основний",$E526),{"Трафіковий","Основний","Маржинальний","Сезонний","Стратегічний"},0),Settings!$H$78,Settings!$H$80,Settings!$H$82,Settings!$H$84,Settings!$H$86))*(1-Settings!$H$68)/6,2)*6,"")</f>
        <v/>
      </c>
      <c r="AE526" s="142">
        <f>IFERROR(CHOOSE(MATCH(IF($E526="","Основний",$E526),{"Трафіковий","Основний","Маржинальний","Сезонний","Стратегічний"},0),Settings!$H$78,Settings!$H$80,Settings!$H$82,Settings!$H$84,Settings!$H$86)+(1-(CHOOSE(MATCH(IF($E526="","Основний",$E526),{"Трафіковий","Основний","Маржинальний","Сезонний","Стратегічний"},0),Settings!$H$78,Settings!$H$80,Settings!$H$82,Settings!$H$84,Settings!$H$86)))*Settings!$H$68,"")</f>
        <v/>
      </c>
      <c r="AF526" s="143">
        <f>IFERROR((AD526*(1-Settings!$H$17)-C526)/(AD526*(1-Settings!$H$17)),"")</f>
        <v/>
      </c>
      <c r="AG526" s="150">
        <f>IFERROR(IF(AD526="","",IF(AD526&gt;=C526/(1-SKU_Base!AF526)/(1-Settings!$H$17),"OK",IF(AD526&gt;=C526/(1-SKU_Base!AM526)/(1-Settings!$H$17),"WARN","STOP"))),"")</f>
        <v/>
      </c>
    </row>
    <row r="527" ht="17" customHeight="1" s="179">
      <c r="A527" s="146">
        <f>SKU_Base!B527</f>
        <v/>
      </c>
      <c r="B527" s="146">
        <f>SKU_Base!C527</f>
        <v/>
      </c>
      <c r="C527" s="147">
        <f>IFERROR(SKU_Base!I527,"")</f>
        <v/>
      </c>
      <c r="D527" s="164">
        <f>IFERROR(SKU_Base!T527,"")</f>
        <v/>
      </c>
      <c r="E527" s="141">
        <f>IFERROR(SKU_Base!$U527,"")</f>
        <v/>
      </c>
      <c r="F527" s="160">
        <f>IFERROR(ROUND(D527*(1-CHOOSE(MATCH(IF($E527="","Основний",$E527),{"Трафіковий","Основний","Маржинальний","Сезонний","Стратегічний"},0),Settings!$B$78,Settings!$B$80,Settings!$B$82,Settings!$B$84,Settings!$B$86))/6,2)*6,"")</f>
        <v/>
      </c>
      <c r="G527" s="142">
        <f>IFERROR(CHOOSE(MATCH(IF($E527="","Основний",$E527),{"Трафіковий","Основний","Маржинальний","Сезонний","Стратегічний"},0),Settings!$B$78,Settings!$B$80,Settings!$B$82,Settings!$B$84,Settings!$B$86),"")</f>
        <v/>
      </c>
      <c r="H527" s="148">
        <f>IFERROR((F527*(1-Settings!$B$17)-C527)/(F527*(1-Settings!$B$17)),"")</f>
        <v/>
      </c>
      <c r="I527" s="149">
        <f>IFERROR(IF(F527="","",IF(F527&gt;=C527/(1-SKU_Base!Z527)/(1-Settings!$B$17),"OK",IF(F527&gt;=C527/(1-SKU_Base!AG527)/(1-Settings!$B$17),"WARN","STOP"))),"")</f>
        <v/>
      </c>
      <c r="J527" s="160">
        <f>IFERROR(ROUND(D527*(1-CHOOSE(MATCH(IF($E527="","Основний",$E527),{"Трафіковий","Основний","Маржинальний","Сезонний","Стратегічний"},0),Settings!$C$78,Settings!$C$80,Settings!$C$82,Settings!$C$84,Settings!$C$86))/6,2)*6,"")</f>
        <v/>
      </c>
      <c r="K527" s="142">
        <f>IFERROR(CHOOSE(MATCH(IF($E527="","Основний",$E527),{"Трафіковий","Основний","Маржинальний","Сезонний","Стратегічний"},0),Settings!$C$78,Settings!$C$80,Settings!$C$82,Settings!$C$84,Settings!$C$86),"")</f>
        <v/>
      </c>
      <c r="L527" s="148">
        <f>IFERROR((J527*(1-Settings!$C$17)-C527)/(J527*(1-Settings!$C$17)),"")</f>
        <v/>
      </c>
      <c r="M527" s="149">
        <f>IFERROR(IF(J527="","",IF(J527&gt;=C527/(1-SKU_Base!AA527)/(1-Settings!$C$17),"OK",IF(J527&gt;=C527/(1-SKU_Base!AH527)/(1-Settings!$C$17),"WARN","STOP"))),"")</f>
        <v/>
      </c>
      <c r="N527" s="161">
        <f>IFERROR(ROUND(D527*(1-CHOOSE(MATCH(IF($E527="","Основний",$E527),{"Трафіковий","Основний","Маржинальний","Сезонний","Стратегічний"},0),Settings!$D$78,Settings!$D$80,Settings!$D$82,Settings!$D$84,Settings!$D$86))/6,2)*6,"")</f>
        <v/>
      </c>
      <c r="O527" s="142">
        <f>IFERROR(CHOOSE(MATCH(IF($E527="","Основний",$E527),{"Трафіковий","Основний","Маржинальний","Сезонний","Стратегічний"},0),Settings!$D$78,Settings!$D$80,Settings!$D$82,Settings!$D$84,Settings!$D$86),"")</f>
        <v/>
      </c>
      <c r="P527" s="148">
        <f>IFERROR((N527*(1-Settings!$D$17)-C527)/(N527*(1-Settings!$D$17)),"")</f>
        <v/>
      </c>
      <c r="Q527" s="149">
        <f>IFERROR(IF(N527="","",IF(N527&gt;=C527/(1-SKU_Base!AB527)/(1-Settings!$D$17),"OK",IF(N527&gt;=C527/(1-SKU_Base!AI527)/(1-Settings!$D$17),"WARN","STOP"))),"")</f>
        <v/>
      </c>
      <c r="R527" s="161">
        <f>IFERROR(ROUND(D527*(1-CHOOSE(MATCH(IF($E527="","Основний",$E527),{"Трафіковий","Основний","Маржинальний","Сезонний","Стратегічний"},0),Settings!$E$78,Settings!$E$80,Settings!$E$82,Settings!$E$84,Settings!$E$86))/6,2)*6,"")</f>
        <v/>
      </c>
      <c r="S527" s="142">
        <f>IFERROR(CHOOSE(MATCH(IF($E527="","Основний",$E527),{"Трафіковий","Основний","Маржинальний","Сезонний","Стратегічний"},0),Settings!$E$78,Settings!$E$80,Settings!$E$82,Settings!$E$84,Settings!$E$86),"")</f>
        <v/>
      </c>
      <c r="T527" s="148">
        <f>IFERROR((R527*(1-Settings!$E$17)-C527)/(R527*(1-Settings!$E$17)),"")</f>
        <v/>
      </c>
      <c r="U527" s="149">
        <f>IFERROR(IF(R527="","",IF(R527&gt;=C527/(1-SKU_Base!AC527)/(1-Settings!$E$17),"OK",IF(R527&gt;=C527/(1-SKU_Base!AJ527)/(1-Settings!$E$17),"WARN","STOP"))),"")</f>
        <v/>
      </c>
      <c r="V527" s="161">
        <f>IFERROR(ROUND(D527*(1-CHOOSE(MATCH(IF($E527="","Основний",$E527),{"Трафіковий","Основний","Маржинальний","Сезонний","Стратегічний"},0),Settings!$F$78,Settings!$F$80,Settings!$F$82,Settings!$F$84,Settings!$F$86))/6,2)*6,"")</f>
        <v/>
      </c>
      <c r="W527" s="142">
        <f>IFERROR(CHOOSE(MATCH(IF($E527="","Основний",$E527),{"Трафіковий","Основний","Маржинальний","Сезонний","Стратегічний"},0),Settings!$F$78,Settings!$F$80,Settings!$F$82,Settings!$F$84,Settings!$F$86),"")</f>
        <v/>
      </c>
      <c r="X527" s="148">
        <f>IFERROR((V527*(1-Settings!$F$17)-C527)/(V527*(1-Settings!$F$17)),"")</f>
        <v/>
      </c>
      <c r="Y527" s="149">
        <f>IFERROR(IF(V527="","",IF(V527&gt;=C527/(1-SKU_Base!AD527)/(1-Settings!$F$17),"OK",IF(V527&gt;=C527/(1-SKU_Base!AK527)/(1-Settings!$F$17),"WARN","STOP"))),"")</f>
        <v/>
      </c>
      <c r="Z527" s="161">
        <f>IFERROR(ROUND(D527*(1-CHOOSE(MATCH(IF($E527="","Основний",$E527),{"Трафіковий","Основний","Маржинальний","Сезонний","Стратегічний"},0),Settings!$G$78,Settings!$G$80,Settings!$G$82,Settings!$G$84,Settings!$G$86))/6,2)*6,"")</f>
        <v/>
      </c>
      <c r="AA527" s="142">
        <f>IFERROR(CHOOSE(MATCH(IF($E527="","Основний",$E527),{"Трафіковий","Основний","Маржинальний","Сезонний","Стратегічний"},0),Settings!$G$78,Settings!$G$80,Settings!$G$82,Settings!$G$84,Settings!$G$86),"")</f>
        <v/>
      </c>
      <c r="AB527" s="148">
        <f>IFERROR((Z527*(1-Settings!$G$17)-C527)/(Z527*(1-Settings!$G$17)),"")</f>
        <v/>
      </c>
      <c r="AC527" s="149">
        <f>IFERROR(IF(Z527="","",IF(Z527&gt;=C527/(1-SKU_Base!AE527)/(1-Settings!$G$17),"OK",IF(Z527&gt;=C527/(1-SKU_Base!AL527)/(1-Settings!$G$17),"WARN","STOP"))),"")</f>
        <v/>
      </c>
      <c r="AD527" s="161">
        <f>IFERROR(ROUND(D527*(1-CHOOSE(MATCH(IF($E527="","Основний",$E527),{"Трафіковий","Основний","Маржинальний","Сезонний","Стратегічний"},0),Settings!$H$78,Settings!$H$80,Settings!$H$82,Settings!$H$84,Settings!$H$86))*(1-Settings!$H$68)/6,2)*6,"")</f>
        <v/>
      </c>
      <c r="AE527" s="142">
        <f>IFERROR(CHOOSE(MATCH(IF($E527="","Основний",$E527),{"Трафіковий","Основний","Маржинальний","Сезонний","Стратегічний"},0),Settings!$H$78,Settings!$H$80,Settings!$H$82,Settings!$H$84,Settings!$H$86)+(1-(CHOOSE(MATCH(IF($E527="","Основний",$E527),{"Трафіковий","Основний","Маржинальний","Сезонний","Стратегічний"},0),Settings!$H$78,Settings!$H$80,Settings!$H$82,Settings!$H$84,Settings!$H$86)))*Settings!$H$68,"")</f>
        <v/>
      </c>
      <c r="AF527" s="148">
        <f>IFERROR((AD527*(1-Settings!$H$17)-C527)/(AD527*(1-Settings!$H$17)),"")</f>
        <v/>
      </c>
      <c r="AG527" s="150">
        <f>IFERROR(IF(AD527="","",IF(AD527&gt;=C527/(1-SKU_Base!AF527)/(1-Settings!$H$17),"OK",IF(AD527&gt;=C527/(1-SKU_Base!AM527)/(1-Settings!$H$17),"WARN","STOP"))),"")</f>
        <v/>
      </c>
    </row>
    <row r="528" ht="17" customHeight="1" s="179">
      <c r="A528" s="139">
        <f>SKU_Base!B528</f>
        <v/>
      </c>
      <c r="B528" s="139">
        <f>SKU_Base!C528</f>
        <v/>
      </c>
      <c r="C528" s="140">
        <f>IFERROR(SKU_Base!I528,"")</f>
        <v/>
      </c>
      <c r="D528" s="163">
        <f>IFERROR(SKU_Base!T528,"")</f>
        <v/>
      </c>
      <c r="E528" s="141">
        <f>IFERROR(SKU_Base!$U528,"")</f>
        <v/>
      </c>
      <c r="F528" s="158">
        <f>IFERROR(ROUND(D528*(1-CHOOSE(MATCH(IF($E528="","Основний",$E528),{"Трафіковий","Основний","Маржинальний","Сезонний","Стратегічний"},0),Settings!$B$78,Settings!$B$80,Settings!$B$82,Settings!$B$84,Settings!$B$86))/6,2)*6,"")</f>
        <v/>
      </c>
      <c r="G528" s="142">
        <f>IFERROR(CHOOSE(MATCH(IF($E528="","Основний",$E528),{"Трафіковий","Основний","Маржинальний","Сезонний","Стратегічний"},0),Settings!$B$78,Settings!$B$80,Settings!$B$82,Settings!$B$84,Settings!$B$86),"")</f>
        <v/>
      </c>
      <c r="H528" s="143">
        <f>IFERROR((F528*(1-Settings!$B$17)-C528)/(F528*(1-Settings!$B$17)),"")</f>
        <v/>
      </c>
      <c r="I528" s="149">
        <f>IFERROR(IF(F528="","",IF(F528&gt;=C528/(1-SKU_Base!Z528)/(1-Settings!$B$17),"OK",IF(F528&gt;=C528/(1-SKU_Base!AG528)/(1-Settings!$B$17),"WARN","STOP"))),"")</f>
        <v/>
      </c>
      <c r="J528" s="158">
        <f>IFERROR(ROUND(D528*(1-CHOOSE(MATCH(IF($E528="","Основний",$E528),{"Трафіковий","Основний","Маржинальний","Сезонний","Стратегічний"},0),Settings!$C$78,Settings!$C$80,Settings!$C$82,Settings!$C$84,Settings!$C$86))/6,2)*6,"")</f>
        <v/>
      </c>
      <c r="K528" s="142">
        <f>IFERROR(CHOOSE(MATCH(IF($E528="","Основний",$E528),{"Трафіковий","Основний","Маржинальний","Сезонний","Стратегічний"},0),Settings!$C$78,Settings!$C$80,Settings!$C$82,Settings!$C$84,Settings!$C$86),"")</f>
        <v/>
      </c>
      <c r="L528" s="143">
        <f>IFERROR((J528*(1-Settings!$C$17)-C528)/(J528*(1-Settings!$C$17)),"")</f>
        <v/>
      </c>
      <c r="M528" s="149">
        <f>IFERROR(IF(J528="","",IF(J528&gt;=C528/(1-SKU_Base!AA528)/(1-Settings!$C$17),"OK",IF(J528&gt;=C528/(1-SKU_Base!AH528)/(1-Settings!$C$17),"WARN","STOP"))),"")</f>
        <v/>
      </c>
      <c r="N528" s="159">
        <f>IFERROR(ROUND(D528*(1-CHOOSE(MATCH(IF($E528="","Основний",$E528),{"Трафіковий","Основний","Маржинальний","Сезонний","Стратегічний"},0),Settings!$D$78,Settings!$D$80,Settings!$D$82,Settings!$D$84,Settings!$D$86))/6,2)*6,"")</f>
        <v/>
      </c>
      <c r="O528" s="142">
        <f>IFERROR(CHOOSE(MATCH(IF($E528="","Основний",$E528),{"Трафіковий","Основний","Маржинальний","Сезонний","Стратегічний"},0),Settings!$D$78,Settings!$D$80,Settings!$D$82,Settings!$D$84,Settings!$D$86),"")</f>
        <v/>
      </c>
      <c r="P528" s="143">
        <f>IFERROR((N528*(1-Settings!$D$17)-C528)/(N528*(1-Settings!$D$17)),"")</f>
        <v/>
      </c>
      <c r="Q528" s="149">
        <f>IFERROR(IF(N528="","",IF(N528&gt;=C528/(1-SKU_Base!AB528)/(1-Settings!$D$17),"OK",IF(N528&gt;=C528/(1-SKU_Base!AI528)/(1-Settings!$D$17),"WARN","STOP"))),"")</f>
        <v/>
      </c>
      <c r="R528" s="159">
        <f>IFERROR(ROUND(D528*(1-CHOOSE(MATCH(IF($E528="","Основний",$E528),{"Трафіковий","Основний","Маржинальний","Сезонний","Стратегічний"},0),Settings!$E$78,Settings!$E$80,Settings!$E$82,Settings!$E$84,Settings!$E$86))/6,2)*6,"")</f>
        <v/>
      </c>
      <c r="S528" s="142">
        <f>IFERROR(CHOOSE(MATCH(IF($E528="","Основний",$E528),{"Трафіковий","Основний","Маржинальний","Сезонний","Стратегічний"},0),Settings!$E$78,Settings!$E$80,Settings!$E$82,Settings!$E$84,Settings!$E$86),"")</f>
        <v/>
      </c>
      <c r="T528" s="143">
        <f>IFERROR((R528*(1-Settings!$E$17)-C528)/(R528*(1-Settings!$E$17)),"")</f>
        <v/>
      </c>
      <c r="U528" s="149">
        <f>IFERROR(IF(R528="","",IF(R528&gt;=C528/(1-SKU_Base!AC528)/(1-Settings!$E$17),"OK",IF(R528&gt;=C528/(1-SKU_Base!AJ528)/(1-Settings!$E$17),"WARN","STOP"))),"")</f>
        <v/>
      </c>
      <c r="V528" s="159">
        <f>IFERROR(ROUND(D528*(1-CHOOSE(MATCH(IF($E528="","Основний",$E528),{"Трафіковий","Основний","Маржинальний","Сезонний","Стратегічний"},0),Settings!$F$78,Settings!$F$80,Settings!$F$82,Settings!$F$84,Settings!$F$86))/6,2)*6,"")</f>
        <v/>
      </c>
      <c r="W528" s="142">
        <f>IFERROR(CHOOSE(MATCH(IF($E528="","Основний",$E528),{"Трафіковий","Основний","Маржинальний","Сезонний","Стратегічний"},0),Settings!$F$78,Settings!$F$80,Settings!$F$82,Settings!$F$84,Settings!$F$86),"")</f>
        <v/>
      </c>
      <c r="X528" s="143">
        <f>IFERROR((V528*(1-Settings!$F$17)-C528)/(V528*(1-Settings!$F$17)),"")</f>
        <v/>
      </c>
      <c r="Y528" s="149">
        <f>IFERROR(IF(V528="","",IF(V528&gt;=C528/(1-SKU_Base!AD528)/(1-Settings!$F$17),"OK",IF(V528&gt;=C528/(1-SKU_Base!AK528)/(1-Settings!$F$17),"WARN","STOP"))),"")</f>
        <v/>
      </c>
      <c r="Z528" s="159">
        <f>IFERROR(ROUND(D528*(1-CHOOSE(MATCH(IF($E528="","Основний",$E528),{"Трафіковий","Основний","Маржинальний","Сезонний","Стратегічний"},0),Settings!$G$78,Settings!$G$80,Settings!$G$82,Settings!$G$84,Settings!$G$86))/6,2)*6,"")</f>
        <v/>
      </c>
      <c r="AA528" s="142">
        <f>IFERROR(CHOOSE(MATCH(IF($E528="","Основний",$E528),{"Трафіковий","Основний","Маржинальний","Сезонний","Стратегічний"},0),Settings!$G$78,Settings!$G$80,Settings!$G$82,Settings!$G$84,Settings!$G$86),"")</f>
        <v/>
      </c>
      <c r="AB528" s="143">
        <f>IFERROR((Z528*(1-Settings!$G$17)-C528)/(Z528*(1-Settings!$G$17)),"")</f>
        <v/>
      </c>
      <c r="AC528" s="149">
        <f>IFERROR(IF(Z528="","",IF(Z528&gt;=C528/(1-SKU_Base!AE528)/(1-Settings!$G$17),"OK",IF(Z528&gt;=C528/(1-SKU_Base!AL528)/(1-Settings!$G$17),"WARN","STOP"))),"")</f>
        <v/>
      </c>
      <c r="AD528" s="159">
        <f>IFERROR(ROUND(D528*(1-CHOOSE(MATCH(IF($E528="","Основний",$E528),{"Трафіковий","Основний","Маржинальний","Сезонний","Стратегічний"},0),Settings!$H$78,Settings!$H$80,Settings!$H$82,Settings!$H$84,Settings!$H$86))*(1-Settings!$H$68)/6,2)*6,"")</f>
        <v/>
      </c>
      <c r="AE528" s="142">
        <f>IFERROR(CHOOSE(MATCH(IF($E528="","Основний",$E528),{"Трафіковий","Основний","Маржинальний","Сезонний","Стратегічний"},0),Settings!$H$78,Settings!$H$80,Settings!$H$82,Settings!$H$84,Settings!$H$86)+(1-(CHOOSE(MATCH(IF($E528="","Основний",$E528),{"Трафіковий","Основний","Маржинальний","Сезонний","Стратегічний"},0),Settings!$H$78,Settings!$H$80,Settings!$H$82,Settings!$H$84,Settings!$H$86)))*Settings!$H$68,"")</f>
        <v/>
      </c>
      <c r="AF528" s="143">
        <f>IFERROR((AD528*(1-Settings!$H$17)-C528)/(AD528*(1-Settings!$H$17)),"")</f>
        <v/>
      </c>
      <c r="AG528" s="150">
        <f>IFERROR(IF(AD528="","",IF(AD528&gt;=C528/(1-SKU_Base!AF528)/(1-Settings!$H$17),"OK",IF(AD528&gt;=C528/(1-SKU_Base!AM528)/(1-Settings!$H$17),"WARN","STOP"))),"")</f>
        <v/>
      </c>
    </row>
    <row r="529" ht="17" customHeight="1" s="179">
      <c r="A529" s="146">
        <f>SKU_Base!B529</f>
        <v/>
      </c>
      <c r="B529" s="146">
        <f>SKU_Base!C529</f>
        <v/>
      </c>
      <c r="C529" s="147">
        <f>IFERROR(SKU_Base!I529,"")</f>
        <v/>
      </c>
      <c r="D529" s="164">
        <f>IFERROR(SKU_Base!T529,"")</f>
        <v/>
      </c>
      <c r="E529" s="141">
        <f>IFERROR(SKU_Base!$U529,"")</f>
        <v/>
      </c>
      <c r="F529" s="160">
        <f>IFERROR(ROUND(D529*(1-CHOOSE(MATCH(IF($E529="","Основний",$E529),{"Трафіковий","Основний","Маржинальний","Сезонний","Стратегічний"},0),Settings!$B$78,Settings!$B$80,Settings!$B$82,Settings!$B$84,Settings!$B$86))/6,2)*6,"")</f>
        <v/>
      </c>
      <c r="G529" s="142">
        <f>IFERROR(CHOOSE(MATCH(IF($E529="","Основний",$E529),{"Трафіковий","Основний","Маржинальний","Сезонний","Стратегічний"},0),Settings!$B$78,Settings!$B$80,Settings!$B$82,Settings!$B$84,Settings!$B$86),"")</f>
        <v/>
      </c>
      <c r="H529" s="148">
        <f>IFERROR((F529*(1-Settings!$B$17)-C529)/(F529*(1-Settings!$B$17)),"")</f>
        <v/>
      </c>
      <c r="I529" s="149">
        <f>IFERROR(IF(F529="","",IF(F529&gt;=C529/(1-SKU_Base!Z529)/(1-Settings!$B$17),"OK",IF(F529&gt;=C529/(1-SKU_Base!AG529)/(1-Settings!$B$17),"WARN","STOP"))),"")</f>
        <v/>
      </c>
      <c r="J529" s="160">
        <f>IFERROR(ROUND(D529*(1-CHOOSE(MATCH(IF($E529="","Основний",$E529),{"Трафіковий","Основний","Маржинальний","Сезонний","Стратегічний"},0),Settings!$C$78,Settings!$C$80,Settings!$C$82,Settings!$C$84,Settings!$C$86))/6,2)*6,"")</f>
        <v/>
      </c>
      <c r="K529" s="142">
        <f>IFERROR(CHOOSE(MATCH(IF($E529="","Основний",$E529),{"Трафіковий","Основний","Маржинальний","Сезонний","Стратегічний"},0),Settings!$C$78,Settings!$C$80,Settings!$C$82,Settings!$C$84,Settings!$C$86),"")</f>
        <v/>
      </c>
      <c r="L529" s="148">
        <f>IFERROR((J529*(1-Settings!$C$17)-C529)/(J529*(1-Settings!$C$17)),"")</f>
        <v/>
      </c>
      <c r="M529" s="149">
        <f>IFERROR(IF(J529="","",IF(J529&gt;=C529/(1-SKU_Base!AA529)/(1-Settings!$C$17),"OK",IF(J529&gt;=C529/(1-SKU_Base!AH529)/(1-Settings!$C$17),"WARN","STOP"))),"")</f>
        <v/>
      </c>
      <c r="N529" s="161">
        <f>IFERROR(ROUND(D529*(1-CHOOSE(MATCH(IF($E529="","Основний",$E529),{"Трафіковий","Основний","Маржинальний","Сезонний","Стратегічний"},0),Settings!$D$78,Settings!$D$80,Settings!$D$82,Settings!$D$84,Settings!$D$86))/6,2)*6,"")</f>
        <v/>
      </c>
      <c r="O529" s="142">
        <f>IFERROR(CHOOSE(MATCH(IF($E529="","Основний",$E529),{"Трафіковий","Основний","Маржинальний","Сезонний","Стратегічний"},0),Settings!$D$78,Settings!$D$80,Settings!$D$82,Settings!$D$84,Settings!$D$86),"")</f>
        <v/>
      </c>
      <c r="P529" s="148">
        <f>IFERROR((N529*(1-Settings!$D$17)-C529)/(N529*(1-Settings!$D$17)),"")</f>
        <v/>
      </c>
      <c r="Q529" s="149">
        <f>IFERROR(IF(N529="","",IF(N529&gt;=C529/(1-SKU_Base!AB529)/(1-Settings!$D$17),"OK",IF(N529&gt;=C529/(1-SKU_Base!AI529)/(1-Settings!$D$17),"WARN","STOP"))),"")</f>
        <v/>
      </c>
      <c r="R529" s="161">
        <f>IFERROR(ROUND(D529*(1-CHOOSE(MATCH(IF($E529="","Основний",$E529),{"Трафіковий","Основний","Маржинальний","Сезонний","Стратегічний"},0),Settings!$E$78,Settings!$E$80,Settings!$E$82,Settings!$E$84,Settings!$E$86))/6,2)*6,"")</f>
        <v/>
      </c>
      <c r="S529" s="142">
        <f>IFERROR(CHOOSE(MATCH(IF($E529="","Основний",$E529),{"Трафіковий","Основний","Маржинальний","Сезонний","Стратегічний"},0),Settings!$E$78,Settings!$E$80,Settings!$E$82,Settings!$E$84,Settings!$E$86),"")</f>
        <v/>
      </c>
      <c r="T529" s="148">
        <f>IFERROR((R529*(1-Settings!$E$17)-C529)/(R529*(1-Settings!$E$17)),"")</f>
        <v/>
      </c>
      <c r="U529" s="149">
        <f>IFERROR(IF(R529="","",IF(R529&gt;=C529/(1-SKU_Base!AC529)/(1-Settings!$E$17),"OK",IF(R529&gt;=C529/(1-SKU_Base!AJ529)/(1-Settings!$E$17),"WARN","STOP"))),"")</f>
        <v/>
      </c>
      <c r="V529" s="161">
        <f>IFERROR(ROUND(D529*(1-CHOOSE(MATCH(IF($E529="","Основний",$E529),{"Трафіковий","Основний","Маржинальний","Сезонний","Стратегічний"},0),Settings!$F$78,Settings!$F$80,Settings!$F$82,Settings!$F$84,Settings!$F$86))/6,2)*6,"")</f>
        <v/>
      </c>
      <c r="W529" s="142">
        <f>IFERROR(CHOOSE(MATCH(IF($E529="","Основний",$E529),{"Трафіковий","Основний","Маржинальний","Сезонний","Стратегічний"},0),Settings!$F$78,Settings!$F$80,Settings!$F$82,Settings!$F$84,Settings!$F$86),"")</f>
        <v/>
      </c>
      <c r="X529" s="148">
        <f>IFERROR((V529*(1-Settings!$F$17)-C529)/(V529*(1-Settings!$F$17)),"")</f>
        <v/>
      </c>
      <c r="Y529" s="149">
        <f>IFERROR(IF(V529="","",IF(V529&gt;=C529/(1-SKU_Base!AD529)/(1-Settings!$F$17),"OK",IF(V529&gt;=C529/(1-SKU_Base!AK529)/(1-Settings!$F$17),"WARN","STOP"))),"")</f>
        <v/>
      </c>
      <c r="Z529" s="161">
        <f>IFERROR(ROUND(D529*(1-CHOOSE(MATCH(IF($E529="","Основний",$E529),{"Трафіковий","Основний","Маржинальний","Сезонний","Стратегічний"},0),Settings!$G$78,Settings!$G$80,Settings!$G$82,Settings!$G$84,Settings!$G$86))/6,2)*6,"")</f>
        <v/>
      </c>
      <c r="AA529" s="142">
        <f>IFERROR(CHOOSE(MATCH(IF($E529="","Основний",$E529),{"Трафіковий","Основний","Маржинальний","Сезонний","Стратегічний"},0),Settings!$G$78,Settings!$G$80,Settings!$G$82,Settings!$G$84,Settings!$G$86),"")</f>
        <v/>
      </c>
      <c r="AB529" s="148">
        <f>IFERROR((Z529*(1-Settings!$G$17)-C529)/(Z529*(1-Settings!$G$17)),"")</f>
        <v/>
      </c>
      <c r="AC529" s="149">
        <f>IFERROR(IF(Z529="","",IF(Z529&gt;=C529/(1-SKU_Base!AE529)/(1-Settings!$G$17),"OK",IF(Z529&gt;=C529/(1-SKU_Base!AL529)/(1-Settings!$G$17),"WARN","STOP"))),"")</f>
        <v/>
      </c>
      <c r="AD529" s="161">
        <f>IFERROR(ROUND(D529*(1-CHOOSE(MATCH(IF($E529="","Основний",$E529),{"Трафіковий","Основний","Маржинальний","Сезонний","Стратегічний"},0),Settings!$H$78,Settings!$H$80,Settings!$H$82,Settings!$H$84,Settings!$H$86))*(1-Settings!$H$68)/6,2)*6,"")</f>
        <v/>
      </c>
      <c r="AE529" s="142">
        <f>IFERROR(CHOOSE(MATCH(IF($E529="","Основний",$E529),{"Трафіковий","Основний","Маржинальний","Сезонний","Стратегічний"},0),Settings!$H$78,Settings!$H$80,Settings!$H$82,Settings!$H$84,Settings!$H$86)+(1-(CHOOSE(MATCH(IF($E529="","Основний",$E529),{"Трафіковий","Основний","Маржинальний","Сезонний","Стратегічний"},0),Settings!$H$78,Settings!$H$80,Settings!$H$82,Settings!$H$84,Settings!$H$86)))*Settings!$H$68,"")</f>
        <v/>
      </c>
      <c r="AF529" s="148">
        <f>IFERROR((AD529*(1-Settings!$H$17)-C529)/(AD529*(1-Settings!$H$17)),"")</f>
        <v/>
      </c>
      <c r="AG529" s="150">
        <f>IFERROR(IF(AD529="","",IF(AD529&gt;=C529/(1-SKU_Base!AF529)/(1-Settings!$H$17),"OK",IF(AD529&gt;=C529/(1-SKU_Base!AM529)/(1-Settings!$H$17),"WARN","STOP"))),"")</f>
        <v/>
      </c>
    </row>
    <row r="530" ht="17" customHeight="1" s="179">
      <c r="A530" s="139">
        <f>SKU_Base!B530</f>
        <v/>
      </c>
      <c r="B530" s="139">
        <f>SKU_Base!C530</f>
        <v/>
      </c>
      <c r="C530" s="140">
        <f>IFERROR(SKU_Base!I530,"")</f>
        <v/>
      </c>
      <c r="D530" s="163">
        <f>IFERROR(SKU_Base!T530,"")</f>
        <v/>
      </c>
      <c r="E530" s="141">
        <f>IFERROR(SKU_Base!$U530,"")</f>
        <v/>
      </c>
      <c r="F530" s="158">
        <f>IFERROR(ROUND(D530*(1-CHOOSE(MATCH(IF($E530="","Основний",$E530),{"Трафіковий","Основний","Маржинальний","Сезонний","Стратегічний"},0),Settings!$B$78,Settings!$B$80,Settings!$B$82,Settings!$B$84,Settings!$B$86))/6,2)*6,"")</f>
        <v/>
      </c>
      <c r="G530" s="142">
        <f>IFERROR(CHOOSE(MATCH(IF($E530="","Основний",$E530),{"Трафіковий","Основний","Маржинальний","Сезонний","Стратегічний"},0),Settings!$B$78,Settings!$B$80,Settings!$B$82,Settings!$B$84,Settings!$B$86),"")</f>
        <v/>
      </c>
      <c r="H530" s="143">
        <f>IFERROR((F530*(1-Settings!$B$17)-C530)/(F530*(1-Settings!$B$17)),"")</f>
        <v/>
      </c>
      <c r="I530" s="149">
        <f>IFERROR(IF(F530="","",IF(F530&gt;=C530/(1-SKU_Base!Z530)/(1-Settings!$B$17),"OK",IF(F530&gt;=C530/(1-SKU_Base!AG530)/(1-Settings!$B$17),"WARN","STOP"))),"")</f>
        <v/>
      </c>
      <c r="J530" s="158">
        <f>IFERROR(ROUND(D530*(1-CHOOSE(MATCH(IF($E530="","Основний",$E530),{"Трафіковий","Основний","Маржинальний","Сезонний","Стратегічний"},0),Settings!$C$78,Settings!$C$80,Settings!$C$82,Settings!$C$84,Settings!$C$86))/6,2)*6,"")</f>
        <v/>
      </c>
      <c r="K530" s="142">
        <f>IFERROR(CHOOSE(MATCH(IF($E530="","Основний",$E530),{"Трафіковий","Основний","Маржинальний","Сезонний","Стратегічний"},0),Settings!$C$78,Settings!$C$80,Settings!$C$82,Settings!$C$84,Settings!$C$86),"")</f>
        <v/>
      </c>
      <c r="L530" s="143">
        <f>IFERROR((J530*(1-Settings!$C$17)-C530)/(J530*(1-Settings!$C$17)),"")</f>
        <v/>
      </c>
      <c r="M530" s="149">
        <f>IFERROR(IF(J530="","",IF(J530&gt;=C530/(1-SKU_Base!AA530)/(1-Settings!$C$17),"OK",IF(J530&gt;=C530/(1-SKU_Base!AH530)/(1-Settings!$C$17),"WARN","STOP"))),"")</f>
        <v/>
      </c>
      <c r="N530" s="159">
        <f>IFERROR(ROUND(D530*(1-CHOOSE(MATCH(IF($E530="","Основний",$E530),{"Трафіковий","Основний","Маржинальний","Сезонний","Стратегічний"},0),Settings!$D$78,Settings!$D$80,Settings!$D$82,Settings!$D$84,Settings!$D$86))/6,2)*6,"")</f>
        <v/>
      </c>
      <c r="O530" s="142">
        <f>IFERROR(CHOOSE(MATCH(IF($E530="","Основний",$E530),{"Трафіковий","Основний","Маржинальний","Сезонний","Стратегічний"},0),Settings!$D$78,Settings!$D$80,Settings!$D$82,Settings!$D$84,Settings!$D$86),"")</f>
        <v/>
      </c>
      <c r="P530" s="143">
        <f>IFERROR((N530*(1-Settings!$D$17)-C530)/(N530*(1-Settings!$D$17)),"")</f>
        <v/>
      </c>
      <c r="Q530" s="149">
        <f>IFERROR(IF(N530="","",IF(N530&gt;=C530/(1-SKU_Base!AB530)/(1-Settings!$D$17),"OK",IF(N530&gt;=C530/(1-SKU_Base!AI530)/(1-Settings!$D$17),"WARN","STOP"))),"")</f>
        <v/>
      </c>
      <c r="R530" s="159">
        <f>IFERROR(ROUND(D530*(1-CHOOSE(MATCH(IF($E530="","Основний",$E530),{"Трафіковий","Основний","Маржинальний","Сезонний","Стратегічний"},0),Settings!$E$78,Settings!$E$80,Settings!$E$82,Settings!$E$84,Settings!$E$86))/6,2)*6,"")</f>
        <v/>
      </c>
      <c r="S530" s="142">
        <f>IFERROR(CHOOSE(MATCH(IF($E530="","Основний",$E530),{"Трафіковий","Основний","Маржинальний","Сезонний","Стратегічний"},0),Settings!$E$78,Settings!$E$80,Settings!$E$82,Settings!$E$84,Settings!$E$86),"")</f>
        <v/>
      </c>
      <c r="T530" s="143">
        <f>IFERROR((R530*(1-Settings!$E$17)-C530)/(R530*(1-Settings!$E$17)),"")</f>
        <v/>
      </c>
      <c r="U530" s="149">
        <f>IFERROR(IF(R530="","",IF(R530&gt;=C530/(1-SKU_Base!AC530)/(1-Settings!$E$17),"OK",IF(R530&gt;=C530/(1-SKU_Base!AJ530)/(1-Settings!$E$17),"WARN","STOP"))),"")</f>
        <v/>
      </c>
      <c r="V530" s="159">
        <f>IFERROR(ROUND(D530*(1-CHOOSE(MATCH(IF($E530="","Основний",$E530),{"Трафіковий","Основний","Маржинальний","Сезонний","Стратегічний"},0),Settings!$F$78,Settings!$F$80,Settings!$F$82,Settings!$F$84,Settings!$F$86))/6,2)*6,"")</f>
        <v/>
      </c>
      <c r="W530" s="142">
        <f>IFERROR(CHOOSE(MATCH(IF($E530="","Основний",$E530),{"Трафіковий","Основний","Маржинальний","Сезонний","Стратегічний"},0),Settings!$F$78,Settings!$F$80,Settings!$F$82,Settings!$F$84,Settings!$F$86),"")</f>
        <v/>
      </c>
      <c r="X530" s="143">
        <f>IFERROR((V530*(1-Settings!$F$17)-C530)/(V530*(1-Settings!$F$17)),"")</f>
        <v/>
      </c>
      <c r="Y530" s="149">
        <f>IFERROR(IF(V530="","",IF(V530&gt;=C530/(1-SKU_Base!AD530)/(1-Settings!$F$17),"OK",IF(V530&gt;=C530/(1-SKU_Base!AK530)/(1-Settings!$F$17),"WARN","STOP"))),"")</f>
        <v/>
      </c>
      <c r="Z530" s="159">
        <f>IFERROR(ROUND(D530*(1-CHOOSE(MATCH(IF($E530="","Основний",$E530),{"Трафіковий","Основний","Маржинальний","Сезонний","Стратегічний"},0),Settings!$G$78,Settings!$G$80,Settings!$G$82,Settings!$G$84,Settings!$G$86))/6,2)*6,"")</f>
        <v/>
      </c>
      <c r="AA530" s="142">
        <f>IFERROR(CHOOSE(MATCH(IF($E530="","Основний",$E530),{"Трафіковий","Основний","Маржинальний","Сезонний","Стратегічний"},0),Settings!$G$78,Settings!$G$80,Settings!$G$82,Settings!$G$84,Settings!$G$86),"")</f>
        <v/>
      </c>
      <c r="AB530" s="143">
        <f>IFERROR((Z530*(1-Settings!$G$17)-C530)/(Z530*(1-Settings!$G$17)),"")</f>
        <v/>
      </c>
      <c r="AC530" s="149">
        <f>IFERROR(IF(Z530="","",IF(Z530&gt;=C530/(1-SKU_Base!AE530)/(1-Settings!$G$17),"OK",IF(Z530&gt;=C530/(1-SKU_Base!AL530)/(1-Settings!$G$17),"WARN","STOP"))),"")</f>
        <v/>
      </c>
      <c r="AD530" s="159">
        <f>IFERROR(ROUND(D530*(1-CHOOSE(MATCH(IF($E530="","Основний",$E530),{"Трафіковий","Основний","Маржинальний","Сезонний","Стратегічний"},0),Settings!$H$78,Settings!$H$80,Settings!$H$82,Settings!$H$84,Settings!$H$86))*(1-Settings!$H$68)/6,2)*6,"")</f>
        <v/>
      </c>
      <c r="AE530" s="142">
        <f>IFERROR(CHOOSE(MATCH(IF($E530="","Основний",$E530),{"Трафіковий","Основний","Маржинальний","Сезонний","Стратегічний"},0),Settings!$H$78,Settings!$H$80,Settings!$H$82,Settings!$H$84,Settings!$H$86)+(1-(CHOOSE(MATCH(IF($E530="","Основний",$E530),{"Трафіковий","Основний","Маржинальний","Сезонний","Стратегічний"},0),Settings!$H$78,Settings!$H$80,Settings!$H$82,Settings!$H$84,Settings!$H$86)))*Settings!$H$68,"")</f>
        <v/>
      </c>
      <c r="AF530" s="143">
        <f>IFERROR((AD530*(1-Settings!$H$17)-C530)/(AD530*(1-Settings!$H$17)),"")</f>
        <v/>
      </c>
      <c r="AG530" s="150">
        <f>IFERROR(IF(AD530="","",IF(AD530&gt;=C530/(1-SKU_Base!AF530)/(1-Settings!$H$17),"OK",IF(AD530&gt;=C530/(1-SKU_Base!AM530)/(1-Settings!$H$17),"WARN","STOP"))),"")</f>
        <v/>
      </c>
    </row>
    <row r="531" ht="17" customHeight="1" s="179">
      <c r="A531" s="146">
        <f>SKU_Base!B531</f>
        <v/>
      </c>
      <c r="B531" s="146">
        <f>SKU_Base!C531</f>
        <v/>
      </c>
      <c r="C531" s="147">
        <f>IFERROR(SKU_Base!I531,"")</f>
        <v/>
      </c>
      <c r="D531" s="164">
        <f>IFERROR(SKU_Base!T531,"")</f>
        <v/>
      </c>
      <c r="E531" s="141">
        <f>IFERROR(SKU_Base!$U531,"")</f>
        <v/>
      </c>
      <c r="F531" s="160">
        <f>IFERROR(ROUND(D531*(1-CHOOSE(MATCH(IF($E531="","Основний",$E531),{"Трафіковий","Основний","Маржинальний","Сезонний","Стратегічний"},0),Settings!$B$78,Settings!$B$80,Settings!$B$82,Settings!$B$84,Settings!$B$86))/6,2)*6,"")</f>
        <v/>
      </c>
      <c r="G531" s="142">
        <f>IFERROR(CHOOSE(MATCH(IF($E531="","Основний",$E531),{"Трафіковий","Основний","Маржинальний","Сезонний","Стратегічний"},0),Settings!$B$78,Settings!$B$80,Settings!$B$82,Settings!$B$84,Settings!$B$86),"")</f>
        <v/>
      </c>
      <c r="H531" s="148">
        <f>IFERROR((F531*(1-Settings!$B$17)-C531)/(F531*(1-Settings!$B$17)),"")</f>
        <v/>
      </c>
      <c r="I531" s="150">
        <f>IFERROR(IF(F531="","",IF(F531&gt;=C531/(1-SKU_Base!Z531)/(1-Settings!$B$17),"OK",IF(F531&gt;=C531/(1-SKU_Base!AG531)/(1-Settings!$B$17),"WARN","STOP"))),"")</f>
        <v/>
      </c>
      <c r="J531" s="160">
        <f>IFERROR(ROUND(D531*(1-CHOOSE(MATCH(IF($E531="","Основний",$E531),{"Трафіковий","Основний","Маржинальний","Сезонний","Стратегічний"},0),Settings!$C$78,Settings!$C$80,Settings!$C$82,Settings!$C$84,Settings!$C$86))/6,2)*6,"")</f>
        <v/>
      </c>
      <c r="K531" s="142">
        <f>IFERROR(CHOOSE(MATCH(IF($E531="","Основний",$E531),{"Трафіковий","Основний","Маржинальний","Сезонний","Стратегічний"},0),Settings!$C$78,Settings!$C$80,Settings!$C$82,Settings!$C$84,Settings!$C$86),"")</f>
        <v/>
      </c>
      <c r="L531" s="148">
        <f>IFERROR((J531*(1-Settings!$C$17)-C531)/(J531*(1-Settings!$C$17)),"")</f>
        <v/>
      </c>
      <c r="M531" s="149">
        <f>IFERROR(IF(J531="","",IF(J531&gt;=C531/(1-SKU_Base!AA531)/(1-Settings!$C$17),"OK",IF(J531&gt;=C531/(1-SKU_Base!AH531)/(1-Settings!$C$17),"WARN","STOP"))),"")</f>
        <v/>
      </c>
      <c r="N531" s="161">
        <f>IFERROR(ROUND(D531*(1-CHOOSE(MATCH(IF($E531="","Основний",$E531),{"Трафіковий","Основний","Маржинальний","Сезонний","Стратегічний"},0),Settings!$D$78,Settings!$D$80,Settings!$D$82,Settings!$D$84,Settings!$D$86))/6,2)*6,"")</f>
        <v/>
      </c>
      <c r="O531" s="142">
        <f>IFERROR(CHOOSE(MATCH(IF($E531="","Основний",$E531),{"Трафіковий","Основний","Маржинальний","Сезонний","Стратегічний"},0),Settings!$D$78,Settings!$D$80,Settings!$D$82,Settings!$D$84,Settings!$D$86),"")</f>
        <v/>
      </c>
      <c r="P531" s="148">
        <f>IFERROR((N531*(1-Settings!$D$17)-C531)/(N531*(1-Settings!$D$17)),"")</f>
        <v/>
      </c>
      <c r="Q531" s="149">
        <f>IFERROR(IF(N531="","",IF(N531&gt;=C531/(1-SKU_Base!AB531)/(1-Settings!$D$17),"OK",IF(N531&gt;=C531/(1-SKU_Base!AI531)/(1-Settings!$D$17),"WARN","STOP"))),"")</f>
        <v/>
      </c>
      <c r="R531" s="161">
        <f>IFERROR(ROUND(D531*(1-CHOOSE(MATCH(IF($E531="","Основний",$E531),{"Трафіковий","Основний","Маржинальний","Сезонний","Стратегічний"},0),Settings!$E$78,Settings!$E$80,Settings!$E$82,Settings!$E$84,Settings!$E$86))/6,2)*6,"")</f>
        <v/>
      </c>
      <c r="S531" s="142">
        <f>IFERROR(CHOOSE(MATCH(IF($E531="","Основний",$E531),{"Трафіковий","Основний","Маржинальний","Сезонний","Стратегічний"},0),Settings!$E$78,Settings!$E$80,Settings!$E$82,Settings!$E$84,Settings!$E$86),"")</f>
        <v/>
      </c>
      <c r="T531" s="148">
        <f>IFERROR((R531*(1-Settings!$E$17)-C531)/(R531*(1-Settings!$E$17)),"")</f>
        <v/>
      </c>
      <c r="U531" s="149">
        <f>IFERROR(IF(R531="","",IF(R531&gt;=C531/(1-SKU_Base!AC531)/(1-Settings!$E$17),"OK",IF(R531&gt;=C531/(1-SKU_Base!AJ531)/(1-Settings!$E$17),"WARN","STOP"))),"")</f>
        <v/>
      </c>
      <c r="V531" s="161">
        <f>IFERROR(ROUND(D531*(1-CHOOSE(MATCH(IF($E531="","Основний",$E531),{"Трафіковий","Основний","Маржинальний","Сезонний","Стратегічний"},0),Settings!$F$78,Settings!$F$80,Settings!$F$82,Settings!$F$84,Settings!$F$86))/6,2)*6,"")</f>
        <v/>
      </c>
      <c r="W531" s="142">
        <f>IFERROR(CHOOSE(MATCH(IF($E531="","Основний",$E531),{"Трафіковий","Основний","Маржинальний","Сезонний","Стратегічний"},0),Settings!$F$78,Settings!$F$80,Settings!$F$82,Settings!$F$84,Settings!$F$86),"")</f>
        <v/>
      </c>
      <c r="X531" s="148">
        <f>IFERROR((V531*(1-Settings!$F$17)-C531)/(V531*(1-Settings!$F$17)),"")</f>
        <v/>
      </c>
      <c r="Y531" s="149">
        <f>IFERROR(IF(V531="","",IF(V531&gt;=C531/(1-SKU_Base!AD531)/(1-Settings!$F$17),"OK",IF(V531&gt;=C531/(1-SKU_Base!AK531)/(1-Settings!$F$17),"WARN","STOP"))),"")</f>
        <v/>
      </c>
      <c r="Z531" s="161">
        <f>IFERROR(ROUND(D531*(1-CHOOSE(MATCH(IF($E531="","Основний",$E531),{"Трафіковий","Основний","Маржинальний","Сезонний","Стратегічний"},0),Settings!$G$78,Settings!$G$80,Settings!$G$82,Settings!$G$84,Settings!$G$86))/6,2)*6,"")</f>
        <v/>
      </c>
      <c r="AA531" s="142">
        <f>IFERROR(CHOOSE(MATCH(IF($E531="","Основний",$E531),{"Трафіковий","Основний","Маржинальний","Сезонний","Стратегічний"},0),Settings!$G$78,Settings!$G$80,Settings!$G$82,Settings!$G$84,Settings!$G$86),"")</f>
        <v/>
      </c>
      <c r="AB531" s="148">
        <f>IFERROR((Z531*(1-Settings!$G$17)-C531)/(Z531*(1-Settings!$G$17)),"")</f>
        <v/>
      </c>
      <c r="AC531" s="149">
        <f>IFERROR(IF(Z531="","",IF(Z531&gt;=C531/(1-SKU_Base!AE531)/(1-Settings!$G$17),"OK",IF(Z531&gt;=C531/(1-SKU_Base!AL531)/(1-Settings!$G$17),"WARN","STOP"))),"")</f>
        <v/>
      </c>
      <c r="AD531" s="161">
        <f>IFERROR(ROUND(D531*(1-CHOOSE(MATCH(IF($E531="","Основний",$E531),{"Трафіковий","Основний","Маржинальний","Сезонний","Стратегічний"},0),Settings!$H$78,Settings!$H$80,Settings!$H$82,Settings!$H$84,Settings!$H$86))*(1-Settings!$H$68)/6,2)*6,"")</f>
        <v/>
      </c>
      <c r="AE531" s="142">
        <f>IFERROR(CHOOSE(MATCH(IF($E531="","Основний",$E531),{"Трафіковий","Основний","Маржинальний","Сезонний","Стратегічний"},0),Settings!$H$78,Settings!$H$80,Settings!$H$82,Settings!$H$84,Settings!$H$86)+(1-(CHOOSE(MATCH(IF($E531="","Основний",$E531),{"Трафіковий","Основний","Маржинальний","Сезонний","Стратегічний"},0),Settings!$H$78,Settings!$H$80,Settings!$H$82,Settings!$H$84,Settings!$H$86)))*Settings!$H$68,"")</f>
        <v/>
      </c>
      <c r="AF531" s="148">
        <f>IFERROR((AD531*(1-Settings!$H$17)-C531)/(AD531*(1-Settings!$H$17)),"")</f>
        <v/>
      </c>
      <c r="AG531" s="150">
        <f>IFERROR(IF(AD531="","",IF(AD531&gt;=C531/(1-SKU_Base!AF531)/(1-Settings!$H$17),"OK",IF(AD531&gt;=C531/(1-SKU_Base!AM531)/(1-Settings!$H$17),"WARN","STOP"))),"")</f>
        <v/>
      </c>
    </row>
    <row r="532" ht="17" customHeight="1" s="179">
      <c r="A532" s="139">
        <f>SKU_Base!B532</f>
        <v/>
      </c>
      <c r="B532" s="139">
        <f>SKU_Base!C532</f>
        <v/>
      </c>
      <c r="C532" s="140">
        <f>IFERROR(SKU_Base!I532,"")</f>
        <v/>
      </c>
      <c r="D532" s="163">
        <f>IFERROR(SKU_Base!T532,"")</f>
        <v/>
      </c>
      <c r="E532" s="141">
        <f>IFERROR(SKU_Base!$U532,"")</f>
        <v/>
      </c>
      <c r="F532" s="158">
        <f>IFERROR(ROUND(D532*(1-CHOOSE(MATCH(IF($E532="","Основний",$E532),{"Трафіковий","Основний","Маржинальний","Сезонний","Стратегічний"},0),Settings!$B$78,Settings!$B$80,Settings!$B$82,Settings!$B$84,Settings!$B$86))/6,2)*6,"")</f>
        <v/>
      </c>
      <c r="G532" s="142">
        <f>IFERROR(CHOOSE(MATCH(IF($E532="","Основний",$E532),{"Трафіковий","Основний","Маржинальний","Сезонний","Стратегічний"},0),Settings!$B$78,Settings!$B$80,Settings!$B$82,Settings!$B$84,Settings!$B$86),"")</f>
        <v/>
      </c>
      <c r="H532" s="143">
        <f>IFERROR((F532*(1-Settings!$B$17)-C532)/(F532*(1-Settings!$B$17)),"")</f>
        <v/>
      </c>
      <c r="I532" s="149">
        <f>IFERROR(IF(F532="","",IF(F532&gt;=C532/(1-SKU_Base!Z532)/(1-Settings!$B$17),"OK",IF(F532&gt;=C532/(1-SKU_Base!AG532)/(1-Settings!$B$17),"WARN","STOP"))),"")</f>
        <v/>
      </c>
      <c r="J532" s="158">
        <f>IFERROR(ROUND(D532*(1-CHOOSE(MATCH(IF($E532="","Основний",$E532),{"Трафіковий","Основний","Маржинальний","Сезонний","Стратегічний"},0),Settings!$C$78,Settings!$C$80,Settings!$C$82,Settings!$C$84,Settings!$C$86))/6,2)*6,"")</f>
        <v/>
      </c>
      <c r="K532" s="142">
        <f>IFERROR(CHOOSE(MATCH(IF($E532="","Основний",$E532),{"Трафіковий","Основний","Маржинальний","Сезонний","Стратегічний"},0),Settings!$C$78,Settings!$C$80,Settings!$C$82,Settings!$C$84,Settings!$C$86),"")</f>
        <v/>
      </c>
      <c r="L532" s="143">
        <f>IFERROR((J532*(1-Settings!$C$17)-C532)/(J532*(1-Settings!$C$17)),"")</f>
        <v/>
      </c>
      <c r="M532" s="149">
        <f>IFERROR(IF(J532="","",IF(J532&gt;=C532/(1-SKU_Base!AA532)/(1-Settings!$C$17),"OK",IF(J532&gt;=C532/(1-SKU_Base!AH532)/(1-Settings!$C$17),"WARN","STOP"))),"")</f>
        <v/>
      </c>
      <c r="N532" s="159">
        <f>IFERROR(ROUND(D532*(1-CHOOSE(MATCH(IF($E532="","Основний",$E532),{"Трафіковий","Основний","Маржинальний","Сезонний","Стратегічний"},0),Settings!$D$78,Settings!$D$80,Settings!$D$82,Settings!$D$84,Settings!$D$86))/6,2)*6,"")</f>
        <v/>
      </c>
      <c r="O532" s="142">
        <f>IFERROR(CHOOSE(MATCH(IF($E532="","Основний",$E532),{"Трафіковий","Основний","Маржинальний","Сезонний","Стратегічний"},0),Settings!$D$78,Settings!$D$80,Settings!$D$82,Settings!$D$84,Settings!$D$86),"")</f>
        <v/>
      </c>
      <c r="P532" s="143">
        <f>IFERROR((N532*(1-Settings!$D$17)-C532)/(N532*(1-Settings!$D$17)),"")</f>
        <v/>
      </c>
      <c r="Q532" s="149">
        <f>IFERROR(IF(N532="","",IF(N532&gt;=C532/(1-SKU_Base!AB532)/(1-Settings!$D$17),"OK",IF(N532&gt;=C532/(1-SKU_Base!AI532)/(1-Settings!$D$17),"WARN","STOP"))),"")</f>
        <v/>
      </c>
      <c r="R532" s="159">
        <f>IFERROR(ROUND(D532*(1-CHOOSE(MATCH(IF($E532="","Основний",$E532),{"Трафіковий","Основний","Маржинальний","Сезонний","Стратегічний"},0),Settings!$E$78,Settings!$E$80,Settings!$E$82,Settings!$E$84,Settings!$E$86))/6,2)*6,"")</f>
        <v/>
      </c>
      <c r="S532" s="142">
        <f>IFERROR(CHOOSE(MATCH(IF($E532="","Основний",$E532),{"Трафіковий","Основний","Маржинальний","Сезонний","Стратегічний"},0),Settings!$E$78,Settings!$E$80,Settings!$E$82,Settings!$E$84,Settings!$E$86),"")</f>
        <v/>
      </c>
      <c r="T532" s="143">
        <f>IFERROR((R532*(1-Settings!$E$17)-C532)/(R532*(1-Settings!$E$17)),"")</f>
        <v/>
      </c>
      <c r="U532" s="149">
        <f>IFERROR(IF(R532="","",IF(R532&gt;=C532/(1-SKU_Base!AC532)/(1-Settings!$E$17),"OK",IF(R532&gt;=C532/(1-SKU_Base!AJ532)/(1-Settings!$E$17),"WARN","STOP"))),"")</f>
        <v/>
      </c>
      <c r="V532" s="159">
        <f>IFERROR(ROUND(D532*(1-CHOOSE(MATCH(IF($E532="","Основний",$E532),{"Трафіковий","Основний","Маржинальний","Сезонний","Стратегічний"},0),Settings!$F$78,Settings!$F$80,Settings!$F$82,Settings!$F$84,Settings!$F$86))/6,2)*6,"")</f>
        <v/>
      </c>
      <c r="W532" s="142">
        <f>IFERROR(CHOOSE(MATCH(IF($E532="","Основний",$E532),{"Трафіковий","Основний","Маржинальний","Сезонний","Стратегічний"},0),Settings!$F$78,Settings!$F$80,Settings!$F$82,Settings!$F$84,Settings!$F$86),"")</f>
        <v/>
      </c>
      <c r="X532" s="143">
        <f>IFERROR((V532*(1-Settings!$F$17)-C532)/(V532*(1-Settings!$F$17)),"")</f>
        <v/>
      </c>
      <c r="Y532" s="149">
        <f>IFERROR(IF(V532="","",IF(V532&gt;=C532/(1-SKU_Base!AD532)/(1-Settings!$F$17),"OK",IF(V532&gt;=C532/(1-SKU_Base!AK532)/(1-Settings!$F$17),"WARN","STOP"))),"")</f>
        <v/>
      </c>
      <c r="Z532" s="159">
        <f>IFERROR(ROUND(D532*(1-CHOOSE(MATCH(IF($E532="","Основний",$E532),{"Трафіковий","Основний","Маржинальний","Сезонний","Стратегічний"},0),Settings!$G$78,Settings!$G$80,Settings!$G$82,Settings!$G$84,Settings!$G$86))/6,2)*6,"")</f>
        <v/>
      </c>
      <c r="AA532" s="142">
        <f>IFERROR(CHOOSE(MATCH(IF($E532="","Основний",$E532),{"Трафіковий","Основний","Маржинальний","Сезонний","Стратегічний"},0),Settings!$G$78,Settings!$G$80,Settings!$G$82,Settings!$G$84,Settings!$G$86),"")</f>
        <v/>
      </c>
      <c r="AB532" s="143">
        <f>IFERROR((Z532*(1-Settings!$G$17)-C532)/(Z532*(1-Settings!$G$17)),"")</f>
        <v/>
      </c>
      <c r="AC532" s="149">
        <f>IFERROR(IF(Z532="","",IF(Z532&gt;=C532/(1-SKU_Base!AE532)/(1-Settings!$G$17),"OK",IF(Z532&gt;=C532/(1-SKU_Base!AL532)/(1-Settings!$G$17),"WARN","STOP"))),"")</f>
        <v/>
      </c>
      <c r="AD532" s="159">
        <f>IFERROR(ROUND(D532*(1-CHOOSE(MATCH(IF($E532="","Основний",$E532),{"Трафіковий","Основний","Маржинальний","Сезонний","Стратегічний"},0),Settings!$H$78,Settings!$H$80,Settings!$H$82,Settings!$H$84,Settings!$H$86))*(1-Settings!$H$68)/6,2)*6,"")</f>
        <v/>
      </c>
      <c r="AE532" s="142">
        <f>IFERROR(CHOOSE(MATCH(IF($E532="","Основний",$E532),{"Трафіковий","Основний","Маржинальний","Сезонний","Стратегічний"},0),Settings!$H$78,Settings!$H$80,Settings!$H$82,Settings!$H$84,Settings!$H$86)+(1-(CHOOSE(MATCH(IF($E532="","Основний",$E532),{"Трафіковий","Основний","Маржинальний","Сезонний","Стратегічний"},0),Settings!$H$78,Settings!$H$80,Settings!$H$82,Settings!$H$84,Settings!$H$86)))*Settings!$H$68,"")</f>
        <v/>
      </c>
      <c r="AF532" s="143">
        <f>IFERROR((AD532*(1-Settings!$H$17)-C532)/(AD532*(1-Settings!$H$17)),"")</f>
        <v/>
      </c>
      <c r="AG532" s="150">
        <f>IFERROR(IF(AD532="","",IF(AD532&gt;=C532/(1-SKU_Base!AF532)/(1-Settings!$H$17),"OK",IF(AD532&gt;=C532/(1-SKU_Base!AM532)/(1-Settings!$H$17),"WARN","STOP"))),"")</f>
        <v/>
      </c>
    </row>
    <row r="533" ht="17" customHeight="1" s="179">
      <c r="A533" s="146">
        <f>SKU_Base!B533</f>
        <v/>
      </c>
      <c r="B533" s="146">
        <f>SKU_Base!C533</f>
        <v/>
      </c>
      <c r="C533" s="147">
        <f>IFERROR(SKU_Base!I533,"")</f>
        <v/>
      </c>
      <c r="D533" s="164">
        <f>IFERROR(SKU_Base!T533,"")</f>
        <v/>
      </c>
      <c r="E533" s="141">
        <f>IFERROR(SKU_Base!$U533,"")</f>
        <v/>
      </c>
      <c r="F533" s="160">
        <f>IFERROR(ROUND(D533*(1-CHOOSE(MATCH(IF($E533="","Основний",$E533),{"Трафіковий","Основний","Маржинальний","Сезонний","Стратегічний"},0),Settings!$B$78,Settings!$B$80,Settings!$B$82,Settings!$B$84,Settings!$B$86))/6,2)*6,"")</f>
        <v/>
      </c>
      <c r="G533" s="142">
        <f>IFERROR(CHOOSE(MATCH(IF($E533="","Основний",$E533),{"Трафіковий","Основний","Маржинальний","Сезонний","Стратегічний"},0),Settings!$B$78,Settings!$B$80,Settings!$B$82,Settings!$B$84,Settings!$B$86),"")</f>
        <v/>
      </c>
      <c r="H533" s="148">
        <f>IFERROR((F533*(1-Settings!$B$17)-C533)/(F533*(1-Settings!$B$17)),"")</f>
        <v/>
      </c>
      <c r="I533" s="149">
        <f>IFERROR(IF(F533="","",IF(F533&gt;=C533/(1-SKU_Base!Z533)/(1-Settings!$B$17),"OK",IF(F533&gt;=C533/(1-SKU_Base!AG533)/(1-Settings!$B$17),"WARN","STOP"))),"")</f>
        <v/>
      </c>
      <c r="J533" s="160">
        <f>IFERROR(ROUND(D533*(1-CHOOSE(MATCH(IF($E533="","Основний",$E533),{"Трафіковий","Основний","Маржинальний","Сезонний","Стратегічний"},0),Settings!$C$78,Settings!$C$80,Settings!$C$82,Settings!$C$84,Settings!$C$86))/6,2)*6,"")</f>
        <v/>
      </c>
      <c r="K533" s="142">
        <f>IFERROR(CHOOSE(MATCH(IF($E533="","Основний",$E533),{"Трафіковий","Основний","Маржинальний","Сезонний","Стратегічний"},0),Settings!$C$78,Settings!$C$80,Settings!$C$82,Settings!$C$84,Settings!$C$86),"")</f>
        <v/>
      </c>
      <c r="L533" s="148">
        <f>IFERROR((J533*(1-Settings!$C$17)-C533)/(J533*(1-Settings!$C$17)),"")</f>
        <v/>
      </c>
      <c r="M533" s="149">
        <f>IFERROR(IF(J533="","",IF(J533&gt;=C533/(1-SKU_Base!AA533)/(1-Settings!$C$17),"OK",IF(J533&gt;=C533/(1-SKU_Base!AH533)/(1-Settings!$C$17),"WARN","STOP"))),"")</f>
        <v/>
      </c>
      <c r="N533" s="161">
        <f>IFERROR(ROUND(D533*(1-CHOOSE(MATCH(IF($E533="","Основний",$E533),{"Трафіковий","Основний","Маржинальний","Сезонний","Стратегічний"},0),Settings!$D$78,Settings!$D$80,Settings!$D$82,Settings!$D$84,Settings!$D$86))/6,2)*6,"")</f>
        <v/>
      </c>
      <c r="O533" s="142">
        <f>IFERROR(CHOOSE(MATCH(IF($E533="","Основний",$E533),{"Трафіковий","Основний","Маржинальний","Сезонний","Стратегічний"},0),Settings!$D$78,Settings!$D$80,Settings!$D$82,Settings!$D$84,Settings!$D$86),"")</f>
        <v/>
      </c>
      <c r="P533" s="148">
        <f>IFERROR((N533*(1-Settings!$D$17)-C533)/(N533*(1-Settings!$D$17)),"")</f>
        <v/>
      </c>
      <c r="Q533" s="149">
        <f>IFERROR(IF(N533="","",IF(N533&gt;=C533/(1-SKU_Base!AB533)/(1-Settings!$D$17),"OK",IF(N533&gt;=C533/(1-SKU_Base!AI533)/(1-Settings!$D$17),"WARN","STOP"))),"")</f>
        <v/>
      </c>
      <c r="R533" s="161">
        <f>IFERROR(ROUND(D533*(1-CHOOSE(MATCH(IF($E533="","Основний",$E533),{"Трафіковий","Основний","Маржинальний","Сезонний","Стратегічний"},0),Settings!$E$78,Settings!$E$80,Settings!$E$82,Settings!$E$84,Settings!$E$86))/6,2)*6,"")</f>
        <v/>
      </c>
      <c r="S533" s="142">
        <f>IFERROR(CHOOSE(MATCH(IF($E533="","Основний",$E533),{"Трафіковий","Основний","Маржинальний","Сезонний","Стратегічний"},0),Settings!$E$78,Settings!$E$80,Settings!$E$82,Settings!$E$84,Settings!$E$86),"")</f>
        <v/>
      </c>
      <c r="T533" s="148">
        <f>IFERROR((R533*(1-Settings!$E$17)-C533)/(R533*(1-Settings!$E$17)),"")</f>
        <v/>
      </c>
      <c r="U533" s="149">
        <f>IFERROR(IF(R533="","",IF(R533&gt;=C533/(1-SKU_Base!AC533)/(1-Settings!$E$17),"OK",IF(R533&gt;=C533/(1-SKU_Base!AJ533)/(1-Settings!$E$17),"WARN","STOP"))),"")</f>
        <v/>
      </c>
      <c r="V533" s="161">
        <f>IFERROR(ROUND(D533*(1-CHOOSE(MATCH(IF($E533="","Основний",$E533),{"Трафіковий","Основний","Маржинальний","Сезонний","Стратегічний"},0),Settings!$F$78,Settings!$F$80,Settings!$F$82,Settings!$F$84,Settings!$F$86))/6,2)*6,"")</f>
        <v/>
      </c>
      <c r="W533" s="142">
        <f>IFERROR(CHOOSE(MATCH(IF($E533="","Основний",$E533),{"Трафіковий","Основний","Маржинальний","Сезонний","Стратегічний"},0),Settings!$F$78,Settings!$F$80,Settings!$F$82,Settings!$F$84,Settings!$F$86),"")</f>
        <v/>
      </c>
      <c r="X533" s="148">
        <f>IFERROR((V533*(1-Settings!$F$17)-C533)/(V533*(1-Settings!$F$17)),"")</f>
        <v/>
      </c>
      <c r="Y533" s="149">
        <f>IFERROR(IF(V533="","",IF(V533&gt;=C533/(1-SKU_Base!AD533)/(1-Settings!$F$17),"OK",IF(V533&gt;=C533/(1-SKU_Base!AK533)/(1-Settings!$F$17),"WARN","STOP"))),"")</f>
        <v/>
      </c>
      <c r="Z533" s="161">
        <f>IFERROR(ROUND(D533*(1-CHOOSE(MATCH(IF($E533="","Основний",$E533),{"Трафіковий","Основний","Маржинальний","Сезонний","Стратегічний"},0),Settings!$G$78,Settings!$G$80,Settings!$G$82,Settings!$G$84,Settings!$G$86))/6,2)*6,"")</f>
        <v/>
      </c>
      <c r="AA533" s="142">
        <f>IFERROR(CHOOSE(MATCH(IF($E533="","Основний",$E533),{"Трафіковий","Основний","Маржинальний","Сезонний","Стратегічний"},0),Settings!$G$78,Settings!$G$80,Settings!$G$82,Settings!$G$84,Settings!$G$86),"")</f>
        <v/>
      </c>
      <c r="AB533" s="148">
        <f>IFERROR((Z533*(1-Settings!$G$17)-C533)/(Z533*(1-Settings!$G$17)),"")</f>
        <v/>
      </c>
      <c r="AC533" s="149">
        <f>IFERROR(IF(Z533="","",IF(Z533&gt;=C533/(1-SKU_Base!AE533)/(1-Settings!$G$17),"OK",IF(Z533&gt;=C533/(1-SKU_Base!AL533)/(1-Settings!$G$17),"WARN","STOP"))),"")</f>
        <v/>
      </c>
      <c r="AD533" s="161">
        <f>IFERROR(ROUND(D533*(1-CHOOSE(MATCH(IF($E533="","Основний",$E533),{"Трафіковий","Основний","Маржинальний","Сезонний","Стратегічний"},0),Settings!$H$78,Settings!$H$80,Settings!$H$82,Settings!$H$84,Settings!$H$86))*(1-Settings!$H$68)/6,2)*6,"")</f>
        <v/>
      </c>
      <c r="AE533" s="142">
        <f>IFERROR(CHOOSE(MATCH(IF($E533="","Основний",$E533),{"Трафіковий","Основний","Маржинальний","Сезонний","Стратегічний"},0),Settings!$H$78,Settings!$H$80,Settings!$H$82,Settings!$H$84,Settings!$H$86)+(1-(CHOOSE(MATCH(IF($E533="","Основний",$E533),{"Трафіковий","Основний","Маржинальний","Сезонний","Стратегічний"},0),Settings!$H$78,Settings!$H$80,Settings!$H$82,Settings!$H$84,Settings!$H$86)))*Settings!$H$68,"")</f>
        <v/>
      </c>
      <c r="AF533" s="148">
        <f>IFERROR((AD533*(1-Settings!$H$17)-C533)/(AD533*(1-Settings!$H$17)),"")</f>
        <v/>
      </c>
      <c r="AG533" s="150">
        <f>IFERROR(IF(AD533="","",IF(AD533&gt;=C533/(1-SKU_Base!AF533)/(1-Settings!$H$17),"OK",IF(AD533&gt;=C533/(1-SKU_Base!AM533)/(1-Settings!$H$17),"WARN","STOP"))),"")</f>
        <v/>
      </c>
    </row>
    <row r="534" ht="17" customHeight="1" s="179">
      <c r="A534" s="139">
        <f>SKU_Base!B534</f>
        <v/>
      </c>
      <c r="B534" s="139">
        <f>SKU_Base!C534</f>
        <v/>
      </c>
      <c r="C534" s="140">
        <f>IFERROR(SKU_Base!I534,"")</f>
        <v/>
      </c>
      <c r="D534" s="163">
        <f>IFERROR(SKU_Base!T534,"")</f>
        <v/>
      </c>
      <c r="E534" s="141">
        <f>IFERROR(SKU_Base!$U534,"")</f>
        <v/>
      </c>
      <c r="F534" s="158">
        <f>IFERROR(ROUND(D534*(1-CHOOSE(MATCH(IF($E534="","Основний",$E534),{"Трафіковий","Основний","Маржинальний","Сезонний","Стратегічний"},0),Settings!$B$78,Settings!$B$80,Settings!$B$82,Settings!$B$84,Settings!$B$86))/6,2)*6,"")</f>
        <v/>
      </c>
      <c r="G534" s="142">
        <f>IFERROR(CHOOSE(MATCH(IF($E534="","Основний",$E534),{"Трафіковий","Основний","Маржинальний","Сезонний","Стратегічний"},0),Settings!$B$78,Settings!$B$80,Settings!$B$82,Settings!$B$84,Settings!$B$86),"")</f>
        <v/>
      </c>
      <c r="H534" s="143">
        <f>IFERROR((F534*(1-Settings!$B$17)-C534)/(F534*(1-Settings!$B$17)),"")</f>
        <v/>
      </c>
      <c r="I534" s="149">
        <f>IFERROR(IF(F534="","",IF(F534&gt;=C534/(1-SKU_Base!Z534)/(1-Settings!$B$17),"OK",IF(F534&gt;=C534/(1-SKU_Base!AG534)/(1-Settings!$B$17),"WARN","STOP"))),"")</f>
        <v/>
      </c>
      <c r="J534" s="158">
        <f>IFERROR(ROUND(D534*(1-CHOOSE(MATCH(IF($E534="","Основний",$E534),{"Трафіковий","Основний","Маржинальний","Сезонний","Стратегічний"},0),Settings!$C$78,Settings!$C$80,Settings!$C$82,Settings!$C$84,Settings!$C$86))/6,2)*6,"")</f>
        <v/>
      </c>
      <c r="K534" s="142">
        <f>IFERROR(CHOOSE(MATCH(IF($E534="","Основний",$E534),{"Трафіковий","Основний","Маржинальний","Сезонний","Стратегічний"},0),Settings!$C$78,Settings!$C$80,Settings!$C$82,Settings!$C$84,Settings!$C$86),"")</f>
        <v/>
      </c>
      <c r="L534" s="143">
        <f>IFERROR((J534*(1-Settings!$C$17)-C534)/(J534*(1-Settings!$C$17)),"")</f>
        <v/>
      </c>
      <c r="M534" s="149">
        <f>IFERROR(IF(J534="","",IF(J534&gt;=C534/(1-SKU_Base!AA534)/(1-Settings!$C$17),"OK",IF(J534&gt;=C534/(1-SKU_Base!AH534)/(1-Settings!$C$17),"WARN","STOP"))),"")</f>
        <v/>
      </c>
      <c r="N534" s="159">
        <f>IFERROR(ROUND(D534*(1-CHOOSE(MATCH(IF($E534="","Основний",$E534),{"Трафіковий","Основний","Маржинальний","Сезонний","Стратегічний"},0),Settings!$D$78,Settings!$D$80,Settings!$D$82,Settings!$D$84,Settings!$D$86))/6,2)*6,"")</f>
        <v/>
      </c>
      <c r="O534" s="142">
        <f>IFERROR(CHOOSE(MATCH(IF($E534="","Основний",$E534),{"Трафіковий","Основний","Маржинальний","Сезонний","Стратегічний"},0),Settings!$D$78,Settings!$D$80,Settings!$D$82,Settings!$D$84,Settings!$D$86),"")</f>
        <v/>
      </c>
      <c r="P534" s="143">
        <f>IFERROR((N534*(1-Settings!$D$17)-C534)/(N534*(1-Settings!$D$17)),"")</f>
        <v/>
      </c>
      <c r="Q534" s="149">
        <f>IFERROR(IF(N534="","",IF(N534&gt;=C534/(1-SKU_Base!AB534)/(1-Settings!$D$17),"OK",IF(N534&gt;=C534/(1-SKU_Base!AI534)/(1-Settings!$D$17),"WARN","STOP"))),"")</f>
        <v/>
      </c>
      <c r="R534" s="159">
        <f>IFERROR(ROUND(D534*(1-CHOOSE(MATCH(IF($E534="","Основний",$E534),{"Трафіковий","Основний","Маржинальний","Сезонний","Стратегічний"},0),Settings!$E$78,Settings!$E$80,Settings!$E$82,Settings!$E$84,Settings!$E$86))/6,2)*6,"")</f>
        <v/>
      </c>
      <c r="S534" s="142">
        <f>IFERROR(CHOOSE(MATCH(IF($E534="","Основний",$E534),{"Трафіковий","Основний","Маржинальний","Сезонний","Стратегічний"},0),Settings!$E$78,Settings!$E$80,Settings!$E$82,Settings!$E$84,Settings!$E$86),"")</f>
        <v/>
      </c>
      <c r="T534" s="143">
        <f>IFERROR((R534*(1-Settings!$E$17)-C534)/(R534*(1-Settings!$E$17)),"")</f>
        <v/>
      </c>
      <c r="U534" s="149">
        <f>IFERROR(IF(R534="","",IF(R534&gt;=C534/(1-SKU_Base!AC534)/(1-Settings!$E$17),"OK",IF(R534&gt;=C534/(1-SKU_Base!AJ534)/(1-Settings!$E$17),"WARN","STOP"))),"")</f>
        <v/>
      </c>
      <c r="V534" s="159">
        <f>IFERROR(ROUND(D534*(1-CHOOSE(MATCH(IF($E534="","Основний",$E534),{"Трафіковий","Основний","Маржинальний","Сезонний","Стратегічний"},0),Settings!$F$78,Settings!$F$80,Settings!$F$82,Settings!$F$84,Settings!$F$86))/6,2)*6,"")</f>
        <v/>
      </c>
      <c r="W534" s="142">
        <f>IFERROR(CHOOSE(MATCH(IF($E534="","Основний",$E534),{"Трафіковий","Основний","Маржинальний","Сезонний","Стратегічний"},0),Settings!$F$78,Settings!$F$80,Settings!$F$82,Settings!$F$84,Settings!$F$86),"")</f>
        <v/>
      </c>
      <c r="X534" s="143">
        <f>IFERROR((V534*(1-Settings!$F$17)-C534)/(V534*(1-Settings!$F$17)),"")</f>
        <v/>
      </c>
      <c r="Y534" s="149">
        <f>IFERROR(IF(V534="","",IF(V534&gt;=C534/(1-SKU_Base!AD534)/(1-Settings!$F$17),"OK",IF(V534&gt;=C534/(1-SKU_Base!AK534)/(1-Settings!$F$17),"WARN","STOP"))),"")</f>
        <v/>
      </c>
      <c r="Z534" s="159">
        <f>IFERROR(ROUND(D534*(1-CHOOSE(MATCH(IF($E534="","Основний",$E534),{"Трафіковий","Основний","Маржинальний","Сезонний","Стратегічний"},0),Settings!$G$78,Settings!$G$80,Settings!$G$82,Settings!$G$84,Settings!$G$86))/6,2)*6,"")</f>
        <v/>
      </c>
      <c r="AA534" s="142">
        <f>IFERROR(CHOOSE(MATCH(IF($E534="","Основний",$E534),{"Трафіковий","Основний","Маржинальний","Сезонний","Стратегічний"},0),Settings!$G$78,Settings!$G$80,Settings!$G$82,Settings!$G$84,Settings!$G$86),"")</f>
        <v/>
      </c>
      <c r="AB534" s="143">
        <f>IFERROR((Z534*(1-Settings!$G$17)-C534)/(Z534*(1-Settings!$G$17)),"")</f>
        <v/>
      </c>
      <c r="AC534" s="149">
        <f>IFERROR(IF(Z534="","",IF(Z534&gt;=C534/(1-SKU_Base!AE534)/(1-Settings!$G$17),"OK",IF(Z534&gt;=C534/(1-SKU_Base!AL534)/(1-Settings!$G$17),"WARN","STOP"))),"")</f>
        <v/>
      </c>
      <c r="AD534" s="159">
        <f>IFERROR(ROUND(D534*(1-CHOOSE(MATCH(IF($E534="","Основний",$E534),{"Трафіковий","Основний","Маржинальний","Сезонний","Стратегічний"},0),Settings!$H$78,Settings!$H$80,Settings!$H$82,Settings!$H$84,Settings!$H$86))*(1-Settings!$H$68)/6,2)*6,"")</f>
        <v/>
      </c>
      <c r="AE534" s="142">
        <f>IFERROR(CHOOSE(MATCH(IF($E534="","Основний",$E534),{"Трафіковий","Основний","Маржинальний","Сезонний","Стратегічний"},0),Settings!$H$78,Settings!$H$80,Settings!$H$82,Settings!$H$84,Settings!$H$86)+(1-(CHOOSE(MATCH(IF($E534="","Основний",$E534),{"Трафіковий","Основний","Маржинальний","Сезонний","Стратегічний"},0),Settings!$H$78,Settings!$H$80,Settings!$H$82,Settings!$H$84,Settings!$H$86)))*Settings!$H$68,"")</f>
        <v/>
      </c>
      <c r="AF534" s="143">
        <f>IFERROR((AD534*(1-Settings!$H$17)-C534)/(AD534*(1-Settings!$H$17)),"")</f>
        <v/>
      </c>
      <c r="AG534" s="150">
        <f>IFERROR(IF(AD534="","",IF(AD534&gt;=C534/(1-SKU_Base!AF534)/(1-Settings!$H$17),"OK",IF(AD534&gt;=C534/(1-SKU_Base!AM534)/(1-Settings!$H$17),"WARN","STOP"))),"")</f>
        <v/>
      </c>
    </row>
    <row r="535" ht="17" customHeight="1" s="179">
      <c r="A535" s="146">
        <f>SKU_Base!B535</f>
        <v/>
      </c>
      <c r="B535" s="146">
        <f>SKU_Base!C535</f>
        <v/>
      </c>
      <c r="C535" s="147">
        <f>IFERROR(SKU_Base!I535,"")</f>
        <v/>
      </c>
      <c r="D535" s="164">
        <f>IFERROR(SKU_Base!T535,"")</f>
        <v/>
      </c>
      <c r="E535" s="141">
        <f>IFERROR(SKU_Base!$U535,"")</f>
        <v/>
      </c>
      <c r="F535" s="160">
        <f>IFERROR(ROUND(D535*(1-CHOOSE(MATCH(IF($E535="","Основний",$E535),{"Трафіковий","Основний","Маржинальний","Сезонний","Стратегічний"},0),Settings!$B$78,Settings!$B$80,Settings!$B$82,Settings!$B$84,Settings!$B$86))/6,2)*6,"")</f>
        <v/>
      </c>
      <c r="G535" s="142">
        <f>IFERROR(CHOOSE(MATCH(IF($E535="","Основний",$E535),{"Трафіковий","Основний","Маржинальний","Сезонний","Стратегічний"},0),Settings!$B$78,Settings!$B$80,Settings!$B$82,Settings!$B$84,Settings!$B$86),"")</f>
        <v/>
      </c>
      <c r="H535" s="148">
        <f>IFERROR((F535*(1-Settings!$B$17)-C535)/(F535*(1-Settings!$B$17)),"")</f>
        <v/>
      </c>
      <c r="I535" s="149">
        <f>IFERROR(IF(F535="","",IF(F535&gt;=C535/(1-SKU_Base!Z535)/(1-Settings!$B$17),"OK",IF(F535&gt;=C535/(1-SKU_Base!AG535)/(1-Settings!$B$17),"WARN","STOP"))),"")</f>
        <v/>
      </c>
      <c r="J535" s="160">
        <f>IFERROR(ROUND(D535*(1-CHOOSE(MATCH(IF($E535="","Основний",$E535),{"Трафіковий","Основний","Маржинальний","Сезонний","Стратегічний"},0),Settings!$C$78,Settings!$C$80,Settings!$C$82,Settings!$C$84,Settings!$C$86))/6,2)*6,"")</f>
        <v/>
      </c>
      <c r="K535" s="142">
        <f>IFERROR(CHOOSE(MATCH(IF($E535="","Основний",$E535),{"Трафіковий","Основний","Маржинальний","Сезонний","Стратегічний"},0),Settings!$C$78,Settings!$C$80,Settings!$C$82,Settings!$C$84,Settings!$C$86),"")</f>
        <v/>
      </c>
      <c r="L535" s="148">
        <f>IFERROR((J535*(1-Settings!$C$17)-C535)/(J535*(1-Settings!$C$17)),"")</f>
        <v/>
      </c>
      <c r="M535" s="149">
        <f>IFERROR(IF(J535="","",IF(J535&gt;=C535/(1-SKU_Base!AA535)/(1-Settings!$C$17),"OK",IF(J535&gt;=C535/(1-SKU_Base!AH535)/(1-Settings!$C$17),"WARN","STOP"))),"")</f>
        <v/>
      </c>
      <c r="N535" s="161">
        <f>IFERROR(ROUND(D535*(1-CHOOSE(MATCH(IF($E535="","Основний",$E535),{"Трафіковий","Основний","Маржинальний","Сезонний","Стратегічний"},0),Settings!$D$78,Settings!$D$80,Settings!$D$82,Settings!$D$84,Settings!$D$86))/6,2)*6,"")</f>
        <v/>
      </c>
      <c r="O535" s="142">
        <f>IFERROR(CHOOSE(MATCH(IF($E535="","Основний",$E535),{"Трафіковий","Основний","Маржинальний","Сезонний","Стратегічний"},0),Settings!$D$78,Settings!$D$80,Settings!$D$82,Settings!$D$84,Settings!$D$86),"")</f>
        <v/>
      </c>
      <c r="P535" s="148">
        <f>IFERROR((N535*(1-Settings!$D$17)-C535)/(N535*(1-Settings!$D$17)),"")</f>
        <v/>
      </c>
      <c r="Q535" s="149">
        <f>IFERROR(IF(N535="","",IF(N535&gt;=C535/(1-SKU_Base!AB535)/(1-Settings!$D$17),"OK",IF(N535&gt;=C535/(1-SKU_Base!AI535)/(1-Settings!$D$17),"WARN","STOP"))),"")</f>
        <v/>
      </c>
      <c r="R535" s="161">
        <f>IFERROR(ROUND(D535*(1-CHOOSE(MATCH(IF($E535="","Основний",$E535),{"Трафіковий","Основний","Маржинальний","Сезонний","Стратегічний"},0),Settings!$E$78,Settings!$E$80,Settings!$E$82,Settings!$E$84,Settings!$E$86))/6,2)*6,"")</f>
        <v/>
      </c>
      <c r="S535" s="142">
        <f>IFERROR(CHOOSE(MATCH(IF($E535="","Основний",$E535),{"Трафіковий","Основний","Маржинальний","Сезонний","Стратегічний"},0),Settings!$E$78,Settings!$E$80,Settings!$E$82,Settings!$E$84,Settings!$E$86),"")</f>
        <v/>
      </c>
      <c r="T535" s="148">
        <f>IFERROR((R535*(1-Settings!$E$17)-C535)/(R535*(1-Settings!$E$17)),"")</f>
        <v/>
      </c>
      <c r="U535" s="149">
        <f>IFERROR(IF(R535="","",IF(R535&gt;=C535/(1-SKU_Base!AC535)/(1-Settings!$E$17),"OK",IF(R535&gt;=C535/(1-SKU_Base!AJ535)/(1-Settings!$E$17),"WARN","STOP"))),"")</f>
        <v/>
      </c>
      <c r="V535" s="161">
        <f>IFERROR(ROUND(D535*(1-CHOOSE(MATCH(IF($E535="","Основний",$E535),{"Трафіковий","Основний","Маржинальний","Сезонний","Стратегічний"},0),Settings!$F$78,Settings!$F$80,Settings!$F$82,Settings!$F$84,Settings!$F$86))/6,2)*6,"")</f>
        <v/>
      </c>
      <c r="W535" s="142">
        <f>IFERROR(CHOOSE(MATCH(IF($E535="","Основний",$E535),{"Трафіковий","Основний","Маржинальний","Сезонний","Стратегічний"},0),Settings!$F$78,Settings!$F$80,Settings!$F$82,Settings!$F$84,Settings!$F$86),"")</f>
        <v/>
      </c>
      <c r="X535" s="148">
        <f>IFERROR((V535*(1-Settings!$F$17)-C535)/(V535*(1-Settings!$F$17)),"")</f>
        <v/>
      </c>
      <c r="Y535" s="149">
        <f>IFERROR(IF(V535="","",IF(V535&gt;=C535/(1-SKU_Base!AD535)/(1-Settings!$F$17),"OK",IF(V535&gt;=C535/(1-SKU_Base!AK535)/(1-Settings!$F$17),"WARN","STOP"))),"")</f>
        <v/>
      </c>
      <c r="Z535" s="161">
        <f>IFERROR(ROUND(D535*(1-CHOOSE(MATCH(IF($E535="","Основний",$E535),{"Трафіковий","Основний","Маржинальний","Сезонний","Стратегічний"},0),Settings!$G$78,Settings!$G$80,Settings!$G$82,Settings!$G$84,Settings!$G$86))/6,2)*6,"")</f>
        <v/>
      </c>
      <c r="AA535" s="142">
        <f>IFERROR(CHOOSE(MATCH(IF($E535="","Основний",$E535),{"Трафіковий","Основний","Маржинальний","Сезонний","Стратегічний"},0),Settings!$G$78,Settings!$G$80,Settings!$G$82,Settings!$G$84,Settings!$G$86),"")</f>
        <v/>
      </c>
      <c r="AB535" s="148">
        <f>IFERROR((Z535*(1-Settings!$G$17)-C535)/(Z535*(1-Settings!$G$17)),"")</f>
        <v/>
      </c>
      <c r="AC535" s="149">
        <f>IFERROR(IF(Z535="","",IF(Z535&gt;=C535/(1-SKU_Base!AE535)/(1-Settings!$G$17),"OK",IF(Z535&gt;=C535/(1-SKU_Base!AL535)/(1-Settings!$G$17),"WARN","STOP"))),"")</f>
        <v/>
      </c>
      <c r="AD535" s="161">
        <f>IFERROR(ROUND(D535*(1-CHOOSE(MATCH(IF($E535="","Основний",$E535),{"Трафіковий","Основний","Маржинальний","Сезонний","Стратегічний"},0),Settings!$H$78,Settings!$H$80,Settings!$H$82,Settings!$H$84,Settings!$H$86))*(1-Settings!$H$68)/6,2)*6,"")</f>
        <v/>
      </c>
      <c r="AE535" s="142">
        <f>IFERROR(CHOOSE(MATCH(IF($E535="","Основний",$E535),{"Трафіковий","Основний","Маржинальний","Сезонний","Стратегічний"},0),Settings!$H$78,Settings!$H$80,Settings!$H$82,Settings!$H$84,Settings!$H$86)+(1-(CHOOSE(MATCH(IF($E535="","Основний",$E535),{"Трафіковий","Основний","Маржинальний","Сезонний","Стратегічний"},0),Settings!$H$78,Settings!$H$80,Settings!$H$82,Settings!$H$84,Settings!$H$86)))*Settings!$H$68,"")</f>
        <v/>
      </c>
      <c r="AF535" s="148">
        <f>IFERROR((AD535*(1-Settings!$H$17)-C535)/(AD535*(1-Settings!$H$17)),"")</f>
        <v/>
      </c>
      <c r="AG535" s="150">
        <f>IFERROR(IF(AD535="","",IF(AD535&gt;=C535/(1-SKU_Base!AF535)/(1-Settings!$H$17),"OK",IF(AD535&gt;=C535/(1-SKU_Base!AM535)/(1-Settings!$H$17),"WARN","STOP"))),"")</f>
        <v/>
      </c>
    </row>
    <row r="536" ht="17" customHeight="1" s="179">
      <c r="A536" s="139">
        <f>SKU_Base!B536</f>
        <v/>
      </c>
      <c r="B536" s="139">
        <f>SKU_Base!C536</f>
        <v/>
      </c>
      <c r="C536" s="140">
        <f>IFERROR(SKU_Base!I536,"")</f>
        <v/>
      </c>
      <c r="D536" s="163">
        <f>IFERROR(SKU_Base!T536,"")</f>
        <v/>
      </c>
      <c r="E536" s="141">
        <f>IFERROR(SKU_Base!$U536,"")</f>
        <v/>
      </c>
      <c r="F536" s="158">
        <f>IFERROR(ROUND(D536*(1-CHOOSE(MATCH(IF($E536="","Основний",$E536),{"Трафіковий","Основний","Маржинальний","Сезонний","Стратегічний"},0),Settings!$B$78,Settings!$B$80,Settings!$B$82,Settings!$B$84,Settings!$B$86))/6,2)*6,"")</f>
        <v/>
      </c>
      <c r="G536" s="142">
        <f>IFERROR(CHOOSE(MATCH(IF($E536="","Основний",$E536),{"Трафіковий","Основний","Маржинальний","Сезонний","Стратегічний"},0),Settings!$B$78,Settings!$B$80,Settings!$B$82,Settings!$B$84,Settings!$B$86),"")</f>
        <v/>
      </c>
      <c r="H536" s="143">
        <f>IFERROR((F536*(1-Settings!$B$17)-C536)/(F536*(1-Settings!$B$17)),"")</f>
        <v/>
      </c>
      <c r="I536" s="149">
        <f>IFERROR(IF(F536="","",IF(F536&gt;=C536/(1-SKU_Base!Z536)/(1-Settings!$B$17),"OK",IF(F536&gt;=C536/(1-SKU_Base!AG536)/(1-Settings!$B$17),"WARN","STOP"))),"")</f>
        <v/>
      </c>
      <c r="J536" s="158">
        <f>IFERROR(ROUND(D536*(1-CHOOSE(MATCH(IF($E536="","Основний",$E536),{"Трафіковий","Основний","Маржинальний","Сезонний","Стратегічний"},0),Settings!$C$78,Settings!$C$80,Settings!$C$82,Settings!$C$84,Settings!$C$86))/6,2)*6,"")</f>
        <v/>
      </c>
      <c r="K536" s="142">
        <f>IFERROR(CHOOSE(MATCH(IF($E536="","Основний",$E536),{"Трафіковий","Основний","Маржинальний","Сезонний","Стратегічний"},0),Settings!$C$78,Settings!$C$80,Settings!$C$82,Settings!$C$84,Settings!$C$86),"")</f>
        <v/>
      </c>
      <c r="L536" s="143">
        <f>IFERROR((J536*(1-Settings!$C$17)-C536)/(J536*(1-Settings!$C$17)),"")</f>
        <v/>
      </c>
      <c r="M536" s="149">
        <f>IFERROR(IF(J536="","",IF(J536&gt;=C536/(1-SKU_Base!AA536)/(1-Settings!$C$17),"OK",IF(J536&gt;=C536/(1-SKU_Base!AH536)/(1-Settings!$C$17),"WARN","STOP"))),"")</f>
        <v/>
      </c>
      <c r="N536" s="159">
        <f>IFERROR(ROUND(D536*(1-CHOOSE(MATCH(IF($E536="","Основний",$E536),{"Трафіковий","Основний","Маржинальний","Сезонний","Стратегічний"},0),Settings!$D$78,Settings!$D$80,Settings!$D$82,Settings!$D$84,Settings!$D$86))/6,2)*6,"")</f>
        <v/>
      </c>
      <c r="O536" s="142">
        <f>IFERROR(CHOOSE(MATCH(IF($E536="","Основний",$E536),{"Трафіковий","Основний","Маржинальний","Сезонний","Стратегічний"},0),Settings!$D$78,Settings!$D$80,Settings!$D$82,Settings!$D$84,Settings!$D$86),"")</f>
        <v/>
      </c>
      <c r="P536" s="143">
        <f>IFERROR((N536*(1-Settings!$D$17)-C536)/(N536*(1-Settings!$D$17)),"")</f>
        <v/>
      </c>
      <c r="Q536" s="149">
        <f>IFERROR(IF(N536="","",IF(N536&gt;=C536/(1-SKU_Base!AB536)/(1-Settings!$D$17),"OK",IF(N536&gt;=C536/(1-SKU_Base!AI536)/(1-Settings!$D$17),"WARN","STOP"))),"")</f>
        <v/>
      </c>
      <c r="R536" s="159">
        <f>IFERROR(ROUND(D536*(1-CHOOSE(MATCH(IF($E536="","Основний",$E536),{"Трафіковий","Основний","Маржинальний","Сезонний","Стратегічний"},0),Settings!$E$78,Settings!$E$80,Settings!$E$82,Settings!$E$84,Settings!$E$86))/6,2)*6,"")</f>
        <v/>
      </c>
      <c r="S536" s="142">
        <f>IFERROR(CHOOSE(MATCH(IF($E536="","Основний",$E536),{"Трафіковий","Основний","Маржинальний","Сезонний","Стратегічний"},0),Settings!$E$78,Settings!$E$80,Settings!$E$82,Settings!$E$84,Settings!$E$86),"")</f>
        <v/>
      </c>
      <c r="T536" s="143">
        <f>IFERROR((R536*(1-Settings!$E$17)-C536)/(R536*(1-Settings!$E$17)),"")</f>
        <v/>
      </c>
      <c r="U536" s="149">
        <f>IFERROR(IF(R536="","",IF(R536&gt;=C536/(1-SKU_Base!AC536)/(1-Settings!$E$17),"OK",IF(R536&gt;=C536/(1-SKU_Base!AJ536)/(1-Settings!$E$17),"WARN","STOP"))),"")</f>
        <v/>
      </c>
      <c r="V536" s="159">
        <f>IFERROR(ROUND(D536*(1-CHOOSE(MATCH(IF($E536="","Основний",$E536),{"Трафіковий","Основний","Маржинальний","Сезонний","Стратегічний"},0),Settings!$F$78,Settings!$F$80,Settings!$F$82,Settings!$F$84,Settings!$F$86))/6,2)*6,"")</f>
        <v/>
      </c>
      <c r="W536" s="142">
        <f>IFERROR(CHOOSE(MATCH(IF($E536="","Основний",$E536),{"Трафіковий","Основний","Маржинальний","Сезонний","Стратегічний"},0),Settings!$F$78,Settings!$F$80,Settings!$F$82,Settings!$F$84,Settings!$F$86),"")</f>
        <v/>
      </c>
      <c r="X536" s="143">
        <f>IFERROR((V536*(1-Settings!$F$17)-C536)/(V536*(1-Settings!$F$17)),"")</f>
        <v/>
      </c>
      <c r="Y536" s="149">
        <f>IFERROR(IF(V536="","",IF(V536&gt;=C536/(1-SKU_Base!AD536)/(1-Settings!$F$17),"OK",IF(V536&gt;=C536/(1-SKU_Base!AK536)/(1-Settings!$F$17),"WARN","STOP"))),"")</f>
        <v/>
      </c>
      <c r="Z536" s="159">
        <f>IFERROR(ROUND(D536*(1-CHOOSE(MATCH(IF($E536="","Основний",$E536),{"Трафіковий","Основний","Маржинальний","Сезонний","Стратегічний"},0),Settings!$G$78,Settings!$G$80,Settings!$G$82,Settings!$G$84,Settings!$G$86))/6,2)*6,"")</f>
        <v/>
      </c>
      <c r="AA536" s="142">
        <f>IFERROR(CHOOSE(MATCH(IF($E536="","Основний",$E536),{"Трафіковий","Основний","Маржинальний","Сезонний","Стратегічний"},0),Settings!$G$78,Settings!$G$80,Settings!$G$82,Settings!$G$84,Settings!$G$86),"")</f>
        <v/>
      </c>
      <c r="AB536" s="143">
        <f>IFERROR((Z536*(1-Settings!$G$17)-C536)/(Z536*(1-Settings!$G$17)),"")</f>
        <v/>
      </c>
      <c r="AC536" s="149">
        <f>IFERROR(IF(Z536="","",IF(Z536&gt;=C536/(1-SKU_Base!AE536)/(1-Settings!$G$17),"OK",IF(Z536&gt;=C536/(1-SKU_Base!AL536)/(1-Settings!$G$17),"WARN","STOP"))),"")</f>
        <v/>
      </c>
      <c r="AD536" s="159">
        <f>IFERROR(ROUND(D536*(1-CHOOSE(MATCH(IF($E536="","Основний",$E536),{"Трафіковий","Основний","Маржинальний","Сезонний","Стратегічний"},0),Settings!$H$78,Settings!$H$80,Settings!$H$82,Settings!$H$84,Settings!$H$86))*(1-Settings!$H$68)/6,2)*6,"")</f>
        <v/>
      </c>
      <c r="AE536" s="142">
        <f>IFERROR(CHOOSE(MATCH(IF($E536="","Основний",$E536),{"Трафіковий","Основний","Маржинальний","Сезонний","Стратегічний"},0),Settings!$H$78,Settings!$H$80,Settings!$H$82,Settings!$H$84,Settings!$H$86)+(1-(CHOOSE(MATCH(IF($E536="","Основний",$E536),{"Трафіковий","Основний","Маржинальний","Сезонний","Стратегічний"},0),Settings!$H$78,Settings!$H$80,Settings!$H$82,Settings!$H$84,Settings!$H$86)))*Settings!$H$68,"")</f>
        <v/>
      </c>
      <c r="AF536" s="143">
        <f>IFERROR((AD536*(1-Settings!$H$17)-C536)/(AD536*(1-Settings!$H$17)),"")</f>
        <v/>
      </c>
      <c r="AG536" s="150">
        <f>IFERROR(IF(AD536="","",IF(AD536&gt;=C536/(1-SKU_Base!AF536)/(1-Settings!$H$17),"OK",IF(AD536&gt;=C536/(1-SKU_Base!AM536)/(1-Settings!$H$17),"WARN","STOP"))),"")</f>
        <v/>
      </c>
    </row>
    <row r="537" ht="17" customHeight="1" s="179">
      <c r="A537" s="146">
        <f>SKU_Base!B537</f>
        <v/>
      </c>
      <c r="B537" s="146">
        <f>SKU_Base!C537</f>
        <v/>
      </c>
      <c r="C537" s="147">
        <f>IFERROR(SKU_Base!I537,"")</f>
        <v/>
      </c>
      <c r="D537" s="164">
        <f>IFERROR(SKU_Base!T537,"")</f>
        <v/>
      </c>
      <c r="E537" s="141">
        <f>IFERROR(SKU_Base!$U537,"")</f>
        <v/>
      </c>
      <c r="F537" s="160">
        <f>IFERROR(ROUND(D537*(1-CHOOSE(MATCH(IF($E537="","Основний",$E537),{"Трафіковий","Основний","Маржинальний","Сезонний","Стратегічний"},0),Settings!$B$78,Settings!$B$80,Settings!$B$82,Settings!$B$84,Settings!$B$86))/6,2)*6,"")</f>
        <v/>
      </c>
      <c r="G537" s="142">
        <f>IFERROR(CHOOSE(MATCH(IF($E537="","Основний",$E537),{"Трафіковий","Основний","Маржинальний","Сезонний","Стратегічний"},0),Settings!$B$78,Settings!$B$80,Settings!$B$82,Settings!$B$84,Settings!$B$86),"")</f>
        <v/>
      </c>
      <c r="H537" s="148">
        <f>IFERROR((F537*(1-Settings!$B$17)-C537)/(F537*(1-Settings!$B$17)),"")</f>
        <v/>
      </c>
      <c r="I537" s="149">
        <f>IFERROR(IF(F537="","",IF(F537&gt;=C537/(1-SKU_Base!Z537)/(1-Settings!$B$17),"OK",IF(F537&gt;=C537/(1-SKU_Base!AG537)/(1-Settings!$B$17),"WARN","STOP"))),"")</f>
        <v/>
      </c>
      <c r="J537" s="160">
        <f>IFERROR(ROUND(D537*(1-CHOOSE(MATCH(IF($E537="","Основний",$E537),{"Трафіковий","Основний","Маржинальний","Сезонний","Стратегічний"},0),Settings!$C$78,Settings!$C$80,Settings!$C$82,Settings!$C$84,Settings!$C$86))/6,2)*6,"")</f>
        <v/>
      </c>
      <c r="K537" s="142">
        <f>IFERROR(CHOOSE(MATCH(IF($E537="","Основний",$E537),{"Трафіковий","Основний","Маржинальний","Сезонний","Стратегічний"},0),Settings!$C$78,Settings!$C$80,Settings!$C$82,Settings!$C$84,Settings!$C$86),"")</f>
        <v/>
      </c>
      <c r="L537" s="148">
        <f>IFERROR((J537*(1-Settings!$C$17)-C537)/(J537*(1-Settings!$C$17)),"")</f>
        <v/>
      </c>
      <c r="M537" s="149">
        <f>IFERROR(IF(J537="","",IF(J537&gt;=C537/(1-SKU_Base!AA537)/(1-Settings!$C$17),"OK",IF(J537&gt;=C537/(1-SKU_Base!AH537)/(1-Settings!$C$17),"WARN","STOP"))),"")</f>
        <v/>
      </c>
      <c r="N537" s="161">
        <f>IFERROR(ROUND(D537*(1-CHOOSE(MATCH(IF($E537="","Основний",$E537),{"Трафіковий","Основний","Маржинальний","Сезонний","Стратегічний"},0),Settings!$D$78,Settings!$D$80,Settings!$D$82,Settings!$D$84,Settings!$D$86))/6,2)*6,"")</f>
        <v/>
      </c>
      <c r="O537" s="142">
        <f>IFERROR(CHOOSE(MATCH(IF($E537="","Основний",$E537),{"Трафіковий","Основний","Маржинальний","Сезонний","Стратегічний"},0),Settings!$D$78,Settings!$D$80,Settings!$D$82,Settings!$D$84,Settings!$D$86),"")</f>
        <v/>
      </c>
      <c r="P537" s="148">
        <f>IFERROR((N537*(1-Settings!$D$17)-C537)/(N537*(1-Settings!$D$17)),"")</f>
        <v/>
      </c>
      <c r="Q537" s="149">
        <f>IFERROR(IF(N537="","",IF(N537&gt;=C537/(1-SKU_Base!AB537)/(1-Settings!$D$17),"OK",IF(N537&gt;=C537/(1-SKU_Base!AI537)/(1-Settings!$D$17),"WARN","STOP"))),"")</f>
        <v/>
      </c>
      <c r="R537" s="161">
        <f>IFERROR(ROUND(D537*(1-CHOOSE(MATCH(IF($E537="","Основний",$E537),{"Трафіковий","Основний","Маржинальний","Сезонний","Стратегічний"},0),Settings!$E$78,Settings!$E$80,Settings!$E$82,Settings!$E$84,Settings!$E$86))/6,2)*6,"")</f>
        <v/>
      </c>
      <c r="S537" s="142">
        <f>IFERROR(CHOOSE(MATCH(IF($E537="","Основний",$E537),{"Трафіковий","Основний","Маржинальний","Сезонний","Стратегічний"},0),Settings!$E$78,Settings!$E$80,Settings!$E$82,Settings!$E$84,Settings!$E$86),"")</f>
        <v/>
      </c>
      <c r="T537" s="148">
        <f>IFERROR((R537*(1-Settings!$E$17)-C537)/(R537*(1-Settings!$E$17)),"")</f>
        <v/>
      </c>
      <c r="U537" s="149">
        <f>IFERROR(IF(R537="","",IF(R537&gt;=C537/(1-SKU_Base!AC537)/(1-Settings!$E$17),"OK",IF(R537&gt;=C537/(1-SKU_Base!AJ537)/(1-Settings!$E$17),"WARN","STOP"))),"")</f>
        <v/>
      </c>
      <c r="V537" s="161">
        <f>IFERROR(ROUND(D537*(1-CHOOSE(MATCH(IF($E537="","Основний",$E537),{"Трафіковий","Основний","Маржинальний","Сезонний","Стратегічний"},0),Settings!$F$78,Settings!$F$80,Settings!$F$82,Settings!$F$84,Settings!$F$86))/6,2)*6,"")</f>
        <v/>
      </c>
      <c r="W537" s="142">
        <f>IFERROR(CHOOSE(MATCH(IF($E537="","Основний",$E537),{"Трафіковий","Основний","Маржинальний","Сезонний","Стратегічний"},0),Settings!$F$78,Settings!$F$80,Settings!$F$82,Settings!$F$84,Settings!$F$86),"")</f>
        <v/>
      </c>
      <c r="X537" s="148">
        <f>IFERROR((V537*(1-Settings!$F$17)-C537)/(V537*(1-Settings!$F$17)),"")</f>
        <v/>
      </c>
      <c r="Y537" s="149">
        <f>IFERROR(IF(V537="","",IF(V537&gt;=C537/(1-SKU_Base!AD537)/(1-Settings!$F$17),"OK",IF(V537&gt;=C537/(1-SKU_Base!AK537)/(1-Settings!$F$17),"WARN","STOP"))),"")</f>
        <v/>
      </c>
      <c r="Z537" s="161">
        <f>IFERROR(ROUND(D537*(1-CHOOSE(MATCH(IF($E537="","Основний",$E537),{"Трафіковий","Основний","Маржинальний","Сезонний","Стратегічний"},0),Settings!$G$78,Settings!$G$80,Settings!$G$82,Settings!$G$84,Settings!$G$86))/6,2)*6,"")</f>
        <v/>
      </c>
      <c r="AA537" s="142">
        <f>IFERROR(CHOOSE(MATCH(IF($E537="","Основний",$E537),{"Трафіковий","Основний","Маржинальний","Сезонний","Стратегічний"},0),Settings!$G$78,Settings!$G$80,Settings!$G$82,Settings!$G$84,Settings!$G$86),"")</f>
        <v/>
      </c>
      <c r="AB537" s="148">
        <f>IFERROR((Z537*(1-Settings!$G$17)-C537)/(Z537*(1-Settings!$G$17)),"")</f>
        <v/>
      </c>
      <c r="AC537" s="149">
        <f>IFERROR(IF(Z537="","",IF(Z537&gt;=C537/(1-SKU_Base!AE537)/(1-Settings!$G$17),"OK",IF(Z537&gt;=C537/(1-SKU_Base!AL537)/(1-Settings!$G$17),"WARN","STOP"))),"")</f>
        <v/>
      </c>
      <c r="AD537" s="161">
        <f>IFERROR(ROUND(D537*(1-CHOOSE(MATCH(IF($E537="","Основний",$E537),{"Трафіковий","Основний","Маржинальний","Сезонний","Стратегічний"},0),Settings!$H$78,Settings!$H$80,Settings!$H$82,Settings!$H$84,Settings!$H$86))*(1-Settings!$H$68)/6,2)*6,"")</f>
        <v/>
      </c>
      <c r="AE537" s="142">
        <f>IFERROR(CHOOSE(MATCH(IF($E537="","Основний",$E537),{"Трафіковий","Основний","Маржинальний","Сезонний","Стратегічний"},0),Settings!$H$78,Settings!$H$80,Settings!$H$82,Settings!$H$84,Settings!$H$86)+(1-(CHOOSE(MATCH(IF($E537="","Основний",$E537),{"Трафіковий","Основний","Маржинальний","Сезонний","Стратегічний"},0),Settings!$H$78,Settings!$H$80,Settings!$H$82,Settings!$H$84,Settings!$H$86)))*Settings!$H$68,"")</f>
        <v/>
      </c>
      <c r="AF537" s="148">
        <f>IFERROR((AD537*(1-Settings!$H$17)-C537)/(AD537*(1-Settings!$H$17)),"")</f>
        <v/>
      </c>
      <c r="AG537" s="150">
        <f>IFERROR(IF(AD537="","",IF(AD537&gt;=C537/(1-SKU_Base!AF537)/(1-Settings!$H$17),"OK",IF(AD537&gt;=C537/(1-SKU_Base!AM537)/(1-Settings!$H$17),"WARN","STOP"))),"")</f>
        <v/>
      </c>
    </row>
    <row r="538" ht="17" customHeight="1" s="179">
      <c r="A538" s="139">
        <f>SKU_Base!B538</f>
        <v/>
      </c>
      <c r="B538" s="139">
        <f>SKU_Base!C538</f>
        <v/>
      </c>
      <c r="C538" s="140">
        <f>IFERROR(SKU_Base!I538,"")</f>
        <v/>
      </c>
      <c r="D538" s="163">
        <f>IFERROR(SKU_Base!T538,"")</f>
        <v/>
      </c>
      <c r="E538" s="141">
        <f>IFERROR(SKU_Base!$U538,"")</f>
        <v/>
      </c>
      <c r="F538" s="158">
        <f>IFERROR(ROUND(D538*(1-CHOOSE(MATCH(IF($E538="","Основний",$E538),{"Трафіковий","Основний","Маржинальний","Сезонний","Стратегічний"},0),Settings!$B$78,Settings!$B$80,Settings!$B$82,Settings!$B$84,Settings!$B$86))/6,2)*6,"")</f>
        <v/>
      </c>
      <c r="G538" s="142">
        <f>IFERROR(CHOOSE(MATCH(IF($E538="","Основний",$E538),{"Трафіковий","Основний","Маржинальний","Сезонний","Стратегічний"},0),Settings!$B$78,Settings!$B$80,Settings!$B$82,Settings!$B$84,Settings!$B$86),"")</f>
        <v/>
      </c>
      <c r="H538" s="143">
        <f>IFERROR((F538*(1-Settings!$B$17)-C538)/(F538*(1-Settings!$B$17)),"")</f>
        <v/>
      </c>
      <c r="I538" s="149">
        <f>IFERROR(IF(F538="","",IF(F538&gt;=C538/(1-SKU_Base!Z538)/(1-Settings!$B$17),"OK",IF(F538&gt;=C538/(1-SKU_Base!AG538)/(1-Settings!$B$17),"WARN","STOP"))),"")</f>
        <v/>
      </c>
      <c r="J538" s="158">
        <f>IFERROR(ROUND(D538*(1-CHOOSE(MATCH(IF($E538="","Основний",$E538),{"Трафіковий","Основний","Маржинальний","Сезонний","Стратегічний"},0),Settings!$C$78,Settings!$C$80,Settings!$C$82,Settings!$C$84,Settings!$C$86))/6,2)*6,"")</f>
        <v/>
      </c>
      <c r="K538" s="142">
        <f>IFERROR(CHOOSE(MATCH(IF($E538="","Основний",$E538),{"Трафіковий","Основний","Маржинальний","Сезонний","Стратегічний"},0),Settings!$C$78,Settings!$C$80,Settings!$C$82,Settings!$C$84,Settings!$C$86),"")</f>
        <v/>
      </c>
      <c r="L538" s="143">
        <f>IFERROR((J538*(1-Settings!$C$17)-C538)/(J538*(1-Settings!$C$17)),"")</f>
        <v/>
      </c>
      <c r="M538" s="149">
        <f>IFERROR(IF(J538="","",IF(J538&gt;=C538/(1-SKU_Base!AA538)/(1-Settings!$C$17),"OK",IF(J538&gt;=C538/(1-SKU_Base!AH538)/(1-Settings!$C$17),"WARN","STOP"))),"")</f>
        <v/>
      </c>
      <c r="N538" s="159">
        <f>IFERROR(ROUND(D538*(1-CHOOSE(MATCH(IF($E538="","Основний",$E538),{"Трафіковий","Основний","Маржинальний","Сезонний","Стратегічний"},0),Settings!$D$78,Settings!$D$80,Settings!$D$82,Settings!$D$84,Settings!$D$86))/6,2)*6,"")</f>
        <v/>
      </c>
      <c r="O538" s="142">
        <f>IFERROR(CHOOSE(MATCH(IF($E538="","Основний",$E538),{"Трафіковий","Основний","Маржинальний","Сезонний","Стратегічний"},0),Settings!$D$78,Settings!$D$80,Settings!$D$82,Settings!$D$84,Settings!$D$86),"")</f>
        <v/>
      </c>
      <c r="P538" s="143">
        <f>IFERROR((N538*(1-Settings!$D$17)-C538)/(N538*(1-Settings!$D$17)),"")</f>
        <v/>
      </c>
      <c r="Q538" s="149">
        <f>IFERROR(IF(N538="","",IF(N538&gt;=C538/(1-SKU_Base!AB538)/(1-Settings!$D$17),"OK",IF(N538&gt;=C538/(1-SKU_Base!AI538)/(1-Settings!$D$17),"WARN","STOP"))),"")</f>
        <v/>
      </c>
      <c r="R538" s="159">
        <f>IFERROR(ROUND(D538*(1-CHOOSE(MATCH(IF($E538="","Основний",$E538),{"Трафіковий","Основний","Маржинальний","Сезонний","Стратегічний"},0),Settings!$E$78,Settings!$E$80,Settings!$E$82,Settings!$E$84,Settings!$E$86))/6,2)*6,"")</f>
        <v/>
      </c>
      <c r="S538" s="142">
        <f>IFERROR(CHOOSE(MATCH(IF($E538="","Основний",$E538),{"Трафіковий","Основний","Маржинальний","Сезонний","Стратегічний"},0),Settings!$E$78,Settings!$E$80,Settings!$E$82,Settings!$E$84,Settings!$E$86),"")</f>
        <v/>
      </c>
      <c r="T538" s="143">
        <f>IFERROR((R538*(1-Settings!$E$17)-C538)/(R538*(1-Settings!$E$17)),"")</f>
        <v/>
      </c>
      <c r="U538" s="149">
        <f>IFERROR(IF(R538="","",IF(R538&gt;=C538/(1-SKU_Base!AC538)/(1-Settings!$E$17),"OK",IF(R538&gt;=C538/(1-SKU_Base!AJ538)/(1-Settings!$E$17),"WARN","STOP"))),"")</f>
        <v/>
      </c>
      <c r="V538" s="159">
        <f>IFERROR(ROUND(D538*(1-CHOOSE(MATCH(IF($E538="","Основний",$E538),{"Трафіковий","Основний","Маржинальний","Сезонний","Стратегічний"},0),Settings!$F$78,Settings!$F$80,Settings!$F$82,Settings!$F$84,Settings!$F$86))/6,2)*6,"")</f>
        <v/>
      </c>
      <c r="W538" s="142">
        <f>IFERROR(CHOOSE(MATCH(IF($E538="","Основний",$E538),{"Трафіковий","Основний","Маржинальний","Сезонний","Стратегічний"},0),Settings!$F$78,Settings!$F$80,Settings!$F$82,Settings!$F$84,Settings!$F$86),"")</f>
        <v/>
      </c>
      <c r="X538" s="143">
        <f>IFERROR((V538*(1-Settings!$F$17)-C538)/(V538*(1-Settings!$F$17)),"")</f>
        <v/>
      </c>
      <c r="Y538" s="149">
        <f>IFERROR(IF(V538="","",IF(V538&gt;=C538/(1-SKU_Base!AD538)/(1-Settings!$F$17),"OK",IF(V538&gt;=C538/(1-SKU_Base!AK538)/(1-Settings!$F$17),"WARN","STOP"))),"")</f>
        <v/>
      </c>
      <c r="Z538" s="159">
        <f>IFERROR(ROUND(D538*(1-CHOOSE(MATCH(IF($E538="","Основний",$E538),{"Трафіковий","Основний","Маржинальний","Сезонний","Стратегічний"},0),Settings!$G$78,Settings!$G$80,Settings!$G$82,Settings!$G$84,Settings!$G$86))/6,2)*6,"")</f>
        <v/>
      </c>
      <c r="AA538" s="142">
        <f>IFERROR(CHOOSE(MATCH(IF($E538="","Основний",$E538),{"Трафіковий","Основний","Маржинальний","Сезонний","Стратегічний"},0),Settings!$G$78,Settings!$G$80,Settings!$G$82,Settings!$G$84,Settings!$G$86),"")</f>
        <v/>
      </c>
      <c r="AB538" s="143">
        <f>IFERROR((Z538*(1-Settings!$G$17)-C538)/(Z538*(1-Settings!$G$17)),"")</f>
        <v/>
      </c>
      <c r="AC538" s="149">
        <f>IFERROR(IF(Z538="","",IF(Z538&gt;=C538/(1-SKU_Base!AE538)/(1-Settings!$G$17),"OK",IF(Z538&gt;=C538/(1-SKU_Base!AL538)/(1-Settings!$G$17),"WARN","STOP"))),"")</f>
        <v/>
      </c>
      <c r="AD538" s="159">
        <f>IFERROR(ROUND(D538*(1-CHOOSE(MATCH(IF($E538="","Основний",$E538),{"Трафіковий","Основний","Маржинальний","Сезонний","Стратегічний"},0),Settings!$H$78,Settings!$H$80,Settings!$H$82,Settings!$H$84,Settings!$H$86))*(1-Settings!$H$68)/6,2)*6,"")</f>
        <v/>
      </c>
      <c r="AE538" s="142">
        <f>IFERROR(CHOOSE(MATCH(IF($E538="","Основний",$E538),{"Трафіковий","Основний","Маржинальний","Сезонний","Стратегічний"},0),Settings!$H$78,Settings!$H$80,Settings!$H$82,Settings!$H$84,Settings!$H$86)+(1-(CHOOSE(MATCH(IF($E538="","Основний",$E538),{"Трафіковий","Основний","Маржинальний","Сезонний","Стратегічний"},0),Settings!$H$78,Settings!$H$80,Settings!$H$82,Settings!$H$84,Settings!$H$86)))*Settings!$H$68,"")</f>
        <v/>
      </c>
      <c r="AF538" s="143">
        <f>IFERROR((AD538*(1-Settings!$H$17)-C538)/(AD538*(1-Settings!$H$17)),"")</f>
        <v/>
      </c>
      <c r="AG538" s="150">
        <f>IFERROR(IF(AD538="","",IF(AD538&gt;=C538/(1-SKU_Base!AF538)/(1-Settings!$H$17),"OK",IF(AD538&gt;=C538/(1-SKU_Base!AM538)/(1-Settings!$H$17),"WARN","STOP"))),"")</f>
        <v/>
      </c>
    </row>
    <row r="539" ht="17" customHeight="1" s="179">
      <c r="A539" s="146">
        <f>SKU_Base!B539</f>
        <v/>
      </c>
      <c r="B539" s="146">
        <f>SKU_Base!C539</f>
        <v/>
      </c>
      <c r="C539" s="147">
        <f>IFERROR(SKU_Base!I539,"")</f>
        <v/>
      </c>
      <c r="D539" s="164">
        <f>IFERROR(SKU_Base!T539,"")</f>
        <v/>
      </c>
      <c r="E539" s="141">
        <f>IFERROR(SKU_Base!$U539,"")</f>
        <v/>
      </c>
      <c r="F539" s="160">
        <f>IFERROR(ROUND(D539*(1-CHOOSE(MATCH(IF($E539="","Основний",$E539),{"Трафіковий","Основний","Маржинальний","Сезонний","Стратегічний"},0),Settings!$B$78,Settings!$B$80,Settings!$B$82,Settings!$B$84,Settings!$B$86))/6,2)*6,"")</f>
        <v/>
      </c>
      <c r="G539" s="142">
        <f>IFERROR(CHOOSE(MATCH(IF($E539="","Основний",$E539),{"Трафіковий","Основний","Маржинальний","Сезонний","Стратегічний"},0),Settings!$B$78,Settings!$B$80,Settings!$B$82,Settings!$B$84,Settings!$B$86),"")</f>
        <v/>
      </c>
      <c r="H539" s="148">
        <f>IFERROR((F539*(1-Settings!$B$17)-C539)/(F539*(1-Settings!$B$17)),"")</f>
        <v/>
      </c>
      <c r="I539" s="150">
        <f>IFERROR(IF(F539="","",IF(F539&gt;=C539/(1-SKU_Base!Z539)/(1-Settings!$B$17),"OK",IF(F539&gt;=C539/(1-SKU_Base!AG539)/(1-Settings!$B$17),"WARN","STOP"))),"")</f>
        <v/>
      </c>
      <c r="J539" s="160">
        <f>IFERROR(ROUND(D539*(1-CHOOSE(MATCH(IF($E539="","Основний",$E539),{"Трафіковий","Основний","Маржинальний","Сезонний","Стратегічний"},0),Settings!$C$78,Settings!$C$80,Settings!$C$82,Settings!$C$84,Settings!$C$86))/6,2)*6,"")</f>
        <v/>
      </c>
      <c r="K539" s="142">
        <f>IFERROR(CHOOSE(MATCH(IF($E539="","Основний",$E539),{"Трафіковий","Основний","Маржинальний","Сезонний","Стратегічний"},0),Settings!$C$78,Settings!$C$80,Settings!$C$82,Settings!$C$84,Settings!$C$86),"")</f>
        <v/>
      </c>
      <c r="L539" s="148">
        <f>IFERROR((J539*(1-Settings!$C$17)-C539)/(J539*(1-Settings!$C$17)),"")</f>
        <v/>
      </c>
      <c r="M539" s="149">
        <f>IFERROR(IF(J539="","",IF(J539&gt;=C539/(1-SKU_Base!AA539)/(1-Settings!$C$17),"OK",IF(J539&gt;=C539/(1-SKU_Base!AH539)/(1-Settings!$C$17),"WARN","STOP"))),"")</f>
        <v/>
      </c>
      <c r="N539" s="161">
        <f>IFERROR(ROUND(D539*(1-CHOOSE(MATCH(IF($E539="","Основний",$E539),{"Трафіковий","Основний","Маржинальний","Сезонний","Стратегічний"},0),Settings!$D$78,Settings!$D$80,Settings!$D$82,Settings!$D$84,Settings!$D$86))/6,2)*6,"")</f>
        <v/>
      </c>
      <c r="O539" s="142">
        <f>IFERROR(CHOOSE(MATCH(IF($E539="","Основний",$E539),{"Трафіковий","Основний","Маржинальний","Сезонний","Стратегічний"},0),Settings!$D$78,Settings!$D$80,Settings!$D$82,Settings!$D$84,Settings!$D$86),"")</f>
        <v/>
      </c>
      <c r="P539" s="148">
        <f>IFERROR((N539*(1-Settings!$D$17)-C539)/(N539*(1-Settings!$D$17)),"")</f>
        <v/>
      </c>
      <c r="Q539" s="149">
        <f>IFERROR(IF(N539="","",IF(N539&gt;=C539/(1-SKU_Base!AB539)/(1-Settings!$D$17),"OK",IF(N539&gt;=C539/(1-SKU_Base!AI539)/(1-Settings!$D$17),"WARN","STOP"))),"")</f>
        <v/>
      </c>
      <c r="R539" s="161">
        <f>IFERROR(ROUND(D539*(1-CHOOSE(MATCH(IF($E539="","Основний",$E539),{"Трафіковий","Основний","Маржинальний","Сезонний","Стратегічний"},0),Settings!$E$78,Settings!$E$80,Settings!$E$82,Settings!$E$84,Settings!$E$86))/6,2)*6,"")</f>
        <v/>
      </c>
      <c r="S539" s="142">
        <f>IFERROR(CHOOSE(MATCH(IF($E539="","Основний",$E539),{"Трафіковий","Основний","Маржинальний","Сезонний","Стратегічний"},0),Settings!$E$78,Settings!$E$80,Settings!$E$82,Settings!$E$84,Settings!$E$86),"")</f>
        <v/>
      </c>
      <c r="T539" s="148">
        <f>IFERROR((R539*(1-Settings!$E$17)-C539)/(R539*(1-Settings!$E$17)),"")</f>
        <v/>
      </c>
      <c r="U539" s="149">
        <f>IFERROR(IF(R539="","",IF(R539&gt;=C539/(1-SKU_Base!AC539)/(1-Settings!$E$17),"OK",IF(R539&gt;=C539/(1-SKU_Base!AJ539)/(1-Settings!$E$17),"WARN","STOP"))),"")</f>
        <v/>
      </c>
      <c r="V539" s="161">
        <f>IFERROR(ROUND(D539*(1-CHOOSE(MATCH(IF($E539="","Основний",$E539),{"Трафіковий","Основний","Маржинальний","Сезонний","Стратегічний"},0),Settings!$F$78,Settings!$F$80,Settings!$F$82,Settings!$F$84,Settings!$F$86))/6,2)*6,"")</f>
        <v/>
      </c>
      <c r="W539" s="142">
        <f>IFERROR(CHOOSE(MATCH(IF($E539="","Основний",$E539),{"Трафіковий","Основний","Маржинальний","Сезонний","Стратегічний"},0),Settings!$F$78,Settings!$F$80,Settings!$F$82,Settings!$F$84,Settings!$F$86),"")</f>
        <v/>
      </c>
      <c r="X539" s="148">
        <f>IFERROR((V539*(1-Settings!$F$17)-C539)/(V539*(1-Settings!$F$17)),"")</f>
        <v/>
      </c>
      <c r="Y539" s="149">
        <f>IFERROR(IF(V539="","",IF(V539&gt;=C539/(1-SKU_Base!AD539)/(1-Settings!$F$17),"OK",IF(V539&gt;=C539/(1-SKU_Base!AK539)/(1-Settings!$F$17),"WARN","STOP"))),"")</f>
        <v/>
      </c>
      <c r="Z539" s="161">
        <f>IFERROR(ROUND(D539*(1-CHOOSE(MATCH(IF($E539="","Основний",$E539),{"Трафіковий","Основний","Маржинальний","Сезонний","Стратегічний"},0),Settings!$G$78,Settings!$G$80,Settings!$G$82,Settings!$G$84,Settings!$G$86))/6,2)*6,"")</f>
        <v/>
      </c>
      <c r="AA539" s="142">
        <f>IFERROR(CHOOSE(MATCH(IF($E539="","Основний",$E539),{"Трафіковий","Основний","Маржинальний","Сезонний","Стратегічний"},0),Settings!$G$78,Settings!$G$80,Settings!$G$82,Settings!$G$84,Settings!$G$86),"")</f>
        <v/>
      </c>
      <c r="AB539" s="148">
        <f>IFERROR((Z539*(1-Settings!$G$17)-C539)/(Z539*(1-Settings!$G$17)),"")</f>
        <v/>
      </c>
      <c r="AC539" s="149">
        <f>IFERROR(IF(Z539="","",IF(Z539&gt;=C539/(1-SKU_Base!AE539)/(1-Settings!$G$17),"OK",IF(Z539&gt;=C539/(1-SKU_Base!AL539)/(1-Settings!$G$17),"WARN","STOP"))),"")</f>
        <v/>
      </c>
      <c r="AD539" s="161">
        <f>IFERROR(ROUND(D539*(1-CHOOSE(MATCH(IF($E539="","Основний",$E539),{"Трафіковий","Основний","Маржинальний","Сезонний","Стратегічний"},0),Settings!$H$78,Settings!$H$80,Settings!$H$82,Settings!$H$84,Settings!$H$86))*(1-Settings!$H$68)/6,2)*6,"")</f>
        <v/>
      </c>
      <c r="AE539" s="142">
        <f>IFERROR(CHOOSE(MATCH(IF($E539="","Основний",$E539),{"Трафіковий","Основний","Маржинальний","Сезонний","Стратегічний"},0),Settings!$H$78,Settings!$H$80,Settings!$H$82,Settings!$H$84,Settings!$H$86)+(1-(CHOOSE(MATCH(IF($E539="","Основний",$E539),{"Трафіковий","Основний","Маржинальний","Сезонний","Стратегічний"},0),Settings!$H$78,Settings!$H$80,Settings!$H$82,Settings!$H$84,Settings!$H$86)))*Settings!$H$68,"")</f>
        <v/>
      </c>
      <c r="AF539" s="148">
        <f>IFERROR((AD539*(1-Settings!$H$17)-C539)/(AD539*(1-Settings!$H$17)),"")</f>
        <v/>
      </c>
      <c r="AG539" s="150">
        <f>IFERROR(IF(AD539="","",IF(AD539&gt;=C539/(1-SKU_Base!AF539)/(1-Settings!$H$17),"OK",IF(AD539&gt;=C539/(1-SKU_Base!AM539)/(1-Settings!$H$17),"WARN","STOP"))),"")</f>
        <v/>
      </c>
    </row>
    <row r="540" ht="17" customHeight="1" s="179">
      <c r="A540" s="139">
        <f>SKU_Base!B540</f>
        <v/>
      </c>
      <c r="B540" s="139">
        <f>SKU_Base!C540</f>
        <v/>
      </c>
      <c r="C540" s="140">
        <f>IFERROR(SKU_Base!I540,"")</f>
        <v/>
      </c>
      <c r="D540" s="163">
        <f>IFERROR(SKU_Base!T540,"")</f>
        <v/>
      </c>
      <c r="E540" s="141">
        <f>IFERROR(SKU_Base!$U540,"")</f>
        <v/>
      </c>
      <c r="F540" s="158">
        <f>IFERROR(ROUND(D540*(1-CHOOSE(MATCH(IF($E540="","Основний",$E540),{"Трафіковий","Основний","Маржинальний","Сезонний","Стратегічний"},0),Settings!$B$78,Settings!$B$80,Settings!$B$82,Settings!$B$84,Settings!$B$86))/6,2)*6,"")</f>
        <v/>
      </c>
      <c r="G540" s="142">
        <f>IFERROR(CHOOSE(MATCH(IF($E540="","Основний",$E540),{"Трафіковий","Основний","Маржинальний","Сезонний","Стратегічний"},0),Settings!$B$78,Settings!$B$80,Settings!$B$82,Settings!$B$84,Settings!$B$86),"")</f>
        <v/>
      </c>
      <c r="H540" s="143">
        <f>IFERROR((F540*(1-Settings!$B$17)-C540)/(F540*(1-Settings!$B$17)),"")</f>
        <v/>
      </c>
      <c r="I540" s="149">
        <f>IFERROR(IF(F540="","",IF(F540&gt;=C540/(1-SKU_Base!Z540)/(1-Settings!$B$17),"OK",IF(F540&gt;=C540/(1-SKU_Base!AG540)/(1-Settings!$B$17),"WARN","STOP"))),"")</f>
        <v/>
      </c>
      <c r="J540" s="158">
        <f>IFERROR(ROUND(D540*(1-CHOOSE(MATCH(IF($E540="","Основний",$E540),{"Трафіковий","Основний","Маржинальний","Сезонний","Стратегічний"},0),Settings!$C$78,Settings!$C$80,Settings!$C$82,Settings!$C$84,Settings!$C$86))/6,2)*6,"")</f>
        <v/>
      </c>
      <c r="K540" s="142">
        <f>IFERROR(CHOOSE(MATCH(IF($E540="","Основний",$E540),{"Трафіковий","Основний","Маржинальний","Сезонний","Стратегічний"},0),Settings!$C$78,Settings!$C$80,Settings!$C$82,Settings!$C$84,Settings!$C$86),"")</f>
        <v/>
      </c>
      <c r="L540" s="143">
        <f>IFERROR((J540*(1-Settings!$C$17)-C540)/(J540*(1-Settings!$C$17)),"")</f>
        <v/>
      </c>
      <c r="M540" s="149">
        <f>IFERROR(IF(J540="","",IF(J540&gt;=C540/(1-SKU_Base!AA540)/(1-Settings!$C$17),"OK",IF(J540&gt;=C540/(1-SKU_Base!AH540)/(1-Settings!$C$17),"WARN","STOP"))),"")</f>
        <v/>
      </c>
      <c r="N540" s="159">
        <f>IFERROR(ROUND(D540*(1-CHOOSE(MATCH(IF($E540="","Основний",$E540),{"Трафіковий","Основний","Маржинальний","Сезонний","Стратегічний"},0),Settings!$D$78,Settings!$D$80,Settings!$D$82,Settings!$D$84,Settings!$D$86))/6,2)*6,"")</f>
        <v/>
      </c>
      <c r="O540" s="142">
        <f>IFERROR(CHOOSE(MATCH(IF($E540="","Основний",$E540),{"Трафіковий","Основний","Маржинальний","Сезонний","Стратегічний"},0),Settings!$D$78,Settings!$D$80,Settings!$D$82,Settings!$D$84,Settings!$D$86),"")</f>
        <v/>
      </c>
      <c r="P540" s="143">
        <f>IFERROR((N540*(1-Settings!$D$17)-C540)/(N540*(1-Settings!$D$17)),"")</f>
        <v/>
      </c>
      <c r="Q540" s="149">
        <f>IFERROR(IF(N540="","",IF(N540&gt;=C540/(1-SKU_Base!AB540)/(1-Settings!$D$17),"OK",IF(N540&gt;=C540/(1-SKU_Base!AI540)/(1-Settings!$D$17),"WARN","STOP"))),"")</f>
        <v/>
      </c>
      <c r="R540" s="159">
        <f>IFERROR(ROUND(D540*(1-CHOOSE(MATCH(IF($E540="","Основний",$E540),{"Трафіковий","Основний","Маржинальний","Сезонний","Стратегічний"},0),Settings!$E$78,Settings!$E$80,Settings!$E$82,Settings!$E$84,Settings!$E$86))/6,2)*6,"")</f>
        <v/>
      </c>
      <c r="S540" s="142">
        <f>IFERROR(CHOOSE(MATCH(IF($E540="","Основний",$E540),{"Трафіковий","Основний","Маржинальний","Сезонний","Стратегічний"},0),Settings!$E$78,Settings!$E$80,Settings!$E$82,Settings!$E$84,Settings!$E$86),"")</f>
        <v/>
      </c>
      <c r="T540" s="143">
        <f>IFERROR((R540*(1-Settings!$E$17)-C540)/(R540*(1-Settings!$E$17)),"")</f>
        <v/>
      </c>
      <c r="U540" s="149">
        <f>IFERROR(IF(R540="","",IF(R540&gt;=C540/(1-SKU_Base!AC540)/(1-Settings!$E$17),"OK",IF(R540&gt;=C540/(1-SKU_Base!AJ540)/(1-Settings!$E$17),"WARN","STOP"))),"")</f>
        <v/>
      </c>
      <c r="V540" s="159">
        <f>IFERROR(ROUND(D540*(1-CHOOSE(MATCH(IF($E540="","Основний",$E540),{"Трафіковий","Основний","Маржинальний","Сезонний","Стратегічний"},0),Settings!$F$78,Settings!$F$80,Settings!$F$82,Settings!$F$84,Settings!$F$86))/6,2)*6,"")</f>
        <v/>
      </c>
      <c r="W540" s="142">
        <f>IFERROR(CHOOSE(MATCH(IF($E540="","Основний",$E540),{"Трафіковий","Основний","Маржинальний","Сезонний","Стратегічний"},0),Settings!$F$78,Settings!$F$80,Settings!$F$82,Settings!$F$84,Settings!$F$86),"")</f>
        <v/>
      </c>
      <c r="X540" s="143">
        <f>IFERROR((V540*(1-Settings!$F$17)-C540)/(V540*(1-Settings!$F$17)),"")</f>
        <v/>
      </c>
      <c r="Y540" s="149">
        <f>IFERROR(IF(V540="","",IF(V540&gt;=C540/(1-SKU_Base!AD540)/(1-Settings!$F$17),"OK",IF(V540&gt;=C540/(1-SKU_Base!AK540)/(1-Settings!$F$17),"WARN","STOP"))),"")</f>
        <v/>
      </c>
      <c r="Z540" s="159">
        <f>IFERROR(ROUND(D540*(1-CHOOSE(MATCH(IF($E540="","Основний",$E540),{"Трафіковий","Основний","Маржинальний","Сезонний","Стратегічний"},0),Settings!$G$78,Settings!$G$80,Settings!$G$82,Settings!$G$84,Settings!$G$86))/6,2)*6,"")</f>
        <v/>
      </c>
      <c r="AA540" s="142">
        <f>IFERROR(CHOOSE(MATCH(IF($E540="","Основний",$E540),{"Трафіковий","Основний","Маржинальний","Сезонний","Стратегічний"},0),Settings!$G$78,Settings!$G$80,Settings!$G$82,Settings!$G$84,Settings!$G$86),"")</f>
        <v/>
      </c>
      <c r="AB540" s="143">
        <f>IFERROR((Z540*(1-Settings!$G$17)-C540)/(Z540*(1-Settings!$G$17)),"")</f>
        <v/>
      </c>
      <c r="AC540" s="149">
        <f>IFERROR(IF(Z540="","",IF(Z540&gt;=C540/(1-SKU_Base!AE540)/(1-Settings!$G$17),"OK",IF(Z540&gt;=C540/(1-SKU_Base!AL540)/(1-Settings!$G$17),"WARN","STOP"))),"")</f>
        <v/>
      </c>
      <c r="AD540" s="159">
        <f>IFERROR(ROUND(D540*(1-CHOOSE(MATCH(IF($E540="","Основний",$E540),{"Трафіковий","Основний","Маржинальний","Сезонний","Стратегічний"},0),Settings!$H$78,Settings!$H$80,Settings!$H$82,Settings!$H$84,Settings!$H$86))*(1-Settings!$H$68)/6,2)*6,"")</f>
        <v/>
      </c>
      <c r="AE540" s="142">
        <f>IFERROR(CHOOSE(MATCH(IF($E540="","Основний",$E540),{"Трафіковий","Основний","Маржинальний","Сезонний","Стратегічний"},0),Settings!$H$78,Settings!$H$80,Settings!$H$82,Settings!$H$84,Settings!$H$86)+(1-(CHOOSE(MATCH(IF($E540="","Основний",$E540),{"Трафіковий","Основний","Маржинальний","Сезонний","Стратегічний"},0),Settings!$H$78,Settings!$H$80,Settings!$H$82,Settings!$H$84,Settings!$H$86)))*Settings!$H$68,"")</f>
        <v/>
      </c>
      <c r="AF540" s="143">
        <f>IFERROR((AD540*(1-Settings!$H$17)-C540)/(AD540*(1-Settings!$H$17)),"")</f>
        <v/>
      </c>
      <c r="AG540" s="150">
        <f>IFERROR(IF(AD540="","",IF(AD540&gt;=C540/(1-SKU_Base!AF540)/(1-Settings!$H$17),"OK",IF(AD540&gt;=C540/(1-SKU_Base!AM540)/(1-Settings!$H$17),"WARN","STOP"))),"")</f>
        <v/>
      </c>
    </row>
    <row r="541" ht="17" customHeight="1" s="179">
      <c r="A541" s="146">
        <f>SKU_Base!B541</f>
        <v/>
      </c>
      <c r="B541" s="146">
        <f>SKU_Base!C541</f>
        <v/>
      </c>
      <c r="C541" s="147">
        <f>IFERROR(SKU_Base!I541,"")</f>
        <v/>
      </c>
      <c r="D541" s="164">
        <f>IFERROR(SKU_Base!T541,"")</f>
        <v/>
      </c>
      <c r="E541" s="141">
        <f>IFERROR(SKU_Base!$U541,"")</f>
        <v/>
      </c>
      <c r="F541" s="160">
        <f>IFERROR(ROUND(D541*(1-CHOOSE(MATCH(IF($E541="","Основний",$E541),{"Трафіковий","Основний","Маржинальний","Сезонний","Стратегічний"},0),Settings!$B$78,Settings!$B$80,Settings!$B$82,Settings!$B$84,Settings!$B$86))/6,2)*6,"")</f>
        <v/>
      </c>
      <c r="G541" s="142">
        <f>IFERROR(CHOOSE(MATCH(IF($E541="","Основний",$E541),{"Трафіковий","Основний","Маржинальний","Сезонний","Стратегічний"},0),Settings!$B$78,Settings!$B$80,Settings!$B$82,Settings!$B$84,Settings!$B$86),"")</f>
        <v/>
      </c>
      <c r="H541" s="148">
        <f>IFERROR((F541*(1-Settings!$B$17)-C541)/(F541*(1-Settings!$B$17)),"")</f>
        <v/>
      </c>
      <c r="I541" s="149">
        <f>IFERROR(IF(F541="","",IF(F541&gt;=C541/(1-SKU_Base!Z541)/(1-Settings!$B$17),"OK",IF(F541&gt;=C541/(1-SKU_Base!AG541)/(1-Settings!$B$17),"WARN","STOP"))),"")</f>
        <v/>
      </c>
      <c r="J541" s="160">
        <f>IFERROR(ROUND(D541*(1-CHOOSE(MATCH(IF($E541="","Основний",$E541),{"Трафіковий","Основний","Маржинальний","Сезонний","Стратегічний"},0),Settings!$C$78,Settings!$C$80,Settings!$C$82,Settings!$C$84,Settings!$C$86))/6,2)*6,"")</f>
        <v/>
      </c>
      <c r="K541" s="142">
        <f>IFERROR(CHOOSE(MATCH(IF($E541="","Основний",$E541),{"Трафіковий","Основний","Маржинальний","Сезонний","Стратегічний"},0),Settings!$C$78,Settings!$C$80,Settings!$C$82,Settings!$C$84,Settings!$C$86),"")</f>
        <v/>
      </c>
      <c r="L541" s="148">
        <f>IFERROR((J541*(1-Settings!$C$17)-C541)/(J541*(1-Settings!$C$17)),"")</f>
        <v/>
      </c>
      <c r="M541" s="149">
        <f>IFERROR(IF(J541="","",IF(J541&gt;=C541/(1-SKU_Base!AA541)/(1-Settings!$C$17),"OK",IF(J541&gt;=C541/(1-SKU_Base!AH541)/(1-Settings!$C$17),"WARN","STOP"))),"")</f>
        <v/>
      </c>
      <c r="N541" s="161">
        <f>IFERROR(ROUND(D541*(1-CHOOSE(MATCH(IF($E541="","Основний",$E541),{"Трафіковий","Основний","Маржинальний","Сезонний","Стратегічний"},0),Settings!$D$78,Settings!$D$80,Settings!$D$82,Settings!$D$84,Settings!$D$86))/6,2)*6,"")</f>
        <v/>
      </c>
      <c r="O541" s="142">
        <f>IFERROR(CHOOSE(MATCH(IF($E541="","Основний",$E541),{"Трафіковий","Основний","Маржинальний","Сезонний","Стратегічний"},0),Settings!$D$78,Settings!$D$80,Settings!$D$82,Settings!$D$84,Settings!$D$86),"")</f>
        <v/>
      </c>
      <c r="P541" s="148">
        <f>IFERROR((N541*(1-Settings!$D$17)-C541)/(N541*(1-Settings!$D$17)),"")</f>
        <v/>
      </c>
      <c r="Q541" s="149">
        <f>IFERROR(IF(N541="","",IF(N541&gt;=C541/(1-SKU_Base!AB541)/(1-Settings!$D$17),"OK",IF(N541&gt;=C541/(1-SKU_Base!AI541)/(1-Settings!$D$17),"WARN","STOP"))),"")</f>
        <v/>
      </c>
      <c r="R541" s="161">
        <f>IFERROR(ROUND(D541*(1-CHOOSE(MATCH(IF($E541="","Основний",$E541),{"Трафіковий","Основний","Маржинальний","Сезонний","Стратегічний"},0),Settings!$E$78,Settings!$E$80,Settings!$E$82,Settings!$E$84,Settings!$E$86))/6,2)*6,"")</f>
        <v/>
      </c>
      <c r="S541" s="142">
        <f>IFERROR(CHOOSE(MATCH(IF($E541="","Основний",$E541),{"Трафіковий","Основний","Маржинальний","Сезонний","Стратегічний"},0),Settings!$E$78,Settings!$E$80,Settings!$E$82,Settings!$E$84,Settings!$E$86),"")</f>
        <v/>
      </c>
      <c r="T541" s="148">
        <f>IFERROR((R541*(1-Settings!$E$17)-C541)/(R541*(1-Settings!$E$17)),"")</f>
        <v/>
      </c>
      <c r="U541" s="149">
        <f>IFERROR(IF(R541="","",IF(R541&gt;=C541/(1-SKU_Base!AC541)/(1-Settings!$E$17),"OK",IF(R541&gt;=C541/(1-SKU_Base!AJ541)/(1-Settings!$E$17),"WARN","STOP"))),"")</f>
        <v/>
      </c>
      <c r="V541" s="161">
        <f>IFERROR(ROUND(D541*(1-CHOOSE(MATCH(IF($E541="","Основний",$E541),{"Трафіковий","Основний","Маржинальний","Сезонний","Стратегічний"},0),Settings!$F$78,Settings!$F$80,Settings!$F$82,Settings!$F$84,Settings!$F$86))/6,2)*6,"")</f>
        <v/>
      </c>
      <c r="W541" s="142">
        <f>IFERROR(CHOOSE(MATCH(IF($E541="","Основний",$E541),{"Трафіковий","Основний","Маржинальний","Сезонний","Стратегічний"},0),Settings!$F$78,Settings!$F$80,Settings!$F$82,Settings!$F$84,Settings!$F$86),"")</f>
        <v/>
      </c>
      <c r="X541" s="148">
        <f>IFERROR((V541*(1-Settings!$F$17)-C541)/(V541*(1-Settings!$F$17)),"")</f>
        <v/>
      </c>
      <c r="Y541" s="149">
        <f>IFERROR(IF(V541="","",IF(V541&gt;=C541/(1-SKU_Base!AD541)/(1-Settings!$F$17),"OK",IF(V541&gt;=C541/(1-SKU_Base!AK541)/(1-Settings!$F$17),"WARN","STOP"))),"")</f>
        <v/>
      </c>
      <c r="Z541" s="161">
        <f>IFERROR(ROUND(D541*(1-CHOOSE(MATCH(IF($E541="","Основний",$E541),{"Трафіковий","Основний","Маржинальний","Сезонний","Стратегічний"},0),Settings!$G$78,Settings!$G$80,Settings!$G$82,Settings!$G$84,Settings!$G$86))/6,2)*6,"")</f>
        <v/>
      </c>
      <c r="AA541" s="142">
        <f>IFERROR(CHOOSE(MATCH(IF($E541="","Основний",$E541),{"Трафіковий","Основний","Маржинальний","Сезонний","Стратегічний"},0),Settings!$G$78,Settings!$G$80,Settings!$G$82,Settings!$G$84,Settings!$G$86),"")</f>
        <v/>
      </c>
      <c r="AB541" s="148">
        <f>IFERROR((Z541*(1-Settings!$G$17)-C541)/(Z541*(1-Settings!$G$17)),"")</f>
        <v/>
      </c>
      <c r="AC541" s="149">
        <f>IFERROR(IF(Z541="","",IF(Z541&gt;=C541/(1-SKU_Base!AE541)/(1-Settings!$G$17),"OK",IF(Z541&gt;=C541/(1-SKU_Base!AL541)/(1-Settings!$G$17),"WARN","STOP"))),"")</f>
        <v/>
      </c>
      <c r="AD541" s="161">
        <f>IFERROR(ROUND(D541*(1-CHOOSE(MATCH(IF($E541="","Основний",$E541),{"Трафіковий","Основний","Маржинальний","Сезонний","Стратегічний"},0),Settings!$H$78,Settings!$H$80,Settings!$H$82,Settings!$H$84,Settings!$H$86))*(1-Settings!$H$68)/6,2)*6,"")</f>
        <v/>
      </c>
      <c r="AE541" s="142">
        <f>IFERROR(CHOOSE(MATCH(IF($E541="","Основний",$E541),{"Трафіковий","Основний","Маржинальний","Сезонний","Стратегічний"},0),Settings!$H$78,Settings!$H$80,Settings!$H$82,Settings!$H$84,Settings!$H$86)+(1-(CHOOSE(MATCH(IF($E541="","Основний",$E541),{"Трафіковий","Основний","Маржинальний","Сезонний","Стратегічний"},0),Settings!$H$78,Settings!$H$80,Settings!$H$82,Settings!$H$84,Settings!$H$86)))*Settings!$H$68,"")</f>
        <v/>
      </c>
      <c r="AF541" s="148">
        <f>IFERROR((AD541*(1-Settings!$H$17)-C541)/(AD541*(1-Settings!$H$17)),"")</f>
        <v/>
      </c>
      <c r="AG541" s="150">
        <f>IFERROR(IF(AD541="","",IF(AD541&gt;=C541/(1-SKU_Base!AF541)/(1-Settings!$H$17),"OK",IF(AD541&gt;=C541/(1-SKU_Base!AM541)/(1-Settings!$H$17),"WARN","STOP"))),"")</f>
        <v/>
      </c>
    </row>
    <row r="542" ht="17" customHeight="1" s="179">
      <c r="A542" s="139">
        <f>SKU_Base!B542</f>
        <v/>
      </c>
      <c r="B542" s="139">
        <f>SKU_Base!C542</f>
        <v/>
      </c>
      <c r="C542" s="140">
        <f>IFERROR(SKU_Base!I542,"")</f>
        <v/>
      </c>
      <c r="D542" s="163">
        <f>IFERROR(SKU_Base!T542,"")</f>
        <v/>
      </c>
      <c r="E542" s="141">
        <f>IFERROR(SKU_Base!$U542,"")</f>
        <v/>
      </c>
      <c r="F542" s="158">
        <f>IFERROR(ROUND(D542*(1-CHOOSE(MATCH(IF($E542="","Основний",$E542),{"Трафіковий","Основний","Маржинальний","Сезонний","Стратегічний"},0),Settings!$B$78,Settings!$B$80,Settings!$B$82,Settings!$B$84,Settings!$B$86))/6,2)*6,"")</f>
        <v/>
      </c>
      <c r="G542" s="142">
        <f>IFERROR(CHOOSE(MATCH(IF($E542="","Основний",$E542),{"Трафіковий","Основний","Маржинальний","Сезонний","Стратегічний"},0),Settings!$B$78,Settings!$B$80,Settings!$B$82,Settings!$B$84,Settings!$B$86),"")</f>
        <v/>
      </c>
      <c r="H542" s="143">
        <f>IFERROR((F542*(1-Settings!$B$17)-C542)/(F542*(1-Settings!$B$17)),"")</f>
        <v/>
      </c>
      <c r="I542" s="149">
        <f>IFERROR(IF(F542="","",IF(F542&gt;=C542/(1-SKU_Base!Z542)/(1-Settings!$B$17),"OK",IF(F542&gt;=C542/(1-SKU_Base!AG542)/(1-Settings!$B$17),"WARN","STOP"))),"")</f>
        <v/>
      </c>
      <c r="J542" s="158">
        <f>IFERROR(ROUND(D542*(1-CHOOSE(MATCH(IF($E542="","Основний",$E542),{"Трафіковий","Основний","Маржинальний","Сезонний","Стратегічний"},0),Settings!$C$78,Settings!$C$80,Settings!$C$82,Settings!$C$84,Settings!$C$86))/6,2)*6,"")</f>
        <v/>
      </c>
      <c r="K542" s="142">
        <f>IFERROR(CHOOSE(MATCH(IF($E542="","Основний",$E542),{"Трафіковий","Основний","Маржинальний","Сезонний","Стратегічний"},0),Settings!$C$78,Settings!$C$80,Settings!$C$82,Settings!$C$84,Settings!$C$86),"")</f>
        <v/>
      </c>
      <c r="L542" s="143">
        <f>IFERROR((J542*(1-Settings!$C$17)-C542)/(J542*(1-Settings!$C$17)),"")</f>
        <v/>
      </c>
      <c r="M542" s="149">
        <f>IFERROR(IF(J542="","",IF(J542&gt;=C542/(1-SKU_Base!AA542)/(1-Settings!$C$17),"OK",IF(J542&gt;=C542/(1-SKU_Base!AH542)/(1-Settings!$C$17),"WARN","STOP"))),"")</f>
        <v/>
      </c>
      <c r="N542" s="159">
        <f>IFERROR(ROUND(D542*(1-CHOOSE(MATCH(IF($E542="","Основний",$E542),{"Трафіковий","Основний","Маржинальний","Сезонний","Стратегічний"},0),Settings!$D$78,Settings!$D$80,Settings!$D$82,Settings!$D$84,Settings!$D$86))/6,2)*6,"")</f>
        <v/>
      </c>
      <c r="O542" s="142">
        <f>IFERROR(CHOOSE(MATCH(IF($E542="","Основний",$E542),{"Трафіковий","Основний","Маржинальний","Сезонний","Стратегічний"},0),Settings!$D$78,Settings!$D$80,Settings!$D$82,Settings!$D$84,Settings!$D$86),"")</f>
        <v/>
      </c>
      <c r="P542" s="143">
        <f>IFERROR((N542*(1-Settings!$D$17)-C542)/(N542*(1-Settings!$D$17)),"")</f>
        <v/>
      </c>
      <c r="Q542" s="149">
        <f>IFERROR(IF(N542="","",IF(N542&gt;=C542/(1-SKU_Base!AB542)/(1-Settings!$D$17),"OK",IF(N542&gt;=C542/(1-SKU_Base!AI542)/(1-Settings!$D$17),"WARN","STOP"))),"")</f>
        <v/>
      </c>
      <c r="R542" s="159">
        <f>IFERROR(ROUND(D542*(1-CHOOSE(MATCH(IF($E542="","Основний",$E542),{"Трафіковий","Основний","Маржинальний","Сезонний","Стратегічний"},0),Settings!$E$78,Settings!$E$80,Settings!$E$82,Settings!$E$84,Settings!$E$86))/6,2)*6,"")</f>
        <v/>
      </c>
      <c r="S542" s="142">
        <f>IFERROR(CHOOSE(MATCH(IF($E542="","Основний",$E542),{"Трафіковий","Основний","Маржинальний","Сезонний","Стратегічний"},0),Settings!$E$78,Settings!$E$80,Settings!$E$82,Settings!$E$84,Settings!$E$86),"")</f>
        <v/>
      </c>
      <c r="T542" s="143">
        <f>IFERROR((R542*(1-Settings!$E$17)-C542)/(R542*(1-Settings!$E$17)),"")</f>
        <v/>
      </c>
      <c r="U542" s="149">
        <f>IFERROR(IF(R542="","",IF(R542&gt;=C542/(1-SKU_Base!AC542)/(1-Settings!$E$17),"OK",IF(R542&gt;=C542/(1-SKU_Base!AJ542)/(1-Settings!$E$17),"WARN","STOP"))),"")</f>
        <v/>
      </c>
      <c r="V542" s="159">
        <f>IFERROR(ROUND(D542*(1-CHOOSE(MATCH(IF($E542="","Основний",$E542),{"Трафіковий","Основний","Маржинальний","Сезонний","Стратегічний"},0),Settings!$F$78,Settings!$F$80,Settings!$F$82,Settings!$F$84,Settings!$F$86))/6,2)*6,"")</f>
        <v/>
      </c>
      <c r="W542" s="142">
        <f>IFERROR(CHOOSE(MATCH(IF($E542="","Основний",$E542),{"Трафіковий","Основний","Маржинальний","Сезонний","Стратегічний"},0),Settings!$F$78,Settings!$F$80,Settings!$F$82,Settings!$F$84,Settings!$F$86),"")</f>
        <v/>
      </c>
      <c r="X542" s="143">
        <f>IFERROR((V542*(1-Settings!$F$17)-C542)/(V542*(1-Settings!$F$17)),"")</f>
        <v/>
      </c>
      <c r="Y542" s="149">
        <f>IFERROR(IF(V542="","",IF(V542&gt;=C542/(1-SKU_Base!AD542)/(1-Settings!$F$17),"OK",IF(V542&gt;=C542/(1-SKU_Base!AK542)/(1-Settings!$F$17),"WARN","STOP"))),"")</f>
        <v/>
      </c>
      <c r="Z542" s="159">
        <f>IFERROR(ROUND(D542*(1-CHOOSE(MATCH(IF($E542="","Основний",$E542),{"Трафіковий","Основний","Маржинальний","Сезонний","Стратегічний"},0),Settings!$G$78,Settings!$G$80,Settings!$G$82,Settings!$G$84,Settings!$G$86))/6,2)*6,"")</f>
        <v/>
      </c>
      <c r="AA542" s="142">
        <f>IFERROR(CHOOSE(MATCH(IF($E542="","Основний",$E542),{"Трафіковий","Основний","Маржинальний","Сезонний","Стратегічний"},0),Settings!$G$78,Settings!$G$80,Settings!$G$82,Settings!$G$84,Settings!$G$86),"")</f>
        <v/>
      </c>
      <c r="AB542" s="143">
        <f>IFERROR((Z542*(1-Settings!$G$17)-C542)/(Z542*(1-Settings!$G$17)),"")</f>
        <v/>
      </c>
      <c r="AC542" s="149">
        <f>IFERROR(IF(Z542="","",IF(Z542&gt;=C542/(1-SKU_Base!AE542)/(1-Settings!$G$17),"OK",IF(Z542&gt;=C542/(1-SKU_Base!AL542)/(1-Settings!$G$17),"WARN","STOP"))),"")</f>
        <v/>
      </c>
      <c r="AD542" s="159">
        <f>IFERROR(ROUND(D542*(1-CHOOSE(MATCH(IF($E542="","Основний",$E542),{"Трафіковий","Основний","Маржинальний","Сезонний","Стратегічний"},0),Settings!$H$78,Settings!$H$80,Settings!$H$82,Settings!$H$84,Settings!$H$86))*(1-Settings!$H$68)/6,2)*6,"")</f>
        <v/>
      </c>
      <c r="AE542" s="142">
        <f>IFERROR(CHOOSE(MATCH(IF($E542="","Основний",$E542),{"Трафіковий","Основний","Маржинальний","Сезонний","Стратегічний"},0),Settings!$H$78,Settings!$H$80,Settings!$H$82,Settings!$H$84,Settings!$H$86)+(1-(CHOOSE(MATCH(IF($E542="","Основний",$E542),{"Трафіковий","Основний","Маржинальний","Сезонний","Стратегічний"},0),Settings!$H$78,Settings!$H$80,Settings!$H$82,Settings!$H$84,Settings!$H$86)))*Settings!$H$68,"")</f>
        <v/>
      </c>
      <c r="AF542" s="143">
        <f>IFERROR((AD542*(1-Settings!$H$17)-C542)/(AD542*(1-Settings!$H$17)),"")</f>
        <v/>
      </c>
      <c r="AG542" s="150">
        <f>IFERROR(IF(AD542="","",IF(AD542&gt;=C542/(1-SKU_Base!AF542)/(1-Settings!$H$17),"OK",IF(AD542&gt;=C542/(1-SKU_Base!AM542)/(1-Settings!$H$17),"WARN","STOP"))),"")</f>
        <v/>
      </c>
    </row>
    <row r="543" ht="17" customHeight="1" s="179">
      <c r="A543" s="146">
        <f>SKU_Base!B543</f>
        <v/>
      </c>
      <c r="B543" s="146">
        <f>SKU_Base!C543</f>
        <v/>
      </c>
      <c r="C543" s="147">
        <f>IFERROR(SKU_Base!I543,"")</f>
        <v/>
      </c>
      <c r="D543" s="164">
        <f>IFERROR(SKU_Base!T543,"")</f>
        <v/>
      </c>
      <c r="E543" s="141">
        <f>IFERROR(SKU_Base!$U543,"")</f>
        <v/>
      </c>
      <c r="F543" s="160">
        <f>IFERROR(ROUND(D543*(1-CHOOSE(MATCH(IF($E543="","Основний",$E543),{"Трафіковий","Основний","Маржинальний","Сезонний","Стратегічний"},0),Settings!$B$78,Settings!$B$80,Settings!$B$82,Settings!$B$84,Settings!$B$86))/6,2)*6,"")</f>
        <v/>
      </c>
      <c r="G543" s="142">
        <f>IFERROR(CHOOSE(MATCH(IF($E543="","Основний",$E543),{"Трафіковий","Основний","Маржинальний","Сезонний","Стратегічний"},0),Settings!$B$78,Settings!$B$80,Settings!$B$82,Settings!$B$84,Settings!$B$86),"")</f>
        <v/>
      </c>
      <c r="H543" s="148">
        <f>IFERROR((F543*(1-Settings!$B$17)-C543)/(F543*(1-Settings!$B$17)),"")</f>
        <v/>
      </c>
      <c r="I543" s="149">
        <f>IFERROR(IF(F543="","",IF(F543&gt;=C543/(1-SKU_Base!Z543)/(1-Settings!$B$17),"OK",IF(F543&gt;=C543/(1-SKU_Base!AG543)/(1-Settings!$B$17),"WARN","STOP"))),"")</f>
        <v/>
      </c>
      <c r="J543" s="160">
        <f>IFERROR(ROUND(D543*(1-CHOOSE(MATCH(IF($E543="","Основний",$E543),{"Трафіковий","Основний","Маржинальний","Сезонний","Стратегічний"},0),Settings!$C$78,Settings!$C$80,Settings!$C$82,Settings!$C$84,Settings!$C$86))/6,2)*6,"")</f>
        <v/>
      </c>
      <c r="K543" s="142">
        <f>IFERROR(CHOOSE(MATCH(IF($E543="","Основний",$E543),{"Трафіковий","Основний","Маржинальний","Сезонний","Стратегічний"},0),Settings!$C$78,Settings!$C$80,Settings!$C$82,Settings!$C$84,Settings!$C$86),"")</f>
        <v/>
      </c>
      <c r="L543" s="148">
        <f>IFERROR((J543*(1-Settings!$C$17)-C543)/(J543*(1-Settings!$C$17)),"")</f>
        <v/>
      </c>
      <c r="M543" s="149">
        <f>IFERROR(IF(J543="","",IF(J543&gt;=C543/(1-SKU_Base!AA543)/(1-Settings!$C$17),"OK",IF(J543&gt;=C543/(1-SKU_Base!AH543)/(1-Settings!$C$17),"WARN","STOP"))),"")</f>
        <v/>
      </c>
      <c r="N543" s="161">
        <f>IFERROR(ROUND(D543*(1-CHOOSE(MATCH(IF($E543="","Основний",$E543),{"Трафіковий","Основний","Маржинальний","Сезонний","Стратегічний"},0),Settings!$D$78,Settings!$D$80,Settings!$D$82,Settings!$D$84,Settings!$D$86))/6,2)*6,"")</f>
        <v/>
      </c>
      <c r="O543" s="142">
        <f>IFERROR(CHOOSE(MATCH(IF($E543="","Основний",$E543),{"Трафіковий","Основний","Маржинальний","Сезонний","Стратегічний"},0),Settings!$D$78,Settings!$D$80,Settings!$D$82,Settings!$D$84,Settings!$D$86),"")</f>
        <v/>
      </c>
      <c r="P543" s="148">
        <f>IFERROR((N543*(1-Settings!$D$17)-C543)/(N543*(1-Settings!$D$17)),"")</f>
        <v/>
      </c>
      <c r="Q543" s="149">
        <f>IFERROR(IF(N543="","",IF(N543&gt;=C543/(1-SKU_Base!AB543)/(1-Settings!$D$17),"OK",IF(N543&gt;=C543/(1-SKU_Base!AI543)/(1-Settings!$D$17),"WARN","STOP"))),"")</f>
        <v/>
      </c>
      <c r="R543" s="161">
        <f>IFERROR(ROUND(D543*(1-CHOOSE(MATCH(IF($E543="","Основний",$E543),{"Трафіковий","Основний","Маржинальний","Сезонний","Стратегічний"},0),Settings!$E$78,Settings!$E$80,Settings!$E$82,Settings!$E$84,Settings!$E$86))/6,2)*6,"")</f>
        <v/>
      </c>
      <c r="S543" s="142">
        <f>IFERROR(CHOOSE(MATCH(IF($E543="","Основний",$E543),{"Трафіковий","Основний","Маржинальний","Сезонний","Стратегічний"},0),Settings!$E$78,Settings!$E$80,Settings!$E$82,Settings!$E$84,Settings!$E$86),"")</f>
        <v/>
      </c>
      <c r="T543" s="148">
        <f>IFERROR((R543*(1-Settings!$E$17)-C543)/(R543*(1-Settings!$E$17)),"")</f>
        <v/>
      </c>
      <c r="U543" s="149">
        <f>IFERROR(IF(R543="","",IF(R543&gt;=C543/(1-SKU_Base!AC543)/(1-Settings!$E$17),"OK",IF(R543&gt;=C543/(1-SKU_Base!AJ543)/(1-Settings!$E$17),"WARN","STOP"))),"")</f>
        <v/>
      </c>
      <c r="V543" s="161">
        <f>IFERROR(ROUND(D543*(1-CHOOSE(MATCH(IF($E543="","Основний",$E543),{"Трафіковий","Основний","Маржинальний","Сезонний","Стратегічний"},0),Settings!$F$78,Settings!$F$80,Settings!$F$82,Settings!$F$84,Settings!$F$86))/6,2)*6,"")</f>
        <v/>
      </c>
      <c r="W543" s="142">
        <f>IFERROR(CHOOSE(MATCH(IF($E543="","Основний",$E543),{"Трафіковий","Основний","Маржинальний","Сезонний","Стратегічний"},0),Settings!$F$78,Settings!$F$80,Settings!$F$82,Settings!$F$84,Settings!$F$86),"")</f>
        <v/>
      </c>
      <c r="X543" s="148">
        <f>IFERROR((V543*(1-Settings!$F$17)-C543)/(V543*(1-Settings!$F$17)),"")</f>
        <v/>
      </c>
      <c r="Y543" s="149">
        <f>IFERROR(IF(V543="","",IF(V543&gt;=C543/(1-SKU_Base!AD543)/(1-Settings!$F$17),"OK",IF(V543&gt;=C543/(1-SKU_Base!AK543)/(1-Settings!$F$17),"WARN","STOP"))),"")</f>
        <v/>
      </c>
      <c r="Z543" s="161">
        <f>IFERROR(ROUND(D543*(1-CHOOSE(MATCH(IF($E543="","Основний",$E543),{"Трафіковий","Основний","Маржинальний","Сезонний","Стратегічний"},0),Settings!$G$78,Settings!$G$80,Settings!$G$82,Settings!$G$84,Settings!$G$86))/6,2)*6,"")</f>
        <v/>
      </c>
      <c r="AA543" s="142">
        <f>IFERROR(CHOOSE(MATCH(IF($E543="","Основний",$E543),{"Трафіковий","Основний","Маржинальний","Сезонний","Стратегічний"},0),Settings!$G$78,Settings!$G$80,Settings!$G$82,Settings!$G$84,Settings!$G$86),"")</f>
        <v/>
      </c>
      <c r="AB543" s="148">
        <f>IFERROR((Z543*(1-Settings!$G$17)-C543)/(Z543*(1-Settings!$G$17)),"")</f>
        <v/>
      </c>
      <c r="AC543" s="149">
        <f>IFERROR(IF(Z543="","",IF(Z543&gt;=C543/(1-SKU_Base!AE543)/(1-Settings!$G$17),"OK",IF(Z543&gt;=C543/(1-SKU_Base!AL543)/(1-Settings!$G$17),"WARN","STOP"))),"")</f>
        <v/>
      </c>
      <c r="AD543" s="161">
        <f>IFERROR(ROUND(D543*(1-CHOOSE(MATCH(IF($E543="","Основний",$E543),{"Трафіковий","Основний","Маржинальний","Сезонний","Стратегічний"},0),Settings!$H$78,Settings!$H$80,Settings!$H$82,Settings!$H$84,Settings!$H$86))*(1-Settings!$H$68)/6,2)*6,"")</f>
        <v/>
      </c>
      <c r="AE543" s="142">
        <f>IFERROR(CHOOSE(MATCH(IF($E543="","Основний",$E543),{"Трафіковий","Основний","Маржинальний","Сезонний","Стратегічний"},0),Settings!$H$78,Settings!$H$80,Settings!$H$82,Settings!$H$84,Settings!$H$86)+(1-(CHOOSE(MATCH(IF($E543="","Основний",$E543),{"Трафіковий","Основний","Маржинальний","Сезонний","Стратегічний"},0),Settings!$H$78,Settings!$H$80,Settings!$H$82,Settings!$H$84,Settings!$H$86)))*Settings!$H$68,"")</f>
        <v/>
      </c>
      <c r="AF543" s="148">
        <f>IFERROR((AD543*(1-Settings!$H$17)-C543)/(AD543*(1-Settings!$H$17)),"")</f>
        <v/>
      </c>
      <c r="AG543" s="150">
        <f>IFERROR(IF(AD543="","",IF(AD543&gt;=C543/(1-SKU_Base!AF543)/(1-Settings!$H$17),"OK",IF(AD543&gt;=C543/(1-SKU_Base!AM543)/(1-Settings!$H$17),"WARN","STOP"))),"")</f>
        <v/>
      </c>
    </row>
    <row r="544" ht="17" customHeight="1" s="179">
      <c r="A544" s="139">
        <f>SKU_Base!B544</f>
        <v/>
      </c>
      <c r="B544" s="139">
        <f>SKU_Base!C544</f>
        <v/>
      </c>
      <c r="C544" s="140">
        <f>IFERROR(SKU_Base!I544,"")</f>
        <v/>
      </c>
      <c r="D544" s="163">
        <f>IFERROR(SKU_Base!T544,"")</f>
        <v/>
      </c>
      <c r="E544" s="141">
        <f>IFERROR(SKU_Base!$U544,"")</f>
        <v/>
      </c>
      <c r="F544" s="158">
        <f>IFERROR(ROUND(D544*(1-CHOOSE(MATCH(IF($E544="","Основний",$E544),{"Трафіковий","Основний","Маржинальний","Сезонний","Стратегічний"},0),Settings!$B$78,Settings!$B$80,Settings!$B$82,Settings!$B$84,Settings!$B$86))/6,2)*6,"")</f>
        <v/>
      </c>
      <c r="G544" s="142">
        <f>IFERROR(CHOOSE(MATCH(IF($E544="","Основний",$E544),{"Трафіковий","Основний","Маржинальний","Сезонний","Стратегічний"},0),Settings!$B$78,Settings!$B$80,Settings!$B$82,Settings!$B$84,Settings!$B$86),"")</f>
        <v/>
      </c>
      <c r="H544" s="143">
        <f>IFERROR((F544*(1-Settings!$B$17)-C544)/(F544*(1-Settings!$B$17)),"")</f>
        <v/>
      </c>
      <c r="I544" s="149">
        <f>IFERROR(IF(F544="","",IF(F544&gt;=C544/(1-SKU_Base!Z544)/(1-Settings!$B$17),"OK",IF(F544&gt;=C544/(1-SKU_Base!AG544)/(1-Settings!$B$17),"WARN","STOP"))),"")</f>
        <v/>
      </c>
      <c r="J544" s="158">
        <f>IFERROR(ROUND(D544*(1-CHOOSE(MATCH(IF($E544="","Основний",$E544),{"Трафіковий","Основний","Маржинальний","Сезонний","Стратегічний"},0),Settings!$C$78,Settings!$C$80,Settings!$C$82,Settings!$C$84,Settings!$C$86))/6,2)*6,"")</f>
        <v/>
      </c>
      <c r="K544" s="142">
        <f>IFERROR(CHOOSE(MATCH(IF($E544="","Основний",$E544),{"Трафіковий","Основний","Маржинальний","Сезонний","Стратегічний"},0),Settings!$C$78,Settings!$C$80,Settings!$C$82,Settings!$C$84,Settings!$C$86),"")</f>
        <v/>
      </c>
      <c r="L544" s="143">
        <f>IFERROR((J544*(1-Settings!$C$17)-C544)/(J544*(1-Settings!$C$17)),"")</f>
        <v/>
      </c>
      <c r="M544" s="149">
        <f>IFERROR(IF(J544="","",IF(J544&gt;=C544/(1-SKU_Base!AA544)/(1-Settings!$C$17),"OK",IF(J544&gt;=C544/(1-SKU_Base!AH544)/(1-Settings!$C$17),"WARN","STOP"))),"")</f>
        <v/>
      </c>
      <c r="N544" s="159">
        <f>IFERROR(ROUND(D544*(1-CHOOSE(MATCH(IF($E544="","Основний",$E544),{"Трафіковий","Основний","Маржинальний","Сезонний","Стратегічний"},0),Settings!$D$78,Settings!$D$80,Settings!$D$82,Settings!$D$84,Settings!$D$86))/6,2)*6,"")</f>
        <v/>
      </c>
      <c r="O544" s="142">
        <f>IFERROR(CHOOSE(MATCH(IF($E544="","Основний",$E544),{"Трафіковий","Основний","Маржинальний","Сезонний","Стратегічний"},0),Settings!$D$78,Settings!$D$80,Settings!$D$82,Settings!$D$84,Settings!$D$86),"")</f>
        <v/>
      </c>
      <c r="P544" s="143">
        <f>IFERROR((N544*(1-Settings!$D$17)-C544)/(N544*(1-Settings!$D$17)),"")</f>
        <v/>
      </c>
      <c r="Q544" s="149">
        <f>IFERROR(IF(N544="","",IF(N544&gt;=C544/(1-SKU_Base!AB544)/(1-Settings!$D$17),"OK",IF(N544&gt;=C544/(1-SKU_Base!AI544)/(1-Settings!$D$17),"WARN","STOP"))),"")</f>
        <v/>
      </c>
      <c r="R544" s="159">
        <f>IFERROR(ROUND(D544*(1-CHOOSE(MATCH(IF($E544="","Основний",$E544),{"Трафіковий","Основний","Маржинальний","Сезонний","Стратегічний"},0),Settings!$E$78,Settings!$E$80,Settings!$E$82,Settings!$E$84,Settings!$E$86))/6,2)*6,"")</f>
        <v/>
      </c>
      <c r="S544" s="142">
        <f>IFERROR(CHOOSE(MATCH(IF($E544="","Основний",$E544),{"Трафіковий","Основний","Маржинальний","Сезонний","Стратегічний"},0),Settings!$E$78,Settings!$E$80,Settings!$E$82,Settings!$E$84,Settings!$E$86),"")</f>
        <v/>
      </c>
      <c r="T544" s="143">
        <f>IFERROR((R544*(1-Settings!$E$17)-C544)/(R544*(1-Settings!$E$17)),"")</f>
        <v/>
      </c>
      <c r="U544" s="149">
        <f>IFERROR(IF(R544="","",IF(R544&gt;=C544/(1-SKU_Base!AC544)/(1-Settings!$E$17),"OK",IF(R544&gt;=C544/(1-SKU_Base!AJ544)/(1-Settings!$E$17),"WARN","STOP"))),"")</f>
        <v/>
      </c>
      <c r="V544" s="159">
        <f>IFERROR(ROUND(D544*(1-CHOOSE(MATCH(IF($E544="","Основний",$E544),{"Трафіковий","Основний","Маржинальний","Сезонний","Стратегічний"},0),Settings!$F$78,Settings!$F$80,Settings!$F$82,Settings!$F$84,Settings!$F$86))/6,2)*6,"")</f>
        <v/>
      </c>
      <c r="W544" s="142">
        <f>IFERROR(CHOOSE(MATCH(IF($E544="","Основний",$E544),{"Трафіковий","Основний","Маржинальний","Сезонний","Стратегічний"},0),Settings!$F$78,Settings!$F$80,Settings!$F$82,Settings!$F$84,Settings!$F$86),"")</f>
        <v/>
      </c>
      <c r="X544" s="143">
        <f>IFERROR((V544*(1-Settings!$F$17)-C544)/(V544*(1-Settings!$F$17)),"")</f>
        <v/>
      </c>
      <c r="Y544" s="149">
        <f>IFERROR(IF(V544="","",IF(V544&gt;=C544/(1-SKU_Base!AD544)/(1-Settings!$F$17),"OK",IF(V544&gt;=C544/(1-SKU_Base!AK544)/(1-Settings!$F$17),"WARN","STOP"))),"")</f>
        <v/>
      </c>
      <c r="Z544" s="159">
        <f>IFERROR(ROUND(D544*(1-CHOOSE(MATCH(IF($E544="","Основний",$E544),{"Трафіковий","Основний","Маржинальний","Сезонний","Стратегічний"},0),Settings!$G$78,Settings!$G$80,Settings!$G$82,Settings!$G$84,Settings!$G$86))/6,2)*6,"")</f>
        <v/>
      </c>
      <c r="AA544" s="142">
        <f>IFERROR(CHOOSE(MATCH(IF($E544="","Основний",$E544),{"Трафіковий","Основний","Маржинальний","Сезонний","Стратегічний"},0),Settings!$G$78,Settings!$G$80,Settings!$G$82,Settings!$G$84,Settings!$G$86),"")</f>
        <v/>
      </c>
      <c r="AB544" s="143">
        <f>IFERROR((Z544*(1-Settings!$G$17)-C544)/(Z544*(1-Settings!$G$17)),"")</f>
        <v/>
      </c>
      <c r="AC544" s="149">
        <f>IFERROR(IF(Z544="","",IF(Z544&gt;=C544/(1-SKU_Base!AE544)/(1-Settings!$G$17),"OK",IF(Z544&gt;=C544/(1-SKU_Base!AL544)/(1-Settings!$G$17),"WARN","STOP"))),"")</f>
        <v/>
      </c>
      <c r="AD544" s="159">
        <f>IFERROR(ROUND(D544*(1-CHOOSE(MATCH(IF($E544="","Основний",$E544),{"Трафіковий","Основний","Маржинальний","Сезонний","Стратегічний"},0),Settings!$H$78,Settings!$H$80,Settings!$H$82,Settings!$H$84,Settings!$H$86))*(1-Settings!$H$68)/6,2)*6,"")</f>
        <v/>
      </c>
      <c r="AE544" s="142">
        <f>IFERROR(CHOOSE(MATCH(IF($E544="","Основний",$E544),{"Трафіковий","Основний","Маржинальний","Сезонний","Стратегічний"},0),Settings!$H$78,Settings!$H$80,Settings!$H$82,Settings!$H$84,Settings!$H$86)+(1-(CHOOSE(MATCH(IF($E544="","Основний",$E544),{"Трафіковий","Основний","Маржинальний","Сезонний","Стратегічний"},0),Settings!$H$78,Settings!$H$80,Settings!$H$82,Settings!$H$84,Settings!$H$86)))*Settings!$H$68,"")</f>
        <v/>
      </c>
      <c r="AF544" s="143">
        <f>IFERROR((AD544*(1-Settings!$H$17)-C544)/(AD544*(1-Settings!$H$17)),"")</f>
        <v/>
      </c>
      <c r="AG544" s="150">
        <f>IFERROR(IF(AD544="","",IF(AD544&gt;=C544/(1-SKU_Base!AF544)/(1-Settings!$H$17),"OK",IF(AD544&gt;=C544/(1-SKU_Base!AM544)/(1-Settings!$H$17),"WARN","STOP"))),"")</f>
        <v/>
      </c>
    </row>
    <row r="545" ht="17" customHeight="1" s="179">
      <c r="A545" s="146">
        <f>SKU_Base!B545</f>
        <v/>
      </c>
      <c r="B545" s="146">
        <f>SKU_Base!C545</f>
        <v/>
      </c>
      <c r="C545" s="147">
        <f>IFERROR(SKU_Base!I545,"")</f>
        <v/>
      </c>
      <c r="D545" s="164">
        <f>IFERROR(SKU_Base!T545,"")</f>
        <v/>
      </c>
      <c r="E545" s="141">
        <f>IFERROR(SKU_Base!$U545,"")</f>
        <v/>
      </c>
      <c r="F545" s="160">
        <f>IFERROR(ROUND(D545*(1-CHOOSE(MATCH(IF($E545="","Основний",$E545),{"Трафіковий","Основний","Маржинальний","Сезонний","Стратегічний"},0),Settings!$B$78,Settings!$B$80,Settings!$B$82,Settings!$B$84,Settings!$B$86))/6,2)*6,"")</f>
        <v/>
      </c>
      <c r="G545" s="142">
        <f>IFERROR(CHOOSE(MATCH(IF($E545="","Основний",$E545),{"Трафіковий","Основний","Маржинальний","Сезонний","Стратегічний"},0),Settings!$B$78,Settings!$B$80,Settings!$B$82,Settings!$B$84,Settings!$B$86),"")</f>
        <v/>
      </c>
      <c r="H545" s="148">
        <f>IFERROR((F545*(1-Settings!$B$17)-C545)/(F545*(1-Settings!$B$17)),"")</f>
        <v/>
      </c>
      <c r="I545" s="150">
        <f>IFERROR(IF(F545="","",IF(F545&gt;=C545/(1-SKU_Base!Z545)/(1-Settings!$B$17),"OK",IF(F545&gt;=C545/(1-SKU_Base!AG545)/(1-Settings!$B$17),"WARN","STOP"))),"")</f>
        <v/>
      </c>
      <c r="J545" s="160">
        <f>IFERROR(ROUND(D545*(1-CHOOSE(MATCH(IF($E545="","Основний",$E545),{"Трафіковий","Основний","Маржинальний","Сезонний","Стратегічний"},0),Settings!$C$78,Settings!$C$80,Settings!$C$82,Settings!$C$84,Settings!$C$86))/6,2)*6,"")</f>
        <v/>
      </c>
      <c r="K545" s="142">
        <f>IFERROR(CHOOSE(MATCH(IF($E545="","Основний",$E545),{"Трафіковий","Основний","Маржинальний","Сезонний","Стратегічний"},0),Settings!$C$78,Settings!$C$80,Settings!$C$82,Settings!$C$84,Settings!$C$86),"")</f>
        <v/>
      </c>
      <c r="L545" s="148">
        <f>IFERROR((J545*(1-Settings!$C$17)-C545)/(J545*(1-Settings!$C$17)),"")</f>
        <v/>
      </c>
      <c r="M545" s="149">
        <f>IFERROR(IF(J545="","",IF(J545&gt;=C545/(1-SKU_Base!AA545)/(1-Settings!$C$17),"OK",IF(J545&gt;=C545/(1-SKU_Base!AH545)/(1-Settings!$C$17),"WARN","STOP"))),"")</f>
        <v/>
      </c>
      <c r="N545" s="161">
        <f>IFERROR(ROUND(D545*(1-CHOOSE(MATCH(IF($E545="","Основний",$E545),{"Трафіковий","Основний","Маржинальний","Сезонний","Стратегічний"},0),Settings!$D$78,Settings!$D$80,Settings!$D$82,Settings!$D$84,Settings!$D$86))/6,2)*6,"")</f>
        <v/>
      </c>
      <c r="O545" s="142">
        <f>IFERROR(CHOOSE(MATCH(IF($E545="","Основний",$E545),{"Трафіковий","Основний","Маржинальний","Сезонний","Стратегічний"},0),Settings!$D$78,Settings!$D$80,Settings!$D$82,Settings!$D$84,Settings!$D$86),"")</f>
        <v/>
      </c>
      <c r="P545" s="148">
        <f>IFERROR((N545*(1-Settings!$D$17)-C545)/(N545*(1-Settings!$D$17)),"")</f>
        <v/>
      </c>
      <c r="Q545" s="149">
        <f>IFERROR(IF(N545="","",IF(N545&gt;=C545/(1-SKU_Base!AB545)/(1-Settings!$D$17),"OK",IF(N545&gt;=C545/(1-SKU_Base!AI545)/(1-Settings!$D$17),"WARN","STOP"))),"")</f>
        <v/>
      </c>
      <c r="R545" s="161">
        <f>IFERROR(ROUND(D545*(1-CHOOSE(MATCH(IF($E545="","Основний",$E545),{"Трафіковий","Основний","Маржинальний","Сезонний","Стратегічний"},0),Settings!$E$78,Settings!$E$80,Settings!$E$82,Settings!$E$84,Settings!$E$86))/6,2)*6,"")</f>
        <v/>
      </c>
      <c r="S545" s="142">
        <f>IFERROR(CHOOSE(MATCH(IF($E545="","Основний",$E545),{"Трафіковий","Основний","Маржинальний","Сезонний","Стратегічний"},0),Settings!$E$78,Settings!$E$80,Settings!$E$82,Settings!$E$84,Settings!$E$86),"")</f>
        <v/>
      </c>
      <c r="T545" s="148">
        <f>IFERROR((R545*(1-Settings!$E$17)-C545)/(R545*(1-Settings!$E$17)),"")</f>
        <v/>
      </c>
      <c r="U545" s="149">
        <f>IFERROR(IF(R545="","",IF(R545&gt;=C545/(1-SKU_Base!AC545)/(1-Settings!$E$17),"OK",IF(R545&gt;=C545/(1-SKU_Base!AJ545)/(1-Settings!$E$17),"WARN","STOP"))),"")</f>
        <v/>
      </c>
      <c r="V545" s="161">
        <f>IFERROR(ROUND(D545*(1-CHOOSE(MATCH(IF($E545="","Основний",$E545),{"Трафіковий","Основний","Маржинальний","Сезонний","Стратегічний"},0),Settings!$F$78,Settings!$F$80,Settings!$F$82,Settings!$F$84,Settings!$F$86))/6,2)*6,"")</f>
        <v/>
      </c>
      <c r="W545" s="142">
        <f>IFERROR(CHOOSE(MATCH(IF($E545="","Основний",$E545),{"Трафіковий","Основний","Маржинальний","Сезонний","Стратегічний"},0),Settings!$F$78,Settings!$F$80,Settings!$F$82,Settings!$F$84,Settings!$F$86),"")</f>
        <v/>
      </c>
      <c r="X545" s="148">
        <f>IFERROR((V545*(1-Settings!$F$17)-C545)/(V545*(1-Settings!$F$17)),"")</f>
        <v/>
      </c>
      <c r="Y545" s="149">
        <f>IFERROR(IF(V545="","",IF(V545&gt;=C545/(1-SKU_Base!AD545)/(1-Settings!$F$17),"OK",IF(V545&gt;=C545/(1-SKU_Base!AK545)/(1-Settings!$F$17),"WARN","STOP"))),"")</f>
        <v/>
      </c>
      <c r="Z545" s="161">
        <f>IFERROR(ROUND(D545*(1-CHOOSE(MATCH(IF($E545="","Основний",$E545),{"Трафіковий","Основний","Маржинальний","Сезонний","Стратегічний"},0),Settings!$G$78,Settings!$G$80,Settings!$G$82,Settings!$G$84,Settings!$G$86))/6,2)*6,"")</f>
        <v/>
      </c>
      <c r="AA545" s="142">
        <f>IFERROR(CHOOSE(MATCH(IF($E545="","Основний",$E545),{"Трафіковий","Основний","Маржинальний","Сезонний","Стратегічний"},0),Settings!$G$78,Settings!$G$80,Settings!$G$82,Settings!$G$84,Settings!$G$86),"")</f>
        <v/>
      </c>
      <c r="AB545" s="148">
        <f>IFERROR((Z545*(1-Settings!$G$17)-C545)/(Z545*(1-Settings!$G$17)),"")</f>
        <v/>
      </c>
      <c r="AC545" s="149">
        <f>IFERROR(IF(Z545="","",IF(Z545&gt;=C545/(1-SKU_Base!AE545)/(1-Settings!$G$17),"OK",IF(Z545&gt;=C545/(1-SKU_Base!AL545)/(1-Settings!$G$17),"WARN","STOP"))),"")</f>
        <v/>
      </c>
      <c r="AD545" s="161">
        <f>IFERROR(ROUND(D545*(1-CHOOSE(MATCH(IF($E545="","Основний",$E545),{"Трафіковий","Основний","Маржинальний","Сезонний","Стратегічний"},0),Settings!$H$78,Settings!$H$80,Settings!$H$82,Settings!$H$84,Settings!$H$86))*(1-Settings!$H$68)/6,2)*6,"")</f>
        <v/>
      </c>
      <c r="AE545" s="142">
        <f>IFERROR(CHOOSE(MATCH(IF($E545="","Основний",$E545),{"Трафіковий","Основний","Маржинальний","Сезонний","Стратегічний"},0),Settings!$H$78,Settings!$H$80,Settings!$H$82,Settings!$H$84,Settings!$H$86)+(1-(CHOOSE(MATCH(IF($E545="","Основний",$E545),{"Трафіковий","Основний","Маржинальний","Сезонний","Стратегічний"},0),Settings!$H$78,Settings!$H$80,Settings!$H$82,Settings!$H$84,Settings!$H$86)))*Settings!$H$68,"")</f>
        <v/>
      </c>
      <c r="AF545" s="148">
        <f>IFERROR((AD545*(1-Settings!$H$17)-C545)/(AD545*(1-Settings!$H$17)),"")</f>
        <v/>
      </c>
      <c r="AG545" s="150">
        <f>IFERROR(IF(AD545="","",IF(AD545&gt;=C545/(1-SKU_Base!AF545)/(1-Settings!$H$17),"OK",IF(AD545&gt;=C545/(1-SKU_Base!AM545)/(1-Settings!$H$17),"WARN","STOP"))),"")</f>
        <v/>
      </c>
    </row>
    <row r="546" ht="17" customHeight="1" s="179">
      <c r="A546" s="139">
        <f>SKU_Base!B546</f>
        <v/>
      </c>
      <c r="B546" s="139">
        <f>SKU_Base!C546</f>
        <v/>
      </c>
      <c r="C546" s="140">
        <f>IFERROR(SKU_Base!I546,"")</f>
        <v/>
      </c>
      <c r="D546" s="163">
        <f>IFERROR(SKU_Base!T546,"")</f>
        <v/>
      </c>
      <c r="E546" s="141">
        <f>IFERROR(SKU_Base!$U546,"")</f>
        <v/>
      </c>
      <c r="F546" s="158">
        <f>IFERROR(ROUND(D546*(1-CHOOSE(MATCH(IF($E546="","Основний",$E546),{"Трафіковий","Основний","Маржинальний","Сезонний","Стратегічний"},0),Settings!$B$78,Settings!$B$80,Settings!$B$82,Settings!$B$84,Settings!$B$86))/6,2)*6,"")</f>
        <v/>
      </c>
      <c r="G546" s="142">
        <f>IFERROR(CHOOSE(MATCH(IF($E546="","Основний",$E546),{"Трафіковий","Основний","Маржинальний","Сезонний","Стратегічний"},0),Settings!$B$78,Settings!$B$80,Settings!$B$82,Settings!$B$84,Settings!$B$86),"")</f>
        <v/>
      </c>
      <c r="H546" s="143">
        <f>IFERROR((F546*(1-Settings!$B$17)-C546)/(F546*(1-Settings!$B$17)),"")</f>
        <v/>
      </c>
      <c r="I546" s="149">
        <f>IFERROR(IF(F546="","",IF(F546&gt;=C546/(1-SKU_Base!Z546)/(1-Settings!$B$17),"OK",IF(F546&gt;=C546/(1-SKU_Base!AG546)/(1-Settings!$B$17),"WARN","STOP"))),"")</f>
        <v/>
      </c>
      <c r="J546" s="158">
        <f>IFERROR(ROUND(D546*(1-CHOOSE(MATCH(IF($E546="","Основний",$E546),{"Трафіковий","Основний","Маржинальний","Сезонний","Стратегічний"},0),Settings!$C$78,Settings!$C$80,Settings!$C$82,Settings!$C$84,Settings!$C$86))/6,2)*6,"")</f>
        <v/>
      </c>
      <c r="K546" s="142">
        <f>IFERROR(CHOOSE(MATCH(IF($E546="","Основний",$E546),{"Трафіковий","Основний","Маржинальний","Сезонний","Стратегічний"},0),Settings!$C$78,Settings!$C$80,Settings!$C$82,Settings!$C$84,Settings!$C$86),"")</f>
        <v/>
      </c>
      <c r="L546" s="143">
        <f>IFERROR((J546*(1-Settings!$C$17)-C546)/(J546*(1-Settings!$C$17)),"")</f>
        <v/>
      </c>
      <c r="M546" s="149">
        <f>IFERROR(IF(J546="","",IF(J546&gt;=C546/(1-SKU_Base!AA546)/(1-Settings!$C$17),"OK",IF(J546&gt;=C546/(1-SKU_Base!AH546)/(1-Settings!$C$17),"WARN","STOP"))),"")</f>
        <v/>
      </c>
      <c r="N546" s="159">
        <f>IFERROR(ROUND(D546*(1-CHOOSE(MATCH(IF($E546="","Основний",$E546),{"Трафіковий","Основний","Маржинальний","Сезонний","Стратегічний"},0),Settings!$D$78,Settings!$D$80,Settings!$D$82,Settings!$D$84,Settings!$D$86))/6,2)*6,"")</f>
        <v/>
      </c>
      <c r="O546" s="142">
        <f>IFERROR(CHOOSE(MATCH(IF($E546="","Основний",$E546),{"Трафіковий","Основний","Маржинальний","Сезонний","Стратегічний"},0),Settings!$D$78,Settings!$D$80,Settings!$D$82,Settings!$D$84,Settings!$D$86),"")</f>
        <v/>
      </c>
      <c r="P546" s="143">
        <f>IFERROR((N546*(1-Settings!$D$17)-C546)/(N546*(1-Settings!$D$17)),"")</f>
        <v/>
      </c>
      <c r="Q546" s="149">
        <f>IFERROR(IF(N546="","",IF(N546&gt;=C546/(1-SKU_Base!AB546)/(1-Settings!$D$17),"OK",IF(N546&gt;=C546/(1-SKU_Base!AI546)/(1-Settings!$D$17),"WARN","STOP"))),"")</f>
        <v/>
      </c>
      <c r="R546" s="159">
        <f>IFERROR(ROUND(D546*(1-CHOOSE(MATCH(IF($E546="","Основний",$E546),{"Трафіковий","Основний","Маржинальний","Сезонний","Стратегічний"},0),Settings!$E$78,Settings!$E$80,Settings!$E$82,Settings!$E$84,Settings!$E$86))/6,2)*6,"")</f>
        <v/>
      </c>
      <c r="S546" s="142">
        <f>IFERROR(CHOOSE(MATCH(IF($E546="","Основний",$E546),{"Трафіковий","Основний","Маржинальний","Сезонний","Стратегічний"},0),Settings!$E$78,Settings!$E$80,Settings!$E$82,Settings!$E$84,Settings!$E$86),"")</f>
        <v/>
      </c>
      <c r="T546" s="143">
        <f>IFERROR((R546*(1-Settings!$E$17)-C546)/(R546*(1-Settings!$E$17)),"")</f>
        <v/>
      </c>
      <c r="U546" s="149">
        <f>IFERROR(IF(R546="","",IF(R546&gt;=C546/(1-SKU_Base!AC546)/(1-Settings!$E$17),"OK",IF(R546&gt;=C546/(1-SKU_Base!AJ546)/(1-Settings!$E$17),"WARN","STOP"))),"")</f>
        <v/>
      </c>
      <c r="V546" s="159">
        <f>IFERROR(ROUND(D546*(1-CHOOSE(MATCH(IF($E546="","Основний",$E546),{"Трафіковий","Основний","Маржинальний","Сезонний","Стратегічний"},0),Settings!$F$78,Settings!$F$80,Settings!$F$82,Settings!$F$84,Settings!$F$86))/6,2)*6,"")</f>
        <v/>
      </c>
      <c r="W546" s="142">
        <f>IFERROR(CHOOSE(MATCH(IF($E546="","Основний",$E546),{"Трафіковий","Основний","Маржинальний","Сезонний","Стратегічний"},0),Settings!$F$78,Settings!$F$80,Settings!$F$82,Settings!$F$84,Settings!$F$86),"")</f>
        <v/>
      </c>
      <c r="X546" s="143">
        <f>IFERROR((V546*(1-Settings!$F$17)-C546)/(V546*(1-Settings!$F$17)),"")</f>
        <v/>
      </c>
      <c r="Y546" s="149">
        <f>IFERROR(IF(V546="","",IF(V546&gt;=C546/(1-SKU_Base!AD546)/(1-Settings!$F$17),"OK",IF(V546&gt;=C546/(1-SKU_Base!AK546)/(1-Settings!$F$17),"WARN","STOP"))),"")</f>
        <v/>
      </c>
      <c r="Z546" s="159">
        <f>IFERROR(ROUND(D546*(1-CHOOSE(MATCH(IF($E546="","Основний",$E546),{"Трафіковий","Основний","Маржинальний","Сезонний","Стратегічний"},0),Settings!$G$78,Settings!$G$80,Settings!$G$82,Settings!$G$84,Settings!$G$86))/6,2)*6,"")</f>
        <v/>
      </c>
      <c r="AA546" s="142">
        <f>IFERROR(CHOOSE(MATCH(IF($E546="","Основний",$E546),{"Трафіковий","Основний","Маржинальний","Сезонний","Стратегічний"},0),Settings!$G$78,Settings!$G$80,Settings!$G$82,Settings!$G$84,Settings!$G$86),"")</f>
        <v/>
      </c>
      <c r="AB546" s="143">
        <f>IFERROR((Z546*(1-Settings!$G$17)-C546)/(Z546*(1-Settings!$G$17)),"")</f>
        <v/>
      </c>
      <c r="AC546" s="149">
        <f>IFERROR(IF(Z546="","",IF(Z546&gt;=C546/(1-SKU_Base!AE546)/(1-Settings!$G$17),"OK",IF(Z546&gt;=C546/(1-SKU_Base!AL546)/(1-Settings!$G$17),"WARN","STOP"))),"")</f>
        <v/>
      </c>
      <c r="AD546" s="159">
        <f>IFERROR(ROUND(D546*(1-CHOOSE(MATCH(IF($E546="","Основний",$E546),{"Трафіковий","Основний","Маржинальний","Сезонний","Стратегічний"},0),Settings!$H$78,Settings!$H$80,Settings!$H$82,Settings!$H$84,Settings!$H$86))*(1-Settings!$H$68)/6,2)*6,"")</f>
        <v/>
      </c>
      <c r="AE546" s="142">
        <f>IFERROR(CHOOSE(MATCH(IF($E546="","Основний",$E546),{"Трафіковий","Основний","Маржинальний","Сезонний","Стратегічний"},0),Settings!$H$78,Settings!$H$80,Settings!$H$82,Settings!$H$84,Settings!$H$86)+(1-(CHOOSE(MATCH(IF($E546="","Основний",$E546),{"Трафіковий","Основний","Маржинальний","Сезонний","Стратегічний"},0),Settings!$H$78,Settings!$H$80,Settings!$H$82,Settings!$H$84,Settings!$H$86)))*Settings!$H$68,"")</f>
        <v/>
      </c>
      <c r="AF546" s="143">
        <f>IFERROR((AD546*(1-Settings!$H$17)-C546)/(AD546*(1-Settings!$H$17)),"")</f>
        <v/>
      </c>
      <c r="AG546" s="150">
        <f>IFERROR(IF(AD546="","",IF(AD546&gt;=C546/(1-SKU_Base!AF546)/(1-Settings!$H$17),"OK",IF(AD546&gt;=C546/(1-SKU_Base!AM546)/(1-Settings!$H$17),"WARN","STOP"))),"")</f>
        <v/>
      </c>
    </row>
    <row r="547" ht="17" customHeight="1" s="179">
      <c r="A547" s="146">
        <f>SKU_Base!B547</f>
        <v/>
      </c>
      <c r="B547" s="146">
        <f>SKU_Base!C547</f>
        <v/>
      </c>
      <c r="C547" s="147">
        <f>IFERROR(SKU_Base!I547,"")</f>
        <v/>
      </c>
      <c r="D547" s="164">
        <f>IFERROR(SKU_Base!T547,"")</f>
        <v/>
      </c>
      <c r="E547" s="141">
        <f>IFERROR(SKU_Base!$U547,"")</f>
        <v/>
      </c>
      <c r="F547" s="160">
        <f>IFERROR(ROUND(D547*(1-CHOOSE(MATCH(IF($E547="","Основний",$E547),{"Трафіковий","Основний","Маржинальний","Сезонний","Стратегічний"},0),Settings!$B$78,Settings!$B$80,Settings!$B$82,Settings!$B$84,Settings!$B$86))/6,2)*6,"")</f>
        <v/>
      </c>
      <c r="G547" s="142">
        <f>IFERROR(CHOOSE(MATCH(IF($E547="","Основний",$E547),{"Трафіковий","Основний","Маржинальний","Сезонний","Стратегічний"},0),Settings!$B$78,Settings!$B$80,Settings!$B$82,Settings!$B$84,Settings!$B$86),"")</f>
        <v/>
      </c>
      <c r="H547" s="148">
        <f>IFERROR((F547*(1-Settings!$B$17)-C547)/(F547*(1-Settings!$B$17)),"")</f>
        <v/>
      </c>
      <c r="I547" s="149">
        <f>IFERROR(IF(F547="","",IF(F547&gt;=C547/(1-SKU_Base!Z547)/(1-Settings!$B$17),"OK",IF(F547&gt;=C547/(1-SKU_Base!AG547)/(1-Settings!$B$17),"WARN","STOP"))),"")</f>
        <v/>
      </c>
      <c r="J547" s="160">
        <f>IFERROR(ROUND(D547*(1-CHOOSE(MATCH(IF($E547="","Основний",$E547),{"Трафіковий","Основний","Маржинальний","Сезонний","Стратегічний"},0),Settings!$C$78,Settings!$C$80,Settings!$C$82,Settings!$C$84,Settings!$C$86))/6,2)*6,"")</f>
        <v/>
      </c>
      <c r="K547" s="142">
        <f>IFERROR(CHOOSE(MATCH(IF($E547="","Основний",$E547),{"Трафіковий","Основний","Маржинальний","Сезонний","Стратегічний"},0),Settings!$C$78,Settings!$C$80,Settings!$C$82,Settings!$C$84,Settings!$C$86),"")</f>
        <v/>
      </c>
      <c r="L547" s="148">
        <f>IFERROR((J547*(1-Settings!$C$17)-C547)/(J547*(1-Settings!$C$17)),"")</f>
        <v/>
      </c>
      <c r="M547" s="149">
        <f>IFERROR(IF(J547="","",IF(J547&gt;=C547/(1-SKU_Base!AA547)/(1-Settings!$C$17),"OK",IF(J547&gt;=C547/(1-SKU_Base!AH547)/(1-Settings!$C$17),"WARN","STOP"))),"")</f>
        <v/>
      </c>
      <c r="N547" s="161">
        <f>IFERROR(ROUND(D547*(1-CHOOSE(MATCH(IF($E547="","Основний",$E547),{"Трафіковий","Основний","Маржинальний","Сезонний","Стратегічний"},0),Settings!$D$78,Settings!$D$80,Settings!$D$82,Settings!$D$84,Settings!$D$86))/6,2)*6,"")</f>
        <v/>
      </c>
      <c r="O547" s="142">
        <f>IFERROR(CHOOSE(MATCH(IF($E547="","Основний",$E547),{"Трафіковий","Основний","Маржинальний","Сезонний","Стратегічний"},0),Settings!$D$78,Settings!$D$80,Settings!$D$82,Settings!$D$84,Settings!$D$86),"")</f>
        <v/>
      </c>
      <c r="P547" s="148">
        <f>IFERROR((N547*(1-Settings!$D$17)-C547)/(N547*(1-Settings!$D$17)),"")</f>
        <v/>
      </c>
      <c r="Q547" s="149">
        <f>IFERROR(IF(N547="","",IF(N547&gt;=C547/(1-SKU_Base!AB547)/(1-Settings!$D$17),"OK",IF(N547&gt;=C547/(1-SKU_Base!AI547)/(1-Settings!$D$17),"WARN","STOP"))),"")</f>
        <v/>
      </c>
      <c r="R547" s="161">
        <f>IFERROR(ROUND(D547*(1-CHOOSE(MATCH(IF($E547="","Основний",$E547),{"Трафіковий","Основний","Маржинальний","Сезонний","Стратегічний"},0),Settings!$E$78,Settings!$E$80,Settings!$E$82,Settings!$E$84,Settings!$E$86))/6,2)*6,"")</f>
        <v/>
      </c>
      <c r="S547" s="142">
        <f>IFERROR(CHOOSE(MATCH(IF($E547="","Основний",$E547),{"Трафіковий","Основний","Маржинальний","Сезонний","Стратегічний"},0),Settings!$E$78,Settings!$E$80,Settings!$E$82,Settings!$E$84,Settings!$E$86),"")</f>
        <v/>
      </c>
      <c r="T547" s="148">
        <f>IFERROR((R547*(1-Settings!$E$17)-C547)/(R547*(1-Settings!$E$17)),"")</f>
        <v/>
      </c>
      <c r="U547" s="149">
        <f>IFERROR(IF(R547="","",IF(R547&gt;=C547/(1-SKU_Base!AC547)/(1-Settings!$E$17),"OK",IF(R547&gt;=C547/(1-SKU_Base!AJ547)/(1-Settings!$E$17),"WARN","STOP"))),"")</f>
        <v/>
      </c>
      <c r="V547" s="161">
        <f>IFERROR(ROUND(D547*(1-CHOOSE(MATCH(IF($E547="","Основний",$E547),{"Трафіковий","Основний","Маржинальний","Сезонний","Стратегічний"},0),Settings!$F$78,Settings!$F$80,Settings!$F$82,Settings!$F$84,Settings!$F$86))/6,2)*6,"")</f>
        <v/>
      </c>
      <c r="W547" s="142">
        <f>IFERROR(CHOOSE(MATCH(IF($E547="","Основний",$E547),{"Трафіковий","Основний","Маржинальний","Сезонний","Стратегічний"},0),Settings!$F$78,Settings!$F$80,Settings!$F$82,Settings!$F$84,Settings!$F$86),"")</f>
        <v/>
      </c>
      <c r="X547" s="148">
        <f>IFERROR((V547*(1-Settings!$F$17)-C547)/(V547*(1-Settings!$F$17)),"")</f>
        <v/>
      </c>
      <c r="Y547" s="149">
        <f>IFERROR(IF(V547="","",IF(V547&gt;=C547/(1-SKU_Base!AD547)/(1-Settings!$F$17),"OK",IF(V547&gt;=C547/(1-SKU_Base!AK547)/(1-Settings!$F$17),"WARN","STOP"))),"")</f>
        <v/>
      </c>
      <c r="Z547" s="161">
        <f>IFERROR(ROUND(D547*(1-CHOOSE(MATCH(IF($E547="","Основний",$E547),{"Трафіковий","Основний","Маржинальний","Сезонний","Стратегічний"},0),Settings!$G$78,Settings!$G$80,Settings!$G$82,Settings!$G$84,Settings!$G$86))/6,2)*6,"")</f>
        <v/>
      </c>
      <c r="AA547" s="142">
        <f>IFERROR(CHOOSE(MATCH(IF($E547="","Основний",$E547),{"Трафіковий","Основний","Маржинальний","Сезонний","Стратегічний"},0),Settings!$G$78,Settings!$G$80,Settings!$G$82,Settings!$G$84,Settings!$G$86),"")</f>
        <v/>
      </c>
      <c r="AB547" s="148">
        <f>IFERROR((Z547*(1-Settings!$G$17)-C547)/(Z547*(1-Settings!$G$17)),"")</f>
        <v/>
      </c>
      <c r="AC547" s="149">
        <f>IFERROR(IF(Z547="","",IF(Z547&gt;=C547/(1-SKU_Base!AE547)/(1-Settings!$G$17),"OK",IF(Z547&gt;=C547/(1-SKU_Base!AL547)/(1-Settings!$G$17),"WARN","STOP"))),"")</f>
        <v/>
      </c>
      <c r="AD547" s="161">
        <f>IFERROR(ROUND(D547*(1-CHOOSE(MATCH(IF($E547="","Основний",$E547),{"Трафіковий","Основний","Маржинальний","Сезонний","Стратегічний"},0),Settings!$H$78,Settings!$H$80,Settings!$H$82,Settings!$H$84,Settings!$H$86))*(1-Settings!$H$68)/6,2)*6,"")</f>
        <v/>
      </c>
      <c r="AE547" s="142">
        <f>IFERROR(CHOOSE(MATCH(IF($E547="","Основний",$E547),{"Трафіковий","Основний","Маржинальний","Сезонний","Стратегічний"},0),Settings!$H$78,Settings!$H$80,Settings!$H$82,Settings!$H$84,Settings!$H$86)+(1-(CHOOSE(MATCH(IF($E547="","Основний",$E547),{"Трафіковий","Основний","Маржинальний","Сезонний","Стратегічний"},0),Settings!$H$78,Settings!$H$80,Settings!$H$82,Settings!$H$84,Settings!$H$86)))*Settings!$H$68,"")</f>
        <v/>
      </c>
      <c r="AF547" s="148">
        <f>IFERROR((AD547*(1-Settings!$H$17)-C547)/(AD547*(1-Settings!$H$17)),"")</f>
        <v/>
      </c>
      <c r="AG547" s="150">
        <f>IFERROR(IF(AD547="","",IF(AD547&gt;=C547/(1-SKU_Base!AF547)/(1-Settings!$H$17),"OK",IF(AD547&gt;=C547/(1-SKU_Base!AM547)/(1-Settings!$H$17),"WARN","STOP"))),"")</f>
        <v/>
      </c>
    </row>
    <row r="548" ht="17" customHeight="1" s="179">
      <c r="A548" s="139">
        <f>SKU_Base!B548</f>
        <v/>
      </c>
      <c r="B548" s="139">
        <f>SKU_Base!C548</f>
        <v/>
      </c>
      <c r="C548" s="140">
        <f>IFERROR(SKU_Base!I548,"")</f>
        <v/>
      </c>
      <c r="D548" s="163">
        <f>IFERROR(SKU_Base!T548,"")</f>
        <v/>
      </c>
      <c r="E548" s="141">
        <f>IFERROR(SKU_Base!$U548,"")</f>
        <v/>
      </c>
      <c r="F548" s="158">
        <f>IFERROR(ROUND(D548*(1-CHOOSE(MATCH(IF($E548="","Основний",$E548),{"Трафіковий","Основний","Маржинальний","Сезонний","Стратегічний"},0),Settings!$B$78,Settings!$B$80,Settings!$B$82,Settings!$B$84,Settings!$B$86))/6,2)*6,"")</f>
        <v/>
      </c>
      <c r="G548" s="142">
        <f>IFERROR(CHOOSE(MATCH(IF($E548="","Основний",$E548),{"Трафіковий","Основний","Маржинальний","Сезонний","Стратегічний"},0),Settings!$B$78,Settings!$B$80,Settings!$B$82,Settings!$B$84,Settings!$B$86),"")</f>
        <v/>
      </c>
      <c r="H548" s="143">
        <f>IFERROR((F548*(1-Settings!$B$17)-C548)/(F548*(1-Settings!$B$17)),"")</f>
        <v/>
      </c>
      <c r="I548" s="150">
        <f>IFERROR(IF(F548="","",IF(F548&gt;=C548/(1-SKU_Base!Z548)/(1-Settings!$B$17),"OK",IF(F548&gt;=C548/(1-SKU_Base!AG548)/(1-Settings!$B$17),"WARN","STOP"))),"")</f>
        <v/>
      </c>
      <c r="J548" s="158">
        <f>IFERROR(ROUND(D548*(1-CHOOSE(MATCH(IF($E548="","Основний",$E548),{"Трафіковий","Основний","Маржинальний","Сезонний","Стратегічний"},0),Settings!$C$78,Settings!$C$80,Settings!$C$82,Settings!$C$84,Settings!$C$86))/6,2)*6,"")</f>
        <v/>
      </c>
      <c r="K548" s="142">
        <f>IFERROR(CHOOSE(MATCH(IF($E548="","Основний",$E548),{"Трафіковий","Основний","Маржинальний","Сезонний","Стратегічний"},0),Settings!$C$78,Settings!$C$80,Settings!$C$82,Settings!$C$84,Settings!$C$86),"")</f>
        <v/>
      </c>
      <c r="L548" s="143">
        <f>IFERROR((J548*(1-Settings!$C$17)-C548)/(J548*(1-Settings!$C$17)),"")</f>
        <v/>
      </c>
      <c r="M548" s="149">
        <f>IFERROR(IF(J548="","",IF(J548&gt;=C548/(1-SKU_Base!AA548)/(1-Settings!$C$17),"OK",IF(J548&gt;=C548/(1-SKU_Base!AH548)/(1-Settings!$C$17),"WARN","STOP"))),"")</f>
        <v/>
      </c>
      <c r="N548" s="159">
        <f>IFERROR(ROUND(D548*(1-CHOOSE(MATCH(IF($E548="","Основний",$E548),{"Трафіковий","Основний","Маржинальний","Сезонний","Стратегічний"},0),Settings!$D$78,Settings!$D$80,Settings!$D$82,Settings!$D$84,Settings!$D$86))/6,2)*6,"")</f>
        <v/>
      </c>
      <c r="O548" s="142">
        <f>IFERROR(CHOOSE(MATCH(IF($E548="","Основний",$E548),{"Трафіковий","Основний","Маржинальний","Сезонний","Стратегічний"},0),Settings!$D$78,Settings!$D$80,Settings!$D$82,Settings!$D$84,Settings!$D$86),"")</f>
        <v/>
      </c>
      <c r="P548" s="143">
        <f>IFERROR((N548*(1-Settings!$D$17)-C548)/(N548*(1-Settings!$D$17)),"")</f>
        <v/>
      </c>
      <c r="Q548" s="149">
        <f>IFERROR(IF(N548="","",IF(N548&gt;=C548/(1-SKU_Base!AB548)/(1-Settings!$D$17),"OK",IF(N548&gt;=C548/(1-SKU_Base!AI548)/(1-Settings!$D$17),"WARN","STOP"))),"")</f>
        <v/>
      </c>
      <c r="R548" s="159">
        <f>IFERROR(ROUND(D548*(1-CHOOSE(MATCH(IF($E548="","Основний",$E548),{"Трафіковий","Основний","Маржинальний","Сезонний","Стратегічний"},0),Settings!$E$78,Settings!$E$80,Settings!$E$82,Settings!$E$84,Settings!$E$86))/6,2)*6,"")</f>
        <v/>
      </c>
      <c r="S548" s="142">
        <f>IFERROR(CHOOSE(MATCH(IF($E548="","Основний",$E548),{"Трафіковий","Основний","Маржинальний","Сезонний","Стратегічний"},0),Settings!$E$78,Settings!$E$80,Settings!$E$82,Settings!$E$84,Settings!$E$86),"")</f>
        <v/>
      </c>
      <c r="T548" s="143">
        <f>IFERROR((R548*(1-Settings!$E$17)-C548)/(R548*(1-Settings!$E$17)),"")</f>
        <v/>
      </c>
      <c r="U548" s="149">
        <f>IFERROR(IF(R548="","",IF(R548&gt;=C548/(1-SKU_Base!AC548)/(1-Settings!$E$17),"OK",IF(R548&gt;=C548/(1-SKU_Base!AJ548)/(1-Settings!$E$17),"WARN","STOP"))),"")</f>
        <v/>
      </c>
      <c r="V548" s="159">
        <f>IFERROR(ROUND(D548*(1-CHOOSE(MATCH(IF($E548="","Основний",$E548),{"Трафіковий","Основний","Маржинальний","Сезонний","Стратегічний"},0),Settings!$F$78,Settings!$F$80,Settings!$F$82,Settings!$F$84,Settings!$F$86))/6,2)*6,"")</f>
        <v/>
      </c>
      <c r="W548" s="142">
        <f>IFERROR(CHOOSE(MATCH(IF($E548="","Основний",$E548),{"Трафіковий","Основний","Маржинальний","Сезонний","Стратегічний"},0),Settings!$F$78,Settings!$F$80,Settings!$F$82,Settings!$F$84,Settings!$F$86),"")</f>
        <v/>
      </c>
      <c r="X548" s="143">
        <f>IFERROR((V548*(1-Settings!$F$17)-C548)/(V548*(1-Settings!$F$17)),"")</f>
        <v/>
      </c>
      <c r="Y548" s="149">
        <f>IFERROR(IF(V548="","",IF(V548&gt;=C548/(1-SKU_Base!AD548)/(1-Settings!$F$17),"OK",IF(V548&gt;=C548/(1-SKU_Base!AK548)/(1-Settings!$F$17),"WARN","STOP"))),"")</f>
        <v/>
      </c>
      <c r="Z548" s="159">
        <f>IFERROR(ROUND(D548*(1-CHOOSE(MATCH(IF($E548="","Основний",$E548),{"Трафіковий","Основний","Маржинальний","Сезонний","Стратегічний"},0),Settings!$G$78,Settings!$G$80,Settings!$G$82,Settings!$G$84,Settings!$G$86))/6,2)*6,"")</f>
        <v/>
      </c>
      <c r="AA548" s="142">
        <f>IFERROR(CHOOSE(MATCH(IF($E548="","Основний",$E548),{"Трафіковий","Основний","Маржинальний","Сезонний","Стратегічний"},0),Settings!$G$78,Settings!$G$80,Settings!$G$82,Settings!$G$84,Settings!$G$86),"")</f>
        <v/>
      </c>
      <c r="AB548" s="143">
        <f>IFERROR((Z548*(1-Settings!$G$17)-C548)/(Z548*(1-Settings!$G$17)),"")</f>
        <v/>
      </c>
      <c r="AC548" s="149">
        <f>IFERROR(IF(Z548="","",IF(Z548&gt;=C548/(1-SKU_Base!AE548)/(1-Settings!$G$17),"OK",IF(Z548&gt;=C548/(1-SKU_Base!AL548)/(1-Settings!$G$17),"WARN","STOP"))),"")</f>
        <v/>
      </c>
      <c r="AD548" s="159">
        <f>IFERROR(ROUND(D548*(1-CHOOSE(MATCH(IF($E548="","Основний",$E548),{"Трафіковий","Основний","Маржинальний","Сезонний","Стратегічний"},0),Settings!$H$78,Settings!$H$80,Settings!$H$82,Settings!$H$84,Settings!$H$86))*(1-Settings!$H$68)/6,2)*6,"")</f>
        <v/>
      </c>
      <c r="AE548" s="142">
        <f>IFERROR(CHOOSE(MATCH(IF($E548="","Основний",$E548),{"Трафіковий","Основний","Маржинальний","Сезонний","Стратегічний"},0),Settings!$H$78,Settings!$H$80,Settings!$H$82,Settings!$H$84,Settings!$H$86)+(1-(CHOOSE(MATCH(IF($E548="","Основний",$E548),{"Трафіковий","Основний","Маржинальний","Сезонний","Стратегічний"},0),Settings!$H$78,Settings!$H$80,Settings!$H$82,Settings!$H$84,Settings!$H$86)))*Settings!$H$68,"")</f>
        <v/>
      </c>
      <c r="AF548" s="143">
        <f>IFERROR((AD548*(1-Settings!$H$17)-C548)/(AD548*(1-Settings!$H$17)),"")</f>
        <v/>
      </c>
      <c r="AG548" s="150">
        <f>IFERROR(IF(AD548="","",IF(AD548&gt;=C548/(1-SKU_Base!AF548)/(1-Settings!$H$17),"OK",IF(AD548&gt;=C548/(1-SKU_Base!AM548)/(1-Settings!$H$17),"WARN","STOP"))),"")</f>
        <v/>
      </c>
    </row>
    <row r="549" ht="17" customHeight="1" s="179">
      <c r="A549" s="146">
        <f>SKU_Base!B549</f>
        <v/>
      </c>
      <c r="B549" s="146">
        <f>SKU_Base!C549</f>
        <v/>
      </c>
      <c r="C549" s="147">
        <f>IFERROR(SKU_Base!I549,"")</f>
        <v/>
      </c>
      <c r="D549" s="164">
        <f>IFERROR(SKU_Base!T549,"")</f>
        <v/>
      </c>
      <c r="E549" s="141">
        <f>IFERROR(SKU_Base!$U549,"")</f>
        <v/>
      </c>
      <c r="F549" s="160">
        <f>IFERROR(ROUND(D549*(1-CHOOSE(MATCH(IF($E549="","Основний",$E549),{"Трафіковий","Основний","Маржинальний","Сезонний","Стратегічний"},0),Settings!$B$78,Settings!$B$80,Settings!$B$82,Settings!$B$84,Settings!$B$86))/6,2)*6,"")</f>
        <v/>
      </c>
      <c r="G549" s="142">
        <f>IFERROR(CHOOSE(MATCH(IF($E549="","Основний",$E549),{"Трафіковий","Основний","Маржинальний","Сезонний","Стратегічний"},0),Settings!$B$78,Settings!$B$80,Settings!$B$82,Settings!$B$84,Settings!$B$86),"")</f>
        <v/>
      </c>
      <c r="H549" s="148">
        <f>IFERROR((F549*(1-Settings!$B$17)-C549)/(F549*(1-Settings!$B$17)),"")</f>
        <v/>
      </c>
      <c r="I549" s="150">
        <f>IFERROR(IF(F549="","",IF(F549&gt;=C549/(1-SKU_Base!Z549)/(1-Settings!$B$17),"OK",IF(F549&gt;=C549/(1-SKU_Base!AG549)/(1-Settings!$B$17),"WARN","STOP"))),"")</f>
        <v/>
      </c>
      <c r="J549" s="160">
        <f>IFERROR(ROUND(D549*(1-CHOOSE(MATCH(IF($E549="","Основний",$E549),{"Трафіковий","Основний","Маржинальний","Сезонний","Стратегічний"},0),Settings!$C$78,Settings!$C$80,Settings!$C$82,Settings!$C$84,Settings!$C$86))/6,2)*6,"")</f>
        <v/>
      </c>
      <c r="K549" s="142">
        <f>IFERROR(CHOOSE(MATCH(IF($E549="","Основний",$E549),{"Трафіковий","Основний","Маржинальний","Сезонний","Стратегічний"},0),Settings!$C$78,Settings!$C$80,Settings!$C$82,Settings!$C$84,Settings!$C$86),"")</f>
        <v/>
      </c>
      <c r="L549" s="148">
        <f>IFERROR((J549*(1-Settings!$C$17)-C549)/(J549*(1-Settings!$C$17)),"")</f>
        <v/>
      </c>
      <c r="M549" s="149">
        <f>IFERROR(IF(J549="","",IF(J549&gt;=C549/(1-SKU_Base!AA549)/(1-Settings!$C$17),"OK",IF(J549&gt;=C549/(1-SKU_Base!AH549)/(1-Settings!$C$17),"WARN","STOP"))),"")</f>
        <v/>
      </c>
      <c r="N549" s="161">
        <f>IFERROR(ROUND(D549*(1-CHOOSE(MATCH(IF($E549="","Основний",$E549),{"Трафіковий","Основний","Маржинальний","Сезонний","Стратегічний"},0),Settings!$D$78,Settings!$D$80,Settings!$D$82,Settings!$D$84,Settings!$D$86))/6,2)*6,"")</f>
        <v/>
      </c>
      <c r="O549" s="142">
        <f>IFERROR(CHOOSE(MATCH(IF($E549="","Основний",$E549),{"Трафіковий","Основний","Маржинальний","Сезонний","Стратегічний"},0),Settings!$D$78,Settings!$D$80,Settings!$D$82,Settings!$D$84,Settings!$D$86),"")</f>
        <v/>
      </c>
      <c r="P549" s="148">
        <f>IFERROR((N549*(1-Settings!$D$17)-C549)/(N549*(1-Settings!$D$17)),"")</f>
        <v/>
      </c>
      <c r="Q549" s="149">
        <f>IFERROR(IF(N549="","",IF(N549&gt;=C549/(1-SKU_Base!AB549)/(1-Settings!$D$17),"OK",IF(N549&gt;=C549/(1-SKU_Base!AI549)/(1-Settings!$D$17),"WARN","STOP"))),"")</f>
        <v/>
      </c>
      <c r="R549" s="161">
        <f>IFERROR(ROUND(D549*(1-CHOOSE(MATCH(IF($E549="","Основний",$E549),{"Трафіковий","Основний","Маржинальний","Сезонний","Стратегічний"},0),Settings!$E$78,Settings!$E$80,Settings!$E$82,Settings!$E$84,Settings!$E$86))/6,2)*6,"")</f>
        <v/>
      </c>
      <c r="S549" s="142">
        <f>IFERROR(CHOOSE(MATCH(IF($E549="","Основний",$E549),{"Трафіковий","Основний","Маржинальний","Сезонний","Стратегічний"},0),Settings!$E$78,Settings!$E$80,Settings!$E$82,Settings!$E$84,Settings!$E$86),"")</f>
        <v/>
      </c>
      <c r="T549" s="148">
        <f>IFERROR((R549*(1-Settings!$E$17)-C549)/(R549*(1-Settings!$E$17)),"")</f>
        <v/>
      </c>
      <c r="U549" s="149">
        <f>IFERROR(IF(R549="","",IF(R549&gt;=C549/(1-SKU_Base!AC549)/(1-Settings!$E$17),"OK",IF(R549&gt;=C549/(1-SKU_Base!AJ549)/(1-Settings!$E$17),"WARN","STOP"))),"")</f>
        <v/>
      </c>
      <c r="V549" s="161">
        <f>IFERROR(ROUND(D549*(1-CHOOSE(MATCH(IF($E549="","Основний",$E549),{"Трафіковий","Основний","Маржинальний","Сезонний","Стратегічний"},0),Settings!$F$78,Settings!$F$80,Settings!$F$82,Settings!$F$84,Settings!$F$86))/6,2)*6,"")</f>
        <v/>
      </c>
      <c r="W549" s="142">
        <f>IFERROR(CHOOSE(MATCH(IF($E549="","Основний",$E549),{"Трафіковий","Основний","Маржинальний","Сезонний","Стратегічний"},0),Settings!$F$78,Settings!$F$80,Settings!$F$82,Settings!$F$84,Settings!$F$86),"")</f>
        <v/>
      </c>
      <c r="X549" s="148">
        <f>IFERROR((V549*(1-Settings!$F$17)-C549)/(V549*(1-Settings!$F$17)),"")</f>
        <v/>
      </c>
      <c r="Y549" s="149">
        <f>IFERROR(IF(V549="","",IF(V549&gt;=C549/(1-SKU_Base!AD549)/(1-Settings!$F$17),"OK",IF(V549&gt;=C549/(1-SKU_Base!AK549)/(1-Settings!$F$17),"WARN","STOP"))),"")</f>
        <v/>
      </c>
      <c r="Z549" s="161">
        <f>IFERROR(ROUND(D549*(1-CHOOSE(MATCH(IF($E549="","Основний",$E549),{"Трафіковий","Основний","Маржинальний","Сезонний","Стратегічний"},0),Settings!$G$78,Settings!$G$80,Settings!$G$82,Settings!$G$84,Settings!$G$86))/6,2)*6,"")</f>
        <v/>
      </c>
      <c r="AA549" s="142">
        <f>IFERROR(CHOOSE(MATCH(IF($E549="","Основний",$E549),{"Трафіковий","Основний","Маржинальний","Сезонний","Стратегічний"},0),Settings!$G$78,Settings!$G$80,Settings!$G$82,Settings!$G$84,Settings!$G$86),"")</f>
        <v/>
      </c>
      <c r="AB549" s="148">
        <f>IFERROR((Z549*(1-Settings!$G$17)-C549)/(Z549*(1-Settings!$G$17)),"")</f>
        <v/>
      </c>
      <c r="AC549" s="149">
        <f>IFERROR(IF(Z549="","",IF(Z549&gt;=C549/(1-SKU_Base!AE549)/(1-Settings!$G$17),"OK",IF(Z549&gt;=C549/(1-SKU_Base!AL549)/(1-Settings!$G$17),"WARN","STOP"))),"")</f>
        <v/>
      </c>
      <c r="AD549" s="161">
        <f>IFERROR(ROUND(D549*(1-CHOOSE(MATCH(IF($E549="","Основний",$E549),{"Трафіковий","Основний","Маржинальний","Сезонний","Стратегічний"},0),Settings!$H$78,Settings!$H$80,Settings!$H$82,Settings!$H$84,Settings!$H$86))*(1-Settings!$H$68)/6,2)*6,"")</f>
        <v/>
      </c>
      <c r="AE549" s="142">
        <f>IFERROR(CHOOSE(MATCH(IF($E549="","Основний",$E549),{"Трафіковий","Основний","Маржинальний","Сезонний","Стратегічний"},0),Settings!$H$78,Settings!$H$80,Settings!$H$82,Settings!$H$84,Settings!$H$86)+(1-(CHOOSE(MATCH(IF($E549="","Основний",$E549),{"Трафіковий","Основний","Маржинальний","Сезонний","Стратегічний"},0),Settings!$H$78,Settings!$H$80,Settings!$H$82,Settings!$H$84,Settings!$H$86)))*Settings!$H$68,"")</f>
        <v/>
      </c>
      <c r="AF549" s="148">
        <f>IFERROR((AD549*(1-Settings!$H$17)-C549)/(AD549*(1-Settings!$H$17)),"")</f>
        <v/>
      </c>
      <c r="AG549" s="150">
        <f>IFERROR(IF(AD549="","",IF(AD549&gt;=C549/(1-SKU_Base!AF549)/(1-Settings!$H$17),"OK",IF(AD549&gt;=C549/(1-SKU_Base!AM549)/(1-Settings!$H$17),"WARN","STOP"))),"")</f>
        <v/>
      </c>
    </row>
    <row r="550" ht="17" customHeight="1" s="179">
      <c r="A550" s="139">
        <f>SKU_Base!B550</f>
        <v/>
      </c>
      <c r="B550" s="139">
        <f>SKU_Base!C550</f>
        <v/>
      </c>
      <c r="C550" s="140">
        <f>IFERROR(SKU_Base!I550,"")</f>
        <v/>
      </c>
      <c r="D550" s="163">
        <f>IFERROR(SKU_Base!T550,"")</f>
        <v/>
      </c>
      <c r="E550" s="141">
        <f>IFERROR(SKU_Base!$U550,"")</f>
        <v/>
      </c>
      <c r="F550" s="158">
        <f>IFERROR(ROUND(D550*(1-CHOOSE(MATCH(IF($E550="","Основний",$E550),{"Трафіковий","Основний","Маржинальний","Сезонний","Стратегічний"},0),Settings!$B$78,Settings!$B$80,Settings!$B$82,Settings!$B$84,Settings!$B$86))/6,2)*6,"")</f>
        <v/>
      </c>
      <c r="G550" s="142">
        <f>IFERROR(CHOOSE(MATCH(IF($E550="","Основний",$E550),{"Трафіковий","Основний","Маржинальний","Сезонний","Стратегічний"},0),Settings!$B$78,Settings!$B$80,Settings!$B$82,Settings!$B$84,Settings!$B$86),"")</f>
        <v/>
      </c>
      <c r="H550" s="143">
        <f>IFERROR((F550*(1-Settings!$B$17)-C550)/(F550*(1-Settings!$B$17)),"")</f>
        <v/>
      </c>
      <c r="I550" s="149">
        <f>IFERROR(IF(F550="","",IF(F550&gt;=C550/(1-SKU_Base!Z550)/(1-Settings!$B$17),"OK",IF(F550&gt;=C550/(1-SKU_Base!AG550)/(1-Settings!$B$17),"WARN","STOP"))),"")</f>
        <v/>
      </c>
      <c r="J550" s="158">
        <f>IFERROR(ROUND(D550*(1-CHOOSE(MATCH(IF($E550="","Основний",$E550),{"Трафіковий","Основний","Маржинальний","Сезонний","Стратегічний"},0),Settings!$C$78,Settings!$C$80,Settings!$C$82,Settings!$C$84,Settings!$C$86))/6,2)*6,"")</f>
        <v/>
      </c>
      <c r="K550" s="142">
        <f>IFERROR(CHOOSE(MATCH(IF($E550="","Основний",$E550),{"Трафіковий","Основний","Маржинальний","Сезонний","Стратегічний"},0),Settings!$C$78,Settings!$C$80,Settings!$C$82,Settings!$C$84,Settings!$C$86),"")</f>
        <v/>
      </c>
      <c r="L550" s="143">
        <f>IFERROR((J550*(1-Settings!$C$17)-C550)/(J550*(1-Settings!$C$17)),"")</f>
        <v/>
      </c>
      <c r="M550" s="149">
        <f>IFERROR(IF(J550="","",IF(J550&gt;=C550/(1-SKU_Base!AA550)/(1-Settings!$C$17),"OK",IF(J550&gt;=C550/(1-SKU_Base!AH550)/(1-Settings!$C$17),"WARN","STOP"))),"")</f>
        <v/>
      </c>
      <c r="N550" s="159">
        <f>IFERROR(ROUND(D550*(1-CHOOSE(MATCH(IF($E550="","Основний",$E550),{"Трафіковий","Основний","Маржинальний","Сезонний","Стратегічний"},0),Settings!$D$78,Settings!$D$80,Settings!$D$82,Settings!$D$84,Settings!$D$86))/6,2)*6,"")</f>
        <v/>
      </c>
      <c r="O550" s="142">
        <f>IFERROR(CHOOSE(MATCH(IF($E550="","Основний",$E550),{"Трафіковий","Основний","Маржинальний","Сезонний","Стратегічний"},0),Settings!$D$78,Settings!$D$80,Settings!$D$82,Settings!$D$84,Settings!$D$86),"")</f>
        <v/>
      </c>
      <c r="P550" s="143">
        <f>IFERROR((N550*(1-Settings!$D$17)-C550)/(N550*(1-Settings!$D$17)),"")</f>
        <v/>
      </c>
      <c r="Q550" s="149">
        <f>IFERROR(IF(N550="","",IF(N550&gt;=C550/(1-SKU_Base!AB550)/(1-Settings!$D$17),"OK",IF(N550&gt;=C550/(1-SKU_Base!AI550)/(1-Settings!$D$17),"WARN","STOP"))),"")</f>
        <v/>
      </c>
      <c r="R550" s="159">
        <f>IFERROR(ROUND(D550*(1-CHOOSE(MATCH(IF($E550="","Основний",$E550),{"Трафіковий","Основний","Маржинальний","Сезонний","Стратегічний"},0),Settings!$E$78,Settings!$E$80,Settings!$E$82,Settings!$E$84,Settings!$E$86))/6,2)*6,"")</f>
        <v/>
      </c>
      <c r="S550" s="142">
        <f>IFERROR(CHOOSE(MATCH(IF($E550="","Основний",$E550),{"Трафіковий","Основний","Маржинальний","Сезонний","Стратегічний"},0),Settings!$E$78,Settings!$E$80,Settings!$E$82,Settings!$E$84,Settings!$E$86),"")</f>
        <v/>
      </c>
      <c r="T550" s="143">
        <f>IFERROR((R550*(1-Settings!$E$17)-C550)/(R550*(1-Settings!$E$17)),"")</f>
        <v/>
      </c>
      <c r="U550" s="149">
        <f>IFERROR(IF(R550="","",IF(R550&gt;=C550/(1-SKU_Base!AC550)/(1-Settings!$E$17),"OK",IF(R550&gt;=C550/(1-SKU_Base!AJ550)/(1-Settings!$E$17),"WARN","STOP"))),"")</f>
        <v/>
      </c>
      <c r="V550" s="159">
        <f>IFERROR(ROUND(D550*(1-CHOOSE(MATCH(IF($E550="","Основний",$E550),{"Трафіковий","Основний","Маржинальний","Сезонний","Стратегічний"},0),Settings!$F$78,Settings!$F$80,Settings!$F$82,Settings!$F$84,Settings!$F$86))/6,2)*6,"")</f>
        <v/>
      </c>
      <c r="W550" s="142">
        <f>IFERROR(CHOOSE(MATCH(IF($E550="","Основний",$E550),{"Трафіковий","Основний","Маржинальний","Сезонний","Стратегічний"},0),Settings!$F$78,Settings!$F$80,Settings!$F$82,Settings!$F$84,Settings!$F$86),"")</f>
        <v/>
      </c>
      <c r="X550" s="143">
        <f>IFERROR((V550*(1-Settings!$F$17)-C550)/(V550*(1-Settings!$F$17)),"")</f>
        <v/>
      </c>
      <c r="Y550" s="149">
        <f>IFERROR(IF(V550="","",IF(V550&gt;=C550/(1-SKU_Base!AD550)/(1-Settings!$F$17),"OK",IF(V550&gt;=C550/(1-SKU_Base!AK550)/(1-Settings!$F$17),"WARN","STOP"))),"")</f>
        <v/>
      </c>
      <c r="Z550" s="159">
        <f>IFERROR(ROUND(D550*(1-CHOOSE(MATCH(IF($E550="","Основний",$E550),{"Трафіковий","Основний","Маржинальний","Сезонний","Стратегічний"},0),Settings!$G$78,Settings!$G$80,Settings!$G$82,Settings!$G$84,Settings!$G$86))/6,2)*6,"")</f>
        <v/>
      </c>
      <c r="AA550" s="142">
        <f>IFERROR(CHOOSE(MATCH(IF($E550="","Основний",$E550),{"Трафіковий","Основний","Маржинальний","Сезонний","Стратегічний"},0),Settings!$G$78,Settings!$G$80,Settings!$G$82,Settings!$G$84,Settings!$G$86),"")</f>
        <v/>
      </c>
      <c r="AB550" s="143">
        <f>IFERROR((Z550*(1-Settings!$G$17)-C550)/(Z550*(1-Settings!$G$17)),"")</f>
        <v/>
      </c>
      <c r="AC550" s="149">
        <f>IFERROR(IF(Z550="","",IF(Z550&gt;=C550/(1-SKU_Base!AE550)/(1-Settings!$G$17),"OK",IF(Z550&gt;=C550/(1-SKU_Base!AL550)/(1-Settings!$G$17),"WARN","STOP"))),"")</f>
        <v/>
      </c>
      <c r="AD550" s="159">
        <f>IFERROR(ROUND(D550*(1-CHOOSE(MATCH(IF($E550="","Основний",$E550),{"Трафіковий","Основний","Маржинальний","Сезонний","Стратегічний"},0),Settings!$H$78,Settings!$H$80,Settings!$H$82,Settings!$H$84,Settings!$H$86))*(1-Settings!$H$68)/6,2)*6,"")</f>
        <v/>
      </c>
      <c r="AE550" s="142">
        <f>IFERROR(CHOOSE(MATCH(IF($E550="","Основний",$E550),{"Трафіковий","Основний","Маржинальний","Сезонний","Стратегічний"},0),Settings!$H$78,Settings!$H$80,Settings!$H$82,Settings!$H$84,Settings!$H$86)+(1-(CHOOSE(MATCH(IF($E550="","Основний",$E550),{"Трафіковий","Основний","Маржинальний","Сезонний","Стратегічний"},0),Settings!$H$78,Settings!$H$80,Settings!$H$82,Settings!$H$84,Settings!$H$86)))*Settings!$H$68,"")</f>
        <v/>
      </c>
      <c r="AF550" s="143">
        <f>IFERROR((AD550*(1-Settings!$H$17)-C550)/(AD550*(1-Settings!$H$17)),"")</f>
        <v/>
      </c>
      <c r="AG550" s="150">
        <f>IFERROR(IF(AD550="","",IF(AD550&gt;=C550/(1-SKU_Base!AF550)/(1-Settings!$H$17),"OK",IF(AD550&gt;=C550/(1-SKU_Base!AM550)/(1-Settings!$H$17),"WARN","STOP"))),"")</f>
        <v/>
      </c>
    </row>
    <row r="551" ht="17" customHeight="1" s="179">
      <c r="A551" s="146">
        <f>SKU_Base!B551</f>
        <v/>
      </c>
      <c r="B551" s="146">
        <f>SKU_Base!C551</f>
        <v/>
      </c>
      <c r="C551" s="147">
        <f>IFERROR(SKU_Base!I551,"")</f>
        <v/>
      </c>
      <c r="D551" s="164">
        <f>IFERROR(SKU_Base!T551,"")</f>
        <v/>
      </c>
      <c r="E551" s="141">
        <f>IFERROR(SKU_Base!$U551,"")</f>
        <v/>
      </c>
      <c r="F551" s="160">
        <f>IFERROR(ROUND(D551*(1-CHOOSE(MATCH(IF($E551="","Основний",$E551),{"Трафіковий","Основний","Маржинальний","Сезонний","Стратегічний"},0),Settings!$B$78,Settings!$B$80,Settings!$B$82,Settings!$B$84,Settings!$B$86))/6,2)*6,"")</f>
        <v/>
      </c>
      <c r="G551" s="142">
        <f>IFERROR(CHOOSE(MATCH(IF($E551="","Основний",$E551),{"Трафіковий","Основний","Маржинальний","Сезонний","Стратегічний"},0),Settings!$B$78,Settings!$B$80,Settings!$B$82,Settings!$B$84,Settings!$B$86),"")</f>
        <v/>
      </c>
      <c r="H551" s="148">
        <f>IFERROR((F551*(1-Settings!$B$17)-C551)/(F551*(1-Settings!$B$17)),"")</f>
        <v/>
      </c>
      <c r="I551" s="149">
        <f>IFERROR(IF(F551="","",IF(F551&gt;=C551/(1-SKU_Base!Z551)/(1-Settings!$B$17),"OK",IF(F551&gt;=C551/(1-SKU_Base!AG551)/(1-Settings!$B$17),"WARN","STOP"))),"")</f>
        <v/>
      </c>
      <c r="J551" s="160">
        <f>IFERROR(ROUND(D551*(1-CHOOSE(MATCH(IF($E551="","Основний",$E551),{"Трафіковий","Основний","Маржинальний","Сезонний","Стратегічний"},0),Settings!$C$78,Settings!$C$80,Settings!$C$82,Settings!$C$84,Settings!$C$86))/6,2)*6,"")</f>
        <v/>
      </c>
      <c r="K551" s="142">
        <f>IFERROR(CHOOSE(MATCH(IF($E551="","Основний",$E551),{"Трафіковий","Основний","Маржинальний","Сезонний","Стратегічний"},0),Settings!$C$78,Settings!$C$80,Settings!$C$82,Settings!$C$84,Settings!$C$86),"")</f>
        <v/>
      </c>
      <c r="L551" s="148">
        <f>IFERROR((J551*(1-Settings!$C$17)-C551)/(J551*(1-Settings!$C$17)),"")</f>
        <v/>
      </c>
      <c r="M551" s="149">
        <f>IFERROR(IF(J551="","",IF(J551&gt;=C551/(1-SKU_Base!AA551)/(1-Settings!$C$17),"OK",IF(J551&gt;=C551/(1-SKU_Base!AH551)/(1-Settings!$C$17),"WARN","STOP"))),"")</f>
        <v/>
      </c>
      <c r="N551" s="161">
        <f>IFERROR(ROUND(D551*(1-CHOOSE(MATCH(IF($E551="","Основний",$E551),{"Трафіковий","Основний","Маржинальний","Сезонний","Стратегічний"},0),Settings!$D$78,Settings!$D$80,Settings!$D$82,Settings!$D$84,Settings!$D$86))/6,2)*6,"")</f>
        <v/>
      </c>
      <c r="O551" s="142">
        <f>IFERROR(CHOOSE(MATCH(IF($E551="","Основний",$E551),{"Трафіковий","Основний","Маржинальний","Сезонний","Стратегічний"},0),Settings!$D$78,Settings!$D$80,Settings!$D$82,Settings!$D$84,Settings!$D$86),"")</f>
        <v/>
      </c>
      <c r="P551" s="148">
        <f>IFERROR((N551*(1-Settings!$D$17)-C551)/(N551*(1-Settings!$D$17)),"")</f>
        <v/>
      </c>
      <c r="Q551" s="149">
        <f>IFERROR(IF(N551="","",IF(N551&gt;=C551/(1-SKU_Base!AB551)/(1-Settings!$D$17),"OK",IF(N551&gt;=C551/(1-SKU_Base!AI551)/(1-Settings!$D$17),"WARN","STOP"))),"")</f>
        <v/>
      </c>
      <c r="R551" s="161">
        <f>IFERROR(ROUND(D551*(1-CHOOSE(MATCH(IF($E551="","Основний",$E551),{"Трафіковий","Основний","Маржинальний","Сезонний","Стратегічний"},0),Settings!$E$78,Settings!$E$80,Settings!$E$82,Settings!$E$84,Settings!$E$86))/6,2)*6,"")</f>
        <v/>
      </c>
      <c r="S551" s="142">
        <f>IFERROR(CHOOSE(MATCH(IF($E551="","Основний",$E551),{"Трафіковий","Основний","Маржинальний","Сезонний","Стратегічний"},0),Settings!$E$78,Settings!$E$80,Settings!$E$82,Settings!$E$84,Settings!$E$86),"")</f>
        <v/>
      </c>
      <c r="T551" s="148">
        <f>IFERROR((R551*(1-Settings!$E$17)-C551)/(R551*(1-Settings!$E$17)),"")</f>
        <v/>
      </c>
      <c r="U551" s="149">
        <f>IFERROR(IF(R551="","",IF(R551&gt;=C551/(1-SKU_Base!AC551)/(1-Settings!$E$17),"OK",IF(R551&gt;=C551/(1-SKU_Base!AJ551)/(1-Settings!$E$17),"WARN","STOP"))),"")</f>
        <v/>
      </c>
      <c r="V551" s="161">
        <f>IFERROR(ROUND(D551*(1-CHOOSE(MATCH(IF($E551="","Основний",$E551),{"Трафіковий","Основний","Маржинальний","Сезонний","Стратегічний"},0),Settings!$F$78,Settings!$F$80,Settings!$F$82,Settings!$F$84,Settings!$F$86))/6,2)*6,"")</f>
        <v/>
      </c>
      <c r="W551" s="142">
        <f>IFERROR(CHOOSE(MATCH(IF($E551="","Основний",$E551),{"Трафіковий","Основний","Маржинальний","Сезонний","Стратегічний"},0),Settings!$F$78,Settings!$F$80,Settings!$F$82,Settings!$F$84,Settings!$F$86),"")</f>
        <v/>
      </c>
      <c r="X551" s="148">
        <f>IFERROR((V551*(1-Settings!$F$17)-C551)/(V551*(1-Settings!$F$17)),"")</f>
        <v/>
      </c>
      <c r="Y551" s="149">
        <f>IFERROR(IF(V551="","",IF(V551&gt;=C551/(1-SKU_Base!AD551)/(1-Settings!$F$17),"OK",IF(V551&gt;=C551/(1-SKU_Base!AK551)/(1-Settings!$F$17),"WARN","STOP"))),"")</f>
        <v/>
      </c>
      <c r="Z551" s="161">
        <f>IFERROR(ROUND(D551*(1-CHOOSE(MATCH(IF($E551="","Основний",$E551),{"Трафіковий","Основний","Маржинальний","Сезонний","Стратегічний"},0),Settings!$G$78,Settings!$G$80,Settings!$G$82,Settings!$G$84,Settings!$G$86))/6,2)*6,"")</f>
        <v/>
      </c>
      <c r="AA551" s="142">
        <f>IFERROR(CHOOSE(MATCH(IF($E551="","Основний",$E551),{"Трафіковий","Основний","Маржинальний","Сезонний","Стратегічний"},0),Settings!$G$78,Settings!$G$80,Settings!$G$82,Settings!$G$84,Settings!$G$86),"")</f>
        <v/>
      </c>
      <c r="AB551" s="148">
        <f>IFERROR((Z551*(1-Settings!$G$17)-C551)/(Z551*(1-Settings!$G$17)),"")</f>
        <v/>
      </c>
      <c r="AC551" s="149">
        <f>IFERROR(IF(Z551="","",IF(Z551&gt;=C551/(1-SKU_Base!AE551)/(1-Settings!$G$17),"OK",IF(Z551&gt;=C551/(1-SKU_Base!AL551)/(1-Settings!$G$17),"WARN","STOP"))),"")</f>
        <v/>
      </c>
      <c r="AD551" s="161">
        <f>IFERROR(ROUND(D551*(1-CHOOSE(MATCH(IF($E551="","Основний",$E551),{"Трафіковий","Основний","Маржинальний","Сезонний","Стратегічний"},0),Settings!$H$78,Settings!$H$80,Settings!$H$82,Settings!$H$84,Settings!$H$86))*(1-Settings!$H$68)/6,2)*6,"")</f>
        <v/>
      </c>
      <c r="AE551" s="142">
        <f>IFERROR(CHOOSE(MATCH(IF($E551="","Основний",$E551),{"Трафіковий","Основний","Маржинальний","Сезонний","Стратегічний"},0),Settings!$H$78,Settings!$H$80,Settings!$H$82,Settings!$H$84,Settings!$H$86)+(1-(CHOOSE(MATCH(IF($E551="","Основний",$E551),{"Трафіковий","Основний","Маржинальний","Сезонний","Стратегічний"},0),Settings!$H$78,Settings!$H$80,Settings!$H$82,Settings!$H$84,Settings!$H$86)))*Settings!$H$68,"")</f>
        <v/>
      </c>
      <c r="AF551" s="148">
        <f>IFERROR((AD551*(1-Settings!$H$17)-C551)/(AD551*(1-Settings!$H$17)),"")</f>
        <v/>
      </c>
      <c r="AG551" s="150">
        <f>IFERROR(IF(AD551="","",IF(AD551&gt;=C551/(1-SKU_Base!AF551)/(1-Settings!$H$17),"OK",IF(AD551&gt;=C551/(1-SKU_Base!AM551)/(1-Settings!$H$17),"WARN","STOP"))),"")</f>
        <v/>
      </c>
    </row>
    <row r="552" ht="17" customHeight="1" s="179">
      <c r="A552" s="139">
        <f>SKU_Base!B552</f>
        <v/>
      </c>
      <c r="B552" s="139">
        <f>SKU_Base!C552</f>
        <v/>
      </c>
      <c r="C552" s="140">
        <f>IFERROR(SKU_Base!I552,"")</f>
        <v/>
      </c>
      <c r="D552" s="163">
        <f>IFERROR(SKU_Base!T552,"")</f>
        <v/>
      </c>
      <c r="E552" s="141">
        <f>IFERROR(SKU_Base!$U552,"")</f>
        <v/>
      </c>
      <c r="F552" s="158">
        <f>IFERROR(ROUND(D552*(1-CHOOSE(MATCH(IF($E552="","Основний",$E552),{"Трафіковий","Основний","Маржинальний","Сезонний","Стратегічний"},0),Settings!$B$78,Settings!$B$80,Settings!$B$82,Settings!$B$84,Settings!$B$86))/6,2)*6,"")</f>
        <v/>
      </c>
      <c r="G552" s="142">
        <f>IFERROR(CHOOSE(MATCH(IF($E552="","Основний",$E552),{"Трафіковий","Основний","Маржинальний","Сезонний","Стратегічний"},0),Settings!$B$78,Settings!$B$80,Settings!$B$82,Settings!$B$84,Settings!$B$86),"")</f>
        <v/>
      </c>
      <c r="H552" s="143">
        <f>IFERROR((F552*(1-Settings!$B$17)-C552)/(F552*(1-Settings!$B$17)),"")</f>
        <v/>
      </c>
      <c r="I552" s="149">
        <f>IFERROR(IF(F552="","",IF(F552&gt;=C552/(1-SKU_Base!Z552)/(1-Settings!$B$17),"OK",IF(F552&gt;=C552/(1-SKU_Base!AG552)/(1-Settings!$B$17),"WARN","STOP"))),"")</f>
        <v/>
      </c>
      <c r="J552" s="158">
        <f>IFERROR(ROUND(D552*(1-CHOOSE(MATCH(IF($E552="","Основний",$E552),{"Трафіковий","Основний","Маржинальний","Сезонний","Стратегічний"},0),Settings!$C$78,Settings!$C$80,Settings!$C$82,Settings!$C$84,Settings!$C$86))/6,2)*6,"")</f>
        <v/>
      </c>
      <c r="K552" s="142">
        <f>IFERROR(CHOOSE(MATCH(IF($E552="","Основний",$E552),{"Трафіковий","Основний","Маржинальний","Сезонний","Стратегічний"},0),Settings!$C$78,Settings!$C$80,Settings!$C$82,Settings!$C$84,Settings!$C$86),"")</f>
        <v/>
      </c>
      <c r="L552" s="143">
        <f>IFERROR((J552*(1-Settings!$C$17)-C552)/(J552*(1-Settings!$C$17)),"")</f>
        <v/>
      </c>
      <c r="M552" s="149">
        <f>IFERROR(IF(J552="","",IF(J552&gt;=C552/(1-SKU_Base!AA552)/(1-Settings!$C$17),"OK",IF(J552&gt;=C552/(1-SKU_Base!AH552)/(1-Settings!$C$17),"WARN","STOP"))),"")</f>
        <v/>
      </c>
      <c r="N552" s="159">
        <f>IFERROR(ROUND(D552*(1-CHOOSE(MATCH(IF($E552="","Основний",$E552),{"Трафіковий","Основний","Маржинальний","Сезонний","Стратегічний"},0),Settings!$D$78,Settings!$D$80,Settings!$D$82,Settings!$D$84,Settings!$D$86))/6,2)*6,"")</f>
        <v/>
      </c>
      <c r="O552" s="142">
        <f>IFERROR(CHOOSE(MATCH(IF($E552="","Основний",$E552),{"Трафіковий","Основний","Маржинальний","Сезонний","Стратегічний"},0),Settings!$D$78,Settings!$D$80,Settings!$D$82,Settings!$D$84,Settings!$D$86),"")</f>
        <v/>
      </c>
      <c r="P552" s="143">
        <f>IFERROR((N552*(1-Settings!$D$17)-C552)/(N552*(1-Settings!$D$17)),"")</f>
        <v/>
      </c>
      <c r="Q552" s="149">
        <f>IFERROR(IF(N552="","",IF(N552&gt;=C552/(1-SKU_Base!AB552)/(1-Settings!$D$17),"OK",IF(N552&gt;=C552/(1-SKU_Base!AI552)/(1-Settings!$D$17),"WARN","STOP"))),"")</f>
        <v/>
      </c>
      <c r="R552" s="159">
        <f>IFERROR(ROUND(D552*(1-CHOOSE(MATCH(IF($E552="","Основний",$E552),{"Трафіковий","Основний","Маржинальний","Сезонний","Стратегічний"},0),Settings!$E$78,Settings!$E$80,Settings!$E$82,Settings!$E$84,Settings!$E$86))/6,2)*6,"")</f>
        <v/>
      </c>
      <c r="S552" s="142">
        <f>IFERROR(CHOOSE(MATCH(IF($E552="","Основний",$E552),{"Трафіковий","Основний","Маржинальний","Сезонний","Стратегічний"},0),Settings!$E$78,Settings!$E$80,Settings!$E$82,Settings!$E$84,Settings!$E$86),"")</f>
        <v/>
      </c>
      <c r="T552" s="143">
        <f>IFERROR((R552*(1-Settings!$E$17)-C552)/(R552*(1-Settings!$E$17)),"")</f>
        <v/>
      </c>
      <c r="U552" s="149">
        <f>IFERROR(IF(R552="","",IF(R552&gt;=C552/(1-SKU_Base!AC552)/(1-Settings!$E$17),"OK",IF(R552&gt;=C552/(1-SKU_Base!AJ552)/(1-Settings!$E$17),"WARN","STOP"))),"")</f>
        <v/>
      </c>
      <c r="V552" s="159">
        <f>IFERROR(ROUND(D552*(1-CHOOSE(MATCH(IF($E552="","Основний",$E552),{"Трафіковий","Основний","Маржинальний","Сезонний","Стратегічний"},0),Settings!$F$78,Settings!$F$80,Settings!$F$82,Settings!$F$84,Settings!$F$86))/6,2)*6,"")</f>
        <v/>
      </c>
      <c r="W552" s="142">
        <f>IFERROR(CHOOSE(MATCH(IF($E552="","Основний",$E552),{"Трафіковий","Основний","Маржинальний","Сезонний","Стратегічний"},0),Settings!$F$78,Settings!$F$80,Settings!$F$82,Settings!$F$84,Settings!$F$86),"")</f>
        <v/>
      </c>
      <c r="X552" s="143">
        <f>IFERROR((V552*(1-Settings!$F$17)-C552)/(V552*(1-Settings!$F$17)),"")</f>
        <v/>
      </c>
      <c r="Y552" s="149">
        <f>IFERROR(IF(V552="","",IF(V552&gt;=C552/(1-SKU_Base!AD552)/(1-Settings!$F$17),"OK",IF(V552&gt;=C552/(1-SKU_Base!AK552)/(1-Settings!$F$17),"WARN","STOP"))),"")</f>
        <v/>
      </c>
      <c r="Z552" s="159">
        <f>IFERROR(ROUND(D552*(1-CHOOSE(MATCH(IF($E552="","Основний",$E552),{"Трафіковий","Основний","Маржинальний","Сезонний","Стратегічний"},0),Settings!$G$78,Settings!$G$80,Settings!$G$82,Settings!$G$84,Settings!$G$86))/6,2)*6,"")</f>
        <v/>
      </c>
      <c r="AA552" s="142">
        <f>IFERROR(CHOOSE(MATCH(IF($E552="","Основний",$E552),{"Трафіковий","Основний","Маржинальний","Сезонний","Стратегічний"},0),Settings!$G$78,Settings!$G$80,Settings!$G$82,Settings!$G$84,Settings!$G$86),"")</f>
        <v/>
      </c>
      <c r="AB552" s="143">
        <f>IFERROR((Z552*(1-Settings!$G$17)-C552)/(Z552*(1-Settings!$G$17)),"")</f>
        <v/>
      </c>
      <c r="AC552" s="149">
        <f>IFERROR(IF(Z552="","",IF(Z552&gt;=C552/(1-SKU_Base!AE552)/(1-Settings!$G$17),"OK",IF(Z552&gt;=C552/(1-SKU_Base!AL552)/(1-Settings!$G$17),"WARN","STOP"))),"")</f>
        <v/>
      </c>
      <c r="AD552" s="159">
        <f>IFERROR(ROUND(D552*(1-CHOOSE(MATCH(IF($E552="","Основний",$E552),{"Трафіковий","Основний","Маржинальний","Сезонний","Стратегічний"},0),Settings!$H$78,Settings!$H$80,Settings!$H$82,Settings!$H$84,Settings!$H$86))*(1-Settings!$H$68)/6,2)*6,"")</f>
        <v/>
      </c>
      <c r="AE552" s="142">
        <f>IFERROR(CHOOSE(MATCH(IF($E552="","Основний",$E552),{"Трафіковий","Основний","Маржинальний","Сезонний","Стратегічний"},0),Settings!$H$78,Settings!$H$80,Settings!$H$82,Settings!$H$84,Settings!$H$86)+(1-(CHOOSE(MATCH(IF($E552="","Основний",$E552),{"Трафіковий","Основний","Маржинальний","Сезонний","Стратегічний"},0),Settings!$H$78,Settings!$H$80,Settings!$H$82,Settings!$H$84,Settings!$H$86)))*Settings!$H$68,"")</f>
        <v/>
      </c>
      <c r="AF552" s="143">
        <f>IFERROR((AD552*(1-Settings!$H$17)-C552)/(AD552*(1-Settings!$H$17)),"")</f>
        <v/>
      </c>
      <c r="AG552" s="150">
        <f>IFERROR(IF(AD552="","",IF(AD552&gt;=C552/(1-SKU_Base!AF552)/(1-Settings!$H$17),"OK",IF(AD552&gt;=C552/(1-SKU_Base!AM552)/(1-Settings!$H$17),"WARN","STOP"))),"")</f>
        <v/>
      </c>
    </row>
    <row r="553" ht="17" customHeight="1" s="179">
      <c r="A553" s="146">
        <f>SKU_Base!B553</f>
        <v/>
      </c>
      <c r="B553" s="146">
        <f>SKU_Base!C553</f>
        <v/>
      </c>
      <c r="C553" s="147">
        <f>IFERROR(SKU_Base!I553,"")</f>
        <v/>
      </c>
      <c r="D553" s="164">
        <f>IFERROR(SKU_Base!T553,"")</f>
        <v/>
      </c>
      <c r="E553" s="141">
        <f>IFERROR(SKU_Base!$U553,"")</f>
        <v/>
      </c>
      <c r="F553" s="160">
        <f>IFERROR(ROUND(D553*(1-CHOOSE(MATCH(IF($E553="","Основний",$E553),{"Трафіковий","Основний","Маржинальний","Сезонний","Стратегічний"},0),Settings!$B$78,Settings!$B$80,Settings!$B$82,Settings!$B$84,Settings!$B$86))/6,2)*6,"")</f>
        <v/>
      </c>
      <c r="G553" s="142">
        <f>IFERROR(CHOOSE(MATCH(IF($E553="","Основний",$E553),{"Трафіковий","Основний","Маржинальний","Сезонний","Стратегічний"},0),Settings!$B$78,Settings!$B$80,Settings!$B$82,Settings!$B$84,Settings!$B$86),"")</f>
        <v/>
      </c>
      <c r="H553" s="148">
        <f>IFERROR((F553*(1-Settings!$B$17)-C553)/(F553*(1-Settings!$B$17)),"")</f>
        <v/>
      </c>
      <c r="I553" s="149">
        <f>IFERROR(IF(F553="","",IF(F553&gt;=C553/(1-SKU_Base!Z553)/(1-Settings!$B$17),"OK",IF(F553&gt;=C553/(1-SKU_Base!AG553)/(1-Settings!$B$17),"WARN","STOP"))),"")</f>
        <v/>
      </c>
      <c r="J553" s="160">
        <f>IFERROR(ROUND(D553*(1-CHOOSE(MATCH(IF($E553="","Основний",$E553),{"Трафіковий","Основний","Маржинальний","Сезонний","Стратегічний"},0),Settings!$C$78,Settings!$C$80,Settings!$C$82,Settings!$C$84,Settings!$C$86))/6,2)*6,"")</f>
        <v/>
      </c>
      <c r="K553" s="142">
        <f>IFERROR(CHOOSE(MATCH(IF($E553="","Основний",$E553),{"Трафіковий","Основний","Маржинальний","Сезонний","Стратегічний"},0),Settings!$C$78,Settings!$C$80,Settings!$C$82,Settings!$C$84,Settings!$C$86),"")</f>
        <v/>
      </c>
      <c r="L553" s="148">
        <f>IFERROR((J553*(1-Settings!$C$17)-C553)/(J553*(1-Settings!$C$17)),"")</f>
        <v/>
      </c>
      <c r="M553" s="149">
        <f>IFERROR(IF(J553="","",IF(J553&gt;=C553/(1-SKU_Base!AA553)/(1-Settings!$C$17),"OK",IF(J553&gt;=C553/(1-SKU_Base!AH553)/(1-Settings!$C$17),"WARN","STOP"))),"")</f>
        <v/>
      </c>
      <c r="N553" s="161">
        <f>IFERROR(ROUND(D553*(1-CHOOSE(MATCH(IF($E553="","Основний",$E553),{"Трафіковий","Основний","Маржинальний","Сезонний","Стратегічний"},0),Settings!$D$78,Settings!$D$80,Settings!$D$82,Settings!$D$84,Settings!$D$86))/6,2)*6,"")</f>
        <v/>
      </c>
      <c r="O553" s="142">
        <f>IFERROR(CHOOSE(MATCH(IF($E553="","Основний",$E553),{"Трафіковий","Основний","Маржинальний","Сезонний","Стратегічний"},0),Settings!$D$78,Settings!$D$80,Settings!$D$82,Settings!$D$84,Settings!$D$86),"")</f>
        <v/>
      </c>
      <c r="P553" s="148">
        <f>IFERROR((N553*(1-Settings!$D$17)-C553)/(N553*(1-Settings!$D$17)),"")</f>
        <v/>
      </c>
      <c r="Q553" s="149">
        <f>IFERROR(IF(N553="","",IF(N553&gt;=C553/(1-SKU_Base!AB553)/(1-Settings!$D$17),"OK",IF(N553&gt;=C553/(1-SKU_Base!AI553)/(1-Settings!$D$17),"WARN","STOP"))),"")</f>
        <v/>
      </c>
      <c r="R553" s="161">
        <f>IFERROR(ROUND(D553*(1-CHOOSE(MATCH(IF($E553="","Основний",$E553),{"Трафіковий","Основний","Маржинальний","Сезонний","Стратегічний"},0),Settings!$E$78,Settings!$E$80,Settings!$E$82,Settings!$E$84,Settings!$E$86))/6,2)*6,"")</f>
        <v/>
      </c>
      <c r="S553" s="142">
        <f>IFERROR(CHOOSE(MATCH(IF($E553="","Основний",$E553),{"Трафіковий","Основний","Маржинальний","Сезонний","Стратегічний"},0),Settings!$E$78,Settings!$E$80,Settings!$E$82,Settings!$E$84,Settings!$E$86),"")</f>
        <v/>
      </c>
      <c r="T553" s="148">
        <f>IFERROR((R553*(1-Settings!$E$17)-C553)/(R553*(1-Settings!$E$17)),"")</f>
        <v/>
      </c>
      <c r="U553" s="149">
        <f>IFERROR(IF(R553="","",IF(R553&gt;=C553/(1-SKU_Base!AC553)/(1-Settings!$E$17),"OK",IF(R553&gt;=C553/(1-SKU_Base!AJ553)/(1-Settings!$E$17),"WARN","STOP"))),"")</f>
        <v/>
      </c>
      <c r="V553" s="161">
        <f>IFERROR(ROUND(D553*(1-CHOOSE(MATCH(IF($E553="","Основний",$E553),{"Трафіковий","Основний","Маржинальний","Сезонний","Стратегічний"},0),Settings!$F$78,Settings!$F$80,Settings!$F$82,Settings!$F$84,Settings!$F$86))/6,2)*6,"")</f>
        <v/>
      </c>
      <c r="W553" s="142">
        <f>IFERROR(CHOOSE(MATCH(IF($E553="","Основний",$E553),{"Трафіковий","Основний","Маржинальний","Сезонний","Стратегічний"},0),Settings!$F$78,Settings!$F$80,Settings!$F$82,Settings!$F$84,Settings!$F$86),"")</f>
        <v/>
      </c>
      <c r="X553" s="148">
        <f>IFERROR((V553*(1-Settings!$F$17)-C553)/(V553*(1-Settings!$F$17)),"")</f>
        <v/>
      </c>
      <c r="Y553" s="149">
        <f>IFERROR(IF(V553="","",IF(V553&gt;=C553/(1-SKU_Base!AD553)/(1-Settings!$F$17),"OK",IF(V553&gt;=C553/(1-SKU_Base!AK553)/(1-Settings!$F$17),"WARN","STOP"))),"")</f>
        <v/>
      </c>
      <c r="Z553" s="161">
        <f>IFERROR(ROUND(D553*(1-CHOOSE(MATCH(IF($E553="","Основний",$E553),{"Трафіковий","Основний","Маржинальний","Сезонний","Стратегічний"},0),Settings!$G$78,Settings!$G$80,Settings!$G$82,Settings!$G$84,Settings!$G$86))/6,2)*6,"")</f>
        <v/>
      </c>
      <c r="AA553" s="142">
        <f>IFERROR(CHOOSE(MATCH(IF($E553="","Основний",$E553),{"Трафіковий","Основний","Маржинальний","Сезонний","Стратегічний"},0),Settings!$G$78,Settings!$G$80,Settings!$G$82,Settings!$G$84,Settings!$G$86),"")</f>
        <v/>
      </c>
      <c r="AB553" s="148">
        <f>IFERROR((Z553*(1-Settings!$G$17)-C553)/(Z553*(1-Settings!$G$17)),"")</f>
        <v/>
      </c>
      <c r="AC553" s="149">
        <f>IFERROR(IF(Z553="","",IF(Z553&gt;=C553/(1-SKU_Base!AE553)/(1-Settings!$G$17),"OK",IF(Z553&gt;=C553/(1-SKU_Base!AL553)/(1-Settings!$G$17),"WARN","STOP"))),"")</f>
        <v/>
      </c>
      <c r="AD553" s="161">
        <f>IFERROR(ROUND(D553*(1-CHOOSE(MATCH(IF($E553="","Основний",$E553),{"Трафіковий","Основний","Маржинальний","Сезонний","Стратегічний"},0),Settings!$H$78,Settings!$H$80,Settings!$H$82,Settings!$H$84,Settings!$H$86))*(1-Settings!$H$68)/6,2)*6,"")</f>
        <v/>
      </c>
      <c r="AE553" s="142">
        <f>IFERROR(CHOOSE(MATCH(IF($E553="","Основний",$E553),{"Трафіковий","Основний","Маржинальний","Сезонний","Стратегічний"},0),Settings!$H$78,Settings!$H$80,Settings!$H$82,Settings!$H$84,Settings!$H$86)+(1-(CHOOSE(MATCH(IF($E553="","Основний",$E553),{"Трафіковий","Основний","Маржинальний","Сезонний","Стратегічний"},0),Settings!$H$78,Settings!$H$80,Settings!$H$82,Settings!$H$84,Settings!$H$86)))*Settings!$H$68,"")</f>
        <v/>
      </c>
      <c r="AF553" s="148">
        <f>IFERROR((AD553*(1-Settings!$H$17)-C553)/(AD553*(1-Settings!$H$17)),"")</f>
        <v/>
      </c>
      <c r="AG553" s="150">
        <f>IFERROR(IF(AD553="","",IF(AD553&gt;=C553/(1-SKU_Base!AF553)/(1-Settings!$H$17),"OK",IF(AD553&gt;=C553/(1-SKU_Base!AM553)/(1-Settings!$H$17),"WARN","STOP"))),"")</f>
        <v/>
      </c>
    </row>
    <row r="554" ht="17" customHeight="1" s="179">
      <c r="A554" s="139">
        <f>SKU_Base!B554</f>
        <v/>
      </c>
      <c r="B554" s="139">
        <f>SKU_Base!C554</f>
        <v/>
      </c>
      <c r="C554" s="140">
        <f>IFERROR(SKU_Base!I554,"")</f>
        <v/>
      </c>
      <c r="D554" s="163">
        <f>IFERROR(SKU_Base!T554,"")</f>
        <v/>
      </c>
      <c r="E554" s="141">
        <f>IFERROR(SKU_Base!$U554,"")</f>
        <v/>
      </c>
      <c r="F554" s="158">
        <f>IFERROR(ROUND(D554*(1-CHOOSE(MATCH(IF($E554="","Основний",$E554),{"Трафіковий","Основний","Маржинальний","Сезонний","Стратегічний"},0),Settings!$B$78,Settings!$B$80,Settings!$B$82,Settings!$B$84,Settings!$B$86))/6,2)*6,"")</f>
        <v/>
      </c>
      <c r="G554" s="142">
        <f>IFERROR(CHOOSE(MATCH(IF($E554="","Основний",$E554),{"Трафіковий","Основний","Маржинальний","Сезонний","Стратегічний"},0),Settings!$B$78,Settings!$B$80,Settings!$B$82,Settings!$B$84,Settings!$B$86),"")</f>
        <v/>
      </c>
      <c r="H554" s="143">
        <f>IFERROR((F554*(1-Settings!$B$17)-C554)/(F554*(1-Settings!$B$17)),"")</f>
        <v/>
      </c>
      <c r="I554" s="150">
        <f>IFERROR(IF(F554="","",IF(F554&gt;=C554/(1-SKU_Base!Z554)/(1-Settings!$B$17),"OK",IF(F554&gt;=C554/(1-SKU_Base!AG554)/(1-Settings!$B$17),"WARN","STOP"))),"")</f>
        <v/>
      </c>
      <c r="J554" s="158">
        <f>IFERROR(ROUND(D554*(1-CHOOSE(MATCH(IF($E554="","Основний",$E554),{"Трафіковий","Основний","Маржинальний","Сезонний","Стратегічний"},0),Settings!$C$78,Settings!$C$80,Settings!$C$82,Settings!$C$84,Settings!$C$86))/6,2)*6,"")</f>
        <v/>
      </c>
      <c r="K554" s="142">
        <f>IFERROR(CHOOSE(MATCH(IF($E554="","Основний",$E554),{"Трафіковий","Основний","Маржинальний","Сезонний","Стратегічний"},0),Settings!$C$78,Settings!$C$80,Settings!$C$82,Settings!$C$84,Settings!$C$86),"")</f>
        <v/>
      </c>
      <c r="L554" s="143">
        <f>IFERROR((J554*(1-Settings!$C$17)-C554)/(J554*(1-Settings!$C$17)),"")</f>
        <v/>
      </c>
      <c r="M554" s="149">
        <f>IFERROR(IF(J554="","",IF(J554&gt;=C554/(1-SKU_Base!AA554)/(1-Settings!$C$17),"OK",IF(J554&gt;=C554/(1-SKU_Base!AH554)/(1-Settings!$C$17),"WARN","STOP"))),"")</f>
        <v/>
      </c>
      <c r="N554" s="159">
        <f>IFERROR(ROUND(D554*(1-CHOOSE(MATCH(IF($E554="","Основний",$E554),{"Трафіковий","Основний","Маржинальний","Сезонний","Стратегічний"},0),Settings!$D$78,Settings!$D$80,Settings!$D$82,Settings!$D$84,Settings!$D$86))/6,2)*6,"")</f>
        <v/>
      </c>
      <c r="O554" s="142">
        <f>IFERROR(CHOOSE(MATCH(IF($E554="","Основний",$E554),{"Трафіковий","Основний","Маржинальний","Сезонний","Стратегічний"},0),Settings!$D$78,Settings!$D$80,Settings!$D$82,Settings!$D$84,Settings!$D$86),"")</f>
        <v/>
      </c>
      <c r="P554" s="143">
        <f>IFERROR((N554*(1-Settings!$D$17)-C554)/(N554*(1-Settings!$D$17)),"")</f>
        <v/>
      </c>
      <c r="Q554" s="149">
        <f>IFERROR(IF(N554="","",IF(N554&gt;=C554/(1-SKU_Base!AB554)/(1-Settings!$D$17),"OK",IF(N554&gt;=C554/(1-SKU_Base!AI554)/(1-Settings!$D$17),"WARN","STOP"))),"")</f>
        <v/>
      </c>
      <c r="R554" s="159">
        <f>IFERROR(ROUND(D554*(1-CHOOSE(MATCH(IF($E554="","Основний",$E554),{"Трафіковий","Основний","Маржинальний","Сезонний","Стратегічний"},0),Settings!$E$78,Settings!$E$80,Settings!$E$82,Settings!$E$84,Settings!$E$86))/6,2)*6,"")</f>
        <v/>
      </c>
      <c r="S554" s="142">
        <f>IFERROR(CHOOSE(MATCH(IF($E554="","Основний",$E554),{"Трафіковий","Основний","Маржинальний","Сезонний","Стратегічний"},0),Settings!$E$78,Settings!$E$80,Settings!$E$82,Settings!$E$84,Settings!$E$86),"")</f>
        <v/>
      </c>
      <c r="T554" s="143">
        <f>IFERROR((R554*(1-Settings!$E$17)-C554)/(R554*(1-Settings!$E$17)),"")</f>
        <v/>
      </c>
      <c r="U554" s="149">
        <f>IFERROR(IF(R554="","",IF(R554&gt;=C554/(1-SKU_Base!AC554)/(1-Settings!$E$17),"OK",IF(R554&gt;=C554/(1-SKU_Base!AJ554)/(1-Settings!$E$17),"WARN","STOP"))),"")</f>
        <v/>
      </c>
      <c r="V554" s="159">
        <f>IFERROR(ROUND(D554*(1-CHOOSE(MATCH(IF($E554="","Основний",$E554),{"Трафіковий","Основний","Маржинальний","Сезонний","Стратегічний"},0),Settings!$F$78,Settings!$F$80,Settings!$F$82,Settings!$F$84,Settings!$F$86))/6,2)*6,"")</f>
        <v/>
      </c>
      <c r="W554" s="142">
        <f>IFERROR(CHOOSE(MATCH(IF($E554="","Основний",$E554),{"Трафіковий","Основний","Маржинальний","Сезонний","Стратегічний"},0),Settings!$F$78,Settings!$F$80,Settings!$F$82,Settings!$F$84,Settings!$F$86),"")</f>
        <v/>
      </c>
      <c r="X554" s="143">
        <f>IFERROR((V554*(1-Settings!$F$17)-C554)/(V554*(1-Settings!$F$17)),"")</f>
        <v/>
      </c>
      <c r="Y554" s="149">
        <f>IFERROR(IF(V554="","",IF(V554&gt;=C554/(1-SKU_Base!AD554)/(1-Settings!$F$17),"OK",IF(V554&gt;=C554/(1-SKU_Base!AK554)/(1-Settings!$F$17),"WARN","STOP"))),"")</f>
        <v/>
      </c>
      <c r="Z554" s="159">
        <f>IFERROR(ROUND(D554*(1-CHOOSE(MATCH(IF($E554="","Основний",$E554),{"Трафіковий","Основний","Маржинальний","Сезонний","Стратегічний"},0),Settings!$G$78,Settings!$G$80,Settings!$G$82,Settings!$G$84,Settings!$G$86))/6,2)*6,"")</f>
        <v/>
      </c>
      <c r="AA554" s="142">
        <f>IFERROR(CHOOSE(MATCH(IF($E554="","Основний",$E554),{"Трафіковий","Основний","Маржинальний","Сезонний","Стратегічний"},0),Settings!$G$78,Settings!$G$80,Settings!$G$82,Settings!$G$84,Settings!$G$86),"")</f>
        <v/>
      </c>
      <c r="AB554" s="143">
        <f>IFERROR((Z554*(1-Settings!$G$17)-C554)/(Z554*(1-Settings!$G$17)),"")</f>
        <v/>
      </c>
      <c r="AC554" s="149">
        <f>IFERROR(IF(Z554="","",IF(Z554&gt;=C554/(1-SKU_Base!AE554)/(1-Settings!$G$17),"OK",IF(Z554&gt;=C554/(1-SKU_Base!AL554)/(1-Settings!$G$17),"WARN","STOP"))),"")</f>
        <v/>
      </c>
      <c r="AD554" s="159">
        <f>IFERROR(ROUND(D554*(1-CHOOSE(MATCH(IF($E554="","Основний",$E554),{"Трафіковий","Основний","Маржинальний","Сезонний","Стратегічний"},0),Settings!$H$78,Settings!$H$80,Settings!$H$82,Settings!$H$84,Settings!$H$86))*(1-Settings!$H$68)/6,2)*6,"")</f>
        <v/>
      </c>
      <c r="AE554" s="142">
        <f>IFERROR(CHOOSE(MATCH(IF($E554="","Основний",$E554),{"Трафіковий","Основний","Маржинальний","Сезонний","Стратегічний"},0),Settings!$H$78,Settings!$H$80,Settings!$H$82,Settings!$H$84,Settings!$H$86)+(1-(CHOOSE(MATCH(IF($E554="","Основний",$E554),{"Трафіковий","Основний","Маржинальний","Сезонний","Стратегічний"},0),Settings!$H$78,Settings!$H$80,Settings!$H$82,Settings!$H$84,Settings!$H$86)))*Settings!$H$68,"")</f>
        <v/>
      </c>
      <c r="AF554" s="143">
        <f>IFERROR((AD554*(1-Settings!$H$17)-C554)/(AD554*(1-Settings!$H$17)),"")</f>
        <v/>
      </c>
      <c r="AG554" s="150">
        <f>IFERROR(IF(AD554="","",IF(AD554&gt;=C554/(1-SKU_Base!AF554)/(1-Settings!$H$17),"OK",IF(AD554&gt;=C554/(1-SKU_Base!AM554)/(1-Settings!$H$17),"WARN","STOP"))),"")</f>
        <v/>
      </c>
    </row>
    <row r="555" ht="17" customHeight="1" s="179">
      <c r="A555" s="146">
        <f>SKU_Base!B555</f>
        <v/>
      </c>
      <c r="B555" s="146">
        <f>SKU_Base!C555</f>
        <v/>
      </c>
      <c r="C555" s="147">
        <f>IFERROR(SKU_Base!I555,"")</f>
        <v/>
      </c>
      <c r="D555" s="164">
        <f>IFERROR(SKU_Base!T555,"")</f>
        <v/>
      </c>
      <c r="E555" s="141">
        <f>IFERROR(SKU_Base!$U555,"")</f>
        <v/>
      </c>
      <c r="F555" s="160">
        <f>IFERROR(ROUND(D555*(1-CHOOSE(MATCH(IF($E555="","Основний",$E555),{"Трафіковий","Основний","Маржинальний","Сезонний","Стратегічний"},0),Settings!$B$78,Settings!$B$80,Settings!$B$82,Settings!$B$84,Settings!$B$86))/6,2)*6,"")</f>
        <v/>
      </c>
      <c r="G555" s="142">
        <f>IFERROR(CHOOSE(MATCH(IF($E555="","Основний",$E555),{"Трафіковий","Основний","Маржинальний","Сезонний","Стратегічний"},0),Settings!$B$78,Settings!$B$80,Settings!$B$82,Settings!$B$84,Settings!$B$86),"")</f>
        <v/>
      </c>
      <c r="H555" s="148">
        <f>IFERROR((F555*(1-Settings!$B$17)-C555)/(F555*(1-Settings!$B$17)),"")</f>
        <v/>
      </c>
      <c r="I555" s="149">
        <f>IFERROR(IF(F555="","",IF(F555&gt;=C555/(1-SKU_Base!Z555)/(1-Settings!$B$17),"OK",IF(F555&gt;=C555/(1-SKU_Base!AG555)/(1-Settings!$B$17),"WARN","STOP"))),"")</f>
        <v/>
      </c>
      <c r="J555" s="160">
        <f>IFERROR(ROUND(D555*(1-CHOOSE(MATCH(IF($E555="","Основний",$E555),{"Трафіковий","Основний","Маржинальний","Сезонний","Стратегічний"},0),Settings!$C$78,Settings!$C$80,Settings!$C$82,Settings!$C$84,Settings!$C$86))/6,2)*6,"")</f>
        <v/>
      </c>
      <c r="K555" s="142">
        <f>IFERROR(CHOOSE(MATCH(IF($E555="","Основний",$E555),{"Трафіковий","Основний","Маржинальний","Сезонний","Стратегічний"},0),Settings!$C$78,Settings!$C$80,Settings!$C$82,Settings!$C$84,Settings!$C$86),"")</f>
        <v/>
      </c>
      <c r="L555" s="148">
        <f>IFERROR((J555*(1-Settings!$C$17)-C555)/(J555*(1-Settings!$C$17)),"")</f>
        <v/>
      </c>
      <c r="M555" s="149">
        <f>IFERROR(IF(J555="","",IF(J555&gt;=C555/(1-SKU_Base!AA555)/(1-Settings!$C$17),"OK",IF(J555&gt;=C555/(1-SKU_Base!AH555)/(1-Settings!$C$17),"WARN","STOP"))),"")</f>
        <v/>
      </c>
      <c r="N555" s="161">
        <f>IFERROR(ROUND(D555*(1-CHOOSE(MATCH(IF($E555="","Основний",$E555),{"Трафіковий","Основний","Маржинальний","Сезонний","Стратегічний"},0),Settings!$D$78,Settings!$D$80,Settings!$D$82,Settings!$D$84,Settings!$D$86))/6,2)*6,"")</f>
        <v/>
      </c>
      <c r="O555" s="142">
        <f>IFERROR(CHOOSE(MATCH(IF($E555="","Основний",$E555),{"Трафіковий","Основний","Маржинальний","Сезонний","Стратегічний"},0),Settings!$D$78,Settings!$D$80,Settings!$D$82,Settings!$D$84,Settings!$D$86),"")</f>
        <v/>
      </c>
      <c r="P555" s="148">
        <f>IFERROR((N555*(1-Settings!$D$17)-C555)/(N555*(1-Settings!$D$17)),"")</f>
        <v/>
      </c>
      <c r="Q555" s="149">
        <f>IFERROR(IF(N555="","",IF(N555&gt;=C555/(1-SKU_Base!AB555)/(1-Settings!$D$17),"OK",IF(N555&gt;=C555/(1-SKU_Base!AI555)/(1-Settings!$D$17),"WARN","STOP"))),"")</f>
        <v/>
      </c>
      <c r="R555" s="161">
        <f>IFERROR(ROUND(D555*(1-CHOOSE(MATCH(IF($E555="","Основний",$E555),{"Трафіковий","Основний","Маржинальний","Сезонний","Стратегічний"},0),Settings!$E$78,Settings!$E$80,Settings!$E$82,Settings!$E$84,Settings!$E$86))/6,2)*6,"")</f>
        <v/>
      </c>
      <c r="S555" s="142">
        <f>IFERROR(CHOOSE(MATCH(IF($E555="","Основний",$E555),{"Трафіковий","Основний","Маржинальний","Сезонний","Стратегічний"},0),Settings!$E$78,Settings!$E$80,Settings!$E$82,Settings!$E$84,Settings!$E$86),"")</f>
        <v/>
      </c>
      <c r="T555" s="148">
        <f>IFERROR((R555*(1-Settings!$E$17)-C555)/(R555*(1-Settings!$E$17)),"")</f>
        <v/>
      </c>
      <c r="U555" s="149">
        <f>IFERROR(IF(R555="","",IF(R555&gt;=C555/(1-SKU_Base!AC555)/(1-Settings!$E$17),"OK",IF(R555&gt;=C555/(1-SKU_Base!AJ555)/(1-Settings!$E$17),"WARN","STOP"))),"")</f>
        <v/>
      </c>
      <c r="V555" s="161">
        <f>IFERROR(ROUND(D555*(1-CHOOSE(MATCH(IF($E555="","Основний",$E555),{"Трафіковий","Основний","Маржинальний","Сезонний","Стратегічний"},0),Settings!$F$78,Settings!$F$80,Settings!$F$82,Settings!$F$84,Settings!$F$86))/6,2)*6,"")</f>
        <v/>
      </c>
      <c r="W555" s="142">
        <f>IFERROR(CHOOSE(MATCH(IF($E555="","Основний",$E555),{"Трафіковий","Основний","Маржинальний","Сезонний","Стратегічний"},0),Settings!$F$78,Settings!$F$80,Settings!$F$82,Settings!$F$84,Settings!$F$86),"")</f>
        <v/>
      </c>
      <c r="X555" s="148">
        <f>IFERROR((V555*(1-Settings!$F$17)-C555)/(V555*(1-Settings!$F$17)),"")</f>
        <v/>
      </c>
      <c r="Y555" s="149">
        <f>IFERROR(IF(V555="","",IF(V555&gt;=C555/(1-SKU_Base!AD555)/(1-Settings!$F$17),"OK",IF(V555&gt;=C555/(1-SKU_Base!AK555)/(1-Settings!$F$17),"WARN","STOP"))),"")</f>
        <v/>
      </c>
      <c r="Z555" s="161">
        <f>IFERROR(ROUND(D555*(1-CHOOSE(MATCH(IF($E555="","Основний",$E555),{"Трафіковий","Основний","Маржинальний","Сезонний","Стратегічний"},0),Settings!$G$78,Settings!$G$80,Settings!$G$82,Settings!$G$84,Settings!$G$86))/6,2)*6,"")</f>
        <v/>
      </c>
      <c r="AA555" s="142">
        <f>IFERROR(CHOOSE(MATCH(IF($E555="","Основний",$E555),{"Трафіковий","Основний","Маржинальний","Сезонний","Стратегічний"},0),Settings!$G$78,Settings!$G$80,Settings!$G$82,Settings!$G$84,Settings!$G$86),"")</f>
        <v/>
      </c>
      <c r="AB555" s="148">
        <f>IFERROR((Z555*(1-Settings!$G$17)-C555)/(Z555*(1-Settings!$G$17)),"")</f>
        <v/>
      </c>
      <c r="AC555" s="149">
        <f>IFERROR(IF(Z555="","",IF(Z555&gt;=C555/(1-SKU_Base!AE555)/(1-Settings!$G$17),"OK",IF(Z555&gt;=C555/(1-SKU_Base!AL555)/(1-Settings!$G$17),"WARN","STOP"))),"")</f>
        <v/>
      </c>
      <c r="AD555" s="161">
        <f>IFERROR(ROUND(D555*(1-CHOOSE(MATCH(IF($E555="","Основний",$E555),{"Трафіковий","Основний","Маржинальний","Сезонний","Стратегічний"},0),Settings!$H$78,Settings!$H$80,Settings!$H$82,Settings!$H$84,Settings!$H$86))*(1-Settings!$H$68)/6,2)*6,"")</f>
        <v/>
      </c>
      <c r="AE555" s="142">
        <f>IFERROR(CHOOSE(MATCH(IF($E555="","Основний",$E555),{"Трафіковий","Основний","Маржинальний","Сезонний","Стратегічний"},0),Settings!$H$78,Settings!$H$80,Settings!$H$82,Settings!$H$84,Settings!$H$86)+(1-(CHOOSE(MATCH(IF($E555="","Основний",$E555),{"Трафіковий","Основний","Маржинальний","Сезонний","Стратегічний"},0),Settings!$H$78,Settings!$H$80,Settings!$H$82,Settings!$H$84,Settings!$H$86)))*Settings!$H$68,"")</f>
        <v/>
      </c>
      <c r="AF555" s="148">
        <f>IFERROR((AD555*(1-Settings!$H$17)-C555)/(AD555*(1-Settings!$H$17)),"")</f>
        <v/>
      </c>
      <c r="AG555" s="150">
        <f>IFERROR(IF(AD555="","",IF(AD555&gt;=C555/(1-SKU_Base!AF555)/(1-Settings!$H$17),"OK",IF(AD555&gt;=C555/(1-SKU_Base!AM555)/(1-Settings!$H$17),"WARN","STOP"))),"")</f>
        <v/>
      </c>
    </row>
    <row r="556" ht="17" customHeight="1" s="179">
      <c r="A556" s="139">
        <f>SKU_Base!B556</f>
        <v/>
      </c>
      <c r="B556" s="139">
        <f>SKU_Base!C556</f>
        <v/>
      </c>
      <c r="C556" s="140">
        <f>IFERROR(SKU_Base!I556,"")</f>
        <v/>
      </c>
      <c r="D556" s="163">
        <f>IFERROR(SKU_Base!T556,"")</f>
        <v/>
      </c>
      <c r="E556" s="141">
        <f>IFERROR(SKU_Base!$U556,"")</f>
        <v/>
      </c>
      <c r="F556" s="158">
        <f>IFERROR(ROUND(D556*(1-CHOOSE(MATCH(IF($E556="","Основний",$E556),{"Трафіковий","Основний","Маржинальний","Сезонний","Стратегічний"},0),Settings!$B$78,Settings!$B$80,Settings!$B$82,Settings!$B$84,Settings!$B$86))/6,2)*6,"")</f>
        <v/>
      </c>
      <c r="G556" s="142">
        <f>IFERROR(CHOOSE(MATCH(IF($E556="","Основний",$E556),{"Трафіковий","Основний","Маржинальний","Сезонний","Стратегічний"},0),Settings!$B$78,Settings!$B$80,Settings!$B$82,Settings!$B$84,Settings!$B$86),"")</f>
        <v/>
      </c>
      <c r="H556" s="143">
        <f>IFERROR((F556*(1-Settings!$B$17)-C556)/(F556*(1-Settings!$B$17)),"")</f>
        <v/>
      </c>
      <c r="I556" s="149">
        <f>IFERROR(IF(F556="","",IF(F556&gt;=C556/(1-SKU_Base!Z556)/(1-Settings!$B$17),"OK",IF(F556&gt;=C556/(1-SKU_Base!AG556)/(1-Settings!$B$17),"WARN","STOP"))),"")</f>
        <v/>
      </c>
      <c r="J556" s="158">
        <f>IFERROR(ROUND(D556*(1-CHOOSE(MATCH(IF($E556="","Основний",$E556),{"Трафіковий","Основний","Маржинальний","Сезонний","Стратегічний"},0),Settings!$C$78,Settings!$C$80,Settings!$C$82,Settings!$C$84,Settings!$C$86))/6,2)*6,"")</f>
        <v/>
      </c>
      <c r="K556" s="142">
        <f>IFERROR(CHOOSE(MATCH(IF($E556="","Основний",$E556),{"Трафіковий","Основний","Маржинальний","Сезонний","Стратегічний"},0),Settings!$C$78,Settings!$C$80,Settings!$C$82,Settings!$C$84,Settings!$C$86),"")</f>
        <v/>
      </c>
      <c r="L556" s="143">
        <f>IFERROR((J556*(1-Settings!$C$17)-C556)/(J556*(1-Settings!$C$17)),"")</f>
        <v/>
      </c>
      <c r="M556" s="149">
        <f>IFERROR(IF(J556="","",IF(J556&gt;=C556/(1-SKU_Base!AA556)/(1-Settings!$C$17),"OK",IF(J556&gt;=C556/(1-SKU_Base!AH556)/(1-Settings!$C$17),"WARN","STOP"))),"")</f>
        <v/>
      </c>
      <c r="N556" s="159">
        <f>IFERROR(ROUND(D556*(1-CHOOSE(MATCH(IF($E556="","Основний",$E556),{"Трафіковий","Основний","Маржинальний","Сезонний","Стратегічний"},0),Settings!$D$78,Settings!$D$80,Settings!$D$82,Settings!$D$84,Settings!$D$86))/6,2)*6,"")</f>
        <v/>
      </c>
      <c r="O556" s="142">
        <f>IFERROR(CHOOSE(MATCH(IF($E556="","Основний",$E556),{"Трафіковий","Основний","Маржинальний","Сезонний","Стратегічний"},0),Settings!$D$78,Settings!$D$80,Settings!$D$82,Settings!$D$84,Settings!$D$86),"")</f>
        <v/>
      </c>
      <c r="P556" s="143">
        <f>IFERROR((N556*(1-Settings!$D$17)-C556)/(N556*(1-Settings!$D$17)),"")</f>
        <v/>
      </c>
      <c r="Q556" s="149">
        <f>IFERROR(IF(N556="","",IF(N556&gt;=C556/(1-SKU_Base!AB556)/(1-Settings!$D$17),"OK",IF(N556&gt;=C556/(1-SKU_Base!AI556)/(1-Settings!$D$17),"WARN","STOP"))),"")</f>
        <v/>
      </c>
      <c r="R556" s="159">
        <f>IFERROR(ROUND(D556*(1-CHOOSE(MATCH(IF($E556="","Основний",$E556),{"Трафіковий","Основний","Маржинальний","Сезонний","Стратегічний"},0),Settings!$E$78,Settings!$E$80,Settings!$E$82,Settings!$E$84,Settings!$E$86))/6,2)*6,"")</f>
        <v/>
      </c>
      <c r="S556" s="142">
        <f>IFERROR(CHOOSE(MATCH(IF($E556="","Основний",$E556),{"Трафіковий","Основний","Маржинальний","Сезонний","Стратегічний"},0),Settings!$E$78,Settings!$E$80,Settings!$E$82,Settings!$E$84,Settings!$E$86),"")</f>
        <v/>
      </c>
      <c r="T556" s="143">
        <f>IFERROR((R556*(1-Settings!$E$17)-C556)/(R556*(1-Settings!$E$17)),"")</f>
        <v/>
      </c>
      <c r="U556" s="149">
        <f>IFERROR(IF(R556="","",IF(R556&gt;=C556/(1-SKU_Base!AC556)/(1-Settings!$E$17),"OK",IF(R556&gt;=C556/(1-SKU_Base!AJ556)/(1-Settings!$E$17),"WARN","STOP"))),"")</f>
        <v/>
      </c>
      <c r="V556" s="159">
        <f>IFERROR(ROUND(D556*(1-CHOOSE(MATCH(IF($E556="","Основний",$E556),{"Трафіковий","Основний","Маржинальний","Сезонний","Стратегічний"},0),Settings!$F$78,Settings!$F$80,Settings!$F$82,Settings!$F$84,Settings!$F$86))/6,2)*6,"")</f>
        <v/>
      </c>
      <c r="W556" s="142">
        <f>IFERROR(CHOOSE(MATCH(IF($E556="","Основний",$E556),{"Трафіковий","Основний","Маржинальний","Сезонний","Стратегічний"},0),Settings!$F$78,Settings!$F$80,Settings!$F$82,Settings!$F$84,Settings!$F$86),"")</f>
        <v/>
      </c>
      <c r="X556" s="143">
        <f>IFERROR((V556*(1-Settings!$F$17)-C556)/(V556*(1-Settings!$F$17)),"")</f>
        <v/>
      </c>
      <c r="Y556" s="149">
        <f>IFERROR(IF(V556="","",IF(V556&gt;=C556/(1-SKU_Base!AD556)/(1-Settings!$F$17),"OK",IF(V556&gt;=C556/(1-SKU_Base!AK556)/(1-Settings!$F$17),"WARN","STOP"))),"")</f>
        <v/>
      </c>
      <c r="Z556" s="159">
        <f>IFERROR(ROUND(D556*(1-CHOOSE(MATCH(IF($E556="","Основний",$E556),{"Трафіковий","Основний","Маржинальний","Сезонний","Стратегічний"},0),Settings!$G$78,Settings!$G$80,Settings!$G$82,Settings!$G$84,Settings!$G$86))/6,2)*6,"")</f>
        <v/>
      </c>
      <c r="AA556" s="142">
        <f>IFERROR(CHOOSE(MATCH(IF($E556="","Основний",$E556),{"Трафіковий","Основний","Маржинальний","Сезонний","Стратегічний"},0),Settings!$G$78,Settings!$G$80,Settings!$G$82,Settings!$G$84,Settings!$G$86),"")</f>
        <v/>
      </c>
      <c r="AB556" s="143">
        <f>IFERROR((Z556*(1-Settings!$G$17)-C556)/(Z556*(1-Settings!$G$17)),"")</f>
        <v/>
      </c>
      <c r="AC556" s="149">
        <f>IFERROR(IF(Z556="","",IF(Z556&gt;=C556/(1-SKU_Base!AE556)/(1-Settings!$G$17),"OK",IF(Z556&gt;=C556/(1-SKU_Base!AL556)/(1-Settings!$G$17),"WARN","STOP"))),"")</f>
        <v/>
      </c>
      <c r="AD556" s="159">
        <f>IFERROR(ROUND(D556*(1-CHOOSE(MATCH(IF($E556="","Основний",$E556),{"Трафіковий","Основний","Маржинальний","Сезонний","Стратегічний"},0),Settings!$H$78,Settings!$H$80,Settings!$H$82,Settings!$H$84,Settings!$H$86))*(1-Settings!$H$68)/6,2)*6,"")</f>
        <v/>
      </c>
      <c r="AE556" s="142">
        <f>IFERROR(CHOOSE(MATCH(IF($E556="","Основний",$E556),{"Трафіковий","Основний","Маржинальний","Сезонний","Стратегічний"},0),Settings!$H$78,Settings!$H$80,Settings!$H$82,Settings!$H$84,Settings!$H$86)+(1-(CHOOSE(MATCH(IF($E556="","Основний",$E556),{"Трафіковий","Основний","Маржинальний","Сезонний","Стратегічний"},0),Settings!$H$78,Settings!$H$80,Settings!$H$82,Settings!$H$84,Settings!$H$86)))*Settings!$H$68,"")</f>
        <v/>
      </c>
      <c r="AF556" s="143">
        <f>IFERROR((AD556*(1-Settings!$H$17)-C556)/(AD556*(1-Settings!$H$17)),"")</f>
        <v/>
      </c>
      <c r="AG556" s="150">
        <f>IFERROR(IF(AD556="","",IF(AD556&gt;=C556/(1-SKU_Base!AF556)/(1-Settings!$H$17),"OK",IF(AD556&gt;=C556/(1-SKU_Base!AM556)/(1-Settings!$H$17),"WARN","STOP"))),"")</f>
        <v/>
      </c>
    </row>
    <row r="557" ht="17" customHeight="1" s="179">
      <c r="A557" s="146">
        <f>SKU_Base!B557</f>
        <v/>
      </c>
      <c r="B557" s="146">
        <f>SKU_Base!C557</f>
        <v/>
      </c>
      <c r="C557" s="147">
        <f>IFERROR(SKU_Base!I557,"")</f>
        <v/>
      </c>
      <c r="D557" s="164">
        <f>IFERROR(SKU_Base!T557,"")</f>
        <v/>
      </c>
      <c r="E557" s="141">
        <f>IFERROR(SKU_Base!$U557,"")</f>
        <v/>
      </c>
      <c r="F557" s="160">
        <f>IFERROR(ROUND(D557*(1-CHOOSE(MATCH(IF($E557="","Основний",$E557),{"Трафіковий","Основний","Маржинальний","Сезонний","Стратегічний"},0),Settings!$B$78,Settings!$B$80,Settings!$B$82,Settings!$B$84,Settings!$B$86))/6,2)*6,"")</f>
        <v/>
      </c>
      <c r="G557" s="142">
        <f>IFERROR(CHOOSE(MATCH(IF($E557="","Основний",$E557),{"Трафіковий","Основний","Маржинальний","Сезонний","Стратегічний"},0),Settings!$B$78,Settings!$B$80,Settings!$B$82,Settings!$B$84,Settings!$B$86),"")</f>
        <v/>
      </c>
      <c r="H557" s="148">
        <f>IFERROR((F557*(1-Settings!$B$17)-C557)/(F557*(1-Settings!$B$17)),"")</f>
        <v/>
      </c>
      <c r="I557" s="149">
        <f>IFERROR(IF(F557="","",IF(F557&gt;=C557/(1-SKU_Base!Z557)/(1-Settings!$B$17),"OK",IF(F557&gt;=C557/(1-SKU_Base!AG557)/(1-Settings!$B$17),"WARN","STOP"))),"")</f>
        <v/>
      </c>
      <c r="J557" s="160">
        <f>IFERROR(ROUND(D557*(1-CHOOSE(MATCH(IF($E557="","Основний",$E557),{"Трафіковий","Основний","Маржинальний","Сезонний","Стратегічний"},0),Settings!$C$78,Settings!$C$80,Settings!$C$82,Settings!$C$84,Settings!$C$86))/6,2)*6,"")</f>
        <v/>
      </c>
      <c r="K557" s="142">
        <f>IFERROR(CHOOSE(MATCH(IF($E557="","Основний",$E557),{"Трафіковий","Основний","Маржинальний","Сезонний","Стратегічний"},0),Settings!$C$78,Settings!$C$80,Settings!$C$82,Settings!$C$84,Settings!$C$86),"")</f>
        <v/>
      </c>
      <c r="L557" s="148">
        <f>IFERROR((J557*(1-Settings!$C$17)-C557)/(J557*(1-Settings!$C$17)),"")</f>
        <v/>
      </c>
      <c r="M557" s="149">
        <f>IFERROR(IF(J557="","",IF(J557&gt;=C557/(1-SKU_Base!AA557)/(1-Settings!$C$17),"OK",IF(J557&gt;=C557/(1-SKU_Base!AH557)/(1-Settings!$C$17),"WARN","STOP"))),"")</f>
        <v/>
      </c>
      <c r="N557" s="161">
        <f>IFERROR(ROUND(D557*(1-CHOOSE(MATCH(IF($E557="","Основний",$E557),{"Трафіковий","Основний","Маржинальний","Сезонний","Стратегічний"},0),Settings!$D$78,Settings!$D$80,Settings!$D$82,Settings!$D$84,Settings!$D$86))/6,2)*6,"")</f>
        <v/>
      </c>
      <c r="O557" s="142">
        <f>IFERROR(CHOOSE(MATCH(IF($E557="","Основний",$E557),{"Трафіковий","Основний","Маржинальний","Сезонний","Стратегічний"},0),Settings!$D$78,Settings!$D$80,Settings!$D$82,Settings!$D$84,Settings!$D$86),"")</f>
        <v/>
      </c>
      <c r="P557" s="148">
        <f>IFERROR((N557*(1-Settings!$D$17)-C557)/(N557*(1-Settings!$D$17)),"")</f>
        <v/>
      </c>
      <c r="Q557" s="149">
        <f>IFERROR(IF(N557="","",IF(N557&gt;=C557/(1-SKU_Base!AB557)/(1-Settings!$D$17),"OK",IF(N557&gt;=C557/(1-SKU_Base!AI557)/(1-Settings!$D$17),"WARN","STOP"))),"")</f>
        <v/>
      </c>
      <c r="R557" s="161">
        <f>IFERROR(ROUND(D557*(1-CHOOSE(MATCH(IF($E557="","Основний",$E557),{"Трафіковий","Основний","Маржинальний","Сезонний","Стратегічний"},0),Settings!$E$78,Settings!$E$80,Settings!$E$82,Settings!$E$84,Settings!$E$86))/6,2)*6,"")</f>
        <v/>
      </c>
      <c r="S557" s="142">
        <f>IFERROR(CHOOSE(MATCH(IF($E557="","Основний",$E557),{"Трафіковий","Основний","Маржинальний","Сезонний","Стратегічний"},0),Settings!$E$78,Settings!$E$80,Settings!$E$82,Settings!$E$84,Settings!$E$86),"")</f>
        <v/>
      </c>
      <c r="T557" s="148">
        <f>IFERROR((R557*(1-Settings!$E$17)-C557)/(R557*(1-Settings!$E$17)),"")</f>
        <v/>
      </c>
      <c r="U557" s="149">
        <f>IFERROR(IF(R557="","",IF(R557&gt;=C557/(1-SKU_Base!AC557)/(1-Settings!$E$17),"OK",IF(R557&gt;=C557/(1-SKU_Base!AJ557)/(1-Settings!$E$17),"WARN","STOP"))),"")</f>
        <v/>
      </c>
      <c r="V557" s="161">
        <f>IFERROR(ROUND(D557*(1-CHOOSE(MATCH(IF($E557="","Основний",$E557),{"Трафіковий","Основний","Маржинальний","Сезонний","Стратегічний"},0),Settings!$F$78,Settings!$F$80,Settings!$F$82,Settings!$F$84,Settings!$F$86))/6,2)*6,"")</f>
        <v/>
      </c>
      <c r="W557" s="142">
        <f>IFERROR(CHOOSE(MATCH(IF($E557="","Основний",$E557),{"Трафіковий","Основний","Маржинальний","Сезонний","Стратегічний"},0),Settings!$F$78,Settings!$F$80,Settings!$F$82,Settings!$F$84,Settings!$F$86),"")</f>
        <v/>
      </c>
      <c r="X557" s="148">
        <f>IFERROR((V557*(1-Settings!$F$17)-C557)/(V557*(1-Settings!$F$17)),"")</f>
        <v/>
      </c>
      <c r="Y557" s="149">
        <f>IFERROR(IF(V557="","",IF(V557&gt;=C557/(1-SKU_Base!AD557)/(1-Settings!$F$17),"OK",IF(V557&gt;=C557/(1-SKU_Base!AK557)/(1-Settings!$F$17),"WARN","STOP"))),"")</f>
        <v/>
      </c>
      <c r="Z557" s="161">
        <f>IFERROR(ROUND(D557*(1-CHOOSE(MATCH(IF($E557="","Основний",$E557),{"Трафіковий","Основний","Маржинальний","Сезонний","Стратегічний"},0),Settings!$G$78,Settings!$G$80,Settings!$G$82,Settings!$G$84,Settings!$G$86))/6,2)*6,"")</f>
        <v/>
      </c>
      <c r="AA557" s="142">
        <f>IFERROR(CHOOSE(MATCH(IF($E557="","Основний",$E557),{"Трафіковий","Основний","Маржинальний","Сезонний","Стратегічний"},0),Settings!$G$78,Settings!$G$80,Settings!$G$82,Settings!$G$84,Settings!$G$86),"")</f>
        <v/>
      </c>
      <c r="AB557" s="148">
        <f>IFERROR((Z557*(1-Settings!$G$17)-C557)/(Z557*(1-Settings!$G$17)),"")</f>
        <v/>
      </c>
      <c r="AC557" s="149">
        <f>IFERROR(IF(Z557="","",IF(Z557&gt;=C557/(1-SKU_Base!AE557)/(1-Settings!$G$17),"OK",IF(Z557&gt;=C557/(1-SKU_Base!AL557)/(1-Settings!$G$17),"WARN","STOP"))),"")</f>
        <v/>
      </c>
      <c r="AD557" s="161">
        <f>IFERROR(ROUND(D557*(1-CHOOSE(MATCH(IF($E557="","Основний",$E557),{"Трафіковий","Основний","Маржинальний","Сезонний","Стратегічний"},0),Settings!$H$78,Settings!$H$80,Settings!$H$82,Settings!$H$84,Settings!$H$86))*(1-Settings!$H$68)/6,2)*6,"")</f>
        <v/>
      </c>
      <c r="AE557" s="142">
        <f>IFERROR(CHOOSE(MATCH(IF($E557="","Основний",$E557),{"Трафіковий","Основний","Маржинальний","Сезонний","Стратегічний"},0),Settings!$H$78,Settings!$H$80,Settings!$H$82,Settings!$H$84,Settings!$H$86)+(1-(CHOOSE(MATCH(IF($E557="","Основний",$E557),{"Трафіковий","Основний","Маржинальний","Сезонний","Стратегічний"},0),Settings!$H$78,Settings!$H$80,Settings!$H$82,Settings!$H$84,Settings!$H$86)))*Settings!$H$68,"")</f>
        <v/>
      </c>
      <c r="AF557" s="148">
        <f>IFERROR((AD557*(1-Settings!$H$17)-C557)/(AD557*(1-Settings!$H$17)),"")</f>
        <v/>
      </c>
      <c r="AG557" s="150">
        <f>IFERROR(IF(AD557="","",IF(AD557&gt;=C557/(1-SKU_Base!AF557)/(1-Settings!$H$17),"OK",IF(AD557&gt;=C557/(1-SKU_Base!AM557)/(1-Settings!$H$17),"WARN","STOP"))),"")</f>
        <v/>
      </c>
    </row>
    <row r="558" ht="17" customHeight="1" s="179">
      <c r="A558" s="139">
        <f>SKU_Base!B558</f>
        <v/>
      </c>
      <c r="B558" s="139">
        <f>SKU_Base!C558</f>
        <v/>
      </c>
      <c r="C558" s="140">
        <f>IFERROR(SKU_Base!I558,"")</f>
        <v/>
      </c>
      <c r="D558" s="163">
        <f>IFERROR(SKU_Base!T558,"")</f>
        <v/>
      </c>
      <c r="E558" s="141">
        <f>IFERROR(SKU_Base!$U558,"")</f>
        <v/>
      </c>
      <c r="F558" s="158">
        <f>IFERROR(ROUND(D558*(1-CHOOSE(MATCH(IF($E558="","Основний",$E558),{"Трафіковий","Основний","Маржинальний","Сезонний","Стратегічний"},0),Settings!$B$78,Settings!$B$80,Settings!$B$82,Settings!$B$84,Settings!$B$86))/6,2)*6,"")</f>
        <v/>
      </c>
      <c r="G558" s="142">
        <f>IFERROR(CHOOSE(MATCH(IF($E558="","Основний",$E558),{"Трафіковий","Основний","Маржинальний","Сезонний","Стратегічний"},0),Settings!$B$78,Settings!$B$80,Settings!$B$82,Settings!$B$84,Settings!$B$86),"")</f>
        <v/>
      </c>
      <c r="H558" s="143">
        <f>IFERROR((F558*(1-Settings!$B$17)-C558)/(F558*(1-Settings!$B$17)),"")</f>
        <v/>
      </c>
      <c r="I558" s="149">
        <f>IFERROR(IF(F558="","",IF(F558&gt;=C558/(1-SKU_Base!Z558)/(1-Settings!$B$17),"OK",IF(F558&gt;=C558/(1-SKU_Base!AG558)/(1-Settings!$B$17),"WARN","STOP"))),"")</f>
        <v/>
      </c>
      <c r="J558" s="158">
        <f>IFERROR(ROUND(D558*(1-CHOOSE(MATCH(IF($E558="","Основний",$E558),{"Трафіковий","Основний","Маржинальний","Сезонний","Стратегічний"},0),Settings!$C$78,Settings!$C$80,Settings!$C$82,Settings!$C$84,Settings!$C$86))/6,2)*6,"")</f>
        <v/>
      </c>
      <c r="K558" s="142">
        <f>IFERROR(CHOOSE(MATCH(IF($E558="","Основний",$E558),{"Трафіковий","Основний","Маржинальний","Сезонний","Стратегічний"},0),Settings!$C$78,Settings!$C$80,Settings!$C$82,Settings!$C$84,Settings!$C$86),"")</f>
        <v/>
      </c>
      <c r="L558" s="143">
        <f>IFERROR((J558*(1-Settings!$C$17)-C558)/(J558*(1-Settings!$C$17)),"")</f>
        <v/>
      </c>
      <c r="M558" s="149">
        <f>IFERROR(IF(J558="","",IF(J558&gt;=C558/(1-SKU_Base!AA558)/(1-Settings!$C$17),"OK",IF(J558&gt;=C558/(1-SKU_Base!AH558)/(1-Settings!$C$17),"WARN","STOP"))),"")</f>
        <v/>
      </c>
      <c r="N558" s="159">
        <f>IFERROR(ROUND(D558*(1-CHOOSE(MATCH(IF($E558="","Основний",$E558),{"Трафіковий","Основний","Маржинальний","Сезонний","Стратегічний"},0),Settings!$D$78,Settings!$D$80,Settings!$D$82,Settings!$D$84,Settings!$D$86))/6,2)*6,"")</f>
        <v/>
      </c>
      <c r="O558" s="142">
        <f>IFERROR(CHOOSE(MATCH(IF($E558="","Основний",$E558),{"Трафіковий","Основний","Маржинальний","Сезонний","Стратегічний"},0),Settings!$D$78,Settings!$D$80,Settings!$D$82,Settings!$D$84,Settings!$D$86),"")</f>
        <v/>
      </c>
      <c r="P558" s="143">
        <f>IFERROR((N558*(1-Settings!$D$17)-C558)/(N558*(1-Settings!$D$17)),"")</f>
        <v/>
      </c>
      <c r="Q558" s="149">
        <f>IFERROR(IF(N558="","",IF(N558&gt;=C558/(1-SKU_Base!AB558)/(1-Settings!$D$17),"OK",IF(N558&gt;=C558/(1-SKU_Base!AI558)/(1-Settings!$D$17),"WARN","STOP"))),"")</f>
        <v/>
      </c>
      <c r="R558" s="159">
        <f>IFERROR(ROUND(D558*(1-CHOOSE(MATCH(IF($E558="","Основний",$E558),{"Трафіковий","Основний","Маржинальний","Сезонний","Стратегічний"},0),Settings!$E$78,Settings!$E$80,Settings!$E$82,Settings!$E$84,Settings!$E$86))/6,2)*6,"")</f>
        <v/>
      </c>
      <c r="S558" s="142">
        <f>IFERROR(CHOOSE(MATCH(IF($E558="","Основний",$E558),{"Трафіковий","Основний","Маржинальний","Сезонний","Стратегічний"},0),Settings!$E$78,Settings!$E$80,Settings!$E$82,Settings!$E$84,Settings!$E$86),"")</f>
        <v/>
      </c>
      <c r="T558" s="143">
        <f>IFERROR((R558*(1-Settings!$E$17)-C558)/(R558*(1-Settings!$E$17)),"")</f>
        <v/>
      </c>
      <c r="U558" s="149">
        <f>IFERROR(IF(R558="","",IF(R558&gt;=C558/(1-SKU_Base!AC558)/(1-Settings!$E$17),"OK",IF(R558&gt;=C558/(1-SKU_Base!AJ558)/(1-Settings!$E$17),"WARN","STOP"))),"")</f>
        <v/>
      </c>
      <c r="V558" s="159">
        <f>IFERROR(ROUND(D558*(1-CHOOSE(MATCH(IF($E558="","Основний",$E558),{"Трафіковий","Основний","Маржинальний","Сезонний","Стратегічний"},0),Settings!$F$78,Settings!$F$80,Settings!$F$82,Settings!$F$84,Settings!$F$86))/6,2)*6,"")</f>
        <v/>
      </c>
      <c r="W558" s="142">
        <f>IFERROR(CHOOSE(MATCH(IF($E558="","Основний",$E558),{"Трафіковий","Основний","Маржинальний","Сезонний","Стратегічний"},0),Settings!$F$78,Settings!$F$80,Settings!$F$82,Settings!$F$84,Settings!$F$86),"")</f>
        <v/>
      </c>
      <c r="X558" s="143">
        <f>IFERROR((V558*(1-Settings!$F$17)-C558)/(V558*(1-Settings!$F$17)),"")</f>
        <v/>
      </c>
      <c r="Y558" s="149">
        <f>IFERROR(IF(V558="","",IF(V558&gt;=C558/(1-SKU_Base!AD558)/(1-Settings!$F$17),"OK",IF(V558&gt;=C558/(1-SKU_Base!AK558)/(1-Settings!$F$17),"WARN","STOP"))),"")</f>
        <v/>
      </c>
      <c r="Z558" s="159">
        <f>IFERROR(ROUND(D558*(1-CHOOSE(MATCH(IF($E558="","Основний",$E558),{"Трафіковий","Основний","Маржинальний","Сезонний","Стратегічний"},0),Settings!$G$78,Settings!$G$80,Settings!$G$82,Settings!$G$84,Settings!$G$86))/6,2)*6,"")</f>
        <v/>
      </c>
      <c r="AA558" s="142">
        <f>IFERROR(CHOOSE(MATCH(IF($E558="","Основний",$E558),{"Трафіковий","Основний","Маржинальний","Сезонний","Стратегічний"},0),Settings!$G$78,Settings!$G$80,Settings!$G$82,Settings!$G$84,Settings!$G$86),"")</f>
        <v/>
      </c>
      <c r="AB558" s="143">
        <f>IFERROR((Z558*(1-Settings!$G$17)-C558)/(Z558*(1-Settings!$G$17)),"")</f>
        <v/>
      </c>
      <c r="AC558" s="149">
        <f>IFERROR(IF(Z558="","",IF(Z558&gt;=C558/(1-SKU_Base!AE558)/(1-Settings!$G$17),"OK",IF(Z558&gt;=C558/(1-SKU_Base!AL558)/(1-Settings!$G$17),"WARN","STOP"))),"")</f>
        <v/>
      </c>
      <c r="AD558" s="159">
        <f>IFERROR(ROUND(D558*(1-CHOOSE(MATCH(IF($E558="","Основний",$E558),{"Трафіковий","Основний","Маржинальний","Сезонний","Стратегічний"},0),Settings!$H$78,Settings!$H$80,Settings!$H$82,Settings!$H$84,Settings!$H$86))*(1-Settings!$H$68)/6,2)*6,"")</f>
        <v/>
      </c>
      <c r="AE558" s="142">
        <f>IFERROR(CHOOSE(MATCH(IF($E558="","Основний",$E558),{"Трафіковий","Основний","Маржинальний","Сезонний","Стратегічний"},0),Settings!$H$78,Settings!$H$80,Settings!$H$82,Settings!$H$84,Settings!$H$86)+(1-(CHOOSE(MATCH(IF($E558="","Основний",$E558),{"Трафіковий","Основний","Маржинальний","Сезонний","Стратегічний"},0),Settings!$H$78,Settings!$H$80,Settings!$H$82,Settings!$H$84,Settings!$H$86)))*Settings!$H$68,"")</f>
        <v/>
      </c>
      <c r="AF558" s="143">
        <f>IFERROR((AD558*(1-Settings!$H$17)-C558)/(AD558*(1-Settings!$H$17)),"")</f>
        <v/>
      </c>
      <c r="AG558" s="150">
        <f>IFERROR(IF(AD558="","",IF(AD558&gt;=C558/(1-SKU_Base!AF558)/(1-Settings!$H$17),"OK",IF(AD558&gt;=C558/(1-SKU_Base!AM558)/(1-Settings!$H$17),"WARN","STOP"))),"")</f>
        <v/>
      </c>
    </row>
    <row r="559" ht="17" customHeight="1" s="179">
      <c r="A559" s="146">
        <f>SKU_Base!B559</f>
        <v/>
      </c>
      <c r="B559" s="146">
        <f>SKU_Base!C559</f>
        <v/>
      </c>
      <c r="C559" s="147">
        <f>IFERROR(SKU_Base!I559,"")</f>
        <v/>
      </c>
      <c r="D559" s="164">
        <f>IFERROR(SKU_Base!T559,"")</f>
        <v/>
      </c>
      <c r="E559" s="141">
        <f>IFERROR(SKU_Base!$U559,"")</f>
        <v/>
      </c>
      <c r="F559" s="160">
        <f>IFERROR(ROUND(D559*(1-CHOOSE(MATCH(IF($E559="","Основний",$E559),{"Трафіковий","Основний","Маржинальний","Сезонний","Стратегічний"},0),Settings!$B$78,Settings!$B$80,Settings!$B$82,Settings!$B$84,Settings!$B$86))/6,2)*6,"")</f>
        <v/>
      </c>
      <c r="G559" s="142">
        <f>IFERROR(CHOOSE(MATCH(IF($E559="","Основний",$E559),{"Трафіковий","Основний","Маржинальний","Сезонний","Стратегічний"},0),Settings!$B$78,Settings!$B$80,Settings!$B$82,Settings!$B$84,Settings!$B$86),"")</f>
        <v/>
      </c>
      <c r="H559" s="148">
        <f>IFERROR((F559*(1-Settings!$B$17)-C559)/(F559*(1-Settings!$B$17)),"")</f>
        <v/>
      </c>
      <c r="I559" s="149">
        <f>IFERROR(IF(F559="","",IF(F559&gt;=C559/(1-SKU_Base!Z559)/(1-Settings!$B$17),"OK",IF(F559&gt;=C559/(1-SKU_Base!AG559)/(1-Settings!$B$17),"WARN","STOP"))),"")</f>
        <v/>
      </c>
      <c r="J559" s="160">
        <f>IFERROR(ROUND(D559*(1-CHOOSE(MATCH(IF($E559="","Основний",$E559),{"Трафіковий","Основний","Маржинальний","Сезонний","Стратегічний"},0),Settings!$C$78,Settings!$C$80,Settings!$C$82,Settings!$C$84,Settings!$C$86))/6,2)*6,"")</f>
        <v/>
      </c>
      <c r="K559" s="142">
        <f>IFERROR(CHOOSE(MATCH(IF($E559="","Основний",$E559),{"Трафіковий","Основний","Маржинальний","Сезонний","Стратегічний"},0),Settings!$C$78,Settings!$C$80,Settings!$C$82,Settings!$C$84,Settings!$C$86),"")</f>
        <v/>
      </c>
      <c r="L559" s="148">
        <f>IFERROR((J559*(1-Settings!$C$17)-C559)/(J559*(1-Settings!$C$17)),"")</f>
        <v/>
      </c>
      <c r="M559" s="149">
        <f>IFERROR(IF(J559="","",IF(J559&gt;=C559/(1-SKU_Base!AA559)/(1-Settings!$C$17),"OK",IF(J559&gt;=C559/(1-SKU_Base!AH559)/(1-Settings!$C$17),"WARN","STOP"))),"")</f>
        <v/>
      </c>
      <c r="N559" s="161">
        <f>IFERROR(ROUND(D559*(1-CHOOSE(MATCH(IF($E559="","Основний",$E559),{"Трафіковий","Основний","Маржинальний","Сезонний","Стратегічний"},0),Settings!$D$78,Settings!$D$80,Settings!$D$82,Settings!$D$84,Settings!$D$86))/6,2)*6,"")</f>
        <v/>
      </c>
      <c r="O559" s="142">
        <f>IFERROR(CHOOSE(MATCH(IF($E559="","Основний",$E559),{"Трафіковий","Основний","Маржинальний","Сезонний","Стратегічний"},0),Settings!$D$78,Settings!$D$80,Settings!$D$82,Settings!$D$84,Settings!$D$86),"")</f>
        <v/>
      </c>
      <c r="P559" s="148">
        <f>IFERROR((N559*(1-Settings!$D$17)-C559)/(N559*(1-Settings!$D$17)),"")</f>
        <v/>
      </c>
      <c r="Q559" s="149">
        <f>IFERROR(IF(N559="","",IF(N559&gt;=C559/(1-SKU_Base!AB559)/(1-Settings!$D$17),"OK",IF(N559&gt;=C559/(1-SKU_Base!AI559)/(1-Settings!$D$17),"WARN","STOP"))),"")</f>
        <v/>
      </c>
      <c r="R559" s="161">
        <f>IFERROR(ROUND(D559*(1-CHOOSE(MATCH(IF($E559="","Основний",$E559),{"Трафіковий","Основний","Маржинальний","Сезонний","Стратегічний"},0),Settings!$E$78,Settings!$E$80,Settings!$E$82,Settings!$E$84,Settings!$E$86))/6,2)*6,"")</f>
        <v/>
      </c>
      <c r="S559" s="142">
        <f>IFERROR(CHOOSE(MATCH(IF($E559="","Основний",$E559),{"Трафіковий","Основний","Маржинальний","Сезонний","Стратегічний"},0),Settings!$E$78,Settings!$E$80,Settings!$E$82,Settings!$E$84,Settings!$E$86),"")</f>
        <v/>
      </c>
      <c r="T559" s="148">
        <f>IFERROR((R559*(1-Settings!$E$17)-C559)/(R559*(1-Settings!$E$17)),"")</f>
        <v/>
      </c>
      <c r="U559" s="149">
        <f>IFERROR(IF(R559="","",IF(R559&gt;=C559/(1-SKU_Base!AC559)/(1-Settings!$E$17),"OK",IF(R559&gt;=C559/(1-SKU_Base!AJ559)/(1-Settings!$E$17),"WARN","STOP"))),"")</f>
        <v/>
      </c>
      <c r="V559" s="161">
        <f>IFERROR(ROUND(D559*(1-CHOOSE(MATCH(IF($E559="","Основний",$E559),{"Трафіковий","Основний","Маржинальний","Сезонний","Стратегічний"},0),Settings!$F$78,Settings!$F$80,Settings!$F$82,Settings!$F$84,Settings!$F$86))/6,2)*6,"")</f>
        <v/>
      </c>
      <c r="W559" s="142">
        <f>IFERROR(CHOOSE(MATCH(IF($E559="","Основний",$E559),{"Трафіковий","Основний","Маржинальний","Сезонний","Стратегічний"},0),Settings!$F$78,Settings!$F$80,Settings!$F$82,Settings!$F$84,Settings!$F$86),"")</f>
        <v/>
      </c>
      <c r="X559" s="148">
        <f>IFERROR((V559*(1-Settings!$F$17)-C559)/(V559*(1-Settings!$F$17)),"")</f>
        <v/>
      </c>
      <c r="Y559" s="149">
        <f>IFERROR(IF(V559="","",IF(V559&gt;=C559/(1-SKU_Base!AD559)/(1-Settings!$F$17),"OK",IF(V559&gt;=C559/(1-SKU_Base!AK559)/(1-Settings!$F$17),"WARN","STOP"))),"")</f>
        <v/>
      </c>
      <c r="Z559" s="161">
        <f>IFERROR(ROUND(D559*(1-CHOOSE(MATCH(IF($E559="","Основний",$E559),{"Трафіковий","Основний","Маржинальний","Сезонний","Стратегічний"},0),Settings!$G$78,Settings!$G$80,Settings!$G$82,Settings!$G$84,Settings!$G$86))/6,2)*6,"")</f>
        <v/>
      </c>
      <c r="AA559" s="142">
        <f>IFERROR(CHOOSE(MATCH(IF($E559="","Основний",$E559),{"Трафіковий","Основний","Маржинальний","Сезонний","Стратегічний"},0),Settings!$G$78,Settings!$G$80,Settings!$G$82,Settings!$G$84,Settings!$G$86),"")</f>
        <v/>
      </c>
      <c r="AB559" s="148">
        <f>IFERROR((Z559*(1-Settings!$G$17)-C559)/(Z559*(1-Settings!$G$17)),"")</f>
        <v/>
      </c>
      <c r="AC559" s="149">
        <f>IFERROR(IF(Z559="","",IF(Z559&gt;=C559/(1-SKU_Base!AE559)/(1-Settings!$G$17),"OK",IF(Z559&gt;=C559/(1-SKU_Base!AL559)/(1-Settings!$G$17),"WARN","STOP"))),"")</f>
        <v/>
      </c>
      <c r="AD559" s="161">
        <f>IFERROR(ROUND(D559*(1-CHOOSE(MATCH(IF($E559="","Основний",$E559),{"Трафіковий","Основний","Маржинальний","Сезонний","Стратегічний"},0),Settings!$H$78,Settings!$H$80,Settings!$H$82,Settings!$H$84,Settings!$H$86))*(1-Settings!$H$68)/6,2)*6,"")</f>
        <v/>
      </c>
      <c r="AE559" s="142">
        <f>IFERROR(CHOOSE(MATCH(IF($E559="","Основний",$E559),{"Трафіковий","Основний","Маржинальний","Сезонний","Стратегічний"},0),Settings!$H$78,Settings!$H$80,Settings!$H$82,Settings!$H$84,Settings!$H$86)+(1-(CHOOSE(MATCH(IF($E559="","Основний",$E559),{"Трафіковий","Основний","Маржинальний","Сезонний","Стратегічний"},0),Settings!$H$78,Settings!$H$80,Settings!$H$82,Settings!$H$84,Settings!$H$86)))*Settings!$H$68,"")</f>
        <v/>
      </c>
      <c r="AF559" s="148">
        <f>IFERROR((AD559*(1-Settings!$H$17)-C559)/(AD559*(1-Settings!$H$17)),"")</f>
        <v/>
      </c>
      <c r="AG559" s="149">
        <f>IFERROR(IF(AD559="","",IF(AD559&gt;=C559/(1-SKU_Base!AF559)/(1-Settings!$H$17),"OK",IF(AD559&gt;=C559/(1-SKU_Base!AM559)/(1-Settings!$H$17),"WARN","STOP"))),"")</f>
        <v/>
      </c>
    </row>
    <row r="560" ht="17" customHeight="1" s="179">
      <c r="A560" s="139">
        <f>SKU_Base!B560</f>
        <v/>
      </c>
      <c r="B560" s="139">
        <f>SKU_Base!C560</f>
        <v/>
      </c>
      <c r="C560" s="140">
        <f>IFERROR(SKU_Base!I560,"")</f>
        <v/>
      </c>
      <c r="D560" s="163">
        <f>IFERROR(SKU_Base!T560,"")</f>
        <v/>
      </c>
      <c r="E560" s="141">
        <f>IFERROR(SKU_Base!$U560,"")</f>
        <v/>
      </c>
      <c r="F560" s="158">
        <f>IFERROR(ROUND(D560*(1-CHOOSE(MATCH(IF($E560="","Основний",$E560),{"Трафіковий","Основний","Маржинальний","Сезонний","Стратегічний"},0),Settings!$B$78,Settings!$B$80,Settings!$B$82,Settings!$B$84,Settings!$B$86))/6,2)*6,"")</f>
        <v/>
      </c>
      <c r="G560" s="142">
        <f>IFERROR(CHOOSE(MATCH(IF($E560="","Основний",$E560),{"Трафіковий","Основний","Маржинальний","Сезонний","Стратегічний"},0),Settings!$B$78,Settings!$B$80,Settings!$B$82,Settings!$B$84,Settings!$B$86),"")</f>
        <v/>
      </c>
      <c r="H560" s="143">
        <f>IFERROR((F560*(1-Settings!$B$17)-C560)/(F560*(1-Settings!$B$17)),"")</f>
        <v/>
      </c>
      <c r="I560" s="149">
        <f>IFERROR(IF(F560="","",IF(F560&gt;=C560/(1-SKU_Base!Z560)/(1-Settings!$B$17),"OK",IF(F560&gt;=C560/(1-SKU_Base!AG560)/(1-Settings!$B$17),"WARN","STOP"))),"")</f>
        <v/>
      </c>
      <c r="J560" s="158">
        <f>IFERROR(ROUND(D560*(1-CHOOSE(MATCH(IF($E560="","Основний",$E560),{"Трафіковий","Основний","Маржинальний","Сезонний","Стратегічний"},0),Settings!$C$78,Settings!$C$80,Settings!$C$82,Settings!$C$84,Settings!$C$86))/6,2)*6,"")</f>
        <v/>
      </c>
      <c r="K560" s="142">
        <f>IFERROR(CHOOSE(MATCH(IF($E560="","Основний",$E560),{"Трафіковий","Основний","Маржинальний","Сезонний","Стратегічний"},0),Settings!$C$78,Settings!$C$80,Settings!$C$82,Settings!$C$84,Settings!$C$86),"")</f>
        <v/>
      </c>
      <c r="L560" s="143">
        <f>IFERROR((J560*(1-Settings!$C$17)-C560)/(J560*(1-Settings!$C$17)),"")</f>
        <v/>
      </c>
      <c r="M560" s="149">
        <f>IFERROR(IF(J560="","",IF(J560&gt;=C560/(1-SKU_Base!AA560)/(1-Settings!$C$17),"OK",IF(J560&gt;=C560/(1-SKU_Base!AH560)/(1-Settings!$C$17),"WARN","STOP"))),"")</f>
        <v/>
      </c>
      <c r="N560" s="159">
        <f>IFERROR(ROUND(D560*(1-CHOOSE(MATCH(IF($E560="","Основний",$E560),{"Трафіковий","Основний","Маржинальний","Сезонний","Стратегічний"},0),Settings!$D$78,Settings!$D$80,Settings!$D$82,Settings!$D$84,Settings!$D$86))/6,2)*6,"")</f>
        <v/>
      </c>
      <c r="O560" s="142">
        <f>IFERROR(CHOOSE(MATCH(IF($E560="","Основний",$E560),{"Трафіковий","Основний","Маржинальний","Сезонний","Стратегічний"},0),Settings!$D$78,Settings!$D$80,Settings!$D$82,Settings!$D$84,Settings!$D$86),"")</f>
        <v/>
      </c>
      <c r="P560" s="143">
        <f>IFERROR((N560*(1-Settings!$D$17)-C560)/(N560*(1-Settings!$D$17)),"")</f>
        <v/>
      </c>
      <c r="Q560" s="149">
        <f>IFERROR(IF(N560="","",IF(N560&gt;=C560/(1-SKU_Base!AB560)/(1-Settings!$D$17),"OK",IF(N560&gt;=C560/(1-SKU_Base!AI560)/(1-Settings!$D$17),"WARN","STOP"))),"")</f>
        <v/>
      </c>
      <c r="R560" s="159">
        <f>IFERROR(ROUND(D560*(1-CHOOSE(MATCH(IF($E560="","Основний",$E560),{"Трафіковий","Основний","Маржинальний","Сезонний","Стратегічний"},0),Settings!$E$78,Settings!$E$80,Settings!$E$82,Settings!$E$84,Settings!$E$86))/6,2)*6,"")</f>
        <v/>
      </c>
      <c r="S560" s="142">
        <f>IFERROR(CHOOSE(MATCH(IF($E560="","Основний",$E560),{"Трафіковий","Основний","Маржинальний","Сезонний","Стратегічний"},0),Settings!$E$78,Settings!$E$80,Settings!$E$82,Settings!$E$84,Settings!$E$86),"")</f>
        <v/>
      </c>
      <c r="T560" s="143">
        <f>IFERROR((R560*(1-Settings!$E$17)-C560)/(R560*(1-Settings!$E$17)),"")</f>
        <v/>
      </c>
      <c r="U560" s="149">
        <f>IFERROR(IF(R560="","",IF(R560&gt;=C560/(1-SKU_Base!AC560)/(1-Settings!$E$17),"OK",IF(R560&gt;=C560/(1-SKU_Base!AJ560)/(1-Settings!$E$17),"WARN","STOP"))),"")</f>
        <v/>
      </c>
      <c r="V560" s="159">
        <f>IFERROR(ROUND(D560*(1-CHOOSE(MATCH(IF($E560="","Основний",$E560),{"Трафіковий","Основний","Маржинальний","Сезонний","Стратегічний"},0),Settings!$F$78,Settings!$F$80,Settings!$F$82,Settings!$F$84,Settings!$F$86))/6,2)*6,"")</f>
        <v/>
      </c>
      <c r="W560" s="142">
        <f>IFERROR(CHOOSE(MATCH(IF($E560="","Основний",$E560),{"Трафіковий","Основний","Маржинальний","Сезонний","Стратегічний"},0),Settings!$F$78,Settings!$F$80,Settings!$F$82,Settings!$F$84,Settings!$F$86),"")</f>
        <v/>
      </c>
      <c r="X560" s="143">
        <f>IFERROR((V560*(1-Settings!$F$17)-C560)/(V560*(1-Settings!$F$17)),"")</f>
        <v/>
      </c>
      <c r="Y560" s="149">
        <f>IFERROR(IF(V560="","",IF(V560&gt;=C560/(1-SKU_Base!AD560)/(1-Settings!$F$17),"OK",IF(V560&gt;=C560/(1-SKU_Base!AK560)/(1-Settings!$F$17),"WARN","STOP"))),"")</f>
        <v/>
      </c>
      <c r="Z560" s="159">
        <f>IFERROR(ROUND(D560*(1-CHOOSE(MATCH(IF($E560="","Основний",$E560),{"Трафіковий","Основний","Маржинальний","Сезонний","Стратегічний"},0),Settings!$G$78,Settings!$G$80,Settings!$G$82,Settings!$G$84,Settings!$G$86))/6,2)*6,"")</f>
        <v/>
      </c>
      <c r="AA560" s="142">
        <f>IFERROR(CHOOSE(MATCH(IF($E560="","Основний",$E560),{"Трафіковий","Основний","Маржинальний","Сезонний","Стратегічний"},0),Settings!$G$78,Settings!$G$80,Settings!$G$82,Settings!$G$84,Settings!$G$86),"")</f>
        <v/>
      </c>
      <c r="AB560" s="143">
        <f>IFERROR((Z560*(1-Settings!$G$17)-C560)/(Z560*(1-Settings!$G$17)),"")</f>
        <v/>
      </c>
      <c r="AC560" s="149">
        <f>IFERROR(IF(Z560="","",IF(Z560&gt;=C560/(1-SKU_Base!AE560)/(1-Settings!$G$17),"OK",IF(Z560&gt;=C560/(1-SKU_Base!AL560)/(1-Settings!$G$17),"WARN","STOP"))),"")</f>
        <v/>
      </c>
      <c r="AD560" s="159">
        <f>IFERROR(ROUND(D560*(1-CHOOSE(MATCH(IF($E560="","Основний",$E560),{"Трафіковий","Основний","Маржинальний","Сезонний","Стратегічний"},0),Settings!$H$78,Settings!$H$80,Settings!$H$82,Settings!$H$84,Settings!$H$86))*(1-Settings!$H$68)/6,2)*6,"")</f>
        <v/>
      </c>
      <c r="AE560" s="142">
        <f>IFERROR(CHOOSE(MATCH(IF($E560="","Основний",$E560),{"Трафіковий","Основний","Маржинальний","Сезонний","Стратегічний"},0),Settings!$H$78,Settings!$H$80,Settings!$H$82,Settings!$H$84,Settings!$H$86)+(1-(CHOOSE(MATCH(IF($E560="","Основний",$E560),{"Трафіковий","Основний","Маржинальний","Сезонний","Стратегічний"},0),Settings!$H$78,Settings!$H$80,Settings!$H$82,Settings!$H$84,Settings!$H$86)))*Settings!$H$68,"")</f>
        <v/>
      </c>
      <c r="AF560" s="143">
        <f>IFERROR((AD560*(1-Settings!$H$17)-C560)/(AD560*(1-Settings!$H$17)),"")</f>
        <v/>
      </c>
      <c r="AG560" s="150">
        <f>IFERROR(IF(AD560="","",IF(AD560&gt;=C560/(1-SKU_Base!AF560)/(1-Settings!$H$17),"OK",IF(AD560&gt;=C560/(1-SKU_Base!AM560)/(1-Settings!$H$17),"WARN","STOP"))),"")</f>
        <v/>
      </c>
    </row>
    <row r="561" ht="17" customHeight="1" s="179">
      <c r="A561" s="146">
        <f>SKU_Base!B561</f>
        <v/>
      </c>
      <c r="B561" s="146">
        <f>SKU_Base!C561</f>
        <v/>
      </c>
      <c r="C561" s="147">
        <f>IFERROR(SKU_Base!I561,"")</f>
        <v/>
      </c>
      <c r="D561" s="164">
        <f>IFERROR(SKU_Base!T561,"")</f>
        <v/>
      </c>
      <c r="E561" s="141">
        <f>IFERROR(SKU_Base!$U561,"")</f>
        <v/>
      </c>
      <c r="F561" s="160">
        <f>IFERROR(ROUND(D561*(1-CHOOSE(MATCH(IF($E561="","Основний",$E561),{"Трафіковий","Основний","Маржинальний","Сезонний","Стратегічний"},0),Settings!$B$78,Settings!$B$80,Settings!$B$82,Settings!$B$84,Settings!$B$86))/6,2)*6,"")</f>
        <v/>
      </c>
      <c r="G561" s="142">
        <f>IFERROR(CHOOSE(MATCH(IF($E561="","Основний",$E561),{"Трафіковий","Основний","Маржинальний","Сезонний","Стратегічний"},0),Settings!$B$78,Settings!$B$80,Settings!$B$82,Settings!$B$84,Settings!$B$86),"")</f>
        <v/>
      </c>
      <c r="H561" s="148">
        <f>IFERROR((F561*(1-Settings!$B$17)-C561)/(F561*(1-Settings!$B$17)),"")</f>
        <v/>
      </c>
      <c r="I561" s="149">
        <f>IFERROR(IF(F561="","",IF(F561&gt;=C561/(1-SKU_Base!Z561)/(1-Settings!$B$17),"OK",IF(F561&gt;=C561/(1-SKU_Base!AG561)/(1-Settings!$B$17),"WARN","STOP"))),"")</f>
        <v/>
      </c>
      <c r="J561" s="160">
        <f>IFERROR(ROUND(D561*(1-CHOOSE(MATCH(IF($E561="","Основний",$E561),{"Трафіковий","Основний","Маржинальний","Сезонний","Стратегічний"},0),Settings!$C$78,Settings!$C$80,Settings!$C$82,Settings!$C$84,Settings!$C$86))/6,2)*6,"")</f>
        <v/>
      </c>
      <c r="K561" s="142">
        <f>IFERROR(CHOOSE(MATCH(IF($E561="","Основний",$E561),{"Трафіковий","Основний","Маржинальний","Сезонний","Стратегічний"},0),Settings!$C$78,Settings!$C$80,Settings!$C$82,Settings!$C$84,Settings!$C$86),"")</f>
        <v/>
      </c>
      <c r="L561" s="148">
        <f>IFERROR((J561*(1-Settings!$C$17)-C561)/(J561*(1-Settings!$C$17)),"")</f>
        <v/>
      </c>
      <c r="M561" s="149">
        <f>IFERROR(IF(J561="","",IF(J561&gt;=C561/(1-SKU_Base!AA561)/(1-Settings!$C$17),"OK",IF(J561&gt;=C561/(1-SKU_Base!AH561)/(1-Settings!$C$17),"WARN","STOP"))),"")</f>
        <v/>
      </c>
      <c r="N561" s="161">
        <f>IFERROR(ROUND(D561*(1-CHOOSE(MATCH(IF($E561="","Основний",$E561),{"Трафіковий","Основний","Маржинальний","Сезонний","Стратегічний"},0),Settings!$D$78,Settings!$D$80,Settings!$D$82,Settings!$D$84,Settings!$D$86))/6,2)*6,"")</f>
        <v/>
      </c>
      <c r="O561" s="142">
        <f>IFERROR(CHOOSE(MATCH(IF($E561="","Основний",$E561),{"Трафіковий","Основний","Маржинальний","Сезонний","Стратегічний"},0),Settings!$D$78,Settings!$D$80,Settings!$D$82,Settings!$D$84,Settings!$D$86),"")</f>
        <v/>
      </c>
      <c r="P561" s="148">
        <f>IFERROR((N561*(1-Settings!$D$17)-C561)/(N561*(1-Settings!$D$17)),"")</f>
        <v/>
      </c>
      <c r="Q561" s="149">
        <f>IFERROR(IF(N561="","",IF(N561&gt;=C561/(1-SKU_Base!AB561)/(1-Settings!$D$17),"OK",IF(N561&gt;=C561/(1-SKU_Base!AI561)/(1-Settings!$D$17),"WARN","STOP"))),"")</f>
        <v/>
      </c>
      <c r="R561" s="161">
        <f>IFERROR(ROUND(D561*(1-CHOOSE(MATCH(IF($E561="","Основний",$E561),{"Трафіковий","Основний","Маржинальний","Сезонний","Стратегічний"},0),Settings!$E$78,Settings!$E$80,Settings!$E$82,Settings!$E$84,Settings!$E$86))/6,2)*6,"")</f>
        <v/>
      </c>
      <c r="S561" s="142">
        <f>IFERROR(CHOOSE(MATCH(IF($E561="","Основний",$E561),{"Трафіковий","Основний","Маржинальний","Сезонний","Стратегічний"},0),Settings!$E$78,Settings!$E$80,Settings!$E$82,Settings!$E$84,Settings!$E$86),"")</f>
        <v/>
      </c>
      <c r="T561" s="148">
        <f>IFERROR((R561*(1-Settings!$E$17)-C561)/(R561*(1-Settings!$E$17)),"")</f>
        <v/>
      </c>
      <c r="U561" s="149">
        <f>IFERROR(IF(R561="","",IF(R561&gt;=C561/(1-SKU_Base!AC561)/(1-Settings!$E$17),"OK",IF(R561&gt;=C561/(1-SKU_Base!AJ561)/(1-Settings!$E$17),"WARN","STOP"))),"")</f>
        <v/>
      </c>
      <c r="V561" s="161">
        <f>IFERROR(ROUND(D561*(1-CHOOSE(MATCH(IF($E561="","Основний",$E561),{"Трафіковий","Основний","Маржинальний","Сезонний","Стратегічний"},0),Settings!$F$78,Settings!$F$80,Settings!$F$82,Settings!$F$84,Settings!$F$86))/6,2)*6,"")</f>
        <v/>
      </c>
      <c r="W561" s="142">
        <f>IFERROR(CHOOSE(MATCH(IF($E561="","Основний",$E561),{"Трафіковий","Основний","Маржинальний","Сезонний","Стратегічний"},0),Settings!$F$78,Settings!$F$80,Settings!$F$82,Settings!$F$84,Settings!$F$86),"")</f>
        <v/>
      </c>
      <c r="X561" s="148">
        <f>IFERROR((V561*(1-Settings!$F$17)-C561)/(V561*(1-Settings!$F$17)),"")</f>
        <v/>
      </c>
      <c r="Y561" s="149">
        <f>IFERROR(IF(V561="","",IF(V561&gt;=C561/(1-SKU_Base!AD561)/(1-Settings!$F$17),"OK",IF(V561&gt;=C561/(1-SKU_Base!AK561)/(1-Settings!$F$17),"WARN","STOP"))),"")</f>
        <v/>
      </c>
      <c r="Z561" s="161">
        <f>IFERROR(ROUND(D561*(1-CHOOSE(MATCH(IF($E561="","Основний",$E561),{"Трафіковий","Основний","Маржинальний","Сезонний","Стратегічний"},0),Settings!$G$78,Settings!$G$80,Settings!$G$82,Settings!$G$84,Settings!$G$86))/6,2)*6,"")</f>
        <v/>
      </c>
      <c r="AA561" s="142">
        <f>IFERROR(CHOOSE(MATCH(IF($E561="","Основний",$E561),{"Трафіковий","Основний","Маржинальний","Сезонний","Стратегічний"},0),Settings!$G$78,Settings!$G$80,Settings!$G$82,Settings!$G$84,Settings!$G$86),"")</f>
        <v/>
      </c>
      <c r="AB561" s="148">
        <f>IFERROR((Z561*(1-Settings!$G$17)-C561)/(Z561*(1-Settings!$G$17)),"")</f>
        <v/>
      </c>
      <c r="AC561" s="149">
        <f>IFERROR(IF(Z561="","",IF(Z561&gt;=C561/(1-SKU_Base!AE561)/(1-Settings!$G$17),"OK",IF(Z561&gt;=C561/(1-SKU_Base!AL561)/(1-Settings!$G$17),"WARN","STOP"))),"")</f>
        <v/>
      </c>
      <c r="AD561" s="161">
        <f>IFERROR(ROUND(D561*(1-CHOOSE(MATCH(IF($E561="","Основний",$E561),{"Трафіковий","Основний","Маржинальний","Сезонний","Стратегічний"},0),Settings!$H$78,Settings!$H$80,Settings!$H$82,Settings!$H$84,Settings!$H$86))*(1-Settings!$H$68)/6,2)*6,"")</f>
        <v/>
      </c>
      <c r="AE561" s="142">
        <f>IFERROR(CHOOSE(MATCH(IF($E561="","Основний",$E561),{"Трафіковий","Основний","Маржинальний","Сезонний","Стратегічний"},0),Settings!$H$78,Settings!$H$80,Settings!$H$82,Settings!$H$84,Settings!$H$86)+(1-(CHOOSE(MATCH(IF($E561="","Основний",$E561),{"Трафіковий","Основний","Маржинальний","Сезонний","Стратегічний"},0),Settings!$H$78,Settings!$H$80,Settings!$H$82,Settings!$H$84,Settings!$H$86)))*Settings!$H$68,"")</f>
        <v/>
      </c>
      <c r="AF561" s="148">
        <f>IFERROR((AD561*(1-Settings!$H$17)-C561)/(AD561*(1-Settings!$H$17)),"")</f>
        <v/>
      </c>
      <c r="AG561" s="150">
        <f>IFERROR(IF(AD561="","",IF(AD561&gt;=C561/(1-SKU_Base!AF561)/(1-Settings!$H$17),"OK",IF(AD561&gt;=C561/(1-SKU_Base!AM561)/(1-Settings!$H$17),"WARN","STOP"))),"")</f>
        <v/>
      </c>
    </row>
    <row r="562" ht="17" customHeight="1" s="179">
      <c r="A562" s="139">
        <f>SKU_Base!B562</f>
        <v/>
      </c>
      <c r="B562" s="139">
        <f>SKU_Base!C562</f>
        <v/>
      </c>
      <c r="C562" s="140">
        <f>IFERROR(SKU_Base!I562,"")</f>
        <v/>
      </c>
      <c r="D562" s="163">
        <f>IFERROR(SKU_Base!T562,"")</f>
        <v/>
      </c>
      <c r="E562" s="141">
        <f>IFERROR(SKU_Base!$U562,"")</f>
        <v/>
      </c>
      <c r="F562" s="158">
        <f>IFERROR(ROUND(D562*(1-CHOOSE(MATCH(IF($E562="","Основний",$E562),{"Трафіковий","Основний","Маржинальний","Сезонний","Стратегічний"},0),Settings!$B$78,Settings!$B$80,Settings!$B$82,Settings!$B$84,Settings!$B$86))/6,2)*6,"")</f>
        <v/>
      </c>
      <c r="G562" s="142">
        <f>IFERROR(CHOOSE(MATCH(IF($E562="","Основний",$E562),{"Трафіковий","Основний","Маржинальний","Сезонний","Стратегічний"},0),Settings!$B$78,Settings!$B$80,Settings!$B$82,Settings!$B$84,Settings!$B$86),"")</f>
        <v/>
      </c>
      <c r="H562" s="143">
        <f>IFERROR((F562*(1-Settings!$B$17)-C562)/(F562*(1-Settings!$B$17)),"")</f>
        <v/>
      </c>
      <c r="I562" s="150">
        <f>IFERROR(IF(F562="","",IF(F562&gt;=C562/(1-SKU_Base!Z562)/(1-Settings!$B$17),"OK",IF(F562&gt;=C562/(1-SKU_Base!AG562)/(1-Settings!$B$17),"WARN","STOP"))),"")</f>
        <v/>
      </c>
      <c r="J562" s="158">
        <f>IFERROR(ROUND(D562*(1-CHOOSE(MATCH(IF($E562="","Основний",$E562),{"Трафіковий","Основний","Маржинальний","Сезонний","Стратегічний"},0),Settings!$C$78,Settings!$C$80,Settings!$C$82,Settings!$C$84,Settings!$C$86))/6,2)*6,"")</f>
        <v/>
      </c>
      <c r="K562" s="142">
        <f>IFERROR(CHOOSE(MATCH(IF($E562="","Основний",$E562),{"Трафіковий","Основний","Маржинальний","Сезонний","Стратегічний"},0),Settings!$C$78,Settings!$C$80,Settings!$C$82,Settings!$C$84,Settings!$C$86),"")</f>
        <v/>
      </c>
      <c r="L562" s="143">
        <f>IFERROR((J562*(1-Settings!$C$17)-C562)/(J562*(1-Settings!$C$17)),"")</f>
        <v/>
      </c>
      <c r="M562" s="149">
        <f>IFERROR(IF(J562="","",IF(J562&gt;=C562/(1-SKU_Base!AA562)/(1-Settings!$C$17),"OK",IF(J562&gt;=C562/(1-SKU_Base!AH562)/(1-Settings!$C$17),"WARN","STOP"))),"")</f>
        <v/>
      </c>
      <c r="N562" s="159">
        <f>IFERROR(ROUND(D562*(1-CHOOSE(MATCH(IF($E562="","Основний",$E562),{"Трафіковий","Основний","Маржинальний","Сезонний","Стратегічний"},0),Settings!$D$78,Settings!$D$80,Settings!$D$82,Settings!$D$84,Settings!$D$86))/6,2)*6,"")</f>
        <v/>
      </c>
      <c r="O562" s="142">
        <f>IFERROR(CHOOSE(MATCH(IF($E562="","Основний",$E562),{"Трафіковий","Основний","Маржинальний","Сезонний","Стратегічний"},0),Settings!$D$78,Settings!$D$80,Settings!$D$82,Settings!$D$84,Settings!$D$86),"")</f>
        <v/>
      </c>
      <c r="P562" s="143">
        <f>IFERROR((N562*(1-Settings!$D$17)-C562)/(N562*(1-Settings!$D$17)),"")</f>
        <v/>
      </c>
      <c r="Q562" s="149">
        <f>IFERROR(IF(N562="","",IF(N562&gt;=C562/(1-SKU_Base!AB562)/(1-Settings!$D$17),"OK",IF(N562&gt;=C562/(1-SKU_Base!AI562)/(1-Settings!$D$17),"WARN","STOP"))),"")</f>
        <v/>
      </c>
      <c r="R562" s="159">
        <f>IFERROR(ROUND(D562*(1-CHOOSE(MATCH(IF($E562="","Основний",$E562),{"Трафіковий","Основний","Маржинальний","Сезонний","Стратегічний"},0),Settings!$E$78,Settings!$E$80,Settings!$E$82,Settings!$E$84,Settings!$E$86))/6,2)*6,"")</f>
        <v/>
      </c>
      <c r="S562" s="142">
        <f>IFERROR(CHOOSE(MATCH(IF($E562="","Основний",$E562),{"Трафіковий","Основний","Маржинальний","Сезонний","Стратегічний"},0),Settings!$E$78,Settings!$E$80,Settings!$E$82,Settings!$E$84,Settings!$E$86),"")</f>
        <v/>
      </c>
      <c r="T562" s="143">
        <f>IFERROR((R562*(1-Settings!$E$17)-C562)/(R562*(1-Settings!$E$17)),"")</f>
        <v/>
      </c>
      <c r="U562" s="149">
        <f>IFERROR(IF(R562="","",IF(R562&gt;=C562/(1-SKU_Base!AC562)/(1-Settings!$E$17),"OK",IF(R562&gt;=C562/(1-SKU_Base!AJ562)/(1-Settings!$E$17),"WARN","STOP"))),"")</f>
        <v/>
      </c>
      <c r="V562" s="159">
        <f>IFERROR(ROUND(D562*(1-CHOOSE(MATCH(IF($E562="","Основний",$E562),{"Трафіковий","Основний","Маржинальний","Сезонний","Стратегічний"},0),Settings!$F$78,Settings!$F$80,Settings!$F$82,Settings!$F$84,Settings!$F$86))/6,2)*6,"")</f>
        <v/>
      </c>
      <c r="W562" s="142">
        <f>IFERROR(CHOOSE(MATCH(IF($E562="","Основний",$E562),{"Трафіковий","Основний","Маржинальний","Сезонний","Стратегічний"},0),Settings!$F$78,Settings!$F$80,Settings!$F$82,Settings!$F$84,Settings!$F$86),"")</f>
        <v/>
      </c>
      <c r="X562" s="143">
        <f>IFERROR((V562*(1-Settings!$F$17)-C562)/(V562*(1-Settings!$F$17)),"")</f>
        <v/>
      </c>
      <c r="Y562" s="149">
        <f>IFERROR(IF(V562="","",IF(V562&gt;=C562/(1-SKU_Base!AD562)/(1-Settings!$F$17),"OK",IF(V562&gt;=C562/(1-SKU_Base!AK562)/(1-Settings!$F$17),"WARN","STOP"))),"")</f>
        <v/>
      </c>
      <c r="Z562" s="159">
        <f>IFERROR(ROUND(D562*(1-CHOOSE(MATCH(IF($E562="","Основний",$E562),{"Трафіковий","Основний","Маржинальний","Сезонний","Стратегічний"},0),Settings!$G$78,Settings!$G$80,Settings!$G$82,Settings!$G$84,Settings!$G$86))/6,2)*6,"")</f>
        <v/>
      </c>
      <c r="AA562" s="142">
        <f>IFERROR(CHOOSE(MATCH(IF($E562="","Основний",$E562),{"Трафіковий","Основний","Маржинальний","Сезонний","Стратегічний"},0),Settings!$G$78,Settings!$G$80,Settings!$G$82,Settings!$G$84,Settings!$G$86),"")</f>
        <v/>
      </c>
      <c r="AB562" s="143">
        <f>IFERROR((Z562*(1-Settings!$G$17)-C562)/(Z562*(1-Settings!$G$17)),"")</f>
        <v/>
      </c>
      <c r="AC562" s="149">
        <f>IFERROR(IF(Z562="","",IF(Z562&gt;=C562/(1-SKU_Base!AE562)/(1-Settings!$G$17),"OK",IF(Z562&gt;=C562/(1-SKU_Base!AL562)/(1-Settings!$G$17),"WARN","STOP"))),"")</f>
        <v/>
      </c>
      <c r="AD562" s="159">
        <f>IFERROR(ROUND(D562*(1-CHOOSE(MATCH(IF($E562="","Основний",$E562),{"Трафіковий","Основний","Маржинальний","Сезонний","Стратегічний"},0),Settings!$H$78,Settings!$H$80,Settings!$H$82,Settings!$H$84,Settings!$H$86))*(1-Settings!$H$68)/6,2)*6,"")</f>
        <v/>
      </c>
      <c r="AE562" s="142">
        <f>IFERROR(CHOOSE(MATCH(IF($E562="","Основний",$E562),{"Трафіковий","Основний","Маржинальний","Сезонний","Стратегічний"},0),Settings!$H$78,Settings!$H$80,Settings!$H$82,Settings!$H$84,Settings!$H$86)+(1-(CHOOSE(MATCH(IF($E562="","Основний",$E562),{"Трафіковий","Основний","Маржинальний","Сезонний","Стратегічний"},0),Settings!$H$78,Settings!$H$80,Settings!$H$82,Settings!$H$84,Settings!$H$86)))*Settings!$H$68,"")</f>
        <v/>
      </c>
      <c r="AF562" s="143">
        <f>IFERROR((AD562*(1-Settings!$H$17)-C562)/(AD562*(1-Settings!$H$17)),"")</f>
        <v/>
      </c>
      <c r="AG562" s="150">
        <f>IFERROR(IF(AD562="","",IF(AD562&gt;=C562/(1-SKU_Base!AF562)/(1-Settings!$H$17),"OK",IF(AD562&gt;=C562/(1-SKU_Base!AM562)/(1-Settings!$H$17),"WARN","STOP"))),"")</f>
        <v/>
      </c>
    </row>
    <row r="563" ht="17" customHeight="1" s="179">
      <c r="A563" s="146">
        <f>SKU_Base!B563</f>
        <v/>
      </c>
      <c r="B563" s="146">
        <f>SKU_Base!C563</f>
        <v/>
      </c>
      <c r="C563" s="147">
        <f>IFERROR(SKU_Base!I563,"")</f>
        <v/>
      </c>
      <c r="D563" s="164">
        <f>IFERROR(SKU_Base!T563,"")</f>
        <v/>
      </c>
      <c r="E563" s="141">
        <f>IFERROR(SKU_Base!$U563,"")</f>
        <v/>
      </c>
      <c r="F563" s="160">
        <f>IFERROR(ROUND(D563*(1-CHOOSE(MATCH(IF($E563="","Основний",$E563),{"Трафіковий","Основний","Маржинальний","Сезонний","Стратегічний"},0),Settings!$B$78,Settings!$B$80,Settings!$B$82,Settings!$B$84,Settings!$B$86))/6,2)*6,"")</f>
        <v/>
      </c>
      <c r="G563" s="142">
        <f>IFERROR(CHOOSE(MATCH(IF($E563="","Основний",$E563),{"Трафіковий","Основний","Маржинальний","Сезонний","Стратегічний"},0),Settings!$B$78,Settings!$B$80,Settings!$B$82,Settings!$B$84,Settings!$B$86),"")</f>
        <v/>
      </c>
      <c r="H563" s="148">
        <f>IFERROR((F563*(1-Settings!$B$17)-C563)/(F563*(1-Settings!$B$17)),"")</f>
        <v/>
      </c>
      <c r="I563" s="149">
        <f>IFERROR(IF(F563="","",IF(F563&gt;=C563/(1-SKU_Base!Z563)/(1-Settings!$B$17),"OK",IF(F563&gt;=C563/(1-SKU_Base!AG563)/(1-Settings!$B$17),"WARN","STOP"))),"")</f>
        <v/>
      </c>
      <c r="J563" s="160">
        <f>IFERROR(ROUND(D563*(1-CHOOSE(MATCH(IF($E563="","Основний",$E563),{"Трафіковий","Основний","Маржинальний","Сезонний","Стратегічний"},0),Settings!$C$78,Settings!$C$80,Settings!$C$82,Settings!$C$84,Settings!$C$86))/6,2)*6,"")</f>
        <v/>
      </c>
      <c r="K563" s="142">
        <f>IFERROR(CHOOSE(MATCH(IF($E563="","Основний",$E563),{"Трафіковий","Основний","Маржинальний","Сезонний","Стратегічний"},0),Settings!$C$78,Settings!$C$80,Settings!$C$82,Settings!$C$84,Settings!$C$86),"")</f>
        <v/>
      </c>
      <c r="L563" s="148">
        <f>IFERROR((J563*(1-Settings!$C$17)-C563)/(J563*(1-Settings!$C$17)),"")</f>
        <v/>
      </c>
      <c r="M563" s="149">
        <f>IFERROR(IF(J563="","",IF(J563&gt;=C563/(1-SKU_Base!AA563)/(1-Settings!$C$17),"OK",IF(J563&gt;=C563/(1-SKU_Base!AH563)/(1-Settings!$C$17),"WARN","STOP"))),"")</f>
        <v/>
      </c>
      <c r="N563" s="161">
        <f>IFERROR(ROUND(D563*(1-CHOOSE(MATCH(IF($E563="","Основний",$E563),{"Трафіковий","Основний","Маржинальний","Сезонний","Стратегічний"},0),Settings!$D$78,Settings!$D$80,Settings!$D$82,Settings!$D$84,Settings!$D$86))/6,2)*6,"")</f>
        <v/>
      </c>
      <c r="O563" s="142">
        <f>IFERROR(CHOOSE(MATCH(IF($E563="","Основний",$E563),{"Трафіковий","Основний","Маржинальний","Сезонний","Стратегічний"},0),Settings!$D$78,Settings!$D$80,Settings!$D$82,Settings!$D$84,Settings!$D$86),"")</f>
        <v/>
      </c>
      <c r="P563" s="148">
        <f>IFERROR((N563*(1-Settings!$D$17)-C563)/(N563*(1-Settings!$D$17)),"")</f>
        <v/>
      </c>
      <c r="Q563" s="149">
        <f>IFERROR(IF(N563="","",IF(N563&gt;=C563/(1-SKU_Base!AB563)/(1-Settings!$D$17),"OK",IF(N563&gt;=C563/(1-SKU_Base!AI563)/(1-Settings!$D$17),"WARN","STOP"))),"")</f>
        <v/>
      </c>
      <c r="R563" s="161">
        <f>IFERROR(ROUND(D563*(1-CHOOSE(MATCH(IF($E563="","Основний",$E563),{"Трафіковий","Основний","Маржинальний","Сезонний","Стратегічний"},0),Settings!$E$78,Settings!$E$80,Settings!$E$82,Settings!$E$84,Settings!$E$86))/6,2)*6,"")</f>
        <v/>
      </c>
      <c r="S563" s="142">
        <f>IFERROR(CHOOSE(MATCH(IF($E563="","Основний",$E563),{"Трафіковий","Основний","Маржинальний","Сезонний","Стратегічний"},0),Settings!$E$78,Settings!$E$80,Settings!$E$82,Settings!$E$84,Settings!$E$86),"")</f>
        <v/>
      </c>
      <c r="T563" s="148">
        <f>IFERROR((R563*(1-Settings!$E$17)-C563)/(R563*(1-Settings!$E$17)),"")</f>
        <v/>
      </c>
      <c r="U563" s="149">
        <f>IFERROR(IF(R563="","",IF(R563&gt;=C563/(1-SKU_Base!AC563)/(1-Settings!$E$17),"OK",IF(R563&gt;=C563/(1-SKU_Base!AJ563)/(1-Settings!$E$17),"WARN","STOP"))),"")</f>
        <v/>
      </c>
      <c r="V563" s="161">
        <f>IFERROR(ROUND(D563*(1-CHOOSE(MATCH(IF($E563="","Основний",$E563),{"Трафіковий","Основний","Маржинальний","Сезонний","Стратегічний"},0),Settings!$F$78,Settings!$F$80,Settings!$F$82,Settings!$F$84,Settings!$F$86))/6,2)*6,"")</f>
        <v/>
      </c>
      <c r="W563" s="142">
        <f>IFERROR(CHOOSE(MATCH(IF($E563="","Основний",$E563),{"Трафіковий","Основний","Маржинальний","Сезонний","Стратегічний"},0),Settings!$F$78,Settings!$F$80,Settings!$F$82,Settings!$F$84,Settings!$F$86),"")</f>
        <v/>
      </c>
      <c r="X563" s="148">
        <f>IFERROR((V563*(1-Settings!$F$17)-C563)/(V563*(1-Settings!$F$17)),"")</f>
        <v/>
      </c>
      <c r="Y563" s="149">
        <f>IFERROR(IF(V563="","",IF(V563&gt;=C563/(1-SKU_Base!AD563)/(1-Settings!$F$17),"OK",IF(V563&gt;=C563/(1-SKU_Base!AK563)/(1-Settings!$F$17),"WARN","STOP"))),"")</f>
        <v/>
      </c>
      <c r="Z563" s="161">
        <f>IFERROR(ROUND(D563*(1-CHOOSE(MATCH(IF($E563="","Основний",$E563),{"Трафіковий","Основний","Маржинальний","Сезонний","Стратегічний"},0),Settings!$G$78,Settings!$G$80,Settings!$G$82,Settings!$G$84,Settings!$G$86))/6,2)*6,"")</f>
        <v/>
      </c>
      <c r="AA563" s="142">
        <f>IFERROR(CHOOSE(MATCH(IF($E563="","Основний",$E563),{"Трафіковий","Основний","Маржинальний","Сезонний","Стратегічний"},0),Settings!$G$78,Settings!$G$80,Settings!$G$82,Settings!$G$84,Settings!$G$86),"")</f>
        <v/>
      </c>
      <c r="AB563" s="148">
        <f>IFERROR((Z563*(1-Settings!$G$17)-C563)/(Z563*(1-Settings!$G$17)),"")</f>
        <v/>
      </c>
      <c r="AC563" s="149">
        <f>IFERROR(IF(Z563="","",IF(Z563&gt;=C563/(1-SKU_Base!AE563)/(1-Settings!$G$17),"OK",IF(Z563&gt;=C563/(1-SKU_Base!AL563)/(1-Settings!$G$17),"WARN","STOP"))),"")</f>
        <v/>
      </c>
      <c r="AD563" s="161">
        <f>IFERROR(ROUND(D563*(1-CHOOSE(MATCH(IF($E563="","Основний",$E563),{"Трафіковий","Основний","Маржинальний","Сезонний","Стратегічний"},0),Settings!$H$78,Settings!$H$80,Settings!$H$82,Settings!$H$84,Settings!$H$86))*(1-Settings!$H$68)/6,2)*6,"")</f>
        <v/>
      </c>
      <c r="AE563" s="142">
        <f>IFERROR(CHOOSE(MATCH(IF($E563="","Основний",$E563),{"Трафіковий","Основний","Маржинальний","Сезонний","Стратегічний"},0),Settings!$H$78,Settings!$H$80,Settings!$H$82,Settings!$H$84,Settings!$H$86)+(1-(CHOOSE(MATCH(IF($E563="","Основний",$E563),{"Трафіковий","Основний","Маржинальний","Сезонний","Стратегічний"},0),Settings!$H$78,Settings!$H$80,Settings!$H$82,Settings!$H$84,Settings!$H$86)))*Settings!$H$68,"")</f>
        <v/>
      </c>
      <c r="AF563" s="148">
        <f>IFERROR((AD563*(1-Settings!$H$17)-C563)/(AD563*(1-Settings!$H$17)),"")</f>
        <v/>
      </c>
      <c r="AG563" s="150">
        <f>IFERROR(IF(AD563="","",IF(AD563&gt;=C563/(1-SKU_Base!AF563)/(1-Settings!$H$17),"OK",IF(AD563&gt;=C563/(1-SKU_Base!AM563)/(1-Settings!$H$17),"WARN","STOP"))),"")</f>
        <v/>
      </c>
    </row>
    <row r="564" ht="17" customHeight="1" s="179">
      <c r="A564" s="139">
        <f>SKU_Base!B564</f>
        <v/>
      </c>
      <c r="B564" s="139">
        <f>SKU_Base!C564</f>
        <v/>
      </c>
      <c r="C564" s="140">
        <f>IFERROR(SKU_Base!I564,"")</f>
        <v/>
      </c>
      <c r="D564" s="163">
        <f>IFERROR(SKU_Base!T564,"")</f>
        <v/>
      </c>
      <c r="E564" s="141">
        <f>IFERROR(SKU_Base!$U564,"")</f>
        <v/>
      </c>
      <c r="F564" s="158">
        <f>IFERROR(ROUND(D564*(1-CHOOSE(MATCH(IF($E564="","Основний",$E564),{"Трафіковий","Основний","Маржинальний","Сезонний","Стратегічний"},0),Settings!$B$78,Settings!$B$80,Settings!$B$82,Settings!$B$84,Settings!$B$86))/6,2)*6,"")</f>
        <v/>
      </c>
      <c r="G564" s="142">
        <f>IFERROR(CHOOSE(MATCH(IF($E564="","Основний",$E564),{"Трафіковий","Основний","Маржинальний","Сезонний","Стратегічний"},0),Settings!$B$78,Settings!$B$80,Settings!$B$82,Settings!$B$84,Settings!$B$86),"")</f>
        <v/>
      </c>
      <c r="H564" s="143">
        <f>IFERROR((F564*(1-Settings!$B$17)-C564)/(F564*(1-Settings!$B$17)),"")</f>
        <v/>
      </c>
      <c r="I564" s="149">
        <f>IFERROR(IF(F564="","",IF(F564&gt;=C564/(1-SKU_Base!Z564)/(1-Settings!$B$17),"OK",IF(F564&gt;=C564/(1-SKU_Base!AG564)/(1-Settings!$B$17),"WARN","STOP"))),"")</f>
        <v/>
      </c>
      <c r="J564" s="158">
        <f>IFERROR(ROUND(D564*(1-CHOOSE(MATCH(IF($E564="","Основний",$E564),{"Трафіковий","Основний","Маржинальний","Сезонний","Стратегічний"},0),Settings!$C$78,Settings!$C$80,Settings!$C$82,Settings!$C$84,Settings!$C$86))/6,2)*6,"")</f>
        <v/>
      </c>
      <c r="K564" s="142">
        <f>IFERROR(CHOOSE(MATCH(IF($E564="","Основний",$E564),{"Трафіковий","Основний","Маржинальний","Сезонний","Стратегічний"},0),Settings!$C$78,Settings!$C$80,Settings!$C$82,Settings!$C$84,Settings!$C$86),"")</f>
        <v/>
      </c>
      <c r="L564" s="143">
        <f>IFERROR((J564*(1-Settings!$C$17)-C564)/(J564*(1-Settings!$C$17)),"")</f>
        <v/>
      </c>
      <c r="M564" s="149">
        <f>IFERROR(IF(J564="","",IF(J564&gt;=C564/(1-SKU_Base!AA564)/(1-Settings!$C$17),"OK",IF(J564&gt;=C564/(1-SKU_Base!AH564)/(1-Settings!$C$17),"WARN","STOP"))),"")</f>
        <v/>
      </c>
      <c r="N564" s="159">
        <f>IFERROR(ROUND(D564*(1-CHOOSE(MATCH(IF($E564="","Основний",$E564),{"Трафіковий","Основний","Маржинальний","Сезонний","Стратегічний"},0),Settings!$D$78,Settings!$D$80,Settings!$D$82,Settings!$D$84,Settings!$D$86))/6,2)*6,"")</f>
        <v/>
      </c>
      <c r="O564" s="142">
        <f>IFERROR(CHOOSE(MATCH(IF($E564="","Основний",$E564),{"Трафіковий","Основний","Маржинальний","Сезонний","Стратегічний"},0),Settings!$D$78,Settings!$D$80,Settings!$D$82,Settings!$D$84,Settings!$D$86),"")</f>
        <v/>
      </c>
      <c r="P564" s="143">
        <f>IFERROR((N564*(1-Settings!$D$17)-C564)/(N564*(1-Settings!$D$17)),"")</f>
        <v/>
      </c>
      <c r="Q564" s="149">
        <f>IFERROR(IF(N564="","",IF(N564&gt;=C564/(1-SKU_Base!AB564)/(1-Settings!$D$17),"OK",IF(N564&gt;=C564/(1-SKU_Base!AI564)/(1-Settings!$D$17),"WARN","STOP"))),"")</f>
        <v/>
      </c>
      <c r="R564" s="159">
        <f>IFERROR(ROUND(D564*(1-CHOOSE(MATCH(IF($E564="","Основний",$E564),{"Трафіковий","Основний","Маржинальний","Сезонний","Стратегічний"},0),Settings!$E$78,Settings!$E$80,Settings!$E$82,Settings!$E$84,Settings!$E$86))/6,2)*6,"")</f>
        <v/>
      </c>
      <c r="S564" s="142">
        <f>IFERROR(CHOOSE(MATCH(IF($E564="","Основний",$E564),{"Трафіковий","Основний","Маржинальний","Сезонний","Стратегічний"},0),Settings!$E$78,Settings!$E$80,Settings!$E$82,Settings!$E$84,Settings!$E$86),"")</f>
        <v/>
      </c>
      <c r="T564" s="143">
        <f>IFERROR((R564*(1-Settings!$E$17)-C564)/(R564*(1-Settings!$E$17)),"")</f>
        <v/>
      </c>
      <c r="U564" s="149">
        <f>IFERROR(IF(R564="","",IF(R564&gt;=C564/(1-SKU_Base!AC564)/(1-Settings!$E$17),"OK",IF(R564&gt;=C564/(1-SKU_Base!AJ564)/(1-Settings!$E$17),"WARN","STOP"))),"")</f>
        <v/>
      </c>
      <c r="V564" s="159">
        <f>IFERROR(ROUND(D564*(1-CHOOSE(MATCH(IF($E564="","Основний",$E564),{"Трафіковий","Основний","Маржинальний","Сезонний","Стратегічний"},0),Settings!$F$78,Settings!$F$80,Settings!$F$82,Settings!$F$84,Settings!$F$86))/6,2)*6,"")</f>
        <v/>
      </c>
      <c r="W564" s="142">
        <f>IFERROR(CHOOSE(MATCH(IF($E564="","Основний",$E564),{"Трафіковий","Основний","Маржинальний","Сезонний","Стратегічний"},0),Settings!$F$78,Settings!$F$80,Settings!$F$82,Settings!$F$84,Settings!$F$86),"")</f>
        <v/>
      </c>
      <c r="X564" s="143">
        <f>IFERROR((V564*(1-Settings!$F$17)-C564)/(V564*(1-Settings!$F$17)),"")</f>
        <v/>
      </c>
      <c r="Y564" s="149">
        <f>IFERROR(IF(V564="","",IF(V564&gt;=C564/(1-SKU_Base!AD564)/(1-Settings!$F$17),"OK",IF(V564&gt;=C564/(1-SKU_Base!AK564)/(1-Settings!$F$17),"WARN","STOP"))),"")</f>
        <v/>
      </c>
      <c r="Z564" s="159">
        <f>IFERROR(ROUND(D564*(1-CHOOSE(MATCH(IF($E564="","Основний",$E564),{"Трафіковий","Основний","Маржинальний","Сезонний","Стратегічний"},0),Settings!$G$78,Settings!$G$80,Settings!$G$82,Settings!$G$84,Settings!$G$86))/6,2)*6,"")</f>
        <v/>
      </c>
      <c r="AA564" s="142">
        <f>IFERROR(CHOOSE(MATCH(IF($E564="","Основний",$E564),{"Трафіковий","Основний","Маржинальний","Сезонний","Стратегічний"},0),Settings!$G$78,Settings!$G$80,Settings!$G$82,Settings!$G$84,Settings!$G$86),"")</f>
        <v/>
      </c>
      <c r="AB564" s="143">
        <f>IFERROR((Z564*(1-Settings!$G$17)-C564)/(Z564*(1-Settings!$G$17)),"")</f>
        <v/>
      </c>
      <c r="AC564" s="149">
        <f>IFERROR(IF(Z564="","",IF(Z564&gt;=C564/(1-SKU_Base!AE564)/(1-Settings!$G$17),"OK",IF(Z564&gt;=C564/(1-SKU_Base!AL564)/(1-Settings!$G$17),"WARN","STOP"))),"")</f>
        <v/>
      </c>
      <c r="AD564" s="159">
        <f>IFERROR(ROUND(D564*(1-CHOOSE(MATCH(IF($E564="","Основний",$E564),{"Трафіковий","Основний","Маржинальний","Сезонний","Стратегічний"},0),Settings!$H$78,Settings!$H$80,Settings!$H$82,Settings!$H$84,Settings!$H$86))*(1-Settings!$H$68)/6,2)*6,"")</f>
        <v/>
      </c>
      <c r="AE564" s="142">
        <f>IFERROR(CHOOSE(MATCH(IF($E564="","Основний",$E564),{"Трафіковий","Основний","Маржинальний","Сезонний","Стратегічний"},0),Settings!$H$78,Settings!$H$80,Settings!$H$82,Settings!$H$84,Settings!$H$86)+(1-(CHOOSE(MATCH(IF($E564="","Основний",$E564),{"Трафіковий","Основний","Маржинальний","Сезонний","Стратегічний"},0),Settings!$H$78,Settings!$H$80,Settings!$H$82,Settings!$H$84,Settings!$H$86)))*Settings!$H$68,"")</f>
        <v/>
      </c>
      <c r="AF564" s="143">
        <f>IFERROR((AD564*(1-Settings!$H$17)-C564)/(AD564*(1-Settings!$H$17)),"")</f>
        <v/>
      </c>
      <c r="AG564" s="150">
        <f>IFERROR(IF(AD564="","",IF(AD564&gt;=C564/(1-SKU_Base!AF564)/(1-Settings!$H$17),"OK",IF(AD564&gt;=C564/(1-SKU_Base!AM564)/(1-Settings!$H$17),"WARN","STOP"))),"")</f>
        <v/>
      </c>
    </row>
    <row r="565" ht="17" customHeight="1" s="179">
      <c r="A565" s="146">
        <f>SKU_Base!B565</f>
        <v/>
      </c>
      <c r="B565" s="146">
        <f>SKU_Base!C565</f>
        <v/>
      </c>
      <c r="C565" s="147">
        <f>IFERROR(SKU_Base!I565,"")</f>
        <v/>
      </c>
      <c r="D565" s="164">
        <f>IFERROR(SKU_Base!T565,"")</f>
        <v/>
      </c>
      <c r="E565" s="141">
        <f>IFERROR(SKU_Base!$U565,"")</f>
        <v/>
      </c>
      <c r="F565" s="160">
        <f>IFERROR(ROUND(D565*(1-CHOOSE(MATCH(IF($E565="","Основний",$E565),{"Трафіковий","Основний","Маржинальний","Сезонний","Стратегічний"},0),Settings!$B$78,Settings!$B$80,Settings!$B$82,Settings!$B$84,Settings!$B$86))/6,2)*6,"")</f>
        <v/>
      </c>
      <c r="G565" s="142">
        <f>IFERROR(CHOOSE(MATCH(IF($E565="","Основний",$E565),{"Трафіковий","Основний","Маржинальний","Сезонний","Стратегічний"},0),Settings!$B$78,Settings!$B$80,Settings!$B$82,Settings!$B$84,Settings!$B$86),"")</f>
        <v/>
      </c>
      <c r="H565" s="148">
        <f>IFERROR((F565*(1-Settings!$B$17)-C565)/(F565*(1-Settings!$B$17)),"")</f>
        <v/>
      </c>
      <c r="I565" s="149">
        <f>IFERROR(IF(F565="","",IF(F565&gt;=C565/(1-SKU_Base!Z565)/(1-Settings!$B$17),"OK",IF(F565&gt;=C565/(1-SKU_Base!AG565)/(1-Settings!$B$17),"WARN","STOP"))),"")</f>
        <v/>
      </c>
      <c r="J565" s="160">
        <f>IFERROR(ROUND(D565*(1-CHOOSE(MATCH(IF($E565="","Основний",$E565),{"Трафіковий","Основний","Маржинальний","Сезонний","Стратегічний"},0),Settings!$C$78,Settings!$C$80,Settings!$C$82,Settings!$C$84,Settings!$C$86))/6,2)*6,"")</f>
        <v/>
      </c>
      <c r="K565" s="142">
        <f>IFERROR(CHOOSE(MATCH(IF($E565="","Основний",$E565),{"Трафіковий","Основний","Маржинальний","Сезонний","Стратегічний"},0),Settings!$C$78,Settings!$C$80,Settings!$C$82,Settings!$C$84,Settings!$C$86),"")</f>
        <v/>
      </c>
      <c r="L565" s="148">
        <f>IFERROR((J565*(1-Settings!$C$17)-C565)/(J565*(1-Settings!$C$17)),"")</f>
        <v/>
      </c>
      <c r="M565" s="149">
        <f>IFERROR(IF(J565="","",IF(J565&gt;=C565/(1-SKU_Base!AA565)/(1-Settings!$C$17),"OK",IF(J565&gt;=C565/(1-SKU_Base!AH565)/(1-Settings!$C$17),"WARN","STOP"))),"")</f>
        <v/>
      </c>
      <c r="N565" s="161">
        <f>IFERROR(ROUND(D565*(1-CHOOSE(MATCH(IF($E565="","Основний",$E565),{"Трафіковий","Основний","Маржинальний","Сезонний","Стратегічний"},0),Settings!$D$78,Settings!$D$80,Settings!$D$82,Settings!$D$84,Settings!$D$86))/6,2)*6,"")</f>
        <v/>
      </c>
      <c r="O565" s="142">
        <f>IFERROR(CHOOSE(MATCH(IF($E565="","Основний",$E565),{"Трафіковий","Основний","Маржинальний","Сезонний","Стратегічний"},0),Settings!$D$78,Settings!$D$80,Settings!$D$82,Settings!$D$84,Settings!$D$86),"")</f>
        <v/>
      </c>
      <c r="P565" s="148">
        <f>IFERROR((N565*(1-Settings!$D$17)-C565)/(N565*(1-Settings!$D$17)),"")</f>
        <v/>
      </c>
      <c r="Q565" s="149">
        <f>IFERROR(IF(N565="","",IF(N565&gt;=C565/(1-SKU_Base!AB565)/(1-Settings!$D$17),"OK",IF(N565&gt;=C565/(1-SKU_Base!AI565)/(1-Settings!$D$17),"WARN","STOP"))),"")</f>
        <v/>
      </c>
      <c r="R565" s="161">
        <f>IFERROR(ROUND(D565*(1-CHOOSE(MATCH(IF($E565="","Основний",$E565),{"Трафіковий","Основний","Маржинальний","Сезонний","Стратегічний"},0),Settings!$E$78,Settings!$E$80,Settings!$E$82,Settings!$E$84,Settings!$E$86))/6,2)*6,"")</f>
        <v/>
      </c>
      <c r="S565" s="142">
        <f>IFERROR(CHOOSE(MATCH(IF($E565="","Основний",$E565),{"Трафіковий","Основний","Маржинальний","Сезонний","Стратегічний"},0),Settings!$E$78,Settings!$E$80,Settings!$E$82,Settings!$E$84,Settings!$E$86),"")</f>
        <v/>
      </c>
      <c r="T565" s="148">
        <f>IFERROR((R565*(1-Settings!$E$17)-C565)/(R565*(1-Settings!$E$17)),"")</f>
        <v/>
      </c>
      <c r="U565" s="149">
        <f>IFERROR(IF(R565="","",IF(R565&gt;=C565/(1-SKU_Base!AC565)/(1-Settings!$E$17),"OK",IF(R565&gt;=C565/(1-SKU_Base!AJ565)/(1-Settings!$E$17),"WARN","STOP"))),"")</f>
        <v/>
      </c>
      <c r="V565" s="161">
        <f>IFERROR(ROUND(D565*(1-CHOOSE(MATCH(IF($E565="","Основний",$E565),{"Трафіковий","Основний","Маржинальний","Сезонний","Стратегічний"},0),Settings!$F$78,Settings!$F$80,Settings!$F$82,Settings!$F$84,Settings!$F$86))/6,2)*6,"")</f>
        <v/>
      </c>
      <c r="W565" s="142">
        <f>IFERROR(CHOOSE(MATCH(IF($E565="","Основний",$E565),{"Трафіковий","Основний","Маржинальний","Сезонний","Стратегічний"},0),Settings!$F$78,Settings!$F$80,Settings!$F$82,Settings!$F$84,Settings!$F$86),"")</f>
        <v/>
      </c>
      <c r="X565" s="148">
        <f>IFERROR((V565*(1-Settings!$F$17)-C565)/(V565*(1-Settings!$F$17)),"")</f>
        <v/>
      </c>
      <c r="Y565" s="149">
        <f>IFERROR(IF(V565="","",IF(V565&gt;=C565/(1-SKU_Base!AD565)/(1-Settings!$F$17),"OK",IF(V565&gt;=C565/(1-SKU_Base!AK565)/(1-Settings!$F$17),"WARN","STOP"))),"")</f>
        <v/>
      </c>
      <c r="Z565" s="161">
        <f>IFERROR(ROUND(D565*(1-CHOOSE(MATCH(IF($E565="","Основний",$E565),{"Трафіковий","Основний","Маржинальний","Сезонний","Стратегічний"},0),Settings!$G$78,Settings!$G$80,Settings!$G$82,Settings!$G$84,Settings!$G$86))/6,2)*6,"")</f>
        <v/>
      </c>
      <c r="AA565" s="142">
        <f>IFERROR(CHOOSE(MATCH(IF($E565="","Основний",$E565),{"Трафіковий","Основний","Маржинальний","Сезонний","Стратегічний"},0),Settings!$G$78,Settings!$G$80,Settings!$G$82,Settings!$G$84,Settings!$G$86),"")</f>
        <v/>
      </c>
      <c r="AB565" s="148">
        <f>IFERROR((Z565*(1-Settings!$G$17)-C565)/(Z565*(1-Settings!$G$17)),"")</f>
        <v/>
      </c>
      <c r="AC565" s="149">
        <f>IFERROR(IF(Z565="","",IF(Z565&gt;=C565/(1-SKU_Base!AE565)/(1-Settings!$G$17),"OK",IF(Z565&gt;=C565/(1-SKU_Base!AL565)/(1-Settings!$G$17),"WARN","STOP"))),"")</f>
        <v/>
      </c>
      <c r="AD565" s="161">
        <f>IFERROR(ROUND(D565*(1-CHOOSE(MATCH(IF($E565="","Основний",$E565),{"Трафіковий","Основний","Маржинальний","Сезонний","Стратегічний"},0),Settings!$H$78,Settings!$H$80,Settings!$H$82,Settings!$H$84,Settings!$H$86))*(1-Settings!$H$68)/6,2)*6,"")</f>
        <v/>
      </c>
      <c r="AE565" s="142">
        <f>IFERROR(CHOOSE(MATCH(IF($E565="","Основний",$E565),{"Трафіковий","Основний","Маржинальний","Сезонний","Стратегічний"},0),Settings!$H$78,Settings!$H$80,Settings!$H$82,Settings!$H$84,Settings!$H$86)+(1-(CHOOSE(MATCH(IF($E565="","Основний",$E565),{"Трафіковий","Основний","Маржинальний","Сезонний","Стратегічний"},0),Settings!$H$78,Settings!$H$80,Settings!$H$82,Settings!$H$84,Settings!$H$86)))*Settings!$H$68,"")</f>
        <v/>
      </c>
      <c r="AF565" s="148">
        <f>IFERROR((AD565*(1-Settings!$H$17)-C565)/(AD565*(1-Settings!$H$17)),"")</f>
        <v/>
      </c>
      <c r="AG565" s="150">
        <f>IFERROR(IF(AD565="","",IF(AD565&gt;=C565/(1-SKU_Base!AF565)/(1-Settings!$H$17),"OK",IF(AD565&gt;=C565/(1-SKU_Base!AM565)/(1-Settings!$H$17),"WARN","STOP"))),"")</f>
        <v/>
      </c>
    </row>
    <row r="566" ht="17" customHeight="1" s="179">
      <c r="A566" s="139">
        <f>SKU_Base!B566</f>
        <v/>
      </c>
      <c r="B566" s="139">
        <f>SKU_Base!C566</f>
        <v/>
      </c>
      <c r="C566" s="140">
        <f>IFERROR(SKU_Base!I566,"")</f>
        <v/>
      </c>
      <c r="D566" s="163">
        <f>IFERROR(SKU_Base!T566,"")</f>
        <v/>
      </c>
      <c r="E566" s="141">
        <f>IFERROR(SKU_Base!$U566,"")</f>
        <v/>
      </c>
      <c r="F566" s="158">
        <f>IFERROR(ROUND(D566*(1-CHOOSE(MATCH(IF($E566="","Основний",$E566),{"Трафіковий","Основний","Маржинальний","Сезонний","Стратегічний"},0),Settings!$B$78,Settings!$B$80,Settings!$B$82,Settings!$B$84,Settings!$B$86))/6,2)*6,"")</f>
        <v/>
      </c>
      <c r="G566" s="142">
        <f>IFERROR(CHOOSE(MATCH(IF($E566="","Основний",$E566),{"Трафіковий","Основний","Маржинальний","Сезонний","Стратегічний"},0),Settings!$B$78,Settings!$B$80,Settings!$B$82,Settings!$B$84,Settings!$B$86),"")</f>
        <v/>
      </c>
      <c r="H566" s="143">
        <f>IFERROR((F566*(1-Settings!$B$17)-C566)/(F566*(1-Settings!$B$17)),"")</f>
        <v/>
      </c>
      <c r="I566" s="149">
        <f>IFERROR(IF(F566="","",IF(F566&gt;=C566/(1-SKU_Base!Z566)/(1-Settings!$B$17),"OK",IF(F566&gt;=C566/(1-SKU_Base!AG566)/(1-Settings!$B$17),"WARN","STOP"))),"")</f>
        <v/>
      </c>
      <c r="J566" s="158">
        <f>IFERROR(ROUND(D566*(1-CHOOSE(MATCH(IF($E566="","Основний",$E566),{"Трафіковий","Основний","Маржинальний","Сезонний","Стратегічний"},0),Settings!$C$78,Settings!$C$80,Settings!$C$82,Settings!$C$84,Settings!$C$86))/6,2)*6,"")</f>
        <v/>
      </c>
      <c r="K566" s="142">
        <f>IFERROR(CHOOSE(MATCH(IF($E566="","Основний",$E566),{"Трафіковий","Основний","Маржинальний","Сезонний","Стратегічний"},0),Settings!$C$78,Settings!$C$80,Settings!$C$82,Settings!$C$84,Settings!$C$86),"")</f>
        <v/>
      </c>
      <c r="L566" s="143">
        <f>IFERROR((J566*(1-Settings!$C$17)-C566)/(J566*(1-Settings!$C$17)),"")</f>
        <v/>
      </c>
      <c r="M566" s="149">
        <f>IFERROR(IF(J566="","",IF(J566&gt;=C566/(1-SKU_Base!AA566)/(1-Settings!$C$17),"OK",IF(J566&gt;=C566/(1-SKU_Base!AH566)/(1-Settings!$C$17),"WARN","STOP"))),"")</f>
        <v/>
      </c>
      <c r="N566" s="159">
        <f>IFERROR(ROUND(D566*(1-CHOOSE(MATCH(IF($E566="","Основний",$E566),{"Трафіковий","Основний","Маржинальний","Сезонний","Стратегічний"},0),Settings!$D$78,Settings!$D$80,Settings!$D$82,Settings!$D$84,Settings!$D$86))/6,2)*6,"")</f>
        <v/>
      </c>
      <c r="O566" s="142">
        <f>IFERROR(CHOOSE(MATCH(IF($E566="","Основний",$E566),{"Трафіковий","Основний","Маржинальний","Сезонний","Стратегічний"},0),Settings!$D$78,Settings!$D$80,Settings!$D$82,Settings!$D$84,Settings!$D$86),"")</f>
        <v/>
      </c>
      <c r="P566" s="143">
        <f>IFERROR((N566*(1-Settings!$D$17)-C566)/(N566*(1-Settings!$D$17)),"")</f>
        <v/>
      </c>
      <c r="Q566" s="149">
        <f>IFERROR(IF(N566="","",IF(N566&gt;=C566/(1-SKU_Base!AB566)/(1-Settings!$D$17),"OK",IF(N566&gt;=C566/(1-SKU_Base!AI566)/(1-Settings!$D$17),"WARN","STOP"))),"")</f>
        <v/>
      </c>
      <c r="R566" s="159">
        <f>IFERROR(ROUND(D566*(1-CHOOSE(MATCH(IF($E566="","Основний",$E566),{"Трафіковий","Основний","Маржинальний","Сезонний","Стратегічний"},0),Settings!$E$78,Settings!$E$80,Settings!$E$82,Settings!$E$84,Settings!$E$86))/6,2)*6,"")</f>
        <v/>
      </c>
      <c r="S566" s="142">
        <f>IFERROR(CHOOSE(MATCH(IF($E566="","Основний",$E566),{"Трафіковий","Основний","Маржинальний","Сезонний","Стратегічний"},0),Settings!$E$78,Settings!$E$80,Settings!$E$82,Settings!$E$84,Settings!$E$86),"")</f>
        <v/>
      </c>
      <c r="T566" s="143">
        <f>IFERROR((R566*(1-Settings!$E$17)-C566)/(R566*(1-Settings!$E$17)),"")</f>
        <v/>
      </c>
      <c r="U566" s="149">
        <f>IFERROR(IF(R566="","",IF(R566&gt;=C566/(1-SKU_Base!AC566)/(1-Settings!$E$17),"OK",IF(R566&gt;=C566/(1-SKU_Base!AJ566)/(1-Settings!$E$17),"WARN","STOP"))),"")</f>
        <v/>
      </c>
      <c r="V566" s="159">
        <f>IFERROR(ROUND(D566*(1-CHOOSE(MATCH(IF($E566="","Основний",$E566),{"Трафіковий","Основний","Маржинальний","Сезонний","Стратегічний"},0),Settings!$F$78,Settings!$F$80,Settings!$F$82,Settings!$F$84,Settings!$F$86))/6,2)*6,"")</f>
        <v/>
      </c>
      <c r="W566" s="142">
        <f>IFERROR(CHOOSE(MATCH(IF($E566="","Основний",$E566),{"Трафіковий","Основний","Маржинальний","Сезонний","Стратегічний"},0),Settings!$F$78,Settings!$F$80,Settings!$F$82,Settings!$F$84,Settings!$F$86),"")</f>
        <v/>
      </c>
      <c r="X566" s="143">
        <f>IFERROR((V566*(1-Settings!$F$17)-C566)/(V566*(1-Settings!$F$17)),"")</f>
        <v/>
      </c>
      <c r="Y566" s="149">
        <f>IFERROR(IF(V566="","",IF(V566&gt;=C566/(1-SKU_Base!AD566)/(1-Settings!$F$17),"OK",IF(V566&gt;=C566/(1-SKU_Base!AK566)/(1-Settings!$F$17),"WARN","STOP"))),"")</f>
        <v/>
      </c>
      <c r="Z566" s="159">
        <f>IFERROR(ROUND(D566*(1-CHOOSE(MATCH(IF($E566="","Основний",$E566),{"Трафіковий","Основний","Маржинальний","Сезонний","Стратегічний"},0),Settings!$G$78,Settings!$G$80,Settings!$G$82,Settings!$G$84,Settings!$G$86))/6,2)*6,"")</f>
        <v/>
      </c>
      <c r="AA566" s="142">
        <f>IFERROR(CHOOSE(MATCH(IF($E566="","Основний",$E566),{"Трафіковий","Основний","Маржинальний","Сезонний","Стратегічний"},0),Settings!$G$78,Settings!$G$80,Settings!$G$82,Settings!$G$84,Settings!$G$86),"")</f>
        <v/>
      </c>
      <c r="AB566" s="143">
        <f>IFERROR((Z566*(1-Settings!$G$17)-C566)/(Z566*(1-Settings!$G$17)),"")</f>
        <v/>
      </c>
      <c r="AC566" s="149">
        <f>IFERROR(IF(Z566="","",IF(Z566&gt;=C566/(1-SKU_Base!AE566)/(1-Settings!$G$17),"OK",IF(Z566&gt;=C566/(1-SKU_Base!AL566)/(1-Settings!$G$17),"WARN","STOP"))),"")</f>
        <v/>
      </c>
      <c r="AD566" s="159">
        <f>IFERROR(ROUND(D566*(1-CHOOSE(MATCH(IF($E566="","Основний",$E566),{"Трафіковий","Основний","Маржинальний","Сезонний","Стратегічний"},0),Settings!$H$78,Settings!$H$80,Settings!$H$82,Settings!$H$84,Settings!$H$86))*(1-Settings!$H$68)/6,2)*6,"")</f>
        <v/>
      </c>
      <c r="AE566" s="142">
        <f>IFERROR(CHOOSE(MATCH(IF($E566="","Основний",$E566),{"Трафіковий","Основний","Маржинальний","Сезонний","Стратегічний"},0),Settings!$H$78,Settings!$H$80,Settings!$H$82,Settings!$H$84,Settings!$H$86)+(1-(CHOOSE(MATCH(IF($E566="","Основний",$E566),{"Трафіковий","Основний","Маржинальний","Сезонний","Стратегічний"},0),Settings!$H$78,Settings!$H$80,Settings!$H$82,Settings!$H$84,Settings!$H$86)))*Settings!$H$68,"")</f>
        <v/>
      </c>
      <c r="AF566" s="143">
        <f>IFERROR((AD566*(1-Settings!$H$17)-C566)/(AD566*(1-Settings!$H$17)),"")</f>
        <v/>
      </c>
      <c r="AG566" s="150">
        <f>IFERROR(IF(AD566="","",IF(AD566&gt;=C566/(1-SKU_Base!AF566)/(1-Settings!$H$17),"OK",IF(AD566&gt;=C566/(1-SKU_Base!AM566)/(1-Settings!$H$17),"WARN","STOP"))),"")</f>
        <v/>
      </c>
    </row>
    <row r="567" ht="17" customHeight="1" s="179">
      <c r="A567" s="146">
        <f>SKU_Base!B567</f>
        <v/>
      </c>
      <c r="B567" s="146">
        <f>SKU_Base!C567</f>
        <v/>
      </c>
      <c r="C567" s="147">
        <f>IFERROR(SKU_Base!I567,"")</f>
        <v/>
      </c>
      <c r="D567" s="164">
        <f>IFERROR(SKU_Base!T567,"")</f>
        <v/>
      </c>
      <c r="E567" s="141">
        <f>IFERROR(SKU_Base!$U567,"")</f>
        <v/>
      </c>
      <c r="F567" s="160">
        <f>IFERROR(ROUND(D567*(1-CHOOSE(MATCH(IF($E567="","Основний",$E567),{"Трафіковий","Основний","Маржинальний","Сезонний","Стратегічний"},0),Settings!$B$78,Settings!$B$80,Settings!$B$82,Settings!$B$84,Settings!$B$86))/6,2)*6,"")</f>
        <v/>
      </c>
      <c r="G567" s="142">
        <f>IFERROR(CHOOSE(MATCH(IF($E567="","Основний",$E567),{"Трафіковий","Основний","Маржинальний","Сезонний","Стратегічний"},0),Settings!$B$78,Settings!$B$80,Settings!$B$82,Settings!$B$84,Settings!$B$86),"")</f>
        <v/>
      </c>
      <c r="H567" s="148">
        <f>IFERROR((F567*(1-Settings!$B$17)-C567)/(F567*(1-Settings!$B$17)),"")</f>
        <v/>
      </c>
      <c r="I567" s="149">
        <f>IFERROR(IF(F567="","",IF(F567&gt;=C567/(1-SKU_Base!Z567)/(1-Settings!$B$17),"OK",IF(F567&gt;=C567/(1-SKU_Base!AG567)/(1-Settings!$B$17),"WARN","STOP"))),"")</f>
        <v/>
      </c>
      <c r="J567" s="160">
        <f>IFERROR(ROUND(D567*(1-CHOOSE(MATCH(IF($E567="","Основний",$E567),{"Трафіковий","Основний","Маржинальний","Сезонний","Стратегічний"},0),Settings!$C$78,Settings!$C$80,Settings!$C$82,Settings!$C$84,Settings!$C$86))/6,2)*6,"")</f>
        <v/>
      </c>
      <c r="K567" s="142">
        <f>IFERROR(CHOOSE(MATCH(IF($E567="","Основний",$E567),{"Трафіковий","Основний","Маржинальний","Сезонний","Стратегічний"},0),Settings!$C$78,Settings!$C$80,Settings!$C$82,Settings!$C$84,Settings!$C$86),"")</f>
        <v/>
      </c>
      <c r="L567" s="148">
        <f>IFERROR((J567*(1-Settings!$C$17)-C567)/(J567*(1-Settings!$C$17)),"")</f>
        <v/>
      </c>
      <c r="M567" s="149">
        <f>IFERROR(IF(J567="","",IF(J567&gt;=C567/(1-SKU_Base!AA567)/(1-Settings!$C$17),"OK",IF(J567&gt;=C567/(1-SKU_Base!AH567)/(1-Settings!$C$17),"WARN","STOP"))),"")</f>
        <v/>
      </c>
      <c r="N567" s="161">
        <f>IFERROR(ROUND(D567*(1-CHOOSE(MATCH(IF($E567="","Основний",$E567),{"Трафіковий","Основний","Маржинальний","Сезонний","Стратегічний"},0),Settings!$D$78,Settings!$D$80,Settings!$D$82,Settings!$D$84,Settings!$D$86))/6,2)*6,"")</f>
        <v/>
      </c>
      <c r="O567" s="142">
        <f>IFERROR(CHOOSE(MATCH(IF($E567="","Основний",$E567),{"Трафіковий","Основний","Маржинальний","Сезонний","Стратегічний"},0),Settings!$D$78,Settings!$D$80,Settings!$D$82,Settings!$D$84,Settings!$D$86),"")</f>
        <v/>
      </c>
      <c r="P567" s="148">
        <f>IFERROR((N567*(1-Settings!$D$17)-C567)/(N567*(1-Settings!$D$17)),"")</f>
        <v/>
      </c>
      <c r="Q567" s="149">
        <f>IFERROR(IF(N567="","",IF(N567&gt;=C567/(1-SKU_Base!AB567)/(1-Settings!$D$17),"OK",IF(N567&gt;=C567/(1-SKU_Base!AI567)/(1-Settings!$D$17),"WARN","STOP"))),"")</f>
        <v/>
      </c>
      <c r="R567" s="161">
        <f>IFERROR(ROUND(D567*(1-CHOOSE(MATCH(IF($E567="","Основний",$E567),{"Трафіковий","Основний","Маржинальний","Сезонний","Стратегічний"},0),Settings!$E$78,Settings!$E$80,Settings!$E$82,Settings!$E$84,Settings!$E$86))/6,2)*6,"")</f>
        <v/>
      </c>
      <c r="S567" s="142">
        <f>IFERROR(CHOOSE(MATCH(IF($E567="","Основний",$E567),{"Трафіковий","Основний","Маржинальний","Сезонний","Стратегічний"},0),Settings!$E$78,Settings!$E$80,Settings!$E$82,Settings!$E$84,Settings!$E$86),"")</f>
        <v/>
      </c>
      <c r="T567" s="148">
        <f>IFERROR((R567*(1-Settings!$E$17)-C567)/(R567*(1-Settings!$E$17)),"")</f>
        <v/>
      </c>
      <c r="U567" s="149">
        <f>IFERROR(IF(R567="","",IF(R567&gt;=C567/(1-SKU_Base!AC567)/(1-Settings!$E$17),"OK",IF(R567&gt;=C567/(1-SKU_Base!AJ567)/(1-Settings!$E$17),"WARN","STOP"))),"")</f>
        <v/>
      </c>
      <c r="V567" s="161">
        <f>IFERROR(ROUND(D567*(1-CHOOSE(MATCH(IF($E567="","Основний",$E567),{"Трафіковий","Основний","Маржинальний","Сезонний","Стратегічний"},0),Settings!$F$78,Settings!$F$80,Settings!$F$82,Settings!$F$84,Settings!$F$86))/6,2)*6,"")</f>
        <v/>
      </c>
      <c r="W567" s="142">
        <f>IFERROR(CHOOSE(MATCH(IF($E567="","Основний",$E567),{"Трафіковий","Основний","Маржинальний","Сезонний","Стратегічний"},0),Settings!$F$78,Settings!$F$80,Settings!$F$82,Settings!$F$84,Settings!$F$86),"")</f>
        <v/>
      </c>
      <c r="X567" s="148">
        <f>IFERROR((V567*(1-Settings!$F$17)-C567)/(V567*(1-Settings!$F$17)),"")</f>
        <v/>
      </c>
      <c r="Y567" s="149">
        <f>IFERROR(IF(V567="","",IF(V567&gt;=C567/(1-SKU_Base!AD567)/(1-Settings!$F$17),"OK",IF(V567&gt;=C567/(1-SKU_Base!AK567)/(1-Settings!$F$17),"WARN","STOP"))),"")</f>
        <v/>
      </c>
      <c r="Z567" s="161">
        <f>IFERROR(ROUND(D567*(1-CHOOSE(MATCH(IF($E567="","Основний",$E567),{"Трафіковий","Основний","Маржинальний","Сезонний","Стратегічний"},0),Settings!$G$78,Settings!$G$80,Settings!$G$82,Settings!$G$84,Settings!$G$86))/6,2)*6,"")</f>
        <v/>
      </c>
      <c r="AA567" s="142">
        <f>IFERROR(CHOOSE(MATCH(IF($E567="","Основний",$E567),{"Трафіковий","Основний","Маржинальний","Сезонний","Стратегічний"},0),Settings!$G$78,Settings!$G$80,Settings!$G$82,Settings!$G$84,Settings!$G$86),"")</f>
        <v/>
      </c>
      <c r="AB567" s="148">
        <f>IFERROR((Z567*(1-Settings!$G$17)-C567)/(Z567*(1-Settings!$G$17)),"")</f>
        <v/>
      </c>
      <c r="AC567" s="149">
        <f>IFERROR(IF(Z567="","",IF(Z567&gt;=C567/(1-SKU_Base!AE567)/(1-Settings!$G$17),"OK",IF(Z567&gt;=C567/(1-SKU_Base!AL567)/(1-Settings!$G$17),"WARN","STOP"))),"")</f>
        <v/>
      </c>
      <c r="AD567" s="161">
        <f>IFERROR(ROUND(D567*(1-CHOOSE(MATCH(IF($E567="","Основний",$E567),{"Трафіковий","Основний","Маржинальний","Сезонний","Стратегічний"},0),Settings!$H$78,Settings!$H$80,Settings!$H$82,Settings!$H$84,Settings!$H$86))*(1-Settings!$H$68)/6,2)*6,"")</f>
        <v/>
      </c>
      <c r="AE567" s="142">
        <f>IFERROR(CHOOSE(MATCH(IF($E567="","Основний",$E567),{"Трафіковий","Основний","Маржинальний","Сезонний","Стратегічний"},0),Settings!$H$78,Settings!$H$80,Settings!$H$82,Settings!$H$84,Settings!$H$86)+(1-(CHOOSE(MATCH(IF($E567="","Основний",$E567),{"Трафіковий","Основний","Маржинальний","Сезонний","Стратегічний"},0),Settings!$H$78,Settings!$H$80,Settings!$H$82,Settings!$H$84,Settings!$H$86)))*Settings!$H$68,"")</f>
        <v/>
      </c>
      <c r="AF567" s="148">
        <f>IFERROR((AD567*(1-Settings!$H$17)-C567)/(AD567*(1-Settings!$H$17)),"")</f>
        <v/>
      </c>
      <c r="AG567" s="150">
        <f>IFERROR(IF(AD567="","",IF(AD567&gt;=C567/(1-SKU_Base!AF567)/(1-Settings!$H$17),"OK",IF(AD567&gt;=C567/(1-SKU_Base!AM567)/(1-Settings!$H$17),"WARN","STOP"))),"")</f>
        <v/>
      </c>
    </row>
    <row r="568" ht="17" customHeight="1" s="179">
      <c r="A568" s="139">
        <f>SKU_Base!B568</f>
        <v/>
      </c>
      <c r="B568" s="139">
        <f>SKU_Base!C568</f>
        <v/>
      </c>
      <c r="C568" s="140">
        <f>IFERROR(SKU_Base!I568,"")</f>
        <v/>
      </c>
      <c r="D568" s="163">
        <f>IFERROR(SKU_Base!T568,"")</f>
        <v/>
      </c>
      <c r="E568" s="141">
        <f>IFERROR(SKU_Base!$U568,"")</f>
        <v/>
      </c>
      <c r="F568" s="158">
        <f>IFERROR(ROUND(D568*(1-CHOOSE(MATCH(IF($E568="","Основний",$E568),{"Трафіковий","Основний","Маржинальний","Сезонний","Стратегічний"},0),Settings!$B$78,Settings!$B$80,Settings!$B$82,Settings!$B$84,Settings!$B$86))/6,2)*6,"")</f>
        <v/>
      </c>
      <c r="G568" s="142">
        <f>IFERROR(CHOOSE(MATCH(IF($E568="","Основний",$E568),{"Трафіковий","Основний","Маржинальний","Сезонний","Стратегічний"},0),Settings!$B$78,Settings!$B$80,Settings!$B$82,Settings!$B$84,Settings!$B$86),"")</f>
        <v/>
      </c>
      <c r="H568" s="143">
        <f>IFERROR((F568*(1-Settings!$B$17)-C568)/(F568*(1-Settings!$B$17)),"")</f>
        <v/>
      </c>
      <c r="I568" s="150">
        <f>IFERROR(IF(F568="","",IF(F568&gt;=C568/(1-SKU_Base!Z568)/(1-Settings!$B$17),"OK",IF(F568&gt;=C568/(1-SKU_Base!AG568)/(1-Settings!$B$17),"WARN","STOP"))),"")</f>
        <v/>
      </c>
      <c r="J568" s="158">
        <f>IFERROR(ROUND(D568*(1-CHOOSE(MATCH(IF($E568="","Основний",$E568),{"Трафіковий","Основний","Маржинальний","Сезонний","Стратегічний"},0),Settings!$C$78,Settings!$C$80,Settings!$C$82,Settings!$C$84,Settings!$C$86))/6,2)*6,"")</f>
        <v/>
      </c>
      <c r="K568" s="142">
        <f>IFERROR(CHOOSE(MATCH(IF($E568="","Основний",$E568),{"Трафіковий","Основний","Маржинальний","Сезонний","Стратегічний"},0),Settings!$C$78,Settings!$C$80,Settings!$C$82,Settings!$C$84,Settings!$C$86),"")</f>
        <v/>
      </c>
      <c r="L568" s="143">
        <f>IFERROR((J568*(1-Settings!$C$17)-C568)/(J568*(1-Settings!$C$17)),"")</f>
        <v/>
      </c>
      <c r="M568" s="149">
        <f>IFERROR(IF(J568="","",IF(J568&gt;=C568/(1-SKU_Base!AA568)/(1-Settings!$C$17),"OK",IF(J568&gt;=C568/(1-SKU_Base!AH568)/(1-Settings!$C$17),"WARN","STOP"))),"")</f>
        <v/>
      </c>
      <c r="N568" s="159">
        <f>IFERROR(ROUND(D568*(1-CHOOSE(MATCH(IF($E568="","Основний",$E568),{"Трафіковий","Основний","Маржинальний","Сезонний","Стратегічний"},0),Settings!$D$78,Settings!$D$80,Settings!$D$82,Settings!$D$84,Settings!$D$86))/6,2)*6,"")</f>
        <v/>
      </c>
      <c r="O568" s="142">
        <f>IFERROR(CHOOSE(MATCH(IF($E568="","Основний",$E568),{"Трафіковий","Основний","Маржинальний","Сезонний","Стратегічний"},0),Settings!$D$78,Settings!$D$80,Settings!$D$82,Settings!$D$84,Settings!$D$86),"")</f>
        <v/>
      </c>
      <c r="P568" s="143">
        <f>IFERROR((N568*(1-Settings!$D$17)-C568)/(N568*(1-Settings!$D$17)),"")</f>
        <v/>
      </c>
      <c r="Q568" s="149">
        <f>IFERROR(IF(N568="","",IF(N568&gt;=C568/(1-SKU_Base!AB568)/(1-Settings!$D$17),"OK",IF(N568&gt;=C568/(1-SKU_Base!AI568)/(1-Settings!$D$17),"WARN","STOP"))),"")</f>
        <v/>
      </c>
      <c r="R568" s="159">
        <f>IFERROR(ROUND(D568*(1-CHOOSE(MATCH(IF($E568="","Основний",$E568),{"Трафіковий","Основний","Маржинальний","Сезонний","Стратегічний"},0),Settings!$E$78,Settings!$E$80,Settings!$E$82,Settings!$E$84,Settings!$E$86))/6,2)*6,"")</f>
        <v/>
      </c>
      <c r="S568" s="142">
        <f>IFERROR(CHOOSE(MATCH(IF($E568="","Основний",$E568),{"Трафіковий","Основний","Маржинальний","Сезонний","Стратегічний"},0),Settings!$E$78,Settings!$E$80,Settings!$E$82,Settings!$E$84,Settings!$E$86),"")</f>
        <v/>
      </c>
      <c r="T568" s="143">
        <f>IFERROR((R568*(1-Settings!$E$17)-C568)/(R568*(1-Settings!$E$17)),"")</f>
        <v/>
      </c>
      <c r="U568" s="149">
        <f>IFERROR(IF(R568="","",IF(R568&gt;=C568/(1-SKU_Base!AC568)/(1-Settings!$E$17),"OK",IF(R568&gt;=C568/(1-SKU_Base!AJ568)/(1-Settings!$E$17),"WARN","STOP"))),"")</f>
        <v/>
      </c>
      <c r="V568" s="159">
        <f>IFERROR(ROUND(D568*(1-CHOOSE(MATCH(IF($E568="","Основний",$E568),{"Трафіковий","Основний","Маржинальний","Сезонний","Стратегічний"},0),Settings!$F$78,Settings!$F$80,Settings!$F$82,Settings!$F$84,Settings!$F$86))/6,2)*6,"")</f>
        <v/>
      </c>
      <c r="W568" s="142">
        <f>IFERROR(CHOOSE(MATCH(IF($E568="","Основний",$E568),{"Трафіковий","Основний","Маржинальний","Сезонний","Стратегічний"},0),Settings!$F$78,Settings!$F$80,Settings!$F$82,Settings!$F$84,Settings!$F$86),"")</f>
        <v/>
      </c>
      <c r="X568" s="143">
        <f>IFERROR((V568*(1-Settings!$F$17)-C568)/(V568*(1-Settings!$F$17)),"")</f>
        <v/>
      </c>
      <c r="Y568" s="149">
        <f>IFERROR(IF(V568="","",IF(V568&gt;=C568/(1-SKU_Base!AD568)/(1-Settings!$F$17),"OK",IF(V568&gt;=C568/(1-SKU_Base!AK568)/(1-Settings!$F$17),"WARN","STOP"))),"")</f>
        <v/>
      </c>
      <c r="Z568" s="159">
        <f>IFERROR(ROUND(D568*(1-CHOOSE(MATCH(IF($E568="","Основний",$E568),{"Трафіковий","Основний","Маржинальний","Сезонний","Стратегічний"},0),Settings!$G$78,Settings!$G$80,Settings!$G$82,Settings!$G$84,Settings!$G$86))/6,2)*6,"")</f>
        <v/>
      </c>
      <c r="AA568" s="142">
        <f>IFERROR(CHOOSE(MATCH(IF($E568="","Основний",$E568),{"Трафіковий","Основний","Маржинальний","Сезонний","Стратегічний"},0),Settings!$G$78,Settings!$G$80,Settings!$G$82,Settings!$G$84,Settings!$G$86),"")</f>
        <v/>
      </c>
      <c r="AB568" s="143">
        <f>IFERROR((Z568*(1-Settings!$G$17)-C568)/(Z568*(1-Settings!$G$17)),"")</f>
        <v/>
      </c>
      <c r="AC568" s="149">
        <f>IFERROR(IF(Z568="","",IF(Z568&gt;=C568/(1-SKU_Base!AE568)/(1-Settings!$G$17),"OK",IF(Z568&gt;=C568/(1-SKU_Base!AL568)/(1-Settings!$G$17),"WARN","STOP"))),"")</f>
        <v/>
      </c>
      <c r="AD568" s="159">
        <f>IFERROR(ROUND(D568*(1-CHOOSE(MATCH(IF($E568="","Основний",$E568),{"Трафіковий","Основний","Маржинальний","Сезонний","Стратегічний"},0),Settings!$H$78,Settings!$H$80,Settings!$H$82,Settings!$H$84,Settings!$H$86))*(1-Settings!$H$68)/6,2)*6,"")</f>
        <v/>
      </c>
      <c r="AE568" s="142">
        <f>IFERROR(CHOOSE(MATCH(IF($E568="","Основний",$E568),{"Трафіковий","Основний","Маржинальний","Сезонний","Стратегічний"},0),Settings!$H$78,Settings!$H$80,Settings!$H$82,Settings!$H$84,Settings!$H$86)+(1-(CHOOSE(MATCH(IF($E568="","Основний",$E568),{"Трафіковий","Основний","Маржинальний","Сезонний","Стратегічний"},0),Settings!$H$78,Settings!$H$80,Settings!$H$82,Settings!$H$84,Settings!$H$86)))*Settings!$H$68,"")</f>
        <v/>
      </c>
      <c r="AF568" s="143">
        <f>IFERROR((AD568*(1-Settings!$H$17)-C568)/(AD568*(1-Settings!$H$17)),"")</f>
        <v/>
      </c>
      <c r="AG568" s="150">
        <f>IFERROR(IF(AD568="","",IF(AD568&gt;=C568/(1-SKU_Base!AF568)/(1-Settings!$H$17),"OK",IF(AD568&gt;=C568/(1-SKU_Base!AM568)/(1-Settings!$H$17),"WARN","STOP"))),"")</f>
        <v/>
      </c>
    </row>
    <row r="569" ht="17" customHeight="1" s="179">
      <c r="A569" s="146">
        <f>SKU_Base!B569</f>
        <v/>
      </c>
      <c r="B569" s="146">
        <f>SKU_Base!C569</f>
        <v/>
      </c>
      <c r="C569" s="147">
        <f>IFERROR(SKU_Base!I569,"")</f>
        <v/>
      </c>
      <c r="D569" s="164">
        <f>IFERROR(SKU_Base!T569,"")</f>
        <v/>
      </c>
      <c r="E569" s="141">
        <f>IFERROR(SKU_Base!$U569,"")</f>
        <v/>
      </c>
      <c r="F569" s="160">
        <f>IFERROR(ROUND(D569*(1-CHOOSE(MATCH(IF($E569="","Основний",$E569),{"Трафіковий","Основний","Маржинальний","Сезонний","Стратегічний"},0),Settings!$B$78,Settings!$B$80,Settings!$B$82,Settings!$B$84,Settings!$B$86))/6,2)*6,"")</f>
        <v/>
      </c>
      <c r="G569" s="142">
        <f>IFERROR(CHOOSE(MATCH(IF($E569="","Основний",$E569),{"Трафіковий","Основний","Маржинальний","Сезонний","Стратегічний"},0),Settings!$B$78,Settings!$B$80,Settings!$B$82,Settings!$B$84,Settings!$B$86),"")</f>
        <v/>
      </c>
      <c r="H569" s="148">
        <f>IFERROR((F569*(1-Settings!$B$17)-C569)/(F569*(1-Settings!$B$17)),"")</f>
        <v/>
      </c>
      <c r="I569" s="149">
        <f>IFERROR(IF(F569="","",IF(F569&gt;=C569/(1-SKU_Base!Z569)/(1-Settings!$B$17),"OK",IF(F569&gt;=C569/(1-SKU_Base!AG569)/(1-Settings!$B$17),"WARN","STOP"))),"")</f>
        <v/>
      </c>
      <c r="J569" s="160">
        <f>IFERROR(ROUND(D569*(1-CHOOSE(MATCH(IF($E569="","Основний",$E569),{"Трафіковий","Основний","Маржинальний","Сезонний","Стратегічний"},0),Settings!$C$78,Settings!$C$80,Settings!$C$82,Settings!$C$84,Settings!$C$86))/6,2)*6,"")</f>
        <v/>
      </c>
      <c r="K569" s="142">
        <f>IFERROR(CHOOSE(MATCH(IF($E569="","Основний",$E569),{"Трафіковий","Основний","Маржинальний","Сезонний","Стратегічний"},0),Settings!$C$78,Settings!$C$80,Settings!$C$82,Settings!$C$84,Settings!$C$86),"")</f>
        <v/>
      </c>
      <c r="L569" s="148">
        <f>IFERROR((J569*(1-Settings!$C$17)-C569)/(J569*(1-Settings!$C$17)),"")</f>
        <v/>
      </c>
      <c r="M569" s="149">
        <f>IFERROR(IF(J569="","",IF(J569&gt;=C569/(1-SKU_Base!AA569)/(1-Settings!$C$17),"OK",IF(J569&gt;=C569/(1-SKU_Base!AH569)/(1-Settings!$C$17),"WARN","STOP"))),"")</f>
        <v/>
      </c>
      <c r="N569" s="161">
        <f>IFERROR(ROUND(D569*(1-CHOOSE(MATCH(IF($E569="","Основний",$E569),{"Трафіковий","Основний","Маржинальний","Сезонний","Стратегічний"},0),Settings!$D$78,Settings!$D$80,Settings!$D$82,Settings!$D$84,Settings!$D$86))/6,2)*6,"")</f>
        <v/>
      </c>
      <c r="O569" s="142">
        <f>IFERROR(CHOOSE(MATCH(IF($E569="","Основний",$E569),{"Трафіковий","Основний","Маржинальний","Сезонний","Стратегічний"},0),Settings!$D$78,Settings!$D$80,Settings!$D$82,Settings!$D$84,Settings!$D$86),"")</f>
        <v/>
      </c>
      <c r="P569" s="148">
        <f>IFERROR((N569*(1-Settings!$D$17)-C569)/(N569*(1-Settings!$D$17)),"")</f>
        <v/>
      </c>
      <c r="Q569" s="149">
        <f>IFERROR(IF(N569="","",IF(N569&gt;=C569/(1-SKU_Base!AB569)/(1-Settings!$D$17),"OK",IF(N569&gt;=C569/(1-SKU_Base!AI569)/(1-Settings!$D$17),"WARN","STOP"))),"")</f>
        <v/>
      </c>
      <c r="R569" s="161">
        <f>IFERROR(ROUND(D569*(1-CHOOSE(MATCH(IF($E569="","Основний",$E569),{"Трафіковий","Основний","Маржинальний","Сезонний","Стратегічний"},0),Settings!$E$78,Settings!$E$80,Settings!$E$82,Settings!$E$84,Settings!$E$86))/6,2)*6,"")</f>
        <v/>
      </c>
      <c r="S569" s="142">
        <f>IFERROR(CHOOSE(MATCH(IF($E569="","Основний",$E569),{"Трафіковий","Основний","Маржинальний","Сезонний","Стратегічний"},0),Settings!$E$78,Settings!$E$80,Settings!$E$82,Settings!$E$84,Settings!$E$86),"")</f>
        <v/>
      </c>
      <c r="T569" s="148">
        <f>IFERROR((R569*(1-Settings!$E$17)-C569)/(R569*(1-Settings!$E$17)),"")</f>
        <v/>
      </c>
      <c r="U569" s="149">
        <f>IFERROR(IF(R569="","",IF(R569&gt;=C569/(1-SKU_Base!AC569)/(1-Settings!$E$17),"OK",IF(R569&gt;=C569/(1-SKU_Base!AJ569)/(1-Settings!$E$17),"WARN","STOP"))),"")</f>
        <v/>
      </c>
      <c r="V569" s="161">
        <f>IFERROR(ROUND(D569*(1-CHOOSE(MATCH(IF($E569="","Основний",$E569),{"Трафіковий","Основний","Маржинальний","Сезонний","Стратегічний"},0),Settings!$F$78,Settings!$F$80,Settings!$F$82,Settings!$F$84,Settings!$F$86))/6,2)*6,"")</f>
        <v/>
      </c>
      <c r="W569" s="142">
        <f>IFERROR(CHOOSE(MATCH(IF($E569="","Основний",$E569),{"Трафіковий","Основний","Маржинальний","Сезонний","Стратегічний"},0),Settings!$F$78,Settings!$F$80,Settings!$F$82,Settings!$F$84,Settings!$F$86),"")</f>
        <v/>
      </c>
      <c r="X569" s="148">
        <f>IFERROR((V569*(1-Settings!$F$17)-C569)/(V569*(1-Settings!$F$17)),"")</f>
        <v/>
      </c>
      <c r="Y569" s="149">
        <f>IFERROR(IF(V569="","",IF(V569&gt;=C569/(1-SKU_Base!AD569)/(1-Settings!$F$17),"OK",IF(V569&gt;=C569/(1-SKU_Base!AK569)/(1-Settings!$F$17),"WARN","STOP"))),"")</f>
        <v/>
      </c>
      <c r="Z569" s="161">
        <f>IFERROR(ROUND(D569*(1-CHOOSE(MATCH(IF($E569="","Основний",$E569),{"Трафіковий","Основний","Маржинальний","Сезонний","Стратегічний"},0),Settings!$G$78,Settings!$G$80,Settings!$G$82,Settings!$G$84,Settings!$G$86))/6,2)*6,"")</f>
        <v/>
      </c>
      <c r="AA569" s="142">
        <f>IFERROR(CHOOSE(MATCH(IF($E569="","Основний",$E569),{"Трафіковий","Основний","Маржинальний","Сезонний","Стратегічний"},0),Settings!$G$78,Settings!$G$80,Settings!$G$82,Settings!$G$84,Settings!$G$86),"")</f>
        <v/>
      </c>
      <c r="AB569" s="148">
        <f>IFERROR((Z569*(1-Settings!$G$17)-C569)/(Z569*(1-Settings!$G$17)),"")</f>
        <v/>
      </c>
      <c r="AC569" s="149">
        <f>IFERROR(IF(Z569="","",IF(Z569&gt;=C569/(1-SKU_Base!AE569)/(1-Settings!$G$17),"OK",IF(Z569&gt;=C569/(1-SKU_Base!AL569)/(1-Settings!$G$17),"WARN","STOP"))),"")</f>
        <v/>
      </c>
      <c r="AD569" s="161">
        <f>IFERROR(ROUND(D569*(1-CHOOSE(MATCH(IF($E569="","Основний",$E569),{"Трафіковий","Основний","Маржинальний","Сезонний","Стратегічний"},0),Settings!$H$78,Settings!$H$80,Settings!$H$82,Settings!$H$84,Settings!$H$86))*(1-Settings!$H$68)/6,2)*6,"")</f>
        <v/>
      </c>
      <c r="AE569" s="142">
        <f>IFERROR(CHOOSE(MATCH(IF($E569="","Основний",$E569),{"Трафіковий","Основний","Маржинальний","Сезонний","Стратегічний"},0),Settings!$H$78,Settings!$H$80,Settings!$H$82,Settings!$H$84,Settings!$H$86)+(1-(CHOOSE(MATCH(IF($E569="","Основний",$E569),{"Трафіковий","Основний","Маржинальний","Сезонний","Стратегічний"},0),Settings!$H$78,Settings!$H$80,Settings!$H$82,Settings!$H$84,Settings!$H$86)))*Settings!$H$68,"")</f>
        <v/>
      </c>
      <c r="AF569" s="148">
        <f>IFERROR((AD569*(1-Settings!$H$17)-C569)/(AD569*(1-Settings!$H$17)),"")</f>
        <v/>
      </c>
      <c r="AG569" s="150">
        <f>IFERROR(IF(AD569="","",IF(AD569&gt;=C569/(1-SKU_Base!AF569)/(1-Settings!$H$17),"OK",IF(AD569&gt;=C569/(1-SKU_Base!AM569)/(1-Settings!$H$17),"WARN","STOP"))),"")</f>
        <v/>
      </c>
    </row>
    <row r="570" ht="17" customHeight="1" s="179">
      <c r="A570" s="139">
        <f>SKU_Base!B570</f>
        <v/>
      </c>
      <c r="B570" s="139">
        <f>SKU_Base!C570</f>
        <v/>
      </c>
      <c r="C570" s="140">
        <f>IFERROR(SKU_Base!I570,"")</f>
        <v/>
      </c>
      <c r="D570" s="163">
        <f>IFERROR(SKU_Base!T570,"")</f>
        <v/>
      </c>
      <c r="E570" s="141">
        <f>IFERROR(SKU_Base!$U570,"")</f>
        <v/>
      </c>
      <c r="F570" s="158">
        <f>IFERROR(ROUND(D570*(1-CHOOSE(MATCH(IF($E570="","Основний",$E570),{"Трафіковий","Основний","Маржинальний","Сезонний","Стратегічний"},0),Settings!$B$78,Settings!$B$80,Settings!$B$82,Settings!$B$84,Settings!$B$86))/6,2)*6,"")</f>
        <v/>
      </c>
      <c r="G570" s="142">
        <f>IFERROR(CHOOSE(MATCH(IF($E570="","Основний",$E570),{"Трафіковий","Основний","Маржинальний","Сезонний","Стратегічний"},0),Settings!$B$78,Settings!$B$80,Settings!$B$82,Settings!$B$84,Settings!$B$86),"")</f>
        <v/>
      </c>
      <c r="H570" s="143">
        <f>IFERROR((F570*(1-Settings!$B$17)-C570)/(F570*(1-Settings!$B$17)),"")</f>
        <v/>
      </c>
      <c r="I570" s="150">
        <f>IFERROR(IF(F570="","",IF(F570&gt;=C570/(1-SKU_Base!Z570)/(1-Settings!$B$17),"OK",IF(F570&gt;=C570/(1-SKU_Base!AG570)/(1-Settings!$B$17),"WARN","STOP"))),"")</f>
        <v/>
      </c>
      <c r="J570" s="158">
        <f>IFERROR(ROUND(D570*(1-CHOOSE(MATCH(IF($E570="","Основний",$E570),{"Трафіковий","Основний","Маржинальний","Сезонний","Стратегічний"},0),Settings!$C$78,Settings!$C$80,Settings!$C$82,Settings!$C$84,Settings!$C$86))/6,2)*6,"")</f>
        <v/>
      </c>
      <c r="K570" s="142">
        <f>IFERROR(CHOOSE(MATCH(IF($E570="","Основний",$E570),{"Трафіковий","Основний","Маржинальний","Сезонний","Стратегічний"},0),Settings!$C$78,Settings!$C$80,Settings!$C$82,Settings!$C$84,Settings!$C$86),"")</f>
        <v/>
      </c>
      <c r="L570" s="143">
        <f>IFERROR((J570*(1-Settings!$C$17)-C570)/(J570*(1-Settings!$C$17)),"")</f>
        <v/>
      </c>
      <c r="M570" s="149">
        <f>IFERROR(IF(J570="","",IF(J570&gt;=C570/(1-SKU_Base!AA570)/(1-Settings!$C$17),"OK",IF(J570&gt;=C570/(1-SKU_Base!AH570)/(1-Settings!$C$17),"WARN","STOP"))),"")</f>
        <v/>
      </c>
      <c r="N570" s="159">
        <f>IFERROR(ROUND(D570*(1-CHOOSE(MATCH(IF($E570="","Основний",$E570),{"Трафіковий","Основний","Маржинальний","Сезонний","Стратегічний"},0),Settings!$D$78,Settings!$D$80,Settings!$D$82,Settings!$D$84,Settings!$D$86))/6,2)*6,"")</f>
        <v/>
      </c>
      <c r="O570" s="142">
        <f>IFERROR(CHOOSE(MATCH(IF($E570="","Основний",$E570),{"Трафіковий","Основний","Маржинальний","Сезонний","Стратегічний"},0),Settings!$D$78,Settings!$D$80,Settings!$D$82,Settings!$D$84,Settings!$D$86),"")</f>
        <v/>
      </c>
      <c r="P570" s="143">
        <f>IFERROR((N570*(1-Settings!$D$17)-C570)/(N570*(1-Settings!$D$17)),"")</f>
        <v/>
      </c>
      <c r="Q570" s="149">
        <f>IFERROR(IF(N570="","",IF(N570&gt;=C570/(1-SKU_Base!AB570)/(1-Settings!$D$17),"OK",IF(N570&gt;=C570/(1-SKU_Base!AI570)/(1-Settings!$D$17),"WARN","STOP"))),"")</f>
        <v/>
      </c>
      <c r="R570" s="159">
        <f>IFERROR(ROUND(D570*(1-CHOOSE(MATCH(IF($E570="","Основний",$E570),{"Трафіковий","Основний","Маржинальний","Сезонний","Стратегічний"},0),Settings!$E$78,Settings!$E$80,Settings!$E$82,Settings!$E$84,Settings!$E$86))/6,2)*6,"")</f>
        <v/>
      </c>
      <c r="S570" s="142">
        <f>IFERROR(CHOOSE(MATCH(IF($E570="","Основний",$E570),{"Трафіковий","Основний","Маржинальний","Сезонний","Стратегічний"},0),Settings!$E$78,Settings!$E$80,Settings!$E$82,Settings!$E$84,Settings!$E$86),"")</f>
        <v/>
      </c>
      <c r="T570" s="143">
        <f>IFERROR((R570*(1-Settings!$E$17)-C570)/(R570*(1-Settings!$E$17)),"")</f>
        <v/>
      </c>
      <c r="U570" s="149">
        <f>IFERROR(IF(R570="","",IF(R570&gt;=C570/(1-SKU_Base!AC570)/(1-Settings!$E$17),"OK",IF(R570&gt;=C570/(1-SKU_Base!AJ570)/(1-Settings!$E$17),"WARN","STOP"))),"")</f>
        <v/>
      </c>
      <c r="V570" s="159">
        <f>IFERROR(ROUND(D570*(1-CHOOSE(MATCH(IF($E570="","Основний",$E570),{"Трафіковий","Основний","Маржинальний","Сезонний","Стратегічний"},0),Settings!$F$78,Settings!$F$80,Settings!$F$82,Settings!$F$84,Settings!$F$86))/6,2)*6,"")</f>
        <v/>
      </c>
      <c r="W570" s="142">
        <f>IFERROR(CHOOSE(MATCH(IF($E570="","Основний",$E570),{"Трафіковий","Основний","Маржинальний","Сезонний","Стратегічний"},0),Settings!$F$78,Settings!$F$80,Settings!$F$82,Settings!$F$84,Settings!$F$86),"")</f>
        <v/>
      </c>
      <c r="X570" s="143">
        <f>IFERROR((V570*(1-Settings!$F$17)-C570)/(V570*(1-Settings!$F$17)),"")</f>
        <v/>
      </c>
      <c r="Y570" s="149">
        <f>IFERROR(IF(V570="","",IF(V570&gt;=C570/(1-SKU_Base!AD570)/(1-Settings!$F$17),"OK",IF(V570&gt;=C570/(1-SKU_Base!AK570)/(1-Settings!$F$17),"WARN","STOP"))),"")</f>
        <v/>
      </c>
      <c r="Z570" s="159">
        <f>IFERROR(ROUND(D570*(1-CHOOSE(MATCH(IF($E570="","Основний",$E570),{"Трафіковий","Основний","Маржинальний","Сезонний","Стратегічний"},0),Settings!$G$78,Settings!$G$80,Settings!$G$82,Settings!$G$84,Settings!$G$86))/6,2)*6,"")</f>
        <v/>
      </c>
      <c r="AA570" s="142">
        <f>IFERROR(CHOOSE(MATCH(IF($E570="","Основний",$E570),{"Трафіковий","Основний","Маржинальний","Сезонний","Стратегічний"},0),Settings!$G$78,Settings!$G$80,Settings!$G$82,Settings!$G$84,Settings!$G$86),"")</f>
        <v/>
      </c>
      <c r="AB570" s="143">
        <f>IFERROR((Z570*(1-Settings!$G$17)-C570)/(Z570*(1-Settings!$G$17)),"")</f>
        <v/>
      </c>
      <c r="AC570" s="149">
        <f>IFERROR(IF(Z570="","",IF(Z570&gt;=C570/(1-SKU_Base!AE570)/(1-Settings!$G$17),"OK",IF(Z570&gt;=C570/(1-SKU_Base!AL570)/(1-Settings!$G$17),"WARN","STOP"))),"")</f>
        <v/>
      </c>
      <c r="AD570" s="159">
        <f>IFERROR(ROUND(D570*(1-CHOOSE(MATCH(IF($E570="","Основний",$E570),{"Трафіковий","Основний","Маржинальний","Сезонний","Стратегічний"},0),Settings!$H$78,Settings!$H$80,Settings!$H$82,Settings!$H$84,Settings!$H$86))*(1-Settings!$H$68)/6,2)*6,"")</f>
        <v/>
      </c>
      <c r="AE570" s="142">
        <f>IFERROR(CHOOSE(MATCH(IF($E570="","Основний",$E570),{"Трафіковий","Основний","Маржинальний","Сезонний","Стратегічний"},0),Settings!$H$78,Settings!$H$80,Settings!$H$82,Settings!$H$84,Settings!$H$86)+(1-(CHOOSE(MATCH(IF($E570="","Основний",$E570),{"Трафіковий","Основний","Маржинальний","Сезонний","Стратегічний"},0),Settings!$H$78,Settings!$H$80,Settings!$H$82,Settings!$H$84,Settings!$H$86)))*Settings!$H$68,"")</f>
        <v/>
      </c>
      <c r="AF570" s="143">
        <f>IFERROR((AD570*(1-Settings!$H$17)-C570)/(AD570*(1-Settings!$H$17)),"")</f>
        <v/>
      </c>
      <c r="AG570" s="150">
        <f>IFERROR(IF(AD570="","",IF(AD570&gt;=C570/(1-SKU_Base!AF570)/(1-Settings!$H$17),"OK",IF(AD570&gt;=C570/(1-SKU_Base!AM570)/(1-Settings!$H$17),"WARN","STOP"))),"")</f>
        <v/>
      </c>
    </row>
    <row r="571" ht="17" customHeight="1" s="179">
      <c r="A571" s="146">
        <f>SKU_Base!B571</f>
        <v/>
      </c>
      <c r="B571" s="146">
        <f>SKU_Base!C571</f>
        <v/>
      </c>
      <c r="C571" s="147">
        <f>IFERROR(SKU_Base!I571,"")</f>
        <v/>
      </c>
      <c r="D571" s="164">
        <f>IFERROR(SKU_Base!T571,"")</f>
        <v/>
      </c>
      <c r="E571" s="141">
        <f>IFERROR(SKU_Base!$U571,"")</f>
        <v/>
      </c>
      <c r="F571" s="160">
        <f>IFERROR(ROUND(D571*(1-CHOOSE(MATCH(IF($E571="","Основний",$E571),{"Трафіковий","Основний","Маржинальний","Сезонний","Стратегічний"},0),Settings!$B$78,Settings!$B$80,Settings!$B$82,Settings!$B$84,Settings!$B$86))/6,2)*6,"")</f>
        <v/>
      </c>
      <c r="G571" s="142">
        <f>IFERROR(CHOOSE(MATCH(IF($E571="","Основний",$E571),{"Трафіковий","Основний","Маржинальний","Сезонний","Стратегічний"},0),Settings!$B$78,Settings!$B$80,Settings!$B$82,Settings!$B$84,Settings!$B$86),"")</f>
        <v/>
      </c>
      <c r="H571" s="148">
        <f>IFERROR((F571*(1-Settings!$B$17)-C571)/(F571*(1-Settings!$B$17)),"")</f>
        <v/>
      </c>
      <c r="I571" s="150">
        <f>IFERROR(IF(F571="","",IF(F571&gt;=C571/(1-SKU_Base!Z571)/(1-Settings!$B$17),"OK",IF(F571&gt;=C571/(1-SKU_Base!AG571)/(1-Settings!$B$17),"WARN","STOP"))),"")</f>
        <v/>
      </c>
      <c r="J571" s="160">
        <f>IFERROR(ROUND(D571*(1-CHOOSE(MATCH(IF($E571="","Основний",$E571),{"Трафіковий","Основний","Маржинальний","Сезонний","Стратегічний"},0),Settings!$C$78,Settings!$C$80,Settings!$C$82,Settings!$C$84,Settings!$C$86))/6,2)*6,"")</f>
        <v/>
      </c>
      <c r="K571" s="142">
        <f>IFERROR(CHOOSE(MATCH(IF($E571="","Основний",$E571),{"Трафіковий","Основний","Маржинальний","Сезонний","Стратегічний"},0),Settings!$C$78,Settings!$C$80,Settings!$C$82,Settings!$C$84,Settings!$C$86),"")</f>
        <v/>
      </c>
      <c r="L571" s="148">
        <f>IFERROR((J571*(1-Settings!$C$17)-C571)/(J571*(1-Settings!$C$17)),"")</f>
        <v/>
      </c>
      <c r="M571" s="149">
        <f>IFERROR(IF(J571="","",IF(J571&gt;=C571/(1-SKU_Base!AA571)/(1-Settings!$C$17),"OK",IF(J571&gt;=C571/(1-SKU_Base!AH571)/(1-Settings!$C$17),"WARN","STOP"))),"")</f>
        <v/>
      </c>
      <c r="N571" s="161">
        <f>IFERROR(ROUND(D571*(1-CHOOSE(MATCH(IF($E571="","Основний",$E571),{"Трафіковий","Основний","Маржинальний","Сезонний","Стратегічний"},0),Settings!$D$78,Settings!$D$80,Settings!$D$82,Settings!$D$84,Settings!$D$86))/6,2)*6,"")</f>
        <v/>
      </c>
      <c r="O571" s="142">
        <f>IFERROR(CHOOSE(MATCH(IF($E571="","Основний",$E571),{"Трафіковий","Основний","Маржинальний","Сезонний","Стратегічний"},0),Settings!$D$78,Settings!$D$80,Settings!$D$82,Settings!$D$84,Settings!$D$86),"")</f>
        <v/>
      </c>
      <c r="P571" s="148">
        <f>IFERROR((N571*(1-Settings!$D$17)-C571)/(N571*(1-Settings!$D$17)),"")</f>
        <v/>
      </c>
      <c r="Q571" s="149">
        <f>IFERROR(IF(N571="","",IF(N571&gt;=C571/(1-SKU_Base!AB571)/(1-Settings!$D$17),"OK",IF(N571&gt;=C571/(1-SKU_Base!AI571)/(1-Settings!$D$17),"WARN","STOP"))),"")</f>
        <v/>
      </c>
      <c r="R571" s="161">
        <f>IFERROR(ROUND(D571*(1-CHOOSE(MATCH(IF($E571="","Основний",$E571),{"Трафіковий","Основний","Маржинальний","Сезонний","Стратегічний"},0),Settings!$E$78,Settings!$E$80,Settings!$E$82,Settings!$E$84,Settings!$E$86))/6,2)*6,"")</f>
        <v/>
      </c>
      <c r="S571" s="142">
        <f>IFERROR(CHOOSE(MATCH(IF($E571="","Основний",$E571),{"Трафіковий","Основний","Маржинальний","Сезонний","Стратегічний"},0),Settings!$E$78,Settings!$E$80,Settings!$E$82,Settings!$E$84,Settings!$E$86),"")</f>
        <v/>
      </c>
      <c r="T571" s="148">
        <f>IFERROR((R571*(1-Settings!$E$17)-C571)/(R571*(1-Settings!$E$17)),"")</f>
        <v/>
      </c>
      <c r="U571" s="149">
        <f>IFERROR(IF(R571="","",IF(R571&gt;=C571/(1-SKU_Base!AC571)/(1-Settings!$E$17),"OK",IF(R571&gt;=C571/(1-SKU_Base!AJ571)/(1-Settings!$E$17),"WARN","STOP"))),"")</f>
        <v/>
      </c>
      <c r="V571" s="161">
        <f>IFERROR(ROUND(D571*(1-CHOOSE(MATCH(IF($E571="","Основний",$E571),{"Трафіковий","Основний","Маржинальний","Сезонний","Стратегічний"},0),Settings!$F$78,Settings!$F$80,Settings!$F$82,Settings!$F$84,Settings!$F$86))/6,2)*6,"")</f>
        <v/>
      </c>
      <c r="W571" s="142">
        <f>IFERROR(CHOOSE(MATCH(IF($E571="","Основний",$E571),{"Трафіковий","Основний","Маржинальний","Сезонний","Стратегічний"},0),Settings!$F$78,Settings!$F$80,Settings!$F$82,Settings!$F$84,Settings!$F$86),"")</f>
        <v/>
      </c>
      <c r="X571" s="148">
        <f>IFERROR((V571*(1-Settings!$F$17)-C571)/(V571*(1-Settings!$F$17)),"")</f>
        <v/>
      </c>
      <c r="Y571" s="149">
        <f>IFERROR(IF(V571="","",IF(V571&gt;=C571/(1-SKU_Base!AD571)/(1-Settings!$F$17),"OK",IF(V571&gt;=C571/(1-SKU_Base!AK571)/(1-Settings!$F$17),"WARN","STOP"))),"")</f>
        <v/>
      </c>
      <c r="Z571" s="161">
        <f>IFERROR(ROUND(D571*(1-CHOOSE(MATCH(IF($E571="","Основний",$E571),{"Трафіковий","Основний","Маржинальний","Сезонний","Стратегічний"},0),Settings!$G$78,Settings!$G$80,Settings!$G$82,Settings!$G$84,Settings!$G$86))/6,2)*6,"")</f>
        <v/>
      </c>
      <c r="AA571" s="142">
        <f>IFERROR(CHOOSE(MATCH(IF($E571="","Основний",$E571),{"Трафіковий","Основний","Маржинальний","Сезонний","Стратегічний"},0),Settings!$G$78,Settings!$G$80,Settings!$G$82,Settings!$G$84,Settings!$G$86),"")</f>
        <v/>
      </c>
      <c r="AB571" s="148">
        <f>IFERROR((Z571*(1-Settings!$G$17)-C571)/(Z571*(1-Settings!$G$17)),"")</f>
        <v/>
      </c>
      <c r="AC571" s="149">
        <f>IFERROR(IF(Z571="","",IF(Z571&gt;=C571/(1-SKU_Base!AE571)/(1-Settings!$G$17),"OK",IF(Z571&gt;=C571/(1-SKU_Base!AL571)/(1-Settings!$G$17),"WARN","STOP"))),"")</f>
        <v/>
      </c>
      <c r="AD571" s="161">
        <f>IFERROR(ROUND(D571*(1-CHOOSE(MATCH(IF($E571="","Основний",$E571),{"Трафіковий","Основний","Маржинальний","Сезонний","Стратегічний"},0),Settings!$H$78,Settings!$H$80,Settings!$H$82,Settings!$H$84,Settings!$H$86))*(1-Settings!$H$68)/6,2)*6,"")</f>
        <v/>
      </c>
      <c r="AE571" s="142">
        <f>IFERROR(CHOOSE(MATCH(IF($E571="","Основний",$E571),{"Трафіковий","Основний","Маржинальний","Сезонний","Стратегічний"},0),Settings!$H$78,Settings!$H$80,Settings!$H$82,Settings!$H$84,Settings!$H$86)+(1-(CHOOSE(MATCH(IF($E571="","Основний",$E571),{"Трафіковий","Основний","Маржинальний","Сезонний","Стратегічний"},0),Settings!$H$78,Settings!$H$80,Settings!$H$82,Settings!$H$84,Settings!$H$86)))*Settings!$H$68,"")</f>
        <v/>
      </c>
      <c r="AF571" s="148">
        <f>IFERROR((AD571*(1-Settings!$H$17)-C571)/(AD571*(1-Settings!$H$17)),"")</f>
        <v/>
      </c>
      <c r="AG571" s="150">
        <f>IFERROR(IF(AD571="","",IF(AD571&gt;=C571/(1-SKU_Base!AF571)/(1-Settings!$H$17),"OK",IF(AD571&gt;=C571/(1-SKU_Base!AM571)/(1-Settings!$H$17),"WARN","STOP"))),"")</f>
        <v/>
      </c>
    </row>
    <row r="572" ht="17" customHeight="1" s="179">
      <c r="A572" s="139">
        <f>SKU_Base!B572</f>
        <v/>
      </c>
      <c r="B572" s="139">
        <f>SKU_Base!C572</f>
        <v/>
      </c>
      <c r="C572" s="140">
        <f>IFERROR(SKU_Base!I572,"")</f>
        <v/>
      </c>
      <c r="D572" s="163">
        <f>IFERROR(SKU_Base!T572,"")</f>
        <v/>
      </c>
      <c r="E572" s="141">
        <f>IFERROR(SKU_Base!$U572,"")</f>
        <v/>
      </c>
      <c r="F572" s="158">
        <f>IFERROR(ROUND(D572*(1-CHOOSE(MATCH(IF($E572="","Основний",$E572),{"Трафіковий","Основний","Маржинальний","Сезонний","Стратегічний"},0),Settings!$B$78,Settings!$B$80,Settings!$B$82,Settings!$B$84,Settings!$B$86))/6,2)*6,"")</f>
        <v/>
      </c>
      <c r="G572" s="142">
        <f>IFERROR(CHOOSE(MATCH(IF($E572="","Основний",$E572),{"Трафіковий","Основний","Маржинальний","Сезонний","Стратегічний"},0),Settings!$B$78,Settings!$B$80,Settings!$B$82,Settings!$B$84,Settings!$B$86),"")</f>
        <v/>
      </c>
      <c r="H572" s="143">
        <f>IFERROR((F572*(1-Settings!$B$17)-C572)/(F572*(1-Settings!$B$17)),"")</f>
        <v/>
      </c>
      <c r="I572" s="149">
        <f>IFERROR(IF(F572="","",IF(F572&gt;=C572/(1-SKU_Base!Z572)/(1-Settings!$B$17),"OK",IF(F572&gt;=C572/(1-SKU_Base!AG572)/(1-Settings!$B$17),"WARN","STOP"))),"")</f>
        <v/>
      </c>
      <c r="J572" s="158">
        <f>IFERROR(ROUND(D572*(1-CHOOSE(MATCH(IF($E572="","Основний",$E572),{"Трафіковий","Основний","Маржинальний","Сезонний","Стратегічний"},0),Settings!$C$78,Settings!$C$80,Settings!$C$82,Settings!$C$84,Settings!$C$86))/6,2)*6,"")</f>
        <v/>
      </c>
      <c r="K572" s="142">
        <f>IFERROR(CHOOSE(MATCH(IF($E572="","Основний",$E572),{"Трафіковий","Основний","Маржинальний","Сезонний","Стратегічний"},0),Settings!$C$78,Settings!$C$80,Settings!$C$82,Settings!$C$84,Settings!$C$86),"")</f>
        <v/>
      </c>
      <c r="L572" s="143">
        <f>IFERROR((J572*(1-Settings!$C$17)-C572)/(J572*(1-Settings!$C$17)),"")</f>
        <v/>
      </c>
      <c r="M572" s="149">
        <f>IFERROR(IF(J572="","",IF(J572&gt;=C572/(1-SKU_Base!AA572)/(1-Settings!$C$17),"OK",IF(J572&gt;=C572/(1-SKU_Base!AH572)/(1-Settings!$C$17),"WARN","STOP"))),"")</f>
        <v/>
      </c>
      <c r="N572" s="159">
        <f>IFERROR(ROUND(D572*(1-CHOOSE(MATCH(IF($E572="","Основний",$E572),{"Трафіковий","Основний","Маржинальний","Сезонний","Стратегічний"},0),Settings!$D$78,Settings!$D$80,Settings!$D$82,Settings!$D$84,Settings!$D$86))/6,2)*6,"")</f>
        <v/>
      </c>
      <c r="O572" s="142">
        <f>IFERROR(CHOOSE(MATCH(IF($E572="","Основний",$E572),{"Трафіковий","Основний","Маржинальний","Сезонний","Стратегічний"},0),Settings!$D$78,Settings!$D$80,Settings!$D$82,Settings!$D$84,Settings!$D$86),"")</f>
        <v/>
      </c>
      <c r="P572" s="143">
        <f>IFERROR((N572*(1-Settings!$D$17)-C572)/(N572*(1-Settings!$D$17)),"")</f>
        <v/>
      </c>
      <c r="Q572" s="149">
        <f>IFERROR(IF(N572="","",IF(N572&gt;=C572/(1-SKU_Base!AB572)/(1-Settings!$D$17),"OK",IF(N572&gt;=C572/(1-SKU_Base!AI572)/(1-Settings!$D$17),"WARN","STOP"))),"")</f>
        <v/>
      </c>
      <c r="R572" s="159">
        <f>IFERROR(ROUND(D572*(1-CHOOSE(MATCH(IF($E572="","Основний",$E572),{"Трафіковий","Основний","Маржинальний","Сезонний","Стратегічний"},0),Settings!$E$78,Settings!$E$80,Settings!$E$82,Settings!$E$84,Settings!$E$86))/6,2)*6,"")</f>
        <v/>
      </c>
      <c r="S572" s="142">
        <f>IFERROR(CHOOSE(MATCH(IF($E572="","Основний",$E572),{"Трафіковий","Основний","Маржинальний","Сезонний","Стратегічний"},0),Settings!$E$78,Settings!$E$80,Settings!$E$82,Settings!$E$84,Settings!$E$86),"")</f>
        <v/>
      </c>
      <c r="T572" s="143">
        <f>IFERROR((R572*(1-Settings!$E$17)-C572)/(R572*(1-Settings!$E$17)),"")</f>
        <v/>
      </c>
      <c r="U572" s="149">
        <f>IFERROR(IF(R572="","",IF(R572&gt;=C572/(1-SKU_Base!AC572)/(1-Settings!$E$17),"OK",IF(R572&gt;=C572/(1-SKU_Base!AJ572)/(1-Settings!$E$17),"WARN","STOP"))),"")</f>
        <v/>
      </c>
      <c r="V572" s="159">
        <f>IFERROR(ROUND(D572*(1-CHOOSE(MATCH(IF($E572="","Основний",$E572),{"Трафіковий","Основний","Маржинальний","Сезонний","Стратегічний"},0),Settings!$F$78,Settings!$F$80,Settings!$F$82,Settings!$F$84,Settings!$F$86))/6,2)*6,"")</f>
        <v/>
      </c>
      <c r="W572" s="142">
        <f>IFERROR(CHOOSE(MATCH(IF($E572="","Основний",$E572),{"Трафіковий","Основний","Маржинальний","Сезонний","Стратегічний"},0),Settings!$F$78,Settings!$F$80,Settings!$F$82,Settings!$F$84,Settings!$F$86),"")</f>
        <v/>
      </c>
      <c r="X572" s="143">
        <f>IFERROR((V572*(1-Settings!$F$17)-C572)/(V572*(1-Settings!$F$17)),"")</f>
        <v/>
      </c>
      <c r="Y572" s="149">
        <f>IFERROR(IF(V572="","",IF(V572&gt;=C572/(1-SKU_Base!AD572)/(1-Settings!$F$17),"OK",IF(V572&gt;=C572/(1-SKU_Base!AK572)/(1-Settings!$F$17),"WARN","STOP"))),"")</f>
        <v/>
      </c>
      <c r="Z572" s="159">
        <f>IFERROR(ROUND(D572*(1-CHOOSE(MATCH(IF($E572="","Основний",$E572),{"Трафіковий","Основний","Маржинальний","Сезонний","Стратегічний"},0),Settings!$G$78,Settings!$G$80,Settings!$G$82,Settings!$G$84,Settings!$G$86))/6,2)*6,"")</f>
        <v/>
      </c>
      <c r="AA572" s="142">
        <f>IFERROR(CHOOSE(MATCH(IF($E572="","Основний",$E572),{"Трафіковий","Основний","Маржинальний","Сезонний","Стратегічний"},0),Settings!$G$78,Settings!$G$80,Settings!$G$82,Settings!$G$84,Settings!$G$86),"")</f>
        <v/>
      </c>
      <c r="AB572" s="143">
        <f>IFERROR((Z572*(1-Settings!$G$17)-C572)/(Z572*(1-Settings!$G$17)),"")</f>
        <v/>
      </c>
      <c r="AC572" s="149">
        <f>IFERROR(IF(Z572="","",IF(Z572&gt;=C572/(1-SKU_Base!AE572)/(1-Settings!$G$17),"OK",IF(Z572&gt;=C572/(1-SKU_Base!AL572)/(1-Settings!$G$17),"WARN","STOP"))),"")</f>
        <v/>
      </c>
      <c r="AD572" s="159">
        <f>IFERROR(ROUND(D572*(1-CHOOSE(MATCH(IF($E572="","Основний",$E572),{"Трафіковий","Основний","Маржинальний","Сезонний","Стратегічний"},0),Settings!$H$78,Settings!$H$80,Settings!$H$82,Settings!$H$84,Settings!$H$86))*(1-Settings!$H$68)/6,2)*6,"")</f>
        <v/>
      </c>
      <c r="AE572" s="142">
        <f>IFERROR(CHOOSE(MATCH(IF($E572="","Основний",$E572),{"Трафіковий","Основний","Маржинальний","Сезонний","Стратегічний"},0),Settings!$H$78,Settings!$H$80,Settings!$H$82,Settings!$H$84,Settings!$H$86)+(1-(CHOOSE(MATCH(IF($E572="","Основний",$E572),{"Трафіковий","Основний","Маржинальний","Сезонний","Стратегічний"},0),Settings!$H$78,Settings!$H$80,Settings!$H$82,Settings!$H$84,Settings!$H$86)))*Settings!$H$68,"")</f>
        <v/>
      </c>
      <c r="AF572" s="143">
        <f>IFERROR((AD572*(1-Settings!$H$17)-C572)/(AD572*(1-Settings!$H$17)),"")</f>
        <v/>
      </c>
      <c r="AG572" s="150">
        <f>IFERROR(IF(AD572="","",IF(AD572&gt;=C572/(1-SKU_Base!AF572)/(1-Settings!$H$17),"OK",IF(AD572&gt;=C572/(1-SKU_Base!AM572)/(1-Settings!$H$17),"WARN","STOP"))),"")</f>
        <v/>
      </c>
    </row>
    <row r="573" ht="17" customHeight="1" s="179">
      <c r="A573" s="146">
        <f>SKU_Base!B573</f>
        <v/>
      </c>
      <c r="B573" s="146">
        <f>SKU_Base!C573</f>
        <v/>
      </c>
      <c r="C573" s="147">
        <f>IFERROR(SKU_Base!I573,"")</f>
        <v/>
      </c>
      <c r="D573" s="164">
        <f>IFERROR(SKU_Base!T573,"")</f>
        <v/>
      </c>
      <c r="E573" s="141">
        <f>IFERROR(SKU_Base!$U573,"")</f>
        <v/>
      </c>
      <c r="F573" s="160">
        <f>IFERROR(ROUND(D573*(1-CHOOSE(MATCH(IF($E573="","Основний",$E573),{"Трафіковий","Основний","Маржинальний","Сезонний","Стратегічний"},0),Settings!$B$78,Settings!$B$80,Settings!$B$82,Settings!$B$84,Settings!$B$86))/6,2)*6,"")</f>
        <v/>
      </c>
      <c r="G573" s="142">
        <f>IFERROR(CHOOSE(MATCH(IF($E573="","Основний",$E573),{"Трафіковий","Основний","Маржинальний","Сезонний","Стратегічний"},0),Settings!$B$78,Settings!$B$80,Settings!$B$82,Settings!$B$84,Settings!$B$86),"")</f>
        <v/>
      </c>
      <c r="H573" s="148">
        <f>IFERROR((F573*(1-Settings!$B$17)-C573)/(F573*(1-Settings!$B$17)),"")</f>
        <v/>
      </c>
      <c r="I573" s="149">
        <f>IFERROR(IF(F573="","",IF(F573&gt;=C573/(1-SKU_Base!Z573)/(1-Settings!$B$17),"OK",IF(F573&gt;=C573/(1-SKU_Base!AG573)/(1-Settings!$B$17),"WARN","STOP"))),"")</f>
        <v/>
      </c>
      <c r="J573" s="160">
        <f>IFERROR(ROUND(D573*(1-CHOOSE(MATCH(IF($E573="","Основний",$E573),{"Трафіковий","Основний","Маржинальний","Сезонний","Стратегічний"},0),Settings!$C$78,Settings!$C$80,Settings!$C$82,Settings!$C$84,Settings!$C$86))/6,2)*6,"")</f>
        <v/>
      </c>
      <c r="K573" s="142">
        <f>IFERROR(CHOOSE(MATCH(IF($E573="","Основний",$E573),{"Трафіковий","Основний","Маржинальний","Сезонний","Стратегічний"},0),Settings!$C$78,Settings!$C$80,Settings!$C$82,Settings!$C$84,Settings!$C$86),"")</f>
        <v/>
      </c>
      <c r="L573" s="148">
        <f>IFERROR((J573*(1-Settings!$C$17)-C573)/(J573*(1-Settings!$C$17)),"")</f>
        <v/>
      </c>
      <c r="M573" s="149">
        <f>IFERROR(IF(J573="","",IF(J573&gt;=C573/(1-SKU_Base!AA573)/(1-Settings!$C$17),"OK",IF(J573&gt;=C573/(1-SKU_Base!AH573)/(1-Settings!$C$17),"WARN","STOP"))),"")</f>
        <v/>
      </c>
      <c r="N573" s="161">
        <f>IFERROR(ROUND(D573*(1-CHOOSE(MATCH(IF($E573="","Основний",$E573),{"Трафіковий","Основний","Маржинальний","Сезонний","Стратегічний"},0),Settings!$D$78,Settings!$D$80,Settings!$D$82,Settings!$D$84,Settings!$D$86))/6,2)*6,"")</f>
        <v/>
      </c>
      <c r="O573" s="142">
        <f>IFERROR(CHOOSE(MATCH(IF($E573="","Основний",$E573),{"Трафіковий","Основний","Маржинальний","Сезонний","Стратегічний"},0),Settings!$D$78,Settings!$D$80,Settings!$D$82,Settings!$D$84,Settings!$D$86),"")</f>
        <v/>
      </c>
      <c r="P573" s="148">
        <f>IFERROR((N573*(1-Settings!$D$17)-C573)/(N573*(1-Settings!$D$17)),"")</f>
        <v/>
      </c>
      <c r="Q573" s="149">
        <f>IFERROR(IF(N573="","",IF(N573&gt;=C573/(1-SKU_Base!AB573)/(1-Settings!$D$17),"OK",IF(N573&gt;=C573/(1-SKU_Base!AI573)/(1-Settings!$D$17),"WARN","STOP"))),"")</f>
        <v/>
      </c>
      <c r="R573" s="161">
        <f>IFERROR(ROUND(D573*(1-CHOOSE(MATCH(IF($E573="","Основний",$E573),{"Трафіковий","Основний","Маржинальний","Сезонний","Стратегічний"},0),Settings!$E$78,Settings!$E$80,Settings!$E$82,Settings!$E$84,Settings!$E$86))/6,2)*6,"")</f>
        <v/>
      </c>
      <c r="S573" s="142">
        <f>IFERROR(CHOOSE(MATCH(IF($E573="","Основний",$E573),{"Трафіковий","Основний","Маржинальний","Сезонний","Стратегічний"},0),Settings!$E$78,Settings!$E$80,Settings!$E$82,Settings!$E$84,Settings!$E$86),"")</f>
        <v/>
      </c>
      <c r="T573" s="148">
        <f>IFERROR((R573*(1-Settings!$E$17)-C573)/(R573*(1-Settings!$E$17)),"")</f>
        <v/>
      </c>
      <c r="U573" s="149">
        <f>IFERROR(IF(R573="","",IF(R573&gt;=C573/(1-SKU_Base!AC573)/(1-Settings!$E$17),"OK",IF(R573&gt;=C573/(1-SKU_Base!AJ573)/(1-Settings!$E$17),"WARN","STOP"))),"")</f>
        <v/>
      </c>
      <c r="V573" s="161">
        <f>IFERROR(ROUND(D573*(1-CHOOSE(MATCH(IF($E573="","Основний",$E573),{"Трафіковий","Основний","Маржинальний","Сезонний","Стратегічний"},0),Settings!$F$78,Settings!$F$80,Settings!$F$82,Settings!$F$84,Settings!$F$86))/6,2)*6,"")</f>
        <v/>
      </c>
      <c r="W573" s="142">
        <f>IFERROR(CHOOSE(MATCH(IF($E573="","Основний",$E573),{"Трафіковий","Основний","Маржинальний","Сезонний","Стратегічний"},0),Settings!$F$78,Settings!$F$80,Settings!$F$82,Settings!$F$84,Settings!$F$86),"")</f>
        <v/>
      </c>
      <c r="X573" s="148">
        <f>IFERROR((V573*(1-Settings!$F$17)-C573)/(V573*(1-Settings!$F$17)),"")</f>
        <v/>
      </c>
      <c r="Y573" s="149">
        <f>IFERROR(IF(V573="","",IF(V573&gt;=C573/(1-SKU_Base!AD573)/(1-Settings!$F$17),"OK",IF(V573&gt;=C573/(1-SKU_Base!AK573)/(1-Settings!$F$17),"WARN","STOP"))),"")</f>
        <v/>
      </c>
      <c r="Z573" s="161">
        <f>IFERROR(ROUND(D573*(1-CHOOSE(MATCH(IF($E573="","Основний",$E573),{"Трафіковий","Основний","Маржинальний","Сезонний","Стратегічний"},0),Settings!$G$78,Settings!$G$80,Settings!$G$82,Settings!$G$84,Settings!$G$86))/6,2)*6,"")</f>
        <v/>
      </c>
      <c r="AA573" s="142">
        <f>IFERROR(CHOOSE(MATCH(IF($E573="","Основний",$E573),{"Трафіковий","Основний","Маржинальний","Сезонний","Стратегічний"},0),Settings!$G$78,Settings!$G$80,Settings!$G$82,Settings!$G$84,Settings!$G$86),"")</f>
        <v/>
      </c>
      <c r="AB573" s="148">
        <f>IFERROR((Z573*(1-Settings!$G$17)-C573)/(Z573*(1-Settings!$G$17)),"")</f>
        <v/>
      </c>
      <c r="AC573" s="149">
        <f>IFERROR(IF(Z573="","",IF(Z573&gt;=C573/(1-SKU_Base!AE573)/(1-Settings!$G$17),"OK",IF(Z573&gt;=C573/(1-SKU_Base!AL573)/(1-Settings!$G$17),"WARN","STOP"))),"")</f>
        <v/>
      </c>
      <c r="AD573" s="161">
        <f>IFERROR(ROUND(D573*(1-CHOOSE(MATCH(IF($E573="","Основний",$E573),{"Трафіковий","Основний","Маржинальний","Сезонний","Стратегічний"},0),Settings!$H$78,Settings!$H$80,Settings!$H$82,Settings!$H$84,Settings!$H$86))*(1-Settings!$H$68)/6,2)*6,"")</f>
        <v/>
      </c>
      <c r="AE573" s="142">
        <f>IFERROR(CHOOSE(MATCH(IF($E573="","Основний",$E573),{"Трафіковий","Основний","Маржинальний","Сезонний","Стратегічний"},0),Settings!$H$78,Settings!$H$80,Settings!$H$82,Settings!$H$84,Settings!$H$86)+(1-(CHOOSE(MATCH(IF($E573="","Основний",$E573),{"Трафіковий","Основний","Маржинальний","Сезонний","Стратегічний"},0),Settings!$H$78,Settings!$H$80,Settings!$H$82,Settings!$H$84,Settings!$H$86)))*Settings!$H$68,"")</f>
        <v/>
      </c>
      <c r="AF573" s="148">
        <f>IFERROR((AD573*(1-Settings!$H$17)-C573)/(AD573*(1-Settings!$H$17)),"")</f>
        <v/>
      </c>
      <c r="AG573" s="150">
        <f>IFERROR(IF(AD573="","",IF(AD573&gt;=C573/(1-SKU_Base!AF573)/(1-Settings!$H$17),"OK",IF(AD573&gt;=C573/(1-SKU_Base!AM573)/(1-Settings!$H$17),"WARN","STOP"))),"")</f>
        <v/>
      </c>
    </row>
    <row r="574" ht="17" customHeight="1" s="179">
      <c r="A574" s="139">
        <f>SKU_Base!B574</f>
        <v/>
      </c>
      <c r="B574" s="139">
        <f>SKU_Base!C574</f>
        <v/>
      </c>
      <c r="C574" s="140">
        <f>IFERROR(SKU_Base!I574,"")</f>
        <v/>
      </c>
      <c r="D574" s="163">
        <f>IFERROR(SKU_Base!T574,"")</f>
        <v/>
      </c>
      <c r="E574" s="141">
        <f>IFERROR(SKU_Base!$U574,"")</f>
        <v/>
      </c>
      <c r="F574" s="158">
        <f>IFERROR(ROUND(D574*(1-CHOOSE(MATCH(IF($E574="","Основний",$E574),{"Трафіковий","Основний","Маржинальний","Сезонний","Стратегічний"},0),Settings!$B$78,Settings!$B$80,Settings!$B$82,Settings!$B$84,Settings!$B$86))/6,2)*6,"")</f>
        <v/>
      </c>
      <c r="G574" s="142">
        <f>IFERROR(CHOOSE(MATCH(IF($E574="","Основний",$E574),{"Трафіковий","Основний","Маржинальний","Сезонний","Стратегічний"},0),Settings!$B$78,Settings!$B$80,Settings!$B$82,Settings!$B$84,Settings!$B$86),"")</f>
        <v/>
      </c>
      <c r="H574" s="143">
        <f>IFERROR((F574*(1-Settings!$B$17)-C574)/(F574*(1-Settings!$B$17)),"")</f>
        <v/>
      </c>
      <c r="I574" s="149">
        <f>IFERROR(IF(F574="","",IF(F574&gt;=C574/(1-SKU_Base!Z574)/(1-Settings!$B$17),"OK",IF(F574&gt;=C574/(1-SKU_Base!AG574)/(1-Settings!$B$17),"WARN","STOP"))),"")</f>
        <v/>
      </c>
      <c r="J574" s="158">
        <f>IFERROR(ROUND(D574*(1-CHOOSE(MATCH(IF($E574="","Основний",$E574),{"Трафіковий","Основний","Маржинальний","Сезонний","Стратегічний"},0),Settings!$C$78,Settings!$C$80,Settings!$C$82,Settings!$C$84,Settings!$C$86))/6,2)*6,"")</f>
        <v/>
      </c>
      <c r="K574" s="142">
        <f>IFERROR(CHOOSE(MATCH(IF($E574="","Основний",$E574),{"Трафіковий","Основний","Маржинальний","Сезонний","Стратегічний"},0),Settings!$C$78,Settings!$C$80,Settings!$C$82,Settings!$C$84,Settings!$C$86),"")</f>
        <v/>
      </c>
      <c r="L574" s="143">
        <f>IFERROR((J574*(1-Settings!$C$17)-C574)/(J574*(1-Settings!$C$17)),"")</f>
        <v/>
      </c>
      <c r="M574" s="149">
        <f>IFERROR(IF(J574="","",IF(J574&gt;=C574/(1-SKU_Base!AA574)/(1-Settings!$C$17),"OK",IF(J574&gt;=C574/(1-SKU_Base!AH574)/(1-Settings!$C$17),"WARN","STOP"))),"")</f>
        <v/>
      </c>
      <c r="N574" s="159">
        <f>IFERROR(ROUND(D574*(1-CHOOSE(MATCH(IF($E574="","Основний",$E574),{"Трафіковий","Основний","Маржинальний","Сезонний","Стратегічний"},0),Settings!$D$78,Settings!$D$80,Settings!$D$82,Settings!$D$84,Settings!$D$86))/6,2)*6,"")</f>
        <v/>
      </c>
      <c r="O574" s="142">
        <f>IFERROR(CHOOSE(MATCH(IF($E574="","Основний",$E574),{"Трафіковий","Основний","Маржинальний","Сезонний","Стратегічний"},0),Settings!$D$78,Settings!$D$80,Settings!$D$82,Settings!$D$84,Settings!$D$86),"")</f>
        <v/>
      </c>
      <c r="P574" s="143">
        <f>IFERROR((N574*(1-Settings!$D$17)-C574)/(N574*(1-Settings!$D$17)),"")</f>
        <v/>
      </c>
      <c r="Q574" s="149">
        <f>IFERROR(IF(N574="","",IF(N574&gt;=C574/(1-SKU_Base!AB574)/(1-Settings!$D$17),"OK",IF(N574&gt;=C574/(1-SKU_Base!AI574)/(1-Settings!$D$17),"WARN","STOP"))),"")</f>
        <v/>
      </c>
      <c r="R574" s="159">
        <f>IFERROR(ROUND(D574*(1-CHOOSE(MATCH(IF($E574="","Основний",$E574),{"Трафіковий","Основний","Маржинальний","Сезонний","Стратегічний"},0),Settings!$E$78,Settings!$E$80,Settings!$E$82,Settings!$E$84,Settings!$E$86))/6,2)*6,"")</f>
        <v/>
      </c>
      <c r="S574" s="142">
        <f>IFERROR(CHOOSE(MATCH(IF($E574="","Основний",$E574),{"Трафіковий","Основний","Маржинальний","Сезонний","Стратегічний"},0),Settings!$E$78,Settings!$E$80,Settings!$E$82,Settings!$E$84,Settings!$E$86),"")</f>
        <v/>
      </c>
      <c r="T574" s="143">
        <f>IFERROR((R574*(1-Settings!$E$17)-C574)/(R574*(1-Settings!$E$17)),"")</f>
        <v/>
      </c>
      <c r="U574" s="149">
        <f>IFERROR(IF(R574="","",IF(R574&gt;=C574/(1-SKU_Base!AC574)/(1-Settings!$E$17),"OK",IF(R574&gt;=C574/(1-SKU_Base!AJ574)/(1-Settings!$E$17),"WARN","STOP"))),"")</f>
        <v/>
      </c>
      <c r="V574" s="159">
        <f>IFERROR(ROUND(D574*(1-CHOOSE(MATCH(IF($E574="","Основний",$E574),{"Трафіковий","Основний","Маржинальний","Сезонний","Стратегічний"},0),Settings!$F$78,Settings!$F$80,Settings!$F$82,Settings!$F$84,Settings!$F$86))/6,2)*6,"")</f>
        <v/>
      </c>
      <c r="W574" s="142">
        <f>IFERROR(CHOOSE(MATCH(IF($E574="","Основний",$E574),{"Трафіковий","Основний","Маржинальний","Сезонний","Стратегічний"},0),Settings!$F$78,Settings!$F$80,Settings!$F$82,Settings!$F$84,Settings!$F$86),"")</f>
        <v/>
      </c>
      <c r="X574" s="143">
        <f>IFERROR((V574*(1-Settings!$F$17)-C574)/(V574*(1-Settings!$F$17)),"")</f>
        <v/>
      </c>
      <c r="Y574" s="149">
        <f>IFERROR(IF(V574="","",IF(V574&gt;=C574/(1-SKU_Base!AD574)/(1-Settings!$F$17),"OK",IF(V574&gt;=C574/(1-SKU_Base!AK574)/(1-Settings!$F$17),"WARN","STOP"))),"")</f>
        <v/>
      </c>
      <c r="Z574" s="159">
        <f>IFERROR(ROUND(D574*(1-CHOOSE(MATCH(IF($E574="","Основний",$E574),{"Трафіковий","Основний","Маржинальний","Сезонний","Стратегічний"},0),Settings!$G$78,Settings!$G$80,Settings!$G$82,Settings!$G$84,Settings!$G$86))/6,2)*6,"")</f>
        <v/>
      </c>
      <c r="AA574" s="142">
        <f>IFERROR(CHOOSE(MATCH(IF($E574="","Основний",$E574),{"Трафіковий","Основний","Маржинальний","Сезонний","Стратегічний"},0),Settings!$G$78,Settings!$G$80,Settings!$G$82,Settings!$G$84,Settings!$G$86),"")</f>
        <v/>
      </c>
      <c r="AB574" s="143">
        <f>IFERROR((Z574*(1-Settings!$G$17)-C574)/(Z574*(1-Settings!$G$17)),"")</f>
        <v/>
      </c>
      <c r="AC574" s="149">
        <f>IFERROR(IF(Z574="","",IF(Z574&gt;=C574/(1-SKU_Base!AE574)/(1-Settings!$G$17),"OK",IF(Z574&gt;=C574/(1-SKU_Base!AL574)/(1-Settings!$G$17),"WARN","STOP"))),"")</f>
        <v/>
      </c>
      <c r="AD574" s="159">
        <f>IFERROR(ROUND(D574*(1-CHOOSE(MATCH(IF($E574="","Основний",$E574),{"Трафіковий","Основний","Маржинальний","Сезонний","Стратегічний"},0),Settings!$H$78,Settings!$H$80,Settings!$H$82,Settings!$H$84,Settings!$H$86))*(1-Settings!$H$68)/6,2)*6,"")</f>
        <v/>
      </c>
      <c r="AE574" s="142">
        <f>IFERROR(CHOOSE(MATCH(IF($E574="","Основний",$E574),{"Трафіковий","Основний","Маржинальний","Сезонний","Стратегічний"},0),Settings!$H$78,Settings!$H$80,Settings!$H$82,Settings!$H$84,Settings!$H$86)+(1-(CHOOSE(MATCH(IF($E574="","Основний",$E574),{"Трафіковий","Основний","Маржинальний","Сезонний","Стратегічний"},0),Settings!$H$78,Settings!$H$80,Settings!$H$82,Settings!$H$84,Settings!$H$86)))*Settings!$H$68,"")</f>
        <v/>
      </c>
      <c r="AF574" s="143">
        <f>IFERROR((AD574*(1-Settings!$H$17)-C574)/(AD574*(1-Settings!$H$17)),"")</f>
        <v/>
      </c>
      <c r="AG574" s="150">
        <f>IFERROR(IF(AD574="","",IF(AD574&gt;=C574/(1-SKU_Base!AF574)/(1-Settings!$H$17),"OK",IF(AD574&gt;=C574/(1-SKU_Base!AM574)/(1-Settings!$H$17),"WARN","STOP"))),"")</f>
        <v/>
      </c>
    </row>
    <row r="575" ht="17" customHeight="1" s="179">
      <c r="A575" s="146">
        <f>SKU_Base!B575</f>
        <v/>
      </c>
      <c r="B575" s="146">
        <f>SKU_Base!C575</f>
        <v/>
      </c>
      <c r="C575" s="147">
        <f>IFERROR(SKU_Base!I575,"")</f>
        <v/>
      </c>
      <c r="D575" s="164">
        <f>IFERROR(SKU_Base!T575,"")</f>
        <v/>
      </c>
      <c r="E575" s="141">
        <f>IFERROR(SKU_Base!$U575,"")</f>
        <v/>
      </c>
      <c r="F575" s="160">
        <f>IFERROR(ROUND(D575*(1-CHOOSE(MATCH(IF($E575="","Основний",$E575),{"Трафіковий","Основний","Маржинальний","Сезонний","Стратегічний"},0),Settings!$B$78,Settings!$B$80,Settings!$B$82,Settings!$B$84,Settings!$B$86))/6,2)*6,"")</f>
        <v/>
      </c>
      <c r="G575" s="142">
        <f>IFERROR(CHOOSE(MATCH(IF($E575="","Основний",$E575),{"Трафіковий","Основний","Маржинальний","Сезонний","Стратегічний"},0),Settings!$B$78,Settings!$B$80,Settings!$B$82,Settings!$B$84,Settings!$B$86),"")</f>
        <v/>
      </c>
      <c r="H575" s="148">
        <f>IFERROR((F575*(1-Settings!$B$17)-C575)/(F575*(1-Settings!$B$17)),"")</f>
        <v/>
      </c>
      <c r="I575" s="150">
        <f>IFERROR(IF(F575="","",IF(F575&gt;=C575/(1-SKU_Base!Z575)/(1-Settings!$B$17),"OK",IF(F575&gt;=C575/(1-SKU_Base!AG575)/(1-Settings!$B$17),"WARN","STOP"))),"")</f>
        <v/>
      </c>
      <c r="J575" s="160">
        <f>IFERROR(ROUND(D575*(1-CHOOSE(MATCH(IF($E575="","Основний",$E575),{"Трафіковий","Основний","Маржинальний","Сезонний","Стратегічний"},0),Settings!$C$78,Settings!$C$80,Settings!$C$82,Settings!$C$84,Settings!$C$86))/6,2)*6,"")</f>
        <v/>
      </c>
      <c r="K575" s="142">
        <f>IFERROR(CHOOSE(MATCH(IF($E575="","Основний",$E575),{"Трафіковий","Основний","Маржинальний","Сезонний","Стратегічний"},0),Settings!$C$78,Settings!$C$80,Settings!$C$82,Settings!$C$84,Settings!$C$86),"")</f>
        <v/>
      </c>
      <c r="L575" s="148">
        <f>IFERROR((J575*(1-Settings!$C$17)-C575)/(J575*(1-Settings!$C$17)),"")</f>
        <v/>
      </c>
      <c r="M575" s="149">
        <f>IFERROR(IF(J575="","",IF(J575&gt;=C575/(1-SKU_Base!AA575)/(1-Settings!$C$17),"OK",IF(J575&gt;=C575/(1-SKU_Base!AH575)/(1-Settings!$C$17),"WARN","STOP"))),"")</f>
        <v/>
      </c>
      <c r="N575" s="161">
        <f>IFERROR(ROUND(D575*(1-CHOOSE(MATCH(IF($E575="","Основний",$E575),{"Трафіковий","Основний","Маржинальний","Сезонний","Стратегічний"},0),Settings!$D$78,Settings!$D$80,Settings!$D$82,Settings!$D$84,Settings!$D$86))/6,2)*6,"")</f>
        <v/>
      </c>
      <c r="O575" s="142">
        <f>IFERROR(CHOOSE(MATCH(IF($E575="","Основний",$E575),{"Трафіковий","Основний","Маржинальний","Сезонний","Стратегічний"},0),Settings!$D$78,Settings!$D$80,Settings!$D$82,Settings!$D$84,Settings!$D$86),"")</f>
        <v/>
      </c>
      <c r="P575" s="148">
        <f>IFERROR((N575*(1-Settings!$D$17)-C575)/(N575*(1-Settings!$D$17)),"")</f>
        <v/>
      </c>
      <c r="Q575" s="149">
        <f>IFERROR(IF(N575="","",IF(N575&gt;=C575/(1-SKU_Base!AB575)/(1-Settings!$D$17),"OK",IF(N575&gt;=C575/(1-SKU_Base!AI575)/(1-Settings!$D$17),"WARN","STOP"))),"")</f>
        <v/>
      </c>
      <c r="R575" s="161">
        <f>IFERROR(ROUND(D575*(1-CHOOSE(MATCH(IF($E575="","Основний",$E575),{"Трафіковий","Основний","Маржинальний","Сезонний","Стратегічний"},0),Settings!$E$78,Settings!$E$80,Settings!$E$82,Settings!$E$84,Settings!$E$86))/6,2)*6,"")</f>
        <v/>
      </c>
      <c r="S575" s="142">
        <f>IFERROR(CHOOSE(MATCH(IF($E575="","Основний",$E575),{"Трафіковий","Основний","Маржинальний","Сезонний","Стратегічний"},0),Settings!$E$78,Settings!$E$80,Settings!$E$82,Settings!$E$84,Settings!$E$86),"")</f>
        <v/>
      </c>
      <c r="T575" s="148">
        <f>IFERROR((R575*(1-Settings!$E$17)-C575)/(R575*(1-Settings!$E$17)),"")</f>
        <v/>
      </c>
      <c r="U575" s="149">
        <f>IFERROR(IF(R575="","",IF(R575&gt;=C575/(1-SKU_Base!AC575)/(1-Settings!$E$17),"OK",IF(R575&gt;=C575/(1-SKU_Base!AJ575)/(1-Settings!$E$17),"WARN","STOP"))),"")</f>
        <v/>
      </c>
      <c r="V575" s="161">
        <f>IFERROR(ROUND(D575*(1-CHOOSE(MATCH(IF($E575="","Основний",$E575),{"Трафіковий","Основний","Маржинальний","Сезонний","Стратегічний"},0),Settings!$F$78,Settings!$F$80,Settings!$F$82,Settings!$F$84,Settings!$F$86))/6,2)*6,"")</f>
        <v/>
      </c>
      <c r="W575" s="142">
        <f>IFERROR(CHOOSE(MATCH(IF($E575="","Основний",$E575),{"Трафіковий","Основний","Маржинальний","Сезонний","Стратегічний"},0),Settings!$F$78,Settings!$F$80,Settings!$F$82,Settings!$F$84,Settings!$F$86),"")</f>
        <v/>
      </c>
      <c r="X575" s="148">
        <f>IFERROR((V575*(1-Settings!$F$17)-C575)/(V575*(1-Settings!$F$17)),"")</f>
        <v/>
      </c>
      <c r="Y575" s="149">
        <f>IFERROR(IF(V575="","",IF(V575&gt;=C575/(1-SKU_Base!AD575)/(1-Settings!$F$17),"OK",IF(V575&gt;=C575/(1-SKU_Base!AK575)/(1-Settings!$F$17),"WARN","STOP"))),"")</f>
        <v/>
      </c>
      <c r="Z575" s="161">
        <f>IFERROR(ROUND(D575*(1-CHOOSE(MATCH(IF($E575="","Основний",$E575),{"Трафіковий","Основний","Маржинальний","Сезонний","Стратегічний"},0),Settings!$G$78,Settings!$G$80,Settings!$G$82,Settings!$G$84,Settings!$G$86))/6,2)*6,"")</f>
        <v/>
      </c>
      <c r="AA575" s="142">
        <f>IFERROR(CHOOSE(MATCH(IF($E575="","Основний",$E575),{"Трафіковий","Основний","Маржинальний","Сезонний","Стратегічний"},0),Settings!$G$78,Settings!$G$80,Settings!$G$82,Settings!$G$84,Settings!$G$86),"")</f>
        <v/>
      </c>
      <c r="AB575" s="148">
        <f>IFERROR((Z575*(1-Settings!$G$17)-C575)/(Z575*(1-Settings!$G$17)),"")</f>
        <v/>
      </c>
      <c r="AC575" s="149">
        <f>IFERROR(IF(Z575="","",IF(Z575&gt;=C575/(1-SKU_Base!AE575)/(1-Settings!$G$17),"OK",IF(Z575&gt;=C575/(1-SKU_Base!AL575)/(1-Settings!$G$17),"WARN","STOP"))),"")</f>
        <v/>
      </c>
      <c r="AD575" s="161">
        <f>IFERROR(ROUND(D575*(1-CHOOSE(MATCH(IF($E575="","Основний",$E575),{"Трафіковий","Основний","Маржинальний","Сезонний","Стратегічний"},0),Settings!$H$78,Settings!$H$80,Settings!$H$82,Settings!$H$84,Settings!$H$86))*(1-Settings!$H$68)/6,2)*6,"")</f>
        <v/>
      </c>
      <c r="AE575" s="142">
        <f>IFERROR(CHOOSE(MATCH(IF($E575="","Основний",$E575),{"Трафіковий","Основний","Маржинальний","Сезонний","Стратегічний"},0),Settings!$H$78,Settings!$H$80,Settings!$H$82,Settings!$H$84,Settings!$H$86)+(1-(CHOOSE(MATCH(IF($E575="","Основний",$E575),{"Трафіковий","Основний","Маржинальний","Сезонний","Стратегічний"},0),Settings!$H$78,Settings!$H$80,Settings!$H$82,Settings!$H$84,Settings!$H$86)))*Settings!$H$68,"")</f>
        <v/>
      </c>
      <c r="AF575" s="148">
        <f>IFERROR((AD575*(1-Settings!$H$17)-C575)/(AD575*(1-Settings!$H$17)),"")</f>
        <v/>
      </c>
      <c r="AG575" s="150">
        <f>IFERROR(IF(AD575="","",IF(AD575&gt;=C575/(1-SKU_Base!AF575)/(1-Settings!$H$17),"OK",IF(AD575&gt;=C575/(1-SKU_Base!AM575)/(1-Settings!$H$17),"WARN","STOP"))),"")</f>
        <v/>
      </c>
    </row>
    <row r="576" ht="17" customHeight="1" s="179">
      <c r="A576" s="139">
        <f>SKU_Base!B576</f>
        <v/>
      </c>
      <c r="B576" s="139">
        <f>SKU_Base!C576</f>
        <v/>
      </c>
      <c r="C576" s="140">
        <f>IFERROR(SKU_Base!I576,"")</f>
        <v/>
      </c>
      <c r="D576" s="163">
        <f>IFERROR(SKU_Base!T576,"")</f>
        <v/>
      </c>
      <c r="E576" s="141">
        <f>IFERROR(SKU_Base!$U576,"")</f>
        <v/>
      </c>
      <c r="F576" s="158">
        <f>IFERROR(ROUND(D576*(1-CHOOSE(MATCH(IF($E576="","Основний",$E576),{"Трафіковий","Основний","Маржинальний","Сезонний","Стратегічний"},0),Settings!$B$78,Settings!$B$80,Settings!$B$82,Settings!$B$84,Settings!$B$86))/6,2)*6,"")</f>
        <v/>
      </c>
      <c r="G576" s="142">
        <f>IFERROR(CHOOSE(MATCH(IF($E576="","Основний",$E576),{"Трафіковий","Основний","Маржинальний","Сезонний","Стратегічний"},0),Settings!$B$78,Settings!$B$80,Settings!$B$82,Settings!$B$84,Settings!$B$86),"")</f>
        <v/>
      </c>
      <c r="H576" s="143">
        <f>IFERROR((F576*(1-Settings!$B$17)-C576)/(F576*(1-Settings!$B$17)),"")</f>
        <v/>
      </c>
      <c r="I576" s="149">
        <f>IFERROR(IF(F576="","",IF(F576&gt;=C576/(1-SKU_Base!Z576)/(1-Settings!$B$17),"OK",IF(F576&gt;=C576/(1-SKU_Base!AG576)/(1-Settings!$B$17),"WARN","STOP"))),"")</f>
        <v/>
      </c>
      <c r="J576" s="158">
        <f>IFERROR(ROUND(D576*(1-CHOOSE(MATCH(IF($E576="","Основний",$E576),{"Трафіковий","Основний","Маржинальний","Сезонний","Стратегічний"},0),Settings!$C$78,Settings!$C$80,Settings!$C$82,Settings!$C$84,Settings!$C$86))/6,2)*6,"")</f>
        <v/>
      </c>
      <c r="K576" s="142">
        <f>IFERROR(CHOOSE(MATCH(IF($E576="","Основний",$E576),{"Трафіковий","Основний","Маржинальний","Сезонний","Стратегічний"},0),Settings!$C$78,Settings!$C$80,Settings!$C$82,Settings!$C$84,Settings!$C$86),"")</f>
        <v/>
      </c>
      <c r="L576" s="143">
        <f>IFERROR((J576*(1-Settings!$C$17)-C576)/(J576*(1-Settings!$C$17)),"")</f>
        <v/>
      </c>
      <c r="M576" s="149">
        <f>IFERROR(IF(J576="","",IF(J576&gt;=C576/(1-SKU_Base!AA576)/(1-Settings!$C$17),"OK",IF(J576&gt;=C576/(1-SKU_Base!AH576)/(1-Settings!$C$17),"WARN","STOP"))),"")</f>
        <v/>
      </c>
      <c r="N576" s="159">
        <f>IFERROR(ROUND(D576*(1-CHOOSE(MATCH(IF($E576="","Основний",$E576),{"Трафіковий","Основний","Маржинальний","Сезонний","Стратегічний"},0),Settings!$D$78,Settings!$D$80,Settings!$D$82,Settings!$D$84,Settings!$D$86))/6,2)*6,"")</f>
        <v/>
      </c>
      <c r="O576" s="142">
        <f>IFERROR(CHOOSE(MATCH(IF($E576="","Основний",$E576),{"Трафіковий","Основний","Маржинальний","Сезонний","Стратегічний"},0),Settings!$D$78,Settings!$D$80,Settings!$D$82,Settings!$D$84,Settings!$D$86),"")</f>
        <v/>
      </c>
      <c r="P576" s="143">
        <f>IFERROR((N576*(1-Settings!$D$17)-C576)/(N576*(1-Settings!$D$17)),"")</f>
        <v/>
      </c>
      <c r="Q576" s="149">
        <f>IFERROR(IF(N576="","",IF(N576&gt;=C576/(1-SKU_Base!AB576)/(1-Settings!$D$17),"OK",IF(N576&gt;=C576/(1-SKU_Base!AI576)/(1-Settings!$D$17),"WARN","STOP"))),"")</f>
        <v/>
      </c>
      <c r="R576" s="159">
        <f>IFERROR(ROUND(D576*(1-CHOOSE(MATCH(IF($E576="","Основний",$E576),{"Трафіковий","Основний","Маржинальний","Сезонний","Стратегічний"},0),Settings!$E$78,Settings!$E$80,Settings!$E$82,Settings!$E$84,Settings!$E$86))/6,2)*6,"")</f>
        <v/>
      </c>
      <c r="S576" s="142">
        <f>IFERROR(CHOOSE(MATCH(IF($E576="","Основний",$E576),{"Трафіковий","Основний","Маржинальний","Сезонний","Стратегічний"},0),Settings!$E$78,Settings!$E$80,Settings!$E$82,Settings!$E$84,Settings!$E$86),"")</f>
        <v/>
      </c>
      <c r="T576" s="143">
        <f>IFERROR((R576*(1-Settings!$E$17)-C576)/(R576*(1-Settings!$E$17)),"")</f>
        <v/>
      </c>
      <c r="U576" s="149">
        <f>IFERROR(IF(R576="","",IF(R576&gt;=C576/(1-SKU_Base!AC576)/(1-Settings!$E$17),"OK",IF(R576&gt;=C576/(1-SKU_Base!AJ576)/(1-Settings!$E$17),"WARN","STOP"))),"")</f>
        <v/>
      </c>
      <c r="V576" s="159">
        <f>IFERROR(ROUND(D576*(1-CHOOSE(MATCH(IF($E576="","Основний",$E576),{"Трафіковий","Основний","Маржинальний","Сезонний","Стратегічний"},0),Settings!$F$78,Settings!$F$80,Settings!$F$82,Settings!$F$84,Settings!$F$86))/6,2)*6,"")</f>
        <v/>
      </c>
      <c r="W576" s="142">
        <f>IFERROR(CHOOSE(MATCH(IF($E576="","Основний",$E576),{"Трафіковий","Основний","Маржинальний","Сезонний","Стратегічний"},0),Settings!$F$78,Settings!$F$80,Settings!$F$82,Settings!$F$84,Settings!$F$86),"")</f>
        <v/>
      </c>
      <c r="X576" s="143">
        <f>IFERROR((V576*(1-Settings!$F$17)-C576)/(V576*(1-Settings!$F$17)),"")</f>
        <v/>
      </c>
      <c r="Y576" s="149">
        <f>IFERROR(IF(V576="","",IF(V576&gt;=C576/(1-SKU_Base!AD576)/(1-Settings!$F$17),"OK",IF(V576&gt;=C576/(1-SKU_Base!AK576)/(1-Settings!$F$17),"WARN","STOP"))),"")</f>
        <v/>
      </c>
      <c r="Z576" s="159">
        <f>IFERROR(ROUND(D576*(1-CHOOSE(MATCH(IF($E576="","Основний",$E576),{"Трафіковий","Основний","Маржинальний","Сезонний","Стратегічний"},0),Settings!$G$78,Settings!$G$80,Settings!$G$82,Settings!$G$84,Settings!$G$86))/6,2)*6,"")</f>
        <v/>
      </c>
      <c r="AA576" s="142">
        <f>IFERROR(CHOOSE(MATCH(IF($E576="","Основний",$E576),{"Трафіковий","Основний","Маржинальний","Сезонний","Стратегічний"},0),Settings!$G$78,Settings!$G$80,Settings!$G$82,Settings!$G$84,Settings!$G$86),"")</f>
        <v/>
      </c>
      <c r="AB576" s="143">
        <f>IFERROR((Z576*(1-Settings!$G$17)-C576)/(Z576*(1-Settings!$G$17)),"")</f>
        <v/>
      </c>
      <c r="AC576" s="149">
        <f>IFERROR(IF(Z576="","",IF(Z576&gt;=C576/(1-SKU_Base!AE576)/(1-Settings!$G$17),"OK",IF(Z576&gt;=C576/(1-SKU_Base!AL576)/(1-Settings!$G$17),"WARN","STOP"))),"")</f>
        <v/>
      </c>
      <c r="AD576" s="159">
        <f>IFERROR(ROUND(D576*(1-CHOOSE(MATCH(IF($E576="","Основний",$E576),{"Трафіковий","Основний","Маржинальний","Сезонний","Стратегічний"},0),Settings!$H$78,Settings!$H$80,Settings!$H$82,Settings!$H$84,Settings!$H$86))*(1-Settings!$H$68)/6,2)*6,"")</f>
        <v/>
      </c>
      <c r="AE576" s="142">
        <f>IFERROR(CHOOSE(MATCH(IF($E576="","Основний",$E576),{"Трафіковий","Основний","Маржинальний","Сезонний","Стратегічний"},0),Settings!$H$78,Settings!$H$80,Settings!$H$82,Settings!$H$84,Settings!$H$86)+(1-(CHOOSE(MATCH(IF($E576="","Основний",$E576),{"Трафіковий","Основний","Маржинальний","Сезонний","Стратегічний"},0),Settings!$H$78,Settings!$H$80,Settings!$H$82,Settings!$H$84,Settings!$H$86)))*Settings!$H$68,"")</f>
        <v/>
      </c>
      <c r="AF576" s="143">
        <f>IFERROR((AD576*(1-Settings!$H$17)-C576)/(AD576*(1-Settings!$H$17)),"")</f>
        <v/>
      </c>
      <c r="AG576" s="150">
        <f>IFERROR(IF(AD576="","",IF(AD576&gt;=C576/(1-SKU_Base!AF576)/(1-Settings!$H$17),"OK",IF(AD576&gt;=C576/(1-SKU_Base!AM576)/(1-Settings!$H$17),"WARN","STOP"))),"")</f>
        <v/>
      </c>
    </row>
    <row r="577" ht="17" customHeight="1" s="179">
      <c r="A577" s="146">
        <f>SKU_Base!B577</f>
        <v/>
      </c>
      <c r="B577" s="146">
        <f>SKU_Base!C577</f>
        <v/>
      </c>
      <c r="C577" s="147">
        <f>IFERROR(SKU_Base!I577,"")</f>
        <v/>
      </c>
      <c r="D577" s="164">
        <f>IFERROR(SKU_Base!T577,"")</f>
        <v/>
      </c>
      <c r="E577" s="141">
        <f>IFERROR(SKU_Base!$U577,"")</f>
        <v/>
      </c>
      <c r="F577" s="160">
        <f>IFERROR(ROUND(D577*(1-CHOOSE(MATCH(IF($E577="","Основний",$E577),{"Трафіковий","Основний","Маржинальний","Сезонний","Стратегічний"},0),Settings!$B$78,Settings!$B$80,Settings!$B$82,Settings!$B$84,Settings!$B$86))/6,2)*6,"")</f>
        <v/>
      </c>
      <c r="G577" s="142">
        <f>IFERROR(CHOOSE(MATCH(IF($E577="","Основний",$E577),{"Трафіковий","Основний","Маржинальний","Сезонний","Стратегічний"},0),Settings!$B$78,Settings!$B$80,Settings!$B$82,Settings!$B$84,Settings!$B$86),"")</f>
        <v/>
      </c>
      <c r="H577" s="148">
        <f>IFERROR((F577*(1-Settings!$B$17)-C577)/(F577*(1-Settings!$B$17)),"")</f>
        <v/>
      </c>
      <c r="I577" s="149">
        <f>IFERROR(IF(F577="","",IF(F577&gt;=C577/(1-SKU_Base!Z577)/(1-Settings!$B$17),"OK",IF(F577&gt;=C577/(1-SKU_Base!AG577)/(1-Settings!$B$17),"WARN","STOP"))),"")</f>
        <v/>
      </c>
      <c r="J577" s="160">
        <f>IFERROR(ROUND(D577*(1-CHOOSE(MATCH(IF($E577="","Основний",$E577),{"Трафіковий","Основний","Маржинальний","Сезонний","Стратегічний"},0),Settings!$C$78,Settings!$C$80,Settings!$C$82,Settings!$C$84,Settings!$C$86))/6,2)*6,"")</f>
        <v/>
      </c>
      <c r="K577" s="142">
        <f>IFERROR(CHOOSE(MATCH(IF($E577="","Основний",$E577),{"Трафіковий","Основний","Маржинальний","Сезонний","Стратегічний"},0),Settings!$C$78,Settings!$C$80,Settings!$C$82,Settings!$C$84,Settings!$C$86),"")</f>
        <v/>
      </c>
      <c r="L577" s="148">
        <f>IFERROR((J577*(1-Settings!$C$17)-C577)/(J577*(1-Settings!$C$17)),"")</f>
        <v/>
      </c>
      <c r="M577" s="149">
        <f>IFERROR(IF(J577="","",IF(J577&gt;=C577/(1-SKU_Base!AA577)/(1-Settings!$C$17),"OK",IF(J577&gt;=C577/(1-SKU_Base!AH577)/(1-Settings!$C$17),"WARN","STOP"))),"")</f>
        <v/>
      </c>
      <c r="N577" s="161">
        <f>IFERROR(ROUND(D577*(1-CHOOSE(MATCH(IF($E577="","Основний",$E577),{"Трафіковий","Основний","Маржинальний","Сезонний","Стратегічний"},0),Settings!$D$78,Settings!$D$80,Settings!$D$82,Settings!$D$84,Settings!$D$86))/6,2)*6,"")</f>
        <v/>
      </c>
      <c r="O577" s="142">
        <f>IFERROR(CHOOSE(MATCH(IF($E577="","Основний",$E577),{"Трафіковий","Основний","Маржинальний","Сезонний","Стратегічний"},0),Settings!$D$78,Settings!$D$80,Settings!$D$82,Settings!$D$84,Settings!$D$86),"")</f>
        <v/>
      </c>
      <c r="P577" s="148">
        <f>IFERROR((N577*(1-Settings!$D$17)-C577)/(N577*(1-Settings!$D$17)),"")</f>
        <v/>
      </c>
      <c r="Q577" s="149">
        <f>IFERROR(IF(N577="","",IF(N577&gt;=C577/(1-SKU_Base!AB577)/(1-Settings!$D$17),"OK",IF(N577&gt;=C577/(1-SKU_Base!AI577)/(1-Settings!$D$17),"WARN","STOP"))),"")</f>
        <v/>
      </c>
      <c r="R577" s="161">
        <f>IFERROR(ROUND(D577*(1-CHOOSE(MATCH(IF($E577="","Основний",$E577),{"Трафіковий","Основний","Маржинальний","Сезонний","Стратегічний"},0),Settings!$E$78,Settings!$E$80,Settings!$E$82,Settings!$E$84,Settings!$E$86))/6,2)*6,"")</f>
        <v/>
      </c>
      <c r="S577" s="142">
        <f>IFERROR(CHOOSE(MATCH(IF($E577="","Основний",$E577),{"Трафіковий","Основний","Маржинальний","Сезонний","Стратегічний"},0),Settings!$E$78,Settings!$E$80,Settings!$E$82,Settings!$E$84,Settings!$E$86),"")</f>
        <v/>
      </c>
      <c r="T577" s="148">
        <f>IFERROR((R577*(1-Settings!$E$17)-C577)/(R577*(1-Settings!$E$17)),"")</f>
        <v/>
      </c>
      <c r="U577" s="149">
        <f>IFERROR(IF(R577="","",IF(R577&gt;=C577/(1-SKU_Base!AC577)/(1-Settings!$E$17),"OK",IF(R577&gt;=C577/(1-SKU_Base!AJ577)/(1-Settings!$E$17),"WARN","STOP"))),"")</f>
        <v/>
      </c>
      <c r="V577" s="161">
        <f>IFERROR(ROUND(D577*(1-CHOOSE(MATCH(IF($E577="","Основний",$E577),{"Трафіковий","Основний","Маржинальний","Сезонний","Стратегічний"},0),Settings!$F$78,Settings!$F$80,Settings!$F$82,Settings!$F$84,Settings!$F$86))/6,2)*6,"")</f>
        <v/>
      </c>
      <c r="W577" s="142">
        <f>IFERROR(CHOOSE(MATCH(IF($E577="","Основний",$E577),{"Трафіковий","Основний","Маржинальний","Сезонний","Стратегічний"},0),Settings!$F$78,Settings!$F$80,Settings!$F$82,Settings!$F$84,Settings!$F$86),"")</f>
        <v/>
      </c>
      <c r="X577" s="148">
        <f>IFERROR((V577*(1-Settings!$F$17)-C577)/(V577*(1-Settings!$F$17)),"")</f>
        <v/>
      </c>
      <c r="Y577" s="149">
        <f>IFERROR(IF(V577="","",IF(V577&gt;=C577/(1-SKU_Base!AD577)/(1-Settings!$F$17),"OK",IF(V577&gt;=C577/(1-SKU_Base!AK577)/(1-Settings!$F$17),"WARN","STOP"))),"")</f>
        <v/>
      </c>
      <c r="Z577" s="161">
        <f>IFERROR(ROUND(D577*(1-CHOOSE(MATCH(IF($E577="","Основний",$E577),{"Трафіковий","Основний","Маржинальний","Сезонний","Стратегічний"},0),Settings!$G$78,Settings!$G$80,Settings!$G$82,Settings!$G$84,Settings!$G$86))/6,2)*6,"")</f>
        <v/>
      </c>
      <c r="AA577" s="142">
        <f>IFERROR(CHOOSE(MATCH(IF($E577="","Основний",$E577),{"Трафіковий","Основний","Маржинальний","Сезонний","Стратегічний"},0),Settings!$G$78,Settings!$G$80,Settings!$G$82,Settings!$G$84,Settings!$G$86),"")</f>
        <v/>
      </c>
      <c r="AB577" s="148">
        <f>IFERROR((Z577*(1-Settings!$G$17)-C577)/(Z577*(1-Settings!$G$17)),"")</f>
        <v/>
      </c>
      <c r="AC577" s="149">
        <f>IFERROR(IF(Z577="","",IF(Z577&gt;=C577/(1-SKU_Base!AE577)/(1-Settings!$G$17),"OK",IF(Z577&gt;=C577/(1-SKU_Base!AL577)/(1-Settings!$G$17),"WARN","STOP"))),"")</f>
        <v/>
      </c>
      <c r="AD577" s="161">
        <f>IFERROR(ROUND(D577*(1-CHOOSE(MATCH(IF($E577="","Основний",$E577),{"Трафіковий","Основний","Маржинальний","Сезонний","Стратегічний"},0),Settings!$H$78,Settings!$H$80,Settings!$H$82,Settings!$H$84,Settings!$H$86))*(1-Settings!$H$68)/6,2)*6,"")</f>
        <v/>
      </c>
      <c r="AE577" s="142">
        <f>IFERROR(CHOOSE(MATCH(IF($E577="","Основний",$E577),{"Трафіковий","Основний","Маржинальний","Сезонний","Стратегічний"},0),Settings!$H$78,Settings!$H$80,Settings!$H$82,Settings!$H$84,Settings!$H$86)+(1-(CHOOSE(MATCH(IF($E577="","Основний",$E577),{"Трафіковий","Основний","Маржинальний","Сезонний","Стратегічний"},0),Settings!$H$78,Settings!$H$80,Settings!$H$82,Settings!$H$84,Settings!$H$86)))*Settings!$H$68,"")</f>
        <v/>
      </c>
      <c r="AF577" s="148">
        <f>IFERROR((AD577*(1-Settings!$H$17)-C577)/(AD577*(1-Settings!$H$17)),"")</f>
        <v/>
      </c>
      <c r="AG577" s="150">
        <f>IFERROR(IF(AD577="","",IF(AD577&gt;=C577/(1-SKU_Base!AF577)/(1-Settings!$H$17),"OK",IF(AD577&gt;=C577/(1-SKU_Base!AM577)/(1-Settings!$H$17),"WARN","STOP"))),"")</f>
        <v/>
      </c>
    </row>
    <row r="578" ht="17" customHeight="1" s="179">
      <c r="A578" s="139">
        <f>SKU_Base!B578</f>
        <v/>
      </c>
      <c r="B578" s="139">
        <f>SKU_Base!C578</f>
        <v/>
      </c>
      <c r="C578" s="140">
        <f>IFERROR(SKU_Base!I578,"")</f>
        <v/>
      </c>
      <c r="D578" s="163">
        <f>IFERROR(SKU_Base!T578,"")</f>
        <v/>
      </c>
      <c r="E578" s="141">
        <f>IFERROR(SKU_Base!$U578,"")</f>
        <v/>
      </c>
      <c r="F578" s="158">
        <f>IFERROR(ROUND(D578*(1-CHOOSE(MATCH(IF($E578="","Основний",$E578),{"Трафіковий","Основний","Маржинальний","Сезонний","Стратегічний"},0),Settings!$B$78,Settings!$B$80,Settings!$B$82,Settings!$B$84,Settings!$B$86))/6,2)*6,"")</f>
        <v/>
      </c>
      <c r="G578" s="142">
        <f>IFERROR(CHOOSE(MATCH(IF($E578="","Основний",$E578),{"Трафіковий","Основний","Маржинальний","Сезонний","Стратегічний"},0),Settings!$B$78,Settings!$B$80,Settings!$B$82,Settings!$B$84,Settings!$B$86),"")</f>
        <v/>
      </c>
      <c r="H578" s="143">
        <f>IFERROR((F578*(1-Settings!$B$17)-C578)/(F578*(1-Settings!$B$17)),"")</f>
        <v/>
      </c>
      <c r="I578" s="150">
        <f>IFERROR(IF(F578="","",IF(F578&gt;=C578/(1-SKU_Base!Z578)/(1-Settings!$B$17),"OK",IF(F578&gt;=C578/(1-SKU_Base!AG578)/(1-Settings!$B$17),"WARN","STOP"))),"")</f>
        <v/>
      </c>
      <c r="J578" s="158">
        <f>IFERROR(ROUND(D578*(1-CHOOSE(MATCH(IF($E578="","Основний",$E578),{"Трафіковий","Основний","Маржинальний","Сезонний","Стратегічний"},0),Settings!$C$78,Settings!$C$80,Settings!$C$82,Settings!$C$84,Settings!$C$86))/6,2)*6,"")</f>
        <v/>
      </c>
      <c r="K578" s="142">
        <f>IFERROR(CHOOSE(MATCH(IF($E578="","Основний",$E578),{"Трафіковий","Основний","Маржинальний","Сезонний","Стратегічний"},0),Settings!$C$78,Settings!$C$80,Settings!$C$82,Settings!$C$84,Settings!$C$86),"")</f>
        <v/>
      </c>
      <c r="L578" s="143">
        <f>IFERROR((J578*(1-Settings!$C$17)-C578)/(J578*(1-Settings!$C$17)),"")</f>
        <v/>
      </c>
      <c r="M578" s="149">
        <f>IFERROR(IF(J578="","",IF(J578&gt;=C578/(1-SKU_Base!AA578)/(1-Settings!$C$17),"OK",IF(J578&gt;=C578/(1-SKU_Base!AH578)/(1-Settings!$C$17),"WARN","STOP"))),"")</f>
        <v/>
      </c>
      <c r="N578" s="159">
        <f>IFERROR(ROUND(D578*(1-CHOOSE(MATCH(IF($E578="","Основний",$E578),{"Трафіковий","Основний","Маржинальний","Сезонний","Стратегічний"},0),Settings!$D$78,Settings!$D$80,Settings!$D$82,Settings!$D$84,Settings!$D$86))/6,2)*6,"")</f>
        <v/>
      </c>
      <c r="O578" s="142">
        <f>IFERROR(CHOOSE(MATCH(IF($E578="","Основний",$E578),{"Трафіковий","Основний","Маржинальний","Сезонний","Стратегічний"},0),Settings!$D$78,Settings!$D$80,Settings!$D$82,Settings!$D$84,Settings!$D$86),"")</f>
        <v/>
      </c>
      <c r="P578" s="143">
        <f>IFERROR((N578*(1-Settings!$D$17)-C578)/(N578*(1-Settings!$D$17)),"")</f>
        <v/>
      </c>
      <c r="Q578" s="149">
        <f>IFERROR(IF(N578="","",IF(N578&gt;=C578/(1-SKU_Base!AB578)/(1-Settings!$D$17),"OK",IF(N578&gt;=C578/(1-SKU_Base!AI578)/(1-Settings!$D$17),"WARN","STOP"))),"")</f>
        <v/>
      </c>
      <c r="R578" s="159">
        <f>IFERROR(ROUND(D578*(1-CHOOSE(MATCH(IF($E578="","Основний",$E578),{"Трафіковий","Основний","Маржинальний","Сезонний","Стратегічний"},0),Settings!$E$78,Settings!$E$80,Settings!$E$82,Settings!$E$84,Settings!$E$86))/6,2)*6,"")</f>
        <v/>
      </c>
      <c r="S578" s="142">
        <f>IFERROR(CHOOSE(MATCH(IF($E578="","Основний",$E578),{"Трафіковий","Основний","Маржинальний","Сезонний","Стратегічний"},0),Settings!$E$78,Settings!$E$80,Settings!$E$82,Settings!$E$84,Settings!$E$86),"")</f>
        <v/>
      </c>
      <c r="T578" s="143">
        <f>IFERROR((R578*(1-Settings!$E$17)-C578)/(R578*(1-Settings!$E$17)),"")</f>
        <v/>
      </c>
      <c r="U578" s="149">
        <f>IFERROR(IF(R578="","",IF(R578&gt;=C578/(1-SKU_Base!AC578)/(1-Settings!$E$17),"OK",IF(R578&gt;=C578/(1-SKU_Base!AJ578)/(1-Settings!$E$17),"WARN","STOP"))),"")</f>
        <v/>
      </c>
      <c r="V578" s="159">
        <f>IFERROR(ROUND(D578*(1-CHOOSE(MATCH(IF($E578="","Основний",$E578),{"Трафіковий","Основний","Маржинальний","Сезонний","Стратегічний"},0),Settings!$F$78,Settings!$F$80,Settings!$F$82,Settings!$F$84,Settings!$F$86))/6,2)*6,"")</f>
        <v/>
      </c>
      <c r="W578" s="142">
        <f>IFERROR(CHOOSE(MATCH(IF($E578="","Основний",$E578),{"Трафіковий","Основний","Маржинальний","Сезонний","Стратегічний"},0),Settings!$F$78,Settings!$F$80,Settings!$F$82,Settings!$F$84,Settings!$F$86),"")</f>
        <v/>
      </c>
      <c r="X578" s="143">
        <f>IFERROR((V578*(1-Settings!$F$17)-C578)/(V578*(1-Settings!$F$17)),"")</f>
        <v/>
      </c>
      <c r="Y578" s="149">
        <f>IFERROR(IF(V578="","",IF(V578&gt;=C578/(1-SKU_Base!AD578)/(1-Settings!$F$17),"OK",IF(V578&gt;=C578/(1-SKU_Base!AK578)/(1-Settings!$F$17),"WARN","STOP"))),"")</f>
        <v/>
      </c>
      <c r="Z578" s="159">
        <f>IFERROR(ROUND(D578*(1-CHOOSE(MATCH(IF($E578="","Основний",$E578),{"Трафіковий","Основний","Маржинальний","Сезонний","Стратегічний"},0),Settings!$G$78,Settings!$G$80,Settings!$G$82,Settings!$G$84,Settings!$G$86))/6,2)*6,"")</f>
        <v/>
      </c>
      <c r="AA578" s="142">
        <f>IFERROR(CHOOSE(MATCH(IF($E578="","Основний",$E578),{"Трафіковий","Основний","Маржинальний","Сезонний","Стратегічний"},0),Settings!$G$78,Settings!$G$80,Settings!$G$82,Settings!$G$84,Settings!$G$86),"")</f>
        <v/>
      </c>
      <c r="AB578" s="143">
        <f>IFERROR((Z578*(1-Settings!$G$17)-C578)/(Z578*(1-Settings!$G$17)),"")</f>
        <v/>
      </c>
      <c r="AC578" s="149">
        <f>IFERROR(IF(Z578="","",IF(Z578&gt;=C578/(1-SKU_Base!AE578)/(1-Settings!$G$17),"OK",IF(Z578&gt;=C578/(1-SKU_Base!AL578)/(1-Settings!$G$17),"WARN","STOP"))),"")</f>
        <v/>
      </c>
      <c r="AD578" s="159">
        <f>IFERROR(ROUND(D578*(1-CHOOSE(MATCH(IF($E578="","Основний",$E578),{"Трафіковий","Основний","Маржинальний","Сезонний","Стратегічний"},0),Settings!$H$78,Settings!$H$80,Settings!$H$82,Settings!$H$84,Settings!$H$86))*(1-Settings!$H$68)/6,2)*6,"")</f>
        <v/>
      </c>
      <c r="AE578" s="142">
        <f>IFERROR(CHOOSE(MATCH(IF($E578="","Основний",$E578),{"Трафіковий","Основний","Маржинальний","Сезонний","Стратегічний"},0),Settings!$H$78,Settings!$H$80,Settings!$H$82,Settings!$H$84,Settings!$H$86)+(1-(CHOOSE(MATCH(IF($E578="","Основний",$E578),{"Трафіковий","Основний","Маржинальний","Сезонний","Стратегічний"},0),Settings!$H$78,Settings!$H$80,Settings!$H$82,Settings!$H$84,Settings!$H$86)))*Settings!$H$68,"")</f>
        <v/>
      </c>
      <c r="AF578" s="143">
        <f>IFERROR((AD578*(1-Settings!$H$17)-C578)/(AD578*(1-Settings!$H$17)),"")</f>
        <v/>
      </c>
      <c r="AG578" s="150">
        <f>IFERROR(IF(AD578="","",IF(AD578&gt;=C578/(1-SKU_Base!AF578)/(1-Settings!$H$17),"OK",IF(AD578&gt;=C578/(1-SKU_Base!AM578)/(1-Settings!$H$17),"WARN","STOP"))),"")</f>
        <v/>
      </c>
    </row>
    <row r="579" ht="17" customHeight="1" s="179">
      <c r="A579" s="146">
        <f>SKU_Base!B579</f>
        <v/>
      </c>
      <c r="B579" s="146">
        <f>SKU_Base!C579</f>
        <v/>
      </c>
      <c r="C579" s="147">
        <f>IFERROR(SKU_Base!I579,"")</f>
        <v/>
      </c>
      <c r="D579" s="164">
        <f>IFERROR(SKU_Base!T579,"")</f>
        <v/>
      </c>
      <c r="E579" s="141">
        <f>IFERROR(SKU_Base!$U579,"")</f>
        <v/>
      </c>
      <c r="F579" s="160">
        <f>IFERROR(ROUND(D579*(1-CHOOSE(MATCH(IF($E579="","Основний",$E579),{"Трафіковий","Основний","Маржинальний","Сезонний","Стратегічний"},0),Settings!$B$78,Settings!$B$80,Settings!$B$82,Settings!$B$84,Settings!$B$86))/6,2)*6,"")</f>
        <v/>
      </c>
      <c r="G579" s="142">
        <f>IFERROR(CHOOSE(MATCH(IF($E579="","Основний",$E579),{"Трафіковий","Основний","Маржинальний","Сезонний","Стратегічний"},0),Settings!$B$78,Settings!$B$80,Settings!$B$82,Settings!$B$84,Settings!$B$86),"")</f>
        <v/>
      </c>
      <c r="H579" s="148">
        <f>IFERROR((F579*(1-Settings!$B$17)-C579)/(F579*(1-Settings!$B$17)),"")</f>
        <v/>
      </c>
      <c r="I579" s="150">
        <f>IFERROR(IF(F579="","",IF(F579&gt;=C579/(1-SKU_Base!Z579)/(1-Settings!$B$17),"OK",IF(F579&gt;=C579/(1-SKU_Base!AG579)/(1-Settings!$B$17),"WARN","STOP"))),"")</f>
        <v/>
      </c>
      <c r="J579" s="160">
        <f>IFERROR(ROUND(D579*(1-CHOOSE(MATCH(IF($E579="","Основний",$E579),{"Трафіковий","Основний","Маржинальний","Сезонний","Стратегічний"},0),Settings!$C$78,Settings!$C$80,Settings!$C$82,Settings!$C$84,Settings!$C$86))/6,2)*6,"")</f>
        <v/>
      </c>
      <c r="K579" s="142">
        <f>IFERROR(CHOOSE(MATCH(IF($E579="","Основний",$E579),{"Трафіковий","Основний","Маржинальний","Сезонний","Стратегічний"},0),Settings!$C$78,Settings!$C$80,Settings!$C$82,Settings!$C$84,Settings!$C$86),"")</f>
        <v/>
      </c>
      <c r="L579" s="148">
        <f>IFERROR((J579*(1-Settings!$C$17)-C579)/(J579*(1-Settings!$C$17)),"")</f>
        <v/>
      </c>
      <c r="M579" s="149">
        <f>IFERROR(IF(J579="","",IF(J579&gt;=C579/(1-SKU_Base!AA579)/(1-Settings!$C$17),"OK",IF(J579&gt;=C579/(1-SKU_Base!AH579)/(1-Settings!$C$17),"WARN","STOP"))),"")</f>
        <v/>
      </c>
      <c r="N579" s="161">
        <f>IFERROR(ROUND(D579*(1-CHOOSE(MATCH(IF($E579="","Основний",$E579),{"Трафіковий","Основний","Маржинальний","Сезонний","Стратегічний"},0),Settings!$D$78,Settings!$D$80,Settings!$D$82,Settings!$D$84,Settings!$D$86))/6,2)*6,"")</f>
        <v/>
      </c>
      <c r="O579" s="142">
        <f>IFERROR(CHOOSE(MATCH(IF($E579="","Основний",$E579),{"Трафіковий","Основний","Маржинальний","Сезонний","Стратегічний"},0),Settings!$D$78,Settings!$D$80,Settings!$D$82,Settings!$D$84,Settings!$D$86),"")</f>
        <v/>
      </c>
      <c r="P579" s="148">
        <f>IFERROR((N579*(1-Settings!$D$17)-C579)/(N579*(1-Settings!$D$17)),"")</f>
        <v/>
      </c>
      <c r="Q579" s="149">
        <f>IFERROR(IF(N579="","",IF(N579&gt;=C579/(1-SKU_Base!AB579)/(1-Settings!$D$17),"OK",IF(N579&gt;=C579/(1-SKU_Base!AI579)/(1-Settings!$D$17),"WARN","STOP"))),"")</f>
        <v/>
      </c>
      <c r="R579" s="161">
        <f>IFERROR(ROUND(D579*(1-CHOOSE(MATCH(IF($E579="","Основний",$E579),{"Трафіковий","Основний","Маржинальний","Сезонний","Стратегічний"},0),Settings!$E$78,Settings!$E$80,Settings!$E$82,Settings!$E$84,Settings!$E$86))/6,2)*6,"")</f>
        <v/>
      </c>
      <c r="S579" s="142">
        <f>IFERROR(CHOOSE(MATCH(IF($E579="","Основний",$E579),{"Трафіковий","Основний","Маржинальний","Сезонний","Стратегічний"},0),Settings!$E$78,Settings!$E$80,Settings!$E$82,Settings!$E$84,Settings!$E$86),"")</f>
        <v/>
      </c>
      <c r="T579" s="148">
        <f>IFERROR((R579*(1-Settings!$E$17)-C579)/(R579*(1-Settings!$E$17)),"")</f>
        <v/>
      </c>
      <c r="U579" s="149">
        <f>IFERROR(IF(R579="","",IF(R579&gt;=C579/(1-SKU_Base!AC579)/(1-Settings!$E$17),"OK",IF(R579&gt;=C579/(1-SKU_Base!AJ579)/(1-Settings!$E$17),"WARN","STOP"))),"")</f>
        <v/>
      </c>
      <c r="V579" s="161">
        <f>IFERROR(ROUND(D579*(1-CHOOSE(MATCH(IF($E579="","Основний",$E579),{"Трафіковий","Основний","Маржинальний","Сезонний","Стратегічний"},0),Settings!$F$78,Settings!$F$80,Settings!$F$82,Settings!$F$84,Settings!$F$86))/6,2)*6,"")</f>
        <v/>
      </c>
      <c r="W579" s="142">
        <f>IFERROR(CHOOSE(MATCH(IF($E579="","Основний",$E579),{"Трафіковий","Основний","Маржинальний","Сезонний","Стратегічний"},0),Settings!$F$78,Settings!$F$80,Settings!$F$82,Settings!$F$84,Settings!$F$86),"")</f>
        <v/>
      </c>
      <c r="X579" s="148">
        <f>IFERROR((V579*(1-Settings!$F$17)-C579)/(V579*(1-Settings!$F$17)),"")</f>
        <v/>
      </c>
      <c r="Y579" s="149">
        <f>IFERROR(IF(V579="","",IF(V579&gt;=C579/(1-SKU_Base!AD579)/(1-Settings!$F$17),"OK",IF(V579&gt;=C579/(1-SKU_Base!AK579)/(1-Settings!$F$17),"WARN","STOP"))),"")</f>
        <v/>
      </c>
      <c r="Z579" s="161">
        <f>IFERROR(ROUND(D579*(1-CHOOSE(MATCH(IF($E579="","Основний",$E579),{"Трафіковий","Основний","Маржинальний","Сезонний","Стратегічний"},0),Settings!$G$78,Settings!$G$80,Settings!$G$82,Settings!$G$84,Settings!$G$86))/6,2)*6,"")</f>
        <v/>
      </c>
      <c r="AA579" s="142">
        <f>IFERROR(CHOOSE(MATCH(IF($E579="","Основний",$E579),{"Трафіковий","Основний","Маржинальний","Сезонний","Стратегічний"},0),Settings!$G$78,Settings!$G$80,Settings!$G$82,Settings!$G$84,Settings!$G$86),"")</f>
        <v/>
      </c>
      <c r="AB579" s="148">
        <f>IFERROR((Z579*(1-Settings!$G$17)-C579)/(Z579*(1-Settings!$G$17)),"")</f>
        <v/>
      </c>
      <c r="AC579" s="149">
        <f>IFERROR(IF(Z579="","",IF(Z579&gt;=C579/(1-SKU_Base!AE579)/(1-Settings!$G$17),"OK",IF(Z579&gt;=C579/(1-SKU_Base!AL579)/(1-Settings!$G$17),"WARN","STOP"))),"")</f>
        <v/>
      </c>
      <c r="AD579" s="161">
        <f>IFERROR(ROUND(D579*(1-CHOOSE(MATCH(IF($E579="","Основний",$E579),{"Трафіковий","Основний","Маржинальний","Сезонний","Стратегічний"},0),Settings!$H$78,Settings!$H$80,Settings!$H$82,Settings!$H$84,Settings!$H$86))*(1-Settings!$H$68)/6,2)*6,"")</f>
        <v/>
      </c>
      <c r="AE579" s="142">
        <f>IFERROR(CHOOSE(MATCH(IF($E579="","Основний",$E579),{"Трафіковий","Основний","Маржинальний","Сезонний","Стратегічний"},0),Settings!$H$78,Settings!$H$80,Settings!$H$82,Settings!$H$84,Settings!$H$86)+(1-(CHOOSE(MATCH(IF($E579="","Основний",$E579),{"Трафіковий","Основний","Маржинальний","Сезонний","Стратегічний"},0),Settings!$H$78,Settings!$H$80,Settings!$H$82,Settings!$H$84,Settings!$H$86)))*Settings!$H$68,"")</f>
        <v/>
      </c>
      <c r="AF579" s="148">
        <f>IFERROR((AD579*(1-Settings!$H$17)-C579)/(AD579*(1-Settings!$H$17)),"")</f>
        <v/>
      </c>
      <c r="AG579" s="150">
        <f>IFERROR(IF(AD579="","",IF(AD579&gt;=C579/(1-SKU_Base!AF579)/(1-Settings!$H$17),"OK",IF(AD579&gt;=C579/(1-SKU_Base!AM579)/(1-Settings!$H$17),"WARN","STOP"))),"")</f>
        <v/>
      </c>
    </row>
    <row r="580" ht="17" customHeight="1" s="179">
      <c r="A580" s="139">
        <f>SKU_Base!B580</f>
        <v/>
      </c>
      <c r="B580" s="139">
        <f>SKU_Base!C580</f>
        <v/>
      </c>
      <c r="C580" s="140">
        <f>IFERROR(SKU_Base!I580,"")</f>
        <v/>
      </c>
      <c r="D580" s="163">
        <f>IFERROR(SKU_Base!T580,"")</f>
        <v/>
      </c>
      <c r="E580" s="141">
        <f>IFERROR(SKU_Base!$U580,"")</f>
        <v/>
      </c>
      <c r="F580" s="158">
        <f>IFERROR(ROUND(D580*(1-CHOOSE(MATCH(IF($E580="","Основний",$E580),{"Трафіковий","Основний","Маржинальний","Сезонний","Стратегічний"},0),Settings!$B$78,Settings!$B$80,Settings!$B$82,Settings!$B$84,Settings!$B$86))/6,2)*6,"")</f>
        <v/>
      </c>
      <c r="G580" s="142">
        <f>IFERROR(CHOOSE(MATCH(IF($E580="","Основний",$E580),{"Трафіковий","Основний","Маржинальний","Сезонний","Стратегічний"},0),Settings!$B$78,Settings!$B$80,Settings!$B$82,Settings!$B$84,Settings!$B$86),"")</f>
        <v/>
      </c>
      <c r="H580" s="143">
        <f>IFERROR((F580*(1-Settings!$B$17)-C580)/(F580*(1-Settings!$B$17)),"")</f>
        <v/>
      </c>
      <c r="I580" s="150">
        <f>IFERROR(IF(F580="","",IF(F580&gt;=C580/(1-SKU_Base!Z580)/(1-Settings!$B$17),"OK",IF(F580&gt;=C580/(1-SKU_Base!AG580)/(1-Settings!$B$17),"WARN","STOP"))),"")</f>
        <v/>
      </c>
      <c r="J580" s="158">
        <f>IFERROR(ROUND(D580*(1-CHOOSE(MATCH(IF($E580="","Основний",$E580),{"Трафіковий","Основний","Маржинальний","Сезонний","Стратегічний"},0),Settings!$C$78,Settings!$C$80,Settings!$C$82,Settings!$C$84,Settings!$C$86))/6,2)*6,"")</f>
        <v/>
      </c>
      <c r="K580" s="142">
        <f>IFERROR(CHOOSE(MATCH(IF($E580="","Основний",$E580),{"Трафіковий","Основний","Маржинальний","Сезонний","Стратегічний"},0),Settings!$C$78,Settings!$C$80,Settings!$C$82,Settings!$C$84,Settings!$C$86),"")</f>
        <v/>
      </c>
      <c r="L580" s="143">
        <f>IFERROR((J580*(1-Settings!$C$17)-C580)/(J580*(1-Settings!$C$17)),"")</f>
        <v/>
      </c>
      <c r="M580" s="149">
        <f>IFERROR(IF(J580="","",IF(J580&gt;=C580/(1-SKU_Base!AA580)/(1-Settings!$C$17),"OK",IF(J580&gt;=C580/(1-SKU_Base!AH580)/(1-Settings!$C$17),"WARN","STOP"))),"")</f>
        <v/>
      </c>
      <c r="N580" s="159">
        <f>IFERROR(ROUND(D580*(1-CHOOSE(MATCH(IF($E580="","Основний",$E580),{"Трафіковий","Основний","Маржинальний","Сезонний","Стратегічний"},0),Settings!$D$78,Settings!$D$80,Settings!$D$82,Settings!$D$84,Settings!$D$86))/6,2)*6,"")</f>
        <v/>
      </c>
      <c r="O580" s="142">
        <f>IFERROR(CHOOSE(MATCH(IF($E580="","Основний",$E580),{"Трафіковий","Основний","Маржинальний","Сезонний","Стратегічний"},0),Settings!$D$78,Settings!$D$80,Settings!$D$82,Settings!$D$84,Settings!$D$86),"")</f>
        <v/>
      </c>
      <c r="P580" s="143">
        <f>IFERROR((N580*(1-Settings!$D$17)-C580)/(N580*(1-Settings!$D$17)),"")</f>
        <v/>
      </c>
      <c r="Q580" s="149">
        <f>IFERROR(IF(N580="","",IF(N580&gt;=C580/(1-SKU_Base!AB580)/(1-Settings!$D$17),"OK",IF(N580&gt;=C580/(1-SKU_Base!AI580)/(1-Settings!$D$17),"WARN","STOP"))),"")</f>
        <v/>
      </c>
      <c r="R580" s="159">
        <f>IFERROR(ROUND(D580*(1-CHOOSE(MATCH(IF($E580="","Основний",$E580),{"Трафіковий","Основний","Маржинальний","Сезонний","Стратегічний"},0),Settings!$E$78,Settings!$E$80,Settings!$E$82,Settings!$E$84,Settings!$E$86))/6,2)*6,"")</f>
        <v/>
      </c>
      <c r="S580" s="142">
        <f>IFERROR(CHOOSE(MATCH(IF($E580="","Основний",$E580),{"Трафіковий","Основний","Маржинальний","Сезонний","Стратегічний"},0),Settings!$E$78,Settings!$E$80,Settings!$E$82,Settings!$E$84,Settings!$E$86),"")</f>
        <v/>
      </c>
      <c r="T580" s="143">
        <f>IFERROR((R580*(1-Settings!$E$17)-C580)/(R580*(1-Settings!$E$17)),"")</f>
        <v/>
      </c>
      <c r="U580" s="149">
        <f>IFERROR(IF(R580="","",IF(R580&gt;=C580/(1-SKU_Base!AC580)/(1-Settings!$E$17),"OK",IF(R580&gt;=C580/(1-SKU_Base!AJ580)/(1-Settings!$E$17),"WARN","STOP"))),"")</f>
        <v/>
      </c>
      <c r="V580" s="159">
        <f>IFERROR(ROUND(D580*(1-CHOOSE(MATCH(IF($E580="","Основний",$E580),{"Трафіковий","Основний","Маржинальний","Сезонний","Стратегічний"},0),Settings!$F$78,Settings!$F$80,Settings!$F$82,Settings!$F$84,Settings!$F$86))/6,2)*6,"")</f>
        <v/>
      </c>
      <c r="W580" s="142">
        <f>IFERROR(CHOOSE(MATCH(IF($E580="","Основний",$E580),{"Трафіковий","Основний","Маржинальний","Сезонний","Стратегічний"},0),Settings!$F$78,Settings!$F$80,Settings!$F$82,Settings!$F$84,Settings!$F$86),"")</f>
        <v/>
      </c>
      <c r="X580" s="143">
        <f>IFERROR((V580*(1-Settings!$F$17)-C580)/(V580*(1-Settings!$F$17)),"")</f>
        <v/>
      </c>
      <c r="Y580" s="149">
        <f>IFERROR(IF(V580="","",IF(V580&gt;=C580/(1-SKU_Base!AD580)/(1-Settings!$F$17),"OK",IF(V580&gt;=C580/(1-SKU_Base!AK580)/(1-Settings!$F$17),"WARN","STOP"))),"")</f>
        <v/>
      </c>
      <c r="Z580" s="159">
        <f>IFERROR(ROUND(D580*(1-CHOOSE(MATCH(IF($E580="","Основний",$E580),{"Трафіковий","Основний","Маржинальний","Сезонний","Стратегічний"},0),Settings!$G$78,Settings!$G$80,Settings!$G$82,Settings!$G$84,Settings!$G$86))/6,2)*6,"")</f>
        <v/>
      </c>
      <c r="AA580" s="142">
        <f>IFERROR(CHOOSE(MATCH(IF($E580="","Основний",$E580),{"Трафіковий","Основний","Маржинальний","Сезонний","Стратегічний"},0),Settings!$G$78,Settings!$G$80,Settings!$G$82,Settings!$G$84,Settings!$G$86),"")</f>
        <v/>
      </c>
      <c r="AB580" s="143">
        <f>IFERROR((Z580*(1-Settings!$G$17)-C580)/(Z580*(1-Settings!$G$17)),"")</f>
        <v/>
      </c>
      <c r="AC580" s="149">
        <f>IFERROR(IF(Z580="","",IF(Z580&gt;=C580/(1-SKU_Base!AE580)/(1-Settings!$G$17),"OK",IF(Z580&gt;=C580/(1-SKU_Base!AL580)/(1-Settings!$G$17),"WARN","STOP"))),"")</f>
        <v/>
      </c>
      <c r="AD580" s="159">
        <f>IFERROR(ROUND(D580*(1-CHOOSE(MATCH(IF($E580="","Основний",$E580),{"Трафіковий","Основний","Маржинальний","Сезонний","Стратегічний"},0),Settings!$H$78,Settings!$H$80,Settings!$H$82,Settings!$H$84,Settings!$H$86))*(1-Settings!$H$68)/6,2)*6,"")</f>
        <v/>
      </c>
      <c r="AE580" s="142">
        <f>IFERROR(CHOOSE(MATCH(IF($E580="","Основний",$E580),{"Трафіковий","Основний","Маржинальний","Сезонний","Стратегічний"},0),Settings!$H$78,Settings!$H$80,Settings!$H$82,Settings!$H$84,Settings!$H$86)+(1-(CHOOSE(MATCH(IF($E580="","Основний",$E580),{"Трафіковий","Основний","Маржинальний","Сезонний","Стратегічний"},0),Settings!$H$78,Settings!$H$80,Settings!$H$82,Settings!$H$84,Settings!$H$86)))*Settings!$H$68,"")</f>
        <v/>
      </c>
      <c r="AF580" s="143">
        <f>IFERROR((AD580*(1-Settings!$H$17)-C580)/(AD580*(1-Settings!$H$17)),"")</f>
        <v/>
      </c>
      <c r="AG580" s="150">
        <f>IFERROR(IF(AD580="","",IF(AD580&gt;=C580/(1-SKU_Base!AF580)/(1-Settings!$H$17),"OK",IF(AD580&gt;=C580/(1-SKU_Base!AM580)/(1-Settings!$H$17),"WARN","STOP"))),"")</f>
        <v/>
      </c>
    </row>
    <row r="581" ht="17" customHeight="1" s="179">
      <c r="A581" s="146">
        <f>SKU_Base!B581</f>
        <v/>
      </c>
      <c r="B581" s="146">
        <f>SKU_Base!C581</f>
        <v/>
      </c>
      <c r="C581" s="147">
        <f>IFERROR(SKU_Base!I581,"")</f>
        <v/>
      </c>
      <c r="D581" s="164">
        <f>IFERROR(SKU_Base!T581,"")</f>
        <v/>
      </c>
      <c r="E581" s="141">
        <f>IFERROR(SKU_Base!$U581,"")</f>
        <v/>
      </c>
      <c r="F581" s="160">
        <f>IFERROR(ROUND(D581*(1-CHOOSE(MATCH(IF($E581="","Основний",$E581),{"Трафіковий","Основний","Маржинальний","Сезонний","Стратегічний"},0),Settings!$B$78,Settings!$B$80,Settings!$B$82,Settings!$B$84,Settings!$B$86))/6,2)*6,"")</f>
        <v/>
      </c>
      <c r="G581" s="142">
        <f>IFERROR(CHOOSE(MATCH(IF($E581="","Основний",$E581),{"Трафіковий","Основний","Маржинальний","Сезонний","Стратегічний"},0),Settings!$B$78,Settings!$B$80,Settings!$B$82,Settings!$B$84,Settings!$B$86),"")</f>
        <v/>
      </c>
      <c r="H581" s="148">
        <f>IFERROR((F581*(1-Settings!$B$17)-C581)/(F581*(1-Settings!$B$17)),"")</f>
        <v/>
      </c>
      <c r="I581" s="150">
        <f>IFERROR(IF(F581="","",IF(F581&gt;=C581/(1-SKU_Base!Z581)/(1-Settings!$B$17),"OK",IF(F581&gt;=C581/(1-SKU_Base!AG581)/(1-Settings!$B$17),"WARN","STOP"))),"")</f>
        <v/>
      </c>
      <c r="J581" s="160">
        <f>IFERROR(ROUND(D581*(1-CHOOSE(MATCH(IF($E581="","Основний",$E581),{"Трафіковий","Основний","Маржинальний","Сезонний","Стратегічний"},0),Settings!$C$78,Settings!$C$80,Settings!$C$82,Settings!$C$84,Settings!$C$86))/6,2)*6,"")</f>
        <v/>
      </c>
      <c r="K581" s="142">
        <f>IFERROR(CHOOSE(MATCH(IF($E581="","Основний",$E581),{"Трафіковий","Основний","Маржинальний","Сезонний","Стратегічний"},0),Settings!$C$78,Settings!$C$80,Settings!$C$82,Settings!$C$84,Settings!$C$86),"")</f>
        <v/>
      </c>
      <c r="L581" s="148">
        <f>IFERROR((J581*(1-Settings!$C$17)-C581)/(J581*(1-Settings!$C$17)),"")</f>
        <v/>
      </c>
      <c r="M581" s="149">
        <f>IFERROR(IF(J581="","",IF(J581&gt;=C581/(1-SKU_Base!AA581)/(1-Settings!$C$17),"OK",IF(J581&gt;=C581/(1-SKU_Base!AH581)/(1-Settings!$C$17),"WARN","STOP"))),"")</f>
        <v/>
      </c>
      <c r="N581" s="161">
        <f>IFERROR(ROUND(D581*(1-CHOOSE(MATCH(IF($E581="","Основний",$E581),{"Трафіковий","Основний","Маржинальний","Сезонний","Стратегічний"},0),Settings!$D$78,Settings!$D$80,Settings!$D$82,Settings!$D$84,Settings!$D$86))/6,2)*6,"")</f>
        <v/>
      </c>
      <c r="O581" s="142">
        <f>IFERROR(CHOOSE(MATCH(IF($E581="","Основний",$E581),{"Трафіковий","Основний","Маржинальний","Сезонний","Стратегічний"},0),Settings!$D$78,Settings!$D$80,Settings!$D$82,Settings!$D$84,Settings!$D$86),"")</f>
        <v/>
      </c>
      <c r="P581" s="148">
        <f>IFERROR((N581*(1-Settings!$D$17)-C581)/(N581*(1-Settings!$D$17)),"")</f>
        <v/>
      </c>
      <c r="Q581" s="149">
        <f>IFERROR(IF(N581="","",IF(N581&gt;=C581/(1-SKU_Base!AB581)/(1-Settings!$D$17),"OK",IF(N581&gt;=C581/(1-SKU_Base!AI581)/(1-Settings!$D$17),"WARN","STOP"))),"")</f>
        <v/>
      </c>
      <c r="R581" s="161">
        <f>IFERROR(ROUND(D581*(1-CHOOSE(MATCH(IF($E581="","Основний",$E581),{"Трафіковий","Основний","Маржинальний","Сезонний","Стратегічний"},0),Settings!$E$78,Settings!$E$80,Settings!$E$82,Settings!$E$84,Settings!$E$86))/6,2)*6,"")</f>
        <v/>
      </c>
      <c r="S581" s="142">
        <f>IFERROR(CHOOSE(MATCH(IF($E581="","Основний",$E581),{"Трафіковий","Основний","Маржинальний","Сезонний","Стратегічний"},0),Settings!$E$78,Settings!$E$80,Settings!$E$82,Settings!$E$84,Settings!$E$86),"")</f>
        <v/>
      </c>
      <c r="T581" s="148">
        <f>IFERROR((R581*(1-Settings!$E$17)-C581)/(R581*(1-Settings!$E$17)),"")</f>
        <v/>
      </c>
      <c r="U581" s="149">
        <f>IFERROR(IF(R581="","",IF(R581&gt;=C581/(1-SKU_Base!AC581)/(1-Settings!$E$17),"OK",IF(R581&gt;=C581/(1-SKU_Base!AJ581)/(1-Settings!$E$17),"WARN","STOP"))),"")</f>
        <v/>
      </c>
      <c r="V581" s="161">
        <f>IFERROR(ROUND(D581*(1-CHOOSE(MATCH(IF($E581="","Основний",$E581),{"Трафіковий","Основний","Маржинальний","Сезонний","Стратегічний"},0),Settings!$F$78,Settings!$F$80,Settings!$F$82,Settings!$F$84,Settings!$F$86))/6,2)*6,"")</f>
        <v/>
      </c>
      <c r="W581" s="142">
        <f>IFERROR(CHOOSE(MATCH(IF($E581="","Основний",$E581),{"Трафіковий","Основний","Маржинальний","Сезонний","Стратегічний"},0),Settings!$F$78,Settings!$F$80,Settings!$F$82,Settings!$F$84,Settings!$F$86),"")</f>
        <v/>
      </c>
      <c r="X581" s="148">
        <f>IFERROR((V581*(1-Settings!$F$17)-C581)/(V581*(1-Settings!$F$17)),"")</f>
        <v/>
      </c>
      <c r="Y581" s="149">
        <f>IFERROR(IF(V581="","",IF(V581&gt;=C581/(1-SKU_Base!AD581)/(1-Settings!$F$17),"OK",IF(V581&gt;=C581/(1-SKU_Base!AK581)/(1-Settings!$F$17),"WARN","STOP"))),"")</f>
        <v/>
      </c>
      <c r="Z581" s="161">
        <f>IFERROR(ROUND(D581*(1-CHOOSE(MATCH(IF($E581="","Основний",$E581),{"Трафіковий","Основний","Маржинальний","Сезонний","Стратегічний"},0),Settings!$G$78,Settings!$G$80,Settings!$G$82,Settings!$G$84,Settings!$G$86))/6,2)*6,"")</f>
        <v/>
      </c>
      <c r="AA581" s="142">
        <f>IFERROR(CHOOSE(MATCH(IF($E581="","Основний",$E581),{"Трафіковий","Основний","Маржинальний","Сезонний","Стратегічний"},0),Settings!$G$78,Settings!$G$80,Settings!$G$82,Settings!$G$84,Settings!$G$86),"")</f>
        <v/>
      </c>
      <c r="AB581" s="148">
        <f>IFERROR((Z581*(1-Settings!$G$17)-C581)/(Z581*(1-Settings!$G$17)),"")</f>
        <v/>
      </c>
      <c r="AC581" s="149">
        <f>IFERROR(IF(Z581="","",IF(Z581&gt;=C581/(1-SKU_Base!AE581)/(1-Settings!$G$17),"OK",IF(Z581&gt;=C581/(1-SKU_Base!AL581)/(1-Settings!$G$17),"WARN","STOP"))),"")</f>
        <v/>
      </c>
      <c r="AD581" s="161">
        <f>IFERROR(ROUND(D581*(1-CHOOSE(MATCH(IF($E581="","Основний",$E581),{"Трафіковий","Основний","Маржинальний","Сезонний","Стратегічний"},0),Settings!$H$78,Settings!$H$80,Settings!$H$82,Settings!$H$84,Settings!$H$86))*(1-Settings!$H$68)/6,2)*6,"")</f>
        <v/>
      </c>
      <c r="AE581" s="142">
        <f>IFERROR(CHOOSE(MATCH(IF($E581="","Основний",$E581),{"Трафіковий","Основний","Маржинальний","Сезонний","Стратегічний"},0),Settings!$H$78,Settings!$H$80,Settings!$H$82,Settings!$H$84,Settings!$H$86)+(1-(CHOOSE(MATCH(IF($E581="","Основний",$E581),{"Трафіковий","Основний","Маржинальний","Сезонний","Стратегічний"},0),Settings!$H$78,Settings!$H$80,Settings!$H$82,Settings!$H$84,Settings!$H$86)))*Settings!$H$68,"")</f>
        <v/>
      </c>
      <c r="AF581" s="148">
        <f>IFERROR((AD581*(1-Settings!$H$17)-C581)/(AD581*(1-Settings!$H$17)),"")</f>
        <v/>
      </c>
      <c r="AG581" s="150">
        <f>IFERROR(IF(AD581="","",IF(AD581&gt;=C581/(1-SKU_Base!AF581)/(1-Settings!$H$17),"OK",IF(AD581&gt;=C581/(1-SKU_Base!AM581)/(1-Settings!$H$17),"WARN","STOP"))),"")</f>
        <v/>
      </c>
    </row>
    <row r="582" ht="17" customHeight="1" s="179">
      <c r="A582" s="139">
        <f>SKU_Base!B582</f>
        <v/>
      </c>
      <c r="B582" s="139">
        <f>SKU_Base!C582</f>
        <v/>
      </c>
      <c r="C582" s="140">
        <f>IFERROR(SKU_Base!I582,"")</f>
        <v/>
      </c>
      <c r="D582" s="163">
        <f>IFERROR(SKU_Base!T582,"")</f>
        <v/>
      </c>
      <c r="E582" s="141">
        <f>IFERROR(SKU_Base!$U582,"")</f>
        <v/>
      </c>
      <c r="F582" s="158">
        <f>IFERROR(ROUND(D582*(1-CHOOSE(MATCH(IF($E582="","Основний",$E582),{"Трафіковий","Основний","Маржинальний","Сезонний","Стратегічний"},0),Settings!$B$78,Settings!$B$80,Settings!$B$82,Settings!$B$84,Settings!$B$86))/6,2)*6,"")</f>
        <v/>
      </c>
      <c r="G582" s="142">
        <f>IFERROR(CHOOSE(MATCH(IF($E582="","Основний",$E582),{"Трафіковий","Основний","Маржинальний","Сезонний","Стратегічний"},0),Settings!$B$78,Settings!$B$80,Settings!$B$82,Settings!$B$84,Settings!$B$86),"")</f>
        <v/>
      </c>
      <c r="H582" s="143">
        <f>IFERROR((F582*(1-Settings!$B$17)-C582)/(F582*(1-Settings!$B$17)),"")</f>
        <v/>
      </c>
      <c r="I582" s="149">
        <f>IFERROR(IF(F582="","",IF(F582&gt;=C582/(1-SKU_Base!Z582)/(1-Settings!$B$17),"OK",IF(F582&gt;=C582/(1-SKU_Base!AG582)/(1-Settings!$B$17),"WARN","STOP"))),"")</f>
        <v/>
      </c>
      <c r="J582" s="158">
        <f>IFERROR(ROUND(D582*(1-CHOOSE(MATCH(IF($E582="","Основний",$E582),{"Трафіковий","Основний","Маржинальний","Сезонний","Стратегічний"},0),Settings!$C$78,Settings!$C$80,Settings!$C$82,Settings!$C$84,Settings!$C$86))/6,2)*6,"")</f>
        <v/>
      </c>
      <c r="K582" s="142">
        <f>IFERROR(CHOOSE(MATCH(IF($E582="","Основний",$E582),{"Трафіковий","Основний","Маржинальний","Сезонний","Стратегічний"},0),Settings!$C$78,Settings!$C$80,Settings!$C$82,Settings!$C$84,Settings!$C$86),"")</f>
        <v/>
      </c>
      <c r="L582" s="143">
        <f>IFERROR((J582*(1-Settings!$C$17)-C582)/(J582*(1-Settings!$C$17)),"")</f>
        <v/>
      </c>
      <c r="M582" s="149">
        <f>IFERROR(IF(J582="","",IF(J582&gt;=C582/(1-SKU_Base!AA582)/(1-Settings!$C$17),"OK",IF(J582&gt;=C582/(1-SKU_Base!AH582)/(1-Settings!$C$17),"WARN","STOP"))),"")</f>
        <v/>
      </c>
      <c r="N582" s="159">
        <f>IFERROR(ROUND(D582*(1-CHOOSE(MATCH(IF($E582="","Основний",$E582),{"Трафіковий","Основний","Маржинальний","Сезонний","Стратегічний"},0),Settings!$D$78,Settings!$D$80,Settings!$D$82,Settings!$D$84,Settings!$D$86))/6,2)*6,"")</f>
        <v/>
      </c>
      <c r="O582" s="142">
        <f>IFERROR(CHOOSE(MATCH(IF($E582="","Основний",$E582),{"Трафіковий","Основний","Маржинальний","Сезонний","Стратегічний"},0),Settings!$D$78,Settings!$D$80,Settings!$D$82,Settings!$D$84,Settings!$D$86),"")</f>
        <v/>
      </c>
      <c r="P582" s="143">
        <f>IFERROR((N582*(1-Settings!$D$17)-C582)/(N582*(1-Settings!$D$17)),"")</f>
        <v/>
      </c>
      <c r="Q582" s="149">
        <f>IFERROR(IF(N582="","",IF(N582&gt;=C582/(1-SKU_Base!AB582)/(1-Settings!$D$17),"OK",IF(N582&gt;=C582/(1-SKU_Base!AI582)/(1-Settings!$D$17),"WARN","STOP"))),"")</f>
        <v/>
      </c>
      <c r="R582" s="159">
        <f>IFERROR(ROUND(D582*(1-CHOOSE(MATCH(IF($E582="","Основний",$E582),{"Трафіковий","Основний","Маржинальний","Сезонний","Стратегічний"},0),Settings!$E$78,Settings!$E$80,Settings!$E$82,Settings!$E$84,Settings!$E$86))/6,2)*6,"")</f>
        <v/>
      </c>
      <c r="S582" s="142">
        <f>IFERROR(CHOOSE(MATCH(IF($E582="","Основний",$E582),{"Трафіковий","Основний","Маржинальний","Сезонний","Стратегічний"},0),Settings!$E$78,Settings!$E$80,Settings!$E$82,Settings!$E$84,Settings!$E$86),"")</f>
        <v/>
      </c>
      <c r="T582" s="143">
        <f>IFERROR((R582*(1-Settings!$E$17)-C582)/(R582*(1-Settings!$E$17)),"")</f>
        <v/>
      </c>
      <c r="U582" s="149">
        <f>IFERROR(IF(R582="","",IF(R582&gt;=C582/(1-SKU_Base!AC582)/(1-Settings!$E$17),"OK",IF(R582&gt;=C582/(1-SKU_Base!AJ582)/(1-Settings!$E$17),"WARN","STOP"))),"")</f>
        <v/>
      </c>
      <c r="V582" s="159">
        <f>IFERROR(ROUND(D582*(1-CHOOSE(MATCH(IF($E582="","Основний",$E582),{"Трафіковий","Основний","Маржинальний","Сезонний","Стратегічний"},0),Settings!$F$78,Settings!$F$80,Settings!$F$82,Settings!$F$84,Settings!$F$86))/6,2)*6,"")</f>
        <v/>
      </c>
      <c r="W582" s="142">
        <f>IFERROR(CHOOSE(MATCH(IF($E582="","Основний",$E582),{"Трафіковий","Основний","Маржинальний","Сезонний","Стратегічний"},0),Settings!$F$78,Settings!$F$80,Settings!$F$82,Settings!$F$84,Settings!$F$86),"")</f>
        <v/>
      </c>
      <c r="X582" s="143">
        <f>IFERROR((V582*(1-Settings!$F$17)-C582)/(V582*(1-Settings!$F$17)),"")</f>
        <v/>
      </c>
      <c r="Y582" s="149">
        <f>IFERROR(IF(V582="","",IF(V582&gt;=C582/(1-SKU_Base!AD582)/(1-Settings!$F$17),"OK",IF(V582&gt;=C582/(1-SKU_Base!AK582)/(1-Settings!$F$17),"WARN","STOP"))),"")</f>
        <v/>
      </c>
      <c r="Z582" s="159">
        <f>IFERROR(ROUND(D582*(1-CHOOSE(MATCH(IF($E582="","Основний",$E582),{"Трафіковий","Основний","Маржинальний","Сезонний","Стратегічний"},0),Settings!$G$78,Settings!$G$80,Settings!$G$82,Settings!$G$84,Settings!$G$86))/6,2)*6,"")</f>
        <v/>
      </c>
      <c r="AA582" s="142">
        <f>IFERROR(CHOOSE(MATCH(IF($E582="","Основний",$E582),{"Трафіковий","Основний","Маржинальний","Сезонний","Стратегічний"},0),Settings!$G$78,Settings!$G$80,Settings!$G$82,Settings!$G$84,Settings!$G$86),"")</f>
        <v/>
      </c>
      <c r="AB582" s="143">
        <f>IFERROR((Z582*(1-Settings!$G$17)-C582)/(Z582*(1-Settings!$G$17)),"")</f>
        <v/>
      </c>
      <c r="AC582" s="149">
        <f>IFERROR(IF(Z582="","",IF(Z582&gt;=C582/(1-SKU_Base!AE582)/(1-Settings!$G$17),"OK",IF(Z582&gt;=C582/(1-SKU_Base!AL582)/(1-Settings!$G$17),"WARN","STOP"))),"")</f>
        <v/>
      </c>
      <c r="AD582" s="159">
        <f>IFERROR(ROUND(D582*(1-CHOOSE(MATCH(IF($E582="","Основний",$E582),{"Трафіковий","Основний","Маржинальний","Сезонний","Стратегічний"},0),Settings!$H$78,Settings!$H$80,Settings!$H$82,Settings!$H$84,Settings!$H$86))*(1-Settings!$H$68)/6,2)*6,"")</f>
        <v/>
      </c>
      <c r="AE582" s="142">
        <f>IFERROR(CHOOSE(MATCH(IF($E582="","Основний",$E582),{"Трафіковий","Основний","Маржинальний","Сезонний","Стратегічний"},0),Settings!$H$78,Settings!$H$80,Settings!$H$82,Settings!$H$84,Settings!$H$86)+(1-(CHOOSE(MATCH(IF($E582="","Основний",$E582),{"Трафіковий","Основний","Маржинальний","Сезонний","Стратегічний"},0),Settings!$H$78,Settings!$H$80,Settings!$H$82,Settings!$H$84,Settings!$H$86)))*Settings!$H$68,"")</f>
        <v/>
      </c>
      <c r="AF582" s="143">
        <f>IFERROR((AD582*(1-Settings!$H$17)-C582)/(AD582*(1-Settings!$H$17)),"")</f>
        <v/>
      </c>
      <c r="AG582" s="150">
        <f>IFERROR(IF(AD582="","",IF(AD582&gt;=C582/(1-SKU_Base!AF582)/(1-Settings!$H$17),"OK",IF(AD582&gt;=C582/(1-SKU_Base!AM582)/(1-Settings!$H$17),"WARN","STOP"))),"")</f>
        <v/>
      </c>
    </row>
    <row r="583" ht="17" customHeight="1" s="179">
      <c r="A583" s="146">
        <f>SKU_Base!B583</f>
        <v/>
      </c>
      <c r="B583" s="146">
        <f>SKU_Base!C583</f>
        <v/>
      </c>
      <c r="C583" s="147">
        <f>IFERROR(SKU_Base!I583,"")</f>
        <v/>
      </c>
      <c r="D583" s="164">
        <f>IFERROR(SKU_Base!T583,"")</f>
        <v/>
      </c>
      <c r="E583" s="141">
        <f>IFERROR(SKU_Base!$U583,"")</f>
        <v/>
      </c>
      <c r="F583" s="160">
        <f>IFERROR(ROUND(D583*(1-CHOOSE(MATCH(IF($E583="","Основний",$E583),{"Трафіковий","Основний","Маржинальний","Сезонний","Стратегічний"},0),Settings!$B$78,Settings!$B$80,Settings!$B$82,Settings!$B$84,Settings!$B$86))/6,2)*6,"")</f>
        <v/>
      </c>
      <c r="G583" s="142">
        <f>IFERROR(CHOOSE(MATCH(IF($E583="","Основний",$E583),{"Трафіковий","Основний","Маржинальний","Сезонний","Стратегічний"},0),Settings!$B$78,Settings!$B$80,Settings!$B$82,Settings!$B$84,Settings!$B$86),"")</f>
        <v/>
      </c>
      <c r="H583" s="148">
        <f>IFERROR((F583*(1-Settings!$B$17)-C583)/(F583*(1-Settings!$B$17)),"")</f>
        <v/>
      </c>
      <c r="I583" s="149">
        <f>IFERROR(IF(F583="","",IF(F583&gt;=C583/(1-SKU_Base!Z583)/(1-Settings!$B$17),"OK",IF(F583&gt;=C583/(1-SKU_Base!AG583)/(1-Settings!$B$17),"WARN","STOP"))),"")</f>
        <v/>
      </c>
      <c r="J583" s="160">
        <f>IFERROR(ROUND(D583*(1-CHOOSE(MATCH(IF($E583="","Основний",$E583),{"Трафіковий","Основний","Маржинальний","Сезонний","Стратегічний"},0),Settings!$C$78,Settings!$C$80,Settings!$C$82,Settings!$C$84,Settings!$C$86))/6,2)*6,"")</f>
        <v/>
      </c>
      <c r="K583" s="142">
        <f>IFERROR(CHOOSE(MATCH(IF($E583="","Основний",$E583),{"Трафіковий","Основний","Маржинальний","Сезонний","Стратегічний"},0),Settings!$C$78,Settings!$C$80,Settings!$C$82,Settings!$C$84,Settings!$C$86),"")</f>
        <v/>
      </c>
      <c r="L583" s="148">
        <f>IFERROR((J583*(1-Settings!$C$17)-C583)/(J583*(1-Settings!$C$17)),"")</f>
        <v/>
      </c>
      <c r="M583" s="149">
        <f>IFERROR(IF(J583="","",IF(J583&gt;=C583/(1-SKU_Base!AA583)/(1-Settings!$C$17),"OK",IF(J583&gt;=C583/(1-SKU_Base!AH583)/(1-Settings!$C$17),"WARN","STOP"))),"")</f>
        <v/>
      </c>
      <c r="N583" s="161">
        <f>IFERROR(ROUND(D583*(1-CHOOSE(MATCH(IF($E583="","Основний",$E583),{"Трафіковий","Основний","Маржинальний","Сезонний","Стратегічний"},0),Settings!$D$78,Settings!$D$80,Settings!$D$82,Settings!$D$84,Settings!$D$86))/6,2)*6,"")</f>
        <v/>
      </c>
      <c r="O583" s="142">
        <f>IFERROR(CHOOSE(MATCH(IF($E583="","Основний",$E583),{"Трафіковий","Основний","Маржинальний","Сезонний","Стратегічний"},0),Settings!$D$78,Settings!$D$80,Settings!$D$82,Settings!$D$84,Settings!$D$86),"")</f>
        <v/>
      </c>
      <c r="P583" s="148">
        <f>IFERROR((N583*(1-Settings!$D$17)-C583)/(N583*(1-Settings!$D$17)),"")</f>
        <v/>
      </c>
      <c r="Q583" s="149">
        <f>IFERROR(IF(N583="","",IF(N583&gt;=C583/(1-SKU_Base!AB583)/(1-Settings!$D$17),"OK",IF(N583&gt;=C583/(1-SKU_Base!AI583)/(1-Settings!$D$17),"WARN","STOP"))),"")</f>
        <v/>
      </c>
      <c r="R583" s="161">
        <f>IFERROR(ROUND(D583*(1-CHOOSE(MATCH(IF($E583="","Основний",$E583),{"Трафіковий","Основний","Маржинальний","Сезонний","Стратегічний"},0),Settings!$E$78,Settings!$E$80,Settings!$E$82,Settings!$E$84,Settings!$E$86))/6,2)*6,"")</f>
        <v/>
      </c>
      <c r="S583" s="142">
        <f>IFERROR(CHOOSE(MATCH(IF($E583="","Основний",$E583),{"Трафіковий","Основний","Маржинальний","Сезонний","Стратегічний"},0),Settings!$E$78,Settings!$E$80,Settings!$E$82,Settings!$E$84,Settings!$E$86),"")</f>
        <v/>
      </c>
      <c r="T583" s="148">
        <f>IFERROR((R583*(1-Settings!$E$17)-C583)/(R583*(1-Settings!$E$17)),"")</f>
        <v/>
      </c>
      <c r="U583" s="149">
        <f>IFERROR(IF(R583="","",IF(R583&gt;=C583/(1-SKU_Base!AC583)/(1-Settings!$E$17),"OK",IF(R583&gt;=C583/(1-SKU_Base!AJ583)/(1-Settings!$E$17),"WARN","STOP"))),"")</f>
        <v/>
      </c>
      <c r="V583" s="161">
        <f>IFERROR(ROUND(D583*(1-CHOOSE(MATCH(IF($E583="","Основний",$E583),{"Трафіковий","Основний","Маржинальний","Сезонний","Стратегічний"},0),Settings!$F$78,Settings!$F$80,Settings!$F$82,Settings!$F$84,Settings!$F$86))/6,2)*6,"")</f>
        <v/>
      </c>
      <c r="W583" s="142">
        <f>IFERROR(CHOOSE(MATCH(IF($E583="","Основний",$E583),{"Трафіковий","Основний","Маржинальний","Сезонний","Стратегічний"},0),Settings!$F$78,Settings!$F$80,Settings!$F$82,Settings!$F$84,Settings!$F$86),"")</f>
        <v/>
      </c>
      <c r="X583" s="148">
        <f>IFERROR((V583*(1-Settings!$F$17)-C583)/(V583*(1-Settings!$F$17)),"")</f>
        <v/>
      </c>
      <c r="Y583" s="149">
        <f>IFERROR(IF(V583="","",IF(V583&gt;=C583/(1-SKU_Base!AD583)/(1-Settings!$F$17),"OK",IF(V583&gt;=C583/(1-SKU_Base!AK583)/(1-Settings!$F$17),"WARN","STOP"))),"")</f>
        <v/>
      </c>
      <c r="Z583" s="161">
        <f>IFERROR(ROUND(D583*(1-CHOOSE(MATCH(IF($E583="","Основний",$E583),{"Трафіковий","Основний","Маржинальний","Сезонний","Стратегічний"},0),Settings!$G$78,Settings!$G$80,Settings!$G$82,Settings!$G$84,Settings!$G$86))/6,2)*6,"")</f>
        <v/>
      </c>
      <c r="AA583" s="142">
        <f>IFERROR(CHOOSE(MATCH(IF($E583="","Основний",$E583),{"Трафіковий","Основний","Маржинальний","Сезонний","Стратегічний"},0),Settings!$G$78,Settings!$G$80,Settings!$G$82,Settings!$G$84,Settings!$G$86),"")</f>
        <v/>
      </c>
      <c r="AB583" s="148">
        <f>IFERROR((Z583*(1-Settings!$G$17)-C583)/(Z583*(1-Settings!$G$17)),"")</f>
        <v/>
      </c>
      <c r="AC583" s="149">
        <f>IFERROR(IF(Z583="","",IF(Z583&gt;=C583/(1-SKU_Base!AE583)/(1-Settings!$G$17),"OK",IF(Z583&gt;=C583/(1-SKU_Base!AL583)/(1-Settings!$G$17),"WARN","STOP"))),"")</f>
        <v/>
      </c>
      <c r="AD583" s="161">
        <f>IFERROR(ROUND(D583*(1-CHOOSE(MATCH(IF($E583="","Основний",$E583),{"Трафіковий","Основний","Маржинальний","Сезонний","Стратегічний"},0),Settings!$H$78,Settings!$H$80,Settings!$H$82,Settings!$H$84,Settings!$H$86))*(1-Settings!$H$68)/6,2)*6,"")</f>
        <v/>
      </c>
      <c r="AE583" s="142">
        <f>IFERROR(CHOOSE(MATCH(IF($E583="","Основний",$E583),{"Трафіковий","Основний","Маржинальний","Сезонний","Стратегічний"},0),Settings!$H$78,Settings!$H$80,Settings!$H$82,Settings!$H$84,Settings!$H$86)+(1-(CHOOSE(MATCH(IF($E583="","Основний",$E583),{"Трафіковий","Основний","Маржинальний","Сезонний","Стратегічний"},0),Settings!$H$78,Settings!$H$80,Settings!$H$82,Settings!$H$84,Settings!$H$86)))*Settings!$H$68,"")</f>
        <v/>
      </c>
      <c r="AF583" s="148">
        <f>IFERROR((AD583*(1-Settings!$H$17)-C583)/(AD583*(1-Settings!$H$17)),"")</f>
        <v/>
      </c>
      <c r="AG583" s="150">
        <f>IFERROR(IF(AD583="","",IF(AD583&gt;=C583/(1-SKU_Base!AF583)/(1-Settings!$H$17),"OK",IF(AD583&gt;=C583/(1-SKU_Base!AM583)/(1-Settings!$H$17),"WARN","STOP"))),"")</f>
        <v/>
      </c>
    </row>
    <row r="584" ht="17" customHeight="1" s="179">
      <c r="A584" s="139">
        <f>SKU_Base!B584</f>
        <v/>
      </c>
      <c r="B584" s="139">
        <f>SKU_Base!C584</f>
        <v/>
      </c>
      <c r="C584" s="140">
        <f>IFERROR(SKU_Base!I584,"")</f>
        <v/>
      </c>
      <c r="D584" s="163">
        <f>IFERROR(SKU_Base!T584,"")</f>
        <v/>
      </c>
      <c r="E584" s="141">
        <f>IFERROR(SKU_Base!$U584,"")</f>
        <v/>
      </c>
      <c r="F584" s="158">
        <f>IFERROR(ROUND(D584*(1-CHOOSE(MATCH(IF($E584="","Основний",$E584),{"Трафіковий","Основний","Маржинальний","Сезонний","Стратегічний"},0),Settings!$B$78,Settings!$B$80,Settings!$B$82,Settings!$B$84,Settings!$B$86))/6,2)*6,"")</f>
        <v/>
      </c>
      <c r="G584" s="142">
        <f>IFERROR(CHOOSE(MATCH(IF($E584="","Основний",$E584),{"Трафіковий","Основний","Маржинальний","Сезонний","Стратегічний"},0),Settings!$B$78,Settings!$B$80,Settings!$B$82,Settings!$B$84,Settings!$B$86),"")</f>
        <v/>
      </c>
      <c r="H584" s="143">
        <f>IFERROR((F584*(1-Settings!$B$17)-C584)/(F584*(1-Settings!$B$17)),"")</f>
        <v/>
      </c>
      <c r="I584" s="149">
        <f>IFERROR(IF(F584="","",IF(F584&gt;=C584/(1-SKU_Base!Z584)/(1-Settings!$B$17),"OK",IF(F584&gt;=C584/(1-SKU_Base!AG584)/(1-Settings!$B$17),"WARN","STOP"))),"")</f>
        <v/>
      </c>
      <c r="J584" s="158">
        <f>IFERROR(ROUND(D584*(1-CHOOSE(MATCH(IF($E584="","Основний",$E584),{"Трафіковий","Основний","Маржинальний","Сезонний","Стратегічний"},0),Settings!$C$78,Settings!$C$80,Settings!$C$82,Settings!$C$84,Settings!$C$86))/6,2)*6,"")</f>
        <v/>
      </c>
      <c r="K584" s="142">
        <f>IFERROR(CHOOSE(MATCH(IF($E584="","Основний",$E584),{"Трафіковий","Основний","Маржинальний","Сезонний","Стратегічний"},0),Settings!$C$78,Settings!$C$80,Settings!$C$82,Settings!$C$84,Settings!$C$86),"")</f>
        <v/>
      </c>
      <c r="L584" s="143">
        <f>IFERROR((J584*(1-Settings!$C$17)-C584)/(J584*(1-Settings!$C$17)),"")</f>
        <v/>
      </c>
      <c r="M584" s="149">
        <f>IFERROR(IF(J584="","",IF(J584&gt;=C584/(1-SKU_Base!AA584)/(1-Settings!$C$17),"OK",IF(J584&gt;=C584/(1-SKU_Base!AH584)/(1-Settings!$C$17),"WARN","STOP"))),"")</f>
        <v/>
      </c>
      <c r="N584" s="159">
        <f>IFERROR(ROUND(D584*(1-CHOOSE(MATCH(IF($E584="","Основний",$E584),{"Трафіковий","Основний","Маржинальний","Сезонний","Стратегічний"},0),Settings!$D$78,Settings!$D$80,Settings!$D$82,Settings!$D$84,Settings!$D$86))/6,2)*6,"")</f>
        <v/>
      </c>
      <c r="O584" s="142">
        <f>IFERROR(CHOOSE(MATCH(IF($E584="","Основний",$E584),{"Трафіковий","Основний","Маржинальний","Сезонний","Стратегічний"},0),Settings!$D$78,Settings!$D$80,Settings!$D$82,Settings!$D$84,Settings!$D$86),"")</f>
        <v/>
      </c>
      <c r="P584" s="143">
        <f>IFERROR((N584*(1-Settings!$D$17)-C584)/(N584*(1-Settings!$D$17)),"")</f>
        <v/>
      </c>
      <c r="Q584" s="149">
        <f>IFERROR(IF(N584="","",IF(N584&gt;=C584/(1-SKU_Base!AB584)/(1-Settings!$D$17),"OK",IF(N584&gt;=C584/(1-SKU_Base!AI584)/(1-Settings!$D$17),"WARN","STOP"))),"")</f>
        <v/>
      </c>
      <c r="R584" s="159">
        <f>IFERROR(ROUND(D584*(1-CHOOSE(MATCH(IF($E584="","Основний",$E584),{"Трафіковий","Основний","Маржинальний","Сезонний","Стратегічний"},0),Settings!$E$78,Settings!$E$80,Settings!$E$82,Settings!$E$84,Settings!$E$86))/6,2)*6,"")</f>
        <v/>
      </c>
      <c r="S584" s="142">
        <f>IFERROR(CHOOSE(MATCH(IF($E584="","Основний",$E584),{"Трафіковий","Основний","Маржинальний","Сезонний","Стратегічний"},0),Settings!$E$78,Settings!$E$80,Settings!$E$82,Settings!$E$84,Settings!$E$86),"")</f>
        <v/>
      </c>
      <c r="T584" s="143">
        <f>IFERROR((R584*(1-Settings!$E$17)-C584)/(R584*(1-Settings!$E$17)),"")</f>
        <v/>
      </c>
      <c r="U584" s="149">
        <f>IFERROR(IF(R584="","",IF(R584&gt;=C584/(1-SKU_Base!AC584)/(1-Settings!$E$17),"OK",IF(R584&gt;=C584/(1-SKU_Base!AJ584)/(1-Settings!$E$17),"WARN","STOP"))),"")</f>
        <v/>
      </c>
      <c r="V584" s="159">
        <f>IFERROR(ROUND(D584*(1-CHOOSE(MATCH(IF($E584="","Основний",$E584),{"Трафіковий","Основний","Маржинальний","Сезонний","Стратегічний"},0),Settings!$F$78,Settings!$F$80,Settings!$F$82,Settings!$F$84,Settings!$F$86))/6,2)*6,"")</f>
        <v/>
      </c>
      <c r="W584" s="142">
        <f>IFERROR(CHOOSE(MATCH(IF($E584="","Основний",$E584),{"Трафіковий","Основний","Маржинальний","Сезонний","Стратегічний"},0),Settings!$F$78,Settings!$F$80,Settings!$F$82,Settings!$F$84,Settings!$F$86),"")</f>
        <v/>
      </c>
      <c r="X584" s="143">
        <f>IFERROR((V584*(1-Settings!$F$17)-C584)/(V584*(1-Settings!$F$17)),"")</f>
        <v/>
      </c>
      <c r="Y584" s="149">
        <f>IFERROR(IF(V584="","",IF(V584&gt;=C584/(1-SKU_Base!AD584)/(1-Settings!$F$17),"OK",IF(V584&gt;=C584/(1-SKU_Base!AK584)/(1-Settings!$F$17),"WARN","STOP"))),"")</f>
        <v/>
      </c>
      <c r="Z584" s="159">
        <f>IFERROR(ROUND(D584*(1-CHOOSE(MATCH(IF($E584="","Основний",$E584),{"Трафіковий","Основний","Маржинальний","Сезонний","Стратегічний"},0),Settings!$G$78,Settings!$G$80,Settings!$G$82,Settings!$G$84,Settings!$G$86))/6,2)*6,"")</f>
        <v/>
      </c>
      <c r="AA584" s="142">
        <f>IFERROR(CHOOSE(MATCH(IF($E584="","Основний",$E584),{"Трафіковий","Основний","Маржинальний","Сезонний","Стратегічний"},0),Settings!$G$78,Settings!$G$80,Settings!$G$82,Settings!$G$84,Settings!$G$86),"")</f>
        <v/>
      </c>
      <c r="AB584" s="143">
        <f>IFERROR((Z584*(1-Settings!$G$17)-C584)/(Z584*(1-Settings!$G$17)),"")</f>
        <v/>
      </c>
      <c r="AC584" s="149">
        <f>IFERROR(IF(Z584="","",IF(Z584&gt;=C584/(1-SKU_Base!AE584)/(1-Settings!$G$17),"OK",IF(Z584&gt;=C584/(1-SKU_Base!AL584)/(1-Settings!$G$17),"WARN","STOP"))),"")</f>
        <v/>
      </c>
      <c r="AD584" s="159">
        <f>IFERROR(ROUND(D584*(1-CHOOSE(MATCH(IF($E584="","Основний",$E584),{"Трафіковий","Основний","Маржинальний","Сезонний","Стратегічний"},0),Settings!$H$78,Settings!$H$80,Settings!$H$82,Settings!$H$84,Settings!$H$86))*(1-Settings!$H$68)/6,2)*6,"")</f>
        <v/>
      </c>
      <c r="AE584" s="142">
        <f>IFERROR(CHOOSE(MATCH(IF($E584="","Основний",$E584),{"Трафіковий","Основний","Маржинальний","Сезонний","Стратегічний"},0),Settings!$H$78,Settings!$H$80,Settings!$H$82,Settings!$H$84,Settings!$H$86)+(1-(CHOOSE(MATCH(IF($E584="","Основний",$E584),{"Трафіковий","Основний","Маржинальний","Сезонний","Стратегічний"},0),Settings!$H$78,Settings!$H$80,Settings!$H$82,Settings!$H$84,Settings!$H$86)))*Settings!$H$68,"")</f>
        <v/>
      </c>
      <c r="AF584" s="143">
        <f>IFERROR((AD584*(1-Settings!$H$17)-C584)/(AD584*(1-Settings!$H$17)),"")</f>
        <v/>
      </c>
      <c r="AG584" s="150">
        <f>IFERROR(IF(AD584="","",IF(AD584&gt;=C584/(1-SKU_Base!AF584)/(1-Settings!$H$17),"OK",IF(AD584&gt;=C584/(1-SKU_Base!AM584)/(1-Settings!$H$17),"WARN","STOP"))),"")</f>
        <v/>
      </c>
    </row>
    <row r="585" ht="17" customHeight="1" s="179">
      <c r="A585" s="146">
        <f>SKU_Base!B585</f>
        <v/>
      </c>
      <c r="B585" s="146">
        <f>SKU_Base!C585</f>
        <v/>
      </c>
      <c r="C585" s="147">
        <f>IFERROR(SKU_Base!I585,"")</f>
        <v/>
      </c>
      <c r="D585" s="164">
        <f>IFERROR(SKU_Base!T585,"")</f>
        <v/>
      </c>
      <c r="E585" s="141">
        <f>IFERROR(SKU_Base!$U585,"")</f>
        <v/>
      </c>
      <c r="F585" s="160">
        <f>IFERROR(ROUND(D585*(1-CHOOSE(MATCH(IF($E585="","Основний",$E585),{"Трафіковий","Основний","Маржинальний","Сезонний","Стратегічний"},0),Settings!$B$78,Settings!$B$80,Settings!$B$82,Settings!$B$84,Settings!$B$86))/6,2)*6,"")</f>
        <v/>
      </c>
      <c r="G585" s="142">
        <f>IFERROR(CHOOSE(MATCH(IF($E585="","Основний",$E585),{"Трафіковий","Основний","Маржинальний","Сезонний","Стратегічний"},0),Settings!$B$78,Settings!$B$80,Settings!$B$82,Settings!$B$84,Settings!$B$86),"")</f>
        <v/>
      </c>
      <c r="H585" s="148">
        <f>IFERROR((F585*(1-Settings!$B$17)-C585)/(F585*(1-Settings!$B$17)),"")</f>
        <v/>
      </c>
      <c r="I585" s="149">
        <f>IFERROR(IF(F585="","",IF(F585&gt;=C585/(1-SKU_Base!Z585)/(1-Settings!$B$17),"OK",IF(F585&gt;=C585/(1-SKU_Base!AG585)/(1-Settings!$B$17),"WARN","STOP"))),"")</f>
        <v/>
      </c>
      <c r="J585" s="160">
        <f>IFERROR(ROUND(D585*(1-CHOOSE(MATCH(IF($E585="","Основний",$E585),{"Трафіковий","Основний","Маржинальний","Сезонний","Стратегічний"},0),Settings!$C$78,Settings!$C$80,Settings!$C$82,Settings!$C$84,Settings!$C$86))/6,2)*6,"")</f>
        <v/>
      </c>
      <c r="K585" s="142">
        <f>IFERROR(CHOOSE(MATCH(IF($E585="","Основний",$E585),{"Трафіковий","Основний","Маржинальний","Сезонний","Стратегічний"},0),Settings!$C$78,Settings!$C$80,Settings!$C$82,Settings!$C$84,Settings!$C$86),"")</f>
        <v/>
      </c>
      <c r="L585" s="148">
        <f>IFERROR((J585*(1-Settings!$C$17)-C585)/(J585*(1-Settings!$C$17)),"")</f>
        <v/>
      </c>
      <c r="M585" s="149">
        <f>IFERROR(IF(J585="","",IF(J585&gt;=C585/(1-SKU_Base!AA585)/(1-Settings!$C$17),"OK",IF(J585&gt;=C585/(1-SKU_Base!AH585)/(1-Settings!$C$17),"WARN","STOP"))),"")</f>
        <v/>
      </c>
      <c r="N585" s="161">
        <f>IFERROR(ROUND(D585*(1-CHOOSE(MATCH(IF($E585="","Основний",$E585),{"Трафіковий","Основний","Маржинальний","Сезонний","Стратегічний"},0),Settings!$D$78,Settings!$D$80,Settings!$D$82,Settings!$D$84,Settings!$D$86))/6,2)*6,"")</f>
        <v/>
      </c>
      <c r="O585" s="142">
        <f>IFERROR(CHOOSE(MATCH(IF($E585="","Основний",$E585),{"Трафіковий","Основний","Маржинальний","Сезонний","Стратегічний"},0),Settings!$D$78,Settings!$D$80,Settings!$D$82,Settings!$D$84,Settings!$D$86),"")</f>
        <v/>
      </c>
      <c r="P585" s="148">
        <f>IFERROR((N585*(1-Settings!$D$17)-C585)/(N585*(1-Settings!$D$17)),"")</f>
        <v/>
      </c>
      <c r="Q585" s="149">
        <f>IFERROR(IF(N585="","",IF(N585&gt;=C585/(1-SKU_Base!AB585)/(1-Settings!$D$17),"OK",IF(N585&gt;=C585/(1-SKU_Base!AI585)/(1-Settings!$D$17),"WARN","STOP"))),"")</f>
        <v/>
      </c>
      <c r="R585" s="161">
        <f>IFERROR(ROUND(D585*(1-CHOOSE(MATCH(IF($E585="","Основний",$E585),{"Трафіковий","Основний","Маржинальний","Сезонний","Стратегічний"},0),Settings!$E$78,Settings!$E$80,Settings!$E$82,Settings!$E$84,Settings!$E$86))/6,2)*6,"")</f>
        <v/>
      </c>
      <c r="S585" s="142">
        <f>IFERROR(CHOOSE(MATCH(IF($E585="","Основний",$E585),{"Трафіковий","Основний","Маржинальний","Сезонний","Стратегічний"},0),Settings!$E$78,Settings!$E$80,Settings!$E$82,Settings!$E$84,Settings!$E$86),"")</f>
        <v/>
      </c>
      <c r="T585" s="148">
        <f>IFERROR((R585*(1-Settings!$E$17)-C585)/(R585*(1-Settings!$E$17)),"")</f>
        <v/>
      </c>
      <c r="U585" s="149">
        <f>IFERROR(IF(R585="","",IF(R585&gt;=C585/(1-SKU_Base!AC585)/(1-Settings!$E$17),"OK",IF(R585&gt;=C585/(1-SKU_Base!AJ585)/(1-Settings!$E$17),"WARN","STOP"))),"")</f>
        <v/>
      </c>
      <c r="V585" s="161">
        <f>IFERROR(ROUND(D585*(1-CHOOSE(MATCH(IF($E585="","Основний",$E585),{"Трафіковий","Основний","Маржинальний","Сезонний","Стратегічний"},0),Settings!$F$78,Settings!$F$80,Settings!$F$82,Settings!$F$84,Settings!$F$86))/6,2)*6,"")</f>
        <v/>
      </c>
      <c r="W585" s="142">
        <f>IFERROR(CHOOSE(MATCH(IF($E585="","Основний",$E585),{"Трафіковий","Основний","Маржинальний","Сезонний","Стратегічний"},0),Settings!$F$78,Settings!$F$80,Settings!$F$82,Settings!$F$84,Settings!$F$86),"")</f>
        <v/>
      </c>
      <c r="X585" s="148">
        <f>IFERROR((V585*(1-Settings!$F$17)-C585)/(V585*(1-Settings!$F$17)),"")</f>
        <v/>
      </c>
      <c r="Y585" s="149">
        <f>IFERROR(IF(V585="","",IF(V585&gt;=C585/(1-SKU_Base!AD585)/(1-Settings!$F$17),"OK",IF(V585&gt;=C585/(1-SKU_Base!AK585)/(1-Settings!$F$17),"WARN","STOP"))),"")</f>
        <v/>
      </c>
      <c r="Z585" s="161">
        <f>IFERROR(ROUND(D585*(1-CHOOSE(MATCH(IF($E585="","Основний",$E585),{"Трафіковий","Основний","Маржинальний","Сезонний","Стратегічний"},0),Settings!$G$78,Settings!$G$80,Settings!$G$82,Settings!$G$84,Settings!$G$86))/6,2)*6,"")</f>
        <v/>
      </c>
      <c r="AA585" s="142">
        <f>IFERROR(CHOOSE(MATCH(IF($E585="","Основний",$E585),{"Трафіковий","Основний","Маржинальний","Сезонний","Стратегічний"},0),Settings!$G$78,Settings!$G$80,Settings!$G$82,Settings!$G$84,Settings!$G$86),"")</f>
        <v/>
      </c>
      <c r="AB585" s="148">
        <f>IFERROR((Z585*(1-Settings!$G$17)-C585)/(Z585*(1-Settings!$G$17)),"")</f>
        <v/>
      </c>
      <c r="AC585" s="149">
        <f>IFERROR(IF(Z585="","",IF(Z585&gt;=C585/(1-SKU_Base!AE585)/(1-Settings!$G$17),"OK",IF(Z585&gt;=C585/(1-SKU_Base!AL585)/(1-Settings!$G$17),"WARN","STOP"))),"")</f>
        <v/>
      </c>
      <c r="AD585" s="161">
        <f>IFERROR(ROUND(D585*(1-CHOOSE(MATCH(IF($E585="","Основний",$E585),{"Трафіковий","Основний","Маржинальний","Сезонний","Стратегічний"},0),Settings!$H$78,Settings!$H$80,Settings!$H$82,Settings!$H$84,Settings!$H$86))*(1-Settings!$H$68)/6,2)*6,"")</f>
        <v/>
      </c>
      <c r="AE585" s="142">
        <f>IFERROR(CHOOSE(MATCH(IF($E585="","Основний",$E585),{"Трафіковий","Основний","Маржинальний","Сезонний","Стратегічний"},0),Settings!$H$78,Settings!$H$80,Settings!$H$82,Settings!$H$84,Settings!$H$86)+(1-(CHOOSE(MATCH(IF($E585="","Основний",$E585),{"Трафіковий","Основний","Маржинальний","Сезонний","Стратегічний"},0),Settings!$H$78,Settings!$H$80,Settings!$H$82,Settings!$H$84,Settings!$H$86)))*Settings!$H$68,"")</f>
        <v/>
      </c>
      <c r="AF585" s="148">
        <f>IFERROR((AD585*(1-Settings!$H$17)-C585)/(AD585*(1-Settings!$H$17)),"")</f>
        <v/>
      </c>
      <c r="AG585" s="150">
        <f>IFERROR(IF(AD585="","",IF(AD585&gt;=C585/(1-SKU_Base!AF585)/(1-Settings!$H$17),"OK",IF(AD585&gt;=C585/(1-SKU_Base!AM585)/(1-Settings!$H$17),"WARN","STOP"))),"")</f>
        <v/>
      </c>
    </row>
    <row r="586" ht="17" customHeight="1" s="179">
      <c r="A586" s="139">
        <f>SKU_Base!B586</f>
        <v/>
      </c>
      <c r="B586" s="139">
        <f>SKU_Base!C586</f>
        <v/>
      </c>
      <c r="C586" s="140">
        <f>IFERROR(SKU_Base!I586,"")</f>
        <v/>
      </c>
      <c r="D586" s="163">
        <f>IFERROR(SKU_Base!T586,"")</f>
        <v/>
      </c>
      <c r="E586" s="141">
        <f>IFERROR(SKU_Base!$U586,"")</f>
        <v/>
      </c>
      <c r="F586" s="158">
        <f>IFERROR(ROUND(D586*(1-CHOOSE(MATCH(IF($E586="","Основний",$E586),{"Трафіковий","Основний","Маржинальний","Сезонний","Стратегічний"},0),Settings!$B$78,Settings!$B$80,Settings!$B$82,Settings!$B$84,Settings!$B$86))/6,2)*6,"")</f>
        <v/>
      </c>
      <c r="G586" s="142">
        <f>IFERROR(CHOOSE(MATCH(IF($E586="","Основний",$E586),{"Трафіковий","Основний","Маржинальний","Сезонний","Стратегічний"},0),Settings!$B$78,Settings!$B$80,Settings!$B$82,Settings!$B$84,Settings!$B$86),"")</f>
        <v/>
      </c>
      <c r="H586" s="143">
        <f>IFERROR((F586*(1-Settings!$B$17)-C586)/(F586*(1-Settings!$B$17)),"")</f>
        <v/>
      </c>
      <c r="I586" s="149">
        <f>IFERROR(IF(F586="","",IF(F586&gt;=C586/(1-SKU_Base!Z586)/(1-Settings!$B$17),"OK",IF(F586&gt;=C586/(1-SKU_Base!AG586)/(1-Settings!$B$17),"WARN","STOP"))),"")</f>
        <v/>
      </c>
      <c r="J586" s="158">
        <f>IFERROR(ROUND(D586*(1-CHOOSE(MATCH(IF($E586="","Основний",$E586),{"Трафіковий","Основний","Маржинальний","Сезонний","Стратегічний"},0),Settings!$C$78,Settings!$C$80,Settings!$C$82,Settings!$C$84,Settings!$C$86))/6,2)*6,"")</f>
        <v/>
      </c>
      <c r="K586" s="142">
        <f>IFERROR(CHOOSE(MATCH(IF($E586="","Основний",$E586),{"Трафіковий","Основний","Маржинальний","Сезонний","Стратегічний"},0),Settings!$C$78,Settings!$C$80,Settings!$C$82,Settings!$C$84,Settings!$C$86),"")</f>
        <v/>
      </c>
      <c r="L586" s="143">
        <f>IFERROR((J586*(1-Settings!$C$17)-C586)/(J586*(1-Settings!$C$17)),"")</f>
        <v/>
      </c>
      <c r="M586" s="149">
        <f>IFERROR(IF(J586="","",IF(J586&gt;=C586/(1-SKU_Base!AA586)/(1-Settings!$C$17),"OK",IF(J586&gt;=C586/(1-SKU_Base!AH586)/(1-Settings!$C$17),"WARN","STOP"))),"")</f>
        <v/>
      </c>
      <c r="N586" s="159">
        <f>IFERROR(ROUND(D586*(1-CHOOSE(MATCH(IF($E586="","Основний",$E586),{"Трафіковий","Основний","Маржинальний","Сезонний","Стратегічний"},0),Settings!$D$78,Settings!$D$80,Settings!$D$82,Settings!$D$84,Settings!$D$86))/6,2)*6,"")</f>
        <v/>
      </c>
      <c r="O586" s="142">
        <f>IFERROR(CHOOSE(MATCH(IF($E586="","Основний",$E586),{"Трафіковий","Основний","Маржинальний","Сезонний","Стратегічний"},0),Settings!$D$78,Settings!$D$80,Settings!$D$82,Settings!$D$84,Settings!$D$86),"")</f>
        <v/>
      </c>
      <c r="P586" s="143">
        <f>IFERROR((N586*(1-Settings!$D$17)-C586)/(N586*(1-Settings!$D$17)),"")</f>
        <v/>
      </c>
      <c r="Q586" s="149">
        <f>IFERROR(IF(N586="","",IF(N586&gt;=C586/(1-SKU_Base!AB586)/(1-Settings!$D$17),"OK",IF(N586&gt;=C586/(1-SKU_Base!AI586)/(1-Settings!$D$17),"WARN","STOP"))),"")</f>
        <v/>
      </c>
      <c r="R586" s="159">
        <f>IFERROR(ROUND(D586*(1-CHOOSE(MATCH(IF($E586="","Основний",$E586),{"Трафіковий","Основний","Маржинальний","Сезонний","Стратегічний"},0),Settings!$E$78,Settings!$E$80,Settings!$E$82,Settings!$E$84,Settings!$E$86))/6,2)*6,"")</f>
        <v/>
      </c>
      <c r="S586" s="142">
        <f>IFERROR(CHOOSE(MATCH(IF($E586="","Основний",$E586),{"Трафіковий","Основний","Маржинальний","Сезонний","Стратегічний"},0),Settings!$E$78,Settings!$E$80,Settings!$E$82,Settings!$E$84,Settings!$E$86),"")</f>
        <v/>
      </c>
      <c r="T586" s="143">
        <f>IFERROR((R586*(1-Settings!$E$17)-C586)/(R586*(1-Settings!$E$17)),"")</f>
        <v/>
      </c>
      <c r="U586" s="149">
        <f>IFERROR(IF(R586="","",IF(R586&gt;=C586/(1-SKU_Base!AC586)/(1-Settings!$E$17),"OK",IF(R586&gt;=C586/(1-SKU_Base!AJ586)/(1-Settings!$E$17),"WARN","STOP"))),"")</f>
        <v/>
      </c>
      <c r="V586" s="159">
        <f>IFERROR(ROUND(D586*(1-CHOOSE(MATCH(IF($E586="","Основний",$E586),{"Трафіковий","Основний","Маржинальний","Сезонний","Стратегічний"},0),Settings!$F$78,Settings!$F$80,Settings!$F$82,Settings!$F$84,Settings!$F$86))/6,2)*6,"")</f>
        <v/>
      </c>
      <c r="W586" s="142">
        <f>IFERROR(CHOOSE(MATCH(IF($E586="","Основний",$E586),{"Трафіковий","Основний","Маржинальний","Сезонний","Стратегічний"},0),Settings!$F$78,Settings!$F$80,Settings!$F$82,Settings!$F$84,Settings!$F$86),"")</f>
        <v/>
      </c>
      <c r="X586" s="143">
        <f>IFERROR((V586*(1-Settings!$F$17)-C586)/(V586*(1-Settings!$F$17)),"")</f>
        <v/>
      </c>
      <c r="Y586" s="149">
        <f>IFERROR(IF(V586="","",IF(V586&gt;=C586/(1-SKU_Base!AD586)/(1-Settings!$F$17),"OK",IF(V586&gt;=C586/(1-SKU_Base!AK586)/(1-Settings!$F$17),"WARN","STOP"))),"")</f>
        <v/>
      </c>
      <c r="Z586" s="159">
        <f>IFERROR(ROUND(D586*(1-CHOOSE(MATCH(IF($E586="","Основний",$E586),{"Трафіковий","Основний","Маржинальний","Сезонний","Стратегічний"},0),Settings!$G$78,Settings!$G$80,Settings!$G$82,Settings!$G$84,Settings!$G$86))/6,2)*6,"")</f>
        <v/>
      </c>
      <c r="AA586" s="142">
        <f>IFERROR(CHOOSE(MATCH(IF($E586="","Основний",$E586),{"Трафіковий","Основний","Маржинальний","Сезонний","Стратегічний"},0),Settings!$G$78,Settings!$G$80,Settings!$G$82,Settings!$G$84,Settings!$G$86),"")</f>
        <v/>
      </c>
      <c r="AB586" s="143">
        <f>IFERROR((Z586*(1-Settings!$G$17)-C586)/(Z586*(1-Settings!$G$17)),"")</f>
        <v/>
      </c>
      <c r="AC586" s="149">
        <f>IFERROR(IF(Z586="","",IF(Z586&gt;=C586/(1-SKU_Base!AE586)/(1-Settings!$G$17),"OK",IF(Z586&gt;=C586/(1-SKU_Base!AL586)/(1-Settings!$G$17),"WARN","STOP"))),"")</f>
        <v/>
      </c>
      <c r="AD586" s="159">
        <f>IFERROR(ROUND(D586*(1-CHOOSE(MATCH(IF($E586="","Основний",$E586),{"Трафіковий","Основний","Маржинальний","Сезонний","Стратегічний"},0),Settings!$H$78,Settings!$H$80,Settings!$H$82,Settings!$H$84,Settings!$H$86))*(1-Settings!$H$68)/6,2)*6,"")</f>
        <v/>
      </c>
      <c r="AE586" s="142">
        <f>IFERROR(CHOOSE(MATCH(IF($E586="","Основний",$E586),{"Трафіковий","Основний","Маржинальний","Сезонний","Стратегічний"},0),Settings!$H$78,Settings!$H$80,Settings!$H$82,Settings!$H$84,Settings!$H$86)+(1-(CHOOSE(MATCH(IF($E586="","Основний",$E586),{"Трафіковий","Основний","Маржинальний","Сезонний","Стратегічний"},0),Settings!$H$78,Settings!$H$80,Settings!$H$82,Settings!$H$84,Settings!$H$86)))*Settings!$H$68,"")</f>
        <v/>
      </c>
      <c r="AF586" s="143">
        <f>IFERROR((AD586*(1-Settings!$H$17)-C586)/(AD586*(1-Settings!$H$17)),"")</f>
        <v/>
      </c>
      <c r="AG586" s="150">
        <f>IFERROR(IF(AD586="","",IF(AD586&gt;=C586/(1-SKU_Base!AF586)/(1-Settings!$H$17),"OK",IF(AD586&gt;=C586/(1-SKU_Base!AM586)/(1-Settings!$H$17),"WARN","STOP"))),"")</f>
        <v/>
      </c>
    </row>
    <row r="587" ht="17" customHeight="1" s="179">
      <c r="A587" s="146">
        <f>SKU_Base!B587</f>
        <v/>
      </c>
      <c r="B587" s="146">
        <f>SKU_Base!C587</f>
        <v/>
      </c>
      <c r="C587" s="147">
        <f>IFERROR(SKU_Base!I587,"")</f>
        <v/>
      </c>
      <c r="D587" s="164">
        <f>IFERROR(SKU_Base!T587,"")</f>
        <v/>
      </c>
      <c r="E587" s="141">
        <f>IFERROR(SKU_Base!$U587,"")</f>
        <v/>
      </c>
      <c r="F587" s="160">
        <f>IFERROR(ROUND(D587*(1-CHOOSE(MATCH(IF($E587="","Основний",$E587),{"Трафіковий","Основний","Маржинальний","Сезонний","Стратегічний"},0),Settings!$B$78,Settings!$B$80,Settings!$B$82,Settings!$B$84,Settings!$B$86))/6,2)*6,"")</f>
        <v/>
      </c>
      <c r="G587" s="142">
        <f>IFERROR(CHOOSE(MATCH(IF($E587="","Основний",$E587),{"Трафіковий","Основний","Маржинальний","Сезонний","Стратегічний"},0),Settings!$B$78,Settings!$B$80,Settings!$B$82,Settings!$B$84,Settings!$B$86),"")</f>
        <v/>
      </c>
      <c r="H587" s="148">
        <f>IFERROR((F587*(1-Settings!$B$17)-C587)/(F587*(1-Settings!$B$17)),"")</f>
        <v/>
      </c>
      <c r="I587" s="149">
        <f>IFERROR(IF(F587="","",IF(F587&gt;=C587/(1-SKU_Base!Z587)/(1-Settings!$B$17),"OK",IF(F587&gt;=C587/(1-SKU_Base!AG587)/(1-Settings!$B$17),"WARN","STOP"))),"")</f>
        <v/>
      </c>
      <c r="J587" s="160">
        <f>IFERROR(ROUND(D587*(1-CHOOSE(MATCH(IF($E587="","Основний",$E587),{"Трафіковий","Основний","Маржинальний","Сезонний","Стратегічний"},0),Settings!$C$78,Settings!$C$80,Settings!$C$82,Settings!$C$84,Settings!$C$86))/6,2)*6,"")</f>
        <v/>
      </c>
      <c r="K587" s="142">
        <f>IFERROR(CHOOSE(MATCH(IF($E587="","Основний",$E587),{"Трафіковий","Основний","Маржинальний","Сезонний","Стратегічний"},0),Settings!$C$78,Settings!$C$80,Settings!$C$82,Settings!$C$84,Settings!$C$86),"")</f>
        <v/>
      </c>
      <c r="L587" s="148">
        <f>IFERROR((J587*(1-Settings!$C$17)-C587)/(J587*(1-Settings!$C$17)),"")</f>
        <v/>
      </c>
      <c r="M587" s="149">
        <f>IFERROR(IF(J587="","",IF(J587&gt;=C587/(1-SKU_Base!AA587)/(1-Settings!$C$17),"OK",IF(J587&gt;=C587/(1-SKU_Base!AH587)/(1-Settings!$C$17),"WARN","STOP"))),"")</f>
        <v/>
      </c>
      <c r="N587" s="161">
        <f>IFERROR(ROUND(D587*(1-CHOOSE(MATCH(IF($E587="","Основний",$E587),{"Трафіковий","Основний","Маржинальний","Сезонний","Стратегічний"},0),Settings!$D$78,Settings!$D$80,Settings!$D$82,Settings!$D$84,Settings!$D$86))/6,2)*6,"")</f>
        <v/>
      </c>
      <c r="O587" s="142">
        <f>IFERROR(CHOOSE(MATCH(IF($E587="","Основний",$E587),{"Трафіковий","Основний","Маржинальний","Сезонний","Стратегічний"},0),Settings!$D$78,Settings!$D$80,Settings!$D$82,Settings!$D$84,Settings!$D$86),"")</f>
        <v/>
      </c>
      <c r="P587" s="148">
        <f>IFERROR((N587*(1-Settings!$D$17)-C587)/(N587*(1-Settings!$D$17)),"")</f>
        <v/>
      </c>
      <c r="Q587" s="149">
        <f>IFERROR(IF(N587="","",IF(N587&gt;=C587/(1-SKU_Base!AB587)/(1-Settings!$D$17),"OK",IF(N587&gt;=C587/(1-SKU_Base!AI587)/(1-Settings!$D$17),"WARN","STOP"))),"")</f>
        <v/>
      </c>
      <c r="R587" s="161">
        <f>IFERROR(ROUND(D587*(1-CHOOSE(MATCH(IF($E587="","Основний",$E587),{"Трафіковий","Основний","Маржинальний","Сезонний","Стратегічний"},0),Settings!$E$78,Settings!$E$80,Settings!$E$82,Settings!$E$84,Settings!$E$86))/6,2)*6,"")</f>
        <v/>
      </c>
      <c r="S587" s="142">
        <f>IFERROR(CHOOSE(MATCH(IF($E587="","Основний",$E587),{"Трафіковий","Основний","Маржинальний","Сезонний","Стратегічний"},0),Settings!$E$78,Settings!$E$80,Settings!$E$82,Settings!$E$84,Settings!$E$86),"")</f>
        <v/>
      </c>
      <c r="T587" s="148">
        <f>IFERROR((R587*(1-Settings!$E$17)-C587)/(R587*(1-Settings!$E$17)),"")</f>
        <v/>
      </c>
      <c r="U587" s="149">
        <f>IFERROR(IF(R587="","",IF(R587&gt;=C587/(1-SKU_Base!AC587)/(1-Settings!$E$17),"OK",IF(R587&gt;=C587/(1-SKU_Base!AJ587)/(1-Settings!$E$17),"WARN","STOP"))),"")</f>
        <v/>
      </c>
      <c r="V587" s="161">
        <f>IFERROR(ROUND(D587*(1-CHOOSE(MATCH(IF($E587="","Основний",$E587),{"Трафіковий","Основний","Маржинальний","Сезонний","Стратегічний"},0),Settings!$F$78,Settings!$F$80,Settings!$F$82,Settings!$F$84,Settings!$F$86))/6,2)*6,"")</f>
        <v/>
      </c>
      <c r="W587" s="142">
        <f>IFERROR(CHOOSE(MATCH(IF($E587="","Основний",$E587),{"Трафіковий","Основний","Маржинальний","Сезонний","Стратегічний"},0),Settings!$F$78,Settings!$F$80,Settings!$F$82,Settings!$F$84,Settings!$F$86),"")</f>
        <v/>
      </c>
      <c r="X587" s="148">
        <f>IFERROR((V587*(1-Settings!$F$17)-C587)/(V587*(1-Settings!$F$17)),"")</f>
        <v/>
      </c>
      <c r="Y587" s="149">
        <f>IFERROR(IF(V587="","",IF(V587&gt;=C587/(1-SKU_Base!AD587)/(1-Settings!$F$17),"OK",IF(V587&gt;=C587/(1-SKU_Base!AK587)/(1-Settings!$F$17),"WARN","STOP"))),"")</f>
        <v/>
      </c>
      <c r="Z587" s="161">
        <f>IFERROR(ROUND(D587*(1-CHOOSE(MATCH(IF($E587="","Основний",$E587),{"Трафіковий","Основний","Маржинальний","Сезонний","Стратегічний"},0),Settings!$G$78,Settings!$G$80,Settings!$G$82,Settings!$G$84,Settings!$G$86))/6,2)*6,"")</f>
        <v/>
      </c>
      <c r="AA587" s="142">
        <f>IFERROR(CHOOSE(MATCH(IF($E587="","Основний",$E587),{"Трафіковий","Основний","Маржинальний","Сезонний","Стратегічний"},0),Settings!$G$78,Settings!$G$80,Settings!$G$82,Settings!$G$84,Settings!$G$86),"")</f>
        <v/>
      </c>
      <c r="AB587" s="148">
        <f>IFERROR((Z587*(1-Settings!$G$17)-C587)/(Z587*(1-Settings!$G$17)),"")</f>
        <v/>
      </c>
      <c r="AC587" s="149">
        <f>IFERROR(IF(Z587="","",IF(Z587&gt;=C587/(1-SKU_Base!AE587)/(1-Settings!$G$17),"OK",IF(Z587&gt;=C587/(1-SKU_Base!AL587)/(1-Settings!$G$17),"WARN","STOP"))),"")</f>
        <v/>
      </c>
      <c r="AD587" s="161">
        <f>IFERROR(ROUND(D587*(1-CHOOSE(MATCH(IF($E587="","Основний",$E587),{"Трафіковий","Основний","Маржинальний","Сезонний","Стратегічний"},0),Settings!$H$78,Settings!$H$80,Settings!$H$82,Settings!$H$84,Settings!$H$86))*(1-Settings!$H$68)/6,2)*6,"")</f>
        <v/>
      </c>
      <c r="AE587" s="142">
        <f>IFERROR(CHOOSE(MATCH(IF($E587="","Основний",$E587),{"Трафіковий","Основний","Маржинальний","Сезонний","Стратегічний"},0),Settings!$H$78,Settings!$H$80,Settings!$H$82,Settings!$H$84,Settings!$H$86)+(1-(CHOOSE(MATCH(IF($E587="","Основний",$E587),{"Трафіковий","Основний","Маржинальний","Сезонний","Стратегічний"},0),Settings!$H$78,Settings!$H$80,Settings!$H$82,Settings!$H$84,Settings!$H$86)))*Settings!$H$68,"")</f>
        <v/>
      </c>
      <c r="AF587" s="148">
        <f>IFERROR((AD587*(1-Settings!$H$17)-C587)/(AD587*(1-Settings!$H$17)),"")</f>
        <v/>
      </c>
      <c r="AG587" s="150">
        <f>IFERROR(IF(AD587="","",IF(AD587&gt;=C587/(1-SKU_Base!AF587)/(1-Settings!$H$17),"OK",IF(AD587&gt;=C587/(1-SKU_Base!AM587)/(1-Settings!$H$17),"WARN","STOP"))),"")</f>
        <v/>
      </c>
    </row>
    <row r="588" ht="17" customHeight="1" s="179">
      <c r="A588" s="139">
        <f>SKU_Base!B588</f>
        <v/>
      </c>
      <c r="B588" s="139">
        <f>SKU_Base!C588</f>
        <v/>
      </c>
      <c r="C588" s="140">
        <f>IFERROR(SKU_Base!I588,"")</f>
        <v/>
      </c>
      <c r="D588" s="163">
        <f>IFERROR(SKU_Base!T588,"")</f>
        <v/>
      </c>
      <c r="E588" s="141">
        <f>IFERROR(SKU_Base!$U588,"")</f>
        <v/>
      </c>
      <c r="F588" s="158">
        <f>IFERROR(ROUND(D588*(1-CHOOSE(MATCH(IF($E588="","Основний",$E588),{"Трафіковий","Основний","Маржинальний","Сезонний","Стратегічний"},0),Settings!$B$78,Settings!$B$80,Settings!$B$82,Settings!$B$84,Settings!$B$86))/6,2)*6,"")</f>
        <v/>
      </c>
      <c r="G588" s="142">
        <f>IFERROR(CHOOSE(MATCH(IF($E588="","Основний",$E588),{"Трафіковий","Основний","Маржинальний","Сезонний","Стратегічний"},0),Settings!$B$78,Settings!$B$80,Settings!$B$82,Settings!$B$84,Settings!$B$86),"")</f>
        <v/>
      </c>
      <c r="H588" s="143">
        <f>IFERROR((F588*(1-Settings!$B$17)-C588)/(F588*(1-Settings!$B$17)),"")</f>
        <v/>
      </c>
      <c r="I588" s="149">
        <f>IFERROR(IF(F588="","",IF(F588&gt;=C588/(1-SKU_Base!Z588)/(1-Settings!$B$17),"OK",IF(F588&gt;=C588/(1-SKU_Base!AG588)/(1-Settings!$B$17),"WARN","STOP"))),"")</f>
        <v/>
      </c>
      <c r="J588" s="158">
        <f>IFERROR(ROUND(D588*(1-CHOOSE(MATCH(IF($E588="","Основний",$E588),{"Трафіковий","Основний","Маржинальний","Сезонний","Стратегічний"},0),Settings!$C$78,Settings!$C$80,Settings!$C$82,Settings!$C$84,Settings!$C$86))/6,2)*6,"")</f>
        <v/>
      </c>
      <c r="K588" s="142">
        <f>IFERROR(CHOOSE(MATCH(IF($E588="","Основний",$E588),{"Трафіковий","Основний","Маржинальний","Сезонний","Стратегічний"},0),Settings!$C$78,Settings!$C$80,Settings!$C$82,Settings!$C$84,Settings!$C$86),"")</f>
        <v/>
      </c>
      <c r="L588" s="143">
        <f>IFERROR((J588*(1-Settings!$C$17)-C588)/(J588*(1-Settings!$C$17)),"")</f>
        <v/>
      </c>
      <c r="M588" s="149">
        <f>IFERROR(IF(J588="","",IF(J588&gt;=C588/(1-SKU_Base!AA588)/(1-Settings!$C$17),"OK",IF(J588&gt;=C588/(1-SKU_Base!AH588)/(1-Settings!$C$17),"WARN","STOP"))),"")</f>
        <v/>
      </c>
      <c r="N588" s="159">
        <f>IFERROR(ROUND(D588*(1-CHOOSE(MATCH(IF($E588="","Основний",$E588),{"Трафіковий","Основний","Маржинальний","Сезонний","Стратегічний"},0),Settings!$D$78,Settings!$D$80,Settings!$D$82,Settings!$D$84,Settings!$D$86))/6,2)*6,"")</f>
        <v/>
      </c>
      <c r="O588" s="142">
        <f>IFERROR(CHOOSE(MATCH(IF($E588="","Основний",$E588),{"Трафіковий","Основний","Маржинальний","Сезонний","Стратегічний"},0),Settings!$D$78,Settings!$D$80,Settings!$D$82,Settings!$D$84,Settings!$D$86),"")</f>
        <v/>
      </c>
      <c r="P588" s="143">
        <f>IFERROR((N588*(1-Settings!$D$17)-C588)/(N588*(1-Settings!$D$17)),"")</f>
        <v/>
      </c>
      <c r="Q588" s="149">
        <f>IFERROR(IF(N588="","",IF(N588&gt;=C588/(1-SKU_Base!AB588)/(1-Settings!$D$17),"OK",IF(N588&gt;=C588/(1-SKU_Base!AI588)/(1-Settings!$D$17),"WARN","STOP"))),"")</f>
        <v/>
      </c>
      <c r="R588" s="159">
        <f>IFERROR(ROUND(D588*(1-CHOOSE(MATCH(IF($E588="","Основний",$E588),{"Трафіковий","Основний","Маржинальний","Сезонний","Стратегічний"},0),Settings!$E$78,Settings!$E$80,Settings!$E$82,Settings!$E$84,Settings!$E$86))/6,2)*6,"")</f>
        <v/>
      </c>
      <c r="S588" s="142">
        <f>IFERROR(CHOOSE(MATCH(IF($E588="","Основний",$E588),{"Трафіковий","Основний","Маржинальний","Сезонний","Стратегічний"},0),Settings!$E$78,Settings!$E$80,Settings!$E$82,Settings!$E$84,Settings!$E$86),"")</f>
        <v/>
      </c>
      <c r="T588" s="143">
        <f>IFERROR((R588*(1-Settings!$E$17)-C588)/(R588*(1-Settings!$E$17)),"")</f>
        <v/>
      </c>
      <c r="U588" s="149">
        <f>IFERROR(IF(R588="","",IF(R588&gt;=C588/(1-SKU_Base!AC588)/(1-Settings!$E$17),"OK",IF(R588&gt;=C588/(1-SKU_Base!AJ588)/(1-Settings!$E$17),"WARN","STOP"))),"")</f>
        <v/>
      </c>
      <c r="V588" s="159">
        <f>IFERROR(ROUND(D588*(1-CHOOSE(MATCH(IF($E588="","Основний",$E588),{"Трафіковий","Основний","Маржинальний","Сезонний","Стратегічний"},0),Settings!$F$78,Settings!$F$80,Settings!$F$82,Settings!$F$84,Settings!$F$86))/6,2)*6,"")</f>
        <v/>
      </c>
      <c r="W588" s="142">
        <f>IFERROR(CHOOSE(MATCH(IF($E588="","Основний",$E588),{"Трафіковий","Основний","Маржинальний","Сезонний","Стратегічний"},0),Settings!$F$78,Settings!$F$80,Settings!$F$82,Settings!$F$84,Settings!$F$86),"")</f>
        <v/>
      </c>
      <c r="X588" s="143">
        <f>IFERROR((V588*(1-Settings!$F$17)-C588)/(V588*(1-Settings!$F$17)),"")</f>
        <v/>
      </c>
      <c r="Y588" s="149">
        <f>IFERROR(IF(V588="","",IF(V588&gt;=C588/(1-SKU_Base!AD588)/(1-Settings!$F$17),"OK",IF(V588&gt;=C588/(1-SKU_Base!AK588)/(1-Settings!$F$17),"WARN","STOP"))),"")</f>
        <v/>
      </c>
      <c r="Z588" s="159">
        <f>IFERROR(ROUND(D588*(1-CHOOSE(MATCH(IF($E588="","Основний",$E588),{"Трафіковий","Основний","Маржинальний","Сезонний","Стратегічний"},0),Settings!$G$78,Settings!$G$80,Settings!$G$82,Settings!$G$84,Settings!$G$86))/6,2)*6,"")</f>
        <v/>
      </c>
      <c r="AA588" s="142">
        <f>IFERROR(CHOOSE(MATCH(IF($E588="","Основний",$E588),{"Трафіковий","Основний","Маржинальний","Сезонний","Стратегічний"},0),Settings!$G$78,Settings!$G$80,Settings!$G$82,Settings!$G$84,Settings!$G$86),"")</f>
        <v/>
      </c>
      <c r="AB588" s="143">
        <f>IFERROR((Z588*(1-Settings!$G$17)-C588)/(Z588*(1-Settings!$G$17)),"")</f>
        <v/>
      </c>
      <c r="AC588" s="149">
        <f>IFERROR(IF(Z588="","",IF(Z588&gt;=C588/(1-SKU_Base!AE588)/(1-Settings!$G$17),"OK",IF(Z588&gt;=C588/(1-SKU_Base!AL588)/(1-Settings!$G$17),"WARN","STOP"))),"")</f>
        <v/>
      </c>
      <c r="AD588" s="159">
        <f>IFERROR(ROUND(D588*(1-CHOOSE(MATCH(IF($E588="","Основний",$E588),{"Трафіковий","Основний","Маржинальний","Сезонний","Стратегічний"},0),Settings!$H$78,Settings!$H$80,Settings!$H$82,Settings!$H$84,Settings!$H$86))*(1-Settings!$H$68)/6,2)*6,"")</f>
        <v/>
      </c>
      <c r="AE588" s="142">
        <f>IFERROR(CHOOSE(MATCH(IF($E588="","Основний",$E588),{"Трафіковий","Основний","Маржинальний","Сезонний","Стратегічний"},0),Settings!$H$78,Settings!$H$80,Settings!$H$82,Settings!$H$84,Settings!$H$86)+(1-(CHOOSE(MATCH(IF($E588="","Основний",$E588),{"Трафіковий","Основний","Маржинальний","Сезонний","Стратегічний"},0),Settings!$H$78,Settings!$H$80,Settings!$H$82,Settings!$H$84,Settings!$H$86)))*Settings!$H$68,"")</f>
        <v/>
      </c>
      <c r="AF588" s="143">
        <f>IFERROR((AD588*(1-Settings!$H$17)-C588)/(AD588*(1-Settings!$H$17)),"")</f>
        <v/>
      </c>
      <c r="AG588" s="150">
        <f>IFERROR(IF(AD588="","",IF(AD588&gt;=C588/(1-SKU_Base!AF588)/(1-Settings!$H$17),"OK",IF(AD588&gt;=C588/(1-SKU_Base!AM588)/(1-Settings!$H$17),"WARN","STOP"))),"")</f>
        <v/>
      </c>
    </row>
    <row r="589" ht="17" customHeight="1" s="179">
      <c r="A589" s="146">
        <f>SKU_Base!B589</f>
        <v/>
      </c>
      <c r="B589" s="146">
        <f>SKU_Base!C589</f>
        <v/>
      </c>
      <c r="C589" s="147">
        <f>IFERROR(SKU_Base!I589,"")</f>
        <v/>
      </c>
      <c r="D589" s="164">
        <f>IFERROR(SKU_Base!T589,"")</f>
        <v/>
      </c>
      <c r="E589" s="141">
        <f>IFERROR(SKU_Base!$U589,"")</f>
        <v/>
      </c>
      <c r="F589" s="160">
        <f>IFERROR(ROUND(D589*(1-CHOOSE(MATCH(IF($E589="","Основний",$E589),{"Трафіковий","Основний","Маржинальний","Сезонний","Стратегічний"},0),Settings!$B$78,Settings!$B$80,Settings!$B$82,Settings!$B$84,Settings!$B$86))/6,2)*6,"")</f>
        <v/>
      </c>
      <c r="G589" s="142">
        <f>IFERROR(CHOOSE(MATCH(IF($E589="","Основний",$E589),{"Трафіковий","Основний","Маржинальний","Сезонний","Стратегічний"},0),Settings!$B$78,Settings!$B$80,Settings!$B$82,Settings!$B$84,Settings!$B$86),"")</f>
        <v/>
      </c>
      <c r="H589" s="148">
        <f>IFERROR((F589*(1-Settings!$B$17)-C589)/(F589*(1-Settings!$B$17)),"")</f>
        <v/>
      </c>
      <c r="I589" s="149">
        <f>IFERROR(IF(F589="","",IF(F589&gt;=C589/(1-SKU_Base!Z589)/(1-Settings!$B$17),"OK",IF(F589&gt;=C589/(1-SKU_Base!AG589)/(1-Settings!$B$17),"WARN","STOP"))),"")</f>
        <v/>
      </c>
      <c r="J589" s="160">
        <f>IFERROR(ROUND(D589*(1-CHOOSE(MATCH(IF($E589="","Основний",$E589),{"Трафіковий","Основний","Маржинальний","Сезонний","Стратегічний"},0),Settings!$C$78,Settings!$C$80,Settings!$C$82,Settings!$C$84,Settings!$C$86))/6,2)*6,"")</f>
        <v/>
      </c>
      <c r="K589" s="142">
        <f>IFERROR(CHOOSE(MATCH(IF($E589="","Основний",$E589),{"Трафіковий","Основний","Маржинальний","Сезонний","Стратегічний"},0),Settings!$C$78,Settings!$C$80,Settings!$C$82,Settings!$C$84,Settings!$C$86),"")</f>
        <v/>
      </c>
      <c r="L589" s="148">
        <f>IFERROR((J589*(1-Settings!$C$17)-C589)/(J589*(1-Settings!$C$17)),"")</f>
        <v/>
      </c>
      <c r="M589" s="149">
        <f>IFERROR(IF(J589="","",IF(J589&gt;=C589/(1-SKU_Base!AA589)/(1-Settings!$C$17),"OK",IF(J589&gt;=C589/(1-SKU_Base!AH589)/(1-Settings!$C$17),"WARN","STOP"))),"")</f>
        <v/>
      </c>
      <c r="N589" s="161">
        <f>IFERROR(ROUND(D589*(1-CHOOSE(MATCH(IF($E589="","Основний",$E589),{"Трафіковий","Основний","Маржинальний","Сезонний","Стратегічний"},0),Settings!$D$78,Settings!$D$80,Settings!$D$82,Settings!$D$84,Settings!$D$86))/6,2)*6,"")</f>
        <v/>
      </c>
      <c r="O589" s="142">
        <f>IFERROR(CHOOSE(MATCH(IF($E589="","Основний",$E589),{"Трафіковий","Основний","Маржинальний","Сезонний","Стратегічний"},0),Settings!$D$78,Settings!$D$80,Settings!$D$82,Settings!$D$84,Settings!$D$86),"")</f>
        <v/>
      </c>
      <c r="P589" s="148">
        <f>IFERROR((N589*(1-Settings!$D$17)-C589)/(N589*(1-Settings!$D$17)),"")</f>
        <v/>
      </c>
      <c r="Q589" s="149">
        <f>IFERROR(IF(N589="","",IF(N589&gt;=C589/(1-SKU_Base!AB589)/(1-Settings!$D$17),"OK",IF(N589&gt;=C589/(1-SKU_Base!AI589)/(1-Settings!$D$17),"WARN","STOP"))),"")</f>
        <v/>
      </c>
      <c r="R589" s="161">
        <f>IFERROR(ROUND(D589*(1-CHOOSE(MATCH(IF($E589="","Основний",$E589),{"Трафіковий","Основний","Маржинальний","Сезонний","Стратегічний"},0),Settings!$E$78,Settings!$E$80,Settings!$E$82,Settings!$E$84,Settings!$E$86))/6,2)*6,"")</f>
        <v/>
      </c>
      <c r="S589" s="142">
        <f>IFERROR(CHOOSE(MATCH(IF($E589="","Основний",$E589),{"Трафіковий","Основний","Маржинальний","Сезонний","Стратегічний"},0),Settings!$E$78,Settings!$E$80,Settings!$E$82,Settings!$E$84,Settings!$E$86),"")</f>
        <v/>
      </c>
      <c r="T589" s="148">
        <f>IFERROR((R589*(1-Settings!$E$17)-C589)/(R589*(1-Settings!$E$17)),"")</f>
        <v/>
      </c>
      <c r="U589" s="149">
        <f>IFERROR(IF(R589="","",IF(R589&gt;=C589/(1-SKU_Base!AC589)/(1-Settings!$E$17),"OK",IF(R589&gt;=C589/(1-SKU_Base!AJ589)/(1-Settings!$E$17),"WARN","STOP"))),"")</f>
        <v/>
      </c>
      <c r="V589" s="161">
        <f>IFERROR(ROUND(D589*(1-CHOOSE(MATCH(IF($E589="","Основний",$E589),{"Трафіковий","Основний","Маржинальний","Сезонний","Стратегічний"},0),Settings!$F$78,Settings!$F$80,Settings!$F$82,Settings!$F$84,Settings!$F$86))/6,2)*6,"")</f>
        <v/>
      </c>
      <c r="W589" s="142">
        <f>IFERROR(CHOOSE(MATCH(IF($E589="","Основний",$E589),{"Трафіковий","Основний","Маржинальний","Сезонний","Стратегічний"},0),Settings!$F$78,Settings!$F$80,Settings!$F$82,Settings!$F$84,Settings!$F$86),"")</f>
        <v/>
      </c>
      <c r="X589" s="148">
        <f>IFERROR((V589*(1-Settings!$F$17)-C589)/(V589*(1-Settings!$F$17)),"")</f>
        <v/>
      </c>
      <c r="Y589" s="149">
        <f>IFERROR(IF(V589="","",IF(V589&gt;=C589/(1-SKU_Base!AD589)/(1-Settings!$F$17),"OK",IF(V589&gt;=C589/(1-SKU_Base!AK589)/(1-Settings!$F$17),"WARN","STOP"))),"")</f>
        <v/>
      </c>
      <c r="Z589" s="161">
        <f>IFERROR(ROUND(D589*(1-CHOOSE(MATCH(IF($E589="","Основний",$E589),{"Трафіковий","Основний","Маржинальний","Сезонний","Стратегічний"},0),Settings!$G$78,Settings!$G$80,Settings!$G$82,Settings!$G$84,Settings!$G$86))/6,2)*6,"")</f>
        <v/>
      </c>
      <c r="AA589" s="142">
        <f>IFERROR(CHOOSE(MATCH(IF($E589="","Основний",$E589),{"Трафіковий","Основний","Маржинальний","Сезонний","Стратегічний"},0),Settings!$G$78,Settings!$G$80,Settings!$G$82,Settings!$G$84,Settings!$G$86),"")</f>
        <v/>
      </c>
      <c r="AB589" s="148">
        <f>IFERROR((Z589*(1-Settings!$G$17)-C589)/(Z589*(1-Settings!$G$17)),"")</f>
        <v/>
      </c>
      <c r="AC589" s="149">
        <f>IFERROR(IF(Z589="","",IF(Z589&gt;=C589/(1-SKU_Base!AE589)/(1-Settings!$G$17),"OK",IF(Z589&gt;=C589/(1-SKU_Base!AL589)/(1-Settings!$G$17),"WARN","STOP"))),"")</f>
        <v/>
      </c>
      <c r="AD589" s="161">
        <f>IFERROR(ROUND(D589*(1-CHOOSE(MATCH(IF($E589="","Основний",$E589),{"Трафіковий","Основний","Маржинальний","Сезонний","Стратегічний"},0),Settings!$H$78,Settings!$H$80,Settings!$H$82,Settings!$H$84,Settings!$H$86))*(1-Settings!$H$68)/6,2)*6,"")</f>
        <v/>
      </c>
      <c r="AE589" s="142">
        <f>IFERROR(CHOOSE(MATCH(IF($E589="","Основний",$E589),{"Трафіковий","Основний","Маржинальний","Сезонний","Стратегічний"},0),Settings!$H$78,Settings!$H$80,Settings!$H$82,Settings!$H$84,Settings!$H$86)+(1-(CHOOSE(MATCH(IF($E589="","Основний",$E589),{"Трафіковий","Основний","Маржинальний","Сезонний","Стратегічний"},0),Settings!$H$78,Settings!$H$80,Settings!$H$82,Settings!$H$84,Settings!$H$86)))*Settings!$H$68,"")</f>
        <v/>
      </c>
      <c r="AF589" s="148">
        <f>IFERROR((AD589*(1-Settings!$H$17)-C589)/(AD589*(1-Settings!$H$17)),"")</f>
        <v/>
      </c>
      <c r="AG589" s="150">
        <f>IFERROR(IF(AD589="","",IF(AD589&gt;=C589/(1-SKU_Base!AF589)/(1-Settings!$H$17),"OK",IF(AD589&gt;=C589/(1-SKU_Base!AM589)/(1-Settings!$H$17),"WARN","STOP"))),"")</f>
        <v/>
      </c>
    </row>
    <row r="590" ht="17" customHeight="1" s="179">
      <c r="A590" s="139">
        <f>SKU_Base!B590</f>
        <v/>
      </c>
      <c r="B590" s="139">
        <f>SKU_Base!C590</f>
        <v/>
      </c>
      <c r="C590" s="140">
        <f>IFERROR(SKU_Base!I590,"")</f>
        <v/>
      </c>
      <c r="D590" s="163">
        <f>IFERROR(SKU_Base!T590,"")</f>
        <v/>
      </c>
      <c r="E590" s="141">
        <f>IFERROR(SKU_Base!$U590,"")</f>
        <v/>
      </c>
      <c r="F590" s="158">
        <f>IFERROR(ROUND(D590*(1-CHOOSE(MATCH(IF($E590="","Основний",$E590),{"Трафіковий","Основний","Маржинальний","Сезонний","Стратегічний"},0),Settings!$B$78,Settings!$B$80,Settings!$B$82,Settings!$B$84,Settings!$B$86))/6,2)*6,"")</f>
        <v/>
      </c>
      <c r="G590" s="142">
        <f>IFERROR(CHOOSE(MATCH(IF($E590="","Основний",$E590),{"Трафіковий","Основний","Маржинальний","Сезонний","Стратегічний"},0),Settings!$B$78,Settings!$B$80,Settings!$B$82,Settings!$B$84,Settings!$B$86),"")</f>
        <v/>
      </c>
      <c r="H590" s="143">
        <f>IFERROR((F590*(1-Settings!$B$17)-C590)/(F590*(1-Settings!$B$17)),"")</f>
        <v/>
      </c>
      <c r="I590" s="149">
        <f>IFERROR(IF(F590="","",IF(F590&gt;=C590/(1-SKU_Base!Z590)/(1-Settings!$B$17),"OK",IF(F590&gt;=C590/(1-SKU_Base!AG590)/(1-Settings!$B$17),"WARN","STOP"))),"")</f>
        <v/>
      </c>
      <c r="J590" s="158">
        <f>IFERROR(ROUND(D590*(1-CHOOSE(MATCH(IF($E590="","Основний",$E590),{"Трафіковий","Основний","Маржинальний","Сезонний","Стратегічний"},0),Settings!$C$78,Settings!$C$80,Settings!$C$82,Settings!$C$84,Settings!$C$86))/6,2)*6,"")</f>
        <v/>
      </c>
      <c r="K590" s="142">
        <f>IFERROR(CHOOSE(MATCH(IF($E590="","Основний",$E590),{"Трафіковий","Основний","Маржинальний","Сезонний","Стратегічний"},0),Settings!$C$78,Settings!$C$80,Settings!$C$82,Settings!$C$84,Settings!$C$86),"")</f>
        <v/>
      </c>
      <c r="L590" s="143">
        <f>IFERROR((J590*(1-Settings!$C$17)-C590)/(J590*(1-Settings!$C$17)),"")</f>
        <v/>
      </c>
      <c r="M590" s="149">
        <f>IFERROR(IF(J590="","",IF(J590&gt;=C590/(1-SKU_Base!AA590)/(1-Settings!$C$17),"OK",IF(J590&gt;=C590/(1-SKU_Base!AH590)/(1-Settings!$C$17),"WARN","STOP"))),"")</f>
        <v/>
      </c>
      <c r="N590" s="159">
        <f>IFERROR(ROUND(D590*(1-CHOOSE(MATCH(IF($E590="","Основний",$E590),{"Трафіковий","Основний","Маржинальний","Сезонний","Стратегічний"},0),Settings!$D$78,Settings!$D$80,Settings!$D$82,Settings!$D$84,Settings!$D$86))/6,2)*6,"")</f>
        <v/>
      </c>
      <c r="O590" s="142">
        <f>IFERROR(CHOOSE(MATCH(IF($E590="","Основний",$E590),{"Трафіковий","Основний","Маржинальний","Сезонний","Стратегічний"},0),Settings!$D$78,Settings!$D$80,Settings!$D$82,Settings!$D$84,Settings!$D$86),"")</f>
        <v/>
      </c>
      <c r="P590" s="143">
        <f>IFERROR((N590*(1-Settings!$D$17)-C590)/(N590*(1-Settings!$D$17)),"")</f>
        <v/>
      </c>
      <c r="Q590" s="149">
        <f>IFERROR(IF(N590="","",IF(N590&gt;=C590/(1-SKU_Base!AB590)/(1-Settings!$D$17),"OK",IF(N590&gt;=C590/(1-SKU_Base!AI590)/(1-Settings!$D$17),"WARN","STOP"))),"")</f>
        <v/>
      </c>
      <c r="R590" s="159">
        <f>IFERROR(ROUND(D590*(1-CHOOSE(MATCH(IF($E590="","Основний",$E590),{"Трафіковий","Основний","Маржинальний","Сезонний","Стратегічний"},0),Settings!$E$78,Settings!$E$80,Settings!$E$82,Settings!$E$84,Settings!$E$86))/6,2)*6,"")</f>
        <v/>
      </c>
      <c r="S590" s="142">
        <f>IFERROR(CHOOSE(MATCH(IF($E590="","Основний",$E590),{"Трафіковий","Основний","Маржинальний","Сезонний","Стратегічний"},0),Settings!$E$78,Settings!$E$80,Settings!$E$82,Settings!$E$84,Settings!$E$86),"")</f>
        <v/>
      </c>
      <c r="T590" s="143">
        <f>IFERROR((R590*(1-Settings!$E$17)-C590)/(R590*(1-Settings!$E$17)),"")</f>
        <v/>
      </c>
      <c r="U590" s="149">
        <f>IFERROR(IF(R590="","",IF(R590&gt;=C590/(1-SKU_Base!AC590)/(1-Settings!$E$17),"OK",IF(R590&gt;=C590/(1-SKU_Base!AJ590)/(1-Settings!$E$17),"WARN","STOP"))),"")</f>
        <v/>
      </c>
      <c r="V590" s="159">
        <f>IFERROR(ROUND(D590*(1-CHOOSE(MATCH(IF($E590="","Основний",$E590),{"Трафіковий","Основний","Маржинальний","Сезонний","Стратегічний"},0),Settings!$F$78,Settings!$F$80,Settings!$F$82,Settings!$F$84,Settings!$F$86))/6,2)*6,"")</f>
        <v/>
      </c>
      <c r="W590" s="142">
        <f>IFERROR(CHOOSE(MATCH(IF($E590="","Основний",$E590),{"Трафіковий","Основний","Маржинальний","Сезонний","Стратегічний"},0),Settings!$F$78,Settings!$F$80,Settings!$F$82,Settings!$F$84,Settings!$F$86),"")</f>
        <v/>
      </c>
      <c r="X590" s="143">
        <f>IFERROR((V590*(1-Settings!$F$17)-C590)/(V590*(1-Settings!$F$17)),"")</f>
        <v/>
      </c>
      <c r="Y590" s="149">
        <f>IFERROR(IF(V590="","",IF(V590&gt;=C590/(1-SKU_Base!AD590)/(1-Settings!$F$17),"OK",IF(V590&gt;=C590/(1-SKU_Base!AK590)/(1-Settings!$F$17),"WARN","STOP"))),"")</f>
        <v/>
      </c>
      <c r="Z590" s="159">
        <f>IFERROR(ROUND(D590*(1-CHOOSE(MATCH(IF($E590="","Основний",$E590),{"Трафіковий","Основний","Маржинальний","Сезонний","Стратегічний"},0),Settings!$G$78,Settings!$G$80,Settings!$G$82,Settings!$G$84,Settings!$G$86))/6,2)*6,"")</f>
        <v/>
      </c>
      <c r="AA590" s="142">
        <f>IFERROR(CHOOSE(MATCH(IF($E590="","Основний",$E590),{"Трафіковий","Основний","Маржинальний","Сезонний","Стратегічний"},0),Settings!$G$78,Settings!$G$80,Settings!$G$82,Settings!$G$84,Settings!$G$86),"")</f>
        <v/>
      </c>
      <c r="AB590" s="143">
        <f>IFERROR((Z590*(1-Settings!$G$17)-C590)/(Z590*(1-Settings!$G$17)),"")</f>
        <v/>
      </c>
      <c r="AC590" s="149">
        <f>IFERROR(IF(Z590="","",IF(Z590&gt;=C590/(1-SKU_Base!AE590)/(1-Settings!$G$17),"OK",IF(Z590&gt;=C590/(1-SKU_Base!AL590)/(1-Settings!$G$17),"WARN","STOP"))),"")</f>
        <v/>
      </c>
      <c r="AD590" s="159">
        <f>IFERROR(ROUND(D590*(1-CHOOSE(MATCH(IF($E590="","Основний",$E590),{"Трафіковий","Основний","Маржинальний","Сезонний","Стратегічний"},0),Settings!$H$78,Settings!$H$80,Settings!$H$82,Settings!$H$84,Settings!$H$86))*(1-Settings!$H$68)/6,2)*6,"")</f>
        <v/>
      </c>
      <c r="AE590" s="142">
        <f>IFERROR(CHOOSE(MATCH(IF($E590="","Основний",$E590),{"Трафіковий","Основний","Маржинальний","Сезонний","Стратегічний"},0),Settings!$H$78,Settings!$H$80,Settings!$H$82,Settings!$H$84,Settings!$H$86)+(1-(CHOOSE(MATCH(IF($E590="","Основний",$E590),{"Трафіковий","Основний","Маржинальний","Сезонний","Стратегічний"},0),Settings!$H$78,Settings!$H$80,Settings!$H$82,Settings!$H$84,Settings!$H$86)))*Settings!$H$68,"")</f>
        <v/>
      </c>
      <c r="AF590" s="143">
        <f>IFERROR((AD590*(1-Settings!$H$17)-C590)/(AD590*(1-Settings!$H$17)),"")</f>
        <v/>
      </c>
      <c r="AG590" s="150">
        <f>IFERROR(IF(AD590="","",IF(AD590&gt;=C590/(1-SKU_Base!AF590)/(1-Settings!$H$17),"OK",IF(AD590&gt;=C590/(1-SKU_Base!AM590)/(1-Settings!$H$17),"WARN","STOP"))),"")</f>
        <v/>
      </c>
    </row>
    <row r="591" ht="17" customHeight="1" s="179">
      <c r="A591" s="146">
        <f>SKU_Base!B591</f>
        <v/>
      </c>
      <c r="B591" s="146">
        <f>SKU_Base!C591</f>
        <v/>
      </c>
      <c r="C591" s="147">
        <f>IFERROR(SKU_Base!I591,"")</f>
        <v/>
      </c>
      <c r="D591" s="164">
        <f>IFERROR(SKU_Base!T591,"")</f>
        <v/>
      </c>
      <c r="E591" s="141">
        <f>IFERROR(SKU_Base!$U591,"")</f>
        <v/>
      </c>
      <c r="F591" s="160">
        <f>IFERROR(ROUND(D591*(1-CHOOSE(MATCH(IF($E591="","Основний",$E591),{"Трафіковий","Основний","Маржинальний","Сезонний","Стратегічний"},0),Settings!$B$78,Settings!$B$80,Settings!$B$82,Settings!$B$84,Settings!$B$86))/6,2)*6,"")</f>
        <v/>
      </c>
      <c r="G591" s="142">
        <f>IFERROR(CHOOSE(MATCH(IF($E591="","Основний",$E591),{"Трафіковий","Основний","Маржинальний","Сезонний","Стратегічний"},0),Settings!$B$78,Settings!$B$80,Settings!$B$82,Settings!$B$84,Settings!$B$86),"")</f>
        <v/>
      </c>
      <c r="H591" s="148">
        <f>IFERROR((F591*(1-Settings!$B$17)-C591)/(F591*(1-Settings!$B$17)),"")</f>
        <v/>
      </c>
      <c r="I591" s="150">
        <f>IFERROR(IF(F591="","",IF(F591&gt;=C591/(1-SKU_Base!Z591)/(1-Settings!$B$17),"OK",IF(F591&gt;=C591/(1-SKU_Base!AG591)/(1-Settings!$B$17),"WARN","STOP"))),"")</f>
        <v/>
      </c>
      <c r="J591" s="160">
        <f>IFERROR(ROUND(D591*(1-CHOOSE(MATCH(IF($E591="","Основний",$E591),{"Трафіковий","Основний","Маржинальний","Сезонний","Стратегічний"},0),Settings!$C$78,Settings!$C$80,Settings!$C$82,Settings!$C$84,Settings!$C$86))/6,2)*6,"")</f>
        <v/>
      </c>
      <c r="K591" s="142">
        <f>IFERROR(CHOOSE(MATCH(IF($E591="","Основний",$E591),{"Трафіковий","Основний","Маржинальний","Сезонний","Стратегічний"},0),Settings!$C$78,Settings!$C$80,Settings!$C$82,Settings!$C$84,Settings!$C$86),"")</f>
        <v/>
      </c>
      <c r="L591" s="148">
        <f>IFERROR((J591*(1-Settings!$C$17)-C591)/(J591*(1-Settings!$C$17)),"")</f>
        <v/>
      </c>
      <c r="M591" s="149">
        <f>IFERROR(IF(J591="","",IF(J591&gt;=C591/(1-SKU_Base!AA591)/(1-Settings!$C$17),"OK",IF(J591&gt;=C591/(1-SKU_Base!AH591)/(1-Settings!$C$17),"WARN","STOP"))),"")</f>
        <v/>
      </c>
      <c r="N591" s="161">
        <f>IFERROR(ROUND(D591*(1-CHOOSE(MATCH(IF($E591="","Основний",$E591),{"Трафіковий","Основний","Маржинальний","Сезонний","Стратегічний"},0),Settings!$D$78,Settings!$D$80,Settings!$D$82,Settings!$D$84,Settings!$D$86))/6,2)*6,"")</f>
        <v/>
      </c>
      <c r="O591" s="142">
        <f>IFERROR(CHOOSE(MATCH(IF($E591="","Основний",$E591),{"Трафіковий","Основний","Маржинальний","Сезонний","Стратегічний"},0),Settings!$D$78,Settings!$D$80,Settings!$D$82,Settings!$D$84,Settings!$D$86),"")</f>
        <v/>
      </c>
      <c r="P591" s="148">
        <f>IFERROR((N591*(1-Settings!$D$17)-C591)/(N591*(1-Settings!$D$17)),"")</f>
        <v/>
      </c>
      <c r="Q591" s="149">
        <f>IFERROR(IF(N591="","",IF(N591&gt;=C591/(1-SKU_Base!AB591)/(1-Settings!$D$17),"OK",IF(N591&gt;=C591/(1-SKU_Base!AI591)/(1-Settings!$D$17),"WARN","STOP"))),"")</f>
        <v/>
      </c>
      <c r="R591" s="161">
        <f>IFERROR(ROUND(D591*(1-CHOOSE(MATCH(IF($E591="","Основний",$E591),{"Трафіковий","Основний","Маржинальний","Сезонний","Стратегічний"},0),Settings!$E$78,Settings!$E$80,Settings!$E$82,Settings!$E$84,Settings!$E$86))/6,2)*6,"")</f>
        <v/>
      </c>
      <c r="S591" s="142">
        <f>IFERROR(CHOOSE(MATCH(IF($E591="","Основний",$E591),{"Трафіковий","Основний","Маржинальний","Сезонний","Стратегічний"},0),Settings!$E$78,Settings!$E$80,Settings!$E$82,Settings!$E$84,Settings!$E$86),"")</f>
        <v/>
      </c>
      <c r="T591" s="148">
        <f>IFERROR((R591*(1-Settings!$E$17)-C591)/(R591*(1-Settings!$E$17)),"")</f>
        <v/>
      </c>
      <c r="U591" s="149">
        <f>IFERROR(IF(R591="","",IF(R591&gt;=C591/(1-SKU_Base!AC591)/(1-Settings!$E$17),"OK",IF(R591&gt;=C591/(1-SKU_Base!AJ591)/(1-Settings!$E$17),"WARN","STOP"))),"")</f>
        <v/>
      </c>
      <c r="V591" s="161">
        <f>IFERROR(ROUND(D591*(1-CHOOSE(MATCH(IF($E591="","Основний",$E591),{"Трафіковий","Основний","Маржинальний","Сезонний","Стратегічний"},0),Settings!$F$78,Settings!$F$80,Settings!$F$82,Settings!$F$84,Settings!$F$86))/6,2)*6,"")</f>
        <v/>
      </c>
      <c r="W591" s="142">
        <f>IFERROR(CHOOSE(MATCH(IF($E591="","Основний",$E591),{"Трафіковий","Основний","Маржинальний","Сезонний","Стратегічний"},0),Settings!$F$78,Settings!$F$80,Settings!$F$82,Settings!$F$84,Settings!$F$86),"")</f>
        <v/>
      </c>
      <c r="X591" s="148">
        <f>IFERROR((V591*(1-Settings!$F$17)-C591)/(V591*(1-Settings!$F$17)),"")</f>
        <v/>
      </c>
      <c r="Y591" s="149">
        <f>IFERROR(IF(V591="","",IF(V591&gt;=C591/(1-SKU_Base!AD591)/(1-Settings!$F$17),"OK",IF(V591&gt;=C591/(1-SKU_Base!AK591)/(1-Settings!$F$17),"WARN","STOP"))),"")</f>
        <v/>
      </c>
      <c r="Z591" s="161">
        <f>IFERROR(ROUND(D591*(1-CHOOSE(MATCH(IF($E591="","Основний",$E591),{"Трафіковий","Основний","Маржинальний","Сезонний","Стратегічний"},0),Settings!$G$78,Settings!$G$80,Settings!$G$82,Settings!$G$84,Settings!$G$86))/6,2)*6,"")</f>
        <v/>
      </c>
      <c r="AA591" s="142">
        <f>IFERROR(CHOOSE(MATCH(IF($E591="","Основний",$E591),{"Трафіковий","Основний","Маржинальний","Сезонний","Стратегічний"},0),Settings!$G$78,Settings!$G$80,Settings!$G$82,Settings!$G$84,Settings!$G$86),"")</f>
        <v/>
      </c>
      <c r="AB591" s="148">
        <f>IFERROR((Z591*(1-Settings!$G$17)-C591)/(Z591*(1-Settings!$G$17)),"")</f>
        <v/>
      </c>
      <c r="AC591" s="149">
        <f>IFERROR(IF(Z591="","",IF(Z591&gt;=C591/(1-SKU_Base!AE591)/(1-Settings!$G$17),"OK",IF(Z591&gt;=C591/(1-SKU_Base!AL591)/(1-Settings!$G$17),"WARN","STOP"))),"")</f>
        <v/>
      </c>
      <c r="AD591" s="161">
        <f>IFERROR(ROUND(D591*(1-CHOOSE(MATCH(IF($E591="","Основний",$E591),{"Трафіковий","Основний","Маржинальний","Сезонний","Стратегічний"},0),Settings!$H$78,Settings!$H$80,Settings!$H$82,Settings!$H$84,Settings!$H$86))*(1-Settings!$H$68)/6,2)*6,"")</f>
        <v/>
      </c>
      <c r="AE591" s="142">
        <f>IFERROR(CHOOSE(MATCH(IF($E591="","Основний",$E591),{"Трафіковий","Основний","Маржинальний","Сезонний","Стратегічний"},0),Settings!$H$78,Settings!$H$80,Settings!$H$82,Settings!$H$84,Settings!$H$86)+(1-(CHOOSE(MATCH(IF($E591="","Основний",$E591),{"Трафіковий","Основний","Маржинальний","Сезонний","Стратегічний"},0),Settings!$H$78,Settings!$H$80,Settings!$H$82,Settings!$H$84,Settings!$H$86)))*Settings!$H$68,"")</f>
        <v/>
      </c>
      <c r="AF591" s="148">
        <f>IFERROR((AD591*(1-Settings!$H$17)-C591)/(AD591*(1-Settings!$H$17)),"")</f>
        <v/>
      </c>
      <c r="AG591" s="150">
        <f>IFERROR(IF(AD591="","",IF(AD591&gt;=C591/(1-SKU_Base!AF591)/(1-Settings!$H$17),"OK",IF(AD591&gt;=C591/(1-SKU_Base!AM591)/(1-Settings!$H$17),"WARN","STOP"))),"")</f>
        <v/>
      </c>
    </row>
    <row r="592" ht="17" customHeight="1" s="179">
      <c r="A592" s="139">
        <f>SKU_Base!B592</f>
        <v/>
      </c>
      <c r="B592" s="139">
        <f>SKU_Base!C592</f>
        <v/>
      </c>
      <c r="C592" s="140">
        <f>IFERROR(SKU_Base!I592,"")</f>
        <v/>
      </c>
      <c r="D592" s="163">
        <f>IFERROR(SKU_Base!T592,"")</f>
        <v/>
      </c>
      <c r="E592" s="141">
        <f>IFERROR(SKU_Base!$U592,"")</f>
        <v/>
      </c>
      <c r="F592" s="158">
        <f>IFERROR(ROUND(D592*(1-CHOOSE(MATCH(IF($E592="","Основний",$E592),{"Трафіковий","Основний","Маржинальний","Сезонний","Стратегічний"},0),Settings!$B$78,Settings!$B$80,Settings!$B$82,Settings!$B$84,Settings!$B$86))/6,2)*6,"")</f>
        <v/>
      </c>
      <c r="G592" s="142">
        <f>IFERROR(CHOOSE(MATCH(IF($E592="","Основний",$E592),{"Трафіковий","Основний","Маржинальний","Сезонний","Стратегічний"},0),Settings!$B$78,Settings!$B$80,Settings!$B$82,Settings!$B$84,Settings!$B$86),"")</f>
        <v/>
      </c>
      <c r="H592" s="143">
        <f>IFERROR((F592*(1-Settings!$B$17)-C592)/(F592*(1-Settings!$B$17)),"")</f>
        <v/>
      </c>
      <c r="I592" s="149">
        <f>IFERROR(IF(F592="","",IF(F592&gt;=C592/(1-SKU_Base!Z592)/(1-Settings!$B$17),"OK",IF(F592&gt;=C592/(1-SKU_Base!AG592)/(1-Settings!$B$17),"WARN","STOP"))),"")</f>
        <v/>
      </c>
      <c r="J592" s="158">
        <f>IFERROR(ROUND(D592*(1-CHOOSE(MATCH(IF($E592="","Основний",$E592),{"Трафіковий","Основний","Маржинальний","Сезонний","Стратегічний"},0),Settings!$C$78,Settings!$C$80,Settings!$C$82,Settings!$C$84,Settings!$C$86))/6,2)*6,"")</f>
        <v/>
      </c>
      <c r="K592" s="142">
        <f>IFERROR(CHOOSE(MATCH(IF($E592="","Основний",$E592),{"Трафіковий","Основний","Маржинальний","Сезонний","Стратегічний"},0),Settings!$C$78,Settings!$C$80,Settings!$C$82,Settings!$C$84,Settings!$C$86),"")</f>
        <v/>
      </c>
      <c r="L592" s="143">
        <f>IFERROR((J592*(1-Settings!$C$17)-C592)/(J592*(1-Settings!$C$17)),"")</f>
        <v/>
      </c>
      <c r="M592" s="149">
        <f>IFERROR(IF(J592="","",IF(J592&gt;=C592/(1-SKU_Base!AA592)/(1-Settings!$C$17),"OK",IF(J592&gt;=C592/(1-SKU_Base!AH592)/(1-Settings!$C$17),"WARN","STOP"))),"")</f>
        <v/>
      </c>
      <c r="N592" s="159">
        <f>IFERROR(ROUND(D592*(1-CHOOSE(MATCH(IF($E592="","Основний",$E592),{"Трафіковий","Основний","Маржинальний","Сезонний","Стратегічний"},0),Settings!$D$78,Settings!$D$80,Settings!$D$82,Settings!$D$84,Settings!$D$86))/6,2)*6,"")</f>
        <v/>
      </c>
      <c r="O592" s="142">
        <f>IFERROR(CHOOSE(MATCH(IF($E592="","Основний",$E592),{"Трафіковий","Основний","Маржинальний","Сезонний","Стратегічний"},0),Settings!$D$78,Settings!$D$80,Settings!$D$82,Settings!$D$84,Settings!$D$86),"")</f>
        <v/>
      </c>
      <c r="P592" s="143">
        <f>IFERROR((N592*(1-Settings!$D$17)-C592)/(N592*(1-Settings!$D$17)),"")</f>
        <v/>
      </c>
      <c r="Q592" s="149">
        <f>IFERROR(IF(N592="","",IF(N592&gt;=C592/(1-SKU_Base!AB592)/(1-Settings!$D$17),"OK",IF(N592&gt;=C592/(1-SKU_Base!AI592)/(1-Settings!$D$17),"WARN","STOP"))),"")</f>
        <v/>
      </c>
      <c r="R592" s="159">
        <f>IFERROR(ROUND(D592*(1-CHOOSE(MATCH(IF($E592="","Основний",$E592),{"Трафіковий","Основний","Маржинальний","Сезонний","Стратегічний"},0),Settings!$E$78,Settings!$E$80,Settings!$E$82,Settings!$E$84,Settings!$E$86))/6,2)*6,"")</f>
        <v/>
      </c>
      <c r="S592" s="142">
        <f>IFERROR(CHOOSE(MATCH(IF($E592="","Основний",$E592),{"Трафіковий","Основний","Маржинальний","Сезонний","Стратегічний"},0),Settings!$E$78,Settings!$E$80,Settings!$E$82,Settings!$E$84,Settings!$E$86),"")</f>
        <v/>
      </c>
      <c r="T592" s="143">
        <f>IFERROR((R592*(1-Settings!$E$17)-C592)/(R592*(1-Settings!$E$17)),"")</f>
        <v/>
      </c>
      <c r="U592" s="149">
        <f>IFERROR(IF(R592="","",IF(R592&gt;=C592/(1-SKU_Base!AC592)/(1-Settings!$E$17),"OK",IF(R592&gt;=C592/(1-SKU_Base!AJ592)/(1-Settings!$E$17),"WARN","STOP"))),"")</f>
        <v/>
      </c>
      <c r="V592" s="159">
        <f>IFERROR(ROUND(D592*(1-CHOOSE(MATCH(IF($E592="","Основний",$E592),{"Трафіковий","Основний","Маржинальний","Сезонний","Стратегічний"},0),Settings!$F$78,Settings!$F$80,Settings!$F$82,Settings!$F$84,Settings!$F$86))/6,2)*6,"")</f>
        <v/>
      </c>
      <c r="W592" s="142">
        <f>IFERROR(CHOOSE(MATCH(IF($E592="","Основний",$E592),{"Трафіковий","Основний","Маржинальний","Сезонний","Стратегічний"},0),Settings!$F$78,Settings!$F$80,Settings!$F$82,Settings!$F$84,Settings!$F$86),"")</f>
        <v/>
      </c>
      <c r="X592" s="143">
        <f>IFERROR((V592*(1-Settings!$F$17)-C592)/(V592*(1-Settings!$F$17)),"")</f>
        <v/>
      </c>
      <c r="Y592" s="149">
        <f>IFERROR(IF(V592="","",IF(V592&gt;=C592/(1-SKU_Base!AD592)/(1-Settings!$F$17),"OK",IF(V592&gt;=C592/(1-SKU_Base!AK592)/(1-Settings!$F$17),"WARN","STOP"))),"")</f>
        <v/>
      </c>
      <c r="Z592" s="159">
        <f>IFERROR(ROUND(D592*(1-CHOOSE(MATCH(IF($E592="","Основний",$E592),{"Трафіковий","Основний","Маржинальний","Сезонний","Стратегічний"},0),Settings!$G$78,Settings!$G$80,Settings!$G$82,Settings!$G$84,Settings!$G$86))/6,2)*6,"")</f>
        <v/>
      </c>
      <c r="AA592" s="142">
        <f>IFERROR(CHOOSE(MATCH(IF($E592="","Основний",$E592),{"Трафіковий","Основний","Маржинальний","Сезонний","Стратегічний"},0),Settings!$G$78,Settings!$G$80,Settings!$G$82,Settings!$G$84,Settings!$G$86),"")</f>
        <v/>
      </c>
      <c r="AB592" s="143">
        <f>IFERROR((Z592*(1-Settings!$G$17)-C592)/(Z592*(1-Settings!$G$17)),"")</f>
        <v/>
      </c>
      <c r="AC592" s="149">
        <f>IFERROR(IF(Z592="","",IF(Z592&gt;=C592/(1-SKU_Base!AE592)/(1-Settings!$G$17),"OK",IF(Z592&gt;=C592/(1-SKU_Base!AL592)/(1-Settings!$G$17),"WARN","STOP"))),"")</f>
        <v/>
      </c>
      <c r="AD592" s="159">
        <f>IFERROR(ROUND(D592*(1-CHOOSE(MATCH(IF($E592="","Основний",$E592),{"Трафіковий","Основний","Маржинальний","Сезонний","Стратегічний"},0),Settings!$H$78,Settings!$H$80,Settings!$H$82,Settings!$H$84,Settings!$H$86))*(1-Settings!$H$68)/6,2)*6,"")</f>
        <v/>
      </c>
      <c r="AE592" s="142">
        <f>IFERROR(CHOOSE(MATCH(IF($E592="","Основний",$E592),{"Трафіковий","Основний","Маржинальний","Сезонний","Стратегічний"},0),Settings!$H$78,Settings!$H$80,Settings!$H$82,Settings!$H$84,Settings!$H$86)+(1-(CHOOSE(MATCH(IF($E592="","Основний",$E592),{"Трафіковий","Основний","Маржинальний","Сезонний","Стратегічний"},0),Settings!$H$78,Settings!$H$80,Settings!$H$82,Settings!$H$84,Settings!$H$86)))*Settings!$H$68,"")</f>
        <v/>
      </c>
      <c r="AF592" s="143">
        <f>IFERROR((AD592*(1-Settings!$H$17)-C592)/(AD592*(1-Settings!$H$17)),"")</f>
        <v/>
      </c>
      <c r="AG592" s="150">
        <f>IFERROR(IF(AD592="","",IF(AD592&gt;=C592/(1-SKU_Base!AF592)/(1-Settings!$H$17),"OK",IF(AD592&gt;=C592/(1-SKU_Base!AM592)/(1-Settings!$H$17),"WARN","STOP"))),"")</f>
        <v/>
      </c>
    </row>
    <row r="593" ht="17" customHeight="1" s="179">
      <c r="A593" s="146">
        <f>SKU_Base!B593</f>
        <v/>
      </c>
      <c r="B593" s="146">
        <f>SKU_Base!C593</f>
        <v/>
      </c>
      <c r="C593" s="147">
        <f>IFERROR(SKU_Base!I593,"")</f>
        <v/>
      </c>
      <c r="D593" s="164">
        <f>IFERROR(SKU_Base!T593,"")</f>
        <v/>
      </c>
      <c r="E593" s="141">
        <f>IFERROR(SKU_Base!$U593,"")</f>
        <v/>
      </c>
      <c r="F593" s="160">
        <f>IFERROR(ROUND(D593*(1-CHOOSE(MATCH(IF($E593="","Основний",$E593),{"Трафіковий","Основний","Маржинальний","Сезонний","Стратегічний"},0),Settings!$B$78,Settings!$B$80,Settings!$B$82,Settings!$B$84,Settings!$B$86))/6,2)*6,"")</f>
        <v/>
      </c>
      <c r="G593" s="142">
        <f>IFERROR(CHOOSE(MATCH(IF($E593="","Основний",$E593),{"Трафіковий","Основний","Маржинальний","Сезонний","Стратегічний"},0),Settings!$B$78,Settings!$B$80,Settings!$B$82,Settings!$B$84,Settings!$B$86),"")</f>
        <v/>
      </c>
      <c r="H593" s="148">
        <f>IFERROR((F593*(1-Settings!$B$17)-C593)/(F593*(1-Settings!$B$17)),"")</f>
        <v/>
      </c>
      <c r="I593" s="149">
        <f>IFERROR(IF(F593="","",IF(F593&gt;=C593/(1-SKU_Base!Z593)/(1-Settings!$B$17),"OK",IF(F593&gt;=C593/(1-SKU_Base!AG593)/(1-Settings!$B$17),"WARN","STOP"))),"")</f>
        <v/>
      </c>
      <c r="J593" s="160">
        <f>IFERROR(ROUND(D593*(1-CHOOSE(MATCH(IF($E593="","Основний",$E593),{"Трафіковий","Основний","Маржинальний","Сезонний","Стратегічний"},0),Settings!$C$78,Settings!$C$80,Settings!$C$82,Settings!$C$84,Settings!$C$86))/6,2)*6,"")</f>
        <v/>
      </c>
      <c r="K593" s="142">
        <f>IFERROR(CHOOSE(MATCH(IF($E593="","Основний",$E593),{"Трафіковий","Основний","Маржинальний","Сезонний","Стратегічний"},0),Settings!$C$78,Settings!$C$80,Settings!$C$82,Settings!$C$84,Settings!$C$86),"")</f>
        <v/>
      </c>
      <c r="L593" s="148">
        <f>IFERROR((J593*(1-Settings!$C$17)-C593)/(J593*(1-Settings!$C$17)),"")</f>
        <v/>
      </c>
      <c r="M593" s="149">
        <f>IFERROR(IF(J593="","",IF(J593&gt;=C593/(1-SKU_Base!AA593)/(1-Settings!$C$17),"OK",IF(J593&gt;=C593/(1-SKU_Base!AH593)/(1-Settings!$C$17),"WARN","STOP"))),"")</f>
        <v/>
      </c>
      <c r="N593" s="161">
        <f>IFERROR(ROUND(D593*(1-CHOOSE(MATCH(IF($E593="","Основний",$E593),{"Трафіковий","Основний","Маржинальний","Сезонний","Стратегічний"},0),Settings!$D$78,Settings!$D$80,Settings!$D$82,Settings!$D$84,Settings!$D$86))/6,2)*6,"")</f>
        <v/>
      </c>
      <c r="O593" s="142">
        <f>IFERROR(CHOOSE(MATCH(IF($E593="","Основний",$E593),{"Трафіковий","Основний","Маржинальний","Сезонний","Стратегічний"},0),Settings!$D$78,Settings!$D$80,Settings!$D$82,Settings!$D$84,Settings!$D$86),"")</f>
        <v/>
      </c>
      <c r="P593" s="148">
        <f>IFERROR((N593*(1-Settings!$D$17)-C593)/(N593*(1-Settings!$D$17)),"")</f>
        <v/>
      </c>
      <c r="Q593" s="149">
        <f>IFERROR(IF(N593="","",IF(N593&gt;=C593/(1-SKU_Base!AB593)/(1-Settings!$D$17),"OK",IF(N593&gt;=C593/(1-SKU_Base!AI593)/(1-Settings!$D$17),"WARN","STOP"))),"")</f>
        <v/>
      </c>
      <c r="R593" s="161">
        <f>IFERROR(ROUND(D593*(1-CHOOSE(MATCH(IF($E593="","Основний",$E593),{"Трафіковий","Основний","Маржинальний","Сезонний","Стратегічний"},0),Settings!$E$78,Settings!$E$80,Settings!$E$82,Settings!$E$84,Settings!$E$86))/6,2)*6,"")</f>
        <v/>
      </c>
      <c r="S593" s="142">
        <f>IFERROR(CHOOSE(MATCH(IF($E593="","Основний",$E593),{"Трафіковий","Основний","Маржинальний","Сезонний","Стратегічний"},0),Settings!$E$78,Settings!$E$80,Settings!$E$82,Settings!$E$84,Settings!$E$86),"")</f>
        <v/>
      </c>
      <c r="T593" s="148">
        <f>IFERROR((R593*(1-Settings!$E$17)-C593)/(R593*(1-Settings!$E$17)),"")</f>
        <v/>
      </c>
      <c r="U593" s="149">
        <f>IFERROR(IF(R593="","",IF(R593&gt;=C593/(1-SKU_Base!AC593)/(1-Settings!$E$17),"OK",IF(R593&gt;=C593/(1-SKU_Base!AJ593)/(1-Settings!$E$17),"WARN","STOP"))),"")</f>
        <v/>
      </c>
      <c r="V593" s="161">
        <f>IFERROR(ROUND(D593*(1-CHOOSE(MATCH(IF($E593="","Основний",$E593),{"Трафіковий","Основний","Маржинальний","Сезонний","Стратегічний"},0),Settings!$F$78,Settings!$F$80,Settings!$F$82,Settings!$F$84,Settings!$F$86))/6,2)*6,"")</f>
        <v/>
      </c>
      <c r="W593" s="142">
        <f>IFERROR(CHOOSE(MATCH(IF($E593="","Основний",$E593),{"Трафіковий","Основний","Маржинальний","Сезонний","Стратегічний"},0),Settings!$F$78,Settings!$F$80,Settings!$F$82,Settings!$F$84,Settings!$F$86),"")</f>
        <v/>
      </c>
      <c r="X593" s="148">
        <f>IFERROR((V593*(1-Settings!$F$17)-C593)/(V593*(1-Settings!$F$17)),"")</f>
        <v/>
      </c>
      <c r="Y593" s="149">
        <f>IFERROR(IF(V593="","",IF(V593&gt;=C593/(1-SKU_Base!AD593)/(1-Settings!$F$17),"OK",IF(V593&gt;=C593/(1-SKU_Base!AK593)/(1-Settings!$F$17),"WARN","STOP"))),"")</f>
        <v/>
      </c>
      <c r="Z593" s="161">
        <f>IFERROR(ROUND(D593*(1-CHOOSE(MATCH(IF($E593="","Основний",$E593),{"Трафіковий","Основний","Маржинальний","Сезонний","Стратегічний"},0),Settings!$G$78,Settings!$G$80,Settings!$G$82,Settings!$G$84,Settings!$G$86))/6,2)*6,"")</f>
        <v/>
      </c>
      <c r="AA593" s="142">
        <f>IFERROR(CHOOSE(MATCH(IF($E593="","Основний",$E593),{"Трафіковий","Основний","Маржинальний","Сезонний","Стратегічний"},0),Settings!$G$78,Settings!$G$80,Settings!$G$82,Settings!$G$84,Settings!$G$86),"")</f>
        <v/>
      </c>
      <c r="AB593" s="148">
        <f>IFERROR((Z593*(1-Settings!$G$17)-C593)/(Z593*(1-Settings!$G$17)),"")</f>
        <v/>
      </c>
      <c r="AC593" s="149">
        <f>IFERROR(IF(Z593="","",IF(Z593&gt;=C593/(1-SKU_Base!AE593)/(1-Settings!$G$17),"OK",IF(Z593&gt;=C593/(1-SKU_Base!AL593)/(1-Settings!$G$17),"WARN","STOP"))),"")</f>
        <v/>
      </c>
      <c r="AD593" s="161">
        <f>IFERROR(ROUND(D593*(1-CHOOSE(MATCH(IF($E593="","Основний",$E593),{"Трафіковий","Основний","Маржинальний","Сезонний","Стратегічний"},0),Settings!$H$78,Settings!$H$80,Settings!$H$82,Settings!$H$84,Settings!$H$86))*(1-Settings!$H$68)/6,2)*6,"")</f>
        <v/>
      </c>
      <c r="AE593" s="142">
        <f>IFERROR(CHOOSE(MATCH(IF($E593="","Основний",$E593),{"Трафіковий","Основний","Маржинальний","Сезонний","Стратегічний"},0),Settings!$H$78,Settings!$H$80,Settings!$H$82,Settings!$H$84,Settings!$H$86)+(1-(CHOOSE(MATCH(IF($E593="","Основний",$E593),{"Трафіковий","Основний","Маржинальний","Сезонний","Стратегічний"},0),Settings!$H$78,Settings!$H$80,Settings!$H$82,Settings!$H$84,Settings!$H$86)))*Settings!$H$68,"")</f>
        <v/>
      </c>
      <c r="AF593" s="148">
        <f>IFERROR((AD593*(1-Settings!$H$17)-C593)/(AD593*(1-Settings!$H$17)),"")</f>
        <v/>
      </c>
      <c r="AG593" s="150">
        <f>IFERROR(IF(AD593="","",IF(AD593&gt;=C593/(1-SKU_Base!AF593)/(1-Settings!$H$17),"OK",IF(AD593&gt;=C593/(1-SKU_Base!AM593)/(1-Settings!$H$17),"WARN","STOP"))),"")</f>
        <v/>
      </c>
    </row>
    <row r="594" ht="17" customHeight="1" s="179">
      <c r="A594" s="139">
        <f>SKU_Base!B594</f>
        <v/>
      </c>
      <c r="B594" s="139">
        <f>SKU_Base!C594</f>
        <v/>
      </c>
      <c r="C594" s="140">
        <f>IFERROR(SKU_Base!I594,"")</f>
        <v/>
      </c>
      <c r="D594" s="163">
        <f>IFERROR(SKU_Base!T594,"")</f>
        <v/>
      </c>
      <c r="E594" s="141">
        <f>IFERROR(SKU_Base!$U594,"")</f>
        <v/>
      </c>
      <c r="F594" s="158">
        <f>IFERROR(ROUND(D594*(1-CHOOSE(MATCH(IF($E594="","Основний",$E594),{"Трафіковий","Основний","Маржинальний","Сезонний","Стратегічний"},0),Settings!$B$78,Settings!$B$80,Settings!$B$82,Settings!$B$84,Settings!$B$86))/6,2)*6,"")</f>
        <v/>
      </c>
      <c r="G594" s="142">
        <f>IFERROR(CHOOSE(MATCH(IF($E594="","Основний",$E594),{"Трафіковий","Основний","Маржинальний","Сезонний","Стратегічний"},0),Settings!$B$78,Settings!$B$80,Settings!$B$82,Settings!$B$84,Settings!$B$86),"")</f>
        <v/>
      </c>
      <c r="H594" s="143">
        <f>IFERROR((F594*(1-Settings!$B$17)-C594)/(F594*(1-Settings!$B$17)),"")</f>
        <v/>
      </c>
      <c r="I594" s="149">
        <f>IFERROR(IF(F594="","",IF(F594&gt;=C594/(1-SKU_Base!Z594)/(1-Settings!$B$17),"OK",IF(F594&gt;=C594/(1-SKU_Base!AG594)/(1-Settings!$B$17),"WARN","STOP"))),"")</f>
        <v/>
      </c>
      <c r="J594" s="158">
        <f>IFERROR(ROUND(D594*(1-CHOOSE(MATCH(IF($E594="","Основний",$E594),{"Трафіковий","Основний","Маржинальний","Сезонний","Стратегічний"},0),Settings!$C$78,Settings!$C$80,Settings!$C$82,Settings!$C$84,Settings!$C$86))/6,2)*6,"")</f>
        <v/>
      </c>
      <c r="K594" s="142">
        <f>IFERROR(CHOOSE(MATCH(IF($E594="","Основний",$E594),{"Трафіковий","Основний","Маржинальний","Сезонний","Стратегічний"},0),Settings!$C$78,Settings!$C$80,Settings!$C$82,Settings!$C$84,Settings!$C$86),"")</f>
        <v/>
      </c>
      <c r="L594" s="143">
        <f>IFERROR((J594*(1-Settings!$C$17)-C594)/(J594*(1-Settings!$C$17)),"")</f>
        <v/>
      </c>
      <c r="M594" s="149">
        <f>IFERROR(IF(J594="","",IF(J594&gt;=C594/(1-SKU_Base!AA594)/(1-Settings!$C$17),"OK",IF(J594&gt;=C594/(1-SKU_Base!AH594)/(1-Settings!$C$17),"WARN","STOP"))),"")</f>
        <v/>
      </c>
      <c r="N594" s="159">
        <f>IFERROR(ROUND(D594*(1-CHOOSE(MATCH(IF($E594="","Основний",$E594),{"Трафіковий","Основний","Маржинальний","Сезонний","Стратегічний"},0),Settings!$D$78,Settings!$D$80,Settings!$D$82,Settings!$D$84,Settings!$D$86))/6,2)*6,"")</f>
        <v/>
      </c>
      <c r="O594" s="142">
        <f>IFERROR(CHOOSE(MATCH(IF($E594="","Основний",$E594),{"Трафіковий","Основний","Маржинальний","Сезонний","Стратегічний"},0),Settings!$D$78,Settings!$D$80,Settings!$D$82,Settings!$D$84,Settings!$D$86),"")</f>
        <v/>
      </c>
      <c r="P594" s="143">
        <f>IFERROR((N594*(1-Settings!$D$17)-C594)/(N594*(1-Settings!$D$17)),"")</f>
        <v/>
      </c>
      <c r="Q594" s="149">
        <f>IFERROR(IF(N594="","",IF(N594&gt;=C594/(1-SKU_Base!AB594)/(1-Settings!$D$17),"OK",IF(N594&gt;=C594/(1-SKU_Base!AI594)/(1-Settings!$D$17),"WARN","STOP"))),"")</f>
        <v/>
      </c>
      <c r="R594" s="159">
        <f>IFERROR(ROUND(D594*(1-CHOOSE(MATCH(IF($E594="","Основний",$E594),{"Трафіковий","Основний","Маржинальний","Сезонний","Стратегічний"},0),Settings!$E$78,Settings!$E$80,Settings!$E$82,Settings!$E$84,Settings!$E$86))/6,2)*6,"")</f>
        <v/>
      </c>
      <c r="S594" s="142">
        <f>IFERROR(CHOOSE(MATCH(IF($E594="","Основний",$E594),{"Трафіковий","Основний","Маржинальний","Сезонний","Стратегічний"},0),Settings!$E$78,Settings!$E$80,Settings!$E$82,Settings!$E$84,Settings!$E$86),"")</f>
        <v/>
      </c>
      <c r="T594" s="143">
        <f>IFERROR((R594*(1-Settings!$E$17)-C594)/(R594*(1-Settings!$E$17)),"")</f>
        <v/>
      </c>
      <c r="U594" s="149">
        <f>IFERROR(IF(R594="","",IF(R594&gt;=C594/(1-SKU_Base!AC594)/(1-Settings!$E$17),"OK",IF(R594&gt;=C594/(1-SKU_Base!AJ594)/(1-Settings!$E$17),"WARN","STOP"))),"")</f>
        <v/>
      </c>
      <c r="V594" s="159">
        <f>IFERROR(ROUND(D594*(1-CHOOSE(MATCH(IF($E594="","Основний",$E594),{"Трафіковий","Основний","Маржинальний","Сезонний","Стратегічний"},0),Settings!$F$78,Settings!$F$80,Settings!$F$82,Settings!$F$84,Settings!$F$86))/6,2)*6,"")</f>
        <v/>
      </c>
      <c r="W594" s="142">
        <f>IFERROR(CHOOSE(MATCH(IF($E594="","Основний",$E594),{"Трафіковий","Основний","Маржинальний","Сезонний","Стратегічний"},0),Settings!$F$78,Settings!$F$80,Settings!$F$82,Settings!$F$84,Settings!$F$86),"")</f>
        <v/>
      </c>
      <c r="X594" s="143">
        <f>IFERROR((V594*(1-Settings!$F$17)-C594)/(V594*(1-Settings!$F$17)),"")</f>
        <v/>
      </c>
      <c r="Y594" s="149">
        <f>IFERROR(IF(V594="","",IF(V594&gt;=C594/(1-SKU_Base!AD594)/(1-Settings!$F$17),"OK",IF(V594&gt;=C594/(1-SKU_Base!AK594)/(1-Settings!$F$17),"WARN","STOP"))),"")</f>
        <v/>
      </c>
      <c r="Z594" s="159">
        <f>IFERROR(ROUND(D594*(1-CHOOSE(MATCH(IF($E594="","Основний",$E594),{"Трафіковий","Основний","Маржинальний","Сезонний","Стратегічний"},0),Settings!$G$78,Settings!$G$80,Settings!$G$82,Settings!$G$84,Settings!$G$86))/6,2)*6,"")</f>
        <v/>
      </c>
      <c r="AA594" s="142">
        <f>IFERROR(CHOOSE(MATCH(IF($E594="","Основний",$E594),{"Трафіковий","Основний","Маржинальний","Сезонний","Стратегічний"},0),Settings!$G$78,Settings!$G$80,Settings!$G$82,Settings!$G$84,Settings!$G$86),"")</f>
        <v/>
      </c>
      <c r="AB594" s="143">
        <f>IFERROR((Z594*(1-Settings!$G$17)-C594)/(Z594*(1-Settings!$G$17)),"")</f>
        <v/>
      </c>
      <c r="AC594" s="149">
        <f>IFERROR(IF(Z594="","",IF(Z594&gt;=C594/(1-SKU_Base!AE594)/(1-Settings!$G$17),"OK",IF(Z594&gt;=C594/(1-SKU_Base!AL594)/(1-Settings!$G$17),"WARN","STOP"))),"")</f>
        <v/>
      </c>
      <c r="AD594" s="159">
        <f>IFERROR(ROUND(D594*(1-CHOOSE(MATCH(IF($E594="","Основний",$E594),{"Трафіковий","Основний","Маржинальний","Сезонний","Стратегічний"},0),Settings!$H$78,Settings!$H$80,Settings!$H$82,Settings!$H$84,Settings!$H$86))*(1-Settings!$H$68)/6,2)*6,"")</f>
        <v/>
      </c>
      <c r="AE594" s="142">
        <f>IFERROR(CHOOSE(MATCH(IF($E594="","Основний",$E594),{"Трафіковий","Основний","Маржинальний","Сезонний","Стратегічний"},0),Settings!$H$78,Settings!$H$80,Settings!$H$82,Settings!$H$84,Settings!$H$86)+(1-(CHOOSE(MATCH(IF($E594="","Основний",$E594),{"Трафіковий","Основний","Маржинальний","Сезонний","Стратегічний"},0),Settings!$H$78,Settings!$H$80,Settings!$H$82,Settings!$H$84,Settings!$H$86)))*Settings!$H$68,"")</f>
        <v/>
      </c>
      <c r="AF594" s="143">
        <f>IFERROR((AD594*(1-Settings!$H$17)-C594)/(AD594*(1-Settings!$H$17)),"")</f>
        <v/>
      </c>
      <c r="AG594" s="150">
        <f>IFERROR(IF(AD594="","",IF(AD594&gt;=C594/(1-SKU_Base!AF594)/(1-Settings!$H$17),"OK",IF(AD594&gt;=C594/(1-SKU_Base!AM594)/(1-Settings!$H$17),"WARN","STOP"))),"")</f>
        <v/>
      </c>
    </row>
    <row r="595" ht="17" customHeight="1" s="179">
      <c r="A595" s="146">
        <f>SKU_Base!B595</f>
        <v/>
      </c>
      <c r="B595" s="146">
        <f>SKU_Base!C595</f>
        <v/>
      </c>
      <c r="C595" s="147">
        <f>IFERROR(SKU_Base!I595,"")</f>
        <v/>
      </c>
      <c r="D595" s="164">
        <f>IFERROR(SKU_Base!T595,"")</f>
        <v/>
      </c>
      <c r="E595" s="141">
        <f>IFERROR(SKU_Base!$U595,"")</f>
        <v/>
      </c>
      <c r="F595" s="160">
        <f>IFERROR(ROUND(D595*(1-CHOOSE(MATCH(IF($E595="","Основний",$E595),{"Трафіковий","Основний","Маржинальний","Сезонний","Стратегічний"},0),Settings!$B$78,Settings!$B$80,Settings!$B$82,Settings!$B$84,Settings!$B$86))/6,2)*6,"")</f>
        <v/>
      </c>
      <c r="G595" s="142">
        <f>IFERROR(CHOOSE(MATCH(IF($E595="","Основний",$E595),{"Трафіковий","Основний","Маржинальний","Сезонний","Стратегічний"},0),Settings!$B$78,Settings!$B$80,Settings!$B$82,Settings!$B$84,Settings!$B$86),"")</f>
        <v/>
      </c>
      <c r="H595" s="148">
        <f>IFERROR((F595*(1-Settings!$B$17)-C595)/(F595*(1-Settings!$B$17)),"")</f>
        <v/>
      </c>
      <c r="I595" s="150">
        <f>IFERROR(IF(F595="","",IF(F595&gt;=C595/(1-SKU_Base!Z595)/(1-Settings!$B$17),"OK",IF(F595&gt;=C595/(1-SKU_Base!AG595)/(1-Settings!$B$17),"WARN","STOP"))),"")</f>
        <v/>
      </c>
      <c r="J595" s="160">
        <f>IFERROR(ROUND(D595*(1-CHOOSE(MATCH(IF($E595="","Основний",$E595),{"Трафіковий","Основний","Маржинальний","Сезонний","Стратегічний"},0),Settings!$C$78,Settings!$C$80,Settings!$C$82,Settings!$C$84,Settings!$C$86))/6,2)*6,"")</f>
        <v/>
      </c>
      <c r="K595" s="142">
        <f>IFERROR(CHOOSE(MATCH(IF($E595="","Основний",$E595),{"Трафіковий","Основний","Маржинальний","Сезонний","Стратегічний"},0),Settings!$C$78,Settings!$C$80,Settings!$C$82,Settings!$C$84,Settings!$C$86),"")</f>
        <v/>
      </c>
      <c r="L595" s="148">
        <f>IFERROR((J595*(1-Settings!$C$17)-C595)/(J595*(1-Settings!$C$17)),"")</f>
        <v/>
      </c>
      <c r="M595" s="149">
        <f>IFERROR(IF(J595="","",IF(J595&gt;=C595/(1-SKU_Base!AA595)/(1-Settings!$C$17),"OK",IF(J595&gt;=C595/(1-SKU_Base!AH595)/(1-Settings!$C$17),"WARN","STOP"))),"")</f>
        <v/>
      </c>
      <c r="N595" s="161">
        <f>IFERROR(ROUND(D595*(1-CHOOSE(MATCH(IF($E595="","Основний",$E595),{"Трафіковий","Основний","Маржинальний","Сезонний","Стратегічний"},0),Settings!$D$78,Settings!$D$80,Settings!$D$82,Settings!$D$84,Settings!$D$86))/6,2)*6,"")</f>
        <v/>
      </c>
      <c r="O595" s="142">
        <f>IFERROR(CHOOSE(MATCH(IF($E595="","Основний",$E595),{"Трафіковий","Основний","Маржинальний","Сезонний","Стратегічний"},0),Settings!$D$78,Settings!$D$80,Settings!$D$82,Settings!$D$84,Settings!$D$86),"")</f>
        <v/>
      </c>
      <c r="P595" s="148">
        <f>IFERROR((N595*(1-Settings!$D$17)-C595)/(N595*(1-Settings!$D$17)),"")</f>
        <v/>
      </c>
      <c r="Q595" s="149">
        <f>IFERROR(IF(N595="","",IF(N595&gt;=C595/(1-SKU_Base!AB595)/(1-Settings!$D$17),"OK",IF(N595&gt;=C595/(1-SKU_Base!AI595)/(1-Settings!$D$17),"WARN","STOP"))),"")</f>
        <v/>
      </c>
      <c r="R595" s="161">
        <f>IFERROR(ROUND(D595*(1-CHOOSE(MATCH(IF($E595="","Основний",$E595),{"Трафіковий","Основний","Маржинальний","Сезонний","Стратегічний"},0),Settings!$E$78,Settings!$E$80,Settings!$E$82,Settings!$E$84,Settings!$E$86))/6,2)*6,"")</f>
        <v/>
      </c>
      <c r="S595" s="142">
        <f>IFERROR(CHOOSE(MATCH(IF($E595="","Основний",$E595),{"Трафіковий","Основний","Маржинальний","Сезонний","Стратегічний"},0),Settings!$E$78,Settings!$E$80,Settings!$E$82,Settings!$E$84,Settings!$E$86),"")</f>
        <v/>
      </c>
      <c r="T595" s="148">
        <f>IFERROR((R595*(1-Settings!$E$17)-C595)/(R595*(1-Settings!$E$17)),"")</f>
        <v/>
      </c>
      <c r="U595" s="149">
        <f>IFERROR(IF(R595="","",IF(R595&gt;=C595/(1-SKU_Base!AC595)/(1-Settings!$E$17),"OK",IF(R595&gt;=C595/(1-SKU_Base!AJ595)/(1-Settings!$E$17),"WARN","STOP"))),"")</f>
        <v/>
      </c>
      <c r="V595" s="161">
        <f>IFERROR(ROUND(D595*(1-CHOOSE(MATCH(IF($E595="","Основний",$E595),{"Трафіковий","Основний","Маржинальний","Сезонний","Стратегічний"},0),Settings!$F$78,Settings!$F$80,Settings!$F$82,Settings!$F$84,Settings!$F$86))/6,2)*6,"")</f>
        <v/>
      </c>
      <c r="W595" s="142">
        <f>IFERROR(CHOOSE(MATCH(IF($E595="","Основний",$E595),{"Трафіковий","Основний","Маржинальний","Сезонний","Стратегічний"},0),Settings!$F$78,Settings!$F$80,Settings!$F$82,Settings!$F$84,Settings!$F$86),"")</f>
        <v/>
      </c>
      <c r="X595" s="148">
        <f>IFERROR((V595*(1-Settings!$F$17)-C595)/(V595*(1-Settings!$F$17)),"")</f>
        <v/>
      </c>
      <c r="Y595" s="149">
        <f>IFERROR(IF(V595="","",IF(V595&gt;=C595/(1-SKU_Base!AD595)/(1-Settings!$F$17),"OK",IF(V595&gt;=C595/(1-SKU_Base!AK595)/(1-Settings!$F$17),"WARN","STOP"))),"")</f>
        <v/>
      </c>
      <c r="Z595" s="161">
        <f>IFERROR(ROUND(D595*(1-CHOOSE(MATCH(IF($E595="","Основний",$E595),{"Трафіковий","Основний","Маржинальний","Сезонний","Стратегічний"},0),Settings!$G$78,Settings!$G$80,Settings!$G$82,Settings!$G$84,Settings!$G$86))/6,2)*6,"")</f>
        <v/>
      </c>
      <c r="AA595" s="142">
        <f>IFERROR(CHOOSE(MATCH(IF($E595="","Основний",$E595),{"Трафіковий","Основний","Маржинальний","Сезонний","Стратегічний"},0),Settings!$G$78,Settings!$G$80,Settings!$G$82,Settings!$G$84,Settings!$G$86),"")</f>
        <v/>
      </c>
      <c r="AB595" s="148">
        <f>IFERROR((Z595*(1-Settings!$G$17)-C595)/(Z595*(1-Settings!$G$17)),"")</f>
        <v/>
      </c>
      <c r="AC595" s="149">
        <f>IFERROR(IF(Z595="","",IF(Z595&gt;=C595/(1-SKU_Base!AE595)/(1-Settings!$G$17),"OK",IF(Z595&gt;=C595/(1-SKU_Base!AL595)/(1-Settings!$G$17),"WARN","STOP"))),"")</f>
        <v/>
      </c>
      <c r="AD595" s="161">
        <f>IFERROR(ROUND(D595*(1-CHOOSE(MATCH(IF($E595="","Основний",$E595),{"Трафіковий","Основний","Маржинальний","Сезонний","Стратегічний"},0),Settings!$H$78,Settings!$H$80,Settings!$H$82,Settings!$H$84,Settings!$H$86))*(1-Settings!$H$68)/6,2)*6,"")</f>
        <v/>
      </c>
      <c r="AE595" s="142">
        <f>IFERROR(CHOOSE(MATCH(IF($E595="","Основний",$E595),{"Трафіковий","Основний","Маржинальний","Сезонний","Стратегічний"},0),Settings!$H$78,Settings!$H$80,Settings!$H$82,Settings!$H$84,Settings!$H$86)+(1-(CHOOSE(MATCH(IF($E595="","Основний",$E595),{"Трафіковий","Основний","Маржинальний","Сезонний","Стратегічний"},0),Settings!$H$78,Settings!$H$80,Settings!$H$82,Settings!$H$84,Settings!$H$86)))*Settings!$H$68,"")</f>
        <v/>
      </c>
      <c r="AF595" s="148">
        <f>IFERROR((AD595*(1-Settings!$H$17)-C595)/(AD595*(1-Settings!$H$17)),"")</f>
        <v/>
      </c>
      <c r="AG595" s="150">
        <f>IFERROR(IF(AD595="","",IF(AD595&gt;=C595/(1-SKU_Base!AF595)/(1-Settings!$H$17),"OK",IF(AD595&gt;=C595/(1-SKU_Base!AM595)/(1-Settings!$H$17),"WARN","STOP"))),"")</f>
        <v/>
      </c>
    </row>
    <row r="596" ht="17" customHeight="1" s="179">
      <c r="A596" s="139">
        <f>SKU_Base!B596</f>
        <v/>
      </c>
      <c r="B596" s="139">
        <f>SKU_Base!C596</f>
        <v/>
      </c>
      <c r="C596" s="140">
        <f>IFERROR(SKU_Base!I596,"")</f>
        <v/>
      </c>
      <c r="D596" s="163">
        <f>IFERROR(SKU_Base!T596,"")</f>
        <v/>
      </c>
      <c r="E596" s="141">
        <f>IFERROR(SKU_Base!$U596,"")</f>
        <v/>
      </c>
      <c r="F596" s="158">
        <f>IFERROR(ROUND(D596*(1-CHOOSE(MATCH(IF($E596="","Основний",$E596),{"Трафіковий","Основний","Маржинальний","Сезонний","Стратегічний"},0),Settings!$B$78,Settings!$B$80,Settings!$B$82,Settings!$B$84,Settings!$B$86))/6,2)*6,"")</f>
        <v/>
      </c>
      <c r="G596" s="142">
        <f>IFERROR(CHOOSE(MATCH(IF($E596="","Основний",$E596),{"Трафіковий","Основний","Маржинальний","Сезонний","Стратегічний"},0),Settings!$B$78,Settings!$B$80,Settings!$B$82,Settings!$B$84,Settings!$B$86),"")</f>
        <v/>
      </c>
      <c r="H596" s="143">
        <f>IFERROR((F596*(1-Settings!$B$17)-C596)/(F596*(1-Settings!$B$17)),"")</f>
        <v/>
      </c>
      <c r="I596" s="149">
        <f>IFERROR(IF(F596="","",IF(F596&gt;=C596/(1-SKU_Base!Z596)/(1-Settings!$B$17),"OK",IF(F596&gt;=C596/(1-SKU_Base!AG596)/(1-Settings!$B$17),"WARN","STOP"))),"")</f>
        <v/>
      </c>
      <c r="J596" s="158">
        <f>IFERROR(ROUND(D596*(1-CHOOSE(MATCH(IF($E596="","Основний",$E596),{"Трафіковий","Основний","Маржинальний","Сезонний","Стратегічний"},0),Settings!$C$78,Settings!$C$80,Settings!$C$82,Settings!$C$84,Settings!$C$86))/6,2)*6,"")</f>
        <v/>
      </c>
      <c r="K596" s="142">
        <f>IFERROR(CHOOSE(MATCH(IF($E596="","Основний",$E596),{"Трафіковий","Основний","Маржинальний","Сезонний","Стратегічний"},0),Settings!$C$78,Settings!$C$80,Settings!$C$82,Settings!$C$84,Settings!$C$86),"")</f>
        <v/>
      </c>
      <c r="L596" s="143">
        <f>IFERROR((J596*(1-Settings!$C$17)-C596)/(J596*(1-Settings!$C$17)),"")</f>
        <v/>
      </c>
      <c r="M596" s="149">
        <f>IFERROR(IF(J596="","",IF(J596&gt;=C596/(1-SKU_Base!AA596)/(1-Settings!$C$17),"OK",IF(J596&gt;=C596/(1-SKU_Base!AH596)/(1-Settings!$C$17),"WARN","STOP"))),"")</f>
        <v/>
      </c>
      <c r="N596" s="159">
        <f>IFERROR(ROUND(D596*(1-CHOOSE(MATCH(IF($E596="","Основний",$E596),{"Трафіковий","Основний","Маржинальний","Сезонний","Стратегічний"},0),Settings!$D$78,Settings!$D$80,Settings!$D$82,Settings!$D$84,Settings!$D$86))/6,2)*6,"")</f>
        <v/>
      </c>
      <c r="O596" s="142">
        <f>IFERROR(CHOOSE(MATCH(IF($E596="","Основний",$E596),{"Трафіковий","Основний","Маржинальний","Сезонний","Стратегічний"},0),Settings!$D$78,Settings!$D$80,Settings!$D$82,Settings!$D$84,Settings!$D$86),"")</f>
        <v/>
      </c>
      <c r="P596" s="143">
        <f>IFERROR((N596*(1-Settings!$D$17)-C596)/(N596*(1-Settings!$D$17)),"")</f>
        <v/>
      </c>
      <c r="Q596" s="149">
        <f>IFERROR(IF(N596="","",IF(N596&gt;=C596/(1-SKU_Base!AB596)/(1-Settings!$D$17),"OK",IF(N596&gt;=C596/(1-SKU_Base!AI596)/(1-Settings!$D$17),"WARN","STOP"))),"")</f>
        <v/>
      </c>
      <c r="R596" s="159">
        <f>IFERROR(ROUND(D596*(1-CHOOSE(MATCH(IF($E596="","Основний",$E596),{"Трафіковий","Основний","Маржинальний","Сезонний","Стратегічний"},0),Settings!$E$78,Settings!$E$80,Settings!$E$82,Settings!$E$84,Settings!$E$86))/6,2)*6,"")</f>
        <v/>
      </c>
      <c r="S596" s="142">
        <f>IFERROR(CHOOSE(MATCH(IF($E596="","Основний",$E596),{"Трафіковий","Основний","Маржинальний","Сезонний","Стратегічний"},0),Settings!$E$78,Settings!$E$80,Settings!$E$82,Settings!$E$84,Settings!$E$86),"")</f>
        <v/>
      </c>
      <c r="T596" s="143">
        <f>IFERROR((R596*(1-Settings!$E$17)-C596)/(R596*(1-Settings!$E$17)),"")</f>
        <v/>
      </c>
      <c r="U596" s="149">
        <f>IFERROR(IF(R596="","",IF(R596&gt;=C596/(1-SKU_Base!AC596)/(1-Settings!$E$17),"OK",IF(R596&gt;=C596/(1-SKU_Base!AJ596)/(1-Settings!$E$17),"WARN","STOP"))),"")</f>
        <v/>
      </c>
      <c r="V596" s="159">
        <f>IFERROR(ROUND(D596*(1-CHOOSE(MATCH(IF($E596="","Основний",$E596),{"Трафіковий","Основний","Маржинальний","Сезонний","Стратегічний"},0),Settings!$F$78,Settings!$F$80,Settings!$F$82,Settings!$F$84,Settings!$F$86))/6,2)*6,"")</f>
        <v/>
      </c>
      <c r="W596" s="142">
        <f>IFERROR(CHOOSE(MATCH(IF($E596="","Основний",$E596),{"Трафіковий","Основний","Маржинальний","Сезонний","Стратегічний"},0),Settings!$F$78,Settings!$F$80,Settings!$F$82,Settings!$F$84,Settings!$F$86),"")</f>
        <v/>
      </c>
      <c r="X596" s="143">
        <f>IFERROR((V596*(1-Settings!$F$17)-C596)/(V596*(1-Settings!$F$17)),"")</f>
        <v/>
      </c>
      <c r="Y596" s="149">
        <f>IFERROR(IF(V596="","",IF(V596&gt;=C596/(1-SKU_Base!AD596)/(1-Settings!$F$17),"OK",IF(V596&gt;=C596/(1-SKU_Base!AK596)/(1-Settings!$F$17),"WARN","STOP"))),"")</f>
        <v/>
      </c>
      <c r="Z596" s="159">
        <f>IFERROR(ROUND(D596*(1-CHOOSE(MATCH(IF($E596="","Основний",$E596),{"Трафіковий","Основний","Маржинальний","Сезонний","Стратегічний"},0),Settings!$G$78,Settings!$G$80,Settings!$G$82,Settings!$G$84,Settings!$G$86))/6,2)*6,"")</f>
        <v/>
      </c>
      <c r="AA596" s="142">
        <f>IFERROR(CHOOSE(MATCH(IF($E596="","Основний",$E596),{"Трафіковий","Основний","Маржинальний","Сезонний","Стратегічний"},0),Settings!$G$78,Settings!$G$80,Settings!$G$82,Settings!$G$84,Settings!$G$86),"")</f>
        <v/>
      </c>
      <c r="AB596" s="143">
        <f>IFERROR((Z596*(1-Settings!$G$17)-C596)/(Z596*(1-Settings!$G$17)),"")</f>
        <v/>
      </c>
      <c r="AC596" s="149">
        <f>IFERROR(IF(Z596="","",IF(Z596&gt;=C596/(1-SKU_Base!AE596)/(1-Settings!$G$17),"OK",IF(Z596&gt;=C596/(1-SKU_Base!AL596)/(1-Settings!$G$17),"WARN","STOP"))),"")</f>
        <v/>
      </c>
      <c r="AD596" s="159">
        <f>IFERROR(ROUND(D596*(1-CHOOSE(MATCH(IF($E596="","Основний",$E596),{"Трафіковий","Основний","Маржинальний","Сезонний","Стратегічний"},0),Settings!$H$78,Settings!$H$80,Settings!$H$82,Settings!$H$84,Settings!$H$86))*(1-Settings!$H$68)/6,2)*6,"")</f>
        <v/>
      </c>
      <c r="AE596" s="142">
        <f>IFERROR(CHOOSE(MATCH(IF($E596="","Основний",$E596),{"Трафіковий","Основний","Маржинальний","Сезонний","Стратегічний"},0),Settings!$H$78,Settings!$H$80,Settings!$H$82,Settings!$H$84,Settings!$H$86)+(1-(CHOOSE(MATCH(IF($E596="","Основний",$E596),{"Трафіковий","Основний","Маржинальний","Сезонний","Стратегічний"},0),Settings!$H$78,Settings!$H$80,Settings!$H$82,Settings!$H$84,Settings!$H$86)))*Settings!$H$68,"")</f>
        <v/>
      </c>
      <c r="AF596" s="143">
        <f>IFERROR((AD596*(1-Settings!$H$17)-C596)/(AD596*(1-Settings!$H$17)),"")</f>
        <v/>
      </c>
      <c r="AG596" s="150">
        <f>IFERROR(IF(AD596="","",IF(AD596&gt;=C596/(1-SKU_Base!AF596)/(1-Settings!$H$17),"OK",IF(AD596&gt;=C596/(1-SKU_Base!AM596)/(1-Settings!$H$17),"WARN","STOP"))),"")</f>
        <v/>
      </c>
    </row>
    <row r="597" ht="17" customHeight="1" s="179">
      <c r="A597" s="146">
        <f>SKU_Base!B597</f>
        <v/>
      </c>
      <c r="B597" s="146">
        <f>SKU_Base!C597</f>
        <v/>
      </c>
      <c r="C597" s="147">
        <f>IFERROR(SKU_Base!I597,"")</f>
        <v/>
      </c>
      <c r="D597" s="164">
        <f>IFERROR(SKU_Base!T597,"")</f>
        <v/>
      </c>
      <c r="E597" s="141">
        <f>IFERROR(SKU_Base!$U597,"")</f>
        <v/>
      </c>
      <c r="F597" s="160">
        <f>IFERROR(ROUND(D597*(1-CHOOSE(MATCH(IF($E597="","Основний",$E597),{"Трафіковий","Основний","Маржинальний","Сезонний","Стратегічний"},0),Settings!$B$78,Settings!$B$80,Settings!$B$82,Settings!$B$84,Settings!$B$86))/6,2)*6,"")</f>
        <v/>
      </c>
      <c r="G597" s="142">
        <f>IFERROR(CHOOSE(MATCH(IF($E597="","Основний",$E597),{"Трафіковий","Основний","Маржинальний","Сезонний","Стратегічний"},0),Settings!$B$78,Settings!$B$80,Settings!$B$82,Settings!$B$84,Settings!$B$86),"")</f>
        <v/>
      </c>
      <c r="H597" s="148">
        <f>IFERROR((F597*(1-Settings!$B$17)-C597)/(F597*(1-Settings!$B$17)),"")</f>
        <v/>
      </c>
      <c r="I597" s="149">
        <f>IFERROR(IF(F597="","",IF(F597&gt;=C597/(1-SKU_Base!Z597)/(1-Settings!$B$17),"OK",IF(F597&gt;=C597/(1-SKU_Base!AG597)/(1-Settings!$B$17),"WARN","STOP"))),"")</f>
        <v/>
      </c>
      <c r="J597" s="160">
        <f>IFERROR(ROUND(D597*(1-CHOOSE(MATCH(IF($E597="","Основний",$E597),{"Трафіковий","Основний","Маржинальний","Сезонний","Стратегічний"},0),Settings!$C$78,Settings!$C$80,Settings!$C$82,Settings!$C$84,Settings!$C$86))/6,2)*6,"")</f>
        <v/>
      </c>
      <c r="K597" s="142">
        <f>IFERROR(CHOOSE(MATCH(IF($E597="","Основний",$E597),{"Трафіковий","Основний","Маржинальний","Сезонний","Стратегічний"},0),Settings!$C$78,Settings!$C$80,Settings!$C$82,Settings!$C$84,Settings!$C$86),"")</f>
        <v/>
      </c>
      <c r="L597" s="148">
        <f>IFERROR((J597*(1-Settings!$C$17)-C597)/(J597*(1-Settings!$C$17)),"")</f>
        <v/>
      </c>
      <c r="M597" s="149">
        <f>IFERROR(IF(J597="","",IF(J597&gt;=C597/(1-SKU_Base!AA597)/(1-Settings!$C$17),"OK",IF(J597&gt;=C597/(1-SKU_Base!AH597)/(1-Settings!$C$17),"WARN","STOP"))),"")</f>
        <v/>
      </c>
      <c r="N597" s="161">
        <f>IFERROR(ROUND(D597*(1-CHOOSE(MATCH(IF($E597="","Основний",$E597),{"Трафіковий","Основний","Маржинальний","Сезонний","Стратегічний"},0),Settings!$D$78,Settings!$D$80,Settings!$D$82,Settings!$D$84,Settings!$D$86))/6,2)*6,"")</f>
        <v/>
      </c>
      <c r="O597" s="142">
        <f>IFERROR(CHOOSE(MATCH(IF($E597="","Основний",$E597),{"Трафіковий","Основний","Маржинальний","Сезонний","Стратегічний"},0),Settings!$D$78,Settings!$D$80,Settings!$D$82,Settings!$D$84,Settings!$D$86),"")</f>
        <v/>
      </c>
      <c r="P597" s="148">
        <f>IFERROR((N597*(1-Settings!$D$17)-C597)/(N597*(1-Settings!$D$17)),"")</f>
        <v/>
      </c>
      <c r="Q597" s="149">
        <f>IFERROR(IF(N597="","",IF(N597&gt;=C597/(1-SKU_Base!AB597)/(1-Settings!$D$17),"OK",IF(N597&gt;=C597/(1-SKU_Base!AI597)/(1-Settings!$D$17),"WARN","STOP"))),"")</f>
        <v/>
      </c>
      <c r="R597" s="161">
        <f>IFERROR(ROUND(D597*(1-CHOOSE(MATCH(IF($E597="","Основний",$E597),{"Трафіковий","Основний","Маржинальний","Сезонний","Стратегічний"},0),Settings!$E$78,Settings!$E$80,Settings!$E$82,Settings!$E$84,Settings!$E$86))/6,2)*6,"")</f>
        <v/>
      </c>
      <c r="S597" s="142">
        <f>IFERROR(CHOOSE(MATCH(IF($E597="","Основний",$E597),{"Трафіковий","Основний","Маржинальний","Сезонний","Стратегічний"},0),Settings!$E$78,Settings!$E$80,Settings!$E$82,Settings!$E$84,Settings!$E$86),"")</f>
        <v/>
      </c>
      <c r="T597" s="148">
        <f>IFERROR((R597*(1-Settings!$E$17)-C597)/(R597*(1-Settings!$E$17)),"")</f>
        <v/>
      </c>
      <c r="U597" s="149">
        <f>IFERROR(IF(R597="","",IF(R597&gt;=C597/(1-SKU_Base!AC597)/(1-Settings!$E$17),"OK",IF(R597&gt;=C597/(1-SKU_Base!AJ597)/(1-Settings!$E$17),"WARN","STOP"))),"")</f>
        <v/>
      </c>
      <c r="V597" s="161">
        <f>IFERROR(ROUND(D597*(1-CHOOSE(MATCH(IF($E597="","Основний",$E597),{"Трафіковий","Основний","Маржинальний","Сезонний","Стратегічний"},0),Settings!$F$78,Settings!$F$80,Settings!$F$82,Settings!$F$84,Settings!$F$86))/6,2)*6,"")</f>
        <v/>
      </c>
      <c r="W597" s="142">
        <f>IFERROR(CHOOSE(MATCH(IF($E597="","Основний",$E597),{"Трафіковий","Основний","Маржинальний","Сезонний","Стратегічний"},0),Settings!$F$78,Settings!$F$80,Settings!$F$82,Settings!$F$84,Settings!$F$86),"")</f>
        <v/>
      </c>
      <c r="X597" s="148">
        <f>IFERROR((V597*(1-Settings!$F$17)-C597)/(V597*(1-Settings!$F$17)),"")</f>
        <v/>
      </c>
      <c r="Y597" s="149">
        <f>IFERROR(IF(V597="","",IF(V597&gt;=C597/(1-SKU_Base!AD597)/(1-Settings!$F$17),"OK",IF(V597&gt;=C597/(1-SKU_Base!AK597)/(1-Settings!$F$17),"WARN","STOP"))),"")</f>
        <v/>
      </c>
      <c r="Z597" s="161">
        <f>IFERROR(ROUND(D597*(1-CHOOSE(MATCH(IF($E597="","Основний",$E597),{"Трафіковий","Основний","Маржинальний","Сезонний","Стратегічний"},0),Settings!$G$78,Settings!$G$80,Settings!$G$82,Settings!$G$84,Settings!$G$86))/6,2)*6,"")</f>
        <v/>
      </c>
      <c r="AA597" s="142">
        <f>IFERROR(CHOOSE(MATCH(IF($E597="","Основний",$E597),{"Трафіковий","Основний","Маржинальний","Сезонний","Стратегічний"},0),Settings!$G$78,Settings!$G$80,Settings!$G$82,Settings!$G$84,Settings!$G$86),"")</f>
        <v/>
      </c>
      <c r="AB597" s="148">
        <f>IFERROR((Z597*(1-Settings!$G$17)-C597)/(Z597*(1-Settings!$G$17)),"")</f>
        <v/>
      </c>
      <c r="AC597" s="149">
        <f>IFERROR(IF(Z597="","",IF(Z597&gt;=C597/(1-SKU_Base!AE597)/(1-Settings!$G$17),"OK",IF(Z597&gt;=C597/(1-SKU_Base!AL597)/(1-Settings!$G$17),"WARN","STOP"))),"")</f>
        <v/>
      </c>
      <c r="AD597" s="161">
        <f>IFERROR(ROUND(D597*(1-CHOOSE(MATCH(IF($E597="","Основний",$E597),{"Трафіковий","Основний","Маржинальний","Сезонний","Стратегічний"},0),Settings!$H$78,Settings!$H$80,Settings!$H$82,Settings!$H$84,Settings!$H$86))*(1-Settings!$H$68)/6,2)*6,"")</f>
        <v/>
      </c>
      <c r="AE597" s="142">
        <f>IFERROR(CHOOSE(MATCH(IF($E597="","Основний",$E597),{"Трафіковий","Основний","Маржинальний","Сезонний","Стратегічний"},0),Settings!$H$78,Settings!$H$80,Settings!$H$82,Settings!$H$84,Settings!$H$86)+(1-(CHOOSE(MATCH(IF($E597="","Основний",$E597),{"Трафіковий","Основний","Маржинальний","Сезонний","Стратегічний"},0),Settings!$H$78,Settings!$H$80,Settings!$H$82,Settings!$H$84,Settings!$H$86)))*Settings!$H$68,"")</f>
        <v/>
      </c>
      <c r="AF597" s="148">
        <f>IFERROR((AD597*(1-Settings!$H$17)-C597)/(AD597*(1-Settings!$H$17)),"")</f>
        <v/>
      </c>
      <c r="AG597" s="150">
        <f>IFERROR(IF(AD597="","",IF(AD597&gt;=C597/(1-SKU_Base!AF597)/(1-Settings!$H$17),"OK",IF(AD597&gt;=C597/(1-SKU_Base!AM597)/(1-Settings!$H$17),"WARN","STOP"))),"")</f>
        <v/>
      </c>
    </row>
    <row r="598" ht="17" customHeight="1" s="179">
      <c r="A598" s="139">
        <f>SKU_Base!B598</f>
        <v/>
      </c>
      <c r="B598" s="139">
        <f>SKU_Base!C598</f>
        <v/>
      </c>
      <c r="C598" s="140">
        <f>IFERROR(SKU_Base!I598,"")</f>
        <v/>
      </c>
      <c r="D598" s="163">
        <f>IFERROR(SKU_Base!T598,"")</f>
        <v/>
      </c>
      <c r="E598" s="141">
        <f>IFERROR(SKU_Base!$U598,"")</f>
        <v/>
      </c>
      <c r="F598" s="158">
        <f>IFERROR(ROUND(D598*(1-CHOOSE(MATCH(IF($E598="","Основний",$E598),{"Трафіковий","Основний","Маржинальний","Сезонний","Стратегічний"},0),Settings!$B$78,Settings!$B$80,Settings!$B$82,Settings!$B$84,Settings!$B$86))/6,2)*6,"")</f>
        <v/>
      </c>
      <c r="G598" s="142">
        <f>IFERROR(CHOOSE(MATCH(IF($E598="","Основний",$E598),{"Трафіковий","Основний","Маржинальний","Сезонний","Стратегічний"},0),Settings!$B$78,Settings!$B$80,Settings!$B$82,Settings!$B$84,Settings!$B$86),"")</f>
        <v/>
      </c>
      <c r="H598" s="143">
        <f>IFERROR((F598*(1-Settings!$B$17)-C598)/(F598*(1-Settings!$B$17)),"")</f>
        <v/>
      </c>
      <c r="I598" s="149">
        <f>IFERROR(IF(F598="","",IF(F598&gt;=C598/(1-SKU_Base!Z598)/(1-Settings!$B$17),"OK",IF(F598&gt;=C598/(1-SKU_Base!AG598)/(1-Settings!$B$17),"WARN","STOP"))),"")</f>
        <v/>
      </c>
      <c r="J598" s="158">
        <f>IFERROR(ROUND(D598*(1-CHOOSE(MATCH(IF($E598="","Основний",$E598),{"Трафіковий","Основний","Маржинальний","Сезонний","Стратегічний"},0),Settings!$C$78,Settings!$C$80,Settings!$C$82,Settings!$C$84,Settings!$C$86))/6,2)*6,"")</f>
        <v/>
      </c>
      <c r="K598" s="142">
        <f>IFERROR(CHOOSE(MATCH(IF($E598="","Основний",$E598),{"Трафіковий","Основний","Маржинальний","Сезонний","Стратегічний"},0),Settings!$C$78,Settings!$C$80,Settings!$C$82,Settings!$C$84,Settings!$C$86),"")</f>
        <v/>
      </c>
      <c r="L598" s="143">
        <f>IFERROR((J598*(1-Settings!$C$17)-C598)/(J598*(1-Settings!$C$17)),"")</f>
        <v/>
      </c>
      <c r="M598" s="149">
        <f>IFERROR(IF(J598="","",IF(J598&gt;=C598/(1-SKU_Base!AA598)/(1-Settings!$C$17),"OK",IF(J598&gt;=C598/(1-SKU_Base!AH598)/(1-Settings!$C$17),"WARN","STOP"))),"")</f>
        <v/>
      </c>
      <c r="N598" s="159">
        <f>IFERROR(ROUND(D598*(1-CHOOSE(MATCH(IF($E598="","Основний",$E598),{"Трафіковий","Основний","Маржинальний","Сезонний","Стратегічний"},0),Settings!$D$78,Settings!$D$80,Settings!$D$82,Settings!$D$84,Settings!$D$86))/6,2)*6,"")</f>
        <v/>
      </c>
      <c r="O598" s="142">
        <f>IFERROR(CHOOSE(MATCH(IF($E598="","Основний",$E598),{"Трафіковий","Основний","Маржинальний","Сезонний","Стратегічний"},0),Settings!$D$78,Settings!$D$80,Settings!$D$82,Settings!$D$84,Settings!$D$86),"")</f>
        <v/>
      </c>
      <c r="P598" s="143">
        <f>IFERROR((N598*(1-Settings!$D$17)-C598)/(N598*(1-Settings!$D$17)),"")</f>
        <v/>
      </c>
      <c r="Q598" s="149">
        <f>IFERROR(IF(N598="","",IF(N598&gt;=C598/(1-SKU_Base!AB598)/(1-Settings!$D$17),"OK",IF(N598&gt;=C598/(1-SKU_Base!AI598)/(1-Settings!$D$17),"WARN","STOP"))),"")</f>
        <v/>
      </c>
      <c r="R598" s="159">
        <f>IFERROR(ROUND(D598*(1-CHOOSE(MATCH(IF($E598="","Основний",$E598),{"Трафіковий","Основний","Маржинальний","Сезонний","Стратегічний"},0),Settings!$E$78,Settings!$E$80,Settings!$E$82,Settings!$E$84,Settings!$E$86))/6,2)*6,"")</f>
        <v/>
      </c>
      <c r="S598" s="142">
        <f>IFERROR(CHOOSE(MATCH(IF($E598="","Основний",$E598),{"Трафіковий","Основний","Маржинальний","Сезонний","Стратегічний"},0),Settings!$E$78,Settings!$E$80,Settings!$E$82,Settings!$E$84,Settings!$E$86),"")</f>
        <v/>
      </c>
      <c r="T598" s="143">
        <f>IFERROR((R598*(1-Settings!$E$17)-C598)/(R598*(1-Settings!$E$17)),"")</f>
        <v/>
      </c>
      <c r="U598" s="149">
        <f>IFERROR(IF(R598="","",IF(R598&gt;=C598/(1-SKU_Base!AC598)/(1-Settings!$E$17),"OK",IF(R598&gt;=C598/(1-SKU_Base!AJ598)/(1-Settings!$E$17),"WARN","STOP"))),"")</f>
        <v/>
      </c>
      <c r="V598" s="159">
        <f>IFERROR(ROUND(D598*(1-CHOOSE(MATCH(IF($E598="","Основний",$E598),{"Трафіковий","Основний","Маржинальний","Сезонний","Стратегічний"},0),Settings!$F$78,Settings!$F$80,Settings!$F$82,Settings!$F$84,Settings!$F$86))/6,2)*6,"")</f>
        <v/>
      </c>
      <c r="W598" s="142">
        <f>IFERROR(CHOOSE(MATCH(IF($E598="","Основний",$E598),{"Трафіковий","Основний","Маржинальний","Сезонний","Стратегічний"},0),Settings!$F$78,Settings!$F$80,Settings!$F$82,Settings!$F$84,Settings!$F$86),"")</f>
        <v/>
      </c>
      <c r="X598" s="143">
        <f>IFERROR((V598*(1-Settings!$F$17)-C598)/(V598*(1-Settings!$F$17)),"")</f>
        <v/>
      </c>
      <c r="Y598" s="149">
        <f>IFERROR(IF(V598="","",IF(V598&gt;=C598/(1-SKU_Base!AD598)/(1-Settings!$F$17),"OK",IF(V598&gt;=C598/(1-SKU_Base!AK598)/(1-Settings!$F$17),"WARN","STOP"))),"")</f>
        <v/>
      </c>
      <c r="Z598" s="159">
        <f>IFERROR(ROUND(D598*(1-CHOOSE(MATCH(IF($E598="","Основний",$E598),{"Трафіковий","Основний","Маржинальний","Сезонний","Стратегічний"},0),Settings!$G$78,Settings!$G$80,Settings!$G$82,Settings!$G$84,Settings!$G$86))/6,2)*6,"")</f>
        <v/>
      </c>
      <c r="AA598" s="142">
        <f>IFERROR(CHOOSE(MATCH(IF($E598="","Основний",$E598),{"Трафіковий","Основний","Маржинальний","Сезонний","Стратегічний"},0),Settings!$G$78,Settings!$G$80,Settings!$G$82,Settings!$G$84,Settings!$G$86),"")</f>
        <v/>
      </c>
      <c r="AB598" s="143">
        <f>IFERROR((Z598*(1-Settings!$G$17)-C598)/(Z598*(1-Settings!$G$17)),"")</f>
        <v/>
      </c>
      <c r="AC598" s="149">
        <f>IFERROR(IF(Z598="","",IF(Z598&gt;=C598/(1-SKU_Base!AE598)/(1-Settings!$G$17),"OK",IF(Z598&gt;=C598/(1-SKU_Base!AL598)/(1-Settings!$G$17),"WARN","STOP"))),"")</f>
        <v/>
      </c>
      <c r="AD598" s="159">
        <f>IFERROR(ROUND(D598*(1-CHOOSE(MATCH(IF($E598="","Основний",$E598),{"Трафіковий","Основний","Маржинальний","Сезонний","Стратегічний"},0),Settings!$H$78,Settings!$H$80,Settings!$H$82,Settings!$H$84,Settings!$H$86))*(1-Settings!$H$68)/6,2)*6,"")</f>
        <v/>
      </c>
      <c r="AE598" s="142">
        <f>IFERROR(CHOOSE(MATCH(IF($E598="","Основний",$E598),{"Трафіковий","Основний","Маржинальний","Сезонний","Стратегічний"},0),Settings!$H$78,Settings!$H$80,Settings!$H$82,Settings!$H$84,Settings!$H$86)+(1-(CHOOSE(MATCH(IF($E598="","Основний",$E598),{"Трафіковий","Основний","Маржинальний","Сезонний","Стратегічний"},0),Settings!$H$78,Settings!$H$80,Settings!$H$82,Settings!$H$84,Settings!$H$86)))*Settings!$H$68,"")</f>
        <v/>
      </c>
      <c r="AF598" s="143">
        <f>IFERROR((AD598*(1-Settings!$H$17)-C598)/(AD598*(1-Settings!$H$17)),"")</f>
        <v/>
      </c>
      <c r="AG598" s="149">
        <f>IFERROR(IF(AD598="","",IF(AD598&gt;=C598/(1-SKU_Base!AF598)/(1-Settings!$H$17),"OK",IF(AD598&gt;=C598/(1-SKU_Base!AM598)/(1-Settings!$H$17),"WARN","STOP"))),"")</f>
        <v/>
      </c>
    </row>
    <row r="599" ht="17" customHeight="1" s="179">
      <c r="A599" s="146">
        <f>SKU_Base!B599</f>
        <v/>
      </c>
      <c r="B599" s="146">
        <f>SKU_Base!C599</f>
        <v/>
      </c>
      <c r="C599" s="147">
        <f>IFERROR(SKU_Base!I599,"")</f>
        <v/>
      </c>
      <c r="D599" s="164">
        <f>IFERROR(SKU_Base!T599,"")</f>
        <v/>
      </c>
      <c r="E599" s="141">
        <f>IFERROR(SKU_Base!$U599,"")</f>
        <v/>
      </c>
      <c r="F599" s="160">
        <f>IFERROR(ROUND(D599*(1-CHOOSE(MATCH(IF($E599="","Основний",$E599),{"Трафіковий","Основний","Маржинальний","Сезонний","Стратегічний"},0),Settings!$B$78,Settings!$B$80,Settings!$B$82,Settings!$B$84,Settings!$B$86))/6,2)*6,"")</f>
        <v/>
      </c>
      <c r="G599" s="142">
        <f>IFERROR(CHOOSE(MATCH(IF($E599="","Основний",$E599),{"Трафіковий","Основний","Маржинальний","Сезонний","Стратегічний"},0),Settings!$B$78,Settings!$B$80,Settings!$B$82,Settings!$B$84,Settings!$B$86),"")</f>
        <v/>
      </c>
      <c r="H599" s="148">
        <f>IFERROR((F599*(1-Settings!$B$17)-C599)/(F599*(1-Settings!$B$17)),"")</f>
        <v/>
      </c>
      <c r="I599" s="149">
        <f>IFERROR(IF(F599="","",IF(F599&gt;=C599/(1-SKU_Base!Z599)/(1-Settings!$B$17),"OK",IF(F599&gt;=C599/(1-SKU_Base!AG599)/(1-Settings!$B$17),"WARN","STOP"))),"")</f>
        <v/>
      </c>
      <c r="J599" s="160">
        <f>IFERROR(ROUND(D599*(1-CHOOSE(MATCH(IF($E599="","Основний",$E599),{"Трафіковий","Основний","Маржинальний","Сезонний","Стратегічний"},0),Settings!$C$78,Settings!$C$80,Settings!$C$82,Settings!$C$84,Settings!$C$86))/6,2)*6,"")</f>
        <v/>
      </c>
      <c r="K599" s="142">
        <f>IFERROR(CHOOSE(MATCH(IF($E599="","Основний",$E599),{"Трафіковий","Основний","Маржинальний","Сезонний","Стратегічний"},0),Settings!$C$78,Settings!$C$80,Settings!$C$82,Settings!$C$84,Settings!$C$86),"")</f>
        <v/>
      </c>
      <c r="L599" s="148">
        <f>IFERROR((J599*(1-Settings!$C$17)-C599)/(J599*(1-Settings!$C$17)),"")</f>
        <v/>
      </c>
      <c r="M599" s="149">
        <f>IFERROR(IF(J599="","",IF(J599&gt;=C599/(1-SKU_Base!AA599)/(1-Settings!$C$17),"OK",IF(J599&gt;=C599/(1-SKU_Base!AH599)/(1-Settings!$C$17),"WARN","STOP"))),"")</f>
        <v/>
      </c>
      <c r="N599" s="161">
        <f>IFERROR(ROUND(D599*(1-CHOOSE(MATCH(IF($E599="","Основний",$E599),{"Трафіковий","Основний","Маржинальний","Сезонний","Стратегічний"},0),Settings!$D$78,Settings!$D$80,Settings!$D$82,Settings!$D$84,Settings!$D$86))/6,2)*6,"")</f>
        <v/>
      </c>
      <c r="O599" s="142">
        <f>IFERROR(CHOOSE(MATCH(IF($E599="","Основний",$E599),{"Трафіковий","Основний","Маржинальний","Сезонний","Стратегічний"},0),Settings!$D$78,Settings!$D$80,Settings!$D$82,Settings!$D$84,Settings!$D$86),"")</f>
        <v/>
      </c>
      <c r="P599" s="148">
        <f>IFERROR((N599*(1-Settings!$D$17)-C599)/(N599*(1-Settings!$D$17)),"")</f>
        <v/>
      </c>
      <c r="Q599" s="149">
        <f>IFERROR(IF(N599="","",IF(N599&gt;=C599/(1-SKU_Base!AB599)/(1-Settings!$D$17),"OK",IF(N599&gt;=C599/(1-SKU_Base!AI599)/(1-Settings!$D$17),"WARN","STOP"))),"")</f>
        <v/>
      </c>
      <c r="R599" s="161">
        <f>IFERROR(ROUND(D599*(1-CHOOSE(MATCH(IF($E599="","Основний",$E599),{"Трафіковий","Основний","Маржинальний","Сезонний","Стратегічний"},0),Settings!$E$78,Settings!$E$80,Settings!$E$82,Settings!$E$84,Settings!$E$86))/6,2)*6,"")</f>
        <v/>
      </c>
      <c r="S599" s="142">
        <f>IFERROR(CHOOSE(MATCH(IF($E599="","Основний",$E599),{"Трафіковий","Основний","Маржинальний","Сезонний","Стратегічний"},0),Settings!$E$78,Settings!$E$80,Settings!$E$82,Settings!$E$84,Settings!$E$86),"")</f>
        <v/>
      </c>
      <c r="T599" s="148">
        <f>IFERROR((R599*(1-Settings!$E$17)-C599)/(R599*(1-Settings!$E$17)),"")</f>
        <v/>
      </c>
      <c r="U599" s="149">
        <f>IFERROR(IF(R599="","",IF(R599&gt;=C599/(1-SKU_Base!AC599)/(1-Settings!$E$17),"OK",IF(R599&gt;=C599/(1-SKU_Base!AJ599)/(1-Settings!$E$17),"WARN","STOP"))),"")</f>
        <v/>
      </c>
      <c r="V599" s="161">
        <f>IFERROR(ROUND(D599*(1-CHOOSE(MATCH(IF($E599="","Основний",$E599),{"Трафіковий","Основний","Маржинальний","Сезонний","Стратегічний"},0),Settings!$F$78,Settings!$F$80,Settings!$F$82,Settings!$F$84,Settings!$F$86))/6,2)*6,"")</f>
        <v/>
      </c>
      <c r="W599" s="142">
        <f>IFERROR(CHOOSE(MATCH(IF($E599="","Основний",$E599),{"Трафіковий","Основний","Маржинальний","Сезонний","Стратегічний"},0),Settings!$F$78,Settings!$F$80,Settings!$F$82,Settings!$F$84,Settings!$F$86),"")</f>
        <v/>
      </c>
      <c r="X599" s="148">
        <f>IFERROR((V599*(1-Settings!$F$17)-C599)/(V599*(1-Settings!$F$17)),"")</f>
        <v/>
      </c>
      <c r="Y599" s="149">
        <f>IFERROR(IF(V599="","",IF(V599&gt;=C599/(1-SKU_Base!AD599)/(1-Settings!$F$17),"OK",IF(V599&gt;=C599/(1-SKU_Base!AK599)/(1-Settings!$F$17),"WARN","STOP"))),"")</f>
        <v/>
      </c>
      <c r="Z599" s="161">
        <f>IFERROR(ROUND(D599*(1-CHOOSE(MATCH(IF($E599="","Основний",$E599),{"Трафіковий","Основний","Маржинальний","Сезонний","Стратегічний"},0),Settings!$G$78,Settings!$G$80,Settings!$G$82,Settings!$G$84,Settings!$G$86))/6,2)*6,"")</f>
        <v/>
      </c>
      <c r="AA599" s="142">
        <f>IFERROR(CHOOSE(MATCH(IF($E599="","Основний",$E599),{"Трафіковий","Основний","Маржинальний","Сезонний","Стратегічний"},0),Settings!$G$78,Settings!$G$80,Settings!$G$82,Settings!$G$84,Settings!$G$86),"")</f>
        <v/>
      </c>
      <c r="AB599" s="148">
        <f>IFERROR((Z599*(1-Settings!$G$17)-C599)/(Z599*(1-Settings!$G$17)),"")</f>
        <v/>
      </c>
      <c r="AC599" s="149">
        <f>IFERROR(IF(Z599="","",IF(Z599&gt;=C599/(1-SKU_Base!AE599)/(1-Settings!$G$17),"OK",IF(Z599&gt;=C599/(1-SKU_Base!AL599)/(1-Settings!$G$17),"WARN","STOP"))),"")</f>
        <v/>
      </c>
      <c r="AD599" s="161">
        <f>IFERROR(ROUND(D599*(1-CHOOSE(MATCH(IF($E599="","Основний",$E599),{"Трафіковий","Основний","Маржинальний","Сезонний","Стратегічний"},0),Settings!$H$78,Settings!$H$80,Settings!$H$82,Settings!$H$84,Settings!$H$86))*(1-Settings!$H$68)/6,2)*6,"")</f>
        <v/>
      </c>
      <c r="AE599" s="142">
        <f>IFERROR(CHOOSE(MATCH(IF($E599="","Основний",$E599),{"Трафіковий","Основний","Маржинальний","Сезонний","Стратегічний"},0),Settings!$H$78,Settings!$H$80,Settings!$H$82,Settings!$H$84,Settings!$H$86)+(1-(CHOOSE(MATCH(IF($E599="","Основний",$E599),{"Трафіковий","Основний","Маржинальний","Сезонний","Стратегічний"},0),Settings!$H$78,Settings!$H$80,Settings!$H$82,Settings!$H$84,Settings!$H$86)))*Settings!$H$68,"")</f>
        <v/>
      </c>
      <c r="AF599" s="148">
        <f>IFERROR((AD599*(1-Settings!$H$17)-C599)/(AD599*(1-Settings!$H$17)),"")</f>
        <v/>
      </c>
      <c r="AG599" s="150">
        <f>IFERROR(IF(AD599="","",IF(AD599&gt;=C599/(1-SKU_Base!AF599)/(1-Settings!$H$17),"OK",IF(AD599&gt;=C599/(1-SKU_Base!AM599)/(1-Settings!$H$17),"WARN","STOP"))),"")</f>
        <v/>
      </c>
    </row>
    <row r="600" ht="17" customHeight="1" s="179">
      <c r="A600" s="139">
        <f>SKU_Base!B600</f>
        <v/>
      </c>
      <c r="B600" s="139">
        <f>SKU_Base!C600</f>
        <v/>
      </c>
      <c r="C600" s="140">
        <f>IFERROR(SKU_Base!I600,"")</f>
        <v/>
      </c>
      <c r="D600" s="163">
        <f>IFERROR(SKU_Base!T600,"")</f>
        <v/>
      </c>
      <c r="E600" s="141">
        <f>IFERROR(SKU_Base!$U600,"")</f>
        <v/>
      </c>
      <c r="F600" s="158">
        <f>IFERROR(ROUND(D600*(1-CHOOSE(MATCH(IF($E600="","Основний",$E600),{"Трафіковий","Основний","Маржинальний","Сезонний","Стратегічний"},0),Settings!$B$78,Settings!$B$80,Settings!$B$82,Settings!$B$84,Settings!$B$86))/6,2)*6,"")</f>
        <v/>
      </c>
      <c r="G600" s="142">
        <f>IFERROR(CHOOSE(MATCH(IF($E600="","Основний",$E600),{"Трафіковий","Основний","Маржинальний","Сезонний","Стратегічний"},0),Settings!$B$78,Settings!$B$80,Settings!$B$82,Settings!$B$84,Settings!$B$86),"")</f>
        <v/>
      </c>
      <c r="H600" s="143">
        <f>IFERROR((F600*(1-Settings!$B$17)-C600)/(F600*(1-Settings!$B$17)),"")</f>
        <v/>
      </c>
      <c r="I600" s="150">
        <f>IFERROR(IF(F600="","",IF(F600&gt;=C600/(1-SKU_Base!Z600)/(1-Settings!$B$17),"OK",IF(F600&gt;=C600/(1-SKU_Base!AG600)/(1-Settings!$B$17),"WARN","STOP"))),"")</f>
        <v/>
      </c>
      <c r="J600" s="158">
        <f>IFERROR(ROUND(D600*(1-CHOOSE(MATCH(IF($E600="","Основний",$E600),{"Трафіковий","Основний","Маржинальний","Сезонний","Стратегічний"},0),Settings!$C$78,Settings!$C$80,Settings!$C$82,Settings!$C$84,Settings!$C$86))/6,2)*6,"")</f>
        <v/>
      </c>
      <c r="K600" s="142">
        <f>IFERROR(CHOOSE(MATCH(IF($E600="","Основний",$E600),{"Трафіковий","Основний","Маржинальний","Сезонний","Стратегічний"},0),Settings!$C$78,Settings!$C$80,Settings!$C$82,Settings!$C$84,Settings!$C$86),"")</f>
        <v/>
      </c>
      <c r="L600" s="143">
        <f>IFERROR((J600*(1-Settings!$C$17)-C600)/(J600*(1-Settings!$C$17)),"")</f>
        <v/>
      </c>
      <c r="M600" s="149">
        <f>IFERROR(IF(J600="","",IF(J600&gt;=C600/(1-SKU_Base!AA600)/(1-Settings!$C$17),"OK",IF(J600&gt;=C600/(1-SKU_Base!AH600)/(1-Settings!$C$17),"WARN","STOP"))),"")</f>
        <v/>
      </c>
      <c r="N600" s="159">
        <f>IFERROR(ROUND(D600*(1-CHOOSE(MATCH(IF($E600="","Основний",$E600),{"Трафіковий","Основний","Маржинальний","Сезонний","Стратегічний"},0),Settings!$D$78,Settings!$D$80,Settings!$D$82,Settings!$D$84,Settings!$D$86))/6,2)*6,"")</f>
        <v/>
      </c>
      <c r="O600" s="142">
        <f>IFERROR(CHOOSE(MATCH(IF($E600="","Основний",$E600),{"Трафіковий","Основний","Маржинальний","Сезонний","Стратегічний"},0),Settings!$D$78,Settings!$D$80,Settings!$D$82,Settings!$D$84,Settings!$D$86),"")</f>
        <v/>
      </c>
      <c r="P600" s="143">
        <f>IFERROR((N600*(1-Settings!$D$17)-C600)/(N600*(1-Settings!$D$17)),"")</f>
        <v/>
      </c>
      <c r="Q600" s="149">
        <f>IFERROR(IF(N600="","",IF(N600&gt;=C600/(1-SKU_Base!AB600)/(1-Settings!$D$17),"OK",IF(N600&gt;=C600/(1-SKU_Base!AI600)/(1-Settings!$D$17),"WARN","STOP"))),"")</f>
        <v/>
      </c>
      <c r="R600" s="159">
        <f>IFERROR(ROUND(D600*(1-CHOOSE(MATCH(IF($E600="","Основний",$E600),{"Трафіковий","Основний","Маржинальний","Сезонний","Стратегічний"},0),Settings!$E$78,Settings!$E$80,Settings!$E$82,Settings!$E$84,Settings!$E$86))/6,2)*6,"")</f>
        <v/>
      </c>
      <c r="S600" s="142">
        <f>IFERROR(CHOOSE(MATCH(IF($E600="","Основний",$E600),{"Трафіковий","Основний","Маржинальний","Сезонний","Стратегічний"},0),Settings!$E$78,Settings!$E$80,Settings!$E$82,Settings!$E$84,Settings!$E$86),"")</f>
        <v/>
      </c>
      <c r="T600" s="143">
        <f>IFERROR((R600*(1-Settings!$E$17)-C600)/(R600*(1-Settings!$E$17)),"")</f>
        <v/>
      </c>
      <c r="U600" s="149">
        <f>IFERROR(IF(R600="","",IF(R600&gt;=C600/(1-SKU_Base!AC600)/(1-Settings!$E$17),"OK",IF(R600&gt;=C600/(1-SKU_Base!AJ600)/(1-Settings!$E$17),"WARN","STOP"))),"")</f>
        <v/>
      </c>
      <c r="V600" s="159">
        <f>IFERROR(ROUND(D600*(1-CHOOSE(MATCH(IF($E600="","Основний",$E600),{"Трафіковий","Основний","Маржинальний","Сезонний","Стратегічний"},0),Settings!$F$78,Settings!$F$80,Settings!$F$82,Settings!$F$84,Settings!$F$86))/6,2)*6,"")</f>
        <v/>
      </c>
      <c r="W600" s="142">
        <f>IFERROR(CHOOSE(MATCH(IF($E600="","Основний",$E600),{"Трафіковий","Основний","Маржинальний","Сезонний","Стратегічний"},0),Settings!$F$78,Settings!$F$80,Settings!$F$82,Settings!$F$84,Settings!$F$86),"")</f>
        <v/>
      </c>
      <c r="X600" s="143">
        <f>IFERROR((V600*(1-Settings!$F$17)-C600)/(V600*(1-Settings!$F$17)),"")</f>
        <v/>
      </c>
      <c r="Y600" s="149">
        <f>IFERROR(IF(V600="","",IF(V600&gt;=C600/(1-SKU_Base!AD600)/(1-Settings!$F$17),"OK",IF(V600&gt;=C600/(1-SKU_Base!AK600)/(1-Settings!$F$17),"WARN","STOP"))),"")</f>
        <v/>
      </c>
      <c r="Z600" s="159">
        <f>IFERROR(ROUND(D600*(1-CHOOSE(MATCH(IF($E600="","Основний",$E600),{"Трафіковий","Основний","Маржинальний","Сезонний","Стратегічний"},0),Settings!$G$78,Settings!$G$80,Settings!$G$82,Settings!$G$84,Settings!$G$86))/6,2)*6,"")</f>
        <v/>
      </c>
      <c r="AA600" s="142">
        <f>IFERROR(CHOOSE(MATCH(IF($E600="","Основний",$E600),{"Трафіковий","Основний","Маржинальний","Сезонний","Стратегічний"},0),Settings!$G$78,Settings!$G$80,Settings!$G$82,Settings!$G$84,Settings!$G$86),"")</f>
        <v/>
      </c>
      <c r="AB600" s="143">
        <f>IFERROR((Z600*(1-Settings!$G$17)-C600)/(Z600*(1-Settings!$G$17)),"")</f>
        <v/>
      </c>
      <c r="AC600" s="149">
        <f>IFERROR(IF(Z600="","",IF(Z600&gt;=C600/(1-SKU_Base!AE600)/(1-Settings!$G$17),"OK",IF(Z600&gt;=C600/(1-SKU_Base!AL600)/(1-Settings!$G$17),"WARN","STOP"))),"")</f>
        <v/>
      </c>
      <c r="AD600" s="159">
        <f>IFERROR(ROUND(D600*(1-CHOOSE(MATCH(IF($E600="","Основний",$E600),{"Трафіковий","Основний","Маржинальний","Сезонний","Стратегічний"},0),Settings!$H$78,Settings!$H$80,Settings!$H$82,Settings!$H$84,Settings!$H$86))*(1-Settings!$H$68)/6,2)*6,"")</f>
        <v/>
      </c>
      <c r="AE600" s="142">
        <f>IFERROR(CHOOSE(MATCH(IF($E600="","Основний",$E600),{"Трафіковий","Основний","Маржинальний","Сезонний","Стратегічний"},0),Settings!$H$78,Settings!$H$80,Settings!$H$82,Settings!$H$84,Settings!$H$86)+(1-(CHOOSE(MATCH(IF($E600="","Основний",$E600),{"Трафіковий","Основний","Маржинальний","Сезонний","Стратегічний"},0),Settings!$H$78,Settings!$H$80,Settings!$H$82,Settings!$H$84,Settings!$H$86)))*Settings!$H$68,"")</f>
        <v/>
      </c>
      <c r="AF600" s="143">
        <f>IFERROR((AD600*(1-Settings!$H$17)-C600)/(AD600*(1-Settings!$H$17)),"")</f>
        <v/>
      </c>
      <c r="AG600" s="150">
        <f>IFERROR(IF(AD600="","",IF(AD600&gt;=C600/(1-SKU_Base!AF600)/(1-Settings!$H$17),"OK",IF(AD600&gt;=C600/(1-SKU_Base!AM600)/(1-Settings!$H$17),"WARN","STOP"))),"")</f>
        <v/>
      </c>
    </row>
    <row r="601" ht="17" customHeight="1" s="179">
      <c r="A601" s="146">
        <f>SKU_Base!B601</f>
        <v/>
      </c>
      <c r="B601" s="146">
        <f>SKU_Base!C601</f>
        <v/>
      </c>
      <c r="C601" s="147">
        <f>IFERROR(SKU_Base!I601,"")</f>
        <v/>
      </c>
      <c r="D601" s="164">
        <f>IFERROR(SKU_Base!T601,"")</f>
        <v/>
      </c>
      <c r="E601" s="141">
        <f>IFERROR(SKU_Base!$U601,"")</f>
        <v/>
      </c>
      <c r="F601" s="160">
        <f>IFERROR(ROUND(D601*(1-CHOOSE(MATCH(IF($E601="","Основний",$E601),{"Трафіковий","Основний","Маржинальний","Сезонний","Стратегічний"},0),Settings!$B$78,Settings!$B$80,Settings!$B$82,Settings!$B$84,Settings!$B$86))/6,2)*6,"")</f>
        <v/>
      </c>
      <c r="G601" s="142">
        <f>IFERROR(CHOOSE(MATCH(IF($E601="","Основний",$E601),{"Трафіковий","Основний","Маржинальний","Сезонний","Стратегічний"},0),Settings!$B$78,Settings!$B$80,Settings!$B$82,Settings!$B$84,Settings!$B$86),"")</f>
        <v/>
      </c>
      <c r="H601" s="148">
        <f>IFERROR((F601*(1-Settings!$B$17)-C601)/(F601*(1-Settings!$B$17)),"")</f>
        <v/>
      </c>
      <c r="I601" s="149">
        <f>IFERROR(IF(F601="","",IF(F601&gt;=C601/(1-SKU_Base!Z601)/(1-Settings!$B$17),"OK",IF(F601&gt;=C601/(1-SKU_Base!AG601)/(1-Settings!$B$17),"WARN","STOP"))),"")</f>
        <v/>
      </c>
      <c r="J601" s="160">
        <f>IFERROR(ROUND(D601*(1-CHOOSE(MATCH(IF($E601="","Основний",$E601),{"Трафіковий","Основний","Маржинальний","Сезонний","Стратегічний"},0),Settings!$C$78,Settings!$C$80,Settings!$C$82,Settings!$C$84,Settings!$C$86))/6,2)*6,"")</f>
        <v/>
      </c>
      <c r="K601" s="142">
        <f>IFERROR(CHOOSE(MATCH(IF($E601="","Основний",$E601),{"Трафіковий","Основний","Маржинальний","Сезонний","Стратегічний"},0),Settings!$C$78,Settings!$C$80,Settings!$C$82,Settings!$C$84,Settings!$C$86),"")</f>
        <v/>
      </c>
      <c r="L601" s="148">
        <f>IFERROR((J601*(1-Settings!$C$17)-C601)/(J601*(1-Settings!$C$17)),"")</f>
        <v/>
      </c>
      <c r="M601" s="149">
        <f>IFERROR(IF(J601="","",IF(J601&gt;=C601/(1-SKU_Base!AA601)/(1-Settings!$C$17),"OK",IF(J601&gt;=C601/(1-SKU_Base!AH601)/(1-Settings!$C$17),"WARN","STOP"))),"")</f>
        <v/>
      </c>
      <c r="N601" s="161">
        <f>IFERROR(ROUND(D601*(1-CHOOSE(MATCH(IF($E601="","Основний",$E601),{"Трафіковий","Основний","Маржинальний","Сезонний","Стратегічний"},0),Settings!$D$78,Settings!$D$80,Settings!$D$82,Settings!$D$84,Settings!$D$86))/6,2)*6,"")</f>
        <v/>
      </c>
      <c r="O601" s="142">
        <f>IFERROR(CHOOSE(MATCH(IF($E601="","Основний",$E601),{"Трафіковий","Основний","Маржинальний","Сезонний","Стратегічний"},0),Settings!$D$78,Settings!$D$80,Settings!$D$82,Settings!$D$84,Settings!$D$86),"")</f>
        <v/>
      </c>
      <c r="P601" s="148">
        <f>IFERROR((N601*(1-Settings!$D$17)-C601)/(N601*(1-Settings!$D$17)),"")</f>
        <v/>
      </c>
      <c r="Q601" s="149">
        <f>IFERROR(IF(N601="","",IF(N601&gt;=C601/(1-SKU_Base!AB601)/(1-Settings!$D$17),"OK",IF(N601&gt;=C601/(1-SKU_Base!AI601)/(1-Settings!$D$17),"WARN","STOP"))),"")</f>
        <v/>
      </c>
      <c r="R601" s="161">
        <f>IFERROR(ROUND(D601*(1-CHOOSE(MATCH(IF($E601="","Основний",$E601),{"Трафіковий","Основний","Маржинальний","Сезонний","Стратегічний"},0),Settings!$E$78,Settings!$E$80,Settings!$E$82,Settings!$E$84,Settings!$E$86))/6,2)*6,"")</f>
        <v/>
      </c>
      <c r="S601" s="142">
        <f>IFERROR(CHOOSE(MATCH(IF($E601="","Основний",$E601),{"Трафіковий","Основний","Маржинальний","Сезонний","Стратегічний"},0),Settings!$E$78,Settings!$E$80,Settings!$E$82,Settings!$E$84,Settings!$E$86),"")</f>
        <v/>
      </c>
      <c r="T601" s="148">
        <f>IFERROR((R601*(1-Settings!$E$17)-C601)/(R601*(1-Settings!$E$17)),"")</f>
        <v/>
      </c>
      <c r="U601" s="149">
        <f>IFERROR(IF(R601="","",IF(R601&gt;=C601/(1-SKU_Base!AC601)/(1-Settings!$E$17),"OK",IF(R601&gt;=C601/(1-SKU_Base!AJ601)/(1-Settings!$E$17),"WARN","STOP"))),"")</f>
        <v/>
      </c>
      <c r="V601" s="161">
        <f>IFERROR(ROUND(D601*(1-CHOOSE(MATCH(IF($E601="","Основний",$E601),{"Трафіковий","Основний","Маржинальний","Сезонний","Стратегічний"},0),Settings!$F$78,Settings!$F$80,Settings!$F$82,Settings!$F$84,Settings!$F$86))/6,2)*6,"")</f>
        <v/>
      </c>
      <c r="W601" s="142">
        <f>IFERROR(CHOOSE(MATCH(IF($E601="","Основний",$E601),{"Трафіковий","Основний","Маржинальний","Сезонний","Стратегічний"},0),Settings!$F$78,Settings!$F$80,Settings!$F$82,Settings!$F$84,Settings!$F$86),"")</f>
        <v/>
      </c>
      <c r="X601" s="148">
        <f>IFERROR((V601*(1-Settings!$F$17)-C601)/(V601*(1-Settings!$F$17)),"")</f>
        <v/>
      </c>
      <c r="Y601" s="149">
        <f>IFERROR(IF(V601="","",IF(V601&gt;=C601/(1-SKU_Base!AD601)/(1-Settings!$F$17),"OK",IF(V601&gt;=C601/(1-SKU_Base!AK601)/(1-Settings!$F$17),"WARN","STOP"))),"")</f>
        <v/>
      </c>
      <c r="Z601" s="161">
        <f>IFERROR(ROUND(D601*(1-CHOOSE(MATCH(IF($E601="","Основний",$E601),{"Трафіковий","Основний","Маржинальний","Сезонний","Стратегічний"},0),Settings!$G$78,Settings!$G$80,Settings!$G$82,Settings!$G$84,Settings!$G$86))/6,2)*6,"")</f>
        <v/>
      </c>
      <c r="AA601" s="142">
        <f>IFERROR(CHOOSE(MATCH(IF($E601="","Основний",$E601),{"Трафіковий","Основний","Маржинальний","Сезонний","Стратегічний"},0),Settings!$G$78,Settings!$G$80,Settings!$G$82,Settings!$G$84,Settings!$G$86),"")</f>
        <v/>
      </c>
      <c r="AB601" s="148">
        <f>IFERROR((Z601*(1-Settings!$G$17)-C601)/(Z601*(1-Settings!$G$17)),"")</f>
        <v/>
      </c>
      <c r="AC601" s="149">
        <f>IFERROR(IF(Z601="","",IF(Z601&gt;=C601/(1-SKU_Base!AE601)/(1-Settings!$G$17),"OK",IF(Z601&gt;=C601/(1-SKU_Base!AL601)/(1-Settings!$G$17),"WARN","STOP"))),"")</f>
        <v/>
      </c>
      <c r="AD601" s="161">
        <f>IFERROR(ROUND(D601*(1-CHOOSE(MATCH(IF($E601="","Основний",$E601),{"Трафіковий","Основний","Маржинальний","Сезонний","Стратегічний"},0),Settings!$H$78,Settings!$H$80,Settings!$H$82,Settings!$H$84,Settings!$H$86))*(1-Settings!$H$68)/6,2)*6,"")</f>
        <v/>
      </c>
      <c r="AE601" s="142">
        <f>IFERROR(CHOOSE(MATCH(IF($E601="","Основний",$E601),{"Трафіковий","Основний","Маржинальний","Сезонний","Стратегічний"},0),Settings!$H$78,Settings!$H$80,Settings!$H$82,Settings!$H$84,Settings!$H$86)+(1-(CHOOSE(MATCH(IF($E601="","Основний",$E601),{"Трафіковий","Основний","Маржинальний","Сезонний","Стратегічний"},0),Settings!$H$78,Settings!$H$80,Settings!$H$82,Settings!$H$84,Settings!$H$86)))*Settings!$H$68,"")</f>
        <v/>
      </c>
      <c r="AF601" s="148">
        <f>IFERROR((AD601*(1-Settings!$H$17)-C601)/(AD601*(1-Settings!$H$17)),"")</f>
        <v/>
      </c>
      <c r="AG601" s="149">
        <f>IFERROR(IF(AD601="","",IF(AD601&gt;=C601/(1-SKU_Base!AF601)/(1-Settings!$H$17),"OK",IF(AD601&gt;=C601/(1-SKU_Base!AM601)/(1-Settings!$H$17),"WARN","STOP"))),"")</f>
        <v/>
      </c>
    </row>
    <row r="602" ht="17" customHeight="1" s="179">
      <c r="A602" s="139">
        <f>SKU_Base!B602</f>
        <v/>
      </c>
      <c r="B602" s="139">
        <f>SKU_Base!C602</f>
        <v/>
      </c>
      <c r="C602" s="140">
        <f>IFERROR(SKU_Base!I602,"")</f>
        <v/>
      </c>
      <c r="D602" s="163">
        <f>IFERROR(SKU_Base!T602,"")</f>
        <v/>
      </c>
      <c r="E602" s="141">
        <f>IFERROR(SKU_Base!$U602,"")</f>
        <v/>
      </c>
      <c r="F602" s="158">
        <f>IFERROR(ROUND(D602*(1-CHOOSE(MATCH(IF($E602="","Основний",$E602),{"Трафіковий","Основний","Маржинальний","Сезонний","Стратегічний"},0),Settings!$B$78,Settings!$B$80,Settings!$B$82,Settings!$B$84,Settings!$B$86))/6,2)*6,"")</f>
        <v/>
      </c>
      <c r="G602" s="142">
        <f>IFERROR(CHOOSE(MATCH(IF($E602="","Основний",$E602),{"Трафіковий","Основний","Маржинальний","Сезонний","Стратегічний"},0),Settings!$B$78,Settings!$B$80,Settings!$B$82,Settings!$B$84,Settings!$B$86),"")</f>
        <v/>
      </c>
      <c r="H602" s="143">
        <f>IFERROR((F602*(1-Settings!$B$17)-C602)/(F602*(1-Settings!$B$17)),"")</f>
        <v/>
      </c>
      <c r="I602" s="149">
        <f>IFERROR(IF(F602="","",IF(F602&gt;=C602/(1-SKU_Base!Z602)/(1-Settings!$B$17),"OK",IF(F602&gt;=C602/(1-SKU_Base!AG602)/(1-Settings!$B$17),"WARN","STOP"))),"")</f>
        <v/>
      </c>
      <c r="J602" s="158">
        <f>IFERROR(ROUND(D602*(1-CHOOSE(MATCH(IF($E602="","Основний",$E602),{"Трафіковий","Основний","Маржинальний","Сезонний","Стратегічний"},0),Settings!$C$78,Settings!$C$80,Settings!$C$82,Settings!$C$84,Settings!$C$86))/6,2)*6,"")</f>
        <v/>
      </c>
      <c r="K602" s="142">
        <f>IFERROR(CHOOSE(MATCH(IF($E602="","Основний",$E602),{"Трафіковий","Основний","Маржинальний","Сезонний","Стратегічний"},0),Settings!$C$78,Settings!$C$80,Settings!$C$82,Settings!$C$84,Settings!$C$86),"")</f>
        <v/>
      </c>
      <c r="L602" s="143">
        <f>IFERROR((J602*(1-Settings!$C$17)-C602)/(J602*(1-Settings!$C$17)),"")</f>
        <v/>
      </c>
      <c r="M602" s="149">
        <f>IFERROR(IF(J602="","",IF(J602&gt;=C602/(1-SKU_Base!AA602)/(1-Settings!$C$17),"OK",IF(J602&gt;=C602/(1-SKU_Base!AH602)/(1-Settings!$C$17),"WARN","STOP"))),"")</f>
        <v/>
      </c>
      <c r="N602" s="159">
        <f>IFERROR(ROUND(D602*(1-CHOOSE(MATCH(IF($E602="","Основний",$E602),{"Трафіковий","Основний","Маржинальний","Сезонний","Стратегічний"},0),Settings!$D$78,Settings!$D$80,Settings!$D$82,Settings!$D$84,Settings!$D$86))/6,2)*6,"")</f>
        <v/>
      </c>
      <c r="O602" s="142">
        <f>IFERROR(CHOOSE(MATCH(IF($E602="","Основний",$E602),{"Трафіковий","Основний","Маржинальний","Сезонний","Стратегічний"},0),Settings!$D$78,Settings!$D$80,Settings!$D$82,Settings!$D$84,Settings!$D$86),"")</f>
        <v/>
      </c>
      <c r="P602" s="143">
        <f>IFERROR((N602*(1-Settings!$D$17)-C602)/(N602*(1-Settings!$D$17)),"")</f>
        <v/>
      </c>
      <c r="Q602" s="149">
        <f>IFERROR(IF(N602="","",IF(N602&gt;=C602/(1-SKU_Base!AB602)/(1-Settings!$D$17),"OK",IF(N602&gt;=C602/(1-SKU_Base!AI602)/(1-Settings!$D$17),"WARN","STOP"))),"")</f>
        <v/>
      </c>
      <c r="R602" s="159">
        <f>IFERROR(ROUND(D602*(1-CHOOSE(MATCH(IF($E602="","Основний",$E602),{"Трафіковий","Основний","Маржинальний","Сезонний","Стратегічний"},0),Settings!$E$78,Settings!$E$80,Settings!$E$82,Settings!$E$84,Settings!$E$86))/6,2)*6,"")</f>
        <v/>
      </c>
      <c r="S602" s="142">
        <f>IFERROR(CHOOSE(MATCH(IF($E602="","Основний",$E602),{"Трафіковий","Основний","Маржинальний","Сезонний","Стратегічний"},0),Settings!$E$78,Settings!$E$80,Settings!$E$82,Settings!$E$84,Settings!$E$86),"")</f>
        <v/>
      </c>
      <c r="T602" s="143">
        <f>IFERROR((R602*(1-Settings!$E$17)-C602)/(R602*(1-Settings!$E$17)),"")</f>
        <v/>
      </c>
      <c r="U602" s="149">
        <f>IFERROR(IF(R602="","",IF(R602&gt;=C602/(1-SKU_Base!AC602)/(1-Settings!$E$17),"OK",IF(R602&gt;=C602/(1-SKU_Base!AJ602)/(1-Settings!$E$17),"WARN","STOP"))),"")</f>
        <v/>
      </c>
      <c r="V602" s="159">
        <f>IFERROR(ROUND(D602*(1-CHOOSE(MATCH(IF($E602="","Основний",$E602),{"Трафіковий","Основний","Маржинальний","Сезонний","Стратегічний"},0),Settings!$F$78,Settings!$F$80,Settings!$F$82,Settings!$F$84,Settings!$F$86))/6,2)*6,"")</f>
        <v/>
      </c>
      <c r="W602" s="142">
        <f>IFERROR(CHOOSE(MATCH(IF($E602="","Основний",$E602),{"Трафіковий","Основний","Маржинальний","Сезонний","Стратегічний"},0),Settings!$F$78,Settings!$F$80,Settings!$F$82,Settings!$F$84,Settings!$F$86),"")</f>
        <v/>
      </c>
      <c r="X602" s="143">
        <f>IFERROR((V602*(1-Settings!$F$17)-C602)/(V602*(1-Settings!$F$17)),"")</f>
        <v/>
      </c>
      <c r="Y602" s="149">
        <f>IFERROR(IF(V602="","",IF(V602&gt;=C602/(1-SKU_Base!AD602)/(1-Settings!$F$17),"OK",IF(V602&gt;=C602/(1-SKU_Base!AK602)/(1-Settings!$F$17),"WARN","STOP"))),"")</f>
        <v/>
      </c>
      <c r="Z602" s="159">
        <f>IFERROR(ROUND(D602*(1-CHOOSE(MATCH(IF($E602="","Основний",$E602),{"Трафіковий","Основний","Маржинальний","Сезонний","Стратегічний"},0),Settings!$G$78,Settings!$G$80,Settings!$G$82,Settings!$G$84,Settings!$G$86))/6,2)*6,"")</f>
        <v/>
      </c>
      <c r="AA602" s="142">
        <f>IFERROR(CHOOSE(MATCH(IF($E602="","Основний",$E602),{"Трафіковий","Основний","Маржинальний","Сезонний","Стратегічний"},0),Settings!$G$78,Settings!$G$80,Settings!$G$82,Settings!$G$84,Settings!$G$86),"")</f>
        <v/>
      </c>
      <c r="AB602" s="143">
        <f>IFERROR((Z602*(1-Settings!$G$17)-C602)/(Z602*(1-Settings!$G$17)),"")</f>
        <v/>
      </c>
      <c r="AC602" s="149">
        <f>IFERROR(IF(Z602="","",IF(Z602&gt;=C602/(1-SKU_Base!AE602)/(1-Settings!$G$17),"OK",IF(Z602&gt;=C602/(1-SKU_Base!AL602)/(1-Settings!$G$17),"WARN","STOP"))),"")</f>
        <v/>
      </c>
      <c r="AD602" s="159">
        <f>IFERROR(ROUND(D602*(1-CHOOSE(MATCH(IF($E602="","Основний",$E602),{"Трафіковий","Основний","Маржинальний","Сезонний","Стратегічний"},0),Settings!$H$78,Settings!$H$80,Settings!$H$82,Settings!$H$84,Settings!$H$86))*(1-Settings!$H$68)/6,2)*6,"")</f>
        <v/>
      </c>
      <c r="AE602" s="142">
        <f>IFERROR(CHOOSE(MATCH(IF($E602="","Основний",$E602),{"Трафіковий","Основний","Маржинальний","Сезонний","Стратегічний"},0),Settings!$H$78,Settings!$H$80,Settings!$H$82,Settings!$H$84,Settings!$H$86)+(1-(CHOOSE(MATCH(IF($E602="","Основний",$E602),{"Трафіковий","Основний","Маржинальний","Сезонний","Стратегічний"},0),Settings!$H$78,Settings!$H$80,Settings!$H$82,Settings!$H$84,Settings!$H$86)))*Settings!$H$68,"")</f>
        <v/>
      </c>
      <c r="AF602" s="143">
        <f>IFERROR((AD602*(1-Settings!$H$17)-C602)/(AD602*(1-Settings!$H$17)),"")</f>
        <v/>
      </c>
      <c r="AG602" s="150">
        <f>IFERROR(IF(AD602="","",IF(AD602&gt;=C602/(1-SKU_Base!AF602)/(1-Settings!$H$17),"OK",IF(AD602&gt;=C602/(1-SKU_Base!AM602)/(1-Settings!$H$17),"WARN","STOP"))),"")</f>
        <v/>
      </c>
    </row>
    <row r="603" ht="17" customHeight="1" s="179">
      <c r="A603" s="146">
        <f>SKU_Base!B603</f>
        <v/>
      </c>
      <c r="B603" s="146">
        <f>SKU_Base!C603</f>
        <v/>
      </c>
      <c r="C603" s="147">
        <f>IFERROR(SKU_Base!I603,"")</f>
        <v/>
      </c>
      <c r="D603" s="164">
        <f>IFERROR(SKU_Base!T603,"")</f>
        <v/>
      </c>
      <c r="E603" s="141">
        <f>IFERROR(SKU_Base!$U603,"")</f>
        <v/>
      </c>
      <c r="F603" s="160">
        <f>IFERROR(ROUND(D603*(1-CHOOSE(MATCH(IF($E603="","Основний",$E603),{"Трафіковий","Основний","Маржинальний","Сезонний","Стратегічний"},0),Settings!$B$78,Settings!$B$80,Settings!$B$82,Settings!$B$84,Settings!$B$86))/6,2)*6,"")</f>
        <v/>
      </c>
      <c r="G603" s="142">
        <f>IFERROR(CHOOSE(MATCH(IF($E603="","Основний",$E603),{"Трафіковий","Основний","Маржинальний","Сезонний","Стратегічний"},0),Settings!$B$78,Settings!$B$80,Settings!$B$82,Settings!$B$84,Settings!$B$86),"")</f>
        <v/>
      </c>
      <c r="H603" s="148">
        <f>IFERROR((F603*(1-Settings!$B$17)-C603)/(F603*(1-Settings!$B$17)),"")</f>
        <v/>
      </c>
      <c r="I603" s="149">
        <f>IFERROR(IF(F603="","",IF(F603&gt;=C603/(1-SKU_Base!Z603)/(1-Settings!$B$17),"OK",IF(F603&gt;=C603/(1-SKU_Base!AG603)/(1-Settings!$B$17),"WARN","STOP"))),"")</f>
        <v/>
      </c>
      <c r="J603" s="160">
        <f>IFERROR(ROUND(D603*(1-CHOOSE(MATCH(IF($E603="","Основний",$E603),{"Трафіковий","Основний","Маржинальний","Сезонний","Стратегічний"},0),Settings!$C$78,Settings!$C$80,Settings!$C$82,Settings!$C$84,Settings!$C$86))/6,2)*6,"")</f>
        <v/>
      </c>
      <c r="K603" s="142">
        <f>IFERROR(CHOOSE(MATCH(IF($E603="","Основний",$E603),{"Трафіковий","Основний","Маржинальний","Сезонний","Стратегічний"},0),Settings!$C$78,Settings!$C$80,Settings!$C$82,Settings!$C$84,Settings!$C$86),"")</f>
        <v/>
      </c>
      <c r="L603" s="148">
        <f>IFERROR((J603*(1-Settings!$C$17)-C603)/(J603*(1-Settings!$C$17)),"")</f>
        <v/>
      </c>
      <c r="M603" s="149">
        <f>IFERROR(IF(J603="","",IF(J603&gt;=C603/(1-SKU_Base!AA603)/(1-Settings!$C$17),"OK",IF(J603&gt;=C603/(1-SKU_Base!AH603)/(1-Settings!$C$17),"WARN","STOP"))),"")</f>
        <v/>
      </c>
      <c r="N603" s="161">
        <f>IFERROR(ROUND(D603*(1-CHOOSE(MATCH(IF($E603="","Основний",$E603),{"Трафіковий","Основний","Маржинальний","Сезонний","Стратегічний"},0),Settings!$D$78,Settings!$D$80,Settings!$D$82,Settings!$D$84,Settings!$D$86))/6,2)*6,"")</f>
        <v/>
      </c>
      <c r="O603" s="142">
        <f>IFERROR(CHOOSE(MATCH(IF($E603="","Основний",$E603),{"Трафіковий","Основний","Маржинальний","Сезонний","Стратегічний"},0),Settings!$D$78,Settings!$D$80,Settings!$D$82,Settings!$D$84,Settings!$D$86),"")</f>
        <v/>
      </c>
      <c r="P603" s="148">
        <f>IFERROR((N603*(1-Settings!$D$17)-C603)/(N603*(1-Settings!$D$17)),"")</f>
        <v/>
      </c>
      <c r="Q603" s="149">
        <f>IFERROR(IF(N603="","",IF(N603&gt;=C603/(1-SKU_Base!AB603)/(1-Settings!$D$17),"OK",IF(N603&gt;=C603/(1-SKU_Base!AI603)/(1-Settings!$D$17),"WARN","STOP"))),"")</f>
        <v/>
      </c>
      <c r="R603" s="161">
        <f>IFERROR(ROUND(D603*(1-CHOOSE(MATCH(IF($E603="","Основний",$E603),{"Трафіковий","Основний","Маржинальний","Сезонний","Стратегічний"},0),Settings!$E$78,Settings!$E$80,Settings!$E$82,Settings!$E$84,Settings!$E$86))/6,2)*6,"")</f>
        <v/>
      </c>
      <c r="S603" s="142">
        <f>IFERROR(CHOOSE(MATCH(IF($E603="","Основний",$E603),{"Трафіковий","Основний","Маржинальний","Сезонний","Стратегічний"},0),Settings!$E$78,Settings!$E$80,Settings!$E$82,Settings!$E$84,Settings!$E$86),"")</f>
        <v/>
      </c>
      <c r="T603" s="148">
        <f>IFERROR((R603*(1-Settings!$E$17)-C603)/(R603*(1-Settings!$E$17)),"")</f>
        <v/>
      </c>
      <c r="U603" s="149">
        <f>IFERROR(IF(R603="","",IF(R603&gt;=C603/(1-SKU_Base!AC603)/(1-Settings!$E$17),"OK",IF(R603&gt;=C603/(1-SKU_Base!AJ603)/(1-Settings!$E$17),"WARN","STOP"))),"")</f>
        <v/>
      </c>
      <c r="V603" s="161">
        <f>IFERROR(ROUND(D603*(1-CHOOSE(MATCH(IF($E603="","Основний",$E603),{"Трафіковий","Основний","Маржинальний","Сезонний","Стратегічний"},0),Settings!$F$78,Settings!$F$80,Settings!$F$82,Settings!$F$84,Settings!$F$86))/6,2)*6,"")</f>
        <v/>
      </c>
      <c r="W603" s="142">
        <f>IFERROR(CHOOSE(MATCH(IF($E603="","Основний",$E603),{"Трафіковий","Основний","Маржинальний","Сезонний","Стратегічний"},0),Settings!$F$78,Settings!$F$80,Settings!$F$82,Settings!$F$84,Settings!$F$86),"")</f>
        <v/>
      </c>
      <c r="X603" s="148">
        <f>IFERROR((V603*(1-Settings!$F$17)-C603)/(V603*(1-Settings!$F$17)),"")</f>
        <v/>
      </c>
      <c r="Y603" s="149">
        <f>IFERROR(IF(V603="","",IF(V603&gt;=C603/(1-SKU_Base!AD603)/(1-Settings!$F$17),"OK",IF(V603&gt;=C603/(1-SKU_Base!AK603)/(1-Settings!$F$17),"WARN","STOP"))),"")</f>
        <v/>
      </c>
      <c r="Z603" s="161">
        <f>IFERROR(ROUND(D603*(1-CHOOSE(MATCH(IF($E603="","Основний",$E603),{"Трафіковий","Основний","Маржинальний","Сезонний","Стратегічний"},0),Settings!$G$78,Settings!$G$80,Settings!$G$82,Settings!$G$84,Settings!$G$86))/6,2)*6,"")</f>
        <v/>
      </c>
      <c r="AA603" s="142">
        <f>IFERROR(CHOOSE(MATCH(IF($E603="","Основний",$E603),{"Трафіковий","Основний","Маржинальний","Сезонний","Стратегічний"},0),Settings!$G$78,Settings!$G$80,Settings!$G$82,Settings!$G$84,Settings!$G$86),"")</f>
        <v/>
      </c>
      <c r="AB603" s="148">
        <f>IFERROR((Z603*(1-Settings!$G$17)-C603)/(Z603*(1-Settings!$G$17)),"")</f>
        <v/>
      </c>
      <c r="AC603" s="149">
        <f>IFERROR(IF(Z603="","",IF(Z603&gt;=C603/(1-SKU_Base!AE603)/(1-Settings!$G$17),"OK",IF(Z603&gt;=C603/(1-SKU_Base!AL603)/(1-Settings!$G$17),"WARN","STOP"))),"")</f>
        <v/>
      </c>
      <c r="AD603" s="161">
        <f>IFERROR(ROUND(D603*(1-CHOOSE(MATCH(IF($E603="","Основний",$E603),{"Трафіковий","Основний","Маржинальний","Сезонний","Стратегічний"},0),Settings!$H$78,Settings!$H$80,Settings!$H$82,Settings!$H$84,Settings!$H$86))*(1-Settings!$H$68)/6,2)*6,"")</f>
        <v/>
      </c>
      <c r="AE603" s="142">
        <f>IFERROR(CHOOSE(MATCH(IF($E603="","Основний",$E603),{"Трафіковий","Основний","Маржинальний","Сезонний","Стратегічний"},0),Settings!$H$78,Settings!$H$80,Settings!$H$82,Settings!$H$84,Settings!$H$86)+(1-(CHOOSE(MATCH(IF($E603="","Основний",$E603),{"Трафіковий","Основний","Маржинальний","Сезонний","Стратегічний"},0),Settings!$H$78,Settings!$H$80,Settings!$H$82,Settings!$H$84,Settings!$H$86)))*Settings!$H$68,"")</f>
        <v/>
      </c>
      <c r="AF603" s="148">
        <f>IFERROR((AD603*(1-Settings!$H$17)-C603)/(AD603*(1-Settings!$H$17)),"")</f>
        <v/>
      </c>
      <c r="AG603" s="150">
        <f>IFERROR(IF(AD603="","",IF(AD603&gt;=C603/(1-SKU_Base!AF603)/(1-Settings!$H$17),"OK",IF(AD603&gt;=C603/(1-SKU_Base!AM603)/(1-Settings!$H$17),"WARN","STOP"))),"")</f>
        <v/>
      </c>
    </row>
    <row r="604" ht="17" customHeight="1" s="179">
      <c r="A604" s="139">
        <f>SKU_Base!B604</f>
        <v/>
      </c>
      <c r="B604" s="139">
        <f>SKU_Base!C604</f>
        <v/>
      </c>
      <c r="C604" s="140">
        <f>IFERROR(SKU_Base!I604,"")</f>
        <v/>
      </c>
      <c r="D604" s="163">
        <f>IFERROR(SKU_Base!T604,"")</f>
        <v/>
      </c>
      <c r="E604" s="141">
        <f>IFERROR(SKU_Base!$U604,"")</f>
        <v/>
      </c>
      <c r="F604" s="158">
        <f>IFERROR(ROUND(D604*(1-CHOOSE(MATCH(IF($E604="","Основний",$E604),{"Трафіковий","Основний","Маржинальний","Сезонний","Стратегічний"},0),Settings!$B$78,Settings!$B$80,Settings!$B$82,Settings!$B$84,Settings!$B$86))/6,2)*6,"")</f>
        <v/>
      </c>
      <c r="G604" s="142">
        <f>IFERROR(CHOOSE(MATCH(IF($E604="","Основний",$E604),{"Трафіковий","Основний","Маржинальний","Сезонний","Стратегічний"},0),Settings!$B$78,Settings!$B$80,Settings!$B$82,Settings!$B$84,Settings!$B$86),"")</f>
        <v/>
      </c>
      <c r="H604" s="143">
        <f>IFERROR((F604*(1-Settings!$B$17)-C604)/(F604*(1-Settings!$B$17)),"")</f>
        <v/>
      </c>
      <c r="I604" s="149">
        <f>IFERROR(IF(F604="","",IF(F604&gt;=C604/(1-SKU_Base!Z604)/(1-Settings!$B$17),"OK",IF(F604&gt;=C604/(1-SKU_Base!AG604)/(1-Settings!$B$17),"WARN","STOP"))),"")</f>
        <v/>
      </c>
      <c r="J604" s="158">
        <f>IFERROR(ROUND(D604*(1-CHOOSE(MATCH(IF($E604="","Основний",$E604),{"Трафіковий","Основний","Маржинальний","Сезонний","Стратегічний"},0),Settings!$C$78,Settings!$C$80,Settings!$C$82,Settings!$C$84,Settings!$C$86))/6,2)*6,"")</f>
        <v/>
      </c>
      <c r="K604" s="142">
        <f>IFERROR(CHOOSE(MATCH(IF($E604="","Основний",$E604),{"Трафіковий","Основний","Маржинальний","Сезонний","Стратегічний"},0),Settings!$C$78,Settings!$C$80,Settings!$C$82,Settings!$C$84,Settings!$C$86),"")</f>
        <v/>
      </c>
      <c r="L604" s="143">
        <f>IFERROR((J604*(1-Settings!$C$17)-C604)/(J604*(1-Settings!$C$17)),"")</f>
        <v/>
      </c>
      <c r="M604" s="149">
        <f>IFERROR(IF(J604="","",IF(J604&gt;=C604/(1-SKU_Base!AA604)/(1-Settings!$C$17),"OK",IF(J604&gt;=C604/(1-SKU_Base!AH604)/(1-Settings!$C$17),"WARN","STOP"))),"")</f>
        <v/>
      </c>
      <c r="N604" s="159">
        <f>IFERROR(ROUND(D604*(1-CHOOSE(MATCH(IF($E604="","Основний",$E604),{"Трафіковий","Основний","Маржинальний","Сезонний","Стратегічний"},0),Settings!$D$78,Settings!$D$80,Settings!$D$82,Settings!$D$84,Settings!$D$86))/6,2)*6,"")</f>
        <v/>
      </c>
      <c r="O604" s="142">
        <f>IFERROR(CHOOSE(MATCH(IF($E604="","Основний",$E604),{"Трафіковий","Основний","Маржинальний","Сезонний","Стратегічний"},0),Settings!$D$78,Settings!$D$80,Settings!$D$82,Settings!$D$84,Settings!$D$86),"")</f>
        <v/>
      </c>
      <c r="P604" s="143">
        <f>IFERROR((N604*(1-Settings!$D$17)-C604)/(N604*(1-Settings!$D$17)),"")</f>
        <v/>
      </c>
      <c r="Q604" s="149">
        <f>IFERROR(IF(N604="","",IF(N604&gt;=C604/(1-SKU_Base!AB604)/(1-Settings!$D$17),"OK",IF(N604&gt;=C604/(1-SKU_Base!AI604)/(1-Settings!$D$17),"WARN","STOP"))),"")</f>
        <v/>
      </c>
      <c r="R604" s="159">
        <f>IFERROR(ROUND(D604*(1-CHOOSE(MATCH(IF($E604="","Основний",$E604),{"Трафіковий","Основний","Маржинальний","Сезонний","Стратегічний"},0),Settings!$E$78,Settings!$E$80,Settings!$E$82,Settings!$E$84,Settings!$E$86))/6,2)*6,"")</f>
        <v/>
      </c>
      <c r="S604" s="142">
        <f>IFERROR(CHOOSE(MATCH(IF($E604="","Основний",$E604),{"Трафіковий","Основний","Маржинальний","Сезонний","Стратегічний"},0),Settings!$E$78,Settings!$E$80,Settings!$E$82,Settings!$E$84,Settings!$E$86),"")</f>
        <v/>
      </c>
      <c r="T604" s="143">
        <f>IFERROR((R604*(1-Settings!$E$17)-C604)/(R604*(1-Settings!$E$17)),"")</f>
        <v/>
      </c>
      <c r="U604" s="149">
        <f>IFERROR(IF(R604="","",IF(R604&gt;=C604/(1-SKU_Base!AC604)/(1-Settings!$E$17),"OK",IF(R604&gt;=C604/(1-SKU_Base!AJ604)/(1-Settings!$E$17),"WARN","STOP"))),"")</f>
        <v/>
      </c>
      <c r="V604" s="159">
        <f>IFERROR(ROUND(D604*(1-CHOOSE(MATCH(IF($E604="","Основний",$E604),{"Трафіковий","Основний","Маржинальний","Сезонний","Стратегічний"},0),Settings!$F$78,Settings!$F$80,Settings!$F$82,Settings!$F$84,Settings!$F$86))/6,2)*6,"")</f>
        <v/>
      </c>
      <c r="W604" s="142">
        <f>IFERROR(CHOOSE(MATCH(IF($E604="","Основний",$E604),{"Трафіковий","Основний","Маржинальний","Сезонний","Стратегічний"},0),Settings!$F$78,Settings!$F$80,Settings!$F$82,Settings!$F$84,Settings!$F$86),"")</f>
        <v/>
      </c>
      <c r="X604" s="143">
        <f>IFERROR((V604*(1-Settings!$F$17)-C604)/(V604*(1-Settings!$F$17)),"")</f>
        <v/>
      </c>
      <c r="Y604" s="149">
        <f>IFERROR(IF(V604="","",IF(V604&gt;=C604/(1-SKU_Base!AD604)/(1-Settings!$F$17),"OK",IF(V604&gt;=C604/(1-SKU_Base!AK604)/(1-Settings!$F$17),"WARN","STOP"))),"")</f>
        <v/>
      </c>
      <c r="Z604" s="159">
        <f>IFERROR(ROUND(D604*(1-CHOOSE(MATCH(IF($E604="","Основний",$E604),{"Трафіковий","Основний","Маржинальний","Сезонний","Стратегічний"},0),Settings!$G$78,Settings!$G$80,Settings!$G$82,Settings!$G$84,Settings!$G$86))/6,2)*6,"")</f>
        <v/>
      </c>
      <c r="AA604" s="142">
        <f>IFERROR(CHOOSE(MATCH(IF($E604="","Основний",$E604),{"Трафіковий","Основний","Маржинальний","Сезонний","Стратегічний"},0),Settings!$G$78,Settings!$G$80,Settings!$G$82,Settings!$G$84,Settings!$G$86),"")</f>
        <v/>
      </c>
      <c r="AB604" s="143">
        <f>IFERROR((Z604*(1-Settings!$G$17)-C604)/(Z604*(1-Settings!$G$17)),"")</f>
        <v/>
      </c>
      <c r="AC604" s="149">
        <f>IFERROR(IF(Z604="","",IF(Z604&gt;=C604/(1-SKU_Base!AE604)/(1-Settings!$G$17),"OK",IF(Z604&gt;=C604/(1-SKU_Base!AL604)/(1-Settings!$G$17),"WARN","STOP"))),"")</f>
        <v/>
      </c>
      <c r="AD604" s="159">
        <f>IFERROR(ROUND(D604*(1-CHOOSE(MATCH(IF($E604="","Основний",$E604),{"Трафіковий","Основний","Маржинальний","Сезонний","Стратегічний"},0),Settings!$H$78,Settings!$H$80,Settings!$H$82,Settings!$H$84,Settings!$H$86))*(1-Settings!$H$68)/6,2)*6,"")</f>
        <v/>
      </c>
      <c r="AE604" s="142">
        <f>IFERROR(CHOOSE(MATCH(IF($E604="","Основний",$E604),{"Трафіковий","Основний","Маржинальний","Сезонний","Стратегічний"},0),Settings!$H$78,Settings!$H$80,Settings!$H$82,Settings!$H$84,Settings!$H$86)+(1-(CHOOSE(MATCH(IF($E604="","Основний",$E604),{"Трафіковий","Основний","Маржинальний","Сезонний","Стратегічний"},0),Settings!$H$78,Settings!$H$80,Settings!$H$82,Settings!$H$84,Settings!$H$86)))*Settings!$H$68,"")</f>
        <v/>
      </c>
      <c r="AF604" s="143">
        <f>IFERROR((AD604*(1-Settings!$H$17)-C604)/(AD604*(1-Settings!$H$17)),"")</f>
        <v/>
      </c>
      <c r="AG604" s="150">
        <f>IFERROR(IF(AD604="","",IF(AD604&gt;=C604/(1-SKU_Base!AF604)/(1-Settings!$H$17),"OK",IF(AD604&gt;=C604/(1-SKU_Base!AM604)/(1-Settings!$H$17),"WARN","STOP"))),"")</f>
        <v/>
      </c>
    </row>
    <row r="605" ht="17" customHeight="1" s="179">
      <c r="A605" s="146">
        <f>SKU_Base!B605</f>
        <v/>
      </c>
      <c r="B605" s="146">
        <f>SKU_Base!C605</f>
        <v/>
      </c>
      <c r="C605" s="147">
        <f>IFERROR(SKU_Base!I605,"")</f>
        <v/>
      </c>
      <c r="D605" s="164">
        <f>IFERROR(SKU_Base!T605,"")</f>
        <v/>
      </c>
      <c r="E605" s="141">
        <f>IFERROR(SKU_Base!$U605,"")</f>
        <v/>
      </c>
      <c r="F605" s="160">
        <f>IFERROR(ROUND(D605*(1-CHOOSE(MATCH(IF($E605="","Основний",$E605),{"Трафіковий","Основний","Маржинальний","Сезонний","Стратегічний"},0),Settings!$B$78,Settings!$B$80,Settings!$B$82,Settings!$B$84,Settings!$B$86))/6,2)*6,"")</f>
        <v/>
      </c>
      <c r="G605" s="142">
        <f>IFERROR(CHOOSE(MATCH(IF($E605="","Основний",$E605),{"Трафіковий","Основний","Маржинальний","Сезонний","Стратегічний"},0),Settings!$B$78,Settings!$B$80,Settings!$B$82,Settings!$B$84,Settings!$B$86),"")</f>
        <v/>
      </c>
      <c r="H605" s="148">
        <f>IFERROR((F605*(1-Settings!$B$17)-C605)/(F605*(1-Settings!$B$17)),"")</f>
        <v/>
      </c>
      <c r="I605" s="149">
        <f>IFERROR(IF(F605="","",IF(F605&gt;=C605/(1-SKU_Base!Z605)/(1-Settings!$B$17),"OK",IF(F605&gt;=C605/(1-SKU_Base!AG605)/(1-Settings!$B$17),"WARN","STOP"))),"")</f>
        <v/>
      </c>
      <c r="J605" s="160">
        <f>IFERROR(ROUND(D605*(1-CHOOSE(MATCH(IF($E605="","Основний",$E605),{"Трафіковий","Основний","Маржинальний","Сезонний","Стратегічний"},0),Settings!$C$78,Settings!$C$80,Settings!$C$82,Settings!$C$84,Settings!$C$86))/6,2)*6,"")</f>
        <v/>
      </c>
      <c r="K605" s="142">
        <f>IFERROR(CHOOSE(MATCH(IF($E605="","Основний",$E605),{"Трафіковий","Основний","Маржинальний","Сезонний","Стратегічний"},0),Settings!$C$78,Settings!$C$80,Settings!$C$82,Settings!$C$84,Settings!$C$86),"")</f>
        <v/>
      </c>
      <c r="L605" s="148">
        <f>IFERROR((J605*(1-Settings!$C$17)-C605)/(J605*(1-Settings!$C$17)),"")</f>
        <v/>
      </c>
      <c r="M605" s="149">
        <f>IFERROR(IF(J605="","",IF(J605&gt;=C605/(1-SKU_Base!AA605)/(1-Settings!$C$17),"OK",IF(J605&gt;=C605/(1-SKU_Base!AH605)/(1-Settings!$C$17),"WARN","STOP"))),"")</f>
        <v/>
      </c>
      <c r="N605" s="161">
        <f>IFERROR(ROUND(D605*(1-CHOOSE(MATCH(IF($E605="","Основний",$E605),{"Трафіковий","Основний","Маржинальний","Сезонний","Стратегічний"},0),Settings!$D$78,Settings!$D$80,Settings!$D$82,Settings!$D$84,Settings!$D$86))/6,2)*6,"")</f>
        <v/>
      </c>
      <c r="O605" s="142">
        <f>IFERROR(CHOOSE(MATCH(IF($E605="","Основний",$E605),{"Трафіковий","Основний","Маржинальний","Сезонний","Стратегічний"},0),Settings!$D$78,Settings!$D$80,Settings!$D$82,Settings!$D$84,Settings!$D$86),"")</f>
        <v/>
      </c>
      <c r="P605" s="148">
        <f>IFERROR((N605*(1-Settings!$D$17)-C605)/(N605*(1-Settings!$D$17)),"")</f>
        <v/>
      </c>
      <c r="Q605" s="149">
        <f>IFERROR(IF(N605="","",IF(N605&gt;=C605/(1-SKU_Base!AB605)/(1-Settings!$D$17),"OK",IF(N605&gt;=C605/(1-SKU_Base!AI605)/(1-Settings!$D$17),"WARN","STOP"))),"")</f>
        <v/>
      </c>
      <c r="R605" s="161">
        <f>IFERROR(ROUND(D605*(1-CHOOSE(MATCH(IF($E605="","Основний",$E605),{"Трафіковий","Основний","Маржинальний","Сезонний","Стратегічний"},0),Settings!$E$78,Settings!$E$80,Settings!$E$82,Settings!$E$84,Settings!$E$86))/6,2)*6,"")</f>
        <v/>
      </c>
      <c r="S605" s="142">
        <f>IFERROR(CHOOSE(MATCH(IF($E605="","Основний",$E605),{"Трафіковий","Основний","Маржинальний","Сезонний","Стратегічний"},0),Settings!$E$78,Settings!$E$80,Settings!$E$82,Settings!$E$84,Settings!$E$86),"")</f>
        <v/>
      </c>
      <c r="T605" s="148">
        <f>IFERROR((R605*(1-Settings!$E$17)-C605)/(R605*(1-Settings!$E$17)),"")</f>
        <v/>
      </c>
      <c r="U605" s="149">
        <f>IFERROR(IF(R605="","",IF(R605&gt;=C605/(1-SKU_Base!AC605)/(1-Settings!$E$17),"OK",IF(R605&gt;=C605/(1-SKU_Base!AJ605)/(1-Settings!$E$17),"WARN","STOP"))),"")</f>
        <v/>
      </c>
      <c r="V605" s="161">
        <f>IFERROR(ROUND(D605*(1-CHOOSE(MATCH(IF($E605="","Основний",$E605),{"Трафіковий","Основний","Маржинальний","Сезонний","Стратегічний"},0),Settings!$F$78,Settings!$F$80,Settings!$F$82,Settings!$F$84,Settings!$F$86))/6,2)*6,"")</f>
        <v/>
      </c>
      <c r="W605" s="142">
        <f>IFERROR(CHOOSE(MATCH(IF($E605="","Основний",$E605),{"Трафіковий","Основний","Маржинальний","Сезонний","Стратегічний"},0),Settings!$F$78,Settings!$F$80,Settings!$F$82,Settings!$F$84,Settings!$F$86),"")</f>
        <v/>
      </c>
      <c r="X605" s="148">
        <f>IFERROR((V605*(1-Settings!$F$17)-C605)/(V605*(1-Settings!$F$17)),"")</f>
        <v/>
      </c>
      <c r="Y605" s="149">
        <f>IFERROR(IF(V605="","",IF(V605&gt;=C605/(1-SKU_Base!AD605)/(1-Settings!$F$17),"OK",IF(V605&gt;=C605/(1-SKU_Base!AK605)/(1-Settings!$F$17),"WARN","STOP"))),"")</f>
        <v/>
      </c>
      <c r="Z605" s="161">
        <f>IFERROR(ROUND(D605*(1-CHOOSE(MATCH(IF($E605="","Основний",$E605),{"Трафіковий","Основний","Маржинальний","Сезонний","Стратегічний"},0),Settings!$G$78,Settings!$G$80,Settings!$G$82,Settings!$G$84,Settings!$G$86))/6,2)*6,"")</f>
        <v/>
      </c>
      <c r="AA605" s="142">
        <f>IFERROR(CHOOSE(MATCH(IF($E605="","Основний",$E605),{"Трафіковий","Основний","Маржинальний","Сезонний","Стратегічний"},0),Settings!$G$78,Settings!$G$80,Settings!$G$82,Settings!$G$84,Settings!$G$86),"")</f>
        <v/>
      </c>
      <c r="AB605" s="148">
        <f>IFERROR((Z605*(1-Settings!$G$17)-C605)/(Z605*(1-Settings!$G$17)),"")</f>
        <v/>
      </c>
      <c r="AC605" s="149">
        <f>IFERROR(IF(Z605="","",IF(Z605&gt;=C605/(1-SKU_Base!AE605)/(1-Settings!$G$17),"OK",IF(Z605&gt;=C605/(1-SKU_Base!AL605)/(1-Settings!$G$17),"WARN","STOP"))),"")</f>
        <v/>
      </c>
      <c r="AD605" s="161">
        <f>IFERROR(ROUND(D605*(1-CHOOSE(MATCH(IF($E605="","Основний",$E605),{"Трафіковий","Основний","Маржинальний","Сезонний","Стратегічний"},0),Settings!$H$78,Settings!$H$80,Settings!$H$82,Settings!$H$84,Settings!$H$86))*(1-Settings!$H$68)/6,2)*6,"")</f>
        <v/>
      </c>
      <c r="AE605" s="142">
        <f>IFERROR(CHOOSE(MATCH(IF($E605="","Основний",$E605),{"Трафіковий","Основний","Маржинальний","Сезонний","Стратегічний"},0),Settings!$H$78,Settings!$H$80,Settings!$H$82,Settings!$H$84,Settings!$H$86)+(1-(CHOOSE(MATCH(IF($E605="","Основний",$E605),{"Трафіковий","Основний","Маржинальний","Сезонний","Стратегічний"},0),Settings!$H$78,Settings!$H$80,Settings!$H$82,Settings!$H$84,Settings!$H$86)))*Settings!$H$68,"")</f>
        <v/>
      </c>
      <c r="AF605" s="148">
        <f>IFERROR((AD605*(1-Settings!$H$17)-C605)/(AD605*(1-Settings!$H$17)),"")</f>
        <v/>
      </c>
      <c r="AG605" s="150">
        <f>IFERROR(IF(AD605="","",IF(AD605&gt;=C605/(1-SKU_Base!AF605)/(1-Settings!$H$17),"OK",IF(AD605&gt;=C605/(1-SKU_Base!AM605)/(1-Settings!$H$17),"WARN","STOP"))),"")</f>
        <v/>
      </c>
    </row>
    <row r="606" ht="17" customHeight="1" s="179">
      <c r="A606" s="139">
        <f>SKU_Base!B606</f>
        <v/>
      </c>
      <c r="B606" s="139">
        <f>SKU_Base!C606</f>
        <v/>
      </c>
      <c r="C606" s="140">
        <f>IFERROR(SKU_Base!I606,"")</f>
        <v/>
      </c>
      <c r="D606" s="163">
        <f>IFERROR(SKU_Base!T606,"")</f>
        <v/>
      </c>
      <c r="E606" s="141">
        <f>IFERROR(SKU_Base!$U606,"")</f>
        <v/>
      </c>
      <c r="F606" s="158">
        <f>IFERROR(ROUND(D606*(1-CHOOSE(MATCH(IF($E606="","Основний",$E606),{"Трафіковий","Основний","Маржинальний","Сезонний","Стратегічний"},0),Settings!$B$78,Settings!$B$80,Settings!$B$82,Settings!$B$84,Settings!$B$86))/6,2)*6,"")</f>
        <v/>
      </c>
      <c r="G606" s="142">
        <f>IFERROR(CHOOSE(MATCH(IF($E606="","Основний",$E606),{"Трафіковий","Основний","Маржинальний","Сезонний","Стратегічний"},0),Settings!$B$78,Settings!$B$80,Settings!$B$82,Settings!$B$84,Settings!$B$86),"")</f>
        <v/>
      </c>
      <c r="H606" s="143">
        <f>IFERROR((F606*(1-Settings!$B$17)-C606)/(F606*(1-Settings!$B$17)),"")</f>
        <v/>
      </c>
      <c r="I606" s="150">
        <f>IFERROR(IF(F606="","",IF(F606&gt;=C606/(1-SKU_Base!Z606)/(1-Settings!$B$17),"OK",IF(F606&gt;=C606/(1-SKU_Base!AG606)/(1-Settings!$B$17),"WARN","STOP"))),"")</f>
        <v/>
      </c>
      <c r="J606" s="158">
        <f>IFERROR(ROUND(D606*(1-CHOOSE(MATCH(IF($E606="","Основний",$E606),{"Трафіковий","Основний","Маржинальний","Сезонний","Стратегічний"},0),Settings!$C$78,Settings!$C$80,Settings!$C$82,Settings!$C$84,Settings!$C$86))/6,2)*6,"")</f>
        <v/>
      </c>
      <c r="K606" s="142">
        <f>IFERROR(CHOOSE(MATCH(IF($E606="","Основний",$E606),{"Трафіковий","Основний","Маржинальний","Сезонний","Стратегічний"},0),Settings!$C$78,Settings!$C$80,Settings!$C$82,Settings!$C$84,Settings!$C$86),"")</f>
        <v/>
      </c>
      <c r="L606" s="143">
        <f>IFERROR((J606*(1-Settings!$C$17)-C606)/(J606*(1-Settings!$C$17)),"")</f>
        <v/>
      </c>
      <c r="M606" s="149">
        <f>IFERROR(IF(J606="","",IF(J606&gt;=C606/(1-SKU_Base!AA606)/(1-Settings!$C$17),"OK",IF(J606&gt;=C606/(1-SKU_Base!AH606)/(1-Settings!$C$17),"WARN","STOP"))),"")</f>
        <v/>
      </c>
      <c r="N606" s="159">
        <f>IFERROR(ROUND(D606*(1-CHOOSE(MATCH(IF($E606="","Основний",$E606),{"Трафіковий","Основний","Маржинальний","Сезонний","Стратегічний"},0),Settings!$D$78,Settings!$D$80,Settings!$D$82,Settings!$D$84,Settings!$D$86))/6,2)*6,"")</f>
        <v/>
      </c>
      <c r="O606" s="142">
        <f>IFERROR(CHOOSE(MATCH(IF($E606="","Основний",$E606),{"Трафіковий","Основний","Маржинальний","Сезонний","Стратегічний"},0),Settings!$D$78,Settings!$D$80,Settings!$D$82,Settings!$D$84,Settings!$D$86),"")</f>
        <v/>
      </c>
      <c r="P606" s="143">
        <f>IFERROR((N606*(1-Settings!$D$17)-C606)/(N606*(1-Settings!$D$17)),"")</f>
        <v/>
      </c>
      <c r="Q606" s="149">
        <f>IFERROR(IF(N606="","",IF(N606&gt;=C606/(1-SKU_Base!AB606)/(1-Settings!$D$17),"OK",IF(N606&gt;=C606/(1-SKU_Base!AI606)/(1-Settings!$D$17),"WARN","STOP"))),"")</f>
        <v/>
      </c>
      <c r="R606" s="159">
        <f>IFERROR(ROUND(D606*(1-CHOOSE(MATCH(IF($E606="","Основний",$E606),{"Трафіковий","Основний","Маржинальний","Сезонний","Стратегічний"},0),Settings!$E$78,Settings!$E$80,Settings!$E$82,Settings!$E$84,Settings!$E$86))/6,2)*6,"")</f>
        <v/>
      </c>
      <c r="S606" s="142">
        <f>IFERROR(CHOOSE(MATCH(IF($E606="","Основний",$E606),{"Трафіковий","Основний","Маржинальний","Сезонний","Стратегічний"},0),Settings!$E$78,Settings!$E$80,Settings!$E$82,Settings!$E$84,Settings!$E$86),"")</f>
        <v/>
      </c>
      <c r="T606" s="143">
        <f>IFERROR((R606*(1-Settings!$E$17)-C606)/(R606*(1-Settings!$E$17)),"")</f>
        <v/>
      </c>
      <c r="U606" s="149">
        <f>IFERROR(IF(R606="","",IF(R606&gt;=C606/(1-SKU_Base!AC606)/(1-Settings!$E$17),"OK",IF(R606&gt;=C606/(1-SKU_Base!AJ606)/(1-Settings!$E$17),"WARN","STOP"))),"")</f>
        <v/>
      </c>
      <c r="V606" s="159">
        <f>IFERROR(ROUND(D606*(1-CHOOSE(MATCH(IF($E606="","Основний",$E606),{"Трафіковий","Основний","Маржинальний","Сезонний","Стратегічний"},0),Settings!$F$78,Settings!$F$80,Settings!$F$82,Settings!$F$84,Settings!$F$86))/6,2)*6,"")</f>
        <v/>
      </c>
      <c r="W606" s="142">
        <f>IFERROR(CHOOSE(MATCH(IF($E606="","Основний",$E606),{"Трафіковий","Основний","Маржинальний","Сезонний","Стратегічний"},0),Settings!$F$78,Settings!$F$80,Settings!$F$82,Settings!$F$84,Settings!$F$86),"")</f>
        <v/>
      </c>
      <c r="X606" s="143">
        <f>IFERROR((V606*(1-Settings!$F$17)-C606)/(V606*(1-Settings!$F$17)),"")</f>
        <v/>
      </c>
      <c r="Y606" s="149">
        <f>IFERROR(IF(V606="","",IF(V606&gt;=C606/(1-SKU_Base!AD606)/(1-Settings!$F$17),"OK",IF(V606&gt;=C606/(1-SKU_Base!AK606)/(1-Settings!$F$17),"WARN","STOP"))),"")</f>
        <v/>
      </c>
      <c r="Z606" s="159">
        <f>IFERROR(ROUND(D606*(1-CHOOSE(MATCH(IF($E606="","Основний",$E606),{"Трафіковий","Основний","Маржинальний","Сезонний","Стратегічний"},0),Settings!$G$78,Settings!$G$80,Settings!$G$82,Settings!$G$84,Settings!$G$86))/6,2)*6,"")</f>
        <v/>
      </c>
      <c r="AA606" s="142">
        <f>IFERROR(CHOOSE(MATCH(IF($E606="","Основний",$E606),{"Трафіковий","Основний","Маржинальний","Сезонний","Стратегічний"},0),Settings!$G$78,Settings!$G$80,Settings!$G$82,Settings!$G$84,Settings!$G$86),"")</f>
        <v/>
      </c>
      <c r="AB606" s="143">
        <f>IFERROR((Z606*(1-Settings!$G$17)-C606)/(Z606*(1-Settings!$G$17)),"")</f>
        <v/>
      </c>
      <c r="AC606" s="149">
        <f>IFERROR(IF(Z606="","",IF(Z606&gt;=C606/(1-SKU_Base!AE606)/(1-Settings!$G$17),"OK",IF(Z606&gt;=C606/(1-SKU_Base!AL606)/(1-Settings!$G$17),"WARN","STOP"))),"")</f>
        <v/>
      </c>
      <c r="AD606" s="159">
        <f>IFERROR(ROUND(D606*(1-CHOOSE(MATCH(IF($E606="","Основний",$E606),{"Трафіковий","Основний","Маржинальний","Сезонний","Стратегічний"},0),Settings!$H$78,Settings!$H$80,Settings!$H$82,Settings!$H$84,Settings!$H$86))*(1-Settings!$H$68)/6,2)*6,"")</f>
        <v/>
      </c>
      <c r="AE606" s="142">
        <f>IFERROR(CHOOSE(MATCH(IF($E606="","Основний",$E606),{"Трафіковий","Основний","Маржинальний","Сезонний","Стратегічний"},0),Settings!$H$78,Settings!$H$80,Settings!$H$82,Settings!$H$84,Settings!$H$86)+(1-(CHOOSE(MATCH(IF($E606="","Основний",$E606),{"Трафіковий","Основний","Маржинальний","Сезонний","Стратегічний"},0),Settings!$H$78,Settings!$H$80,Settings!$H$82,Settings!$H$84,Settings!$H$86)))*Settings!$H$68,"")</f>
        <v/>
      </c>
      <c r="AF606" s="143">
        <f>IFERROR((AD606*(1-Settings!$H$17)-C606)/(AD606*(1-Settings!$H$17)),"")</f>
        <v/>
      </c>
      <c r="AG606" s="150">
        <f>IFERROR(IF(AD606="","",IF(AD606&gt;=C606/(1-SKU_Base!AF606)/(1-Settings!$H$17),"OK",IF(AD606&gt;=C606/(1-SKU_Base!AM606)/(1-Settings!$H$17),"WARN","STOP"))),"")</f>
        <v/>
      </c>
    </row>
    <row r="607" ht="17" customHeight="1" s="179">
      <c r="A607" s="146">
        <f>SKU_Base!B607</f>
        <v/>
      </c>
      <c r="B607" s="146">
        <f>SKU_Base!C607</f>
        <v/>
      </c>
      <c r="C607" s="147">
        <f>IFERROR(SKU_Base!I607,"")</f>
        <v/>
      </c>
      <c r="D607" s="164">
        <f>IFERROR(SKU_Base!T607,"")</f>
        <v/>
      </c>
      <c r="E607" s="141">
        <f>IFERROR(SKU_Base!$U607,"")</f>
        <v/>
      </c>
      <c r="F607" s="160">
        <f>IFERROR(ROUND(D607*(1-CHOOSE(MATCH(IF($E607="","Основний",$E607),{"Трафіковий","Основний","Маржинальний","Сезонний","Стратегічний"},0),Settings!$B$78,Settings!$B$80,Settings!$B$82,Settings!$B$84,Settings!$B$86))/6,2)*6,"")</f>
        <v/>
      </c>
      <c r="G607" s="142">
        <f>IFERROR(CHOOSE(MATCH(IF($E607="","Основний",$E607),{"Трафіковий","Основний","Маржинальний","Сезонний","Стратегічний"},0),Settings!$B$78,Settings!$B$80,Settings!$B$82,Settings!$B$84,Settings!$B$86),"")</f>
        <v/>
      </c>
      <c r="H607" s="148">
        <f>IFERROR((F607*(1-Settings!$B$17)-C607)/(F607*(1-Settings!$B$17)),"")</f>
        <v/>
      </c>
      <c r="I607" s="149">
        <f>IFERROR(IF(F607="","",IF(F607&gt;=C607/(1-SKU_Base!Z607)/(1-Settings!$B$17),"OK",IF(F607&gt;=C607/(1-SKU_Base!AG607)/(1-Settings!$B$17),"WARN","STOP"))),"")</f>
        <v/>
      </c>
      <c r="J607" s="160">
        <f>IFERROR(ROUND(D607*(1-CHOOSE(MATCH(IF($E607="","Основний",$E607),{"Трафіковий","Основний","Маржинальний","Сезонний","Стратегічний"},0),Settings!$C$78,Settings!$C$80,Settings!$C$82,Settings!$C$84,Settings!$C$86))/6,2)*6,"")</f>
        <v/>
      </c>
      <c r="K607" s="142">
        <f>IFERROR(CHOOSE(MATCH(IF($E607="","Основний",$E607),{"Трафіковий","Основний","Маржинальний","Сезонний","Стратегічний"},0),Settings!$C$78,Settings!$C$80,Settings!$C$82,Settings!$C$84,Settings!$C$86),"")</f>
        <v/>
      </c>
      <c r="L607" s="148">
        <f>IFERROR((J607*(1-Settings!$C$17)-C607)/(J607*(1-Settings!$C$17)),"")</f>
        <v/>
      </c>
      <c r="M607" s="149">
        <f>IFERROR(IF(J607="","",IF(J607&gt;=C607/(1-SKU_Base!AA607)/(1-Settings!$C$17),"OK",IF(J607&gt;=C607/(1-SKU_Base!AH607)/(1-Settings!$C$17),"WARN","STOP"))),"")</f>
        <v/>
      </c>
      <c r="N607" s="161">
        <f>IFERROR(ROUND(D607*(1-CHOOSE(MATCH(IF($E607="","Основний",$E607),{"Трафіковий","Основний","Маржинальний","Сезонний","Стратегічний"},0),Settings!$D$78,Settings!$D$80,Settings!$D$82,Settings!$D$84,Settings!$D$86))/6,2)*6,"")</f>
        <v/>
      </c>
      <c r="O607" s="142">
        <f>IFERROR(CHOOSE(MATCH(IF($E607="","Основний",$E607),{"Трафіковий","Основний","Маржинальний","Сезонний","Стратегічний"},0),Settings!$D$78,Settings!$D$80,Settings!$D$82,Settings!$D$84,Settings!$D$86),"")</f>
        <v/>
      </c>
      <c r="P607" s="148">
        <f>IFERROR((N607*(1-Settings!$D$17)-C607)/(N607*(1-Settings!$D$17)),"")</f>
        <v/>
      </c>
      <c r="Q607" s="149">
        <f>IFERROR(IF(N607="","",IF(N607&gt;=C607/(1-SKU_Base!AB607)/(1-Settings!$D$17),"OK",IF(N607&gt;=C607/(1-SKU_Base!AI607)/(1-Settings!$D$17),"WARN","STOP"))),"")</f>
        <v/>
      </c>
      <c r="R607" s="161">
        <f>IFERROR(ROUND(D607*(1-CHOOSE(MATCH(IF($E607="","Основний",$E607),{"Трафіковий","Основний","Маржинальний","Сезонний","Стратегічний"},0),Settings!$E$78,Settings!$E$80,Settings!$E$82,Settings!$E$84,Settings!$E$86))/6,2)*6,"")</f>
        <v/>
      </c>
      <c r="S607" s="142">
        <f>IFERROR(CHOOSE(MATCH(IF($E607="","Основний",$E607),{"Трафіковий","Основний","Маржинальний","Сезонний","Стратегічний"},0),Settings!$E$78,Settings!$E$80,Settings!$E$82,Settings!$E$84,Settings!$E$86),"")</f>
        <v/>
      </c>
      <c r="T607" s="148">
        <f>IFERROR((R607*(1-Settings!$E$17)-C607)/(R607*(1-Settings!$E$17)),"")</f>
        <v/>
      </c>
      <c r="U607" s="149">
        <f>IFERROR(IF(R607="","",IF(R607&gt;=C607/(1-SKU_Base!AC607)/(1-Settings!$E$17),"OK",IF(R607&gt;=C607/(1-SKU_Base!AJ607)/(1-Settings!$E$17),"WARN","STOP"))),"")</f>
        <v/>
      </c>
      <c r="V607" s="161">
        <f>IFERROR(ROUND(D607*(1-CHOOSE(MATCH(IF($E607="","Основний",$E607),{"Трафіковий","Основний","Маржинальний","Сезонний","Стратегічний"},0),Settings!$F$78,Settings!$F$80,Settings!$F$82,Settings!$F$84,Settings!$F$86))/6,2)*6,"")</f>
        <v/>
      </c>
      <c r="W607" s="142">
        <f>IFERROR(CHOOSE(MATCH(IF($E607="","Основний",$E607),{"Трафіковий","Основний","Маржинальний","Сезонний","Стратегічний"},0),Settings!$F$78,Settings!$F$80,Settings!$F$82,Settings!$F$84,Settings!$F$86),"")</f>
        <v/>
      </c>
      <c r="X607" s="148">
        <f>IFERROR((V607*(1-Settings!$F$17)-C607)/(V607*(1-Settings!$F$17)),"")</f>
        <v/>
      </c>
      <c r="Y607" s="149">
        <f>IFERROR(IF(V607="","",IF(V607&gt;=C607/(1-SKU_Base!AD607)/(1-Settings!$F$17),"OK",IF(V607&gt;=C607/(1-SKU_Base!AK607)/(1-Settings!$F$17),"WARN","STOP"))),"")</f>
        <v/>
      </c>
      <c r="Z607" s="161">
        <f>IFERROR(ROUND(D607*(1-CHOOSE(MATCH(IF($E607="","Основний",$E607),{"Трафіковий","Основний","Маржинальний","Сезонний","Стратегічний"},0),Settings!$G$78,Settings!$G$80,Settings!$G$82,Settings!$G$84,Settings!$G$86))/6,2)*6,"")</f>
        <v/>
      </c>
      <c r="AA607" s="142">
        <f>IFERROR(CHOOSE(MATCH(IF($E607="","Основний",$E607),{"Трафіковий","Основний","Маржинальний","Сезонний","Стратегічний"},0),Settings!$G$78,Settings!$G$80,Settings!$G$82,Settings!$G$84,Settings!$G$86),"")</f>
        <v/>
      </c>
      <c r="AB607" s="148">
        <f>IFERROR((Z607*(1-Settings!$G$17)-C607)/(Z607*(1-Settings!$G$17)),"")</f>
        <v/>
      </c>
      <c r="AC607" s="149">
        <f>IFERROR(IF(Z607="","",IF(Z607&gt;=C607/(1-SKU_Base!AE607)/(1-Settings!$G$17),"OK",IF(Z607&gt;=C607/(1-SKU_Base!AL607)/(1-Settings!$G$17),"WARN","STOP"))),"")</f>
        <v/>
      </c>
      <c r="AD607" s="161">
        <f>IFERROR(ROUND(D607*(1-CHOOSE(MATCH(IF($E607="","Основний",$E607),{"Трафіковий","Основний","Маржинальний","Сезонний","Стратегічний"},0),Settings!$H$78,Settings!$H$80,Settings!$H$82,Settings!$H$84,Settings!$H$86))*(1-Settings!$H$68)/6,2)*6,"")</f>
        <v/>
      </c>
      <c r="AE607" s="142">
        <f>IFERROR(CHOOSE(MATCH(IF($E607="","Основний",$E607),{"Трафіковий","Основний","Маржинальний","Сезонний","Стратегічний"},0),Settings!$H$78,Settings!$H$80,Settings!$H$82,Settings!$H$84,Settings!$H$86)+(1-(CHOOSE(MATCH(IF($E607="","Основний",$E607),{"Трафіковий","Основний","Маржинальний","Сезонний","Стратегічний"},0),Settings!$H$78,Settings!$H$80,Settings!$H$82,Settings!$H$84,Settings!$H$86)))*Settings!$H$68,"")</f>
        <v/>
      </c>
      <c r="AF607" s="148">
        <f>IFERROR((AD607*(1-Settings!$H$17)-C607)/(AD607*(1-Settings!$H$17)),"")</f>
        <v/>
      </c>
      <c r="AG607" s="150">
        <f>IFERROR(IF(AD607="","",IF(AD607&gt;=C607/(1-SKU_Base!AF607)/(1-Settings!$H$17),"OK",IF(AD607&gt;=C607/(1-SKU_Base!AM607)/(1-Settings!$H$17),"WARN","STOP"))),"")</f>
        <v/>
      </c>
    </row>
    <row r="608" ht="17" customHeight="1" s="179">
      <c r="A608" s="139">
        <f>SKU_Base!B608</f>
        <v/>
      </c>
      <c r="B608" s="139">
        <f>SKU_Base!C608</f>
        <v/>
      </c>
      <c r="C608" s="140">
        <f>IFERROR(SKU_Base!I608,"")</f>
        <v/>
      </c>
      <c r="D608" s="163">
        <f>IFERROR(SKU_Base!T608,"")</f>
        <v/>
      </c>
      <c r="E608" s="141">
        <f>IFERROR(SKU_Base!$U608,"")</f>
        <v/>
      </c>
      <c r="F608" s="158">
        <f>IFERROR(ROUND(D608*(1-CHOOSE(MATCH(IF($E608="","Основний",$E608),{"Трафіковий","Основний","Маржинальний","Сезонний","Стратегічний"},0),Settings!$B$78,Settings!$B$80,Settings!$B$82,Settings!$B$84,Settings!$B$86))/6,2)*6,"")</f>
        <v/>
      </c>
      <c r="G608" s="142">
        <f>IFERROR(CHOOSE(MATCH(IF($E608="","Основний",$E608),{"Трафіковий","Основний","Маржинальний","Сезонний","Стратегічний"},0),Settings!$B$78,Settings!$B$80,Settings!$B$82,Settings!$B$84,Settings!$B$86),"")</f>
        <v/>
      </c>
      <c r="H608" s="143">
        <f>IFERROR((F608*(1-Settings!$B$17)-C608)/(F608*(1-Settings!$B$17)),"")</f>
        <v/>
      </c>
      <c r="I608" s="149">
        <f>IFERROR(IF(F608="","",IF(F608&gt;=C608/(1-SKU_Base!Z608)/(1-Settings!$B$17),"OK",IF(F608&gt;=C608/(1-SKU_Base!AG608)/(1-Settings!$B$17),"WARN","STOP"))),"")</f>
        <v/>
      </c>
      <c r="J608" s="158">
        <f>IFERROR(ROUND(D608*(1-CHOOSE(MATCH(IF($E608="","Основний",$E608),{"Трафіковий","Основний","Маржинальний","Сезонний","Стратегічний"},0),Settings!$C$78,Settings!$C$80,Settings!$C$82,Settings!$C$84,Settings!$C$86))/6,2)*6,"")</f>
        <v/>
      </c>
      <c r="K608" s="142">
        <f>IFERROR(CHOOSE(MATCH(IF($E608="","Основний",$E608),{"Трафіковий","Основний","Маржинальний","Сезонний","Стратегічний"},0),Settings!$C$78,Settings!$C$80,Settings!$C$82,Settings!$C$84,Settings!$C$86),"")</f>
        <v/>
      </c>
      <c r="L608" s="143">
        <f>IFERROR((J608*(1-Settings!$C$17)-C608)/(J608*(1-Settings!$C$17)),"")</f>
        <v/>
      </c>
      <c r="M608" s="149">
        <f>IFERROR(IF(J608="","",IF(J608&gt;=C608/(1-SKU_Base!AA608)/(1-Settings!$C$17),"OK",IF(J608&gt;=C608/(1-SKU_Base!AH608)/(1-Settings!$C$17),"WARN","STOP"))),"")</f>
        <v/>
      </c>
      <c r="N608" s="159">
        <f>IFERROR(ROUND(D608*(1-CHOOSE(MATCH(IF($E608="","Основний",$E608),{"Трафіковий","Основний","Маржинальний","Сезонний","Стратегічний"},0),Settings!$D$78,Settings!$D$80,Settings!$D$82,Settings!$D$84,Settings!$D$86))/6,2)*6,"")</f>
        <v/>
      </c>
      <c r="O608" s="142">
        <f>IFERROR(CHOOSE(MATCH(IF($E608="","Основний",$E608),{"Трафіковий","Основний","Маржинальний","Сезонний","Стратегічний"},0),Settings!$D$78,Settings!$D$80,Settings!$D$82,Settings!$D$84,Settings!$D$86),"")</f>
        <v/>
      </c>
      <c r="P608" s="143">
        <f>IFERROR((N608*(1-Settings!$D$17)-C608)/(N608*(1-Settings!$D$17)),"")</f>
        <v/>
      </c>
      <c r="Q608" s="149">
        <f>IFERROR(IF(N608="","",IF(N608&gt;=C608/(1-SKU_Base!AB608)/(1-Settings!$D$17),"OK",IF(N608&gt;=C608/(1-SKU_Base!AI608)/(1-Settings!$D$17),"WARN","STOP"))),"")</f>
        <v/>
      </c>
      <c r="R608" s="159">
        <f>IFERROR(ROUND(D608*(1-CHOOSE(MATCH(IF($E608="","Основний",$E608),{"Трафіковий","Основний","Маржинальний","Сезонний","Стратегічний"},0),Settings!$E$78,Settings!$E$80,Settings!$E$82,Settings!$E$84,Settings!$E$86))/6,2)*6,"")</f>
        <v/>
      </c>
      <c r="S608" s="142">
        <f>IFERROR(CHOOSE(MATCH(IF($E608="","Основний",$E608),{"Трафіковий","Основний","Маржинальний","Сезонний","Стратегічний"},0),Settings!$E$78,Settings!$E$80,Settings!$E$82,Settings!$E$84,Settings!$E$86),"")</f>
        <v/>
      </c>
      <c r="T608" s="143">
        <f>IFERROR((R608*(1-Settings!$E$17)-C608)/(R608*(1-Settings!$E$17)),"")</f>
        <v/>
      </c>
      <c r="U608" s="149">
        <f>IFERROR(IF(R608="","",IF(R608&gt;=C608/(1-SKU_Base!AC608)/(1-Settings!$E$17),"OK",IF(R608&gt;=C608/(1-SKU_Base!AJ608)/(1-Settings!$E$17),"WARN","STOP"))),"")</f>
        <v/>
      </c>
      <c r="V608" s="159">
        <f>IFERROR(ROUND(D608*(1-CHOOSE(MATCH(IF($E608="","Основний",$E608),{"Трафіковий","Основний","Маржинальний","Сезонний","Стратегічний"},0),Settings!$F$78,Settings!$F$80,Settings!$F$82,Settings!$F$84,Settings!$F$86))/6,2)*6,"")</f>
        <v/>
      </c>
      <c r="W608" s="142">
        <f>IFERROR(CHOOSE(MATCH(IF($E608="","Основний",$E608),{"Трафіковий","Основний","Маржинальний","Сезонний","Стратегічний"},0),Settings!$F$78,Settings!$F$80,Settings!$F$82,Settings!$F$84,Settings!$F$86),"")</f>
        <v/>
      </c>
      <c r="X608" s="143">
        <f>IFERROR((V608*(1-Settings!$F$17)-C608)/(V608*(1-Settings!$F$17)),"")</f>
        <v/>
      </c>
      <c r="Y608" s="149">
        <f>IFERROR(IF(V608="","",IF(V608&gt;=C608/(1-SKU_Base!AD608)/(1-Settings!$F$17),"OK",IF(V608&gt;=C608/(1-SKU_Base!AK608)/(1-Settings!$F$17),"WARN","STOP"))),"")</f>
        <v/>
      </c>
      <c r="Z608" s="159">
        <f>IFERROR(ROUND(D608*(1-CHOOSE(MATCH(IF($E608="","Основний",$E608),{"Трафіковий","Основний","Маржинальний","Сезонний","Стратегічний"},0),Settings!$G$78,Settings!$G$80,Settings!$G$82,Settings!$G$84,Settings!$G$86))/6,2)*6,"")</f>
        <v/>
      </c>
      <c r="AA608" s="142">
        <f>IFERROR(CHOOSE(MATCH(IF($E608="","Основний",$E608),{"Трафіковий","Основний","Маржинальний","Сезонний","Стратегічний"},0),Settings!$G$78,Settings!$G$80,Settings!$G$82,Settings!$G$84,Settings!$G$86),"")</f>
        <v/>
      </c>
      <c r="AB608" s="143">
        <f>IFERROR((Z608*(1-Settings!$G$17)-C608)/(Z608*(1-Settings!$G$17)),"")</f>
        <v/>
      </c>
      <c r="AC608" s="149">
        <f>IFERROR(IF(Z608="","",IF(Z608&gt;=C608/(1-SKU_Base!AE608)/(1-Settings!$G$17),"OK",IF(Z608&gt;=C608/(1-SKU_Base!AL608)/(1-Settings!$G$17),"WARN","STOP"))),"")</f>
        <v/>
      </c>
      <c r="AD608" s="159">
        <f>IFERROR(ROUND(D608*(1-CHOOSE(MATCH(IF($E608="","Основний",$E608),{"Трафіковий","Основний","Маржинальний","Сезонний","Стратегічний"},0),Settings!$H$78,Settings!$H$80,Settings!$H$82,Settings!$H$84,Settings!$H$86))*(1-Settings!$H$68)/6,2)*6,"")</f>
        <v/>
      </c>
      <c r="AE608" s="142">
        <f>IFERROR(CHOOSE(MATCH(IF($E608="","Основний",$E608),{"Трафіковий","Основний","Маржинальний","Сезонний","Стратегічний"},0),Settings!$H$78,Settings!$H$80,Settings!$H$82,Settings!$H$84,Settings!$H$86)+(1-(CHOOSE(MATCH(IF($E608="","Основний",$E608),{"Трафіковий","Основний","Маржинальний","Сезонний","Стратегічний"},0),Settings!$H$78,Settings!$H$80,Settings!$H$82,Settings!$H$84,Settings!$H$86)))*Settings!$H$68,"")</f>
        <v/>
      </c>
      <c r="AF608" s="143">
        <f>IFERROR((AD608*(1-Settings!$H$17)-C608)/(AD608*(1-Settings!$H$17)),"")</f>
        <v/>
      </c>
      <c r="AG608" s="150">
        <f>IFERROR(IF(AD608="","",IF(AD608&gt;=C608/(1-SKU_Base!AF608)/(1-Settings!$H$17),"OK",IF(AD608&gt;=C608/(1-SKU_Base!AM608)/(1-Settings!$H$17),"WARN","STOP"))),"")</f>
        <v/>
      </c>
    </row>
    <row r="609" ht="17" customHeight="1" s="179">
      <c r="A609" s="146">
        <f>SKU_Base!B609</f>
        <v/>
      </c>
      <c r="B609" s="146">
        <f>SKU_Base!C609</f>
        <v/>
      </c>
      <c r="C609" s="147">
        <f>IFERROR(SKU_Base!I609,"")</f>
        <v/>
      </c>
      <c r="D609" s="164">
        <f>IFERROR(SKU_Base!T609,"")</f>
        <v/>
      </c>
      <c r="E609" s="141">
        <f>IFERROR(SKU_Base!$U609,"")</f>
        <v/>
      </c>
      <c r="F609" s="160">
        <f>IFERROR(ROUND(D609*(1-CHOOSE(MATCH(IF($E609="","Основний",$E609),{"Трафіковий","Основний","Маржинальний","Сезонний","Стратегічний"},0),Settings!$B$78,Settings!$B$80,Settings!$B$82,Settings!$B$84,Settings!$B$86))/6,2)*6,"")</f>
        <v/>
      </c>
      <c r="G609" s="142">
        <f>IFERROR(CHOOSE(MATCH(IF($E609="","Основний",$E609),{"Трафіковий","Основний","Маржинальний","Сезонний","Стратегічний"},0),Settings!$B$78,Settings!$B$80,Settings!$B$82,Settings!$B$84,Settings!$B$86),"")</f>
        <v/>
      </c>
      <c r="H609" s="148">
        <f>IFERROR((F609*(1-Settings!$B$17)-C609)/(F609*(1-Settings!$B$17)),"")</f>
        <v/>
      </c>
      <c r="I609" s="149">
        <f>IFERROR(IF(F609="","",IF(F609&gt;=C609/(1-SKU_Base!Z609)/(1-Settings!$B$17),"OK",IF(F609&gt;=C609/(1-SKU_Base!AG609)/(1-Settings!$B$17),"WARN","STOP"))),"")</f>
        <v/>
      </c>
      <c r="J609" s="160">
        <f>IFERROR(ROUND(D609*(1-CHOOSE(MATCH(IF($E609="","Основний",$E609),{"Трафіковий","Основний","Маржинальний","Сезонний","Стратегічний"},0),Settings!$C$78,Settings!$C$80,Settings!$C$82,Settings!$C$84,Settings!$C$86))/6,2)*6,"")</f>
        <v/>
      </c>
      <c r="K609" s="142">
        <f>IFERROR(CHOOSE(MATCH(IF($E609="","Основний",$E609),{"Трафіковий","Основний","Маржинальний","Сезонний","Стратегічний"},0),Settings!$C$78,Settings!$C$80,Settings!$C$82,Settings!$C$84,Settings!$C$86),"")</f>
        <v/>
      </c>
      <c r="L609" s="148">
        <f>IFERROR((J609*(1-Settings!$C$17)-C609)/(J609*(1-Settings!$C$17)),"")</f>
        <v/>
      </c>
      <c r="M609" s="149">
        <f>IFERROR(IF(J609="","",IF(J609&gt;=C609/(1-SKU_Base!AA609)/(1-Settings!$C$17),"OK",IF(J609&gt;=C609/(1-SKU_Base!AH609)/(1-Settings!$C$17),"WARN","STOP"))),"")</f>
        <v/>
      </c>
      <c r="N609" s="161">
        <f>IFERROR(ROUND(D609*(1-CHOOSE(MATCH(IF($E609="","Основний",$E609),{"Трафіковий","Основний","Маржинальний","Сезонний","Стратегічний"},0),Settings!$D$78,Settings!$D$80,Settings!$D$82,Settings!$D$84,Settings!$D$86))/6,2)*6,"")</f>
        <v/>
      </c>
      <c r="O609" s="142">
        <f>IFERROR(CHOOSE(MATCH(IF($E609="","Основний",$E609),{"Трафіковий","Основний","Маржинальний","Сезонний","Стратегічний"},0),Settings!$D$78,Settings!$D$80,Settings!$D$82,Settings!$D$84,Settings!$D$86),"")</f>
        <v/>
      </c>
      <c r="P609" s="148">
        <f>IFERROR((N609*(1-Settings!$D$17)-C609)/(N609*(1-Settings!$D$17)),"")</f>
        <v/>
      </c>
      <c r="Q609" s="149">
        <f>IFERROR(IF(N609="","",IF(N609&gt;=C609/(1-SKU_Base!AB609)/(1-Settings!$D$17),"OK",IF(N609&gt;=C609/(1-SKU_Base!AI609)/(1-Settings!$D$17),"WARN","STOP"))),"")</f>
        <v/>
      </c>
      <c r="R609" s="161">
        <f>IFERROR(ROUND(D609*(1-CHOOSE(MATCH(IF($E609="","Основний",$E609),{"Трафіковий","Основний","Маржинальний","Сезонний","Стратегічний"},0),Settings!$E$78,Settings!$E$80,Settings!$E$82,Settings!$E$84,Settings!$E$86))/6,2)*6,"")</f>
        <v/>
      </c>
      <c r="S609" s="142">
        <f>IFERROR(CHOOSE(MATCH(IF($E609="","Основний",$E609),{"Трафіковий","Основний","Маржинальний","Сезонний","Стратегічний"},0),Settings!$E$78,Settings!$E$80,Settings!$E$82,Settings!$E$84,Settings!$E$86),"")</f>
        <v/>
      </c>
      <c r="T609" s="148">
        <f>IFERROR((R609*(1-Settings!$E$17)-C609)/(R609*(1-Settings!$E$17)),"")</f>
        <v/>
      </c>
      <c r="U609" s="149">
        <f>IFERROR(IF(R609="","",IF(R609&gt;=C609/(1-SKU_Base!AC609)/(1-Settings!$E$17),"OK",IF(R609&gt;=C609/(1-SKU_Base!AJ609)/(1-Settings!$E$17),"WARN","STOP"))),"")</f>
        <v/>
      </c>
      <c r="V609" s="161">
        <f>IFERROR(ROUND(D609*(1-CHOOSE(MATCH(IF($E609="","Основний",$E609),{"Трафіковий","Основний","Маржинальний","Сезонний","Стратегічний"},0),Settings!$F$78,Settings!$F$80,Settings!$F$82,Settings!$F$84,Settings!$F$86))/6,2)*6,"")</f>
        <v/>
      </c>
      <c r="W609" s="142">
        <f>IFERROR(CHOOSE(MATCH(IF($E609="","Основний",$E609),{"Трафіковий","Основний","Маржинальний","Сезонний","Стратегічний"},0),Settings!$F$78,Settings!$F$80,Settings!$F$82,Settings!$F$84,Settings!$F$86),"")</f>
        <v/>
      </c>
      <c r="X609" s="148">
        <f>IFERROR((V609*(1-Settings!$F$17)-C609)/(V609*(1-Settings!$F$17)),"")</f>
        <v/>
      </c>
      <c r="Y609" s="149">
        <f>IFERROR(IF(V609="","",IF(V609&gt;=C609/(1-SKU_Base!AD609)/(1-Settings!$F$17),"OK",IF(V609&gt;=C609/(1-SKU_Base!AK609)/(1-Settings!$F$17),"WARN","STOP"))),"")</f>
        <v/>
      </c>
      <c r="Z609" s="161">
        <f>IFERROR(ROUND(D609*(1-CHOOSE(MATCH(IF($E609="","Основний",$E609),{"Трафіковий","Основний","Маржинальний","Сезонний","Стратегічний"},0),Settings!$G$78,Settings!$G$80,Settings!$G$82,Settings!$G$84,Settings!$G$86))/6,2)*6,"")</f>
        <v/>
      </c>
      <c r="AA609" s="142">
        <f>IFERROR(CHOOSE(MATCH(IF($E609="","Основний",$E609),{"Трафіковий","Основний","Маржинальний","Сезонний","Стратегічний"},0),Settings!$G$78,Settings!$G$80,Settings!$G$82,Settings!$G$84,Settings!$G$86),"")</f>
        <v/>
      </c>
      <c r="AB609" s="148">
        <f>IFERROR((Z609*(1-Settings!$G$17)-C609)/(Z609*(1-Settings!$G$17)),"")</f>
        <v/>
      </c>
      <c r="AC609" s="149">
        <f>IFERROR(IF(Z609="","",IF(Z609&gt;=C609/(1-SKU_Base!AE609)/(1-Settings!$G$17),"OK",IF(Z609&gt;=C609/(1-SKU_Base!AL609)/(1-Settings!$G$17),"WARN","STOP"))),"")</f>
        <v/>
      </c>
      <c r="AD609" s="161">
        <f>IFERROR(ROUND(D609*(1-CHOOSE(MATCH(IF($E609="","Основний",$E609),{"Трафіковий","Основний","Маржинальний","Сезонний","Стратегічний"},0),Settings!$H$78,Settings!$H$80,Settings!$H$82,Settings!$H$84,Settings!$H$86))*(1-Settings!$H$68)/6,2)*6,"")</f>
        <v/>
      </c>
      <c r="AE609" s="142">
        <f>IFERROR(CHOOSE(MATCH(IF($E609="","Основний",$E609),{"Трафіковий","Основний","Маржинальний","Сезонний","Стратегічний"},0),Settings!$H$78,Settings!$H$80,Settings!$H$82,Settings!$H$84,Settings!$H$86)+(1-(CHOOSE(MATCH(IF($E609="","Основний",$E609),{"Трафіковий","Основний","Маржинальний","Сезонний","Стратегічний"},0),Settings!$H$78,Settings!$H$80,Settings!$H$82,Settings!$H$84,Settings!$H$86)))*Settings!$H$68,"")</f>
        <v/>
      </c>
      <c r="AF609" s="148">
        <f>IFERROR((AD609*(1-Settings!$H$17)-C609)/(AD609*(1-Settings!$H$17)),"")</f>
        <v/>
      </c>
      <c r="AG609" s="150">
        <f>IFERROR(IF(AD609="","",IF(AD609&gt;=C609/(1-SKU_Base!AF609)/(1-Settings!$H$17),"OK",IF(AD609&gt;=C609/(1-SKU_Base!AM609)/(1-Settings!$H$17),"WARN","STOP"))),"")</f>
        <v/>
      </c>
    </row>
    <row r="610" ht="17" customHeight="1" s="179">
      <c r="A610" s="139">
        <f>SKU_Base!B610</f>
        <v/>
      </c>
      <c r="B610" s="139">
        <f>SKU_Base!C610</f>
        <v/>
      </c>
      <c r="C610" s="140">
        <f>IFERROR(SKU_Base!I610,"")</f>
        <v/>
      </c>
      <c r="D610" s="163">
        <f>IFERROR(SKU_Base!T610,"")</f>
        <v/>
      </c>
      <c r="E610" s="141">
        <f>IFERROR(SKU_Base!$U610,"")</f>
        <v/>
      </c>
      <c r="F610" s="158">
        <f>IFERROR(ROUND(D610*(1-CHOOSE(MATCH(IF($E610="","Основний",$E610),{"Трафіковий","Основний","Маржинальний","Сезонний","Стратегічний"},0),Settings!$B$78,Settings!$B$80,Settings!$B$82,Settings!$B$84,Settings!$B$86))/6,2)*6,"")</f>
        <v/>
      </c>
      <c r="G610" s="142">
        <f>IFERROR(CHOOSE(MATCH(IF($E610="","Основний",$E610),{"Трафіковий","Основний","Маржинальний","Сезонний","Стратегічний"},0),Settings!$B$78,Settings!$B$80,Settings!$B$82,Settings!$B$84,Settings!$B$86),"")</f>
        <v/>
      </c>
      <c r="H610" s="143">
        <f>IFERROR((F610*(1-Settings!$B$17)-C610)/(F610*(1-Settings!$B$17)),"")</f>
        <v/>
      </c>
      <c r="I610" s="149">
        <f>IFERROR(IF(F610="","",IF(F610&gt;=C610/(1-SKU_Base!Z610)/(1-Settings!$B$17),"OK",IF(F610&gt;=C610/(1-SKU_Base!AG610)/(1-Settings!$B$17),"WARN","STOP"))),"")</f>
        <v/>
      </c>
      <c r="J610" s="158">
        <f>IFERROR(ROUND(D610*(1-CHOOSE(MATCH(IF($E610="","Основний",$E610),{"Трафіковий","Основний","Маржинальний","Сезонний","Стратегічний"},0),Settings!$C$78,Settings!$C$80,Settings!$C$82,Settings!$C$84,Settings!$C$86))/6,2)*6,"")</f>
        <v/>
      </c>
      <c r="K610" s="142">
        <f>IFERROR(CHOOSE(MATCH(IF($E610="","Основний",$E610),{"Трафіковий","Основний","Маржинальний","Сезонний","Стратегічний"},0),Settings!$C$78,Settings!$C$80,Settings!$C$82,Settings!$C$84,Settings!$C$86),"")</f>
        <v/>
      </c>
      <c r="L610" s="143">
        <f>IFERROR((J610*(1-Settings!$C$17)-C610)/(J610*(1-Settings!$C$17)),"")</f>
        <v/>
      </c>
      <c r="M610" s="149">
        <f>IFERROR(IF(J610="","",IF(J610&gt;=C610/(1-SKU_Base!AA610)/(1-Settings!$C$17),"OK",IF(J610&gt;=C610/(1-SKU_Base!AH610)/(1-Settings!$C$17),"WARN","STOP"))),"")</f>
        <v/>
      </c>
      <c r="N610" s="159">
        <f>IFERROR(ROUND(D610*(1-CHOOSE(MATCH(IF($E610="","Основний",$E610),{"Трафіковий","Основний","Маржинальний","Сезонний","Стратегічний"},0),Settings!$D$78,Settings!$D$80,Settings!$D$82,Settings!$D$84,Settings!$D$86))/6,2)*6,"")</f>
        <v/>
      </c>
      <c r="O610" s="142">
        <f>IFERROR(CHOOSE(MATCH(IF($E610="","Основний",$E610),{"Трафіковий","Основний","Маржинальний","Сезонний","Стратегічний"},0),Settings!$D$78,Settings!$D$80,Settings!$D$82,Settings!$D$84,Settings!$D$86),"")</f>
        <v/>
      </c>
      <c r="P610" s="143">
        <f>IFERROR((N610*(1-Settings!$D$17)-C610)/(N610*(1-Settings!$D$17)),"")</f>
        <v/>
      </c>
      <c r="Q610" s="149">
        <f>IFERROR(IF(N610="","",IF(N610&gt;=C610/(1-SKU_Base!AB610)/(1-Settings!$D$17),"OK",IF(N610&gt;=C610/(1-SKU_Base!AI610)/(1-Settings!$D$17),"WARN","STOP"))),"")</f>
        <v/>
      </c>
      <c r="R610" s="159">
        <f>IFERROR(ROUND(D610*(1-CHOOSE(MATCH(IF($E610="","Основний",$E610),{"Трафіковий","Основний","Маржинальний","Сезонний","Стратегічний"},0),Settings!$E$78,Settings!$E$80,Settings!$E$82,Settings!$E$84,Settings!$E$86))/6,2)*6,"")</f>
        <v/>
      </c>
      <c r="S610" s="142">
        <f>IFERROR(CHOOSE(MATCH(IF($E610="","Основний",$E610),{"Трафіковий","Основний","Маржинальний","Сезонний","Стратегічний"},0),Settings!$E$78,Settings!$E$80,Settings!$E$82,Settings!$E$84,Settings!$E$86),"")</f>
        <v/>
      </c>
      <c r="T610" s="143">
        <f>IFERROR((R610*(1-Settings!$E$17)-C610)/(R610*(1-Settings!$E$17)),"")</f>
        <v/>
      </c>
      <c r="U610" s="149">
        <f>IFERROR(IF(R610="","",IF(R610&gt;=C610/(1-SKU_Base!AC610)/(1-Settings!$E$17),"OK",IF(R610&gt;=C610/(1-SKU_Base!AJ610)/(1-Settings!$E$17),"WARN","STOP"))),"")</f>
        <v/>
      </c>
      <c r="V610" s="159">
        <f>IFERROR(ROUND(D610*(1-CHOOSE(MATCH(IF($E610="","Основний",$E610),{"Трафіковий","Основний","Маржинальний","Сезонний","Стратегічний"},0),Settings!$F$78,Settings!$F$80,Settings!$F$82,Settings!$F$84,Settings!$F$86))/6,2)*6,"")</f>
        <v/>
      </c>
      <c r="W610" s="142">
        <f>IFERROR(CHOOSE(MATCH(IF($E610="","Основний",$E610),{"Трафіковий","Основний","Маржинальний","Сезонний","Стратегічний"},0),Settings!$F$78,Settings!$F$80,Settings!$F$82,Settings!$F$84,Settings!$F$86),"")</f>
        <v/>
      </c>
      <c r="X610" s="143">
        <f>IFERROR((V610*(1-Settings!$F$17)-C610)/(V610*(1-Settings!$F$17)),"")</f>
        <v/>
      </c>
      <c r="Y610" s="149">
        <f>IFERROR(IF(V610="","",IF(V610&gt;=C610/(1-SKU_Base!AD610)/(1-Settings!$F$17),"OK",IF(V610&gt;=C610/(1-SKU_Base!AK610)/(1-Settings!$F$17),"WARN","STOP"))),"")</f>
        <v/>
      </c>
      <c r="Z610" s="159">
        <f>IFERROR(ROUND(D610*(1-CHOOSE(MATCH(IF($E610="","Основний",$E610),{"Трафіковий","Основний","Маржинальний","Сезонний","Стратегічний"},0),Settings!$G$78,Settings!$G$80,Settings!$G$82,Settings!$G$84,Settings!$G$86))/6,2)*6,"")</f>
        <v/>
      </c>
      <c r="AA610" s="142">
        <f>IFERROR(CHOOSE(MATCH(IF($E610="","Основний",$E610),{"Трафіковий","Основний","Маржинальний","Сезонний","Стратегічний"},0),Settings!$G$78,Settings!$G$80,Settings!$G$82,Settings!$G$84,Settings!$G$86),"")</f>
        <v/>
      </c>
      <c r="AB610" s="143">
        <f>IFERROR((Z610*(1-Settings!$G$17)-C610)/(Z610*(1-Settings!$G$17)),"")</f>
        <v/>
      </c>
      <c r="AC610" s="149">
        <f>IFERROR(IF(Z610="","",IF(Z610&gt;=C610/(1-SKU_Base!AE610)/(1-Settings!$G$17),"OK",IF(Z610&gt;=C610/(1-SKU_Base!AL610)/(1-Settings!$G$17),"WARN","STOP"))),"")</f>
        <v/>
      </c>
      <c r="AD610" s="159">
        <f>IFERROR(ROUND(D610*(1-CHOOSE(MATCH(IF($E610="","Основний",$E610),{"Трафіковий","Основний","Маржинальний","Сезонний","Стратегічний"},0),Settings!$H$78,Settings!$H$80,Settings!$H$82,Settings!$H$84,Settings!$H$86))*(1-Settings!$H$68)/6,2)*6,"")</f>
        <v/>
      </c>
      <c r="AE610" s="142">
        <f>IFERROR(CHOOSE(MATCH(IF($E610="","Основний",$E610),{"Трафіковий","Основний","Маржинальний","Сезонний","Стратегічний"},0),Settings!$H$78,Settings!$H$80,Settings!$H$82,Settings!$H$84,Settings!$H$86)+(1-(CHOOSE(MATCH(IF($E610="","Основний",$E610),{"Трафіковий","Основний","Маржинальний","Сезонний","Стратегічний"},0),Settings!$H$78,Settings!$H$80,Settings!$H$82,Settings!$H$84,Settings!$H$86)))*Settings!$H$68,"")</f>
        <v/>
      </c>
      <c r="AF610" s="143">
        <f>IFERROR((AD610*(1-Settings!$H$17)-C610)/(AD610*(1-Settings!$H$17)),"")</f>
        <v/>
      </c>
      <c r="AG610" s="150">
        <f>IFERROR(IF(AD610="","",IF(AD610&gt;=C610/(1-SKU_Base!AF610)/(1-Settings!$H$17),"OK",IF(AD610&gt;=C610/(1-SKU_Base!AM610)/(1-Settings!$H$17),"WARN","STOP"))),"")</f>
        <v/>
      </c>
    </row>
    <row r="611" ht="17" customHeight="1" s="179">
      <c r="A611" s="146">
        <f>SKU_Base!B611</f>
        <v/>
      </c>
      <c r="B611" s="146">
        <f>SKU_Base!C611</f>
        <v/>
      </c>
      <c r="C611" s="147">
        <f>IFERROR(SKU_Base!I611,"")</f>
        <v/>
      </c>
      <c r="D611" s="164">
        <f>IFERROR(SKU_Base!T611,"")</f>
        <v/>
      </c>
      <c r="E611" s="141">
        <f>IFERROR(SKU_Base!$U611,"")</f>
        <v/>
      </c>
      <c r="F611" s="160">
        <f>IFERROR(ROUND(D611*(1-CHOOSE(MATCH(IF($E611="","Основний",$E611),{"Трафіковий","Основний","Маржинальний","Сезонний","Стратегічний"},0),Settings!$B$78,Settings!$B$80,Settings!$B$82,Settings!$B$84,Settings!$B$86))/6,2)*6,"")</f>
        <v/>
      </c>
      <c r="G611" s="142">
        <f>IFERROR(CHOOSE(MATCH(IF($E611="","Основний",$E611),{"Трафіковий","Основний","Маржинальний","Сезонний","Стратегічний"},0),Settings!$B$78,Settings!$B$80,Settings!$B$82,Settings!$B$84,Settings!$B$86),"")</f>
        <v/>
      </c>
      <c r="H611" s="148">
        <f>IFERROR((F611*(1-Settings!$B$17)-C611)/(F611*(1-Settings!$B$17)),"")</f>
        <v/>
      </c>
      <c r="I611" s="149">
        <f>IFERROR(IF(F611="","",IF(F611&gt;=C611/(1-SKU_Base!Z611)/(1-Settings!$B$17),"OK",IF(F611&gt;=C611/(1-SKU_Base!AG611)/(1-Settings!$B$17),"WARN","STOP"))),"")</f>
        <v/>
      </c>
      <c r="J611" s="160">
        <f>IFERROR(ROUND(D611*(1-CHOOSE(MATCH(IF($E611="","Основний",$E611),{"Трафіковий","Основний","Маржинальний","Сезонний","Стратегічний"},0),Settings!$C$78,Settings!$C$80,Settings!$C$82,Settings!$C$84,Settings!$C$86))/6,2)*6,"")</f>
        <v/>
      </c>
      <c r="K611" s="142">
        <f>IFERROR(CHOOSE(MATCH(IF($E611="","Основний",$E611),{"Трафіковий","Основний","Маржинальний","Сезонний","Стратегічний"},0),Settings!$C$78,Settings!$C$80,Settings!$C$82,Settings!$C$84,Settings!$C$86),"")</f>
        <v/>
      </c>
      <c r="L611" s="148">
        <f>IFERROR((J611*(1-Settings!$C$17)-C611)/(J611*(1-Settings!$C$17)),"")</f>
        <v/>
      </c>
      <c r="M611" s="149">
        <f>IFERROR(IF(J611="","",IF(J611&gt;=C611/(1-SKU_Base!AA611)/(1-Settings!$C$17),"OK",IF(J611&gt;=C611/(1-SKU_Base!AH611)/(1-Settings!$C$17),"WARN","STOP"))),"")</f>
        <v/>
      </c>
      <c r="N611" s="161">
        <f>IFERROR(ROUND(D611*(1-CHOOSE(MATCH(IF($E611="","Основний",$E611),{"Трафіковий","Основний","Маржинальний","Сезонний","Стратегічний"},0),Settings!$D$78,Settings!$D$80,Settings!$D$82,Settings!$D$84,Settings!$D$86))/6,2)*6,"")</f>
        <v/>
      </c>
      <c r="O611" s="142">
        <f>IFERROR(CHOOSE(MATCH(IF($E611="","Основний",$E611),{"Трафіковий","Основний","Маржинальний","Сезонний","Стратегічний"},0),Settings!$D$78,Settings!$D$80,Settings!$D$82,Settings!$D$84,Settings!$D$86),"")</f>
        <v/>
      </c>
      <c r="P611" s="148">
        <f>IFERROR((N611*(1-Settings!$D$17)-C611)/(N611*(1-Settings!$D$17)),"")</f>
        <v/>
      </c>
      <c r="Q611" s="149">
        <f>IFERROR(IF(N611="","",IF(N611&gt;=C611/(1-SKU_Base!AB611)/(1-Settings!$D$17),"OK",IF(N611&gt;=C611/(1-SKU_Base!AI611)/(1-Settings!$D$17),"WARN","STOP"))),"")</f>
        <v/>
      </c>
      <c r="R611" s="161">
        <f>IFERROR(ROUND(D611*(1-CHOOSE(MATCH(IF($E611="","Основний",$E611),{"Трафіковий","Основний","Маржинальний","Сезонний","Стратегічний"},0),Settings!$E$78,Settings!$E$80,Settings!$E$82,Settings!$E$84,Settings!$E$86))/6,2)*6,"")</f>
        <v/>
      </c>
      <c r="S611" s="142">
        <f>IFERROR(CHOOSE(MATCH(IF($E611="","Основний",$E611),{"Трафіковий","Основний","Маржинальний","Сезонний","Стратегічний"},0),Settings!$E$78,Settings!$E$80,Settings!$E$82,Settings!$E$84,Settings!$E$86),"")</f>
        <v/>
      </c>
      <c r="T611" s="148">
        <f>IFERROR((R611*(1-Settings!$E$17)-C611)/(R611*(1-Settings!$E$17)),"")</f>
        <v/>
      </c>
      <c r="U611" s="149">
        <f>IFERROR(IF(R611="","",IF(R611&gt;=C611/(1-SKU_Base!AC611)/(1-Settings!$E$17),"OK",IF(R611&gt;=C611/(1-SKU_Base!AJ611)/(1-Settings!$E$17),"WARN","STOP"))),"")</f>
        <v/>
      </c>
      <c r="V611" s="161">
        <f>IFERROR(ROUND(D611*(1-CHOOSE(MATCH(IF($E611="","Основний",$E611),{"Трафіковий","Основний","Маржинальний","Сезонний","Стратегічний"},0),Settings!$F$78,Settings!$F$80,Settings!$F$82,Settings!$F$84,Settings!$F$86))/6,2)*6,"")</f>
        <v/>
      </c>
      <c r="W611" s="142">
        <f>IFERROR(CHOOSE(MATCH(IF($E611="","Основний",$E611),{"Трафіковий","Основний","Маржинальний","Сезонний","Стратегічний"},0),Settings!$F$78,Settings!$F$80,Settings!$F$82,Settings!$F$84,Settings!$F$86),"")</f>
        <v/>
      </c>
      <c r="X611" s="148">
        <f>IFERROR((V611*(1-Settings!$F$17)-C611)/(V611*(1-Settings!$F$17)),"")</f>
        <v/>
      </c>
      <c r="Y611" s="149">
        <f>IFERROR(IF(V611="","",IF(V611&gt;=C611/(1-SKU_Base!AD611)/(1-Settings!$F$17),"OK",IF(V611&gt;=C611/(1-SKU_Base!AK611)/(1-Settings!$F$17),"WARN","STOP"))),"")</f>
        <v/>
      </c>
      <c r="Z611" s="161">
        <f>IFERROR(ROUND(D611*(1-CHOOSE(MATCH(IF($E611="","Основний",$E611),{"Трафіковий","Основний","Маржинальний","Сезонний","Стратегічний"},0),Settings!$G$78,Settings!$G$80,Settings!$G$82,Settings!$G$84,Settings!$G$86))/6,2)*6,"")</f>
        <v/>
      </c>
      <c r="AA611" s="142">
        <f>IFERROR(CHOOSE(MATCH(IF($E611="","Основний",$E611),{"Трафіковий","Основний","Маржинальний","Сезонний","Стратегічний"},0),Settings!$G$78,Settings!$G$80,Settings!$G$82,Settings!$G$84,Settings!$G$86),"")</f>
        <v/>
      </c>
      <c r="AB611" s="148">
        <f>IFERROR((Z611*(1-Settings!$G$17)-C611)/(Z611*(1-Settings!$G$17)),"")</f>
        <v/>
      </c>
      <c r="AC611" s="149">
        <f>IFERROR(IF(Z611="","",IF(Z611&gt;=C611/(1-SKU_Base!AE611)/(1-Settings!$G$17),"OK",IF(Z611&gt;=C611/(1-SKU_Base!AL611)/(1-Settings!$G$17),"WARN","STOP"))),"")</f>
        <v/>
      </c>
      <c r="AD611" s="161">
        <f>IFERROR(ROUND(D611*(1-CHOOSE(MATCH(IF($E611="","Основний",$E611),{"Трафіковий","Основний","Маржинальний","Сезонний","Стратегічний"},0),Settings!$H$78,Settings!$H$80,Settings!$H$82,Settings!$H$84,Settings!$H$86))*(1-Settings!$H$68)/6,2)*6,"")</f>
        <v/>
      </c>
      <c r="AE611" s="142">
        <f>IFERROR(CHOOSE(MATCH(IF($E611="","Основний",$E611),{"Трафіковий","Основний","Маржинальний","Сезонний","Стратегічний"},0),Settings!$H$78,Settings!$H$80,Settings!$H$82,Settings!$H$84,Settings!$H$86)+(1-(CHOOSE(MATCH(IF($E611="","Основний",$E611),{"Трафіковий","Основний","Маржинальний","Сезонний","Стратегічний"},0),Settings!$H$78,Settings!$H$80,Settings!$H$82,Settings!$H$84,Settings!$H$86)))*Settings!$H$68,"")</f>
        <v/>
      </c>
      <c r="AF611" s="148">
        <f>IFERROR((AD611*(1-Settings!$H$17)-C611)/(AD611*(1-Settings!$H$17)),"")</f>
        <v/>
      </c>
      <c r="AG611" s="150">
        <f>IFERROR(IF(AD611="","",IF(AD611&gt;=C611/(1-SKU_Base!AF611)/(1-Settings!$H$17),"OK",IF(AD611&gt;=C611/(1-SKU_Base!AM611)/(1-Settings!$H$17),"WARN","STOP"))),"")</f>
        <v/>
      </c>
    </row>
    <row r="612" ht="17" customHeight="1" s="179">
      <c r="A612" s="139">
        <f>SKU_Base!B612</f>
        <v/>
      </c>
      <c r="B612" s="139">
        <f>SKU_Base!C612</f>
        <v/>
      </c>
      <c r="C612" s="140">
        <f>IFERROR(SKU_Base!I612,"")</f>
        <v/>
      </c>
      <c r="D612" s="163">
        <f>IFERROR(SKU_Base!T612,"")</f>
        <v/>
      </c>
      <c r="E612" s="141">
        <f>IFERROR(SKU_Base!$U612,"")</f>
        <v/>
      </c>
      <c r="F612" s="158">
        <f>IFERROR(ROUND(D612*(1-CHOOSE(MATCH(IF($E612="","Основний",$E612),{"Трафіковий","Основний","Маржинальний","Сезонний","Стратегічний"},0),Settings!$B$78,Settings!$B$80,Settings!$B$82,Settings!$B$84,Settings!$B$86))/6,2)*6,"")</f>
        <v/>
      </c>
      <c r="G612" s="142">
        <f>IFERROR(CHOOSE(MATCH(IF($E612="","Основний",$E612),{"Трафіковий","Основний","Маржинальний","Сезонний","Стратегічний"},0),Settings!$B$78,Settings!$B$80,Settings!$B$82,Settings!$B$84,Settings!$B$86),"")</f>
        <v/>
      </c>
      <c r="H612" s="143">
        <f>IFERROR((F612*(1-Settings!$B$17)-C612)/(F612*(1-Settings!$B$17)),"")</f>
        <v/>
      </c>
      <c r="I612" s="149">
        <f>IFERROR(IF(F612="","",IF(F612&gt;=C612/(1-SKU_Base!Z612)/(1-Settings!$B$17),"OK",IF(F612&gt;=C612/(1-SKU_Base!AG612)/(1-Settings!$B$17),"WARN","STOP"))),"")</f>
        <v/>
      </c>
      <c r="J612" s="158">
        <f>IFERROR(ROUND(D612*(1-CHOOSE(MATCH(IF($E612="","Основний",$E612),{"Трафіковий","Основний","Маржинальний","Сезонний","Стратегічний"},0),Settings!$C$78,Settings!$C$80,Settings!$C$82,Settings!$C$84,Settings!$C$86))/6,2)*6,"")</f>
        <v/>
      </c>
      <c r="K612" s="142">
        <f>IFERROR(CHOOSE(MATCH(IF($E612="","Основний",$E612),{"Трафіковий","Основний","Маржинальний","Сезонний","Стратегічний"},0),Settings!$C$78,Settings!$C$80,Settings!$C$82,Settings!$C$84,Settings!$C$86),"")</f>
        <v/>
      </c>
      <c r="L612" s="143">
        <f>IFERROR((J612*(1-Settings!$C$17)-C612)/(J612*(1-Settings!$C$17)),"")</f>
        <v/>
      </c>
      <c r="M612" s="149">
        <f>IFERROR(IF(J612="","",IF(J612&gt;=C612/(1-SKU_Base!AA612)/(1-Settings!$C$17),"OK",IF(J612&gt;=C612/(1-SKU_Base!AH612)/(1-Settings!$C$17),"WARN","STOP"))),"")</f>
        <v/>
      </c>
      <c r="N612" s="159">
        <f>IFERROR(ROUND(D612*(1-CHOOSE(MATCH(IF($E612="","Основний",$E612),{"Трафіковий","Основний","Маржинальний","Сезонний","Стратегічний"},0),Settings!$D$78,Settings!$D$80,Settings!$D$82,Settings!$D$84,Settings!$D$86))/6,2)*6,"")</f>
        <v/>
      </c>
      <c r="O612" s="142">
        <f>IFERROR(CHOOSE(MATCH(IF($E612="","Основний",$E612),{"Трафіковий","Основний","Маржинальний","Сезонний","Стратегічний"},0),Settings!$D$78,Settings!$D$80,Settings!$D$82,Settings!$D$84,Settings!$D$86),"")</f>
        <v/>
      </c>
      <c r="P612" s="143">
        <f>IFERROR((N612*(1-Settings!$D$17)-C612)/(N612*(1-Settings!$D$17)),"")</f>
        <v/>
      </c>
      <c r="Q612" s="149">
        <f>IFERROR(IF(N612="","",IF(N612&gt;=C612/(1-SKU_Base!AB612)/(1-Settings!$D$17),"OK",IF(N612&gt;=C612/(1-SKU_Base!AI612)/(1-Settings!$D$17),"WARN","STOP"))),"")</f>
        <v/>
      </c>
      <c r="R612" s="159">
        <f>IFERROR(ROUND(D612*(1-CHOOSE(MATCH(IF($E612="","Основний",$E612),{"Трафіковий","Основний","Маржинальний","Сезонний","Стратегічний"},0),Settings!$E$78,Settings!$E$80,Settings!$E$82,Settings!$E$84,Settings!$E$86))/6,2)*6,"")</f>
        <v/>
      </c>
      <c r="S612" s="142">
        <f>IFERROR(CHOOSE(MATCH(IF($E612="","Основний",$E612),{"Трафіковий","Основний","Маржинальний","Сезонний","Стратегічний"},0),Settings!$E$78,Settings!$E$80,Settings!$E$82,Settings!$E$84,Settings!$E$86),"")</f>
        <v/>
      </c>
      <c r="T612" s="143">
        <f>IFERROR((R612*(1-Settings!$E$17)-C612)/(R612*(1-Settings!$E$17)),"")</f>
        <v/>
      </c>
      <c r="U612" s="149">
        <f>IFERROR(IF(R612="","",IF(R612&gt;=C612/(1-SKU_Base!AC612)/(1-Settings!$E$17),"OK",IF(R612&gt;=C612/(1-SKU_Base!AJ612)/(1-Settings!$E$17),"WARN","STOP"))),"")</f>
        <v/>
      </c>
      <c r="V612" s="159">
        <f>IFERROR(ROUND(D612*(1-CHOOSE(MATCH(IF($E612="","Основний",$E612),{"Трафіковий","Основний","Маржинальний","Сезонний","Стратегічний"},0),Settings!$F$78,Settings!$F$80,Settings!$F$82,Settings!$F$84,Settings!$F$86))/6,2)*6,"")</f>
        <v/>
      </c>
      <c r="W612" s="142">
        <f>IFERROR(CHOOSE(MATCH(IF($E612="","Основний",$E612),{"Трафіковий","Основний","Маржинальний","Сезонний","Стратегічний"},0),Settings!$F$78,Settings!$F$80,Settings!$F$82,Settings!$F$84,Settings!$F$86),"")</f>
        <v/>
      </c>
      <c r="X612" s="143">
        <f>IFERROR((V612*(1-Settings!$F$17)-C612)/(V612*(1-Settings!$F$17)),"")</f>
        <v/>
      </c>
      <c r="Y612" s="149">
        <f>IFERROR(IF(V612="","",IF(V612&gt;=C612/(1-SKU_Base!AD612)/(1-Settings!$F$17),"OK",IF(V612&gt;=C612/(1-SKU_Base!AK612)/(1-Settings!$F$17),"WARN","STOP"))),"")</f>
        <v/>
      </c>
      <c r="Z612" s="159">
        <f>IFERROR(ROUND(D612*(1-CHOOSE(MATCH(IF($E612="","Основний",$E612),{"Трафіковий","Основний","Маржинальний","Сезонний","Стратегічний"},0),Settings!$G$78,Settings!$G$80,Settings!$G$82,Settings!$G$84,Settings!$G$86))/6,2)*6,"")</f>
        <v/>
      </c>
      <c r="AA612" s="142">
        <f>IFERROR(CHOOSE(MATCH(IF($E612="","Основний",$E612),{"Трафіковий","Основний","Маржинальний","Сезонний","Стратегічний"},0),Settings!$G$78,Settings!$G$80,Settings!$G$82,Settings!$G$84,Settings!$G$86),"")</f>
        <v/>
      </c>
      <c r="AB612" s="143">
        <f>IFERROR((Z612*(1-Settings!$G$17)-C612)/(Z612*(1-Settings!$G$17)),"")</f>
        <v/>
      </c>
      <c r="AC612" s="149">
        <f>IFERROR(IF(Z612="","",IF(Z612&gt;=C612/(1-SKU_Base!AE612)/(1-Settings!$G$17),"OK",IF(Z612&gt;=C612/(1-SKU_Base!AL612)/(1-Settings!$G$17),"WARN","STOP"))),"")</f>
        <v/>
      </c>
      <c r="AD612" s="159">
        <f>IFERROR(ROUND(D612*(1-CHOOSE(MATCH(IF($E612="","Основний",$E612),{"Трафіковий","Основний","Маржинальний","Сезонний","Стратегічний"},0),Settings!$H$78,Settings!$H$80,Settings!$H$82,Settings!$H$84,Settings!$H$86))*(1-Settings!$H$68)/6,2)*6,"")</f>
        <v/>
      </c>
      <c r="AE612" s="142">
        <f>IFERROR(CHOOSE(MATCH(IF($E612="","Основний",$E612),{"Трафіковий","Основний","Маржинальний","Сезонний","Стратегічний"},0),Settings!$H$78,Settings!$H$80,Settings!$H$82,Settings!$H$84,Settings!$H$86)+(1-(CHOOSE(MATCH(IF($E612="","Основний",$E612),{"Трафіковий","Основний","Маржинальний","Сезонний","Стратегічний"},0),Settings!$H$78,Settings!$H$80,Settings!$H$82,Settings!$H$84,Settings!$H$86)))*Settings!$H$68,"")</f>
        <v/>
      </c>
      <c r="AF612" s="143">
        <f>IFERROR((AD612*(1-Settings!$H$17)-C612)/(AD612*(1-Settings!$H$17)),"")</f>
        <v/>
      </c>
      <c r="AG612" s="150">
        <f>IFERROR(IF(AD612="","",IF(AD612&gt;=C612/(1-SKU_Base!AF612)/(1-Settings!$H$17),"OK",IF(AD612&gt;=C612/(1-SKU_Base!AM612)/(1-Settings!$H$17),"WARN","STOP"))),"")</f>
        <v/>
      </c>
    </row>
    <row r="613" ht="17" customHeight="1" s="179">
      <c r="A613" s="146">
        <f>SKU_Base!B613</f>
        <v/>
      </c>
      <c r="B613" s="146">
        <f>SKU_Base!C613</f>
        <v/>
      </c>
      <c r="C613" s="147">
        <f>IFERROR(SKU_Base!I613,"")</f>
        <v/>
      </c>
      <c r="D613" s="164">
        <f>IFERROR(SKU_Base!T613,"")</f>
        <v/>
      </c>
      <c r="E613" s="141">
        <f>IFERROR(SKU_Base!$U613,"")</f>
        <v/>
      </c>
      <c r="F613" s="160">
        <f>IFERROR(ROUND(D613*(1-CHOOSE(MATCH(IF($E613="","Основний",$E613),{"Трафіковий","Основний","Маржинальний","Сезонний","Стратегічний"},0),Settings!$B$78,Settings!$B$80,Settings!$B$82,Settings!$B$84,Settings!$B$86))/6,2)*6,"")</f>
        <v/>
      </c>
      <c r="G613" s="142">
        <f>IFERROR(CHOOSE(MATCH(IF($E613="","Основний",$E613),{"Трафіковий","Основний","Маржинальний","Сезонний","Стратегічний"},0),Settings!$B$78,Settings!$B$80,Settings!$B$82,Settings!$B$84,Settings!$B$86),"")</f>
        <v/>
      </c>
      <c r="H613" s="148">
        <f>IFERROR((F613*(1-Settings!$B$17)-C613)/(F613*(1-Settings!$B$17)),"")</f>
        <v/>
      </c>
      <c r="I613" s="149">
        <f>IFERROR(IF(F613="","",IF(F613&gt;=C613/(1-SKU_Base!Z613)/(1-Settings!$B$17),"OK",IF(F613&gt;=C613/(1-SKU_Base!AG613)/(1-Settings!$B$17),"WARN","STOP"))),"")</f>
        <v/>
      </c>
      <c r="J613" s="160">
        <f>IFERROR(ROUND(D613*(1-CHOOSE(MATCH(IF($E613="","Основний",$E613),{"Трафіковий","Основний","Маржинальний","Сезонний","Стратегічний"},0),Settings!$C$78,Settings!$C$80,Settings!$C$82,Settings!$C$84,Settings!$C$86))/6,2)*6,"")</f>
        <v/>
      </c>
      <c r="K613" s="142">
        <f>IFERROR(CHOOSE(MATCH(IF($E613="","Основний",$E613),{"Трафіковий","Основний","Маржинальний","Сезонний","Стратегічний"},0),Settings!$C$78,Settings!$C$80,Settings!$C$82,Settings!$C$84,Settings!$C$86),"")</f>
        <v/>
      </c>
      <c r="L613" s="148">
        <f>IFERROR((J613*(1-Settings!$C$17)-C613)/(J613*(1-Settings!$C$17)),"")</f>
        <v/>
      </c>
      <c r="M613" s="149">
        <f>IFERROR(IF(J613="","",IF(J613&gt;=C613/(1-SKU_Base!AA613)/(1-Settings!$C$17),"OK",IF(J613&gt;=C613/(1-SKU_Base!AH613)/(1-Settings!$C$17),"WARN","STOP"))),"")</f>
        <v/>
      </c>
      <c r="N613" s="161">
        <f>IFERROR(ROUND(D613*(1-CHOOSE(MATCH(IF($E613="","Основний",$E613),{"Трафіковий","Основний","Маржинальний","Сезонний","Стратегічний"},0),Settings!$D$78,Settings!$D$80,Settings!$D$82,Settings!$D$84,Settings!$D$86))/6,2)*6,"")</f>
        <v/>
      </c>
      <c r="O613" s="142">
        <f>IFERROR(CHOOSE(MATCH(IF($E613="","Основний",$E613),{"Трафіковий","Основний","Маржинальний","Сезонний","Стратегічний"},0),Settings!$D$78,Settings!$D$80,Settings!$D$82,Settings!$D$84,Settings!$D$86),"")</f>
        <v/>
      </c>
      <c r="P613" s="148">
        <f>IFERROR((N613*(1-Settings!$D$17)-C613)/(N613*(1-Settings!$D$17)),"")</f>
        <v/>
      </c>
      <c r="Q613" s="149">
        <f>IFERROR(IF(N613="","",IF(N613&gt;=C613/(1-SKU_Base!AB613)/(1-Settings!$D$17),"OK",IF(N613&gt;=C613/(1-SKU_Base!AI613)/(1-Settings!$D$17),"WARN","STOP"))),"")</f>
        <v/>
      </c>
      <c r="R613" s="161">
        <f>IFERROR(ROUND(D613*(1-CHOOSE(MATCH(IF($E613="","Основний",$E613),{"Трафіковий","Основний","Маржинальний","Сезонний","Стратегічний"},0),Settings!$E$78,Settings!$E$80,Settings!$E$82,Settings!$E$84,Settings!$E$86))/6,2)*6,"")</f>
        <v/>
      </c>
      <c r="S613" s="142">
        <f>IFERROR(CHOOSE(MATCH(IF($E613="","Основний",$E613),{"Трафіковий","Основний","Маржинальний","Сезонний","Стратегічний"},0),Settings!$E$78,Settings!$E$80,Settings!$E$82,Settings!$E$84,Settings!$E$86),"")</f>
        <v/>
      </c>
      <c r="T613" s="148">
        <f>IFERROR((R613*(1-Settings!$E$17)-C613)/(R613*(1-Settings!$E$17)),"")</f>
        <v/>
      </c>
      <c r="U613" s="149">
        <f>IFERROR(IF(R613="","",IF(R613&gt;=C613/(1-SKU_Base!AC613)/(1-Settings!$E$17),"OK",IF(R613&gt;=C613/(1-SKU_Base!AJ613)/(1-Settings!$E$17),"WARN","STOP"))),"")</f>
        <v/>
      </c>
      <c r="V613" s="161">
        <f>IFERROR(ROUND(D613*(1-CHOOSE(MATCH(IF($E613="","Основний",$E613),{"Трафіковий","Основний","Маржинальний","Сезонний","Стратегічний"},0),Settings!$F$78,Settings!$F$80,Settings!$F$82,Settings!$F$84,Settings!$F$86))/6,2)*6,"")</f>
        <v/>
      </c>
      <c r="W613" s="142">
        <f>IFERROR(CHOOSE(MATCH(IF($E613="","Основний",$E613),{"Трафіковий","Основний","Маржинальний","Сезонний","Стратегічний"},0),Settings!$F$78,Settings!$F$80,Settings!$F$82,Settings!$F$84,Settings!$F$86),"")</f>
        <v/>
      </c>
      <c r="X613" s="148">
        <f>IFERROR((V613*(1-Settings!$F$17)-C613)/(V613*(1-Settings!$F$17)),"")</f>
        <v/>
      </c>
      <c r="Y613" s="149">
        <f>IFERROR(IF(V613="","",IF(V613&gt;=C613/(1-SKU_Base!AD613)/(1-Settings!$F$17),"OK",IF(V613&gt;=C613/(1-SKU_Base!AK613)/(1-Settings!$F$17),"WARN","STOP"))),"")</f>
        <v/>
      </c>
      <c r="Z613" s="161">
        <f>IFERROR(ROUND(D613*(1-CHOOSE(MATCH(IF($E613="","Основний",$E613),{"Трафіковий","Основний","Маржинальний","Сезонний","Стратегічний"},0),Settings!$G$78,Settings!$G$80,Settings!$G$82,Settings!$G$84,Settings!$G$86))/6,2)*6,"")</f>
        <v/>
      </c>
      <c r="AA613" s="142">
        <f>IFERROR(CHOOSE(MATCH(IF($E613="","Основний",$E613),{"Трафіковий","Основний","Маржинальний","Сезонний","Стратегічний"},0),Settings!$G$78,Settings!$G$80,Settings!$G$82,Settings!$G$84,Settings!$G$86),"")</f>
        <v/>
      </c>
      <c r="AB613" s="148">
        <f>IFERROR((Z613*(1-Settings!$G$17)-C613)/(Z613*(1-Settings!$G$17)),"")</f>
        <v/>
      </c>
      <c r="AC613" s="149">
        <f>IFERROR(IF(Z613="","",IF(Z613&gt;=C613/(1-SKU_Base!AE613)/(1-Settings!$G$17),"OK",IF(Z613&gt;=C613/(1-SKU_Base!AL613)/(1-Settings!$G$17),"WARN","STOP"))),"")</f>
        <v/>
      </c>
      <c r="AD613" s="161">
        <f>IFERROR(ROUND(D613*(1-CHOOSE(MATCH(IF($E613="","Основний",$E613),{"Трафіковий","Основний","Маржинальний","Сезонний","Стратегічний"},0),Settings!$H$78,Settings!$H$80,Settings!$H$82,Settings!$H$84,Settings!$H$86))*(1-Settings!$H$68)/6,2)*6,"")</f>
        <v/>
      </c>
      <c r="AE613" s="142">
        <f>IFERROR(CHOOSE(MATCH(IF($E613="","Основний",$E613),{"Трафіковий","Основний","Маржинальний","Сезонний","Стратегічний"},0),Settings!$H$78,Settings!$H$80,Settings!$H$82,Settings!$H$84,Settings!$H$86)+(1-(CHOOSE(MATCH(IF($E613="","Основний",$E613),{"Трафіковий","Основний","Маржинальний","Сезонний","Стратегічний"},0),Settings!$H$78,Settings!$H$80,Settings!$H$82,Settings!$H$84,Settings!$H$86)))*Settings!$H$68,"")</f>
        <v/>
      </c>
      <c r="AF613" s="148">
        <f>IFERROR((AD613*(1-Settings!$H$17)-C613)/(AD613*(1-Settings!$H$17)),"")</f>
        <v/>
      </c>
      <c r="AG613" s="150">
        <f>IFERROR(IF(AD613="","",IF(AD613&gt;=C613/(1-SKU_Base!AF613)/(1-Settings!$H$17),"OK",IF(AD613&gt;=C613/(1-SKU_Base!AM613)/(1-Settings!$H$17),"WARN","STOP"))),"")</f>
        <v/>
      </c>
    </row>
    <row r="614" ht="17" customHeight="1" s="179">
      <c r="A614" s="139">
        <f>SKU_Base!B614</f>
        <v/>
      </c>
      <c r="B614" s="139">
        <f>SKU_Base!C614</f>
        <v/>
      </c>
      <c r="C614" s="140">
        <f>IFERROR(SKU_Base!I614,"")</f>
        <v/>
      </c>
      <c r="D614" s="163">
        <f>IFERROR(SKU_Base!T614,"")</f>
        <v/>
      </c>
      <c r="E614" s="141">
        <f>IFERROR(SKU_Base!$U614,"")</f>
        <v/>
      </c>
      <c r="F614" s="158">
        <f>IFERROR(ROUND(D614*(1-CHOOSE(MATCH(IF($E614="","Основний",$E614),{"Трафіковий","Основний","Маржинальний","Сезонний","Стратегічний"},0),Settings!$B$78,Settings!$B$80,Settings!$B$82,Settings!$B$84,Settings!$B$86))/6,2)*6,"")</f>
        <v/>
      </c>
      <c r="G614" s="142">
        <f>IFERROR(CHOOSE(MATCH(IF($E614="","Основний",$E614),{"Трафіковий","Основний","Маржинальний","Сезонний","Стратегічний"},0),Settings!$B$78,Settings!$B$80,Settings!$B$82,Settings!$B$84,Settings!$B$86),"")</f>
        <v/>
      </c>
      <c r="H614" s="143">
        <f>IFERROR((F614*(1-Settings!$B$17)-C614)/(F614*(1-Settings!$B$17)),"")</f>
        <v/>
      </c>
      <c r="I614" s="149">
        <f>IFERROR(IF(F614="","",IF(F614&gt;=C614/(1-SKU_Base!Z614)/(1-Settings!$B$17),"OK",IF(F614&gt;=C614/(1-SKU_Base!AG614)/(1-Settings!$B$17),"WARN","STOP"))),"")</f>
        <v/>
      </c>
      <c r="J614" s="158">
        <f>IFERROR(ROUND(D614*(1-CHOOSE(MATCH(IF($E614="","Основний",$E614),{"Трафіковий","Основний","Маржинальний","Сезонний","Стратегічний"},0),Settings!$C$78,Settings!$C$80,Settings!$C$82,Settings!$C$84,Settings!$C$86))/6,2)*6,"")</f>
        <v/>
      </c>
      <c r="K614" s="142">
        <f>IFERROR(CHOOSE(MATCH(IF($E614="","Основний",$E614),{"Трафіковий","Основний","Маржинальний","Сезонний","Стратегічний"},0),Settings!$C$78,Settings!$C$80,Settings!$C$82,Settings!$C$84,Settings!$C$86),"")</f>
        <v/>
      </c>
      <c r="L614" s="143">
        <f>IFERROR((J614*(1-Settings!$C$17)-C614)/(J614*(1-Settings!$C$17)),"")</f>
        <v/>
      </c>
      <c r="M614" s="149">
        <f>IFERROR(IF(J614="","",IF(J614&gt;=C614/(1-SKU_Base!AA614)/(1-Settings!$C$17),"OK",IF(J614&gt;=C614/(1-SKU_Base!AH614)/(1-Settings!$C$17),"WARN","STOP"))),"")</f>
        <v/>
      </c>
      <c r="N614" s="159">
        <f>IFERROR(ROUND(D614*(1-CHOOSE(MATCH(IF($E614="","Основний",$E614),{"Трафіковий","Основний","Маржинальний","Сезонний","Стратегічний"},0),Settings!$D$78,Settings!$D$80,Settings!$D$82,Settings!$D$84,Settings!$D$86))/6,2)*6,"")</f>
        <v/>
      </c>
      <c r="O614" s="142">
        <f>IFERROR(CHOOSE(MATCH(IF($E614="","Основний",$E614),{"Трафіковий","Основний","Маржинальний","Сезонний","Стратегічний"},0),Settings!$D$78,Settings!$D$80,Settings!$D$82,Settings!$D$84,Settings!$D$86),"")</f>
        <v/>
      </c>
      <c r="P614" s="143">
        <f>IFERROR((N614*(1-Settings!$D$17)-C614)/(N614*(1-Settings!$D$17)),"")</f>
        <v/>
      </c>
      <c r="Q614" s="149">
        <f>IFERROR(IF(N614="","",IF(N614&gt;=C614/(1-SKU_Base!AB614)/(1-Settings!$D$17),"OK",IF(N614&gt;=C614/(1-SKU_Base!AI614)/(1-Settings!$D$17),"WARN","STOP"))),"")</f>
        <v/>
      </c>
      <c r="R614" s="159">
        <f>IFERROR(ROUND(D614*(1-CHOOSE(MATCH(IF($E614="","Основний",$E614),{"Трафіковий","Основний","Маржинальний","Сезонний","Стратегічний"},0),Settings!$E$78,Settings!$E$80,Settings!$E$82,Settings!$E$84,Settings!$E$86))/6,2)*6,"")</f>
        <v/>
      </c>
      <c r="S614" s="142">
        <f>IFERROR(CHOOSE(MATCH(IF($E614="","Основний",$E614),{"Трафіковий","Основний","Маржинальний","Сезонний","Стратегічний"},0),Settings!$E$78,Settings!$E$80,Settings!$E$82,Settings!$E$84,Settings!$E$86),"")</f>
        <v/>
      </c>
      <c r="T614" s="143">
        <f>IFERROR((R614*(1-Settings!$E$17)-C614)/(R614*(1-Settings!$E$17)),"")</f>
        <v/>
      </c>
      <c r="U614" s="149">
        <f>IFERROR(IF(R614="","",IF(R614&gt;=C614/(1-SKU_Base!AC614)/(1-Settings!$E$17),"OK",IF(R614&gt;=C614/(1-SKU_Base!AJ614)/(1-Settings!$E$17),"WARN","STOP"))),"")</f>
        <v/>
      </c>
      <c r="V614" s="159">
        <f>IFERROR(ROUND(D614*(1-CHOOSE(MATCH(IF($E614="","Основний",$E614),{"Трафіковий","Основний","Маржинальний","Сезонний","Стратегічний"},0),Settings!$F$78,Settings!$F$80,Settings!$F$82,Settings!$F$84,Settings!$F$86))/6,2)*6,"")</f>
        <v/>
      </c>
      <c r="W614" s="142">
        <f>IFERROR(CHOOSE(MATCH(IF($E614="","Основний",$E614),{"Трафіковий","Основний","Маржинальний","Сезонний","Стратегічний"},0),Settings!$F$78,Settings!$F$80,Settings!$F$82,Settings!$F$84,Settings!$F$86),"")</f>
        <v/>
      </c>
      <c r="X614" s="143">
        <f>IFERROR((V614*(1-Settings!$F$17)-C614)/(V614*(1-Settings!$F$17)),"")</f>
        <v/>
      </c>
      <c r="Y614" s="149">
        <f>IFERROR(IF(V614="","",IF(V614&gt;=C614/(1-SKU_Base!AD614)/(1-Settings!$F$17),"OK",IF(V614&gt;=C614/(1-SKU_Base!AK614)/(1-Settings!$F$17),"WARN","STOP"))),"")</f>
        <v/>
      </c>
      <c r="Z614" s="159">
        <f>IFERROR(ROUND(D614*(1-CHOOSE(MATCH(IF($E614="","Основний",$E614),{"Трафіковий","Основний","Маржинальний","Сезонний","Стратегічний"},0),Settings!$G$78,Settings!$G$80,Settings!$G$82,Settings!$G$84,Settings!$G$86))/6,2)*6,"")</f>
        <v/>
      </c>
      <c r="AA614" s="142">
        <f>IFERROR(CHOOSE(MATCH(IF($E614="","Основний",$E614),{"Трафіковий","Основний","Маржинальний","Сезонний","Стратегічний"},0),Settings!$G$78,Settings!$G$80,Settings!$G$82,Settings!$G$84,Settings!$G$86),"")</f>
        <v/>
      </c>
      <c r="AB614" s="143">
        <f>IFERROR((Z614*(1-Settings!$G$17)-C614)/(Z614*(1-Settings!$G$17)),"")</f>
        <v/>
      </c>
      <c r="AC614" s="149">
        <f>IFERROR(IF(Z614="","",IF(Z614&gt;=C614/(1-SKU_Base!AE614)/(1-Settings!$G$17),"OK",IF(Z614&gt;=C614/(1-SKU_Base!AL614)/(1-Settings!$G$17),"WARN","STOP"))),"")</f>
        <v/>
      </c>
      <c r="AD614" s="159">
        <f>IFERROR(ROUND(D614*(1-CHOOSE(MATCH(IF($E614="","Основний",$E614),{"Трафіковий","Основний","Маржинальний","Сезонний","Стратегічний"},0),Settings!$H$78,Settings!$H$80,Settings!$H$82,Settings!$H$84,Settings!$H$86))*(1-Settings!$H$68)/6,2)*6,"")</f>
        <v/>
      </c>
      <c r="AE614" s="142">
        <f>IFERROR(CHOOSE(MATCH(IF($E614="","Основний",$E614),{"Трафіковий","Основний","Маржинальний","Сезонний","Стратегічний"},0),Settings!$H$78,Settings!$H$80,Settings!$H$82,Settings!$H$84,Settings!$H$86)+(1-(CHOOSE(MATCH(IF($E614="","Основний",$E614),{"Трафіковий","Основний","Маржинальний","Сезонний","Стратегічний"},0),Settings!$H$78,Settings!$H$80,Settings!$H$82,Settings!$H$84,Settings!$H$86)))*Settings!$H$68,"")</f>
        <v/>
      </c>
      <c r="AF614" s="143">
        <f>IFERROR((AD614*(1-Settings!$H$17)-C614)/(AD614*(1-Settings!$H$17)),"")</f>
        <v/>
      </c>
      <c r="AG614" s="150">
        <f>IFERROR(IF(AD614="","",IF(AD614&gt;=C614/(1-SKU_Base!AF614)/(1-Settings!$H$17),"OK",IF(AD614&gt;=C614/(1-SKU_Base!AM614)/(1-Settings!$H$17),"WARN","STOP"))),"")</f>
        <v/>
      </c>
    </row>
    <row r="615" ht="17" customHeight="1" s="179">
      <c r="A615" s="146">
        <f>SKU_Base!B615</f>
        <v/>
      </c>
      <c r="B615" s="146">
        <f>SKU_Base!C615</f>
        <v/>
      </c>
      <c r="C615" s="147">
        <f>IFERROR(SKU_Base!I615,"")</f>
        <v/>
      </c>
      <c r="D615" s="164">
        <f>IFERROR(SKU_Base!T615,"")</f>
        <v/>
      </c>
      <c r="E615" s="141">
        <f>IFERROR(SKU_Base!$U615,"")</f>
        <v/>
      </c>
      <c r="F615" s="160">
        <f>IFERROR(ROUND(D615*(1-CHOOSE(MATCH(IF($E615="","Основний",$E615),{"Трафіковий","Основний","Маржинальний","Сезонний","Стратегічний"},0),Settings!$B$78,Settings!$B$80,Settings!$B$82,Settings!$B$84,Settings!$B$86))/6,2)*6,"")</f>
        <v/>
      </c>
      <c r="G615" s="142">
        <f>IFERROR(CHOOSE(MATCH(IF($E615="","Основний",$E615),{"Трафіковий","Основний","Маржинальний","Сезонний","Стратегічний"},0),Settings!$B$78,Settings!$B$80,Settings!$B$82,Settings!$B$84,Settings!$B$86),"")</f>
        <v/>
      </c>
      <c r="H615" s="148">
        <f>IFERROR((F615*(1-Settings!$B$17)-C615)/(F615*(1-Settings!$B$17)),"")</f>
        <v/>
      </c>
      <c r="I615" s="149">
        <f>IFERROR(IF(F615="","",IF(F615&gt;=C615/(1-SKU_Base!Z615)/(1-Settings!$B$17),"OK",IF(F615&gt;=C615/(1-SKU_Base!AG615)/(1-Settings!$B$17),"WARN","STOP"))),"")</f>
        <v/>
      </c>
      <c r="J615" s="160">
        <f>IFERROR(ROUND(D615*(1-CHOOSE(MATCH(IF($E615="","Основний",$E615),{"Трафіковий","Основний","Маржинальний","Сезонний","Стратегічний"},0),Settings!$C$78,Settings!$C$80,Settings!$C$82,Settings!$C$84,Settings!$C$86))/6,2)*6,"")</f>
        <v/>
      </c>
      <c r="K615" s="142">
        <f>IFERROR(CHOOSE(MATCH(IF($E615="","Основний",$E615),{"Трафіковий","Основний","Маржинальний","Сезонний","Стратегічний"},0),Settings!$C$78,Settings!$C$80,Settings!$C$82,Settings!$C$84,Settings!$C$86),"")</f>
        <v/>
      </c>
      <c r="L615" s="148">
        <f>IFERROR((J615*(1-Settings!$C$17)-C615)/(J615*(1-Settings!$C$17)),"")</f>
        <v/>
      </c>
      <c r="M615" s="149">
        <f>IFERROR(IF(J615="","",IF(J615&gt;=C615/(1-SKU_Base!AA615)/(1-Settings!$C$17),"OK",IF(J615&gt;=C615/(1-SKU_Base!AH615)/(1-Settings!$C$17),"WARN","STOP"))),"")</f>
        <v/>
      </c>
      <c r="N615" s="161">
        <f>IFERROR(ROUND(D615*(1-CHOOSE(MATCH(IF($E615="","Основний",$E615),{"Трафіковий","Основний","Маржинальний","Сезонний","Стратегічний"},0),Settings!$D$78,Settings!$D$80,Settings!$D$82,Settings!$D$84,Settings!$D$86))/6,2)*6,"")</f>
        <v/>
      </c>
      <c r="O615" s="142">
        <f>IFERROR(CHOOSE(MATCH(IF($E615="","Основний",$E615),{"Трафіковий","Основний","Маржинальний","Сезонний","Стратегічний"},0),Settings!$D$78,Settings!$D$80,Settings!$D$82,Settings!$D$84,Settings!$D$86),"")</f>
        <v/>
      </c>
      <c r="P615" s="148">
        <f>IFERROR((N615*(1-Settings!$D$17)-C615)/(N615*(1-Settings!$D$17)),"")</f>
        <v/>
      </c>
      <c r="Q615" s="149">
        <f>IFERROR(IF(N615="","",IF(N615&gt;=C615/(1-SKU_Base!AB615)/(1-Settings!$D$17),"OK",IF(N615&gt;=C615/(1-SKU_Base!AI615)/(1-Settings!$D$17),"WARN","STOP"))),"")</f>
        <v/>
      </c>
      <c r="R615" s="161">
        <f>IFERROR(ROUND(D615*(1-CHOOSE(MATCH(IF($E615="","Основний",$E615),{"Трафіковий","Основний","Маржинальний","Сезонний","Стратегічний"},0),Settings!$E$78,Settings!$E$80,Settings!$E$82,Settings!$E$84,Settings!$E$86))/6,2)*6,"")</f>
        <v/>
      </c>
      <c r="S615" s="142">
        <f>IFERROR(CHOOSE(MATCH(IF($E615="","Основний",$E615),{"Трафіковий","Основний","Маржинальний","Сезонний","Стратегічний"},0),Settings!$E$78,Settings!$E$80,Settings!$E$82,Settings!$E$84,Settings!$E$86),"")</f>
        <v/>
      </c>
      <c r="T615" s="148">
        <f>IFERROR((R615*(1-Settings!$E$17)-C615)/(R615*(1-Settings!$E$17)),"")</f>
        <v/>
      </c>
      <c r="U615" s="149">
        <f>IFERROR(IF(R615="","",IF(R615&gt;=C615/(1-SKU_Base!AC615)/(1-Settings!$E$17),"OK",IF(R615&gt;=C615/(1-SKU_Base!AJ615)/(1-Settings!$E$17),"WARN","STOP"))),"")</f>
        <v/>
      </c>
      <c r="V615" s="161">
        <f>IFERROR(ROUND(D615*(1-CHOOSE(MATCH(IF($E615="","Основний",$E615),{"Трафіковий","Основний","Маржинальний","Сезонний","Стратегічний"},0),Settings!$F$78,Settings!$F$80,Settings!$F$82,Settings!$F$84,Settings!$F$86))/6,2)*6,"")</f>
        <v/>
      </c>
      <c r="W615" s="142">
        <f>IFERROR(CHOOSE(MATCH(IF($E615="","Основний",$E615),{"Трафіковий","Основний","Маржинальний","Сезонний","Стратегічний"},0),Settings!$F$78,Settings!$F$80,Settings!$F$82,Settings!$F$84,Settings!$F$86),"")</f>
        <v/>
      </c>
      <c r="X615" s="148">
        <f>IFERROR((V615*(1-Settings!$F$17)-C615)/(V615*(1-Settings!$F$17)),"")</f>
        <v/>
      </c>
      <c r="Y615" s="149">
        <f>IFERROR(IF(V615="","",IF(V615&gt;=C615/(1-SKU_Base!AD615)/(1-Settings!$F$17),"OK",IF(V615&gt;=C615/(1-SKU_Base!AK615)/(1-Settings!$F$17),"WARN","STOP"))),"")</f>
        <v/>
      </c>
      <c r="Z615" s="161">
        <f>IFERROR(ROUND(D615*(1-CHOOSE(MATCH(IF($E615="","Основний",$E615),{"Трафіковий","Основний","Маржинальний","Сезонний","Стратегічний"},0),Settings!$G$78,Settings!$G$80,Settings!$G$82,Settings!$G$84,Settings!$G$86))/6,2)*6,"")</f>
        <v/>
      </c>
      <c r="AA615" s="142">
        <f>IFERROR(CHOOSE(MATCH(IF($E615="","Основний",$E615),{"Трафіковий","Основний","Маржинальний","Сезонний","Стратегічний"},0),Settings!$G$78,Settings!$G$80,Settings!$G$82,Settings!$G$84,Settings!$G$86),"")</f>
        <v/>
      </c>
      <c r="AB615" s="148">
        <f>IFERROR((Z615*(1-Settings!$G$17)-C615)/(Z615*(1-Settings!$G$17)),"")</f>
        <v/>
      </c>
      <c r="AC615" s="149">
        <f>IFERROR(IF(Z615="","",IF(Z615&gt;=C615/(1-SKU_Base!AE615)/(1-Settings!$G$17),"OK",IF(Z615&gt;=C615/(1-SKU_Base!AL615)/(1-Settings!$G$17),"WARN","STOP"))),"")</f>
        <v/>
      </c>
      <c r="AD615" s="161">
        <f>IFERROR(ROUND(D615*(1-CHOOSE(MATCH(IF($E615="","Основний",$E615),{"Трафіковий","Основний","Маржинальний","Сезонний","Стратегічний"},0),Settings!$H$78,Settings!$H$80,Settings!$H$82,Settings!$H$84,Settings!$H$86))*(1-Settings!$H$68)/6,2)*6,"")</f>
        <v/>
      </c>
      <c r="AE615" s="142">
        <f>IFERROR(CHOOSE(MATCH(IF($E615="","Основний",$E615),{"Трафіковий","Основний","Маржинальний","Сезонний","Стратегічний"},0),Settings!$H$78,Settings!$H$80,Settings!$H$82,Settings!$H$84,Settings!$H$86)+(1-(CHOOSE(MATCH(IF($E615="","Основний",$E615),{"Трафіковий","Основний","Маржинальний","Сезонний","Стратегічний"},0),Settings!$H$78,Settings!$H$80,Settings!$H$82,Settings!$H$84,Settings!$H$86)))*Settings!$H$68,"")</f>
        <v/>
      </c>
      <c r="AF615" s="148">
        <f>IFERROR((AD615*(1-Settings!$H$17)-C615)/(AD615*(1-Settings!$H$17)),"")</f>
        <v/>
      </c>
      <c r="AG615" s="150">
        <f>IFERROR(IF(AD615="","",IF(AD615&gt;=C615/(1-SKU_Base!AF615)/(1-Settings!$H$17),"OK",IF(AD615&gt;=C615/(1-SKU_Base!AM615)/(1-Settings!$H$17),"WARN","STOP"))),"")</f>
        <v/>
      </c>
    </row>
    <row r="616" ht="17" customHeight="1" s="179">
      <c r="A616" s="139">
        <f>SKU_Base!B616</f>
        <v/>
      </c>
      <c r="B616" s="139">
        <f>SKU_Base!C616</f>
        <v/>
      </c>
      <c r="C616" s="140">
        <f>IFERROR(SKU_Base!I616,"")</f>
        <v/>
      </c>
      <c r="D616" s="163">
        <f>IFERROR(SKU_Base!T616,"")</f>
        <v/>
      </c>
      <c r="E616" s="141">
        <f>IFERROR(SKU_Base!$U616,"")</f>
        <v/>
      </c>
      <c r="F616" s="158">
        <f>IFERROR(ROUND(D616*(1-CHOOSE(MATCH(IF($E616="","Основний",$E616),{"Трафіковий","Основний","Маржинальний","Сезонний","Стратегічний"},0),Settings!$B$78,Settings!$B$80,Settings!$B$82,Settings!$B$84,Settings!$B$86))/6,2)*6,"")</f>
        <v/>
      </c>
      <c r="G616" s="142">
        <f>IFERROR(CHOOSE(MATCH(IF($E616="","Основний",$E616),{"Трафіковий","Основний","Маржинальний","Сезонний","Стратегічний"},0),Settings!$B$78,Settings!$B$80,Settings!$B$82,Settings!$B$84,Settings!$B$86),"")</f>
        <v/>
      </c>
      <c r="H616" s="143">
        <f>IFERROR((F616*(1-Settings!$B$17)-C616)/(F616*(1-Settings!$B$17)),"")</f>
        <v/>
      </c>
      <c r="I616" s="149">
        <f>IFERROR(IF(F616="","",IF(F616&gt;=C616/(1-SKU_Base!Z616)/(1-Settings!$B$17),"OK",IF(F616&gt;=C616/(1-SKU_Base!AG616)/(1-Settings!$B$17),"WARN","STOP"))),"")</f>
        <v/>
      </c>
      <c r="J616" s="158">
        <f>IFERROR(ROUND(D616*(1-CHOOSE(MATCH(IF($E616="","Основний",$E616),{"Трафіковий","Основний","Маржинальний","Сезонний","Стратегічний"},0),Settings!$C$78,Settings!$C$80,Settings!$C$82,Settings!$C$84,Settings!$C$86))/6,2)*6,"")</f>
        <v/>
      </c>
      <c r="K616" s="142">
        <f>IFERROR(CHOOSE(MATCH(IF($E616="","Основний",$E616),{"Трафіковий","Основний","Маржинальний","Сезонний","Стратегічний"},0),Settings!$C$78,Settings!$C$80,Settings!$C$82,Settings!$C$84,Settings!$C$86),"")</f>
        <v/>
      </c>
      <c r="L616" s="143">
        <f>IFERROR((J616*(1-Settings!$C$17)-C616)/(J616*(1-Settings!$C$17)),"")</f>
        <v/>
      </c>
      <c r="M616" s="149">
        <f>IFERROR(IF(J616="","",IF(J616&gt;=C616/(1-SKU_Base!AA616)/(1-Settings!$C$17),"OK",IF(J616&gt;=C616/(1-SKU_Base!AH616)/(1-Settings!$C$17),"WARN","STOP"))),"")</f>
        <v/>
      </c>
      <c r="N616" s="159">
        <f>IFERROR(ROUND(D616*(1-CHOOSE(MATCH(IF($E616="","Основний",$E616),{"Трафіковий","Основний","Маржинальний","Сезонний","Стратегічний"},0),Settings!$D$78,Settings!$D$80,Settings!$D$82,Settings!$D$84,Settings!$D$86))/6,2)*6,"")</f>
        <v/>
      </c>
      <c r="O616" s="142">
        <f>IFERROR(CHOOSE(MATCH(IF($E616="","Основний",$E616),{"Трафіковий","Основний","Маржинальний","Сезонний","Стратегічний"},0),Settings!$D$78,Settings!$D$80,Settings!$D$82,Settings!$D$84,Settings!$D$86),"")</f>
        <v/>
      </c>
      <c r="P616" s="143">
        <f>IFERROR((N616*(1-Settings!$D$17)-C616)/(N616*(1-Settings!$D$17)),"")</f>
        <v/>
      </c>
      <c r="Q616" s="149">
        <f>IFERROR(IF(N616="","",IF(N616&gt;=C616/(1-SKU_Base!AB616)/(1-Settings!$D$17),"OK",IF(N616&gt;=C616/(1-SKU_Base!AI616)/(1-Settings!$D$17),"WARN","STOP"))),"")</f>
        <v/>
      </c>
      <c r="R616" s="159">
        <f>IFERROR(ROUND(D616*(1-CHOOSE(MATCH(IF($E616="","Основний",$E616),{"Трафіковий","Основний","Маржинальний","Сезонний","Стратегічний"},0),Settings!$E$78,Settings!$E$80,Settings!$E$82,Settings!$E$84,Settings!$E$86))/6,2)*6,"")</f>
        <v/>
      </c>
      <c r="S616" s="142">
        <f>IFERROR(CHOOSE(MATCH(IF($E616="","Основний",$E616),{"Трафіковий","Основний","Маржинальний","Сезонний","Стратегічний"},0),Settings!$E$78,Settings!$E$80,Settings!$E$82,Settings!$E$84,Settings!$E$86),"")</f>
        <v/>
      </c>
      <c r="T616" s="143">
        <f>IFERROR((R616*(1-Settings!$E$17)-C616)/(R616*(1-Settings!$E$17)),"")</f>
        <v/>
      </c>
      <c r="U616" s="149">
        <f>IFERROR(IF(R616="","",IF(R616&gt;=C616/(1-SKU_Base!AC616)/(1-Settings!$E$17),"OK",IF(R616&gt;=C616/(1-SKU_Base!AJ616)/(1-Settings!$E$17),"WARN","STOP"))),"")</f>
        <v/>
      </c>
      <c r="V616" s="159">
        <f>IFERROR(ROUND(D616*(1-CHOOSE(MATCH(IF($E616="","Основний",$E616),{"Трафіковий","Основний","Маржинальний","Сезонний","Стратегічний"},0),Settings!$F$78,Settings!$F$80,Settings!$F$82,Settings!$F$84,Settings!$F$86))/6,2)*6,"")</f>
        <v/>
      </c>
      <c r="W616" s="142">
        <f>IFERROR(CHOOSE(MATCH(IF($E616="","Основний",$E616),{"Трафіковий","Основний","Маржинальний","Сезонний","Стратегічний"},0),Settings!$F$78,Settings!$F$80,Settings!$F$82,Settings!$F$84,Settings!$F$86),"")</f>
        <v/>
      </c>
      <c r="X616" s="143">
        <f>IFERROR((V616*(1-Settings!$F$17)-C616)/(V616*(1-Settings!$F$17)),"")</f>
        <v/>
      </c>
      <c r="Y616" s="149">
        <f>IFERROR(IF(V616="","",IF(V616&gt;=C616/(1-SKU_Base!AD616)/(1-Settings!$F$17),"OK",IF(V616&gt;=C616/(1-SKU_Base!AK616)/(1-Settings!$F$17),"WARN","STOP"))),"")</f>
        <v/>
      </c>
      <c r="Z616" s="159">
        <f>IFERROR(ROUND(D616*(1-CHOOSE(MATCH(IF($E616="","Основний",$E616),{"Трафіковий","Основний","Маржинальний","Сезонний","Стратегічний"},0),Settings!$G$78,Settings!$G$80,Settings!$G$82,Settings!$G$84,Settings!$G$86))/6,2)*6,"")</f>
        <v/>
      </c>
      <c r="AA616" s="142">
        <f>IFERROR(CHOOSE(MATCH(IF($E616="","Основний",$E616),{"Трафіковий","Основний","Маржинальний","Сезонний","Стратегічний"},0),Settings!$G$78,Settings!$G$80,Settings!$G$82,Settings!$G$84,Settings!$G$86),"")</f>
        <v/>
      </c>
      <c r="AB616" s="143">
        <f>IFERROR((Z616*(1-Settings!$G$17)-C616)/(Z616*(1-Settings!$G$17)),"")</f>
        <v/>
      </c>
      <c r="AC616" s="149">
        <f>IFERROR(IF(Z616="","",IF(Z616&gt;=C616/(1-SKU_Base!AE616)/(1-Settings!$G$17),"OK",IF(Z616&gt;=C616/(1-SKU_Base!AL616)/(1-Settings!$G$17),"WARN","STOP"))),"")</f>
        <v/>
      </c>
      <c r="AD616" s="159">
        <f>IFERROR(ROUND(D616*(1-CHOOSE(MATCH(IF($E616="","Основний",$E616),{"Трафіковий","Основний","Маржинальний","Сезонний","Стратегічний"},0),Settings!$H$78,Settings!$H$80,Settings!$H$82,Settings!$H$84,Settings!$H$86))*(1-Settings!$H$68)/6,2)*6,"")</f>
        <v/>
      </c>
      <c r="AE616" s="142">
        <f>IFERROR(CHOOSE(MATCH(IF($E616="","Основний",$E616),{"Трафіковий","Основний","Маржинальний","Сезонний","Стратегічний"},0),Settings!$H$78,Settings!$H$80,Settings!$H$82,Settings!$H$84,Settings!$H$86)+(1-(CHOOSE(MATCH(IF($E616="","Основний",$E616),{"Трафіковий","Основний","Маржинальний","Сезонний","Стратегічний"},0),Settings!$H$78,Settings!$H$80,Settings!$H$82,Settings!$H$84,Settings!$H$86)))*Settings!$H$68,"")</f>
        <v/>
      </c>
      <c r="AF616" s="143">
        <f>IFERROR((AD616*(1-Settings!$H$17)-C616)/(AD616*(1-Settings!$H$17)),"")</f>
        <v/>
      </c>
      <c r="AG616" s="150">
        <f>IFERROR(IF(AD616="","",IF(AD616&gt;=C616/(1-SKU_Base!AF616)/(1-Settings!$H$17),"OK",IF(AD616&gt;=C616/(1-SKU_Base!AM616)/(1-Settings!$H$17),"WARN","STOP"))),"")</f>
        <v/>
      </c>
    </row>
    <row r="617" ht="17" customHeight="1" s="179">
      <c r="A617" s="146">
        <f>SKU_Base!B617</f>
        <v/>
      </c>
      <c r="B617" s="146">
        <f>SKU_Base!C617</f>
        <v/>
      </c>
      <c r="C617" s="147">
        <f>IFERROR(SKU_Base!I617,"")</f>
        <v/>
      </c>
      <c r="D617" s="164">
        <f>IFERROR(SKU_Base!T617,"")</f>
        <v/>
      </c>
      <c r="E617" s="141">
        <f>IFERROR(SKU_Base!$U617,"")</f>
        <v/>
      </c>
      <c r="F617" s="160">
        <f>IFERROR(ROUND(D617*(1-CHOOSE(MATCH(IF($E617="","Основний",$E617),{"Трафіковий","Основний","Маржинальний","Сезонний","Стратегічний"},0),Settings!$B$78,Settings!$B$80,Settings!$B$82,Settings!$B$84,Settings!$B$86))/6,2)*6,"")</f>
        <v/>
      </c>
      <c r="G617" s="142">
        <f>IFERROR(CHOOSE(MATCH(IF($E617="","Основний",$E617),{"Трафіковий","Основний","Маржинальний","Сезонний","Стратегічний"},0),Settings!$B$78,Settings!$B$80,Settings!$B$82,Settings!$B$84,Settings!$B$86),"")</f>
        <v/>
      </c>
      <c r="H617" s="148">
        <f>IFERROR((F617*(1-Settings!$B$17)-C617)/(F617*(1-Settings!$B$17)),"")</f>
        <v/>
      </c>
      <c r="I617" s="149">
        <f>IFERROR(IF(F617="","",IF(F617&gt;=C617/(1-SKU_Base!Z617)/(1-Settings!$B$17),"OK",IF(F617&gt;=C617/(1-SKU_Base!AG617)/(1-Settings!$B$17),"WARN","STOP"))),"")</f>
        <v/>
      </c>
      <c r="J617" s="160">
        <f>IFERROR(ROUND(D617*(1-CHOOSE(MATCH(IF($E617="","Основний",$E617),{"Трафіковий","Основний","Маржинальний","Сезонний","Стратегічний"},0),Settings!$C$78,Settings!$C$80,Settings!$C$82,Settings!$C$84,Settings!$C$86))/6,2)*6,"")</f>
        <v/>
      </c>
      <c r="K617" s="142">
        <f>IFERROR(CHOOSE(MATCH(IF($E617="","Основний",$E617),{"Трафіковий","Основний","Маржинальний","Сезонний","Стратегічний"},0),Settings!$C$78,Settings!$C$80,Settings!$C$82,Settings!$C$84,Settings!$C$86),"")</f>
        <v/>
      </c>
      <c r="L617" s="148">
        <f>IFERROR((J617*(1-Settings!$C$17)-C617)/(J617*(1-Settings!$C$17)),"")</f>
        <v/>
      </c>
      <c r="M617" s="149">
        <f>IFERROR(IF(J617="","",IF(J617&gt;=C617/(1-SKU_Base!AA617)/(1-Settings!$C$17),"OK",IF(J617&gt;=C617/(1-SKU_Base!AH617)/(1-Settings!$C$17),"WARN","STOP"))),"")</f>
        <v/>
      </c>
      <c r="N617" s="161">
        <f>IFERROR(ROUND(D617*(1-CHOOSE(MATCH(IF($E617="","Основний",$E617),{"Трафіковий","Основний","Маржинальний","Сезонний","Стратегічний"},0),Settings!$D$78,Settings!$D$80,Settings!$D$82,Settings!$D$84,Settings!$D$86))/6,2)*6,"")</f>
        <v/>
      </c>
      <c r="O617" s="142">
        <f>IFERROR(CHOOSE(MATCH(IF($E617="","Основний",$E617),{"Трафіковий","Основний","Маржинальний","Сезонний","Стратегічний"},0),Settings!$D$78,Settings!$D$80,Settings!$D$82,Settings!$D$84,Settings!$D$86),"")</f>
        <v/>
      </c>
      <c r="P617" s="148">
        <f>IFERROR((N617*(1-Settings!$D$17)-C617)/(N617*(1-Settings!$D$17)),"")</f>
        <v/>
      </c>
      <c r="Q617" s="149">
        <f>IFERROR(IF(N617="","",IF(N617&gt;=C617/(1-SKU_Base!AB617)/(1-Settings!$D$17),"OK",IF(N617&gt;=C617/(1-SKU_Base!AI617)/(1-Settings!$D$17),"WARN","STOP"))),"")</f>
        <v/>
      </c>
      <c r="R617" s="161">
        <f>IFERROR(ROUND(D617*(1-CHOOSE(MATCH(IF($E617="","Основний",$E617),{"Трафіковий","Основний","Маржинальний","Сезонний","Стратегічний"},0),Settings!$E$78,Settings!$E$80,Settings!$E$82,Settings!$E$84,Settings!$E$86))/6,2)*6,"")</f>
        <v/>
      </c>
      <c r="S617" s="142">
        <f>IFERROR(CHOOSE(MATCH(IF($E617="","Основний",$E617),{"Трафіковий","Основний","Маржинальний","Сезонний","Стратегічний"},0),Settings!$E$78,Settings!$E$80,Settings!$E$82,Settings!$E$84,Settings!$E$86),"")</f>
        <v/>
      </c>
      <c r="T617" s="148">
        <f>IFERROR((R617*(1-Settings!$E$17)-C617)/(R617*(1-Settings!$E$17)),"")</f>
        <v/>
      </c>
      <c r="U617" s="149">
        <f>IFERROR(IF(R617="","",IF(R617&gt;=C617/(1-SKU_Base!AC617)/(1-Settings!$E$17),"OK",IF(R617&gt;=C617/(1-SKU_Base!AJ617)/(1-Settings!$E$17),"WARN","STOP"))),"")</f>
        <v/>
      </c>
      <c r="V617" s="161">
        <f>IFERROR(ROUND(D617*(1-CHOOSE(MATCH(IF($E617="","Основний",$E617),{"Трафіковий","Основний","Маржинальний","Сезонний","Стратегічний"},0),Settings!$F$78,Settings!$F$80,Settings!$F$82,Settings!$F$84,Settings!$F$86))/6,2)*6,"")</f>
        <v/>
      </c>
      <c r="W617" s="142">
        <f>IFERROR(CHOOSE(MATCH(IF($E617="","Основний",$E617),{"Трафіковий","Основний","Маржинальний","Сезонний","Стратегічний"},0),Settings!$F$78,Settings!$F$80,Settings!$F$82,Settings!$F$84,Settings!$F$86),"")</f>
        <v/>
      </c>
      <c r="X617" s="148">
        <f>IFERROR((V617*(1-Settings!$F$17)-C617)/(V617*(1-Settings!$F$17)),"")</f>
        <v/>
      </c>
      <c r="Y617" s="149">
        <f>IFERROR(IF(V617="","",IF(V617&gt;=C617/(1-SKU_Base!AD617)/(1-Settings!$F$17),"OK",IF(V617&gt;=C617/(1-SKU_Base!AK617)/(1-Settings!$F$17),"WARN","STOP"))),"")</f>
        <v/>
      </c>
      <c r="Z617" s="161">
        <f>IFERROR(ROUND(D617*(1-CHOOSE(MATCH(IF($E617="","Основний",$E617),{"Трафіковий","Основний","Маржинальний","Сезонний","Стратегічний"},0),Settings!$G$78,Settings!$G$80,Settings!$G$82,Settings!$G$84,Settings!$G$86))/6,2)*6,"")</f>
        <v/>
      </c>
      <c r="AA617" s="142">
        <f>IFERROR(CHOOSE(MATCH(IF($E617="","Основний",$E617),{"Трафіковий","Основний","Маржинальний","Сезонний","Стратегічний"},0),Settings!$G$78,Settings!$G$80,Settings!$G$82,Settings!$G$84,Settings!$G$86),"")</f>
        <v/>
      </c>
      <c r="AB617" s="148">
        <f>IFERROR((Z617*(1-Settings!$G$17)-C617)/(Z617*(1-Settings!$G$17)),"")</f>
        <v/>
      </c>
      <c r="AC617" s="149">
        <f>IFERROR(IF(Z617="","",IF(Z617&gt;=C617/(1-SKU_Base!AE617)/(1-Settings!$G$17),"OK",IF(Z617&gt;=C617/(1-SKU_Base!AL617)/(1-Settings!$G$17),"WARN","STOP"))),"")</f>
        <v/>
      </c>
      <c r="AD617" s="161">
        <f>IFERROR(ROUND(D617*(1-CHOOSE(MATCH(IF($E617="","Основний",$E617),{"Трафіковий","Основний","Маржинальний","Сезонний","Стратегічний"},0),Settings!$H$78,Settings!$H$80,Settings!$H$82,Settings!$H$84,Settings!$H$86))*(1-Settings!$H$68)/6,2)*6,"")</f>
        <v/>
      </c>
      <c r="AE617" s="142">
        <f>IFERROR(CHOOSE(MATCH(IF($E617="","Основний",$E617),{"Трафіковий","Основний","Маржинальний","Сезонний","Стратегічний"},0),Settings!$H$78,Settings!$H$80,Settings!$H$82,Settings!$H$84,Settings!$H$86)+(1-(CHOOSE(MATCH(IF($E617="","Основний",$E617),{"Трафіковий","Основний","Маржинальний","Сезонний","Стратегічний"},0),Settings!$H$78,Settings!$H$80,Settings!$H$82,Settings!$H$84,Settings!$H$86)))*Settings!$H$68,"")</f>
        <v/>
      </c>
      <c r="AF617" s="148">
        <f>IFERROR((AD617*(1-Settings!$H$17)-C617)/(AD617*(1-Settings!$H$17)),"")</f>
        <v/>
      </c>
      <c r="AG617" s="150">
        <f>IFERROR(IF(AD617="","",IF(AD617&gt;=C617/(1-SKU_Base!AF617)/(1-Settings!$H$17),"OK",IF(AD617&gt;=C617/(1-SKU_Base!AM617)/(1-Settings!$H$17),"WARN","STOP"))),"")</f>
        <v/>
      </c>
    </row>
    <row r="618" ht="17" customHeight="1" s="179">
      <c r="A618" s="139">
        <f>SKU_Base!B618</f>
        <v/>
      </c>
      <c r="B618" s="139">
        <f>SKU_Base!C618</f>
        <v/>
      </c>
      <c r="C618" s="140">
        <f>IFERROR(SKU_Base!I618,"")</f>
        <v/>
      </c>
      <c r="D618" s="163">
        <f>IFERROR(SKU_Base!T618,"")</f>
        <v/>
      </c>
      <c r="E618" s="141">
        <f>IFERROR(SKU_Base!$U618,"")</f>
        <v/>
      </c>
      <c r="F618" s="158">
        <f>IFERROR(ROUND(D618*(1-CHOOSE(MATCH(IF($E618="","Основний",$E618),{"Трафіковий","Основний","Маржинальний","Сезонний","Стратегічний"},0),Settings!$B$78,Settings!$B$80,Settings!$B$82,Settings!$B$84,Settings!$B$86))/6,2)*6,"")</f>
        <v/>
      </c>
      <c r="G618" s="142">
        <f>IFERROR(CHOOSE(MATCH(IF($E618="","Основний",$E618),{"Трафіковий","Основний","Маржинальний","Сезонний","Стратегічний"},0),Settings!$B$78,Settings!$B$80,Settings!$B$82,Settings!$B$84,Settings!$B$86),"")</f>
        <v/>
      </c>
      <c r="H618" s="143">
        <f>IFERROR((F618*(1-Settings!$B$17)-C618)/(F618*(1-Settings!$B$17)),"")</f>
        <v/>
      </c>
      <c r="I618" s="149">
        <f>IFERROR(IF(F618="","",IF(F618&gt;=C618/(1-SKU_Base!Z618)/(1-Settings!$B$17),"OK",IF(F618&gt;=C618/(1-SKU_Base!AG618)/(1-Settings!$B$17),"WARN","STOP"))),"")</f>
        <v/>
      </c>
      <c r="J618" s="158">
        <f>IFERROR(ROUND(D618*(1-CHOOSE(MATCH(IF($E618="","Основний",$E618),{"Трафіковий","Основний","Маржинальний","Сезонний","Стратегічний"},0),Settings!$C$78,Settings!$C$80,Settings!$C$82,Settings!$C$84,Settings!$C$86))/6,2)*6,"")</f>
        <v/>
      </c>
      <c r="K618" s="142">
        <f>IFERROR(CHOOSE(MATCH(IF($E618="","Основний",$E618),{"Трафіковий","Основний","Маржинальний","Сезонний","Стратегічний"},0),Settings!$C$78,Settings!$C$80,Settings!$C$82,Settings!$C$84,Settings!$C$86),"")</f>
        <v/>
      </c>
      <c r="L618" s="143">
        <f>IFERROR((J618*(1-Settings!$C$17)-C618)/(J618*(1-Settings!$C$17)),"")</f>
        <v/>
      </c>
      <c r="M618" s="149">
        <f>IFERROR(IF(J618="","",IF(J618&gt;=C618/(1-SKU_Base!AA618)/(1-Settings!$C$17),"OK",IF(J618&gt;=C618/(1-SKU_Base!AH618)/(1-Settings!$C$17),"WARN","STOP"))),"")</f>
        <v/>
      </c>
      <c r="N618" s="159">
        <f>IFERROR(ROUND(D618*(1-CHOOSE(MATCH(IF($E618="","Основний",$E618),{"Трафіковий","Основний","Маржинальний","Сезонний","Стратегічний"},0),Settings!$D$78,Settings!$D$80,Settings!$D$82,Settings!$D$84,Settings!$D$86))/6,2)*6,"")</f>
        <v/>
      </c>
      <c r="O618" s="142">
        <f>IFERROR(CHOOSE(MATCH(IF($E618="","Основний",$E618),{"Трафіковий","Основний","Маржинальний","Сезонний","Стратегічний"},0),Settings!$D$78,Settings!$D$80,Settings!$D$82,Settings!$D$84,Settings!$D$86),"")</f>
        <v/>
      </c>
      <c r="P618" s="143">
        <f>IFERROR((N618*(1-Settings!$D$17)-C618)/(N618*(1-Settings!$D$17)),"")</f>
        <v/>
      </c>
      <c r="Q618" s="149">
        <f>IFERROR(IF(N618="","",IF(N618&gt;=C618/(1-SKU_Base!AB618)/(1-Settings!$D$17),"OK",IF(N618&gt;=C618/(1-SKU_Base!AI618)/(1-Settings!$D$17),"WARN","STOP"))),"")</f>
        <v/>
      </c>
      <c r="R618" s="159">
        <f>IFERROR(ROUND(D618*(1-CHOOSE(MATCH(IF($E618="","Основний",$E618),{"Трафіковий","Основний","Маржинальний","Сезонний","Стратегічний"},0),Settings!$E$78,Settings!$E$80,Settings!$E$82,Settings!$E$84,Settings!$E$86))/6,2)*6,"")</f>
        <v/>
      </c>
      <c r="S618" s="142">
        <f>IFERROR(CHOOSE(MATCH(IF($E618="","Основний",$E618),{"Трафіковий","Основний","Маржинальний","Сезонний","Стратегічний"},0),Settings!$E$78,Settings!$E$80,Settings!$E$82,Settings!$E$84,Settings!$E$86),"")</f>
        <v/>
      </c>
      <c r="T618" s="143">
        <f>IFERROR((R618*(1-Settings!$E$17)-C618)/(R618*(1-Settings!$E$17)),"")</f>
        <v/>
      </c>
      <c r="U618" s="149">
        <f>IFERROR(IF(R618="","",IF(R618&gt;=C618/(1-SKU_Base!AC618)/(1-Settings!$E$17),"OK",IF(R618&gt;=C618/(1-SKU_Base!AJ618)/(1-Settings!$E$17),"WARN","STOP"))),"")</f>
        <v/>
      </c>
      <c r="V618" s="159">
        <f>IFERROR(ROUND(D618*(1-CHOOSE(MATCH(IF($E618="","Основний",$E618),{"Трафіковий","Основний","Маржинальний","Сезонний","Стратегічний"},0),Settings!$F$78,Settings!$F$80,Settings!$F$82,Settings!$F$84,Settings!$F$86))/6,2)*6,"")</f>
        <v/>
      </c>
      <c r="W618" s="142">
        <f>IFERROR(CHOOSE(MATCH(IF($E618="","Основний",$E618),{"Трафіковий","Основний","Маржинальний","Сезонний","Стратегічний"},0),Settings!$F$78,Settings!$F$80,Settings!$F$82,Settings!$F$84,Settings!$F$86),"")</f>
        <v/>
      </c>
      <c r="X618" s="143">
        <f>IFERROR((V618*(1-Settings!$F$17)-C618)/(V618*(1-Settings!$F$17)),"")</f>
        <v/>
      </c>
      <c r="Y618" s="149">
        <f>IFERROR(IF(V618="","",IF(V618&gt;=C618/(1-SKU_Base!AD618)/(1-Settings!$F$17),"OK",IF(V618&gt;=C618/(1-SKU_Base!AK618)/(1-Settings!$F$17),"WARN","STOP"))),"")</f>
        <v/>
      </c>
      <c r="Z618" s="159">
        <f>IFERROR(ROUND(D618*(1-CHOOSE(MATCH(IF($E618="","Основний",$E618),{"Трафіковий","Основний","Маржинальний","Сезонний","Стратегічний"},0),Settings!$G$78,Settings!$G$80,Settings!$G$82,Settings!$G$84,Settings!$G$86))/6,2)*6,"")</f>
        <v/>
      </c>
      <c r="AA618" s="142">
        <f>IFERROR(CHOOSE(MATCH(IF($E618="","Основний",$E618),{"Трафіковий","Основний","Маржинальний","Сезонний","Стратегічний"},0),Settings!$G$78,Settings!$G$80,Settings!$G$82,Settings!$G$84,Settings!$G$86),"")</f>
        <v/>
      </c>
      <c r="AB618" s="143">
        <f>IFERROR((Z618*(1-Settings!$G$17)-C618)/(Z618*(1-Settings!$G$17)),"")</f>
        <v/>
      </c>
      <c r="AC618" s="149">
        <f>IFERROR(IF(Z618="","",IF(Z618&gt;=C618/(1-SKU_Base!AE618)/(1-Settings!$G$17),"OK",IF(Z618&gt;=C618/(1-SKU_Base!AL618)/(1-Settings!$G$17),"WARN","STOP"))),"")</f>
        <v/>
      </c>
      <c r="AD618" s="159">
        <f>IFERROR(ROUND(D618*(1-CHOOSE(MATCH(IF($E618="","Основний",$E618),{"Трафіковий","Основний","Маржинальний","Сезонний","Стратегічний"},0),Settings!$H$78,Settings!$H$80,Settings!$H$82,Settings!$H$84,Settings!$H$86))*(1-Settings!$H$68)/6,2)*6,"")</f>
        <v/>
      </c>
      <c r="AE618" s="142">
        <f>IFERROR(CHOOSE(MATCH(IF($E618="","Основний",$E618),{"Трафіковий","Основний","Маржинальний","Сезонний","Стратегічний"},0),Settings!$H$78,Settings!$H$80,Settings!$H$82,Settings!$H$84,Settings!$H$86)+(1-(CHOOSE(MATCH(IF($E618="","Основний",$E618),{"Трафіковий","Основний","Маржинальний","Сезонний","Стратегічний"},0),Settings!$H$78,Settings!$H$80,Settings!$H$82,Settings!$H$84,Settings!$H$86)))*Settings!$H$68,"")</f>
        <v/>
      </c>
      <c r="AF618" s="143">
        <f>IFERROR((AD618*(1-Settings!$H$17)-C618)/(AD618*(1-Settings!$H$17)),"")</f>
        <v/>
      </c>
      <c r="AG618" s="150">
        <f>IFERROR(IF(AD618="","",IF(AD618&gt;=C618/(1-SKU_Base!AF618)/(1-Settings!$H$17),"OK",IF(AD618&gt;=C618/(1-SKU_Base!AM618)/(1-Settings!$H$17),"WARN","STOP"))),"")</f>
        <v/>
      </c>
    </row>
    <row r="619" ht="17" customHeight="1" s="179">
      <c r="A619" s="146">
        <f>SKU_Base!B619</f>
        <v/>
      </c>
      <c r="B619" s="146">
        <f>SKU_Base!C619</f>
        <v/>
      </c>
      <c r="C619" s="147">
        <f>IFERROR(SKU_Base!I619,"")</f>
        <v/>
      </c>
      <c r="D619" s="164">
        <f>IFERROR(SKU_Base!T619,"")</f>
        <v/>
      </c>
      <c r="E619" s="141">
        <f>IFERROR(SKU_Base!$U619,"")</f>
        <v/>
      </c>
      <c r="F619" s="160">
        <f>IFERROR(ROUND(D619*(1-CHOOSE(MATCH(IF($E619="","Основний",$E619),{"Трафіковий","Основний","Маржинальний","Сезонний","Стратегічний"},0),Settings!$B$78,Settings!$B$80,Settings!$B$82,Settings!$B$84,Settings!$B$86))/6,2)*6,"")</f>
        <v/>
      </c>
      <c r="G619" s="142">
        <f>IFERROR(CHOOSE(MATCH(IF($E619="","Основний",$E619),{"Трафіковий","Основний","Маржинальний","Сезонний","Стратегічний"},0),Settings!$B$78,Settings!$B$80,Settings!$B$82,Settings!$B$84,Settings!$B$86),"")</f>
        <v/>
      </c>
      <c r="H619" s="148">
        <f>IFERROR((F619*(1-Settings!$B$17)-C619)/(F619*(1-Settings!$B$17)),"")</f>
        <v/>
      </c>
      <c r="I619" s="149">
        <f>IFERROR(IF(F619="","",IF(F619&gt;=C619/(1-SKU_Base!Z619)/(1-Settings!$B$17),"OK",IF(F619&gt;=C619/(1-SKU_Base!AG619)/(1-Settings!$B$17),"WARN","STOP"))),"")</f>
        <v/>
      </c>
      <c r="J619" s="160">
        <f>IFERROR(ROUND(D619*(1-CHOOSE(MATCH(IF($E619="","Основний",$E619),{"Трафіковий","Основний","Маржинальний","Сезонний","Стратегічний"},0),Settings!$C$78,Settings!$C$80,Settings!$C$82,Settings!$C$84,Settings!$C$86))/6,2)*6,"")</f>
        <v/>
      </c>
      <c r="K619" s="142">
        <f>IFERROR(CHOOSE(MATCH(IF($E619="","Основний",$E619),{"Трафіковий","Основний","Маржинальний","Сезонний","Стратегічний"},0),Settings!$C$78,Settings!$C$80,Settings!$C$82,Settings!$C$84,Settings!$C$86),"")</f>
        <v/>
      </c>
      <c r="L619" s="148">
        <f>IFERROR((J619*(1-Settings!$C$17)-C619)/(J619*(1-Settings!$C$17)),"")</f>
        <v/>
      </c>
      <c r="M619" s="149">
        <f>IFERROR(IF(J619="","",IF(J619&gt;=C619/(1-SKU_Base!AA619)/(1-Settings!$C$17),"OK",IF(J619&gt;=C619/(1-SKU_Base!AH619)/(1-Settings!$C$17),"WARN","STOP"))),"")</f>
        <v/>
      </c>
      <c r="N619" s="161">
        <f>IFERROR(ROUND(D619*(1-CHOOSE(MATCH(IF($E619="","Основний",$E619),{"Трафіковий","Основний","Маржинальний","Сезонний","Стратегічний"},0),Settings!$D$78,Settings!$D$80,Settings!$D$82,Settings!$D$84,Settings!$D$86))/6,2)*6,"")</f>
        <v/>
      </c>
      <c r="O619" s="142">
        <f>IFERROR(CHOOSE(MATCH(IF($E619="","Основний",$E619),{"Трафіковий","Основний","Маржинальний","Сезонний","Стратегічний"},0),Settings!$D$78,Settings!$D$80,Settings!$D$82,Settings!$D$84,Settings!$D$86),"")</f>
        <v/>
      </c>
      <c r="P619" s="148">
        <f>IFERROR((N619*(1-Settings!$D$17)-C619)/(N619*(1-Settings!$D$17)),"")</f>
        <v/>
      </c>
      <c r="Q619" s="149">
        <f>IFERROR(IF(N619="","",IF(N619&gt;=C619/(1-SKU_Base!AB619)/(1-Settings!$D$17),"OK",IF(N619&gt;=C619/(1-SKU_Base!AI619)/(1-Settings!$D$17),"WARN","STOP"))),"")</f>
        <v/>
      </c>
      <c r="R619" s="161">
        <f>IFERROR(ROUND(D619*(1-CHOOSE(MATCH(IF($E619="","Основний",$E619),{"Трафіковий","Основний","Маржинальний","Сезонний","Стратегічний"},0),Settings!$E$78,Settings!$E$80,Settings!$E$82,Settings!$E$84,Settings!$E$86))/6,2)*6,"")</f>
        <v/>
      </c>
      <c r="S619" s="142">
        <f>IFERROR(CHOOSE(MATCH(IF($E619="","Основний",$E619),{"Трафіковий","Основний","Маржинальний","Сезонний","Стратегічний"},0),Settings!$E$78,Settings!$E$80,Settings!$E$82,Settings!$E$84,Settings!$E$86),"")</f>
        <v/>
      </c>
      <c r="T619" s="148">
        <f>IFERROR((R619*(1-Settings!$E$17)-C619)/(R619*(1-Settings!$E$17)),"")</f>
        <v/>
      </c>
      <c r="U619" s="149">
        <f>IFERROR(IF(R619="","",IF(R619&gt;=C619/(1-SKU_Base!AC619)/(1-Settings!$E$17),"OK",IF(R619&gt;=C619/(1-SKU_Base!AJ619)/(1-Settings!$E$17),"WARN","STOP"))),"")</f>
        <v/>
      </c>
      <c r="V619" s="161">
        <f>IFERROR(ROUND(D619*(1-CHOOSE(MATCH(IF($E619="","Основний",$E619),{"Трафіковий","Основний","Маржинальний","Сезонний","Стратегічний"},0),Settings!$F$78,Settings!$F$80,Settings!$F$82,Settings!$F$84,Settings!$F$86))/6,2)*6,"")</f>
        <v/>
      </c>
      <c r="W619" s="142">
        <f>IFERROR(CHOOSE(MATCH(IF($E619="","Основний",$E619),{"Трафіковий","Основний","Маржинальний","Сезонний","Стратегічний"},0),Settings!$F$78,Settings!$F$80,Settings!$F$82,Settings!$F$84,Settings!$F$86),"")</f>
        <v/>
      </c>
      <c r="X619" s="148">
        <f>IFERROR((V619*(1-Settings!$F$17)-C619)/(V619*(1-Settings!$F$17)),"")</f>
        <v/>
      </c>
      <c r="Y619" s="149">
        <f>IFERROR(IF(V619="","",IF(V619&gt;=C619/(1-SKU_Base!AD619)/(1-Settings!$F$17),"OK",IF(V619&gt;=C619/(1-SKU_Base!AK619)/(1-Settings!$F$17),"WARN","STOP"))),"")</f>
        <v/>
      </c>
      <c r="Z619" s="161">
        <f>IFERROR(ROUND(D619*(1-CHOOSE(MATCH(IF($E619="","Основний",$E619),{"Трафіковий","Основний","Маржинальний","Сезонний","Стратегічний"},0),Settings!$G$78,Settings!$G$80,Settings!$G$82,Settings!$G$84,Settings!$G$86))/6,2)*6,"")</f>
        <v/>
      </c>
      <c r="AA619" s="142">
        <f>IFERROR(CHOOSE(MATCH(IF($E619="","Основний",$E619),{"Трафіковий","Основний","Маржинальний","Сезонний","Стратегічний"},0),Settings!$G$78,Settings!$G$80,Settings!$G$82,Settings!$G$84,Settings!$G$86),"")</f>
        <v/>
      </c>
      <c r="AB619" s="148">
        <f>IFERROR((Z619*(1-Settings!$G$17)-C619)/(Z619*(1-Settings!$G$17)),"")</f>
        <v/>
      </c>
      <c r="AC619" s="149">
        <f>IFERROR(IF(Z619="","",IF(Z619&gt;=C619/(1-SKU_Base!AE619)/(1-Settings!$G$17),"OK",IF(Z619&gt;=C619/(1-SKU_Base!AL619)/(1-Settings!$G$17),"WARN","STOP"))),"")</f>
        <v/>
      </c>
      <c r="AD619" s="161">
        <f>IFERROR(ROUND(D619*(1-CHOOSE(MATCH(IF($E619="","Основний",$E619),{"Трафіковий","Основний","Маржинальний","Сезонний","Стратегічний"},0),Settings!$H$78,Settings!$H$80,Settings!$H$82,Settings!$H$84,Settings!$H$86))*(1-Settings!$H$68)/6,2)*6,"")</f>
        <v/>
      </c>
      <c r="AE619" s="142">
        <f>IFERROR(CHOOSE(MATCH(IF($E619="","Основний",$E619),{"Трафіковий","Основний","Маржинальний","Сезонний","Стратегічний"},0),Settings!$H$78,Settings!$H$80,Settings!$H$82,Settings!$H$84,Settings!$H$86)+(1-(CHOOSE(MATCH(IF($E619="","Основний",$E619),{"Трафіковий","Основний","Маржинальний","Сезонний","Стратегічний"},0),Settings!$H$78,Settings!$H$80,Settings!$H$82,Settings!$H$84,Settings!$H$86)))*Settings!$H$68,"")</f>
        <v/>
      </c>
      <c r="AF619" s="148">
        <f>IFERROR((AD619*(1-Settings!$H$17)-C619)/(AD619*(1-Settings!$H$17)),"")</f>
        <v/>
      </c>
      <c r="AG619" s="150">
        <f>IFERROR(IF(AD619="","",IF(AD619&gt;=C619/(1-SKU_Base!AF619)/(1-Settings!$H$17),"OK",IF(AD619&gt;=C619/(1-SKU_Base!AM619)/(1-Settings!$H$17),"WARN","STOP"))),"")</f>
        <v/>
      </c>
    </row>
    <row r="620" ht="17" customHeight="1" s="179">
      <c r="A620" s="139">
        <f>SKU_Base!B620</f>
        <v/>
      </c>
      <c r="B620" s="139">
        <f>SKU_Base!C620</f>
        <v/>
      </c>
      <c r="C620" s="140">
        <f>IFERROR(SKU_Base!I620,"")</f>
        <v/>
      </c>
      <c r="D620" s="163">
        <f>IFERROR(SKU_Base!T620,"")</f>
        <v/>
      </c>
      <c r="E620" s="141">
        <f>IFERROR(SKU_Base!$U620,"")</f>
        <v/>
      </c>
      <c r="F620" s="158">
        <f>IFERROR(ROUND(D620*(1-CHOOSE(MATCH(IF($E620="","Основний",$E620),{"Трафіковий","Основний","Маржинальний","Сезонний","Стратегічний"},0),Settings!$B$78,Settings!$B$80,Settings!$B$82,Settings!$B$84,Settings!$B$86))/6,2)*6,"")</f>
        <v/>
      </c>
      <c r="G620" s="142">
        <f>IFERROR(CHOOSE(MATCH(IF($E620="","Основний",$E620),{"Трафіковий","Основний","Маржинальний","Сезонний","Стратегічний"},0),Settings!$B$78,Settings!$B$80,Settings!$B$82,Settings!$B$84,Settings!$B$86),"")</f>
        <v/>
      </c>
      <c r="H620" s="143">
        <f>IFERROR((F620*(1-Settings!$B$17)-C620)/(F620*(1-Settings!$B$17)),"")</f>
        <v/>
      </c>
      <c r="I620" s="149">
        <f>IFERROR(IF(F620="","",IF(F620&gt;=C620/(1-SKU_Base!Z620)/(1-Settings!$B$17),"OK",IF(F620&gt;=C620/(1-SKU_Base!AG620)/(1-Settings!$B$17),"WARN","STOP"))),"")</f>
        <v/>
      </c>
      <c r="J620" s="158">
        <f>IFERROR(ROUND(D620*(1-CHOOSE(MATCH(IF($E620="","Основний",$E620),{"Трафіковий","Основний","Маржинальний","Сезонний","Стратегічний"},0),Settings!$C$78,Settings!$C$80,Settings!$C$82,Settings!$C$84,Settings!$C$86))/6,2)*6,"")</f>
        <v/>
      </c>
      <c r="K620" s="142">
        <f>IFERROR(CHOOSE(MATCH(IF($E620="","Основний",$E620),{"Трафіковий","Основний","Маржинальний","Сезонний","Стратегічний"},0),Settings!$C$78,Settings!$C$80,Settings!$C$82,Settings!$C$84,Settings!$C$86),"")</f>
        <v/>
      </c>
      <c r="L620" s="143">
        <f>IFERROR((J620*(1-Settings!$C$17)-C620)/(J620*(1-Settings!$C$17)),"")</f>
        <v/>
      </c>
      <c r="M620" s="149">
        <f>IFERROR(IF(J620="","",IF(J620&gt;=C620/(1-SKU_Base!AA620)/(1-Settings!$C$17),"OK",IF(J620&gt;=C620/(1-SKU_Base!AH620)/(1-Settings!$C$17),"WARN","STOP"))),"")</f>
        <v/>
      </c>
      <c r="N620" s="159">
        <f>IFERROR(ROUND(D620*(1-CHOOSE(MATCH(IF($E620="","Основний",$E620),{"Трафіковий","Основний","Маржинальний","Сезонний","Стратегічний"},0),Settings!$D$78,Settings!$D$80,Settings!$D$82,Settings!$D$84,Settings!$D$86))/6,2)*6,"")</f>
        <v/>
      </c>
      <c r="O620" s="142">
        <f>IFERROR(CHOOSE(MATCH(IF($E620="","Основний",$E620),{"Трафіковий","Основний","Маржинальний","Сезонний","Стратегічний"},0),Settings!$D$78,Settings!$D$80,Settings!$D$82,Settings!$D$84,Settings!$D$86),"")</f>
        <v/>
      </c>
      <c r="P620" s="143">
        <f>IFERROR((N620*(1-Settings!$D$17)-C620)/(N620*(1-Settings!$D$17)),"")</f>
        <v/>
      </c>
      <c r="Q620" s="149">
        <f>IFERROR(IF(N620="","",IF(N620&gt;=C620/(1-SKU_Base!AB620)/(1-Settings!$D$17),"OK",IF(N620&gt;=C620/(1-SKU_Base!AI620)/(1-Settings!$D$17),"WARN","STOP"))),"")</f>
        <v/>
      </c>
      <c r="R620" s="159">
        <f>IFERROR(ROUND(D620*(1-CHOOSE(MATCH(IF($E620="","Основний",$E620),{"Трафіковий","Основний","Маржинальний","Сезонний","Стратегічний"},0),Settings!$E$78,Settings!$E$80,Settings!$E$82,Settings!$E$84,Settings!$E$86))/6,2)*6,"")</f>
        <v/>
      </c>
      <c r="S620" s="142">
        <f>IFERROR(CHOOSE(MATCH(IF($E620="","Основний",$E620),{"Трафіковий","Основний","Маржинальний","Сезонний","Стратегічний"},0),Settings!$E$78,Settings!$E$80,Settings!$E$82,Settings!$E$84,Settings!$E$86),"")</f>
        <v/>
      </c>
      <c r="T620" s="143">
        <f>IFERROR((R620*(1-Settings!$E$17)-C620)/(R620*(1-Settings!$E$17)),"")</f>
        <v/>
      </c>
      <c r="U620" s="149">
        <f>IFERROR(IF(R620="","",IF(R620&gt;=C620/(1-SKU_Base!AC620)/(1-Settings!$E$17),"OK",IF(R620&gt;=C620/(1-SKU_Base!AJ620)/(1-Settings!$E$17),"WARN","STOP"))),"")</f>
        <v/>
      </c>
      <c r="V620" s="159">
        <f>IFERROR(ROUND(D620*(1-CHOOSE(MATCH(IF($E620="","Основний",$E620),{"Трафіковий","Основний","Маржинальний","Сезонний","Стратегічний"},0),Settings!$F$78,Settings!$F$80,Settings!$F$82,Settings!$F$84,Settings!$F$86))/6,2)*6,"")</f>
        <v/>
      </c>
      <c r="W620" s="142">
        <f>IFERROR(CHOOSE(MATCH(IF($E620="","Основний",$E620),{"Трафіковий","Основний","Маржинальний","Сезонний","Стратегічний"},0),Settings!$F$78,Settings!$F$80,Settings!$F$82,Settings!$F$84,Settings!$F$86),"")</f>
        <v/>
      </c>
      <c r="X620" s="143">
        <f>IFERROR((V620*(1-Settings!$F$17)-C620)/(V620*(1-Settings!$F$17)),"")</f>
        <v/>
      </c>
      <c r="Y620" s="149">
        <f>IFERROR(IF(V620="","",IF(V620&gt;=C620/(1-SKU_Base!AD620)/(1-Settings!$F$17),"OK",IF(V620&gt;=C620/(1-SKU_Base!AK620)/(1-Settings!$F$17),"WARN","STOP"))),"")</f>
        <v/>
      </c>
      <c r="Z620" s="159">
        <f>IFERROR(ROUND(D620*(1-CHOOSE(MATCH(IF($E620="","Основний",$E620),{"Трафіковий","Основний","Маржинальний","Сезонний","Стратегічний"},0),Settings!$G$78,Settings!$G$80,Settings!$G$82,Settings!$G$84,Settings!$G$86))/6,2)*6,"")</f>
        <v/>
      </c>
      <c r="AA620" s="142">
        <f>IFERROR(CHOOSE(MATCH(IF($E620="","Основний",$E620),{"Трафіковий","Основний","Маржинальний","Сезонний","Стратегічний"},0),Settings!$G$78,Settings!$G$80,Settings!$G$82,Settings!$G$84,Settings!$G$86),"")</f>
        <v/>
      </c>
      <c r="AB620" s="143">
        <f>IFERROR((Z620*(1-Settings!$G$17)-C620)/(Z620*(1-Settings!$G$17)),"")</f>
        <v/>
      </c>
      <c r="AC620" s="149">
        <f>IFERROR(IF(Z620="","",IF(Z620&gt;=C620/(1-SKU_Base!AE620)/(1-Settings!$G$17),"OK",IF(Z620&gt;=C620/(1-SKU_Base!AL620)/(1-Settings!$G$17),"WARN","STOP"))),"")</f>
        <v/>
      </c>
      <c r="AD620" s="159">
        <f>IFERROR(ROUND(D620*(1-CHOOSE(MATCH(IF($E620="","Основний",$E620),{"Трафіковий","Основний","Маржинальний","Сезонний","Стратегічний"},0),Settings!$H$78,Settings!$H$80,Settings!$H$82,Settings!$H$84,Settings!$H$86))*(1-Settings!$H$68)/6,2)*6,"")</f>
        <v/>
      </c>
      <c r="AE620" s="142">
        <f>IFERROR(CHOOSE(MATCH(IF($E620="","Основний",$E620),{"Трафіковий","Основний","Маржинальний","Сезонний","Стратегічний"},0),Settings!$H$78,Settings!$H$80,Settings!$H$82,Settings!$H$84,Settings!$H$86)+(1-(CHOOSE(MATCH(IF($E620="","Основний",$E620),{"Трафіковий","Основний","Маржинальний","Сезонний","Стратегічний"},0),Settings!$H$78,Settings!$H$80,Settings!$H$82,Settings!$H$84,Settings!$H$86)))*Settings!$H$68,"")</f>
        <v/>
      </c>
      <c r="AF620" s="143">
        <f>IFERROR((AD620*(1-Settings!$H$17)-C620)/(AD620*(1-Settings!$H$17)),"")</f>
        <v/>
      </c>
      <c r="AG620" s="150">
        <f>IFERROR(IF(AD620="","",IF(AD620&gt;=C620/(1-SKU_Base!AF620)/(1-Settings!$H$17),"OK",IF(AD620&gt;=C620/(1-SKU_Base!AM620)/(1-Settings!$H$17),"WARN","STOP"))),"")</f>
        <v/>
      </c>
    </row>
    <row r="621" ht="17" customHeight="1" s="179">
      <c r="A621" s="146">
        <f>SKU_Base!B621</f>
        <v/>
      </c>
      <c r="B621" s="146">
        <f>SKU_Base!C621</f>
        <v/>
      </c>
      <c r="C621" s="147">
        <f>IFERROR(SKU_Base!I621,"")</f>
        <v/>
      </c>
      <c r="D621" s="164">
        <f>IFERROR(SKU_Base!T621,"")</f>
        <v/>
      </c>
      <c r="E621" s="141">
        <f>IFERROR(SKU_Base!$U621,"")</f>
        <v/>
      </c>
      <c r="F621" s="160">
        <f>IFERROR(ROUND(D621*(1-CHOOSE(MATCH(IF($E621="","Основний",$E621),{"Трафіковий","Основний","Маржинальний","Сезонний","Стратегічний"},0),Settings!$B$78,Settings!$B$80,Settings!$B$82,Settings!$B$84,Settings!$B$86))/6,2)*6,"")</f>
        <v/>
      </c>
      <c r="G621" s="142">
        <f>IFERROR(CHOOSE(MATCH(IF($E621="","Основний",$E621),{"Трафіковий","Основний","Маржинальний","Сезонний","Стратегічний"},0),Settings!$B$78,Settings!$B$80,Settings!$B$82,Settings!$B$84,Settings!$B$86),"")</f>
        <v/>
      </c>
      <c r="H621" s="148">
        <f>IFERROR((F621*(1-Settings!$B$17)-C621)/(F621*(1-Settings!$B$17)),"")</f>
        <v/>
      </c>
      <c r="I621" s="150">
        <f>IFERROR(IF(F621="","",IF(F621&gt;=C621/(1-SKU_Base!Z621)/(1-Settings!$B$17),"OK",IF(F621&gt;=C621/(1-SKU_Base!AG621)/(1-Settings!$B$17),"WARN","STOP"))),"")</f>
        <v/>
      </c>
      <c r="J621" s="160">
        <f>IFERROR(ROUND(D621*(1-CHOOSE(MATCH(IF($E621="","Основний",$E621),{"Трафіковий","Основний","Маржинальний","Сезонний","Стратегічний"},0),Settings!$C$78,Settings!$C$80,Settings!$C$82,Settings!$C$84,Settings!$C$86))/6,2)*6,"")</f>
        <v/>
      </c>
      <c r="K621" s="142">
        <f>IFERROR(CHOOSE(MATCH(IF($E621="","Основний",$E621),{"Трафіковий","Основний","Маржинальний","Сезонний","Стратегічний"},0),Settings!$C$78,Settings!$C$80,Settings!$C$82,Settings!$C$84,Settings!$C$86),"")</f>
        <v/>
      </c>
      <c r="L621" s="148">
        <f>IFERROR((J621*(1-Settings!$C$17)-C621)/(J621*(1-Settings!$C$17)),"")</f>
        <v/>
      </c>
      <c r="M621" s="149">
        <f>IFERROR(IF(J621="","",IF(J621&gt;=C621/(1-SKU_Base!AA621)/(1-Settings!$C$17),"OK",IF(J621&gt;=C621/(1-SKU_Base!AH621)/(1-Settings!$C$17),"WARN","STOP"))),"")</f>
        <v/>
      </c>
      <c r="N621" s="161">
        <f>IFERROR(ROUND(D621*(1-CHOOSE(MATCH(IF($E621="","Основний",$E621),{"Трафіковий","Основний","Маржинальний","Сезонний","Стратегічний"},0),Settings!$D$78,Settings!$D$80,Settings!$D$82,Settings!$D$84,Settings!$D$86))/6,2)*6,"")</f>
        <v/>
      </c>
      <c r="O621" s="142">
        <f>IFERROR(CHOOSE(MATCH(IF($E621="","Основний",$E621),{"Трафіковий","Основний","Маржинальний","Сезонний","Стратегічний"},0),Settings!$D$78,Settings!$D$80,Settings!$D$82,Settings!$D$84,Settings!$D$86),"")</f>
        <v/>
      </c>
      <c r="P621" s="148">
        <f>IFERROR((N621*(1-Settings!$D$17)-C621)/(N621*(1-Settings!$D$17)),"")</f>
        <v/>
      </c>
      <c r="Q621" s="149">
        <f>IFERROR(IF(N621="","",IF(N621&gt;=C621/(1-SKU_Base!AB621)/(1-Settings!$D$17),"OK",IF(N621&gt;=C621/(1-SKU_Base!AI621)/(1-Settings!$D$17),"WARN","STOP"))),"")</f>
        <v/>
      </c>
      <c r="R621" s="161">
        <f>IFERROR(ROUND(D621*(1-CHOOSE(MATCH(IF($E621="","Основний",$E621),{"Трафіковий","Основний","Маржинальний","Сезонний","Стратегічний"},0),Settings!$E$78,Settings!$E$80,Settings!$E$82,Settings!$E$84,Settings!$E$86))/6,2)*6,"")</f>
        <v/>
      </c>
      <c r="S621" s="142">
        <f>IFERROR(CHOOSE(MATCH(IF($E621="","Основний",$E621),{"Трафіковий","Основний","Маржинальний","Сезонний","Стратегічний"},0),Settings!$E$78,Settings!$E$80,Settings!$E$82,Settings!$E$84,Settings!$E$86),"")</f>
        <v/>
      </c>
      <c r="T621" s="148">
        <f>IFERROR((R621*(1-Settings!$E$17)-C621)/(R621*(1-Settings!$E$17)),"")</f>
        <v/>
      </c>
      <c r="U621" s="149">
        <f>IFERROR(IF(R621="","",IF(R621&gt;=C621/(1-SKU_Base!AC621)/(1-Settings!$E$17),"OK",IF(R621&gt;=C621/(1-SKU_Base!AJ621)/(1-Settings!$E$17),"WARN","STOP"))),"")</f>
        <v/>
      </c>
      <c r="V621" s="161">
        <f>IFERROR(ROUND(D621*(1-CHOOSE(MATCH(IF($E621="","Основний",$E621),{"Трафіковий","Основний","Маржинальний","Сезонний","Стратегічний"},0),Settings!$F$78,Settings!$F$80,Settings!$F$82,Settings!$F$84,Settings!$F$86))/6,2)*6,"")</f>
        <v/>
      </c>
      <c r="W621" s="142">
        <f>IFERROR(CHOOSE(MATCH(IF($E621="","Основний",$E621),{"Трафіковий","Основний","Маржинальний","Сезонний","Стратегічний"},0),Settings!$F$78,Settings!$F$80,Settings!$F$82,Settings!$F$84,Settings!$F$86),"")</f>
        <v/>
      </c>
      <c r="X621" s="148">
        <f>IFERROR((V621*(1-Settings!$F$17)-C621)/(V621*(1-Settings!$F$17)),"")</f>
        <v/>
      </c>
      <c r="Y621" s="149">
        <f>IFERROR(IF(V621="","",IF(V621&gt;=C621/(1-SKU_Base!AD621)/(1-Settings!$F$17),"OK",IF(V621&gt;=C621/(1-SKU_Base!AK621)/(1-Settings!$F$17),"WARN","STOP"))),"")</f>
        <v/>
      </c>
      <c r="Z621" s="161">
        <f>IFERROR(ROUND(D621*(1-CHOOSE(MATCH(IF($E621="","Основний",$E621),{"Трафіковий","Основний","Маржинальний","Сезонний","Стратегічний"},0),Settings!$G$78,Settings!$G$80,Settings!$G$82,Settings!$G$84,Settings!$G$86))/6,2)*6,"")</f>
        <v/>
      </c>
      <c r="AA621" s="142">
        <f>IFERROR(CHOOSE(MATCH(IF($E621="","Основний",$E621),{"Трафіковий","Основний","Маржинальний","Сезонний","Стратегічний"},0),Settings!$G$78,Settings!$G$80,Settings!$G$82,Settings!$G$84,Settings!$G$86),"")</f>
        <v/>
      </c>
      <c r="AB621" s="148">
        <f>IFERROR((Z621*(1-Settings!$G$17)-C621)/(Z621*(1-Settings!$G$17)),"")</f>
        <v/>
      </c>
      <c r="AC621" s="149">
        <f>IFERROR(IF(Z621="","",IF(Z621&gt;=C621/(1-SKU_Base!AE621)/(1-Settings!$G$17),"OK",IF(Z621&gt;=C621/(1-SKU_Base!AL621)/(1-Settings!$G$17),"WARN","STOP"))),"")</f>
        <v/>
      </c>
      <c r="AD621" s="161">
        <f>IFERROR(ROUND(D621*(1-CHOOSE(MATCH(IF($E621="","Основний",$E621),{"Трафіковий","Основний","Маржинальний","Сезонний","Стратегічний"},0),Settings!$H$78,Settings!$H$80,Settings!$H$82,Settings!$H$84,Settings!$H$86))*(1-Settings!$H$68)/6,2)*6,"")</f>
        <v/>
      </c>
      <c r="AE621" s="142">
        <f>IFERROR(CHOOSE(MATCH(IF($E621="","Основний",$E621),{"Трафіковий","Основний","Маржинальний","Сезонний","Стратегічний"},0),Settings!$H$78,Settings!$H$80,Settings!$H$82,Settings!$H$84,Settings!$H$86)+(1-(CHOOSE(MATCH(IF($E621="","Основний",$E621),{"Трафіковий","Основний","Маржинальний","Сезонний","Стратегічний"},0),Settings!$H$78,Settings!$H$80,Settings!$H$82,Settings!$H$84,Settings!$H$86)))*Settings!$H$68,"")</f>
        <v/>
      </c>
      <c r="AF621" s="148">
        <f>IFERROR((AD621*(1-Settings!$H$17)-C621)/(AD621*(1-Settings!$H$17)),"")</f>
        <v/>
      </c>
      <c r="AG621" s="150">
        <f>IFERROR(IF(AD621="","",IF(AD621&gt;=C621/(1-SKU_Base!AF621)/(1-Settings!$H$17),"OK",IF(AD621&gt;=C621/(1-SKU_Base!AM621)/(1-Settings!$H$17),"WARN","STOP"))),"")</f>
        <v/>
      </c>
    </row>
    <row r="622" ht="17" customHeight="1" s="179">
      <c r="A622" s="139">
        <f>SKU_Base!B622</f>
        <v/>
      </c>
      <c r="B622" s="139">
        <f>SKU_Base!C622</f>
        <v/>
      </c>
      <c r="C622" s="140">
        <f>IFERROR(SKU_Base!I622,"")</f>
        <v/>
      </c>
      <c r="D622" s="163">
        <f>IFERROR(SKU_Base!T622,"")</f>
        <v/>
      </c>
      <c r="E622" s="141">
        <f>IFERROR(SKU_Base!$U622,"")</f>
        <v/>
      </c>
      <c r="F622" s="158">
        <f>IFERROR(ROUND(D622*(1-CHOOSE(MATCH(IF($E622="","Основний",$E622),{"Трафіковий","Основний","Маржинальний","Сезонний","Стратегічний"},0),Settings!$B$78,Settings!$B$80,Settings!$B$82,Settings!$B$84,Settings!$B$86))/6,2)*6,"")</f>
        <v/>
      </c>
      <c r="G622" s="142">
        <f>IFERROR(CHOOSE(MATCH(IF($E622="","Основний",$E622),{"Трафіковий","Основний","Маржинальний","Сезонний","Стратегічний"},0),Settings!$B$78,Settings!$B$80,Settings!$B$82,Settings!$B$84,Settings!$B$86),"")</f>
        <v/>
      </c>
      <c r="H622" s="143">
        <f>IFERROR((F622*(1-Settings!$B$17)-C622)/(F622*(1-Settings!$B$17)),"")</f>
        <v/>
      </c>
      <c r="I622" s="149">
        <f>IFERROR(IF(F622="","",IF(F622&gt;=C622/(1-SKU_Base!Z622)/(1-Settings!$B$17),"OK",IF(F622&gt;=C622/(1-SKU_Base!AG622)/(1-Settings!$B$17),"WARN","STOP"))),"")</f>
        <v/>
      </c>
      <c r="J622" s="158">
        <f>IFERROR(ROUND(D622*(1-CHOOSE(MATCH(IF($E622="","Основний",$E622),{"Трафіковий","Основний","Маржинальний","Сезонний","Стратегічний"},0),Settings!$C$78,Settings!$C$80,Settings!$C$82,Settings!$C$84,Settings!$C$86))/6,2)*6,"")</f>
        <v/>
      </c>
      <c r="K622" s="142">
        <f>IFERROR(CHOOSE(MATCH(IF($E622="","Основний",$E622),{"Трафіковий","Основний","Маржинальний","Сезонний","Стратегічний"},0),Settings!$C$78,Settings!$C$80,Settings!$C$82,Settings!$C$84,Settings!$C$86),"")</f>
        <v/>
      </c>
      <c r="L622" s="143">
        <f>IFERROR((J622*(1-Settings!$C$17)-C622)/(J622*(1-Settings!$C$17)),"")</f>
        <v/>
      </c>
      <c r="M622" s="149">
        <f>IFERROR(IF(J622="","",IF(J622&gt;=C622/(1-SKU_Base!AA622)/(1-Settings!$C$17),"OK",IF(J622&gt;=C622/(1-SKU_Base!AH622)/(1-Settings!$C$17),"WARN","STOP"))),"")</f>
        <v/>
      </c>
      <c r="N622" s="159">
        <f>IFERROR(ROUND(D622*(1-CHOOSE(MATCH(IF($E622="","Основний",$E622),{"Трафіковий","Основний","Маржинальний","Сезонний","Стратегічний"},0),Settings!$D$78,Settings!$D$80,Settings!$D$82,Settings!$D$84,Settings!$D$86))/6,2)*6,"")</f>
        <v/>
      </c>
      <c r="O622" s="142">
        <f>IFERROR(CHOOSE(MATCH(IF($E622="","Основний",$E622),{"Трафіковий","Основний","Маржинальний","Сезонний","Стратегічний"},0),Settings!$D$78,Settings!$D$80,Settings!$D$82,Settings!$D$84,Settings!$D$86),"")</f>
        <v/>
      </c>
      <c r="P622" s="143">
        <f>IFERROR((N622*(1-Settings!$D$17)-C622)/(N622*(1-Settings!$D$17)),"")</f>
        <v/>
      </c>
      <c r="Q622" s="149">
        <f>IFERROR(IF(N622="","",IF(N622&gt;=C622/(1-SKU_Base!AB622)/(1-Settings!$D$17),"OK",IF(N622&gt;=C622/(1-SKU_Base!AI622)/(1-Settings!$D$17),"WARN","STOP"))),"")</f>
        <v/>
      </c>
      <c r="R622" s="159">
        <f>IFERROR(ROUND(D622*(1-CHOOSE(MATCH(IF($E622="","Основний",$E622),{"Трафіковий","Основний","Маржинальний","Сезонний","Стратегічний"},0),Settings!$E$78,Settings!$E$80,Settings!$E$82,Settings!$E$84,Settings!$E$86))/6,2)*6,"")</f>
        <v/>
      </c>
      <c r="S622" s="142">
        <f>IFERROR(CHOOSE(MATCH(IF($E622="","Основний",$E622),{"Трафіковий","Основний","Маржинальний","Сезонний","Стратегічний"},0),Settings!$E$78,Settings!$E$80,Settings!$E$82,Settings!$E$84,Settings!$E$86),"")</f>
        <v/>
      </c>
      <c r="T622" s="143">
        <f>IFERROR((R622*(1-Settings!$E$17)-C622)/(R622*(1-Settings!$E$17)),"")</f>
        <v/>
      </c>
      <c r="U622" s="149">
        <f>IFERROR(IF(R622="","",IF(R622&gt;=C622/(1-SKU_Base!AC622)/(1-Settings!$E$17),"OK",IF(R622&gt;=C622/(1-SKU_Base!AJ622)/(1-Settings!$E$17),"WARN","STOP"))),"")</f>
        <v/>
      </c>
      <c r="V622" s="159">
        <f>IFERROR(ROUND(D622*(1-CHOOSE(MATCH(IF($E622="","Основний",$E622),{"Трафіковий","Основний","Маржинальний","Сезонний","Стратегічний"},0),Settings!$F$78,Settings!$F$80,Settings!$F$82,Settings!$F$84,Settings!$F$86))/6,2)*6,"")</f>
        <v/>
      </c>
      <c r="W622" s="142">
        <f>IFERROR(CHOOSE(MATCH(IF($E622="","Основний",$E622),{"Трафіковий","Основний","Маржинальний","Сезонний","Стратегічний"},0),Settings!$F$78,Settings!$F$80,Settings!$F$82,Settings!$F$84,Settings!$F$86),"")</f>
        <v/>
      </c>
      <c r="X622" s="143">
        <f>IFERROR((V622*(1-Settings!$F$17)-C622)/(V622*(1-Settings!$F$17)),"")</f>
        <v/>
      </c>
      <c r="Y622" s="149">
        <f>IFERROR(IF(V622="","",IF(V622&gt;=C622/(1-SKU_Base!AD622)/(1-Settings!$F$17),"OK",IF(V622&gt;=C622/(1-SKU_Base!AK622)/(1-Settings!$F$17),"WARN","STOP"))),"")</f>
        <v/>
      </c>
      <c r="Z622" s="159">
        <f>IFERROR(ROUND(D622*(1-CHOOSE(MATCH(IF($E622="","Основний",$E622),{"Трафіковий","Основний","Маржинальний","Сезонний","Стратегічний"},0),Settings!$G$78,Settings!$G$80,Settings!$G$82,Settings!$G$84,Settings!$G$86))/6,2)*6,"")</f>
        <v/>
      </c>
      <c r="AA622" s="142">
        <f>IFERROR(CHOOSE(MATCH(IF($E622="","Основний",$E622),{"Трафіковий","Основний","Маржинальний","Сезонний","Стратегічний"},0),Settings!$G$78,Settings!$G$80,Settings!$G$82,Settings!$G$84,Settings!$G$86),"")</f>
        <v/>
      </c>
      <c r="AB622" s="143">
        <f>IFERROR((Z622*(1-Settings!$G$17)-C622)/(Z622*(1-Settings!$G$17)),"")</f>
        <v/>
      </c>
      <c r="AC622" s="149">
        <f>IFERROR(IF(Z622="","",IF(Z622&gt;=C622/(1-SKU_Base!AE622)/(1-Settings!$G$17),"OK",IF(Z622&gt;=C622/(1-SKU_Base!AL622)/(1-Settings!$G$17),"WARN","STOP"))),"")</f>
        <v/>
      </c>
      <c r="AD622" s="159">
        <f>IFERROR(ROUND(D622*(1-CHOOSE(MATCH(IF($E622="","Основний",$E622),{"Трафіковий","Основний","Маржинальний","Сезонний","Стратегічний"},0),Settings!$H$78,Settings!$H$80,Settings!$H$82,Settings!$H$84,Settings!$H$86))*(1-Settings!$H$68)/6,2)*6,"")</f>
        <v/>
      </c>
      <c r="AE622" s="142">
        <f>IFERROR(CHOOSE(MATCH(IF($E622="","Основний",$E622),{"Трафіковий","Основний","Маржинальний","Сезонний","Стратегічний"},0),Settings!$H$78,Settings!$H$80,Settings!$H$82,Settings!$H$84,Settings!$H$86)+(1-(CHOOSE(MATCH(IF($E622="","Основний",$E622),{"Трафіковий","Основний","Маржинальний","Сезонний","Стратегічний"},0),Settings!$H$78,Settings!$H$80,Settings!$H$82,Settings!$H$84,Settings!$H$86)))*Settings!$H$68,"")</f>
        <v/>
      </c>
      <c r="AF622" s="143">
        <f>IFERROR((AD622*(1-Settings!$H$17)-C622)/(AD622*(1-Settings!$H$17)),"")</f>
        <v/>
      </c>
      <c r="AG622" s="150">
        <f>IFERROR(IF(AD622="","",IF(AD622&gt;=C622/(1-SKU_Base!AF622)/(1-Settings!$H$17),"OK",IF(AD622&gt;=C622/(1-SKU_Base!AM622)/(1-Settings!$H$17),"WARN","STOP"))),"")</f>
        <v/>
      </c>
    </row>
    <row r="623" ht="17" customHeight="1" s="179">
      <c r="A623" s="146">
        <f>SKU_Base!B623</f>
        <v/>
      </c>
      <c r="B623" s="146">
        <f>SKU_Base!C623</f>
        <v/>
      </c>
      <c r="C623" s="147">
        <f>IFERROR(SKU_Base!I623,"")</f>
        <v/>
      </c>
      <c r="D623" s="164">
        <f>IFERROR(SKU_Base!T623,"")</f>
        <v/>
      </c>
      <c r="E623" s="141">
        <f>IFERROR(SKU_Base!$U623,"")</f>
        <v/>
      </c>
      <c r="F623" s="160">
        <f>IFERROR(ROUND(D623*(1-CHOOSE(MATCH(IF($E623="","Основний",$E623),{"Трафіковий","Основний","Маржинальний","Сезонний","Стратегічний"},0),Settings!$B$78,Settings!$B$80,Settings!$B$82,Settings!$B$84,Settings!$B$86))/6,2)*6,"")</f>
        <v/>
      </c>
      <c r="G623" s="142">
        <f>IFERROR(CHOOSE(MATCH(IF($E623="","Основний",$E623),{"Трафіковий","Основний","Маржинальний","Сезонний","Стратегічний"},0),Settings!$B$78,Settings!$B$80,Settings!$B$82,Settings!$B$84,Settings!$B$86),"")</f>
        <v/>
      </c>
      <c r="H623" s="148">
        <f>IFERROR((F623*(1-Settings!$B$17)-C623)/(F623*(1-Settings!$B$17)),"")</f>
        <v/>
      </c>
      <c r="I623" s="149">
        <f>IFERROR(IF(F623="","",IF(F623&gt;=C623/(1-SKU_Base!Z623)/(1-Settings!$B$17),"OK",IF(F623&gt;=C623/(1-SKU_Base!AG623)/(1-Settings!$B$17),"WARN","STOP"))),"")</f>
        <v/>
      </c>
      <c r="J623" s="160">
        <f>IFERROR(ROUND(D623*(1-CHOOSE(MATCH(IF($E623="","Основний",$E623),{"Трафіковий","Основний","Маржинальний","Сезонний","Стратегічний"},0),Settings!$C$78,Settings!$C$80,Settings!$C$82,Settings!$C$84,Settings!$C$86))/6,2)*6,"")</f>
        <v/>
      </c>
      <c r="K623" s="142">
        <f>IFERROR(CHOOSE(MATCH(IF($E623="","Основний",$E623),{"Трафіковий","Основний","Маржинальний","Сезонний","Стратегічний"},0),Settings!$C$78,Settings!$C$80,Settings!$C$82,Settings!$C$84,Settings!$C$86),"")</f>
        <v/>
      </c>
      <c r="L623" s="148">
        <f>IFERROR((J623*(1-Settings!$C$17)-C623)/(J623*(1-Settings!$C$17)),"")</f>
        <v/>
      </c>
      <c r="M623" s="149">
        <f>IFERROR(IF(J623="","",IF(J623&gt;=C623/(1-SKU_Base!AA623)/(1-Settings!$C$17),"OK",IF(J623&gt;=C623/(1-SKU_Base!AH623)/(1-Settings!$C$17),"WARN","STOP"))),"")</f>
        <v/>
      </c>
      <c r="N623" s="161">
        <f>IFERROR(ROUND(D623*(1-CHOOSE(MATCH(IF($E623="","Основний",$E623),{"Трафіковий","Основний","Маржинальний","Сезонний","Стратегічний"},0),Settings!$D$78,Settings!$D$80,Settings!$D$82,Settings!$D$84,Settings!$D$86))/6,2)*6,"")</f>
        <v/>
      </c>
      <c r="O623" s="142">
        <f>IFERROR(CHOOSE(MATCH(IF($E623="","Основний",$E623),{"Трафіковий","Основний","Маржинальний","Сезонний","Стратегічний"},0),Settings!$D$78,Settings!$D$80,Settings!$D$82,Settings!$D$84,Settings!$D$86),"")</f>
        <v/>
      </c>
      <c r="P623" s="148">
        <f>IFERROR((N623*(1-Settings!$D$17)-C623)/(N623*(1-Settings!$D$17)),"")</f>
        <v/>
      </c>
      <c r="Q623" s="149">
        <f>IFERROR(IF(N623="","",IF(N623&gt;=C623/(1-SKU_Base!AB623)/(1-Settings!$D$17),"OK",IF(N623&gt;=C623/(1-SKU_Base!AI623)/(1-Settings!$D$17),"WARN","STOP"))),"")</f>
        <v/>
      </c>
      <c r="R623" s="161">
        <f>IFERROR(ROUND(D623*(1-CHOOSE(MATCH(IF($E623="","Основний",$E623),{"Трафіковий","Основний","Маржинальний","Сезонний","Стратегічний"},0),Settings!$E$78,Settings!$E$80,Settings!$E$82,Settings!$E$84,Settings!$E$86))/6,2)*6,"")</f>
        <v/>
      </c>
      <c r="S623" s="142">
        <f>IFERROR(CHOOSE(MATCH(IF($E623="","Основний",$E623),{"Трафіковий","Основний","Маржинальний","Сезонний","Стратегічний"},0),Settings!$E$78,Settings!$E$80,Settings!$E$82,Settings!$E$84,Settings!$E$86),"")</f>
        <v/>
      </c>
      <c r="T623" s="148">
        <f>IFERROR((R623*(1-Settings!$E$17)-C623)/(R623*(1-Settings!$E$17)),"")</f>
        <v/>
      </c>
      <c r="U623" s="149">
        <f>IFERROR(IF(R623="","",IF(R623&gt;=C623/(1-SKU_Base!AC623)/(1-Settings!$E$17),"OK",IF(R623&gt;=C623/(1-SKU_Base!AJ623)/(1-Settings!$E$17),"WARN","STOP"))),"")</f>
        <v/>
      </c>
      <c r="V623" s="161">
        <f>IFERROR(ROUND(D623*(1-CHOOSE(MATCH(IF($E623="","Основний",$E623),{"Трафіковий","Основний","Маржинальний","Сезонний","Стратегічний"},0),Settings!$F$78,Settings!$F$80,Settings!$F$82,Settings!$F$84,Settings!$F$86))/6,2)*6,"")</f>
        <v/>
      </c>
      <c r="W623" s="142">
        <f>IFERROR(CHOOSE(MATCH(IF($E623="","Основний",$E623),{"Трафіковий","Основний","Маржинальний","Сезонний","Стратегічний"},0),Settings!$F$78,Settings!$F$80,Settings!$F$82,Settings!$F$84,Settings!$F$86),"")</f>
        <v/>
      </c>
      <c r="X623" s="148">
        <f>IFERROR((V623*(1-Settings!$F$17)-C623)/(V623*(1-Settings!$F$17)),"")</f>
        <v/>
      </c>
      <c r="Y623" s="149">
        <f>IFERROR(IF(V623="","",IF(V623&gt;=C623/(1-SKU_Base!AD623)/(1-Settings!$F$17),"OK",IF(V623&gt;=C623/(1-SKU_Base!AK623)/(1-Settings!$F$17),"WARN","STOP"))),"")</f>
        <v/>
      </c>
      <c r="Z623" s="161">
        <f>IFERROR(ROUND(D623*(1-CHOOSE(MATCH(IF($E623="","Основний",$E623),{"Трафіковий","Основний","Маржинальний","Сезонний","Стратегічний"},0),Settings!$G$78,Settings!$G$80,Settings!$G$82,Settings!$G$84,Settings!$G$86))/6,2)*6,"")</f>
        <v/>
      </c>
      <c r="AA623" s="142">
        <f>IFERROR(CHOOSE(MATCH(IF($E623="","Основний",$E623),{"Трафіковий","Основний","Маржинальний","Сезонний","Стратегічний"},0),Settings!$G$78,Settings!$G$80,Settings!$G$82,Settings!$G$84,Settings!$G$86),"")</f>
        <v/>
      </c>
      <c r="AB623" s="148">
        <f>IFERROR((Z623*(1-Settings!$G$17)-C623)/(Z623*(1-Settings!$G$17)),"")</f>
        <v/>
      </c>
      <c r="AC623" s="149">
        <f>IFERROR(IF(Z623="","",IF(Z623&gt;=C623/(1-SKU_Base!AE623)/(1-Settings!$G$17),"OK",IF(Z623&gt;=C623/(1-SKU_Base!AL623)/(1-Settings!$G$17),"WARN","STOP"))),"")</f>
        <v/>
      </c>
      <c r="AD623" s="161">
        <f>IFERROR(ROUND(D623*(1-CHOOSE(MATCH(IF($E623="","Основний",$E623),{"Трафіковий","Основний","Маржинальний","Сезонний","Стратегічний"},0),Settings!$H$78,Settings!$H$80,Settings!$H$82,Settings!$H$84,Settings!$H$86))*(1-Settings!$H$68)/6,2)*6,"")</f>
        <v/>
      </c>
      <c r="AE623" s="142">
        <f>IFERROR(CHOOSE(MATCH(IF($E623="","Основний",$E623),{"Трафіковий","Основний","Маржинальний","Сезонний","Стратегічний"},0),Settings!$H$78,Settings!$H$80,Settings!$H$82,Settings!$H$84,Settings!$H$86)+(1-(CHOOSE(MATCH(IF($E623="","Основний",$E623),{"Трафіковий","Основний","Маржинальний","Сезонний","Стратегічний"},0),Settings!$H$78,Settings!$H$80,Settings!$H$82,Settings!$H$84,Settings!$H$86)))*Settings!$H$68,"")</f>
        <v/>
      </c>
      <c r="AF623" s="148">
        <f>IFERROR((AD623*(1-Settings!$H$17)-C623)/(AD623*(1-Settings!$H$17)),"")</f>
        <v/>
      </c>
      <c r="AG623" s="150">
        <f>IFERROR(IF(AD623="","",IF(AD623&gt;=C623/(1-SKU_Base!AF623)/(1-Settings!$H$17),"OK",IF(AD623&gt;=C623/(1-SKU_Base!AM623)/(1-Settings!$H$17),"WARN","STOP"))),"")</f>
        <v/>
      </c>
    </row>
    <row r="624" ht="17" customHeight="1" s="179">
      <c r="A624" s="139">
        <f>SKU_Base!B624</f>
        <v/>
      </c>
      <c r="B624" s="139">
        <f>SKU_Base!C624</f>
        <v/>
      </c>
      <c r="C624" s="140">
        <f>IFERROR(SKU_Base!I624,"")</f>
        <v/>
      </c>
      <c r="D624" s="163">
        <f>IFERROR(SKU_Base!T624,"")</f>
        <v/>
      </c>
      <c r="E624" s="141">
        <f>IFERROR(SKU_Base!$U624,"")</f>
        <v/>
      </c>
      <c r="F624" s="158">
        <f>IFERROR(ROUND(D624*(1-CHOOSE(MATCH(IF($E624="","Основний",$E624),{"Трафіковий","Основний","Маржинальний","Сезонний","Стратегічний"},0),Settings!$B$78,Settings!$B$80,Settings!$B$82,Settings!$B$84,Settings!$B$86))/6,2)*6,"")</f>
        <v/>
      </c>
      <c r="G624" s="142">
        <f>IFERROR(CHOOSE(MATCH(IF($E624="","Основний",$E624),{"Трафіковий","Основний","Маржинальний","Сезонний","Стратегічний"},0),Settings!$B$78,Settings!$B$80,Settings!$B$82,Settings!$B$84,Settings!$B$86),"")</f>
        <v/>
      </c>
      <c r="H624" s="143">
        <f>IFERROR((F624*(1-Settings!$B$17)-C624)/(F624*(1-Settings!$B$17)),"")</f>
        <v/>
      </c>
      <c r="I624" s="149">
        <f>IFERROR(IF(F624="","",IF(F624&gt;=C624/(1-SKU_Base!Z624)/(1-Settings!$B$17),"OK",IF(F624&gt;=C624/(1-SKU_Base!AG624)/(1-Settings!$B$17),"WARN","STOP"))),"")</f>
        <v/>
      </c>
      <c r="J624" s="158">
        <f>IFERROR(ROUND(D624*(1-CHOOSE(MATCH(IF($E624="","Основний",$E624),{"Трафіковий","Основний","Маржинальний","Сезонний","Стратегічний"},0),Settings!$C$78,Settings!$C$80,Settings!$C$82,Settings!$C$84,Settings!$C$86))/6,2)*6,"")</f>
        <v/>
      </c>
      <c r="K624" s="142">
        <f>IFERROR(CHOOSE(MATCH(IF($E624="","Основний",$E624),{"Трафіковий","Основний","Маржинальний","Сезонний","Стратегічний"},0),Settings!$C$78,Settings!$C$80,Settings!$C$82,Settings!$C$84,Settings!$C$86),"")</f>
        <v/>
      </c>
      <c r="L624" s="143">
        <f>IFERROR((J624*(1-Settings!$C$17)-C624)/(J624*(1-Settings!$C$17)),"")</f>
        <v/>
      </c>
      <c r="M624" s="149">
        <f>IFERROR(IF(J624="","",IF(J624&gt;=C624/(1-SKU_Base!AA624)/(1-Settings!$C$17),"OK",IF(J624&gt;=C624/(1-SKU_Base!AH624)/(1-Settings!$C$17),"WARN","STOP"))),"")</f>
        <v/>
      </c>
      <c r="N624" s="159">
        <f>IFERROR(ROUND(D624*(1-CHOOSE(MATCH(IF($E624="","Основний",$E624),{"Трафіковий","Основний","Маржинальний","Сезонний","Стратегічний"},0),Settings!$D$78,Settings!$D$80,Settings!$D$82,Settings!$D$84,Settings!$D$86))/6,2)*6,"")</f>
        <v/>
      </c>
      <c r="O624" s="142">
        <f>IFERROR(CHOOSE(MATCH(IF($E624="","Основний",$E624),{"Трафіковий","Основний","Маржинальний","Сезонний","Стратегічний"},0),Settings!$D$78,Settings!$D$80,Settings!$D$82,Settings!$D$84,Settings!$D$86),"")</f>
        <v/>
      </c>
      <c r="P624" s="143">
        <f>IFERROR((N624*(1-Settings!$D$17)-C624)/(N624*(1-Settings!$D$17)),"")</f>
        <v/>
      </c>
      <c r="Q624" s="149">
        <f>IFERROR(IF(N624="","",IF(N624&gt;=C624/(1-SKU_Base!AB624)/(1-Settings!$D$17),"OK",IF(N624&gt;=C624/(1-SKU_Base!AI624)/(1-Settings!$D$17),"WARN","STOP"))),"")</f>
        <v/>
      </c>
      <c r="R624" s="159">
        <f>IFERROR(ROUND(D624*(1-CHOOSE(MATCH(IF($E624="","Основний",$E624),{"Трафіковий","Основний","Маржинальний","Сезонний","Стратегічний"},0),Settings!$E$78,Settings!$E$80,Settings!$E$82,Settings!$E$84,Settings!$E$86))/6,2)*6,"")</f>
        <v/>
      </c>
      <c r="S624" s="142">
        <f>IFERROR(CHOOSE(MATCH(IF($E624="","Основний",$E624),{"Трафіковий","Основний","Маржинальний","Сезонний","Стратегічний"},0),Settings!$E$78,Settings!$E$80,Settings!$E$82,Settings!$E$84,Settings!$E$86),"")</f>
        <v/>
      </c>
      <c r="T624" s="143">
        <f>IFERROR((R624*(1-Settings!$E$17)-C624)/(R624*(1-Settings!$E$17)),"")</f>
        <v/>
      </c>
      <c r="U624" s="149">
        <f>IFERROR(IF(R624="","",IF(R624&gt;=C624/(1-SKU_Base!AC624)/(1-Settings!$E$17),"OK",IF(R624&gt;=C624/(1-SKU_Base!AJ624)/(1-Settings!$E$17),"WARN","STOP"))),"")</f>
        <v/>
      </c>
      <c r="V624" s="159">
        <f>IFERROR(ROUND(D624*(1-CHOOSE(MATCH(IF($E624="","Основний",$E624),{"Трафіковий","Основний","Маржинальний","Сезонний","Стратегічний"},0),Settings!$F$78,Settings!$F$80,Settings!$F$82,Settings!$F$84,Settings!$F$86))/6,2)*6,"")</f>
        <v/>
      </c>
      <c r="W624" s="142">
        <f>IFERROR(CHOOSE(MATCH(IF($E624="","Основний",$E624),{"Трафіковий","Основний","Маржинальний","Сезонний","Стратегічний"},0),Settings!$F$78,Settings!$F$80,Settings!$F$82,Settings!$F$84,Settings!$F$86),"")</f>
        <v/>
      </c>
      <c r="X624" s="143">
        <f>IFERROR((V624*(1-Settings!$F$17)-C624)/(V624*(1-Settings!$F$17)),"")</f>
        <v/>
      </c>
      <c r="Y624" s="149">
        <f>IFERROR(IF(V624="","",IF(V624&gt;=C624/(1-SKU_Base!AD624)/(1-Settings!$F$17),"OK",IF(V624&gt;=C624/(1-SKU_Base!AK624)/(1-Settings!$F$17),"WARN","STOP"))),"")</f>
        <v/>
      </c>
      <c r="Z624" s="159">
        <f>IFERROR(ROUND(D624*(1-CHOOSE(MATCH(IF($E624="","Основний",$E624),{"Трафіковий","Основний","Маржинальний","Сезонний","Стратегічний"},0),Settings!$G$78,Settings!$G$80,Settings!$G$82,Settings!$G$84,Settings!$G$86))/6,2)*6,"")</f>
        <v/>
      </c>
      <c r="AA624" s="142">
        <f>IFERROR(CHOOSE(MATCH(IF($E624="","Основний",$E624),{"Трафіковий","Основний","Маржинальний","Сезонний","Стратегічний"},0),Settings!$G$78,Settings!$G$80,Settings!$G$82,Settings!$G$84,Settings!$G$86),"")</f>
        <v/>
      </c>
      <c r="AB624" s="143">
        <f>IFERROR((Z624*(1-Settings!$G$17)-C624)/(Z624*(1-Settings!$G$17)),"")</f>
        <v/>
      </c>
      <c r="AC624" s="149">
        <f>IFERROR(IF(Z624="","",IF(Z624&gt;=C624/(1-SKU_Base!AE624)/(1-Settings!$G$17),"OK",IF(Z624&gt;=C624/(1-SKU_Base!AL624)/(1-Settings!$G$17),"WARN","STOP"))),"")</f>
        <v/>
      </c>
      <c r="AD624" s="159">
        <f>IFERROR(ROUND(D624*(1-CHOOSE(MATCH(IF($E624="","Основний",$E624),{"Трафіковий","Основний","Маржинальний","Сезонний","Стратегічний"},0),Settings!$H$78,Settings!$H$80,Settings!$H$82,Settings!$H$84,Settings!$H$86))*(1-Settings!$H$68)/6,2)*6,"")</f>
        <v/>
      </c>
      <c r="AE624" s="142">
        <f>IFERROR(CHOOSE(MATCH(IF($E624="","Основний",$E624),{"Трафіковий","Основний","Маржинальний","Сезонний","Стратегічний"},0),Settings!$H$78,Settings!$H$80,Settings!$H$82,Settings!$H$84,Settings!$H$86)+(1-(CHOOSE(MATCH(IF($E624="","Основний",$E624),{"Трафіковий","Основний","Маржинальний","Сезонний","Стратегічний"},0),Settings!$H$78,Settings!$H$80,Settings!$H$82,Settings!$H$84,Settings!$H$86)))*Settings!$H$68,"")</f>
        <v/>
      </c>
      <c r="AF624" s="143">
        <f>IFERROR((AD624*(1-Settings!$H$17)-C624)/(AD624*(1-Settings!$H$17)),"")</f>
        <v/>
      </c>
      <c r="AG624" s="150">
        <f>IFERROR(IF(AD624="","",IF(AD624&gt;=C624/(1-SKU_Base!AF624)/(1-Settings!$H$17),"OK",IF(AD624&gt;=C624/(1-SKU_Base!AM624)/(1-Settings!$H$17),"WARN","STOP"))),"")</f>
        <v/>
      </c>
    </row>
    <row r="625" ht="17" customHeight="1" s="179">
      <c r="A625" s="146">
        <f>SKU_Base!B625</f>
        <v/>
      </c>
      <c r="B625" s="146">
        <f>SKU_Base!C625</f>
        <v/>
      </c>
      <c r="C625" s="147">
        <f>IFERROR(SKU_Base!I625,"")</f>
        <v/>
      </c>
      <c r="D625" s="164">
        <f>IFERROR(SKU_Base!T625,"")</f>
        <v/>
      </c>
      <c r="E625" s="141">
        <f>IFERROR(SKU_Base!$U625,"")</f>
        <v/>
      </c>
      <c r="F625" s="160">
        <f>IFERROR(ROUND(D625*(1-CHOOSE(MATCH(IF($E625="","Основний",$E625),{"Трафіковий","Основний","Маржинальний","Сезонний","Стратегічний"},0),Settings!$B$78,Settings!$B$80,Settings!$B$82,Settings!$B$84,Settings!$B$86))/6,2)*6,"")</f>
        <v/>
      </c>
      <c r="G625" s="142">
        <f>IFERROR(CHOOSE(MATCH(IF($E625="","Основний",$E625),{"Трафіковий","Основний","Маржинальний","Сезонний","Стратегічний"},0),Settings!$B$78,Settings!$B$80,Settings!$B$82,Settings!$B$84,Settings!$B$86),"")</f>
        <v/>
      </c>
      <c r="H625" s="148">
        <f>IFERROR((F625*(1-Settings!$B$17)-C625)/(F625*(1-Settings!$B$17)),"")</f>
        <v/>
      </c>
      <c r="I625" s="149">
        <f>IFERROR(IF(F625="","",IF(F625&gt;=C625/(1-SKU_Base!Z625)/(1-Settings!$B$17),"OK",IF(F625&gt;=C625/(1-SKU_Base!AG625)/(1-Settings!$B$17),"WARN","STOP"))),"")</f>
        <v/>
      </c>
      <c r="J625" s="160">
        <f>IFERROR(ROUND(D625*(1-CHOOSE(MATCH(IF($E625="","Основний",$E625),{"Трафіковий","Основний","Маржинальний","Сезонний","Стратегічний"},0),Settings!$C$78,Settings!$C$80,Settings!$C$82,Settings!$C$84,Settings!$C$86))/6,2)*6,"")</f>
        <v/>
      </c>
      <c r="K625" s="142">
        <f>IFERROR(CHOOSE(MATCH(IF($E625="","Основний",$E625),{"Трафіковий","Основний","Маржинальний","Сезонний","Стратегічний"},0),Settings!$C$78,Settings!$C$80,Settings!$C$82,Settings!$C$84,Settings!$C$86),"")</f>
        <v/>
      </c>
      <c r="L625" s="148">
        <f>IFERROR((J625*(1-Settings!$C$17)-C625)/(J625*(1-Settings!$C$17)),"")</f>
        <v/>
      </c>
      <c r="M625" s="149">
        <f>IFERROR(IF(J625="","",IF(J625&gt;=C625/(1-SKU_Base!AA625)/(1-Settings!$C$17),"OK",IF(J625&gt;=C625/(1-SKU_Base!AH625)/(1-Settings!$C$17),"WARN","STOP"))),"")</f>
        <v/>
      </c>
      <c r="N625" s="161">
        <f>IFERROR(ROUND(D625*(1-CHOOSE(MATCH(IF($E625="","Основний",$E625),{"Трафіковий","Основний","Маржинальний","Сезонний","Стратегічний"},0),Settings!$D$78,Settings!$D$80,Settings!$D$82,Settings!$D$84,Settings!$D$86))/6,2)*6,"")</f>
        <v/>
      </c>
      <c r="O625" s="142">
        <f>IFERROR(CHOOSE(MATCH(IF($E625="","Основний",$E625),{"Трафіковий","Основний","Маржинальний","Сезонний","Стратегічний"},0),Settings!$D$78,Settings!$D$80,Settings!$D$82,Settings!$D$84,Settings!$D$86),"")</f>
        <v/>
      </c>
      <c r="P625" s="148">
        <f>IFERROR((N625*(1-Settings!$D$17)-C625)/(N625*(1-Settings!$D$17)),"")</f>
        <v/>
      </c>
      <c r="Q625" s="149">
        <f>IFERROR(IF(N625="","",IF(N625&gt;=C625/(1-SKU_Base!AB625)/(1-Settings!$D$17),"OK",IF(N625&gt;=C625/(1-SKU_Base!AI625)/(1-Settings!$D$17),"WARN","STOP"))),"")</f>
        <v/>
      </c>
      <c r="R625" s="161">
        <f>IFERROR(ROUND(D625*(1-CHOOSE(MATCH(IF($E625="","Основний",$E625),{"Трафіковий","Основний","Маржинальний","Сезонний","Стратегічний"},0),Settings!$E$78,Settings!$E$80,Settings!$E$82,Settings!$E$84,Settings!$E$86))/6,2)*6,"")</f>
        <v/>
      </c>
      <c r="S625" s="142">
        <f>IFERROR(CHOOSE(MATCH(IF($E625="","Основний",$E625),{"Трафіковий","Основний","Маржинальний","Сезонний","Стратегічний"},0),Settings!$E$78,Settings!$E$80,Settings!$E$82,Settings!$E$84,Settings!$E$86),"")</f>
        <v/>
      </c>
      <c r="T625" s="148">
        <f>IFERROR((R625*(1-Settings!$E$17)-C625)/(R625*(1-Settings!$E$17)),"")</f>
        <v/>
      </c>
      <c r="U625" s="149">
        <f>IFERROR(IF(R625="","",IF(R625&gt;=C625/(1-SKU_Base!AC625)/(1-Settings!$E$17),"OK",IF(R625&gt;=C625/(1-SKU_Base!AJ625)/(1-Settings!$E$17),"WARN","STOP"))),"")</f>
        <v/>
      </c>
      <c r="V625" s="161">
        <f>IFERROR(ROUND(D625*(1-CHOOSE(MATCH(IF($E625="","Основний",$E625),{"Трафіковий","Основний","Маржинальний","Сезонний","Стратегічний"},0),Settings!$F$78,Settings!$F$80,Settings!$F$82,Settings!$F$84,Settings!$F$86))/6,2)*6,"")</f>
        <v/>
      </c>
      <c r="W625" s="142">
        <f>IFERROR(CHOOSE(MATCH(IF($E625="","Основний",$E625),{"Трафіковий","Основний","Маржинальний","Сезонний","Стратегічний"},0),Settings!$F$78,Settings!$F$80,Settings!$F$82,Settings!$F$84,Settings!$F$86),"")</f>
        <v/>
      </c>
      <c r="X625" s="148">
        <f>IFERROR((V625*(1-Settings!$F$17)-C625)/(V625*(1-Settings!$F$17)),"")</f>
        <v/>
      </c>
      <c r="Y625" s="149">
        <f>IFERROR(IF(V625="","",IF(V625&gt;=C625/(1-SKU_Base!AD625)/(1-Settings!$F$17),"OK",IF(V625&gt;=C625/(1-SKU_Base!AK625)/(1-Settings!$F$17),"WARN","STOP"))),"")</f>
        <v/>
      </c>
      <c r="Z625" s="161">
        <f>IFERROR(ROUND(D625*(1-CHOOSE(MATCH(IF($E625="","Основний",$E625),{"Трафіковий","Основний","Маржинальний","Сезонний","Стратегічний"},0),Settings!$G$78,Settings!$G$80,Settings!$G$82,Settings!$G$84,Settings!$G$86))/6,2)*6,"")</f>
        <v/>
      </c>
      <c r="AA625" s="142">
        <f>IFERROR(CHOOSE(MATCH(IF($E625="","Основний",$E625),{"Трафіковий","Основний","Маржинальний","Сезонний","Стратегічний"},0),Settings!$G$78,Settings!$G$80,Settings!$G$82,Settings!$G$84,Settings!$G$86),"")</f>
        <v/>
      </c>
      <c r="AB625" s="148">
        <f>IFERROR((Z625*(1-Settings!$G$17)-C625)/(Z625*(1-Settings!$G$17)),"")</f>
        <v/>
      </c>
      <c r="AC625" s="149">
        <f>IFERROR(IF(Z625="","",IF(Z625&gt;=C625/(1-SKU_Base!AE625)/(1-Settings!$G$17),"OK",IF(Z625&gt;=C625/(1-SKU_Base!AL625)/(1-Settings!$G$17),"WARN","STOP"))),"")</f>
        <v/>
      </c>
      <c r="AD625" s="161">
        <f>IFERROR(ROUND(D625*(1-CHOOSE(MATCH(IF($E625="","Основний",$E625),{"Трафіковий","Основний","Маржинальний","Сезонний","Стратегічний"},0),Settings!$H$78,Settings!$H$80,Settings!$H$82,Settings!$H$84,Settings!$H$86))*(1-Settings!$H$68)/6,2)*6,"")</f>
        <v/>
      </c>
      <c r="AE625" s="142">
        <f>IFERROR(CHOOSE(MATCH(IF($E625="","Основний",$E625),{"Трафіковий","Основний","Маржинальний","Сезонний","Стратегічний"},0),Settings!$H$78,Settings!$H$80,Settings!$H$82,Settings!$H$84,Settings!$H$86)+(1-(CHOOSE(MATCH(IF($E625="","Основний",$E625),{"Трафіковий","Основний","Маржинальний","Сезонний","Стратегічний"},0),Settings!$H$78,Settings!$H$80,Settings!$H$82,Settings!$H$84,Settings!$H$86)))*Settings!$H$68,"")</f>
        <v/>
      </c>
      <c r="AF625" s="148">
        <f>IFERROR((AD625*(1-Settings!$H$17)-C625)/(AD625*(1-Settings!$H$17)),"")</f>
        <v/>
      </c>
      <c r="AG625" s="150">
        <f>IFERROR(IF(AD625="","",IF(AD625&gt;=C625/(1-SKU_Base!AF625)/(1-Settings!$H$17),"OK",IF(AD625&gt;=C625/(1-SKU_Base!AM625)/(1-Settings!$H$17),"WARN","STOP"))),"")</f>
        <v/>
      </c>
    </row>
    <row r="626" ht="17" customHeight="1" s="179">
      <c r="A626" s="139">
        <f>SKU_Base!B626</f>
        <v/>
      </c>
      <c r="B626" s="139">
        <f>SKU_Base!C626</f>
        <v/>
      </c>
      <c r="C626" s="140">
        <f>IFERROR(SKU_Base!I626,"")</f>
        <v/>
      </c>
      <c r="D626" s="163">
        <f>IFERROR(SKU_Base!T626,"")</f>
        <v/>
      </c>
      <c r="E626" s="141">
        <f>IFERROR(SKU_Base!$U626,"")</f>
        <v/>
      </c>
      <c r="F626" s="158">
        <f>IFERROR(ROUND(D626*(1-CHOOSE(MATCH(IF($E626="","Основний",$E626),{"Трафіковий","Основний","Маржинальний","Сезонний","Стратегічний"},0),Settings!$B$78,Settings!$B$80,Settings!$B$82,Settings!$B$84,Settings!$B$86))/6,2)*6,"")</f>
        <v/>
      </c>
      <c r="G626" s="142">
        <f>IFERROR(CHOOSE(MATCH(IF($E626="","Основний",$E626),{"Трафіковий","Основний","Маржинальний","Сезонний","Стратегічний"},0),Settings!$B$78,Settings!$B$80,Settings!$B$82,Settings!$B$84,Settings!$B$86),"")</f>
        <v/>
      </c>
      <c r="H626" s="143">
        <f>IFERROR((F626*(1-Settings!$B$17)-C626)/(F626*(1-Settings!$B$17)),"")</f>
        <v/>
      </c>
      <c r="I626" s="149">
        <f>IFERROR(IF(F626="","",IF(F626&gt;=C626/(1-SKU_Base!Z626)/(1-Settings!$B$17),"OK",IF(F626&gt;=C626/(1-SKU_Base!AG626)/(1-Settings!$B$17),"WARN","STOP"))),"")</f>
        <v/>
      </c>
      <c r="J626" s="158">
        <f>IFERROR(ROUND(D626*(1-CHOOSE(MATCH(IF($E626="","Основний",$E626),{"Трафіковий","Основний","Маржинальний","Сезонний","Стратегічний"},0),Settings!$C$78,Settings!$C$80,Settings!$C$82,Settings!$C$84,Settings!$C$86))/6,2)*6,"")</f>
        <v/>
      </c>
      <c r="K626" s="142">
        <f>IFERROR(CHOOSE(MATCH(IF($E626="","Основний",$E626),{"Трафіковий","Основний","Маржинальний","Сезонний","Стратегічний"},0),Settings!$C$78,Settings!$C$80,Settings!$C$82,Settings!$C$84,Settings!$C$86),"")</f>
        <v/>
      </c>
      <c r="L626" s="143">
        <f>IFERROR((J626*(1-Settings!$C$17)-C626)/(J626*(1-Settings!$C$17)),"")</f>
        <v/>
      </c>
      <c r="M626" s="149">
        <f>IFERROR(IF(J626="","",IF(J626&gt;=C626/(1-SKU_Base!AA626)/(1-Settings!$C$17),"OK",IF(J626&gt;=C626/(1-SKU_Base!AH626)/(1-Settings!$C$17),"WARN","STOP"))),"")</f>
        <v/>
      </c>
      <c r="N626" s="159">
        <f>IFERROR(ROUND(D626*(1-CHOOSE(MATCH(IF($E626="","Основний",$E626),{"Трафіковий","Основний","Маржинальний","Сезонний","Стратегічний"},0),Settings!$D$78,Settings!$D$80,Settings!$D$82,Settings!$D$84,Settings!$D$86))/6,2)*6,"")</f>
        <v/>
      </c>
      <c r="O626" s="142">
        <f>IFERROR(CHOOSE(MATCH(IF($E626="","Основний",$E626),{"Трафіковий","Основний","Маржинальний","Сезонний","Стратегічний"},0),Settings!$D$78,Settings!$D$80,Settings!$D$82,Settings!$D$84,Settings!$D$86),"")</f>
        <v/>
      </c>
      <c r="P626" s="143">
        <f>IFERROR((N626*(1-Settings!$D$17)-C626)/(N626*(1-Settings!$D$17)),"")</f>
        <v/>
      </c>
      <c r="Q626" s="149">
        <f>IFERROR(IF(N626="","",IF(N626&gt;=C626/(1-SKU_Base!AB626)/(1-Settings!$D$17),"OK",IF(N626&gt;=C626/(1-SKU_Base!AI626)/(1-Settings!$D$17),"WARN","STOP"))),"")</f>
        <v/>
      </c>
      <c r="R626" s="159">
        <f>IFERROR(ROUND(D626*(1-CHOOSE(MATCH(IF($E626="","Основний",$E626),{"Трафіковий","Основний","Маржинальний","Сезонний","Стратегічний"},0),Settings!$E$78,Settings!$E$80,Settings!$E$82,Settings!$E$84,Settings!$E$86))/6,2)*6,"")</f>
        <v/>
      </c>
      <c r="S626" s="142">
        <f>IFERROR(CHOOSE(MATCH(IF($E626="","Основний",$E626),{"Трафіковий","Основний","Маржинальний","Сезонний","Стратегічний"},0),Settings!$E$78,Settings!$E$80,Settings!$E$82,Settings!$E$84,Settings!$E$86),"")</f>
        <v/>
      </c>
      <c r="T626" s="143">
        <f>IFERROR((R626*(1-Settings!$E$17)-C626)/(R626*(1-Settings!$E$17)),"")</f>
        <v/>
      </c>
      <c r="U626" s="149">
        <f>IFERROR(IF(R626="","",IF(R626&gt;=C626/(1-SKU_Base!AC626)/(1-Settings!$E$17),"OK",IF(R626&gt;=C626/(1-SKU_Base!AJ626)/(1-Settings!$E$17),"WARN","STOP"))),"")</f>
        <v/>
      </c>
      <c r="V626" s="159">
        <f>IFERROR(ROUND(D626*(1-CHOOSE(MATCH(IF($E626="","Основний",$E626),{"Трафіковий","Основний","Маржинальний","Сезонний","Стратегічний"},0),Settings!$F$78,Settings!$F$80,Settings!$F$82,Settings!$F$84,Settings!$F$86))/6,2)*6,"")</f>
        <v/>
      </c>
      <c r="W626" s="142">
        <f>IFERROR(CHOOSE(MATCH(IF($E626="","Основний",$E626),{"Трафіковий","Основний","Маржинальний","Сезонний","Стратегічний"},0),Settings!$F$78,Settings!$F$80,Settings!$F$82,Settings!$F$84,Settings!$F$86),"")</f>
        <v/>
      </c>
      <c r="X626" s="143">
        <f>IFERROR((V626*(1-Settings!$F$17)-C626)/(V626*(1-Settings!$F$17)),"")</f>
        <v/>
      </c>
      <c r="Y626" s="149">
        <f>IFERROR(IF(V626="","",IF(V626&gt;=C626/(1-SKU_Base!AD626)/(1-Settings!$F$17),"OK",IF(V626&gt;=C626/(1-SKU_Base!AK626)/(1-Settings!$F$17),"WARN","STOP"))),"")</f>
        <v/>
      </c>
      <c r="Z626" s="159">
        <f>IFERROR(ROUND(D626*(1-CHOOSE(MATCH(IF($E626="","Основний",$E626),{"Трафіковий","Основний","Маржинальний","Сезонний","Стратегічний"},0),Settings!$G$78,Settings!$G$80,Settings!$G$82,Settings!$G$84,Settings!$G$86))/6,2)*6,"")</f>
        <v/>
      </c>
      <c r="AA626" s="142">
        <f>IFERROR(CHOOSE(MATCH(IF($E626="","Основний",$E626),{"Трафіковий","Основний","Маржинальний","Сезонний","Стратегічний"},0),Settings!$G$78,Settings!$G$80,Settings!$G$82,Settings!$G$84,Settings!$G$86),"")</f>
        <v/>
      </c>
      <c r="AB626" s="143">
        <f>IFERROR((Z626*(1-Settings!$G$17)-C626)/(Z626*(1-Settings!$G$17)),"")</f>
        <v/>
      </c>
      <c r="AC626" s="149">
        <f>IFERROR(IF(Z626="","",IF(Z626&gt;=C626/(1-SKU_Base!AE626)/(1-Settings!$G$17),"OK",IF(Z626&gt;=C626/(1-SKU_Base!AL626)/(1-Settings!$G$17),"WARN","STOP"))),"")</f>
        <v/>
      </c>
      <c r="AD626" s="159">
        <f>IFERROR(ROUND(D626*(1-CHOOSE(MATCH(IF($E626="","Основний",$E626),{"Трафіковий","Основний","Маржинальний","Сезонний","Стратегічний"},0),Settings!$H$78,Settings!$H$80,Settings!$H$82,Settings!$H$84,Settings!$H$86))*(1-Settings!$H$68)/6,2)*6,"")</f>
        <v/>
      </c>
      <c r="AE626" s="142">
        <f>IFERROR(CHOOSE(MATCH(IF($E626="","Основний",$E626),{"Трафіковий","Основний","Маржинальний","Сезонний","Стратегічний"},0),Settings!$H$78,Settings!$H$80,Settings!$H$82,Settings!$H$84,Settings!$H$86)+(1-(CHOOSE(MATCH(IF($E626="","Основний",$E626),{"Трафіковий","Основний","Маржинальний","Сезонний","Стратегічний"},0),Settings!$H$78,Settings!$H$80,Settings!$H$82,Settings!$H$84,Settings!$H$86)))*Settings!$H$68,"")</f>
        <v/>
      </c>
      <c r="AF626" s="143">
        <f>IFERROR((AD626*(1-Settings!$H$17)-C626)/(AD626*(1-Settings!$H$17)),"")</f>
        <v/>
      </c>
      <c r="AG626" s="150">
        <f>IFERROR(IF(AD626="","",IF(AD626&gt;=C626/(1-SKU_Base!AF626)/(1-Settings!$H$17),"OK",IF(AD626&gt;=C626/(1-SKU_Base!AM626)/(1-Settings!$H$17),"WARN","STOP"))),"")</f>
        <v/>
      </c>
    </row>
    <row r="627" ht="17" customHeight="1" s="179">
      <c r="A627" s="146">
        <f>SKU_Base!B627</f>
        <v/>
      </c>
      <c r="B627" s="146">
        <f>SKU_Base!C627</f>
        <v/>
      </c>
      <c r="C627" s="147">
        <f>IFERROR(SKU_Base!I627,"")</f>
        <v/>
      </c>
      <c r="D627" s="164">
        <f>IFERROR(SKU_Base!T627,"")</f>
        <v/>
      </c>
      <c r="E627" s="141">
        <f>IFERROR(SKU_Base!$U627,"")</f>
        <v/>
      </c>
      <c r="F627" s="160">
        <f>IFERROR(ROUND(D627*(1-CHOOSE(MATCH(IF($E627="","Основний",$E627),{"Трафіковий","Основний","Маржинальний","Сезонний","Стратегічний"},0),Settings!$B$78,Settings!$B$80,Settings!$B$82,Settings!$B$84,Settings!$B$86))/6,2)*6,"")</f>
        <v/>
      </c>
      <c r="G627" s="142">
        <f>IFERROR(CHOOSE(MATCH(IF($E627="","Основний",$E627),{"Трафіковий","Основний","Маржинальний","Сезонний","Стратегічний"},0),Settings!$B$78,Settings!$B$80,Settings!$B$82,Settings!$B$84,Settings!$B$86),"")</f>
        <v/>
      </c>
      <c r="H627" s="148">
        <f>IFERROR((F627*(1-Settings!$B$17)-C627)/(F627*(1-Settings!$B$17)),"")</f>
        <v/>
      </c>
      <c r="I627" s="149">
        <f>IFERROR(IF(F627="","",IF(F627&gt;=C627/(1-SKU_Base!Z627)/(1-Settings!$B$17),"OK",IF(F627&gt;=C627/(1-SKU_Base!AG627)/(1-Settings!$B$17),"WARN","STOP"))),"")</f>
        <v/>
      </c>
      <c r="J627" s="160">
        <f>IFERROR(ROUND(D627*(1-CHOOSE(MATCH(IF($E627="","Основний",$E627),{"Трафіковий","Основний","Маржинальний","Сезонний","Стратегічний"},0),Settings!$C$78,Settings!$C$80,Settings!$C$82,Settings!$C$84,Settings!$C$86))/6,2)*6,"")</f>
        <v/>
      </c>
      <c r="K627" s="142">
        <f>IFERROR(CHOOSE(MATCH(IF($E627="","Основний",$E627),{"Трафіковий","Основний","Маржинальний","Сезонний","Стратегічний"},0),Settings!$C$78,Settings!$C$80,Settings!$C$82,Settings!$C$84,Settings!$C$86),"")</f>
        <v/>
      </c>
      <c r="L627" s="148">
        <f>IFERROR((J627*(1-Settings!$C$17)-C627)/(J627*(1-Settings!$C$17)),"")</f>
        <v/>
      </c>
      <c r="M627" s="149">
        <f>IFERROR(IF(J627="","",IF(J627&gt;=C627/(1-SKU_Base!AA627)/(1-Settings!$C$17),"OK",IF(J627&gt;=C627/(1-SKU_Base!AH627)/(1-Settings!$C$17),"WARN","STOP"))),"")</f>
        <v/>
      </c>
      <c r="N627" s="161">
        <f>IFERROR(ROUND(D627*(1-CHOOSE(MATCH(IF($E627="","Основний",$E627),{"Трафіковий","Основний","Маржинальний","Сезонний","Стратегічний"},0),Settings!$D$78,Settings!$D$80,Settings!$D$82,Settings!$D$84,Settings!$D$86))/6,2)*6,"")</f>
        <v/>
      </c>
      <c r="O627" s="142">
        <f>IFERROR(CHOOSE(MATCH(IF($E627="","Основний",$E627),{"Трафіковий","Основний","Маржинальний","Сезонний","Стратегічний"},0),Settings!$D$78,Settings!$D$80,Settings!$D$82,Settings!$D$84,Settings!$D$86),"")</f>
        <v/>
      </c>
      <c r="P627" s="148">
        <f>IFERROR((N627*(1-Settings!$D$17)-C627)/(N627*(1-Settings!$D$17)),"")</f>
        <v/>
      </c>
      <c r="Q627" s="149">
        <f>IFERROR(IF(N627="","",IF(N627&gt;=C627/(1-SKU_Base!AB627)/(1-Settings!$D$17),"OK",IF(N627&gt;=C627/(1-SKU_Base!AI627)/(1-Settings!$D$17),"WARN","STOP"))),"")</f>
        <v/>
      </c>
      <c r="R627" s="161">
        <f>IFERROR(ROUND(D627*(1-CHOOSE(MATCH(IF($E627="","Основний",$E627),{"Трафіковий","Основний","Маржинальний","Сезонний","Стратегічний"},0),Settings!$E$78,Settings!$E$80,Settings!$E$82,Settings!$E$84,Settings!$E$86))/6,2)*6,"")</f>
        <v/>
      </c>
      <c r="S627" s="142">
        <f>IFERROR(CHOOSE(MATCH(IF($E627="","Основний",$E627),{"Трафіковий","Основний","Маржинальний","Сезонний","Стратегічний"},0),Settings!$E$78,Settings!$E$80,Settings!$E$82,Settings!$E$84,Settings!$E$86),"")</f>
        <v/>
      </c>
      <c r="T627" s="148">
        <f>IFERROR((R627*(1-Settings!$E$17)-C627)/(R627*(1-Settings!$E$17)),"")</f>
        <v/>
      </c>
      <c r="U627" s="149">
        <f>IFERROR(IF(R627="","",IF(R627&gt;=C627/(1-SKU_Base!AC627)/(1-Settings!$E$17),"OK",IF(R627&gt;=C627/(1-SKU_Base!AJ627)/(1-Settings!$E$17),"WARN","STOP"))),"")</f>
        <v/>
      </c>
      <c r="V627" s="161">
        <f>IFERROR(ROUND(D627*(1-CHOOSE(MATCH(IF($E627="","Основний",$E627),{"Трафіковий","Основний","Маржинальний","Сезонний","Стратегічний"},0),Settings!$F$78,Settings!$F$80,Settings!$F$82,Settings!$F$84,Settings!$F$86))/6,2)*6,"")</f>
        <v/>
      </c>
      <c r="W627" s="142">
        <f>IFERROR(CHOOSE(MATCH(IF($E627="","Основний",$E627),{"Трафіковий","Основний","Маржинальний","Сезонний","Стратегічний"},0),Settings!$F$78,Settings!$F$80,Settings!$F$82,Settings!$F$84,Settings!$F$86),"")</f>
        <v/>
      </c>
      <c r="X627" s="148">
        <f>IFERROR((V627*(1-Settings!$F$17)-C627)/(V627*(1-Settings!$F$17)),"")</f>
        <v/>
      </c>
      <c r="Y627" s="149">
        <f>IFERROR(IF(V627="","",IF(V627&gt;=C627/(1-SKU_Base!AD627)/(1-Settings!$F$17),"OK",IF(V627&gt;=C627/(1-SKU_Base!AK627)/(1-Settings!$F$17),"WARN","STOP"))),"")</f>
        <v/>
      </c>
      <c r="Z627" s="161">
        <f>IFERROR(ROUND(D627*(1-CHOOSE(MATCH(IF($E627="","Основний",$E627),{"Трафіковий","Основний","Маржинальний","Сезонний","Стратегічний"},0),Settings!$G$78,Settings!$G$80,Settings!$G$82,Settings!$G$84,Settings!$G$86))/6,2)*6,"")</f>
        <v/>
      </c>
      <c r="AA627" s="142">
        <f>IFERROR(CHOOSE(MATCH(IF($E627="","Основний",$E627),{"Трафіковий","Основний","Маржинальний","Сезонний","Стратегічний"},0),Settings!$G$78,Settings!$G$80,Settings!$G$82,Settings!$G$84,Settings!$G$86),"")</f>
        <v/>
      </c>
      <c r="AB627" s="148">
        <f>IFERROR((Z627*(1-Settings!$G$17)-C627)/(Z627*(1-Settings!$G$17)),"")</f>
        <v/>
      </c>
      <c r="AC627" s="149">
        <f>IFERROR(IF(Z627="","",IF(Z627&gt;=C627/(1-SKU_Base!AE627)/(1-Settings!$G$17),"OK",IF(Z627&gt;=C627/(1-SKU_Base!AL627)/(1-Settings!$G$17),"WARN","STOP"))),"")</f>
        <v/>
      </c>
      <c r="AD627" s="161">
        <f>IFERROR(ROUND(D627*(1-CHOOSE(MATCH(IF($E627="","Основний",$E627),{"Трафіковий","Основний","Маржинальний","Сезонний","Стратегічний"},0),Settings!$H$78,Settings!$H$80,Settings!$H$82,Settings!$H$84,Settings!$H$86))*(1-Settings!$H$68)/6,2)*6,"")</f>
        <v/>
      </c>
      <c r="AE627" s="142">
        <f>IFERROR(CHOOSE(MATCH(IF($E627="","Основний",$E627),{"Трафіковий","Основний","Маржинальний","Сезонний","Стратегічний"},0),Settings!$H$78,Settings!$H$80,Settings!$H$82,Settings!$H$84,Settings!$H$86)+(1-(CHOOSE(MATCH(IF($E627="","Основний",$E627),{"Трафіковий","Основний","Маржинальний","Сезонний","Стратегічний"},0),Settings!$H$78,Settings!$H$80,Settings!$H$82,Settings!$H$84,Settings!$H$86)))*Settings!$H$68,"")</f>
        <v/>
      </c>
      <c r="AF627" s="148">
        <f>IFERROR((AD627*(1-Settings!$H$17)-C627)/(AD627*(1-Settings!$H$17)),"")</f>
        <v/>
      </c>
      <c r="AG627" s="150">
        <f>IFERROR(IF(AD627="","",IF(AD627&gt;=C627/(1-SKU_Base!AF627)/(1-Settings!$H$17),"OK",IF(AD627&gt;=C627/(1-SKU_Base!AM627)/(1-Settings!$H$17),"WARN","STOP"))),"")</f>
        <v/>
      </c>
    </row>
    <row r="628" ht="17" customHeight="1" s="179">
      <c r="A628" s="139">
        <f>SKU_Base!B628</f>
        <v/>
      </c>
      <c r="B628" s="139">
        <f>SKU_Base!C628</f>
        <v/>
      </c>
      <c r="C628" s="140">
        <f>IFERROR(SKU_Base!I628,"")</f>
        <v/>
      </c>
      <c r="D628" s="163">
        <f>IFERROR(SKU_Base!T628,"")</f>
        <v/>
      </c>
      <c r="E628" s="141">
        <f>IFERROR(SKU_Base!$U628,"")</f>
        <v/>
      </c>
      <c r="F628" s="158">
        <f>IFERROR(ROUND(D628*(1-CHOOSE(MATCH(IF($E628="","Основний",$E628),{"Трафіковий","Основний","Маржинальний","Сезонний","Стратегічний"},0),Settings!$B$78,Settings!$B$80,Settings!$B$82,Settings!$B$84,Settings!$B$86))/6,2)*6,"")</f>
        <v/>
      </c>
      <c r="G628" s="142">
        <f>IFERROR(CHOOSE(MATCH(IF($E628="","Основний",$E628),{"Трафіковий","Основний","Маржинальний","Сезонний","Стратегічний"},0),Settings!$B$78,Settings!$B$80,Settings!$B$82,Settings!$B$84,Settings!$B$86),"")</f>
        <v/>
      </c>
      <c r="H628" s="143">
        <f>IFERROR((F628*(1-Settings!$B$17)-C628)/(F628*(1-Settings!$B$17)),"")</f>
        <v/>
      </c>
      <c r="I628" s="149">
        <f>IFERROR(IF(F628="","",IF(F628&gt;=C628/(1-SKU_Base!Z628)/(1-Settings!$B$17),"OK",IF(F628&gt;=C628/(1-SKU_Base!AG628)/(1-Settings!$B$17),"WARN","STOP"))),"")</f>
        <v/>
      </c>
      <c r="J628" s="158">
        <f>IFERROR(ROUND(D628*(1-CHOOSE(MATCH(IF($E628="","Основний",$E628),{"Трафіковий","Основний","Маржинальний","Сезонний","Стратегічний"},0),Settings!$C$78,Settings!$C$80,Settings!$C$82,Settings!$C$84,Settings!$C$86))/6,2)*6,"")</f>
        <v/>
      </c>
      <c r="K628" s="142">
        <f>IFERROR(CHOOSE(MATCH(IF($E628="","Основний",$E628),{"Трафіковий","Основний","Маржинальний","Сезонний","Стратегічний"},0),Settings!$C$78,Settings!$C$80,Settings!$C$82,Settings!$C$84,Settings!$C$86),"")</f>
        <v/>
      </c>
      <c r="L628" s="143">
        <f>IFERROR((J628*(1-Settings!$C$17)-C628)/(J628*(1-Settings!$C$17)),"")</f>
        <v/>
      </c>
      <c r="M628" s="149">
        <f>IFERROR(IF(J628="","",IF(J628&gt;=C628/(1-SKU_Base!AA628)/(1-Settings!$C$17),"OK",IF(J628&gt;=C628/(1-SKU_Base!AH628)/(1-Settings!$C$17),"WARN","STOP"))),"")</f>
        <v/>
      </c>
      <c r="N628" s="159">
        <f>IFERROR(ROUND(D628*(1-CHOOSE(MATCH(IF($E628="","Основний",$E628),{"Трафіковий","Основний","Маржинальний","Сезонний","Стратегічний"},0),Settings!$D$78,Settings!$D$80,Settings!$D$82,Settings!$D$84,Settings!$D$86))/6,2)*6,"")</f>
        <v/>
      </c>
      <c r="O628" s="142">
        <f>IFERROR(CHOOSE(MATCH(IF($E628="","Основний",$E628),{"Трафіковий","Основний","Маржинальний","Сезонний","Стратегічний"},0),Settings!$D$78,Settings!$D$80,Settings!$D$82,Settings!$D$84,Settings!$D$86),"")</f>
        <v/>
      </c>
      <c r="P628" s="143">
        <f>IFERROR((N628*(1-Settings!$D$17)-C628)/(N628*(1-Settings!$D$17)),"")</f>
        <v/>
      </c>
      <c r="Q628" s="149">
        <f>IFERROR(IF(N628="","",IF(N628&gt;=C628/(1-SKU_Base!AB628)/(1-Settings!$D$17),"OK",IF(N628&gt;=C628/(1-SKU_Base!AI628)/(1-Settings!$D$17),"WARN","STOP"))),"")</f>
        <v/>
      </c>
      <c r="R628" s="159">
        <f>IFERROR(ROUND(D628*(1-CHOOSE(MATCH(IF($E628="","Основний",$E628),{"Трафіковий","Основний","Маржинальний","Сезонний","Стратегічний"},0),Settings!$E$78,Settings!$E$80,Settings!$E$82,Settings!$E$84,Settings!$E$86))/6,2)*6,"")</f>
        <v/>
      </c>
      <c r="S628" s="142">
        <f>IFERROR(CHOOSE(MATCH(IF($E628="","Основний",$E628),{"Трафіковий","Основний","Маржинальний","Сезонний","Стратегічний"},0),Settings!$E$78,Settings!$E$80,Settings!$E$82,Settings!$E$84,Settings!$E$86),"")</f>
        <v/>
      </c>
      <c r="T628" s="143">
        <f>IFERROR((R628*(1-Settings!$E$17)-C628)/(R628*(1-Settings!$E$17)),"")</f>
        <v/>
      </c>
      <c r="U628" s="149">
        <f>IFERROR(IF(R628="","",IF(R628&gt;=C628/(1-SKU_Base!AC628)/(1-Settings!$E$17),"OK",IF(R628&gt;=C628/(1-SKU_Base!AJ628)/(1-Settings!$E$17),"WARN","STOP"))),"")</f>
        <v/>
      </c>
      <c r="V628" s="159">
        <f>IFERROR(ROUND(D628*(1-CHOOSE(MATCH(IF($E628="","Основний",$E628),{"Трафіковий","Основний","Маржинальний","Сезонний","Стратегічний"},0),Settings!$F$78,Settings!$F$80,Settings!$F$82,Settings!$F$84,Settings!$F$86))/6,2)*6,"")</f>
        <v/>
      </c>
      <c r="W628" s="142">
        <f>IFERROR(CHOOSE(MATCH(IF($E628="","Основний",$E628),{"Трафіковий","Основний","Маржинальний","Сезонний","Стратегічний"},0),Settings!$F$78,Settings!$F$80,Settings!$F$82,Settings!$F$84,Settings!$F$86),"")</f>
        <v/>
      </c>
      <c r="X628" s="143">
        <f>IFERROR((V628*(1-Settings!$F$17)-C628)/(V628*(1-Settings!$F$17)),"")</f>
        <v/>
      </c>
      <c r="Y628" s="149">
        <f>IFERROR(IF(V628="","",IF(V628&gt;=C628/(1-SKU_Base!AD628)/(1-Settings!$F$17),"OK",IF(V628&gt;=C628/(1-SKU_Base!AK628)/(1-Settings!$F$17),"WARN","STOP"))),"")</f>
        <v/>
      </c>
      <c r="Z628" s="159">
        <f>IFERROR(ROUND(D628*(1-CHOOSE(MATCH(IF($E628="","Основний",$E628),{"Трафіковий","Основний","Маржинальний","Сезонний","Стратегічний"},0),Settings!$G$78,Settings!$G$80,Settings!$G$82,Settings!$G$84,Settings!$G$86))/6,2)*6,"")</f>
        <v/>
      </c>
      <c r="AA628" s="142">
        <f>IFERROR(CHOOSE(MATCH(IF($E628="","Основний",$E628),{"Трафіковий","Основний","Маржинальний","Сезонний","Стратегічний"},0),Settings!$G$78,Settings!$G$80,Settings!$G$82,Settings!$G$84,Settings!$G$86),"")</f>
        <v/>
      </c>
      <c r="AB628" s="143">
        <f>IFERROR((Z628*(1-Settings!$G$17)-C628)/(Z628*(1-Settings!$G$17)),"")</f>
        <v/>
      </c>
      <c r="AC628" s="149">
        <f>IFERROR(IF(Z628="","",IF(Z628&gt;=C628/(1-SKU_Base!AE628)/(1-Settings!$G$17),"OK",IF(Z628&gt;=C628/(1-SKU_Base!AL628)/(1-Settings!$G$17),"WARN","STOP"))),"")</f>
        <v/>
      </c>
      <c r="AD628" s="159">
        <f>IFERROR(ROUND(D628*(1-CHOOSE(MATCH(IF($E628="","Основний",$E628),{"Трафіковий","Основний","Маржинальний","Сезонний","Стратегічний"},0),Settings!$H$78,Settings!$H$80,Settings!$H$82,Settings!$H$84,Settings!$H$86))*(1-Settings!$H$68)/6,2)*6,"")</f>
        <v/>
      </c>
      <c r="AE628" s="142">
        <f>IFERROR(CHOOSE(MATCH(IF($E628="","Основний",$E628),{"Трафіковий","Основний","Маржинальний","Сезонний","Стратегічний"},0),Settings!$H$78,Settings!$H$80,Settings!$H$82,Settings!$H$84,Settings!$H$86)+(1-(CHOOSE(MATCH(IF($E628="","Основний",$E628),{"Трафіковий","Основний","Маржинальний","Сезонний","Стратегічний"},0),Settings!$H$78,Settings!$H$80,Settings!$H$82,Settings!$H$84,Settings!$H$86)))*Settings!$H$68,"")</f>
        <v/>
      </c>
      <c r="AF628" s="143">
        <f>IFERROR((AD628*(1-Settings!$H$17)-C628)/(AD628*(1-Settings!$H$17)),"")</f>
        <v/>
      </c>
      <c r="AG628" s="150">
        <f>IFERROR(IF(AD628="","",IF(AD628&gt;=C628/(1-SKU_Base!AF628)/(1-Settings!$H$17),"OK",IF(AD628&gt;=C628/(1-SKU_Base!AM628)/(1-Settings!$H$17),"WARN","STOP"))),"")</f>
        <v/>
      </c>
    </row>
    <row r="629" ht="17" customHeight="1" s="179">
      <c r="A629" s="146">
        <f>SKU_Base!B629</f>
        <v/>
      </c>
      <c r="B629" s="146">
        <f>SKU_Base!C629</f>
        <v/>
      </c>
      <c r="C629" s="147">
        <f>IFERROR(SKU_Base!I629,"")</f>
        <v/>
      </c>
      <c r="D629" s="164">
        <f>IFERROR(SKU_Base!T629,"")</f>
        <v/>
      </c>
      <c r="E629" s="141">
        <f>IFERROR(SKU_Base!$U629,"")</f>
        <v/>
      </c>
      <c r="F629" s="160">
        <f>IFERROR(ROUND(D629*(1-CHOOSE(MATCH(IF($E629="","Основний",$E629),{"Трафіковий","Основний","Маржинальний","Сезонний","Стратегічний"},0),Settings!$B$78,Settings!$B$80,Settings!$B$82,Settings!$B$84,Settings!$B$86))/6,2)*6,"")</f>
        <v/>
      </c>
      <c r="G629" s="142">
        <f>IFERROR(CHOOSE(MATCH(IF($E629="","Основний",$E629),{"Трафіковий","Основний","Маржинальний","Сезонний","Стратегічний"},0),Settings!$B$78,Settings!$B$80,Settings!$B$82,Settings!$B$84,Settings!$B$86),"")</f>
        <v/>
      </c>
      <c r="H629" s="148">
        <f>IFERROR((F629*(1-Settings!$B$17)-C629)/(F629*(1-Settings!$B$17)),"")</f>
        <v/>
      </c>
      <c r="I629" s="149">
        <f>IFERROR(IF(F629="","",IF(F629&gt;=C629/(1-SKU_Base!Z629)/(1-Settings!$B$17),"OK",IF(F629&gt;=C629/(1-SKU_Base!AG629)/(1-Settings!$B$17),"WARN","STOP"))),"")</f>
        <v/>
      </c>
      <c r="J629" s="160">
        <f>IFERROR(ROUND(D629*(1-CHOOSE(MATCH(IF($E629="","Основний",$E629),{"Трафіковий","Основний","Маржинальний","Сезонний","Стратегічний"},0),Settings!$C$78,Settings!$C$80,Settings!$C$82,Settings!$C$84,Settings!$C$86))/6,2)*6,"")</f>
        <v/>
      </c>
      <c r="K629" s="142">
        <f>IFERROR(CHOOSE(MATCH(IF($E629="","Основний",$E629),{"Трафіковий","Основний","Маржинальний","Сезонний","Стратегічний"},0),Settings!$C$78,Settings!$C$80,Settings!$C$82,Settings!$C$84,Settings!$C$86),"")</f>
        <v/>
      </c>
      <c r="L629" s="148">
        <f>IFERROR((J629*(1-Settings!$C$17)-C629)/(J629*(1-Settings!$C$17)),"")</f>
        <v/>
      </c>
      <c r="M629" s="149">
        <f>IFERROR(IF(J629="","",IF(J629&gt;=C629/(1-SKU_Base!AA629)/(1-Settings!$C$17),"OK",IF(J629&gt;=C629/(1-SKU_Base!AH629)/(1-Settings!$C$17),"WARN","STOP"))),"")</f>
        <v/>
      </c>
      <c r="N629" s="161">
        <f>IFERROR(ROUND(D629*(1-CHOOSE(MATCH(IF($E629="","Основний",$E629),{"Трафіковий","Основний","Маржинальний","Сезонний","Стратегічний"},0),Settings!$D$78,Settings!$D$80,Settings!$D$82,Settings!$D$84,Settings!$D$86))/6,2)*6,"")</f>
        <v/>
      </c>
      <c r="O629" s="142">
        <f>IFERROR(CHOOSE(MATCH(IF($E629="","Основний",$E629),{"Трафіковий","Основний","Маржинальний","Сезонний","Стратегічний"},0),Settings!$D$78,Settings!$D$80,Settings!$D$82,Settings!$D$84,Settings!$D$86),"")</f>
        <v/>
      </c>
      <c r="P629" s="148">
        <f>IFERROR((N629*(1-Settings!$D$17)-C629)/(N629*(1-Settings!$D$17)),"")</f>
        <v/>
      </c>
      <c r="Q629" s="149">
        <f>IFERROR(IF(N629="","",IF(N629&gt;=C629/(1-SKU_Base!AB629)/(1-Settings!$D$17),"OK",IF(N629&gt;=C629/(1-SKU_Base!AI629)/(1-Settings!$D$17),"WARN","STOP"))),"")</f>
        <v/>
      </c>
      <c r="R629" s="161">
        <f>IFERROR(ROUND(D629*(1-CHOOSE(MATCH(IF($E629="","Основний",$E629),{"Трафіковий","Основний","Маржинальний","Сезонний","Стратегічний"},0),Settings!$E$78,Settings!$E$80,Settings!$E$82,Settings!$E$84,Settings!$E$86))/6,2)*6,"")</f>
        <v/>
      </c>
      <c r="S629" s="142">
        <f>IFERROR(CHOOSE(MATCH(IF($E629="","Основний",$E629),{"Трафіковий","Основний","Маржинальний","Сезонний","Стратегічний"},0),Settings!$E$78,Settings!$E$80,Settings!$E$82,Settings!$E$84,Settings!$E$86),"")</f>
        <v/>
      </c>
      <c r="T629" s="148">
        <f>IFERROR((R629*(1-Settings!$E$17)-C629)/(R629*(1-Settings!$E$17)),"")</f>
        <v/>
      </c>
      <c r="U629" s="149">
        <f>IFERROR(IF(R629="","",IF(R629&gt;=C629/(1-SKU_Base!AC629)/(1-Settings!$E$17),"OK",IF(R629&gt;=C629/(1-SKU_Base!AJ629)/(1-Settings!$E$17),"WARN","STOP"))),"")</f>
        <v/>
      </c>
      <c r="V629" s="161">
        <f>IFERROR(ROUND(D629*(1-CHOOSE(MATCH(IF($E629="","Основний",$E629),{"Трафіковий","Основний","Маржинальний","Сезонний","Стратегічний"},0),Settings!$F$78,Settings!$F$80,Settings!$F$82,Settings!$F$84,Settings!$F$86))/6,2)*6,"")</f>
        <v/>
      </c>
      <c r="W629" s="142">
        <f>IFERROR(CHOOSE(MATCH(IF($E629="","Основний",$E629),{"Трафіковий","Основний","Маржинальний","Сезонний","Стратегічний"},0),Settings!$F$78,Settings!$F$80,Settings!$F$82,Settings!$F$84,Settings!$F$86),"")</f>
        <v/>
      </c>
      <c r="X629" s="148">
        <f>IFERROR((V629*(1-Settings!$F$17)-C629)/(V629*(1-Settings!$F$17)),"")</f>
        <v/>
      </c>
      <c r="Y629" s="149">
        <f>IFERROR(IF(V629="","",IF(V629&gt;=C629/(1-SKU_Base!AD629)/(1-Settings!$F$17),"OK",IF(V629&gt;=C629/(1-SKU_Base!AK629)/(1-Settings!$F$17),"WARN","STOP"))),"")</f>
        <v/>
      </c>
      <c r="Z629" s="161">
        <f>IFERROR(ROUND(D629*(1-CHOOSE(MATCH(IF($E629="","Основний",$E629),{"Трафіковий","Основний","Маржинальний","Сезонний","Стратегічний"},0),Settings!$G$78,Settings!$G$80,Settings!$G$82,Settings!$G$84,Settings!$G$86))/6,2)*6,"")</f>
        <v/>
      </c>
      <c r="AA629" s="142">
        <f>IFERROR(CHOOSE(MATCH(IF($E629="","Основний",$E629),{"Трафіковий","Основний","Маржинальний","Сезонний","Стратегічний"},0),Settings!$G$78,Settings!$G$80,Settings!$G$82,Settings!$G$84,Settings!$G$86),"")</f>
        <v/>
      </c>
      <c r="AB629" s="148">
        <f>IFERROR((Z629*(1-Settings!$G$17)-C629)/(Z629*(1-Settings!$G$17)),"")</f>
        <v/>
      </c>
      <c r="AC629" s="149">
        <f>IFERROR(IF(Z629="","",IF(Z629&gt;=C629/(1-SKU_Base!AE629)/(1-Settings!$G$17),"OK",IF(Z629&gt;=C629/(1-SKU_Base!AL629)/(1-Settings!$G$17),"WARN","STOP"))),"")</f>
        <v/>
      </c>
      <c r="AD629" s="161">
        <f>IFERROR(ROUND(D629*(1-CHOOSE(MATCH(IF($E629="","Основний",$E629),{"Трафіковий","Основний","Маржинальний","Сезонний","Стратегічний"},0),Settings!$H$78,Settings!$H$80,Settings!$H$82,Settings!$H$84,Settings!$H$86))*(1-Settings!$H$68)/6,2)*6,"")</f>
        <v/>
      </c>
      <c r="AE629" s="142">
        <f>IFERROR(CHOOSE(MATCH(IF($E629="","Основний",$E629),{"Трафіковий","Основний","Маржинальний","Сезонний","Стратегічний"},0),Settings!$H$78,Settings!$H$80,Settings!$H$82,Settings!$H$84,Settings!$H$86)+(1-(CHOOSE(MATCH(IF($E629="","Основний",$E629),{"Трафіковий","Основний","Маржинальний","Сезонний","Стратегічний"},0),Settings!$H$78,Settings!$H$80,Settings!$H$82,Settings!$H$84,Settings!$H$86)))*Settings!$H$68,"")</f>
        <v/>
      </c>
      <c r="AF629" s="148">
        <f>IFERROR((AD629*(1-Settings!$H$17)-C629)/(AD629*(1-Settings!$H$17)),"")</f>
        <v/>
      </c>
      <c r="AG629" s="150">
        <f>IFERROR(IF(AD629="","",IF(AD629&gt;=C629/(1-SKU_Base!AF629)/(1-Settings!$H$17),"OK",IF(AD629&gt;=C629/(1-SKU_Base!AM629)/(1-Settings!$H$17),"WARN","STOP"))),"")</f>
        <v/>
      </c>
    </row>
    <row r="630" ht="17" customHeight="1" s="179">
      <c r="A630" s="139">
        <f>SKU_Base!B630</f>
        <v/>
      </c>
      <c r="B630" s="139">
        <f>SKU_Base!C630</f>
        <v/>
      </c>
      <c r="C630" s="140">
        <f>IFERROR(SKU_Base!I630,"")</f>
        <v/>
      </c>
      <c r="D630" s="163">
        <f>IFERROR(SKU_Base!T630,"")</f>
        <v/>
      </c>
      <c r="E630" s="141">
        <f>IFERROR(SKU_Base!$U630,"")</f>
        <v/>
      </c>
      <c r="F630" s="158">
        <f>IFERROR(ROUND(D630*(1-CHOOSE(MATCH(IF($E630="","Основний",$E630),{"Трафіковий","Основний","Маржинальний","Сезонний","Стратегічний"},0),Settings!$B$78,Settings!$B$80,Settings!$B$82,Settings!$B$84,Settings!$B$86))/6,2)*6,"")</f>
        <v/>
      </c>
      <c r="G630" s="142">
        <f>IFERROR(CHOOSE(MATCH(IF($E630="","Основний",$E630),{"Трафіковий","Основний","Маржинальний","Сезонний","Стратегічний"},0),Settings!$B$78,Settings!$B$80,Settings!$B$82,Settings!$B$84,Settings!$B$86),"")</f>
        <v/>
      </c>
      <c r="H630" s="143">
        <f>IFERROR((F630*(1-Settings!$B$17)-C630)/(F630*(1-Settings!$B$17)),"")</f>
        <v/>
      </c>
      <c r="I630" s="149">
        <f>IFERROR(IF(F630="","",IF(F630&gt;=C630/(1-SKU_Base!Z630)/(1-Settings!$B$17),"OK",IF(F630&gt;=C630/(1-SKU_Base!AG630)/(1-Settings!$B$17),"WARN","STOP"))),"")</f>
        <v/>
      </c>
      <c r="J630" s="158">
        <f>IFERROR(ROUND(D630*(1-CHOOSE(MATCH(IF($E630="","Основний",$E630),{"Трафіковий","Основний","Маржинальний","Сезонний","Стратегічний"},0),Settings!$C$78,Settings!$C$80,Settings!$C$82,Settings!$C$84,Settings!$C$86))/6,2)*6,"")</f>
        <v/>
      </c>
      <c r="K630" s="142">
        <f>IFERROR(CHOOSE(MATCH(IF($E630="","Основний",$E630),{"Трафіковий","Основний","Маржинальний","Сезонний","Стратегічний"},0),Settings!$C$78,Settings!$C$80,Settings!$C$82,Settings!$C$84,Settings!$C$86),"")</f>
        <v/>
      </c>
      <c r="L630" s="143">
        <f>IFERROR((J630*(1-Settings!$C$17)-C630)/(J630*(1-Settings!$C$17)),"")</f>
        <v/>
      </c>
      <c r="M630" s="149">
        <f>IFERROR(IF(J630="","",IF(J630&gt;=C630/(1-SKU_Base!AA630)/(1-Settings!$C$17),"OK",IF(J630&gt;=C630/(1-SKU_Base!AH630)/(1-Settings!$C$17),"WARN","STOP"))),"")</f>
        <v/>
      </c>
      <c r="N630" s="159">
        <f>IFERROR(ROUND(D630*(1-CHOOSE(MATCH(IF($E630="","Основний",$E630),{"Трафіковий","Основний","Маржинальний","Сезонний","Стратегічний"},0),Settings!$D$78,Settings!$D$80,Settings!$D$82,Settings!$D$84,Settings!$D$86))/6,2)*6,"")</f>
        <v/>
      </c>
      <c r="O630" s="142">
        <f>IFERROR(CHOOSE(MATCH(IF($E630="","Основний",$E630),{"Трафіковий","Основний","Маржинальний","Сезонний","Стратегічний"},0),Settings!$D$78,Settings!$D$80,Settings!$D$82,Settings!$D$84,Settings!$D$86),"")</f>
        <v/>
      </c>
      <c r="P630" s="143">
        <f>IFERROR((N630*(1-Settings!$D$17)-C630)/(N630*(1-Settings!$D$17)),"")</f>
        <v/>
      </c>
      <c r="Q630" s="149">
        <f>IFERROR(IF(N630="","",IF(N630&gt;=C630/(1-SKU_Base!AB630)/(1-Settings!$D$17),"OK",IF(N630&gt;=C630/(1-SKU_Base!AI630)/(1-Settings!$D$17),"WARN","STOP"))),"")</f>
        <v/>
      </c>
      <c r="R630" s="159">
        <f>IFERROR(ROUND(D630*(1-CHOOSE(MATCH(IF($E630="","Основний",$E630),{"Трафіковий","Основний","Маржинальний","Сезонний","Стратегічний"},0),Settings!$E$78,Settings!$E$80,Settings!$E$82,Settings!$E$84,Settings!$E$86))/6,2)*6,"")</f>
        <v/>
      </c>
      <c r="S630" s="142">
        <f>IFERROR(CHOOSE(MATCH(IF($E630="","Основний",$E630),{"Трафіковий","Основний","Маржинальний","Сезонний","Стратегічний"},0),Settings!$E$78,Settings!$E$80,Settings!$E$82,Settings!$E$84,Settings!$E$86),"")</f>
        <v/>
      </c>
      <c r="T630" s="143">
        <f>IFERROR((R630*(1-Settings!$E$17)-C630)/(R630*(1-Settings!$E$17)),"")</f>
        <v/>
      </c>
      <c r="U630" s="149">
        <f>IFERROR(IF(R630="","",IF(R630&gt;=C630/(1-SKU_Base!AC630)/(1-Settings!$E$17),"OK",IF(R630&gt;=C630/(1-SKU_Base!AJ630)/(1-Settings!$E$17),"WARN","STOP"))),"")</f>
        <v/>
      </c>
      <c r="V630" s="159">
        <f>IFERROR(ROUND(D630*(1-CHOOSE(MATCH(IF($E630="","Основний",$E630),{"Трафіковий","Основний","Маржинальний","Сезонний","Стратегічний"},0),Settings!$F$78,Settings!$F$80,Settings!$F$82,Settings!$F$84,Settings!$F$86))/6,2)*6,"")</f>
        <v/>
      </c>
      <c r="W630" s="142">
        <f>IFERROR(CHOOSE(MATCH(IF($E630="","Основний",$E630),{"Трафіковий","Основний","Маржинальний","Сезонний","Стратегічний"},0),Settings!$F$78,Settings!$F$80,Settings!$F$82,Settings!$F$84,Settings!$F$86),"")</f>
        <v/>
      </c>
      <c r="X630" s="143">
        <f>IFERROR((V630*(1-Settings!$F$17)-C630)/(V630*(1-Settings!$F$17)),"")</f>
        <v/>
      </c>
      <c r="Y630" s="149">
        <f>IFERROR(IF(V630="","",IF(V630&gt;=C630/(1-SKU_Base!AD630)/(1-Settings!$F$17),"OK",IF(V630&gt;=C630/(1-SKU_Base!AK630)/(1-Settings!$F$17),"WARN","STOP"))),"")</f>
        <v/>
      </c>
      <c r="Z630" s="159">
        <f>IFERROR(ROUND(D630*(1-CHOOSE(MATCH(IF($E630="","Основний",$E630),{"Трафіковий","Основний","Маржинальний","Сезонний","Стратегічний"},0),Settings!$G$78,Settings!$G$80,Settings!$G$82,Settings!$G$84,Settings!$G$86))/6,2)*6,"")</f>
        <v/>
      </c>
      <c r="AA630" s="142">
        <f>IFERROR(CHOOSE(MATCH(IF($E630="","Основний",$E630),{"Трафіковий","Основний","Маржинальний","Сезонний","Стратегічний"},0),Settings!$G$78,Settings!$G$80,Settings!$G$82,Settings!$G$84,Settings!$G$86),"")</f>
        <v/>
      </c>
      <c r="AB630" s="143">
        <f>IFERROR((Z630*(1-Settings!$G$17)-C630)/(Z630*(1-Settings!$G$17)),"")</f>
        <v/>
      </c>
      <c r="AC630" s="149">
        <f>IFERROR(IF(Z630="","",IF(Z630&gt;=C630/(1-SKU_Base!AE630)/(1-Settings!$G$17),"OK",IF(Z630&gt;=C630/(1-SKU_Base!AL630)/(1-Settings!$G$17),"WARN","STOP"))),"")</f>
        <v/>
      </c>
      <c r="AD630" s="159">
        <f>IFERROR(ROUND(D630*(1-CHOOSE(MATCH(IF($E630="","Основний",$E630),{"Трафіковий","Основний","Маржинальний","Сезонний","Стратегічний"},0),Settings!$H$78,Settings!$H$80,Settings!$H$82,Settings!$H$84,Settings!$H$86))*(1-Settings!$H$68)/6,2)*6,"")</f>
        <v/>
      </c>
      <c r="AE630" s="142">
        <f>IFERROR(CHOOSE(MATCH(IF($E630="","Основний",$E630),{"Трафіковий","Основний","Маржинальний","Сезонний","Стратегічний"},0),Settings!$H$78,Settings!$H$80,Settings!$H$82,Settings!$H$84,Settings!$H$86)+(1-(CHOOSE(MATCH(IF($E630="","Основний",$E630),{"Трафіковий","Основний","Маржинальний","Сезонний","Стратегічний"},0),Settings!$H$78,Settings!$H$80,Settings!$H$82,Settings!$H$84,Settings!$H$86)))*Settings!$H$68,"")</f>
        <v/>
      </c>
      <c r="AF630" s="143">
        <f>IFERROR((AD630*(1-Settings!$H$17)-C630)/(AD630*(1-Settings!$H$17)),"")</f>
        <v/>
      </c>
      <c r="AG630" s="150">
        <f>IFERROR(IF(AD630="","",IF(AD630&gt;=C630/(1-SKU_Base!AF630)/(1-Settings!$H$17),"OK",IF(AD630&gt;=C630/(1-SKU_Base!AM630)/(1-Settings!$H$17),"WARN","STOP"))),"")</f>
        <v/>
      </c>
    </row>
    <row r="631" ht="17" customHeight="1" s="179">
      <c r="A631" s="146">
        <f>SKU_Base!B631</f>
        <v/>
      </c>
      <c r="B631" s="146">
        <f>SKU_Base!C631</f>
        <v/>
      </c>
      <c r="C631" s="147">
        <f>IFERROR(SKU_Base!I631,"")</f>
        <v/>
      </c>
      <c r="D631" s="164">
        <f>IFERROR(SKU_Base!T631,"")</f>
        <v/>
      </c>
      <c r="E631" s="141">
        <f>IFERROR(SKU_Base!$U631,"")</f>
        <v/>
      </c>
      <c r="F631" s="160">
        <f>IFERROR(ROUND(D631*(1-CHOOSE(MATCH(IF($E631="","Основний",$E631),{"Трафіковий","Основний","Маржинальний","Сезонний","Стратегічний"},0),Settings!$B$78,Settings!$B$80,Settings!$B$82,Settings!$B$84,Settings!$B$86))/6,2)*6,"")</f>
        <v/>
      </c>
      <c r="G631" s="142">
        <f>IFERROR(CHOOSE(MATCH(IF($E631="","Основний",$E631),{"Трафіковий","Основний","Маржинальний","Сезонний","Стратегічний"},0),Settings!$B$78,Settings!$B$80,Settings!$B$82,Settings!$B$84,Settings!$B$86),"")</f>
        <v/>
      </c>
      <c r="H631" s="148">
        <f>IFERROR((F631*(1-Settings!$B$17)-C631)/(F631*(1-Settings!$B$17)),"")</f>
        <v/>
      </c>
      <c r="I631" s="149">
        <f>IFERROR(IF(F631="","",IF(F631&gt;=C631/(1-SKU_Base!Z631)/(1-Settings!$B$17),"OK",IF(F631&gt;=C631/(1-SKU_Base!AG631)/(1-Settings!$B$17),"WARN","STOP"))),"")</f>
        <v/>
      </c>
      <c r="J631" s="160">
        <f>IFERROR(ROUND(D631*(1-CHOOSE(MATCH(IF($E631="","Основний",$E631),{"Трафіковий","Основний","Маржинальний","Сезонний","Стратегічний"},0),Settings!$C$78,Settings!$C$80,Settings!$C$82,Settings!$C$84,Settings!$C$86))/6,2)*6,"")</f>
        <v/>
      </c>
      <c r="K631" s="142">
        <f>IFERROR(CHOOSE(MATCH(IF($E631="","Основний",$E631),{"Трафіковий","Основний","Маржинальний","Сезонний","Стратегічний"},0),Settings!$C$78,Settings!$C$80,Settings!$C$82,Settings!$C$84,Settings!$C$86),"")</f>
        <v/>
      </c>
      <c r="L631" s="148">
        <f>IFERROR((J631*(1-Settings!$C$17)-C631)/(J631*(1-Settings!$C$17)),"")</f>
        <v/>
      </c>
      <c r="M631" s="149">
        <f>IFERROR(IF(J631="","",IF(J631&gt;=C631/(1-SKU_Base!AA631)/(1-Settings!$C$17),"OK",IF(J631&gt;=C631/(1-SKU_Base!AH631)/(1-Settings!$C$17),"WARN","STOP"))),"")</f>
        <v/>
      </c>
      <c r="N631" s="161">
        <f>IFERROR(ROUND(D631*(1-CHOOSE(MATCH(IF($E631="","Основний",$E631),{"Трафіковий","Основний","Маржинальний","Сезонний","Стратегічний"},0),Settings!$D$78,Settings!$D$80,Settings!$D$82,Settings!$D$84,Settings!$D$86))/6,2)*6,"")</f>
        <v/>
      </c>
      <c r="O631" s="142">
        <f>IFERROR(CHOOSE(MATCH(IF($E631="","Основний",$E631),{"Трафіковий","Основний","Маржинальний","Сезонний","Стратегічний"},0),Settings!$D$78,Settings!$D$80,Settings!$D$82,Settings!$D$84,Settings!$D$86),"")</f>
        <v/>
      </c>
      <c r="P631" s="148">
        <f>IFERROR((N631*(1-Settings!$D$17)-C631)/(N631*(1-Settings!$D$17)),"")</f>
        <v/>
      </c>
      <c r="Q631" s="149">
        <f>IFERROR(IF(N631="","",IF(N631&gt;=C631/(1-SKU_Base!AB631)/(1-Settings!$D$17),"OK",IF(N631&gt;=C631/(1-SKU_Base!AI631)/(1-Settings!$D$17),"WARN","STOP"))),"")</f>
        <v/>
      </c>
      <c r="R631" s="161">
        <f>IFERROR(ROUND(D631*(1-CHOOSE(MATCH(IF($E631="","Основний",$E631),{"Трафіковий","Основний","Маржинальний","Сезонний","Стратегічний"},0),Settings!$E$78,Settings!$E$80,Settings!$E$82,Settings!$E$84,Settings!$E$86))/6,2)*6,"")</f>
        <v/>
      </c>
      <c r="S631" s="142">
        <f>IFERROR(CHOOSE(MATCH(IF($E631="","Основний",$E631),{"Трафіковий","Основний","Маржинальний","Сезонний","Стратегічний"},0),Settings!$E$78,Settings!$E$80,Settings!$E$82,Settings!$E$84,Settings!$E$86),"")</f>
        <v/>
      </c>
      <c r="T631" s="148">
        <f>IFERROR((R631*(1-Settings!$E$17)-C631)/(R631*(1-Settings!$E$17)),"")</f>
        <v/>
      </c>
      <c r="U631" s="149">
        <f>IFERROR(IF(R631="","",IF(R631&gt;=C631/(1-SKU_Base!AC631)/(1-Settings!$E$17),"OK",IF(R631&gt;=C631/(1-SKU_Base!AJ631)/(1-Settings!$E$17),"WARN","STOP"))),"")</f>
        <v/>
      </c>
      <c r="V631" s="161">
        <f>IFERROR(ROUND(D631*(1-CHOOSE(MATCH(IF($E631="","Основний",$E631),{"Трафіковий","Основний","Маржинальний","Сезонний","Стратегічний"},0),Settings!$F$78,Settings!$F$80,Settings!$F$82,Settings!$F$84,Settings!$F$86))/6,2)*6,"")</f>
        <v/>
      </c>
      <c r="W631" s="142">
        <f>IFERROR(CHOOSE(MATCH(IF($E631="","Основний",$E631),{"Трафіковий","Основний","Маржинальний","Сезонний","Стратегічний"},0),Settings!$F$78,Settings!$F$80,Settings!$F$82,Settings!$F$84,Settings!$F$86),"")</f>
        <v/>
      </c>
      <c r="X631" s="148">
        <f>IFERROR((V631*(1-Settings!$F$17)-C631)/(V631*(1-Settings!$F$17)),"")</f>
        <v/>
      </c>
      <c r="Y631" s="149">
        <f>IFERROR(IF(V631="","",IF(V631&gt;=C631/(1-SKU_Base!AD631)/(1-Settings!$F$17),"OK",IF(V631&gt;=C631/(1-SKU_Base!AK631)/(1-Settings!$F$17),"WARN","STOP"))),"")</f>
        <v/>
      </c>
      <c r="Z631" s="161">
        <f>IFERROR(ROUND(D631*(1-CHOOSE(MATCH(IF($E631="","Основний",$E631),{"Трафіковий","Основний","Маржинальний","Сезонний","Стратегічний"},0),Settings!$G$78,Settings!$G$80,Settings!$G$82,Settings!$G$84,Settings!$G$86))/6,2)*6,"")</f>
        <v/>
      </c>
      <c r="AA631" s="142">
        <f>IFERROR(CHOOSE(MATCH(IF($E631="","Основний",$E631),{"Трафіковий","Основний","Маржинальний","Сезонний","Стратегічний"},0),Settings!$G$78,Settings!$G$80,Settings!$G$82,Settings!$G$84,Settings!$G$86),"")</f>
        <v/>
      </c>
      <c r="AB631" s="148">
        <f>IFERROR((Z631*(1-Settings!$G$17)-C631)/(Z631*(1-Settings!$G$17)),"")</f>
        <v/>
      </c>
      <c r="AC631" s="149">
        <f>IFERROR(IF(Z631="","",IF(Z631&gt;=C631/(1-SKU_Base!AE631)/(1-Settings!$G$17),"OK",IF(Z631&gt;=C631/(1-SKU_Base!AL631)/(1-Settings!$G$17),"WARN","STOP"))),"")</f>
        <v/>
      </c>
      <c r="AD631" s="161">
        <f>IFERROR(ROUND(D631*(1-CHOOSE(MATCH(IF($E631="","Основний",$E631),{"Трафіковий","Основний","Маржинальний","Сезонний","Стратегічний"},0),Settings!$H$78,Settings!$H$80,Settings!$H$82,Settings!$H$84,Settings!$H$86))*(1-Settings!$H$68)/6,2)*6,"")</f>
        <v/>
      </c>
      <c r="AE631" s="142">
        <f>IFERROR(CHOOSE(MATCH(IF($E631="","Основний",$E631),{"Трафіковий","Основний","Маржинальний","Сезонний","Стратегічний"},0),Settings!$H$78,Settings!$H$80,Settings!$H$82,Settings!$H$84,Settings!$H$86)+(1-(CHOOSE(MATCH(IF($E631="","Основний",$E631),{"Трафіковий","Основний","Маржинальний","Сезонний","Стратегічний"},0),Settings!$H$78,Settings!$H$80,Settings!$H$82,Settings!$H$84,Settings!$H$86)))*Settings!$H$68,"")</f>
        <v/>
      </c>
      <c r="AF631" s="148">
        <f>IFERROR((AD631*(1-Settings!$H$17)-C631)/(AD631*(1-Settings!$H$17)),"")</f>
        <v/>
      </c>
      <c r="AG631" s="150">
        <f>IFERROR(IF(AD631="","",IF(AD631&gt;=C631/(1-SKU_Base!AF631)/(1-Settings!$H$17),"OK",IF(AD631&gt;=C631/(1-SKU_Base!AM631)/(1-Settings!$H$17),"WARN","STOP"))),"")</f>
        <v/>
      </c>
    </row>
    <row r="632" ht="17" customHeight="1" s="179">
      <c r="A632" s="139">
        <f>SKU_Base!B632</f>
        <v/>
      </c>
      <c r="B632" s="139">
        <f>SKU_Base!C632</f>
        <v/>
      </c>
      <c r="C632" s="140">
        <f>IFERROR(SKU_Base!I632,"")</f>
        <v/>
      </c>
      <c r="D632" s="163">
        <f>IFERROR(SKU_Base!T632,"")</f>
        <v/>
      </c>
      <c r="E632" s="141">
        <f>IFERROR(SKU_Base!$U632,"")</f>
        <v/>
      </c>
      <c r="F632" s="158">
        <f>IFERROR(ROUND(D632*(1-CHOOSE(MATCH(IF($E632="","Основний",$E632),{"Трафіковий","Основний","Маржинальний","Сезонний","Стратегічний"},0),Settings!$B$78,Settings!$B$80,Settings!$B$82,Settings!$B$84,Settings!$B$86))/6,2)*6,"")</f>
        <v/>
      </c>
      <c r="G632" s="142">
        <f>IFERROR(CHOOSE(MATCH(IF($E632="","Основний",$E632),{"Трафіковий","Основний","Маржинальний","Сезонний","Стратегічний"},0),Settings!$B$78,Settings!$B$80,Settings!$B$82,Settings!$B$84,Settings!$B$86),"")</f>
        <v/>
      </c>
      <c r="H632" s="143">
        <f>IFERROR((F632*(1-Settings!$B$17)-C632)/(F632*(1-Settings!$B$17)),"")</f>
        <v/>
      </c>
      <c r="I632" s="149">
        <f>IFERROR(IF(F632="","",IF(F632&gt;=C632/(1-SKU_Base!Z632)/(1-Settings!$B$17),"OK",IF(F632&gt;=C632/(1-SKU_Base!AG632)/(1-Settings!$B$17),"WARN","STOP"))),"")</f>
        <v/>
      </c>
      <c r="J632" s="158">
        <f>IFERROR(ROUND(D632*(1-CHOOSE(MATCH(IF($E632="","Основний",$E632),{"Трафіковий","Основний","Маржинальний","Сезонний","Стратегічний"},0),Settings!$C$78,Settings!$C$80,Settings!$C$82,Settings!$C$84,Settings!$C$86))/6,2)*6,"")</f>
        <v/>
      </c>
      <c r="K632" s="142">
        <f>IFERROR(CHOOSE(MATCH(IF($E632="","Основний",$E632),{"Трафіковий","Основний","Маржинальний","Сезонний","Стратегічний"},0),Settings!$C$78,Settings!$C$80,Settings!$C$82,Settings!$C$84,Settings!$C$86),"")</f>
        <v/>
      </c>
      <c r="L632" s="143">
        <f>IFERROR((J632*(1-Settings!$C$17)-C632)/(J632*(1-Settings!$C$17)),"")</f>
        <v/>
      </c>
      <c r="M632" s="149">
        <f>IFERROR(IF(J632="","",IF(J632&gt;=C632/(1-SKU_Base!AA632)/(1-Settings!$C$17),"OK",IF(J632&gt;=C632/(1-SKU_Base!AH632)/(1-Settings!$C$17),"WARN","STOP"))),"")</f>
        <v/>
      </c>
      <c r="N632" s="159">
        <f>IFERROR(ROUND(D632*(1-CHOOSE(MATCH(IF($E632="","Основний",$E632),{"Трафіковий","Основний","Маржинальний","Сезонний","Стратегічний"},0),Settings!$D$78,Settings!$D$80,Settings!$D$82,Settings!$D$84,Settings!$D$86))/6,2)*6,"")</f>
        <v/>
      </c>
      <c r="O632" s="142">
        <f>IFERROR(CHOOSE(MATCH(IF($E632="","Основний",$E632),{"Трафіковий","Основний","Маржинальний","Сезонний","Стратегічний"},0),Settings!$D$78,Settings!$D$80,Settings!$D$82,Settings!$D$84,Settings!$D$86),"")</f>
        <v/>
      </c>
      <c r="P632" s="143">
        <f>IFERROR((N632*(1-Settings!$D$17)-C632)/(N632*(1-Settings!$D$17)),"")</f>
        <v/>
      </c>
      <c r="Q632" s="149">
        <f>IFERROR(IF(N632="","",IF(N632&gt;=C632/(1-SKU_Base!AB632)/(1-Settings!$D$17),"OK",IF(N632&gt;=C632/(1-SKU_Base!AI632)/(1-Settings!$D$17),"WARN","STOP"))),"")</f>
        <v/>
      </c>
      <c r="R632" s="159">
        <f>IFERROR(ROUND(D632*(1-CHOOSE(MATCH(IF($E632="","Основний",$E632),{"Трафіковий","Основний","Маржинальний","Сезонний","Стратегічний"},0),Settings!$E$78,Settings!$E$80,Settings!$E$82,Settings!$E$84,Settings!$E$86))/6,2)*6,"")</f>
        <v/>
      </c>
      <c r="S632" s="142">
        <f>IFERROR(CHOOSE(MATCH(IF($E632="","Основний",$E632),{"Трафіковий","Основний","Маржинальний","Сезонний","Стратегічний"},0),Settings!$E$78,Settings!$E$80,Settings!$E$82,Settings!$E$84,Settings!$E$86),"")</f>
        <v/>
      </c>
      <c r="T632" s="143">
        <f>IFERROR((R632*(1-Settings!$E$17)-C632)/(R632*(1-Settings!$E$17)),"")</f>
        <v/>
      </c>
      <c r="U632" s="149">
        <f>IFERROR(IF(R632="","",IF(R632&gt;=C632/(1-SKU_Base!AC632)/(1-Settings!$E$17),"OK",IF(R632&gt;=C632/(1-SKU_Base!AJ632)/(1-Settings!$E$17),"WARN","STOP"))),"")</f>
        <v/>
      </c>
      <c r="V632" s="159">
        <f>IFERROR(ROUND(D632*(1-CHOOSE(MATCH(IF($E632="","Основний",$E632),{"Трафіковий","Основний","Маржинальний","Сезонний","Стратегічний"},0),Settings!$F$78,Settings!$F$80,Settings!$F$82,Settings!$F$84,Settings!$F$86))/6,2)*6,"")</f>
        <v/>
      </c>
      <c r="W632" s="142">
        <f>IFERROR(CHOOSE(MATCH(IF($E632="","Основний",$E632),{"Трафіковий","Основний","Маржинальний","Сезонний","Стратегічний"},0),Settings!$F$78,Settings!$F$80,Settings!$F$82,Settings!$F$84,Settings!$F$86),"")</f>
        <v/>
      </c>
      <c r="X632" s="143">
        <f>IFERROR((V632*(1-Settings!$F$17)-C632)/(V632*(1-Settings!$F$17)),"")</f>
        <v/>
      </c>
      <c r="Y632" s="149">
        <f>IFERROR(IF(V632="","",IF(V632&gt;=C632/(1-SKU_Base!AD632)/(1-Settings!$F$17),"OK",IF(V632&gt;=C632/(1-SKU_Base!AK632)/(1-Settings!$F$17),"WARN","STOP"))),"")</f>
        <v/>
      </c>
      <c r="Z632" s="159">
        <f>IFERROR(ROUND(D632*(1-CHOOSE(MATCH(IF($E632="","Основний",$E632),{"Трафіковий","Основний","Маржинальний","Сезонний","Стратегічний"},0),Settings!$G$78,Settings!$G$80,Settings!$G$82,Settings!$G$84,Settings!$G$86))/6,2)*6,"")</f>
        <v/>
      </c>
      <c r="AA632" s="142">
        <f>IFERROR(CHOOSE(MATCH(IF($E632="","Основний",$E632),{"Трафіковий","Основний","Маржинальний","Сезонний","Стратегічний"},0),Settings!$G$78,Settings!$G$80,Settings!$G$82,Settings!$G$84,Settings!$G$86),"")</f>
        <v/>
      </c>
      <c r="AB632" s="143">
        <f>IFERROR((Z632*(1-Settings!$G$17)-C632)/(Z632*(1-Settings!$G$17)),"")</f>
        <v/>
      </c>
      <c r="AC632" s="149">
        <f>IFERROR(IF(Z632="","",IF(Z632&gt;=C632/(1-SKU_Base!AE632)/(1-Settings!$G$17),"OK",IF(Z632&gt;=C632/(1-SKU_Base!AL632)/(1-Settings!$G$17),"WARN","STOP"))),"")</f>
        <v/>
      </c>
      <c r="AD632" s="159">
        <f>IFERROR(ROUND(D632*(1-CHOOSE(MATCH(IF($E632="","Основний",$E632),{"Трафіковий","Основний","Маржинальний","Сезонний","Стратегічний"},0),Settings!$H$78,Settings!$H$80,Settings!$H$82,Settings!$H$84,Settings!$H$86))*(1-Settings!$H$68)/6,2)*6,"")</f>
        <v/>
      </c>
      <c r="AE632" s="142">
        <f>IFERROR(CHOOSE(MATCH(IF($E632="","Основний",$E632),{"Трафіковий","Основний","Маржинальний","Сезонний","Стратегічний"},0),Settings!$H$78,Settings!$H$80,Settings!$H$82,Settings!$H$84,Settings!$H$86)+(1-(CHOOSE(MATCH(IF($E632="","Основний",$E632),{"Трафіковий","Основний","Маржинальний","Сезонний","Стратегічний"},0),Settings!$H$78,Settings!$H$80,Settings!$H$82,Settings!$H$84,Settings!$H$86)))*Settings!$H$68,"")</f>
        <v/>
      </c>
      <c r="AF632" s="143">
        <f>IFERROR((AD632*(1-Settings!$H$17)-C632)/(AD632*(1-Settings!$H$17)),"")</f>
        <v/>
      </c>
      <c r="AG632" s="150">
        <f>IFERROR(IF(AD632="","",IF(AD632&gt;=C632/(1-SKU_Base!AF632)/(1-Settings!$H$17),"OK",IF(AD632&gt;=C632/(1-SKU_Base!AM632)/(1-Settings!$H$17),"WARN","STOP"))),"")</f>
        <v/>
      </c>
    </row>
    <row r="633" ht="17" customHeight="1" s="179">
      <c r="A633" s="146">
        <f>SKU_Base!B633</f>
        <v/>
      </c>
      <c r="B633" s="146">
        <f>SKU_Base!C633</f>
        <v/>
      </c>
      <c r="C633" s="147">
        <f>IFERROR(SKU_Base!I633,"")</f>
        <v/>
      </c>
      <c r="D633" s="164">
        <f>IFERROR(SKU_Base!T633,"")</f>
        <v/>
      </c>
      <c r="E633" s="141">
        <f>IFERROR(SKU_Base!$U633,"")</f>
        <v/>
      </c>
      <c r="F633" s="160">
        <f>IFERROR(ROUND(D633*(1-CHOOSE(MATCH(IF($E633="","Основний",$E633),{"Трафіковий","Основний","Маржинальний","Сезонний","Стратегічний"},0),Settings!$B$78,Settings!$B$80,Settings!$B$82,Settings!$B$84,Settings!$B$86))/6,2)*6,"")</f>
        <v/>
      </c>
      <c r="G633" s="142">
        <f>IFERROR(CHOOSE(MATCH(IF($E633="","Основний",$E633),{"Трафіковий","Основний","Маржинальний","Сезонний","Стратегічний"},0),Settings!$B$78,Settings!$B$80,Settings!$B$82,Settings!$B$84,Settings!$B$86),"")</f>
        <v/>
      </c>
      <c r="H633" s="148">
        <f>IFERROR((F633*(1-Settings!$B$17)-C633)/(F633*(1-Settings!$B$17)),"")</f>
        <v/>
      </c>
      <c r="I633" s="149">
        <f>IFERROR(IF(F633="","",IF(F633&gt;=C633/(1-SKU_Base!Z633)/(1-Settings!$B$17),"OK",IF(F633&gt;=C633/(1-SKU_Base!AG633)/(1-Settings!$B$17),"WARN","STOP"))),"")</f>
        <v/>
      </c>
      <c r="J633" s="160">
        <f>IFERROR(ROUND(D633*(1-CHOOSE(MATCH(IF($E633="","Основний",$E633),{"Трафіковий","Основний","Маржинальний","Сезонний","Стратегічний"},0),Settings!$C$78,Settings!$C$80,Settings!$C$82,Settings!$C$84,Settings!$C$86))/6,2)*6,"")</f>
        <v/>
      </c>
      <c r="K633" s="142">
        <f>IFERROR(CHOOSE(MATCH(IF($E633="","Основний",$E633),{"Трафіковий","Основний","Маржинальний","Сезонний","Стратегічний"},0),Settings!$C$78,Settings!$C$80,Settings!$C$82,Settings!$C$84,Settings!$C$86),"")</f>
        <v/>
      </c>
      <c r="L633" s="148">
        <f>IFERROR((J633*(1-Settings!$C$17)-C633)/(J633*(1-Settings!$C$17)),"")</f>
        <v/>
      </c>
      <c r="M633" s="149">
        <f>IFERROR(IF(J633="","",IF(J633&gt;=C633/(1-SKU_Base!AA633)/(1-Settings!$C$17),"OK",IF(J633&gt;=C633/(1-SKU_Base!AH633)/(1-Settings!$C$17),"WARN","STOP"))),"")</f>
        <v/>
      </c>
      <c r="N633" s="161">
        <f>IFERROR(ROUND(D633*(1-CHOOSE(MATCH(IF($E633="","Основний",$E633),{"Трафіковий","Основний","Маржинальний","Сезонний","Стратегічний"},0),Settings!$D$78,Settings!$D$80,Settings!$D$82,Settings!$D$84,Settings!$D$86))/6,2)*6,"")</f>
        <v/>
      </c>
      <c r="O633" s="142">
        <f>IFERROR(CHOOSE(MATCH(IF($E633="","Основний",$E633),{"Трафіковий","Основний","Маржинальний","Сезонний","Стратегічний"},0),Settings!$D$78,Settings!$D$80,Settings!$D$82,Settings!$D$84,Settings!$D$86),"")</f>
        <v/>
      </c>
      <c r="P633" s="148">
        <f>IFERROR((N633*(1-Settings!$D$17)-C633)/(N633*(1-Settings!$D$17)),"")</f>
        <v/>
      </c>
      <c r="Q633" s="149">
        <f>IFERROR(IF(N633="","",IF(N633&gt;=C633/(1-SKU_Base!AB633)/(1-Settings!$D$17),"OK",IF(N633&gt;=C633/(1-SKU_Base!AI633)/(1-Settings!$D$17),"WARN","STOP"))),"")</f>
        <v/>
      </c>
      <c r="R633" s="161">
        <f>IFERROR(ROUND(D633*(1-CHOOSE(MATCH(IF($E633="","Основний",$E633),{"Трафіковий","Основний","Маржинальний","Сезонний","Стратегічний"},0),Settings!$E$78,Settings!$E$80,Settings!$E$82,Settings!$E$84,Settings!$E$86))/6,2)*6,"")</f>
        <v/>
      </c>
      <c r="S633" s="142">
        <f>IFERROR(CHOOSE(MATCH(IF($E633="","Основний",$E633),{"Трафіковий","Основний","Маржинальний","Сезонний","Стратегічний"},0),Settings!$E$78,Settings!$E$80,Settings!$E$82,Settings!$E$84,Settings!$E$86),"")</f>
        <v/>
      </c>
      <c r="T633" s="148">
        <f>IFERROR((R633*(1-Settings!$E$17)-C633)/(R633*(1-Settings!$E$17)),"")</f>
        <v/>
      </c>
      <c r="U633" s="149">
        <f>IFERROR(IF(R633="","",IF(R633&gt;=C633/(1-SKU_Base!AC633)/(1-Settings!$E$17),"OK",IF(R633&gt;=C633/(1-SKU_Base!AJ633)/(1-Settings!$E$17),"WARN","STOP"))),"")</f>
        <v/>
      </c>
      <c r="V633" s="161">
        <f>IFERROR(ROUND(D633*(1-CHOOSE(MATCH(IF($E633="","Основний",$E633),{"Трафіковий","Основний","Маржинальний","Сезонний","Стратегічний"},0),Settings!$F$78,Settings!$F$80,Settings!$F$82,Settings!$F$84,Settings!$F$86))/6,2)*6,"")</f>
        <v/>
      </c>
      <c r="W633" s="142">
        <f>IFERROR(CHOOSE(MATCH(IF($E633="","Основний",$E633),{"Трафіковий","Основний","Маржинальний","Сезонний","Стратегічний"},0),Settings!$F$78,Settings!$F$80,Settings!$F$82,Settings!$F$84,Settings!$F$86),"")</f>
        <v/>
      </c>
      <c r="X633" s="148">
        <f>IFERROR((V633*(1-Settings!$F$17)-C633)/(V633*(1-Settings!$F$17)),"")</f>
        <v/>
      </c>
      <c r="Y633" s="149">
        <f>IFERROR(IF(V633="","",IF(V633&gt;=C633/(1-SKU_Base!AD633)/(1-Settings!$F$17),"OK",IF(V633&gt;=C633/(1-SKU_Base!AK633)/(1-Settings!$F$17),"WARN","STOP"))),"")</f>
        <v/>
      </c>
      <c r="Z633" s="161">
        <f>IFERROR(ROUND(D633*(1-CHOOSE(MATCH(IF($E633="","Основний",$E633),{"Трафіковий","Основний","Маржинальний","Сезонний","Стратегічний"},0),Settings!$G$78,Settings!$G$80,Settings!$G$82,Settings!$G$84,Settings!$G$86))/6,2)*6,"")</f>
        <v/>
      </c>
      <c r="AA633" s="142">
        <f>IFERROR(CHOOSE(MATCH(IF($E633="","Основний",$E633),{"Трафіковий","Основний","Маржинальний","Сезонний","Стратегічний"},0),Settings!$G$78,Settings!$G$80,Settings!$G$82,Settings!$G$84,Settings!$G$86),"")</f>
        <v/>
      </c>
      <c r="AB633" s="148">
        <f>IFERROR((Z633*(1-Settings!$G$17)-C633)/(Z633*(1-Settings!$G$17)),"")</f>
        <v/>
      </c>
      <c r="AC633" s="149">
        <f>IFERROR(IF(Z633="","",IF(Z633&gt;=C633/(1-SKU_Base!AE633)/(1-Settings!$G$17),"OK",IF(Z633&gt;=C633/(1-SKU_Base!AL633)/(1-Settings!$G$17),"WARN","STOP"))),"")</f>
        <v/>
      </c>
      <c r="AD633" s="161">
        <f>IFERROR(ROUND(D633*(1-CHOOSE(MATCH(IF($E633="","Основний",$E633),{"Трафіковий","Основний","Маржинальний","Сезонний","Стратегічний"},0),Settings!$H$78,Settings!$H$80,Settings!$H$82,Settings!$H$84,Settings!$H$86))*(1-Settings!$H$68)/6,2)*6,"")</f>
        <v/>
      </c>
      <c r="AE633" s="142">
        <f>IFERROR(CHOOSE(MATCH(IF($E633="","Основний",$E633),{"Трафіковий","Основний","Маржинальний","Сезонний","Стратегічний"},0),Settings!$H$78,Settings!$H$80,Settings!$H$82,Settings!$H$84,Settings!$H$86)+(1-(CHOOSE(MATCH(IF($E633="","Основний",$E633),{"Трафіковий","Основний","Маржинальний","Сезонний","Стратегічний"},0),Settings!$H$78,Settings!$H$80,Settings!$H$82,Settings!$H$84,Settings!$H$86)))*Settings!$H$68,"")</f>
        <v/>
      </c>
      <c r="AF633" s="148">
        <f>IFERROR((AD633*(1-Settings!$H$17)-C633)/(AD633*(1-Settings!$H$17)),"")</f>
        <v/>
      </c>
      <c r="AG633" s="150">
        <f>IFERROR(IF(AD633="","",IF(AD633&gt;=C633/(1-SKU_Base!AF633)/(1-Settings!$H$17),"OK",IF(AD633&gt;=C633/(1-SKU_Base!AM633)/(1-Settings!$H$17),"WARN","STOP"))),"")</f>
        <v/>
      </c>
    </row>
    <row r="634" ht="17" customHeight="1" s="179">
      <c r="A634" s="139">
        <f>SKU_Base!B634</f>
        <v/>
      </c>
      <c r="B634" s="139">
        <f>SKU_Base!C634</f>
        <v/>
      </c>
      <c r="C634" s="140">
        <f>IFERROR(SKU_Base!I634,"")</f>
        <v/>
      </c>
      <c r="D634" s="163">
        <f>IFERROR(SKU_Base!T634,"")</f>
        <v/>
      </c>
      <c r="E634" s="141">
        <f>IFERROR(SKU_Base!$U634,"")</f>
        <v/>
      </c>
      <c r="F634" s="158">
        <f>IFERROR(ROUND(D634*(1-CHOOSE(MATCH(IF($E634="","Основний",$E634),{"Трафіковий","Основний","Маржинальний","Сезонний","Стратегічний"},0),Settings!$B$78,Settings!$B$80,Settings!$B$82,Settings!$B$84,Settings!$B$86))/6,2)*6,"")</f>
        <v/>
      </c>
      <c r="G634" s="142">
        <f>IFERROR(CHOOSE(MATCH(IF($E634="","Основний",$E634),{"Трафіковий","Основний","Маржинальний","Сезонний","Стратегічний"},0),Settings!$B$78,Settings!$B$80,Settings!$B$82,Settings!$B$84,Settings!$B$86),"")</f>
        <v/>
      </c>
      <c r="H634" s="143">
        <f>IFERROR((F634*(1-Settings!$B$17)-C634)/(F634*(1-Settings!$B$17)),"")</f>
        <v/>
      </c>
      <c r="I634" s="149">
        <f>IFERROR(IF(F634="","",IF(F634&gt;=C634/(1-SKU_Base!Z634)/(1-Settings!$B$17),"OK",IF(F634&gt;=C634/(1-SKU_Base!AG634)/(1-Settings!$B$17),"WARN","STOP"))),"")</f>
        <v/>
      </c>
      <c r="J634" s="158">
        <f>IFERROR(ROUND(D634*(1-CHOOSE(MATCH(IF($E634="","Основний",$E634),{"Трафіковий","Основний","Маржинальний","Сезонний","Стратегічний"},0),Settings!$C$78,Settings!$C$80,Settings!$C$82,Settings!$C$84,Settings!$C$86))/6,2)*6,"")</f>
        <v/>
      </c>
      <c r="K634" s="142">
        <f>IFERROR(CHOOSE(MATCH(IF($E634="","Основний",$E634),{"Трафіковий","Основний","Маржинальний","Сезонний","Стратегічний"},0),Settings!$C$78,Settings!$C$80,Settings!$C$82,Settings!$C$84,Settings!$C$86),"")</f>
        <v/>
      </c>
      <c r="L634" s="143">
        <f>IFERROR((J634*(1-Settings!$C$17)-C634)/(J634*(1-Settings!$C$17)),"")</f>
        <v/>
      </c>
      <c r="M634" s="149">
        <f>IFERROR(IF(J634="","",IF(J634&gt;=C634/(1-SKU_Base!AA634)/(1-Settings!$C$17),"OK",IF(J634&gt;=C634/(1-SKU_Base!AH634)/(1-Settings!$C$17),"WARN","STOP"))),"")</f>
        <v/>
      </c>
      <c r="N634" s="159">
        <f>IFERROR(ROUND(D634*(1-CHOOSE(MATCH(IF($E634="","Основний",$E634),{"Трафіковий","Основний","Маржинальний","Сезонний","Стратегічний"},0),Settings!$D$78,Settings!$D$80,Settings!$D$82,Settings!$D$84,Settings!$D$86))/6,2)*6,"")</f>
        <v/>
      </c>
      <c r="O634" s="142">
        <f>IFERROR(CHOOSE(MATCH(IF($E634="","Основний",$E634),{"Трафіковий","Основний","Маржинальний","Сезонний","Стратегічний"},0),Settings!$D$78,Settings!$D$80,Settings!$D$82,Settings!$D$84,Settings!$D$86),"")</f>
        <v/>
      </c>
      <c r="P634" s="143">
        <f>IFERROR((N634*(1-Settings!$D$17)-C634)/(N634*(1-Settings!$D$17)),"")</f>
        <v/>
      </c>
      <c r="Q634" s="149">
        <f>IFERROR(IF(N634="","",IF(N634&gt;=C634/(1-SKU_Base!AB634)/(1-Settings!$D$17),"OK",IF(N634&gt;=C634/(1-SKU_Base!AI634)/(1-Settings!$D$17),"WARN","STOP"))),"")</f>
        <v/>
      </c>
      <c r="R634" s="159">
        <f>IFERROR(ROUND(D634*(1-CHOOSE(MATCH(IF($E634="","Основний",$E634),{"Трафіковий","Основний","Маржинальний","Сезонний","Стратегічний"},0),Settings!$E$78,Settings!$E$80,Settings!$E$82,Settings!$E$84,Settings!$E$86))/6,2)*6,"")</f>
        <v/>
      </c>
      <c r="S634" s="142">
        <f>IFERROR(CHOOSE(MATCH(IF($E634="","Основний",$E634),{"Трафіковий","Основний","Маржинальний","Сезонний","Стратегічний"},0),Settings!$E$78,Settings!$E$80,Settings!$E$82,Settings!$E$84,Settings!$E$86),"")</f>
        <v/>
      </c>
      <c r="T634" s="143">
        <f>IFERROR((R634*(1-Settings!$E$17)-C634)/(R634*(1-Settings!$E$17)),"")</f>
        <v/>
      </c>
      <c r="U634" s="149">
        <f>IFERROR(IF(R634="","",IF(R634&gt;=C634/(1-SKU_Base!AC634)/(1-Settings!$E$17),"OK",IF(R634&gt;=C634/(1-SKU_Base!AJ634)/(1-Settings!$E$17),"WARN","STOP"))),"")</f>
        <v/>
      </c>
      <c r="V634" s="159">
        <f>IFERROR(ROUND(D634*(1-CHOOSE(MATCH(IF($E634="","Основний",$E634),{"Трафіковий","Основний","Маржинальний","Сезонний","Стратегічний"},0),Settings!$F$78,Settings!$F$80,Settings!$F$82,Settings!$F$84,Settings!$F$86))/6,2)*6,"")</f>
        <v/>
      </c>
      <c r="W634" s="142">
        <f>IFERROR(CHOOSE(MATCH(IF($E634="","Основний",$E634),{"Трафіковий","Основний","Маржинальний","Сезонний","Стратегічний"},0),Settings!$F$78,Settings!$F$80,Settings!$F$82,Settings!$F$84,Settings!$F$86),"")</f>
        <v/>
      </c>
      <c r="X634" s="143">
        <f>IFERROR((V634*(1-Settings!$F$17)-C634)/(V634*(1-Settings!$F$17)),"")</f>
        <v/>
      </c>
      <c r="Y634" s="149">
        <f>IFERROR(IF(V634="","",IF(V634&gt;=C634/(1-SKU_Base!AD634)/(1-Settings!$F$17),"OK",IF(V634&gt;=C634/(1-SKU_Base!AK634)/(1-Settings!$F$17),"WARN","STOP"))),"")</f>
        <v/>
      </c>
      <c r="Z634" s="159">
        <f>IFERROR(ROUND(D634*(1-CHOOSE(MATCH(IF($E634="","Основний",$E634),{"Трафіковий","Основний","Маржинальний","Сезонний","Стратегічний"},0),Settings!$G$78,Settings!$G$80,Settings!$G$82,Settings!$G$84,Settings!$G$86))/6,2)*6,"")</f>
        <v/>
      </c>
      <c r="AA634" s="142">
        <f>IFERROR(CHOOSE(MATCH(IF($E634="","Основний",$E634),{"Трафіковий","Основний","Маржинальний","Сезонний","Стратегічний"},0),Settings!$G$78,Settings!$G$80,Settings!$G$82,Settings!$G$84,Settings!$G$86),"")</f>
        <v/>
      </c>
      <c r="AB634" s="143">
        <f>IFERROR((Z634*(1-Settings!$G$17)-C634)/(Z634*(1-Settings!$G$17)),"")</f>
        <v/>
      </c>
      <c r="AC634" s="149">
        <f>IFERROR(IF(Z634="","",IF(Z634&gt;=C634/(1-SKU_Base!AE634)/(1-Settings!$G$17),"OK",IF(Z634&gt;=C634/(1-SKU_Base!AL634)/(1-Settings!$G$17),"WARN","STOP"))),"")</f>
        <v/>
      </c>
      <c r="AD634" s="159">
        <f>IFERROR(ROUND(D634*(1-CHOOSE(MATCH(IF($E634="","Основний",$E634),{"Трафіковий","Основний","Маржинальний","Сезонний","Стратегічний"},0),Settings!$H$78,Settings!$H$80,Settings!$H$82,Settings!$H$84,Settings!$H$86))*(1-Settings!$H$68)/6,2)*6,"")</f>
        <v/>
      </c>
      <c r="AE634" s="142">
        <f>IFERROR(CHOOSE(MATCH(IF($E634="","Основний",$E634),{"Трафіковий","Основний","Маржинальний","Сезонний","Стратегічний"},0),Settings!$H$78,Settings!$H$80,Settings!$H$82,Settings!$H$84,Settings!$H$86)+(1-(CHOOSE(MATCH(IF($E634="","Основний",$E634),{"Трафіковий","Основний","Маржинальний","Сезонний","Стратегічний"},0),Settings!$H$78,Settings!$H$80,Settings!$H$82,Settings!$H$84,Settings!$H$86)))*Settings!$H$68,"")</f>
        <v/>
      </c>
      <c r="AF634" s="143">
        <f>IFERROR((AD634*(1-Settings!$H$17)-C634)/(AD634*(1-Settings!$H$17)),"")</f>
        <v/>
      </c>
      <c r="AG634" s="150">
        <f>IFERROR(IF(AD634="","",IF(AD634&gt;=C634/(1-SKU_Base!AF634)/(1-Settings!$H$17),"OK",IF(AD634&gt;=C634/(1-SKU_Base!AM634)/(1-Settings!$H$17),"WARN","STOP"))),"")</f>
        <v/>
      </c>
    </row>
    <row r="635" ht="17" customHeight="1" s="179">
      <c r="A635" s="146">
        <f>SKU_Base!B635</f>
        <v/>
      </c>
      <c r="B635" s="146">
        <f>SKU_Base!C635</f>
        <v/>
      </c>
      <c r="C635" s="147">
        <f>IFERROR(SKU_Base!I635,"")</f>
        <v/>
      </c>
      <c r="D635" s="164">
        <f>IFERROR(SKU_Base!T635,"")</f>
        <v/>
      </c>
      <c r="E635" s="141">
        <f>IFERROR(SKU_Base!$U635,"")</f>
        <v/>
      </c>
      <c r="F635" s="160">
        <f>IFERROR(ROUND(D635*(1-CHOOSE(MATCH(IF($E635="","Основний",$E635),{"Трафіковий","Основний","Маржинальний","Сезонний","Стратегічний"},0),Settings!$B$78,Settings!$B$80,Settings!$B$82,Settings!$B$84,Settings!$B$86))/6,2)*6,"")</f>
        <v/>
      </c>
      <c r="G635" s="142">
        <f>IFERROR(CHOOSE(MATCH(IF($E635="","Основний",$E635),{"Трафіковий","Основний","Маржинальний","Сезонний","Стратегічний"},0),Settings!$B$78,Settings!$B$80,Settings!$B$82,Settings!$B$84,Settings!$B$86),"")</f>
        <v/>
      </c>
      <c r="H635" s="148">
        <f>IFERROR((F635*(1-Settings!$B$17)-C635)/(F635*(1-Settings!$B$17)),"")</f>
        <v/>
      </c>
      <c r="I635" s="149">
        <f>IFERROR(IF(F635="","",IF(F635&gt;=C635/(1-SKU_Base!Z635)/(1-Settings!$B$17),"OK",IF(F635&gt;=C635/(1-SKU_Base!AG635)/(1-Settings!$B$17),"WARN","STOP"))),"")</f>
        <v/>
      </c>
      <c r="J635" s="160">
        <f>IFERROR(ROUND(D635*(1-CHOOSE(MATCH(IF($E635="","Основний",$E635),{"Трафіковий","Основний","Маржинальний","Сезонний","Стратегічний"},0),Settings!$C$78,Settings!$C$80,Settings!$C$82,Settings!$C$84,Settings!$C$86))/6,2)*6,"")</f>
        <v/>
      </c>
      <c r="K635" s="142">
        <f>IFERROR(CHOOSE(MATCH(IF($E635="","Основний",$E635),{"Трафіковий","Основний","Маржинальний","Сезонний","Стратегічний"},0),Settings!$C$78,Settings!$C$80,Settings!$C$82,Settings!$C$84,Settings!$C$86),"")</f>
        <v/>
      </c>
      <c r="L635" s="148">
        <f>IFERROR((J635*(1-Settings!$C$17)-C635)/(J635*(1-Settings!$C$17)),"")</f>
        <v/>
      </c>
      <c r="M635" s="149">
        <f>IFERROR(IF(J635="","",IF(J635&gt;=C635/(1-SKU_Base!AA635)/(1-Settings!$C$17),"OK",IF(J635&gt;=C635/(1-SKU_Base!AH635)/(1-Settings!$C$17),"WARN","STOP"))),"")</f>
        <v/>
      </c>
      <c r="N635" s="161">
        <f>IFERROR(ROUND(D635*(1-CHOOSE(MATCH(IF($E635="","Основний",$E635),{"Трафіковий","Основний","Маржинальний","Сезонний","Стратегічний"},0),Settings!$D$78,Settings!$D$80,Settings!$D$82,Settings!$D$84,Settings!$D$86))/6,2)*6,"")</f>
        <v/>
      </c>
      <c r="O635" s="142">
        <f>IFERROR(CHOOSE(MATCH(IF($E635="","Основний",$E635),{"Трафіковий","Основний","Маржинальний","Сезонний","Стратегічний"},0),Settings!$D$78,Settings!$D$80,Settings!$D$82,Settings!$D$84,Settings!$D$86),"")</f>
        <v/>
      </c>
      <c r="P635" s="148">
        <f>IFERROR((N635*(1-Settings!$D$17)-C635)/(N635*(1-Settings!$D$17)),"")</f>
        <v/>
      </c>
      <c r="Q635" s="149">
        <f>IFERROR(IF(N635="","",IF(N635&gt;=C635/(1-SKU_Base!AB635)/(1-Settings!$D$17),"OK",IF(N635&gt;=C635/(1-SKU_Base!AI635)/(1-Settings!$D$17),"WARN","STOP"))),"")</f>
        <v/>
      </c>
      <c r="R635" s="161">
        <f>IFERROR(ROUND(D635*(1-CHOOSE(MATCH(IF($E635="","Основний",$E635),{"Трафіковий","Основний","Маржинальний","Сезонний","Стратегічний"},0),Settings!$E$78,Settings!$E$80,Settings!$E$82,Settings!$E$84,Settings!$E$86))/6,2)*6,"")</f>
        <v/>
      </c>
      <c r="S635" s="142">
        <f>IFERROR(CHOOSE(MATCH(IF($E635="","Основний",$E635),{"Трафіковий","Основний","Маржинальний","Сезонний","Стратегічний"},0),Settings!$E$78,Settings!$E$80,Settings!$E$82,Settings!$E$84,Settings!$E$86),"")</f>
        <v/>
      </c>
      <c r="T635" s="148">
        <f>IFERROR((R635*(1-Settings!$E$17)-C635)/(R635*(1-Settings!$E$17)),"")</f>
        <v/>
      </c>
      <c r="U635" s="149">
        <f>IFERROR(IF(R635="","",IF(R635&gt;=C635/(1-SKU_Base!AC635)/(1-Settings!$E$17),"OK",IF(R635&gt;=C635/(1-SKU_Base!AJ635)/(1-Settings!$E$17),"WARN","STOP"))),"")</f>
        <v/>
      </c>
      <c r="V635" s="161">
        <f>IFERROR(ROUND(D635*(1-CHOOSE(MATCH(IF($E635="","Основний",$E635),{"Трафіковий","Основний","Маржинальний","Сезонний","Стратегічний"},0),Settings!$F$78,Settings!$F$80,Settings!$F$82,Settings!$F$84,Settings!$F$86))/6,2)*6,"")</f>
        <v/>
      </c>
      <c r="W635" s="142">
        <f>IFERROR(CHOOSE(MATCH(IF($E635="","Основний",$E635),{"Трафіковий","Основний","Маржинальний","Сезонний","Стратегічний"},0),Settings!$F$78,Settings!$F$80,Settings!$F$82,Settings!$F$84,Settings!$F$86),"")</f>
        <v/>
      </c>
      <c r="X635" s="148">
        <f>IFERROR((V635*(1-Settings!$F$17)-C635)/(V635*(1-Settings!$F$17)),"")</f>
        <v/>
      </c>
      <c r="Y635" s="149">
        <f>IFERROR(IF(V635="","",IF(V635&gt;=C635/(1-SKU_Base!AD635)/(1-Settings!$F$17),"OK",IF(V635&gt;=C635/(1-SKU_Base!AK635)/(1-Settings!$F$17),"WARN","STOP"))),"")</f>
        <v/>
      </c>
      <c r="Z635" s="161">
        <f>IFERROR(ROUND(D635*(1-CHOOSE(MATCH(IF($E635="","Основний",$E635),{"Трафіковий","Основний","Маржинальний","Сезонний","Стратегічний"},0),Settings!$G$78,Settings!$G$80,Settings!$G$82,Settings!$G$84,Settings!$G$86))/6,2)*6,"")</f>
        <v/>
      </c>
      <c r="AA635" s="142">
        <f>IFERROR(CHOOSE(MATCH(IF($E635="","Основний",$E635),{"Трафіковий","Основний","Маржинальний","Сезонний","Стратегічний"},0),Settings!$G$78,Settings!$G$80,Settings!$G$82,Settings!$G$84,Settings!$G$86),"")</f>
        <v/>
      </c>
      <c r="AB635" s="148">
        <f>IFERROR((Z635*(1-Settings!$G$17)-C635)/(Z635*(1-Settings!$G$17)),"")</f>
        <v/>
      </c>
      <c r="AC635" s="149">
        <f>IFERROR(IF(Z635="","",IF(Z635&gt;=C635/(1-SKU_Base!AE635)/(1-Settings!$G$17),"OK",IF(Z635&gt;=C635/(1-SKU_Base!AL635)/(1-Settings!$G$17),"WARN","STOP"))),"")</f>
        <v/>
      </c>
      <c r="AD635" s="161">
        <f>IFERROR(ROUND(D635*(1-CHOOSE(MATCH(IF($E635="","Основний",$E635),{"Трафіковий","Основний","Маржинальний","Сезонний","Стратегічний"},0),Settings!$H$78,Settings!$H$80,Settings!$H$82,Settings!$H$84,Settings!$H$86))*(1-Settings!$H$68)/6,2)*6,"")</f>
        <v/>
      </c>
      <c r="AE635" s="142">
        <f>IFERROR(CHOOSE(MATCH(IF($E635="","Основний",$E635),{"Трафіковий","Основний","Маржинальний","Сезонний","Стратегічний"},0),Settings!$H$78,Settings!$H$80,Settings!$H$82,Settings!$H$84,Settings!$H$86)+(1-(CHOOSE(MATCH(IF($E635="","Основний",$E635),{"Трафіковий","Основний","Маржинальний","Сезонний","Стратегічний"},0),Settings!$H$78,Settings!$H$80,Settings!$H$82,Settings!$H$84,Settings!$H$86)))*Settings!$H$68,"")</f>
        <v/>
      </c>
      <c r="AF635" s="148">
        <f>IFERROR((AD635*(1-Settings!$H$17)-C635)/(AD635*(1-Settings!$H$17)),"")</f>
        <v/>
      </c>
      <c r="AG635" s="150">
        <f>IFERROR(IF(AD635="","",IF(AD635&gt;=C635/(1-SKU_Base!AF635)/(1-Settings!$H$17),"OK",IF(AD635&gt;=C635/(1-SKU_Base!AM635)/(1-Settings!$H$17),"WARN","STOP"))),"")</f>
        <v/>
      </c>
    </row>
    <row r="636" ht="17" customHeight="1" s="179">
      <c r="A636" s="139">
        <f>SKU_Base!B636</f>
        <v/>
      </c>
      <c r="B636" s="139">
        <f>SKU_Base!C636</f>
        <v/>
      </c>
      <c r="C636" s="140">
        <f>IFERROR(SKU_Base!I636,"")</f>
        <v/>
      </c>
      <c r="D636" s="163">
        <f>IFERROR(SKU_Base!T636,"")</f>
        <v/>
      </c>
      <c r="E636" s="141">
        <f>IFERROR(SKU_Base!$U636,"")</f>
        <v/>
      </c>
      <c r="F636" s="158">
        <f>IFERROR(ROUND(D636*(1-CHOOSE(MATCH(IF($E636="","Основний",$E636),{"Трафіковий","Основний","Маржинальний","Сезонний","Стратегічний"},0),Settings!$B$78,Settings!$B$80,Settings!$B$82,Settings!$B$84,Settings!$B$86))/6,2)*6,"")</f>
        <v/>
      </c>
      <c r="G636" s="142">
        <f>IFERROR(CHOOSE(MATCH(IF($E636="","Основний",$E636),{"Трафіковий","Основний","Маржинальний","Сезонний","Стратегічний"},0),Settings!$B$78,Settings!$B$80,Settings!$B$82,Settings!$B$84,Settings!$B$86),"")</f>
        <v/>
      </c>
      <c r="H636" s="143">
        <f>IFERROR((F636*(1-Settings!$B$17)-C636)/(F636*(1-Settings!$B$17)),"")</f>
        <v/>
      </c>
      <c r="I636" s="149">
        <f>IFERROR(IF(F636="","",IF(F636&gt;=C636/(1-SKU_Base!Z636)/(1-Settings!$B$17),"OK",IF(F636&gt;=C636/(1-SKU_Base!AG636)/(1-Settings!$B$17),"WARN","STOP"))),"")</f>
        <v/>
      </c>
      <c r="J636" s="158">
        <f>IFERROR(ROUND(D636*(1-CHOOSE(MATCH(IF($E636="","Основний",$E636),{"Трафіковий","Основний","Маржинальний","Сезонний","Стратегічний"},0),Settings!$C$78,Settings!$C$80,Settings!$C$82,Settings!$C$84,Settings!$C$86))/6,2)*6,"")</f>
        <v/>
      </c>
      <c r="K636" s="142">
        <f>IFERROR(CHOOSE(MATCH(IF($E636="","Основний",$E636),{"Трафіковий","Основний","Маржинальний","Сезонний","Стратегічний"},0),Settings!$C$78,Settings!$C$80,Settings!$C$82,Settings!$C$84,Settings!$C$86),"")</f>
        <v/>
      </c>
      <c r="L636" s="143">
        <f>IFERROR((J636*(1-Settings!$C$17)-C636)/(J636*(1-Settings!$C$17)),"")</f>
        <v/>
      </c>
      <c r="M636" s="149">
        <f>IFERROR(IF(J636="","",IF(J636&gt;=C636/(1-SKU_Base!AA636)/(1-Settings!$C$17),"OK",IF(J636&gt;=C636/(1-SKU_Base!AH636)/(1-Settings!$C$17),"WARN","STOP"))),"")</f>
        <v/>
      </c>
      <c r="N636" s="159">
        <f>IFERROR(ROUND(D636*(1-CHOOSE(MATCH(IF($E636="","Основний",$E636),{"Трафіковий","Основний","Маржинальний","Сезонний","Стратегічний"},0),Settings!$D$78,Settings!$D$80,Settings!$D$82,Settings!$D$84,Settings!$D$86))/6,2)*6,"")</f>
        <v/>
      </c>
      <c r="O636" s="142">
        <f>IFERROR(CHOOSE(MATCH(IF($E636="","Основний",$E636),{"Трафіковий","Основний","Маржинальний","Сезонний","Стратегічний"},0),Settings!$D$78,Settings!$D$80,Settings!$D$82,Settings!$D$84,Settings!$D$86),"")</f>
        <v/>
      </c>
      <c r="P636" s="143">
        <f>IFERROR((N636*(1-Settings!$D$17)-C636)/(N636*(1-Settings!$D$17)),"")</f>
        <v/>
      </c>
      <c r="Q636" s="149">
        <f>IFERROR(IF(N636="","",IF(N636&gt;=C636/(1-SKU_Base!AB636)/(1-Settings!$D$17),"OK",IF(N636&gt;=C636/(1-SKU_Base!AI636)/(1-Settings!$D$17),"WARN","STOP"))),"")</f>
        <v/>
      </c>
      <c r="R636" s="159">
        <f>IFERROR(ROUND(D636*(1-CHOOSE(MATCH(IF($E636="","Основний",$E636),{"Трафіковий","Основний","Маржинальний","Сезонний","Стратегічний"},0),Settings!$E$78,Settings!$E$80,Settings!$E$82,Settings!$E$84,Settings!$E$86))/6,2)*6,"")</f>
        <v/>
      </c>
      <c r="S636" s="142">
        <f>IFERROR(CHOOSE(MATCH(IF($E636="","Основний",$E636),{"Трафіковий","Основний","Маржинальний","Сезонний","Стратегічний"},0),Settings!$E$78,Settings!$E$80,Settings!$E$82,Settings!$E$84,Settings!$E$86),"")</f>
        <v/>
      </c>
      <c r="T636" s="143">
        <f>IFERROR((R636*(1-Settings!$E$17)-C636)/(R636*(1-Settings!$E$17)),"")</f>
        <v/>
      </c>
      <c r="U636" s="149">
        <f>IFERROR(IF(R636="","",IF(R636&gt;=C636/(1-SKU_Base!AC636)/(1-Settings!$E$17),"OK",IF(R636&gt;=C636/(1-SKU_Base!AJ636)/(1-Settings!$E$17),"WARN","STOP"))),"")</f>
        <v/>
      </c>
      <c r="V636" s="159">
        <f>IFERROR(ROUND(D636*(1-CHOOSE(MATCH(IF($E636="","Основний",$E636),{"Трафіковий","Основний","Маржинальний","Сезонний","Стратегічний"},0),Settings!$F$78,Settings!$F$80,Settings!$F$82,Settings!$F$84,Settings!$F$86))/6,2)*6,"")</f>
        <v/>
      </c>
      <c r="W636" s="142">
        <f>IFERROR(CHOOSE(MATCH(IF($E636="","Основний",$E636),{"Трафіковий","Основний","Маржинальний","Сезонний","Стратегічний"},0),Settings!$F$78,Settings!$F$80,Settings!$F$82,Settings!$F$84,Settings!$F$86),"")</f>
        <v/>
      </c>
      <c r="X636" s="143">
        <f>IFERROR((V636*(1-Settings!$F$17)-C636)/(V636*(1-Settings!$F$17)),"")</f>
        <v/>
      </c>
      <c r="Y636" s="149">
        <f>IFERROR(IF(V636="","",IF(V636&gt;=C636/(1-SKU_Base!AD636)/(1-Settings!$F$17),"OK",IF(V636&gt;=C636/(1-SKU_Base!AK636)/(1-Settings!$F$17),"WARN","STOP"))),"")</f>
        <v/>
      </c>
      <c r="Z636" s="159">
        <f>IFERROR(ROUND(D636*(1-CHOOSE(MATCH(IF($E636="","Основний",$E636),{"Трафіковий","Основний","Маржинальний","Сезонний","Стратегічний"},0),Settings!$G$78,Settings!$G$80,Settings!$G$82,Settings!$G$84,Settings!$G$86))/6,2)*6,"")</f>
        <v/>
      </c>
      <c r="AA636" s="142">
        <f>IFERROR(CHOOSE(MATCH(IF($E636="","Основний",$E636),{"Трафіковий","Основний","Маржинальний","Сезонний","Стратегічний"},0),Settings!$G$78,Settings!$G$80,Settings!$G$82,Settings!$G$84,Settings!$G$86),"")</f>
        <v/>
      </c>
      <c r="AB636" s="143">
        <f>IFERROR((Z636*(1-Settings!$G$17)-C636)/(Z636*(1-Settings!$G$17)),"")</f>
        <v/>
      </c>
      <c r="AC636" s="149">
        <f>IFERROR(IF(Z636="","",IF(Z636&gt;=C636/(1-SKU_Base!AE636)/(1-Settings!$G$17),"OK",IF(Z636&gt;=C636/(1-SKU_Base!AL636)/(1-Settings!$G$17),"WARN","STOP"))),"")</f>
        <v/>
      </c>
      <c r="AD636" s="159">
        <f>IFERROR(ROUND(D636*(1-CHOOSE(MATCH(IF($E636="","Основний",$E636),{"Трафіковий","Основний","Маржинальний","Сезонний","Стратегічний"},0),Settings!$H$78,Settings!$H$80,Settings!$H$82,Settings!$H$84,Settings!$H$86))*(1-Settings!$H$68)/6,2)*6,"")</f>
        <v/>
      </c>
      <c r="AE636" s="142">
        <f>IFERROR(CHOOSE(MATCH(IF($E636="","Основний",$E636),{"Трафіковий","Основний","Маржинальний","Сезонний","Стратегічний"},0),Settings!$H$78,Settings!$H$80,Settings!$H$82,Settings!$H$84,Settings!$H$86)+(1-(CHOOSE(MATCH(IF($E636="","Основний",$E636),{"Трафіковий","Основний","Маржинальний","Сезонний","Стратегічний"},0),Settings!$H$78,Settings!$H$80,Settings!$H$82,Settings!$H$84,Settings!$H$86)))*Settings!$H$68,"")</f>
        <v/>
      </c>
      <c r="AF636" s="143">
        <f>IFERROR((AD636*(1-Settings!$H$17)-C636)/(AD636*(1-Settings!$H$17)),"")</f>
        <v/>
      </c>
      <c r="AG636" s="150">
        <f>IFERROR(IF(AD636="","",IF(AD636&gt;=C636/(1-SKU_Base!AF636)/(1-Settings!$H$17),"OK",IF(AD636&gt;=C636/(1-SKU_Base!AM636)/(1-Settings!$H$17),"WARN","STOP"))),"")</f>
        <v/>
      </c>
    </row>
    <row r="637" ht="17" customHeight="1" s="179">
      <c r="A637" s="146">
        <f>SKU_Base!B637</f>
        <v/>
      </c>
      <c r="B637" s="146">
        <f>SKU_Base!C637</f>
        <v/>
      </c>
      <c r="C637" s="147">
        <f>IFERROR(SKU_Base!I637,"")</f>
        <v/>
      </c>
      <c r="D637" s="164">
        <f>IFERROR(SKU_Base!T637,"")</f>
        <v/>
      </c>
      <c r="E637" s="141">
        <f>IFERROR(SKU_Base!$U637,"")</f>
        <v/>
      </c>
      <c r="F637" s="160">
        <f>IFERROR(ROUND(D637*(1-CHOOSE(MATCH(IF($E637="","Основний",$E637),{"Трафіковий","Основний","Маржинальний","Сезонний","Стратегічний"},0),Settings!$B$78,Settings!$B$80,Settings!$B$82,Settings!$B$84,Settings!$B$86))/6,2)*6,"")</f>
        <v/>
      </c>
      <c r="G637" s="142">
        <f>IFERROR(CHOOSE(MATCH(IF($E637="","Основний",$E637),{"Трафіковий","Основний","Маржинальний","Сезонний","Стратегічний"},0),Settings!$B$78,Settings!$B$80,Settings!$B$82,Settings!$B$84,Settings!$B$86),"")</f>
        <v/>
      </c>
      <c r="H637" s="148">
        <f>IFERROR((F637*(1-Settings!$B$17)-C637)/(F637*(1-Settings!$B$17)),"")</f>
        <v/>
      </c>
      <c r="I637" s="149">
        <f>IFERROR(IF(F637="","",IF(F637&gt;=C637/(1-SKU_Base!Z637)/(1-Settings!$B$17),"OK",IF(F637&gt;=C637/(1-SKU_Base!AG637)/(1-Settings!$B$17),"WARN","STOP"))),"")</f>
        <v/>
      </c>
      <c r="J637" s="160">
        <f>IFERROR(ROUND(D637*(1-CHOOSE(MATCH(IF($E637="","Основний",$E637),{"Трафіковий","Основний","Маржинальний","Сезонний","Стратегічний"},0),Settings!$C$78,Settings!$C$80,Settings!$C$82,Settings!$C$84,Settings!$C$86))/6,2)*6,"")</f>
        <v/>
      </c>
      <c r="K637" s="142">
        <f>IFERROR(CHOOSE(MATCH(IF($E637="","Основний",$E637),{"Трафіковий","Основний","Маржинальний","Сезонний","Стратегічний"},0),Settings!$C$78,Settings!$C$80,Settings!$C$82,Settings!$C$84,Settings!$C$86),"")</f>
        <v/>
      </c>
      <c r="L637" s="148">
        <f>IFERROR((J637*(1-Settings!$C$17)-C637)/(J637*(1-Settings!$C$17)),"")</f>
        <v/>
      </c>
      <c r="M637" s="149">
        <f>IFERROR(IF(J637="","",IF(J637&gt;=C637/(1-SKU_Base!AA637)/(1-Settings!$C$17),"OK",IF(J637&gt;=C637/(1-SKU_Base!AH637)/(1-Settings!$C$17),"WARN","STOP"))),"")</f>
        <v/>
      </c>
      <c r="N637" s="161">
        <f>IFERROR(ROUND(D637*(1-CHOOSE(MATCH(IF($E637="","Основний",$E637),{"Трафіковий","Основний","Маржинальний","Сезонний","Стратегічний"},0),Settings!$D$78,Settings!$D$80,Settings!$D$82,Settings!$D$84,Settings!$D$86))/6,2)*6,"")</f>
        <v/>
      </c>
      <c r="O637" s="142">
        <f>IFERROR(CHOOSE(MATCH(IF($E637="","Основний",$E637),{"Трафіковий","Основний","Маржинальний","Сезонний","Стратегічний"},0),Settings!$D$78,Settings!$D$80,Settings!$D$82,Settings!$D$84,Settings!$D$86),"")</f>
        <v/>
      </c>
      <c r="P637" s="148">
        <f>IFERROR((N637*(1-Settings!$D$17)-C637)/(N637*(1-Settings!$D$17)),"")</f>
        <v/>
      </c>
      <c r="Q637" s="149">
        <f>IFERROR(IF(N637="","",IF(N637&gt;=C637/(1-SKU_Base!AB637)/(1-Settings!$D$17),"OK",IF(N637&gt;=C637/(1-SKU_Base!AI637)/(1-Settings!$D$17),"WARN","STOP"))),"")</f>
        <v/>
      </c>
      <c r="R637" s="161">
        <f>IFERROR(ROUND(D637*(1-CHOOSE(MATCH(IF($E637="","Основний",$E637),{"Трафіковий","Основний","Маржинальний","Сезонний","Стратегічний"},0),Settings!$E$78,Settings!$E$80,Settings!$E$82,Settings!$E$84,Settings!$E$86))/6,2)*6,"")</f>
        <v/>
      </c>
      <c r="S637" s="142">
        <f>IFERROR(CHOOSE(MATCH(IF($E637="","Основний",$E637),{"Трафіковий","Основний","Маржинальний","Сезонний","Стратегічний"},0),Settings!$E$78,Settings!$E$80,Settings!$E$82,Settings!$E$84,Settings!$E$86),"")</f>
        <v/>
      </c>
      <c r="T637" s="148">
        <f>IFERROR((R637*(1-Settings!$E$17)-C637)/(R637*(1-Settings!$E$17)),"")</f>
        <v/>
      </c>
      <c r="U637" s="149">
        <f>IFERROR(IF(R637="","",IF(R637&gt;=C637/(1-SKU_Base!AC637)/(1-Settings!$E$17),"OK",IF(R637&gt;=C637/(1-SKU_Base!AJ637)/(1-Settings!$E$17),"WARN","STOP"))),"")</f>
        <v/>
      </c>
      <c r="V637" s="161">
        <f>IFERROR(ROUND(D637*(1-CHOOSE(MATCH(IF($E637="","Основний",$E637),{"Трафіковий","Основний","Маржинальний","Сезонний","Стратегічний"},0),Settings!$F$78,Settings!$F$80,Settings!$F$82,Settings!$F$84,Settings!$F$86))/6,2)*6,"")</f>
        <v/>
      </c>
      <c r="W637" s="142">
        <f>IFERROR(CHOOSE(MATCH(IF($E637="","Основний",$E637),{"Трафіковий","Основний","Маржинальний","Сезонний","Стратегічний"},0),Settings!$F$78,Settings!$F$80,Settings!$F$82,Settings!$F$84,Settings!$F$86),"")</f>
        <v/>
      </c>
      <c r="X637" s="148">
        <f>IFERROR((V637*(1-Settings!$F$17)-C637)/(V637*(1-Settings!$F$17)),"")</f>
        <v/>
      </c>
      <c r="Y637" s="149">
        <f>IFERROR(IF(V637="","",IF(V637&gt;=C637/(1-SKU_Base!AD637)/(1-Settings!$F$17),"OK",IF(V637&gt;=C637/(1-SKU_Base!AK637)/(1-Settings!$F$17),"WARN","STOP"))),"")</f>
        <v/>
      </c>
      <c r="Z637" s="161">
        <f>IFERROR(ROUND(D637*(1-CHOOSE(MATCH(IF($E637="","Основний",$E637),{"Трафіковий","Основний","Маржинальний","Сезонний","Стратегічний"},0),Settings!$G$78,Settings!$G$80,Settings!$G$82,Settings!$G$84,Settings!$G$86))/6,2)*6,"")</f>
        <v/>
      </c>
      <c r="AA637" s="142">
        <f>IFERROR(CHOOSE(MATCH(IF($E637="","Основний",$E637),{"Трафіковий","Основний","Маржинальний","Сезонний","Стратегічний"},0),Settings!$G$78,Settings!$G$80,Settings!$G$82,Settings!$G$84,Settings!$G$86),"")</f>
        <v/>
      </c>
      <c r="AB637" s="148">
        <f>IFERROR((Z637*(1-Settings!$G$17)-C637)/(Z637*(1-Settings!$G$17)),"")</f>
        <v/>
      </c>
      <c r="AC637" s="149">
        <f>IFERROR(IF(Z637="","",IF(Z637&gt;=C637/(1-SKU_Base!AE637)/(1-Settings!$G$17),"OK",IF(Z637&gt;=C637/(1-SKU_Base!AL637)/(1-Settings!$G$17),"WARN","STOP"))),"")</f>
        <v/>
      </c>
      <c r="AD637" s="161">
        <f>IFERROR(ROUND(D637*(1-CHOOSE(MATCH(IF($E637="","Основний",$E637),{"Трафіковий","Основний","Маржинальний","Сезонний","Стратегічний"},0),Settings!$H$78,Settings!$H$80,Settings!$H$82,Settings!$H$84,Settings!$H$86))*(1-Settings!$H$68)/6,2)*6,"")</f>
        <v/>
      </c>
      <c r="AE637" s="142">
        <f>IFERROR(CHOOSE(MATCH(IF($E637="","Основний",$E637),{"Трафіковий","Основний","Маржинальний","Сезонний","Стратегічний"},0),Settings!$H$78,Settings!$H$80,Settings!$H$82,Settings!$H$84,Settings!$H$86)+(1-(CHOOSE(MATCH(IF($E637="","Основний",$E637),{"Трафіковий","Основний","Маржинальний","Сезонний","Стратегічний"},0),Settings!$H$78,Settings!$H$80,Settings!$H$82,Settings!$H$84,Settings!$H$86)))*Settings!$H$68,"")</f>
        <v/>
      </c>
      <c r="AF637" s="148">
        <f>IFERROR((AD637*(1-Settings!$H$17)-C637)/(AD637*(1-Settings!$H$17)),"")</f>
        <v/>
      </c>
      <c r="AG637" s="150">
        <f>IFERROR(IF(AD637="","",IF(AD637&gt;=C637/(1-SKU_Base!AF637)/(1-Settings!$H$17),"OK",IF(AD637&gt;=C637/(1-SKU_Base!AM637)/(1-Settings!$H$17),"WARN","STOP"))),"")</f>
        <v/>
      </c>
    </row>
    <row r="638" ht="17" customHeight="1" s="179">
      <c r="A638" s="139">
        <f>SKU_Base!B638</f>
        <v/>
      </c>
      <c r="B638" s="139">
        <f>SKU_Base!C638</f>
        <v/>
      </c>
      <c r="C638" s="140">
        <f>IFERROR(SKU_Base!I638,"")</f>
        <v/>
      </c>
      <c r="D638" s="163">
        <f>IFERROR(SKU_Base!T638,"")</f>
        <v/>
      </c>
      <c r="E638" s="141">
        <f>IFERROR(SKU_Base!$U638,"")</f>
        <v/>
      </c>
      <c r="F638" s="158">
        <f>IFERROR(ROUND(D638*(1-CHOOSE(MATCH(IF($E638="","Основний",$E638),{"Трафіковий","Основний","Маржинальний","Сезонний","Стратегічний"},0),Settings!$B$78,Settings!$B$80,Settings!$B$82,Settings!$B$84,Settings!$B$86))/6,2)*6,"")</f>
        <v/>
      </c>
      <c r="G638" s="142">
        <f>IFERROR(CHOOSE(MATCH(IF($E638="","Основний",$E638),{"Трафіковий","Основний","Маржинальний","Сезонний","Стратегічний"},0),Settings!$B$78,Settings!$B$80,Settings!$B$82,Settings!$B$84,Settings!$B$86),"")</f>
        <v/>
      </c>
      <c r="H638" s="143">
        <f>IFERROR((F638*(1-Settings!$B$17)-C638)/(F638*(1-Settings!$B$17)),"")</f>
        <v/>
      </c>
      <c r="I638" s="149">
        <f>IFERROR(IF(F638="","",IF(F638&gt;=C638/(1-SKU_Base!Z638)/(1-Settings!$B$17),"OK",IF(F638&gt;=C638/(1-SKU_Base!AG638)/(1-Settings!$B$17),"WARN","STOP"))),"")</f>
        <v/>
      </c>
      <c r="J638" s="158">
        <f>IFERROR(ROUND(D638*(1-CHOOSE(MATCH(IF($E638="","Основний",$E638),{"Трафіковий","Основний","Маржинальний","Сезонний","Стратегічний"},0),Settings!$C$78,Settings!$C$80,Settings!$C$82,Settings!$C$84,Settings!$C$86))/6,2)*6,"")</f>
        <v/>
      </c>
      <c r="K638" s="142">
        <f>IFERROR(CHOOSE(MATCH(IF($E638="","Основний",$E638),{"Трафіковий","Основний","Маржинальний","Сезонний","Стратегічний"},0),Settings!$C$78,Settings!$C$80,Settings!$C$82,Settings!$C$84,Settings!$C$86),"")</f>
        <v/>
      </c>
      <c r="L638" s="143">
        <f>IFERROR((J638*(1-Settings!$C$17)-C638)/(J638*(1-Settings!$C$17)),"")</f>
        <v/>
      </c>
      <c r="M638" s="149">
        <f>IFERROR(IF(J638="","",IF(J638&gt;=C638/(1-SKU_Base!AA638)/(1-Settings!$C$17),"OK",IF(J638&gt;=C638/(1-SKU_Base!AH638)/(1-Settings!$C$17),"WARN","STOP"))),"")</f>
        <v/>
      </c>
      <c r="N638" s="159">
        <f>IFERROR(ROUND(D638*(1-CHOOSE(MATCH(IF($E638="","Основний",$E638),{"Трафіковий","Основний","Маржинальний","Сезонний","Стратегічний"},0),Settings!$D$78,Settings!$D$80,Settings!$D$82,Settings!$D$84,Settings!$D$86))/6,2)*6,"")</f>
        <v/>
      </c>
      <c r="O638" s="142">
        <f>IFERROR(CHOOSE(MATCH(IF($E638="","Основний",$E638),{"Трафіковий","Основний","Маржинальний","Сезонний","Стратегічний"},0),Settings!$D$78,Settings!$D$80,Settings!$D$82,Settings!$D$84,Settings!$D$86),"")</f>
        <v/>
      </c>
      <c r="P638" s="143">
        <f>IFERROR((N638*(1-Settings!$D$17)-C638)/(N638*(1-Settings!$D$17)),"")</f>
        <v/>
      </c>
      <c r="Q638" s="149">
        <f>IFERROR(IF(N638="","",IF(N638&gt;=C638/(1-SKU_Base!AB638)/(1-Settings!$D$17),"OK",IF(N638&gt;=C638/(1-SKU_Base!AI638)/(1-Settings!$D$17),"WARN","STOP"))),"")</f>
        <v/>
      </c>
      <c r="R638" s="159">
        <f>IFERROR(ROUND(D638*(1-CHOOSE(MATCH(IF($E638="","Основний",$E638),{"Трафіковий","Основний","Маржинальний","Сезонний","Стратегічний"},0),Settings!$E$78,Settings!$E$80,Settings!$E$82,Settings!$E$84,Settings!$E$86))/6,2)*6,"")</f>
        <v/>
      </c>
      <c r="S638" s="142">
        <f>IFERROR(CHOOSE(MATCH(IF($E638="","Основний",$E638),{"Трафіковий","Основний","Маржинальний","Сезонний","Стратегічний"},0),Settings!$E$78,Settings!$E$80,Settings!$E$82,Settings!$E$84,Settings!$E$86),"")</f>
        <v/>
      </c>
      <c r="T638" s="143">
        <f>IFERROR((R638*(1-Settings!$E$17)-C638)/(R638*(1-Settings!$E$17)),"")</f>
        <v/>
      </c>
      <c r="U638" s="149">
        <f>IFERROR(IF(R638="","",IF(R638&gt;=C638/(1-SKU_Base!AC638)/(1-Settings!$E$17),"OK",IF(R638&gt;=C638/(1-SKU_Base!AJ638)/(1-Settings!$E$17),"WARN","STOP"))),"")</f>
        <v/>
      </c>
      <c r="V638" s="159">
        <f>IFERROR(ROUND(D638*(1-CHOOSE(MATCH(IF($E638="","Основний",$E638),{"Трафіковий","Основний","Маржинальний","Сезонний","Стратегічний"},0),Settings!$F$78,Settings!$F$80,Settings!$F$82,Settings!$F$84,Settings!$F$86))/6,2)*6,"")</f>
        <v/>
      </c>
      <c r="W638" s="142">
        <f>IFERROR(CHOOSE(MATCH(IF($E638="","Основний",$E638),{"Трафіковий","Основний","Маржинальний","Сезонний","Стратегічний"},0),Settings!$F$78,Settings!$F$80,Settings!$F$82,Settings!$F$84,Settings!$F$86),"")</f>
        <v/>
      </c>
      <c r="X638" s="143">
        <f>IFERROR((V638*(1-Settings!$F$17)-C638)/(V638*(1-Settings!$F$17)),"")</f>
        <v/>
      </c>
      <c r="Y638" s="149">
        <f>IFERROR(IF(V638="","",IF(V638&gt;=C638/(1-SKU_Base!AD638)/(1-Settings!$F$17),"OK",IF(V638&gt;=C638/(1-SKU_Base!AK638)/(1-Settings!$F$17),"WARN","STOP"))),"")</f>
        <v/>
      </c>
      <c r="Z638" s="159">
        <f>IFERROR(ROUND(D638*(1-CHOOSE(MATCH(IF($E638="","Основний",$E638),{"Трафіковий","Основний","Маржинальний","Сезонний","Стратегічний"},0),Settings!$G$78,Settings!$G$80,Settings!$G$82,Settings!$G$84,Settings!$G$86))/6,2)*6,"")</f>
        <v/>
      </c>
      <c r="AA638" s="142">
        <f>IFERROR(CHOOSE(MATCH(IF($E638="","Основний",$E638),{"Трафіковий","Основний","Маржинальний","Сезонний","Стратегічний"},0),Settings!$G$78,Settings!$G$80,Settings!$G$82,Settings!$G$84,Settings!$G$86),"")</f>
        <v/>
      </c>
      <c r="AB638" s="143">
        <f>IFERROR((Z638*(1-Settings!$G$17)-C638)/(Z638*(1-Settings!$G$17)),"")</f>
        <v/>
      </c>
      <c r="AC638" s="149">
        <f>IFERROR(IF(Z638="","",IF(Z638&gt;=C638/(1-SKU_Base!AE638)/(1-Settings!$G$17),"OK",IF(Z638&gt;=C638/(1-SKU_Base!AL638)/(1-Settings!$G$17),"WARN","STOP"))),"")</f>
        <v/>
      </c>
      <c r="AD638" s="159">
        <f>IFERROR(ROUND(D638*(1-CHOOSE(MATCH(IF($E638="","Основний",$E638),{"Трафіковий","Основний","Маржинальний","Сезонний","Стратегічний"},0),Settings!$H$78,Settings!$H$80,Settings!$H$82,Settings!$H$84,Settings!$H$86))*(1-Settings!$H$68)/6,2)*6,"")</f>
        <v/>
      </c>
      <c r="AE638" s="142">
        <f>IFERROR(CHOOSE(MATCH(IF($E638="","Основний",$E638),{"Трафіковий","Основний","Маржинальний","Сезонний","Стратегічний"},0),Settings!$H$78,Settings!$H$80,Settings!$H$82,Settings!$H$84,Settings!$H$86)+(1-(CHOOSE(MATCH(IF($E638="","Основний",$E638),{"Трафіковий","Основний","Маржинальний","Сезонний","Стратегічний"},0),Settings!$H$78,Settings!$H$80,Settings!$H$82,Settings!$H$84,Settings!$H$86)))*Settings!$H$68,"")</f>
        <v/>
      </c>
      <c r="AF638" s="143">
        <f>IFERROR((AD638*(1-Settings!$H$17)-C638)/(AD638*(1-Settings!$H$17)),"")</f>
        <v/>
      </c>
      <c r="AG638" s="150">
        <f>IFERROR(IF(AD638="","",IF(AD638&gt;=C638/(1-SKU_Base!AF638)/(1-Settings!$H$17),"OK",IF(AD638&gt;=C638/(1-SKU_Base!AM638)/(1-Settings!$H$17),"WARN","STOP"))),"")</f>
        <v/>
      </c>
    </row>
    <row r="639" ht="17" customHeight="1" s="179">
      <c r="A639" s="146">
        <f>SKU_Base!B639</f>
        <v/>
      </c>
      <c r="B639" s="146">
        <f>SKU_Base!C639</f>
        <v/>
      </c>
      <c r="C639" s="147">
        <f>IFERROR(SKU_Base!I639,"")</f>
        <v/>
      </c>
      <c r="D639" s="164">
        <f>IFERROR(SKU_Base!T639,"")</f>
        <v/>
      </c>
      <c r="E639" s="141">
        <f>IFERROR(SKU_Base!$U639,"")</f>
        <v/>
      </c>
      <c r="F639" s="160">
        <f>IFERROR(ROUND(D639*(1-CHOOSE(MATCH(IF($E639="","Основний",$E639),{"Трафіковий","Основний","Маржинальний","Сезонний","Стратегічний"},0),Settings!$B$78,Settings!$B$80,Settings!$B$82,Settings!$B$84,Settings!$B$86))/6,2)*6,"")</f>
        <v/>
      </c>
      <c r="G639" s="142">
        <f>IFERROR(CHOOSE(MATCH(IF($E639="","Основний",$E639),{"Трафіковий","Основний","Маржинальний","Сезонний","Стратегічний"},0),Settings!$B$78,Settings!$B$80,Settings!$B$82,Settings!$B$84,Settings!$B$86),"")</f>
        <v/>
      </c>
      <c r="H639" s="148">
        <f>IFERROR((F639*(1-Settings!$B$17)-C639)/(F639*(1-Settings!$B$17)),"")</f>
        <v/>
      </c>
      <c r="I639" s="149">
        <f>IFERROR(IF(F639="","",IF(F639&gt;=C639/(1-SKU_Base!Z639)/(1-Settings!$B$17),"OK",IF(F639&gt;=C639/(1-SKU_Base!AG639)/(1-Settings!$B$17),"WARN","STOP"))),"")</f>
        <v/>
      </c>
      <c r="J639" s="160">
        <f>IFERROR(ROUND(D639*(1-CHOOSE(MATCH(IF($E639="","Основний",$E639),{"Трафіковий","Основний","Маржинальний","Сезонний","Стратегічний"},0),Settings!$C$78,Settings!$C$80,Settings!$C$82,Settings!$C$84,Settings!$C$86))/6,2)*6,"")</f>
        <v/>
      </c>
      <c r="K639" s="142">
        <f>IFERROR(CHOOSE(MATCH(IF($E639="","Основний",$E639),{"Трафіковий","Основний","Маржинальний","Сезонний","Стратегічний"},0),Settings!$C$78,Settings!$C$80,Settings!$C$82,Settings!$C$84,Settings!$C$86),"")</f>
        <v/>
      </c>
      <c r="L639" s="148">
        <f>IFERROR((J639*(1-Settings!$C$17)-C639)/(J639*(1-Settings!$C$17)),"")</f>
        <v/>
      </c>
      <c r="M639" s="149">
        <f>IFERROR(IF(J639="","",IF(J639&gt;=C639/(1-SKU_Base!AA639)/(1-Settings!$C$17),"OK",IF(J639&gt;=C639/(1-SKU_Base!AH639)/(1-Settings!$C$17),"WARN","STOP"))),"")</f>
        <v/>
      </c>
      <c r="N639" s="161">
        <f>IFERROR(ROUND(D639*(1-CHOOSE(MATCH(IF($E639="","Основний",$E639),{"Трафіковий","Основний","Маржинальний","Сезонний","Стратегічний"},0),Settings!$D$78,Settings!$D$80,Settings!$D$82,Settings!$D$84,Settings!$D$86))/6,2)*6,"")</f>
        <v/>
      </c>
      <c r="O639" s="142">
        <f>IFERROR(CHOOSE(MATCH(IF($E639="","Основний",$E639),{"Трафіковий","Основний","Маржинальний","Сезонний","Стратегічний"},0),Settings!$D$78,Settings!$D$80,Settings!$D$82,Settings!$D$84,Settings!$D$86),"")</f>
        <v/>
      </c>
      <c r="P639" s="148">
        <f>IFERROR((N639*(1-Settings!$D$17)-C639)/(N639*(1-Settings!$D$17)),"")</f>
        <v/>
      </c>
      <c r="Q639" s="149">
        <f>IFERROR(IF(N639="","",IF(N639&gt;=C639/(1-SKU_Base!AB639)/(1-Settings!$D$17),"OK",IF(N639&gt;=C639/(1-SKU_Base!AI639)/(1-Settings!$D$17),"WARN","STOP"))),"")</f>
        <v/>
      </c>
      <c r="R639" s="161">
        <f>IFERROR(ROUND(D639*(1-CHOOSE(MATCH(IF($E639="","Основний",$E639),{"Трафіковий","Основний","Маржинальний","Сезонний","Стратегічний"},0),Settings!$E$78,Settings!$E$80,Settings!$E$82,Settings!$E$84,Settings!$E$86))/6,2)*6,"")</f>
        <v/>
      </c>
      <c r="S639" s="142">
        <f>IFERROR(CHOOSE(MATCH(IF($E639="","Основний",$E639),{"Трафіковий","Основний","Маржинальний","Сезонний","Стратегічний"},0),Settings!$E$78,Settings!$E$80,Settings!$E$82,Settings!$E$84,Settings!$E$86),"")</f>
        <v/>
      </c>
      <c r="T639" s="148">
        <f>IFERROR((R639*(1-Settings!$E$17)-C639)/(R639*(1-Settings!$E$17)),"")</f>
        <v/>
      </c>
      <c r="U639" s="149">
        <f>IFERROR(IF(R639="","",IF(R639&gt;=C639/(1-SKU_Base!AC639)/(1-Settings!$E$17),"OK",IF(R639&gt;=C639/(1-SKU_Base!AJ639)/(1-Settings!$E$17),"WARN","STOP"))),"")</f>
        <v/>
      </c>
      <c r="V639" s="161">
        <f>IFERROR(ROUND(D639*(1-CHOOSE(MATCH(IF($E639="","Основний",$E639),{"Трафіковий","Основний","Маржинальний","Сезонний","Стратегічний"},0),Settings!$F$78,Settings!$F$80,Settings!$F$82,Settings!$F$84,Settings!$F$86))/6,2)*6,"")</f>
        <v/>
      </c>
      <c r="W639" s="142">
        <f>IFERROR(CHOOSE(MATCH(IF($E639="","Основний",$E639),{"Трафіковий","Основний","Маржинальний","Сезонний","Стратегічний"},0),Settings!$F$78,Settings!$F$80,Settings!$F$82,Settings!$F$84,Settings!$F$86),"")</f>
        <v/>
      </c>
      <c r="X639" s="148">
        <f>IFERROR((V639*(1-Settings!$F$17)-C639)/(V639*(1-Settings!$F$17)),"")</f>
        <v/>
      </c>
      <c r="Y639" s="149">
        <f>IFERROR(IF(V639="","",IF(V639&gt;=C639/(1-SKU_Base!AD639)/(1-Settings!$F$17),"OK",IF(V639&gt;=C639/(1-SKU_Base!AK639)/(1-Settings!$F$17),"WARN","STOP"))),"")</f>
        <v/>
      </c>
      <c r="Z639" s="161">
        <f>IFERROR(ROUND(D639*(1-CHOOSE(MATCH(IF($E639="","Основний",$E639),{"Трафіковий","Основний","Маржинальний","Сезонний","Стратегічний"},0),Settings!$G$78,Settings!$G$80,Settings!$G$82,Settings!$G$84,Settings!$G$86))/6,2)*6,"")</f>
        <v/>
      </c>
      <c r="AA639" s="142">
        <f>IFERROR(CHOOSE(MATCH(IF($E639="","Основний",$E639),{"Трафіковий","Основний","Маржинальний","Сезонний","Стратегічний"},0),Settings!$G$78,Settings!$G$80,Settings!$G$82,Settings!$G$84,Settings!$G$86),"")</f>
        <v/>
      </c>
      <c r="AB639" s="148">
        <f>IFERROR((Z639*(1-Settings!$G$17)-C639)/(Z639*(1-Settings!$G$17)),"")</f>
        <v/>
      </c>
      <c r="AC639" s="149">
        <f>IFERROR(IF(Z639="","",IF(Z639&gt;=C639/(1-SKU_Base!AE639)/(1-Settings!$G$17),"OK",IF(Z639&gt;=C639/(1-SKU_Base!AL639)/(1-Settings!$G$17),"WARN","STOP"))),"")</f>
        <v/>
      </c>
      <c r="AD639" s="161">
        <f>IFERROR(ROUND(D639*(1-CHOOSE(MATCH(IF($E639="","Основний",$E639),{"Трафіковий","Основний","Маржинальний","Сезонний","Стратегічний"},0),Settings!$H$78,Settings!$H$80,Settings!$H$82,Settings!$H$84,Settings!$H$86))*(1-Settings!$H$68)/6,2)*6,"")</f>
        <v/>
      </c>
      <c r="AE639" s="142">
        <f>IFERROR(CHOOSE(MATCH(IF($E639="","Основний",$E639),{"Трафіковий","Основний","Маржинальний","Сезонний","Стратегічний"},0),Settings!$H$78,Settings!$H$80,Settings!$H$82,Settings!$H$84,Settings!$H$86)+(1-(CHOOSE(MATCH(IF($E639="","Основний",$E639),{"Трафіковий","Основний","Маржинальний","Сезонний","Стратегічний"},0),Settings!$H$78,Settings!$H$80,Settings!$H$82,Settings!$H$84,Settings!$H$86)))*Settings!$H$68,"")</f>
        <v/>
      </c>
      <c r="AF639" s="148">
        <f>IFERROR((AD639*(1-Settings!$H$17)-C639)/(AD639*(1-Settings!$H$17)),"")</f>
        <v/>
      </c>
      <c r="AG639" s="150">
        <f>IFERROR(IF(AD639="","",IF(AD639&gt;=C639/(1-SKU_Base!AF639)/(1-Settings!$H$17),"OK",IF(AD639&gt;=C639/(1-SKU_Base!AM639)/(1-Settings!$H$17),"WARN","STOP"))),"")</f>
        <v/>
      </c>
    </row>
    <row r="640" ht="17" customHeight="1" s="179">
      <c r="A640" s="139">
        <f>SKU_Base!B640</f>
        <v/>
      </c>
      <c r="B640" s="139">
        <f>SKU_Base!C640</f>
        <v/>
      </c>
      <c r="C640" s="140">
        <f>IFERROR(SKU_Base!I640,"")</f>
        <v/>
      </c>
      <c r="D640" s="163">
        <f>IFERROR(SKU_Base!T640,"")</f>
        <v/>
      </c>
      <c r="E640" s="141">
        <f>IFERROR(SKU_Base!$U640,"")</f>
        <v/>
      </c>
      <c r="F640" s="158">
        <f>IFERROR(ROUND(D640*(1-CHOOSE(MATCH(IF($E640="","Основний",$E640),{"Трафіковий","Основний","Маржинальний","Сезонний","Стратегічний"},0),Settings!$B$78,Settings!$B$80,Settings!$B$82,Settings!$B$84,Settings!$B$86))/6,2)*6,"")</f>
        <v/>
      </c>
      <c r="G640" s="142">
        <f>IFERROR(CHOOSE(MATCH(IF($E640="","Основний",$E640),{"Трафіковий","Основний","Маржинальний","Сезонний","Стратегічний"},0),Settings!$B$78,Settings!$B$80,Settings!$B$82,Settings!$B$84,Settings!$B$86),"")</f>
        <v/>
      </c>
      <c r="H640" s="143">
        <f>IFERROR((F640*(1-Settings!$B$17)-C640)/(F640*(1-Settings!$B$17)),"")</f>
        <v/>
      </c>
      <c r="I640" s="149">
        <f>IFERROR(IF(F640="","",IF(F640&gt;=C640/(1-SKU_Base!Z640)/(1-Settings!$B$17),"OK",IF(F640&gt;=C640/(1-SKU_Base!AG640)/(1-Settings!$B$17),"WARN","STOP"))),"")</f>
        <v/>
      </c>
      <c r="J640" s="158">
        <f>IFERROR(ROUND(D640*(1-CHOOSE(MATCH(IF($E640="","Основний",$E640),{"Трафіковий","Основний","Маржинальний","Сезонний","Стратегічний"},0),Settings!$C$78,Settings!$C$80,Settings!$C$82,Settings!$C$84,Settings!$C$86))/6,2)*6,"")</f>
        <v/>
      </c>
      <c r="K640" s="142">
        <f>IFERROR(CHOOSE(MATCH(IF($E640="","Основний",$E640),{"Трафіковий","Основний","Маржинальний","Сезонний","Стратегічний"},0),Settings!$C$78,Settings!$C$80,Settings!$C$82,Settings!$C$84,Settings!$C$86),"")</f>
        <v/>
      </c>
      <c r="L640" s="143">
        <f>IFERROR((J640*(1-Settings!$C$17)-C640)/(J640*(1-Settings!$C$17)),"")</f>
        <v/>
      </c>
      <c r="M640" s="149">
        <f>IFERROR(IF(J640="","",IF(J640&gt;=C640/(1-SKU_Base!AA640)/(1-Settings!$C$17),"OK",IF(J640&gt;=C640/(1-SKU_Base!AH640)/(1-Settings!$C$17),"WARN","STOP"))),"")</f>
        <v/>
      </c>
      <c r="N640" s="159">
        <f>IFERROR(ROUND(D640*(1-CHOOSE(MATCH(IF($E640="","Основний",$E640),{"Трафіковий","Основний","Маржинальний","Сезонний","Стратегічний"},0),Settings!$D$78,Settings!$D$80,Settings!$D$82,Settings!$D$84,Settings!$D$86))/6,2)*6,"")</f>
        <v/>
      </c>
      <c r="O640" s="142">
        <f>IFERROR(CHOOSE(MATCH(IF($E640="","Основний",$E640),{"Трафіковий","Основний","Маржинальний","Сезонний","Стратегічний"},0),Settings!$D$78,Settings!$D$80,Settings!$D$82,Settings!$D$84,Settings!$D$86),"")</f>
        <v/>
      </c>
      <c r="P640" s="143">
        <f>IFERROR((N640*(1-Settings!$D$17)-C640)/(N640*(1-Settings!$D$17)),"")</f>
        <v/>
      </c>
      <c r="Q640" s="149">
        <f>IFERROR(IF(N640="","",IF(N640&gt;=C640/(1-SKU_Base!AB640)/(1-Settings!$D$17),"OK",IF(N640&gt;=C640/(1-SKU_Base!AI640)/(1-Settings!$D$17),"WARN","STOP"))),"")</f>
        <v/>
      </c>
      <c r="R640" s="159">
        <f>IFERROR(ROUND(D640*(1-CHOOSE(MATCH(IF($E640="","Основний",$E640),{"Трафіковий","Основний","Маржинальний","Сезонний","Стратегічний"},0),Settings!$E$78,Settings!$E$80,Settings!$E$82,Settings!$E$84,Settings!$E$86))/6,2)*6,"")</f>
        <v/>
      </c>
      <c r="S640" s="142">
        <f>IFERROR(CHOOSE(MATCH(IF($E640="","Основний",$E640),{"Трафіковий","Основний","Маржинальний","Сезонний","Стратегічний"},0),Settings!$E$78,Settings!$E$80,Settings!$E$82,Settings!$E$84,Settings!$E$86),"")</f>
        <v/>
      </c>
      <c r="T640" s="143">
        <f>IFERROR((R640*(1-Settings!$E$17)-C640)/(R640*(1-Settings!$E$17)),"")</f>
        <v/>
      </c>
      <c r="U640" s="149">
        <f>IFERROR(IF(R640="","",IF(R640&gt;=C640/(1-SKU_Base!AC640)/(1-Settings!$E$17),"OK",IF(R640&gt;=C640/(1-SKU_Base!AJ640)/(1-Settings!$E$17),"WARN","STOP"))),"")</f>
        <v/>
      </c>
      <c r="V640" s="159">
        <f>IFERROR(ROUND(D640*(1-CHOOSE(MATCH(IF($E640="","Основний",$E640),{"Трафіковий","Основний","Маржинальний","Сезонний","Стратегічний"},0),Settings!$F$78,Settings!$F$80,Settings!$F$82,Settings!$F$84,Settings!$F$86))/6,2)*6,"")</f>
        <v/>
      </c>
      <c r="W640" s="142">
        <f>IFERROR(CHOOSE(MATCH(IF($E640="","Основний",$E640),{"Трафіковий","Основний","Маржинальний","Сезонний","Стратегічний"},0),Settings!$F$78,Settings!$F$80,Settings!$F$82,Settings!$F$84,Settings!$F$86),"")</f>
        <v/>
      </c>
      <c r="X640" s="143">
        <f>IFERROR((V640*(1-Settings!$F$17)-C640)/(V640*(1-Settings!$F$17)),"")</f>
        <v/>
      </c>
      <c r="Y640" s="149">
        <f>IFERROR(IF(V640="","",IF(V640&gt;=C640/(1-SKU_Base!AD640)/(1-Settings!$F$17),"OK",IF(V640&gt;=C640/(1-SKU_Base!AK640)/(1-Settings!$F$17),"WARN","STOP"))),"")</f>
        <v/>
      </c>
      <c r="Z640" s="159">
        <f>IFERROR(ROUND(D640*(1-CHOOSE(MATCH(IF($E640="","Основний",$E640),{"Трафіковий","Основний","Маржинальний","Сезонний","Стратегічний"},0),Settings!$G$78,Settings!$G$80,Settings!$G$82,Settings!$G$84,Settings!$G$86))/6,2)*6,"")</f>
        <v/>
      </c>
      <c r="AA640" s="142">
        <f>IFERROR(CHOOSE(MATCH(IF($E640="","Основний",$E640),{"Трафіковий","Основний","Маржинальний","Сезонний","Стратегічний"},0),Settings!$G$78,Settings!$G$80,Settings!$G$82,Settings!$G$84,Settings!$G$86),"")</f>
        <v/>
      </c>
      <c r="AB640" s="143">
        <f>IFERROR((Z640*(1-Settings!$G$17)-C640)/(Z640*(1-Settings!$G$17)),"")</f>
        <v/>
      </c>
      <c r="AC640" s="149">
        <f>IFERROR(IF(Z640="","",IF(Z640&gt;=C640/(1-SKU_Base!AE640)/(1-Settings!$G$17),"OK",IF(Z640&gt;=C640/(1-SKU_Base!AL640)/(1-Settings!$G$17),"WARN","STOP"))),"")</f>
        <v/>
      </c>
      <c r="AD640" s="159">
        <f>IFERROR(ROUND(D640*(1-CHOOSE(MATCH(IF($E640="","Основний",$E640),{"Трафіковий","Основний","Маржинальний","Сезонний","Стратегічний"},0),Settings!$H$78,Settings!$H$80,Settings!$H$82,Settings!$H$84,Settings!$H$86))*(1-Settings!$H$68)/6,2)*6,"")</f>
        <v/>
      </c>
      <c r="AE640" s="142">
        <f>IFERROR(CHOOSE(MATCH(IF($E640="","Основний",$E640),{"Трафіковий","Основний","Маржинальний","Сезонний","Стратегічний"},0),Settings!$H$78,Settings!$H$80,Settings!$H$82,Settings!$H$84,Settings!$H$86)+(1-(CHOOSE(MATCH(IF($E640="","Основний",$E640),{"Трафіковий","Основний","Маржинальний","Сезонний","Стратегічний"},0),Settings!$H$78,Settings!$H$80,Settings!$H$82,Settings!$H$84,Settings!$H$86)))*Settings!$H$68,"")</f>
        <v/>
      </c>
      <c r="AF640" s="143">
        <f>IFERROR((AD640*(1-Settings!$H$17)-C640)/(AD640*(1-Settings!$H$17)),"")</f>
        <v/>
      </c>
      <c r="AG640" s="149">
        <f>IFERROR(IF(AD640="","",IF(AD640&gt;=C640/(1-SKU_Base!AF640)/(1-Settings!$H$17),"OK",IF(AD640&gt;=C640/(1-SKU_Base!AM640)/(1-Settings!$H$17),"WARN","STOP"))),"")</f>
        <v/>
      </c>
    </row>
    <row r="641" ht="17" customHeight="1" s="179">
      <c r="A641" s="146">
        <f>SKU_Base!B641</f>
        <v/>
      </c>
      <c r="B641" s="146">
        <f>SKU_Base!C641</f>
        <v/>
      </c>
      <c r="C641" s="147">
        <f>IFERROR(SKU_Base!I641,"")</f>
        <v/>
      </c>
      <c r="D641" s="164">
        <f>IFERROR(SKU_Base!T641,"")</f>
        <v/>
      </c>
      <c r="E641" s="141">
        <f>IFERROR(SKU_Base!$U641,"")</f>
        <v/>
      </c>
      <c r="F641" s="160">
        <f>IFERROR(ROUND(D641*(1-CHOOSE(MATCH(IF($E641="","Основний",$E641),{"Трафіковий","Основний","Маржинальний","Сезонний","Стратегічний"},0),Settings!$B$78,Settings!$B$80,Settings!$B$82,Settings!$B$84,Settings!$B$86))/6,2)*6,"")</f>
        <v/>
      </c>
      <c r="G641" s="142">
        <f>IFERROR(CHOOSE(MATCH(IF($E641="","Основний",$E641),{"Трафіковий","Основний","Маржинальний","Сезонний","Стратегічний"},0),Settings!$B$78,Settings!$B$80,Settings!$B$82,Settings!$B$84,Settings!$B$86),"")</f>
        <v/>
      </c>
      <c r="H641" s="148">
        <f>IFERROR((F641*(1-Settings!$B$17)-C641)/(F641*(1-Settings!$B$17)),"")</f>
        <v/>
      </c>
      <c r="I641" s="149">
        <f>IFERROR(IF(F641="","",IF(F641&gt;=C641/(1-SKU_Base!Z641)/(1-Settings!$B$17),"OK",IF(F641&gt;=C641/(1-SKU_Base!AG641)/(1-Settings!$B$17),"WARN","STOP"))),"")</f>
        <v/>
      </c>
      <c r="J641" s="160">
        <f>IFERROR(ROUND(D641*(1-CHOOSE(MATCH(IF($E641="","Основний",$E641),{"Трафіковий","Основний","Маржинальний","Сезонний","Стратегічний"},0),Settings!$C$78,Settings!$C$80,Settings!$C$82,Settings!$C$84,Settings!$C$86))/6,2)*6,"")</f>
        <v/>
      </c>
      <c r="K641" s="142">
        <f>IFERROR(CHOOSE(MATCH(IF($E641="","Основний",$E641),{"Трафіковий","Основний","Маржинальний","Сезонний","Стратегічний"},0),Settings!$C$78,Settings!$C$80,Settings!$C$82,Settings!$C$84,Settings!$C$86),"")</f>
        <v/>
      </c>
      <c r="L641" s="148">
        <f>IFERROR((J641*(1-Settings!$C$17)-C641)/(J641*(1-Settings!$C$17)),"")</f>
        <v/>
      </c>
      <c r="M641" s="149">
        <f>IFERROR(IF(J641="","",IF(J641&gt;=C641/(1-SKU_Base!AA641)/(1-Settings!$C$17),"OK",IF(J641&gt;=C641/(1-SKU_Base!AH641)/(1-Settings!$C$17),"WARN","STOP"))),"")</f>
        <v/>
      </c>
      <c r="N641" s="161">
        <f>IFERROR(ROUND(D641*(1-CHOOSE(MATCH(IF($E641="","Основний",$E641),{"Трафіковий","Основний","Маржинальний","Сезонний","Стратегічний"},0),Settings!$D$78,Settings!$D$80,Settings!$D$82,Settings!$D$84,Settings!$D$86))/6,2)*6,"")</f>
        <v/>
      </c>
      <c r="O641" s="142">
        <f>IFERROR(CHOOSE(MATCH(IF($E641="","Основний",$E641),{"Трафіковий","Основний","Маржинальний","Сезонний","Стратегічний"},0),Settings!$D$78,Settings!$D$80,Settings!$D$82,Settings!$D$84,Settings!$D$86),"")</f>
        <v/>
      </c>
      <c r="P641" s="148">
        <f>IFERROR((N641*(1-Settings!$D$17)-C641)/(N641*(1-Settings!$D$17)),"")</f>
        <v/>
      </c>
      <c r="Q641" s="149">
        <f>IFERROR(IF(N641="","",IF(N641&gt;=C641/(1-SKU_Base!AB641)/(1-Settings!$D$17),"OK",IF(N641&gt;=C641/(1-SKU_Base!AI641)/(1-Settings!$D$17),"WARN","STOP"))),"")</f>
        <v/>
      </c>
      <c r="R641" s="161">
        <f>IFERROR(ROUND(D641*(1-CHOOSE(MATCH(IF($E641="","Основний",$E641),{"Трафіковий","Основний","Маржинальний","Сезонний","Стратегічний"},0),Settings!$E$78,Settings!$E$80,Settings!$E$82,Settings!$E$84,Settings!$E$86))/6,2)*6,"")</f>
        <v/>
      </c>
      <c r="S641" s="142">
        <f>IFERROR(CHOOSE(MATCH(IF($E641="","Основний",$E641),{"Трафіковий","Основний","Маржинальний","Сезонний","Стратегічний"},0),Settings!$E$78,Settings!$E$80,Settings!$E$82,Settings!$E$84,Settings!$E$86),"")</f>
        <v/>
      </c>
      <c r="T641" s="148">
        <f>IFERROR((R641*(1-Settings!$E$17)-C641)/(R641*(1-Settings!$E$17)),"")</f>
        <v/>
      </c>
      <c r="U641" s="149">
        <f>IFERROR(IF(R641="","",IF(R641&gt;=C641/(1-SKU_Base!AC641)/(1-Settings!$E$17),"OK",IF(R641&gt;=C641/(1-SKU_Base!AJ641)/(1-Settings!$E$17),"WARN","STOP"))),"")</f>
        <v/>
      </c>
      <c r="V641" s="161">
        <f>IFERROR(ROUND(D641*(1-CHOOSE(MATCH(IF($E641="","Основний",$E641),{"Трафіковий","Основний","Маржинальний","Сезонний","Стратегічний"},0),Settings!$F$78,Settings!$F$80,Settings!$F$82,Settings!$F$84,Settings!$F$86))/6,2)*6,"")</f>
        <v/>
      </c>
      <c r="W641" s="142">
        <f>IFERROR(CHOOSE(MATCH(IF($E641="","Основний",$E641),{"Трафіковий","Основний","Маржинальний","Сезонний","Стратегічний"},0),Settings!$F$78,Settings!$F$80,Settings!$F$82,Settings!$F$84,Settings!$F$86),"")</f>
        <v/>
      </c>
      <c r="X641" s="148">
        <f>IFERROR((V641*(1-Settings!$F$17)-C641)/(V641*(1-Settings!$F$17)),"")</f>
        <v/>
      </c>
      <c r="Y641" s="149">
        <f>IFERROR(IF(V641="","",IF(V641&gt;=C641/(1-SKU_Base!AD641)/(1-Settings!$F$17),"OK",IF(V641&gt;=C641/(1-SKU_Base!AK641)/(1-Settings!$F$17),"WARN","STOP"))),"")</f>
        <v/>
      </c>
      <c r="Z641" s="161">
        <f>IFERROR(ROUND(D641*(1-CHOOSE(MATCH(IF($E641="","Основний",$E641),{"Трафіковий","Основний","Маржинальний","Сезонний","Стратегічний"},0),Settings!$G$78,Settings!$G$80,Settings!$G$82,Settings!$G$84,Settings!$G$86))/6,2)*6,"")</f>
        <v/>
      </c>
      <c r="AA641" s="142">
        <f>IFERROR(CHOOSE(MATCH(IF($E641="","Основний",$E641),{"Трафіковий","Основний","Маржинальний","Сезонний","Стратегічний"},0),Settings!$G$78,Settings!$G$80,Settings!$G$82,Settings!$G$84,Settings!$G$86),"")</f>
        <v/>
      </c>
      <c r="AB641" s="148">
        <f>IFERROR((Z641*(1-Settings!$G$17)-C641)/(Z641*(1-Settings!$G$17)),"")</f>
        <v/>
      </c>
      <c r="AC641" s="149">
        <f>IFERROR(IF(Z641="","",IF(Z641&gt;=C641/(1-SKU_Base!AE641)/(1-Settings!$G$17),"OK",IF(Z641&gt;=C641/(1-SKU_Base!AL641)/(1-Settings!$G$17),"WARN","STOP"))),"")</f>
        <v/>
      </c>
      <c r="AD641" s="161">
        <f>IFERROR(ROUND(D641*(1-CHOOSE(MATCH(IF($E641="","Основний",$E641),{"Трафіковий","Основний","Маржинальний","Сезонний","Стратегічний"},0),Settings!$H$78,Settings!$H$80,Settings!$H$82,Settings!$H$84,Settings!$H$86))*(1-Settings!$H$68)/6,2)*6,"")</f>
        <v/>
      </c>
      <c r="AE641" s="142">
        <f>IFERROR(CHOOSE(MATCH(IF($E641="","Основний",$E641),{"Трафіковий","Основний","Маржинальний","Сезонний","Стратегічний"},0),Settings!$H$78,Settings!$H$80,Settings!$H$82,Settings!$H$84,Settings!$H$86)+(1-(CHOOSE(MATCH(IF($E641="","Основний",$E641),{"Трафіковий","Основний","Маржинальний","Сезонний","Стратегічний"},0),Settings!$H$78,Settings!$H$80,Settings!$H$82,Settings!$H$84,Settings!$H$86)))*Settings!$H$68,"")</f>
        <v/>
      </c>
      <c r="AF641" s="148">
        <f>IFERROR((AD641*(1-Settings!$H$17)-C641)/(AD641*(1-Settings!$H$17)),"")</f>
        <v/>
      </c>
      <c r="AG641" s="150">
        <f>IFERROR(IF(AD641="","",IF(AD641&gt;=C641/(1-SKU_Base!AF641)/(1-Settings!$H$17),"OK",IF(AD641&gt;=C641/(1-SKU_Base!AM641)/(1-Settings!$H$17),"WARN","STOP"))),"")</f>
        <v/>
      </c>
    </row>
    <row r="642" ht="17" customHeight="1" s="179">
      <c r="A642" s="139">
        <f>SKU_Base!B642</f>
        <v/>
      </c>
      <c r="B642" s="139">
        <f>SKU_Base!C642</f>
        <v/>
      </c>
      <c r="C642" s="140">
        <f>IFERROR(SKU_Base!I642,"")</f>
        <v/>
      </c>
      <c r="D642" s="163">
        <f>IFERROR(SKU_Base!T642,"")</f>
        <v/>
      </c>
      <c r="E642" s="141">
        <f>IFERROR(SKU_Base!$U642,"")</f>
        <v/>
      </c>
      <c r="F642" s="158">
        <f>IFERROR(ROUND(D642*(1-CHOOSE(MATCH(IF($E642="","Основний",$E642),{"Трафіковий","Основний","Маржинальний","Сезонний","Стратегічний"},0),Settings!$B$78,Settings!$B$80,Settings!$B$82,Settings!$B$84,Settings!$B$86))/6,2)*6,"")</f>
        <v/>
      </c>
      <c r="G642" s="142">
        <f>IFERROR(CHOOSE(MATCH(IF($E642="","Основний",$E642),{"Трафіковий","Основний","Маржинальний","Сезонний","Стратегічний"},0),Settings!$B$78,Settings!$B$80,Settings!$B$82,Settings!$B$84,Settings!$B$86),"")</f>
        <v/>
      </c>
      <c r="H642" s="143">
        <f>IFERROR((F642*(1-Settings!$B$17)-C642)/(F642*(1-Settings!$B$17)),"")</f>
        <v/>
      </c>
      <c r="I642" s="149">
        <f>IFERROR(IF(F642="","",IF(F642&gt;=C642/(1-SKU_Base!Z642)/(1-Settings!$B$17),"OK",IF(F642&gt;=C642/(1-SKU_Base!AG642)/(1-Settings!$B$17),"WARN","STOP"))),"")</f>
        <v/>
      </c>
      <c r="J642" s="158">
        <f>IFERROR(ROUND(D642*(1-CHOOSE(MATCH(IF($E642="","Основний",$E642),{"Трафіковий","Основний","Маржинальний","Сезонний","Стратегічний"},0),Settings!$C$78,Settings!$C$80,Settings!$C$82,Settings!$C$84,Settings!$C$86))/6,2)*6,"")</f>
        <v/>
      </c>
      <c r="K642" s="142">
        <f>IFERROR(CHOOSE(MATCH(IF($E642="","Основний",$E642),{"Трафіковий","Основний","Маржинальний","Сезонний","Стратегічний"},0),Settings!$C$78,Settings!$C$80,Settings!$C$82,Settings!$C$84,Settings!$C$86),"")</f>
        <v/>
      </c>
      <c r="L642" s="143">
        <f>IFERROR((J642*(1-Settings!$C$17)-C642)/(J642*(1-Settings!$C$17)),"")</f>
        <v/>
      </c>
      <c r="M642" s="149">
        <f>IFERROR(IF(J642="","",IF(J642&gt;=C642/(1-SKU_Base!AA642)/(1-Settings!$C$17),"OK",IF(J642&gt;=C642/(1-SKU_Base!AH642)/(1-Settings!$C$17),"WARN","STOP"))),"")</f>
        <v/>
      </c>
      <c r="N642" s="159">
        <f>IFERROR(ROUND(D642*(1-CHOOSE(MATCH(IF($E642="","Основний",$E642),{"Трафіковий","Основний","Маржинальний","Сезонний","Стратегічний"},0),Settings!$D$78,Settings!$D$80,Settings!$D$82,Settings!$D$84,Settings!$D$86))/6,2)*6,"")</f>
        <v/>
      </c>
      <c r="O642" s="142">
        <f>IFERROR(CHOOSE(MATCH(IF($E642="","Основний",$E642),{"Трафіковий","Основний","Маржинальний","Сезонний","Стратегічний"},0),Settings!$D$78,Settings!$D$80,Settings!$D$82,Settings!$D$84,Settings!$D$86),"")</f>
        <v/>
      </c>
      <c r="P642" s="143">
        <f>IFERROR((N642*(1-Settings!$D$17)-C642)/(N642*(1-Settings!$D$17)),"")</f>
        <v/>
      </c>
      <c r="Q642" s="149">
        <f>IFERROR(IF(N642="","",IF(N642&gt;=C642/(1-SKU_Base!AB642)/(1-Settings!$D$17),"OK",IF(N642&gt;=C642/(1-SKU_Base!AI642)/(1-Settings!$D$17),"WARN","STOP"))),"")</f>
        <v/>
      </c>
      <c r="R642" s="159">
        <f>IFERROR(ROUND(D642*(1-CHOOSE(MATCH(IF($E642="","Основний",$E642),{"Трафіковий","Основний","Маржинальний","Сезонний","Стратегічний"},0),Settings!$E$78,Settings!$E$80,Settings!$E$82,Settings!$E$84,Settings!$E$86))/6,2)*6,"")</f>
        <v/>
      </c>
      <c r="S642" s="142">
        <f>IFERROR(CHOOSE(MATCH(IF($E642="","Основний",$E642),{"Трафіковий","Основний","Маржинальний","Сезонний","Стратегічний"},0),Settings!$E$78,Settings!$E$80,Settings!$E$82,Settings!$E$84,Settings!$E$86),"")</f>
        <v/>
      </c>
      <c r="T642" s="143">
        <f>IFERROR((R642*(1-Settings!$E$17)-C642)/(R642*(1-Settings!$E$17)),"")</f>
        <v/>
      </c>
      <c r="U642" s="149">
        <f>IFERROR(IF(R642="","",IF(R642&gt;=C642/(1-SKU_Base!AC642)/(1-Settings!$E$17),"OK",IF(R642&gt;=C642/(1-SKU_Base!AJ642)/(1-Settings!$E$17),"WARN","STOP"))),"")</f>
        <v/>
      </c>
      <c r="V642" s="159">
        <f>IFERROR(ROUND(D642*(1-CHOOSE(MATCH(IF($E642="","Основний",$E642),{"Трафіковий","Основний","Маржинальний","Сезонний","Стратегічний"},0),Settings!$F$78,Settings!$F$80,Settings!$F$82,Settings!$F$84,Settings!$F$86))/6,2)*6,"")</f>
        <v/>
      </c>
      <c r="W642" s="142">
        <f>IFERROR(CHOOSE(MATCH(IF($E642="","Основний",$E642),{"Трафіковий","Основний","Маржинальний","Сезонний","Стратегічний"},0),Settings!$F$78,Settings!$F$80,Settings!$F$82,Settings!$F$84,Settings!$F$86),"")</f>
        <v/>
      </c>
      <c r="X642" s="143">
        <f>IFERROR((V642*(1-Settings!$F$17)-C642)/(V642*(1-Settings!$F$17)),"")</f>
        <v/>
      </c>
      <c r="Y642" s="149">
        <f>IFERROR(IF(V642="","",IF(V642&gt;=C642/(1-SKU_Base!AD642)/(1-Settings!$F$17),"OK",IF(V642&gt;=C642/(1-SKU_Base!AK642)/(1-Settings!$F$17),"WARN","STOP"))),"")</f>
        <v/>
      </c>
      <c r="Z642" s="159">
        <f>IFERROR(ROUND(D642*(1-CHOOSE(MATCH(IF($E642="","Основний",$E642),{"Трафіковий","Основний","Маржинальний","Сезонний","Стратегічний"},0),Settings!$G$78,Settings!$G$80,Settings!$G$82,Settings!$G$84,Settings!$G$86))/6,2)*6,"")</f>
        <v/>
      </c>
      <c r="AA642" s="142">
        <f>IFERROR(CHOOSE(MATCH(IF($E642="","Основний",$E642),{"Трафіковий","Основний","Маржинальний","Сезонний","Стратегічний"},0),Settings!$G$78,Settings!$G$80,Settings!$G$82,Settings!$G$84,Settings!$G$86),"")</f>
        <v/>
      </c>
      <c r="AB642" s="143">
        <f>IFERROR((Z642*(1-Settings!$G$17)-C642)/(Z642*(1-Settings!$G$17)),"")</f>
        <v/>
      </c>
      <c r="AC642" s="149">
        <f>IFERROR(IF(Z642="","",IF(Z642&gt;=C642/(1-SKU_Base!AE642)/(1-Settings!$G$17),"OK",IF(Z642&gt;=C642/(1-SKU_Base!AL642)/(1-Settings!$G$17),"WARN","STOP"))),"")</f>
        <v/>
      </c>
      <c r="AD642" s="159">
        <f>IFERROR(ROUND(D642*(1-CHOOSE(MATCH(IF($E642="","Основний",$E642),{"Трафіковий","Основний","Маржинальний","Сезонний","Стратегічний"},0),Settings!$H$78,Settings!$H$80,Settings!$H$82,Settings!$H$84,Settings!$H$86))*(1-Settings!$H$68)/6,2)*6,"")</f>
        <v/>
      </c>
      <c r="AE642" s="142">
        <f>IFERROR(CHOOSE(MATCH(IF($E642="","Основний",$E642),{"Трафіковий","Основний","Маржинальний","Сезонний","Стратегічний"},0),Settings!$H$78,Settings!$H$80,Settings!$H$82,Settings!$H$84,Settings!$H$86)+(1-(CHOOSE(MATCH(IF($E642="","Основний",$E642),{"Трафіковий","Основний","Маржинальний","Сезонний","Стратегічний"},0),Settings!$H$78,Settings!$H$80,Settings!$H$82,Settings!$H$84,Settings!$H$86)))*Settings!$H$68,"")</f>
        <v/>
      </c>
      <c r="AF642" s="143">
        <f>IFERROR((AD642*(1-Settings!$H$17)-C642)/(AD642*(1-Settings!$H$17)),"")</f>
        <v/>
      </c>
      <c r="AG642" s="150">
        <f>IFERROR(IF(AD642="","",IF(AD642&gt;=C642/(1-SKU_Base!AF642)/(1-Settings!$H$17),"OK",IF(AD642&gt;=C642/(1-SKU_Base!AM642)/(1-Settings!$H$17),"WARN","STOP"))),"")</f>
        <v/>
      </c>
    </row>
    <row r="643" ht="17" customHeight="1" s="179">
      <c r="A643" s="146">
        <f>SKU_Base!B643</f>
        <v/>
      </c>
      <c r="B643" s="146">
        <f>SKU_Base!C643</f>
        <v/>
      </c>
      <c r="C643" s="147">
        <f>IFERROR(SKU_Base!I643,"")</f>
        <v/>
      </c>
      <c r="D643" s="164">
        <f>IFERROR(SKU_Base!T643,"")</f>
        <v/>
      </c>
      <c r="E643" s="141">
        <f>IFERROR(SKU_Base!$U643,"")</f>
        <v/>
      </c>
      <c r="F643" s="160">
        <f>IFERROR(ROUND(D643*(1-CHOOSE(MATCH(IF($E643="","Основний",$E643),{"Трафіковий","Основний","Маржинальний","Сезонний","Стратегічний"},0),Settings!$B$78,Settings!$B$80,Settings!$B$82,Settings!$B$84,Settings!$B$86))/6,2)*6,"")</f>
        <v/>
      </c>
      <c r="G643" s="142">
        <f>IFERROR(CHOOSE(MATCH(IF($E643="","Основний",$E643),{"Трафіковий","Основний","Маржинальний","Сезонний","Стратегічний"},0),Settings!$B$78,Settings!$B$80,Settings!$B$82,Settings!$B$84,Settings!$B$86),"")</f>
        <v/>
      </c>
      <c r="H643" s="148">
        <f>IFERROR((F643*(1-Settings!$B$17)-C643)/(F643*(1-Settings!$B$17)),"")</f>
        <v/>
      </c>
      <c r="I643" s="149">
        <f>IFERROR(IF(F643="","",IF(F643&gt;=C643/(1-SKU_Base!Z643)/(1-Settings!$B$17),"OK",IF(F643&gt;=C643/(1-SKU_Base!AG643)/(1-Settings!$B$17),"WARN","STOP"))),"")</f>
        <v/>
      </c>
      <c r="J643" s="160">
        <f>IFERROR(ROUND(D643*(1-CHOOSE(MATCH(IF($E643="","Основний",$E643),{"Трафіковий","Основний","Маржинальний","Сезонний","Стратегічний"},0),Settings!$C$78,Settings!$C$80,Settings!$C$82,Settings!$C$84,Settings!$C$86))/6,2)*6,"")</f>
        <v/>
      </c>
      <c r="K643" s="142">
        <f>IFERROR(CHOOSE(MATCH(IF($E643="","Основний",$E643),{"Трафіковий","Основний","Маржинальний","Сезонний","Стратегічний"},0),Settings!$C$78,Settings!$C$80,Settings!$C$82,Settings!$C$84,Settings!$C$86),"")</f>
        <v/>
      </c>
      <c r="L643" s="148">
        <f>IFERROR((J643*(1-Settings!$C$17)-C643)/(J643*(1-Settings!$C$17)),"")</f>
        <v/>
      </c>
      <c r="M643" s="149">
        <f>IFERROR(IF(J643="","",IF(J643&gt;=C643/(1-SKU_Base!AA643)/(1-Settings!$C$17),"OK",IF(J643&gt;=C643/(1-SKU_Base!AH643)/(1-Settings!$C$17),"WARN","STOP"))),"")</f>
        <v/>
      </c>
      <c r="N643" s="161">
        <f>IFERROR(ROUND(D643*(1-CHOOSE(MATCH(IF($E643="","Основний",$E643),{"Трафіковий","Основний","Маржинальний","Сезонний","Стратегічний"},0),Settings!$D$78,Settings!$D$80,Settings!$D$82,Settings!$D$84,Settings!$D$86))/6,2)*6,"")</f>
        <v/>
      </c>
      <c r="O643" s="142">
        <f>IFERROR(CHOOSE(MATCH(IF($E643="","Основний",$E643),{"Трафіковий","Основний","Маржинальний","Сезонний","Стратегічний"},0),Settings!$D$78,Settings!$D$80,Settings!$D$82,Settings!$D$84,Settings!$D$86),"")</f>
        <v/>
      </c>
      <c r="P643" s="148">
        <f>IFERROR((N643*(1-Settings!$D$17)-C643)/(N643*(1-Settings!$D$17)),"")</f>
        <v/>
      </c>
      <c r="Q643" s="149">
        <f>IFERROR(IF(N643="","",IF(N643&gt;=C643/(1-SKU_Base!AB643)/(1-Settings!$D$17),"OK",IF(N643&gt;=C643/(1-SKU_Base!AI643)/(1-Settings!$D$17),"WARN","STOP"))),"")</f>
        <v/>
      </c>
      <c r="R643" s="161">
        <f>IFERROR(ROUND(D643*(1-CHOOSE(MATCH(IF($E643="","Основний",$E643),{"Трафіковий","Основний","Маржинальний","Сезонний","Стратегічний"},0),Settings!$E$78,Settings!$E$80,Settings!$E$82,Settings!$E$84,Settings!$E$86))/6,2)*6,"")</f>
        <v/>
      </c>
      <c r="S643" s="142">
        <f>IFERROR(CHOOSE(MATCH(IF($E643="","Основний",$E643),{"Трафіковий","Основний","Маржинальний","Сезонний","Стратегічний"},0),Settings!$E$78,Settings!$E$80,Settings!$E$82,Settings!$E$84,Settings!$E$86),"")</f>
        <v/>
      </c>
      <c r="T643" s="148">
        <f>IFERROR((R643*(1-Settings!$E$17)-C643)/(R643*(1-Settings!$E$17)),"")</f>
        <v/>
      </c>
      <c r="U643" s="149">
        <f>IFERROR(IF(R643="","",IF(R643&gt;=C643/(1-SKU_Base!AC643)/(1-Settings!$E$17),"OK",IF(R643&gt;=C643/(1-SKU_Base!AJ643)/(1-Settings!$E$17),"WARN","STOP"))),"")</f>
        <v/>
      </c>
      <c r="V643" s="161">
        <f>IFERROR(ROUND(D643*(1-CHOOSE(MATCH(IF($E643="","Основний",$E643),{"Трафіковий","Основний","Маржинальний","Сезонний","Стратегічний"},0),Settings!$F$78,Settings!$F$80,Settings!$F$82,Settings!$F$84,Settings!$F$86))/6,2)*6,"")</f>
        <v/>
      </c>
      <c r="W643" s="142">
        <f>IFERROR(CHOOSE(MATCH(IF($E643="","Основний",$E643),{"Трафіковий","Основний","Маржинальний","Сезонний","Стратегічний"},0),Settings!$F$78,Settings!$F$80,Settings!$F$82,Settings!$F$84,Settings!$F$86),"")</f>
        <v/>
      </c>
      <c r="X643" s="148">
        <f>IFERROR((V643*(1-Settings!$F$17)-C643)/(V643*(1-Settings!$F$17)),"")</f>
        <v/>
      </c>
      <c r="Y643" s="149">
        <f>IFERROR(IF(V643="","",IF(V643&gt;=C643/(1-SKU_Base!AD643)/(1-Settings!$F$17),"OK",IF(V643&gt;=C643/(1-SKU_Base!AK643)/(1-Settings!$F$17),"WARN","STOP"))),"")</f>
        <v/>
      </c>
      <c r="Z643" s="161">
        <f>IFERROR(ROUND(D643*(1-CHOOSE(MATCH(IF($E643="","Основний",$E643),{"Трафіковий","Основний","Маржинальний","Сезонний","Стратегічний"},0),Settings!$G$78,Settings!$G$80,Settings!$G$82,Settings!$G$84,Settings!$G$86))/6,2)*6,"")</f>
        <v/>
      </c>
      <c r="AA643" s="142">
        <f>IFERROR(CHOOSE(MATCH(IF($E643="","Основний",$E643),{"Трафіковий","Основний","Маржинальний","Сезонний","Стратегічний"},0),Settings!$G$78,Settings!$G$80,Settings!$G$82,Settings!$G$84,Settings!$G$86),"")</f>
        <v/>
      </c>
      <c r="AB643" s="148">
        <f>IFERROR((Z643*(1-Settings!$G$17)-C643)/(Z643*(1-Settings!$G$17)),"")</f>
        <v/>
      </c>
      <c r="AC643" s="149">
        <f>IFERROR(IF(Z643="","",IF(Z643&gt;=C643/(1-SKU_Base!AE643)/(1-Settings!$G$17),"OK",IF(Z643&gt;=C643/(1-SKU_Base!AL643)/(1-Settings!$G$17),"WARN","STOP"))),"")</f>
        <v/>
      </c>
      <c r="AD643" s="161">
        <f>IFERROR(ROUND(D643*(1-CHOOSE(MATCH(IF($E643="","Основний",$E643),{"Трафіковий","Основний","Маржинальний","Сезонний","Стратегічний"},0),Settings!$H$78,Settings!$H$80,Settings!$H$82,Settings!$H$84,Settings!$H$86))*(1-Settings!$H$68)/6,2)*6,"")</f>
        <v/>
      </c>
      <c r="AE643" s="142">
        <f>IFERROR(CHOOSE(MATCH(IF($E643="","Основний",$E643),{"Трафіковий","Основний","Маржинальний","Сезонний","Стратегічний"},0),Settings!$H$78,Settings!$H$80,Settings!$H$82,Settings!$H$84,Settings!$H$86)+(1-(CHOOSE(MATCH(IF($E643="","Основний",$E643),{"Трафіковий","Основний","Маржинальний","Сезонний","Стратегічний"},0),Settings!$H$78,Settings!$H$80,Settings!$H$82,Settings!$H$84,Settings!$H$86)))*Settings!$H$68,"")</f>
        <v/>
      </c>
      <c r="AF643" s="148">
        <f>IFERROR((AD643*(1-Settings!$H$17)-C643)/(AD643*(1-Settings!$H$17)),"")</f>
        <v/>
      </c>
      <c r="AG643" s="150">
        <f>IFERROR(IF(AD643="","",IF(AD643&gt;=C643/(1-SKU_Base!AF643)/(1-Settings!$H$17),"OK",IF(AD643&gt;=C643/(1-SKU_Base!AM643)/(1-Settings!$H$17),"WARN","STOP"))),"")</f>
        <v/>
      </c>
    </row>
    <row r="644" ht="17" customHeight="1" s="179">
      <c r="A644" s="139">
        <f>SKU_Base!B644</f>
        <v/>
      </c>
      <c r="B644" s="139">
        <f>SKU_Base!C644</f>
        <v/>
      </c>
      <c r="C644" s="140">
        <f>IFERROR(SKU_Base!I644,"")</f>
        <v/>
      </c>
      <c r="D644" s="163">
        <f>IFERROR(SKU_Base!T644,"")</f>
        <v/>
      </c>
      <c r="E644" s="141">
        <f>IFERROR(SKU_Base!$U644,"")</f>
        <v/>
      </c>
      <c r="F644" s="158">
        <f>IFERROR(ROUND(D644*(1-CHOOSE(MATCH(IF($E644="","Основний",$E644),{"Трафіковий","Основний","Маржинальний","Сезонний","Стратегічний"},0),Settings!$B$78,Settings!$B$80,Settings!$B$82,Settings!$B$84,Settings!$B$86))/6,2)*6,"")</f>
        <v/>
      </c>
      <c r="G644" s="142">
        <f>IFERROR(CHOOSE(MATCH(IF($E644="","Основний",$E644),{"Трафіковий","Основний","Маржинальний","Сезонний","Стратегічний"},0),Settings!$B$78,Settings!$B$80,Settings!$B$82,Settings!$B$84,Settings!$B$86),"")</f>
        <v/>
      </c>
      <c r="H644" s="143">
        <f>IFERROR((F644*(1-Settings!$B$17)-C644)/(F644*(1-Settings!$B$17)),"")</f>
        <v/>
      </c>
      <c r="I644" s="150">
        <f>IFERROR(IF(F644="","",IF(F644&gt;=C644/(1-SKU_Base!Z644)/(1-Settings!$B$17),"OK",IF(F644&gt;=C644/(1-SKU_Base!AG644)/(1-Settings!$B$17),"WARN","STOP"))),"")</f>
        <v/>
      </c>
      <c r="J644" s="158">
        <f>IFERROR(ROUND(D644*(1-CHOOSE(MATCH(IF($E644="","Основний",$E644),{"Трафіковий","Основний","Маржинальний","Сезонний","Стратегічний"},0),Settings!$C$78,Settings!$C$80,Settings!$C$82,Settings!$C$84,Settings!$C$86))/6,2)*6,"")</f>
        <v/>
      </c>
      <c r="K644" s="142">
        <f>IFERROR(CHOOSE(MATCH(IF($E644="","Основний",$E644),{"Трафіковий","Основний","Маржинальний","Сезонний","Стратегічний"},0),Settings!$C$78,Settings!$C$80,Settings!$C$82,Settings!$C$84,Settings!$C$86),"")</f>
        <v/>
      </c>
      <c r="L644" s="143">
        <f>IFERROR((J644*(1-Settings!$C$17)-C644)/(J644*(1-Settings!$C$17)),"")</f>
        <v/>
      </c>
      <c r="M644" s="149">
        <f>IFERROR(IF(J644="","",IF(J644&gt;=C644/(1-SKU_Base!AA644)/(1-Settings!$C$17),"OK",IF(J644&gt;=C644/(1-SKU_Base!AH644)/(1-Settings!$C$17),"WARN","STOP"))),"")</f>
        <v/>
      </c>
      <c r="N644" s="159">
        <f>IFERROR(ROUND(D644*(1-CHOOSE(MATCH(IF($E644="","Основний",$E644),{"Трафіковий","Основний","Маржинальний","Сезонний","Стратегічний"},0),Settings!$D$78,Settings!$D$80,Settings!$D$82,Settings!$D$84,Settings!$D$86))/6,2)*6,"")</f>
        <v/>
      </c>
      <c r="O644" s="142">
        <f>IFERROR(CHOOSE(MATCH(IF($E644="","Основний",$E644),{"Трафіковий","Основний","Маржинальний","Сезонний","Стратегічний"},0),Settings!$D$78,Settings!$D$80,Settings!$D$82,Settings!$D$84,Settings!$D$86),"")</f>
        <v/>
      </c>
      <c r="P644" s="143">
        <f>IFERROR((N644*(1-Settings!$D$17)-C644)/(N644*(1-Settings!$D$17)),"")</f>
        <v/>
      </c>
      <c r="Q644" s="149">
        <f>IFERROR(IF(N644="","",IF(N644&gt;=C644/(1-SKU_Base!AB644)/(1-Settings!$D$17),"OK",IF(N644&gt;=C644/(1-SKU_Base!AI644)/(1-Settings!$D$17),"WARN","STOP"))),"")</f>
        <v/>
      </c>
      <c r="R644" s="159">
        <f>IFERROR(ROUND(D644*(1-CHOOSE(MATCH(IF($E644="","Основний",$E644),{"Трафіковий","Основний","Маржинальний","Сезонний","Стратегічний"},0),Settings!$E$78,Settings!$E$80,Settings!$E$82,Settings!$E$84,Settings!$E$86))/6,2)*6,"")</f>
        <v/>
      </c>
      <c r="S644" s="142">
        <f>IFERROR(CHOOSE(MATCH(IF($E644="","Основний",$E644),{"Трафіковий","Основний","Маржинальний","Сезонний","Стратегічний"},0),Settings!$E$78,Settings!$E$80,Settings!$E$82,Settings!$E$84,Settings!$E$86),"")</f>
        <v/>
      </c>
      <c r="T644" s="143">
        <f>IFERROR((R644*(1-Settings!$E$17)-C644)/(R644*(1-Settings!$E$17)),"")</f>
        <v/>
      </c>
      <c r="U644" s="149">
        <f>IFERROR(IF(R644="","",IF(R644&gt;=C644/(1-SKU_Base!AC644)/(1-Settings!$E$17),"OK",IF(R644&gt;=C644/(1-SKU_Base!AJ644)/(1-Settings!$E$17),"WARN","STOP"))),"")</f>
        <v/>
      </c>
      <c r="V644" s="159">
        <f>IFERROR(ROUND(D644*(1-CHOOSE(MATCH(IF($E644="","Основний",$E644),{"Трафіковий","Основний","Маржинальний","Сезонний","Стратегічний"},0),Settings!$F$78,Settings!$F$80,Settings!$F$82,Settings!$F$84,Settings!$F$86))/6,2)*6,"")</f>
        <v/>
      </c>
      <c r="W644" s="142">
        <f>IFERROR(CHOOSE(MATCH(IF($E644="","Основний",$E644),{"Трафіковий","Основний","Маржинальний","Сезонний","Стратегічний"},0),Settings!$F$78,Settings!$F$80,Settings!$F$82,Settings!$F$84,Settings!$F$86),"")</f>
        <v/>
      </c>
      <c r="X644" s="143">
        <f>IFERROR((V644*(1-Settings!$F$17)-C644)/(V644*(1-Settings!$F$17)),"")</f>
        <v/>
      </c>
      <c r="Y644" s="149">
        <f>IFERROR(IF(V644="","",IF(V644&gt;=C644/(1-SKU_Base!AD644)/(1-Settings!$F$17),"OK",IF(V644&gt;=C644/(1-SKU_Base!AK644)/(1-Settings!$F$17),"WARN","STOP"))),"")</f>
        <v/>
      </c>
      <c r="Z644" s="159">
        <f>IFERROR(ROUND(D644*(1-CHOOSE(MATCH(IF($E644="","Основний",$E644),{"Трафіковий","Основний","Маржинальний","Сезонний","Стратегічний"},0),Settings!$G$78,Settings!$G$80,Settings!$G$82,Settings!$G$84,Settings!$G$86))/6,2)*6,"")</f>
        <v/>
      </c>
      <c r="AA644" s="142">
        <f>IFERROR(CHOOSE(MATCH(IF($E644="","Основний",$E644),{"Трафіковий","Основний","Маржинальний","Сезонний","Стратегічний"},0),Settings!$G$78,Settings!$G$80,Settings!$G$82,Settings!$G$84,Settings!$G$86),"")</f>
        <v/>
      </c>
      <c r="AB644" s="143">
        <f>IFERROR((Z644*(1-Settings!$G$17)-C644)/(Z644*(1-Settings!$G$17)),"")</f>
        <v/>
      </c>
      <c r="AC644" s="149">
        <f>IFERROR(IF(Z644="","",IF(Z644&gt;=C644/(1-SKU_Base!AE644)/(1-Settings!$G$17),"OK",IF(Z644&gt;=C644/(1-SKU_Base!AL644)/(1-Settings!$G$17),"WARN","STOP"))),"")</f>
        <v/>
      </c>
      <c r="AD644" s="159">
        <f>IFERROR(ROUND(D644*(1-CHOOSE(MATCH(IF($E644="","Основний",$E644),{"Трафіковий","Основний","Маржинальний","Сезонний","Стратегічний"},0),Settings!$H$78,Settings!$H$80,Settings!$H$82,Settings!$H$84,Settings!$H$86))*(1-Settings!$H$68)/6,2)*6,"")</f>
        <v/>
      </c>
      <c r="AE644" s="142">
        <f>IFERROR(CHOOSE(MATCH(IF($E644="","Основний",$E644),{"Трафіковий","Основний","Маржинальний","Сезонний","Стратегічний"},0),Settings!$H$78,Settings!$H$80,Settings!$H$82,Settings!$H$84,Settings!$H$86)+(1-(CHOOSE(MATCH(IF($E644="","Основний",$E644),{"Трафіковий","Основний","Маржинальний","Сезонний","Стратегічний"},0),Settings!$H$78,Settings!$H$80,Settings!$H$82,Settings!$H$84,Settings!$H$86)))*Settings!$H$68,"")</f>
        <v/>
      </c>
      <c r="AF644" s="143">
        <f>IFERROR((AD644*(1-Settings!$H$17)-C644)/(AD644*(1-Settings!$H$17)),"")</f>
        <v/>
      </c>
      <c r="AG644" s="150">
        <f>IFERROR(IF(AD644="","",IF(AD644&gt;=C644/(1-SKU_Base!AF644)/(1-Settings!$H$17),"OK",IF(AD644&gt;=C644/(1-SKU_Base!AM644)/(1-Settings!$H$17),"WARN","STOP"))),"")</f>
        <v/>
      </c>
    </row>
    <row r="645" ht="17" customHeight="1" s="179">
      <c r="A645" s="146">
        <f>SKU_Base!B645</f>
        <v/>
      </c>
      <c r="B645" s="146">
        <f>SKU_Base!C645</f>
        <v/>
      </c>
      <c r="C645" s="147">
        <f>IFERROR(SKU_Base!I645,"")</f>
        <v/>
      </c>
      <c r="D645" s="164">
        <f>IFERROR(SKU_Base!T645,"")</f>
        <v/>
      </c>
      <c r="E645" s="141">
        <f>IFERROR(SKU_Base!$U645,"")</f>
        <v/>
      </c>
      <c r="F645" s="160">
        <f>IFERROR(ROUND(D645*(1-CHOOSE(MATCH(IF($E645="","Основний",$E645),{"Трафіковий","Основний","Маржинальний","Сезонний","Стратегічний"},0),Settings!$B$78,Settings!$B$80,Settings!$B$82,Settings!$B$84,Settings!$B$86))/6,2)*6,"")</f>
        <v/>
      </c>
      <c r="G645" s="142">
        <f>IFERROR(CHOOSE(MATCH(IF($E645="","Основний",$E645),{"Трафіковий","Основний","Маржинальний","Сезонний","Стратегічний"},0),Settings!$B$78,Settings!$B$80,Settings!$B$82,Settings!$B$84,Settings!$B$86),"")</f>
        <v/>
      </c>
      <c r="H645" s="148">
        <f>IFERROR((F645*(1-Settings!$B$17)-C645)/(F645*(1-Settings!$B$17)),"")</f>
        <v/>
      </c>
      <c r="I645" s="149">
        <f>IFERROR(IF(F645="","",IF(F645&gt;=C645/(1-SKU_Base!Z645)/(1-Settings!$B$17),"OK",IF(F645&gt;=C645/(1-SKU_Base!AG645)/(1-Settings!$B$17),"WARN","STOP"))),"")</f>
        <v/>
      </c>
      <c r="J645" s="160">
        <f>IFERROR(ROUND(D645*(1-CHOOSE(MATCH(IF($E645="","Основний",$E645),{"Трафіковий","Основний","Маржинальний","Сезонний","Стратегічний"},0),Settings!$C$78,Settings!$C$80,Settings!$C$82,Settings!$C$84,Settings!$C$86))/6,2)*6,"")</f>
        <v/>
      </c>
      <c r="K645" s="142">
        <f>IFERROR(CHOOSE(MATCH(IF($E645="","Основний",$E645),{"Трафіковий","Основний","Маржинальний","Сезонний","Стратегічний"},0),Settings!$C$78,Settings!$C$80,Settings!$C$82,Settings!$C$84,Settings!$C$86),"")</f>
        <v/>
      </c>
      <c r="L645" s="148">
        <f>IFERROR((J645*(1-Settings!$C$17)-C645)/(J645*(1-Settings!$C$17)),"")</f>
        <v/>
      </c>
      <c r="M645" s="149">
        <f>IFERROR(IF(J645="","",IF(J645&gt;=C645/(1-SKU_Base!AA645)/(1-Settings!$C$17),"OK",IF(J645&gt;=C645/(1-SKU_Base!AH645)/(1-Settings!$C$17),"WARN","STOP"))),"")</f>
        <v/>
      </c>
      <c r="N645" s="161">
        <f>IFERROR(ROUND(D645*(1-CHOOSE(MATCH(IF($E645="","Основний",$E645),{"Трафіковий","Основний","Маржинальний","Сезонний","Стратегічний"},0),Settings!$D$78,Settings!$D$80,Settings!$D$82,Settings!$D$84,Settings!$D$86))/6,2)*6,"")</f>
        <v/>
      </c>
      <c r="O645" s="142">
        <f>IFERROR(CHOOSE(MATCH(IF($E645="","Основний",$E645),{"Трафіковий","Основний","Маржинальний","Сезонний","Стратегічний"},0),Settings!$D$78,Settings!$D$80,Settings!$D$82,Settings!$D$84,Settings!$D$86),"")</f>
        <v/>
      </c>
      <c r="P645" s="148">
        <f>IFERROR((N645*(1-Settings!$D$17)-C645)/(N645*(1-Settings!$D$17)),"")</f>
        <v/>
      </c>
      <c r="Q645" s="149">
        <f>IFERROR(IF(N645="","",IF(N645&gt;=C645/(1-SKU_Base!AB645)/(1-Settings!$D$17),"OK",IF(N645&gt;=C645/(1-SKU_Base!AI645)/(1-Settings!$D$17),"WARN","STOP"))),"")</f>
        <v/>
      </c>
      <c r="R645" s="161">
        <f>IFERROR(ROUND(D645*(1-CHOOSE(MATCH(IF($E645="","Основний",$E645),{"Трафіковий","Основний","Маржинальний","Сезонний","Стратегічний"},0),Settings!$E$78,Settings!$E$80,Settings!$E$82,Settings!$E$84,Settings!$E$86))/6,2)*6,"")</f>
        <v/>
      </c>
      <c r="S645" s="142">
        <f>IFERROR(CHOOSE(MATCH(IF($E645="","Основний",$E645),{"Трафіковий","Основний","Маржинальний","Сезонний","Стратегічний"},0),Settings!$E$78,Settings!$E$80,Settings!$E$82,Settings!$E$84,Settings!$E$86),"")</f>
        <v/>
      </c>
      <c r="T645" s="148">
        <f>IFERROR((R645*(1-Settings!$E$17)-C645)/(R645*(1-Settings!$E$17)),"")</f>
        <v/>
      </c>
      <c r="U645" s="149">
        <f>IFERROR(IF(R645="","",IF(R645&gt;=C645/(1-SKU_Base!AC645)/(1-Settings!$E$17),"OK",IF(R645&gt;=C645/(1-SKU_Base!AJ645)/(1-Settings!$E$17),"WARN","STOP"))),"")</f>
        <v/>
      </c>
      <c r="V645" s="161">
        <f>IFERROR(ROUND(D645*(1-CHOOSE(MATCH(IF($E645="","Основний",$E645),{"Трафіковий","Основний","Маржинальний","Сезонний","Стратегічний"},0),Settings!$F$78,Settings!$F$80,Settings!$F$82,Settings!$F$84,Settings!$F$86))/6,2)*6,"")</f>
        <v/>
      </c>
      <c r="W645" s="142">
        <f>IFERROR(CHOOSE(MATCH(IF($E645="","Основний",$E645),{"Трафіковий","Основний","Маржинальний","Сезонний","Стратегічний"},0),Settings!$F$78,Settings!$F$80,Settings!$F$82,Settings!$F$84,Settings!$F$86),"")</f>
        <v/>
      </c>
      <c r="X645" s="148">
        <f>IFERROR((V645*(1-Settings!$F$17)-C645)/(V645*(1-Settings!$F$17)),"")</f>
        <v/>
      </c>
      <c r="Y645" s="149">
        <f>IFERROR(IF(V645="","",IF(V645&gt;=C645/(1-SKU_Base!AD645)/(1-Settings!$F$17),"OK",IF(V645&gt;=C645/(1-SKU_Base!AK645)/(1-Settings!$F$17),"WARN","STOP"))),"")</f>
        <v/>
      </c>
      <c r="Z645" s="161">
        <f>IFERROR(ROUND(D645*(1-CHOOSE(MATCH(IF($E645="","Основний",$E645),{"Трафіковий","Основний","Маржинальний","Сезонний","Стратегічний"},0),Settings!$G$78,Settings!$G$80,Settings!$G$82,Settings!$G$84,Settings!$G$86))/6,2)*6,"")</f>
        <v/>
      </c>
      <c r="AA645" s="142">
        <f>IFERROR(CHOOSE(MATCH(IF($E645="","Основний",$E645),{"Трафіковий","Основний","Маржинальний","Сезонний","Стратегічний"},0),Settings!$G$78,Settings!$G$80,Settings!$G$82,Settings!$G$84,Settings!$G$86),"")</f>
        <v/>
      </c>
      <c r="AB645" s="148">
        <f>IFERROR((Z645*(1-Settings!$G$17)-C645)/(Z645*(1-Settings!$G$17)),"")</f>
        <v/>
      </c>
      <c r="AC645" s="149">
        <f>IFERROR(IF(Z645="","",IF(Z645&gt;=C645/(1-SKU_Base!AE645)/(1-Settings!$G$17),"OK",IF(Z645&gt;=C645/(1-SKU_Base!AL645)/(1-Settings!$G$17),"WARN","STOP"))),"")</f>
        <v/>
      </c>
      <c r="AD645" s="161">
        <f>IFERROR(ROUND(D645*(1-CHOOSE(MATCH(IF($E645="","Основний",$E645),{"Трафіковий","Основний","Маржинальний","Сезонний","Стратегічний"},0),Settings!$H$78,Settings!$H$80,Settings!$H$82,Settings!$H$84,Settings!$H$86))*(1-Settings!$H$68)/6,2)*6,"")</f>
        <v/>
      </c>
      <c r="AE645" s="142">
        <f>IFERROR(CHOOSE(MATCH(IF($E645="","Основний",$E645),{"Трафіковий","Основний","Маржинальний","Сезонний","Стратегічний"},0),Settings!$H$78,Settings!$H$80,Settings!$H$82,Settings!$H$84,Settings!$H$86)+(1-(CHOOSE(MATCH(IF($E645="","Основний",$E645),{"Трафіковий","Основний","Маржинальний","Сезонний","Стратегічний"},0),Settings!$H$78,Settings!$H$80,Settings!$H$82,Settings!$H$84,Settings!$H$86)))*Settings!$H$68,"")</f>
        <v/>
      </c>
      <c r="AF645" s="148">
        <f>IFERROR((AD645*(1-Settings!$H$17)-C645)/(AD645*(1-Settings!$H$17)),"")</f>
        <v/>
      </c>
      <c r="AG645" s="150">
        <f>IFERROR(IF(AD645="","",IF(AD645&gt;=C645/(1-SKU_Base!AF645)/(1-Settings!$H$17),"OK",IF(AD645&gt;=C645/(1-SKU_Base!AM645)/(1-Settings!$H$17),"WARN","STOP"))),"")</f>
        <v/>
      </c>
    </row>
    <row r="646" ht="17" customHeight="1" s="179">
      <c r="A646" s="139">
        <f>SKU_Base!B646</f>
        <v/>
      </c>
      <c r="B646" s="139">
        <f>SKU_Base!C646</f>
        <v/>
      </c>
      <c r="C646" s="140">
        <f>IFERROR(SKU_Base!I646,"")</f>
        <v/>
      </c>
      <c r="D646" s="163">
        <f>IFERROR(SKU_Base!T646,"")</f>
        <v/>
      </c>
      <c r="E646" s="141">
        <f>IFERROR(SKU_Base!$U646,"")</f>
        <v/>
      </c>
      <c r="F646" s="158">
        <f>IFERROR(ROUND(D646*(1-CHOOSE(MATCH(IF($E646="","Основний",$E646),{"Трафіковий","Основний","Маржинальний","Сезонний","Стратегічний"},0),Settings!$B$78,Settings!$B$80,Settings!$B$82,Settings!$B$84,Settings!$B$86))/6,2)*6,"")</f>
        <v/>
      </c>
      <c r="G646" s="142">
        <f>IFERROR(CHOOSE(MATCH(IF($E646="","Основний",$E646),{"Трафіковий","Основний","Маржинальний","Сезонний","Стратегічний"},0),Settings!$B$78,Settings!$B$80,Settings!$B$82,Settings!$B$84,Settings!$B$86),"")</f>
        <v/>
      </c>
      <c r="H646" s="143">
        <f>IFERROR((F646*(1-Settings!$B$17)-C646)/(F646*(1-Settings!$B$17)),"")</f>
        <v/>
      </c>
      <c r="I646" s="149">
        <f>IFERROR(IF(F646="","",IF(F646&gt;=C646/(1-SKU_Base!Z646)/(1-Settings!$B$17),"OK",IF(F646&gt;=C646/(1-SKU_Base!AG646)/(1-Settings!$B$17),"WARN","STOP"))),"")</f>
        <v/>
      </c>
      <c r="J646" s="158">
        <f>IFERROR(ROUND(D646*(1-CHOOSE(MATCH(IF($E646="","Основний",$E646),{"Трафіковий","Основний","Маржинальний","Сезонний","Стратегічний"},0),Settings!$C$78,Settings!$C$80,Settings!$C$82,Settings!$C$84,Settings!$C$86))/6,2)*6,"")</f>
        <v/>
      </c>
      <c r="K646" s="142">
        <f>IFERROR(CHOOSE(MATCH(IF($E646="","Основний",$E646),{"Трафіковий","Основний","Маржинальний","Сезонний","Стратегічний"},0),Settings!$C$78,Settings!$C$80,Settings!$C$82,Settings!$C$84,Settings!$C$86),"")</f>
        <v/>
      </c>
      <c r="L646" s="143">
        <f>IFERROR((J646*(1-Settings!$C$17)-C646)/(J646*(1-Settings!$C$17)),"")</f>
        <v/>
      </c>
      <c r="M646" s="149">
        <f>IFERROR(IF(J646="","",IF(J646&gt;=C646/(1-SKU_Base!AA646)/(1-Settings!$C$17),"OK",IF(J646&gt;=C646/(1-SKU_Base!AH646)/(1-Settings!$C$17),"WARN","STOP"))),"")</f>
        <v/>
      </c>
      <c r="N646" s="159">
        <f>IFERROR(ROUND(D646*(1-CHOOSE(MATCH(IF($E646="","Основний",$E646),{"Трафіковий","Основний","Маржинальний","Сезонний","Стратегічний"},0),Settings!$D$78,Settings!$D$80,Settings!$D$82,Settings!$D$84,Settings!$D$86))/6,2)*6,"")</f>
        <v/>
      </c>
      <c r="O646" s="142">
        <f>IFERROR(CHOOSE(MATCH(IF($E646="","Основний",$E646),{"Трафіковий","Основний","Маржинальний","Сезонний","Стратегічний"},0),Settings!$D$78,Settings!$D$80,Settings!$D$82,Settings!$D$84,Settings!$D$86),"")</f>
        <v/>
      </c>
      <c r="P646" s="143">
        <f>IFERROR((N646*(1-Settings!$D$17)-C646)/(N646*(1-Settings!$D$17)),"")</f>
        <v/>
      </c>
      <c r="Q646" s="149">
        <f>IFERROR(IF(N646="","",IF(N646&gt;=C646/(1-SKU_Base!AB646)/(1-Settings!$D$17),"OK",IF(N646&gt;=C646/(1-SKU_Base!AI646)/(1-Settings!$D$17),"WARN","STOP"))),"")</f>
        <v/>
      </c>
      <c r="R646" s="159">
        <f>IFERROR(ROUND(D646*(1-CHOOSE(MATCH(IF($E646="","Основний",$E646),{"Трафіковий","Основний","Маржинальний","Сезонний","Стратегічний"},0),Settings!$E$78,Settings!$E$80,Settings!$E$82,Settings!$E$84,Settings!$E$86))/6,2)*6,"")</f>
        <v/>
      </c>
      <c r="S646" s="142">
        <f>IFERROR(CHOOSE(MATCH(IF($E646="","Основний",$E646),{"Трафіковий","Основний","Маржинальний","Сезонний","Стратегічний"},0),Settings!$E$78,Settings!$E$80,Settings!$E$82,Settings!$E$84,Settings!$E$86),"")</f>
        <v/>
      </c>
      <c r="T646" s="143">
        <f>IFERROR((R646*(1-Settings!$E$17)-C646)/(R646*(1-Settings!$E$17)),"")</f>
        <v/>
      </c>
      <c r="U646" s="149">
        <f>IFERROR(IF(R646="","",IF(R646&gt;=C646/(1-SKU_Base!AC646)/(1-Settings!$E$17),"OK",IF(R646&gt;=C646/(1-SKU_Base!AJ646)/(1-Settings!$E$17),"WARN","STOP"))),"")</f>
        <v/>
      </c>
      <c r="V646" s="159">
        <f>IFERROR(ROUND(D646*(1-CHOOSE(MATCH(IF($E646="","Основний",$E646),{"Трафіковий","Основний","Маржинальний","Сезонний","Стратегічний"},0),Settings!$F$78,Settings!$F$80,Settings!$F$82,Settings!$F$84,Settings!$F$86))/6,2)*6,"")</f>
        <v/>
      </c>
      <c r="W646" s="142">
        <f>IFERROR(CHOOSE(MATCH(IF($E646="","Основний",$E646),{"Трафіковий","Основний","Маржинальний","Сезонний","Стратегічний"},0),Settings!$F$78,Settings!$F$80,Settings!$F$82,Settings!$F$84,Settings!$F$86),"")</f>
        <v/>
      </c>
      <c r="X646" s="143">
        <f>IFERROR((V646*(1-Settings!$F$17)-C646)/(V646*(1-Settings!$F$17)),"")</f>
        <v/>
      </c>
      <c r="Y646" s="149">
        <f>IFERROR(IF(V646="","",IF(V646&gt;=C646/(1-SKU_Base!AD646)/(1-Settings!$F$17),"OK",IF(V646&gt;=C646/(1-SKU_Base!AK646)/(1-Settings!$F$17),"WARN","STOP"))),"")</f>
        <v/>
      </c>
      <c r="Z646" s="159">
        <f>IFERROR(ROUND(D646*(1-CHOOSE(MATCH(IF($E646="","Основний",$E646),{"Трафіковий","Основний","Маржинальний","Сезонний","Стратегічний"},0),Settings!$G$78,Settings!$G$80,Settings!$G$82,Settings!$G$84,Settings!$G$86))/6,2)*6,"")</f>
        <v/>
      </c>
      <c r="AA646" s="142">
        <f>IFERROR(CHOOSE(MATCH(IF($E646="","Основний",$E646),{"Трафіковий","Основний","Маржинальний","Сезонний","Стратегічний"},0),Settings!$G$78,Settings!$G$80,Settings!$G$82,Settings!$G$84,Settings!$G$86),"")</f>
        <v/>
      </c>
      <c r="AB646" s="143">
        <f>IFERROR((Z646*(1-Settings!$G$17)-C646)/(Z646*(1-Settings!$G$17)),"")</f>
        <v/>
      </c>
      <c r="AC646" s="149">
        <f>IFERROR(IF(Z646="","",IF(Z646&gt;=C646/(1-SKU_Base!AE646)/(1-Settings!$G$17),"OK",IF(Z646&gt;=C646/(1-SKU_Base!AL646)/(1-Settings!$G$17),"WARN","STOP"))),"")</f>
        <v/>
      </c>
      <c r="AD646" s="159">
        <f>IFERROR(ROUND(D646*(1-CHOOSE(MATCH(IF($E646="","Основний",$E646),{"Трафіковий","Основний","Маржинальний","Сезонний","Стратегічний"},0),Settings!$H$78,Settings!$H$80,Settings!$H$82,Settings!$H$84,Settings!$H$86))*(1-Settings!$H$68)/6,2)*6,"")</f>
        <v/>
      </c>
      <c r="AE646" s="142">
        <f>IFERROR(CHOOSE(MATCH(IF($E646="","Основний",$E646),{"Трафіковий","Основний","Маржинальний","Сезонний","Стратегічний"},0),Settings!$H$78,Settings!$H$80,Settings!$H$82,Settings!$H$84,Settings!$H$86)+(1-(CHOOSE(MATCH(IF($E646="","Основний",$E646),{"Трафіковий","Основний","Маржинальний","Сезонний","Стратегічний"},0),Settings!$H$78,Settings!$H$80,Settings!$H$82,Settings!$H$84,Settings!$H$86)))*Settings!$H$68,"")</f>
        <v/>
      </c>
      <c r="AF646" s="143">
        <f>IFERROR((AD646*(1-Settings!$H$17)-C646)/(AD646*(1-Settings!$H$17)),"")</f>
        <v/>
      </c>
      <c r="AG646" s="150">
        <f>IFERROR(IF(AD646="","",IF(AD646&gt;=C646/(1-SKU_Base!AF646)/(1-Settings!$H$17),"OK",IF(AD646&gt;=C646/(1-SKU_Base!AM646)/(1-Settings!$H$17),"WARN","STOP"))),"")</f>
        <v/>
      </c>
    </row>
    <row r="647" ht="17" customHeight="1" s="179">
      <c r="A647" s="146">
        <f>SKU_Base!B647</f>
        <v/>
      </c>
      <c r="B647" s="146">
        <f>SKU_Base!C647</f>
        <v/>
      </c>
      <c r="C647" s="147">
        <f>IFERROR(SKU_Base!I647,"")</f>
        <v/>
      </c>
      <c r="D647" s="164">
        <f>IFERROR(SKU_Base!T647,"")</f>
        <v/>
      </c>
      <c r="E647" s="141">
        <f>IFERROR(SKU_Base!$U647,"")</f>
        <v/>
      </c>
      <c r="F647" s="160">
        <f>IFERROR(ROUND(D647*(1-CHOOSE(MATCH(IF($E647="","Основний",$E647),{"Трафіковий","Основний","Маржинальний","Сезонний","Стратегічний"},0),Settings!$B$78,Settings!$B$80,Settings!$B$82,Settings!$B$84,Settings!$B$86))/6,2)*6,"")</f>
        <v/>
      </c>
      <c r="G647" s="142">
        <f>IFERROR(CHOOSE(MATCH(IF($E647="","Основний",$E647),{"Трафіковий","Основний","Маржинальний","Сезонний","Стратегічний"},0),Settings!$B$78,Settings!$B$80,Settings!$B$82,Settings!$B$84,Settings!$B$86),"")</f>
        <v/>
      </c>
      <c r="H647" s="148">
        <f>IFERROR((F647*(1-Settings!$B$17)-C647)/(F647*(1-Settings!$B$17)),"")</f>
        <v/>
      </c>
      <c r="I647" s="149">
        <f>IFERROR(IF(F647="","",IF(F647&gt;=C647/(1-SKU_Base!Z647)/(1-Settings!$B$17),"OK",IF(F647&gt;=C647/(1-SKU_Base!AG647)/(1-Settings!$B$17),"WARN","STOP"))),"")</f>
        <v/>
      </c>
      <c r="J647" s="160">
        <f>IFERROR(ROUND(D647*(1-CHOOSE(MATCH(IF($E647="","Основний",$E647),{"Трафіковий","Основний","Маржинальний","Сезонний","Стратегічний"},0),Settings!$C$78,Settings!$C$80,Settings!$C$82,Settings!$C$84,Settings!$C$86))/6,2)*6,"")</f>
        <v/>
      </c>
      <c r="K647" s="142">
        <f>IFERROR(CHOOSE(MATCH(IF($E647="","Основний",$E647),{"Трафіковий","Основний","Маржинальний","Сезонний","Стратегічний"},0),Settings!$C$78,Settings!$C$80,Settings!$C$82,Settings!$C$84,Settings!$C$86),"")</f>
        <v/>
      </c>
      <c r="L647" s="148">
        <f>IFERROR((J647*(1-Settings!$C$17)-C647)/(J647*(1-Settings!$C$17)),"")</f>
        <v/>
      </c>
      <c r="M647" s="149">
        <f>IFERROR(IF(J647="","",IF(J647&gt;=C647/(1-SKU_Base!AA647)/(1-Settings!$C$17),"OK",IF(J647&gt;=C647/(1-SKU_Base!AH647)/(1-Settings!$C$17),"WARN","STOP"))),"")</f>
        <v/>
      </c>
      <c r="N647" s="161">
        <f>IFERROR(ROUND(D647*(1-CHOOSE(MATCH(IF($E647="","Основний",$E647),{"Трафіковий","Основний","Маржинальний","Сезонний","Стратегічний"},0),Settings!$D$78,Settings!$D$80,Settings!$D$82,Settings!$D$84,Settings!$D$86))/6,2)*6,"")</f>
        <v/>
      </c>
      <c r="O647" s="142">
        <f>IFERROR(CHOOSE(MATCH(IF($E647="","Основний",$E647),{"Трафіковий","Основний","Маржинальний","Сезонний","Стратегічний"},0),Settings!$D$78,Settings!$D$80,Settings!$D$82,Settings!$D$84,Settings!$D$86),"")</f>
        <v/>
      </c>
      <c r="P647" s="148">
        <f>IFERROR((N647*(1-Settings!$D$17)-C647)/(N647*(1-Settings!$D$17)),"")</f>
        <v/>
      </c>
      <c r="Q647" s="149">
        <f>IFERROR(IF(N647="","",IF(N647&gt;=C647/(1-SKU_Base!AB647)/(1-Settings!$D$17),"OK",IF(N647&gt;=C647/(1-SKU_Base!AI647)/(1-Settings!$D$17),"WARN","STOP"))),"")</f>
        <v/>
      </c>
      <c r="R647" s="161">
        <f>IFERROR(ROUND(D647*(1-CHOOSE(MATCH(IF($E647="","Основний",$E647),{"Трафіковий","Основний","Маржинальний","Сезонний","Стратегічний"},0),Settings!$E$78,Settings!$E$80,Settings!$E$82,Settings!$E$84,Settings!$E$86))/6,2)*6,"")</f>
        <v/>
      </c>
      <c r="S647" s="142">
        <f>IFERROR(CHOOSE(MATCH(IF($E647="","Основний",$E647),{"Трафіковий","Основний","Маржинальний","Сезонний","Стратегічний"},0),Settings!$E$78,Settings!$E$80,Settings!$E$82,Settings!$E$84,Settings!$E$86),"")</f>
        <v/>
      </c>
      <c r="T647" s="148">
        <f>IFERROR((R647*(1-Settings!$E$17)-C647)/(R647*(1-Settings!$E$17)),"")</f>
        <v/>
      </c>
      <c r="U647" s="149">
        <f>IFERROR(IF(R647="","",IF(R647&gt;=C647/(1-SKU_Base!AC647)/(1-Settings!$E$17),"OK",IF(R647&gt;=C647/(1-SKU_Base!AJ647)/(1-Settings!$E$17),"WARN","STOP"))),"")</f>
        <v/>
      </c>
      <c r="V647" s="161">
        <f>IFERROR(ROUND(D647*(1-CHOOSE(MATCH(IF($E647="","Основний",$E647),{"Трафіковий","Основний","Маржинальний","Сезонний","Стратегічний"},0),Settings!$F$78,Settings!$F$80,Settings!$F$82,Settings!$F$84,Settings!$F$86))/6,2)*6,"")</f>
        <v/>
      </c>
      <c r="W647" s="142">
        <f>IFERROR(CHOOSE(MATCH(IF($E647="","Основний",$E647),{"Трафіковий","Основний","Маржинальний","Сезонний","Стратегічний"},0),Settings!$F$78,Settings!$F$80,Settings!$F$82,Settings!$F$84,Settings!$F$86),"")</f>
        <v/>
      </c>
      <c r="X647" s="148">
        <f>IFERROR((V647*(1-Settings!$F$17)-C647)/(V647*(1-Settings!$F$17)),"")</f>
        <v/>
      </c>
      <c r="Y647" s="149">
        <f>IFERROR(IF(V647="","",IF(V647&gt;=C647/(1-SKU_Base!AD647)/(1-Settings!$F$17),"OK",IF(V647&gt;=C647/(1-SKU_Base!AK647)/(1-Settings!$F$17),"WARN","STOP"))),"")</f>
        <v/>
      </c>
      <c r="Z647" s="161">
        <f>IFERROR(ROUND(D647*(1-CHOOSE(MATCH(IF($E647="","Основний",$E647),{"Трафіковий","Основний","Маржинальний","Сезонний","Стратегічний"},0),Settings!$G$78,Settings!$G$80,Settings!$G$82,Settings!$G$84,Settings!$G$86))/6,2)*6,"")</f>
        <v/>
      </c>
      <c r="AA647" s="142">
        <f>IFERROR(CHOOSE(MATCH(IF($E647="","Основний",$E647),{"Трафіковий","Основний","Маржинальний","Сезонний","Стратегічний"},0),Settings!$G$78,Settings!$G$80,Settings!$G$82,Settings!$G$84,Settings!$G$86),"")</f>
        <v/>
      </c>
      <c r="AB647" s="148">
        <f>IFERROR((Z647*(1-Settings!$G$17)-C647)/(Z647*(1-Settings!$G$17)),"")</f>
        <v/>
      </c>
      <c r="AC647" s="149">
        <f>IFERROR(IF(Z647="","",IF(Z647&gt;=C647/(1-SKU_Base!AE647)/(1-Settings!$G$17),"OK",IF(Z647&gt;=C647/(1-SKU_Base!AL647)/(1-Settings!$G$17),"WARN","STOP"))),"")</f>
        <v/>
      </c>
      <c r="AD647" s="161">
        <f>IFERROR(ROUND(D647*(1-CHOOSE(MATCH(IF($E647="","Основний",$E647),{"Трафіковий","Основний","Маржинальний","Сезонний","Стратегічний"},0),Settings!$H$78,Settings!$H$80,Settings!$H$82,Settings!$H$84,Settings!$H$86))*(1-Settings!$H$68)/6,2)*6,"")</f>
        <v/>
      </c>
      <c r="AE647" s="142">
        <f>IFERROR(CHOOSE(MATCH(IF($E647="","Основний",$E647),{"Трафіковий","Основний","Маржинальний","Сезонний","Стратегічний"},0),Settings!$H$78,Settings!$H$80,Settings!$H$82,Settings!$H$84,Settings!$H$86)+(1-(CHOOSE(MATCH(IF($E647="","Основний",$E647),{"Трафіковий","Основний","Маржинальний","Сезонний","Стратегічний"},0),Settings!$H$78,Settings!$H$80,Settings!$H$82,Settings!$H$84,Settings!$H$86)))*Settings!$H$68,"")</f>
        <v/>
      </c>
      <c r="AF647" s="148">
        <f>IFERROR((AD647*(1-Settings!$H$17)-C647)/(AD647*(1-Settings!$H$17)),"")</f>
        <v/>
      </c>
      <c r="AG647" s="150">
        <f>IFERROR(IF(AD647="","",IF(AD647&gt;=C647/(1-SKU_Base!AF647)/(1-Settings!$H$17),"OK",IF(AD647&gt;=C647/(1-SKU_Base!AM647)/(1-Settings!$H$17),"WARN","STOP"))),"")</f>
        <v/>
      </c>
    </row>
    <row r="648" ht="17" customHeight="1" s="179">
      <c r="A648" s="139">
        <f>SKU_Base!B648</f>
        <v/>
      </c>
      <c r="B648" s="139">
        <f>SKU_Base!C648</f>
        <v/>
      </c>
      <c r="C648" s="140">
        <f>IFERROR(SKU_Base!I648,"")</f>
        <v/>
      </c>
      <c r="D648" s="163">
        <f>IFERROR(SKU_Base!T648,"")</f>
        <v/>
      </c>
      <c r="E648" s="141">
        <f>IFERROR(SKU_Base!$U648,"")</f>
        <v/>
      </c>
      <c r="F648" s="158">
        <f>IFERROR(ROUND(D648*(1-CHOOSE(MATCH(IF($E648="","Основний",$E648),{"Трафіковий","Основний","Маржинальний","Сезонний","Стратегічний"},0),Settings!$B$78,Settings!$B$80,Settings!$B$82,Settings!$B$84,Settings!$B$86))/6,2)*6,"")</f>
        <v/>
      </c>
      <c r="G648" s="142">
        <f>IFERROR(CHOOSE(MATCH(IF($E648="","Основний",$E648),{"Трафіковий","Основний","Маржинальний","Сезонний","Стратегічний"},0),Settings!$B$78,Settings!$B$80,Settings!$B$82,Settings!$B$84,Settings!$B$86),"")</f>
        <v/>
      </c>
      <c r="H648" s="143">
        <f>IFERROR((F648*(1-Settings!$B$17)-C648)/(F648*(1-Settings!$B$17)),"")</f>
        <v/>
      </c>
      <c r="I648" s="149">
        <f>IFERROR(IF(F648="","",IF(F648&gt;=C648/(1-SKU_Base!Z648)/(1-Settings!$B$17),"OK",IF(F648&gt;=C648/(1-SKU_Base!AG648)/(1-Settings!$B$17),"WARN","STOP"))),"")</f>
        <v/>
      </c>
      <c r="J648" s="158">
        <f>IFERROR(ROUND(D648*(1-CHOOSE(MATCH(IF($E648="","Основний",$E648),{"Трафіковий","Основний","Маржинальний","Сезонний","Стратегічний"},0),Settings!$C$78,Settings!$C$80,Settings!$C$82,Settings!$C$84,Settings!$C$86))/6,2)*6,"")</f>
        <v/>
      </c>
      <c r="K648" s="142">
        <f>IFERROR(CHOOSE(MATCH(IF($E648="","Основний",$E648),{"Трафіковий","Основний","Маржинальний","Сезонний","Стратегічний"},0),Settings!$C$78,Settings!$C$80,Settings!$C$82,Settings!$C$84,Settings!$C$86),"")</f>
        <v/>
      </c>
      <c r="L648" s="143">
        <f>IFERROR((J648*(1-Settings!$C$17)-C648)/(J648*(1-Settings!$C$17)),"")</f>
        <v/>
      </c>
      <c r="M648" s="149">
        <f>IFERROR(IF(J648="","",IF(J648&gt;=C648/(1-SKU_Base!AA648)/(1-Settings!$C$17),"OK",IF(J648&gt;=C648/(1-SKU_Base!AH648)/(1-Settings!$C$17),"WARN","STOP"))),"")</f>
        <v/>
      </c>
      <c r="N648" s="159">
        <f>IFERROR(ROUND(D648*(1-CHOOSE(MATCH(IF($E648="","Основний",$E648),{"Трафіковий","Основний","Маржинальний","Сезонний","Стратегічний"},0),Settings!$D$78,Settings!$D$80,Settings!$D$82,Settings!$D$84,Settings!$D$86))/6,2)*6,"")</f>
        <v/>
      </c>
      <c r="O648" s="142">
        <f>IFERROR(CHOOSE(MATCH(IF($E648="","Основний",$E648),{"Трафіковий","Основний","Маржинальний","Сезонний","Стратегічний"},0),Settings!$D$78,Settings!$D$80,Settings!$D$82,Settings!$D$84,Settings!$D$86),"")</f>
        <v/>
      </c>
      <c r="P648" s="143">
        <f>IFERROR((N648*(1-Settings!$D$17)-C648)/(N648*(1-Settings!$D$17)),"")</f>
        <v/>
      </c>
      <c r="Q648" s="149">
        <f>IFERROR(IF(N648="","",IF(N648&gt;=C648/(1-SKU_Base!AB648)/(1-Settings!$D$17),"OK",IF(N648&gt;=C648/(1-SKU_Base!AI648)/(1-Settings!$D$17),"WARN","STOP"))),"")</f>
        <v/>
      </c>
      <c r="R648" s="159">
        <f>IFERROR(ROUND(D648*(1-CHOOSE(MATCH(IF($E648="","Основний",$E648),{"Трафіковий","Основний","Маржинальний","Сезонний","Стратегічний"},0),Settings!$E$78,Settings!$E$80,Settings!$E$82,Settings!$E$84,Settings!$E$86))/6,2)*6,"")</f>
        <v/>
      </c>
      <c r="S648" s="142">
        <f>IFERROR(CHOOSE(MATCH(IF($E648="","Основний",$E648),{"Трафіковий","Основний","Маржинальний","Сезонний","Стратегічний"},0),Settings!$E$78,Settings!$E$80,Settings!$E$82,Settings!$E$84,Settings!$E$86),"")</f>
        <v/>
      </c>
      <c r="T648" s="143">
        <f>IFERROR((R648*(1-Settings!$E$17)-C648)/(R648*(1-Settings!$E$17)),"")</f>
        <v/>
      </c>
      <c r="U648" s="149">
        <f>IFERROR(IF(R648="","",IF(R648&gt;=C648/(1-SKU_Base!AC648)/(1-Settings!$E$17),"OK",IF(R648&gt;=C648/(1-SKU_Base!AJ648)/(1-Settings!$E$17),"WARN","STOP"))),"")</f>
        <v/>
      </c>
      <c r="V648" s="159">
        <f>IFERROR(ROUND(D648*(1-CHOOSE(MATCH(IF($E648="","Основний",$E648),{"Трафіковий","Основний","Маржинальний","Сезонний","Стратегічний"},0),Settings!$F$78,Settings!$F$80,Settings!$F$82,Settings!$F$84,Settings!$F$86))/6,2)*6,"")</f>
        <v/>
      </c>
      <c r="W648" s="142">
        <f>IFERROR(CHOOSE(MATCH(IF($E648="","Основний",$E648),{"Трафіковий","Основний","Маржинальний","Сезонний","Стратегічний"},0),Settings!$F$78,Settings!$F$80,Settings!$F$82,Settings!$F$84,Settings!$F$86),"")</f>
        <v/>
      </c>
      <c r="X648" s="143">
        <f>IFERROR((V648*(1-Settings!$F$17)-C648)/(V648*(1-Settings!$F$17)),"")</f>
        <v/>
      </c>
      <c r="Y648" s="149">
        <f>IFERROR(IF(V648="","",IF(V648&gt;=C648/(1-SKU_Base!AD648)/(1-Settings!$F$17),"OK",IF(V648&gt;=C648/(1-SKU_Base!AK648)/(1-Settings!$F$17),"WARN","STOP"))),"")</f>
        <v/>
      </c>
      <c r="Z648" s="159">
        <f>IFERROR(ROUND(D648*(1-CHOOSE(MATCH(IF($E648="","Основний",$E648),{"Трафіковий","Основний","Маржинальний","Сезонний","Стратегічний"},0),Settings!$G$78,Settings!$G$80,Settings!$G$82,Settings!$G$84,Settings!$G$86))/6,2)*6,"")</f>
        <v/>
      </c>
      <c r="AA648" s="142">
        <f>IFERROR(CHOOSE(MATCH(IF($E648="","Основний",$E648),{"Трафіковий","Основний","Маржинальний","Сезонний","Стратегічний"},0),Settings!$G$78,Settings!$G$80,Settings!$G$82,Settings!$G$84,Settings!$G$86),"")</f>
        <v/>
      </c>
      <c r="AB648" s="143">
        <f>IFERROR((Z648*(1-Settings!$G$17)-C648)/(Z648*(1-Settings!$G$17)),"")</f>
        <v/>
      </c>
      <c r="AC648" s="149">
        <f>IFERROR(IF(Z648="","",IF(Z648&gt;=C648/(1-SKU_Base!AE648)/(1-Settings!$G$17),"OK",IF(Z648&gt;=C648/(1-SKU_Base!AL648)/(1-Settings!$G$17),"WARN","STOP"))),"")</f>
        <v/>
      </c>
      <c r="AD648" s="159">
        <f>IFERROR(ROUND(D648*(1-CHOOSE(MATCH(IF($E648="","Основний",$E648),{"Трафіковий","Основний","Маржинальний","Сезонний","Стратегічний"},0),Settings!$H$78,Settings!$H$80,Settings!$H$82,Settings!$H$84,Settings!$H$86))*(1-Settings!$H$68)/6,2)*6,"")</f>
        <v/>
      </c>
      <c r="AE648" s="142">
        <f>IFERROR(CHOOSE(MATCH(IF($E648="","Основний",$E648),{"Трафіковий","Основний","Маржинальний","Сезонний","Стратегічний"},0),Settings!$H$78,Settings!$H$80,Settings!$H$82,Settings!$H$84,Settings!$H$86)+(1-(CHOOSE(MATCH(IF($E648="","Основний",$E648),{"Трафіковий","Основний","Маржинальний","Сезонний","Стратегічний"},0),Settings!$H$78,Settings!$H$80,Settings!$H$82,Settings!$H$84,Settings!$H$86)))*Settings!$H$68,"")</f>
        <v/>
      </c>
      <c r="AF648" s="143">
        <f>IFERROR((AD648*(1-Settings!$H$17)-C648)/(AD648*(1-Settings!$H$17)),"")</f>
        <v/>
      </c>
      <c r="AG648" s="150">
        <f>IFERROR(IF(AD648="","",IF(AD648&gt;=C648/(1-SKU_Base!AF648)/(1-Settings!$H$17),"OK",IF(AD648&gt;=C648/(1-SKU_Base!AM648)/(1-Settings!$H$17),"WARN","STOP"))),"")</f>
        <v/>
      </c>
    </row>
    <row r="649" ht="17" customHeight="1" s="179">
      <c r="A649" s="146">
        <f>SKU_Base!B649</f>
        <v/>
      </c>
      <c r="B649" s="146">
        <f>SKU_Base!C649</f>
        <v/>
      </c>
      <c r="C649" s="147">
        <f>IFERROR(SKU_Base!I649,"")</f>
        <v/>
      </c>
      <c r="D649" s="164">
        <f>IFERROR(SKU_Base!T649,"")</f>
        <v/>
      </c>
      <c r="E649" s="141">
        <f>IFERROR(SKU_Base!$U649,"")</f>
        <v/>
      </c>
      <c r="F649" s="160">
        <f>IFERROR(ROUND(D649*(1-CHOOSE(MATCH(IF($E649="","Основний",$E649),{"Трафіковий","Основний","Маржинальний","Сезонний","Стратегічний"},0),Settings!$B$78,Settings!$B$80,Settings!$B$82,Settings!$B$84,Settings!$B$86))/6,2)*6,"")</f>
        <v/>
      </c>
      <c r="G649" s="142">
        <f>IFERROR(CHOOSE(MATCH(IF($E649="","Основний",$E649),{"Трафіковий","Основний","Маржинальний","Сезонний","Стратегічний"},0),Settings!$B$78,Settings!$B$80,Settings!$B$82,Settings!$B$84,Settings!$B$86),"")</f>
        <v/>
      </c>
      <c r="H649" s="148">
        <f>IFERROR((F649*(1-Settings!$B$17)-C649)/(F649*(1-Settings!$B$17)),"")</f>
        <v/>
      </c>
      <c r="I649" s="149">
        <f>IFERROR(IF(F649="","",IF(F649&gt;=C649/(1-SKU_Base!Z649)/(1-Settings!$B$17),"OK",IF(F649&gt;=C649/(1-SKU_Base!AG649)/(1-Settings!$B$17),"WARN","STOP"))),"")</f>
        <v/>
      </c>
      <c r="J649" s="160">
        <f>IFERROR(ROUND(D649*(1-CHOOSE(MATCH(IF($E649="","Основний",$E649),{"Трафіковий","Основний","Маржинальний","Сезонний","Стратегічний"},0),Settings!$C$78,Settings!$C$80,Settings!$C$82,Settings!$C$84,Settings!$C$86))/6,2)*6,"")</f>
        <v/>
      </c>
      <c r="K649" s="142">
        <f>IFERROR(CHOOSE(MATCH(IF($E649="","Основний",$E649),{"Трафіковий","Основний","Маржинальний","Сезонний","Стратегічний"},0),Settings!$C$78,Settings!$C$80,Settings!$C$82,Settings!$C$84,Settings!$C$86),"")</f>
        <v/>
      </c>
      <c r="L649" s="148">
        <f>IFERROR((J649*(1-Settings!$C$17)-C649)/(J649*(1-Settings!$C$17)),"")</f>
        <v/>
      </c>
      <c r="M649" s="149">
        <f>IFERROR(IF(J649="","",IF(J649&gt;=C649/(1-SKU_Base!AA649)/(1-Settings!$C$17),"OK",IF(J649&gt;=C649/(1-SKU_Base!AH649)/(1-Settings!$C$17),"WARN","STOP"))),"")</f>
        <v/>
      </c>
      <c r="N649" s="161">
        <f>IFERROR(ROUND(D649*(1-CHOOSE(MATCH(IF($E649="","Основний",$E649),{"Трафіковий","Основний","Маржинальний","Сезонний","Стратегічний"},0),Settings!$D$78,Settings!$D$80,Settings!$D$82,Settings!$D$84,Settings!$D$86))/6,2)*6,"")</f>
        <v/>
      </c>
      <c r="O649" s="142">
        <f>IFERROR(CHOOSE(MATCH(IF($E649="","Основний",$E649),{"Трафіковий","Основний","Маржинальний","Сезонний","Стратегічний"},0),Settings!$D$78,Settings!$D$80,Settings!$D$82,Settings!$D$84,Settings!$D$86),"")</f>
        <v/>
      </c>
      <c r="P649" s="148">
        <f>IFERROR((N649*(1-Settings!$D$17)-C649)/(N649*(1-Settings!$D$17)),"")</f>
        <v/>
      </c>
      <c r="Q649" s="149">
        <f>IFERROR(IF(N649="","",IF(N649&gt;=C649/(1-SKU_Base!AB649)/(1-Settings!$D$17),"OK",IF(N649&gt;=C649/(1-SKU_Base!AI649)/(1-Settings!$D$17),"WARN","STOP"))),"")</f>
        <v/>
      </c>
      <c r="R649" s="161">
        <f>IFERROR(ROUND(D649*(1-CHOOSE(MATCH(IF($E649="","Основний",$E649),{"Трафіковий","Основний","Маржинальний","Сезонний","Стратегічний"},0),Settings!$E$78,Settings!$E$80,Settings!$E$82,Settings!$E$84,Settings!$E$86))/6,2)*6,"")</f>
        <v/>
      </c>
      <c r="S649" s="142">
        <f>IFERROR(CHOOSE(MATCH(IF($E649="","Основний",$E649),{"Трафіковий","Основний","Маржинальний","Сезонний","Стратегічний"},0),Settings!$E$78,Settings!$E$80,Settings!$E$82,Settings!$E$84,Settings!$E$86),"")</f>
        <v/>
      </c>
      <c r="T649" s="148">
        <f>IFERROR((R649*(1-Settings!$E$17)-C649)/(R649*(1-Settings!$E$17)),"")</f>
        <v/>
      </c>
      <c r="U649" s="149">
        <f>IFERROR(IF(R649="","",IF(R649&gt;=C649/(1-SKU_Base!AC649)/(1-Settings!$E$17),"OK",IF(R649&gt;=C649/(1-SKU_Base!AJ649)/(1-Settings!$E$17),"WARN","STOP"))),"")</f>
        <v/>
      </c>
      <c r="V649" s="161">
        <f>IFERROR(ROUND(D649*(1-CHOOSE(MATCH(IF($E649="","Основний",$E649),{"Трафіковий","Основний","Маржинальний","Сезонний","Стратегічний"},0),Settings!$F$78,Settings!$F$80,Settings!$F$82,Settings!$F$84,Settings!$F$86))/6,2)*6,"")</f>
        <v/>
      </c>
      <c r="W649" s="142">
        <f>IFERROR(CHOOSE(MATCH(IF($E649="","Основний",$E649),{"Трафіковий","Основний","Маржинальний","Сезонний","Стратегічний"},0),Settings!$F$78,Settings!$F$80,Settings!$F$82,Settings!$F$84,Settings!$F$86),"")</f>
        <v/>
      </c>
      <c r="X649" s="148">
        <f>IFERROR((V649*(1-Settings!$F$17)-C649)/(V649*(1-Settings!$F$17)),"")</f>
        <v/>
      </c>
      <c r="Y649" s="149">
        <f>IFERROR(IF(V649="","",IF(V649&gt;=C649/(1-SKU_Base!AD649)/(1-Settings!$F$17),"OK",IF(V649&gt;=C649/(1-SKU_Base!AK649)/(1-Settings!$F$17),"WARN","STOP"))),"")</f>
        <v/>
      </c>
      <c r="Z649" s="161">
        <f>IFERROR(ROUND(D649*(1-CHOOSE(MATCH(IF($E649="","Основний",$E649),{"Трафіковий","Основний","Маржинальний","Сезонний","Стратегічний"},0),Settings!$G$78,Settings!$G$80,Settings!$G$82,Settings!$G$84,Settings!$G$86))/6,2)*6,"")</f>
        <v/>
      </c>
      <c r="AA649" s="142">
        <f>IFERROR(CHOOSE(MATCH(IF($E649="","Основний",$E649),{"Трафіковий","Основний","Маржинальний","Сезонний","Стратегічний"},0),Settings!$G$78,Settings!$G$80,Settings!$G$82,Settings!$G$84,Settings!$G$86),"")</f>
        <v/>
      </c>
      <c r="AB649" s="148">
        <f>IFERROR((Z649*(1-Settings!$G$17)-C649)/(Z649*(1-Settings!$G$17)),"")</f>
        <v/>
      </c>
      <c r="AC649" s="149">
        <f>IFERROR(IF(Z649="","",IF(Z649&gt;=C649/(1-SKU_Base!AE649)/(1-Settings!$G$17),"OK",IF(Z649&gt;=C649/(1-SKU_Base!AL649)/(1-Settings!$G$17),"WARN","STOP"))),"")</f>
        <v/>
      </c>
      <c r="AD649" s="161">
        <f>IFERROR(ROUND(D649*(1-CHOOSE(MATCH(IF($E649="","Основний",$E649),{"Трафіковий","Основний","Маржинальний","Сезонний","Стратегічний"},0),Settings!$H$78,Settings!$H$80,Settings!$H$82,Settings!$H$84,Settings!$H$86))*(1-Settings!$H$68)/6,2)*6,"")</f>
        <v/>
      </c>
      <c r="AE649" s="142">
        <f>IFERROR(CHOOSE(MATCH(IF($E649="","Основний",$E649),{"Трафіковий","Основний","Маржинальний","Сезонний","Стратегічний"},0),Settings!$H$78,Settings!$H$80,Settings!$H$82,Settings!$H$84,Settings!$H$86)+(1-(CHOOSE(MATCH(IF($E649="","Основний",$E649),{"Трафіковий","Основний","Маржинальний","Сезонний","Стратегічний"},0),Settings!$H$78,Settings!$H$80,Settings!$H$82,Settings!$H$84,Settings!$H$86)))*Settings!$H$68,"")</f>
        <v/>
      </c>
      <c r="AF649" s="148">
        <f>IFERROR((AD649*(1-Settings!$H$17)-C649)/(AD649*(1-Settings!$H$17)),"")</f>
        <v/>
      </c>
      <c r="AG649" s="150">
        <f>IFERROR(IF(AD649="","",IF(AD649&gt;=C649/(1-SKU_Base!AF649)/(1-Settings!$H$17),"OK",IF(AD649&gt;=C649/(1-SKU_Base!AM649)/(1-Settings!$H$17),"WARN","STOP"))),"")</f>
        <v/>
      </c>
    </row>
    <row r="650" ht="17" customHeight="1" s="179">
      <c r="A650" s="139">
        <f>SKU_Base!B650</f>
        <v/>
      </c>
      <c r="B650" s="139">
        <f>SKU_Base!C650</f>
        <v/>
      </c>
      <c r="C650" s="140">
        <f>IFERROR(SKU_Base!I650,"")</f>
        <v/>
      </c>
      <c r="D650" s="163">
        <f>IFERROR(SKU_Base!T650,"")</f>
        <v/>
      </c>
      <c r="E650" s="141">
        <f>IFERROR(SKU_Base!$U650,"")</f>
        <v/>
      </c>
      <c r="F650" s="158">
        <f>IFERROR(ROUND(D650*(1-CHOOSE(MATCH(IF($E650="","Основний",$E650),{"Трафіковий","Основний","Маржинальний","Сезонний","Стратегічний"},0),Settings!$B$78,Settings!$B$80,Settings!$B$82,Settings!$B$84,Settings!$B$86))/6,2)*6,"")</f>
        <v/>
      </c>
      <c r="G650" s="142">
        <f>IFERROR(CHOOSE(MATCH(IF($E650="","Основний",$E650),{"Трафіковий","Основний","Маржинальний","Сезонний","Стратегічний"},0),Settings!$B$78,Settings!$B$80,Settings!$B$82,Settings!$B$84,Settings!$B$86),"")</f>
        <v/>
      </c>
      <c r="H650" s="143">
        <f>IFERROR((F650*(1-Settings!$B$17)-C650)/(F650*(1-Settings!$B$17)),"")</f>
        <v/>
      </c>
      <c r="I650" s="149">
        <f>IFERROR(IF(F650="","",IF(F650&gt;=C650/(1-SKU_Base!Z650)/(1-Settings!$B$17),"OK",IF(F650&gt;=C650/(1-SKU_Base!AG650)/(1-Settings!$B$17),"WARN","STOP"))),"")</f>
        <v/>
      </c>
      <c r="J650" s="158">
        <f>IFERROR(ROUND(D650*(1-CHOOSE(MATCH(IF($E650="","Основний",$E650),{"Трафіковий","Основний","Маржинальний","Сезонний","Стратегічний"},0),Settings!$C$78,Settings!$C$80,Settings!$C$82,Settings!$C$84,Settings!$C$86))/6,2)*6,"")</f>
        <v/>
      </c>
      <c r="K650" s="142">
        <f>IFERROR(CHOOSE(MATCH(IF($E650="","Основний",$E650),{"Трафіковий","Основний","Маржинальний","Сезонний","Стратегічний"},0),Settings!$C$78,Settings!$C$80,Settings!$C$82,Settings!$C$84,Settings!$C$86),"")</f>
        <v/>
      </c>
      <c r="L650" s="143">
        <f>IFERROR((J650*(1-Settings!$C$17)-C650)/(J650*(1-Settings!$C$17)),"")</f>
        <v/>
      </c>
      <c r="M650" s="149">
        <f>IFERROR(IF(J650="","",IF(J650&gt;=C650/(1-SKU_Base!AA650)/(1-Settings!$C$17),"OK",IF(J650&gt;=C650/(1-SKU_Base!AH650)/(1-Settings!$C$17),"WARN","STOP"))),"")</f>
        <v/>
      </c>
      <c r="N650" s="159">
        <f>IFERROR(ROUND(D650*(1-CHOOSE(MATCH(IF($E650="","Основний",$E650),{"Трафіковий","Основний","Маржинальний","Сезонний","Стратегічний"},0),Settings!$D$78,Settings!$D$80,Settings!$D$82,Settings!$D$84,Settings!$D$86))/6,2)*6,"")</f>
        <v/>
      </c>
      <c r="O650" s="142">
        <f>IFERROR(CHOOSE(MATCH(IF($E650="","Основний",$E650),{"Трафіковий","Основний","Маржинальний","Сезонний","Стратегічний"},0),Settings!$D$78,Settings!$D$80,Settings!$D$82,Settings!$D$84,Settings!$D$86),"")</f>
        <v/>
      </c>
      <c r="P650" s="143">
        <f>IFERROR((N650*(1-Settings!$D$17)-C650)/(N650*(1-Settings!$D$17)),"")</f>
        <v/>
      </c>
      <c r="Q650" s="149">
        <f>IFERROR(IF(N650="","",IF(N650&gt;=C650/(1-SKU_Base!AB650)/(1-Settings!$D$17),"OK",IF(N650&gt;=C650/(1-SKU_Base!AI650)/(1-Settings!$D$17),"WARN","STOP"))),"")</f>
        <v/>
      </c>
      <c r="R650" s="159">
        <f>IFERROR(ROUND(D650*(1-CHOOSE(MATCH(IF($E650="","Основний",$E650),{"Трафіковий","Основний","Маржинальний","Сезонний","Стратегічний"},0),Settings!$E$78,Settings!$E$80,Settings!$E$82,Settings!$E$84,Settings!$E$86))/6,2)*6,"")</f>
        <v/>
      </c>
      <c r="S650" s="142">
        <f>IFERROR(CHOOSE(MATCH(IF($E650="","Основний",$E650),{"Трафіковий","Основний","Маржинальний","Сезонний","Стратегічний"},0),Settings!$E$78,Settings!$E$80,Settings!$E$82,Settings!$E$84,Settings!$E$86),"")</f>
        <v/>
      </c>
      <c r="T650" s="143">
        <f>IFERROR((R650*(1-Settings!$E$17)-C650)/(R650*(1-Settings!$E$17)),"")</f>
        <v/>
      </c>
      <c r="U650" s="149">
        <f>IFERROR(IF(R650="","",IF(R650&gt;=C650/(1-SKU_Base!AC650)/(1-Settings!$E$17),"OK",IF(R650&gt;=C650/(1-SKU_Base!AJ650)/(1-Settings!$E$17),"WARN","STOP"))),"")</f>
        <v/>
      </c>
      <c r="V650" s="159">
        <f>IFERROR(ROUND(D650*(1-CHOOSE(MATCH(IF($E650="","Основний",$E650),{"Трафіковий","Основний","Маржинальний","Сезонний","Стратегічний"},0),Settings!$F$78,Settings!$F$80,Settings!$F$82,Settings!$F$84,Settings!$F$86))/6,2)*6,"")</f>
        <v/>
      </c>
      <c r="W650" s="142">
        <f>IFERROR(CHOOSE(MATCH(IF($E650="","Основний",$E650),{"Трафіковий","Основний","Маржинальний","Сезонний","Стратегічний"},0),Settings!$F$78,Settings!$F$80,Settings!$F$82,Settings!$F$84,Settings!$F$86),"")</f>
        <v/>
      </c>
      <c r="X650" s="143">
        <f>IFERROR((V650*(1-Settings!$F$17)-C650)/(V650*(1-Settings!$F$17)),"")</f>
        <v/>
      </c>
      <c r="Y650" s="149">
        <f>IFERROR(IF(V650="","",IF(V650&gt;=C650/(1-SKU_Base!AD650)/(1-Settings!$F$17),"OK",IF(V650&gt;=C650/(1-SKU_Base!AK650)/(1-Settings!$F$17),"WARN","STOP"))),"")</f>
        <v/>
      </c>
      <c r="Z650" s="159">
        <f>IFERROR(ROUND(D650*(1-CHOOSE(MATCH(IF($E650="","Основний",$E650),{"Трафіковий","Основний","Маржинальний","Сезонний","Стратегічний"},0),Settings!$G$78,Settings!$G$80,Settings!$G$82,Settings!$G$84,Settings!$G$86))/6,2)*6,"")</f>
        <v/>
      </c>
      <c r="AA650" s="142">
        <f>IFERROR(CHOOSE(MATCH(IF($E650="","Основний",$E650),{"Трафіковий","Основний","Маржинальний","Сезонний","Стратегічний"},0),Settings!$G$78,Settings!$G$80,Settings!$G$82,Settings!$G$84,Settings!$G$86),"")</f>
        <v/>
      </c>
      <c r="AB650" s="143">
        <f>IFERROR((Z650*(1-Settings!$G$17)-C650)/(Z650*(1-Settings!$G$17)),"")</f>
        <v/>
      </c>
      <c r="AC650" s="149">
        <f>IFERROR(IF(Z650="","",IF(Z650&gt;=C650/(1-SKU_Base!AE650)/(1-Settings!$G$17),"OK",IF(Z650&gt;=C650/(1-SKU_Base!AL650)/(1-Settings!$G$17),"WARN","STOP"))),"")</f>
        <v/>
      </c>
      <c r="AD650" s="159">
        <f>IFERROR(ROUND(D650*(1-CHOOSE(MATCH(IF($E650="","Основний",$E650),{"Трафіковий","Основний","Маржинальний","Сезонний","Стратегічний"},0),Settings!$H$78,Settings!$H$80,Settings!$H$82,Settings!$H$84,Settings!$H$86))*(1-Settings!$H$68)/6,2)*6,"")</f>
        <v/>
      </c>
      <c r="AE650" s="142">
        <f>IFERROR(CHOOSE(MATCH(IF($E650="","Основний",$E650),{"Трафіковий","Основний","Маржинальний","Сезонний","Стратегічний"},0),Settings!$H$78,Settings!$H$80,Settings!$H$82,Settings!$H$84,Settings!$H$86)+(1-(CHOOSE(MATCH(IF($E650="","Основний",$E650),{"Трафіковий","Основний","Маржинальний","Сезонний","Стратегічний"},0),Settings!$H$78,Settings!$H$80,Settings!$H$82,Settings!$H$84,Settings!$H$86)))*Settings!$H$68,"")</f>
        <v/>
      </c>
      <c r="AF650" s="143">
        <f>IFERROR((AD650*(1-Settings!$H$17)-C650)/(AD650*(1-Settings!$H$17)),"")</f>
        <v/>
      </c>
      <c r="AG650" s="150">
        <f>IFERROR(IF(AD650="","",IF(AD650&gt;=C650/(1-SKU_Base!AF650)/(1-Settings!$H$17),"OK",IF(AD650&gt;=C650/(1-SKU_Base!AM650)/(1-Settings!$H$17),"WARN","STOP"))),"")</f>
        <v/>
      </c>
    </row>
    <row r="651" ht="17" customHeight="1" s="179">
      <c r="A651" s="146">
        <f>SKU_Base!B651</f>
        <v/>
      </c>
      <c r="B651" s="146">
        <f>SKU_Base!C651</f>
        <v/>
      </c>
      <c r="C651" s="147">
        <f>IFERROR(SKU_Base!I651,"")</f>
        <v/>
      </c>
      <c r="D651" s="164">
        <f>IFERROR(SKU_Base!T651,"")</f>
        <v/>
      </c>
      <c r="E651" s="141">
        <f>IFERROR(SKU_Base!$U651,"")</f>
        <v/>
      </c>
      <c r="F651" s="160">
        <f>IFERROR(ROUND(D651*(1-CHOOSE(MATCH(IF($E651="","Основний",$E651),{"Трафіковий","Основний","Маржинальний","Сезонний","Стратегічний"},0),Settings!$B$78,Settings!$B$80,Settings!$B$82,Settings!$B$84,Settings!$B$86))/6,2)*6,"")</f>
        <v/>
      </c>
      <c r="G651" s="142">
        <f>IFERROR(CHOOSE(MATCH(IF($E651="","Основний",$E651),{"Трафіковий","Основний","Маржинальний","Сезонний","Стратегічний"},0),Settings!$B$78,Settings!$B$80,Settings!$B$82,Settings!$B$84,Settings!$B$86),"")</f>
        <v/>
      </c>
      <c r="H651" s="148">
        <f>IFERROR((F651*(1-Settings!$B$17)-C651)/(F651*(1-Settings!$B$17)),"")</f>
        <v/>
      </c>
      <c r="I651" s="149">
        <f>IFERROR(IF(F651="","",IF(F651&gt;=C651/(1-SKU_Base!Z651)/(1-Settings!$B$17),"OK",IF(F651&gt;=C651/(1-SKU_Base!AG651)/(1-Settings!$B$17),"WARN","STOP"))),"")</f>
        <v/>
      </c>
      <c r="J651" s="160">
        <f>IFERROR(ROUND(D651*(1-CHOOSE(MATCH(IF($E651="","Основний",$E651),{"Трафіковий","Основний","Маржинальний","Сезонний","Стратегічний"},0),Settings!$C$78,Settings!$C$80,Settings!$C$82,Settings!$C$84,Settings!$C$86))/6,2)*6,"")</f>
        <v/>
      </c>
      <c r="K651" s="142">
        <f>IFERROR(CHOOSE(MATCH(IF($E651="","Основний",$E651),{"Трафіковий","Основний","Маржинальний","Сезонний","Стратегічний"},0),Settings!$C$78,Settings!$C$80,Settings!$C$82,Settings!$C$84,Settings!$C$86),"")</f>
        <v/>
      </c>
      <c r="L651" s="148">
        <f>IFERROR((J651*(1-Settings!$C$17)-C651)/(J651*(1-Settings!$C$17)),"")</f>
        <v/>
      </c>
      <c r="M651" s="149">
        <f>IFERROR(IF(J651="","",IF(J651&gt;=C651/(1-SKU_Base!AA651)/(1-Settings!$C$17),"OK",IF(J651&gt;=C651/(1-SKU_Base!AH651)/(1-Settings!$C$17),"WARN","STOP"))),"")</f>
        <v/>
      </c>
      <c r="N651" s="161">
        <f>IFERROR(ROUND(D651*(1-CHOOSE(MATCH(IF($E651="","Основний",$E651),{"Трафіковий","Основний","Маржинальний","Сезонний","Стратегічний"},0),Settings!$D$78,Settings!$D$80,Settings!$D$82,Settings!$D$84,Settings!$D$86))/6,2)*6,"")</f>
        <v/>
      </c>
      <c r="O651" s="142">
        <f>IFERROR(CHOOSE(MATCH(IF($E651="","Основний",$E651),{"Трафіковий","Основний","Маржинальний","Сезонний","Стратегічний"},0),Settings!$D$78,Settings!$D$80,Settings!$D$82,Settings!$D$84,Settings!$D$86),"")</f>
        <v/>
      </c>
      <c r="P651" s="148">
        <f>IFERROR((N651*(1-Settings!$D$17)-C651)/(N651*(1-Settings!$D$17)),"")</f>
        <v/>
      </c>
      <c r="Q651" s="149">
        <f>IFERROR(IF(N651="","",IF(N651&gt;=C651/(1-SKU_Base!AB651)/(1-Settings!$D$17),"OK",IF(N651&gt;=C651/(1-SKU_Base!AI651)/(1-Settings!$D$17),"WARN","STOP"))),"")</f>
        <v/>
      </c>
      <c r="R651" s="161">
        <f>IFERROR(ROUND(D651*(1-CHOOSE(MATCH(IF($E651="","Основний",$E651),{"Трафіковий","Основний","Маржинальний","Сезонний","Стратегічний"},0),Settings!$E$78,Settings!$E$80,Settings!$E$82,Settings!$E$84,Settings!$E$86))/6,2)*6,"")</f>
        <v/>
      </c>
      <c r="S651" s="142">
        <f>IFERROR(CHOOSE(MATCH(IF($E651="","Основний",$E651),{"Трафіковий","Основний","Маржинальний","Сезонний","Стратегічний"},0),Settings!$E$78,Settings!$E$80,Settings!$E$82,Settings!$E$84,Settings!$E$86),"")</f>
        <v/>
      </c>
      <c r="T651" s="148">
        <f>IFERROR((R651*(1-Settings!$E$17)-C651)/(R651*(1-Settings!$E$17)),"")</f>
        <v/>
      </c>
      <c r="U651" s="149">
        <f>IFERROR(IF(R651="","",IF(R651&gt;=C651/(1-SKU_Base!AC651)/(1-Settings!$E$17),"OK",IF(R651&gt;=C651/(1-SKU_Base!AJ651)/(1-Settings!$E$17),"WARN","STOP"))),"")</f>
        <v/>
      </c>
      <c r="V651" s="161">
        <f>IFERROR(ROUND(D651*(1-CHOOSE(MATCH(IF($E651="","Основний",$E651),{"Трафіковий","Основний","Маржинальний","Сезонний","Стратегічний"},0),Settings!$F$78,Settings!$F$80,Settings!$F$82,Settings!$F$84,Settings!$F$86))/6,2)*6,"")</f>
        <v/>
      </c>
      <c r="W651" s="142">
        <f>IFERROR(CHOOSE(MATCH(IF($E651="","Основний",$E651),{"Трафіковий","Основний","Маржинальний","Сезонний","Стратегічний"},0),Settings!$F$78,Settings!$F$80,Settings!$F$82,Settings!$F$84,Settings!$F$86),"")</f>
        <v/>
      </c>
      <c r="X651" s="148">
        <f>IFERROR((V651*(1-Settings!$F$17)-C651)/(V651*(1-Settings!$F$17)),"")</f>
        <v/>
      </c>
      <c r="Y651" s="149">
        <f>IFERROR(IF(V651="","",IF(V651&gt;=C651/(1-SKU_Base!AD651)/(1-Settings!$F$17),"OK",IF(V651&gt;=C651/(1-SKU_Base!AK651)/(1-Settings!$F$17),"WARN","STOP"))),"")</f>
        <v/>
      </c>
      <c r="Z651" s="161">
        <f>IFERROR(ROUND(D651*(1-CHOOSE(MATCH(IF($E651="","Основний",$E651),{"Трафіковий","Основний","Маржинальний","Сезонний","Стратегічний"},0),Settings!$G$78,Settings!$G$80,Settings!$G$82,Settings!$G$84,Settings!$G$86))/6,2)*6,"")</f>
        <v/>
      </c>
      <c r="AA651" s="142">
        <f>IFERROR(CHOOSE(MATCH(IF($E651="","Основний",$E651),{"Трафіковий","Основний","Маржинальний","Сезонний","Стратегічний"},0),Settings!$G$78,Settings!$G$80,Settings!$G$82,Settings!$G$84,Settings!$G$86),"")</f>
        <v/>
      </c>
      <c r="AB651" s="148">
        <f>IFERROR((Z651*(1-Settings!$G$17)-C651)/(Z651*(1-Settings!$G$17)),"")</f>
        <v/>
      </c>
      <c r="AC651" s="149">
        <f>IFERROR(IF(Z651="","",IF(Z651&gt;=C651/(1-SKU_Base!AE651)/(1-Settings!$G$17),"OK",IF(Z651&gt;=C651/(1-SKU_Base!AL651)/(1-Settings!$G$17),"WARN","STOP"))),"")</f>
        <v/>
      </c>
      <c r="AD651" s="161">
        <f>IFERROR(ROUND(D651*(1-CHOOSE(MATCH(IF($E651="","Основний",$E651),{"Трафіковий","Основний","Маржинальний","Сезонний","Стратегічний"},0),Settings!$H$78,Settings!$H$80,Settings!$H$82,Settings!$H$84,Settings!$H$86))*(1-Settings!$H$68)/6,2)*6,"")</f>
        <v/>
      </c>
      <c r="AE651" s="142">
        <f>IFERROR(CHOOSE(MATCH(IF($E651="","Основний",$E651),{"Трафіковий","Основний","Маржинальний","Сезонний","Стратегічний"},0),Settings!$H$78,Settings!$H$80,Settings!$H$82,Settings!$H$84,Settings!$H$86)+(1-(CHOOSE(MATCH(IF($E651="","Основний",$E651),{"Трафіковий","Основний","Маржинальний","Сезонний","Стратегічний"},0),Settings!$H$78,Settings!$H$80,Settings!$H$82,Settings!$H$84,Settings!$H$86)))*Settings!$H$68,"")</f>
        <v/>
      </c>
      <c r="AF651" s="148">
        <f>IFERROR((AD651*(1-Settings!$H$17)-C651)/(AD651*(1-Settings!$H$17)),"")</f>
        <v/>
      </c>
      <c r="AG651" s="150">
        <f>IFERROR(IF(AD651="","",IF(AD651&gt;=C651/(1-SKU_Base!AF651)/(1-Settings!$H$17),"OK",IF(AD651&gt;=C651/(1-SKU_Base!AM651)/(1-Settings!$H$17),"WARN","STOP"))),"")</f>
        <v/>
      </c>
    </row>
    <row r="652" ht="17" customHeight="1" s="179">
      <c r="A652" s="139">
        <f>SKU_Base!B652</f>
        <v/>
      </c>
      <c r="B652" s="139">
        <f>SKU_Base!C652</f>
        <v/>
      </c>
      <c r="C652" s="140">
        <f>IFERROR(SKU_Base!I652,"")</f>
        <v/>
      </c>
      <c r="D652" s="163">
        <f>IFERROR(SKU_Base!T652,"")</f>
        <v/>
      </c>
      <c r="E652" s="141">
        <f>IFERROR(SKU_Base!$U652,"")</f>
        <v/>
      </c>
      <c r="F652" s="158">
        <f>IFERROR(ROUND(D652*(1-CHOOSE(MATCH(IF($E652="","Основний",$E652),{"Трафіковий","Основний","Маржинальний","Сезонний","Стратегічний"},0),Settings!$B$78,Settings!$B$80,Settings!$B$82,Settings!$B$84,Settings!$B$86))/6,2)*6,"")</f>
        <v/>
      </c>
      <c r="G652" s="142">
        <f>IFERROR(CHOOSE(MATCH(IF($E652="","Основний",$E652),{"Трафіковий","Основний","Маржинальний","Сезонний","Стратегічний"},0),Settings!$B$78,Settings!$B$80,Settings!$B$82,Settings!$B$84,Settings!$B$86),"")</f>
        <v/>
      </c>
      <c r="H652" s="143">
        <f>IFERROR((F652*(1-Settings!$B$17)-C652)/(F652*(1-Settings!$B$17)),"")</f>
        <v/>
      </c>
      <c r="I652" s="149">
        <f>IFERROR(IF(F652="","",IF(F652&gt;=C652/(1-SKU_Base!Z652)/(1-Settings!$B$17),"OK",IF(F652&gt;=C652/(1-SKU_Base!AG652)/(1-Settings!$B$17),"WARN","STOP"))),"")</f>
        <v/>
      </c>
      <c r="J652" s="158">
        <f>IFERROR(ROUND(D652*(1-CHOOSE(MATCH(IF($E652="","Основний",$E652),{"Трафіковий","Основний","Маржинальний","Сезонний","Стратегічний"},0),Settings!$C$78,Settings!$C$80,Settings!$C$82,Settings!$C$84,Settings!$C$86))/6,2)*6,"")</f>
        <v/>
      </c>
      <c r="K652" s="142">
        <f>IFERROR(CHOOSE(MATCH(IF($E652="","Основний",$E652),{"Трафіковий","Основний","Маржинальний","Сезонний","Стратегічний"},0),Settings!$C$78,Settings!$C$80,Settings!$C$82,Settings!$C$84,Settings!$C$86),"")</f>
        <v/>
      </c>
      <c r="L652" s="143">
        <f>IFERROR((J652*(1-Settings!$C$17)-C652)/(J652*(1-Settings!$C$17)),"")</f>
        <v/>
      </c>
      <c r="M652" s="149">
        <f>IFERROR(IF(J652="","",IF(J652&gt;=C652/(1-SKU_Base!AA652)/(1-Settings!$C$17),"OK",IF(J652&gt;=C652/(1-SKU_Base!AH652)/(1-Settings!$C$17),"WARN","STOP"))),"")</f>
        <v/>
      </c>
      <c r="N652" s="159">
        <f>IFERROR(ROUND(D652*(1-CHOOSE(MATCH(IF($E652="","Основний",$E652),{"Трафіковий","Основний","Маржинальний","Сезонний","Стратегічний"},0),Settings!$D$78,Settings!$D$80,Settings!$D$82,Settings!$D$84,Settings!$D$86))/6,2)*6,"")</f>
        <v/>
      </c>
      <c r="O652" s="142">
        <f>IFERROR(CHOOSE(MATCH(IF($E652="","Основний",$E652),{"Трафіковий","Основний","Маржинальний","Сезонний","Стратегічний"},0),Settings!$D$78,Settings!$D$80,Settings!$D$82,Settings!$D$84,Settings!$D$86),"")</f>
        <v/>
      </c>
      <c r="P652" s="143">
        <f>IFERROR((N652*(1-Settings!$D$17)-C652)/(N652*(1-Settings!$D$17)),"")</f>
        <v/>
      </c>
      <c r="Q652" s="149">
        <f>IFERROR(IF(N652="","",IF(N652&gt;=C652/(1-SKU_Base!AB652)/(1-Settings!$D$17),"OK",IF(N652&gt;=C652/(1-SKU_Base!AI652)/(1-Settings!$D$17),"WARN","STOP"))),"")</f>
        <v/>
      </c>
      <c r="R652" s="159">
        <f>IFERROR(ROUND(D652*(1-CHOOSE(MATCH(IF($E652="","Основний",$E652),{"Трафіковий","Основний","Маржинальний","Сезонний","Стратегічний"},0),Settings!$E$78,Settings!$E$80,Settings!$E$82,Settings!$E$84,Settings!$E$86))/6,2)*6,"")</f>
        <v/>
      </c>
      <c r="S652" s="142">
        <f>IFERROR(CHOOSE(MATCH(IF($E652="","Основний",$E652),{"Трафіковий","Основний","Маржинальний","Сезонний","Стратегічний"},0),Settings!$E$78,Settings!$E$80,Settings!$E$82,Settings!$E$84,Settings!$E$86),"")</f>
        <v/>
      </c>
      <c r="T652" s="143">
        <f>IFERROR((R652*(1-Settings!$E$17)-C652)/(R652*(1-Settings!$E$17)),"")</f>
        <v/>
      </c>
      <c r="U652" s="149">
        <f>IFERROR(IF(R652="","",IF(R652&gt;=C652/(1-SKU_Base!AC652)/(1-Settings!$E$17),"OK",IF(R652&gt;=C652/(1-SKU_Base!AJ652)/(1-Settings!$E$17),"WARN","STOP"))),"")</f>
        <v/>
      </c>
      <c r="V652" s="159">
        <f>IFERROR(ROUND(D652*(1-CHOOSE(MATCH(IF($E652="","Основний",$E652),{"Трафіковий","Основний","Маржинальний","Сезонний","Стратегічний"},0),Settings!$F$78,Settings!$F$80,Settings!$F$82,Settings!$F$84,Settings!$F$86))/6,2)*6,"")</f>
        <v/>
      </c>
      <c r="W652" s="142">
        <f>IFERROR(CHOOSE(MATCH(IF($E652="","Основний",$E652),{"Трафіковий","Основний","Маржинальний","Сезонний","Стратегічний"},0),Settings!$F$78,Settings!$F$80,Settings!$F$82,Settings!$F$84,Settings!$F$86),"")</f>
        <v/>
      </c>
      <c r="X652" s="143">
        <f>IFERROR((V652*(1-Settings!$F$17)-C652)/(V652*(1-Settings!$F$17)),"")</f>
        <v/>
      </c>
      <c r="Y652" s="149">
        <f>IFERROR(IF(V652="","",IF(V652&gt;=C652/(1-SKU_Base!AD652)/(1-Settings!$F$17),"OK",IF(V652&gt;=C652/(1-SKU_Base!AK652)/(1-Settings!$F$17),"WARN","STOP"))),"")</f>
        <v/>
      </c>
      <c r="Z652" s="159">
        <f>IFERROR(ROUND(D652*(1-CHOOSE(MATCH(IF($E652="","Основний",$E652),{"Трафіковий","Основний","Маржинальний","Сезонний","Стратегічний"},0),Settings!$G$78,Settings!$G$80,Settings!$G$82,Settings!$G$84,Settings!$G$86))/6,2)*6,"")</f>
        <v/>
      </c>
      <c r="AA652" s="142">
        <f>IFERROR(CHOOSE(MATCH(IF($E652="","Основний",$E652),{"Трафіковий","Основний","Маржинальний","Сезонний","Стратегічний"},0),Settings!$G$78,Settings!$G$80,Settings!$G$82,Settings!$G$84,Settings!$G$86),"")</f>
        <v/>
      </c>
      <c r="AB652" s="143">
        <f>IFERROR((Z652*(1-Settings!$G$17)-C652)/(Z652*(1-Settings!$G$17)),"")</f>
        <v/>
      </c>
      <c r="AC652" s="149">
        <f>IFERROR(IF(Z652="","",IF(Z652&gt;=C652/(1-SKU_Base!AE652)/(1-Settings!$G$17),"OK",IF(Z652&gt;=C652/(1-SKU_Base!AL652)/(1-Settings!$G$17),"WARN","STOP"))),"")</f>
        <v/>
      </c>
      <c r="AD652" s="159">
        <f>IFERROR(ROUND(D652*(1-CHOOSE(MATCH(IF($E652="","Основний",$E652),{"Трафіковий","Основний","Маржинальний","Сезонний","Стратегічний"},0),Settings!$H$78,Settings!$H$80,Settings!$H$82,Settings!$H$84,Settings!$H$86))*(1-Settings!$H$68)/6,2)*6,"")</f>
        <v/>
      </c>
      <c r="AE652" s="142">
        <f>IFERROR(CHOOSE(MATCH(IF($E652="","Основний",$E652),{"Трафіковий","Основний","Маржинальний","Сезонний","Стратегічний"},0),Settings!$H$78,Settings!$H$80,Settings!$H$82,Settings!$H$84,Settings!$H$86)+(1-(CHOOSE(MATCH(IF($E652="","Основний",$E652),{"Трафіковий","Основний","Маржинальний","Сезонний","Стратегічний"},0),Settings!$H$78,Settings!$H$80,Settings!$H$82,Settings!$H$84,Settings!$H$86)))*Settings!$H$68,"")</f>
        <v/>
      </c>
      <c r="AF652" s="143">
        <f>IFERROR((AD652*(1-Settings!$H$17)-C652)/(AD652*(1-Settings!$H$17)),"")</f>
        <v/>
      </c>
      <c r="AG652" s="150">
        <f>IFERROR(IF(AD652="","",IF(AD652&gt;=C652/(1-SKU_Base!AF652)/(1-Settings!$H$17),"OK",IF(AD652&gt;=C652/(1-SKU_Base!AM652)/(1-Settings!$H$17),"WARN","STOP"))),"")</f>
        <v/>
      </c>
    </row>
    <row r="653" ht="17" customHeight="1" s="179">
      <c r="A653" s="146">
        <f>SKU_Base!B653</f>
        <v/>
      </c>
      <c r="B653" s="146">
        <f>SKU_Base!C653</f>
        <v/>
      </c>
      <c r="C653" s="147">
        <f>IFERROR(SKU_Base!I653,"")</f>
        <v/>
      </c>
      <c r="D653" s="164">
        <f>IFERROR(SKU_Base!T653,"")</f>
        <v/>
      </c>
      <c r="E653" s="141">
        <f>IFERROR(SKU_Base!$U653,"")</f>
        <v/>
      </c>
      <c r="F653" s="160">
        <f>IFERROR(ROUND(D653*(1-CHOOSE(MATCH(IF($E653="","Основний",$E653),{"Трафіковий","Основний","Маржинальний","Сезонний","Стратегічний"},0),Settings!$B$78,Settings!$B$80,Settings!$B$82,Settings!$B$84,Settings!$B$86))/6,2)*6,"")</f>
        <v/>
      </c>
      <c r="G653" s="142">
        <f>IFERROR(CHOOSE(MATCH(IF($E653="","Основний",$E653),{"Трафіковий","Основний","Маржинальний","Сезонний","Стратегічний"},0),Settings!$B$78,Settings!$B$80,Settings!$B$82,Settings!$B$84,Settings!$B$86),"")</f>
        <v/>
      </c>
      <c r="H653" s="148">
        <f>IFERROR((F653*(1-Settings!$B$17)-C653)/(F653*(1-Settings!$B$17)),"")</f>
        <v/>
      </c>
      <c r="I653" s="149">
        <f>IFERROR(IF(F653="","",IF(F653&gt;=C653/(1-SKU_Base!Z653)/(1-Settings!$B$17),"OK",IF(F653&gt;=C653/(1-SKU_Base!AG653)/(1-Settings!$B$17),"WARN","STOP"))),"")</f>
        <v/>
      </c>
      <c r="J653" s="160">
        <f>IFERROR(ROUND(D653*(1-CHOOSE(MATCH(IF($E653="","Основний",$E653),{"Трафіковий","Основний","Маржинальний","Сезонний","Стратегічний"},0),Settings!$C$78,Settings!$C$80,Settings!$C$82,Settings!$C$84,Settings!$C$86))/6,2)*6,"")</f>
        <v/>
      </c>
      <c r="K653" s="142">
        <f>IFERROR(CHOOSE(MATCH(IF($E653="","Основний",$E653),{"Трафіковий","Основний","Маржинальний","Сезонний","Стратегічний"},0),Settings!$C$78,Settings!$C$80,Settings!$C$82,Settings!$C$84,Settings!$C$86),"")</f>
        <v/>
      </c>
      <c r="L653" s="148">
        <f>IFERROR((J653*(1-Settings!$C$17)-C653)/(J653*(1-Settings!$C$17)),"")</f>
        <v/>
      </c>
      <c r="M653" s="149">
        <f>IFERROR(IF(J653="","",IF(J653&gt;=C653/(1-SKU_Base!AA653)/(1-Settings!$C$17),"OK",IF(J653&gt;=C653/(1-SKU_Base!AH653)/(1-Settings!$C$17),"WARN","STOP"))),"")</f>
        <v/>
      </c>
      <c r="N653" s="161">
        <f>IFERROR(ROUND(D653*(1-CHOOSE(MATCH(IF($E653="","Основний",$E653),{"Трафіковий","Основний","Маржинальний","Сезонний","Стратегічний"},0),Settings!$D$78,Settings!$D$80,Settings!$D$82,Settings!$D$84,Settings!$D$86))/6,2)*6,"")</f>
        <v/>
      </c>
      <c r="O653" s="142">
        <f>IFERROR(CHOOSE(MATCH(IF($E653="","Основний",$E653),{"Трафіковий","Основний","Маржинальний","Сезонний","Стратегічний"},0),Settings!$D$78,Settings!$D$80,Settings!$D$82,Settings!$D$84,Settings!$D$86),"")</f>
        <v/>
      </c>
      <c r="P653" s="148">
        <f>IFERROR((N653*(1-Settings!$D$17)-C653)/(N653*(1-Settings!$D$17)),"")</f>
        <v/>
      </c>
      <c r="Q653" s="149">
        <f>IFERROR(IF(N653="","",IF(N653&gt;=C653/(1-SKU_Base!AB653)/(1-Settings!$D$17),"OK",IF(N653&gt;=C653/(1-SKU_Base!AI653)/(1-Settings!$D$17),"WARN","STOP"))),"")</f>
        <v/>
      </c>
      <c r="R653" s="161">
        <f>IFERROR(ROUND(D653*(1-CHOOSE(MATCH(IF($E653="","Основний",$E653),{"Трафіковий","Основний","Маржинальний","Сезонний","Стратегічний"},0),Settings!$E$78,Settings!$E$80,Settings!$E$82,Settings!$E$84,Settings!$E$86))/6,2)*6,"")</f>
        <v/>
      </c>
      <c r="S653" s="142">
        <f>IFERROR(CHOOSE(MATCH(IF($E653="","Основний",$E653),{"Трафіковий","Основний","Маржинальний","Сезонний","Стратегічний"},0),Settings!$E$78,Settings!$E$80,Settings!$E$82,Settings!$E$84,Settings!$E$86),"")</f>
        <v/>
      </c>
      <c r="T653" s="148">
        <f>IFERROR((R653*(1-Settings!$E$17)-C653)/(R653*(1-Settings!$E$17)),"")</f>
        <v/>
      </c>
      <c r="U653" s="149">
        <f>IFERROR(IF(R653="","",IF(R653&gt;=C653/(1-SKU_Base!AC653)/(1-Settings!$E$17),"OK",IF(R653&gt;=C653/(1-SKU_Base!AJ653)/(1-Settings!$E$17),"WARN","STOP"))),"")</f>
        <v/>
      </c>
      <c r="V653" s="161">
        <f>IFERROR(ROUND(D653*(1-CHOOSE(MATCH(IF($E653="","Основний",$E653),{"Трафіковий","Основний","Маржинальний","Сезонний","Стратегічний"},0),Settings!$F$78,Settings!$F$80,Settings!$F$82,Settings!$F$84,Settings!$F$86))/6,2)*6,"")</f>
        <v/>
      </c>
      <c r="W653" s="142">
        <f>IFERROR(CHOOSE(MATCH(IF($E653="","Основний",$E653),{"Трафіковий","Основний","Маржинальний","Сезонний","Стратегічний"},0),Settings!$F$78,Settings!$F$80,Settings!$F$82,Settings!$F$84,Settings!$F$86),"")</f>
        <v/>
      </c>
      <c r="X653" s="148">
        <f>IFERROR((V653*(1-Settings!$F$17)-C653)/(V653*(1-Settings!$F$17)),"")</f>
        <v/>
      </c>
      <c r="Y653" s="149">
        <f>IFERROR(IF(V653="","",IF(V653&gt;=C653/(1-SKU_Base!AD653)/(1-Settings!$F$17),"OK",IF(V653&gt;=C653/(1-SKU_Base!AK653)/(1-Settings!$F$17),"WARN","STOP"))),"")</f>
        <v/>
      </c>
      <c r="Z653" s="161">
        <f>IFERROR(ROUND(D653*(1-CHOOSE(MATCH(IF($E653="","Основний",$E653),{"Трафіковий","Основний","Маржинальний","Сезонний","Стратегічний"},0),Settings!$G$78,Settings!$G$80,Settings!$G$82,Settings!$G$84,Settings!$G$86))/6,2)*6,"")</f>
        <v/>
      </c>
      <c r="AA653" s="142">
        <f>IFERROR(CHOOSE(MATCH(IF($E653="","Основний",$E653),{"Трафіковий","Основний","Маржинальний","Сезонний","Стратегічний"},0),Settings!$G$78,Settings!$G$80,Settings!$G$82,Settings!$G$84,Settings!$G$86),"")</f>
        <v/>
      </c>
      <c r="AB653" s="148">
        <f>IFERROR((Z653*(1-Settings!$G$17)-C653)/(Z653*(1-Settings!$G$17)),"")</f>
        <v/>
      </c>
      <c r="AC653" s="149">
        <f>IFERROR(IF(Z653="","",IF(Z653&gt;=C653/(1-SKU_Base!AE653)/(1-Settings!$G$17),"OK",IF(Z653&gt;=C653/(1-SKU_Base!AL653)/(1-Settings!$G$17),"WARN","STOP"))),"")</f>
        <v/>
      </c>
      <c r="AD653" s="161">
        <f>IFERROR(ROUND(D653*(1-CHOOSE(MATCH(IF($E653="","Основний",$E653),{"Трафіковий","Основний","Маржинальний","Сезонний","Стратегічний"},0),Settings!$H$78,Settings!$H$80,Settings!$H$82,Settings!$H$84,Settings!$H$86))*(1-Settings!$H$68)/6,2)*6,"")</f>
        <v/>
      </c>
      <c r="AE653" s="142">
        <f>IFERROR(CHOOSE(MATCH(IF($E653="","Основний",$E653),{"Трафіковий","Основний","Маржинальний","Сезонний","Стратегічний"},0),Settings!$H$78,Settings!$H$80,Settings!$H$82,Settings!$H$84,Settings!$H$86)+(1-(CHOOSE(MATCH(IF($E653="","Основний",$E653),{"Трафіковий","Основний","Маржинальний","Сезонний","Стратегічний"},0),Settings!$H$78,Settings!$H$80,Settings!$H$82,Settings!$H$84,Settings!$H$86)))*Settings!$H$68,"")</f>
        <v/>
      </c>
      <c r="AF653" s="148">
        <f>IFERROR((AD653*(1-Settings!$H$17)-C653)/(AD653*(1-Settings!$H$17)),"")</f>
        <v/>
      </c>
      <c r="AG653" s="150">
        <f>IFERROR(IF(AD653="","",IF(AD653&gt;=C653/(1-SKU_Base!AF653)/(1-Settings!$H$17),"OK",IF(AD653&gt;=C653/(1-SKU_Base!AM653)/(1-Settings!$H$17),"WARN","STOP"))),"")</f>
        <v/>
      </c>
    </row>
    <row r="654" ht="17" customHeight="1" s="179">
      <c r="A654" s="139">
        <f>SKU_Base!B654</f>
        <v/>
      </c>
      <c r="B654" s="139">
        <f>SKU_Base!C654</f>
        <v/>
      </c>
      <c r="C654" s="140">
        <f>IFERROR(SKU_Base!I654,"")</f>
        <v/>
      </c>
      <c r="D654" s="163">
        <f>IFERROR(SKU_Base!T654,"")</f>
        <v/>
      </c>
      <c r="E654" s="141">
        <f>IFERROR(SKU_Base!$U654,"")</f>
        <v/>
      </c>
      <c r="F654" s="158">
        <f>IFERROR(ROUND(D654*(1-CHOOSE(MATCH(IF($E654="","Основний",$E654),{"Трафіковий","Основний","Маржинальний","Сезонний","Стратегічний"},0),Settings!$B$78,Settings!$B$80,Settings!$B$82,Settings!$B$84,Settings!$B$86))/6,2)*6,"")</f>
        <v/>
      </c>
      <c r="G654" s="142">
        <f>IFERROR(CHOOSE(MATCH(IF($E654="","Основний",$E654),{"Трафіковий","Основний","Маржинальний","Сезонний","Стратегічний"},0),Settings!$B$78,Settings!$B$80,Settings!$B$82,Settings!$B$84,Settings!$B$86),"")</f>
        <v/>
      </c>
      <c r="H654" s="143">
        <f>IFERROR((F654*(1-Settings!$B$17)-C654)/(F654*(1-Settings!$B$17)),"")</f>
        <v/>
      </c>
      <c r="I654" s="149">
        <f>IFERROR(IF(F654="","",IF(F654&gt;=C654/(1-SKU_Base!Z654)/(1-Settings!$B$17),"OK",IF(F654&gt;=C654/(1-SKU_Base!AG654)/(1-Settings!$B$17),"WARN","STOP"))),"")</f>
        <v/>
      </c>
      <c r="J654" s="158">
        <f>IFERROR(ROUND(D654*(1-CHOOSE(MATCH(IF($E654="","Основний",$E654),{"Трафіковий","Основний","Маржинальний","Сезонний","Стратегічний"},0),Settings!$C$78,Settings!$C$80,Settings!$C$82,Settings!$C$84,Settings!$C$86))/6,2)*6,"")</f>
        <v/>
      </c>
      <c r="K654" s="142">
        <f>IFERROR(CHOOSE(MATCH(IF($E654="","Основний",$E654),{"Трафіковий","Основний","Маржинальний","Сезонний","Стратегічний"},0),Settings!$C$78,Settings!$C$80,Settings!$C$82,Settings!$C$84,Settings!$C$86),"")</f>
        <v/>
      </c>
      <c r="L654" s="143">
        <f>IFERROR((J654*(1-Settings!$C$17)-C654)/(J654*(1-Settings!$C$17)),"")</f>
        <v/>
      </c>
      <c r="M654" s="149">
        <f>IFERROR(IF(J654="","",IF(J654&gt;=C654/(1-SKU_Base!AA654)/(1-Settings!$C$17),"OK",IF(J654&gt;=C654/(1-SKU_Base!AH654)/(1-Settings!$C$17),"WARN","STOP"))),"")</f>
        <v/>
      </c>
      <c r="N654" s="159">
        <f>IFERROR(ROUND(D654*(1-CHOOSE(MATCH(IF($E654="","Основний",$E654),{"Трафіковий","Основний","Маржинальний","Сезонний","Стратегічний"},0),Settings!$D$78,Settings!$D$80,Settings!$D$82,Settings!$D$84,Settings!$D$86))/6,2)*6,"")</f>
        <v/>
      </c>
      <c r="O654" s="142">
        <f>IFERROR(CHOOSE(MATCH(IF($E654="","Основний",$E654),{"Трафіковий","Основний","Маржинальний","Сезонний","Стратегічний"},0),Settings!$D$78,Settings!$D$80,Settings!$D$82,Settings!$D$84,Settings!$D$86),"")</f>
        <v/>
      </c>
      <c r="P654" s="143">
        <f>IFERROR((N654*(1-Settings!$D$17)-C654)/(N654*(1-Settings!$D$17)),"")</f>
        <v/>
      </c>
      <c r="Q654" s="149">
        <f>IFERROR(IF(N654="","",IF(N654&gt;=C654/(1-SKU_Base!AB654)/(1-Settings!$D$17),"OK",IF(N654&gt;=C654/(1-SKU_Base!AI654)/(1-Settings!$D$17),"WARN","STOP"))),"")</f>
        <v/>
      </c>
      <c r="R654" s="159">
        <f>IFERROR(ROUND(D654*(1-CHOOSE(MATCH(IF($E654="","Основний",$E654),{"Трафіковий","Основний","Маржинальний","Сезонний","Стратегічний"},0),Settings!$E$78,Settings!$E$80,Settings!$E$82,Settings!$E$84,Settings!$E$86))/6,2)*6,"")</f>
        <v/>
      </c>
      <c r="S654" s="142">
        <f>IFERROR(CHOOSE(MATCH(IF($E654="","Основний",$E654),{"Трафіковий","Основний","Маржинальний","Сезонний","Стратегічний"},0),Settings!$E$78,Settings!$E$80,Settings!$E$82,Settings!$E$84,Settings!$E$86),"")</f>
        <v/>
      </c>
      <c r="T654" s="143">
        <f>IFERROR((R654*(1-Settings!$E$17)-C654)/(R654*(1-Settings!$E$17)),"")</f>
        <v/>
      </c>
      <c r="U654" s="149">
        <f>IFERROR(IF(R654="","",IF(R654&gt;=C654/(1-SKU_Base!AC654)/(1-Settings!$E$17),"OK",IF(R654&gt;=C654/(1-SKU_Base!AJ654)/(1-Settings!$E$17),"WARN","STOP"))),"")</f>
        <v/>
      </c>
      <c r="V654" s="159">
        <f>IFERROR(ROUND(D654*(1-CHOOSE(MATCH(IF($E654="","Основний",$E654),{"Трафіковий","Основний","Маржинальний","Сезонний","Стратегічний"},0),Settings!$F$78,Settings!$F$80,Settings!$F$82,Settings!$F$84,Settings!$F$86))/6,2)*6,"")</f>
        <v/>
      </c>
      <c r="W654" s="142">
        <f>IFERROR(CHOOSE(MATCH(IF($E654="","Основний",$E654),{"Трафіковий","Основний","Маржинальний","Сезонний","Стратегічний"},0),Settings!$F$78,Settings!$F$80,Settings!$F$82,Settings!$F$84,Settings!$F$86),"")</f>
        <v/>
      </c>
      <c r="X654" s="143">
        <f>IFERROR((V654*(1-Settings!$F$17)-C654)/(V654*(1-Settings!$F$17)),"")</f>
        <v/>
      </c>
      <c r="Y654" s="149">
        <f>IFERROR(IF(V654="","",IF(V654&gt;=C654/(1-SKU_Base!AD654)/(1-Settings!$F$17),"OK",IF(V654&gt;=C654/(1-SKU_Base!AK654)/(1-Settings!$F$17),"WARN","STOP"))),"")</f>
        <v/>
      </c>
      <c r="Z654" s="159">
        <f>IFERROR(ROUND(D654*(1-CHOOSE(MATCH(IF($E654="","Основний",$E654),{"Трафіковий","Основний","Маржинальний","Сезонний","Стратегічний"},0),Settings!$G$78,Settings!$G$80,Settings!$G$82,Settings!$G$84,Settings!$G$86))/6,2)*6,"")</f>
        <v/>
      </c>
      <c r="AA654" s="142">
        <f>IFERROR(CHOOSE(MATCH(IF($E654="","Основний",$E654),{"Трафіковий","Основний","Маржинальний","Сезонний","Стратегічний"},0),Settings!$G$78,Settings!$G$80,Settings!$G$82,Settings!$G$84,Settings!$G$86),"")</f>
        <v/>
      </c>
      <c r="AB654" s="143">
        <f>IFERROR((Z654*(1-Settings!$G$17)-C654)/(Z654*(1-Settings!$G$17)),"")</f>
        <v/>
      </c>
      <c r="AC654" s="149">
        <f>IFERROR(IF(Z654="","",IF(Z654&gt;=C654/(1-SKU_Base!AE654)/(1-Settings!$G$17),"OK",IF(Z654&gt;=C654/(1-SKU_Base!AL654)/(1-Settings!$G$17),"WARN","STOP"))),"")</f>
        <v/>
      </c>
      <c r="AD654" s="159">
        <f>IFERROR(ROUND(D654*(1-CHOOSE(MATCH(IF($E654="","Основний",$E654),{"Трафіковий","Основний","Маржинальний","Сезонний","Стратегічний"},0),Settings!$H$78,Settings!$H$80,Settings!$H$82,Settings!$H$84,Settings!$H$86))*(1-Settings!$H$68)/6,2)*6,"")</f>
        <v/>
      </c>
      <c r="AE654" s="142">
        <f>IFERROR(CHOOSE(MATCH(IF($E654="","Основний",$E654),{"Трафіковий","Основний","Маржинальний","Сезонний","Стратегічний"},0),Settings!$H$78,Settings!$H$80,Settings!$H$82,Settings!$H$84,Settings!$H$86)+(1-(CHOOSE(MATCH(IF($E654="","Основний",$E654),{"Трафіковий","Основний","Маржинальний","Сезонний","Стратегічний"},0),Settings!$H$78,Settings!$H$80,Settings!$H$82,Settings!$H$84,Settings!$H$86)))*Settings!$H$68,"")</f>
        <v/>
      </c>
      <c r="AF654" s="143">
        <f>IFERROR((AD654*(1-Settings!$H$17)-C654)/(AD654*(1-Settings!$H$17)),"")</f>
        <v/>
      </c>
      <c r="AG654" s="150">
        <f>IFERROR(IF(AD654="","",IF(AD654&gt;=C654/(1-SKU_Base!AF654)/(1-Settings!$H$17),"OK",IF(AD654&gt;=C654/(1-SKU_Base!AM654)/(1-Settings!$H$17),"WARN","STOP"))),"")</f>
        <v/>
      </c>
    </row>
    <row r="655" ht="17" customHeight="1" s="179">
      <c r="A655" s="146">
        <f>SKU_Base!B655</f>
        <v/>
      </c>
      <c r="B655" s="146">
        <f>SKU_Base!C655</f>
        <v/>
      </c>
      <c r="C655" s="147">
        <f>IFERROR(SKU_Base!I655,"")</f>
        <v/>
      </c>
      <c r="D655" s="164">
        <f>IFERROR(SKU_Base!T655,"")</f>
        <v/>
      </c>
      <c r="E655" s="141">
        <f>IFERROR(SKU_Base!$U655,"")</f>
        <v/>
      </c>
      <c r="F655" s="160">
        <f>IFERROR(ROUND(D655*(1-CHOOSE(MATCH(IF($E655="","Основний",$E655),{"Трафіковий","Основний","Маржинальний","Сезонний","Стратегічний"},0),Settings!$B$78,Settings!$B$80,Settings!$B$82,Settings!$B$84,Settings!$B$86))/6,2)*6,"")</f>
        <v/>
      </c>
      <c r="G655" s="142">
        <f>IFERROR(CHOOSE(MATCH(IF($E655="","Основний",$E655),{"Трафіковий","Основний","Маржинальний","Сезонний","Стратегічний"},0),Settings!$B$78,Settings!$B$80,Settings!$B$82,Settings!$B$84,Settings!$B$86),"")</f>
        <v/>
      </c>
      <c r="H655" s="148">
        <f>IFERROR((F655*(1-Settings!$B$17)-C655)/(F655*(1-Settings!$B$17)),"")</f>
        <v/>
      </c>
      <c r="I655" s="149">
        <f>IFERROR(IF(F655="","",IF(F655&gt;=C655/(1-SKU_Base!Z655)/(1-Settings!$B$17),"OK",IF(F655&gt;=C655/(1-SKU_Base!AG655)/(1-Settings!$B$17),"WARN","STOP"))),"")</f>
        <v/>
      </c>
      <c r="J655" s="160">
        <f>IFERROR(ROUND(D655*(1-CHOOSE(MATCH(IF($E655="","Основний",$E655),{"Трафіковий","Основний","Маржинальний","Сезонний","Стратегічний"},0),Settings!$C$78,Settings!$C$80,Settings!$C$82,Settings!$C$84,Settings!$C$86))/6,2)*6,"")</f>
        <v/>
      </c>
      <c r="K655" s="142">
        <f>IFERROR(CHOOSE(MATCH(IF($E655="","Основний",$E655),{"Трафіковий","Основний","Маржинальний","Сезонний","Стратегічний"},0),Settings!$C$78,Settings!$C$80,Settings!$C$82,Settings!$C$84,Settings!$C$86),"")</f>
        <v/>
      </c>
      <c r="L655" s="148">
        <f>IFERROR((J655*(1-Settings!$C$17)-C655)/(J655*(1-Settings!$C$17)),"")</f>
        <v/>
      </c>
      <c r="M655" s="149">
        <f>IFERROR(IF(J655="","",IF(J655&gt;=C655/(1-SKU_Base!AA655)/(1-Settings!$C$17),"OK",IF(J655&gt;=C655/(1-SKU_Base!AH655)/(1-Settings!$C$17),"WARN","STOP"))),"")</f>
        <v/>
      </c>
      <c r="N655" s="161">
        <f>IFERROR(ROUND(D655*(1-CHOOSE(MATCH(IF($E655="","Основний",$E655),{"Трафіковий","Основний","Маржинальний","Сезонний","Стратегічний"},0),Settings!$D$78,Settings!$D$80,Settings!$D$82,Settings!$D$84,Settings!$D$86))/6,2)*6,"")</f>
        <v/>
      </c>
      <c r="O655" s="142">
        <f>IFERROR(CHOOSE(MATCH(IF($E655="","Основний",$E655),{"Трафіковий","Основний","Маржинальний","Сезонний","Стратегічний"},0),Settings!$D$78,Settings!$D$80,Settings!$D$82,Settings!$D$84,Settings!$D$86),"")</f>
        <v/>
      </c>
      <c r="P655" s="148">
        <f>IFERROR((N655*(1-Settings!$D$17)-C655)/(N655*(1-Settings!$D$17)),"")</f>
        <v/>
      </c>
      <c r="Q655" s="149">
        <f>IFERROR(IF(N655="","",IF(N655&gt;=C655/(1-SKU_Base!AB655)/(1-Settings!$D$17),"OK",IF(N655&gt;=C655/(1-SKU_Base!AI655)/(1-Settings!$D$17),"WARN","STOP"))),"")</f>
        <v/>
      </c>
      <c r="R655" s="161">
        <f>IFERROR(ROUND(D655*(1-CHOOSE(MATCH(IF($E655="","Основний",$E655),{"Трафіковий","Основний","Маржинальний","Сезонний","Стратегічний"},0),Settings!$E$78,Settings!$E$80,Settings!$E$82,Settings!$E$84,Settings!$E$86))/6,2)*6,"")</f>
        <v/>
      </c>
      <c r="S655" s="142">
        <f>IFERROR(CHOOSE(MATCH(IF($E655="","Основний",$E655),{"Трафіковий","Основний","Маржинальний","Сезонний","Стратегічний"},0),Settings!$E$78,Settings!$E$80,Settings!$E$82,Settings!$E$84,Settings!$E$86),"")</f>
        <v/>
      </c>
      <c r="T655" s="148">
        <f>IFERROR((R655*(1-Settings!$E$17)-C655)/(R655*(1-Settings!$E$17)),"")</f>
        <v/>
      </c>
      <c r="U655" s="149">
        <f>IFERROR(IF(R655="","",IF(R655&gt;=C655/(1-SKU_Base!AC655)/(1-Settings!$E$17),"OK",IF(R655&gt;=C655/(1-SKU_Base!AJ655)/(1-Settings!$E$17),"WARN","STOP"))),"")</f>
        <v/>
      </c>
      <c r="V655" s="161">
        <f>IFERROR(ROUND(D655*(1-CHOOSE(MATCH(IF($E655="","Основний",$E655),{"Трафіковий","Основний","Маржинальний","Сезонний","Стратегічний"},0),Settings!$F$78,Settings!$F$80,Settings!$F$82,Settings!$F$84,Settings!$F$86))/6,2)*6,"")</f>
        <v/>
      </c>
      <c r="W655" s="142">
        <f>IFERROR(CHOOSE(MATCH(IF($E655="","Основний",$E655),{"Трафіковий","Основний","Маржинальний","Сезонний","Стратегічний"},0),Settings!$F$78,Settings!$F$80,Settings!$F$82,Settings!$F$84,Settings!$F$86),"")</f>
        <v/>
      </c>
      <c r="X655" s="148">
        <f>IFERROR((V655*(1-Settings!$F$17)-C655)/(V655*(1-Settings!$F$17)),"")</f>
        <v/>
      </c>
      <c r="Y655" s="149">
        <f>IFERROR(IF(V655="","",IF(V655&gt;=C655/(1-SKU_Base!AD655)/(1-Settings!$F$17),"OK",IF(V655&gt;=C655/(1-SKU_Base!AK655)/(1-Settings!$F$17),"WARN","STOP"))),"")</f>
        <v/>
      </c>
      <c r="Z655" s="161">
        <f>IFERROR(ROUND(D655*(1-CHOOSE(MATCH(IF($E655="","Основний",$E655),{"Трафіковий","Основний","Маржинальний","Сезонний","Стратегічний"},0),Settings!$G$78,Settings!$G$80,Settings!$G$82,Settings!$G$84,Settings!$G$86))/6,2)*6,"")</f>
        <v/>
      </c>
      <c r="AA655" s="142">
        <f>IFERROR(CHOOSE(MATCH(IF($E655="","Основний",$E655),{"Трафіковий","Основний","Маржинальний","Сезонний","Стратегічний"},0),Settings!$G$78,Settings!$G$80,Settings!$G$82,Settings!$G$84,Settings!$G$86),"")</f>
        <v/>
      </c>
      <c r="AB655" s="148">
        <f>IFERROR((Z655*(1-Settings!$G$17)-C655)/(Z655*(1-Settings!$G$17)),"")</f>
        <v/>
      </c>
      <c r="AC655" s="149">
        <f>IFERROR(IF(Z655="","",IF(Z655&gt;=C655/(1-SKU_Base!AE655)/(1-Settings!$G$17),"OK",IF(Z655&gt;=C655/(1-SKU_Base!AL655)/(1-Settings!$G$17),"WARN","STOP"))),"")</f>
        <v/>
      </c>
      <c r="AD655" s="161">
        <f>IFERROR(ROUND(D655*(1-CHOOSE(MATCH(IF($E655="","Основний",$E655),{"Трафіковий","Основний","Маржинальний","Сезонний","Стратегічний"},0),Settings!$H$78,Settings!$H$80,Settings!$H$82,Settings!$H$84,Settings!$H$86))*(1-Settings!$H$68)/6,2)*6,"")</f>
        <v/>
      </c>
      <c r="AE655" s="142">
        <f>IFERROR(CHOOSE(MATCH(IF($E655="","Основний",$E655),{"Трафіковий","Основний","Маржинальний","Сезонний","Стратегічний"},0),Settings!$H$78,Settings!$H$80,Settings!$H$82,Settings!$H$84,Settings!$H$86)+(1-(CHOOSE(MATCH(IF($E655="","Основний",$E655),{"Трафіковий","Основний","Маржинальний","Сезонний","Стратегічний"},0),Settings!$H$78,Settings!$H$80,Settings!$H$82,Settings!$H$84,Settings!$H$86)))*Settings!$H$68,"")</f>
        <v/>
      </c>
      <c r="AF655" s="148">
        <f>IFERROR((AD655*(1-Settings!$H$17)-C655)/(AD655*(1-Settings!$H$17)),"")</f>
        <v/>
      </c>
      <c r="AG655" s="150">
        <f>IFERROR(IF(AD655="","",IF(AD655&gt;=C655/(1-SKU_Base!AF655)/(1-Settings!$H$17),"OK",IF(AD655&gt;=C655/(1-SKU_Base!AM655)/(1-Settings!$H$17),"WARN","STOP"))),"")</f>
        <v/>
      </c>
    </row>
    <row r="656" ht="17" customHeight="1" s="179">
      <c r="A656" s="139">
        <f>SKU_Base!B656</f>
        <v/>
      </c>
      <c r="B656" s="139">
        <f>SKU_Base!C656</f>
        <v/>
      </c>
      <c r="C656" s="140">
        <f>IFERROR(SKU_Base!I656,"")</f>
        <v/>
      </c>
      <c r="D656" s="163">
        <f>IFERROR(SKU_Base!T656,"")</f>
        <v/>
      </c>
      <c r="E656" s="141">
        <f>IFERROR(SKU_Base!$U656,"")</f>
        <v/>
      </c>
      <c r="F656" s="158">
        <f>IFERROR(ROUND(D656*(1-CHOOSE(MATCH(IF($E656="","Основний",$E656),{"Трафіковий","Основний","Маржинальний","Сезонний","Стратегічний"},0),Settings!$B$78,Settings!$B$80,Settings!$B$82,Settings!$B$84,Settings!$B$86))/6,2)*6,"")</f>
        <v/>
      </c>
      <c r="G656" s="142">
        <f>IFERROR(CHOOSE(MATCH(IF($E656="","Основний",$E656),{"Трафіковий","Основний","Маржинальний","Сезонний","Стратегічний"},0),Settings!$B$78,Settings!$B$80,Settings!$B$82,Settings!$B$84,Settings!$B$86),"")</f>
        <v/>
      </c>
      <c r="H656" s="143">
        <f>IFERROR((F656*(1-Settings!$B$17)-C656)/(F656*(1-Settings!$B$17)),"")</f>
        <v/>
      </c>
      <c r="I656" s="149">
        <f>IFERROR(IF(F656="","",IF(F656&gt;=C656/(1-SKU_Base!Z656)/(1-Settings!$B$17),"OK",IF(F656&gt;=C656/(1-SKU_Base!AG656)/(1-Settings!$B$17),"WARN","STOP"))),"")</f>
        <v/>
      </c>
      <c r="J656" s="158">
        <f>IFERROR(ROUND(D656*(1-CHOOSE(MATCH(IF($E656="","Основний",$E656),{"Трафіковий","Основний","Маржинальний","Сезонний","Стратегічний"},0),Settings!$C$78,Settings!$C$80,Settings!$C$82,Settings!$C$84,Settings!$C$86))/6,2)*6,"")</f>
        <v/>
      </c>
      <c r="K656" s="142">
        <f>IFERROR(CHOOSE(MATCH(IF($E656="","Основний",$E656),{"Трафіковий","Основний","Маржинальний","Сезонний","Стратегічний"},0),Settings!$C$78,Settings!$C$80,Settings!$C$82,Settings!$C$84,Settings!$C$86),"")</f>
        <v/>
      </c>
      <c r="L656" s="143">
        <f>IFERROR((J656*(1-Settings!$C$17)-C656)/(J656*(1-Settings!$C$17)),"")</f>
        <v/>
      </c>
      <c r="M656" s="149">
        <f>IFERROR(IF(J656="","",IF(J656&gt;=C656/(1-SKU_Base!AA656)/(1-Settings!$C$17),"OK",IF(J656&gt;=C656/(1-SKU_Base!AH656)/(1-Settings!$C$17),"WARN","STOP"))),"")</f>
        <v/>
      </c>
      <c r="N656" s="159">
        <f>IFERROR(ROUND(D656*(1-CHOOSE(MATCH(IF($E656="","Основний",$E656),{"Трафіковий","Основний","Маржинальний","Сезонний","Стратегічний"},0),Settings!$D$78,Settings!$D$80,Settings!$D$82,Settings!$D$84,Settings!$D$86))/6,2)*6,"")</f>
        <v/>
      </c>
      <c r="O656" s="142">
        <f>IFERROR(CHOOSE(MATCH(IF($E656="","Основний",$E656),{"Трафіковий","Основний","Маржинальний","Сезонний","Стратегічний"},0),Settings!$D$78,Settings!$D$80,Settings!$D$82,Settings!$D$84,Settings!$D$86),"")</f>
        <v/>
      </c>
      <c r="P656" s="143">
        <f>IFERROR((N656*(1-Settings!$D$17)-C656)/(N656*(1-Settings!$D$17)),"")</f>
        <v/>
      </c>
      <c r="Q656" s="149">
        <f>IFERROR(IF(N656="","",IF(N656&gt;=C656/(1-SKU_Base!AB656)/(1-Settings!$D$17),"OK",IF(N656&gt;=C656/(1-SKU_Base!AI656)/(1-Settings!$D$17),"WARN","STOP"))),"")</f>
        <v/>
      </c>
      <c r="R656" s="159">
        <f>IFERROR(ROUND(D656*(1-CHOOSE(MATCH(IF($E656="","Основний",$E656),{"Трафіковий","Основний","Маржинальний","Сезонний","Стратегічний"},0),Settings!$E$78,Settings!$E$80,Settings!$E$82,Settings!$E$84,Settings!$E$86))/6,2)*6,"")</f>
        <v/>
      </c>
      <c r="S656" s="142">
        <f>IFERROR(CHOOSE(MATCH(IF($E656="","Основний",$E656),{"Трафіковий","Основний","Маржинальний","Сезонний","Стратегічний"},0),Settings!$E$78,Settings!$E$80,Settings!$E$82,Settings!$E$84,Settings!$E$86),"")</f>
        <v/>
      </c>
      <c r="T656" s="143">
        <f>IFERROR((R656*(1-Settings!$E$17)-C656)/(R656*(1-Settings!$E$17)),"")</f>
        <v/>
      </c>
      <c r="U656" s="149">
        <f>IFERROR(IF(R656="","",IF(R656&gt;=C656/(1-SKU_Base!AC656)/(1-Settings!$E$17),"OK",IF(R656&gt;=C656/(1-SKU_Base!AJ656)/(1-Settings!$E$17),"WARN","STOP"))),"")</f>
        <v/>
      </c>
      <c r="V656" s="159">
        <f>IFERROR(ROUND(D656*(1-CHOOSE(MATCH(IF($E656="","Основний",$E656),{"Трафіковий","Основний","Маржинальний","Сезонний","Стратегічний"},0),Settings!$F$78,Settings!$F$80,Settings!$F$82,Settings!$F$84,Settings!$F$86))/6,2)*6,"")</f>
        <v/>
      </c>
      <c r="W656" s="142">
        <f>IFERROR(CHOOSE(MATCH(IF($E656="","Основний",$E656),{"Трафіковий","Основний","Маржинальний","Сезонний","Стратегічний"},0),Settings!$F$78,Settings!$F$80,Settings!$F$82,Settings!$F$84,Settings!$F$86),"")</f>
        <v/>
      </c>
      <c r="X656" s="143">
        <f>IFERROR((V656*(1-Settings!$F$17)-C656)/(V656*(1-Settings!$F$17)),"")</f>
        <v/>
      </c>
      <c r="Y656" s="149">
        <f>IFERROR(IF(V656="","",IF(V656&gt;=C656/(1-SKU_Base!AD656)/(1-Settings!$F$17),"OK",IF(V656&gt;=C656/(1-SKU_Base!AK656)/(1-Settings!$F$17),"WARN","STOP"))),"")</f>
        <v/>
      </c>
      <c r="Z656" s="159">
        <f>IFERROR(ROUND(D656*(1-CHOOSE(MATCH(IF($E656="","Основний",$E656),{"Трафіковий","Основний","Маржинальний","Сезонний","Стратегічний"},0),Settings!$G$78,Settings!$G$80,Settings!$G$82,Settings!$G$84,Settings!$G$86))/6,2)*6,"")</f>
        <v/>
      </c>
      <c r="AA656" s="142">
        <f>IFERROR(CHOOSE(MATCH(IF($E656="","Основний",$E656),{"Трафіковий","Основний","Маржинальний","Сезонний","Стратегічний"},0),Settings!$G$78,Settings!$G$80,Settings!$G$82,Settings!$G$84,Settings!$G$86),"")</f>
        <v/>
      </c>
      <c r="AB656" s="143">
        <f>IFERROR((Z656*(1-Settings!$G$17)-C656)/(Z656*(1-Settings!$G$17)),"")</f>
        <v/>
      </c>
      <c r="AC656" s="149">
        <f>IFERROR(IF(Z656="","",IF(Z656&gt;=C656/(1-SKU_Base!AE656)/(1-Settings!$G$17),"OK",IF(Z656&gt;=C656/(1-SKU_Base!AL656)/(1-Settings!$G$17),"WARN","STOP"))),"")</f>
        <v/>
      </c>
      <c r="AD656" s="159">
        <f>IFERROR(ROUND(D656*(1-CHOOSE(MATCH(IF($E656="","Основний",$E656),{"Трафіковий","Основний","Маржинальний","Сезонний","Стратегічний"},0),Settings!$H$78,Settings!$H$80,Settings!$H$82,Settings!$H$84,Settings!$H$86))*(1-Settings!$H$68)/6,2)*6,"")</f>
        <v/>
      </c>
      <c r="AE656" s="142">
        <f>IFERROR(CHOOSE(MATCH(IF($E656="","Основний",$E656),{"Трафіковий","Основний","Маржинальний","Сезонний","Стратегічний"},0),Settings!$H$78,Settings!$H$80,Settings!$H$82,Settings!$H$84,Settings!$H$86)+(1-(CHOOSE(MATCH(IF($E656="","Основний",$E656),{"Трафіковий","Основний","Маржинальний","Сезонний","Стратегічний"},0),Settings!$H$78,Settings!$H$80,Settings!$H$82,Settings!$H$84,Settings!$H$86)))*Settings!$H$68,"")</f>
        <v/>
      </c>
      <c r="AF656" s="143">
        <f>IFERROR((AD656*(1-Settings!$H$17)-C656)/(AD656*(1-Settings!$H$17)),"")</f>
        <v/>
      </c>
      <c r="AG656" s="150">
        <f>IFERROR(IF(AD656="","",IF(AD656&gt;=C656/(1-SKU_Base!AF656)/(1-Settings!$H$17),"OK",IF(AD656&gt;=C656/(1-SKU_Base!AM656)/(1-Settings!$H$17),"WARN","STOP"))),"")</f>
        <v/>
      </c>
    </row>
    <row r="657" ht="17" customHeight="1" s="179">
      <c r="A657" s="146">
        <f>SKU_Base!B657</f>
        <v/>
      </c>
      <c r="B657" s="146">
        <f>SKU_Base!C657</f>
        <v/>
      </c>
      <c r="C657" s="147">
        <f>IFERROR(SKU_Base!I657,"")</f>
        <v/>
      </c>
      <c r="D657" s="164">
        <f>IFERROR(SKU_Base!T657,"")</f>
        <v/>
      </c>
      <c r="E657" s="141">
        <f>IFERROR(SKU_Base!$U657,"")</f>
        <v/>
      </c>
      <c r="F657" s="160">
        <f>IFERROR(ROUND(D657*(1-CHOOSE(MATCH(IF($E657="","Основний",$E657),{"Трафіковий","Основний","Маржинальний","Сезонний","Стратегічний"},0),Settings!$B$78,Settings!$B$80,Settings!$B$82,Settings!$B$84,Settings!$B$86))/6,2)*6,"")</f>
        <v/>
      </c>
      <c r="G657" s="142">
        <f>IFERROR(CHOOSE(MATCH(IF($E657="","Основний",$E657),{"Трафіковий","Основний","Маржинальний","Сезонний","Стратегічний"},0),Settings!$B$78,Settings!$B$80,Settings!$B$82,Settings!$B$84,Settings!$B$86),"")</f>
        <v/>
      </c>
      <c r="H657" s="148">
        <f>IFERROR((F657*(1-Settings!$B$17)-C657)/(F657*(1-Settings!$B$17)),"")</f>
        <v/>
      </c>
      <c r="I657" s="149">
        <f>IFERROR(IF(F657="","",IF(F657&gt;=C657/(1-SKU_Base!Z657)/(1-Settings!$B$17),"OK",IF(F657&gt;=C657/(1-SKU_Base!AG657)/(1-Settings!$B$17),"WARN","STOP"))),"")</f>
        <v/>
      </c>
      <c r="J657" s="160">
        <f>IFERROR(ROUND(D657*(1-CHOOSE(MATCH(IF($E657="","Основний",$E657),{"Трафіковий","Основний","Маржинальний","Сезонний","Стратегічний"},0),Settings!$C$78,Settings!$C$80,Settings!$C$82,Settings!$C$84,Settings!$C$86))/6,2)*6,"")</f>
        <v/>
      </c>
      <c r="K657" s="142">
        <f>IFERROR(CHOOSE(MATCH(IF($E657="","Основний",$E657),{"Трафіковий","Основний","Маржинальний","Сезонний","Стратегічний"},0),Settings!$C$78,Settings!$C$80,Settings!$C$82,Settings!$C$84,Settings!$C$86),"")</f>
        <v/>
      </c>
      <c r="L657" s="148">
        <f>IFERROR((J657*(1-Settings!$C$17)-C657)/(J657*(1-Settings!$C$17)),"")</f>
        <v/>
      </c>
      <c r="M657" s="149">
        <f>IFERROR(IF(J657="","",IF(J657&gt;=C657/(1-SKU_Base!AA657)/(1-Settings!$C$17),"OK",IF(J657&gt;=C657/(1-SKU_Base!AH657)/(1-Settings!$C$17),"WARN","STOP"))),"")</f>
        <v/>
      </c>
      <c r="N657" s="161">
        <f>IFERROR(ROUND(D657*(1-CHOOSE(MATCH(IF($E657="","Основний",$E657),{"Трафіковий","Основний","Маржинальний","Сезонний","Стратегічний"},0),Settings!$D$78,Settings!$D$80,Settings!$D$82,Settings!$D$84,Settings!$D$86))/6,2)*6,"")</f>
        <v/>
      </c>
      <c r="O657" s="142">
        <f>IFERROR(CHOOSE(MATCH(IF($E657="","Основний",$E657),{"Трафіковий","Основний","Маржинальний","Сезонний","Стратегічний"},0),Settings!$D$78,Settings!$D$80,Settings!$D$82,Settings!$D$84,Settings!$D$86),"")</f>
        <v/>
      </c>
      <c r="P657" s="148">
        <f>IFERROR((N657*(1-Settings!$D$17)-C657)/(N657*(1-Settings!$D$17)),"")</f>
        <v/>
      </c>
      <c r="Q657" s="149">
        <f>IFERROR(IF(N657="","",IF(N657&gt;=C657/(1-SKU_Base!AB657)/(1-Settings!$D$17),"OK",IF(N657&gt;=C657/(1-SKU_Base!AI657)/(1-Settings!$D$17),"WARN","STOP"))),"")</f>
        <v/>
      </c>
      <c r="R657" s="161">
        <f>IFERROR(ROUND(D657*(1-CHOOSE(MATCH(IF($E657="","Основний",$E657),{"Трафіковий","Основний","Маржинальний","Сезонний","Стратегічний"},0),Settings!$E$78,Settings!$E$80,Settings!$E$82,Settings!$E$84,Settings!$E$86))/6,2)*6,"")</f>
        <v/>
      </c>
      <c r="S657" s="142">
        <f>IFERROR(CHOOSE(MATCH(IF($E657="","Основний",$E657),{"Трафіковий","Основний","Маржинальний","Сезонний","Стратегічний"},0),Settings!$E$78,Settings!$E$80,Settings!$E$82,Settings!$E$84,Settings!$E$86),"")</f>
        <v/>
      </c>
      <c r="T657" s="148">
        <f>IFERROR((R657*(1-Settings!$E$17)-C657)/(R657*(1-Settings!$E$17)),"")</f>
        <v/>
      </c>
      <c r="U657" s="149">
        <f>IFERROR(IF(R657="","",IF(R657&gt;=C657/(1-SKU_Base!AC657)/(1-Settings!$E$17),"OK",IF(R657&gt;=C657/(1-SKU_Base!AJ657)/(1-Settings!$E$17),"WARN","STOP"))),"")</f>
        <v/>
      </c>
      <c r="V657" s="161">
        <f>IFERROR(ROUND(D657*(1-CHOOSE(MATCH(IF($E657="","Основний",$E657),{"Трафіковий","Основний","Маржинальний","Сезонний","Стратегічний"},0),Settings!$F$78,Settings!$F$80,Settings!$F$82,Settings!$F$84,Settings!$F$86))/6,2)*6,"")</f>
        <v/>
      </c>
      <c r="W657" s="142">
        <f>IFERROR(CHOOSE(MATCH(IF($E657="","Основний",$E657),{"Трафіковий","Основний","Маржинальний","Сезонний","Стратегічний"},0),Settings!$F$78,Settings!$F$80,Settings!$F$82,Settings!$F$84,Settings!$F$86),"")</f>
        <v/>
      </c>
      <c r="X657" s="148">
        <f>IFERROR((V657*(1-Settings!$F$17)-C657)/(V657*(1-Settings!$F$17)),"")</f>
        <v/>
      </c>
      <c r="Y657" s="149">
        <f>IFERROR(IF(V657="","",IF(V657&gt;=C657/(1-SKU_Base!AD657)/(1-Settings!$F$17),"OK",IF(V657&gt;=C657/(1-SKU_Base!AK657)/(1-Settings!$F$17),"WARN","STOP"))),"")</f>
        <v/>
      </c>
      <c r="Z657" s="161">
        <f>IFERROR(ROUND(D657*(1-CHOOSE(MATCH(IF($E657="","Основний",$E657),{"Трафіковий","Основний","Маржинальний","Сезонний","Стратегічний"},0),Settings!$G$78,Settings!$G$80,Settings!$G$82,Settings!$G$84,Settings!$G$86))/6,2)*6,"")</f>
        <v/>
      </c>
      <c r="AA657" s="142">
        <f>IFERROR(CHOOSE(MATCH(IF($E657="","Основний",$E657),{"Трафіковий","Основний","Маржинальний","Сезонний","Стратегічний"},0),Settings!$G$78,Settings!$G$80,Settings!$G$82,Settings!$G$84,Settings!$G$86),"")</f>
        <v/>
      </c>
      <c r="AB657" s="148">
        <f>IFERROR((Z657*(1-Settings!$G$17)-C657)/(Z657*(1-Settings!$G$17)),"")</f>
        <v/>
      </c>
      <c r="AC657" s="149">
        <f>IFERROR(IF(Z657="","",IF(Z657&gt;=C657/(1-SKU_Base!AE657)/(1-Settings!$G$17),"OK",IF(Z657&gt;=C657/(1-SKU_Base!AL657)/(1-Settings!$G$17),"WARN","STOP"))),"")</f>
        <v/>
      </c>
      <c r="AD657" s="161">
        <f>IFERROR(ROUND(D657*(1-CHOOSE(MATCH(IF($E657="","Основний",$E657),{"Трафіковий","Основний","Маржинальний","Сезонний","Стратегічний"},0),Settings!$H$78,Settings!$H$80,Settings!$H$82,Settings!$H$84,Settings!$H$86))*(1-Settings!$H$68)/6,2)*6,"")</f>
        <v/>
      </c>
      <c r="AE657" s="142">
        <f>IFERROR(CHOOSE(MATCH(IF($E657="","Основний",$E657),{"Трафіковий","Основний","Маржинальний","Сезонний","Стратегічний"},0),Settings!$H$78,Settings!$H$80,Settings!$H$82,Settings!$H$84,Settings!$H$86)+(1-(CHOOSE(MATCH(IF($E657="","Основний",$E657),{"Трафіковий","Основний","Маржинальний","Сезонний","Стратегічний"},0),Settings!$H$78,Settings!$H$80,Settings!$H$82,Settings!$H$84,Settings!$H$86)))*Settings!$H$68,"")</f>
        <v/>
      </c>
      <c r="AF657" s="148">
        <f>IFERROR((AD657*(1-Settings!$H$17)-C657)/(AD657*(1-Settings!$H$17)),"")</f>
        <v/>
      </c>
      <c r="AG657" s="150">
        <f>IFERROR(IF(AD657="","",IF(AD657&gt;=C657/(1-SKU_Base!AF657)/(1-Settings!$H$17),"OK",IF(AD657&gt;=C657/(1-SKU_Base!AM657)/(1-Settings!$H$17),"WARN","STOP"))),"")</f>
        <v/>
      </c>
    </row>
    <row r="658" ht="17" customHeight="1" s="179">
      <c r="A658" s="139">
        <f>SKU_Base!B658</f>
        <v/>
      </c>
      <c r="B658" s="139">
        <f>SKU_Base!C658</f>
        <v/>
      </c>
      <c r="C658" s="140">
        <f>IFERROR(SKU_Base!I658,"")</f>
        <v/>
      </c>
      <c r="D658" s="163">
        <f>IFERROR(SKU_Base!T658,"")</f>
        <v/>
      </c>
      <c r="E658" s="141">
        <f>IFERROR(SKU_Base!$U658,"")</f>
        <v/>
      </c>
      <c r="F658" s="158">
        <f>IFERROR(ROUND(D658*(1-CHOOSE(MATCH(IF($E658="","Основний",$E658),{"Трафіковий","Основний","Маржинальний","Сезонний","Стратегічний"},0),Settings!$B$78,Settings!$B$80,Settings!$B$82,Settings!$B$84,Settings!$B$86))/6,2)*6,"")</f>
        <v/>
      </c>
      <c r="G658" s="142">
        <f>IFERROR(CHOOSE(MATCH(IF($E658="","Основний",$E658),{"Трафіковий","Основний","Маржинальний","Сезонний","Стратегічний"},0),Settings!$B$78,Settings!$B$80,Settings!$B$82,Settings!$B$84,Settings!$B$86),"")</f>
        <v/>
      </c>
      <c r="H658" s="143">
        <f>IFERROR((F658*(1-Settings!$B$17)-C658)/(F658*(1-Settings!$B$17)),"")</f>
        <v/>
      </c>
      <c r="I658" s="150">
        <f>IFERROR(IF(F658="","",IF(F658&gt;=C658/(1-SKU_Base!Z658)/(1-Settings!$B$17),"OK",IF(F658&gt;=C658/(1-SKU_Base!AG658)/(1-Settings!$B$17),"WARN","STOP"))),"")</f>
        <v/>
      </c>
      <c r="J658" s="158">
        <f>IFERROR(ROUND(D658*(1-CHOOSE(MATCH(IF($E658="","Основний",$E658),{"Трафіковий","Основний","Маржинальний","Сезонний","Стратегічний"},0),Settings!$C$78,Settings!$C$80,Settings!$C$82,Settings!$C$84,Settings!$C$86))/6,2)*6,"")</f>
        <v/>
      </c>
      <c r="K658" s="142">
        <f>IFERROR(CHOOSE(MATCH(IF($E658="","Основний",$E658),{"Трафіковий","Основний","Маржинальний","Сезонний","Стратегічний"},0),Settings!$C$78,Settings!$C$80,Settings!$C$82,Settings!$C$84,Settings!$C$86),"")</f>
        <v/>
      </c>
      <c r="L658" s="143">
        <f>IFERROR((J658*(1-Settings!$C$17)-C658)/(J658*(1-Settings!$C$17)),"")</f>
        <v/>
      </c>
      <c r="M658" s="149">
        <f>IFERROR(IF(J658="","",IF(J658&gt;=C658/(1-SKU_Base!AA658)/(1-Settings!$C$17),"OK",IF(J658&gt;=C658/(1-SKU_Base!AH658)/(1-Settings!$C$17),"WARN","STOP"))),"")</f>
        <v/>
      </c>
      <c r="N658" s="159">
        <f>IFERROR(ROUND(D658*(1-CHOOSE(MATCH(IF($E658="","Основний",$E658),{"Трафіковий","Основний","Маржинальний","Сезонний","Стратегічний"},0),Settings!$D$78,Settings!$D$80,Settings!$D$82,Settings!$D$84,Settings!$D$86))/6,2)*6,"")</f>
        <v/>
      </c>
      <c r="O658" s="142">
        <f>IFERROR(CHOOSE(MATCH(IF($E658="","Основний",$E658),{"Трафіковий","Основний","Маржинальний","Сезонний","Стратегічний"},0),Settings!$D$78,Settings!$D$80,Settings!$D$82,Settings!$D$84,Settings!$D$86),"")</f>
        <v/>
      </c>
      <c r="P658" s="143">
        <f>IFERROR((N658*(1-Settings!$D$17)-C658)/(N658*(1-Settings!$D$17)),"")</f>
        <v/>
      </c>
      <c r="Q658" s="149">
        <f>IFERROR(IF(N658="","",IF(N658&gt;=C658/(1-SKU_Base!AB658)/(1-Settings!$D$17),"OK",IF(N658&gt;=C658/(1-SKU_Base!AI658)/(1-Settings!$D$17),"WARN","STOP"))),"")</f>
        <v/>
      </c>
      <c r="R658" s="159">
        <f>IFERROR(ROUND(D658*(1-CHOOSE(MATCH(IF($E658="","Основний",$E658),{"Трафіковий","Основний","Маржинальний","Сезонний","Стратегічний"},0),Settings!$E$78,Settings!$E$80,Settings!$E$82,Settings!$E$84,Settings!$E$86))/6,2)*6,"")</f>
        <v/>
      </c>
      <c r="S658" s="142">
        <f>IFERROR(CHOOSE(MATCH(IF($E658="","Основний",$E658),{"Трафіковий","Основний","Маржинальний","Сезонний","Стратегічний"},0),Settings!$E$78,Settings!$E$80,Settings!$E$82,Settings!$E$84,Settings!$E$86),"")</f>
        <v/>
      </c>
      <c r="T658" s="143">
        <f>IFERROR((R658*(1-Settings!$E$17)-C658)/(R658*(1-Settings!$E$17)),"")</f>
        <v/>
      </c>
      <c r="U658" s="149">
        <f>IFERROR(IF(R658="","",IF(R658&gt;=C658/(1-SKU_Base!AC658)/(1-Settings!$E$17),"OK",IF(R658&gt;=C658/(1-SKU_Base!AJ658)/(1-Settings!$E$17),"WARN","STOP"))),"")</f>
        <v/>
      </c>
      <c r="V658" s="159">
        <f>IFERROR(ROUND(D658*(1-CHOOSE(MATCH(IF($E658="","Основний",$E658),{"Трафіковий","Основний","Маржинальний","Сезонний","Стратегічний"},0),Settings!$F$78,Settings!$F$80,Settings!$F$82,Settings!$F$84,Settings!$F$86))/6,2)*6,"")</f>
        <v/>
      </c>
      <c r="W658" s="142">
        <f>IFERROR(CHOOSE(MATCH(IF($E658="","Основний",$E658),{"Трафіковий","Основний","Маржинальний","Сезонний","Стратегічний"},0),Settings!$F$78,Settings!$F$80,Settings!$F$82,Settings!$F$84,Settings!$F$86),"")</f>
        <v/>
      </c>
      <c r="X658" s="143">
        <f>IFERROR((V658*(1-Settings!$F$17)-C658)/(V658*(1-Settings!$F$17)),"")</f>
        <v/>
      </c>
      <c r="Y658" s="149">
        <f>IFERROR(IF(V658="","",IF(V658&gt;=C658/(1-SKU_Base!AD658)/(1-Settings!$F$17),"OK",IF(V658&gt;=C658/(1-SKU_Base!AK658)/(1-Settings!$F$17),"WARN","STOP"))),"")</f>
        <v/>
      </c>
      <c r="Z658" s="159">
        <f>IFERROR(ROUND(D658*(1-CHOOSE(MATCH(IF($E658="","Основний",$E658),{"Трафіковий","Основний","Маржинальний","Сезонний","Стратегічний"},0),Settings!$G$78,Settings!$G$80,Settings!$G$82,Settings!$G$84,Settings!$G$86))/6,2)*6,"")</f>
        <v/>
      </c>
      <c r="AA658" s="142">
        <f>IFERROR(CHOOSE(MATCH(IF($E658="","Основний",$E658),{"Трафіковий","Основний","Маржинальний","Сезонний","Стратегічний"},0),Settings!$G$78,Settings!$G$80,Settings!$G$82,Settings!$G$84,Settings!$G$86),"")</f>
        <v/>
      </c>
      <c r="AB658" s="143">
        <f>IFERROR((Z658*(1-Settings!$G$17)-C658)/(Z658*(1-Settings!$G$17)),"")</f>
        <v/>
      </c>
      <c r="AC658" s="149">
        <f>IFERROR(IF(Z658="","",IF(Z658&gt;=C658/(1-SKU_Base!AE658)/(1-Settings!$G$17),"OK",IF(Z658&gt;=C658/(1-SKU_Base!AL658)/(1-Settings!$G$17),"WARN","STOP"))),"")</f>
        <v/>
      </c>
      <c r="AD658" s="159">
        <f>IFERROR(ROUND(D658*(1-CHOOSE(MATCH(IF($E658="","Основний",$E658),{"Трафіковий","Основний","Маржинальний","Сезонний","Стратегічний"},0),Settings!$H$78,Settings!$H$80,Settings!$H$82,Settings!$H$84,Settings!$H$86))*(1-Settings!$H$68)/6,2)*6,"")</f>
        <v/>
      </c>
      <c r="AE658" s="142">
        <f>IFERROR(CHOOSE(MATCH(IF($E658="","Основний",$E658),{"Трафіковий","Основний","Маржинальний","Сезонний","Стратегічний"},0),Settings!$H$78,Settings!$H$80,Settings!$H$82,Settings!$H$84,Settings!$H$86)+(1-(CHOOSE(MATCH(IF($E658="","Основний",$E658),{"Трафіковий","Основний","Маржинальний","Сезонний","Стратегічний"},0),Settings!$H$78,Settings!$H$80,Settings!$H$82,Settings!$H$84,Settings!$H$86)))*Settings!$H$68,"")</f>
        <v/>
      </c>
      <c r="AF658" s="143">
        <f>IFERROR((AD658*(1-Settings!$H$17)-C658)/(AD658*(1-Settings!$H$17)),"")</f>
        <v/>
      </c>
      <c r="AG658" s="150">
        <f>IFERROR(IF(AD658="","",IF(AD658&gt;=C658/(1-SKU_Base!AF658)/(1-Settings!$H$17),"OK",IF(AD658&gt;=C658/(1-SKU_Base!AM658)/(1-Settings!$H$17),"WARN","STOP"))),"")</f>
        <v/>
      </c>
    </row>
    <row r="659" ht="17" customHeight="1" s="179">
      <c r="A659" s="146">
        <f>SKU_Base!B659</f>
        <v/>
      </c>
      <c r="B659" s="146">
        <f>SKU_Base!C659</f>
        <v/>
      </c>
      <c r="C659" s="147">
        <f>IFERROR(SKU_Base!I659,"")</f>
        <v/>
      </c>
      <c r="D659" s="164">
        <f>IFERROR(SKU_Base!T659,"")</f>
        <v/>
      </c>
      <c r="E659" s="141">
        <f>IFERROR(SKU_Base!$U659,"")</f>
        <v/>
      </c>
      <c r="F659" s="160">
        <f>IFERROR(ROUND(D659*(1-CHOOSE(MATCH(IF($E659="","Основний",$E659),{"Трафіковий","Основний","Маржинальний","Сезонний","Стратегічний"},0),Settings!$B$78,Settings!$B$80,Settings!$B$82,Settings!$B$84,Settings!$B$86))/6,2)*6,"")</f>
        <v/>
      </c>
      <c r="G659" s="142">
        <f>IFERROR(CHOOSE(MATCH(IF($E659="","Основний",$E659),{"Трафіковий","Основний","Маржинальний","Сезонний","Стратегічний"},0),Settings!$B$78,Settings!$B$80,Settings!$B$82,Settings!$B$84,Settings!$B$86),"")</f>
        <v/>
      </c>
      <c r="H659" s="148">
        <f>IFERROR((F659*(1-Settings!$B$17)-C659)/(F659*(1-Settings!$B$17)),"")</f>
        <v/>
      </c>
      <c r="I659" s="149">
        <f>IFERROR(IF(F659="","",IF(F659&gt;=C659/(1-SKU_Base!Z659)/(1-Settings!$B$17),"OK",IF(F659&gt;=C659/(1-SKU_Base!AG659)/(1-Settings!$B$17),"WARN","STOP"))),"")</f>
        <v/>
      </c>
      <c r="J659" s="160">
        <f>IFERROR(ROUND(D659*(1-CHOOSE(MATCH(IF($E659="","Основний",$E659),{"Трафіковий","Основний","Маржинальний","Сезонний","Стратегічний"},0),Settings!$C$78,Settings!$C$80,Settings!$C$82,Settings!$C$84,Settings!$C$86))/6,2)*6,"")</f>
        <v/>
      </c>
      <c r="K659" s="142">
        <f>IFERROR(CHOOSE(MATCH(IF($E659="","Основний",$E659),{"Трафіковий","Основний","Маржинальний","Сезонний","Стратегічний"},0),Settings!$C$78,Settings!$C$80,Settings!$C$82,Settings!$C$84,Settings!$C$86),"")</f>
        <v/>
      </c>
      <c r="L659" s="148">
        <f>IFERROR((J659*(1-Settings!$C$17)-C659)/(J659*(1-Settings!$C$17)),"")</f>
        <v/>
      </c>
      <c r="M659" s="149">
        <f>IFERROR(IF(J659="","",IF(J659&gt;=C659/(1-SKU_Base!AA659)/(1-Settings!$C$17),"OK",IF(J659&gt;=C659/(1-SKU_Base!AH659)/(1-Settings!$C$17),"WARN","STOP"))),"")</f>
        <v/>
      </c>
      <c r="N659" s="161">
        <f>IFERROR(ROUND(D659*(1-CHOOSE(MATCH(IF($E659="","Основний",$E659),{"Трафіковий","Основний","Маржинальний","Сезонний","Стратегічний"},0),Settings!$D$78,Settings!$D$80,Settings!$D$82,Settings!$D$84,Settings!$D$86))/6,2)*6,"")</f>
        <v/>
      </c>
      <c r="O659" s="142">
        <f>IFERROR(CHOOSE(MATCH(IF($E659="","Основний",$E659),{"Трафіковий","Основний","Маржинальний","Сезонний","Стратегічний"},0),Settings!$D$78,Settings!$D$80,Settings!$D$82,Settings!$D$84,Settings!$D$86),"")</f>
        <v/>
      </c>
      <c r="P659" s="148">
        <f>IFERROR((N659*(1-Settings!$D$17)-C659)/(N659*(1-Settings!$D$17)),"")</f>
        <v/>
      </c>
      <c r="Q659" s="149">
        <f>IFERROR(IF(N659="","",IF(N659&gt;=C659/(1-SKU_Base!AB659)/(1-Settings!$D$17),"OK",IF(N659&gt;=C659/(1-SKU_Base!AI659)/(1-Settings!$D$17),"WARN","STOP"))),"")</f>
        <v/>
      </c>
      <c r="R659" s="161">
        <f>IFERROR(ROUND(D659*(1-CHOOSE(MATCH(IF($E659="","Основний",$E659),{"Трафіковий","Основний","Маржинальний","Сезонний","Стратегічний"},0),Settings!$E$78,Settings!$E$80,Settings!$E$82,Settings!$E$84,Settings!$E$86))/6,2)*6,"")</f>
        <v/>
      </c>
      <c r="S659" s="142">
        <f>IFERROR(CHOOSE(MATCH(IF($E659="","Основний",$E659),{"Трафіковий","Основний","Маржинальний","Сезонний","Стратегічний"},0),Settings!$E$78,Settings!$E$80,Settings!$E$82,Settings!$E$84,Settings!$E$86),"")</f>
        <v/>
      </c>
      <c r="T659" s="148">
        <f>IFERROR((R659*(1-Settings!$E$17)-C659)/(R659*(1-Settings!$E$17)),"")</f>
        <v/>
      </c>
      <c r="U659" s="149">
        <f>IFERROR(IF(R659="","",IF(R659&gt;=C659/(1-SKU_Base!AC659)/(1-Settings!$E$17),"OK",IF(R659&gt;=C659/(1-SKU_Base!AJ659)/(1-Settings!$E$17),"WARN","STOP"))),"")</f>
        <v/>
      </c>
      <c r="V659" s="161">
        <f>IFERROR(ROUND(D659*(1-CHOOSE(MATCH(IF($E659="","Основний",$E659),{"Трафіковий","Основний","Маржинальний","Сезонний","Стратегічний"},0),Settings!$F$78,Settings!$F$80,Settings!$F$82,Settings!$F$84,Settings!$F$86))/6,2)*6,"")</f>
        <v/>
      </c>
      <c r="W659" s="142">
        <f>IFERROR(CHOOSE(MATCH(IF($E659="","Основний",$E659),{"Трафіковий","Основний","Маржинальний","Сезонний","Стратегічний"},0),Settings!$F$78,Settings!$F$80,Settings!$F$82,Settings!$F$84,Settings!$F$86),"")</f>
        <v/>
      </c>
      <c r="X659" s="148">
        <f>IFERROR((V659*(1-Settings!$F$17)-C659)/(V659*(1-Settings!$F$17)),"")</f>
        <v/>
      </c>
      <c r="Y659" s="149">
        <f>IFERROR(IF(V659="","",IF(V659&gt;=C659/(1-SKU_Base!AD659)/(1-Settings!$F$17),"OK",IF(V659&gt;=C659/(1-SKU_Base!AK659)/(1-Settings!$F$17),"WARN","STOP"))),"")</f>
        <v/>
      </c>
      <c r="Z659" s="161">
        <f>IFERROR(ROUND(D659*(1-CHOOSE(MATCH(IF($E659="","Основний",$E659),{"Трафіковий","Основний","Маржинальний","Сезонний","Стратегічний"},0),Settings!$G$78,Settings!$G$80,Settings!$G$82,Settings!$G$84,Settings!$G$86))/6,2)*6,"")</f>
        <v/>
      </c>
      <c r="AA659" s="142">
        <f>IFERROR(CHOOSE(MATCH(IF($E659="","Основний",$E659),{"Трафіковий","Основний","Маржинальний","Сезонний","Стратегічний"},0),Settings!$G$78,Settings!$G$80,Settings!$G$82,Settings!$G$84,Settings!$G$86),"")</f>
        <v/>
      </c>
      <c r="AB659" s="148">
        <f>IFERROR((Z659*(1-Settings!$G$17)-C659)/(Z659*(1-Settings!$G$17)),"")</f>
        <v/>
      </c>
      <c r="AC659" s="149">
        <f>IFERROR(IF(Z659="","",IF(Z659&gt;=C659/(1-SKU_Base!AE659)/(1-Settings!$G$17),"OK",IF(Z659&gt;=C659/(1-SKU_Base!AL659)/(1-Settings!$G$17),"WARN","STOP"))),"")</f>
        <v/>
      </c>
      <c r="AD659" s="161">
        <f>IFERROR(ROUND(D659*(1-CHOOSE(MATCH(IF($E659="","Основний",$E659),{"Трафіковий","Основний","Маржинальний","Сезонний","Стратегічний"},0),Settings!$H$78,Settings!$H$80,Settings!$H$82,Settings!$H$84,Settings!$H$86))*(1-Settings!$H$68)/6,2)*6,"")</f>
        <v/>
      </c>
      <c r="AE659" s="142">
        <f>IFERROR(CHOOSE(MATCH(IF($E659="","Основний",$E659),{"Трафіковий","Основний","Маржинальний","Сезонний","Стратегічний"},0),Settings!$H$78,Settings!$H$80,Settings!$H$82,Settings!$H$84,Settings!$H$86)+(1-(CHOOSE(MATCH(IF($E659="","Основний",$E659),{"Трафіковий","Основний","Маржинальний","Сезонний","Стратегічний"},0),Settings!$H$78,Settings!$H$80,Settings!$H$82,Settings!$H$84,Settings!$H$86)))*Settings!$H$68,"")</f>
        <v/>
      </c>
      <c r="AF659" s="148">
        <f>IFERROR((AD659*(1-Settings!$H$17)-C659)/(AD659*(1-Settings!$H$17)),"")</f>
        <v/>
      </c>
      <c r="AG659" s="150">
        <f>IFERROR(IF(AD659="","",IF(AD659&gt;=C659/(1-SKU_Base!AF659)/(1-Settings!$H$17),"OK",IF(AD659&gt;=C659/(1-SKU_Base!AM659)/(1-Settings!$H$17),"WARN","STOP"))),"")</f>
        <v/>
      </c>
    </row>
    <row r="660" ht="17" customHeight="1" s="179">
      <c r="A660" s="139">
        <f>SKU_Base!B660</f>
        <v/>
      </c>
      <c r="B660" s="139">
        <f>SKU_Base!C660</f>
        <v/>
      </c>
      <c r="C660" s="140">
        <f>IFERROR(SKU_Base!I660,"")</f>
        <v/>
      </c>
      <c r="D660" s="163">
        <f>IFERROR(SKU_Base!T660,"")</f>
        <v/>
      </c>
      <c r="E660" s="141">
        <f>IFERROR(SKU_Base!$U660,"")</f>
        <v/>
      </c>
      <c r="F660" s="158">
        <f>IFERROR(ROUND(D660*(1-CHOOSE(MATCH(IF($E660="","Основний",$E660),{"Трафіковий","Основний","Маржинальний","Сезонний","Стратегічний"},0),Settings!$B$78,Settings!$B$80,Settings!$B$82,Settings!$B$84,Settings!$B$86))/6,2)*6,"")</f>
        <v/>
      </c>
      <c r="G660" s="142">
        <f>IFERROR(CHOOSE(MATCH(IF($E660="","Основний",$E660),{"Трафіковий","Основний","Маржинальний","Сезонний","Стратегічний"},0),Settings!$B$78,Settings!$B$80,Settings!$B$82,Settings!$B$84,Settings!$B$86),"")</f>
        <v/>
      </c>
      <c r="H660" s="143">
        <f>IFERROR((F660*(1-Settings!$B$17)-C660)/(F660*(1-Settings!$B$17)),"")</f>
        <v/>
      </c>
      <c r="I660" s="149">
        <f>IFERROR(IF(F660="","",IF(F660&gt;=C660/(1-SKU_Base!Z660)/(1-Settings!$B$17),"OK",IF(F660&gt;=C660/(1-SKU_Base!AG660)/(1-Settings!$B$17),"WARN","STOP"))),"")</f>
        <v/>
      </c>
      <c r="J660" s="158">
        <f>IFERROR(ROUND(D660*(1-CHOOSE(MATCH(IF($E660="","Основний",$E660),{"Трафіковий","Основний","Маржинальний","Сезонний","Стратегічний"},0),Settings!$C$78,Settings!$C$80,Settings!$C$82,Settings!$C$84,Settings!$C$86))/6,2)*6,"")</f>
        <v/>
      </c>
      <c r="K660" s="142">
        <f>IFERROR(CHOOSE(MATCH(IF($E660="","Основний",$E660),{"Трафіковий","Основний","Маржинальний","Сезонний","Стратегічний"},0),Settings!$C$78,Settings!$C$80,Settings!$C$82,Settings!$C$84,Settings!$C$86),"")</f>
        <v/>
      </c>
      <c r="L660" s="143">
        <f>IFERROR((J660*(1-Settings!$C$17)-C660)/(J660*(1-Settings!$C$17)),"")</f>
        <v/>
      </c>
      <c r="M660" s="149">
        <f>IFERROR(IF(J660="","",IF(J660&gt;=C660/(1-SKU_Base!AA660)/(1-Settings!$C$17),"OK",IF(J660&gt;=C660/(1-SKU_Base!AH660)/(1-Settings!$C$17),"WARN","STOP"))),"")</f>
        <v/>
      </c>
      <c r="N660" s="159">
        <f>IFERROR(ROUND(D660*(1-CHOOSE(MATCH(IF($E660="","Основний",$E660),{"Трафіковий","Основний","Маржинальний","Сезонний","Стратегічний"},0),Settings!$D$78,Settings!$D$80,Settings!$D$82,Settings!$D$84,Settings!$D$86))/6,2)*6,"")</f>
        <v/>
      </c>
      <c r="O660" s="142">
        <f>IFERROR(CHOOSE(MATCH(IF($E660="","Основний",$E660),{"Трафіковий","Основний","Маржинальний","Сезонний","Стратегічний"},0),Settings!$D$78,Settings!$D$80,Settings!$D$82,Settings!$D$84,Settings!$D$86),"")</f>
        <v/>
      </c>
      <c r="P660" s="143">
        <f>IFERROR((N660*(1-Settings!$D$17)-C660)/(N660*(1-Settings!$D$17)),"")</f>
        <v/>
      </c>
      <c r="Q660" s="149">
        <f>IFERROR(IF(N660="","",IF(N660&gt;=C660/(1-SKU_Base!AB660)/(1-Settings!$D$17),"OK",IF(N660&gt;=C660/(1-SKU_Base!AI660)/(1-Settings!$D$17),"WARN","STOP"))),"")</f>
        <v/>
      </c>
      <c r="R660" s="159">
        <f>IFERROR(ROUND(D660*(1-CHOOSE(MATCH(IF($E660="","Основний",$E660),{"Трафіковий","Основний","Маржинальний","Сезонний","Стратегічний"},0),Settings!$E$78,Settings!$E$80,Settings!$E$82,Settings!$E$84,Settings!$E$86))/6,2)*6,"")</f>
        <v/>
      </c>
      <c r="S660" s="142">
        <f>IFERROR(CHOOSE(MATCH(IF($E660="","Основний",$E660),{"Трафіковий","Основний","Маржинальний","Сезонний","Стратегічний"},0),Settings!$E$78,Settings!$E$80,Settings!$E$82,Settings!$E$84,Settings!$E$86),"")</f>
        <v/>
      </c>
      <c r="T660" s="143">
        <f>IFERROR((R660*(1-Settings!$E$17)-C660)/(R660*(1-Settings!$E$17)),"")</f>
        <v/>
      </c>
      <c r="U660" s="149">
        <f>IFERROR(IF(R660="","",IF(R660&gt;=C660/(1-SKU_Base!AC660)/(1-Settings!$E$17),"OK",IF(R660&gt;=C660/(1-SKU_Base!AJ660)/(1-Settings!$E$17),"WARN","STOP"))),"")</f>
        <v/>
      </c>
      <c r="V660" s="159">
        <f>IFERROR(ROUND(D660*(1-CHOOSE(MATCH(IF($E660="","Основний",$E660),{"Трафіковий","Основний","Маржинальний","Сезонний","Стратегічний"},0),Settings!$F$78,Settings!$F$80,Settings!$F$82,Settings!$F$84,Settings!$F$86))/6,2)*6,"")</f>
        <v/>
      </c>
      <c r="W660" s="142">
        <f>IFERROR(CHOOSE(MATCH(IF($E660="","Основний",$E660),{"Трафіковий","Основний","Маржинальний","Сезонний","Стратегічний"},0),Settings!$F$78,Settings!$F$80,Settings!$F$82,Settings!$F$84,Settings!$F$86),"")</f>
        <v/>
      </c>
      <c r="X660" s="143">
        <f>IFERROR((V660*(1-Settings!$F$17)-C660)/(V660*(1-Settings!$F$17)),"")</f>
        <v/>
      </c>
      <c r="Y660" s="149">
        <f>IFERROR(IF(V660="","",IF(V660&gt;=C660/(1-SKU_Base!AD660)/(1-Settings!$F$17),"OK",IF(V660&gt;=C660/(1-SKU_Base!AK660)/(1-Settings!$F$17),"WARN","STOP"))),"")</f>
        <v/>
      </c>
      <c r="Z660" s="159">
        <f>IFERROR(ROUND(D660*(1-CHOOSE(MATCH(IF($E660="","Основний",$E660),{"Трафіковий","Основний","Маржинальний","Сезонний","Стратегічний"},0),Settings!$G$78,Settings!$G$80,Settings!$G$82,Settings!$G$84,Settings!$G$86))/6,2)*6,"")</f>
        <v/>
      </c>
      <c r="AA660" s="142">
        <f>IFERROR(CHOOSE(MATCH(IF($E660="","Основний",$E660),{"Трафіковий","Основний","Маржинальний","Сезонний","Стратегічний"},0),Settings!$G$78,Settings!$G$80,Settings!$G$82,Settings!$G$84,Settings!$G$86),"")</f>
        <v/>
      </c>
      <c r="AB660" s="143">
        <f>IFERROR((Z660*(1-Settings!$G$17)-C660)/(Z660*(1-Settings!$G$17)),"")</f>
        <v/>
      </c>
      <c r="AC660" s="149">
        <f>IFERROR(IF(Z660="","",IF(Z660&gt;=C660/(1-SKU_Base!AE660)/(1-Settings!$G$17),"OK",IF(Z660&gt;=C660/(1-SKU_Base!AL660)/(1-Settings!$G$17),"WARN","STOP"))),"")</f>
        <v/>
      </c>
      <c r="AD660" s="159">
        <f>IFERROR(ROUND(D660*(1-CHOOSE(MATCH(IF($E660="","Основний",$E660),{"Трафіковий","Основний","Маржинальний","Сезонний","Стратегічний"},0),Settings!$H$78,Settings!$H$80,Settings!$H$82,Settings!$H$84,Settings!$H$86))*(1-Settings!$H$68)/6,2)*6,"")</f>
        <v/>
      </c>
      <c r="AE660" s="142">
        <f>IFERROR(CHOOSE(MATCH(IF($E660="","Основний",$E660),{"Трафіковий","Основний","Маржинальний","Сезонний","Стратегічний"},0),Settings!$H$78,Settings!$H$80,Settings!$H$82,Settings!$H$84,Settings!$H$86)+(1-(CHOOSE(MATCH(IF($E660="","Основний",$E660),{"Трафіковий","Основний","Маржинальний","Сезонний","Стратегічний"},0),Settings!$H$78,Settings!$H$80,Settings!$H$82,Settings!$H$84,Settings!$H$86)))*Settings!$H$68,"")</f>
        <v/>
      </c>
      <c r="AF660" s="143">
        <f>IFERROR((AD660*(1-Settings!$H$17)-C660)/(AD660*(1-Settings!$H$17)),"")</f>
        <v/>
      </c>
      <c r="AG660" s="150">
        <f>IFERROR(IF(AD660="","",IF(AD660&gt;=C660/(1-SKU_Base!AF660)/(1-Settings!$H$17),"OK",IF(AD660&gt;=C660/(1-SKU_Base!AM660)/(1-Settings!$H$17),"WARN","STOP"))),"")</f>
        <v/>
      </c>
    </row>
    <row r="661" ht="17" customHeight="1" s="179">
      <c r="A661" s="146">
        <f>SKU_Base!B661</f>
        <v/>
      </c>
      <c r="B661" s="146">
        <f>SKU_Base!C661</f>
        <v/>
      </c>
      <c r="C661" s="147">
        <f>IFERROR(SKU_Base!I661,"")</f>
        <v/>
      </c>
      <c r="D661" s="164">
        <f>IFERROR(SKU_Base!T661,"")</f>
        <v/>
      </c>
      <c r="E661" s="141">
        <f>IFERROR(SKU_Base!$U661,"")</f>
        <v/>
      </c>
      <c r="F661" s="160">
        <f>IFERROR(ROUND(D661*(1-CHOOSE(MATCH(IF($E661="","Основний",$E661),{"Трафіковий","Основний","Маржинальний","Сезонний","Стратегічний"},0),Settings!$B$78,Settings!$B$80,Settings!$B$82,Settings!$B$84,Settings!$B$86))/6,2)*6,"")</f>
        <v/>
      </c>
      <c r="G661" s="142">
        <f>IFERROR(CHOOSE(MATCH(IF($E661="","Основний",$E661),{"Трафіковий","Основний","Маржинальний","Сезонний","Стратегічний"},0),Settings!$B$78,Settings!$B$80,Settings!$B$82,Settings!$B$84,Settings!$B$86),"")</f>
        <v/>
      </c>
      <c r="H661" s="148">
        <f>IFERROR((F661*(1-Settings!$B$17)-C661)/(F661*(1-Settings!$B$17)),"")</f>
        <v/>
      </c>
      <c r="I661" s="150">
        <f>IFERROR(IF(F661="","",IF(F661&gt;=C661/(1-SKU_Base!Z661)/(1-Settings!$B$17),"OK",IF(F661&gt;=C661/(1-SKU_Base!AG661)/(1-Settings!$B$17),"WARN","STOP"))),"")</f>
        <v/>
      </c>
      <c r="J661" s="160">
        <f>IFERROR(ROUND(D661*(1-CHOOSE(MATCH(IF($E661="","Основний",$E661),{"Трафіковий","Основний","Маржинальний","Сезонний","Стратегічний"},0),Settings!$C$78,Settings!$C$80,Settings!$C$82,Settings!$C$84,Settings!$C$86))/6,2)*6,"")</f>
        <v/>
      </c>
      <c r="K661" s="142">
        <f>IFERROR(CHOOSE(MATCH(IF($E661="","Основний",$E661),{"Трафіковий","Основний","Маржинальний","Сезонний","Стратегічний"},0),Settings!$C$78,Settings!$C$80,Settings!$C$82,Settings!$C$84,Settings!$C$86),"")</f>
        <v/>
      </c>
      <c r="L661" s="148">
        <f>IFERROR((J661*(1-Settings!$C$17)-C661)/(J661*(1-Settings!$C$17)),"")</f>
        <v/>
      </c>
      <c r="M661" s="149">
        <f>IFERROR(IF(J661="","",IF(J661&gt;=C661/(1-SKU_Base!AA661)/(1-Settings!$C$17),"OK",IF(J661&gt;=C661/(1-SKU_Base!AH661)/(1-Settings!$C$17),"WARN","STOP"))),"")</f>
        <v/>
      </c>
      <c r="N661" s="161">
        <f>IFERROR(ROUND(D661*(1-CHOOSE(MATCH(IF($E661="","Основний",$E661),{"Трафіковий","Основний","Маржинальний","Сезонний","Стратегічний"},0),Settings!$D$78,Settings!$D$80,Settings!$D$82,Settings!$D$84,Settings!$D$86))/6,2)*6,"")</f>
        <v/>
      </c>
      <c r="O661" s="142">
        <f>IFERROR(CHOOSE(MATCH(IF($E661="","Основний",$E661),{"Трафіковий","Основний","Маржинальний","Сезонний","Стратегічний"},0),Settings!$D$78,Settings!$D$80,Settings!$D$82,Settings!$D$84,Settings!$D$86),"")</f>
        <v/>
      </c>
      <c r="P661" s="148">
        <f>IFERROR((N661*(1-Settings!$D$17)-C661)/(N661*(1-Settings!$D$17)),"")</f>
        <v/>
      </c>
      <c r="Q661" s="149">
        <f>IFERROR(IF(N661="","",IF(N661&gt;=C661/(1-SKU_Base!AB661)/(1-Settings!$D$17),"OK",IF(N661&gt;=C661/(1-SKU_Base!AI661)/(1-Settings!$D$17),"WARN","STOP"))),"")</f>
        <v/>
      </c>
      <c r="R661" s="161">
        <f>IFERROR(ROUND(D661*(1-CHOOSE(MATCH(IF($E661="","Основний",$E661),{"Трафіковий","Основний","Маржинальний","Сезонний","Стратегічний"},0),Settings!$E$78,Settings!$E$80,Settings!$E$82,Settings!$E$84,Settings!$E$86))/6,2)*6,"")</f>
        <v/>
      </c>
      <c r="S661" s="142">
        <f>IFERROR(CHOOSE(MATCH(IF($E661="","Основний",$E661),{"Трафіковий","Основний","Маржинальний","Сезонний","Стратегічний"},0),Settings!$E$78,Settings!$E$80,Settings!$E$82,Settings!$E$84,Settings!$E$86),"")</f>
        <v/>
      </c>
      <c r="T661" s="148">
        <f>IFERROR((R661*(1-Settings!$E$17)-C661)/(R661*(1-Settings!$E$17)),"")</f>
        <v/>
      </c>
      <c r="U661" s="149">
        <f>IFERROR(IF(R661="","",IF(R661&gt;=C661/(1-SKU_Base!AC661)/(1-Settings!$E$17),"OK",IF(R661&gt;=C661/(1-SKU_Base!AJ661)/(1-Settings!$E$17),"WARN","STOP"))),"")</f>
        <v/>
      </c>
      <c r="V661" s="161">
        <f>IFERROR(ROUND(D661*(1-CHOOSE(MATCH(IF($E661="","Основний",$E661),{"Трафіковий","Основний","Маржинальний","Сезонний","Стратегічний"},0),Settings!$F$78,Settings!$F$80,Settings!$F$82,Settings!$F$84,Settings!$F$86))/6,2)*6,"")</f>
        <v/>
      </c>
      <c r="W661" s="142">
        <f>IFERROR(CHOOSE(MATCH(IF($E661="","Основний",$E661),{"Трафіковий","Основний","Маржинальний","Сезонний","Стратегічний"},0),Settings!$F$78,Settings!$F$80,Settings!$F$82,Settings!$F$84,Settings!$F$86),"")</f>
        <v/>
      </c>
      <c r="X661" s="148">
        <f>IFERROR((V661*(1-Settings!$F$17)-C661)/(V661*(1-Settings!$F$17)),"")</f>
        <v/>
      </c>
      <c r="Y661" s="149">
        <f>IFERROR(IF(V661="","",IF(V661&gt;=C661/(1-SKU_Base!AD661)/(1-Settings!$F$17),"OK",IF(V661&gt;=C661/(1-SKU_Base!AK661)/(1-Settings!$F$17),"WARN","STOP"))),"")</f>
        <v/>
      </c>
      <c r="Z661" s="161">
        <f>IFERROR(ROUND(D661*(1-CHOOSE(MATCH(IF($E661="","Основний",$E661),{"Трафіковий","Основний","Маржинальний","Сезонний","Стратегічний"},0),Settings!$G$78,Settings!$G$80,Settings!$G$82,Settings!$G$84,Settings!$G$86))/6,2)*6,"")</f>
        <v/>
      </c>
      <c r="AA661" s="142">
        <f>IFERROR(CHOOSE(MATCH(IF($E661="","Основний",$E661),{"Трафіковий","Основний","Маржинальний","Сезонний","Стратегічний"},0),Settings!$G$78,Settings!$G$80,Settings!$G$82,Settings!$G$84,Settings!$G$86),"")</f>
        <v/>
      </c>
      <c r="AB661" s="148">
        <f>IFERROR((Z661*(1-Settings!$G$17)-C661)/(Z661*(1-Settings!$G$17)),"")</f>
        <v/>
      </c>
      <c r="AC661" s="149">
        <f>IFERROR(IF(Z661="","",IF(Z661&gt;=C661/(1-SKU_Base!AE661)/(1-Settings!$G$17),"OK",IF(Z661&gt;=C661/(1-SKU_Base!AL661)/(1-Settings!$G$17),"WARN","STOP"))),"")</f>
        <v/>
      </c>
      <c r="AD661" s="161">
        <f>IFERROR(ROUND(D661*(1-CHOOSE(MATCH(IF($E661="","Основний",$E661),{"Трафіковий","Основний","Маржинальний","Сезонний","Стратегічний"},0),Settings!$H$78,Settings!$H$80,Settings!$H$82,Settings!$H$84,Settings!$H$86))*(1-Settings!$H$68)/6,2)*6,"")</f>
        <v/>
      </c>
      <c r="AE661" s="142">
        <f>IFERROR(CHOOSE(MATCH(IF($E661="","Основний",$E661),{"Трафіковий","Основний","Маржинальний","Сезонний","Стратегічний"},0),Settings!$H$78,Settings!$H$80,Settings!$H$82,Settings!$H$84,Settings!$H$86)+(1-(CHOOSE(MATCH(IF($E661="","Основний",$E661),{"Трафіковий","Основний","Маржинальний","Сезонний","Стратегічний"},0),Settings!$H$78,Settings!$H$80,Settings!$H$82,Settings!$H$84,Settings!$H$86)))*Settings!$H$68,"")</f>
        <v/>
      </c>
      <c r="AF661" s="148">
        <f>IFERROR((AD661*(1-Settings!$H$17)-C661)/(AD661*(1-Settings!$H$17)),"")</f>
        <v/>
      </c>
      <c r="AG661" s="150">
        <f>IFERROR(IF(AD661="","",IF(AD661&gt;=C661/(1-SKU_Base!AF661)/(1-Settings!$H$17),"OK",IF(AD661&gt;=C661/(1-SKU_Base!AM661)/(1-Settings!$H$17),"WARN","STOP"))),"")</f>
        <v/>
      </c>
    </row>
    <row r="662" ht="17" customHeight="1" s="179">
      <c r="A662" s="139">
        <f>SKU_Base!B662</f>
        <v/>
      </c>
      <c r="B662" s="139">
        <f>SKU_Base!C662</f>
        <v/>
      </c>
      <c r="C662" s="140">
        <f>IFERROR(SKU_Base!I662,"")</f>
        <v/>
      </c>
      <c r="D662" s="163">
        <f>IFERROR(SKU_Base!T662,"")</f>
        <v/>
      </c>
      <c r="E662" s="141">
        <f>IFERROR(SKU_Base!$U662,"")</f>
        <v/>
      </c>
      <c r="F662" s="158">
        <f>IFERROR(ROUND(D662*(1-CHOOSE(MATCH(IF($E662="","Основний",$E662),{"Трафіковий","Основний","Маржинальний","Сезонний","Стратегічний"},0),Settings!$B$78,Settings!$B$80,Settings!$B$82,Settings!$B$84,Settings!$B$86))/6,2)*6,"")</f>
        <v/>
      </c>
      <c r="G662" s="142">
        <f>IFERROR(CHOOSE(MATCH(IF($E662="","Основний",$E662),{"Трафіковий","Основний","Маржинальний","Сезонний","Стратегічний"},0),Settings!$B$78,Settings!$B$80,Settings!$B$82,Settings!$B$84,Settings!$B$86),"")</f>
        <v/>
      </c>
      <c r="H662" s="143">
        <f>IFERROR((F662*(1-Settings!$B$17)-C662)/(F662*(1-Settings!$B$17)),"")</f>
        <v/>
      </c>
      <c r="I662" s="149">
        <f>IFERROR(IF(F662="","",IF(F662&gt;=C662/(1-SKU_Base!Z662)/(1-Settings!$B$17),"OK",IF(F662&gt;=C662/(1-SKU_Base!AG662)/(1-Settings!$B$17),"WARN","STOP"))),"")</f>
        <v/>
      </c>
      <c r="J662" s="158">
        <f>IFERROR(ROUND(D662*(1-CHOOSE(MATCH(IF($E662="","Основний",$E662),{"Трафіковий","Основний","Маржинальний","Сезонний","Стратегічний"},0),Settings!$C$78,Settings!$C$80,Settings!$C$82,Settings!$C$84,Settings!$C$86))/6,2)*6,"")</f>
        <v/>
      </c>
      <c r="K662" s="142">
        <f>IFERROR(CHOOSE(MATCH(IF($E662="","Основний",$E662),{"Трафіковий","Основний","Маржинальний","Сезонний","Стратегічний"},0),Settings!$C$78,Settings!$C$80,Settings!$C$82,Settings!$C$84,Settings!$C$86),"")</f>
        <v/>
      </c>
      <c r="L662" s="143">
        <f>IFERROR((J662*(1-Settings!$C$17)-C662)/(J662*(1-Settings!$C$17)),"")</f>
        <v/>
      </c>
      <c r="M662" s="149">
        <f>IFERROR(IF(J662="","",IF(J662&gt;=C662/(1-SKU_Base!AA662)/(1-Settings!$C$17),"OK",IF(J662&gt;=C662/(1-SKU_Base!AH662)/(1-Settings!$C$17),"WARN","STOP"))),"")</f>
        <v/>
      </c>
      <c r="N662" s="159">
        <f>IFERROR(ROUND(D662*(1-CHOOSE(MATCH(IF($E662="","Основний",$E662),{"Трафіковий","Основний","Маржинальний","Сезонний","Стратегічний"},0),Settings!$D$78,Settings!$D$80,Settings!$D$82,Settings!$D$84,Settings!$D$86))/6,2)*6,"")</f>
        <v/>
      </c>
      <c r="O662" s="142">
        <f>IFERROR(CHOOSE(MATCH(IF($E662="","Основний",$E662),{"Трафіковий","Основний","Маржинальний","Сезонний","Стратегічний"},0),Settings!$D$78,Settings!$D$80,Settings!$D$82,Settings!$D$84,Settings!$D$86),"")</f>
        <v/>
      </c>
      <c r="P662" s="143">
        <f>IFERROR((N662*(1-Settings!$D$17)-C662)/(N662*(1-Settings!$D$17)),"")</f>
        <v/>
      </c>
      <c r="Q662" s="149">
        <f>IFERROR(IF(N662="","",IF(N662&gt;=C662/(1-SKU_Base!AB662)/(1-Settings!$D$17),"OK",IF(N662&gt;=C662/(1-SKU_Base!AI662)/(1-Settings!$D$17),"WARN","STOP"))),"")</f>
        <v/>
      </c>
      <c r="R662" s="159">
        <f>IFERROR(ROUND(D662*(1-CHOOSE(MATCH(IF($E662="","Основний",$E662),{"Трафіковий","Основний","Маржинальний","Сезонний","Стратегічний"},0),Settings!$E$78,Settings!$E$80,Settings!$E$82,Settings!$E$84,Settings!$E$86))/6,2)*6,"")</f>
        <v/>
      </c>
      <c r="S662" s="142">
        <f>IFERROR(CHOOSE(MATCH(IF($E662="","Основний",$E662),{"Трафіковий","Основний","Маржинальний","Сезонний","Стратегічний"},0),Settings!$E$78,Settings!$E$80,Settings!$E$82,Settings!$E$84,Settings!$E$86),"")</f>
        <v/>
      </c>
      <c r="T662" s="143">
        <f>IFERROR((R662*(1-Settings!$E$17)-C662)/(R662*(1-Settings!$E$17)),"")</f>
        <v/>
      </c>
      <c r="U662" s="149">
        <f>IFERROR(IF(R662="","",IF(R662&gt;=C662/(1-SKU_Base!AC662)/(1-Settings!$E$17),"OK",IF(R662&gt;=C662/(1-SKU_Base!AJ662)/(1-Settings!$E$17),"WARN","STOP"))),"")</f>
        <v/>
      </c>
      <c r="V662" s="159">
        <f>IFERROR(ROUND(D662*(1-CHOOSE(MATCH(IF($E662="","Основний",$E662),{"Трафіковий","Основний","Маржинальний","Сезонний","Стратегічний"},0),Settings!$F$78,Settings!$F$80,Settings!$F$82,Settings!$F$84,Settings!$F$86))/6,2)*6,"")</f>
        <v/>
      </c>
      <c r="W662" s="142">
        <f>IFERROR(CHOOSE(MATCH(IF($E662="","Основний",$E662),{"Трафіковий","Основний","Маржинальний","Сезонний","Стратегічний"},0),Settings!$F$78,Settings!$F$80,Settings!$F$82,Settings!$F$84,Settings!$F$86),"")</f>
        <v/>
      </c>
      <c r="X662" s="143">
        <f>IFERROR((V662*(1-Settings!$F$17)-C662)/(V662*(1-Settings!$F$17)),"")</f>
        <v/>
      </c>
      <c r="Y662" s="149">
        <f>IFERROR(IF(V662="","",IF(V662&gt;=C662/(1-SKU_Base!AD662)/(1-Settings!$F$17),"OK",IF(V662&gt;=C662/(1-SKU_Base!AK662)/(1-Settings!$F$17),"WARN","STOP"))),"")</f>
        <v/>
      </c>
      <c r="Z662" s="159">
        <f>IFERROR(ROUND(D662*(1-CHOOSE(MATCH(IF($E662="","Основний",$E662),{"Трафіковий","Основний","Маржинальний","Сезонний","Стратегічний"},0),Settings!$G$78,Settings!$G$80,Settings!$G$82,Settings!$G$84,Settings!$G$86))/6,2)*6,"")</f>
        <v/>
      </c>
      <c r="AA662" s="142">
        <f>IFERROR(CHOOSE(MATCH(IF($E662="","Основний",$E662),{"Трафіковий","Основний","Маржинальний","Сезонний","Стратегічний"},0),Settings!$G$78,Settings!$G$80,Settings!$G$82,Settings!$G$84,Settings!$G$86),"")</f>
        <v/>
      </c>
      <c r="AB662" s="143">
        <f>IFERROR((Z662*(1-Settings!$G$17)-C662)/(Z662*(1-Settings!$G$17)),"")</f>
        <v/>
      </c>
      <c r="AC662" s="149">
        <f>IFERROR(IF(Z662="","",IF(Z662&gt;=C662/(1-SKU_Base!AE662)/(1-Settings!$G$17),"OK",IF(Z662&gt;=C662/(1-SKU_Base!AL662)/(1-Settings!$G$17),"WARN","STOP"))),"")</f>
        <v/>
      </c>
      <c r="AD662" s="159">
        <f>IFERROR(ROUND(D662*(1-CHOOSE(MATCH(IF($E662="","Основний",$E662),{"Трафіковий","Основний","Маржинальний","Сезонний","Стратегічний"},0),Settings!$H$78,Settings!$H$80,Settings!$H$82,Settings!$H$84,Settings!$H$86))*(1-Settings!$H$68)/6,2)*6,"")</f>
        <v/>
      </c>
      <c r="AE662" s="142">
        <f>IFERROR(CHOOSE(MATCH(IF($E662="","Основний",$E662),{"Трафіковий","Основний","Маржинальний","Сезонний","Стратегічний"},0),Settings!$H$78,Settings!$H$80,Settings!$H$82,Settings!$H$84,Settings!$H$86)+(1-(CHOOSE(MATCH(IF($E662="","Основний",$E662),{"Трафіковий","Основний","Маржинальний","Сезонний","Стратегічний"},0),Settings!$H$78,Settings!$H$80,Settings!$H$82,Settings!$H$84,Settings!$H$86)))*Settings!$H$68,"")</f>
        <v/>
      </c>
      <c r="AF662" s="143">
        <f>IFERROR((AD662*(1-Settings!$H$17)-C662)/(AD662*(1-Settings!$H$17)),"")</f>
        <v/>
      </c>
      <c r="AG662" s="150">
        <f>IFERROR(IF(AD662="","",IF(AD662&gt;=C662/(1-SKU_Base!AF662)/(1-Settings!$H$17),"OK",IF(AD662&gt;=C662/(1-SKU_Base!AM662)/(1-Settings!$H$17),"WARN","STOP"))),"")</f>
        <v/>
      </c>
    </row>
    <row r="663" ht="17" customHeight="1" s="179">
      <c r="A663" s="146">
        <f>SKU_Base!B663</f>
        <v/>
      </c>
      <c r="B663" s="146">
        <f>SKU_Base!C663</f>
        <v/>
      </c>
      <c r="C663" s="147">
        <f>IFERROR(SKU_Base!I663,"")</f>
        <v/>
      </c>
      <c r="D663" s="164">
        <f>IFERROR(SKU_Base!T663,"")</f>
        <v/>
      </c>
      <c r="E663" s="141">
        <f>IFERROR(SKU_Base!$U663,"")</f>
        <v/>
      </c>
      <c r="F663" s="160">
        <f>IFERROR(ROUND(D663*(1-CHOOSE(MATCH(IF($E663="","Основний",$E663),{"Трафіковий","Основний","Маржинальний","Сезонний","Стратегічний"},0),Settings!$B$78,Settings!$B$80,Settings!$B$82,Settings!$B$84,Settings!$B$86))/6,2)*6,"")</f>
        <v/>
      </c>
      <c r="G663" s="142">
        <f>IFERROR(CHOOSE(MATCH(IF($E663="","Основний",$E663),{"Трафіковий","Основний","Маржинальний","Сезонний","Стратегічний"},0),Settings!$B$78,Settings!$B$80,Settings!$B$82,Settings!$B$84,Settings!$B$86),"")</f>
        <v/>
      </c>
      <c r="H663" s="148">
        <f>IFERROR((F663*(1-Settings!$B$17)-C663)/(F663*(1-Settings!$B$17)),"")</f>
        <v/>
      </c>
      <c r="I663" s="150">
        <f>IFERROR(IF(F663="","",IF(F663&gt;=C663/(1-SKU_Base!Z663)/(1-Settings!$B$17),"OK",IF(F663&gt;=C663/(1-SKU_Base!AG663)/(1-Settings!$B$17),"WARN","STOP"))),"")</f>
        <v/>
      </c>
      <c r="J663" s="160">
        <f>IFERROR(ROUND(D663*(1-CHOOSE(MATCH(IF($E663="","Основний",$E663),{"Трафіковий","Основний","Маржинальний","Сезонний","Стратегічний"},0),Settings!$C$78,Settings!$C$80,Settings!$C$82,Settings!$C$84,Settings!$C$86))/6,2)*6,"")</f>
        <v/>
      </c>
      <c r="K663" s="142">
        <f>IFERROR(CHOOSE(MATCH(IF($E663="","Основний",$E663),{"Трафіковий","Основний","Маржинальний","Сезонний","Стратегічний"},0),Settings!$C$78,Settings!$C$80,Settings!$C$82,Settings!$C$84,Settings!$C$86),"")</f>
        <v/>
      </c>
      <c r="L663" s="148">
        <f>IFERROR((J663*(1-Settings!$C$17)-C663)/(J663*(1-Settings!$C$17)),"")</f>
        <v/>
      </c>
      <c r="M663" s="149">
        <f>IFERROR(IF(J663="","",IF(J663&gt;=C663/(1-SKU_Base!AA663)/(1-Settings!$C$17),"OK",IF(J663&gt;=C663/(1-SKU_Base!AH663)/(1-Settings!$C$17),"WARN","STOP"))),"")</f>
        <v/>
      </c>
      <c r="N663" s="161">
        <f>IFERROR(ROUND(D663*(1-CHOOSE(MATCH(IF($E663="","Основний",$E663),{"Трафіковий","Основний","Маржинальний","Сезонний","Стратегічний"},0),Settings!$D$78,Settings!$D$80,Settings!$D$82,Settings!$D$84,Settings!$D$86))/6,2)*6,"")</f>
        <v/>
      </c>
      <c r="O663" s="142">
        <f>IFERROR(CHOOSE(MATCH(IF($E663="","Основний",$E663),{"Трафіковий","Основний","Маржинальний","Сезонний","Стратегічний"},0),Settings!$D$78,Settings!$D$80,Settings!$D$82,Settings!$D$84,Settings!$D$86),"")</f>
        <v/>
      </c>
      <c r="P663" s="148">
        <f>IFERROR((N663*(1-Settings!$D$17)-C663)/(N663*(1-Settings!$D$17)),"")</f>
        <v/>
      </c>
      <c r="Q663" s="149">
        <f>IFERROR(IF(N663="","",IF(N663&gt;=C663/(1-SKU_Base!AB663)/(1-Settings!$D$17),"OK",IF(N663&gt;=C663/(1-SKU_Base!AI663)/(1-Settings!$D$17),"WARN","STOP"))),"")</f>
        <v/>
      </c>
      <c r="R663" s="161">
        <f>IFERROR(ROUND(D663*(1-CHOOSE(MATCH(IF($E663="","Основний",$E663),{"Трафіковий","Основний","Маржинальний","Сезонний","Стратегічний"},0),Settings!$E$78,Settings!$E$80,Settings!$E$82,Settings!$E$84,Settings!$E$86))/6,2)*6,"")</f>
        <v/>
      </c>
      <c r="S663" s="142">
        <f>IFERROR(CHOOSE(MATCH(IF($E663="","Основний",$E663),{"Трафіковий","Основний","Маржинальний","Сезонний","Стратегічний"},0),Settings!$E$78,Settings!$E$80,Settings!$E$82,Settings!$E$84,Settings!$E$86),"")</f>
        <v/>
      </c>
      <c r="T663" s="148">
        <f>IFERROR((R663*(1-Settings!$E$17)-C663)/(R663*(1-Settings!$E$17)),"")</f>
        <v/>
      </c>
      <c r="U663" s="149">
        <f>IFERROR(IF(R663="","",IF(R663&gt;=C663/(1-SKU_Base!AC663)/(1-Settings!$E$17),"OK",IF(R663&gt;=C663/(1-SKU_Base!AJ663)/(1-Settings!$E$17),"WARN","STOP"))),"")</f>
        <v/>
      </c>
      <c r="V663" s="161">
        <f>IFERROR(ROUND(D663*(1-CHOOSE(MATCH(IF($E663="","Основний",$E663),{"Трафіковий","Основний","Маржинальний","Сезонний","Стратегічний"},0),Settings!$F$78,Settings!$F$80,Settings!$F$82,Settings!$F$84,Settings!$F$86))/6,2)*6,"")</f>
        <v/>
      </c>
      <c r="W663" s="142">
        <f>IFERROR(CHOOSE(MATCH(IF($E663="","Основний",$E663),{"Трафіковий","Основний","Маржинальний","Сезонний","Стратегічний"},0),Settings!$F$78,Settings!$F$80,Settings!$F$82,Settings!$F$84,Settings!$F$86),"")</f>
        <v/>
      </c>
      <c r="X663" s="148">
        <f>IFERROR((V663*(1-Settings!$F$17)-C663)/(V663*(1-Settings!$F$17)),"")</f>
        <v/>
      </c>
      <c r="Y663" s="149">
        <f>IFERROR(IF(V663="","",IF(V663&gt;=C663/(1-SKU_Base!AD663)/(1-Settings!$F$17),"OK",IF(V663&gt;=C663/(1-SKU_Base!AK663)/(1-Settings!$F$17),"WARN","STOP"))),"")</f>
        <v/>
      </c>
      <c r="Z663" s="161">
        <f>IFERROR(ROUND(D663*(1-CHOOSE(MATCH(IF($E663="","Основний",$E663),{"Трафіковий","Основний","Маржинальний","Сезонний","Стратегічний"},0),Settings!$G$78,Settings!$G$80,Settings!$G$82,Settings!$G$84,Settings!$G$86))/6,2)*6,"")</f>
        <v/>
      </c>
      <c r="AA663" s="142">
        <f>IFERROR(CHOOSE(MATCH(IF($E663="","Основний",$E663),{"Трафіковий","Основний","Маржинальний","Сезонний","Стратегічний"},0),Settings!$G$78,Settings!$G$80,Settings!$G$82,Settings!$G$84,Settings!$G$86),"")</f>
        <v/>
      </c>
      <c r="AB663" s="148">
        <f>IFERROR((Z663*(1-Settings!$G$17)-C663)/(Z663*(1-Settings!$G$17)),"")</f>
        <v/>
      </c>
      <c r="AC663" s="149">
        <f>IFERROR(IF(Z663="","",IF(Z663&gt;=C663/(1-SKU_Base!AE663)/(1-Settings!$G$17),"OK",IF(Z663&gt;=C663/(1-SKU_Base!AL663)/(1-Settings!$G$17),"WARN","STOP"))),"")</f>
        <v/>
      </c>
      <c r="AD663" s="161">
        <f>IFERROR(ROUND(D663*(1-CHOOSE(MATCH(IF($E663="","Основний",$E663),{"Трафіковий","Основний","Маржинальний","Сезонний","Стратегічний"},0),Settings!$H$78,Settings!$H$80,Settings!$H$82,Settings!$H$84,Settings!$H$86))*(1-Settings!$H$68)/6,2)*6,"")</f>
        <v/>
      </c>
      <c r="AE663" s="142">
        <f>IFERROR(CHOOSE(MATCH(IF($E663="","Основний",$E663),{"Трафіковий","Основний","Маржинальний","Сезонний","Стратегічний"},0),Settings!$H$78,Settings!$H$80,Settings!$H$82,Settings!$H$84,Settings!$H$86)+(1-(CHOOSE(MATCH(IF($E663="","Основний",$E663),{"Трафіковий","Основний","Маржинальний","Сезонний","Стратегічний"},0),Settings!$H$78,Settings!$H$80,Settings!$H$82,Settings!$H$84,Settings!$H$86)))*Settings!$H$68,"")</f>
        <v/>
      </c>
      <c r="AF663" s="148">
        <f>IFERROR((AD663*(1-Settings!$H$17)-C663)/(AD663*(1-Settings!$H$17)),"")</f>
        <v/>
      </c>
      <c r="AG663" s="150">
        <f>IFERROR(IF(AD663="","",IF(AD663&gt;=C663/(1-SKU_Base!AF663)/(1-Settings!$H$17),"OK",IF(AD663&gt;=C663/(1-SKU_Base!AM663)/(1-Settings!$H$17),"WARN","STOP"))),"")</f>
        <v/>
      </c>
    </row>
    <row r="664" ht="17" customHeight="1" s="179">
      <c r="A664" s="139">
        <f>SKU_Base!B664</f>
        <v/>
      </c>
      <c r="B664" s="139">
        <f>SKU_Base!C664</f>
        <v/>
      </c>
      <c r="C664" s="140">
        <f>IFERROR(SKU_Base!I664,"")</f>
        <v/>
      </c>
      <c r="D664" s="163">
        <f>IFERROR(SKU_Base!T664,"")</f>
        <v/>
      </c>
      <c r="E664" s="141">
        <f>IFERROR(SKU_Base!$U664,"")</f>
        <v/>
      </c>
      <c r="F664" s="158">
        <f>IFERROR(ROUND(D664*(1-CHOOSE(MATCH(IF($E664="","Основний",$E664),{"Трафіковий","Основний","Маржинальний","Сезонний","Стратегічний"},0),Settings!$B$78,Settings!$B$80,Settings!$B$82,Settings!$B$84,Settings!$B$86))/6,2)*6,"")</f>
        <v/>
      </c>
      <c r="G664" s="142">
        <f>IFERROR(CHOOSE(MATCH(IF($E664="","Основний",$E664),{"Трафіковий","Основний","Маржинальний","Сезонний","Стратегічний"},0),Settings!$B$78,Settings!$B$80,Settings!$B$82,Settings!$B$84,Settings!$B$86),"")</f>
        <v/>
      </c>
      <c r="H664" s="143">
        <f>IFERROR((F664*(1-Settings!$B$17)-C664)/(F664*(1-Settings!$B$17)),"")</f>
        <v/>
      </c>
      <c r="I664" s="149">
        <f>IFERROR(IF(F664="","",IF(F664&gt;=C664/(1-SKU_Base!Z664)/(1-Settings!$B$17),"OK",IF(F664&gt;=C664/(1-SKU_Base!AG664)/(1-Settings!$B$17),"WARN","STOP"))),"")</f>
        <v/>
      </c>
      <c r="J664" s="158">
        <f>IFERROR(ROUND(D664*(1-CHOOSE(MATCH(IF($E664="","Основний",$E664),{"Трафіковий","Основний","Маржинальний","Сезонний","Стратегічний"},0),Settings!$C$78,Settings!$C$80,Settings!$C$82,Settings!$C$84,Settings!$C$86))/6,2)*6,"")</f>
        <v/>
      </c>
      <c r="K664" s="142">
        <f>IFERROR(CHOOSE(MATCH(IF($E664="","Основний",$E664),{"Трафіковий","Основний","Маржинальний","Сезонний","Стратегічний"},0),Settings!$C$78,Settings!$C$80,Settings!$C$82,Settings!$C$84,Settings!$C$86),"")</f>
        <v/>
      </c>
      <c r="L664" s="143">
        <f>IFERROR((J664*(1-Settings!$C$17)-C664)/(J664*(1-Settings!$C$17)),"")</f>
        <v/>
      </c>
      <c r="M664" s="149">
        <f>IFERROR(IF(J664="","",IF(J664&gt;=C664/(1-SKU_Base!AA664)/(1-Settings!$C$17),"OK",IF(J664&gt;=C664/(1-SKU_Base!AH664)/(1-Settings!$C$17),"WARN","STOP"))),"")</f>
        <v/>
      </c>
      <c r="N664" s="159">
        <f>IFERROR(ROUND(D664*(1-CHOOSE(MATCH(IF($E664="","Основний",$E664),{"Трафіковий","Основний","Маржинальний","Сезонний","Стратегічний"},0),Settings!$D$78,Settings!$D$80,Settings!$D$82,Settings!$D$84,Settings!$D$86))/6,2)*6,"")</f>
        <v/>
      </c>
      <c r="O664" s="142">
        <f>IFERROR(CHOOSE(MATCH(IF($E664="","Основний",$E664),{"Трафіковий","Основний","Маржинальний","Сезонний","Стратегічний"},0),Settings!$D$78,Settings!$D$80,Settings!$D$82,Settings!$D$84,Settings!$D$86),"")</f>
        <v/>
      </c>
      <c r="P664" s="143">
        <f>IFERROR((N664*(1-Settings!$D$17)-C664)/(N664*(1-Settings!$D$17)),"")</f>
        <v/>
      </c>
      <c r="Q664" s="149">
        <f>IFERROR(IF(N664="","",IF(N664&gt;=C664/(1-SKU_Base!AB664)/(1-Settings!$D$17),"OK",IF(N664&gt;=C664/(1-SKU_Base!AI664)/(1-Settings!$D$17),"WARN","STOP"))),"")</f>
        <v/>
      </c>
      <c r="R664" s="159">
        <f>IFERROR(ROUND(D664*(1-CHOOSE(MATCH(IF($E664="","Основний",$E664),{"Трафіковий","Основний","Маржинальний","Сезонний","Стратегічний"},0),Settings!$E$78,Settings!$E$80,Settings!$E$82,Settings!$E$84,Settings!$E$86))/6,2)*6,"")</f>
        <v/>
      </c>
      <c r="S664" s="142">
        <f>IFERROR(CHOOSE(MATCH(IF($E664="","Основний",$E664),{"Трафіковий","Основний","Маржинальний","Сезонний","Стратегічний"},0),Settings!$E$78,Settings!$E$80,Settings!$E$82,Settings!$E$84,Settings!$E$86),"")</f>
        <v/>
      </c>
      <c r="T664" s="143">
        <f>IFERROR((R664*(1-Settings!$E$17)-C664)/(R664*(1-Settings!$E$17)),"")</f>
        <v/>
      </c>
      <c r="U664" s="149">
        <f>IFERROR(IF(R664="","",IF(R664&gt;=C664/(1-SKU_Base!AC664)/(1-Settings!$E$17),"OK",IF(R664&gt;=C664/(1-SKU_Base!AJ664)/(1-Settings!$E$17),"WARN","STOP"))),"")</f>
        <v/>
      </c>
      <c r="V664" s="159">
        <f>IFERROR(ROUND(D664*(1-CHOOSE(MATCH(IF($E664="","Основний",$E664),{"Трафіковий","Основний","Маржинальний","Сезонний","Стратегічний"},0),Settings!$F$78,Settings!$F$80,Settings!$F$82,Settings!$F$84,Settings!$F$86))/6,2)*6,"")</f>
        <v/>
      </c>
      <c r="W664" s="142">
        <f>IFERROR(CHOOSE(MATCH(IF($E664="","Основний",$E664),{"Трафіковий","Основний","Маржинальний","Сезонний","Стратегічний"},0),Settings!$F$78,Settings!$F$80,Settings!$F$82,Settings!$F$84,Settings!$F$86),"")</f>
        <v/>
      </c>
      <c r="X664" s="143">
        <f>IFERROR((V664*(1-Settings!$F$17)-C664)/(V664*(1-Settings!$F$17)),"")</f>
        <v/>
      </c>
      <c r="Y664" s="149">
        <f>IFERROR(IF(V664="","",IF(V664&gt;=C664/(1-SKU_Base!AD664)/(1-Settings!$F$17),"OK",IF(V664&gt;=C664/(1-SKU_Base!AK664)/(1-Settings!$F$17),"WARN","STOP"))),"")</f>
        <v/>
      </c>
      <c r="Z664" s="159">
        <f>IFERROR(ROUND(D664*(1-CHOOSE(MATCH(IF($E664="","Основний",$E664),{"Трафіковий","Основний","Маржинальний","Сезонний","Стратегічний"},0),Settings!$G$78,Settings!$G$80,Settings!$G$82,Settings!$G$84,Settings!$G$86))/6,2)*6,"")</f>
        <v/>
      </c>
      <c r="AA664" s="142">
        <f>IFERROR(CHOOSE(MATCH(IF($E664="","Основний",$E664),{"Трафіковий","Основний","Маржинальний","Сезонний","Стратегічний"},0),Settings!$G$78,Settings!$G$80,Settings!$G$82,Settings!$G$84,Settings!$G$86),"")</f>
        <v/>
      </c>
      <c r="AB664" s="143">
        <f>IFERROR((Z664*(1-Settings!$G$17)-C664)/(Z664*(1-Settings!$G$17)),"")</f>
        <v/>
      </c>
      <c r="AC664" s="149">
        <f>IFERROR(IF(Z664="","",IF(Z664&gt;=C664/(1-SKU_Base!AE664)/(1-Settings!$G$17),"OK",IF(Z664&gt;=C664/(1-SKU_Base!AL664)/(1-Settings!$G$17),"WARN","STOP"))),"")</f>
        <v/>
      </c>
      <c r="AD664" s="159">
        <f>IFERROR(ROUND(D664*(1-CHOOSE(MATCH(IF($E664="","Основний",$E664),{"Трафіковий","Основний","Маржинальний","Сезонний","Стратегічний"},0),Settings!$H$78,Settings!$H$80,Settings!$H$82,Settings!$H$84,Settings!$H$86))*(1-Settings!$H$68)/6,2)*6,"")</f>
        <v/>
      </c>
      <c r="AE664" s="142">
        <f>IFERROR(CHOOSE(MATCH(IF($E664="","Основний",$E664),{"Трафіковий","Основний","Маржинальний","Сезонний","Стратегічний"},0),Settings!$H$78,Settings!$H$80,Settings!$H$82,Settings!$H$84,Settings!$H$86)+(1-(CHOOSE(MATCH(IF($E664="","Основний",$E664),{"Трафіковий","Основний","Маржинальний","Сезонний","Стратегічний"},0),Settings!$H$78,Settings!$H$80,Settings!$H$82,Settings!$H$84,Settings!$H$86)))*Settings!$H$68,"")</f>
        <v/>
      </c>
      <c r="AF664" s="143">
        <f>IFERROR((AD664*(1-Settings!$H$17)-C664)/(AD664*(1-Settings!$H$17)),"")</f>
        <v/>
      </c>
      <c r="AG664" s="150">
        <f>IFERROR(IF(AD664="","",IF(AD664&gt;=C664/(1-SKU_Base!AF664)/(1-Settings!$H$17),"OK",IF(AD664&gt;=C664/(1-SKU_Base!AM664)/(1-Settings!$H$17),"WARN","STOP"))),"")</f>
        <v/>
      </c>
    </row>
    <row r="665" ht="17" customHeight="1" s="179">
      <c r="A665" s="146">
        <f>SKU_Base!B665</f>
        <v/>
      </c>
      <c r="B665" s="146">
        <f>SKU_Base!C665</f>
        <v/>
      </c>
      <c r="C665" s="147">
        <f>IFERROR(SKU_Base!I665,"")</f>
        <v/>
      </c>
      <c r="D665" s="164">
        <f>IFERROR(SKU_Base!T665,"")</f>
        <v/>
      </c>
      <c r="E665" s="141">
        <f>IFERROR(SKU_Base!$U665,"")</f>
        <v/>
      </c>
      <c r="F665" s="160">
        <f>IFERROR(ROUND(D665*(1-CHOOSE(MATCH(IF($E665="","Основний",$E665),{"Трафіковий","Основний","Маржинальний","Сезонний","Стратегічний"},0),Settings!$B$78,Settings!$B$80,Settings!$B$82,Settings!$B$84,Settings!$B$86))/6,2)*6,"")</f>
        <v/>
      </c>
      <c r="G665" s="142">
        <f>IFERROR(CHOOSE(MATCH(IF($E665="","Основний",$E665),{"Трафіковий","Основний","Маржинальний","Сезонний","Стратегічний"},0),Settings!$B$78,Settings!$B$80,Settings!$B$82,Settings!$B$84,Settings!$B$86),"")</f>
        <v/>
      </c>
      <c r="H665" s="148">
        <f>IFERROR((F665*(1-Settings!$B$17)-C665)/(F665*(1-Settings!$B$17)),"")</f>
        <v/>
      </c>
      <c r="I665" s="149">
        <f>IFERROR(IF(F665="","",IF(F665&gt;=C665/(1-SKU_Base!Z665)/(1-Settings!$B$17),"OK",IF(F665&gt;=C665/(1-SKU_Base!AG665)/(1-Settings!$B$17),"WARN","STOP"))),"")</f>
        <v/>
      </c>
      <c r="J665" s="160">
        <f>IFERROR(ROUND(D665*(1-CHOOSE(MATCH(IF($E665="","Основний",$E665),{"Трафіковий","Основний","Маржинальний","Сезонний","Стратегічний"},0),Settings!$C$78,Settings!$C$80,Settings!$C$82,Settings!$C$84,Settings!$C$86))/6,2)*6,"")</f>
        <v/>
      </c>
      <c r="K665" s="142">
        <f>IFERROR(CHOOSE(MATCH(IF($E665="","Основний",$E665),{"Трафіковий","Основний","Маржинальний","Сезонний","Стратегічний"},0),Settings!$C$78,Settings!$C$80,Settings!$C$82,Settings!$C$84,Settings!$C$86),"")</f>
        <v/>
      </c>
      <c r="L665" s="148">
        <f>IFERROR((J665*(1-Settings!$C$17)-C665)/(J665*(1-Settings!$C$17)),"")</f>
        <v/>
      </c>
      <c r="M665" s="149">
        <f>IFERROR(IF(J665="","",IF(J665&gt;=C665/(1-SKU_Base!AA665)/(1-Settings!$C$17),"OK",IF(J665&gt;=C665/(1-SKU_Base!AH665)/(1-Settings!$C$17),"WARN","STOP"))),"")</f>
        <v/>
      </c>
      <c r="N665" s="161">
        <f>IFERROR(ROUND(D665*(1-CHOOSE(MATCH(IF($E665="","Основний",$E665),{"Трафіковий","Основний","Маржинальний","Сезонний","Стратегічний"},0),Settings!$D$78,Settings!$D$80,Settings!$D$82,Settings!$D$84,Settings!$D$86))/6,2)*6,"")</f>
        <v/>
      </c>
      <c r="O665" s="142">
        <f>IFERROR(CHOOSE(MATCH(IF($E665="","Основний",$E665),{"Трафіковий","Основний","Маржинальний","Сезонний","Стратегічний"},0),Settings!$D$78,Settings!$D$80,Settings!$D$82,Settings!$D$84,Settings!$D$86),"")</f>
        <v/>
      </c>
      <c r="P665" s="148">
        <f>IFERROR((N665*(1-Settings!$D$17)-C665)/(N665*(1-Settings!$D$17)),"")</f>
        <v/>
      </c>
      <c r="Q665" s="149">
        <f>IFERROR(IF(N665="","",IF(N665&gt;=C665/(1-SKU_Base!AB665)/(1-Settings!$D$17),"OK",IF(N665&gt;=C665/(1-SKU_Base!AI665)/(1-Settings!$D$17),"WARN","STOP"))),"")</f>
        <v/>
      </c>
      <c r="R665" s="161">
        <f>IFERROR(ROUND(D665*(1-CHOOSE(MATCH(IF($E665="","Основний",$E665),{"Трафіковий","Основний","Маржинальний","Сезонний","Стратегічний"},0),Settings!$E$78,Settings!$E$80,Settings!$E$82,Settings!$E$84,Settings!$E$86))/6,2)*6,"")</f>
        <v/>
      </c>
      <c r="S665" s="142">
        <f>IFERROR(CHOOSE(MATCH(IF($E665="","Основний",$E665),{"Трафіковий","Основний","Маржинальний","Сезонний","Стратегічний"},0),Settings!$E$78,Settings!$E$80,Settings!$E$82,Settings!$E$84,Settings!$E$86),"")</f>
        <v/>
      </c>
      <c r="T665" s="148">
        <f>IFERROR((R665*(1-Settings!$E$17)-C665)/(R665*(1-Settings!$E$17)),"")</f>
        <v/>
      </c>
      <c r="U665" s="149">
        <f>IFERROR(IF(R665="","",IF(R665&gt;=C665/(1-SKU_Base!AC665)/(1-Settings!$E$17),"OK",IF(R665&gt;=C665/(1-SKU_Base!AJ665)/(1-Settings!$E$17),"WARN","STOP"))),"")</f>
        <v/>
      </c>
      <c r="V665" s="161">
        <f>IFERROR(ROUND(D665*(1-CHOOSE(MATCH(IF($E665="","Основний",$E665),{"Трафіковий","Основний","Маржинальний","Сезонний","Стратегічний"},0),Settings!$F$78,Settings!$F$80,Settings!$F$82,Settings!$F$84,Settings!$F$86))/6,2)*6,"")</f>
        <v/>
      </c>
      <c r="W665" s="142">
        <f>IFERROR(CHOOSE(MATCH(IF($E665="","Основний",$E665),{"Трафіковий","Основний","Маржинальний","Сезонний","Стратегічний"},0),Settings!$F$78,Settings!$F$80,Settings!$F$82,Settings!$F$84,Settings!$F$86),"")</f>
        <v/>
      </c>
      <c r="X665" s="148">
        <f>IFERROR((V665*(1-Settings!$F$17)-C665)/(V665*(1-Settings!$F$17)),"")</f>
        <v/>
      </c>
      <c r="Y665" s="149">
        <f>IFERROR(IF(V665="","",IF(V665&gt;=C665/(1-SKU_Base!AD665)/(1-Settings!$F$17),"OK",IF(V665&gt;=C665/(1-SKU_Base!AK665)/(1-Settings!$F$17),"WARN","STOP"))),"")</f>
        <v/>
      </c>
      <c r="Z665" s="161">
        <f>IFERROR(ROUND(D665*(1-CHOOSE(MATCH(IF($E665="","Основний",$E665),{"Трафіковий","Основний","Маржинальний","Сезонний","Стратегічний"},0),Settings!$G$78,Settings!$G$80,Settings!$G$82,Settings!$G$84,Settings!$G$86))/6,2)*6,"")</f>
        <v/>
      </c>
      <c r="AA665" s="142">
        <f>IFERROR(CHOOSE(MATCH(IF($E665="","Основний",$E665),{"Трафіковий","Основний","Маржинальний","Сезонний","Стратегічний"},0),Settings!$G$78,Settings!$G$80,Settings!$G$82,Settings!$G$84,Settings!$G$86),"")</f>
        <v/>
      </c>
      <c r="AB665" s="148">
        <f>IFERROR((Z665*(1-Settings!$G$17)-C665)/(Z665*(1-Settings!$G$17)),"")</f>
        <v/>
      </c>
      <c r="AC665" s="149">
        <f>IFERROR(IF(Z665="","",IF(Z665&gt;=C665/(1-SKU_Base!AE665)/(1-Settings!$G$17),"OK",IF(Z665&gt;=C665/(1-SKU_Base!AL665)/(1-Settings!$G$17),"WARN","STOP"))),"")</f>
        <v/>
      </c>
      <c r="AD665" s="161">
        <f>IFERROR(ROUND(D665*(1-CHOOSE(MATCH(IF($E665="","Основний",$E665),{"Трафіковий","Основний","Маржинальний","Сезонний","Стратегічний"},0),Settings!$H$78,Settings!$H$80,Settings!$H$82,Settings!$H$84,Settings!$H$86))*(1-Settings!$H$68)/6,2)*6,"")</f>
        <v/>
      </c>
      <c r="AE665" s="142">
        <f>IFERROR(CHOOSE(MATCH(IF($E665="","Основний",$E665),{"Трафіковий","Основний","Маржинальний","Сезонний","Стратегічний"},0),Settings!$H$78,Settings!$H$80,Settings!$H$82,Settings!$H$84,Settings!$H$86)+(1-(CHOOSE(MATCH(IF($E665="","Основний",$E665),{"Трафіковий","Основний","Маржинальний","Сезонний","Стратегічний"},0),Settings!$H$78,Settings!$H$80,Settings!$H$82,Settings!$H$84,Settings!$H$86)))*Settings!$H$68,"")</f>
        <v/>
      </c>
      <c r="AF665" s="148">
        <f>IFERROR((AD665*(1-Settings!$H$17)-C665)/(AD665*(1-Settings!$H$17)),"")</f>
        <v/>
      </c>
      <c r="AG665" s="150">
        <f>IFERROR(IF(AD665="","",IF(AD665&gt;=C665/(1-SKU_Base!AF665)/(1-Settings!$H$17),"OK",IF(AD665&gt;=C665/(1-SKU_Base!AM665)/(1-Settings!$H$17),"WARN","STOP"))),"")</f>
        <v/>
      </c>
    </row>
    <row r="666" ht="17" customHeight="1" s="179">
      <c r="A666" s="139">
        <f>SKU_Base!B666</f>
        <v/>
      </c>
      <c r="B666" s="139">
        <f>SKU_Base!C666</f>
        <v/>
      </c>
      <c r="C666" s="140">
        <f>IFERROR(SKU_Base!I666,"")</f>
        <v/>
      </c>
      <c r="D666" s="163">
        <f>IFERROR(SKU_Base!T666,"")</f>
        <v/>
      </c>
      <c r="E666" s="141">
        <f>IFERROR(SKU_Base!$U666,"")</f>
        <v/>
      </c>
      <c r="F666" s="158">
        <f>IFERROR(ROUND(D666*(1-CHOOSE(MATCH(IF($E666="","Основний",$E666),{"Трафіковий","Основний","Маржинальний","Сезонний","Стратегічний"},0),Settings!$B$78,Settings!$B$80,Settings!$B$82,Settings!$B$84,Settings!$B$86))/6,2)*6,"")</f>
        <v/>
      </c>
      <c r="G666" s="142">
        <f>IFERROR(CHOOSE(MATCH(IF($E666="","Основний",$E666),{"Трафіковий","Основний","Маржинальний","Сезонний","Стратегічний"},0),Settings!$B$78,Settings!$B$80,Settings!$B$82,Settings!$B$84,Settings!$B$86),"")</f>
        <v/>
      </c>
      <c r="H666" s="143">
        <f>IFERROR((F666*(1-Settings!$B$17)-C666)/(F666*(1-Settings!$B$17)),"")</f>
        <v/>
      </c>
      <c r="I666" s="149">
        <f>IFERROR(IF(F666="","",IF(F666&gt;=C666/(1-SKU_Base!Z666)/(1-Settings!$B$17),"OK",IF(F666&gt;=C666/(1-SKU_Base!AG666)/(1-Settings!$B$17),"WARN","STOP"))),"")</f>
        <v/>
      </c>
      <c r="J666" s="158">
        <f>IFERROR(ROUND(D666*(1-CHOOSE(MATCH(IF($E666="","Основний",$E666),{"Трафіковий","Основний","Маржинальний","Сезонний","Стратегічний"},0),Settings!$C$78,Settings!$C$80,Settings!$C$82,Settings!$C$84,Settings!$C$86))/6,2)*6,"")</f>
        <v/>
      </c>
      <c r="K666" s="142">
        <f>IFERROR(CHOOSE(MATCH(IF($E666="","Основний",$E666),{"Трафіковий","Основний","Маржинальний","Сезонний","Стратегічний"},0),Settings!$C$78,Settings!$C$80,Settings!$C$82,Settings!$C$84,Settings!$C$86),"")</f>
        <v/>
      </c>
      <c r="L666" s="143">
        <f>IFERROR((J666*(1-Settings!$C$17)-C666)/(J666*(1-Settings!$C$17)),"")</f>
        <v/>
      </c>
      <c r="M666" s="149">
        <f>IFERROR(IF(J666="","",IF(J666&gt;=C666/(1-SKU_Base!AA666)/(1-Settings!$C$17),"OK",IF(J666&gt;=C666/(1-SKU_Base!AH666)/(1-Settings!$C$17),"WARN","STOP"))),"")</f>
        <v/>
      </c>
      <c r="N666" s="159">
        <f>IFERROR(ROUND(D666*(1-CHOOSE(MATCH(IF($E666="","Основний",$E666),{"Трафіковий","Основний","Маржинальний","Сезонний","Стратегічний"},0),Settings!$D$78,Settings!$D$80,Settings!$D$82,Settings!$D$84,Settings!$D$86))/6,2)*6,"")</f>
        <v/>
      </c>
      <c r="O666" s="142">
        <f>IFERROR(CHOOSE(MATCH(IF($E666="","Основний",$E666),{"Трафіковий","Основний","Маржинальний","Сезонний","Стратегічний"},0),Settings!$D$78,Settings!$D$80,Settings!$D$82,Settings!$D$84,Settings!$D$86),"")</f>
        <v/>
      </c>
      <c r="P666" s="143">
        <f>IFERROR((N666*(1-Settings!$D$17)-C666)/(N666*(1-Settings!$D$17)),"")</f>
        <v/>
      </c>
      <c r="Q666" s="149">
        <f>IFERROR(IF(N666="","",IF(N666&gt;=C666/(1-SKU_Base!AB666)/(1-Settings!$D$17),"OK",IF(N666&gt;=C666/(1-SKU_Base!AI666)/(1-Settings!$D$17),"WARN","STOP"))),"")</f>
        <v/>
      </c>
      <c r="R666" s="159">
        <f>IFERROR(ROUND(D666*(1-CHOOSE(MATCH(IF($E666="","Основний",$E666),{"Трафіковий","Основний","Маржинальний","Сезонний","Стратегічний"},0),Settings!$E$78,Settings!$E$80,Settings!$E$82,Settings!$E$84,Settings!$E$86))/6,2)*6,"")</f>
        <v/>
      </c>
      <c r="S666" s="142">
        <f>IFERROR(CHOOSE(MATCH(IF($E666="","Основний",$E666),{"Трафіковий","Основний","Маржинальний","Сезонний","Стратегічний"},0),Settings!$E$78,Settings!$E$80,Settings!$E$82,Settings!$E$84,Settings!$E$86),"")</f>
        <v/>
      </c>
      <c r="T666" s="143">
        <f>IFERROR((R666*(1-Settings!$E$17)-C666)/(R666*(1-Settings!$E$17)),"")</f>
        <v/>
      </c>
      <c r="U666" s="149">
        <f>IFERROR(IF(R666="","",IF(R666&gt;=C666/(1-SKU_Base!AC666)/(1-Settings!$E$17),"OK",IF(R666&gt;=C666/(1-SKU_Base!AJ666)/(1-Settings!$E$17),"WARN","STOP"))),"")</f>
        <v/>
      </c>
      <c r="V666" s="159">
        <f>IFERROR(ROUND(D666*(1-CHOOSE(MATCH(IF($E666="","Основний",$E666),{"Трафіковий","Основний","Маржинальний","Сезонний","Стратегічний"},0),Settings!$F$78,Settings!$F$80,Settings!$F$82,Settings!$F$84,Settings!$F$86))/6,2)*6,"")</f>
        <v/>
      </c>
      <c r="W666" s="142">
        <f>IFERROR(CHOOSE(MATCH(IF($E666="","Основний",$E666),{"Трафіковий","Основний","Маржинальний","Сезонний","Стратегічний"},0),Settings!$F$78,Settings!$F$80,Settings!$F$82,Settings!$F$84,Settings!$F$86),"")</f>
        <v/>
      </c>
      <c r="X666" s="143">
        <f>IFERROR((V666*(1-Settings!$F$17)-C666)/(V666*(1-Settings!$F$17)),"")</f>
        <v/>
      </c>
      <c r="Y666" s="149">
        <f>IFERROR(IF(V666="","",IF(V666&gt;=C666/(1-SKU_Base!AD666)/(1-Settings!$F$17),"OK",IF(V666&gt;=C666/(1-SKU_Base!AK666)/(1-Settings!$F$17),"WARN","STOP"))),"")</f>
        <v/>
      </c>
      <c r="Z666" s="159">
        <f>IFERROR(ROUND(D666*(1-CHOOSE(MATCH(IF($E666="","Основний",$E666),{"Трафіковий","Основний","Маржинальний","Сезонний","Стратегічний"},0),Settings!$G$78,Settings!$G$80,Settings!$G$82,Settings!$G$84,Settings!$G$86))/6,2)*6,"")</f>
        <v/>
      </c>
      <c r="AA666" s="142">
        <f>IFERROR(CHOOSE(MATCH(IF($E666="","Основний",$E666),{"Трафіковий","Основний","Маржинальний","Сезонний","Стратегічний"},0),Settings!$G$78,Settings!$G$80,Settings!$G$82,Settings!$G$84,Settings!$G$86),"")</f>
        <v/>
      </c>
      <c r="AB666" s="143">
        <f>IFERROR((Z666*(1-Settings!$G$17)-C666)/(Z666*(1-Settings!$G$17)),"")</f>
        <v/>
      </c>
      <c r="AC666" s="149">
        <f>IFERROR(IF(Z666="","",IF(Z666&gt;=C666/(1-SKU_Base!AE666)/(1-Settings!$G$17),"OK",IF(Z666&gt;=C666/(1-SKU_Base!AL666)/(1-Settings!$G$17),"WARN","STOP"))),"")</f>
        <v/>
      </c>
      <c r="AD666" s="159">
        <f>IFERROR(ROUND(D666*(1-CHOOSE(MATCH(IF($E666="","Основний",$E666),{"Трафіковий","Основний","Маржинальний","Сезонний","Стратегічний"},0),Settings!$H$78,Settings!$H$80,Settings!$H$82,Settings!$H$84,Settings!$H$86))*(1-Settings!$H$68)/6,2)*6,"")</f>
        <v/>
      </c>
      <c r="AE666" s="142">
        <f>IFERROR(CHOOSE(MATCH(IF($E666="","Основний",$E666),{"Трафіковий","Основний","Маржинальний","Сезонний","Стратегічний"},0),Settings!$H$78,Settings!$H$80,Settings!$H$82,Settings!$H$84,Settings!$H$86)+(1-(CHOOSE(MATCH(IF($E666="","Основний",$E666),{"Трафіковий","Основний","Маржинальний","Сезонний","Стратегічний"},0),Settings!$H$78,Settings!$H$80,Settings!$H$82,Settings!$H$84,Settings!$H$86)))*Settings!$H$68,"")</f>
        <v/>
      </c>
      <c r="AF666" s="143">
        <f>IFERROR((AD666*(1-Settings!$H$17)-C666)/(AD666*(1-Settings!$H$17)),"")</f>
        <v/>
      </c>
      <c r="AG666" s="150">
        <f>IFERROR(IF(AD666="","",IF(AD666&gt;=C666/(1-SKU_Base!AF666)/(1-Settings!$H$17),"OK",IF(AD666&gt;=C666/(1-SKU_Base!AM666)/(1-Settings!$H$17),"WARN","STOP"))),"")</f>
        <v/>
      </c>
    </row>
    <row r="667" ht="17" customHeight="1" s="179">
      <c r="A667" s="146">
        <f>SKU_Base!B667</f>
        <v/>
      </c>
      <c r="B667" s="146">
        <f>SKU_Base!C667</f>
        <v/>
      </c>
      <c r="C667" s="147">
        <f>IFERROR(SKU_Base!I667,"")</f>
        <v/>
      </c>
      <c r="D667" s="164">
        <f>IFERROR(SKU_Base!T667,"")</f>
        <v/>
      </c>
      <c r="E667" s="141">
        <f>IFERROR(SKU_Base!$U667,"")</f>
        <v/>
      </c>
      <c r="F667" s="160">
        <f>IFERROR(ROUND(D667*(1-CHOOSE(MATCH(IF($E667="","Основний",$E667),{"Трафіковий","Основний","Маржинальний","Сезонний","Стратегічний"},0),Settings!$B$78,Settings!$B$80,Settings!$B$82,Settings!$B$84,Settings!$B$86))/6,2)*6,"")</f>
        <v/>
      </c>
      <c r="G667" s="142">
        <f>IFERROR(CHOOSE(MATCH(IF($E667="","Основний",$E667),{"Трафіковий","Основний","Маржинальний","Сезонний","Стратегічний"},0),Settings!$B$78,Settings!$B$80,Settings!$B$82,Settings!$B$84,Settings!$B$86),"")</f>
        <v/>
      </c>
      <c r="H667" s="148">
        <f>IFERROR((F667*(1-Settings!$B$17)-C667)/(F667*(1-Settings!$B$17)),"")</f>
        <v/>
      </c>
      <c r="I667" s="149">
        <f>IFERROR(IF(F667="","",IF(F667&gt;=C667/(1-SKU_Base!Z667)/(1-Settings!$B$17),"OK",IF(F667&gt;=C667/(1-SKU_Base!AG667)/(1-Settings!$B$17),"WARN","STOP"))),"")</f>
        <v/>
      </c>
      <c r="J667" s="160">
        <f>IFERROR(ROUND(D667*(1-CHOOSE(MATCH(IF($E667="","Основний",$E667),{"Трафіковий","Основний","Маржинальний","Сезонний","Стратегічний"},0),Settings!$C$78,Settings!$C$80,Settings!$C$82,Settings!$C$84,Settings!$C$86))/6,2)*6,"")</f>
        <v/>
      </c>
      <c r="K667" s="142">
        <f>IFERROR(CHOOSE(MATCH(IF($E667="","Основний",$E667),{"Трафіковий","Основний","Маржинальний","Сезонний","Стратегічний"},0),Settings!$C$78,Settings!$C$80,Settings!$C$82,Settings!$C$84,Settings!$C$86),"")</f>
        <v/>
      </c>
      <c r="L667" s="148">
        <f>IFERROR((J667*(1-Settings!$C$17)-C667)/(J667*(1-Settings!$C$17)),"")</f>
        <v/>
      </c>
      <c r="M667" s="149">
        <f>IFERROR(IF(J667="","",IF(J667&gt;=C667/(1-SKU_Base!AA667)/(1-Settings!$C$17),"OK",IF(J667&gt;=C667/(1-SKU_Base!AH667)/(1-Settings!$C$17),"WARN","STOP"))),"")</f>
        <v/>
      </c>
      <c r="N667" s="161">
        <f>IFERROR(ROUND(D667*(1-CHOOSE(MATCH(IF($E667="","Основний",$E667),{"Трафіковий","Основний","Маржинальний","Сезонний","Стратегічний"},0),Settings!$D$78,Settings!$D$80,Settings!$D$82,Settings!$D$84,Settings!$D$86))/6,2)*6,"")</f>
        <v/>
      </c>
      <c r="O667" s="142">
        <f>IFERROR(CHOOSE(MATCH(IF($E667="","Основний",$E667),{"Трафіковий","Основний","Маржинальний","Сезонний","Стратегічний"},0),Settings!$D$78,Settings!$D$80,Settings!$D$82,Settings!$D$84,Settings!$D$86),"")</f>
        <v/>
      </c>
      <c r="P667" s="148">
        <f>IFERROR((N667*(1-Settings!$D$17)-C667)/(N667*(1-Settings!$D$17)),"")</f>
        <v/>
      </c>
      <c r="Q667" s="149">
        <f>IFERROR(IF(N667="","",IF(N667&gt;=C667/(1-SKU_Base!AB667)/(1-Settings!$D$17),"OK",IF(N667&gt;=C667/(1-SKU_Base!AI667)/(1-Settings!$D$17),"WARN","STOP"))),"")</f>
        <v/>
      </c>
      <c r="R667" s="161">
        <f>IFERROR(ROUND(D667*(1-CHOOSE(MATCH(IF($E667="","Основний",$E667),{"Трафіковий","Основний","Маржинальний","Сезонний","Стратегічний"},0),Settings!$E$78,Settings!$E$80,Settings!$E$82,Settings!$E$84,Settings!$E$86))/6,2)*6,"")</f>
        <v/>
      </c>
      <c r="S667" s="142">
        <f>IFERROR(CHOOSE(MATCH(IF($E667="","Основний",$E667),{"Трафіковий","Основний","Маржинальний","Сезонний","Стратегічний"},0),Settings!$E$78,Settings!$E$80,Settings!$E$82,Settings!$E$84,Settings!$E$86),"")</f>
        <v/>
      </c>
      <c r="T667" s="148">
        <f>IFERROR((R667*(1-Settings!$E$17)-C667)/(R667*(1-Settings!$E$17)),"")</f>
        <v/>
      </c>
      <c r="U667" s="149">
        <f>IFERROR(IF(R667="","",IF(R667&gt;=C667/(1-SKU_Base!AC667)/(1-Settings!$E$17),"OK",IF(R667&gt;=C667/(1-SKU_Base!AJ667)/(1-Settings!$E$17),"WARN","STOP"))),"")</f>
        <v/>
      </c>
      <c r="V667" s="161">
        <f>IFERROR(ROUND(D667*(1-CHOOSE(MATCH(IF($E667="","Основний",$E667),{"Трафіковий","Основний","Маржинальний","Сезонний","Стратегічний"},0),Settings!$F$78,Settings!$F$80,Settings!$F$82,Settings!$F$84,Settings!$F$86))/6,2)*6,"")</f>
        <v/>
      </c>
      <c r="W667" s="142">
        <f>IFERROR(CHOOSE(MATCH(IF($E667="","Основний",$E667),{"Трафіковий","Основний","Маржинальний","Сезонний","Стратегічний"},0),Settings!$F$78,Settings!$F$80,Settings!$F$82,Settings!$F$84,Settings!$F$86),"")</f>
        <v/>
      </c>
      <c r="X667" s="148">
        <f>IFERROR((V667*(1-Settings!$F$17)-C667)/(V667*(1-Settings!$F$17)),"")</f>
        <v/>
      </c>
      <c r="Y667" s="149">
        <f>IFERROR(IF(V667="","",IF(V667&gt;=C667/(1-SKU_Base!AD667)/(1-Settings!$F$17),"OK",IF(V667&gt;=C667/(1-SKU_Base!AK667)/(1-Settings!$F$17),"WARN","STOP"))),"")</f>
        <v/>
      </c>
      <c r="Z667" s="161">
        <f>IFERROR(ROUND(D667*(1-CHOOSE(MATCH(IF($E667="","Основний",$E667),{"Трафіковий","Основний","Маржинальний","Сезонний","Стратегічний"},0),Settings!$G$78,Settings!$G$80,Settings!$G$82,Settings!$G$84,Settings!$G$86))/6,2)*6,"")</f>
        <v/>
      </c>
      <c r="AA667" s="142">
        <f>IFERROR(CHOOSE(MATCH(IF($E667="","Основний",$E667),{"Трафіковий","Основний","Маржинальний","Сезонний","Стратегічний"},0),Settings!$G$78,Settings!$G$80,Settings!$G$82,Settings!$G$84,Settings!$G$86),"")</f>
        <v/>
      </c>
      <c r="AB667" s="148">
        <f>IFERROR((Z667*(1-Settings!$G$17)-C667)/(Z667*(1-Settings!$G$17)),"")</f>
        <v/>
      </c>
      <c r="AC667" s="149">
        <f>IFERROR(IF(Z667="","",IF(Z667&gt;=C667/(1-SKU_Base!AE667)/(1-Settings!$G$17),"OK",IF(Z667&gt;=C667/(1-SKU_Base!AL667)/(1-Settings!$G$17),"WARN","STOP"))),"")</f>
        <v/>
      </c>
      <c r="AD667" s="161">
        <f>IFERROR(ROUND(D667*(1-CHOOSE(MATCH(IF($E667="","Основний",$E667),{"Трафіковий","Основний","Маржинальний","Сезонний","Стратегічний"},0),Settings!$H$78,Settings!$H$80,Settings!$H$82,Settings!$H$84,Settings!$H$86))*(1-Settings!$H$68)/6,2)*6,"")</f>
        <v/>
      </c>
      <c r="AE667" s="142">
        <f>IFERROR(CHOOSE(MATCH(IF($E667="","Основний",$E667),{"Трафіковий","Основний","Маржинальний","Сезонний","Стратегічний"},0),Settings!$H$78,Settings!$H$80,Settings!$H$82,Settings!$H$84,Settings!$H$86)+(1-(CHOOSE(MATCH(IF($E667="","Основний",$E667),{"Трафіковий","Основний","Маржинальний","Сезонний","Стратегічний"},0),Settings!$H$78,Settings!$H$80,Settings!$H$82,Settings!$H$84,Settings!$H$86)))*Settings!$H$68,"")</f>
        <v/>
      </c>
      <c r="AF667" s="148">
        <f>IFERROR((AD667*(1-Settings!$H$17)-C667)/(AD667*(1-Settings!$H$17)),"")</f>
        <v/>
      </c>
      <c r="AG667" s="150">
        <f>IFERROR(IF(AD667="","",IF(AD667&gt;=C667/(1-SKU_Base!AF667)/(1-Settings!$H$17),"OK",IF(AD667&gt;=C667/(1-SKU_Base!AM667)/(1-Settings!$H$17),"WARN","STOP"))),"")</f>
        <v/>
      </c>
    </row>
    <row r="668" ht="17" customHeight="1" s="179">
      <c r="A668" s="139">
        <f>SKU_Base!B668</f>
        <v/>
      </c>
      <c r="B668" s="139">
        <f>SKU_Base!C668</f>
        <v/>
      </c>
      <c r="C668" s="140">
        <f>IFERROR(SKU_Base!I668,"")</f>
        <v/>
      </c>
      <c r="D668" s="163">
        <f>IFERROR(SKU_Base!T668,"")</f>
        <v/>
      </c>
      <c r="E668" s="141">
        <f>IFERROR(SKU_Base!$U668,"")</f>
        <v/>
      </c>
      <c r="F668" s="158">
        <f>IFERROR(ROUND(D668*(1-CHOOSE(MATCH(IF($E668="","Основний",$E668),{"Трафіковий","Основний","Маржинальний","Сезонний","Стратегічний"},0),Settings!$B$78,Settings!$B$80,Settings!$B$82,Settings!$B$84,Settings!$B$86))/6,2)*6,"")</f>
        <v/>
      </c>
      <c r="G668" s="142">
        <f>IFERROR(CHOOSE(MATCH(IF($E668="","Основний",$E668),{"Трафіковий","Основний","Маржинальний","Сезонний","Стратегічний"},0),Settings!$B$78,Settings!$B$80,Settings!$B$82,Settings!$B$84,Settings!$B$86),"")</f>
        <v/>
      </c>
      <c r="H668" s="143">
        <f>IFERROR((F668*(1-Settings!$B$17)-C668)/(F668*(1-Settings!$B$17)),"")</f>
        <v/>
      </c>
      <c r="I668" s="149">
        <f>IFERROR(IF(F668="","",IF(F668&gt;=C668/(1-SKU_Base!Z668)/(1-Settings!$B$17),"OK",IF(F668&gt;=C668/(1-SKU_Base!AG668)/(1-Settings!$B$17),"WARN","STOP"))),"")</f>
        <v/>
      </c>
      <c r="J668" s="158">
        <f>IFERROR(ROUND(D668*(1-CHOOSE(MATCH(IF($E668="","Основний",$E668),{"Трафіковий","Основний","Маржинальний","Сезонний","Стратегічний"},0),Settings!$C$78,Settings!$C$80,Settings!$C$82,Settings!$C$84,Settings!$C$86))/6,2)*6,"")</f>
        <v/>
      </c>
      <c r="K668" s="142">
        <f>IFERROR(CHOOSE(MATCH(IF($E668="","Основний",$E668),{"Трафіковий","Основний","Маржинальний","Сезонний","Стратегічний"},0),Settings!$C$78,Settings!$C$80,Settings!$C$82,Settings!$C$84,Settings!$C$86),"")</f>
        <v/>
      </c>
      <c r="L668" s="143">
        <f>IFERROR((J668*(1-Settings!$C$17)-C668)/(J668*(1-Settings!$C$17)),"")</f>
        <v/>
      </c>
      <c r="M668" s="149">
        <f>IFERROR(IF(J668="","",IF(J668&gt;=C668/(1-SKU_Base!AA668)/(1-Settings!$C$17),"OK",IF(J668&gt;=C668/(1-SKU_Base!AH668)/(1-Settings!$C$17),"WARN","STOP"))),"")</f>
        <v/>
      </c>
      <c r="N668" s="159">
        <f>IFERROR(ROUND(D668*(1-CHOOSE(MATCH(IF($E668="","Основний",$E668),{"Трафіковий","Основний","Маржинальний","Сезонний","Стратегічний"},0),Settings!$D$78,Settings!$D$80,Settings!$D$82,Settings!$D$84,Settings!$D$86))/6,2)*6,"")</f>
        <v/>
      </c>
      <c r="O668" s="142">
        <f>IFERROR(CHOOSE(MATCH(IF($E668="","Основний",$E668),{"Трафіковий","Основний","Маржинальний","Сезонний","Стратегічний"},0),Settings!$D$78,Settings!$D$80,Settings!$D$82,Settings!$D$84,Settings!$D$86),"")</f>
        <v/>
      </c>
      <c r="P668" s="143">
        <f>IFERROR((N668*(1-Settings!$D$17)-C668)/(N668*(1-Settings!$D$17)),"")</f>
        <v/>
      </c>
      <c r="Q668" s="149">
        <f>IFERROR(IF(N668="","",IF(N668&gt;=C668/(1-SKU_Base!AB668)/(1-Settings!$D$17),"OK",IF(N668&gt;=C668/(1-SKU_Base!AI668)/(1-Settings!$D$17),"WARN","STOP"))),"")</f>
        <v/>
      </c>
      <c r="R668" s="159">
        <f>IFERROR(ROUND(D668*(1-CHOOSE(MATCH(IF($E668="","Основний",$E668),{"Трафіковий","Основний","Маржинальний","Сезонний","Стратегічний"},0),Settings!$E$78,Settings!$E$80,Settings!$E$82,Settings!$E$84,Settings!$E$86))/6,2)*6,"")</f>
        <v/>
      </c>
      <c r="S668" s="142">
        <f>IFERROR(CHOOSE(MATCH(IF($E668="","Основний",$E668),{"Трафіковий","Основний","Маржинальний","Сезонний","Стратегічний"},0),Settings!$E$78,Settings!$E$80,Settings!$E$82,Settings!$E$84,Settings!$E$86),"")</f>
        <v/>
      </c>
      <c r="T668" s="143">
        <f>IFERROR((R668*(1-Settings!$E$17)-C668)/(R668*(1-Settings!$E$17)),"")</f>
        <v/>
      </c>
      <c r="U668" s="149">
        <f>IFERROR(IF(R668="","",IF(R668&gt;=C668/(1-SKU_Base!AC668)/(1-Settings!$E$17),"OK",IF(R668&gt;=C668/(1-SKU_Base!AJ668)/(1-Settings!$E$17),"WARN","STOP"))),"")</f>
        <v/>
      </c>
      <c r="V668" s="159">
        <f>IFERROR(ROUND(D668*(1-CHOOSE(MATCH(IF($E668="","Основний",$E668),{"Трафіковий","Основний","Маржинальний","Сезонний","Стратегічний"},0),Settings!$F$78,Settings!$F$80,Settings!$F$82,Settings!$F$84,Settings!$F$86))/6,2)*6,"")</f>
        <v/>
      </c>
      <c r="W668" s="142">
        <f>IFERROR(CHOOSE(MATCH(IF($E668="","Основний",$E668),{"Трафіковий","Основний","Маржинальний","Сезонний","Стратегічний"},0),Settings!$F$78,Settings!$F$80,Settings!$F$82,Settings!$F$84,Settings!$F$86),"")</f>
        <v/>
      </c>
      <c r="X668" s="143">
        <f>IFERROR((V668*(1-Settings!$F$17)-C668)/(V668*(1-Settings!$F$17)),"")</f>
        <v/>
      </c>
      <c r="Y668" s="149">
        <f>IFERROR(IF(V668="","",IF(V668&gt;=C668/(1-SKU_Base!AD668)/(1-Settings!$F$17),"OK",IF(V668&gt;=C668/(1-SKU_Base!AK668)/(1-Settings!$F$17),"WARN","STOP"))),"")</f>
        <v/>
      </c>
      <c r="Z668" s="159">
        <f>IFERROR(ROUND(D668*(1-CHOOSE(MATCH(IF($E668="","Основний",$E668),{"Трафіковий","Основний","Маржинальний","Сезонний","Стратегічний"},0),Settings!$G$78,Settings!$G$80,Settings!$G$82,Settings!$G$84,Settings!$G$86))/6,2)*6,"")</f>
        <v/>
      </c>
      <c r="AA668" s="142">
        <f>IFERROR(CHOOSE(MATCH(IF($E668="","Основний",$E668),{"Трафіковий","Основний","Маржинальний","Сезонний","Стратегічний"},0),Settings!$G$78,Settings!$G$80,Settings!$G$82,Settings!$G$84,Settings!$G$86),"")</f>
        <v/>
      </c>
      <c r="AB668" s="143">
        <f>IFERROR((Z668*(1-Settings!$G$17)-C668)/(Z668*(1-Settings!$G$17)),"")</f>
        <v/>
      </c>
      <c r="AC668" s="149">
        <f>IFERROR(IF(Z668="","",IF(Z668&gt;=C668/(1-SKU_Base!AE668)/(1-Settings!$G$17),"OK",IF(Z668&gt;=C668/(1-SKU_Base!AL668)/(1-Settings!$G$17),"WARN","STOP"))),"")</f>
        <v/>
      </c>
      <c r="AD668" s="159">
        <f>IFERROR(ROUND(D668*(1-CHOOSE(MATCH(IF($E668="","Основний",$E668),{"Трафіковий","Основний","Маржинальний","Сезонний","Стратегічний"},0),Settings!$H$78,Settings!$H$80,Settings!$H$82,Settings!$H$84,Settings!$H$86))*(1-Settings!$H$68)/6,2)*6,"")</f>
        <v/>
      </c>
      <c r="AE668" s="142">
        <f>IFERROR(CHOOSE(MATCH(IF($E668="","Основний",$E668),{"Трафіковий","Основний","Маржинальний","Сезонний","Стратегічний"},0),Settings!$H$78,Settings!$H$80,Settings!$H$82,Settings!$H$84,Settings!$H$86)+(1-(CHOOSE(MATCH(IF($E668="","Основний",$E668),{"Трафіковий","Основний","Маржинальний","Сезонний","Стратегічний"},0),Settings!$H$78,Settings!$H$80,Settings!$H$82,Settings!$H$84,Settings!$H$86)))*Settings!$H$68,"")</f>
        <v/>
      </c>
      <c r="AF668" s="143">
        <f>IFERROR((AD668*(1-Settings!$H$17)-C668)/(AD668*(1-Settings!$H$17)),"")</f>
        <v/>
      </c>
      <c r="AG668" s="150">
        <f>IFERROR(IF(AD668="","",IF(AD668&gt;=C668/(1-SKU_Base!AF668)/(1-Settings!$H$17),"OK",IF(AD668&gt;=C668/(1-SKU_Base!AM668)/(1-Settings!$H$17),"WARN","STOP"))),"")</f>
        <v/>
      </c>
    </row>
    <row r="669" ht="17" customHeight="1" s="179">
      <c r="A669" s="146">
        <f>SKU_Base!B669</f>
        <v/>
      </c>
      <c r="B669" s="146">
        <f>SKU_Base!C669</f>
        <v/>
      </c>
      <c r="C669" s="147">
        <f>IFERROR(SKU_Base!I669,"")</f>
        <v/>
      </c>
      <c r="D669" s="164">
        <f>IFERROR(SKU_Base!T669,"")</f>
        <v/>
      </c>
      <c r="E669" s="141">
        <f>IFERROR(SKU_Base!$U669,"")</f>
        <v/>
      </c>
      <c r="F669" s="160">
        <f>IFERROR(ROUND(D669*(1-CHOOSE(MATCH(IF($E669="","Основний",$E669),{"Трафіковий","Основний","Маржинальний","Сезонний","Стратегічний"},0),Settings!$B$78,Settings!$B$80,Settings!$B$82,Settings!$B$84,Settings!$B$86))/6,2)*6,"")</f>
        <v/>
      </c>
      <c r="G669" s="142">
        <f>IFERROR(CHOOSE(MATCH(IF($E669="","Основний",$E669),{"Трафіковий","Основний","Маржинальний","Сезонний","Стратегічний"},0),Settings!$B$78,Settings!$B$80,Settings!$B$82,Settings!$B$84,Settings!$B$86),"")</f>
        <v/>
      </c>
      <c r="H669" s="148">
        <f>IFERROR((F669*(1-Settings!$B$17)-C669)/(F669*(1-Settings!$B$17)),"")</f>
        <v/>
      </c>
      <c r="I669" s="150">
        <f>IFERROR(IF(F669="","",IF(F669&gt;=C669/(1-SKU_Base!Z669)/(1-Settings!$B$17),"OK",IF(F669&gt;=C669/(1-SKU_Base!AG669)/(1-Settings!$B$17),"WARN","STOP"))),"")</f>
        <v/>
      </c>
      <c r="J669" s="160">
        <f>IFERROR(ROUND(D669*(1-CHOOSE(MATCH(IF($E669="","Основний",$E669),{"Трафіковий","Основний","Маржинальний","Сезонний","Стратегічний"},0),Settings!$C$78,Settings!$C$80,Settings!$C$82,Settings!$C$84,Settings!$C$86))/6,2)*6,"")</f>
        <v/>
      </c>
      <c r="K669" s="142">
        <f>IFERROR(CHOOSE(MATCH(IF($E669="","Основний",$E669),{"Трафіковий","Основний","Маржинальний","Сезонний","Стратегічний"},0),Settings!$C$78,Settings!$C$80,Settings!$C$82,Settings!$C$84,Settings!$C$86),"")</f>
        <v/>
      </c>
      <c r="L669" s="148">
        <f>IFERROR((J669*(1-Settings!$C$17)-C669)/(J669*(1-Settings!$C$17)),"")</f>
        <v/>
      </c>
      <c r="M669" s="149">
        <f>IFERROR(IF(J669="","",IF(J669&gt;=C669/(1-SKU_Base!AA669)/(1-Settings!$C$17),"OK",IF(J669&gt;=C669/(1-SKU_Base!AH669)/(1-Settings!$C$17),"WARN","STOP"))),"")</f>
        <v/>
      </c>
      <c r="N669" s="161">
        <f>IFERROR(ROUND(D669*(1-CHOOSE(MATCH(IF($E669="","Основний",$E669),{"Трафіковий","Основний","Маржинальний","Сезонний","Стратегічний"},0),Settings!$D$78,Settings!$D$80,Settings!$D$82,Settings!$D$84,Settings!$D$86))/6,2)*6,"")</f>
        <v/>
      </c>
      <c r="O669" s="142">
        <f>IFERROR(CHOOSE(MATCH(IF($E669="","Основний",$E669),{"Трафіковий","Основний","Маржинальний","Сезонний","Стратегічний"},0),Settings!$D$78,Settings!$D$80,Settings!$D$82,Settings!$D$84,Settings!$D$86),"")</f>
        <v/>
      </c>
      <c r="P669" s="148">
        <f>IFERROR((N669*(1-Settings!$D$17)-C669)/(N669*(1-Settings!$D$17)),"")</f>
        <v/>
      </c>
      <c r="Q669" s="149">
        <f>IFERROR(IF(N669="","",IF(N669&gt;=C669/(1-SKU_Base!AB669)/(1-Settings!$D$17),"OK",IF(N669&gt;=C669/(1-SKU_Base!AI669)/(1-Settings!$D$17),"WARN","STOP"))),"")</f>
        <v/>
      </c>
      <c r="R669" s="161">
        <f>IFERROR(ROUND(D669*(1-CHOOSE(MATCH(IF($E669="","Основний",$E669),{"Трафіковий","Основний","Маржинальний","Сезонний","Стратегічний"},0),Settings!$E$78,Settings!$E$80,Settings!$E$82,Settings!$E$84,Settings!$E$86))/6,2)*6,"")</f>
        <v/>
      </c>
      <c r="S669" s="142">
        <f>IFERROR(CHOOSE(MATCH(IF($E669="","Основний",$E669),{"Трафіковий","Основний","Маржинальний","Сезонний","Стратегічний"},0),Settings!$E$78,Settings!$E$80,Settings!$E$82,Settings!$E$84,Settings!$E$86),"")</f>
        <v/>
      </c>
      <c r="T669" s="148">
        <f>IFERROR((R669*(1-Settings!$E$17)-C669)/(R669*(1-Settings!$E$17)),"")</f>
        <v/>
      </c>
      <c r="U669" s="149">
        <f>IFERROR(IF(R669="","",IF(R669&gt;=C669/(1-SKU_Base!AC669)/(1-Settings!$E$17),"OK",IF(R669&gt;=C669/(1-SKU_Base!AJ669)/(1-Settings!$E$17),"WARN","STOP"))),"")</f>
        <v/>
      </c>
      <c r="V669" s="161">
        <f>IFERROR(ROUND(D669*(1-CHOOSE(MATCH(IF($E669="","Основний",$E669),{"Трафіковий","Основний","Маржинальний","Сезонний","Стратегічний"},0),Settings!$F$78,Settings!$F$80,Settings!$F$82,Settings!$F$84,Settings!$F$86))/6,2)*6,"")</f>
        <v/>
      </c>
      <c r="W669" s="142">
        <f>IFERROR(CHOOSE(MATCH(IF($E669="","Основний",$E669),{"Трафіковий","Основний","Маржинальний","Сезонний","Стратегічний"},0),Settings!$F$78,Settings!$F$80,Settings!$F$82,Settings!$F$84,Settings!$F$86),"")</f>
        <v/>
      </c>
      <c r="X669" s="148">
        <f>IFERROR((V669*(1-Settings!$F$17)-C669)/(V669*(1-Settings!$F$17)),"")</f>
        <v/>
      </c>
      <c r="Y669" s="149">
        <f>IFERROR(IF(V669="","",IF(V669&gt;=C669/(1-SKU_Base!AD669)/(1-Settings!$F$17),"OK",IF(V669&gt;=C669/(1-SKU_Base!AK669)/(1-Settings!$F$17),"WARN","STOP"))),"")</f>
        <v/>
      </c>
      <c r="Z669" s="161">
        <f>IFERROR(ROUND(D669*(1-CHOOSE(MATCH(IF($E669="","Основний",$E669),{"Трафіковий","Основний","Маржинальний","Сезонний","Стратегічний"},0),Settings!$G$78,Settings!$G$80,Settings!$G$82,Settings!$G$84,Settings!$G$86))/6,2)*6,"")</f>
        <v/>
      </c>
      <c r="AA669" s="142">
        <f>IFERROR(CHOOSE(MATCH(IF($E669="","Основний",$E669),{"Трафіковий","Основний","Маржинальний","Сезонний","Стратегічний"},0),Settings!$G$78,Settings!$G$80,Settings!$G$82,Settings!$G$84,Settings!$G$86),"")</f>
        <v/>
      </c>
      <c r="AB669" s="148">
        <f>IFERROR((Z669*(1-Settings!$G$17)-C669)/(Z669*(1-Settings!$G$17)),"")</f>
        <v/>
      </c>
      <c r="AC669" s="149">
        <f>IFERROR(IF(Z669="","",IF(Z669&gt;=C669/(1-SKU_Base!AE669)/(1-Settings!$G$17),"OK",IF(Z669&gt;=C669/(1-SKU_Base!AL669)/(1-Settings!$G$17),"WARN","STOP"))),"")</f>
        <v/>
      </c>
      <c r="AD669" s="161">
        <f>IFERROR(ROUND(D669*(1-CHOOSE(MATCH(IF($E669="","Основний",$E669),{"Трафіковий","Основний","Маржинальний","Сезонний","Стратегічний"},0),Settings!$H$78,Settings!$H$80,Settings!$H$82,Settings!$H$84,Settings!$H$86))*(1-Settings!$H$68)/6,2)*6,"")</f>
        <v/>
      </c>
      <c r="AE669" s="142">
        <f>IFERROR(CHOOSE(MATCH(IF($E669="","Основний",$E669),{"Трафіковий","Основний","Маржинальний","Сезонний","Стратегічний"},0),Settings!$H$78,Settings!$H$80,Settings!$H$82,Settings!$H$84,Settings!$H$86)+(1-(CHOOSE(MATCH(IF($E669="","Основний",$E669),{"Трафіковий","Основний","Маржинальний","Сезонний","Стратегічний"},0),Settings!$H$78,Settings!$H$80,Settings!$H$82,Settings!$H$84,Settings!$H$86)))*Settings!$H$68,"")</f>
        <v/>
      </c>
      <c r="AF669" s="148">
        <f>IFERROR((AD669*(1-Settings!$H$17)-C669)/(AD669*(1-Settings!$H$17)),"")</f>
        <v/>
      </c>
      <c r="AG669" s="150">
        <f>IFERROR(IF(AD669="","",IF(AD669&gt;=C669/(1-SKU_Base!AF669)/(1-Settings!$H$17),"OK",IF(AD669&gt;=C669/(1-SKU_Base!AM669)/(1-Settings!$H$17),"WARN","STOP"))),"")</f>
        <v/>
      </c>
    </row>
    <row r="670" ht="17" customHeight="1" s="179">
      <c r="A670" s="139">
        <f>SKU_Base!B670</f>
        <v/>
      </c>
      <c r="B670" s="139">
        <f>SKU_Base!C670</f>
        <v/>
      </c>
      <c r="C670" s="140">
        <f>IFERROR(SKU_Base!I670,"")</f>
        <v/>
      </c>
      <c r="D670" s="163">
        <f>IFERROR(SKU_Base!T670,"")</f>
        <v/>
      </c>
      <c r="E670" s="141">
        <f>IFERROR(SKU_Base!$U670,"")</f>
        <v/>
      </c>
      <c r="F670" s="158">
        <f>IFERROR(ROUND(D670*(1-CHOOSE(MATCH(IF($E670="","Основний",$E670),{"Трафіковий","Основний","Маржинальний","Сезонний","Стратегічний"},0),Settings!$B$78,Settings!$B$80,Settings!$B$82,Settings!$B$84,Settings!$B$86))/6,2)*6,"")</f>
        <v/>
      </c>
      <c r="G670" s="142">
        <f>IFERROR(CHOOSE(MATCH(IF($E670="","Основний",$E670),{"Трафіковий","Основний","Маржинальний","Сезонний","Стратегічний"},0),Settings!$B$78,Settings!$B$80,Settings!$B$82,Settings!$B$84,Settings!$B$86),"")</f>
        <v/>
      </c>
      <c r="H670" s="143">
        <f>IFERROR((F670*(1-Settings!$B$17)-C670)/(F670*(1-Settings!$B$17)),"")</f>
        <v/>
      </c>
      <c r="I670" s="149">
        <f>IFERROR(IF(F670="","",IF(F670&gt;=C670/(1-SKU_Base!Z670)/(1-Settings!$B$17),"OK",IF(F670&gt;=C670/(1-SKU_Base!AG670)/(1-Settings!$B$17),"WARN","STOP"))),"")</f>
        <v/>
      </c>
      <c r="J670" s="158">
        <f>IFERROR(ROUND(D670*(1-CHOOSE(MATCH(IF($E670="","Основний",$E670),{"Трафіковий","Основний","Маржинальний","Сезонний","Стратегічний"},0),Settings!$C$78,Settings!$C$80,Settings!$C$82,Settings!$C$84,Settings!$C$86))/6,2)*6,"")</f>
        <v/>
      </c>
      <c r="K670" s="142">
        <f>IFERROR(CHOOSE(MATCH(IF($E670="","Основний",$E670),{"Трафіковий","Основний","Маржинальний","Сезонний","Стратегічний"},0),Settings!$C$78,Settings!$C$80,Settings!$C$82,Settings!$C$84,Settings!$C$86),"")</f>
        <v/>
      </c>
      <c r="L670" s="143">
        <f>IFERROR((J670*(1-Settings!$C$17)-C670)/(J670*(1-Settings!$C$17)),"")</f>
        <v/>
      </c>
      <c r="M670" s="149">
        <f>IFERROR(IF(J670="","",IF(J670&gt;=C670/(1-SKU_Base!AA670)/(1-Settings!$C$17),"OK",IF(J670&gt;=C670/(1-SKU_Base!AH670)/(1-Settings!$C$17),"WARN","STOP"))),"")</f>
        <v/>
      </c>
      <c r="N670" s="159">
        <f>IFERROR(ROUND(D670*(1-CHOOSE(MATCH(IF($E670="","Основний",$E670),{"Трафіковий","Основний","Маржинальний","Сезонний","Стратегічний"},0),Settings!$D$78,Settings!$D$80,Settings!$D$82,Settings!$D$84,Settings!$D$86))/6,2)*6,"")</f>
        <v/>
      </c>
      <c r="O670" s="142">
        <f>IFERROR(CHOOSE(MATCH(IF($E670="","Основний",$E670),{"Трафіковий","Основний","Маржинальний","Сезонний","Стратегічний"},0),Settings!$D$78,Settings!$D$80,Settings!$D$82,Settings!$D$84,Settings!$D$86),"")</f>
        <v/>
      </c>
      <c r="P670" s="143">
        <f>IFERROR((N670*(1-Settings!$D$17)-C670)/(N670*(1-Settings!$D$17)),"")</f>
        <v/>
      </c>
      <c r="Q670" s="149">
        <f>IFERROR(IF(N670="","",IF(N670&gt;=C670/(1-SKU_Base!AB670)/(1-Settings!$D$17),"OK",IF(N670&gt;=C670/(1-SKU_Base!AI670)/(1-Settings!$D$17),"WARN","STOP"))),"")</f>
        <v/>
      </c>
      <c r="R670" s="159">
        <f>IFERROR(ROUND(D670*(1-CHOOSE(MATCH(IF($E670="","Основний",$E670),{"Трафіковий","Основний","Маржинальний","Сезонний","Стратегічний"},0),Settings!$E$78,Settings!$E$80,Settings!$E$82,Settings!$E$84,Settings!$E$86))/6,2)*6,"")</f>
        <v/>
      </c>
      <c r="S670" s="142">
        <f>IFERROR(CHOOSE(MATCH(IF($E670="","Основний",$E670),{"Трафіковий","Основний","Маржинальний","Сезонний","Стратегічний"},0),Settings!$E$78,Settings!$E$80,Settings!$E$82,Settings!$E$84,Settings!$E$86),"")</f>
        <v/>
      </c>
      <c r="T670" s="143">
        <f>IFERROR((R670*(1-Settings!$E$17)-C670)/(R670*(1-Settings!$E$17)),"")</f>
        <v/>
      </c>
      <c r="U670" s="149">
        <f>IFERROR(IF(R670="","",IF(R670&gt;=C670/(1-SKU_Base!AC670)/(1-Settings!$E$17),"OK",IF(R670&gt;=C670/(1-SKU_Base!AJ670)/(1-Settings!$E$17),"WARN","STOP"))),"")</f>
        <v/>
      </c>
      <c r="V670" s="159">
        <f>IFERROR(ROUND(D670*(1-CHOOSE(MATCH(IF($E670="","Основний",$E670),{"Трафіковий","Основний","Маржинальний","Сезонний","Стратегічний"},0),Settings!$F$78,Settings!$F$80,Settings!$F$82,Settings!$F$84,Settings!$F$86))/6,2)*6,"")</f>
        <v/>
      </c>
      <c r="W670" s="142">
        <f>IFERROR(CHOOSE(MATCH(IF($E670="","Основний",$E670),{"Трафіковий","Основний","Маржинальний","Сезонний","Стратегічний"},0),Settings!$F$78,Settings!$F$80,Settings!$F$82,Settings!$F$84,Settings!$F$86),"")</f>
        <v/>
      </c>
      <c r="X670" s="143">
        <f>IFERROR((V670*(1-Settings!$F$17)-C670)/(V670*(1-Settings!$F$17)),"")</f>
        <v/>
      </c>
      <c r="Y670" s="149">
        <f>IFERROR(IF(V670="","",IF(V670&gt;=C670/(1-SKU_Base!AD670)/(1-Settings!$F$17),"OK",IF(V670&gt;=C670/(1-SKU_Base!AK670)/(1-Settings!$F$17),"WARN","STOP"))),"")</f>
        <v/>
      </c>
      <c r="Z670" s="159">
        <f>IFERROR(ROUND(D670*(1-CHOOSE(MATCH(IF($E670="","Основний",$E670),{"Трафіковий","Основний","Маржинальний","Сезонний","Стратегічний"},0),Settings!$G$78,Settings!$G$80,Settings!$G$82,Settings!$G$84,Settings!$G$86))/6,2)*6,"")</f>
        <v/>
      </c>
      <c r="AA670" s="142">
        <f>IFERROR(CHOOSE(MATCH(IF($E670="","Основний",$E670),{"Трафіковий","Основний","Маржинальний","Сезонний","Стратегічний"},0),Settings!$G$78,Settings!$G$80,Settings!$G$82,Settings!$G$84,Settings!$G$86),"")</f>
        <v/>
      </c>
      <c r="AB670" s="143">
        <f>IFERROR((Z670*(1-Settings!$G$17)-C670)/(Z670*(1-Settings!$G$17)),"")</f>
        <v/>
      </c>
      <c r="AC670" s="149">
        <f>IFERROR(IF(Z670="","",IF(Z670&gt;=C670/(1-SKU_Base!AE670)/(1-Settings!$G$17),"OK",IF(Z670&gt;=C670/(1-SKU_Base!AL670)/(1-Settings!$G$17),"WARN","STOP"))),"")</f>
        <v/>
      </c>
      <c r="AD670" s="159">
        <f>IFERROR(ROUND(D670*(1-CHOOSE(MATCH(IF($E670="","Основний",$E670),{"Трафіковий","Основний","Маржинальний","Сезонний","Стратегічний"},0),Settings!$H$78,Settings!$H$80,Settings!$H$82,Settings!$H$84,Settings!$H$86))*(1-Settings!$H$68)/6,2)*6,"")</f>
        <v/>
      </c>
      <c r="AE670" s="142">
        <f>IFERROR(CHOOSE(MATCH(IF($E670="","Основний",$E670),{"Трафіковий","Основний","Маржинальний","Сезонний","Стратегічний"},0),Settings!$H$78,Settings!$H$80,Settings!$H$82,Settings!$H$84,Settings!$H$86)+(1-(CHOOSE(MATCH(IF($E670="","Основний",$E670),{"Трафіковий","Основний","Маржинальний","Сезонний","Стратегічний"},0),Settings!$H$78,Settings!$H$80,Settings!$H$82,Settings!$H$84,Settings!$H$86)))*Settings!$H$68,"")</f>
        <v/>
      </c>
      <c r="AF670" s="143">
        <f>IFERROR((AD670*(1-Settings!$H$17)-C670)/(AD670*(1-Settings!$H$17)),"")</f>
        <v/>
      </c>
      <c r="AG670" s="150">
        <f>IFERROR(IF(AD670="","",IF(AD670&gt;=C670/(1-SKU_Base!AF670)/(1-Settings!$H$17),"OK",IF(AD670&gt;=C670/(1-SKU_Base!AM670)/(1-Settings!$H$17),"WARN","STOP"))),"")</f>
        <v/>
      </c>
    </row>
    <row r="671" ht="17" customHeight="1" s="179">
      <c r="A671" s="146">
        <f>SKU_Base!B671</f>
        <v/>
      </c>
      <c r="B671" s="146">
        <f>SKU_Base!C671</f>
        <v/>
      </c>
      <c r="C671" s="147">
        <f>IFERROR(SKU_Base!I671,"")</f>
        <v/>
      </c>
      <c r="D671" s="164">
        <f>IFERROR(SKU_Base!T671,"")</f>
        <v/>
      </c>
      <c r="E671" s="141">
        <f>IFERROR(SKU_Base!$U671,"")</f>
        <v/>
      </c>
      <c r="F671" s="160">
        <f>IFERROR(ROUND(D671*(1-CHOOSE(MATCH(IF($E671="","Основний",$E671),{"Трафіковий","Основний","Маржинальний","Сезонний","Стратегічний"},0),Settings!$B$78,Settings!$B$80,Settings!$B$82,Settings!$B$84,Settings!$B$86))/6,2)*6,"")</f>
        <v/>
      </c>
      <c r="G671" s="142">
        <f>IFERROR(CHOOSE(MATCH(IF($E671="","Основний",$E671),{"Трафіковий","Основний","Маржинальний","Сезонний","Стратегічний"},0),Settings!$B$78,Settings!$B$80,Settings!$B$82,Settings!$B$84,Settings!$B$86),"")</f>
        <v/>
      </c>
      <c r="H671" s="148">
        <f>IFERROR((F671*(1-Settings!$B$17)-C671)/(F671*(1-Settings!$B$17)),"")</f>
        <v/>
      </c>
      <c r="I671" s="149">
        <f>IFERROR(IF(F671="","",IF(F671&gt;=C671/(1-SKU_Base!Z671)/(1-Settings!$B$17),"OK",IF(F671&gt;=C671/(1-SKU_Base!AG671)/(1-Settings!$B$17),"WARN","STOP"))),"")</f>
        <v/>
      </c>
      <c r="J671" s="160">
        <f>IFERROR(ROUND(D671*(1-CHOOSE(MATCH(IF($E671="","Основний",$E671),{"Трафіковий","Основний","Маржинальний","Сезонний","Стратегічний"},0),Settings!$C$78,Settings!$C$80,Settings!$C$82,Settings!$C$84,Settings!$C$86))/6,2)*6,"")</f>
        <v/>
      </c>
      <c r="K671" s="142">
        <f>IFERROR(CHOOSE(MATCH(IF($E671="","Основний",$E671),{"Трафіковий","Основний","Маржинальний","Сезонний","Стратегічний"},0),Settings!$C$78,Settings!$C$80,Settings!$C$82,Settings!$C$84,Settings!$C$86),"")</f>
        <v/>
      </c>
      <c r="L671" s="148">
        <f>IFERROR((J671*(1-Settings!$C$17)-C671)/(J671*(1-Settings!$C$17)),"")</f>
        <v/>
      </c>
      <c r="M671" s="149">
        <f>IFERROR(IF(J671="","",IF(J671&gt;=C671/(1-SKU_Base!AA671)/(1-Settings!$C$17),"OK",IF(J671&gt;=C671/(1-SKU_Base!AH671)/(1-Settings!$C$17),"WARN","STOP"))),"")</f>
        <v/>
      </c>
      <c r="N671" s="161">
        <f>IFERROR(ROUND(D671*(1-CHOOSE(MATCH(IF($E671="","Основний",$E671),{"Трафіковий","Основний","Маржинальний","Сезонний","Стратегічний"},0),Settings!$D$78,Settings!$D$80,Settings!$D$82,Settings!$D$84,Settings!$D$86))/6,2)*6,"")</f>
        <v/>
      </c>
      <c r="O671" s="142">
        <f>IFERROR(CHOOSE(MATCH(IF($E671="","Основний",$E671),{"Трафіковий","Основний","Маржинальний","Сезонний","Стратегічний"},0),Settings!$D$78,Settings!$D$80,Settings!$D$82,Settings!$D$84,Settings!$D$86),"")</f>
        <v/>
      </c>
      <c r="P671" s="148">
        <f>IFERROR((N671*(1-Settings!$D$17)-C671)/(N671*(1-Settings!$D$17)),"")</f>
        <v/>
      </c>
      <c r="Q671" s="149">
        <f>IFERROR(IF(N671="","",IF(N671&gt;=C671/(1-SKU_Base!AB671)/(1-Settings!$D$17),"OK",IF(N671&gt;=C671/(1-SKU_Base!AI671)/(1-Settings!$D$17),"WARN","STOP"))),"")</f>
        <v/>
      </c>
      <c r="R671" s="161">
        <f>IFERROR(ROUND(D671*(1-CHOOSE(MATCH(IF($E671="","Основний",$E671),{"Трафіковий","Основний","Маржинальний","Сезонний","Стратегічний"},0),Settings!$E$78,Settings!$E$80,Settings!$E$82,Settings!$E$84,Settings!$E$86))/6,2)*6,"")</f>
        <v/>
      </c>
      <c r="S671" s="142">
        <f>IFERROR(CHOOSE(MATCH(IF($E671="","Основний",$E671),{"Трафіковий","Основний","Маржинальний","Сезонний","Стратегічний"},0),Settings!$E$78,Settings!$E$80,Settings!$E$82,Settings!$E$84,Settings!$E$86),"")</f>
        <v/>
      </c>
      <c r="T671" s="148">
        <f>IFERROR((R671*(1-Settings!$E$17)-C671)/(R671*(1-Settings!$E$17)),"")</f>
        <v/>
      </c>
      <c r="U671" s="149">
        <f>IFERROR(IF(R671="","",IF(R671&gt;=C671/(1-SKU_Base!AC671)/(1-Settings!$E$17),"OK",IF(R671&gt;=C671/(1-SKU_Base!AJ671)/(1-Settings!$E$17),"WARN","STOP"))),"")</f>
        <v/>
      </c>
      <c r="V671" s="161">
        <f>IFERROR(ROUND(D671*(1-CHOOSE(MATCH(IF($E671="","Основний",$E671),{"Трафіковий","Основний","Маржинальний","Сезонний","Стратегічний"},0),Settings!$F$78,Settings!$F$80,Settings!$F$82,Settings!$F$84,Settings!$F$86))/6,2)*6,"")</f>
        <v/>
      </c>
      <c r="W671" s="142">
        <f>IFERROR(CHOOSE(MATCH(IF($E671="","Основний",$E671),{"Трафіковий","Основний","Маржинальний","Сезонний","Стратегічний"},0),Settings!$F$78,Settings!$F$80,Settings!$F$82,Settings!$F$84,Settings!$F$86),"")</f>
        <v/>
      </c>
      <c r="X671" s="148">
        <f>IFERROR((V671*(1-Settings!$F$17)-C671)/(V671*(1-Settings!$F$17)),"")</f>
        <v/>
      </c>
      <c r="Y671" s="149">
        <f>IFERROR(IF(V671="","",IF(V671&gt;=C671/(1-SKU_Base!AD671)/(1-Settings!$F$17),"OK",IF(V671&gt;=C671/(1-SKU_Base!AK671)/(1-Settings!$F$17),"WARN","STOP"))),"")</f>
        <v/>
      </c>
      <c r="Z671" s="161">
        <f>IFERROR(ROUND(D671*(1-CHOOSE(MATCH(IF($E671="","Основний",$E671),{"Трафіковий","Основний","Маржинальний","Сезонний","Стратегічний"},0),Settings!$G$78,Settings!$G$80,Settings!$G$82,Settings!$G$84,Settings!$G$86))/6,2)*6,"")</f>
        <v/>
      </c>
      <c r="AA671" s="142">
        <f>IFERROR(CHOOSE(MATCH(IF($E671="","Основний",$E671),{"Трафіковий","Основний","Маржинальний","Сезонний","Стратегічний"},0),Settings!$G$78,Settings!$G$80,Settings!$G$82,Settings!$G$84,Settings!$G$86),"")</f>
        <v/>
      </c>
      <c r="AB671" s="148">
        <f>IFERROR((Z671*(1-Settings!$G$17)-C671)/(Z671*(1-Settings!$G$17)),"")</f>
        <v/>
      </c>
      <c r="AC671" s="149">
        <f>IFERROR(IF(Z671="","",IF(Z671&gt;=C671/(1-SKU_Base!AE671)/(1-Settings!$G$17),"OK",IF(Z671&gt;=C671/(1-SKU_Base!AL671)/(1-Settings!$G$17),"WARN","STOP"))),"")</f>
        <v/>
      </c>
      <c r="AD671" s="161">
        <f>IFERROR(ROUND(D671*(1-CHOOSE(MATCH(IF($E671="","Основний",$E671),{"Трафіковий","Основний","Маржинальний","Сезонний","Стратегічний"},0),Settings!$H$78,Settings!$H$80,Settings!$H$82,Settings!$H$84,Settings!$H$86))*(1-Settings!$H$68)/6,2)*6,"")</f>
        <v/>
      </c>
      <c r="AE671" s="142">
        <f>IFERROR(CHOOSE(MATCH(IF($E671="","Основний",$E671),{"Трафіковий","Основний","Маржинальний","Сезонний","Стратегічний"},0),Settings!$H$78,Settings!$H$80,Settings!$H$82,Settings!$H$84,Settings!$H$86)+(1-(CHOOSE(MATCH(IF($E671="","Основний",$E671),{"Трафіковий","Основний","Маржинальний","Сезонний","Стратегічний"},0),Settings!$H$78,Settings!$H$80,Settings!$H$82,Settings!$H$84,Settings!$H$86)))*Settings!$H$68,"")</f>
        <v/>
      </c>
      <c r="AF671" s="148">
        <f>IFERROR((AD671*(1-Settings!$H$17)-C671)/(AD671*(1-Settings!$H$17)),"")</f>
        <v/>
      </c>
      <c r="AG671" s="150">
        <f>IFERROR(IF(AD671="","",IF(AD671&gt;=C671/(1-SKU_Base!AF671)/(1-Settings!$H$17),"OK",IF(AD671&gt;=C671/(1-SKU_Base!AM671)/(1-Settings!$H$17),"WARN","STOP"))),"")</f>
        <v/>
      </c>
    </row>
    <row r="672" ht="17" customHeight="1" s="179">
      <c r="A672" s="139">
        <f>SKU_Base!B672</f>
        <v/>
      </c>
      <c r="B672" s="139">
        <f>SKU_Base!C672</f>
        <v/>
      </c>
      <c r="C672" s="140">
        <f>IFERROR(SKU_Base!I672,"")</f>
        <v/>
      </c>
      <c r="D672" s="163">
        <f>IFERROR(SKU_Base!T672,"")</f>
        <v/>
      </c>
      <c r="E672" s="141">
        <f>IFERROR(SKU_Base!$U672,"")</f>
        <v/>
      </c>
      <c r="F672" s="158">
        <f>IFERROR(ROUND(D672*(1-CHOOSE(MATCH(IF($E672="","Основний",$E672),{"Трафіковий","Основний","Маржинальний","Сезонний","Стратегічний"},0),Settings!$B$78,Settings!$B$80,Settings!$B$82,Settings!$B$84,Settings!$B$86))/6,2)*6,"")</f>
        <v/>
      </c>
      <c r="G672" s="142">
        <f>IFERROR(CHOOSE(MATCH(IF($E672="","Основний",$E672),{"Трафіковий","Основний","Маржинальний","Сезонний","Стратегічний"},0),Settings!$B$78,Settings!$B$80,Settings!$B$82,Settings!$B$84,Settings!$B$86),"")</f>
        <v/>
      </c>
      <c r="H672" s="143">
        <f>IFERROR((F672*(1-Settings!$B$17)-C672)/(F672*(1-Settings!$B$17)),"")</f>
        <v/>
      </c>
      <c r="I672" s="149">
        <f>IFERROR(IF(F672="","",IF(F672&gt;=C672/(1-SKU_Base!Z672)/(1-Settings!$B$17),"OK",IF(F672&gt;=C672/(1-SKU_Base!AG672)/(1-Settings!$B$17),"WARN","STOP"))),"")</f>
        <v/>
      </c>
      <c r="J672" s="158">
        <f>IFERROR(ROUND(D672*(1-CHOOSE(MATCH(IF($E672="","Основний",$E672),{"Трафіковий","Основний","Маржинальний","Сезонний","Стратегічний"},0),Settings!$C$78,Settings!$C$80,Settings!$C$82,Settings!$C$84,Settings!$C$86))/6,2)*6,"")</f>
        <v/>
      </c>
      <c r="K672" s="142">
        <f>IFERROR(CHOOSE(MATCH(IF($E672="","Основний",$E672),{"Трафіковий","Основний","Маржинальний","Сезонний","Стратегічний"},0),Settings!$C$78,Settings!$C$80,Settings!$C$82,Settings!$C$84,Settings!$C$86),"")</f>
        <v/>
      </c>
      <c r="L672" s="143">
        <f>IFERROR((J672*(1-Settings!$C$17)-C672)/(J672*(1-Settings!$C$17)),"")</f>
        <v/>
      </c>
      <c r="M672" s="149">
        <f>IFERROR(IF(J672="","",IF(J672&gt;=C672/(1-SKU_Base!AA672)/(1-Settings!$C$17),"OK",IF(J672&gt;=C672/(1-SKU_Base!AH672)/(1-Settings!$C$17),"WARN","STOP"))),"")</f>
        <v/>
      </c>
      <c r="N672" s="159">
        <f>IFERROR(ROUND(D672*(1-CHOOSE(MATCH(IF($E672="","Основний",$E672),{"Трафіковий","Основний","Маржинальний","Сезонний","Стратегічний"},0),Settings!$D$78,Settings!$D$80,Settings!$D$82,Settings!$D$84,Settings!$D$86))/6,2)*6,"")</f>
        <v/>
      </c>
      <c r="O672" s="142">
        <f>IFERROR(CHOOSE(MATCH(IF($E672="","Основний",$E672),{"Трафіковий","Основний","Маржинальний","Сезонний","Стратегічний"},0),Settings!$D$78,Settings!$D$80,Settings!$D$82,Settings!$D$84,Settings!$D$86),"")</f>
        <v/>
      </c>
      <c r="P672" s="143">
        <f>IFERROR((N672*(1-Settings!$D$17)-C672)/(N672*(1-Settings!$D$17)),"")</f>
        <v/>
      </c>
      <c r="Q672" s="149">
        <f>IFERROR(IF(N672="","",IF(N672&gt;=C672/(1-SKU_Base!AB672)/(1-Settings!$D$17),"OK",IF(N672&gt;=C672/(1-SKU_Base!AI672)/(1-Settings!$D$17),"WARN","STOP"))),"")</f>
        <v/>
      </c>
      <c r="R672" s="159">
        <f>IFERROR(ROUND(D672*(1-CHOOSE(MATCH(IF($E672="","Основний",$E672),{"Трафіковий","Основний","Маржинальний","Сезонний","Стратегічний"},0),Settings!$E$78,Settings!$E$80,Settings!$E$82,Settings!$E$84,Settings!$E$86))/6,2)*6,"")</f>
        <v/>
      </c>
      <c r="S672" s="142">
        <f>IFERROR(CHOOSE(MATCH(IF($E672="","Основний",$E672),{"Трафіковий","Основний","Маржинальний","Сезонний","Стратегічний"},0),Settings!$E$78,Settings!$E$80,Settings!$E$82,Settings!$E$84,Settings!$E$86),"")</f>
        <v/>
      </c>
      <c r="T672" s="143">
        <f>IFERROR((R672*(1-Settings!$E$17)-C672)/(R672*(1-Settings!$E$17)),"")</f>
        <v/>
      </c>
      <c r="U672" s="149">
        <f>IFERROR(IF(R672="","",IF(R672&gt;=C672/(1-SKU_Base!AC672)/(1-Settings!$E$17),"OK",IF(R672&gt;=C672/(1-SKU_Base!AJ672)/(1-Settings!$E$17),"WARN","STOP"))),"")</f>
        <v/>
      </c>
      <c r="V672" s="159">
        <f>IFERROR(ROUND(D672*(1-CHOOSE(MATCH(IF($E672="","Основний",$E672),{"Трафіковий","Основний","Маржинальний","Сезонний","Стратегічний"},0),Settings!$F$78,Settings!$F$80,Settings!$F$82,Settings!$F$84,Settings!$F$86))/6,2)*6,"")</f>
        <v/>
      </c>
      <c r="W672" s="142">
        <f>IFERROR(CHOOSE(MATCH(IF($E672="","Основний",$E672),{"Трафіковий","Основний","Маржинальний","Сезонний","Стратегічний"},0),Settings!$F$78,Settings!$F$80,Settings!$F$82,Settings!$F$84,Settings!$F$86),"")</f>
        <v/>
      </c>
      <c r="X672" s="143">
        <f>IFERROR((V672*(1-Settings!$F$17)-C672)/(V672*(1-Settings!$F$17)),"")</f>
        <v/>
      </c>
      <c r="Y672" s="149">
        <f>IFERROR(IF(V672="","",IF(V672&gt;=C672/(1-SKU_Base!AD672)/(1-Settings!$F$17),"OK",IF(V672&gt;=C672/(1-SKU_Base!AK672)/(1-Settings!$F$17),"WARN","STOP"))),"")</f>
        <v/>
      </c>
      <c r="Z672" s="159">
        <f>IFERROR(ROUND(D672*(1-CHOOSE(MATCH(IF($E672="","Основний",$E672),{"Трафіковий","Основний","Маржинальний","Сезонний","Стратегічний"},0),Settings!$G$78,Settings!$G$80,Settings!$G$82,Settings!$G$84,Settings!$G$86))/6,2)*6,"")</f>
        <v/>
      </c>
      <c r="AA672" s="142">
        <f>IFERROR(CHOOSE(MATCH(IF($E672="","Основний",$E672),{"Трафіковий","Основний","Маржинальний","Сезонний","Стратегічний"},0),Settings!$G$78,Settings!$G$80,Settings!$G$82,Settings!$G$84,Settings!$G$86),"")</f>
        <v/>
      </c>
      <c r="AB672" s="143">
        <f>IFERROR((Z672*(1-Settings!$G$17)-C672)/(Z672*(1-Settings!$G$17)),"")</f>
        <v/>
      </c>
      <c r="AC672" s="149">
        <f>IFERROR(IF(Z672="","",IF(Z672&gt;=C672/(1-SKU_Base!AE672)/(1-Settings!$G$17),"OK",IF(Z672&gt;=C672/(1-SKU_Base!AL672)/(1-Settings!$G$17),"WARN","STOP"))),"")</f>
        <v/>
      </c>
      <c r="AD672" s="159">
        <f>IFERROR(ROUND(D672*(1-CHOOSE(MATCH(IF($E672="","Основний",$E672),{"Трафіковий","Основний","Маржинальний","Сезонний","Стратегічний"},0),Settings!$H$78,Settings!$H$80,Settings!$H$82,Settings!$H$84,Settings!$H$86))*(1-Settings!$H$68)/6,2)*6,"")</f>
        <v/>
      </c>
      <c r="AE672" s="142">
        <f>IFERROR(CHOOSE(MATCH(IF($E672="","Основний",$E672),{"Трафіковий","Основний","Маржинальний","Сезонний","Стратегічний"},0),Settings!$H$78,Settings!$H$80,Settings!$H$82,Settings!$H$84,Settings!$H$86)+(1-(CHOOSE(MATCH(IF($E672="","Основний",$E672),{"Трафіковий","Основний","Маржинальний","Сезонний","Стратегічний"},0),Settings!$H$78,Settings!$H$80,Settings!$H$82,Settings!$H$84,Settings!$H$86)))*Settings!$H$68,"")</f>
        <v/>
      </c>
      <c r="AF672" s="143">
        <f>IFERROR((AD672*(1-Settings!$H$17)-C672)/(AD672*(1-Settings!$H$17)),"")</f>
        <v/>
      </c>
      <c r="AG672" s="150">
        <f>IFERROR(IF(AD672="","",IF(AD672&gt;=C672/(1-SKU_Base!AF672)/(1-Settings!$H$17),"OK",IF(AD672&gt;=C672/(1-SKU_Base!AM672)/(1-Settings!$H$17),"WARN","STOP"))),"")</f>
        <v/>
      </c>
    </row>
    <row r="673" ht="17" customHeight="1" s="179">
      <c r="A673" s="146">
        <f>SKU_Base!B673</f>
        <v/>
      </c>
      <c r="B673" s="146">
        <f>SKU_Base!C673</f>
        <v/>
      </c>
      <c r="C673" s="147">
        <f>IFERROR(SKU_Base!I673,"")</f>
        <v/>
      </c>
      <c r="D673" s="164">
        <f>IFERROR(SKU_Base!T673,"")</f>
        <v/>
      </c>
      <c r="E673" s="141">
        <f>IFERROR(SKU_Base!$U673,"")</f>
        <v/>
      </c>
      <c r="F673" s="160">
        <f>IFERROR(ROUND(D673*(1-CHOOSE(MATCH(IF($E673="","Основний",$E673),{"Трафіковий","Основний","Маржинальний","Сезонний","Стратегічний"},0),Settings!$B$78,Settings!$B$80,Settings!$B$82,Settings!$B$84,Settings!$B$86))/6,2)*6,"")</f>
        <v/>
      </c>
      <c r="G673" s="142">
        <f>IFERROR(CHOOSE(MATCH(IF($E673="","Основний",$E673),{"Трафіковий","Основний","Маржинальний","Сезонний","Стратегічний"},0),Settings!$B$78,Settings!$B$80,Settings!$B$82,Settings!$B$84,Settings!$B$86),"")</f>
        <v/>
      </c>
      <c r="H673" s="148">
        <f>IFERROR((F673*(1-Settings!$B$17)-C673)/(F673*(1-Settings!$B$17)),"")</f>
        <v/>
      </c>
      <c r="I673" s="149">
        <f>IFERROR(IF(F673="","",IF(F673&gt;=C673/(1-SKU_Base!Z673)/(1-Settings!$B$17),"OK",IF(F673&gt;=C673/(1-SKU_Base!AG673)/(1-Settings!$B$17),"WARN","STOP"))),"")</f>
        <v/>
      </c>
      <c r="J673" s="160">
        <f>IFERROR(ROUND(D673*(1-CHOOSE(MATCH(IF($E673="","Основний",$E673),{"Трафіковий","Основний","Маржинальний","Сезонний","Стратегічний"},0),Settings!$C$78,Settings!$C$80,Settings!$C$82,Settings!$C$84,Settings!$C$86))/6,2)*6,"")</f>
        <v/>
      </c>
      <c r="K673" s="142">
        <f>IFERROR(CHOOSE(MATCH(IF($E673="","Основний",$E673),{"Трафіковий","Основний","Маржинальний","Сезонний","Стратегічний"},0),Settings!$C$78,Settings!$C$80,Settings!$C$82,Settings!$C$84,Settings!$C$86),"")</f>
        <v/>
      </c>
      <c r="L673" s="148">
        <f>IFERROR((J673*(1-Settings!$C$17)-C673)/(J673*(1-Settings!$C$17)),"")</f>
        <v/>
      </c>
      <c r="M673" s="149">
        <f>IFERROR(IF(J673="","",IF(J673&gt;=C673/(1-SKU_Base!AA673)/(1-Settings!$C$17),"OK",IF(J673&gt;=C673/(1-SKU_Base!AH673)/(1-Settings!$C$17),"WARN","STOP"))),"")</f>
        <v/>
      </c>
      <c r="N673" s="161">
        <f>IFERROR(ROUND(D673*(1-CHOOSE(MATCH(IF($E673="","Основний",$E673),{"Трафіковий","Основний","Маржинальний","Сезонний","Стратегічний"},0),Settings!$D$78,Settings!$D$80,Settings!$D$82,Settings!$D$84,Settings!$D$86))/6,2)*6,"")</f>
        <v/>
      </c>
      <c r="O673" s="142">
        <f>IFERROR(CHOOSE(MATCH(IF($E673="","Основний",$E673),{"Трафіковий","Основний","Маржинальний","Сезонний","Стратегічний"},0),Settings!$D$78,Settings!$D$80,Settings!$D$82,Settings!$D$84,Settings!$D$86),"")</f>
        <v/>
      </c>
      <c r="P673" s="148">
        <f>IFERROR((N673*(1-Settings!$D$17)-C673)/(N673*(1-Settings!$D$17)),"")</f>
        <v/>
      </c>
      <c r="Q673" s="149">
        <f>IFERROR(IF(N673="","",IF(N673&gt;=C673/(1-SKU_Base!AB673)/(1-Settings!$D$17),"OK",IF(N673&gt;=C673/(1-SKU_Base!AI673)/(1-Settings!$D$17),"WARN","STOP"))),"")</f>
        <v/>
      </c>
      <c r="R673" s="161">
        <f>IFERROR(ROUND(D673*(1-CHOOSE(MATCH(IF($E673="","Основний",$E673),{"Трафіковий","Основний","Маржинальний","Сезонний","Стратегічний"},0),Settings!$E$78,Settings!$E$80,Settings!$E$82,Settings!$E$84,Settings!$E$86))/6,2)*6,"")</f>
        <v/>
      </c>
      <c r="S673" s="142">
        <f>IFERROR(CHOOSE(MATCH(IF($E673="","Основний",$E673),{"Трафіковий","Основний","Маржинальний","Сезонний","Стратегічний"},0),Settings!$E$78,Settings!$E$80,Settings!$E$82,Settings!$E$84,Settings!$E$86),"")</f>
        <v/>
      </c>
      <c r="T673" s="148">
        <f>IFERROR((R673*(1-Settings!$E$17)-C673)/(R673*(1-Settings!$E$17)),"")</f>
        <v/>
      </c>
      <c r="U673" s="149">
        <f>IFERROR(IF(R673="","",IF(R673&gt;=C673/(1-SKU_Base!AC673)/(1-Settings!$E$17),"OK",IF(R673&gt;=C673/(1-SKU_Base!AJ673)/(1-Settings!$E$17),"WARN","STOP"))),"")</f>
        <v/>
      </c>
      <c r="V673" s="161">
        <f>IFERROR(ROUND(D673*(1-CHOOSE(MATCH(IF($E673="","Основний",$E673),{"Трафіковий","Основний","Маржинальний","Сезонний","Стратегічний"},0),Settings!$F$78,Settings!$F$80,Settings!$F$82,Settings!$F$84,Settings!$F$86))/6,2)*6,"")</f>
        <v/>
      </c>
      <c r="W673" s="142">
        <f>IFERROR(CHOOSE(MATCH(IF($E673="","Основний",$E673),{"Трафіковий","Основний","Маржинальний","Сезонний","Стратегічний"},0),Settings!$F$78,Settings!$F$80,Settings!$F$82,Settings!$F$84,Settings!$F$86),"")</f>
        <v/>
      </c>
      <c r="X673" s="148">
        <f>IFERROR((V673*(1-Settings!$F$17)-C673)/(V673*(1-Settings!$F$17)),"")</f>
        <v/>
      </c>
      <c r="Y673" s="149">
        <f>IFERROR(IF(V673="","",IF(V673&gt;=C673/(1-SKU_Base!AD673)/(1-Settings!$F$17),"OK",IF(V673&gt;=C673/(1-SKU_Base!AK673)/(1-Settings!$F$17),"WARN","STOP"))),"")</f>
        <v/>
      </c>
      <c r="Z673" s="161">
        <f>IFERROR(ROUND(D673*(1-CHOOSE(MATCH(IF($E673="","Основний",$E673),{"Трафіковий","Основний","Маржинальний","Сезонний","Стратегічний"},0),Settings!$G$78,Settings!$G$80,Settings!$G$82,Settings!$G$84,Settings!$G$86))/6,2)*6,"")</f>
        <v/>
      </c>
      <c r="AA673" s="142">
        <f>IFERROR(CHOOSE(MATCH(IF($E673="","Основний",$E673),{"Трафіковий","Основний","Маржинальний","Сезонний","Стратегічний"},0),Settings!$G$78,Settings!$G$80,Settings!$G$82,Settings!$G$84,Settings!$G$86),"")</f>
        <v/>
      </c>
      <c r="AB673" s="148">
        <f>IFERROR((Z673*(1-Settings!$G$17)-C673)/(Z673*(1-Settings!$G$17)),"")</f>
        <v/>
      </c>
      <c r="AC673" s="149">
        <f>IFERROR(IF(Z673="","",IF(Z673&gt;=C673/(1-SKU_Base!AE673)/(1-Settings!$G$17),"OK",IF(Z673&gt;=C673/(1-SKU_Base!AL673)/(1-Settings!$G$17),"WARN","STOP"))),"")</f>
        <v/>
      </c>
      <c r="AD673" s="161">
        <f>IFERROR(ROUND(D673*(1-CHOOSE(MATCH(IF($E673="","Основний",$E673),{"Трафіковий","Основний","Маржинальний","Сезонний","Стратегічний"},0),Settings!$H$78,Settings!$H$80,Settings!$H$82,Settings!$H$84,Settings!$H$86))*(1-Settings!$H$68)/6,2)*6,"")</f>
        <v/>
      </c>
      <c r="AE673" s="142">
        <f>IFERROR(CHOOSE(MATCH(IF($E673="","Основний",$E673),{"Трафіковий","Основний","Маржинальний","Сезонний","Стратегічний"},0),Settings!$H$78,Settings!$H$80,Settings!$H$82,Settings!$H$84,Settings!$H$86)+(1-(CHOOSE(MATCH(IF($E673="","Основний",$E673),{"Трафіковий","Основний","Маржинальний","Сезонний","Стратегічний"},0),Settings!$H$78,Settings!$H$80,Settings!$H$82,Settings!$H$84,Settings!$H$86)))*Settings!$H$68,"")</f>
        <v/>
      </c>
      <c r="AF673" s="148">
        <f>IFERROR((AD673*(1-Settings!$H$17)-C673)/(AD673*(1-Settings!$H$17)),"")</f>
        <v/>
      </c>
      <c r="AG673" s="149">
        <f>IFERROR(IF(AD673="","",IF(AD673&gt;=C673/(1-SKU_Base!AF673)/(1-Settings!$H$17),"OK",IF(AD673&gt;=C673/(1-SKU_Base!AM673)/(1-Settings!$H$17),"WARN","STOP"))),"")</f>
        <v/>
      </c>
    </row>
    <row r="674" ht="17" customHeight="1" s="179">
      <c r="A674" s="139">
        <f>SKU_Base!B674</f>
        <v/>
      </c>
      <c r="B674" s="139">
        <f>SKU_Base!C674</f>
        <v/>
      </c>
      <c r="C674" s="140">
        <f>IFERROR(SKU_Base!I674,"")</f>
        <v/>
      </c>
      <c r="D674" s="163">
        <f>IFERROR(SKU_Base!T674,"")</f>
        <v/>
      </c>
      <c r="E674" s="141">
        <f>IFERROR(SKU_Base!$U674,"")</f>
        <v/>
      </c>
      <c r="F674" s="158">
        <f>IFERROR(ROUND(D674*(1-CHOOSE(MATCH(IF($E674="","Основний",$E674),{"Трафіковий","Основний","Маржинальний","Сезонний","Стратегічний"},0),Settings!$B$78,Settings!$B$80,Settings!$B$82,Settings!$B$84,Settings!$B$86))/6,2)*6,"")</f>
        <v/>
      </c>
      <c r="G674" s="142">
        <f>IFERROR(CHOOSE(MATCH(IF($E674="","Основний",$E674),{"Трафіковий","Основний","Маржинальний","Сезонний","Стратегічний"},0),Settings!$B$78,Settings!$B$80,Settings!$B$82,Settings!$B$84,Settings!$B$86),"")</f>
        <v/>
      </c>
      <c r="H674" s="143">
        <f>IFERROR((F674*(1-Settings!$B$17)-C674)/(F674*(1-Settings!$B$17)),"")</f>
        <v/>
      </c>
      <c r="I674" s="150">
        <f>IFERROR(IF(F674="","",IF(F674&gt;=C674/(1-SKU_Base!Z674)/(1-Settings!$B$17),"OK",IF(F674&gt;=C674/(1-SKU_Base!AG674)/(1-Settings!$B$17),"WARN","STOP"))),"")</f>
        <v/>
      </c>
      <c r="J674" s="158">
        <f>IFERROR(ROUND(D674*(1-CHOOSE(MATCH(IF($E674="","Основний",$E674),{"Трафіковий","Основний","Маржинальний","Сезонний","Стратегічний"},0),Settings!$C$78,Settings!$C$80,Settings!$C$82,Settings!$C$84,Settings!$C$86))/6,2)*6,"")</f>
        <v/>
      </c>
      <c r="K674" s="142">
        <f>IFERROR(CHOOSE(MATCH(IF($E674="","Основний",$E674),{"Трафіковий","Основний","Маржинальний","Сезонний","Стратегічний"},0),Settings!$C$78,Settings!$C$80,Settings!$C$82,Settings!$C$84,Settings!$C$86),"")</f>
        <v/>
      </c>
      <c r="L674" s="143">
        <f>IFERROR((J674*(1-Settings!$C$17)-C674)/(J674*(1-Settings!$C$17)),"")</f>
        <v/>
      </c>
      <c r="M674" s="149">
        <f>IFERROR(IF(J674="","",IF(J674&gt;=C674/(1-SKU_Base!AA674)/(1-Settings!$C$17),"OK",IF(J674&gt;=C674/(1-SKU_Base!AH674)/(1-Settings!$C$17),"WARN","STOP"))),"")</f>
        <v/>
      </c>
      <c r="N674" s="159">
        <f>IFERROR(ROUND(D674*(1-CHOOSE(MATCH(IF($E674="","Основний",$E674),{"Трафіковий","Основний","Маржинальний","Сезонний","Стратегічний"},0),Settings!$D$78,Settings!$D$80,Settings!$D$82,Settings!$D$84,Settings!$D$86))/6,2)*6,"")</f>
        <v/>
      </c>
      <c r="O674" s="142">
        <f>IFERROR(CHOOSE(MATCH(IF($E674="","Основний",$E674),{"Трафіковий","Основний","Маржинальний","Сезонний","Стратегічний"},0),Settings!$D$78,Settings!$D$80,Settings!$D$82,Settings!$D$84,Settings!$D$86),"")</f>
        <v/>
      </c>
      <c r="P674" s="143">
        <f>IFERROR((N674*(1-Settings!$D$17)-C674)/(N674*(1-Settings!$D$17)),"")</f>
        <v/>
      </c>
      <c r="Q674" s="149">
        <f>IFERROR(IF(N674="","",IF(N674&gt;=C674/(1-SKU_Base!AB674)/(1-Settings!$D$17),"OK",IF(N674&gt;=C674/(1-SKU_Base!AI674)/(1-Settings!$D$17),"WARN","STOP"))),"")</f>
        <v/>
      </c>
      <c r="R674" s="159">
        <f>IFERROR(ROUND(D674*(1-CHOOSE(MATCH(IF($E674="","Основний",$E674),{"Трафіковий","Основний","Маржинальний","Сезонний","Стратегічний"},0),Settings!$E$78,Settings!$E$80,Settings!$E$82,Settings!$E$84,Settings!$E$86))/6,2)*6,"")</f>
        <v/>
      </c>
      <c r="S674" s="142">
        <f>IFERROR(CHOOSE(MATCH(IF($E674="","Основний",$E674),{"Трафіковий","Основний","Маржинальний","Сезонний","Стратегічний"},0),Settings!$E$78,Settings!$E$80,Settings!$E$82,Settings!$E$84,Settings!$E$86),"")</f>
        <v/>
      </c>
      <c r="T674" s="143">
        <f>IFERROR((R674*(1-Settings!$E$17)-C674)/(R674*(1-Settings!$E$17)),"")</f>
        <v/>
      </c>
      <c r="U674" s="149">
        <f>IFERROR(IF(R674="","",IF(R674&gt;=C674/(1-SKU_Base!AC674)/(1-Settings!$E$17),"OK",IF(R674&gt;=C674/(1-SKU_Base!AJ674)/(1-Settings!$E$17),"WARN","STOP"))),"")</f>
        <v/>
      </c>
      <c r="V674" s="159">
        <f>IFERROR(ROUND(D674*(1-CHOOSE(MATCH(IF($E674="","Основний",$E674),{"Трафіковий","Основний","Маржинальний","Сезонний","Стратегічний"},0),Settings!$F$78,Settings!$F$80,Settings!$F$82,Settings!$F$84,Settings!$F$86))/6,2)*6,"")</f>
        <v/>
      </c>
      <c r="W674" s="142">
        <f>IFERROR(CHOOSE(MATCH(IF($E674="","Основний",$E674),{"Трафіковий","Основний","Маржинальний","Сезонний","Стратегічний"},0),Settings!$F$78,Settings!$F$80,Settings!$F$82,Settings!$F$84,Settings!$F$86),"")</f>
        <v/>
      </c>
      <c r="X674" s="143">
        <f>IFERROR((V674*(1-Settings!$F$17)-C674)/(V674*(1-Settings!$F$17)),"")</f>
        <v/>
      </c>
      <c r="Y674" s="149">
        <f>IFERROR(IF(V674="","",IF(V674&gt;=C674/(1-SKU_Base!AD674)/(1-Settings!$F$17),"OK",IF(V674&gt;=C674/(1-SKU_Base!AK674)/(1-Settings!$F$17),"WARN","STOP"))),"")</f>
        <v/>
      </c>
      <c r="Z674" s="159">
        <f>IFERROR(ROUND(D674*(1-CHOOSE(MATCH(IF($E674="","Основний",$E674),{"Трафіковий","Основний","Маржинальний","Сезонний","Стратегічний"},0),Settings!$G$78,Settings!$G$80,Settings!$G$82,Settings!$G$84,Settings!$G$86))/6,2)*6,"")</f>
        <v/>
      </c>
      <c r="AA674" s="142">
        <f>IFERROR(CHOOSE(MATCH(IF($E674="","Основний",$E674),{"Трафіковий","Основний","Маржинальний","Сезонний","Стратегічний"},0),Settings!$G$78,Settings!$G$80,Settings!$G$82,Settings!$G$84,Settings!$G$86),"")</f>
        <v/>
      </c>
      <c r="AB674" s="143">
        <f>IFERROR((Z674*(1-Settings!$G$17)-C674)/(Z674*(1-Settings!$G$17)),"")</f>
        <v/>
      </c>
      <c r="AC674" s="149">
        <f>IFERROR(IF(Z674="","",IF(Z674&gt;=C674/(1-SKU_Base!AE674)/(1-Settings!$G$17),"OK",IF(Z674&gt;=C674/(1-SKU_Base!AL674)/(1-Settings!$G$17),"WARN","STOP"))),"")</f>
        <v/>
      </c>
      <c r="AD674" s="159">
        <f>IFERROR(ROUND(D674*(1-CHOOSE(MATCH(IF($E674="","Основний",$E674),{"Трафіковий","Основний","Маржинальний","Сезонний","Стратегічний"},0),Settings!$H$78,Settings!$H$80,Settings!$H$82,Settings!$H$84,Settings!$H$86))*(1-Settings!$H$68)/6,2)*6,"")</f>
        <v/>
      </c>
      <c r="AE674" s="142">
        <f>IFERROR(CHOOSE(MATCH(IF($E674="","Основний",$E674),{"Трафіковий","Основний","Маржинальний","Сезонний","Стратегічний"},0),Settings!$H$78,Settings!$H$80,Settings!$H$82,Settings!$H$84,Settings!$H$86)+(1-(CHOOSE(MATCH(IF($E674="","Основний",$E674),{"Трафіковий","Основний","Маржинальний","Сезонний","Стратегічний"},0),Settings!$H$78,Settings!$H$80,Settings!$H$82,Settings!$H$84,Settings!$H$86)))*Settings!$H$68,"")</f>
        <v/>
      </c>
      <c r="AF674" s="143">
        <f>IFERROR((AD674*(1-Settings!$H$17)-C674)/(AD674*(1-Settings!$H$17)),"")</f>
        <v/>
      </c>
      <c r="AG674" s="150">
        <f>IFERROR(IF(AD674="","",IF(AD674&gt;=C674/(1-SKU_Base!AF674)/(1-Settings!$H$17),"OK",IF(AD674&gt;=C674/(1-SKU_Base!AM674)/(1-Settings!$H$17),"WARN","STOP"))),"")</f>
        <v/>
      </c>
    </row>
    <row r="675" ht="17" customHeight="1" s="179">
      <c r="A675" s="146">
        <f>SKU_Base!B675</f>
        <v/>
      </c>
      <c r="B675" s="146">
        <f>SKU_Base!C675</f>
        <v/>
      </c>
      <c r="C675" s="147">
        <f>IFERROR(SKU_Base!I675,"")</f>
        <v/>
      </c>
      <c r="D675" s="164">
        <f>IFERROR(SKU_Base!T675,"")</f>
        <v/>
      </c>
      <c r="E675" s="141">
        <f>IFERROR(SKU_Base!$U675,"")</f>
        <v/>
      </c>
      <c r="F675" s="160">
        <f>IFERROR(ROUND(D675*(1-CHOOSE(MATCH(IF($E675="","Основний",$E675),{"Трафіковий","Основний","Маржинальний","Сезонний","Стратегічний"},0),Settings!$B$78,Settings!$B$80,Settings!$B$82,Settings!$B$84,Settings!$B$86))/6,2)*6,"")</f>
        <v/>
      </c>
      <c r="G675" s="142">
        <f>IFERROR(CHOOSE(MATCH(IF($E675="","Основний",$E675),{"Трафіковий","Основний","Маржинальний","Сезонний","Стратегічний"},0),Settings!$B$78,Settings!$B$80,Settings!$B$82,Settings!$B$84,Settings!$B$86),"")</f>
        <v/>
      </c>
      <c r="H675" s="148">
        <f>IFERROR((F675*(1-Settings!$B$17)-C675)/(F675*(1-Settings!$B$17)),"")</f>
        <v/>
      </c>
      <c r="I675" s="149">
        <f>IFERROR(IF(F675="","",IF(F675&gt;=C675/(1-SKU_Base!Z675)/(1-Settings!$B$17),"OK",IF(F675&gt;=C675/(1-SKU_Base!AG675)/(1-Settings!$B$17),"WARN","STOP"))),"")</f>
        <v/>
      </c>
      <c r="J675" s="160">
        <f>IFERROR(ROUND(D675*(1-CHOOSE(MATCH(IF($E675="","Основний",$E675),{"Трафіковий","Основний","Маржинальний","Сезонний","Стратегічний"},0),Settings!$C$78,Settings!$C$80,Settings!$C$82,Settings!$C$84,Settings!$C$86))/6,2)*6,"")</f>
        <v/>
      </c>
      <c r="K675" s="142">
        <f>IFERROR(CHOOSE(MATCH(IF($E675="","Основний",$E675),{"Трафіковий","Основний","Маржинальний","Сезонний","Стратегічний"},0),Settings!$C$78,Settings!$C$80,Settings!$C$82,Settings!$C$84,Settings!$C$86),"")</f>
        <v/>
      </c>
      <c r="L675" s="148">
        <f>IFERROR((J675*(1-Settings!$C$17)-C675)/(J675*(1-Settings!$C$17)),"")</f>
        <v/>
      </c>
      <c r="M675" s="149">
        <f>IFERROR(IF(J675="","",IF(J675&gt;=C675/(1-SKU_Base!AA675)/(1-Settings!$C$17),"OK",IF(J675&gt;=C675/(1-SKU_Base!AH675)/(1-Settings!$C$17),"WARN","STOP"))),"")</f>
        <v/>
      </c>
      <c r="N675" s="161">
        <f>IFERROR(ROUND(D675*(1-CHOOSE(MATCH(IF($E675="","Основний",$E675),{"Трафіковий","Основний","Маржинальний","Сезонний","Стратегічний"},0),Settings!$D$78,Settings!$D$80,Settings!$D$82,Settings!$D$84,Settings!$D$86))/6,2)*6,"")</f>
        <v/>
      </c>
      <c r="O675" s="142">
        <f>IFERROR(CHOOSE(MATCH(IF($E675="","Основний",$E675),{"Трафіковий","Основний","Маржинальний","Сезонний","Стратегічний"},0),Settings!$D$78,Settings!$D$80,Settings!$D$82,Settings!$D$84,Settings!$D$86),"")</f>
        <v/>
      </c>
      <c r="P675" s="148">
        <f>IFERROR((N675*(1-Settings!$D$17)-C675)/(N675*(1-Settings!$D$17)),"")</f>
        <v/>
      </c>
      <c r="Q675" s="149">
        <f>IFERROR(IF(N675="","",IF(N675&gt;=C675/(1-SKU_Base!AB675)/(1-Settings!$D$17),"OK",IF(N675&gt;=C675/(1-SKU_Base!AI675)/(1-Settings!$D$17),"WARN","STOP"))),"")</f>
        <v/>
      </c>
      <c r="R675" s="161">
        <f>IFERROR(ROUND(D675*(1-CHOOSE(MATCH(IF($E675="","Основний",$E675),{"Трафіковий","Основний","Маржинальний","Сезонний","Стратегічний"},0),Settings!$E$78,Settings!$E$80,Settings!$E$82,Settings!$E$84,Settings!$E$86))/6,2)*6,"")</f>
        <v/>
      </c>
      <c r="S675" s="142">
        <f>IFERROR(CHOOSE(MATCH(IF($E675="","Основний",$E675),{"Трафіковий","Основний","Маржинальний","Сезонний","Стратегічний"},0),Settings!$E$78,Settings!$E$80,Settings!$E$82,Settings!$E$84,Settings!$E$86),"")</f>
        <v/>
      </c>
      <c r="T675" s="148">
        <f>IFERROR((R675*(1-Settings!$E$17)-C675)/(R675*(1-Settings!$E$17)),"")</f>
        <v/>
      </c>
      <c r="U675" s="149">
        <f>IFERROR(IF(R675="","",IF(R675&gt;=C675/(1-SKU_Base!AC675)/(1-Settings!$E$17),"OK",IF(R675&gt;=C675/(1-SKU_Base!AJ675)/(1-Settings!$E$17),"WARN","STOP"))),"")</f>
        <v/>
      </c>
      <c r="V675" s="161">
        <f>IFERROR(ROUND(D675*(1-CHOOSE(MATCH(IF($E675="","Основний",$E675),{"Трафіковий","Основний","Маржинальний","Сезонний","Стратегічний"},0),Settings!$F$78,Settings!$F$80,Settings!$F$82,Settings!$F$84,Settings!$F$86))/6,2)*6,"")</f>
        <v/>
      </c>
      <c r="W675" s="142">
        <f>IFERROR(CHOOSE(MATCH(IF($E675="","Основний",$E675),{"Трафіковий","Основний","Маржинальний","Сезонний","Стратегічний"},0),Settings!$F$78,Settings!$F$80,Settings!$F$82,Settings!$F$84,Settings!$F$86),"")</f>
        <v/>
      </c>
      <c r="X675" s="148">
        <f>IFERROR((V675*(1-Settings!$F$17)-C675)/(V675*(1-Settings!$F$17)),"")</f>
        <v/>
      </c>
      <c r="Y675" s="149">
        <f>IFERROR(IF(V675="","",IF(V675&gt;=C675/(1-SKU_Base!AD675)/(1-Settings!$F$17),"OK",IF(V675&gt;=C675/(1-SKU_Base!AK675)/(1-Settings!$F$17),"WARN","STOP"))),"")</f>
        <v/>
      </c>
      <c r="Z675" s="161">
        <f>IFERROR(ROUND(D675*(1-CHOOSE(MATCH(IF($E675="","Основний",$E675),{"Трафіковий","Основний","Маржинальний","Сезонний","Стратегічний"},0),Settings!$G$78,Settings!$G$80,Settings!$G$82,Settings!$G$84,Settings!$G$86))/6,2)*6,"")</f>
        <v/>
      </c>
      <c r="AA675" s="142">
        <f>IFERROR(CHOOSE(MATCH(IF($E675="","Основний",$E675),{"Трафіковий","Основний","Маржинальний","Сезонний","Стратегічний"},0),Settings!$G$78,Settings!$G$80,Settings!$G$82,Settings!$G$84,Settings!$G$86),"")</f>
        <v/>
      </c>
      <c r="AB675" s="148">
        <f>IFERROR((Z675*(1-Settings!$G$17)-C675)/(Z675*(1-Settings!$G$17)),"")</f>
        <v/>
      </c>
      <c r="AC675" s="149">
        <f>IFERROR(IF(Z675="","",IF(Z675&gt;=C675/(1-SKU_Base!AE675)/(1-Settings!$G$17),"OK",IF(Z675&gt;=C675/(1-SKU_Base!AL675)/(1-Settings!$G$17),"WARN","STOP"))),"")</f>
        <v/>
      </c>
      <c r="AD675" s="161">
        <f>IFERROR(ROUND(D675*(1-CHOOSE(MATCH(IF($E675="","Основний",$E675),{"Трафіковий","Основний","Маржинальний","Сезонний","Стратегічний"},0),Settings!$H$78,Settings!$H$80,Settings!$H$82,Settings!$H$84,Settings!$H$86))*(1-Settings!$H$68)/6,2)*6,"")</f>
        <v/>
      </c>
      <c r="AE675" s="142">
        <f>IFERROR(CHOOSE(MATCH(IF($E675="","Основний",$E675),{"Трафіковий","Основний","Маржинальний","Сезонний","Стратегічний"},0),Settings!$H$78,Settings!$H$80,Settings!$H$82,Settings!$H$84,Settings!$H$86)+(1-(CHOOSE(MATCH(IF($E675="","Основний",$E675),{"Трафіковий","Основний","Маржинальний","Сезонний","Стратегічний"},0),Settings!$H$78,Settings!$H$80,Settings!$H$82,Settings!$H$84,Settings!$H$86)))*Settings!$H$68,"")</f>
        <v/>
      </c>
      <c r="AF675" s="148">
        <f>IFERROR((AD675*(1-Settings!$H$17)-C675)/(AD675*(1-Settings!$H$17)),"")</f>
        <v/>
      </c>
      <c r="AG675" s="150">
        <f>IFERROR(IF(AD675="","",IF(AD675&gt;=C675/(1-SKU_Base!AF675)/(1-Settings!$H$17),"OK",IF(AD675&gt;=C675/(1-SKU_Base!AM675)/(1-Settings!$H$17),"WARN","STOP"))),"")</f>
        <v/>
      </c>
    </row>
    <row r="676" ht="17" customHeight="1" s="179">
      <c r="A676" s="139">
        <f>SKU_Base!B676</f>
        <v/>
      </c>
      <c r="B676" s="139">
        <f>SKU_Base!C676</f>
        <v/>
      </c>
      <c r="C676" s="140">
        <f>IFERROR(SKU_Base!I676,"")</f>
        <v/>
      </c>
      <c r="D676" s="163">
        <f>IFERROR(SKU_Base!T676,"")</f>
        <v/>
      </c>
      <c r="E676" s="141">
        <f>IFERROR(SKU_Base!$U676,"")</f>
        <v/>
      </c>
      <c r="F676" s="158">
        <f>IFERROR(ROUND(D676*(1-CHOOSE(MATCH(IF($E676="","Основний",$E676),{"Трафіковий","Основний","Маржинальний","Сезонний","Стратегічний"},0),Settings!$B$78,Settings!$B$80,Settings!$B$82,Settings!$B$84,Settings!$B$86))/6,2)*6,"")</f>
        <v/>
      </c>
      <c r="G676" s="142">
        <f>IFERROR(CHOOSE(MATCH(IF($E676="","Основний",$E676),{"Трафіковий","Основний","Маржинальний","Сезонний","Стратегічний"},0),Settings!$B$78,Settings!$B$80,Settings!$B$82,Settings!$B$84,Settings!$B$86),"")</f>
        <v/>
      </c>
      <c r="H676" s="143">
        <f>IFERROR((F676*(1-Settings!$B$17)-C676)/(F676*(1-Settings!$B$17)),"")</f>
        <v/>
      </c>
      <c r="I676" s="149">
        <f>IFERROR(IF(F676="","",IF(F676&gt;=C676/(1-SKU_Base!Z676)/(1-Settings!$B$17),"OK",IF(F676&gt;=C676/(1-SKU_Base!AG676)/(1-Settings!$B$17),"WARN","STOP"))),"")</f>
        <v/>
      </c>
      <c r="J676" s="158">
        <f>IFERROR(ROUND(D676*(1-CHOOSE(MATCH(IF($E676="","Основний",$E676),{"Трафіковий","Основний","Маржинальний","Сезонний","Стратегічний"},0),Settings!$C$78,Settings!$C$80,Settings!$C$82,Settings!$C$84,Settings!$C$86))/6,2)*6,"")</f>
        <v/>
      </c>
      <c r="K676" s="142">
        <f>IFERROR(CHOOSE(MATCH(IF($E676="","Основний",$E676),{"Трафіковий","Основний","Маржинальний","Сезонний","Стратегічний"},0),Settings!$C$78,Settings!$C$80,Settings!$C$82,Settings!$C$84,Settings!$C$86),"")</f>
        <v/>
      </c>
      <c r="L676" s="143">
        <f>IFERROR((J676*(1-Settings!$C$17)-C676)/(J676*(1-Settings!$C$17)),"")</f>
        <v/>
      </c>
      <c r="M676" s="149">
        <f>IFERROR(IF(J676="","",IF(J676&gt;=C676/(1-SKU_Base!AA676)/(1-Settings!$C$17),"OK",IF(J676&gt;=C676/(1-SKU_Base!AH676)/(1-Settings!$C$17),"WARN","STOP"))),"")</f>
        <v/>
      </c>
      <c r="N676" s="159">
        <f>IFERROR(ROUND(D676*(1-CHOOSE(MATCH(IF($E676="","Основний",$E676),{"Трафіковий","Основний","Маржинальний","Сезонний","Стратегічний"},0),Settings!$D$78,Settings!$D$80,Settings!$D$82,Settings!$D$84,Settings!$D$86))/6,2)*6,"")</f>
        <v/>
      </c>
      <c r="O676" s="142">
        <f>IFERROR(CHOOSE(MATCH(IF($E676="","Основний",$E676),{"Трафіковий","Основний","Маржинальний","Сезонний","Стратегічний"},0),Settings!$D$78,Settings!$D$80,Settings!$D$82,Settings!$D$84,Settings!$D$86),"")</f>
        <v/>
      </c>
      <c r="P676" s="143">
        <f>IFERROR((N676*(1-Settings!$D$17)-C676)/(N676*(1-Settings!$D$17)),"")</f>
        <v/>
      </c>
      <c r="Q676" s="149">
        <f>IFERROR(IF(N676="","",IF(N676&gt;=C676/(1-SKU_Base!AB676)/(1-Settings!$D$17),"OK",IF(N676&gt;=C676/(1-SKU_Base!AI676)/(1-Settings!$D$17),"WARN","STOP"))),"")</f>
        <v/>
      </c>
      <c r="R676" s="159">
        <f>IFERROR(ROUND(D676*(1-CHOOSE(MATCH(IF($E676="","Основний",$E676),{"Трафіковий","Основний","Маржинальний","Сезонний","Стратегічний"},0),Settings!$E$78,Settings!$E$80,Settings!$E$82,Settings!$E$84,Settings!$E$86))/6,2)*6,"")</f>
        <v/>
      </c>
      <c r="S676" s="142">
        <f>IFERROR(CHOOSE(MATCH(IF($E676="","Основний",$E676),{"Трафіковий","Основний","Маржинальний","Сезонний","Стратегічний"},0),Settings!$E$78,Settings!$E$80,Settings!$E$82,Settings!$E$84,Settings!$E$86),"")</f>
        <v/>
      </c>
      <c r="T676" s="143">
        <f>IFERROR((R676*(1-Settings!$E$17)-C676)/(R676*(1-Settings!$E$17)),"")</f>
        <v/>
      </c>
      <c r="U676" s="149">
        <f>IFERROR(IF(R676="","",IF(R676&gt;=C676/(1-SKU_Base!AC676)/(1-Settings!$E$17),"OK",IF(R676&gt;=C676/(1-SKU_Base!AJ676)/(1-Settings!$E$17),"WARN","STOP"))),"")</f>
        <v/>
      </c>
      <c r="V676" s="159">
        <f>IFERROR(ROUND(D676*(1-CHOOSE(MATCH(IF($E676="","Основний",$E676),{"Трафіковий","Основний","Маржинальний","Сезонний","Стратегічний"},0),Settings!$F$78,Settings!$F$80,Settings!$F$82,Settings!$F$84,Settings!$F$86))/6,2)*6,"")</f>
        <v/>
      </c>
      <c r="W676" s="142">
        <f>IFERROR(CHOOSE(MATCH(IF($E676="","Основний",$E676),{"Трафіковий","Основний","Маржинальний","Сезонний","Стратегічний"},0),Settings!$F$78,Settings!$F$80,Settings!$F$82,Settings!$F$84,Settings!$F$86),"")</f>
        <v/>
      </c>
      <c r="X676" s="143">
        <f>IFERROR((V676*(1-Settings!$F$17)-C676)/(V676*(1-Settings!$F$17)),"")</f>
        <v/>
      </c>
      <c r="Y676" s="149">
        <f>IFERROR(IF(V676="","",IF(V676&gt;=C676/(1-SKU_Base!AD676)/(1-Settings!$F$17),"OK",IF(V676&gt;=C676/(1-SKU_Base!AK676)/(1-Settings!$F$17),"WARN","STOP"))),"")</f>
        <v/>
      </c>
      <c r="Z676" s="159">
        <f>IFERROR(ROUND(D676*(1-CHOOSE(MATCH(IF($E676="","Основний",$E676),{"Трафіковий","Основний","Маржинальний","Сезонний","Стратегічний"},0),Settings!$G$78,Settings!$G$80,Settings!$G$82,Settings!$G$84,Settings!$G$86))/6,2)*6,"")</f>
        <v/>
      </c>
      <c r="AA676" s="142">
        <f>IFERROR(CHOOSE(MATCH(IF($E676="","Основний",$E676),{"Трафіковий","Основний","Маржинальний","Сезонний","Стратегічний"},0),Settings!$G$78,Settings!$G$80,Settings!$G$82,Settings!$G$84,Settings!$G$86),"")</f>
        <v/>
      </c>
      <c r="AB676" s="143">
        <f>IFERROR((Z676*(1-Settings!$G$17)-C676)/(Z676*(1-Settings!$G$17)),"")</f>
        <v/>
      </c>
      <c r="AC676" s="149">
        <f>IFERROR(IF(Z676="","",IF(Z676&gt;=C676/(1-SKU_Base!AE676)/(1-Settings!$G$17),"OK",IF(Z676&gt;=C676/(1-SKU_Base!AL676)/(1-Settings!$G$17),"WARN","STOP"))),"")</f>
        <v/>
      </c>
      <c r="AD676" s="159">
        <f>IFERROR(ROUND(D676*(1-CHOOSE(MATCH(IF($E676="","Основний",$E676),{"Трафіковий","Основний","Маржинальний","Сезонний","Стратегічний"},0),Settings!$H$78,Settings!$H$80,Settings!$H$82,Settings!$H$84,Settings!$H$86))*(1-Settings!$H$68)/6,2)*6,"")</f>
        <v/>
      </c>
      <c r="AE676" s="142">
        <f>IFERROR(CHOOSE(MATCH(IF($E676="","Основний",$E676),{"Трафіковий","Основний","Маржинальний","Сезонний","Стратегічний"},0),Settings!$H$78,Settings!$H$80,Settings!$H$82,Settings!$H$84,Settings!$H$86)+(1-(CHOOSE(MATCH(IF($E676="","Основний",$E676),{"Трафіковий","Основний","Маржинальний","Сезонний","Стратегічний"},0),Settings!$H$78,Settings!$H$80,Settings!$H$82,Settings!$H$84,Settings!$H$86)))*Settings!$H$68,"")</f>
        <v/>
      </c>
      <c r="AF676" s="143">
        <f>IFERROR((AD676*(1-Settings!$H$17)-C676)/(AD676*(1-Settings!$H$17)),"")</f>
        <v/>
      </c>
      <c r="AG676" s="150">
        <f>IFERROR(IF(AD676="","",IF(AD676&gt;=C676/(1-SKU_Base!AF676)/(1-Settings!$H$17),"OK",IF(AD676&gt;=C676/(1-SKU_Base!AM676)/(1-Settings!$H$17),"WARN","STOP"))),"")</f>
        <v/>
      </c>
    </row>
    <row r="677" ht="17" customHeight="1" s="179">
      <c r="A677" s="146">
        <f>SKU_Base!B677</f>
        <v/>
      </c>
      <c r="B677" s="146">
        <f>SKU_Base!C677</f>
        <v/>
      </c>
      <c r="C677" s="147">
        <f>IFERROR(SKU_Base!I677,"")</f>
        <v/>
      </c>
      <c r="D677" s="164">
        <f>IFERROR(SKU_Base!T677,"")</f>
        <v/>
      </c>
      <c r="E677" s="141">
        <f>IFERROR(SKU_Base!$U677,"")</f>
        <v/>
      </c>
      <c r="F677" s="160">
        <f>IFERROR(ROUND(D677*(1-CHOOSE(MATCH(IF($E677="","Основний",$E677),{"Трафіковий","Основний","Маржинальний","Сезонний","Стратегічний"},0),Settings!$B$78,Settings!$B$80,Settings!$B$82,Settings!$B$84,Settings!$B$86))/6,2)*6,"")</f>
        <v/>
      </c>
      <c r="G677" s="142">
        <f>IFERROR(CHOOSE(MATCH(IF($E677="","Основний",$E677),{"Трафіковий","Основний","Маржинальний","Сезонний","Стратегічний"},0),Settings!$B$78,Settings!$B$80,Settings!$B$82,Settings!$B$84,Settings!$B$86),"")</f>
        <v/>
      </c>
      <c r="H677" s="148">
        <f>IFERROR((F677*(1-Settings!$B$17)-C677)/(F677*(1-Settings!$B$17)),"")</f>
        <v/>
      </c>
      <c r="I677" s="149">
        <f>IFERROR(IF(F677="","",IF(F677&gt;=C677/(1-SKU_Base!Z677)/(1-Settings!$B$17),"OK",IF(F677&gt;=C677/(1-SKU_Base!AG677)/(1-Settings!$B$17),"WARN","STOP"))),"")</f>
        <v/>
      </c>
      <c r="J677" s="160">
        <f>IFERROR(ROUND(D677*(1-CHOOSE(MATCH(IF($E677="","Основний",$E677),{"Трафіковий","Основний","Маржинальний","Сезонний","Стратегічний"},0),Settings!$C$78,Settings!$C$80,Settings!$C$82,Settings!$C$84,Settings!$C$86))/6,2)*6,"")</f>
        <v/>
      </c>
      <c r="K677" s="142">
        <f>IFERROR(CHOOSE(MATCH(IF($E677="","Основний",$E677),{"Трафіковий","Основний","Маржинальний","Сезонний","Стратегічний"},0),Settings!$C$78,Settings!$C$80,Settings!$C$82,Settings!$C$84,Settings!$C$86),"")</f>
        <v/>
      </c>
      <c r="L677" s="148">
        <f>IFERROR((J677*(1-Settings!$C$17)-C677)/(J677*(1-Settings!$C$17)),"")</f>
        <v/>
      </c>
      <c r="M677" s="149">
        <f>IFERROR(IF(J677="","",IF(J677&gt;=C677/(1-SKU_Base!AA677)/(1-Settings!$C$17),"OK",IF(J677&gt;=C677/(1-SKU_Base!AH677)/(1-Settings!$C$17),"WARN","STOP"))),"")</f>
        <v/>
      </c>
      <c r="N677" s="161">
        <f>IFERROR(ROUND(D677*(1-CHOOSE(MATCH(IF($E677="","Основний",$E677),{"Трафіковий","Основний","Маржинальний","Сезонний","Стратегічний"},0),Settings!$D$78,Settings!$D$80,Settings!$D$82,Settings!$D$84,Settings!$D$86))/6,2)*6,"")</f>
        <v/>
      </c>
      <c r="O677" s="142">
        <f>IFERROR(CHOOSE(MATCH(IF($E677="","Основний",$E677),{"Трафіковий","Основний","Маржинальний","Сезонний","Стратегічний"},0),Settings!$D$78,Settings!$D$80,Settings!$D$82,Settings!$D$84,Settings!$D$86),"")</f>
        <v/>
      </c>
      <c r="P677" s="148">
        <f>IFERROR((N677*(1-Settings!$D$17)-C677)/(N677*(1-Settings!$D$17)),"")</f>
        <v/>
      </c>
      <c r="Q677" s="149">
        <f>IFERROR(IF(N677="","",IF(N677&gt;=C677/(1-SKU_Base!AB677)/(1-Settings!$D$17),"OK",IF(N677&gt;=C677/(1-SKU_Base!AI677)/(1-Settings!$D$17),"WARN","STOP"))),"")</f>
        <v/>
      </c>
      <c r="R677" s="161">
        <f>IFERROR(ROUND(D677*(1-CHOOSE(MATCH(IF($E677="","Основний",$E677),{"Трафіковий","Основний","Маржинальний","Сезонний","Стратегічний"},0),Settings!$E$78,Settings!$E$80,Settings!$E$82,Settings!$E$84,Settings!$E$86))/6,2)*6,"")</f>
        <v/>
      </c>
      <c r="S677" s="142">
        <f>IFERROR(CHOOSE(MATCH(IF($E677="","Основний",$E677),{"Трафіковий","Основний","Маржинальний","Сезонний","Стратегічний"},0),Settings!$E$78,Settings!$E$80,Settings!$E$82,Settings!$E$84,Settings!$E$86),"")</f>
        <v/>
      </c>
      <c r="T677" s="148">
        <f>IFERROR((R677*(1-Settings!$E$17)-C677)/(R677*(1-Settings!$E$17)),"")</f>
        <v/>
      </c>
      <c r="U677" s="149">
        <f>IFERROR(IF(R677="","",IF(R677&gt;=C677/(1-SKU_Base!AC677)/(1-Settings!$E$17),"OK",IF(R677&gt;=C677/(1-SKU_Base!AJ677)/(1-Settings!$E$17),"WARN","STOP"))),"")</f>
        <v/>
      </c>
      <c r="V677" s="161">
        <f>IFERROR(ROUND(D677*(1-CHOOSE(MATCH(IF($E677="","Основний",$E677),{"Трафіковий","Основний","Маржинальний","Сезонний","Стратегічний"},0),Settings!$F$78,Settings!$F$80,Settings!$F$82,Settings!$F$84,Settings!$F$86))/6,2)*6,"")</f>
        <v/>
      </c>
      <c r="W677" s="142">
        <f>IFERROR(CHOOSE(MATCH(IF($E677="","Основний",$E677),{"Трафіковий","Основний","Маржинальний","Сезонний","Стратегічний"},0),Settings!$F$78,Settings!$F$80,Settings!$F$82,Settings!$F$84,Settings!$F$86),"")</f>
        <v/>
      </c>
      <c r="X677" s="148">
        <f>IFERROR((V677*(1-Settings!$F$17)-C677)/(V677*(1-Settings!$F$17)),"")</f>
        <v/>
      </c>
      <c r="Y677" s="149">
        <f>IFERROR(IF(V677="","",IF(V677&gt;=C677/(1-SKU_Base!AD677)/(1-Settings!$F$17),"OK",IF(V677&gt;=C677/(1-SKU_Base!AK677)/(1-Settings!$F$17),"WARN","STOP"))),"")</f>
        <v/>
      </c>
      <c r="Z677" s="161">
        <f>IFERROR(ROUND(D677*(1-CHOOSE(MATCH(IF($E677="","Основний",$E677),{"Трафіковий","Основний","Маржинальний","Сезонний","Стратегічний"},0),Settings!$G$78,Settings!$G$80,Settings!$G$82,Settings!$G$84,Settings!$G$86))/6,2)*6,"")</f>
        <v/>
      </c>
      <c r="AA677" s="142">
        <f>IFERROR(CHOOSE(MATCH(IF($E677="","Основний",$E677),{"Трафіковий","Основний","Маржинальний","Сезонний","Стратегічний"},0),Settings!$G$78,Settings!$G$80,Settings!$G$82,Settings!$G$84,Settings!$G$86),"")</f>
        <v/>
      </c>
      <c r="AB677" s="148">
        <f>IFERROR((Z677*(1-Settings!$G$17)-C677)/(Z677*(1-Settings!$G$17)),"")</f>
        <v/>
      </c>
      <c r="AC677" s="149">
        <f>IFERROR(IF(Z677="","",IF(Z677&gt;=C677/(1-SKU_Base!AE677)/(1-Settings!$G$17),"OK",IF(Z677&gt;=C677/(1-SKU_Base!AL677)/(1-Settings!$G$17),"WARN","STOP"))),"")</f>
        <v/>
      </c>
      <c r="AD677" s="161">
        <f>IFERROR(ROUND(D677*(1-CHOOSE(MATCH(IF($E677="","Основний",$E677),{"Трафіковий","Основний","Маржинальний","Сезонний","Стратегічний"},0),Settings!$H$78,Settings!$H$80,Settings!$H$82,Settings!$H$84,Settings!$H$86))*(1-Settings!$H$68)/6,2)*6,"")</f>
        <v/>
      </c>
      <c r="AE677" s="142">
        <f>IFERROR(CHOOSE(MATCH(IF($E677="","Основний",$E677),{"Трафіковий","Основний","Маржинальний","Сезонний","Стратегічний"},0),Settings!$H$78,Settings!$H$80,Settings!$H$82,Settings!$H$84,Settings!$H$86)+(1-(CHOOSE(MATCH(IF($E677="","Основний",$E677),{"Трафіковий","Основний","Маржинальний","Сезонний","Стратегічний"},0),Settings!$H$78,Settings!$H$80,Settings!$H$82,Settings!$H$84,Settings!$H$86)))*Settings!$H$68,"")</f>
        <v/>
      </c>
      <c r="AF677" s="148">
        <f>IFERROR((AD677*(1-Settings!$H$17)-C677)/(AD677*(1-Settings!$H$17)),"")</f>
        <v/>
      </c>
      <c r="AG677" s="150">
        <f>IFERROR(IF(AD677="","",IF(AD677&gt;=C677/(1-SKU_Base!AF677)/(1-Settings!$H$17),"OK",IF(AD677&gt;=C677/(1-SKU_Base!AM677)/(1-Settings!$H$17),"WARN","STOP"))),"")</f>
        <v/>
      </c>
    </row>
    <row r="678" ht="17" customHeight="1" s="179">
      <c r="A678" s="139">
        <f>SKU_Base!B678</f>
        <v/>
      </c>
      <c r="B678" s="139">
        <f>SKU_Base!C678</f>
        <v/>
      </c>
      <c r="C678" s="140">
        <f>IFERROR(SKU_Base!I678,"")</f>
        <v/>
      </c>
      <c r="D678" s="163">
        <f>IFERROR(SKU_Base!T678,"")</f>
        <v/>
      </c>
      <c r="E678" s="141">
        <f>IFERROR(SKU_Base!$U678,"")</f>
        <v/>
      </c>
      <c r="F678" s="158">
        <f>IFERROR(ROUND(D678*(1-CHOOSE(MATCH(IF($E678="","Основний",$E678),{"Трафіковий","Основний","Маржинальний","Сезонний","Стратегічний"},0),Settings!$B$78,Settings!$B$80,Settings!$B$82,Settings!$B$84,Settings!$B$86))/6,2)*6,"")</f>
        <v/>
      </c>
      <c r="G678" s="142">
        <f>IFERROR(CHOOSE(MATCH(IF($E678="","Основний",$E678),{"Трафіковий","Основний","Маржинальний","Сезонний","Стратегічний"},0),Settings!$B$78,Settings!$B$80,Settings!$B$82,Settings!$B$84,Settings!$B$86),"")</f>
        <v/>
      </c>
      <c r="H678" s="143">
        <f>IFERROR((F678*(1-Settings!$B$17)-C678)/(F678*(1-Settings!$B$17)),"")</f>
        <v/>
      </c>
      <c r="I678" s="150">
        <f>IFERROR(IF(F678="","",IF(F678&gt;=C678/(1-SKU_Base!Z678)/(1-Settings!$B$17),"OK",IF(F678&gt;=C678/(1-SKU_Base!AG678)/(1-Settings!$B$17),"WARN","STOP"))),"")</f>
        <v/>
      </c>
      <c r="J678" s="158">
        <f>IFERROR(ROUND(D678*(1-CHOOSE(MATCH(IF($E678="","Основний",$E678),{"Трафіковий","Основний","Маржинальний","Сезонний","Стратегічний"},0),Settings!$C$78,Settings!$C$80,Settings!$C$82,Settings!$C$84,Settings!$C$86))/6,2)*6,"")</f>
        <v/>
      </c>
      <c r="K678" s="142">
        <f>IFERROR(CHOOSE(MATCH(IF($E678="","Основний",$E678),{"Трафіковий","Основний","Маржинальний","Сезонний","Стратегічний"},0),Settings!$C$78,Settings!$C$80,Settings!$C$82,Settings!$C$84,Settings!$C$86),"")</f>
        <v/>
      </c>
      <c r="L678" s="143">
        <f>IFERROR((J678*(1-Settings!$C$17)-C678)/(J678*(1-Settings!$C$17)),"")</f>
        <v/>
      </c>
      <c r="M678" s="149">
        <f>IFERROR(IF(J678="","",IF(J678&gt;=C678/(1-SKU_Base!AA678)/(1-Settings!$C$17),"OK",IF(J678&gt;=C678/(1-SKU_Base!AH678)/(1-Settings!$C$17),"WARN","STOP"))),"")</f>
        <v/>
      </c>
      <c r="N678" s="159">
        <f>IFERROR(ROUND(D678*(1-CHOOSE(MATCH(IF($E678="","Основний",$E678),{"Трафіковий","Основний","Маржинальний","Сезонний","Стратегічний"},0),Settings!$D$78,Settings!$D$80,Settings!$D$82,Settings!$D$84,Settings!$D$86))/6,2)*6,"")</f>
        <v/>
      </c>
      <c r="O678" s="142">
        <f>IFERROR(CHOOSE(MATCH(IF($E678="","Основний",$E678),{"Трафіковий","Основний","Маржинальний","Сезонний","Стратегічний"},0),Settings!$D$78,Settings!$D$80,Settings!$D$82,Settings!$D$84,Settings!$D$86),"")</f>
        <v/>
      </c>
      <c r="P678" s="143">
        <f>IFERROR((N678*(1-Settings!$D$17)-C678)/(N678*(1-Settings!$D$17)),"")</f>
        <v/>
      </c>
      <c r="Q678" s="149">
        <f>IFERROR(IF(N678="","",IF(N678&gt;=C678/(1-SKU_Base!AB678)/(1-Settings!$D$17),"OK",IF(N678&gt;=C678/(1-SKU_Base!AI678)/(1-Settings!$D$17),"WARN","STOP"))),"")</f>
        <v/>
      </c>
      <c r="R678" s="159">
        <f>IFERROR(ROUND(D678*(1-CHOOSE(MATCH(IF($E678="","Основний",$E678),{"Трафіковий","Основний","Маржинальний","Сезонний","Стратегічний"},0),Settings!$E$78,Settings!$E$80,Settings!$E$82,Settings!$E$84,Settings!$E$86))/6,2)*6,"")</f>
        <v/>
      </c>
      <c r="S678" s="142">
        <f>IFERROR(CHOOSE(MATCH(IF($E678="","Основний",$E678),{"Трафіковий","Основний","Маржинальний","Сезонний","Стратегічний"},0),Settings!$E$78,Settings!$E$80,Settings!$E$82,Settings!$E$84,Settings!$E$86),"")</f>
        <v/>
      </c>
      <c r="T678" s="143">
        <f>IFERROR((R678*(1-Settings!$E$17)-C678)/(R678*(1-Settings!$E$17)),"")</f>
        <v/>
      </c>
      <c r="U678" s="149">
        <f>IFERROR(IF(R678="","",IF(R678&gt;=C678/(1-SKU_Base!AC678)/(1-Settings!$E$17),"OK",IF(R678&gt;=C678/(1-SKU_Base!AJ678)/(1-Settings!$E$17),"WARN","STOP"))),"")</f>
        <v/>
      </c>
      <c r="V678" s="159">
        <f>IFERROR(ROUND(D678*(1-CHOOSE(MATCH(IF($E678="","Основний",$E678),{"Трафіковий","Основний","Маржинальний","Сезонний","Стратегічний"},0),Settings!$F$78,Settings!$F$80,Settings!$F$82,Settings!$F$84,Settings!$F$86))/6,2)*6,"")</f>
        <v/>
      </c>
      <c r="W678" s="142">
        <f>IFERROR(CHOOSE(MATCH(IF($E678="","Основний",$E678),{"Трафіковий","Основний","Маржинальний","Сезонний","Стратегічний"},0),Settings!$F$78,Settings!$F$80,Settings!$F$82,Settings!$F$84,Settings!$F$86),"")</f>
        <v/>
      </c>
      <c r="X678" s="143">
        <f>IFERROR((V678*(1-Settings!$F$17)-C678)/(V678*(1-Settings!$F$17)),"")</f>
        <v/>
      </c>
      <c r="Y678" s="149">
        <f>IFERROR(IF(V678="","",IF(V678&gt;=C678/(1-SKU_Base!AD678)/(1-Settings!$F$17),"OK",IF(V678&gt;=C678/(1-SKU_Base!AK678)/(1-Settings!$F$17),"WARN","STOP"))),"")</f>
        <v/>
      </c>
      <c r="Z678" s="159">
        <f>IFERROR(ROUND(D678*(1-CHOOSE(MATCH(IF($E678="","Основний",$E678),{"Трафіковий","Основний","Маржинальний","Сезонний","Стратегічний"},0),Settings!$G$78,Settings!$G$80,Settings!$G$82,Settings!$G$84,Settings!$G$86))/6,2)*6,"")</f>
        <v/>
      </c>
      <c r="AA678" s="142">
        <f>IFERROR(CHOOSE(MATCH(IF($E678="","Основний",$E678),{"Трафіковий","Основний","Маржинальний","Сезонний","Стратегічний"},0),Settings!$G$78,Settings!$G$80,Settings!$G$82,Settings!$G$84,Settings!$G$86),"")</f>
        <v/>
      </c>
      <c r="AB678" s="143">
        <f>IFERROR((Z678*(1-Settings!$G$17)-C678)/(Z678*(1-Settings!$G$17)),"")</f>
        <v/>
      </c>
      <c r="AC678" s="149">
        <f>IFERROR(IF(Z678="","",IF(Z678&gt;=C678/(1-SKU_Base!AE678)/(1-Settings!$G$17),"OK",IF(Z678&gt;=C678/(1-SKU_Base!AL678)/(1-Settings!$G$17),"WARN","STOP"))),"")</f>
        <v/>
      </c>
      <c r="AD678" s="159">
        <f>IFERROR(ROUND(D678*(1-CHOOSE(MATCH(IF($E678="","Основний",$E678),{"Трафіковий","Основний","Маржинальний","Сезонний","Стратегічний"},0),Settings!$H$78,Settings!$H$80,Settings!$H$82,Settings!$H$84,Settings!$H$86))*(1-Settings!$H$68)/6,2)*6,"")</f>
        <v/>
      </c>
      <c r="AE678" s="142">
        <f>IFERROR(CHOOSE(MATCH(IF($E678="","Основний",$E678),{"Трафіковий","Основний","Маржинальний","Сезонний","Стратегічний"},0),Settings!$H$78,Settings!$H$80,Settings!$H$82,Settings!$H$84,Settings!$H$86)+(1-(CHOOSE(MATCH(IF($E678="","Основний",$E678),{"Трафіковий","Основний","Маржинальний","Сезонний","Стратегічний"},0),Settings!$H$78,Settings!$H$80,Settings!$H$82,Settings!$H$84,Settings!$H$86)))*Settings!$H$68,"")</f>
        <v/>
      </c>
      <c r="AF678" s="143">
        <f>IFERROR((AD678*(1-Settings!$H$17)-C678)/(AD678*(1-Settings!$H$17)),"")</f>
        <v/>
      </c>
      <c r="AG678" s="150">
        <f>IFERROR(IF(AD678="","",IF(AD678&gt;=C678/(1-SKU_Base!AF678)/(1-Settings!$H$17),"OK",IF(AD678&gt;=C678/(1-SKU_Base!AM678)/(1-Settings!$H$17),"WARN","STOP"))),"")</f>
        <v/>
      </c>
    </row>
    <row r="679" ht="17" customHeight="1" s="179">
      <c r="A679" s="146">
        <f>SKU_Base!B679</f>
        <v/>
      </c>
      <c r="B679" s="146">
        <f>SKU_Base!C679</f>
        <v/>
      </c>
      <c r="C679" s="147">
        <f>IFERROR(SKU_Base!I679,"")</f>
        <v/>
      </c>
      <c r="D679" s="164">
        <f>IFERROR(SKU_Base!T679,"")</f>
        <v/>
      </c>
      <c r="E679" s="141">
        <f>IFERROR(SKU_Base!$U679,"")</f>
        <v/>
      </c>
      <c r="F679" s="160">
        <f>IFERROR(ROUND(D679*(1-CHOOSE(MATCH(IF($E679="","Основний",$E679),{"Трафіковий","Основний","Маржинальний","Сезонний","Стратегічний"},0),Settings!$B$78,Settings!$B$80,Settings!$B$82,Settings!$B$84,Settings!$B$86))/6,2)*6,"")</f>
        <v/>
      </c>
      <c r="G679" s="142">
        <f>IFERROR(CHOOSE(MATCH(IF($E679="","Основний",$E679),{"Трафіковий","Основний","Маржинальний","Сезонний","Стратегічний"},0),Settings!$B$78,Settings!$B$80,Settings!$B$82,Settings!$B$84,Settings!$B$86),"")</f>
        <v/>
      </c>
      <c r="H679" s="148">
        <f>IFERROR((F679*(1-Settings!$B$17)-C679)/(F679*(1-Settings!$B$17)),"")</f>
        <v/>
      </c>
      <c r="I679" s="149">
        <f>IFERROR(IF(F679="","",IF(F679&gt;=C679/(1-SKU_Base!Z679)/(1-Settings!$B$17),"OK",IF(F679&gt;=C679/(1-SKU_Base!AG679)/(1-Settings!$B$17),"WARN","STOP"))),"")</f>
        <v/>
      </c>
      <c r="J679" s="160">
        <f>IFERROR(ROUND(D679*(1-CHOOSE(MATCH(IF($E679="","Основний",$E679),{"Трафіковий","Основний","Маржинальний","Сезонний","Стратегічний"},0),Settings!$C$78,Settings!$C$80,Settings!$C$82,Settings!$C$84,Settings!$C$86))/6,2)*6,"")</f>
        <v/>
      </c>
      <c r="K679" s="142">
        <f>IFERROR(CHOOSE(MATCH(IF($E679="","Основний",$E679),{"Трафіковий","Основний","Маржинальний","Сезонний","Стратегічний"},0),Settings!$C$78,Settings!$C$80,Settings!$C$82,Settings!$C$84,Settings!$C$86),"")</f>
        <v/>
      </c>
      <c r="L679" s="148">
        <f>IFERROR((J679*(1-Settings!$C$17)-C679)/(J679*(1-Settings!$C$17)),"")</f>
        <v/>
      </c>
      <c r="M679" s="149">
        <f>IFERROR(IF(J679="","",IF(J679&gt;=C679/(1-SKU_Base!AA679)/(1-Settings!$C$17),"OK",IF(J679&gt;=C679/(1-SKU_Base!AH679)/(1-Settings!$C$17),"WARN","STOP"))),"")</f>
        <v/>
      </c>
      <c r="N679" s="161">
        <f>IFERROR(ROUND(D679*(1-CHOOSE(MATCH(IF($E679="","Основний",$E679),{"Трафіковий","Основний","Маржинальний","Сезонний","Стратегічний"},0),Settings!$D$78,Settings!$D$80,Settings!$D$82,Settings!$D$84,Settings!$D$86))/6,2)*6,"")</f>
        <v/>
      </c>
      <c r="O679" s="142">
        <f>IFERROR(CHOOSE(MATCH(IF($E679="","Основний",$E679),{"Трафіковий","Основний","Маржинальний","Сезонний","Стратегічний"},0),Settings!$D$78,Settings!$D$80,Settings!$D$82,Settings!$D$84,Settings!$D$86),"")</f>
        <v/>
      </c>
      <c r="P679" s="148">
        <f>IFERROR((N679*(1-Settings!$D$17)-C679)/(N679*(1-Settings!$D$17)),"")</f>
        <v/>
      </c>
      <c r="Q679" s="149">
        <f>IFERROR(IF(N679="","",IF(N679&gt;=C679/(1-SKU_Base!AB679)/(1-Settings!$D$17),"OK",IF(N679&gt;=C679/(1-SKU_Base!AI679)/(1-Settings!$D$17),"WARN","STOP"))),"")</f>
        <v/>
      </c>
      <c r="R679" s="161">
        <f>IFERROR(ROUND(D679*(1-CHOOSE(MATCH(IF($E679="","Основний",$E679),{"Трафіковий","Основний","Маржинальний","Сезонний","Стратегічний"},0),Settings!$E$78,Settings!$E$80,Settings!$E$82,Settings!$E$84,Settings!$E$86))/6,2)*6,"")</f>
        <v/>
      </c>
      <c r="S679" s="142">
        <f>IFERROR(CHOOSE(MATCH(IF($E679="","Основний",$E679),{"Трафіковий","Основний","Маржинальний","Сезонний","Стратегічний"},0),Settings!$E$78,Settings!$E$80,Settings!$E$82,Settings!$E$84,Settings!$E$86),"")</f>
        <v/>
      </c>
      <c r="T679" s="148">
        <f>IFERROR((R679*(1-Settings!$E$17)-C679)/(R679*(1-Settings!$E$17)),"")</f>
        <v/>
      </c>
      <c r="U679" s="149">
        <f>IFERROR(IF(R679="","",IF(R679&gt;=C679/(1-SKU_Base!AC679)/(1-Settings!$E$17),"OK",IF(R679&gt;=C679/(1-SKU_Base!AJ679)/(1-Settings!$E$17),"WARN","STOP"))),"")</f>
        <v/>
      </c>
      <c r="V679" s="161">
        <f>IFERROR(ROUND(D679*(1-CHOOSE(MATCH(IF($E679="","Основний",$E679),{"Трафіковий","Основний","Маржинальний","Сезонний","Стратегічний"},0),Settings!$F$78,Settings!$F$80,Settings!$F$82,Settings!$F$84,Settings!$F$86))/6,2)*6,"")</f>
        <v/>
      </c>
      <c r="W679" s="142">
        <f>IFERROR(CHOOSE(MATCH(IF($E679="","Основний",$E679),{"Трафіковий","Основний","Маржинальний","Сезонний","Стратегічний"},0),Settings!$F$78,Settings!$F$80,Settings!$F$82,Settings!$F$84,Settings!$F$86),"")</f>
        <v/>
      </c>
      <c r="X679" s="148">
        <f>IFERROR((V679*(1-Settings!$F$17)-C679)/(V679*(1-Settings!$F$17)),"")</f>
        <v/>
      </c>
      <c r="Y679" s="149">
        <f>IFERROR(IF(V679="","",IF(V679&gt;=C679/(1-SKU_Base!AD679)/(1-Settings!$F$17),"OK",IF(V679&gt;=C679/(1-SKU_Base!AK679)/(1-Settings!$F$17),"WARN","STOP"))),"")</f>
        <v/>
      </c>
      <c r="Z679" s="161">
        <f>IFERROR(ROUND(D679*(1-CHOOSE(MATCH(IF($E679="","Основний",$E679),{"Трафіковий","Основний","Маржинальний","Сезонний","Стратегічний"},0),Settings!$G$78,Settings!$G$80,Settings!$G$82,Settings!$G$84,Settings!$G$86))/6,2)*6,"")</f>
        <v/>
      </c>
      <c r="AA679" s="142">
        <f>IFERROR(CHOOSE(MATCH(IF($E679="","Основний",$E679),{"Трафіковий","Основний","Маржинальний","Сезонний","Стратегічний"},0),Settings!$G$78,Settings!$G$80,Settings!$G$82,Settings!$G$84,Settings!$G$86),"")</f>
        <v/>
      </c>
      <c r="AB679" s="148">
        <f>IFERROR((Z679*(1-Settings!$G$17)-C679)/(Z679*(1-Settings!$G$17)),"")</f>
        <v/>
      </c>
      <c r="AC679" s="149">
        <f>IFERROR(IF(Z679="","",IF(Z679&gt;=C679/(1-SKU_Base!AE679)/(1-Settings!$G$17),"OK",IF(Z679&gt;=C679/(1-SKU_Base!AL679)/(1-Settings!$G$17),"WARN","STOP"))),"")</f>
        <v/>
      </c>
      <c r="AD679" s="161">
        <f>IFERROR(ROUND(D679*(1-CHOOSE(MATCH(IF($E679="","Основний",$E679),{"Трафіковий","Основний","Маржинальний","Сезонний","Стратегічний"},0),Settings!$H$78,Settings!$H$80,Settings!$H$82,Settings!$H$84,Settings!$H$86))*(1-Settings!$H$68)/6,2)*6,"")</f>
        <v/>
      </c>
      <c r="AE679" s="142">
        <f>IFERROR(CHOOSE(MATCH(IF($E679="","Основний",$E679),{"Трафіковий","Основний","Маржинальний","Сезонний","Стратегічний"},0),Settings!$H$78,Settings!$H$80,Settings!$H$82,Settings!$H$84,Settings!$H$86)+(1-(CHOOSE(MATCH(IF($E679="","Основний",$E679),{"Трафіковий","Основний","Маржинальний","Сезонний","Стратегічний"},0),Settings!$H$78,Settings!$H$80,Settings!$H$82,Settings!$H$84,Settings!$H$86)))*Settings!$H$68,"")</f>
        <v/>
      </c>
      <c r="AF679" s="148">
        <f>IFERROR((AD679*(1-Settings!$H$17)-C679)/(AD679*(1-Settings!$H$17)),"")</f>
        <v/>
      </c>
      <c r="AG679" s="150">
        <f>IFERROR(IF(AD679="","",IF(AD679&gt;=C679/(1-SKU_Base!AF679)/(1-Settings!$H$17),"OK",IF(AD679&gt;=C679/(1-SKU_Base!AM679)/(1-Settings!$H$17),"WARN","STOP"))),"")</f>
        <v/>
      </c>
    </row>
    <row r="680" ht="17" customHeight="1" s="179">
      <c r="A680" s="139">
        <f>SKU_Base!B680</f>
        <v/>
      </c>
      <c r="B680" s="139">
        <f>SKU_Base!C680</f>
        <v/>
      </c>
      <c r="C680" s="140">
        <f>IFERROR(SKU_Base!I680,"")</f>
        <v/>
      </c>
      <c r="D680" s="163">
        <f>IFERROR(SKU_Base!T680,"")</f>
        <v/>
      </c>
      <c r="E680" s="141">
        <f>IFERROR(SKU_Base!$U680,"")</f>
        <v/>
      </c>
      <c r="F680" s="158">
        <f>IFERROR(ROUND(D680*(1-CHOOSE(MATCH(IF($E680="","Основний",$E680),{"Трафіковий","Основний","Маржинальний","Сезонний","Стратегічний"},0),Settings!$B$78,Settings!$B$80,Settings!$B$82,Settings!$B$84,Settings!$B$86))/6,2)*6,"")</f>
        <v/>
      </c>
      <c r="G680" s="142">
        <f>IFERROR(CHOOSE(MATCH(IF($E680="","Основний",$E680),{"Трафіковий","Основний","Маржинальний","Сезонний","Стратегічний"},0),Settings!$B$78,Settings!$B$80,Settings!$B$82,Settings!$B$84,Settings!$B$86),"")</f>
        <v/>
      </c>
      <c r="H680" s="143">
        <f>IFERROR((F680*(1-Settings!$B$17)-C680)/(F680*(1-Settings!$B$17)),"")</f>
        <v/>
      </c>
      <c r="I680" s="150">
        <f>IFERROR(IF(F680="","",IF(F680&gt;=C680/(1-SKU_Base!Z680)/(1-Settings!$B$17),"OK",IF(F680&gt;=C680/(1-SKU_Base!AG680)/(1-Settings!$B$17),"WARN","STOP"))),"")</f>
        <v/>
      </c>
      <c r="J680" s="158">
        <f>IFERROR(ROUND(D680*(1-CHOOSE(MATCH(IF($E680="","Основний",$E680),{"Трафіковий","Основний","Маржинальний","Сезонний","Стратегічний"},0),Settings!$C$78,Settings!$C$80,Settings!$C$82,Settings!$C$84,Settings!$C$86))/6,2)*6,"")</f>
        <v/>
      </c>
      <c r="K680" s="142">
        <f>IFERROR(CHOOSE(MATCH(IF($E680="","Основний",$E680),{"Трафіковий","Основний","Маржинальний","Сезонний","Стратегічний"},0),Settings!$C$78,Settings!$C$80,Settings!$C$82,Settings!$C$84,Settings!$C$86),"")</f>
        <v/>
      </c>
      <c r="L680" s="143">
        <f>IFERROR((J680*(1-Settings!$C$17)-C680)/(J680*(1-Settings!$C$17)),"")</f>
        <v/>
      </c>
      <c r="M680" s="149">
        <f>IFERROR(IF(J680="","",IF(J680&gt;=C680/(1-SKU_Base!AA680)/(1-Settings!$C$17),"OK",IF(J680&gt;=C680/(1-SKU_Base!AH680)/(1-Settings!$C$17),"WARN","STOP"))),"")</f>
        <v/>
      </c>
      <c r="N680" s="159">
        <f>IFERROR(ROUND(D680*(1-CHOOSE(MATCH(IF($E680="","Основний",$E680),{"Трафіковий","Основний","Маржинальний","Сезонний","Стратегічний"},0),Settings!$D$78,Settings!$D$80,Settings!$D$82,Settings!$D$84,Settings!$D$86))/6,2)*6,"")</f>
        <v/>
      </c>
      <c r="O680" s="142">
        <f>IFERROR(CHOOSE(MATCH(IF($E680="","Основний",$E680),{"Трафіковий","Основний","Маржинальний","Сезонний","Стратегічний"},0),Settings!$D$78,Settings!$D$80,Settings!$D$82,Settings!$D$84,Settings!$D$86),"")</f>
        <v/>
      </c>
      <c r="P680" s="143">
        <f>IFERROR((N680*(1-Settings!$D$17)-C680)/(N680*(1-Settings!$D$17)),"")</f>
        <v/>
      </c>
      <c r="Q680" s="149">
        <f>IFERROR(IF(N680="","",IF(N680&gt;=C680/(1-SKU_Base!AB680)/(1-Settings!$D$17),"OK",IF(N680&gt;=C680/(1-SKU_Base!AI680)/(1-Settings!$D$17),"WARN","STOP"))),"")</f>
        <v/>
      </c>
      <c r="R680" s="159">
        <f>IFERROR(ROUND(D680*(1-CHOOSE(MATCH(IF($E680="","Основний",$E680),{"Трафіковий","Основний","Маржинальний","Сезонний","Стратегічний"},0),Settings!$E$78,Settings!$E$80,Settings!$E$82,Settings!$E$84,Settings!$E$86))/6,2)*6,"")</f>
        <v/>
      </c>
      <c r="S680" s="142">
        <f>IFERROR(CHOOSE(MATCH(IF($E680="","Основний",$E680),{"Трафіковий","Основний","Маржинальний","Сезонний","Стратегічний"},0),Settings!$E$78,Settings!$E$80,Settings!$E$82,Settings!$E$84,Settings!$E$86),"")</f>
        <v/>
      </c>
      <c r="T680" s="143">
        <f>IFERROR((R680*(1-Settings!$E$17)-C680)/(R680*(1-Settings!$E$17)),"")</f>
        <v/>
      </c>
      <c r="U680" s="149">
        <f>IFERROR(IF(R680="","",IF(R680&gt;=C680/(1-SKU_Base!AC680)/(1-Settings!$E$17),"OK",IF(R680&gt;=C680/(1-SKU_Base!AJ680)/(1-Settings!$E$17),"WARN","STOP"))),"")</f>
        <v/>
      </c>
      <c r="V680" s="159">
        <f>IFERROR(ROUND(D680*(1-CHOOSE(MATCH(IF($E680="","Основний",$E680),{"Трафіковий","Основний","Маржинальний","Сезонний","Стратегічний"},0),Settings!$F$78,Settings!$F$80,Settings!$F$82,Settings!$F$84,Settings!$F$86))/6,2)*6,"")</f>
        <v/>
      </c>
      <c r="W680" s="142">
        <f>IFERROR(CHOOSE(MATCH(IF($E680="","Основний",$E680),{"Трафіковий","Основний","Маржинальний","Сезонний","Стратегічний"},0),Settings!$F$78,Settings!$F$80,Settings!$F$82,Settings!$F$84,Settings!$F$86),"")</f>
        <v/>
      </c>
      <c r="X680" s="143">
        <f>IFERROR((V680*(1-Settings!$F$17)-C680)/(V680*(1-Settings!$F$17)),"")</f>
        <v/>
      </c>
      <c r="Y680" s="149">
        <f>IFERROR(IF(V680="","",IF(V680&gt;=C680/(1-SKU_Base!AD680)/(1-Settings!$F$17),"OK",IF(V680&gt;=C680/(1-SKU_Base!AK680)/(1-Settings!$F$17),"WARN","STOP"))),"")</f>
        <v/>
      </c>
      <c r="Z680" s="159">
        <f>IFERROR(ROUND(D680*(1-CHOOSE(MATCH(IF($E680="","Основний",$E680),{"Трафіковий","Основний","Маржинальний","Сезонний","Стратегічний"},0),Settings!$G$78,Settings!$G$80,Settings!$G$82,Settings!$G$84,Settings!$G$86))/6,2)*6,"")</f>
        <v/>
      </c>
      <c r="AA680" s="142">
        <f>IFERROR(CHOOSE(MATCH(IF($E680="","Основний",$E680),{"Трафіковий","Основний","Маржинальний","Сезонний","Стратегічний"},0),Settings!$G$78,Settings!$G$80,Settings!$G$82,Settings!$G$84,Settings!$G$86),"")</f>
        <v/>
      </c>
      <c r="AB680" s="143">
        <f>IFERROR((Z680*(1-Settings!$G$17)-C680)/(Z680*(1-Settings!$G$17)),"")</f>
        <v/>
      </c>
      <c r="AC680" s="149">
        <f>IFERROR(IF(Z680="","",IF(Z680&gt;=C680/(1-SKU_Base!AE680)/(1-Settings!$G$17),"OK",IF(Z680&gt;=C680/(1-SKU_Base!AL680)/(1-Settings!$G$17),"WARN","STOP"))),"")</f>
        <v/>
      </c>
      <c r="AD680" s="159">
        <f>IFERROR(ROUND(D680*(1-CHOOSE(MATCH(IF($E680="","Основний",$E680),{"Трафіковий","Основний","Маржинальний","Сезонний","Стратегічний"},0),Settings!$H$78,Settings!$H$80,Settings!$H$82,Settings!$H$84,Settings!$H$86))*(1-Settings!$H$68)/6,2)*6,"")</f>
        <v/>
      </c>
      <c r="AE680" s="142">
        <f>IFERROR(CHOOSE(MATCH(IF($E680="","Основний",$E680),{"Трафіковий","Основний","Маржинальний","Сезонний","Стратегічний"},0),Settings!$H$78,Settings!$H$80,Settings!$H$82,Settings!$H$84,Settings!$H$86)+(1-(CHOOSE(MATCH(IF($E680="","Основний",$E680),{"Трафіковий","Основний","Маржинальний","Сезонний","Стратегічний"},0),Settings!$H$78,Settings!$H$80,Settings!$H$82,Settings!$H$84,Settings!$H$86)))*Settings!$H$68,"")</f>
        <v/>
      </c>
      <c r="AF680" s="143">
        <f>IFERROR((AD680*(1-Settings!$H$17)-C680)/(AD680*(1-Settings!$H$17)),"")</f>
        <v/>
      </c>
      <c r="AG680" s="150">
        <f>IFERROR(IF(AD680="","",IF(AD680&gt;=C680/(1-SKU_Base!AF680)/(1-Settings!$H$17),"OK",IF(AD680&gt;=C680/(1-SKU_Base!AM680)/(1-Settings!$H$17),"WARN","STOP"))),"")</f>
        <v/>
      </c>
    </row>
    <row r="681" ht="17" customHeight="1" s="179">
      <c r="A681" s="146">
        <f>SKU_Base!B681</f>
        <v/>
      </c>
      <c r="B681" s="146">
        <f>SKU_Base!C681</f>
        <v/>
      </c>
      <c r="C681" s="147">
        <f>IFERROR(SKU_Base!I681,"")</f>
        <v/>
      </c>
      <c r="D681" s="164">
        <f>IFERROR(SKU_Base!T681,"")</f>
        <v/>
      </c>
      <c r="E681" s="141">
        <f>IFERROR(SKU_Base!$U681,"")</f>
        <v/>
      </c>
      <c r="F681" s="160">
        <f>IFERROR(ROUND(D681*(1-CHOOSE(MATCH(IF($E681="","Основний",$E681),{"Трафіковий","Основний","Маржинальний","Сезонний","Стратегічний"},0),Settings!$B$78,Settings!$B$80,Settings!$B$82,Settings!$B$84,Settings!$B$86))/6,2)*6,"")</f>
        <v/>
      </c>
      <c r="G681" s="142">
        <f>IFERROR(CHOOSE(MATCH(IF($E681="","Основний",$E681),{"Трафіковий","Основний","Маржинальний","Сезонний","Стратегічний"},0),Settings!$B$78,Settings!$B$80,Settings!$B$82,Settings!$B$84,Settings!$B$86),"")</f>
        <v/>
      </c>
      <c r="H681" s="148">
        <f>IFERROR((F681*(1-Settings!$B$17)-C681)/(F681*(1-Settings!$B$17)),"")</f>
        <v/>
      </c>
      <c r="I681" s="149">
        <f>IFERROR(IF(F681="","",IF(F681&gt;=C681/(1-SKU_Base!Z681)/(1-Settings!$B$17),"OK",IF(F681&gt;=C681/(1-SKU_Base!AG681)/(1-Settings!$B$17),"WARN","STOP"))),"")</f>
        <v/>
      </c>
      <c r="J681" s="160">
        <f>IFERROR(ROUND(D681*(1-CHOOSE(MATCH(IF($E681="","Основний",$E681),{"Трафіковий","Основний","Маржинальний","Сезонний","Стратегічний"},0),Settings!$C$78,Settings!$C$80,Settings!$C$82,Settings!$C$84,Settings!$C$86))/6,2)*6,"")</f>
        <v/>
      </c>
      <c r="K681" s="142">
        <f>IFERROR(CHOOSE(MATCH(IF($E681="","Основний",$E681),{"Трафіковий","Основний","Маржинальний","Сезонний","Стратегічний"},0),Settings!$C$78,Settings!$C$80,Settings!$C$82,Settings!$C$84,Settings!$C$86),"")</f>
        <v/>
      </c>
      <c r="L681" s="148">
        <f>IFERROR((J681*(1-Settings!$C$17)-C681)/(J681*(1-Settings!$C$17)),"")</f>
        <v/>
      </c>
      <c r="M681" s="149">
        <f>IFERROR(IF(J681="","",IF(J681&gt;=C681/(1-SKU_Base!AA681)/(1-Settings!$C$17),"OK",IF(J681&gt;=C681/(1-SKU_Base!AH681)/(1-Settings!$C$17),"WARN","STOP"))),"")</f>
        <v/>
      </c>
      <c r="N681" s="161">
        <f>IFERROR(ROUND(D681*(1-CHOOSE(MATCH(IF($E681="","Основний",$E681),{"Трафіковий","Основний","Маржинальний","Сезонний","Стратегічний"},0),Settings!$D$78,Settings!$D$80,Settings!$D$82,Settings!$D$84,Settings!$D$86))/6,2)*6,"")</f>
        <v/>
      </c>
      <c r="O681" s="142">
        <f>IFERROR(CHOOSE(MATCH(IF($E681="","Основний",$E681),{"Трафіковий","Основний","Маржинальний","Сезонний","Стратегічний"},0),Settings!$D$78,Settings!$D$80,Settings!$D$82,Settings!$D$84,Settings!$D$86),"")</f>
        <v/>
      </c>
      <c r="P681" s="148">
        <f>IFERROR((N681*(1-Settings!$D$17)-C681)/(N681*(1-Settings!$D$17)),"")</f>
        <v/>
      </c>
      <c r="Q681" s="149">
        <f>IFERROR(IF(N681="","",IF(N681&gt;=C681/(1-SKU_Base!AB681)/(1-Settings!$D$17),"OK",IF(N681&gt;=C681/(1-SKU_Base!AI681)/(1-Settings!$D$17),"WARN","STOP"))),"")</f>
        <v/>
      </c>
      <c r="R681" s="161">
        <f>IFERROR(ROUND(D681*(1-CHOOSE(MATCH(IF($E681="","Основний",$E681),{"Трафіковий","Основний","Маржинальний","Сезонний","Стратегічний"},0),Settings!$E$78,Settings!$E$80,Settings!$E$82,Settings!$E$84,Settings!$E$86))/6,2)*6,"")</f>
        <v/>
      </c>
      <c r="S681" s="142">
        <f>IFERROR(CHOOSE(MATCH(IF($E681="","Основний",$E681),{"Трафіковий","Основний","Маржинальний","Сезонний","Стратегічний"},0),Settings!$E$78,Settings!$E$80,Settings!$E$82,Settings!$E$84,Settings!$E$86),"")</f>
        <v/>
      </c>
      <c r="T681" s="148">
        <f>IFERROR((R681*(1-Settings!$E$17)-C681)/(R681*(1-Settings!$E$17)),"")</f>
        <v/>
      </c>
      <c r="U681" s="149">
        <f>IFERROR(IF(R681="","",IF(R681&gt;=C681/(1-SKU_Base!AC681)/(1-Settings!$E$17),"OK",IF(R681&gt;=C681/(1-SKU_Base!AJ681)/(1-Settings!$E$17),"WARN","STOP"))),"")</f>
        <v/>
      </c>
      <c r="V681" s="161">
        <f>IFERROR(ROUND(D681*(1-CHOOSE(MATCH(IF($E681="","Основний",$E681),{"Трафіковий","Основний","Маржинальний","Сезонний","Стратегічний"},0),Settings!$F$78,Settings!$F$80,Settings!$F$82,Settings!$F$84,Settings!$F$86))/6,2)*6,"")</f>
        <v/>
      </c>
      <c r="W681" s="142">
        <f>IFERROR(CHOOSE(MATCH(IF($E681="","Основний",$E681),{"Трафіковий","Основний","Маржинальний","Сезонний","Стратегічний"},0),Settings!$F$78,Settings!$F$80,Settings!$F$82,Settings!$F$84,Settings!$F$86),"")</f>
        <v/>
      </c>
      <c r="X681" s="148">
        <f>IFERROR((V681*(1-Settings!$F$17)-C681)/(V681*(1-Settings!$F$17)),"")</f>
        <v/>
      </c>
      <c r="Y681" s="149">
        <f>IFERROR(IF(V681="","",IF(V681&gt;=C681/(1-SKU_Base!AD681)/(1-Settings!$F$17),"OK",IF(V681&gt;=C681/(1-SKU_Base!AK681)/(1-Settings!$F$17),"WARN","STOP"))),"")</f>
        <v/>
      </c>
      <c r="Z681" s="161">
        <f>IFERROR(ROUND(D681*(1-CHOOSE(MATCH(IF($E681="","Основний",$E681),{"Трафіковий","Основний","Маржинальний","Сезонний","Стратегічний"},0),Settings!$G$78,Settings!$G$80,Settings!$G$82,Settings!$G$84,Settings!$G$86))/6,2)*6,"")</f>
        <v/>
      </c>
      <c r="AA681" s="142">
        <f>IFERROR(CHOOSE(MATCH(IF($E681="","Основний",$E681),{"Трафіковий","Основний","Маржинальний","Сезонний","Стратегічний"},0),Settings!$G$78,Settings!$G$80,Settings!$G$82,Settings!$G$84,Settings!$G$86),"")</f>
        <v/>
      </c>
      <c r="AB681" s="148">
        <f>IFERROR((Z681*(1-Settings!$G$17)-C681)/(Z681*(1-Settings!$G$17)),"")</f>
        <v/>
      </c>
      <c r="AC681" s="149">
        <f>IFERROR(IF(Z681="","",IF(Z681&gt;=C681/(1-SKU_Base!AE681)/(1-Settings!$G$17),"OK",IF(Z681&gt;=C681/(1-SKU_Base!AL681)/(1-Settings!$G$17),"WARN","STOP"))),"")</f>
        <v/>
      </c>
      <c r="AD681" s="161">
        <f>IFERROR(ROUND(D681*(1-CHOOSE(MATCH(IF($E681="","Основний",$E681),{"Трафіковий","Основний","Маржинальний","Сезонний","Стратегічний"},0),Settings!$H$78,Settings!$H$80,Settings!$H$82,Settings!$H$84,Settings!$H$86))*(1-Settings!$H$68)/6,2)*6,"")</f>
        <v/>
      </c>
      <c r="AE681" s="142">
        <f>IFERROR(CHOOSE(MATCH(IF($E681="","Основний",$E681),{"Трафіковий","Основний","Маржинальний","Сезонний","Стратегічний"},0),Settings!$H$78,Settings!$H$80,Settings!$H$82,Settings!$H$84,Settings!$H$86)+(1-(CHOOSE(MATCH(IF($E681="","Основний",$E681),{"Трафіковий","Основний","Маржинальний","Сезонний","Стратегічний"},0),Settings!$H$78,Settings!$H$80,Settings!$H$82,Settings!$H$84,Settings!$H$86)))*Settings!$H$68,"")</f>
        <v/>
      </c>
      <c r="AF681" s="148">
        <f>IFERROR((AD681*(1-Settings!$H$17)-C681)/(AD681*(1-Settings!$H$17)),"")</f>
        <v/>
      </c>
      <c r="AG681" s="150">
        <f>IFERROR(IF(AD681="","",IF(AD681&gt;=C681/(1-SKU_Base!AF681)/(1-Settings!$H$17),"OK",IF(AD681&gt;=C681/(1-SKU_Base!AM681)/(1-Settings!$H$17),"WARN","STOP"))),"")</f>
        <v/>
      </c>
    </row>
    <row r="682" ht="17" customHeight="1" s="179">
      <c r="A682" s="139">
        <f>SKU_Base!B682</f>
        <v/>
      </c>
      <c r="B682" s="139">
        <f>SKU_Base!C682</f>
        <v/>
      </c>
      <c r="C682" s="140">
        <f>IFERROR(SKU_Base!I682,"")</f>
        <v/>
      </c>
      <c r="D682" s="163">
        <f>IFERROR(SKU_Base!T682,"")</f>
        <v/>
      </c>
      <c r="E682" s="141">
        <f>IFERROR(SKU_Base!$U682,"")</f>
        <v/>
      </c>
      <c r="F682" s="158">
        <f>IFERROR(ROUND(D682*(1-CHOOSE(MATCH(IF($E682="","Основний",$E682),{"Трафіковий","Основний","Маржинальний","Сезонний","Стратегічний"},0),Settings!$B$78,Settings!$B$80,Settings!$B$82,Settings!$B$84,Settings!$B$86))/6,2)*6,"")</f>
        <v/>
      </c>
      <c r="G682" s="142">
        <f>IFERROR(CHOOSE(MATCH(IF($E682="","Основний",$E682),{"Трафіковий","Основний","Маржинальний","Сезонний","Стратегічний"},0),Settings!$B$78,Settings!$B$80,Settings!$B$82,Settings!$B$84,Settings!$B$86),"")</f>
        <v/>
      </c>
      <c r="H682" s="143">
        <f>IFERROR((F682*(1-Settings!$B$17)-C682)/(F682*(1-Settings!$B$17)),"")</f>
        <v/>
      </c>
      <c r="I682" s="149">
        <f>IFERROR(IF(F682="","",IF(F682&gt;=C682/(1-SKU_Base!Z682)/(1-Settings!$B$17),"OK",IF(F682&gt;=C682/(1-SKU_Base!AG682)/(1-Settings!$B$17),"WARN","STOP"))),"")</f>
        <v/>
      </c>
      <c r="J682" s="158">
        <f>IFERROR(ROUND(D682*(1-CHOOSE(MATCH(IF($E682="","Основний",$E682),{"Трафіковий","Основний","Маржинальний","Сезонний","Стратегічний"},0),Settings!$C$78,Settings!$C$80,Settings!$C$82,Settings!$C$84,Settings!$C$86))/6,2)*6,"")</f>
        <v/>
      </c>
      <c r="K682" s="142">
        <f>IFERROR(CHOOSE(MATCH(IF($E682="","Основний",$E682),{"Трафіковий","Основний","Маржинальний","Сезонний","Стратегічний"},0),Settings!$C$78,Settings!$C$80,Settings!$C$82,Settings!$C$84,Settings!$C$86),"")</f>
        <v/>
      </c>
      <c r="L682" s="143">
        <f>IFERROR((J682*(1-Settings!$C$17)-C682)/(J682*(1-Settings!$C$17)),"")</f>
        <v/>
      </c>
      <c r="M682" s="149">
        <f>IFERROR(IF(J682="","",IF(J682&gt;=C682/(1-SKU_Base!AA682)/(1-Settings!$C$17),"OK",IF(J682&gt;=C682/(1-SKU_Base!AH682)/(1-Settings!$C$17),"WARN","STOP"))),"")</f>
        <v/>
      </c>
      <c r="N682" s="159">
        <f>IFERROR(ROUND(D682*(1-CHOOSE(MATCH(IF($E682="","Основний",$E682),{"Трафіковий","Основний","Маржинальний","Сезонний","Стратегічний"},0),Settings!$D$78,Settings!$D$80,Settings!$D$82,Settings!$D$84,Settings!$D$86))/6,2)*6,"")</f>
        <v/>
      </c>
      <c r="O682" s="142">
        <f>IFERROR(CHOOSE(MATCH(IF($E682="","Основний",$E682),{"Трафіковий","Основний","Маржинальний","Сезонний","Стратегічний"},0),Settings!$D$78,Settings!$D$80,Settings!$D$82,Settings!$D$84,Settings!$D$86),"")</f>
        <v/>
      </c>
      <c r="P682" s="143">
        <f>IFERROR((N682*(1-Settings!$D$17)-C682)/(N682*(1-Settings!$D$17)),"")</f>
        <v/>
      </c>
      <c r="Q682" s="149">
        <f>IFERROR(IF(N682="","",IF(N682&gt;=C682/(1-SKU_Base!AB682)/(1-Settings!$D$17),"OK",IF(N682&gt;=C682/(1-SKU_Base!AI682)/(1-Settings!$D$17),"WARN","STOP"))),"")</f>
        <v/>
      </c>
      <c r="R682" s="159">
        <f>IFERROR(ROUND(D682*(1-CHOOSE(MATCH(IF($E682="","Основний",$E682),{"Трафіковий","Основний","Маржинальний","Сезонний","Стратегічний"},0),Settings!$E$78,Settings!$E$80,Settings!$E$82,Settings!$E$84,Settings!$E$86))/6,2)*6,"")</f>
        <v/>
      </c>
      <c r="S682" s="142">
        <f>IFERROR(CHOOSE(MATCH(IF($E682="","Основний",$E682),{"Трафіковий","Основний","Маржинальний","Сезонний","Стратегічний"},0),Settings!$E$78,Settings!$E$80,Settings!$E$82,Settings!$E$84,Settings!$E$86),"")</f>
        <v/>
      </c>
      <c r="T682" s="143">
        <f>IFERROR((R682*(1-Settings!$E$17)-C682)/(R682*(1-Settings!$E$17)),"")</f>
        <v/>
      </c>
      <c r="U682" s="149">
        <f>IFERROR(IF(R682="","",IF(R682&gt;=C682/(1-SKU_Base!AC682)/(1-Settings!$E$17),"OK",IF(R682&gt;=C682/(1-SKU_Base!AJ682)/(1-Settings!$E$17),"WARN","STOP"))),"")</f>
        <v/>
      </c>
      <c r="V682" s="159">
        <f>IFERROR(ROUND(D682*(1-CHOOSE(MATCH(IF($E682="","Основний",$E682),{"Трафіковий","Основний","Маржинальний","Сезонний","Стратегічний"},0),Settings!$F$78,Settings!$F$80,Settings!$F$82,Settings!$F$84,Settings!$F$86))/6,2)*6,"")</f>
        <v/>
      </c>
      <c r="W682" s="142">
        <f>IFERROR(CHOOSE(MATCH(IF($E682="","Основний",$E682),{"Трафіковий","Основний","Маржинальний","Сезонний","Стратегічний"},0),Settings!$F$78,Settings!$F$80,Settings!$F$82,Settings!$F$84,Settings!$F$86),"")</f>
        <v/>
      </c>
      <c r="X682" s="143">
        <f>IFERROR((V682*(1-Settings!$F$17)-C682)/(V682*(1-Settings!$F$17)),"")</f>
        <v/>
      </c>
      <c r="Y682" s="149">
        <f>IFERROR(IF(V682="","",IF(V682&gt;=C682/(1-SKU_Base!AD682)/(1-Settings!$F$17),"OK",IF(V682&gt;=C682/(1-SKU_Base!AK682)/(1-Settings!$F$17),"WARN","STOP"))),"")</f>
        <v/>
      </c>
      <c r="Z682" s="159">
        <f>IFERROR(ROUND(D682*(1-CHOOSE(MATCH(IF($E682="","Основний",$E682),{"Трафіковий","Основний","Маржинальний","Сезонний","Стратегічний"},0),Settings!$G$78,Settings!$G$80,Settings!$G$82,Settings!$G$84,Settings!$G$86))/6,2)*6,"")</f>
        <v/>
      </c>
      <c r="AA682" s="142">
        <f>IFERROR(CHOOSE(MATCH(IF($E682="","Основний",$E682),{"Трафіковий","Основний","Маржинальний","Сезонний","Стратегічний"},0),Settings!$G$78,Settings!$G$80,Settings!$G$82,Settings!$G$84,Settings!$G$86),"")</f>
        <v/>
      </c>
      <c r="AB682" s="143">
        <f>IFERROR((Z682*(1-Settings!$G$17)-C682)/(Z682*(1-Settings!$G$17)),"")</f>
        <v/>
      </c>
      <c r="AC682" s="149">
        <f>IFERROR(IF(Z682="","",IF(Z682&gt;=C682/(1-SKU_Base!AE682)/(1-Settings!$G$17),"OK",IF(Z682&gt;=C682/(1-SKU_Base!AL682)/(1-Settings!$G$17),"WARN","STOP"))),"")</f>
        <v/>
      </c>
      <c r="AD682" s="159">
        <f>IFERROR(ROUND(D682*(1-CHOOSE(MATCH(IF($E682="","Основний",$E682),{"Трафіковий","Основний","Маржинальний","Сезонний","Стратегічний"},0),Settings!$H$78,Settings!$H$80,Settings!$H$82,Settings!$H$84,Settings!$H$86))*(1-Settings!$H$68)/6,2)*6,"")</f>
        <v/>
      </c>
      <c r="AE682" s="142">
        <f>IFERROR(CHOOSE(MATCH(IF($E682="","Основний",$E682),{"Трафіковий","Основний","Маржинальний","Сезонний","Стратегічний"},0),Settings!$H$78,Settings!$H$80,Settings!$H$82,Settings!$H$84,Settings!$H$86)+(1-(CHOOSE(MATCH(IF($E682="","Основний",$E682),{"Трафіковий","Основний","Маржинальний","Сезонний","Стратегічний"},0),Settings!$H$78,Settings!$H$80,Settings!$H$82,Settings!$H$84,Settings!$H$86)))*Settings!$H$68,"")</f>
        <v/>
      </c>
      <c r="AF682" s="143">
        <f>IFERROR((AD682*(1-Settings!$H$17)-C682)/(AD682*(1-Settings!$H$17)),"")</f>
        <v/>
      </c>
      <c r="AG682" s="150">
        <f>IFERROR(IF(AD682="","",IF(AD682&gt;=C682/(1-SKU_Base!AF682)/(1-Settings!$H$17),"OK",IF(AD682&gt;=C682/(1-SKU_Base!AM682)/(1-Settings!$H$17),"WARN","STOP"))),"")</f>
        <v/>
      </c>
    </row>
    <row r="683" ht="17" customHeight="1" s="179">
      <c r="A683" s="146">
        <f>SKU_Base!B683</f>
        <v/>
      </c>
      <c r="B683" s="146">
        <f>SKU_Base!C683</f>
        <v/>
      </c>
      <c r="C683" s="147">
        <f>IFERROR(SKU_Base!I683,"")</f>
        <v/>
      </c>
      <c r="D683" s="164">
        <f>IFERROR(SKU_Base!T683,"")</f>
        <v/>
      </c>
      <c r="E683" s="141">
        <f>IFERROR(SKU_Base!$U683,"")</f>
        <v/>
      </c>
      <c r="F683" s="160">
        <f>IFERROR(ROUND(D683*(1-CHOOSE(MATCH(IF($E683="","Основний",$E683),{"Трафіковий","Основний","Маржинальний","Сезонний","Стратегічний"},0),Settings!$B$78,Settings!$B$80,Settings!$B$82,Settings!$B$84,Settings!$B$86))/6,2)*6,"")</f>
        <v/>
      </c>
      <c r="G683" s="142">
        <f>IFERROR(CHOOSE(MATCH(IF($E683="","Основний",$E683),{"Трафіковий","Основний","Маржинальний","Сезонний","Стратегічний"},0),Settings!$B$78,Settings!$B$80,Settings!$B$82,Settings!$B$84,Settings!$B$86),"")</f>
        <v/>
      </c>
      <c r="H683" s="148">
        <f>IFERROR((F683*(1-Settings!$B$17)-C683)/(F683*(1-Settings!$B$17)),"")</f>
        <v/>
      </c>
      <c r="I683" s="150">
        <f>IFERROR(IF(F683="","",IF(F683&gt;=C683/(1-SKU_Base!Z683)/(1-Settings!$B$17),"OK",IF(F683&gt;=C683/(1-SKU_Base!AG683)/(1-Settings!$B$17),"WARN","STOP"))),"")</f>
        <v/>
      </c>
      <c r="J683" s="160">
        <f>IFERROR(ROUND(D683*(1-CHOOSE(MATCH(IF($E683="","Основний",$E683),{"Трафіковий","Основний","Маржинальний","Сезонний","Стратегічний"},0),Settings!$C$78,Settings!$C$80,Settings!$C$82,Settings!$C$84,Settings!$C$86))/6,2)*6,"")</f>
        <v/>
      </c>
      <c r="K683" s="142">
        <f>IFERROR(CHOOSE(MATCH(IF($E683="","Основний",$E683),{"Трафіковий","Основний","Маржинальний","Сезонний","Стратегічний"},0),Settings!$C$78,Settings!$C$80,Settings!$C$82,Settings!$C$84,Settings!$C$86),"")</f>
        <v/>
      </c>
      <c r="L683" s="148">
        <f>IFERROR((J683*(1-Settings!$C$17)-C683)/(J683*(1-Settings!$C$17)),"")</f>
        <v/>
      </c>
      <c r="M683" s="149">
        <f>IFERROR(IF(J683="","",IF(J683&gt;=C683/(1-SKU_Base!AA683)/(1-Settings!$C$17),"OK",IF(J683&gt;=C683/(1-SKU_Base!AH683)/(1-Settings!$C$17),"WARN","STOP"))),"")</f>
        <v/>
      </c>
      <c r="N683" s="161">
        <f>IFERROR(ROUND(D683*(1-CHOOSE(MATCH(IF($E683="","Основний",$E683),{"Трафіковий","Основний","Маржинальний","Сезонний","Стратегічний"},0),Settings!$D$78,Settings!$D$80,Settings!$D$82,Settings!$D$84,Settings!$D$86))/6,2)*6,"")</f>
        <v/>
      </c>
      <c r="O683" s="142">
        <f>IFERROR(CHOOSE(MATCH(IF($E683="","Основний",$E683),{"Трафіковий","Основний","Маржинальний","Сезонний","Стратегічний"},0),Settings!$D$78,Settings!$D$80,Settings!$D$82,Settings!$D$84,Settings!$D$86),"")</f>
        <v/>
      </c>
      <c r="P683" s="148">
        <f>IFERROR((N683*(1-Settings!$D$17)-C683)/(N683*(1-Settings!$D$17)),"")</f>
        <v/>
      </c>
      <c r="Q683" s="149">
        <f>IFERROR(IF(N683="","",IF(N683&gt;=C683/(1-SKU_Base!AB683)/(1-Settings!$D$17),"OK",IF(N683&gt;=C683/(1-SKU_Base!AI683)/(1-Settings!$D$17),"WARN","STOP"))),"")</f>
        <v/>
      </c>
      <c r="R683" s="161">
        <f>IFERROR(ROUND(D683*(1-CHOOSE(MATCH(IF($E683="","Основний",$E683),{"Трафіковий","Основний","Маржинальний","Сезонний","Стратегічний"},0),Settings!$E$78,Settings!$E$80,Settings!$E$82,Settings!$E$84,Settings!$E$86))/6,2)*6,"")</f>
        <v/>
      </c>
      <c r="S683" s="142">
        <f>IFERROR(CHOOSE(MATCH(IF($E683="","Основний",$E683),{"Трафіковий","Основний","Маржинальний","Сезонний","Стратегічний"},0),Settings!$E$78,Settings!$E$80,Settings!$E$82,Settings!$E$84,Settings!$E$86),"")</f>
        <v/>
      </c>
      <c r="T683" s="148">
        <f>IFERROR((R683*(1-Settings!$E$17)-C683)/(R683*(1-Settings!$E$17)),"")</f>
        <v/>
      </c>
      <c r="U683" s="149">
        <f>IFERROR(IF(R683="","",IF(R683&gt;=C683/(1-SKU_Base!AC683)/(1-Settings!$E$17),"OK",IF(R683&gt;=C683/(1-SKU_Base!AJ683)/(1-Settings!$E$17),"WARN","STOP"))),"")</f>
        <v/>
      </c>
      <c r="V683" s="161">
        <f>IFERROR(ROUND(D683*(1-CHOOSE(MATCH(IF($E683="","Основний",$E683),{"Трафіковий","Основний","Маржинальний","Сезонний","Стратегічний"},0),Settings!$F$78,Settings!$F$80,Settings!$F$82,Settings!$F$84,Settings!$F$86))/6,2)*6,"")</f>
        <v/>
      </c>
      <c r="W683" s="142">
        <f>IFERROR(CHOOSE(MATCH(IF($E683="","Основний",$E683),{"Трафіковий","Основний","Маржинальний","Сезонний","Стратегічний"},0),Settings!$F$78,Settings!$F$80,Settings!$F$82,Settings!$F$84,Settings!$F$86),"")</f>
        <v/>
      </c>
      <c r="X683" s="148">
        <f>IFERROR((V683*(1-Settings!$F$17)-C683)/(V683*(1-Settings!$F$17)),"")</f>
        <v/>
      </c>
      <c r="Y683" s="149">
        <f>IFERROR(IF(V683="","",IF(V683&gt;=C683/(1-SKU_Base!AD683)/(1-Settings!$F$17),"OK",IF(V683&gt;=C683/(1-SKU_Base!AK683)/(1-Settings!$F$17),"WARN","STOP"))),"")</f>
        <v/>
      </c>
      <c r="Z683" s="161">
        <f>IFERROR(ROUND(D683*(1-CHOOSE(MATCH(IF($E683="","Основний",$E683),{"Трафіковий","Основний","Маржинальний","Сезонний","Стратегічний"},0),Settings!$G$78,Settings!$G$80,Settings!$G$82,Settings!$G$84,Settings!$G$86))/6,2)*6,"")</f>
        <v/>
      </c>
      <c r="AA683" s="142">
        <f>IFERROR(CHOOSE(MATCH(IF($E683="","Основний",$E683),{"Трафіковий","Основний","Маржинальний","Сезонний","Стратегічний"},0),Settings!$G$78,Settings!$G$80,Settings!$G$82,Settings!$G$84,Settings!$G$86),"")</f>
        <v/>
      </c>
      <c r="AB683" s="148">
        <f>IFERROR((Z683*(1-Settings!$G$17)-C683)/(Z683*(1-Settings!$G$17)),"")</f>
        <v/>
      </c>
      <c r="AC683" s="149">
        <f>IFERROR(IF(Z683="","",IF(Z683&gt;=C683/(1-SKU_Base!AE683)/(1-Settings!$G$17),"OK",IF(Z683&gt;=C683/(1-SKU_Base!AL683)/(1-Settings!$G$17),"WARN","STOP"))),"")</f>
        <v/>
      </c>
      <c r="AD683" s="161">
        <f>IFERROR(ROUND(D683*(1-CHOOSE(MATCH(IF($E683="","Основний",$E683),{"Трафіковий","Основний","Маржинальний","Сезонний","Стратегічний"},0),Settings!$H$78,Settings!$H$80,Settings!$H$82,Settings!$H$84,Settings!$H$86))*(1-Settings!$H$68)/6,2)*6,"")</f>
        <v/>
      </c>
      <c r="AE683" s="142">
        <f>IFERROR(CHOOSE(MATCH(IF($E683="","Основний",$E683),{"Трафіковий","Основний","Маржинальний","Сезонний","Стратегічний"},0),Settings!$H$78,Settings!$H$80,Settings!$H$82,Settings!$H$84,Settings!$H$86)+(1-(CHOOSE(MATCH(IF($E683="","Основний",$E683),{"Трафіковий","Основний","Маржинальний","Сезонний","Стратегічний"},0),Settings!$H$78,Settings!$H$80,Settings!$H$82,Settings!$H$84,Settings!$H$86)))*Settings!$H$68,"")</f>
        <v/>
      </c>
      <c r="AF683" s="148">
        <f>IFERROR((AD683*(1-Settings!$H$17)-C683)/(AD683*(1-Settings!$H$17)),"")</f>
        <v/>
      </c>
      <c r="AG683" s="150">
        <f>IFERROR(IF(AD683="","",IF(AD683&gt;=C683/(1-SKU_Base!AF683)/(1-Settings!$H$17),"OK",IF(AD683&gt;=C683/(1-SKU_Base!AM683)/(1-Settings!$H$17),"WARN","STOP"))),"")</f>
        <v/>
      </c>
    </row>
    <row r="684" ht="17" customHeight="1" s="179">
      <c r="A684" s="139">
        <f>SKU_Base!B684</f>
        <v/>
      </c>
      <c r="B684" s="139">
        <f>SKU_Base!C684</f>
        <v/>
      </c>
      <c r="C684" s="140">
        <f>IFERROR(SKU_Base!I684,"")</f>
        <v/>
      </c>
      <c r="D684" s="163">
        <f>IFERROR(SKU_Base!T684,"")</f>
        <v/>
      </c>
      <c r="E684" s="141">
        <f>IFERROR(SKU_Base!$U684,"")</f>
        <v/>
      </c>
      <c r="F684" s="158">
        <f>IFERROR(ROUND(D684*(1-CHOOSE(MATCH(IF($E684="","Основний",$E684),{"Трафіковий","Основний","Маржинальний","Сезонний","Стратегічний"},0),Settings!$B$78,Settings!$B$80,Settings!$B$82,Settings!$B$84,Settings!$B$86))/6,2)*6,"")</f>
        <v/>
      </c>
      <c r="G684" s="142">
        <f>IFERROR(CHOOSE(MATCH(IF($E684="","Основний",$E684),{"Трафіковий","Основний","Маржинальний","Сезонний","Стратегічний"},0),Settings!$B$78,Settings!$B$80,Settings!$B$82,Settings!$B$84,Settings!$B$86),"")</f>
        <v/>
      </c>
      <c r="H684" s="143">
        <f>IFERROR((F684*(1-Settings!$B$17)-C684)/(F684*(1-Settings!$B$17)),"")</f>
        <v/>
      </c>
      <c r="I684" s="149">
        <f>IFERROR(IF(F684="","",IF(F684&gt;=C684/(1-SKU_Base!Z684)/(1-Settings!$B$17),"OK",IF(F684&gt;=C684/(1-SKU_Base!AG684)/(1-Settings!$B$17),"WARN","STOP"))),"")</f>
        <v/>
      </c>
      <c r="J684" s="158">
        <f>IFERROR(ROUND(D684*(1-CHOOSE(MATCH(IF($E684="","Основний",$E684),{"Трафіковий","Основний","Маржинальний","Сезонний","Стратегічний"},0),Settings!$C$78,Settings!$C$80,Settings!$C$82,Settings!$C$84,Settings!$C$86))/6,2)*6,"")</f>
        <v/>
      </c>
      <c r="K684" s="142">
        <f>IFERROR(CHOOSE(MATCH(IF($E684="","Основний",$E684),{"Трафіковий","Основний","Маржинальний","Сезонний","Стратегічний"},0),Settings!$C$78,Settings!$C$80,Settings!$C$82,Settings!$C$84,Settings!$C$86),"")</f>
        <v/>
      </c>
      <c r="L684" s="143">
        <f>IFERROR((J684*(1-Settings!$C$17)-C684)/(J684*(1-Settings!$C$17)),"")</f>
        <v/>
      </c>
      <c r="M684" s="149">
        <f>IFERROR(IF(J684="","",IF(J684&gt;=C684/(1-SKU_Base!AA684)/(1-Settings!$C$17),"OK",IF(J684&gt;=C684/(1-SKU_Base!AH684)/(1-Settings!$C$17),"WARN","STOP"))),"")</f>
        <v/>
      </c>
      <c r="N684" s="159">
        <f>IFERROR(ROUND(D684*(1-CHOOSE(MATCH(IF($E684="","Основний",$E684),{"Трафіковий","Основний","Маржинальний","Сезонний","Стратегічний"},0),Settings!$D$78,Settings!$D$80,Settings!$D$82,Settings!$D$84,Settings!$D$86))/6,2)*6,"")</f>
        <v/>
      </c>
      <c r="O684" s="142">
        <f>IFERROR(CHOOSE(MATCH(IF($E684="","Основний",$E684),{"Трафіковий","Основний","Маржинальний","Сезонний","Стратегічний"},0),Settings!$D$78,Settings!$D$80,Settings!$D$82,Settings!$D$84,Settings!$D$86),"")</f>
        <v/>
      </c>
      <c r="P684" s="143">
        <f>IFERROR((N684*(1-Settings!$D$17)-C684)/(N684*(1-Settings!$D$17)),"")</f>
        <v/>
      </c>
      <c r="Q684" s="149">
        <f>IFERROR(IF(N684="","",IF(N684&gt;=C684/(1-SKU_Base!AB684)/(1-Settings!$D$17),"OK",IF(N684&gt;=C684/(1-SKU_Base!AI684)/(1-Settings!$D$17),"WARN","STOP"))),"")</f>
        <v/>
      </c>
      <c r="R684" s="159">
        <f>IFERROR(ROUND(D684*(1-CHOOSE(MATCH(IF($E684="","Основний",$E684),{"Трафіковий","Основний","Маржинальний","Сезонний","Стратегічний"},0),Settings!$E$78,Settings!$E$80,Settings!$E$82,Settings!$E$84,Settings!$E$86))/6,2)*6,"")</f>
        <v/>
      </c>
      <c r="S684" s="142">
        <f>IFERROR(CHOOSE(MATCH(IF($E684="","Основний",$E684),{"Трафіковий","Основний","Маржинальний","Сезонний","Стратегічний"},0),Settings!$E$78,Settings!$E$80,Settings!$E$82,Settings!$E$84,Settings!$E$86),"")</f>
        <v/>
      </c>
      <c r="T684" s="143">
        <f>IFERROR((R684*(1-Settings!$E$17)-C684)/(R684*(1-Settings!$E$17)),"")</f>
        <v/>
      </c>
      <c r="U684" s="149">
        <f>IFERROR(IF(R684="","",IF(R684&gt;=C684/(1-SKU_Base!AC684)/(1-Settings!$E$17),"OK",IF(R684&gt;=C684/(1-SKU_Base!AJ684)/(1-Settings!$E$17),"WARN","STOP"))),"")</f>
        <v/>
      </c>
      <c r="V684" s="159">
        <f>IFERROR(ROUND(D684*(1-CHOOSE(MATCH(IF($E684="","Основний",$E684),{"Трафіковий","Основний","Маржинальний","Сезонний","Стратегічний"},0),Settings!$F$78,Settings!$F$80,Settings!$F$82,Settings!$F$84,Settings!$F$86))/6,2)*6,"")</f>
        <v/>
      </c>
      <c r="W684" s="142">
        <f>IFERROR(CHOOSE(MATCH(IF($E684="","Основний",$E684),{"Трафіковий","Основний","Маржинальний","Сезонний","Стратегічний"},0),Settings!$F$78,Settings!$F$80,Settings!$F$82,Settings!$F$84,Settings!$F$86),"")</f>
        <v/>
      </c>
      <c r="X684" s="143">
        <f>IFERROR((V684*(1-Settings!$F$17)-C684)/(V684*(1-Settings!$F$17)),"")</f>
        <v/>
      </c>
      <c r="Y684" s="149">
        <f>IFERROR(IF(V684="","",IF(V684&gt;=C684/(1-SKU_Base!AD684)/(1-Settings!$F$17),"OK",IF(V684&gt;=C684/(1-SKU_Base!AK684)/(1-Settings!$F$17),"WARN","STOP"))),"")</f>
        <v/>
      </c>
      <c r="Z684" s="159">
        <f>IFERROR(ROUND(D684*(1-CHOOSE(MATCH(IF($E684="","Основний",$E684),{"Трафіковий","Основний","Маржинальний","Сезонний","Стратегічний"},0),Settings!$G$78,Settings!$G$80,Settings!$G$82,Settings!$G$84,Settings!$G$86))/6,2)*6,"")</f>
        <v/>
      </c>
      <c r="AA684" s="142">
        <f>IFERROR(CHOOSE(MATCH(IF($E684="","Основний",$E684),{"Трафіковий","Основний","Маржинальний","Сезонний","Стратегічний"},0),Settings!$G$78,Settings!$G$80,Settings!$G$82,Settings!$G$84,Settings!$G$86),"")</f>
        <v/>
      </c>
      <c r="AB684" s="143">
        <f>IFERROR((Z684*(1-Settings!$G$17)-C684)/(Z684*(1-Settings!$G$17)),"")</f>
        <v/>
      </c>
      <c r="AC684" s="149">
        <f>IFERROR(IF(Z684="","",IF(Z684&gt;=C684/(1-SKU_Base!AE684)/(1-Settings!$G$17),"OK",IF(Z684&gt;=C684/(1-SKU_Base!AL684)/(1-Settings!$G$17),"WARN","STOP"))),"")</f>
        <v/>
      </c>
      <c r="AD684" s="159">
        <f>IFERROR(ROUND(D684*(1-CHOOSE(MATCH(IF($E684="","Основний",$E684),{"Трафіковий","Основний","Маржинальний","Сезонний","Стратегічний"},0),Settings!$H$78,Settings!$H$80,Settings!$H$82,Settings!$H$84,Settings!$H$86))*(1-Settings!$H$68)/6,2)*6,"")</f>
        <v/>
      </c>
      <c r="AE684" s="142">
        <f>IFERROR(CHOOSE(MATCH(IF($E684="","Основний",$E684),{"Трафіковий","Основний","Маржинальний","Сезонний","Стратегічний"},0),Settings!$H$78,Settings!$H$80,Settings!$H$82,Settings!$H$84,Settings!$H$86)+(1-(CHOOSE(MATCH(IF($E684="","Основний",$E684),{"Трафіковий","Основний","Маржинальний","Сезонний","Стратегічний"},0),Settings!$H$78,Settings!$H$80,Settings!$H$82,Settings!$H$84,Settings!$H$86)))*Settings!$H$68,"")</f>
        <v/>
      </c>
      <c r="AF684" s="143">
        <f>IFERROR((AD684*(1-Settings!$H$17)-C684)/(AD684*(1-Settings!$H$17)),"")</f>
        <v/>
      </c>
      <c r="AG684" s="150">
        <f>IFERROR(IF(AD684="","",IF(AD684&gt;=C684/(1-SKU_Base!AF684)/(1-Settings!$H$17),"OK",IF(AD684&gt;=C684/(1-SKU_Base!AM684)/(1-Settings!$H$17),"WARN","STOP"))),"")</f>
        <v/>
      </c>
    </row>
    <row r="685" ht="17" customHeight="1" s="179">
      <c r="A685" s="146">
        <f>SKU_Base!B685</f>
        <v/>
      </c>
      <c r="B685" s="146">
        <f>SKU_Base!C685</f>
        <v/>
      </c>
      <c r="C685" s="147">
        <f>IFERROR(SKU_Base!I685,"")</f>
        <v/>
      </c>
      <c r="D685" s="164">
        <f>IFERROR(SKU_Base!T685,"")</f>
        <v/>
      </c>
      <c r="E685" s="141">
        <f>IFERROR(SKU_Base!$U685,"")</f>
        <v/>
      </c>
      <c r="F685" s="160">
        <f>IFERROR(ROUND(D685*(1-CHOOSE(MATCH(IF($E685="","Основний",$E685),{"Трафіковий","Основний","Маржинальний","Сезонний","Стратегічний"},0),Settings!$B$78,Settings!$B$80,Settings!$B$82,Settings!$B$84,Settings!$B$86))/6,2)*6,"")</f>
        <v/>
      </c>
      <c r="G685" s="142">
        <f>IFERROR(CHOOSE(MATCH(IF($E685="","Основний",$E685),{"Трафіковий","Основний","Маржинальний","Сезонний","Стратегічний"},0),Settings!$B$78,Settings!$B$80,Settings!$B$82,Settings!$B$84,Settings!$B$86),"")</f>
        <v/>
      </c>
      <c r="H685" s="148">
        <f>IFERROR((F685*(1-Settings!$B$17)-C685)/(F685*(1-Settings!$B$17)),"")</f>
        <v/>
      </c>
      <c r="I685" s="149">
        <f>IFERROR(IF(F685="","",IF(F685&gt;=C685/(1-SKU_Base!Z685)/(1-Settings!$B$17),"OK",IF(F685&gt;=C685/(1-SKU_Base!AG685)/(1-Settings!$B$17),"WARN","STOP"))),"")</f>
        <v/>
      </c>
      <c r="J685" s="160">
        <f>IFERROR(ROUND(D685*(1-CHOOSE(MATCH(IF($E685="","Основний",$E685),{"Трафіковий","Основний","Маржинальний","Сезонний","Стратегічний"},0),Settings!$C$78,Settings!$C$80,Settings!$C$82,Settings!$C$84,Settings!$C$86))/6,2)*6,"")</f>
        <v/>
      </c>
      <c r="K685" s="142">
        <f>IFERROR(CHOOSE(MATCH(IF($E685="","Основний",$E685),{"Трафіковий","Основний","Маржинальний","Сезонний","Стратегічний"},0),Settings!$C$78,Settings!$C$80,Settings!$C$82,Settings!$C$84,Settings!$C$86),"")</f>
        <v/>
      </c>
      <c r="L685" s="148">
        <f>IFERROR((J685*(1-Settings!$C$17)-C685)/(J685*(1-Settings!$C$17)),"")</f>
        <v/>
      </c>
      <c r="M685" s="149">
        <f>IFERROR(IF(J685="","",IF(J685&gt;=C685/(1-SKU_Base!AA685)/(1-Settings!$C$17),"OK",IF(J685&gt;=C685/(1-SKU_Base!AH685)/(1-Settings!$C$17),"WARN","STOP"))),"")</f>
        <v/>
      </c>
      <c r="N685" s="161">
        <f>IFERROR(ROUND(D685*(1-CHOOSE(MATCH(IF($E685="","Основний",$E685),{"Трафіковий","Основний","Маржинальний","Сезонний","Стратегічний"},0),Settings!$D$78,Settings!$D$80,Settings!$D$82,Settings!$D$84,Settings!$D$86))/6,2)*6,"")</f>
        <v/>
      </c>
      <c r="O685" s="142">
        <f>IFERROR(CHOOSE(MATCH(IF($E685="","Основний",$E685),{"Трафіковий","Основний","Маржинальний","Сезонний","Стратегічний"},0),Settings!$D$78,Settings!$D$80,Settings!$D$82,Settings!$D$84,Settings!$D$86),"")</f>
        <v/>
      </c>
      <c r="P685" s="148">
        <f>IFERROR((N685*(1-Settings!$D$17)-C685)/(N685*(1-Settings!$D$17)),"")</f>
        <v/>
      </c>
      <c r="Q685" s="149">
        <f>IFERROR(IF(N685="","",IF(N685&gt;=C685/(1-SKU_Base!AB685)/(1-Settings!$D$17),"OK",IF(N685&gt;=C685/(1-SKU_Base!AI685)/(1-Settings!$D$17),"WARN","STOP"))),"")</f>
        <v/>
      </c>
      <c r="R685" s="161">
        <f>IFERROR(ROUND(D685*(1-CHOOSE(MATCH(IF($E685="","Основний",$E685),{"Трафіковий","Основний","Маржинальний","Сезонний","Стратегічний"},0),Settings!$E$78,Settings!$E$80,Settings!$E$82,Settings!$E$84,Settings!$E$86))/6,2)*6,"")</f>
        <v/>
      </c>
      <c r="S685" s="142">
        <f>IFERROR(CHOOSE(MATCH(IF($E685="","Основний",$E685),{"Трафіковий","Основний","Маржинальний","Сезонний","Стратегічний"},0),Settings!$E$78,Settings!$E$80,Settings!$E$82,Settings!$E$84,Settings!$E$86),"")</f>
        <v/>
      </c>
      <c r="T685" s="148">
        <f>IFERROR((R685*(1-Settings!$E$17)-C685)/(R685*(1-Settings!$E$17)),"")</f>
        <v/>
      </c>
      <c r="U685" s="149">
        <f>IFERROR(IF(R685="","",IF(R685&gt;=C685/(1-SKU_Base!AC685)/(1-Settings!$E$17),"OK",IF(R685&gt;=C685/(1-SKU_Base!AJ685)/(1-Settings!$E$17),"WARN","STOP"))),"")</f>
        <v/>
      </c>
      <c r="V685" s="161">
        <f>IFERROR(ROUND(D685*(1-CHOOSE(MATCH(IF($E685="","Основний",$E685),{"Трафіковий","Основний","Маржинальний","Сезонний","Стратегічний"},0),Settings!$F$78,Settings!$F$80,Settings!$F$82,Settings!$F$84,Settings!$F$86))/6,2)*6,"")</f>
        <v/>
      </c>
      <c r="W685" s="142">
        <f>IFERROR(CHOOSE(MATCH(IF($E685="","Основний",$E685),{"Трафіковий","Основний","Маржинальний","Сезонний","Стратегічний"},0),Settings!$F$78,Settings!$F$80,Settings!$F$82,Settings!$F$84,Settings!$F$86),"")</f>
        <v/>
      </c>
      <c r="X685" s="148">
        <f>IFERROR((V685*(1-Settings!$F$17)-C685)/(V685*(1-Settings!$F$17)),"")</f>
        <v/>
      </c>
      <c r="Y685" s="149">
        <f>IFERROR(IF(V685="","",IF(V685&gt;=C685/(1-SKU_Base!AD685)/(1-Settings!$F$17),"OK",IF(V685&gt;=C685/(1-SKU_Base!AK685)/(1-Settings!$F$17),"WARN","STOP"))),"")</f>
        <v/>
      </c>
      <c r="Z685" s="161">
        <f>IFERROR(ROUND(D685*(1-CHOOSE(MATCH(IF($E685="","Основний",$E685),{"Трафіковий","Основний","Маржинальний","Сезонний","Стратегічний"},0),Settings!$G$78,Settings!$G$80,Settings!$G$82,Settings!$G$84,Settings!$G$86))/6,2)*6,"")</f>
        <v/>
      </c>
      <c r="AA685" s="142">
        <f>IFERROR(CHOOSE(MATCH(IF($E685="","Основний",$E685),{"Трафіковий","Основний","Маржинальний","Сезонний","Стратегічний"},0),Settings!$G$78,Settings!$G$80,Settings!$G$82,Settings!$G$84,Settings!$G$86),"")</f>
        <v/>
      </c>
      <c r="AB685" s="148">
        <f>IFERROR((Z685*(1-Settings!$G$17)-C685)/(Z685*(1-Settings!$G$17)),"")</f>
        <v/>
      </c>
      <c r="AC685" s="149">
        <f>IFERROR(IF(Z685="","",IF(Z685&gt;=C685/(1-SKU_Base!AE685)/(1-Settings!$G$17),"OK",IF(Z685&gt;=C685/(1-SKU_Base!AL685)/(1-Settings!$G$17),"WARN","STOP"))),"")</f>
        <v/>
      </c>
      <c r="AD685" s="161">
        <f>IFERROR(ROUND(D685*(1-CHOOSE(MATCH(IF($E685="","Основний",$E685),{"Трафіковий","Основний","Маржинальний","Сезонний","Стратегічний"},0),Settings!$H$78,Settings!$H$80,Settings!$H$82,Settings!$H$84,Settings!$H$86))*(1-Settings!$H$68)/6,2)*6,"")</f>
        <v/>
      </c>
      <c r="AE685" s="142">
        <f>IFERROR(CHOOSE(MATCH(IF($E685="","Основний",$E685),{"Трафіковий","Основний","Маржинальний","Сезонний","Стратегічний"},0),Settings!$H$78,Settings!$H$80,Settings!$H$82,Settings!$H$84,Settings!$H$86)+(1-(CHOOSE(MATCH(IF($E685="","Основний",$E685),{"Трафіковий","Основний","Маржинальний","Сезонний","Стратегічний"},0),Settings!$H$78,Settings!$H$80,Settings!$H$82,Settings!$H$84,Settings!$H$86)))*Settings!$H$68,"")</f>
        <v/>
      </c>
      <c r="AF685" s="148">
        <f>IFERROR((AD685*(1-Settings!$H$17)-C685)/(AD685*(1-Settings!$H$17)),"")</f>
        <v/>
      </c>
      <c r="AG685" s="150">
        <f>IFERROR(IF(AD685="","",IF(AD685&gt;=C685/(1-SKU_Base!AF685)/(1-Settings!$H$17),"OK",IF(AD685&gt;=C685/(1-SKU_Base!AM685)/(1-Settings!$H$17),"WARN","STOP"))),"")</f>
        <v/>
      </c>
    </row>
    <row r="686" ht="17" customHeight="1" s="179">
      <c r="A686" s="139">
        <f>SKU_Base!B686</f>
        <v/>
      </c>
      <c r="B686" s="139">
        <f>SKU_Base!C686</f>
        <v/>
      </c>
      <c r="C686" s="140">
        <f>IFERROR(SKU_Base!I686,"")</f>
        <v/>
      </c>
      <c r="D686" s="163">
        <f>IFERROR(SKU_Base!T686,"")</f>
        <v/>
      </c>
      <c r="E686" s="141">
        <f>IFERROR(SKU_Base!$U686,"")</f>
        <v/>
      </c>
      <c r="F686" s="158">
        <f>IFERROR(ROUND(D686*(1-CHOOSE(MATCH(IF($E686="","Основний",$E686),{"Трафіковий","Основний","Маржинальний","Сезонний","Стратегічний"},0),Settings!$B$78,Settings!$B$80,Settings!$B$82,Settings!$B$84,Settings!$B$86))/6,2)*6,"")</f>
        <v/>
      </c>
      <c r="G686" s="142">
        <f>IFERROR(CHOOSE(MATCH(IF($E686="","Основний",$E686),{"Трафіковий","Основний","Маржинальний","Сезонний","Стратегічний"},0),Settings!$B$78,Settings!$B$80,Settings!$B$82,Settings!$B$84,Settings!$B$86),"")</f>
        <v/>
      </c>
      <c r="H686" s="143">
        <f>IFERROR((F686*(1-Settings!$B$17)-C686)/(F686*(1-Settings!$B$17)),"")</f>
        <v/>
      </c>
      <c r="I686" s="149">
        <f>IFERROR(IF(F686="","",IF(F686&gt;=C686/(1-SKU_Base!Z686)/(1-Settings!$B$17),"OK",IF(F686&gt;=C686/(1-SKU_Base!AG686)/(1-Settings!$B$17),"WARN","STOP"))),"")</f>
        <v/>
      </c>
      <c r="J686" s="158">
        <f>IFERROR(ROUND(D686*(1-CHOOSE(MATCH(IF($E686="","Основний",$E686),{"Трафіковий","Основний","Маржинальний","Сезонний","Стратегічний"},0),Settings!$C$78,Settings!$C$80,Settings!$C$82,Settings!$C$84,Settings!$C$86))/6,2)*6,"")</f>
        <v/>
      </c>
      <c r="K686" s="142">
        <f>IFERROR(CHOOSE(MATCH(IF($E686="","Основний",$E686),{"Трафіковий","Основний","Маржинальний","Сезонний","Стратегічний"},0),Settings!$C$78,Settings!$C$80,Settings!$C$82,Settings!$C$84,Settings!$C$86),"")</f>
        <v/>
      </c>
      <c r="L686" s="143">
        <f>IFERROR((J686*(1-Settings!$C$17)-C686)/(J686*(1-Settings!$C$17)),"")</f>
        <v/>
      </c>
      <c r="M686" s="149">
        <f>IFERROR(IF(J686="","",IF(J686&gt;=C686/(1-SKU_Base!AA686)/(1-Settings!$C$17),"OK",IF(J686&gt;=C686/(1-SKU_Base!AH686)/(1-Settings!$C$17),"WARN","STOP"))),"")</f>
        <v/>
      </c>
      <c r="N686" s="159">
        <f>IFERROR(ROUND(D686*(1-CHOOSE(MATCH(IF($E686="","Основний",$E686),{"Трафіковий","Основний","Маржинальний","Сезонний","Стратегічний"},0),Settings!$D$78,Settings!$D$80,Settings!$D$82,Settings!$D$84,Settings!$D$86))/6,2)*6,"")</f>
        <v/>
      </c>
      <c r="O686" s="142">
        <f>IFERROR(CHOOSE(MATCH(IF($E686="","Основний",$E686),{"Трафіковий","Основний","Маржинальний","Сезонний","Стратегічний"},0),Settings!$D$78,Settings!$D$80,Settings!$D$82,Settings!$D$84,Settings!$D$86),"")</f>
        <v/>
      </c>
      <c r="P686" s="143">
        <f>IFERROR((N686*(1-Settings!$D$17)-C686)/(N686*(1-Settings!$D$17)),"")</f>
        <v/>
      </c>
      <c r="Q686" s="149">
        <f>IFERROR(IF(N686="","",IF(N686&gt;=C686/(1-SKU_Base!AB686)/(1-Settings!$D$17),"OK",IF(N686&gt;=C686/(1-SKU_Base!AI686)/(1-Settings!$D$17),"WARN","STOP"))),"")</f>
        <v/>
      </c>
      <c r="R686" s="159">
        <f>IFERROR(ROUND(D686*(1-CHOOSE(MATCH(IF($E686="","Основний",$E686),{"Трафіковий","Основний","Маржинальний","Сезонний","Стратегічний"},0),Settings!$E$78,Settings!$E$80,Settings!$E$82,Settings!$E$84,Settings!$E$86))/6,2)*6,"")</f>
        <v/>
      </c>
      <c r="S686" s="142">
        <f>IFERROR(CHOOSE(MATCH(IF($E686="","Основний",$E686),{"Трафіковий","Основний","Маржинальний","Сезонний","Стратегічний"},0),Settings!$E$78,Settings!$E$80,Settings!$E$82,Settings!$E$84,Settings!$E$86),"")</f>
        <v/>
      </c>
      <c r="T686" s="143">
        <f>IFERROR((R686*(1-Settings!$E$17)-C686)/(R686*(1-Settings!$E$17)),"")</f>
        <v/>
      </c>
      <c r="U686" s="149">
        <f>IFERROR(IF(R686="","",IF(R686&gt;=C686/(1-SKU_Base!AC686)/(1-Settings!$E$17),"OK",IF(R686&gt;=C686/(1-SKU_Base!AJ686)/(1-Settings!$E$17),"WARN","STOP"))),"")</f>
        <v/>
      </c>
      <c r="V686" s="159">
        <f>IFERROR(ROUND(D686*(1-CHOOSE(MATCH(IF($E686="","Основний",$E686),{"Трафіковий","Основний","Маржинальний","Сезонний","Стратегічний"},0),Settings!$F$78,Settings!$F$80,Settings!$F$82,Settings!$F$84,Settings!$F$86))/6,2)*6,"")</f>
        <v/>
      </c>
      <c r="W686" s="142">
        <f>IFERROR(CHOOSE(MATCH(IF($E686="","Основний",$E686),{"Трафіковий","Основний","Маржинальний","Сезонний","Стратегічний"},0),Settings!$F$78,Settings!$F$80,Settings!$F$82,Settings!$F$84,Settings!$F$86),"")</f>
        <v/>
      </c>
      <c r="X686" s="143">
        <f>IFERROR((V686*(1-Settings!$F$17)-C686)/(V686*(1-Settings!$F$17)),"")</f>
        <v/>
      </c>
      <c r="Y686" s="149">
        <f>IFERROR(IF(V686="","",IF(V686&gt;=C686/(1-SKU_Base!AD686)/(1-Settings!$F$17),"OK",IF(V686&gt;=C686/(1-SKU_Base!AK686)/(1-Settings!$F$17),"WARN","STOP"))),"")</f>
        <v/>
      </c>
      <c r="Z686" s="159">
        <f>IFERROR(ROUND(D686*(1-CHOOSE(MATCH(IF($E686="","Основний",$E686),{"Трафіковий","Основний","Маржинальний","Сезонний","Стратегічний"},0),Settings!$G$78,Settings!$G$80,Settings!$G$82,Settings!$G$84,Settings!$G$86))/6,2)*6,"")</f>
        <v/>
      </c>
      <c r="AA686" s="142">
        <f>IFERROR(CHOOSE(MATCH(IF($E686="","Основний",$E686),{"Трафіковий","Основний","Маржинальний","Сезонний","Стратегічний"},0),Settings!$G$78,Settings!$G$80,Settings!$G$82,Settings!$G$84,Settings!$G$86),"")</f>
        <v/>
      </c>
      <c r="AB686" s="143">
        <f>IFERROR((Z686*(1-Settings!$G$17)-C686)/(Z686*(1-Settings!$G$17)),"")</f>
        <v/>
      </c>
      <c r="AC686" s="149">
        <f>IFERROR(IF(Z686="","",IF(Z686&gt;=C686/(1-SKU_Base!AE686)/(1-Settings!$G$17),"OK",IF(Z686&gt;=C686/(1-SKU_Base!AL686)/(1-Settings!$G$17),"WARN","STOP"))),"")</f>
        <v/>
      </c>
      <c r="AD686" s="159">
        <f>IFERROR(ROUND(D686*(1-CHOOSE(MATCH(IF($E686="","Основний",$E686),{"Трафіковий","Основний","Маржинальний","Сезонний","Стратегічний"},0),Settings!$H$78,Settings!$H$80,Settings!$H$82,Settings!$H$84,Settings!$H$86))*(1-Settings!$H$68)/6,2)*6,"")</f>
        <v/>
      </c>
      <c r="AE686" s="142">
        <f>IFERROR(CHOOSE(MATCH(IF($E686="","Основний",$E686),{"Трафіковий","Основний","Маржинальний","Сезонний","Стратегічний"},0),Settings!$H$78,Settings!$H$80,Settings!$H$82,Settings!$H$84,Settings!$H$86)+(1-(CHOOSE(MATCH(IF($E686="","Основний",$E686),{"Трафіковий","Основний","Маржинальний","Сезонний","Стратегічний"},0),Settings!$H$78,Settings!$H$80,Settings!$H$82,Settings!$H$84,Settings!$H$86)))*Settings!$H$68,"")</f>
        <v/>
      </c>
      <c r="AF686" s="143">
        <f>IFERROR((AD686*(1-Settings!$H$17)-C686)/(AD686*(1-Settings!$H$17)),"")</f>
        <v/>
      </c>
      <c r="AG686" s="150">
        <f>IFERROR(IF(AD686="","",IF(AD686&gt;=C686/(1-SKU_Base!AF686)/(1-Settings!$H$17),"OK",IF(AD686&gt;=C686/(1-SKU_Base!AM686)/(1-Settings!$H$17),"WARN","STOP"))),"")</f>
        <v/>
      </c>
    </row>
    <row r="687" ht="17" customHeight="1" s="179">
      <c r="A687" s="146">
        <f>SKU_Base!B687</f>
        <v/>
      </c>
      <c r="B687" s="146">
        <f>SKU_Base!C687</f>
        <v/>
      </c>
      <c r="C687" s="147">
        <f>IFERROR(SKU_Base!I687,"")</f>
        <v/>
      </c>
      <c r="D687" s="164">
        <f>IFERROR(SKU_Base!T687,"")</f>
        <v/>
      </c>
      <c r="E687" s="141">
        <f>IFERROR(SKU_Base!$U687,"")</f>
        <v/>
      </c>
      <c r="F687" s="160">
        <f>IFERROR(ROUND(D687*(1-CHOOSE(MATCH(IF($E687="","Основний",$E687),{"Трафіковий","Основний","Маржинальний","Сезонний","Стратегічний"},0),Settings!$B$78,Settings!$B$80,Settings!$B$82,Settings!$B$84,Settings!$B$86))/6,2)*6,"")</f>
        <v/>
      </c>
      <c r="G687" s="142">
        <f>IFERROR(CHOOSE(MATCH(IF($E687="","Основний",$E687),{"Трафіковий","Основний","Маржинальний","Сезонний","Стратегічний"},0),Settings!$B$78,Settings!$B$80,Settings!$B$82,Settings!$B$84,Settings!$B$86),"")</f>
        <v/>
      </c>
      <c r="H687" s="148">
        <f>IFERROR((F687*(1-Settings!$B$17)-C687)/(F687*(1-Settings!$B$17)),"")</f>
        <v/>
      </c>
      <c r="I687" s="149">
        <f>IFERROR(IF(F687="","",IF(F687&gt;=C687/(1-SKU_Base!Z687)/(1-Settings!$B$17),"OK",IF(F687&gt;=C687/(1-SKU_Base!AG687)/(1-Settings!$B$17),"WARN","STOP"))),"")</f>
        <v/>
      </c>
      <c r="J687" s="160">
        <f>IFERROR(ROUND(D687*(1-CHOOSE(MATCH(IF($E687="","Основний",$E687),{"Трафіковий","Основний","Маржинальний","Сезонний","Стратегічний"},0),Settings!$C$78,Settings!$C$80,Settings!$C$82,Settings!$C$84,Settings!$C$86))/6,2)*6,"")</f>
        <v/>
      </c>
      <c r="K687" s="142">
        <f>IFERROR(CHOOSE(MATCH(IF($E687="","Основний",$E687),{"Трафіковий","Основний","Маржинальний","Сезонний","Стратегічний"},0),Settings!$C$78,Settings!$C$80,Settings!$C$82,Settings!$C$84,Settings!$C$86),"")</f>
        <v/>
      </c>
      <c r="L687" s="148">
        <f>IFERROR((J687*(1-Settings!$C$17)-C687)/(J687*(1-Settings!$C$17)),"")</f>
        <v/>
      </c>
      <c r="M687" s="149">
        <f>IFERROR(IF(J687="","",IF(J687&gt;=C687/(1-SKU_Base!AA687)/(1-Settings!$C$17),"OK",IF(J687&gt;=C687/(1-SKU_Base!AH687)/(1-Settings!$C$17),"WARN","STOP"))),"")</f>
        <v/>
      </c>
      <c r="N687" s="161">
        <f>IFERROR(ROUND(D687*(1-CHOOSE(MATCH(IF($E687="","Основний",$E687),{"Трафіковий","Основний","Маржинальний","Сезонний","Стратегічний"},0),Settings!$D$78,Settings!$D$80,Settings!$D$82,Settings!$D$84,Settings!$D$86))/6,2)*6,"")</f>
        <v/>
      </c>
      <c r="O687" s="142">
        <f>IFERROR(CHOOSE(MATCH(IF($E687="","Основний",$E687),{"Трафіковий","Основний","Маржинальний","Сезонний","Стратегічний"},0),Settings!$D$78,Settings!$D$80,Settings!$D$82,Settings!$D$84,Settings!$D$86),"")</f>
        <v/>
      </c>
      <c r="P687" s="148">
        <f>IFERROR((N687*(1-Settings!$D$17)-C687)/(N687*(1-Settings!$D$17)),"")</f>
        <v/>
      </c>
      <c r="Q687" s="149">
        <f>IFERROR(IF(N687="","",IF(N687&gt;=C687/(1-SKU_Base!AB687)/(1-Settings!$D$17),"OK",IF(N687&gt;=C687/(1-SKU_Base!AI687)/(1-Settings!$D$17),"WARN","STOP"))),"")</f>
        <v/>
      </c>
      <c r="R687" s="161">
        <f>IFERROR(ROUND(D687*(1-CHOOSE(MATCH(IF($E687="","Основний",$E687),{"Трафіковий","Основний","Маржинальний","Сезонний","Стратегічний"},0),Settings!$E$78,Settings!$E$80,Settings!$E$82,Settings!$E$84,Settings!$E$86))/6,2)*6,"")</f>
        <v/>
      </c>
      <c r="S687" s="142">
        <f>IFERROR(CHOOSE(MATCH(IF($E687="","Основний",$E687),{"Трафіковий","Основний","Маржинальний","Сезонний","Стратегічний"},0),Settings!$E$78,Settings!$E$80,Settings!$E$82,Settings!$E$84,Settings!$E$86),"")</f>
        <v/>
      </c>
      <c r="T687" s="148">
        <f>IFERROR((R687*(1-Settings!$E$17)-C687)/(R687*(1-Settings!$E$17)),"")</f>
        <v/>
      </c>
      <c r="U687" s="149">
        <f>IFERROR(IF(R687="","",IF(R687&gt;=C687/(1-SKU_Base!AC687)/(1-Settings!$E$17),"OK",IF(R687&gt;=C687/(1-SKU_Base!AJ687)/(1-Settings!$E$17),"WARN","STOP"))),"")</f>
        <v/>
      </c>
      <c r="V687" s="161">
        <f>IFERROR(ROUND(D687*(1-CHOOSE(MATCH(IF($E687="","Основний",$E687),{"Трафіковий","Основний","Маржинальний","Сезонний","Стратегічний"},0),Settings!$F$78,Settings!$F$80,Settings!$F$82,Settings!$F$84,Settings!$F$86))/6,2)*6,"")</f>
        <v/>
      </c>
      <c r="W687" s="142">
        <f>IFERROR(CHOOSE(MATCH(IF($E687="","Основний",$E687),{"Трафіковий","Основний","Маржинальний","Сезонний","Стратегічний"},0),Settings!$F$78,Settings!$F$80,Settings!$F$82,Settings!$F$84,Settings!$F$86),"")</f>
        <v/>
      </c>
      <c r="X687" s="148">
        <f>IFERROR((V687*(1-Settings!$F$17)-C687)/(V687*(1-Settings!$F$17)),"")</f>
        <v/>
      </c>
      <c r="Y687" s="149">
        <f>IFERROR(IF(V687="","",IF(V687&gt;=C687/(1-SKU_Base!AD687)/(1-Settings!$F$17),"OK",IF(V687&gt;=C687/(1-SKU_Base!AK687)/(1-Settings!$F$17),"WARN","STOP"))),"")</f>
        <v/>
      </c>
      <c r="Z687" s="161">
        <f>IFERROR(ROUND(D687*(1-CHOOSE(MATCH(IF($E687="","Основний",$E687),{"Трафіковий","Основний","Маржинальний","Сезонний","Стратегічний"},0),Settings!$G$78,Settings!$G$80,Settings!$G$82,Settings!$G$84,Settings!$G$86))/6,2)*6,"")</f>
        <v/>
      </c>
      <c r="AA687" s="142">
        <f>IFERROR(CHOOSE(MATCH(IF($E687="","Основний",$E687),{"Трафіковий","Основний","Маржинальний","Сезонний","Стратегічний"},0),Settings!$G$78,Settings!$G$80,Settings!$G$82,Settings!$G$84,Settings!$G$86),"")</f>
        <v/>
      </c>
      <c r="AB687" s="148">
        <f>IFERROR((Z687*(1-Settings!$G$17)-C687)/(Z687*(1-Settings!$G$17)),"")</f>
        <v/>
      </c>
      <c r="AC687" s="149">
        <f>IFERROR(IF(Z687="","",IF(Z687&gt;=C687/(1-SKU_Base!AE687)/(1-Settings!$G$17),"OK",IF(Z687&gt;=C687/(1-SKU_Base!AL687)/(1-Settings!$G$17),"WARN","STOP"))),"")</f>
        <v/>
      </c>
      <c r="AD687" s="161">
        <f>IFERROR(ROUND(D687*(1-CHOOSE(MATCH(IF($E687="","Основний",$E687),{"Трафіковий","Основний","Маржинальний","Сезонний","Стратегічний"},0),Settings!$H$78,Settings!$H$80,Settings!$H$82,Settings!$H$84,Settings!$H$86))*(1-Settings!$H$68)/6,2)*6,"")</f>
        <v/>
      </c>
      <c r="AE687" s="142">
        <f>IFERROR(CHOOSE(MATCH(IF($E687="","Основний",$E687),{"Трафіковий","Основний","Маржинальний","Сезонний","Стратегічний"},0),Settings!$H$78,Settings!$H$80,Settings!$H$82,Settings!$H$84,Settings!$H$86)+(1-(CHOOSE(MATCH(IF($E687="","Основний",$E687),{"Трафіковий","Основний","Маржинальний","Сезонний","Стратегічний"},0),Settings!$H$78,Settings!$H$80,Settings!$H$82,Settings!$H$84,Settings!$H$86)))*Settings!$H$68,"")</f>
        <v/>
      </c>
      <c r="AF687" s="148">
        <f>IFERROR((AD687*(1-Settings!$H$17)-C687)/(AD687*(1-Settings!$H$17)),"")</f>
        <v/>
      </c>
      <c r="AG687" s="150">
        <f>IFERROR(IF(AD687="","",IF(AD687&gt;=C687/(1-SKU_Base!AF687)/(1-Settings!$H$17),"OK",IF(AD687&gt;=C687/(1-SKU_Base!AM687)/(1-Settings!$H$17),"WARN","STOP"))),"")</f>
        <v/>
      </c>
    </row>
    <row r="688" ht="17" customHeight="1" s="179">
      <c r="A688" s="139">
        <f>SKU_Base!B688</f>
        <v/>
      </c>
      <c r="B688" s="139">
        <f>SKU_Base!C688</f>
        <v/>
      </c>
      <c r="C688" s="140">
        <f>IFERROR(SKU_Base!I688,"")</f>
        <v/>
      </c>
      <c r="D688" s="163">
        <f>IFERROR(SKU_Base!T688,"")</f>
        <v/>
      </c>
      <c r="E688" s="141">
        <f>IFERROR(SKU_Base!$U688,"")</f>
        <v/>
      </c>
      <c r="F688" s="158">
        <f>IFERROR(ROUND(D688*(1-CHOOSE(MATCH(IF($E688="","Основний",$E688),{"Трафіковий","Основний","Маржинальний","Сезонний","Стратегічний"},0),Settings!$B$78,Settings!$B$80,Settings!$B$82,Settings!$B$84,Settings!$B$86))/6,2)*6,"")</f>
        <v/>
      </c>
      <c r="G688" s="142">
        <f>IFERROR(CHOOSE(MATCH(IF($E688="","Основний",$E688),{"Трафіковий","Основний","Маржинальний","Сезонний","Стратегічний"},0),Settings!$B$78,Settings!$B$80,Settings!$B$82,Settings!$B$84,Settings!$B$86),"")</f>
        <v/>
      </c>
      <c r="H688" s="143">
        <f>IFERROR((F688*(1-Settings!$B$17)-C688)/(F688*(1-Settings!$B$17)),"")</f>
        <v/>
      </c>
      <c r="I688" s="149">
        <f>IFERROR(IF(F688="","",IF(F688&gt;=C688/(1-SKU_Base!Z688)/(1-Settings!$B$17),"OK",IF(F688&gt;=C688/(1-SKU_Base!AG688)/(1-Settings!$B$17),"WARN","STOP"))),"")</f>
        <v/>
      </c>
      <c r="J688" s="158">
        <f>IFERROR(ROUND(D688*(1-CHOOSE(MATCH(IF($E688="","Основний",$E688),{"Трафіковий","Основний","Маржинальний","Сезонний","Стратегічний"},0),Settings!$C$78,Settings!$C$80,Settings!$C$82,Settings!$C$84,Settings!$C$86))/6,2)*6,"")</f>
        <v/>
      </c>
      <c r="K688" s="142">
        <f>IFERROR(CHOOSE(MATCH(IF($E688="","Основний",$E688),{"Трафіковий","Основний","Маржинальний","Сезонний","Стратегічний"},0),Settings!$C$78,Settings!$C$80,Settings!$C$82,Settings!$C$84,Settings!$C$86),"")</f>
        <v/>
      </c>
      <c r="L688" s="143">
        <f>IFERROR((J688*(1-Settings!$C$17)-C688)/(J688*(1-Settings!$C$17)),"")</f>
        <v/>
      </c>
      <c r="M688" s="149">
        <f>IFERROR(IF(J688="","",IF(J688&gt;=C688/(1-SKU_Base!AA688)/(1-Settings!$C$17),"OK",IF(J688&gt;=C688/(1-SKU_Base!AH688)/(1-Settings!$C$17),"WARN","STOP"))),"")</f>
        <v/>
      </c>
      <c r="N688" s="159">
        <f>IFERROR(ROUND(D688*(1-CHOOSE(MATCH(IF($E688="","Основний",$E688),{"Трафіковий","Основний","Маржинальний","Сезонний","Стратегічний"},0),Settings!$D$78,Settings!$D$80,Settings!$D$82,Settings!$D$84,Settings!$D$86))/6,2)*6,"")</f>
        <v/>
      </c>
      <c r="O688" s="142">
        <f>IFERROR(CHOOSE(MATCH(IF($E688="","Основний",$E688),{"Трафіковий","Основний","Маржинальний","Сезонний","Стратегічний"},0),Settings!$D$78,Settings!$D$80,Settings!$D$82,Settings!$D$84,Settings!$D$86),"")</f>
        <v/>
      </c>
      <c r="P688" s="143">
        <f>IFERROR((N688*(1-Settings!$D$17)-C688)/(N688*(1-Settings!$D$17)),"")</f>
        <v/>
      </c>
      <c r="Q688" s="149">
        <f>IFERROR(IF(N688="","",IF(N688&gt;=C688/(1-SKU_Base!AB688)/(1-Settings!$D$17),"OK",IF(N688&gt;=C688/(1-SKU_Base!AI688)/(1-Settings!$D$17),"WARN","STOP"))),"")</f>
        <v/>
      </c>
      <c r="R688" s="159">
        <f>IFERROR(ROUND(D688*(1-CHOOSE(MATCH(IF($E688="","Основний",$E688),{"Трафіковий","Основний","Маржинальний","Сезонний","Стратегічний"},0),Settings!$E$78,Settings!$E$80,Settings!$E$82,Settings!$E$84,Settings!$E$86))/6,2)*6,"")</f>
        <v/>
      </c>
      <c r="S688" s="142">
        <f>IFERROR(CHOOSE(MATCH(IF($E688="","Основний",$E688),{"Трафіковий","Основний","Маржинальний","Сезонний","Стратегічний"},0),Settings!$E$78,Settings!$E$80,Settings!$E$82,Settings!$E$84,Settings!$E$86),"")</f>
        <v/>
      </c>
      <c r="T688" s="143">
        <f>IFERROR((R688*(1-Settings!$E$17)-C688)/(R688*(1-Settings!$E$17)),"")</f>
        <v/>
      </c>
      <c r="U688" s="149">
        <f>IFERROR(IF(R688="","",IF(R688&gt;=C688/(1-SKU_Base!AC688)/(1-Settings!$E$17),"OK",IF(R688&gt;=C688/(1-SKU_Base!AJ688)/(1-Settings!$E$17),"WARN","STOP"))),"")</f>
        <v/>
      </c>
      <c r="V688" s="159">
        <f>IFERROR(ROUND(D688*(1-CHOOSE(MATCH(IF($E688="","Основний",$E688),{"Трафіковий","Основний","Маржинальний","Сезонний","Стратегічний"},0),Settings!$F$78,Settings!$F$80,Settings!$F$82,Settings!$F$84,Settings!$F$86))/6,2)*6,"")</f>
        <v/>
      </c>
      <c r="W688" s="142">
        <f>IFERROR(CHOOSE(MATCH(IF($E688="","Основний",$E688),{"Трафіковий","Основний","Маржинальний","Сезонний","Стратегічний"},0),Settings!$F$78,Settings!$F$80,Settings!$F$82,Settings!$F$84,Settings!$F$86),"")</f>
        <v/>
      </c>
      <c r="X688" s="143">
        <f>IFERROR((V688*(1-Settings!$F$17)-C688)/(V688*(1-Settings!$F$17)),"")</f>
        <v/>
      </c>
      <c r="Y688" s="149">
        <f>IFERROR(IF(V688="","",IF(V688&gt;=C688/(1-SKU_Base!AD688)/(1-Settings!$F$17),"OK",IF(V688&gt;=C688/(1-SKU_Base!AK688)/(1-Settings!$F$17),"WARN","STOP"))),"")</f>
        <v/>
      </c>
      <c r="Z688" s="159">
        <f>IFERROR(ROUND(D688*(1-CHOOSE(MATCH(IF($E688="","Основний",$E688),{"Трафіковий","Основний","Маржинальний","Сезонний","Стратегічний"},0),Settings!$G$78,Settings!$G$80,Settings!$G$82,Settings!$G$84,Settings!$G$86))/6,2)*6,"")</f>
        <v/>
      </c>
      <c r="AA688" s="142">
        <f>IFERROR(CHOOSE(MATCH(IF($E688="","Основний",$E688),{"Трафіковий","Основний","Маржинальний","Сезонний","Стратегічний"},0),Settings!$G$78,Settings!$G$80,Settings!$G$82,Settings!$G$84,Settings!$G$86),"")</f>
        <v/>
      </c>
      <c r="AB688" s="143">
        <f>IFERROR((Z688*(1-Settings!$G$17)-C688)/(Z688*(1-Settings!$G$17)),"")</f>
        <v/>
      </c>
      <c r="AC688" s="149">
        <f>IFERROR(IF(Z688="","",IF(Z688&gt;=C688/(1-SKU_Base!AE688)/(1-Settings!$G$17),"OK",IF(Z688&gt;=C688/(1-SKU_Base!AL688)/(1-Settings!$G$17),"WARN","STOP"))),"")</f>
        <v/>
      </c>
      <c r="AD688" s="159">
        <f>IFERROR(ROUND(D688*(1-CHOOSE(MATCH(IF($E688="","Основний",$E688),{"Трафіковий","Основний","Маржинальний","Сезонний","Стратегічний"},0),Settings!$H$78,Settings!$H$80,Settings!$H$82,Settings!$H$84,Settings!$H$86))*(1-Settings!$H$68)/6,2)*6,"")</f>
        <v/>
      </c>
      <c r="AE688" s="142">
        <f>IFERROR(CHOOSE(MATCH(IF($E688="","Основний",$E688),{"Трафіковий","Основний","Маржинальний","Сезонний","Стратегічний"},0),Settings!$H$78,Settings!$H$80,Settings!$H$82,Settings!$H$84,Settings!$H$86)+(1-(CHOOSE(MATCH(IF($E688="","Основний",$E688),{"Трафіковий","Основний","Маржинальний","Сезонний","Стратегічний"},0),Settings!$H$78,Settings!$H$80,Settings!$H$82,Settings!$H$84,Settings!$H$86)))*Settings!$H$68,"")</f>
        <v/>
      </c>
      <c r="AF688" s="143">
        <f>IFERROR((AD688*(1-Settings!$H$17)-C688)/(AD688*(1-Settings!$H$17)),"")</f>
        <v/>
      </c>
      <c r="AG688" s="150">
        <f>IFERROR(IF(AD688="","",IF(AD688&gt;=C688/(1-SKU_Base!AF688)/(1-Settings!$H$17),"OK",IF(AD688&gt;=C688/(1-SKU_Base!AM688)/(1-Settings!$H$17),"WARN","STOP"))),"")</f>
        <v/>
      </c>
    </row>
    <row r="689" ht="17" customHeight="1" s="179">
      <c r="A689" s="146">
        <f>SKU_Base!B689</f>
        <v/>
      </c>
      <c r="B689" s="146">
        <f>SKU_Base!C689</f>
        <v/>
      </c>
      <c r="C689" s="147">
        <f>IFERROR(SKU_Base!I689,"")</f>
        <v/>
      </c>
      <c r="D689" s="164">
        <f>IFERROR(SKU_Base!T689,"")</f>
        <v/>
      </c>
      <c r="E689" s="141">
        <f>IFERROR(SKU_Base!$U689,"")</f>
        <v/>
      </c>
      <c r="F689" s="160">
        <f>IFERROR(ROUND(D689*(1-CHOOSE(MATCH(IF($E689="","Основний",$E689),{"Трафіковий","Основний","Маржинальний","Сезонний","Стратегічний"},0),Settings!$B$78,Settings!$B$80,Settings!$B$82,Settings!$B$84,Settings!$B$86))/6,2)*6,"")</f>
        <v/>
      </c>
      <c r="G689" s="142">
        <f>IFERROR(CHOOSE(MATCH(IF($E689="","Основний",$E689),{"Трафіковий","Основний","Маржинальний","Сезонний","Стратегічний"},0),Settings!$B$78,Settings!$B$80,Settings!$B$82,Settings!$B$84,Settings!$B$86),"")</f>
        <v/>
      </c>
      <c r="H689" s="148">
        <f>IFERROR((F689*(1-Settings!$B$17)-C689)/(F689*(1-Settings!$B$17)),"")</f>
        <v/>
      </c>
      <c r="I689" s="149">
        <f>IFERROR(IF(F689="","",IF(F689&gt;=C689/(1-SKU_Base!Z689)/(1-Settings!$B$17),"OK",IF(F689&gt;=C689/(1-SKU_Base!AG689)/(1-Settings!$B$17),"WARN","STOP"))),"")</f>
        <v/>
      </c>
      <c r="J689" s="160">
        <f>IFERROR(ROUND(D689*(1-CHOOSE(MATCH(IF($E689="","Основний",$E689),{"Трафіковий","Основний","Маржинальний","Сезонний","Стратегічний"},0),Settings!$C$78,Settings!$C$80,Settings!$C$82,Settings!$C$84,Settings!$C$86))/6,2)*6,"")</f>
        <v/>
      </c>
      <c r="K689" s="142">
        <f>IFERROR(CHOOSE(MATCH(IF($E689="","Основний",$E689),{"Трафіковий","Основний","Маржинальний","Сезонний","Стратегічний"},0),Settings!$C$78,Settings!$C$80,Settings!$C$82,Settings!$C$84,Settings!$C$86),"")</f>
        <v/>
      </c>
      <c r="L689" s="148">
        <f>IFERROR((J689*(1-Settings!$C$17)-C689)/(J689*(1-Settings!$C$17)),"")</f>
        <v/>
      </c>
      <c r="M689" s="149">
        <f>IFERROR(IF(J689="","",IF(J689&gt;=C689/(1-SKU_Base!AA689)/(1-Settings!$C$17),"OK",IF(J689&gt;=C689/(1-SKU_Base!AH689)/(1-Settings!$C$17),"WARN","STOP"))),"")</f>
        <v/>
      </c>
      <c r="N689" s="161">
        <f>IFERROR(ROUND(D689*(1-CHOOSE(MATCH(IF($E689="","Основний",$E689),{"Трафіковий","Основний","Маржинальний","Сезонний","Стратегічний"},0),Settings!$D$78,Settings!$D$80,Settings!$D$82,Settings!$D$84,Settings!$D$86))/6,2)*6,"")</f>
        <v/>
      </c>
      <c r="O689" s="142">
        <f>IFERROR(CHOOSE(MATCH(IF($E689="","Основний",$E689),{"Трафіковий","Основний","Маржинальний","Сезонний","Стратегічний"},0),Settings!$D$78,Settings!$D$80,Settings!$D$82,Settings!$D$84,Settings!$D$86),"")</f>
        <v/>
      </c>
      <c r="P689" s="148">
        <f>IFERROR((N689*(1-Settings!$D$17)-C689)/(N689*(1-Settings!$D$17)),"")</f>
        <v/>
      </c>
      <c r="Q689" s="149">
        <f>IFERROR(IF(N689="","",IF(N689&gt;=C689/(1-SKU_Base!AB689)/(1-Settings!$D$17),"OK",IF(N689&gt;=C689/(1-SKU_Base!AI689)/(1-Settings!$D$17),"WARN","STOP"))),"")</f>
        <v/>
      </c>
      <c r="R689" s="161">
        <f>IFERROR(ROUND(D689*(1-CHOOSE(MATCH(IF($E689="","Основний",$E689),{"Трафіковий","Основний","Маржинальний","Сезонний","Стратегічний"},0),Settings!$E$78,Settings!$E$80,Settings!$E$82,Settings!$E$84,Settings!$E$86))/6,2)*6,"")</f>
        <v/>
      </c>
      <c r="S689" s="142">
        <f>IFERROR(CHOOSE(MATCH(IF($E689="","Основний",$E689),{"Трафіковий","Основний","Маржинальний","Сезонний","Стратегічний"},0),Settings!$E$78,Settings!$E$80,Settings!$E$82,Settings!$E$84,Settings!$E$86),"")</f>
        <v/>
      </c>
      <c r="T689" s="148">
        <f>IFERROR((R689*(1-Settings!$E$17)-C689)/(R689*(1-Settings!$E$17)),"")</f>
        <v/>
      </c>
      <c r="U689" s="149">
        <f>IFERROR(IF(R689="","",IF(R689&gt;=C689/(1-SKU_Base!AC689)/(1-Settings!$E$17),"OK",IF(R689&gt;=C689/(1-SKU_Base!AJ689)/(1-Settings!$E$17),"WARN","STOP"))),"")</f>
        <v/>
      </c>
      <c r="V689" s="161">
        <f>IFERROR(ROUND(D689*(1-CHOOSE(MATCH(IF($E689="","Основний",$E689),{"Трафіковий","Основний","Маржинальний","Сезонний","Стратегічний"},0),Settings!$F$78,Settings!$F$80,Settings!$F$82,Settings!$F$84,Settings!$F$86))/6,2)*6,"")</f>
        <v/>
      </c>
      <c r="W689" s="142">
        <f>IFERROR(CHOOSE(MATCH(IF($E689="","Основний",$E689),{"Трафіковий","Основний","Маржинальний","Сезонний","Стратегічний"},0),Settings!$F$78,Settings!$F$80,Settings!$F$82,Settings!$F$84,Settings!$F$86),"")</f>
        <v/>
      </c>
      <c r="X689" s="148">
        <f>IFERROR((V689*(1-Settings!$F$17)-C689)/(V689*(1-Settings!$F$17)),"")</f>
        <v/>
      </c>
      <c r="Y689" s="149">
        <f>IFERROR(IF(V689="","",IF(V689&gt;=C689/(1-SKU_Base!AD689)/(1-Settings!$F$17),"OK",IF(V689&gt;=C689/(1-SKU_Base!AK689)/(1-Settings!$F$17),"WARN","STOP"))),"")</f>
        <v/>
      </c>
      <c r="Z689" s="161">
        <f>IFERROR(ROUND(D689*(1-CHOOSE(MATCH(IF($E689="","Основний",$E689),{"Трафіковий","Основний","Маржинальний","Сезонний","Стратегічний"},0),Settings!$G$78,Settings!$G$80,Settings!$G$82,Settings!$G$84,Settings!$G$86))/6,2)*6,"")</f>
        <v/>
      </c>
      <c r="AA689" s="142">
        <f>IFERROR(CHOOSE(MATCH(IF($E689="","Основний",$E689),{"Трафіковий","Основний","Маржинальний","Сезонний","Стратегічний"},0),Settings!$G$78,Settings!$G$80,Settings!$G$82,Settings!$G$84,Settings!$G$86),"")</f>
        <v/>
      </c>
      <c r="AB689" s="148">
        <f>IFERROR((Z689*(1-Settings!$G$17)-C689)/(Z689*(1-Settings!$G$17)),"")</f>
        <v/>
      </c>
      <c r="AC689" s="149">
        <f>IFERROR(IF(Z689="","",IF(Z689&gt;=C689/(1-SKU_Base!AE689)/(1-Settings!$G$17),"OK",IF(Z689&gt;=C689/(1-SKU_Base!AL689)/(1-Settings!$G$17),"WARN","STOP"))),"")</f>
        <v/>
      </c>
      <c r="AD689" s="161">
        <f>IFERROR(ROUND(D689*(1-CHOOSE(MATCH(IF($E689="","Основний",$E689),{"Трафіковий","Основний","Маржинальний","Сезонний","Стратегічний"},0),Settings!$H$78,Settings!$H$80,Settings!$H$82,Settings!$H$84,Settings!$H$86))*(1-Settings!$H$68)/6,2)*6,"")</f>
        <v/>
      </c>
      <c r="AE689" s="142">
        <f>IFERROR(CHOOSE(MATCH(IF($E689="","Основний",$E689),{"Трафіковий","Основний","Маржинальний","Сезонний","Стратегічний"},0),Settings!$H$78,Settings!$H$80,Settings!$H$82,Settings!$H$84,Settings!$H$86)+(1-(CHOOSE(MATCH(IF($E689="","Основний",$E689),{"Трафіковий","Основний","Маржинальний","Сезонний","Стратегічний"},0),Settings!$H$78,Settings!$H$80,Settings!$H$82,Settings!$H$84,Settings!$H$86)))*Settings!$H$68,"")</f>
        <v/>
      </c>
      <c r="AF689" s="148">
        <f>IFERROR((AD689*(1-Settings!$H$17)-C689)/(AD689*(1-Settings!$H$17)),"")</f>
        <v/>
      </c>
      <c r="AG689" s="150">
        <f>IFERROR(IF(AD689="","",IF(AD689&gt;=C689/(1-SKU_Base!AF689)/(1-Settings!$H$17),"OK",IF(AD689&gt;=C689/(1-SKU_Base!AM689)/(1-Settings!$H$17),"WARN","STOP"))),"")</f>
        <v/>
      </c>
    </row>
    <row r="690" ht="17" customHeight="1" s="179">
      <c r="A690" s="139">
        <f>SKU_Base!B690</f>
        <v/>
      </c>
      <c r="B690" s="139">
        <f>SKU_Base!C690</f>
        <v/>
      </c>
      <c r="C690" s="140">
        <f>IFERROR(SKU_Base!I690,"")</f>
        <v/>
      </c>
      <c r="D690" s="163">
        <f>IFERROR(SKU_Base!T690,"")</f>
        <v/>
      </c>
      <c r="E690" s="141">
        <f>IFERROR(SKU_Base!$U690,"")</f>
        <v/>
      </c>
      <c r="F690" s="158">
        <f>IFERROR(ROUND(D690*(1-CHOOSE(MATCH(IF($E690="","Основний",$E690),{"Трафіковий","Основний","Маржинальний","Сезонний","Стратегічний"},0),Settings!$B$78,Settings!$B$80,Settings!$B$82,Settings!$B$84,Settings!$B$86))/6,2)*6,"")</f>
        <v/>
      </c>
      <c r="G690" s="142">
        <f>IFERROR(CHOOSE(MATCH(IF($E690="","Основний",$E690),{"Трафіковий","Основний","Маржинальний","Сезонний","Стратегічний"},0),Settings!$B$78,Settings!$B$80,Settings!$B$82,Settings!$B$84,Settings!$B$86),"")</f>
        <v/>
      </c>
      <c r="H690" s="143">
        <f>IFERROR((F690*(1-Settings!$B$17)-C690)/(F690*(1-Settings!$B$17)),"")</f>
        <v/>
      </c>
      <c r="I690" s="149">
        <f>IFERROR(IF(F690="","",IF(F690&gt;=C690/(1-SKU_Base!Z690)/(1-Settings!$B$17),"OK",IF(F690&gt;=C690/(1-SKU_Base!AG690)/(1-Settings!$B$17),"WARN","STOP"))),"")</f>
        <v/>
      </c>
      <c r="J690" s="158">
        <f>IFERROR(ROUND(D690*(1-CHOOSE(MATCH(IF($E690="","Основний",$E690),{"Трафіковий","Основний","Маржинальний","Сезонний","Стратегічний"},0),Settings!$C$78,Settings!$C$80,Settings!$C$82,Settings!$C$84,Settings!$C$86))/6,2)*6,"")</f>
        <v/>
      </c>
      <c r="K690" s="142">
        <f>IFERROR(CHOOSE(MATCH(IF($E690="","Основний",$E690),{"Трафіковий","Основний","Маржинальний","Сезонний","Стратегічний"},0),Settings!$C$78,Settings!$C$80,Settings!$C$82,Settings!$C$84,Settings!$C$86),"")</f>
        <v/>
      </c>
      <c r="L690" s="143">
        <f>IFERROR((J690*(1-Settings!$C$17)-C690)/(J690*(1-Settings!$C$17)),"")</f>
        <v/>
      </c>
      <c r="M690" s="149">
        <f>IFERROR(IF(J690="","",IF(J690&gt;=C690/(1-SKU_Base!AA690)/(1-Settings!$C$17),"OK",IF(J690&gt;=C690/(1-SKU_Base!AH690)/(1-Settings!$C$17),"WARN","STOP"))),"")</f>
        <v/>
      </c>
      <c r="N690" s="159">
        <f>IFERROR(ROUND(D690*(1-CHOOSE(MATCH(IF($E690="","Основний",$E690),{"Трафіковий","Основний","Маржинальний","Сезонний","Стратегічний"},0),Settings!$D$78,Settings!$D$80,Settings!$D$82,Settings!$D$84,Settings!$D$86))/6,2)*6,"")</f>
        <v/>
      </c>
      <c r="O690" s="142">
        <f>IFERROR(CHOOSE(MATCH(IF($E690="","Основний",$E690),{"Трафіковий","Основний","Маржинальний","Сезонний","Стратегічний"},0),Settings!$D$78,Settings!$D$80,Settings!$D$82,Settings!$D$84,Settings!$D$86),"")</f>
        <v/>
      </c>
      <c r="P690" s="143">
        <f>IFERROR((N690*(1-Settings!$D$17)-C690)/(N690*(1-Settings!$D$17)),"")</f>
        <v/>
      </c>
      <c r="Q690" s="149">
        <f>IFERROR(IF(N690="","",IF(N690&gt;=C690/(1-SKU_Base!AB690)/(1-Settings!$D$17),"OK",IF(N690&gt;=C690/(1-SKU_Base!AI690)/(1-Settings!$D$17),"WARN","STOP"))),"")</f>
        <v/>
      </c>
      <c r="R690" s="159">
        <f>IFERROR(ROUND(D690*(1-CHOOSE(MATCH(IF($E690="","Основний",$E690),{"Трафіковий","Основний","Маржинальний","Сезонний","Стратегічний"},0),Settings!$E$78,Settings!$E$80,Settings!$E$82,Settings!$E$84,Settings!$E$86))/6,2)*6,"")</f>
        <v/>
      </c>
      <c r="S690" s="142">
        <f>IFERROR(CHOOSE(MATCH(IF($E690="","Основний",$E690),{"Трафіковий","Основний","Маржинальний","Сезонний","Стратегічний"},0),Settings!$E$78,Settings!$E$80,Settings!$E$82,Settings!$E$84,Settings!$E$86),"")</f>
        <v/>
      </c>
      <c r="T690" s="143">
        <f>IFERROR((R690*(1-Settings!$E$17)-C690)/(R690*(1-Settings!$E$17)),"")</f>
        <v/>
      </c>
      <c r="U690" s="149">
        <f>IFERROR(IF(R690="","",IF(R690&gt;=C690/(1-SKU_Base!AC690)/(1-Settings!$E$17),"OK",IF(R690&gt;=C690/(1-SKU_Base!AJ690)/(1-Settings!$E$17),"WARN","STOP"))),"")</f>
        <v/>
      </c>
      <c r="V690" s="159">
        <f>IFERROR(ROUND(D690*(1-CHOOSE(MATCH(IF($E690="","Основний",$E690),{"Трафіковий","Основний","Маржинальний","Сезонний","Стратегічний"},0),Settings!$F$78,Settings!$F$80,Settings!$F$82,Settings!$F$84,Settings!$F$86))/6,2)*6,"")</f>
        <v/>
      </c>
      <c r="W690" s="142">
        <f>IFERROR(CHOOSE(MATCH(IF($E690="","Основний",$E690),{"Трафіковий","Основний","Маржинальний","Сезонний","Стратегічний"},0),Settings!$F$78,Settings!$F$80,Settings!$F$82,Settings!$F$84,Settings!$F$86),"")</f>
        <v/>
      </c>
      <c r="X690" s="143">
        <f>IFERROR((V690*(1-Settings!$F$17)-C690)/(V690*(1-Settings!$F$17)),"")</f>
        <v/>
      </c>
      <c r="Y690" s="149">
        <f>IFERROR(IF(V690="","",IF(V690&gt;=C690/(1-SKU_Base!AD690)/(1-Settings!$F$17),"OK",IF(V690&gt;=C690/(1-SKU_Base!AK690)/(1-Settings!$F$17),"WARN","STOP"))),"")</f>
        <v/>
      </c>
      <c r="Z690" s="159">
        <f>IFERROR(ROUND(D690*(1-CHOOSE(MATCH(IF($E690="","Основний",$E690),{"Трафіковий","Основний","Маржинальний","Сезонний","Стратегічний"},0),Settings!$G$78,Settings!$G$80,Settings!$G$82,Settings!$G$84,Settings!$G$86))/6,2)*6,"")</f>
        <v/>
      </c>
      <c r="AA690" s="142">
        <f>IFERROR(CHOOSE(MATCH(IF($E690="","Основний",$E690),{"Трафіковий","Основний","Маржинальний","Сезонний","Стратегічний"},0),Settings!$G$78,Settings!$G$80,Settings!$G$82,Settings!$G$84,Settings!$G$86),"")</f>
        <v/>
      </c>
      <c r="AB690" s="143">
        <f>IFERROR((Z690*(1-Settings!$G$17)-C690)/(Z690*(1-Settings!$G$17)),"")</f>
        <v/>
      </c>
      <c r="AC690" s="149">
        <f>IFERROR(IF(Z690="","",IF(Z690&gt;=C690/(1-SKU_Base!AE690)/(1-Settings!$G$17),"OK",IF(Z690&gt;=C690/(1-SKU_Base!AL690)/(1-Settings!$G$17),"WARN","STOP"))),"")</f>
        <v/>
      </c>
      <c r="AD690" s="159">
        <f>IFERROR(ROUND(D690*(1-CHOOSE(MATCH(IF($E690="","Основний",$E690),{"Трафіковий","Основний","Маржинальний","Сезонний","Стратегічний"},0),Settings!$H$78,Settings!$H$80,Settings!$H$82,Settings!$H$84,Settings!$H$86))*(1-Settings!$H$68)/6,2)*6,"")</f>
        <v/>
      </c>
      <c r="AE690" s="142">
        <f>IFERROR(CHOOSE(MATCH(IF($E690="","Основний",$E690),{"Трафіковий","Основний","Маржинальний","Сезонний","Стратегічний"},0),Settings!$H$78,Settings!$H$80,Settings!$H$82,Settings!$H$84,Settings!$H$86)+(1-(CHOOSE(MATCH(IF($E690="","Основний",$E690),{"Трафіковий","Основний","Маржинальний","Сезонний","Стратегічний"},0),Settings!$H$78,Settings!$H$80,Settings!$H$82,Settings!$H$84,Settings!$H$86)))*Settings!$H$68,"")</f>
        <v/>
      </c>
      <c r="AF690" s="143">
        <f>IFERROR((AD690*(1-Settings!$H$17)-C690)/(AD690*(1-Settings!$H$17)),"")</f>
        <v/>
      </c>
      <c r="AG690" s="150">
        <f>IFERROR(IF(AD690="","",IF(AD690&gt;=C690/(1-SKU_Base!AF690)/(1-Settings!$H$17),"OK",IF(AD690&gt;=C690/(1-SKU_Base!AM690)/(1-Settings!$H$17),"WARN","STOP"))),"")</f>
        <v/>
      </c>
    </row>
    <row r="691" ht="17" customHeight="1" s="179">
      <c r="A691" s="146">
        <f>SKU_Base!B691</f>
        <v/>
      </c>
      <c r="B691" s="146">
        <f>SKU_Base!C691</f>
        <v/>
      </c>
      <c r="C691" s="147">
        <f>IFERROR(SKU_Base!I691,"")</f>
        <v/>
      </c>
      <c r="D691" s="164">
        <f>IFERROR(SKU_Base!T691,"")</f>
        <v/>
      </c>
      <c r="E691" s="141">
        <f>IFERROR(SKU_Base!$U691,"")</f>
        <v/>
      </c>
      <c r="F691" s="160">
        <f>IFERROR(ROUND(D691*(1-CHOOSE(MATCH(IF($E691="","Основний",$E691),{"Трафіковий","Основний","Маржинальний","Сезонний","Стратегічний"},0),Settings!$B$78,Settings!$B$80,Settings!$B$82,Settings!$B$84,Settings!$B$86))/6,2)*6,"")</f>
        <v/>
      </c>
      <c r="G691" s="142">
        <f>IFERROR(CHOOSE(MATCH(IF($E691="","Основний",$E691),{"Трафіковий","Основний","Маржинальний","Сезонний","Стратегічний"},0),Settings!$B$78,Settings!$B$80,Settings!$B$82,Settings!$B$84,Settings!$B$86),"")</f>
        <v/>
      </c>
      <c r="H691" s="148">
        <f>IFERROR((F691*(1-Settings!$B$17)-C691)/(F691*(1-Settings!$B$17)),"")</f>
        <v/>
      </c>
      <c r="I691" s="149">
        <f>IFERROR(IF(F691="","",IF(F691&gt;=C691/(1-SKU_Base!Z691)/(1-Settings!$B$17),"OK",IF(F691&gt;=C691/(1-SKU_Base!AG691)/(1-Settings!$B$17),"WARN","STOP"))),"")</f>
        <v/>
      </c>
      <c r="J691" s="160">
        <f>IFERROR(ROUND(D691*(1-CHOOSE(MATCH(IF($E691="","Основний",$E691),{"Трафіковий","Основний","Маржинальний","Сезонний","Стратегічний"},0),Settings!$C$78,Settings!$C$80,Settings!$C$82,Settings!$C$84,Settings!$C$86))/6,2)*6,"")</f>
        <v/>
      </c>
      <c r="K691" s="142">
        <f>IFERROR(CHOOSE(MATCH(IF($E691="","Основний",$E691),{"Трафіковий","Основний","Маржинальний","Сезонний","Стратегічний"},0),Settings!$C$78,Settings!$C$80,Settings!$C$82,Settings!$C$84,Settings!$C$86),"")</f>
        <v/>
      </c>
      <c r="L691" s="148">
        <f>IFERROR((J691*(1-Settings!$C$17)-C691)/(J691*(1-Settings!$C$17)),"")</f>
        <v/>
      </c>
      <c r="M691" s="149">
        <f>IFERROR(IF(J691="","",IF(J691&gt;=C691/(1-SKU_Base!AA691)/(1-Settings!$C$17),"OK",IF(J691&gt;=C691/(1-SKU_Base!AH691)/(1-Settings!$C$17),"WARN","STOP"))),"")</f>
        <v/>
      </c>
      <c r="N691" s="161">
        <f>IFERROR(ROUND(D691*(1-CHOOSE(MATCH(IF($E691="","Основний",$E691),{"Трафіковий","Основний","Маржинальний","Сезонний","Стратегічний"},0),Settings!$D$78,Settings!$D$80,Settings!$D$82,Settings!$D$84,Settings!$D$86))/6,2)*6,"")</f>
        <v/>
      </c>
      <c r="O691" s="142">
        <f>IFERROR(CHOOSE(MATCH(IF($E691="","Основний",$E691),{"Трафіковий","Основний","Маржинальний","Сезонний","Стратегічний"},0),Settings!$D$78,Settings!$D$80,Settings!$D$82,Settings!$D$84,Settings!$D$86),"")</f>
        <v/>
      </c>
      <c r="P691" s="148">
        <f>IFERROR((N691*(1-Settings!$D$17)-C691)/(N691*(1-Settings!$D$17)),"")</f>
        <v/>
      </c>
      <c r="Q691" s="149">
        <f>IFERROR(IF(N691="","",IF(N691&gt;=C691/(1-SKU_Base!AB691)/(1-Settings!$D$17),"OK",IF(N691&gt;=C691/(1-SKU_Base!AI691)/(1-Settings!$D$17),"WARN","STOP"))),"")</f>
        <v/>
      </c>
      <c r="R691" s="161">
        <f>IFERROR(ROUND(D691*(1-CHOOSE(MATCH(IF($E691="","Основний",$E691),{"Трафіковий","Основний","Маржинальний","Сезонний","Стратегічний"},0),Settings!$E$78,Settings!$E$80,Settings!$E$82,Settings!$E$84,Settings!$E$86))/6,2)*6,"")</f>
        <v/>
      </c>
      <c r="S691" s="142">
        <f>IFERROR(CHOOSE(MATCH(IF($E691="","Основний",$E691),{"Трафіковий","Основний","Маржинальний","Сезонний","Стратегічний"},0),Settings!$E$78,Settings!$E$80,Settings!$E$82,Settings!$E$84,Settings!$E$86),"")</f>
        <v/>
      </c>
      <c r="T691" s="148">
        <f>IFERROR((R691*(1-Settings!$E$17)-C691)/(R691*(1-Settings!$E$17)),"")</f>
        <v/>
      </c>
      <c r="U691" s="149">
        <f>IFERROR(IF(R691="","",IF(R691&gt;=C691/(1-SKU_Base!AC691)/(1-Settings!$E$17),"OK",IF(R691&gt;=C691/(1-SKU_Base!AJ691)/(1-Settings!$E$17),"WARN","STOP"))),"")</f>
        <v/>
      </c>
      <c r="V691" s="161">
        <f>IFERROR(ROUND(D691*(1-CHOOSE(MATCH(IF($E691="","Основний",$E691),{"Трафіковий","Основний","Маржинальний","Сезонний","Стратегічний"},0),Settings!$F$78,Settings!$F$80,Settings!$F$82,Settings!$F$84,Settings!$F$86))/6,2)*6,"")</f>
        <v/>
      </c>
      <c r="W691" s="142">
        <f>IFERROR(CHOOSE(MATCH(IF($E691="","Основний",$E691),{"Трафіковий","Основний","Маржинальний","Сезонний","Стратегічний"},0),Settings!$F$78,Settings!$F$80,Settings!$F$82,Settings!$F$84,Settings!$F$86),"")</f>
        <v/>
      </c>
      <c r="X691" s="148">
        <f>IFERROR((V691*(1-Settings!$F$17)-C691)/(V691*(1-Settings!$F$17)),"")</f>
        <v/>
      </c>
      <c r="Y691" s="149">
        <f>IFERROR(IF(V691="","",IF(V691&gt;=C691/(1-SKU_Base!AD691)/(1-Settings!$F$17),"OK",IF(V691&gt;=C691/(1-SKU_Base!AK691)/(1-Settings!$F$17),"WARN","STOP"))),"")</f>
        <v/>
      </c>
      <c r="Z691" s="161">
        <f>IFERROR(ROUND(D691*(1-CHOOSE(MATCH(IF($E691="","Основний",$E691),{"Трафіковий","Основний","Маржинальний","Сезонний","Стратегічний"},0),Settings!$G$78,Settings!$G$80,Settings!$G$82,Settings!$G$84,Settings!$G$86))/6,2)*6,"")</f>
        <v/>
      </c>
      <c r="AA691" s="142">
        <f>IFERROR(CHOOSE(MATCH(IF($E691="","Основний",$E691),{"Трафіковий","Основний","Маржинальний","Сезонний","Стратегічний"},0),Settings!$G$78,Settings!$G$80,Settings!$G$82,Settings!$G$84,Settings!$G$86),"")</f>
        <v/>
      </c>
      <c r="AB691" s="148">
        <f>IFERROR((Z691*(1-Settings!$G$17)-C691)/(Z691*(1-Settings!$G$17)),"")</f>
        <v/>
      </c>
      <c r="AC691" s="149">
        <f>IFERROR(IF(Z691="","",IF(Z691&gt;=C691/(1-SKU_Base!AE691)/(1-Settings!$G$17),"OK",IF(Z691&gt;=C691/(1-SKU_Base!AL691)/(1-Settings!$G$17),"WARN","STOP"))),"")</f>
        <v/>
      </c>
      <c r="AD691" s="161">
        <f>IFERROR(ROUND(D691*(1-CHOOSE(MATCH(IF($E691="","Основний",$E691),{"Трафіковий","Основний","Маржинальний","Сезонний","Стратегічний"},0),Settings!$H$78,Settings!$H$80,Settings!$H$82,Settings!$H$84,Settings!$H$86))*(1-Settings!$H$68)/6,2)*6,"")</f>
        <v/>
      </c>
      <c r="AE691" s="142">
        <f>IFERROR(CHOOSE(MATCH(IF($E691="","Основний",$E691),{"Трафіковий","Основний","Маржинальний","Сезонний","Стратегічний"},0),Settings!$H$78,Settings!$H$80,Settings!$H$82,Settings!$H$84,Settings!$H$86)+(1-(CHOOSE(MATCH(IF($E691="","Основний",$E691),{"Трафіковий","Основний","Маржинальний","Сезонний","Стратегічний"},0),Settings!$H$78,Settings!$H$80,Settings!$H$82,Settings!$H$84,Settings!$H$86)))*Settings!$H$68,"")</f>
        <v/>
      </c>
      <c r="AF691" s="148">
        <f>IFERROR((AD691*(1-Settings!$H$17)-C691)/(AD691*(1-Settings!$H$17)),"")</f>
        <v/>
      </c>
      <c r="AG691" s="150">
        <f>IFERROR(IF(AD691="","",IF(AD691&gt;=C691/(1-SKU_Base!AF691)/(1-Settings!$H$17),"OK",IF(AD691&gt;=C691/(1-SKU_Base!AM691)/(1-Settings!$H$17),"WARN","STOP"))),"")</f>
        <v/>
      </c>
    </row>
    <row r="692" ht="17" customHeight="1" s="179">
      <c r="A692" s="139">
        <f>SKU_Base!B692</f>
        <v/>
      </c>
      <c r="B692" s="139">
        <f>SKU_Base!C692</f>
        <v/>
      </c>
      <c r="C692" s="140">
        <f>IFERROR(SKU_Base!I692,"")</f>
        <v/>
      </c>
      <c r="D692" s="163">
        <f>IFERROR(SKU_Base!T692,"")</f>
        <v/>
      </c>
      <c r="E692" s="141">
        <f>IFERROR(SKU_Base!$U692,"")</f>
        <v/>
      </c>
      <c r="F692" s="158">
        <f>IFERROR(ROUND(D692*(1-CHOOSE(MATCH(IF($E692="","Основний",$E692),{"Трафіковий","Основний","Маржинальний","Сезонний","Стратегічний"},0),Settings!$B$78,Settings!$B$80,Settings!$B$82,Settings!$B$84,Settings!$B$86))/6,2)*6,"")</f>
        <v/>
      </c>
      <c r="G692" s="142">
        <f>IFERROR(CHOOSE(MATCH(IF($E692="","Основний",$E692),{"Трафіковий","Основний","Маржинальний","Сезонний","Стратегічний"},0),Settings!$B$78,Settings!$B$80,Settings!$B$82,Settings!$B$84,Settings!$B$86),"")</f>
        <v/>
      </c>
      <c r="H692" s="143">
        <f>IFERROR((F692*(1-Settings!$B$17)-C692)/(F692*(1-Settings!$B$17)),"")</f>
        <v/>
      </c>
      <c r="I692" s="150">
        <f>IFERROR(IF(F692="","",IF(F692&gt;=C692/(1-SKU_Base!Z692)/(1-Settings!$B$17),"OK",IF(F692&gt;=C692/(1-SKU_Base!AG692)/(1-Settings!$B$17),"WARN","STOP"))),"")</f>
        <v/>
      </c>
      <c r="J692" s="158">
        <f>IFERROR(ROUND(D692*(1-CHOOSE(MATCH(IF($E692="","Основний",$E692),{"Трафіковий","Основний","Маржинальний","Сезонний","Стратегічний"},0),Settings!$C$78,Settings!$C$80,Settings!$C$82,Settings!$C$84,Settings!$C$86))/6,2)*6,"")</f>
        <v/>
      </c>
      <c r="K692" s="142">
        <f>IFERROR(CHOOSE(MATCH(IF($E692="","Основний",$E692),{"Трафіковий","Основний","Маржинальний","Сезонний","Стратегічний"},0),Settings!$C$78,Settings!$C$80,Settings!$C$82,Settings!$C$84,Settings!$C$86),"")</f>
        <v/>
      </c>
      <c r="L692" s="143">
        <f>IFERROR((J692*(1-Settings!$C$17)-C692)/(J692*(1-Settings!$C$17)),"")</f>
        <v/>
      </c>
      <c r="M692" s="149">
        <f>IFERROR(IF(J692="","",IF(J692&gt;=C692/(1-SKU_Base!AA692)/(1-Settings!$C$17),"OK",IF(J692&gt;=C692/(1-SKU_Base!AH692)/(1-Settings!$C$17),"WARN","STOP"))),"")</f>
        <v/>
      </c>
      <c r="N692" s="159">
        <f>IFERROR(ROUND(D692*(1-CHOOSE(MATCH(IF($E692="","Основний",$E692),{"Трафіковий","Основний","Маржинальний","Сезонний","Стратегічний"},0),Settings!$D$78,Settings!$D$80,Settings!$D$82,Settings!$D$84,Settings!$D$86))/6,2)*6,"")</f>
        <v/>
      </c>
      <c r="O692" s="142">
        <f>IFERROR(CHOOSE(MATCH(IF($E692="","Основний",$E692),{"Трафіковий","Основний","Маржинальний","Сезонний","Стратегічний"},0),Settings!$D$78,Settings!$D$80,Settings!$D$82,Settings!$D$84,Settings!$D$86),"")</f>
        <v/>
      </c>
      <c r="P692" s="143">
        <f>IFERROR((N692*(1-Settings!$D$17)-C692)/(N692*(1-Settings!$D$17)),"")</f>
        <v/>
      </c>
      <c r="Q692" s="149">
        <f>IFERROR(IF(N692="","",IF(N692&gt;=C692/(1-SKU_Base!AB692)/(1-Settings!$D$17),"OK",IF(N692&gt;=C692/(1-SKU_Base!AI692)/(1-Settings!$D$17),"WARN","STOP"))),"")</f>
        <v/>
      </c>
      <c r="R692" s="159">
        <f>IFERROR(ROUND(D692*(1-CHOOSE(MATCH(IF($E692="","Основний",$E692),{"Трафіковий","Основний","Маржинальний","Сезонний","Стратегічний"},0),Settings!$E$78,Settings!$E$80,Settings!$E$82,Settings!$E$84,Settings!$E$86))/6,2)*6,"")</f>
        <v/>
      </c>
      <c r="S692" s="142">
        <f>IFERROR(CHOOSE(MATCH(IF($E692="","Основний",$E692),{"Трафіковий","Основний","Маржинальний","Сезонний","Стратегічний"},0),Settings!$E$78,Settings!$E$80,Settings!$E$82,Settings!$E$84,Settings!$E$86),"")</f>
        <v/>
      </c>
      <c r="T692" s="143">
        <f>IFERROR((R692*(1-Settings!$E$17)-C692)/(R692*(1-Settings!$E$17)),"")</f>
        <v/>
      </c>
      <c r="U692" s="149">
        <f>IFERROR(IF(R692="","",IF(R692&gt;=C692/(1-SKU_Base!AC692)/(1-Settings!$E$17),"OK",IF(R692&gt;=C692/(1-SKU_Base!AJ692)/(1-Settings!$E$17),"WARN","STOP"))),"")</f>
        <v/>
      </c>
      <c r="V692" s="159">
        <f>IFERROR(ROUND(D692*(1-CHOOSE(MATCH(IF($E692="","Основний",$E692),{"Трафіковий","Основний","Маржинальний","Сезонний","Стратегічний"},0),Settings!$F$78,Settings!$F$80,Settings!$F$82,Settings!$F$84,Settings!$F$86))/6,2)*6,"")</f>
        <v/>
      </c>
      <c r="W692" s="142">
        <f>IFERROR(CHOOSE(MATCH(IF($E692="","Основний",$E692),{"Трафіковий","Основний","Маржинальний","Сезонний","Стратегічний"},0),Settings!$F$78,Settings!$F$80,Settings!$F$82,Settings!$F$84,Settings!$F$86),"")</f>
        <v/>
      </c>
      <c r="X692" s="143">
        <f>IFERROR((V692*(1-Settings!$F$17)-C692)/(V692*(1-Settings!$F$17)),"")</f>
        <v/>
      </c>
      <c r="Y692" s="149">
        <f>IFERROR(IF(V692="","",IF(V692&gt;=C692/(1-SKU_Base!AD692)/(1-Settings!$F$17),"OK",IF(V692&gt;=C692/(1-SKU_Base!AK692)/(1-Settings!$F$17),"WARN","STOP"))),"")</f>
        <v/>
      </c>
      <c r="Z692" s="159">
        <f>IFERROR(ROUND(D692*(1-CHOOSE(MATCH(IF($E692="","Основний",$E692),{"Трафіковий","Основний","Маржинальний","Сезонний","Стратегічний"},0),Settings!$G$78,Settings!$G$80,Settings!$G$82,Settings!$G$84,Settings!$G$86))/6,2)*6,"")</f>
        <v/>
      </c>
      <c r="AA692" s="142">
        <f>IFERROR(CHOOSE(MATCH(IF($E692="","Основний",$E692),{"Трафіковий","Основний","Маржинальний","Сезонний","Стратегічний"},0),Settings!$G$78,Settings!$G$80,Settings!$G$82,Settings!$G$84,Settings!$G$86),"")</f>
        <v/>
      </c>
      <c r="AB692" s="143">
        <f>IFERROR((Z692*(1-Settings!$G$17)-C692)/(Z692*(1-Settings!$G$17)),"")</f>
        <v/>
      </c>
      <c r="AC692" s="149">
        <f>IFERROR(IF(Z692="","",IF(Z692&gt;=C692/(1-SKU_Base!AE692)/(1-Settings!$G$17),"OK",IF(Z692&gt;=C692/(1-SKU_Base!AL692)/(1-Settings!$G$17),"WARN","STOP"))),"")</f>
        <v/>
      </c>
      <c r="AD692" s="159">
        <f>IFERROR(ROUND(D692*(1-CHOOSE(MATCH(IF($E692="","Основний",$E692),{"Трафіковий","Основний","Маржинальний","Сезонний","Стратегічний"},0),Settings!$H$78,Settings!$H$80,Settings!$H$82,Settings!$H$84,Settings!$H$86))*(1-Settings!$H$68)/6,2)*6,"")</f>
        <v/>
      </c>
      <c r="AE692" s="142">
        <f>IFERROR(CHOOSE(MATCH(IF($E692="","Основний",$E692),{"Трафіковий","Основний","Маржинальний","Сезонний","Стратегічний"},0),Settings!$H$78,Settings!$H$80,Settings!$H$82,Settings!$H$84,Settings!$H$86)+(1-(CHOOSE(MATCH(IF($E692="","Основний",$E692),{"Трафіковий","Основний","Маржинальний","Сезонний","Стратегічний"},0),Settings!$H$78,Settings!$H$80,Settings!$H$82,Settings!$H$84,Settings!$H$86)))*Settings!$H$68,"")</f>
        <v/>
      </c>
      <c r="AF692" s="143">
        <f>IFERROR((AD692*(1-Settings!$H$17)-C692)/(AD692*(1-Settings!$H$17)),"")</f>
        <v/>
      </c>
      <c r="AG692" s="150">
        <f>IFERROR(IF(AD692="","",IF(AD692&gt;=C692/(1-SKU_Base!AF692)/(1-Settings!$H$17),"OK",IF(AD692&gt;=C692/(1-SKU_Base!AM692)/(1-Settings!$H$17),"WARN","STOP"))),"")</f>
        <v/>
      </c>
    </row>
    <row r="693" ht="17" customHeight="1" s="179">
      <c r="A693" s="146">
        <f>SKU_Base!B693</f>
        <v/>
      </c>
      <c r="B693" s="146">
        <f>SKU_Base!C693</f>
        <v/>
      </c>
      <c r="C693" s="147">
        <f>IFERROR(SKU_Base!I693,"")</f>
        <v/>
      </c>
      <c r="D693" s="164">
        <f>IFERROR(SKU_Base!T693,"")</f>
        <v/>
      </c>
      <c r="E693" s="141">
        <f>IFERROR(SKU_Base!$U693,"")</f>
        <v/>
      </c>
      <c r="F693" s="160">
        <f>IFERROR(ROUND(D693*(1-CHOOSE(MATCH(IF($E693="","Основний",$E693),{"Трафіковий","Основний","Маржинальний","Сезонний","Стратегічний"},0),Settings!$B$78,Settings!$B$80,Settings!$B$82,Settings!$B$84,Settings!$B$86))/6,2)*6,"")</f>
        <v/>
      </c>
      <c r="G693" s="142">
        <f>IFERROR(CHOOSE(MATCH(IF($E693="","Основний",$E693),{"Трафіковий","Основний","Маржинальний","Сезонний","Стратегічний"},0),Settings!$B$78,Settings!$B$80,Settings!$B$82,Settings!$B$84,Settings!$B$86),"")</f>
        <v/>
      </c>
      <c r="H693" s="148">
        <f>IFERROR((F693*(1-Settings!$B$17)-C693)/(F693*(1-Settings!$B$17)),"")</f>
        <v/>
      </c>
      <c r="I693" s="149">
        <f>IFERROR(IF(F693="","",IF(F693&gt;=C693/(1-SKU_Base!Z693)/(1-Settings!$B$17),"OK",IF(F693&gt;=C693/(1-SKU_Base!AG693)/(1-Settings!$B$17),"WARN","STOP"))),"")</f>
        <v/>
      </c>
      <c r="J693" s="160">
        <f>IFERROR(ROUND(D693*(1-CHOOSE(MATCH(IF($E693="","Основний",$E693),{"Трафіковий","Основний","Маржинальний","Сезонний","Стратегічний"},0),Settings!$C$78,Settings!$C$80,Settings!$C$82,Settings!$C$84,Settings!$C$86))/6,2)*6,"")</f>
        <v/>
      </c>
      <c r="K693" s="142">
        <f>IFERROR(CHOOSE(MATCH(IF($E693="","Основний",$E693),{"Трафіковий","Основний","Маржинальний","Сезонний","Стратегічний"},0),Settings!$C$78,Settings!$C$80,Settings!$C$82,Settings!$C$84,Settings!$C$86),"")</f>
        <v/>
      </c>
      <c r="L693" s="148">
        <f>IFERROR((J693*(1-Settings!$C$17)-C693)/(J693*(1-Settings!$C$17)),"")</f>
        <v/>
      </c>
      <c r="M693" s="149">
        <f>IFERROR(IF(J693="","",IF(J693&gt;=C693/(1-SKU_Base!AA693)/(1-Settings!$C$17),"OK",IF(J693&gt;=C693/(1-SKU_Base!AH693)/(1-Settings!$C$17),"WARN","STOP"))),"")</f>
        <v/>
      </c>
      <c r="N693" s="161">
        <f>IFERROR(ROUND(D693*(1-CHOOSE(MATCH(IF($E693="","Основний",$E693),{"Трафіковий","Основний","Маржинальний","Сезонний","Стратегічний"},0),Settings!$D$78,Settings!$D$80,Settings!$D$82,Settings!$D$84,Settings!$D$86))/6,2)*6,"")</f>
        <v/>
      </c>
      <c r="O693" s="142">
        <f>IFERROR(CHOOSE(MATCH(IF($E693="","Основний",$E693),{"Трафіковий","Основний","Маржинальний","Сезонний","Стратегічний"},0),Settings!$D$78,Settings!$D$80,Settings!$D$82,Settings!$D$84,Settings!$D$86),"")</f>
        <v/>
      </c>
      <c r="P693" s="148">
        <f>IFERROR((N693*(1-Settings!$D$17)-C693)/(N693*(1-Settings!$D$17)),"")</f>
        <v/>
      </c>
      <c r="Q693" s="149">
        <f>IFERROR(IF(N693="","",IF(N693&gt;=C693/(1-SKU_Base!AB693)/(1-Settings!$D$17),"OK",IF(N693&gt;=C693/(1-SKU_Base!AI693)/(1-Settings!$D$17),"WARN","STOP"))),"")</f>
        <v/>
      </c>
      <c r="R693" s="161">
        <f>IFERROR(ROUND(D693*(1-CHOOSE(MATCH(IF($E693="","Основний",$E693),{"Трафіковий","Основний","Маржинальний","Сезонний","Стратегічний"},0),Settings!$E$78,Settings!$E$80,Settings!$E$82,Settings!$E$84,Settings!$E$86))/6,2)*6,"")</f>
        <v/>
      </c>
      <c r="S693" s="142">
        <f>IFERROR(CHOOSE(MATCH(IF($E693="","Основний",$E693),{"Трафіковий","Основний","Маржинальний","Сезонний","Стратегічний"},0),Settings!$E$78,Settings!$E$80,Settings!$E$82,Settings!$E$84,Settings!$E$86),"")</f>
        <v/>
      </c>
      <c r="T693" s="148">
        <f>IFERROR((R693*(1-Settings!$E$17)-C693)/(R693*(1-Settings!$E$17)),"")</f>
        <v/>
      </c>
      <c r="U693" s="149">
        <f>IFERROR(IF(R693="","",IF(R693&gt;=C693/(1-SKU_Base!AC693)/(1-Settings!$E$17),"OK",IF(R693&gt;=C693/(1-SKU_Base!AJ693)/(1-Settings!$E$17),"WARN","STOP"))),"")</f>
        <v/>
      </c>
      <c r="V693" s="161">
        <f>IFERROR(ROUND(D693*(1-CHOOSE(MATCH(IF($E693="","Основний",$E693),{"Трафіковий","Основний","Маржинальний","Сезонний","Стратегічний"},0),Settings!$F$78,Settings!$F$80,Settings!$F$82,Settings!$F$84,Settings!$F$86))/6,2)*6,"")</f>
        <v/>
      </c>
      <c r="W693" s="142">
        <f>IFERROR(CHOOSE(MATCH(IF($E693="","Основний",$E693),{"Трафіковий","Основний","Маржинальний","Сезонний","Стратегічний"},0),Settings!$F$78,Settings!$F$80,Settings!$F$82,Settings!$F$84,Settings!$F$86),"")</f>
        <v/>
      </c>
      <c r="X693" s="148">
        <f>IFERROR((V693*(1-Settings!$F$17)-C693)/(V693*(1-Settings!$F$17)),"")</f>
        <v/>
      </c>
      <c r="Y693" s="149">
        <f>IFERROR(IF(V693="","",IF(V693&gt;=C693/(1-SKU_Base!AD693)/(1-Settings!$F$17),"OK",IF(V693&gt;=C693/(1-SKU_Base!AK693)/(1-Settings!$F$17),"WARN","STOP"))),"")</f>
        <v/>
      </c>
      <c r="Z693" s="161">
        <f>IFERROR(ROUND(D693*(1-CHOOSE(MATCH(IF($E693="","Основний",$E693),{"Трафіковий","Основний","Маржинальний","Сезонний","Стратегічний"},0),Settings!$G$78,Settings!$G$80,Settings!$G$82,Settings!$G$84,Settings!$G$86))/6,2)*6,"")</f>
        <v/>
      </c>
      <c r="AA693" s="142">
        <f>IFERROR(CHOOSE(MATCH(IF($E693="","Основний",$E693),{"Трафіковий","Основний","Маржинальний","Сезонний","Стратегічний"},0),Settings!$G$78,Settings!$G$80,Settings!$G$82,Settings!$G$84,Settings!$G$86),"")</f>
        <v/>
      </c>
      <c r="AB693" s="148">
        <f>IFERROR((Z693*(1-Settings!$G$17)-C693)/(Z693*(1-Settings!$G$17)),"")</f>
        <v/>
      </c>
      <c r="AC693" s="149">
        <f>IFERROR(IF(Z693="","",IF(Z693&gt;=C693/(1-SKU_Base!AE693)/(1-Settings!$G$17),"OK",IF(Z693&gt;=C693/(1-SKU_Base!AL693)/(1-Settings!$G$17),"WARN","STOP"))),"")</f>
        <v/>
      </c>
      <c r="AD693" s="161">
        <f>IFERROR(ROUND(D693*(1-CHOOSE(MATCH(IF($E693="","Основний",$E693),{"Трафіковий","Основний","Маржинальний","Сезонний","Стратегічний"},0),Settings!$H$78,Settings!$H$80,Settings!$H$82,Settings!$H$84,Settings!$H$86))*(1-Settings!$H$68)/6,2)*6,"")</f>
        <v/>
      </c>
      <c r="AE693" s="142">
        <f>IFERROR(CHOOSE(MATCH(IF($E693="","Основний",$E693),{"Трафіковий","Основний","Маржинальний","Сезонний","Стратегічний"},0),Settings!$H$78,Settings!$H$80,Settings!$H$82,Settings!$H$84,Settings!$H$86)+(1-(CHOOSE(MATCH(IF($E693="","Основний",$E693),{"Трафіковий","Основний","Маржинальний","Сезонний","Стратегічний"},0),Settings!$H$78,Settings!$H$80,Settings!$H$82,Settings!$H$84,Settings!$H$86)))*Settings!$H$68,"")</f>
        <v/>
      </c>
      <c r="AF693" s="148">
        <f>IFERROR((AD693*(1-Settings!$H$17)-C693)/(AD693*(1-Settings!$H$17)),"")</f>
        <v/>
      </c>
      <c r="AG693" s="150">
        <f>IFERROR(IF(AD693="","",IF(AD693&gt;=C693/(1-SKU_Base!AF693)/(1-Settings!$H$17),"OK",IF(AD693&gt;=C693/(1-SKU_Base!AM693)/(1-Settings!$H$17),"WARN","STOP"))),"")</f>
        <v/>
      </c>
    </row>
    <row r="694" ht="17" customHeight="1" s="179">
      <c r="A694" s="139">
        <f>SKU_Base!B694</f>
        <v/>
      </c>
      <c r="B694" s="139">
        <f>SKU_Base!C694</f>
        <v/>
      </c>
      <c r="C694" s="140">
        <f>IFERROR(SKU_Base!I694,"")</f>
        <v/>
      </c>
      <c r="D694" s="163">
        <f>IFERROR(SKU_Base!T694,"")</f>
        <v/>
      </c>
      <c r="E694" s="141">
        <f>IFERROR(SKU_Base!$U694,"")</f>
        <v/>
      </c>
      <c r="F694" s="158">
        <f>IFERROR(ROUND(D694*(1-CHOOSE(MATCH(IF($E694="","Основний",$E694),{"Трафіковий","Основний","Маржинальний","Сезонний","Стратегічний"},0),Settings!$B$78,Settings!$B$80,Settings!$B$82,Settings!$B$84,Settings!$B$86))/6,2)*6,"")</f>
        <v/>
      </c>
      <c r="G694" s="142">
        <f>IFERROR(CHOOSE(MATCH(IF($E694="","Основний",$E694),{"Трафіковий","Основний","Маржинальний","Сезонний","Стратегічний"},0),Settings!$B$78,Settings!$B$80,Settings!$B$82,Settings!$B$84,Settings!$B$86),"")</f>
        <v/>
      </c>
      <c r="H694" s="143">
        <f>IFERROR((F694*(1-Settings!$B$17)-C694)/(F694*(1-Settings!$B$17)),"")</f>
        <v/>
      </c>
      <c r="I694" s="149">
        <f>IFERROR(IF(F694="","",IF(F694&gt;=C694/(1-SKU_Base!Z694)/(1-Settings!$B$17),"OK",IF(F694&gt;=C694/(1-SKU_Base!AG694)/(1-Settings!$B$17),"WARN","STOP"))),"")</f>
        <v/>
      </c>
      <c r="J694" s="158">
        <f>IFERROR(ROUND(D694*(1-CHOOSE(MATCH(IF($E694="","Основний",$E694),{"Трафіковий","Основний","Маржинальний","Сезонний","Стратегічний"},0),Settings!$C$78,Settings!$C$80,Settings!$C$82,Settings!$C$84,Settings!$C$86))/6,2)*6,"")</f>
        <v/>
      </c>
      <c r="K694" s="142">
        <f>IFERROR(CHOOSE(MATCH(IF($E694="","Основний",$E694),{"Трафіковий","Основний","Маржинальний","Сезонний","Стратегічний"},0),Settings!$C$78,Settings!$C$80,Settings!$C$82,Settings!$C$84,Settings!$C$86),"")</f>
        <v/>
      </c>
      <c r="L694" s="143">
        <f>IFERROR((J694*(1-Settings!$C$17)-C694)/(J694*(1-Settings!$C$17)),"")</f>
        <v/>
      </c>
      <c r="M694" s="149">
        <f>IFERROR(IF(J694="","",IF(J694&gt;=C694/(1-SKU_Base!AA694)/(1-Settings!$C$17),"OK",IF(J694&gt;=C694/(1-SKU_Base!AH694)/(1-Settings!$C$17),"WARN","STOP"))),"")</f>
        <v/>
      </c>
      <c r="N694" s="159">
        <f>IFERROR(ROUND(D694*(1-CHOOSE(MATCH(IF($E694="","Основний",$E694),{"Трафіковий","Основний","Маржинальний","Сезонний","Стратегічний"},0),Settings!$D$78,Settings!$D$80,Settings!$D$82,Settings!$D$84,Settings!$D$86))/6,2)*6,"")</f>
        <v/>
      </c>
      <c r="O694" s="142">
        <f>IFERROR(CHOOSE(MATCH(IF($E694="","Основний",$E694),{"Трафіковий","Основний","Маржинальний","Сезонний","Стратегічний"},0),Settings!$D$78,Settings!$D$80,Settings!$D$82,Settings!$D$84,Settings!$D$86),"")</f>
        <v/>
      </c>
      <c r="P694" s="143">
        <f>IFERROR((N694*(1-Settings!$D$17)-C694)/(N694*(1-Settings!$D$17)),"")</f>
        <v/>
      </c>
      <c r="Q694" s="149">
        <f>IFERROR(IF(N694="","",IF(N694&gt;=C694/(1-SKU_Base!AB694)/(1-Settings!$D$17),"OK",IF(N694&gt;=C694/(1-SKU_Base!AI694)/(1-Settings!$D$17),"WARN","STOP"))),"")</f>
        <v/>
      </c>
      <c r="R694" s="159">
        <f>IFERROR(ROUND(D694*(1-CHOOSE(MATCH(IF($E694="","Основний",$E694),{"Трафіковий","Основний","Маржинальний","Сезонний","Стратегічний"},0),Settings!$E$78,Settings!$E$80,Settings!$E$82,Settings!$E$84,Settings!$E$86))/6,2)*6,"")</f>
        <v/>
      </c>
      <c r="S694" s="142">
        <f>IFERROR(CHOOSE(MATCH(IF($E694="","Основний",$E694),{"Трафіковий","Основний","Маржинальний","Сезонний","Стратегічний"},0),Settings!$E$78,Settings!$E$80,Settings!$E$82,Settings!$E$84,Settings!$E$86),"")</f>
        <v/>
      </c>
      <c r="T694" s="143">
        <f>IFERROR((R694*(1-Settings!$E$17)-C694)/(R694*(1-Settings!$E$17)),"")</f>
        <v/>
      </c>
      <c r="U694" s="149">
        <f>IFERROR(IF(R694="","",IF(R694&gt;=C694/(1-SKU_Base!AC694)/(1-Settings!$E$17),"OK",IF(R694&gt;=C694/(1-SKU_Base!AJ694)/(1-Settings!$E$17),"WARN","STOP"))),"")</f>
        <v/>
      </c>
      <c r="V694" s="159">
        <f>IFERROR(ROUND(D694*(1-CHOOSE(MATCH(IF($E694="","Основний",$E694),{"Трафіковий","Основний","Маржинальний","Сезонний","Стратегічний"},0),Settings!$F$78,Settings!$F$80,Settings!$F$82,Settings!$F$84,Settings!$F$86))/6,2)*6,"")</f>
        <v/>
      </c>
      <c r="W694" s="142">
        <f>IFERROR(CHOOSE(MATCH(IF($E694="","Основний",$E694),{"Трафіковий","Основний","Маржинальний","Сезонний","Стратегічний"},0),Settings!$F$78,Settings!$F$80,Settings!$F$82,Settings!$F$84,Settings!$F$86),"")</f>
        <v/>
      </c>
      <c r="X694" s="143">
        <f>IFERROR((V694*(1-Settings!$F$17)-C694)/(V694*(1-Settings!$F$17)),"")</f>
        <v/>
      </c>
      <c r="Y694" s="149">
        <f>IFERROR(IF(V694="","",IF(V694&gt;=C694/(1-SKU_Base!AD694)/(1-Settings!$F$17),"OK",IF(V694&gt;=C694/(1-SKU_Base!AK694)/(1-Settings!$F$17),"WARN","STOP"))),"")</f>
        <v/>
      </c>
      <c r="Z694" s="159">
        <f>IFERROR(ROUND(D694*(1-CHOOSE(MATCH(IF($E694="","Основний",$E694),{"Трафіковий","Основний","Маржинальний","Сезонний","Стратегічний"},0),Settings!$G$78,Settings!$G$80,Settings!$G$82,Settings!$G$84,Settings!$G$86))/6,2)*6,"")</f>
        <v/>
      </c>
      <c r="AA694" s="142">
        <f>IFERROR(CHOOSE(MATCH(IF($E694="","Основний",$E694),{"Трафіковий","Основний","Маржинальний","Сезонний","Стратегічний"},0),Settings!$G$78,Settings!$G$80,Settings!$G$82,Settings!$G$84,Settings!$G$86),"")</f>
        <v/>
      </c>
      <c r="AB694" s="143">
        <f>IFERROR((Z694*(1-Settings!$G$17)-C694)/(Z694*(1-Settings!$G$17)),"")</f>
        <v/>
      </c>
      <c r="AC694" s="149">
        <f>IFERROR(IF(Z694="","",IF(Z694&gt;=C694/(1-SKU_Base!AE694)/(1-Settings!$G$17),"OK",IF(Z694&gt;=C694/(1-SKU_Base!AL694)/(1-Settings!$G$17),"WARN","STOP"))),"")</f>
        <v/>
      </c>
      <c r="AD694" s="159">
        <f>IFERROR(ROUND(D694*(1-CHOOSE(MATCH(IF($E694="","Основний",$E694),{"Трафіковий","Основний","Маржинальний","Сезонний","Стратегічний"},0),Settings!$H$78,Settings!$H$80,Settings!$H$82,Settings!$H$84,Settings!$H$86))*(1-Settings!$H$68)/6,2)*6,"")</f>
        <v/>
      </c>
      <c r="AE694" s="142">
        <f>IFERROR(CHOOSE(MATCH(IF($E694="","Основний",$E694),{"Трафіковий","Основний","Маржинальний","Сезонний","Стратегічний"},0),Settings!$H$78,Settings!$H$80,Settings!$H$82,Settings!$H$84,Settings!$H$86)+(1-(CHOOSE(MATCH(IF($E694="","Основний",$E694),{"Трафіковий","Основний","Маржинальний","Сезонний","Стратегічний"},0),Settings!$H$78,Settings!$H$80,Settings!$H$82,Settings!$H$84,Settings!$H$86)))*Settings!$H$68,"")</f>
        <v/>
      </c>
      <c r="AF694" s="143">
        <f>IFERROR((AD694*(1-Settings!$H$17)-C694)/(AD694*(1-Settings!$H$17)),"")</f>
        <v/>
      </c>
      <c r="AG694" s="150">
        <f>IFERROR(IF(AD694="","",IF(AD694&gt;=C694/(1-SKU_Base!AF694)/(1-Settings!$H$17),"OK",IF(AD694&gt;=C694/(1-SKU_Base!AM694)/(1-Settings!$H$17),"WARN","STOP"))),"")</f>
        <v/>
      </c>
    </row>
    <row r="695" ht="17" customHeight="1" s="179">
      <c r="A695" s="146">
        <f>SKU_Base!B695</f>
        <v/>
      </c>
      <c r="B695" s="146">
        <f>SKU_Base!C695</f>
        <v/>
      </c>
      <c r="C695" s="147">
        <f>IFERROR(SKU_Base!I695,"")</f>
        <v/>
      </c>
      <c r="D695" s="164">
        <f>IFERROR(SKU_Base!T695,"")</f>
        <v/>
      </c>
      <c r="E695" s="141">
        <f>IFERROR(SKU_Base!$U695,"")</f>
        <v/>
      </c>
      <c r="F695" s="160">
        <f>IFERROR(ROUND(D695*(1-CHOOSE(MATCH(IF($E695="","Основний",$E695),{"Трафіковий","Основний","Маржинальний","Сезонний","Стратегічний"},0),Settings!$B$78,Settings!$B$80,Settings!$B$82,Settings!$B$84,Settings!$B$86))/6,2)*6,"")</f>
        <v/>
      </c>
      <c r="G695" s="142">
        <f>IFERROR(CHOOSE(MATCH(IF($E695="","Основний",$E695),{"Трафіковий","Основний","Маржинальний","Сезонний","Стратегічний"},0),Settings!$B$78,Settings!$B$80,Settings!$B$82,Settings!$B$84,Settings!$B$86),"")</f>
        <v/>
      </c>
      <c r="H695" s="148">
        <f>IFERROR((F695*(1-Settings!$B$17)-C695)/(F695*(1-Settings!$B$17)),"")</f>
        <v/>
      </c>
      <c r="I695" s="149">
        <f>IFERROR(IF(F695="","",IF(F695&gt;=C695/(1-SKU_Base!Z695)/(1-Settings!$B$17),"OK",IF(F695&gt;=C695/(1-SKU_Base!AG695)/(1-Settings!$B$17),"WARN","STOP"))),"")</f>
        <v/>
      </c>
      <c r="J695" s="160">
        <f>IFERROR(ROUND(D695*(1-CHOOSE(MATCH(IF($E695="","Основний",$E695),{"Трафіковий","Основний","Маржинальний","Сезонний","Стратегічний"},0),Settings!$C$78,Settings!$C$80,Settings!$C$82,Settings!$C$84,Settings!$C$86))/6,2)*6,"")</f>
        <v/>
      </c>
      <c r="K695" s="142">
        <f>IFERROR(CHOOSE(MATCH(IF($E695="","Основний",$E695),{"Трафіковий","Основний","Маржинальний","Сезонний","Стратегічний"},0),Settings!$C$78,Settings!$C$80,Settings!$C$82,Settings!$C$84,Settings!$C$86),"")</f>
        <v/>
      </c>
      <c r="L695" s="148">
        <f>IFERROR((J695*(1-Settings!$C$17)-C695)/(J695*(1-Settings!$C$17)),"")</f>
        <v/>
      </c>
      <c r="M695" s="149">
        <f>IFERROR(IF(J695="","",IF(J695&gt;=C695/(1-SKU_Base!AA695)/(1-Settings!$C$17),"OK",IF(J695&gt;=C695/(1-SKU_Base!AH695)/(1-Settings!$C$17),"WARN","STOP"))),"")</f>
        <v/>
      </c>
      <c r="N695" s="161">
        <f>IFERROR(ROUND(D695*(1-CHOOSE(MATCH(IF($E695="","Основний",$E695),{"Трафіковий","Основний","Маржинальний","Сезонний","Стратегічний"},0),Settings!$D$78,Settings!$D$80,Settings!$D$82,Settings!$D$84,Settings!$D$86))/6,2)*6,"")</f>
        <v/>
      </c>
      <c r="O695" s="142">
        <f>IFERROR(CHOOSE(MATCH(IF($E695="","Основний",$E695),{"Трафіковий","Основний","Маржинальний","Сезонний","Стратегічний"},0),Settings!$D$78,Settings!$D$80,Settings!$D$82,Settings!$D$84,Settings!$D$86),"")</f>
        <v/>
      </c>
      <c r="P695" s="148">
        <f>IFERROR((N695*(1-Settings!$D$17)-C695)/(N695*(1-Settings!$D$17)),"")</f>
        <v/>
      </c>
      <c r="Q695" s="149">
        <f>IFERROR(IF(N695="","",IF(N695&gt;=C695/(1-SKU_Base!AB695)/(1-Settings!$D$17),"OK",IF(N695&gt;=C695/(1-SKU_Base!AI695)/(1-Settings!$D$17),"WARN","STOP"))),"")</f>
        <v/>
      </c>
      <c r="R695" s="161">
        <f>IFERROR(ROUND(D695*(1-CHOOSE(MATCH(IF($E695="","Основний",$E695),{"Трафіковий","Основний","Маржинальний","Сезонний","Стратегічний"},0),Settings!$E$78,Settings!$E$80,Settings!$E$82,Settings!$E$84,Settings!$E$86))/6,2)*6,"")</f>
        <v/>
      </c>
      <c r="S695" s="142">
        <f>IFERROR(CHOOSE(MATCH(IF($E695="","Основний",$E695),{"Трафіковий","Основний","Маржинальний","Сезонний","Стратегічний"},0),Settings!$E$78,Settings!$E$80,Settings!$E$82,Settings!$E$84,Settings!$E$86),"")</f>
        <v/>
      </c>
      <c r="T695" s="148">
        <f>IFERROR((R695*(1-Settings!$E$17)-C695)/(R695*(1-Settings!$E$17)),"")</f>
        <v/>
      </c>
      <c r="U695" s="149">
        <f>IFERROR(IF(R695="","",IF(R695&gt;=C695/(1-SKU_Base!AC695)/(1-Settings!$E$17),"OK",IF(R695&gt;=C695/(1-SKU_Base!AJ695)/(1-Settings!$E$17),"WARN","STOP"))),"")</f>
        <v/>
      </c>
      <c r="V695" s="161">
        <f>IFERROR(ROUND(D695*(1-CHOOSE(MATCH(IF($E695="","Основний",$E695),{"Трафіковий","Основний","Маржинальний","Сезонний","Стратегічний"},0),Settings!$F$78,Settings!$F$80,Settings!$F$82,Settings!$F$84,Settings!$F$86))/6,2)*6,"")</f>
        <v/>
      </c>
      <c r="W695" s="142">
        <f>IFERROR(CHOOSE(MATCH(IF($E695="","Основний",$E695),{"Трафіковий","Основний","Маржинальний","Сезонний","Стратегічний"},0),Settings!$F$78,Settings!$F$80,Settings!$F$82,Settings!$F$84,Settings!$F$86),"")</f>
        <v/>
      </c>
      <c r="X695" s="148">
        <f>IFERROR((V695*(1-Settings!$F$17)-C695)/(V695*(1-Settings!$F$17)),"")</f>
        <v/>
      </c>
      <c r="Y695" s="149">
        <f>IFERROR(IF(V695="","",IF(V695&gt;=C695/(1-SKU_Base!AD695)/(1-Settings!$F$17),"OK",IF(V695&gt;=C695/(1-SKU_Base!AK695)/(1-Settings!$F$17),"WARN","STOP"))),"")</f>
        <v/>
      </c>
      <c r="Z695" s="161">
        <f>IFERROR(ROUND(D695*(1-CHOOSE(MATCH(IF($E695="","Основний",$E695),{"Трафіковий","Основний","Маржинальний","Сезонний","Стратегічний"},0),Settings!$G$78,Settings!$G$80,Settings!$G$82,Settings!$G$84,Settings!$G$86))/6,2)*6,"")</f>
        <v/>
      </c>
      <c r="AA695" s="142">
        <f>IFERROR(CHOOSE(MATCH(IF($E695="","Основний",$E695),{"Трафіковий","Основний","Маржинальний","Сезонний","Стратегічний"},0),Settings!$G$78,Settings!$G$80,Settings!$G$82,Settings!$G$84,Settings!$G$86),"")</f>
        <v/>
      </c>
      <c r="AB695" s="148">
        <f>IFERROR((Z695*(1-Settings!$G$17)-C695)/(Z695*(1-Settings!$G$17)),"")</f>
        <v/>
      </c>
      <c r="AC695" s="149">
        <f>IFERROR(IF(Z695="","",IF(Z695&gt;=C695/(1-SKU_Base!AE695)/(1-Settings!$G$17),"OK",IF(Z695&gt;=C695/(1-SKU_Base!AL695)/(1-Settings!$G$17),"WARN","STOP"))),"")</f>
        <v/>
      </c>
      <c r="AD695" s="161">
        <f>IFERROR(ROUND(D695*(1-CHOOSE(MATCH(IF($E695="","Основний",$E695),{"Трафіковий","Основний","Маржинальний","Сезонний","Стратегічний"},0),Settings!$H$78,Settings!$H$80,Settings!$H$82,Settings!$H$84,Settings!$H$86))*(1-Settings!$H$68)/6,2)*6,"")</f>
        <v/>
      </c>
      <c r="AE695" s="142">
        <f>IFERROR(CHOOSE(MATCH(IF($E695="","Основний",$E695),{"Трафіковий","Основний","Маржинальний","Сезонний","Стратегічний"},0),Settings!$H$78,Settings!$H$80,Settings!$H$82,Settings!$H$84,Settings!$H$86)+(1-(CHOOSE(MATCH(IF($E695="","Основний",$E695),{"Трафіковий","Основний","Маржинальний","Сезонний","Стратегічний"},0),Settings!$H$78,Settings!$H$80,Settings!$H$82,Settings!$H$84,Settings!$H$86)))*Settings!$H$68,"")</f>
        <v/>
      </c>
      <c r="AF695" s="148">
        <f>IFERROR((AD695*(1-Settings!$H$17)-C695)/(AD695*(1-Settings!$H$17)),"")</f>
        <v/>
      </c>
      <c r="AG695" s="150">
        <f>IFERROR(IF(AD695="","",IF(AD695&gt;=C695/(1-SKU_Base!AF695)/(1-Settings!$H$17),"OK",IF(AD695&gt;=C695/(1-SKU_Base!AM695)/(1-Settings!$H$17),"WARN","STOP"))),"")</f>
        <v/>
      </c>
    </row>
    <row r="696" ht="17" customHeight="1" s="179">
      <c r="A696" s="139">
        <f>SKU_Base!B696</f>
        <v/>
      </c>
      <c r="B696" s="139">
        <f>SKU_Base!C696</f>
        <v/>
      </c>
      <c r="C696" s="140">
        <f>IFERROR(SKU_Base!I696,"")</f>
        <v/>
      </c>
      <c r="D696" s="163">
        <f>IFERROR(SKU_Base!T696,"")</f>
        <v/>
      </c>
      <c r="E696" s="141">
        <f>IFERROR(SKU_Base!$U696,"")</f>
        <v/>
      </c>
      <c r="F696" s="158">
        <f>IFERROR(ROUND(D696*(1-CHOOSE(MATCH(IF($E696="","Основний",$E696),{"Трафіковий","Основний","Маржинальний","Сезонний","Стратегічний"},0),Settings!$B$78,Settings!$B$80,Settings!$B$82,Settings!$B$84,Settings!$B$86))/6,2)*6,"")</f>
        <v/>
      </c>
      <c r="G696" s="142">
        <f>IFERROR(CHOOSE(MATCH(IF($E696="","Основний",$E696),{"Трафіковий","Основний","Маржинальний","Сезонний","Стратегічний"},0),Settings!$B$78,Settings!$B$80,Settings!$B$82,Settings!$B$84,Settings!$B$86),"")</f>
        <v/>
      </c>
      <c r="H696" s="143">
        <f>IFERROR((F696*(1-Settings!$B$17)-C696)/(F696*(1-Settings!$B$17)),"")</f>
        <v/>
      </c>
      <c r="I696" s="150">
        <f>IFERROR(IF(F696="","",IF(F696&gt;=C696/(1-SKU_Base!Z696)/(1-Settings!$B$17),"OK",IF(F696&gt;=C696/(1-SKU_Base!AG696)/(1-Settings!$B$17),"WARN","STOP"))),"")</f>
        <v/>
      </c>
      <c r="J696" s="158">
        <f>IFERROR(ROUND(D696*(1-CHOOSE(MATCH(IF($E696="","Основний",$E696),{"Трафіковий","Основний","Маржинальний","Сезонний","Стратегічний"},0),Settings!$C$78,Settings!$C$80,Settings!$C$82,Settings!$C$84,Settings!$C$86))/6,2)*6,"")</f>
        <v/>
      </c>
      <c r="K696" s="142">
        <f>IFERROR(CHOOSE(MATCH(IF($E696="","Основний",$E696),{"Трафіковий","Основний","Маржинальний","Сезонний","Стратегічний"},0),Settings!$C$78,Settings!$C$80,Settings!$C$82,Settings!$C$84,Settings!$C$86),"")</f>
        <v/>
      </c>
      <c r="L696" s="143">
        <f>IFERROR((J696*(1-Settings!$C$17)-C696)/(J696*(1-Settings!$C$17)),"")</f>
        <v/>
      </c>
      <c r="M696" s="149">
        <f>IFERROR(IF(J696="","",IF(J696&gt;=C696/(1-SKU_Base!AA696)/(1-Settings!$C$17),"OK",IF(J696&gt;=C696/(1-SKU_Base!AH696)/(1-Settings!$C$17),"WARN","STOP"))),"")</f>
        <v/>
      </c>
      <c r="N696" s="159">
        <f>IFERROR(ROUND(D696*(1-CHOOSE(MATCH(IF($E696="","Основний",$E696),{"Трафіковий","Основний","Маржинальний","Сезонний","Стратегічний"},0),Settings!$D$78,Settings!$D$80,Settings!$D$82,Settings!$D$84,Settings!$D$86))/6,2)*6,"")</f>
        <v/>
      </c>
      <c r="O696" s="142">
        <f>IFERROR(CHOOSE(MATCH(IF($E696="","Основний",$E696),{"Трафіковий","Основний","Маржинальний","Сезонний","Стратегічний"},0),Settings!$D$78,Settings!$D$80,Settings!$D$82,Settings!$D$84,Settings!$D$86),"")</f>
        <v/>
      </c>
      <c r="P696" s="143">
        <f>IFERROR((N696*(1-Settings!$D$17)-C696)/(N696*(1-Settings!$D$17)),"")</f>
        <v/>
      </c>
      <c r="Q696" s="149">
        <f>IFERROR(IF(N696="","",IF(N696&gt;=C696/(1-SKU_Base!AB696)/(1-Settings!$D$17),"OK",IF(N696&gt;=C696/(1-SKU_Base!AI696)/(1-Settings!$D$17),"WARN","STOP"))),"")</f>
        <v/>
      </c>
      <c r="R696" s="159">
        <f>IFERROR(ROUND(D696*(1-CHOOSE(MATCH(IF($E696="","Основний",$E696),{"Трафіковий","Основний","Маржинальний","Сезонний","Стратегічний"},0),Settings!$E$78,Settings!$E$80,Settings!$E$82,Settings!$E$84,Settings!$E$86))/6,2)*6,"")</f>
        <v/>
      </c>
      <c r="S696" s="142">
        <f>IFERROR(CHOOSE(MATCH(IF($E696="","Основний",$E696),{"Трафіковий","Основний","Маржинальний","Сезонний","Стратегічний"},0),Settings!$E$78,Settings!$E$80,Settings!$E$82,Settings!$E$84,Settings!$E$86),"")</f>
        <v/>
      </c>
      <c r="T696" s="143">
        <f>IFERROR((R696*(1-Settings!$E$17)-C696)/(R696*(1-Settings!$E$17)),"")</f>
        <v/>
      </c>
      <c r="U696" s="149">
        <f>IFERROR(IF(R696="","",IF(R696&gt;=C696/(1-SKU_Base!AC696)/(1-Settings!$E$17),"OK",IF(R696&gt;=C696/(1-SKU_Base!AJ696)/(1-Settings!$E$17),"WARN","STOP"))),"")</f>
        <v/>
      </c>
      <c r="V696" s="159">
        <f>IFERROR(ROUND(D696*(1-CHOOSE(MATCH(IF($E696="","Основний",$E696),{"Трафіковий","Основний","Маржинальний","Сезонний","Стратегічний"},0),Settings!$F$78,Settings!$F$80,Settings!$F$82,Settings!$F$84,Settings!$F$86))/6,2)*6,"")</f>
        <v/>
      </c>
      <c r="W696" s="142">
        <f>IFERROR(CHOOSE(MATCH(IF($E696="","Основний",$E696),{"Трафіковий","Основний","Маржинальний","Сезонний","Стратегічний"},0),Settings!$F$78,Settings!$F$80,Settings!$F$82,Settings!$F$84,Settings!$F$86),"")</f>
        <v/>
      </c>
      <c r="X696" s="143">
        <f>IFERROR((V696*(1-Settings!$F$17)-C696)/(V696*(1-Settings!$F$17)),"")</f>
        <v/>
      </c>
      <c r="Y696" s="149">
        <f>IFERROR(IF(V696="","",IF(V696&gt;=C696/(1-SKU_Base!AD696)/(1-Settings!$F$17),"OK",IF(V696&gt;=C696/(1-SKU_Base!AK696)/(1-Settings!$F$17),"WARN","STOP"))),"")</f>
        <v/>
      </c>
      <c r="Z696" s="159">
        <f>IFERROR(ROUND(D696*(1-CHOOSE(MATCH(IF($E696="","Основний",$E696),{"Трафіковий","Основний","Маржинальний","Сезонний","Стратегічний"},0),Settings!$G$78,Settings!$G$80,Settings!$G$82,Settings!$G$84,Settings!$G$86))/6,2)*6,"")</f>
        <v/>
      </c>
      <c r="AA696" s="142">
        <f>IFERROR(CHOOSE(MATCH(IF($E696="","Основний",$E696),{"Трафіковий","Основний","Маржинальний","Сезонний","Стратегічний"},0),Settings!$G$78,Settings!$G$80,Settings!$G$82,Settings!$G$84,Settings!$G$86),"")</f>
        <v/>
      </c>
      <c r="AB696" s="143">
        <f>IFERROR((Z696*(1-Settings!$G$17)-C696)/(Z696*(1-Settings!$G$17)),"")</f>
        <v/>
      </c>
      <c r="AC696" s="149">
        <f>IFERROR(IF(Z696="","",IF(Z696&gt;=C696/(1-SKU_Base!AE696)/(1-Settings!$G$17),"OK",IF(Z696&gt;=C696/(1-SKU_Base!AL696)/(1-Settings!$G$17),"WARN","STOP"))),"")</f>
        <v/>
      </c>
      <c r="AD696" s="159">
        <f>IFERROR(ROUND(D696*(1-CHOOSE(MATCH(IF($E696="","Основний",$E696),{"Трафіковий","Основний","Маржинальний","Сезонний","Стратегічний"},0),Settings!$H$78,Settings!$H$80,Settings!$H$82,Settings!$H$84,Settings!$H$86))*(1-Settings!$H$68)/6,2)*6,"")</f>
        <v/>
      </c>
      <c r="AE696" s="142">
        <f>IFERROR(CHOOSE(MATCH(IF($E696="","Основний",$E696),{"Трафіковий","Основний","Маржинальний","Сезонний","Стратегічний"},0),Settings!$H$78,Settings!$H$80,Settings!$H$82,Settings!$H$84,Settings!$H$86)+(1-(CHOOSE(MATCH(IF($E696="","Основний",$E696),{"Трафіковий","Основний","Маржинальний","Сезонний","Стратегічний"},0),Settings!$H$78,Settings!$H$80,Settings!$H$82,Settings!$H$84,Settings!$H$86)))*Settings!$H$68,"")</f>
        <v/>
      </c>
      <c r="AF696" s="143">
        <f>IFERROR((AD696*(1-Settings!$H$17)-C696)/(AD696*(1-Settings!$H$17)),"")</f>
        <v/>
      </c>
      <c r="AG696" s="150">
        <f>IFERROR(IF(AD696="","",IF(AD696&gt;=C696/(1-SKU_Base!AF696)/(1-Settings!$H$17),"OK",IF(AD696&gt;=C696/(1-SKU_Base!AM696)/(1-Settings!$H$17),"WARN","STOP"))),"")</f>
        <v/>
      </c>
    </row>
    <row r="697" ht="17" customHeight="1" s="179">
      <c r="A697" s="146">
        <f>SKU_Base!B697</f>
        <v/>
      </c>
      <c r="B697" s="146">
        <f>SKU_Base!C697</f>
        <v/>
      </c>
      <c r="C697" s="147">
        <f>IFERROR(SKU_Base!I697,"")</f>
        <v/>
      </c>
      <c r="D697" s="164">
        <f>IFERROR(SKU_Base!T697,"")</f>
        <v/>
      </c>
      <c r="E697" s="141">
        <f>IFERROR(SKU_Base!$U697,"")</f>
        <v/>
      </c>
      <c r="F697" s="160">
        <f>IFERROR(ROUND(D697*(1-CHOOSE(MATCH(IF($E697="","Основний",$E697),{"Трафіковий","Основний","Маржинальний","Сезонний","Стратегічний"},0),Settings!$B$78,Settings!$B$80,Settings!$B$82,Settings!$B$84,Settings!$B$86))/6,2)*6,"")</f>
        <v/>
      </c>
      <c r="G697" s="142">
        <f>IFERROR(CHOOSE(MATCH(IF($E697="","Основний",$E697),{"Трафіковий","Основний","Маржинальний","Сезонний","Стратегічний"},0),Settings!$B$78,Settings!$B$80,Settings!$B$82,Settings!$B$84,Settings!$B$86),"")</f>
        <v/>
      </c>
      <c r="H697" s="148">
        <f>IFERROR((F697*(1-Settings!$B$17)-C697)/(F697*(1-Settings!$B$17)),"")</f>
        <v/>
      </c>
      <c r="I697" s="149">
        <f>IFERROR(IF(F697="","",IF(F697&gt;=C697/(1-SKU_Base!Z697)/(1-Settings!$B$17),"OK",IF(F697&gt;=C697/(1-SKU_Base!AG697)/(1-Settings!$B$17),"WARN","STOP"))),"")</f>
        <v/>
      </c>
      <c r="J697" s="160">
        <f>IFERROR(ROUND(D697*(1-CHOOSE(MATCH(IF($E697="","Основний",$E697),{"Трафіковий","Основний","Маржинальний","Сезонний","Стратегічний"},0),Settings!$C$78,Settings!$C$80,Settings!$C$82,Settings!$C$84,Settings!$C$86))/6,2)*6,"")</f>
        <v/>
      </c>
      <c r="K697" s="142">
        <f>IFERROR(CHOOSE(MATCH(IF($E697="","Основний",$E697),{"Трафіковий","Основний","Маржинальний","Сезонний","Стратегічний"},0),Settings!$C$78,Settings!$C$80,Settings!$C$82,Settings!$C$84,Settings!$C$86),"")</f>
        <v/>
      </c>
      <c r="L697" s="148">
        <f>IFERROR((J697*(1-Settings!$C$17)-C697)/(J697*(1-Settings!$C$17)),"")</f>
        <v/>
      </c>
      <c r="M697" s="149">
        <f>IFERROR(IF(J697="","",IF(J697&gt;=C697/(1-SKU_Base!AA697)/(1-Settings!$C$17),"OK",IF(J697&gt;=C697/(1-SKU_Base!AH697)/(1-Settings!$C$17),"WARN","STOP"))),"")</f>
        <v/>
      </c>
      <c r="N697" s="161">
        <f>IFERROR(ROUND(D697*(1-CHOOSE(MATCH(IF($E697="","Основний",$E697),{"Трафіковий","Основний","Маржинальний","Сезонний","Стратегічний"},0),Settings!$D$78,Settings!$D$80,Settings!$D$82,Settings!$D$84,Settings!$D$86))/6,2)*6,"")</f>
        <v/>
      </c>
      <c r="O697" s="142">
        <f>IFERROR(CHOOSE(MATCH(IF($E697="","Основний",$E697),{"Трафіковий","Основний","Маржинальний","Сезонний","Стратегічний"},0),Settings!$D$78,Settings!$D$80,Settings!$D$82,Settings!$D$84,Settings!$D$86),"")</f>
        <v/>
      </c>
      <c r="P697" s="148">
        <f>IFERROR((N697*(1-Settings!$D$17)-C697)/(N697*(1-Settings!$D$17)),"")</f>
        <v/>
      </c>
      <c r="Q697" s="149">
        <f>IFERROR(IF(N697="","",IF(N697&gt;=C697/(1-SKU_Base!AB697)/(1-Settings!$D$17),"OK",IF(N697&gt;=C697/(1-SKU_Base!AI697)/(1-Settings!$D$17),"WARN","STOP"))),"")</f>
        <v/>
      </c>
      <c r="R697" s="161">
        <f>IFERROR(ROUND(D697*(1-CHOOSE(MATCH(IF($E697="","Основний",$E697),{"Трафіковий","Основний","Маржинальний","Сезонний","Стратегічний"},0),Settings!$E$78,Settings!$E$80,Settings!$E$82,Settings!$E$84,Settings!$E$86))/6,2)*6,"")</f>
        <v/>
      </c>
      <c r="S697" s="142">
        <f>IFERROR(CHOOSE(MATCH(IF($E697="","Основний",$E697),{"Трафіковий","Основний","Маржинальний","Сезонний","Стратегічний"},0),Settings!$E$78,Settings!$E$80,Settings!$E$82,Settings!$E$84,Settings!$E$86),"")</f>
        <v/>
      </c>
      <c r="T697" s="148">
        <f>IFERROR((R697*(1-Settings!$E$17)-C697)/(R697*(1-Settings!$E$17)),"")</f>
        <v/>
      </c>
      <c r="U697" s="149">
        <f>IFERROR(IF(R697="","",IF(R697&gt;=C697/(1-SKU_Base!AC697)/(1-Settings!$E$17),"OK",IF(R697&gt;=C697/(1-SKU_Base!AJ697)/(1-Settings!$E$17),"WARN","STOP"))),"")</f>
        <v/>
      </c>
      <c r="V697" s="161">
        <f>IFERROR(ROUND(D697*(1-CHOOSE(MATCH(IF($E697="","Основний",$E697),{"Трафіковий","Основний","Маржинальний","Сезонний","Стратегічний"},0),Settings!$F$78,Settings!$F$80,Settings!$F$82,Settings!$F$84,Settings!$F$86))/6,2)*6,"")</f>
        <v/>
      </c>
      <c r="W697" s="142">
        <f>IFERROR(CHOOSE(MATCH(IF($E697="","Основний",$E697),{"Трафіковий","Основний","Маржинальний","Сезонний","Стратегічний"},0),Settings!$F$78,Settings!$F$80,Settings!$F$82,Settings!$F$84,Settings!$F$86),"")</f>
        <v/>
      </c>
      <c r="X697" s="148">
        <f>IFERROR((V697*(1-Settings!$F$17)-C697)/(V697*(1-Settings!$F$17)),"")</f>
        <v/>
      </c>
      <c r="Y697" s="149">
        <f>IFERROR(IF(V697="","",IF(V697&gt;=C697/(1-SKU_Base!AD697)/(1-Settings!$F$17),"OK",IF(V697&gt;=C697/(1-SKU_Base!AK697)/(1-Settings!$F$17),"WARN","STOP"))),"")</f>
        <v/>
      </c>
      <c r="Z697" s="161">
        <f>IFERROR(ROUND(D697*(1-CHOOSE(MATCH(IF($E697="","Основний",$E697),{"Трафіковий","Основний","Маржинальний","Сезонний","Стратегічний"},0),Settings!$G$78,Settings!$G$80,Settings!$G$82,Settings!$G$84,Settings!$G$86))/6,2)*6,"")</f>
        <v/>
      </c>
      <c r="AA697" s="142">
        <f>IFERROR(CHOOSE(MATCH(IF($E697="","Основний",$E697),{"Трафіковий","Основний","Маржинальний","Сезонний","Стратегічний"},0),Settings!$G$78,Settings!$G$80,Settings!$G$82,Settings!$G$84,Settings!$G$86),"")</f>
        <v/>
      </c>
      <c r="AB697" s="148">
        <f>IFERROR((Z697*(1-Settings!$G$17)-C697)/(Z697*(1-Settings!$G$17)),"")</f>
        <v/>
      </c>
      <c r="AC697" s="149">
        <f>IFERROR(IF(Z697="","",IF(Z697&gt;=C697/(1-SKU_Base!AE697)/(1-Settings!$G$17),"OK",IF(Z697&gt;=C697/(1-SKU_Base!AL697)/(1-Settings!$G$17),"WARN","STOP"))),"")</f>
        <v/>
      </c>
      <c r="AD697" s="161">
        <f>IFERROR(ROUND(D697*(1-CHOOSE(MATCH(IF($E697="","Основний",$E697),{"Трафіковий","Основний","Маржинальний","Сезонний","Стратегічний"},0),Settings!$H$78,Settings!$H$80,Settings!$H$82,Settings!$H$84,Settings!$H$86))*(1-Settings!$H$68)/6,2)*6,"")</f>
        <v/>
      </c>
      <c r="AE697" s="142">
        <f>IFERROR(CHOOSE(MATCH(IF($E697="","Основний",$E697),{"Трафіковий","Основний","Маржинальний","Сезонний","Стратегічний"},0),Settings!$H$78,Settings!$H$80,Settings!$H$82,Settings!$H$84,Settings!$H$86)+(1-(CHOOSE(MATCH(IF($E697="","Основний",$E697),{"Трафіковий","Основний","Маржинальний","Сезонний","Стратегічний"},0),Settings!$H$78,Settings!$H$80,Settings!$H$82,Settings!$H$84,Settings!$H$86)))*Settings!$H$68,"")</f>
        <v/>
      </c>
      <c r="AF697" s="148">
        <f>IFERROR((AD697*(1-Settings!$H$17)-C697)/(AD697*(1-Settings!$H$17)),"")</f>
        <v/>
      </c>
      <c r="AG697" s="150">
        <f>IFERROR(IF(AD697="","",IF(AD697&gt;=C697/(1-SKU_Base!AF697)/(1-Settings!$H$17),"OK",IF(AD697&gt;=C697/(1-SKU_Base!AM697)/(1-Settings!$H$17),"WARN","STOP"))),"")</f>
        <v/>
      </c>
    </row>
    <row r="698" ht="17" customHeight="1" s="179">
      <c r="A698" s="139">
        <f>SKU_Base!B698</f>
        <v/>
      </c>
      <c r="B698" s="139">
        <f>SKU_Base!C698</f>
        <v/>
      </c>
      <c r="C698" s="140">
        <f>IFERROR(SKU_Base!I698,"")</f>
        <v/>
      </c>
      <c r="D698" s="163">
        <f>IFERROR(SKU_Base!T698,"")</f>
        <v/>
      </c>
      <c r="E698" s="141">
        <f>IFERROR(SKU_Base!$U698,"")</f>
        <v/>
      </c>
      <c r="F698" s="158">
        <f>IFERROR(ROUND(D698*(1-CHOOSE(MATCH(IF($E698="","Основний",$E698),{"Трафіковий","Основний","Маржинальний","Сезонний","Стратегічний"},0),Settings!$B$78,Settings!$B$80,Settings!$B$82,Settings!$B$84,Settings!$B$86))/6,2)*6,"")</f>
        <v/>
      </c>
      <c r="G698" s="142">
        <f>IFERROR(CHOOSE(MATCH(IF($E698="","Основний",$E698),{"Трафіковий","Основний","Маржинальний","Сезонний","Стратегічний"},0),Settings!$B$78,Settings!$B$80,Settings!$B$82,Settings!$B$84,Settings!$B$86),"")</f>
        <v/>
      </c>
      <c r="H698" s="143">
        <f>IFERROR((F698*(1-Settings!$B$17)-C698)/(F698*(1-Settings!$B$17)),"")</f>
        <v/>
      </c>
      <c r="I698" s="149">
        <f>IFERROR(IF(F698="","",IF(F698&gt;=C698/(1-SKU_Base!Z698)/(1-Settings!$B$17),"OK",IF(F698&gt;=C698/(1-SKU_Base!AG698)/(1-Settings!$B$17),"WARN","STOP"))),"")</f>
        <v/>
      </c>
      <c r="J698" s="158">
        <f>IFERROR(ROUND(D698*(1-CHOOSE(MATCH(IF($E698="","Основний",$E698),{"Трафіковий","Основний","Маржинальний","Сезонний","Стратегічний"},0),Settings!$C$78,Settings!$C$80,Settings!$C$82,Settings!$C$84,Settings!$C$86))/6,2)*6,"")</f>
        <v/>
      </c>
      <c r="K698" s="142">
        <f>IFERROR(CHOOSE(MATCH(IF($E698="","Основний",$E698),{"Трафіковий","Основний","Маржинальний","Сезонний","Стратегічний"},0),Settings!$C$78,Settings!$C$80,Settings!$C$82,Settings!$C$84,Settings!$C$86),"")</f>
        <v/>
      </c>
      <c r="L698" s="143">
        <f>IFERROR((J698*(1-Settings!$C$17)-C698)/(J698*(1-Settings!$C$17)),"")</f>
        <v/>
      </c>
      <c r="M698" s="149">
        <f>IFERROR(IF(J698="","",IF(J698&gt;=C698/(1-SKU_Base!AA698)/(1-Settings!$C$17),"OK",IF(J698&gt;=C698/(1-SKU_Base!AH698)/(1-Settings!$C$17),"WARN","STOP"))),"")</f>
        <v/>
      </c>
      <c r="N698" s="159">
        <f>IFERROR(ROUND(D698*(1-CHOOSE(MATCH(IF($E698="","Основний",$E698),{"Трафіковий","Основний","Маржинальний","Сезонний","Стратегічний"},0),Settings!$D$78,Settings!$D$80,Settings!$D$82,Settings!$D$84,Settings!$D$86))/6,2)*6,"")</f>
        <v/>
      </c>
      <c r="O698" s="142">
        <f>IFERROR(CHOOSE(MATCH(IF($E698="","Основний",$E698),{"Трафіковий","Основний","Маржинальний","Сезонний","Стратегічний"},0),Settings!$D$78,Settings!$D$80,Settings!$D$82,Settings!$D$84,Settings!$D$86),"")</f>
        <v/>
      </c>
      <c r="P698" s="143">
        <f>IFERROR((N698*(1-Settings!$D$17)-C698)/(N698*(1-Settings!$D$17)),"")</f>
        <v/>
      </c>
      <c r="Q698" s="149">
        <f>IFERROR(IF(N698="","",IF(N698&gt;=C698/(1-SKU_Base!AB698)/(1-Settings!$D$17),"OK",IF(N698&gt;=C698/(1-SKU_Base!AI698)/(1-Settings!$D$17),"WARN","STOP"))),"")</f>
        <v/>
      </c>
      <c r="R698" s="159">
        <f>IFERROR(ROUND(D698*(1-CHOOSE(MATCH(IF($E698="","Основний",$E698),{"Трафіковий","Основний","Маржинальний","Сезонний","Стратегічний"},0),Settings!$E$78,Settings!$E$80,Settings!$E$82,Settings!$E$84,Settings!$E$86))/6,2)*6,"")</f>
        <v/>
      </c>
      <c r="S698" s="142">
        <f>IFERROR(CHOOSE(MATCH(IF($E698="","Основний",$E698),{"Трафіковий","Основний","Маржинальний","Сезонний","Стратегічний"},0),Settings!$E$78,Settings!$E$80,Settings!$E$82,Settings!$E$84,Settings!$E$86),"")</f>
        <v/>
      </c>
      <c r="T698" s="143">
        <f>IFERROR((R698*(1-Settings!$E$17)-C698)/(R698*(1-Settings!$E$17)),"")</f>
        <v/>
      </c>
      <c r="U698" s="149">
        <f>IFERROR(IF(R698="","",IF(R698&gt;=C698/(1-SKU_Base!AC698)/(1-Settings!$E$17),"OK",IF(R698&gt;=C698/(1-SKU_Base!AJ698)/(1-Settings!$E$17),"WARN","STOP"))),"")</f>
        <v/>
      </c>
      <c r="V698" s="159">
        <f>IFERROR(ROUND(D698*(1-CHOOSE(MATCH(IF($E698="","Основний",$E698),{"Трафіковий","Основний","Маржинальний","Сезонний","Стратегічний"},0),Settings!$F$78,Settings!$F$80,Settings!$F$82,Settings!$F$84,Settings!$F$86))/6,2)*6,"")</f>
        <v/>
      </c>
      <c r="W698" s="142">
        <f>IFERROR(CHOOSE(MATCH(IF($E698="","Основний",$E698),{"Трафіковий","Основний","Маржинальний","Сезонний","Стратегічний"},0),Settings!$F$78,Settings!$F$80,Settings!$F$82,Settings!$F$84,Settings!$F$86),"")</f>
        <v/>
      </c>
      <c r="X698" s="143">
        <f>IFERROR((V698*(1-Settings!$F$17)-C698)/(V698*(1-Settings!$F$17)),"")</f>
        <v/>
      </c>
      <c r="Y698" s="149">
        <f>IFERROR(IF(V698="","",IF(V698&gt;=C698/(1-SKU_Base!AD698)/(1-Settings!$F$17),"OK",IF(V698&gt;=C698/(1-SKU_Base!AK698)/(1-Settings!$F$17),"WARN","STOP"))),"")</f>
        <v/>
      </c>
      <c r="Z698" s="159">
        <f>IFERROR(ROUND(D698*(1-CHOOSE(MATCH(IF($E698="","Основний",$E698),{"Трафіковий","Основний","Маржинальний","Сезонний","Стратегічний"},0),Settings!$G$78,Settings!$G$80,Settings!$G$82,Settings!$G$84,Settings!$G$86))/6,2)*6,"")</f>
        <v/>
      </c>
      <c r="AA698" s="142">
        <f>IFERROR(CHOOSE(MATCH(IF($E698="","Основний",$E698),{"Трафіковий","Основний","Маржинальний","Сезонний","Стратегічний"},0),Settings!$G$78,Settings!$G$80,Settings!$G$82,Settings!$G$84,Settings!$G$86),"")</f>
        <v/>
      </c>
      <c r="AB698" s="143">
        <f>IFERROR((Z698*(1-Settings!$G$17)-C698)/(Z698*(1-Settings!$G$17)),"")</f>
        <v/>
      </c>
      <c r="AC698" s="149">
        <f>IFERROR(IF(Z698="","",IF(Z698&gt;=C698/(1-SKU_Base!AE698)/(1-Settings!$G$17),"OK",IF(Z698&gt;=C698/(1-SKU_Base!AL698)/(1-Settings!$G$17),"WARN","STOP"))),"")</f>
        <v/>
      </c>
      <c r="AD698" s="159">
        <f>IFERROR(ROUND(D698*(1-CHOOSE(MATCH(IF($E698="","Основний",$E698),{"Трафіковий","Основний","Маржинальний","Сезонний","Стратегічний"},0),Settings!$H$78,Settings!$H$80,Settings!$H$82,Settings!$H$84,Settings!$H$86))*(1-Settings!$H$68)/6,2)*6,"")</f>
        <v/>
      </c>
      <c r="AE698" s="142">
        <f>IFERROR(CHOOSE(MATCH(IF($E698="","Основний",$E698),{"Трафіковий","Основний","Маржинальний","Сезонний","Стратегічний"},0),Settings!$H$78,Settings!$H$80,Settings!$H$82,Settings!$H$84,Settings!$H$86)+(1-(CHOOSE(MATCH(IF($E698="","Основний",$E698),{"Трафіковий","Основний","Маржинальний","Сезонний","Стратегічний"},0),Settings!$H$78,Settings!$H$80,Settings!$H$82,Settings!$H$84,Settings!$H$86)))*Settings!$H$68,"")</f>
        <v/>
      </c>
      <c r="AF698" s="143">
        <f>IFERROR((AD698*(1-Settings!$H$17)-C698)/(AD698*(1-Settings!$H$17)),"")</f>
        <v/>
      </c>
      <c r="AG698" s="150">
        <f>IFERROR(IF(AD698="","",IF(AD698&gt;=C698/(1-SKU_Base!AF698)/(1-Settings!$H$17),"OK",IF(AD698&gt;=C698/(1-SKU_Base!AM698)/(1-Settings!$H$17),"WARN","STOP"))),"")</f>
        <v/>
      </c>
    </row>
    <row r="699" ht="17" customHeight="1" s="179">
      <c r="A699" s="146">
        <f>SKU_Base!B699</f>
        <v/>
      </c>
      <c r="B699" s="146">
        <f>SKU_Base!C699</f>
        <v/>
      </c>
      <c r="C699" s="147">
        <f>IFERROR(SKU_Base!I699,"")</f>
        <v/>
      </c>
      <c r="D699" s="164">
        <f>IFERROR(SKU_Base!T699,"")</f>
        <v/>
      </c>
      <c r="E699" s="141">
        <f>IFERROR(SKU_Base!$U699,"")</f>
        <v/>
      </c>
      <c r="F699" s="160">
        <f>IFERROR(ROUND(D699*(1-CHOOSE(MATCH(IF($E699="","Основний",$E699),{"Трафіковий","Основний","Маржинальний","Сезонний","Стратегічний"},0),Settings!$B$78,Settings!$B$80,Settings!$B$82,Settings!$B$84,Settings!$B$86))/6,2)*6,"")</f>
        <v/>
      </c>
      <c r="G699" s="142">
        <f>IFERROR(CHOOSE(MATCH(IF($E699="","Основний",$E699),{"Трафіковий","Основний","Маржинальний","Сезонний","Стратегічний"},0),Settings!$B$78,Settings!$B$80,Settings!$B$82,Settings!$B$84,Settings!$B$86),"")</f>
        <v/>
      </c>
      <c r="H699" s="148">
        <f>IFERROR((F699*(1-Settings!$B$17)-C699)/(F699*(1-Settings!$B$17)),"")</f>
        <v/>
      </c>
      <c r="I699" s="149">
        <f>IFERROR(IF(F699="","",IF(F699&gt;=C699/(1-SKU_Base!Z699)/(1-Settings!$B$17),"OK",IF(F699&gt;=C699/(1-SKU_Base!AG699)/(1-Settings!$B$17),"WARN","STOP"))),"")</f>
        <v/>
      </c>
      <c r="J699" s="160">
        <f>IFERROR(ROUND(D699*(1-CHOOSE(MATCH(IF($E699="","Основний",$E699),{"Трафіковий","Основний","Маржинальний","Сезонний","Стратегічний"},0),Settings!$C$78,Settings!$C$80,Settings!$C$82,Settings!$C$84,Settings!$C$86))/6,2)*6,"")</f>
        <v/>
      </c>
      <c r="K699" s="142">
        <f>IFERROR(CHOOSE(MATCH(IF($E699="","Основний",$E699),{"Трафіковий","Основний","Маржинальний","Сезонний","Стратегічний"},0),Settings!$C$78,Settings!$C$80,Settings!$C$82,Settings!$C$84,Settings!$C$86),"")</f>
        <v/>
      </c>
      <c r="L699" s="148">
        <f>IFERROR((J699*(1-Settings!$C$17)-C699)/(J699*(1-Settings!$C$17)),"")</f>
        <v/>
      </c>
      <c r="M699" s="149">
        <f>IFERROR(IF(J699="","",IF(J699&gt;=C699/(1-SKU_Base!AA699)/(1-Settings!$C$17),"OK",IF(J699&gt;=C699/(1-SKU_Base!AH699)/(1-Settings!$C$17),"WARN","STOP"))),"")</f>
        <v/>
      </c>
      <c r="N699" s="161">
        <f>IFERROR(ROUND(D699*(1-CHOOSE(MATCH(IF($E699="","Основний",$E699),{"Трафіковий","Основний","Маржинальний","Сезонний","Стратегічний"},0),Settings!$D$78,Settings!$D$80,Settings!$D$82,Settings!$D$84,Settings!$D$86))/6,2)*6,"")</f>
        <v/>
      </c>
      <c r="O699" s="142">
        <f>IFERROR(CHOOSE(MATCH(IF($E699="","Основний",$E699),{"Трафіковий","Основний","Маржинальний","Сезонний","Стратегічний"},0),Settings!$D$78,Settings!$D$80,Settings!$D$82,Settings!$D$84,Settings!$D$86),"")</f>
        <v/>
      </c>
      <c r="P699" s="148">
        <f>IFERROR((N699*(1-Settings!$D$17)-C699)/(N699*(1-Settings!$D$17)),"")</f>
        <v/>
      </c>
      <c r="Q699" s="149">
        <f>IFERROR(IF(N699="","",IF(N699&gt;=C699/(1-SKU_Base!AB699)/(1-Settings!$D$17),"OK",IF(N699&gt;=C699/(1-SKU_Base!AI699)/(1-Settings!$D$17),"WARN","STOP"))),"")</f>
        <v/>
      </c>
      <c r="R699" s="161">
        <f>IFERROR(ROUND(D699*(1-CHOOSE(MATCH(IF($E699="","Основний",$E699),{"Трафіковий","Основний","Маржинальний","Сезонний","Стратегічний"},0),Settings!$E$78,Settings!$E$80,Settings!$E$82,Settings!$E$84,Settings!$E$86))/6,2)*6,"")</f>
        <v/>
      </c>
      <c r="S699" s="142">
        <f>IFERROR(CHOOSE(MATCH(IF($E699="","Основний",$E699),{"Трафіковий","Основний","Маржинальний","Сезонний","Стратегічний"},0),Settings!$E$78,Settings!$E$80,Settings!$E$82,Settings!$E$84,Settings!$E$86),"")</f>
        <v/>
      </c>
      <c r="T699" s="148">
        <f>IFERROR((R699*(1-Settings!$E$17)-C699)/(R699*(1-Settings!$E$17)),"")</f>
        <v/>
      </c>
      <c r="U699" s="149">
        <f>IFERROR(IF(R699="","",IF(R699&gt;=C699/(1-SKU_Base!AC699)/(1-Settings!$E$17),"OK",IF(R699&gt;=C699/(1-SKU_Base!AJ699)/(1-Settings!$E$17),"WARN","STOP"))),"")</f>
        <v/>
      </c>
      <c r="V699" s="161">
        <f>IFERROR(ROUND(D699*(1-CHOOSE(MATCH(IF($E699="","Основний",$E699),{"Трафіковий","Основний","Маржинальний","Сезонний","Стратегічний"},0),Settings!$F$78,Settings!$F$80,Settings!$F$82,Settings!$F$84,Settings!$F$86))/6,2)*6,"")</f>
        <v/>
      </c>
      <c r="W699" s="142">
        <f>IFERROR(CHOOSE(MATCH(IF($E699="","Основний",$E699),{"Трафіковий","Основний","Маржинальний","Сезонний","Стратегічний"},0),Settings!$F$78,Settings!$F$80,Settings!$F$82,Settings!$F$84,Settings!$F$86),"")</f>
        <v/>
      </c>
      <c r="X699" s="148">
        <f>IFERROR((V699*(1-Settings!$F$17)-C699)/(V699*(1-Settings!$F$17)),"")</f>
        <v/>
      </c>
      <c r="Y699" s="149">
        <f>IFERROR(IF(V699="","",IF(V699&gt;=C699/(1-SKU_Base!AD699)/(1-Settings!$F$17),"OK",IF(V699&gt;=C699/(1-SKU_Base!AK699)/(1-Settings!$F$17),"WARN","STOP"))),"")</f>
        <v/>
      </c>
      <c r="Z699" s="161">
        <f>IFERROR(ROUND(D699*(1-CHOOSE(MATCH(IF($E699="","Основний",$E699),{"Трафіковий","Основний","Маржинальний","Сезонний","Стратегічний"},0),Settings!$G$78,Settings!$G$80,Settings!$G$82,Settings!$G$84,Settings!$G$86))/6,2)*6,"")</f>
        <v/>
      </c>
      <c r="AA699" s="142">
        <f>IFERROR(CHOOSE(MATCH(IF($E699="","Основний",$E699),{"Трафіковий","Основний","Маржинальний","Сезонний","Стратегічний"},0),Settings!$G$78,Settings!$G$80,Settings!$G$82,Settings!$G$84,Settings!$G$86),"")</f>
        <v/>
      </c>
      <c r="AB699" s="148">
        <f>IFERROR((Z699*(1-Settings!$G$17)-C699)/(Z699*(1-Settings!$G$17)),"")</f>
        <v/>
      </c>
      <c r="AC699" s="149">
        <f>IFERROR(IF(Z699="","",IF(Z699&gt;=C699/(1-SKU_Base!AE699)/(1-Settings!$G$17),"OK",IF(Z699&gt;=C699/(1-SKU_Base!AL699)/(1-Settings!$G$17),"WARN","STOP"))),"")</f>
        <v/>
      </c>
      <c r="AD699" s="161">
        <f>IFERROR(ROUND(D699*(1-CHOOSE(MATCH(IF($E699="","Основний",$E699),{"Трафіковий","Основний","Маржинальний","Сезонний","Стратегічний"},0),Settings!$H$78,Settings!$H$80,Settings!$H$82,Settings!$H$84,Settings!$H$86))*(1-Settings!$H$68)/6,2)*6,"")</f>
        <v/>
      </c>
      <c r="AE699" s="142">
        <f>IFERROR(CHOOSE(MATCH(IF($E699="","Основний",$E699),{"Трафіковий","Основний","Маржинальний","Сезонний","Стратегічний"},0),Settings!$H$78,Settings!$H$80,Settings!$H$82,Settings!$H$84,Settings!$H$86)+(1-(CHOOSE(MATCH(IF($E699="","Основний",$E699),{"Трафіковий","Основний","Маржинальний","Сезонний","Стратегічний"},0),Settings!$H$78,Settings!$H$80,Settings!$H$82,Settings!$H$84,Settings!$H$86)))*Settings!$H$68,"")</f>
        <v/>
      </c>
      <c r="AF699" s="148">
        <f>IFERROR((AD699*(1-Settings!$H$17)-C699)/(AD699*(1-Settings!$H$17)),"")</f>
        <v/>
      </c>
      <c r="AG699" s="150">
        <f>IFERROR(IF(AD699="","",IF(AD699&gt;=C699/(1-SKU_Base!AF699)/(1-Settings!$H$17),"OK",IF(AD699&gt;=C699/(1-SKU_Base!AM699)/(1-Settings!$H$17),"WARN","STOP"))),"")</f>
        <v/>
      </c>
    </row>
    <row r="700" ht="17" customHeight="1" s="179">
      <c r="A700" s="139">
        <f>SKU_Base!B700</f>
        <v/>
      </c>
      <c r="B700" s="139">
        <f>SKU_Base!C700</f>
        <v/>
      </c>
      <c r="C700" s="140">
        <f>IFERROR(SKU_Base!I700,"")</f>
        <v/>
      </c>
      <c r="D700" s="163">
        <f>IFERROR(SKU_Base!T700,"")</f>
        <v/>
      </c>
      <c r="E700" s="141">
        <f>IFERROR(SKU_Base!$U700,"")</f>
        <v/>
      </c>
      <c r="F700" s="158">
        <f>IFERROR(ROUND(D700*(1-CHOOSE(MATCH(IF($E700="","Основний",$E700),{"Трафіковий","Основний","Маржинальний","Сезонний","Стратегічний"},0),Settings!$B$78,Settings!$B$80,Settings!$B$82,Settings!$B$84,Settings!$B$86))/6,2)*6,"")</f>
        <v/>
      </c>
      <c r="G700" s="142">
        <f>IFERROR(CHOOSE(MATCH(IF($E700="","Основний",$E700),{"Трафіковий","Основний","Маржинальний","Сезонний","Стратегічний"},0),Settings!$B$78,Settings!$B$80,Settings!$B$82,Settings!$B$84,Settings!$B$86),"")</f>
        <v/>
      </c>
      <c r="H700" s="143">
        <f>IFERROR((F700*(1-Settings!$B$17)-C700)/(F700*(1-Settings!$B$17)),"")</f>
        <v/>
      </c>
      <c r="I700" s="149">
        <f>IFERROR(IF(F700="","",IF(F700&gt;=C700/(1-SKU_Base!Z700)/(1-Settings!$B$17),"OK",IF(F700&gt;=C700/(1-SKU_Base!AG700)/(1-Settings!$B$17),"WARN","STOP"))),"")</f>
        <v/>
      </c>
      <c r="J700" s="158">
        <f>IFERROR(ROUND(D700*(1-CHOOSE(MATCH(IF($E700="","Основний",$E700),{"Трафіковий","Основний","Маржинальний","Сезонний","Стратегічний"},0),Settings!$C$78,Settings!$C$80,Settings!$C$82,Settings!$C$84,Settings!$C$86))/6,2)*6,"")</f>
        <v/>
      </c>
      <c r="K700" s="142">
        <f>IFERROR(CHOOSE(MATCH(IF($E700="","Основний",$E700),{"Трафіковий","Основний","Маржинальний","Сезонний","Стратегічний"},0),Settings!$C$78,Settings!$C$80,Settings!$C$82,Settings!$C$84,Settings!$C$86),"")</f>
        <v/>
      </c>
      <c r="L700" s="143">
        <f>IFERROR((J700*(1-Settings!$C$17)-C700)/(J700*(1-Settings!$C$17)),"")</f>
        <v/>
      </c>
      <c r="M700" s="149">
        <f>IFERROR(IF(J700="","",IF(J700&gt;=C700/(1-SKU_Base!AA700)/(1-Settings!$C$17),"OK",IF(J700&gt;=C700/(1-SKU_Base!AH700)/(1-Settings!$C$17),"WARN","STOP"))),"")</f>
        <v/>
      </c>
      <c r="N700" s="159">
        <f>IFERROR(ROUND(D700*(1-CHOOSE(MATCH(IF($E700="","Основний",$E700),{"Трафіковий","Основний","Маржинальний","Сезонний","Стратегічний"},0),Settings!$D$78,Settings!$D$80,Settings!$D$82,Settings!$D$84,Settings!$D$86))/6,2)*6,"")</f>
        <v/>
      </c>
      <c r="O700" s="142">
        <f>IFERROR(CHOOSE(MATCH(IF($E700="","Основний",$E700),{"Трафіковий","Основний","Маржинальний","Сезонний","Стратегічний"},0),Settings!$D$78,Settings!$D$80,Settings!$D$82,Settings!$D$84,Settings!$D$86),"")</f>
        <v/>
      </c>
      <c r="P700" s="143">
        <f>IFERROR((N700*(1-Settings!$D$17)-C700)/(N700*(1-Settings!$D$17)),"")</f>
        <v/>
      </c>
      <c r="Q700" s="149">
        <f>IFERROR(IF(N700="","",IF(N700&gt;=C700/(1-SKU_Base!AB700)/(1-Settings!$D$17),"OK",IF(N700&gt;=C700/(1-SKU_Base!AI700)/(1-Settings!$D$17),"WARN","STOP"))),"")</f>
        <v/>
      </c>
      <c r="R700" s="159">
        <f>IFERROR(ROUND(D700*(1-CHOOSE(MATCH(IF($E700="","Основний",$E700),{"Трафіковий","Основний","Маржинальний","Сезонний","Стратегічний"},0),Settings!$E$78,Settings!$E$80,Settings!$E$82,Settings!$E$84,Settings!$E$86))/6,2)*6,"")</f>
        <v/>
      </c>
      <c r="S700" s="142">
        <f>IFERROR(CHOOSE(MATCH(IF($E700="","Основний",$E700),{"Трафіковий","Основний","Маржинальний","Сезонний","Стратегічний"},0),Settings!$E$78,Settings!$E$80,Settings!$E$82,Settings!$E$84,Settings!$E$86),"")</f>
        <v/>
      </c>
      <c r="T700" s="143">
        <f>IFERROR((R700*(1-Settings!$E$17)-C700)/(R700*(1-Settings!$E$17)),"")</f>
        <v/>
      </c>
      <c r="U700" s="149">
        <f>IFERROR(IF(R700="","",IF(R700&gt;=C700/(1-SKU_Base!AC700)/(1-Settings!$E$17),"OK",IF(R700&gt;=C700/(1-SKU_Base!AJ700)/(1-Settings!$E$17),"WARN","STOP"))),"")</f>
        <v/>
      </c>
      <c r="V700" s="159">
        <f>IFERROR(ROUND(D700*(1-CHOOSE(MATCH(IF($E700="","Основний",$E700),{"Трафіковий","Основний","Маржинальний","Сезонний","Стратегічний"},0),Settings!$F$78,Settings!$F$80,Settings!$F$82,Settings!$F$84,Settings!$F$86))/6,2)*6,"")</f>
        <v/>
      </c>
      <c r="W700" s="142">
        <f>IFERROR(CHOOSE(MATCH(IF($E700="","Основний",$E700),{"Трафіковий","Основний","Маржинальний","Сезонний","Стратегічний"},0),Settings!$F$78,Settings!$F$80,Settings!$F$82,Settings!$F$84,Settings!$F$86),"")</f>
        <v/>
      </c>
      <c r="X700" s="143">
        <f>IFERROR((V700*(1-Settings!$F$17)-C700)/(V700*(1-Settings!$F$17)),"")</f>
        <v/>
      </c>
      <c r="Y700" s="149">
        <f>IFERROR(IF(V700="","",IF(V700&gt;=C700/(1-SKU_Base!AD700)/(1-Settings!$F$17),"OK",IF(V700&gt;=C700/(1-SKU_Base!AK700)/(1-Settings!$F$17),"WARN","STOP"))),"")</f>
        <v/>
      </c>
      <c r="Z700" s="159">
        <f>IFERROR(ROUND(D700*(1-CHOOSE(MATCH(IF($E700="","Основний",$E700),{"Трафіковий","Основний","Маржинальний","Сезонний","Стратегічний"},0),Settings!$G$78,Settings!$G$80,Settings!$G$82,Settings!$G$84,Settings!$G$86))/6,2)*6,"")</f>
        <v/>
      </c>
      <c r="AA700" s="142">
        <f>IFERROR(CHOOSE(MATCH(IF($E700="","Основний",$E700),{"Трафіковий","Основний","Маржинальний","Сезонний","Стратегічний"},0),Settings!$G$78,Settings!$G$80,Settings!$G$82,Settings!$G$84,Settings!$G$86),"")</f>
        <v/>
      </c>
      <c r="AB700" s="143">
        <f>IFERROR((Z700*(1-Settings!$G$17)-C700)/(Z700*(1-Settings!$G$17)),"")</f>
        <v/>
      </c>
      <c r="AC700" s="149">
        <f>IFERROR(IF(Z700="","",IF(Z700&gt;=C700/(1-SKU_Base!AE700)/(1-Settings!$G$17),"OK",IF(Z700&gt;=C700/(1-SKU_Base!AL700)/(1-Settings!$G$17),"WARN","STOP"))),"")</f>
        <v/>
      </c>
      <c r="AD700" s="159">
        <f>IFERROR(ROUND(D700*(1-CHOOSE(MATCH(IF($E700="","Основний",$E700),{"Трафіковий","Основний","Маржинальний","Сезонний","Стратегічний"},0),Settings!$H$78,Settings!$H$80,Settings!$H$82,Settings!$H$84,Settings!$H$86))*(1-Settings!$H$68)/6,2)*6,"")</f>
        <v/>
      </c>
      <c r="AE700" s="142">
        <f>IFERROR(CHOOSE(MATCH(IF($E700="","Основний",$E700),{"Трафіковий","Основний","Маржинальний","Сезонний","Стратегічний"},0),Settings!$H$78,Settings!$H$80,Settings!$H$82,Settings!$H$84,Settings!$H$86)+(1-(CHOOSE(MATCH(IF($E700="","Основний",$E700),{"Трафіковий","Основний","Маржинальний","Сезонний","Стратегічний"},0),Settings!$H$78,Settings!$H$80,Settings!$H$82,Settings!$H$84,Settings!$H$86)))*Settings!$H$68,"")</f>
        <v/>
      </c>
      <c r="AF700" s="143">
        <f>IFERROR((AD700*(1-Settings!$H$17)-C700)/(AD700*(1-Settings!$H$17)),"")</f>
        <v/>
      </c>
      <c r="AG700" s="150">
        <f>IFERROR(IF(AD700="","",IF(AD700&gt;=C700/(1-SKU_Base!AF700)/(1-Settings!$H$17),"OK",IF(AD700&gt;=C700/(1-SKU_Base!AM700)/(1-Settings!$H$17),"WARN","STOP"))),"")</f>
        <v/>
      </c>
    </row>
    <row r="701" ht="17" customHeight="1" s="179">
      <c r="A701" s="146">
        <f>SKU_Base!B701</f>
        <v/>
      </c>
      <c r="B701" s="146">
        <f>SKU_Base!C701</f>
        <v/>
      </c>
      <c r="C701" s="147">
        <f>IFERROR(SKU_Base!I701,"")</f>
        <v/>
      </c>
      <c r="D701" s="164">
        <f>IFERROR(SKU_Base!T701,"")</f>
        <v/>
      </c>
      <c r="E701" s="141">
        <f>IFERROR(SKU_Base!$U701,"")</f>
        <v/>
      </c>
      <c r="F701" s="160">
        <f>IFERROR(ROUND(D701*(1-CHOOSE(MATCH(IF($E701="","Основний",$E701),{"Трафіковий","Основний","Маржинальний","Сезонний","Стратегічний"},0),Settings!$B$78,Settings!$B$80,Settings!$B$82,Settings!$B$84,Settings!$B$86))/6,2)*6,"")</f>
        <v/>
      </c>
      <c r="G701" s="142">
        <f>IFERROR(CHOOSE(MATCH(IF($E701="","Основний",$E701),{"Трафіковий","Основний","Маржинальний","Сезонний","Стратегічний"},0),Settings!$B$78,Settings!$B$80,Settings!$B$82,Settings!$B$84,Settings!$B$86),"")</f>
        <v/>
      </c>
      <c r="H701" s="148">
        <f>IFERROR((F701*(1-Settings!$B$17)-C701)/(F701*(1-Settings!$B$17)),"")</f>
        <v/>
      </c>
      <c r="I701" s="149">
        <f>IFERROR(IF(F701="","",IF(F701&gt;=C701/(1-SKU_Base!Z701)/(1-Settings!$B$17),"OK",IF(F701&gt;=C701/(1-SKU_Base!AG701)/(1-Settings!$B$17),"WARN","STOP"))),"")</f>
        <v/>
      </c>
      <c r="J701" s="160">
        <f>IFERROR(ROUND(D701*(1-CHOOSE(MATCH(IF($E701="","Основний",$E701),{"Трафіковий","Основний","Маржинальний","Сезонний","Стратегічний"},0),Settings!$C$78,Settings!$C$80,Settings!$C$82,Settings!$C$84,Settings!$C$86))/6,2)*6,"")</f>
        <v/>
      </c>
      <c r="K701" s="142">
        <f>IFERROR(CHOOSE(MATCH(IF($E701="","Основний",$E701),{"Трафіковий","Основний","Маржинальний","Сезонний","Стратегічний"},0),Settings!$C$78,Settings!$C$80,Settings!$C$82,Settings!$C$84,Settings!$C$86),"")</f>
        <v/>
      </c>
      <c r="L701" s="148">
        <f>IFERROR((J701*(1-Settings!$C$17)-C701)/(J701*(1-Settings!$C$17)),"")</f>
        <v/>
      </c>
      <c r="M701" s="149">
        <f>IFERROR(IF(J701="","",IF(J701&gt;=C701/(1-SKU_Base!AA701)/(1-Settings!$C$17),"OK",IF(J701&gt;=C701/(1-SKU_Base!AH701)/(1-Settings!$C$17),"WARN","STOP"))),"")</f>
        <v/>
      </c>
      <c r="N701" s="161">
        <f>IFERROR(ROUND(D701*(1-CHOOSE(MATCH(IF($E701="","Основний",$E701),{"Трафіковий","Основний","Маржинальний","Сезонний","Стратегічний"},0),Settings!$D$78,Settings!$D$80,Settings!$D$82,Settings!$D$84,Settings!$D$86))/6,2)*6,"")</f>
        <v/>
      </c>
      <c r="O701" s="142">
        <f>IFERROR(CHOOSE(MATCH(IF($E701="","Основний",$E701),{"Трафіковий","Основний","Маржинальний","Сезонний","Стратегічний"},0),Settings!$D$78,Settings!$D$80,Settings!$D$82,Settings!$D$84,Settings!$D$86),"")</f>
        <v/>
      </c>
      <c r="P701" s="148">
        <f>IFERROR((N701*(1-Settings!$D$17)-C701)/(N701*(1-Settings!$D$17)),"")</f>
        <v/>
      </c>
      <c r="Q701" s="149">
        <f>IFERROR(IF(N701="","",IF(N701&gt;=C701/(1-SKU_Base!AB701)/(1-Settings!$D$17),"OK",IF(N701&gt;=C701/(1-SKU_Base!AI701)/(1-Settings!$D$17),"WARN","STOP"))),"")</f>
        <v/>
      </c>
      <c r="R701" s="161">
        <f>IFERROR(ROUND(D701*(1-CHOOSE(MATCH(IF($E701="","Основний",$E701),{"Трафіковий","Основний","Маржинальний","Сезонний","Стратегічний"},0),Settings!$E$78,Settings!$E$80,Settings!$E$82,Settings!$E$84,Settings!$E$86))/6,2)*6,"")</f>
        <v/>
      </c>
      <c r="S701" s="142">
        <f>IFERROR(CHOOSE(MATCH(IF($E701="","Основний",$E701),{"Трафіковий","Основний","Маржинальний","Сезонний","Стратегічний"},0),Settings!$E$78,Settings!$E$80,Settings!$E$82,Settings!$E$84,Settings!$E$86),"")</f>
        <v/>
      </c>
      <c r="T701" s="148">
        <f>IFERROR((R701*(1-Settings!$E$17)-C701)/(R701*(1-Settings!$E$17)),"")</f>
        <v/>
      </c>
      <c r="U701" s="149">
        <f>IFERROR(IF(R701="","",IF(R701&gt;=C701/(1-SKU_Base!AC701)/(1-Settings!$E$17),"OK",IF(R701&gt;=C701/(1-SKU_Base!AJ701)/(1-Settings!$E$17),"WARN","STOP"))),"")</f>
        <v/>
      </c>
      <c r="V701" s="161">
        <f>IFERROR(ROUND(D701*(1-CHOOSE(MATCH(IF($E701="","Основний",$E701),{"Трафіковий","Основний","Маржинальний","Сезонний","Стратегічний"},0),Settings!$F$78,Settings!$F$80,Settings!$F$82,Settings!$F$84,Settings!$F$86))/6,2)*6,"")</f>
        <v/>
      </c>
      <c r="W701" s="142">
        <f>IFERROR(CHOOSE(MATCH(IF($E701="","Основний",$E701),{"Трафіковий","Основний","Маржинальний","Сезонний","Стратегічний"},0),Settings!$F$78,Settings!$F$80,Settings!$F$82,Settings!$F$84,Settings!$F$86),"")</f>
        <v/>
      </c>
      <c r="X701" s="148">
        <f>IFERROR((V701*(1-Settings!$F$17)-C701)/(V701*(1-Settings!$F$17)),"")</f>
        <v/>
      </c>
      <c r="Y701" s="149">
        <f>IFERROR(IF(V701="","",IF(V701&gt;=C701/(1-SKU_Base!AD701)/(1-Settings!$F$17),"OK",IF(V701&gt;=C701/(1-SKU_Base!AK701)/(1-Settings!$F$17),"WARN","STOP"))),"")</f>
        <v/>
      </c>
      <c r="Z701" s="161">
        <f>IFERROR(ROUND(D701*(1-CHOOSE(MATCH(IF($E701="","Основний",$E701),{"Трафіковий","Основний","Маржинальний","Сезонний","Стратегічний"},0),Settings!$G$78,Settings!$G$80,Settings!$G$82,Settings!$G$84,Settings!$G$86))/6,2)*6,"")</f>
        <v/>
      </c>
      <c r="AA701" s="142">
        <f>IFERROR(CHOOSE(MATCH(IF($E701="","Основний",$E701),{"Трафіковий","Основний","Маржинальний","Сезонний","Стратегічний"},0),Settings!$G$78,Settings!$G$80,Settings!$G$82,Settings!$G$84,Settings!$G$86),"")</f>
        <v/>
      </c>
      <c r="AB701" s="148">
        <f>IFERROR((Z701*(1-Settings!$G$17)-C701)/(Z701*(1-Settings!$G$17)),"")</f>
        <v/>
      </c>
      <c r="AC701" s="149">
        <f>IFERROR(IF(Z701="","",IF(Z701&gt;=C701/(1-SKU_Base!AE701)/(1-Settings!$G$17),"OK",IF(Z701&gt;=C701/(1-SKU_Base!AL701)/(1-Settings!$G$17),"WARN","STOP"))),"")</f>
        <v/>
      </c>
      <c r="AD701" s="161">
        <f>IFERROR(ROUND(D701*(1-CHOOSE(MATCH(IF($E701="","Основний",$E701),{"Трафіковий","Основний","Маржинальний","Сезонний","Стратегічний"},0),Settings!$H$78,Settings!$H$80,Settings!$H$82,Settings!$H$84,Settings!$H$86))*(1-Settings!$H$68)/6,2)*6,"")</f>
        <v/>
      </c>
      <c r="AE701" s="142">
        <f>IFERROR(CHOOSE(MATCH(IF($E701="","Основний",$E701),{"Трафіковий","Основний","Маржинальний","Сезонний","Стратегічний"},0),Settings!$H$78,Settings!$H$80,Settings!$H$82,Settings!$H$84,Settings!$H$86)+(1-(CHOOSE(MATCH(IF($E701="","Основний",$E701),{"Трафіковий","Основний","Маржинальний","Сезонний","Стратегічний"},0),Settings!$H$78,Settings!$H$80,Settings!$H$82,Settings!$H$84,Settings!$H$86)))*Settings!$H$68,"")</f>
        <v/>
      </c>
      <c r="AF701" s="148">
        <f>IFERROR((AD701*(1-Settings!$H$17)-C701)/(AD701*(1-Settings!$H$17)),"")</f>
        <v/>
      </c>
      <c r="AG701" s="150">
        <f>IFERROR(IF(AD701="","",IF(AD701&gt;=C701/(1-SKU_Base!AF701)/(1-Settings!$H$17),"OK",IF(AD701&gt;=C701/(1-SKU_Base!AM701)/(1-Settings!$H$17),"WARN","STOP"))),"")</f>
        <v/>
      </c>
    </row>
    <row r="702" ht="17" customHeight="1" s="179">
      <c r="A702" s="139">
        <f>SKU_Base!B702</f>
        <v/>
      </c>
      <c r="B702" s="139">
        <f>SKU_Base!C702</f>
        <v/>
      </c>
      <c r="C702" s="140">
        <f>IFERROR(SKU_Base!I702,"")</f>
        <v/>
      </c>
      <c r="D702" s="163">
        <f>IFERROR(SKU_Base!T702,"")</f>
        <v/>
      </c>
      <c r="E702" s="141">
        <f>IFERROR(SKU_Base!$U702,"")</f>
        <v/>
      </c>
      <c r="F702" s="158">
        <f>IFERROR(ROUND(D702*(1-CHOOSE(MATCH(IF($E702="","Основний",$E702),{"Трафіковий","Основний","Маржинальний","Сезонний","Стратегічний"},0),Settings!$B$78,Settings!$B$80,Settings!$B$82,Settings!$B$84,Settings!$B$86))/6,2)*6,"")</f>
        <v/>
      </c>
      <c r="G702" s="142">
        <f>IFERROR(CHOOSE(MATCH(IF($E702="","Основний",$E702),{"Трафіковий","Основний","Маржинальний","Сезонний","Стратегічний"},0),Settings!$B$78,Settings!$B$80,Settings!$B$82,Settings!$B$84,Settings!$B$86),"")</f>
        <v/>
      </c>
      <c r="H702" s="143">
        <f>IFERROR((F702*(1-Settings!$B$17)-C702)/(F702*(1-Settings!$B$17)),"")</f>
        <v/>
      </c>
      <c r="I702" s="149">
        <f>IFERROR(IF(F702="","",IF(F702&gt;=C702/(1-SKU_Base!Z702)/(1-Settings!$B$17),"OK",IF(F702&gt;=C702/(1-SKU_Base!AG702)/(1-Settings!$B$17),"WARN","STOP"))),"")</f>
        <v/>
      </c>
      <c r="J702" s="158">
        <f>IFERROR(ROUND(D702*(1-CHOOSE(MATCH(IF($E702="","Основний",$E702),{"Трафіковий","Основний","Маржинальний","Сезонний","Стратегічний"},0),Settings!$C$78,Settings!$C$80,Settings!$C$82,Settings!$C$84,Settings!$C$86))/6,2)*6,"")</f>
        <v/>
      </c>
      <c r="K702" s="142">
        <f>IFERROR(CHOOSE(MATCH(IF($E702="","Основний",$E702),{"Трафіковий","Основний","Маржинальний","Сезонний","Стратегічний"},0),Settings!$C$78,Settings!$C$80,Settings!$C$82,Settings!$C$84,Settings!$C$86),"")</f>
        <v/>
      </c>
      <c r="L702" s="143">
        <f>IFERROR((J702*(1-Settings!$C$17)-C702)/(J702*(1-Settings!$C$17)),"")</f>
        <v/>
      </c>
      <c r="M702" s="149">
        <f>IFERROR(IF(J702="","",IF(J702&gt;=C702/(1-SKU_Base!AA702)/(1-Settings!$C$17),"OK",IF(J702&gt;=C702/(1-SKU_Base!AH702)/(1-Settings!$C$17),"WARN","STOP"))),"")</f>
        <v/>
      </c>
      <c r="N702" s="159">
        <f>IFERROR(ROUND(D702*(1-CHOOSE(MATCH(IF($E702="","Основний",$E702),{"Трафіковий","Основний","Маржинальний","Сезонний","Стратегічний"},0),Settings!$D$78,Settings!$D$80,Settings!$D$82,Settings!$D$84,Settings!$D$86))/6,2)*6,"")</f>
        <v/>
      </c>
      <c r="O702" s="142">
        <f>IFERROR(CHOOSE(MATCH(IF($E702="","Основний",$E702),{"Трафіковий","Основний","Маржинальний","Сезонний","Стратегічний"},0),Settings!$D$78,Settings!$D$80,Settings!$D$82,Settings!$D$84,Settings!$D$86),"")</f>
        <v/>
      </c>
      <c r="P702" s="143">
        <f>IFERROR((N702*(1-Settings!$D$17)-C702)/(N702*(1-Settings!$D$17)),"")</f>
        <v/>
      </c>
      <c r="Q702" s="149">
        <f>IFERROR(IF(N702="","",IF(N702&gt;=C702/(1-SKU_Base!AB702)/(1-Settings!$D$17),"OK",IF(N702&gt;=C702/(1-SKU_Base!AI702)/(1-Settings!$D$17),"WARN","STOP"))),"")</f>
        <v/>
      </c>
      <c r="R702" s="159">
        <f>IFERROR(ROUND(D702*(1-CHOOSE(MATCH(IF($E702="","Основний",$E702),{"Трафіковий","Основний","Маржинальний","Сезонний","Стратегічний"},0),Settings!$E$78,Settings!$E$80,Settings!$E$82,Settings!$E$84,Settings!$E$86))/6,2)*6,"")</f>
        <v/>
      </c>
      <c r="S702" s="142">
        <f>IFERROR(CHOOSE(MATCH(IF($E702="","Основний",$E702),{"Трафіковий","Основний","Маржинальний","Сезонний","Стратегічний"},0),Settings!$E$78,Settings!$E$80,Settings!$E$82,Settings!$E$84,Settings!$E$86),"")</f>
        <v/>
      </c>
      <c r="T702" s="143">
        <f>IFERROR((R702*(1-Settings!$E$17)-C702)/(R702*(1-Settings!$E$17)),"")</f>
        <v/>
      </c>
      <c r="U702" s="149">
        <f>IFERROR(IF(R702="","",IF(R702&gt;=C702/(1-SKU_Base!AC702)/(1-Settings!$E$17),"OK",IF(R702&gt;=C702/(1-SKU_Base!AJ702)/(1-Settings!$E$17),"WARN","STOP"))),"")</f>
        <v/>
      </c>
      <c r="V702" s="159">
        <f>IFERROR(ROUND(D702*(1-CHOOSE(MATCH(IF($E702="","Основний",$E702),{"Трафіковий","Основний","Маржинальний","Сезонний","Стратегічний"},0),Settings!$F$78,Settings!$F$80,Settings!$F$82,Settings!$F$84,Settings!$F$86))/6,2)*6,"")</f>
        <v/>
      </c>
      <c r="W702" s="142">
        <f>IFERROR(CHOOSE(MATCH(IF($E702="","Основний",$E702),{"Трафіковий","Основний","Маржинальний","Сезонний","Стратегічний"},0),Settings!$F$78,Settings!$F$80,Settings!$F$82,Settings!$F$84,Settings!$F$86),"")</f>
        <v/>
      </c>
      <c r="X702" s="143">
        <f>IFERROR((V702*(1-Settings!$F$17)-C702)/(V702*(1-Settings!$F$17)),"")</f>
        <v/>
      </c>
      <c r="Y702" s="149">
        <f>IFERROR(IF(V702="","",IF(V702&gt;=C702/(1-SKU_Base!AD702)/(1-Settings!$F$17),"OK",IF(V702&gt;=C702/(1-SKU_Base!AK702)/(1-Settings!$F$17),"WARN","STOP"))),"")</f>
        <v/>
      </c>
      <c r="Z702" s="159">
        <f>IFERROR(ROUND(D702*(1-CHOOSE(MATCH(IF($E702="","Основний",$E702),{"Трафіковий","Основний","Маржинальний","Сезонний","Стратегічний"},0),Settings!$G$78,Settings!$G$80,Settings!$G$82,Settings!$G$84,Settings!$G$86))/6,2)*6,"")</f>
        <v/>
      </c>
      <c r="AA702" s="142">
        <f>IFERROR(CHOOSE(MATCH(IF($E702="","Основний",$E702),{"Трафіковий","Основний","Маржинальний","Сезонний","Стратегічний"},0),Settings!$G$78,Settings!$G$80,Settings!$G$82,Settings!$G$84,Settings!$G$86),"")</f>
        <v/>
      </c>
      <c r="AB702" s="143">
        <f>IFERROR((Z702*(1-Settings!$G$17)-C702)/(Z702*(1-Settings!$G$17)),"")</f>
        <v/>
      </c>
      <c r="AC702" s="149">
        <f>IFERROR(IF(Z702="","",IF(Z702&gt;=C702/(1-SKU_Base!AE702)/(1-Settings!$G$17),"OK",IF(Z702&gt;=C702/(1-SKU_Base!AL702)/(1-Settings!$G$17),"WARN","STOP"))),"")</f>
        <v/>
      </c>
      <c r="AD702" s="159">
        <f>IFERROR(ROUND(D702*(1-CHOOSE(MATCH(IF($E702="","Основний",$E702),{"Трафіковий","Основний","Маржинальний","Сезонний","Стратегічний"},0),Settings!$H$78,Settings!$H$80,Settings!$H$82,Settings!$H$84,Settings!$H$86))*(1-Settings!$H$68)/6,2)*6,"")</f>
        <v/>
      </c>
      <c r="AE702" s="142">
        <f>IFERROR(CHOOSE(MATCH(IF($E702="","Основний",$E702),{"Трафіковий","Основний","Маржинальний","Сезонний","Стратегічний"},0),Settings!$H$78,Settings!$H$80,Settings!$H$82,Settings!$H$84,Settings!$H$86)+(1-(CHOOSE(MATCH(IF($E702="","Основний",$E702),{"Трафіковий","Основний","Маржинальний","Сезонний","Стратегічний"},0),Settings!$H$78,Settings!$H$80,Settings!$H$82,Settings!$H$84,Settings!$H$86)))*Settings!$H$68,"")</f>
        <v/>
      </c>
      <c r="AF702" s="143">
        <f>IFERROR((AD702*(1-Settings!$H$17)-C702)/(AD702*(1-Settings!$H$17)),"")</f>
        <v/>
      </c>
      <c r="AG702" s="150">
        <f>IFERROR(IF(AD702="","",IF(AD702&gt;=C702/(1-SKU_Base!AF702)/(1-Settings!$H$17),"OK",IF(AD702&gt;=C702/(1-SKU_Base!AM702)/(1-Settings!$H$17),"WARN","STOP"))),"")</f>
        <v/>
      </c>
    </row>
    <row r="703" ht="17" customHeight="1" s="179">
      <c r="A703" s="146">
        <f>SKU_Base!B703</f>
        <v/>
      </c>
      <c r="B703" s="146">
        <f>SKU_Base!C703</f>
        <v/>
      </c>
      <c r="C703" s="147">
        <f>IFERROR(SKU_Base!I703,"")</f>
        <v/>
      </c>
      <c r="D703" s="164">
        <f>IFERROR(SKU_Base!T703,"")</f>
        <v/>
      </c>
      <c r="E703" s="141">
        <f>IFERROR(SKU_Base!$U703,"")</f>
        <v/>
      </c>
      <c r="F703" s="160">
        <f>IFERROR(ROUND(D703*(1-CHOOSE(MATCH(IF($E703="","Основний",$E703),{"Трафіковий","Основний","Маржинальний","Сезонний","Стратегічний"},0),Settings!$B$78,Settings!$B$80,Settings!$B$82,Settings!$B$84,Settings!$B$86))/6,2)*6,"")</f>
        <v/>
      </c>
      <c r="G703" s="142">
        <f>IFERROR(CHOOSE(MATCH(IF($E703="","Основний",$E703),{"Трафіковий","Основний","Маржинальний","Сезонний","Стратегічний"},0),Settings!$B$78,Settings!$B$80,Settings!$B$82,Settings!$B$84,Settings!$B$86),"")</f>
        <v/>
      </c>
      <c r="H703" s="148">
        <f>IFERROR((F703*(1-Settings!$B$17)-C703)/(F703*(1-Settings!$B$17)),"")</f>
        <v/>
      </c>
      <c r="I703" s="149">
        <f>IFERROR(IF(F703="","",IF(F703&gt;=C703/(1-SKU_Base!Z703)/(1-Settings!$B$17),"OK",IF(F703&gt;=C703/(1-SKU_Base!AG703)/(1-Settings!$B$17),"WARN","STOP"))),"")</f>
        <v/>
      </c>
      <c r="J703" s="160">
        <f>IFERROR(ROUND(D703*(1-CHOOSE(MATCH(IF($E703="","Основний",$E703),{"Трафіковий","Основний","Маржинальний","Сезонний","Стратегічний"},0),Settings!$C$78,Settings!$C$80,Settings!$C$82,Settings!$C$84,Settings!$C$86))/6,2)*6,"")</f>
        <v/>
      </c>
      <c r="K703" s="142">
        <f>IFERROR(CHOOSE(MATCH(IF($E703="","Основний",$E703),{"Трафіковий","Основний","Маржинальний","Сезонний","Стратегічний"},0),Settings!$C$78,Settings!$C$80,Settings!$C$82,Settings!$C$84,Settings!$C$86),"")</f>
        <v/>
      </c>
      <c r="L703" s="148">
        <f>IFERROR((J703*(1-Settings!$C$17)-C703)/(J703*(1-Settings!$C$17)),"")</f>
        <v/>
      </c>
      <c r="M703" s="149">
        <f>IFERROR(IF(J703="","",IF(J703&gt;=C703/(1-SKU_Base!AA703)/(1-Settings!$C$17),"OK",IF(J703&gt;=C703/(1-SKU_Base!AH703)/(1-Settings!$C$17),"WARN","STOP"))),"")</f>
        <v/>
      </c>
      <c r="N703" s="161">
        <f>IFERROR(ROUND(D703*(1-CHOOSE(MATCH(IF($E703="","Основний",$E703),{"Трафіковий","Основний","Маржинальний","Сезонний","Стратегічний"},0),Settings!$D$78,Settings!$D$80,Settings!$D$82,Settings!$D$84,Settings!$D$86))/6,2)*6,"")</f>
        <v/>
      </c>
      <c r="O703" s="142">
        <f>IFERROR(CHOOSE(MATCH(IF($E703="","Основний",$E703),{"Трафіковий","Основний","Маржинальний","Сезонний","Стратегічний"},0),Settings!$D$78,Settings!$D$80,Settings!$D$82,Settings!$D$84,Settings!$D$86),"")</f>
        <v/>
      </c>
      <c r="P703" s="148">
        <f>IFERROR((N703*(1-Settings!$D$17)-C703)/(N703*(1-Settings!$D$17)),"")</f>
        <v/>
      </c>
      <c r="Q703" s="149">
        <f>IFERROR(IF(N703="","",IF(N703&gt;=C703/(1-SKU_Base!AB703)/(1-Settings!$D$17),"OK",IF(N703&gt;=C703/(1-SKU_Base!AI703)/(1-Settings!$D$17),"WARN","STOP"))),"")</f>
        <v/>
      </c>
      <c r="R703" s="161">
        <f>IFERROR(ROUND(D703*(1-CHOOSE(MATCH(IF($E703="","Основний",$E703),{"Трафіковий","Основний","Маржинальний","Сезонний","Стратегічний"},0),Settings!$E$78,Settings!$E$80,Settings!$E$82,Settings!$E$84,Settings!$E$86))/6,2)*6,"")</f>
        <v/>
      </c>
      <c r="S703" s="142">
        <f>IFERROR(CHOOSE(MATCH(IF($E703="","Основний",$E703),{"Трафіковий","Основний","Маржинальний","Сезонний","Стратегічний"},0),Settings!$E$78,Settings!$E$80,Settings!$E$82,Settings!$E$84,Settings!$E$86),"")</f>
        <v/>
      </c>
      <c r="T703" s="148">
        <f>IFERROR((R703*(1-Settings!$E$17)-C703)/(R703*(1-Settings!$E$17)),"")</f>
        <v/>
      </c>
      <c r="U703" s="149">
        <f>IFERROR(IF(R703="","",IF(R703&gt;=C703/(1-SKU_Base!AC703)/(1-Settings!$E$17),"OK",IF(R703&gt;=C703/(1-SKU_Base!AJ703)/(1-Settings!$E$17),"WARN","STOP"))),"")</f>
        <v/>
      </c>
      <c r="V703" s="161">
        <f>IFERROR(ROUND(D703*(1-CHOOSE(MATCH(IF($E703="","Основний",$E703),{"Трафіковий","Основний","Маржинальний","Сезонний","Стратегічний"},0),Settings!$F$78,Settings!$F$80,Settings!$F$82,Settings!$F$84,Settings!$F$86))/6,2)*6,"")</f>
        <v/>
      </c>
      <c r="W703" s="142">
        <f>IFERROR(CHOOSE(MATCH(IF($E703="","Основний",$E703),{"Трафіковий","Основний","Маржинальний","Сезонний","Стратегічний"},0),Settings!$F$78,Settings!$F$80,Settings!$F$82,Settings!$F$84,Settings!$F$86),"")</f>
        <v/>
      </c>
      <c r="X703" s="148">
        <f>IFERROR((V703*(1-Settings!$F$17)-C703)/(V703*(1-Settings!$F$17)),"")</f>
        <v/>
      </c>
      <c r="Y703" s="149">
        <f>IFERROR(IF(V703="","",IF(V703&gt;=C703/(1-SKU_Base!AD703)/(1-Settings!$F$17),"OK",IF(V703&gt;=C703/(1-SKU_Base!AK703)/(1-Settings!$F$17),"WARN","STOP"))),"")</f>
        <v/>
      </c>
      <c r="Z703" s="161">
        <f>IFERROR(ROUND(D703*(1-CHOOSE(MATCH(IF($E703="","Основний",$E703),{"Трафіковий","Основний","Маржинальний","Сезонний","Стратегічний"},0),Settings!$G$78,Settings!$G$80,Settings!$G$82,Settings!$G$84,Settings!$G$86))/6,2)*6,"")</f>
        <v/>
      </c>
      <c r="AA703" s="142">
        <f>IFERROR(CHOOSE(MATCH(IF($E703="","Основний",$E703),{"Трафіковий","Основний","Маржинальний","Сезонний","Стратегічний"},0),Settings!$G$78,Settings!$G$80,Settings!$G$82,Settings!$G$84,Settings!$G$86),"")</f>
        <v/>
      </c>
      <c r="AB703" s="148">
        <f>IFERROR((Z703*(1-Settings!$G$17)-C703)/(Z703*(1-Settings!$G$17)),"")</f>
        <v/>
      </c>
      <c r="AC703" s="149">
        <f>IFERROR(IF(Z703="","",IF(Z703&gt;=C703/(1-SKU_Base!AE703)/(1-Settings!$G$17),"OK",IF(Z703&gt;=C703/(1-SKU_Base!AL703)/(1-Settings!$G$17),"WARN","STOP"))),"")</f>
        <v/>
      </c>
      <c r="AD703" s="161">
        <f>IFERROR(ROUND(D703*(1-CHOOSE(MATCH(IF($E703="","Основний",$E703),{"Трафіковий","Основний","Маржинальний","Сезонний","Стратегічний"},0),Settings!$H$78,Settings!$H$80,Settings!$H$82,Settings!$H$84,Settings!$H$86))*(1-Settings!$H$68)/6,2)*6,"")</f>
        <v/>
      </c>
      <c r="AE703" s="142">
        <f>IFERROR(CHOOSE(MATCH(IF($E703="","Основний",$E703),{"Трафіковий","Основний","Маржинальний","Сезонний","Стратегічний"},0),Settings!$H$78,Settings!$H$80,Settings!$H$82,Settings!$H$84,Settings!$H$86)+(1-(CHOOSE(MATCH(IF($E703="","Основний",$E703),{"Трафіковий","Основний","Маржинальний","Сезонний","Стратегічний"},0),Settings!$H$78,Settings!$H$80,Settings!$H$82,Settings!$H$84,Settings!$H$86)))*Settings!$H$68,"")</f>
        <v/>
      </c>
      <c r="AF703" s="148">
        <f>IFERROR((AD703*(1-Settings!$H$17)-C703)/(AD703*(1-Settings!$H$17)),"")</f>
        <v/>
      </c>
      <c r="AG703" s="150">
        <f>IFERROR(IF(AD703="","",IF(AD703&gt;=C703/(1-SKU_Base!AF703)/(1-Settings!$H$17),"OK",IF(AD703&gt;=C703/(1-SKU_Base!AM703)/(1-Settings!$H$17),"WARN","STOP"))),"")</f>
        <v/>
      </c>
    </row>
    <row r="704" ht="17" customHeight="1" s="179">
      <c r="A704" s="139">
        <f>SKU_Base!B704</f>
        <v/>
      </c>
      <c r="B704" s="139">
        <f>SKU_Base!C704</f>
        <v/>
      </c>
      <c r="C704" s="140">
        <f>IFERROR(SKU_Base!I704,"")</f>
        <v/>
      </c>
      <c r="D704" s="163">
        <f>IFERROR(SKU_Base!T704,"")</f>
        <v/>
      </c>
      <c r="E704" s="141">
        <f>IFERROR(SKU_Base!$U704,"")</f>
        <v/>
      </c>
      <c r="F704" s="158">
        <f>IFERROR(ROUND(D704*(1-CHOOSE(MATCH(IF($E704="","Основний",$E704),{"Трафіковий","Основний","Маржинальний","Сезонний","Стратегічний"},0),Settings!$B$78,Settings!$B$80,Settings!$B$82,Settings!$B$84,Settings!$B$86))/6,2)*6,"")</f>
        <v/>
      </c>
      <c r="G704" s="142">
        <f>IFERROR(CHOOSE(MATCH(IF($E704="","Основний",$E704),{"Трафіковий","Основний","Маржинальний","Сезонний","Стратегічний"},0),Settings!$B$78,Settings!$B$80,Settings!$B$82,Settings!$B$84,Settings!$B$86),"")</f>
        <v/>
      </c>
      <c r="H704" s="143">
        <f>IFERROR((F704*(1-Settings!$B$17)-C704)/(F704*(1-Settings!$B$17)),"")</f>
        <v/>
      </c>
      <c r="I704" s="149">
        <f>IFERROR(IF(F704="","",IF(F704&gt;=C704/(1-SKU_Base!Z704)/(1-Settings!$B$17),"OK",IF(F704&gt;=C704/(1-SKU_Base!AG704)/(1-Settings!$B$17),"WARN","STOP"))),"")</f>
        <v/>
      </c>
      <c r="J704" s="158">
        <f>IFERROR(ROUND(D704*(1-CHOOSE(MATCH(IF($E704="","Основний",$E704),{"Трафіковий","Основний","Маржинальний","Сезонний","Стратегічний"},0),Settings!$C$78,Settings!$C$80,Settings!$C$82,Settings!$C$84,Settings!$C$86))/6,2)*6,"")</f>
        <v/>
      </c>
      <c r="K704" s="142">
        <f>IFERROR(CHOOSE(MATCH(IF($E704="","Основний",$E704),{"Трафіковий","Основний","Маржинальний","Сезонний","Стратегічний"},0),Settings!$C$78,Settings!$C$80,Settings!$C$82,Settings!$C$84,Settings!$C$86),"")</f>
        <v/>
      </c>
      <c r="L704" s="143">
        <f>IFERROR((J704*(1-Settings!$C$17)-C704)/(J704*(1-Settings!$C$17)),"")</f>
        <v/>
      </c>
      <c r="M704" s="149">
        <f>IFERROR(IF(J704="","",IF(J704&gt;=C704/(1-SKU_Base!AA704)/(1-Settings!$C$17),"OK",IF(J704&gt;=C704/(1-SKU_Base!AH704)/(1-Settings!$C$17),"WARN","STOP"))),"")</f>
        <v/>
      </c>
      <c r="N704" s="159">
        <f>IFERROR(ROUND(D704*(1-CHOOSE(MATCH(IF($E704="","Основний",$E704),{"Трафіковий","Основний","Маржинальний","Сезонний","Стратегічний"},0),Settings!$D$78,Settings!$D$80,Settings!$D$82,Settings!$D$84,Settings!$D$86))/6,2)*6,"")</f>
        <v/>
      </c>
      <c r="O704" s="142">
        <f>IFERROR(CHOOSE(MATCH(IF($E704="","Основний",$E704),{"Трафіковий","Основний","Маржинальний","Сезонний","Стратегічний"},0),Settings!$D$78,Settings!$D$80,Settings!$D$82,Settings!$D$84,Settings!$D$86),"")</f>
        <v/>
      </c>
      <c r="P704" s="143">
        <f>IFERROR((N704*(1-Settings!$D$17)-C704)/(N704*(1-Settings!$D$17)),"")</f>
        <v/>
      </c>
      <c r="Q704" s="149">
        <f>IFERROR(IF(N704="","",IF(N704&gt;=C704/(1-SKU_Base!AB704)/(1-Settings!$D$17),"OK",IF(N704&gt;=C704/(1-SKU_Base!AI704)/(1-Settings!$D$17),"WARN","STOP"))),"")</f>
        <v/>
      </c>
      <c r="R704" s="159">
        <f>IFERROR(ROUND(D704*(1-CHOOSE(MATCH(IF($E704="","Основний",$E704),{"Трафіковий","Основний","Маржинальний","Сезонний","Стратегічний"},0),Settings!$E$78,Settings!$E$80,Settings!$E$82,Settings!$E$84,Settings!$E$86))/6,2)*6,"")</f>
        <v/>
      </c>
      <c r="S704" s="142">
        <f>IFERROR(CHOOSE(MATCH(IF($E704="","Основний",$E704),{"Трафіковий","Основний","Маржинальний","Сезонний","Стратегічний"},0),Settings!$E$78,Settings!$E$80,Settings!$E$82,Settings!$E$84,Settings!$E$86),"")</f>
        <v/>
      </c>
      <c r="T704" s="143">
        <f>IFERROR((R704*(1-Settings!$E$17)-C704)/(R704*(1-Settings!$E$17)),"")</f>
        <v/>
      </c>
      <c r="U704" s="149">
        <f>IFERROR(IF(R704="","",IF(R704&gt;=C704/(1-SKU_Base!AC704)/(1-Settings!$E$17),"OK",IF(R704&gt;=C704/(1-SKU_Base!AJ704)/(1-Settings!$E$17),"WARN","STOP"))),"")</f>
        <v/>
      </c>
      <c r="V704" s="159">
        <f>IFERROR(ROUND(D704*(1-CHOOSE(MATCH(IF($E704="","Основний",$E704),{"Трафіковий","Основний","Маржинальний","Сезонний","Стратегічний"},0),Settings!$F$78,Settings!$F$80,Settings!$F$82,Settings!$F$84,Settings!$F$86))/6,2)*6,"")</f>
        <v/>
      </c>
      <c r="W704" s="142">
        <f>IFERROR(CHOOSE(MATCH(IF($E704="","Основний",$E704),{"Трафіковий","Основний","Маржинальний","Сезонний","Стратегічний"},0),Settings!$F$78,Settings!$F$80,Settings!$F$82,Settings!$F$84,Settings!$F$86),"")</f>
        <v/>
      </c>
      <c r="X704" s="143">
        <f>IFERROR((V704*(1-Settings!$F$17)-C704)/(V704*(1-Settings!$F$17)),"")</f>
        <v/>
      </c>
      <c r="Y704" s="149">
        <f>IFERROR(IF(V704="","",IF(V704&gt;=C704/(1-SKU_Base!AD704)/(1-Settings!$F$17),"OK",IF(V704&gt;=C704/(1-SKU_Base!AK704)/(1-Settings!$F$17),"WARN","STOP"))),"")</f>
        <v/>
      </c>
      <c r="Z704" s="159">
        <f>IFERROR(ROUND(D704*(1-CHOOSE(MATCH(IF($E704="","Основний",$E704),{"Трафіковий","Основний","Маржинальний","Сезонний","Стратегічний"},0),Settings!$G$78,Settings!$G$80,Settings!$G$82,Settings!$G$84,Settings!$G$86))/6,2)*6,"")</f>
        <v/>
      </c>
      <c r="AA704" s="142">
        <f>IFERROR(CHOOSE(MATCH(IF($E704="","Основний",$E704),{"Трафіковий","Основний","Маржинальний","Сезонний","Стратегічний"},0),Settings!$G$78,Settings!$G$80,Settings!$G$82,Settings!$G$84,Settings!$G$86),"")</f>
        <v/>
      </c>
      <c r="AB704" s="143">
        <f>IFERROR((Z704*(1-Settings!$G$17)-C704)/(Z704*(1-Settings!$G$17)),"")</f>
        <v/>
      </c>
      <c r="AC704" s="149">
        <f>IFERROR(IF(Z704="","",IF(Z704&gt;=C704/(1-SKU_Base!AE704)/(1-Settings!$G$17),"OK",IF(Z704&gt;=C704/(1-SKU_Base!AL704)/(1-Settings!$G$17),"WARN","STOP"))),"")</f>
        <v/>
      </c>
      <c r="AD704" s="159">
        <f>IFERROR(ROUND(D704*(1-CHOOSE(MATCH(IF($E704="","Основний",$E704),{"Трафіковий","Основний","Маржинальний","Сезонний","Стратегічний"},0),Settings!$H$78,Settings!$H$80,Settings!$H$82,Settings!$H$84,Settings!$H$86))*(1-Settings!$H$68)/6,2)*6,"")</f>
        <v/>
      </c>
      <c r="AE704" s="142">
        <f>IFERROR(CHOOSE(MATCH(IF($E704="","Основний",$E704),{"Трафіковий","Основний","Маржинальний","Сезонний","Стратегічний"},0),Settings!$H$78,Settings!$H$80,Settings!$H$82,Settings!$H$84,Settings!$H$86)+(1-(CHOOSE(MATCH(IF($E704="","Основний",$E704),{"Трафіковий","Основний","Маржинальний","Сезонний","Стратегічний"},0),Settings!$H$78,Settings!$H$80,Settings!$H$82,Settings!$H$84,Settings!$H$86)))*Settings!$H$68,"")</f>
        <v/>
      </c>
      <c r="AF704" s="143">
        <f>IFERROR((AD704*(1-Settings!$H$17)-C704)/(AD704*(1-Settings!$H$17)),"")</f>
        <v/>
      </c>
      <c r="AG704" s="150">
        <f>IFERROR(IF(AD704="","",IF(AD704&gt;=C704/(1-SKU_Base!AF704)/(1-Settings!$H$17),"OK",IF(AD704&gt;=C704/(1-SKU_Base!AM704)/(1-Settings!$H$17),"WARN","STOP"))),"")</f>
        <v/>
      </c>
    </row>
    <row r="705" ht="17" customHeight="1" s="179">
      <c r="A705" s="146">
        <f>SKU_Base!B705</f>
        <v/>
      </c>
      <c r="B705" s="146">
        <f>SKU_Base!C705</f>
        <v/>
      </c>
      <c r="C705" s="147">
        <f>IFERROR(SKU_Base!I705,"")</f>
        <v/>
      </c>
      <c r="D705" s="164">
        <f>IFERROR(SKU_Base!T705,"")</f>
        <v/>
      </c>
      <c r="E705" s="141">
        <f>IFERROR(SKU_Base!$U705,"")</f>
        <v/>
      </c>
      <c r="F705" s="160">
        <f>IFERROR(ROUND(D705*(1-CHOOSE(MATCH(IF($E705="","Основний",$E705),{"Трафіковий","Основний","Маржинальний","Сезонний","Стратегічний"},0),Settings!$B$78,Settings!$B$80,Settings!$B$82,Settings!$B$84,Settings!$B$86))/6,2)*6,"")</f>
        <v/>
      </c>
      <c r="G705" s="142">
        <f>IFERROR(CHOOSE(MATCH(IF($E705="","Основний",$E705),{"Трафіковий","Основний","Маржинальний","Сезонний","Стратегічний"},0),Settings!$B$78,Settings!$B$80,Settings!$B$82,Settings!$B$84,Settings!$B$86),"")</f>
        <v/>
      </c>
      <c r="H705" s="148">
        <f>IFERROR((F705*(1-Settings!$B$17)-C705)/(F705*(1-Settings!$B$17)),"")</f>
        <v/>
      </c>
      <c r="I705" s="149">
        <f>IFERROR(IF(F705="","",IF(F705&gt;=C705/(1-SKU_Base!Z705)/(1-Settings!$B$17),"OK",IF(F705&gt;=C705/(1-SKU_Base!AG705)/(1-Settings!$B$17),"WARN","STOP"))),"")</f>
        <v/>
      </c>
      <c r="J705" s="160">
        <f>IFERROR(ROUND(D705*(1-CHOOSE(MATCH(IF($E705="","Основний",$E705),{"Трафіковий","Основний","Маржинальний","Сезонний","Стратегічний"},0),Settings!$C$78,Settings!$C$80,Settings!$C$82,Settings!$C$84,Settings!$C$86))/6,2)*6,"")</f>
        <v/>
      </c>
      <c r="K705" s="142">
        <f>IFERROR(CHOOSE(MATCH(IF($E705="","Основний",$E705),{"Трафіковий","Основний","Маржинальний","Сезонний","Стратегічний"},0),Settings!$C$78,Settings!$C$80,Settings!$C$82,Settings!$C$84,Settings!$C$86),"")</f>
        <v/>
      </c>
      <c r="L705" s="148">
        <f>IFERROR((J705*(1-Settings!$C$17)-C705)/(J705*(1-Settings!$C$17)),"")</f>
        <v/>
      </c>
      <c r="M705" s="149">
        <f>IFERROR(IF(J705="","",IF(J705&gt;=C705/(1-SKU_Base!AA705)/(1-Settings!$C$17),"OK",IF(J705&gt;=C705/(1-SKU_Base!AH705)/(1-Settings!$C$17),"WARN","STOP"))),"")</f>
        <v/>
      </c>
      <c r="N705" s="161">
        <f>IFERROR(ROUND(D705*(1-CHOOSE(MATCH(IF($E705="","Основний",$E705),{"Трафіковий","Основний","Маржинальний","Сезонний","Стратегічний"},0),Settings!$D$78,Settings!$D$80,Settings!$D$82,Settings!$D$84,Settings!$D$86))/6,2)*6,"")</f>
        <v/>
      </c>
      <c r="O705" s="142">
        <f>IFERROR(CHOOSE(MATCH(IF($E705="","Основний",$E705),{"Трафіковий","Основний","Маржинальний","Сезонний","Стратегічний"},0),Settings!$D$78,Settings!$D$80,Settings!$D$82,Settings!$D$84,Settings!$D$86),"")</f>
        <v/>
      </c>
      <c r="P705" s="148">
        <f>IFERROR((N705*(1-Settings!$D$17)-C705)/(N705*(1-Settings!$D$17)),"")</f>
        <v/>
      </c>
      <c r="Q705" s="149">
        <f>IFERROR(IF(N705="","",IF(N705&gt;=C705/(1-SKU_Base!AB705)/(1-Settings!$D$17),"OK",IF(N705&gt;=C705/(1-SKU_Base!AI705)/(1-Settings!$D$17),"WARN","STOP"))),"")</f>
        <v/>
      </c>
      <c r="R705" s="161">
        <f>IFERROR(ROUND(D705*(1-CHOOSE(MATCH(IF($E705="","Основний",$E705),{"Трафіковий","Основний","Маржинальний","Сезонний","Стратегічний"},0),Settings!$E$78,Settings!$E$80,Settings!$E$82,Settings!$E$84,Settings!$E$86))/6,2)*6,"")</f>
        <v/>
      </c>
      <c r="S705" s="142">
        <f>IFERROR(CHOOSE(MATCH(IF($E705="","Основний",$E705),{"Трафіковий","Основний","Маржинальний","Сезонний","Стратегічний"},0),Settings!$E$78,Settings!$E$80,Settings!$E$82,Settings!$E$84,Settings!$E$86),"")</f>
        <v/>
      </c>
      <c r="T705" s="148">
        <f>IFERROR((R705*(1-Settings!$E$17)-C705)/(R705*(1-Settings!$E$17)),"")</f>
        <v/>
      </c>
      <c r="U705" s="149">
        <f>IFERROR(IF(R705="","",IF(R705&gt;=C705/(1-SKU_Base!AC705)/(1-Settings!$E$17),"OK",IF(R705&gt;=C705/(1-SKU_Base!AJ705)/(1-Settings!$E$17),"WARN","STOP"))),"")</f>
        <v/>
      </c>
      <c r="V705" s="161">
        <f>IFERROR(ROUND(D705*(1-CHOOSE(MATCH(IF($E705="","Основний",$E705),{"Трафіковий","Основний","Маржинальний","Сезонний","Стратегічний"},0),Settings!$F$78,Settings!$F$80,Settings!$F$82,Settings!$F$84,Settings!$F$86))/6,2)*6,"")</f>
        <v/>
      </c>
      <c r="W705" s="142">
        <f>IFERROR(CHOOSE(MATCH(IF($E705="","Основний",$E705),{"Трафіковий","Основний","Маржинальний","Сезонний","Стратегічний"},0),Settings!$F$78,Settings!$F$80,Settings!$F$82,Settings!$F$84,Settings!$F$86),"")</f>
        <v/>
      </c>
      <c r="X705" s="148">
        <f>IFERROR((V705*(1-Settings!$F$17)-C705)/(V705*(1-Settings!$F$17)),"")</f>
        <v/>
      </c>
      <c r="Y705" s="149">
        <f>IFERROR(IF(V705="","",IF(V705&gt;=C705/(1-SKU_Base!AD705)/(1-Settings!$F$17),"OK",IF(V705&gt;=C705/(1-SKU_Base!AK705)/(1-Settings!$F$17),"WARN","STOP"))),"")</f>
        <v/>
      </c>
      <c r="Z705" s="161">
        <f>IFERROR(ROUND(D705*(1-CHOOSE(MATCH(IF($E705="","Основний",$E705),{"Трафіковий","Основний","Маржинальний","Сезонний","Стратегічний"},0),Settings!$G$78,Settings!$G$80,Settings!$G$82,Settings!$G$84,Settings!$G$86))/6,2)*6,"")</f>
        <v/>
      </c>
      <c r="AA705" s="142">
        <f>IFERROR(CHOOSE(MATCH(IF($E705="","Основний",$E705),{"Трафіковий","Основний","Маржинальний","Сезонний","Стратегічний"},0),Settings!$G$78,Settings!$G$80,Settings!$G$82,Settings!$G$84,Settings!$G$86),"")</f>
        <v/>
      </c>
      <c r="AB705" s="148">
        <f>IFERROR((Z705*(1-Settings!$G$17)-C705)/(Z705*(1-Settings!$G$17)),"")</f>
        <v/>
      </c>
      <c r="AC705" s="149">
        <f>IFERROR(IF(Z705="","",IF(Z705&gt;=C705/(1-SKU_Base!AE705)/(1-Settings!$G$17),"OK",IF(Z705&gt;=C705/(1-SKU_Base!AL705)/(1-Settings!$G$17),"WARN","STOP"))),"")</f>
        <v/>
      </c>
      <c r="AD705" s="161">
        <f>IFERROR(ROUND(D705*(1-CHOOSE(MATCH(IF($E705="","Основний",$E705),{"Трафіковий","Основний","Маржинальний","Сезонний","Стратегічний"},0),Settings!$H$78,Settings!$H$80,Settings!$H$82,Settings!$H$84,Settings!$H$86))*(1-Settings!$H$68)/6,2)*6,"")</f>
        <v/>
      </c>
      <c r="AE705" s="142">
        <f>IFERROR(CHOOSE(MATCH(IF($E705="","Основний",$E705),{"Трафіковий","Основний","Маржинальний","Сезонний","Стратегічний"},0),Settings!$H$78,Settings!$H$80,Settings!$H$82,Settings!$H$84,Settings!$H$86)+(1-(CHOOSE(MATCH(IF($E705="","Основний",$E705),{"Трафіковий","Основний","Маржинальний","Сезонний","Стратегічний"},0),Settings!$H$78,Settings!$H$80,Settings!$H$82,Settings!$H$84,Settings!$H$86)))*Settings!$H$68,"")</f>
        <v/>
      </c>
      <c r="AF705" s="148">
        <f>IFERROR((AD705*(1-Settings!$H$17)-C705)/(AD705*(1-Settings!$H$17)),"")</f>
        <v/>
      </c>
      <c r="AG705" s="150">
        <f>IFERROR(IF(AD705="","",IF(AD705&gt;=C705/(1-SKU_Base!AF705)/(1-Settings!$H$17),"OK",IF(AD705&gt;=C705/(1-SKU_Base!AM705)/(1-Settings!$H$17),"WARN","STOP"))),"")</f>
        <v/>
      </c>
    </row>
    <row r="706" ht="17" customHeight="1" s="179">
      <c r="A706" s="139">
        <f>SKU_Base!B706</f>
        <v/>
      </c>
      <c r="B706" s="139">
        <f>SKU_Base!C706</f>
        <v/>
      </c>
      <c r="C706" s="140">
        <f>IFERROR(SKU_Base!I706,"")</f>
        <v/>
      </c>
      <c r="D706" s="163">
        <f>IFERROR(SKU_Base!T706,"")</f>
        <v/>
      </c>
      <c r="E706" s="141">
        <f>IFERROR(SKU_Base!$U706,"")</f>
        <v/>
      </c>
      <c r="F706" s="158">
        <f>IFERROR(ROUND(D706*(1-CHOOSE(MATCH(IF($E706="","Основний",$E706),{"Трафіковий","Основний","Маржинальний","Сезонний","Стратегічний"},0),Settings!$B$78,Settings!$B$80,Settings!$B$82,Settings!$B$84,Settings!$B$86))/6,2)*6,"")</f>
        <v/>
      </c>
      <c r="G706" s="142">
        <f>IFERROR(CHOOSE(MATCH(IF($E706="","Основний",$E706),{"Трафіковий","Основний","Маржинальний","Сезонний","Стратегічний"},0),Settings!$B$78,Settings!$B$80,Settings!$B$82,Settings!$B$84,Settings!$B$86),"")</f>
        <v/>
      </c>
      <c r="H706" s="143">
        <f>IFERROR((F706*(1-Settings!$B$17)-C706)/(F706*(1-Settings!$B$17)),"")</f>
        <v/>
      </c>
      <c r="I706" s="150">
        <f>IFERROR(IF(F706="","",IF(F706&gt;=C706/(1-SKU_Base!Z706)/(1-Settings!$B$17),"OK",IF(F706&gt;=C706/(1-SKU_Base!AG706)/(1-Settings!$B$17),"WARN","STOP"))),"")</f>
        <v/>
      </c>
      <c r="J706" s="158">
        <f>IFERROR(ROUND(D706*(1-CHOOSE(MATCH(IF($E706="","Основний",$E706),{"Трафіковий","Основний","Маржинальний","Сезонний","Стратегічний"},0),Settings!$C$78,Settings!$C$80,Settings!$C$82,Settings!$C$84,Settings!$C$86))/6,2)*6,"")</f>
        <v/>
      </c>
      <c r="K706" s="142">
        <f>IFERROR(CHOOSE(MATCH(IF($E706="","Основний",$E706),{"Трафіковий","Основний","Маржинальний","Сезонний","Стратегічний"},0),Settings!$C$78,Settings!$C$80,Settings!$C$82,Settings!$C$84,Settings!$C$86),"")</f>
        <v/>
      </c>
      <c r="L706" s="143">
        <f>IFERROR((J706*(1-Settings!$C$17)-C706)/(J706*(1-Settings!$C$17)),"")</f>
        <v/>
      </c>
      <c r="M706" s="149">
        <f>IFERROR(IF(J706="","",IF(J706&gt;=C706/(1-SKU_Base!AA706)/(1-Settings!$C$17),"OK",IF(J706&gt;=C706/(1-SKU_Base!AH706)/(1-Settings!$C$17),"WARN","STOP"))),"")</f>
        <v/>
      </c>
      <c r="N706" s="159">
        <f>IFERROR(ROUND(D706*(1-CHOOSE(MATCH(IF($E706="","Основний",$E706),{"Трафіковий","Основний","Маржинальний","Сезонний","Стратегічний"},0),Settings!$D$78,Settings!$D$80,Settings!$D$82,Settings!$D$84,Settings!$D$86))/6,2)*6,"")</f>
        <v/>
      </c>
      <c r="O706" s="142">
        <f>IFERROR(CHOOSE(MATCH(IF($E706="","Основний",$E706),{"Трафіковий","Основний","Маржинальний","Сезонний","Стратегічний"},0),Settings!$D$78,Settings!$D$80,Settings!$D$82,Settings!$D$84,Settings!$D$86),"")</f>
        <v/>
      </c>
      <c r="P706" s="143">
        <f>IFERROR((N706*(1-Settings!$D$17)-C706)/(N706*(1-Settings!$D$17)),"")</f>
        <v/>
      </c>
      <c r="Q706" s="149">
        <f>IFERROR(IF(N706="","",IF(N706&gt;=C706/(1-SKU_Base!AB706)/(1-Settings!$D$17),"OK",IF(N706&gt;=C706/(1-SKU_Base!AI706)/(1-Settings!$D$17),"WARN","STOP"))),"")</f>
        <v/>
      </c>
      <c r="R706" s="159">
        <f>IFERROR(ROUND(D706*(1-CHOOSE(MATCH(IF($E706="","Основний",$E706),{"Трафіковий","Основний","Маржинальний","Сезонний","Стратегічний"},0),Settings!$E$78,Settings!$E$80,Settings!$E$82,Settings!$E$84,Settings!$E$86))/6,2)*6,"")</f>
        <v/>
      </c>
      <c r="S706" s="142">
        <f>IFERROR(CHOOSE(MATCH(IF($E706="","Основний",$E706),{"Трафіковий","Основний","Маржинальний","Сезонний","Стратегічний"},0),Settings!$E$78,Settings!$E$80,Settings!$E$82,Settings!$E$84,Settings!$E$86),"")</f>
        <v/>
      </c>
      <c r="T706" s="143">
        <f>IFERROR((R706*(1-Settings!$E$17)-C706)/(R706*(1-Settings!$E$17)),"")</f>
        <v/>
      </c>
      <c r="U706" s="149">
        <f>IFERROR(IF(R706="","",IF(R706&gt;=C706/(1-SKU_Base!AC706)/(1-Settings!$E$17),"OK",IF(R706&gt;=C706/(1-SKU_Base!AJ706)/(1-Settings!$E$17),"WARN","STOP"))),"")</f>
        <v/>
      </c>
      <c r="V706" s="159">
        <f>IFERROR(ROUND(D706*(1-CHOOSE(MATCH(IF($E706="","Основний",$E706),{"Трафіковий","Основний","Маржинальний","Сезонний","Стратегічний"},0),Settings!$F$78,Settings!$F$80,Settings!$F$82,Settings!$F$84,Settings!$F$86))/6,2)*6,"")</f>
        <v/>
      </c>
      <c r="W706" s="142">
        <f>IFERROR(CHOOSE(MATCH(IF($E706="","Основний",$E706),{"Трафіковий","Основний","Маржинальний","Сезонний","Стратегічний"},0),Settings!$F$78,Settings!$F$80,Settings!$F$82,Settings!$F$84,Settings!$F$86),"")</f>
        <v/>
      </c>
      <c r="X706" s="143">
        <f>IFERROR((V706*(1-Settings!$F$17)-C706)/(V706*(1-Settings!$F$17)),"")</f>
        <v/>
      </c>
      <c r="Y706" s="149">
        <f>IFERROR(IF(V706="","",IF(V706&gt;=C706/(1-SKU_Base!AD706)/(1-Settings!$F$17),"OK",IF(V706&gt;=C706/(1-SKU_Base!AK706)/(1-Settings!$F$17),"WARN","STOP"))),"")</f>
        <v/>
      </c>
      <c r="Z706" s="159">
        <f>IFERROR(ROUND(D706*(1-CHOOSE(MATCH(IF($E706="","Основний",$E706),{"Трафіковий","Основний","Маржинальний","Сезонний","Стратегічний"},0),Settings!$G$78,Settings!$G$80,Settings!$G$82,Settings!$G$84,Settings!$G$86))/6,2)*6,"")</f>
        <v/>
      </c>
      <c r="AA706" s="142">
        <f>IFERROR(CHOOSE(MATCH(IF($E706="","Основний",$E706),{"Трафіковий","Основний","Маржинальний","Сезонний","Стратегічний"},0),Settings!$G$78,Settings!$G$80,Settings!$G$82,Settings!$G$84,Settings!$G$86),"")</f>
        <v/>
      </c>
      <c r="AB706" s="143">
        <f>IFERROR((Z706*(1-Settings!$G$17)-C706)/(Z706*(1-Settings!$G$17)),"")</f>
        <v/>
      </c>
      <c r="AC706" s="149">
        <f>IFERROR(IF(Z706="","",IF(Z706&gt;=C706/(1-SKU_Base!AE706)/(1-Settings!$G$17),"OK",IF(Z706&gt;=C706/(1-SKU_Base!AL706)/(1-Settings!$G$17),"WARN","STOP"))),"")</f>
        <v/>
      </c>
      <c r="AD706" s="159">
        <f>IFERROR(ROUND(D706*(1-CHOOSE(MATCH(IF($E706="","Основний",$E706),{"Трафіковий","Основний","Маржинальний","Сезонний","Стратегічний"},0),Settings!$H$78,Settings!$H$80,Settings!$H$82,Settings!$H$84,Settings!$H$86))*(1-Settings!$H$68)/6,2)*6,"")</f>
        <v/>
      </c>
      <c r="AE706" s="142">
        <f>IFERROR(CHOOSE(MATCH(IF($E706="","Основний",$E706),{"Трафіковий","Основний","Маржинальний","Сезонний","Стратегічний"},0),Settings!$H$78,Settings!$H$80,Settings!$H$82,Settings!$H$84,Settings!$H$86)+(1-(CHOOSE(MATCH(IF($E706="","Основний",$E706),{"Трафіковий","Основний","Маржинальний","Сезонний","Стратегічний"},0),Settings!$H$78,Settings!$H$80,Settings!$H$82,Settings!$H$84,Settings!$H$86)))*Settings!$H$68,"")</f>
        <v/>
      </c>
      <c r="AF706" s="143">
        <f>IFERROR((AD706*(1-Settings!$H$17)-C706)/(AD706*(1-Settings!$H$17)),"")</f>
        <v/>
      </c>
      <c r="AG706" s="150">
        <f>IFERROR(IF(AD706="","",IF(AD706&gt;=C706/(1-SKU_Base!AF706)/(1-Settings!$H$17),"OK",IF(AD706&gt;=C706/(1-SKU_Base!AM706)/(1-Settings!$H$17),"WARN","STOP"))),"")</f>
        <v/>
      </c>
    </row>
    <row r="707" ht="17" customHeight="1" s="179">
      <c r="A707" s="146">
        <f>SKU_Base!B707</f>
        <v/>
      </c>
      <c r="B707" s="146">
        <f>SKU_Base!C707</f>
        <v/>
      </c>
      <c r="C707" s="147">
        <f>IFERROR(SKU_Base!I707,"")</f>
        <v/>
      </c>
      <c r="D707" s="164">
        <f>IFERROR(SKU_Base!T707,"")</f>
        <v/>
      </c>
      <c r="E707" s="141">
        <f>IFERROR(SKU_Base!$U707,"")</f>
        <v/>
      </c>
      <c r="F707" s="160">
        <f>IFERROR(ROUND(D707*(1-CHOOSE(MATCH(IF($E707="","Основний",$E707),{"Трафіковий","Основний","Маржинальний","Сезонний","Стратегічний"},0),Settings!$B$78,Settings!$B$80,Settings!$B$82,Settings!$B$84,Settings!$B$86))/6,2)*6,"")</f>
        <v/>
      </c>
      <c r="G707" s="142">
        <f>IFERROR(CHOOSE(MATCH(IF($E707="","Основний",$E707),{"Трафіковий","Основний","Маржинальний","Сезонний","Стратегічний"},0),Settings!$B$78,Settings!$B$80,Settings!$B$82,Settings!$B$84,Settings!$B$86),"")</f>
        <v/>
      </c>
      <c r="H707" s="148">
        <f>IFERROR((F707*(1-Settings!$B$17)-C707)/(F707*(1-Settings!$B$17)),"")</f>
        <v/>
      </c>
      <c r="I707" s="149">
        <f>IFERROR(IF(F707="","",IF(F707&gt;=C707/(1-SKU_Base!Z707)/(1-Settings!$B$17),"OK",IF(F707&gt;=C707/(1-SKU_Base!AG707)/(1-Settings!$B$17),"WARN","STOP"))),"")</f>
        <v/>
      </c>
      <c r="J707" s="160">
        <f>IFERROR(ROUND(D707*(1-CHOOSE(MATCH(IF($E707="","Основний",$E707),{"Трафіковий","Основний","Маржинальний","Сезонний","Стратегічний"},0),Settings!$C$78,Settings!$C$80,Settings!$C$82,Settings!$C$84,Settings!$C$86))/6,2)*6,"")</f>
        <v/>
      </c>
      <c r="K707" s="142">
        <f>IFERROR(CHOOSE(MATCH(IF($E707="","Основний",$E707),{"Трафіковий","Основний","Маржинальний","Сезонний","Стратегічний"},0),Settings!$C$78,Settings!$C$80,Settings!$C$82,Settings!$C$84,Settings!$C$86),"")</f>
        <v/>
      </c>
      <c r="L707" s="148">
        <f>IFERROR((J707*(1-Settings!$C$17)-C707)/(J707*(1-Settings!$C$17)),"")</f>
        <v/>
      </c>
      <c r="M707" s="149">
        <f>IFERROR(IF(J707="","",IF(J707&gt;=C707/(1-SKU_Base!AA707)/(1-Settings!$C$17),"OK",IF(J707&gt;=C707/(1-SKU_Base!AH707)/(1-Settings!$C$17),"WARN","STOP"))),"")</f>
        <v/>
      </c>
      <c r="N707" s="161">
        <f>IFERROR(ROUND(D707*(1-CHOOSE(MATCH(IF($E707="","Основний",$E707),{"Трафіковий","Основний","Маржинальний","Сезонний","Стратегічний"},0),Settings!$D$78,Settings!$D$80,Settings!$D$82,Settings!$D$84,Settings!$D$86))/6,2)*6,"")</f>
        <v/>
      </c>
      <c r="O707" s="142">
        <f>IFERROR(CHOOSE(MATCH(IF($E707="","Основний",$E707),{"Трафіковий","Основний","Маржинальний","Сезонний","Стратегічний"},0),Settings!$D$78,Settings!$D$80,Settings!$D$82,Settings!$D$84,Settings!$D$86),"")</f>
        <v/>
      </c>
      <c r="P707" s="148">
        <f>IFERROR((N707*(1-Settings!$D$17)-C707)/(N707*(1-Settings!$D$17)),"")</f>
        <v/>
      </c>
      <c r="Q707" s="149">
        <f>IFERROR(IF(N707="","",IF(N707&gt;=C707/(1-SKU_Base!AB707)/(1-Settings!$D$17),"OK",IF(N707&gt;=C707/(1-SKU_Base!AI707)/(1-Settings!$D$17),"WARN","STOP"))),"")</f>
        <v/>
      </c>
      <c r="R707" s="161">
        <f>IFERROR(ROUND(D707*(1-CHOOSE(MATCH(IF($E707="","Основний",$E707),{"Трафіковий","Основний","Маржинальний","Сезонний","Стратегічний"},0),Settings!$E$78,Settings!$E$80,Settings!$E$82,Settings!$E$84,Settings!$E$86))/6,2)*6,"")</f>
        <v/>
      </c>
      <c r="S707" s="142">
        <f>IFERROR(CHOOSE(MATCH(IF($E707="","Основний",$E707),{"Трафіковий","Основний","Маржинальний","Сезонний","Стратегічний"},0),Settings!$E$78,Settings!$E$80,Settings!$E$82,Settings!$E$84,Settings!$E$86),"")</f>
        <v/>
      </c>
      <c r="T707" s="148">
        <f>IFERROR((R707*(1-Settings!$E$17)-C707)/(R707*(1-Settings!$E$17)),"")</f>
        <v/>
      </c>
      <c r="U707" s="149">
        <f>IFERROR(IF(R707="","",IF(R707&gt;=C707/(1-SKU_Base!AC707)/(1-Settings!$E$17),"OK",IF(R707&gt;=C707/(1-SKU_Base!AJ707)/(1-Settings!$E$17),"WARN","STOP"))),"")</f>
        <v/>
      </c>
      <c r="V707" s="161">
        <f>IFERROR(ROUND(D707*(1-CHOOSE(MATCH(IF($E707="","Основний",$E707),{"Трафіковий","Основний","Маржинальний","Сезонний","Стратегічний"},0),Settings!$F$78,Settings!$F$80,Settings!$F$82,Settings!$F$84,Settings!$F$86))/6,2)*6,"")</f>
        <v/>
      </c>
      <c r="W707" s="142">
        <f>IFERROR(CHOOSE(MATCH(IF($E707="","Основний",$E707),{"Трафіковий","Основний","Маржинальний","Сезонний","Стратегічний"},0),Settings!$F$78,Settings!$F$80,Settings!$F$82,Settings!$F$84,Settings!$F$86),"")</f>
        <v/>
      </c>
      <c r="X707" s="148">
        <f>IFERROR((V707*(1-Settings!$F$17)-C707)/(V707*(1-Settings!$F$17)),"")</f>
        <v/>
      </c>
      <c r="Y707" s="149">
        <f>IFERROR(IF(V707="","",IF(V707&gt;=C707/(1-SKU_Base!AD707)/(1-Settings!$F$17),"OK",IF(V707&gt;=C707/(1-SKU_Base!AK707)/(1-Settings!$F$17),"WARN","STOP"))),"")</f>
        <v/>
      </c>
      <c r="Z707" s="161">
        <f>IFERROR(ROUND(D707*(1-CHOOSE(MATCH(IF($E707="","Основний",$E707),{"Трафіковий","Основний","Маржинальний","Сезонний","Стратегічний"},0),Settings!$G$78,Settings!$G$80,Settings!$G$82,Settings!$G$84,Settings!$G$86))/6,2)*6,"")</f>
        <v/>
      </c>
      <c r="AA707" s="142">
        <f>IFERROR(CHOOSE(MATCH(IF($E707="","Основний",$E707),{"Трафіковий","Основний","Маржинальний","Сезонний","Стратегічний"},0),Settings!$G$78,Settings!$G$80,Settings!$G$82,Settings!$G$84,Settings!$G$86),"")</f>
        <v/>
      </c>
      <c r="AB707" s="148">
        <f>IFERROR((Z707*(1-Settings!$G$17)-C707)/(Z707*(1-Settings!$G$17)),"")</f>
        <v/>
      </c>
      <c r="AC707" s="149">
        <f>IFERROR(IF(Z707="","",IF(Z707&gt;=C707/(1-SKU_Base!AE707)/(1-Settings!$G$17),"OK",IF(Z707&gt;=C707/(1-SKU_Base!AL707)/(1-Settings!$G$17),"WARN","STOP"))),"")</f>
        <v/>
      </c>
      <c r="AD707" s="161">
        <f>IFERROR(ROUND(D707*(1-CHOOSE(MATCH(IF($E707="","Основний",$E707),{"Трафіковий","Основний","Маржинальний","Сезонний","Стратегічний"},0),Settings!$H$78,Settings!$H$80,Settings!$H$82,Settings!$H$84,Settings!$H$86))*(1-Settings!$H$68)/6,2)*6,"")</f>
        <v/>
      </c>
      <c r="AE707" s="142">
        <f>IFERROR(CHOOSE(MATCH(IF($E707="","Основний",$E707),{"Трафіковий","Основний","Маржинальний","Сезонний","Стратегічний"},0),Settings!$H$78,Settings!$H$80,Settings!$H$82,Settings!$H$84,Settings!$H$86)+(1-(CHOOSE(MATCH(IF($E707="","Основний",$E707),{"Трафіковий","Основний","Маржинальний","Сезонний","Стратегічний"},0),Settings!$H$78,Settings!$H$80,Settings!$H$82,Settings!$H$84,Settings!$H$86)))*Settings!$H$68,"")</f>
        <v/>
      </c>
      <c r="AF707" s="148">
        <f>IFERROR((AD707*(1-Settings!$H$17)-C707)/(AD707*(1-Settings!$H$17)),"")</f>
        <v/>
      </c>
      <c r="AG707" s="150">
        <f>IFERROR(IF(AD707="","",IF(AD707&gt;=C707/(1-SKU_Base!AF707)/(1-Settings!$H$17),"OK",IF(AD707&gt;=C707/(1-SKU_Base!AM707)/(1-Settings!$H$17),"WARN","STOP"))),"")</f>
        <v/>
      </c>
    </row>
    <row r="708" ht="17" customHeight="1" s="179">
      <c r="A708" s="139">
        <f>SKU_Base!B708</f>
        <v/>
      </c>
      <c r="B708" s="139">
        <f>SKU_Base!C708</f>
        <v/>
      </c>
      <c r="C708" s="140">
        <f>IFERROR(SKU_Base!I708,"")</f>
        <v/>
      </c>
      <c r="D708" s="163">
        <f>IFERROR(SKU_Base!T708,"")</f>
        <v/>
      </c>
      <c r="E708" s="141">
        <f>IFERROR(SKU_Base!$U708,"")</f>
        <v/>
      </c>
      <c r="F708" s="158">
        <f>IFERROR(ROUND(D708*(1-CHOOSE(MATCH(IF($E708="","Основний",$E708),{"Трафіковий","Основний","Маржинальний","Сезонний","Стратегічний"},0),Settings!$B$78,Settings!$B$80,Settings!$B$82,Settings!$B$84,Settings!$B$86))/6,2)*6,"")</f>
        <v/>
      </c>
      <c r="G708" s="142">
        <f>IFERROR(CHOOSE(MATCH(IF($E708="","Основний",$E708),{"Трафіковий","Основний","Маржинальний","Сезонний","Стратегічний"},0),Settings!$B$78,Settings!$B$80,Settings!$B$82,Settings!$B$84,Settings!$B$86),"")</f>
        <v/>
      </c>
      <c r="H708" s="143">
        <f>IFERROR((F708*(1-Settings!$B$17)-C708)/(F708*(1-Settings!$B$17)),"")</f>
        <v/>
      </c>
      <c r="I708" s="150">
        <f>IFERROR(IF(F708="","",IF(F708&gt;=C708/(1-SKU_Base!Z708)/(1-Settings!$B$17),"OK",IF(F708&gt;=C708/(1-SKU_Base!AG708)/(1-Settings!$B$17),"WARN","STOP"))),"")</f>
        <v/>
      </c>
      <c r="J708" s="158">
        <f>IFERROR(ROUND(D708*(1-CHOOSE(MATCH(IF($E708="","Основний",$E708),{"Трафіковий","Основний","Маржинальний","Сезонний","Стратегічний"},0),Settings!$C$78,Settings!$C$80,Settings!$C$82,Settings!$C$84,Settings!$C$86))/6,2)*6,"")</f>
        <v/>
      </c>
      <c r="K708" s="142">
        <f>IFERROR(CHOOSE(MATCH(IF($E708="","Основний",$E708),{"Трафіковий","Основний","Маржинальний","Сезонний","Стратегічний"},0),Settings!$C$78,Settings!$C$80,Settings!$C$82,Settings!$C$84,Settings!$C$86),"")</f>
        <v/>
      </c>
      <c r="L708" s="143">
        <f>IFERROR((J708*(1-Settings!$C$17)-C708)/(J708*(1-Settings!$C$17)),"")</f>
        <v/>
      </c>
      <c r="M708" s="149">
        <f>IFERROR(IF(J708="","",IF(J708&gt;=C708/(1-SKU_Base!AA708)/(1-Settings!$C$17),"OK",IF(J708&gt;=C708/(1-SKU_Base!AH708)/(1-Settings!$C$17),"WARN","STOP"))),"")</f>
        <v/>
      </c>
      <c r="N708" s="159">
        <f>IFERROR(ROUND(D708*(1-CHOOSE(MATCH(IF($E708="","Основний",$E708),{"Трафіковий","Основний","Маржинальний","Сезонний","Стратегічний"},0),Settings!$D$78,Settings!$D$80,Settings!$D$82,Settings!$D$84,Settings!$D$86))/6,2)*6,"")</f>
        <v/>
      </c>
      <c r="O708" s="142">
        <f>IFERROR(CHOOSE(MATCH(IF($E708="","Основний",$E708),{"Трафіковий","Основний","Маржинальний","Сезонний","Стратегічний"},0),Settings!$D$78,Settings!$D$80,Settings!$D$82,Settings!$D$84,Settings!$D$86),"")</f>
        <v/>
      </c>
      <c r="P708" s="143">
        <f>IFERROR((N708*(1-Settings!$D$17)-C708)/(N708*(1-Settings!$D$17)),"")</f>
        <v/>
      </c>
      <c r="Q708" s="149">
        <f>IFERROR(IF(N708="","",IF(N708&gt;=C708/(1-SKU_Base!AB708)/(1-Settings!$D$17),"OK",IF(N708&gt;=C708/(1-SKU_Base!AI708)/(1-Settings!$D$17),"WARN","STOP"))),"")</f>
        <v/>
      </c>
      <c r="R708" s="159">
        <f>IFERROR(ROUND(D708*(1-CHOOSE(MATCH(IF($E708="","Основний",$E708),{"Трафіковий","Основний","Маржинальний","Сезонний","Стратегічний"},0),Settings!$E$78,Settings!$E$80,Settings!$E$82,Settings!$E$84,Settings!$E$86))/6,2)*6,"")</f>
        <v/>
      </c>
      <c r="S708" s="142">
        <f>IFERROR(CHOOSE(MATCH(IF($E708="","Основний",$E708),{"Трафіковий","Основний","Маржинальний","Сезонний","Стратегічний"},0),Settings!$E$78,Settings!$E$80,Settings!$E$82,Settings!$E$84,Settings!$E$86),"")</f>
        <v/>
      </c>
      <c r="T708" s="143">
        <f>IFERROR((R708*(1-Settings!$E$17)-C708)/(R708*(1-Settings!$E$17)),"")</f>
        <v/>
      </c>
      <c r="U708" s="149">
        <f>IFERROR(IF(R708="","",IF(R708&gt;=C708/(1-SKU_Base!AC708)/(1-Settings!$E$17),"OK",IF(R708&gt;=C708/(1-SKU_Base!AJ708)/(1-Settings!$E$17),"WARN","STOP"))),"")</f>
        <v/>
      </c>
      <c r="V708" s="159">
        <f>IFERROR(ROUND(D708*(1-CHOOSE(MATCH(IF($E708="","Основний",$E708),{"Трафіковий","Основний","Маржинальний","Сезонний","Стратегічний"},0),Settings!$F$78,Settings!$F$80,Settings!$F$82,Settings!$F$84,Settings!$F$86))/6,2)*6,"")</f>
        <v/>
      </c>
      <c r="W708" s="142">
        <f>IFERROR(CHOOSE(MATCH(IF($E708="","Основний",$E708),{"Трафіковий","Основний","Маржинальний","Сезонний","Стратегічний"},0),Settings!$F$78,Settings!$F$80,Settings!$F$82,Settings!$F$84,Settings!$F$86),"")</f>
        <v/>
      </c>
      <c r="X708" s="143">
        <f>IFERROR((V708*(1-Settings!$F$17)-C708)/(V708*(1-Settings!$F$17)),"")</f>
        <v/>
      </c>
      <c r="Y708" s="149">
        <f>IFERROR(IF(V708="","",IF(V708&gt;=C708/(1-SKU_Base!AD708)/(1-Settings!$F$17),"OK",IF(V708&gt;=C708/(1-SKU_Base!AK708)/(1-Settings!$F$17),"WARN","STOP"))),"")</f>
        <v/>
      </c>
      <c r="Z708" s="159">
        <f>IFERROR(ROUND(D708*(1-CHOOSE(MATCH(IF($E708="","Основний",$E708),{"Трафіковий","Основний","Маржинальний","Сезонний","Стратегічний"},0),Settings!$G$78,Settings!$G$80,Settings!$G$82,Settings!$G$84,Settings!$G$86))/6,2)*6,"")</f>
        <v/>
      </c>
      <c r="AA708" s="142">
        <f>IFERROR(CHOOSE(MATCH(IF($E708="","Основний",$E708),{"Трафіковий","Основний","Маржинальний","Сезонний","Стратегічний"},0),Settings!$G$78,Settings!$G$80,Settings!$G$82,Settings!$G$84,Settings!$G$86),"")</f>
        <v/>
      </c>
      <c r="AB708" s="143">
        <f>IFERROR((Z708*(1-Settings!$G$17)-C708)/(Z708*(1-Settings!$G$17)),"")</f>
        <v/>
      </c>
      <c r="AC708" s="149">
        <f>IFERROR(IF(Z708="","",IF(Z708&gt;=C708/(1-SKU_Base!AE708)/(1-Settings!$G$17),"OK",IF(Z708&gt;=C708/(1-SKU_Base!AL708)/(1-Settings!$G$17),"WARN","STOP"))),"")</f>
        <v/>
      </c>
      <c r="AD708" s="159">
        <f>IFERROR(ROUND(D708*(1-CHOOSE(MATCH(IF($E708="","Основний",$E708),{"Трафіковий","Основний","Маржинальний","Сезонний","Стратегічний"},0),Settings!$H$78,Settings!$H$80,Settings!$H$82,Settings!$H$84,Settings!$H$86))*(1-Settings!$H$68)/6,2)*6,"")</f>
        <v/>
      </c>
      <c r="AE708" s="142">
        <f>IFERROR(CHOOSE(MATCH(IF($E708="","Основний",$E708),{"Трафіковий","Основний","Маржинальний","Сезонний","Стратегічний"},0),Settings!$H$78,Settings!$H$80,Settings!$H$82,Settings!$H$84,Settings!$H$86)+(1-(CHOOSE(MATCH(IF($E708="","Основний",$E708),{"Трафіковий","Основний","Маржинальний","Сезонний","Стратегічний"},0),Settings!$H$78,Settings!$H$80,Settings!$H$82,Settings!$H$84,Settings!$H$86)))*Settings!$H$68,"")</f>
        <v/>
      </c>
      <c r="AF708" s="143">
        <f>IFERROR((AD708*(1-Settings!$H$17)-C708)/(AD708*(1-Settings!$H$17)),"")</f>
        <v/>
      </c>
      <c r="AG708" s="150">
        <f>IFERROR(IF(AD708="","",IF(AD708&gt;=C708/(1-SKU_Base!AF708)/(1-Settings!$H$17),"OK",IF(AD708&gt;=C708/(1-SKU_Base!AM708)/(1-Settings!$H$17),"WARN","STOP"))),"")</f>
        <v/>
      </c>
    </row>
    <row r="709" ht="17" customHeight="1" s="179">
      <c r="A709" s="146">
        <f>SKU_Base!B709</f>
        <v/>
      </c>
      <c r="B709" s="146">
        <f>SKU_Base!C709</f>
        <v/>
      </c>
      <c r="C709" s="147">
        <f>IFERROR(SKU_Base!I709,"")</f>
        <v/>
      </c>
      <c r="D709" s="164">
        <f>IFERROR(SKU_Base!T709,"")</f>
        <v/>
      </c>
      <c r="E709" s="141">
        <f>IFERROR(SKU_Base!$U709,"")</f>
        <v/>
      </c>
      <c r="F709" s="160">
        <f>IFERROR(ROUND(D709*(1-CHOOSE(MATCH(IF($E709="","Основний",$E709),{"Трафіковий","Основний","Маржинальний","Сезонний","Стратегічний"},0),Settings!$B$78,Settings!$B$80,Settings!$B$82,Settings!$B$84,Settings!$B$86))/6,2)*6,"")</f>
        <v/>
      </c>
      <c r="G709" s="142">
        <f>IFERROR(CHOOSE(MATCH(IF($E709="","Основний",$E709),{"Трафіковий","Основний","Маржинальний","Сезонний","Стратегічний"},0),Settings!$B$78,Settings!$B$80,Settings!$B$82,Settings!$B$84,Settings!$B$86),"")</f>
        <v/>
      </c>
      <c r="H709" s="148">
        <f>IFERROR((F709*(1-Settings!$B$17)-C709)/(F709*(1-Settings!$B$17)),"")</f>
        <v/>
      </c>
      <c r="I709" s="149">
        <f>IFERROR(IF(F709="","",IF(F709&gt;=C709/(1-SKU_Base!Z709)/(1-Settings!$B$17),"OK",IF(F709&gt;=C709/(1-SKU_Base!AG709)/(1-Settings!$B$17),"WARN","STOP"))),"")</f>
        <v/>
      </c>
      <c r="J709" s="160">
        <f>IFERROR(ROUND(D709*(1-CHOOSE(MATCH(IF($E709="","Основний",$E709),{"Трафіковий","Основний","Маржинальний","Сезонний","Стратегічний"},0),Settings!$C$78,Settings!$C$80,Settings!$C$82,Settings!$C$84,Settings!$C$86))/6,2)*6,"")</f>
        <v/>
      </c>
      <c r="K709" s="142">
        <f>IFERROR(CHOOSE(MATCH(IF($E709="","Основний",$E709),{"Трафіковий","Основний","Маржинальний","Сезонний","Стратегічний"},0),Settings!$C$78,Settings!$C$80,Settings!$C$82,Settings!$C$84,Settings!$C$86),"")</f>
        <v/>
      </c>
      <c r="L709" s="148">
        <f>IFERROR((J709*(1-Settings!$C$17)-C709)/(J709*(1-Settings!$C$17)),"")</f>
        <v/>
      </c>
      <c r="M709" s="149">
        <f>IFERROR(IF(J709="","",IF(J709&gt;=C709/(1-SKU_Base!AA709)/(1-Settings!$C$17),"OK",IF(J709&gt;=C709/(1-SKU_Base!AH709)/(1-Settings!$C$17),"WARN","STOP"))),"")</f>
        <v/>
      </c>
      <c r="N709" s="161">
        <f>IFERROR(ROUND(D709*(1-CHOOSE(MATCH(IF($E709="","Основний",$E709),{"Трафіковий","Основний","Маржинальний","Сезонний","Стратегічний"},0),Settings!$D$78,Settings!$D$80,Settings!$D$82,Settings!$D$84,Settings!$D$86))/6,2)*6,"")</f>
        <v/>
      </c>
      <c r="O709" s="142">
        <f>IFERROR(CHOOSE(MATCH(IF($E709="","Основний",$E709),{"Трафіковий","Основний","Маржинальний","Сезонний","Стратегічний"},0),Settings!$D$78,Settings!$D$80,Settings!$D$82,Settings!$D$84,Settings!$D$86),"")</f>
        <v/>
      </c>
      <c r="P709" s="148">
        <f>IFERROR((N709*(1-Settings!$D$17)-C709)/(N709*(1-Settings!$D$17)),"")</f>
        <v/>
      </c>
      <c r="Q709" s="149">
        <f>IFERROR(IF(N709="","",IF(N709&gt;=C709/(1-SKU_Base!AB709)/(1-Settings!$D$17),"OK",IF(N709&gt;=C709/(1-SKU_Base!AI709)/(1-Settings!$D$17),"WARN","STOP"))),"")</f>
        <v/>
      </c>
      <c r="R709" s="161">
        <f>IFERROR(ROUND(D709*(1-CHOOSE(MATCH(IF($E709="","Основний",$E709),{"Трафіковий","Основний","Маржинальний","Сезонний","Стратегічний"},0),Settings!$E$78,Settings!$E$80,Settings!$E$82,Settings!$E$84,Settings!$E$86))/6,2)*6,"")</f>
        <v/>
      </c>
      <c r="S709" s="142">
        <f>IFERROR(CHOOSE(MATCH(IF($E709="","Основний",$E709),{"Трафіковий","Основний","Маржинальний","Сезонний","Стратегічний"},0),Settings!$E$78,Settings!$E$80,Settings!$E$82,Settings!$E$84,Settings!$E$86),"")</f>
        <v/>
      </c>
      <c r="T709" s="148">
        <f>IFERROR((R709*(1-Settings!$E$17)-C709)/(R709*(1-Settings!$E$17)),"")</f>
        <v/>
      </c>
      <c r="U709" s="149">
        <f>IFERROR(IF(R709="","",IF(R709&gt;=C709/(1-SKU_Base!AC709)/(1-Settings!$E$17),"OK",IF(R709&gt;=C709/(1-SKU_Base!AJ709)/(1-Settings!$E$17),"WARN","STOP"))),"")</f>
        <v/>
      </c>
      <c r="V709" s="161">
        <f>IFERROR(ROUND(D709*(1-CHOOSE(MATCH(IF($E709="","Основний",$E709),{"Трафіковий","Основний","Маржинальний","Сезонний","Стратегічний"},0),Settings!$F$78,Settings!$F$80,Settings!$F$82,Settings!$F$84,Settings!$F$86))/6,2)*6,"")</f>
        <v/>
      </c>
      <c r="W709" s="142">
        <f>IFERROR(CHOOSE(MATCH(IF($E709="","Основний",$E709),{"Трафіковий","Основний","Маржинальний","Сезонний","Стратегічний"},0),Settings!$F$78,Settings!$F$80,Settings!$F$82,Settings!$F$84,Settings!$F$86),"")</f>
        <v/>
      </c>
      <c r="X709" s="148">
        <f>IFERROR((V709*(1-Settings!$F$17)-C709)/(V709*(1-Settings!$F$17)),"")</f>
        <v/>
      </c>
      <c r="Y709" s="149">
        <f>IFERROR(IF(V709="","",IF(V709&gt;=C709/(1-SKU_Base!AD709)/(1-Settings!$F$17),"OK",IF(V709&gt;=C709/(1-SKU_Base!AK709)/(1-Settings!$F$17),"WARN","STOP"))),"")</f>
        <v/>
      </c>
      <c r="Z709" s="161">
        <f>IFERROR(ROUND(D709*(1-CHOOSE(MATCH(IF($E709="","Основний",$E709),{"Трафіковий","Основний","Маржинальний","Сезонний","Стратегічний"},0),Settings!$G$78,Settings!$G$80,Settings!$G$82,Settings!$G$84,Settings!$G$86))/6,2)*6,"")</f>
        <v/>
      </c>
      <c r="AA709" s="142">
        <f>IFERROR(CHOOSE(MATCH(IF($E709="","Основний",$E709),{"Трафіковий","Основний","Маржинальний","Сезонний","Стратегічний"},0),Settings!$G$78,Settings!$G$80,Settings!$G$82,Settings!$G$84,Settings!$G$86),"")</f>
        <v/>
      </c>
      <c r="AB709" s="148">
        <f>IFERROR((Z709*(1-Settings!$G$17)-C709)/(Z709*(1-Settings!$G$17)),"")</f>
        <v/>
      </c>
      <c r="AC709" s="149">
        <f>IFERROR(IF(Z709="","",IF(Z709&gt;=C709/(1-SKU_Base!AE709)/(1-Settings!$G$17),"OK",IF(Z709&gt;=C709/(1-SKU_Base!AL709)/(1-Settings!$G$17),"WARN","STOP"))),"")</f>
        <v/>
      </c>
      <c r="AD709" s="161">
        <f>IFERROR(ROUND(D709*(1-CHOOSE(MATCH(IF($E709="","Основний",$E709),{"Трафіковий","Основний","Маржинальний","Сезонний","Стратегічний"},0),Settings!$H$78,Settings!$H$80,Settings!$H$82,Settings!$H$84,Settings!$H$86))*(1-Settings!$H$68)/6,2)*6,"")</f>
        <v/>
      </c>
      <c r="AE709" s="142">
        <f>IFERROR(CHOOSE(MATCH(IF($E709="","Основний",$E709),{"Трафіковий","Основний","Маржинальний","Сезонний","Стратегічний"},0),Settings!$H$78,Settings!$H$80,Settings!$H$82,Settings!$H$84,Settings!$H$86)+(1-(CHOOSE(MATCH(IF($E709="","Основний",$E709),{"Трафіковий","Основний","Маржинальний","Сезонний","Стратегічний"},0),Settings!$H$78,Settings!$H$80,Settings!$H$82,Settings!$H$84,Settings!$H$86)))*Settings!$H$68,"")</f>
        <v/>
      </c>
      <c r="AF709" s="148">
        <f>IFERROR((AD709*(1-Settings!$H$17)-C709)/(AD709*(1-Settings!$H$17)),"")</f>
        <v/>
      </c>
      <c r="AG709" s="150">
        <f>IFERROR(IF(AD709="","",IF(AD709&gt;=C709/(1-SKU_Base!AF709)/(1-Settings!$H$17),"OK",IF(AD709&gt;=C709/(1-SKU_Base!AM709)/(1-Settings!$H$17),"WARN","STOP"))),"")</f>
        <v/>
      </c>
    </row>
    <row r="710" ht="17" customHeight="1" s="179">
      <c r="A710" s="139">
        <f>SKU_Base!B710</f>
        <v/>
      </c>
      <c r="B710" s="139">
        <f>SKU_Base!C710</f>
        <v/>
      </c>
      <c r="C710" s="140">
        <f>IFERROR(SKU_Base!I710,"")</f>
        <v/>
      </c>
      <c r="D710" s="163">
        <f>IFERROR(SKU_Base!T710,"")</f>
        <v/>
      </c>
      <c r="E710" s="141">
        <f>IFERROR(SKU_Base!$U710,"")</f>
        <v/>
      </c>
      <c r="F710" s="158">
        <f>IFERROR(ROUND(D710*(1-CHOOSE(MATCH(IF($E710="","Основний",$E710),{"Трафіковий","Основний","Маржинальний","Сезонний","Стратегічний"},0),Settings!$B$78,Settings!$B$80,Settings!$B$82,Settings!$B$84,Settings!$B$86))/6,2)*6,"")</f>
        <v/>
      </c>
      <c r="G710" s="142">
        <f>IFERROR(CHOOSE(MATCH(IF($E710="","Основний",$E710),{"Трафіковий","Основний","Маржинальний","Сезонний","Стратегічний"},0),Settings!$B$78,Settings!$B$80,Settings!$B$82,Settings!$B$84,Settings!$B$86),"")</f>
        <v/>
      </c>
      <c r="H710" s="143">
        <f>IFERROR((F710*(1-Settings!$B$17)-C710)/(F710*(1-Settings!$B$17)),"")</f>
        <v/>
      </c>
      <c r="I710" s="149">
        <f>IFERROR(IF(F710="","",IF(F710&gt;=C710/(1-SKU_Base!Z710)/(1-Settings!$B$17),"OK",IF(F710&gt;=C710/(1-SKU_Base!AG710)/(1-Settings!$B$17),"WARN","STOP"))),"")</f>
        <v/>
      </c>
      <c r="J710" s="158">
        <f>IFERROR(ROUND(D710*(1-CHOOSE(MATCH(IF($E710="","Основний",$E710),{"Трафіковий","Основний","Маржинальний","Сезонний","Стратегічний"},0),Settings!$C$78,Settings!$C$80,Settings!$C$82,Settings!$C$84,Settings!$C$86))/6,2)*6,"")</f>
        <v/>
      </c>
      <c r="K710" s="142">
        <f>IFERROR(CHOOSE(MATCH(IF($E710="","Основний",$E710),{"Трафіковий","Основний","Маржинальний","Сезонний","Стратегічний"},0),Settings!$C$78,Settings!$C$80,Settings!$C$82,Settings!$C$84,Settings!$C$86),"")</f>
        <v/>
      </c>
      <c r="L710" s="143">
        <f>IFERROR((J710*(1-Settings!$C$17)-C710)/(J710*(1-Settings!$C$17)),"")</f>
        <v/>
      </c>
      <c r="M710" s="149">
        <f>IFERROR(IF(J710="","",IF(J710&gt;=C710/(1-SKU_Base!AA710)/(1-Settings!$C$17),"OK",IF(J710&gt;=C710/(1-SKU_Base!AH710)/(1-Settings!$C$17),"WARN","STOP"))),"")</f>
        <v/>
      </c>
      <c r="N710" s="159">
        <f>IFERROR(ROUND(D710*(1-CHOOSE(MATCH(IF($E710="","Основний",$E710),{"Трафіковий","Основний","Маржинальний","Сезонний","Стратегічний"},0),Settings!$D$78,Settings!$D$80,Settings!$D$82,Settings!$D$84,Settings!$D$86))/6,2)*6,"")</f>
        <v/>
      </c>
      <c r="O710" s="142">
        <f>IFERROR(CHOOSE(MATCH(IF($E710="","Основний",$E710),{"Трафіковий","Основний","Маржинальний","Сезонний","Стратегічний"},0),Settings!$D$78,Settings!$D$80,Settings!$D$82,Settings!$D$84,Settings!$D$86),"")</f>
        <v/>
      </c>
      <c r="P710" s="143">
        <f>IFERROR((N710*(1-Settings!$D$17)-C710)/(N710*(1-Settings!$D$17)),"")</f>
        <v/>
      </c>
      <c r="Q710" s="149">
        <f>IFERROR(IF(N710="","",IF(N710&gt;=C710/(1-SKU_Base!AB710)/(1-Settings!$D$17),"OK",IF(N710&gt;=C710/(1-SKU_Base!AI710)/(1-Settings!$D$17),"WARN","STOP"))),"")</f>
        <v/>
      </c>
      <c r="R710" s="159">
        <f>IFERROR(ROUND(D710*(1-CHOOSE(MATCH(IF($E710="","Основний",$E710),{"Трафіковий","Основний","Маржинальний","Сезонний","Стратегічний"},0),Settings!$E$78,Settings!$E$80,Settings!$E$82,Settings!$E$84,Settings!$E$86))/6,2)*6,"")</f>
        <v/>
      </c>
      <c r="S710" s="142">
        <f>IFERROR(CHOOSE(MATCH(IF($E710="","Основний",$E710),{"Трафіковий","Основний","Маржинальний","Сезонний","Стратегічний"},0),Settings!$E$78,Settings!$E$80,Settings!$E$82,Settings!$E$84,Settings!$E$86),"")</f>
        <v/>
      </c>
      <c r="T710" s="143">
        <f>IFERROR((R710*(1-Settings!$E$17)-C710)/(R710*(1-Settings!$E$17)),"")</f>
        <v/>
      </c>
      <c r="U710" s="149">
        <f>IFERROR(IF(R710="","",IF(R710&gt;=C710/(1-SKU_Base!AC710)/(1-Settings!$E$17),"OK",IF(R710&gt;=C710/(1-SKU_Base!AJ710)/(1-Settings!$E$17),"WARN","STOP"))),"")</f>
        <v/>
      </c>
      <c r="V710" s="159">
        <f>IFERROR(ROUND(D710*(1-CHOOSE(MATCH(IF($E710="","Основний",$E710),{"Трафіковий","Основний","Маржинальний","Сезонний","Стратегічний"},0),Settings!$F$78,Settings!$F$80,Settings!$F$82,Settings!$F$84,Settings!$F$86))/6,2)*6,"")</f>
        <v/>
      </c>
      <c r="W710" s="142">
        <f>IFERROR(CHOOSE(MATCH(IF($E710="","Основний",$E710),{"Трафіковий","Основний","Маржинальний","Сезонний","Стратегічний"},0),Settings!$F$78,Settings!$F$80,Settings!$F$82,Settings!$F$84,Settings!$F$86),"")</f>
        <v/>
      </c>
      <c r="X710" s="143">
        <f>IFERROR((V710*(1-Settings!$F$17)-C710)/(V710*(1-Settings!$F$17)),"")</f>
        <v/>
      </c>
      <c r="Y710" s="149">
        <f>IFERROR(IF(V710="","",IF(V710&gt;=C710/(1-SKU_Base!AD710)/(1-Settings!$F$17),"OK",IF(V710&gt;=C710/(1-SKU_Base!AK710)/(1-Settings!$F$17),"WARN","STOP"))),"")</f>
        <v/>
      </c>
      <c r="Z710" s="159">
        <f>IFERROR(ROUND(D710*(1-CHOOSE(MATCH(IF($E710="","Основний",$E710),{"Трафіковий","Основний","Маржинальний","Сезонний","Стратегічний"},0),Settings!$G$78,Settings!$G$80,Settings!$G$82,Settings!$G$84,Settings!$G$86))/6,2)*6,"")</f>
        <v/>
      </c>
      <c r="AA710" s="142">
        <f>IFERROR(CHOOSE(MATCH(IF($E710="","Основний",$E710),{"Трафіковий","Основний","Маржинальний","Сезонний","Стратегічний"},0),Settings!$G$78,Settings!$G$80,Settings!$G$82,Settings!$G$84,Settings!$G$86),"")</f>
        <v/>
      </c>
      <c r="AB710" s="143">
        <f>IFERROR((Z710*(1-Settings!$G$17)-C710)/(Z710*(1-Settings!$G$17)),"")</f>
        <v/>
      </c>
      <c r="AC710" s="149">
        <f>IFERROR(IF(Z710="","",IF(Z710&gt;=C710/(1-SKU_Base!AE710)/(1-Settings!$G$17),"OK",IF(Z710&gt;=C710/(1-SKU_Base!AL710)/(1-Settings!$G$17),"WARN","STOP"))),"")</f>
        <v/>
      </c>
      <c r="AD710" s="159">
        <f>IFERROR(ROUND(D710*(1-CHOOSE(MATCH(IF($E710="","Основний",$E710),{"Трафіковий","Основний","Маржинальний","Сезонний","Стратегічний"},0),Settings!$H$78,Settings!$H$80,Settings!$H$82,Settings!$H$84,Settings!$H$86))*(1-Settings!$H$68)/6,2)*6,"")</f>
        <v/>
      </c>
      <c r="AE710" s="142">
        <f>IFERROR(CHOOSE(MATCH(IF($E710="","Основний",$E710),{"Трафіковий","Основний","Маржинальний","Сезонний","Стратегічний"},0),Settings!$H$78,Settings!$H$80,Settings!$H$82,Settings!$H$84,Settings!$H$86)+(1-(CHOOSE(MATCH(IF($E710="","Основний",$E710),{"Трафіковий","Основний","Маржинальний","Сезонний","Стратегічний"},0),Settings!$H$78,Settings!$H$80,Settings!$H$82,Settings!$H$84,Settings!$H$86)))*Settings!$H$68,"")</f>
        <v/>
      </c>
      <c r="AF710" s="143">
        <f>IFERROR((AD710*(1-Settings!$H$17)-C710)/(AD710*(1-Settings!$H$17)),"")</f>
        <v/>
      </c>
      <c r="AG710" s="150">
        <f>IFERROR(IF(AD710="","",IF(AD710&gt;=C710/(1-SKU_Base!AF710)/(1-Settings!$H$17),"OK",IF(AD710&gt;=C710/(1-SKU_Base!AM710)/(1-Settings!$H$17),"WARN","STOP"))),"")</f>
        <v/>
      </c>
    </row>
    <row r="711" ht="17" customHeight="1" s="179">
      <c r="A711" s="146">
        <f>SKU_Base!B711</f>
        <v/>
      </c>
      <c r="B711" s="146">
        <f>SKU_Base!C711</f>
        <v/>
      </c>
      <c r="C711" s="147">
        <f>IFERROR(SKU_Base!I711,"")</f>
        <v/>
      </c>
      <c r="D711" s="164">
        <f>IFERROR(SKU_Base!T711,"")</f>
        <v/>
      </c>
      <c r="E711" s="141">
        <f>IFERROR(SKU_Base!$U711,"")</f>
        <v/>
      </c>
      <c r="F711" s="160">
        <f>IFERROR(ROUND(D711*(1-CHOOSE(MATCH(IF($E711="","Основний",$E711),{"Трафіковий","Основний","Маржинальний","Сезонний","Стратегічний"},0),Settings!$B$78,Settings!$B$80,Settings!$B$82,Settings!$B$84,Settings!$B$86))/6,2)*6,"")</f>
        <v/>
      </c>
      <c r="G711" s="142">
        <f>IFERROR(CHOOSE(MATCH(IF($E711="","Основний",$E711),{"Трафіковий","Основний","Маржинальний","Сезонний","Стратегічний"},0),Settings!$B$78,Settings!$B$80,Settings!$B$82,Settings!$B$84,Settings!$B$86),"")</f>
        <v/>
      </c>
      <c r="H711" s="148">
        <f>IFERROR((F711*(1-Settings!$B$17)-C711)/(F711*(1-Settings!$B$17)),"")</f>
        <v/>
      </c>
      <c r="I711" s="149">
        <f>IFERROR(IF(F711="","",IF(F711&gt;=C711/(1-SKU_Base!Z711)/(1-Settings!$B$17),"OK",IF(F711&gt;=C711/(1-SKU_Base!AG711)/(1-Settings!$B$17),"WARN","STOP"))),"")</f>
        <v/>
      </c>
      <c r="J711" s="160">
        <f>IFERROR(ROUND(D711*(1-CHOOSE(MATCH(IF($E711="","Основний",$E711),{"Трафіковий","Основний","Маржинальний","Сезонний","Стратегічний"},0),Settings!$C$78,Settings!$C$80,Settings!$C$82,Settings!$C$84,Settings!$C$86))/6,2)*6,"")</f>
        <v/>
      </c>
      <c r="K711" s="142">
        <f>IFERROR(CHOOSE(MATCH(IF($E711="","Основний",$E711),{"Трафіковий","Основний","Маржинальний","Сезонний","Стратегічний"},0),Settings!$C$78,Settings!$C$80,Settings!$C$82,Settings!$C$84,Settings!$C$86),"")</f>
        <v/>
      </c>
      <c r="L711" s="148">
        <f>IFERROR((J711*(1-Settings!$C$17)-C711)/(J711*(1-Settings!$C$17)),"")</f>
        <v/>
      </c>
      <c r="M711" s="149">
        <f>IFERROR(IF(J711="","",IF(J711&gt;=C711/(1-SKU_Base!AA711)/(1-Settings!$C$17),"OK",IF(J711&gt;=C711/(1-SKU_Base!AH711)/(1-Settings!$C$17),"WARN","STOP"))),"")</f>
        <v/>
      </c>
      <c r="N711" s="161">
        <f>IFERROR(ROUND(D711*(1-CHOOSE(MATCH(IF($E711="","Основний",$E711),{"Трафіковий","Основний","Маржинальний","Сезонний","Стратегічний"},0),Settings!$D$78,Settings!$D$80,Settings!$D$82,Settings!$D$84,Settings!$D$86))/6,2)*6,"")</f>
        <v/>
      </c>
      <c r="O711" s="142">
        <f>IFERROR(CHOOSE(MATCH(IF($E711="","Основний",$E711),{"Трафіковий","Основний","Маржинальний","Сезонний","Стратегічний"},0),Settings!$D$78,Settings!$D$80,Settings!$D$82,Settings!$D$84,Settings!$D$86),"")</f>
        <v/>
      </c>
      <c r="P711" s="148">
        <f>IFERROR((N711*(1-Settings!$D$17)-C711)/(N711*(1-Settings!$D$17)),"")</f>
        <v/>
      </c>
      <c r="Q711" s="149">
        <f>IFERROR(IF(N711="","",IF(N711&gt;=C711/(1-SKU_Base!AB711)/(1-Settings!$D$17),"OK",IF(N711&gt;=C711/(1-SKU_Base!AI711)/(1-Settings!$D$17),"WARN","STOP"))),"")</f>
        <v/>
      </c>
      <c r="R711" s="161">
        <f>IFERROR(ROUND(D711*(1-CHOOSE(MATCH(IF($E711="","Основний",$E711),{"Трафіковий","Основний","Маржинальний","Сезонний","Стратегічний"},0),Settings!$E$78,Settings!$E$80,Settings!$E$82,Settings!$E$84,Settings!$E$86))/6,2)*6,"")</f>
        <v/>
      </c>
      <c r="S711" s="142">
        <f>IFERROR(CHOOSE(MATCH(IF($E711="","Основний",$E711),{"Трафіковий","Основний","Маржинальний","Сезонний","Стратегічний"},0),Settings!$E$78,Settings!$E$80,Settings!$E$82,Settings!$E$84,Settings!$E$86),"")</f>
        <v/>
      </c>
      <c r="T711" s="148">
        <f>IFERROR((R711*(1-Settings!$E$17)-C711)/(R711*(1-Settings!$E$17)),"")</f>
        <v/>
      </c>
      <c r="U711" s="149">
        <f>IFERROR(IF(R711="","",IF(R711&gt;=C711/(1-SKU_Base!AC711)/(1-Settings!$E$17),"OK",IF(R711&gt;=C711/(1-SKU_Base!AJ711)/(1-Settings!$E$17),"WARN","STOP"))),"")</f>
        <v/>
      </c>
      <c r="V711" s="161">
        <f>IFERROR(ROUND(D711*(1-CHOOSE(MATCH(IF($E711="","Основний",$E711),{"Трафіковий","Основний","Маржинальний","Сезонний","Стратегічний"},0),Settings!$F$78,Settings!$F$80,Settings!$F$82,Settings!$F$84,Settings!$F$86))/6,2)*6,"")</f>
        <v/>
      </c>
      <c r="W711" s="142">
        <f>IFERROR(CHOOSE(MATCH(IF($E711="","Основний",$E711),{"Трафіковий","Основний","Маржинальний","Сезонний","Стратегічний"},0),Settings!$F$78,Settings!$F$80,Settings!$F$82,Settings!$F$84,Settings!$F$86),"")</f>
        <v/>
      </c>
      <c r="X711" s="148">
        <f>IFERROR((V711*(1-Settings!$F$17)-C711)/(V711*(1-Settings!$F$17)),"")</f>
        <v/>
      </c>
      <c r="Y711" s="149">
        <f>IFERROR(IF(V711="","",IF(V711&gt;=C711/(1-SKU_Base!AD711)/(1-Settings!$F$17),"OK",IF(V711&gt;=C711/(1-SKU_Base!AK711)/(1-Settings!$F$17),"WARN","STOP"))),"")</f>
        <v/>
      </c>
      <c r="Z711" s="161">
        <f>IFERROR(ROUND(D711*(1-CHOOSE(MATCH(IF($E711="","Основний",$E711),{"Трафіковий","Основний","Маржинальний","Сезонний","Стратегічний"},0),Settings!$G$78,Settings!$G$80,Settings!$G$82,Settings!$G$84,Settings!$G$86))/6,2)*6,"")</f>
        <v/>
      </c>
      <c r="AA711" s="142">
        <f>IFERROR(CHOOSE(MATCH(IF($E711="","Основний",$E711),{"Трафіковий","Основний","Маржинальний","Сезонний","Стратегічний"},0),Settings!$G$78,Settings!$G$80,Settings!$G$82,Settings!$G$84,Settings!$G$86),"")</f>
        <v/>
      </c>
      <c r="AB711" s="148">
        <f>IFERROR((Z711*(1-Settings!$G$17)-C711)/(Z711*(1-Settings!$G$17)),"")</f>
        <v/>
      </c>
      <c r="AC711" s="149">
        <f>IFERROR(IF(Z711="","",IF(Z711&gt;=C711/(1-SKU_Base!AE711)/(1-Settings!$G$17),"OK",IF(Z711&gt;=C711/(1-SKU_Base!AL711)/(1-Settings!$G$17),"WARN","STOP"))),"")</f>
        <v/>
      </c>
      <c r="AD711" s="161">
        <f>IFERROR(ROUND(D711*(1-CHOOSE(MATCH(IF($E711="","Основний",$E711),{"Трафіковий","Основний","Маржинальний","Сезонний","Стратегічний"},0),Settings!$H$78,Settings!$H$80,Settings!$H$82,Settings!$H$84,Settings!$H$86))*(1-Settings!$H$68)/6,2)*6,"")</f>
        <v/>
      </c>
      <c r="AE711" s="142">
        <f>IFERROR(CHOOSE(MATCH(IF($E711="","Основний",$E711),{"Трафіковий","Основний","Маржинальний","Сезонний","Стратегічний"},0),Settings!$H$78,Settings!$H$80,Settings!$H$82,Settings!$H$84,Settings!$H$86)+(1-(CHOOSE(MATCH(IF($E711="","Основний",$E711),{"Трафіковий","Основний","Маржинальний","Сезонний","Стратегічний"},0),Settings!$H$78,Settings!$H$80,Settings!$H$82,Settings!$H$84,Settings!$H$86)))*Settings!$H$68,"")</f>
        <v/>
      </c>
      <c r="AF711" s="148">
        <f>IFERROR((AD711*(1-Settings!$H$17)-C711)/(AD711*(1-Settings!$H$17)),"")</f>
        <v/>
      </c>
      <c r="AG711" s="150">
        <f>IFERROR(IF(AD711="","",IF(AD711&gt;=C711/(1-SKU_Base!AF711)/(1-Settings!$H$17),"OK",IF(AD711&gt;=C711/(1-SKU_Base!AM711)/(1-Settings!$H$17),"WARN","STOP"))),"")</f>
        <v/>
      </c>
    </row>
    <row r="712" ht="17" customHeight="1" s="179">
      <c r="A712" s="139">
        <f>SKU_Base!B712</f>
        <v/>
      </c>
      <c r="B712" s="139">
        <f>SKU_Base!C712</f>
        <v/>
      </c>
      <c r="C712" s="140">
        <f>IFERROR(SKU_Base!I712,"")</f>
        <v/>
      </c>
      <c r="D712" s="163">
        <f>IFERROR(SKU_Base!T712,"")</f>
        <v/>
      </c>
      <c r="E712" s="141">
        <f>IFERROR(SKU_Base!$U712,"")</f>
        <v/>
      </c>
      <c r="F712" s="158">
        <f>IFERROR(ROUND(D712*(1-CHOOSE(MATCH(IF($E712="","Основний",$E712),{"Трафіковий","Основний","Маржинальний","Сезонний","Стратегічний"},0),Settings!$B$78,Settings!$B$80,Settings!$B$82,Settings!$B$84,Settings!$B$86))/6,2)*6,"")</f>
        <v/>
      </c>
      <c r="G712" s="142">
        <f>IFERROR(CHOOSE(MATCH(IF($E712="","Основний",$E712),{"Трафіковий","Основний","Маржинальний","Сезонний","Стратегічний"},0),Settings!$B$78,Settings!$B$80,Settings!$B$82,Settings!$B$84,Settings!$B$86),"")</f>
        <v/>
      </c>
      <c r="H712" s="143">
        <f>IFERROR((F712*(1-Settings!$B$17)-C712)/(F712*(1-Settings!$B$17)),"")</f>
        <v/>
      </c>
      <c r="I712" s="149">
        <f>IFERROR(IF(F712="","",IF(F712&gt;=C712/(1-SKU_Base!Z712)/(1-Settings!$B$17),"OK",IF(F712&gt;=C712/(1-SKU_Base!AG712)/(1-Settings!$B$17),"WARN","STOP"))),"")</f>
        <v/>
      </c>
      <c r="J712" s="158">
        <f>IFERROR(ROUND(D712*(1-CHOOSE(MATCH(IF($E712="","Основний",$E712),{"Трафіковий","Основний","Маржинальний","Сезонний","Стратегічний"},0),Settings!$C$78,Settings!$C$80,Settings!$C$82,Settings!$C$84,Settings!$C$86))/6,2)*6,"")</f>
        <v/>
      </c>
      <c r="K712" s="142">
        <f>IFERROR(CHOOSE(MATCH(IF($E712="","Основний",$E712),{"Трафіковий","Основний","Маржинальний","Сезонний","Стратегічний"},0),Settings!$C$78,Settings!$C$80,Settings!$C$82,Settings!$C$84,Settings!$C$86),"")</f>
        <v/>
      </c>
      <c r="L712" s="143">
        <f>IFERROR((J712*(1-Settings!$C$17)-C712)/(J712*(1-Settings!$C$17)),"")</f>
        <v/>
      </c>
      <c r="M712" s="149">
        <f>IFERROR(IF(J712="","",IF(J712&gt;=C712/(1-SKU_Base!AA712)/(1-Settings!$C$17),"OK",IF(J712&gt;=C712/(1-SKU_Base!AH712)/(1-Settings!$C$17),"WARN","STOP"))),"")</f>
        <v/>
      </c>
      <c r="N712" s="159">
        <f>IFERROR(ROUND(D712*(1-CHOOSE(MATCH(IF($E712="","Основний",$E712),{"Трафіковий","Основний","Маржинальний","Сезонний","Стратегічний"},0),Settings!$D$78,Settings!$D$80,Settings!$D$82,Settings!$D$84,Settings!$D$86))/6,2)*6,"")</f>
        <v/>
      </c>
      <c r="O712" s="142">
        <f>IFERROR(CHOOSE(MATCH(IF($E712="","Основний",$E712),{"Трафіковий","Основний","Маржинальний","Сезонний","Стратегічний"},0),Settings!$D$78,Settings!$D$80,Settings!$D$82,Settings!$D$84,Settings!$D$86),"")</f>
        <v/>
      </c>
      <c r="P712" s="143">
        <f>IFERROR((N712*(1-Settings!$D$17)-C712)/(N712*(1-Settings!$D$17)),"")</f>
        <v/>
      </c>
      <c r="Q712" s="149">
        <f>IFERROR(IF(N712="","",IF(N712&gt;=C712/(1-SKU_Base!AB712)/(1-Settings!$D$17),"OK",IF(N712&gt;=C712/(1-SKU_Base!AI712)/(1-Settings!$D$17),"WARN","STOP"))),"")</f>
        <v/>
      </c>
      <c r="R712" s="159">
        <f>IFERROR(ROUND(D712*(1-CHOOSE(MATCH(IF($E712="","Основний",$E712),{"Трафіковий","Основний","Маржинальний","Сезонний","Стратегічний"},0),Settings!$E$78,Settings!$E$80,Settings!$E$82,Settings!$E$84,Settings!$E$86))/6,2)*6,"")</f>
        <v/>
      </c>
      <c r="S712" s="142">
        <f>IFERROR(CHOOSE(MATCH(IF($E712="","Основний",$E712),{"Трафіковий","Основний","Маржинальний","Сезонний","Стратегічний"},0),Settings!$E$78,Settings!$E$80,Settings!$E$82,Settings!$E$84,Settings!$E$86),"")</f>
        <v/>
      </c>
      <c r="T712" s="143">
        <f>IFERROR((R712*(1-Settings!$E$17)-C712)/(R712*(1-Settings!$E$17)),"")</f>
        <v/>
      </c>
      <c r="U712" s="149">
        <f>IFERROR(IF(R712="","",IF(R712&gt;=C712/(1-SKU_Base!AC712)/(1-Settings!$E$17),"OK",IF(R712&gt;=C712/(1-SKU_Base!AJ712)/(1-Settings!$E$17),"WARN","STOP"))),"")</f>
        <v/>
      </c>
      <c r="V712" s="159">
        <f>IFERROR(ROUND(D712*(1-CHOOSE(MATCH(IF($E712="","Основний",$E712),{"Трафіковий","Основний","Маржинальний","Сезонний","Стратегічний"},0),Settings!$F$78,Settings!$F$80,Settings!$F$82,Settings!$F$84,Settings!$F$86))/6,2)*6,"")</f>
        <v/>
      </c>
      <c r="W712" s="142">
        <f>IFERROR(CHOOSE(MATCH(IF($E712="","Основний",$E712),{"Трафіковий","Основний","Маржинальний","Сезонний","Стратегічний"},0),Settings!$F$78,Settings!$F$80,Settings!$F$82,Settings!$F$84,Settings!$F$86),"")</f>
        <v/>
      </c>
      <c r="X712" s="143">
        <f>IFERROR((V712*(1-Settings!$F$17)-C712)/(V712*(1-Settings!$F$17)),"")</f>
        <v/>
      </c>
      <c r="Y712" s="149">
        <f>IFERROR(IF(V712="","",IF(V712&gt;=C712/(1-SKU_Base!AD712)/(1-Settings!$F$17),"OK",IF(V712&gt;=C712/(1-SKU_Base!AK712)/(1-Settings!$F$17),"WARN","STOP"))),"")</f>
        <v/>
      </c>
      <c r="Z712" s="159">
        <f>IFERROR(ROUND(D712*(1-CHOOSE(MATCH(IF($E712="","Основний",$E712),{"Трафіковий","Основний","Маржинальний","Сезонний","Стратегічний"},0),Settings!$G$78,Settings!$G$80,Settings!$G$82,Settings!$G$84,Settings!$G$86))/6,2)*6,"")</f>
        <v/>
      </c>
      <c r="AA712" s="142">
        <f>IFERROR(CHOOSE(MATCH(IF($E712="","Основний",$E712),{"Трафіковий","Основний","Маржинальний","Сезонний","Стратегічний"},0),Settings!$G$78,Settings!$G$80,Settings!$G$82,Settings!$G$84,Settings!$G$86),"")</f>
        <v/>
      </c>
      <c r="AB712" s="143">
        <f>IFERROR((Z712*(1-Settings!$G$17)-C712)/(Z712*(1-Settings!$G$17)),"")</f>
        <v/>
      </c>
      <c r="AC712" s="149">
        <f>IFERROR(IF(Z712="","",IF(Z712&gt;=C712/(1-SKU_Base!AE712)/(1-Settings!$G$17),"OK",IF(Z712&gt;=C712/(1-SKU_Base!AL712)/(1-Settings!$G$17),"WARN","STOP"))),"")</f>
        <v/>
      </c>
      <c r="AD712" s="159">
        <f>IFERROR(ROUND(D712*(1-CHOOSE(MATCH(IF($E712="","Основний",$E712),{"Трафіковий","Основний","Маржинальний","Сезонний","Стратегічний"},0),Settings!$H$78,Settings!$H$80,Settings!$H$82,Settings!$H$84,Settings!$H$86))*(1-Settings!$H$68)/6,2)*6,"")</f>
        <v/>
      </c>
      <c r="AE712" s="142">
        <f>IFERROR(CHOOSE(MATCH(IF($E712="","Основний",$E712),{"Трафіковий","Основний","Маржинальний","Сезонний","Стратегічний"},0),Settings!$H$78,Settings!$H$80,Settings!$H$82,Settings!$H$84,Settings!$H$86)+(1-(CHOOSE(MATCH(IF($E712="","Основний",$E712),{"Трафіковий","Основний","Маржинальний","Сезонний","Стратегічний"},0),Settings!$H$78,Settings!$H$80,Settings!$H$82,Settings!$H$84,Settings!$H$86)))*Settings!$H$68,"")</f>
        <v/>
      </c>
      <c r="AF712" s="143">
        <f>IFERROR((AD712*(1-Settings!$H$17)-C712)/(AD712*(1-Settings!$H$17)),"")</f>
        <v/>
      </c>
      <c r="AG712" s="150">
        <f>IFERROR(IF(AD712="","",IF(AD712&gt;=C712/(1-SKU_Base!AF712)/(1-Settings!$H$17),"OK",IF(AD712&gt;=C712/(1-SKU_Base!AM712)/(1-Settings!$H$17),"WARN","STOP"))),"")</f>
        <v/>
      </c>
    </row>
    <row r="713" ht="17" customHeight="1" s="179">
      <c r="A713" s="146">
        <f>SKU_Base!B713</f>
        <v/>
      </c>
      <c r="B713" s="146">
        <f>SKU_Base!C713</f>
        <v/>
      </c>
      <c r="C713" s="147">
        <f>IFERROR(SKU_Base!I713,"")</f>
        <v/>
      </c>
      <c r="D713" s="164">
        <f>IFERROR(SKU_Base!T713,"")</f>
        <v/>
      </c>
      <c r="E713" s="141">
        <f>IFERROR(SKU_Base!$U713,"")</f>
        <v/>
      </c>
      <c r="F713" s="160">
        <f>IFERROR(ROUND(D713*(1-CHOOSE(MATCH(IF($E713="","Основний",$E713),{"Трафіковий","Основний","Маржинальний","Сезонний","Стратегічний"},0),Settings!$B$78,Settings!$B$80,Settings!$B$82,Settings!$B$84,Settings!$B$86))/6,2)*6,"")</f>
        <v/>
      </c>
      <c r="G713" s="142">
        <f>IFERROR(CHOOSE(MATCH(IF($E713="","Основний",$E713),{"Трафіковий","Основний","Маржинальний","Сезонний","Стратегічний"},0),Settings!$B$78,Settings!$B$80,Settings!$B$82,Settings!$B$84,Settings!$B$86),"")</f>
        <v/>
      </c>
      <c r="H713" s="148">
        <f>IFERROR((F713*(1-Settings!$B$17)-C713)/(F713*(1-Settings!$B$17)),"")</f>
        <v/>
      </c>
      <c r="I713" s="149">
        <f>IFERROR(IF(F713="","",IF(F713&gt;=C713/(1-SKU_Base!Z713)/(1-Settings!$B$17),"OK",IF(F713&gt;=C713/(1-SKU_Base!AG713)/(1-Settings!$B$17),"WARN","STOP"))),"")</f>
        <v/>
      </c>
      <c r="J713" s="160">
        <f>IFERROR(ROUND(D713*(1-CHOOSE(MATCH(IF($E713="","Основний",$E713),{"Трафіковий","Основний","Маржинальний","Сезонний","Стратегічний"},0),Settings!$C$78,Settings!$C$80,Settings!$C$82,Settings!$C$84,Settings!$C$86))/6,2)*6,"")</f>
        <v/>
      </c>
      <c r="K713" s="142">
        <f>IFERROR(CHOOSE(MATCH(IF($E713="","Основний",$E713),{"Трафіковий","Основний","Маржинальний","Сезонний","Стратегічний"},0),Settings!$C$78,Settings!$C$80,Settings!$C$82,Settings!$C$84,Settings!$C$86),"")</f>
        <v/>
      </c>
      <c r="L713" s="148">
        <f>IFERROR((J713*(1-Settings!$C$17)-C713)/(J713*(1-Settings!$C$17)),"")</f>
        <v/>
      </c>
      <c r="M713" s="149">
        <f>IFERROR(IF(J713="","",IF(J713&gt;=C713/(1-SKU_Base!AA713)/(1-Settings!$C$17),"OK",IF(J713&gt;=C713/(1-SKU_Base!AH713)/(1-Settings!$C$17),"WARN","STOP"))),"")</f>
        <v/>
      </c>
      <c r="N713" s="161">
        <f>IFERROR(ROUND(D713*(1-CHOOSE(MATCH(IF($E713="","Основний",$E713),{"Трафіковий","Основний","Маржинальний","Сезонний","Стратегічний"},0),Settings!$D$78,Settings!$D$80,Settings!$D$82,Settings!$D$84,Settings!$D$86))/6,2)*6,"")</f>
        <v/>
      </c>
      <c r="O713" s="142">
        <f>IFERROR(CHOOSE(MATCH(IF($E713="","Основний",$E713),{"Трафіковий","Основний","Маржинальний","Сезонний","Стратегічний"},0),Settings!$D$78,Settings!$D$80,Settings!$D$82,Settings!$D$84,Settings!$D$86),"")</f>
        <v/>
      </c>
      <c r="P713" s="148">
        <f>IFERROR((N713*(1-Settings!$D$17)-C713)/(N713*(1-Settings!$D$17)),"")</f>
        <v/>
      </c>
      <c r="Q713" s="149">
        <f>IFERROR(IF(N713="","",IF(N713&gt;=C713/(1-SKU_Base!AB713)/(1-Settings!$D$17),"OK",IF(N713&gt;=C713/(1-SKU_Base!AI713)/(1-Settings!$D$17),"WARN","STOP"))),"")</f>
        <v/>
      </c>
      <c r="R713" s="161">
        <f>IFERROR(ROUND(D713*(1-CHOOSE(MATCH(IF($E713="","Основний",$E713),{"Трафіковий","Основний","Маржинальний","Сезонний","Стратегічний"},0),Settings!$E$78,Settings!$E$80,Settings!$E$82,Settings!$E$84,Settings!$E$86))/6,2)*6,"")</f>
        <v/>
      </c>
      <c r="S713" s="142">
        <f>IFERROR(CHOOSE(MATCH(IF($E713="","Основний",$E713),{"Трафіковий","Основний","Маржинальний","Сезонний","Стратегічний"},0),Settings!$E$78,Settings!$E$80,Settings!$E$82,Settings!$E$84,Settings!$E$86),"")</f>
        <v/>
      </c>
      <c r="T713" s="148">
        <f>IFERROR((R713*(1-Settings!$E$17)-C713)/(R713*(1-Settings!$E$17)),"")</f>
        <v/>
      </c>
      <c r="U713" s="149">
        <f>IFERROR(IF(R713="","",IF(R713&gt;=C713/(1-SKU_Base!AC713)/(1-Settings!$E$17),"OK",IF(R713&gt;=C713/(1-SKU_Base!AJ713)/(1-Settings!$E$17),"WARN","STOP"))),"")</f>
        <v/>
      </c>
      <c r="V713" s="161">
        <f>IFERROR(ROUND(D713*(1-CHOOSE(MATCH(IF($E713="","Основний",$E713),{"Трафіковий","Основний","Маржинальний","Сезонний","Стратегічний"},0),Settings!$F$78,Settings!$F$80,Settings!$F$82,Settings!$F$84,Settings!$F$86))/6,2)*6,"")</f>
        <v/>
      </c>
      <c r="W713" s="142">
        <f>IFERROR(CHOOSE(MATCH(IF($E713="","Основний",$E713),{"Трафіковий","Основний","Маржинальний","Сезонний","Стратегічний"},0),Settings!$F$78,Settings!$F$80,Settings!$F$82,Settings!$F$84,Settings!$F$86),"")</f>
        <v/>
      </c>
      <c r="X713" s="148">
        <f>IFERROR((V713*(1-Settings!$F$17)-C713)/(V713*(1-Settings!$F$17)),"")</f>
        <v/>
      </c>
      <c r="Y713" s="149">
        <f>IFERROR(IF(V713="","",IF(V713&gt;=C713/(1-SKU_Base!AD713)/(1-Settings!$F$17),"OK",IF(V713&gt;=C713/(1-SKU_Base!AK713)/(1-Settings!$F$17),"WARN","STOP"))),"")</f>
        <v/>
      </c>
      <c r="Z713" s="161">
        <f>IFERROR(ROUND(D713*(1-CHOOSE(MATCH(IF($E713="","Основний",$E713),{"Трафіковий","Основний","Маржинальний","Сезонний","Стратегічний"},0),Settings!$G$78,Settings!$G$80,Settings!$G$82,Settings!$G$84,Settings!$G$86))/6,2)*6,"")</f>
        <v/>
      </c>
      <c r="AA713" s="142">
        <f>IFERROR(CHOOSE(MATCH(IF($E713="","Основний",$E713),{"Трафіковий","Основний","Маржинальний","Сезонний","Стратегічний"},0),Settings!$G$78,Settings!$G$80,Settings!$G$82,Settings!$G$84,Settings!$G$86),"")</f>
        <v/>
      </c>
      <c r="AB713" s="148">
        <f>IFERROR((Z713*(1-Settings!$G$17)-C713)/(Z713*(1-Settings!$G$17)),"")</f>
        <v/>
      </c>
      <c r="AC713" s="149">
        <f>IFERROR(IF(Z713="","",IF(Z713&gt;=C713/(1-SKU_Base!AE713)/(1-Settings!$G$17),"OK",IF(Z713&gt;=C713/(1-SKU_Base!AL713)/(1-Settings!$G$17),"WARN","STOP"))),"")</f>
        <v/>
      </c>
      <c r="AD713" s="161">
        <f>IFERROR(ROUND(D713*(1-CHOOSE(MATCH(IF($E713="","Основний",$E713),{"Трафіковий","Основний","Маржинальний","Сезонний","Стратегічний"},0),Settings!$H$78,Settings!$H$80,Settings!$H$82,Settings!$H$84,Settings!$H$86))*(1-Settings!$H$68)/6,2)*6,"")</f>
        <v/>
      </c>
      <c r="AE713" s="142">
        <f>IFERROR(CHOOSE(MATCH(IF($E713="","Основний",$E713),{"Трафіковий","Основний","Маржинальний","Сезонний","Стратегічний"},0),Settings!$H$78,Settings!$H$80,Settings!$H$82,Settings!$H$84,Settings!$H$86)+(1-(CHOOSE(MATCH(IF($E713="","Основний",$E713),{"Трафіковий","Основний","Маржинальний","Сезонний","Стратегічний"},0),Settings!$H$78,Settings!$H$80,Settings!$H$82,Settings!$H$84,Settings!$H$86)))*Settings!$H$68,"")</f>
        <v/>
      </c>
      <c r="AF713" s="148">
        <f>IFERROR((AD713*(1-Settings!$H$17)-C713)/(AD713*(1-Settings!$H$17)),"")</f>
        <v/>
      </c>
      <c r="AG713" s="149">
        <f>IFERROR(IF(AD713="","",IF(AD713&gt;=C713/(1-SKU_Base!AF713)/(1-Settings!$H$17),"OK",IF(AD713&gt;=C713/(1-SKU_Base!AM713)/(1-Settings!$H$17),"WARN","STOP"))),"")</f>
        <v/>
      </c>
    </row>
    <row r="714" ht="17" customHeight="1" s="179">
      <c r="A714" s="139">
        <f>SKU_Base!B714</f>
        <v/>
      </c>
      <c r="B714" s="139">
        <f>SKU_Base!C714</f>
        <v/>
      </c>
      <c r="C714" s="140">
        <f>IFERROR(SKU_Base!I714,"")</f>
        <v/>
      </c>
      <c r="D714" s="163">
        <f>IFERROR(SKU_Base!T714,"")</f>
        <v/>
      </c>
      <c r="E714" s="141">
        <f>IFERROR(SKU_Base!$U714,"")</f>
        <v/>
      </c>
      <c r="F714" s="158">
        <f>IFERROR(ROUND(D714*(1-CHOOSE(MATCH(IF($E714="","Основний",$E714),{"Трафіковий","Основний","Маржинальний","Сезонний","Стратегічний"},0),Settings!$B$78,Settings!$B$80,Settings!$B$82,Settings!$B$84,Settings!$B$86))/6,2)*6,"")</f>
        <v/>
      </c>
      <c r="G714" s="142">
        <f>IFERROR(CHOOSE(MATCH(IF($E714="","Основний",$E714),{"Трафіковий","Основний","Маржинальний","Сезонний","Стратегічний"},0),Settings!$B$78,Settings!$B$80,Settings!$B$82,Settings!$B$84,Settings!$B$86),"")</f>
        <v/>
      </c>
      <c r="H714" s="143">
        <f>IFERROR((F714*(1-Settings!$B$17)-C714)/(F714*(1-Settings!$B$17)),"")</f>
        <v/>
      </c>
      <c r="I714" s="149">
        <f>IFERROR(IF(F714="","",IF(F714&gt;=C714/(1-SKU_Base!Z714)/(1-Settings!$B$17),"OK",IF(F714&gt;=C714/(1-SKU_Base!AG714)/(1-Settings!$B$17),"WARN","STOP"))),"")</f>
        <v/>
      </c>
      <c r="J714" s="158">
        <f>IFERROR(ROUND(D714*(1-CHOOSE(MATCH(IF($E714="","Основний",$E714),{"Трафіковий","Основний","Маржинальний","Сезонний","Стратегічний"},0),Settings!$C$78,Settings!$C$80,Settings!$C$82,Settings!$C$84,Settings!$C$86))/6,2)*6,"")</f>
        <v/>
      </c>
      <c r="K714" s="142">
        <f>IFERROR(CHOOSE(MATCH(IF($E714="","Основний",$E714),{"Трафіковий","Основний","Маржинальний","Сезонний","Стратегічний"},0),Settings!$C$78,Settings!$C$80,Settings!$C$82,Settings!$C$84,Settings!$C$86),"")</f>
        <v/>
      </c>
      <c r="L714" s="143">
        <f>IFERROR((J714*(1-Settings!$C$17)-C714)/(J714*(1-Settings!$C$17)),"")</f>
        <v/>
      </c>
      <c r="M714" s="149">
        <f>IFERROR(IF(J714="","",IF(J714&gt;=C714/(1-SKU_Base!AA714)/(1-Settings!$C$17),"OK",IF(J714&gt;=C714/(1-SKU_Base!AH714)/(1-Settings!$C$17),"WARN","STOP"))),"")</f>
        <v/>
      </c>
      <c r="N714" s="159">
        <f>IFERROR(ROUND(D714*(1-CHOOSE(MATCH(IF($E714="","Основний",$E714),{"Трафіковий","Основний","Маржинальний","Сезонний","Стратегічний"},0),Settings!$D$78,Settings!$D$80,Settings!$D$82,Settings!$D$84,Settings!$D$86))/6,2)*6,"")</f>
        <v/>
      </c>
      <c r="O714" s="142">
        <f>IFERROR(CHOOSE(MATCH(IF($E714="","Основний",$E714),{"Трафіковий","Основний","Маржинальний","Сезонний","Стратегічний"},0),Settings!$D$78,Settings!$D$80,Settings!$D$82,Settings!$D$84,Settings!$D$86),"")</f>
        <v/>
      </c>
      <c r="P714" s="143">
        <f>IFERROR((N714*(1-Settings!$D$17)-C714)/(N714*(1-Settings!$D$17)),"")</f>
        <v/>
      </c>
      <c r="Q714" s="149">
        <f>IFERROR(IF(N714="","",IF(N714&gt;=C714/(1-SKU_Base!AB714)/(1-Settings!$D$17),"OK",IF(N714&gt;=C714/(1-SKU_Base!AI714)/(1-Settings!$D$17),"WARN","STOP"))),"")</f>
        <v/>
      </c>
      <c r="R714" s="159">
        <f>IFERROR(ROUND(D714*(1-CHOOSE(MATCH(IF($E714="","Основний",$E714),{"Трафіковий","Основний","Маржинальний","Сезонний","Стратегічний"},0),Settings!$E$78,Settings!$E$80,Settings!$E$82,Settings!$E$84,Settings!$E$86))/6,2)*6,"")</f>
        <v/>
      </c>
      <c r="S714" s="142">
        <f>IFERROR(CHOOSE(MATCH(IF($E714="","Основний",$E714),{"Трафіковий","Основний","Маржинальний","Сезонний","Стратегічний"},0),Settings!$E$78,Settings!$E$80,Settings!$E$82,Settings!$E$84,Settings!$E$86),"")</f>
        <v/>
      </c>
      <c r="T714" s="143">
        <f>IFERROR((R714*(1-Settings!$E$17)-C714)/(R714*(1-Settings!$E$17)),"")</f>
        <v/>
      </c>
      <c r="U714" s="149">
        <f>IFERROR(IF(R714="","",IF(R714&gt;=C714/(1-SKU_Base!AC714)/(1-Settings!$E$17),"OK",IF(R714&gt;=C714/(1-SKU_Base!AJ714)/(1-Settings!$E$17),"WARN","STOP"))),"")</f>
        <v/>
      </c>
      <c r="V714" s="159">
        <f>IFERROR(ROUND(D714*(1-CHOOSE(MATCH(IF($E714="","Основний",$E714),{"Трафіковий","Основний","Маржинальний","Сезонний","Стратегічний"},0),Settings!$F$78,Settings!$F$80,Settings!$F$82,Settings!$F$84,Settings!$F$86))/6,2)*6,"")</f>
        <v/>
      </c>
      <c r="W714" s="142">
        <f>IFERROR(CHOOSE(MATCH(IF($E714="","Основний",$E714),{"Трафіковий","Основний","Маржинальний","Сезонний","Стратегічний"},0),Settings!$F$78,Settings!$F$80,Settings!$F$82,Settings!$F$84,Settings!$F$86),"")</f>
        <v/>
      </c>
      <c r="X714" s="143">
        <f>IFERROR((V714*(1-Settings!$F$17)-C714)/(V714*(1-Settings!$F$17)),"")</f>
        <v/>
      </c>
      <c r="Y714" s="149">
        <f>IFERROR(IF(V714="","",IF(V714&gt;=C714/(1-SKU_Base!AD714)/(1-Settings!$F$17),"OK",IF(V714&gt;=C714/(1-SKU_Base!AK714)/(1-Settings!$F$17),"WARN","STOP"))),"")</f>
        <v/>
      </c>
      <c r="Z714" s="159">
        <f>IFERROR(ROUND(D714*(1-CHOOSE(MATCH(IF($E714="","Основний",$E714),{"Трафіковий","Основний","Маржинальний","Сезонний","Стратегічний"},0),Settings!$G$78,Settings!$G$80,Settings!$G$82,Settings!$G$84,Settings!$G$86))/6,2)*6,"")</f>
        <v/>
      </c>
      <c r="AA714" s="142">
        <f>IFERROR(CHOOSE(MATCH(IF($E714="","Основний",$E714),{"Трафіковий","Основний","Маржинальний","Сезонний","Стратегічний"},0),Settings!$G$78,Settings!$G$80,Settings!$G$82,Settings!$G$84,Settings!$G$86),"")</f>
        <v/>
      </c>
      <c r="AB714" s="143">
        <f>IFERROR((Z714*(1-Settings!$G$17)-C714)/(Z714*(1-Settings!$G$17)),"")</f>
        <v/>
      </c>
      <c r="AC714" s="149">
        <f>IFERROR(IF(Z714="","",IF(Z714&gt;=C714/(1-SKU_Base!AE714)/(1-Settings!$G$17),"OK",IF(Z714&gt;=C714/(1-SKU_Base!AL714)/(1-Settings!$G$17),"WARN","STOP"))),"")</f>
        <v/>
      </c>
      <c r="AD714" s="159">
        <f>IFERROR(ROUND(D714*(1-CHOOSE(MATCH(IF($E714="","Основний",$E714),{"Трафіковий","Основний","Маржинальний","Сезонний","Стратегічний"},0),Settings!$H$78,Settings!$H$80,Settings!$H$82,Settings!$H$84,Settings!$H$86))*(1-Settings!$H$68)/6,2)*6,"")</f>
        <v/>
      </c>
      <c r="AE714" s="142">
        <f>IFERROR(CHOOSE(MATCH(IF($E714="","Основний",$E714),{"Трафіковий","Основний","Маржинальний","Сезонний","Стратегічний"},0),Settings!$H$78,Settings!$H$80,Settings!$H$82,Settings!$H$84,Settings!$H$86)+(1-(CHOOSE(MATCH(IF($E714="","Основний",$E714),{"Трафіковий","Основний","Маржинальний","Сезонний","Стратегічний"},0),Settings!$H$78,Settings!$H$80,Settings!$H$82,Settings!$H$84,Settings!$H$86)))*Settings!$H$68,"")</f>
        <v/>
      </c>
      <c r="AF714" s="143">
        <f>IFERROR((AD714*(1-Settings!$H$17)-C714)/(AD714*(1-Settings!$H$17)),"")</f>
        <v/>
      </c>
      <c r="AG714" s="150">
        <f>IFERROR(IF(AD714="","",IF(AD714&gt;=C714/(1-SKU_Base!AF714)/(1-Settings!$H$17),"OK",IF(AD714&gt;=C714/(1-SKU_Base!AM714)/(1-Settings!$H$17),"WARN","STOP"))),"")</f>
        <v/>
      </c>
    </row>
    <row r="715" ht="17" customHeight="1" s="179">
      <c r="A715" s="146">
        <f>SKU_Base!B715</f>
        <v/>
      </c>
      <c r="B715" s="146">
        <f>SKU_Base!C715</f>
        <v/>
      </c>
      <c r="C715" s="147">
        <f>IFERROR(SKU_Base!I715,"")</f>
        <v/>
      </c>
      <c r="D715" s="164">
        <f>IFERROR(SKU_Base!T715,"")</f>
        <v/>
      </c>
      <c r="E715" s="141">
        <f>IFERROR(SKU_Base!$U715,"")</f>
        <v/>
      </c>
      <c r="F715" s="160">
        <f>IFERROR(ROUND(D715*(1-CHOOSE(MATCH(IF($E715="","Основний",$E715),{"Трафіковий","Основний","Маржинальний","Сезонний","Стратегічний"},0),Settings!$B$78,Settings!$B$80,Settings!$B$82,Settings!$B$84,Settings!$B$86))/6,2)*6,"")</f>
        <v/>
      </c>
      <c r="G715" s="142">
        <f>IFERROR(CHOOSE(MATCH(IF($E715="","Основний",$E715),{"Трафіковий","Основний","Маржинальний","Сезонний","Стратегічний"},0),Settings!$B$78,Settings!$B$80,Settings!$B$82,Settings!$B$84,Settings!$B$86),"")</f>
        <v/>
      </c>
      <c r="H715" s="148">
        <f>IFERROR((F715*(1-Settings!$B$17)-C715)/(F715*(1-Settings!$B$17)),"")</f>
        <v/>
      </c>
      <c r="I715" s="149">
        <f>IFERROR(IF(F715="","",IF(F715&gt;=C715/(1-SKU_Base!Z715)/(1-Settings!$B$17),"OK",IF(F715&gt;=C715/(1-SKU_Base!AG715)/(1-Settings!$B$17),"WARN","STOP"))),"")</f>
        <v/>
      </c>
      <c r="J715" s="160">
        <f>IFERROR(ROUND(D715*(1-CHOOSE(MATCH(IF($E715="","Основний",$E715),{"Трафіковий","Основний","Маржинальний","Сезонний","Стратегічний"},0),Settings!$C$78,Settings!$C$80,Settings!$C$82,Settings!$C$84,Settings!$C$86))/6,2)*6,"")</f>
        <v/>
      </c>
      <c r="K715" s="142">
        <f>IFERROR(CHOOSE(MATCH(IF($E715="","Основний",$E715),{"Трафіковий","Основний","Маржинальний","Сезонний","Стратегічний"},0),Settings!$C$78,Settings!$C$80,Settings!$C$82,Settings!$C$84,Settings!$C$86),"")</f>
        <v/>
      </c>
      <c r="L715" s="148">
        <f>IFERROR((J715*(1-Settings!$C$17)-C715)/(J715*(1-Settings!$C$17)),"")</f>
        <v/>
      </c>
      <c r="M715" s="149">
        <f>IFERROR(IF(J715="","",IF(J715&gt;=C715/(1-SKU_Base!AA715)/(1-Settings!$C$17),"OK",IF(J715&gt;=C715/(1-SKU_Base!AH715)/(1-Settings!$C$17),"WARN","STOP"))),"")</f>
        <v/>
      </c>
      <c r="N715" s="161">
        <f>IFERROR(ROUND(D715*(1-CHOOSE(MATCH(IF($E715="","Основний",$E715),{"Трафіковий","Основний","Маржинальний","Сезонний","Стратегічний"},0),Settings!$D$78,Settings!$D$80,Settings!$D$82,Settings!$D$84,Settings!$D$86))/6,2)*6,"")</f>
        <v/>
      </c>
      <c r="O715" s="142">
        <f>IFERROR(CHOOSE(MATCH(IF($E715="","Основний",$E715),{"Трафіковий","Основний","Маржинальний","Сезонний","Стратегічний"},0),Settings!$D$78,Settings!$D$80,Settings!$D$82,Settings!$D$84,Settings!$D$86),"")</f>
        <v/>
      </c>
      <c r="P715" s="148">
        <f>IFERROR((N715*(1-Settings!$D$17)-C715)/(N715*(1-Settings!$D$17)),"")</f>
        <v/>
      </c>
      <c r="Q715" s="149">
        <f>IFERROR(IF(N715="","",IF(N715&gt;=C715/(1-SKU_Base!AB715)/(1-Settings!$D$17),"OK",IF(N715&gt;=C715/(1-SKU_Base!AI715)/(1-Settings!$D$17),"WARN","STOP"))),"")</f>
        <v/>
      </c>
      <c r="R715" s="161">
        <f>IFERROR(ROUND(D715*(1-CHOOSE(MATCH(IF($E715="","Основний",$E715),{"Трафіковий","Основний","Маржинальний","Сезонний","Стратегічний"},0),Settings!$E$78,Settings!$E$80,Settings!$E$82,Settings!$E$84,Settings!$E$86))/6,2)*6,"")</f>
        <v/>
      </c>
      <c r="S715" s="142">
        <f>IFERROR(CHOOSE(MATCH(IF($E715="","Основний",$E715),{"Трафіковий","Основний","Маржинальний","Сезонний","Стратегічний"},0),Settings!$E$78,Settings!$E$80,Settings!$E$82,Settings!$E$84,Settings!$E$86),"")</f>
        <v/>
      </c>
      <c r="T715" s="148">
        <f>IFERROR((R715*(1-Settings!$E$17)-C715)/(R715*(1-Settings!$E$17)),"")</f>
        <v/>
      </c>
      <c r="U715" s="149">
        <f>IFERROR(IF(R715="","",IF(R715&gt;=C715/(1-SKU_Base!AC715)/(1-Settings!$E$17),"OK",IF(R715&gt;=C715/(1-SKU_Base!AJ715)/(1-Settings!$E$17),"WARN","STOP"))),"")</f>
        <v/>
      </c>
      <c r="V715" s="161">
        <f>IFERROR(ROUND(D715*(1-CHOOSE(MATCH(IF($E715="","Основний",$E715),{"Трафіковий","Основний","Маржинальний","Сезонний","Стратегічний"},0),Settings!$F$78,Settings!$F$80,Settings!$F$82,Settings!$F$84,Settings!$F$86))/6,2)*6,"")</f>
        <v/>
      </c>
      <c r="W715" s="142">
        <f>IFERROR(CHOOSE(MATCH(IF($E715="","Основний",$E715),{"Трафіковий","Основний","Маржинальний","Сезонний","Стратегічний"},0),Settings!$F$78,Settings!$F$80,Settings!$F$82,Settings!$F$84,Settings!$F$86),"")</f>
        <v/>
      </c>
      <c r="X715" s="148">
        <f>IFERROR((V715*(1-Settings!$F$17)-C715)/(V715*(1-Settings!$F$17)),"")</f>
        <v/>
      </c>
      <c r="Y715" s="149">
        <f>IFERROR(IF(V715="","",IF(V715&gt;=C715/(1-SKU_Base!AD715)/(1-Settings!$F$17),"OK",IF(V715&gt;=C715/(1-SKU_Base!AK715)/(1-Settings!$F$17),"WARN","STOP"))),"")</f>
        <v/>
      </c>
      <c r="Z715" s="161">
        <f>IFERROR(ROUND(D715*(1-CHOOSE(MATCH(IF($E715="","Основний",$E715),{"Трафіковий","Основний","Маржинальний","Сезонний","Стратегічний"},0),Settings!$G$78,Settings!$G$80,Settings!$G$82,Settings!$G$84,Settings!$G$86))/6,2)*6,"")</f>
        <v/>
      </c>
      <c r="AA715" s="142">
        <f>IFERROR(CHOOSE(MATCH(IF($E715="","Основний",$E715),{"Трафіковий","Основний","Маржинальний","Сезонний","Стратегічний"},0),Settings!$G$78,Settings!$G$80,Settings!$G$82,Settings!$G$84,Settings!$G$86),"")</f>
        <v/>
      </c>
      <c r="AB715" s="148">
        <f>IFERROR((Z715*(1-Settings!$G$17)-C715)/(Z715*(1-Settings!$G$17)),"")</f>
        <v/>
      </c>
      <c r="AC715" s="149">
        <f>IFERROR(IF(Z715="","",IF(Z715&gt;=C715/(1-SKU_Base!AE715)/(1-Settings!$G$17),"OK",IF(Z715&gt;=C715/(1-SKU_Base!AL715)/(1-Settings!$G$17),"WARN","STOP"))),"")</f>
        <v/>
      </c>
      <c r="AD715" s="161">
        <f>IFERROR(ROUND(D715*(1-CHOOSE(MATCH(IF($E715="","Основний",$E715),{"Трафіковий","Основний","Маржинальний","Сезонний","Стратегічний"},0),Settings!$H$78,Settings!$H$80,Settings!$H$82,Settings!$H$84,Settings!$H$86))*(1-Settings!$H$68)/6,2)*6,"")</f>
        <v/>
      </c>
      <c r="AE715" s="142">
        <f>IFERROR(CHOOSE(MATCH(IF($E715="","Основний",$E715),{"Трафіковий","Основний","Маржинальний","Сезонний","Стратегічний"},0),Settings!$H$78,Settings!$H$80,Settings!$H$82,Settings!$H$84,Settings!$H$86)+(1-(CHOOSE(MATCH(IF($E715="","Основний",$E715),{"Трафіковий","Основний","Маржинальний","Сезонний","Стратегічний"},0),Settings!$H$78,Settings!$H$80,Settings!$H$82,Settings!$H$84,Settings!$H$86)))*Settings!$H$68,"")</f>
        <v/>
      </c>
      <c r="AF715" s="148">
        <f>IFERROR((AD715*(1-Settings!$H$17)-C715)/(AD715*(1-Settings!$H$17)),"")</f>
        <v/>
      </c>
      <c r="AG715" s="150">
        <f>IFERROR(IF(AD715="","",IF(AD715&gt;=C715/(1-SKU_Base!AF715)/(1-Settings!$H$17),"OK",IF(AD715&gt;=C715/(1-SKU_Base!AM715)/(1-Settings!$H$17),"WARN","STOP"))),"")</f>
        <v/>
      </c>
    </row>
  </sheetData>
  <sheetProtection selectLockedCells="0" selectUnlockedCells="0" sheet="1" objects="0" insertRows="0" insertHyperlinks="1" autoFilter="0" scenarios="0" formatColumns="0" deleteColumns="0" insertColumns="0" pivotTables="1" deleteRows="0" formatCells="0" formatRows="0" sort="0"/>
  <conditionalFormatting sqref="E2:E715">
    <cfRule type="expression" priority="51" dxfId="25">
      <formula>$E2="Стратегічний"</formula>
    </cfRule>
    <cfRule type="expression" priority="50" dxfId="24">
      <formula>$E2="Сезонний"</formula>
    </cfRule>
    <cfRule type="expression" priority="49" dxfId="23">
      <formula>$E2="Маржинальний"</formula>
    </cfRule>
    <cfRule type="expression" priority="48" dxfId="22">
      <formula>$E2="Основний"</formula>
    </cfRule>
    <cfRule type="expression" priority="47" dxfId="21">
      <formula>$E2="Трафіковий"</formula>
    </cfRule>
  </conditionalFormatting>
  <conditionalFormatting sqref="I2:I715">
    <cfRule type="expression" priority="1" dxfId="2">
      <formula>I2="OK"</formula>
    </cfRule>
    <cfRule type="expression" priority="3" dxfId="0">
      <formula>I2="STOP"</formula>
    </cfRule>
    <cfRule type="expression" priority="2" dxfId="1">
      <formula>I2="WARN"</formula>
    </cfRule>
  </conditionalFormatting>
  <conditionalFormatting sqref="M2:M715">
    <cfRule type="expression" priority="6" dxfId="0">
      <formula>M2="STOP"</formula>
    </cfRule>
    <cfRule type="expression" priority="5" dxfId="1">
      <formula>M2="WARN"</formula>
    </cfRule>
    <cfRule type="expression" priority="4" dxfId="2">
      <formula>M2="OK"</formula>
    </cfRule>
  </conditionalFormatting>
  <conditionalFormatting sqref="Q2:Q715">
    <cfRule type="expression" priority="7" dxfId="2">
      <formula>Q2="OK"</formula>
    </cfRule>
    <cfRule type="expression" priority="8" dxfId="1">
      <formula>Q2="WARN"</formula>
    </cfRule>
    <cfRule type="expression" priority="9" dxfId="0">
      <formula>Q2="STOP"</formula>
    </cfRule>
  </conditionalFormatting>
  <conditionalFormatting sqref="U2:U715">
    <cfRule type="expression" priority="10" dxfId="2">
      <formula>U2="OK"</formula>
    </cfRule>
    <cfRule type="expression" priority="11" dxfId="1">
      <formula>U2="WARN"</formula>
    </cfRule>
    <cfRule type="expression" priority="12" dxfId="0">
      <formula>U2="STOP"</formula>
    </cfRule>
  </conditionalFormatting>
  <conditionalFormatting sqref="Y2:Y715">
    <cfRule type="expression" priority="13" dxfId="2">
      <formula>Y2="OK"</formula>
    </cfRule>
    <cfRule type="expression" priority="15" dxfId="0">
      <formula>Y2="STOP"</formula>
    </cfRule>
    <cfRule type="expression" priority="14" dxfId="1">
      <formula>Y2="WARN"</formula>
    </cfRule>
  </conditionalFormatting>
  <conditionalFormatting sqref="AC2:AC715">
    <cfRule type="expression" priority="16" dxfId="2">
      <formula>AC2="OK"</formula>
    </cfRule>
    <cfRule type="expression" priority="17" dxfId="1">
      <formula>AC2="WARN"</formula>
    </cfRule>
    <cfRule type="expression" priority="18" dxfId="0">
      <formula>AC2="STOP"</formula>
    </cfRule>
  </conditionalFormatting>
  <conditionalFormatting sqref="AG2:AG715">
    <cfRule type="expression" priority="19" dxfId="2">
      <formula>AG2="OK"</formula>
    </cfRule>
    <cfRule type="expression" priority="20" dxfId="1">
      <formula>AG2="WARN"</formula>
    </cfRule>
    <cfRule type="expression" priority="21" dxfId="0">
      <formula>AG2="STOP"</formula>
    </cfRule>
  </conditionalFormatting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2026-05-08T18:44:13Z</dcterms:created>
  <dcterms:modified xsi:type="dcterms:W3CDTF">2026-05-26T13:18:18Z</dcterms:modified>
  <cp:lastModifiedBy>Viktor Prokopenko</cp:lastModifiedBy>
</cp:coreProperties>
</file>